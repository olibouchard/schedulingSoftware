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apacity" sheetId="2" state="visible" r:id="rId2"/>
    <sheet name="Check-in" sheetId="3" state="visible" r:id="rId3"/>
    <sheet name="Scenario" sheetId="4" state="visible" r:id="rId4"/>
    <sheet name="Deals" sheetId="5" state="visible" r:id="rId5"/>
    <sheet name="Assignments" sheetId="6" state="visible" r:id="rId6"/>
    <sheet name="Roster" sheetId="7" state="visible" r:id="rId7"/>
    <sheet name="Templates" sheetId="8" state="visible" r:id="rId8"/>
    <sheet name="Actuals" sheetId="9" state="visible" r:id="rId9"/>
    <sheet name="Variance" sheetId="10" state="visible" r:id="rId10"/>
    <sheet name="Settings" sheetId="11" state="visible" r:id="rId11"/>
    <sheet name="Review" sheetId="12" state="visible" r:id="rId12"/>
  </sheets>
  <definedNames>
    <definedName name="RosterNames">Roster!$A$2:$A$40</definedName>
    <definedName name="DealCodes">Deals!$A$2:$A$355</definedName>
    <definedName name="LifecycleList">Settings!$D$8:$D$16</definedName>
    <definedName name="PhaseList">Settings!$E$8:$E$11</definedName>
    <definedName name="TxnTypeList">Settings!$F$8:$F$12</definedName>
    <definedName name="EntityClassList">Settings!$G$8:$G$11</definedName>
    <definedName name="ScopeList">Settings!$H$8:$H$15</definedName>
    <definedName name="TimelineList">Settings!$I$8:$I$9</definedName>
    <definedName name="ActiveList">Settings!$J$8:$J$9</definedName>
    <definedName name="YesNoList">Settings!$K$8:$K$9</definedName>
    <definedName name="LevelList">Settings!$L$8:$L$14</definedName>
    <definedName name="ArchetypeList">Templates!$A$3:$A$10</definedName>
    <definedName name="MapNetSuite">Actuals!$N$5:$N$44</definedName>
    <definedName name="MapTracker">Actuals!$O$5:$O$44</definedName>
    <definedName name="TddTypeList">Settings!$M$8:$M$12</definedName>
    <definedName name="TddScopeList">Settings!$N$8:$N$10</definedName>
    <definedName name="OtherTddList">Settings!$O$8:$O$11</definedName>
    <definedName name="CorpModelList">Settings!$P$8:$P$9</definedName>
    <definedName name="YTickList">Settings!$Q$8:$Q$8</definedName>
    <definedName name="_xlnm.Print_Titles" localSheetId="2">'Check-in'!$1:$6</definedName>
    <definedName name="_xlnm.Print_Area" localSheetId="2">'Check-in'!$A$1:$I$403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0.0"/>
    <numFmt numFmtId="166" formatCode="$#,##0"/>
    <numFmt numFmtId="167" formatCode="0.0;-0.0"/>
    <numFmt numFmtId="168" formatCode="0.0;;"/>
    <numFmt numFmtId="169" formatCode="0.0;-0.0;"/>
    <numFmt numFmtId="170" formatCode="0.00;;"/>
    <numFmt numFmtId="171" formatCode="dd-mmm"/>
    <numFmt numFmtId="172" formatCode="+0.0;-0.0;"/>
    <numFmt numFmtId="173" formatCode="+0;-0;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E4DFE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171" fontId="5" fillId="3" borderId="0" applyAlignment="1" pivotButton="0" quotePrefix="0" xfId="0">
      <alignment horizontal="center"/>
    </xf>
    <xf numFmtId="0" fontId="8" fillId="0" borderId="0" pivotButton="0" quotePrefix="0" xfId="0"/>
    <xf numFmtId="1" fontId="8" fillId="0" borderId="0" pivotButton="0" quotePrefix="0" xfId="0"/>
    <xf numFmtId="169" fontId="6" fillId="0" borderId="0" pivotButton="0" quotePrefix="0" xfId="0"/>
    <xf numFmtId="0" fontId="2" fillId="0" borderId="0" pivotButton="0" quotePrefix="0" xfId="0"/>
    <xf numFmtId="1" fontId="2" fillId="0" borderId="0" pivotButton="0" quotePrefix="0" xfId="0"/>
    <xf numFmtId="0" fontId="2" fillId="4" borderId="0" pivotButton="0" quotePrefix="0" xfId="0"/>
    <xf numFmtId="0" fontId="5" fillId="3" borderId="0" applyAlignment="1" pivotButton="0" quotePrefix="0" xfId="0">
      <alignment vertical="center" wrapText="1"/>
    </xf>
    <xf numFmtId="0" fontId="8" fillId="0" borderId="1" pivotButton="0" quotePrefix="0" xfId="0"/>
    <xf numFmtId="1" fontId="8" fillId="0" borderId="1" pivotButton="0" quotePrefix="0" xfId="0"/>
    <xf numFmtId="165" fontId="8" fillId="0" borderId="1" pivotButton="0" quotePrefix="0" xfId="0"/>
    <xf numFmtId="9" fontId="6" fillId="0" borderId="1" pivotButton="0" quotePrefix="0" xfId="0"/>
    <xf numFmtId="0" fontId="6" fillId="0" borderId="1" pivotButton="0" quotePrefix="0" xfId="0"/>
    <xf numFmtId="9" fontId="8" fillId="0" borderId="1" pivotButton="0" quotePrefix="0" xfId="0"/>
    <xf numFmtId="164" fontId="8" fillId="0" borderId="1" pivotButton="0" quotePrefix="0" xfId="0"/>
    <xf numFmtId="1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2" fillId="5" borderId="0" pivotButton="0" quotePrefix="0" xfId="0"/>
    <xf numFmtId="172" fontId="6" fillId="0" borderId="1" pivotButton="0" quotePrefix="0" xfId="0"/>
    <xf numFmtId="173" fontId="2" fillId="0" borderId="0" pivotButton="0" quotePrefix="0" xfId="0"/>
    <xf numFmtId="0" fontId="3" fillId="0" borderId="1" applyProtection="1" pivotButton="0" quotePrefix="0" xfId="0">
      <protection locked="0" hidden="0"/>
    </xf>
    <xf numFmtId="9" fontId="3" fillId="0" borderId="1" applyProtection="1" pivotButton="0" quotePrefix="0" xfId="0">
      <protection locked="0" hidden="0"/>
    </xf>
    <xf numFmtId="164" fontId="3" fillId="0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165" fontId="6" fillId="0" borderId="1" pivotButton="0" quotePrefix="0" xfId="0"/>
    <xf numFmtId="0" fontId="4" fillId="0" borderId="1" applyProtection="1" pivotButton="0" quotePrefix="0" xfId="0">
      <protection locked="0" hidden="0"/>
    </xf>
    <xf numFmtId="2" fontId="8" fillId="0" borderId="1" pivotButton="0" quotePrefix="0" xfId="0"/>
    <xf numFmtId="164" fontId="6" fillId="0" borderId="1" pivotButton="0" quotePrefix="0" xfId="0"/>
    <xf numFmtId="166" fontId="3" fillId="0" borderId="1" applyProtection="1" pivotButton="0" quotePrefix="0" xfId="0">
      <protection locked="0" hidden="0"/>
    </xf>
    <xf numFmtId="166" fontId="6" fillId="0" borderId="1" pivotButton="0" quotePrefix="0" xfId="0"/>
    <xf numFmtId="0" fontId="3" fillId="2" borderId="1" applyProtection="1" pivotButton="0" quotePrefix="0" xfId="0">
      <protection locked="0" hidden="0"/>
    </xf>
    <xf numFmtId="164" fontId="3" fillId="2" borderId="1" applyProtection="1" pivotButton="0" quotePrefix="0" xfId="0">
      <protection locked="0" hidden="0"/>
    </xf>
    <xf numFmtId="9" fontId="3" fillId="5" borderId="1" applyProtection="1" pivotButton="0" quotePrefix="0" xfId="0">
      <protection locked="0" hidden="0"/>
    </xf>
    <xf numFmtId="164" fontId="3" fillId="5" borderId="1" applyProtection="1" pivotButton="0" quotePrefix="0" xfId="0">
      <protection locked="0" hidden="0"/>
    </xf>
    <xf numFmtId="166" fontId="3" fillId="2" borderId="1" applyProtection="1" pivotButton="0" quotePrefix="0" xfId="0">
      <protection locked="0" hidden="0"/>
    </xf>
    <xf numFmtId="9" fontId="3" fillId="2" borderId="1" applyProtection="1" pivotButton="0" quotePrefix="0" xfId="0">
      <protection locked="0" hidden="0"/>
    </xf>
    <xf numFmtId="0" fontId="0" fillId="0" borderId="1" pivotButton="0" quotePrefix="0" xfId="0"/>
    <xf numFmtId="165" fontId="3" fillId="0" borderId="1" applyProtection="1" pivotButton="0" quotePrefix="0" xfId="0">
      <protection locked="0" hidden="0"/>
    </xf>
    <xf numFmtId="166" fontId="8" fillId="0" borderId="1" pivotButton="0" quotePrefix="0" xfId="0"/>
    <xf numFmtId="0" fontId="6" fillId="0" borderId="1" applyProtection="1" pivotButton="0" quotePrefix="0" xfId="0">
      <protection locked="0" hidden="0"/>
    </xf>
    <xf numFmtId="165" fontId="3" fillId="2" borderId="1" applyProtection="1" pivotButton="0" quotePrefix="0" xfId="0">
      <protection locked="0" hidden="0"/>
    </xf>
    <xf numFmtId="0" fontId="6" fillId="0" borderId="0" applyProtection="1" pivotButton="0" quotePrefix="0" xfId="0">
      <protection locked="0" hidden="0"/>
    </xf>
    <xf numFmtId="165" fontId="3" fillId="2" borderId="0" applyProtection="1" pivotButton="0" quotePrefix="0" xfId="0">
      <protection locked="0" hidden="0"/>
    </xf>
    <xf numFmtId="1" fontId="3" fillId="2" borderId="0" applyProtection="1" pivotButton="0" quotePrefix="0" xfId="0">
      <protection locked="0" hidden="0"/>
    </xf>
    <xf numFmtId="9" fontId="3" fillId="2" borderId="0" applyProtection="1" pivotButton="0" quotePrefix="0" xfId="0">
      <protection locked="0" hidden="0"/>
    </xf>
    <xf numFmtId="2" fontId="3" fillId="2" borderId="0" applyProtection="1" pivotButton="0" quotePrefix="0" xfId="0">
      <protection locked="0" hidden="0"/>
    </xf>
    <xf numFmtId="2" fontId="6" fillId="0" borderId="0" pivotButton="0" quotePrefix="0" xfId="0"/>
    <xf numFmtId="0" fontId="2" fillId="2" borderId="0" pivotButton="0" quotePrefix="0" xfId="0"/>
    <xf numFmtId="0" fontId="6" fillId="0" borderId="0" pivotButton="0" quotePrefix="0" xfId="0"/>
    <xf numFmtId="166" fontId="3" fillId="2" borderId="0" applyProtection="1" pivotButton="0" quotePrefix="0" xfId="0">
      <protection locked="0" hidden="0"/>
    </xf>
    <xf numFmtId="9" fontId="6" fillId="0" borderId="0" pivotButton="0" quotePrefix="0" xfId="0"/>
    <xf numFmtId="1" fontId="6" fillId="0" borderId="0" pivotButton="0" quotePrefix="0" xfId="0"/>
    <xf numFmtId="0" fontId="7" fillId="2" borderId="0" pivotButton="0" quotePrefix="0" xfId="0"/>
    <xf numFmtId="0" fontId="3" fillId="0" borderId="0" applyProtection="1" pivotButton="0" quotePrefix="0" xfId="0">
      <protection locked="0" hidden="0"/>
    </xf>
    <xf numFmtId="0" fontId="3" fillId="4" borderId="1" applyProtection="1" pivotButton="0" quotePrefix="0" xfId="0">
      <protection locked="0" hidden="0"/>
    </xf>
    <xf numFmtId="164" fontId="3" fillId="4" borderId="1" applyProtection="1" pivotButton="0" quotePrefix="0" xfId="0">
      <protection locked="0" hidden="0"/>
    </xf>
    <xf numFmtId="165" fontId="3" fillId="4" borderId="1" applyProtection="1" pivotButton="0" quotePrefix="0" xfId="0">
      <protection locked="0" hidden="0"/>
    </xf>
    <xf numFmtId="167" fontId="6" fillId="0" borderId="1" pivotButton="0" quotePrefix="0" xfId="0"/>
    <xf numFmtId="0" fontId="0" fillId="0" borderId="0" applyProtection="1" pivotButton="0" quotePrefix="0" xfId="0">
      <protection locked="0" hidden="0"/>
    </xf>
    <xf numFmtId="168" fontId="6" fillId="0" borderId="1" pivotButton="0" quotePrefix="0" xfId="0"/>
    <xf numFmtId="169" fontId="6" fillId="0" borderId="1" pivotButton="0" quotePrefix="0" xfId="0"/>
    <xf numFmtId="170" fontId="6" fillId="0" borderId="1" pivotButton="0" quotePrefix="0" xfId="0"/>
    <xf numFmtId="168" fontId="6" fillId="0" borderId="0" pivotButton="0" quotePrefix="0" xfId="0"/>
    <xf numFmtId="170" fontId="6" fillId="0" borderId="0" pivotButton="0" quotePrefix="0" xfId="0"/>
    <xf numFmtId="164" fontId="3" fillId="2" borderId="0" applyProtection="1" pivotButton="0" quotePrefix="0" xfId="0">
      <protection locked="0" hidden="0"/>
    </xf>
    <xf numFmtId="0" fontId="3" fillId="2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vertical="top" wrapText="1"/>
      <protection locked="0" hidden="0"/>
    </xf>
    <xf numFmtId="0" fontId="3" fillId="4" borderId="0" applyAlignment="1" applyProtection="1" pivotButton="0" quotePrefix="0" xfId="0">
      <alignment vertical="top" wrapText="1"/>
      <protection locked="0" hidden="0"/>
    </xf>
    <xf numFmtId="0" fontId="2" fillId="6" borderId="0" pivotButton="0" quotePrefix="0" xfId="0"/>
    <xf numFmtId="0" fontId="4" fillId="0" borderId="0" applyProtection="1" pivotButton="0" quotePrefix="0" xfId="0">
      <protection locked="0" hidden="0"/>
    </xf>
    <xf numFmtId="0" fontId="5" fillId="3" borderId="0" applyAlignment="1" applyProtection="1" pivotButton="0" quotePrefix="0" xfId="0">
      <alignment vertical="center" wrapText="1"/>
      <protection locked="0" hidden="0"/>
    </xf>
  </cellXfs>
  <cellStyles count="1">
    <cellStyle name="Normal" xfId="0" builtinId="0" hidden="0"/>
  </cellStyles>
  <dxfs count="6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E4DFEC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B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B1" s="1" t="inlineStr">
        <is>
          <t>US M&amp;A Tax - Scheduling &amp; Capacity Tracker</t>
        </is>
      </c>
    </row>
    <row r="2">
      <c r="B2" s="2" t="inlineStr">
        <is>
          <t>Built from Scheduling_US_MA_July_9.xlsx + the June 4 scheduling brief. This workbook is the bridge tracker: one source of truth for deals, staffing and weekly capacity.</t>
        </is>
      </c>
    </row>
    <row r="3">
      <c r="B3" s="3" t="inlineStr"/>
    </row>
    <row r="4">
      <c r="B4" s="4" t="inlineStr">
        <is>
          <t>TABS</t>
        </is>
      </c>
    </row>
    <row r="5">
      <c r="B5" s="3" t="inlineStr">
        <is>
          <t xml:space="preserve">  Capacity - the dashboard: planned hours per person per week. Red = over capacity, amber = above 85%.</t>
        </is>
      </c>
    </row>
    <row r="6">
      <c r="B6" s="3" t="inlineStr">
        <is>
          <t xml:space="preserve">  Check-in - the weekly 15-20 min meeting agenda, generated automatically: who's over/under-allocated in the next 4 weeks, and which Active/Proposal deals need attention (unstaffed, missing a staffed level, still at the default probability, no dates, or stale). Nothing to edit here - update Settings!B19 to today first.</t>
        </is>
      </c>
    </row>
    <row r="7">
      <c r="B7" s="3" t="inlineStr">
        <is>
          <t xml:space="preserve">  Scenario - what-if analysis. Fill the violet SCENARIO columns on Deals (probability / start / end) - e.g. bump three proposals to 100% - and this tab shows who would blow up, Live vs Scenario, without touching the real plan. Blank overrides = identical to Live.</t>
        </is>
      </c>
    </row>
    <row r="8">
      <c r="B8" s="3" t="inlineStr">
        <is>
          <t xml:space="preserve">  Deals - one row per engagement: lifecycle, probability, dates. The yellow WORKSTREAM SCOPING columns are Justine's taxonomy - tick what's in scope. The yellow FEE $ columns (one per group: TDD, Modeling, Structuring, Legal docs, Other) drive the hours - enter a fee and it flows to hours-by-level through Templates. Violet columns are scenario overrides. (Old attribute columns K-P are retired and hidden.)</t>
        </is>
      </c>
    </row>
    <row r="9">
      <c r="B9" s="3" t="inlineStr">
        <is>
          <t xml:space="preserve">  Assignments - one row per person on a deal. 'Active?' controls whether it counts. Hours come from the deal's fees (split by level), or its archetype, or the level default - unless you set an Override (Override always wins). Columns N onward ('Eff. start/end', 'Seg1/Seg2 ...', 'Fee hrs/wk pp') are calculation helpers - leave them alone.</t>
        </is>
      </c>
    </row>
    <row r="10">
      <c r="B10" s="3" t="inlineStr">
        <is>
          <t xml:space="preserve">  Roster - the team, weekly capacity, live utilization.</t>
        </is>
      </c>
    </row>
    <row r="11">
      <c r="B11" s="3" t="inlineStr">
        <is>
          <t xml:space="preserve">  Templates - the fee-&gt;hours allocation parameters: rate card ($/hr by level), fee split-% matrix by workstream group, and default durations. Fill the yellow cells with the team's real numbers; Step 9 wires per-deal fees into hours. (The old effort archetypes above are legacy, kept for reference.)</t>
        </is>
      </c>
    </row>
    <row r="12">
      <c r="B12" s="3" t="inlineStr">
        <is>
          <t xml:space="preserve">  Actuals - paste the NetSuite time export (blue columns); it matches each row to a deal and person and computes variance vs the plan. Fill the name-mapping table (right) when NetSuite names differ from roster names. Sample rows are included and flagged - delete them first.</t>
        </is>
      </c>
    </row>
    <row r="13">
      <c r="B13" s="3" t="inlineStr">
        <is>
          <t xml:space="preserve">  Variance - estimate vs actual: per deal, and a calibration summary by level and by archetype (actual/planned ratio - &gt;1 means we estimate low, &lt;1 means high). Reads from Actuals.</t>
        </is>
      </c>
    </row>
    <row r="14">
      <c r="B14" s="3" t="inlineStr">
        <is>
          <t xml:space="preserve">  Settings - dropdown lists, level hour defaults, capacity window start, probability-weighting toggle.</t>
        </is>
      </c>
    </row>
    <row r="15">
      <c r="B15" s="3" t="inlineStr">
        <is>
          <t xml:space="preserve">  Review - section 1 lists what still needs a human answer (yellow 'Your decision' column); section 2 is an audit trail of what was resolved automatically from the source data.</t>
        </is>
      </c>
    </row>
    <row r="16">
      <c r="B16" s="3" t="inlineStr"/>
    </row>
    <row r="17">
      <c r="B17" s="4" t="inlineStr">
        <is>
          <t>COLOR CODE</t>
        </is>
      </c>
    </row>
    <row r="18">
      <c r="B18" s="3" t="inlineStr">
        <is>
          <t xml:space="preserve">  Blue text = input you can edit    |    Black text = formula, leave alone    |    Green text = pulled from another tab</t>
        </is>
      </c>
    </row>
    <row r="19">
      <c r="B19" s="3" t="inlineStr">
        <is>
          <t xml:space="preserve">  Yellow fill = please fill in / review    |    Grey row = inactive (dead, closed, rolled off)</t>
        </is>
      </c>
    </row>
    <row r="20">
      <c r="B20" s="3" t="inlineStr">
        <is>
          <t xml:space="preserve">  Sheets are protected so a stray keystroke can't overwrite a formula - you can still edit every blue/yellow input cell and add rows in the blank spare rows. There's no password: Review &gt; Unprotect Sheet if you ever need to change a formula. Don't insert/delete/sort rows on Deals, Assignments or Roster - Capacity and Check-in track them row-for-row.</t>
        </is>
      </c>
    </row>
    <row r="21">
      <c r="B21" s="3" t="inlineStr"/>
    </row>
    <row r="22">
      <c r="B22" s="4" t="inlineStr">
        <is>
          <t>HOW TO</t>
        </is>
      </c>
    </row>
    <row r="23">
      <c r="B23" s="3" t="inlineStr">
        <is>
          <t xml:space="preserve">  Add a deal: next blank row on Deals - Project ID, client, Lifecycle, Probability, dates, then fees + workstream scoping. Then staff it on Assignments.</t>
        </is>
      </c>
    </row>
    <row r="24">
      <c r="B24" s="3" t="inlineStr">
        <is>
          <t xml:space="preserve">  Staff someone: new row on Assignments - pick Person and Project ID, set Active? = Active. Hours come from the deal's fees (or archetype, or the level default); type an Override for this deal if needed.</t>
        </is>
      </c>
    </row>
    <row r="25">
      <c r="B25" s="3" t="inlineStr">
        <is>
          <t xml:space="preserve">  Price a deal (this drives hours): on Deals, enter the FEE $ for each workstream group in scope. Hours by level = fee x split%(Templates) / rate(Templates), spread evenly across the deal's Expected start/end (or the group's default duration if dates are blank), then divided among the people staffed at each level. Add dates so the hours land in the right weeks - and make sure someone is staffed at each level the split funds, or those hours have nowhere to show.</t>
        </is>
      </c>
    </row>
    <row r="26">
      <c r="B26" s="3" t="inlineStr">
        <is>
          <t xml:space="preserve">  (Legacy) Effort archetype: an older per-deal effort shape on Deals, superseded by fees. Leave blank unless a deal has no fee - a fee always wins over an archetype.</t>
        </is>
      </c>
    </row>
    <row r="27">
      <c r="B27" s="3" t="inlineStr">
        <is>
          <t xml:space="preserve">  Roll someone off: set their row's Active? to Inactive (keeps history - do not delete).</t>
        </is>
      </c>
    </row>
    <row r="28">
      <c r="B28" s="3" t="inlineStr">
        <is>
          <t xml:space="preserve">  Deal dies / closes: set Lifecycle on Deals; its assignments stop counting once you mark them Inactive (a grey row reminds you).</t>
        </is>
      </c>
    </row>
    <row r="29">
      <c r="B29" s="3" t="inlineStr">
        <is>
          <t xml:space="preserve">  New team member: add to Roster (name, level, capacity) - they appear in every dropdown.</t>
        </is>
      </c>
    </row>
    <row r="30">
      <c r="B30" s="3" t="inlineStr">
        <is>
          <t xml:space="preserve">  Weekly 15-min check-in: update Settings!B19 to today, then open the Check-in tab - it lists who's over/under-allocated and which deals need attention. Work the list, update Deals/Assignments as you go.</t>
        </is>
      </c>
    </row>
    <row r="31">
      <c r="B31" s="3" t="inlineStr">
        <is>
          <t xml:space="preserve">  Load actuals: export NetSuite time as CSV with columns Project code | Employee | Week start (Mon) | Hours, paste into Actuals A-D, and read the result on the Variance tab. Any NetSuite name that isn't a roster name goes in the Actuals name-mapping table once.</t>
        </is>
      </c>
    </row>
    <row r="32">
      <c r="B32" s="3" t="inlineStr">
        <is>
          <t xml:space="preserve">  Run a what-if: on Deals, fill a violet SCENARIO cell (e.g. set a proposal's Scenario probability to 100%, or a deal's to 0% to drop it), then open the Scenario tab to see the impact. Clear the violet cells to return to Live. Nothing you do there changes the live plan.</t>
        </is>
      </c>
    </row>
    <row r="33">
      <c r="B33" s="3" t="inlineStr"/>
    </row>
    <row r="34">
      <c r="B34" s="4" t="inlineStr">
        <is>
          <t>ASSUMPTIONS BAKED IN (all editable)</t>
        </is>
      </c>
    </row>
    <row r="35">
      <c r="B35" s="3" t="inlineStr">
        <is>
          <t xml:space="preserve">  1. Default hrs/wk by level (Settings B8:B14) are PLACEHOLDERS, not measured data - tune at the first check-in.</t>
        </is>
      </c>
    </row>
    <row r="36">
      <c r="B36" s="3" t="inlineStr">
        <is>
          <t xml:space="preserve">  2. Weekly capacity is 40h for everyone (Roster col D) - placeholder.</t>
        </is>
      </c>
    </row>
    <row r="37">
      <c r="B37" s="3" t="inlineStr">
        <is>
          <t xml:space="preserve">  3. WIP deals were prefilled at 100% probability, Proposals at 50% - review the yellow cells.</t>
        </is>
      </c>
    </row>
    <row r="38">
      <c r="B38" s="3" t="inlineStr">
        <is>
          <t xml:space="preserve">  4. Deals with blank dates count in every week of the Capacity view; fill dates to time-phase.</t>
        </is>
      </c>
    </row>
    <row r="39">
      <c r="B39" s="3" t="inlineStr">
        <is>
          <t xml:space="preserve">  5. Where the per-person survey said someone is done ('pencils down', 'closed', 'not involved'), that assignment was set Inactive - full mapping on the Review tab.</t>
        </is>
      </c>
    </row>
    <row r="40">
      <c r="B40" s="3" t="inlineStr">
        <is>
          <t xml:space="preserve">  6. 'Added on' (Deals col Z) is set to 2026-07-09 for every migrated deal - it is not when the deal actually started, just when this tracker was built. The Check-in tab's 'Stale' flag and staleness threshold (Settings B20, 4 weeks) are placeholders.</t>
        </is>
      </c>
    </row>
    <row r="41">
      <c r="B41" s="3" t="inlineStr"/>
    </row>
    <row r="42">
      <c r="B42" s="2" t="inlineStr">
        <is>
          <t>Source: Scheduling_US_MA_July_9.xlsx (July 9) and Justine Morin's scheduling brief (June 4, 2026). Migration by scripts/build_workbook.py - regenerating overwrites manual edits, so edit here, not there.</t>
        </is>
      </c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AB4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>
      <c r="A1" s="5" t="inlineStr">
        <is>
          <t>Capacity - planned hours per person per week</t>
        </is>
      </c>
    </row>
    <row r="2">
      <c r="A2" s="6">
        <f>"Probability weighting: "&amp;Settings!$B$4&amp;"   |   Fees set on a deal drive its hours, spread evenly across its dates; a deal with an Archetype + dates is front/tail phased instead; a deal with no dates counts flat in every week."</f>
        <v/>
      </c>
    </row>
    <row r="3"/>
    <row r="4">
      <c r="A4" s="7" t="inlineStr">
        <is>
          <t>Person</t>
        </is>
      </c>
      <c r="B4" s="7" t="inlineStr">
        <is>
          <t>Cap hrs/wk</t>
        </is>
      </c>
      <c r="C4" s="8">
        <f>Settings!$B$3</f>
        <v/>
      </c>
      <c r="D4" s="8">
        <f>C4+7</f>
        <v/>
      </c>
      <c r="E4" s="8">
        <f>D4+7</f>
        <v/>
      </c>
      <c r="F4" s="8">
        <f>E4+7</f>
        <v/>
      </c>
      <c r="G4" s="8">
        <f>F4+7</f>
        <v/>
      </c>
      <c r="H4" s="8">
        <f>G4+7</f>
        <v/>
      </c>
      <c r="I4" s="8">
        <f>H4+7</f>
        <v/>
      </c>
      <c r="J4" s="8">
        <f>I4+7</f>
        <v/>
      </c>
      <c r="K4" s="8">
        <f>J4+7</f>
        <v/>
      </c>
      <c r="L4" s="8">
        <f>K4+7</f>
        <v/>
      </c>
      <c r="M4" s="8">
        <f>L4+7</f>
        <v/>
      </c>
      <c r="N4" s="8">
        <f>M4+7</f>
        <v/>
      </c>
      <c r="O4" s="8">
        <f>N4+7</f>
        <v/>
      </c>
      <c r="P4" s="8">
        <f>O4+7</f>
        <v/>
      </c>
      <c r="Q4" s="8">
        <f>P4+7</f>
        <v/>
      </c>
      <c r="R4" s="8">
        <f>Q4+7</f>
        <v/>
      </c>
      <c r="S4" s="8">
        <f>R4+7</f>
        <v/>
      </c>
      <c r="T4" s="8">
        <f>S4+7</f>
        <v/>
      </c>
      <c r="U4" s="8">
        <f>T4+7</f>
        <v/>
      </c>
      <c r="V4" s="8">
        <f>U4+7</f>
        <v/>
      </c>
      <c r="W4" s="8">
        <f>V4+7</f>
        <v/>
      </c>
      <c r="X4" s="8">
        <f>W4+7</f>
        <v/>
      </c>
      <c r="Y4" s="8">
        <f>X4+7</f>
        <v/>
      </c>
      <c r="Z4" s="8">
        <f>Y4+7</f>
        <v/>
      </c>
      <c r="AA4" s="8">
        <f>Z4+7</f>
        <v/>
      </c>
      <c r="AB4" s="8">
        <f>AA4+7</f>
        <v/>
      </c>
    </row>
    <row r="5">
      <c r="A5" s="9">
        <f>IF(Roster!$A2="","",Roster!$A2)</f>
        <v/>
      </c>
      <c r="B5" s="10">
        <f>IF($A5="","",IFERROR(INDEX(Roster!$D$2:$D$40,MATCH($A5,Roster!$A$2:$A$40,0)),""))</f>
        <v/>
      </c>
      <c r="C5" s="11">
        <f>IF($A5="","",SUMIFS(Assignments!$X$2:$X$769,Assignments!$A$2:$A$769,$A5,Assignments!$G$2:$G$769,"Active",Assignments!$V$2:$V$769,"&lt;="&amp;C$4,Assignments!$W$2:$W$769,"&gt;="&amp;C$4)+SUMIFS(Assignments!$AA$2:$AA$769,Assignments!$A$2:$A$769,$A5,Assignments!$G$2:$G$769,"Active",Assignments!$Y$2:$Y$769,"&lt;="&amp;C$4,Assignments!$Z$2:$Z$769,"&gt;="&amp;C$4))</f>
        <v/>
      </c>
      <c r="D5" s="11">
        <f>IF($A5="","",SUMIFS(Assignments!$X$2:$X$769,Assignments!$A$2:$A$769,$A5,Assignments!$G$2:$G$769,"Active",Assignments!$V$2:$V$769,"&lt;="&amp;D$4,Assignments!$W$2:$W$769,"&gt;="&amp;D$4)+SUMIFS(Assignments!$AA$2:$AA$769,Assignments!$A$2:$A$769,$A5,Assignments!$G$2:$G$769,"Active",Assignments!$Y$2:$Y$769,"&lt;="&amp;D$4,Assignments!$Z$2:$Z$769,"&gt;="&amp;D$4))</f>
        <v/>
      </c>
      <c r="E5" s="11">
        <f>IF($A5="","",SUMIFS(Assignments!$X$2:$X$769,Assignments!$A$2:$A$769,$A5,Assignments!$G$2:$G$769,"Active",Assignments!$V$2:$V$769,"&lt;="&amp;E$4,Assignments!$W$2:$W$769,"&gt;="&amp;E$4)+SUMIFS(Assignments!$AA$2:$AA$769,Assignments!$A$2:$A$769,$A5,Assignments!$G$2:$G$769,"Active",Assignments!$Y$2:$Y$769,"&lt;="&amp;E$4,Assignments!$Z$2:$Z$769,"&gt;="&amp;E$4))</f>
        <v/>
      </c>
      <c r="F5" s="11">
        <f>IF($A5="","",SUMIFS(Assignments!$X$2:$X$769,Assignments!$A$2:$A$769,$A5,Assignments!$G$2:$G$769,"Active",Assignments!$V$2:$V$769,"&lt;="&amp;F$4,Assignments!$W$2:$W$769,"&gt;="&amp;F$4)+SUMIFS(Assignments!$AA$2:$AA$769,Assignments!$A$2:$A$769,$A5,Assignments!$G$2:$G$769,"Active",Assignments!$Y$2:$Y$769,"&lt;="&amp;F$4,Assignments!$Z$2:$Z$769,"&gt;="&amp;F$4))</f>
        <v/>
      </c>
      <c r="G5" s="11">
        <f>IF($A5="","",SUMIFS(Assignments!$X$2:$X$769,Assignments!$A$2:$A$769,$A5,Assignments!$G$2:$G$769,"Active",Assignments!$V$2:$V$769,"&lt;="&amp;G$4,Assignments!$W$2:$W$769,"&gt;="&amp;G$4)+SUMIFS(Assignments!$AA$2:$AA$769,Assignments!$A$2:$A$769,$A5,Assignments!$G$2:$G$769,"Active",Assignments!$Y$2:$Y$769,"&lt;="&amp;G$4,Assignments!$Z$2:$Z$769,"&gt;="&amp;G$4))</f>
        <v/>
      </c>
      <c r="H5" s="11">
        <f>IF($A5="","",SUMIFS(Assignments!$X$2:$X$769,Assignments!$A$2:$A$769,$A5,Assignments!$G$2:$G$769,"Active",Assignments!$V$2:$V$769,"&lt;="&amp;H$4,Assignments!$W$2:$W$769,"&gt;="&amp;H$4)+SUMIFS(Assignments!$AA$2:$AA$769,Assignments!$A$2:$A$769,$A5,Assignments!$G$2:$G$769,"Active",Assignments!$Y$2:$Y$769,"&lt;="&amp;H$4,Assignments!$Z$2:$Z$769,"&gt;="&amp;H$4))</f>
        <v/>
      </c>
      <c r="I5" s="11">
        <f>IF($A5="","",SUMIFS(Assignments!$X$2:$X$769,Assignments!$A$2:$A$769,$A5,Assignments!$G$2:$G$769,"Active",Assignments!$V$2:$V$769,"&lt;="&amp;I$4,Assignments!$W$2:$W$769,"&gt;="&amp;I$4)+SUMIFS(Assignments!$AA$2:$AA$769,Assignments!$A$2:$A$769,$A5,Assignments!$G$2:$G$769,"Active",Assignments!$Y$2:$Y$769,"&lt;="&amp;I$4,Assignments!$Z$2:$Z$769,"&gt;="&amp;I$4))</f>
        <v/>
      </c>
      <c r="J5" s="11">
        <f>IF($A5="","",SUMIFS(Assignments!$X$2:$X$769,Assignments!$A$2:$A$769,$A5,Assignments!$G$2:$G$769,"Active",Assignments!$V$2:$V$769,"&lt;="&amp;J$4,Assignments!$W$2:$W$769,"&gt;="&amp;J$4)+SUMIFS(Assignments!$AA$2:$AA$769,Assignments!$A$2:$A$769,$A5,Assignments!$G$2:$G$769,"Active",Assignments!$Y$2:$Y$769,"&lt;="&amp;J$4,Assignments!$Z$2:$Z$769,"&gt;="&amp;J$4))</f>
        <v/>
      </c>
      <c r="K5" s="11">
        <f>IF($A5="","",SUMIFS(Assignments!$X$2:$X$769,Assignments!$A$2:$A$769,$A5,Assignments!$G$2:$G$769,"Active",Assignments!$V$2:$V$769,"&lt;="&amp;K$4,Assignments!$W$2:$W$769,"&gt;="&amp;K$4)+SUMIFS(Assignments!$AA$2:$AA$769,Assignments!$A$2:$A$769,$A5,Assignments!$G$2:$G$769,"Active",Assignments!$Y$2:$Y$769,"&lt;="&amp;K$4,Assignments!$Z$2:$Z$769,"&gt;="&amp;K$4))</f>
        <v/>
      </c>
      <c r="L5" s="11">
        <f>IF($A5="","",SUMIFS(Assignments!$X$2:$X$769,Assignments!$A$2:$A$769,$A5,Assignments!$G$2:$G$769,"Active",Assignments!$V$2:$V$769,"&lt;="&amp;L$4,Assignments!$W$2:$W$769,"&gt;="&amp;L$4)+SUMIFS(Assignments!$AA$2:$AA$769,Assignments!$A$2:$A$769,$A5,Assignments!$G$2:$G$769,"Active",Assignments!$Y$2:$Y$769,"&lt;="&amp;L$4,Assignments!$Z$2:$Z$769,"&gt;="&amp;L$4))</f>
        <v/>
      </c>
      <c r="M5" s="11">
        <f>IF($A5="","",SUMIFS(Assignments!$X$2:$X$769,Assignments!$A$2:$A$769,$A5,Assignments!$G$2:$G$769,"Active",Assignments!$V$2:$V$769,"&lt;="&amp;M$4,Assignments!$W$2:$W$769,"&gt;="&amp;M$4)+SUMIFS(Assignments!$AA$2:$AA$769,Assignments!$A$2:$A$769,$A5,Assignments!$G$2:$G$769,"Active",Assignments!$Y$2:$Y$769,"&lt;="&amp;M$4,Assignments!$Z$2:$Z$769,"&gt;="&amp;M$4))</f>
        <v/>
      </c>
      <c r="N5" s="11">
        <f>IF($A5="","",SUMIFS(Assignments!$X$2:$X$769,Assignments!$A$2:$A$769,$A5,Assignments!$G$2:$G$769,"Active",Assignments!$V$2:$V$769,"&lt;="&amp;N$4,Assignments!$W$2:$W$769,"&gt;="&amp;N$4)+SUMIFS(Assignments!$AA$2:$AA$769,Assignments!$A$2:$A$769,$A5,Assignments!$G$2:$G$769,"Active",Assignments!$Y$2:$Y$769,"&lt;="&amp;N$4,Assignments!$Z$2:$Z$769,"&gt;="&amp;N$4))</f>
        <v/>
      </c>
      <c r="O5" s="11">
        <f>IF($A5="","",SUMIFS(Assignments!$X$2:$X$769,Assignments!$A$2:$A$769,$A5,Assignments!$G$2:$G$769,"Active",Assignments!$V$2:$V$769,"&lt;="&amp;O$4,Assignments!$W$2:$W$769,"&gt;="&amp;O$4)+SUMIFS(Assignments!$AA$2:$AA$769,Assignments!$A$2:$A$769,$A5,Assignments!$G$2:$G$769,"Active",Assignments!$Y$2:$Y$769,"&lt;="&amp;O$4,Assignments!$Z$2:$Z$769,"&gt;="&amp;O$4))</f>
        <v/>
      </c>
      <c r="P5" s="11">
        <f>IF($A5="","",SUMIFS(Assignments!$X$2:$X$769,Assignments!$A$2:$A$769,$A5,Assignments!$G$2:$G$769,"Active",Assignments!$V$2:$V$769,"&lt;="&amp;P$4,Assignments!$W$2:$W$769,"&gt;="&amp;P$4)+SUMIFS(Assignments!$AA$2:$AA$769,Assignments!$A$2:$A$769,$A5,Assignments!$G$2:$G$769,"Active",Assignments!$Y$2:$Y$769,"&lt;="&amp;P$4,Assignments!$Z$2:$Z$769,"&gt;="&amp;P$4))</f>
        <v/>
      </c>
      <c r="Q5" s="11">
        <f>IF($A5="","",SUMIFS(Assignments!$X$2:$X$769,Assignments!$A$2:$A$769,$A5,Assignments!$G$2:$G$769,"Active",Assignments!$V$2:$V$769,"&lt;="&amp;Q$4,Assignments!$W$2:$W$769,"&gt;="&amp;Q$4)+SUMIFS(Assignments!$AA$2:$AA$769,Assignments!$A$2:$A$769,$A5,Assignments!$G$2:$G$769,"Active",Assignments!$Y$2:$Y$769,"&lt;="&amp;Q$4,Assignments!$Z$2:$Z$769,"&gt;="&amp;Q$4))</f>
        <v/>
      </c>
      <c r="R5" s="11">
        <f>IF($A5="","",SUMIFS(Assignments!$X$2:$X$769,Assignments!$A$2:$A$769,$A5,Assignments!$G$2:$G$769,"Active",Assignments!$V$2:$V$769,"&lt;="&amp;R$4,Assignments!$W$2:$W$769,"&gt;="&amp;R$4)+SUMIFS(Assignments!$AA$2:$AA$769,Assignments!$A$2:$A$769,$A5,Assignments!$G$2:$G$769,"Active",Assignments!$Y$2:$Y$769,"&lt;="&amp;R$4,Assignments!$Z$2:$Z$769,"&gt;="&amp;R$4))</f>
        <v/>
      </c>
      <c r="S5" s="11">
        <f>IF($A5="","",SUMIFS(Assignments!$X$2:$X$769,Assignments!$A$2:$A$769,$A5,Assignments!$G$2:$G$769,"Active",Assignments!$V$2:$V$769,"&lt;="&amp;S$4,Assignments!$W$2:$W$769,"&gt;="&amp;S$4)+SUMIFS(Assignments!$AA$2:$AA$769,Assignments!$A$2:$A$769,$A5,Assignments!$G$2:$G$769,"Active",Assignments!$Y$2:$Y$769,"&lt;="&amp;S$4,Assignments!$Z$2:$Z$769,"&gt;="&amp;S$4))</f>
        <v/>
      </c>
      <c r="T5" s="11">
        <f>IF($A5="","",SUMIFS(Assignments!$X$2:$X$769,Assignments!$A$2:$A$769,$A5,Assignments!$G$2:$G$769,"Active",Assignments!$V$2:$V$769,"&lt;="&amp;T$4,Assignments!$W$2:$W$769,"&gt;="&amp;T$4)+SUMIFS(Assignments!$AA$2:$AA$769,Assignments!$A$2:$A$769,$A5,Assignments!$G$2:$G$769,"Active",Assignments!$Y$2:$Y$769,"&lt;="&amp;T$4,Assignments!$Z$2:$Z$769,"&gt;="&amp;T$4))</f>
        <v/>
      </c>
      <c r="U5" s="11">
        <f>IF($A5="","",SUMIFS(Assignments!$X$2:$X$769,Assignments!$A$2:$A$769,$A5,Assignments!$G$2:$G$769,"Active",Assignments!$V$2:$V$769,"&lt;="&amp;U$4,Assignments!$W$2:$W$769,"&gt;="&amp;U$4)+SUMIFS(Assignments!$AA$2:$AA$769,Assignments!$A$2:$A$769,$A5,Assignments!$G$2:$G$769,"Active",Assignments!$Y$2:$Y$769,"&lt;="&amp;U$4,Assignments!$Z$2:$Z$769,"&gt;="&amp;U$4))</f>
        <v/>
      </c>
      <c r="V5" s="11">
        <f>IF($A5="","",SUMIFS(Assignments!$X$2:$X$769,Assignments!$A$2:$A$769,$A5,Assignments!$G$2:$G$769,"Active",Assignments!$V$2:$V$769,"&lt;="&amp;V$4,Assignments!$W$2:$W$769,"&gt;="&amp;V$4)+SUMIFS(Assignments!$AA$2:$AA$769,Assignments!$A$2:$A$769,$A5,Assignments!$G$2:$G$769,"Active",Assignments!$Y$2:$Y$769,"&lt;="&amp;V$4,Assignments!$Z$2:$Z$769,"&gt;="&amp;V$4))</f>
        <v/>
      </c>
      <c r="W5" s="11">
        <f>IF($A5="","",SUMIFS(Assignments!$X$2:$X$769,Assignments!$A$2:$A$769,$A5,Assignments!$G$2:$G$769,"Active",Assignments!$V$2:$V$769,"&lt;="&amp;W$4,Assignments!$W$2:$W$769,"&gt;="&amp;W$4)+SUMIFS(Assignments!$AA$2:$AA$769,Assignments!$A$2:$A$769,$A5,Assignments!$G$2:$G$769,"Active",Assignments!$Y$2:$Y$769,"&lt;="&amp;W$4,Assignments!$Z$2:$Z$769,"&gt;="&amp;W$4))</f>
        <v/>
      </c>
      <c r="X5" s="11">
        <f>IF($A5="","",SUMIFS(Assignments!$X$2:$X$769,Assignments!$A$2:$A$769,$A5,Assignments!$G$2:$G$769,"Active",Assignments!$V$2:$V$769,"&lt;="&amp;X$4,Assignments!$W$2:$W$769,"&gt;="&amp;X$4)+SUMIFS(Assignments!$AA$2:$AA$769,Assignments!$A$2:$A$769,$A5,Assignments!$G$2:$G$769,"Active",Assignments!$Y$2:$Y$769,"&lt;="&amp;X$4,Assignments!$Z$2:$Z$769,"&gt;="&amp;X$4))</f>
        <v/>
      </c>
      <c r="Y5" s="11">
        <f>IF($A5="","",SUMIFS(Assignments!$X$2:$X$769,Assignments!$A$2:$A$769,$A5,Assignments!$G$2:$G$769,"Active",Assignments!$V$2:$V$769,"&lt;="&amp;Y$4,Assignments!$W$2:$W$769,"&gt;="&amp;Y$4)+SUMIFS(Assignments!$AA$2:$AA$769,Assignments!$A$2:$A$769,$A5,Assignments!$G$2:$G$769,"Active",Assignments!$Y$2:$Y$769,"&lt;="&amp;Y$4,Assignments!$Z$2:$Z$769,"&gt;="&amp;Y$4))</f>
        <v/>
      </c>
      <c r="Z5" s="11">
        <f>IF($A5="","",SUMIFS(Assignments!$X$2:$X$769,Assignments!$A$2:$A$769,$A5,Assignments!$G$2:$G$769,"Active",Assignments!$V$2:$V$769,"&lt;="&amp;Z$4,Assignments!$W$2:$W$769,"&gt;="&amp;Z$4)+SUMIFS(Assignments!$AA$2:$AA$769,Assignments!$A$2:$A$769,$A5,Assignments!$G$2:$G$769,"Active",Assignments!$Y$2:$Y$769,"&lt;="&amp;Z$4,Assignments!$Z$2:$Z$769,"&gt;="&amp;Z$4))</f>
        <v/>
      </c>
      <c r="AA5" s="11">
        <f>IF($A5="","",SUMIFS(Assignments!$X$2:$X$769,Assignments!$A$2:$A$769,$A5,Assignments!$G$2:$G$769,"Active",Assignments!$V$2:$V$769,"&lt;="&amp;AA$4,Assignments!$W$2:$W$769,"&gt;="&amp;AA$4)+SUMIFS(Assignments!$AA$2:$AA$769,Assignments!$A$2:$A$769,$A5,Assignments!$G$2:$G$769,"Active",Assignments!$Y$2:$Y$769,"&lt;="&amp;AA$4,Assignments!$Z$2:$Z$769,"&gt;="&amp;AA$4))</f>
        <v/>
      </c>
      <c r="AB5" s="11">
        <f>IF($A5="","",SUMIFS(Assignments!$X$2:$X$769,Assignments!$A$2:$A$769,$A5,Assignments!$G$2:$G$769,"Active",Assignments!$V$2:$V$769,"&lt;="&amp;AB$4,Assignments!$W$2:$W$769,"&gt;="&amp;AB$4)+SUMIFS(Assignments!$AA$2:$AA$769,Assignments!$A$2:$A$769,$A5,Assignments!$G$2:$G$769,"Active",Assignments!$Y$2:$Y$769,"&lt;="&amp;AB$4,Assignments!$Z$2:$Z$769,"&gt;="&amp;AB$4))</f>
        <v/>
      </c>
    </row>
    <row r="6">
      <c r="A6" s="9">
        <f>IF(Roster!$A3="","",Roster!$A3)</f>
        <v/>
      </c>
      <c r="B6" s="10">
        <f>IF($A6="","",IFERROR(INDEX(Roster!$D$2:$D$40,MATCH($A6,Roster!$A$2:$A$40,0)),""))</f>
        <v/>
      </c>
      <c r="C6" s="11">
        <f>IF($A6="","",SUMIFS(Assignments!$X$2:$X$769,Assignments!$A$2:$A$769,$A6,Assignments!$G$2:$G$769,"Active",Assignments!$V$2:$V$769,"&lt;="&amp;C$4,Assignments!$W$2:$W$769,"&gt;="&amp;C$4)+SUMIFS(Assignments!$AA$2:$AA$769,Assignments!$A$2:$A$769,$A6,Assignments!$G$2:$G$769,"Active",Assignments!$Y$2:$Y$769,"&lt;="&amp;C$4,Assignments!$Z$2:$Z$769,"&gt;="&amp;C$4))</f>
        <v/>
      </c>
      <c r="D6" s="11">
        <f>IF($A6="","",SUMIFS(Assignments!$X$2:$X$769,Assignments!$A$2:$A$769,$A6,Assignments!$G$2:$G$769,"Active",Assignments!$V$2:$V$769,"&lt;="&amp;D$4,Assignments!$W$2:$W$769,"&gt;="&amp;D$4)+SUMIFS(Assignments!$AA$2:$AA$769,Assignments!$A$2:$A$769,$A6,Assignments!$G$2:$G$769,"Active",Assignments!$Y$2:$Y$769,"&lt;="&amp;D$4,Assignments!$Z$2:$Z$769,"&gt;="&amp;D$4))</f>
        <v/>
      </c>
      <c r="E6" s="11">
        <f>IF($A6="","",SUMIFS(Assignments!$X$2:$X$769,Assignments!$A$2:$A$769,$A6,Assignments!$G$2:$G$769,"Active",Assignments!$V$2:$V$769,"&lt;="&amp;E$4,Assignments!$W$2:$W$769,"&gt;="&amp;E$4)+SUMIFS(Assignments!$AA$2:$AA$769,Assignments!$A$2:$A$769,$A6,Assignments!$G$2:$G$769,"Active",Assignments!$Y$2:$Y$769,"&lt;="&amp;E$4,Assignments!$Z$2:$Z$769,"&gt;="&amp;E$4))</f>
        <v/>
      </c>
      <c r="F6" s="11">
        <f>IF($A6="","",SUMIFS(Assignments!$X$2:$X$769,Assignments!$A$2:$A$769,$A6,Assignments!$G$2:$G$769,"Active",Assignments!$V$2:$V$769,"&lt;="&amp;F$4,Assignments!$W$2:$W$769,"&gt;="&amp;F$4)+SUMIFS(Assignments!$AA$2:$AA$769,Assignments!$A$2:$A$769,$A6,Assignments!$G$2:$G$769,"Active",Assignments!$Y$2:$Y$769,"&lt;="&amp;F$4,Assignments!$Z$2:$Z$769,"&gt;="&amp;F$4))</f>
        <v/>
      </c>
      <c r="G6" s="11">
        <f>IF($A6="","",SUMIFS(Assignments!$X$2:$X$769,Assignments!$A$2:$A$769,$A6,Assignments!$G$2:$G$769,"Active",Assignments!$V$2:$V$769,"&lt;="&amp;G$4,Assignments!$W$2:$W$769,"&gt;="&amp;G$4)+SUMIFS(Assignments!$AA$2:$AA$769,Assignments!$A$2:$A$769,$A6,Assignments!$G$2:$G$769,"Active",Assignments!$Y$2:$Y$769,"&lt;="&amp;G$4,Assignments!$Z$2:$Z$769,"&gt;="&amp;G$4))</f>
        <v/>
      </c>
      <c r="H6" s="11">
        <f>IF($A6="","",SUMIFS(Assignments!$X$2:$X$769,Assignments!$A$2:$A$769,$A6,Assignments!$G$2:$G$769,"Active",Assignments!$V$2:$V$769,"&lt;="&amp;H$4,Assignments!$W$2:$W$769,"&gt;="&amp;H$4)+SUMIFS(Assignments!$AA$2:$AA$769,Assignments!$A$2:$A$769,$A6,Assignments!$G$2:$G$769,"Active",Assignments!$Y$2:$Y$769,"&lt;="&amp;H$4,Assignments!$Z$2:$Z$769,"&gt;="&amp;H$4))</f>
        <v/>
      </c>
      <c r="I6" s="11">
        <f>IF($A6="","",SUMIFS(Assignments!$X$2:$X$769,Assignments!$A$2:$A$769,$A6,Assignments!$G$2:$G$769,"Active",Assignments!$V$2:$V$769,"&lt;="&amp;I$4,Assignments!$W$2:$W$769,"&gt;="&amp;I$4)+SUMIFS(Assignments!$AA$2:$AA$769,Assignments!$A$2:$A$769,$A6,Assignments!$G$2:$G$769,"Active",Assignments!$Y$2:$Y$769,"&lt;="&amp;I$4,Assignments!$Z$2:$Z$769,"&gt;="&amp;I$4))</f>
        <v/>
      </c>
      <c r="J6" s="11">
        <f>IF($A6="","",SUMIFS(Assignments!$X$2:$X$769,Assignments!$A$2:$A$769,$A6,Assignments!$G$2:$G$769,"Active",Assignments!$V$2:$V$769,"&lt;="&amp;J$4,Assignments!$W$2:$W$769,"&gt;="&amp;J$4)+SUMIFS(Assignments!$AA$2:$AA$769,Assignments!$A$2:$A$769,$A6,Assignments!$G$2:$G$769,"Active",Assignments!$Y$2:$Y$769,"&lt;="&amp;J$4,Assignments!$Z$2:$Z$769,"&gt;="&amp;J$4))</f>
        <v/>
      </c>
      <c r="K6" s="11">
        <f>IF($A6="","",SUMIFS(Assignments!$X$2:$X$769,Assignments!$A$2:$A$769,$A6,Assignments!$G$2:$G$769,"Active",Assignments!$V$2:$V$769,"&lt;="&amp;K$4,Assignments!$W$2:$W$769,"&gt;="&amp;K$4)+SUMIFS(Assignments!$AA$2:$AA$769,Assignments!$A$2:$A$769,$A6,Assignments!$G$2:$G$769,"Active",Assignments!$Y$2:$Y$769,"&lt;="&amp;K$4,Assignments!$Z$2:$Z$769,"&gt;="&amp;K$4))</f>
        <v/>
      </c>
      <c r="L6" s="11">
        <f>IF($A6="","",SUMIFS(Assignments!$X$2:$X$769,Assignments!$A$2:$A$769,$A6,Assignments!$G$2:$G$769,"Active",Assignments!$V$2:$V$769,"&lt;="&amp;L$4,Assignments!$W$2:$W$769,"&gt;="&amp;L$4)+SUMIFS(Assignments!$AA$2:$AA$769,Assignments!$A$2:$A$769,$A6,Assignments!$G$2:$G$769,"Active",Assignments!$Y$2:$Y$769,"&lt;="&amp;L$4,Assignments!$Z$2:$Z$769,"&gt;="&amp;L$4))</f>
        <v/>
      </c>
      <c r="M6" s="11">
        <f>IF($A6="","",SUMIFS(Assignments!$X$2:$X$769,Assignments!$A$2:$A$769,$A6,Assignments!$G$2:$G$769,"Active",Assignments!$V$2:$V$769,"&lt;="&amp;M$4,Assignments!$W$2:$W$769,"&gt;="&amp;M$4)+SUMIFS(Assignments!$AA$2:$AA$769,Assignments!$A$2:$A$769,$A6,Assignments!$G$2:$G$769,"Active",Assignments!$Y$2:$Y$769,"&lt;="&amp;M$4,Assignments!$Z$2:$Z$769,"&gt;="&amp;M$4))</f>
        <v/>
      </c>
      <c r="N6" s="11">
        <f>IF($A6="","",SUMIFS(Assignments!$X$2:$X$769,Assignments!$A$2:$A$769,$A6,Assignments!$G$2:$G$769,"Active",Assignments!$V$2:$V$769,"&lt;="&amp;N$4,Assignments!$W$2:$W$769,"&gt;="&amp;N$4)+SUMIFS(Assignments!$AA$2:$AA$769,Assignments!$A$2:$A$769,$A6,Assignments!$G$2:$G$769,"Active",Assignments!$Y$2:$Y$769,"&lt;="&amp;N$4,Assignments!$Z$2:$Z$769,"&gt;="&amp;N$4))</f>
        <v/>
      </c>
      <c r="O6" s="11">
        <f>IF($A6="","",SUMIFS(Assignments!$X$2:$X$769,Assignments!$A$2:$A$769,$A6,Assignments!$G$2:$G$769,"Active",Assignments!$V$2:$V$769,"&lt;="&amp;O$4,Assignments!$W$2:$W$769,"&gt;="&amp;O$4)+SUMIFS(Assignments!$AA$2:$AA$769,Assignments!$A$2:$A$769,$A6,Assignments!$G$2:$G$769,"Active",Assignments!$Y$2:$Y$769,"&lt;="&amp;O$4,Assignments!$Z$2:$Z$769,"&gt;="&amp;O$4))</f>
        <v/>
      </c>
      <c r="P6" s="11">
        <f>IF($A6="","",SUMIFS(Assignments!$X$2:$X$769,Assignments!$A$2:$A$769,$A6,Assignments!$G$2:$G$769,"Active",Assignments!$V$2:$V$769,"&lt;="&amp;P$4,Assignments!$W$2:$W$769,"&gt;="&amp;P$4)+SUMIFS(Assignments!$AA$2:$AA$769,Assignments!$A$2:$A$769,$A6,Assignments!$G$2:$G$769,"Active",Assignments!$Y$2:$Y$769,"&lt;="&amp;P$4,Assignments!$Z$2:$Z$769,"&gt;="&amp;P$4))</f>
        <v/>
      </c>
      <c r="Q6" s="11">
        <f>IF($A6="","",SUMIFS(Assignments!$X$2:$X$769,Assignments!$A$2:$A$769,$A6,Assignments!$G$2:$G$769,"Active",Assignments!$V$2:$V$769,"&lt;="&amp;Q$4,Assignments!$W$2:$W$769,"&gt;="&amp;Q$4)+SUMIFS(Assignments!$AA$2:$AA$769,Assignments!$A$2:$A$769,$A6,Assignments!$G$2:$G$769,"Active",Assignments!$Y$2:$Y$769,"&lt;="&amp;Q$4,Assignments!$Z$2:$Z$769,"&gt;="&amp;Q$4))</f>
        <v/>
      </c>
      <c r="R6" s="11">
        <f>IF($A6="","",SUMIFS(Assignments!$X$2:$X$769,Assignments!$A$2:$A$769,$A6,Assignments!$G$2:$G$769,"Active",Assignments!$V$2:$V$769,"&lt;="&amp;R$4,Assignments!$W$2:$W$769,"&gt;="&amp;R$4)+SUMIFS(Assignments!$AA$2:$AA$769,Assignments!$A$2:$A$769,$A6,Assignments!$G$2:$G$769,"Active",Assignments!$Y$2:$Y$769,"&lt;="&amp;R$4,Assignments!$Z$2:$Z$769,"&gt;="&amp;R$4))</f>
        <v/>
      </c>
      <c r="S6" s="11">
        <f>IF($A6="","",SUMIFS(Assignments!$X$2:$X$769,Assignments!$A$2:$A$769,$A6,Assignments!$G$2:$G$769,"Active",Assignments!$V$2:$V$769,"&lt;="&amp;S$4,Assignments!$W$2:$W$769,"&gt;="&amp;S$4)+SUMIFS(Assignments!$AA$2:$AA$769,Assignments!$A$2:$A$769,$A6,Assignments!$G$2:$G$769,"Active",Assignments!$Y$2:$Y$769,"&lt;="&amp;S$4,Assignments!$Z$2:$Z$769,"&gt;="&amp;S$4))</f>
        <v/>
      </c>
      <c r="T6" s="11">
        <f>IF($A6="","",SUMIFS(Assignments!$X$2:$X$769,Assignments!$A$2:$A$769,$A6,Assignments!$G$2:$G$769,"Active",Assignments!$V$2:$V$769,"&lt;="&amp;T$4,Assignments!$W$2:$W$769,"&gt;="&amp;T$4)+SUMIFS(Assignments!$AA$2:$AA$769,Assignments!$A$2:$A$769,$A6,Assignments!$G$2:$G$769,"Active",Assignments!$Y$2:$Y$769,"&lt;="&amp;T$4,Assignments!$Z$2:$Z$769,"&gt;="&amp;T$4))</f>
        <v/>
      </c>
      <c r="U6" s="11">
        <f>IF($A6="","",SUMIFS(Assignments!$X$2:$X$769,Assignments!$A$2:$A$769,$A6,Assignments!$G$2:$G$769,"Active",Assignments!$V$2:$V$769,"&lt;="&amp;U$4,Assignments!$W$2:$W$769,"&gt;="&amp;U$4)+SUMIFS(Assignments!$AA$2:$AA$769,Assignments!$A$2:$A$769,$A6,Assignments!$G$2:$G$769,"Active",Assignments!$Y$2:$Y$769,"&lt;="&amp;U$4,Assignments!$Z$2:$Z$769,"&gt;="&amp;U$4))</f>
        <v/>
      </c>
      <c r="V6" s="11">
        <f>IF($A6="","",SUMIFS(Assignments!$X$2:$X$769,Assignments!$A$2:$A$769,$A6,Assignments!$G$2:$G$769,"Active",Assignments!$V$2:$V$769,"&lt;="&amp;V$4,Assignments!$W$2:$W$769,"&gt;="&amp;V$4)+SUMIFS(Assignments!$AA$2:$AA$769,Assignments!$A$2:$A$769,$A6,Assignments!$G$2:$G$769,"Active",Assignments!$Y$2:$Y$769,"&lt;="&amp;V$4,Assignments!$Z$2:$Z$769,"&gt;="&amp;V$4))</f>
        <v/>
      </c>
      <c r="W6" s="11">
        <f>IF($A6="","",SUMIFS(Assignments!$X$2:$X$769,Assignments!$A$2:$A$769,$A6,Assignments!$G$2:$G$769,"Active",Assignments!$V$2:$V$769,"&lt;="&amp;W$4,Assignments!$W$2:$W$769,"&gt;="&amp;W$4)+SUMIFS(Assignments!$AA$2:$AA$769,Assignments!$A$2:$A$769,$A6,Assignments!$G$2:$G$769,"Active",Assignments!$Y$2:$Y$769,"&lt;="&amp;W$4,Assignments!$Z$2:$Z$769,"&gt;="&amp;W$4))</f>
        <v/>
      </c>
      <c r="X6" s="11">
        <f>IF($A6="","",SUMIFS(Assignments!$X$2:$X$769,Assignments!$A$2:$A$769,$A6,Assignments!$G$2:$G$769,"Active",Assignments!$V$2:$V$769,"&lt;="&amp;X$4,Assignments!$W$2:$W$769,"&gt;="&amp;X$4)+SUMIFS(Assignments!$AA$2:$AA$769,Assignments!$A$2:$A$769,$A6,Assignments!$G$2:$G$769,"Active",Assignments!$Y$2:$Y$769,"&lt;="&amp;X$4,Assignments!$Z$2:$Z$769,"&gt;="&amp;X$4))</f>
        <v/>
      </c>
      <c r="Y6" s="11">
        <f>IF($A6="","",SUMIFS(Assignments!$X$2:$X$769,Assignments!$A$2:$A$769,$A6,Assignments!$G$2:$G$769,"Active",Assignments!$V$2:$V$769,"&lt;="&amp;Y$4,Assignments!$W$2:$W$769,"&gt;="&amp;Y$4)+SUMIFS(Assignments!$AA$2:$AA$769,Assignments!$A$2:$A$769,$A6,Assignments!$G$2:$G$769,"Active",Assignments!$Y$2:$Y$769,"&lt;="&amp;Y$4,Assignments!$Z$2:$Z$769,"&gt;="&amp;Y$4))</f>
        <v/>
      </c>
      <c r="Z6" s="11">
        <f>IF($A6="","",SUMIFS(Assignments!$X$2:$X$769,Assignments!$A$2:$A$769,$A6,Assignments!$G$2:$G$769,"Active",Assignments!$V$2:$V$769,"&lt;="&amp;Z$4,Assignments!$W$2:$W$769,"&gt;="&amp;Z$4)+SUMIFS(Assignments!$AA$2:$AA$769,Assignments!$A$2:$A$769,$A6,Assignments!$G$2:$G$769,"Active",Assignments!$Y$2:$Y$769,"&lt;="&amp;Z$4,Assignments!$Z$2:$Z$769,"&gt;="&amp;Z$4))</f>
        <v/>
      </c>
      <c r="AA6" s="11">
        <f>IF($A6="","",SUMIFS(Assignments!$X$2:$X$769,Assignments!$A$2:$A$769,$A6,Assignments!$G$2:$G$769,"Active",Assignments!$V$2:$V$769,"&lt;="&amp;AA$4,Assignments!$W$2:$W$769,"&gt;="&amp;AA$4)+SUMIFS(Assignments!$AA$2:$AA$769,Assignments!$A$2:$A$769,$A6,Assignments!$G$2:$G$769,"Active",Assignments!$Y$2:$Y$769,"&lt;="&amp;AA$4,Assignments!$Z$2:$Z$769,"&gt;="&amp;AA$4))</f>
        <v/>
      </c>
      <c r="AB6" s="11">
        <f>IF($A6="","",SUMIFS(Assignments!$X$2:$X$769,Assignments!$A$2:$A$769,$A6,Assignments!$G$2:$G$769,"Active",Assignments!$V$2:$V$769,"&lt;="&amp;AB$4,Assignments!$W$2:$W$769,"&gt;="&amp;AB$4)+SUMIFS(Assignments!$AA$2:$AA$769,Assignments!$A$2:$A$769,$A6,Assignments!$G$2:$G$769,"Active",Assignments!$Y$2:$Y$769,"&lt;="&amp;AB$4,Assignments!$Z$2:$Z$769,"&gt;="&amp;AB$4))</f>
        <v/>
      </c>
    </row>
    <row r="7">
      <c r="A7" s="9">
        <f>IF(Roster!$A4="","",Roster!$A4)</f>
        <v/>
      </c>
      <c r="B7" s="10">
        <f>IF($A7="","",IFERROR(INDEX(Roster!$D$2:$D$40,MATCH($A7,Roster!$A$2:$A$40,0)),""))</f>
        <v/>
      </c>
      <c r="C7" s="11">
        <f>IF($A7="","",SUMIFS(Assignments!$X$2:$X$769,Assignments!$A$2:$A$769,$A7,Assignments!$G$2:$G$769,"Active",Assignments!$V$2:$V$769,"&lt;="&amp;C$4,Assignments!$W$2:$W$769,"&gt;="&amp;C$4)+SUMIFS(Assignments!$AA$2:$AA$769,Assignments!$A$2:$A$769,$A7,Assignments!$G$2:$G$769,"Active",Assignments!$Y$2:$Y$769,"&lt;="&amp;C$4,Assignments!$Z$2:$Z$769,"&gt;="&amp;C$4))</f>
        <v/>
      </c>
      <c r="D7" s="11">
        <f>IF($A7="","",SUMIFS(Assignments!$X$2:$X$769,Assignments!$A$2:$A$769,$A7,Assignments!$G$2:$G$769,"Active",Assignments!$V$2:$V$769,"&lt;="&amp;D$4,Assignments!$W$2:$W$769,"&gt;="&amp;D$4)+SUMIFS(Assignments!$AA$2:$AA$769,Assignments!$A$2:$A$769,$A7,Assignments!$G$2:$G$769,"Active",Assignments!$Y$2:$Y$769,"&lt;="&amp;D$4,Assignments!$Z$2:$Z$769,"&gt;="&amp;D$4))</f>
        <v/>
      </c>
      <c r="E7" s="11">
        <f>IF($A7="","",SUMIFS(Assignments!$X$2:$X$769,Assignments!$A$2:$A$769,$A7,Assignments!$G$2:$G$769,"Active",Assignments!$V$2:$V$769,"&lt;="&amp;E$4,Assignments!$W$2:$W$769,"&gt;="&amp;E$4)+SUMIFS(Assignments!$AA$2:$AA$769,Assignments!$A$2:$A$769,$A7,Assignments!$G$2:$G$769,"Active",Assignments!$Y$2:$Y$769,"&lt;="&amp;E$4,Assignments!$Z$2:$Z$769,"&gt;="&amp;E$4))</f>
        <v/>
      </c>
      <c r="F7" s="11">
        <f>IF($A7="","",SUMIFS(Assignments!$X$2:$X$769,Assignments!$A$2:$A$769,$A7,Assignments!$G$2:$G$769,"Active",Assignments!$V$2:$V$769,"&lt;="&amp;F$4,Assignments!$W$2:$W$769,"&gt;="&amp;F$4)+SUMIFS(Assignments!$AA$2:$AA$769,Assignments!$A$2:$A$769,$A7,Assignments!$G$2:$G$769,"Active",Assignments!$Y$2:$Y$769,"&lt;="&amp;F$4,Assignments!$Z$2:$Z$769,"&gt;="&amp;F$4))</f>
        <v/>
      </c>
      <c r="G7" s="11">
        <f>IF($A7="","",SUMIFS(Assignments!$X$2:$X$769,Assignments!$A$2:$A$769,$A7,Assignments!$G$2:$G$769,"Active",Assignments!$V$2:$V$769,"&lt;="&amp;G$4,Assignments!$W$2:$W$769,"&gt;="&amp;G$4)+SUMIFS(Assignments!$AA$2:$AA$769,Assignments!$A$2:$A$769,$A7,Assignments!$G$2:$G$769,"Active",Assignments!$Y$2:$Y$769,"&lt;="&amp;G$4,Assignments!$Z$2:$Z$769,"&gt;="&amp;G$4))</f>
        <v/>
      </c>
      <c r="H7" s="11">
        <f>IF($A7="","",SUMIFS(Assignments!$X$2:$X$769,Assignments!$A$2:$A$769,$A7,Assignments!$G$2:$G$769,"Active",Assignments!$V$2:$V$769,"&lt;="&amp;H$4,Assignments!$W$2:$W$769,"&gt;="&amp;H$4)+SUMIFS(Assignments!$AA$2:$AA$769,Assignments!$A$2:$A$769,$A7,Assignments!$G$2:$G$769,"Active",Assignments!$Y$2:$Y$769,"&lt;="&amp;H$4,Assignments!$Z$2:$Z$769,"&gt;="&amp;H$4))</f>
        <v/>
      </c>
      <c r="I7" s="11">
        <f>IF($A7="","",SUMIFS(Assignments!$X$2:$X$769,Assignments!$A$2:$A$769,$A7,Assignments!$G$2:$G$769,"Active",Assignments!$V$2:$V$769,"&lt;="&amp;I$4,Assignments!$W$2:$W$769,"&gt;="&amp;I$4)+SUMIFS(Assignments!$AA$2:$AA$769,Assignments!$A$2:$A$769,$A7,Assignments!$G$2:$G$769,"Active",Assignments!$Y$2:$Y$769,"&lt;="&amp;I$4,Assignments!$Z$2:$Z$769,"&gt;="&amp;I$4))</f>
        <v/>
      </c>
      <c r="J7" s="11">
        <f>IF($A7="","",SUMIFS(Assignments!$X$2:$X$769,Assignments!$A$2:$A$769,$A7,Assignments!$G$2:$G$769,"Active",Assignments!$V$2:$V$769,"&lt;="&amp;J$4,Assignments!$W$2:$W$769,"&gt;="&amp;J$4)+SUMIFS(Assignments!$AA$2:$AA$769,Assignments!$A$2:$A$769,$A7,Assignments!$G$2:$G$769,"Active",Assignments!$Y$2:$Y$769,"&lt;="&amp;J$4,Assignments!$Z$2:$Z$769,"&gt;="&amp;J$4))</f>
        <v/>
      </c>
      <c r="K7" s="11">
        <f>IF($A7="","",SUMIFS(Assignments!$X$2:$X$769,Assignments!$A$2:$A$769,$A7,Assignments!$G$2:$G$769,"Active",Assignments!$V$2:$V$769,"&lt;="&amp;K$4,Assignments!$W$2:$W$769,"&gt;="&amp;K$4)+SUMIFS(Assignments!$AA$2:$AA$769,Assignments!$A$2:$A$769,$A7,Assignments!$G$2:$G$769,"Active",Assignments!$Y$2:$Y$769,"&lt;="&amp;K$4,Assignments!$Z$2:$Z$769,"&gt;="&amp;K$4))</f>
        <v/>
      </c>
      <c r="L7" s="11">
        <f>IF($A7="","",SUMIFS(Assignments!$X$2:$X$769,Assignments!$A$2:$A$769,$A7,Assignments!$G$2:$G$769,"Active",Assignments!$V$2:$V$769,"&lt;="&amp;L$4,Assignments!$W$2:$W$769,"&gt;="&amp;L$4)+SUMIFS(Assignments!$AA$2:$AA$769,Assignments!$A$2:$A$769,$A7,Assignments!$G$2:$G$769,"Active",Assignments!$Y$2:$Y$769,"&lt;="&amp;L$4,Assignments!$Z$2:$Z$769,"&gt;="&amp;L$4))</f>
        <v/>
      </c>
      <c r="M7" s="11">
        <f>IF($A7="","",SUMIFS(Assignments!$X$2:$X$769,Assignments!$A$2:$A$769,$A7,Assignments!$G$2:$G$769,"Active",Assignments!$V$2:$V$769,"&lt;="&amp;M$4,Assignments!$W$2:$W$769,"&gt;="&amp;M$4)+SUMIFS(Assignments!$AA$2:$AA$769,Assignments!$A$2:$A$769,$A7,Assignments!$G$2:$G$769,"Active",Assignments!$Y$2:$Y$769,"&lt;="&amp;M$4,Assignments!$Z$2:$Z$769,"&gt;="&amp;M$4))</f>
        <v/>
      </c>
      <c r="N7" s="11">
        <f>IF($A7="","",SUMIFS(Assignments!$X$2:$X$769,Assignments!$A$2:$A$769,$A7,Assignments!$G$2:$G$769,"Active",Assignments!$V$2:$V$769,"&lt;="&amp;N$4,Assignments!$W$2:$W$769,"&gt;="&amp;N$4)+SUMIFS(Assignments!$AA$2:$AA$769,Assignments!$A$2:$A$769,$A7,Assignments!$G$2:$G$769,"Active",Assignments!$Y$2:$Y$769,"&lt;="&amp;N$4,Assignments!$Z$2:$Z$769,"&gt;="&amp;N$4))</f>
        <v/>
      </c>
      <c r="O7" s="11">
        <f>IF($A7="","",SUMIFS(Assignments!$X$2:$X$769,Assignments!$A$2:$A$769,$A7,Assignments!$G$2:$G$769,"Active",Assignments!$V$2:$V$769,"&lt;="&amp;O$4,Assignments!$W$2:$W$769,"&gt;="&amp;O$4)+SUMIFS(Assignments!$AA$2:$AA$769,Assignments!$A$2:$A$769,$A7,Assignments!$G$2:$G$769,"Active",Assignments!$Y$2:$Y$769,"&lt;="&amp;O$4,Assignments!$Z$2:$Z$769,"&gt;="&amp;O$4))</f>
        <v/>
      </c>
      <c r="P7" s="11">
        <f>IF($A7="","",SUMIFS(Assignments!$X$2:$X$769,Assignments!$A$2:$A$769,$A7,Assignments!$G$2:$G$769,"Active",Assignments!$V$2:$V$769,"&lt;="&amp;P$4,Assignments!$W$2:$W$769,"&gt;="&amp;P$4)+SUMIFS(Assignments!$AA$2:$AA$769,Assignments!$A$2:$A$769,$A7,Assignments!$G$2:$G$769,"Active",Assignments!$Y$2:$Y$769,"&lt;="&amp;P$4,Assignments!$Z$2:$Z$769,"&gt;="&amp;P$4))</f>
        <v/>
      </c>
      <c r="Q7" s="11">
        <f>IF($A7="","",SUMIFS(Assignments!$X$2:$X$769,Assignments!$A$2:$A$769,$A7,Assignments!$G$2:$G$769,"Active",Assignments!$V$2:$V$769,"&lt;="&amp;Q$4,Assignments!$W$2:$W$769,"&gt;="&amp;Q$4)+SUMIFS(Assignments!$AA$2:$AA$769,Assignments!$A$2:$A$769,$A7,Assignments!$G$2:$G$769,"Active",Assignments!$Y$2:$Y$769,"&lt;="&amp;Q$4,Assignments!$Z$2:$Z$769,"&gt;="&amp;Q$4))</f>
        <v/>
      </c>
      <c r="R7" s="11">
        <f>IF($A7="","",SUMIFS(Assignments!$X$2:$X$769,Assignments!$A$2:$A$769,$A7,Assignments!$G$2:$G$769,"Active",Assignments!$V$2:$V$769,"&lt;="&amp;R$4,Assignments!$W$2:$W$769,"&gt;="&amp;R$4)+SUMIFS(Assignments!$AA$2:$AA$769,Assignments!$A$2:$A$769,$A7,Assignments!$G$2:$G$769,"Active",Assignments!$Y$2:$Y$769,"&lt;="&amp;R$4,Assignments!$Z$2:$Z$769,"&gt;="&amp;R$4))</f>
        <v/>
      </c>
      <c r="S7" s="11">
        <f>IF($A7="","",SUMIFS(Assignments!$X$2:$X$769,Assignments!$A$2:$A$769,$A7,Assignments!$G$2:$G$769,"Active",Assignments!$V$2:$V$769,"&lt;="&amp;S$4,Assignments!$W$2:$W$769,"&gt;="&amp;S$4)+SUMIFS(Assignments!$AA$2:$AA$769,Assignments!$A$2:$A$769,$A7,Assignments!$G$2:$G$769,"Active",Assignments!$Y$2:$Y$769,"&lt;="&amp;S$4,Assignments!$Z$2:$Z$769,"&gt;="&amp;S$4))</f>
        <v/>
      </c>
      <c r="T7" s="11">
        <f>IF($A7="","",SUMIFS(Assignments!$X$2:$X$769,Assignments!$A$2:$A$769,$A7,Assignments!$G$2:$G$769,"Active",Assignments!$V$2:$V$769,"&lt;="&amp;T$4,Assignments!$W$2:$W$769,"&gt;="&amp;T$4)+SUMIFS(Assignments!$AA$2:$AA$769,Assignments!$A$2:$A$769,$A7,Assignments!$G$2:$G$769,"Active",Assignments!$Y$2:$Y$769,"&lt;="&amp;T$4,Assignments!$Z$2:$Z$769,"&gt;="&amp;T$4))</f>
        <v/>
      </c>
      <c r="U7" s="11">
        <f>IF($A7="","",SUMIFS(Assignments!$X$2:$X$769,Assignments!$A$2:$A$769,$A7,Assignments!$G$2:$G$769,"Active",Assignments!$V$2:$V$769,"&lt;="&amp;U$4,Assignments!$W$2:$W$769,"&gt;="&amp;U$4)+SUMIFS(Assignments!$AA$2:$AA$769,Assignments!$A$2:$A$769,$A7,Assignments!$G$2:$G$769,"Active",Assignments!$Y$2:$Y$769,"&lt;="&amp;U$4,Assignments!$Z$2:$Z$769,"&gt;="&amp;U$4))</f>
        <v/>
      </c>
      <c r="V7" s="11">
        <f>IF($A7="","",SUMIFS(Assignments!$X$2:$X$769,Assignments!$A$2:$A$769,$A7,Assignments!$G$2:$G$769,"Active",Assignments!$V$2:$V$769,"&lt;="&amp;V$4,Assignments!$W$2:$W$769,"&gt;="&amp;V$4)+SUMIFS(Assignments!$AA$2:$AA$769,Assignments!$A$2:$A$769,$A7,Assignments!$G$2:$G$769,"Active",Assignments!$Y$2:$Y$769,"&lt;="&amp;V$4,Assignments!$Z$2:$Z$769,"&gt;="&amp;V$4))</f>
        <v/>
      </c>
      <c r="W7" s="11">
        <f>IF($A7="","",SUMIFS(Assignments!$X$2:$X$769,Assignments!$A$2:$A$769,$A7,Assignments!$G$2:$G$769,"Active",Assignments!$V$2:$V$769,"&lt;="&amp;W$4,Assignments!$W$2:$W$769,"&gt;="&amp;W$4)+SUMIFS(Assignments!$AA$2:$AA$769,Assignments!$A$2:$A$769,$A7,Assignments!$G$2:$G$769,"Active",Assignments!$Y$2:$Y$769,"&lt;="&amp;W$4,Assignments!$Z$2:$Z$769,"&gt;="&amp;W$4))</f>
        <v/>
      </c>
      <c r="X7" s="11">
        <f>IF($A7="","",SUMIFS(Assignments!$X$2:$X$769,Assignments!$A$2:$A$769,$A7,Assignments!$G$2:$G$769,"Active",Assignments!$V$2:$V$769,"&lt;="&amp;X$4,Assignments!$W$2:$W$769,"&gt;="&amp;X$4)+SUMIFS(Assignments!$AA$2:$AA$769,Assignments!$A$2:$A$769,$A7,Assignments!$G$2:$G$769,"Active",Assignments!$Y$2:$Y$769,"&lt;="&amp;X$4,Assignments!$Z$2:$Z$769,"&gt;="&amp;X$4))</f>
        <v/>
      </c>
      <c r="Y7" s="11">
        <f>IF($A7="","",SUMIFS(Assignments!$X$2:$X$769,Assignments!$A$2:$A$769,$A7,Assignments!$G$2:$G$769,"Active",Assignments!$V$2:$V$769,"&lt;="&amp;Y$4,Assignments!$W$2:$W$769,"&gt;="&amp;Y$4)+SUMIFS(Assignments!$AA$2:$AA$769,Assignments!$A$2:$A$769,$A7,Assignments!$G$2:$G$769,"Active",Assignments!$Y$2:$Y$769,"&lt;="&amp;Y$4,Assignments!$Z$2:$Z$769,"&gt;="&amp;Y$4))</f>
        <v/>
      </c>
      <c r="Z7" s="11">
        <f>IF($A7="","",SUMIFS(Assignments!$X$2:$X$769,Assignments!$A$2:$A$769,$A7,Assignments!$G$2:$G$769,"Active",Assignments!$V$2:$V$769,"&lt;="&amp;Z$4,Assignments!$W$2:$W$769,"&gt;="&amp;Z$4)+SUMIFS(Assignments!$AA$2:$AA$769,Assignments!$A$2:$A$769,$A7,Assignments!$G$2:$G$769,"Active",Assignments!$Y$2:$Y$769,"&lt;="&amp;Z$4,Assignments!$Z$2:$Z$769,"&gt;="&amp;Z$4))</f>
        <v/>
      </c>
      <c r="AA7" s="11">
        <f>IF($A7="","",SUMIFS(Assignments!$X$2:$X$769,Assignments!$A$2:$A$769,$A7,Assignments!$G$2:$G$769,"Active",Assignments!$V$2:$V$769,"&lt;="&amp;AA$4,Assignments!$W$2:$W$769,"&gt;="&amp;AA$4)+SUMIFS(Assignments!$AA$2:$AA$769,Assignments!$A$2:$A$769,$A7,Assignments!$G$2:$G$769,"Active",Assignments!$Y$2:$Y$769,"&lt;="&amp;AA$4,Assignments!$Z$2:$Z$769,"&gt;="&amp;AA$4))</f>
        <v/>
      </c>
      <c r="AB7" s="11">
        <f>IF($A7="","",SUMIFS(Assignments!$X$2:$X$769,Assignments!$A$2:$A$769,$A7,Assignments!$G$2:$G$769,"Active",Assignments!$V$2:$V$769,"&lt;="&amp;AB$4,Assignments!$W$2:$W$769,"&gt;="&amp;AB$4)+SUMIFS(Assignments!$AA$2:$AA$769,Assignments!$A$2:$A$769,$A7,Assignments!$G$2:$G$769,"Active",Assignments!$Y$2:$Y$769,"&lt;="&amp;AB$4,Assignments!$Z$2:$Z$769,"&gt;="&amp;AB$4))</f>
        <v/>
      </c>
    </row>
    <row r="8">
      <c r="A8" s="9">
        <f>IF(Roster!$A5="","",Roster!$A5)</f>
        <v/>
      </c>
      <c r="B8" s="10">
        <f>IF($A8="","",IFERROR(INDEX(Roster!$D$2:$D$40,MATCH($A8,Roster!$A$2:$A$40,0)),""))</f>
        <v/>
      </c>
      <c r="C8" s="11">
        <f>IF($A8="","",SUMIFS(Assignments!$X$2:$X$769,Assignments!$A$2:$A$769,$A8,Assignments!$G$2:$G$769,"Active",Assignments!$V$2:$V$769,"&lt;="&amp;C$4,Assignments!$W$2:$W$769,"&gt;="&amp;C$4)+SUMIFS(Assignments!$AA$2:$AA$769,Assignments!$A$2:$A$769,$A8,Assignments!$G$2:$G$769,"Active",Assignments!$Y$2:$Y$769,"&lt;="&amp;C$4,Assignments!$Z$2:$Z$769,"&gt;="&amp;C$4))</f>
        <v/>
      </c>
      <c r="D8" s="11">
        <f>IF($A8="","",SUMIFS(Assignments!$X$2:$X$769,Assignments!$A$2:$A$769,$A8,Assignments!$G$2:$G$769,"Active",Assignments!$V$2:$V$769,"&lt;="&amp;D$4,Assignments!$W$2:$W$769,"&gt;="&amp;D$4)+SUMIFS(Assignments!$AA$2:$AA$769,Assignments!$A$2:$A$769,$A8,Assignments!$G$2:$G$769,"Active",Assignments!$Y$2:$Y$769,"&lt;="&amp;D$4,Assignments!$Z$2:$Z$769,"&gt;="&amp;D$4))</f>
        <v/>
      </c>
      <c r="E8" s="11">
        <f>IF($A8="","",SUMIFS(Assignments!$X$2:$X$769,Assignments!$A$2:$A$769,$A8,Assignments!$G$2:$G$769,"Active",Assignments!$V$2:$V$769,"&lt;="&amp;E$4,Assignments!$W$2:$W$769,"&gt;="&amp;E$4)+SUMIFS(Assignments!$AA$2:$AA$769,Assignments!$A$2:$A$769,$A8,Assignments!$G$2:$G$769,"Active",Assignments!$Y$2:$Y$769,"&lt;="&amp;E$4,Assignments!$Z$2:$Z$769,"&gt;="&amp;E$4))</f>
        <v/>
      </c>
      <c r="F8" s="11">
        <f>IF($A8="","",SUMIFS(Assignments!$X$2:$X$769,Assignments!$A$2:$A$769,$A8,Assignments!$G$2:$G$769,"Active",Assignments!$V$2:$V$769,"&lt;="&amp;F$4,Assignments!$W$2:$W$769,"&gt;="&amp;F$4)+SUMIFS(Assignments!$AA$2:$AA$769,Assignments!$A$2:$A$769,$A8,Assignments!$G$2:$G$769,"Active",Assignments!$Y$2:$Y$769,"&lt;="&amp;F$4,Assignments!$Z$2:$Z$769,"&gt;="&amp;F$4))</f>
        <v/>
      </c>
      <c r="G8" s="11">
        <f>IF($A8="","",SUMIFS(Assignments!$X$2:$X$769,Assignments!$A$2:$A$769,$A8,Assignments!$G$2:$G$769,"Active",Assignments!$V$2:$V$769,"&lt;="&amp;G$4,Assignments!$W$2:$W$769,"&gt;="&amp;G$4)+SUMIFS(Assignments!$AA$2:$AA$769,Assignments!$A$2:$A$769,$A8,Assignments!$G$2:$G$769,"Active",Assignments!$Y$2:$Y$769,"&lt;="&amp;G$4,Assignments!$Z$2:$Z$769,"&gt;="&amp;G$4))</f>
        <v/>
      </c>
      <c r="H8" s="11">
        <f>IF($A8="","",SUMIFS(Assignments!$X$2:$X$769,Assignments!$A$2:$A$769,$A8,Assignments!$G$2:$G$769,"Active",Assignments!$V$2:$V$769,"&lt;="&amp;H$4,Assignments!$W$2:$W$769,"&gt;="&amp;H$4)+SUMIFS(Assignments!$AA$2:$AA$769,Assignments!$A$2:$A$769,$A8,Assignments!$G$2:$G$769,"Active",Assignments!$Y$2:$Y$769,"&lt;="&amp;H$4,Assignments!$Z$2:$Z$769,"&gt;="&amp;H$4))</f>
        <v/>
      </c>
      <c r="I8" s="11">
        <f>IF($A8="","",SUMIFS(Assignments!$X$2:$X$769,Assignments!$A$2:$A$769,$A8,Assignments!$G$2:$G$769,"Active",Assignments!$V$2:$V$769,"&lt;="&amp;I$4,Assignments!$W$2:$W$769,"&gt;="&amp;I$4)+SUMIFS(Assignments!$AA$2:$AA$769,Assignments!$A$2:$A$769,$A8,Assignments!$G$2:$G$769,"Active",Assignments!$Y$2:$Y$769,"&lt;="&amp;I$4,Assignments!$Z$2:$Z$769,"&gt;="&amp;I$4))</f>
        <v/>
      </c>
      <c r="J8" s="11">
        <f>IF($A8="","",SUMIFS(Assignments!$X$2:$X$769,Assignments!$A$2:$A$769,$A8,Assignments!$G$2:$G$769,"Active",Assignments!$V$2:$V$769,"&lt;="&amp;J$4,Assignments!$W$2:$W$769,"&gt;="&amp;J$4)+SUMIFS(Assignments!$AA$2:$AA$769,Assignments!$A$2:$A$769,$A8,Assignments!$G$2:$G$769,"Active",Assignments!$Y$2:$Y$769,"&lt;="&amp;J$4,Assignments!$Z$2:$Z$769,"&gt;="&amp;J$4))</f>
        <v/>
      </c>
      <c r="K8" s="11">
        <f>IF($A8="","",SUMIFS(Assignments!$X$2:$X$769,Assignments!$A$2:$A$769,$A8,Assignments!$G$2:$G$769,"Active",Assignments!$V$2:$V$769,"&lt;="&amp;K$4,Assignments!$W$2:$W$769,"&gt;="&amp;K$4)+SUMIFS(Assignments!$AA$2:$AA$769,Assignments!$A$2:$A$769,$A8,Assignments!$G$2:$G$769,"Active",Assignments!$Y$2:$Y$769,"&lt;="&amp;K$4,Assignments!$Z$2:$Z$769,"&gt;="&amp;K$4))</f>
        <v/>
      </c>
      <c r="L8" s="11">
        <f>IF($A8="","",SUMIFS(Assignments!$X$2:$X$769,Assignments!$A$2:$A$769,$A8,Assignments!$G$2:$G$769,"Active",Assignments!$V$2:$V$769,"&lt;="&amp;L$4,Assignments!$W$2:$W$769,"&gt;="&amp;L$4)+SUMIFS(Assignments!$AA$2:$AA$769,Assignments!$A$2:$A$769,$A8,Assignments!$G$2:$G$769,"Active",Assignments!$Y$2:$Y$769,"&lt;="&amp;L$4,Assignments!$Z$2:$Z$769,"&gt;="&amp;L$4))</f>
        <v/>
      </c>
      <c r="M8" s="11">
        <f>IF($A8="","",SUMIFS(Assignments!$X$2:$X$769,Assignments!$A$2:$A$769,$A8,Assignments!$G$2:$G$769,"Active",Assignments!$V$2:$V$769,"&lt;="&amp;M$4,Assignments!$W$2:$W$769,"&gt;="&amp;M$4)+SUMIFS(Assignments!$AA$2:$AA$769,Assignments!$A$2:$A$769,$A8,Assignments!$G$2:$G$769,"Active",Assignments!$Y$2:$Y$769,"&lt;="&amp;M$4,Assignments!$Z$2:$Z$769,"&gt;="&amp;M$4))</f>
        <v/>
      </c>
      <c r="N8" s="11">
        <f>IF($A8="","",SUMIFS(Assignments!$X$2:$X$769,Assignments!$A$2:$A$769,$A8,Assignments!$G$2:$G$769,"Active",Assignments!$V$2:$V$769,"&lt;="&amp;N$4,Assignments!$W$2:$W$769,"&gt;="&amp;N$4)+SUMIFS(Assignments!$AA$2:$AA$769,Assignments!$A$2:$A$769,$A8,Assignments!$G$2:$G$769,"Active",Assignments!$Y$2:$Y$769,"&lt;="&amp;N$4,Assignments!$Z$2:$Z$769,"&gt;="&amp;N$4))</f>
        <v/>
      </c>
      <c r="O8" s="11">
        <f>IF($A8="","",SUMIFS(Assignments!$X$2:$X$769,Assignments!$A$2:$A$769,$A8,Assignments!$G$2:$G$769,"Active",Assignments!$V$2:$V$769,"&lt;="&amp;O$4,Assignments!$W$2:$W$769,"&gt;="&amp;O$4)+SUMIFS(Assignments!$AA$2:$AA$769,Assignments!$A$2:$A$769,$A8,Assignments!$G$2:$G$769,"Active",Assignments!$Y$2:$Y$769,"&lt;="&amp;O$4,Assignments!$Z$2:$Z$769,"&gt;="&amp;O$4))</f>
        <v/>
      </c>
      <c r="P8" s="11">
        <f>IF($A8="","",SUMIFS(Assignments!$X$2:$X$769,Assignments!$A$2:$A$769,$A8,Assignments!$G$2:$G$769,"Active",Assignments!$V$2:$V$769,"&lt;="&amp;P$4,Assignments!$W$2:$W$769,"&gt;="&amp;P$4)+SUMIFS(Assignments!$AA$2:$AA$769,Assignments!$A$2:$A$769,$A8,Assignments!$G$2:$G$769,"Active",Assignments!$Y$2:$Y$769,"&lt;="&amp;P$4,Assignments!$Z$2:$Z$769,"&gt;="&amp;P$4))</f>
        <v/>
      </c>
      <c r="Q8" s="11">
        <f>IF($A8="","",SUMIFS(Assignments!$X$2:$X$769,Assignments!$A$2:$A$769,$A8,Assignments!$G$2:$G$769,"Active",Assignments!$V$2:$V$769,"&lt;="&amp;Q$4,Assignments!$W$2:$W$769,"&gt;="&amp;Q$4)+SUMIFS(Assignments!$AA$2:$AA$769,Assignments!$A$2:$A$769,$A8,Assignments!$G$2:$G$769,"Active",Assignments!$Y$2:$Y$769,"&lt;="&amp;Q$4,Assignments!$Z$2:$Z$769,"&gt;="&amp;Q$4))</f>
        <v/>
      </c>
      <c r="R8" s="11">
        <f>IF($A8="","",SUMIFS(Assignments!$X$2:$X$769,Assignments!$A$2:$A$769,$A8,Assignments!$G$2:$G$769,"Active",Assignments!$V$2:$V$769,"&lt;="&amp;R$4,Assignments!$W$2:$W$769,"&gt;="&amp;R$4)+SUMIFS(Assignments!$AA$2:$AA$769,Assignments!$A$2:$A$769,$A8,Assignments!$G$2:$G$769,"Active",Assignments!$Y$2:$Y$769,"&lt;="&amp;R$4,Assignments!$Z$2:$Z$769,"&gt;="&amp;R$4))</f>
        <v/>
      </c>
      <c r="S8" s="11">
        <f>IF($A8="","",SUMIFS(Assignments!$X$2:$X$769,Assignments!$A$2:$A$769,$A8,Assignments!$G$2:$G$769,"Active",Assignments!$V$2:$V$769,"&lt;="&amp;S$4,Assignments!$W$2:$W$769,"&gt;="&amp;S$4)+SUMIFS(Assignments!$AA$2:$AA$769,Assignments!$A$2:$A$769,$A8,Assignments!$G$2:$G$769,"Active",Assignments!$Y$2:$Y$769,"&lt;="&amp;S$4,Assignments!$Z$2:$Z$769,"&gt;="&amp;S$4))</f>
        <v/>
      </c>
      <c r="T8" s="11">
        <f>IF($A8="","",SUMIFS(Assignments!$X$2:$X$769,Assignments!$A$2:$A$769,$A8,Assignments!$G$2:$G$769,"Active",Assignments!$V$2:$V$769,"&lt;="&amp;T$4,Assignments!$W$2:$W$769,"&gt;="&amp;T$4)+SUMIFS(Assignments!$AA$2:$AA$769,Assignments!$A$2:$A$769,$A8,Assignments!$G$2:$G$769,"Active",Assignments!$Y$2:$Y$769,"&lt;="&amp;T$4,Assignments!$Z$2:$Z$769,"&gt;="&amp;T$4))</f>
        <v/>
      </c>
      <c r="U8" s="11">
        <f>IF($A8="","",SUMIFS(Assignments!$X$2:$X$769,Assignments!$A$2:$A$769,$A8,Assignments!$G$2:$G$769,"Active",Assignments!$V$2:$V$769,"&lt;="&amp;U$4,Assignments!$W$2:$W$769,"&gt;="&amp;U$4)+SUMIFS(Assignments!$AA$2:$AA$769,Assignments!$A$2:$A$769,$A8,Assignments!$G$2:$G$769,"Active",Assignments!$Y$2:$Y$769,"&lt;="&amp;U$4,Assignments!$Z$2:$Z$769,"&gt;="&amp;U$4))</f>
        <v/>
      </c>
      <c r="V8" s="11">
        <f>IF($A8="","",SUMIFS(Assignments!$X$2:$X$769,Assignments!$A$2:$A$769,$A8,Assignments!$G$2:$G$769,"Active",Assignments!$V$2:$V$769,"&lt;="&amp;V$4,Assignments!$W$2:$W$769,"&gt;="&amp;V$4)+SUMIFS(Assignments!$AA$2:$AA$769,Assignments!$A$2:$A$769,$A8,Assignments!$G$2:$G$769,"Active",Assignments!$Y$2:$Y$769,"&lt;="&amp;V$4,Assignments!$Z$2:$Z$769,"&gt;="&amp;V$4))</f>
        <v/>
      </c>
      <c r="W8" s="11">
        <f>IF($A8="","",SUMIFS(Assignments!$X$2:$X$769,Assignments!$A$2:$A$769,$A8,Assignments!$G$2:$G$769,"Active",Assignments!$V$2:$V$769,"&lt;="&amp;W$4,Assignments!$W$2:$W$769,"&gt;="&amp;W$4)+SUMIFS(Assignments!$AA$2:$AA$769,Assignments!$A$2:$A$769,$A8,Assignments!$G$2:$G$769,"Active",Assignments!$Y$2:$Y$769,"&lt;="&amp;W$4,Assignments!$Z$2:$Z$769,"&gt;="&amp;W$4))</f>
        <v/>
      </c>
      <c r="X8" s="11">
        <f>IF($A8="","",SUMIFS(Assignments!$X$2:$X$769,Assignments!$A$2:$A$769,$A8,Assignments!$G$2:$G$769,"Active",Assignments!$V$2:$V$769,"&lt;="&amp;X$4,Assignments!$W$2:$W$769,"&gt;="&amp;X$4)+SUMIFS(Assignments!$AA$2:$AA$769,Assignments!$A$2:$A$769,$A8,Assignments!$G$2:$G$769,"Active",Assignments!$Y$2:$Y$769,"&lt;="&amp;X$4,Assignments!$Z$2:$Z$769,"&gt;="&amp;X$4))</f>
        <v/>
      </c>
      <c r="Y8" s="11">
        <f>IF($A8="","",SUMIFS(Assignments!$X$2:$X$769,Assignments!$A$2:$A$769,$A8,Assignments!$G$2:$G$769,"Active",Assignments!$V$2:$V$769,"&lt;="&amp;Y$4,Assignments!$W$2:$W$769,"&gt;="&amp;Y$4)+SUMIFS(Assignments!$AA$2:$AA$769,Assignments!$A$2:$A$769,$A8,Assignments!$G$2:$G$769,"Active",Assignments!$Y$2:$Y$769,"&lt;="&amp;Y$4,Assignments!$Z$2:$Z$769,"&gt;="&amp;Y$4))</f>
        <v/>
      </c>
      <c r="Z8" s="11">
        <f>IF($A8="","",SUMIFS(Assignments!$X$2:$X$769,Assignments!$A$2:$A$769,$A8,Assignments!$G$2:$G$769,"Active",Assignments!$V$2:$V$769,"&lt;="&amp;Z$4,Assignments!$W$2:$W$769,"&gt;="&amp;Z$4)+SUMIFS(Assignments!$AA$2:$AA$769,Assignments!$A$2:$A$769,$A8,Assignments!$G$2:$G$769,"Active",Assignments!$Y$2:$Y$769,"&lt;="&amp;Z$4,Assignments!$Z$2:$Z$769,"&gt;="&amp;Z$4))</f>
        <v/>
      </c>
      <c r="AA8" s="11">
        <f>IF($A8="","",SUMIFS(Assignments!$X$2:$X$769,Assignments!$A$2:$A$769,$A8,Assignments!$G$2:$G$769,"Active",Assignments!$V$2:$V$769,"&lt;="&amp;AA$4,Assignments!$W$2:$W$769,"&gt;="&amp;AA$4)+SUMIFS(Assignments!$AA$2:$AA$769,Assignments!$A$2:$A$769,$A8,Assignments!$G$2:$G$769,"Active",Assignments!$Y$2:$Y$769,"&lt;="&amp;AA$4,Assignments!$Z$2:$Z$769,"&gt;="&amp;AA$4))</f>
        <v/>
      </c>
      <c r="AB8" s="11">
        <f>IF($A8="","",SUMIFS(Assignments!$X$2:$X$769,Assignments!$A$2:$A$769,$A8,Assignments!$G$2:$G$769,"Active",Assignments!$V$2:$V$769,"&lt;="&amp;AB$4,Assignments!$W$2:$W$769,"&gt;="&amp;AB$4)+SUMIFS(Assignments!$AA$2:$AA$769,Assignments!$A$2:$A$769,$A8,Assignments!$G$2:$G$769,"Active",Assignments!$Y$2:$Y$769,"&lt;="&amp;AB$4,Assignments!$Z$2:$Z$769,"&gt;="&amp;AB$4))</f>
        <v/>
      </c>
    </row>
    <row r="9">
      <c r="A9" s="9">
        <f>IF(Roster!$A6="","",Roster!$A6)</f>
        <v/>
      </c>
      <c r="B9" s="10">
        <f>IF($A9="","",IFERROR(INDEX(Roster!$D$2:$D$40,MATCH($A9,Roster!$A$2:$A$40,0)),""))</f>
        <v/>
      </c>
      <c r="C9" s="11">
        <f>IF($A9="","",SUMIFS(Assignments!$X$2:$X$769,Assignments!$A$2:$A$769,$A9,Assignments!$G$2:$G$769,"Active",Assignments!$V$2:$V$769,"&lt;="&amp;C$4,Assignments!$W$2:$W$769,"&gt;="&amp;C$4)+SUMIFS(Assignments!$AA$2:$AA$769,Assignments!$A$2:$A$769,$A9,Assignments!$G$2:$G$769,"Active",Assignments!$Y$2:$Y$769,"&lt;="&amp;C$4,Assignments!$Z$2:$Z$769,"&gt;="&amp;C$4))</f>
        <v/>
      </c>
      <c r="D9" s="11">
        <f>IF($A9="","",SUMIFS(Assignments!$X$2:$X$769,Assignments!$A$2:$A$769,$A9,Assignments!$G$2:$G$769,"Active",Assignments!$V$2:$V$769,"&lt;="&amp;D$4,Assignments!$W$2:$W$769,"&gt;="&amp;D$4)+SUMIFS(Assignments!$AA$2:$AA$769,Assignments!$A$2:$A$769,$A9,Assignments!$G$2:$G$769,"Active",Assignments!$Y$2:$Y$769,"&lt;="&amp;D$4,Assignments!$Z$2:$Z$769,"&gt;="&amp;D$4))</f>
        <v/>
      </c>
      <c r="E9" s="11">
        <f>IF($A9="","",SUMIFS(Assignments!$X$2:$X$769,Assignments!$A$2:$A$769,$A9,Assignments!$G$2:$G$769,"Active",Assignments!$V$2:$V$769,"&lt;="&amp;E$4,Assignments!$W$2:$W$769,"&gt;="&amp;E$4)+SUMIFS(Assignments!$AA$2:$AA$769,Assignments!$A$2:$A$769,$A9,Assignments!$G$2:$G$769,"Active",Assignments!$Y$2:$Y$769,"&lt;="&amp;E$4,Assignments!$Z$2:$Z$769,"&gt;="&amp;E$4))</f>
        <v/>
      </c>
      <c r="F9" s="11">
        <f>IF($A9="","",SUMIFS(Assignments!$X$2:$X$769,Assignments!$A$2:$A$769,$A9,Assignments!$G$2:$G$769,"Active",Assignments!$V$2:$V$769,"&lt;="&amp;F$4,Assignments!$W$2:$W$769,"&gt;="&amp;F$4)+SUMIFS(Assignments!$AA$2:$AA$769,Assignments!$A$2:$A$769,$A9,Assignments!$G$2:$G$769,"Active",Assignments!$Y$2:$Y$769,"&lt;="&amp;F$4,Assignments!$Z$2:$Z$769,"&gt;="&amp;F$4))</f>
        <v/>
      </c>
      <c r="G9" s="11">
        <f>IF($A9="","",SUMIFS(Assignments!$X$2:$X$769,Assignments!$A$2:$A$769,$A9,Assignments!$G$2:$G$769,"Active",Assignments!$V$2:$V$769,"&lt;="&amp;G$4,Assignments!$W$2:$W$769,"&gt;="&amp;G$4)+SUMIFS(Assignments!$AA$2:$AA$769,Assignments!$A$2:$A$769,$A9,Assignments!$G$2:$G$769,"Active",Assignments!$Y$2:$Y$769,"&lt;="&amp;G$4,Assignments!$Z$2:$Z$769,"&gt;="&amp;G$4))</f>
        <v/>
      </c>
      <c r="H9" s="11">
        <f>IF($A9="","",SUMIFS(Assignments!$X$2:$X$769,Assignments!$A$2:$A$769,$A9,Assignments!$G$2:$G$769,"Active",Assignments!$V$2:$V$769,"&lt;="&amp;H$4,Assignments!$W$2:$W$769,"&gt;="&amp;H$4)+SUMIFS(Assignments!$AA$2:$AA$769,Assignments!$A$2:$A$769,$A9,Assignments!$G$2:$G$769,"Active",Assignments!$Y$2:$Y$769,"&lt;="&amp;H$4,Assignments!$Z$2:$Z$769,"&gt;="&amp;H$4))</f>
        <v/>
      </c>
      <c r="I9" s="11">
        <f>IF($A9="","",SUMIFS(Assignments!$X$2:$X$769,Assignments!$A$2:$A$769,$A9,Assignments!$G$2:$G$769,"Active",Assignments!$V$2:$V$769,"&lt;="&amp;I$4,Assignments!$W$2:$W$769,"&gt;="&amp;I$4)+SUMIFS(Assignments!$AA$2:$AA$769,Assignments!$A$2:$A$769,$A9,Assignments!$G$2:$G$769,"Active",Assignments!$Y$2:$Y$769,"&lt;="&amp;I$4,Assignments!$Z$2:$Z$769,"&gt;="&amp;I$4))</f>
        <v/>
      </c>
      <c r="J9" s="11">
        <f>IF($A9="","",SUMIFS(Assignments!$X$2:$X$769,Assignments!$A$2:$A$769,$A9,Assignments!$G$2:$G$769,"Active",Assignments!$V$2:$V$769,"&lt;="&amp;J$4,Assignments!$W$2:$W$769,"&gt;="&amp;J$4)+SUMIFS(Assignments!$AA$2:$AA$769,Assignments!$A$2:$A$769,$A9,Assignments!$G$2:$G$769,"Active",Assignments!$Y$2:$Y$769,"&lt;="&amp;J$4,Assignments!$Z$2:$Z$769,"&gt;="&amp;J$4))</f>
        <v/>
      </c>
      <c r="K9" s="11">
        <f>IF($A9="","",SUMIFS(Assignments!$X$2:$X$769,Assignments!$A$2:$A$769,$A9,Assignments!$G$2:$G$769,"Active",Assignments!$V$2:$V$769,"&lt;="&amp;K$4,Assignments!$W$2:$W$769,"&gt;="&amp;K$4)+SUMIFS(Assignments!$AA$2:$AA$769,Assignments!$A$2:$A$769,$A9,Assignments!$G$2:$G$769,"Active",Assignments!$Y$2:$Y$769,"&lt;="&amp;K$4,Assignments!$Z$2:$Z$769,"&gt;="&amp;K$4))</f>
        <v/>
      </c>
      <c r="L9" s="11">
        <f>IF($A9="","",SUMIFS(Assignments!$X$2:$X$769,Assignments!$A$2:$A$769,$A9,Assignments!$G$2:$G$769,"Active",Assignments!$V$2:$V$769,"&lt;="&amp;L$4,Assignments!$W$2:$W$769,"&gt;="&amp;L$4)+SUMIFS(Assignments!$AA$2:$AA$769,Assignments!$A$2:$A$769,$A9,Assignments!$G$2:$G$769,"Active",Assignments!$Y$2:$Y$769,"&lt;="&amp;L$4,Assignments!$Z$2:$Z$769,"&gt;="&amp;L$4))</f>
        <v/>
      </c>
      <c r="M9" s="11">
        <f>IF($A9="","",SUMIFS(Assignments!$X$2:$X$769,Assignments!$A$2:$A$769,$A9,Assignments!$G$2:$G$769,"Active",Assignments!$V$2:$V$769,"&lt;="&amp;M$4,Assignments!$W$2:$W$769,"&gt;="&amp;M$4)+SUMIFS(Assignments!$AA$2:$AA$769,Assignments!$A$2:$A$769,$A9,Assignments!$G$2:$G$769,"Active",Assignments!$Y$2:$Y$769,"&lt;="&amp;M$4,Assignments!$Z$2:$Z$769,"&gt;="&amp;M$4))</f>
        <v/>
      </c>
      <c r="N9" s="11">
        <f>IF($A9="","",SUMIFS(Assignments!$X$2:$X$769,Assignments!$A$2:$A$769,$A9,Assignments!$G$2:$G$769,"Active",Assignments!$V$2:$V$769,"&lt;="&amp;N$4,Assignments!$W$2:$W$769,"&gt;="&amp;N$4)+SUMIFS(Assignments!$AA$2:$AA$769,Assignments!$A$2:$A$769,$A9,Assignments!$G$2:$G$769,"Active",Assignments!$Y$2:$Y$769,"&lt;="&amp;N$4,Assignments!$Z$2:$Z$769,"&gt;="&amp;N$4))</f>
        <v/>
      </c>
      <c r="O9" s="11">
        <f>IF($A9="","",SUMIFS(Assignments!$X$2:$X$769,Assignments!$A$2:$A$769,$A9,Assignments!$G$2:$G$769,"Active",Assignments!$V$2:$V$769,"&lt;="&amp;O$4,Assignments!$W$2:$W$769,"&gt;="&amp;O$4)+SUMIFS(Assignments!$AA$2:$AA$769,Assignments!$A$2:$A$769,$A9,Assignments!$G$2:$G$769,"Active",Assignments!$Y$2:$Y$769,"&lt;="&amp;O$4,Assignments!$Z$2:$Z$769,"&gt;="&amp;O$4))</f>
        <v/>
      </c>
      <c r="P9" s="11">
        <f>IF($A9="","",SUMIFS(Assignments!$X$2:$X$769,Assignments!$A$2:$A$769,$A9,Assignments!$G$2:$G$769,"Active",Assignments!$V$2:$V$769,"&lt;="&amp;P$4,Assignments!$W$2:$W$769,"&gt;="&amp;P$4)+SUMIFS(Assignments!$AA$2:$AA$769,Assignments!$A$2:$A$769,$A9,Assignments!$G$2:$G$769,"Active",Assignments!$Y$2:$Y$769,"&lt;="&amp;P$4,Assignments!$Z$2:$Z$769,"&gt;="&amp;P$4))</f>
        <v/>
      </c>
      <c r="Q9" s="11">
        <f>IF($A9="","",SUMIFS(Assignments!$X$2:$X$769,Assignments!$A$2:$A$769,$A9,Assignments!$G$2:$G$769,"Active",Assignments!$V$2:$V$769,"&lt;="&amp;Q$4,Assignments!$W$2:$W$769,"&gt;="&amp;Q$4)+SUMIFS(Assignments!$AA$2:$AA$769,Assignments!$A$2:$A$769,$A9,Assignments!$G$2:$G$769,"Active",Assignments!$Y$2:$Y$769,"&lt;="&amp;Q$4,Assignments!$Z$2:$Z$769,"&gt;="&amp;Q$4))</f>
        <v/>
      </c>
      <c r="R9" s="11">
        <f>IF($A9="","",SUMIFS(Assignments!$X$2:$X$769,Assignments!$A$2:$A$769,$A9,Assignments!$G$2:$G$769,"Active",Assignments!$V$2:$V$769,"&lt;="&amp;R$4,Assignments!$W$2:$W$769,"&gt;="&amp;R$4)+SUMIFS(Assignments!$AA$2:$AA$769,Assignments!$A$2:$A$769,$A9,Assignments!$G$2:$G$769,"Active",Assignments!$Y$2:$Y$769,"&lt;="&amp;R$4,Assignments!$Z$2:$Z$769,"&gt;="&amp;R$4))</f>
        <v/>
      </c>
      <c r="S9" s="11">
        <f>IF($A9="","",SUMIFS(Assignments!$X$2:$X$769,Assignments!$A$2:$A$769,$A9,Assignments!$G$2:$G$769,"Active",Assignments!$V$2:$V$769,"&lt;="&amp;S$4,Assignments!$W$2:$W$769,"&gt;="&amp;S$4)+SUMIFS(Assignments!$AA$2:$AA$769,Assignments!$A$2:$A$769,$A9,Assignments!$G$2:$G$769,"Active",Assignments!$Y$2:$Y$769,"&lt;="&amp;S$4,Assignments!$Z$2:$Z$769,"&gt;="&amp;S$4))</f>
        <v/>
      </c>
      <c r="T9" s="11">
        <f>IF($A9="","",SUMIFS(Assignments!$X$2:$X$769,Assignments!$A$2:$A$769,$A9,Assignments!$G$2:$G$769,"Active",Assignments!$V$2:$V$769,"&lt;="&amp;T$4,Assignments!$W$2:$W$769,"&gt;="&amp;T$4)+SUMIFS(Assignments!$AA$2:$AA$769,Assignments!$A$2:$A$769,$A9,Assignments!$G$2:$G$769,"Active",Assignments!$Y$2:$Y$769,"&lt;="&amp;T$4,Assignments!$Z$2:$Z$769,"&gt;="&amp;T$4))</f>
        <v/>
      </c>
      <c r="U9" s="11">
        <f>IF($A9="","",SUMIFS(Assignments!$X$2:$X$769,Assignments!$A$2:$A$769,$A9,Assignments!$G$2:$G$769,"Active",Assignments!$V$2:$V$769,"&lt;="&amp;U$4,Assignments!$W$2:$W$769,"&gt;="&amp;U$4)+SUMIFS(Assignments!$AA$2:$AA$769,Assignments!$A$2:$A$769,$A9,Assignments!$G$2:$G$769,"Active",Assignments!$Y$2:$Y$769,"&lt;="&amp;U$4,Assignments!$Z$2:$Z$769,"&gt;="&amp;U$4))</f>
        <v/>
      </c>
      <c r="V9" s="11">
        <f>IF($A9="","",SUMIFS(Assignments!$X$2:$X$769,Assignments!$A$2:$A$769,$A9,Assignments!$G$2:$G$769,"Active",Assignments!$V$2:$V$769,"&lt;="&amp;V$4,Assignments!$W$2:$W$769,"&gt;="&amp;V$4)+SUMIFS(Assignments!$AA$2:$AA$769,Assignments!$A$2:$A$769,$A9,Assignments!$G$2:$G$769,"Active",Assignments!$Y$2:$Y$769,"&lt;="&amp;V$4,Assignments!$Z$2:$Z$769,"&gt;="&amp;V$4))</f>
        <v/>
      </c>
      <c r="W9" s="11">
        <f>IF($A9="","",SUMIFS(Assignments!$X$2:$X$769,Assignments!$A$2:$A$769,$A9,Assignments!$G$2:$G$769,"Active",Assignments!$V$2:$V$769,"&lt;="&amp;W$4,Assignments!$W$2:$W$769,"&gt;="&amp;W$4)+SUMIFS(Assignments!$AA$2:$AA$769,Assignments!$A$2:$A$769,$A9,Assignments!$G$2:$G$769,"Active",Assignments!$Y$2:$Y$769,"&lt;="&amp;W$4,Assignments!$Z$2:$Z$769,"&gt;="&amp;W$4))</f>
        <v/>
      </c>
      <c r="X9" s="11">
        <f>IF($A9="","",SUMIFS(Assignments!$X$2:$X$769,Assignments!$A$2:$A$769,$A9,Assignments!$G$2:$G$769,"Active",Assignments!$V$2:$V$769,"&lt;="&amp;X$4,Assignments!$W$2:$W$769,"&gt;="&amp;X$4)+SUMIFS(Assignments!$AA$2:$AA$769,Assignments!$A$2:$A$769,$A9,Assignments!$G$2:$G$769,"Active",Assignments!$Y$2:$Y$769,"&lt;="&amp;X$4,Assignments!$Z$2:$Z$769,"&gt;="&amp;X$4))</f>
        <v/>
      </c>
      <c r="Y9" s="11">
        <f>IF($A9="","",SUMIFS(Assignments!$X$2:$X$769,Assignments!$A$2:$A$769,$A9,Assignments!$G$2:$G$769,"Active",Assignments!$V$2:$V$769,"&lt;="&amp;Y$4,Assignments!$W$2:$W$769,"&gt;="&amp;Y$4)+SUMIFS(Assignments!$AA$2:$AA$769,Assignments!$A$2:$A$769,$A9,Assignments!$G$2:$G$769,"Active",Assignments!$Y$2:$Y$769,"&lt;="&amp;Y$4,Assignments!$Z$2:$Z$769,"&gt;="&amp;Y$4))</f>
        <v/>
      </c>
      <c r="Z9" s="11">
        <f>IF($A9="","",SUMIFS(Assignments!$X$2:$X$769,Assignments!$A$2:$A$769,$A9,Assignments!$G$2:$G$769,"Active",Assignments!$V$2:$V$769,"&lt;="&amp;Z$4,Assignments!$W$2:$W$769,"&gt;="&amp;Z$4)+SUMIFS(Assignments!$AA$2:$AA$769,Assignments!$A$2:$A$769,$A9,Assignments!$G$2:$G$769,"Active",Assignments!$Y$2:$Y$769,"&lt;="&amp;Z$4,Assignments!$Z$2:$Z$769,"&gt;="&amp;Z$4))</f>
        <v/>
      </c>
      <c r="AA9" s="11">
        <f>IF($A9="","",SUMIFS(Assignments!$X$2:$X$769,Assignments!$A$2:$A$769,$A9,Assignments!$G$2:$G$769,"Active",Assignments!$V$2:$V$769,"&lt;="&amp;AA$4,Assignments!$W$2:$W$769,"&gt;="&amp;AA$4)+SUMIFS(Assignments!$AA$2:$AA$769,Assignments!$A$2:$A$769,$A9,Assignments!$G$2:$G$769,"Active",Assignments!$Y$2:$Y$769,"&lt;="&amp;AA$4,Assignments!$Z$2:$Z$769,"&gt;="&amp;AA$4))</f>
        <v/>
      </c>
      <c r="AB9" s="11">
        <f>IF($A9="","",SUMIFS(Assignments!$X$2:$X$769,Assignments!$A$2:$A$769,$A9,Assignments!$G$2:$G$769,"Active",Assignments!$V$2:$V$769,"&lt;="&amp;AB$4,Assignments!$W$2:$W$769,"&gt;="&amp;AB$4)+SUMIFS(Assignments!$AA$2:$AA$769,Assignments!$A$2:$A$769,$A9,Assignments!$G$2:$G$769,"Active",Assignments!$Y$2:$Y$769,"&lt;="&amp;AB$4,Assignments!$Z$2:$Z$769,"&gt;="&amp;AB$4))</f>
        <v/>
      </c>
    </row>
    <row r="10">
      <c r="A10" s="9">
        <f>IF(Roster!$A7="","",Roster!$A7)</f>
        <v/>
      </c>
      <c r="B10" s="10">
        <f>IF($A10="","",IFERROR(INDEX(Roster!$D$2:$D$40,MATCH($A10,Roster!$A$2:$A$40,0)),""))</f>
        <v/>
      </c>
      <c r="C10" s="11">
        <f>IF($A10="","",SUMIFS(Assignments!$X$2:$X$769,Assignments!$A$2:$A$769,$A10,Assignments!$G$2:$G$769,"Active",Assignments!$V$2:$V$769,"&lt;="&amp;C$4,Assignments!$W$2:$W$769,"&gt;="&amp;C$4)+SUMIFS(Assignments!$AA$2:$AA$769,Assignments!$A$2:$A$769,$A10,Assignments!$G$2:$G$769,"Active",Assignments!$Y$2:$Y$769,"&lt;="&amp;C$4,Assignments!$Z$2:$Z$769,"&gt;="&amp;C$4))</f>
        <v/>
      </c>
      <c r="D10" s="11">
        <f>IF($A10="","",SUMIFS(Assignments!$X$2:$X$769,Assignments!$A$2:$A$769,$A10,Assignments!$G$2:$G$769,"Active",Assignments!$V$2:$V$769,"&lt;="&amp;D$4,Assignments!$W$2:$W$769,"&gt;="&amp;D$4)+SUMIFS(Assignments!$AA$2:$AA$769,Assignments!$A$2:$A$769,$A10,Assignments!$G$2:$G$769,"Active",Assignments!$Y$2:$Y$769,"&lt;="&amp;D$4,Assignments!$Z$2:$Z$769,"&gt;="&amp;D$4))</f>
        <v/>
      </c>
      <c r="E10" s="11">
        <f>IF($A10="","",SUMIFS(Assignments!$X$2:$X$769,Assignments!$A$2:$A$769,$A10,Assignments!$G$2:$G$769,"Active",Assignments!$V$2:$V$769,"&lt;="&amp;E$4,Assignments!$W$2:$W$769,"&gt;="&amp;E$4)+SUMIFS(Assignments!$AA$2:$AA$769,Assignments!$A$2:$A$769,$A10,Assignments!$G$2:$G$769,"Active",Assignments!$Y$2:$Y$769,"&lt;="&amp;E$4,Assignments!$Z$2:$Z$769,"&gt;="&amp;E$4))</f>
        <v/>
      </c>
      <c r="F10" s="11">
        <f>IF($A10="","",SUMIFS(Assignments!$X$2:$X$769,Assignments!$A$2:$A$769,$A10,Assignments!$G$2:$G$769,"Active",Assignments!$V$2:$V$769,"&lt;="&amp;F$4,Assignments!$W$2:$W$769,"&gt;="&amp;F$4)+SUMIFS(Assignments!$AA$2:$AA$769,Assignments!$A$2:$A$769,$A10,Assignments!$G$2:$G$769,"Active",Assignments!$Y$2:$Y$769,"&lt;="&amp;F$4,Assignments!$Z$2:$Z$769,"&gt;="&amp;F$4))</f>
        <v/>
      </c>
      <c r="G10" s="11">
        <f>IF($A10="","",SUMIFS(Assignments!$X$2:$X$769,Assignments!$A$2:$A$769,$A10,Assignments!$G$2:$G$769,"Active",Assignments!$V$2:$V$769,"&lt;="&amp;G$4,Assignments!$W$2:$W$769,"&gt;="&amp;G$4)+SUMIFS(Assignments!$AA$2:$AA$769,Assignments!$A$2:$A$769,$A10,Assignments!$G$2:$G$769,"Active",Assignments!$Y$2:$Y$769,"&lt;="&amp;G$4,Assignments!$Z$2:$Z$769,"&gt;="&amp;G$4))</f>
        <v/>
      </c>
      <c r="H10" s="11">
        <f>IF($A10="","",SUMIFS(Assignments!$X$2:$X$769,Assignments!$A$2:$A$769,$A10,Assignments!$G$2:$G$769,"Active",Assignments!$V$2:$V$769,"&lt;="&amp;H$4,Assignments!$W$2:$W$769,"&gt;="&amp;H$4)+SUMIFS(Assignments!$AA$2:$AA$769,Assignments!$A$2:$A$769,$A10,Assignments!$G$2:$G$769,"Active",Assignments!$Y$2:$Y$769,"&lt;="&amp;H$4,Assignments!$Z$2:$Z$769,"&gt;="&amp;H$4))</f>
        <v/>
      </c>
      <c r="I10" s="11">
        <f>IF($A10="","",SUMIFS(Assignments!$X$2:$X$769,Assignments!$A$2:$A$769,$A10,Assignments!$G$2:$G$769,"Active",Assignments!$V$2:$V$769,"&lt;="&amp;I$4,Assignments!$W$2:$W$769,"&gt;="&amp;I$4)+SUMIFS(Assignments!$AA$2:$AA$769,Assignments!$A$2:$A$769,$A10,Assignments!$G$2:$G$769,"Active",Assignments!$Y$2:$Y$769,"&lt;="&amp;I$4,Assignments!$Z$2:$Z$769,"&gt;="&amp;I$4))</f>
        <v/>
      </c>
      <c r="J10" s="11">
        <f>IF($A10="","",SUMIFS(Assignments!$X$2:$X$769,Assignments!$A$2:$A$769,$A10,Assignments!$G$2:$G$769,"Active",Assignments!$V$2:$V$769,"&lt;="&amp;J$4,Assignments!$W$2:$W$769,"&gt;="&amp;J$4)+SUMIFS(Assignments!$AA$2:$AA$769,Assignments!$A$2:$A$769,$A10,Assignments!$G$2:$G$769,"Active",Assignments!$Y$2:$Y$769,"&lt;="&amp;J$4,Assignments!$Z$2:$Z$769,"&gt;="&amp;J$4))</f>
        <v/>
      </c>
      <c r="K10" s="11">
        <f>IF($A10="","",SUMIFS(Assignments!$X$2:$X$769,Assignments!$A$2:$A$769,$A10,Assignments!$G$2:$G$769,"Active",Assignments!$V$2:$V$769,"&lt;="&amp;K$4,Assignments!$W$2:$W$769,"&gt;="&amp;K$4)+SUMIFS(Assignments!$AA$2:$AA$769,Assignments!$A$2:$A$769,$A10,Assignments!$G$2:$G$769,"Active",Assignments!$Y$2:$Y$769,"&lt;="&amp;K$4,Assignments!$Z$2:$Z$769,"&gt;="&amp;K$4))</f>
        <v/>
      </c>
      <c r="L10" s="11">
        <f>IF($A10="","",SUMIFS(Assignments!$X$2:$X$769,Assignments!$A$2:$A$769,$A10,Assignments!$G$2:$G$769,"Active",Assignments!$V$2:$V$769,"&lt;="&amp;L$4,Assignments!$W$2:$W$769,"&gt;="&amp;L$4)+SUMIFS(Assignments!$AA$2:$AA$769,Assignments!$A$2:$A$769,$A10,Assignments!$G$2:$G$769,"Active",Assignments!$Y$2:$Y$769,"&lt;="&amp;L$4,Assignments!$Z$2:$Z$769,"&gt;="&amp;L$4))</f>
        <v/>
      </c>
      <c r="M10" s="11">
        <f>IF($A10="","",SUMIFS(Assignments!$X$2:$X$769,Assignments!$A$2:$A$769,$A10,Assignments!$G$2:$G$769,"Active",Assignments!$V$2:$V$769,"&lt;="&amp;M$4,Assignments!$W$2:$W$769,"&gt;="&amp;M$4)+SUMIFS(Assignments!$AA$2:$AA$769,Assignments!$A$2:$A$769,$A10,Assignments!$G$2:$G$769,"Active",Assignments!$Y$2:$Y$769,"&lt;="&amp;M$4,Assignments!$Z$2:$Z$769,"&gt;="&amp;M$4))</f>
        <v/>
      </c>
      <c r="N10" s="11">
        <f>IF($A10="","",SUMIFS(Assignments!$X$2:$X$769,Assignments!$A$2:$A$769,$A10,Assignments!$G$2:$G$769,"Active",Assignments!$V$2:$V$769,"&lt;="&amp;N$4,Assignments!$W$2:$W$769,"&gt;="&amp;N$4)+SUMIFS(Assignments!$AA$2:$AA$769,Assignments!$A$2:$A$769,$A10,Assignments!$G$2:$G$769,"Active",Assignments!$Y$2:$Y$769,"&lt;="&amp;N$4,Assignments!$Z$2:$Z$769,"&gt;="&amp;N$4))</f>
        <v/>
      </c>
      <c r="O10" s="11">
        <f>IF($A10="","",SUMIFS(Assignments!$X$2:$X$769,Assignments!$A$2:$A$769,$A10,Assignments!$G$2:$G$769,"Active",Assignments!$V$2:$V$769,"&lt;="&amp;O$4,Assignments!$W$2:$W$769,"&gt;="&amp;O$4)+SUMIFS(Assignments!$AA$2:$AA$769,Assignments!$A$2:$A$769,$A10,Assignments!$G$2:$G$769,"Active",Assignments!$Y$2:$Y$769,"&lt;="&amp;O$4,Assignments!$Z$2:$Z$769,"&gt;="&amp;O$4))</f>
        <v/>
      </c>
      <c r="P10" s="11">
        <f>IF($A10="","",SUMIFS(Assignments!$X$2:$X$769,Assignments!$A$2:$A$769,$A10,Assignments!$G$2:$G$769,"Active",Assignments!$V$2:$V$769,"&lt;="&amp;P$4,Assignments!$W$2:$W$769,"&gt;="&amp;P$4)+SUMIFS(Assignments!$AA$2:$AA$769,Assignments!$A$2:$A$769,$A10,Assignments!$G$2:$G$769,"Active",Assignments!$Y$2:$Y$769,"&lt;="&amp;P$4,Assignments!$Z$2:$Z$769,"&gt;="&amp;P$4))</f>
        <v/>
      </c>
      <c r="Q10" s="11">
        <f>IF($A10="","",SUMIFS(Assignments!$X$2:$X$769,Assignments!$A$2:$A$769,$A10,Assignments!$G$2:$G$769,"Active",Assignments!$V$2:$V$769,"&lt;="&amp;Q$4,Assignments!$W$2:$W$769,"&gt;="&amp;Q$4)+SUMIFS(Assignments!$AA$2:$AA$769,Assignments!$A$2:$A$769,$A10,Assignments!$G$2:$G$769,"Active",Assignments!$Y$2:$Y$769,"&lt;="&amp;Q$4,Assignments!$Z$2:$Z$769,"&gt;="&amp;Q$4))</f>
        <v/>
      </c>
      <c r="R10" s="11">
        <f>IF($A10="","",SUMIFS(Assignments!$X$2:$X$769,Assignments!$A$2:$A$769,$A10,Assignments!$G$2:$G$769,"Active",Assignments!$V$2:$V$769,"&lt;="&amp;R$4,Assignments!$W$2:$W$769,"&gt;="&amp;R$4)+SUMIFS(Assignments!$AA$2:$AA$769,Assignments!$A$2:$A$769,$A10,Assignments!$G$2:$G$769,"Active",Assignments!$Y$2:$Y$769,"&lt;="&amp;R$4,Assignments!$Z$2:$Z$769,"&gt;="&amp;R$4))</f>
        <v/>
      </c>
      <c r="S10" s="11">
        <f>IF($A10="","",SUMIFS(Assignments!$X$2:$X$769,Assignments!$A$2:$A$769,$A10,Assignments!$G$2:$G$769,"Active",Assignments!$V$2:$V$769,"&lt;="&amp;S$4,Assignments!$W$2:$W$769,"&gt;="&amp;S$4)+SUMIFS(Assignments!$AA$2:$AA$769,Assignments!$A$2:$A$769,$A10,Assignments!$G$2:$G$769,"Active",Assignments!$Y$2:$Y$769,"&lt;="&amp;S$4,Assignments!$Z$2:$Z$769,"&gt;="&amp;S$4))</f>
        <v/>
      </c>
      <c r="T10" s="11">
        <f>IF($A10="","",SUMIFS(Assignments!$X$2:$X$769,Assignments!$A$2:$A$769,$A10,Assignments!$G$2:$G$769,"Active",Assignments!$V$2:$V$769,"&lt;="&amp;T$4,Assignments!$W$2:$W$769,"&gt;="&amp;T$4)+SUMIFS(Assignments!$AA$2:$AA$769,Assignments!$A$2:$A$769,$A10,Assignments!$G$2:$G$769,"Active",Assignments!$Y$2:$Y$769,"&lt;="&amp;T$4,Assignments!$Z$2:$Z$769,"&gt;="&amp;T$4))</f>
        <v/>
      </c>
      <c r="U10" s="11">
        <f>IF($A10="","",SUMIFS(Assignments!$X$2:$X$769,Assignments!$A$2:$A$769,$A10,Assignments!$G$2:$G$769,"Active",Assignments!$V$2:$V$769,"&lt;="&amp;U$4,Assignments!$W$2:$W$769,"&gt;="&amp;U$4)+SUMIFS(Assignments!$AA$2:$AA$769,Assignments!$A$2:$A$769,$A10,Assignments!$G$2:$G$769,"Active",Assignments!$Y$2:$Y$769,"&lt;="&amp;U$4,Assignments!$Z$2:$Z$769,"&gt;="&amp;U$4))</f>
        <v/>
      </c>
      <c r="V10" s="11">
        <f>IF($A10="","",SUMIFS(Assignments!$X$2:$X$769,Assignments!$A$2:$A$769,$A10,Assignments!$G$2:$G$769,"Active",Assignments!$V$2:$V$769,"&lt;="&amp;V$4,Assignments!$W$2:$W$769,"&gt;="&amp;V$4)+SUMIFS(Assignments!$AA$2:$AA$769,Assignments!$A$2:$A$769,$A10,Assignments!$G$2:$G$769,"Active",Assignments!$Y$2:$Y$769,"&lt;="&amp;V$4,Assignments!$Z$2:$Z$769,"&gt;="&amp;V$4))</f>
        <v/>
      </c>
      <c r="W10" s="11">
        <f>IF($A10="","",SUMIFS(Assignments!$X$2:$X$769,Assignments!$A$2:$A$769,$A10,Assignments!$G$2:$G$769,"Active",Assignments!$V$2:$V$769,"&lt;="&amp;W$4,Assignments!$W$2:$W$769,"&gt;="&amp;W$4)+SUMIFS(Assignments!$AA$2:$AA$769,Assignments!$A$2:$A$769,$A10,Assignments!$G$2:$G$769,"Active",Assignments!$Y$2:$Y$769,"&lt;="&amp;W$4,Assignments!$Z$2:$Z$769,"&gt;="&amp;W$4))</f>
        <v/>
      </c>
      <c r="X10" s="11">
        <f>IF($A10="","",SUMIFS(Assignments!$X$2:$X$769,Assignments!$A$2:$A$769,$A10,Assignments!$G$2:$G$769,"Active",Assignments!$V$2:$V$769,"&lt;="&amp;X$4,Assignments!$W$2:$W$769,"&gt;="&amp;X$4)+SUMIFS(Assignments!$AA$2:$AA$769,Assignments!$A$2:$A$769,$A10,Assignments!$G$2:$G$769,"Active",Assignments!$Y$2:$Y$769,"&lt;="&amp;X$4,Assignments!$Z$2:$Z$769,"&gt;="&amp;X$4))</f>
        <v/>
      </c>
      <c r="Y10" s="11">
        <f>IF($A10="","",SUMIFS(Assignments!$X$2:$X$769,Assignments!$A$2:$A$769,$A10,Assignments!$G$2:$G$769,"Active",Assignments!$V$2:$V$769,"&lt;="&amp;Y$4,Assignments!$W$2:$W$769,"&gt;="&amp;Y$4)+SUMIFS(Assignments!$AA$2:$AA$769,Assignments!$A$2:$A$769,$A10,Assignments!$G$2:$G$769,"Active",Assignments!$Y$2:$Y$769,"&lt;="&amp;Y$4,Assignments!$Z$2:$Z$769,"&gt;="&amp;Y$4))</f>
        <v/>
      </c>
      <c r="Z10" s="11">
        <f>IF($A10="","",SUMIFS(Assignments!$X$2:$X$769,Assignments!$A$2:$A$769,$A10,Assignments!$G$2:$G$769,"Active",Assignments!$V$2:$V$769,"&lt;="&amp;Z$4,Assignments!$W$2:$W$769,"&gt;="&amp;Z$4)+SUMIFS(Assignments!$AA$2:$AA$769,Assignments!$A$2:$A$769,$A10,Assignments!$G$2:$G$769,"Active",Assignments!$Y$2:$Y$769,"&lt;="&amp;Z$4,Assignments!$Z$2:$Z$769,"&gt;="&amp;Z$4))</f>
        <v/>
      </c>
      <c r="AA10" s="11">
        <f>IF($A10="","",SUMIFS(Assignments!$X$2:$X$769,Assignments!$A$2:$A$769,$A10,Assignments!$G$2:$G$769,"Active",Assignments!$V$2:$V$769,"&lt;="&amp;AA$4,Assignments!$W$2:$W$769,"&gt;="&amp;AA$4)+SUMIFS(Assignments!$AA$2:$AA$769,Assignments!$A$2:$A$769,$A10,Assignments!$G$2:$G$769,"Active",Assignments!$Y$2:$Y$769,"&lt;="&amp;AA$4,Assignments!$Z$2:$Z$769,"&gt;="&amp;AA$4))</f>
        <v/>
      </c>
      <c r="AB10" s="11">
        <f>IF($A10="","",SUMIFS(Assignments!$X$2:$X$769,Assignments!$A$2:$A$769,$A10,Assignments!$G$2:$G$769,"Active",Assignments!$V$2:$V$769,"&lt;="&amp;AB$4,Assignments!$W$2:$W$769,"&gt;="&amp;AB$4)+SUMIFS(Assignments!$AA$2:$AA$769,Assignments!$A$2:$A$769,$A10,Assignments!$G$2:$G$769,"Active",Assignments!$Y$2:$Y$769,"&lt;="&amp;AB$4,Assignments!$Z$2:$Z$769,"&gt;="&amp;AB$4))</f>
        <v/>
      </c>
    </row>
    <row r="11">
      <c r="A11" s="9">
        <f>IF(Roster!$A8="","",Roster!$A8)</f>
        <v/>
      </c>
      <c r="B11" s="10">
        <f>IF($A11="","",IFERROR(INDEX(Roster!$D$2:$D$40,MATCH($A11,Roster!$A$2:$A$40,0)),""))</f>
        <v/>
      </c>
      <c r="C11" s="11">
        <f>IF($A11="","",SUMIFS(Assignments!$X$2:$X$769,Assignments!$A$2:$A$769,$A11,Assignments!$G$2:$G$769,"Active",Assignments!$V$2:$V$769,"&lt;="&amp;C$4,Assignments!$W$2:$W$769,"&gt;="&amp;C$4)+SUMIFS(Assignments!$AA$2:$AA$769,Assignments!$A$2:$A$769,$A11,Assignments!$G$2:$G$769,"Active",Assignments!$Y$2:$Y$769,"&lt;="&amp;C$4,Assignments!$Z$2:$Z$769,"&gt;="&amp;C$4))</f>
        <v/>
      </c>
      <c r="D11" s="11">
        <f>IF($A11="","",SUMIFS(Assignments!$X$2:$X$769,Assignments!$A$2:$A$769,$A11,Assignments!$G$2:$G$769,"Active",Assignments!$V$2:$V$769,"&lt;="&amp;D$4,Assignments!$W$2:$W$769,"&gt;="&amp;D$4)+SUMIFS(Assignments!$AA$2:$AA$769,Assignments!$A$2:$A$769,$A11,Assignments!$G$2:$G$769,"Active",Assignments!$Y$2:$Y$769,"&lt;="&amp;D$4,Assignments!$Z$2:$Z$769,"&gt;="&amp;D$4))</f>
        <v/>
      </c>
      <c r="E11" s="11">
        <f>IF($A11="","",SUMIFS(Assignments!$X$2:$X$769,Assignments!$A$2:$A$769,$A11,Assignments!$G$2:$G$769,"Active",Assignments!$V$2:$V$769,"&lt;="&amp;E$4,Assignments!$W$2:$W$769,"&gt;="&amp;E$4)+SUMIFS(Assignments!$AA$2:$AA$769,Assignments!$A$2:$A$769,$A11,Assignments!$G$2:$G$769,"Active",Assignments!$Y$2:$Y$769,"&lt;="&amp;E$4,Assignments!$Z$2:$Z$769,"&gt;="&amp;E$4))</f>
        <v/>
      </c>
      <c r="F11" s="11">
        <f>IF($A11="","",SUMIFS(Assignments!$X$2:$X$769,Assignments!$A$2:$A$769,$A11,Assignments!$G$2:$G$769,"Active",Assignments!$V$2:$V$769,"&lt;="&amp;F$4,Assignments!$W$2:$W$769,"&gt;="&amp;F$4)+SUMIFS(Assignments!$AA$2:$AA$769,Assignments!$A$2:$A$769,$A11,Assignments!$G$2:$G$769,"Active",Assignments!$Y$2:$Y$769,"&lt;="&amp;F$4,Assignments!$Z$2:$Z$769,"&gt;="&amp;F$4))</f>
        <v/>
      </c>
      <c r="G11" s="11">
        <f>IF($A11="","",SUMIFS(Assignments!$X$2:$X$769,Assignments!$A$2:$A$769,$A11,Assignments!$G$2:$G$769,"Active",Assignments!$V$2:$V$769,"&lt;="&amp;G$4,Assignments!$W$2:$W$769,"&gt;="&amp;G$4)+SUMIFS(Assignments!$AA$2:$AA$769,Assignments!$A$2:$A$769,$A11,Assignments!$G$2:$G$769,"Active",Assignments!$Y$2:$Y$769,"&lt;="&amp;G$4,Assignments!$Z$2:$Z$769,"&gt;="&amp;G$4))</f>
        <v/>
      </c>
      <c r="H11" s="11">
        <f>IF($A11="","",SUMIFS(Assignments!$X$2:$X$769,Assignments!$A$2:$A$769,$A11,Assignments!$G$2:$G$769,"Active",Assignments!$V$2:$V$769,"&lt;="&amp;H$4,Assignments!$W$2:$W$769,"&gt;="&amp;H$4)+SUMIFS(Assignments!$AA$2:$AA$769,Assignments!$A$2:$A$769,$A11,Assignments!$G$2:$G$769,"Active",Assignments!$Y$2:$Y$769,"&lt;="&amp;H$4,Assignments!$Z$2:$Z$769,"&gt;="&amp;H$4))</f>
        <v/>
      </c>
      <c r="I11" s="11">
        <f>IF($A11="","",SUMIFS(Assignments!$X$2:$X$769,Assignments!$A$2:$A$769,$A11,Assignments!$G$2:$G$769,"Active",Assignments!$V$2:$V$769,"&lt;="&amp;I$4,Assignments!$W$2:$W$769,"&gt;="&amp;I$4)+SUMIFS(Assignments!$AA$2:$AA$769,Assignments!$A$2:$A$769,$A11,Assignments!$G$2:$G$769,"Active",Assignments!$Y$2:$Y$769,"&lt;="&amp;I$4,Assignments!$Z$2:$Z$769,"&gt;="&amp;I$4))</f>
        <v/>
      </c>
      <c r="J11" s="11">
        <f>IF($A11="","",SUMIFS(Assignments!$X$2:$X$769,Assignments!$A$2:$A$769,$A11,Assignments!$G$2:$G$769,"Active",Assignments!$V$2:$V$769,"&lt;="&amp;J$4,Assignments!$W$2:$W$769,"&gt;="&amp;J$4)+SUMIFS(Assignments!$AA$2:$AA$769,Assignments!$A$2:$A$769,$A11,Assignments!$G$2:$G$769,"Active",Assignments!$Y$2:$Y$769,"&lt;="&amp;J$4,Assignments!$Z$2:$Z$769,"&gt;="&amp;J$4))</f>
        <v/>
      </c>
      <c r="K11" s="11">
        <f>IF($A11="","",SUMIFS(Assignments!$X$2:$X$769,Assignments!$A$2:$A$769,$A11,Assignments!$G$2:$G$769,"Active",Assignments!$V$2:$V$769,"&lt;="&amp;K$4,Assignments!$W$2:$W$769,"&gt;="&amp;K$4)+SUMIFS(Assignments!$AA$2:$AA$769,Assignments!$A$2:$A$769,$A11,Assignments!$G$2:$G$769,"Active",Assignments!$Y$2:$Y$769,"&lt;="&amp;K$4,Assignments!$Z$2:$Z$769,"&gt;="&amp;K$4))</f>
        <v/>
      </c>
      <c r="L11" s="11">
        <f>IF($A11="","",SUMIFS(Assignments!$X$2:$X$769,Assignments!$A$2:$A$769,$A11,Assignments!$G$2:$G$769,"Active",Assignments!$V$2:$V$769,"&lt;="&amp;L$4,Assignments!$W$2:$W$769,"&gt;="&amp;L$4)+SUMIFS(Assignments!$AA$2:$AA$769,Assignments!$A$2:$A$769,$A11,Assignments!$G$2:$G$769,"Active",Assignments!$Y$2:$Y$769,"&lt;="&amp;L$4,Assignments!$Z$2:$Z$769,"&gt;="&amp;L$4))</f>
        <v/>
      </c>
      <c r="M11" s="11">
        <f>IF($A11="","",SUMIFS(Assignments!$X$2:$X$769,Assignments!$A$2:$A$769,$A11,Assignments!$G$2:$G$769,"Active",Assignments!$V$2:$V$769,"&lt;="&amp;M$4,Assignments!$W$2:$W$769,"&gt;="&amp;M$4)+SUMIFS(Assignments!$AA$2:$AA$769,Assignments!$A$2:$A$769,$A11,Assignments!$G$2:$G$769,"Active",Assignments!$Y$2:$Y$769,"&lt;="&amp;M$4,Assignments!$Z$2:$Z$769,"&gt;="&amp;M$4))</f>
        <v/>
      </c>
      <c r="N11" s="11">
        <f>IF($A11="","",SUMIFS(Assignments!$X$2:$X$769,Assignments!$A$2:$A$769,$A11,Assignments!$G$2:$G$769,"Active",Assignments!$V$2:$V$769,"&lt;="&amp;N$4,Assignments!$W$2:$W$769,"&gt;="&amp;N$4)+SUMIFS(Assignments!$AA$2:$AA$769,Assignments!$A$2:$A$769,$A11,Assignments!$G$2:$G$769,"Active",Assignments!$Y$2:$Y$769,"&lt;="&amp;N$4,Assignments!$Z$2:$Z$769,"&gt;="&amp;N$4))</f>
        <v/>
      </c>
      <c r="O11" s="11">
        <f>IF($A11="","",SUMIFS(Assignments!$X$2:$X$769,Assignments!$A$2:$A$769,$A11,Assignments!$G$2:$G$769,"Active",Assignments!$V$2:$V$769,"&lt;="&amp;O$4,Assignments!$W$2:$W$769,"&gt;="&amp;O$4)+SUMIFS(Assignments!$AA$2:$AA$769,Assignments!$A$2:$A$769,$A11,Assignments!$G$2:$G$769,"Active",Assignments!$Y$2:$Y$769,"&lt;="&amp;O$4,Assignments!$Z$2:$Z$769,"&gt;="&amp;O$4))</f>
        <v/>
      </c>
      <c r="P11" s="11">
        <f>IF($A11="","",SUMIFS(Assignments!$X$2:$X$769,Assignments!$A$2:$A$769,$A11,Assignments!$G$2:$G$769,"Active",Assignments!$V$2:$V$769,"&lt;="&amp;P$4,Assignments!$W$2:$W$769,"&gt;="&amp;P$4)+SUMIFS(Assignments!$AA$2:$AA$769,Assignments!$A$2:$A$769,$A11,Assignments!$G$2:$G$769,"Active",Assignments!$Y$2:$Y$769,"&lt;="&amp;P$4,Assignments!$Z$2:$Z$769,"&gt;="&amp;P$4))</f>
        <v/>
      </c>
      <c r="Q11" s="11">
        <f>IF($A11="","",SUMIFS(Assignments!$X$2:$X$769,Assignments!$A$2:$A$769,$A11,Assignments!$G$2:$G$769,"Active",Assignments!$V$2:$V$769,"&lt;="&amp;Q$4,Assignments!$W$2:$W$769,"&gt;="&amp;Q$4)+SUMIFS(Assignments!$AA$2:$AA$769,Assignments!$A$2:$A$769,$A11,Assignments!$G$2:$G$769,"Active",Assignments!$Y$2:$Y$769,"&lt;="&amp;Q$4,Assignments!$Z$2:$Z$769,"&gt;="&amp;Q$4))</f>
        <v/>
      </c>
      <c r="R11" s="11">
        <f>IF($A11="","",SUMIFS(Assignments!$X$2:$X$769,Assignments!$A$2:$A$769,$A11,Assignments!$G$2:$G$769,"Active",Assignments!$V$2:$V$769,"&lt;="&amp;R$4,Assignments!$W$2:$W$769,"&gt;="&amp;R$4)+SUMIFS(Assignments!$AA$2:$AA$769,Assignments!$A$2:$A$769,$A11,Assignments!$G$2:$G$769,"Active",Assignments!$Y$2:$Y$769,"&lt;="&amp;R$4,Assignments!$Z$2:$Z$769,"&gt;="&amp;R$4))</f>
        <v/>
      </c>
      <c r="S11" s="11">
        <f>IF($A11="","",SUMIFS(Assignments!$X$2:$X$769,Assignments!$A$2:$A$769,$A11,Assignments!$G$2:$G$769,"Active",Assignments!$V$2:$V$769,"&lt;="&amp;S$4,Assignments!$W$2:$W$769,"&gt;="&amp;S$4)+SUMIFS(Assignments!$AA$2:$AA$769,Assignments!$A$2:$A$769,$A11,Assignments!$G$2:$G$769,"Active",Assignments!$Y$2:$Y$769,"&lt;="&amp;S$4,Assignments!$Z$2:$Z$769,"&gt;="&amp;S$4))</f>
        <v/>
      </c>
      <c r="T11" s="11">
        <f>IF($A11="","",SUMIFS(Assignments!$X$2:$X$769,Assignments!$A$2:$A$769,$A11,Assignments!$G$2:$G$769,"Active",Assignments!$V$2:$V$769,"&lt;="&amp;T$4,Assignments!$W$2:$W$769,"&gt;="&amp;T$4)+SUMIFS(Assignments!$AA$2:$AA$769,Assignments!$A$2:$A$769,$A11,Assignments!$G$2:$G$769,"Active",Assignments!$Y$2:$Y$769,"&lt;="&amp;T$4,Assignments!$Z$2:$Z$769,"&gt;="&amp;T$4))</f>
        <v/>
      </c>
      <c r="U11" s="11">
        <f>IF($A11="","",SUMIFS(Assignments!$X$2:$X$769,Assignments!$A$2:$A$769,$A11,Assignments!$G$2:$G$769,"Active",Assignments!$V$2:$V$769,"&lt;="&amp;U$4,Assignments!$W$2:$W$769,"&gt;="&amp;U$4)+SUMIFS(Assignments!$AA$2:$AA$769,Assignments!$A$2:$A$769,$A11,Assignments!$G$2:$G$769,"Active",Assignments!$Y$2:$Y$769,"&lt;="&amp;U$4,Assignments!$Z$2:$Z$769,"&gt;="&amp;U$4))</f>
        <v/>
      </c>
      <c r="V11" s="11">
        <f>IF($A11="","",SUMIFS(Assignments!$X$2:$X$769,Assignments!$A$2:$A$769,$A11,Assignments!$G$2:$G$769,"Active",Assignments!$V$2:$V$769,"&lt;="&amp;V$4,Assignments!$W$2:$W$769,"&gt;="&amp;V$4)+SUMIFS(Assignments!$AA$2:$AA$769,Assignments!$A$2:$A$769,$A11,Assignments!$G$2:$G$769,"Active",Assignments!$Y$2:$Y$769,"&lt;="&amp;V$4,Assignments!$Z$2:$Z$769,"&gt;="&amp;V$4))</f>
        <v/>
      </c>
      <c r="W11" s="11">
        <f>IF($A11="","",SUMIFS(Assignments!$X$2:$X$769,Assignments!$A$2:$A$769,$A11,Assignments!$G$2:$G$769,"Active",Assignments!$V$2:$V$769,"&lt;="&amp;W$4,Assignments!$W$2:$W$769,"&gt;="&amp;W$4)+SUMIFS(Assignments!$AA$2:$AA$769,Assignments!$A$2:$A$769,$A11,Assignments!$G$2:$G$769,"Active",Assignments!$Y$2:$Y$769,"&lt;="&amp;W$4,Assignments!$Z$2:$Z$769,"&gt;="&amp;W$4))</f>
        <v/>
      </c>
      <c r="X11" s="11">
        <f>IF($A11="","",SUMIFS(Assignments!$X$2:$X$769,Assignments!$A$2:$A$769,$A11,Assignments!$G$2:$G$769,"Active",Assignments!$V$2:$V$769,"&lt;="&amp;X$4,Assignments!$W$2:$W$769,"&gt;="&amp;X$4)+SUMIFS(Assignments!$AA$2:$AA$769,Assignments!$A$2:$A$769,$A11,Assignments!$G$2:$G$769,"Active",Assignments!$Y$2:$Y$769,"&lt;="&amp;X$4,Assignments!$Z$2:$Z$769,"&gt;="&amp;X$4))</f>
        <v/>
      </c>
      <c r="Y11" s="11">
        <f>IF($A11="","",SUMIFS(Assignments!$X$2:$X$769,Assignments!$A$2:$A$769,$A11,Assignments!$G$2:$G$769,"Active",Assignments!$V$2:$V$769,"&lt;="&amp;Y$4,Assignments!$W$2:$W$769,"&gt;="&amp;Y$4)+SUMIFS(Assignments!$AA$2:$AA$769,Assignments!$A$2:$A$769,$A11,Assignments!$G$2:$G$769,"Active",Assignments!$Y$2:$Y$769,"&lt;="&amp;Y$4,Assignments!$Z$2:$Z$769,"&gt;="&amp;Y$4))</f>
        <v/>
      </c>
      <c r="Z11" s="11">
        <f>IF($A11="","",SUMIFS(Assignments!$X$2:$X$769,Assignments!$A$2:$A$769,$A11,Assignments!$G$2:$G$769,"Active",Assignments!$V$2:$V$769,"&lt;="&amp;Z$4,Assignments!$W$2:$W$769,"&gt;="&amp;Z$4)+SUMIFS(Assignments!$AA$2:$AA$769,Assignments!$A$2:$A$769,$A11,Assignments!$G$2:$G$769,"Active",Assignments!$Y$2:$Y$769,"&lt;="&amp;Z$4,Assignments!$Z$2:$Z$769,"&gt;="&amp;Z$4))</f>
        <v/>
      </c>
      <c r="AA11" s="11">
        <f>IF($A11="","",SUMIFS(Assignments!$X$2:$X$769,Assignments!$A$2:$A$769,$A11,Assignments!$G$2:$G$769,"Active",Assignments!$V$2:$V$769,"&lt;="&amp;AA$4,Assignments!$W$2:$W$769,"&gt;="&amp;AA$4)+SUMIFS(Assignments!$AA$2:$AA$769,Assignments!$A$2:$A$769,$A11,Assignments!$G$2:$G$769,"Active",Assignments!$Y$2:$Y$769,"&lt;="&amp;AA$4,Assignments!$Z$2:$Z$769,"&gt;="&amp;AA$4))</f>
        <v/>
      </c>
      <c r="AB11" s="11">
        <f>IF($A11="","",SUMIFS(Assignments!$X$2:$X$769,Assignments!$A$2:$A$769,$A11,Assignments!$G$2:$G$769,"Active",Assignments!$V$2:$V$769,"&lt;="&amp;AB$4,Assignments!$W$2:$W$769,"&gt;="&amp;AB$4)+SUMIFS(Assignments!$AA$2:$AA$769,Assignments!$A$2:$A$769,$A11,Assignments!$G$2:$G$769,"Active",Assignments!$Y$2:$Y$769,"&lt;="&amp;AB$4,Assignments!$Z$2:$Z$769,"&gt;="&amp;AB$4))</f>
        <v/>
      </c>
    </row>
    <row r="12">
      <c r="A12" s="9">
        <f>IF(Roster!$A9="","",Roster!$A9)</f>
        <v/>
      </c>
      <c r="B12" s="10">
        <f>IF($A12="","",IFERROR(INDEX(Roster!$D$2:$D$40,MATCH($A12,Roster!$A$2:$A$40,0)),""))</f>
        <v/>
      </c>
      <c r="C12" s="11">
        <f>IF($A12="","",SUMIFS(Assignments!$X$2:$X$769,Assignments!$A$2:$A$769,$A12,Assignments!$G$2:$G$769,"Active",Assignments!$V$2:$V$769,"&lt;="&amp;C$4,Assignments!$W$2:$W$769,"&gt;="&amp;C$4)+SUMIFS(Assignments!$AA$2:$AA$769,Assignments!$A$2:$A$769,$A12,Assignments!$G$2:$G$769,"Active",Assignments!$Y$2:$Y$769,"&lt;="&amp;C$4,Assignments!$Z$2:$Z$769,"&gt;="&amp;C$4))</f>
        <v/>
      </c>
      <c r="D12" s="11">
        <f>IF($A12="","",SUMIFS(Assignments!$X$2:$X$769,Assignments!$A$2:$A$769,$A12,Assignments!$G$2:$G$769,"Active",Assignments!$V$2:$V$769,"&lt;="&amp;D$4,Assignments!$W$2:$W$769,"&gt;="&amp;D$4)+SUMIFS(Assignments!$AA$2:$AA$769,Assignments!$A$2:$A$769,$A12,Assignments!$G$2:$G$769,"Active",Assignments!$Y$2:$Y$769,"&lt;="&amp;D$4,Assignments!$Z$2:$Z$769,"&gt;="&amp;D$4))</f>
        <v/>
      </c>
      <c r="E12" s="11">
        <f>IF($A12="","",SUMIFS(Assignments!$X$2:$X$769,Assignments!$A$2:$A$769,$A12,Assignments!$G$2:$G$769,"Active",Assignments!$V$2:$V$769,"&lt;="&amp;E$4,Assignments!$W$2:$W$769,"&gt;="&amp;E$4)+SUMIFS(Assignments!$AA$2:$AA$769,Assignments!$A$2:$A$769,$A12,Assignments!$G$2:$G$769,"Active",Assignments!$Y$2:$Y$769,"&lt;="&amp;E$4,Assignments!$Z$2:$Z$769,"&gt;="&amp;E$4))</f>
        <v/>
      </c>
      <c r="F12" s="11">
        <f>IF($A12="","",SUMIFS(Assignments!$X$2:$X$769,Assignments!$A$2:$A$769,$A12,Assignments!$G$2:$G$769,"Active",Assignments!$V$2:$V$769,"&lt;="&amp;F$4,Assignments!$W$2:$W$769,"&gt;="&amp;F$4)+SUMIFS(Assignments!$AA$2:$AA$769,Assignments!$A$2:$A$769,$A12,Assignments!$G$2:$G$769,"Active",Assignments!$Y$2:$Y$769,"&lt;="&amp;F$4,Assignments!$Z$2:$Z$769,"&gt;="&amp;F$4))</f>
        <v/>
      </c>
      <c r="G12" s="11">
        <f>IF($A12="","",SUMIFS(Assignments!$X$2:$X$769,Assignments!$A$2:$A$769,$A12,Assignments!$G$2:$G$769,"Active",Assignments!$V$2:$V$769,"&lt;="&amp;G$4,Assignments!$W$2:$W$769,"&gt;="&amp;G$4)+SUMIFS(Assignments!$AA$2:$AA$769,Assignments!$A$2:$A$769,$A12,Assignments!$G$2:$G$769,"Active",Assignments!$Y$2:$Y$769,"&lt;="&amp;G$4,Assignments!$Z$2:$Z$769,"&gt;="&amp;G$4))</f>
        <v/>
      </c>
      <c r="H12" s="11">
        <f>IF($A12="","",SUMIFS(Assignments!$X$2:$X$769,Assignments!$A$2:$A$769,$A12,Assignments!$G$2:$G$769,"Active",Assignments!$V$2:$V$769,"&lt;="&amp;H$4,Assignments!$W$2:$W$769,"&gt;="&amp;H$4)+SUMIFS(Assignments!$AA$2:$AA$769,Assignments!$A$2:$A$769,$A12,Assignments!$G$2:$G$769,"Active",Assignments!$Y$2:$Y$769,"&lt;="&amp;H$4,Assignments!$Z$2:$Z$769,"&gt;="&amp;H$4))</f>
        <v/>
      </c>
      <c r="I12" s="11">
        <f>IF($A12="","",SUMIFS(Assignments!$X$2:$X$769,Assignments!$A$2:$A$769,$A12,Assignments!$G$2:$G$769,"Active",Assignments!$V$2:$V$769,"&lt;="&amp;I$4,Assignments!$W$2:$W$769,"&gt;="&amp;I$4)+SUMIFS(Assignments!$AA$2:$AA$769,Assignments!$A$2:$A$769,$A12,Assignments!$G$2:$G$769,"Active",Assignments!$Y$2:$Y$769,"&lt;="&amp;I$4,Assignments!$Z$2:$Z$769,"&gt;="&amp;I$4))</f>
        <v/>
      </c>
      <c r="J12" s="11">
        <f>IF($A12="","",SUMIFS(Assignments!$X$2:$X$769,Assignments!$A$2:$A$769,$A12,Assignments!$G$2:$G$769,"Active",Assignments!$V$2:$V$769,"&lt;="&amp;J$4,Assignments!$W$2:$W$769,"&gt;="&amp;J$4)+SUMIFS(Assignments!$AA$2:$AA$769,Assignments!$A$2:$A$769,$A12,Assignments!$G$2:$G$769,"Active",Assignments!$Y$2:$Y$769,"&lt;="&amp;J$4,Assignments!$Z$2:$Z$769,"&gt;="&amp;J$4))</f>
        <v/>
      </c>
      <c r="K12" s="11">
        <f>IF($A12="","",SUMIFS(Assignments!$X$2:$X$769,Assignments!$A$2:$A$769,$A12,Assignments!$G$2:$G$769,"Active",Assignments!$V$2:$V$769,"&lt;="&amp;K$4,Assignments!$W$2:$W$769,"&gt;="&amp;K$4)+SUMIFS(Assignments!$AA$2:$AA$769,Assignments!$A$2:$A$769,$A12,Assignments!$G$2:$G$769,"Active",Assignments!$Y$2:$Y$769,"&lt;="&amp;K$4,Assignments!$Z$2:$Z$769,"&gt;="&amp;K$4))</f>
        <v/>
      </c>
      <c r="L12" s="11">
        <f>IF($A12="","",SUMIFS(Assignments!$X$2:$X$769,Assignments!$A$2:$A$769,$A12,Assignments!$G$2:$G$769,"Active",Assignments!$V$2:$V$769,"&lt;="&amp;L$4,Assignments!$W$2:$W$769,"&gt;="&amp;L$4)+SUMIFS(Assignments!$AA$2:$AA$769,Assignments!$A$2:$A$769,$A12,Assignments!$G$2:$G$769,"Active",Assignments!$Y$2:$Y$769,"&lt;="&amp;L$4,Assignments!$Z$2:$Z$769,"&gt;="&amp;L$4))</f>
        <v/>
      </c>
      <c r="M12" s="11">
        <f>IF($A12="","",SUMIFS(Assignments!$X$2:$X$769,Assignments!$A$2:$A$769,$A12,Assignments!$G$2:$G$769,"Active",Assignments!$V$2:$V$769,"&lt;="&amp;M$4,Assignments!$W$2:$W$769,"&gt;="&amp;M$4)+SUMIFS(Assignments!$AA$2:$AA$769,Assignments!$A$2:$A$769,$A12,Assignments!$G$2:$G$769,"Active",Assignments!$Y$2:$Y$769,"&lt;="&amp;M$4,Assignments!$Z$2:$Z$769,"&gt;="&amp;M$4))</f>
        <v/>
      </c>
      <c r="N12" s="11">
        <f>IF($A12="","",SUMIFS(Assignments!$X$2:$X$769,Assignments!$A$2:$A$769,$A12,Assignments!$G$2:$G$769,"Active",Assignments!$V$2:$V$769,"&lt;="&amp;N$4,Assignments!$W$2:$W$769,"&gt;="&amp;N$4)+SUMIFS(Assignments!$AA$2:$AA$769,Assignments!$A$2:$A$769,$A12,Assignments!$G$2:$G$769,"Active",Assignments!$Y$2:$Y$769,"&lt;="&amp;N$4,Assignments!$Z$2:$Z$769,"&gt;="&amp;N$4))</f>
        <v/>
      </c>
      <c r="O12" s="11">
        <f>IF($A12="","",SUMIFS(Assignments!$X$2:$X$769,Assignments!$A$2:$A$769,$A12,Assignments!$G$2:$G$769,"Active",Assignments!$V$2:$V$769,"&lt;="&amp;O$4,Assignments!$W$2:$W$769,"&gt;="&amp;O$4)+SUMIFS(Assignments!$AA$2:$AA$769,Assignments!$A$2:$A$769,$A12,Assignments!$G$2:$G$769,"Active",Assignments!$Y$2:$Y$769,"&lt;="&amp;O$4,Assignments!$Z$2:$Z$769,"&gt;="&amp;O$4))</f>
        <v/>
      </c>
      <c r="P12" s="11">
        <f>IF($A12="","",SUMIFS(Assignments!$X$2:$X$769,Assignments!$A$2:$A$769,$A12,Assignments!$G$2:$G$769,"Active",Assignments!$V$2:$V$769,"&lt;="&amp;P$4,Assignments!$W$2:$W$769,"&gt;="&amp;P$4)+SUMIFS(Assignments!$AA$2:$AA$769,Assignments!$A$2:$A$769,$A12,Assignments!$G$2:$G$769,"Active",Assignments!$Y$2:$Y$769,"&lt;="&amp;P$4,Assignments!$Z$2:$Z$769,"&gt;="&amp;P$4))</f>
        <v/>
      </c>
      <c r="Q12" s="11">
        <f>IF($A12="","",SUMIFS(Assignments!$X$2:$X$769,Assignments!$A$2:$A$769,$A12,Assignments!$G$2:$G$769,"Active",Assignments!$V$2:$V$769,"&lt;="&amp;Q$4,Assignments!$W$2:$W$769,"&gt;="&amp;Q$4)+SUMIFS(Assignments!$AA$2:$AA$769,Assignments!$A$2:$A$769,$A12,Assignments!$G$2:$G$769,"Active",Assignments!$Y$2:$Y$769,"&lt;="&amp;Q$4,Assignments!$Z$2:$Z$769,"&gt;="&amp;Q$4))</f>
        <v/>
      </c>
      <c r="R12" s="11">
        <f>IF($A12="","",SUMIFS(Assignments!$X$2:$X$769,Assignments!$A$2:$A$769,$A12,Assignments!$G$2:$G$769,"Active",Assignments!$V$2:$V$769,"&lt;="&amp;R$4,Assignments!$W$2:$W$769,"&gt;="&amp;R$4)+SUMIFS(Assignments!$AA$2:$AA$769,Assignments!$A$2:$A$769,$A12,Assignments!$G$2:$G$769,"Active",Assignments!$Y$2:$Y$769,"&lt;="&amp;R$4,Assignments!$Z$2:$Z$769,"&gt;="&amp;R$4))</f>
        <v/>
      </c>
      <c r="S12" s="11">
        <f>IF($A12="","",SUMIFS(Assignments!$X$2:$X$769,Assignments!$A$2:$A$769,$A12,Assignments!$G$2:$G$769,"Active",Assignments!$V$2:$V$769,"&lt;="&amp;S$4,Assignments!$W$2:$W$769,"&gt;="&amp;S$4)+SUMIFS(Assignments!$AA$2:$AA$769,Assignments!$A$2:$A$769,$A12,Assignments!$G$2:$G$769,"Active",Assignments!$Y$2:$Y$769,"&lt;="&amp;S$4,Assignments!$Z$2:$Z$769,"&gt;="&amp;S$4))</f>
        <v/>
      </c>
      <c r="T12" s="11">
        <f>IF($A12="","",SUMIFS(Assignments!$X$2:$X$769,Assignments!$A$2:$A$769,$A12,Assignments!$G$2:$G$769,"Active",Assignments!$V$2:$V$769,"&lt;="&amp;T$4,Assignments!$W$2:$W$769,"&gt;="&amp;T$4)+SUMIFS(Assignments!$AA$2:$AA$769,Assignments!$A$2:$A$769,$A12,Assignments!$G$2:$G$769,"Active",Assignments!$Y$2:$Y$769,"&lt;="&amp;T$4,Assignments!$Z$2:$Z$769,"&gt;="&amp;T$4))</f>
        <v/>
      </c>
      <c r="U12" s="11">
        <f>IF($A12="","",SUMIFS(Assignments!$X$2:$X$769,Assignments!$A$2:$A$769,$A12,Assignments!$G$2:$G$769,"Active",Assignments!$V$2:$V$769,"&lt;="&amp;U$4,Assignments!$W$2:$W$769,"&gt;="&amp;U$4)+SUMIFS(Assignments!$AA$2:$AA$769,Assignments!$A$2:$A$769,$A12,Assignments!$G$2:$G$769,"Active",Assignments!$Y$2:$Y$769,"&lt;="&amp;U$4,Assignments!$Z$2:$Z$769,"&gt;="&amp;U$4))</f>
        <v/>
      </c>
      <c r="V12" s="11">
        <f>IF($A12="","",SUMIFS(Assignments!$X$2:$X$769,Assignments!$A$2:$A$769,$A12,Assignments!$G$2:$G$769,"Active",Assignments!$V$2:$V$769,"&lt;="&amp;V$4,Assignments!$W$2:$W$769,"&gt;="&amp;V$4)+SUMIFS(Assignments!$AA$2:$AA$769,Assignments!$A$2:$A$769,$A12,Assignments!$G$2:$G$769,"Active",Assignments!$Y$2:$Y$769,"&lt;="&amp;V$4,Assignments!$Z$2:$Z$769,"&gt;="&amp;V$4))</f>
        <v/>
      </c>
      <c r="W12" s="11">
        <f>IF($A12="","",SUMIFS(Assignments!$X$2:$X$769,Assignments!$A$2:$A$769,$A12,Assignments!$G$2:$G$769,"Active",Assignments!$V$2:$V$769,"&lt;="&amp;W$4,Assignments!$W$2:$W$769,"&gt;="&amp;W$4)+SUMIFS(Assignments!$AA$2:$AA$769,Assignments!$A$2:$A$769,$A12,Assignments!$G$2:$G$769,"Active",Assignments!$Y$2:$Y$769,"&lt;="&amp;W$4,Assignments!$Z$2:$Z$769,"&gt;="&amp;W$4))</f>
        <v/>
      </c>
      <c r="X12" s="11">
        <f>IF($A12="","",SUMIFS(Assignments!$X$2:$X$769,Assignments!$A$2:$A$769,$A12,Assignments!$G$2:$G$769,"Active",Assignments!$V$2:$V$769,"&lt;="&amp;X$4,Assignments!$W$2:$W$769,"&gt;="&amp;X$4)+SUMIFS(Assignments!$AA$2:$AA$769,Assignments!$A$2:$A$769,$A12,Assignments!$G$2:$G$769,"Active",Assignments!$Y$2:$Y$769,"&lt;="&amp;X$4,Assignments!$Z$2:$Z$769,"&gt;="&amp;X$4))</f>
        <v/>
      </c>
      <c r="Y12" s="11">
        <f>IF($A12="","",SUMIFS(Assignments!$X$2:$X$769,Assignments!$A$2:$A$769,$A12,Assignments!$G$2:$G$769,"Active",Assignments!$V$2:$V$769,"&lt;="&amp;Y$4,Assignments!$W$2:$W$769,"&gt;="&amp;Y$4)+SUMIFS(Assignments!$AA$2:$AA$769,Assignments!$A$2:$A$769,$A12,Assignments!$G$2:$G$769,"Active",Assignments!$Y$2:$Y$769,"&lt;="&amp;Y$4,Assignments!$Z$2:$Z$769,"&gt;="&amp;Y$4))</f>
        <v/>
      </c>
      <c r="Z12" s="11">
        <f>IF($A12="","",SUMIFS(Assignments!$X$2:$X$769,Assignments!$A$2:$A$769,$A12,Assignments!$G$2:$G$769,"Active",Assignments!$V$2:$V$769,"&lt;="&amp;Z$4,Assignments!$W$2:$W$769,"&gt;="&amp;Z$4)+SUMIFS(Assignments!$AA$2:$AA$769,Assignments!$A$2:$A$769,$A12,Assignments!$G$2:$G$769,"Active",Assignments!$Y$2:$Y$769,"&lt;="&amp;Z$4,Assignments!$Z$2:$Z$769,"&gt;="&amp;Z$4))</f>
        <v/>
      </c>
      <c r="AA12" s="11">
        <f>IF($A12="","",SUMIFS(Assignments!$X$2:$X$769,Assignments!$A$2:$A$769,$A12,Assignments!$G$2:$G$769,"Active",Assignments!$V$2:$V$769,"&lt;="&amp;AA$4,Assignments!$W$2:$W$769,"&gt;="&amp;AA$4)+SUMIFS(Assignments!$AA$2:$AA$769,Assignments!$A$2:$A$769,$A12,Assignments!$G$2:$G$769,"Active",Assignments!$Y$2:$Y$769,"&lt;="&amp;AA$4,Assignments!$Z$2:$Z$769,"&gt;="&amp;AA$4))</f>
        <v/>
      </c>
      <c r="AB12" s="11">
        <f>IF($A12="","",SUMIFS(Assignments!$X$2:$X$769,Assignments!$A$2:$A$769,$A12,Assignments!$G$2:$G$769,"Active",Assignments!$V$2:$V$769,"&lt;="&amp;AB$4,Assignments!$W$2:$W$769,"&gt;="&amp;AB$4)+SUMIFS(Assignments!$AA$2:$AA$769,Assignments!$A$2:$A$769,$A12,Assignments!$G$2:$G$769,"Active",Assignments!$Y$2:$Y$769,"&lt;="&amp;AB$4,Assignments!$Z$2:$Z$769,"&gt;="&amp;AB$4))</f>
        <v/>
      </c>
    </row>
    <row r="13">
      <c r="A13" s="9">
        <f>IF(Roster!$A10="","",Roster!$A10)</f>
        <v/>
      </c>
      <c r="B13" s="10">
        <f>IF($A13="","",IFERROR(INDEX(Roster!$D$2:$D$40,MATCH($A13,Roster!$A$2:$A$40,0)),""))</f>
        <v/>
      </c>
      <c r="C13" s="11">
        <f>IF($A13="","",SUMIFS(Assignments!$X$2:$X$769,Assignments!$A$2:$A$769,$A13,Assignments!$G$2:$G$769,"Active",Assignments!$V$2:$V$769,"&lt;="&amp;C$4,Assignments!$W$2:$W$769,"&gt;="&amp;C$4)+SUMIFS(Assignments!$AA$2:$AA$769,Assignments!$A$2:$A$769,$A13,Assignments!$G$2:$G$769,"Active",Assignments!$Y$2:$Y$769,"&lt;="&amp;C$4,Assignments!$Z$2:$Z$769,"&gt;="&amp;C$4))</f>
        <v/>
      </c>
      <c r="D13" s="11">
        <f>IF($A13="","",SUMIFS(Assignments!$X$2:$X$769,Assignments!$A$2:$A$769,$A13,Assignments!$G$2:$G$769,"Active",Assignments!$V$2:$V$769,"&lt;="&amp;D$4,Assignments!$W$2:$W$769,"&gt;="&amp;D$4)+SUMIFS(Assignments!$AA$2:$AA$769,Assignments!$A$2:$A$769,$A13,Assignments!$G$2:$G$769,"Active",Assignments!$Y$2:$Y$769,"&lt;="&amp;D$4,Assignments!$Z$2:$Z$769,"&gt;="&amp;D$4))</f>
        <v/>
      </c>
      <c r="E13" s="11">
        <f>IF($A13="","",SUMIFS(Assignments!$X$2:$X$769,Assignments!$A$2:$A$769,$A13,Assignments!$G$2:$G$769,"Active",Assignments!$V$2:$V$769,"&lt;="&amp;E$4,Assignments!$W$2:$W$769,"&gt;="&amp;E$4)+SUMIFS(Assignments!$AA$2:$AA$769,Assignments!$A$2:$A$769,$A13,Assignments!$G$2:$G$769,"Active",Assignments!$Y$2:$Y$769,"&lt;="&amp;E$4,Assignments!$Z$2:$Z$769,"&gt;="&amp;E$4))</f>
        <v/>
      </c>
      <c r="F13" s="11">
        <f>IF($A13="","",SUMIFS(Assignments!$X$2:$X$769,Assignments!$A$2:$A$769,$A13,Assignments!$G$2:$G$769,"Active",Assignments!$V$2:$V$769,"&lt;="&amp;F$4,Assignments!$W$2:$W$769,"&gt;="&amp;F$4)+SUMIFS(Assignments!$AA$2:$AA$769,Assignments!$A$2:$A$769,$A13,Assignments!$G$2:$G$769,"Active",Assignments!$Y$2:$Y$769,"&lt;="&amp;F$4,Assignments!$Z$2:$Z$769,"&gt;="&amp;F$4))</f>
        <v/>
      </c>
      <c r="G13" s="11">
        <f>IF($A13="","",SUMIFS(Assignments!$X$2:$X$769,Assignments!$A$2:$A$769,$A13,Assignments!$G$2:$G$769,"Active",Assignments!$V$2:$V$769,"&lt;="&amp;G$4,Assignments!$W$2:$W$769,"&gt;="&amp;G$4)+SUMIFS(Assignments!$AA$2:$AA$769,Assignments!$A$2:$A$769,$A13,Assignments!$G$2:$G$769,"Active",Assignments!$Y$2:$Y$769,"&lt;="&amp;G$4,Assignments!$Z$2:$Z$769,"&gt;="&amp;G$4))</f>
        <v/>
      </c>
      <c r="H13" s="11">
        <f>IF($A13="","",SUMIFS(Assignments!$X$2:$X$769,Assignments!$A$2:$A$769,$A13,Assignments!$G$2:$G$769,"Active",Assignments!$V$2:$V$769,"&lt;="&amp;H$4,Assignments!$W$2:$W$769,"&gt;="&amp;H$4)+SUMIFS(Assignments!$AA$2:$AA$769,Assignments!$A$2:$A$769,$A13,Assignments!$G$2:$G$769,"Active",Assignments!$Y$2:$Y$769,"&lt;="&amp;H$4,Assignments!$Z$2:$Z$769,"&gt;="&amp;H$4))</f>
        <v/>
      </c>
      <c r="I13" s="11">
        <f>IF($A13="","",SUMIFS(Assignments!$X$2:$X$769,Assignments!$A$2:$A$769,$A13,Assignments!$G$2:$G$769,"Active",Assignments!$V$2:$V$769,"&lt;="&amp;I$4,Assignments!$W$2:$W$769,"&gt;="&amp;I$4)+SUMIFS(Assignments!$AA$2:$AA$769,Assignments!$A$2:$A$769,$A13,Assignments!$G$2:$G$769,"Active",Assignments!$Y$2:$Y$769,"&lt;="&amp;I$4,Assignments!$Z$2:$Z$769,"&gt;="&amp;I$4))</f>
        <v/>
      </c>
      <c r="J13" s="11">
        <f>IF($A13="","",SUMIFS(Assignments!$X$2:$X$769,Assignments!$A$2:$A$769,$A13,Assignments!$G$2:$G$769,"Active",Assignments!$V$2:$V$769,"&lt;="&amp;J$4,Assignments!$W$2:$W$769,"&gt;="&amp;J$4)+SUMIFS(Assignments!$AA$2:$AA$769,Assignments!$A$2:$A$769,$A13,Assignments!$G$2:$G$769,"Active",Assignments!$Y$2:$Y$769,"&lt;="&amp;J$4,Assignments!$Z$2:$Z$769,"&gt;="&amp;J$4))</f>
        <v/>
      </c>
      <c r="K13" s="11">
        <f>IF($A13="","",SUMIFS(Assignments!$X$2:$X$769,Assignments!$A$2:$A$769,$A13,Assignments!$G$2:$G$769,"Active",Assignments!$V$2:$V$769,"&lt;="&amp;K$4,Assignments!$W$2:$W$769,"&gt;="&amp;K$4)+SUMIFS(Assignments!$AA$2:$AA$769,Assignments!$A$2:$A$769,$A13,Assignments!$G$2:$G$769,"Active",Assignments!$Y$2:$Y$769,"&lt;="&amp;K$4,Assignments!$Z$2:$Z$769,"&gt;="&amp;K$4))</f>
        <v/>
      </c>
      <c r="L13" s="11">
        <f>IF($A13="","",SUMIFS(Assignments!$X$2:$X$769,Assignments!$A$2:$A$769,$A13,Assignments!$G$2:$G$769,"Active",Assignments!$V$2:$V$769,"&lt;="&amp;L$4,Assignments!$W$2:$W$769,"&gt;="&amp;L$4)+SUMIFS(Assignments!$AA$2:$AA$769,Assignments!$A$2:$A$769,$A13,Assignments!$G$2:$G$769,"Active",Assignments!$Y$2:$Y$769,"&lt;="&amp;L$4,Assignments!$Z$2:$Z$769,"&gt;="&amp;L$4))</f>
        <v/>
      </c>
      <c r="M13" s="11">
        <f>IF($A13="","",SUMIFS(Assignments!$X$2:$X$769,Assignments!$A$2:$A$769,$A13,Assignments!$G$2:$G$769,"Active",Assignments!$V$2:$V$769,"&lt;="&amp;M$4,Assignments!$W$2:$W$769,"&gt;="&amp;M$4)+SUMIFS(Assignments!$AA$2:$AA$769,Assignments!$A$2:$A$769,$A13,Assignments!$G$2:$G$769,"Active",Assignments!$Y$2:$Y$769,"&lt;="&amp;M$4,Assignments!$Z$2:$Z$769,"&gt;="&amp;M$4))</f>
        <v/>
      </c>
      <c r="N13" s="11">
        <f>IF($A13="","",SUMIFS(Assignments!$X$2:$X$769,Assignments!$A$2:$A$769,$A13,Assignments!$G$2:$G$769,"Active",Assignments!$V$2:$V$769,"&lt;="&amp;N$4,Assignments!$W$2:$W$769,"&gt;="&amp;N$4)+SUMIFS(Assignments!$AA$2:$AA$769,Assignments!$A$2:$A$769,$A13,Assignments!$G$2:$G$769,"Active",Assignments!$Y$2:$Y$769,"&lt;="&amp;N$4,Assignments!$Z$2:$Z$769,"&gt;="&amp;N$4))</f>
        <v/>
      </c>
      <c r="O13" s="11">
        <f>IF($A13="","",SUMIFS(Assignments!$X$2:$X$769,Assignments!$A$2:$A$769,$A13,Assignments!$G$2:$G$769,"Active",Assignments!$V$2:$V$769,"&lt;="&amp;O$4,Assignments!$W$2:$W$769,"&gt;="&amp;O$4)+SUMIFS(Assignments!$AA$2:$AA$769,Assignments!$A$2:$A$769,$A13,Assignments!$G$2:$G$769,"Active",Assignments!$Y$2:$Y$769,"&lt;="&amp;O$4,Assignments!$Z$2:$Z$769,"&gt;="&amp;O$4))</f>
        <v/>
      </c>
      <c r="P13" s="11">
        <f>IF($A13="","",SUMIFS(Assignments!$X$2:$X$769,Assignments!$A$2:$A$769,$A13,Assignments!$G$2:$G$769,"Active",Assignments!$V$2:$V$769,"&lt;="&amp;P$4,Assignments!$W$2:$W$769,"&gt;="&amp;P$4)+SUMIFS(Assignments!$AA$2:$AA$769,Assignments!$A$2:$A$769,$A13,Assignments!$G$2:$G$769,"Active",Assignments!$Y$2:$Y$769,"&lt;="&amp;P$4,Assignments!$Z$2:$Z$769,"&gt;="&amp;P$4))</f>
        <v/>
      </c>
      <c r="Q13" s="11">
        <f>IF($A13="","",SUMIFS(Assignments!$X$2:$X$769,Assignments!$A$2:$A$769,$A13,Assignments!$G$2:$G$769,"Active",Assignments!$V$2:$V$769,"&lt;="&amp;Q$4,Assignments!$W$2:$W$769,"&gt;="&amp;Q$4)+SUMIFS(Assignments!$AA$2:$AA$769,Assignments!$A$2:$A$769,$A13,Assignments!$G$2:$G$769,"Active",Assignments!$Y$2:$Y$769,"&lt;="&amp;Q$4,Assignments!$Z$2:$Z$769,"&gt;="&amp;Q$4))</f>
        <v/>
      </c>
      <c r="R13" s="11">
        <f>IF($A13="","",SUMIFS(Assignments!$X$2:$X$769,Assignments!$A$2:$A$769,$A13,Assignments!$G$2:$G$769,"Active",Assignments!$V$2:$V$769,"&lt;="&amp;R$4,Assignments!$W$2:$W$769,"&gt;="&amp;R$4)+SUMIFS(Assignments!$AA$2:$AA$769,Assignments!$A$2:$A$769,$A13,Assignments!$G$2:$G$769,"Active",Assignments!$Y$2:$Y$769,"&lt;="&amp;R$4,Assignments!$Z$2:$Z$769,"&gt;="&amp;R$4))</f>
        <v/>
      </c>
      <c r="S13" s="11">
        <f>IF($A13="","",SUMIFS(Assignments!$X$2:$X$769,Assignments!$A$2:$A$769,$A13,Assignments!$G$2:$G$769,"Active",Assignments!$V$2:$V$769,"&lt;="&amp;S$4,Assignments!$W$2:$W$769,"&gt;="&amp;S$4)+SUMIFS(Assignments!$AA$2:$AA$769,Assignments!$A$2:$A$769,$A13,Assignments!$G$2:$G$769,"Active",Assignments!$Y$2:$Y$769,"&lt;="&amp;S$4,Assignments!$Z$2:$Z$769,"&gt;="&amp;S$4))</f>
        <v/>
      </c>
      <c r="T13" s="11">
        <f>IF($A13="","",SUMIFS(Assignments!$X$2:$X$769,Assignments!$A$2:$A$769,$A13,Assignments!$G$2:$G$769,"Active",Assignments!$V$2:$V$769,"&lt;="&amp;T$4,Assignments!$W$2:$W$769,"&gt;="&amp;T$4)+SUMIFS(Assignments!$AA$2:$AA$769,Assignments!$A$2:$A$769,$A13,Assignments!$G$2:$G$769,"Active",Assignments!$Y$2:$Y$769,"&lt;="&amp;T$4,Assignments!$Z$2:$Z$769,"&gt;="&amp;T$4))</f>
        <v/>
      </c>
      <c r="U13" s="11">
        <f>IF($A13="","",SUMIFS(Assignments!$X$2:$X$769,Assignments!$A$2:$A$769,$A13,Assignments!$G$2:$G$769,"Active",Assignments!$V$2:$V$769,"&lt;="&amp;U$4,Assignments!$W$2:$W$769,"&gt;="&amp;U$4)+SUMIFS(Assignments!$AA$2:$AA$769,Assignments!$A$2:$A$769,$A13,Assignments!$G$2:$G$769,"Active",Assignments!$Y$2:$Y$769,"&lt;="&amp;U$4,Assignments!$Z$2:$Z$769,"&gt;="&amp;U$4))</f>
        <v/>
      </c>
      <c r="V13" s="11">
        <f>IF($A13="","",SUMIFS(Assignments!$X$2:$X$769,Assignments!$A$2:$A$769,$A13,Assignments!$G$2:$G$769,"Active",Assignments!$V$2:$V$769,"&lt;="&amp;V$4,Assignments!$W$2:$W$769,"&gt;="&amp;V$4)+SUMIFS(Assignments!$AA$2:$AA$769,Assignments!$A$2:$A$769,$A13,Assignments!$G$2:$G$769,"Active",Assignments!$Y$2:$Y$769,"&lt;="&amp;V$4,Assignments!$Z$2:$Z$769,"&gt;="&amp;V$4))</f>
        <v/>
      </c>
      <c r="W13" s="11">
        <f>IF($A13="","",SUMIFS(Assignments!$X$2:$X$769,Assignments!$A$2:$A$769,$A13,Assignments!$G$2:$G$769,"Active",Assignments!$V$2:$V$769,"&lt;="&amp;W$4,Assignments!$W$2:$W$769,"&gt;="&amp;W$4)+SUMIFS(Assignments!$AA$2:$AA$769,Assignments!$A$2:$A$769,$A13,Assignments!$G$2:$G$769,"Active",Assignments!$Y$2:$Y$769,"&lt;="&amp;W$4,Assignments!$Z$2:$Z$769,"&gt;="&amp;W$4))</f>
        <v/>
      </c>
      <c r="X13" s="11">
        <f>IF($A13="","",SUMIFS(Assignments!$X$2:$X$769,Assignments!$A$2:$A$769,$A13,Assignments!$G$2:$G$769,"Active",Assignments!$V$2:$V$769,"&lt;="&amp;X$4,Assignments!$W$2:$W$769,"&gt;="&amp;X$4)+SUMIFS(Assignments!$AA$2:$AA$769,Assignments!$A$2:$A$769,$A13,Assignments!$G$2:$G$769,"Active",Assignments!$Y$2:$Y$769,"&lt;="&amp;X$4,Assignments!$Z$2:$Z$769,"&gt;="&amp;X$4))</f>
        <v/>
      </c>
      <c r="Y13" s="11">
        <f>IF($A13="","",SUMIFS(Assignments!$X$2:$X$769,Assignments!$A$2:$A$769,$A13,Assignments!$G$2:$G$769,"Active",Assignments!$V$2:$V$769,"&lt;="&amp;Y$4,Assignments!$W$2:$W$769,"&gt;="&amp;Y$4)+SUMIFS(Assignments!$AA$2:$AA$769,Assignments!$A$2:$A$769,$A13,Assignments!$G$2:$G$769,"Active",Assignments!$Y$2:$Y$769,"&lt;="&amp;Y$4,Assignments!$Z$2:$Z$769,"&gt;="&amp;Y$4))</f>
        <v/>
      </c>
      <c r="Z13" s="11">
        <f>IF($A13="","",SUMIFS(Assignments!$X$2:$X$769,Assignments!$A$2:$A$769,$A13,Assignments!$G$2:$G$769,"Active",Assignments!$V$2:$V$769,"&lt;="&amp;Z$4,Assignments!$W$2:$W$769,"&gt;="&amp;Z$4)+SUMIFS(Assignments!$AA$2:$AA$769,Assignments!$A$2:$A$769,$A13,Assignments!$G$2:$G$769,"Active",Assignments!$Y$2:$Y$769,"&lt;="&amp;Z$4,Assignments!$Z$2:$Z$769,"&gt;="&amp;Z$4))</f>
        <v/>
      </c>
      <c r="AA13" s="11">
        <f>IF($A13="","",SUMIFS(Assignments!$X$2:$X$769,Assignments!$A$2:$A$769,$A13,Assignments!$G$2:$G$769,"Active",Assignments!$V$2:$V$769,"&lt;="&amp;AA$4,Assignments!$W$2:$W$769,"&gt;="&amp;AA$4)+SUMIFS(Assignments!$AA$2:$AA$769,Assignments!$A$2:$A$769,$A13,Assignments!$G$2:$G$769,"Active",Assignments!$Y$2:$Y$769,"&lt;="&amp;AA$4,Assignments!$Z$2:$Z$769,"&gt;="&amp;AA$4))</f>
        <v/>
      </c>
      <c r="AB13" s="11">
        <f>IF($A13="","",SUMIFS(Assignments!$X$2:$X$769,Assignments!$A$2:$A$769,$A13,Assignments!$G$2:$G$769,"Active",Assignments!$V$2:$V$769,"&lt;="&amp;AB$4,Assignments!$W$2:$W$769,"&gt;="&amp;AB$4)+SUMIFS(Assignments!$AA$2:$AA$769,Assignments!$A$2:$A$769,$A13,Assignments!$G$2:$G$769,"Active",Assignments!$Y$2:$Y$769,"&lt;="&amp;AB$4,Assignments!$Z$2:$Z$769,"&gt;="&amp;AB$4))</f>
        <v/>
      </c>
    </row>
    <row r="14">
      <c r="A14" s="9">
        <f>IF(Roster!$A11="","",Roster!$A11)</f>
        <v/>
      </c>
      <c r="B14" s="10">
        <f>IF($A14="","",IFERROR(INDEX(Roster!$D$2:$D$40,MATCH($A14,Roster!$A$2:$A$40,0)),""))</f>
        <v/>
      </c>
      <c r="C14" s="11">
        <f>IF($A14="","",SUMIFS(Assignments!$X$2:$X$769,Assignments!$A$2:$A$769,$A14,Assignments!$G$2:$G$769,"Active",Assignments!$V$2:$V$769,"&lt;="&amp;C$4,Assignments!$W$2:$W$769,"&gt;="&amp;C$4)+SUMIFS(Assignments!$AA$2:$AA$769,Assignments!$A$2:$A$769,$A14,Assignments!$G$2:$G$769,"Active",Assignments!$Y$2:$Y$769,"&lt;="&amp;C$4,Assignments!$Z$2:$Z$769,"&gt;="&amp;C$4))</f>
        <v/>
      </c>
      <c r="D14" s="11">
        <f>IF($A14="","",SUMIFS(Assignments!$X$2:$X$769,Assignments!$A$2:$A$769,$A14,Assignments!$G$2:$G$769,"Active",Assignments!$V$2:$V$769,"&lt;="&amp;D$4,Assignments!$W$2:$W$769,"&gt;="&amp;D$4)+SUMIFS(Assignments!$AA$2:$AA$769,Assignments!$A$2:$A$769,$A14,Assignments!$G$2:$G$769,"Active",Assignments!$Y$2:$Y$769,"&lt;="&amp;D$4,Assignments!$Z$2:$Z$769,"&gt;="&amp;D$4))</f>
        <v/>
      </c>
      <c r="E14" s="11">
        <f>IF($A14="","",SUMIFS(Assignments!$X$2:$X$769,Assignments!$A$2:$A$769,$A14,Assignments!$G$2:$G$769,"Active",Assignments!$V$2:$V$769,"&lt;="&amp;E$4,Assignments!$W$2:$W$769,"&gt;="&amp;E$4)+SUMIFS(Assignments!$AA$2:$AA$769,Assignments!$A$2:$A$769,$A14,Assignments!$G$2:$G$769,"Active",Assignments!$Y$2:$Y$769,"&lt;="&amp;E$4,Assignments!$Z$2:$Z$769,"&gt;="&amp;E$4))</f>
        <v/>
      </c>
      <c r="F14" s="11">
        <f>IF($A14="","",SUMIFS(Assignments!$X$2:$X$769,Assignments!$A$2:$A$769,$A14,Assignments!$G$2:$G$769,"Active",Assignments!$V$2:$V$769,"&lt;="&amp;F$4,Assignments!$W$2:$W$769,"&gt;="&amp;F$4)+SUMIFS(Assignments!$AA$2:$AA$769,Assignments!$A$2:$A$769,$A14,Assignments!$G$2:$G$769,"Active",Assignments!$Y$2:$Y$769,"&lt;="&amp;F$4,Assignments!$Z$2:$Z$769,"&gt;="&amp;F$4))</f>
        <v/>
      </c>
      <c r="G14" s="11">
        <f>IF($A14="","",SUMIFS(Assignments!$X$2:$X$769,Assignments!$A$2:$A$769,$A14,Assignments!$G$2:$G$769,"Active",Assignments!$V$2:$V$769,"&lt;="&amp;G$4,Assignments!$W$2:$W$769,"&gt;="&amp;G$4)+SUMIFS(Assignments!$AA$2:$AA$769,Assignments!$A$2:$A$769,$A14,Assignments!$G$2:$G$769,"Active",Assignments!$Y$2:$Y$769,"&lt;="&amp;G$4,Assignments!$Z$2:$Z$769,"&gt;="&amp;G$4))</f>
        <v/>
      </c>
      <c r="H14" s="11">
        <f>IF($A14="","",SUMIFS(Assignments!$X$2:$X$769,Assignments!$A$2:$A$769,$A14,Assignments!$G$2:$G$769,"Active",Assignments!$V$2:$V$769,"&lt;="&amp;H$4,Assignments!$W$2:$W$769,"&gt;="&amp;H$4)+SUMIFS(Assignments!$AA$2:$AA$769,Assignments!$A$2:$A$769,$A14,Assignments!$G$2:$G$769,"Active",Assignments!$Y$2:$Y$769,"&lt;="&amp;H$4,Assignments!$Z$2:$Z$769,"&gt;="&amp;H$4))</f>
        <v/>
      </c>
      <c r="I14" s="11">
        <f>IF($A14="","",SUMIFS(Assignments!$X$2:$X$769,Assignments!$A$2:$A$769,$A14,Assignments!$G$2:$G$769,"Active",Assignments!$V$2:$V$769,"&lt;="&amp;I$4,Assignments!$W$2:$W$769,"&gt;="&amp;I$4)+SUMIFS(Assignments!$AA$2:$AA$769,Assignments!$A$2:$A$769,$A14,Assignments!$G$2:$G$769,"Active",Assignments!$Y$2:$Y$769,"&lt;="&amp;I$4,Assignments!$Z$2:$Z$769,"&gt;="&amp;I$4))</f>
        <v/>
      </c>
      <c r="J14" s="11">
        <f>IF($A14="","",SUMIFS(Assignments!$X$2:$X$769,Assignments!$A$2:$A$769,$A14,Assignments!$G$2:$G$769,"Active",Assignments!$V$2:$V$769,"&lt;="&amp;J$4,Assignments!$W$2:$W$769,"&gt;="&amp;J$4)+SUMIFS(Assignments!$AA$2:$AA$769,Assignments!$A$2:$A$769,$A14,Assignments!$G$2:$G$769,"Active",Assignments!$Y$2:$Y$769,"&lt;="&amp;J$4,Assignments!$Z$2:$Z$769,"&gt;="&amp;J$4))</f>
        <v/>
      </c>
      <c r="K14" s="11">
        <f>IF($A14="","",SUMIFS(Assignments!$X$2:$X$769,Assignments!$A$2:$A$769,$A14,Assignments!$G$2:$G$769,"Active",Assignments!$V$2:$V$769,"&lt;="&amp;K$4,Assignments!$W$2:$W$769,"&gt;="&amp;K$4)+SUMIFS(Assignments!$AA$2:$AA$769,Assignments!$A$2:$A$769,$A14,Assignments!$G$2:$G$769,"Active",Assignments!$Y$2:$Y$769,"&lt;="&amp;K$4,Assignments!$Z$2:$Z$769,"&gt;="&amp;K$4))</f>
        <v/>
      </c>
      <c r="L14" s="11">
        <f>IF($A14="","",SUMIFS(Assignments!$X$2:$X$769,Assignments!$A$2:$A$769,$A14,Assignments!$G$2:$G$769,"Active",Assignments!$V$2:$V$769,"&lt;="&amp;L$4,Assignments!$W$2:$W$769,"&gt;="&amp;L$4)+SUMIFS(Assignments!$AA$2:$AA$769,Assignments!$A$2:$A$769,$A14,Assignments!$G$2:$G$769,"Active",Assignments!$Y$2:$Y$769,"&lt;="&amp;L$4,Assignments!$Z$2:$Z$769,"&gt;="&amp;L$4))</f>
        <v/>
      </c>
      <c r="M14" s="11">
        <f>IF($A14="","",SUMIFS(Assignments!$X$2:$X$769,Assignments!$A$2:$A$769,$A14,Assignments!$G$2:$G$769,"Active",Assignments!$V$2:$V$769,"&lt;="&amp;M$4,Assignments!$W$2:$W$769,"&gt;="&amp;M$4)+SUMIFS(Assignments!$AA$2:$AA$769,Assignments!$A$2:$A$769,$A14,Assignments!$G$2:$G$769,"Active",Assignments!$Y$2:$Y$769,"&lt;="&amp;M$4,Assignments!$Z$2:$Z$769,"&gt;="&amp;M$4))</f>
        <v/>
      </c>
      <c r="N14" s="11">
        <f>IF($A14="","",SUMIFS(Assignments!$X$2:$X$769,Assignments!$A$2:$A$769,$A14,Assignments!$G$2:$G$769,"Active",Assignments!$V$2:$V$769,"&lt;="&amp;N$4,Assignments!$W$2:$W$769,"&gt;="&amp;N$4)+SUMIFS(Assignments!$AA$2:$AA$769,Assignments!$A$2:$A$769,$A14,Assignments!$G$2:$G$769,"Active",Assignments!$Y$2:$Y$769,"&lt;="&amp;N$4,Assignments!$Z$2:$Z$769,"&gt;="&amp;N$4))</f>
        <v/>
      </c>
      <c r="O14" s="11">
        <f>IF($A14="","",SUMIFS(Assignments!$X$2:$X$769,Assignments!$A$2:$A$769,$A14,Assignments!$G$2:$G$769,"Active",Assignments!$V$2:$V$769,"&lt;="&amp;O$4,Assignments!$W$2:$W$769,"&gt;="&amp;O$4)+SUMIFS(Assignments!$AA$2:$AA$769,Assignments!$A$2:$A$769,$A14,Assignments!$G$2:$G$769,"Active",Assignments!$Y$2:$Y$769,"&lt;="&amp;O$4,Assignments!$Z$2:$Z$769,"&gt;="&amp;O$4))</f>
        <v/>
      </c>
      <c r="P14" s="11">
        <f>IF($A14="","",SUMIFS(Assignments!$X$2:$X$769,Assignments!$A$2:$A$769,$A14,Assignments!$G$2:$G$769,"Active",Assignments!$V$2:$V$769,"&lt;="&amp;P$4,Assignments!$W$2:$W$769,"&gt;="&amp;P$4)+SUMIFS(Assignments!$AA$2:$AA$769,Assignments!$A$2:$A$769,$A14,Assignments!$G$2:$G$769,"Active",Assignments!$Y$2:$Y$769,"&lt;="&amp;P$4,Assignments!$Z$2:$Z$769,"&gt;="&amp;P$4))</f>
        <v/>
      </c>
      <c r="Q14" s="11">
        <f>IF($A14="","",SUMIFS(Assignments!$X$2:$X$769,Assignments!$A$2:$A$769,$A14,Assignments!$G$2:$G$769,"Active",Assignments!$V$2:$V$769,"&lt;="&amp;Q$4,Assignments!$W$2:$W$769,"&gt;="&amp;Q$4)+SUMIFS(Assignments!$AA$2:$AA$769,Assignments!$A$2:$A$769,$A14,Assignments!$G$2:$G$769,"Active",Assignments!$Y$2:$Y$769,"&lt;="&amp;Q$4,Assignments!$Z$2:$Z$769,"&gt;="&amp;Q$4))</f>
        <v/>
      </c>
      <c r="R14" s="11">
        <f>IF($A14="","",SUMIFS(Assignments!$X$2:$X$769,Assignments!$A$2:$A$769,$A14,Assignments!$G$2:$G$769,"Active",Assignments!$V$2:$V$769,"&lt;="&amp;R$4,Assignments!$W$2:$W$769,"&gt;="&amp;R$4)+SUMIFS(Assignments!$AA$2:$AA$769,Assignments!$A$2:$A$769,$A14,Assignments!$G$2:$G$769,"Active",Assignments!$Y$2:$Y$769,"&lt;="&amp;R$4,Assignments!$Z$2:$Z$769,"&gt;="&amp;R$4))</f>
        <v/>
      </c>
      <c r="S14" s="11">
        <f>IF($A14="","",SUMIFS(Assignments!$X$2:$X$769,Assignments!$A$2:$A$769,$A14,Assignments!$G$2:$G$769,"Active",Assignments!$V$2:$V$769,"&lt;="&amp;S$4,Assignments!$W$2:$W$769,"&gt;="&amp;S$4)+SUMIFS(Assignments!$AA$2:$AA$769,Assignments!$A$2:$A$769,$A14,Assignments!$G$2:$G$769,"Active",Assignments!$Y$2:$Y$769,"&lt;="&amp;S$4,Assignments!$Z$2:$Z$769,"&gt;="&amp;S$4))</f>
        <v/>
      </c>
      <c r="T14" s="11">
        <f>IF($A14="","",SUMIFS(Assignments!$X$2:$X$769,Assignments!$A$2:$A$769,$A14,Assignments!$G$2:$G$769,"Active",Assignments!$V$2:$V$769,"&lt;="&amp;T$4,Assignments!$W$2:$W$769,"&gt;="&amp;T$4)+SUMIFS(Assignments!$AA$2:$AA$769,Assignments!$A$2:$A$769,$A14,Assignments!$G$2:$G$769,"Active",Assignments!$Y$2:$Y$769,"&lt;="&amp;T$4,Assignments!$Z$2:$Z$769,"&gt;="&amp;T$4))</f>
        <v/>
      </c>
      <c r="U14" s="11">
        <f>IF($A14="","",SUMIFS(Assignments!$X$2:$X$769,Assignments!$A$2:$A$769,$A14,Assignments!$G$2:$G$769,"Active",Assignments!$V$2:$V$769,"&lt;="&amp;U$4,Assignments!$W$2:$W$769,"&gt;="&amp;U$4)+SUMIFS(Assignments!$AA$2:$AA$769,Assignments!$A$2:$A$769,$A14,Assignments!$G$2:$G$769,"Active",Assignments!$Y$2:$Y$769,"&lt;="&amp;U$4,Assignments!$Z$2:$Z$769,"&gt;="&amp;U$4))</f>
        <v/>
      </c>
      <c r="V14" s="11">
        <f>IF($A14="","",SUMIFS(Assignments!$X$2:$X$769,Assignments!$A$2:$A$769,$A14,Assignments!$G$2:$G$769,"Active",Assignments!$V$2:$V$769,"&lt;="&amp;V$4,Assignments!$W$2:$W$769,"&gt;="&amp;V$4)+SUMIFS(Assignments!$AA$2:$AA$769,Assignments!$A$2:$A$769,$A14,Assignments!$G$2:$G$769,"Active",Assignments!$Y$2:$Y$769,"&lt;="&amp;V$4,Assignments!$Z$2:$Z$769,"&gt;="&amp;V$4))</f>
        <v/>
      </c>
      <c r="W14" s="11">
        <f>IF($A14="","",SUMIFS(Assignments!$X$2:$X$769,Assignments!$A$2:$A$769,$A14,Assignments!$G$2:$G$769,"Active",Assignments!$V$2:$V$769,"&lt;="&amp;W$4,Assignments!$W$2:$W$769,"&gt;="&amp;W$4)+SUMIFS(Assignments!$AA$2:$AA$769,Assignments!$A$2:$A$769,$A14,Assignments!$G$2:$G$769,"Active",Assignments!$Y$2:$Y$769,"&lt;="&amp;W$4,Assignments!$Z$2:$Z$769,"&gt;="&amp;W$4))</f>
        <v/>
      </c>
      <c r="X14" s="11">
        <f>IF($A14="","",SUMIFS(Assignments!$X$2:$X$769,Assignments!$A$2:$A$769,$A14,Assignments!$G$2:$G$769,"Active",Assignments!$V$2:$V$769,"&lt;="&amp;X$4,Assignments!$W$2:$W$769,"&gt;="&amp;X$4)+SUMIFS(Assignments!$AA$2:$AA$769,Assignments!$A$2:$A$769,$A14,Assignments!$G$2:$G$769,"Active",Assignments!$Y$2:$Y$769,"&lt;="&amp;X$4,Assignments!$Z$2:$Z$769,"&gt;="&amp;X$4))</f>
        <v/>
      </c>
      <c r="Y14" s="11">
        <f>IF($A14="","",SUMIFS(Assignments!$X$2:$X$769,Assignments!$A$2:$A$769,$A14,Assignments!$G$2:$G$769,"Active",Assignments!$V$2:$V$769,"&lt;="&amp;Y$4,Assignments!$W$2:$W$769,"&gt;="&amp;Y$4)+SUMIFS(Assignments!$AA$2:$AA$769,Assignments!$A$2:$A$769,$A14,Assignments!$G$2:$G$769,"Active",Assignments!$Y$2:$Y$769,"&lt;="&amp;Y$4,Assignments!$Z$2:$Z$769,"&gt;="&amp;Y$4))</f>
        <v/>
      </c>
      <c r="Z14" s="11">
        <f>IF($A14="","",SUMIFS(Assignments!$X$2:$X$769,Assignments!$A$2:$A$769,$A14,Assignments!$G$2:$G$769,"Active",Assignments!$V$2:$V$769,"&lt;="&amp;Z$4,Assignments!$W$2:$W$769,"&gt;="&amp;Z$4)+SUMIFS(Assignments!$AA$2:$AA$769,Assignments!$A$2:$A$769,$A14,Assignments!$G$2:$G$769,"Active",Assignments!$Y$2:$Y$769,"&lt;="&amp;Z$4,Assignments!$Z$2:$Z$769,"&gt;="&amp;Z$4))</f>
        <v/>
      </c>
      <c r="AA14" s="11">
        <f>IF($A14="","",SUMIFS(Assignments!$X$2:$X$769,Assignments!$A$2:$A$769,$A14,Assignments!$G$2:$G$769,"Active",Assignments!$V$2:$V$769,"&lt;="&amp;AA$4,Assignments!$W$2:$W$769,"&gt;="&amp;AA$4)+SUMIFS(Assignments!$AA$2:$AA$769,Assignments!$A$2:$A$769,$A14,Assignments!$G$2:$G$769,"Active",Assignments!$Y$2:$Y$769,"&lt;="&amp;AA$4,Assignments!$Z$2:$Z$769,"&gt;="&amp;AA$4))</f>
        <v/>
      </c>
      <c r="AB14" s="11">
        <f>IF($A14="","",SUMIFS(Assignments!$X$2:$X$769,Assignments!$A$2:$A$769,$A14,Assignments!$G$2:$G$769,"Active",Assignments!$V$2:$V$769,"&lt;="&amp;AB$4,Assignments!$W$2:$W$769,"&gt;="&amp;AB$4)+SUMIFS(Assignments!$AA$2:$AA$769,Assignments!$A$2:$A$769,$A14,Assignments!$G$2:$G$769,"Active",Assignments!$Y$2:$Y$769,"&lt;="&amp;AB$4,Assignments!$Z$2:$Z$769,"&gt;="&amp;AB$4))</f>
        <v/>
      </c>
    </row>
    <row r="15">
      <c r="A15" s="9">
        <f>IF(Roster!$A12="","",Roster!$A12)</f>
        <v/>
      </c>
      <c r="B15" s="10">
        <f>IF($A15="","",IFERROR(INDEX(Roster!$D$2:$D$40,MATCH($A15,Roster!$A$2:$A$40,0)),""))</f>
        <v/>
      </c>
      <c r="C15" s="11">
        <f>IF($A15="","",SUMIFS(Assignments!$X$2:$X$769,Assignments!$A$2:$A$769,$A15,Assignments!$G$2:$G$769,"Active",Assignments!$V$2:$V$769,"&lt;="&amp;C$4,Assignments!$W$2:$W$769,"&gt;="&amp;C$4)+SUMIFS(Assignments!$AA$2:$AA$769,Assignments!$A$2:$A$769,$A15,Assignments!$G$2:$G$769,"Active",Assignments!$Y$2:$Y$769,"&lt;="&amp;C$4,Assignments!$Z$2:$Z$769,"&gt;="&amp;C$4))</f>
        <v/>
      </c>
      <c r="D15" s="11">
        <f>IF($A15="","",SUMIFS(Assignments!$X$2:$X$769,Assignments!$A$2:$A$769,$A15,Assignments!$G$2:$G$769,"Active",Assignments!$V$2:$V$769,"&lt;="&amp;D$4,Assignments!$W$2:$W$769,"&gt;="&amp;D$4)+SUMIFS(Assignments!$AA$2:$AA$769,Assignments!$A$2:$A$769,$A15,Assignments!$G$2:$G$769,"Active",Assignments!$Y$2:$Y$769,"&lt;="&amp;D$4,Assignments!$Z$2:$Z$769,"&gt;="&amp;D$4))</f>
        <v/>
      </c>
      <c r="E15" s="11">
        <f>IF($A15="","",SUMIFS(Assignments!$X$2:$X$769,Assignments!$A$2:$A$769,$A15,Assignments!$G$2:$G$769,"Active",Assignments!$V$2:$V$769,"&lt;="&amp;E$4,Assignments!$W$2:$W$769,"&gt;="&amp;E$4)+SUMIFS(Assignments!$AA$2:$AA$769,Assignments!$A$2:$A$769,$A15,Assignments!$G$2:$G$769,"Active",Assignments!$Y$2:$Y$769,"&lt;="&amp;E$4,Assignments!$Z$2:$Z$769,"&gt;="&amp;E$4))</f>
        <v/>
      </c>
      <c r="F15" s="11">
        <f>IF($A15="","",SUMIFS(Assignments!$X$2:$X$769,Assignments!$A$2:$A$769,$A15,Assignments!$G$2:$G$769,"Active",Assignments!$V$2:$V$769,"&lt;="&amp;F$4,Assignments!$W$2:$W$769,"&gt;="&amp;F$4)+SUMIFS(Assignments!$AA$2:$AA$769,Assignments!$A$2:$A$769,$A15,Assignments!$G$2:$G$769,"Active",Assignments!$Y$2:$Y$769,"&lt;="&amp;F$4,Assignments!$Z$2:$Z$769,"&gt;="&amp;F$4))</f>
        <v/>
      </c>
      <c r="G15" s="11">
        <f>IF($A15="","",SUMIFS(Assignments!$X$2:$X$769,Assignments!$A$2:$A$769,$A15,Assignments!$G$2:$G$769,"Active",Assignments!$V$2:$V$769,"&lt;="&amp;G$4,Assignments!$W$2:$W$769,"&gt;="&amp;G$4)+SUMIFS(Assignments!$AA$2:$AA$769,Assignments!$A$2:$A$769,$A15,Assignments!$G$2:$G$769,"Active",Assignments!$Y$2:$Y$769,"&lt;="&amp;G$4,Assignments!$Z$2:$Z$769,"&gt;="&amp;G$4))</f>
        <v/>
      </c>
      <c r="H15" s="11">
        <f>IF($A15="","",SUMIFS(Assignments!$X$2:$X$769,Assignments!$A$2:$A$769,$A15,Assignments!$G$2:$G$769,"Active",Assignments!$V$2:$V$769,"&lt;="&amp;H$4,Assignments!$W$2:$W$769,"&gt;="&amp;H$4)+SUMIFS(Assignments!$AA$2:$AA$769,Assignments!$A$2:$A$769,$A15,Assignments!$G$2:$G$769,"Active",Assignments!$Y$2:$Y$769,"&lt;="&amp;H$4,Assignments!$Z$2:$Z$769,"&gt;="&amp;H$4))</f>
        <v/>
      </c>
      <c r="I15" s="11">
        <f>IF($A15="","",SUMIFS(Assignments!$X$2:$X$769,Assignments!$A$2:$A$769,$A15,Assignments!$G$2:$G$769,"Active",Assignments!$V$2:$V$769,"&lt;="&amp;I$4,Assignments!$W$2:$W$769,"&gt;="&amp;I$4)+SUMIFS(Assignments!$AA$2:$AA$769,Assignments!$A$2:$A$769,$A15,Assignments!$G$2:$G$769,"Active",Assignments!$Y$2:$Y$769,"&lt;="&amp;I$4,Assignments!$Z$2:$Z$769,"&gt;="&amp;I$4))</f>
        <v/>
      </c>
      <c r="J15" s="11">
        <f>IF($A15="","",SUMIFS(Assignments!$X$2:$X$769,Assignments!$A$2:$A$769,$A15,Assignments!$G$2:$G$769,"Active",Assignments!$V$2:$V$769,"&lt;="&amp;J$4,Assignments!$W$2:$W$769,"&gt;="&amp;J$4)+SUMIFS(Assignments!$AA$2:$AA$769,Assignments!$A$2:$A$769,$A15,Assignments!$G$2:$G$769,"Active",Assignments!$Y$2:$Y$769,"&lt;="&amp;J$4,Assignments!$Z$2:$Z$769,"&gt;="&amp;J$4))</f>
        <v/>
      </c>
      <c r="K15" s="11">
        <f>IF($A15="","",SUMIFS(Assignments!$X$2:$X$769,Assignments!$A$2:$A$769,$A15,Assignments!$G$2:$G$769,"Active",Assignments!$V$2:$V$769,"&lt;="&amp;K$4,Assignments!$W$2:$W$769,"&gt;="&amp;K$4)+SUMIFS(Assignments!$AA$2:$AA$769,Assignments!$A$2:$A$769,$A15,Assignments!$G$2:$G$769,"Active",Assignments!$Y$2:$Y$769,"&lt;="&amp;K$4,Assignments!$Z$2:$Z$769,"&gt;="&amp;K$4))</f>
        <v/>
      </c>
      <c r="L15" s="11">
        <f>IF($A15="","",SUMIFS(Assignments!$X$2:$X$769,Assignments!$A$2:$A$769,$A15,Assignments!$G$2:$G$769,"Active",Assignments!$V$2:$V$769,"&lt;="&amp;L$4,Assignments!$W$2:$W$769,"&gt;="&amp;L$4)+SUMIFS(Assignments!$AA$2:$AA$769,Assignments!$A$2:$A$769,$A15,Assignments!$G$2:$G$769,"Active",Assignments!$Y$2:$Y$769,"&lt;="&amp;L$4,Assignments!$Z$2:$Z$769,"&gt;="&amp;L$4))</f>
        <v/>
      </c>
      <c r="M15" s="11">
        <f>IF($A15="","",SUMIFS(Assignments!$X$2:$X$769,Assignments!$A$2:$A$769,$A15,Assignments!$G$2:$G$769,"Active",Assignments!$V$2:$V$769,"&lt;="&amp;M$4,Assignments!$W$2:$W$769,"&gt;="&amp;M$4)+SUMIFS(Assignments!$AA$2:$AA$769,Assignments!$A$2:$A$769,$A15,Assignments!$G$2:$G$769,"Active",Assignments!$Y$2:$Y$769,"&lt;="&amp;M$4,Assignments!$Z$2:$Z$769,"&gt;="&amp;M$4))</f>
        <v/>
      </c>
      <c r="N15" s="11">
        <f>IF($A15="","",SUMIFS(Assignments!$X$2:$X$769,Assignments!$A$2:$A$769,$A15,Assignments!$G$2:$G$769,"Active",Assignments!$V$2:$V$769,"&lt;="&amp;N$4,Assignments!$W$2:$W$769,"&gt;="&amp;N$4)+SUMIFS(Assignments!$AA$2:$AA$769,Assignments!$A$2:$A$769,$A15,Assignments!$G$2:$G$769,"Active",Assignments!$Y$2:$Y$769,"&lt;="&amp;N$4,Assignments!$Z$2:$Z$769,"&gt;="&amp;N$4))</f>
        <v/>
      </c>
      <c r="O15" s="11">
        <f>IF($A15="","",SUMIFS(Assignments!$X$2:$X$769,Assignments!$A$2:$A$769,$A15,Assignments!$G$2:$G$769,"Active",Assignments!$V$2:$V$769,"&lt;="&amp;O$4,Assignments!$W$2:$W$769,"&gt;="&amp;O$4)+SUMIFS(Assignments!$AA$2:$AA$769,Assignments!$A$2:$A$769,$A15,Assignments!$G$2:$G$769,"Active",Assignments!$Y$2:$Y$769,"&lt;="&amp;O$4,Assignments!$Z$2:$Z$769,"&gt;="&amp;O$4))</f>
        <v/>
      </c>
      <c r="P15" s="11">
        <f>IF($A15="","",SUMIFS(Assignments!$X$2:$X$769,Assignments!$A$2:$A$769,$A15,Assignments!$G$2:$G$769,"Active",Assignments!$V$2:$V$769,"&lt;="&amp;P$4,Assignments!$W$2:$W$769,"&gt;="&amp;P$4)+SUMIFS(Assignments!$AA$2:$AA$769,Assignments!$A$2:$A$769,$A15,Assignments!$G$2:$G$769,"Active",Assignments!$Y$2:$Y$769,"&lt;="&amp;P$4,Assignments!$Z$2:$Z$769,"&gt;="&amp;P$4))</f>
        <v/>
      </c>
      <c r="Q15" s="11">
        <f>IF($A15="","",SUMIFS(Assignments!$X$2:$X$769,Assignments!$A$2:$A$769,$A15,Assignments!$G$2:$G$769,"Active",Assignments!$V$2:$V$769,"&lt;="&amp;Q$4,Assignments!$W$2:$W$769,"&gt;="&amp;Q$4)+SUMIFS(Assignments!$AA$2:$AA$769,Assignments!$A$2:$A$769,$A15,Assignments!$G$2:$G$769,"Active",Assignments!$Y$2:$Y$769,"&lt;="&amp;Q$4,Assignments!$Z$2:$Z$769,"&gt;="&amp;Q$4))</f>
        <v/>
      </c>
      <c r="R15" s="11">
        <f>IF($A15="","",SUMIFS(Assignments!$X$2:$X$769,Assignments!$A$2:$A$769,$A15,Assignments!$G$2:$G$769,"Active",Assignments!$V$2:$V$769,"&lt;="&amp;R$4,Assignments!$W$2:$W$769,"&gt;="&amp;R$4)+SUMIFS(Assignments!$AA$2:$AA$769,Assignments!$A$2:$A$769,$A15,Assignments!$G$2:$G$769,"Active",Assignments!$Y$2:$Y$769,"&lt;="&amp;R$4,Assignments!$Z$2:$Z$769,"&gt;="&amp;R$4))</f>
        <v/>
      </c>
      <c r="S15" s="11">
        <f>IF($A15="","",SUMIFS(Assignments!$X$2:$X$769,Assignments!$A$2:$A$769,$A15,Assignments!$G$2:$G$769,"Active",Assignments!$V$2:$V$769,"&lt;="&amp;S$4,Assignments!$W$2:$W$769,"&gt;="&amp;S$4)+SUMIFS(Assignments!$AA$2:$AA$769,Assignments!$A$2:$A$769,$A15,Assignments!$G$2:$G$769,"Active",Assignments!$Y$2:$Y$769,"&lt;="&amp;S$4,Assignments!$Z$2:$Z$769,"&gt;="&amp;S$4))</f>
        <v/>
      </c>
      <c r="T15" s="11">
        <f>IF($A15="","",SUMIFS(Assignments!$X$2:$X$769,Assignments!$A$2:$A$769,$A15,Assignments!$G$2:$G$769,"Active",Assignments!$V$2:$V$769,"&lt;="&amp;T$4,Assignments!$W$2:$W$769,"&gt;="&amp;T$4)+SUMIFS(Assignments!$AA$2:$AA$769,Assignments!$A$2:$A$769,$A15,Assignments!$G$2:$G$769,"Active",Assignments!$Y$2:$Y$769,"&lt;="&amp;T$4,Assignments!$Z$2:$Z$769,"&gt;="&amp;T$4))</f>
        <v/>
      </c>
      <c r="U15" s="11">
        <f>IF($A15="","",SUMIFS(Assignments!$X$2:$X$769,Assignments!$A$2:$A$769,$A15,Assignments!$G$2:$G$769,"Active",Assignments!$V$2:$V$769,"&lt;="&amp;U$4,Assignments!$W$2:$W$769,"&gt;="&amp;U$4)+SUMIFS(Assignments!$AA$2:$AA$769,Assignments!$A$2:$A$769,$A15,Assignments!$G$2:$G$769,"Active",Assignments!$Y$2:$Y$769,"&lt;="&amp;U$4,Assignments!$Z$2:$Z$769,"&gt;="&amp;U$4))</f>
        <v/>
      </c>
      <c r="V15" s="11">
        <f>IF($A15="","",SUMIFS(Assignments!$X$2:$X$769,Assignments!$A$2:$A$769,$A15,Assignments!$G$2:$G$769,"Active",Assignments!$V$2:$V$769,"&lt;="&amp;V$4,Assignments!$W$2:$W$769,"&gt;="&amp;V$4)+SUMIFS(Assignments!$AA$2:$AA$769,Assignments!$A$2:$A$769,$A15,Assignments!$G$2:$G$769,"Active",Assignments!$Y$2:$Y$769,"&lt;="&amp;V$4,Assignments!$Z$2:$Z$769,"&gt;="&amp;V$4))</f>
        <v/>
      </c>
      <c r="W15" s="11">
        <f>IF($A15="","",SUMIFS(Assignments!$X$2:$X$769,Assignments!$A$2:$A$769,$A15,Assignments!$G$2:$G$769,"Active",Assignments!$V$2:$V$769,"&lt;="&amp;W$4,Assignments!$W$2:$W$769,"&gt;="&amp;W$4)+SUMIFS(Assignments!$AA$2:$AA$769,Assignments!$A$2:$A$769,$A15,Assignments!$G$2:$G$769,"Active",Assignments!$Y$2:$Y$769,"&lt;="&amp;W$4,Assignments!$Z$2:$Z$769,"&gt;="&amp;W$4))</f>
        <v/>
      </c>
      <c r="X15" s="11">
        <f>IF($A15="","",SUMIFS(Assignments!$X$2:$X$769,Assignments!$A$2:$A$769,$A15,Assignments!$G$2:$G$769,"Active",Assignments!$V$2:$V$769,"&lt;="&amp;X$4,Assignments!$W$2:$W$769,"&gt;="&amp;X$4)+SUMIFS(Assignments!$AA$2:$AA$769,Assignments!$A$2:$A$769,$A15,Assignments!$G$2:$G$769,"Active",Assignments!$Y$2:$Y$769,"&lt;="&amp;X$4,Assignments!$Z$2:$Z$769,"&gt;="&amp;X$4))</f>
        <v/>
      </c>
      <c r="Y15" s="11">
        <f>IF($A15="","",SUMIFS(Assignments!$X$2:$X$769,Assignments!$A$2:$A$769,$A15,Assignments!$G$2:$G$769,"Active",Assignments!$V$2:$V$769,"&lt;="&amp;Y$4,Assignments!$W$2:$W$769,"&gt;="&amp;Y$4)+SUMIFS(Assignments!$AA$2:$AA$769,Assignments!$A$2:$A$769,$A15,Assignments!$G$2:$G$769,"Active",Assignments!$Y$2:$Y$769,"&lt;="&amp;Y$4,Assignments!$Z$2:$Z$769,"&gt;="&amp;Y$4))</f>
        <v/>
      </c>
      <c r="Z15" s="11">
        <f>IF($A15="","",SUMIFS(Assignments!$X$2:$X$769,Assignments!$A$2:$A$769,$A15,Assignments!$G$2:$G$769,"Active",Assignments!$V$2:$V$769,"&lt;="&amp;Z$4,Assignments!$W$2:$W$769,"&gt;="&amp;Z$4)+SUMIFS(Assignments!$AA$2:$AA$769,Assignments!$A$2:$A$769,$A15,Assignments!$G$2:$G$769,"Active",Assignments!$Y$2:$Y$769,"&lt;="&amp;Z$4,Assignments!$Z$2:$Z$769,"&gt;="&amp;Z$4))</f>
        <v/>
      </c>
      <c r="AA15" s="11">
        <f>IF($A15="","",SUMIFS(Assignments!$X$2:$X$769,Assignments!$A$2:$A$769,$A15,Assignments!$G$2:$G$769,"Active",Assignments!$V$2:$V$769,"&lt;="&amp;AA$4,Assignments!$W$2:$W$769,"&gt;="&amp;AA$4)+SUMIFS(Assignments!$AA$2:$AA$769,Assignments!$A$2:$A$769,$A15,Assignments!$G$2:$G$769,"Active",Assignments!$Y$2:$Y$769,"&lt;="&amp;AA$4,Assignments!$Z$2:$Z$769,"&gt;="&amp;AA$4))</f>
        <v/>
      </c>
      <c r="AB15" s="11">
        <f>IF($A15="","",SUMIFS(Assignments!$X$2:$X$769,Assignments!$A$2:$A$769,$A15,Assignments!$G$2:$G$769,"Active",Assignments!$V$2:$V$769,"&lt;="&amp;AB$4,Assignments!$W$2:$W$769,"&gt;="&amp;AB$4)+SUMIFS(Assignments!$AA$2:$AA$769,Assignments!$A$2:$A$769,$A15,Assignments!$G$2:$G$769,"Active",Assignments!$Y$2:$Y$769,"&lt;="&amp;AB$4,Assignments!$Z$2:$Z$769,"&gt;="&amp;AB$4))</f>
        <v/>
      </c>
    </row>
    <row r="16">
      <c r="A16" s="9">
        <f>IF(Roster!$A13="","",Roster!$A13)</f>
        <v/>
      </c>
      <c r="B16" s="10">
        <f>IF($A16="","",IFERROR(INDEX(Roster!$D$2:$D$40,MATCH($A16,Roster!$A$2:$A$40,0)),""))</f>
        <v/>
      </c>
      <c r="C16" s="11">
        <f>IF($A16="","",SUMIFS(Assignments!$X$2:$X$769,Assignments!$A$2:$A$769,$A16,Assignments!$G$2:$G$769,"Active",Assignments!$V$2:$V$769,"&lt;="&amp;C$4,Assignments!$W$2:$W$769,"&gt;="&amp;C$4)+SUMIFS(Assignments!$AA$2:$AA$769,Assignments!$A$2:$A$769,$A16,Assignments!$G$2:$G$769,"Active",Assignments!$Y$2:$Y$769,"&lt;="&amp;C$4,Assignments!$Z$2:$Z$769,"&gt;="&amp;C$4))</f>
        <v/>
      </c>
      <c r="D16" s="11">
        <f>IF($A16="","",SUMIFS(Assignments!$X$2:$X$769,Assignments!$A$2:$A$769,$A16,Assignments!$G$2:$G$769,"Active",Assignments!$V$2:$V$769,"&lt;="&amp;D$4,Assignments!$W$2:$W$769,"&gt;="&amp;D$4)+SUMIFS(Assignments!$AA$2:$AA$769,Assignments!$A$2:$A$769,$A16,Assignments!$G$2:$G$769,"Active",Assignments!$Y$2:$Y$769,"&lt;="&amp;D$4,Assignments!$Z$2:$Z$769,"&gt;="&amp;D$4))</f>
        <v/>
      </c>
      <c r="E16" s="11">
        <f>IF($A16="","",SUMIFS(Assignments!$X$2:$X$769,Assignments!$A$2:$A$769,$A16,Assignments!$G$2:$G$769,"Active",Assignments!$V$2:$V$769,"&lt;="&amp;E$4,Assignments!$W$2:$W$769,"&gt;="&amp;E$4)+SUMIFS(Assignments!$AA$2:$AA$769,Assignments!$A$2:$A$769,$A16,Assignments!$G$2:$G$769,"Active",Assignments!$Y$2:$Y$769,"&lt;="&amp;E$4,Assignments!$Z$2:$Z$769,"&gt;="&amp;E$4))</f>
        <v/>
      </c>
      <c r="F16" s="11">
        <f>IF($A16="","",SUMIFS(Assignments!$X$2:$X$769,Assignments!$A$2:$A$769,$A16,Assignments!$G$2:$G$769,"Active",Assignments!$V$2:$V$769,"&lt;="&amp;F$4,Assignments!$W$2:$W$769,"&gt;="&amp;F$4)+SUMIFS(Assignments!$AA$2:$AA$769,Assignments!$A$2:$A$769,$A16,Assignments!$G$2:$G$769,"Active",Assignments!$Y$2:$Y$769,"&lt;="&amp;F$4,Assignments!$Z$2:$Z$769,"&gt;="&amp;F$4))</f>
        <v/>
      </c>
      <c r="G16" s="11">
        <f>IF($A16="","",SUMIFS(Assignments!$X$2:$X$769,Assignments!$A$2:$A$769,$A16,Assignments!$G$2:$G$769,"Active",Assignments!$V$2:$V$769,"&lt;="&amp;G$4,Assignments!$W$2:$W$769,"&gt;="&amp;G$4)+SUMIFS(Assignments!$AA$2:$AA$769,Assignments!$A$2:$A$769,$A16,Assignments!$G$2:$G$769,"Active",Assignments!$Y$2:$Y$769,"&lt;="&amp;G$4,Assignments!$Z$2:$Z$769,"&gt;="&amp;G$4))</f>
        <v/>
      </c>
      <c r="H16" s="11">
        <f>IF($A16="","",SUMIFS(Assignments!$X$2:$X$769,Assignments!$A$2:$A$769,$A16,Assignments!$G$2:$G$769,"Active",Assignments!$V$2:$V$769,"&lt;="&amp;H$4,Assignments!$W$2:$W$769,"&gt;="&amp;H$4)+SUMIFS(Assignments!$AA$2:$AA$769,Assignments!$A$2:$A$769,$A16,Assignments!$G$2:$G$769,"Active",Assignments!$Y$2:$Y$769,"&lt;="&amp;H$4,Assignments!$Z$2:$Z$769,"&gt;="&amp;H$4))</f>
        <v/>
      </c>
      <c r="I16" s="11">
        <f>IF($A16="","",SUMIFS(Assignments!$X$2:$X$769,Assignments!$A$2:$A$769,$A16,Assignments!$G$2:$G$769,"Active",Assignments!$V$2:$V$769,"&lt;="&amp;I$4,Assignments!$W$2:$W$769,"&gt;="&amp;I$4)+SUMIFS(Assignments!$AA$2:$AA$769,Assignments!$A$2:$A$769,$A16,Assignments!$G$2:$G$769,"Active",Assignments!$Y$2:$Y$769,"&lt;="&amp;I$4,Assignments!$Z$2:$Z$769,"&gt;="&amp;I$4))</f>
        <v/>
      </c>
      <c r="J16" s="11">
        <f>IF($A16="","",SUMIFS(Assignments!$X$2:$X$769,Assignments!$A$2:$A$769,$A16,Assignments!$G$2:$G$769,"Active",Assignments!$V$2:$V$769,"&lt;="&amp;J$4,Assignments!$W$2:$W$769,"&gt;="&amp;J$4)+SUMIFS(Assignments!$AA$2:$AA$769,Assignments!$A$2:$A$769,$A16,Assignments!$G$2:$G$769,"Active",Assignments!$Y$2:$Y$769,"&lt;="&amp;J$4,Assignments!$Z$2:$Z$769,"&gt;="&amp;J$4))</f>
        <v/>
      </c>
      <c r="K16" s="11">
        <f>IF($A16="","",SUMIFS(Assignments!$X$2:$X$769,Assignments!$A$2:$A$769,$A16,Assignments!$G$2:$G$769,"Active",Assignments!$V$2:$V$769,"&lt;="&amp;K$4,Assignments!$W$2:$W$769,"&gt;="&amp;K$4)+SUMIFS(Assignments!$AA$2:$AA$769,Assignments!$A$2:$A$769,$A16,Assignments!$G$2:$G$769,"Active",Assignments!$Y$2:$Y$769,"&lt;="&amp;K$4,Assignments!$Z$2:$Z$769,"&gt;="&amp;K$4))</f>
        <v/>
      </c>
      <c r="L16" s="11">
        <f>IF($A16="","",SUMIFS(Assignments!$X$2:$X$769,Assignments!$A$2:$A$769,$A16,Assignments!$G$2:$G$769,"Active",Assignments!$V$2:$V$769,"&lt;="&amp;L$4,Assignments!$W$2:$W$769,"&gt;="&amp;L$4)+SUMIFS(Assignments!$AA$2:$AA$769,Assignments!$A$2:$A$769,$A16,Assignments!$G$2:$G$769,"Active",Assignments!$Y$2:$Y$769,"&lt;="&amp;L$4,Assignments!$Z$2:$Z$769,"&gt;="&amp;L$4))</f>
        <v/>
      </c>
      <c r="M16" s="11">
        <f>IF($A16="","",SUMIFS(Assignments!$X$2:$X$769,Assignments!$A$2:$A$769,$A16,Assignments!$G$2:$G$769,"Active",Assignments!$V$2:$V$769,"&lt;="&amp;M$4,Assignments!$W$2:$W$769,"&gt;="&amp;M$4)+SUMIFS(Assignments!$AA$2:$AA$769,Assignments!$A$2:$A$769,$A16,Assignments!$G$2:$G$769,"Active",Assignments!$Y$2:$Y$769,"&lt;="&amp;M$4,Assignments!$Z$2:$Z$769,"&gt;="&amp;M$4))</f>
        <v/>
      </c>
      <c r="N16" s="11">
        <f>IF($A16="","",SUMIFS(Assignments!$X$2:$X$769,Assignments!$A$2:$A$769,$A16,Assignments!$G$2:$G$769,"Active",Assignments!$V$2:$V$769,"&lt;="&amp;N$4,Assignments!$W$2:$W$769,"&gt;="&amp;N$4)+SUMIFS(Assignments!$AA$2:$AA$769,Assignments!$A$2:$A$769,$A16,Assignments!$G$2:$G$769,"Active",Assignments!$Y$2:$Y$769,"&lt;="&amp;N$4,Assignments!$Z$2:$Z$769,"&gt;="&amp;N$4))</f>
        <v/>
      </c>
      <c r="O16" s="11">
        <f>IF($A16="","",SUMIFS(Assignments!$X$2:$X$769,Assignments!$A$2:$A$769,$A16,Assignments!$G$2:$G$769,"Active",Assignments!$V$2:$V$769,"&lt;="&amp;O$4,Assignments!$W$2:$W$769,"&gt;="&amp;O$4)+SUMIFS(Assignments!$AA$2:$AA$769,Assignments!$A$2:$A$769,$A16,Assignments!$G$2:$G$769,"Active",Assignments!$Y$2:$Y$769,"&lt;="&amp;O$4,Assignments!$Z$2:$Z$769,"&gt;="&amp;O$4))</f>
        <v/>
      </c>
      <c r="P16" s="11">
        <f>IF($A16="","",SUMIFS(Assignments!$X$2:$X$769,Assignments!$A$2:$A$769,$A16,Assignments!$G$2:$G$769,"Active",Assignments!$V$2:$V$769,"&lt;="&amp;P$4,Assignments!$W$2:$W$769,"&gt;="&amp;P$4)+SUMIFS(Assignments!$AA$2:$AA$769,Assignments!$A$2:$A$769,$A16,Assignments!$G$2:$G$769,"Active",Assignments!$Y$2:$Y$769,"&lt;="&amp;P$4,Assignments!$Z$2:$Z$769,"&gt;="&amp;P$4))</f>
        <v/>
      </c>
      <c r="Q16" s="11">
        <f>IF($A16="","",SUMIFS(Assignments!$X$2:$X$769,Assignments!$A$2:$A$769,$A16,Assignments!$G$2:$G$769,"Active",Assignments!$V$2:$V$769,"&lt;="&amp;Q$4,Assignments!$W$2:$W$769,"&gt;="&amp;Q$4)+SUMIFS(Assignments!$AA$2:$AA$769,Assignments!$A$2:$A$769,$A16,Assignments!$G$2:$G$769,"Active",Assignments!$Y$2:$Y$769,"&lt;="&amp;Q$4,Assignments!$Z$2:$Z$769,"&gt;="&amp;Q$4))</f>
        <v/>
      </c>
      <c r="R16" s="11">
        <f>IF($A16="","",SUMIFS(Assignments!$X$2:$X$769,Assignments!$A$2:$A$769,$A16,Assignments!$G$2:$G$769,"Active",Assignments!$V$2:$V$769,"&lt;="&amp;R$4,Assignments!$W$2:$W$769,"&gt;="&amp;R$4)+SUMIFS(Assignments!$AA$2:$AA$769,Assignments!$A$2:$A$769,$A16,Assignments!$G$2:$G$769,"Active",Assignments!$Y$2:$Y$769,"&lt;="&amp;R$4,Assignments!$Z$2:$Z$769,"&gt;="&amp;R$4))</f>
        <v/>
      </c>
      <c r="S16" s="11">
        <f>IF($A16="","",SUMIFS(Assignments!$X$2:$X$769,Assignments!$A$2:$A$769,$A16,Assignments!$G$2:$G$769,"Active",Assignments!$V$2:$V$769,"&lt;="&amp;S$4,Assignments!$W$2:$W$769,"&gt;="&amp;S$4)+SUMIFS(Assignments!$AA$2:$AA$769,Assignments!$A$2:$A$769,$A16,Assignments!$G$2:$G$769,"Active",Assignments!$Y$2:$Y$769,"&lt;="&amp;S$4,Assignments!$Z$2:$Z$769,"&gt;="&amp;S$4))</f>
        <v/>
      </c>
      <c r="T16" s="11">
        <f>IF($A16="","",SUMIFS(Assignments!$X$2:$X$769,Assignments!$A$2:$A$769,$A16,Assignments!$G$2:$G$769,"Active",Assignments!$V$2:$V$769,"&lt;="&amp;T$4,Assignments!$W$2:$W$769,"&gt;="&amp;T$4)+SUMIFS(Assignments!$AA$2:$AA$769,Assignments!$A$2:$A$769,$A16,Assignments!$G$2:$G$769,"Active",Assignments!$Y$2:$Y$769,"&lt;="&amp;T$4,Assignments!$Z$2:$Z$769,"&gt;="&amp;T$4))</f>
        <v/>
      </c>
      <c r="U16" s="11">
        <f>IF($A16="","",SUMIFS(Assignments!$X$2:$X$769,Assignments!$A$2:$A$769,$A16,Assignments!$G$2:$G$769,"Active",Assignments!$V$2:$V$769,"&lt;="&amp;U$4,Assignments!$W$2:$W$769,"&gt;="&amp;U$4)+SUMIFS(Assignments!$AA$2:$AA$769,Assignments!$A$2:$A$769,$A16,Assignments!$G$2:$G$769,"Active",Assignments!$Y$2:$Y$769,"&lt;="&amp;U$4,Assignments!$Z$2:$Z$769,"&gt;="&amp;U$4))</f>
        <v/>
      </c>
      <c r="V16" s="11">
        <f>IF($A16="","",SUMIFS(Assignments!$X$2:$X$769,Assignments!$A$2:$A$769,$A16,Assignments!$G$2:$G$769,"Active",Assignments!$V$2:$V$769,"&lt;="&amp;V$4,Assignments!$W$2:$W$769,"&gt;="&amp;V$4)+SUMIFS(Assignments!$AA$2:$AA$769,Assignments!$A$2:$A$769,$A16,Assignments!$G$2:$G$769,"Active",Assignments!$Y$2:$Y$769,"&lt;="&amp;V$4,Assignments!$Z$2:$Z$769,"&gt;="&amp;V$4))</f>
        <v/>
      </c>
      <c r="W16" s="11">
        <f>IF($A16="","",SUMIFS(Assignments!$X$2:$X$769,Assignments!$A$2:$A$769,$A16,Assignments!$G$2:$G$769,"Active",Assignments!$V$2:$V$769,"&lt;="&amp;W$4,Assignments!$W$2:$W$769,"&gt;="&amp;W$4)+SUMIFS(Assignments!$AA$2:$AA$769,Assignments!$A$2:$A$769,$A16,Assignments!$G$2:$G$769,"Active",Assignments!$Y$2:$Y$769,"&lt;="&amp;W$4,Assignments!$Z$2:$Z$769,"&gt;="&amp;W$4))</f>
        <v/>
      </c>
      <c r="X16" s="11">
        <f>IF($A16="","",SUMIFS(Assignments!$X$2:$X$769,Assignments!$A$2:$A$769,$A16,Assignments!$G$2:$G$769,"Active",Assignments!$V$2:$V$769,"&lt;="&amp;X$4,Assignments!$W$2:$W$769,"&gt;="&amp;X$4)+SUMIFS(Assignments!$AA$2:$AA$769,Assignments!$A$2:$A$769,$A16,Assignments!$G$2:$G$769,"Active",Assignments!$Y$2:$Y$769,"&lt;="&amp;X$4,Assignments!$Z$2:$Z$769,"&gt;="&amp;X$4))</f>
        <v/>
      </c>
      <c r="Y16" s="11">
        <f>IF($A16="","",SUMIFS(Assignments!$X$2:$X$769,Assignments!$A$2:$A$769,$A16,Assignments!$G$2:$G$769,"Active",Assignments!$V$2:$V$769,"&lt;="&amp;Y$4,Assignments!$W$2:$W$769,"&gt;="&amp;Y$4)+SUMIFS(Assignments!$AA$2:$AA$769,Assignments!$A$2:$A$769,$A16,Assignments!$G$2:$G$769,"Active",Assignments!$Y$2:$Y$769,"&lt;="&amp;Y$4,Assignments!$Z$2:$Z$769,"&gt;="&amp;Y$4))</f>
        <v/>
      </c>
      <c r="Z16" s="11">
        <f>IF($A16="","",SUMIFS(Assignments!$X$2:$X$769,Assignments!$A$2:$A$769,$A16,Assignments!$G$2:$G$769,"Active",Assignments!$V$2:$V$769,"&lt;="&amp;Z$4,Assignments!$W$2:$W$769,"&gt;="&amp;Z$4)+SUMIFS(Assignments!$AA$2:$AA$769,Assignments!$A$2:$A$769,$A16,Assignments!$G$2:$G$769,"Active",Assignments!$Y$2:$Y$769,"&lt;="&amp;Z$4,Assignments!$Z$2:$Z$769,"&gt;="&amp;Z$4))</f>
        <v/>
      </c>
      <c r="AA16" s="11">
        <f>IF($A16="","",SUMIFS(Assignments!$X$2:$X$769,Assignments!$A$2:$A$769,$A16,Assignments!$G$2:$G$769,"Active",Assignments!$V$2:$V$769,"&lt;="&amp;AA$4,Assignments!$W$2:$W$769,"&gt;="&amp;AA$4)+SUMIFS(Assignments!$AA$2:$AA$769,Assignments!$A$2:$A$769,$A16,Assignments!$G$2:$G$769,"Active",Assignments!$Y$2:$Y$769,"&lt;="&amp;AA$4,Assignments!$Z$2:$Z$769,"&gt;="&amp;AA$4))</f>
        <v/>
      </c>
      <c r="AB16" s="11">
        <f>IF($A16="","",SUMIFS(Assignments!$X$2:$X$769,Assignments!$A$2:$A$769,$A16,Assignments!$G$2:$G$769,"Active",Assignments!$V$2:$V$769,"&lt;="&amp;AB$4,Assignments!$W$2:$W$769,"&gt;="&amp;AB$4)+SUMIFS(Assignments!$AA$2:$AA$769,Assignments!$A$2:$A$769,$A16,Assignments!$G$2:$G$769,"Active",Assignments!$Y$2:$Y$769,"&lt;="&amp;AB$4,Assignments!$Z$2:$Z$769,"&gt;="&amp;AB$4))</f>
        <v/>
      </c>
    </row>
    <row r="17">
      <c r="A17" s="9">
        <f>IF(Roster!$A14="","",Roster!$A14)</f>
        <v/>
      </c>
      <c r="B17" s="10">
        <f>IF($A17="","",IFERROR(INDEX(Roster!$D$2:$D$40,MATCH($A17,Roster!$A$2:$A$40,0)),""))</f>
        <v/>
      </c>
      <c r="C17" s="11">
        <f>IF($A17="","",SUMIFS(Assignments!$X$2:$X$769,Assignments!$A$2:$A$769,$A17,Assignments!$G$2:$G$769,"Active",Assignments!$V$2:$V$769,"&lt;="&amp;C$4,Assignments!$W$2:$W$769,"&gt;="&amp;C$4)+SUMIFS(Assignments!$AA$2:$AA$769,Assignments!$A$2:$A$769,$A17,Assignments!$G$2:$G$769,"Active",Assignments!$Y$2:$Y$769,"&lt;="&amp;C$4,Assignments!$Z$2:$Z$769,"&gt;="&amp;C$4))</f>
        <v/>
      </c>
      <c r="D17" s="11">
        <f>IF($A17="","",SUMIFS(Assignments!$X$2:$X$769,Assignments!$A$2:$A$769,$A17,Assignments!$G$2:$G$769,"Active",Assignments!$V$2:$V$769,"&lt;="&amp;D$4,Assignments!$W$2:$W$769,"&gt;="&amp;D$4)+SUMIFS(Assignments!$AA$2:$AA$769,Assignments!$A$2:$A$769,$A17,Assignments!$G$2:$G$769,"Active",Assignments!$Y$2:$Y$769,"&lt;="&amp;D$4,Assignments!$Z$2:$Z$769,"&gt;="&amp;D$4))</f>
        <v/>
      </c>
      <c r="E17" s="11">
        <f>IF($A17="","",SUMIFS(Assignments!$X$2:$X$769,Assignments!$A$2:$A$769,$A17,Assignments!$G$2:$G$769,"Active",Assignments!$V$2:$V$769,"&lt;="&amp;E$4,Assignments!$W$2:$W$769,"&gt;="&amp;E$4)+SUMIFS(Assignments!$AA$2:$AA$769,Assignments!$A$2:$A$769,$A17,Assignments!$G$2:$G$769,"Active",Assignments!$Y$2:$Y$769,"&lt;="&amp;E$4,Assignments!$Z$2:$Z$769,"&gt;="&amp;E$4))</f>
        <v/>
      </c>
      <c r="F17" s="11">
        <f>IF($A17="","",SUMIFS(Assignments!$X$2:$X$769,Assignments!$A$2:$A$769,$A17,Assignments!$G$2:$G$769,"Active",Assignments!$V$2:$V$769,"&lt;="&amp;F$4,Assignments!$W$2:$W$769,"&gt;="&amp;F$4)+SUMIFS(Assignments!$AA$2:$AA$769,Assignments!$A$2:$A$769,$A17,Assignments!$G$2:$G$769,"Active",Assignments!$Y$2:$Y$769,"&lt;="&amp;F$4,Assignments!$Z$2:$Z$769,"&gt;="&amp;F$4))</f>
        <v/>
      </c>
      <c r="G17" s="11">
        <f>IF($A17="","",SUMIFS(Assignments!$X$2:$X$769,Assignments!$A$2:$A$769,$A17,Assignments!$G$2:$G$769,"Active",Assignments!$V$2:$V$769,"&lt;="&amp;G$4,Assignments!$W$2:$W$769,"&gt;="&amp;G$4)+SUMIFS(Assignments!$AA$2:$AA$769,Assignments!$A$2:$A$769,$A17,Assignments!$G$2:$G$769,"Active",Assignments!$Y$2:$Y$769,"&lt;="&amp;G$4,Assignments!$Z$2:$Z$769,"&gt;="&amp;G$4))</f>
        <v/>
      </c>
      <c r="H17" s="11">
        <f>IF($A17="","",SUMIFS(Assignments!$X$2:$X$769,Assignments!$A$2:$A$769,$A17,Assignments!$G$2:$G$769,"Active",Assignments!$V$2:$V$769,"&lt;="&amp;H$4,Assignments!$W$2:$W$769,"&gt;="&amp;H$4)+SUMIFS(Assignments!$AA$2:$AA$769,Assignments!$A$2:$A$769,$A17,Assignments!$G$2:$G$769,"Active",Assignments!$Y$2:$Y$769,"&lt;="&amp;H$4,Assignments!$Z$2:$Z$769,"&gt;="&amp;H$4))</f>
        <v/>
      </c>
      <c r="I17" s="11">
        <f>IF($A17="","",SUMIFS(Assignments!$X$2:$X$769,Assignments!$A$2:$A$769,$A17,Assignments!$G$2:$G$769,"Active",Assignments!$V$2:$V$769,"&lt;="&amp;I$4,Assignments!$W$2:$W$769,"&gt;="&amp;I$4)+SUMIFS(Assignments!$AA$2:$AA$769,Assignments!$A$2:$A$769,$A17,Assignments!$G$2:$G$769,"Active",Assignments!$Y$2:$Y$769,"&lt;="&amp;I$4,Assignments!$Z$2:$Z$769,"&gt;="&amp;I$4))</f>
        <v/>
      </c>
      <c r="J17" s="11">
        <f>IF($A17="","",SUMIFS(Assignments!$X$2:$X$769,Assignments!$A$2:$A$769,$A17,Assignments!$G$2:$G$769,"Active",Assignments!$V$2:$V$769,"&lt;="&amp;J$4,Assignments!$W$2:$W$769,"&gt;="&amp;J$4)+SUMIFS(Assignments!$AA$2:$AA$769,Assignments!$A$2:$A$769,$A17,Assignments!$G$2:$G$769,"Active",Assignments!$Y$2:$Y$769,"&lt;="&amp;J$4,Assignments!$Z$2:$Z$769,"&gt;="&amp;J$4))</f>
        <v/>
      </c>
      <c r="K17" s="11">
        <f>IF($A17="","",SUMIFS(Assignments!$X$2:$X$769,Assignments!$A$2:$A$769,$A17,Assignments!$G$2:$G$769,"Active",Assignments!$V$2:$V$769,"&lt;="&amp;K$4,Assignments!$W$2:$W$769,"&gt;="&amp;K$4)+SUMIFS(Assignments!$AA$2:$AA$769,Assignments!$A$2:$A$769,$A17,Assignments!$G$2:$G$769,"Active",Assignments!$Y$2:$Y$769,"&lt;="&amp;K$4,Assignments!$Z$2:$Z$769,"&gt;="&amp;K$4))</f>
        <v/>
      </c>
      <c r="L17" s="11">
        <f>IF($A17="","",SUMIFS(Assignments!$X$2:$X$769,Assignments!$A$2:$A$769,$A17,Assignments!$G$2:$G$769,"Active",Assignments!$V$2:$V$769,"&lt;="&amp;L$4,Assignments!$W$2:$W$769,"&gt;="&amp;L$4)+SUMIFS(Assignments!$AA$2:$AA$769,Assignments!$A$2:$A$769,$A17,Assignments!$G$2:$G$769,"Active",Assignments!$Y$2:$Y$769,"&lt;="&amp;L$4,Assignments!$Z$2:$Z$769,"&gt;="&amp;L$4))</f>
        <v/>
      </c>
      <c r="M17" s="11">
        <f>IF($A17="","",SUMIFS(Assignments!$X$2:$X$769,Assignments!$A$2:$A$769,$A17,Assignments!$G$2:$G$769,"Active",Assignments!$V$2:$V$769,"&lt;="&amp;M$4,Assignments!$W$2:$W$769,"&gt;="&amp;M$4)+SUMIFS(Assignments!$AA$2:$AA$769,Assignments!$A$2:$A$769,$A17,Assignments!$G$2:$G$769,"Active",Assignments!$Y$2:$Y$769,"&lt;="&amp;M$4,Assignments!$Z$2:$Z$769,"&gt;="&amp;M$4))</f>
        <v/>
      </c>
      <c r="N17" s="11">
        <f>IF($A17="","",SUMIFS(Assignments!$X$2:$X$769,Assignments!$A$2:$A$769,$A17,Assignments!$G$2:$G$769,"Active",Assignments!$V$2:$V$769,"&lt;="&amp;N$4,Assignments!$W$2:$W$769,"&gt;="&amp;N$4)+SUMIFS(Assignments!$AA$2:$AA$769,Assignments!$A$2:$A$769,$A17,Assignments!$G$2:$G$769,"Active",Assignments!$Y$2:$Y$769,"&lt;="&amp;N$4,Assignments!$Z$2:$Z$769,"&gt;="&amp;N$4))</f>
        <v/>
      </c>
      <c r="O17" s="11">
        <f>IF($A17="","",SUMIFS(Assignments!$X$2:$X$769,Assignments!$A$2:$A$769,$A17,Assignments!$G$2:$G$769,"Active",Assignments!$V$2:$V$769,"&lt;="&amp;O$4,Assignments!$W$2:$W$769,"&gt;="&amp;O$4)+SUMIFS(Assignments!$AA$2:$AA$769,Assignments!$A$2:$A$769,$A17,Assignments!$G$2:$G$769,"Active",Assignments!$Y$2:$Y$769,"&lt;="&amp;O$4,Assignments!$Z$2:$Z$769,"&gt;="&amp;O$4))</f>
        <v/>
      </c>
      <c r="P17" s="11">
        <f>IF($A17="","",SUMIFS(Assignments!$X$2:$X$769,Assignments!$A$2:$A$769,$A17,Assignments!$G$2:$G$769,"Active",Assignments!$V$2:$V$769,"&lt;="&amp;P$4,Assignments!$W$2:$W$769,"&gt;="&amp;P$4)+SUMIFS(Assignments!$AA$2:$AA$769,Assignments!$A$2:$A$769,$A17,Assignments!$G$2:$G$769,"Active",Assignments!$Y$2:$Y$769,"&lt;="&amp;P$4,Assignments!$Z$2:$Z$769,"&gt;="&amp;P$4))</f>
        <v/>
      </c>
      <c r="Q17" s="11">
        <f>IF($A17="","",SUMIFS(Assignments!$X$2:$X$769,Assignments!$A$2:$A$769,$A17,Assignments!$G$2:$G$769,"Active",Assignments!$V$2:$V$769,"&lt;="&amp;Q$4,Assignments!$W$2:$W$769,"&gt;="&amp;Q$4)+SUMIFS(Assignments!$AA$2:$AA$769,Assignments!$A$2:$A$769,$A17,Assignments!$G$2:$G$769,"Active",Assignments!$Y$2:$Y$769,"&lt;="&amp;Q$4,Assignments!$Z$2:$Z$769,"&gt;="&amp;Q$4))</f>
        <v/>
      </c>
      <c r="R17" s="11">
        <f>IF($A17="","",SUMIFS(Assignments!$X$2:$X$769,Assignments!$A$2:$A$769,$A17,Assignments!$G$2:$G$769,"Active",Assignments!$V$2:$V$769,"&lt;="&amp;R$4,Assignments!$W$2:$W$769,"&gt;="&amp;R$4)+SUMIFS(Assignments!$AA$2:$AA$769,Assignments!$A$2:$A$769,$A17,Assignments!$G$2:$G$769,"Active",Assignments!$Y$2:$Y$769,"&lt;="&amp;R$4,Assignments!$Z$2:$Z$769,"&gt;="&amp;R$4))</f>
        <v/>
      </c>
      <c r="S17" s="11">
        <f>IF($A17="","",SUMIFS(Assignments!$X$2:$X$769,Assignments!$A$2:$A$769,$A17,Assignments!$G$2:$G$769,"Active",Assignments!$V$2:$V$769,"&lt;="&amp;S$4,Assignments!$W$2:$W$769,"&gt;="&amp;S$4)+SUMIFS(Assignments!$AA$2:$AA$769,Assignments!$A$2:$A$769,$A17,Assignments!$G$2:$G$769,"Active",Assignments!$Y$2:$Y$769,"&lt;="&amp;S$4,Assignments!$Z$2:$Z$769,"&gt;="&amp;S$4))</f>
        <v/>
      </c>
      <c r="T17" s="11">
        <f>IF($A17="","",SUMIFS(Assignments!$X$2:$X$769,Assignments!$A$2:$A$769,$A17,Assignments!$G$2:$G$769,"Active",Assignments!$V$2:$V$769,"&lt;="&amp;T$4,Assignments!$W$2:$W$769,"&gt;="&amp;T$4)+SUMIFS(Assignments!$AA$2:$AA$769,Assignments!$A$2:$A$769,$A17,Assignments!$G$2:$G$769,"Active",Assignments!$Y$2:$Y$769,"&lt;="&amp;T$4,Assignments!$Z$2:$Z$769,"&gt;="&amp;T$4))</f>
        <v/>
      </c>
      <c r="U17" s="11">
        <f>IF($A17="","",SUMIFS(Assignments!$X$2:$X$769,Assignments!$A$2:$A$769,$A17,Assignments!$G$2:$G$769,"Active",Assignments!$V$2:$V$769,"&lt;="&amp;U$4,Assignments!$W$2:$W$769,"&gt;="&amp;U$4)+SUMIFS(Assignments!$AA$2:$AA$769,Assignments!$A$2:$A$769,$A17,Assignments!$G$2:$G$769,"Active",Assignments!$Y$2:$Y$769,"&lt;="&amp;U$4,Assignments!$Z$2:$Z$769,"&gt;="&amp;U$4))</f>
        <v/>
      </c>
      <c r="V17" s="11">
        <f>IF($A17="","",SUMIFS(Assignments!$X$2:$X$769,Assignments!$A$2:$A$769,$A17,Assignments!$G$2:$G$769,"Active",Assignments!$V$2:$V$769,"&lt;="&amp;V$4,Assignments!$W$2:$W$769,"&gt;="&amp;V$4)+SUMIFS(Assignments!$AA$2:$AA$769,Assignments!$A$2:$A$769,$A17,Assignments!$G$2:$G$769,"Active",Assignments!$Y$2:$Y$769,"&lt;="&amp;V$4,Assignments!$Z$2:$Z$769,"&gt;="&amp;V$4))</f>
        <v/>
      </c>
      <c r="W17" s="11">
        <f>IF($A17="","",SUMIFS(Assignments!$X$2:$X$769,Assignments!$A$2:$A$769,$A17,Assignments!$G$2:$G$769,"Active",Assignments!$V$2:$V$769,"&lt;="&amp;W$4,Assignments!$W$2:$W$769,"&gt;="&amp;W$4)+SUMIFS(Assignments!$AA$2:$AA$769,Assignments!$A$2:$A$769,$A17,Assignments!$G$2:$G$769,"Active",Assignments!$Y$2:$Y$769,"&lt;="&amp;W$4,Assignments!$Z$2:$Z$769,"&gt;="&amp;W$4))</f>
        <v/>
      </c>
      <c r="X17" s="11">
        <f>IF($A17="","",SUMIFS(Assignments!$X$2:$X$769,Assignments!$A$2:$A$769,$A17,Assignments!$G$2:$G$769,"Active",Assignments!$V$2:$V$769,"&lt;="&amp;X$4,Assignments!$W$2:$W$769,"&gt;="&amp;X$4)+SUMIFS(Assignments!$AA$2:$AA$769,Assignments!$A$2:$A$769,$A17,Assignments!$G$2:$G$769,"Active",Assignments!$Y$2:$Y$769,"&lt;="&amp;X$4,Assignments!$Z$2:$Z$769,"&gt;="&amp;X$4))</f>
        <v/>
      </c>
      <c r="Y17" s="11">
        <f>IF($A17="","",SUMIFS(Assignments!$X$2:$X$769,Assignments!$A$2:$A$769,$A17,Assignments!$G$2:$G$769,"Active",Assignments!$V$2:$V$769,"&lt;="&amp;Y$4,Assignments!$W$2:$W$769,"&gt;="&amp;Y$4)+SUMIFS(Assignments!$AA$2:$AA$769,Assignments!$A$2:$A$769,$A17,Assignments!$G$2:$G$769,"Active",Assignments!$Y$2:$Y$769,"&lt;="&amp;Y$4,Assignments!$Z$2:$Z$769,"&gt;="&amp;Y$4))</f>
        <v/>
      </c>
      <c r="Z17" s="11">
        <f>IF($A17="","",SUMIFS(Assignments!$X$2:$X$769,Assignments!$A$2:$A$769,$A17,Assignments!$G$2:$G$769,"Active",Assignments!$V$2:$V$769,"&lt;="&amp;Z$4,Assignments!$W$2:$W$769,"&gt;="&amp;Z$4)+SUMIFS(Assignments!$AA$2:$AA$769,Assignments!$A$2:$A$769,$A17,Assignments!$G$2:$G$769,"Active",Assignments!$Y$2:$Y$769,"&lt;="&amp;Z$4,Assignments!$Z$2:$Z$769,"&gt;="&amp;Z$4))</f>
        <v/>
      </c>
      <c r="AA17" s="11">
        <f>IF($A17="","",SUMIFS(Assignments!$X$2:$X$769,Assignments!$A$2:$A$769,$A17,Assignments!$G$2:$G$769,"Active",Assignments!$V$2:$V$769,"&lt;="&amp;AA$4,Assignments!$W$2:$W$769,"&gt;="&amp;AA$4)+SUMIFS(Assignments!$AA$2:$AA$769,Assignments!$A$2:$A$769,$A17,Assignments!$G$2:$G$769,"Active",Assignments!$Y$2:$Y$769,"&lt;="&amp;AA$4,Assignments!$Z$2:$Z$769,"&gt;="&amp;AA$4))</f>
        <v/>
      </c>
      <c r="AB17" s="11">
        <f>IF($A17="","",SUMIFS(Assignments!$X$2:$X$769,Assignments!$A$2:$A$769,$A17,Assignments!$G$2:$G$769,"Active",Assignments!$V$2:$V$769,"&lt;="&amp;AB$4,Assignments!$W$2:$W$769,"&gt;="&amp;AB$4)+SUMIFS(Assignments!$AA$2:$AA$769,Assignments!$A$2:$A$769,$A17,Assignments!$G$2:$G$769,"Active",Assignments!$Y$2:$Y$769,"&lt;="&amp;AB$4,Assignments!$Z$2:$Z$769,"&gt;="&amp;AB$4))</f>
        <v/>
      </c>
    </row>
    <row r="18">
      <c r="A18" s="9">
        <f>IF(Roster!$A15="","",Roster!$A15)</f>
        <v/>
      </c>
      <c r="B18" s="10">
        <f>IF($A18="","",IFERROR(INDEX(Roster!$D$2:$D$40,MATCH($A18,Roster!$A$2:$A$40,0)),""))</f>
        <v/>
      </c>
      <c r="C18" s="11">
        <f>IF($A18="","",SUMIFS(Assignments!$X$2:$X$769,Assignments!$A$2:$A$769,$A18,Assignments!$G$2:$G$769,"Active",Assignments!$V$2:$V$769,"&lt;="&amp;C$4,Assignments!$W$2:$W$769,"&gt;="&amp;C$4)+SUMIFS(Assignments!$AA$2:$AA$769,Assignments!$A$2:$A$769,$A18,Assignments!$G$2:$G$769,"Active",Assignments!$Y$2:$Y$769,"&lt;="&amp;C$4,Assignments!$Z$2:$Z$769,"&gt;="&amp;C$4))</f>
        <v/>
      </c>
      <c r="D18" s="11">
        <f>IF($A18="","",SUMIFS(Assignments!$X$2:$X$769,Assignments!$A$2:$A$769,$A18,Assignments!$G$2:$G$769,"Active",Assignments!$V$2:$V$769,"&lt;="&amp;D$4,Assignments!$W$2:$W$769,"&gt;="&amp;D$4)+SUMIFS(Assignments!$AA$2:$AA$769,Assignments!$A$2:$A$769,$A18,Assignments!$G$2:$G$769,"Active",Assignments!$Y$2:$Y$769,"&lt;="&amp;D$4,Assignments!$Z$2:$Z$769,"&gt;="&amp;D$4))</f>
        <v/>
      </c>
      <c r="E18" s="11">
        <f>IF($A18="","",SUMIFS(Assignments!$X$2:$X$769,Assignments!$A$2:$A$769,$A18,Assignments!$G$2:$G$769,"Active",Assignments!$V$2:$V$769,"&lt;="&amp;E$4,Assignments!$W$2:$W$769,"&gt;="&amp;E$4)+SUMIFS(Assignments!$AA$2:$AA$769,Assignments!$A$2:$A$769,$A18,Assignments!$G$2:$G$769,"Active",Assignments!$Y$2:$Y$769,"&lt;="&amp;E$4,Assignments!$Z$2:$Z$769,"&gt;="&amp;E$4))</f>
        <v/>
      </c>
      <c r="F18" s="11">
        <f>IF($A18="","",SUMIFS(Assignments!$X$2:$X$769,Assignments!$A$2:$A$769,$A18,Assignments!$G$2:$G$769,"Active",Assignments!$V$2:$V$769,"&lt;="&amp;F$4,Assignments!$W$2:$W$769,"&gt;="&amp;F$4)+SUMIFS(Assignments!$AA$2:$AA$769,Assignments!$A$2:$A$769,$A18,Assignments!$G$2:$G$769,"Active",Assignments!$Y$2:$Y$769,"&lt;="&amp;F$4,Assignments!$Z$2:$Z$769,"&gt;="&amp;F$4))</f>
        <v/>
      </c>
      <c r="G18" s="11">
        <f>IF($A18="","",SUMIFS(Assignments!$X$2:$X$769,Assignments!$A$2:$A$769,$A18,Assignments!$G$2:$G$769,"Active",Assignments!$V$2:$V$769,"&lt;="&amp;G$4,Assignments!$W$2:$W$769,"&gt;="&amp;G$4)+SUMIFS(Assignments!$AA$2:$AA$769,Assignments!$A$2:$A$769,$A18,Assignments!$G$2:$G$769,"Active",Assignments!$Y$2:$Y$769,"&lt;="&amp;G$4,Assignments!$Z$2:$Z$769,"&gt;="&amp;G$4))</f>
        <v/>
      </c>
      <c r="H18" s="11">
        <f>IF($A18="","",SUMIFS(Assignments!$X$2:$X$769,Assignments!$A$2:$A$769,$A18,Assignments!$G$2:$G$769,"Active",Assignments!$V$2:$V$769,"&lt;="&amp;H$4,Assignments!$W$2:$W$769,"&gt;="&amp;H$4)+SUMIFS(Assignments!$AA$2:$AA$769,Assignments!$A$2:$A$769,$A18,Assignments!$G$2:$G$769,"Active",Assignments!$Y$2:$Y$769,"&lt;="&amp;H$4,Assignments!$Z$2:$Z$769,"&gt;="&amp;H$4))</f>
        <v/>
      </c>
      <c r="I18" s="11">
        <f>IF($A18="","",SUMIFS(Assignments!$X$2:$X$769,Assignments!$A$2:$A$769,$A18,Assignments!$G$2:$G$769,"Active",Assignments!$V$2:$V$769,"&lt;="&amp;I$4,Assignments!$W$2:$W$769,"&gt;="&amp;I$4)+SUMIFS(Assignments!$AA$2:$AA$769,Assignments!$A$2:$A$769,$A18,Assignments!$G$2:$G$769,"Active",Assignments!$Y$2:$Y$769,"&lt;="&amp;I$4,Assignments!$Z$2:$Z$769,"&gt;="&amp;I$4))</f>
        <v/>
      </c>
      <c r="J18" s="11">
        <f>IF($A18="","",SUMIFS(Assignments!$X$2:$X$769,Assignments!$A$2:$A$769,$A18,Assignments!$G$2:$G$769,"Active",Assignments!$V$2:$V$769,"&lt;="&amp;J$4,Assignments!$W$2:$W$769,"&gt;="&amp;J$4)+SUMIFS(Assignments!$AA$2:$AA$769,Assignments!$A$2:$A$769,$A18,Assignments!$G$2:$G$769,"Active",Assignments!$Y$2:$Y$769,"&lt;="&amp;J$4,Assignments!$Z$2:$Z$769,"&gt;="&amp;J$4))</f>
        <v/>
      </c>
      <c r="K18" s="11">
        <f>IF($A18="","",SUMIFS(Assignments!$X$2:$X$769,Assignments!$A$2:$A$769,$A18,Assignments!$G$2:$G$769,"Active",Assignments!$V$2:$V$769,"&lt;="&amp;K$4,Assignments!$W$2:$W$769,"&gt;="&amp;K$4)+SUMIFS(Assignments!$AA$2:$AA$769,Assignments!$A$2:$A$769,$A18,Assignments!$G$2:$G$769,"Active",Assignments!$Y$2:$Y$769,"&lt;="&amp;K$4,Assignments!$Z$2:$Z$769,"&gt;="&amp;K$4))</f>
        <v/>
      </c>
      <c r="L18" s="11">
        <f>IF($A18="","",SUMIFS(Assignments!$X$2:$X$769,Assignments!$A$2:$A$769,$A18,Assignments!$G$2:$G$769,"Active",Assignments!$V$2:$V$769,"&lt;="&amp;L$4,Assignments!$W$2:$W$769,"&gt;="&amp;L$4)+SUMIFS(Assignments!$AA$2:$AA$769,Assignments!$A$2:$A$769,$A18,Assignments!$G$2:$G$769,"Active",Assignments!$Y$2:$Y$769,"&lt;="&amp;L$4,Assignments!$Z$2:$Z$769,"&gt;="&amp;L$4))</f>
        <v/>
      </c>
      <c r="M18" s="11">
        <f>IF($A18="","",SUMIFS(Assignments!$X$2:$X$769,Assignments!$A$2:$A$769,$A18,Assignments!$G$2:$G$769,"Active",Assignments!$V$2:$V$769,"&lt;="&amp;M$4,Assignments!$W$2:$W$769,"&gt;="&amp;M$4)+SUMIFS(Assignments!$AA$2:$AA$769,Assignments!$A$2:$A$769,$A18,Assignments!$G$2:$G$769,"Active",Assignments!$Y$2:$Y$769,"&lt;="&amp;M$4,Assignments!$Z$2:$Z$769,"&gt;="&amp;M$4))</f>
        <v/>
      </c>
      <c r="N18" s="11">
        <f>IF($A18="","",SUMIFS(Assignments!$X$2:$X$769,Assignments!$A$2:$A$769,$A18,Assignments!$G$2:$G$769,"Active",Assignments!$V$2:$V$769,"&lt;="&amp;N$4,Assignments!$W$2:$W$769,"&gt;="&amp;N$4)+SUMIFS(Assignments!$AA$2:$AA$769,Assignments!$A$2:$A$769,$A18,Assignments!$G$2:$G$769,"Active",Assignments!$Y$2:$Y$769,"&lt;="&amp;N$4,Assignments!$Z$2:$Z$769,"&gt;="&amp;N$4))</f>
        <v/>
      </c>
      <c r="O18" s="11">
        <f>IF($A18="","",SUMIFS(Assignments!$X$2:$X$769,Assignments!$A$2:$A$769,$A18,Assignments!$G$2:$G$769,"Active",Assignments!$V$2:$V$769,"&lt;="&amp;O$4,Assignments!$W$2:$W$769,"&gt;="&amp;O$4)+SUMIFS(Assignments!$AA$2:$AA$769,Assignments!$A$2:$A$769,$A18,Assignments!$G$2:$G$769,"Active",Assignments!$Y$2:$Y$769,"&lt;="&amp;O$4,Assignments!$Z$2:$Z$769,"&gt;="&amp;O$4))</f>
        <v/>
      </c>
      <c r="P18" s="11">
        <f>IF($A18="","",SUMIFS(Assignments!$X$2:$X$769,Assignments!$A$2:$A$769,$A18,Assignments!$G$2:$G$769,"Active",Assignments!$V$2:$V$769,"&lt;="&amp;P$4,Assignments!$W$2:$W$769,"&gt;="&amp;P$4)+SUMIFS(Assignments!$AA$2:$AA$769,Assignments!$A$2:$A$769,$A18,Assignments!$G$2:$G$769,"Active",Assignments!$Y$2:$Y$769,"&lt;="&amp;P$4,Assignments!$Z$2:$Z$769,"&gt;="&amp;P$4))</f>
        <v/>
      </c>
      <c r="Q18" s="11">
        <f>IF($A18="","",SUMIFS(Assignments!$X$2:$X$769,Assignments!$A$2:$A$769,$A18,Assignments!$G$2:$G$769,"Active",Assignments!$V$2:$V$769,"&lt;="&amp;Q$4,Assignments!$W$2:$W$769,"&gt;="&amp;Q$4)+SUMIFS(Assignments!$AA$2:$AA$769,Assignments!$A$2:$A$769,$A18,Assignments!$G$2:$G$769,"Active",Assignments!$Y$2:$Y$769,"&lt;="&amp;Q$4,Assignments!$Z$2:$Z$769,"&gt;="&amp;Q$4))</f>
        <v/>
      </c>
      <c r="R18" s="11">
        <f>IF($A18="","",SUMIFS(Assignments!$X$2:$X$769,Assignments!$A$2:$A$769,$A18,Assignments!$G$2:$G$769,"Active",Assignments!$V$2:$V$769,"&lt;="&amp;R$4,Assignments!$W$2:$W$769,"&gt;="&amp;R$4)+SUMIFS(Assignments!$AA$2:$AA$769,Assignments!$A$2:$A$769,$A18,Assignments!$G$2:$G$769,"Active",Assignments!$Y$2:$Y$769,"&lt;="&amp;R$4,Assignments!$Z$2:$Z$769,"&gt;="&amp;R$4))</f>
        <v/>
      </c>
      <c r="S18" s="11">
        <f>IF($A18="","",SUMIFS(Assignments!$X$2:$X$769,Assignments!$A$2:$A$769,$A18,Assignments!$G$2:$G$769,"Active",Assignments!$V$2:$V$769,"&lt;="&amp;S$4,Assignments!$W$2:$W$769,"&gt;="&amp;S$4)+SUMIFS(Assignments!$AA$2:$AA$769,Assignments!$A$2:$A$769,$A18,Assignments!$G$2:$G$769,"Active",Assignments!$Y$2:$Y$769,"&lt;="&amp;S$4,Assignments!$Z$2:$Z$769,"&gt;="&amp;S$4))</f>
        <v/>
      </c>
      <c r="T18" s="11">
        <f>IF($A18="","",SUMIFS(Assignments!$X$2:$X$769,Assignments!$A$2:$A$769,$A18,Assignments!$G$2:$G$769,"Active",Assignments!$V$2:$V$769,"&lt;="&amp;T$4,Assignments!$W$2:$W$769,"&gt;="&amp;T$4)+SUMIFS(Assignments!$AA$2:$AA$769,Assignments!$A$2:$A$769,$A18,Assignments!$G$2:$G$769,"Active",Assignments!$Y$2:$Y$769,"&lt;="&amp;T$4,Assignments!$Z$2:$Z$769,"&gt;="&amp;T$4))</f>
        <v/>
      </c>
      <c r="U18" s="11">
        <f>IF($A18="","",SUMIFS(Assignments!$X$2:$X$769,Assignments!$A$2:$A$769,$A18,Assignments!$G$2:$G$769,"Active",Assignments!$V$2:$V$769,"&lt;="&amp;U$4,Assignments!$W$2:$W$769,"&gt;="&amp;U$4)+SUMIFS(Assignments!$AA$2:$AA$769,Assignments!$A$2:$A$769,$A18,Assignments!$G$2:$G$769,"Active",Assignments!$Y$2:$Y$769,"&lt;="&amp;U$4,Assignments!$Z$2:$Z$769,"&gt;="&amp;U$4))</f>
        <v/>
      </c>
      <c r="V18" s="11">
        <f>IF($A18="","",SUMIFS(Assignments!$X$2:$X$769,Assignments!$A$2:$A$769,$A18,Assignments!$G$2:$G$769,"Active",Assignments!$V$2:$V$769,"&lt;="&amp;V$4,Assignments!$W$2:$W$769,"&gt;="&amp;V$4)+SUMIFS(Assignments!$AA$2:$AA$769,Assignments!$A$2:$A$769,$A18,Assignments!$G$2:$G$769,"Active",Assignments!$Y$2:$Y$769,"&lt;="&amp;V$4,Assignments!$Z$2:$Z$769,"&gt;="&amp;V$4))</f>
        <v/>
      </c>
      <c r="W18" s="11">
        <f>IF($A18="","",SUMIFS(Assignments!$X$2:$X$769,Assignments!$A$2:$A$769,$A18,Assignments!$G$2:$G$769,"Active",Assignments!$V$2:$V$769,"&lt;="&amp;W$4,Assignments!$W$2:$W$769,"&gt;="&amp;W$4)+SUMIFS(Assignments!$AA$2:$AA$769,Assignments!$A$2:$A$769,$A18,Assignments!$G$2:$G$769,"Active",Assignments!$Y$2:$Y$769,"&lt;="&amp;W$4,Assignments!$Z$2:$Z$769,"&gt;="&amp;W$4))</f>
        <v/>
      </c>
      <c r="X18" s="11">
        <f>IF($A18="","",SUMIFS(Assignments!$X$2:$X$769,Assignments!$A$2:$A$769,$A18,Assignments!$G$2:$G$769,"Active",Assignments!$V$2:$V$769,"&lt;="&amp;X$4,Assignments!$W$2:$W$769,"&gt;="&amp;X$4)+SUMIFS(Assignments!$AA$2:$AA$769,Assignments!$A$2:$A$769,$A18,Assignments!$G$2:$G$769,"Active",Assignments!$Y$2:$Y$769,"&lt;="&amp;X$4,Assignments!$Z$2:$Z$769,"&gt;="&amp;X$4))</f>
        <v/>
      </c>
      <c r="Y18" s="11">
        <f>IF($A18="","",SUMIFS(Assignments!$X$2:$X$769,Assignments!$A$2:$A$769,$A18,Assignments!$G$2:$G$769,"Active",Assignments!$V$2:$V$769,"&lt;="&amp;Y$4,Assignments!$W$2:$W$769,"&gt;="&amp;Y$4)+SUMIFS(Assignments!$AA$2:$AA$769,Assignments!$A$2:$A$769,$A18,Assignments!$G$2:$G$769,"Active",Assignments!$Y$2:$Y$769,"&lt;="&amp;Y$4,Assignments!$Z$2:$Z$769,"&gt;="&amp;Y$4))</f>
        <v/>
      </c>
      <c r="Z18" s="11">
        <f>IF($A18="","",SUMIFS(Assignments!$X$2:$X$769,Assignments!$A$2:$A$769,$A18,Assignments!$G$2:$G$769,"Active",Assignments!$V$2:$V$769,"&lt;="&amp;Z$4,Assignments!$W$2:$W$769,"&gt;="&amp;Z$4)+SUMIFS(Assignments!$AA$2:$AA$769,Assignments!$A$2:$A$769,$A18,Assignments!$G$2:$G$769,"Active",Assignments!$Y$2:$Y$769,"&lt;="&amp;Z$4,Assignments!$Z$2:$Z$769,"&gt;="&amp;Z$4))</f>
        <v/>
      </c>
      <c r="AA18" s="11">
        <f>IF($A18="","",SUMIFS(Assignments!$X$2:$X$769,Assignments!$A$2:$A$769,$A18,Assignments!$G$2:$G$769,"Active",Assignments!$V$2:$V$769,"&lt;="&amp;AA$4,Assignments!$W$2:$W$769,"&gt;="&amp;AA$4)+SUMIFS(Assignments!$AA$2:$AA$769,Assignments!$A$2:$A$769,$A18,Assignments!$G$2:$G$769,"Active",Assignments!$Y$2:$Y$769,"&lt;="&amp;AA$4,Assignments!$Z$2:$Z$769,"&gt;="&amp;AA$4))</f>
        <v/>
      </c>
      <c r="AB18" s="11">
        <f>IF($A18="","",SUMIFS(Assignments!$X$2:$X$769,Assignments!$A$2:$A$769,$A18,Assignments!$G$2:$G$769,"Active",Assignments!$V$2:$V$769,"&lt;="&amp;AB$4,Assignments!$W$2:$W$769,"&gt;="&amp;AB$4)+SUMIFS(Assignments!$AA$2:$AA$769,Assignments!$A$2:$A$769,$A18,Assignments!$G$2:$G$769,"Active",Assignments!$Y$2:$Y$769,"&lt;="&amp;AB$4,Assignments!$Z$2:$Z$769,"&gt;="&amp;AB$4))</f>
        <v/>
      </c>
    </row>
    <row r="19">
      <c r="A19" s="9">
        <f>IF(Roster!$A16="","",Roster!$A16)</f>
        <v/>
      </c>
      <c r="B19" s="10">
        <f>IF($A19="","",IFERROR(INDEX(Roster!$D$2:$D$40,MATCH($A19,Roster!$A$2:$A$40,0)),""))</f>
        <v/>
      </c>
      <c r="C19" s="11">
        <f>IF($A19="","",SUMIFS(Assignments!$X$2:$X$769,Assignments!$A$2:$A$769,$A19,Assignments!$G$2:$G$769,"Active",Assignments!$V$2:$V$769,"&lt;="&amp;C$4,Assignments!$W$2:$W$769,"&gt;="&amp;C$4)+SUMIFS(Assignments!$AA$2:$AA$769,Assignments!$A$2:$A$769,$A19,Assignments!$G$2:$G$769,"Active",Assignments!$Y$2:$Y$769,"&lt;="&amp;C$4,Assignments!$Z$2:$Z$769,"&gt;="&amp;C$4))</f>
        <v/>
      </c>
      <c r="D19" s="11">
        <f>IF($A19="","",SUMIFS(Assignments!$X$2:$X$769,Assignments!$A$2:$A$769,$A19,Assignments!$G$2:$G$769,"Active",Assignments!$V$2:$V$769,"&lt;="&amp;D$4,Assignments!$W$2:$W$769,"&gt;="&amp;D$4)+SUMIFS(Assignments!$AA$2:$AA$769,Assignments!$A$2:$A$769,$A19,Assignments!$G$2:$G$769,"Active",Assignments!$Y$2:$Y$769,"&lt;="&amp;D$4,Assignments!$Z$2:$Z$769,"&gt;="&amp;D$4))</f>
        <v/>
      </c>
      <c r="E19" s="11">
        <f>IF($A19="","",SUMIFS(Assignments!$X$2:$X$769,Assignments!$A$2:$A$769,$A19,Assignments!$G$2:$G$769,"Active",Assignments!$V$2:$V$769,"&lt;="&amp;E$4,Assignments!$W$2:$W$769,"&gt;="&amp;E$4)+SUMIFS(Assignments!$AA$2:$AA$769,Assignments!$A$2:$A$769,$A19,Assignments!$G$2:$G$769,"Active",Assignments!$Y$2:$Y$769,"&lt;="&amp;E$4,Assignments!$Z$2:$Z$769,"&gt;="&amp;E$4))</f>
        <v/>
      </c>
      <c r="F19" s="11">
        <f>IF($A19="","",SUMIFS(Assignments!$X$2:$X$769,Assignments!$A$2:$A$769,$A19,Assignments!$G$2:$G$769,"Active",Assignments!$V$2:$V$769,"&lt;="&amp;F$4,Assignments!$W$2:$W$769,"&gt;="&amp;F$4)+SUMIFS(Assignments!$AA$2:$AA$769,Assignments!$A$2:$A$769,$A19,Assignments!$G$2:$G$769,"Active",Assignments!$Y$2:$Y$769,"&lt;="&amp;F$4,Assignments!$Z$2:$Z$769,"&gt;="&amp;F$4))</f>
        <v/>
      </c>
      <c r="G19" s="11">
        <f>IF($A19="","",SUMIFS(Assignments!$X$2:$X$769,Assignments!$A$2:$A$769,$A19,Assignments!$G$2:$G$769,"Active",Assignments!$V$2:$V$769,"&lt;="&amp;G$4,Assignments!$W$2:$W$769,"&gt;="&amp;G$4)+SUMIFS(Assignments!$AA$2:$AA$769,Assignments!$A$2:$A$769,$A19,Assignments!$G$2:$G$769,"Active",Assignments!$Y$2:$Y$769,"&lt;="&amp;G$4,Assignments!$Z$2:$Z$769,"&gt;="&amp;G$4))</f>
        <v/>
      </c>
      <c r="H19" s="11">
        <f>IF($A19="","",SUMIFS(Assignments!$X$2:$X$769,Assignments!$A$2:$A$769,$A19,Assignments!$G$2:$G$769,"Active",Assignments!$V$2:$V$769,"&lt;="&amp;H$4,Assignments!$W$2:$W$769,"&gt;="&amp;H$4)+SUMIFS(Assignments!$AA$2:$AA$769,Assignments!$A$2:$A$769,$A19,Assignments!$G$2:$G$769,"Active",Assignments!$Y$2:$Y$769,"&lt;="&amp;H$4,Assignments!$Z$2:$Z$769,"&gt;="&amp;H$4))</f>
        <v/>
      </c>
      <c r="I19" s="11">
        <f>IF($A19="","",SUMIFS(Assignments!$X$2:$X$769,Assignments!$A$2:$A$769,$A19,Assignments!$G$2:$G$769,"Active",Assignments!$V$2:$V$769,"&lt;="&amp;I$4,Assignments!$W$2:$W$769,"&gt;="&amp;I$4)+SUMIFS(Assignments!$AA$2:$AA$769,Assignments!$A$2:$A$769,$A19,Assignments!$G$2:$G$769,"Active",Assignments!$Y$2:$Y$769,"&lt;="&amp;I$4,Assignments!$Z$2:$Z$769,"&gt;="&amp;I$4))</f>
        <v/>
      </c>
      <c r="J19" s="11">
        <f>IF($A19="","",SUMIFS(Assignments!$X$2:$X$769,Assignments!$A$2:$A$769,$A19,Assignments!$G$2:$G$769,"Active",Assignments!$V$2:$V$769,"&lt;="&amp;J$4,Assignments!$W$2:$W$769,"&gt;="&amp;J$4)+SUMIFS(Assignments!$AA$2:$AA$769,Assignments!$A$2:$A$769,$A19,Assignments!$G$2:$G$769,"Active",Assignments!$Y$2:$Y$769,"&lt;="&amp;J$4,Assignments!$Z$2:$Z$769,"&gt;="&amp;J$4))</f>
        <v/>
      </c>
      <c r="K19" s="11">
        <f>IF($A19="","",SUMIFS(Assignments!$X$2:$X$769,Assignments!$A$2:$A$769,$A19,Assignments!$G$2:$G$769,"Active",Assignments!$V$2:$V$769,"&lt;="&amp;K$4,Assignments!$W$2:$W$769,"&gt;="&amp;K$4)+SUMIFS(Assignments!$AA$2:$AA$769,Assignments!$A$2:$A$769,$A19,Assignments!$G$2:$G$769,"Active",Assignments!$Y$2:$Y$769,"&lt;="&amp;K$4,Assignments!$Z$2:$Z$769,"&gt;="&amp;K$4))</f>
        <v/>
      </c>
      <c r="L19" s="11">
        <f>IF($A19="","",SUMIFS(Assignments!$X$2:$X$769,Assignments!$A$2:$A$769,$A19,Assignments!$G$2:$G$769,"Active",Assignments!$V$2:$V$769,"&lt;="&amp;L$4,Assignments!$W$2:$W$769,"&gt;="&amp;L$4)+SUMIFS(Assignments!$AA$2:$AA$769,Assignments!$A$2:$A$769,$A19,Assignments!$G$2:$G$769,"Active",Assignments!$Y$2:$Y$769,"&lt;="&amp;L$4,Assignments!$Z$2:$Z$769,"&gt;="&amp;L$4))</f>
        <v/>
      </c>
      <c r="M19" s="11">
        <f>IF($A19="","",SUMIFS(Assignments!$X$2:$X$769,Assignments!$A$2:$A$769,$A19,Assignments!$G$2:$G$769,"Active",Assignments!$V$2:$V$769,"&lt;="&amp;M$4,Assignments!$W$2:$W$769,"&gt;="&amp;M$4)+SUMIFS(Assignments!$AA$2:$AA$769,Assignments!$A$2:$A$769,$A19,Assignments!$G$2:$G$769,"Active",Assignments!$Y$2:$Y$769,"&lt;="&amp;M$4,Assignments!$Z$2:$Z$769,"&gt;="&amp;M$4))</f>
        <v/>
      </c>
      <c r="N19" s="11">
        <f>IF($A19="","",SUMIFS(Assignments!$X$2:$X$769,Assignments!$A$2:$A$769,$A19,Assignments!$G$2:$G$769,"Active",Assignments!$V$2:$V$769,"&lt;="&amp;N$4,Assignments!$W$2:$W$769,"&gt;="&amp;N$4)+SUMIFS(Assignments!$AA$2:$AA$769,Assignments!$A$2:$A$769,$A19,Assignments!$G$2:$G$769,"Active",Assignments!$Y$2:$Y$769,"&lt;="&amp;N$4,Assignments!$Z$2:$Z$769,"&gt;="&amp;N$4))</f>
        <v/>
      </c>
      <c r="O19" s="11">
        <f>IF($A19="","",SUMIFS(Assignments!$X$2:$X$769,Assignments!$A$2:$A$769,$A19,Assignments!$G$2:$G$769,"Active",Assignments!$V$2:$V$769,"&lt;="&amp;O$4,Assignments!$W$2:$W$769,"&gt;="&amp;O$4)+SUMIFS(Assignments!$AA$2:$AA$769,Assignments!$A$2:$A$769,$A19,Assignments!$G$2:$G$769,"Active",Assignments!$Y$2:$Y$769,"&lt;="&amp;O$4,Assignments!$Z$2:$Z$769,"&gt;="&amp;O$4))</f>
        <v/>
      </c>
      <c r="P19" s="11">
        <f>IF($A19="","",SUMIFS(Assignments!$X$2:$X$769,Assignments!$A$2:$A$769,$A19,Assignments!$G$2:$G$769,"Active",Assignments!$V$2:$V$769,"&lt;="&amp;P$4,Assignments!$W$2:$W$769,"&gt;="&amp;P$4)+SUMIFS(Assignments!$AA$2:$AA$769,Assignments!$A$2:$A$769,$A19,Assignments!$G$2:$G$769,"Active",Assignments!$Y$2:$Y$769,"&lt;="&amp;P$4,Assignments!$Z$2:$Z$769,"&gt;="&amp;P$4))</f>
        <v/>
      </c>
      <c r="Q19" s="11">
        <f>IF($A19="","",SUMIFS(Assignments!$X$2:$X$769,Assignments!$A$2:$A$769,$A19,Assignments!$G$2:$G$769,"Active",Assignments!$V$2:$V$769,"&lt;="&amp;Q$4,Assignments!$W$2:$W$769,"&gt;="&amp;Q$4)+SUMIFS(Assignments!$AA$2:$AA$769,Assignments!$A$2:$A$769,$A19,Assignments!$G$2:$G$769,"Active",Assignments!$Y$2:$Y$769,"&lt;="&amp;Q$4,Assignments!$Z$2:$Z$769,"&gt;="&amp;Q$4))</f>
        <v/>
      </c>
      <c r="R19" s="11">
        <f>IF($A19="","",SUMIFS(Assignments!$X$2:$X$769,Assignments!$A$2:$A$769,$A19,Assignments!$G$2:$G$769,"Active",Assignments!$V$2:$V$769,"&lt;="&amp;R$4,Assignments!$W$2:$W$769,"&gt;="&amp;R$4)+SUMIFS(Assignments!$AA$2:$AA$769,Assignments!$A$2:$A$769,$A19,Assignments!$G$2:$G$769,"Active",Assignments!$Y$2:$Y$769,"&lt;="&amp;R$4,Assignments!$Z$2:$Z$769,"&gt;="&amp;R$4))</f>
        <v/>
      </c>
      <c r="S19" s="11">
        <f>IF($A19="","",SUMIFS(Assignments!$X$2:$X$769,Assignments!$A$2:$A$769,$A19,Assignments!$G$2:$G$769,"Active",Assignments!$V$2:$V$769,"&lt;="&amp;S$4,Assignments!$W$2:$W$769,"&gt;="&amp;S$4)+SUMIFS(Assignments!$AA$2:$AA$769,Assignments!$A$2:$A$769,$A19,Assignments!$G$2:$G$769,"Active",Assignments!$Y$2:$Y$769,"&lt;="&amp;S$4,Assignments!$Z$2:$Z$769,"&gt;="&amp;S$4))</f>
        <v/>
      </c>
      <c r="T19" s="11">
        <f>IF($A19="","",SUMIFS(Assignments!$X$2:$X$769,Assignments!$A$2:$A$769,$A19,Assignments!$G$2:$G$769,"Active",Assignments!$V$2:$V$769,"&lt;="&amp;T$4,Assignments!$W$2:$W$769,"&gt;="&amp;T$4)+SUMIFS(Assignments!$AA$2:$AA$769,Assignments!$A$2:$A$769,$A19,Assignments!$G$2:$G$769,"Active",Assignments!$Y$2:$Y$769,"&lt;="&amp;T$4,Assignments!$Z$2:$Z$769,"&gt;="&amp;T$4))</f>
        <v/>
      </c>
      <c r="U19" s="11">
        <f>IF($A19="","",SUMIFS(Assignments!$X$2:$X$769,Assignments!$A$2:$A$769,$A19,Assignments!$G$2:$G$769,"Active",Assignments!$V$2:$V$769,"&lt;="&amp;U$4,Assignments!$W$2:$W$769,"&gt;="&amp;U$4)+SUMIFS(Assignments!$AA$2:$AA$769,Assignments!$A$2:$A$769,$A19,Assignments!$G$2:$G$769,"Active",Assignments!$Y$2:$Y$769,"&lt;="&amp;U$4,Assignments!$Z$2:$Z$769,"&gt;="&amp;U$4))</f>
        <v/>
      </c>
      <c r="V19" s="11">
        <f>IF($A19="","",SUMIFS(Assignments!$X$2:$X$769,Assignments!$A$2:$A$769,$A19,Assignments!$G$2:$G$769,"Active",Assignments!$V$2:$V$769,"&lt;="&amp;V$4,Assignments!$W$2:$W$769,"&gt;="&amp;V$4)+SUMIFS(Assignments!$AA$2:$AA$769,Assignments!$A$2:$A$769,$A19,Assignments!$G$2:$G$769,"Active",Assignments!$Y$2:$Y$769,"&lt;="&amp;V$4,Assignments!$Z$2:$Z$769,"&gt;="&amp;V$4))</f>
        <v/>
      </c>
      <c r="W19" s="11">
        <f>IF($A19="","",SUMIFS(Assignments!$X$2:$X$769,Assignments!$A$2:$A$769,$A19,Assignments!$G$2:$G$769,"Active",Assignments!$V$2:$V$769,"&lt;="&amp;W$4,Assignments!$W$2:$W$769,"&gt;="&amp;W$4)+SUMIFS(Assignments!$AA$2:$AA$769,Assignments!$A$2:$A$769,$A19,Assignments!$G$2:$G$769,"Active",Assignments!$Y$2:$Y$769,"&lt;="&amp;W$4,Assignments!$Z$2:$Z$769,"&gt;="&amp;W$4))</f>
        <v/>
      </c>
      <c r="X19" s="11">
        <f>IF($A19="","",SUMIFS(Assignments!$X$2:$X$769,Assignments!$A$2:$A$769,$A19,Assignments!$G$2:$G$769,"Active",Assignments!$V$2:$V$769,"&lt;="&amp;X$4,Assignments!$W$2:$W$769,"&gt;="&amp;X$4)+SUMIFS(Assignments!$AA$2:$AA$769,Assignments!$A$2:$A$769,$A19,Assignments!$G$2:$G$769,"Active",Assignments!$Y$2:$Y$769,"&lt;="&amp;X$4,Assignments!$Z$2:$Z$769,"&gt;="&amp;X$4))</f>
        <v/>
      </c>
      <c r="Y19" s="11">
        <f>IF($A19="","",SUMIFS(Assignments!$X$2:$X$769,Assignments!$A$2:$A$769,$A19,Assignments!$G$2:$G$769,"Active",Assignments!$V$2:$V$769,"&lt;="&amp;Y$4,Assignments!$W$2:$W$769,"&gt;="&amp;Y$4)+SUMIFS(Assignments!$AA$2:$AA$769,Assignments!$A$2:$A$769,$A19,Assignments!$G$2:$G$769,"Active",Assignments!$Y$2:$Y$769,"&lt;="&amp;Y$4,Assignments!$Z$2:$Z$769,"&gt;="&amp;Y$4))</f>
        <v/>
      </c>
      <c r="Z19" s="11">
        <f>IF($A19="","",SUMIFS(Assignments!$X$2:$X$769,Assignments!$A$2:$A$769,$A19,Assignments!$G$2:$G$769,"Active",Assignments!$V$2:$V$769,"&lt;="&amp;Z$4,Assignments!$W$2:$W$769,"&gt;="&amp;Z$4)+SUMIFS(Assignments!$AA$2:$AA$769,Assignments!$A$2:$A$769,$A19,Assignments!$G$2:$G$769,"Active",Assignments!$Y$2:$Y$769,"&lt;="&amp;Z$4,Assignments!$Z$2:$Z$769,"&gt;="&amp;Z$4))</f>
        <v/>
      </c>
      <c r="AA19" s="11">
        <f>IF($A19="","",SUMIFS(Assignments!$X$2:$X$769,Assignments!$A$2:$A$769,$A19,Assignments!$G$2:$G$769,"Active",Assignments!$V$2:$V$769,"&lt;="&amp;AA$4,Assignments!$W$2:$W$769,"&gt;="&amp;AA$4)+SUMIFS(Assignments!$AA$2:$AA$769,Assignments!$A$2:$A$769,$A19,Assignments!$G$2:$G$769,"Active",Assignments!$Y$2:$Y$769,"&lt;="&amp;AA$4,Assignments!$Z$2:$Z$769,"&gt;="&amp;AA$4))</f>
        <v/>
      </c>
      <c r="AB19" s="11">
        <f>IF($A19="","",SUMIFS(Assignments!$X$2:$X$769,Assignments!$A$2:$A$769,$A19,Assignments!$G$2:$G$769,"Active",Assignments!$V$2:$V$769,"&lt;="&amp;AB$4,Assignments!$W$2:$W$769,"&gt;="&amp;AB$4)+SUMIFS(Assignments!$AA$2:$AA$769,Assignments!$A$2:$A$769,$A19,Assignments!$G$2:$G$769,"Active",Assignments!$Y$2:$Y$769,"&lt;="&amp;AB$4,Assignments!$Z$2:$Z$769,"&gt;="&amp;AB$4))</f>
        <v/>
      </c>
    </row>
    <row r="20">
      <c r="A20" s="9">
        <f>IF(Roster!$A17="","",Roster!$A17)</f>
        <v/>
      </c>
      <c r="B20" s="10">
        <f>IF($A20="","",IFERROR(INDEX(Roster!$D$2:$D$40,MATCH($A20,Roster!$A$2:$A$40,0)),""))</f>
        <v/>
      </c>
      <c r="C20" s="11">
        <f>IF($A20="","",SUMIFS(Assignments!$X$2:$X$769,Assignments!$A$2:$A$769,$A20,Assignments!$G$2:$G$769,"Active",Assignments!$V$2:$V$769,"&lt;="&amp;C$4,Assignments!$W$2:$W$769,"&gt;="&amp;C$4)+SUMIFS(Assignments!$AA$2:$AA$769,Assignments!$A$2:$A$769,$A20,Assignments!$G$2:$G$769,"Active",Assignments!$Y$2:$Y$769,"&lt;="&amp;C$4,Assignments!$Z$2:$Z$769,"&gt;="&amp;C$4))</f>
        <v/>
      </c>
      <c r="D20" s="11">
        <f>IF($A20="","",SUMIFS(Assignments!$X$2:$X$769,Assignments!$A$2:$A$769,$A20,Assignments!$G$2:$G$769,"Active",Assignments!$V$2:$V$769,"&lt;="&amp;D$4,Assignments!$W$2:$W$769,"&gt;="&amp;D$4)+SUMIFS(Assignments!$AA$2:$AA$769,Assignments!$A$2:$A$769,$A20,Assignments!$G$2:$G$769,"Active",Assignments!$Y$2:$Y$769,"&lt;="&amp;D$4,Assignments!$Z$2:$Z$769,"&gt;="&amp;D$4))</f>
        <v/>
      </c>
      <c r="E20" s="11">
        <f>IF($A20="","",SUMIFS(Assignments!$X$2:$X$769,Assignments!$A$2:$A$769,$A20,Assignments!$G$2:$G$769,"Active",Assignments!$V$2:$V$769,"&lt;="&amp;E$4,Assignments!$W$2:$W$769,"&gt;="&amp;E$4)+SUMIFS(Assignments!$AA$2:$AA$769,Assignments!$A$2:$A$769,$A20,Assignments!$G$2:$G$769,"Active",Assignments!$Y$2:$Y$769,"&lt;="&amp;E$4,Assignments!$Z$2:$Z$769,"&gt;="&amp;E$4))</f>
        <v/>
      </c>
      <c r="F20" s="11">
        <f>IF($A20="","",SUMIFS(Assignments!$X$2:$X$769,Assignments!$A$2:$A$769,$A20,Assignments!$G$2:$G$769,"Active",Assignments!$V$2:$V$769,"&lt;="&amp;F$4,Assignments!$W$2:$W$769,"&gt;="&amp;F$4)+SUMIFS(Assignments!$AA$2:$AA$769,Assignments!$A$2:$A$769,$A20,Assignments!$G$2:$G$769,"Active",Assignments!$Y$2:$Y$769,"&lt;="&amp;F$4,Assignments!$Z$2:$Z$769,"&gt;="&amp;F$4))</f>
        <v/>
      </c>
      <c r="G20" s="11">
        <f>IF($A20="","",SUMIFS(Assignments!$X$2:$X$769,Assignments!$A$2:$A$769,$A20,Assignments!$G$2:$G$769,"Active",Assignments!$V$2:$V$769,"&lt;="&amp;G$4,Assignments!$W$2:$W$769,"&gt;="&amp;G$4)+SUMIFS(Assignments!$AA$2:$AA$769,Assignments!$A$2:$A$769,$A20,Assignments!$G$2:$G$769,"Active",Assignments!$Y$2:$Y$769,"&lt;="&amp;G$4,Assignments!$Z$2:$Z$769,"&gt;="&amp;G$4))</f>
        <v/>
      </c>
      <c r="H20" s="11">
        <f>IF($A20="","",SUMIFS(Assignments!$X$2:$X$769,Assignments!$A$2:$A$769,$A20,Assignments!$G$2:$G$769,"Active",Assignments!$V$2:$V$769,"&lt;="&amp;H$4,Assignments!$W$2:$W$769,"&gt;="&amp;H$4)+SUMIFS(Assignments!$AA$2:$AA$769,Assignments!$A$2:$A$769,$A20,Assignments!$G$2:$G$769,"Active",Assignments!$Y$2:$Y$769,"&lt;="&amp;H$4,Assignments!$Z$2:$Z$769,"&gt;="&amp;H$4))</f>
        <v/>
      </c>
      <c r="I20" s="11">
        <f>IF($A20="","",SUMIFS(Assignments!$X$2:$X$769,Assignments!$A$2:$A$769,$A20,Assignments!$G$2:$G$769,"Active",Assignments!$V$2:$V$769,"&lt;="&amp;I$4,Assignments!$W$2:$W$769,"&gt;="&amp;I$4)+SUMIFS(Assignments!$AA$2:$AA$769,Assignments!$A$2:$A$769,$A20,Assignments!$G$2:$G$769,"Active",Assignments!$Y$2:$Y$769,"&lt;="&amp;I$4,Assignments!$Z$2:$Z$769,"&gt;="&amp;I$4))</f>
        <v/>
      </c>
      <c r="J20" s="11">
        <f>IF($A20="","",SUMIFS(Assignments!$X$2:$X$769,Assignments!$A$2:$A$769,$A20,Assignments!$G$2:$G$769,"Active",Assignments!$V$2:$V$769,"&lt;="&amp;J$4,Assignments!$W$2:$W$769,"&gt;="&amp;J$4)+SUMIFS(Assignments!$AA$2:$AA$769,Assignments!$A$2:$A$769,$A20,Assignments!$G$2:$G$769,"Active",Assignments!$Y$2:$Y$769,"&lt;="&amp;J$4,Assignments!$Z$2:$Z$769,"&gt;="&amp;J$4))</f>
        <v/>
      </c>
      <c r="K20" s="11">
        <f>IF($A20="","",SUMIFS(Assignments!$X$2:$X$769,Assignments!$A$2:$A$769,$A20,Assignments!$G$2:$G$769,"Active",Assignments!$V$2:$V$769,"&lt;="&amp;K$4,Assignments!$W$2:$W$769,"&gt;="&amp;K$4)+SUMIFS(Assignments!$AA$2:$AA$769,Assignments!$A$2:$A$769,$A20,Assignments!$G$2:$G$769,"Active",Assignments!$Y$2:$Y$769,"&lt;="&amp;K$4,Assignments!$Z$2:$Z$769,"&gt;="&amp;K$4))</f>
        <v/>
      </c>
      <c r="L20" s="11">
        <f>IF($A20="","",SUMIFS(Assignments!$X$2:$X$769,Assignments!$A$2:$A$769,$A20,Assignments!$G$2:$G$769,"Active",Assignments!$V$2:$V$769,"&lt;="&amp;L$4,Assignments!$W$2:$W$769,"&gt;="&amp;L$4)+SUMIFS(Assignments!$AA$2:$AA$769,Assignments!$A$2:$A$769,$A20,Assignments!$G$2:$G$769,"Active",Assignments!$Y$2:$Y$769,"&lt;="&amp;L$4,Assignments!$Z$2:$Z$769,"&gt;="&amp;L$4))</f>
        <v/>
      </c>
      <c r="M20" s="11">
        <f>IF($A20="","",SUMIFS(Assignments!$X$2:$X$769,Assignments!$A$2:$A$769,$A20,Assignments!$G$2:$G$769,"Active",Assignments!$V$2:$V$769,"&lt;="&amp;M$4,Assignments!$W$2:$W$769,"&gt;="&amp;M$4)+SUMIFS(Assignments!$AA$2:$AA$769,Assignments!$A$2:$A$769,$A20,Assignments!$G$2:$G$769,"Active",Assignments!$Y$2:$Y$769,"&lt;="&amp;M$4,Assignments!$Z$2:$Z$769,"&gt;="&amp;M$4))</f>
        <v/>
      </c>
      <c r="N20" s="11">
        <f>IF($A20="","",SUMIFS(Assignments!$X$2:$X$769,Assignments!$A$2:$A$769,$A20,Assignments!$G$2:$G$769,"Active",Assignments!$V$2:$V$769,"&lt;="&amp;N$4,Assignments!$W$2:$W$769,"&gt;="&amp;N$4)+SUMIFS(Assignments!$AA$2:$AA$769,Assignments!$A$2:$A$769,$A20,Assignments!$G$2:$G$769,"Active",Assignments!$Y$2:$Y$769,"&lt;="&amp;N$4,Assignments!$Z$2:$Z$769,"&gt;="&amp;N$4))</f>
        <v/>
      </c>
      <c r="O20" s="11">
        <f>IF($A20="","",SUMIFS(Assignments!$X$2:$X$769,Assignments!$A$2:$A$769,$A20,Assignments!$G$2:$G$769,"Active",Assignments!$V$2:$V$769,"&lt;="&amp;O$4,Assignments!$W$2:$W$769,"&gt;="&amp;O$4)+SUMIFS(Assignments!$AA$2:$AA$769,Assignments!$A$2:$A$769,$A20,Assignments!$G$2:$G$769,"Active",Assignments!$Y$2:$Y$769,"&lt;="&amp;O$4,Assignments!$Z$2:$Z$769,"&gt;="&amp;O$4))</f>
        <v/>
      </c>
      <c r="P20" s="11">
        <f>IF($A20="","",SUMIFS(Assignments!$X$2:$X$769,Assignments!$A$2:$A$769,$A20,Assignments!$G$2:$G$769,"Active",Assignments!$V$2:$V$769,"&lt;="&amp;P$4,Assignments!$W$2:$W$769,"&gt;="&amp;P$4)+SUMIFS(Assignments!$AA$2:$AA$769,Assignments!$A$2:$A$769,$A20,Assignments!$G$2:$G$769,"Active",Assignments!$Y$2:$Y$769,"&lt;="&amp;P$4,Assignments!$Z$2:$Z$769,"&gt;="&amp;P$4))</f>
        <v/>
      </c>
      <c r="Q20" s="11">
        <f>IF($A20="","",SUMIFS(Assignments!$X$2:$X$769,Assignments!$A$2:$A$769,$A20,Assignments!$G$2:$G$769,"Active",Assignments!$V$2:$V$769,"&lt;="&amp;Q$4,Assignments!$W$2:$W$769,"&gt;="&amp;Q$4)+SUMIFS(Assignments!$AA$2:$AA$769,Assignments!$A$2:$A$769,$A20,Assignments!$G$2:$G$769,"Active",Assignments!$Y$2:$Y$769,"&lt;="&amp;Q$4,Assignments!$Z$2:$Z$769,"&gt;="&amp;Q$4))</f>
        <v/>
      </c>
      <c r="R20" s="11">
        <f>IF($A20="","",SUMIFS(Assignments!$X$2:$X$769,Assignments!$A$2:$A$769,$A20,Assignments!$G$2:$G$769,"Active",Assignments!$V$2:$V$769,"&lt;="&amp;R$4,Assignments!$W$2:$W$769,"&gt;="&amp;R$4)+SUMIFS(Assignments!$AA$2:$AA$769,Assignments!$A$2:$A$769,$A20,Assignments!$G$2:$G$769,"Active",Assignments!$Y$2:$Y$769,"&lt;="&amp;R$4,Assignments!$Z$2:$Z$769,"&gt;="&amp;R$4))</f>
        <v/>
      </c>
      <c r="S20" s="11">
        <f>IF($A20="","",SUMIFS(Assignments!$X$2:$X$769,Assignments!$A$2:$A$769,$A20,Assignments!$G$2:$G$769,"Active",Assignments!$V$2:$V$769,"&lt;="&amp;S$4,Assignments!$W$2:$W$769,"&gt;="&amp;S$4)+SUMIFS(Assignments!$AA$2:$AA$769,Assignments!$A$2:$A$769,$A20,Assignments!$G$2:$G$769,"Active",Assignments!$Y$2:$Y$769,"&lt;="&amp;S$4,Assignments!$Z$2:$Z$769,"&gt;="&amp;S$4))</f>
        <v/>
      </c>
      <c r="T20" s="11">
        <f>IF($A20="","",SUMIFS(Assignments!$X$2:$X$769,Assignments!$A$2:$A$769,$A20,Assignments!$G$2:$G$769,"Active",Assignments!$V$2:$V$769,"&lt;="&amp;T$4,Assignments!$W$2:$W$769,"&gt;="&amp;T$4)+SUMIFS(Assignments!$AA$2:$AA$769,Assignments!$A$2:$A$769,$A20,Assignments!$G$2:$G$769,"Active",Assignments!$Y$2:$Y$769,"&lt;="&amp;T$4,Assignments!$Z$2:$Z$769,"&gt;="&amp;T$4))</f>
        <v/>
      </c>
      <c r="U20" s="11">
        <f>IF($A20="","",SUMIFS(Assignments!$X$2:$X$769,Assignments!$A$2:$A$769,$A20,Assignments!$G$2:$G$769,"Active",Assignments!$V$2:$V$769,"&lt;="&amp;U$4,Assignments!$W$2:$W$769,"&gt;="&amp;U$4)+SUMIFS(Assignments!$AA$2:$AA$769,Assignments!$A$2:$A$769,$A20,Assignments!$G$2:$G$769,"Active",Assignments!$Y$2:$Y$769,"&lt;="&amp;U$4,Assignments!$Z$2:$Z$769,"&gt;="&amp;U$4))</f>
        <v/>
      </c>
      <c r="V20" s="11">
        <f>IF($A20="","",SUMIFS(Assignments!$X$2:$X$769,Assignments!$A$2:$A$769,$A20,Assignments!$G$2:$G$769,"Active",Assignments!$V$2:$V$769,"&lt;="&amp;V$4,Assignments!$W$2:$W$769,"&gt;="&amp;V$4)+SUMIFS(Assignments!$AA$2:$AA$769,Assignments!$A$2:$A$769,$A20,Assignments!$G$2:$G$769,"Active",Assignments!$Y$2:$Y$769,"&lt;="&amp;V$4,Assignments!$Z$2:$Z$769,"&gt;="&amp;V$4))</f>
        <v/>
      </c>
      <c r="W20" s="11">
        <f>IF($A20="","",SUMIFS(Assignments!$X$2:$X$769,Assignments!$A$2:$A$769,$A20,Assignments!$G$2:$G$769,"Active",Assignments!$V$2:$V$769,"&lt;="&amp;W$4,Assignments!$W$2:$W$769,"&gt;="&amp;W$4)+SUMIFS(Assignments!$AA$2:$AA$769,Assignments!$A$2:$A$769,$A20,Assignments!$G$2:$G$769,"Active",Assignments!$Y$2:$Y$769,"&lt;="&amp;W$4,Assignments!$Z$2:$Z$769,"&gt;="&amp;W$4))</f>
        <v/>
      </c>
      <c r="X20" s="11">
        <f>IF($A20="","",SUMIFS(Assignments!$X$2:$X$769,Assignments!$A$2:$A$769,$A20,Assignments!$G$2:$G$769,"Active",Assignments!$V$2:$V$769,"&lt;="&amp;X$4,Assignments!$W$2:$W$769,"&gt;="&amp;X$4)+SUMIFS(Assignments!$AA$2:$AA$769,Assignments!$A$2:$A$769,$A20,Assignments!$G$2:$G$769,"Active",Assignments!$Y$2:$Y$769,"&lt;="&amp;X$4,Assignments!$Z$2:$Z$769,"&gt;="&amp;X$4))</f>
        <v/>
      </c>
      <c r="Y20" s="11">
        <f>IF($A20="","",SUMIFS(Assignments!$X$2:$X$769,Assignments!$A$2:$A$769,$A20,Assignments!$G$2:$G$769,"Active",Assignments!$V$2:$V$769,"&lt;="&amp;Y$4,Assignments!$W$2:$W$769,"&gt;="&amp;Y$4)+SUMIFS(Assignments!$AA$2:$AA$769,Assignments!$A$2:$A$769,$A20,Assignments!$G$2:$G$769,"Active",Assignments!$Y$2:$Y$769,"&lt;="&amp;Y$4,Assignments!$Z$2:$Z$769,"&gt;="&amp;Y$4))</f>
        <v/>
      </c>
      <c r="Z20" s="11">
        <f>IF($A20="","",SUMIFS(Assignments!$X$2:$X$769,Assignments!$A$2:$A$769,$A20,Assignments!$G$2:$G$769,"Active",Assignments!$V$2:$V$769,"&lt;="&amp;Z$4,Assignments!$W$2:$W$769,"&gt;="&amp;Z$4)+SUMIFS(Assignments!$AA$2:$AA$769,Assignments!$A$2:$A$769,$A20,Assignments!$G$2:$G$769,"Active",Assignments!$Y$2:$Y$769,"&lt;="&amp;Z$4,Assignments!$Z$2:$Z$769,"&gt;="&amp;Z$4))</f>
        <v/>
      </c>
      <c r="AA20" s="11">
        <f>IF($A20="","",SUMIFS(Assignments!$X$2:$X$769,Assignments!$A$2:$A$769,$A20,Assignments!$G$2:$G$769,"Active",Assignments!$V$2:$V$769,"&lt;="&amp;AA$4,Assignments!$W$2:$W$769,"&gt;="&amp;AA$4)+SUMIFS(Assignments!$AA$2:$AA$769,Assignments!$A$2:$A$769,$A20,Assignments!$G$2:$G$769,"Active",Assignments!$Y$2:$Y$769,"&lt;="&amp;AA$4,Assignments!$Z$2:$Z$769,"&gt;="&amp;AA$4))</f>
        <v/>
      </c>
      <c r="AB20" s="11">
        <f>IF($A20="","",SUMIFS(Assignments!$X$2:$X$769,Assignments!$A$2:$A$769,$A20,Assignments!$G$2:$G$769,"Active",Assignments!$V$2:$V$769,"&lt;="&amp;AB$4,Assignments!$W$2:$W$769,"&gt;="&amp;AB$4)+SUMIFS(Assignments!$AA$2:$AA$769,Assignments!$A$2:$A$769,$A20,Assignments!$G$2:$G$769,"Active",Assignments!$Y$2:$Y$769,"&lt;="&amp;AB$4,Assignments!$Z$2:$Z$769,"&gt;="&amp;AB$4))</f>
        <v/>
      </c>
    </row>
    <row r="21">
      <c r="A21" s="9">
        <f>IF(Roster!$A18="","",Roster!$A18)</f>
        <v/>
      </c>
      <c r="B21" s="10">
        <f>IF($A21="","",IFERROR(INDEX(Roster!$D$2:$D$40,MATCH($A21,Roster!$A$2:$A$40,0)),""))</f>
        <v/>
      </c>
      <c r="C21" s="11">
        <f>IF($A21="","",SUMIFS(Assignments!$X$2:$X$769,Assignments!$A$2:$A$769,$A21,Assignments!$G$2:$G$769,"Active",Assignments!$V$2:$V$769,"&lt;="&amp;C$4,Assignments!$W$2:$W$769,"&gt;="&amp;C$4)+SUMIFS(Assignments!$AA$2:$AA$769,Assignments!$A$2:$A$769,$A21,Assignments!$G$2:$G$769,"Active",Assignments!$Y$2:$Y$769,"&lt;="&amp;C$4,Assignments!$Z$2:$Z$769,"&gt;="&amp;C$4))</f>
        <v/>
      </c>
      <c r="D21" s="11">
        <f>IF($A21="","",SUMIFS(Assignments!$X$2:$X$769,Assignments!$A$2:$A$769,$A21,Assignments!$G$2:$G$769,"Active",Assignments!$V$2:$V$769,"&lt;="&amp;D$4,Assignments!$W$2:$W$769,"&gt;="&amp;D$4)+SUMIFS(Assignments!$AA$2:$AA$769,Assignments!$A$2:$A$769,$A21,Assignments!$G$2:$G$769,"Active",Assignments!$Y$2:$Y$769,"&lt;="&amp;D$4,Assignments!$Z$2:$Z$769,"&gt;="&amp;D$4))</f>
        <v/>
      </c>
      <c r="E21" s="11">
        <f>IF($A21="","",SUMIFS(Assignments!$X$2:$X$769,Assignments!$A$2:$A$769,$A21,Assignments!$G$2:$G$769,"Active",Assignments!$V$2:$V$769,"&lt;="&amp;E$4,Assignments!$W$2:$W$769,"&gt;="&amp;E$4)+SUMIFS(Assignments!$AA$2:$AA$769,Assignments!$A$2:$A$769,$A21,Assignments!$G$2:$G$769,"Active",Assignments!$Y$2:$Y$769,"&lt;="&amp;E$4,Assignments!$Z$2:$Z$769,"&gt;="&amp;E$4))</f>
        <v/>
      </c>
      <c r="F21" s="11">
        <f>IF($A21="","",SUMIFS(Assignments!$X$2:$X$769,Assignments!$A$2:$A$769,$A21,Assignments!$G$2:$G$769,"Active",Assignments!$V$2:$V$769,"&lt;="&amp;F$4,Assignments!$W$2:$W$769,"&gt;="&amp;F$4)+SUMIFS(Assignments!$AA$2:$AA$769,Assignments!$A$2:$A$769,$A21,Assignments!$G$2:$G$769,"Active",Assignments!$Y$2:$Y$769,"&lt;="&amp;F$4,Assignments!$Z$2:$Z$769,"&gt;="&amp;F$4))</f>
        <v/>
      </c>
      <c r="G21" s="11">
        <f>IF($A21="","",SUMIFS(Assignments!$X$2:$X$769,Assignments!$A$2:$A$769,$A21,Assignments!$G$2:$G$769,"Active",Assignments!$V$2:$V$769,"&lt;="&amp;G$4,Assignments!$W$2:$W$769,"&gt;="&amp;G$4)+SUMIFS(Assignments!$AA$2:$AA$769,Assignments!$A$2:$A$769,$A21,Assignments!$G$2:$G$769,"Active",Assignments!$Y$2:$Y$769,"&lt;="&amp;G$4,Assignments!$Z$2:$Z$769,"&gt;="&amp;G$4))</f>
        <v/>
      </c>
      <c r="H21" s="11">
        <f>IF($A21="","",SUMIFS(Assignments!$X$2:$X$769,Assignments!$A$2:$A$769,$A21,Assignments!$G$2:$G$769,"Active",Assignments!$V$2:$V$769,"&lt;="&amp;H$4,Assignments!$W$2:$W$769,"&gt;="&amp;H$4)+SUMIFS(Assignments!$AA$2:$AA$769,Assignments!$A$2:$A$769,$A21,Assignments!$G$2:$G$769,"Active",Assignments!$Y$2:$Y$769,"&lt;="&amp;H$4,Assignments!$Z$2:$Z$769,"&gt;="&amp;H$4))</f>
        <v/>
      </c>
      <c r="I21" s="11">
        <f>IF($A21="","",SUMIFS(Assignments!$X$2:$X$769,Assignments!$A$2:$A$769,$A21,Assignments!$G$2:$G$769,"Active",Assignments!$V$2:$V$769,"&lt;="&amp;I$4,Assignments!$W$2:$W$769,"&gt;="&amp;I$4)+SUMIFS(Assignments!$AA$2:$AA$769,Assignments!$A$2:$A$769,$A21,Assignments!$G$2:$G$769,"Active",Assignments!$Y$2:$Y$769,"&lt;="&amp;I$4,Assignments!$Z$2:$Z$769,"&gt;="&amp;I$4))</f>
        <v/>
      </c>
      <c r="J21" s="11">
        <f>IF($A21="","",SUMIFS(Assignments!$X$2:$X$769,Assignments!$A$2:$A$769,$A21,Assignments!$G$2:$G$769,"Active",Assignments!$V$2:$V$769,"&lt;="&amp;J$4,Assignments!$W$2:$W$769,"&gt;="&amp;J$4)+SUMIFS(Assignments!$AA$2:$AA$769,Assignments!$A$2:$A$769,$A21,Assignments!$G$2:$G$769,"Active",Assignments!$Y$2:$Y$769,"&lt;="&amp;J$4,Assignments!$Z$2:$Z$769,"&gt;="&amp;J$4))</f>
        <v/>
      </c>
      <c r="K21" s="11">
        <f>IF($A21="","",SUMIFS(Assignments!$X$2:$X$769,Assignments!$A$2:$A$769,$A21,Assignments!$G$2:$G$769,"Active",Assignments!$V$2:$V$769,"&lt;="&amp;K$4,Assignments!$W$2:$W$769,"&gt;="&amp;K$4)+SUMIFS(Assignments!$AA$2:$AA$769,Assignments!$A$2:$A$769,$A21,Assignments!$G$2:$G$769,"Active",Assignments!$Y$2:$Y$769,"&lt;="&amp;K$4,Assignments!$Z$2:$Z$769,"&gt;="&amp;K$4))</f>
        <v/>
      </c>
      <c r="L21" s="11">
        <f>IF($A21="","",SUMIFS(Assignments!$X$2:$X$769,Assignments!$A$2:$A$769,$A21,Assignments!$G$2:$G$769,"Active",Assignments!$V$2:$V$769,"&lt;="&amp;L$4,Assignments!$W$2:$W$769,"&gt;="&amp;L$4)+SUMIFS(Assignments!$AA$2:$AA$769,Assignments!$A$2:$A$769,$A21,Assignments!$G$2:$G$769,"Active",Assignments!$Y$2:$Y$769,"&lt;="&amp;L$4,Assignments!$Z$2:$Z$769,"&gt;="&amp;L$4))</f>
        <v/>
      </c>
      <c r="M21" s="11">
        <f>IF($A21="","",SUMIFS(Assignments!$X$2:$X$769,Assignments!$A$2:$A$769,$A21,Assignments!$G$2:$G$769,"Active",Assignments!$V$2:$V$769,"&lt;="&amp;M$4,Assignments!$W$2:$W$769,"&gt;="&amp;M$4)+SUMIFS(Assignments!$AA$2:$AA$769,Assignments!$A$2:$A$769,$A21,Assignments!$G$2:$G$769,"Active",Assignments!$Y$2:$Y$769,"&lt;="&amp;M$4,Assignments!$Z$2:$Z$769,"&gt;="&amp;M$4))</f>
        <v/>
      </c>
      <c r="N21" s="11">
        <f>IF($A21="","",SUMIFS(Assignments!$X$2:$X$769,Assignments!$A$2:$A$769,$A21,Assignments!$G$2:$G$769,"Active",Assignments!$V$2:$V$769,"&lt;="&amp;N$4,Assignments!$W$2:$W$769,"&gt;="&amp;N$4)+SUMIFS(Assignments!$AA$2:$AA$769,Assignments!$A$2:$A$769,$A21,Assignments!$G$2:$G$769,"Active",Assignments!$Y$2:$Y$769,"&lt;="&amp;N$4,Assignments!$Z$2:$Z$769,"&gt;="&amp;N$4))</f>
        <v/>
      </c>
      <c r="O21" s="11">
        <f>IF($A21="","",SUMIFS(Assignments!$X$2:$X$769,Assignments!$A$2:$A$769,$A21,Assignments!$G$2:$G$769,"Active",Assignments!$V$2:$V$769,"&lt;="&amp;O$4,Assignments!$W$2:$W$769,"&gt;="&amp;O$4)+SUMIFS(Assignments!$AA$2:$AA$769,Assignments!$A$2:$A$769,$A21,Assignments!$G$2:$G$769,"Active",Assignments!$Y$2:$Y$769,"&lt;="&amp;O$4,Assignments!$Z$2:$Z$769,"&gt;="&amp;O$4))</f>
        <v/>
      </c>
      <c r="P21" s="11">
        <f>IF($A21="","",SUMIFS(Assignments!$X$2:$X$769,Assignments!$A$2:$A$769,$A21,Assignments!$G$2:$G$769,"Active",Assignments!$V$2:$V$769,"&lt;="&amp;P$4,Assignments!$W$2:$W$769,"&gt;="&amp;P$4)+SUMIFS(Assignments!$AA$2:$AA$769,Assignments!$A$2:$A$769,$A21,Assignments!$G$2:$G$769,"Active",Assignments!$Y$2:$Y$769,"&lt;="&amp;P$4,Assignments!$Z$2:$Z$769,"&gt;="&amp;P$4))</f>
        <v/>
      </c>
      <c r="Q21" s="11">
        <f>IF($A21="","",SUMIFS(Assignments!$X$2:$X$769,Assignments!$A$2:$A$769,$A21,Assignments!$G$2:$G$769,"Active",Assignments!$V$2:$V$769,"&lt;="&amp;Q$4,Assignments!$W$2:$W$769,"&gt;="&amp;Q$4)+SUMIFS(Assignments!$AA$2:$AA$769,Assignments!$A$2:$A$769,$A21,Assignments!$G$2:$G$769,"Active",Assignments!$Y$2:$Y$769,"&lt;="&amp;Q$4,Assignments!$Z$2:$Z$769,"&gt;="&amp;Q$4))</f>
        <v/>
      </c>
      <c r="R21" s="11">
        <f>IF($A21="","",SUMIFS(Assignments!$X$2:$X$769,Assignments!$A$2:$A$769,$A21,Assignments!$G$2:$G$769,"Active",Assignments!$V$2:$V$769,"&lt;="&amp;R$4,Assignments!$W$2:$W$769,"&gt;="&amp;R$4)+SUMIFS(Assignments!$AA$2:$AA$769,Assignments!$A$2:$A$769,$A21,Assignments!$G$2:$G$769,"Active",Assignments!$Y$2:$Y$769,"&lt;="&amp;R$4,Assignments!$Z$2:$Z$769,"&gt;="&amp;R$4))</f>
        <v/>
      </c>
      <c r="S21" s="11">
        <f>IF($A21="","",SUMIFS(Assignments!$X$2:$X$769,Assignments!$A$2:$A$769,$A21,Assignments!$G$2:$G$769,"Active",Assignments!$V$2:$V$769,"&lt;="&amp;S$4,Assignments!$W$2:$W$769,"&gt;="&amp;S$4)+SUMIFS(Assignments!$AA$2:$AA$769,Assignments!$A$2:$A$769,$A21,Assignments!$G$2:$G$769,"Active",Assignments!$Y$2:$Y$769,"&lt;="&amp;S$4,Assignments!$Z$2:$Z$769,"&gt;="&amp;S$4))</f>
        <v/>
      </c>
      <c r="T21" s="11">
        <f>IF($A21="","",SUMIFS(Assignments!$X$2:$X$769,Assignments!$A$2:$A$769,$A21,Assignments!$G$2:$G$769,"Active",Assignments!$V$2:$V$769,"&lt;="&amp;T$4,Assignments!$W$2:$W$769,"&gt;="&amp;T$4)+SUMIFS(Assignments!$AA$2:$AA$769,Assignments!$A$2:$A$769,$A21,Assignments!$G$2:$G$769,"Active",Assignments!$Y$2:$Y$769,"&lt;="&amp;T$4,Assignments!$Z$2:$Z$769,"&gt;="&amp;T$4))</f>
        <v/>
      </c>
      <c r="U21" s="11">
        <f>IF($A21="","",SUMIFS(Assignments!$X$2:$X$769,Assignments!$A$2:$A$769,$A21,Assignments!$G$2:$G$769,"Active",Assignments!$V$2:$V$769,"&lt;="&amp;U$4,Assignments!$W$2:$W$769,"&gt;="&amp;U$4)+SUMIFS(Assignments!$AA$2:$AA$769,Assignments!$A$2:$A$769,$A21,Assignments!$G$2:$G$769,"Active",Assignments!$Y$2:$Y$769,"&lt;="&amp;U$4,Assignments!$Z$2:$Z$769,"&gt;="&amp;U$4))</f>
        <v/>
      </c>
      <c r="V21" s="11">
        <f>IF($A21="","",SUMIFS(Assignments!$X$2:$X$769,Assignments!$A$2:$A$769,$A21,Assignments!$G$2:$G$769,"Active",Assignments!$V$2:$V$769,"&lt;="&amp;V$4,Assignments!$W$2:$W$769,"&gt;="&amp;V$4)+SUMIFS(Assignments!$AA$2:$AA$769,Assignments!$A$2:$A$769,$A21,Assignments!$G$2:$G$769,"Active",Assignments!$Y$2:$Y$769,"&lt;="&amp;V$4,Assignments!$Z$2:$Z$769,"&gt;="&amp;V$4))</f>
        <v/>
      </c>
      <c r="W21" s="11">
        <f>IF($A21="","",SUMIFS(Assignments!$X$2:$X$769,Assignments!$A$2:$A$769,$A21,Assignments!$G$2:$G$769,"Active",Assignments!$V$2:$V$769,"&lt;="&amp;W$4,Assignments!$W$2:$W$769,"&gt;="&amp;W$4)+SUMIFS(Assignments!$AA$2:$AA$769,Assignments!$A$2:$A$769,$A21,Assignments!$G$2:$G$769,"Active",Assignments!$Y$2:$Y$769,"&lt;="&amp;W$4,Assignments!$Z$2:$Z$769,"&gt;="&amp;W$4))</f>
        <v/>
      </c>
      <c r="X21" s="11">
        <f>IF($A21="","",SUMIFS(Assignments!$X$2:$X$769,Assignments!$A$2:$A$769,$A21,Assignments!$G$2:$G$769,"Active",Assignments!$V$2:$V$769,"&lt;="&amp;X$4,Assignments!$W$2:$W$769,"&gt;="&amp;X$4)+SUMIFS(Assignments!$AA$2:$AA$769,Assignments!$A$2:$A$769,$A21,Assignments!$G$2:$G$769,"Active",Assignments!$Y$2:$Y$769,"&lt;="&amp;X$4,Assignments!$Z$2:$Z$769,"&gt;="&amp;X$4))</f>
        <v/>
      </c>
      <c r="Y21" s="11">
        <f>IF($A21="","",SUMIFS(Assignments!$X$2:$X$769,Assignments!$A$2:$A$769,$A21,Assignments!$G$2:$G$769,"Active",Assignments!$V$2:$V$769,"&lt;="&amp;Y$4,Assignments!$W$2:$W$769,"&gt;="&amp;Y$4)+SUMIFS(Assignments!$AA$2:$AA$769,Assignments!$A$2:$A$769,$A21,Assignments!$G$2:$G$769,"Active",Assignments!$Y$2:$Y$769,"&lt;="&amp;Y$4,Assignments!$Z$2:$Z$769,"&gt;="&amp;Y$4))</f>
        <v/>
      </c>
      <c r="Z21" s="11">
        <f>IF($A21="","",SUMIFS(Assignments!$X$2:$X$769,Assignments!$A$2:$A$769,$A21,Assignments!$G$2:$G$769,"Active",Assignments!$V$2:$V$769,"&lt;="&amp;Z$4,Assignments!$W$2:$W$769,"&gt;="&amp;Z$4)+SUMIFS(Assignments!$AA$2:$AA$769,Assignments!$A$2:$A$769,$A21,Assignments!$G$2:$G$769,"Active",Assignments!$Y$2:$Y$769,"&lt;="&amp;Z$4,Assignments!$Z$2:$Z$769,"&gt;="&amp;Z$4))</f>
        <v/>
      </c>
      <c r="AA21" s="11">
        <f>IF($A21="","",SUMIFS(Assignments!$X$2:$X$769,Assignments!$A$2:$A$769,$A21,Assignments!$G$2:$G$769,"Active",Assignments!$V$2:$V$769,"&lt;="&amp;AA$4,Assignments!$W$2:$W$769,"&gt;="&amp;AA$4)+SUMIFS(Assignments!$AA$2:$AA$769,Assignments!$A$2:$A$769,$A21,Assignments!$G$2:$G$769,"Active",Assignments!$Y$2:$Y$769,"&lt;="&amp;AA$4,Assignments!$Z$2:$Z$769,"&gt;="&amp;AA$4))</f>
        <v/>
      </c>
      <c r="AB21" s="11">
        <f>IF($A21="","",SUMIFS(Assignments!$X$2:$X$769,Assignments!$A$2:$A$769,$A21,Assignments!$G$2:$G$769,"Active",Assignments!$V$2:$V$769,"&lt;="&amp;AB$4,Assignments!$W$2:$W$769,"&gt;="&amp;AB$4)+SUMIFS(Assignments!$AA$2:$AA$769,Assignments!$A$2:$A$769,$A21,Assignments!$G$2:$G$769,"Active",Assignments!$Y$2:$Y$769,"&lt;="&amp;AB$4,Assignments!$Z$2:$Z$769,"&gt;="&amp;AB$4))</f>
        <v/>
      </c>
    </row>
    <row r="22">
      <c r="A22" s="9">
        <f>IF(Roster!$A19="","",Roster!$A19)</f>
        <v/>
      </c>
      <c r="B22" s="10">
        <f>IF($A22="","",IFERROR(INDEX(Roster!$D$2:$D$40,MATCH($A22,Roster!$A$2:$A$40,0)),""))</f>
        <v/>
      </c>
      <c r="C22" s="11">
        <f>IF($A22="","",SUMIFS(Assignments!$X$2:$X$769,Assignments!$A$2:$A$769,$A22,Assignments!$G$2:$G$769,"Active",Assignments!$V$2:$V$769,"&lt;="&amp;C$4,Assignments!$W$2:$W$769,"&gt;="&amp;C$4)+SUMIFS(Assignments!$AA$2:$AA$769,Assignments!$A$2:$A$769,$A22,Assignments!$G$2:$G$769,"Active",Assignments!$Y$2:$Y$769,"&lt;="&amp;C$4,Assignments!$Z$2:$Z$769,"&gt;="&amp;C$4))</f>
        <v/>
      </c>
      <c r="D22" s="11">
        <f>IF($A22="","",SUMIFS(Assignments!$X$2:$X$769,Assignments!$A$2:$A$769,$A22,Assignments!$G$2:$G$769,"Active",Assignments!$V$2:$V$769,"&lt;="&amp;D$4,Assignments!$W$2:$W$769,"&gt;="&amp;D$4)+SUMIFS(Assignments!$AA$2:$AA$769,Assignments!$A$2:$A$769,$A22,Assignments!$G$2:$G$769,"Active",Assignments!$Y$2:$Y$769,"&lt;="&amp;D$4,Assignments!$Z$2:$Z$769,"&gt;="&amp;D$4))</f>
        <v/>
      </c>
      <c r="E22" s="11">
        <f>IF($A22="","",SUMIFS(Assignments!$X$2:$X$769,Assignments!$A$2:$A$769,$A22,Assignments!$G$2:$G$769,"Active",Assignments!$V$2:$V$769,"&lt;="&amp;E$4,Assignments!$W$2:$W$769,"&gt;="&amp;E$4)+SUMIFS(Assignments!$AA$2:$AA$769,Assignments!$A$2:$A$769,$A22,Assignments!$G$2:$G$769,"Active",Assignments!$Y$2:$Y$769,"&lt;="&amp;E$4,Assignments!$Z$2:$Z$769,"&gt;="&amp;E$4))</f>
        <v/>
      </c>
      <c r="F22" s="11">
        <f>IF($A22="","",SUMIFS(Assignments!$X$2:$X$769,Assignments!$A$2:$A$769,$A22,Assignments!$G$2:$G$769,"Active",Assignments!$V$2:$V$769,"&lt;="&amp;F$4,Assignments!$W$2:$W$769,"&gt;="&amp;F$4)+SUMIFS(Assignments!$AA$2:$AA$769,Assignments!$A$2:$A$769,$A22,Assignments!$G$2:$G$769,"Active",Assignments!$Y$2:$Y$769,"&lt;="&amp;F$4,Assignments!$Z$2:$Z$769,"&gt;="&amp;F$4))</f>
        <v/>
      </c>
      <c r="G22" s="11">
        <f>IF($A22="","",SUMIFS(Assignments!$X$2:$X$769,Assignments!$A$2:$A$769,$A22,Assignments!$G$2:$G$769,"Active",Assignments!$V$2:$V$769,"&lt;="&amp;G$4,Assignments!$W$2:$W$769,"&gt;="&amp;G$4)+SUMIFS(Assignments!$AA$2:$AA$769,Assignments!$A$2:$A$769,$A22,Assignments!$G$2:$G$769,"Active",Assignments!$Y$2:$Y$769,"&lt;="&amp;G$4,Assignments!$Z$2:$Z$769,"&gt;="&amp;G$4))</f>
        <v/>
      </c>
      <c r="H22" s="11">
        <f>IF($A22="","",SUMIFS(Assignments!$X$2:$X$769,Assignments!$A$2:$A$769,$A22,Assignments!$G$2:$G$769,"Active",Assignments!$V$2:$V$769,"&lt;="&amp;H$4,Assignments!$W$2:$W$769,"&gt;="&amp;H$4)+SUMIFS(Assignments!$AA$2:$AA$769,Assignments!$A$2:$A$769,$A22,Assignments!$G$2:$G$769,"Active",Assignments!$Y$2:$Y$769,"&lt;="&amp;H$4,Assignments!$Z$2:$Z$769,"&gt;="&amp;H$4))</f>
        <v/>
      </c>
      <c r="I22" s="11">
        <f>IF($A22="","",SUMIFS(Assignments!$X$2:$X$769,Assignments!$A$2:$A$769,$A22,Assignments!$G$2:$G$769,"Active",Assignments!$V$2:$V$769,"&lt;="&amp;I$4,Assignments!$W$2:$W$769,"&gt;="&amp;I$4)+SUMIFS(Assignments!$AA$2:$AA$769,Assignments!$A$2:$A$769,$A22,Assignments!$G$2:$G$769,"Active",Assignments!$Y$2:$Y$769,"&lt;="&amp;I$4,Assignments!$Z$2:$Z$769,"&gt;="&amp;I$4))</f>
        <v/>
      </c>
      <c r="J22" s="11">
        <f>IF($A22="","",SUMIFS(Assignments!$X$2:$X$769,Assignments!$A$2:$A$769,$A22,Assignments!$G$2:$G$769,"Active",Assignments!$V$2:$V$769,"&lt;="&amp;J$4,Assignments!$W$2:$W$769,"&gt;="&amp;J$4)+SUMIFS(Assignments!$AA$2:$AA$769,Assignments!$A$2:$A$769,$A22,Assignments!$G$2:$G$769,"Active",Assignments!$Y$2:$Y$769,"&lt;="&amp;J$4,Assignments!$Z$2:$Z$769,"&gt;="&amp;J$4))</f>
        <v/>
      </c>
      <c r="K22" s="11">
        <f>IF($A22="","",SUMIFS(Assignments!$X$2:$X$769,Assignments!$A$2:$A$769,$A22,Assignments!$G$2:$G$769,"Active",Assignments!$V$2:$V$769,"&lt;="&amp;K$4,Assignments!$W$2:$W$769,"&gt;="&amp;K$4)+SUMIFS(Assignments!$AA$2:$AA$769,Assignments!$A$2:$A$769,$A22,Assignments!$G$2:$G$769,"Active",Assignments!$Y$2:$Y$769,"&lt;="&amp;K$4,Assignments!$Z$2:$Z$769,"&gt;="&amp;K$4))</f>
        <v/>
      </c>
      <c r="L22" s="11">
        <f>IF($A22="","",SUMIFS(Assignments!$X$2:$X$769,Assignments!$A$2:$A$769,$A22,Assignments!$G$2:$G$769,"Active",Assignments!$V$2:$V$769,"&lt;="&amp;L$4,Assignments!$W$2:$W$769,"&gt;="&amp;L$4)+SUMIFS(Assignments!$AA$2:$AA$769,Assignments!$A$2:$A$769,$A22,Assignments!$G$2:$G$769,"Active",Assignments!$Y$2:$Y$769,"&lt;="&amp;L$4,Assignments!$Z$2:$Z$769,"&gt;="&amp;L$4))</f>
        <v/>
      </c>
      <c r="M22" s="11">
        <f>IF($A22="","",SUMIFS(Assignments!$X$2:$X$769,Assignments!$A$2:$A$769,$A22,Assignments!$G$2:$G$769,"Active",Assignments!$V$2:$V$769,"&lt;="&amp;M$4,Assignments!$W$2:$W$769,"&gt;="&amp;M$4)+SUMIFS(Assignments!$AA$2:$AA$769,Assignments!$A$2:$A$769,$A22,Assignments!$G$2:$G$769,"Active",Assignments!$Y$2:$Y$769,"&lt;="&amp;M$4,Assignments!$Z$2:$Z$769,"&gt;="&amp;M$4))</f>
        <v/>
      </c>
      <c r="N22" s="11">
        <f>IF($A22="","",SUMIFS(Assignments!$X$2:$X$769,Assignments!$A$2:$A$769,$A22,Assignments!$G$2:$G$769,"Active",Assignments!$V$2:$V$769,"&lt;="&amp;N$4,Assignments!$W$2:$W$769,"&gt;="&amp;N$4)+SUMIFS(Assignments!$AA$2:$AA$769,Assignments!$A$2:$A$769,$A22,Assignments!$G$2:$G$769,"Active",Assignments!$Y$2:$Y$769,"&lt;="&amp;N$4,Assignments!$Z$2:$Z$769,"&gt;="&amp;N$4))</f>
        <v/>
      </c>
      <c r="O22" s="11">
        <f>IF($A22="","",SUMIFS(Assignments!$X$2:$X$769,Assignments!$A$2:$A$769,$A22,Assignments!$G$2:$G$769,"Active",Assignments!$V$2:$V$769,"&lt;="&amp;O$4,Assignments!$W$2:$W$769,"&gt;="&amp;O$4)+SUMIFS(Assignments!$AA$2:$AA$769,Assignments!$A$2:$A$769,$A22,Assignments!$G$2:$G$769,"Active",Assignments!$Y$2:$Y$769,"&lt;="&amp;O$4,Assignments!$Z$2:$Z$769,"&gt;="&amp;O$4))</f>
        <v/>
      </c>
      <c r="P22" s="11">
        <f>IF($A22="","",SUMIFS(Assignments!$X$2:$X$769,Assignments!$A$2:$A$769,$A22,Assignments!$G$2:$G$769,"Active",Assignments!$V$2:$V$769,"&lt;="&amp;P$4,Assignments!$W$2:$W$769,"&gt;="&amp;P$4)+SUMIFS(Assignments!$AA$2:$AA$769,Assignments!$A$2:$A$769,$A22,Assignments!$G$2:$G$769,"Active",Assignments!$Y$2:$Y$769,"&lt;="&amp;P$4,Assignments!$Z$2:$Z$769,"&gt;="&amp;P$4))</f>
        <v/>
      </c>
      <c r="Q22" s="11">
        <f>IF($A22="","",SUMIFS(Assignments!$X$2:$X$769,Assignments!$A$2:$A$769,$A22,Assignments!$G$2:$G$769,"Active",Assignments!$V$2:$V$769,"&lt;="&amp;Q$4,Assignments!$W$2:$W$769,"&gt;="&amp;Q$4)+SUMIFS(Assignments!$AA$2:$AA$769,Assignments!$A$2:$A$769,$A22,Assignments!$G$2:$G$769,"Active",Assignments!$Y$2:$Y$769,"&lt;="&amp;Q$4,Assignments!$Z$2:$Z$769,"&gt;="&amp;Q$4))</f>
        <v/>
      </c>
      <c r="R22" s="11">
        <f>IF($A22="","",SUMIFS(Assignments!$X$2:$X$769,Assignments!$A$2:$A$769,$A22,Assignments!$G$2:$G$769,"Active",Assignments!$V$2:$V$769,"&lt;="&amp;R$4,Assignments!$W$2:$W$769,"&gt;="&amp;R$4)+SUMIFS(Assignments!$AA$2:$AA$769,Assignments!$A$2:$A$769,$A22,Assignments!$G$2:$G$769,"Active",Assignments!$Y$2:$Y$769,"&lt;="&amp;R$4,Assignments!$Z$2:$Z$769,"&gt;="&amp;R$4))</f>
        <v/>
      </c>
      <c r="S22" s="11">
        <f>IF($A22="","",SUMIFS(Assignments!$X$2:$X$769,Assignments!$A$2:$A$769,$A22,Assignments!$G$2:$G$769,"Active",Assignments!$V$2:$V$769,"&lt;="&amp;S$4,Assignments!$W$2:$W$769,"&gt;="&amp;S$4)+SUMIFS(Assignments!$AA$2:$AA$769,Assignments!$A$2:$A$769,$A22,Assignments!$G$2:$G$769,"Active",Assignments!$Y$2:$Y$769,"&lt;="&amp;S$4,Assignments!$Z$2:$Z$769,"&gt;="&amp;S$4))</f>
        <v/>
      </c>
      <c r="T22" s="11">
        <f>IF($A22="","",SUMIFS(Assignments!$X$2:$X$769,Assignments!$A$2:$A$769,$A22,Assignments!$G$2:$G$769,"Active",Assignments!$V$2:$V$769,"&lt;="&amp;T$4,Assignments!$W$2:$W$769,"&gt;="&amp;T$4)+SUMIFS(Assignments!$AA$2:$AA$769,Assignments!$A$2:$A$769,$A22,Assignments!$G$2:$G$769,"Active",Assignments!$Y$2:$Y$769,"&lt;="&amp;T$4,Assignments!$Z$2:$Z$769,"&gt;="&amp;T$4))</f>
        <v/>
      </c>
      <c r="U22" s="11">
        <f>IF($A22="","",SUMIFS(Assignments!$X$2:$X$769,Assignments!$A$2:$A$769,$A22,Assignments!$G$2:$G$769,"Active",Assignments!$V$2:$V$769,"&lt;="&amp;U$4,Assignments!$W$2:$W$769,"&gt;="&amp;U$4)+SUMIFS(Assignments!$AA$2:$AA$769,Assignments!$A$2:$A$769,$A22,Assignments!$G$2:$G$769,"Active",Assignments!$Y$2:$Y$769,"&lt;="&amp;U$4,Assignments!$Z$2:$Z$769,"&gt;="&amp;U$4))</f>
        <v/>
      </c>
      <c r="V22" s="11">
        <f>IF($A22="","",SUMIFS(Assignments!$X$2:$X$769,Assignments!$A$2:$A$769,$A22,Assignments!$G$2:$G$769,"Active",Assignments!$V$2:$V$769,"&lt;="&amp;V$4,Assignments!$W$2:$W$769,"&gt;="&amp;V$4)+SUMIFS(Assignments!$AA$2:$AA$769,Assignments!$A$2:$A$769,$A22,Assignments!$G$2:$G$769,"Active",Assignments!$Y$2:$Y$769,"&lt;="&amp;V$4,Assignments!$Z$2:$Z$769,"&gt;="&amp;V$4))</f>
        <v/>
      </c>
      <c r="W22" s="11">
        <f>IF($A22="","",SUMIFS(Assignments!$X$2:$X$769,Assignments!$A$2:$A$769,$A22,Assignments!$G$2:$G$769,"Active",Assignments!$V$2:$V$769,"&lt;="&amp;W$4,Assignments!$W$2:$W$769,"&gt;="&amp;W$4)+SUMIFS(Assignments!$AA$2:$AA$769,Assignments!$A$2:$A$769,$A22,Assignments!$G$2:$G$769,"Active",Assignments!$Y$2:$Y$769,"&lt;="&amp;W$4,Assignments!$Z$2:$Z$769,"&gt;="&amp;W$4))</f>
        <v/>
      </c>
      <c r="X22" s="11">
        <f>IF($A22="","",SUMIFS(Assignments!$X$2:$X$769,Assignments!$A$2:$A$769,$A22,Assignments!$G$2:$G$769,"Active",Assignments!$V$2:$V$769,"&lt;="&amp;X$4,Assignments!$W$2:$W$769,"&gt;="&amp;X$4)+SUMIFS(Assignments!$AA$2:$AA$769,Assignments!$A$2:$A$769,$A22,Assignments!$G$2:$G$769,"Active",Assignments!$Y$2:$Y$769,"&lt;="&amp;X$4,Assignments!$Z$2:$Z$769,"&gt;="&amp;X$4))</f>
        <v/>
      </c>
      <c r="Y22" s="11">
        <f>IF($A22="","",SUMIFS(Assignments!$X$2:$X$769,Assignments!$A$2:$A$769,$A22,Assignments!$G$2:$G$769,"Active",Assignments!$V$2:$V$769,"&lt;="&amp;Y$4,Assignments!$W$2:$W$769,"&gt;="&amp;Y$4)+SUMIFS(Assignments!$AA$2:$AA$769,Assignments!$A$2:$A$769,$A22,Assignments!$G$2:$G$769,"Active",Assignments!$Y$2:$Y$769,"&lt;="&amp;Y$4,Assignments!$Z$2:$Z$769,"&gt;="&amp;Y$4))</f>
        <v/>
      </c>
      <c r="Z22" s="11">
        <f>IF($A22="","",SUMIFS(Assignments!$X$2:$X$769,Assignments!$A$2:$A$769,$A22,Assignments!$G$2:$G$769,"Active",Assignments!$V$2:$V$769,"&lt;="&amp;Z$4,Assignments!$W$2:$W$769,"&gt;="&amp;Z$4)+SUMIFS(Assignments!$AA$2:$AA$769,Assignments!$A$2:$A$769,$A22,Assignments!$G$2:$G$769,"Active",Assignments!$Y$2:$Y$769,"&lt;="&amp;Z$4,Assignments!$Z$2:$Z$769,"&gt;="&amp;Z$4))</f>
        <v/>
      </c>
      <c r="AA22" s="11">
        <f>IF($A22="","",SUMIFS(Assignments!$X$2:$X$769,Assignments!$A$2:$A$769,$A22,Assignments!$G$2:$G$769,"Active",Assignments!$V$2:$V$769,"&lt;="&amp;AA$4,Assignments!$W$2:$W$769,"&gt;="&amp;AA$4)+SUMIFS(Assignments!$AA$2:$AA$769,Assignments!$A$2:$A$769,$A22,Assignments!$G$2:$G$769,"Active",Assignments!$Y$2:$Y$769,"&lt;="&amp;AA$4,Assignments!$Z$2:$Z$769,"&gt;="&amp;AA$4))</f>
        <v/>
      </c>
      <c r="AB22" s="11">
        <f>IF($A22="","",SUMIFS(Assignments!$X$2:$X$769,Assignments!$A$2:$A$769,$A22,Assignments!$G$2:$G$769,"Active",Assignments!$V$2:$V$769,"&lt;="&amp;AB$4,Assignments!$W$2:$W$769,"&gt;="&amp;AB$4)+SUMIFS(Assignments!$AA$2:$AA$769,Assignments!$A$2:$A$769,$A22,Assignments!$G$2:$G$769,"Active",Assignments!$Y$2:$Y$769,"&lt;="&amp;AB$4,Assignments!$Z$2:$Z$769,"&gt;="&amp;AB$4))</f>
        <v/>
      </c>
    </row>
    <row r="23">
      <c r="A23" s="9">
        <f>IF(Roster!$A20="","",Roster!$A20)</f>
        <v/>
      </c>
      <c r="B23" s="10">
        <f>IF($A23="","",IFERROR(INDEX(Roster!$D$2:$D$40,MATCH($A23,Roster!$A$2:$A$40,0)),""))</f>
        <v/>
      </c>
      <c r="C23" s="11">
        <f>IF($A23="","",SUMIFS(Assignments!$X$2:$X$769,Assignments!$A$2:$A$769,$A23,Assignments!$G$2:$G$769,"Active",Assignments!$V$2:$V$769,"&lt;="&amp;C$4,Assignments!$W$2:$W$769,"&gt;="&amp;C$4)+SUMIFS(Assignments!$AA$2:$AA$769,Assignments!$A$2:$A$769,$A23,Assignments!$G$2:$G$769,"Active",Assignments!$Y$2:$Y$769,"&lt;="&amp;C$4,Assignments!$Z$2:$Z$769,"&gt;="&amp;C$4))</f>
        <v/>
      </c>
      <c r="D23" s="11">
        <f>IF($A23="","",SUMIFS(Assignments!$X$2:$X$769,Assignments!$A$2:$A$769,$A23,Assignments!$G$2:$G$769,"Active",Assignments!$V$2:$V$769,"&lt;="&amp;D$4,Assignments!$W$2:$W$769,"&gt;="&amp;D$4)+SUMIFS(Assignments!$AA$2:$AA$769,Assignments!$A$2:$A$769,$A23,Assignments!$G$2:$G$769,"Active",Assignments!$Y$2:$Y$769,"&lt;="&amp;D$4,Assignments!$Z$2:$Z$769,"&gt;="&amp;D$4))</f>
        <v/>
      </c>
      <c r="E23" s="11">
        <f>IF($A23="","",SUMIFS(Assignments!$X$2:$X$769,Assignments!$A$2:$A$769,$A23,Assignments!$G$2:$G$769,"Active",Assignments!$V$2:$V$769,"&lt;="&amp;E$4,Assignments!$W$2:$W$769,"&gt;="&amp;E$4)+SUMIFS(Assignments!$AA$2:$AA$769,Assignments!$A$2:$A$769,$A23,Assignments!$G$2:$G$769,"Active",Assignments!$Y$2:$Y$769,"&lt;="&amp;E$4,Assignments!$Z$2:$Z$769,"&gt;="&amp;E$4))</f>
        <v/>
      </c>
      <c r="F23" s="11">
        <f>IF($A23="","",SUMIFS(Assignments!$X$2:$X$769,Assignments!$A$2:$A$769,$A23,Assignments!$G$2:$G$769,"Active",Assignments!$V$2:$V$769,"&lt;="&amp;F$4,Assignments!$W$2:$W$769,"&gt;="&amp;F$4)+SUMIFS(Assignments!$AA$2:$AA$769,Assignments!$A$2:$A$769,$A23,Assignments!$G$2:$G$769,"Active",Assignments!$Y$2:$Y$769,"&lt;="&amp;F$4,Assignments!$Z$2:$Z$769,"&gt;="&amp;F$4))</f>
        <v/>
      </c>
      <c r="G23" s="11">
        <f>IF($A23="","",SUMIFS(Assignments!$X$2:$X$769,Assignments!$A$2:$A$769,$A23,Assignments!$G$2:$G$769,"Active",Assignments!$V$2:$V$769,"&lt;="&amp;G$4,Assignments!$W$2:$W$769,"&gt;="&amp;G$4)+SUMIFS(Assignments!$AA$2:$AA$769,Assignments!$A$2:$A$769,$A23,Assignments!$G$2:$G$769,"Active",Assignments!$Y$2:$Y$769,"&lt;="&amp;G$4,Assignments!$Z$2:$Z$769,"&gt;="&amp;G$4))</f>
        <v/>
      </c>
      <c r="H23" s="11">
        <f>IF($A23="","",SUMIFS(Assignments!$X$2:$X$769,Assignments!$A$2:$A$769,$A23,Assignments!$G$2:$G$769,"Active",Assignments!$V$2:$V$769,"&lt;="&amp;H$4,Assignments!$W$2:$W$769,"&gt;="&amp;H$4)+SUMIFS(Assignments!$AA$2:$AA$769,Assignments!$A$2:$A$769,$A23,Assignments!$G$2:$G$769,"Active",Assignments!$Y$2:$Y$769,"&lt;="&amp;H$4,Assignments!$Z$2:$Z$769,"&gt;="&amp;H$4))</f>
        <v/>
      </c>
      <c r="I23" s="11">
        <f>IF($A23="","",SUMIFS(Assignments!$X$2:$X$769,Assignments!$A$2:$A$769,$A23,Assignments!$G$2:$G$769,"Active",Assignments!$V$2:$V$769,"&lt;="&amp;I$4,Assignments!$W$2:$W$769,"&gt;="&amp;I$4)+SUMIFS(Assignments!$AA$2:$AA$769,Assignments!$A$2:$A$769,$A23,Assignments!$G$2:$G$769,"Active",Assignments!$Y$2:$Y$769,"&lt;="&amp;I$4,Assignments!$Z$2:$Z$769,"&gt;="&amp;I$4))</f>
        <v/>
      </c>
      <c r="J23" s="11">
        <f>IF($A23="","",SUMIFS(Assignments!$X$2:$X$769,Assignments!$A$2:$A$769,$A23,Assignments!$G$2:$G$769,"Active",Assignments!$V$2:$V$769,"&lt;="&amp;J$4,Assignments!$W$2:$W$769,"&gt;="&amp;J$4)+SUMIFS(Assignments!$AA$2:$AA$769,Assignments!$A$2:$A$769,$A23,Assignments!$G$2:$G$769,"Active",Assignments!$Y$2:$Y$769,"&lt;="&amp;J$4,Assignments!$Z$2:$Z$769,"&gt;="&amp;J$4))</f>
        <v/>
      </c>
      <c r="K23" s="11">
        <f>IF($A23="","",SUMIFS(Assignments!$X$2:$X$769,Assignments!$A$2:$A$769,$A23,Assignments!$G$2:$G$769,"Active",Assignments!$V$2:$V$769,"&lt;="&amp;K$4,Assignments!$W$2:$W$769,"&gt;="&amp;K$4)+SUMIFS(Assignments!$AA$2:$AA$769,Assignments!$A$2:$A$769,$A23,Assignments!$G$2:$G$769,"Active",Assignments!$Y$2:$Y$769,"&lt;="&amp;K$4,Assignments!$Z$2:$Z$769,"&gt;="&amp;K$4))</f>
        <v/>
      </c>
      <c r="L23" s="11">
        <f>IF($A23="","",SUMIFS(Assignments!$X$2:$X$769,Assignments!$A$2:$A$769,$A23,Assignments!$G$2:$G$769,"Active",Assignments!$V$2:$V$769,"&lt;="&amp;L$4,Assignments!$W$2:$W$769,"&gt;="&amp;L$4)+SUMIFS(Assignments!$AA$2:$AA$769,Assignments!$A$2:$A$769,$A23,Assignments!$G$2:$G$769,"Active",Assignments!$Y$2:$Y$769,"&lt;="&amp;L$4,Assignments!$Z$2:$Z$769,"&gt;="&amp;L$4))</f>
        <v/>
      </c>
      <c r="M23" s="11">
        <f>IF($A23="","",SUMIFS(Assignments!$X$2:$X$769,Assignments!$A$2:$A$769,$A23,Assignments!$G$2:$G$769,"Active",Assignments!$V$2:$V$769,"&lt;="&amp;M$4,Assignments!$W$2:$W$769,"&gt;="&amp;M$4)+SUMIFS(Assignments!$AA$2:$AA$769,Assignments!$A$2:$A$769,$A23,Assignments!$G$2:$G$769,"Active",Assignments!$Y$2:$Y$769,"&lt;="&amp;M$4,Assignments!$Z$2:$Z$769,"&gt;="&amp;M$4))</f>
        <v/>
      </c>
      <c r="N23" s="11">
        <f>IF($A23="","",SUMIFS(Assignments!$X$2:$X$769,Assignments!$A$2:$A$769,$A23,Assignments!$G$2:$G$769,"Active",Assignments!$V$2:$V$769,"&lt;="&amp;N$4,Assignments!$W$2:$W$769,"&gt;="&amp;N$4)+SUMIFS(Assignments!$AA$2:$AA$769,Assignments!$A$2:$A$769,$A23,Assignments!$G$2:$G$769,"Active",Assignments!$Y$2:$Y$769,"&lt;="&amp;N$4,Assignments!$Z$2:$Z$769,"&gt;="&amp;N$4))</f>
        <v/>
      </c>
      <c r="O23" s="11">
        <f>IF($A23="","",SUMIFS(Assignments!$X$2:$X$769,Assignments!$A$2:$A$769,$A23,Assignments!$G$2:$G$769,"Active",Assignments!$V$2:$V$769,"&lt;="&amp;O$4,Assignments!$W$2:$W$769,"&gt;="&amp;O$4)+SUMIFS(Assignments!$AA$2:$AA$769,Assignments!$A$2:$A$769,$A23,Assignments!$G$2:$G$769,"Active",Assignments!$Y$2:$Y$769,"&lt;="&amp;O$4,Assignments!$Z$2:$Z$769,"&gt;="&amp;O$4))</f>
        <v/>
      </c>
      <c r="P23" s="11">
        <f>IF($A23="","",SUMIFS(Assignments!$X$2:$X$769,Assignments!$A$2:$A$769,$A23,Assignments!$G$2:$G$769,"Active",Assignments!$V$2:$V$769,"&lt;="&amp;P$4,Assignments!$W$2:$W$769,"&gt;="&amp;P$4)+SUMIFS(Assignments!$AA$2:$AA$769,Assignments!$A$2:$A$769,$A23,Assignments!$G$2:$G$769,"Active",Assignments!$Y$2:$Y$769,"&lt;="&amp;P$4,Assignments!$Z$2:$Z$769,"&gt;="&amp;P$4))</f>
        <v/>
      </c>
      <c r="Q23" s="11">
        <f>IF($A23="","",SUMIFS(Assignments!$X$2:$X$769,Assignments!$A$2:$A$769,$A23,Assignments!$G$2:$G$769,"Active",Assignments!$V$2:$V$769,"&lt;="&amp;Q$4,Assignments!$W$2:$W$769,"&gt;="&amp;Q$4)+SUMIFS(Assignments!$AA$2:$AA$769,Assignments!$A$2:$A$769,$A23,Assignments!$G$2:$G$769,"Active",Assignments!$Y$2:$Y$769,"&lt;="&amp;Q$4,Assignments!$Z$2:$Z$769,"&gt;="&amp;Q$4))</f>
        <v/>
      </c>
      <c r="R23" s="11">
        <f>IF($A23="","",SUMIFS(Assignments!$X$2:$X$769,Assignments!$A$2:$A$769,$A23,Assignments!$G$2:$G$769,"Active",Assignments!$V$2:$V$769,"&lt;="&amp;R$4,Assignments!$W$2:$W$769,"&gt;="&amp;R$4)+SUMIFS(Assignments!$AA$2:$AA$769,Assignments!$A$2:$A$769,$A23,Assignments!$G$2:$G$769,"Active",Assignments!$Y$2:$Y$769,"&lt;="&amp;R$4,Assignments!$Z$2:$Z$769,"&gt;="&amp;R$4))</f>
        <v/>
      </c>
      <c r="S23" s="11">
        <f>IF($A23="","",SUMIFS(Assignments!$X$2:$X$769,Assignments!$A$2:$A$769,$A23,Assignments!$G$2:$G$769,"Active",Assignments!$V$2:$V$769,"&lt;="&amp;S$4,Assignments!$W$2:$W$769,"&gt;="&amp;S$4)+SUMIFS(Assignments!$AA$2:$AA$769,Assignments!$A$2:$A$769,$A23,Assignments!$G$2:$G$769,"Active",Assignments!$Y$2:$Y$769,"&lt;="&amp;S$4,Assignments!$Z$2:$Z$769,"&gt;="&amp;S$4))</f>
        <v/>
      </c>
      <c r="T23" s="11">
        <f>IF($A23="","",SUMIFS(Assignments!$X$2:$X$769,Assignments!$A$2:$A$769,$A23,Assignments!$G$2:$G$769,"Active",Assignments!$V$2:$V$769,"&lt;="&amp;T$4,Assignments!$W$2:$W$769,"&gt;="&amp;T$4)+SUMIFS(Assignments!$AA$2:$AA$769,Assignments!$A$2:$A$769,$A23,Assignments!$G$2:$G$769,"Active",Assignments!$Y$2:$Y$769,"&lt;="&amp;T$4,Assignments!$Z$2:$Z$769,"&gt;="&amp;T$4))</f>
        <v/>
      </c>
      <c r="U23" s="11">
        <f>IF($A23="","",SUMIFS(Assignments!$X$2:$X$769,Assignments!$A$2:$A$769,$A23,Assignments!$G$2:$G$769,"Active",Assignments!$V$2:$V$769,"&lt;="&amp;U$4,Assignments!$W$2:$W$769,"&gt;="&amp;U$4)+SUMIFS(Assignments!$AA$2:$AA$769,Assignments!$A$2:$A$769,$A23,Assignments!$G$2:$G$769,"Active",Assignments!$Y$2:$Y$769,"&lt;="&amp;U$4,Assignments!$Z$2:$Z$769,"&gt;="&amp;U$4))</f>
        <v/>
      </c>
      <c r="V23" s="11">
        <f>IF($A23="","",SUMIFS(Assignments!$X$2:$X$769,Assignments!$A$2:$A$769,$A23,Assignments!$G$2:$G$769,"Active",Assignments!$V$2:$V$769,"&lt;="&amp;V$4,Assignments!$W$2:$W$769,"&gt;="&amp;V$4)+SUMIFS(Assignments!$AA$2:$AA$769,Assignments!$A$2:$A$769,$A23,Assignments!$G$2:$G$769,"Active",Assignments!$Y$2:$Y$769,"&lt;="&amp;V$4,Assignments!$Z$2:$Z$769,"&gt;="&amp;V$4))</f>
        <v/>
      </c>
      <c r="W23" s="11">
        <f>IF($A23="","",SUMIFS(Assignments!$X$2:$X$769,Assignments!$A$2:$A$769,$A23,Assignments!$G$2:$G$769,"Active",Assignments!$V$2:$V$769,"&lt;="&amp;W$4,Assignments!$W$2:$W$769,"&gt;="&amp;W$4)+SUMIFS(Assignments!$AA$2:$AA$769,Assignments!$A$2:$A$769,$A23,Assignments!$G$2:$G$769,"Active",Assignments!$Y$2:$Y$769,"&lt;="&amp;W$4,Assignments!$Z$2:$Z$769,"&gt;="&amp;W$4))</f>
        <v/>
      </c>
      <c r="X23" s="11">
        <f>IF($A23="","",SUMIFS(Assignments!$X$2:$X$769,Assignments!$A$2:$A$769,$A23,Assignments!$G$2:$G$769,"Active",Assignments!$V$2:$V$769,"&lt;="&amp;X$4,Assignments!$W$2:$W$769,"&gt;="&amp;X$4)+SUMIFS(Assignments!$AA$2:$AA$769,Assignments!$A$2:$A$769,$A23,Assignments!$G$2:$G$769,"Active",Assignments!$Y$2:$Y$769,"&lt;="&amp;X$4,Assignments!$Z$2:$Z$769,"&gt;="&amp;X$4))</f>
        <v/>
      </c>
      <c r="Y23" s="11">
        <f>IF($A23="","",SUMIFS(Assignments!$X$2:$X$769,Assignments!$A$2:$A$769,$A23,Assignments!$G$2:$G$769,"Active",Assignments!$V$2:$V$769,"&lt;="&amp;Y$4,Assignments!$W$2:$W$769,"&gt;="&amp;Y$4)+SUMIFS(Assignments!$AA$2:$AA$769,Assignments!$A$2:$A$769,$A23,Assignments!$G$2:$G$769,"Active",Assignments!$Y$2:$Y$769,"&lt;="&amp;Y$4,Assignments!$Z$2:$Z$769,"&gt;="&amp;Y$4))</f>
        <v/>
      </c>
      <c r="Z23" s="11">
        <f>IF($A23="","",SUMIFS(Assignments!$X$2:$X$769,Assignments!$A$2:$A$769,$A23,Assignments!$G$2:$G$769,"Active",Assignments!$V$2:$V$769,"&lt;="&amp;Z$4,Assignments!$W$2:$W$769,"&gt;="&amp;Z$4)+SUMIFS(Assignments!$AA$2:$AA$769,Assignments!$A$2:$A$769,$A23,Assignments!$G$2:$G$769,"Active",Assignments!$Y$2:$Y$769,"&lt;="&amp;Z$4,Assignments!$Z$2:$Z$769,"&gt;="&amp;Z$4))</f>
        <v/>
      </c>
      <c r="AA23" s="11">
        <f>IF($A23="","",SUMIFS(Assignments!$X$2:$X$769,Assignments!$A$2:$A$769,$A23,Assignments!$G$2:$G$769,"Active",Assignments!$V$2:$V$769,"&lt;="&amp;AA$4,Assignments!$W$2:$W$769,"&gt;="&amp;AA$4)+SUMIFS(Assignments!$AA$2:$AA$769,Assignments!$A$2:$A$769,$A23,Assignments!$G$2:$G$769,"Active",Assignments!$Y$2:$Y$769,"&lt;="&amp;AA$4,Assignments!$Z$2:$Z$769,"&gt;="&amp;AA$4))</f>
        <v/>
      </c>
      <c r="AB23" s="11">
        <f>IF($A23="","",SUMIFS(Assignments!$X$2:$X$769,Assignments!$A$2:$A$769,$A23,Assignments!$G$2:$G$769,"Active",Assignments!$V$2:$V$769,"&lt;="&amp;AB$4,Assignments!$W$2:$W$769,"&gt;="&amp;AB$4)+SUMIFS(Assignments!$AA$2:$AA$769,Assignments!$A$2:$A$769,$A23,Assignments!$G$2:$G$769,"Active",Assignments!$Y$2:$Y$769,"&lt;="&amp;AB$4,Assignments!$Z$2:$Z$769,"&gt;="&amp;AB$4))</f>
        <v/>
      </c>
    </row>
    <row r="24">
      <c r="A24" s="9">
        <f>IF(Roster!$A21="","",Roster!$A21)</f>
        <v/>
      </c>
      <c r="B24" s="10">
        <f>IF($A24="","",IFERROR(INDEX(Roster!$D$2:$D$40,MATCH($A24,Roster!$A$2:$A$40,0)),""))</f>
        <v/>
      </c>
      <c r="C24" s="11">
        <f>IF($A24="","",SUMIFS(Assignments!$X$2:$X$769,Assignments!$A$2:$A$769,$A24,Assignments!$G$2:$G$769,"Active",Assignments!$V$2:$V$769,"&lt;="&amp;C$4,Assignments!$W$2:$W$769,"&gt;="&amp;C$4)+SUMIFS(Assignments!$AA$2:$AA$769,Assignments!$A$2:$A$769,$A24,Assignments!$G$2:$G$769,"Active",Assignments!$Y$2:$Y$769,"&lt;="&amp;C$4,Assignments!$Z$2:$Z$769,"&gt;="&amp;C$4))</f>
        <v/>
      </c>
      <c r="D24" s="11">
        <f>IF($A24="","",SUMIFS(Assignments!$X$2:$X$769,Assignments!$A$2:$A$769,$A24,Assignments!$G$2:$G$769,"Active",Assignments!$V$2:$V$769,"&lt;="&amp;D$4,Assignments!$W$2:$W$769,"&gt;="&amp;D$4)+SUMIFS(Assignments!$AA$2:$AA$769,Assignments!$A$2:$A$769,$A24,Assignments!$G$2:$G$769,"Active",Assignments!$Y$2:$Y$769,"&lt;="&amp;D$4,Assignments!$Z$2:$Z$769,"&gt;="&amp;D$4))</f>
        <v/>
      </c>
      <c r="E24" s="11">
        <f>IF($A24="","",SUMIFS(Assignments!$X$2:$X$769,Assignments!$A$2:$A$769,$A24,Assignments!$G$2:$G$769,"Active",Assignments!$V$2:$V$769,"&lt;="&amp;E$4,Assignments!$W$2:$W$769,"&gt;="&amp;E$4)+SUMIFS(Assignments!$AA$2:$AA$769,Assignments!$A$2:$A$769,$A24,Assignments!$G$2:$G$769,"Active",Assignments!$Y$2:$Y$769,"&lt;="&amp;E$4,Assignments!$Z$2:$Z$769,"&gt;="&amp;E$4))</f>
        <v/>
      </c>
      <c r="F24" s="11">
        <f>IF($A24="","",SUMIFS(Assignments!$X$2:$X$769,Assignments!$A$2:$A$769,$A24,Assignments!$G$2:$G$769,"Active",Assignments!$V$2:$V$769,"&lt;="&amp;F$4,Assignments!$W$2:$W$769,"&gt;="&amp;F$4)+SUMIFS(Assignments!$AA$2:$AA$769,Assignments!$A$2:$A$769,$A24,Assignments!$G$2:$G$769,"Active",Assignments!$Y$2:$Y$769,"&lt;="&amp;F$4,Assignments!$Z$2:$Z$769,"&gt;="&amp;F$4))</f>
        <v/>
      </c>
      <c r="G24" s="11">
        <f>IF($A24="","",SUMIFS(Assignments!$X$2:$X$769,Assignments!$A$2:$A$769,$A24,Assignments!$G$2:$G$769,"Active",Assignments!$V$2:$V$769,"&lt;="&amp;G$4,Assignments!$W$2:$W$769,"&gt;="&amp;G$4)+SUMIFS(Assignments!$AA$2:$AA$769,Assignments!$A$2:$A$769,$A24,Assignments!$G$2:$G$769,"Active",Assignments!$Y$2:$Y$769,"&lt;="&amp;G$4,Assignments!$Z$2:$Z$769,"&gt;="&amp;G$4))</f>
        <v/>
      </c>
      <c r="H24" s="11">
        <f>IF($A24="","",SUMIFS(Assignments!$X$2:$X$769,Assignments!$A$2:$A$769,$A24,Assignments!$G$2:$G$769,"Active",Assignments!$V$2:$V$769,"&lt;="&amp;H$4,Assignments!$W$2:$W$769,"&gt;="&amp;H$4)+SUMIFS(Assignments!$AA$2:$AA$769,Assignments!$A$2:$A$769,$A24,Assignments!$G$2:$G$769,"Active",Assignments!$Y$2:$Y$769,"&lt;="&amp;H$4,Assignments!$Z$2:$Z$769,"&gt;="&amp;H$4))</f>
        <v/>
      </c>
      <c r="I24" s="11">
        <f>IF($A24="","",SUMIFS(Assignments!$X$2:$X$769,Assignments!$A$2:$A$769,$A24,Assignments!$G$2:$G$769,"Active",Assignments!$V$2:$V$769,"&lt;="&amp;I$4,Assignments!$W$2:$W$769,"&gt;="&amp;I$4)+SUMIFS(Assignments!$AA$2:$AA$769,Assignments!$A$2:$A$769,$A24,Assignments!$G$2:$G$769,"Active",Assignments!$Y$2:$Y$769,"&lt;="&amp;I$4,Assignments!$Z$2:$Z$769,"&gt;="&amp;I$4))</f>
        <v/>
      </c>
      <c r="J24" s="11">
        <f>IF($A24="","",SUMIFS(Assignments!$X$2:$X$769,Assignments!$A$2:$A$769,$A24,Assignments!$G$2:$G$769,"Active",Assignments!$V$2:$V$769,"&lt;="&amp;J$4,Assignments!$W$2:$W$769,"&gt;="&amp;J$4)+SUMIFS(Assignments!$AA$2:$AA$769,Assignments!$A$2:$A$769,$A24,Assignments!$G$2:$G$769,"Active",Assignments!$Y$2:$Y$769,"&lt;="&amp;J$4,Assignments!$Z$2:$Z$769,"&gt;="&amp;J$4))</f>
        <v/>
      </c>
      <c r="K24" s="11">
        <f>IF($A24="","",SUMIFS(Assignments!$X$2:$X$769,Assignments!$A$2:$A$769,$A24,Assignments!$G$2:$G$769,"Active",Assignments!$V$2:$V$769,"&lt;="&amp;K$4,Assignments!$W$2:$W$769,"&gt;="&amp;K$4)+SUMIFS(Assignments!$AA$2:$AA$769,Assignments!$A$2:$A$769,$A24,Assignments!$G$2:$G$769,"Active",Assignments!$Y$2:$Y$769,"&lt;="&amp;K$4,Assignments!$Z$2:$Z$769,"&gt;="&amp;K$4))</f>
        <v/>
      </c>
      <c r="L24" s="11">
        <f>IF($A24="","",SUMIFS(Assignments!$X$2:$X$769,Assignments!$A$2:$A$769,$A24,Assignments!$G$2:$G$769,"Active",Assignments!$V$2:$V$769,"&lt;="&amp;L$4,Assignments!$W$2:$W$769,"&gt;="&amp;L$4)+SUMIFS(Assignments!$AA$2:$AA$769,Assignments!$A$2:$A$769,$A24,Assignments!$G$2:$G$769,"Active",Assignments!$Y$2:$Y$769,"&lt;="&amp;L$4,Assignments!$Z$2:$Z$769,"&gt;="&amp;L$4))</f>
        <v/>
      </c>
      <c r="M24" s="11">
        <f>IF($A24="","",SUMIFS(Assignments!$X$2:$X$769,Assignments!$A$2:$A$769,$A24,Assignments!$G$2:$G$769,"Active",Assignments!$V$2:$V$769,"&lt;="&amp;M$4,Assignments!$W$2:$W$769,"&gt;="&amp;M$4)+SUMIFS(Assignments!$AA$2:$AA$769,Assignments!$A$2:$A$769,$A24,Assignments!$G$2:$G$769,"Active",Assignments!$Y$2:$Y$769,"&lt;="&amp;M$4,Assignments!$Z$2:$Z$769,"&gt;="&amp;M$4))</f>
        <v/>
      </c>
      <c r="N24" s="11">
        <f>IF($A24="","",SUMIFS(Assignments!$X$2:$X$769,Assignments!$A$2:$A$769,$A24,Assignments!$G$2:$G$769,"Active",Assignments!$V$2:$V$769,"&lt;="&amp;N$4,Assignments!$W$2:$W$769,"&gt;="&amp;N$4)+SUMIFS(Assignments!$AA$2:$AA$769,Assignments!$A$2:$A$769,$A24,Assignments!$G$2:$G$769,"Active",Assignments!$Y$2:$Y$769,"&lt;="&amp;N$4,Assignments!$Z$2:$Z$769,"&gt;="&amp;N$4))</f>
        <v/>
      </c>
      <c r="O24" s="11">
        <f>IF($A24="","",SUMIFS(Assignments!$X$2:$X$769,Assignments!$A$2:$A$769,$A24,Assignments!$G$2:$G$769,"Active",Assignments!$V$2:$V$769,"&lt;="&amp;O$4,Assignments!$W$2:$W$769,"&gt;="&amp;O$4)+SUMIFS(Assignments!$AA$2:$AA$769,Assignments!$A$2:$A$769,$A24,Assignments!$G$2:$G$769,"Active",Assignments!$Y$2:$Y$769,"&lt;="&amp;O$4,Assignments!$Z$2:$Z$769,"&gt;="&amp;O$4))</f>
        <v/>
      </c>
      <c r="P24" s="11">
        <f>IF($A24="","",SUMIFS(Assignments!$X$2:$X$769,Assignments!$A$2:$A$769,$A24,Assignments!$G$2:$G$769,"Active",Assignments!$V$2:$V$769,"&lt;="&amp;P$4,Assignments!$W$2:$W$769,"&gt;="&amp;P$4)+SUMIFS(Assignments!$AA$2:$AA$769,Assignments!$A$2:$A$769,$A24,Assignments!$G$2:$G$769,"Active",Assignments!$Y$2:$Y$769,"&lt;="&amp;P$4,Assignments!$Z$2:$Z$769,"&gt;="&amp;P$4))</f>
        <v/>
      </c>
      <c r="Q24" s="11">
        <f>IF($A24="","",SUMIFS(Assignments!$X$2:$X$769,Assignments!$A$2:$A$769,$A24,Assignments!$G$2:$G$769,"Active",Assignments!$V$2:$V$769,"&lt;="&amp;Q$4,Assignments!$W$2:$W$769,"&gt;="&amp;Q$4)+SUMIFS(Assignments!$AA$2:$AA$769,Assignments!$A$2:$A$769,$A24,Assignments!$G$2:$G$769,"Active",Assignments!$Y$2:$Y$769,"&lt;="&amp;Q$4,Assignments!$Z$2:$Z$769,"&gt;="&amp;Q$4))</f>
        <v/>
      </c>
      <c r="R24" s="11">
        <f>IF($A24="","",SUMIFS(Assignments!$X$2:$X$769,Assignments!$A$2:$A$769,$A24,Assignments!$G$2:$G$769,"Active",Assignments!$V$2:$V$769,"&lt;="&amp;R$4,Assignments!$W$2:$W$769,"&gt;="&amp;R$4)+SUMIFS(Assignments!$AA$2:$AA$769,Assignments!$A$2:$A$769,$A24,Assignments!$G$2:$G$769,"Active",Assignments!$Y$2:$Y$769,"&lt;="&amp;R$4,Assignments!$Z$2:$Z$769,"&gt;="&amp;R$4))</f>
        <v/>
      </c>
      <c r="S24" s="11">
        <f>IF($A24="","",SUMIFS(Assignments!$X$2:$X$769,Assignments!$A$2:$A$769,$A24,Assignments!$G$2:$G$769,"Active",Assignments!$V$2:$V$769,"&lt;="&amp;S$4,Assignments!$W$2:$W$769,"&gt;="&amp;S$4)+SUMIFS(Assignments!$AA$2:$AA$769,Assignments!$A$2:$A$769,$A24,Assignments!$G$2:$G$769,"Active",Assignments!$Y$2:$Y$769,"&lt;="&amp;S$4,Assignments!$Z$2:$Z$769,"&gt;="&amp;S$4))</f>
        <v/>
      </c>
      <c r="T24" s="11">
        <f>IF($A24="","",SUMIFS(Assignments!$X$2:$X$769,Assignments!$A$2:$A$769,$A24,Assignments!$G$2:$G$769,"Active",Assignments!$V$2:$V$769,"&lt;="&amp;T$4,Assignments!$W$2:$W$769,"&gt;="&amp;T$4)+SUMIFS(Assignments!$AA$2:$AA$769,Assignments!$A$2:$A$769,$A24,Assignments!$G$2:$G$769,"Active",Assignments!$Y$2:$Y$769,"&lt;="&amp;T$4,Assignments!$Z$2:$Z$769,"&gt;="&amp;T$4))</f>
        <v/>
      </c>
      <c r="U24" s="11">
        <f>IF($A24="","",SUMIFS(Assignments!$X$2:$X$769,Assignments!$A$2:$A$769,$A24,Assignments!$G$2:$G$769,"Active",Assignments!$V$2:$V$769,"&lt;="&amp;U$4,Assignments!$W$2:$W$769,"&gt;="&amp;U$4)+SUMIFS(Assignments!$AA$2:$AA$769,Assignments!$A$2:$A$769,$A24,Assignments!$G$2:$G$769,"Active",Assignments!$Y$2:$Y$769,"&lt;="&amp;U$4,Assignments!$Z$2:$Z$769,"&gt;="&amp;U$4))</f>
        <v/>
      </c>
      <c r="V24" s="11">
        <f>IF($A24="","",SUMIFS(Assignments!$X$2:$X$769,Assignments!$A$2:$A$769,$A24,Assignments!$G$2:$G$769,"Active",Assignments!$V$2:$V$769,"&lt;="&amp;V$4,Assignments!$W$2:$W$769,"&gt;="&amp;V$4)+SUMIFS(Assignments!$AA$2:$AA$769,Assignments!$A$2:$A$769,$A24,Assignments!$G$2:$G$769,"Active",Assignments!$Y$2:$Y$769,"&lt;="&amp;V$4,Assignments!$Z$2:$Z$769,"&gt;="&amp;V$4))</f>
        <v/>
      </c>
      <c r="W24" s="11">
        <f>IF($A24="","",SUMIFS(Assignments!$X$2:$X$769,Assignments!$A$2:$A$769,$A24,Assignments!$G$2:$G$769,"Active",Assignments!$V$2:$V$769,"&lt;="&amp;W$4,Assignments!$W$2:$W$769,"&gt;="&amp;W$4)+SUMIFS(Assignments!$AA$2:$AA$769,Assignments!$A$2:$A$769,$A24,Assignments!$G$2:$G$769,"Active",Assignments!$Y$2:$Y$769,"&lt;="&amp;W$4,Assignments!$Z$2:$Z$769,"&gt;="&amp;W$4))</f>
        <v/>
      </c>
      <c r="X24" s="11">
        <f>IF($A24="","",SUMIFS(Assignments!$X$2:$X$769,Assignments!$A$2:$A$769,$A24,Assignments!$G$2:$G$769,"Active",Assignments!$V$2:$V$769,"&lt;="&amp;X$4,Assignments!$W$2:$W$769,"&gt;="&amp;X$4)+SUMIFS(Assignments!$AA$2:$AA$769,Assignments!$A$2:$A$769,$A24,Assignments!$G$2:$G$769,"Active",Assignments!$Y$2:$Y$769,"&lt;="&amp;X$4,Assignments!$Z$2:$Z$769,"&gt;="&amp;X$4))</f>
        <v/>
      </c>
      <c r="Y24" s="11">
        <f>IF($A24="","",SUMIFS(Assignments!$X$2:$X$769,Assignments!$A$2:$A$769,$A24,Assignments!$G$2:$G$769,"Active",Assignments!$V$2:$V$769,"&lt;="&amp;Y$4,Assignments!$W$2:$W$769,"&gt;="&amp;Y$4)+SUMIFS(Assignments!$AA$2:$AA$769,Assignments!$A$2:$A$769,$A24,Assignments!$G$2:$G$769,"Active",Assignments!$Y$2:$Y$769,"&lt;="&amp;Y$4,Assignments!$Z$2:$Z$769,"&gt;="&amp;Y$4))</f>
        <v/>
      </c>
      <c r="Z24" s="11">
        <f>IF($A24="","",SUMIFS(Assignments!$X$2:$X$769,Assignments!$A$2:$A$769,$A24,Assignments!$G$2:$G$769,"Active",Assignments!$V$2:$V$769,"&lt;="&amp;Z$4,Assignments!$W$2:$W$769,"&gt;="&amp;Z$4)+SUMIFS(Assignments!$AA$2:$AA$769,Assignments!$A$2:$A$769,$A24,Assignments!$G$2:$G$769,"Active",Assignments!$Y$2:$Y$769,"&lt;="&amp;Z$4,Assignments!$Z$2:$Z$769,"&gt;="&amp;Z$4))</f>
        <v/>
      </c>
      <c r="AA24" s="11">
        <f>IF($A24="","",SUMIFS(Assignments!$X$2:$X$769,Assignments!$A$2:$A$769,$A24,Assignments!$G$2:$G$769,"Active",Assignments!$V$2:$V$769,"&lt;="&amp;AA$4,Assignments!$W$2:$W$769,"&gt;="&amp;AA$4)+SUMIFS(Assignments!$AA$2:$AA$769,Assignments!$A$2:$A$769,$A24,Assignments!$G$2:$G$769,"Active",Assignments!$Y$2:$Y$769,"&lt;="&amp;AA$4,Assignments!$Z$2:$Z$769,"&gt;="&amp;AA$4))</f>
        <v/>
      </c>
      <c r="AB24" s="11">
        <f>IF($A24="","",SUMIFS(Assignments!$X$2:$X$769,Assignments!$A$2:$A$769,$A24,Assignments!$G$2:$G$769,"Active",Assignments!$V$2:$V$769,"&lt;="&amp;AB$4,Assignments!$W$2:$W$769,"&gt;="&amp;AB$4)+SUMIFS(Assignments!$AA$2:$AA$769,Assignments!$A$2:$A$769,$A24,Assignments!$G$2:$G$769,"Active",Assignments!$Y$2:$Y$769,"&lt;="&amp;AB$4,Assignments!$Z$2:$Z$769,"&gt;="&amp;AB$4))</f>
        <v/>
      </c>
    </row>
    <row r="25">
      <c r="A25" s="9">
        <f>IF(Roster!$A22="","",Roster!$A22)</f>
        <v/>
      </c>
      <c r="B25" s="10">
        <f>IF($A25="","",IFERROR(INDEX(Roster!$D$2:$D$40,MATCH($A25,Roster!$A$2:$A$40,0)),""))</f>
        <v/>
      </c>
      <c r="C25" s="11">
        <f>IF($A25="","",SUMIFS(Assignments!$X$2:$X$769,Assignments!$A$2:$A$769,$A25,Assignments!$G$2:$G$769,"Active",Assignments!$V$2:$V$769,"&lt;="&amp;C$4,Assignments!$W$2:$W$769,"&gt;="&amp;C$4)+SUMIFS(Assignments!$AA$2:$AA$769,Assignments!$A$2:$A$769,$A25,Assignments!$G$2:$G$769,"Active",Assignments!$Y$2:$Y$769,"&lt;="&amp;C$4,Assignments!$Z$2:$Z$769,"&gt;="&amp;C$4))</f>
        <v/>
      </c>
      <c r="D25" s="11">
        <f>IF($A25="","",SUMIFS(Assignments!$X$2:$X$769,Assignments!$A$2:$A$769,$A25,Assignments!$G$2:$G$769,"Active",Assignments!$V$2:$V$769,"&lt;="&amp;D$4,Assignments!$W$2:$W$769,"&gt;="&amp;D$4)+SUMIFS(Assignments!$AA$2:$AA$769,Assignments!$A$2:$A$769,$A25,Assignments!$G$2:$G$769,"Active",Assignments!$Y$2:$Y$769,"&lt;="&amp;D$4,Assignments!$Z$2:$Z$769,"&gt;="&amp;D$4))</f>
        <v/>
      </c>
      <c r="E25" s="11">
        <f>IF($A25="","",SUMIFS(Assignments!$X$2:$X$769,Assignments!$A$2:$A$769,$A25,Assignments!$G$2:$G$769,"Active",Assignments!$V$2:$V$769,"&lt;="&amp;E$4,Assignments!$W$2:$W$769,"&gt;="&amp;E$4)+SUMIFS(Assignments!$AA$2:$AA$769,Assignments!$A$2:$A$769,$A25,Assignments!$G$2:$G$769,"Active",Assignments!$Y$2:$Y$769,"&lt;="&amp;E$4,Assignments!$Z$2:$Z$769,"&gt;="&amp;E$4))</f>
        <v/>
      </c>
      <c r="F25" s="11">
        <f>IF($A25="","",SUMIFS(Assignments!$X$2:$X$769,Assignments!$A$2:$A$769,$A25,Assignments!$G$2:$G$769,"Active",Assignments!$V$2:$V$769,"&lt;="&amp;F$4,Assignments!$W$2:$W$769,"&gt;="&amp;F$4)+SUMIFS(Assignments!$AA$2:$AA$769,Assignments!$A$2:$A$769,$A25,Assignments!$G$2:$G$769,"Active",Assignments!$Y$2:$Y$769,"&lt;="&amp;F$4,Assignments!$Z$2:$Z$769,"&gt;="&amp;F$4))</f>
        <v/>
      </c>
      <c r="G25" s="11">
        <f>IF($A25="","",SUMIFS(Assignments!$X$2:$X$769,Assignments!$A$2:$A$769,$A25,Assignments!$G$2:$G$769,"Active",Assignments!$V$2:$V$769,"&lt;="&amp;G$4,Assignments!$W$2:$W$769,"&gt;="&amp;G$4)+SUMIFS(Assignments!$AA$2:$AA$769,Assignments!$A$2:$A$769,$A25,Assignments!$G$2:$G$769,"Active",Assignments!$Y$2:$Y$769,"&lt;="&amp;G$4,Assignments!$Z$2:$Z$769,"&gt;="&amp;G$4))</f>
        <v/>
      </c>
      <c r="H25" s="11">
        <f>IF($A25="","",SUMIFS(Assignments!$X$2:$X$769,Assignments!$A$2:$A$769,$A25,Assignments!$G$2:$G$769,"Active",Assignments!$V$2:$V$769,"&lt;="&amp;H$4,Assignments!$W$2:$W$769,"&gt;="&amp;H$4)+SUMIFS(Assignments!$AA$2:$AA$769,Assignments!$A$2:$A$769,$A25,Assignments!$G$2:$G$769,"Active",Assignments!$Y$2:$Y$769,"&lt;="&amp;H$4,Assignments!$Z$2:$Z$769,"&gt;="&amp;H$4))</f>
        <v/>
      </c>
      <c r="I25" s="11">
        <f>IF($A25="","",SUMIFS(Assignments!$X$2:$X$769,Assignments!$A$2:$A$769,$A25,Assignments!$G$2:$G$769,"Active",Assignments!$V$2:$V$769,"&lt;="&amp;I$4,Assignments!$W$2:$W$769,"&gt;="&amp;I$4)+SUMIFS(Assignments!$AA$2:$AA$769,Assignments!$A$2:$A$769,$A25,Assignments!$G$2:$G$769,"Active",Assignments!$Y$2:$Y$769,"&lt;="&amp;I$4,Assignments!$Z$2:$Z$769,"&gt;="&amp;I$4))</f>
        <v/>
      </c>
      <c r="J25" s="11">
        <f>IF($A25="","",SUMIFS(Assignments!$X$2:$X$769,Assignments!$A$2:$A$769,$A25,Assignments!$G$2:$G$769,"Active",Assignments!$V$2:$V$769,"&lt;="&amp;J$4,Assignments!$W$2:$W$769,"&gt;="&amp;J$4)+SUMIFS(Assignments!$AA$2:$AA$769,Assignments!$A$2:$A$769,$A25,Assignments!$G$2:$G$769,"Active",Assignments!$Y$2:$Y$769,"&lt;="&amp;J$4,Assignments!$Z$2:$Z$769,"&gt;="&amp;J$4))</f>
        <v/>
      </c>
      <c r="K25" s="11">
        <f>IF($A25="","",SUMIFS(Assignments!$X$2:$X$769,Assignments!$A$2:$A$769,$A25,Assignments!$G$2:$G$769,"Active",Assignments!$V$2:$V$769,"&lt;="&amp;K$4,Assignments!$W$2:$W$769,"&gt;="&amp;K$4)+SUMIFS(Assignments!$AA$2:$AA$769,Assignments!$A$2:$A$769,$A25,Assignments!$G$2:$G$769,"Active",Assignments!$Y$2:$Y$769,"&lt;="&amp;K$4,Assignments!$Z$2:$Z$769,"&gt;="&amp;K$4))</f>
        <v/>
      </c>
      <c r="L25" s="11">
        <f>IF($A25="","",SUMIFS(Assignments!$X$2:$X$769,Assignments!$A$2:$A$769,$A25,Assignments!$G$2:$G$769,"Active",Assignments!$V$2:$V$769,"&lt;="&amp;L$4,Assignments!$W$2:$W$769,"&gt;="&amp;L$4)+SUMIFS(Assignments!$AA$2:$AA$769,Assignments!$A$2:$A$769,$A25,Assignments!$G$2:$G$769,"Active",Assignments!$Y$2:$Y$769,"&lt;="&amp;L$4,Assignments!$Z$2:$Z$769,"&gt;="&amp;L$4))</f>
        <v/>
      </c>
      <c r="M25" s="11">
        <f>IF($A25="","",SUMIFS(Assignments!$X$2:$X$769,Assignments!$A$2:$A$769,$A25,Assignments!$G$2:$G$769,"Active",Assignments!$V$2:$V$769,"&lt;="&amp;M$4,Assignments!$W$2:$W$769,"&gt;="&amp;M$4)+SUMIFS(Assignments!$AA$2:$AA$769,Assignments!$A$2:$A$769,$A25,Assignments!$G$2:$G$769,"Active",Assignments!$Y$2:$Y$769,"&lt;="&amp;M$4,Assignments!$Z$2:$Z$769,"&gt;="&amp;M$4))</f>
        <v/>
      </c>
      <c r="N25" s="11">
        <f>IF($A25="","",SUMIFS(Assignments!$X$2:$X$769,Assignments!$A$2:$A$769,$A25,Assignments!$G$2:$G$769,"Active",Assignments!$V$2:$V$769,"&lt;="&amp;N$4,Assignments!$W$2:$W$769,"&gt;="&amp;N$4)+SUMIFS(Assignments!$AA$2:$AA$769,Assignments!$A$2:$A$769,$A25,Assignments!$G$2:$G$769,"Active",Assignments!$Y$2:$Y$769,"&lt;="&amp;N$4,Assignments!$Z$2:$Z$769,"&gt;="&amp;N$4))</f>
        <v/>
      </c>
      <c r="O25" s="11">
        <f>IF($A25="","",SUMIFS(Assignments!$X$2:$X$769,Assignments!$A$2:$A$769,$A25,Assignments!$G$2:$G$769,"Active",Assignments!$V$2:$V$769,"&lt;="&amp;O$4,Assignments!$W$2:$W$769,"&gt;="&amp;O$4)+SUMIFS(Assignments!$AA$2:$AA$769,Assignments!$A$2:$A$769,$A25,Assignments!$G$2:$G$769,"Active",Assignments!$Y$2:$Y$769,"&lt;="&amp;O$4,Assignments!$Z$2:$Z$769,"&gt;="&amp;O$4))</f>
        <v/>
      </c>
      <c r="P25" s="11">
        <f>IF($A25="","",SUMIFS(Assignments!$X$2:$X$769,Assignments!$A$2:$A$769,$A25,Assignments!$G$2:$G$769,"Active",Assignments!$V$2:$V$769,"&lt;="&amp;P$4,Assignments!$W$2:$W$769,"&gt;="&amp;P$4)+SUMIFS(Assignments!$AA$2:$AA$769,Assignments!$A$2:$A$769,$A25,Assignments!$G$2:$G$769,"Active",Assignments!$Y$2:$Y$769,"&lt;="&amp;P$4,Assignments!$Z$2:$Z$769,"&gt;="&amp;P$4))</f>
        <v/>
      </c>
      <c r="Q25" s="11">
        <f>IF($A25="","",SUMIFS(Assignments!$X$2:$X$769,Assignments!$A$2:$A$769,$A25,Assignments!$G$2:$G$769,"Active",Assignments!$V$2:$V$769,"&lt;="&amp;Q$4,Assignments!$W$2:$W$769,"&gt;="&amp;Q$4)+SUMIFS(Assignments!$AA$2:$AA$769,Assignments!$A$2:$A$769,$A25,Assignments!$G$2:$G$769,"Active",Assignments!$Y$2:$Y$769,"&lt;="&amp;Q$4,Assignments!$Z$2:$Z$769,"&gt;="&amp;Q$4))</f>
        <v/>
      </c>
      <c r="R25" s="11">
        <f>IF($A25="","",SUMIFS(Assignments!$X$2:$X$769,Assignments!$A$2:$A$769,$A25,Assignments!$G$2:$G$769,"Active",Assignments!$V$2:$V$769,"&lt;="&amp;R$4,Assignments!$W$2:$W$769,"&gt;="&amp;R$4)+SUMIFS(Assignments!$AA$2:$AA$769,Assignments!$A$2:$A$769,$A25,Assignments!$G$2:$G$769,"Active",Assignments!$Y$2:$Y$769,"&lt;="&amp;R$4,Assignments!$Z$2:$Z$769,"&gt;="&amp;R$4))</f>
        <v/>
      </c>
      <c r="S25" s="11">
        <f>IF($A25="","",SUMIFS(Assignments!$X$2:$X$769,Assignments!$A$2:$A$769,$A25,Assignments!$G$2:$G$769,"Active",Assignments!$V$2:$V$769,"&lt;="&amp;S$4,Assignments!$W$2:$W$769,"&gt;="&amp;S$4)+SUMIFS(Assignments!$AA$2:$AA$769,Assignments!$A$2:$A$769,$A25,Assignments!$G$2:$G$769,"Active",Assignments!$Y$2:$Y$769,"&lt;="&amp;S$4,Assignments!$Z$2:$Z$769,"&gt;="&amp;S$4))</f>
        <v/>
      </c>
      <c r="T25" s="11">
        <f>IF($A25="","",SUMIFS(Assignments!$X$2:$X$769,Assignments!$A$2:$A$769,$A25,Assignments!$G$2:$G$769,"Active",Assignments!$V$2:$V$769,"&lt;="&amp;T$4,Assignments!$W$2:$W$769,"&gt;="&amp;T$4)+SUMIFS(Assignments!$AA$2:$AA$769,Assignments!$A$2:$A$769,$A25,Assignments!$G$2:$G$769,"Active",Assignments!$Y$2:$Y$769,"&lt;="&amp;T$4,Assignments!$Z$2:$Z$769,"&gt;="&amp;T$4))</f>
        <v/>
      </c>
      <c r="U25" s="11">
        <f>IF($A25="","",SUMIFS(Assignments!$X$2:$X$769,Assignments!$A$2:$A$769,$A25,Assignments!$G$2:$G$769,"Active",Assignments!$V$2:$V$769,"&lt;="&amp;U$4,Assignments!$W$2:$W$769,"&gt;="&amp;U$4)+SUMIFS(Assignments!$AA$2:$AA$769,Assignments!$A$2:$A$769,$A25,Assignments!$G$2:$G$769,"Active",Assignments!$Y$2:$Y$769,"&lt;="&amp;U$4,Assignments!$Z$2:$Z$769,"&gt;="&amp;U$4))</f>
        <v/>
      </c>
      <c r="V25" s="11">
        <f>IF($A25="","",SUMIFS(Assignments!$X$2:$X$769,Assignments!$A$2:$A$769,$A25,Assignments!$G$2:$G$769,"Active",Assignments!$V$2:$V$769,"&lt;="&amp;V$4,Assignments!$W$2:$W$769,"&gt;="&amp;V$4)+SUMIFS(Assignments!$AA$2:$AA$769,Assignments!$A$2:$A$769,$A25,Assignments!$G$2:$G$769,"Active",Assignments!$Y$2:$Y$769,"&lt;="&amp;V$4,Assignments!$Z$2:$Z$769,"&gt;="&amp;V$4))</f>
        <v/>
      </c>
      <c r="W25" s="11">
        <f>IF($A25="","",SUMIFS(Assignments!$X$2:$X$769,Assignments!$A$2:$A$769,$A25,Assignments!$G$2:$G$769,"Active",Assignments!$V$2:$V$769,"&lt;="&amp;W$4,Assignments!$W$2:$W$769,"&gt;="&amp;W$4)+SUMIFS(Assignments!$AA$2:$AA$769,Assignments!$A$2:$A$769,$A25,Assignments!$G$2:$G$769,"Active",Assignments!$Y$2:$Y$769,"&lt;="&amp;W$4,Assignments!$Z$2:$Z$769,"&gt;="&amp;W$4))</f>
        <v/>
      </c>
      <c r="X25" s="11">
        <f>IF($A25="","",SUMIFS(Assignments!$X$2:$X$769,Assignments!$A$2:$A$769,$A25,Assignments!$G$2:$G$769,"Active",Assignments!$V$2:$V$769,"&lt;="&amp;X$4,Assignments!$W$2:$W$769,"&gt;="&amp;X$4)+SUMIFS(Assignments!$AA$2:$AA$769,Assignments!$A$2:$A$769,$A25,Assignments!$G$2:$G$769,"Active",Assignments!$Y$2:$Y$769,"&lt;="&amp;X$4,Assignments!$Z$2:$Z$769,"&gt;="&amp;X$4))</f>
        <v/>
      </c>
      <c r="Y25" s="11">
        <f>IF($A25="","",SUMIFS(Assignments!$X$2:$X$769,Assignments!$A$2:$A$769,$A25,Assignments!$G$2:$G$769,"Active",Assignments!$V$2:$V$769,"&lt;="&amp;Y$4,Assignments!$W$2:$W$769,"&gt;="&amp;Y$4)+SUMIFS(Assignments!$AA$2:$AA$769,Assignments!$A$2:$A$769,$A25,Assignments!$G$2:$G$769,"Active",Assignments!$Y$2:$Y$769,"&lt;="&amp;Y$4,Assignments!$Z$2:$Z$769,"&gt;="&amp;Y$4))</f>
        <v/>
      </c>
      <c r="Z25" s="11">
        <f>IF($A25="","",SUMIFS(Assignments!$X$2:$X$769,Assignments!$A$2:$A$769,$A25,Assignments!$G$2:$G$769,"Active",Assignments!$V$2:$V$769,"&lt;="&amp;Z$4,Assignments!$W$2:$W$769,"&gt;="&amp;Z$4)+SUMIFS(Assignments!$AA$2:$AA$769,Assignments!$A$2:$A$769,$A25,Assignments!$G$2:$G$769,"Active",Assignments!$Y$2:$Y$769,"&lt;="&amp;Z$4,Assignments!$Z$2:$Z$769,"&gt;="&amp;Z$4))</f>
        <v/>
      </c>
      <c r="AA25" s="11">
        <f>IF($A25="","",SUMIFS(Assignments!$X$2:$X$769,Assignments!$A$2:$A$769,$A25,Assignments!$G$2:$G$769,"Active",Assignments!$V$2:$V$769,"&lt;="&amp;AA$4,Assignments!$W$2:$W$769,"&gt;="&amp;AA$4)+SUMIFS(Assignments!$AA$2:$AA$769,Assignments!$A$2:$A$769,$A25,Assignments!$G$2:$G$769,"Active",Assignments!$Y$2:$Y$769,"&lt;="&amp;AA$4,Assignments!$Z$2:$Z$769,"&gt;="&amp;AA$4))</f>
        <v/>
      </c>
      <c r="AB25" s="11">
        <f>IF($A25="","",SUMIFS(Assignments!$X$2:$X$769,Assignments!$A$2:$A$769,$A25,Assignments!$G$2:$G$769,"Active",Assignments!$V$2:$V$769,"&lt;="&amp;AB$4,Assignments!$W$2:$W$769,"&gt;="&amp;AB$4)+SUMIFS(Assignments!$AA$2:$AA$769,Assignments!$A$2:$A$769,$A25,Assignments!$G$2:$G$769,"Active",Assignments!$Y$2:$Y$769,"&lt;="&amp;AB$4,Assignments!$Z$2:$Z$769,"&gt;="&amp;AB$4))</f>
        <v/>
      </c>
    </row>
    <row r="26">
      <c r="A26" s="9">
        <f>IF(Roster!$A23="","",Roster!$A23)</f>
        <v/>
      </c>
      <c r="B26" s="10">
        <f>IF($A26="","",IFERROR(INDEX(Roster!$D$2:$D$40,MATCH($A26,Roster!$A$2:$A$40,0)),""))</f>
        <v/>
      </c>
      <c r="C26" s="11">
        <f>IF($A26="","",SUMIFS(Assignments!$X$2:$X$769,Assignments!$A$2:$A$769,$A26,Assignments!$G$2:$G$769,"Active",Assignments!$V$2:$V$769,"&lt;="&amp;C$4,Assignments!$W$2:$W$769,"&gt;="&amp;C$4)+SUMIFS(Assignments!$AA$2:$AA$769,Assignments!$A$2:$A$769,$A26,Assignments!$G$2:$G$769,"Active",Assignments!$Y$2:$Y$769,"&lt;="&amp;C$4,Assignments!$Z$2:$Z$769,"&gt;="&amp;C$4))</f>
        <v/>
      </c>
      <c r="D26" s="11">
        <f>IF($A26="","",SUMIFS(Assignments!$X$2:$X$769,Assignments!$A$2:$A$769,$A26,Assignments!$G$2:$G$769,"Active",Assignments!$V$2:$V$769,"&lt;="&amp;D$4,Assignments!$W$2:$W$769,"&gt;="&amp;D$4)+SUMIFS(Assignments!$AA$2:$AA$769,Assignments!$A$2:$A$769,$A26,Assignments!$G$2:$G$769,"Active",Assignments!$Y$2:$Y$769,"&lt;="&amp;D$4,Assignments!$Z$2:$Z$769,"&gt;="&amp;D$4))</f>
        <v/>
      </c>
      <c r="E26" s="11">
        <f>IF($A26="","",SUMIFS(Assignments!$X$2:$X$769,Assignments!$A$2:$A$769,$A26,Assignments!$G$2:$G$769,"Active",Assignments!$V$2:$V$769,"&lt;="&amp;E$4,Assignments!$W$2:$W$769,"&gt;="&amp;E$4)+SUMIFS(Assignments!$AA$2:$AA$769,Assignments!$A$2:$A$769,$A26,Assignments!$G$2:$G$769,"Active",Assignments!$Y$2:$Y$769,"&lt;="&amp;E$4,Assignments!$Z$2:$Z$769,"&gt;="&amp;E$4))</f>
        <v/>
      </c>
      <c r="F26" s="11">
        <f>IF($A26="","",SUMIFS(Assignments!$X$2:$X$769,Assignments!$A$2:$A$769,$A26,Assignments!$G$2:$G$769,"Active",Assignments!$V$2:$V$769,"&lt;="&amp;F$4,Assignments!$W$2:$W$769,"&gt;="&amp;F$4)+SUMIFS(Assignments!$AA$2:$AA$769,Assignments!$A$2:$A$769,$A26,Assignments!$G$2:$G$769,"Active",Assignments!$Y$2:$Y$769,"&lt;="&amp;F$4,Assignments!$Z$2:$Z$769,"&gt;="&amp;F$4))</f>
        <v/>
      </c>
      <c r="G26" s="11">
        <f>IF($A26="","",SUMIFS(Assignments!$X$2:$X$769,Assignments!$A$2:$A$769,$A26,Assignments!$G$2:$G$769,"Active",Assignments!$V$2:$V$769,"&lt;="&amp;G$4,Assignments!$W$2:$W$769,"&gt;="&amp;G$4)+SUMIFS(Assignments!$AA$2:$AA$769,Assignments!$A$2:$A$769,$A26,Assignments!$G$2:$G$769,"Active",Assignments!$Y$2:$Y$769,"&lt;="&amp;G$4,Assignments!$Z$2:$Z$769,"&gt;="&amp;G$4))</f>
        <v/>
      </c>
      <c r="H26" s="11">
        <f>IF($A26="","",SUMIFS(Assignments!$X$2:$X$769,Assignments!$A$2:$A$769,$A26,Assignments!$G$2:$G$769,"Active",Assignments!$V$2:$V$769,"&lt;="&amp;H$4,Assignments!$W$2:$W$769,"&gt;="&amp;H$4)+SUMIFS(Assignments!$AA$2:$AA$769,Assignments!$A$2:$A$769,$A26,Assignments!$G$2:$G$769,"Active",Assignments!$Y$2:$Y$769,"&lt;="&amp;H$4,Assignments!$Z$2:$Z$769,"&gt;="&amp;H$4))</f>
        <v/>
      </c>
      <c r="I26" s="11">
        <f>IF($A26="","",SUMIFS(Assignments!$X$2:$X$769,Assignments!$A$2:$A$769,$A26,Assignments!$G$2:$G$769,"Active",Assignments!$V$2:$V$769,"&lt;="&amp;I$4,Assignments!$W$2:$W$769,"&gt;="&amp;I$4)+SUMIFS(Assignments!$AA$2:$AA$769,Assignments!$A$2:$A$769,$A26,Assignments!$G$2:$G$769,"Active",Assignments!$Y$2:$Y$769,"&lt;="&amp;I$4,Assignments!$Z$2:$Z$769,"&gt;="&amp;I$4))</f>
        <v/>
      </c>
      <c r="J26" s="11">
        <f>IF($A26="","",SUMIFS(Assignments!$X$2:$X$769,Assignments!$A$2:$A$769,$A26,Assignments!$G$2:$G$769,"Active",Assignments!$V$2:$V$769,"&lt;="&amp;J$4,Assignments!$W$2:$W$769,"&gt;="&amp;J$4)+SUMIFS(Assignments!$AA$2:$AA$769,Assignments!$A$2:$A$769,$A26,Assignments!$G$2:$G$769,"Active",Assignments!$Y$2:$Y$769,"&lt;="&amp;J$4,Assignments!$Z$2:$Z$769,"&gt;="&amp;J$4))</f>
        <v/>
      </c>
      <c r="K26" s="11">
        <f>IF($A26="","",SUMIFS(Assignments!$X$2:$X$769,Assignments!$A$2:$A$769,$A26,Assignments!$G$2:$G$769,"Active",Assignments!$V$2:$V$769,"&lt;="&amp;K$4,Assignments!$W$2:$W$769,"&gt;="&amp;K$4)+SUMIFS(Assignments!$AA$2:$AA$769,Assignments!$A$2:$A$769,$A26,Assignments!$G$2:$G$769,"Active",Assignments!$Y$2:$Y$769,"&lt;="&amp;K$4,Assignments!$Z$2:$Z$769,"&gt;="&amp;K$4))</f>
        <v/>
      </c>
      <c r="L26" s="11">
        <f>IF($A26="","",SUMIFS(Assignments!$X$2:$X$769,Assignments!$A$2:$A$769,$A26,Assignments!$G$2:$G$769,"Active",Assignments!$V$2:$V$769,"&lt;="&amp;L$4,Assignments!$W$2:$W$769,"&gt;="&amp;L$4)+SUMIFS(Assignments!$AA$2:$AA$769,Assignments!$A$2:$A$769,$A26,Assignments!$G$2:$G$769,"Active",Assignments!$Y$2:$Y$769,"&lt;="&amp;L$4,Assignments!$Z$2:$Z$769,"&gt;="&amp;L$4))</f>
        <v/>
      </c>
      <c r="M26" s="11">
        <f>IF($A26="","",SUMIFS(Assignments!$X$2:$X$769,Assignments!$A$2:$A$769,$A26,Assignments!$G$2:$G$769,"Active",Assignments!$V$2:$V$769,"&lt;="&amp;M$4,Assignments!$W$2:$W$769,"&gt;="&amp;M$4)+SUMIFS(Assignments!$AA$2:$AA$769,Assignments!$A$2:$A$769,$A26,Assignments!$G$2:$G$769,"Active",Assignments!$Y$2:$Y$769,"&lt;="&amp;M$4,Assignments!$Z$2:$Z$769,"&gt;="&amp;M$4))</f>
        <v/>
      </c>
      <c r="N26" s="11">
        <f>IF($A26="","",SUMIFS(Assignments!$X$2:$X$769,Assignments!$A$2:$A$769,$A26,Assignments!$G$2:$G$769,"Active",Assignments!$V$2:$V$769,"&lt;="&amp;N$4,Assignments!$W$2:$W$769,"&gt;="&amp;N$4)+SUMIFS(Assignments!$AA$2:$AA$769,Assignments!$A$2:$A$769,$A26,Assignments!$G$2:$G$769,"Active",Assignments!$Y$2:$Y$769,"&lt;="&amp;N$4,Assignments!$Z$2:$Z$769,"&gt;="&amp;N$4))</f>
        <v/>
      </c>
      <c r="O26" s="11">
        <f>IF($A26="","",SUMIFS(Assignments!$X$2:$X$769,Assignments!$A$2:$A$769,$A26,Assignments!$G$2:$G$769,"Active",Assignments!$V$2:$V$769,"&lt;="&amp;O$4,Assignments!$W$2:$W$769,"&gt;="&amp;O$4)+SUMIFS(Assignments!$AA$2:$AA$769,Assignments!$A$2:$A$769,$A26,Assignments!$G$2:$G$769,"Active",Assignments!$Y$2:$Y$769,"&lt;="&amp;O$4,Assignments!$Z$2:$Z$769,"&gt;="&amp;O$4))</f>
        <v/>
      </c>
      <c r="P26" s="11">
        <f>IF($A26="","",SUMIFS(Assignments!$X$2:$X$769,Assignments!$A$2:$A$769,$A26,Assignments!$G$2:$G$769,"Active",Assignments!$V$2:$V$769,"&lt;="&amp;P$4,Assignments!$W$2:$W$769,"&gt;="&amp;P$4)+SUMIFS(Assignments!$AA$2:$AA$769,Assignments!$A$2:$A$769,$A26,Assignments!$G$2:$G$769,"Active",Assignments!$Y$2:$Y$769,"&lt;="&amp;P$4,Assignments!$Z$2:$Z$769,"&gt;="&amp;P$4))</f>
        <v/>
      </c>
      <c r="Q26" s="11">
        <f>IF($A26="","",SUMIFS(Assignments!$X$2:$X$769,Assignments!$A$2:$A$769,$A26,Assignments!$G$2:$G$769,"Active",Assignments!$V$2:$V$769,"&lt;="&amp;Q$4,Assignments!$W$2:$W$769,"&gt;="&amp;Q$4)+SUMIFS(Assignments!$AA$2:$AA$769,Assignments!$A$2:$A$769,$A26,Assignments!$G$2:$G$769,"Active",Assignments!$Y$2:$Y$769,"&lt;="&amp;Q$4,Assignments!$Z$2:$Z$769,"&gt;="&amp;Q$4))</f>
        <v/>
      </c>
      <c r="R26" s="11">
        <f>IF($A26="","",SUMIFS(Assignments!$X$2:$X$769,Assignments!$A$2:$A$769,$A26,Assignments!$G$2:$G$769,"Active",Assignments!$V$2:$V$769,"&lt;="&amp;R$4,Assignments!$W$2:$W$769,"&gt;="&amp;R$4)+SUMIFS(Assignments!$AA$2:$AA$769,Assignments!$A$2:$A$769,$A26,Assignments!$G$2:$G$769,"Active",Assignments!$Y$2:$Y$769,"&lt;="&amp;R$4,Assignments!$Z$2:$Z$769,"&gt;="&amp;R$4))</f>
        <v/>
      </c>
      <c r="S26" s="11">
        <f>IF($A26="","",SUMIFS(Assignments!$X$2:$X$769,Assignments!$A$2:$A$769,$A26,Assignments!$G$2:$G$769,"Active",Assignments!$V$2:$V$769,"&lt;="&amp;S$4,Assignments!$W$2:$W$769,"&gt;="&amp;S$4)+SUMIFS(Assignments!$AA$2:$AA$769,Assignments!$A$2:$A$769,$A26,Assignments!$G$2:$G$769,"Active",Assignments!$Y$2:$Y$769,"&lt;="&amp;S$4,Assignments!$Z$2:$Z$769,"&gt;="&amp;S$4))</f>
        <v/>
      </c>
      <c r="T26" s="11">
        <f>IF($A26="","",SUMIFS(Assignments!$X$2:$X$769,Assignments!$A$2:$A$769,$A26,Assignments!$G$2:$G$769,"Active",Assignments!$V$2:$V$769,"&lt;="&amp;T$4,Assignments!$W$2:$W$769,"&gt;="&amp;T$4)+SUMIFS(Assignments!$AA$2:$AA$769,Assignments!$A$2:$A$769,$A26,Assignments!$G$2:$G$769,"Active",Assignments!$Y$2:$Y$769,"&lt;="&amp;T$4,Assignments!$Z$2:$Z$769,"&gt;="&amp;T$4))</f>
        <v/>
      </c>
      <c r="U26" s="11">
        <f>IF($A26="","",SUMIFS(Assignments!$X$2:$X$769,Assignments!$A$2:$A$769,$A26,Assignments!$G$2:$G$769,"Active",Assignments!$V$2:$V$769,"&lt;="&amp;U$4,Assignments!$W$2:$W$769,"&gt;="&amp;U$4)+SUMIFS(Assignments!$AA$2:$AA$769,Assignments!$A$2:$A$769,$A26,Assignments!$G$2:$G$769,"Active",Assignments!$Y$2:$Y$769,"&lt;="&amp;U$4,Assignments!$Z$2:$Z$769,"&gt;="&amp;U$4))</f>
        <v/>
      </c>
      <c r="V26" s="11">
        <f>IF($A26="","",SUMIFS(Assignments!$X$2:$X$769,Assignments!$A$2:$A$769,$A26,Assignments!$G$2:$G$769,"Active",Assignments!$V$2:$V$769,"&lt;="&amp;V$4,Assignments!$W$2:$W$769,"&gt;="&amp;V$4)+SUMIFS(Assignments!$AA$2:$AA$769,Assignments!$A$2:$A$769,$A26,Assignments!$G$2:$G$769,"Active",Assignments!$Y$2:$Y$769,"&lt;="&amp;V$4,Assignments!$Z$2:$Z$769,"&gt;="&amp;V$4))</f>
        <v/>
      </c>
      <c r="W26" s="11">
        <f>IF($A26="","",SUMIFS(Assignments!$X$2:$X$769,Assignments!$A$2:$A$769,$A26,Assignments!$G$2:$G$769,"Active",Assignments!$V$2:$V$769,"&lt;="&amp;W$4,Assignments!$W$2:$W$769,"&gt;="&amp;W$4)+SUMIFS(Assignments!$AA$2:$AA$769,Assignments!$A$2:$A$769,$A26,Assignments!$G$2:$G$769,"Active",Assignments!$Y$2:$Y$769,"&lt;="&amp;W$4,Assignments!$Z$2:$Z$769,"&gt;="&amp;W$4))</f>
        <v/>
      </c>
      <c r="X26" s="11">
        <f>IF($A26="","",SUMIFS(Assignments!$X$2:$X$769,Assignments!$A$2:$A$769,$A26,Assignments!$G$2:$G$769,"Active",Assignments!$V$2:$V$769,"&lt;="&amp;X$4,Assignments!$W$2:$W$769,"&gt;="&amp;X$4)+SUMIFS(Assignments!$AA$2:$AA$769,Assignments!$A$2:$A$769,$A26,Assignments!$G$2:$G$769,"Active",Assignments!$Y$2:$Y$769,"&lt;="&amp;X$4,Assignments!$Z$2:$Z$769,"&gt;="&amp;X$4))</f>
        <v/>
      </c>
      <c r="Y26" s="11">
        <f>IF($A26="","",SUMIFS(Assignments!$X$2:$X$769,Assignments!$A$2:$A$769,$A26,Assignments!$G$2:$G$769,"Active",Assignments!$V$2:$V$769,"&lt;="&amp;Y$4,Assignments!$W$2:$W$769,"&gt;="&amp;Y$4)+SUMIFS(Assignments!$AA$2:$AA$769,Assignments!$A$2:$A$769,$A26,Assignments!$G$2:$G$769,"Active",Assignments!$Y$2:$Y$769,"&lt;="&amp;Y$4,Assignments!$Z$2:$Z$769,"&gt;="&amp;Y$4))</f>
        <v/>
      </c>
      <c r="Z26" s="11">
        <f>IF($A26="","",SUMIFS(Assignments!$X$2:$X$769,Assignments!$A$2:$A$769,$A26,Assignments!$G$2:$G$769,"Active",Assignments!$V$2:$V$769,"&lt;="&amp;Z$4,Assignments!$W$2:$W$769,"&gt;="&amp;Z$4)+SUMIFS(Assignments!$AA$2:$AA$769,Assignments!$A$2:$A$769,$A26,Assignments!$G$2:$G$769,"Active",Assignments!$Y$2:$Y$769,"&lt;="&amp;Z$4,Assignments!$Z$2:$Z$769,"&gt;="&amp;Z$4))</f>
        <v/>
      </c>
      <c r="AA26" s="11">
        <f>IF($A26="","",SUMIFS(Assignments!$X$2:$X$769,Assignments!$A$2:$A$769,$A26,Assignments!$G$2:$G$769,"Active",Assignments!$V$2:$V$769,"&lt;="&amp;AA$4,Assignments!$W$2:$W$769,"&gt;="&amp;AA$4)+SUMIFS(Assignments!$AA$2:$AA$769,Assignments!$A$2:$A$769,$A26,Assignments!$G$2:$G$769,"Active",Assignments!$Y$2:$Y$769,"&lt;="&amp;AA$4,Assignments!$Z$2:$Z$769,"&gt;="&amp;AA$4))</f>
        <v/>
      </c>
      <c r="AB26" s="11">
        <f>IF($A26="","",SUMIFS(Assignments!$X$2:$X$769,Assignments!$A$2:$A$769,$A26,Assignments!$G$2:$G$769,"Active",Assignments!$V$2:$V$769,"&lt;="&amp;AB$4,Assignments!$W$2:$W$769,"&gt;="&amp;AB$4)+SUMIFS(Assignments!$AA$2:$AA$769,Assignments!$A$2:$A$769,$A26,Assignments!$G$2:$G$769,"Active",Assignments!$Y$2:$Y$769,"&lt;="&amp;AB$4,Assignments!$Z$2:$Z$769,"&gt;="&amp;AB$4))</f>
        <v/>
      </c>
    </row>
    <row r="27">
      <c r="A27" s="9">
        <f>IF(Roster!$A24="","",Roster!$A24)</f>
        <v/>
      </c>
      <c r="B27" s="10">
        <f>IF($A27="","",IFERROR(INDEX(Roster!$D$2:$D$40,MATCH($A27,Roster!$A$2:$A$40,0)),""))</f>
        <v/>
      </c>
      <c r="C27" s="11">
        <f>IF($A27="","",SUMIFS(Assignments!$X$2:$X$769,Assignments!$A$2:$A$769,$A27,Assignments!$G$2:$G$769,"Active",Assignments!$V$2:$V$769,"&lt;="&amp;C$4,Assignments!$W$2:$W$769,"&gt;="&amp;C$4)+SUMIFS(Assignments!$AA$2:$AA$769,Assignments!$A$2:$A$769,$A27,Assignments!$G$2:$G$769,"Active",Assignments!$Y$2:$Y$769,"&lt;="&amp;C$4,Assignments!$Z$2:$Z$769,"&gt;="&amp;C$4))</f>
        <v/>
      </c>
      <c r="D27" s="11">
        <f>IF($A27="","",SUMIFS(Assignments!$X$2:$X$769,Assignments!$A$2:$A$769,$A27,Assignments!$G$2:$G$769,"Active",Assignments!$V$2:$V$769,"&lt;="&amp;D$4,Assignments!$W$2:$W$769,"&gt;="&amp;D$4)+SUMIFS(Assignments!$AA$2:$AA$769,Assignments!$A$2:$A$769,$A27,Assignments!$G$2:$G$769,"Active",Assignments!$Y$2:$Y$769,"&lt;="&amp;D$4,Assignments!$Z$2:$Z$769,"&gt;="&amp;D$4))</f>
        <v/>
      </c>
      <c r="E27" s="11">
        <f>IF($A27="","",SUMIFS(Assignments!$X$2:$X$769,Assignments!$A$2:$A$769,$A27,Assignments!$G$2:$G$769,"Active",Assignments!$V$2:$V$769,"&lt;="&amp;E$4,Assignments!$W$2:$W$769,"&gt;="&amp;E$4)+SUMIFS(Assignments!$AA$2:$AA$769,Assignments!$A$2:$A$769,$A27,Assignments!$G$2:$G$769,"Active",Assignments!$Y$2:$Y$769,"&lt;="&amp;E$4,Assignments!$Z$2:$Z$769,"&gt;="&amp;E$4))</f>
        <v/>
      </c>
      <c r="F27" s="11">
        <f>IF($A27="","",SUMIFS(Assignments!$X$2:$X$769,Assignments!$A$2:$A$769,$A27,Assignments!$G$2:$G$769,"Active",Assignments!$V$2:$V$769,"&lt;="&amp;F$4,Assignments!$W$2:$W$769,"&gt;="&amp;F$4)+SUMIFS(Assignments!$AA$2:$AA$769,Assignments!$A$2:$A$769,$A27,Assignments!$G$2:$G$769,"Active",Assignments!$Y$2:$Y$769,"&lt;="&amp;F$4,Assignments!$Z$2:$Z$769,"&gt;="&amp;F$4))</f>
        <v/>
      </c>
      <c r="G27" s="11">
        <f>IF($A27="","",SUMIFS(Assignments!$X$2:$X$769,Assignments!$A$2:$A$769,$A27,Assignments!$G$2:$G$769,"Active",Assignments!$V$2:$V$769,"&lt;="&amp;G$4,Assignments!$W$2:$W$769,"&gt;="&amp;G$4)+SUMIFS(Assignments!$AA$2:$AA$769,Assignments!$A$2:$A$769,$A27,Assignments!$G$2:$G$769,"Active",Assignments!$Y$2:$Y$769,"&lt;="&amp;G$4,Assignments!$Z$2:$Z$769,"&gt;="&amp;G$4))</f>
        <v/>
      </c>
      <c r="H27" s="11">
        <f>IF($A27="","",SUMIFS(Assignments!$X$2:$X$769,Assignments!$A$2:$A$769,$A27,Assignments!$G$2:$G$769,"Active",Assignments!$V$2:$V$769,"&lt;="&amp;H$4,Assignments!$W$2:$W$769,"&gt;="&amp;H$4)+SUMIFS(Assignments!$AA$2:$AA$769,Assignments!$A$2:$A$769,$A27,Assignments!$G$2:$G$769,"Active",Assignments!$Y$2:$Y$769,"&lt;="&amp;H$4,Assignments!$Z$2:$Z$769,"&gt;="&amp;H$4))</f>
        <v/>
      </c>
      <c r="I27" s="11">
        <f>IF($A27="","",SUMIFS(Assignments!$X$2:$X$769,Assignments!$A$2:$A$769,$A27,Assignments!$G$2:$G$769,"Active",Assignments!$V$2:$V$769,"&lt;="&amp;I$4,Assignments!$W$2:$W$769,"&gt;="&amp;I$4)+SUMIFS(Assignments!$AA$2:$AA$769,Assignments!$A$2:$A$769,$A27,Assignments!$G$2:$G$769,"Active",Assignments!$Y$2:$Y$769,"&lt;="&amp;I$4,Assignments!$Z$2:$Z$769,"&gt;="&amp;I$4))</f>
        <v/>
      </c>
      <c r="J27" s="11">
        <f>IF($A27="","",SUMIFS(Assignments!$X$2:$X$769,Assignments!$A$2:$A$769,$A27,Assignments!$G$2:$G$769,"Active",Assignments!$V$2:$V$769,"&lt;="&amp;J$4,Assignments!$W$2:$W$769,"&gt;="&amp;J$4)+SUMIFS(Assignments!$AA$2:$AA$769,Assignments!$A$2:$A$769,$A27,Assignments!$G$2:$G$769,"Active",Assignments!$Y$2:$Y$769,"&lt;="&amp;J$4,Assignments!$Z$2:$Z$769,"&gt;="&amp;J$4))</f>
        <v/>
      </c>
      <c r="K27" s="11">
        <f>IF($A27="","",SUMIFS(Assignments!$X$2:$X$769,Assignments!$A$2:$A$769,$A27,Assignments!$G$2:$G$769,"Active",Assignments!$V$2:$V$769,"&lt;="&amp;K$4,Assignments!$W$2:$W$769,"&gt;="&amp;K$4)+SUMIFS(Assignments!$AA$2:$AA$769,Assignments!$A$2:$A$769,$A27,Assignments!$G$2:$G$769,"Active",Assignments!$Y$2:$Y$769,"&lt;="&amp;K$4,Assignments!$Z$2:$Z$769,"&gt;="&amp;K$4))</f>
        <v/>
      </c>
      <c r="L27" s="11">
        <f>IF($A27="","",SUMIFS(Assignments!$X$2:$X$769,Assignments!$A$2:$A$769,$A27,Assignments!$G$2:$G$769,"Active",Assignments!$V$2:$V$769,"&lt;="&amp;L$4,Assignments!$W$2:$W$769,"&gt;="&amp;L$4)+SUMIFS(Assignments!$AA$2:$AA$769,Assignments!$A$2:$A$769,$A27,Assignments!$G$2:$G$769,"Active",Assignments!$Y$2:$Y$769,"&lt;="&amp;L$4,Assignments!$Z$2:$Z$769,"&gt;="&amp;L$4))</f>
        <v/>
      </c>
      <c r="M27" s="11">
        <f>IF($A27="","",SUMIFS(Assignments!$X$2:$X$769,Assignments!$A$2:$A$769,$A27,Assignments!$G$2:$G$769,"Active",Assignments!$V$2:$V$769,"&lt;="&amp;M$4,Assignments!$W$2:$W$769,"&gt;="&amp;M$4)+SUMIFS(Assignments!$AA$2:$AA$769,Assignments!$A$2:$A$769,$A27,Assignments!$G$2:$G$769,"Active",Assignments!$Y$2:$Y$769,"&lt;="&amp;M$4,Assignments!$Z$2:$Z$769,"&gt;="&amp;M$4))</f>
        <v/>
      </c>
      <c r="N27" s="11">
        <f>IF($A27="","",SUMIFS(Assignments!$X$2:$X$769,Assignments!$A$2:$A$769,$A27,Assignments!$G$2:$G$769,"Active",Assignments!$V$2:$V$769,"&lt;="&amp;N$4,Assignments!$W$2:$W$769,"&gt;="&amp;N$4)+SUMIFS(Assignments!$AA$2:$AA$769,Assignments!$A$2:$A$769,$A27,Assignments!$G$2:$G$769,"Active",Assignments!$Y$2:$Y$769,"&lt;="&amp;N$4,Assignments!$Z$2:$Z$769,"&gt;="&amp;N$4))</f>
        <v/>
      </c>
      <c r="O27" s="11">
        <f>IF($A27="","",SUMIFS(Assignments!$X$2:$X$769,Assignments!$A$2:$A$769,$A27,Assignments!$G$2:$G$769,"Active",Assignments!$V$2:$V$769,"&lt;="&amp;O$4,Assignments!$W$2:$W$769,"&gt;="&amp;O$4)+SUMIFS(Assignments!$AA$2:$AA$769,Assignments!$A$2:$A$769,$A27,Assignments!$G$2:$G$769,"Active",Assignments!$Y$2:$Y$769,"&lt;="&amp;O$4,Assignments!$Z$2:$Z$769,"&gt;="&amp;O$4))</f>
        <v/>
      </c>
      <c r="P27" s="11">
        <f>IF($A27="","",SUMIFS(Assignments!$X$2:$X$769,Assignments!$A$2:$A$769,$A27,Assignments!$G$2:$G$769,"Active",Assignments!$V$2:$V$769,"&lt;="&amp;P$4,Assignments!$W$2:$W$769,"&gt;="&amp;P$4)+SUMIFS(Assignments!$AA$2:$AA$769,Assignments!$A$2:$A$769,$A27,Assignments!$G$2:$G$769,"Active",Assignments!$Y$2:$Y$769,"&lt;="&amp;P$4,Assignments!$Z$2:$Z$769,"&gt;="&amp;P$4))</f>
        <v/>
      </c>
      <c r="Q27" s="11">
        <f>IF($A27="","",SUMIFS(Assignments!$X$2:$X$769,Assignments!$A$2:$A$769,$A27,Assignments!$G$2:$G$769,"Active",Assignments!$V$2:$V$769,"&lt;="&amp;Q$4,Assignments!$W$2:$W$769,"&gt;="&amp;Q$4)+SUMIFS(Assignments!$AA$2:$AA$769,Assignments!$A$2:$A$769,$A27,Assignments!$G$2:$G$769,"Active",Assignments!$Y$2:$Y$769,"&lt;="&amp;Q$4,Assignments!$Z$2:$Z$769,"&gt;="&amp;Q$4))</f>
        <v/>
      </c>
      <c r="R27" s="11">
        <f>IF($A27="","",SUMIFS(Assignments!$X$2:$X$769,Assignments!$A$2:$A$769,$A27,Assignments!$G$2:$G$769,"Active",Assignments!$V$2:$V$769,"&lt;="&amp;R$4,Assignments!$W$2:$W$769,"&gt;="&amp;R$4)+SUMIFS(Assignments!$AA$2:$AA$769,Assignments!$A$2:$A$769,$A27,Assignments!$G$2:$G$769,"Active",Assignments!$Y$2:$Y$769,"&lt;="&amp;R$4,Assignments!$Z$2:$Z$769,"&gt;="&amp;R$4))</f>
        <v/>
      </c>
      <c r="S27" s="11">
        <f>IF($A27="","",SUMIFS(Assignments!$X$2:$X$769,Assignments!$A$2:$A$769,$A27,Assignments!$G$2:$G$769,"Active",Assignments!$V$2:$V$769,"&lt;="&amp;S$4,Assignments!$W$2:$W$769,"&gt;="&amp;S$4)+SUMIFS(Assignments!$AA$2:$AA$769,Assignments!$A$2:$A$769,$A27,Assignments!$G$2:$G$769,"Active",Assignments!$Y$2:$Y$769,"&lt;="&amp;S$4,Assignments!$Z$2:$Z$769,"&gt;="&amp;S$4))</f>
        <v/>
      </c>
      <c r="T27" s="11">
        <f>IF($A27="","",SUMIFS(Assignments!$X$2:$X$769,Assignments!$A$2:$A$769,$A27,Assignments!$G$2:$G$769,"Active",Assignments!$V$2:$V$769,"&lt;="&amp;T$4,Assignments!$W$2:$W$769,"&gt;="&amp;T$4)+SUMIFS(Assignments!$AA$2:$AA$769,Assignments!$A$2:$A$769,$A27,Assignments!$G$2:$G$769,"Active",Assignments!$Y$2:$Y$769,"&lt;="&amp;T$4,Assignments!$Z$2:$Z$769,"&gt;="&amp;T$4))</f>
        <v/>
      </c>
      <c r="U27" s="11">
        <f>IF($A27="","",SUMIFS(Assignments!$X$2:$X$769,Assignments!$A$2:$A$769,$A27,Assignments!$G$2:$G$769,"Active",Assignments!$V$2:$V$769,"&lt;="&amp;U$4,Assignments!$W$2:$W$769,"&gt;="&amp;U$4)+SUMIFS(Assignments!$AA$2:$AA$769,Assignments!$A$2:$A$769,$A27,Assignments!$G$2:$G$769,"Active",Assignments!$Y$2:$Y$769,"&lt;="&amp;U$4,Assignments!$Z$2:$Z$769,"&gt;="&amp;U$4))</f>
        <v/>
      </c>
      <c r="V27" s="11">
        <f>IF($A27="","",SUMIFS(Assignments!$X$2:$X$769,Assignments!$A$2:$A$769,$A27,Assignments!$G$2:$G$769,"Active",Assignments!$V$2:$V$769,"&lt;="&amp;V$4,Assignments!$W$2:$W$769,"&gt;="&amp;V$4)+SUMIFS(Assignments!$AA$2:$AA$769,Assignments!$A$2:$A$769,$A27,Assignments!$G$2:$G$769,"Active",Assignments!$Y$2:$Y$769,"&lt;="&amp;V$4,Assignments!$Z$2:$Z$769,"&gt;="&amp;V$4))</f>
        <v/>
      </c>
      <c r="W27" s="11">
        <f>IF($A27="","",SUMIFS(Assignments!$X$2:$X$769,Assignments!$A$2:$A$769,$A27,Assignments!$G$2:$G$769,"Active",Assignments!$V$2:$V$769,"&lt;="&amp;W$4,Assignments!$W$2:$W$769,"&gt;="&amp;W$4)+SUMIFS(Assignments!$AA$2:$AA$769,Assignments!$A$2:$A$769,$A27,Assignments!$G$2:$G$769,"Active",Assignments!$Y$2:$Y$769,"&lt;="&amp;W$4,Assignments!$Z$2:$Z$769,"&gt;="&amp;W$4))</f>
        <v/>
      </c>
      <c r="X27" s="11">
        <f>IF($A27="","",SUMIFS(Assignments!$X$2:$X$769,Assignments!$A$2:$A$769,$A27,Assignments!$G$2:$G$769,"Active",Assignments!$V$2:$V$769,"&lt;="&amp;X$4,Assignments!$W$2:$W$769,"&gt;="&amp;X$4)+SUMIFS(Assignments!$AA$2:$AA$769,Assignments!$A$2:$A$769,$A27,Assignments!$G$2:$G$769,"Active",Assignments!$Y$2:$Y$769,"&lt;="&amp;X$4,Assignments!$Z$2:$Z$769,"&gt;="&amp;X$4))</f>
        <v/>
      </c>
      <c r="Y27" s="11">
        <f>IF($A27="","",SUMIFS(Assignments!$X$2:$X$769,Assignments!$A$2:$A$769,$A27,Assignments!$G$2:$G$769,"Active",Assignments!$V$2:$V$769,"&lt;="&amp;Y$4,Assignments!$W$2:$W$769,"&gt;="&amp;Y$4)+SUMIFS(Assignments!$AA$2:$AA$769,Assignments!$A$2:$A$769,$A27,Assignments!$G$2:$G$769,"Active",Assignments!$Y$2:$Y$769,"&lt;="&amp;Y$4,Assignments!$Z$2:$Z$769,"&gt;="&amp;Y$4))</f>
        <v/>
      </c>
      <c r="Z27" s="11">
        <f>IF($A27="","",SUMIFS(Assignments!$X$2:$X$769,Assignments!$A$2:$A$769,$A27,Assignments!$G$2:$G$769,"Active",Assignments!$V$2:$V$769,"&lt;="&amp;Z$4,Assignments!$W$2:$W$769,"&gt;="&amp;Z$4)+SUMIFS(Assignments!$AA$2:$AA$769,Assignments!$A$2:$A$769,$A27,Assignments!$G$2:$G$769,"Active",Assignments!$Y$2:$Y$769,"&lt;="&amp;Z$4,Assignments!$Z$2:$Z$769,"&gt;="&amp;Z$4))</f>
        <v/>
      </c>
      <c r="AA27" s="11">
        <f>IF($A27="","",SUMIFS(Assignments!$X$2:$X$769,Assignments!$A$2:$A$769,$A27,Assignments!$G$2:$G$769,"Active",Assignments!$V$2:$V$769,"&lt;="&amp;AA$4,Assignments!$W$2:$W$769,"&gt;="&amp;AA$4)+SUMIFS(Assignments!$AA$2:$AA$769,Assignments!$A$2:$A$769,$A27,Assignments!$G$2:$G$769,"Active",Assignments!$Y$2:$Y$769,"&lt;="&amp;AA$4,Assignments!$Z$2:$Z$769,"&gt;="&amp;AA$4))</f>
        <v/>
      </c>
      <c r="AB27" s="11">
        <f>IF($A27="","",SUMIFS(Assignments!$X$2:$X$769,Assignments!$A$2:$A$769,$A27,Assignments!$G$2:$G$769,"Active",Assignments!$V$2:$V$769,"&lt;="&amp;AB$4,Assignments!$W$2:$W$769,"&gt;="&amp;AB$4)+SUMIFS(Assignments!$AA$2:$AA$769,Assignments!$A$2:$A$769,$A27,Assignments!$G$2:$G$769,"Active",Assignments!$Y$2:$Y$769,"&lt;="&amp;AB$4,Assignments!$Z$2:$Z$769,"&gt;="&amp;AB$4))</f>
        <v/>
      </c>
    </row>
    <row r="28">
      <c r="A28" s="9">
        <f>IF(Roster!$A25="","",Roster!$A25)</f>
        <v/>
      </c>
      <c r="B28" s="10">
        <f>IF($A28="","",IFERROR(INDEX(Roster!$D$2:$D$40,MATCH($A28,Roster!$A$2:$A$40,0)),""))</f>
        <v/>
      </c>
      <c r="C28" s="11">
        <f>IF($A28="","",SUMIFS(Assignments!$X$2:$X$769,Assignments!$A$2:$A$769,$A28,Assignments!$G$2:$G$769,"Active",Assignments!$V$2:$V$769,"&lt;="&amp;C$4,Assignments!$W$2:$W$769,"&gt;="&amp;C$4)+SUMIFS(Assignments!$AA$2:$AA$769,Assignments!$A$2:$A$769,$A28,Assignments!$G$2:$G$769,"Active",Assignments!$Y$2:$Y$769,"&lt;="&amp;C$4,Assignments!$Z$2:$Z$769,"&gt;="&amp;C$4))</f>
        <v/>
      </c>
      <c r="D28" s="11">
        <f>IF($A28="","",SUMIFS(Assignments!$X$2:$X$769,Assignments!$A$2:$A$769,$A28,Assignments!$G$2:$G$769,"Active",Assignments!$V$2:$V$769,"&lt;="&amp;D$4,Assignments!$W$2:$W$769,"&gt;="&amp;D$4)+SUMIFS(Assignments!$AA$2:$AA$769,Assignments!$A$2:$A$769,$A28,Assignments!$G$2:$G$769,"Active",Assignments!$Y$2:$Y$769,"&lt;="&amp;D$4,Assignments!$Z$2:$Z$769,"&gt;="&amp;D$4))</f>
        <v/>
      </c>
      <c r="E28" s="11">
        <f>IF($A28="","",SUMIFS(Assignments!$X$2:$X$769,Assignments!$A$2:$A$769,$A28,Assignments!$G$2:$G$769,"Active",Assignments!$V$2:$V$769,"&lt;="&amp;E$4,Assignments!$W$2:$W$769,"&gt;="&amp;E$4)+SUMIFS(Assignments!$AA$2:$AA$769,Assignments!$A$2:$A$769,$A28,Assignments!$G$2:$G$769,"Active",Assignments!$Y$2:$Y$769,"&lt;="&amp;E$4,Assignments!$Z$2:$Z$769,"&gt;="&amp;E$4))</f>
        <v/>
      </c>
      <c r="F28" s="11">
        <f>IF($A28="","",SUMIFS(Assignments!$X$2:$X$769,Assignments!$A$2:$A$769,$A28,Assignments!$G$2:$G$769,"Active",Assignments!$V$2:$V$769,"&lt;="&amp;F$4,Assignments!$W$2:$W$769,"&gt;="&amp;F$4)+SUMIFS(Assignments!$AA$2:$AA$769,Assignments!$A$2:$A$769,$A28,Assignments!$G$2:$G$769,"Active",Assignments!$Y$2:$Y$769,"&lt;="&amp;F$4,Assignments!$Z$2:$Z$769,"&gt;="&amp;F$4))</f>
        <v/>
      </c>
      <c r="G28" s="11">
        <f>IF($A28="","",SUMIFS(Assignments!$X$2:$X$769,Assignments!$A$2:$A$769,$A28,Assignments!$G$2:$G$769,"Active",Assignments!$V$2:$V$769,"&lt;="&amp;G$4,Assignments!$W$2:$W$769,"&gt;="&amp;G$4)+SUMIFS(Assignments!$AA$2:$AA$769,Assignments!$A$2:$A$769,$A28,Assignments!$G$2:$G$769,"Active",Assignments!$Y$2:$Y$769,"&lt;="&amp;G$4,Assignments!$Z$2:$Z$769,"&gt;="&amp;G$4))</f>
        <v/>
      </c>
      <c r="H28" s="11">
        <f>IF($A28="","",SUMIFS(Assignments!$X$2:$X$769,Assignments!$A$2:$A$769,$A28,Assignments!$G$2:$G$769,"Active",Assignments!$V$2:$V$769,"&lt;="&amp;H$4,Assignments!$W$2:$W$769,"&gt;="&amp;H$4)+SUMIFS(Assignments!$AA$2:$AA$769,Assignments!$A$2:$A$769,$A28,Assignments!$G$2:$G$769,"Active",Assignments!$Y$2:$Y$769,"&lt;="&amp;H$4,Assignments!$Z$2:$Z$769,"&gt;="&amp;H$4))</f>
        <v/>
      </c>
      <c r="I28" s="11">
        <f>IF($A28="","",SUMIFS(Assignments!$X$2:$X$769,Assignments!$A$2:$A$769,$A28,Assignments!$G$2:$G$769,"Active",Assignments!$V$2:$V$769,"&lt;="&amp;I$4,Assignments!$W$2:$W$769,"&gt;="&amp;I$4)+SUMIFS(Assignments!$AA$2:$AA$769,Assignments!$A$2:$A$769,$A28,Assignments!$G$2:$G$769,"Active",Assignments!$Y$2:$Y$769,"&lt;="&amp;I$4,Assignments!$Z$2:$Z$769,"&gt;="&amp;I$4))</f>
        <v/>
      </c>
      <c r="J28" s="11">
        <f>IF($A28="","",SUMIFS(Assignments!$X$2:$X$769,Assignments!$A$2:$A$769,$A28,Assignments!$G$2:$G$769,"Active",Assignments!$V$2:$V$769,"&lt;="&amp;J$4,Assignments!$W$2:$W$769,"&gt;="&amp;J$4)+SUMIFS(Assignments!$AA$2:$AA$769,Assignments!$A$2:$A$769,$A28,Assignments!$G$2:$G$769,"Active",Assignments!$Y$2:$Y$769,"&lt;="&amp;J$4,Assignments!$Z$2:$Z$769,"&gt;="&amp;J$4))</f>
        <v/>
      </c>
      <c r="K28" s="11">
        <f>IF($A28="","",SUMIFS(Assignments!$X$2:$X$769,Assignments!$A$2:$A$769,$A28,Assignments!$G$2:$G$769,"Active",Assignments!$V$2:$V$769,"&lt;="&amp;K$4,Assignments!$W$2:$W$769,"&gt;="&amp;K$4)+SUMIFS(Assignments!$AA$2:$AA$769,Assignments!$A$2:$A$769,$A28,Assignments!$G$2:$G$769,"Active",Assignments!$Y$2:$Y$769,"&lt;="&amp;K$4,Assignments!$Z$2:$Z$769,"&gt;="&amp;K$4))</f>
        <v/>
      </c>
      <c r="L28" s="11">
        <f>IF($A28="","",SUMIFS(Assignments!$X$2:$X$769,Assignments!$A$2:$A$769,$A28,Assignments!$G$2:$G$769,"Active",Assignments!$V$2:$V$769,"&lt;="&amp;L$4,Assignments!$W$2:$W$769,"&gt;="&amp;L$4)+SUMIFS(Assignments!$AA$2:$AA$769,Assignments!$A$2:$A$769,$A28,Assignments!$G$2:$G$769,"Active",Assignments!$Y$2:$Y$769,"&lt;="&amp;L$4,Assignments!$Z$2:$Z$769,"&gt;="&amp;L$4))</f>
        <v/>
      </c>
      <c r="M28" s="11">
        <f>IF($A28="","",SUMIFS(Assignments!$X$2:$X$769,Assignments!$A$2:$A$769,$A28,Assignments!$G$2:$G$769,"Active",Assignments!$V$2:$V$769,"&lt;="&amp;M$4,Assignments!$W$2:$W$769,"&gt;="&amp;M$4)+SUMIFS(Assignments!$AA$2:$AA$769,Assignments!$A$2:$A$769,$A28,Assignments!$G$2:$G$769,"Active",Assignments!$Y$2:$Y$769,"&lt;="&amp;M$4,Assignments!$Z$2:$Z$769,"&gt;="&amp;M$4))</f>
        <v/>
      </c>
      <c r="N28" s="11">
        <f>IF($A28="","",SUMIFS(Assignments!$X$2:$X$769,Assignments!$A$2:$A$769,$A28,Assignments!$G$2:$G$769,"Active",Assignments!$V$2:$V$769,"&lt;="&amp;N$4,Assignments!$W$2:$W$769,"&gt;="&amp;N$4)+SUMIFS(Assignments!$AA$2:$AA$769,Assignments!$A$2:$A$769,$A28,Assignments!$G$2:$G$769,"Active",Assignments!$Y$2:$Y$769,"&lt;="&amp;N$4,Assignments!$Z$2:$Z$769,"&gt;="&amp;N$4))</f>
        <v/>
      </c>
      <c r="O28" s="11">
        <f>IF($A28="","",SUMIFS(Assignments!$X$2:$X$769,Assignments!$A$2:$A$769,$A28,Assignments!$G$2:$G$769,"Active",Assignments!$V$2:$V$769,"&lt;="&amp;O$4,Assignments!$W$2:$W$769,"&gt;="&amp;O$4)+SUMIFS(Assignments!$AA$2:$AA$769,Assignments!$A$2:$A$769,$A28,Assignments!$G$2:$G$769,"Active",Assignments!$Y$2:$Y$769,"&lt;="&amp;O$4,Assignments!$Z$2:$Z$769,"&gt;="&amp;O$4))</f>
        <v/>
      </c>
      <c r="P28" s="11">
        <f>IF($A28="","",SUMIFS(Assignments!$X$2:$X$769,Assignments!$A$2:$A$769,$A28,Assignments!$G$2:$G$769,"Active",Assignments!$V$2:$V$769,"&lt;="&amp;P$4,Assignments!$W$2:$W$769,"&gt;="&amp;P$4)+SUMIFS(Assignments!$AA$2:$AA$769,Assignments!$A$2:$A$769,$A28,Assignments!$G$2:$G$769,"Active",Assignments!$Y$2:$Y$769,"&lt;="&amp;P$4,Assignments!$Z$2:$Z$769,"&gt;="&amp;P$4))</f>
        <v/>
      </c>
      <c r="Q28" s="11">
        <f>IF($A28="","",SUMIFS(Assignments!$X$2:$X$769,Assignments!$A$2:$A$769,$A28,Assignments!$G$2:$G$769,"Active",Assignments!$V$2:$V$769,"&lt;="&amp;Q$4,Assignments!$W$2:$W$769,"&gt;="&amp;Q$4)+SUMIFS(Assignments!$AA$2:$AA$769,Assignments!$A$2:$A$769,$A28,Assignments!$G$2:$G$769,"Active",Assignments!$Y$2:$Y$769,"&lt;="&amp;Q$4,Assignments!$Z$2:$Z$769,"&gt;="&amp;Q$4))</f>
        <v/>
      </c>
      <c r="R28" s="11">
        <f>IF($A28="","",SUMIFS(Assignments!$X$2:$X$769,Assignments!$A$2:$A$769,$A28,Assignments!$G$2:$G$769,"Active",Assignments!$V$2:$V$769,"&lt;="&amp;R$4,Assignments!$W$2:$W$769,"&gt;="&amp;R$4)+SUMIFS(Assignments!$AA$2:$AA$769,Assignments!$A$2:$A$769,$A28,Assignments!$G$2:$G$769,"Active",Assignments!$Y$2:$Y$769,"&lt;="&amp;R$4,Assignments!$Z$2:$Z$769,"&gt;="&amp;R$4))</f>
        <v/>
      </c>
      <c r="S28" s="11">
        <f>IF($A28="","",SUMIFS(Assignments!$X$2:$X$769,Assignments!$A$2:$A$769,$A28,Assignments!$G$2:$G$769,"Active",Assignments!$V$2:$V$769,"&lt;="&amp;S$4,Assignments!$W$2:$W$769,"&gt;="&amp;S$4)+SUMIFS(Assignments!$AA$2:$AA$769,Assignments!$A$2:$A$769,$A28,Assignments!$G$2:$G$769,"Active",Assignments!$Y$2:$Y$769,"&lt;="&amp;S$4,Assignments!$Z$2:$Z$769,"&gt;="&amp;S$4))</f>
        <v/>
      </c>
      <c r="T28" s="11">
        <f>IF($A28="","",SUMIFS(Assignments!$X$2:$X$769,Assignments!$A$2:$A$769,$A28,Assignments!$G$2:$G$769,"Active",Assignments!$V$2:$V$769,"&lt;="&amp;T$4,Assignments!$W$2:$W$769,"&gt;="&amp;T$4)+SUMIFS(Assignments!$AA$2:$AA$769,Assignments!$A$2:$A$769,$A28,Assignments!$G$2:$G$769,"Active",Assignments!$Y$2:$Y$769,"&lt;="&amp;T$4,Assignments!$Z$2:$Z$769,"&gt;="&amp;T$4))</f>
        <v/>
      </c>
      <c r="U28" s="11">
        <f>IF($A28="","",SUMIFS(Assignments!$X$2:$X$769,Assignments!$A$2:$A$769,$A28,Assignments!$G$2:$G$769,"Active",Assignments!$V$2:$V$769,"&lt;="&amp;U$4,Assignments!$W$2:$W$769,"&gt;="&amp;U$4)+SUMIFS(Assignments!$AA$2:$AA$769,Assignments!$A$2:$A$769,$A28,Assignments!$G$2:$G$769,"Active",Assignments!$Y$2:$Y$769,"&lt;="&amp;U$4,Assignments!$Z$2:$Z$769,"&gt;="&amp;U$4))</f>
        <v/>
      </c>
      <c r="V28" s="11">
        <f>IF($A28="","",SUMIFS(Assignments!$X$2:$X$769,Assignments!$A$2:$A$769,$A28,Assignments!$G$2:$G$769,"Active",Assignments!$V$2:$V$769,"&lt;="&amp;V$4,Assignments!$W$2:$W$769,"&gt;="&amp;V$4)+SUMIFS(Assignments!$AA$2:$AA$769,Assignments!$A$2:$A$769,$A28,Assignments!$G$2:$G$769,"Active",Assignments!$Y$2:$Y$769,"&lt;="&amp;V$4,Assignments!$Z$2:$Z$769,"&gt;="&amp;V$4))</f>
        <v/>
      </c>
      <c r="W28" s="11">
        <f>IF($A28="","",SUMIFS(Assignments!$X$2:$X$769,Assignments!$A$2:$A$769,$A28,Assignments!$G$2:$G$769,"Active",Assignments!$V$2:$V$769,"&lt;="&amp;W$4,Assignments!$W$2:$W$769,"&gt;="&amp;W$4)+SUMIFS(Assignments!$AA$2:$AA$769,Assignments!$A$2:$A$769,$A28,Assignments!$G$2:$G$769,"Active",Assignments!$Y$2:$Y$769,"&lt;="&amp;W$4,Assignments!$Z$2:$Z$769,"&gt;="&amp;W$4))</f>
        <v/>
      </c>
      <c r="X28" s="11">
        <f>IF($A28="","",SUMIFS(Assignments!$X$2:$X$769,Assignments!$A$2:$A$769,$A28,Assignments!$G$2:$G$769,"Active",Assignments!$V$2:$V$769,"&lt;="&amp;X$4,Assignments!$W$2:$W$769,"&gt;="&amp;X$4)+SUMIFS(Assignments!$AA$2:$AA$769,Assignments!$A$2:$A$769,$A28,Assignments!$G$2:$G$769,"Active",Assignments!$Y$2:$Y$769,"&lt;="&amp;X$4,Assignments!$Z$2:$Z$769,"&gt;="&amp;X$4))</f>
        <v/>
      </c>
      <c r="Y28" s="11">
        <f>IF($A28="","",SUMIFS(Assignments!$X$2:$X$769,Assignments!$A$2:$A$769,$A28,Assignments!$G$2:$G$769,"Active",Assignments!$V$2:$V$769,"&lt;="&amp;Y$4,Assignments!$W$2:$W$769,"&gt;="&amp;Y$4)+SUMIFS(Assignments!$AA$2:$AA$769,Assignments!$A$2:$A$769,$A28,Assignments!$G$2:$G$769,"Active",Assignments!$Y$2:$Y$769,"&lt;="&amp;Y$4,Assignments!$Z$2:$Z$769,"&gt;="&amp;Y$4))</f>
        <v/>
      </c>
      <c r="Z28" s="11">
        <f>IF($A28="","",SUMIFS(Assignments!$X$2:$X$769,Assignments!$A$2:$A$769,$A28,Assignments!$G$2:$G$769,"Active",Assignments!$V$2:$V$769,"&lt;="&amp;Z$4,Assignments!$W$2:$W$769,"&gt;="&amp;Z$4)+SUMIFS(Assignments!$AA$2:$AA$769,Assignments!$A$2:$A$769,$A28,Assignments!$G$2:$G$769,"Active",Assignments!$Y$2:$Y$769,"&lt;="&amp;Z$4,Assignments!$Z$2:$Z$769,"&gt;="&amp;Z$4))</f>
        <v/>
      </c>
      <c r="AA28" s="11">
        <f>IF($A28="","",SUMIFS(Assignments!$X$2:$X$769,Assignments!$A$2:$A$769,$A28,Assignments!$G$2:$G$769,"Active",Assignments!$V$2:$V$769,"&lt;="&amp;AA$4,Assignments!$W$2:$W$769,"&gt;="&amp;AA$4)+SUMIFS(Assignments!$AA$2:$AA$769,Assignments!$A$2:$A$769,$A28,Assignments!$G$2:$G$769,"Active",Assignments!$Y$2:$Y$769,"&lt;="&amp;AA$4,Assignments!$Z$2:$Z$769,"&gt;="&amp;AA$4))</f>
        <v/>
      </c>
      <c r="AB28" s="11">
        <f>IF($A28="","",SUMIFS(Assignments!$X$2:$X$769,Assignments!$A$2:$A$769,$A28,Assignments!$G$2:$G$769,"Active",Assignments!$V$2:$V$769,"&lt;="&amp;AB$4,Assignments!$W$2:$W$769,"&gt;="&amp;AB$4)+SUMIFS(Assignments!$AA$2:$AA$769,Assignments!$A$2:$A$769,$A28,Assignments!$G$2:$G$769,"Active",Assignments!$Y$2:$Y$769,"&lt;="&amp;AB$4,Assignments!$Z$2:$Z$769,"&gt;="&amp;AB$4))</f>
        <v/>
      </c>
    </row>
    <row r="29">
      <c r="A29" s="9">
        <f>IF(Roster!$A26="","",Roster!$A26)</f>
        <v/>
      </c>
      <c r="B29" s="10">
        <f>IF($A29="","",IFERROR(INDEX(Roster!$D$2:$D$40,MATCH($A29,Roster!$A$2:$A$40,0)),""))</f>
        <v/>
      </c>
      <c r="C29" s="11">
        <f>IF($A29="","",SUMIFS(Assignments!$X$2:$X$769,Assignments!$A$2:$A$769,$A29,Assignments!$G$2:$G$769,"Active",Assignments!$V$2:$V$769,"&lt;="&amp;C$4,Assignments!$W$2:$W$769,"&gt;="&amp;C$4)+SUMIFS(Assignments!$AA$2:$AA$769,Assignments!$A$2:$A$769,$A29,Assignments!$G$2:$G$769,"Active",Assignments!$Y$2:$Y$769,"&lt;="&amp;C$4,Assignments!$Z$2:$Z$769,"&gt;="&amp;C$4))</f>
        <v/>
      </c>
      <c r="D29" s="11">
        <f>IF($A29="","",SUMIFS(Assignments!$X$2:$X$769,Assignments!$A$2:$A$769,$A29,Assignments!$G$2:$G$769,"Active",Assignments!$V$2:$V$769,"&lt;="&amp;D$4,Assignments!$W$2:$W$769,"&gt;="&amp;D$4)+SUMIFS(Assignments!$AA$2:$AA$769,Assignments!$A$2:$A$769,$A29,Assignments!$G$2:$G$769,"Active",Assignments!$Y$2:$Y$769,"&lt;="&amp;D$4,Assignments!$Z$2:$Z$769,"&gt;="&amp;D$4))</f>
        <v/>
      </c>
      <c r="E29" s="11">
        <f>IF($A29="","",SUMIFS(Assignments!$X$2:$X$769,Assignments!$A$2:$A$769,$A29,Assignments!$G$2:$G$769,"Active",Assignments!$V$2:$V$769,"&lt;="&amp;E$4,Assignments!$W$2:$W$769,"&gt;="&amp;E$4)+SUMIFS(Assignments!$AA$2:$AA$769,Assignments!$A$2:$A$769,$A29,Assignments!$G$2:$G$769,"Active",Assignments!$Y$2:$Y$769,"&lt;="&amp;E$4,Assignments!$Z$2:$Z$769,"&gt;="&amp;E$4))</f>
        <v/>
      </c>
      <c r="F29" s="11">
        <f>IF($A29="","",SUMIFS(Assignments!$X$2:$X$769,Assignments!$A$2:$A$769,$A29,Assignments!$G$2:$G$769,"Active",Assignments!$V$2:$V$769,"&lt;="&amp;F$4,Assignments!$W$2:$W$769,"&gt;="&amp;F$4)+SUMIFS(Assignments!$AA$2:$AA$769,Assignments!$A$2:$A$769,$A29,Assignments!$G$2:$G$769,"Active",Assignments!$Y$2:$Y$769,"&lt;="&amp;F$4,Assignments!$Z$2:$Z$769,"&gt;="&amp;F$4))</f>
        <v/>
      </c>
      <c r="G29" s="11">
        <f>IF($A29="","",SUMIFS(Assignments!$X$2:$X$769,Assignments!$A$2:$A$769,$A29,Assignments!$G$2:$G$769,"Active",Assignments!$V$2:$V$769,"&lt;="&amp;G$4,Assignments!$W$2:$W$769,"&gt;="&amp;G$4)+SUMIFS(Assignments!$AA$2:$AA$769,Assignments!$A$2:$A$769,$A29,Assignments!$G$2:$G$769,"Active",Assignments!$Y$2:$Y$769,"&lt;="&amp;G$4,Assignments!$Z$2:$Z$769,"&gt;="&amp;G$4))</f>
        <v/>
      </c>
      <c r="H29" s="11">
        <f>IF($A29="","",SUMIFS(Assignments!$X$2:$X$769,Assignments!$A$2:$A$769,$A29,Assignments!$G$2:$G$769,"Active",Assignments!$V$2:$V$769,"&lt;="&amp;H$4,Assignments!$W$2:$W$769,"&gt;="&amp;H$4)+SUMIFS(Assignments!$AA$2:$AA$769,Assignments!$A$2:$A$769,$A29,Assignments!$G$2:$G$769,"Active",Assignments!$Y$2:$Y$769,"&lt;="&amp;H$4,Assignments!$Z$2:$Z$769,"&gt;="&amp;H$4))</f>
        <v/>
      </c>
      <c r="I29" s="11">
        <f>IF($A29="","",SUMIFS(Assignments!$X$2:$X$769,Assignments!$A$2:$A$769,$A29,Assignments!$G$2:$G$769,"Active",Assignments!$V$2:$V$769,"&lt;="&amp;I$4,Assignments!$W$2:$W$769,"&gt;="&amp;I$4)+SUMIFS(Assignments!$AA$2:$AA$769,Assignments!$A$2:$A$769,$A29,Assignments!$G$2:$G$769,"Active",Assignments!$Y$2:$Y$769,"&lt;="&amp;I$4,Assignments!$Z$2:$Z$769,"&gt;="&amp;I$4))</f>
        <v/>
      </c>
      <c r="J29" s="11">
        <f>IF($A29="","",SUMIFS(Assignments!$X$2:$X$769,Assignments!$A$2:$A$769,$A29,Assignments!$G$2:$G$769,"Active",Assignments!$V$2:$V$769,"&lt;="&amp;J$4,Assignments!$W$2:$W$769,"&gt;="&amp;J$4)+SUMIFS(Assignments!$AA$2:$AA$769,Assignments!$A$2:$A$769,$A29,Assignments!$G$2:$G$769,"Active",Assignments!$Y$2:$Y$769,"&lt;="&amp;J$4,Assignments!$Z$2:$Z$769,"&gt;="&amp;J$4))</f>
        <v/>
      </c>
      <c r="K29" s="11">
        <f>IF($A29="","",SUMIFS(Assignments!$X$2:$X$769,Assignments!$A$2:$A$769,$A29,Assignments!$G$2:$G$769,"Active",Assignments!$V$2:$V$769,"&lt;="&amp;K$4,Assignments!$W$2:$W$769,"&gt;="&amp;K$4)+SUMIFS(Assignments!$AA$2:$AA$769,Assignments!$A$2:$A$769,$A29,Assignments!$G$2:$G$769,"Active",Assignments!$Y$2:$Y$769,"&lt;="&amp;K$4,Assignments!$Z$2:$Z$769,"&gt;="&amp;K$4))</f>
        <v/>
      </c>
      <c r="L29" s="11">
        <f>IF($A29="","",SUMIFS(Assignments!$X$2:$X$769,Assignments!$A$2:$A$769,$A29,Assignments!$G$2:$G$769,"Active",Assignments!$V$2:$V$769,"&lt;="&amp;L$4,Assignments!$W$2:$W$769,"&gt;="&amp;L$4)+SUMIFS(Assignments!$AA$2:$AA$769,Assignments!$A$2:$A$769,$A29,Assignments!$G$2:$G$769,"Active",Assignments!$Y$2:$Y$769,"&lt;="&amp;L$4,Assignments!$Z$2:$Z$769,"&gt;="&amp;L$4))</f>
        <v/>
      </c>
      <c r="M29" s="11">
        <f>IF($A29="","",SUMIFS(Assignments!$X$2:$X$769,Assignments!$A$2:$A$769,$A29,Assignments!$G$2:$G$769,"Active",Assignments!$V$2:$V$769,"&lt;="&amp;M$4,Assignments!$W$2:$W$769,"&gt;="&amp;M$4)+SUMIFS(Assignments!$AA$2:$AA$769,Assignments!$A$2:$A$769,$A29,Assignments!$G$2:$G$769,"Active",Assignments!$Y$2:$Y$769,"&lt;="&amp;M$4,Assignments!$Z$2:$Z$769,"&gt;="&amp;M$4))</f>
        <v/>
      </c>
      <c r="N29" s="11">
        <f>IF($A29="","",SUMIFS(Assignments!$X$2:$X$769,Assignments!$A$2:$A$769,$A29,Assignments!$G$2:$G$769,"Active",Assignments!$V$2:$V$769,"&lt;="&amp;N$4,Assignments!$W$2:$W$769,"&gt;="&amp;N$4)+SUMIFS(Assignments!$AA$2:$AA$769,Assignments!$A$2:$A$769,$A29,Assignments!$G$2:$G$769,"Active",Assignments!$Y$2:$Y$769,"&lt;="&amp;N$4,Assignments!$Z$2:$Z$769,"&gt;="&amp;N$4))</f>
        <v/>
      </c>
      <c r="O29" s="11">
        <f>IF($A29="","",SUMIFS(Assignments!$X$2:$X$769,Assignments!$A$2:$A$769,$A29,Assignments!$G$2:$G$769,"Active",Assignments!$V$2:$V$769,"&lt;="&amp;O$4,Assignments!$W$2:$W$769,"&gt;="&amp;O$4)+SUMIFS(Assignments!$AA$2:$AA$769,Assignments!$A$2:$A$769,$A29,Assignments!$G$2:$G$769,"Active",Assignments!$Y$2:$Y$769,"&lt;="&amp;O$4,Assignments!$Z$2:$Z$769,"&gt;="&amp;O$4))</f>
        <v/>
      </c>
      <c r="P29" s="11">
        <f>IF($A29="","",SUMIFS(Assignments!$X$2:$X$769,Assignments!$A$2:$A$769,$A29,Assignments!$G$2:$G$769,"Active",Assignments!$V$2:$V$769,"&lt;="&amp;P$4,Assignments!$W$2:$W$769,"&gt;="&amp;P$4)+SUMIFS(Assignments!$AA$2:$AA$769,Assignments!$A$2:$A$769,$A29,Assignments!$G$2:$G$769,"Active",Assignments!$Y$2:$Y$769,"&lt;="&amp;P$4,Assignments!$Z$2:$Z$769,"&gt;="&amp;P$4))</f>
        <v/>
      </c>
      <c r="Q29" s="11">
        <f>IF($A29="","",SUMIFS(Assignments!$X$2:$X$769,Assignments!$A$2:$A$769,$A29,Assignments!$G$2:$G$769,"Active",Assignments!$V$2:$V$769,"&lt;="&amp;Q$4,Assignments!$W$2:$W$769,"&gt;="&amp;Q$4)+SUMIFS(Assignments!$AA$2:$AA$769,Assignments!$A$2:$A$769,$A29,Assignments!$G$2:$G$769,"Active",Assignments!$Y$2:$Y$769,"&lt;="&amp;Q$4,Assignments!$Z$2:$Z$769,"&gt;="&amp;Q$4))</f>
        <v/>
      </c>
      <c r="R29" s="11">
        <f>IF($A29="","",SUMIFS(Assignments!$X$2:$X$769,Assignments!$A$2:$A$769,$A29,Assignments!$G$2:$G$769,"Active",Assignments!$V$2:$V$769,"&lt;="&amp;R$4,Assignments!$W$2:$W$769,"&gt;="&amp;R$4)+SUMIFS(Assignments!$AA$2:$AA$769,Assignments!$A$2:$A$769,$A29,Assignments!$G$2:$G$769,"Active",Assignments!$Y$2:$Y$769,"&lt;="&amp;R$4,Assignments!$Z$2:$Z$769,"&gt;="&amp;R$4))</f>
        <v/>
      </c>
      <c r="S29" s="11">
        <f>IF($A29="","",SUMIFS(Assignments!$X$2:$X$769,Assignments!$A$2:$A$769,$A29,Assignments!$G$2:$G$769,"Active",Assignments!$V$2:$V$769,"&lt;="&amp;S$4,Assignments!$W$2:$W$769,"&gt;="&amp;S$4)+SUMIFS(Assignments!$AA$2:$AA$769,Assignments!$A$2:$A$769,$A29,Assignments!$G$2:$G$769,"Active",Assignments!$Y$2:$Y$769,"&lt;="&amp;S$4,Assignments!$Z$2:$Z$769,"&gt;="&amp;S$4))</f>
        <v/>
      </c>
      <c r="T29" s="11">
        <f>IF($A29="","",SUMIFS(Assignments!$X$2:$X$769,Assignments!$A$2:$A$769,$A29,Assignments!$G$2:$G$769,"Active",Assignments!$V$2:$V$769,"&lt;="&amp;T$4,Assignments!$W$2:$W$769,"&gt;="&amp;T$4)+SUMIFS(Assignments!$AA$2:$AA$769,Assignments!$A$2:$A$769,$A29,Assignments!$G$2:$G$769,"Active",Assignments!$Y$2:$Y$769,"&lt;="&amp;T$4,Assignments!$Z$2:$Z$769,"&gt;="&amp;T$4))</f>
        <v/>
      </c>
      <c r="U29" s="11">
        <f>IF($A29="","",SUMIFS(Assignments!$X$2:$X$769,Assignments!$A$2:$A$769,$A29,Assignments!$G$2:$G$769,"Active",Assignments!$V$2:$V$769,"&lt;="&amp;U$4,Assignments!$W$2:$W$769,"&gt;="&amp;U$4)+SUMIFS(Assignments!$AA$2:$AA$769,Assignments!$A$2:$A$769,$A29,Assignments!$G$2:$G$769,"Active",Assignments!$Y$2:$Y$769,"&lt;="&amp;U$4,Assignments!$Z$2:$Z$769,"&gt;="&amp;U$4))</f>
        <v/>
      </c>
      <c r="V29" s="11">
        <f>IF($A29="","",SUMIFS(Assignments!$X$2:$X$769,Assignments!$A$2:$A$769,$A29,Assignments!$G$2:$G$769,"Active",Assignments!$V$2:$V$769,"&lt;="&amp;V$4,Assignments!$W$2:$W$769,"&gt;="&amp;V$4)+SUMIFS(Assignments!$AA$2:$AA$769,Assignments!$A$2:$A$769,$A29,Assignments!$G$2:$G$769,"Active",Assignments!$Y$2:$Y$769,"&lt;="&amp;V$4,Assignments!$Z$2:$Z$769,"&gt;="&amp;V$4))</f>
        <v/>
      </c>
      <c r="W29" s="11">
        <f>IF($A29="","",SUMIFS(Assignments!$X$2:$X$769,Assignments!$A$2:$A$769,$A29,Assignments!$G$2:$G$769,"Active",Assignments!$V$2:$V$769,"&lt;="&amp;W$4,Assignments!$W$2:$W$769,"&gt;="&amp;W$4)+SUMIFS(Assignments!$AA$2:$AA$769,Assignments!$A$2:$A$769,$A29,Assignments!$G$2:$G$769,"Active",Assignments!$Y$2:$Y$769,"&lt;="&amp;W$4,Assignments!$Z$2:$Z$769,"&gt;="&amp;W$4))</f>
        <v/>
      </c>
      <c r="X29" s="11">
        <f>IF($A29="","",SUMIFS(Assignments!$X$2:$X$769,Assignments!$A$2:$A$769,$A29,Assignments!$G$2:$G$769,"Active",Assignments!$V$2:$V$769,"&lt;="&amp;X$4,Assignments!$W$2:$W$769,"&gt;="&amp;X$4)+SUMIFS(Assignments!$AA$2:$AA$769,Assignments!$A$2:$A$769,$A29,Assignments!$G$2:$G$769,"Active",Assignments!$Y$2:$Y$769,"&lt;="&amp;X$4,Assignments!$Z$2:$Z$769,"&gt;="&amp;X$4))</f>
        <v/>
      </c>
      <c r="Y29" s="11">
        <f>IF($A29="","",SUMIFS(Assignments!$X$2:$X$769,Assignments!$A$2:$A$769,$A29,Assignments!$G$2:$G$769,"Active",Assignments!$V$2:$V$769,"&lt;="&amp;Y$4,Assignments!$W$2:$W$769,"&gt;="&amp;Y$4)+SUMIFS(Assignments!$AA$2:$AA$769,Assignments!$A$2:$A$769,$A29,Assignments!$G$2:$G$769,"Active",Assignments!$Y$2:$Y$769,"&lt;="&amp;Y$4,Assignments!$Z$2:$Z$769,"&gt;="&amp;Y$4))</f>
        <v/>
      </c>
      <c r="Z29" s="11">
        <f>IF($A29="","",SUMIFS(Assignments!$X$2:$X$769,Assignments!$A$2:$A$769,$A29,Assignments!$G$2:$G$769,"Active",Assignments!$V$2:$V$769,"&lt;="&amp;Z$4,Assignments!$W$2:$W$769,"&gt;="&amp;Z$4)+SUMIFS(Assignments!$AA$2:$AA$769,Assignments!$A$2:$A$769,$A29,Assignments!$G$2:$G$769,"Active",Assignments!$Y$2:$Y$769,"&lt;="&amp;Z$4,Assignments!$Z$2:$Z$769,"&gt;="&amp;Z$4))</f>
        <v/>
      </c>
      <c r="AA29" s="11">
        <f>IF($A29="","",SUMIFS(Assignments!$X$2:$X$769,Assignments!$A$2:$A$769,$A29,Assignments!$G$2:$G$769,"Active",Assignments!$V$2:$V$769,"&lt;="&amp;AA$4,Assignments!$W$2:$W$769,"&gt;="&amp;AA$4)+SUMIFS(Assignments!$AA$2:$AA$769,Assignments!$A$2:$A$769,$A29,Assignments!$G$2:$G$769,"Active",Assignments!$Y$2:$Y$769,"&lt;="&amp;AA$4,Assignments!$Z$2:$Z$769,"&gt;="&amp;AA$4))</f>
        <v/>
      </c>
      <c r="AB29" s="11">
        <f>IF($A29="","",SUMIFS(Assignments!$X$2:$X$769,Assignments!$A$2:$A$769,$A29,Assignments!$G$2:$G$769,"Active",Assignments!$V$2:$V$769,"&lt;="&amp;AB$4,Assignments!$W$2:$W$769,"&gt;="&amp;AB$4)+SUMIFS(Assignments!$AA$2:$AA$769,Assignments!$A$2:$A$769,$A29,Assignments!$G$2:$G$769,"Active",Assignments!$Y$2:$Y$769,"&lt;="&amp;AB$4,Assignments!$Z$2:$Z$769,"&gt;="&amp;AB$4))</f>
        <v/>
      </c>
    </row>
    <row r="30">
      <c r="A30" s="9">
        <f>IF(Roster!$A27="","",Roster!$A27)</f>
        <v/>
      </c>
      <c r="B30" s="10">
        <f>IF($A30="","",IFERROR(INDEX(Roster!$D$2:$D$40,MATCH($A30,Roster!$A$2:$A$40,0)),""))</f>
        <v/>
      </c>
      <c r="C30" s="11">
        <f>IF($A30="","",SUMIFS(Assignments!$X$2:$X$769,Assignments!$A$2:$A$769,$A30,Assignments!$G$2:$G$769,"Active",Assignments!$V$2:$V$769,"&lt;="&amp;C$4,Assignments!$W$2:$W$769,"&gt;="&amp;C$4)+SUMIFS(Assignments!$AA$2:$AA$769,Assignments!$A$2:$A$769,$A30,Assignments!$G$2:$G$769,"Active",Assignments!$Y$2:$Y$769,"&lt;="&amp;C$4,Assignments!$Z$2:$Z$769,"&gt;="&amp;C$4))</f>
        <v/>
      </c>
      <c r="D30" s="11">
        <f>IF($A30="","",SUMIFS(Assignments!$X$2:$X$769,Assignments!$A$2:$A$769,$A30,Assignments!$G$2:$G$769,"Active",Assignments!$V$2:$V$769,"&lt;="&amp;D$4,Assignments!$W$2:$W$769,"&gt;="&amp;D$4)+SUMIFS(Assignments!$AA$2:$AA$769,Assignments!$A$2:$A$769,$A30,Assignments!$G$2:$G$769,"Active",Assignments!$Y$2:$Y$769,"&lt;="&amp;D$4,Assignments!$Z$2:$Z$769,"&gt;="&amp;D$4))</f>
        <v/>
      </c>
      <c r="E30" s="11">
        <f>IF($A30="","",SUMIFS(Assignments!$X$2:$X$769,Assignments!$A$2:$A$769,$A30,Assignments!$G$2:$G$769,"Active",Assignments!$V$2:$V$769,"&lt;="&amp;E$4,Assignments!$W$2:$W$769,"&gt;="&amp;E$4)+SUMIFS(Assignments!$AA$2:$AA$769,Assignments!$A$2:$A$769,$A30,Assignments!$G$2:$G$769,"Active",Assignments!$Y$2:$Y$769,"&lt;="&amp;E$4,Assignments!$Z$2:$Z$769,"&gt;="&amp;E$4))</f>
        <v/>
      </c>
      <c r="F30" s="11">
        <f>IF($A30="","",SUMIFS(Assignments!$X$2:$X$769,Assignments!$A$2:$A$769,$A30,Assignments!$G$2:$G$769,"Active",Assignments!$V$2:$V$769,"&lt;="&amp;F$4,Assignments!$W$2:$W$769,"&gt;="&amp;F$4)+SUMIFS(Assignments!$AA$2:$AA$769,Assignments!$A$2:$A$769,$A30,Assignments!$G$2:$G$769,"Active",Assignments!$Y$2:$Y$769,"&lt;="&amp;F$4,Assignments!$Z$2:$Z$769,"&gt;="&amp;F$4))</f>
        <v/>
      </c>
      <c r="G30" s="11">
        <f>IF($A30="","",SUMIFS(Assignments!$X$2:$X$769,Assignments!$A$2:$A$769,$A30,Assignments!$G$2:$G$769,"Active",Assignments!$V$2:$V$769,"&lt;="&amp;G$4,Assignments!$W$2:$W$769,"&gt;="&amp;G$4)+SUMIFS(Assignments!$AA$2:$AA$769,Assignments!$A$2:$A$769,$A30,Assignments!$G$2:$G$769,"Active",Assignments!$Y$2:$Y$769,"&lt;="&amp;G$4,Assignments!$Z$2:$Z$769,"&gt;="&amp;G$4))</f>
        <v/>
      </c>
      <c r="H30" s="11">
        <f>IF($A30="","",SUMIFS(Assignments!$X$2:$X$769,Assignments!$A$2:$A$769,$A30,Assignments!$G$2:$G$769,"Active",Assignments!$V$2:$V$769,"&lt;="&amp;H$4,Assignments!$W$2:$W$769,"&gt;="&amp;H$4)+SUMIFS(Assignments!$AA$2:$AA$769,Assignments!$A$2:$A$769,$A30,Assignments!$G$2:$G$769,"Active",Assignments!$Y$2:$Y$769,"&lt;="&amp;H$4,Assignments!$Z$2:$Z$769,"&gt;="&amp;H$4))</f>
        <v/>
      </c>
      <c r="I30" s="11">
        <f>IF($A30="","",SUMIFS(Assignments!$X$2:$X$769,Assignments!$A$2:$A$769,$A30,Assignments!$G$2:$G$769,"Active",Assignments!$V$2:$V$769,"&lt;="&amp;I$4,Assignments!$W$2:$W$769,"&gt;="&amp;I$4)+SUMIFS(Assignments!$AA$2:$AA$769,Assignments!$A$2:$A$769,$A30,Assignments!$G$2:$G$769,"Active",Assignments!$Y$2:$Y$769,"&lt;="&amp;I$4,Assignments!$Z$2:$Z$769,"&gt;="&amp;I$4))</f>
        <v/>
      </c>
      <c r="J30" s="11">
        <f>IF($A30="","",SUMIFS(Assignments!$X$2:$X$769,Assignments!$A$2:$A$769,$A30,Assignments!$G$2:$G$769,"Active",Assignments!$V$2:$V$769,"&lt;="&amp;J$4,Assignments!$W$2:$W$769,"&gt;="&amp;J$4)+SUMIFS(Assignments!$AA$2:$AA$769,Assignments!$A$2:$A$769,$A30,Assignments!$G$2:$G$769,"Active",Assignments!$Y$2:$Y$769,"&lt;="&amp;J$4,Assignments!$Z$2:$Z$769,"&gt;="&amp;J$4))</f>
        <v/>
      </c>
      <c r="K30" s="11">
        <f>IF($A30="","",SUMIFS(Assignments!$X$2:$X$769,Assignments!$A$2:$A$769,$A30,Assignments!$G$2:$G$769,"Active",Assignments!$V$2:$V$769,"&lt;="&amp;K$4,Assignments!$W$2:$W$769,"&gt;="&amp;K$4)+SUMIFS(Assignments!$AA$2:$AA$769,Assignments!$A$2:$A$769,$A30,Assignments!$G$2:$G$769,"Active",Assignments!$Y$2:$Y$769,"&lt;="&amp;K$4,Assignments!$Z$2:$Z$769,"&gt;="&amp;K$4))</f>
        <v/>
      </c>
      <c r="L30" s="11">
        <f>IF($A30="","",SUMIFS(Assignments!$X$2:$X$769,Assignments!$A$2:$A$769,$A30,Assignments!$G$2:$G$769,"Active",Assignments!$V$2:$V$769,"&lt;="&amp;L$4,Assignments!$W$2:$W$769,"&gt;="&amp;L$4)+SUMIFS(Assignments!$AA$2:$AA$769,Assignments!$A$2:$A$769,$A30,Assignments!$G$2:$G$769,"Active",Assignments!$Y$2:$Y$769,"&lt;="&amp;L$4,Assignments!$Z$2:$Z$769,"&gt;="&amp;L$4))</f>
        <v/>
      </c>
      <c r="M30" s="11">
        <f>IF($A30="","",SUMIFS(Assignments!$X$2:$X$769,Assignments!$A$2:$A$769,$A30,Assignments!$G$2:$G$769,"Active",Assignments!$V$2:$V$769,"&lt;="&amp;M$4,Assignments!$W$2:$W$769,"&gt;="&amp;M$4)+SUMIFS(Assignments!$AA$2:$AA$769,Assignments!$A$2:$A$769,$A30,Assignments!$G$2:$G$769,"Active",Assignments!$Y$2:$Y$769,"&lt;="&amp;M$4,Assignments!$Z$2:$Z$769,"&gt;="&amp;M$4))</f>
        <v/>
      </c>
      <c r="N30" s="11">
        <f>IF($A30="","",SUMIFS(Assignments!$X$2:$X$769,Assignments!$A$2:$A$769,$A30,Assignments!$G$2:$G$769,"Active",Assignments!$V$2:$V$769,"&lt;="&amp;N$4,Assignments!$W$2:$W$769,"&gt;="&amp;N$4)+SUMIFS(Assignments!$AA$2:$AA$769,Assignments!$A$2:$A$769,$A30,Assignments!$G$2:$G$769,"Active",Assignments!$Y$2:$Y$769,"&lt;="&amp;N$4,Assignments!$Z$2:$Z$769,"&gt;="&amp;N$4))</f>
        <v/>
      </c>
      <c r="O30" s="11">
        <f>IF($A30="","",SUMIFS(Assignments!$X$2:$X$769,Assignments!$A$2:$A$769,$A30,Assignments!$G$2:$G$769,"Active",Assignments!$V$2:$V$769,"&lt;="&amp;O$4,Assignments!$W$2:$W$769,"&gt;="&amp;O$4)+SUMIFS(Assignments!$AA$2:$AA$769,Assignments!$A$2:$A$769,$A30,Assignments!$G$2:$G$769,"Active",Assignments!$Y$2:$Y$769,"&lt;="&amp;O$4,Assignments!$Z$2:$Z$769,"&gt;="&amp;O$4))</f>
        <v/>
      </c>
      <c r="P30" s="11">
        <f>IF($A30="","",SUMIFS(Assignments!$X$2:$X$769,Assignments!$A$2:$A$769,$A30,Assignments!$G$2:$G$769,"Active",Assignments!$V$2:$V$769,"&lt;="&amp;P$4,Assignments!$W$2:$W$769,"&gt;="&amp;P$4)+SUMIFS(Assignments!$AA$2:$AA$769,Assignments!$A$2:$A$769,$A30,Assignments!$G$2:$G$769,"Active",Assignments!$Y$2:$Y$769,"&lt;="&amp;P$4,Assignments!$Z$2:$Z$769,"&gt;="&amp;P$4))</f>
        <v/>
      </c>
      <c r="Q30" s="11">
        <f>IF($A30="","",SUMIFS(Assignments!$X$2:$X$769,Assignments!$A$2:$A$769,$A30,Assignments!$G$2:$G$769,"Active",Assignments!$V$2:$V$769,"&lt;="&amp;Q$4,Assignments!$W$2:$W$769,"&gt;="&amp;Q$4)+SUMIFS(Assignments!$AA$2:$AA$769,Assignments!$A$2:$A$769,$A30,Assignments!$G$2:$G$769,"Active",Assignments!$Y$2:$Y$769,"&lt;="&amp;Q$4,Assignments!$Z$2:$Z$769,"&gt;="&amp;Q$4))</f>
        <v/>
      </c>
      <c r="R30" s="11">
        <f>IF($A30="","",SUMIFS(Assignments!$X$2:$X$769,Assignments!$A$2:$A$769,$A30,Assignments!$G$2:$G$769,"Active",Assignments!$V$2:$V$769,"&lt;="&amp;R$4,Assignments!$W$2:$W$769,"&gt;="&amp;R$4)+SUMIFS(Assignments!$AA$2:$AA$769,Assignments!$A$2:$A$769,$A30,Assignments!$G$2:$G$769,"Active",Assignments!$Y$2:$Y$769,"&lt;="&amp;R$4,Assignments!$Z$2:$Z$769,"&gt;="&amp;R$4))</f>
        <v/>
      </c>
      <c r="S30" s="11">
        <f>IF($A30="","",SUMIFS(Assignments!$X$2:$X$769,Assignments!$A$2:$A$769,$A30,Assignments!$G$2:$G$769,"Active",Assignments!$V$2:$V$769,"&lt;="&amp;S$4,Assignments!$W$2:$W$769,"&gt;="&amp;S$4)+SUMIFS(Assignments!$AA$2:$AA$769,Assignments!$A$2:$A$769,$A30,Assignments!$G$2:$G$769,"Active",Assignments!$Y$2:$Y$769,"&lt;="&amp;S$4,Assignments!$Z$2:$Z$769,"&gt;="&amp;S$4))</f>
        <v/>
      </c>
      <c r="T30" s="11">
        <f>IF($A30="","",SUMIFS(Assignments!$X$2:$X$769,Assignments!$A$2:$A$769,$A30,Assignments!$G$2:$G$769,"Active",Assignments!$V$2:$V$769,"&lt;="&amp;T$4,Assignments!$W$2:$W$769,"&gt;="&amp;T$4)+SUMIFS(Assignments!$AA$2:$AA$769,Assignments!$A$2:$A$769,$A30,Assignments!$G$2:$G$769,"Active",Assignments!$Y$2:$Y$769,"&lt;="&amp;T$4,Assignments!$Z$2:$Z$769,"&gt;="&amp;T$4))</f>
        <v/>
      </c>
      <c r="U30" s="11">
        <f>IF($A30="","",SUMIFS(Assignments!$X$2:$X$769,Assignments!$A$2:$A$769,$A30,Assignments!$G$2:$G$769,"Active",Assignments!$V$2:$V$769,"&lt;="&amp;U$4,Assignments!$W$2:$W$769,"&gt;="&amp;U$4)+SUMIFS(Assignments!$AA$2:$AA$769,Assignments!$A$2:$A$769,$A30,Assignments!$G$2:$G$769,"Active",Assignments!$Y$2:$Y$769,"&lt;="&amp;U$4,Assignments!$Z$2:$Z$769,"&gt;="&amp;U$4))</f>
        <v/>
      </c>
      <c r="V30" s="11">
        <f>IF($A30="","",SUMIFS(Assignments!$X$2:$X$769,Assignments!$A$2:$A$769,$A30,Assignments!$G$2:$G$769,"Active",Assignments!$V$2:$V$769,"&lt;="&amp;V$4,Assignments!$W$2:$W$769,"&gt;="&amp;V$4)+SUMIFS(Assignments!$AA$2:$AA$769,Assignments!$A$2:$A$769,$A30,Assignments!$G$2:$G$769,"Active",Assignments!$Y$2:$Y$769,"&lt;="&amp;V$4,Assignments!$Z$2:$Z$769,"&gt;="&amp;V$4))</f>
        <v/>
      </c>
      <c r="W30" s="11">
        <f>IF($A30="","",SUMIFS(Assignments!$X$2:$X$769,Assignments!$A$2:$A$769,$A30,Assignments!$G$2:$G$769,"Active",Assignments!$V$2:$V$769,"&lt;="&amp;W$4,Assignments!$W$2:$W$769,"&gt;="&amp;W$4)+SUMIFS(Assignments!$AA$2:$AA$769,Assignments!$A$2:$A$769,$A30,Assignments!$G$2:$G$769,"Active",Assignments!$Y$2:$Y$769,"&lt;="&amp;W$4,Assignments!$Z$2:$Z$769,"&gt;="&amp;W$4))</f>
        <v/>
      </c>
      <c r="X30" s="11">
        <f>IF($A30="","",SUMIFS(Assignments!$X$2:$X$769,Assignments!$A$2:$A$769,$A30,Assignments!$G$2:$G$769,"Active",Assignments!$V$2:$V$769,"&lt;="&amp;X$4,Assignments!$W$2:$W$769,"&gt;="&amp;X$4)+SUMIFS(Assignments!$AA$2:$AA$769,Assignments!$A$2:$A$769,$A30,Assignments!$G$2:$G$769,"Active",Assignments!$Y$2:$Y$769,"&lt;="&amp;X$4,Assignments!$Z$2:$Z$769,"&gt;="&amp;X$4))</f>
        <v/>
      </c>
      <c r="Y30" s="11">
        <f>IF($A30="","",SUMIFS(Assignments!$X$2:$X$769,Assignments!$A$2:$A$769,$A30,Assignments!$G$2:$G$769,"Active",Assignments!$V$2:$V$769,"&lt;="&amp;Y$4,Assignments!$W$2:$W$769,"&gt;="&amp;Y$4)+SUMIFS(Assignments!$AA$2:$AA$769,Assignments!$A$2:$A$769,$A30,Assignments!$G$2:$G$769,"Active",Assignments!$Y$2:$Y$769,"&lt;="&amp;Y$4,Assignments!$Z$2:$Z$769,"&gt;="&amp;Y$4))</f>
        <v/>
      </c>
      <c r="Z30" s="11">
        <f>IF($A30="","",SUMIFS(Assignments!$X$2:$X$769,Assignments!$A$2:$A$769,$A30,Assignments!$G$2:$G$769,"Active",Assignments!$V$2:$V$769,"&lt;="&amp;Z$4,Assignments!$W$2:$W$769,"&gt;="&amp;Z$4)+SUMIFS(Assignments!$AA$2:$AA$769,Assignments!$A$2:$A$769,$A30,Assignments!$G$2:$G$769,"Active",Assignments!$Y$2:$Y$769,"&lt;="&amp;Z$4,Assignments!$Z$2:$Z$769,"&gt;="&amp;Z$4))</f>
        <v/>
      </c>
      <c r="AA30" s="11">
        <f>IF($A30="","",SUMIFS(Assignments!$X$2:$X$769,Assignments!$A$2:$A$769,$A30,Assignments!$G$2:$G$769,"Active",Assignments!$V$2:$V$769,"&lt;="&amp;AA$4,Assignments!$W$2:$W$769,"&gt;="&amp;AA$4)+SUMIFS(Assignments!$AA$2:$AA$769,Assignments!$A$2:$A$769,$A30,Assignments!$G$2:$G$769,"Active",Assignments!$Y$2:$Y$769,"&lt;="&amp;AA$4,Assignments!$Z$2:$Z$769,"&gt;="&amp;AA$4))</f>
        <v/>
      </c>
      <c r="AB30" s="11">
        <f>IF($A30="","",SUMIFS(Assignments!$X$2:$X$769,Assignments!$A$2:$A$769,$A30,Assignments!$G$2:$G$769,"Active",Assignments!$V$2:$V$769,"&lt;="&amp;AB$4,Assignments!$W$2:$W$769,"&gt;="&amp;AB$4)+SUMIFS(Assignments!$AA$2:$AA$769,Assignments!$A$2:$A$769,$A30,Assignments!$G$2:$G$769,"Active",Assignments!$Y$2:$Y$769,"&lt;="&amp;AB$4,Assignments!$Z$2:$Z$769,"&gt;="&amp;AB$4))</f>
        <v/>
      </c>
    </row>
    <row r="31">
      <c r="A31" s="9">
        <f>IF(Roster!$A28="","",Roster!$A28)</f>
        <v/>
      </c>
      <c r="B31" s="10">
        <f>IF($A31="","",IFERROR(INDEX(Roster!$D$2:$D$40,MATCH($A31,Roster!$A$2:$A$40,0)),""))</f>
        <v/>
      </c>
      <c r="C31" s="11">
        <f>IF($A31="","",SUMIFS(Assignments!$X$2:$X$769,Assignments!$A$2:$A$769,$A31,Assignments!$G$2:$G$769,"Active",Assignments!$V$2:$V$769,"&lt;="&amp;C$4,Assignments!$W$2:$W$769,"&gt;="&amp;C$4)+SUMIFS(Assignments!$AA$2:$AA$769,Assignments!$A$2:$A$769,$A31,Assignments!$G$2:$G$769,"Active",Assignments!$Y$2:$Y$769,"&lt;="&amp;C$4,Assignments!$Z$2:$Z$769,"&gt;="&amp;C$4))</f>
        <v/>
      </c>
      <c r="D31" s="11">
        <f>IF($A31="","",SUMIFS(Assignments!$X$2:$X$769,Assignments!$A$2:$A$769,$A31,Assignments!$G$2:$G$769,"Active",Assignments!$V$2:$V$769,"&lt;="&amp;D$4,Assignments!$W$2:$W$769,"&gt;="&amp;D$4)+SUMIFS(Assignments!$AA$2:$AA$769,Assignments!$A$2:$A$769,$A31,Assignments!$G$2:$G$769,"Active",Assignments!$Y$2:$Y$769,"&lt;="&amp;D$4,Assignments!$Z$2:$Z$769,"&gt;="&amp;D$4))</f>
        <v/>
      </c>
      <c r="E31" s="11">
        <f>IF($A31="","",SUMIFS(Assignments!$X$2:$X$769,Assignments!$A$2:$A$769,$A31,Assignments!$G$2:$G$769,"Active",Assignments!$V$2:$V$769,"&lt;="&amp;E$4,Assignments!$W$2:$W$769,"&gt;="&amp;E$4)+SUMIFS(Assignments!$AA$2:$AA$769,Assignments!$A$2:$A$769,$A31,Assignments!$G$2:$G$769,"Active",Assignments!$Y$2:$Y$769,"&lt;="&amp;E$4,Assignments!$Z$2:$Z$769,"&gt;="&amp;E$4))</f>
        <v/>
      </c>
      <c r="F31" s="11">
        <f>IF($A31="","",SUMIFS(Assignments!$X$2:$X$769,Assignments!$A$2:$A$769,$A31,Assignments!$G$2:$G$769,"Active",Assignments!$V$2:$V$769,"&lt;="&amp;F$4,Assignments!$W$2:$W$769,"&gt;="&amp;F$4)+SUMIFS(Assignments!$AA$2:$AA$769,Assignments!$A$2:$A$769,$A31,Assignments!$G$2:$G$769,"Active",Assignments!$Y$2:$Y$769,"&lt;="&amp;F$4,Assignments!$Z$2:$Z$769,"&gt;="&amp;F$4))</f>
        <v/>
      </c>
      <c r="G31" s="11">
        <f>IF($A31="","",SUMIFS(Assignments!$X$2:$X$769,Assignments!$A$2:$A$769,$A31,Assignments!$G$2:$G$769,"Active",Assignments!$V$2:$V$769,"&lt;="&amp;G$4,Assignments!$W$2:$W$769,"&gt;="&amp;G$4)+SUMIFS(Assignments!$AA$2:$AA$769,Assignments!$A$2:$A$769,$A31,Assignments!$G$2:$G$769,"Active",Assignments!$Y$2:$Y$769,"&lt;="&amp;G$4,Assignments!$Z$2:$Z$769,"&gt;="&amp;G$4))</f>
        <v/>
      </c>
      <c r="H31" s="11">
        <f>IF($A31="","",SUMIFS(Assignments!$X$2:$X$769,Assignments!$A$2:$A$769,$A31,Assignments!$G$2:$G$769,"Active",Assignments!$V$2:$V$769,"&lt;="&amp;H$4,Assignments!$W$2:$W$769,"&gt;="&amp;H$4)+SUMIFS(Assignments!$AA$2:$AA$769,Assignments!$A$2:$A$769,$A31,Assignments!$G$2:$G$769,"Active",Assignments!$Y$2:$Y$769,"&lt;="&amp;H$4,Assignments!$Z$2:$Z$769,"&gt;="&amp;H$4))</f>
        <v/>
      </c>
      <c r="I31" s="11">
        <f>IF($A31="","",SUMIFS(Assignments!$X$2:$X$769,Assignments!$A$2:$A$769,$A31,Assignments!$G$2:$G$769,"Active",Assignments!$V$2:$V$769,"&lt;="&amp;I$4,Assignments!$W$2:$W$769,"&gt;="&amp;I$4)+SUMIFS(Assignments!$AA$2:$AA$769,Assignments!$A$2:$A$769,$A31,Assignments!$G$2:$G$769,"Active",Assignments!$Y$2:$Y$769,"&lt;="&amp;I$4,Assignments!$Z$2:$Z$769,"&gt;="&amp;I$4))</f>
        <v/>
      </c>
      <c r="J31" s="11">
        <f>IF($A31="","",SUMIFS(Assignments!$X$2:$X$769,Assignments!$A$2:$A$769,$A31,Assignments!$G$2:$G$769,"Active",Assignments!$V$2:$V$769,"&lt;="&amp;J$4,Assignments!$W$2:$W$769,"&gt;="&amp;J$4)+SUMIFS(Assignments!$AA$2:$AA$769,Assignments!$A$2:$A$769,$A31,Assignments!$G$2:$G$769,"Active",Assignments!$Y$2:$Y$769,"&lt;="&amp;J$4,Assignments!$Z$2:$Z$769,"&gt;="&amp;J$4))</f>
        <v/>
      </c>
      <c r="K31" s="11">
        <f>IF($A31="","",SUMIFS(Assignments!$X$2:$X$769,Assignments!$A$2:$A$769,$A31,Assignments!$G$2:$G$769,"Active",Assignments!$V$2:$V$769,"&lt;="&amp;K$4,Assignments!$W$2:$W$769,"&gt;="&amp;K$4)+SUMIFS(Assignments!$AA$2:$AA$769,Assignments!$A$2:$A$769,$A31,Assignments!$G$2:$G$769,"Active",Assignments!$Y$2:$Y$769,"&lt;="&amp;K$4,Assignments!$Z$2:$Z$769,"&gt;="&amp;K$4))</f>
        <v/>
      </c>
      <c r="L31" s="11">
        <f>IF($A31="","",SUMIFS(Assignments!$X$2:$X$769,Assignments!$A$2:$A$769,$A31,Assignments!$G$2:$G$769,"Active",Assignments!$V$2:$V$769,"&lt;="&amp;L$4,Assignments!$W$2:$W$769,"&gt;="&amp;L$4)+SUMIFS(Assignments!$AA$2:$AA$769,Assignments!$A$2:$A$769,$A31,Assignments!$G$2:$G$769,"Active",Assignments!$Y$2:$Y$769,"&lt;="&amp;L$4,Assignments!$Z$2:$Z$769,"&gt;="&amp;L$4))</f>
        <v/>
      </c>
      <c r="M31" s="11">
        <f>IF($A31="","",SUMIFS(Assignments!$X$2:$X$769,Assignments!$A$2:$A$769,$A31,Assignments!$G$2:$G$769,"Active",Assignments!$V$2:$V$769,"&lt;="&amp;M$4,Assignments!$W$2:$W$769,"&gt;="&amp;M$4)+SUMIFS(Assignments!$AA$2:$AA$769,Assignments!$A$2:$A$769,$A31,Assignments!$G$2:$G$769,"Active",Assignments!$Y$2:$Y$769,"&lt;="&amp;M$4,Assignments!$Z$2:$Z$769,"&gt;="&amp;M$4))</f>
        <v/>
      </c>
      <c r="N31" s="11">
        <f>IF($A31="","",SUMIFS(Assignments!$X$2:$X$769,Assignments!$A$2:$A$769,$A31,Assignments!$G$2:$G$769,"Active",Assignments!$V$2:$V$769,"&lt;="&amp;N$4,Assignments!$W$2:$W$769,"&gt;="&amp;N$4)+SUMIFS(Assignments!$AA$2:$AA$769,Assignments!$A$2:$A$769,$A31,Assignments!$G$2:$G$769,"Active",Assignments!$Y$2:$Y$769,"&lt;="&amp;N$4,Assignments!$Z$2:$Z$769,"&gt;="&amp;N$4))</f>
        <v/>
      </c>
      <c r="O31" s="11">
        <f>IF($A31="","",SUMIFS(Assignments!$X$2:$X$769,Assignments!$A$2:$A$769,$A31,Assignments!$G$2:$G$769,"Active",Assignments!$V$2:$V$769,"&lt;="&amp;O$4,Assignments!$W$2:$W$769,"&gt;="&amp;O$4)+SUMIFS(Assignments!$AA$2:$AA$769,Assignments!$A$2:$A$769,$A31,Assignments!$G$2:$G$769,"Active",Assignments!$Y$2:$Y$769,"&lt;="&amp;O$4,Assignments!$Z$2:$Z$769,"&gt;="&amp;O$4))</f>
        <v/>
      </c>
      <c r="P31" s="11">
        <f>IF($A31="","",SUMIFS(Assignments!$X$2:$X$769,Assignments!$A$2:$A$769,$A31,Assignments!$G$2:$G$769,"Active",Assignments!$V$2:$V$769,"&lt;="&amp;P$4,Assignments!$W$2:$W$769,"&gt;="&amp;P$4)+SUMIFS(Assignments!$AA$2:$AA$769,Assignments!$A$2:$A$769,$A31,Assignments!$G$2:$G$769,"Active",Assignments!$Y$2:$Y$769,"&lt;="&amp;P$4,Assignments!$Z$2:$Z$769,"&gt;="&amp;P$4))</f>
        <v/>
      </c>
      <c r="Q31" s="11">
        <f>IF($A31="","",SUMIFS(Assignments!$X$2:$X$769,Assignments!$A$2:$A$769,$A31,Assignments!$G$2:$G$769,"Active",Assignments!$V$2:$V$769,"&lt;="&amp;Q$4,Assignments!$W$2:$W$769,"&gt;="&amp;Q$4)+SUMIFS(Assignments!$AA$2:$AA$769,Assignments!$A$2:$A$769,$A31,Assignments!$G$2:$G$769,"Active",Assignments!$Y$2:$Y$769,"&lt;="&amp;Q$4,Assignments!$Z$2:$Z$769,"&gt;="&amp;Q$4))</f>
        <v/>
      </c>
      <c r="R31" s="11">
        <f>IF($A31="","",SUMIFS(Assignments!$X$2:$X$769,Assignments!$A$2:$A$769,$A31,Assignments!$G$2:$G$769,"Active",Assignments!$V$2:$V$769,"&lt;="&amp;R$4,Assignments!$W$2:$W$769,"&gt;="&amp;R$4)+SUMIFS(Assignments!$AA$2:$AA$769,Assignments!$A$2:$A$769,$A31,Assignments!$G$2:$G$769,"Active",Assignments!$Y$2:$Y$769,"&lt;="&amp;R$4,Assignments!$Z$2:$Z$769,"&gt;="&amp;R$4))</f>
        <v/>
      </c>
      <c r="S31" s="11">
        <f>IF($A31="","",SUMIFS(Assignments!$X$2:$X$769,Assignments!$A$2:$A$769,$A31,Assignments!$G$2:$G$769,"Active",Assignments!$V$2:$V$769,"&lt;="&amp;S$4,Assignments!$W$2:$W$769,"&gt;="&amp;S$4)+SUMIFS(Assignments!$AA$2:$AA$769,Assignments!$A$2:$A$769,$A31,Assignments!$G$2:$G$769,"Active",Assignments!$Y$2:$Y$769,"&lt;="&amp;S$4,Assignments!$Z$2:$Z$769,"&gt;="&amp;S$4))</f>
        <v/>
      </c>
      <c r="T31" s="11">
        <f>IF($A31="","",SUMIFS(Assignments!$X$2:$X$769,Assignments!$A$2:$A$769,$A31,Assignments!$G$2:$G$769,"Active",Assignments!$V$2:$V$769,"&lt;="&amp;T$4,Assignments!$W$2:$W$769,"&gt;="&amp;T$4)+SUMIFS(Assignments!$AA$2:$AA$769,Assignments!$A$2:$A$769,$A31,Assignments!$G$2:$G$769,"Active",Assignments!$Y$2:$Y$769,"&lt;="&amp;T$4,Assignments!$Z$2:$Z$769,"&gt;="&amp;T$4))</f>
        <v/>
      </c>
      <c r="U31" s="11">
        <f>IF($A31="","",SUMIFS(Assignments!$X$2:$X$769,Assignments!$A$2:$A$769,$A31,Assignments!$G$2:$G$769,"Active",Assignments!$V$2:$V$769,"&lt;="&amp;U$4,Assignments!$W$2:$W$769,"&gt;="&amp;U$4)+SUMIFS(Assignments!$AA$2:$AA$769,Assignments!$A$2:$A$769,$A31,Assignments!$G$2:$G$769,"Active",Assignments!$Y$2:$Y$769,"&lt;="&amp;U$4,Assignments!$Z$2:$Z$769,"&gt;="&amp;U$4))</f>
        <v/>
      </c>
      <c r="V31" s="11">
        <f>IF($A31="","",SUMIFS(Assignments!$X$2:$X$769,Assignments!$A$2:$A$769,$A31,Assignments!$G$2:$G$769,"Active",Assignments!$V$2:$V$769,"&lt;="&amp;V$4,Assignments!$W$2:$W$769,"&gt;="&amp;V$4)+SUMIFS(Assignments!$AA$2:$AA$769,Assignments!$A$2:$A$769,$A31,Assignments!$G$2:$G$769,"Active",Assignments!$Y$2:$Y$769,"&lt;="&amp;V$4,Assignments!$Z$2:$Z$769,"&gt;="&amp;V$4))</f>
        <v/>
      </c>
      <c r="W31" s="11">
        <f>IF($A31="","",SUMIFS(Assignments!$X$2:$X$769,Assignments!$A$2:$A$769,$A31,Assignments!$G$2:$G$769,"Active",Assignments!$V$2:$V$769,"&lt;="&amp;W$4,Assignments!$W$2:$W$769,"&gt;="&amp;W$4)+SUMIFS(Assignments!$AA$2:$AA$769,Assignments!$A$2:$A$769,$A31,Assignments!$G$2:$G$769,"Active",Assignments!$Y$2:$Y$769,"&lt;="&amp;W$4,Assignments!$Z$2:$Z$769,"&gt;="&amp;W$4))</f>
        <v/>
      </c>
      <c r="X31" s="11">
        <f>IF($A31="","",SUMIFS(Assignments!$X$2:$X$769,Assignments!$A$2:$A$769,$A31,Assignments!$G$2:$G$769,"Active",Assignments!$V$2:$V$769,"&lt;="&amp;X$4,Assignments!$W$2:$W$769,"&gt;="&amp;X$4)+SUMIFS(Assignments!$AA$2:$AA$769,Assignments!$A$2:$A$769,$A31,Assignments!$G$2:$G$769,"Active",Assignments!$Y$2:$Y$769,"&lt;="&amp;X$4,Assignments!$Z$2:$Z$769,"&gt;="&amp;X$4))</f>
        <v/>
      </c>
      <c r="Y31" s="11">
        <f>IF($A31="","",SUMIFS(Assignments!$X$2:$X$769,Assignments!$A$2:$A$769,$A31,Assignments!$G$2:$G$769,"Active",Assignments!$V$2:$V$769,"&lt;="&amp;Y$4,Assignments!$W$2:$W$769,"&gt;="&amp;Y$4)+SUMIFS(Assignments!$AA$2:$AA$769,Assignments!$A$2:$A$769,$A31,Assignments!$G$2:$G$769,"Active",Assignments!$Y$2:$Y$769,"&lt;="&amp;Y$4,Assignments!$Z$2:$Z$769,"&gt;="&amp;Y$4))</f>
        <v/>
      </c>
      <c r="Z31" s="11">
        <f>IF($A31="","",SUMIFS(Assignments!$X$2:$X$769,Assignments!$A$2:$A$769,$A31,Assignments!$G$2:$G$769,"Active",Assignments!$V$2:$V$769,"&lt;="&amp;Z$4,Assignments!$W$2:$W$769,"&gt;="&amp;Z$4)+SUMIFS(Assignments!$AA$2:$AA$769,Assignments!$A$2:$A$769,$A31,Assignments!$G$2:$G$769,"Active",Assignments!$Y$2:$Y$769,"&lt;="&amp;Z$4,Assignments!$Z$2:$Z$769,"&gt;="&amp;Z$4))</f>
        <v/>
      </c>
      <c r="AA31" s="11">
        <f>IF($A31="","",SUMIFS(Assignments!$X$2:$X$769,Assignments!$A$2:$A$769,$A31,Assignments!$G$2:$G$769,"Active",Assignments!$V$2:$V$769,"&lt;="&amp;AA$4,Assignments!$W$2:$W$769,"&gt;="&amp;AA$4)+SUMIFS(Assignments!$AA$2:$AA$769,Assignments!$A$2:$A$769,$A31,Assignments!$G$2:$G$769,"Active",Assignments!$Y$2:$Y$769,"&lt;="&amp;AA$4,Assignments!$Z$2:$Z$769,"&gt;="&amp;AA$4))</f>
        <v/>
      </c>
      <c r="AB31" s="11">
        <f>IF($A31="","",SUMIFS(Assignments!$X$2:$X$769,Assignments!$A$2:$A$769,$A31,Assignments!$G$2:$G$769,"Active",Assignments!$V$2:$V$769,"&lt;="&amp;AB$4,Assignments!$W$2:$W$769,"&gt;="&amp;AB$4)+SUMIFS(Assignments!$AA$2:$AA$769,Assignments!$A$2:$A$769,$A31,Assignments!$G$2:$G$769,"Active",Assignments!$Y$2:$Y$769,"&lt;="&amp;AB$4,Assignments!$Z$2:$Z$769,"&gt;="&amp;AB$4))</f>
        <v/>
      </c>
    </row>
    <row r="32">
      <c r="A32" s="9">
        <f>IF(Roster!$A29="","",Roster!$A29)</f>
        <v/>
      </c>
      <c r="B32" s="10">
        <f>IF($A32="","",IFERROR(INDEX(Roster!$D$2:$D$40,MATCH($A32,Roster!$A$2:$A$40,0)),""))</f>
        <v/>
      </c>
      <c r="C32" s="11">
        <f>IF($A32="","",SUMIFS(Assignments!$X$2:$X$769,Assignments!$A$2:$A$769,$A32,Assignments!$G$2:$G$769,"Active",Assignments!$V$2:$V$769,"&lt;="&amp;C$4,Assignments!$W$2:$W$769,"&gt;="&amp;C$4)+SUMIFS(Assignments!$AA$2:$AA$769,Assignments!$A$2:$A$769,$A32,Assignments!$G$2:$G$769,"Active",Assignments!$Y$2:$Y$769,"&lt;="&amp;C$4,Assignments!$Z$2:$Z$769,"&gt;="&amp;C$4))</f>
        <v/>
      </c>
      <c r="D32" s="11">
        <f>IF($A32="","",SUMIFS(Assignments!$X$2:$X$769,Assignments!$A$2:$A$769,$A32,Assignments!$G$2:$G$769,"Active",Assignments!$V$2:$V$769,"&lt;="&amp;D$4,Assignments!$W$2:$W$769,"&gt;="&amp;D$4)+SUMIFS(Assignments!$AA$2:$AA$769,Assignments!$A$2:$A$769,$A32,Assignments!$G$2:$G$769,"Active",Assignments!$Y$2:$Y$769,"&lt;="&amp;D$4,Assignments!$Z$2:$Z$769,"&gt;="&amp;D$4))</f>
        <v/>
      </c>
      <c r="E32" s="11">
        <f>IF($A32="","",SUMIFS(Assignments!$X$2:$X$769,Assignments!$A$2:$A$769,$A32,Assignments!$G$2:$G$769,"Active",Assignments!$V$2:$V$769,"&lt;="&amp;E$4,Assignments!$W$2:$W$769,"&gt;="&amp;E$4)+SUMIFS(Assignments!$AA$2:$AA$769,Assignments!$A$2:$A$769,$A32,Assignments!$G$2:$G$769,"Active",Assignments!$Y$2:$Y$769,"&lt;="&amp;E$4,Assignments!$Z$2:$Z$769,"&gt;="&amp;E$4))</f>
        <v/>
      </c>
      <c r="F32" s="11">
        <f>IF($A32="","",SUMIFS(Assignments!$X$2:$X$769,Assignments!$A$2:$A$769,$A32,Assignments!$G$2:$G$769,"Active",Assignments!$V$2:$V$769,"&lt;="&amp;F$4,Assignments!$W$2:$W$769,"&gt;="&amp;F$4)+SUMIFS(Assignments!$AA$2:$AA$769,Assignments!$A$2:$A$769,$A32,Assignments!$G$2:$G$769,"Active",Assignments!$Y$2:$Y$769,"&lt;="&amp;F$4,Assignments!$Z$2:$Z$769,"&gt;="&amp;F$4))</f>
        <v/>
      </c>
      <c r="G32" s="11">
        <f>IF($A32="","",SUMIFS(Assignments!$X$2:$X$769,Assignments!$A$2:$A$769,$A32,Assignments!$G$2:$G$769,"Active",Assignments!$V$2:$V$769,"&lt;="&amp;G$4,Assignments!$W$2:$W$769,"&gt;="&amp;G$4)+SUMIFS(Assignments!$AA$2:$AA$769,Assignments!$A$2:$A$769,$A32,Assignments!$G$2:$G$769,"Active",Assignments!$Y$2:$Y$769,"&lt;="&amp;G$4,Assignments!$Z$2:$Z$769,"&gt;="&amp;G$4))</f>
        <v/>
      </c>
      <c r="H32" s="11">
        <f>IF($A32="","",SUMIFS(Assignments!$X$2:$X$769,Assignments!$A$2:$A$769,$A32,Assignments!$G$2:$G$769,"Active",Assignments!$V$2:$V$769,"&lt;="&amp;H$4,Assignments!$W$2:$W$769,"&gt;="&amp;H$4)+SUMIFS(Assignments!$AA$2:$AA$769,Assignments!$A$2:$A$769,$A32,Assignments!$G$2:$G$769,"Active",Assignments!$Y$2:$Y$769,"&lt;="&amp;H$4,Assignments!$Z$2:$Z$769,"&gt;="&amp;H$4))</f>
        <v/>
      </c>
      <c r="I32" s="11">
        <f>IF($A32="","",SUMIFS(Assignments!$X$2:$X$769,Assignments!$A$2:$A$769,$A32,Assignments!$G$2:$G$769,"Active",Assignments!$V$2:$V$769,"&lt;="&amp;I$4,Assignments!$W$2:$W$769,"&gt;="&amp;I$4)+SUMIFS(Assignments!$AA$2:$AA$769,Assignments!$A$2:$A$769,$A32,Assignments!$G$2:$G$769,"Active",Assignments!$Y$2:$Y$769,"&lt;="&amp;I$4,Assignments!$Z$2:$Z$769,"&gt;="&amp;I$4))</f>
        <v/>
      </c>
      <c r="J32" s="11">
        <f>IF($A32="","",SUMIFS(Assignments!$X$2:$X$769,Assignments!$A$2:$A$769,$A32,Assignments!$G$2:$G$769,"Active",Assignments!$V$2:$V$769,"&lt;="&amp;J$4,Assignments!$W$2:$W$769,"&gt;="&amp;J$4)+SUMIFS(Assignments!$AA$2:$AA$769,Assignments!$A$2:$A$769,$A32,Assignments!$G$2:$G$769,"Active",Assignments!$Y$2:$Y$769,"&lt;="&amp;J$4,Assignments!$Z$2:$Z$769,"&gt;="&amp;J$4))</f>
        <v/>
      </c>
      <c r="K32" s="11">
        <f>IF($A32="","",SUMIFS(Assignments!$X$2:$X$769,Assignments!$A$2:$A$769,$A32,Assignments!$G$2:$G$769,"Active",Assignments!$V$2:$V$769,"&lt;="&amp;K$4,Assignments!$W$2:$W$769,"&gt;="&amp;K$4)+SUMIFS(Assignments!$AA$2:$AA$769,Assignments!$A$2:$A$769,$A32,Assignments!$G$2:$G$769,"Active",Assignments!$Y$2:$Y$769,"&lt;="&amp;K$4,Assignments!$Z$2:$Z$769,"&gt;="&amp;K$4))</f>
        <v/>
      </c>
      <c r="L32" s="11">
        <f>IF($A32="","",SUMIFS(Assignments!$X$2:$X$769,Assignments!$A$2:$A$769,$A32,Assignments!$G$2:$G$769,"Active",Assignments!$V$2:$V$769,"&lt;="&amp;L$4,Assignments!$W$2:$W$769,"&gt;="&amp;L$4)+SUMIFS(Assignments!$AA$2:$AA$769,Assignments!$A$2:$A$769,$A32,Assignments!$G$2:$G$769,"Active",Assignments!$Y$2:$Y$769,"&lt;="&amp;L$4,Assignments!$Z$2:$Z$769,"&gt;="&amp;L$4))</f>
        <v/>
      </c>
      <c r="M32" s="11">
        <f>IF($A32="","",SUMIFS(Assignments!$X$2:$X$769,Assignments!$A$2:$A$769,$A32,Assignments!$G$2:$G$769,"Active",Assignments!$V$2:$V$769,"&lt;="&amp;M$4,Assignments!$W$2:$W$769,"&gt;="&amp;M$4)+SUMIFS(Assignments!$AA$2:$AA$769,Assignments!$A$2:$A$769,$A32,Assignments!$G$2:$G$769,"Active",Assignments!$Y$2:$Y$769,"&lt;="&amp;M$4,Assignments!$Z$2:$Z$769,"&gt;="&amp;M$4))</f>
        <v/>
      </c>
      <c r="N32" s="11">
        <f>IF($A32="","",SUMIFS(Assignments!$X$2:$X$769,Assignments!$A$2:$A$769,$A32,Assignments!$G$2:$G$769,"Active",Assignments!$V$2:$V$769,"&lt;="&amp;N$4,Assignments!$W$2:$W$769,"&gt;="&amp;N$4)+SUMIFS(Assignments!$AA$2:$AA$769,Assignments!$A$2:$A$769,$A32,Assignments!$G$2:$G$769,"Active",Assignments!$Y$2:$Y$769,"&lt;="&amp;N$4,Assignments!$Z$2:$Z$769,"&gt;="&amp;N$4))</f>
        <v/>
      </c>
      <c r="O32" s="11">
        <f>IF($A32="","",SUMIFS(Assignments!$X$2:$X$769,Assignments!$A$2:$A$769,$A32,Assignments!$G$2:$G$769,"Active",Assignments!$V$2:$V$769,"&lt;="&amp;O$4,Assignments!$W$2:$W$769,"&gt;="&amp;O$4)+SUMIFS(Assignments!$AA$2:$AA$769,Assignments!$A$2:$A$769,$A32,Assignments!$G$2:$G$769,"Active",Assignments!$Y$2:$Y$769,"&lt;="&amp;O$4,Assignments!$Z$2:$Z$769,"&gt;="&amp;O$4))</f>
        <v/>
      </c>
      <c r="P32" s="11">
        <f>IF($A32="","",SUMIFS(Assignments!$X$2:$X$769,Assignments!$A$2:$A$769,$A32,Assignments!$G$2:$G$769,"Active",Assignments!$V$2:$V$769,"&lt;="&amp;P$4,Assignments!$W$2:$W$769,"&gt;="&amp;P$4)+SUMIFS(Assignments!$AA$2:$AA$769,Assignments!$A$2:$A$769,$A32,Assignments!$G$2:$G$769,"Active",Assignments!$Y$2:$Y$769,"&lt;="&amp;P$4,Assignments!$Z$2:$Z$769,"&gt;="&amp;P$4))</f>
        <v/>
      </c>
      <c r="Q32" s="11">
        <f>IF($A32="","",SUMIFS(Assignments!$X$2:$X$769,Assignments!$A$2:$A$769,$A32,Assignments!$G$2:$G$769,"Active",Assignments!$V$2:$V$769,"&lt;="&amp;Q$4,Assignments!$W$2:$W$769,"&gt;="&amp;Q$4)+SUMIFS(Assignments!$AA$2:$AA$769,Assignments!$A$2:$A$769,$A32,Assignments!$G$2:$G$769,"Active",Assignments!$Y$2:$Y$769,"&lt;="&amp;Q$4,Assignments!$Z$2:$Z$769,"&gt;="&amp;Q$4))</f>
        <v/>
      </c>
      <c r="R32" s="11">
        <f>IF($A32="","",SUMIFS(Assignments!$X$2:$X$769,Assignments!$A$2:$A$769,$A32,Assignments!$G$2:$G$769,"Active",Assignments!$V$2:$V$769,"&lt;="&amp;R$4,Assignments!$W$2:$W$769,"&gt;="&amp;R$4)+SUMIFS(Assignments!$AA$2:$AA$769,Assignments!$A$2:$A$769,$A32,Assignments!$G$2:$G$769,"Active",Assignments!$Y$2:$Y$769,"&lt;="&amp;R$4,Assignments!$Z$2:$Z$769,"&gt;="&amp;R$4))</f>
        <v/>
      </c>
      <c r="S32" s="11">
        <f>IF($A32="","",SUMIFS(Assignments!$X$2:$X$769,Assignments!$A$2:$A$769,$A32,Assignments!$G$2:$G$769,"Active",Assignments!$V$2:$V$769,"&lt;="&amp;S$4,Assignments!$W$2:$W$769,"&gt;="&amp;S$4)+SUMIFS(Assignments!$AA$2:$AA$769,Assignments!$A$2:$A$769,$A32,Assignments!$G$2:$G$769,"Active",Assignments!$Y$2:$Y$769,"&lt;="&amp;S$4,Assignments!$Z$2:$Z$769,"&gt;="&amp;S$4))</f>
        <v/>
      </c>
      <c r="T32" s="11">
        <f>IF($A32="","",SUMIFS(Assignments!$X$2:$X$769,Assignments!$A$2:$A$769,$A32,Assignments!$G$2:$G$769,"Active",Assignments!$V$2:$V$769,"&lt;="&amp;T$4,Assignments!$W$2:$W$769,"&gt;="&amp;T$4)+SUMIFS(Assignments!$AA$2:$AA$769,Assignments!$A$2:$A$769,$A32,Assignments!$G$2:$G$769,"Active",Assignments!$Y$2:$Y$769,"&lt;="&amp;T$4,Assignments!$Z$2:$Z$769,"&gt;="&amp;T$4))</f>
        <v/>
      </c>
      <c r="U32" s="11">
        <f>IF($A32="","",SUMIFS(Assignments!$X$2:$X$769,Assignments!$A$2:$A$769,$A32,Assignments!$G$2:$G$769,"Active",Assignments!$V$2:$V$769,"&lt;="&amp;U$4,Assignments!$W$2:$W$769,"&gt;="&amp;U$4)+SUMIFS(Assignments!$AA$2:$AA$769,Assignments!$A$2:$A$769,$A32,Assignments!$G$2:$G$769,"Active",Assignments!$Y$2:$Y$769,"&lt;="&amp;U$4,Assignments!$Z$2:$Z$769,"&gt;="&amp;U$4))</f>
        <v/>
      </c>
      <c r="V32" s="11">
        <f>IF($A32="","",SUMIFS(Assignments!$X$2:$X$769,Assignments!$A$2:$A$769,$A32,Assignments!$G$2:$G$769,"Active",Assignments!$V$2:$V$769,"&lt;="&amp;V$4,Assignments!$W$2:$W$769,"&gt;="&amp;V$4)+SUMIFS(Assignments!$AA$2:$AA$769,Assignments!$A$2:$A$769,$A32,Assignments!$G$2:$G$769,"Active",Assignments!$Y$2:$Y$769,"&lt;="&amp;V$4,Assignments!$Z$2:$Z$769,"&gt;="&amp;V$4))</f>
        <v/>
      </c>
      <c r="W32" s="11">
        <f>IF($A32="","",SUMIFS(Assignments!$X$2:$X$769,Assignments!$A$2:$A$769,$A32,Assignments!$G$2:$G$769,"Active",Assignments!$V$2:$V$769,"&lt;="&amp;W$4,Assignments!$W$2:$W$769,"&gt;="&amp;W$4)+SUMIFS(Assignments!$AA$2:$AA$769,Assignments!$A$2:$A$769,$A32,Assignments!$G$2:$G$769,"Active",Assignments!$Y$2:$Y$769,"&lt;="&amp;W$4,Assignments!$Z$2:$Z$769,"&gt;="&amp;W$4))</f>
        <v/>
      </c>
      <c r="X32" s="11">
        <f>IF($A32="","",SUMIFS(Assignments!$X$2:$X$769,Assignments!$A$2:$A$769,$A32,Assignments!$G$2:$G$769,"Active",Assignments!$V$2:$V$769,"&lt;="&amp;X$4,Assignments!$W$2:$W$769,"&gt;="&amp;X$4)+SUMIFS(Assignments!$AA$2:$AA$769,Assignments!$A$2:$A$769,$A32,Assignments!$G$2:$G$769,"Active",Assignments!$Y$2:$Y$769,"&lt;="&amp;X$4,Assignments!$Z$2:$Z$769,"&gt;="&amp;X$4))</f>
        <v/>
      </c>
      <c r="Y32" s="11">
        <f>IF($A32="","",SUMIFS(Assignments!$X$2:$X$769,Assignments!$A$2:$A$769,$A32,Assignments!$G$2:$G$769,"Active",Assignments!$V$2:$V$769,"&lt;="&amp;Y$4,Assignments!$W$2:$W$769,"&gt;="&amp;Y$4)+SUMIFS(Assignments!$AA$2:$AA$769,Assignments!$A$2:$A$769,$A32,Assignments!$G$2:$G$769,"Active",Assignments!$Y$2:$Y$769,"&lt;="&amp;Y$4,Assignments!$Z$2:$Z$769,"&gt;="&amp;Y$4))</f>
        <v/>
      </c>
      <c r="Z32" s="11">
        <f>IF($A32="","",SUMIFS(Assignments!$X$2:$X$769,Assignments!$A$2:$A$769,$A32,Assignments!$G$2:$G$769,"Active",Assignments!$V$2:$V$769,"&lt;="&amp;Z$4,Assignments!$W$2:$W$769,"&gt;="&amp;Z$4)+SUMIFS(Assignments!$AA$2:$AA$769,Assignments!$A$2:$A$769,$A32,Assignments!$G$2:$G$769,"Active",Assignments!$Y$2:$Y$769,"&lt;="&amp;Z$4,Assignments!$Z$2:$Z$769,"&gt;="&amp;Z$4))</f>
        <v/>
      </c>
      <c r="AA32" s="11">
        <f>IF($A32="","",SUMIFS(Assignments!$X$2:$X$769,Assignments!$A$2:$A$769,$A32,Assignments!$G$2:$G$769,"Active",Assignments!$V$2:$V$769,"&lt;="&amp;AA$4,Assignments!$W$2:$W$769,"&gt;="&amp;AA$4)+SUMIFS(Assignments!$AA$2:$AA$769,Assignments!$A$2:$A$769,$A32,Assignments!$G$2:$G$769,"Active",Assignments!$Y$2:$Y$769,"&lt;="&amp;AA$4,Assignments!$Z$2:$Z$769,"&gt;="&amp;AA$4))</f>
        <v/>
      </c>
      <c r="AB32" s="11">
        <f>IF($A32="","",SUMIFS(Assignments!$X$2:$X$769,Assignments!$A$2:$A$769,$A32,Assignments!$G$2:$G$769,"Active",Assignments!$V$2:$V$769,"&lt;="&amp;AB$4,Assignments!$W$2:$W$769,"&gt;="&amp;AB$4)+SUMIFS(Assignments!$AA$2:$AA$769,Assignments!$A$2:$A$769,$A32,Assignments!$G$2:$G$769,"Active",Assignments!$Y$2:$Y$769,"&lt;="&amp;AB$4,Assignments!$Z$2:$Z$769,"&gt;="&amp;AB$4))</f>
        <v/>
      </c>
    </row>
    <row r="33">
      <c r="A33" s="9">
        <f>IF(Roster!$A30="","",Roster!$A30)</f>
        <v/>
      </c>
      <c r="B33" s="10">
        <f>IF($A33="","",IFERROR(INDEX(Roster!$D$2:$D$40,MATCH($A33,Roster!$A$2:$A$40,0)),""))</f>
        <v/>
      </c>
      <c r="C33" s="11">
        <f>IF($A33="","",SUMIFS(Assignments!$X$2:$X$769,Assignments!$A$2:$A$769,$A33,Assignments!$G$2:$G$769,"Active",Assignments!$V$2:$V$769,"&lt;="&amp;C$4,Assignments!$W$2:$W$769,"&gt;="&amp;C$4)+SUMIFS(Assignments!$AA$2:$AA$769,Assignments!$A$2:$A$769,$A33,Assignments!$G$2:$G$769,"Active",Assignments!$Y$2:$Y$769,"&lt;="&amp;C$4,Assignments!$Z$2:$Z$769,"&gt;="&amp;C$4))</f>
        <v/>
      </c>
      <c r="D33" s="11">
        <f>IF($A33="","",SUMIFS(Assignments!$X$2:$X$769,Assignments!$A$2:$A$769,$A33,Assignments!$G$2:$G$769,"Active",Assignments!$V$2:$V$769,"&lt;="&amp;D$4,Assignments!$W$2:$W$769,"&gt;="&amp;D$4)+SUMIFS(Assignments!$AA$2:$AA$769,Assignments!$A$2:$A$769,$A33,Assignments!$G$2:$G$769,"Active",Assignments!$Y$2:$Y$769,"&lt;="&amp;D$4,Assignments!$Z$2:$Z$769,"&gt;="&amp;D$4))</f>
        <v/>
      </c>
      <c r="E33" s="11">
        <f>IF($A33="","",SUMIFS(Assignments!$X$2:$X$769,Assignments!$A$2:$A$769,$A33,Assignments!$G$2:$G$769,"Active",Assignments!$V$2:$V$769,"&lt;="&amp;E$4,Assignments!$W$2:$W$769,"&gt;="&amp;E$4)+SUMIFS(Assignments!$AA$2:$AA$769,Assignments!$A$2:$A$769,$A33,Assignments!$G$2:$G$769,"Active",Assignments!$Y$2:$Y$769,"&lt;="&amp;E$4,Assignments!$Z$2:$Z$769,"&gt;="&amp;E$4))</f>
        <v/>
      </c>
      <c r="F33" s="11">
        <f>IF($A33="","",SUMIFS(Assignments!$X$2:$X$769,Assignments!$A$2:$A$769,$A33,Assignments!$G$2:$G$769,"Active",Assignments!$V$2:$V$769,"&lt;="&amp;F$4,Assignments!$W$2:$W$769,"&gt;="&amp;F$4)+SUMIFS(Assignments!$AA$2:$AA$769,Assignments!$A$2:$A$769,$A33,Assignments!$G$2:$G$769,"Active",Assignments!$Y$2:$Y$769,"&lt;="&amp;F$4,Assignments!$Z$2:$Z$769,"&gt;="&amp;F$4))</f>
        <v/>
      </c>
      <c r="G33" s="11">
        <f>IF($A33="","",SUMIFS(Assignments!$X$2:$X$769,Assignments!$A$2:$A$769,$A33,Assignments!$G$2:$G$769,"Active",Assignments!$V$2:$V$769,"&lt;="&amp;G$4,Assignments!$W$2:$W$769,"&gt;="&amp;G$4)+SUMIFS(Assignments!$AA$2:$AA$769,Assignments!$A$2:$A$769,$A33,Assignments!$G$2:$G$769,"Active",Assignments!$Y$2:$Y$769,"&lt;="&amp;G$4,Assignments!$Z$2:$Z$769,"&gt;="&amp;G$4))</f>
        <v/>
      </c>
      <c r="H33" s="11">
        <f>IF($A33="","",SUMIFS(Assignments!$X$2:$X$769,Assignments!$A$2:$A$769,$A33,Assignments!$G$2:$G$769,"Active",Assignments!$V$2:$V$769,"&lt;="&amp;H$4,Assignments!$W$2:$W$769,"&gt;="&amp;H$4)+SUMIFS(Assignments!$AA$2:$AA$769,Assignments!$A$2:$A$769,$A33,Assignments!$G$2:$G$769,"Active",Assignments!$Y$2:$Y$769,"&lt;="&amp;H$4,Assignments!$Z$2:$Z$769,"&gt;="&amp;H$4))</f>
        <v/>
      </c>
      <c r="I33" s="11">
        <f>IF($A33="","",SUMIFS(Assignments!$X$2:$X$769,Assignments!$A$2:$A$769,$A33,Assignments!$G$2:$G$769,"Active",Assignments!$V$2:$V$769,"&lt;="&amp;I$4,Assignments!$W$2:$W$769,"&gt;="&amp;I$4)+SUMIFS(Assignments!$AA$2:$AA$769,Assignments!$A$2:$A$769,$A33,Assignments!$G$2:$G$769,"Active",Assignments!$Y$2:$Y$769,"&lt;="&amp;I$4,Assignments!$Z$2:$Z$769,"&gt;="&amp;I$4))</f>
        <v/>
      </c>
      <c r="J33" s="11">
        <f>IF($A33="","",SUMIFS(Assignments!$X$2:$X$769,Assignments!$A$2:$A$769,$A33,Assignments!$G$2:$G$769,"Active",Assignments!$V$2:$V$769,"&lt;="&amp;J$4,Assignments!$W$2:$W$769,"&gt;="&amp;J$4)+SUMIFS(Assignments!$AA$2:$AA$769,Assignments!$A$2:$A$769,$A33,Assignments!$G$2:$G$769,"Active",Assignments!$Y$2:$Y$769,"&lt;="&amp;J$4,Assignments!$Z$2:$Z$769,"&gt;="&amp;J$4))</f>
        <v/>
      </c>
      <c r="K33" s="11">
        <f>IF($A33="","",SUMIFS(Assignments!$X$2:$X$769,Assignments!$A$2:$A$769,$A33,Assignments!$G$2:$G$769,"Active",Assignments!$V$2:$V$769,"&lt;="&amp;K$4,Assignments!$W$2:$W$769,"&gt;="&amp;K$4)+SUMIFS(Assignments!$AA$2:$AA$769,Assignments!$A$2:$A$769,$A33,Assignments!$G$2:$G$769,"Active",Assignments!$Y$2:$Y$769,"&lt;="&amp;K$4,Assignments!$Z$2:$Z$769,"&gt;="&amp;K$4))</f>
        <v/>
      </c>
      <c r="L33" s="11">
        <f>IF($A33="","",SUMIFS(Assignments!$X$2:$X$769,Assignments!$A$2:$A$769,$A33,Assignments!$G$2:$G$769,"Active",Assignments!$V$2:$V$769,"&lt;="&amp;L$4,Assignments!$W$2:$W$769,"&gt;="&amp;L$4)+SUMIFS(Assignments!$AA$2:$AA$769,Assignments!$A$2:$A$769,$A33,Assignments!$G$2:$G$769,"Active",Assignments!$Y$2:$Y$769,"&lt;="&amp;L$4,Assignments!$Z$2:$Z$769,"&gt;="&amp;L$4))</f>
        <v/>
      </c>
      <c r="M33" s="11">
        <f>IF($A33="","",SUMIFS(Assignments!$X$2:$X$769,Assignments!$A$2:$A$769,$A33,Assignments!$G$2:$G$769,"Active",Assignments!$V$2:$V$769,"&lt;="&amp;M$4,Assignments!$W$2:$W$769,"&gt;="&amp;M$4)+SUMIFS(Assignments!$AA$2:$AA$769,Assignments!$A$2:$A$769,$A33,Assignments!$G$2:$G$769,"Active",Assignments!$Y$2:$Y$769,"&lt;="&amp;M$4,Assignments!$Z$2:$Z$769,"&gt;="&amp;M$4))</f>
        <v/>
      </c>
      <c r="N33" s="11">
        <f>IF($A33="","",SUMIFS(Assignments!$X$2:$X$769,Assignments!$A$2:$A$769,$A33,Assignments!$G$2:$G$769,"Active",Assignments!$V$2:$V$769,"&lt;="&amp;N$4,Assignments!$W$2:$W$769,"&gt;="&amp;N$4)+SUMIFS(Assignments!$AA$2:$AA$769,Assignments!$A$2:$A$769,$A33,Assignments!$G$2:$G$769,"Active",Assignments!$Y$2:$Y$769,"&lt;="&amp;N$4,Assignments!$Z$2:$Z$769,"&gt;="&amp;N$4))</f>
        <v/>
      </c>
      <c r="O33" s="11">
        <f>IF($A33="","",SUMIFS(Assignments!$X$2:$X$769,Assignments!$A$2:$A$769,$A33,Assignments!$G$2:$G$769,"Active",Assignments!$V$2:$V$769,"&lt;="&amp;O$4,Assignments!$W$2:$W$769,"&gt;="&amp;O$4)+SUMIFS(Assignments!$AA$2:$AA$769,Assignments!$A$2:$A$769,$A33,Assignments!$G$2:$G$769,"Active",Assignments!$Y$2:$Y$769,"&lt;="&amp;O$4,Assignments!$Z$2:$Z$769,"&gt;="&amp;O$4))</f>
        <v/>
      </c>
      <c r="P33" s="11">
        <f>IF($A33="","",SUMIFS(Assignments!$X$2:$X$769,Assignments!$A$2:$A$769,$A33,Assignments!$G$2:$G$769,"Active",Assignments!$V$2:$V$769,"&lt;="&amp;P$4,Assignments!$W$2:$W$769,"&gt;="&amp;P$4)+SUMIFS(Assignments!$AA$2:$AA$769,Assignments!$A$2:$A$769,$A33,Assignments!$G$2:$G$769,"Active",Assignments!$Y$2:$Y$769,"&lt;="&amp;P$4,Assignments!$Z$2:$Z$769,"&gt;="&amp;P$4))</f>
        <v/>
      </c>
      <c r="Q33" s="11">
        <f>IF($A33="","",SUMIFS(Assignments!$X$2:$X$769,Assignments!$A$2:$A$769,$A33,Assignments!$G$2:$G$769,"Active",Assignments!$V$2:$V$769,"&lt;="&amp;Q$4,Assignments!$W$2:$W$769,"&gt;="&amp;Q$4)+SUMIFS(Assignments!$AA$2:$AA$769,Assignments!$A$2:$A$769,$A33,Assignments!$G$2:$G$769,"Active",Assignments!$Y$2:$Y$769,"&lt;="&amp;Q$4,Assignments!$Z$2:$Z$769,"&gt;="&amp;Q$4))</f>
        <v/>
      </c>
      <c r="R33" s="11">
        <f>IF($A33="","",SUMIFS(Assignments!$X$2:$X$769,Assignments!$A$2:$A$769,$A33,Assignments!$G$2:$G$769,"Active",Assignments!$V$2:$V$769,"&lt;="&amp;R$4,Assignments!$W$2:$W$769,"&gt;="&amp;R$4)+SUMIFS(Assignments!$AA$2:$AA$769,Assignments!$A$2:$A$769,$A33,Assignments!$G$2:$G$769,"Active",Assignments!$Y$2:$Y$769,"&lt;="&amp;R$4,Assignments!$Z$2:$Z$769,"&gt;="&amp;R$4))</f>
        <v/>
      </c>
      <c r="S33" s="11">
        <f>IF($A33="","",SUMIFS(Assignments!$X$2:$X$769,Assignments!$A$2:$A$769,$A33,Assignments!$G$2:$G$769,"Active",Assignments!$V$2:$V$769,"&lt;="&amp;S$4,Assignments!$W$2:$W$769,"&gt;="&amp;S$4)+SUMIFS(Assignments!$AA$2:$AA$769,Assignments!$A$2:$A$769,$A33,Assignments!$G$2:$G$769,"Active",Assignments!$Y$2:$Y$769,"&lt;="&amp;S$4,Assignments!$Z$2:$Z$769,"&gt;="&amp;S$4))</f>
        <v/>
      </c>
      <c r="T33" s="11">
        <f>IF($A33="","",SUMIFS(Assignments!$X$2:$X$769,Assignments!$A$2:$A$769,$A33,Assignments!$G$2:$G$769,"Active",Assignments!$V$2:$V$769,"&lt;="&amp;T$4,Assignments!$W$2:$W$769,"&gt;="&amp;T$4)+SUMIFS(Assignments!$AA$2:$AA$769,Assignments!$A$2:$A$769,$A33,Assignments!$G$2:$G$769,"Active",Assignments!$Y$2:$Y$769,"&lt;="&amp;T$4,Assignments!$Z$2:$Z$769,"&gt;="&amp;T$4))</f>
        <v/>
      </c>
      <c r="U33" s="11">
        <f>IF($A33="","",SUMIFS(Assignments!$X$2:$X$769,Assignments!$A$2:$A$769,$A33,Assignments!$G$2:$G$769,"Active",Assignments!$V$2:$V$769,"&lt;="&amp;U$4,Assignments!$W$2:$W$769,"&gt;="&amp;U$4)+SUMIFS(Assignments!$AA$2:$AA$769,Assignments!$A$2:$A$769,$A33,Assignments!$G$2:$G$769,"Active",Assignments!$Y$2:$Y$769,"&lt;="&amp;U$4,Assignments!$Z$2:$Z$769,"&gt;="&amp;U$4))</f>
        <v/>
      </c>
      <c r="V33" s="11">
        <f>IF($A33="","",SUMIFS(Assignments!$X$2:$X$769,Assignments!$A$2:$A$769,$A33,Assignments!$G$2:$G$769,"Active",Assignments!$V$2:$V$769,"&lt;="&amp;V$4,Assignments!$W$2:$W$769,"&gt;="&amp;V$4)+SUMIFS(Assignments!$AA$2:$AA$769,Assignments!$A$2:$A$769,$A33,Assignments!$G$2:$G$769,"Active",Assignments!$Y$2:$Y$769,"&lt;="&amp;V$4,Assignments!$Z$2:$Z$769,"&gt;="&amp;V$4))</f>
        <v/>
      </c>
      <c r="W33" s="11">
        <f>IF($A33="","",SUMIFS(Assignments!$X$2:$X$769,Assignments!$A$2:$A$769,$A33,Assignments!$G$2:$G$769,"Active",Assignments!$V$2:$V$769,"&lt;="&amp;W$4,Assignments!$W$2:$W$769,"&gt;="&amp;W$4)+SUMIFS(Assignments!$AA$2:$AA$769,Assignments!$A$2:$A$769,$A33,Assignments!$G$2:$G$769,"Active",Assignments!$Y$2:$Y$769,"&lt;="&amp;W$4,Assignments!$Z$2:$Z$769,"&gt;="&amp;W$4))</f>
        <v/>
      </c>
      <c r="X33" s="11">
        <f>IF($A33="","",SUMIFS(Assignments!$X$2:$X$769,Assignments!$A$2:$A$769,$A33,Assignments!$G$2:$G$769,"Active",Assignments!$V$2:$V$769,"&lt;="&amp;X$4,Assignments!$W$2:$W$769,"&gt;="&amp;X$4)+SUMIFS(Assignments!$AA$2:$AA$769,Assignments!$A$2:$A$769,$A33,Assignments!$G$2:$G$769,"Active",Assignments!$Y$2:$Y$769,"&lt;="&amp;X$4,Assignments!$Z$2:$Z$769,"&gt;="&amp;X$4))</f>
        <v/>
      </c>
      <c r="Y33" s="11">
        <f>IF($A33="","",SUMIFS(Assignments!$X$2:$X$769,Assignments!$A$2:$A$769,$A33,Assignments!$G$2:$G$769,"Active",Assignments!$V$2:$V$769,"&lt;="&amp;Y$4,Assignments!$W$2:$W$769,"&gt;="&amp;Y$4)+SUMIFS(Assignments!$AA$2:$AA$769,Assignments!$A$2:$A$769,$A33,Assignments!$G$2:$G$769,"Active",Assignments!$Y$2:$Y$769,"&lt;="&amp;Y$4,Assignments!$Z$2:$Z$769,"&gt;="&amp;Y$4))</f>
        <v/>
      </c>
      <c r="Z33" s="11">
        <f>IF($A33="","",SUMIFS(Assignments!$X$2:$X$769,Assignments!$A$2:$A$769,$A33,Assignments!$G$2:$G$769,"Active",Assignments!$V$2:$V$769,"&lt;="&amp;Z$4,Assignments!$W$2:$W$769,"&gt;="&amp;Z$4)+SUMIFS(Assignments!$AA$2:$AA$769,Assignments!$A$2:$A$769,$A33,Assignments!$G$2:$G$769,"Active",Assignments!$Y$2:$Y$769,"&lt;="&amp;Z$4,Assignments!$Z$2:$Z$769,"&gt;="&amp;Z$4))</f>
        <v/>
      </c>
      <c r="AA33" s="11">
        <f>IF($A33="","",SUMIFS(Assignments!$X$2:$X$769,Assignments!$A$2:$A$769,$A33,Assignments!$G$2:$G$769,"Active",Assignments!$V$2:$V$769,"&lt;="&amp;AA$4,Assignments!$W$2:$W$769,"&gt;="&amp;AA$4)+SUMIFS(Assignments!$AA$2:$AA$769,Assignments!$A$2:$A$769,$A33,Assignments!$G$2:$G$769,"Active",Assignments!$Y$2:$Y$769,"&lt;="&amp;AA$4,Assignments!$Z$2:$Z$769,"&gt;="&amp;AA$4))</f>
        <v/>
      </c>
      <c r="AB33" s="11">
        <f>IF($A33="","",SUMIFS(Assignments!$X$2:$X$769,Assignments!$A$2:$A$769,$A33,Assignments!$G$2:$G$769,"Active",Assignments!$V$2:$V$769,"&lt;="&amp;AB$4,Assignments!$W$2:$W$769,"&gt;="&amp;AB$4)+SUMIFS(Assignments!$AA$2:$AA$769,Assignments!$A$2:$A$769,$A33,Assignments!$G$2:$G$769,"Active",Assignments!$Y$2:$Y$769,"&lt;="&amp;AB$4,Assignments!$Z$2:$Z$769,"&gt;="&amp;AB$4))</f>
        <v/>
      </c>
    </row>
    <row r="34">
      <c r="A34" s="9">
        <f>IF(Roster!$A31="","",Roster!$A31)</f>
        <v/>
      </c>
      <c r="B34" s="10">
        <f>IF($A34="","",IFERROR(INDEX(Roster!$D$2:$D$40,MATCH($A34,Roster!$A$2:$A$40,0)),""))</f>
        <v/>
      </c>
      <c r="C34" s="11">
        <f>IF($A34="","",SUMIFS(Assignments!$X$2:$X$769,Assignments!$A$2:$A$769,$A34,Assignments!$G$2:$G$769,"Active",Assignments!$V$2:$V$769,"&lt;="&amp;C$4,Assignments!$W$2:$W$769,"&gt;="&amp;C$4)+SUMIFS(Assignments!$AA$2:$AA$769,Assignments!$A$2:$A$769,$A34,Assignments!$G$2:$G$769,"Active",Assignments!$Y$2:$Y$769,"&lt;="&amp;C$4,Assignments!$Z$2:$Z$769,"&gt;="&amp;C$4))</f>
        <v/>
      </c>
      <c r="D34" s="11">
        <f>IF($A34="","",SUMIFS(Assignments!$X$2:$X$769,Assignments!$A$2:$A$769,$A34,Assignments!$G$2:$G$769,"Active",Assignments!$V$2:$V$769,"&lt;="&amp;D$4,Assignments!$W$2:$W$769,"&gt;="&amp;D$4)+SUMIFS(Assignments!$AA$2:$AA$769,Assignments!$A$2:$A$769,$A34,Assignments!$G$2:$G$769,"Active",Assignments!$Y$2:$Y$769,"&lt;="&amp;D$4,Assignments!$Z$2:$Z$769,"&gt;="&amp;D$4))</f>
        <v/>
      </c>
      <c r="E34" s="11">
        <f>IF($A34="","",SUMIFS(Assignments!$X$2:$X$769,Assignments!$A$2:$A$769,$A34,Assignments!$G$2:$G$769,"Active",Assignments!$V$2:$V$769,"&lt;="&amp;E$4,Assignments!$W$2:$W$769,"&gt;="&amp;E$4)+SUMIFS(Assignments!$AA$2:$AA$769,Assignments!$A$2:$A$769,$A34,Assignments!$G$2:$G$769,"Active",Assignments!$Y$2:$Y$769,"&lt;="&amp;E$4,Assignments!$Z$2:$Z$769,"&gt;="&amp;E$4))</f>
        <v/>
      </c>
      <c r="F34" s="11">
        <f>IF($A34="","",SUMIFS(Assignments!$X$2:$X$769,Assignments!$A$2:$A$769,$A34,Assignments!$G$2:$G$769,"Active",Assignments!$V$2:$V$769,"&lt;="&amp;F$4,Assignments!$W$2:$W$769,"&gt;="&amp;F$4)+SUMIFS(Assignments!$AA$2:$AA$769,Assignments!$A$2:$A$769,$A34,Assignments!$G$2:$G$769,"Active",Assignments!$Y$2:$Y$769,"&lt;="&amp;F$4,Assignments!$Z$2:$Z$769,"&gt;="&amp;F$4))</f>
        <v/>
      </c>
      <c r="G34" s="11">
        <f>IF($A34="","",SUMIFS(Assignments!$X$2:$X$769,Assignments!$A$2:$A$769,$A34,Assignments!$G$2:$G$769,"Active",Assignments!$V$2:$V$769,"&lt;="&amp;G$4,Assignments!$W$2:$W$769,"&gt;="&amp;G$4)+SUMIFS(Assignments!$AA$2:$AA$769,Assignments!$A$2:$A$769,$A34,Assignments!$G$2:$G$769,"Active",Assignments!$Y$2:$Y$769,"&lt;="&amp;G$4,Assignments!$Z$2:$Z$769,"&gt;="&amp;G$4))</f>
        <v/>
      </c>
      <c r="H34" s="11">
        <f>IF($A34="","",SUMIFS(Assignments!$X$2:$X$769,Assignments!$A$2:$A$769,$A34,Assignments!$G$2:$G$769,"Active",Assignments!$V$2:$V$769,"&lt;="&amp;H$4,Assignments!$W$2:$W$769,"&gt;="&amp;H$4)+SUMIFS(Assignments!$AA$2:$AA$769,Assignments!$A$2:$A$769,$A34,Assignments!$G$2:$G$769,"Active",Assignments!$Y$2:$Y$769,"&lt;="&amp;H$4,Assignments!$Z$2:$Z$769,"&gt;="&amp;H$4))</f>
        <v/>
      </c>
      <c r="I34" s="11">
        <f>IF($A34="","",SUMIFS(Assignments!$X$2:$X$769,Assignments!$A$2:$A$769,$A34,Assignments!$G$2:$G$769,"Active",Assignments!$V$2:$V$769,"&lt;="&amp;I$4,Assignments!$W$2:$W$769,"&gt;="&amp;I$4)+SUMIFS(Assignments!$AA$2:$AA$769,Assignments!$A$2:$A$769,$A34,Assignments!$G$2:$G$769,"Active",Assignments!$Y$2:$Y$769,"&lt;="&amp;I$4,Assignments!$Z$2:$Z$769,"&gt;="&amp;I$4))</f>
        <v/>
      </c>
      <c r="J34" s="11">
        <f>IF($A34="","",SUMIFS(Assignments!$X$2:$X$769,Assignments!$A$2:$A$769,$A34,Assignments!$G$2:$G$769,"Active",Assignments!$V$2:$V$769,"&lt;="&amp;J$4,Assignments!$W$2:$W$769,"&gt;="&amp;J$4)+SUMIFS(Assignments!$AA$2:$AA$769,Assignments!$A$2:$A$769,$A34,Assignments!$G$2:$G$769,"Active",Assignments!$Y$2:$Y$769,"&lt;="&amp;J$4,Assignments!$Z$2:$Z$769,"&gt;="&amp;J$4))</f>
        <v/>
      </c>
      <c r="K34" s="11">
        <f>IF($A34="","",SUMIFS(Assignments!$X$2:$X$769,Assignments!$A$2:$A$769,$A34,Assignments!$G$2:$G$769,"Active",Assignments!$V$2:$V$769,"&lt;="&amp;K$4,Assignments!$W$2:$W$769,"&gt;="&amp;K$4)+SUMIFS(Assignments!$AA$2:$AA$769,Assignments!$A$2:$A$769,$A34,Assignments!$G$2:$G$769,"Active",Assignments!$Y$2:$Y$769,"&lt;="&amp;K$4,Assignments!$Z$2:$Z$769,"&gt;="&amp;K$4))</f>
        <v/>
      </c>
      <c r="L34" s="11">
        <f>IF($A34="","",SUMIFS(Assignments!$X$2:$X$769,Assignments!$A$2:$A$769,$A34,Assignments!$G$2:$G$769,"Active",Assignments!$V$2:$V$769,"&lt;="&amp;L$4,Assignments!$W$2:$W$769,"&gt;="&amp;L$4)+SUMIFS(Assignments!$AA$2:$AA$769,Assignments!$A$2:$A$769,$A34,Assignments!$G$2:$G$769,"Active",Assignments!$Y$2:$Y$769,"&lt;="&amp;L$4,Assignments!$Z$2:$Z$769,"&gt;="&amp;L$4))</f>
        <v/>
      </c>
      <c r="M34" s="11">
        <f>IF($A34="","",SUMIFS(Assignments!$X$2:$X$769,Assignments!$A$2:$A$769,$A34,Assignments!$G$2:$G$769,"Active",Assignments!$V$2:$V$769,"&lt;="&amp;M$4,Assignments!$W$2:$W$769,"&gt;="&amp;M$4)+SUMIFS(Assignments!$AA$2:$AA$769,Assignments!$A$2:$A$769,$A34,Assignments!$G$2:$G$769,"Active",Assignments!$Y$2:$Y$769,"&lt;="&amp;M$4,Assignments!$Z$2:$Z$769,"&gt;="&amp;M$4))</f>
        <v/>
      </c>
      <c r="N34" s="11">
        <f>IF($A34="","",SUMIFS(Assignments!$X$2:$X$769,Assignments!$A$2:$A$769,$A34,Assignments!$G$2:$G$769,"Active",Assignments!$V$2:$V$769,"&lt;="&amp;N$4,Assignments!$W$2:$W$769,"&gt;="&amp;N$4)+SUMIFS(Assignments!$AA$2:$AA$769,Assignments!$A$2:$A$769,$A34,Assignments!$G$2:$G$769,"Active",Assignments!$Y$2:$Y$769,"&lt;="&amp;N$4,Assignments!$Z$2:$Z$769,"&gt;="&amp;N$4))</f>
        <v/>
      </c>
      <c r="O34" s="11">
        <f>IF($A34="","",SUMIFS(Assignments!$X$2:$X$769,Assignments!$A$2:$A$769,$A34,Assignments!$G$2:$G$769,"Active",Assignments!$V$2:$V$769,"&lt;="&amp;O$4,Assignments!$W$2:$W$769,"&gt;="&amp;O$4)+SUMIFS(Assignments!$AA$2:$AA$769,Assignments!$A$2:$A$769,$A34,Assignments!$G$2:$G$769,"Active",Assignments!$Y$2:$Y$769,"&lt;="&amp;O$4,Assignments!$Z$2:$Z$769,"&gt;="&amp;O$4))</f>
        <v/>
      </c>
      <c r="P34" s="11">
        <f>IF($A34="","",SUMIFS(Assignments!$X$2:$X$769,Assignments!$A$2:$A$769,$A34,Assignments!$G$2:$G$769,"Active",Assignments!$V$2:$V$769,"&lt;="&amp;P$4,Assignments!$W$2:$W$769,"&gt;="&amp;P$4)+SUMIFS(Assignments!$AA$2:$AA$769,Assignments!$A$2:$A$769,$A34,Assignments!$G$2:$G$769,"Active",Assignments!$Y$2:$Y$769,"&lt;="&amp;P$4,Assignments!$Z$2:$Z$769,"&gt;="&amp;P$4))</f>
        <v/>
      </c>
      <c r="Q34" s="11">
        <f>IF($A34="","",SUMIFS(Assignments!$X$2:$X$769,Assignments!$A$2:$A$769,$A34,Assignments!$G$2:$G$769,"Active",Assignments!$V$2:$V$769,"&lt;="&amp;Q$4,Assignments!$W$2:$W$769,"&gt;="&amp;Q$4)+SUMIFS(Assignments!$AA$2:$AA$769,Assignments!$A$2:$A$769,$A34,Assignments!$G$2:$G$769,"Active",Assignments!$Y$2:$Y$769,"&lt;="&amp;Q$4,Assignments!$Z$2:$Z$769,"&gt;="&amp;Q$4))</f>
        <v/>
      </c>
      <c r="R34" s="11">
        <f>IF($A34="","",SUMIFS(Assignments!$X$2:$X$769,Assignments!$A$2:$A$769,$A34,Assignments!$G$2:$G$769,"Active",Assignments!$V$2:$V$769,"&lt;="&amp;R$4,Assignments!$W$2:$W$769,"&gt;="&amp;R$4)+SUMIFS(Assignments!$AA$2:$AA$769,Assignments!$A$2:$A$769,$A34,Assignments!$G$2:$G$769,"Active",Assignments!$Y$2:$Y$769,"&lt;="&amp;R$4,Assignments!$Z$2:$Z$769,"&gt;="&amp;R$4))</f>
        <v/>
      </c>
      <c r="S34" s="11">
        <f>IF($A34="","",SUMIFS(Assignments!$X$2:$X$769,Assignments!$A$2:$A$769,$A34,Assignments!$G$2:$G$769,"Active",Assignments!$V$2:$V$769,"&lt;="&amp;S$4,Assignments!$W$2:$W$769,"&gt;="&amp;S$4)+SUMIFS(Assignments!$AA$2:$AA$769,Assignments!$A$2:$A$769,$A34,Assignments!$G$2:$G$769,"Active",Assignments!$Y$2:$Y$769,"&lt;="&amp;S$4,Assignments!$Z$2:$Z$769,"&gt;="&amp;S$4))</f>
        <v/>
      </c>
      <c r="T34" s="11">
        <f>IF($A34="","",SUMIFS(Assignments!$X$2:$X$769,Assignments!$A$2:$A$769,$A34,Assignments!$G$2:$G$769,"Active",Assignments!$V$2:$V$769,"&lt;="&amp;T$4,Assignments!$W$2:$W$769,"&gt;="&amp;T$4)+SUMIFS(Assignments!$AA$2:$AA$769,Assignments!$A$2:$A$769,$A34,Assignments!$G$2:$G$769,"Active",Assignments!$Y$2:$Y$769,"&lt;="&amp;T$4,Assignments!$Z$2:$Z$769,"&gt;="&amp;T$4))</f>
        <v/>
      </c>
      <c r="U34" s="11">
        <f>IF($A34="","",SUMIFS(Assignments!$X$2:$X$769,Assignments!$A$2:$A$769,$A34,Assignments!$G$2:$G$769,"Active",Assignments!$V$2:$V$769,"&lt;="&amp;U$4,Assignments!$W$2:$W$769,"&gt;="&amp;U$4)+SUMIFS(Assignments!$AA$2:$AA$769,Assignments!$A$2:$A$769,$A34,Assignments!$G$2:$G$769,"Active",Assignments!$Y$2:$Y$769,"&lt;="&amp;U$4,Assignments!$Z$2:$Z$769,"&gt;="&amp;U$4))</f>
        <v/>
      </c>
      <c r="V34" s="11">
        <f>IF($A34="","",SUMIFS(Assignments!$X$2:$X$769,Assignments!$A$2:$A$769,$A34,Assignments!$G$2:$G$769,"Active",Assignments!$V$2:$V$769,"&lt;="&amp;V$4,Assignments!$W$2:$W$769,"&gt;="&amp;V$4)+SUMIFS(Assignments!$AA$2:$AA$769,Assignments!$A$2:$A$769,$A34,Assignments!$G$2:$G$769,"Active",Assignments!$Y$2:$Y$769,"&lt;="&amp;V$4,Assignments!$Z$2:$Z$769,"&gt;="&amp;V$4))</f>
        <v/>
      </c>
      <c r="W34" s="11">
        <f>IF($A34="","",SUMIFS(Assignments!$X$2:$X$769,Assignments!$A$2:$A$769,$A34,Assignments!$G$2:$G$769,"Active",Assignments!$V$2:$V$769,"&lt;="&amp;W$4,Assignments!$W$2:$W$769,"&gt;="&amp;W$4)+SUMIFS(Assignments!$AA$2:$AA$769,Assignments!$A$2:$A$769,$A34,Assignments!$G$2:$G$769,"Active",Assignments!$Y$2:$Y$769,"&lt;="&amp;W$4,Assignments!$Z$2:$Z$769,"&gt;="&amp;W$4))</f>
        <v/>
      </c>
      <c r="X34" s="11">
        <f>IF($A34="","",SUMIFS(Assignments!$X$2:$X$769,Assignments!$A$2:$A$769,$A34,Assignments!$G$2:$G$769,"Active",Assignments!$V$2:$V$769,"&lt;="&amp;X$4,Assignments!$W$2:$W$769,"&gt;="&amp;X$4)+SUMIFS(Assignments!$AA$2:$AA$769,Assignments!$A$2:$A$769,$A34,Assignments!$G$2:$G$769,"Active",Assignments!$Y$2:$Y$769,"&lt;="&amp;X$4,Assignments!$Z$2:$Z$769,"&gt;="&amp;X$4))</f>
        <v/>
      </c>
      <c r="Y34" s="11">
        <f>IF($A34="","",SUMIFS(Assignments!$X$2:$X$769,Assignments!$A$2:$A$769,$A34,Assignments!$G$2:$G$769,"Active",Assignments!$V$2:$V$769,"&lt;="&amp;Y$4,Assignments!$W$2:$W$769,"&gt;="&amp;Y$4)+SUMIFS(Assignments!$AA$2:$AA$769,Assignments!$A$2:$A$769,$A34,Assignments!$G$2:$G$769,"Active",Assignments!$Y$2:$Y$769,"&lt;="&amp;Y$4,Assignments!$Z$2:$Z$769,"&gt;="&amp;Y$4))</f>
        <v/>
      </c>
      <c r="Z34" s="11">
        <f>IF($A34="","",SUMIFS(Assignments!$X$2:$X$769,Assignments!$A$2:$A$769,$A34,Assignments!$G$2:$G$769,"Active",Assignments!$V$2:$V$769,"&lt;="&amp;Z$4,Assignments!$W$2:$W$769,"&gt;="&amp;Z$4)+SUMIFS(Assignments!$AA$2:$AA$769,Assignments!$A$2:$A$769,$A34,Assignments!$G$2:$G$769,"Active",Assignments!$Y$2:$Y$769,"&lt;="&amp;Z$4,Assignments!$Z$2:$Z$769,"&gt;="&amp;Z$4))</f>
        <v/>
      </c>
      <c r="AA34" s="11">
        <f>IF($A34="","",SUMIFS(Assignments!$X$2:$X$769,Assignments!$A$2:$A$769,$A34,Assignments!$G$2:$G$769,"Active",Assignments!$V$2:$V$769,"&lt;="&amp;AA$4,Assignments!$W$2:$W$769,"&gt;="&amp;AA$4)+SUMIFS(Assignments!$AA$2:$AA$769,Assignments!$A$2:$A$769,$A34,Assignments!$G$2:$G$769,"Active",Assignments!$Y$2:$Y$769,"&lt;="&amp;AA$4,Assignments!$Z$2:$Z$769,"&gt;="&amp;AA$4))</f>
        <v/>
      </c>
      <c r="AB34" s="11">
        <f>IF($A34="","",SUMIFS(Assignments!$X$2:$X$769,Assignments!$A$2:$A$769,$A34,Assignments!$G$2:$G$769,"Active",Assignments!$V$2:$V$769,"&lt;="&amp;AB$4,Assignments!$W$2:$W$769,"&gt;="&amp;AB$4)+SUMIFS(Assignments!$AA$2:$AA$769,Assignments!$A$2:$A$769,$A34,Assignments!$G$2:$G$769,"Active",Assignments!$Y$2:$Y$769,"&lt;="&amp;AB$4,Assignments!$Z$2:$Z$769,"&gt;="&amp;AB$4))</f>
        <v/>
      </c>
    </row>
    <row r="35">
      <c r="A35" s="9">
        <f>IF(Roster!$A32="","",Roster!$A32)</f>
        <v/>
      </c>
      <c r="B35" s="10">
        <f>IF($A35="","",IFERROR(INDEX(Roster!$D$2:$D$40,MATCH($A35,Roster!$A$2:$A$40,0)),""))</f>
        <v/>
      </c>
      <c r="C35" s="11">
        <f>IF($A35="","",SUMIFS(Assignments!$X$2:$X$769,Assignments!$A$2:$A$769,$A35,Assignments!$G$2:$G$769,"Active",Assignments!$V$2:$V$769,"&lt;="&amp;C$4,Assignments!$W$2:$W$769,"&gt;="&amp;C$4)+SUMIFS(Assignments!$AA$2:$AA$769,Assignments!$A$2:$A$769,$A35,Assignments!$G$2:$G$769,"Active",Assignments!$Y$2:$Y$769,"&lt;="&amp;C$4,Assignments!$Z$2:$Z$769,"&gt;="&amp;C$4))</f>
        <v/>
      </c>
      <c r="D35" s="11">
        <f>IF($A35="","",SUMIFS(Assignments!$X$2:$X$769,Assignments!$A$2:$A$769,$A35,Assignments!$G$2:$G$769,"Active",Assignments!$V$2:$V$769,"&lt;="&amp;D$4,Assignments!$W$2:$W$769,"&gt;="&amp;D$4)+SUMIFS(Assignments!$AA$2:$AA$769,Assignments!$A$2:$A$769,$A35,Assignments!$G$2:$G$769,"Active",Assignments!$Y$2:$Y$769,"&lt;="&amp;D$4,Assignments!$Z$2:$Z$769,"&gt;="&amp;D$4))</f>
        <v/>
      </c>
      <c r="E35" s="11">
        <f>IF($A35="","",SUMIFS(Assignments!$X$2:$X$769,Assignments!$A$2:$A$769,$A35,Assignments!$G$2:$G$769,"Active",Assignments!$V$2:$V$769,"&lt;="&amp;E$4,Assignments!$W$2:$W$769,"&gt;="&amp;E$4)+SUMIFS(Assignments!$AA$2:$AA$769,Assignments!$A$2:$A$769,$A35,Assignments!$G$2:$G$769,"Active",Assignments!$Y$2:$Y$769,"&lt;="&amp;E$4,Assignments!$Z$2:$Z$769,"&gt;="&amp;E$4))</f>
        <v/>
      </c>
      <c r="F35" s="11">
        <f>IF($A35="","",SUMIFS(Assignments!$X$2:$X$769,Assignments!$A$2:$A$769,$A35,Assignments!$G$2:$G$769,"Active",Assignments!$V$2:$V$769,"&lt;="&amp;F$4,Assignments!$W$2:$W$769,"&gt;="&amp;F$4)+SUMIFS(Assignments!$AA$2:$AA$769,Assignments!$A$2:$A$769,$A35,Assignments!$G$2:$G$769,"Active",Assignments!$Y$2:$Y$769,"&lt;="&amp;F$4,Assignments!$Z$2:$Z$769,"&gt;="&amp;F$4))</f>
        <v/>
      </c>
      <c r="G35" s="11">
        <f>IF($A35="","",SUMIFS(Assignments!$X$2:$X$769,Assignments!$A$2:$A$769,$A35,Assignments!$G$2:$G$769,"Active",Assignments!$V$2:$V$769,"&lt;="&amp;G$4,Assignments!$W$2:$W$769,"&gt;="&amp;G$4)+SUMIFS(Assignments!$AA$2:$AA$769,Assignments!$A$2:$A$769,$A35,Assignments!$G$2:$G$769,"Active",Assignments!$Y$2:$Y$769,"&lt;="&amp;G$4,Assignments!$Z$2:$Z$769,"&gt;="&amp;G$4))</f>
        <v/>
      </c>
      <c r="H35" s="11">
        <f>IF($A35="","",SUMIFS(Assignments!$X$2:$X$769,Assignments!$A$2:$A$769,$A35,Assignments!$G$2:$G$769,"Active",Assignments!$V$2:$V$769,"&lt;="&amp;H$4,Assignments!$W$2:$W$769,"&gt;="&amp;H$4)+SUMIFS(Assignments!$AA$2:$AA$769,Assignments!$A$2:$A$769,$A35,Assignments!$G$2:$G$769,"Active",Assignments!$Y$2:$Y$769,"&lt;="&amp;H$4,Assignments!$Z$2:$Z$769,"&gt;="&amp;H$4))</f>
        <v/>
      </c>
      <c r="I35" s="11">
        <f>IF($A35="","",SUMIFS(Assignments!$X$2:$X$769,Assignments!$A$2:$A$769,$A35,Assignments!$G$2:$G$769,"Active",Assignments!$V$2:$V$769,"&lt;="&amp;I$4,Assignments!$W$2:$W$769,"&gt;="&amp;I$4)+SUMIFS(Assignments!$AA$2:$AA$769,Assignments!$A$2:$A$769,$A35,Assignments!$G$2:$G$769,"Active",Assignments!$Y$2:$Y$769,"&lt;="&amp;I$4,Assignments!$Z$2:$Z$769,"&gt;="&amp;I$4))</f>
        <v/>
      </c>
      <c r="J35" s="11">
        <f>IF($A35="","",SUMIFS(Assignments!$X$2:$X$769,Assignments!$A$2:$A$769,$A35,Assignments!$G$2:$G$769,"Active",Assignments!$V$2:$V$769,"&lt;="&amp;J$4,Assignments!$W$2:$W$769,"&gt;="&amp;J$4)+SUMIFS(Assignments!$AA$2:$AA$769,Assignments!$A$2:$A$769,$A35,Assignments!$G$2:$G$769,"Active",Assignments!$Y$2:$Y$769,"&lt;="&amp;J$4,Assignments!$Z$2:$Z$769,"&gt;="&amp;J$4))</f>
        <v/>
      </c>
      <c r="K35" s="11">
        <f>IF($A35="","",SUMIFS(Assignments!$X$2:$X$769,Assignments!$A$2:$A$769,$A35,Assignments!$G$2:$G$769,"Active",Assignments!$V$2:$V$769,"&lt;="&amp;K$4,Assignments!$W$2:$W$769,"&gt;="&amp;K$4)+SUMIFS(Assignments!$AA$2:$AA$769,Assignments!$A$2:$A$769,$A35,Assignments!$G$2:$G$769,"Active",Assignments!$Y$2:$Y$769,"&lt;="&amp;K$4,Assignments!$Z$2:$Z$769,"&gt;="&amp;K$4))</f>
        <v/>
      </c>
      <c r="L35" s="11">
        <f>IF($A35="","",SUMIFS(Assignments!$X$2:$X$769,Assignments!$A$2:$A$769,$A35,Assignments!$G$2:$G$769,"Active",Assignments!$V$2:$V$769,"&lt;="&amp;L$4,Assignments!$W$2:$W$769,"&gt;="&amp;L$4)+SUMIFS(Assignments!$AA$2:$AA$769,Assignments!$A$2:$A$769,$A35,Assignments!$G$2:$G$769,"Active",Assignments!$Y$2:$Y$769,"&lt;="&amp;L$4,Assignments!$Z$2:$Z$769,"&gt;="&amp;L$4))</f>
        <v/>
      </c>
      <c r="M35" s="11">
        <f>IF($A35="","",SUMIFS(Assignments!$X$2:$X$769,Assignments!$A$2:$A$769,$A35,Assignments!$G$2:$G$769,"Active",Assignments!$V$2:$V$769,"&lt;="&amp;M$4,Assignments!$W$2:$W$769,"&gt;="&amp;M$4)+SUMIFS(Assignments!$AA$2:$AA$769,Assignments!$A$2:$A$769,$A35,Assignments!$G$2:$G$769,"Active",Assignments!$Y$2:$Y$769,"&lt;="&amp;M$4,Assignments!$Z$2:$Z$769,"&gt;="&amp;M$4))</f>
        <v/>
      </c>
      <c r="N35" s="11">
        <f>IF($A35="","",SUMIFS(Assignments!$X$2:$X$769,Assignments!$A$2:$A$769,$A35,Assignments!$G$2:$G$769,"Active",Assignments!$V$2:$V$769,"&lt;="&amp;N$4,Assignments!$W$2:$W$769,"&gt;="&amp;N$4)+SUMIFS(Assignments!$AA$2:$AA$769,Assignments!$A$2:$A$769,$A35,Assignments!$G$2:$G$769,"Active",Assignments!$Y$2:$Y$769,"&lt;="&amp;N$4,Assignments!$Z$2:$Z$769,"&gt;="&amp;N$4))</f>
        <v/>
      </c>
      <c r="O35" s="11">
        <f>IF($A35="","",SUMIFS(Assignments!$X$2:$X$769,Assignments!$A$2:$A$769,$A35,Assignments!$G$2:$G$769,"Active",Assignments!$V$2:$V$769,"&lt;="&amp;O$4,Assignments!$W$2:$W$769,"&gt;="&amp;O$4)+SUMIFS(Assignments!$AA$2:$AA$769,Assignments!$A$2:$A$769,$A35,Assignments!$G$2:$G$769,"Active",Assignments!$Y$2:$Y$769,"&lt;="&amp;O$4,Assignments!$Z$2:$Z$769,"&gt;="&amp;O$4))</f>
        <v/>
      </c>
      <c r="P35" s="11">
        <f>IF($A35="","",SUMIFS(Assignments!$X$2:$X$769,Assignments!$A$2:$A$769,$A35,Assignments!$G$2:$G$769,"Active",Assignments!$V$2:$V$769,"&lt;="&amp;P$4,Assignments!$W$2:$W$769,"&gt;="&amp;P$4)+SUMIFS(Assignments!$AA$2:$AA$769,Assignments!$A$2:$A$769,$A35,Assignments!$G$2:$G$769,"Active",Assignments!$Y$2:$Y$769,"&lt;="&amp;P$4,Assignments!$Z$2:$Z$769,"&gt;="&amp;P$4))</f>
        <v/>
      </c>
      <c r="Q35" s="11">
        <f>IF($A35="","",SUMIFS(Assignments!$X$2:$X$769,Assignments!$A$2:$A$769,$A35,Assignments!$G$2:$G$769,"Active",Assignments!$V$2:$V$769,"&lt;="&amp;Q$4,Assignments!$W$2:$W$769,"&gt;="&amp;Q$4)+SUMIFS(Assignments!$AA$2:$AA$769,Assignments!$A$2:$A$769,$A35,Assignments!$G$2:$G$769,"Active",Assignments!$Y$2:$Y$769,"&lt;="&amp;Q$4,Assignments!$Z$2:$Z$769,"&gt;="&amp;Q$4))</f>
        <v/>
      </c>
      <c r="R35" s="11">
        <f>IF($A35="","",SUMIFS(Assignments!$X$2:$X$769,Assignments!$A$2:$A$769,$A35,Assignments!$G$2:$G$769,"Active",Assignments!$V$2:$V$769,"&lt;="&amp;R$4,Assignments!$W$2:$W$769,"&gt;="&amp;R$4)+SUMIFS(Assignments!$AA$2:$AA$769,Assignments!$A$2:$A$769,$A35,Assignments!$G$2:$G$769,"Active",Assignments!$Y$2:$Y$769,"&lt;="&amp;R$4,Assignments!$Z$2:$Z$769,"&gt;="&amp;R$4))</f>
        <v/>
      </c>
      <c r="S35" s="11">
        <f>IF($A35="","",SUMIFS(Assignments!$X$2:$X$769,Assignments!$A$2:$A$769,$A35,Assignments!$G$2:$G$769,"Active",Assignments!$V$2:$V$769,"&lt;="&amp;S$4,Assignments!$W$2:$W$769,"&gt;="&amp;S$4)+SUMIFS(Assignments!$AA$2:$AA$769,Assignments!$A$2:$A$769,$A35,Assignments!$G$2:$G$769,"Active",Assignments!$Y$2:$Y$769,"&lt;="&amp;S$4,Assignments!$Z$2:$Z$769,"&gt;="&amp;S$4))</f>
        <v/>
      </c>
      <c r="T35" s="11">
        <f>IF($A35="","",SUMIFS(Assignments!$X$2:$X$769,Assignments!$A$2:$A$769,$A35,Assignments!$G$2:$G$769,"Active",Assignments!$V$2:$V$769,"&lt;="&amp;T$4,Assignments!$W$2:$W$769,"&gt;="&amp;T$4)+SUMIFS(Assignments!$AA$2:$AA$769,Assignments!$A$2:$A$769,$A35,Assignments!$G$2:$G$769,"Active",Assignments!$Y$2:$Y$769,"&lt;="&amp;T$4,Assignments!$Z$2:$Z$769,"&gt;="&amp;T$4))</f>
        <v/>
      </c>
      <c r="U35" s="11">
        <f>IF($A35="","",SUMIFS(Assignments!$X$2:$X$769,Assignments!$A$2:$A$769,$A35,Assignments!$G$2:$G$769,"Active",Assignments!$V$2:$V$769,"&lt;="&amp;U$4,Assignments!$W$2:$W$769,"&gt;="&amp;U$4)+SUMIFS(Assignments!$AA$2:$AA$769,Assignments!$A$2:$A$769,$A35,Assignments!$G$2:$G$769,"Active",Assignments!$Y$2:$Y$769,"&lt;="&amp;U$4,Assignments!$Z$2:$Z$769,"&gt;="&amp;U$4))</f>
        <v/>
      </c>
      <c r="V35" s="11">
        <f>IF($A35="","",SUMIFS(Assignments!$X$2:$X$769,Assignments!$A$2:$A$769,$A35,Assignments!$G$2:$G$769,"Active",Assignments!$V$2:$V$769,"&lt;="&amp;V$4,Assignments!$W$2:$W$769,"&gt;="&amp;V$4)+SUMIFS(Assignments!$AA$2:$AA$769,Assignments!$A$2:$A$769,$A35,Assignments!$G$2:$G$769,"Active",Assignments!$Y$2:$Y$769,"&lt;="&amp;V$4,Assignments!$Z$2:$Z$769,"&gt;="&amp;V$4))</f>
        <v/>
      </c>
      <c r="W35" s="11">
        <f>IF($A35="","",SUMIFS(Assignments!$X$2:$X$769,Assignments!$A$2:$A$769,$A35,Assignments!$G$2:$G$769,"Active",Assignments!$V$2:$V$769,"&lt;="&amp;W$4,Assignments!$W$2:$W$769,"&gt;="&amp;W$4)+SUMIFS(Assignments!$AA$2:$AA$769,Assignments!$A$2:$A$769,$A35,Assignments!$G$2:$G$769,"Active",Assignments!$Y$2:$Y$769,"&lt;="&amp;W$4,Assignments!$Z$2:$Z$769,"&gt;="&amp;W$4))</f>
        <v/>
      </c>
      <c r="X35" s="11">
        <f>IF($A35="","",SUMIFS(Assignments!$X$2:$X$769,Assignments!$A$2:$A$769,$A35,Assignments!$G$2:$G$769,"Active",Assignments!$V$2:$V$769,"&lt;="&amp;X$4,Assignments!$W$2:$W$769,"&gt;="&amp;X$4)+SUMIFS(Assignments!$AA$2:$AA$769,Assignments!$A$2:$A$769,$A35,Assignments!$G$2:$G$769,"Active",Assignments!$Y$2:$Y$769,"&lt;="&amp;X$4,Assignments!$Z$2:$Z$769,"&gt;="&amp;X$4))</f>
        <v/>
      </c>
      <c r="Y35" s="11">
        <f>IF($A35="","",SUMIFS(Assignments!$X$2:$X$769,Assignments!$A$2:$A$769,$A35,Assignments!$G$2:$G$769,"Active",Assignments!$V$2:$V$769,"&lt;="&amp;Y$4,Assignments!$W$2:$W$769,"&gt;="&amp;Y$4)+SUMIFS(Assignments!$AA$2:$AA$769,Assignments!$A$2:$A$769,$A35,Assignments!$G$2:$G$769,"Active",Assignments!$Y$2:$Y$769,"&lt;="&amp;Y$4,Assignments!$Z$2:$Z$769,"&gt;="&amp;Y$4))</f>
        <v/>
      </c>
      <c r="Z35" s="11">
        <f>IF($A35="","",SUMIFS(Assignments!$X$2:$X$769,Assignments!$A$2:$A$769,$A35,Assignments!$G$2:$G$769,"Active",Assignments!$V$2:$V$769,"&lt;="&amp;Z$4,Assignments!$W$2:$W$769,"&gt;="&amp;Z$4)+SUMIFS(Assignments!$AA$2:$AA$769,Assignments!$A$2:$A$769,$A35,Assignments!$G$2:$G$769,"Active",Assignments!$Y$2:$Y$769,"&lt;="&amp;Z$4,Assignments!$Z$2:$Z$769,"&gt;="&amp;Z$4))</f>
        <v/>
      </c>
      <c r="AA35" s="11">
        <f>IF($A35="","",SUMIFS(Assignments!$X$2:$X$769,Assignments!$A$2:$A$769,$A35,Assignments!$G$2:$G$769,"Active",Assignments!$V$2:$V$769,"&lt;="&amp;AA$4,Assignments!$W$2:$W$769,"&gt;="&amp;AA$4)+SUMIFS(Assignments!$AA$2:$AA$769,Assignments!$A$2:$A$769,$A35,Assignments!$G$2:$G$769,"Active",Assignments!$Y$2:$Y$769,"&lt;="&amp;AA$4,Assignments!$Z$2:$Z$769,"&gt;="&amp;AA$4))</f>
        <v/>
      </c>
      <c r="AB35" s="11">
        <f>IF($A35="","",SUMIFS(Assignments!$X$2:$X$769,Assignments!$A$2:$A$769,$A35,Assignments!$G$2:$G$769,"Active",Assignments!$V$2:$V$769,"&lt;="&amp;AB$4,Assignments!$W$2:$W$769,"&gt;="&amp;AB$4)+SUMIFS(Assignments!$AA$2:$AA$769,Assignments!$A$2:$A$769,$A35,Assignments!$G$2:$G$769,"Active",Assignments!$Y$2:$Y$769,"&lt;="&amp;AB$4,Assignments!$Z$2:$Z$769,"&gt;="&amp;AB$4))</f>
        <v/>
      </c>
    </row>
    <row r="36">
      <c r="A36" s="9">
        <f>IF(Roster!$A33="","",Roster!$A33)</f>
        <v/>
      </c>
      <c r="B36" s="10">
        <f>IF($A36="","",IFERROR(INDEX(Roster!$D$2:$D$40,MATCH($A36,Roster!$A$2:$A$40,0)),""))</f>
        <v/>
      </c>
      <c r="C36" s="11">
        <f>IF($A36="","",SUMIFS(Assignments!$X$2:$X$769,Assignments!$A$2:$A$769,$A36,Assignments!$G$2:$G$769,"Active",Assignments!$V$2:$V$769,"&lt;="&amp;C$4,Assignments!$W$2:$W$769,"&gt;="&amp;C$4)+SUMIFS(Assignments!$AA$2:$AA$769,Assignments!$A$2:$A$769,$A36,Assignments!$G$2:$G$769,"Active",Assignments!$Y$2:$Y$769,"&lt;="&amp;C$4,Assignments!$Z$2:$Z$769,"&gt;="&amp;C$4))</f>
        <v/>
      </c>
      <c r="D36" s="11">
        <f>IF($A36="","",SUMIFS(Assignments!$X$2:$X$769,Assignments!$A$2:$A$769,$A36,Assignments!$G$2:$G$769,"Active",Assignments!$V$2:$V$769,"&lt;="&amp;D$4,Assignments!$W$2:$W$769,"&gt;="&amp;D$4)+SUMIFS(Assignments!$AA$2:$AA$769,Assignments!$A$2:$A$769,$A36,Assignments!$G$2:$G$769,"Active",Assignments!$Y$2:$Y$769,"&lt;="&amp;D$4,Assignments!$Z$2:$Z$769,"&gt;="&amp;D$4))</f>
        <v/>
      </c>
      <c r="E36" s="11">
        <f>IF($A36="","",SUMIFS(Assignments!$X$2:$X$769,Assignments!$A$2:$A$769,$A36,Assignments!$G$2:$G$769,"Active",Assignments!$V$2:$V$769,"&lt;="&amp;E$4,Assignments!$W$2:$W$769,"&gt;="&amp;E$4)+SUMIFS(Assignments!$AA$2:$AA$769,Assignments!$A$2:$A$769,$A36,Assignments!$G$2:$G$769,"Active",Assignments!$Y$2:$Y$769,"&lt;="&amp;E$4,Assignments!$Z$2:$Z$769,"&gt;="&amp;E$4))</f>
        <v/>
      </c>
      <c r="F36" s="11">
        <f>IF($A36="","",SUMIFS(Assignments!$X$2:$X$769,Assignments!$A$2:$A$769,$A36,Assignments!$G$2:$G$769,"Active",Assignments!$V$2:$V$769,"&lt;="&amp;F$4,Assignments!$W$2:$W$769,"&gt;="&amp;F$4)+SUMIFS(Assignments!$AA$2:$AA$769,Assignments!$A$2:$A$769,$A36,Assignments!$G$2:$G$769,"Active",Assignments!$Y$2:$Y$769,"&lt;="&amp;F$4,Assignments!$Z$2:$Z$769,"&gt;="&amp;F$4))</f>
        <v/>
      </c>
      <c r="G36" s="11">
        <f>IF($A36="","",SUMIFS(Assignments!$X$2:$X$769,Assignments!$A$2:$A$769,$A36,Assignments!$G$2:$G$769,"Active",Assignments!$V$2:$V$769,"&lt;="&amp;G$4,Assignments!$W$2:$W$769,"&gt;="&amp;G$4)+SUMIFS(Assignments!$AA$2:$AA$769,Assignments!$A$2:$A$769,$A36,Assignments!$G$2:$G$769,"Active",Assignments!$Y$2:$Y$769,"&lt;="&amp;G$4,Assignments!$Z$2:$Z$769,"&gt;="&amp;G$4))</f>
        <v/>
      </c>
      <c r="H36" s="11">
        <f>IF($A36="","",SUMIFS(Assignments!$X$2:$X$769,Assignments!$A$2:$A$769,$A36,Assignments!$G$2:$G$769,"Active",Assignments!$V$2:$V$769,"&lt;="&amp;H$4,Assignments!$W$2:$W$769,"&gt;="&amp;H$4)+SUMIFS(Assignments!$AA$2:$AA$769,Assignments!$A$2:$A$769,$A36,Assignments!$G$2:$G$769,"Active",Assignments!$Y$2:$Y$769,"&lt;="&amp;H$4,Assignments!$Z$2:$Z$769,"&gt;="&amp;H$4))</f>
        <v/>
      </c>
      <c r="I36" s="11">
        <f>IF($A36="","",SUMIFS(Assignments!$X$2:$X$769,Assignments!$A$2:$A$769,$A36,Assignments!$G$2:$G$769,"Active",Assignments!$V$2:$V$769,"&lt;="&amp;I$4,Assignments!$W$2:$W$769,"&gt;="&amp;I$4)+SUMIFS(Assignments!$AA$2:$AA$769,Assignments!$A$2:$A$769,$A36,Assignments!$G$2:$G$769,"Active",Assignments!$Y$2:$Y$769,"&lt;="&amp;I$4,Assignments!$Z$2:$Z$769,"&gt;="&amp;I$4))</f>
        <v/>
      </c>
      <c r="J36" s="11">
        <f>IF($A36="","",SUMIFS(Assignments!$X$2:$X$769,Assignments!$A$2:$A$769,$A36,Assignments!$G$2:$G$769,"Active",Assignments!$V$2:$V$769,"&lt;="&amp;J$4,Assignments!$W$2:$W$769,"&gt;="&amp;J$4)+SUMIFS(Assignments!$AA$2:$AA$769,Assignments!$A$2:$A$769,$A36,Assignments!$G$2:$G$769,"Active",Assignments!$Y$2:$Y$769,"&lt;="&amp;J$4,Assignments!$Z$2:$Z$769,"&gt;="&amp;J$4))</f>
        <v/>
      </c>
      <c r="K36" s="11">
        <f>IF($A36="","",SUMIFS(Assignments!$X$2:$X$769,Assignments!$A$2:$A$769,$A36,Assignments!$G$2:$G$769,"Active",Assignments!$V$2:$V$769,"&lt;="&amp;K$4,Assignments!$W$2:$W$769,"&gt;="&amp;K$4)+SUMIFS(Assignments!$AA$2:$AA$769,Assignments!$A$2:$A$769,$A36,Assignments!$G$2:$G$769,"Active",Assignments!$Y$2:$Y$769,"&lt;="&amp;K$4,Assignments!$Z$2:$Z$769,"&gt;="&amp;K$4))</f>
        <v/>
      </c>
      <c r="L36" s="11">
        <f>IF($A36="","",SUMIFS(Assignments!$X$2:$X$769,Assignments!$A$2:$A$769,$A36,Assignments!$G$2:$G$769,"Active",Assignments!$V$2:$V$769,"&lt;="&amp;L$4,Assignments!$W$2:$W$769,"&gt;="&amp;L$4)+SUMIFS(Assignments!$AA$2:$AA$769,Assignments!$A$2:$A$769,$A36,Assignments!$G$2:$G$769,"Active",Assignments!$Y$2:$Y$769,"&lt;="&amp;L$4,Assignments!$Z$2:$Z$769,"&gt;="&amp;L$4))</f>
        <v/>
      </c>
      <c r="M36" s="11">
        <f>IF($A36="","",SUMIFS(Assignments!$X$2:$X$769,Assignments!$A$2:$A$769,$A36,Assignments!$G$2:$G$769,"Active",Assignments!$V$2:$V$769,"&lt;="&amp;M$4,Assignments!$W$2:$W$769,"&gt;="&amp;M$4)+SUMIFS(Assignments!$AA$2:$AA$769,Assignments!$A$2:$A$769,$A36,Assignments!$G$2:$G$769,"Active",Assignments!$Y$2:$Y$769,"&lt;="&amp;M$4,Assignments!$Z$2:$Z$769,"&gt;="&amp;M$4))</f>
        <v/>
      </c>
      <c r="N36" s="11">
        <f>IF($A36="","",SUMIFS(Assignments!$X$2:$X$769,Assignments!$A$2:$A$769,$A36,Assignments!$G$2:$G$769,"Active",Assignments!$V$2:$V$769,"&lt;="&amp;N$4,Assignments!$W$2:$W$769,"&gt;="&amp;N$4)+SUMIFS(Assignments!$AA$2:$AA$769,Assignments!$A$2:$A$769,$A36,Assignments!$G$2:$G$769,"Active",Assignments!$Y$2:$Y$769,"&lt;="&amp;N$4,Assignments!$Z$2:$Z$769,"&gt;="&amp;N$4))</f>
        <v/>
      </c>
      <c r="O36" s="11">
        <f>IF($A36="","",SUMIFS(Assignments!$X$2:$X$769,Assignments!$A$2:$A$769,$A36,Assignments!$G$2:$G$769,"Active",Assignments!$V$2:$V$769,"&lt;="&amp;O$4,Assignments!$W$2:$W$769,"&gt;="&amp;O$4)+SUMIFS(Assignments!$AA$2:$AA$769,Assignments!$A$2:$A$769,$A36,Assignments!$G$2:$G$769,"Active",Assignments!$Y$2:$Y$769,"&lt;="&amp;O$4,Assignments!$Z$2:$Z$769,"&gt;="&amp;O$4))</f>
        <v/>
      </c>
      <c r="P36" s="11">
        <f>IF($A36="","",SUMIFS(Assignments!$X$2:$X$769,Assignments!$A$2:$A$769,$A36,Assignments!$G$2:$G$769,"Active",Assignments!$V$2:$V$769,"&lt;="&amp;P$4,Assignments!$W$2:$W$769,"&gt;="&amp;P$4)+SUMIFS(Assignments!$AA$2:$AA$769,Assignments!$A$2:$A$769,$A36,Assignments!$G$2:$G$769,"Active",Assignments!$Y$2:$Y$769,"&lt;="&amp;P$4,Assignments!$Z$2:$Z$769,"&gt;="&amp;P$4))</f>
        <v/>
      </c>
      <c r="Q36" s="11">
        <f>IF($A36="","",SUMIFS(Assignments!$X$2:$X$769,Assignments!$A$2:$A$769,$A36,Assignments!$G$2:$G$769,"Active",Assignments!$V$2:$V$769,"&lt;="&amp;Q$4,Assignments!$W$2:$W$769,"&gt;="&amp;Q$4)+SUMIFS(Assignments!$AA$2:$AA$769,Assignments!$A$2:$A$769,$A36,Assignments!$G$2:$G$769,"Active",Assignments!$Y$2:$Y$769,"&lt;="&amp;Q$4,Assignments!$Z$2:$Z$769,"&gt;="&amp;Q$4))</f>
        <v/>
      </c>
      <c r="R36" s="11">
        <f>IF($A36="","",SUMIFS(Assignments!$X$2:$X$769,Assignments!$A$2:$A$769,$A36,Assignments!$G$2:$G$769,"Active",Assignments!$V$2:$V$769,"&lt;="&amp;R$4,Assignments!$W$2:$W$769,"&gt;="&amp;R$4)+SUMIFS(Assignments!$AA$2:$AA$769,Assignments!$A$2:$A$769,$A36,Assignments!$G$2:$G$769,"Active",Assignments!$Y$2:$Y$769,"&lt;="&amp;R$4,Assignments!$Z$2:$Z$769,"&gt;="&amp;R$4))</f>
        <v/>
      </c>
      <c r="S36" s="11">
        <f>IF($A36="","",SUMIFS(Assignments!$X$2:$X$769,Assignments!$A$2:$A$769,$A36,Assignments!$G$2:$G$769,"Active",Assignments!$V$2:$V$769,"&lt;="&amp;S$4,Assignments!$W$2:$W$769,"&gt;="&amp;S$4)+SUMIFS(Assignments!$AA$2:$AA$769,Assignments!$A$2:$A$769,$A36,Assignments!$G$2:$G$769,"Active",Assignments!$Y$2:$Y$769,"&lt;="&amp;S$4,Assignments!$Z$2:$Z$769,"&gt;="&amp;S$4))</f>
        <v/>
      </c>
      <c r="T36" s="11">
        <f>IF($A36="","",SUMIFS(Assignments!$X$2:$X$769,Assignments!$A$2:$A$769,$A36,Assignments!$G$2:$G$769,"Active",Assignments!$V$2:$V$769,"&lt;="&amp;T$4,Assignments!$W$2:$W$769,"&gt;="&amp;T$4)+SUMIFS(Assignments!$AA$2:$AA$769,Assignments!$A$2:$A$769,$A36,Assignments!$G$2:$G$769,"Active",Assignments!$Y$2:$Y$769,"&lt;="&amp;T$4,Assignments!$Z$2:$Z$769,"&gt;="&amp;T$4))</f>
        <v/>
      </c>
      <c r="U36" s="11">
        <f>IF($A36="","",SUMIFS(Assignments!$X$2:$X$769,Assignments!$A$2:$A$769,$A36,Assignments!$G$2:$G$769,"Active",Assignments!$V$2:$V$769,"&lt;="&amp;U$4,Assignments!$W$2:$W$769,"&gt;="&amp;U$4)+SUMIFS(Assignments!$AA$2:$AA$769,Assignments!$A$2:$A$769,$A36,Assignments!$G$2:$G$769,"Active",Assignments!$Y$2:$Y$769,"&lt;="&amp;U$4,Assignments!$Z$2:$Z$769,"&gt;="&amp;U$4))</f>
        <v/>
      </c>
      <c r="V36" s="11">
        <f>IF($A36="","",SUMIFS(Assignments!$X$2:$X$769,Assignments!$A$2:$A$769,$A36,Assignments!$G$2:$G$769,"Active",Assignments!$V$2:$V$769,"&lt;="&amp;V$4,Assignments!$W$2:$W$769,"&gt;="&amp;V$4)+SUMIFS(Assignments!$AA$2:$AA$769,Assignments!$A$2:$A$769,$A36,Assignments!$G$2:$G$769,"Active",Assignments!$Y$2:$Y$769,"&lt;="&amp;V$4,Assignments!$Z$2:$Z$769,"&gt;="&amp;V$4))</f>
        <v/>
      </c>
      <c r="W36" s="11">
        <f>IF($A36="","",SUMIFS(Assignments!$X$2:$X$769,Assignments!$A$2:$A$769,$A36,Assignments!$G$2:$G$769,"Active",Assignments!$V$2:$V$769,"&lt;="&amp;W$4,Assignments!$W$2:$W$769,"&gt;="&amp;W$4)+SUMIFS(Assignments!$AA$2:$AA$769,Assignments!$A$2:$A$769,$A36,Assignments!$G$2:$G$769,"Active",Assignments!$Y$2:$Y$769,"&lt;="&amp;W$4,Assignments!$Z$2:$Z$769,"&gt;="&amp;W$4))</f>
        <v/>
      </c>
      <c r="X36" s="11">
        <f>IF($A36="","",SUMIFS(Assignments!$X$2:$X$769,Assignments!$A$2:$A$769,$A36,Assignments!$G$2:$G$769,"Active",Assignments!$V$2:$V$769,"&lt;="&amp;X$4,Assignments!$W$2:$W$769,"&gt;="&amp;X$4)+SUMIFS(Assignments!$AA$2:$AA$769,Assignments!$A$2:$A$769,$A36,Assignments!$G$2:$G$769,"Active",Assignments!$Y$2:$Y$769,"&lt;="&amp;X$4,Assignments!$Z$2:$Z$769,"&gt;="&amp;X$4))</f>
        <v/>
      </c>
      <c r="Y36" s="11">
        <f>IF($A36="","",SUMIFS(Assignments!$X$2:$X$769,Assignments!$A$2:$A$769,$A36,Assignments!$G$2:$G$769,"Active",Assignments!$V$2:$V$769,"&lt;="&amp;Y$4,Assignments!$W$2:$W$769,"&gt;="&amp;Y$4)+SUMIFS(Assignments!$AA$2:$AA$769,Assignments!$A$2:$A$769,$A36,Assignments!$G$2:$G$769,"Active",Assignments!$Y$2:$Y$769,"&lt;="&amp;Y$4,Assignments!$Z$2:$Z$769,"&gt;="&amp;Y$4))</f>
        <v/>
      </c>
      <c r="Z36" s="11">
        <f>IF($A36="","",SUMIFS(Assignments!$X$2:$X$769,Assignments!$A$2:$A$769,$A36,Assignments!$G$2:$G$769,"Active",Assignments!$V$2:$V$769,"&lt;="&amp;Z$4,Assignments!$W$2:$W$769,"&gt;="&amp;Z$4)+SUMIFS(Assignments!$AA$2:$AA$769,Assignments!$A$2:$A$769,$A36,Assignments!$G$2:$G$769,"Active",Assignments!$Y$2:$Y$769,"&lt;="&amp;Z$4,Assignments!$Z$2:$Z$769,"&gt;="&amp;Z$4))</f>
        <v/>
      </c>
      <c r="AA36" s="11">
        <f>IF($A36="","",SUMIFS(Assignments!$X$2:$X$769,Assignments!$A$2:$A$769,$A36,Assignments!$G$2:$G$769,"Active",Assignments!$V$2:$V$769,"&lt;="&amp;AA$4,Assignments!$W$2:$W$769,"&gt;="&amp;AA$4)+SUMIFS(Assignments!$AA$2:$AA$769,Assignments!$A$2:$A$769,$A36,Assignments!$G$2:$G$769,"Active",Assignments!$Y$2:$Y$769,"&lt;="&amp;AA$4,Assignments!$Z$2:$Z$769,"&gt;="&amp;AA$4))</f>
        <v/>
      </c>
      <c r="AB36" s="11">
        <f>IF($A36="","",SUMIFS(Assignments!$X$2:$X$769,Assignments!$A$2:$A$769,$A36,Assignments!$G$2:$G$769,"Active",Assignments!$V$2:$V$769,"&lt;="&amp;AB$4,Assignments!$W$2:$W$769,"&gt;="&amp;AB$4)+SUMIFS(Assignments!$AA$2:$AA$769,Assignments!$A$2:$A$769,$A36,Assignments!$G$2:$G$769,"Active",Assignments!$Y$2:$Y$769,"&lt;="&amp;AB$4,Assignments!$Z$2:$Z$769,"&gt;="&amp;AB$4))</f>
        <v/>
      </c>
    </row>
    <row r="37">
      <c r="A37" s="9">
        <f>IF(Roster!$A34="","",Roster!$A34)</f>
        <v/>
      </c>
      <c r="B37" s="10">
        <f>IF($A37="","",IFERROR(INDEX(Roster!$D$2:$D$40,MATCH($A37,Roster!$A$2:$A$40,0)),""))</f>
        <v/>
      </c>
      <c r="C37" s="11">
        <f>IF($A37="","",SUMIFS(Assignments!$X$2:$X$769,Assignments!$A$2:$A$769,$A37,Assignments!$G$2:$G$769,"Active",Assignments!$V$2:$V$769,"&lt;="&amp;C$4,Assignments!$W$2:$W$769,"&gt;="&amp;C$4)+SUMIFS(Assignments!$AA$2:$AA$769,Assignments!$A$2:$A$769,$A37,Assignments!$G$2:$G$769,"Active",Assignments!$Y$2:$Y$769,"&lt;="&amp;C$4,Assignments!$Z$2:$Z$769,"&gt;="&amp;C$4))</f>
        <v/>
      </c>
      <c r="D37" s="11">
        <f>IF($A37="","",SUMIFS(Assignments!$X$2:$X$769,Assignments!$A$2:$A$769,$A37,Assignments!$G$2:$G$769,"Active",Assignments!$V$2:$V$769,"&lt;="&amp;D$4,Assignments!$W$2:$W$769,"&gt;="&amp;D$4)+SUMIFS(Assignments!$AA$2:$AA$769,Assignments!$A$2:$A$769,$A37,Assignments!$G$2:$G$769,"Active",Assignments!$Y$2:$Y$769,"&lt;="&amp;D$4,Assignments!$Z$2:$Z$769,"&gt;="&amp;D$4))</f>
        <v/>
      </c>
      <c r="E37" s="11">
        <f>IF($A37="","",SUMIFS(Assignments!$X$2:$X$769,Assignments!$A$2:$A$769,$A37,Assignments!$G$2:$G$769,"Active",Assignments!$V$2:$V$769,"&lt;="&amp;E$4,Assignments!$W$2:$W$769,"&gt;="&amp;E$4)+SUMIFS(Assignments!$AA$2:$AA$769,Assignments!$A$2:$A$769,$A37,Assignments!$G$2:$G$769,"Active",Assignments!$Y$2:$Y$769,"&lt;="&amp;E$4,Assignments!$Z$2:$Z$769,"&gt;="&amp;E$4))</f>
        <v/>
      </c>
      <c r="F37" s="11">
        <f>IF($A37="","",SUMIFS(Assignments!$X$2:$X$769,Assignments!$A$2:$A$769,$A37,Assignments!$G$2:$G$769,"Active",Assignments!$V$2:$V$769,"&lt;="&amp;F$4,Assignments!$W$2:$W$769,"&gt;="&amp;F$4)+SUMIFS(Assignments!$AA$2:$AA$769,Assignments!$A$2:$A$769,$A37,Assignments!$G$2:$G$769,"Active",Assignments!$Y$2:$Y$769,"&lt;="&amp;F$4,Assignments!$Z$2:$Z$769,"&gt;="&amp;F$4))</f>
        <v/>
      </c>
      <c r="G37" s="11">
        <f>IF($A37="","",SUMIFS(Assignments!$X$2:$X$769,Assignments!$A$2:$A$769,$A37,Assignments!$G$2:$G$769,"Active",Assignments!$V$2:$V$769,"&lt;="&amp;G$4,Assignments!$W$2:$W$769,"&gt;="&amp;G$4)+SUMIFS(Assignments!$AA$2:$AA$769,Assignments!$A$2:$A$769,$A37,Assignments!$G$2:$G$769,"Active",Assignments!$Y$2:$Y$769,"&lt;="&amp;G$4,Assignments!$Z$2:$Z$769,"&gt;="&amp;G$4))</f>
        <v/>
      </c>
      <c r="H37" s="11">
        <f>IF($A37="","",SUMIFS(Assignments!$X$2:$X$769,Assignments!$A$2:$A$769,$A37,Assignments!$G$2:$G$769,"Active",Assignments!$V$2:$V$769,"&lt;="&amp;H$4,Assignments!$W$2:$W$769,"&gt;="&amp;H$4)+SUMIFS(Assignments!$AA$2:$AA$769,Assignments!$A$2:$A$769,$A37,Assignments!$G$2:$G$769,"Active",Assignments!$Y$2:$Y$769,"&lt;="&amp;H$4,Assignments!$Z$2:$Z$769,"&gt;="&amp;H$4))</f>
        <v/>
      </c>
      <c r="I37" s="11">
        <f>IF($A37="","",SUMIFS(Assignments!$X$2:$X$769,Assignments!$A$2:$A$769,$A37,Assignments!$G$2:$G$769,"Active",Assignments!$V$2:$V$769,"&lt;="&amp;I$4,Assignments!$W$2:$W$769,"&gt;="&amp;I$4)+SUMIFS(Assignments!$AA$2:$AA$769,Assignments!$A$2:$A$769,$A37,Assignments!$G$2:$G$769,"Active",Assignments!$Y$2:$Y$769,"&lt;="&amp;I$4,Assignments!$Z$2:$Z$769,"&gt;="&amp;I$4))</f>
        <v/>
      </c>
      <c r="J37" s="11">
        <f>IF($A37="","",SUMIFS(Assignments!$X$2:$X$769,Assignments!$A$2:$A$769,$A37,Assignments!$G$2:$G$769,"Active",Assignments!$V$2:$V$769,"&lt;="&amp;J$4,Assignments!$W$2:$W$769,"&gt;="&amp;J$4)+SUMIFS(Assignments!$AA$2:$AA$769,Assignments!$A$2:$A$769,$A37,Assignments!$G$2:$G$769,"Active",Assignments!$Y$2:$Y$769,"&lt;="&amp;J$4,Assignments!$Z$2:$Z$769,"&gt;="&amp;J$4))</f>
        <v/>
      </c>
      <c r="K37" s="11">
        <f>IF($A37="","",SUMIFS(Assignments!$X$2:$X$769,Assignments!$A$2:$A$769,$A37,Assignments!$G$2:$G$769,"Active",Assignments!$V$2:$V$769,"&lt;="&amp;K$4,Assignments!$W$2:$W$769,"&gt;="&amp;K$4)+SUMIFS(Assignments!$AA$2:$AA$769,Assignments!$A$2:$A$769,$A37,Assignments!$G$2:$G$769,"Active",Assignments!$Y$2:$Y$769,"&lt;="&amp;K$4,Assignments!$Z$2:$Z$769,"&gt;="&amp;K$4))</f>
        <v/>
      </c>
      <c r="L37" s="11">
        <f>IF($A37="","",SUMIFS(Assignments!$X$2:$X$769,Assignments!$A$2:$A$769,$A37,Assignments!$G$2:$G$769,"Active",Assignments!$V$2:$V$769,"&lt;="&amp;L$4,Assignments!$W$2:$W$769,"&gt;="&amp;L$4)+SUMIFS(Assignments!$AA$2:$AA$769,Assignments!$A$2:$A$769,$A37,Assignments!$G$2:$G$769,"Active",Assignments!$Y$2:$Y$769,"&lt;="&amp;L$4,Assignments!$Z$2:$Z$769,"&gt;="&amp;L$4))</f>
        <v/>
      </c>
      <c r="M37" s="11">
        <f>IF($A37="","",SUMIFS(Assignments!$X$2:$X$769,Assignments!$A$2:$A$769,$A37,Assignments!$G$2:$G$769,"Active",Assignments!$V$2:$V$769,"&lt;="&amp;M$4,Assignments!$W$2:$W$769,"&gt;="&amp;M$4)+SUMIFS(Assignments!$AA$2:$AA$769,Assignments!$A$2:$A$769,$A37,Assignments!$G$2:$G$769,"Active",Assignments!$Y$2:$Y$769,"&lt;="&amp;M$4,Assignments!$Z$2:$Z$769,"&gt;="&amp;M$4))</f>
        <v/>
      </c>
      <c r="N37" s="11">
        <f>IF($A37="","",SUMIFS(Assignments!$X$2:$X$769,Assignments!$A$2:$A$769,$A37,Assignments!$G$2:$G$769,"Active",Assignments!$V$2:$V$769,"&lt;="&amp;N$4,Assignments!$W$2:$W$769,"&gt;="&amp;N$4)+SUMIFS(Assignments!$AA$2:$AA$769,Assignments!$A$2:$A$769,$A37,Assignments!$G$2:$G$769,"Active",Assignments!$Y$2:$Y$769,"&lt;="&amp;N$4,Assignments!$Z$2:$Z$769,"&gt;="&amp;N$4))</f>
        <v/>
      </c>
      <c r="O37" s="11">
        <f>IF($A37="","",SUMIFS(Assignments!$X$2:$X$769,Assignments!$A$2:$A$769,$A37,Assignments!$G$2:$G$769,"Active",Assignments!$V$2:$V$769,"&lt;="&amp;O$4,Assignments!$W$2:$W$769,"&gt;="&amp;O$4)+SUMIFS(Assignments!$AA$2:$AA$769,Assignments!$A$2:$A$769,$A37,Assignments!$G$2:$G$769,"Active",Assignments!$Y$2:$Y$769,"&lt;="&amp;O$4,Assignments!$Z$2:$Z$769,"&gt;="&amp;O$4))</f>
        <v/>
      </c>
      <c r="P37" s="11">
        <f>IF($A37="","",SUMIFS(Assignments!$X$2:$X$769,Assignments!$A$2:$A$769,$A37,Assignments!$G$2:$G$769,"Active",Assignments!$V$2:$V$769,"&lt;="&amp;P$4,Assignments!$W$2:$W$769,"&gt;="&amp;P$4)+SUMIFS(Assignments!$AA$2:$AA$769,Assignments!$A$2:$A$769,$A37,Assignments!$G$2:$G$769,"Active",Assignments!$Y$2:$Y$769,"&lt;="&amp;P$4,Assignments!$Z$2:$Z$769,"&gt;="&amp;P$4))</f>
        <v/>
      </c>
      <c r="Q37" s="11">
        <f>IF($A37="","",SUMIFS(Assignments!$X$2:$X$769,Assignments!$A$2:$A$769,$A37,Assignments!$G$2:$G$769,"Active",Assignments!$V$2:$V$769,"&lt;="&amp;Q$4,Assignments!$W$2:$W$769,"&gt;="&amp;Q$4)+SUMIFS(Assignments!$AA$2:$AA$769,Assignments!$A$2:$A$769,$A37,Assignments!$G$2:$G$769,"Active",Assignments!$Y$2:$Y$769,"&lt;="&amp;Q$4,Assignments!$Z$2:$Z$769,"&gt;="&amp;Q$4))</f>
        <v/>
      </c>
      <c r="R37" s="11">
        <f>IF($A37="","",SUMIFS(Assignments!$X$2:$X$769,Assignments!$A$2:$A$769,$A37,Assignments!$G$2:$G$769,"Active",Assignments!$V$2:$V$769,"&lt;="&amp;R$4,Assignments!$W$2:$W$769,"&gt;="&amp;R$4)+SUMIFS(Assignments!$AA$2:$AA$769,Assignments!$A$2:$A$769,$A37,Assignments!$G$2:$G$769,"Active",Assignments!$Y$2:$Y$769,"&lt;="&amp;R$4,Assignments!$Z$2:$Z$769,"&gt;="&amp;R$4))</f>
        <v/>
      </c>
      <c r="S37" s="11">
        <f>IF($A37="","",SUMIFS(Assignments!$X$2:$X$769,Assignments!$A$2:$A$769,$A37,Assignments!$G$2:$G$769,"Active",Assignments!$V$2:$V$769,"&lt;="&amp;S$4,Assignments!$W$2:$W$769,"&gt;="&amp;S$4)+SUMIFS(Assignments!$AA$2:$AA$769,Assignments!$A$2:$A$769,$A37,Assignments!$G$2:$G$769,"Active",Assignments!$Y$2:$Y$769,"&lt;="&amp;S$4,Assignments!$Z$2:$Z$769,"&gt;="&amp;S$4))</f>
        <v/>
      </c>
      <c r="T37" s="11">
        <f>IF($A37="","",SUMIFS(Assignments!$X$2:$X$769,Assignments!$A$2:$A$769,$A37,Assignments!$G$2:$G$769,"Active",Assignments!$V$2:$V$769,"&lt;="&amp;T$4,Assignments!$W$2:$W$769,"&gt;="&amp;T$4)+SUMIFS(Assignments!$AA$2:$AA$769,Assignments!$A$2:$A$769,$A37,Assignments!$G$2:$G$769,"Active",Assignments!$Y$2:$Y$769,"&lt;="&amp;T$4,Assignments!$Z$2:$Z$769,"&gt;="&amp;T$4))</f>
        <v/>
      </c>
      <c r="U37" s="11">
        <f>IF($A37="","",SUMIFS(Assignments!$X$2:$X$769,Assignments!$A$2:$A$769,$A37,Assignments!$G$2:$G$769,"Active",Assignments!$V$2:$V$769,"&lt;="&amp;U$4,Assignments!$W$2:$W$769,"&gt;="&amp;U$4)+SUMIFS(Assignments!$AA$2:$AA$769,Assignments!$A$2:$A$769,$A37,Assignments!$G$2:$G$769,"Active",Assignments!$Y$2:$Y$769,"&lt;="&amp;U$4,Assignments!$Z$2:$Z$769,"&gt;="&amp;U$4))</f>
        <v/>
      </c>
      <c r="V37" s="11">
        <f>IF($A37="","",SUMIFS(Assignments!$X$2:$X$769,Assignments!$A$2:$A$769,$A37,Assignments!$G$2:$G$769,"Active",Assignments!$V$2:$V$769,"&lt;="&amp;V$4,Assignments!$W$2:$W$769,"&gt;="&amp;V$4)+SUMIFS(Assignments!$AA$2:$AA$769,Assignments!$A$2:$A$769,$A37,Assignments!$G$2:$G$769,"Active",Assignments!$Y$2:$Y$769,"&lt;="&amp;V$4,Assignments!$Z$2:$Z$769,"&gt;="&amp;V$4))</f>
        <v/>
      </c>
      <c r="W37" s="11">
        <f>IF($A37="","",SUMIFS(Assignments!$X$2:$X$769,Assignments!$A$2:$A$769,$A37,Assignments!$G$2:$G$769,"Active",Assignments!$V$2:$V$769,"&lt;="&amp;W$4,Assignments!$W$2:$W$769,"&gt;="&amp;W$4)+SUMIFS(Assignments!$AA$2:$AA$769,Assignments!$A$2:$A$769,$A37,Assignments!$G$2:$G$769,"Active",Assignments!$Y$2:$Y$769,"&lt;="&amp;W$4,Assignments!$Z$2:$Z$769,"&gt;="&amp;W$4))</f>
        <v/>
      </c>
      <c r="X37" s="11">
        <f>IF($A37="","",SUMIFS(Assignments!$X$2:$X$769,Assignments!$A$2:$A$769,$A37,Assignments!$G$2:$G$769,"Active",Assignments!$V$2:$V$769,"&lt;="&amp;X$4,Assignments!$W$2:$W$769,"&gt;="&amp;X$4)+SUMIFS(Assignments!$AA$2:$AA$769,Assignments!$A$2:$A$769,$A37,Assignments!$G$2:$G$769,"Active",Assignments!$Y$2:$Y$769,"&lt;="&amp;X$4,Assignments!$Z$2:$Z$769,"&gt;="&amp;X$4))</f>
        <v/>
      </c>
      <c r="Y37" s="11">
        <f>IF($A37="","",SUMIFS(Assignments!$X$2:$X$769,Assignments!$A$2:$A$769,$A37,Assignments!$G$2:$G$769,"Active",Assignments!$V$2:$V$769,"&lt;="&amp;Y$4,Assignments!$W$2:$W$769,"&gt;="&amp;Y$4)+SUMIFS(Assignments!$AA$2:$AA$769,Assignments!$A$2:$A$769,$A37,Assignments!$G$2:$G$769,"Active",Assignments!$Y$2:$Y$769,"&lt;="&amp;Y$4,Assignments!$Z$2:$Z$769,"&gt;="&amp;Y$4))</f>
        <v/>
      </c>
      <c r="Z37" s="11">
        <f>IF($A37="","",SUMIFS(Assignments!$X$2:$X$769,Assignments!$A$2:$A$769,$A37,Assignments!$G$2:$G$769,"Active",Assignments!$V$2:$V$769,"&lt;="&amp;Z$4,Assignments!$W$2:$W$769,"&gt;="&amp;Z$4)+SUMIFS(Assignments!$AA$2:$AA$769,Assignments!$A$2:$A$769,$A37,Assignments!$G$2:$G$769,"Active",Assignments!$Y$2:$Y$769,"&lt;="&amp;Z$4,Assignments!$Z$2:$Z$769,"&gt;="&amp;Z$4))</f>
        <v/>
      </c>
      <c r="AA37" s="11">
        <f>IF($A37="","",SUMIFS(Assignments!$X$2:$X$769,Assignments!$A$2:$A$769,$A37,Assignments!$G$2:$G$769,"Active",Assignments!$V$2:$V$769,"&lt;="&amp;AA$4,Assignments!$W$2:$W$769,"&gt;="&amp;AA$4)+SUMIFS(Assignments!$AA$2:$AA$769,Assignments!$A$2:$A$769,$A37,Assignments!$G$2:$G$769,"Active",Assignments!$Y$2:$Y$769,"&lt;="&amp;AA$4,Assignments!$Z$2:$Z$769,"&gt;="&amp;AA$4))</f>
        <v/>
      </c>
      <c r="AB37" s="11">
        <f>IF($A37="","",SUMIFS(Assignments!$X$2:$X$769,Assignments!$A$2:$A$769,$A37,Assignments!$G$2:$G$769,"Active",Assignments!$V$2:$V$769,"&lt;="&amp;AB$4,Assignments!$W$2:$W$769,"&gt;="&amp;AB$4)+SUMIFS(Assignments!$AA$2:$AA$769,Assignments!$A$2:$A$769,$A37,Assignments!$G$2:$G$769,"Active",Assignments!$Y$2:$Y$769,"&lt;="&amp;AB$4,Assignments!$Z$2:$Z$769,"&gt;="&amp;AB$4))</f>
        <v/>
      </c>
    </row>
    <row r="38">
      <c r="A38" s="9">
        <f>IF(Roster!$A35="","",Roster!$A35)</f>
        <v/>
      </c>
      <c r="B38" s="10">
        <f>IF($A38="","",IFERROR(INDEX(Roster!$D$2:$D$40,MATCH($A38,Roster!$A$2:$A$40,0)),""))</f>
        <v/>
      </c>
      <c r="C38" s="11">
        <f>IF($A38="","",SUMIFS(Assignments!$X$2:$X$769,Assignments!$A$2:$A$769,$A38,Assignments!$G$2:$G$769,"Active",Assignments!$V$2:$V$769,"&lt;="&amp;C$4,Assignments!$W$2:$W$769,"&gt;="&amp;C$4)+SUMIFS(Assignments!$AA$2:$AA$769,Assignments!$A$2:$A$769,$A38,Assignments!$G$2:$G$769,"Active",Assignments!$Y$2:$Y$769,"&lt;="&amp;C$4,Assignments!$Z$2:$Z$769,"&gt;="&amp;C$4))</f>
        <v/>
      </c>
      <c r="D38" s="11">
        <f>IF($A38="","",SUMIFS(Assignments!$X$2:$X$769,Assignments!$A$2:$A$769,$A38,Assignments!$G$2:$G$769,"Active",Assignments!$V$2:$V$769,"&lt;="&amp;D$4,Assignments!$W$2:$W$769,"&gt;="&amp;D$4)+SUMIFS(Assignments!$AA$2:$AA$769,Assignments!$A$2:$A$769,$A38,Assignments!$G$2:$G$769,"Active",Assignments!$Y$2:$Y$769,"&lt;="&amp;D$4,Assignments!$Z$2:$Z$769,"&gt;="&amp;D$4))</f>
        <v/>
      </c>
      <c r="E38" s="11">
        <f>IF($A38="","",SUMIFS(Assignments!$X$2:$X$769,Assignments!$A$2:$A$769,$A38,Assignments!$G$2:$G$769,"Active",Assignments!$V$2:$V$769,"&lt;="&amp;E$4,Assignments!$W$2:$W$769,"&gt;="&amp;E$4)+SUMIFS(Assignments!$AA$2:$AA$769,Assignments!$A$2:$A$769,$A38,Assignments!$G$2:$G$769,"Active",Assignments!$Y$2:$Y$769,"&lt;="&amp;E$4,Assignments!$Z$2:$Z$769,"&gt;="&amp;E$4))</f>
        <v/>
      </c>
      <c r="F38" s="11">
        <f>IF($A38="","",SUMIFS(Assignments!$X$2:$X$769,Assignments!$A$2:$A$769,$A38,Assignments!$G$2:$G$769,"Active",Assignments!$V$2:$V$769,"&lt;="&amp;F$4,Assignments!$W$2:$W$769,"&gt;="&amp;F$4)+SUMIFS(Assignments!$AA$2:$AA$769,Assignments!$A$2:$A$769,$A38,Assignments!$G$2:$G$769,"Active",Assignments!$Y$2:$Y$769,"&lt;="&amp;F$4,Assignments!$Z$2:$Z$769,"&gt;="&amp;F$4))</f>
        <v/>
      </c>
      <c r="G38" s="11">
        <f>IF($A38="","",SUMIFS(Assignments!$X$2:$X$769,Assignments!$A$2:$A$769,$A38,Assignments!$G$2:$G$769,"Active",Assignments!$V$2:$V$769,"&lt;="&amp;G$4,Assignments!$W$2:$W$769,"&gt;="&amp;G$4)+SUMIFS(Assignments!$AA$2:$AA$769,Assignments!$A$2:$A$769,$A38,Assignments!$G$2:$G$769,"Active",Assignments!$Y$2:$Y$769,"&lt;="&amp;G$4,Assignments!$Z$2:$Z$769,"&gt;="&amp;G$4))</f>
        <v/>
      </c>
      <c r="H38" s="11">
        <f>IF($A38="","",SUMIFS(Assignments!$X$2:$X$769,Assignments!$A$2:$A$769,$A38,Assignments!$G$2:$G$769,"Active",Assignments!$V$2:$V$769,"&lt;="&amp;H$4,Assignments!$W$2:$W$769,"&gt;="&amp;H$4)+SUMIFS(Assignments!$AA$2:$AA$769,Assignments!$A$2:$A$769,$A38,Assignments!$G$2:$G$769,"Active",Assignments!$Y$2:$Y$769,"&lt;="&amp;H$4,Assignments!$Z$2:$Z$769,"&gt;="&amp;H$4))</f>
        <v/>
      </c>
      <c r="I38" s="11">
        <f>IF($A38="","",SUMIFS(Assignments!$X$2:$X$769,Assignments!$A$2:$A$769,$A38,Assignments!$G$2:$G$769,"Active",Assignments!$V$2:$V$769,"&lt;="&amp;I$4,Assignments!$W$2:$W$769,"&gt;="&amp;I$4)+SUMIFS(Assignments!$AA$2:$AA$769,Assignments!$A$2:$A$769,$A38,Assignments!$G$2:$G$769,"Active",Assignments!$Y$2:$Y$769,"&lt;="&amp;I$4,Assignments!$Z$2:$Z$769,"&gt;="&amp;I$4))</f>
        <v/>
      </c>
      <c r="J38" s="11">
        <f>IF($A38="","",SUMIFS(Assignments!$X$2:$X$769,Assignments!$A$2:$A$769,$A38,Assignments!$G$2:$G$769,"Active",Assignments!$V$2:$V$769,"&lt;="&amp;J$4,Assignments!$W$2:$W$769,"&gt;="&amp;J$4)+SUMIFS(Assignments!$AA$2:$AA$769,Assignments!$A$2:$A$769,$A38,Assignments!$G$2:$G$769,"Active",Assignments!$Y$2:$Y$769,"&lt;="&amp;J$4,Assignments!$Z$2:$Z$769,"&gt;="&amp;J$4))</f>
        <v/>
      </c>
      <c r="K38" s="11">
        <f>IF($A38="","",SUMIFS(Assignments!$X$2:$X$769,Assignments!$A$2:$A$769,$A38,Assignments!$G$2:$G$769,"Active",Assignments!$V$2:$V$769,"&lt;="&amp;K$4,Assignments!$W$2:$W$769,"&gt;="&amp;K$4)+SUMIFS(Assignments!$AA$2:$AA$769,Assignments!$A$2:$A$769,$A38,Assignments!$G$2:$G$769,"Active",Assignments!$Y$2:$Y$769,"&lt;="&amp;K$4,Assignments!$Z$2:$Z$769,"&gt;="&amp;K$4))</f>
        <v/>
      </c>
      <c r="L38" s="11">
        <f>IF($A38="","",SUMIFS(Assignments!$X$2:$X$769,Assignments!$A$2:$A$769,$A38,Assignments!$G$2:$G$769,"Active",Assignments!$V$2:$V$769,"&lt;="&amp;L$4,Assignments!$W$2:$W$769,"&gt;="&amp;L$4)+SUMIFS(Assignments!$AA$2:$AA$769,Assignments!$A$2:$A$769,$A38,Assignments!$G$2:$G$769,"Active",Assignments!$Y$2:$Y$769,"&lt;="&amp;L$4,Assignments!$Z$2:$Z$769,"&gt;="&amp;L$4))</f>
        <v/>
      </c>
      <c r="M38" s="11">
        <f>IF($A38="","",SUMIFS(Assignments!$X$2:$X$769,Assignments!$A$2:$A$769,$A38,Assignments!$G$2:$G$769,"Active",Assignments!$V$2:$V$769,"&lt;="&amp;M$4,Assignments!$W$2:$W$769,"&gt;="&amp;M$4)+SUMIFS(Assignments!$AA$2:$AA$769,Assignments!$A$2:$A$769,$A38,Assignments!$G$2:$G$769,"Active",Assignments!$Y$2:$Y$769,"&lt;="&amp;M$4,Assignments!$Z$2:$Z$769,"&gt;="&amp;M$4))</f>
        <v/>
      </c>
      <c r="N38" s="11">
        <f>IF($A38="","",SUMIFS(Assignments!$X$2:$X$769,Assignments!$A$2:$A$769,$A38,Assignments!$G$2:$G$769,"Active",Assignments!$V$2:$V$769,"&lt;="&amp;N$4,Assignments!$W$2:$W$769,"&gt;="&amp;N$4)+SUMIFS(Assignments!$AA$2:$AA$769,Assignments!$A$2:$A$769,$A38,Assignments!$G$2:$G$769,"Active",Assignments!$Y$2:$Y$769,"&lt;="&amp;N$4,Assignments!$Z$2:$Z$769,"&gt;="&amp;N$4))</f>
        <v/>
      </c>
      <c r="O38" s="11">
        <f>IF($A38="","",SUMIFS(Assignments!$X$2:$X$769,Assignments!$A$2:$A$769,$A38,Assignments!$G$2:$G$769,"Active",Assignments!$V$2:$V$769,"&lt;="&amp;O$4,Assignments!$W$2:$W$769,"&gt;="&amp;O$4)+SUMIFS(Assignments!$AA$2:$AA$769,Assignments!$A$2:$A$769,$A38,Assignments!$G$2:$G$769,"Active",Assignments!$Y$2:$Y$769,"&lt;="&amp;O$4,Assignments!$Z$2:$Z$769,"&gt;="&amp;O$4))</f>
        <v/>
      </c>
      <c r="P38" s="11">
        <f>IF($A38="","",SUMIFS(Assignments!$X$2:$X$769,Assignments!$A$2:$A$769,$A38,Assignments!$G$2:$G$769,"Active",Assignments!$V$2:$V$769,"&lt;="&amp;P$4,Assignments!$W$2:$W$769,"&gt;="&amp;P$4)+SUMIFS(Assignments!$AA$2:$AA$769,Assignments!$A$2:$A$769,$A38,Assignments!$G$2:$G$769,"Active",Assignments!$Y$2:$Y$769,"&lt;="&amp;P$4,Assignments!$Z$2:$Z$769,"&gt;="&amp;P$4))</f>
        <v/>
      </c>
      <c r="Q38" s="11">
        <f>IF($A38="","",SUMIFS(Assignments!$X$2:$X$769,Assignments!$A$2:$A$769,$A38,Assignments!$G$2:$G$769,"Active",Assignments!$V$2:$V$769,"&lt;="&amp;Q$4,Assignments!$W$2:$W$769,"&gt;="&amp;Q$4)+SUMIFS(Assignments!$AA$2:$AA$769,Assignments!$A$2:$A$769,$A38,Assignments!$G$2:$G$769,"Active",Assignments!$Y$2:$Y$769,"&lt;="&amp;Q$4,Assignments!$Z$2:$Z$769,"&gt;="&amp;Q$4))</f>
        <v/>
      </c>
      <c r="R38" s="11">
        <f>IF($A38="","",SUMIFS(Assignments!$X$2:$X$769,Assignments!$A$2:$A$769,$A38,Assignments!$G$2:$G$769,"Active",Assignments!$V$2:$V$769,"&lt;="&amp;R$4,Assignments!$W$2:$W$769,"&gt;="&amp;R$4)+SUMIFS(Assignments!$AA$2:$AA$769,Assignments!$A$2:$A$769,$A38,Assignments!$G$2:$G$769,"Active",Assignments!$Y$2:$Y$769,"&lt;="&amp;R$4,Assignments!$Z$2:$Z$769,"&gt;="&amp;R$4))</f>
        <v/>
      </c>
      <c r="S38" s="11">
        <f>IF($A38="","",SUMIFS(Assignments!$X$2:$X$769,Assignments!$A$2:$A$769,$A38,Assignments!$G$2:$G$769,"Active",Assignments!$V$2:$V$769,"&lt;="&amp;S$4,Assignments!$W$2:$W$769,"&gt;="&amp;S$4)+SUMIFS(Assignments!$AA$2:$AA$769,Assignments!$A$2:$A$769,$A38,Assignments!$G$2:$G$769,"Active",Assignments!$Y$2:$Y$769,"&lt;="&amp;S$4,Assignments!$Z$2:$Z$769,"&gt;="&amp;S$4))</f>
        <v/>
      </c>
      <c r="T38" s="11">
        <f>IF($A38="","",SUMIFS(Assignments!$X$2:$X$769,Assignments!$A$2:$A$769,$A38,Assignments!$G$2:$G$769,"Active",Assignments!$V$2:$V$769,"&lt;="&amp;T$4,Assignments!$W$2:$W$769,"&gt;="&amp;T$4)+SUMIFS(Assignments!$AA$2:$AA$769,Assignments!$A$2:$A$769,$A38,Assignments!$G$2:$G$769,"Active",Assignments!$Y$2:$Y$769,"&lt;="&amp;T$4,Assignments!$Z$2:$Z$769,"&gt;="&amp;T$4))</f>
        <v/>
      </c>
      <c r="U38" s="11">
        <f>IF($A38="","",SUMIFS(Assignments!$X$2:$X$769,Assignments!$A$2:$A$769,$A38,Assignments!$G$2:$G$769,"Active",Assignments!$V$2:$V$769,"&lt;="&amp;U$4,Assignments!$W$2:$W$769,"&gt;="&amp;U$4)+SUMIFS(Assignments!$AA$2:$AA$769,Assignments!$A$2:$A$769,$A38,Assignments!$G$2:$G$769,"Active",Assignments!$Y$2:$Y$769,"&lt;="&amp;U$4,Assignments!$Z$2:$Z$769,"&gt;="&amp;U$4))</f>
        <v/>
      </c>
      <c r="V38" s="11">
        <f>IF($A38="","",SUMIFS(Assignments!$X$2:$X$769,Assignments!$A$2:$A$769,$A38,Assignments!$G$2:$G$769,"Active",Assignments!$V$2:$V$769,"&lt;="&amp;V$4,Assignments!$W$2:$W$769,"&gt;="&amp;V$4)+SUMIFS(Assignments!$AA$2:$AA$769,Assignments!$A$2:$A$769,$A38,Assignments!$G$2:$G$769,"Active",Assignments!$Y$2:$Y$769,"&lt;="&amp;V$4,Assignments!$Z$2:$Z$769,"&gt;="&amp;V$4))</f>
        <v/>
      </c>
      <c r="W38" s="11">
        <f>IF($A38="","",SUMIFS(Assignments!$X$2:$X$769,Assignments!$A$2:$A$769,$A38,Assignments!$G$2:$G$769,"Active",Assignments!$V$2:$V$769,"&lt;="&amp;W$4,Assignments!$W$2:$W$769,"&gt;="&amp;W$4)+SUMIFS(Assignments!$AA$2:$AA$769,Assignments!$A$2:$A$769,$A38,Assignments!$G$2:$G$769,"Active",Assignments!$Y$2:$Y$769,"&lt;="&amp;W$4,Assignments!$Z$2:$Z$769,"&gt;="&amp;W$4))</f>
        <v/>
      </c>
      <c r="X38" s="11">
        <f>IF($A38="","",SUMIFS(Assignments!$X$2:$X$769,Assignments!$A$2:$A$769,$A38,Assignments!$G$2:$G$769,"Active",Assignments!$V$2:$V$769,"&lt;="&amp;X$4,Assignments!$W$2:$W$769,"&gt;="&amp;X$4)+SUMIFS(Assignments!$AA$2:$AA$769,Assignments!$A$2:$A$769,$A38,Assignments!$G$2:$G$769,"Active",Assignments!$Y$2:$Y$769,"&lt;="&amp;X$4,Assignments!$Z$2:$Z$769,"&gt;="&amp;X$4))</f>
        <v/>
      </c>
      <c r="Y38" s="11">
        <f>IF($A38="","",SUMIFS(Assignments!$X$2:$X$769,Assignments!$A$2:$A$769,$A38,Assignments!$G$2:$G$769,"Active",Assignments!$V$2:$V$769,"&lt;="&amp;Y$4,Assignments!$W$2:$W$769,"&gt;="&amp;Y$4)+SUMIFS(Assignments!$AA$2:$AA$769,Assignments!$A$2:$A$769,$A38,Assignments!$G$2:$G$769,"Active",Assignments!$Y$2:$Y$769,"&lt;="&amp;Y$4,Assignments!$Z$2:$Z$769,"&gt;="&amp;Y$4))</f>
        <v/>
      </c>
      <c r="Z38" s="11">
        <f>IF($A38="","",SUMIFS(Assignments!$X$2:$X$769,Assignments!$A$2:$A$769,$A38,Assignments!$G$2:$G$769,"Active",Assignments!$V$2:$V$769,"&lt;="&amp;Z$4,Assignments!$W$2:$W$769,"&gt;="&amp;Z$4)+SUMIFS(Assignments!$AA$2:$AA$769,Assignments!$A$2:$A$769,$A38,Assignments!$G$2:$G$769,"Active",Assignments!$Y$2:$Y$769,"&lt;="&amp;Z$4,Assignments!$Z$2:$Z$769,"&gt;="&amp;Z$4))</f>
        <v/>
      </c>
      <c r="AA38" s="11">
        <f>IF($A38="","",SUMIFS(Assignments!$X$2:$X$769,Assignments!$A$2:$A$769,$A38,Assignments!$G$2:$G$769,"Active",Assignments!$V$2:$V$769,"&lt;="&amp;AA$4,Assignments!$W$2:$W$769,"&gt;="&amp;AA$4)+SUMIFS(Assignments!$AA$2:$AA$769,Assignments!$A$2:$A$769,$A38,Assignments!$G$2:$G$769,"Active",Assignments!$Y$2:$Y$769,"&lt;="&amp;AA$4,Assignments!$Z$2:$Z$769,"&gt;="&amp;AA$4))</f>
        <v/>
      </c>
      <c r="AB38" s="11">
        <f>IF($A38="","",SUMIFS(Assignments!$X$2:$X$769,Assignments!$A$2:$A$769,$A38,Assignments!$G$2:$G$769,"Active",Assignments!$V$2:$V$769,"&lt;="&amp;AB$4,Assignments!$W$2:$W$769,"&gt;="&amp;AB$4)+SUMIFS(Assignments!$AA$2:$AA$769,Assignments!$A$2:$A$769,$A38,Assignments!$G$2:$G$769,"Active",Assignments!$Y$2:$Y$769,"&lt;="&amp;AB$4,Assignments!$Z$2:$Z$769,"&gt;="&amp;AB$4))</f>
        <v/>
      </c>
    </row>
    <row r="39">
      <c r="A39" s="9">
        <f>IF(Roster!$A36="","",Roster!$A36)</f>
        <v/>
      </c>
      <c r="B39" s="10">
        <f>IF($A39="","",IFERROR(INDEX(Roster!$D$2:$D$40,MATCH($A39,Roster!$A$2:$A$40,0)),""))</f>
        <v/>
      </c>
      <c r="C39" s="11">
        <f>IF($A39="","",SUMIFS(Assignments!$X$2:$X$769,Assignments!$A$2:$A$769,$A39,Assignments!$G$2:$G$769,"Active",Assignments!$V$2:$V$769,"&lt;="&amp;C$4,Assignments!$W$2:$W$769,"&gt;="&amp;C$4)+SUMIFS(Assignments!$AA$2:$AA$769,Assignments!$A$2:$A$769,$A39,Assignments!$G$2:$G$769,"Active",Assignments!$Y$2:$Y$769,"&lt;="&amp;C$4,Assignments!$Z$2:$Z$769,"&gt;="&amp;C$4))</f>
        <v/>
      </c>
      <c r="D39" s="11">
        <f>IF($A39="","",SUMIFS(Assignments!$X$2:$X$769,Assignments!$A$2:$A$769,$A39,Assignments!$G$2:$G$769,"Active",Assignments!$V$2:$V$769,"&lt;="&amp;D$4,Assignments!$W$2:$W$769,"&gt;="&amp;D$4)+SUMIFS(Assignments!$AA$2:$AA$769,Assignments!$A$2:$A$769,$A39,Assignments!$G$2:$G$769,"Active",Assignments!$Y$2:$Y$769,"&lt;="&amp;D$4,Assignments!$Z$2:$Z$769,"&gt;="&amp;D$4))</f>
        <v/>
      </c>
      <c r="E39" s="11">
        <f>IF($A39="","",SUMIFS(Assignments!$X$2:$X$769,Assignments!$A$2:$A$769,$A39,Assignments!$G$2:$G$769,"Active",Assignments!$V$2:$V$769,"&lt;="&amp;E$4,Assignments!$W$2:$W$769,"&gt;="&amp;E$4)+SUMIFS(Assignments!$AA$2:$AA$769,Assignments!$A$2:$A$769,$A39,Assignments!$G$2:$G$769,"Active",Assignments!$Y$2:$Y$769,"&lt;="&amp;E$4,Assignments!$Z$2:$Z$769,"&gt;="&amp;E$4))</f>
        <v/>
      </c>
      <c r="F39" s="11">
        <f>IF($A39="","",SUMIFS(Assignments!$X$2:$X$769,Assignments!$A$2:$A$769,$A39,Assignments!$G$2:$G$769,"Active",Assignments!$V$2:$V$769,"&lt;="&amp;F$4,Assignments!$W$2:$W$769,"&gt;="&amp;F$4)+SUMIFS(Assignments!$AA$2:$AA$769,Assignments!$A$2:$A$769,$A39,Assignments!$G$2:$G$769,"Active",Assignments!$Y$2:$Y$769,"&lt;="&amp;F$4,Assignments!$Z$2:$Z$769,"&gt;="&amp;F$4))</f>
        <v/>
      </c>
      <c r="G39" s="11">
        <f>IF($A39="","",SUMIFS(Assignments!$X$2:$X$769,Assignments!$A$2:$A$769,$A39,Assignments!$G$2:$G$769,"Active",Assignments!$V$2:$V$769,"&lt;="&amp;G$4,Assignments!$W$2:$W$769,"&gt;="&amp;G$4)+SUMIFS(Assignments!$AA$2:$AA$769,Assignments!$A$2:$A$769,$A39,Assignments!$G$2:$G$769,"Active",Assignments!$Y$2:$Y$769,"&lt;="&amp;G$4,Assignments!$Z$2:$Z$769,"&gt;="&amp;G$4))</f>
        <v/>
      </c>
      <c r="H39" s="11">
        <f>IF($A39="","",SUMIFS(Assignments!$X$2:$X$769,Assignments!$A$2:$A$769,$A39,Assignments!$G$2:$G$769,"Active",Assignments!$V$2:$V$769,"&lt;="&amp;H$4,Assignments!$W$2:$W$769,"&gt;="&amp;H$4)+SUMIFS(Assignments!$AA$2:$AA$769,Assignments!$A$2:$A$769,$A39,Assignments!$G$2:$G$769,"Active",Assignments!$Y$2:$Y$769,"&lt;="&amp;H$4,Assignments!$Z$2:$Z$769,"&gt;="&amp;H$4))</f>
        <v/>
      </c>
      <c r="I39" s="11">
        <f>IF($A39="","",SUMIFS(Assignments!$X$2:$X$769,Assignments!$A$2:$A$769,$A39,Assignments!$G$2:$G$769,"Active",Assignments!$V$2:$V$769,"&lt;="&amp;I$4,Assignments!$W$2:$W$769,"&gt;="&amp;I$4)+SUMIFS(Assignments!$AA$2:$AA$769,Assignments!$A$2:$A$769,$A39,Assignments!$G$2:$G$769,"Active",Assignments!$Y$2:$Y$769,"&lt;="&amp;I$4,Assignments!$Z$2:$Z$769,"&gt;="&amp;I$4))</f>
        <v/>
      </c>
      <c r="J39" s="11">
        <f>IF($A39="","",SUMIFS(Assignments!$X$2:$X$769,Assignments!$A$2:$A$769,$A39,Assignments!$G$2:$G$769,"Active",Assignments!$V$2:$V$769,"&lt;="&amp;J$4,Assignments!$W$2:$W$769,"&gt;="&amp;J$4)+SUMIFS(Assignments!$AA$2:$AA$769,Assignments!$A$2:$A$769,$A39,Assignments!$G$2:$G$769,"Active",Assignments!$Y$2:$Y$769,"&lt;="&amp;J$4,Assignments!$Z$2:$Z$769,"&gt;="&amp;J$4))</f>
        <v/>
      </c>
      <c r="K39" s="11">
        <f>IF($A39="","",SUMIFS(Assignments!$X$2:$X$769,Assignments!$A$2:$A$769,$A39,Assignments!$G$2:$G$769,"Active",Assignments!$V$2:$V$769,"&lt;="&amp;K$4,Assignments!$W$2:$W$769,"&gt;="&amp;K$4)+SUMIFS(Assignments!$AA$2:$AA$769,Assignments!$A$2:$A$769,$A39,Assignments!$G$2:$G$769,"Active",Assignments!$Y$2:$Y$769,"&lt;="&amp;K$4,Assignments!$Z$2:$Z$769,"&gt;="&amp;K$4))</f>
        <v/>
      </c>
      <c r="L39" s="11">
        <f>IF($A39="","",SUMIFS(Assignments!$X$2:$X$769,Assignments!$A$2:$A$769,$A39,Assignments!$G$2:$G$769,"Active",Assignments!$V$2:$V$769,"&lt;="&amp;L$4,Assignments!$W$2:$W$769,"&gt;="&amp;L$4)+SUMIFS(Assignments!$AA$2:$AA$769,Assignments!$A$2:$A$769,$A39,Assignments!$G$2:$G$769,"Active",Assignments!$Y$2:$Y$769,"&lt;="&amp;L$4,Assignments!$Z$2:$Z$769,"&gt;="&amp;L$4))</f>
        <v/>
      </c>
      <c r="M39" s="11">
        <f>IF($A39="","",SUMIFS(Assignments!$X$2:$X$769,Assignments!$A$2:$A$769,$A39,Assignments!$G$2:$G$769,"Active",Assignments!$V$2:$V$769,"&lt;="&amp;M$4,Assignments!$W$2:$W$769,"&gt;="&amp;M$4)+SUMIFS(Assignments!$AA$2:$AA$769,Assignments!$A$2:$A$769,$A39,Assignments!$G$2:$G$769,"Active",Assignments!$Y$2:$Y$769,"&lt;="&amp;M$4,Assignments!$Z$2:$Z$769,"&gt;="&amp;M$4))</f>
        <v/>
      </c>
      <c r="N39" s="11">
        <f>IF($A39="","",SUMIFS(Assignments!$X$2:$X$769,Assignments!$A$2:$A$769,$A39,Assignments!$G$2:$G$769,"Active",Assignments!$V$2:$V$769,"&lt;="&amp;N$4,Assignments!$W$2:$W$769,"&gt;="&amp;N$4)+SUMIFS(Assignments!$AA$2:$AA$769,Assignments!$A$2:$A$769,$A39,Assignments!$G$2:$G$769,"Active",Assignments!$Y$2:$Y$769,"&lt;="&amp;N$4,Assignments!$Z$2:$Z$769,"&gt;="&amp;N$4))</f>
        <v/>
      </c>
      <c r="O39" s="11">
        <f>IF($A39="","",SUMIFS(Assignments!$X$2:$X$769,Assignments!$A$2:$A$769,$A39,Assignments!$G$2:$G$769,"Active",Assignments!$V$2:$V$769,"&lt;="&amp;O$4,Assignments!$W$2:$W$769,"&gt;="&amp;O$4)+SUMIFS(Assignments!$AA$2:$AA$769,Assignments!$A$2:$A$769,$A39,Assignments!$G$2:$G$769,"Active",Assignments!$Y$2:$Y$769,"&lt;="&amp;O$4,Assignments!$Z$2:$Z$769,"&gt;="&amp;O$4))</f>
        <v/>
      </c>
      <c r="P39" s="11">
        <f>IF($A39="","",SUMIFS(Assignments!$X$2:$X$769,Assignments!$A$2:$A$769,$A39,Assignments!$G$2:$G$769,"Active",Assignments!$V$2:$V$769,"&lt;="&amp;P$4,Assignments!$W$2:$W$769,"&gt;="&amp;P$4)+SUMIFS(Assignments!$AA$2:$AA$769,Assignments!$A$2:$A$769,$A39,Assignments!$G$2:$G$769,"Active",Assignments!$Y$2:$Y$769,"&lt;="&amp;P$4,Assignments!$Z$2:$Z$769,"&gt;="&amp;P$4))</f>
        <v/>
      </c>
      <c r="Q39" s="11">
        <f>IF($A39="","",SUMIFS(Assignments!$X$2:$X$769,Assignments!$A$2:$A$769,$A39,Assignments!$G$2:$G$769,"Active",Assignments!$V$2:$V$769,"&lt;="&amp;Q$4,Assignments!$W$2:$W$769,"&gt;="&amp;Q$4)+SUMIFS(Assignments!$AA$2:$AA$769,Assignments!$A$2:$A$769,$A39,Assignments!$G$2:$G$769,"Active",Assignments!$Y$2:$Y$769,"&lt;="&amp;Q$4,Assignments!$Z$2:$Z$769,"&gt;="&amp;Q$4))</f>
        <v/>
      </c>
      <c r="R39" s="11">
        <f>IF($A39="","",SUMIFS(Assignments!$X$2:$X$769,Assignments!$A$2:$A$769,$A39,Assignments!$G$2:$G$769,"Active",Assignments!$V$2:$V$769,"&lt;="&amp;R$4,Assignments!$W$2:$W$769,"&gt;="&amp;R$4)+SUMIFS(Assignments!$AA$2:$AA$769,Assignments!$A$2:$A$769,$A39,Assignments!$G$2:$G$769,"Active",Assignments!$Y$2:$Y$769,"&lt;="&amp;R$4,Assignments!$Z$2:$Z$769,"&gt;="&amp;R$4))</f>
        <v/>
      </c>
      <c r="S39" s="11">
        <f>IF($A39="","",SUMIFS(Assignments!$X$2:$X$769,Assignments!$A$2:$A$769,$A39,Assignments!$G$2:$G$769,"Active",Assignments!$V$2:$V$769,"&lt;="&amp;S$4,Assignments!$W$2:$W$769,"&gt;="&amp;S$4)+SUMIFS(Assignments!$AA$2:$AA$769,Assignments!$A$2:$A$769,$A39,Assignments!$G$2:$G$769,"Active",Assignments!$Y$2:$Y$769,"&lt;="&amp;S$4,Assignments!$Z$2:$Z$769,"&gt;="&amp;S$4))</f>
        <v/>
      </c>
      <c r="T39" s="11">
        <f>IF($A39="","",SUMIFS(Assignments!$X$2:$X$769,Assignments!$A$2:$A$769,$A39,Assignments!$G$2:$G$769,"Active",Assignments!$V$2:$V$769,"&lt;="&amp;T$4,Assignments!$W$2:$W$769,"&gt;="&amp;T$4)+SUMIFS(Assignments!$AA$2:$AA$769,Assignments!$A$2:$A$769,$A39,Assignments!$G$2:$G$769,"Active",Assignments!$Y$2:$Y$769,"&lt;="&amp;T$4,Assignments!$Z$2:$Z$769,"&gt;="&amp;T$4))</f>
        <v/>
      </c>
      <c r="U39" s="11">
        <f>IF($A39="","",SUMIFS(Assignments!$X$2:$X$769,Assignments!$A$2:$A$769,$A39,Assignments!$G$2:$G$769,"Active",Assignments!$V$2:$V$769,"&lt;="&amp;U$4,Assignments!$W$2:$W$769,"&gt;="&amp;U$4)+SUMIFS(Assignments!$AA$2:$AA$769,Assignments!$A$2:$A$769,$A39,Assignments!$G$2:$G$769,"Active",Assignments!$Y$2:$Y$769,"&lt;="&amp;U$4,Assignments!$Z$2:$Z$769,"&gt;="&amp;U$4))</f>
        <v/>
      </c>
      <c r="V39" s="11">
        <f>IF($A39="","",SUMIFS(Assignments!$X$2:$X$769,Assignments!$A$2:$A$769,$A39,Assignments!$G$2:$G$769,"Active",Assignments!$V$2:$V$769,"&lt;="&amp;V$4,Assignments!$W$2:$W$769,"&gt;="&amp;V$4)+SUMIFS(Assignments!$AA$2:$AA$769,Assignments!$A$2:$A$769,$A39,Assignments!$G$2:$G$769,"Active",Assignments!$Y$2:$Y$769,"&lt;="&amp;V$4,Assignments!$Z$2:$Z$769,"&gt;="&amp;V$4))</f>
        <v/>
      </c>
      <c r="W39" s="11">
        <f>IF($A39="","",SUMIFS(Assignments!$X$2:$X$769,Assignments!$A$2:$A$769,$A39,Assignments!$G$2:$G$769,"Active",Assignments!$V$2:$V$769,"&lt;="&amp;W$4,Assignments!$W$2:$W$769,"&gt;="&amp;W$4)+SUMIFS(Assignments!$AA$2:$AA$769,Assignments!$A$2:$A$769,$A39,Assignments!$G$2:$G$769,"Active",Assignments!$Y$2:$Y$769,"&lt;="&amp;W$4,Assignments!$Z$2:$Z$769,"&gt;="&amp;W$4))</f>
        <v/>
      </c>
      <c r="X39" s="11">
        <f>IF($A39="","",SUMIFS(Assignments!$X$2:$X$769,Assignments!$A$2:$A$769,$A39,Assignments!$G$2:$G$769,"Active",Assignments!$V$2:$V$769,"&lt;="&amp;X$4,Assignments!$W$2:$W$769,"&gt;="&amp;X$4)+SUMIFS(Assignments!$AA$2:$AA$769,Assignments!$A$2:$A$769,$A39,Assignments!$G$2:$G$769,"Active",Assignments!$Y$2:$Y$769,"&lt;="&amp;X$4,Assignments!$Z$2:$Z$769,"&gt;="&amp;X$4))</f>
        <v/>
      </c>
      <c r="Y39" s="11">
        <f>IF($A39="","",SUMIFS(Assignments!$X$2:$X$769,Assignments!$A$2:$A$769,$A39,Assignments!$G$2:$G$769,"Active",Assignments!$V$2:$V$769,"&lt;="&amp;Y$4,Assignments!$W$2:$W$769,"&gt;="&amp;Y$4)+SUMIFS(Assignments!$AA$2:$AA$769,Assignments!$A$2:$A$769,$A39,Assignments!$G$2:$G$769,"Active",Assignments!$Y$2:$Y$769,"&lt;="&amp;Y$4,Assignments!$Z$2:$Z$769,"&gt;="&amp;Y$4))</f>
        <v/>
      </c>
      <c r="Z39" s="11">
        <f>IF($A39="","",SUMIFS(Assignments!$X$2:$X$769,Assignments!$A$2:$A$769,$A39,Assignments!$G$2:$G$769,"Active",Assignments!$V$2:$V$769,"&lt;="&amp;Z$4,Assignments!$W$2:$W$769,"&gt;="&amp;Z$4)+SUMIFS(Assignments!$AA$2:$AA$769,Assignments!$A$2:$A$769,$A39,Assignments!$G$2:$G$769,"Active",Assignments!$Y$2:$Y$769,"&lt;="&amp;Z$4,Assignments!$Z$2:$Z$769,"&gt;="&amp;Z$4))</f>
        <v/>
      </c>
      <c r="AA39" s="11">
        <f>IF($A39="","",SUMIFS(Assignments!$X$2:$X$769,Assignments!$A$2:$A$769,$A39,Assignments!$G$2:$G$769,"Active",Assignments!$V$2:$V$769,"&lt;="&amp;AA$4,Assignments!$W$2:$W$769,"&gt;="&amp;AA$4)+SUMIFS(Assignments!$AA$2:$AA$769,Assignments!$A$2:$A$769,$A39,Assignments!$G$2:$G$769,"Active",Assignments!$Y$2:$Y$769,"&lt;="&amp;AA$4,Assignments!$Z$2:$Z$769,"&gt;="&amp;AA$4))</f>
        <v/>
      </c>
      <c r="AB39" s="11">
        <f>IF($A39="","",SUMIFS(Assignments!$X$2:$X$769,Assignments!$A$2:$A$769,$A39,Assignments!$G$2:$G$769,"Active",Assignments!$V$2:$V$769,"&lt;="&amp;AB$4,Assignments!$W$2:$W$769,"&gt;="&amp;AB$4)+SUMIFS(Assignments!$AA$2:$AA$769,Assignments!$A$2:$A$769,$A39,Assignments!$G$2:$G$769,"Active",Assignments!$Y$2:$Y$769,"&lt;="&amp;AB$4,Assignments!$Z$2:$Z$769,"&gt;="&amp;AB$4))</f>
        <v/>
      </c>
    </row>
    <row r="40">
      <c r="A40" s="9">
        <f>IF(Roster!$A37="","",Roster!$A37)</f>
        <v/>
      </c>
      <c r="B40" s="10">
        <f>IF($A40="","",IFERROR(INDEX(Roster!$D$2:$D$40,MATCH($A40,Roster!$A$2:$A$40,0)),""))</f>
        <v/>
      </c>
      <c r="C40" s="11">
        <f>IF($A40="","",SUMIFS(Assignments!$X$2:$X$769,Assignments!$A$2:$A$769,$A40,Assignments!$G$2:$G$769,"Active",Assignments!$V$2:$V$769,"&lt;="&amp;C$4,Assignments!$W$2:$W$769,"&gt;="&amp;C$4)+SUMIFS(Assignments!$AA$2:$AA$769,Assignments!$A$2:$A$769,$A40,Assignments!$G$2:$G$769,"Active",Assignments!$Y$2:$Y$769,"&lt;="&amp;C$4,Assignments!$Z$2:$Z$769,"&gt;="&amp;C$4))</f>
        <v/>
      </c>
      <c r="D40" s="11">
        <f>IF($A40="","",SUMIFS(Assignments!$X$2:$X$769,Assignments!$A$2:$A$769,$A40,Assignments!$G$2:$G$769,"Active",Assignments!$V$2:$V$769,"&lt;="&amp;D$4,Assignments!$W$2:$W$769,"&gt;="&amp;D$4)+SUMIFS(Assignments!$AA$2:$AA$769,Assignments!$A$2:$A$769,$A40,Assignments!$G$2:$G$769,"Active",Assignments!$Y$2:$Y$769,"&lt;="&amp;D$4,Assignments!$Z$2:$Z$769,"&gt;="&amp;D$4))</f>
        <v/>
      </c>
      <c r="E40" s="11">
        <f>IF($A40="","",SUMIFS(Assignments!$X$2:$X$769,Assignments!$A$2:$A$769,$A40,Assignments!$G$2:$G$769,"Active",Assignments!$V$2:$V$769,"&lt;="&amp;E$4,Assignments!$W$2:$W$769,"&gt;="&amp;E$4)+SUMIFS(Assignments!$AA$2:$AA$769,Assignments!$A$2:$A$769,$A40,Assignments!$G$2:$G$769,"Active",Assignments!$Y$2:$Y$769,"&lt;="&amp;E$4,Assignments!$Z$2:$Z$769,"&gt;="&amp;E$4))</f>
        <v/>
      </c>
      <c r="F40" s="11">
        <f>IF($A40="","",SUMIFS(Assignments!$X$2:$X$769,Assignments!$A$2:$A$769,$A40,Assignments!$G$2:$G$769,"Active",Assignments!$V$2:$V$769,"&lt;="&amp;F$4,Assignments!$W$2:$W$769,"&gt;="&amp;F$4)+SUMIFS(Assignments!$AA$2:$AA$769,Assignments!$A$2:$A$769,$A40,Assignments!$G$2:$G$769,"Active",Assignments!$Y$2:$Y$769,"&lt;="&amp;F$4,Assignments!$Z$2:$Z$769,"&gt;="&amp;F$4))</f>
        <v/>
      </c>
      <c r="G40" s="11">
        <f>IF($A40="","",SUMIFS(Assignments!$X$2:$X$769,Assignments!$A$2:$A$769,$A40,Assignments!$G$2:$G$769,"Active",Assignments!$V$2:$V$769,"&lt;="&amp;G$4,Assignments!$W$2:$W$769,"&gt;="&amp;G$4)+SUMIFS(Assignments!$AA$2:$AA$769,Assignments!$A$2:$A$769,$A40,Assignments!$G$2:$G$769,"Active",Assignments!$Y$2:$Y$769,"&lt;="&amp;G$4,Assignments!$Z$2:$Z$769,"&gt;="&amp;G$4))</f>
        <v/>
      </c>
      <c r="H40" s="11">
        <f>IF($A40="","",SUMIFS(Assignments!$X$2:$X$769,Assignments!$A$2:$A$769,$A40,Assignments!$G$2:$G$769,"Active",Assignments!$V$2:$V$769,"&lt;="&amp;H$4,Assignments!$W$2:$W$769,"&gt;="&amp;H$4)+SUMIFS(Assignments!$AA$2:$AA$769,Assignments!$A$2:$A$769,$A40,Assignments!$G$2:$G$769,"Active",Assignments!$Y$2:$Y$769,"&lt;="&amp;H$4,Assignments!$Z$2:$Z$769,"&gt;="&amp;H$4))</f>
        <v/>
      </c>
      <c r="I40" s="11">
        <f>IF($A40="","",SUMIFS(Assignments!$X$2:$X$769,Assignments!$A$2:$A$769,$A40,Assignments!$G$2:$G$769,"Active",Assignments!$V$2:$V$769,"&lt;="&amp;I$4,Assignments!$W$2:$W$769,"&gt;="&amp;I$4)+SUMIFS(Assignments!$AA$2:$AA$769,Assignments!$A$2:$A$769,$A40,Assignments!$G$2:$G$769,"Active",Assignments!$Y$2:$Y$769,"&lt;="&amp;I$4,Assignments!$Z$2:$Z$769,"&gt;="&amp;I$4))</f>
        <v/>
      </c>
      <c r="J40" s="11">
        <f>IF($A40="","",SUMIFS(Assignments!$X$2:$X$769,Assignments!$A$2:$A$769,$A40,Assignments!$G$2:$G$769,"Active",Assignments!$V$2:$V$769,"&lt;="&amp;J$4,Assignments!$W$2:$W$769,"&gt;="&amp;J$4)+SUMIFS(Assignments!$AA$2:$AA$769,Assignments!$A$2:$A$769,$A40,Assignments!$G$2:$G$769,"Active",Assignments!$Y$2:$Y$769,"&lt;="&amp;J$4,Assignments!$Z$2:$Z$769,"&gt;="&amp;J$4))</f>
        <v/>
      </c>
      <c r="K40" s="11">
        <f>IF($A40="","",SUMIFS(Assignments!$X$2:$X$769,Assignments!$A$2:$A$769,$A40,Assignments!$G$2:$G$769,"Active",Assignments!$V$2:$V$769,"&lt;="&amp;K$4,Assignments!$W$2:$W$769,"&gt;="&amp;K$4)+SUMIFS(Assignments!$AA$2:$AA$769,Assignments!$A$2:$A$769,$A40,Assignments!$G$2:$G$769,"Active",Assignments!$Y$2:$Y$769,"&lt;="&amp;K$4,Assignments!$Z$2:$Z$769,"&gt;="&amp;K$4))</f>
        <v/>
      </c>
      <c r="L40" s="11">
        <f>IF($A40="","",SUMIFS(Assignments!$X$2:$X$769,Assignments!$A$2:$A$769,$A40,Assignments!$G$2:$G$769,"Active",Assignments!$V$2:$V$769,"&lt;="&amp;L$4,Assignments!$W$2:$W$769,"&gt;="&amp;L$4)+SUMIFS(Assignments!$AA$2:$AA$769,Assignments!$A$2:$A$769,$A40,Assignments!$G$2:$G$769,"Active",Assignments!$Y$2:$Y$769,"&lt;="&amp;L$4,Assignments!$Z$2:$Z$769,"&gt;="&amp;L$4))</f>
        <v/>
      </c>
      <c r="M40" s="11">
        <f>IF($A40="","",SUMIFS(Assignments!$X$2:$X$769,Assignments!$A$2:$A$769,$A40,Assignments!$G$2:$G$769,"Active",Assignments!$V$2:$V$769,"&lt;="&amp;M$4,Assignments!$W$2:$W$769,"&gt;="&amp;M$4)+SUMIFS(Assignments!$AA$2:$AA$769,Assignments!$A$2:$A$769,$A40,Assignments!$G$2:$G$769,"Active",Assignments!$Y$2:$Y$769,"&lt;="&amp;M$4,Assignments!$Z$2:$Z$769,"&gt;="&amp;M$4))</f>
        <v/>
      </c>
      <c r="N40" s="11">
        <f>IF($A40="","",SUMIFS(Assignments!$X$2:$X$769,Assignments!$A$2:$A$769,$A40,Assignments!$G$2:$G$769,"Active",Assignments!$V$2:$V$769,"&lt;="&amp;N$4,Assignments!$W$2:$W$769,"&gt;="&amp;N$4)+SUMIFS(Assignments!$AA$2:$AA$769,Assignments!$A$2:$A$769,$A40,Assignments!$G$2:$G$769,"Active",Assignments!$Y$2:$Y$769,"&lt;="&amp;N$4,Assignments!$Z$2:$Z$769,"&gt;="&amp;N$4))</f>
        <v/>
      </c>
      <c r="O40" s="11">
        <f>IF($A40="","",SUMIFS(Assignments!$X$2:$X$769,Assignments!$A$2:$A$769,$A40,Assignments!$G$2:$G$769,"Active",Assignments!$V$2:$V$769,"&lt;="&amp;O$4,Assignments!$W$2:$W$769,"&gt;="&amp;O$4)+SUMIFS(Assignments!$AA$2:$AA$769,Assignments!$A$2:$A$769,$A40,Assignments!$G$2:$G$769,"Active",Assignments!$Y$2:$Y$769,"&lt;="&amp;O$4,Assignments!$Z$2:$Z$769,"&gt;="&amp;O$4))</f>
        <v/>
      </c>
      <c r="P40" s="11">
        <f>IF($A40="","",SUMIFS(Assignments!$X$2:$X$769,Assignments!$A$2:$A$769,$A40,Assignments!$G$2:$G$769,"Active",Assignments!$V$2:$V$769,"&lt;="&amp;P$4,Assignments!$W$2:$W$769,"&gt;="&amp;P$4)+SUMIFS(Assignments!$AA$2:$AA$769,Assignments!$A$2:$A$769,$A40,Assignments!$G$2:$G$769,"Active",Assignments!$Y$2:$Y$769,"&lt;="&amp;P$4,Assignments!$Z$2:$Z$769,"&gt;="&amp;P$4))</f>
        <v/>
      </c>
      <c r="Q40" s="11">
        <f>IF($A40="","",SUMIFS(Assignments!$X$2:$X$769,Assignments!$A$2:$A$769,$A40,Assignments!$G$2:$G$769,"Active",Assignments!$V$2:$V$769,"&lt;="&amp;Q$4,Assignments!$W$2:$W$769,"&gt;="&amp;Q$4)+SUMIFS(Assignments!$AA$2:$AA$769,Assignments!$A$2:$A$769,$A40,Assignments!$G$2:$G$769,"Active",Assignments!$Y$2:$Y$769,"&lt;="&amp;Q$4,Assignments!$Z$2:$Z$769,"&gt;="&amp;Q$4))</f>
        <v/>
      </c>
      <c r="R40" s="11">
        <f>IF($A40="","",SUMIFS(Assignments!$X$2:$X$769,Assignments!$A$2:$A$769,$A40,Assignments!$G$2:$G$769,"Active",Assignments!$V$2:$V$769,"&lt;="&amp;R$4,Assignments!$W$2:$W$769,"&gt;="&amp;R$4)+SUMIFS(Assignments!$AA$2:$AA$769,Assignments!$A$2:$A$769,$A40,Assignments!$G$2:$G$769,"Active",Assignments!$Y$2:$Y$769,"&lt;="&amp;R$4,Assignments!$Z$2:$Z$769,"&gt;="&amp;R$4))</f>
        <v/>
      </c>
      <c r="S40" s="11">
        <f>IF($A40="","",SUMIFS(Assignments!$X$2:$X$769,Assignments!$A$2:$A$769,$A40,Assignments!$G$2:$G$769,"Active",Assignments!$V$2:$V$769,"&lt;="&amp;S$4,Assignments!$W$2:$W$769,"&gt;="&amp;S$4)+SUMIFS(Assignments!$AA$2:$AA$769,Assignments!$A$2:$A$769,$A40,Assignments!$G$2:$G$769,"Active",Assignments!$Y$2:$Y$769,"&lt;="&amp;S$4,Assignments!$Z$2:$Z$769,"&gt;="&amp;S$4))</f>
        <v/>
      </c>
      <c r="T40" s="11">
        <f>IF($A40="","",SUMIFS(Assignments!$X$2:$X$769,Assignments!$A$2:$A$769,$A40,Assignments!$G$2:$G$769,"Active",Assignments!$V$2:$V$769,"&lt;="&amp;T$4,Assignments!$W$2:$W$769,"&gt;="&amp;T$4)+SUMIFS(Assignments!$AA$2:$AA$769,Assignments!$A$2:$A$769,$A40,Assignments!$G$2:$G$769,"Active",Assignments!$Y$2:$Y$769,"&lt;="&amp;T$4,Assignments!$Z$2:$Z$769,"&gt;="&amp;T$4))</f>
        <v/>
      </c>
      <c r="U40" s="11">
        <f>IF($A40="","",SUMIFS(Assignments!$X$2:$X$769,Assignments!$A$2:$A$769,$A40,Assignments!$G$2:$G$769,"Active",Assignments!$V$2:$V$769,"&lt;="&amp;U$4,Assignments!$W$2:$W$769,"&gt;="&amp;U$4)+SUMIFS(Assignments!$AA$2:$AA$769,Assignments!$A$2:$A$769,$A40,Assignments!$G$2:$G$769,"Active",Assignments!$Y$2:$Y$769,"&lt;="&amp;U$4,Assignments!$Z$2:$Z$769,"&gt;="&amp;U$4))</f>
        <v/>
      </c>
      <c r="V40" s="11">
        <f>IF($A40="","",SUMIFS(Assignments!$X$2:$X$769,Assignments!$A$2:$A$769,$A40,Assignments!$G$2:$G$769,"Active",Assignments!$V$2:$V$769,"&lt;="&amp;V$4,Assignments!$W$2:$W$769,"&gt;="&amp;V$4)+SUMIFS(Assignments!$AA$2:$AA$769,Assignments!$A$2:$A$769,$A40,Assignments!$G$2:$G$769,"Active",Assignments!$Y$2:$Y$769,"&lt;="&amp;V$4,Assignments!$Z$2:$Z$769,"&gt;="&amp;V$4))</f>
        <v/>
      </c>
      <c r="W40" s="11">
        <f>IF($A40="","",SUMIFS(Assignments!$X$2:$X$769,Assignments!$A$2:$A$769,$A40,Assignments!$G$2:$G$769,"Active",Assignments!$V$2:$V$769,"&lt;="&amp;W$4,Assignments!$W$2:$W$769,"&gt;="&amp;W$4)+SUMIFS(Assignments!$AA$2:$AA$769,Assignments!$A$2:$A$769,$A40,Assignments!$G$2:$G$769,"Active",Assignments!$Y$2:$Y$769,"&lt;="&amp;W$4,Assignments!$Z$2:$Z$769,"&gt;="&amp;W$4))</f>
        <v/>
      </c>
      <c r="X40" s="11">
        <f>IF($A40="","",SUMIFS(Assignments!$X$2:$X$769,Assignments!$A$2:$A$769,$A40,Assignments!$G$2:$G$769,"Active",Assignments!$V$2:$V$769,"&lt;="&amp;X$4,Assignments!$W$2:$W$769,"&gt;="&amp;X$4)+SUMIFS(Assignments!$AA$2:$AA$769,Assignments!$A$2:$A$769,$A40,Assignments!$G$2:$G$769,"Active",Assignments!$Y$2:$Y$769,"&lt;="&amp;X$4,Assignments!$Z$2:$Z$769,"&gt;="&amp;X$4))</f>
        <v/>
      </c>
      <c r="Y40" s="11">
        <f>IF($A40="","",SUMIFS(Assignments!$X$2:$X$769,Assignments!$A$2:$A$769,$A40,Assignments!$G$2:$G$769,"Active",Assignments!$V$2:$V$769,"&lt;="&amp;Y$4,Assignments!$W$2:$W$769,"&gt;="&amp;Y$4)+SUMIFS(Assignments!$AA$2:$AA$769,Assignments!$A$2:$A$769,$A40,Assignments!$G$2:$G$769,"Active",Assignments!$Y$2:$Y$769,"&lt;="&amp;Y$4,Assignments!$Z$2:$Z$769,"&gt;="&amp;Y$4))</f>
        <v/>
      </c>
      <c r="Z40" s="11">
        <f>IF($A40="","",SUMIFS(Assignments!$X$2:$X$769,Assignments!$A$2:$A$769,$A40,Assignments!$G$2:$G$769,"Active",Assignments!$V$2:$V$769,"&lt;="&amp;Z$4,Assignments!$W$2:$W$769,"&gt;="&amp;Z$4)+SUMIFS(Assignments!$AA$2:$AA$769,Assignments!$A$2:$A$769,$A40,Assignments!$G$2:$G$769,"Active",Assignments!$Y$2:$Y$769,"&lt;="&amp;Z$4,Assignments!$Z$2:$Z$769,"&gt;="&amp;Z$4))</f>
        <v/>
      </c>
      <c r="AA40" s="11">
        <f>IF($A40="","",SUMIFS(Assignments!$X$2:$X$769,Assignments!$A$2:$A$769,$A40,Assignments!$G$2:$G$769,"Active",Assignments!$V$2:$V$769,"&lt;="&amp;AA$4,Assignments!$W$2:$W$769,"&gt;="&amp;AA$4)+SUMIFS(Assignments!$AA$2:$AA$769,Assignments!$A$2:$A$769,$A40,Assignments!$G$2:$G$769,"Active",Assignments!$Y$2:$Y$769,"&lt;="&amp;AA$4,Assignments!$Z$2:$Z$769,"&gt;="&amp;AA$4))</f>
        <v/>
      </c>
      <c r="AB40" s="11">
        <f>IF($A40="","",SUMIFS(Assignments!$X$2:$X$769,Assignments!$A$2:$A$769,$A40,Assignments!$G$2:$G$769,"Active",Assignments!$V$2:$V$769,"&lt;="&amp;AB$4,Assignments!$W$2:$W$769,"&gt;="&amp;AB$4)+SUMIFS(Assignments!$AA$2:$AA$769,Assignments!$A$2:$A$769,$A40,Assignments!$G$2:$G$769,"Active",Assignments!$Y$2:$Y$769,"&lt;="&amp;AB$4,Assignments!$Z$2:$Z$769,"&gt;="&amp;AB$4))</f>
        <v/>
      </c>
    </row>
    <row r="41">
      <c r="A41" s="9">
        <f>IF(Roster!$A38="","",Roster!$A38)</f>
        <v/>
      </c>
      <c r="B41" s="10">
        <f>IF($A41="","",IFERROR(INDEX(Roster!$D$2:$D$40,MATCH($A41,Roster!$A$2:$A$40,0)),""))</f>
        <v/>
      </c>
      <c r="C41" s="11">
        <f>IF($A41="","",SUMIFS(Assignments!$X$2:$X$769,Assignments!$A$2:$A$769,$A41,Assignments!$G$2:$G$769,"Active",Assignments!$V$2:$V$769,"&lt;="&amp;C$4,Assignments!$W$2:$W$769,"&gt;="&amp;C$4)+SUMIFS(Assignments!$AA$2:$AA$769,Assignments!$A$2:$A$769,$A41,Assignments!$G$2:$G$769,"Active",Assignments!$Y$2:$Y$769,"&lt;="&amp;C$4,Assignments!$Z$2:$Z$769,"&gt;="&amp;C$4))</f>
        <v/>
      </c>
      <c r="D41" s="11">
        <f>IF($A41="","",SUMIFS(Assignments!$X$2:$X$769,Assignments!$A$2:$A$769,$A41,Assignments!$G$2:$G$769,"Active",Assignments!$V$2:$V$769,"&lt;="&amp;D$4,Assignments!$W$2:$W$769,"&gt;="&amp;D$4)+SUMIFS(Assignments!$AA$2:$AA$769,Assignments!$A$2:$A$769,$A41,Assignments!$G$2:$G$769,"Active",Assignments!$Y$2:$Y$769,"&lt;="&amp;D$4,Assignments!$Z$2:$Z$769,"&gt;="&amp;D$4))</f>
        <v/>
      </c>
      <c r="E41" s="11">
        <f>IF($A41="","",SUMIFS(Assignments!$X$2:$X$769,Assignments!$A$2:$A$769,$A41,Assignments!$G$2:$G$769,"Active",Assignments!$V$2:$V$769,"&lt;="&amp;E$4,Assignments!$W$2:$W$769,"&gt;="&amp;E$4)+SUMIFS(Assignments!$AA$2:$AA$769,Assignments!$A$2:$A$769,$A41,Assignments!$G$2:$G$769,"Active",Assignments!$Y$2:$Y$769,"&lt;="&amp;E$4,Assignments!$Z$2:$Z$769,"&gt;="&amp;E$4))</f>
        <v/>
      </c>
      <c r="F41" s="11">
        <f>IF($A41="","",SUMIFS(Assignments!$X$2:$X$769,Assignments!$A$2:$A$769,$A41,Assignments!$G$2:$G$769,"Active",Assignments!$V$2:$V$769,"&lt;="&amp;F$4,Assignments!$W$2:$W$769,"&gt;="&amp;F$4)+SUMIFS(Assignments!$AA$2:$AA$769,Assignments!$A$2:$A$769,$A41,Assignments!$G$2:$G$769,"Active",Assignments!$Y$2:$Y$769,"&lt;="&amp;F$4,Assignments!$Z$2:$Z$769,"&gt;="&amp;F$4))</f>
        <v/>
      </c>
      <c r="G41" s="11">
        <f>IF($A41="","",SUMIFS(Assignments!$X$2:$X$769,Assignments!$A$2:$A$769,$A41,Assignments!$G$2:$G$769,"Active",Assignments!$V$2:$V$769,"&lt;="&amp;G$4,Assignments!$W$2:$W$769,"&gt;="&amp;G$4)+SUMIFS(Assignments!$AA$2:$AA$769,Assignments!$A$2:$A$769,$A41,Assignments!$G$2:$G$769,"Active",Assignments!$Y$2:$Y$769,"&lt;="&amp;G$4,Assignments!$Z$2:$Z$769,"&gt;="&amp;G$4))</f>
        <v/>
      </c>
      <c r="H41" s="11">
        <f>IF($A41="","",SUMIFS(Assignments!$X$2:$X$769,Assignments!$A$2:$A$769,$A41,Assignments!$G$2:$G$769,"Active",Assignments!$V$2:$V$769,"&lt;="&amp;H$4,Assignments!$W$2:$W$769,"&gt;="&amp;H$4)+SUMIFS(Assignments!$AA$2:$AA$769,Assignments!$A$2:$A$769,$A41,Assignments!$G$2:$G$769,"Active",Assignments!$Y$2:$Y$769,"&lt;="&amp;H$4,Assignments!$Z$2:$Z$769,"&gt;="&amp;H$4))</f>
        <v/>
      </c>
      <c r="I41" s="11">
        <f>IF($A41="","",SUMIFS(Assignments!$X$2:$X$769,Assignments!$A$2:$A$769,$A41,Assignments!$G$2:$G$769,"Active",Assignments!$V$2:$V$769,"&lt;="&amp;I$4,Assignments!$W$2:$W$769,"&gt;="&amp;I$4)+SUMIFS(Assignments!$AA$2:$AA$769,Assignments!$A$2:$A$769,$A41,Assignments!$G$2:$G$769,"Active",Assignments!$Y$2:$Y$769,"&lt;="&amp;I$4,Assignments!$Z$2:$Z$769,"&gt;="&amp;I$4))</f>
        <v/>
      </c>
      <c r="J41" s="11">
        <f>IF($A41="","",SUMIFS(Assignments!$X$2:$X$769,Assignments!$A$2:$A$769,$A41,Assignments!$G$2:$G$769,"Active",Assignments!$V$2:$V$769,"&lt;="&amp;J$4,Assignments!$W$2:$W$769,"&gt;="&amp;J$4)+SUMIFS(Assignments!$AA$2:$AA$769,Assignments!$A$2:$A$769,$A41,Assignments!$G$2:$G$769,"Active",Assignments!$Y$2:$Y$769,"&lt;="&amp;J$4,Assignments!$Z$2:$Z$769,"&gt;="&amp;J$4))</f>
        <v/>
      </c>
      <c r="K41" s="11">
        <f>IF($A41="","",SUMIFS(Assignments!$X$2:$X$769,Assignments!$A$2:$A$769,$A41,Assignments!$G$2:$G$769,"Active",Assignments!$V$2:$V$769,"&lt;="&amp;K$4,Assignments!$W$2:$W$769,"&gt;="&amp;K$4)+SUMIFS(Assignments!$AA$2:$AA$769,Assignments!$A$2:$A$769,$A41,Assignments!$G$2:$G$769,"Active",Assignments!$Y$2:$Y$769,"&lt;="&amp;K$4,Assignments!$Z$2:$Z$769,"&gt;="&amp;K$4))</f>
        <v/>
      </c>
      <c r="L41" s="11">
        <f>IF($A41="","",SUMIFS(Assignments!$X$2:$X$769,Assignments!$A$2:$A$769,$A41,Assignments!$G$2:$G$769,"Active",Assignments!$V$2:$V$769,"&lt;="&amp;L$4,Assignments!$W$2:$W$769,"&gt;="&amp;L$4)+SUMIFS(Assignments!$AA$2:$AA$769,Assignments!$A$2:$A$769,$A41,Assignments!$G$2:$G$769,"Active",Assignments!$Y$2:$Y$769,"&lt;="&amp;L$4,Assignments!$Z$2:$Z$769,"&gt;="&amp;L$4))</f>
        <v/>
      </c>
      <c r="M41" s="11">
        <f>IF($A41="","",SUMIFS(Assignments!$X$2:$X$769,Assignments!$A$2:$A$769,$A41,Assignments!$G$2:$G$769,"Active",Assignments!$V$2:$V$769,"&lt;="&amp;M$4,Assignments!$W$2:$W$769,"&gt;="&amp;M$4)+SUMIFS(Assignments!$AA$2:$AA$769,Assignments!$A$2:$A$769,$A41,Assignments!$G$2:$G$769,"Active",Assignments!$Y$2:$Y$769,"&lt;="&amp;M$4,Assignments!$Z$2:$Z$769,"&gt;="&amp;M$4))</f>
        <v/>
      </c>
      <c r="N41" s="11">
        <f>IF($A41="","",SUMIFS(Assignments!$X$2:$X$769,Assignments!$A$2:$A$769,$A41,Assignments!$G$2:$G$769,"Active",Assignments!$V$2:$V$769,"&lt;="&amp;N$4,Assignments!$W$2:$W$769,"&gt;="&amp;N$4)+SUMIFS(Assignments!$AA$2:$AA$769,Assignments!$A$2:$A$769,$A41,Assignments!$G$2:$G$769,"Active",Assignments!$Y$2:$Y$769,"&lt;="&amp;N$4,Assignments!$Z$2:$Z$769,"&gt;="&amp;N$4))</f>
        <v/>
      </c>
      <c r="O41" s="11">
        <f>IF($A41="","",SUMIFS(Assignments!$X$2:$X$769,Assignments!$A$2:$A$769,$A41,Assignments!$G$2:$G$769,"Active",Assignments!$V$2:$V$769,"&lt;="&amp;O$4,Assignments!$W$2:$W$769,"&gt;="&amp;O$4)+SUMIFS(Assignments!$AA$2:$AA$769,Assignments!$A$2:$A$769,$A41,Assignments!$G$2:$G$769,"Active",Assignments!$Y$2:$Y$769,"&lt;="&amp;O$4,Assignments!$Z$2:$Z$769,"&gt;="&amp;O$4))</f>
        <v/>
      </c>
      <c r="P41" s="11">
        <f>IF($A41="","",SUMIFS(Assignments!$X$2:$X$769,Assignments!$A$2:$A$769,$A41,Assignments!$G$2:$G$769,"Active",Assignments!$V$2:$V$769,"&lt;="&amp;P$4,Assignments!$W$2:$W$769,"&gt;="&amp;P$4)+SUMIFS(Assignments!$AA$2:$AA$769,Assignments!$A$2:$A$769,$A41,Assignments!$G$2:$G$769,"Active",Assignments!$Y$2:$Y$769,"&lt;="&amp;P$4,Assignments!$Z$2:$Z$769,"&gt;="&amp;P$4))</f>
        <v/>
      </c>
      <c r="Q41" s="11">
        <f>IF($A41="","",SUMIFS(Assignments!$X$2:$X$769,Assignments!$A$2:$A$769,$A41,Assignments!$G$2:$G$769,"Active",Assignments!$V$2:$V$769,"&lt;="&amp;Q$4,Assignments!$W$2:$W$769,"&gt;="&amp;Q$4)+SUMIFS(Assignments!$AA$2:$AA$769,Assignments!$A$2:$A$769,$A41,Assignments!$G$2:$G$769,"Active",Assignments!$Y$2:$Y$769,"&lt;="&amp;Q$4,Assignments!$Z$2:$Z$769,"&gt;="&amp;Q$4))</f>
        <v/>
      </c>
      <c r="R41" s="11">
        <f>IF($A41="","",SUMIFS(Assignments!$X$2:$X$769,Assignments!$A$2:$A$769,$A41,Assignments!$G$2:$G$769,"Active",Assignments!$V$2:$V$769,"&lt;="&amp;R$4,Assignments!$W$2:$W$769,"&gt;="&amp;R$4)+SUMIFS(Assignments!$AA$2:$AA$769,Assignments!$A$2:$A$769,$A41,Assignments!$G$2:$G$769,"Active",Assignments!$Y$2:$Y$769,"&lt;="&amp;R$4,Assignments!$Z$2:$Z$769,"&gt;="&amp;R$4))</f>
        <v/>
      </c>
      <c r="S41" s="11">
        <f>IF($A41="","",SUMIFS(Assignments!$X$2:$X$769,Assignments!$A$2:$A$769,$A41,Assignments!$G$2:$G$769,"Active",Assignments!$V$2:$V$769,"&lt;="&amp;S$4,Assignments!$W$2:$W$769,"&gt;="&amp;S$4)+SUMIFS(Assignments!$AA$2:$AA$769,Assignments!$A$2:$A$769,$A41,Assignments!$G$2:$G$769,"Active",Assignments!$Y$2:$Y$769,"&lt;="&amp;S$4,Assignments!$Z$2:$Z$769,"&gt;="&amp;S$4))</f>
        <v/>
      </c>
      <c r="T41" s="11">
        <f>IF($A41="","",SUMIFS(Assignments!$X$2:$X$769,Assignments!$A$2:$A$769,$A41,Assignments!$G$2:$G$769,"Active",Assignments!$V$2:$V$769,"&lt;="&amp;T$4,Assignments!$W$2:$W$769,"&gt;="&amp;T$4)+SUMIFS(Assignments!$AA$2:$AA$769,Assignments!$A$2:$A$769,$A41,Assignments!$G$2:$G$769,"Active",Assignments!$Y$2:$Y$769,"&lt;="&amp;T$4,Assignments!$Z$2:$Z$769,"&gt;="&amp;T$4))</f>
        <v/>
      </c>
      <c r="U41" s="11">
        <f>IF($A41="","",SUMIFS(Assignments!$X$2:$X$769,Assignments!$A$2:$A$769,$A41,Assignments!$G$2:$G$769,"Active",Assignments!$V$2:$V$769,"&lt;="&amp;U$4,Assignments!$W$2:$W$769,"&gt;="&amp;U$4)+SUMIFS(Assignments!$AA$2:$AA$769,Assignments!$A$2:$A$769,$A41,Assignments!$G$2:$G$769,"Active",Assignments!$Y$2:$Y$769,"&lt;="&amp;U$4,Assignments!$Z$2:$Z$769,"&gt;="&amp;U$4))</f>
        <v/>
      </c>
      <c r="V41" s="11">
        <f>IF($A41="","",SUMIFS(Assignments!$X$2:$X$769,Assignments!$A$2:$A$769,$A41,Assignments!$G$2:$G$769,"Active",Assignments!$V$2:$V$769,"&lt;="&amp;V$4,Assignments!$W$2:$W$769,"&gt;="&amp;V$4)+SUMIFS(Assignments!$AA$2:$AA$769,Assignments!$A$2:$A$769,$A41,Assignments!$G$2:$G$769,"Active",Assignments!$Y$2:$Y$769,"&lt;="&amp;V$4,Assignments!$Z$2:$Z$769,"&gt;="&amp;V$4))</f>
        <v/>
      </c>
      <c r="W41" s="11">
        <f>IF($A41="","",SUMIFS(Assignments!$X$2:$X$769,Assignments!$A$2:$A$769,$A41,Assignments!$G$2:$G$769,"Active",Assignments!$V$2:$V$769,"&lt;="&amp;W$4,Assignments!$W$2:$W$769,"&gt;="&amp;W$4)+SUMIFS(Assignments!$AA$2:$AA$769,Assignments!$A$2:$A$769,$A41,Assignments!$G$2:$G$769,"Active",Assignments!$Y$2:$Y$769,"&lt;="&amp;W$4,Assignments!$Z$2:$Z$769,"&gt;="&amp;W$4))</f>
        <v/>
      </c>
      <c r="X41" s="11">
        <f>IF($A41="","",SUMIFS(Assignments!$X$2:$X$769,Assignments!$A$2:$A$769,$A41,Assignments!$G$2:$G$769,"Active",Assignments!$V$2:$V$769,"&lt;="&amp;X$4,Assignments!$W$2:$W$769,"&gt;="&amp;X$4)+SUMIFS(Assignments!$AA$2:$AA$769,Assignments!$A$2:$A$769,$A41,Assignments!$G$2:$G$769,"Active",Assignments!$Y$2:$Y$769,"&lt;="&amp;X$4,Assignments!$Z$2:$Z$769,"&gt;="&amp;X$4))</f>
        <v/>
      </c>
      <c r="Y41" s="11">
        <f>IF($A41="","",SUMIFS(Assignments!$X$2:$X$769,Assignments!$A$2:$A$769,$A41,Assignments!$G$2:$G$769,"Active",Assignments!$V$2:$V$769,"&lt;="&amp;Y$4,Assignments!$W$2:$W$769,"&gt;="&amp;Y$4)+SUMIFS(Assignments!$AA$2:$AA$769,Assignments!$A$2:$A$769,$A41,Assignments!$G$2:$G$769,"Active",Assignments!$Y$2:$Y$769,"&lt;="&amp;Y$4,Assignments!$Z$2:$Z$769,"&gt;="&amp;Y$4))</f>
        <v/>
      </c>
      <c r="Z41" s="11">
        <f>IF($A41="","",SUMIFS(Assignments!$X$2:$X$769,Assignments!$A$2:$A$769,$A41,Assignments!$G$2:$G$769,"Active",Assignments!$V$2:$V$769,"&lt;="&amp;Z$4,Assignments!$W$2:$W$769,"&gt;="&amp;Z$4)+SUMIFS(Assignments!$AA$2:$AA$769,Assignments!$A$2:$A$769,$A41,Assignments!$G$2:$G$769,"Active",Assignments!$Y$2:$Y$769,"&lt;="&amp;Z$4,Assignments!$Z$2:$Z$769,"&gt;="&amp;Z$4))</f>
        <v/>
      </c>
      <c r="AA41" s="11">
        <f>IF($A41="","",SUMIFS(Assignments!$X$2:$X$769,Assignments!$A$2:$A$769,$A41,Assignments!$G$2:$G$769,"Active",Assignments!$V$2:$V$769,"&lt;="&amp;AA$4,Assignments!$W$2:$W$769,"&gt;="&amp;AA$4)+SUMIFS(Assignments!$AA$2:$AA$769,Assignments!$A$2:$A$769,$A41,Assignments!$G$2:$G$769,"Active",Assignments!$Y$2:$Y$769,"&lt;="&amp;AA$4,Assignments!$Z$2:$Z$769,"&gt;="&amp;AA$4))</f>
        <v/>
      </c>
      <c r="AB41" s="11">
        <f>IF($A41="","",SUMIFS(Assignments!$X$2:$X$769,Assignments!$A$2:$A$769,$A41,Assignments!$G$2:$G$769,"Active",Assignments!$V$2:$V$769,"&lt;="&amp;AB$4,Assignments!$W$2:$W$769,"&gt;="&amp;AB$4)+SUMIFS(Assignments!$AA$2:$AA$769,Assignments!$A$2:$A$769,$A41,Assignments!$G$2:$G$769,"Active",Assignments!$Y$2:$Y$769,"&lt;="&amp;AB$4,Assignments!$Z$2:$Z$769,"&gt;="&amp;AB$4))</f>
        <v/>
      </c>
    </row>
    <row r="42">
      <c r="A42" s="9">
        <f>IF(Roster!$A39="","",Roster!$A39)</f>
        <v/>
      </c>
      <c r="B42" s="10">
        <f>IF($A42="","",IFERROR(INDEX(Roster!$D$2:$D$40,MATCH($A42,Roster!$A$2:$A$40,0)),""))</f>
        <v/>
      </c>
      <c r="C42" s="11">
        <f>IF($A42="","",SUMIFS(Assignments!$X$2:$X$769,Assignments!$A$2:$A$769,$A42,Assignments!$G$2:$G$769,"Active",Assignments!$V$2:$V$769,"&lt;="&amp;C$4,Assignments!$W$2:$W$769,"&gt;="&amp;C$4)+SUMIFS(Assignments!$AA$2:$AA$769,Assignments!$A$2:$A$769,$A42,Assignments!$G$2:$G$769,"Active",Assignments!$Y$2:$Y$769,"&lt;="&amp;C$4,Assignments!$Z$2:$Z$769,"&gt;="&amp;C$4))</f>
        <v/>
      </c>
      <c r="D42" s="11">
        <f>IF($A42="","",SUMIFS(Assignments!$X$2:$X$769,Assignments!$A$2:$A$769,$A42,Assignments!$G$2:$G$769,"Active",Assignments!$V$2:$V$769,"&lt;="&amp;D$4,Assignments!$W$2:$W$769,"&gt;="&amp;D$4)+SUMIFS(Assignments!$AA$2:$AA$769,Assignments!$A$2:$A$769,$A42,Assignments!$G$2:$G$769,"Active",Assignments!$Y$2:$Y$769,"&lt;="&amp;D$4,Assignments!$Z$2:$Z$769,"&gt;="&amp;D$4))</f>
        <v/>
      </c>
      <c r="E42" s="11">
        <f>IF($A42="","",SUMIFS(Assignments!$X$2:$X$769,Assignments!$A$2:$A$769,$A42,Assignments!$G$2:$G$769,"Active",Assignments!$V$2:$V$769,"&lt;="&amp;E$4,Assignments!$W$2:$W$769,"&gt;="&amp;E$4)+SUMIFS(Assignments!$AA$2:$AA$769,Assignments!$A$2:$A$769,$A42,Assignments!$G$2:$G$769,"Active",Assignments!$Y$2:$Y$769,"&lt;="&amp;E$4,Assignments!$Z$2:$Z$769,"&gt;="&amp;E$4))</f>
        <v/>
      </c>
      <c r="F42" s="11">
        <f>IF($A42="","",SUMIFS(Assignments!$X$2:$X$769,Assignments!$A$2:$A$769,$A42,Assignments!$G$2:$G$769,"Active",Assignments!$V$2:$V$769,"&lt;="&amp;F$4,Assignments!$W$2:$W$769,"&gt;="&amp;F$4)+SUMIFS(Assignments!$AA$2:$AA$769,Assignments!$A$2:$A$769,$A42,Assignments!$G$2:$G$769,"Active",Assignments!$Y$2:$Y$769,"&lt;="&amp;F$4,Assignments!$Z$2:$Z$769,"&gt;="&amp;F$4))</f>
        <v/>
      </c>
      <c r="G42" s="11">
        <f>IF($A42="","",SUMIFS(Assignments!$X$2:$X$769,Assignments!$A$2:$A$769,$A42,Assignments!$G$2:$G$769,"Active",Assignments!$V$2:$V$769,"&lt;="&amp;G$4,Assignments!$W$2:$W$769,"&gt;="&amp;G$4)+SUMIFS(Assignments!$AA$2:$AA$769,Assignments!$A$2:$A$769,$A42,Assignments!$G$2:$G$769,"Active",Assignments!$Y$2:$Y$769,"&lt;="&amp;G$4,Assignments!$Z$2:$Z$769,"&gt;="&amp;G$4))</f>
        <v/>
      </c>
      <c r="H42" s="11">
        <f>IF($A42="","",SUMIFS(Assignments!$X$2:$X$769,Assignments!$A$2:$A$769,$A42,Assignments!$G$2:$G$769,"Active",Assignments!$V$2:$V$769,"&lt;="&amp;H$4,Assignments!$W$2:$W$769,"&gt;="&amp;H$4)+SUMIFS(Assignments!$AA$2:$AA$769,Assignments!$A$2:$A$769,$A42,Assignments!$G$2:$G$769,"Active",Assignments!$Y$2:$Y$769,"&lt;="&amp;H$4,Assignments!$Z$2:$Z$769,"&gt;="&amp;H$4))</f>
        <v/>
      </c>
      <c r="I42" s="11">
        <f>IF($A42="","",SUMIFS(Assignments!$X$2:$X$769,Assignments!$A$2:$A$769,$A42,Assignments!$G$2:$G$769,"Active",Assignments!$V$2:$V$769,"&lt;="&amp;I$4,Assignments!$W$2:$W$769,"&gt;="&amp;I$4)+SUMIFS(Assignments!$AA$2:$AA$769,Assignments!$A$2:$A$769,$A42,Assignments!$G$2:$G$769,"Active",Assignments!$Y$2:$Y$769,"&lt;="&amp;I$4,Assignments!$Z$2:$Z$769,"&gt;="&amp;I$4))</f>
        <v/>
      </c>
      <c r="J42" s="11">
        <f>IF($A42="","",SUMIFS(Assignments!$X$2:$X$769,Assignments!$A$2:$A$769,$A42,Assignments!$G$2:$G$769,"Active",Assignments!$V$2:$V$769,"&lt;="&amp;J$4,Assignments!$W$2:$W$769,"&gt;="&amp;J$4)+SUMIFS(Assignments!$AA$2:$AA$769,Assignments!$A$2:$A$769,$A42,Assignments!$G$2:$G$769,"Active",Assignments!$Y$2:$Y$769,"&lt;="&amp;J$4,Assignments!$Z$2:$Z$769,"&gt;="&amp;J$4))</f>
        <v/>
      </c>
      <c r="K42" s="11">
        <f>IF($A42="","",SUMIFS(Assignments!$X$2:$X$769,Assignments!$A$2:$A$769,$A42,Assignments!$G$2:$G$769,"Active",Assignments!$V$2:$V$769,"&lt;="&amp;K$4,Assignments!$W$2:$W$769,"&gt;="&amp;K$4)+SUMIFS(Assignments!$AA$2:$AA$769,Assignments!$A$2:$A$769,$A42,Assignments!$G$2:$G$769,"Active",Assignments!$Y$2:$Y$769,"&lt;="&amp;K$4,Assignments!$Z$2:$Z$769,"&gt;="&amp;K$4))</f>
        <v/>
      </c>
      <c r="L42" s="11">
        <f>IF($A42="","",SUMIFS(Assignments!$X$2:$X$769,Assignments!$A$2:$A$769,$A42,Assignments!$G$2:$G$769,"Active",Assignments!$V$2:$V$769,"&lt;="&amp;L$4,Assignments!$W$2:$W$769,"&gt;="&amp;L$4)+SUMIFS(Assignments!$AA$2:$AA$769,Assignments!$A$2:$A$769,$A42,Assignments!$G$2:$G$769,"Active",Assignments!$Y$2:$Y$769,"&lt;="&amp;L$4,Assignments!$Z$2:$Z$769,"&gt;="&amp;L$4))</f>
        <v/>
      </c>
      <c r="M42" s="11">
        <f>IF($A42="","",SUMIFS(Assignments!$X$2:$X$769,Assignments!$A$2:$A$769,$A42,Assignments!$G$2:$G$769,"Active",Assignments!$V$2:$V$769,"&lt;="&amp;M$4,Assignments!$W$2:$W$769,"&gt;="&amp;M$4)+SUMIFS(Assignments!$AA$2:$AA$769,Assignments!$A$2:$A$769,$A42,Assignments!$G$2:$G$769,"Active",Assignments!$Y$2:$Y$769,"&lt;="&amp;M$4,Assignments!$Z$2:$Z$769,"&gt;="&amp;M$4))</f>
        <v/>
      </c>
      <c r="N42" s="11">
        <f>IF($A42="","",SUMIFS(Assignments!$X$2:$X$769,Assignments!$A$2:$A$769,$A42,Assignments!$G$2:$G$769,"Active",Assignments!$V$2:$V$769,"&lt;="&amp;N$4,Assignments!$W$2:$W$769,"&gt;="&amp;N$4)+SUMIFS(Assignments!$AA$2:$AA$769,Assignments!$A$2:$A$769,$A42,Assignments!$G$2:$G$769,"Active",Assignments!$Y$2:$Y$769,"&lt;="&amp;N$4,Assignments!$Z$2:$Z$769,"&gt;="&amp;N$4))</f>
        <v/>
      </c>
      <c r="O42" s="11">
        <f>IF($A42="","",SUMIFS(Assignments!$X$2:$X$769,Assignments!$A$2:$A$769,$A42,Assignments!$G$2:$G$769,"Active",Assignments!$V$2:$V$769,"&lt;="&amp;O$4,Assignments!$W$2:$W$769,"&gt;="&amp;O$4)+SUMIFS(Assignments!$AA$2:$AA$769,Assignments!$A$2:$A$769,$A42,Assignments!$G$2:$G$769,"Active",Assignments!$Y$2:$Y$769,"&lt;="&amp;O$4,Assignments!$Z$2:$Z$769,"&gt;="&amp;O$4))</f>
        <v/>
      </c>
      <c r="P42" s="11">
        <f>IF($A42="","",SUMIFS(Assignments!$X$2:$X$769,Assignments!$A$2:$A$769,$A42,Assignments!$G$2:$G$769,"Active",Assignments!$V$2:$V$769,"&lt;="&amp;P$4,Assignments!$W$2:$W$769,"&gt;="&amp;P$4)+SUMIFS(Assignments!$AA$2:$AA$769,Assignments!$A$2:$A$769,$A42,Assignments!$G$2:$G$769,"Active",Assignments!$Y$2:$Y$769,"&lt;="&amp;P$4,Assignments!$Z$2:$Z$769,"&gt;="&amp;P$4))</f>
        <v/>
      </c>
      <c r="Q42" s="11">
        <f>IF($A42="","",SUMIFS(Assignments!$X$2:$X$769,Assignments!$A$2:$A$769,$A42,Assignments!$G$2:$G$769,"Active",Assignments!$V$2:$V$769,"&lt;="&amp;Q$4,Assignments!$W$2:$W$769,"&gt;="&amp;Q$4)+SUMIFS(Assignments!$AA$2:$AA$769,Assignments!$A$2:$A$769,$A42,Assignments!$G$2:$G$769,"Active",Assignments!$Y$2:$Y$769,"&lt;="&amp;Q$4,Assignments!$Z$2:$Z$769,"&gt;="&amp;Q$4))</f>
        <v/>
      </c>
      <c r="R42" s="11">
        <f>IF($A42="","",SUMIFS(Assignments!$X$2:$X$769,Assignments!$A$2:$A$769,$A42,Assignments!$G$2:$G$769,"Active",Assignments!$V$2:$V$769,"&lt;="&amp;R$4,Assignments!$W$2:$W$769,"&gt;="&amp;R$4)+SUMIFS(Assignments!$AA$2:$AA$769,Assignments!$A$2:$A$769,$A42,Assignments!$G$2:$G$769,"Active",Assignments!$Y$2:$Y$769,"&lt;="&amp;R$4,Assignments!$Z$2:$Z$769,"&gt;="&amp;R$4))</f>
        <v/>
      </c>
      <c r="S42" s="11">
        <f>IF($A42="","",SUMIFS(Assignments!$X$2:$X$769,Assignments!$A$2:$A$769,$A42,Assignments!$G$2:$G$769,"Active",Assignments!$V$2:$V$769,"&lt;="&amp;S$4,Assignments!$W$2:$W$769,"&gt;="&amp;S$4)+SUMIFS(Assignments!$AA$2:$AA$769,Assignments!$A$2:$A$769,$A42,Assignments!$G$2:$G$769,"Active",Assignments!$Y$2:$Y$769,"&lt;="&amp;S$4,Assignments!$Z$2:$Z$769,"&gt;="&amp;S$4))</f>
        <v/>
      </c>
      <c r="T42" s="11">
        <f>IF($A42="","",SUMIFS(Assignments!$X$2:$X$769,Assignments!$A$2:$A$769,$A42,Assignments!$G$2:$G$769,"Active",Assignments!$V$2:$V$769,"&lt;="&amp;T$4,Assignments!$W$2:$W$769,"&gt;="&amp;T$4)+SUMIFS(Assignments!$AA$2:$AA$769,Assignments!$A$2:$A$769,$A42,Assignments!$G$2:$G$769,"Active",Assignments!$Y$2:$Y$769,"&lt;="&amp;T$4,Assignments!$Z$2:$Z$769,"&gt;="&amp;T$4))</f>
        <v/>
      </c>
      <c r="U42" s="11">
        <f>IF($A42="","",SUMIFS(Assignments!$X$2:$X$769,Assignments!$A$2:$A$769,$A42,Assignments!$G$2:$G$769,"Active",Assignments!$V$2:$V$769,"&lt;="&amp;U$4,Assignments!$W$2:$W$769,"&gt;="&amp;U$4)+SUMIFS(Assignments!$AA$2:$AA$769,Assignments!$A$2:$A$769,$A42,Assignments!$G$2:$G$769,"Active",Assignments!$Y$2:$Y$769,"&lt;="&amp;U$4,Assignments!$Z$2:$Z$769,"&gt;="&amp;U$4))</f>
        <v/>
      </c>
      <c r="V42" s="11">
        <f>IF($A42="","",SUMIFS(Assignments!$X$2:$X$769,Assignments!$A$2:$A$769,$A42,Assignments!$G$2:$G$769,"Active",Assignments!$V$2:$V$769,"&lt;="&amp;V$4,Assignments!$W$2:$W$769,"&gt;="&amp;V$4)+SUMIFS(Assignments!$AA$2:$AA$769,Assignments!$A$2:$A$769,$A42,Assignments!$G$2:$G$769,"Active",Assignments!$Y$2:$Y$769,"&lt;="&amp;V$4,Assignments!$Z$2:$Z$769,"&gt;="&amp;V$4))</f>
        <v/>
      </c>
      <c r="W42" s="11">
        <f>IF($A42="","",SUMIFS(Assignments!$X$2:$X$769,Assignments!$A$2:$A$769,$A42,Assignments!$G$2:$G$769,"Active",Assignments!$V$2:$V$769,"&lt;="&amp;W$4,Assignments!$W$2:$W$769,"&gt;="&amp;W$4)+SUMIFS(Assignments!$AA$2:$AA$769,Assignments!$A$2:$A$769,$A42,Assignments!$G$2:$G$769,"Active",Assignments!$Y$2:$Y$769,"&lt;="&amp;W$4,Assignments!$Z$2:$Z$769,"&gt;="&amp;W$4))</f>
        <v/>
      </c>
      <c r="X42" s="11">
        <f>IF($A42="","",SUMIFS(Assignments!$X$2:$X$769,Assignments!$A$2:$A$769,$A42,Assignments!$G$2:$G$769,"Active",Assignments!$V$2:$V$769,"&lt;="&amp;X$4,Assignments!$W$2:$W$769,"&gt;="&amp;X$4)+SUMIFS(Assignments!$AA$2:$AA$769,Assignments!$A$2:$A$769,$A42,Assignments!$G$2:$G$769,"Active",Assignments!$Y$2:$Y$769,"&lt;="&amp;X$4,Assignments!$Z$2:$Z$769,"&gt;="&amp;X$4))</f>
        <v/>
      </c>
      <c r="Y42" s="11">
        <f>IF($A42="","",SUMIFS(Assignments!$X$2:$X$769,Assignments!$A$2:$A$769,$A42,Assignments!$G$2:$G$769,"Active",Assignments!$V$2:$V$769,"&lt;="&amp;Y$4,Assignments!$W$2:$W$769,"&gt;="&amp;Y$4)+SUMIFS(Assignments!$AA$2:$AA$769,Assignments!$A$2:$A$769,$A42,Assignments!$G$2:$G$769,"Active",Assignments!$Y$2:$Y$769,"&lt;="&amp;Y$4,Assignments!$Z$2:$Z$769,"&gt;="&amp;Y$4))</f>
        <v/>
      </c>
      <c r="Z42" s="11">
        <f>IF($A42="","",SUMIFS(Assignments!$X$2:$X$769,Assignments!$A$2:$A$769,$A42,Assignments!$G$2:$G$769,"Active",Assignments!$V$2:$V$769,"&lt;="&amp;Z$4,Assignments!$W$2:$W$769,"&gt;="&amp;Z$4)+SUMIFS(Assignments!$AA$2:$AA$769,Assignments!$A$2:$A$769,$A42,Assignments!$G$2:$G$769,"Active",Assignments!$Y$2:$Y$769,"&lt;="&amp;Z$4,Assignments!$Z$2:$Z$769,"&gt;="&amp;Z$4))</f>
        <v/>
      </c>
      <c r="AA42" s="11">
        <f>IF($A42="","",SUMIFS(Assignments!$X$2:$X$769,Assignments!$A$2:$A$769,$A42,Assignments!$G$2:$G$769,"Active",Assignments!$V$2:$V$769,"&lt;="&amp;AA$4,Assignments!$W$2:$W$769,"&gt;="&amp;AA$4)+SUMIFS(Assignments!$AA$2:$AA$769,Assignments!$A$2:$A$769,$A42,Assignments!$G$2:$G$769,"Active",Assignments!$Y$2:$Y$769,"&lt;="&amp;AA$4,Assignments!$Z$2:$Z$769,"&gt;="&amp;AA$4))</f>
        <v/>
      </c>
      <c r="AB42" s="11">
        <f>IF($A42="","",SUMIFS(Assignments!$X$2:$X$769,Assignments!$A$2:$A$769,$A42,Assignments!$G$2:$G$769,"Active",Assignments!$V$2:$V$769,"&lt;="&amp;AB$4,Assignments!$W$2:$W$769,"&gt;="&amp;AB$4)+SUMIFS(Assignments!$AA$2:$AA$769,Assignments!$A$2:$A$769,$A42,Assignments!$G$2:$G$769,"Active",Assignments!$Y$2:$Y$769,"&lt;="&amp;AB$4,Assignments!$Z$2:$Z$769,"&gt;="&amp;AB$4))</f>
        <v/>
      </c>
    </row>
    <row r="43">
      <c r="A43" s="9">
        <f>IF(Roster!$A40="","",Roster!$A40)</f>
        <v/>
      </c>
      <c r="B43" s="10">
        <f>IF($A43="","",IFERROR(INDEX(Roster!$D$2:$D$40,MATCH($A43,Roster!$A$2:$A$40,0)),""))</f>
        <v/>
      </c>
      <c r="C43" s="11">
        <f>IF($A43="","",SUMIFS(Assignments!$X$2:$X$769,Assignments!$A$2:$A$769,$A43,Assignments!$G$2:$G$769,"Active",Assignments!$V$2:$V$769,"&lt;="&amp;C$4,Assignments!$W$2:$W$769,"&gt;="&amp;C$4)+SUMIFS(Assignments!$AA$2:$AA$769,Assignments!$A$2:$A$769,$A43,Assignments!$G$2:$G$769,"Active",Assignments!$Y$2:$Y$769,"&lt;="&amp;C$4,Assignments!$Z$2:$Z$769,"&gt;="&amp;C$4))</f>
        <v/>
      </c>
      <c r="D43" s="11">
        <f>IF($A43="","",SUMIFS(Assignments!$X$2:$X$769,Assignments!$A$2:$A$769,$A43,Assignments!$G$2:$G$769,"Active",Assignments!$V$2:$V$769,"&lt;="&amp;D$4,Assignments!$W$2:$W$769,"&gt;="&amp;D$4)+SUMIFS(Assignments!$AA$2:$AA$769,Assignments!$A$2:$A$769,$A43,Assignments!$G$2:$G$769,"Active",Assignments!$Y$2:$Y$769,"&lt;="&amp;D$4,Assignments!$Z$2:$Z$769,"&gt;="&amp;D$4))</f>
        <v/>
      </c>
      <c r="E43" s="11">
        <f>IF($A43="","",SUMIFS(Assignments!$X$2:$X$769,Assignments!$A$2:$A$769,$A43,Assignments!$G$2:$G$769,"Active",Assignments!$V$2:$V$769,"&lt;="&amp;E$4,Assignments!$W$2:$W$769,"&gt;="&amp;E$4)+SUMIFS(Assignments!$AA$2:$AA$769,Assignments!$A$2:$A$769,$A43,Assignments!$G$2:$G$769,"Active",Assignments!$Y$2:$Y$769,"&lt;="&amp;E$4,Assignments!$Z$2:$Z$769,"&gt;="&amp;E$4))</f>
        <v/>
      </c>
      <c r="F43" s="11">
        <f>IF($A43="","",SUMIFS(Assignments!$X$2:$X$769,Assignments!$A$2:$A$769,$A43,Assignments!$G$2:$G$769,"Active",Assignments!$V$2:$V$769,"&lt;="&amp;F$4,Assignments!$W$2:$W$769,"&gt;="&amp;F$4)+SUMIFS(Assignments!$AA$2:$AA$769,Assignments!$A$2:$A$769,$A43,Assignments!$G$2:$G$769,"Active",Assignments!$Y$2:$Y$769,"&lt;="&amp;F$4,Assignments!$Z$2:$Z$769,"&gt;="&amp;F$4))</f>
        <v/>
      </c>
      <c r="G43" s="11">
        <f>IF($A43="","",SUMIFS(Assignments!$X$2:$X$769,Assignments!$A$2:$A$769,$A43,Assignments!$G$2:$G$769,"Active",Assignments!$V$2:$V$769,"&lt;="&amp;G$4,Assignments!$W$2:$W$769,"&gt;="&amp;G$4)+SUMIFS(Assignments!$AA$2:$AA$769,Assignments!$A$2:$A$769,$A43,Assignments!$G$2:$G$769,"Active",Assignments!$Y$2:$Y$769,"&lt;="&amp;G$4,Assignments!$Z$2:$Z$769,"&gt;="&amp;G$4))</f>
        <v/>
      </c>
      <c r="H43" s="11">
        <f>IF($A43="","",SUMIFS(Assignments!$X$2:$X$769,Assignments!$A$2:$A$769,$A43,Assignments!$G$2:$G$769,"Active",Assignments!$V$2:$V$769,"&lt;="&amp;H$4,Assignments!$W$2:$W$769,"&gt;="&amp;H$4)+SUMIFS(Assignments!$AA$2:$AA$769,Assignments!$A$2:$A$769,$A43,Assignments!$G$2:$G$769,"Active",Assignments!$Y$2:$Y$769,"&lt;="&amp;H$4,Assignments!$Z$2:$Z$769,"&gt;="&amp;H$4))</f>
        <v/>
      </c>
      <c r="I43" s="11">
        <f>IF($A43="","",SUMIFS(Assignments!$X$2:$X$769,Assignments!$A$2:$A$769,$A43,Assignments!$G$2:$G$769,"Active",Assignments!$V$2:$V$769,"&lt;="&amp;I$4,Assignments!$W$2:$W$769,"&gt;="&amp;I$4)+SUMIFS(Assignments!$AA$2:$AA$769,Assignments!$A$2:$A$769,$A43,Assignments!$G$2:$G$769,"Active",Assignments!$Y$2:$Y$769,"&lt;="&amp;I$4,Assignments!$Z$2:$Z$769,"&gt;="&amp;I$4))</f>
        <v/>
      </c>
      <c r="J43" s="11">
        <f>IF($A43="","",SUMIFS(Assignments!$X$2:$X$769,Assignments!$A$2:$A$769,$A43,Assignments!$G$2:$G$769,"Active",Assignments!$V$2:$V$769,"&lt;="&amp;J$4,Assignments!$W$2:$W$769,"&gt;="&amp;J$4)+SUMIFS(Assignments!$AA$2:$AA$769,Assignments!$A$2:$A$769,$A43,Assignments!$G$2:$G$769,"Active",Assignments!$Y$2:$Y$769,"&lt;="&amp;J$4,Assignments!$Z$2:$Z$769,"&gt;="&amp;J$4))</f>
        <v/>
      </c>
      <c r="K43" s="11">
        <f>IF($A43="","",SUMIFS(Assignments!$X$2:$X$769,Assignments!$A$2:$A$769,$A43,Assignments!$G$2:$G$769,"Active",Assignments!$V$2:$V$769,"&lt;="&amp;K$4,Assignments!$W$2:$W$769,"&gt;="&amp;K$4)+SUMIFS(Assignments!$AA$2:$AA$769,Assignments!$A$2:$A$769,$A43,Assignments!$G$2:$G$769,"Active",Assignments!$Y$2:$Y$769,"&lt;="&amp;K$4,Assignments!$Z$2:$Z$769,"&gt;="&amp;K$4))</f>
        <v/>
      </c>
      <c r="L43" s="11">
        <f>IF($A43="","",SUMIFS(Assignments!$X$2:$X$769,Assignments!$A$2:$A$769,$A43,Assignments!$G$2:$G$769,"Active",Assignments!$V$2:$V$769,"&lt;="&amp;L$4,Assignments!$W$2:$W$769,"&gt;="&amp;L$4)+SUMIFS(Assignments!$AA$2:$AA$769,Assignments!$A$2:$A$769,$A43,Assignments!$G$2:$G$769,"Active",Assignments!$Y$2:$Y$769,"&lt;="&amp;L$4,Assignments!$Z$2:$Z$769,"&gt;="&amp;L$4))</f>
        <v/>
      </c>
      <c r="M43" s="11">
        <f>IF($A43="","",SUMIFS(Assignments!$X$2:$X$769,Assignments!$A$2:$A$769,$A43,Assignments!$G$2:$G$769,"Active",Assignments!$V$2:$V$769,"&lt;="&amp;M$4,Assignments!$W$2:$W$769,"&gt;="&amp;M$4)+SUMIFS(Assignments!$AA$2:$AA$769,Assignments!$A$2:$A$769,$A43,Assignments!$G$2:$G$769,"Active",Assignments!$Y$2:$Y$769,"&lt;="&amp;M$4,Assignments!$Z$2:$Z$769,"&gt;="&amp;M$4))</f>
        <v/>
      </c>
      <c r="N43" s="11">
        <f>IF($A43="","",SUMIFS(Assignments!$X$2:$X$769,Assignments!$A$2:$A$769,$A43,Assignments!$G$2:$G$769,"Active",Assignments!$V$2:$V$769,"&lt;="&amp;N$4,Assignments!$W$2:$W$769,"&gt;="&amp;N$4)+SUMIFS(Assignments!$AA$2:$AA$769,Assignments!$A$2:$A$769,$A43,Assignments!$G$2:$G$769,"Active",Assignments!$Y$2:$Y$769,"&lt;="&amp;N$4,Assignments!$Z$2:$Z$769,"&gt;="&amp;N$4))</f>
        <v/>
      </c>
      <c r="O43" s="11">
        <f>IF($A43="","",SUMIFS(Assignments!$X$2:$X$769,Assignments!$A$2:$A$769,$A43,Assignments!$G$2:$G$769,"Active",Assignments!$V$2:$V$769,"&lt;="&amp;O$4,Assignments!$W$2:$W$769,"&gt;="&amp;O$4)+SUMIFS(Assignments!$AA$2:$AA$769,Assignments!$A$2:$A$769,$A43,Assignments!$G$2:$G$769,"Active",Assignments!$Y$2:$Y$769,"&lt;="&amp;O$4,Assignments!$Z$2:$Z$769,"&gt;="&amp;O$4))</f>
        <v/>
      </c>
      <c r="P43" s="11">
        <f>IF($A43="","",SUMIFS(Assignments!$X$2:$X$769,Assignments!$A$2:$A$769,$A43,Assignments!$G$2:$G$769,"Active",Assignments!$V$2:$V$769,"&lt;="&amp;P$4,Assignments!$W$2:$W$769,"&gt;="&amp;P$4)+SUMIFS(Assignments!$AA$2:$AA$769,Assignments!$A$2:$A$769,$A43,Assignments!$G$2:$G$769,"Active",Assignments!$Y$2:$Y$769,"&lt;="&amp;P$4,Assignments!$Z$2:$Z$769,"&gt;="&amp;P$4))</f>
        <v/>
      </c>
      <c r="Q43" s="11">
        <f>IF($A43="","",SUMIFS(Assignments!$X$2:$X$769,Assignments!$A$2:$A$769,$A43,Assignments!$G$2:$G$769,"Active",Assignments!$V$2:$V$769,"&lt;="&amp;Q$4,Assignments!$W$2:$W$769,"&gt;="&amp;Q$4)+SUMIFS(Assignments!$AA$2:$AA$769,Assignments!$A$2:$A$769,$A43,Assignments!$G$2:$G$769,"Active",Assignments!$Y$2:$Y$769,"&lt;="&amp;Q$4,Assignments!$Z$2:$Z$769,"&gt;="&amp;Q$4))</f>
        <v/>
      </c>
      <c r="R43" s="11">
        <f>IF($A43="","",SUMIFS(Assignments!$X$2:$X$769,Assignments!$A$2:$A$769,$A43,Assignments!$G$2:$G$769,"Active",Assignments!$V$2:$V$769,"&lt;="&amp;R$4,Assignments!$W$2:$W$769,"&gt;="&amp;R$4)+SUMIFS(Assignments!$AA$2:$AA$769,Assignments!$A$2:$A$769,$A43,Assignments!$G$2:$G$769,"Active",Assignments!$Y$2:$Y$769,"&lt;="&amp;R$4,Assignments!$Z$2:$Z$769,"&gt;="&amp;R$4))</f>
        <v/>
      </c>
      <c r="S43" s="11">
        <f>IF($A43="","",SUMIFS(Assignments!$X$2:$X$769,Assignments!$A$2:$A$769,$A43,Assignments!$G$2:$G$769,"Active",Assignments!$V$2:$V$769,"&lt;="&amp;S$4,Assignments!$W$2:$W$769,"&gt;="&amp;S$4)+SUMIFS(Assignments!$AA$2:$AA$769,Assignments!$A$2:$A$769,$A43,Assignments!$G$2:$G$769,"Active",Assignments!$Y$2:$Y$769,"&lt;="&amp;S$4,Assignments!$Z$2:$Z$769,"&gt;="&amp;S$4))</f>
        <v/>
      </c>
      <c r="T43" s="11">
        <f>IF($A43="","",SUMIFS(Assignments!$X$2:$X$769,Assignments!$A$2:$A$769,$A43,Assignments!$G$2:$G$769,"Active",Assignments!$V$2:$V$769,"&lt;="&amp;T$4,Assignments!$W$2:$W$769,"&gt;="&amp;T$4)+SUMIFS(Assignments!$AA$2:$AA$769,Assignments!$A$2:$A$769,$A43,Assignments!$G$2:$G$769,"Active",Assignments!$Y$2:$Y$769,"&lt;="&amp;T$4,Assignments!$Z$2:$Z$769,"&gt;="&amp;T$4))</f>
        <v/>
      </c>
      <c r="U43" s="11">
        <f>IF($A43="","",SUMIFS(Assignments!$X$2:$X$769,Assignments!$A$2:$A$769,$A43,Assignments!$G$2:$G$769,"Active",Assignments!$V$2:$V$769,"&lt;="&amp;U$4,Assignments!$W$2:$W$769,"&gt;="&amp;U$4)+SUMIFS(Assignments!$AA$2:$AA$769,Assignments!$A$2:$A$769,$A43,Assignments!$G$2:$G$769,"Active",Assignments!$Y$2:$Y$769,"&lt;="&amp;U$4,Assignments!$Z$2:$Z$769,"&gt;="&amp;U$4))</f>
        <v/>
      </c>
      <c r="V43" s="11">
        <f>IF($A43="","",SUMIFS(Assignments!$X$2:$X$769,Assignments!$A$2:$A$769,$A43,Assignments!$G$2:$G$769,"Active",Assignments!$V$2:$V$769,"&lt;="&amp;V$4,Assignments!$W$2:$W$769,"&gt;="&amp;V$4)+SUMIFS(Assignments!$AA$2:$AA$769,Assignments!$A$2:$A$769,$A43,Assignments!$G$2:$G$769,"Active",Assignments!$Y$2:$Y$769,"&lt;="&amp;V$4,Assignments!$Z$2:$Z$769,"&gt;="&amp;V$4))</f>
        <v/>
      </c>
      <c r="W43" s="11">
        <f>IF($A43="","",SUMIFS(Assignments!$X$2:$X$769,Assignments!$A$2:$A$769,$A43,Assignments!$G$2:$G$769,"Active",Assignments!$V$2:$V$769,"&lt;="&amp;W$4,Assignments!$W$2:$W$769,"&gt;="&amp;W$4)+SUMIFS(Assignments!$AA$2:$AA$769,Assignments!$A$2:$A$769,$A43,Assignments!$G$2:$G$769,"Active",Assignments!$Y$2:$Y$769,"&lt;="&amp;W$4,Assignments!$Z$2:$Z$769,"&gt;="&amp;W$4))</f>
        <v/>
      </c>
      <c r="X43" s="11">
        <f>IF($A43="","",SUMIFS(Assignments!$X$2:$X$769,Assignments!$A$2:$A$769,$A43,Assignments!$G$2:$G$769,"Active",Assignments!$V$2:$V$769,"&lt;="&amp;X$4,Assignments!$W$2:$W$769,"&gt;="&amp;X$4)+SUMIFS(Assignments!$AA$2:$AA$769,Assignments!$A$2:$A$769,$A43,Assignments!$G$2:$G$769,"Active",Assignments!$Y$2:$Y$769,"&lt;="&amp;X$4,Assignments!$Z$2:$Z$769,"&gt;="&amp;X$4))</f>
        <v/>
      </c>
      <c r="Y43" s="11">
        <f>IF($A43="","",SUMIFS(Assignments!$X$2:$X$769,Assignments!$A$2:$A$769,$A43,Assignments!$G$2:$G$769,"Active",Assignments!$V$2:$V$769,"&lt;="&amp;Y$4,Assignments!$W$2:$W$769,"&gt;="&amp;Y$4)+SUMIFS(Assignments!$AA$2:$AA$769,Assignments!$A$2:$A$769,$A43,Assignments!$G$2:$G$769,"Active",Assignments!$Y$2:$Y$769,"&lt;="&amp;Y$4,Assignments!$Z$2:$Z$769,"&gt;="&amp;Y$4))</f>
        <v/>
      </c>
      <c r="Z43" s="11">
        <f>IF($A43="","",SUMIFS(Assignments!$X$2:$X$769,Assignments!$A$2:$A$769,$A43,Assignments!$G$2:$G$769,"Active",Assignments!$V$2:$V$769,"&lt;="&amp;Z$4,Assignments!$W$2:$W$769,"&gt;="&amp;Z$4)+SUMIFS(Assignments!$AA$2:$AA$769,Assignments!$A$2:$A$769,$A43,Assignments!$G$2:$G$769,"Active",Assignments!$Y$2:$Y$769,"&lt;="&amp;Z$4,Assignments!$Z$2:$Z$769,"&gt;="&amp;Z$4))</f>
        <v/>
      </c>
      <c r="AA43" s="11">
        <f>IF($A43="","",SUMIFS(Assignments!$X$2:$X$769,Assignments!$A$2:$A$769,$A43,Assignments!$G$2:$G$769,"Active",Assignments!$V$2:$V$769,"&lt;="&amp;AA$4,Assignments!$W$2:$W$769,"&gt;="&amp;AA$4)+SUMIFS(Assignments!$AA$2:$AA$769,Assignments!$A$2:$A$769,$A43,Assignments!$G$2:$G$769,"Active",Assignments!$Y$2:$Y$769,"&lt;="&amp;AA$4,Assignments!$Z$2:$Z$769,"&gt;="&amp;AA$4))</f>
        <v/>
      </c>
      <c r="AB43" s="11">
        <f>IF($A43="","",SUMIFS(Assignments!$X$2:$X$769,Assignments!$A$2:$A$769,$A43,Assignments!$G$2:$G$769,"Active",Assignments!$V$2:$V$769,"&lt;="&amp;AB$4,Assignments!$W$2:$W$769,"&gt;="&amp;AB$4)+SUMIFS(Assignments!$AA$2:$AA$769,Assignments!$A$2:$A$769,$A43,Assignments!$G$2:$G$769,"Active",Assignments!$Y$2:$Y$769,"&lt;="&amp;AB$4,Assignments!$Z$2:$Z$769,"&gt;="&amp;AB$4))</f>
        <v/>
      </c>
    </row>
    <row r="44"/>
    <row r="45">
      <c r="A45" s="12" t="inlineStr">
        <is>
          <t>Team planned</t>
        </is>
      </c>
      <c r="C45" s="13">
        <f>SUM(C5:C43)</f>
        <v/>
      </c>
      <c r="D45" s="13">
        <f>SUM(D5:D43)</f>
        <v/>
      </c>
      <c r="E45" s="13">
        <f>SUM(E5:E43)</f>
        <v/>
      </c>
      <c r="F45" s="13">
        <f>SUM(F5:F43)</f>
        <v/>
      </c>
      <c r="G45" s="13">
        <f>SUM(G5:G43)</f>
        <v/>
      </c>
      <c r="H45" s="13">
        <f>SUM(H5:H43)</f>
        <v/>
      </c>
      <c r="I45" s="13">
        <f>SUM(I5:I43)</f>
        <v/>
      </c>
      <c r="J45" s="13">
        <f>SUM(J5:J43)</f>
        <v/>
      </c>
      <c r="K45" s="13">
        <f>SUM(K5:K43)</f>
        <v/>
      </c>
      <c r="L45" s="13">
        <f>SUM(L5:L43)</f>
        <v/>
      </c>
      <c r="M45" s="13">
        <f>SUM(M5:M43)</f>
        <v/>
      </c>
      <c r="N45" s="13">
        <f>SUM(N5:N43)</f>
        <v/>
      </c>
      <c r="O45" s="13">
        <f>SUM(O5:O43)</f>
        <v/>
      </c>
      <c r="P45" s="13">
        <f>SUM(P5:P43)</f>
        <v/>
      </c>
      <c r="Q45" s="13">
        <f>SUM(Q5:Q43)</f>
        <v/>
      </c>
      <c r="R45" s="13">
        <f>SUM(R5:R43)</f>
        <v/>
      </c>
      <c r="S45" s="13">
        <f>SUM(S5:S43)</f>
        <v/>
      </c>
      <c r="T45" s="13">
        <f>SUM(T5:T43)</f>
        <v/>
      </c>
      <c r="U45" s="13">
        <f>SUM(U5:U43)</f>
        <v/>
      </c>
      <c r="V45" s="13">
        <f>SUM(V5:V43)</f>
        <v/>
      </c>
      <c r="W45" s="13">
        <f>SUM(W5:W43)</f>
        <v/>
      </c>
      <c r="X45" s="13">
        <f>SUM(X5:X43)</f>
        <v/>
      </c>
      <c r="Y45" s="13">
        <f>SUM(Y5:Y43)</f>
        <v/>
      </c>
      <c r="Z45" s="13">
        <f>SUM(Z5:Z43)</f>
        <v/>
      </c>
      <c r="AA45" s="13">
        <f>SUM(AA5:AA43)</f>
        <v/>
      </c>
      <c r="AB45" s="13">
        <f>SUM(AB5:AB43)</f>
        <v/>
      </c>
    </row>
    <row r="46">
      <c r="A46" s="12" t="inlineStr">
        <is>
          <t>Team capacity</t>
        </is>
      </c>
      <c r="C46" s="13">
        <f>SUM(Roster!$D$2:$D$40)</f>
        <v/>
      </c>
      <c r="D46" s="13">
        <f>SUM(Roster!$D$2:$D$40)</f>
        <v/>
      </c>
      <c r="E46" s="13">
        <f>SUM(Roster!$D$2:$D$40)</f>
        <v/>
      </c>
      <c r="F46" s="13">
        <f>SUM(Roster!$D$2:$D$40)</f>
        <v/>
      </c>
      <c r="G46" s="13">
        <f>SUM(Roster!$D$2:$D$40)</f>
        <v/>
      </c>
      <c r="H46" s="13">
        <f>SUM(Roster!$D$2:$D$40)</f>
        <v/>
      </c>
      <c r="I46" s="13">
        <f>SUM(Roster!$D$2:$D$40)</f>
        <v/>
      </c>
      <c r="J46" s="13">
        <f>SUM(Roster!$D$2:$D$40)</f>
        <v/>
      </c>
      <c r="K46" s="13">
        <f>SUM(Roster!$D$2:$D$40)</f>
        <v/>
      </c>
      <c r="L46" s="13">
        <f>SUM(Roster!$D$2:$D$40)</f>
        <v/>
      </c>
      <c r="M46" s="13">
        <f>SUM(Roster!$D$2:$D$40)</f>
        <v/>
      </c>
      <c r="N46" s="13">
        <f>SUM(Roster!$D$2:$D$40)</f>
        <v/>
      </c>
      <c r="O46" s="13">
        <f>SUM(Roster!$D$2:$D$40)</f>
        <v/>
      </c>
      <c r="P46" s="13">
        <f>SUM(Roster!$D$2:$D$40)</f>
        <v/>
      </c>
      <c r="Q46" s="13">
        <f>SUM(Roster!$D$2:$D$40)</f>
        <v/>
      </c>
      <c r="R46" s="13">
        <f>SUM(Roster!$D$2:$D$40)</f>
        <v/>
      </c>
      <c r="S46" s="13">
        <f>SUM(Roster!$D$2:$D$40)</f>
        <v/>
      </c>
      <c r="T46" s="13">
        <f>SUM(Roster!$D$2:$D$40)</f>
        <v/>
      </c>
      <c r="U46" s="13">
        <f>SUM(Roster!$D$2:$D$40)</f>
        <v/>
      </c>
      <c r="V46" s="13">
        <f>SUM(Roster!$D$2:$D$40)</f>
        <v/>
      </c>
      <c r="W46" s="13">
        <f>SUM(Roster!$D$2:$D$40)</f>
        <v/>
      </c>
      <c r="X46" s="13">
        <f>SUM(Roster!$D$2:$D$40)</f>
        <v/>
      </c>
      <c r="Y46" s="13">
        <f>SUM(Roster!$D$2:$D$40)</f>
        <v/>
      </c>
      <c r="Z46" s="13">
        <f>SUM(Roster!$D$2:$D$40)</f>
        <v/>
      </c>
      <c r="AA46" s="13">
        <f>SUM(Roster!$D$2:$D$40)</f>
        <v/>
      </c>
      <c r="AB46" s="13">
        <f>SUM(Roster!$D$2:$D$40)</f>
        <v/>
      </c>
    </row>
    <row r="47">
      <c r="A47" s="12" t="inlineStr">
        <is>
          <t>Headroom</t>
        </is>
      </c>
      <c r="C47" s="13">
        <f>C46-C45</f>
        <v/>
      </c>
      <c r="D47" s="13">
        <f>D46-D45</f>
        <v/>
      </c>
      <c r="E47" s="13">
        <f>E46-E45</f>
        <v/>
      </c>
      <c r="F47" s="13">
        <f>F46-F45</f>
        <v/>
      </c>
      <c r="G47" s="13">
        <f>G46-G45</f>
        <v/>
      </c>
      <c r="H47" s="13">
        <f>H46-H45</f>
        <v/>
      </c>
      <c r="I47" s="13">
        <f>I46-I45</f>
        <v/>
      </c>
      <c r="J47" s="13">
        <f>J46-J45</f>
        <v/>
      </c>
      <c r="K47" s="13">
        <f>K46-K45</f>
        <v/>
      </c>
      <c r="L47" s="13">
        <f>L46-L45</f>
        <v/>
      </c>
      <c r="M47" s="13">
        <f>M46-M45</f>
        <v/>
      </c>
      <c r="N47" s="13">
        <f>N46-N45</f>
        <v/>
      </c>
      <c r="O47" s="13">
        <f>O46-O45</f>
        <v/>
      </c>
      <c r="P47" s="13">
        <f>P46-P45</f>
        <v/>
      </c>
      <c r="Q47" s="13">
        <f>Q46-Q45</f>
        <v/>
      </c>
      <c r="R47" s="13">
        <f>R46-R45</f>
        <v/>
      </c>
      <c r="S47" s="13">
        <f>S46-S45</f>
        <v/>
      </c>
      <c r="T47" s="13">
        <f>T46-T45</f>
        <v/>
      </c>
      <c r="U47" s="13">
        <f>U46-U45</f>
        <v/>
      </c>
      <c r="V47" s="13">
        <f>V46-V45</f>
        <v/>
      </c>
      <c r="W47" s="13">
        <f>W46-W45</f>
        <v/>
      </c>
      <c r="X47" s="13">
        <f>X46-X45</f>
        <v/>
      </c>
      <c r="Y47" s="13">
        <f>Y46-Y45</f>
        <v/>
      </c>
      <c r="Z47" s="13">
        <f>Z46-Z45</f>
        <v/>
      </c>
      <c r="AA47" s="13">
        <f>AA46-AA45</f>
        <v/>
      </c>
      <c r="AB47" s="13">
        <f>AB46-AB45</f>
        <v/>
      </c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1"/>
  <conditionalFormatting sqref="C5:AB43">
    <cfRule type="expression" priority="1" dxfId="0" stopIfTrue="1">
      <formula>AND(ISNUMBER(C5),ISNUMBER($B5),C5&gt;$B5)</formula>
    </cfRule>
    <cfRule type="expression" priority="2" dxfId="1" stopIfTrue="1">
      <formula>AND(ISNUMBER(C5),ISNUMBER($B5),C5&gt;0.85*$B5)</formula>
    </cfRule>
  </conditionalFormatting>
  <conditionalFormatting sqref="C47:AB47">
    <cfRule type="expression" priority="3" dxfId="0">
      <formula>C47&lt;0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I40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0" customWidth="1" min="4" max="4"/>
    <col width="8" customWidth="1" min="5" max="5"/>
    <col width="9" customWidth="1" min="6" max="6"/>
    <col width="11" customWidth="1" min="7" max="7"/>
    <col width="11" customWidth="1" min="8" max="8"/>
    <col width="46" customWidth="1" min="9" max="9"/>
  </cols>
  <sheetData>
    <row r="1">
      <c r="A1" s="5" t="inlineStr">
        <is>
          <t>Weekly Check-in Agenda</t>
        </is>
      </c>
    </row>
    <row r="2" ht="28" customHeight="1">
      <c r="A2" s="6">
        <f>"As of "&amp;TEXT(Settings!$B$19,"yyyy-mm-dd")&amp;" | Validate near-term capacity, rebalance workload, confirm staffing on incoming deals. Update Settings!B19 to today before each check-in."</f>
        <v/>
      </c>
    </row>
    <row r="3" ht="40" customHeight="1">
      <c r="A3" s="6" t="inlineStr">
        <is>
          <t>Definitions (adjust in Settings if the team means something different): 'Missing level' = the deal has an Effort archetype that expects hours from a level, but nobody at that level is actively staffed. 'Stale' = weeks since Added-on &gt;= the Settings threshold (currently editable at Settings!B20).</t>
        </is>
      </c>
    </row>
    <row r="4"/>
    <row r="5">
      <c r="A5" s="14" t="inlineStr">
        <is>
          <t>1) Capacity - next 4 weeks</t>
        </is>
      </c>
    </row>
    <row r="6" ht="28" customHeight="1">
      <c r="A6" s="15" t="inlineStr">
        <is>
          <t>Person</t>
        </is>
      </c>
      <c r="B6" s="15" t="inlineStr">
        <is>
          <t>Level</t>
        </is>
      </c>
      <c r="C6" s="15" t="inlineStr">
        <is>
          <t>Cap hrs/wk</t>
        </is>
      </c>
      <c r="D6" s="15" t="inlineStr">
        <is>
          <t>Max load (4 wk)</t>
        </is>
      </c>
      <c r="E6" s="15" t="inlineStr">
        <is>
          <t>Max utilization</t>
        </is>
      </c>
      <c r="F6" s="15" t="inlineStr">
        <is>
          <t>Flag</t>
        </is>
      </c>
    </row>
    <row r="7">
      <c r="A7" s="16">
        <f>IF(Roster!$A2="","",Roster!$A2)</f>
        <v/>
      </c>
      <c r="B7" s="16">
        <f>IF($A7="","",Roster!$B2)</f>
        <v/>
      </c>
      <c r="C7" s="17">
        <f>IF($A7="","",Roster!$D2)</f>
        <v/>
      </c>
      <c r="D7" s="18">
        <f>IF($A7="","",MAX(Capacity!$C$5:$F$5))</f>
        <v/>
      </c>
      <c r="E7" s="19">
        <f>IF(OR($A7="",$C7=0),"",$D7/$C7)</f>
        <v/>
      </c>
      <c r="F7" s="20">
        <f>IF($A7="","",IF(AND(ISNUMBER($E7),$E7&gt;1),"OVER-ALLOCATED",IF(AND(ISNUMBER($E7),$E7&lt;0.5),"UNDER-UTILIZED","")))</f>
        <v/>
      </c>
    </row>
    <row r="8">
      <c r="A8" s="16">
        <f>IF(Roster!$A3="","",Roster!$A3)</f>
        <v/>
      </c>
      <c r="B8" s="16">
        <f>IF($A8="","",Roster!$B3)</f>
        <v/>
      </c>
      <c r="C8" s="17">
        <f>IF($A8="","",Roster!$D3)</f>
        <v/>
      </c>
      <c r="D8" s="18">
        <f>IF($A8="","",MAX(Capacity!$C$6:$F$6))</f>
        <v/>
      </c>
      <c r="E8" s="19">
        <f>IF(OR($A8="",$C8=0),"",$D8/$C8)</f>
        <v/>
      </c>
      <c r="F8" s="20">
        <f>IF($A8="","",IF(AND(ISNUMBER($E8),$E8&gt;1),"OVER-ALLOCATED",IF(AND(ISNUMBER($E8),$E8&lt;0.5),"UNDER-UTILIZED","")))</f>
        <v/>
      </c>
    </row>
    <row r="9">
      <c r="A9" s="16">
        <f>IF(Roster!$A4="","",Roster!$A4)</f>
        <v/>
      </c>
      <c r="B9" s="16">
        <f>IF($A9="","",Roster!$B4)</f>
        <v/>
      </c>
      <c r="C9" s="17">
        <f>IF($A9="","",Roster!$D4)</f>
        <v/>
      </c>
      <c r="D9" s="18">
        <f>IF($A9="","",MAX(Capacity!$C$7:$F$7))</f>
        <v/>
      </c>
      <c r="E9" s="19">
        <f>IF(OR($A9="",$C9=0),"",$D9/$C9)</f>
        <v/>
      </c>
      <c r="F9" s="20">
        <f>IF($A9="","",IF(AND(ISNUMBER($E9),$E9&gt;1),"OVER-ALLOCATED",IF(AND(ISNUMBER($E9),$E9&lt;0.5),"UNDER-UTILIZED","")))</f>
        <v/>
      </c>
    </row>
    <row r="10">
      <c r="A10" s="16">
        <f>IF(Roster!$A5="","",Roster!$A5)</f>
        <v/>
      </c>
      <c r="B10" s="16">
        <f>IF($A10="","",Roster!$B5)</f>
        <v/>
      </c>
      <c r="C10" s="17">
        <f>IF($A10="","",Roster!$D5)</f>
        <v/>
      </c>
      <c r="D10" s="18">
        <f>IF($A10="","",MAX(Capacity!$C$8:$F$8))</f>
        <v/>
      </c>
      <c r="E10" s="19">
        <f>IF(OR($A10="",$C10=0),"",$D10/$C10)</f>
        <v/>
      </c>
      <c r="F10" s="20">
        <f>IF($A10="","",IF(AND(ISNUMBER($E10),$E10&gt;1),"OVER-ALLOCATED",IF(AND(ISNUMBER($E10),$E10&lt;0.5),"UNDER-UTILIZED","")))</f>
        <v/>
      </c>
    </row>
    <row r="11">
      <c r="A11" s="16">
        <f>IF(Roster!$A6="","",Roster!$A6)</f>
        <v/>
      </c>
      <c r="B11" s="16">
        <f>IF($A11="","",Roster!$B6)</f>
        <v/>
      </c>
      <c r="C11" s="17">
        <f>IF($A11="","",Roster!$D6)</f>
        <v/>
      </c>
      <c r="D11" s="18">
        <f>IF($A11="","",MAX(Capacity!$C$9:$F$9))</f>
        <v/>
      </c>
      <c r="E11" s="19">
        <f>IF(OR($A11="",$C11=0),"",$D11/$C11)</f>
        <v/>
      </c>
      <c r="F11" s="20">
        <f>IF($A11="","",IF(AND(ISNUMBER($E11),$E11&gt;1),"OVER-ALLOCATED",IF(AND(ISNUMBER($E11),$E11&lt;0.5),"UNDER-UTILIZED","")))</f>
        <v/>
      </c>
    </row>
    <row r="12">
      <c r="A12" s="16">
        <f>IF(Roster!$A7="","",Roster!$A7)</f>
        <v/>
      </c>
      <c r="B12" s="16">
        <f>IF($A12="","",Roster!$B7)</f>
        <v/>
      </c>
      <c r="C12" s="17">
        <f>IF($A12="","",Roster!$D7)</f>
        <v/>
      </c>
      <c r="D12" s="18">
        <f>IF($A12="","",MAX(Capacity!$C$10:$F$10))</f>
        <v/>
      </c>
      <c r="E12" s="19">
        <f>IF(OR($A12="",$C12=0),"",$D12/$C12)</f>
        <v/>
      </c>
      <c r="F12" s="20">
        <f>IF($A12="","",IF(AND(ISNUMBER($E12),$E12&gt;1),"OVER-ALLOCATED",IF(AND(ISNUMBER($E12),$E12&lt;0.5),"UNDER-UTILIZED","")))</f>
        <v/>
      </c>
    </row>
    <row r="13">
      <c r="A13" s="16">
        <f>IF(Roster!$A8="","",Roster!$A8)</f>
        <v/>
      </c>
      <c r="B13" s="16">
        <f>IF($A13="","",Roster!$B8)</f>
        <v/>
      </c>
      <c r="C13" s="17">
        <f>IF($A13="","",Roster!$D8)</f>
        <v/>
      </c>
      <c r="D13" s="18">
        <f>IF($A13="","",MAX(Capacity!$C$11:$F$11))</f>
        <v/>
      </c>
      <c r="E13" s="19">
        <f>IF(OR($A13="",$C13=0),"",$D13/$C13)</f>
        <v/>
      </c>
      <c r="F13" s="20">
        <f>IF($A13="","",IF(AND(ISNUMBER($E13),$E13&gt;1),"OVER-ALLOCATED",IF(AND(ISNUMBER($E13),$E13&lt;0.5),"UNDER-UTILIZED","")))</f>
        <v/>
      </c>
    </row>
    <row r="14">
      <c r="A14" s="16">
        <f>IF(Roster!$A9="","",Roster!$A9)</f>
        <v/>
      </c>
      <c r="B14" s="16">
        <f>IF($A14="","",Roster!$B9)</f>
        <v/>
      </c>
      <c r="C14" s="17">
        <f>IF($A14="","",Roster!$D9)</f>
        <v/>
      </c>
      <c r="D14" s="18">
        <f>IF($A14="","",MAX(Capacity!$C$12:$F$12))</f>
        <v/>
      </c>
      <c r="E14" s="19">
        <f>IF(OR($A14="",$C14=0),"",$D14/$C14)</f>
        <v/>
      </c>
      <c r="F14" s="20">
        <f>IF($A14="","",IF(AND(ISNUMBER($E14),$E14&gt;1),"OVER-ALLOCATED",IF(AND(ISNUMBER($E14),$E14&lt;0.5),"UNDER-UTILIZED","")))</f>
        <v/>
      </c>
    </row>
    <row r="15">
      <c r="A15" s="16">
        <f>IF(Roster!$A10="","",Roster!$A10)</f>
        <v/>
      </c>
      <c r="B15" s="16">
        <f>IF($A15="","",Roster!$B10)</f>
        <v/>
      </c>
      <c r="C15" s="17">
        <f>IF($A15="","",Roster!$D10)</f>
        <v/>
      </c>
      <c r="D15" s="18">
        <f>IF($A15="","",MAX(Capacity!$C$13:$F$13))</f>
        <v/>
      </c>
      <c r="E15" s="19">
        <f>IF(OR($A15="",$C15=0),"",$D15/$C15)</f>
        <v/>
      </c>
      <c r="F15" s="20">
        <f>IF($A15="","",IF(AND(ISNUMBER($E15),$E15&gt;1),"OVER-ALLOCATED",IF(AND(ISNUMBER($E15),$E15&lt;0.5),"UNDER-UTILIZED","")))</f>
        <v/>
      </c>
    </row>
    <row r="16">
      <c r="A16" s="16">
        <f>IF(Roster!$A11="","",Roster!$A11)</f>
        <v/>
      </c>
      <c r="B16" s="16">
        <f>IF($A16="","",Roster!$B11)</f>
        <v/>
      </c>
      <c r="C16" s="17">
        <f>IF($A16="","",Roster!$D11)</f>
        <v/>
      </c>
      <c r="D16" s="18">
        <f>IF($A16="","",MAX(Capacity!$C$14:$F$14))</f>
        <v/>
      </c>
      <c r="E16" s="19">
        <f>IF(OR($A16="",$C16=0),"",$D16/$C16)</f>
        <v/>
      </c>
      <c r="F16" s="20">
        <f>IF($A16="","",IF(AND(ISNUMBER($E16),$E16&gt;1),"OVER-ALLOCATED",IF(AND(ISNUMBER($E16),$E16&lt;0.5),"UNDER-UTILIZED","")))</f>
        <v/>
      </c>
    </row>
    <row r="17">
      <c r="A17" s="16">
        <f>IF(Roster!$A12="","",Roster!$A12)</f>
        <v/>
      </c>
      <c r="B17" s="16">
        <f>IF($A17="","",Roster!$B12)</f>
        <v/>
      </c>
      <c r="C17" s="17">
        <f>IF($A17="","",Roster!$D12)</f>
        <v/>
      </c>
      <c r="D17" s="18">
        <f>IF($A17="","",MAX(Capacity!$C$15:$F$15))</f>
        <v/>
      </c>
      <c r="E17" s="19">
        <f>IF(OR($A17="",$C17=0),"",$D17/$C17)</f>
        <v/>
      </c>
      <c r="F17" s="20">
        <f>IF($A17="","",IF(AND(ISNUMBER($E17),$E17&gt;1),"OVER-ALLOCATED",IF(AND(ISNUMBER($E17),$E17&lt;0.5),"UNDER-UTILIZED","")))</f>
        <v/>
      </c>
    </row>
    <row r="18">
      <c r="A18" s="16">
        <f>IF(Roster!$A13="","",Roster!$A13)</f>
        <v/>
      </c>
      <c r="B18" s="16">
        <f>IF($A18="","",Roster!$B13)</f>
        <v/>
      </c>
      <c r="C18" s="17">
        <f>IF($A18="","",Roster!$D13)</f>
        <v/>
      </c>
      <c r="D18" s="18">
        <f>IF($A18="","",MAX(Capacity!$C$16:$F$16))</f>
        <v/>
      </c>
      <c r="E18" s="19">
        <f>IF(OR($A18="",$C18=0),"",$D18/$C18)</f>
        <v/>
      </c>
      <c r="F18" s="20">
        <f>IF($A18="","",IF(AND(ISNUMBER($E18),$E18&gt;1),"OVER-ALLOCATED",IF(AND(ISNUMBER($E18),$E18&lt;0.5),"UNDER-UTILIZED","")))</f>
        <v/>
      </c>
    </row>
    <row r="19">
      <c r="A19" s="16">
        <f>IF(Roster!$A14="","",Roster!$A14)</f>
        <v/>
      </c>
      <c r="B19" s="16">
        <f>IF($A19="","",Roster!$B14)</f>
        <v/>
      </c>
      <c r="C19" s="17">
        <f>IF($A19="","",Roster!$D14)</f>
        <v/>
      </c>
      <c r="D19" s="18">
        <f>IF($A19="","",MAX(Capacity!$C$17:$F$17))</f>
        <v/>
      </c>
      <c r="E19" s="19">
        <f>IF(OR($A19="",$C19=0),"",$D19/$C19)</f>
        <v/>
      </c>
      <c r="F19" s="20">
        <f>IF($A19="","",IF(AND(ISNUMBER($E19),$E19&gt;1),"OVER-ALLOCATED",IF(AND(ISNUMBER($E19),$E19&lt;0.5),"UNDER-UTILIZED","")))</f>
        <v/>
      </c>
    </row>
    <row r="20">
      <c r="A20" s="16">
        <f>IF(Roster!$A15="","",Roster!$A15)</f>
        <v/>
      </c>
      <c r="B20" s="16">
        <f>IF($A20="","",Roster!$B15)</f>
        <v/>
      </c>
      <c r="C20" s="17">
        <f>IF($A20="","",Roster!$D15)</f>
        <v/>
      </c>
      <c r="D20" s="18">
        <f>IF($A20="","",MAX(Capacity!$C$18:$F$18))</f>
        <v/>
      </c>
      <c r="E20" s="19">
        <f>IF(OR($A20="",$C20=0),"",$D20/$C20)</f>
        <v/>
      </c>
      <c r="F20" s="20">
        <f>IF($A20="","",IF(AND(ISNUMBER($E20),$E20&gt;1),"OVER-ALLOCATED",IF(AND(ISNUMBER($E20),$E20&lt;0.5),"UNDER-UTILIZED","")))</f>
        <v/>
      </c>
    </row>
    <row r="21">
      <c r="A21" s="16">
        <f>IF(Roster!$A16="","",Roster!$A16)</f>
        <v/>
      </c>
      <c r="B21" s="16">
        <f>IF($A21="","",Roster!$B16)</f>
        <v/>
      </c>
      <c r="C21" s="17">
        <f>IF($A21="","",Roster!$D16)</f>
        <v/>
      </c>
      <c r="D21" s="18">
        <f>IF($A21="","",MAX(Capacity!$C$19:$F$19))</f>
        <v/>
      </c>
      <c r="E21" s="19">
        <f>IF(OR($A21="",$C21=0),"",$D21/$C21)</f>
        <v/>
      </c>
      <c r="F21" s="20">
        <f>IF($A21="","",IF(AND(ISNUMBER($E21),$E21&gt;1),"OVER-ALLOCATED",IF(AND(ISNUMBER($E21),$E21&lt;0.5),"UNDER-UTILIZED","")))</f>
        <v/>
      </c>
    </row>
    <row r="22">
      <c r="A22" s="16">
        <f>IF(Roster!$A17="","",Roster!$A17)</f>
        <v/>
      </c>
      <c r="B22" s="16">
        <f>IF($A22="","",Roster!$B17)</f>
        <v/>
      </c>
      <c r="C22" s="17">
        <f>IF($A22="","",Roster!$D17)</f>
        <v/>
      </c>
      <c r="D22" s="18">
        <f>IF($A22="","",MAX(Capacity!$C$20:$F$20))</f>
        <v/>
      </c>
      <c r="E22" s="19">
        <f>IF(OR($A22="",$C22=0),"",$D22/$C22)</f>
        <v/>
      </c>
      <c r="F22" s="20">
        <f>IF($A22="","",IF(AND(ISNUMBER($E22),$E22&gt;1),"OVER-ALLOCATED",IF(AND(ISNUMBER($E22),$E22&lt;0.5),"UNDER-UTILIZED","")))</f>
        <v/>
      </c>
    </row>
    <row r="23">
      <c r="A23" s="16">
        <f>IF(Roster!$A18="","",Roster!$A18)</f>
        <v/>
      </c>
      <c r="B23" s="16">
        <f>IF($A23="","",Roster!$B18)</f>
        <v/>
      </c>
      <c r="C23" s="17">
        <f>IF($A23="","",Roster!$D18)</f>
        <v/>
      </c>
      <c r="D23" s="18">
        <f>IF($A23="","",MAX(Capacity!$C$21:$F$21))</f>
        <v/>
      </c>
      <c r="E23" s="19">
        <f>IF(OR($A23="",$C23=0),"",$D23/$C23)</f>
        <v/>
      </c>
      <c r="F23" s="20">
        <f>IF($A23="","",IF(AND(ISNUMBER($E23),$E23&gt;1),"OVER-ALLOCATED",IF(AND(ISNUMBER($E23),$E23&lt;0.5),"UNDER-UTILIZED","")))</f>
        <v/>
      </c>
    </row>
    <row r="24">
      <c r="A24" s="16">
        <f>IF(Roster!$A19="","",Roster!$A19)</f>
        <v/>
      </c>
      <c r="B24" s="16">
        <f>IF($A24="","",Roster!$B19)</f>
        <v/>
      </c>
      <c r="C24" s="17">
        <f>IF($A24="","",Roster!$D19)</f>
        <v/>
      </c>
      <c r="D24" s="18">
        <f>IF($A24="","",MAX(Capacity!$C$22:$F$22))</f>
        <v/>
      </c>
      <c r="E24" s="19">
        <f>IF(OR($A24="",$C24=0),"",$D24/$C24)</f>
        <v/>
      </c>
      <c r="F24" s="20">
        <f>IF($A24="","",IF(AND(ISNUMBER($E24),$E24&gt;1),"OVER-ALLOCATED",IF(AND(ISNUMBER($E24),$E24&lt;0.5),"UNDER-UTILIZED","")))</f>
        <v/>
      </c>
    </row>
    <row r="25">
      <c r="A25" s="16">
        <f>IF(Roster!$A20="","",Roster!$A20)</f>
        <v/>
      </c>
      <c r="B25" s="16">
        <f>IF($A25="","",Roster!$B20)</f>
        <v/>
      </c>
      <c r="C25" s="17">
        <f>IF($A25="","",Roster!$D20)</f>
        <v/>
      </c>
      <c r="D25" s="18">
        <f>IF($A25="","",MAX(Capacity!$C$23:$F$23))</f>
        <v/>
      </c>
      <c r="E25" s="19">
        <f>IF(OR($A25="",$C25=0),"",$D25/$C25)</f>
        <v/>
      </c>
      <c r="F25" s="20">
        <f>IF($A25="","",IF(AND(ISNUMBER($E25),$E25&gt;1),"OVER-ALLOCATED",IF(AND(ISNUMBER($E25),$E25&lt;0.5),"UNDER-UTILIZED","")))</f>
        <v/>
      </c>
    </row>
    <row r="26">
      <c r="A26" s="16">
        <f>IF(Roster!$A21="","",Roster!$A21)</f>
        <v/>
      </c>
      <c r="B26" s="16">
        <f>IF($A26="","",Roster!$B21)</f>
        <v/>
      </c>
      <c r="C26" s="17">
        <f>IF($A26="","",Roster!$D21)</f>
        <v/>
      </c>
      <c r="D26" s="18">
        <f>IF($A26="","",MAX(Capacity!$C$24:$F$24))</f>
        <v/>
      </c>
      <c r="E26" s="19">
        <f>IF(OR($A26="",$C26=0),"",$D26/$C26)</f>
        <v/>
      </c>
      <c r="F26" s="20">
        <f>IF($A26="","",IF(AND(ISNUMBER($E26),$E26&gt;1),"OVER-ALLOCATED",IF(AND(ISNUMBER($E26),$E26&lt;0.5),"UNDER-UTILIZED","")))</f>
        <v/>
      </c>
    </row>
    <row r="27">
      <c r="A27" s="16">
        <f>IF(Roster!$A22="","",Roster!$A22)</f>
        <v/>
      </c>
      <c r="B27" s="16">
        <f>IF($A27="","",Roster!$B22)</f>
        <v/>
      </c>
      <c r="C27" s="17">
        <f>IF($A27="","",Roster!$D22)</f>
        <v/>
      </c>
      <c r="D27" s="18">
        <f>IF($A27="","",MAX(Capacity!$C$25:$F$25))</f>
        <v/>
      </c>
      <c r="E27" s="19">
        <f>IF(OR($A27="",$C27=0),"",$D27/$C27)</f>
        <v/>
      </c>
      <c r="F27" s="20">
        <f>IF($A27="","",IF(AND(ISNUMBER($E27),$E27&gt;1),"OVER-ALLOCATED",IF(AND(ISNUMBER($E27),$E27&lt;0.5),"UNDER-UTILIZED","")))</f>
        <v/>
      </c>
    </row>
    <row r="28">
      <c r="A28" s="16">
        <f>IF(Roster!$A23="","",Roster!$A23)</f>
        <v/>
      </c>
      <c r="B28" s="16">
        <f>IF($A28="","",Roster!$B23)</f>
        <v/>
      </c>
      <c r="C28" s="17">
        <f>IF($A28="","",Roster!$D23)</f>
        <v/>
      </c>
      <c r="D28" s="18">
        <f>IF($A28="","",MAX(Capacity!$C$26:$F$26))</f>
        <v/>
      </c>
      <c r="E28" s="19">
        <f>IF(OR($A28="",$C28=0),"",$D28/$C28)</f>
        <v/>
      </c>
      <c r="F28" s="20">
        <f>IF($A28="","",IF(AND(ISNUMBER($E28),$E28&gt;1),"OVER-ALLOCATED",IF(AND(ISNUMBER($E28),$E28&lt;0.5),"UNDER-UTILIZED","")))</f>
        <v/>
      </c>
    </row>
    <row r="29">
      <c r="A29" s="16">
        <f>IF(Roster!$A24="","",Roster!$A24)</f>
        <v/>
      </c>
      <c r="B29" s="16">
        <f>IF($A29="","",Roster!$B24)</f>
        <v/>
      </c>
      <c r="C29" s="17">
        <f>IF($A29="","",Roster!$D24)</f>
        <v/>
      </c>
      <c r="D29" s="18">
        <f>IF($A29="","",MAX(Capacity!$C$27:$F$27))</f>
        <v/>
      </c>
      <c r="E29" s="19">
        <f>IF(OR($A29="",$C29=0),"",$D29/$C29)</f>
        <v/>
      </c>
      <c r="F29" s="20">
        <f>IF($A29="","",IF(AND(ISNUMBER($E29),$E29&gt;1),"OVER-ALLOCATED",IF(AND(ISNUMBER($E29),$E29&lt;0.5),"UNDER-UTILIZED","")))</f>
        <v/>
      </c>
    </row>
    <row r="30">
      <c r="A30" s="16">
        <f>IF(Roster!$A25="","",Roster!$A25)</f>
        <v/>
      </c>
      <c r="B30" s="16">
        <f>IF($A30="","",Roster!$B25)</f>
        <v/>
      </c>
      <c r="C30" s="17">
        <f>IF($A30="","",Roster!$D25)</f>
        <v/>
      </c>
      <c r="D30" s="18">
        <f>IF($A30="","",MAX(Capacity!$C$28:$F$28))</f>
        <v/>
      </c>
      <c r="E30" s="19">
        <f>IF(OR($A30="",$C30=0),"",$D30/$C30)</f>
        <v/>
      </c>
      <c r="F30" s="20">
        <f>IF($A30="","",IF(AND(ISNUMBER($E30),$E30&gt;1),"OVER-ALLOCATED",IF(AND(ISNUMBER($E30),$E30&lt;0.5),"UNDER-UTILIZED","")))</f>
        <v/>
      </c>
    </row>
    <row r="31">
      <c r="A31" s="16">
        <f>IF(Roster!$A26="","",Roster!$A26)</f>
        <v/>
      </c>
      <c r="B31" s="16">
        <f>IF($A31="","",Roster!$B26)</f>
        <v/>
      </c>
      <c r="C31" s="17">
        <f>IF($A31="","",Roster!$D26)</f>
        <v/>
      </c>
      <c r="D31" s="18">
        <f>IF($A31="","",MAX(Capacity!$C$29:$F$29))</f>
        <v/>
      </c>
      <c r="E31" s="19">
        <f>IF(OR($A31="",$C31=0),"",$D31/$C31)</f>
        <v/>
      </c>
      <c r="F31" s="20">
        <f>IF($A31="","",IF(AND(ISNUMBER($E31),$E31&gt;1),"OVER-ALLOCATED",IF(AND(ISNUMBER($E31),$E31&lt;0.5),"UNDER-UTILIZED","")))</f>
        <v/>
      </c>
    </row>
    <row r="32">
      <c r="A32" s="16">
        <f>IF(Roster!$A27="","",Roster!$A27)</f>
        <v/>
      </c>
      <c r="B32" s="16">
        <f>IF($A32="","",Roster!$B27)</f>
        <v/>
      </c>
      <c r="C32" s="17">
        <f>IF($A32="","",Roster!$D27)</f>
        <v/>
      </c>
      <c r="D32" s="18">
        <f>IF($A32="","",MAX(Capacity!$C$30:$F$30))</f>
        <v/>
      </c>
      <c r="E32" s="19">
        <f>IF(OR($A32="",$C32=0),"",$D32/$C32)</f>
        <v/>
      </c>
      <c r="F32" s="20">
        <f>IF($A32="","",IF(AND(ISNUMBER($E32),$E32&gt;1),"OVER-ALLOCATED",IF(AND(ISNUMBER($E32),$E32&lt;0.5),"UNDER-UTILIZED","")))</f>
        <v/>
      </c>
    </row>
    <row r="33">
      <c r="A33" s="16">
        <f>IF(Roster!$A28="","",Roster!$A28)</f>
        <v/>
      </c>
      <c r="B33" s="16">
        <f>IF($A33="","",Roster!$B28)</f>
        <v/>
      </c>
      <c r="C33" s="17">
        <f>IF($A33="","",Roster!$D28)</f>
        <v/>
      </c>
      <c r="D33" s="18">
        <f>IF($A33="","",MAX(Capacity!$C$31:$F$31))</f>
        <v/>
      </c>
      <c r="E33" s="19">
        <f>IF(OR($A33="",$C33=0),"",$D33/$C33)</f>
        <v/>
      </c>
      <c r="F33" s="20">
        <f>IF($A33="","",IF(AND(ISNUMBER($E33),$E33&gt;1),"OVER-ALLOCATED",IF(AND(ISNUMBER($E33),$E33&lt;0.5),"UNDER-UTILIZED","")))</f>
        <v/>
      </c>
    </row>
    <row r="34">
      <c r="A34" s="16">
        <f>IF(Roster!$A29="","",Roster!$A29)</f>
        <v/>
      </c>
      <c r="B34" s="16">
        <f>IF($A34="","",Roster!$B29)</f>
        <v/>
      </c>
      <c r="C34" s="17">
        <f>IF($A34="","",Roster!$D29)</f>
        <v/>
      </c>
      <c r="D34" s="18">
        <f>IF($A34="","",MAX(Capacity!$C$32:$F$32))</f>
        <v/>
      </c>
      <c r="E34" s="19">
        <f>IF(OR($A34="",$C34=0),"",$D34/$C34)</f>
        <v/>
      </c>
      <c r="F34" s="20">
        <f>IF($A34="","",IF(AND(ISNUMBER($E34),$E34&gt;1),"OVER-ALLOCATED",IF(AND(ISNUMBER($E34),$E34&lt;0.5),"UNDER-UTILIZED","")))</f>
        <v/>
      </c>
    </row>
    <row r="35">
      <c r="A35" s="16">
        <f>IF(Roster!$A30="","",Roster!$A30)</f>
        <v/>
      </c>
      <c r="B35" s="16">
        <f>IF($A35="","",Roster!$B30)</f>
        <v/>
      </c>
      <c r="C35" s="17">
        <f>IF($A35="","",Roster!$D30)</f>
        <v/>
      </c>
      <c r="D35" s="18">
        <f>IF($A35="","",MAX(Capacity!$C$33:$F$33))</f>
        <v/>
      </c>
      <c r="E35" s="19">
        <f>IF(OR($A35="",$C35=0),"",$D35/$C35)</f>
        <v/>
      </c>
      <c r="F35" s="20">
        <f>IF($A35="","",IF(AND(ISNUMBER($E35),$E35&gt;1),"OVER-ALLOCATED",IF(AND(ISNUMBER($E35),$E35&lt;0.5),"UNDER-UTILIZED","")))</f>
        <v/>
      </c>
    </row>
    <row r="36">
      <c r="A36" s="16">
        <f>IF(Roster!$A31="","",Roster!$A31)</f>
        <v/>
      </c>
      <c r="B36" s="16">
        <f>IF($A36="","",Roster!$B31)</f>
        <v/>
      </c>
      <c r="C36" s="17">
        <f>IF($A36="","",Roster!$D31)</f>
        <v/>
      </c>
      <c r="D36" s="18">
        <f>IF($A36="","",MAX(Capacity!$C$34:$F$34))</f>
        <v/>
      </c>
      <c r="E36" s="19">
        <f>IF(OR($A36="",$C36=0),"",$D36/$C36)</f>
        <v/>
      </c>
      <c r="F36" s="20">
        <f>IF($A36="","",IF(AND(ISNUMBER($E36),$E36&gt;1),"OVER-ALLOCATED",IF(AND(ISNUMBER($E36),$E36&lt;0.5),"UNDER-UTILIZED","")))</f>
        <v/>
      </c>
    </row>
    <row r="37">
      <c r="A37" s="16">
        <f>IF(Roster!$A32="","",Roster!$A32)</f>
        <v/>
      </c>
      <c r="B37" s="16">
        <f>IF($A37="","",Roster!$B32)</f>
        <v/>
      </c>
      <c r="C37" s="17">
        <f>IF($A37="","",Roster!$D32)</f>
        <v/>
      </c>
      <c r="D37" s="18">
        <f>IF($A37="","",MAX(Capacity!$C$35:$F$35))</f>
        <v/>
      </c>
      <c r="E37" s="19">
        <f>IF(OR($A37="",$C37=0),"",$D37/$C37)</f>
        <v/>
      </c>
      <c r="F37" s="20">
        <f>IF($A37="","",IF(AND(ISNUMBER($E37),$E37&gt;1),"OVER-ALLOCATED",IF(AND(ISNUMBER($E37),$E37&lt;0.5),"UNDER-UTILIZED","")))</f>
        <v/>
      </c>
    </row>
    <row r="38">
      <c r="A38" s="16">
        <f>IF(Roster!$A33="","",Roster!$A33)</f>
        <v/>
      </c>
      <c r="B38" s="16">
        <f>IF($A38="","",Roster!$B33)</f>
        <v/>
      </c>
      <c r="C38" s="17">
        <f>IF($A38="","",Roster!$D33)</f>
        <v/>
      </c>
      <c r="D38" s="18">
        <f>IF($A38="","",MAX(Capacity!$C$36:$F$36))</f>
        <v/>
      </c>
      <c r="E38" s="19">
        <f>IF(OR($A38="",$C38=0),"",$D38/$C38)</f>
        <v/>
      </c>
      <c r="F38" s="20">
        <f>IF($A38="","",IF(AND(ISNUMBER($E38),$E38&gt;1),"OVER-ALLOCATED",IF(AND(ISNUMBER($E38),$E38&lt;0.5),"UNDER-UTILIZED","")))</f>
        <v/>
      </c>
    </row>
    <row r="39">
      <c r="A39" s="16">
        <f>IF(Roster!$A34="","",Roster!$A34)</f>
        <v/>
      </c>
      <c r="B39" s="16">
        <f>IF($A39="","",Roster!$B34)</f>
        <v/>
      </c>
      <c r="C39" s="17">
        <f>IF($A39="","",Roster!$D34)</f>
        <v/>
      </c>
      <c r="D39" s="18">
        <f>IF($A39="","",MAX(Capacity!$C$37:$F$37))</f>
        <v/>
      </c>
      <c r="E39" s="19">
        <f>IF(OR($A39="",$C39=0),"",$D39/$C39)</f>
        <v/>
      </c>
      <c r="F39" s="20">
        <f>IF($A39="","",IF(AND(ISNUMBER($E39),$E39&gt;1),"OVER-ALLOCATED",IF(AND(ISNUMBER($E39),$E39&lt;0.5),"UNDER-UTILIZED","")))</f>
        <v/>
      </c>
    </row>
    <row r="40">
      <c r="A40" s="16">
        <f>IF(Roster!$A35="","",Roster!$A35)</f>
        <v/>
      </c>
      <c r="B40" s="16">
        <f>IF($A40="","",Roster!$B35)</f>
        <v/>
      </c>
      <c r="C40" s="17">
        <f>IF($A40="","",Roster!$D35)</f>
        <v/>
      </c>
      <c r="D40" s="18">
        <f>IF($A40="","",MAX(Capacity!$C$38:$F$38))</f>
        <v/>
      </c>
      <c r="E40" s="19">
        <f>IF(OR($A40="",$C40=0),"",$D40/$C40)</f>
        <v/>
      </c>
      <c r="F40" s="20">
        <f>IF($A40="","",IF(AND(ISNUMBER($E40),$E40&gt;1),"OVER-ALLOCATED",IF(AND(ISNUMBER($E40),$E40&lt;0.5),"UNDER-UTILIZED","")))</f>
        <v/>
      </c>
    </row>
    <row r="41">
      <c r="A41" s="16">
        <f>IF(Roster!$A36="","",Roster!$A36)</f>
        <v/>
      </c>
      <c r="B41" s="16">
        <f>IF($A41="","",Roster!$B36)</f>
        <v/>
      </c>
      <c r="C41" s="17">
        <f>IF($A41="","",Roster!$D36)</f>
        <v/>
      </c>
      <c r="D41" s="18">
        <f>IF($A41="","",MAX(Capacity!$C$39:$F$39))</f>
        <v/>
      </c>
      <c r="E41" s="19">
        <f>IF(OR($A41="",$C41=0),"",$D41/$C41)</f>
        <v/>
      </c>
      <c r="F41" s="20">
        <f>IF($A41="","",IF(AND(ISNUMBER($E41),$E41&gt;1),"OVER-ALLOCATED",IF(AND(ISNUMBER($E41),$E41&lt;0.5),"UNDER-UTILIZED","")))</f>
        <v/>
      </c>
    </row>
    <row r="42">
      <c r="A42" s="16">
        <f>IF(Roster!$A37="","",Roster!$A37)</f>
        <v/>
      </c>
      <c r="B42" s="16">
        <f>IF($A42="","",Roster!$B37)</f>
        <v/>
      </c>
      <c r="C42" s="17">
        <f>IF($A42="","",Roster!$D37)</f>
        <v/>
      </c>
      <c r="D42" s="18">
        <f>IF($A42="","",MAX(Capacity!$C$40:$F$40))</f>
        <v/>
      </c>
      <c r="E42" s="19">
        <f>IF(OR($A42="",$C42=0),"",$D42/$C42)</f>
        <v/>
      </c>
      <c r="F42" s="20">
        <f>IF($A42="","",IF(AND(ISNUMBER($E42),$E42&gt;1),"OVER-ALLOCATED",IF(AND(ISNUMBER($E42),$E42&lt;0.5),"UNDER-UTILIZED","")))</f>
        <v/>
      </c>
    </row>
    <row r="43">
      <c r="A43" s="16">
        <f>IF(Roster!$A38="","",Roster!$A38)</f>
        <v/>
      </c>
      <c r="B43" s="16">
        <f>IF($A43="","",Roster!$B38)</f>
        <v/>
      </c>
      <c r="C43" s="17">
        <f>IF($A43="","",Roster!$D38)</f>
        <v/>
      </c>
      <c r="D43" s="18">
        <f>IF($A43="","",MAX(Capacity!$C$41:$F$41))</f>
        <v/>
      </c>
      <c r="E43" s="19">
        <f>IF(OR($A43="",$C43=0),"",$D43/$C43)</f>
        <v/>
      </c>
      <c r="F43" s="20">
        <f>IF($A43="","",IF(AND(ISNUMBER($E43),$E43&gt;1),"OVER-ALLOCATED",IF(AND(ISNUMBER($E43),$E43&lt;0.5),"UNDER-UTILIZED","")))</f>
        <v/>
      </c>
    </row>
    <row r="44">
      <c r="A44" s="16">
        <f>IF(Roster!$A39="","",Roster!$A39)</f>
        <v/>
      </c>
      <c r="B44" s="16">
        <f>IF($A44="","",Roster!$B39)</f>
        <v/>
      </c>
      <c r="C44" s="17">
        <f>IF($A44="","",Roster!$D39)</f>
        <v/>
      </c>
      <c r="D44" s="18">
        <f>IF($A44="","",MAX(Capacity!$C$42:$F$42))</f>
        <v/>
      </c>
      <c r="E44" s="19">
        <f>IF(OR($A44="",$C44=0),"",$D44/$C44)</f>
        <v/>
      </c>
      <c r="F44" s="20">
        <f>IF($A44="","",IF(AND(ISNUMBER($E44),$E44&gt;1),"OVER-ALLOCATED",IF(AND(ISNUMBER($E44),$E44&lt;0.5),"UNDER-UTILIZED","")))</f>
        <v/>
      </c>
    </row>
    <row r="45">
      <c r="A45" s="16">
        <f>IF(Roster!$A40="","",Roster!$A40)</f>
        <v/>
      </c>
      <c r="B45" s="16">
        <f>IF($A45="","",Roster!$B40)</f>
        <v/>
      </c>
      <c r="C45" s="17">
        <f>IF($A45="","",Roster!$D40)</f>
        <v/>
      </c>
      <c r="D45" s="18">
        <f>IF($A45="","",MAX(Capacity!$C$43:$F$43))</f>
        <v/>
      </c>
      <c r="E45" s="19">
        <f>IF(OR($A45="",$C45=0),"",$D45/$C45)</f>
        <v/>
      </c>
      <c r="F45" s="20">
        <f>IF($A45="","",IF(AND(ISNUMBER($E45),$E45&gt;1),"OVER-ALLOCATED",IF(AND(ISNUMBER($E45),$E45&lt;0.5),"UNDER-UTILIZED","")))</f>
        <v/>
      </c>
    </row>
    <row r="46"/>
    <row r="47"/>
    <row r="48">
      <c r="A48" s="14" t="inlineStr">
        <is>
          <t>2) Deals needing attention</t>
        </is>
      </c>
    </row>
    <row r="49" ht="28" customHeight="1">
      <c r="A49" s="15" t="inlineStr">
        <is>
          <t>Project ID</t>
        </is>
      </c>
      <c r="B49" s="15" t="inlineStr">
        <is>
          <t>Client</t>
        </is>
      </c>
      <c r="C49" s="15" t="inlineStr">
        <is>
          <t>Lifecycle</t>
        </is>
      </c>
      <c r="D49" s="15" t="inlineStr">
        <is>
          <t>Probability</t>
        </is>
      </c>
      <c r="E49" s="15" t="inlineStr">
        <is>
          <t># staffed</t>
        </is>
      </c>
      <c r="F49" s="15" t="inlineStr">
        <is>
          <t>Dates set?</t>
        </is>
      </c>
      <c r="G49" s="15" t="inlineStr">
        <is>
          <t>Added on</t>
        </is>
      </c>
      <c r="H49" s="15" t="inlineStr">
        <is>
          <t>Weeks since added</t>
        </is>
      </c>
      <c r="I49" s="15" t="inlineStr">
        <is>
          <t>Flag</t>
        </is>
      </c>
    </row>
    <row r="50">
      <c r="A50" s="16">
        <f>IF(Deals!$A2="","",Deals!$A2)</f>
        <v/>
      </c>
      <c r="B50" s="16">
        <f>IF($A50="","",Deals!$C2)</f>
        <v/>
      </c>
      <c r="C50" s="16">
        <f>IF($A50="","",Deals!$F2)</f>
        <v/>
      </c>
      <c r="D50" s="21">
        <f>IF($A50="","",Deals!$H2)</f>
        <v/>
      </c>
      <c r="E50" s="17">
        <f>IF($A50="","",Deals!$Q2)</f>
        <v/>
      </c>
      <c r="F50" s="16">
        <f>IF($A50="","",IF(AND(Deals!$I2&lt;&gt;"",Deals!$J2&lt;&gt;""),"Yes","No"))</f>
        <v/>
      </c>
      <c r="G50" s="22">
        <f>IF($A50="","",Deals!$Z2)</f>
        <v/>
      </c>
      <c r="H50" s="23">
        <f>IF(OR($A50="",$G50=""),"",INT((Settings!$B$19-$G50)/7))</f>
        <v/>
      </c>
      <c r="I50" s="24">
        <f>IF(OR($A50="",NOT(OR(Deals!$F2="Active",Deals!$F2="Proposal"))),"",TRIM(IF($E50=0," Unstaffed","")&amp;IF(IF(Deals!$U2="",FALSE,OR(AND(IFERROR(INDEX(Templates!$B$3:$B$10,MATCH(Deals!$U2,Templates!$A$3:$A$10,0)),0)&gt;0,COUNTIFS(Assignments!$C$2:$C$769,$A50,Assignments!$F$2:$F$769,"Partner",Assignments!$G$2:$G$769,"Active")=0),AND(IFERROR(INDEX(Templates!$C$3:$C$10,MATCH(Deals!$U2,Templates!$A$3:$A$10,0)),0)&gt;0,COUNTIFS(Assignments!$C$2:$C$769,$A50,Assignments!$F$2:$F$769,"MD",Assignments!$G$2:$G$769,"Active")=0),AND(IFERROR(INDEX(Templates!$D$3:$D$10,MATCH(Deals!$U2,Templates!$A$3:$A$10,0)),0)&gt;0,COUNTIFS(Assignments!$C$2:$C$769,$A50,Assignments!$F$2:$F$769,"Director",Assignments!$G$2:$G$769,"Active")=0),AND(IFERROR(INDEX(Templates!$E$3:$E$10,MATCH(Deals!$U2,Templates!$A$3:$A$10,0)),0)&gt;0,COUNTIFS(Assignments!$C$2:$C$769,$A50,Assignments!$F$2:$F$769,"VP",Assignments!$G$2:$G$769,"Active")=0),AND(IFERROR(INDEX(Templates!$F$3:$F$10,MATCH(Deals!$U2,Templates!$A$3:$A$10,0)),0)&gt;0,COUNTIFS(Assignments!$C$2:$C$769,$A50,Assignments!$F$2:$F$769,"Senior Associate",Assignments!$G$2:$G$769,"Active")=0),AND(IFERROR(INDEX(Templates!$G$3:$G$10,MATCH(Deals!$U2,Templates!$A$3:$A$10,0)),0)&gt;0,COUNTIFS(Assignments!$C$2:$C$769,$A50,Assignments!$F$2:$F$769,"Renewable Specialist",Assignments!$G$2:$G$769,"Active")=0),AND(IFERROR(INDEX(Templates!$H$3:$H$10,MATCH(Deals!$U2,Templates!$A$3:$A$10,0)),0)&gt;0,COUNTIFS(Assignments!$C$2:$C$769,$A50,Assignments!$F$2:$F$769,"Associate",Assignments!$G$2:$G$769,"Active")=0)))," MissingLevel","")&amp;IF(AND($C50="Proposal",Deals!$H2=0.5)," DefaultProbability","")&amp;IF($F50="No"," NoDates","")&amp;IF(AND(ISNUMBER($H50),$H50&gt;=Settings!$B$20)," Stale","")))</f>
        <v/>
      </c>
    </row>
    <row r="51">
      <c r="A51" s="16">
        <f>IF(Deals!$A3="","",Deals!$A3)</f>
        <v/>
      </c>
      <c r="B51" s="16">
        <f>IF($A51="","",Deals!$C3)</f>
        <v/>
      </c>
      <c r="C51" s="16">
        <f>IF($A51="","",Deals!$F3)</f>
        <v/>
      </c>
      <c r="D51" s="21">
        <f>IF($A51="","",Deals!$H3)</f>
        <v/>
      </c>
      <c r="E51" s="17">
        <f>IF($A51="","",Deals!$Q3)</f>
        <v/>
      </c>
      <c r="F51" s="16">
        <f>IF($A51="","",IF(AND(Deals!$I3&lt;&gt;"",Deals!$J3&lt;&gt;""),"Yes","No"))</f>
        <v/>
      </c>
      <c r="G51" s="22">
        <f>IF($A51="","",Deals!$Z3)</f>
        <v/>
      </c>
      <c r="H51" s="23">
        <f>IF(OR($A51="",$G51=""),"",INT((Settings!$B$19-$G51)/7))</f>
        <v/>
      </c>
      <c r="I51" s="24">
        <f>IF(OR($A51="",NOT(OR(Deals!$F3="Active",Deals!$F3="Proposal"))),"",TRIM(IF($E51=0," Unstaffed","")&amp;IF(IF(Deals!$U3="",FALSE,OR(AND(IFERROR(INDEX(Templates!$B$3:$B$10,MATCH(Deals!$U3,Templates!$A$3:$A$10,0)),0)&gt;0,COUNTIFS(Assignments!$C$2:$C$769,$A51,Assignments!$F$2:$F$769,"Partner",Assignments!$G$2:$G$769,"Active")=0),AND(IFERROR(INDEX(Templates!$C$3:$C$10,MATCH(Deals!$U3,Templates!$A$3:$A$10,0)),0)&gt;0,COUNTIFS(Assignments!$C$2:$C$769,$A51,Assignments!$F$2:$F$769,"MD",Assignments!$G$2:$G$769,"Active")=0),AND(IFERROR(INDEX(Templates!$D$3:$D$10,MATCH(Deals!$U3,Templates!$A$3:$A$10,0)),0)&gt;0,COUNTIFS(Assignments!$C$2:$C$769,$A51,Assignments!$F$2:$F$769,"Director",Assignments!$G$2:$G$769,"Active")=0),AND(IFERROR(INDEX(Templates!$E$3:$E$10,MATCH(Deals!$U3,Templates!$A$3:$A$10,0)),0)&gt;0,COUNTIFS(Assignments!$C$2:$C$769,$A51,Assignments!$F$2:$F$769,"VP",Assignments!$G$2:$G$769,"Active")=0),AND(IFERROR(INDEX(Templates!$F$3:$F$10,MATCH(Deals!$U3,Templates!$A$3:$A$10,0)),0)&gt;0,COUNTIFS(Assignments!$C$2:$C$769,$A51,Assignments!$F$2:$F$769,"Senior Associate",Assignments!$G$2:$G$769,"Active")=0),AND(IFERROR(INDEX(Templates!$G$3:$G$10,MATCH(Deals!$U3,Templates!$A$3:$A$10,0)),0)&gt;0,COUNTIFS(Assignments!$C$2:$C$769,$A51,Assignments!$F$2:$F$769,"Renewable Specialist",Assignments!$G$2:$G$769,"Active")=0),AND(IFERROR(INDEX(Templates!$H$3:$H$10,MATCH(Deals!$U3,Templates!$A$3:$A$10,0)),0)&gt;0,COUNTIFS(Assignments!$C$2:$C$769,$A51,Assignments!$F$2:$F$769,"Associate",Assignments!$G$2:$G$769,"Active")=0)))," MissingLevel","")&amp;IF(AND($C51="Proposal",Deals!$H3=0.5)," DefaultProbability","")&amp;IF($F51="No"," NoDates","")&amp;IF(AND(ISNUMBER($H51),$H51&gt;=Settings!$B$20)," Stale","")))</f>
        <v/>
      </c>
    </row>
    <row r="52">
      <c r="A52" s="16">
        <f>IF(Deals!$A4="","",Deals!$A4)</f>
        <v/>
      </c>
      <c r="B52" s="16">
        <f>IF($A52="","",Deals!$C4)</f>
        <v/>
      </c>
      <c r="C52" s="16">
        <f>IF($A52="","",Deals!$F4)</f>
        <v/>
      </c>
      <c r="D52" s="21">
        <f>IF($A52="","",Deals!$H4)</f>
        <v/>
      </c>
      <c r="E52" s="17">
        <f>IF($A52="","",Deals!$Q4)</f>
        <v/>
      </c>
      <c r="F52" s="16">
        <f>IF($A52="","",IF(AND(Deals!$I4&lt;&gt;"",Deals!$J4&lt;&gt;""),"Yes","No"))</f>
        <v/>
      </c>
      <c r="G52" s="22">
        <f>IF($A52="","",Deals!$Z4)</f>
        <v/>
      </c>
      <c r="H52" s="23">
        <f>IF(OR($A52="",$G52=""),"",INT((Settings!$B$19-$G52)/7))</f>
        <v/>
      </c>
      <c r="I52" s="24">
        <f>IF(OR($A52="",NOT(OR(Deals!$F4="Active",Deals!$F4="Proposal"))),"",TRIM(IF($E52=0," Unstaffed","")&amp;IF(IF(Deals!$U4="",FALSE,OR(AND(IFERROR(INDEX(Templates!$B$3:$B$10,MATCH(Deals!$U4,Templates!$A$3:$A$10,0)),0)&gt;0,COUNTIFS(Assignments!$C$2:$C$769,$A52,Assignments!$F$2:$F$769,"Partner",Assignments!$G$2:$G$769,"Active")=0),AND(IFERROR(INDEX(Templates!$C$3:$C$10,MATCH(Deals!$U4,Templates!$A$3:$A$10,0)),0)&gt;0,COUNTIFS(Assignments!$C$2:$C$769,$A52,Assignments!$F$2:$F$769,"MD",Assignments!$G$2:$G$769,"Active")=0),AND(IFERROR(INDEX(Templates!$D$3:$D$10,MATCH(Deals!$U4,Templates!$A$3:$A$10,0)),0)&gt;0,COUNTIFS(Assignments!$C$2:$C$769,$A52,Assignments!$F$2:$F$769,"Director",Assignments!$G$2:$G$769,"Active")=0),AND(IFERROR(INDEX(Templates!$E$3:$E$10,MATCH(Deals!$U4,Templates!$A$3:$A$10,0)),0)&gt;0,COUNTIFS(Assignments!$C$2:$C$769,$A52,Assignments!$F$2:$F$769,"VP",Assignments!$G$2:$G$769,"Active")=0),AND(IFERROR(INDEX(Templates!$F$3:$F$10,MATCH(Deals!$U4,Templates!$A$3:$A$10,0)),0)&gt;0,COUNTIFS(Assignments!$C$2:$C$769,$A52,Assignments!$F$2:$F$769,"Senior Associate",Assignments!$G$2:$G$769,"Active")=0),AND(IFERROR(INDEX(Templates!$G$3:$G$10,MATCH(Deals!$U4,Templates!$A$3:$A$10,0)),0)&gt;0,COUNTIFS(Assignments!$C$2:$C$769,$A52,Assignments!$F$2:$F$769,"Renewable Specialist",Assignments!$G$2:$G$769,"Active")=0),AND(IFERROR(INDEX(Templates!$H$3:$H$10,MATCH(Deals!$U4,Templates!$A$3:$A$10,0)),0)&gt;0,COUNTIFS(Assignments!$C$2:$C$769,$A52,Assignments!$F$2:$F$769,"Associate",Assignments!$G$2:$G$769,"Active")=0)))," MissingLevel","")&amp;IF(AND($C52="Proposal",Deals!$H4=0.5)," DefaultProbability","")&amp;IF($F52="No"," NoDates","")&amp;IF(AND(ISNUMBER($H52),$H52&gt;=Settings!$B$20)," Stale","")))</f>
        <v/>
      </c>
    </row>
    <row r="53">
      <c r="A53" s="16">
        <f>IF(Deals!$A5="","",Deals!$A5)</f>
        <v/>
      </c>
      <c r="B53" s="16">
        <f>IF($A53="","",Deals!$C5)</f>
        <v/>
      </c>
      <c r="C53" s="16">
        <f>IF($A53="","",Deals!$F5)</f>
        <v/>
      </c>
      <c r="D53" s="21">
        <f>IF($A53="","",Deals!$H5)</f>
        <v/>
      </c>
      <c r="E53" s="17">
        <f>IF($A53="","",Deals!$Q5)</f>
        <v/>
      </c>
      <c r="F53" s="16">
        <f>IF($A53="","",IF(AND(Deals!$I5&lt;&gt;"",Deals!$J5&lt;&gt;""),"Yes","No"))</f>
        <v/>
      </c>
      <c r="G53" s="22">
        <f>IF($A53="","",Deals!$Z5)</f>
        <v/>
      </c>
      <c r="H53" s="23">
        <f>IF(OR($A53="",$G53=""),"",INT((Settings!$B$19-$G53)/7))</f>
        <v/>
      </c>
      <c r="I53" s="24">
        <f>IF(OR($A53="",NOT(OR(Deals!$F5="Active",Deals!$F5="Proposal"))),"",TRIM(IF($E53=0," Unstaffed","")&amp;IF(IF(Deals!$U5="",FALSE,OR(AND(IFERROR(INDEX(Templates!$B$3:$B$10,MATCH(Deals!$U5,Templates!$A$3:$A$10,0)),0)&gt;0,COUNTIFS(Assignments!$C$2:$C$769,$A53,Assignments!$F$2:$F$769,"Partner",Assignments!$G$2:$G$769,"Active")=0),AND(IFERROR(INDEX(Templates!$C$3:$C$10,MATCH(Deals!$U5,Templates!$A$3:$A$10,0)),0)&gt;0,COUNTIFS(Assignments!$C$2:$C$769,$A53,Assignments!$F$2:$F$769,"MD",Assignments!$G$2:$G$769,"Active")=0),AND(IFERROR(INDEX(Templates!$D$3:$D$10,MATCH(Deals!$U5,Templates!$A$3:$A$10,0)),0)&gt;0,COUNTIFS(Assignments!$C$2:$C$769,$A53,Assignments!$F$2:$F$769,"Director",Assignments!$G$2:$G$769,"Active")=0),AND(IFERROR(INDEX(Templates!$E$3:$E$10,MATCH(Deals!$U5,Templates!$A$3:$A$10,0)),0)&gt;0,COUNTIFS(Assignments!$C$2:$C$769,$A53,Assignments!$F$2:$F$769,"VP",Assignments!$G$2:$G$769,"Active")=0),AND(IFERROR(INDEX(Templates!$F$3:$F$10,MATCH(Deals!$U5,Templates!$A$3:$A$10,0)),0)&gt;0,COUNTIFS(Assignments!$C$2:$C$769,$A53,Assignments!$F$2:$F$769,"Senior Associate",Assignments!$G$2:$G$769,"Active")=0),AND(IFERROR(INDEX(Templates!$G$3:$G$10,MATCH(Deals!$U5,Templates!$A$3:$A$10,0)),0)&gt;0,COUNTIFS(Assignments!$C$2:$C$769,$A53,Assignments!$F$2:$F$769,"Renewable Specialist",Assignments!$G$2:$G$769,"Active")=0),AND(IFERROR(INDEX(Templates!$H$3:$H$10,MATCH(Deals!$U5,Templates!$A$3:$A$10,0)),0)&gt;0,COUNTIFS(Assignments!$C$2:$C$769,$A53,Assignments!$F$2:$F$769,"Associate",Assignments!$G$2:$G$769,"Active")=0)))," MissingLevel","")&amp;IF(AND($C53="Proposal",Deals!$H5=0.5)," DefaultProbability","")&amp;IF($F53="No"," NoDates","")&amp;IF(AND(ISNUMBER($H53),$H53&gt;=Settings!$B$20)," Stale","")))</f>
        <v/>
      </c>
    </row>
    <row r="54">
      <c r="A54" s="16">
        <f>IF(Deals!$A6="","",Deals!$A6)</f>
        <v/>
      </c>
      <c r="B54" s="16">
        <f>IF($A54="","",Deals!$C6)</f>
        <v/>
      </c>
      <c r="C54" s="16">
        <f>IF($A54="","",Deals!$F6)</f>
        <v/>
      </c>
      <c r="D54" s="21">
        <f>IF($A54="","",Deals!$H6)</f>
        <v/>
      </c>
      <c r="E54" s="17">
        <f>IF($A54="","",Deals!$Q6)</f>
        <v/>
      </c>
      <c r="F54" s="16">
        <f>IF($A54="","",IF(AND(Deals!$I6&lt;&gt;"",Deals!$J6&lt;&gt;""),"Yes","No"))</f>
        <v/>
      </c>
      <c r="G54" s="22">
        <f>IF($A54="","",Deals!$Z6)</f>
        <v/>
      </c>
      <c r="H54" s="23">
        <f>IF(OR($A54="",$G54=""),"",INT((Settings!$B$19-$G54)/7))</f>
        <v/>
      </c>
      <c r="I54" s="24">
        <f>IF(OR($A54="",NOT(OR(Deals!$F6="Active",Deals!$F6="Proposal"))),"",TRIM(IF($E54=0," Unstaffed","")&amp;IF(IF(Deals!$U6="",FALSE,OR(AND(IFERROR(INDEX(Templates!$B$3:$B$10,MATCH(Deals!$U6,Templates!$A$3:$A$10,0)),0)&gt;0,COUNTIFS(Assignments!$C$2:$C$769,$A54,Assignments!$F$2:$F$769,"Partner",Assignments!$G$2:$G$769,"Active")=0),AND(IFERROR(INDEX(Templates!$C$3:$C$10,MATCH(Deals!$U6,Templates!$A$3:$A$10,0)),0)&gt;0,COUNTIFS(Assignments!$C$2:$C$769,$A54,Assignments!$F$2:$F$769,"MD",Assignments!$G$2:$G$769,"Active")=0),AND(IFERROR(INDEX(Templates!$D$3:$D$10,MATCH(Deals!$U6,Templates!$A$3:$A$10,0)),0)&gt;0,COUNTIFS(Assignments!$C$2:$C$769,$A54,Assignments!$F$2:$F$769,"Director",Assignments!$G$2:$G$769,"Active")=0),AND(IFERROR(INDEX(Templates!$E$3:$E$10,MATCH(Deals!$U6,Templates!$A$3:$A$10,0)),0)&gt;0,COUNTIFS(Assignments!$C$2:$C$769,$A54,Assignments!$F$2:$F$769,"VP",Assignments!$G$2:$G$769,"Active")=0),AND(IFERROR(INDEX(Templates!$F$3:$F$10,MATCH(Deals!$U6,Templates!$A$3:$A$10,0)),0)&gt;0,COUNTIFS(Assignments!$C$2:$C$769,$A54,Assignments!$F$2:$F$769,"Senior Associate",Assignments!$G$2:$G$769,"Active")=0),AND(IFERROR(INDEX(Templates!$G$3:$G$10,MATCH(Deals!$U6,Templates!$A$3:$A$10,0)),0)&gt;0,COUNTIFS(Assignments!$C$2:$C$769,$A54,Assignments!$F$2:$F$769,"Renewable Specialist",Assignments!$G$2:$G$769,"Active")=0),AND(IFERROR(INDEX(Templates!$H$3:$H$10,MATCH(Deals!$U6,Templates!$A$3:$A$10,0)),0)&gt;0,COUNTIFS(Assignments!$C$2:$C$769,$A54,Assignments!$F$2:$F$769,"Associate",Assignments!$G$2:$G$769,"Active")=0)))," MissingLevel","")&amp;IF(AND($C54="Proposal",Deals!$H6=0.5)," DefaultProbability","")&amp;IF($F54="No"," NoDates","")&amp;IF(AND(ISNUMBER($H54),$H54&gt;=Settings!$B$20)," Stale","")))</f>
        <v/>
      </c>
    </row>
    <row r="55">
      <c r="A55" s="16">
        <f>IF(Deals!$A7="","",Deals!$A7)</f>
        <v/>
      </c>
      <c r="B55" s="16">
        <f>IF($A55="","",Deals!$C7)</f>
        <v/>
      </c>
      <c r="C55" s="16">
        <f>IF($A55="","",Deals!$F7)</f>
        <v/>
      </c>
      <c r="D55" s="21">
        <f>IF($A55="","",Deals!$H7)</f>
        <v/>
      </c>
      <c r="E55" s="17">
        <f>IF($A55="","",Deals!$Q7)</f>
        <v/>
      </c>
      <c r="F55" s="16">
        <f>IF($A55="","",IF(AND(Deals!$I7&lt;&gt;"",Deals!$J7&lt;&gt;""),"Yes","No"))</f>
        <v/>
      </c>
      <c r="G55" s="22">
        <f>IF($A55="","",Deals!$Z7)</f>
        <v/>
      </c>
      <c r="H55" s="23">
        <f>IF(OR($A55="",$G55=""),"",INT((Settings!$B$19-$G55)/7))</f>
        <v/>
      </c>
      <c r="I55" s="24">
        <f>IF(OR($A55="",NOT(OR(Deals!$F7="Active",Deals!$F7="Proposal"))),"",TRIM(IF($E55=0," Unstaffed","")&amp;IF(IF(Deals!$U7="",FALSE,OR(AND(IFERROR(INDEX(Templates!$B$3:$B$10,MATCH(Deals!$U7,Templates!$A$3:$A$10,0)),0)&gt;0,COUNTIFS(Assignments!$C$2:$C$769,$A55,Assignments!$F$2:$F$769,"Partner",Assignments!$G$2:$G$769,"Active")=0),AND(IFERROR(INDEX(Templates!$C$3:$C$10,MATCH(Deals!$U7,Templates!$A$3:$A$10,0)),0)&gt;0,COUNTIFS(Assignments!$C$2:$C$769,$A55,Assignments!$F$2:$F$769,"MD",Assignments!$G$2:$G$769,"Active")=0),AND(IFERROR(INDEX(Templates!$D$3:$D$10,MATCH(Deals!$U7,Templates!$A$3:$A$10,0)),0)&gt;0,COUNTIFS(Assignments!$C$2:$C$769,$A55,Assignments!$F$2:$F$769,"Director",Assignments!$G$2:$G$769,"Active")=0),AND(IFERROR(INDEX(Templates!$E$3:$E$10,MATCH(Deals!$U7,Templates!$A$3:$A$10,0)),0)&gt;0,COUNTIFS(Assignments!$C$2:$C$769,$A55,Assignments!$F$2:$F$769,"VP",Assignments!$G$2:$G$769,"Active")=0),AND(IFERROR(INDEX(Templates!$F$3:$F$10,MATCH(Deals!$U7,Templates!$A$3:$A$10,0)),0)&gt;0,COUNTIFS(Assignments!$C$2:$C$769,$A55,Assignments!$F$2:$F$769,"Senior Associate",Assignments!$G$2:$G$769,"Active")=0),AND(IFERROR(INDEX(Templates!$G$3:$G$10,MATCH(Deals!$U7,Templates!$A$3:$A$10,0)),0)&gt;0,COUNTIFS(Assignments!$C$2:$C$769,$A55,Assignments!$F$2:$F$769,"Renewable Specialist",Assignments!$G$2:$G$769,"Active")=0),AND(IFERROR(INDEX(Templates!$H$3:$H$10,MATCH(Deals!$U7,Templates!$A$3:$A$10,0)),0)&gt;0,COUNTIFS(Assignments!$C$2:$C$769,$A55,Assignments!$F$2:$F$769,"Associate",Assignments!$G$2:$G$769,"Active")=0)))," MissingLevel","")&amp;IF(AND($C55="Proposal",Deals!$H7=0.5)," DefaultProbability","")&amp;IF($F55="No"," NoDates","")&amp;IF(AND(ISNUMBER($H55),$H55&gt;=Settings!$B$20)," Stale","")))</f>
        <v/>
      </c>
    </row>
    <row r="56">
      <c r="A56" s="16">
        <f>IF(Deals!$A8="","",Deals!$A8)</f>
        <v/>
      </c>
      <c r="B56" s="16">
        <f>IF($A56="","",Deals!$C8)</f>
        <v/>
      </c>
      <c r="C56" s="16">
        <f>IF($A56="","",Deals!$F8)</f>
        <v/>
      </c>
      <c r="D56" s="21">
        <f>IF($A56="","",Deals!$H8)</f>
        <v/>
      </c>
      <c r="E56" s="17">
        <f>IF($A56="","",Deals!$Q8)</f>
        <v/>
      </c>
      <c r="F56" s="16">
        <f>IF($A56="","",IF(AND(Deals!$I8&lt;&gt;"",Deals!$J8&lt;&gt;""),"Yes","No"))</f>
        <v/>
      </c>
      <c r="G56" s="22">
        <f>IF($A56="","",Deals!$Z8)</f>
        <v/>
      </c>
      <c r="H56" s="23">
        <f>IF(OR($A56="",$G56=""),"",INT((Settings!$B$19-$G56)/7))</f>
        <v/>
      </c>
      <c r="I56" s="24">
        <f>IF(OR($A56="",NOT(OR(Deals!$F8="Active",Deals!$F8="Proposal"))),"",TRIM(IF($E56=0," Unstaffed","")&amp;IF(IF(Deals!$U8="",FALSE,OR(AND(IFERROR(INDEX(Templates!$B$3:$B$10,MATCH(Deals!$U8,Templates!$A$3:$A$10,0)),0)&gt;0,COUNTIFS(Assignments!$C$2:$C$769,$A56,Assignments!$F$2:$F$769,"Partner",Assignments!$G$2:$G$769,"Active")=0),AND(IFERROR(INDEX(Templates!$C$3:$C$10,MATCH(Deals!$U8,Templates!$A$3:$A$10,0)),0)&gt;0,COUNTIFS(Assignments!$C$2:$C$769,$A56,Assignments!$F$2:$F$769,"MD",Assignments!$G$2:$G$769,"Active")=0),AND(IFERROR(INDEX(Templates!$D$3:$D$10,MATCH(Deals!$U8,Templates!$A$3:$A$10,0)),0)&gt;0,COUNTIFS(Assignments!$C$2:$C$769,$A56,Assignments!$F$2:$F$769,"Director",Assignments!$G$2:$G$769,"Active")=0),AND(IFERROR(INDEX(Templates!$E$3:$E$10,MATCH(Deals!$U8,Templates!$A$3:$A$10,0)),0)&gt;0,COUNTIFS(Assignments!$C$2:$C$769,$A56,Assignments!$F$2:$F$769,"VP",Assignments!$G$2:$G$769,"Active")=0),AND(IFERROR(INDEX(Templates!$F$3:$F$10,MATCH(Deals!$U8,Templates!$A$3:$A$10,0)),0)&gt;0,COUNTIFS(Assignments!$C$2:$C$769,$A56,Assignments!$F$2:$F$769,"Senior Associate",Assignments!$G$2:$G$769,"Active")=0),AND(IFERROR(INDEX(Templates!$G$3:$G$10,MATCH(Deals!$U8,Templates!$A$3:$A$10,0)),0)&gt;0,COUNTIFS(Assignments!$C$2:$C$769,$A56,Assignments!$F$2:$F$769,"Renewable Specialist",Assignments!$G$2:$G$769,"Active")=0),AND(IFERROR(INDEX(Templates!$H$3:$H$10,MATCH(Deals!$U8,Templates!$A$3:$A$10,0)),0)&gt;0,COUNTIFS(Assignments!$C$2:$C$769,$A56,Assignments!$F$2:$F$769,"Associate",Assignments!$G$2:$G$769,"Active")=0)))," MissingLevel","")&amp;IF(AND($C56="Proposal",Deals!$H8=0.5)," DefaultProbability","")&amp;IF($F56="No"," NoDates","")&amp;IF(AND(ISNUMBER($H56),$H56&gt;=Settings!$B$20)," Stale","")))</f>
        <v/>
      </c>
    </row>
    <row r="57">
      <c r="A57" s="16">
        <f>IF(Deals!$A9="","",Deals!$A9)</f>
        <v/>
      </c>
      <c r="B57" s="16">
        <f>IF($A57="","",Deals!$C9)</f>
        <v/>
      </c>
      <c r="C57" s="16">
        <f>IF($A57="","",Deals!$F9)</f>
        <v/>
      </c>
      <c r="D57" s="21">
        <f>IF($A57="","",Deals!$H9)</f>
        <v/>
      </c>
      <c r="E57" s="17">
        <f>IF($A57="","",Deals!$Q9)</f>
        <v/>
      </c>
      <c r="F57" s="16">
        <f>IF($A57="","",IF(AND(Deals!$I9&lt;&gt;"",Deals!$J9&lt;&gt;""),"Yes","No"))</f>
        <v/>
      </c>
      <c r="G57" s="22">
        <f>IF($A57="","",Deals!$Z9)</f>
        <v/>
      </c>
      <c r="H57" s="23">
        <f>IF(OR($A57="",$G57=""),"",INT((Settings!$B$19-$G57)/7))</f>
        <v/>
      </c>
      <c r="I57" s="24">
        <f>IF(OR($A57="",NOT(OR(Deals!$F9="Active",Deals!$F9="Proposal"))),"",TRIM(IF($E57=0," Unstaffed","")&amp;IF(IF(Deals!$U9="",FALSE,OR(AND(IFERROR(INDEX(Templates!$B$3:$B$10,MATCH(Deals!$U9,Templates!$A$3:$A$10,0)),0)&gt;0,COUNTIFS(Assignments!$C$2:$C$769,$A57,Assignments!$F$2:$F$769,"Partner",Assignments!$G$2:$G$769,"Active")=0),AND(IFERROR(INDEX(Templates!$C$3:$C$10,MATCH(Deals!$U9,Templates!$A$3:$A$10,0)),0)&gt;0,COUNTIFS(Assignments!$C$2:$C$769,$A57,Assignments!$F$2:$F$769,"MD",Assignments!$G$2:$G$769,"Active")=0),AND(IFERROR(INDEX(Templates!$D$3:$D$10,MATCH(Deals!$U9,Templates!$A$3:$A$10,0)),0)&gt;0,COUNTIFS(Assignments!$C$2:$C$769,$A57,Assignments!$F$2:$F$769,"Director",Assignments!$G$2:$G$769,"Active")=0),AND(IFERROR(INDEX(Templates!$E$3:$E$10,MATCH(Deals!$U9,Templates!$A$3:$A$10,0)),0)&gt;0,COUNTIFS(Assignments!$C$2:$C$769,$A57,Assignments!$F$2:$F$769,"VP",Assignments!$G$2:$G$769,"Active")=0),AND(IFERROR(INDEX(Templates!$F$3:$F$10,MATCH(Deals!$U9,Templates!$A$3:$A$10,0)),0)&gt;0,COUNTIFS(Assignments!$C$2:$C$769,$A57,Assignments!$F$2:$F$769,"Senior Associate",Assignments!$G$2:$G$769,"Active")=0),AND(IFERROR(INDEX(Templates!$G$3:$G$10,MATCH(Deals!$U9,Templates!$A$3:$A$10,0)),0)&gt;0,COUNTIFS(Assignments!$C$2:$C$769,$A57,Assignments!$F$2:$F$769,"Renewable Specialist",Assignments!$G$2:$G$769,"Active")=0),AND(IFERROR(INDEX(Templates!$H$3:$H$10,MATCH(Deals!$U9,Templates!$A$3:$A$10,0)),0)&gt;0,COUNTIFS(Assignments!$C$2:$C$769,$A57,Assignments!$F$2:$F$769,"Associate",Assignments!$G$2:$G$769,"Active")=0)))," MissingLevel","")&amp;IF(AND($C57="Proposal",Deals!$H9=0.5)," DefaultProbability","")&amp;IF($F57="No"," NoDates","")&amp;IF(AND(ISNUMBER($H57),$H57&gt;=Settings!$B$20)," Stale","")))</f>
        <v/>
      </c>
    </row>
    <row r="58">
      <c r="A58" s="16">
        <f>IF(Deals!$A10="","",Deals!$A10)</f>
        <v/>
      </c>
      <c r="B58" s="16">
        <f>IF($A58="","",Deals!$C10)</f>
        <v/>
      </c>
      <c r="C58" s="16">
        <f>IF($A58="","",Deals!$F10)</f>
        <v/>
      </c>
      <c r="D58" s="21">
        <f>IF($A58="","",Deals!$H10)</f>
        <v/>
      </c>
      <c r="E58" s="17">
        <f>IF($A58="","",Deals!$Q10)</f>
        <v/>
      </c>
      <c r="F58" s="16">
        <f>IF($A58="","",IF(AND(Deals!$I10&lt;&gt;"",Deals!$J10&lt;&gt;""),"Yes","No"))</f>
        <v/>
      </c>
      <c r="G58" s="22">
        <f>IF($A58="","",Deals!$Z10)</f>
        <v/>
      </c>
      <c r="H58" s="23">
        <f>IF(OR($A58="",$G58=""),"",INT((Settings!$B$19-$G58)/7))</f>
        <v/>
      </c>
      <c r="I58" s="24">
        <f>IF(OR($A58="",NOT(OR(Deals!$F10="Active",Deals!$F10="Proposal"))),"",TRIM(IF($E58=0," Unstaffed","")&amp;IF(IF(Deals!$U10="",FALSE,OR(AND(IFERROR(INDEX(Templates!$B$3:$B$10,MATCH(Deals!$U10,Templates!$A$3:$A$10,0)),0)&gt;0,COUNTIFS(Assignments!$C$2:$C$769,$A58,Assignments!$F$2:$F$769,"Partner",Assignments!$G$2:$G$769,"Active")=0),AND(IFERROR(INDEX(Templates!$C$3:$C$10,MATCH(Deals!$U10,Templates!$A$3:$A$10,0)),0)&gt;0,COUNTIFS(Assignments!$C$2:$C$769,$A58,Assignments!$F$2:$F$769,"MD",Assignments!$G$2:$G$769,"Active")=0),AND(IFERROR(INDEX(Templates!$D$3:$D$10,MATCH(Deals!$U10,Templates!$A$3:$A$10,0)),0)&gt;0,COUNTIFS(Assignments!$C$2:$C$769,$A58,Assignments!$F$2:$F$769,"Director",Assignments!$G$2:$G$769,"Active")=0),AND(IFERROR(INDEX(Templates!$E$3:$E$10,MATCH(Deals!$U10,Templates!$A$3:$A$10,0)),0)&gt;0,COUNTIFS(Assignments!$C$2:$C$769,$A58,Assignments!$F$2:$F$769,"VP",Assignments!$G$2:$G$769,"Active")=0),AND(IFERROR(INDEX(Templates!$F$3:$F$10,MATCH(Deals!$U10,Templates!$A$3:$A$10,0)),0)&gt;0,COUNTIFS(Assignments!$C$2:$C$769,$A58,Assignments!$F$2:$F$769,"Senior Associate",Assignments!$G$2:$G$769,"Active")=0),AND(IFERROR(INDEX(Templates!$G$3:$G$10,MATCH(Deals!$U10,Templates!$A$3:$A$10,0)),0)&gt;0,COUNTIFS(Assignments!$C$2:$C$769,$A58,Assignments!$F$2:$F$769,"Renewable Specialist",Assignments!$G$2:$G$769,"Active")=0),AND(IFERROR(INDEX(Templates!$H$3:$H$10,MATCH(Deals!$U10,Templates!$A$3:$A$10,0)),0)&gt;0,COUNTIFS(Assignments!$C$2:$C$769,$A58,Assignments!$F$2:$F$769,"Associate",Assignments!$G$2:$G$769,"Active")=0)))," MissingLevel","")&amp;IF(AND($C58="Proposal",Deals!$H10=0.5)," DefaultProbability","")&amp;IF($F58="No"," NoDates","")&amp;IF(AND(ISNUMBER($H58),$H58&gt;=Settings!$B$20)," Stale","")))</f>
        <v/>
      </c>
    </row>
    <row r="59">
      <c r="A59" s="16">
        <f>IF(Deals!$A11="","",Deals!$A11)</f>
        <v/>
      </c>
      <c r="B59" s="16">
        <f>IF($A59="","",Deals!$C11)</f>
        <v/>
      </c>
      <c r="C59" s="16">
        <f>IF($A59="","",Deals!$F11)</f>
        <v/>
      </c>
      <c r="D59" s="21">
        <f>IF($A59="","",Deals!$H11)</f>
        <v/>
      </c>
      <c r="E59" s="17">
        <f>IF($A59="","",Deals!$Q11)</f>
        <v/>
      </c>
      <c r="F59" s="16">
        <f>IF($A59="","",IF(AND(Deals!$I11&lt;&gt;"",Deals!$J11&lt;&gt;""),"Yes","No"))</f>
        <v/>
      </c>
      <c r="G59" s="22">
        <f>IF($A59="","",Deals!$Z11)</f>
        <v/>
      </c>
      <c r="H59" s="23">
        <f>IF(OR($A59="",$G59=""),"",INT((Settings!$B$19-$G59)/7))</f>
        <v/>
      </c>
      <c r="I59" s="24">
        <f>IF(OR($A59="",NOT(OR(Deals!$F11="Active",Deals!$F11="Proposal"))),"",TRIM(IF($E59=0," Unstaffed","")&amp;IF(IF(Deals!$U11="",FALSE,OR(AND(IFERROR(INDEX(Templates!$B$3:$B$10,MATCH(Deals!$U11,Templates!$A$3:$A$10,0)),0)&gt;0,COUNTIFS(Assignments!$C$2:$C$769,$A59,Assignments!$F$2:$F$769,"Partner",Assignments!$G$2:$G$769,"Active")=0),AND(IFERROR(INDEX(Templates!$C$3:$C$10,MATCH(Deals!$U11,Templates!$A$3:$A$10,0)),0)&gt;0,COUNTIFS(Assignments!$C$2:$C$769,$A59,Assignments!$F$2:$F$769,"MD",Assignments!$G$2:$G$769,"Active")=0),AND(IFERROR(INDEX(Templates!$D$3:$D$10,MATCH(Deals!$U11,Templates!$A$3:$A$10,0)),0)&gt;0,COUNTIFS(Assignments!$C$2:$C$769,$A59,Assignments!$F$2:$F$769,"Director",Assignments!$G$2:$G$769,"Active")=0),AND(IFERROR(INDEX(Templates!$E$3:$E$10,MATCH(Deals!$U11,Templates!$A$3:$A$10,0)),0)&gt;0,COUNTIFS(Assignments!$C$2:$C$769,$A59,Assignments!$F$2:$F$769,"VP",Assignments!$G$2:$G$769,"Active")=0),AND(IFERROR(INDEX(Templates!$F$3:$F$10,MATCH(Deals!$U11,Templates!$A$3:$A$10,0)),0)&gt;0,COUNTIFS(Assignments!$C$2:$C$769,$A59,Assignments!$F$2:$F$769,"Senior Associate",Assignments!$G$2:$G$769,"Active")=0),AND(IFERROR(INDEX(Templates!$G$3:$G$10,MATCH(Deals!$U11,Templates!$A$3:$A$10,0)),0)&gt;0,COUNTIFS(Assignments!$C$2:$C$769,$A59,Assignments!$F$2:$F$769,"Renewable Specialist",Assignments!$G$2:$G$769,"Active")=0),AND(IFERROR(INDEX(Templates!$H$3:$H$10,MATCH(Deals!$U11,Templates!$A$3:$A$10,0)),0)&gt;0,COUNTIFS(Assignments!$C$2:$C$769,$A59,Assignments!$F$2:$F$769,"Associate",Assignments!$G$2:$G$769,"Active")=0)))," MissingLevel","")&amp;IF(AND($C59="Proposal",Deals!$H11=0.5)," DefaultProbability","")&amp;IF($F59="No"," NoDates","")&amp;IF(AND(ISNUMBER($H59),$H59&gt;=Settings!$B$20)," Stale","")))</f>
        <v/>
      </c>
    </row>
    <row r="60">
      <c r="A60" s="16">
        <f>IF(Deals!$A12="","",Deals!$A12)</f>
        <v/>
      </c>
      <c r="B60" s="16">
        <f>IF($A60="","",Deals!$C12)</f>
        <v/>
      </c>
      <c r="C60" s="16">
        <f>IF($A60="","",Deals!$F12)</f>
        <v/>
      </c>
      <c r="D60" s="21">
        <f>IF($A60="","",Deals!$H12)</f>
        <v/>
      </c>
      <c r="E60" s="17">
        <f>IF($A60="","",Deals!$Q12)</f>
        <v/>
      </c>
      <c r="F60" s="16">
        <f>IF($A60="","",IF(AND(Deals!$I12&lt;&gt;"",Deals!$J12&lt;&gt;""),"Yes","No"))</f>
        <v/>
      </c>
      <c r="G60" s="22">
        <f>IF($A60="","",Deals!$Z12)</f>
        <v/>
      </c>
      <c r="H60" s="23">
        <f>IF(OR($A60="",$G60=""),"",INT((Settings!$B$19-$G60)/7))</f>
        <v/>
      </c>
      <c r="I60" s="24">
        <f>IF(OR($A60="",NOT(OR(Deals!$F12="Active",Deals!$F12="Proposal"))),"",TRIM(IF($E60=0," Unstaffed","")&amp;IF(IF(Deals!$U12="",FALSE,OR(AND(IFERROR(INDEX(Templates!$B$3:$B$10,MATCH(Deals!$U12,Templates!$A$3:$A$10,0)),0)&gt;0,COUNTIFS(Assignments!$C$2:$C$769,$A60,Assignments!$F$2:$F$769,"Partner",Assignments!$G$2:$G$769,"Active")=0),AND(IFERROR(INDEX(Templates!$C$3:$C$10,MATCH(Deals!$U12,Templates!$A$3:$A$10,0)),0)&gt;0,COUNTIFS(Assignments!$C$2:$C$769,$A60,Assignments!$F$2:$F$769,"MD",Assignments!$G$2:$G$769,"Active")=0),AND(IFERROR(INDEX(Templates!$D$3:$D$10,MATCH(Deals!$U12,Templates!$A$3:$A$10,0)),0)&gt;0,COUNTIFS(Assignments!$C$2:$C$769,$A60,Assignments!$F$2:$F$769,"Director",Assignments!$G$2:$G$769,"Active")=0),AND(IFERROR(INDEX(Templates!$E$3:$E$10,MATCH(Deals!$U12,Templates!$A$3:$A$10,0)),0)&gt;0,COUNTIFS(Assignments!$C$2:$C$769,$A60,Assignments!$F$2:$F$769,"VP",Assignments!$G$2:$G$769,"Active")=0),AND(IFERROR(INDEX(Templates!$F$3:$F$10,MATCH(Deals!$U12,Templates!$A$3:$A$10,0)),0)&gt;0,COUNTIFS(Assignments!$C$2:$C$769,$A60,Assignments!$F$2:$F$769,"Senior Associate",Assignments!$G$2:$G$769,"Active")=0),AND(IFERROR(INDEX(Templates!$G$3:$G$10,MATCH(Deals!$U12,Templates!$A$3:$A$10,0)),0)&gt;0,COUNTIFS(Assignments!$C$2:$C$769,$A60,Assignments!$F$2:$F$769,"Renewable Specialist",Assignments!$G$2:$G$769,"Active")=0),AND(IFERROR(INDEX(Templates!$H$3:$H$10,MATCH(Deals!$U12,Templates!$A$3:$A$10,0)),0)&gt;0,COUNTIFS(Assignments!$C$2:$C$769,$A60,Assignments!$F$2:$F$769,"Associate",Assignments!$G$2:$G$769,"Active")=0)))," MissingLevel","")&amp;IF(AND($C60="Proposal",Deals!$H12=0.5)," DefaultProbability","")&amp;IF($F60="No"," NoDates","")&amp;IF(AND(ISNUMBER($H60),$H60&gt;=Settings!$B$20)," Stale","")))</f>
        <v/>
      </c>
    </row>
    <row r="61">
      <c r="A61" s="16">
        <f>IF(Deals!$A13="","",Deals!$A13)</f>
        <v/>
      </c>
      <c r="B61" s="16">
        <f>IF($A61="","",Deals!$C13)</f>
        <v/>
      </c>
      <c r="C61" s="16">
        <f>IF($A61="","",Deals!$F13)</f>
        <v/>
      </c>
      <c r="D61" s="21">
        <f>IF($A61="","",Deals!$H13)</f>
        <v/>
      </c>
      <c r="E61" s="17">
        <f>IF($A61="","",Deals!$Q13)</f>
        <v/>
      </c>
      <c r="F61" s="16">
        <f>IF($A61="","",IF(AND(Deals!$I13&lt;&gt;"",Deals!$J13&lt;&gt;""),"Yes","No"))</f>
        <v/>
      </c>
      <c r="G61" s="22">
        <f>IF($A61="","",Deals!$Z13)</f>
        <v/>
      </c>
      <c r="H61" s="23">
        <f>IF(OR($A61="",$G61=""),"",INT((Settings!$B$19-$G61)/7))</f>
        <v/>
      </c>
      <c r="I61" s="24">
        <f>IF(OR($A61="",NOT(OR(Deals!$F13="Active",Deals!$F13="Proposal"))),"",TRIM(IF($E61=0," Unstaffed","")&amp;IF(IF(Deals!$U13="",FALSE,OR(AND(IFERROR(INDEX(Templates!$B$3:$B$10,MATCH(Deals!$U13,Templates!$A$3:$A$10,0)),0)&gt;0,COUNTIFS(Assignments!$C$2:$C$769,$A61,Assignments!$F$2:$F$769,"Partner",Assignments!$G$2:$G$769,"Active")=0),AND(IFERROR(INDEX(Templates!$C$3:$C$10,MATCH(Deals!$U13,Templates!$A$3:$A$10,0)),0)&gt;0,COUNTIFS(Assignments!$C$2:$C$769,$A61,Assignments!$F$2:$F$769,"MD",Assignments!$G$2:$G$769,"Active")=0),AND(IFERROR(INDEX(Templates!$D$3:$D$10,MATCH(Deals!$U13,Templates!$A$3:$A$10,0)),0)&gt;0,COUNTIFS(Assignments!$C$2:$C$769,$A61,Assignments!$F$2:$F$769,"Director",Assignments!$G$2:$G$769,"Active")=0),AND(IFERROR(INDEX(Templates!$E$3:$E$10,MATCH(Deals!$U13,Templates!$A$3:$A$10,0)),0)&gt;0,COUNTIFS(Assignments!$C$2:$C$769,$A61,Assignments!$F$2:$F$769,"VP",Assignments!$G$2:$G$769,"Active")=0),AND(IFERROR(INDEX(Templates!$F$3:$F$10,MATCH(Deals!$U13,Templates!$A$3:$A$10,0)),0)&gt;0,COUNTIFS(Assignments!$C$2:$C$769,$A61,Assignments!$F$2:$F$769,"Senior Associate",Assignments!$G$2:$G$769,"Active")=0),AND(IFERROR(INDEX(Templates!$G$3:$G$10,MATCH(Deals!$U13,Templates!$A$3:$A$10,0)),0)&gt;0,COUNTIFS(Assignments!$C$2:$C$769,$A61,Assignments!$F$2:$F$769,"Renewable Specialist",Assignments!$G$2:$G$769,"Active")=0),AND(IFERROR(INDEX(Templates!$H$3:$H$10,MATCH(Deals!$U13,Templates!$A$3:$A$10,0)),0)&gt;0,COUNTIFS(Assignments!$C$2:$C$769,$A61,Assignments!$F$2:$F$769,"Associate",Assignments!$G$2:$G$769,"Active")=0)))," MissingLevel","")&amp;IF(AND($C61="Proposal",Deals!$H13=0.5)," DefaultProbability","")&amp;IF($F61="No"," NoDates","")&amp;IF(AND(ISNUMBER($H61),$H61&gt;=Settings!$B$20)," Stale","")))</f>
        <v/>
      </c>
    </row>
    <row r="62">
      <c r="A62" s="16">
        <f>IF(Deals!$A14="","",Deals!$A14)</f>
        <v/>
      </c>
      <c r="B62" s="16">
        <f>IF($A62="","",Deals!$C14)</f>
        <v/>
      </c>
      <c r="C62" s="16">
        <f>IF($A62="","",Deals!$F14)</f>
        <v/>
      </c>
      <c r="D62" s="21">
        <f>IF($A62="","",Deals!$H14)</f>
        <v/>
      </c>
      <c r="E62" s="17">
        <f>IF($A62="","",Deals!$Q14)</f>
        <v/>
      </c>
      <c r="F62" s="16">
        <f>IF($A62="","",IF(AND(Deals!$I14&lt;&gt;"",Deals!$J14&lt;&gt;""),"Yes","No"))</f>
        <v/>
      </c>
      <c r="G62" s="22">
        <f>IF($A62="","",Deals!$Z14)</f>
        <v/>
      </c>
      <c r="H62" s="23">
        <f>IF(OR($A62="",$G62=""),"",INT((Settings!$B$19-$G62)/7))</f>
        <v/>
      </c>
      <c r="I62" s="24">
        <f>IF(OR($A62="",NOT(OR(Deals!$F14="Active",Deals!$F14="Proposal"))),"",TRIM(IF($E62=0," Unstaffed","")&amp;IF(IF(Deals!$U14="",FALSE,OR(AND(IFERROR(INDEX(Templates!$B$3:$B$10,MATCH(Deals!$U14,Templates!$A$3:$A$10,0)),0)&gt;0,COUNTIFS(Assignments!$C$2:$C$769,$A62,Assignments!$F$2:$F$769,"Partner",Assignments!$G$2:$G$769,"Active")=0),AND(IFERROR(INDEX(Templates!$C$3:$C$10,MATCH(Deals!$U14,Templates!$A$3:$A$10,0)),0)&gt;0,COUNTIFS(Assignments!$C$2:$C$769,$A62,Assignments!$F$2:$F$769,"MD",Assignments!$G$2:$G$769,"Active")=0),AND(IFERROR(INDEX(Templates!$D$3:$D$10,MATCH(Deals!$U14,Templates!$A$3:$A$10,0)),0)&gt;0,COUNTIFS(Assignments!$C$2:$C$769,$A62,Assignments!$F$2:$F$769,"Director",Assignments!$G$2:$G$769,"Active")=0),AND(IFERROR(INDEX(Templates!$E$3:$E$10,MATCH(Deals!$U14,Templates!$A$3:$A$10,0)),0)&gt;0,COUNTIFS(Assignments!$C$2:$C$769,$A62,Assignments!$F$2:$F$769,"VP",Assignments!$G$2:$G$769,"Active")=0),AND(IFERROR(INDEX(Templates!$F$3:$F$10,MATCH(Deals!$U14,Templates!$A$3:$A$10,0)),0)&gt;0,COUNTIFS(Assignments!$C$2:$C$769,$A62,Assignments!$F$2:$F$769,"Senior Associate",Assignments!$G$2:$G$769,"Active")=0),AND(IFERROR(INDEX(Templates!$G$3:$G$10,MATCH(Deals!$U14,Templates!$A$3:$A$10,0)),0)&gt;0,COUNTIFS(Assignments!$C$2:$C$769,$A62,Assignments!$F$2:$F$769,"Renewable Specialist",Assignments!$G$2:$G$769,"Active")=0),AND(IFERROR(INDEX(Templates!$H$3:$H$10,MATCH(Deals!$U14,Templates!$A$3:$A$10,0)),0)&gt;0,COUNTIFS(Assignments!$C$2:$C$769,$A62,Assignments!$F$2:$F$769,"Associate",Assignments!$G$2:$G$769,"Active")=0)))," MissingLevel","")&amp;IF(AND($C62="Proposal",Deals!$H14=0.5)," DefaultProbability","")&amp;IF($F62="No"," NoDates","")&amp;IF(AND(ISNUMBER($H62),$H62&gt;=Settings!$B$20)," Stale","")))</f>
        <v/>
      </c>
    </row>
    <row r="63">
      <c r="A63" s="16">
        <f>IF(Deals!$A15="","",Deals!$A15)</f>
        <v/>
      </c>
      <c r="B63" s="16">
        <f>IF($A63="","",Deals!$C15)</f>
        <v/>
      </c>
      <c r="C63" s="16">
        <f>IF($A63="","",Deals!$F15)</f>
        <v/>
      </c>
      <c r="D63" s="21">
        <f>IF($A63="","",Deals!$H15)</f>
        <v/>
      </c>
      <c r="E63" s="17">
        <f>IF($A63="","",Deals!$Q15)</f>
        <v/>
      </c>
      <c r="F63" s="16">
        <f>IF($A63="","",IF(AND(Deals!$I15&lt;&gt;"",Deals!$J15&lt;&gt;""),"Yes","No"))</f>
        <v/>
      </c>
      <c r="G63" s="22">
        <f>IF($A63="","",Deals!$Z15)</f>
        <v/>
      </c>
      <c r="H63" s="23">
        <f>IF(OR($A63="",$G63=""),"",INT((Settings!$B$19-$G63)/7))</f>
        <v/>
      </c>
      <c r="I63" s="24">
        <f>IF(OR($A63="",NOT(OR(Deals!$F15="Active",Deals!$F15="Proposal"))),"",TRIM(IF($E63=0," Unstaffed","")&amp;IF(IF(Deals!$U15="",FALSE,OR(AND(IFERROR(INDEX(Templates!$B$3:$B$10,MATCH(Deals!$U15,Templates!$A$3:$A$10,0)),0)&gt;0,COUNTIFS(Assignments!$C$2:$C$769,$A63,Assignments!$F$2:$F$769,"Partner",Assignments!$G$2:$G$769,"Active")=0),AND(IFERROR(INDEX(Templates!$C$3:$C$10,MATCH(Deals!$U15,Templates!$A$3:$A$10,0)),0)&gt;0,COUNTIFS(Assignments!$C$2:$C$769,$A63,Assignments!$F$2:$F$769,"MD",Assignments!$G$2:$G$769,"Active")=0),AND(IFERROR(INDEX(Templates!$D$3:$D$10,MATCH(Deals!$U15,Templates!$A$3:$A$10,0)),0)&gt;0,COUNTIFS(Assignments!$C$2:$C$769,$A63,Assignments!$F$2:$F$769,"Director",Assignments!$G$2:$G$769,"Active")=0),AND(IFERROR(INDEX(Templates!$E$3:$E$10,MATCH(Deals!$U15,Templates!$A$3:$A$10,0)),0)&gt;0,COUNTIFS(Assignments!$C$2:$C$769,$A63,Assignments!$F$2:$F$769,"VP",Assignments!$G$2:$G$769,"Active")=0),AND(IFERROR(INDEX(Templates!$F$3:$F$10,MATCH(Deals!$U15,Templates!$A$3:$A$10,0)),0)&gt;0,COUNTIFS(Assignments!$C$2:$C$769,$A63,Assignments!$F$2:$F$769,"Senior Associate",Assignments!$G$2:$G$769,"Active")=0),AND(IFERROR(INDEX(Templates!$G$3:$G$10,MATCH(Deals!$U15,Templates!$A$3:$A$10,0)),0)&gt;0,COUNTIFS(Assignments!$C$2:$C$769,$A63,Assignments!$F$2:$F$769,"Renewable Specialist",Assignments!$G$2:$G$769,"Active")=0),AND(IFERROR(INDEX(Templates!$H$3:$H$10,MATCH(Deals!$U15,Templates!$A$3:$A$10,0)),0)&gt;0,COUNTIFS(Assignments!$C$2:$C$769,$A63,Assignments!$F$2:$F$769,"Associate",Assignments!$G$2:$G$769,"Active")=0)))," MissingLevel","")&amp;IF(AND($C63="Proposal",Deals!$H15=0.5)," DefaultProbability","")&amp;IF($F63="No"," NoDates","")&amp;IF(AND(ISNUMBER($H63),$H63&gt;=Settings!$B$20)," Stale","")))</f>
        <v/>
      </c>
    </row>
    <row r="64">
      <c r="A64" s="16">
        <f>IF(Deals!$A16="","",Deals!$A16)</f>
        <v/>
      </c>
      <c r="B64" s="16">
        <f>IF($A64="","",Deals!$C16)</f>
        <v/>
      </c>
      <c r="C64" s="16">
        <f>IF($A64="","",Deals!$F16)</f>
        <v/>
      </c>
      <c r="D64" s="21">
        <f>IF($A64="","",Deals!$H16)</f>
        <v/>
      </c>
      <c r="E64" s="17">
        <f>IF($A64="","",Deals!$Q16)</f>
        <v/>
      </c>
      <c r="F64" s="16">
        <f>IF($A64="","",IF(AND(Deals!$I16&lt;&gt;"",Deals!$J16&lt;&gt;""),"Yes","No"))</f>
        <v/>
      </c>
      <c r="G64" s="22">
        <f>IF($A64="","",Deals!$Z16)</f>
        <v/>
      </c>
      <c r="H64" s="23">
        <f>IF(OR($A64="",$G64=""),"",INT((Settings!$B$19-$G64)/7))</f>
        <v/>
      </c>
      <c r="I64" s="24">
        <f>IF(OR($A64="",NOT(OR(Deals!$F16="Active",Deals!$F16="Proposal"))),"",TRIM(IF($E64=0," Unstaffed","")&amp;IF(IF(Deals!$U16="",FALSE,OR(AND(IFERROR(INDEX(Templates!$B$3:$B$10,MATCH(Deals!$U16,Templates!$A$3:$A$10,0)),0)&gt;0,COUNTIFS(Assignments!$C$2:$C$769,$A64,Assignments!$F$2:$F$769,"Partner",Assignments!$G$2:$G$769,"Active")=0),AND(IFERROR(INDEX(Templates!$C$3:$C$10,MATCH(Deals!$U16,Templates!$A$3:$A$10,0)),0)&gt;0,COUNTIFS(Assignments!$C$2:$C$769,$A64,Assignments!$F$2:$F$769,"MD",Assignments!$G$2:$G$769,"Active")=0),AND(IFERROR(INDEX(Templates!$D$3:$D$10,MATCH(Deals!$U16,Templates!$A$3:$A$10,0)),0)&gt;0,COUNTIFS(Assignments!$C$2:$C$769,$A64,Assignments!$F$2:$F$769,"Director",Assignments!$G$2:$G$769,"Active")=0),AND(IFERROR(INDEX(Templates!$E$3:$E$10,MATCH(Deals!$U16,Templates!$A$3:$A$10,0)),0)&gt;0,COUNTIFS(Assignments!$C$2:$C$769,$A64,Assignments!$F$2:$F$769,"VP",Assignments!$G$2:$G$769,"Active")=0),AND(IFERROR(INDEX(Templates!$F$3:$F$10,MATCH(Deals!$U16,Templates!$A$3:$A$10,0)),0)&gt;0,COUNTIFS(Assignments!$C$2:$C$769,$A64,Assignments!$F$2:$F$769,"Senior Associate",Assignments!$G$2:$G$769,"Active")=0),AND(IFERROR(INDEX(Templates!$G$3:$G$10,MATCH(Deals!$U16,Templates!$A$3:$A$10,0)),0)&gt;0,COUNTIFS(Assignments!$C$2:$C$769,$A64,Assignments!$F$2:$F$769,"Renewable Specialist",Assignments!$G$2:$G$769,"Active")=0),AND(IFERROR(INDEX(Templates!$H$3:$H$10,MATCH(Deals!$U16,Templates!$A$3:$A$10,0)),0)&gt;0,COUNTIFS(Assignments!$C$2:$C$769,$A64,Assignments!$F$2:$F$769,"Associate",Assignments!$G$2:$G$769,"Active")=0)))," MissingLevel","")&amp;IF(AND($C64="Proposal",Deals!$H16=0.5)," DefaultProbability","")&amp;IF($F64="No"," NoDates","")&amp;IF(AND(ISNUMBER($H64),$H64&gt;=Settings!$B$20)," Stale","")))</f>
        <v/>
      </c>
    </row>
    <row r="65">
      <c r="A65" s="16">
        <f>IF(Deals!$A17="","",Deals!$A17)</f>
        <v/>
      </c>
      <c r="B65" s="16">
        <f>IF($A65="","",Deals!$C17)</f>
        <v/>
      </c>
      <c r="C65" s="16">
        <f>IF($A65="","",Deals!$F17)</f>
        <v/>
      </c>
      <c r="D65" s="21">
        <f>IF($A65="","",Deals!$H17)</f>
        <v/>
      </c>
      <c r="E65" s="17">
        <f>IF($A65="","",Deals!$Q17)</f>
        <v/>
      </c>
      <c r="F65" s="16">
        <f>IF($A65="","",IF(AND(Deals!$I17&lt;&gt;"",Deals!$J17&lt;&gt;""),"Yes","No"))</f>
        <v/>
      </c>
      <c r="G65" s="22">
        <f>IF($A65="","",Deals!$Z17)</f>
        <v/>
      </c>
      <c r="H65" s="23">
        <f>IF(OR($A65="",$G65=""),"",INT((Settings!$B$19-$G65)/7))</f>
        <v/>
      </c>
      <c r="I65" s="24">
        <f>IF(OR($A65="",NOT(OR(Deals!$F17="Active",Deals!$F17="Proposal"))),"",TRIM(IF($E65=0," Unstaffed","")&amp;IF(IF(Deals!$U17="",FALSE,OR(AND(IFERROR(INDEX(Templates!$B$3:$B$10,MATCH(Deals!$U17,Templates!$A$3:$A$10,0)),0)&gt;0,COUNTIFS(Assignments!$C$2:$C$769,$A65,Assignments!$F$2:$F$769,"Partner",Assignments!$G$2:$G$769,"Active")=0),AND(IFERROR(INDEX(Templates!$C$3:$C$10,MATCH(Deals!$U17,Templates!$A$3:$A$10,0)),0)&gt;0,COUNTIFS(Assignments!$C$2:$C$769,$A65,Assignments!$F$2:$F$769,"MD",Assignments!$G$2:$G$769,"Active")=0),AND(IFERROR(INDEX(Templates!$D$3:$D$10,MATCH(Deals!$U17,Templates!$A$3:$A$10,0)),0)&gt;0,COUNTIFS(Assignments!$C$2:$C$769,$A65,Assignments!$F$2:$F$769,"Director",Assignments!$G$2:$G$769,"Active")=0),AND(IFERROR(INDEX(Templates!$E$3:$E$10,MATCH(Deals!$U17,Templates!$A$3:$A$10,0)),0)&gt;0,COUNTIFS(Assignments!$C$2:$C$769,$A65,Assignments!$F$2:$F$769,"VP",Assignments!$G$2:$G$769,"Active")=0),AND(IFERROR(INDEX(Templates!$F$3:$F$10,MATCH(Deals!$U17,Templates!$A$3:$A$10,0)),0)&gt;0,COUNTIFS(Assignments!$C$2:$C$769,$A65,Assignments!$F$2:$F$769,"Senior Associate",Assignments!$G$2:$G$769,"Active")=0),AND(IFERROR(INDEX(Templates!$G$3:$G$10,MATCH(Deals!$U17,Templates!$A$3:$A$10,0)),0)&gt;0,COUNTIFS(Assignments!$C$2:$C$769,$A65,Assignments!$F$2:$F$769,"Renewable Specialist",Assignments!$G$2:$G$769,"Active")=0),AND(IFERROR(INDEX(Templates!$H$3:$H$10,MATCH(Deals!$U17,Templates!$A$3:$A$10,0)),0)&gt;0,COUNTIFS(Assignments!$C$2:$C$769,$A65,Assignments!$F$2:$F$769,"Associate",Assignments!$G$2:$G$769,"Active")=0)))," MissingLevel","")&amp;IF(AND($C65="Proposal",Deals!$H17=0.5)," DefaultProbability","")&amp;IF($F65="No"," NoDates","")&amp;IF(AND(ISNUMBER($H65),$H65&gt;=Settings!$B$20)," Stale","")))</f>
        <v/>
      </c>
    </row>
    <row r="66">
      <c r="A66" s="16">
        <f>IF(Deals!$A18="","",Deals!$A18)</f>
        <v/>
      </c>
      <c r="B66" s="16">
        <f>IF($A66="","",Deals!$C18)</f>
        <v/>
      </c>
      <c r="C66" s="16">
        <f>IF($A66="","",Deals!$F18)</f>
        <v/>
      </c>
      <c r="D66" s="21">
        <f>IF($A66="","",Deals!$H18)</f>
        <v/>
      </c>
      <c r="E66" s="17">
        <f>IF($A66="","",Deals!$Q18)</f>
        <v/>
      </c>
      <c r="F66" s="16">
        <f>IF($A66="","",IF(AND(Deals!$I18&lt;&gt;"",Deals!$J18&lt;&gt;""),"Yes","No"))</f>
        <v/>
      </c>
      <c r="G66" s="22">
        <f>IF($A66="","",Deals!$Z18)</f>
        <v/>
      </c>
      <c r="H66" s="23">
        <f>IF(OR($A66="",$G66=""),"",INT((Settings!$B$19-$G66)/7))</f>
        <v/>
      </c>
      <c r="I66" s="24">
        <f>IF(OR($A66="",NOT(OR(Deals!$F18="Active",Deals!$F18="Proposal"))),"",TRIM(IF($E66=0," Unstaffed","")&amp;IF(IF(Deals!$U18="",FALSE,OR(AND(IFERROR(INDEX(Templates!$B$3:$B$10,MATCH(Deals!$U18,Templates!$A$3:$A$10,0)),0)&gt;0,COUNTIFS(Assignments!$C$2:$C$769,$A66,Assignments!$F$2:$F$769,"Partner",Assignments!$G$2:$G$769,"Active")=0),AND(IFERROR(INDEX(Templates!$C$3:$C$10,MATCH(Deals!$U18,Templates!$A$3:$A$10,0)),0)&gt;0,COUNTIFS(Assignments!$C$2:$C$769,$A66,Assignments!$F$2:$F$769,"MD",Assignments!$G$2:$G$769,"Active")=0),AND(IFERROR(INDEX(Templates!$D$3:$D$10,MATCH(Deals!$U18,Templates!$A$3:$A$10,0)),0)&gt;0,COUNTIFS(Assignments!$C$2:$C$769,$A66,Assignments!$F$2:$F$769,"Director",Assignments!$G$2:$G$769,"Active")=0),AND(IFERROR(INDEX(Templates!$E$3:$E$10,MATCH(Deals!$U18,Templates!$A$3:$A$10,0)),0)&gt;0,COUNTIFS(Assignments!$C$2:$C$769,$A66,Assignments!$F$2:$F$769,"VP",Assignments!$G$2:$G$769,"Active")=0),AND(IFERROR(INDEX(Templates!$F$3:$F$10,MATCH(Deals!$U18,Templates!$A$3:$A$10,0)),0)&gt;0,COUNTIFS(Assignments!$C$2:$C$769,$A66,Assignments!$F$2:$F$769,"Senior Associate",Assignments!$G$2:$G$769,"Active")=0),AND(IFERROR(INDEX(Templates!$G$3:$G$10,MATCH(Deals!$U18,Templates!$A$3:$A$10,0)),0)&gt;0,COUNTIFS(Assignments!$C$2:$C$769,$A66,Assignments!$F$2:$F$769,"Renewable Specialist",Assignments!$G$2:$G$769,"Active")=0),AND(IFERROR(INDEX(Templates!$H$3:$H$10,MATCH(Deals!$U18,Templates!$A$3:$A$10,0)),0)&gt;0,COUNTIFS(Assignments!$C$2:$C$769,$A66,Assignments!$F$2:$F$769,"Associate",Assignments!$G$2:$G$769,"Active")=0)))," MissingLevel","")&amp;IF(AND($C66="Proposal",Deals!$H18=0.5)," DefaultProbability","")&amp;IF($F66="No"," NoDates","")&amp;IF(AND(ISNUMBER($H66),$H66&gt;=Settings!$B$20)," Stale","")))</f>
        <v/>
      </c>
    </row>
    <row r="67">
      <c r="A67" s="16">
        <f>IF(Deals!$A19="","",Deals!$A19)</f>
        <v/>
      </c>
      <c r="B67" s="16">
        <f>IF($A67="","",Deals!$C19)</f>
        <v/>
      </c>
      <c r="C67" s="16">
        <f>IF($A67="","",Deals!$F19)</f>
        <v/>
      </c>
      <c r="D67" s="21">
        <f>IF($A67="","",Deals!$H19)</f>
        <v/>
      </c>
      <c r="E67" s="17">
        <f>IF($A67="","",Deals!$Q19)</f>
        <v/>
      </c>
      <c r="F67" s="16">
        <f>IF($A67="","",IF(AND(Deals!$I19&lt;&gt;"",Deals!$J19&lt;&gt;""),"Yes","No"))</f>
        <v/>
      </c>
      <c r="G67" s="22">
        <f>IF($A67="","",Deals!$Z19)</f>
        <v/>
      </c>
      <c r="H67" s="23">
        <f>IF(OR($A67="",$G67=""),"",INT((Settings!$B$19-$G67)/7))</f>
        <v/>
      </c>
      <c r="I67" s="24">
        <f>IF(OR($A67="",NOT(OR(Deals!$F19="Active",Deals!$F19="Proposal"))),"",TRIM(IF($E67=0," Unstaffed","")&amp;IF(IF(Deals!$U19="",FALSE,OR(AND(IFERROR(INDEX(Templates!$B$3:$B$10,MATCH(Deals!$U19,Templates!$A$3:$A$10,0)),0)&gt;0,COUNTIFS(Assignments!$C$2:$C$769,$A67,Assignments!$F$2:$F$769,"Partner",Assignments!$G$2:$G$769,"Active")=0),AND(IFERROR(INDEX(Templates!$C$3:$C$10,MATCH(Deals!$U19,Templates!$A$3:$A$10,0)),0)&gt;0,COUNTIFS(Assignments!$C$2:$C$769,$A67,Assignments!$F$2:$F$769,"MD",Assignments!$G$2:$G$769,"Active")=0),AND(IFERROR(INDEX(Templates!$D$3:$D$10,MATCH(Deals!$U19,Templates!$A$3:$A$10,0)),0)&gt;0,COUNTIFS(Assignments!$C$2:$C$769,$A67,Assignments!$F$2:$F$769,"Director",Assignments!$G$2:$G$769,"Active")=0),AND(IFERROR(INDEX(Templates!$E$3:$E$10,MATCH(Deals!$U19,Templates!$A$3:$A$10,0)),0)&gt;0,COUNTIFS(Assignments!$C$2:$C$769,$A67,Assignments!$F$2:$F$769,"VP",Assignments!$G$2:$G$769,"Active")=0),AND(IFERROR(INDEX(Templates!$F$3:$F$10,MATCH(Deals!$U19,Templates!$A$3:$A$10,0)),0)&gt;0,COUNTIFS(Assignments!$C$2:$C$769,$A67,Assignments!$F$2:$F$769,"Senior Associate",Assignments!$G$2:$G$769,"Active")=0),AND(IFERROR(INDEX(Templates!$G$3:$G$10,MATCH(Deals!$U19,Templates!$A$3:$A$10,0)),0)&gt;0,COUNTIFS(Assignments!$C$2:$C$769,$A67,Assignments!$F$2:$F$769,"Renewable Specialist",Assignments!$G$2:$G$769,"Active")=0),AND(IFERROR(INDEX(Templates!$H$3:$H$10,MATCH(Deals!$U19,Templates!$A$3:$A$10,0)),0)&gt;0,COUNTIFS(Assignments!$C$2:$C$769,$A67,Assignments!$F$2:$F$769,"Associate",Assignments!$G$2:$G$769,"Active")=0)))," MissingLevel","")&amp;IF(AND($C67="Proposal",Deals!$H19=0.5)," DefaultProbability","")&amp;IF($F67="No"," NoDates","")&amp;IF(AND(ISNUMBER($H67),$H67&gt;=Settings!$B$20)," Stale","")))</f>
        <v/>
      </c>
    </row>
    <row r="68">
      <c r="A68" s="16">
        <f>IF(Deals!$A20="","",Deals!$A20)</f>
        <v/>
      </c>
      <c r="B68" s="16">
        <f>IF($A68="","",Deals!$C20)</f>
        <v/>
      </c>
      <c r="C68" s="16">
        <f>IF($A68="","",Deals!$F20)</f>
        <v/>
      </c>
      <c r="D68" s="21">
        <f>IF($A68="","",Deals!$H20)</f>
        <v/>
      </c>
      <c r="E68" s="17">
        <f>IF($A68="","",Deals!$Q20)</f>
        <v/>
      </c>
      <c r="F68" s="16">
        <f>IF($A68="","",IF(AND(Deals!$I20&lt;&gt;"",Deals!$J20&lt;&gt;""),"Yes","No"))</f>
        <v/>
      </c>
      <c r="G68" s="22">
        <f>IF($A68="","",Deals!$Z20)</f>
        <v/>
      </c>
      <c r="H68" s="23">
        <f>IF(OR($A68="",$G68=""),"",INT((Settings!$B$19-$G68)/7))</f>
        <v/>
      </c>
      <c r="I68" s="24">
        <f>IF(OR($A68="",NOT(OR(Deals!$F20="Active",Deals!$F20="Proposal"))),"",TRIM(IF($E68=0," Unstaffed","")&amp;IF(IF(Deals!$U20="",FALSE,OR(AND(IFERROR(INDEX(Templates!$B$3:$B$10,MATCH(Deals!$U20,Templates!$A$3:$A$10,0)),0)&gt;0,COUNTIFS(Assignments!$C$2:$C$769,$A68,Assignments!$F$2:$F$769,"Partner",Assignments!$G$2:$G$769,"Active")=0),AND(IFERROR(INDEX(Templates!$C$3:$C$10,MATCH(Deals!$U20,Templates!$A$3:$A$10,0)),0)&gt;0,COUNTIFS(Assignments!$C$2:$C$769,$A68,Assignments!$F$2:$F$769,"MD",Assignments!$G$2:$G$769,"Active")=0),AND(IFERROR(INDEX(Templates!$D$3:$D$10,MATCH(Deals!$U20,Templates!$A$3:$A$10,0)),0)&gt;0,COUNTIFS(Assignments!$C$2:$C$769,$A68,Assignments!$F$2:$F$769,"Director",Assignments!$G$2:$G$769,"Active")=0),AND(IFERROR(INDEX(Templates!$E$3:$E$10,MATCH(Deals!$U20,Templates!$A$3:$A$10,0)),0)&gt;0,COUNTIFS(Assignments!$C$2:$C$769,$A68,Assignments!$F$2:$F$769,"VP",Assignments!$G$2:$G$769,"Active")=0),AND(IFERROR(INDEX(Templates!$F$3:$F$10,MATCH(Deals!$U20,Templates!$A$3:$A$10,0)),0)&gt;0,COUNTIFS(Assignments!$C$2:$C$769,$A68,Assignments!$F$2:$F$769,"Senior Associate",Assignments!$G$2:$G$769,"Active")=0),AND(IFERROR(INDEX(Templates!$G$3:$G$10,MATCH(Deals!$U20,Templates!$A$3:$A$10,0)),0)&gt;0,COUNTIFS(Assignments!$C$2:$C$769,$A68,Assignments!$F$2:$F$769,"Renewable Specialist",Assignments!$G$2:$G$769,"Active")=0),AND(IFERROR(INDEX(Templates!$H$3:$H$10,MATCH(Deals!$U20,Templates!$A$3:$A$10,0)),0)&gt;0,COUNTIFS(Assignments!$C$2:$C$769,$A68,Assignments!$F$2:$F$769,"Associate",Assignments!$G$2:$G$769,"Active")=0)))," MissingLevel","")&amp;IF(AND($C68="Proposal",Deals!$H20=0.5)," DefaultProbability","")&amp;IF($F68="No"," NoDates","")&amp;IF(AND(ISNUMBER($H68),$H68&gt;=Settings!$B$20)," Stale","")))</f>
        <v/>
      </c>
    </row>
    <row r="69">
      <c r="A69" s="16">
        <f>IF(Deals!$A21="","",Deals!$A21)</f>
        <v/>
      </c>
      <c r="B69" s="16">
        <f>IF($A69="","",Deals!$C21)</f>
        <v/>
      </c>
      <c r="C69" s="16">
        <f>IF($A69="","",Deals!$F21)</f>
        <v/>
      </c>
      <c r="D69" s="21">
        <f>IF($A69="","",Deals!$H21)</f>
        <v/>
      </c>
      <c r="E69" s="17">
        <f>IF($A69="","",Deals!$Q21)</f>
        <v/>
      </c>
      <c r="F69" s="16">
        <f>IF($A69="","",IF(AND(Deals!$I21&lt;&gt;"",Deals!$J21&lt;&gt;""),"Yes","No"))</f>
        <v/>
      </c>
      <c r="G69" s="22">
        <f>IF($A69="","",Deals!$Z21)</f>
        <v/>
      </c>
      <c r="H69" s="23">
        <f>IF(OR($A69="",$G69=""),"",INT((Settings!$B$19-$G69)/7))</f>
        <v/>
      </c>
      <c r="I69" s="24">
        <f>IF(OR($A69="",NOT(OR(Deals!$F21="Active",Deals!$F21="Proposal"))),"",TRIM(IF($E69=0," Unstaffed","")&amp;IF(IF(Deals!$U21="",FALSE,OR(AND(IFERROR(INDEX(Templates!$B$3:$B$10,MATCH(Deals!$U21,Templates!$A$3:$A$10,0)),0)&gt;0,COUNTIFS(Assignments!$C$2:$C$769,$A69,Assignments!$F$2:$F$769,"Partner",Assignments!$G$2:$G$769,"Active")=0),AND(IFERROR(INDEX(Templates!$C$3:$C$10,MATCH(Deals!$U21,Templates!$A$3:$A$10,0)),0)&gt;0,COUNTIFS(Assignments!$C$2:$C$769,$A69,Assignments!$F$2:$F$769,"MD",Assignments!$G$2:$G$769,"Active")=0),AND(IFERROR(INDEX(Templates!$D$3:$D$10,MATCH(Deals!$U21,Templates!$A$3:$A$10,0)),0)&gt;0,COUNTIFS(Assignments!$C$2:$C$769,$A69,Assignments!$F$2:$F$769,"Director",Assignments!$G$2:$G$769,"Active")=0),AND(IFERROR(INDEX(Templates!$E$3:$E$10,MATCH(Deals!$U21,Templates!$A$3:$A$10,0)),0)&gt;0,COUNTIFS(Assignments!$C$2:$C$769,$A69,Assignments!$F$2:$F$769,"VP",Assignments!$G$2:$G$769,"Active")=0),AND(IFERROR(INDEX(Templates!$F$3:$F$10,MATCH(Deals!$U21,Templates!$A$3:$A$10,0)),0)&gt;0,COUNTIFS(Assignments!$C$2:$C$769,$A69,Assignments!$F$2:$F$769,"Senior Associate",Assignments!$G$2:$G$769,"Active")=0),AND(IFERROR(INDEX(Templates!$G$3:$G$10,MATCH(Deals!$U21,Templates!$A$3:$A$10,0)),0)&gt;0,COUNTIFS(Assignments!$C$2:$C$769,$A69,Assignments!$F$2:$F$769,"Renewable Specialist",Assignments!$G$2:$G$769,"Active")=0),AND(IFERROR(INDEX(Templates!$H$3:$H$10,MATCH(Deals!$U21,Templates!$A$3:$A$10,0)),0)&gt;0,COUNTIFS(Assignments!$C$2:$C$769,$A69,Assignments!$F$2:$F$769,"Associate",Assignments!$G$2:$G$769,"Active")=0)))," MissingLevel","")&amp;IF(AND($C69="Proposal",Deals!$H21=0.5)," DefaultProbability","")&amp;IF($F69="No"," NoDates","")&amp;IF(AND(ISNUMBER($H69),$H69&gt;=Settings!$B$20)," Stale","")))</f>
        <v/>
      </c>
    </row>
    <row r="70">
      <c r="A70" s="16">
        <f>IF(Deals!$A22="","",Deals!$A22)</f>
        <v/>
      </c>
      <c r="B70" s="16">
        <f>IF($A70="","",Deals!$C22)</f>
        <v/>
      </c>
      <c r="C70" s="16">
        <f>IF($A70="","",Deals!$F22)</f>
        <v/>
      </c>
      <c r="D70" s="21">
        <f>IF($A70="","",Deals!$H22)</f>
        <v/>
      </c>
      <c r="E70" s="17">
        <f>IF($A70="","",Deals!$Q22)</f>
        <v/>
      </c>
      <c r="F70" s="16">
        <f>IF($A70="","",IF(AND(Deals!$I22&lt;&gt;"",Deals!$J22&lt;&gt;""),"Yes","No"))</f>
        <v/>
      </c>
      <c r="G70" s="22">
        <f>IF($A70="","",Deals!$Z22)</f>
        <v/>
      </c>
      <c r="H70" s="23">
        <f>IF(OR($A70="",$G70=""),"",INT((Settings!$B$19-$G70)/7))</f>
        <v/>
      </c>
      <c r="I70" s="24">
        <f>IF(OR($A70="",NOT(OR(Deals!$F22="Active",Deals!$F22="Proposal"))),"",TRIM(IF($E70=0," Unstaffed","")&amp;IF(IF(Deals!$U22="",FALSE,OR(AND(IFERROR(INDEX(Templates!$B$3:$B$10,MATCH(Deals!$U22,Templates!$A$3:$A$10,0)),0)&gt;0,COUNTIFS(Assignments!$C$2:$C$769,$A70,Assignments!$F$2:$F$769,"Partner",Assignments!$G$2:$G$769,"Active")=0),AND(IFERROR(INDEX(Templates!$C$3:$C$10,MATCH(Deals!$U22,Templates!$A$3:$A$10,0)),0)&gt;0,COUNTIFS(Assignments!$C$2:$C$769,$A70,Assignments!$F$2:$F$769,"MD",Assignments!$G$2:$G$769,"Active")=0),AND(IFERROR(INDEX(Templates!$D$3:$D$10,MATCH(Deals!$U22,Templates!$A$3:$A$10,0)),0)&gt;0,COUNTIFS(Assignments!$C$2:$C$769,$A70,Assignments!$F$2:$F$769,"Director",Assignments!$G$2:$G$769,"Active")=0),AND(IFERROR(INDEX(Templates!$E$3:$E$10,MATCH(Deals!$U22,Templates!$A$3:$A$10,0)),0)&gt;0,COUNTIFS(Assignments!$C$2:$C$769,$A70,Assignments!$F$2:$F$769,"VP",Assignments!$G$2:$G$769,"Active")=0),AND(IFERROR(INDEX(Templates!$F$3:$F$10,MATCH(Deals!$U22,Templates!$A$3:$A$10,0)),0)&gt;0,COUNTIFS(Assignments!$C$2:$C$769,$A70,Assignments!$F$2:$F$769,"Senior Associate",Assignments!$G$2:$G$769,"Active")=0),AND(IFERROR(INDEX(Templates!$G$3:$G$10,MATCH(Deals!$U22,Templates!$A$3:$A$10,0)),0)&gt;0,COUNTIFS(Assignments!$C$2:$C$769,$A70,Assignments!$F$2:$F$769,"Renewable Specialist",Assignments!$G$2:$G$769,"Active")=0),AND(IFERROR(INDEX(Templates!$H$3:$H$10,MATCH(Deals!$U22,Templates!$A$3:$A$10,0)),0)&gt;0,COUNTIFS(Assignments!$C$2:$C$769,$A70,Assignments!$F$2:$F$769,"Associate",Assignments!$G$2:$G$769,"Active")=0)))," MissingLevel","")&amp;IF(AND($C70="Proposal",Deals!$H22=0.5)," DefaultProbability","")&amp;IF($F70="No"," NoDates","")&amp;IF(AND(ISNUMBER($H70),$H70&gt;=Settings!$B$20)," Stale","")))</f>
        <v/>
      </c>
    </row>
    <row r="71">
      <c r="A71" s="16">
        <f>IF(Deals!$A23="","",Deals!$A23)</f>
        <v/>
      </c>
      <c r="B71" s="16">
        <f>IF($A71="","",Deals!$C23)</f>
        <v/>
      </c>
      <c r="C71" s="16">
        <f>IF($A71="","",Deals!$F23)</f>
        <v/>
      </c>
      <c r="D71" s="21">
        <f>IF($A71="","",Deals!$H23)</f>
        <v/>
      </c>
      <c r="E71" s="17">
        <f>IF($A71="","",Deals!$Q23)</f>
        <v/>
      </c>
      <c r="F71" s="16">
        <f>IF($A71="","",IF(AND(Deals!$I23&lt;&gt;"",Deals!$J23&lt;&gt;""),"Yes","No"))</f>
        <v/>
      </c>
      <c r="G71" s="22">
        <f>IF($A71="","",Deals!$Z23)</f>
        <v/>
      </c>
      <c r="H71" s="23">
        <f>IF(OR($A71="",$G71=""),"",INT((Settings!$B$19-$G71)/7))</f>
        <v/>
      </c>
      <c r="I71" s="24">
        <f>IF(OR($A71="",NOT(OR(Deals!$F23="Active",Deals!$F23="Proposal"))),"",TRIM(IF($E71=0," Unstaffed","")&amp;IF(IF(Deals!$U23="",FALSE,OR(AND(IFERROR(INDEX(Templates!$B$3:$B$10,MATCH(Deals!$U23,Templates!$A$3:$A$10,0)),0)&gt;0,COUNTIFS(Assignments!$C$2:$C$769,$A71,Assignments!$F$2:$F$769,"Partner",Assignments!$G$2:$G$769,"Active")=0),AND(IFERROR(INDEX(Templates!$C$3:$C$10,MATCH(Deals!$U23,Templates!$A$3:$A$10,0)),0)&gt;0,COUNTIFS(Assignments!$C$2:$C$769,$A71,Assignments!$F$2:$F$769,"MD",Assignments!$G$2:$G$769,"Active")=0),AND(IFERROR(INDEX(Templates!$D$3:$D$10,MATCH(Deals!$U23,Templates!$A$3:$A$10,0)),0)&gt;0,COUNTIFS(Assignments!$C$2:$C$769,$A71,Assignments!$F$2:$F$769,"Director",Assignments!$G$2:$G$769,"Active")=0),AND(IFERROR(INDEX(Templates!$E$3:$E$10,MATCH(Deals!$U23,Templates!$A$3:$A$10,0)),0)&gt;0,COUNTIFS(Assignments!$C$2:$C$769,$A71,Assignments!$F$2:$F$769,"VP",Assignments!$G$2:$G$769,"Active")=0),AND(IFERROR(INDEX(Templates!$F$3:$F$10,MATCH(Deals!$U23,Templates!$A$3:$A$10,0)),0)&gt;0,COUNTIFS(Assignments!$C$2:$C$769,$A71,Assignments!$F$2:$F$769,"Senior Associate",Assignments!$G$2:$G$769,"Active")=0),AND(IFERROR(INDEX(Templates!$G$3:$G$10,MATCH(Deals!$U23,Templates!$A$3:$A$10,0)),0)&gt;0,COUNTIFS(Assignments!$C$2:$C$769,$A71,Assignments!$F$2:$F$769,"Renewable Specialist",Assignments!$G$2:$G$769,"Active")=0),AND(IFERROR(INDEX(Templates!$H$3:$H$10,MATCH(Deals!$U23,Templates!$A$3:$A$10,0)),0)&gt;0,COUNTIFS(Assignments!$C$2:$C$769,$A71,Assignments!$F$2:$F$769,"Associate",Assignments!$G$2:$G$769,"Active")=0)))," MissingLevel","")&amp;IF(AND($C71="Proposal",Deals!$H23=0.5)," DefaultProbability","")&amp;IF($F71="No"," NoDates","")&amp;IF(AND(ISNUMBER($H71),$H71&gt;=Settings!$B$20)," Stale","")))</f>
        <v/>
      </c>
    </row>
    <row r="72">
      <c r="A72" s="16">
        <f>IF(Deals!$A24="","",Deals!$A24)</f>
        <v/>
      </c>
      <c r="B72" s="16">
        <f>IF($A72="","",Deals!$C24)</f>
        <v/>
      </c>
      <c r="C72" s="16">
        <f>IF($A72="","",Deals!$F24)</f>
        <v/>
      </c>
      <c r="D72" s="21">
        <f>IF($A72="","",Deals!$H24)</f>
        <v/>
      </c>
      <c r="E72" s="17">
        <f>IF($A72="","",Deals!$Q24)</f>
        <v/>
      </c>
      <c r="F72" s="16">
        <f>IF($A72="","",IF(AND(Deals!$I24&lt;&gt;"",Deals!$J24&lt;&gt;""),"Yes","No"))</f>
        <v/>
      </c>
      <c r="G72" s="22">
        <f>IF($A72="","",Deals!$Z24)</f>
        <v/>
      </c>
      <c r="H72" s="23">
        <f>IF(OR($A72="",$G72=""),"",INT((Settings!$B$19-$G72)/7))</f>
        <v/>
      </c>
      <c r="I72" s="24">
        <f>IF(OR($A72="",NOT(OR(Deals!$F24="Active",Deals!$F24="Proposal"))),"",TRIM(IF($E72=0," Unstaffed","")&amp;IF(IF(Deals!$U24="",FALSE,OR(AND(IFERROR(INDEX(Templates!$B$3:$B$10,MATCH(Deals!$U24,Templates!$A$3:$A$10,0)),0)&gt;0,COUNTIFS(Assignments!$C$2:$C$769,$A72,Assignments!$F$2:$F$769,"Partner",Assignments!$G$2:$G$769,"Active")=0),AND(IFERROR(INDEX(Templates!$C$3:$C$10,MATCH(Deals!$U24,Templates!$A$3:$A$10,0)),0)&gt;0,COUNTIFS(Assignments!$C$2:$C$769,$A72,Assignments!$F$2:$F$769,"MD",Assignments!$G$2:$G$769,"Active")=0),AND(IFERROR(INDEX(Templates!$D$3:$D$10,MATCH(Deals!$U24,Templates!$A$3:$A$10,0)),0)&gt;0,COUNTIFS(Assignments!$C$2:$C$769,$A72,Assignments!$F$2:$F$769,"Director",Assignments!$G$2:$G$769,"Active")=0),AND(IFERROR(INDEX(Templates!$E$3:$E$10,MATCH(Deals!$U24,Templates!$A$3:$A$10,0)),0)&gt;0,COUNTIFS(Assignments!$C$2:$C$769,$A72,Assignments!$F$2:$F$769,"VP",Assignments!$G$2:$G$769,"Active")=0),AND(IFERROR(INDEX(Templates!$F$3:$F$10,MATCH(Deals!$U24,Templates!$A$3:$A$10,0)),0)&gt;0,COUNTIFS(Assignments!$C$2:$C$769,$A72,Assignments!$F$2:$F$769,"Senior Associate",Assignments!$G$2:$G$769,"Active")=0),AND(IFERROR(INDEX(Templates!$G$3:$G$10,MATCH(Deals!$U24,Templates!$A$3:$A$10,0)),0)&gt;0,COUNTIFS(Assignments!$C$2:$C$769,$A72,Assignments!$F$2:$F$769,"Renewable Specialist",Assignments!$G$2:$G$769,"Active")=0),AND(IFERROR(INDEX(Templates!$H$3:$H$10,MATCH(Deals!$U24,Templates!$A$3:$A$10,0)),0)&gt;0,COUNTIFS(Assignments!$C$2:$C$769,$A72,Assignments!$F$2:$F$769,"Associate",Assignments!$G$2:$G$769,"Active")=0)))," MissingLevel","")&amp;IF(AND($C72="Proposal",Deals!$H24=0.5)," DefaultProbability","")&amp;IF($F72="No"," NoDates","")&amp;IF(AND(ISNUMBER($H72),$H72&gt;=Settings!$B$20)," Stale","")))</f>
        <v/>
      </c>
    </row>
    <row r="73">
      <c r="A73" s="16">
        <f>IF(Deals!$A25="","",Deals!$A25)</f>
        <v/>
      </c>
      <c r="B73" s="16">
        <f>IF($A73="","",Deals!$C25)</f>
        <v/>
      </c>
      <c r="C73" s="16">
        <f>IF($A73="","",Deals!$F25)</f>
        <v/>
      </c>
      <c r="D73" s="21">
        <f>IF($A73="","",Deals!$H25)</f>
        <v/>
      </c>
      <c r="E73" s="17">
        <f>IF($A73="","",Deals!$Q25)</f>
        <v/>
      </c>
      <c r="F73" s="16">
        <f>IF($A73="","",IF(AND(Deals!$I25&lt;&gt;"",Deals!$J25&lt;&gt;""),"Yes","No"))</f>
        <v/>
      </c>
      <c r="G73" s="22">
        <f>IF($A73="","",Deals!$Z25)</f>
        <v/>
      </c>
      <c r="H73" s="23">
        <f>IF(OR($A73="",$G73=""),"",INT((Settings!$B$19-$G73)/7))</f>
        <v/>
      </c>
      <c r="I73" s="24">
        <f>IF(OR($A73="",NOT(OR(Deals!$F25="Active",Deals!$F25="Proposal"))),"",TRIM(IF($E73=0," Unstaffed","")&amp;IF(IF(Deals!$U25="",FALSE,OR(AND(IFERROR(INDEX(Templates!$B$3:$B$10,MATCH(Deals!$U25,Templates!$A$3:$A$10,0)),0)&gt;0,COUNTIFS(Assignments!$C$2:$C$769,$A73,Assignments!$F$2:$F$769,"Partner",Assignments!$G$2:$G$769,"Active")=0),AND(IFERROR(INDEX(Templates!$C$3:$C$10,MATCH(Deals!$U25,Templates!$A$3:$A$10,0)),0)&gt;0,COUNTIFS(Assignments!$C$2:$C$769,$A73,Assignments!$F$2:$F$769,"MD",Assignments!$G$2:$G$769,"Active")=0),AND(IFERROR(INDEX(Templates!$D$3:$D$10,MATCH(Deals!$U25,Templates!$A$3:$A$10,0)),0)&gt;0,COUNTIFS(Assignments!$C$2:$C$769,$A73,Assignments!$F$2:$F$769,"Director",Assignments!$G$2:$G$769,"Active")=0),AND(IFERROR(INDEX(Templates!$E$3:$E$10,MATCH(Deals!$U25,Templates!$A$3:$A$10,0)),0)&gt;0,COUNTIFS(Assignments!$C$2:$C$769,$A73,Assignments!$F$2:$F$769,"VP",Assignments!$G$2:$G$769,"Active")=0),AND(IFERROR(INDEX(Templates!$F$3:$F$10,MATCH(Deals!$U25,Templates!$A$3:$A$10,0)),0)&gt;0,COUNTIFS(Assignments!$C$2:$C$769,$A73,Assignments!$F$2:$F$769,"Senior Associate",Assignments!$G$2:$G$769,"Active")=0),AND(IFERROR(INDEX(Templates!$G$3:$G$10,MATCH(Deals!$U25,Templates!$A$3:$A$10,0)),0)&gt;0,COUNTIFS(Assignments!$C$2:$C$769,$A73,Assignments!$F$2:$F$769,"Renewable Specialist",Assignments!$G$2:$G$769,"Active")=0),AND(IFERROR(INDEX(Templates!$H$3:$H$10,MATCH(Deals!$U25,Templates!$A$3:$A$10,0)),0)&gt;0,COUNTIFS(Assignments!$C$2:$C$769,$A73,Assignments!$F$2:$F$769,"Associate",Assignments!$G$2:$G$769,"Active")=0)))," MissingLevel","")&amp;IF(AND($C73="Proposal",Deals!$H25=0.5)," DefaultProbability","")&amp;IF($F73="No"," NoDates","")&amp;IF(AND(ISNUMBER($H73),$H73&gt;=Settings!$B$20)," Stale","")))</f>
        <v/>
      </c>
    </row>
    <row r="74">
      <c r="A74" s="16">
        <f>IF(Deals!$A26="","",Deals!$A26)</f>
        <v/>
      </c>
      <c r="B74" s="16">
        <f>IF($A74="","",Deals!$C26)</f>
        <v/>
      </c>
      <c r="C74" s="16">
        <f>IF($A74="","",Deals!$F26)</f>
        <v/>
      </c>
      <c r="D74" s="21">
        <f>IF($A74="","",Deals!$H26)</f>
        <v/>
      </c>
      <c r="E74" s="17">
        <f>IF($A74="","",Deals!$Q26)</f>
        <v/>
      </c>
      <c r="F74" s="16">
        <f>IF($A74="","",IF(AND(Deals!$I26&lt;&gt;"",Deals!$J26&lt;&gt;""),"Yes","No"))</f>
        <v/>
      </c>
      <c r="G74" s="22">
        <f>IF($A74="","",Deals!$Z26)</f>
        <v/>
      </c>
      <c r="H74" s="23">
        <f>IF(OR($A74="",$G74=""),"",INT((Settings!$B$19-$G74)/7))</f>
        <v/>
      </c>
      <c r="I74" s="24">
        <f>IF(OR($A74="",NOT(OR(Deals!$F26="Active",Deals!$F26="Proposal"))),"",TRIM(IF($E74=0," Unstaffed","")&amp;IF(IF(Deals!$U26="",FALSE,OR(AND(IFERROR(INDEX(Templates!$B$3:$B$10,MATCH(Deals!$U26,Templates!$A$3:$A$10,0)),0)&gt;0,COUNTIFS(Assignments!$C$2:$C$769,$A74,Assignments!$F$2:$F$769,"Partner",Assignments!$G$2:$G$769,"Active")=0),AND(IFERROR(INDEX(Templates!$C$3:$C$10,MATCH(Deals!$U26,Templates!$A$3:$A$10,0)),0)&gt;0,COUNTIFS(Assignments!$C$2:$C$769,$A74,Assignments!$F$2:$F$769,"MD",Assignments!$G$2:$G$769,"Active")=0),AND(IFERROR(INDEX(Templates!$D$3:$D$10,MATCH(Deals!$U26,Templates!$A$3:$A$10,0)),0)&gt;0,COUNTIFS(Assignments!$C$2:$C$769,$A74,Assignments!$F$2:$F$769,"Director",Assignments!$G$2:$G$769,"Active")=0),AND(IFERROR(INDEX(Templates!$E$3:$E$10,MATCH(Deals!$U26,Templates!$A$3:$A$10,0)),0)&gt;0,COUNTIFS(Assignments!$C$2:$C$769,$A74,Assignments!$F$2:$F$769,"VP",Assignments!$G$2:$G$769,"Active")=0),AND(IFERROR(INDEX(Templates!$F$3:$F$10,MATCH(Deals!$U26,Templates!$A$3:$A$10,0)),0)&gt;0,COUNTIFS(Assignments!$C$2:$C$769,$A74,Assignments!$F$2:$F$769,"Senior Associate",Assignments!$G$2:$G$769,"Active")=0),AND(IFERROR(INDEX(Templates!$G$3:$G$10,MATCH(Deals!$U26,Templates!$A$3:$A$10,0)),0)&gt;0,COUNTIFS(Assignments!$C$2:$C$769,$A74,Assignments!$F$2:$F$769,"Renewable Specialist",Assignments!$G$2:$G$769,"Active")=0),AND(IFERROR(INDEX(Templates!$H$3:$H$10,MATCH(Deals!$U26,Templates!$A$3:$A$10,0)),0)&gt;0,COUNTIFS(Assignments!$C$2:$C$769,$A74,Assignments!$F$2:$F$769,"Associate",Assignments!$G$2:$G$769,"Active")=0)))," MissingLevel","")&amp;IF(AND($C74="Proposal",Deals!$H26=0.5)," DefaultProbability","")&amp;IF($F74="No"," NoDates","")&amp;IF(AND(ISNUMBER($H74),$H74&gt;=Settings!$B$20)," Stale","")))</f>
        <v/>
      </c>
    </row>
    <row r="75">
      <c r="A75" s="16">
        <f>IF(Deals!$A27="","",Deals!$A27)</f>
        <v/>
      </c>
      <c r="B75" s="16">
        <f>IF($A75="","",Deals!$C27)</f>
        <v/>
      </c>
      <c r="C75" s="16">
        <f>IF($A75="","",Deals!$F27)</f>
        <v/>
      </c>
      <c r="D75" s="21">
        <f>IF($A75="","",Deals!$H27)</f>
        <v/>
      </c>
      <c r="E75" s="17">
        <f>IF($A75="","",Deals!$Q27)</f>
        <v/>
      </c>
      <c r="F75" s="16">
        <f>IF($A75="","",IF(AND(Deals!$I27&lt;&gt;"",Deals!$J27&lt;&gt;""),"Yes","No"))</f>
        <v/>
      </c>
      <c r="G75" s="22">
        <f>IF($A75="","",Deals!$Z27)</f>
        <v/>
      </c>
      <c r="H75" s="23">
        <f>IF(OR($A75="",$G75=""),"",INT((Settings!$B$19-$G75)/7))</f>
        <v/>
      </c>
      <c r="I75" s="24">
        <f>IF(OR($A75="",NOT(OR(Deals!$F27="Active",Deals!$F27="Proposal"))),"",TRIM(IF($E75=0," Unstaffed","")&amp;IF(IF(Deals!$U27="",FALSE,OR(AND(IFERROR(INDEX(Templates!$B$3:$B$10,MATCH(Deals!$U27,Templates!$A$3:$A$10,0)),0)&gt;0,COUNTIFS(Assignments!$C$2:$C$769,$A75,Assignments!$F$2:$F$769,"Partner",Assignments!$G$2:$G$769,"Active")=0),AND(IFERROR(INDEX(Templates!$C$3:$C$10,MATCH(Deals!$U27,Templates!$A$3:$A$10,0)),0)&gt;0,COUNTIFS(Assignments!$C$2:$C$769,$A75,Assignments!$F$2:$F$769,"MD",Assignments!$G$2:$G$769,"Active")=0),AND(IFERROR(INDEX(Templates!$D$3:$D$10,MATCH(Deals!$U27,Templates!$A$3:$A$10,0)),0)&gt;0,COUNTIFS(Assignments!$C$2:$C$769,$A75,Assignments!$F$2:$F$769,"Director",Assignments!$G$2:$G$769,"Active")=0),AND(IFERROR(INDEX(Templates!$E$3:$E$10,MATCH(Deals!$U27,Templates!$A$3:$A$10,0)),0)&gt;0,COUNTIFS(Assignments!$C$2:$C$769,$A75,Assignments!$F$2:$F$769,"VP",Assignments!$G$2:$G$769,"Active")=0),AND(IFERROR(INDEX(Templates!$F$3:$F$10,MATCH(Deals!$U27,Templates!$A$3:$A$10,0)),0)&gt;0,COUNTIFS(Assignments!$C$2:$C$769,$A75,Assignments!$F$2:$F$769,"Senior Associate",Assignments!$G$2:$G$769,"Active")=0),AND(IFERROR(INDEX(Templates!$G$3:$G$10,MATCH(Deals!$U27,Templates!$A$3:$A$10,0)),0)&gt;0,COUNTIFS(Assignments!$C$2:$C$769,$A75,Assignments!$F$2:$F$769,"Renewable Specialist",Assignments!$G$2:$G$769,"Active")=0),AND(IFERROR(INDEX(Templates!$H$3:$H$10,MATCH(Deals!$U27,Templates!$A$3:$A$10,0)),0)&gt;0,COUNTIFS(Assignments!$C$2:$C$769,$A75,Assignments!$F$2:$F$769,"Associate",Assignments!$G$2:$G$769,"Active")=0)))," MissingLevel","")&amp;IF(AND($C75="Proposal",Deals!$H27=0.5)," DefaultProbability","")&amp;IF($F75="No"," NoDates","")&amp;IF(AND(ISNUMBER($H75),$H75&gt;=Settings!$B$20)," Stale","")))</f>
        <v/>
      </c>
    </row>
    <row r="76">
      <c r="A76" s="16">
        <f>IF(Deals!$A28="","",Deals!$A28)</f>
        <v/>
      </c>
      <c r="B76" s="16">
        <f>IF($A76="","",Deals!$C28)</f>
        <v/>
      </c>
      <c r="C76" s="16">
        <f>IF($A76="","",Deals!$F28)</f>
        <v/>
      </c>
      <c r="D76" s="21">
        <f>IF($A76="","",Deals!$H28)</f>
        <v/>
      </c>
      <c r="E76" s="17">
        <f>IF($A76="","",Deals!$Q28)</f>
        <v/>
      </c>
      <c r="F76" s="16">
        <f>IF($A76="","",IF(AND(Deals!$I28&lt;&gt;"",Deals!$J28&lt;&gt;""),"Yes","No"))</f>
        <v/>
      </c>
      <c r="G76" s="22">
        <f>IF($A76="","",Deals!$Z28)</f>
        <v/>
      </c>
      <c r="H76" s="23">
        <f>IF(OR($A76="",$G76=""),"",INT((Settings!$B$19-$G76)/7))</f>
        <v/>
      </c>
      <c r="I76" s="24">
        <f>IF(OR($A76="",NOT(OR(Deals!$F28="Active",Deals!$F28="Proposal"))),"",TRIM(IF($E76=0," Unstaffed","")&amp;IF(IF(Deals!$U28="",FALSE,OR(AND(IFERROR(INDEX(Templates!$B$3:$B$10,MATCH(Deals!$U28,Templates!$A$3:$A$10,0)),0)&gt;0,COUNTIFS(Assignments!$C$2:$C$769,$A76,Assignments!$F$2:$F$769,"Partner",Assignments!$G$2:$G$769,"Active")=0),AND(IFERROR(INDEX(Templates!$C$3:$C$10,MATCH(Deals!$U28,Templates!$A$3:$A$10,0)),0)&gt;0,COUNTIFS(Assignments!$C$2:$C$769,$A76,Assignments!$F$2:$F$769,"MD",Assignments!$G$2:$G$769,"Active")=0),AND(IFERROR(INDEX(Templates!$D$3:$D$10,MATCH(Deals!$U28,Templates!$A$3:$A$10,0)),0)&gt;0,COUNTIFS(Assignments!$C$2:$C$769,$A76,Assignments!$F$2:$F$769,"Director",Assignments!$G$2:$G$769,"Active")=0),AND(IFERROR(INDEX(Templates!$E$3:$E$10,MATCH(Deals!$U28,Templates!$A$3:$A$10,0)),0)&gt;0,COUNTIFS(Assignments!$C$2:$C$769,$A76,Assignments!$F$2:$F$769,"VP",Assignments!$G$2:$G$769,"Active")=0),AND(IFERROR(INDEX(Templates!$F$3:$F$10,MATCH(Deals!$U28,Templates!$A$3:$A$10,0)),0)&gt;0,COUNTIFS(Assignments!$C$2:$C$769,$A76,Assignments!$F$2:$F$769,"Senior Associate",Assignments!$G$2:$G$769,"Active")=0),AND(IFERROR(INDEX(Templates!$G$3:$G$10,MATCH(Deals!$U28,Templates!$A$3:$A$10,0)),0)&gt;0,COUNTIFS(Assignments!$C$2:$C$769,$A76,Assignments!$F$2:$F$769,"Renewable Specialist",Assignments!$G$2:$G$769,"Active")=0),AND(IFERROR(INDEX(Templates!$H$3:$H$10,MATCH(Deals!$U28,Templates!$A$3:$A$10,0)),0)&gt;0,COUNTIFS(Assignments!$C$2:$C$769,$A76,Assignments!$F$2:$F$769,"Associate",Assignments!$G$2:$G$769,"Active")=0)))," MissingLevel","")&amp;IF(AND($C76="Proposal",Deals!$H28=0.5)," DefaultProbability","")&amp;IF($F76="No"," NoDates","")&amp;IF(AND(ISNUMBER($H76),$H76&gt;=Settings!$B$20)," Stale","")))</f>
        <v/>
      </c>
    </row>
    <row r="77">
      <c r="A77" s="16">
        <f>IF(Deals!$A29="","",Deals!$A29)</f>
        <v/>
      </c>
      <c r="B77" s="16">
        <f>IF($A77="","",Deals!$C29)</f>
        <v/>
      </c>
      <c r="C77" s="16">
        <f>IF($A77="","",Deals!$F29)</f>
        <v/>
      </c>
      <c r="D77" s="21">
        <f>IF($A77="","",Deals!$H29)</f>
        <v/>
      </c>
      <c r="E77" s="17">
        <f>IF($A77="","",Deals!$Q29)</f>
        <v/>
      </c>
      <c r="F77" s="16">
        <f>IF($A77="","",IF(AND(Deals!$I29&lt;&gt;"",Deals!$J29&lt;&gt;""),"Yes","No"))</f>
        <v/>
      </c>
      <c r="G77" s="22">
        <f>IF($A77="","",Deals!$Z29)</f>
        <v/>
      </c>
      <c r="H77" s="23">
        <f>IF(OR($A77="",$G77=""),"",INT((Settings!$B$19-$G77)/7))</f>
        <v/>
      </c>
      <c r="I77" s="24">
        <f>IF(OR($A77="",NOT(OR(Deals!$F29="Active",Deals!$F29="Proposal"))),"",TRIM(IF($E77=0," Unstaffed","")&amp;IF(IF(Deals!$U29="",FALSE,OR(AND(IFERROR(INDEX(Templates!$B$3:$B$10,MATCH(Deals!$U29,Templates!$A$3:$A$10,0)),0)&gt;0,COUNTIFS(Assignments!$C$2:$C$769,$A77,Assignments!$F$2:$F$769,"Partner",Assignments!$G$2:$G$769,"Active")=0),AND(IFERROR(INDEX(Templates!$C$3:$C$10,MATCH(Deals!$U29,Templates!$A$3:$A$10,0)),0)&gt;0,COUNTIFS(Assignments!$C$2:$C$769,$A77,Assignments!$F$2:$F$769,"MD",Assignments!$G$2:$G$769,"Active")=0),AND(IFERROR(INDEX(Templates!$D$3:$D$10,MATCH(Deals!$U29,Templates!$A$3:$A$10,0)),0)&gt;0,COUNTIFS(Assignments!$C$2:$C$769,$A77,Assignments!$F$2:$F$769,"Director",Assignments!$G$2:$G$769,"Active")=0),AND(IFERROR(INDEX(Templates!$E$3:$E$10,MATCH(Deals!$U29,Templates!$A$3:$A$10,0)),0)&gt;0,COUNTIFS(Assignments!$C$2:$C$769,$A77,Assignments!$F$2:$F$769,"VP",Assignments!$G$2:$G$769,"Active")=0),AND(IFERROR(INDEX(Templates!$F$3:$F$10,MATCH(Deals!$U29,Templates!$A$3:$A$10,0)),0)&gt;0,COUNTIFS(Assignments!$C$2:$C$769,$A77,Assignments!$F$2:$F$769,"Senior Associate",Assignments!$G$2:$G$769,"Active")=0),AND(IFERROR(INDEX(Templates!$G$3:$G$10,MATCH(Deals!$U29,Templates!$A$3:$A$10,0)),0)&gt;0,COUNTIFS(Assignments!$C$2:$C$769,$A77,Assignments!$F$2:$F$769,"Renewable Specialist",Assignments!$G$2:$G$769,"Active")=0),AND(IFERROR(INDEX(Templates!$H$3:$H$10,MATCH(Deals!$U29,Templates!$A$3:$A$10,0)),0)&gt;0,COUNTIFS(Assignments!$C$2:$C$769,$A77,Assignments!$F$2:$F$769,"Associate",Assignments!$G$2:$G$769,"Active")=0)))," MissingLevel","")&amp;IF(AND($C77="Proposal",Deals!$H29=0.5)," DefaultProbability","")&amp;IF($F77="No"," NoDates","")&amp;IF(AND(ISNUMBER($H77),$H77&gt;=Settings!$B$20)," Stale","")))</f>
        <v/>
      </c>
    </row>
    <row r="78">
      <c r="A78" s="16">
        <f>IF(Deals!$A30="","",Deals!$A30)</f>
        <v/>
      </c>
      <c r="B78" s="16">
        <f>IF($A78="","",Deals!$C30)</f>
        <v/>
      </c>
      <c r="C78" s="16">
        <f>IF($A78="","",Deals!$F30)</f>
        <v/>
      </c>
      <c r="D78" s="21">
        <f>IF($A78="","",Deals!$H30)</f>
        <v/>
      </c>
      <c r="E78" s="17">
        <f>IF($A78="","",Deals!$Q30)</f>
        <v/>
      </c>
      <c r="F78" s="16">
        <f>IF($A78="","",IF(AND(Deals!$I30&lt;&gt;"",Deals!$J30&lt;&gt;""),"Yes","No"))</f>
        <v/>
      </c>
      <c r="G78" s="22">
        <f>IF($A78="","",Deals!$Z30)</f>
        <v/>
      </c>
      <c r="H78" s="23">
        <f>IF(OR($A78="",$G78=""),"",INT((Settings!$B$19-$G78)/7))</f>
        <v/>
      </c>
      <c r="I78" s="24">
        <f>IF(OR($A78="",NOT(OR(Deals!$F30="Active",Deals!$F30="Proposal"))),"",TRIM(IF($E78=0," Unstaffed","")&amp;IF(IF(Deals!$U30="",FALSE,OR(AND(IFERROR(INDEX(Templates!$B$3:$B$10,MATCH(Deals!$U30,Templates!$A$3:$A$10,0)),0)&gt;0,COUNTIFS(Assignments!$C$2:$C$769,$A78,Assignments!$F$2:$F$769,"Partner",Assignments!$G$2:$G$769,"Active")=0),AND(IFERROR(INDEX(Templates!$C$3:$C$10,MATCH(Deals!$U30,Templates!$A$3:$A$10,0)),0)&gt;0,COUNTIFS(Assignments!$C$2:$C$769,$A78,Assignments!$F$2:$F$769,"MD",Assignments!$G$2:$G$769,"Active")=0),AND(IFERROR(INDEX(Templates!$D$3:$D$10,MATCH(Deals!$U30,Templates!$A$3:$A$10,0)),0)&gt;0,COUNTIFS(Assignments!$C$2:$C$769,$A78,Assignments!$F$2:$F$769,"Director",Assignments!$G$2:$G$769,"Active")=0),AND(IFERROR(INDEX(Templates!$E$3:$E$10,MATCH(Deals!$U30,Templates!$A$3:$A$10,0)),0)&gt;0,COUNTIFS(Assignments!$C$2:$C$769,$A78,Assignments!$F$2:$F$769,"VP",Assignments!$G$2:$G$769,"Active")=0),AND(IFERROR(INDEX(Templates!$F$3:$F$10,MATCH(Deals!$U30,Templates!$A$3:$A$10,0)),0)&gt;0,COUNTIFS(Assignments!$C$2:$C$769,$A78,Assignments!$F$2:$F$769,"Senior Associate",Assignments!$G$2:$G$769,"Active")=0),AND(IFERROR(INDEX(Templates!$G$3:$G$10,MATCH(Deals!$U30,Templates!$A$3:$A$10,0)),0)&gt;0,COUNTIFS(Assignments!$C$2:$C$769,$A78,Assignments!$F$2:$F$769,"Renewable Specialist",Assignments!$G$2:$G$769,"Active")=0),AND(IFERROR(INDEX(Templates!$H$3:$H$10,MATCH(Deals!$U30,Templates!$A$3:$A$10,0)),0)&gt;0,COUNTIFS(Assignments!$C$2:$C$769,$A78,Assignments!$F$2:$F$769,"Associate",Assignments!$G$2:$G$769,"Active")=0)))," MissingLevel","")&amp;IF(AND($C78="Proposal",Deals!$H30=0.5)," DefaultProbability","")&amp;IF($F78="No"," NoDates","")&amp;IF(AND(ISNUMBER($H78),$H78&gt;=Settings!$B$20)," Stale","")))</f>
        <v/>
      </c>
    </row>
    <row r="79">
      <c r="A79" s="16">
        <f>IF(Deals!$A31="","",Deals!$A31)</f>
        <v/>
      </c>
      <c r="B79" s="16">
        <f>IF($A79="","",Deals!$C31)</f>
        <v/>
      </c>
      <c r="C79" s="16">
        <f>IF($A79="","",Deals!$F31)</f>
        <v/>
      </c>
      <c r="D79" s="21">
        <f>IF($A79="","",Deals!$H31)</f>
        <v/>
      </c>
      <c r="E79" s="17">
        <f>IF($A79="","",Deals!$Q31)</f>
        <v/>
      </c>
      <c r="F79" s="16">
        <f>IF($A79="","",IF(AND(Deals!$I31&lt;&gt;"",Deals!$J31&lt;&gt;""),"Yes","No"))</f>
        <v/>
      </c>
      <c r="G79" s="22">
        <f>IF($A79="","",Deals!$Z31)</f>
        <v/>
      </c>
      <c r="H79" s="23">
        <f>IF(OR($A79="",$G79=""),"",INT((Settings!$B$19-$G79)/7))</f>
        <v/>
      </c>
      <c r="I79" s="24">
        <f>IF(OR($A79="",NOT(OR(Deals!$F31="Active",Deals!$F31="Proposal"))),"",TRIM(IF($E79=0," Unstaffed","")&amp;IF(IF(Deals!$U31="",FALSE,OR(AND(IFERROR(INDEX(Templates!$B$3:$B$10,MATCH(Deals!$U31,Templates!$A$3:$A$10,0)),0)&gt;0,COUNTIFS(Assignments!$C$2:$C$769,$A79,Assignments!$F$2:$F$769,"Partner",Assignments!$G$2:$G$769,"Active")=0),AND(IFERROR(INDEX(Templates!$C$3:$C$10,MATCH(Deals!$U31,Templates!$A$3:$A$10,0)),0)&gt;0,COUNTIFS(Assignments!$C$2:$C$769,$A79,Assignments!$F$2:$F$769,"MD",Assignments!$G$2:$G$769,"Active")=0),AND(IFERROR(INDEX(Templates!$D$3:$D$10,MATCH(Deals!$U31,Templates!$A$3:$A$10,0)),0)&gt;0,COUNTIFS(Assignments!$C$2:$C$769,$A79,Assignments!$F$2:$F$769,"Director",Assignments!$G$2:$G$769,"Active")=0),AND(IFERROR(INDEX(Templates!$E$3:$E$10,MATCH(Deals!$U31,Templates!$A$3:$A$10,0)),0)&gt;0,COUNTIFS(Assignments!$C$2:$C$769,$A79,Assignments!$F$2:$F$769,"VP",Assignments!$G$2:$G$769,"Active")=0),AND(IFERROR(INDEX(Templates!$F$3:$F$10,MATCH(Deals!$U31,Templates!$A$3:$A$10,0)),0)&gt;0,COUNTIFS(Assignments!$C$2:$C$769,$A79,Assignments!$F$2:$F$769,"Senior Associate",Assignments!$G$2:$G$769,"Active")=0),AND(IFERROR(INDEX(Templates!$G$3:$G$10,MATCH(Deals!$U31,Templates!$A$3:$A$10,0)),0)&gt;0,COUNTIFS(Assignments!$C$2:$C$769,$A79,Assignments!$F$2:$F$769,"Renewable Specialist",Assignments!$G$2:$G$769,"Active")=0),AND(IFERROR(INDEX(Templates!$H$3:$H$10,MATCH(Deals!$U31,Templates!$A$3:$A$10,0)),0)&gt;0,COUNTIFS(Assignments!$C$2:$C$769,$A79,Assignments!$F$2:$F$769,"Associate",Assignments!$G$2:$G$769,"Active")=0)))," MissingLevel","")&amp;IF(AND($C79="Proposal",Deals!$H31=0.5)," DefaultProbability","")&amp;IF($F79="No"," NoDates","")&amp;IF(AND(ISNUMBER($H79),$H79&gt;=Settings!$B$20)," Stale","")))</f>
        <v/>
      </c>
    </row>
    <row r="80">
      <c r="A80" s="16">
        <f>IF(Deals!$A32="","",Deals!$A32)</f>
        <v/>
      </c>
      <c r="B80" s="16">
        <f>IF($A80="","",Deals!$C32)</f>
        <v/>
      </c>
      <c r="C80" s="16">
        <f>IF($A80="","",Deals!$F32)</f>
        <v/>
      </c>
      <c r="D80" s="21">
        <f>IF($A80="","",Deals!$H32)</f>
        <v/>
      </c>
      <c r="E80" s="17">
        <f>IF($A80="","",Deals!$Q32)</f>
        <v/>
      </c>
      <c r="F80" s="16">
        <f>IF($A80="","",IF(AND(Deals!$I32&lt;&gt;"",Deals!$J32&lt;&gt;""),"Yes","No"))</f>
        <v/>
      </c>
      <c r="G80" s="22">
        <f>IF($A80="","",Deals!$Z32)</f>
        <v/>
      </c>
      <c r="H80" s="23">
        <f>IF(OR($A80="",$G80=""),"",INT((Settings!$B$19-$G80)/7))</f>
        <v/>
      </c>
      <c r="I80" s="24">
        <f>IF(OR($A80="",NOT(OR(Deals!$F32="Active",Deals!$F32="Proposal"))),"",TRIM(IF($E80=0," Unstaffed","")&amp;IF(IF(Deals!$U32="",FALSE,OR(AND(IFERROR(INDEX(Templates!$B$3:$B$10,MATCH(Deals!$U32,Templates!$A$3:$A$10,0)),0)&gt;0,COUNTIFS(Assignments!$C$2:$C$769,$A80,Assignments!$F$2:$F$769,"Partner",Assignments!$G$2:$G$769,"Active")=0),AND(IFERROR(INDEX(Templates!$C$3:$C$10,MATCH(Deals!$U32,Templates!$A$3:$A$10,0)),0)&gt;0,COUNTIFS(Assignments!$C$2:$C$769,$A80,Assignments!$F$2:$F$769,"MD",Assignments!$G$2:$G$769,"Active")=0),AND(IFERROR(INDEX(Templates!$D$3:$D$10,MATCH(Deals!$U32,Templates!$A$3:$A$10,0)),0)&gt;0,COUNTIFS(Assignments!$C$2:$C$769,$A80,Assignments!$F$2:$F$769,"Director",Assignments!$G$2:$G$769,"Active")=0),AND(IFERROR(INDEX(Templates!$E$3:$E$10,MATCH(Deals!$U32,Templates!$A$3:$A$10,0)),0)&gt;0,COUNTIFS(Assignments!$C$2:$C$769,$A80,Assignments!$F$2:$F$769,"VP",Assignments!$G$2:$G$769,"Active")=0),AND(IFERROR(INDEX(Templates!$F$3:$F$10,MATCH(Deals!$U32,Templates!$A$3:$A$10,0)),0)&gt;0,COUNTIFS(Assignments!$C$2:$C$769,$A80,Assignments!$F$2:$F$769,"Senior Associate",Assignments!$G$2:$G$769,"Active")=0),AND(IFERROR(INDEX(Templates!$G$3:$G$10,MATCH(Deals!$U32,Templates!$A$3:$A$10,0)),0)&gt;0,COUNTIFS(Assignments!$C$2:$C$769,$A80,Assignments!$F$2:$F$769,"Renewable Specialist",Assignments!$G$2:$G$769,"Active")=0),AND(IFERROR(INDEX(Templates!$H$3:$H$10,MATCH(Deals!$U32,Templates!$A$3:$A$10,0)),0)&gt;0,COUNTIFS(Assignments!$C$2:$C$769,$A80,Assignments!$F$2:$F$769,"Associate",Assignments!$G$2:$G$769,"Active")=0)))," MissingLevel","")&amp;IF(AND($C80="Proposal",Deals!$H32=0.5)," DefaultProbability","")&amp;IF($F80="No"," NoDates","")&amp;IF(AND(ISNUMBER($H80),$H80&gt;=Settings!$B$20)," Stale","")))</f>
        <v/>
      </c>
    </row>
    <row r="81">
      <c r="A81" s="16">
        <f>IF(Deals!$A33="","",Deals!$A33)</f>
        <v/>
      </c>
      <c r="B81" s="16">
        <f>IF($A81="","",Deals!$C33)</f>
        <v/>
      </c>
      <c r="C81" s="16">
        <f>IF($A81="","",Deals!$F33)</f>
        <v/>
      </c>
      <c r="D81" s="21">
        <f>IF($A81="","",Deals!$H33)</f>
        <v/>
      </c>
      <c r="E81" s="17">
        <f>IF($A81="","",Deals!$Q33)</f>
        <v/>
      </c>
      <c r="F81" s="16">
        <f>IF($A81="","",IF(AND(Deals!$I33&lt;&gt;"",Deals!$J33&lt;&gt;""),"Yes","No"))</f>
        <v/>
      </c>
      <c r="G81" s="22">
        <f>IF($A81="","",Deals!$Z33)</f>
        <v/>
      </c>
      <c r="H81" s="23">
        <f>IF(OR($A81="",$G81=""),"",INT((Settings!$B$19-$G81)/7))</f>
        <v/>
      </c>
      <c r="I81" s="24">
        <f>IF(OR($A81="",NOT(OR(Deals!$F33="Active",Deals!$F33="Proposal"))),"",TRIM(IF($E81=0," Unstaffed","")&amp;IF(IF(Deals!$U33="",FALSE,OR(AND(IFERROR(INDEX(Templates!$B$3:$B$10,MATCH(Deals!$U33,Templates!$A$3:$A$10,0)),0)&gt;0,COUNTIFS(Assignments!$C$2:$C$769,$A81,Assignments!$F$2:$F$769,"Partner",Assignments!$G$2:$G$769,"Active")=0),AND(IFERROR(INDEX(Templates!$C$3:$C$10,MATCH(Deals!$U33,Templates!$A$3:$A$10,0)),0)&gt;0,COUNTIFS(Assignments!$C$2:$C$769,$A81,Assignments!$F$2:$F$769,"MD",Assignments!$G$2:$G$769,"Active")=0),AND(IFERROR(INDEX(Templates!$D$3:$D$10,MATCH(Deals!$U33,Templates!$A$3:$A$10,0)),0)&gt;0,COUNTIFS(Assignments!$C$2:$C$769,$A81,Assignments!$F$2:$F$769,"Director",Assignments!$G$2:$G$769,"Active")=0),AND(IFERROR(INDEX(Templates!$E$3:$E$10,MATCH(Deals!$U33,Templates!$A$3:$A$10,0)),0)&gt;0,COUNTIFS(Assignments!$C$2:$C$769,$A81,Assignments!$F$2:$F$769,"VP",Assignments!$G$2:$G$769,"Active")=0),AND(IFERROR(INDEX(Templates!$F$3:$F$10,MATCH(Deals!$U33,Templates!$A$3:$A$10,0)),0)&gt;0,COUNTIFS(Assignments!$C$2:$C$769,$A81,Assignments!$F$2:$F$769,"Senior Associate",Assignments!$G$2:$G$769,"Active")=0),AND(IFERROR(INDEX(Templates!$G$3:$G$10,MATCH(Deals!$U33,Templates!$A$3:$A$10,0)),0)&gt;0,COUNTIFS(Assignments!$C$2:$C$769,$A81,Assignments!$F$2:$F$769,"Renewable Specialist",Assignments!$G$2:$G$769,"Active")=0),AND(IFERROR(INDEX(Templates!$H$3:$H$10,MATCH(Deals!$U33,Templates!$A$3:$A$10,0)),0)&gt;0,COUNTIFS(Assignments!$C$2:$C$769,$A81,Assignments!$F$2:$F$769,"Associate",Assignments!$G$2:$G$769,"Active")=0)))," MissingLevel","")&amp;IF(AND($C81="Proposal",Deals!$H33=0.5)," DefaultProbability","")&amp;IF($F81="No"," NoDates","")&amp;IF(AND(ISNUMBER($H81),$H81&gt;=Settings!$B$20)," Stale","")))</f>
        <v/>
      </c>
    </row>
    <row r="82">
      <c r="A82" s="16">
        <f>IF(Deals!$A34="","",Deals!$A34)</f>
        <v/>
      </c>
      <c r="B82" s="16">
        <f>IF($A82="","",Deals!$C34)</f>
        <v/>
      </c>
      <c r="C82" s="16">
        <f>IF($A82="","",Deals!$F34)</f>
        <v/>
      </c>
      <c r="D82" s="21">
        <f>IF($A82="","",Deals!$H34)</f>
        <v/>
      </c>
      <c r="E82" s="17">
        <f>IF($A82="","",Deals!$Q34)</f>
        <v/>
      </c>
      <c r="F82" s="16">
        <f>IF($A82="","",IF(AND(Deals!$I34&lt;&gt;"",Deals!$J34&lt;&gt;""),"Yes","No"))</f>
        <v/>
      </c>
      <c r="G82" s="22">
        <f>IF($A82="","",Deals!$Z34)</f>
        <v/>
      </c>
      <c r="H82" s="23">
        <f>IF(OR($A82="",$G82=""),"",INT((Settings!$B$19-$G82)/7))</f>
        <v/>
      </c>
      <c r="I82" s="24">
        <f>IF(OR($A82="",NOT(OR(Deals!$F34="Active",Deals!$F34="Proposal"))),"",TRIM(IF($E82=0," Unstaffed","")&amp;IF(IF(Deals!$U34="",FALSE,OR(AND(IFERROR(INDEX(Templates!$B$3:$B$10,MATCH(Deals!$U34,Templates!$A$3:$A$10,0)),0)&gt;0,COUNTIFS(Assignments!$C$2:$C$769,$A82,Assignments!$F$2:$F$769,"Partner",Assignments!$G$2:$G$769,"Active")=0),AND(IFERROR(INDEX(Templates!$C$3:$C$10,MATCH(Deals!$U34,Templates!$A$3:$A$10,0)),0)&gt;0,COUNTIFS(Assignments!$C$2:$C$769,$A82,Assignments!$F$2:$F$769,"MD",Assignments!$G$2:$G$769,"Active")=0),AND(IFERROR(INDEX(Templates!$D$3:$D$10,MATCH(Deals!$U34,Templates!$A$3:$A$10,0)),0)&gt;0,COUNTIFS(Assignments!$C$2:$C$769,$A82,Assignments!$F$2:$F$769,"Director",Assignments!$G$2:$G$769,"Active")=0),AND(IFERROR(INDEX(Templates!$E$3:$E$10,MATCH(Deals!$U34,Templates!$A$3:$A$10,0)),0)&gt;0,COUNTIFS(Assignments!$C$2:$C$769,$A82,Assignments!$F$2:$F$769,"VP",Assignments!$G$2:$G$769,"Active")=0),AND(IFERROR(INDEX(Templates!$F$3:$F$10,MATCH(Deals!$U34,Templates!$A$3:$A$10,0)),0)&gt;0,COUNTIFS(Assignments!$C$2:$C$769,$A82,Assignments!$F$2:$F$769,"Senior Associate",Assignments!$G$2:$G$769,"Active")=0),AND(IFERROR(INDEX(Templates!$G$3:$G$10,MATCH(Deals!$U34,Templates!$A$3:$A$10,0)),0)&gt;0,COUNTIFS(Assignments!$C$2:$C$769,$A82,Assignments!$F$2:$F$769,"Renewable Specialist",Assignments!$G$2:$G$769,"Active")=0),AND(IFERROR(INDEX(Templates!$H$3:$H$10,MATCH(Deals!$U34,Templates!$A$3:$A$10,0)),0)&gt;0,COUNTIFS(Assignments!$C$2:$C$769,$A82,Assignments!$F$2:$F$769,"Associate",Assignments!$G$2:$G$769,"Active")=0)))," MissingLevel","")&amp;IF(AND($C82="Proposal",Deals!$H34=0.5)," DefaultProbability","")&amp;IF($F82="No"," NoDates","")&amp;IF(AND(ISNUMBER($H82),$H82&gt;=Settings!$B$20)," Stale","")))</f>
        <v/>
      </c>
    </row>
    <row r="83">
      <c r="A83" s="16">
        <f>IF(Deals!$A35="","",Deals!$A35)</f>
        <v/>
      </c>
      <c r="B83" s="16">
        <f>IF($A83="","",Deals!$C35)</f>
        <v/>
      </c>
      <c r="C83" s="16">
        <f>IF($A83="","",Deals!$F35)</f>
        <v/>
      </c>
      <c r="D83" s="21">
        <f>IF($A83="","",Deals!$H35)</f>
        <v/>
      </c>
      <c r="E83" s="17">
        <f>IF($A83="","",Deals!$Q35)</f>
        <v/>
      </c>
      <c r="F83" s="16">
        <f>IF($A83="","",IF(AND(Deals!$I35&lt;&gt;"",Deals!$J35&lt;&gt;""),"Yes","No"))</f>
        <v/>
      </c>
      <c r="G83" s="22">
        <f>IF($A83="","",Deals!$Z35)</f>
        <v/>
      </c>
      <c r="H83" s="23">
        <f>IF(OR($A83="",$G83=""),"",INT((Settings!$B$19-$G83)/7))</f>
        <v/>
      </c>
      <c r="I83" s="24">
        <f>IF(OR($A83="",NOT(OR(Deals!$F35="Active",Deals!$F35="Proposal"))),"",TRIM(IF($E83=0," Unstaffed","")&amp;IF(IF(Deals!$U35="",FALSE,OR(AND(IFERROR(INDEX(Templates!$B$3:$B$10,MATCH(Deals!$U35,Templates!$A$3:$A$10,0)),0)&gt;0,COUNTIFS(Assignments!$C$2:$C$769,$A83,Assignments!$F$2:$F$769,"Partner",Assignments!$G$2:$G$769,"Active")=0),AND(IFERROR(INDEX(Templates!$C$3:$C$10,MATCH(Deals!$U35,Templates!$A$3:$A$10,0)),0)&gt;0,COUNTIFS(Assignments!$C$2:$C$769,$A83,Assignments!$F$2:$F$769,"MD",Assignments!$G$2:$G$769,"Active")=0),AND(IFERROR(INDEX(Templates!$D$3:$D$10,MATCH(Deals!$U35,Templates!$A$3:$A$10,0)),0)&gt;0,COUNTIFS(Assignments!$C$2:$C$769,$A83,Assignments!$F$2:$F$769,"Director",Assignments!$G$2:$G$769,"Active")=0),AND(IFERROR(INDEX(Templates!$E$3:$E$10,MATCH(Deals!$U35,Templates!$A$3:$A$10,0)),0)&gt;0,COUNTIFS(Assignments!$C$2:$C$769,$A83,Assignments!$F$2:$F$769,"VP",Assignments!$G$2:$G$769,"Active")=0),AND(IFERROR(INDEX(Templates!$F$3:$F$10,MATCH(Deals!$U35,Templates!$A$3:$A$10,0)),0)&gt;0,COUNTIFS(Assignments!$C$2:$C$769,$A83,Assignments!$F$2:$F$769,"Senior Associate",Assignments!$G$2:$G$769,"Active")=0),AND(IFERROR(INDEX(Templates!$G$3:$G$10,MATCH(Deals!$U35,Templates!$A$3:$A$10,0)),0)&gt;0,COUNTIFS(Assignments!$C$2:$C$769,$A83,Assignments!$F$2:$F$769,"Renewable Specialist",Assignments!$G$2:$G$769,"Active")=0),AND(IFERROR(INDEX(Templates!$H$3:$H$10,MATCH(Deals!$U35,Templates!$A$3:$A$10,0)),0)&gt;0,COUNTIFS(Assignments!$C$2:$C$769,$A83,Assignments!$F$2:$F$769,"Associate",Assignments!$G$2:$G$769,"Active")=0)))," MissingLevel","")&amp;IF(AND($C83="Proposal",Deals!$H35=0.5)," DefaultProbability","")&amp;IF($F83="No"," NoDates","")&amp;IF(AND(ISNUMBER($H83),$H83&gt;=Settings!$B$20)," Stale","")))</f>
        <v/>
      </c>
    </row>
    <row r="84">
      <c r="A84" s="16">
        <f>IF(Deals!$A36="","",Deals!$A36)</f>
        <v/>
      </c>
      <c r="B84" s="16">
        <f>IF($A84="","",Deals!$C36)</f>
        <v/>
      </c>
      <c r="C84" s="16">
        <f>IF($A84="","",Deals!$F36)</f>
        <v/>
      </c>
      <c r="D84" s="21">
        <f>IF($A84="","",Deals!$H36)</f>
        <v/>
      </c>
      <c r="E84" s="17">
        <f>IF($A84="","",Deals!$Q36)</f>
        <v/>
      </c>
      <c r="F84" s="16">
        <f>IF($A84="","",IF(AND(Deals!$I36&lt;&gt;"",Deals!$J36&lt;&gt;""),"Yes","No"))</f>
        <v/>
      </c>
      <c r="G84" s="22">
        <f>IF($A84="","",Deals!$Z36)</f>
        <v/>
      </c>
      <c r="H84" s="23">
        <f>IF(OR($A84="",$G84=""),"",INT((Settings!$B$19-$G84)/7))</f>
        <v/>
      </c>
      <c r="I84" s="24">
        <f>IF(OR($A84="",NOT(OR(Deals!$F36="Active",Deals!$F36="Proposal"))),"",TRIM(IF($E84=0," Unstaffed","")&amp;IF(IF(Deals!$U36="",FALSE,OR(AND(IFERROR(INDEX(Templates!$B$3:$B$10,MATCH(Deals!$U36,Templates!$A$3:$A$10,0)),0)&gt;0,COUNTIFS(Assignments!$C$2:$C$769,$A84,Assignments!$F$2:$F$769,"Partner",Assignments!$G$2:$G$769,"Active")=0),AND(IFERROR(INDEX(Templates!$C$3:$C$10,MATCH(Deals!$U36,Templates!$A$3:$A$10,0)),0)&gt;0,COUNTIFS(Assignments!$C$2:$C$769,$A84,Assignments!$F$2:$F$769,"MD",Assignments!$G$2:$G$769,"Active")=0),AND(IFERROR(INDEX(Templates!$D$3:$D$10,MATCH(Deals!$U36,Templates!$A$3:$A$10,0)),0)&gt;0,COUNTIFS(Assignments!$C$2:$C$769,$A84,Assignments!$F$2:$F$769,"Director",Assignments!$G$2:$G$769,"Active")=0),AND(IFERROR(INDEX(Templates!$E$3:$E$10,MATCH(Deals!$U36,Templates!$A$3:$A$10,0)),0)&gt;0,COUNTIFS(Assignments!$C$2:$C$769,$A84,Assignments!$F$2:$F$769,"VP",Assignments!$G$2:$G$769,"Active")=0),AND(IFERROR(INDEX(Templates!$F$3:$F$10,MATCH(Deals!$U36,Templates!$A$3:$A$10,0)),0)&gt;0,COUNTIFS(Assignments!$C$2:$C$769,$A84,Assignments!$F$2:$F$769,"Senior Associate",Assignments!$G$2:$G$769,"Active")=0),AND(IFERROR(INDEX(Templates!$G$3:$G$10,MATCH(Deals!$U36,Templates!$A$3:$A$10,0)),0)&gt;0,COUNTIFS(Assignments!$C$2:$C$769,$A84,Assignments!$F$2:$F$769,"Renewable Specialist",Assignments!$G$2:$G$769,"Active")=0),AND(IFERROR(INDEX(Templates!$H$3:$H$10,MATCH(Deals!$U36,Templates!$A$3:$A$10,0)),0)&gt;0,COUNTIFS(Assignments!$C$2:$C$769,$A84,Assignments!$F$2:$F$769,"Associate",Assignments!$G$2:$G$769,"Active")=0)))," MissingLevel","")&amp;IF(AND($C84="Proposal",Deals!$H36=0.5)," DefaultProbability","")&amp;IF($F84="No"," NoDates","")&amp;IF(AND(ISNUMBER($H84),$H84&gt;=Settings!$B$20)," Stale","")))</f>
        <v/>
      </c>
    </row>
    <row r="85">
      <c r="A85" s="16">
        <f>IF(Deals!$A37="","",Deals!$A37)</f>
        <v/>
      </c>
      <c r="B85" s="16">
        <f>IF($A85="","",Deals!$C37)</f>
        <v/>
      </c>
      <c r="C85" s="16">
        <f>IF($A85="","",Deals!$F37)</f>
        <v/>
      </c>
      <c r="D85" s="21">
        <f>IF($A85="","",Deals!$H37)</f>
        <v/>
      </c>
      <c r="E85" s="17">
        <f>IF($A85="","",Deals!$Q37)</f>
        <v/>
      </c>
      <c r="F85" s="16">
        <f>IF($A85="","",IF(AND(Deals!$I37&lt;&gt;"",Deals!$J37&lt;&gt;""),"Yes","No"))</f>
        <v/>
      </c>
      <c r="G85" s="22">
        <f>IF($A85="","",Deals!$Z37)</f>
        <v/>
      </c>
      <c r="H85" s="23">
        <f>IF(OR($A85="",$G85=""),"",INT((Settings!$B$19-$G85)/7))</f>
        <v/>
      </c>
      <c r="I85" s="24">
        <f>IF(OR($A85="",NOT(OR(Deals!$F37="Active",Deals!$F37="Proposal"))),"",TRIM(IF($E85=0," Unstaffed","")&amp;IF(IF(Deals!$U37="",FALSE,OR(AND(IFERROR(INDEX(Templates!$B$3:$B$10,MATCH(Deals!$U37,Templates!$A$3:$A$10,0)),0)&gt;0,COUNTIFS(Assignments!$C$2:$C$769,$A85,Assignments!$F$2:$F$769,"Partner",Assignments!$G$2:$G$769,"Active")=0),AND(IFERROR(INDEX(Templates!$C$3:$C$10,MATCH(Deals!$U37,Templates!$A$3:$A$10,0)),0)&gt;0,COUNTIFS(Assignments!$C$2:$C$769,$A85,Assignments!$F$2:$F$769,"MD",Assignments!$G$2:$G$769,"Active")=0),AND(IFERROR(INDEX(Templates!$D$3:$D$10,MATCH(Deals!$U37,Templates!$A$3:$A$10,0)),0)&gt;0,COUNTIFS(Assignments!$C$2:$C$769,$A85,Assignments!$F$2:$F$769,"Director",Assignments!$G$2:$G$769,"Active")=0),AND(IFERROR(INDEX(Templates!$E$3:$E$10,MATCH(Deals!$U37,Templates!$A$3:$A$10,0)),0)&gt;0,COUNTIFS(Assignments!$C$2:$C$769,$A85,Assignments!$F$2:$F$769,"VP",Assignments!$G$2:$G$769,"Active")=0),AND(IFERROR(INDEX(Templates!$F$3:$F$10,MATCH(Deals!$U37,Templates!$A$3:$A$10,0)),0)&gt;0,COUNTIFS(Assignments!$C$2:$C$769,$A85,Assignments!$F$2:$F$769,"Senior Associate",Assignments!$G$2:$G$769,"Active")=0),AND(IFERROR(INDEX(Templates!$G$3:$G$10,MATCH(Deals!$U37,Templates!$A$3:$A$10,0)),0)&gt;0,COUNTIFS(Assignments!$C$2:$C$769,$A85,Assignments!$F$2:$F$769,"Renewable Specialist",Assignments!$G$2:$G$769,"Active")=0),AND(IFERROR(INDEX(Templates!$H$3:$H$10,MATCH(Deals!$U37,Templates!$A$3:$A$10,0)),0)&gt;0,COUNTIFS(Assignments!$C$2:$C$769,$A85,Assignments!$F$2:$F$769,"Associate",Assignments!$G$2:$G$769,"Active")=0)))," MissingLevel","")&amp;IF(AND($C85="Proposal",Deals!$H37=0.5)," DefaultProbability","")&amp;IF($F85="No"," NoDates","")&amp;IF(AND(ISNUMBER($H85),$H85&gt;=Settings!$B$20)," Stale","")))</f>
        <v/>
      </c>
    </row>
    <row r="86">
      <c r="A86" s="16">
        <f>IF(Deals!$A38="","",Deals!$A38)</f>
        <v/>
      </c>
      <c r="B86" s="16">
        <f>IF($A86="","",Deals!$C38)</f>
        <v/>
      </c>
      <c r="C86" s="16">
        <f>IF($A86="","",Deals!$F38)</f>
        <v/>
      </c>
      <c r="D86" s="21">
        <f>IF($A86="","",Deals!$H38)</f>
        <v/>
      </c>
      <c r="E86" s="17">
        <f>IF($A86="","",Deals!$Q38)</f>
        <v/>
      </c>
      <c r="F86" s="16">
        <f>IF($A86="","",IF(AND(Deals!$I38&lt;&gt;"",Deals!$J38&lt;&gt;""),"Yes","No"))</f>
        <v/>
      </c>
      <c r="G86" s="22">
        <f>IF($A86="","",Deals!$Z38)</f>
        <v/>
      </c>
      <c r="H86" s="23">
        <f>IF(OR($A86="",$G86=""),"",INT((Settings!$B$19-$G86)/7))</f>
        <v/>
      </c>
      <c r="I86" s="24">
        <f>IF(OR($A86="",NOT(OR(Deals!$F38="Active",Deals!$F38="Proposal"))),"",TRIM(IF($E86=0," Unstaffed","")&amp;IF(IF(Deals!$U38="",FALSE,OR(AND(IFERROR(INDEX(Templates!$B$3:$B$10,MATCH(Deals!$U38,Templates!$A$3:$A$10,0)),0)&gt;0,COUNTIFS(Assignments!$C$2:$C$769,$A86,Assignments!$F$2:$F$769,"Partner",Assignments!$G$2:$G$769,"Active")=0),AND(IFERROR(INDEX(Templates!$C$3:$C$10,MATCH(Deals!$U38,Templates!$A$3:$A$10,0)),0)&gt;0,COUNTIFS(Assignments!$C$2:$C$769,$A86,Assignments!$F$2:$F$769,"MD",Assignments!$G$2:$G$769,"Active")=0),AND(IFERROR(INDEX(Templates!$D$3:$D$10,MATCH(Deals!$U38,Templates!$A$3:$A$10,0)),0)&gt;0,COUNTIFS(Assignments!$C$2:$C$769,$A86,Assignments!$F$2:$F$769,"Director",Assignments!$G$2:$G$769,"Active")=0),AND(IFERROR(INDEX(Templates!$E$3:$E$10,MATCH(Deals!$U38,Templates!$A$3:$A$10,0)),0)&gt;0,COUNTIFS(Assignments!$C$2:$C$769,$A86,Assignments!$F$2:$F$769,"VP",Assignments!$G$2:$G$769,"Active")=0),AND(IFERROR(INDEX(Templates!$F$3:$F$10,MATCH(Deals!$U38,Templates!$A$3:$A$10,0)),0)&gt;0,COUNTIFS(Assignments!$C$2:$C$769,$A86,Assignments!$F$2:$F$769,"Senior Associate",Assignments!$G$2:$G$769,"Active")=0),AND(IFERROR(INDEX(Templates!$G$3:$G$10,MATCH(Deals!$U38,Templates!$A$3:$A$10,0)),0)&gt;0,COUNTIFS(Assignments!$C$2:$C$769,$A86,Assignments!$F$2:$F$769,"Renewable Specialist",Assignments!$G$2:$G$769,"Active")=0),AND(IFERROR(INDEX(Templates!$H$3:$H$10,MATCH(Deals!$U38,Templates!$A$3:$A$10,0)),0)&gt;0,COUNTIFS(Assignments!$C$2:$C$769,$A86,Assignments!$F$2:$F$769,"Associate",Assignments!$G$2:$G$769,"Active")=0)))," MissingLevel","")&amp;IF(AND($C86="Proposal",Deals!$H38=0.5)," DefaultProbability","")&amp;IF($F86="No"," NoDates","")&amp;IF(AND(ISNUMBER($H86),$H86&gt;=Settings!$B$20)," Stale","")))</f>
        <v/>
      </c>
    </row>
    <row r="87">
      <c r="A87" s="16">
        <f>IF(Deals!$A39="","",Deals!$A39)</f>
        <v/>
      </c>
      <c r="B87" s="16">
        <f>IF($A87="","",Deals!$C39)</f>
        <v/>
      </c>
      <c r="C87" s="16">
        <f>IF($A87="","",Deals!$F39)</f>
        <v/>
      </c>
      <c r="D87" s="21">
        <f>IF($A87="","",Deals!$H39)</f>
        <v/>
      </c>
      <c r="E87" s="17">
        <f>IF($A87="","",Deals!$Q39)</f>
        <v/>
      </c>
      <c r="F87" s="16">
        <f>IF($A87="","",IF(AND(Deals!$I39&lt;&gt;"",Deals!$J39&lt;&gt;""),"Yes","No"))</f>
        <v/>
      </c>
      <c r="G87" s="22">
        <f>IF($A87="","",Deals!$Z39)</f>
        <v/>
      </c>
      <c r="H87" s="23">
        <f>IF(OR($A87="",$G87=""),"",INT((Settings!$B$19-$G87)/7))</f>
        <v/>
      </c>
      <c r="I87" s="24">
        <f>IF(OR($A87="",NOT(OR(Deals!$F39="Active",Deals!$F39="Proposal"))),"",TRIM(IF($E87=0," Unstaffed","")&amp;IF(IF(Deals!$U39="",FALSE,OR(AND(IFERROR(INDEX(Templates!$B$3:$B$10,MATCH(Deals!$U39,Templates!$A$3:$A$10,0)),0)&gt;0,COUNTIFS(Assignments!$C$2:$C$769,$A87,Assignments!$F$2:$F$769,"Partner",Assignments!$G$2:$G$769,"Active")=0),AND(IFERROR(INDEX(Templates!$C$3:$C$10,MATCH(Deals!$U39,Templates!$A$3:$A$10,0)),0)&gt;0,COUNTIFS(Assignments!$C$2:$C$769,$A87,Assignments!$F$2:$F$769,"MD",Assignments!$G$2:$G$769,"Active")=0),AND(IFERROR(INDEX(Templates!$D$3:$D$10,MATCH(Deals!$U39,Templates!$A$3:$A$10,0)),0)&gt;0,COUNTIFS(Assignments!$C$2:$C$769,$A87,Assignments!$F$2:$F$769,"Director",Assignments!$G$2:$G$769,"Active")=0),AND(IFERROR(INDEX(Templates!$E$3:$E$10,MATCH(Deals!$U39,Templates!$A$3:$A$10,0)),0)&gt;0,COUNTIFS(Assignments!$C$2:$C$769,$A87,Assignments!$F$2:$F$769,"VP",Assignments!$G$2:$G$769,"Active")=0),AND(IFERROR(INDEX(Templates!$F$3:$F$10,MATCH(Deals!$U39,Templates!$A$3:$A$10,0)),0)&gt;0,COUNTIFS(Assignments!$C$2:$C$769,$A87,Assignments!$F$2:$F$769,"Senior Associate",Assignments!$G$2:$G$769,"Active")=0),AND(IFERROR(INDEX(Templates!$G$3:$G$10,MATCH(Deals!$U39,Templates!$A$3:$A$10,0)),0)&gt;0,COUNTIFS(Assignments!$C$2:$C$769,$A87,Assignments!$F$2:$F$769,"Renewable Specialist",Assignments!$G$2:$G$769,"Active")=0),AND(IFERROR(INDEX(Templates!$H$3:$H$10,MATCH(Deals!$U39,Templates!$A$3:$A$10,0)),0)&gt;0,COUNTIFS(Assignments!$C$2:$C$769,$A87,Assignments!$F$2:$F$769,"Associate",Assignments!$G$2:$G$769,"Active")=0)))," MissingLevel","")&amp;IF(AND($C87="Proposal",Deals!$H39=0.5)," DefaultProbability","")&amp;IF($F87="No"," NoDates","")&amp;IF(AND(ISNUMBER($H87),$H87&gt;=Settings!$B$20)," Stale","")))</f>
        <v/>
      </c>
    </row>
    <row r="88">
      <c r="A88" s="16">
        <f>IF(Deals!$A40="","",Deals!$A40)</f>
        <v/>
      </c>
      <c r="B88" s="16">
        <f>IF($A88="","",Deals!$C40)</f>
        <v/>
      </c>
      <c r="C88" s="16">
        <f>IF($A88="","",Deals!$F40)</f>
        <v/>
      </c>
      <c r="D88" s="21">
        <f>IF($A88="","",Deals!$H40)</f>
        <v/>
      </c>
      <c r="E88" s="17">
        <f>IF($A88="","",Deals!$Q40)</f>
        <v/>
      </c>
      <c r="F88" s="16">
        <f>IF($A88="","",IF(AND(Deals!$I40&lt;&gt;"",Deals!$J40&lt;&gt;""),"Yes","No"))</f>
        <v/>
      </c>
      <c r="G88" s="22">
        <f>IF($A88="","",Deals!$Z40)</f>
        <v/>
      </c>
      <c r="H88" s="23">
        <f>IF(OR($A88="",$G88=""),"",INT((Settings!$B$19-$G88)/7))</f>
        <v/>
      </c>
      <c r="I88" s="24">
        <f>IF(OR($A88="",NOT(OR(Deals!$F40="Active",Deals!$F40="Proposal"))),"",TRIM(IF($E88=0," Unstaffed","")&amp;IF(IF(Deals!$U40="",FALSE,OR(AND(IFERROR(INDEX(Templates!$B$3:$B$10,MATCH(Deals!$U40,Templates!$A$3:$A$10,0)),0)&gt;0,COUNTIFS(Assignments!$C$2:$C$769,$A88,Assignments!$F$2:$F$769,"Partner",Assignments!$G$2:$G$769,"Active")=0),AND(IFERROR(INDEX(Templates!$C$3:$C$10,MATCH(Deals!$U40,Templates!$A$3:$A$10,0)),0)&gt;0,COUNTIFS(Assignments!$C$2:$C$769,$A88,Assignments!$F$2:$F$769,"MD",Assignments!$G$2:$G$769,"Active")=0),AND(IFERROR(INDEX(Templates!$D$3:$D$10,MATCH(Deals!$U40,Templates!$A$3:$A$10,0)),0)&gt;0,COUNTIFS(Assignments!$C$2:$C$769,$A88,Assignments!$F$2:$F$769,"Director",Assignments!$G$2:$G$769,"Active")=0),AND(IFERROR(INDEX(Templates!$E$3:$E$10,MATCH(Deals!$U40,Templates!$A$3:$A$10,0)),0)&gt;0,COUNTIFS(Assignments!$C$2:$C$769,$A88,Assignments!$F$2:$F$769,"VP",Assignments!$G$2:$G$769,"Active")=0),AND(IFERROR(INDEX(Templates!$F$3:$F$10,MATCH(Deals!$U40,Templates!$A$3:$A$10,0)),0)&gt;0,COUNTIFS(Assignments!$C$2:$C$769,$A88,Assignments!$F$2:$F$769,"Senior Associate",Assignments!$G$2:$G$769,"Active")=0),AND(IFERROR(INDEX(Templates!$G$3:$G$10,MATCH(Deals!$U40,Templates!$A$3:$A$10,0)),0)&gt;0,COUNTIFS(Assignments!$C$2:$C$769,$A88,Assignments!$F$2:$F$769,"Renewable Specialist",Assignments!$G$2:$G$769,"Active")=0),AND(IFERROR(INDEX(Templates!$H$3:$H$10,MATCH(Deals!$U40,Templates!$A$3:$A$10,0)),0)&gt;0,COUNTIFS(Assignments!$C$2:$C$769,$A88,Assignments!$F$2:$F$769,"Associate",Assignments!$G$2:$G$769,"Active")=0)))," MissingLevel","")&amp;IF(AND($C88="Proposal",Deals!$H40=0.5)," DefaultProbability","")&amp;IF($F88="No"," NoDates","")&amp;IF(AND(ISNUMBER($H88),$H88&gt;=Settings!$B$20)," Stale","")))</f>
        <v/>
      </c>
    </row>
    <row r="89">
      <c r="A89" s="16">
        <f>IF(Deals!$A41="","",Deals!$A41)</f>
        <v/>
      </c>
      <c r="B89" s="16">
        <f>IF($A89="","",Deals!$C41)</f>
        <v/>
      </c>
      <c r="C89" s="16">
        <f>IF($A89="","",Deals!$F41)</f>
        <v/>
      </c>
      <c r="D89" s="21">
        <f>IF($A89="","",Deals!$H41)</f>
        <v/>
      </c>
      <c r="E89" s="17">
        <f>IF($A89="","",Deals!$Q41)</f>
        <v/>
      </c>
      <c r="F89" s="16">
        <f>IF($A89="","",IF(AND(Deals!$I41&lt;&gt;"",Deals!$J41&lt;&gt;""),"Yes","No"))</f>
        <v/>
      </c>
      <c r="G89" s="22">
        <f>IF($A89="","",Deals!$Z41)</f>
        <v/>
      </c>
      <c r="H89" s="23">
        <f>IF(OR($A89="",$G89=""),"",INT((Settings!$B$19-$G89)/7))</f>
        <v/>
      </c>
      <c r="I89" s="24">
        <f>IF(OR($A89="",NOT(OR(Deals!$F41="Active",Deals!$F41="Proposal"))),"",TRIM(IF($E89=0," Unstaffed","")&amp;IF(IF(Deals!$U41="",FALSE,OR(AND(IFERROR(INDEX(Templates!$B$3:$B$10,MATCH(Deals!$U41,Templates!$A$3:$A$10,0)),0)&gt;0,COUNTIFS(Assignments!$C$2:$C$769,$A89,Assignments!$F$2:$F$769,"Partner",Assignments!$G$2:$G$769,"Active")=0),AND(IFERROR(INDEX(Templates!$C$3:$C$10,MATCH(Deals!$U41,Templates!$A$3:$A$10,0)),0)&gt;0,COUNTIFS(Assignments!$C$2:$C$769,$A89,Assignments!$F$2:$F$769,"MD",Assignments!$G$2:$G$769,"Active")=0),AND(IFERROR(INDEX(Templates!$D$3:$D$10,MATCH(Deals!$U41,Templates!$A$3:$A$10,0)),0)&gt;0,COUNTIFS(Assignments!$C$2:$C$769,$A89,Assignments!$F$2:$F$769,"Director",Assignments!$G$2:$G$769,"Active")=0),AND(IFERROR(INDEX(Templates!$E$3:$E$10,MATCH(Deals!$U41,Templates!$A$3:$A$10,0)),0)&gt;0,COUNTIFS(Assignments!$C$2:$C$769,$A89,Assignments!$F$2:$F$769,"VP",Assignments!$G$2:$G$769,"Active")=0),AND(IFERROR(INDEX(Templates!$F$3:$F$10,MATCH(Deals!$U41,Templates!$A$3:$A$10,0)),0)&gt;0,COUNTIFS(Assignments!$C$2:$C$769,$A89,Assignments!$F$2:$F$769,"Senior Associate",Assignments!$G$2:$G$769,"Active")=0),AND(IFERROR(INDEX(Templates!$G$3:$G$10,MATCH(Deals!$U41,Templates!$A$3:$A$10,0)),0)&gt;0,COUNTIFS(Assignments!$C$2:$C$769,$A89,Assignments!$F$2:$F$769,"Renewable Specialist",Assignments!$G$2:$G$769,"Active")=0),AND(IFERROR(INDEX(Templates!$H$3:$H$10,MATCH(Deals!$U41,Templates!$A$3:$A$10,0)),0)&gt;0,COUNTIFS(Assignments!$C$2:$C$769,$A89,Assignments!$F$2:$F$769,"Associate",Assignments!$G$2:$G$769,"Active")=0)))," MissingLevel","")&amp;IF(AND($C89="Proposal",Deals!$H41=0.5)," DefaultProbability","")&amp;IF($F89="No"," NoDates","")&amp;IF(AND(ISNUMBER($H89),$H89&gt;=Settings!$B$20)," Stale","")))</f>
        <v/>
      </c>
    </row>
    <row r="90">
      <c r="A90" s="16">
        <f>IF(Deals!$A42="","",Deals!$A42)</f>
        <v/>
      </c>
      <c r="B90" s="16">
        <f>IF($A90="","",Deals!$C42)</f>
        <v/>
      </c>
      <c r="C90" s="16">
        <f>IF($A90="","",Deals!$F42)</f>
        <v/>
      </c>
      <c r="D90" s="21">
        <f>IF($A90="","",Deals!$H42)</f>
        <v/>
      </c>
      <c r="E90" s="17">
        <f>IF($A90="","",Deals!$Q42)</f>
        <v/>
      </c>
      <c r="F90" s="16">
        <f>IF($A90="","",IF(AND(Deals!$I42&lt;&gt;"",Deals!$J42&lt;&gt;""),"Yes","No"))</f>
        <v/>
      </c>
      <c r="G90" s="22">
        <f>IF($A90="","",Deals!$Z42)</f>
        <v/>
      </c>
      <c r="H90" s="23">
        <f>IF(OR($A90="",$G90=""),"",INT((Settings!$B$19-$G90)/7))</f>
        <v/>
      </c>
      <c r="I90" s="24">
        <f>IF(OR($A90="",NOT(OR(Deals!$F42="Active",Deals!$F42="Proposal"))),"",TRIM(IF($E90=0," Unstaffed","")&amp;IF(IF(Deals!$U42="",FALSE,OR(AND(IFERROR(INDEX(Templates!$B$3:$B$10,MATCH(Deals!$U42,Templates!$A$3:$A$10,0)),0)&gt;0,COUNTIFS(Assignments!$C$2:$C$769,$A90,Assignments!$F$2:$F$769,"Partner",Assignments!$G$2:$G$769,"Active")=0),AND(IFERROR(INDEX(Templates!$C$3:$C$10,MATCH(Deals!$U42,Templates!$A$3:$A$10,0)),0)&gt;0,COUNTIFS(Assignments!$C$2:$C$769,$A90,Assignments!$F$2:$F$769,"MD",Assignments!$G$2:$G$769,"Active")=0),AND(IFERROR(INDEX(Templates!$D$3:$D$10,MATCH(Deals!$U42,Templates!$A$3:$A$10,0)),0)&gt;0,COUNTIFS(Assignments!$C$2:$C$769,$A90,Assignments!$F$2:$F$769,"Director",Assignments!$G$2:$G$769,"Active")=0),AND(IFERROR(INDEX(Templates!$E$3:$E$10,MATCH(Deals!$U42,Templates!$A$3:$A$10,0)),0)&gt;0,COUNTIFS(Assignments!$C$2:$C$769,$A90,Assignments!$F$2:$F$769,"VP",Assignments!$G$2:$G$769,"Active")=0),AND(IFERROR(INDEX(Templates!$F$3:$F$10,MATCH(Deals!$U42,Templates!$A$3:$A$10,0)),0)&gt;0,COUNTIFS(Assignments!$C$2:$C$769,$A90,Assignments!$F$2:$F$769,"Senior Associate",Assignments!$G$2:$G$769,"Active")=0),AND(IFERROR(INDEX(Templates!$G$3:$G$10,MATCH(Deals!$U42,Templates!$A$3:$A$10,0)),0)&gt;0,COUNTIFS(Assignments!$C$2:$C$769,$A90,Assignments!$F$2:$F$769,"Renewable Specialist",Assignments!$G$2:$G$769,"Active")=0),AND(IFERROR(INDEX(Templates!$H$3:$H$10,MATCH(Deals!$U42,Templates!$A$3:$A$10,0)),0)&gt;0,COUNTIFS(Assignments!$C$2:$C$769,$A90,Assignments!$F$2:$F$769,"Associate",Assignments!$G$2:$G$769,"Active")=0)))," MissingLevel","")&amp;IF(AND($C90="Proposal",Deals!$H42=0.5)," DefaultProbability","")&amp;IF($F90="No"," NoDates","")&amp;IF(AND(ISNUMBER($H90),$H90&gt;=Settings!$B$20)," Stale","")))</f>
        <v/>
      </c>
    </row>
    <row r="91">
      <c r="A91" s="16">
        <f>IF(Deals!$A43="","",Deals!$A43)</f>
        <v/>
      </c>
      <c r="B91" s="16">
        <f>IF($A91="","",Deals!$C43)</f>
        <v/>
      </c>
      <c r="C91" s="16">
        <f>IF($A91="","",Deals!$F43)</f>
        <v/>
      </c>
      <c r="D91" s="21">
        <f>IF($A91="","",Deals!$H43)</f>
        <v/>
      </c>
      <c r="E91" s="17">
        <f>IF($A91="","",Deals!$Q43)</f>
        <v/>
      </c>
      <c r="F91" s="16">
        <f>IF($A91="","",IF(AND(Deals!$I43&lt;&gt;"",Deals!$J43&lt;&gt;""),"Yes","No"))</f>
        <v/>
      </c>
      <c r="G91" s="22">
        <f>IF($A91="","",Deals!$Z43)</f>
        <v/>
      </c>
      <c r="H91" s="23">
        <f>IF(OR($A91="",$G91=""),"",INT((Settings!$B$19-$G91)/7))</f>
        <v/>
      </c>
      <c r="I91" s="24">
        <f>IF(OR($A91="",NOT(OR(Deals!$F43="Active",Deals!$F43="Proposal"))),"",TRIM(IF($E91=0," Unstaffed","")&amp;IF(IF(Deals!$U43="",FALSE,OR(AND(IFERROR(INDEX(Templates!$B$3:$B$10,MATCH(Deals!$U43,Templates!$A$3:$A$10,0)),0)&gt;0,COUNTIFS(Assignments!$C$2:$C$769,$A91,Assignments!$F$2:$F$769,"Partner",Assignments!$G$2:$G$769,"Active")=0),AND(IFERROR(INDEX(Templates!$C$3:$C$10,MATCH(Deals!$U43,Templates!$A$3:$A$10,0)),0)&gt;0,COUNTIFS(Assignments!$C$2:$C$769,$A91,Assignments!$F$2:$F$769,"MD",Assignments!$G$2:$G$769,"Active")=0),AND(IFERROR(INDEX(Templates!$D$3:$D$10,MATCH(Deals!$U43,Templates!$A$3:$A$10,0)),0)&gt;0,COUNTIFS(Assignments!$C$2:$C$769,$A91,Assignments!$F$2:$F$769,"Director",Assignments!$G$2:$G$769,"Active")=0),AND(IFERROR(INDEX(Templates!$E$3:$E$10,MATCH(Deals!$U43,Templates!$A$3:$A$10,0)),0)&gt;0,COUNTIFS(Assignments!$C$2:$C$769,$A91,Assignments!$F$2:$F$769,"VP",Assignments!$G$2:$G$769,"Active")=0),AND(IFERROR(INDEX(Templates!$F$3:$F$10,MATCH(Deals!$U43,Templates!$A$3:$A$10,0)),0)&gt;0,COUNTIFS(Assignments!$C$2:$C$769,$A91,Assignments!$F$2:$F$769,"Senior Associate",Assignments!$G$2:$G$769,"Active")=0),AND(IFERROR(INDEX(Templates!$G$3:$G$10,MATCH(Deals!$U43,Templates!$A$3:$A$10,0)),0)&gt;0,COUNTIFS(Assignments!$C$2:$C$769,$A91,Assignments!$F$2:$F$769,"Renewable Specialist",Assignments!$G$2:$G$769,"Active")=0),AND(IFERROR(INDEX(Templates!$H$3:$H$10,MATCH(Deals!$U43,Templates!$A$3:$A$10,0)),0)&gt;0,COUNTIFS(Assignments!$C$2:$C$769,$A91,Assignments!$F$2:$F$769,"Associate",Assignments!$G$2:$G$769,"Active")=0)))," MissingLevel","")&amp;IF(AND($C91="Proposal",Deals!$H43=0.5)," DefaultProbability","")&amp;IF($F91="No"," NoDates","")&amp;IF(AND(ISNUMBER($H91),$H91&gt;=Settings!$B$20)," Stale","")))</f>
        <v/>
      </c>
    </row>
    <row r="92">
      <c r="A92" s="16">
        <f>IF(Deals!$A44="","",Deals!$A44)</f>
        <v/>
      </c>
      <c r="B92" s="16">
        <f>IF($A92="","",Deals!$C44)</f>
        <v/>
      </c>
      <c r="C92" s="16">
        <f>IF($A92="","",Deals!$F44)</f>
        <v/>
      </c>
      <c r="D92" s="21">
        <f>IF($A92="","",Deals!$H44)</f>
        <v/>
      </c>
      <c r="E92" s="17">
        <f>IF($A92="","",Deals!$Q44)</f>
        <v/>
      </c>
      <c r="F92" s="16">
        <f>IF($A92="","",IF(AND(Deals!$I44&lt;&gt;"",Deals!$J44&lt;&gt;""),"Yes","No"))</f>
        <v/>
      </c>
      <c r="G92" s="22">
        <f>IF($A92="","",Deals!$Z44)</f>
        <v/>
      </c>
      <c r="H92" s="23">
        <f>IF(OR($A92="",$G92=""),"",INT((Settings!$B$19-$G92)/7))</f>
        <v/>
      </c>
      <c r="I92" s="24">
        <f>IF(OR($A92="",NOT(OR(Deals!$F44="Active",Deals!$F44="Proposal"))),"",TRIM(IF($E92=0," Unstaffed","")&amp;IF(IF(Deals!$U44="",FALSE,OR(AND(IFERROR(INDEX(Templates!$B$3:$B$10,MATCH(Deals!$U44,Templates!$A$3:$A$10,0)),0)&gt;0,COUNTIFS(Assignments!$C$2:$C$769,$A92,Assignments!$F$2:$F$769,"Partner",Assignments!$G$2:$G$769,"Active")=0),AND(IFERROR(INDEX(Templates!$C$3:$C$10,MATCH(Deals!$U44,Templates!$A$3:$A$10,0)),0)&gt;0,COUNTIFS(Assignments!$C$2:$C$769,$A92,Assignments!$F$2:$F$769,"MD",Assignments!$G$2:$G$769,"Active")=0),AND(IFERROR(INDEX(Templates!$D$3:$D$10,MATCH(Deals!$U44,Templates!$A$3:$A$10,0)),0)&gt;0,COUNTIFS(Assignments!$C$2:$C$769,$A92,Assignments!$F$2:$F$769,"Director",Assignments!$G$2:$G$769,"Active")=0),AND(IFERROR(INDEX(Templates!$E$3:$E$10,MATCH(Deals!$U44,Templates!$A$3:$A$10,0)),0)&gt;0,COUNTIFS(Assignments!$C$2:$C$769,$A92,Assignments!$F$2:$F$769,"VP",Assignments!$G$2:$G$769,"Active")=0),AND(IFERROR(INDEX(Templates!$F$3:$F$10,MATCH(Deals!$U44,Templates!$A$3:$A$10,0)),0)&gt;0,COUNTIFS(Assignments!$C$2:$C$769,$A92,Assignments!$F$2:$F$769,"Senior Associate",Assignments!$G$2:$G$769,"Active")=0),AND(IFERROR(INDEX(Templates!$G$3:$G$10,MATCH(Deals!$U44,Templates!$A$3:$A$10,0)),0)&gt;0,COUNTIFS(Assignments!$C$2:$C$769,$A92,Assignments!$F$2:$F$769,"Renewable Specialist",Assignments!$G$2:$G$769,"Active")=0),AND(IFERROR(INDEX(Templates!$H$3:$H$10,MATCH(Deals!$U44,Templates!$A$3:$A$10,0)),0)&gt;0,COUNTIFS(Assignments!$C$2:$C$769,$A92,Assignments!$F$2:$F$769,"Associate",Assignments!$G$2:$G$769,"Active")=0)))," MissingLevel","")&amp;IF(AND($C92="Proposal",Deals!$H44=0.5)," DefaultProbability","")&amp;IF($F92="No"," NoDates","")&amp;IF(AND(ISNUMBER($H92),$H92&gt;=Settings!$B$20)," Stale","")))</f>
        <v/>
      </c>
    </row>
    <row r="93">
      <c r="A93" s="16">
        <f>IF(Deals!$A45="","",Deals!$A45)</f>
        <v/>
      </c>
      <c r="B93" s="16">
        <f>IF($A93="","",Deals!$C45)</f>
        <v/>
      </c>
      <c r="C93" s="16">
        <f>IF($A93="","",Deals!$F45)</f>
        <v/>
      </c>
      <c r="D93" s="21">
        <f>IF($A93="","",Deals!$H45)</f>
        <v/>
      </c>
      <c r="E93" s="17">
        <f>IF($A93="","",Deals!$Q45)</f>
        <v/>
      </c>
      <c r="F93" s="16">
        <f>IF($A93="","",IF(AND(Deals!$I45&lt;&gt;"",Deals!$J45&lt;&gt;""),"Yes","No"))</f>
        <v/>
      </c>
      <c r="G93" s="22">
        <f>IF($A93="","",Deals!$Z45)</f>
        <v/>
      </c>
      <c r="H93" s="23">
        <f>IF(OR($A93="",$G93=""),"",INT((Settings!$B$19-$G93)/7))</f>
        <v/>
      </c>
      <c r="I93" s="24">
        <f>IF(OR($A93="",NOT(OR(Deals!$F45="Active",Deals!$F45="Proposal"))),"",TRIM(IF($E93=0," Unstaffed","")&amp;IF(IF(Deals!$U45="",FALSE,OR(AND(IFERROR(INDEX(Templates!$B$3:$B$10,MATCH(Deals!$U45,Templates!$A$3:$A$10,0)),0)&gt;0,COUNTIFS(Assignments!$C$2:$C$769,$A93,Assignments!$F$2:$F$769,"Partner",Assignments!$G$2:$G$769,"Active")=0),AND(IFERROR(INDEX(Templates!$C$3:$C$10,MATCH(Deals!$U45,Templates!$A$3:$A$10,0)),0)&gt;0,COUNTIFS(Assignments!$C$2:$C$769,$A93,Assignments!$F$2:$F$769,"MD",Assignments!$G$2:$G$769,"Active")=0),AND(IFERROR(INDEX(Templates!$D$3:$D$10,MATCH(Deals!$U45,Templates!$A$3:$A$10,0)),0)&gt;0,COUNTIFS(Assignments!$C$2:$C$769,$A93,Assignments!$F$2:$F$769,"Director",Assignments!$G$2:$G$769,"Active")=0),AND(IFERROR(INDEX(Templates!$E$3:$E$10,MATCH(Deals!$U45,Templates!$A$3:$A$10,0)),0)&gt;0,COUNTIFS(Assignments!$C$2:$C$769,$A93,Assignments!$F$2:$F$769,"VP",Assignments!$G$2:$G$769,"Active")=0),AND(IFERROR(INDEX(Templates!$F$3:$F$10,MATCH(Deals!$U45,Templates!$A$3:$A$10,0)),0)&gt;0,COUNTIFS(Assignments!$C$2:$C$769,$A93,Assignments!$F$2:$F$769,"Senior Associate",Assignments!$G$2:$G$769,"Active")=0),AND(IFERROR(INDEX(Templates!$G$3:$G$10,MATCH(Deals!$U45,Templates!$A$3:$A$10,0)),0)&gt;0,COUNTIFS(Assignments!$C$2:$C$769,$A93,Assignments!$F$2:$F$769,"Renewable Specialist",Assignments!$G$2:$G$769,"Active")=0),AND(IFERROR(INDEX(Templates!$H$3:$H$10,MATCH(Deals!$U45,Templates!$A$3:$A$10,0)),0)&gt;0,COUNTIFS(Assignments!$C$2:$C$769,$A93,Assignments!$F$2:$F$769,"Associate",Assignments!$G$2:$G$769,"Active")=0)))," MissingLevel","")&amp;IF(AND($C93="Proposal",Deals!$H45=0.5)," DefaultProbability","")&amp;IF($F93="No"," NoDates","")&amp;IF(AND(ISNUMBER($H93),$H93&gt;=Settings!$B$20)," Stale","")))</f>
        <v/>
      </c>
    </row>
    <row r="94">
      <c r="A94" s="16">
        <f>IF(Deals!$A46="","",Deals!$A46)</f>
        <v/>
      </c>
      <c r="B94" s="16">
        <f>IF($A94="","",Deals!$C46)</f>
        <v/>
      </c>
      <c r="C94" s="16">
        <f>IF($A94="","",Deals!$F46)</f>
        <v/>
      </c>
      <c r="D94" s="21">
        <f>IF($A94="","",Deals!$H46)</f>
        <v/>
      </c>
      <c r="E94" s="17">
        <f>IF($A94="","",Deals!$Q46)</f>
        <v/>
      </c>
      <c r="F94" s="16">
        <f>IF($A94="","",IF(AND(Deals!$I46&lt;&gt;"",Deals!$J46&lt;&gt;""),"Yes","No"))</f>
        <v/>
      </c>
      <c r="G94" s="22">
        <f>IF($A94="","",Deals!$Z46)</f>
        <v/>
      </c>
      <c r="H94" s="23">
        <f>IF(OR($A94="",$G94=""),"",INT((Settings!$B$19-$G94)/7))</f>
        <v/>
      </c>
      <c r="I94" s="24">
        <f>IF(OR($A94="",NOT(OR(Deals!$F46="Active",Deals!$F46="Proposal"))),"",TRIM(IF($E94=0," Unstaffed","")&amp;IF(IF(Deals!$U46="",FALSE,OR(AND(IFERROR(INDEX(Templates!$B$3:$B$10,MATCH(Deals!$U46,Templates!$A$3:$A$10,0)),0)&gt;0,COUNTIFS(Assignments!$C$2:$C$769,$A94,Assignments!$F$2:$F$769,"Partner",Assignments!$G$2:$G$769,"Active")=0),AND(IFERROR(INDEX(Templates!$C$3:$C$10,MATCH(Deals!$U46,Templates!$A$3:$A$10,0)),0)&gt;0,COUNTIFS(Assignments!$C$2:$C$769,$A94,Assignments!$F$2:$F$769,"MD",Assignments!$G$2:$G$769,"Active")=0),AND(IFERROR(INDEX(Templates!$D$3:$D$10,MATCH(Deals!$U46,Templates!$A$3:$A$10,0)),0)&gt;0,COUNTIFS(Assignments!$C$2:$C$769,$A94,Assignments!$F$2:$F$769,"Director",Assignments!$G$2:$G$769,"Active")=0),AND(IFERROR(INDEX(Templates!$E$3:$E$10,MATCH(Deals!$U46,Templates!$A$3:$A$10,0)),0)&gt;0,COUNTIFS(Assignments!$C$2:$C$769,$A94,Assignments!$F$2:$F$769,"VP",Assignments!$G$2:$G$769,"Active")=0),AND(IFERROR(INDEX(Templates!$F$3:$F$10,MATCH(Deals!$U46,Templates!$A$3:$A$10,0)),0)&gt;0,COUNTIFS(Assignments!$C$2:$C$769,$A94,Assignments!$F$2:$F$769,"Senior Associate",Assignments!$G$2:$G$769,"Active")=0),AND(IFERROR(INDEX(Templates!$G$3:$G$10,MATCH(Deals!$U46,Templates!$A$3:$A$10,0)),0)&gt;0,COUNTIFS(Assignments!$C$2:$C$769,$A94,Assignments!$F$2:$F$769,"Renewable Specialist",Assignments!$G$2:$G$769,"Active")=0),AND(IFERROR(INDEX(Templates!$H$3:$H$10,MATCH(Deals!$U46,Templates!$A$3:$A$10,0)),0)&gt;0,COUNTIFS(Assignments!$C$2:$C$769,$A94,Assignments!$F$2:$F$769,"Associate",Assignments!$G$2:$G$769,"Active")=0)))," MissingLevel","")&amp;IF(AND($C94="Proposal",Deals!$H46=0.5)," DefaultProbability","")&amp;IF($F94="No"," NoDates","")&amp;IF(AND(ISNUMBER($H94),$H94&gt;=Settings!$B$20)," Stale","")))</f>
        <v/>
      </c>
    </row>
    <row r="95">
      <c r="A95" s="16">
        <f>IF(Deals!$A47="","",Deals!$A47)</f>
        <v/>
      </c>
      <c r="B95" s="16">
        <f>IF($A95="","",Deals!$C47)</f>
        <v/>
      </c>
      <c r="C95" s="16">
        <f>IF($A95="","",Deals!$F47)</f>
        <v/>
      </c>
      <c r="D95" s="21">
        <f>IF($A95="","",Deals!$H47)</f>
        <v/>
      </c>
      <c r="E95" s="17">
        <f>IF($A95="","",Deals!$Q47)</f>
        <v/>
      </c>
      <c r="F95" s="16">
        <f>IF($A95="","",IF(AND(Deals!$I47&lt;&gt;"",Deals!$J47&lt;&gt;""),"Yes","No"))</f>
        <v/>
      </c>
      <c r="G95" s="22">
        <f>IF($A95="","",Deals!$Z47)</f>
        <v/>
      </c>
      <c r="H95" s="23">
        <f>IF(OR($A95="",$G95=""),"",INT((Settings!$B$19-$G95)/7))</f>
        <v/>
      </c>
      <c r="I95" s="24">
        <f>IF(OR($A95="",NOT(OR(Deals!$F47="Active",Deals!$F47="Proposal"))),"",TRIM(IF($E95=0," Unstaffed","")&amp;IF(IF(Deals!$U47="",FALSE,OR(AND(IFERROR(INDEX(Templates!$B$3:$B$10,MATCH(Deals!$U47,Templates!$A$3:$A$10,0)),0)&gt;0,COUNTIFS(Assignments!$C$2:$C$769,$A95,Assignments!$F$2:$F$769,"Partner",Assignments!$G$2:$G$769,"Active")=0),AND(IFERROR(INDEX(Templates!$C$3:$C$10,MATCH(Deals!$U47,Templates!$A$3:$A$10,0)),0)&gt;0,COUNTIFS(Assignments!$C$2:$C$769,$A95,Assignments!$F$2:$F$769,"MD",Assignments!$G$2:$G$769,"Active")=0),AND(IFERROR(INDEX(Templates!$D$3:$D$10,MATCH(Deals!$U47,Templates!$A$3:$A$10,0)),0)&gt;0,COUNTIFS(Assignments!$C$2:$C$769,$A95,Assignments!$F$2:$F$769,"Director",Assignments!$G$2:$G$769,"Active")=0),AND(IFERROR(INDEX(Templates!$E$3:$E$10,MATCH(Deals!$U47,Templates!$A$3:$A$10,0)),0)&gt;0,COUNTIFS(Assignments!$C$2:$C$769,$A95,Assignments!$F$2:$F$769,"VP",Assignments!$G$2:$G$769,"Active")=0),AND(IFERROR(INDEX(Templates!$F$3:$F$10,MATCH(Deals!$U47,Templates!$A$3:$A$10,0)),0)&gt;0,COUNTIFS(Assignments!$C$2:$C$769,$A95,Assignments!$F$2:$F$769,"Senior Associate",Assignments!$G$2:$G$769,"Active")=0),AND(IFERROR(INDEX(Templates!$G$3:$G$10,MATCH(Deals!$U47,Templates!$A$3:$A$10,0)),0)&gt;0,COUNTIFS(Assignments!$C$2:$C$769,$A95,Assignments!$F$2:$F$769,"Renewable Specialist",Assignments!$G$2:$G$769,"Active")=0),AND(IFERROR(INDEX(Templates!$H$3:$H$10,MATCH(Deals!$U47,Templates!$A$3:$A$10,0)),0)&gt;0,COUNTIFS(Assignments!$C$2:$C$769,$A95,Assignments!$F$2:$F$769,"Associate",Assignments!$G$2:$G$769,"Active")=0)))," MissingLevel","")&amp;IF(AND($C95="Proposal",Deals!$H47=0.5)," DefaultProbability","")&amp;IF($F95="No"," NoDates","")&amp;IF(AND(ISNUMBER($H95),$H95&gt;=Settings!$B$20)," Stale","")))</f>
        <v/>
      </c>
    </row>
    <row r="96">
      <c r="A96" s="16">
        <f>IF(Deals!$A48="","",Deals!$A48)</f>
        <v/>
      </c>
      <c r="B96" s="16">
        <f>IF($A96="","",Deals!$C48)</f>
        <v/>
      </c>
      <c r="C96" s="16">
        <f>IF($A96="","",Deals!$F48)</f>
        <v/>
      </c>
      <c r="D96" s="21">
        <f>IF($A96="","",Deals!$H48)</f>
        <v/>
      </c>
      <c r="E96" s="17">
        <f>IF($A96="","",Deals!$Q48)</f>
        <v/>
      </c>
      <c r="F96" s="16">
        <f>IF($A96="","",IF(AND(Deals!$I48&lt;&gt;"",Deals!$J48&lt;&gt;""),"Yes","No"))</f>
        <v/>
      </c>
      <c r="G96" s="22">
        <f>IF($A96="","",Deals!$Z48)</f>
        <v/>
      </c>
      <c r="H96" s="23">
        <f>IF(OR($A96="",$G96=""),"",INT((Settings!$B$19-$G96)/7))</f>
        <v/>
      </c>
      <c r="I96" s="24">
        <f>IF(OR($A96="",NOT(OR(Deals!$F48="Active",Deals!$F48="Proposal"))),"",TRIM(IF($E96=0," Unstaffed","")&amp;IF(IF(Deals!$U48="",FALSE,OR(AND(IFERROR(INDEX(Templates!$B$3:$B$10,MATCH(Deals!$U48,Templates!$A$3:$A$10,0)),0)&gt;0,COUNTIFS(Assignments!$C$2:$C$769,$A96,Assignments!$F$2:$F$769,"Partner",Assignments!$G$2:$G$769,"Active")=0),AND(IFERROR(INDEX(Templates!$C$3:$C$10,MATCH(Deals!$U48,Templates!$A$3:$A$10,0)),0)&gt;0,COUNTIFS(Assignments!$C$2:$C$769,$A96,Assignments!$F$2:$F$769,"MD",Assignments!$G$2:$G$769,"Active")=0),AND(IFERROR(INDEX(Templates!$D$3:$D$10,MATCH(Deals!$U48,Templates!$A$3:$A$10,0)),0)&gt;0,COUNTIFS(Assignments!$C$2:$C$769,$A96,Assignments!$F$2:$F$769,"Director",Assignments!$G$2:$G$769,"Active")=0),AND(IFERROR(INDEX(Templates!$E$3:$E$10,MATCH(Deals!$U48,Templates!$A$3:$A$10,0)),0)&gt;0,COUNTIFS(Assignments!$C$2:$C$769,$A96,Assignments!$F$2:$F$769,"VP",Assignments!$G$2:$G$769,"Active")=0),AND(IFERROR(INDEX(Templates!$F$3:$F$10,MATCH(Deals!$U48,Templates!$A$3:$A$10,0)),0)&gt;0,COUNTIFS(Assignments!$C$2:$C$769,$A96,Assignments!$F$2:$F$769,"Senior Associate",Assignments!$G$2:$G$769,"Active")=0),AND(IFERROR(INDEX(Templates!$G$3:$G$10,MATCH(Deals!$U48,Templates!$A$3:$A$10,0)),0)&gt;0,COUNTIFS(Assignments!$C$2:$C$769,$A96,Assignments!$F$2:$F$769,"Renewable Specialist",Assignments!$G$2:$G$769,"Active")=0),AND(IFERROR(INDEX(Templates!$H$3:$H$10,MATCH(Deals!$U48,Templates!$A$3:$A$10,0)),0)&gt;0,COUNTIFS(Assignments!$C$2:$C$769,$A96,Assignments!$F$2:$F$769,"Associate",Assignments!$G$2:$G$769,"Active")=0)))," MissingLevel","")&amp;IF(AND($C96="Proposal",Deals!$H48=0.5)," DefaultProbability","")&amp;IF($F96="No"," NoDates","")&amp;IF(AND(ISNUMBER($H96),$H96&gt;=Settings!$B$20)," Stale","")))</f>
        <v/>
      </c>
    </row>
    <row r="97">
      <c r="A97" s="16">
        <f>IF(Deals!$A49="","",Deals!$A49)</f>
        <v/>
      </c>
      <c r="B97" s="16">
        <f>IF($A97="","",Deals!$C49)</f>
        <v/>
      </c>
      <c r="C97" s="16">
        <f>IF($A97="","",Deals!$F49)</f>
        <v/>
      </c>
      <c r="D97" s="21">
        <f>IF($A97="","",Deals!$H49)</f>
        <v/>
      </c>
      <c r="E97" s="17">
        <f>IF($A97="","",Deals!$Q49)</f>
        <v/>
      </c>
      <c r="F97" s="16">
        <f>IF($A97="","",IF(AND(Deals!$I49&lt;&gt;"",Deals!$J49&lt;&gt;""),"Yes","No"))</f>
        <v/>
      </c>
      <c r="G97" s="22">
        <f>IF($A97="","",Deals!$Z49)</f>
        <v/>
      </c>
      <c r="H97" s="23">
        <f>IF(OR($A97="",$G97=""),"",INT((Settings!$B$19-$G97)/7))</f>
        <v/>
      </c>
      <c r="I97" s="24">
        <f>IF(OR($A97="",NOT(OR(Deals!$F49="Active",Deals!$F49="Proposal"))),"",TRIM(IF($E97=0," Unstaffed","")&amp;IF(IF(Deals!$U49="",FALSE,OR(AND(IFERROR(INDEX(Templates!$B$3:$B$10,MATCH(Deals!$U49,Templates!$A$3:$A$10,0)),0)&gt;0,COUNTIFS(Assignments!$C$2:$C$769,$A97,Assignments!$F$2:$F$769,"Partner",Assignments!$G$2:$G$769,"Active")=0),AND(IFERROR(INDEX(Templates!$C$3:$C$10,MATCH(Deals!$U49,Templates!$A$3:$A$10,0)),0)&gt;0,COUNTIFS(Assignments!$C$2:$C$769,$A97,Assignments!$F$2:$F$769,"MD",Assignments!$G$2:$G$769,"Active")=0),AND(IFERROR(INDEX(Templates!$D$3:$D$10,MATCH(Deals!$U49,Templates!$A$3:$A$10,0)),0)&gt;0,COUNTIFS(Assignments!$C$2:$C$769,$A97,Assignments!$F$2:$F$769,"Director",Assignments!$G$2:$G$769,"Active")=0),AND(IFERROR(INDEX(Templates!$E$3:$E$10,MATCH(Deals!$U49,Templates!$A$3:$A$10,0)),0)&gt;0,COUNTIFS(Assignments!$C$2:$C$769,$A97,Assignments!$F$2:$F$769,"VP",Assignments!$G$2:$G$769,"Active")=0),AND(IFERROR(INDEX(Templates!$F$3:$F$10,MATCH(Deals!$U49,Templates!$A$3:$A$10,0)),0)&gt;0,COUNTIFS(Assignments!$C$2:$C$769,$A97,Assignments!$F$2:$F$769,"Senior Associate",Assignments!$G$2:$G$769,"Active")=0),AND(IFERROR(INDEX(Templates!$G$3:$G$10,MATCH(Deals!$U49,Templates!$A$3:$A$10,0)),0)&gt;0,COUNTIFS(Assignments!$C$2:$C$769,$A97,Assignments!$F$2:$F$769,"Renewable Specialist",Assignments!$G$2:$G$769,"Active")=0),AND(IFERROR(INDEX(Templates!$H$3:$H$10,MATCH(Deals!$U49,Templates!$A$3:$A$10,0)),0)&gt;0,COUNTIFS(Assignments!$C$2:$C$769,$A97,Assignments!$F$2:$F$769,"Associate",Assignments!$G$2:$G$769,"Active")=0)))," MissingLevel","")&amp;IF(AND($C97="Proposal",Deals!$H49=0.5)," DefaultProbability","")&amp;IF($F97="No"," NoDates","")&amp;IF(AND(ISNUMBER($H97),$H97&gt;=Settings!$B$20)," Stale","")))</f>
        <v/>
      </c>
    </row>
    <row r="98">
      <c r="A98" s="16">
        <f>IF(Deals!$A50="","",Deals!$A50)</f>
        <v/>
      </c>
      <c r="B98" s="16">
        <f>IF($A98="","",Deals!$C50)</f>
        <v/>
      </c>
      <c r="C98" s="16">
        <f>IF($A98="","",Deals!$F50)</f>
        <v/>
      </c>
      <c r="D98" s="21">
        <f>IF($A98="","",Deals!$H50)</f>
        <v/>
      </c>
      <c r="E98" s="17">
        <f>IF($A98="","",Deals!$Q50)</f>
        <v/>
      </c>
      <c r="F98" s="16">
        <f>IF($A98="","",IF(AND(Deals!$I50&lt;&gt;"",Deals!$J50&lt;&gt;""),"Yes","No"))</f>
        <v/>
      </c>
      <c r="G98" s="22">
        <f>IF($A98="","",Deals!$Z50)</f>
        <v/>
      </c>
      <c r="H98" s="23">
        <f>IF(OR($A98="",$G98=""),"",INT((Settings!$B$19-$G98)/7))</f>
        <v/>
      </c>
      <c r="I98" s="24">
        <f>IF(OR($A98="",NOT(OR(Deals!$F50="Active",Deals!$F50="Proposal"))),"",TRIM(IF($E98=0," Unstaffed","")&amp;IF(IF(Deals!$U50="",FALSE,OR(AND(IFERROR(INDEX(Templates!$B$3:$B$10,MATCH(Deals!$U50,Templates!$A$3:$A$10,0)),0)&gt;0,COUNTIFS(Assignments!$C$2:$C$769,$A98,Assignments!$F$2:$F$769,"Partner",Assignments!$G$2:$G$769,"Active")=0),AND(IFERROR(INDEX(Templates!$C$3:$C$10,MATCH(Deals!$U50,Templates!$A$3:$A$10,0)),0)&gt;0,COUNTIFS(Assignments!$C$2:$C$769,$A98,Assignments!$F$2:$F$769,"MD",Assignments!$G$2:$G$769,"Active")=0),AND(IFERROR(INDEX(Templates!$D$3:$D$10,MATCH(Deals!$U50,Templates!$A$3:$A$10,0)),0)&gt;0,COUNTIFS(Assignments!$C$2:$C$769,$A98,Assignments!$F$2:$F$769,"Director",Assignments!$G$2:$G$769,"Active")=0),AND(IFERROR(INDEX(Templates!$E$3:$E$10,MATCH(Deals!$U50,Templates!$A$3:$A$10,0)),0)&gt;0,COUNTIFS(Assignments!$C$2:$C$769,$A98,Assignments!$F$2:$F$769,"VP",Assignments!$G$2:$G$769,"Active")=0),AND(IFERROR(INDEX(Templates!$F$3:$F$10,MATCH(Deals!$U50,Templates!$A$3:$A$10,0)),0)&gt;0,COUNTIFS(Assignments!$C$2:$C$769,$A98,Assignments!$F$2:$F$769,"Senior Associate",Assignments!$G$2:$G$769,"Active")=0),AND(IFERROR(INDEX(Templates!$G$3:$G$10,MATCH(Deals!$U50,Templates!$A$3:$A$10,0)),0)&gt;0,COUNTIFS(Assignments!$C$2:$C$769,$A98,Assignments!$F$2:$F$769,"Renewable Specialist",Assignments!$G$2:$G$769,"Active")=0),AND(IFERROR(INDEX(Templates!$H$3:$H$10,MATCH(Deals!$U50,Templates!$A$3:$A$10,0)),0)&gt;0,COUNTIFS(Assignments!$C$2:$C$769,$A98,Assignments!$F$2:$F$769,"Associate",Assignments!$G$2:$G$769,"Active")=0)))," MissingLevel","")&amp;IF(AND($C98="Proposal",Deals!$H50=0.5)," DefaultProbability","")&amp;IF($F98="No"," NoDates","")&amp;IF(AND(ISNUMBER($H98),$H98&gt;=Settings!$B$20)," Stale","")))</f>
        <v/>
      </c>
    </row>
    <row r="99">
      <c r="A99" s="16">
        <f>IF(Deals!$A51="","",Deals!$A51)</f>
        <v/>
      </c>
      <c r="B99" s="16">
        <f>IF($A99="","",Deals!$C51)</f>
        <v/>
      </c>
      <c r="C99" s="16">
        <f>IF($A99="","",Deals!$F51)</f>
        <v/>
      </c>
      <c r="D99" s="21">
        <f>IF($A99="","",Deals!$H51)</f>
        <v/>
      </c>
      <c r="E99" s="17">
        <f>IF($A99="","",Deals!$Q51)</f>
        <v/>
      </c>
      <c r="F99" s="16">
        <f>IF($A99="","",IF(AND(Deals!$I51&lt;&gt;"",Deals!$J51&lt;&gt;""),"Yes","No"))</f>
        <v/>
      </c>
      <c r="G99" s="22">
        <f>IF($A99="","",Deals!$Z51)</f>
        <v/>
      </c>
      <c r="H99" s="23">
        <f>IF(OR($A99="",$G99=""),"",INT((Settings!$B$19-$G99)/7))</f>
        <v/>
      </c>
      <c r="I99" s="24">
        <f>IF(OR($A99="",NOT(OR(Deals!$F51="Active",Deals!$F51="Proposal"))),"",TRIM(IF($E99=0," Unstaffed","")&amp;IF(IF(Deals!$U51="",FALSE,OR(AND(IFERROR(INDEX(Templates!$B$3:$B$10,MATCH(Deals!$U51,Templates!$A$3:$A$10,0)),0)&gt;0,COUNTIFS(Assignments!$C$2:$C$769,$A99,Assignments!$F$2:$F$769,"Partner",Assignments!$G$2:$G$769,"Active")=0),AND(IFERROR(INDEX(Templates!$C$3:$C$10,MATCH(Deals!$U51,Templates!$A$3:$A$10,0)),0)&gt;0,COUNTIFS(Assignments!$C$2:$C$769,$A99,Assignments!$F$2:$F$769,"MD",Assignments!$G$2:$G$769,"Active")=0),AND(IFERROR(INDEX(Templates!$D$3:$D$10,MATCH(Deals!$U51,Templates!$A$3:$A$10,0)),0)&gt;0,COUNTIFS(Assignments!$C$2:$C$769,$A99,Assignments!$F$2:$F$769,"Director",Assignments!$G$2:$G$769,"Active")=0),AND(IFERROR(INDEX(Templates!$E$3:$E$10,MATCH(Deals!$U51,Templates!$A$3:$A$10,0)),0)&gt;0,COUNTIFS(Assignments!$C$2:$C$769,$A99,Assignments!$F$2:$F$769,"VP",Assignments!$G$2:$G$769,"Active")=0),AND(IFERROR(INDEX(Templates!$F$3:$F$10,MATCH(Deals!$U51,Templates!$A$3:$A$10,0)),0)&gt;0,COUNTIFS(Assignments!$C$2:$C$769,$A99,Assignments!$F$2:$F$769,"Senior Associate",Assignments!$G$2:$G$769,"Active")=0),AND(IFERROR(INDEX(Templates!$G$3:$G$10,MATCH(Deals!$U51,Templates!$A$3:$A$10,0)),0)&gt;0,COUNTIFS(Assignments!$C$2:$C$769,$A99,Assignments!$F$2:$F$769,"Renewable Specialist",Assignments!$G$2:$G$769,"Active")=0),AND(IFERROR(INDEX(Templates!$H$3:$H$10,MATCH(Deals!$U51,Templates!$A$3:$A$10,0)),0)&gt;0,COUNTIFS(Assignments!$C$2:$C$769,$A99,Assignments!$F$2:$F$769,"Associate",Assignments!$G$2:$G$769,"Active")=0)))," MissingLevel","")&amp;IF(AND($C99="Proposal",Deals!$H51=0.5)," DefaultProbability","")&amp;IF($F99="No"," NoDates","")&amp;IF(AND(ISNUMBER($H99),$H99&gt;=Settings!$B$20)," Stale","")))</f>
        <v/>
      </c>
    </row>
    <row r="100">
      <c r="A100" s="16">
        <f>IF(Deals!$A52="","",Deals!$A52)</f>
        <v/>
      </c>
      <c r="B100" s="16">
        <f>IF($A100="","",Deals!$C52)</f>
        <v/>
      </c>
      <c r="C100" s="16">
        <f>IF($A100="","",Deals!$F52)</f>
        <v/>
      </c>
      <c r="D100" s="21">
        <f>IF($A100="","",Deals!$H52)</f>
        <v/>
      </c>
      <c r="E100" s="17">
        <f>IF($A100="","",Deals!$Q52)</f>
        <v/>
      </c>
      <c r="F100" s="16">
        <f>IF($A100="","",IF(AND(Deals!$I52&lt;&gt;"",Deals!$J52&lt;&gt;""),"Yes","No"))</f>
        <v/>
      </c>
      <c r="G100" s="22">
        <f>IF($A100="","",Deals!$Z52)</f>
        <v/>
      </c>
      <c r="H100" s="23">
        <f>IF(OR($A100="",$G100=""),"",INT((Settings!$B$19-$G100)/7))</f>
        <v/>
      </c>
      <c r="I100" s="24">
        <f>IF(OR($A100="",NOT(OR(Deals!$F52="Active",Deals!$F52="Proposal"))),"",TRIM(IF($E100=0," Unstaffed","")&amp;IF(IF(Deals!$U52="",FALSE,OR(AND(IFERROR(INDEX(Templates!$B$3:$B$10,MATCH(Deals!$U52,Templates!$A$3:$A$10,0)),0)&gt;0,COUNTIFS(Assignments!$C$2:$C$769,$A100,Assignments!$F$2:$F$769,"Partner",Assignments!$G$2:$G$769,"Active")=0),AND(IFERROR(INDEX(Templates!$C$3:$C$10,MATCH(Deals!$U52,Templates!$A$3:$A$10,0)),0)&gt;0,COUNTIFS(Assignments!$C$2:$C$769,$A100,Assignments!$F$2:$F$769,"MD",Assignments!$G$2:$G$769,"Active")=0),AND(IFERROR(INDEX(Templates!$D$3:$D$10,MATCH(Deals!$U52,Templates!$A$3:$A$10,0)),0)&gt;0,COUNTIFS(Assignments!$C$2:$C$769,$A100,Assignments!$F$2:$F$769,"Director",Assignments!$G$2:$G$769,"Active")=0),AND(IFERROR(INDEX(Templates!$E$3:$E$10,MATCH(Deals!$U52,Templates!$A$3:$A$10,0)),0)&gt;0,COUNTIFS(Assignments!$C$2:$C$769,$A100,Assignments!$F$2:$F$769,"VP",Assignments!$G$2:$G$769,"Active")=0),AND(IFERROR(INDEX(Templates!$F$3:$F$10,MATCH(Deals!$U52,Templates!$A$3:$A$10,0)),0)&gt;0,COUNTIFS(Assignments!$C$2:$C$769,$A100,Assignments!$F$2:$F$769,"Senior Associate",Assignments!$G$2:$G$769,"Active")=0),AND(IFERROR(INDEX(Templates!$G$3:$G$10,MATCH(Deals!$U52,Templates!$A$3:$A$10,0)),0)&gt;0,COUNTIFS(Assignments!$C$2:$C$769,$A100,Assignments!$F$2:$F$769,"Renewable Specialist",Assignments!$G$2:$G$769,"Active")=0),AND(IFERROR(INDEX(Templates!$H$3:$H$10,MATCH(Deals!$U52,Templates!$A$3:$A$10,0)),0)&gt;0,COUNTIFS(Assignments!$C$2:$C$769,$A100,Assignments!$F$2:$F$769,"Associate",Assignments!$G$2:$G$769,"Active")=0)))," MissingLevel","")&amp;IF(AND($C100="Proposal",Deals!$H52=0.5)," DefaultProbability","")&amp;IF($F100="No"," NoDates","")&amp;IF(AND(ISNUMBER($H100),$H100&gt;=Settings!$B$20)," Stale","")))</f>
        <v/>
      </c>
    </row>
    <row r="101">
      <c r="A101" s="16">
        <f>IF(Deals!$A53="","",Deals!$A53)</f>
        <v/>
      </c>
      <c r="B101" s="16">
        <f>IF($A101="","",Deals!$C53)</f>
        <v/>
      </c>
      <c r="C101" s="16">
        <f>IF($A101="","",Deals!$F53)</f>
        <v/>
      </c>
      <c r="D101" s="21">
        <f>IF($A101="","",Deals!$H53)</f>
        <v/>
      </c>
      <c r="E101" s="17">
        <f>IF($A101="","",Deals!$Q53)</f>
        <v/>
      </c>
      <c r="F101" s="16">
        <f>IF($A101="","",IF(AND(Deals!$I53&lt;&gt;"",Deals!$J53&lt;&gt;""),"Yes","No"))</f>
        <v/>
      </c>
      <c r="G101" s="22">
        <f>IF($A101="","",Deals!$Z53)</f>
        <v/>
      </c>
      <c r="H101" s="23">
        <f>IF(OR($A101="",$G101=""),"",INT((Settings!$B$19-$G101)/7))</f>
        <v/>
      </c>
      <c r="I101" s="24">
        <f>IF(OR($A101="",NOT(OR(Deals!$F53="Active",Deals!$F53="Proposal"))),"",TRIM(IF($E101=0," Unstaffed","")&amp;IF(IF(Deals!$U53="",FALSE,OR(AND(IFERROR(INDEX(Templates!$B$3:$B$10,MATCH(Deals!$U53,Templates!$A$3:$A$10,0)),0)&gt;0,COUNTIFS(Assignments!$C$2:$C$769,$A101,Assignments!$F$2:$F$769,"Partner",Assignments!$G$2:$G$769,"Active")=0),AND(IFERROR(INDEX(Templates!$C$3:$C$10,MATCH(Deals!$U53,Templates!$A$3:$A$10,0)),0)&gt;0,COUNTIFS(Assignments!$C$2:$C$769,$A101,Assignments!$F$2:$F$769,"MD",Assignments!$G$2:$G$769,"Active")=0),AND(IFERROR(INDEX(Templates!$D$3:$D$10,MATCH(Deals!$U53,Templates!$A$3:$A$10,0)),0)&gt;0,COUNTIFS(Assignments!$C$2:$C$769,$A101,Assignments!$F$2:$F$769,"Director",Assignments!$G$2:$G$769,"Active")=0),AND(IFERROR(INDEX(Templates!$E$3:$E$10,MATCH(Deals!$U53,Templates!$A$3:$A$10,0)),0)&gt;0,COUNTIFS(Assignments!$C$2:$C$769,$A101,Assignments!$F$2:$F$769,"VP",Assignments!$G$2:$G$769,"Active")=0),AND(IFERROR(INDEX(Templates!$F$3:$F$10,MATCH(Deals!$U53,Templates!$A$3:$A$10,0)),0)&gt;0,COUNTIFS(Assignments!$C$2:$C$769,$A101,Assignments!$F$2:$F$769,"Senior Associate",Assignments!$G$2:$G$769,"Active")=0),AND(IFERROR(INDEX(Templates!$G$3:$G$10,MATCH(Deals!$U53,Templates!$A$3:$A$10,0)),0)&gt;0,COUNTIFS(Assignments!$C$2:$C$769,$A101,Assignments!$F$2:$F$769,"Renewable Specialist",Assignments!$G$2:$G$769,"Active")=0),AND(IFERROR(INDEX(Templates!$H$3:$H$10,MATCH(Deals!$U53,Templates!$A$3:$A$10,0)),0)&gt;0,COUNTIFS(Assignments!$C$2:$C$769,$A101,Assignments!$F$2:$F$769,"Associate",Assignments!$G$2:$G$769,"Active")=0)))," MissingLevel","")&amp;IF(AND($C101="Proposal",Deals!$H53=0.5)," DefaultProbability","")&amp;IF($F101="No"," NoDates","")&amp;IF(AND(ISNUMBER($H101),$H101&gt;=Settings!$B$20)," Stale","")))</f>
        <v/>
      </c>
    </row>
    <row r="102">
      <c r="A102" s="16">
        <f>IF(Deals!$A54="","",Deals!$A54)</f>
        <v/>
      </c>
      <c r="B102" s="16">
        <f>IF($A102="","",Deals!$C54)</f>
        <v/>
      </c>
      <c r="C102" s="16">
        <f>IF($A102="","",Deals!$F54)</f>
        <v/>
      </c>
      <c r="D102" s="21">
        <f>IF($A102="","",Deals!$H54)</f>
        <v/>
      </c>
      <c r="E102" s="17">
        <f>IF($A102="","",Deals!$Q54)</f>
        <v/>
      </c>
      <c r="F102" s="16">
        <f>IF($A102="","",IF(AND(Deals!$I54&lt;&gt;"",Deals!$J54&lt;&gt;""),"Yes","No"))</f>
        <v/>
      </c>
      <c r="G102" s="22">
        <f>IF($A102="","",Deals!$Z54)</f>
        <v/>
      </c>
      <c r="H102" s="23">
        <f>IF(OR($A102="",$G102=""),"",INT((Settings!$B$19-$G102)/7))</f>
        <v/>
      </c>
      <c r="I102" s="24">
        <f>IF(OR($A102="",NOT(OR(Deals!$F54="Active",Deals!$F54="Proposal"))),"",TRIM(IF($E102=0," Unstaffed","")&amp;IF(IF(Deals!$U54="",FALSE,OR(AND(IFERROR(INDEX(Templates!$B$3:$B$10,MATCH(Deals!$U54,Templates!$A$3:$A$10,0)),0)&gt;0,COUNTIFS(Assignments!$C$2:$C$769,$A102,Assignments!$F$2:$F$769,"Partner",Assignments!$G$2:$G$769,"Active")=0),AND(IFERROR(INDEX(Templates!$C$3:$C$10,MATCH(Deals!$U54,Templates!$A$3:$A$10,0)),0)&gt;0,COUNTIFS(Assignments!$C$2:$C$769,$A102,Assignments!$F$2:$F$769,"MD",Assignments!$G$2:$G$769,"Active")=0),AND(IFERROR(INDEX(Templates!$D$3:$D$10,MATCH(Deals!$U54,Templates!$A$3:$A$10,0)),0)&gt;0,COUNTIFS(Assignments!$C$2:$C$769,$A102,Assignments!$F$2:$F$769,"Director",Assignments!$G$2:$G$769,"Active")=0),AND(IFERROR(INDEX(Templates!$E$3:$E$10,MATCH(Deals!$U54,Templates!$A$3:$A$10,0)),0)&gt;0,COUNTIFS(Assignments!$C$2:$C$769,$A102,Assignments!$F$2:$F$769,"VP",Assignments!$G$2:$G$769,"Active")=0),AND(IFERROR(INDEX(Templates!$F$3:$F$10,MATCH(Deals!$U54,Templates!$A$3:$A$10,0)),0)&gt;0,COUNTIFS(Assignments!$C$2:$C$769,$A102,Assignments!$F$2:$F$769,"Senior Associate",Assignments!$G$2:$G$769,"Active")=0),AND(IFERROR(INDEX(Templates!$G$3:$G$10,MATCH(Deals!$U54,Templates!$A$3:$A$10,0)),0)&gt;0,COUNTIFS(Assignments!$C$2:$C$769,$A102,Assignments!$F$2:$F$769,"Renewable Specialist",Assignments!$G$2:$G$769,"Active")=0),AND(IFERROR(INDEX(Templates!$H$3:$H$10,MATCH(Deals!$U54,Templates!$A$3:$A$10,0)),0)&gt;0,COUNTIFS(Assignments!$C$2:$C$769,$A102,Assignments!$F$2:$F$769,"Associate",Assignments!$G$2:$G$769,"Active")=0)))," MissingLevel","")&amp;IF(AND($C102="Proposal",Deals!$H54=0.5)," DefaultProbability","")&amp;IF($F102="No"," NoDates","")&amp;IF(AND(ISNUMBER($H102),$H102&gt;=Settings!$B$20)," Stale","")))</f>
        <v/>
      </c>
    </row>
    <row r="103">
      <c r="A103" s="16">
        <f>IF(Deals!$A55="","",Deals!$A55)</f>
        <v/>
      </c>
      <c r="B103" s="16">
        <f>IF($A103="","",Deals!$C55)</f>
        <v/>
      </c>
      <c r="C103" s="16">
        <f>IF($A103="","",Deals!$F55)</f>
        <v/>
      </c>
      <c r="D103" s="21">
        <f>IF($A103="","",Deals!$H55)</f>
        <v/>
      </c>
      <c r="E103" s="17">
        <f>IF($A103="","",Deals!$Q55)</f>
        <v/>
      </c>
      <c r="F103" s="16">
        <f>IF($A103="","",IF(AND(Deals!$I55&lt;&gt;"",Deals!$J55&lt;&gt;""),"Yes","No"))</f>
        <v/>
      </c>
      <c r="G103" s="22">
        <f>IF($A103="","",Deals!$Z55)</f>
        <v/>
      </c>
      <c r="H103" s="23">
        <f>IF(OR($A103="",$G103=""),"",INT((Settings!$B$19-$G103)/7))</f>
        <v/>
      </c>
      <c r="I103" s="24">
        <f>IF(OR($A103="",NOT(OR(Deals!$F55="Active",Deals!$F55="Proposal"))),"",TRIM(IF($E103=0," Unstaffed","")&amp;IF(IF(Deals!$U55="",FALSE,OR(AND(IFERROR(INDEX(Templates!$B$3:$B$10,MATCH(Deals!$U55,Templates!$A$3:$A$10,0)),0)&gt;0,COUNTIFS(Assignments!$C$2:$C$769,$A103,Assignments!$F$2:$F$769,"Partner",Assignments!$G$2:$G$769,"Active")=0),AND(IFERROR(INDEX(Templates!$C$3:$C$10,MATCH(Deals!$U55,Templates!$A$3:$A$10,0)),0)&gt;0,COUNTIFS(Assignments!$C$2:$C$769,$A103,Assignments!$F$2:$F$769,"MD",Assignments!$G$2:$G$769,"Active")=0),AND(IFERROR(INDEX(Templates!$D$3:$D$10,MATCH(Deals!$U55,Templates!$A$3:$A$10,0)),0)&gt;0,COUNTIFS(Assignments!$C$2:$C$769,$A103,Assignments!$F$2:$F$769,"Director",Assignments!$G$2:$G$769,"Active")=0),AND(IFERROR(INDEX(Templates!$E$3:$E$10,MATCH(Deals!$U55,Templates!$A$3:$A$10,0)),0)&gt;0,COUNTIFS(Assignments!$C$2:$C$769,$A103,Assignments!$F$2:$F$769,"VP",Assignments!$G$2:$G$769,"Active")=0),AND(IFERROR(INDEX(Templates!$F$3:$F$10,MATCH(Deals!$U55,Templates!$A$3:$A$10,0)),0)&gt;0,COUNTIFS(Assignments!$C$2:$C$769,$A103,Assignments!$F$2:$F$769,"Senior Associate",Assignments!$G$2:$G$769,"Active")=0),AND(IFERROR(INDEX(Templates!$G$3:$G$10,MATCH(Deals!$U55,Templates!$A$3:$A$10,0)),0)&gt;0,COUNTIFS(Assignments!$C$2:$C$769,$A103,Assignments!$F$2:$F$769,"Renewable Specialist",Assignments!$G$2:$G$769,"Active")=0),AND(IFERROR(INDEX(Templates!$H$3:$H$10,MATCH(Deals!$U55,Templates!$A$3:$A$10,0)),0)&gt;0,COUNTIFS(Assignments!$C$2:$C$769,$A103,Assignments!$F$2:$F$769,"Associate",Assignments!$G$2:$G$769,"Active")=0)))," MissingLevel","")&amp;IF(AND($C103="Proposal",Deals!$H55=0.5)," DefaultProbability","")&amp;IF($F103="No"," NoDates","")&amp;IF(AND(ISNUMBER($H103),$H103&gt;=Settings!$B$20)," Stale","")))</f>
        <v/>
      </c>
    </row>
    <row r="104">
      <c r="A104" s="16">
        <f>IF(Deals!$A56="","",Deals!$A56)</f>
        <v/>
      </c>
      <c r="B104" s="16">
        <f>IF($A104="","",Deals!$C56)</f>
        <v/>
      </c>
      <c r="C104" s="16">
        <f>IF($A104="","",Deals!$F56)</f>
        <v/>
      </c>
      <c r="D104" s="21">
        <f>IF($A104="","",Deals!$H56)</f>
        <v/>
      </c>
      <c r="E104" s="17">
        <f>IF($A104="","",Deals!$Q56)</f>
        <v/>
      </c>
      <c r="F104" s="16">
        <f>IF($A104="","",IF(AND(Deals!$I56&lt;&gt;"",Deals!$J56&lt;&gt;""),"Yes","No"))</f>
        <v/>
      </c>
      <c r="G104" s="22">
        <f>IF($A104="","",Deals!$Z56)</f>
        <v/>
      </c>
      <c r="H104" s="23">
        <f>IF(OR($A104="",$G104=""),"",INT((Settings!$B$19-$G104)/7))</f>
        <v/>
      </c>
      <c r="I104" s="24">
        <f>IF(OR($A104="",NOT(OR(Deals!$F56="Active",Deals!$F56="Proposal"))),"",TRIM(IF($E104=0," Unstaffed","")&amp;IF(IF(Deals!$U56="",FALSE,OR(AND(IFERROR(INDEX(Templates!$B$3:$B$10,MATCH(Deals!$U56,Templates!$A$3:$A$10,0)),0)&gt;0,COUNTIFS(Assignments!$C$2:$C$769,$A104,Assignments!$F$2:$F$769,"Partner",Assignments!$G$2:$G$769,"Active")=0),AND(IFERROR(INDEX(Templates!$C$3:$C$10,MATCH(Deals!$U56,Templates!$A$3:$A$10,0)),0)&gt;0,COUNTIFS(Assignments!$C$2:$C$769,$A104,Assignments!$F$2:$F$769,"MD",Assignments!$G$2:$G$769,"Active")=0),AND(IFERROR(INDEX(Templates!$D$3:$D$10,MATCH(Deals!$U56,Templates!$A$3:$A$10,0)),0)&gt;0,COUNTIFS(Assignments!$C$2:$C$769,$A104,Assignments!$F$2:$F$769,"Director",Assignments!$G$2:$G$769,"Active")=0),AND(IFERROR(INDEX(Templates!$E$3:$E$10,MATCH(Deals!$U56,Templates!$A$3:$A$10,0)),0)&gt;0,COUNTIFS(Assignments!$C$2:$C$769,$A104,Assignments!$F$2:$F$769,"VP",Assignments!$G$2:$G$769,"Active")=0),AND(IFERROR(INDEX(Templates!$F$3:$F$10,MATCH(Deals!$U56,Templates!$A$3:$A$10,0)),0)&gt;0,COUNTIFS(Assignments!$C$2:$C$769,$A104,Assignments!$F$2:$F$769,"Senior Associate",Assignments!$G$2:$G$769,"Active")=0),AND(IFERROR(INDEX(Templates!$G$3:$G$10,MATCH(Deals!$U56,Templates!$A$3:$A$10,0)),0)&gt;0,COUNTIFS(Assignments!$C$2:$C$769,$A104,Assignments!$F$2:$F$769,"Renewable Specialist",Assignments!$G$2:$G$769,"Active")=0),AND(IFERROR(INDEX(Templates!$H$3:$H$10,MATCH(Deals!$U56,Templates!$A$3:$A$10,0)),0)&gt;0,COUNTIFS(Assignments!$C$2:$C$769,$A104,Assignments!$F$2:$F$769,"Associate",Assignments!$G$2:$G$769,"Active")=0)))," MissingLevel","")&amp;IF(AND($C104="Proposal",Deals!$H56=0.5)," DefaultProbability","")&amp;IF($F104="No"," NoDates","")&amp;IF(AND(ISNUMBER($H104),$H104&gt;=Settings!$B$20)," Stale","")))</f>
        <v/>
      </c>
    </row>
    <row r="105">
      <c r="A105" s="16">
        <f>IF(Deals!$A57="","",Deals!$A57)</f>
        <v/>
      </c>
      <c r="B105" s="16">
        <f>IF($A105="","",Deals!$C57)</f>
        <v/>
      </c>
      <c r="C105" s="16">
        <f>IF($A105="","",Deals!$F57)</f>
        <v/>
      </c>
      <c r="D105" s="21">
        <f>IF($A105="","",Deals!$H57)</f>
        <v/>
      </c>
      <c r="E105" s="17">
        <f>IF($A105="","",Deals!$Q57)</f>
        <v/>
      </c>
      <c r="F105" s="16">
        <f>IF($A105="","",IF(AND(Deals!$I57&lt;&gt;"",Deals!$J57&lt;&gt;""),"Yes","No"))</f>
        <v/>
      </c>
      <c r="G105" s="22">
        <f>IF($A105="","",Deals!$Z57)</f>
        <v/>
      </c>
      <c r="H105" s="23">
        <f>IF(OR($A105="",$G105=""),"",INT((Settings!$B$19-$G105)/7))</f>
        <v/>
      </c>
      <c r="I105" s="24">
        <f>IF(OR($A105="",NOT(OR(Deals!$F57="Active",Deals!$F57="Proposal"))),"",TRIM(IF($E105=0," Unstaffed","")&amp;IF(IF(Deals!$U57="",FALSE,OR(AND(IFERROR(INDEX(Templates!$B$3:$B$10,MATCH(Deals!$U57,Templates!$A$3:$A$10,0)),0)&gt;0,COUNTIFS(Assignments!$C$2:$C$769,$A105,Assignments!$F$2:$F$769,"Partner",Assignments!$G$2:$G$769,"Active")=0),AND(IFERROR(INDEX(Templates!$C$3:$C$10,MATCH(Deals!$U57,Templates!$A$3:$A$10,0)),0)&gt;0,COUNTIFS(Assignments!$C$2:$C$769,$A105,Assignments!$F$2:$F$769,"MD",Assignments!$G$2:$G$769,"Active")=0),AND(IFERROR(INDEX(Templates!$D$3:$D$10,MATCH(Deals!$U57,Templates!$A$3:$A$10,0)),0)&gt;0,COUNTIFS(Assignments!$C$2:$C$769,$A105,Assignments!$F$2:$F$769,"Director",Assignments!$G$2:$G$769,"Active")=0),AND(IFERROR(INDEX(Templates!$E$3:$E$10,MATCH(Deals!$U57,Templates!$A$3:$A$10,0)),0)&gt;0,COUNTIFS(Assignments!$C$2:$C$769,$A105,Assignments!$F$2:$F$769,"VP",Assignments!$G$2:$G$769,"Active")=0),AND(IFERROR(INDEX(Templates!$F$3:$F$10,MATCH(Deals!$U57,Templates!$A$3:$A$10,0)),0)&gt;0,COUNTIFS(Assignments!$C$2:$C$769,$A105,Assignments!$F$2:$F$769,"Senior Associate",Assignments!$G$2:$G$769,"Active")=0),AND(IFERROR(INDEX(Templates!$G$3:$G$10,MATCH(Deals!$U57,Templates!$A$3:$A$10,0)),0)&gt;0,COUNTIFS(Assignments!$C$2:$C$769,$A105,Assignments!$F$2:$F$769,"Renewable Specialist",Assignments!$G$2:$G$769,"Active")=0),AND(IFERROR(INDEX(Templates!$H$3:$H$10,MATCH(Deals!$U57,Templates!$A$3:$A$10,0)),0)&gt;0,COUNTIFS(Assignments!$C$2:$C$769,$A105,Assignments!$F$2:$F$769,"Associate",Assignments!$G$2:$G$769,"Active")=0)))," MissingLevel","")&amp;IF(AND($C105="Proposal",Deals!$H57=0.5)," DefaultProbability","")&amp;IF($F105="No"," NoDates","")&amp;IF(AND(ISNUMBER($H105),$H105&gt;=Settings!$B$20)," Stale","")))</f>
        <v/>
      </c>
    </row>
    <row r="106">
      <c r="A106" s="16">
        <f>IF(Deals!$A58="","",Deals!$A58)</f>
        <v/>
      </c>
      <c r="B106" s="16">
        <f>IF($A106="","",Deals!$C58)</f>
        <v/>
      </c>
      <c r="C106" s="16">
        <f>IF($A106="","",Deals!$F58)</f>
        <v/>
      </c>
      <c r="D106" s="21">
        <f>IF($A106="","",Deals!$H58)</f>
        <v/>
      </c>
      <c r="E106" s="17">
        <f>IF($A106="","",Deals!$Q58)</f>
        <v/>
      </c>
      <c r="F106" s="16">
        <f>IF($A106="","",IF(AND(Deals!$I58&lt;&gt;"",Deals!$J58&lt;&gt;""),"Yes","No"))</f>
        <v/>
      </c>
      <c r="G106" s="22">
        <f>IF($A106="","",Deals!$Z58)</f>
        <v/>
      </c>
      <c r="H106" s="23">
        <f>IF(OR($A106="",$G106=""),"",INT((Settings!$B$19-$G106)/7))</f>
        <v/>
      </c>
      <c r="I106" s="24">
        <f>IF(OR($A106="",NOT(OR(Deals!$F58="Active",Deals!$F58="Proposal"))),"",TRIM(IF($E106=0," Unstaffed","")&amp;IF(IF(Deals!$U58="",FALSE,OR(AND(IFERROR(INDEX(Templates!$B$3:$B$10,MATCH(Deals!$U58,Templates!$A$3:$A$10,0)),0)&gt;0,COUNTIFS(Assignments!$C$2:$C$769,$A106,Assignments!$F$2:$F$769,"Partner",Assignments!$G$2:$G$769,"Active")=0),AND(IFERROR(INDEX(Templates!$C$3:$C$10,MATCH(Deals!$U58,Templates!$A$3:$A$10,0)),0)&gt;0,COUNTIFS(Assignments!$C$2:$C$769,$A106,Assignments!$F$2:$F$769,"MD",Assignments!$G$2:$G$769,"Active")=0),AND(IFERROR(INDEX(Templates!$D$3:$D$10,MATCH(Deals!$U58,Templates!$A$3:$A$10,0)),0)&gt;0,COUNTIFS(Assignments!$C$2:$C$769,$A106,Assignments!$F$2:$F$769,"Director",Assignments!$G$2:$G$769,"Active")=0),AND(IFERROR(INDEX(Templates!$E$3:$E$10,MATCH(Deals!$U58,Templates!$A$3:$A$10,0)),0)&gt;0,COUNTIFS(Assignments!$C$2:$C$769,$A106,Assignments!$F$2:$F$769,"VP",Assignments!$G$2:$G$769,"Active")=0),AND(IFERROR(INDEX(Templates!$F$3:$F$10,MATCH(Deals!$U58,Templates!$A$3:$A$10,0)),0)&gt;0,COUNTIFS(Assignments!$C$2:$C$769,$A106,Assignments!$F$2:$F$769,"Senior Associate",Assignments!$G$2:$G$769,"Active")=0),AND(IFERROR(INDEX(Templates!$G$3:$G$10,MATCH(Deals!$U58,Templates!$A$3:$A$10,0)),0)&gt;0,COUNTIFS(Assignments!$C$2:$C$769,$A106,Assignments!$F$2:$F$769,"Renewable Specialist",Assignments!$G$2:$G$769,"Active")=0),AND(IFERROR(INDEX(Templates!$H$3:$H$10,MATCH(Deals!$U58,Templates!$A$3:$A$10,0)),0)&gt;0,COUNTIFS(Assignments!$C$2:$C$769,$A106,Assignments!$F$2:$F$769,"Associate",Assignments!$G$2:$G$769,"Active")=0)))," MissingLevel","")&amp;IF(AND($C106="Proposal",Deals!$H58=0.5)," DefaultProbability","")&amp;IF($F106="No"," NoDates","")&amp;IF(AND(ISNUMBER($H106),$H106&gt;=Settings!$B$20)," Stale","")))</f>
        <v/>
      </c>
    </row>
    <row r="107">
      <c r="A107" s="16">
        <f>IF(Deals!$A59="","",Deals!$A59)</f>
        <v/>
      </c>
      <c r="B107" s="16">
        <f>IF($A107="","",Deals!$C59)</f>
        <v/>
      </c>
      <c r="C107" s="16">
        <f>IF($A107="","",Deals!$F59)</f>
        <v/>
      </c>
      <c r="D107" s="21">
        <f>IF($A107="","",Deals!$H59)</f>
        <v/>
      </c>
      <c r="E107" s="17">
        <f>IF($A107="","",Deals!$Q59)</f>
        <v/>
      </c>
      <c r="F107" s="16">
        <f>IF($A107="","",IF(AND(Deals!$I59&lt;&gt;"",Deals!$J59&lt;&gt;""),"Yes","No"))</f>
        <v/>
      </c>
      <c r="G107" s="22">
        <f>IF($A107="","",Deals!$Z59)</f>
        <v/>
      </c>
      <c r="H107" s="23">
        <f>IF(OR($A107="",$G107=""),"",INT((Settings!$B$19-$G107)/7))</f>
        <v/>
      </c>
      <c r="I107" s="24">
        <f>IF(OR($A107="",NOT(OR(Deals!$F59="Active",Deals!$F59="Proposal"))),"",TRIM(IF($E107=0," Unstaffed","")&amp;IF(IF(Deals!$U59="",FALSE,OR(AND(IFERROR(INDEX(Templates!$B$3:$B$10,MATCH(Deals!$U59,Templates!$A$3:$A$10,0)),0)&gt;0,COUNTIFS(Assignments!$C$2:$C$769,$A107,Assignments!$F$2:$F$769,"Partner",Assignments!$G$2:$G$769,"Active")=0),AND(IFERROR(INDEX(Templates!$C$3:$C$10,MATCH(Deals!$U59,Templates!$A$3:$A$10,0)),0)&gt;0,COUNTIFS(Assignments!$C$2:$C$769,$A107,Assignments!$F$2:$F$769,"MD",Assignments!$G$2:$G$769,"Active")=0),AND(IFERROR(INDEX(Templates!$D$3:$D$10,MATCH(Deals!$U59,Templates!$A$3:$A$10,0)),0)&gt;0,COUNTIFS(Assignments!$C$2:$C$769,$A107,Assignments!$F$2:$F$769,"Director",Assignments!$G$2:$G$769,"Active")=0),AND(IFERROR(INDEX(Templates!$E$3:$E$10,MATCH(Deals!$U59,Templates!$A$3:$A$10,0)),0)&gt;0,COUNTIFS(Assignments!$C$2:$C$769,$A107,Assignments!$F$2:$F$769,"VP",Assignments!$G$2:$G$769,"Active")=0),AND(IFERROR(INDEX(Templates!$F$3:$F$10,MATCH(Deals!$U59,Templates!$A$3:$A$10,0)),0)&gt;0,COUNTIFS(Assignments!$C$2:$C$769,$A107,Assignments!$F$2:$F$769,"Senior Associate",Assignments!$G$2:$G$769,"Active")=0),AND(IFERROR(INDEX(Templates!$G$3:$G$10,MATCH(Deals!$U59,Templates!$A$3:$A$10,0)),0)&gt;0,COUNTIFS(Assignments!$C$2:$C$769,$A107,Assignments!$F$2:$F$769,"Renewable Specialist",Assignments!$G$2:$G$769,"Active")=0),AND(IFERROR(INDEX(Templates!$H$3:$H$10,MATCH(Deals!$U59,Templates!$A$3:$A$10,0)),0)&gt;0,COUNTIFS(Assignments!$C$2:$C$769,$A107,Assignments!$F$2:$F$769,"Associate",Assignments!$G$2:$G$769,"Active")=0)))," MissingLevel","")&amp;IF(AND($C107="Proposal",Deals!$H59=0.5)," DefaultProbability","")&amp;IF($F107="No"," NoDates","")&amp;IF(AND(ISNUMBER($H107),$H107&gt;=Settings!$B$20)," Stale","")))</f>
        <v/>
      </c>
    </row>
    <row r="108">
      <c r="A108" s="16">
        <f>IF(Deals!$A60="","",Deals!$A60)</f>
        <v/>
      </c>
      <c r="B108" s="16">
        <f>IF($A108="","",Deals!$C60)</f>
        <v/>
      </c>
      <c r="C108" s="16">
        <f>IF($A108="","",Deals!$F60)</f>
        <v/>
      </c>
      <c r="D108" s="21">
        <f>IF($A108="","",Deals!$H60)</f>
        <v/>
      </c>
      <c r="E108" s="17">
        <f>IF($A108="","",Deals!$Q60)</f>
        <v/>
      </c>
      <c r="F108" s="16">
        <f>IF($A108="","",IF(AND(Deals!$I60&lt;&gt;"",Deals!$J60&lt;&gt;""),"Yes","No"))</f>
        <v/>
      </c>
      <c r="G108" s="22">
        <f>IF($A108="","",Deals!$Z60)</f>
        <v/>
      </c>
      <c r="H108" s="23">
        <f>IF(OR($A108="",$G108=""),"",INT((Settings!$B$19-$G108)/7))</f>
        <v/>
      </c>
      <c r="I108" s="24">
        <f>IF(OR($A108="",NOT(OR(Deals!$F60="Active",Deals!$F60="Proposal"))),"",TRIM(IF($E108=0," Unstaffed","")&amp;IF(IF(Deals!$U60="",FALSE,OR(AND(IFERROR(INDEX(Templates!$B$3:$B$10,MATCH(Deals!$U60,Templates!$A$3:$A$10,0)),0)&gt;0,COUNTIFS(Assignments!$C$2:$C$769,$A108,Assignments!$F$2:$F$769,"Partner",Assignments!$G$2:$G$769,"Active")=0),AND(IFERROR(INDEX(Templates!$C$3:$C$10,MATCH(Deals!$U60,Templates!$A$3:$A$10,0)),0)&gt;0,COUNTIFS(Assignments!$C$2:$C$769,$A108,Assignments!$F$2:$F$769,"MD",Assignments!$G$2:$G$769,"Active")=0),AND(IFERROR(INDEX(Templates!$D$3:$D$10,MATCH(Deals!$U60,Templates!$A$3:$A$10,0)),0)&gt;0,COUNTIFS(Assignments!$C$2:$C$769,$A108,Assignments!$F$2:$F$769,"Director",Assignments!$G$2:$G$769,"Active")=0),AND(IFERROR(INDEX(Templates!$E$3:$E$10,MATCH(Deals!$U60,Templates!$A$3:$A$10,0)),0)&gt;0,COUNTIFS(Assignments!$C$2:$C$769,$A108,Assignments!$F$2:$F$769,"VP",Assignments!$G$2:$G$769,"Active")=0),AND(IFERROR(INDEX(Templates!$F$3:$F$10,MATCH(Deals!$U60,Templates!$A$3:$A$10,0)),0)&gt;0,COUNTIFS(Assignments!$C$2:$C$769,$A108,Assignments!$F$2:$F$769,"Senior Associate",Assignments!$G$2:$G$769,"Active")=0),AND(IFERROR(INDEX(Templates!$G$3:$G$10,MATCH(Deals!$U60,Templates!$A$3:$A$10,0)),0)&gt;0,COUNTIFS(Assignments!$C$2:$C$769,$A108,Assignments!$F$2:$F$769,"Renewable Specialist",Assignments!$G$2:$G$769,"Active")=0),AND(IFERROR(INDEX(Templates!$H$3:$H$10,MATCH(Deals!$U60,Templates!$A$3:$A$10,0)),0)&gt;0,COUNTIFS(Assignments!$C$2:$C$769,$A108,Assignments!$F$2:$F$769,"Associate",Assignments!$G$2:$G$769,"Active")=0)))," MissingLevel","")&amp;IF(AND($C108="Proposal",Deals!$H60=0.5)," DefaultProbability","")&amp;IF($F108="No"," NoDates","")&amp;IF(AND(ISNUMBER($H108),$H108&gt;=Settings!$B$20)," Stale","")))</f>
        <v/>
      </c>
    </row>
    <row r="109">
      <c r="A109" s="16">
        <f>IF(Deals!$A61="","",Deals!$A61)</f>
        <v/>
      </c>
      <c r="B109" s="16">
        <f>IF($A109="","",Deals!$C61)</f>
        <v/>
      </c>
      <c r="C109" s="16">
        <f>IF($A109="","",Deals!$F61)</f>
        <v/>
      </c>
      <c r="D109" s="21">
        <f>IF($A109="","",Deals!$H61)</f>
        <v/>
      </c>
      <c r="E109" s="17">
        <f>IF($A109="","",Deals!$Q61)</f>
        <v/>
      </c>
      <c r="F109" s="16">
        <f>IF($A109="","",IF(AND(Deals!$I61&lt;&gt;"",Deals!$J61&lt;&gt;""),"Yes","No"))</f>
        <v/>
      </c>
      <c r="G109" s="22">
        <f>IF($A109="","",Deals!$Z61)</f>
        <v/>
      </c>
      <c r="H109" s="23">
        <f>IF(OR($A109="",$G109=""),"",INT((Settings!$B$19-$G109)/7))</f>
        <v/>
      </c>
      <c r="I109" s="24">
        <f>IF(OR($A109="",NOT(OR(Deals!$F61="Active",Deals!$F61="Proposal"))),"",TRIM(IF($E109=0," Unstaffed","")&amp;IF(IF(Deals!$U61="",FALSE,OR(AND(IFERROR(INDEX(Templates!$B$3:$B$10,MATCH(Deals!$U61,Templates!$A$3:$A$10,0)),0)&gt;0,COUNTIFS(Assignments!$C$2:$C$769,$A109,Assignments!$F$2:$F$769,"Partner",Assignments!$G$2:$G$769,"Active")=0),AND(IFERROR(INDEX(Templates!$C$3:$C$10,MATCH(Deals!$U61,Templates!$A$3:$A$10,0)),0)&gt;0,COUNTIFS(Assignments!$C$2:$C$769,$A109,Assignments!$F$2:$F$769,"MD",Assignments!$G$2:$G$769,"Active")=0),AND(IFERROR(INDEX(Templates!$D$3:$D$10,MATCH(Deals!$U61,Templates!$A$3:$A$10,0)),0)&gt;0,COUNTIFS(Assignments!$C$2:$C$769,$A109,Assignments!$F$2:$F$769,"Director",Assignments!$G$2:$G$769,"Active")=0),AND(IFERROR(INDEX(Templates!$E$3:$E$10,MATCH(Deals!$U61,Templates!$A$3:$A$10,0)),0)&gt;0,COUNTIFS(Assignments!$C$2:$C$769,$A109,Assignments!$F$2:$F$769,"VP",Assignments!$G$2:$G$769,"Active")=0),AND(IFERROR(INDEX(Templates!$F$3:$F$10,MATCH(Deals!$U61,Templates!$A$3:$A$10,0)),0)&gt;0,COUNTIFS(Assignments!$C$2:$C$769,$A109,Assignments!$F$2:$F$769,"Senior Associate",Assignments!$G$2:$G$769,"Active")=0),AND(IFERROR(INDEX(Templates!$G$3:$G$10,MATCH(Deals!$U61,Templates!$A$3:$A$10,0)),0)&gt;0,COUNTIFS(Assignments!$C$2:$C$769,$A109,Assignments!$F$2:$F$769,"Renewable Specialist",Assignments!$G$2:$G$769,"Active")=0),AND(IFERROR(INDEX(Templates!$H$3:$H$10,MATCH(Deals!$U61,Templates!$A$3:$A$10,0)),0)&gt;0,COUNTIFS(Assignments!$C$2:$C$769,$A109,Assignments!$F$2:$F$769,"Associate",Assignments!$G$2:$G$769,"Active")=0)))," MissingLevel","")&amp;IF(AND($C109="Proposal",Deals!$H61=0.5)," DefaultProbability","")&amp;IF($F109="No"," NoDates","")&amp;IF(AND(ISNUMBER($H109),$H109&gt;=Settings!$B$20)," Stale","")))</f>
        <v/>
      </c>
    </row>
    <row r="110">
      <c r="A110" s="16">
        <f>IF(Deals!$A62="","",Deals!$A62)</f>
        <v/>
      </c>
      <c r="B110" s="16">
        <f>IF($A110="","",Deals!$C62)</f>
        <v/>
      </c>
      <c r="C110" s="16">
        <f>IF($A110="","",Deals!$F62)</f>
        <v/>
      </c>
      <c r="D110" s="21">
        <f>IF($A110="","",Deals!$H62)</f>
        <v/>
      </c>
      <c r="E110" s="17">
        <f>IF($A110="","",Deals!$Q62)</f>
        <v/>
      </c>
      <c r="F110" s="16">
        <f>IF($A110="","",IF(AND(Deals!$I62&lt;&gt;"",Deals!$J62&lt;&gt;""),"Yes","No"))</f>
        <v/>
      </c>
      <c r="G110" s="22">
        <f>IF($A110="","",Deals!$Z62)</f>
        <v/>
      </c>
      <c r="H110" s="23">
        <f>IF(OR($A110="",$G110=""),"",INT((Settings!$B$19-$G110)/7))</f>
        <v/>
      </c>
      <c r="I110" s="24">
        <f>IF(OR($A110="",NOT(OR(Deals!$F62="Active",Deals!$F62="Proposal"))),"",TRIM(IF($E110=0," Unstaffed","")&amp;IF(IF(Deals!$U62="",FALSE,OR(AND(IFERROR(INDEX(Templates!$B$3:$B$10,MATCH(Deals!$U62,Templates!$A$3:$A$10,0)),0)&gt;0,COUNTIFS(Assignments!$C$2:$C$769,$A110,Assignments!$F$2:$F$769,"Partner",Assignments!$G$2:$G$769,"Active")=0),AND(IFERROR(INDEX(Templates!$C$3:$C$10,MATCH(Deals!$U62,Templates!$A$3:$A$10,0)),0)&gt;0,COUNTIFS(Assignments!$C$2:$C$769,$A110,Assignments!$F$2:$F$769,"MD",Assignments!$G$2:$G$769,"Active")=0),AND(IFERROR(INDEX(Templates!$D$3:$D$10,MATCH(Deals!$U62,Templates!$A$3:$A$10,0)),0)&gt;0,COUNTIFS(Assignments!$C$2:$C$769,$A110,Assignments!$F$2:$F$769,"Director",Assignments!$G$2:$G$769,"Active")=0),AND(IFERROR(INDEX(Templates!$E$3:$E$10,MATCH(Deals!$U62,Templates!$A$3:$A$10,0)),0)&gt;0,COUNTIFS(Assignments!$C$2:$C$769,$A110,Assignments!$F$2:$F$769,"VP",Assignments!$G$2:$G$769,"Active")=0),AND(IFERROR(INDEX(Templates!$F$3:$F$10,MATCH(Deals!$U62,Templates!$A$3:$A$10,0)),0)&gt;0,COUNTIFS(Assignments!$C$2:$C$769,$A110,Assignments!$F$2:$F$769,"Senior Associate",Assignments!$G$2:$G$769,"Active")=0),AND(IFERROR(INDEX(Templates!$G$3:$G$10,MATCH(Deals!$U62,Templates!$A$3:$A$10,0)),0)&gt;0,COUNTIFS(Assignments!$C$2:$C$769,$A110,Assignments!$F$2:$F$769,"Renewable Specialist",Assignments!$G$2:$G$769,"Active")=0),AND(IFERROR(INDEX(Templates!$H$3:$H$10,MATCH(Deals!$U62,Templates!$A$3:$A$10,0)),0)&gt;0,COUNTIFS(Assignments!$C$2:$C$769,$A110,Assignments!$F$2:$F$769,"Associate",Assignments!$G$2:$G$769,"Active")=0)))," MissingLevel","")&amp;IF(AND($C110="Proposal",Deals!$H62=0.5)," DefaultProbability","")&amp;IF($F110="No"," NoDates","")&amp;IF(AND(ISNUMBER($H110),$H110&gt;=Settings!$B$20)," Stale","")))</f>
        <v/>
      </c>
    </row>
    <row r="111">
      <c r="A111" s="16">
        <f>IF(Deals!$A63="","",Deals!$A63)</f>
        <v/>
      </c>
      <c r="B111" s="16">
        <f>IF($A111="","",Deals!$C63)</f>
        <v/>
      </c>
      <c r="C111" s="16">
        <f>IF($A111="","",Deals!$F63)</f>
        <v/>
      </c>
      <c r="D111" s="21">
        <f>IF($A111="","",Deals!$H63)</f>
        <v/>
      </c>
      <c r="E111" s="17">
        <f>IF($A111="","",Deals!$Q63)</f>
        <v/>
      </c>
      <c r="F111" s="16">
        <f>IF($A111="","",IF(AND(Deals!$I63&lt;&gt;"",Deals!$J63&lt;&gt;""),"Yes","No"))</f>
        <v/>
      </c>
      <c r="G111" s="22">
        <f>IF($A111="","",Deals!$Z63)</f>
        <v/>
      </c>
      <c r="H111" s="23">
        <f>IF(OR($A111="",$G111=""),"",INT((Settings!$B$19-$G111)/7))</f>
        <v/>
      </c>
      <c r="I111" s="24">
        <f>IF(OR($A111="",NOT(OR(Deals!$F63="Active",Deals!$F63="Proposal"))),"",TRIM(IF($E111=0," Unstaffed","")&amp;IF(IF(Deals!$U63="",FALSE,OR(AND(IFERROR(INDEX(Templates!$B$3:$B$10,MATCH(Deals!$U63,Templates!$A$3:$A$10,0)),0)&gt;0,COUNTIFS(Assignments!$C$2:$C$769,$A111,Assignments!$F$2:$F$769,"Partner",Assignments!$G$2:$G$769,"Active")=0),AND(IFERROR(INDEX(Templates!$C$3:$C$10,MATCH(Deals!$U63,Templates!$A$3:$A$10,0)),0)&gt;0,COUNTIFS(Assignments!$C$2:$C$769,$A111,Assignments!$F$2:$F$769,"MD",Assignments!$G$2:$G$769,"Active")=0),AND(IFERROR(INDEX(Templates!$D$3:$D$10,MATCH(Deals!$U63,Templates!$A$3:$A$10,0)),0)&gt;0,COUNTIFS(Assignments!$C$2:$C$769,$A111,Assignments!$F$2:$F$769,"Director",Assignments!$G$2:$G$769,"Active")=0),AND(IFERROR(INDEX(Templates!$E$3:$E$10,MATCH(Deals!$U63,Templates!$A$3:$A$10,0)),0)&gt;0,COUNTIFS(Assignments!$C$2:$C$769,$A111,Assignments!$F$2:$F$769,"VP",Assignments!$G$2:$G$769,"Active")=0),AND(IFERROR(INDEX(Templates!$F$3:$F$10,MATCH(Deals!$U63,Templates!$A$3:$A$10,0)),0)&gt;0,COUNTIFS(Assignments!$C$2:$C$769,$A111,Assignments!$F$2:$F$769,"Senior Associate",Assignments!$G$2:$G$769,"Active")=0),AND(IFERROR(INDEX(Templates!$G$3:$G$10,MATCH(Deals!$U63,Templates!$A$3:$A$10,0)),0)&gt;0,COUNTIFS(Assignments!$C$2:$C$769,$A111,Assignments!$F$2:$F$769,"Renewable Specialist",Assignments!$G$2:$G$769,"Active")=0),AND(IFERROR(INDEX(Templates!$H$3:$H$10,MATCH(Deals!$U63,Templates!$A$3:$A$10,0)),0)&gt;0,COUNTIFS(Assignments!$C$2:$C$769,$A111,Assignments!$F$2:$F$769,"Associate",Assignments!$G$2:$G$769,"Active")=0)))," MissingLevel","")&amp;IF(AND($C111="Proposal",Deals!$H63=0.5)," DefaultProbability","")&amp;IF($F111="No"," NoDates","")&amp;IF(AND(ISNUMBER($H111),$H111&gt;=Settings!$B$20)," Stale","")))</f>
        <v/>
      </c>
    </row>
    <row r="112">
      <c r="A112" s="16">
        <f>IF(Deals!$A64="","",Deals!$A64)</f>
        <v/>
      </c>
      <c r="B112" s="16">
        <f>IF($A112="","",Deals!$C64)</f>
        <v/>
      </c>
      <c r="C112" s="16">
        <f>IF($A112="","",Deals!$F64)</f>
        <v/>
      </c>
      <c r="D112" s="21">
        <f>IF($A112="","",Deals!$H64)</f>
        <v/>
      </c>
      <c r="E112" s="17">
        <f>IF($A112="","",Deals!$Q64)</f>
        <v/>
      </c>
      <c r="F112" s="16">
        <f>IF($A112="","",IF(AND(Deals!$I64&lt;&gt;"",Deals!$J64&lt;&gt;""),"Yes","No"))</f>
        <v/>
      </c>
      <c r="G112" s="22">
        <f>IF($A112="","",Deals!$Z64)</f>
        <v/>
      </c>
      <c r="H112" s="23">
        <f>IF(OR($A112="",$G112=""),"",INT((Settings!$B$19-$G112)/7))</f>
        <v/>
      </c>
      <c r="I112" s="24">
        <f>IF(OR($A112="",NOT(OR(Deals!$F64="Active",Deals!$F64="Proposal"))),"",TRIM(IF($E112=0," Unstaffed","")&amp;IF(IF(Deals!$U64="",FALSE,OR(AND(IFERROR(INDEX(Templates!$B$3:$B$10,MATCH(Deals!$U64,Templates!$A$3:$A$10,0)),0)&gt;0,COUNTIFS(Assignments!$C$2:$C$769,$A112,Assignments!$F$2:$F$769,"Partner",Assignments!$G$2:$G$769,"Active")=0),AND(IFERROR(INDEX(Templates!$C$3:$C$10,MATCH(Deals!$U64,Templates!$A$3:$A$10,0)),0)&gt;0,COUNTIFS(Assignments!$C$2:$C$769,$A112,Assignments!$F$2:$F$769,"MD",Assignments!$G$2:$G$769,"Active")=0),AND(IFERROR(INDEX(Templates!$D$3:$D$10,MATCH(Deals!$U64,Templates!$A$3:$A$10,0)),0)&gt;0,COUNTIFS(Assignments!$C$2:$C$769,$A112,Assignments!$F$2:$F$769,"Director",Assignments!$G$2:$G$769,"Active")=0),AND(IFERROR(INDEX(Templates!$E$3:$E$10,MATCH(Deals!$U64,Templates!$A$3:$A$10,0)),0)&gt;0,COUNTIFS(Assignments!$C$2:$C$769,$A112,Assignments!$F$2:$F$769,"VP",Assignments!$G$2:$G$769,"Active")=0),AND(IFERROR(INDEX(Templates!$F$3:$F$10,MATCH(Deals!$U64,Templates!$A$3:$A$10,0)),0)&gt;0,COUNTIFS(Assignments!$C$2:$C$769,$A112,Assignments!$F$2:$F$769,"Senior Associate",Assignments!$G$2:$G$769,"Active")=0),AND(IFERROR(INDEX(Templates!$G$3:$G$10,MATCH(Deals!$U64,Templates!$A$3:$A$10,0)),0)&gt;0,COUNTIFS(Assignments!$C$2:$C$769,$A112,Assignments!$F$2:$F$769,"Renewable Specialist",Assignments!$G$2:$G$769,"Active")=0),AND(IFERROR(INDEX(Templates!$H$3:$H$10,MATCH(Deals!$U64,Templates!$A$3:$A$10,0)),0)&gt;0,COUNTIFS(Assignments!$C$2:$C$769,$A112,Assignments!$F$2:$F$769,"Associate",Assignments!$G$2:$G$769,"Active")=0)))," MissingLevel","")&amp;IF(AND($C112="Proposal",Deals!$H64=0.5)," DefaultProbability","")&amp;IF($F112="No"," NoDates","")&amp;IF(AND(ISNUMBER($H112),$H112&gt;=Settings!$B$20)," Stale","")))</f>
        <v/>
      </c>
    </row>
    <row r="113">
      <c r="A113" s="16">
        <f>IF(Deals!$A65="","",Deals!$A65)</f>
        <v/>
      </c>
      <c r="B113" s="16">
        <f>IF($A113="","",Deals!$C65)</f>
        <v/>
      </c>
      <c r="C113" s="16">
        <f>IF($A113="","",Deals!$F65)</f>
        <v/>
      </c>
      <c r="D113" s="21">
        <f>IF($A113="","",Deals!$H65)</f>
        <v/>
      </c>
      <c r="E113" s="17">
        <f>IF($A113="","",Deals!$Q65)</f>
        <v/>
      </c>
      <c r="F113" s="16">
        <f>IF($A113="","",IF(AND(Deals!$I65&lt;&gt;"",Deals!$J65&lt;&gt;""),"Yes","No"))</f>
        <v/>
      </c>
      <c r="G113" s="22">
        <f>IF($A113="","",Deals!$Z65)</f>
        <v/>
      </c>
      <c r="H113" s="23">
        <f>IF(OR($A113="",$G113=""),"",INT((Settings!$B$19-$G113)/7))</f>
        <v/>
      </c>
      <c r="I113" s="24">
        <f>IF(OR($A113="",NOT(OR(Deals!$F65="Active",Deals!$F65="Proposal"))),"",TRIM(IF($E113=0," Unstaffed","")&amp;IF(IF(Deals!$U65="",FALSE,OR(AND(IFERROR(INDEX(Templates!$B$3:$B$10,MATCH(Deals!$U65,Templates!$A$3:$A$10,0)),0)&gt;0,COUNTIFS(Assignments!$C$2:$C$769,$A113,Assignments!$F$2:$F$769,"Partner",Assignments!$G$2:$G$769,"Active")=0),AND(IFERROR(INDEX(Templates!$C$3:$C$10,MATCH(Deals!$U65,Templates!$A$3:$A$10,0)),0)&gt;0,COUNTIFS(Assignments!$C$2:$C$769,$A113,Assignments!$F$2:$F$769,"MD",Assignments!$G$2:$G$769,"Active")=0),AND(IFERROR(INDEX(Templates!$D$3:$D$10,MATCH(Deals!$U65,Templates!$A$3:$A$10,0)),0)&gt;0,COUNTIFS(Assignments!$C$2:$C$769,$A113,Assignments!$F$2:$F$769,"Director",Assignments!$G$2:$G$769,"Active")=0),AND(IFERROR(INDEX(Templates!$E$3:$E$10,MATCH(Deals!$U65,Templates!$A$3:$A$10,0)),0)&gt;0,COUNTIFS(Assignments!$C$2:$C$769,$A113,Assignments!$F$2:$F$769,"VP",Assignments!$G$2:$G$769,"Active")=0),AND(IFERROR(INDEX(Templates!$F$3:$F$10,MATCH(Deals!$U65,Templates!$A$3:$A$10,0)),0)&gt;0,COUNTIFS(Assignments!$C$2:$C$769,$A113,Assignments!$F$2:$F$769,"Senior Associate",Assignments!$G$2:$G$769,"Active")=0),AND(IFERROR(INDEX(Templates!$G$3:$G$10,MATCH(Deals!$U65,Templates!$A$3:$A$10,0)),0)&gt;0,COUNTIFS(Assignments!$C$2:$C$769,$A113,Assignments!$F$2:$F$769,"Renewable Specialist",Assignments!$G$2:$G$769,"Active")=0),AND(IFERROR(INDEX(Templates!$H$3:$H$10,MATCH(Deals!$U65,Templates!$A$3:$A$10,0)),0)&gt;0,COUNTIFS(Assignments!$C$2:$C$769,$A113,Assignments!$F$2:$F$769,"Associate",Assignments!$G$2:$G$769,"Active")=0)))," MissingLevel","")&amp;IF(AND($C113="Proposal",Deals!$H65=0.5)," DefaultProbability","")&amp;IF($F113="No"," NoDates","")&amp;IF(AND(ISNUMBER($H113),$H113&gt;=Settings!$B$20)," Stale","")))</f>
        <v/>
      </c>
    </row>
    <row r="114">
      <c r="A114" s="16">
        <f>IF(Deals!$A66="","",Deals!$A66)</f>
        <v/>
      </c>
      <c r="B114" s="16">
        <f>IF($A114="","",Deals!$C66)</f>
        <v/>
      </c>
      <c r="C114" s="16">
        <f>IF($A114="","",Deals!$F66)</f>
        <v/>
      </c>
      <c r="D114" s="21">
        <f>IF($A114="","",Deals!$H66)</f>
        <v/>
      </c>
      <c r="E114" s="17">
        <f>IF($A114="","",Deals!$Q66)</f>
        <v/>
      </c>
      <c r="F114" s="16">
        <f>IF($A114="","",IF(AND(Deals!$I66&lt;&gt;"",Deals!$J66&lt;&gt;""),"Yes","No"))</f>
        <v/>
      </c>
      <c r="G114" s="22">
        <f>IF($A114="","",Deals!$Z66)</f>
        <v/>
      </c>
      <c r="H114" s="23">
        <f>IF(OR($A114="",$G114=""),"",INT((Settings!$B$19-$G114)/7))</f>
        <v/>
      </c>
      <c r="I114" s="24">
        <f>IF(OR($A114="",NOT(OR(Deals!$F66="Active",Deals!$F66="Proposal"))),"",TRIM(IF($E114=0," Unstaffed","")&amp;IF(IF(Deals!$U66="",FALSE,OR(AND(IFERROR(INDEX(Templates!$B$3:$B$10,MATCH(Deals!$U66,Templates!$A$3:$A$10,0)),0)&gt;0,COUNTIFS(Assignments!$C$2:$C$769,$A114,Assignments!$F$2:$F$769,"Partner",Assignments!$G$2:$G$769,"Active")=0),AND(IFERROR(INDEX(Templates!$C$3:$C$10,MATCH(Deals!$U66,Templates!$A$3:$A$10,0)),0)&gt;0,COUNTIFS(Assignments!$C$2:$C$769,$A114,Assignments!$F$2:$F$769,"MD",Assignments!$G$2:$G$769,"Active")=0),AND(IFERROR(INDEX(Templates!$D$3:$D$10,MATCH(Deals!$U66,Templates!$A$3:$A$10,0)),0)&gt;0,COUNTIFS(Assignments!$C$2:$C$769,$A114,Assignments!$F$2:$F$769,"Director",Assignments!$G$2:$G$769,"Active")=0),AND(IFERROR(INDEX(Templates!$E$3:$E$10,MATCH(Deals!$U66,Templates!$A$3:$A$10,0)),0)&gt;0,COUNTIFS(Assignments!$C$2:$C$769,$A114,Assignments!$F$2:$F$769,"VP",Assignments!$G$2:$G$769,"Active")=0),AND(IFERROR(INDEX(Templates!$F$3:$F$10,MATCH(Deals!$U66,Templates!$A$3:$A$10,0)),0)&gt;0,COUNTIFS(Assignments!$C$2:$C$769,$A114,Assignments!$F$2:$F$769,"Senior Associate",Assignments!$G$2:$G$769,"Active")=0),AND(IFERROR(INDEX(Templates!$G$3:$G$10,MATCH(Deals!$U66,Templates!$A$3:$A$10,0)),0)&gt;0,COUNTIFS(Assignments!$C$2:$C$769,$A114,Assignments!$F$2:$F$769,"Renewable Specialist",Assignments!$G$2:$G$769,"Active")=0),AND(IFERROR(INDEX(Templates!$H$3:$H$10,MATCH(Deals!$U66,Templates!$A$3:$A$10,0)),0)&gt;0,COUNTIFS(Assignments!$C$2:$C$769,$A114,Assignments!$F$2:$F$769,"Associate",Assignments!$G$2:$G$769,"Active")=0)))," MissingLevel","")&amp;IF(AND($C114="Proposal",Deals!$H66=0.5)," DefaultProbability","")&amp;IF($F114="No"," NoDates","")&amp;IF(AND(ISNUMBER($H114),$H114&gt;=Settings!$B$20)," Stale","")))</f>
        <v/>
      </c>
    </row>
    <row r="115">
      <c r="A115" s="16">
        <f>IF(Deals!$A67="","",Deals!$A67)</f>
        <v/>
      </c>
      <c r="B115" s="16">
        <f>IF($A115="","",Deals!$C67)</f>
        <v/>
      </c>
      <c r="C115" s="16">
        <f>IF($A115="","",Deals!$F67)</f>
        <v/>
      </c>
      <c r="D115" s="21">
        <f>IF($A115="","",Deals!$H67)</f>
        <v/>
      </c>
      <c r="E115" s="17">
        <f>IF($A115="","",Deals!$Q67)</f>
        <v/>
      </c>
      <c r="F115" s="16">
        <f>IF($A115="","",IF(AND(Deals!$I67&lt;&gt;"",Deals!$J67&lt;&gt;""),"Yes","No"))</f>
        <v/>
      </c>
      <c r="G115" s="22">
        <f>IF($A115="","",Deals!$Z67)</f>
        <v/>
      </c>
      <c r="H115" s="23">
        <f>IF(OR($A115="",$G115=""),"",INT((Settings!$B$19-$G115)/7))</f>
        <v/>
      </c>
      <c r="I115" s="24">
        <f>IF(OR($A115="",NOT(OR(Deals!$F67="Active",Deals!$F67="Proposal"))),"",TRIM(IF($E115=0," Unstaffed","")&amp;IF(IF(Deals!$U67="",FALSE,OR(AND(IFERROR(INDEX(Templates!$B$3:$B$10,MATCH(Deals!$U67,Templates!$A$3:$A$10,0)),0)&gt;0,COUNTIFS(Assignments!$C$2:$C$769,$A115,Assignments!$F$2:$F$769,"Partner",Assignments!$G$2:$G$769,"Active")=0),AND(IFERROR(INDEX(Templates!$C$3:$C$10,MATCH(Deals!$U67,Templates!$A$3:$A$10,0)),0)&gt;0,COUNTIFS(Assignments!$C$2:$C$769,$A115,Assignments!$F$2:$F$769,"MD",Assignments!$G$2:$G$769,"Active")=0),AND(IFERROR(INDEX(Templates!$D$3:$D$10,MATCH(Deals!$U67,Templates!$A$3:$A$10,0)),0)&gt;0,COUNTIFS(Assignments!$C$2:$C$769,$A115,Assignments!$F$2:$F$769,"Director",Assignments!$G$2:$G$769,"Active")=0),AND(IFERROR(INDEX(Templates!$E$3:$E$10,MATCH(Deals!$U67,Templates!$A$3:$A$10,0)),0)&gt;0,COUNTIFS(Assignments!$C$2:$C$769,$A115,Assignments!$F$2:$F$769,"VP",Assignments!$G$2:$G$769,"Active")=0),AND(IFERROR(INDEX(Templates!$F$3:$F$10,MATCH(Deals!$U67,Templates!$A$3:$A$10,0)),0)&gt;0,COUNTIFS(Assignments!$C$2:$C$769,$A115,Assignments!$F$2:$F$769,"Senior Associate",Assignments!$G$2:$G$769,"Active")=0),AND(IFERROR(INDEX(Templates!$G$3:$G$10,MATCH(Deals!$U67,Templates!$A$3:$A$10,0)),0)&gt;0,COUNTIFS(Assignments!$C$2:$C$769,$A115,Assignments!$F$2:$F$769,"Renewable Specialist",Assignments!$G$2:$G$769,"Active")=0),AND(IFERROR(INDEX(Templates!$H$3:$H$10,MATCH(Deals!$U67,Templates!$A$3:$A$10,0)),0)&gt;0,COUNTIFS(Assignments!$C$2:$C$769,$A115,Assignments!$F$2:$F$769,"Associate",Assignments!$G$2:$G$769,"Active")=0)))," MissingLevel","")&amp;IF(AND($C115="Proposal",Deals!$H67=0.5)," DefaultProbability","")&amp;IF($F115="No"," NoDates","")&amp;IF(AND(ISNUMBER($H115),$H115&gt;=Settings!$B$20)," Stale","")))</f>
        <v/>
      </c>
    </row>
    <row r="116">
      <c r="A116" s="16">
        <f>IF(Deals!$A68="","",Deals!$A68)</f>
        <v/>
      </c>
      <c r="B116" s="16">
        <f>IF($A116="","",Deals!$C68)</f>
        <v/>
      </c>
      <c r="C116" s="16">
        <f>IF($A116="","",Deals!$F68)</f>
        <v/>
      </c>
      <c r="D116" s="21">
        <f>IF($A116="","",Deals!$H68)</f>
        <v/>
      </c>
      <c r="E116" s="17">
        <f>IF($A116="","",Deals!$Q68)</f>
        <v/>
      </c>
      <c r="F116" s="16">
        <f>IF($A116="","",IF(AND(Deals!$I68&lt;&gt;"",Deals!$J68&lt;&gt;""),"Yes","No"))</f>
        <v/>
      </c>
      <c r="G116" s="22">
        <f>IF($A116="","",Deals!$Z68)</f>
        <v/>
      </c>
      <c r="H116" s="23">
        <f>IF(OR($A116="",$G116=""),"",INT((Settings!$B$19-$G116)/7))</f>
        <v/>
      </c>
      <c r="I116" s="24">
        <f>IF(OR($A116="",NOT(OR(Deals!$F68="Active",Deals!$F68="Proposal"))),"",TRIM(IF($E116=0," Unstaffed","")&amp;IF(IF(Deals!$U68="",FALSE,OR(AND(IFERROR(INDEX(Templates!$B$3:$B$10,MATCH(Deals!$U68,Templates!$A$3:$A$10,0)),0)&gt;0,COUNTIFS(Assignments!$C$2:$C$769,$A116,Assignments!$F$2:$F$769,"Partner",Assignments!$G$2:$G$769,"Active")=0),AND(IFERROR(INDEX(Templates!$C$3:$C$10,MATCH(Deals!$U68,Templates!$A$3:$A$10,0)),0)&gt;0,COUNTIFS(Assignments!$C$2:$C$769,$A116,Assignments!$F$2:$F$769,"MD",Assignments!$G$2:$G$769,"Active")=0),AND(IFERROR(INDEX(Templates!$D$3:$D$10,MATCH(Deals!$U68,Templates!$A$3:$A$10,0)),0)&gt;0,COUNTIFS(Assignments!$C$2:$C$769,$A116,Assignments!$F$2:$F$769,"Director",Assignments!$G$2:$G$769,"Active")=0),AND(IFERROR(INDEX(Templates!$E$3:$E$10,MATCH(Deals!$U68,Templates!$A$3:$A$10,0)),0)&gt;0,COUNTIFS(Assignments!$C$2:$C$769,$A116,Assignments!$F$2:$F$769,"VP",Assignments!$G$2:$G$769,"Active")=0),AND(IFERROR(INDEX(Templates!$F$3:$F$10,MATCH(Deals!$U68,Templates!$A$3:$A$10,0)),0)&gt;0,COUNTIFS(Assignments!$C$2:$C$769,$A116,Assignments!$F$2:$F$769,"Senior Associate",Assignments!$G$2:$G$769,"Active")=0),AND(IFERROR(INDEX(Templates!$G$3:$G$10,MATCH(Deals!$U68,Templates!$A$3:$A$10,0)),0)&gt;0,COUNTIFS(Assignments!$C$2:$C$769,$A116,Assignments!$F$2:$F$769,"Renewable Specialist",Assignments!$G$2:$G$769,"Active")=0),AND(IFERROR(INDEX(Templates!$H$3:$H$10,MATCH(Deals!$U68,Templates!$A$3:$A$10,0)),0)&gt;0,COUNTIFS(Assignments!$C$2:$C$769,$A116,Assignments!$F$2:$F$769,"Associate",Assignments!$G$2:$G$769,"Active")=0)))," MissingLevel","")&amp;IF(AND($C116="Proposal",Deals!$H68=0.5)," DefaultProbability","")&amp;IF($F116="No"," NoDates","")&amp;IF(AND(ISNUMBER($H116),$H116&gt;=Settings!$B$20)," Stale","")))</f>
        <v/>
      </c>
    </row>
    <row r="117">
      <c r="A117" s="16">
        <f>IF(Deals!$A69="","",Deals!$A69)</f>
        <v/>
      </c>
      <c r="B117" s="16">
        <f>IF($A117="","",Deals!$C69)</f>
        <v/>
      </c>
      <c r="C117" s="16">
        <f>IF($A117="","",Deals!$F69)</f>
        <v/>
      </c>
      <c r="D117" s="21">
        <f>IF($A117="","",Deals!$H69)</f>
        <v/>
      </c>
      <c r="E117" s="17">
        <f>IF($A117="","",Deals!$Q69)</f>
        <v/>
      </c>
      <c r="F117" s="16">
        <f>IF($A117="","",IF(AND(Deals!$I69&lt;&gt;"",Deals!$J69&lt;&gt;""),"Yes","No"))</f>
        <v/>
      </c>
      <c r="G117" s="22">
        <f>IF($A117="","",Deals!$Z69)</f>
        <v/>
      </c>
      <c r="H117" s="23">
        <f>IF(OR($A117="",$G117=""),"",INT((Settings!$B$19-$G117)/7))</f>
        <v/>
      </c>
      <c r="I117" s="24">
        <f>IF(OR($A117="",NOT(OR(Deals!$F69="Active",Deals!$F69="Proposal"))),"",TRIM(IF($E117=0," Unstaffed","")&amp;IF(IF(Deals!$U69="",FALSE,OR(AND(IFERROR(INDEX(Templates!$B$3:$B$10,MATCH(Deals!$U69,Templates!$A$3:$A$10,0)),0)&gt;0,COUNTIFS(Assignments!$C$2:$C$769,$A117,Assignments!$F$2:$F$769,"Partner",Assignments!$G$2:$G$769,"Active")=0),AND(IFERROR(INDEX(Templates!$C$3:$C$10,MATCH(Deals!$U69,Templates!$A$3:$A$10,0)),0)&gt;0,COUNTIFS(Assignments!$C$2:$C$769,$A117,Assignments!$F$2:$F$769,"MD",Assignments!$G$2:$G$769,"Active")=0),AND(IFERROR(INDEX(Templates!$D$3:$D$10,MATCH(Deals!$U69,Templates!$A$3:$A$10,0)),0)&gt;0,COUNTIFS(Assignments!$C$2:$C$769,$A117,Assignments!$F$2:$F$769,"Director",Assignments!$G$2:$G$769,"Active")=0),AND(IFERROR(INDEX(Templates!$E$3:$E$10,MATCH(Deals!$U69,Templates!$A$3:$A$10,0)),0)&gt;0,COUNTIFS(Assignments!$C$2:$C$769,$A117,Assignments!$F$2:$F$769,"VP",Assignments!$G$2:$G$769,"Active")=0),AND(IFERROR(INDEX(Templates!$F$3:$F$10,MATCH(Deals!$U69,Templates!$A$3:$A$10,0)),0)&gt;0,COUNTIFS(Assignments!$C$2:$C$769,$A117,Assignments!$F$2:$F$769,"Senior Associate",Assignments!$G$2:$G$769,"Active")=0),AND(IFERROR(INDEX(Templates!$G$3:$G$10,MATCH(Deals!$U69,Templates!$A$3:$A$10,0)),0)&gt;0,COUNTIFS(Assignments!$C$2:$C$769,$A117,Assignments!$F$2:$F$769,"Renewable Specialist",Assignments!$G$2:$G$769,"Active")=0),AND(IFERROR(INDEX(Templates!$H$3:$H$10,MATCH(Deals!$U69,Templates!$A$3:$A$10,0)),0)&gt;0,COUNTIFS(Assignments!$C$2:$C$769,$A117,Assignments!$F$2:$F$769,"Associate",Assignments!$G$2:$G$769,"Active")=0)))," MissingLevel","")&amp;IF(AND($C117="Proposal",Deals!$H69=0.5)," DefaultProbability","")&amp;IF($F117="No"," NoDates","")&amp;IF(AND(ISNUMBER($H117),$H117&gt;=Settings!$B$20)," Stale","")))</f>
        <v/>
      </c>
    </row>
    <row r="118">
      <c r="A118" s="16">
        <f>IF(Deals!$A70="","",Deals!$A70)</f>
        <v/>
      </c>
      <c r="B118" s="16">
        <f>IF($A118="","",Deals!$C70)</f>
        <v/>
      </c>
      <c r="C118" s="16">
        <f>IF($A118="","",Deals!$F70)</f>
        <v/>
      </c>
      <c r="D118" s="21">
        <f>IF($A118="","",Deals!$H70)</f>
        <v/>
      </c>
      <c r="E118" s="17">
        <f>IF($A118="","",Deals!$Q70)</f>
        <v/>
      </c>
      <c r="F118" s="16">
        <f>IF($A118="","",IF(AND(Deals!$I70&lt;&gt;"",Deals!$J70&lt;&gt;""),"Yes","No"))</f>
        <v/>
      </c>
      <c r="G118" s="22">
        <f>IF($A118="","",Deals!$Z70)</f>
        <v/>
      </c>
      <c r="H118" s="23">
        <f>IF(OR($A118="",$G118=""),"",INT((Settings!$B$19-$G118)/7))</f>
        <v/>
      </c>
      <c r="I118" s="24">
        <f>IF(OR($A118="",NOT(OR(Deals!$F70="Active",Deals!$F70="Proposal"))),"",TRIM(IF($E118=0," Unstaffed","")&amp;IF(IF(Deals!$U70="",FALSE,OR(AND(IFERROR(INDEX(Templates!$B$3:$B$10,MATCH(Deals!$U70,Templates!$A$3:$A$10,0)),0)&gt;0,COUNTIFS(Assignments!$C$2:$C$769,$A118,Assignments!$F$2:$F$769,"Partner",Assignments!$G$2:$G$769,"Active")=0),AND(IFERROR(INDEX(Templates!$C$3:$C$10,MATCH(Deals!$U70,Templates!$A$3:$A$10,0)),0)&gt;0,COUNTIFS(Assignments!$C$2:$C$769,$A118,Assignments!$F$2:$F$769,"MD",Assignments!$G$2:$G$769,"Active")=0),AND(IFERROR(INDEX(Templates!$D$3:$D$10,MATCH(Deals!$U70,Templates!$A$3:$A$10,0)),0)&gt;0,COUNTIFS(Assignments!$C$2:$C$769,$A118,Assignments!$F$2:$F$769,"Director",Assignments!$G$2:$G$769,"Active")=0),AND(IFERROR(INDEX(Templates!$E$3:$E$10,MATCH(Deals!$U70,Templates!$A$3:$A$10,0)),0)&gt;0,COUNTIFS(Assignments!$C$2:$C$769,$A118,Assignments!$F$2:$F$769,"VP",Assignments!$G$2:$G$769,"Active")=0),AND(IFERROR(INDEX(Templates!$F$3:$F$10,MATCH(Deals!$U70,Templates!$A$3:$A$10,0)),0)&gt;0,COUNTIFS(Assignments!$C$2:$C$769,$A118,Assignments!$F$2:$F$769,"Senior Associate",Assignments!$G$2:$G$769,"Active")=0),AND(IFERROR(INDEX(Templates!$G$3:$G$10,MATCH(Deals!$U70,Templates!$A$3:$A$10,0)),0)&gt;0,COUNTIFS(Assignments!$C$2:$C$769,$A118,Assignments!$F$2:$F$769,"Renewable Specialist",Assignments!$G$2:$G$769,"Active")=0),AND(IFERROR(INDEX(Templates!$H$3:$H$10,MATCH(Deals!$U70,Templates!$A$3:$A$10,0)),0)&gt;0,COUNTIFS(Assignments!$C$2:$C$769,$A118,Assignments!$F$2:$F$769,"Associate",Assignments!$G$2:$G$769,"Active")=0)))," MissingLevel","")&amp;IF(AND($C118="Proposal",Deals!$H70=0.5)," DefaultProbability","")&amp;IF($F118="No"," NoDates","")&amp;IF(AND(ISNUMBER($H118),$H118&gt;=Settings!$B$20)," Stale","")))</f>
        <v/>
      </c>
    </row>
    <row r="119">
      <c r="A119" s="16">
        <f>IF(Deals!$A71="","",Deals!$A71)</f>
        <v/>
      </c>
      <c r="B119" s="16">
        <f>IF($A119="","",Deals!$C71)</f>
        <v/>
      </c>
      <c r="C119" s="16">
        <f>IF($A119="","",Deals!$F71)</f>
        <v/>
      </c>
      <c r="D119" s="21">
        <f>IF($A119="","",Deals!$H71)</f>
        <v/>
      </c>
      <c r="E119" s="17">
        <f>IF($A119="","",Deals!$Q71)</f>
        <v/>
      </c>
      <c r="F119" s="16">
        <f>IF($A119="","",IF(AND(Deals!$I71&lt;&gt;"",Deals!$J71&lt;&gt;""),"Yes","No"))</f>
        <v/>
      </c>
      <c r="G119" s="22">
        <f>IF($A119="","",Deals!$Z71)</f>
        <v/>
      </c>
      <c r="H119" s="23">
        <f>IF(OR($A119="",$G119=""),"",INT((Settings!$B$19-$G119)/7))</f>
        <v/>
      </c>
      <c r="I119" s="24">
        <f>IF(OR($A119="",NOT(OR(Deals!$F71="Active",Deals!$F71="Proposal"))),"",TRIM(IF($E119=0," Unstaffed","")&amp;IF(IF(Deals!$U71="",FALSE,OR(AND(IFERROR(INDEX(Templates!$B$3:$B$10,MATCH(Deals!$U71,Templates!$A$3:$A$10,0)),0)&gt;0,COUNTIFS(Assignments!$C$2:$C$769,$A119,Assignments!$F$2:$F$769,"Partner",Assignments!$G$2:$G$769,"Active")=0),AND(IFERROR(INDEX(Templates!$C$3:$C$10,MATCH(Deals!$U71,Templates!$A$3:$A$10,0)),0)&gt;0,COUNTIFS(Assignments!$C$2:$C$769,$A119,Assignments!$F$2:$F$769,"MD",Assignments!$G$2:$G$769,"Active")=0),AND(IFERROR(INDEX(Templates!$D$3:$D$10,MATCH(Deals!$U71,Templates!$A$3:$A$10,0)),0)&gt;0,COUNTIFS(Assignments!$C$2:$C$769,$A119,Assignments!$F$2:$F$769,"Director",Assignments!$G$2:$G$769,"Active")=0),AND(IFERROR(INDEX(Templates!$E$3:$E$10,MATCH(Deals!$U71,Templates!$A$3:$A$10,0)),0)&gt;0,COUNTIFS(Assignments!$C$2:$C$769,$A119,Assignments!$F$2:$F$769,"VP",Assignments!$G$2:$G$769,"Active")=0),AND(IFERROR(INDEX(Templates!$F$3:$F$10,MATCH(Deals!$U71,Templates!$A$3:$A$10,0)),0)&gt;0,COUNTIFS(Assignments!$C$2:$C$769,$A119,Assignments!$F$2:$F$769,"Senior Associate",Assignments!$G$2:$G$769,"Active")=0),AND(IFERROR(INDEX(Templates!$G$3:$G$10,MATCH(Deals!$U71,Templates!$A$3:$A$10,0)),0)&gt;0,COUNTIFS(Assignments!$C$2:$C$769,$A119,Assignments!$F$2:$F$769,"Renewable Specialist",Assignments!$G$2:$G$769,"Active")=0),AND(IFERROR(INDEX(Templates!$H$3:$H$10,MATCH(Deals!$U71,Templates!$A$3:$A$10,0)),0)&gt;0,COUNTIFS(Assignments!$C$2:$C$769,$A119,Assignments!$F$2:$F$769,"Associate",Assignments!$G$2:$G$769,"Active")=0)))," MissingLevel","")&amp;IF(AND($C119="Proposal",Deals!$H71=0.5)," DefaultProbability","")&amp;IF($F119="No"," NoDates","")&amp;IF(AND(ISNUMBER($H119),$H119&gt;=Settings!$B$20)," Stale","")))</f>
        <v/>
      </c>
    </row>
    <row r="120">
      <c r="A120" s="16">
        <f>IF(Deals!$A72="","",Deals!$A72)</f>
        <v/>
      </c>
      <c r="B120" s="16">
        <f>IF($A120="","",Deals!$C72)</f>
        <v/>
      </c>
      <c r="C120" s="16">
        <f>IF($A120="","",Deals!$F72)</f>
        <v/>
      </c>
      <c r="D120" s="21">
        <f>IF($A120="","",Deals!$H72)</f>
        <v/>
      </c>
      <c r="E120" s="17">
        <f>IF($A120="","",Deals!$Q72)</f>
        <v/>
      </c>
      <c r="F120" s="16">
        <f>IF($A120="","",IF(AND(Deals!$I72&lt;&gt;"",Deals!$J72&lt;&gt;""),"Yes","No"))</f>
        <v/>
      </c>
      <c r="G120" s="22">
        <f>IF($A120="","",Deals!$Z72)</f>
        <v/>
      </c>
      <c r="H120" s="23">
        <f>IF(OR($A120="",$G120=""),"",INT((Settings!$B$19-$G120)/7))</f>
        <v/>
      </c>
      <c r="I120" s="24">
        <f>IF(OR($A120="",NOT(OR(Deals!$F72="Active",Deals!$F72="Proposal"))),"",TRIM(IF($E120=0," Unstaffed","")&amp;IF(IF(Deals!$U72="",FALSE,OR(AND(IFERROR(INDEX(Templates!$B$3:$B$10,MATCH(Deals!$U72,Templates!$A$3:$A$10,0)),0)&gt;0,COUNTIFS(Assignments!$C$2:$C$769,$A120,Assignments!$F$2:$F$769,"Partner",Assignments!$G$2:$G$769,"Active")=0),AND(IFERROR(INDEX(Templates!$C$3:$C$10,MATCH(Deals!$U72,Templates!$A$3:$A$10,0)),0)&gt;0,COUNTIFS(Assignments!$C$2:$C$769,$A120,Assignments!$F$2:$F$769,"MD",Assignments!$G$2:$G$769,"Active")=0),AND(IFERROR(INDEX(Templates!$D$3:$D$10,MATCH(Deals!$U72,Templates!$A$3:$A$10,0)),0)&gt;0,COUNTIFS(Assignments!$C$2:$C$769,$A120,Assignments!$F$2:$F$769,"Director",Assignments!$G$2:$G$769,"Active")=0),AND(IFERROR(INDEX(Templates!$E$3:$E$10,MATCH(Deals!$U72,Templates!$A$3:$A$10,0)),0)&gt;0,COUNTIFS(Assignments!$C$2:$C$769,$A120,Assignments!$F$2:$F$769,"VP",Assignments!$G$2:$G$769,"Active")=0),AND(IFERROR(INDEX(Templates!$F$3:$F$10,MATCH(Deals!$U72,Templates!$A$3:$A$10,0)),0)&gt;0,COUNTIFS(Assignments!$C$2:$C$769,$A120,Assignments!$F$2:$F$769,"Senior Associate",Assignments!$G$2:$G$769,"Active")=0),AND(IFERROR(INDEX(Templates!$G$3:$G$10,MATCH(Deals!$U72,Templates!$A$3:$A$10,0)),0)&gt;0,COUNTIFS(Assignments!$C$2:$C$769,$A120,Assignments!$F$2:$F$769,"Renewable Specialist",Assignments!$G$2:$G$769,"Active")=0),AND(IFERROR(INDEX(Templates!$H$3:$H$10,MATCH(Deals!$U72,Templates!$A$3:$A$10,0)),0)&gt;0,COUNTIFS(Assignments!$C$2:$C$769,$A120,Assignments!$F$2:$F$769,"Associate",Assignments!$G$2:$G$769,"Active")=0)))," MissingLevel","")&amp;IF(AND($C120="Proposal",Deals!$H72=0.5)," DefaultProbability","")&amp;IF($F120="No"," NoDates","")&amp;IF(AND(ISNUMBER($H120),$H120&gt;=Settings!$B$20)," Stale","")))</f>
        <v/>
      </c>
    </row>
    <row r="121">
      <c r="A121" s="16">
        <f>IF(Deals!$A73="","",Deals!$A73)</f>
        <v/>
      </c>
      <c r="B121" s="16">
        <f>IF($A121="","",Deals!$C73)</f>
        <v/>
      </c>
      <c r="C121" s="16">
        <f>IF($A121="","",Deals!$F73)</f>
        <v/>
      </c>
      <c r="D121" s="21">
        <f>IF($A121="","",Deals!$H73)</f>
        <v/>
      </c>
      <c r="E121" s="17">
        <f>IF($A121="","",Deals!$Q73)</f>
        <v/>
      </c>
      <c r="F121" s="16">
        <f>IF($A121="","",IF(AND(Deals!$I73&lt;&gt;"",Deals!$J73&lt;&gt;""),"Yes","No"))</f>
        <v/>
      </c>
      <c r="G121" s="22">
        <f>IF($A121="","",Deals!$Z73)</f>
        <v/>
      </c>
      <c r="H121" s="23">
        <f>IF(OR($A121="",$G121=""),"",INT((Settings!$B$19-$G121)/7))</f>
        <v/>
      </c>
      <c r="I121" s="24">
        <f>IF(OR($A121="",NOT(OR(Deals!$F73="Active",Deals!$F73="Proposal"))),"",TRIM(IF($E121=0," Unstaffed","")&amp;IF(IF(Deals!$U73="",FALSE,OR(AND(IFERROR(INDEX(Templates!$B$3:$B$10,MATCH(Deals!$U73,Templates!$A$3:$A$10,0)),0)&gt;0,COUNTIFS(Assignments!$C$2:$C$769,$A121,Assignments!$F$2:$F$769,"Partner",Assignments!$G$2:$G$769,"Active")=0),AND(IFERROR(INDEX(Templates!$C$3:$C$10,MATCH(Deals!$U73,Templates!$A$3:$A$10,0)),0)&gt;0,COUNTIFS(Assignments!$C$2:$C$769,$A121,Assignments!$F$2:$F$769,"MD",Assignments!$G$2:$G$769,"Active")=0),AND(IFERROR(INDEX(Templates!$D$3:$D$10,MATCH(Deals!$U73,Templates!$A$3:$A$10,0)),0)&gt;0,COUNTIFS(Assignments!$C$2:$C$769,$A121,Assignments!$F$2:$F$769,"Director",Assignments!$G$2:$G$769,"Active")=0),AND(IFERROR(INDEX(Templates!$E$3:$E$10,MATCH(Deals!$U73,Templates!$A$3:$A$10,0)),0)&gt;0,COUNTIFS(Assignments!$C$2:$C$769,$A121,Assignments!$F$2:$F$769,"VP",Assignments!$G$2:$G$769,"Active")=0),AND(IFERROR(INDEX(Templates!$F$3:$F$10,MATCH(Deals!$U73,Templates!$A$3:$A$10,0)),0)&gt;0,COUNTIFS(Assignments!$C$2:$C$769,$A121,Assignments!$F$2:$F$769,"Senior Associate",Assignments!$G$2:$G$769,"Active")=0),AND(IFERROR(INDEX(Templates!$G$3:$G$10,MATCH(Deals!$U73,Templates!$A$3:$A$10,0)),0)&gt;0,COUNTIFS(Assignments!$C$2:$C$769,$A121,Assignments!$F$2:$F$769,"Renewable Specialist",Assignments!$G$2:$G$769,"Active")=0),AND(IFERROR(INDEX(Templates!$H$3:$H$10,MATCH(Deals!$U73,Templates!$A$3:$A$10,0)),0)&gt;0,COUNTIFS(Assignments!$C$2:$C$769,$A121,Assignments!$F$2:$F$769,"Associate",Assignments!$G$2:$G$769,"Active")=0)))," MissingLevel","")&amp;IF(AND($C121="Proposal",Deals!$H73=0.5)," DefaultProbability","")&amp;IF($F121="No"," NoDates","")&amp;IF(AND(ISNUMBER($H121),$H121&gt;=Settings!$B$20)," Stale","")))</f>
        <v/>
      </c>
    </row>
    <row r="122">
      <c r="A122" s="16">
        <f>IF(Deals!$A74="","",Deals!$A74)</f>
        <v/>
      </c>
      <c r="B122" s="16">
        <f>IF($A122="","",Deals!$C74)</f>
        <v/>
      </c>
      <c r="C122" s="16">
        <f>IF($A122="","",Deals!$F74)</f>
        <v/>
      </c>
      <c r="D122" s="21">
        <f>IF($A122="","",Deals!$H74)</f>
        <v/>
      </c>
      <c r="E122" s="17">
        <f>IF($A122="","",Deals!$Q74)</f>
        <v/>
      </c>
      <c r="F122" s="16">
        <f>IF($A122="","",IF(AND(Deals!$I74&lt;&gt;"",Deals!$J74&lt;&gt;""),"Yes","No"))</f>
        <v/>
      </c>
      <c r="G122" s="22">
        <f>IF($A122="","",Deals!$Z74)</f>
        <v/>
      </c>
      <c r="H122" s="23">
        <f>IF(OR($A122="",$G122=""),"",INT((Settings!$B$19-$G122)/7))</f>
        <v/>
      </c>
      <c r="I122" s="24">
        <f>IF(OR($A122="",NOT(OR(Deals!$F74="Active",Deals!$F74="Proposal"))),"",TRIM(IF($E122=0," Unstaffed","")&amp;IF(IF(Deals!$U74="",FALSE,OR(AND(IFERROR(INDEX(Templates!$B$3:$B$10,MATCH(Deals!$U74,Templates!$A$3:$A$10,0)),0)&gt;0,COUNTIFS(Assignments!$C$2:$C$769,$A122,Assignments!$F$2:$F$769,"Partner",Assignments!$G$2:$G$769,"Active")=0),AND(IFERROR(INDEX(Templates!$C$3:$C$10,MATCH(Deals!$U74,Templates!$A$3:$A$10,0)),0)&gt;0,COUNTIFS(Assignments!$C$2:$C$769,$A122,Assignments!$F$2:$F$769,"MD",Assignments!$G$2:$G$769,"Active")=0),AND(IFERROR(INDEX(Templates!$D$3:$D$10,MATCH(Deals!$U74,Templates!$A$3:$A$10,0)),0)&gt;0,COUNTIFS(Assignments!$C$2:$C$769,$A122,Assignments!$F$2:$F$769,"Director",Assignments!$G$2:$G$769,"Active")=0),AND(IFERROR(INDEX(Templates!$E$3:$E$10,MATCH(Deals!$U74,Templates!$A$3:$A$10,0)),0)&gt;0,COUNTIFS(Assignments!$C$2:$C$769,$A122,Assignments!$F$2:$F$769,"VP",Assignments!$G$2:$G$769,"Active")=0),AND(IFERROR(INDEX(Templates!$F$3:$F$10,MATCH(Deals!$U74,Templates!$A$3:$A$10,0)),0)&gt;0,COUNTIFS(Assignments!$C$2:$C$769,$A122,Assignments!$F$2:$F$769,"Senior Associate",Assignments!$G$2:$G$769,"Active")=0),AND(IFERROR(INDEX(Templates!$G$3:$G$10,MATCH(Deals!$U74,Templates!$A$3:$A$10,0)),0)&gt;0,COUNTIFS(Assignments!$C$2:$C$769,$A122,Assignments!$F$2:$F$769,"Renewable Specialist",Assignments!$G$2:$G$769,"Active")=0),AND(IFERROR(INDEX(Templates!$H$3:$H$10,MATCH(Deals!$U74,Templates!$A$3:$A$10,0)),0)&gt;0,COUNTIFS(Assignments!$C$2:$C$769,$A122,Assignments!$F$2:$F$769,"Associate",Assignments!$G$2:$G$769,"Active")=0)))," MissingLevel","")&amp;IF(AND($C122="Proposal",Deals!$H74=0.5)," DefaultProbability","")&amp;IF($F122="No"," NoDates","")&amp;IF(AND(ISNUMBER($H122),$H122&gt;=Settings!$B$20)," Stale","")))</f>
        <v/>
      </c>
    </row>
    <row r="123">
      <c r="A123" s="16">
        <f>IF(Deals!$A75="","",Deals!$A75)</f>
        <v/>
      </c>
      <c r="B123" s="16">
        <f>IF($A123="","",Deals!$C75)</f>
        <v/>
      </c>
      <c r="C123" s="16">
        <f>IF($A123="","",Deals!$F75)</f>
        <v/>
      </c>
      <c r="D123" s="21">
        <f>IF($A123="","",Deals!$H75)</f>
        <v/>
      </c>
      <c r="E123" s="17">
        <f>IF($A123="","",Deals!$Q75)</f>
        <v/>
      </c>
      <c r="F123" s="16">
        <f>IF($A123="","",IF(AND(Deals!$I75&lt;&gt;"",Deals!$J75&lt;&gt;""),"Yes","No"))</f>
        <v/>
      </c>
      <c r="G123" s="22">
        <f>IF($A123="","",Deals!$Z75)</f>
        <v/>
      </c>
      <c r="H123" s="23">
        <f>IF(OR($A123="",$G123=""),"",INT((Settings!$B$19-$G123)/7))</f>
        <v/>
      </c>
      <c r="I123" s="24">
        <f>IF(OR($A123="",NOT(OR(Deals!$F75="Active",Deals!$F75="Proposal"))),"",TRIM(IF($E123=0," Unstaffed","")&amp;IF(IF(Deals!$U75="",FALSE,OR(AND(IFERROR(INDEX(Templates!$B$3:$B$10,MATCH(Deals!$U75,Templates!$A$3:$A$10,0)),0)&gt;0,COUNTIFS(Assignments!$C$2:$C$769,$A123,Assignments!$F$2:$F$769,"Partner",Assignments!$G$2:$G$769,"Active")=0),AND(IFERROR(INDEX(Templates!$C$3:$C$10,MATCH(Deals!$U75,Templates!$A$3:$A$10,0)),0)&gt;0,COUNTIFS(Assignments!$C$2:$C$769,$A123,Assignments!$F$2:$F$769,"MD",Assignments!$G$2:$G$769,"Active")=0),AND(IFERROR(INDEX(Templates!$D$3:$D$10,MATCH(Deals!$U75,Templates!$A$3:$A$10,0)),0)&gt;0,COUNTIFS(Assignments!$C$2:$C$769,$A123,Assignments!$F$2:$F$769,"Director",Assignments!$G$2:$G$769,"Active")=0),AND(IFERROR(INDEX(Templates!$E$3:$E$10,MATCH(Deals!$U75,Templates!$A$3:$A$10,0)),0)&gt;0,COUNTIFS(Assignments!$C$2:$C$769,$A123,Assignments!$F$2:$F$769,"VP",Assignments!$G$2:$G$769,"Active")=0),AND(IFERROR(INDEX(Templates!$F$3:$F$10,MATCH(Deals!$U75,Templates!$A$3:$A$10,0)),0)&gt;0,COUNTIFS(Assignments!$C$2:$C$769,$A123,Assignments!$F$2:$F$769,"Senior Associate",Assignments!$G$2:$G$769,"Active")=0),AND(IFERROR(INDEX(Templates!$G$3:$G$10,MATCH(Deals!$U75,Templates!$A$3:$A$10,0)),0)&gt;0,COUNTIFS(Assignments!$C$2:$C$769,$A123,Assignments!$F$2:$F$769,"Renewable Specialist",Assignments!$G$2:$G$769,"Active")=0),AND(IFERROR(INDEX(Templates!$H$3:$H$10,MATCH(Deals!$U75,Templates!$A$3:$A$10,0)),0)&gt;0,COUNTIFS(Assignments!$C$2:$C$769,$A123,Assignments!$F$2:$F$769,"Associate",Assignments!$G$2:$G$769,"Active")=0)))," MissingLevel","")&amp;IF(AND($C123="Proposal",Deals!$H75=0.5)," DefaultProbability","")&amp;IF($F123="No"," NoDates","")&amp;IF(AND(ISNUMBER($H123),$H123&gt;=Settings!$B$20)," Stale","")))</f>
        <v/>
      </c>
    </row>
    <row r="124">
      <c r="A124" s="16">
        <f>IF(Deals!$A76="","",Deals!$A76)</f>
        <v/>
      </c>
      <c r="B124" s="16">
        <f>IF($A124="","",Deals!$C76)</f>
        <v/>
      </c>
      <c r="C124" s="16">
        <f>IF($A124="","",Deals!$F76)</f>
        <v/>
      </c>
      <c r="D124" s="21">
        <f>IF($A124="","",Deals!$H76)</f>
        <v/>
      </c>
      <c r="E124" s="17">
        <f>IF($A124="","",Deals!$Q76)</f>
        <v/>
      </c>
      <c r="F124" s="16">
        <f>IF($A124="","",IF(AND(Deals!$I76&lt;&gt;"",Deals!$J76&lt;&gt;""),"Yes","No"))</f>
        <v/>
      </c>
      <c r="G124" s="22">
        <f>IF($A124="","",Deals!$Z76)</f>
        <v/>
      </c>
      <c r="H124" s="23">
        <f>IF(OR($A124="",$G124=""),"",INT((Settings!$B$19-$G124)/7))</f>
        <v/>
      </c>
      <c r="I124" s="24">
        <f>IF(OR($A124="",NOT(OR(Deals!$F76="Active",Deals!$F76="Proposal"))),"",TRIM(IF($E124=0," Unstaffed","")&amp;IF(IF(Deals!$U76="",FALSE,OR(AND(IFERROR(INDEX(Templates!$B$3:$B$10,MATCH(Deals!$U76,Templates!$A$3:$A$10,0)),0)&gt;0,COUNTIFS(Assignments!$C$2:$C$769,$A124,Assignments!$F$2:$F$769,"Partner",Assignments!$G$2:$G$769,"Active")=0),AND(IFERROR(INDEX(Templates!$C$3:$C$10,MATCH(Deals!$U76,Templates!$A$3:$A$10,0)),0)&gt;0,COUNTIFS(Assignments!$C$2:$C$769,$A124,Assignments!$F$2:$F$769,"MD",Assignments!$G$2:$G$769,"Active")=0),AND(IFERROR(INDEX(Templates!$D$3:$D$10,MATCH(Deals!$U76,Templates!$A$3:$A$10,0)),0)&gt;0,COUNTIFS(Assignments!$C$2:$C$769,$A124,Assignments!$F$2:$F$769,"Director",Assignments!$G$2:$G$769,"Active")=0),AND(IFERROR(INDEX(Templates!$E$3:$E$10,MATCH(Deals!$U76,Templates!$A$3:$A$10,0)),0)&gt;0,COUNTIFS(Assignments!$C$2:$C$769,$A124,Assignments!$F$2:$F$769,"VP",Assignments!$G$2:$G$769,"Active")=0),AND(IFERROR(INDEX(Templates!$F$3:$F$10,MATCH(Deals!$U76,Templates!$A$3:$A$10,0)),0)&gt;0,COUNTIFS(Assignments!$C$2:$C$769,$A124,Assignments!$F$2:$F$769,"Senior Associate",Assignments!$G$2:$G$769,"Active")=0),AND(IFERROR(INDEX(Templates!$G$3:$G$10,MATCH(Deals!$U76,Templates!$A$3:$A$10,0)),0)&gt;0,COUNTIFS(Assignments!$C$2:$C$769,$A124,Assignments!$F$2:$F$769,"Renewable Specialist",Assignments!$G$2:$G$769,"Active")=0),AND(IFERROR(INDEX(Templates!$H$3:$H$10,MATCH(Deals!$U76,Templates!$A$3:$A$10,0)),0)&gt;0,COUNTIFS(Assignments!$C$2:$C$769,$A124,Assignments!$F$2:$F$769,"Associate",Assignments!$G$2:$G$769,"Active")=0)))," MissingLevel","")&amp;IF(AND($C124="Proposal",Deals!$H76=0.5)," DefaultProbability","")&amp;IF($F124="No"," NoDates","")&amp;IF(AND(ISNUMBER($H124),$H124&gt;=Settings!$B$20)," Stale","")))</f>
        <v/>
      </c>
    </row>
    <row r="125">
      <c r="A125" s="16">
        <f>IF(Deals!$A77="","",Deals!$A77)</f>
        <v/>
      </c>
      <c r="B125" s="16">
        <f>IF($A125="","",Deals!$C77)</f>
        <v/>
      </c>
      <c r="C125" s="16">
        <f>IF($A125="","",Deals!$F77)</f>
        <v/>
      </c>
      <c r="D125" s="21">
        <f>IF($A125="","",Deals!$H77)</f>
        <v/>
      </c>
      <c r="E125" s="17">
        <f>IF($A125="","",Deals!$Q77)</f>
        <v/>
      </c>
      <c r="F125" s="16">
        <f>IF($A125="","",IF(AND(Deals!$I77&lt;&gt;"",Deals!$J77&lt;&gt;""),"Yes","No"))</f>
        <v/>
      </c>
      <c r="G125" s="22">
        <f>IF($A125="","",Deals!$Z77)</f>
        <v/>
      </c>
      <c r="H125" s="23">
        <f>IF(OR($A125="",$G125=""),"",INT((Settings!$B$19-$G125)/7))</f>
        <v/>
      </c>
      <c r="I125" s="24">
        <f>IF(OR($A125="",NOT(OR(Deals!$F77="Active",Deals!$F77="Proposal"))),"",TRIM(IF($E125=0," Unstaffed","")&amp;IF(IF(Deals!$U77="",FALSE,OR(AND(IFERROR(INDEX(Templates!$B$3:$B$10,MATCH(Deals!$U77,Templates!$A$3:$A$10,0)),0)&gt;0,COUNTIFS(Assignments!$C$2:$C$769,$A125,Assignments!$F$2:$F$769,"Partner",Assignments!$G$2:$G$769,"Active")=0),AND(IFERROR(INDEX(Templates!$C$3:$C$10,MATCH(Deals!$U77,Templates!$A$3:$A$10,0)),0)&gt;0,COUNTIFS(Assignments!$C$2:$C$769,$A125,Assignments!$F$2:$F$769,"MD",Assignments!$G$2:$G$769,"Active")=0),AND(IFERROR(INDEX(Templates!$D$3:$D$10,MATCH(Deals!$U77,Templates!$A$3:$A$10,0)),0)&gt;0,COUNTIFS(Assignments!$C$2:$C$769,$A125,Assignments!$F$2:$F$769,"Director",Assignments!$G$2:$G$769,"Active")=0),AND(IFERROR(INDEX(Templates!$E$3:$E$10,MATCH(Deals!$U77,Templates!$A$3:$A$10,0)),0)&gt;0,COUNTIFS(Assignments!$C$2:$C$769,$A125,Assignments!$F$2:$F$769,"VP",Assignments!$G$2:$G$769,"Active")=0),AND(IFERROR(INDEX(Templates!$F$3:$F$10,MATCH(Deals!$U77,Templates!$A$3:$A$10,0)),0)&gt;0,COUNTIFS(Assignments!$C$2:$C$769,$A125,Assignments!$F$2:$F$769,"Senior Associate",Assignments!$G$2:$G$769,"Active")=0),AND(IFERROR(INDEX(Templates!$G$3:$G$10,MATCH(Deals!$U77,Templates!$A$3:$A$10,0)),0)&gt;0,COUNTIFS(Assignments!$C$2:$C$769,$A125,Assignments!$F$2:$F$769,"Renewable Specialist",Assignments!$G$2:$G$769,"Active")=0),AND(IFERROR(INDEX(Templates!$H$3:$H$10,MATCH(Deals!$U77,Templates!$A$3:$A$10,0)),0)&gt;0,COUNTIFS(Assignments!$C$2:$C$769,$A125,Assignments!$F$2:$F$769,"Associate",Assignments!$G$2:$G$769,"Active")=0)))," MissingLevel","")&amp;IF(AND($C125="Proposal",Deals!$H77=0.5)," DefaultProbability","")&amp;IF($F125="No"," NoDates","")&amp;IF(AND(ISNUMBER($H125),$H125&gt;=Settings!$B$20)," Stale","")))</f>
        <v/>
      </c>
    </row>
    <row r="126">
      <c r="A126" s="16">
        <f>IF(Deals!$A78="","",Deals!$A78)</f>
        <v/>
      </c>
      <c r="B126" s="16">
        <f>IF($A126="","",Deals!$C78)</f>
        <v/>
      </c>
      <c r="C126" s="16">
        <f>IF($A126="","",Deals!$F78)</f>
        <v/>
      </c>
      <c r="D126" s="21">
        <f>IF($A126="","",Deals!$H78)</f>
        <v/>
      </c>
      <c r="E126" s="17">
        <f>IF($A126="","",Deals!$Q78)</f>
        <v/>
      </c>
      <c r="F126" s="16">
        <f>IF($A126="","",IF(AND(Deals!$I78&lt;&gt;"",Deals!$J78&lt;&gt;""),"Yes","No"))</f>
        <v/>
      </c>
      <c r="G126" s="22">
        <f>IF($A126="","",Deals!$Z78)</f>
        <v/>
      </c>
      <c r="H126" s="23">
        <f>IF(OR($A126="",$G126=""),"",INT((Settings!$B$19-$G126)/7))</f>
        <v/>
      </c>
      <c r="I126" s="24">
        <f>IF(OR($A126="",NOT(OR(Deals!$F78="Active",Deals!$F78="Proposal"))),"",TRIM(IF($E126=0," Unstaffed","")&amp;IF(IF(Deals!$U78="",FALSE,OR(AND(IFERROR(INDEX(Templates!$B$3:$B$10,MATCH(Deals!$U78,Templates!$A$3:$A$10,0)),0)&gt;0,COUNTIFS(Assignments!$C$2:$C$769,$A126,Assignments!$F$2:$F$769,"Partner",Assignments!$G$2:$G$769,"Active")=0),AND(IFERROR(INDEX(Templates!$C$3:$C$10,MATCH(Deals!$U78,Templates!$A$3:$A$10,0)),0)&gt;0,COUNTIFS(Assignments!$C$2:$C$769,$A126,Assignments!$F$2:$F$769,"MD",Assignments!$G$2:$G$769,"Active")=0),AND(IFERROR(INDEX(Templates!$D$3:$D$10,MATCH(Deals!$U78,Templates!$A$3:$A$10,0)),0)&gt;0,COUNTIFS(Assignments!$C$2:$C$769,$A126,Assignments!$F$2:$F$769,"Director",Assignments!$G$2:$G$769,"Active")=0),AND(IFERROR(INDEX(Templates!$E$3:$E$10,MATCH(Deals!$U78,Templates!$A$3:$A$10,0)),0)&gt;0,COUNTIFS(Assignments!$C$2:$C$769,$A126,Assignments!$F$2:$F$769,"VP",Assignments!$G$2:$G$769,"Active")=0),AND(IFERROR(INDEX(Templates!$F$3:$F$10,MATCH(Deals!$U78,Templates!$A$3:$A$10,0)),0)&gt;0,COUNTIFS(Assignments!$C$2:$C$769,$A126,Assignments!$F$2:$F$769,"Senior Associate",Assignments!$G$2:$G$769,"Active")=0),AND(IFERROR(INDEX(Templates!$G$3:$G$10,MATCH(Deals!$U78,Templates!$A$3:$A$10,0)),0)&gt;0,COUNTIFS(Assignments!$C$2:$C$769,$A126,Assignments!$F$2:$F$769,"Renewable Specialist",Assignments!$G$2:$G$769,"Active")=0),AND(IFERROR(INDEX(Templates!$H$3:$H$10,MATCH(Deals!$U78,Templates!$A$3:$A$10,0)),0)&gt;0,COUNTIFS(Assignments!$C$2:$C$769,$A126,Assignments!$F$2:$F$769,"Associate",Assignments!$G$2:$G$769,"Active")=0)))," MissingLevel","")&amp;IF(AND($C126="Proposal",Deals!$H78=0.5)," DefaultProbability","")&amp;IF($F126="No"," NoDates","")&amp;IF(AND(ISNUMBER($H126),$H126&gt;=Settings!$B$20)," Stale","")))</f>
        <v/>
      </c>
    </row>
    <row r="127">
      <c r="A127" s="16">
        <f>IF(Deals!$A79="","",Deals!$A79)</f>
        <v/>
      </c>
      <c r="B127" s="16">
        <f>IF($A127="","",Deals!$C79)</f>
        <v/>
      </c>
      <c r="C127" s="16">
        <f>IF($A127="","",Deals!$F79)</f>
        <v/>
      </c>
      <c r="D127" s="21">
        <f>IF($A127="","",Deals!$H79)</f>
        <v/>
      </c>
      <c r="E127" s="17">
        <f>IF($A127="","",Deals!$Q79)</f>
        <v/>
      </c>
      <c r="F127" s="16">
        <f>IF($A127="","",IF(AND(Deals!$I79&lt;&gt;"",Deals!$J79&lt;&gt;""),"Yes","No"))</f>
        <v/>
      </c>
      <c r="G127" s="22">
        <f>IF($A127="","",Deals!$Z79)</f>
        <v/>
      </c>
      <c r="H127" s="23">
        <f>IF(OR($A127="",$G127=""),"",INT((Settings!$B$19-$G127)/7))</f>
        <v/>
      </c>
      <c r="I127" s="24">
        <f>IF(OR($A127="",NOT(OR(Deals!$F79="Active",Deals!$F79="Proposal"))),"",TRIM(IF($E127=0," Unstaffed","")&amp;IF(IF(Deals!$U79="",FALSE,OR(AND(IFERROR(INDEX(Templates!$B$3:$B$10,MATCH(Deals!$U79,Templates!$A$3:$A$10,0)),0)&gt;0,COUNTIFS(Assignments!$C$2:$C$769,$A127,Assignments!$F$2:$F$769,"Partner",Assignments!$G$2:$G$769,"Active")=0),AND(IFERROR(INDEX(Templates!$C$3:$C$10,MATCH(Deals!$U79,Templates!$A$3:$A$10,0)),0)&gt;0,COUNTIFS(Assignments!$C$2:$C$769,$A127,Assignments!$F$2:$F$769,"MD",Assignments!$G$2:$G$769,"Active")=0),AND(IFERROR(INDEX(Templates!$D$3:$D$10,MATCH(Deals!$U79,Templates!$A$3:$A$10,0)),0)&gt;0,COUNTIFS(Assignments!$C$2:$C$769,$A127,Assignments!$F$2:$F$769,"Director",Assignments!$G$2:$G$769,"Active")=0),AND(IFERROR(INDEX(Templates!$E$3:$E$10,MATCH(Deals!$U79,Templates!$A$3:$A$10,0)),0)&gt;0,COUNTIFS(Assignments!$C$2:$C$769,$A127,Assignments!$F$2:$F$769,"VP",Assignments!$G$2:$G$769,"Active")=0),AND(IFERROR(INDEX(Templates!$F$3:$F$10,MATCH(Deals!$U79,Templates!$A$3:$A$10,0)),0)&gt;0,COUNTIFS(Assignments!$C$2:$C$769,$A127,Assignments!$F$2:$F$769,"Senior Associate",Assignments!$G$2:$G$769,"Active")=0),AND(IFERROR(INDEX(Templates!$G$3:$G$10,MATCH(Deals!$U79,Templates!$A$3:$A$10,0)),0)&gt;0,COUNTIFS(Assignments!$C$2:$C$769,$A127,Assignments!$F$2:$F$769,"Renewable Specialist",Assignments!$G$2:$G$769,"Active")=0),AND(IFERROR(INDEX(Templates!$H$3:$H$10,MATCH(Deals!$U79,Templates!$A$3:$A$10,0)),0)&gt;0,COUNTIFS(Assignments!$C$2:$C$769,$A127,Assignments!$F$2:$F$769,"Associate",Assignments!$G$2:$G$769,"Active")=0)))," MissingLevel","")&amp;IF(AND($C127="Proposal",Deals!$H79=0.5)," DefaultProbability","")&amp;IF($F127="No"," NoDates","")&amp;IF(AND(ISNUMBER($H127),$H127&gt;=Settings!$B$20)," Stale","")))</f>
        <v/>
      </c>
    </row>
    <row r="128">
      <c r="A128" s="16">
        <f>IF(Deals!$A80="","",Deals!$A80)</f>
        <v/>
      </c>
      <c r="B128" s="16">
        <f>IF($A128="","",Deals!$C80)</f>
        <v/>
      </c>
      <c r="C128" s="16">
        <f>IF($A128="","",Deals!$F80)</f>
        <v/>
      </c>
      <c r="D128" s="21">
        <f>IF($A128="","",Deals!$H80)</f>
        <v/>
      </c>
      <c r="E128" s="17">
        <f>IF($A128="","",Deals!$Q80)</f>
        <v/>
      </c>
      <c r="F128" s="16">
        <f>IF($A128="","",IF(AND(Deals!$I80&lt;&gt;"",Deals!$J80&lt;&gt;""),"Yes","No"))</f>
        <v/>
      </c>
      <c r="G128" s="22">
        <f>IF($A128="","",Deals!$Z80)</f>
        <v/>
      </c>
      <c r="H128" s="23">
        <f>IF(OR($A128="",$G128=""),"",INT((Settings!$B$19-$G128)/7))</f>
        <v/>
      </c>
      <c r="I128" s="24">
        <f>IF(OR($A128="",NOT(OR(Deals!$F80="Active",Deals!$F80="Proposal"))),"",TRIM(IF($E128=0," Unstaffed","")&amp;IF(IF(Deals!$U80="",FALSE,OR(AND(IFERROR(INDEX(Templates!$B$3:$B$10,MATCH(Deals!$U80,Templates!$A$3:$A$10,0)),0)&gt;0,COUNTIFS(Assignments!$C$2:$C$769,$A128,Assignments!$F$2:$F$769,"Partner",Assignments!$G$2:$G$769,"Active")=0),AND(IFERROR(INDEX(Templates!$C$3:$C$10,MATCH(Deals!$U80,Templates!$A$3:$A$10,0)),0)&gt;0,COUNTIFS(Assignments!$C$2:$C$769,$A128,Assignments!$F$2:$F$769,"MD",Assignments!$G$2:$G$769,"Active")=0),AND(IFERROR(INDEX(Templates!$D$3:$D$10,MATCH(Deals!$U80,Templates!$A$3:$A$10,0)),0)&gt;0,COUNTIFS(Assignments!$C$2:$C$769,$A128,Assignments!$F$2:$F$769,"Director",Assignments!$G$2:$G$769,"Active")=0),AND(IFERROR(INDEX(Templates!$E$3:$E$10,MATCH(Deals!$U80,Templates!$A$3:$A$10,0)),0)&gt;0,COUNTIFS(Assignments!$C$2:$C$769,$A128,Assignments!$F$2:$F$769,"VP",Assignments!$G$2:$G$769,"Active")=0),AND(IFERROR(INDEX(Templates!$F$3:$F$10,MATCH(Deals!$U80,Templates!$A$3:$A$10,0)),0)&gt;0,COUNTIFS(Assignments!$C$2:$C$769,$A128,Assignments!$F$2:$F$769,"Senior Associate",Assignments!$G$2:$G$769,"Active")=0),AND(IFERROR(INDEX(Templates!$G$3:$G$10,MATCH(Deals!$U80,Templates!$A$3:$A$10,0)),0)&gt;0,COUNTIFS(Assignments!$C$2:$C$769,$A128,Assignments!$F$2:$F$769,"Renewable Specialist",Assignments!$G$2:$G$769,"Active")=0),AND(IFERROR(INDEX(Templates!$H$3:$H$10,MATCH(Deals!$U80,Templates!$A$3:$A$10,0)),0)&gt;0,COUNTIFS(Assignments!$C$2:$C$769,$A128,Assignments!$F$2:$F$769,"Associate",Assignments!$G$2:$G$769,"Active")=0)))," MissingLevel","")&amp;IF(AND($C128="Proposal",Deals!$H80=0.5)," DefaultProbability","")&amp;IF($F128="No"," NoDates","")&amp;IF(AND(ISNUMBER($H128),$H128&gt;=Settings!$B$20)," Stale","")))</f>
        <v/>
      </c>
    </row>
    <row r="129">
      <c r="A129" s="16">
        <f>IF(Deals!$A81="","",Deals!$A81)</f>
        <v/>
      </c>
      <c r="B129" s="16">
        <f>IF($A129="","",Deals!$C81)</f>
        <v/>
      </c>
      <c r="C129" s="16">
        <f>IF($A129="","",Deals!$F81)</f>
        <v/>
      </c>
      <c r="D129" s="21">
        <f>IF($A129="","",Deals!$H81)</f>
        <v/>
      </c>
      <c r="E129" s="17">
        <f>IF($A129="","",Deals!$Q81)</f>
        <v/>
      </c>
      <c r="F129" s="16">
        <f>IF($A129="","",IF(AND(Deals!$I81&lt;&gt;"",Deals!$J81&lt;&gt;""),"Yes","No"))</f>
        <v/>
      </c>
      <c r="G129" s="22">
        <f>IF($A129="","",Deals!$Z81)</f>
        <v/>
      </c>
      <c r="H129" s="23">
        <f>IF(OR($A129="",$G129=""),"",INT((Settings!$B$19-$G129)/7))</f>
        <v/>
      </c>
      <c r="I129" s="24">
        <f>IF(OR($A129="",NOT(OR(Deals!$F81="Active",Deals!$F81="Proposal"))),"",TRIM(IF($E129=0," Unstaffed","")&amp;IF(IF(Deals!$U81="",FALSE,OR(AND(IFERROR(INDEX(Templates!$B$3:$B$10,MATCH(Deals!$U81,Templates!$A$3:$A$10,0)),0)&gt;0,COUNTIFS(Assignments!$C$2:$C$769,$A129,Assignments!$F$2:$F$769,"Partner",Assignments!$G$2:$G$769,"Active")=0),AND(IFERROR(INDEX(Templates!$C$3:$C$10,MATCH(Deals!$U81,Templates!$A$3:$A$10,0)),0)&gt;0,COUNTIFS(Assignments!$C$2:$C$769,$A129,Assignments!$F$2:$F$769,"MD",Assignments!$G$2:$G$769,"Active")=0),AND(IFERROR(INDEX(Templates!$D$3:$D$10,MATCH(Deals!$U81,Templates!$A$3:$A$10,0)),0)&gt;0,COUNTIFS(Assignments!$C$2:$C$769,$A129,Assignments!$F$2:$F$769,"Director",Assignments!$G$2:$G$769,"Active")=0),AND(IFERROR(INDEX(Templates!$E$3:$E$10,MATCH(Deals!$U81,Templates!$A$3:$A$10,0)),0)&gt;0,COUNTIFS(Assignments!$C$2:$C$769,$A129,Assignments!$F$2:$F$769,"VP",Assignments!$G$2:$G$769,"Active")=0),AND(IFERROR(INDEX(Templates!$F$3:$F$10,MATCH(Deals!$U81,Templates!$A$3:$A$10,0)),0)&gt;0,COUNTIFS(Assignments!$C$2:$C$769,$A129,Assignments!$F$2:$F$769,"Senior Associate",Assignments!$G$2:$G$769,"Active")=0),AND(IFERROR(INDEX(Templates!$G$3:$G$10,MATCH(Deals!$U81,Templates!$A$3:$A$10,0)),0)&gt;0,COUNTIFS(Assignments!$C$2:$C$769,$A129,Assignments!$F$2:$F$769,"Renewable Specialist",Assignments!$G$2:$G$769,"Active")=0),AND(IFERROR(INDEX(Templates!$H$3:$H$10,MATCH(Deals!$U81,Templates!$A$3:$A$10,0)),0)&gt;0,COUNTIFS(Assignments!$C$2:$C$769,$A129,Assignments!$F$2:$F$769,"Associate",Assignments!$G$2:$G$769,"Active")=0)))," MissingLevel","")&amp;IF(AND($C129="Proposal",Deals!$H81=0.5)," DefaultProbability","")&amp;IF($F129="No"," NoDates","")&amp;IF(AND(ISNUMBER($H129),$H129&gt;=Settings!$B$20)," Stale","")))</f>
        <v/>
      </c>
    </row>
    <row r="130">
      <c r="A130" s="16">
        <f>IF(Deals!$A82="","",Deals!$A82)</f>
        <v/>
      </c>
      <c r="B130" s="16">
        <f>IF($A130="","",Deals!$C82)</f>
        <v/>
      </c>
      <c r="C130" s="16">
        <f>IF($A130="","",Deals!$F82)</f>
        <v/>
      </c>
      <c r="D130" s="21">
        <f>IF($A130="","",Deals!$H82)</f>
        <v/>
      </c>
      <c r="E130" s="17">
        <f>IF($A130="","",Deals!$Q82)</f>
        <v/>
      </c>
      <c r="F130" s="16">
        <f>IF($A130="","",IF(AND(Deals!$I82&lt;&gt;"",Deals!$J82&lt;&gt;""),"Yes","No"))</f>
        <v/>
      </c>
      <c r="G130" s="22">
        <f>IF($A130="","",Deals!$Z82)</f>
        <v/>
      </c>
      <c r="H130" s="23">
        <f>IF(OR($A130="",$G130=""),"",INT((Settings!$B$19-$G130)/7))</f>
        <v/>
      </c>
      <c r="I130" s="24">
        <f>IF(OR($A130="",NOT(OR(Deals!$F82="Active",Deals!$F82="Proposal"))),"",TRIM(IF($E130=0," Unstaffed","")&amp;IF(IF(Deals!$U82="",FALSE,OR(AND(IFERROR(INDEX(Templates!$B$3:$B$10,MATCH(Deals!$U82,Templates!$A$3:$A$10,0)),0)&gt;0,COUNTIFS(Assignments!$C$2:$C$769,$A130,Assignments!$F$2:$F$769,"Partner",Assignments!$G$2:$G$769,"Active")=0),AND(IFERROR(INDEX(Templates!$C$3:$C$10,MATCH(Deals!$U82,Templates!$A$3:$A$10,0)),0)&gt;0,COUNTIFS(Assignments!$C$2:$C$769,$A130,Assignments!$F$2:$F$769,"MD",Assignments!$G$2:$G$769,"Active")=0),AND(IFERROR(INDEX(Templates!$D$3:$D$10,MATCH(Deals!$U82,Templates!$A$3:$A$10,0)),0)&gt;0,COUNTIFS(Assignments!$C$2:$C$769,$A130,Assignments!$F$2:$F$769,"Director",Assignments!$G$2:$G$769,"Active")=0),AND(IFERROR(INDEX(Templates!$E$3:$E$10,MATCH(Deals!$U82,Templates!$A$3:$A$10,0)),0)&gt;0,COUNTIFS(Assignments!$C$2:$C$769,$A130,Assignments!$F$2:$F$769,"VP",Assignments!$G$2:$G$769,"Active")=0),AND(IFERROR(INDEX(Templates!$F$3:$F$10,MATCH(Deals!$U82,Templates!$A$3:$A$10,0)),0)&gt;0,COUNTIFS(Assignments!$C$2:$C$769,$A130,Assignments!$F$2:$F$769,"Senior Associate",Assignments!$G$2:$G$769,"Active")=0),AND(IFERROR(INDEX(Templates!$G$3:$G$10,MATCH(Deals!$U82,Templates!$A$3:$A$10,0)),0)&gt;0,COUNTIFS(Assignments!$C$2:$C$769,$A130,Assignments!$F$2:$F$769,"Renewable Specialist",Assignments!$G$2:$G$769,"Active")=0),AND(IFERROR(INDEX(Templates!$H$3:$H$10,MATCH(Deals!$U82,Templates!$A$3:$A$10,0)),0)&gt;0,COUNTIFS(Assignments!$C$2:$C$769,$A130,Assignments!$F$2:$F$769,"Associate",Assignments!$G$2:$G$769,"Active")=0)))," MissingLevel","")&amp;IF(AND($C130="Proposal",Deals!$H82=0.5)," DefaultProbability","")&amp;IF($F130="No"," NoDates","")&amp;IF(AND(ISNUMBER($H130),$H130&gt;=Settings!$B$20)," Stale","")))</f>
        <v/>
      </c>
    </row>
    <row r="131">
      <c r="A131" s="16">
        <f>IF(Deals!$A83="","",Deals!$A83)</f>
        <v/>
      </c>
      <c r="B131" s="16">
        <f>IF($A131="","",Deals!$C83)</f>
        <v/>
      </c>
      <c r="C131" s="16">
        <f>IF($A131="","",Deals!$F83)</f>
        <v/>
      </c>
      <c r="D131" s="21">
        <f>IF($A131="","",Deals!$H83)</f>
        <v/>
      </c>
      <c r="E131" s="17">
        <f>IF($A131="","",Deals!$Q83)</f>
        <v/>
      </c>
      <c r="F131" s="16">
        <f>IF($A131="","",IF(AND(Deals!$I83&lt;&gt;"",Deals!$J83&lt;&gt;""),"Yes","No"))</f>
        <v/>
      </c>
      <c r="G131" s="22">
        <f>IF($A131="","",Deals!$Z83)</f>
        <v/>
      </c>
      <c r="H131" s="23">
        <f>IF(OR($A131="",$G131=""),"",INT((Settings!$B$19-$G131)/7))</f>
        <v/>
      </c>
      <c r="I131" s="24">
        <f>IF(OR($A131="",NOT(OR(Deals!$F83="Active",Deals!$F83="Proposal"))),"",TRIM(IF($E131=0," Unstaffed","")&amp;IF(IF(Deals!$U83="",FALSE,OR(AND(IFERROR(INDEX(Templates!$B$3:$B$10,MATCH(Deals!$U83,Templates!$A$3:$A$10,0)),0)&gt;0,COUNTIFS(Assignments!$C$2:$C$769,$A131,Assignments!$F$2:$F$769,"Partner",Assignments!$G$2:$G$769,"Active")=0),AND(IFERROR(INDEX(Templates!$C$3:$C$10,MATCH(Deals!$U83,Templates!$A$3:$A$10,0)),0)&gt;0,COUNTIFS(Assignments!$C$2:$C$769,$A131,Assignments!$F$2:$F$769,"MD",Assignments!$G$2:$G$769,"Active")=0),AND(IFERROR(INDEX(Templates!$D$3:$D$10,MATCH(Deals!$U83,Templates!$A$3:$A$10,0)),0)&gt;0,COUNTIFS(Assignments!$C$2:$C$769,$A131,Assignments!$F$2:$F$769,"Director",Assignments!$G$2:$G$769,"Active")=0),AND(IFERROR(INDEX(Templates!$E$3:$E$10,MATCH(Deals!$U83,Templates!$A$3:$A$10,0)),0)&gt;0,COUNTIFS(Assignments!$C$2:$C$769,$A131,Assignments!$F$2:$F$769,"VP",Assignments!$G$2:$G$769,"Active")=0),AND(IFERROR(INDEX(Templates!$F$3:$F$10,MATCH(Deals!$U83,Templates!$A$3:$A$10,0)),0)&gt;0,COUNTIFS(Assignments!$C$2:$C$769,$A131,Assignments!$F$2:$F$769,"Senior Associate",Assignments!$G$2:$G$769,"Active")=0),AND(IFERROR(INDEX(Templates!$G$3:$G$10,MATCH(Deals!$U83,Templates!$A$3:$A$10,0)),0)&gt;0,COUNTIFS(Assignments!$C$2:$C$769,$A131,Assignments!$F$2:$F$769,"Renewable Specialist",Assignments!$G$2:$G$769,"Active")=0),AND(IFERROR(INDEX(Templates!$H$3:$H$10,MATCH(Deals!$U83,Templates!$A$3:$A$10,0)),0)&gt;0,COUNTIFS(Assignments!$C$2:$C$769,$A131,Assignments!$F$2:$F$769,"Associate",Assignments!$G$2:$G$769,"Active")=0)))," MissingLevel","")&amp;IF(AND($C131="Proposal",Deals!$H83=0.5)," DefaultProbability","")&amp;IF($F131="No"," NoDates","")&amp;IF(AND(ISNUMBER($H131),$H131&gt;=Settings!$B$20)," Stale","")))</f>
        <v/>
      </c>
    </row>
    <row r="132">
      <c r="A132" s="16">
        <f>IF(Deals!$A84="","",Deals!$A84)</f>
        <v/>
      </c>
      <c r="B132" s="16">
        <f>IF($A132="","",Deals!$C84)</f>
        <v/>
      </c>
      <c r="C132" s="16">
        <f>IF($A132="","",Deals!$F84)</f>
        <v/>
      </c>
      <c r="D132" s="21">
        <f>IF($A132="","",Deals!$H84)</f>
        <v/>
      </c>
      <c r="E132" s="17">
        <f>IF($A132="","",Deals!$Q84)</f>
        <v/>
      </c>
      <c r="F132" s="16">
        <f>IF($A132="","",IF(AND(Deals!$I84&lt;&gt;"",Deals!$J84&lt;&gt;""),"Yes","No"))</f>
        <v/>
      </c>
      <c r="G132" s="22">
        <f>IF($A132="","",Deals!$Z84)</f>
        <v/>
      </c>
      <c r="H132" s="23">
        <f>IF(OR($A132="",$G132=""),"",INT((Settings!$B$19-$G132)/7))</f>
        <v/>
      </c>
      <c r="I132" s="24">
        <f>IF(OR($A132="",NOT(OR(Deals!$F84="Active",Deals!$F84="Proposal"))),"",TRIM(IF($E132=0," Unstaffed","")&amp;IF(IF(Deals!$U84="",FALSE,OR(AND(IFERROR(INDEX(Templates!$B$3:$B$10,MATCH(Deals!$U84,Templates!$A$3:$A$10,0)),0)&gt;0,COUNTIFS(Assignments!$C$2:$C$769,$A132,Assignments!$F$2:$F$769,"Partner",Assignments!$G$2:$G$769,"Active")=0),AND(IFERROR(INDEX(Templates!$C$3:$C$10,MATCH(Deals!$U84,Templates!$A$3:$A$10,0)),0)&gt;0,COUNTIFS(Assignments!$C$2:$C$769,$A132,Assignments!$F$2:$F$769,"MD",Assignments!$G$2:$G$769,"Active")=0),AND(IFERROR(INDEX(Templates!$D$3:$D$10,MATCH(Deals!$U84,Templates!$A$3:$A$10,0)),0)&gt;0,COUNTIFS(Assignments!$C$2:$C$769,$A132,Assignments!$F$2:$F$769,"Director",Assignments!$G$2:$G$769,"Active")=0),AND(IFERROR(INDEX(Templates!$E$3:$E$10,MATCH(Deals!$U84,Templates!$A$3:$A$10,0)),0)&gt;0,COUNTIFS(Assignments!$C$2:$C$769,$A132,Assignments!$F$2:$F$769,"VP",Assignments!$G$2:$G$769,"Active")=0),AND(IFERROR(INDEX(Templates!$F$3:$F$10,MATCH(Deals!$U84,Templates!$A$3:$A$10,0)),0)&gt;0,COUNTIFS(Assignments!$C$2:$C$769,$A132,Assignments!$F$2:$F$769,"Senior Associate",Assignments!$G$2:$G$769,"Active")=0),AND(IFERROR(INDEX(Templates!$G$3:$G$10,MATCH(Deals!$U84,Templates!$A$3:$A$10,0)),0)&gt;0,COUNTIFS(Assignments!$C$2:$C$769,$A132,Assignments!$F$2:$F$769,"Renewable Specialist",Assignments!$G$2:$G$769,"Active")=0),AND(IFERROR(INDEX(Templates!$H$3:$H$10,MATCH(Deals!$U84,Templates!$A$3:$A$10,0)),0)&gt;0,COUNTIFS(Assignments!$C$2:$C$769,$A132,Assignments!$F$2:$F$769,"Associate",Assignments!$G$2:$G$769,"Active")=0)))," MissingLevel","")&amp;IF(AND($C132="Proposal",Deals!$H84=0.5)," DefaultProbability","")&amp;IF($F132="No"," NoDates","")&amp;IF(AND(ISNUMBER($H132),$H132&gt;=Settings!$B$20)," Stale","")))</f>
        <v/>
      </c>
    </row>
    <row r="133">
      <c r="A133" s="16">
        <f>IF(Deals!$A85="","",Deals!$A85)</f>
        <v/>
      </c>
      <c r="B133" s="16">
        <f>IF($A133="","",Deals!$C85)</f>
        <v/>
      </c>
      <c r="C133" s="16">
        <f>IF($A133="","",Deals!$F85)</f>
        <v/>
      </c>
      <c r="D133" s="21">
        <f>IF($A133="","",Deals!$H85)</f>
        <v/>
      </c>
      <c r="E133" s="17">
        <f>IF($A133="","",Deals!$Q85)</f>
        <v/>
      </c>
      <c r="F133" s="16">
        <f>IF($A133="","",IF(AND(Deals!$I85&lt;&gt;"",Deals!$J85&lt;&gt;""),"Yes","No"))</f>
        <v/>
      </c>
      <c r="G133" s="22">
        <f>IF($A133="","",Deals!$Z85)</f>
        <v/>
      </c>
      <c r="H133" s="23">
        <f>IF(OR($A133="",$G133=""),"",INT((Settings!$B$19-$G133)/7))</f>
        <v/>
      </c>
      <c r="I133" s="24">
        <f>IF(OR($A133="",NOT(OR(Deals!$F85="Active",Deals!$F85="Proposal"))),"",TRIM(IF($E133=0," Unstaffed","")&amp;IF(IF(Deals!$U85="",FALSE,OR(AND(IFERROR(INDEX(Templates!$B$3:$B$10,MATCH(Deals!$U85,Templates!$A$3:$A$10,0)),0)&gt;0,COUNTIFS(Assignments!$C$2:$C$769,$A133,Assignments!$F$2:$F$769,"Partner",Assignments!$G$2:$G$769,"Active")=0),AND(IFERROR(INDEX(Templates!$C$3:$C$10,MATCH(Deals!$U85,Templates!$A$3:$A$10,0)),0)&gt;0,COUNTIFS(Assignments!$C$2:$C$769,$A133,Assignments!$F$2:$F$769,"MD",Assignments!$G$2:$G$769,"Active")=0),AND(IFERROR(INDEX(Templates!$D$3:$D$10,MATCH(Deals!$U85,Templates!$A$3:$A$10,0)),0)&gt;0,COUNTIFS(Assignments!$C$2:$C$769,$A133,Assignments!$F$2:$F$769,"Director",Assignments!$G$2:$G$769,"Active")=0),AND(IFERROR(INDEX(Templates!$E$3:$E$10,MATCH(Deals!$U85,Templates!$A$3:$A$10,0)),0)&gt;0,COUNTIFS(Assignments!$C$2:$C$769,$A133,Assignments!$F$2:$F$769,"VP",Assignments!$G$2:$G$769,"Active")=0),AND(IFERROR(INDEX(Templates!$F$3:$F$10,MATCH(Deals!$U85,Templates!$A$3:$A$10,0)),0)&gt;0,COUNTIFS(Assignments!$C$2:$C$769,$A133,Assignments!$F$2:$F$769,"Senior Associate",Assignments!$G$2:$G$769,"Active")=0),AND(IFERROR(INDEX(Templates!$G$3:$G$10,MATCH(Deals!$U85,Templates!$A$3:$A$10,0)),0)&gt;0,COUNTIFS(Assignments!$C$2:$C$769,$A133,Assignments!$F$2:$F$769,"Renewable Specialist",Assignments!$G$2:$G$769,"Active")=0),AND(IFERROR(INDEX(Templates!$H$3:$H$10,MATCH(Deals!$U85,Templates!$A$3:$A$10,0)),0)&gt;0,COUNTIFS(Assignments!$C$2:$C$769,$A133,Assignments!$F$2:$F$769,"Associate",Assignments!$G$2:$G$769,"Active")=0)))," MissingLevel","")&amp;IF(AND($C133="Proposal",Deals!$H85=0.5)," DefaultProbability","")&amp;IF($F133="No"," NoDates","")&amp;IF(AND(ISNUMBER($H133),$H133&gt;=Settings!$B$20)," Stale","")))</f>
        <v/>
      </c>
    </row>
    <row r="134">
      <c r="A134" s="16">
        <f>IF(Deals!$A86="","",Deals!$A86)</f>
        <v/>
      </c>
      <c r="B134" s="16">
        <f>IF($A134="","",Deals!$C86)</f>
        <v/>
      </c>
      <c r="C134" s="16">
        <f>IF($A134="","",Deals!$F86)</f>
        <v/>
      </c>
      <c r="D134" s="21">
        <f>IF($A134="","",Deals!$H86)</f>
        <v/>
      </c>
      <c r="E134" s="17">
        <f>IF($A134="","",Deals!$Q86)</f>
        <v/>
      </c>
      <c r="F134" s="16">
        <f>IF($A134="","",IF(AND(Deals!$I86&lt;&gt;"",Deals!$J86&lt;&gt;""),"Yes","No"))</f>
        <v/>
      </c>
      <c r="G134" s="22">
        <f>IF($A134="","",Deals!$Z86)</f>
        <v/>
      </c>
      <c r="H134" s="23">
        <f>IF(OR($A134="",$G134=""),"",INT((Settings!$B$19-$G134)/7))</f>
        <v/>
      </c>
      <c r="I134" s="24">
        <f>IF(OR($A134="",NOT(OR(Deals!$F86="Active",Deals!$F86="Proposal"))),"",TRIM(IF($E134=0," Unstaffed","")&amp;IF(IF(Deals!$U86="",FALSE,OR(AND(IFERROR(INDEX(Templates!$B$3:$B$10,MATCH(Deals!$U86,Templates!$A$3:$A$10,0)),0)&gt;0,COUNTIFS(Assignments!$C$2:$C$769,$A134,Assignments!$F$2:$F$769,"Partner",Assignments!$G$2:$G$769,"Active")=0),AND(IFERROR(INDEX(Templates!$C$3:$C$10,MATCH(Deals!$U86,Templates!$A$3:$A$10,0)),0)&gt;0,COUNTIFS(Assignments!$C$2:$C$769,$A134,Assignments!$F$2:$F$769,"MD",Assignments!$G$2:$G$769,"Active")=0),AND(IFERROR(INDEX(Templates!$D$3:$D$10,MATCH(Deals!$U86,Templates!$A$3:$A$10,0)),0)&gt;0,COUNTIFS(Assignments!$C$2:$C$769,$A134,Assignments!$F$2:$F$769,"Director",Assignments!$G$2:$G$769,"Active")=0),AND(IFERROR(INDEX(Templates!$E$3:$E$10,MATCH(Deals!$U86,Templates!$A$3:$A$10,0)),0)&gt;0,COUNTIFS(Assignments!$C$2:$C$769,$A134,Assignments!$F$2:$F$769,"VP",Assignments!$G$2:$G$769,"Active")=0),AND(IFERROR(INDEX(Templates!$F$3:$F$10,MATCH(Deals!$U86,Templates!$A$3:$A$10,0)),0)&gt;0,COUNTIFS(Assignments!$C$2:$C$769,$A134,Assignments!$F$2:$F$769,"Senior Associate",Assignments!$G$2:$G$769,"Active")=0),AND(IFERROR(INDEX(Templates!$G$3:$G$10,MATCH(Deals!$U86,Templates!$A$3:$A$10,0)),0)&gt;0,COUNTIFS(Assignments!$C$2:$C$769,$A134,Assignments!$F$2:$F$769,"Renewable Specialist",Assignments!$G$2:$G$769,"Active")=0),AND(IFERROR(INDEX(Templates!$H$3:$H$10,MATCH(Deals!$U86,Templates!$A$3:$A$10,0)),0)&gt;0,COUNTIFS(Assignments!$C$2:$C$769,$A134,Assignments!$F$2:$F$769,"Associate",Assignments!$G$2:$G$769,"Active")=0)))," MissingLevel","")&amp;IF(AND($C134="Proposal",Deals!$H86=0.5)," DefaultProbability","")&amp;IF($F134="No"," NoDates","")&amp;IF(AND(ISNUMBER($H134),$H134&gt;=Settings!$B$20)," Stale","")))</f>
        <v/>
      </c>
    </row>
    <row r="135">
      <c r="A135" s="16">
        <f>IF(Deals!$A87="","",Deals!$A87)</f>
        <v/>
      </c>
      <c r="B135" s="16">
        <f>IF($A135="","",Deals!$C87)</f>
        <v/>
      </c>
      <c r="C135" s="16">
        <f>IF($A135="","",Deals!$F87)</f>
        <v/>
      </c>
      <c r="D135" s="21">
        <f>IF($A135="","",Deals!$H87)</f>
        <v/>
      </c>
      <c r="E135" s="17">
        <f>IF($A135="","",Deals!$Q87)</f>
        <v/>
      </c>
      <c r="F135" s="16">
        <f>IF($A135="","",IF(AND(Deals!$I87&lt;&gt;"",Deals!$J87&lt;&gt;""),"Yes","No"))</f>
        <v/>
      </c>
      <c r="G135" s="22">
        <f>IF($A135="","",Deals!$Z87)</f>
        <v/>
      </c>
      <c r="H135" s="23">
        <f>IF(OR($A135="",$G135=""),"",INT((Settings!$B$19-$G135)/7))</f>
        <v/>
      </c>
      <c r="I135" s="24">
        <f>IF(OR($A135="",NOT(OR(Deals!$F87="Active",Deals!$F87="Proposal"))),"",TRIM(IF($E135=0," Unstaffed","")&amp;IF(IF(Deals!$U87="",FALSE,OR(AND(IFERROR(INDEX(Templates!$B$3:$B$10,MATCH(Deals!$U87,Templates!$A$3:$A$10,0)),0)&gt;0,COUNTIFS(Assignments!$C$2:$C$769,$A135,Assignments!$F$2:$F$769,"Partner",Assignments!$G$2:$G$769,"Active")=0),AND(IFERROR(INDEX(Templates!$C$3:$C$10,MATCH(Deals!$U87,Templates!$A$3:$A$10,0)),0)&gt;0,COUNTIFS(Assignments!$C$2:$C$769,$A135,Assignments!$F$2:$F$769,"MD",Assignments!$G$2:$G$769,"Active")=0),AND(IFERROR(INDEX(Templates!$D$3:$D$10,MATCH(Deals!$U87,Templates!$A$3:$A$10,0)),0)&gt;0,COUNTIFS(Assignments!$C$2:$C$769,$A135,Assignments!$F$2:$F$769,"Director",Assignments!$G$2:$G$769,"Active")=0),AND(IFERROR(INDEX(Templates!$E$3:$E$10,MATCH(Deals!$U87,Templates!$A$3:$A$10,0)),0)&gt;0,COUNTIFS(Assignments!$C$2:$C$769,$A135,Assignments!$F$2:$F$769,"VP",Assignments!$G$2:$G$769,"Active")=0),AND(IFERROR(INDEX(Templates!$F$3:$F$10,MATCH(Deals!$U87,Templates!$A$3:$A$10,0)),0)&gt;0,COUNTIFS(Assignments!$C$2:$C$769,$A135,Assignments!$F$2:$F$769,"Senior Associate",Assignments!$G$2:$G$769,"Active")=0),AND(IFERROR(INDEX(Templates!$G$3:$G$10,MATCH(Deals!$U87,Templates!$A$3:$A$10,0)),0)&gt;0,COUNTIFS(Assignments!$C$2:$C$769,$A135,Assignments!$F$2:$F$769,"Renewable Specialist",Assignments!$G$2:$G$769,"Active")=0),AND(IFERROR(INDEX(Templates!$H$3:$H$10,MATCH(Deals!$U87,Templates!$A$3:$A$10,0)),0)&gt;0,COUNTIFS(Assignments!$C$2:$C$769,$A135,Assignments!$F$2:$F$769,"Associate",Assignments!$G$2:$G$769,"Active")=0)))," MissingLevel","")&amp;IF(AND($C135="Proposal",Deals!$H87=0.5)," DefaultProbability","")&amp;IF($F135="No"," NoDates","")&amp;IF(AND(ISNUMBER($H135),$H135&gt;=Settings!$B$20)," Stale","")))</f>
        <v/>
      </c>
    </row>
    <row r="136">
      <c r="A136" s="16">
        <f>IF(Deals!$A88="","",Deals!$A88)</f>
        <v/>
      </c>
      <c r="B136" s="16">
        <f>IF($A136="","",Deals!$C88)</f>
        <v/>
      </c>
      <c r="C136" s="16">
        <f>IF($A136="","",Deals!$F88)</f>
        <v/>
      </c>
      <c r="D136" s="21">
        <f>IF($A136="","",Deals!$H88)</f>
        <v/>
      </c>
      <c r="E136" s="17">
        <f>IF($A136="","",Deals!$Q88)</f>
        <v/>
      </c>
      <c r="F136" s="16">
        <f>IF($A136="","",IF(AND(Deals!$I88&lt;&gt;"",Deals!$J88&lt;&gt;""),"Yes","No"))</f>
        <v/>
      </c>
      <c r="G136" s="22">
        <f>IF($A136="","",Deals!$Z88)</f>
        <v/>
      </c>
      <c r="H136" s="23">
        <f>IF(OR($A136="",$G136=""),"",INT((Settings!$B$19-$G136)/7))</f>
        <v/>
      </c>
      <c r="I136" s="24">
        <f>IF(OR($A136="",NOT(OR(Deals!$F88="Active",Deals!$F88="Proposal"))),"",TRIM(IF($E136=0," Unstaffed","")&amp;IF(IF(Deals!$U88="",FALSE,OR(AND(IFERROR(INDEX(Templates!$B$3:$B$10,MATCH(Deals!$U88,Templates!$A$3:$A$10,0)),0)&gt;0,COUNTIFS(Assignments!$C$2:$C$769,$A136,Assignments!$F$2:$F$769,"Partner",Assignments!$G$2:$G$769,"Active")=0),AND(IFERROR(INDEX(Templates!$C$3:$C$10,MATCH(Deals!$U88,Templates!$A$3:$A$10,0)),0)&gt;0,COUNTIFS(Assignments!$C$2:$C$769,$A136,Assignments!$F$2:$F$769,"MD",Assignments!$G$2:$G$769,"Active")=0),AND(IFERROR(INDEX(Templates!$D$3:$D$10,MATCH(Deals!$U88,Templates!$A$3:$A$10,0)),0)&gt;0,COUNTIFS(Assignments!$C$2:$C$769,$A136,Assignments!$F$2:$F$769,"Director",Assignments!$G$2:$G$769,"Active")=0),AND(IFERROR(INDEX(Templates!$E$3:$E$10,MATCH(Deals!$U88,Templates!$A$3:$A$10,0)),0)&gt;0,COUNTIFS(Assignments!$C$2:$C$769,$A136,Assignments!$F$2:$F$769,"VP",Assignments!$G$2:$G$769,"Active")=0),AND(IFERROR(INDEX(Templates!$F$3:$F$10,MATCH(Deals!$U88,Templates!$A$3:$A$10,0)),0)&gt;0,COUNTIFS(Assignments!$C$2:$C$769,$A136,Assignments!$F$2:$F$769,"Senior Associate",Assignments!$G$2:$G$769,"Active")=0),AND(IFERROR(INDEX(Templates!$G$3:$G$10,MATCH(Deals!$U88,Templates!$A$3:$A$10,0)),0)&gt;0,COUNTIFS(Assignments!$C$2:$C$769,$A136,Assignments!$F$2:$F$769,"Renewable Specialist",Assignments!$G$2:$G$769,"Active")=0),AND(IFERROR(INDEX(Templates!$H$3:$H$10,MATCH(Deals!$U88,Templates!$A$3:$A$10,0)),0)&gt;0,COUNTIFS(Assignments!$C$2:$C$769,$A136,Assignments!$F$2:$F$769,"Associate",Assignments!$G$2:$G$769,"Active")=0)))," MissingLevel","")&amp;IF(AND($C136="Proposal",Deals!$H88=0.5)," DefaultProbability","")&amp;IF($F136="No"," NoDates","")&amp;IF(AND(ISNUMBER($H136),$H136&gt;=Settings!$B$20)," Stale","")))</f>
        <v/>
      </c>
    </row>
    <row r="137">
      <c r="A137" s="16">
        <f>IF(Deals!$A89="","",Deals!$A89)</f>
        <v/>
      </c>
      <c r="B137" s="16">
        <f>IF($A137="","",Deals!$C89)</f>
        <v/>
      </c>
      <c r="C137" s="16">
        <f>IF($A137="","",Deals!$F89)</f>
        <v/>
      </c>
      <c r="D137" s="21">
        <f>IF($A137="","",Deals!$H89)</f>
        <v/>
      </c>
      <c r="E137" s="17">
        <f>IF($A137="","",Deals!$Q89)</f>
        <v/>
      </c>
      <c r="F137" s="16">
        <f>IF($A137="","",IF(AND(Deals!$I89&lt;&gt;"",Deals!$J89&lt;&gt;""),"Yes","No"))</f>
        <v/>
      </c>
      <c r="G137" s="22">
        <f>IF($A137="","",Deals!$Z89)</f>
        <v/>
      </c>
      <c r="H137" s="23">
        <f>IF(OR($A137="",$G137=""),"",INT((Settings!$B$19-$G137)/7))</f>
        <v/>
      </c>
      <c r="I137" s="24">
        <f>IF(OR($A137="",NOT(OR(Deals!$F89="Active",Deals!$F89="Proposal"))),"",TRIM(IF($E137=0," Unstaffed","")&amp;IF(IF(Deals!$U89="",FALSE,OR(AND(IFERROR(INDEX(Templates!$B$3:$B$10,MATCH(Deals!$U89,Templates!$A$3:$A$10,0)),0)&gt;0,COUNTIFS(Assignments!$C$2:$C$769,$A137,Assignments!$F$2:$F$769,"Partner",Assignments!$G$2:$G$769,"Active")=0),AND(IFERROR(INDEX(Templates!$C$3:$C$10,MATCH(Deals!$U89,Templates!$A$3:$A$10,0)),0)&gt;0,COUNTIFS(Assignments!$C$2:$C$769,$A137,Assignments!$F$2:$F$769,"MD",Assignments!$G$2:$G$769,"Active")=0),AND(IFERROR(INDEX(Templates!$D$3:$D$10,MATCH(Deals!$U89,Templates!$A$3:$A$10,0)),0)&gt;0,COUNTIFS(Assignments!$C$2:$C$769,$A137,Assignments!$F$2:$F$769,"Director",Assignments!$G$2:$G$769,"Active")=0),AND(IFERROR(INDEX(Templates!$E$3:$E$10,MATCH(Deals!$U89,Templates!$A$3:$A$10,0)),0)&gt;0,COUNTIFS(Assignments!$C$2:$C$769,$A137,Assignments!$F$2:$F$769,"VP",Assignments!$G$2:$G$769,"Active")=0),AND(IFERROR(INDEX(Templates!$F$3:$F$10,MATCH(Deals!$U89,Templates!$A$3:$A$10,0)),0)&gt;0,COUNTIFS(Assignments!$C$2:$C$769,$A137,Assignments!$F$2:$F$769,"Senior Associate",Assignments!$G$2:$G$769,"Active")=0),AND(IFERROR(INDEX(Templates!$G$3:$G$10,MATCH(Deals!$U89,Templates!$A$3:$A$10,0)),0)&gt;0,COUNTIFS(Assignments!$C$2:$C$769,$A137,Assignments!$F$2:$F$769,"Renewable Specialist",Assignments!$G$2:$G$769,"Active")=0),AND(IFERROR(INDEX(Templates!$H$3:$H$10,MATCH(Deals!$U89,Templates!$A$3:$A$10,0)),0)&gt;0,COUNTIFS(Assignments!$C$2:$C$769,$A137,Assignments!$F$2:$F$769,"Associate",Assignments!$G$2:$G$769,"Active")=0)))," MissingLevel","")&amp;IF(AND($C137="Proposal",Deals!$H89=0.5)," DefaultProbability","")&amp;IF($F137="No"," NoDates","")&amp;IF(AND(ISNUMBER($H137),$H137&gt;=Settings!$B$20)," Stale","")))</f>
        <v/>
      </c>
    </row>
    <row r="138">
      <c r="A138" s="16">
        <f>IF(Deals!$A90="","",Deals!$A90)</f>
        <v/>
      </c>
      <c r="B138" s="16">
        <f>IF($A138="","",Deals!$C90)</f>
        <v/>
      </c>
      <c r="C138" s="16">
        <f>IF($A138="","",Deals!$F90)</f>
        <v/>
      </c>
      <c r="D138" s="21">
        <f>IF($A138="","",Deals!$H90)</f>
        <v/>
      </c>
      <c r="E138" s="17">
        <f>IF($A138="","",Deals!$Q90)</f>
        <v/>
      </c>
      <c r="F138" s="16">
        <f>IF($A138="","",IF(AND(Deals!$I90&lt;&gt;"",Deals!$J90&lt;&gt;""),"Yes","No"))</f>
        <v/>
      </c>
      <c r="G138" s="22">
        <f>IF($A138="","",Deals!$Z90)</f>
        <v/>
      </c>
      <c r="H138" s="23">
        <f>IF(OR($A138="",$G138=""),"",INT((Settings!$B$19-$G138)/7))</f>
        <v/>
      </c>
      <c r="I138" s="24">
        <f>IF(OR($A138="",NOT(OR(Deals!$F90="Active",Deals!$F90="Proposal"))),"",TRIM(IF($E138=0," Unstaffed","")&amp;IF(IF(Deals!$U90="",FALSE,OR(AND(IFERROR(INDEX(Templates!$B$3:$B$10,MATCH(Deals!$U90,Templates!$A$3:$A$10,0)),0)&gt;0,COUNTIFS(Assignments!$C$2:$C$769,$A138,Assignments!$F$2:$F$769,"Partner",Assignments!$G$2:$G$769,"Active")=0),AND(IFERROR(INDEX(Templates!$C$3:$C$10,MATCH(Deals!$U90,Templates!$A$3:$A$10,0)),0)&gt;0,COUNTIFS(Assignments!$C$2:$C$769,$A138,Assignments!$F$2:$F$769,"MD",Assignments!$G$2:$G$769,"Active")=0),AND(IFERROR(INDEX(Templates!$D$3:$D$10,MATCH(Deals!$U90,Templates!$A$3:$A$10,0)),0)&gt;0,COUNTIFS(Assignments!$C$2:$C$769,$A138,Assignments!$F$2:$F$769,"Director",Assignments!$G$2:$G$769,"Active")=0),AND(IFERROR(INDEX(Templates!$E$3:$E$10,MATCH(Deals!$U90,Templates!$A$3:$A$10,0)),0)&gt;0,COUNTIFS(Assignments!$C$2:$C$769,$A138,Assignments!$F$2:$F$769,"VP",Assignments!$G$2:$G$769,"Active")=0),AND(IFERROR(INDEX(Templates!$F$3:$F$10,MATCH(Deals!$U90,Templates!$A$3:$A$10,0)),0)&gt;0,COUNTIFS(Assignments!$C$2:$C$769,$A138,Assignments!$F$2:$F$769,"Senior Associate",Assignments!$G$2:$G$769,"Active")=0),AND(IFERROR(INDEX(Templates!$G$3:$G$10,MATCH(Deals!$U90,Templates!$A$3:$A$10,0)),0)&gt;0,COUNTIFS(Assignments!$C$2:$C$769,$A138,Assignments!$F$2:$F$769,"Renewable Specialist",Assignments!$G$2:$G$769,"Active")=0),AND(IFERROR(INDEX(Templates!$H$3:$H$10,MATCH(Deals!$U90,Templates!$A$3:$A$10,0)),0)&gt;0,COUNTIFS(Assignments!$C$2:$C$769,$A138,Assignments!$F$2:$F$769,"Associate",Assignments!$G$2:$G$769,"Active")=0)))," MissingLevel","")&amp;IF(AND($C138="Proposal",Deals!$H90=0.5)," DefaultProbability","")&amp;IF($F138="No"," NoDates","")&amp;IF(AND(ISNUMBER($H138),$H138&gt;=Settings!$B$20)," Stale","")))</f>
        <v/>
      </c>
    </row>
    <row r="139">
      <c r="A139" s="16">
        <f>IF(Deals!$A91="","",Deals!$A91)</f>
        <v/>
      </c>
      <c r="B139" s="16">
        <f>IF($A139="","",Deals!$C91)</f>
        <v/>
      </c>
      <c r="C139" s="16">
        <f>IF($A139="","",Deals!$F91)</f>
        <v/>
      </c>
      <c r="D139" s="21">
        <f>IF($A139="","",Deals!$H91)</f>
        <v/>
      </c>
      <c r="E139" s="17">
        <f>IF($A139="","",Deals!$Q91)</f>
        <v/>
      </c>
      <c r="F139" s="16">
        <f>IF($A139="","",IF(AND(Deals!$I91&lt;&gt;"",Deals!$J91&lt;&gt;""),"Yes","No"))</f>
        <v/>
      </c>
      <c r="G139" s="22">
        <f>IF($A139="","",Deals!$Z91)</f>
        <v/>
      </c>
      <c r="H139" s="23">
        <f>IF(OR($A139="",$G139=""),"",INT((Settings!$B$19-$G139)/7))</f>
        <v/>
      </c>
      <c r="I139" s="24">
        <f>IF(OR($A139="",NOT(OR(Deals!$F91="Active",Deals!$F91="Proposal"))),"",TRIM(IF($E139=0," Unstaffed","")&amp;IF(IF(Deals!$U91="",FALSE,OR(AND(IFERROR(INDEX(Templates!$B$3:$B$10,MATCH(Deals!$U91,Templates!$A$3:$A$10,0)),0)&gt;0,COUNTIFS(Assignments!$C$2:$C$769,$A139,Assignments!$F$2:$F$769,"Partner",Assignments!$G$2:$G$769,"Active")=0),AND(IFERROR(INDEX(Templates!$C$3:$C$10,MATCH(Deals!$U91,Templates!$A$3:$A$10,0)),0)&gt;0,COUNTIFS(Assignments!$C$2:$C$769,$A139,Assignments!$F$2:$F$769,"MD",Assignments!$G$2:$G$769,"Active")=0),AND(IFERROR(INDEX(Templates!$D$3:$D$10,MATCH(Deals!$U91,Templates!$A$3:$A$10,0)),0)&gt;0,COUNTIFS(Assignments!$C$2:$C$769,$A139,Assignments!$F$2:$F$769,"Director",Assignments!$G$2:$G$769,"Active")=0),AND(IFERROR(INDEX(Templates!$E$3:$E$10,MATCH(Deals!$U91,Templates!$A$3:$A$10,0)),0)&gt;0,COUNTIFS(Assignments!$C$2:$C$769,$A139,Assignments!$F$2:$F$769,"VP",Assignments!$G$2:$G$769,"Active")=0),AND(IFERROR(INDEX(Templates!$F$3:$F$10,MATCH(Deals!$U91,Templates!$A$3:$A$10,0)),0)&gt;0,COUNTIFS(Assignments!$C$2:$C$769,$A139,Assignments!$F$2:$F$769,"Senior Associate",Assignments!$G$2:$G$769,"Active")=0),AND(IFERROR(INDEX(Templates!$G$3:$G$10,MATCH(Deals!$U91,Templates!$A$3:$A$10,0)),0)&gt;0,COUNTIFS(Assignments!$C$2:$C$769,$A139,Assignments!$F$2:$F$769,"Renewable Specialist",Assignments!$G$2:$G$769,"Active")=0),AND(IFERROR(INDEX(Templates!$H$3:$H$10,MATCH(Deals!$U91,Templates!$A$3:$A$10,0)),0)&gt;0,COUNTIFS(Assignments!$C$2:$C$769,$A139,Assignments!$F$2:$F$769,"Associate",Assignments!$G$2:$G$769,"Active")=0)))," MissingLevel","")&amp;IF(AND($C139="Proposal",Deals!$H91=0.5)," DefaultProbability","")&amp;IF($F139="No"," NoDates","")&amp;IF(AND(ISNUMBER($H139),$H139&gt;=Settings!$B$20)," Stale","")))</f>
        <v/>
      </c>
    </row>
    <row r="140">
      <c r="A140" s="16">
        <f>IF(Deals!$A92="","",Deals!$A92)</f>
        <v/>
      </c>
      <c r="B140" s="16">
        <f>IF($A140="","",Deals!$C92)</f>
        <v/>
      </c>
      <c r="C140" s="16">
        <f>IF($A140="","",Deals!$F92)</f>
        <v/>
      </c>
      <c r="D140" s="21">
        <f>IF($A140="","",Deals!$H92)</f>
        <v/>
      </c>
      <c r="E140" s="17">
        <f>IF($A140="","",Deals!$Q92)</f>
        <v/>
      </c>
      <c r="F140" s="16">
        <f>IF($A140="","",IF(AND(Deals!$I92&lt;&gt;"",Deals!$J92&lt;&gt;""),"Yes","No"))</f>
        <v/>
      </c>
      <c r="G140" s="22">
        <f>IF($A140="","",Deals!$Z92)</f>
        <v/>
      </c>
      <c r="H140" s="23">
        <f>IF(OR($A140="",$G140=""),"",INT((Settings!$B$19-$G140)/7))</f>
        <v/>
      </c>
      <c r="I140" s="24">
        <f>IF(OR($A140="",NOT(OR(Deals!$F92="Active",Deals!$F92="Proposal"))),"",TRIM(IF($E140=0," Unstaffed","")&amp;IF(IF(Deals!$U92="",FALSE,OR(AND(IFERROR(INDEX(Templates!$B$3:$B$10,MATCH(Deals!$U92,Templates!$A$3:$A$10,0)),0)&gt;0,COUNTIFS(Assignments!$C$2:$C$769,$A140,Assignments!$F$2:$F$769,"Partner",Assignments!$G$2:$G$769,"Active")=0),AND(IFERROR(INDEX(Templates!$C$3:$C$10,MATCH(Deals!$U92,Templates!$A$3:$A$10,0)),0)&gt;0,COUNTIFS(Assignments!$C$2:$C$769,$A140,Assignments!$F$2:$F$769,"MD",Assignments!$G$2:$G$769,"Active")=0),AND(IFERROR(INDEX(Templates!$D$3:$D$10,MATCH(Deals!$U92,Templates!$A$3:$A$10,0)),0)&gt;0,COUNTIFS(Assignments!$C$2:$C$769,$A140,Assignments!$F$2:$F$769,"Director",Assignments!$G$2:$G$769,"Active")=0),AND(IFERROR(INDEX(Templates!$E$3:$E$10,MATCH(Deals!$U92,Templates!$A$3:$A$10,0)),0)&gt;0,COUNTIFS(Assignments!$C$2:$C$769,$A140,Assignments!$F$2:$F$769,"VP",Assignments!$G$2:$G$769,"Active")=0),AND(IFERROR(INDEX(Templates!$F$3:$F$10,MATCH(Deals!$U92,Templates!$A$3:$A$10,0)),0)&gt;0,COUNTIFS(Assignments!$C$2:$C$769,$A140,Assignments!$F$2:$F$769,"Senior Associate",Assignments!$G$2:$G$769,"Active")=0),AND(IFERROR(INDEX(Templates!$G$3:$G$10,MATCH(Deals!$U92,Templates!$A$3:$A$10,0)),0)&gt;0,COUNTIFS(Assignments!$C$2:$C$769,$A140,Assignments!$F$2:$F$769,"Renewable Specialist",Assignments!$G$2:$G$769,"Active")=0),AND(IFERROR(INDEX(Templates!$H$3:$H$10,MATCH(Deals!$U92,Templates!$A$3:$A$10,0)),0)&gt;0,COUNTIFS(Assignments!$C$2:$C$769,$A140,Assignments!$F$2:$F$769,"Associate",Assignments!$G$2:$G$769,"Active")=0)))," MissingLevel","")&amp;IF(AND($C140="Proposal",Deals!$H92=0.5)," DefaultProbability","")&amp;IF($F140="No"," NoDates","")&amp;IF(AND(ISNUMBER($H140),$H140&gt;=Settings!$B$20)," Stale","")))</f>
        <v/>
      </c>
    </row>
    <row r="141">
      <c r="A141" s="16">
        <f>IF(Deals!$A93="","",Deals!$A93)</f>
        <v/>
      </c>
      <c r="B141" s="16">
        <f>IF($A141="","",Deals!$C93)</f>
        <v/>
      </c>
      <c r="C141" s="16">
        <f>IF($A141="","",Deals!$F93)</f>
        <v/>
      </c>
      <c r="D141" s="21">
        <f>IF($A141="","",Deals!$H93)</f>
        <v/>
      </c>
      <c r="E141" s="17">
        <f>IF($A141="","",Deals!$Q93)</f>
        <v/>
      </c>
      <c r="F141" s="16">
        <f>IF($A141="","",IF(AND(Deals!$I93&lt;&gt;"",Deals!$J93&lt;&gt;""),"Yes","No"))</f>
        <v/>
      </c>
      <c r="G141" s="22">
        <f>IF($A141="","",Deals!$Z93)</f>
        <v/>
      </c>
      <c r="H141" s="23">
        <f>IF(OR($A141="",$G141=""),"",INT((Settings!$B$19-$G141)/7))</f>
        <v/>
      </c>
      <c r="I141" s="24">
        <f>IF(OR($A141="",NOT(OR(Deals!$F93="Active",Deals!$F93="Proposal"))),"",TRIM(IF($E141=0," Unstaffed","")&amp;IF(IF(Deals!$U93="",FALSE,OR(AND(IFERROR(INDEX(Templates!$B$3:$B$10,MATCH(Deals!$U93,Templates!$A$3:$A$10,0)),0)&gt;0,COUNTIFS(Assignments!$C$2:$C$769,$A141,Assignments!$F$2:$F$769,"Partner",Assignments!$G$2:$G$769,"Active")=0),AND(IFERROR(INDEX(Templates!$C$3:$C$10,MATCH(Deals!$U93,Templates!$A$3:$A$10,0)),0)&gt;0,COUNTIFS(Assignments!$C$2:$C$769,$A141,Assignments!$F$2:$F$769,"MD",Assignments!$G$2:$G$769,"Active")=0),AND(IFERROR(INDEX(Templates!$D$3:$D$10,MATCH(Deals!$U93,Templates!$A$3:$A$10,0)),0)&gt;0,COUNTIFS(Assignments!$C$2:$C$769,$A141,Assignments!$F$2:$F$769,"Director",Assignments!$G$2:$G$769,"Active")=0),AND(IFERROR(INDEX(Templates!$E$3:$E$10,MATCH(Deals!$U93,Templates!$A$3:$A$10,0)),0)&gt;0,COUNTIFS(Assignments!$C$2:$C$769,$A141,Assignments!$F$2:$F$769,"VP",Assignments!$G$2:$G$769,"Active")=0),AND(IFERROR(INDEX(Templates!$F$3:$F$10,MATCH(Deals!$U93,Templates!$A$3:$A$10,0)),0)&gt;0,COUNTIFS(Assignments!$C$2:$C$769,$A141,Assignments!$F$2:$F$769,"Senior Associate",Assignments!$G$2:$G$769,"Active")=0),AND(IFERROR(INDEX(Templates!$G$3:$G$10,MATCH(Deals!$U93,Templates!$A$3:$A$10,0)),0)&gt;0,COUNTIFS(Assignments!$C$2:$C$769,$A141,Assignments!$F$2:$F$769,"Renewable Specialist",Assignments!$G$2:$G$769,"Active")=0),AND(IFERROR(INDEX(Templates!$H$3:$H$10,MATCH(Deals!$U93,Templates!$A$3:$A$10,0)),0)&gt;0,COUNTIFS(Assignments!$C$2:$C$769,$A141,Assignments!$F$2:$F$769,"Associate",Assignments!$G$2:$G$769,"Active")=0)))," MissingLevel","")&amp;IF(AND($C141="Proposal",Deals!$H93=0.5)," DefaultProbability","")&amp;IF($F141="No"," NoDates","")&amp;IF(AND(ISNUMBER($H141),$H141&gt;=Settings!$B$20)," Stale","")))</f>
        <v/>
      </c>
    </row>
    <row r="142">
      <c r="A142" s="16">
        <f>IF(Deals!$A94="","",Deals!$A94)</f>
        <v/>
      </c>
      <c r="B142" s="16">
        <f>IF($A142="","",Deals!$C94)</f>
        <v/>
      </c>
      <c r="C142" s="16">
        <f>IF($A142="","",Deals!$F94)</f>
        <v/>
      </c>
      <c r="D142" s="21">
        <f>IF($A142="","",Deals!$H94)</f>
        <v/>
      </c>
      <c r="E142" s="17">
        <f>IF($A142="","",Deals!$Q94)</f>
        <v/>
      </c>
      <c r="F142" s="16">
        <f>IF($A142="","",IF(AND(Deals!$I94&lt;&gt;"",Deals!$J94&lt;&gt;""),"Yes","No"))</f>
        <v/>
      </c>
      <c r="G142" s="22">
        <f>IF($A142="","",Deals!$Z94)</f>
        <v/>
      </c>
      <c r="H142" s="23">
        <f>IF(OR($A142="",$G142=""),"",INT((Settings!$B$19-$G142)/7))</f>
        <v/>
      </c>
      <c r="I142" s="24">
        <f>IF(OR($A142="",NOT(OR(Deals!$F94="Active",Deals!$F94="Proposal"))),"",TRIM(IF($E142=0," Unstaffed","")&amp;IF(IF(Deals!$U94="",FALSE,OR(AND(IFERROR(INDEX(Templates!$B$3:$B$10,MATCH(Deals!$U94,Templates!$A$3:$A$10,0)),0)&gt;0,COUNTIFS(Assignments!$C$2:$C$769,$A142,Assignments!$F$2:$F$769,"Partner",Assignments!$G$2:$G$769,"Active")=0),AND(IFERROR(INDEX(Templates!$C$3:$C$10,MATCH(Deals!$U94,Templates!$A$3:$A$10,0)),0)&gt;0,COUNTIFS(Assignments!$C$2:$C$769,$A142,Assignments!$F$2:$F$769,"MD",Assignments!$G$2:$G$769,"Active")=0),AND(IFERROR(INDEX(Templates!$D$3:$D$10,MATCH(Deals!$U94,Templates!$A$3:$A$10,0)),0)&gt;0,COUNTIFS(Assignments!$C$2:$C$769,$A142,Assignments!$F$2:$F$769,"Director",Assignments!$G$2:$G$769,"Active")=0),AND(IFERROR(INDEX(Templates!$E$3:$E$10,MATCH(Deals!$U94,Templates!$A$3:$A$10,0)),0)&gt;0,COUNTIFS(Assignments!$C$2:$C$769,$A142,Assignments!$F$2:$F$769,"VP",Assignments!$G$2:$G$769,"Active")=0),AND(IFERROR(INDEX(Templates!$F$3:$F$10,MATCH(Deals!$U94,Templates!$A$3:$A$10,0)),0)&gt;0,COUNTIFS(Assignments!$C$2:$C$769,$A142,Assignments!$F$2:$F$769,"Senior Associate",Assignments!$G$2:$G$769,"Active")=0),AND(IFERROR(INDEX(Templates!$G$3:$G$10,MATCH(Deals!$U94,Templates!$A$3:$A$10,0)),0)&gt;0,COUNTIFS(Assignments!$C$2:$C$769,$A142,Assignments!$F$2:$F$769,"Renewable Specialist",Assignments!$G$2:$G$769,"Active")=0),AND(IFERROR(INDEX(Templates!$H$3:$H$10,MATCH(Deals!$U94,Templates!$A$3:$A$10,0)),0)&gt;0,COUNTIFS(Assignments!$C$2:$C$769,$A142,Assignments!$F$2:$F$769,"Associate",Assignments!$G$2:$G$769,"Active")=0)))," MissingLevel","")&amp;IF(AND($C142="Proposal",Deals!$H94=0.5)," DefaultProbability","")&amp;IF($F142="No"," NoDates","")&amp;IF(AND(ISNUMBER($H142),$H142&gt;=Settings!$B$20)," Stale","")))</f>
        <v/>
      </c>
    </row>
    <row r="143">
      <c r="A143" s="16">
        <f>IF(Deals!$A95="","",Deals!$A95)</f>
        <v/>
      </c>
      <c r="B143" s="16">
        <f>IF($A143="","",Deals!$C95)</f>
        <v/>
      </c>
      <c r="C143" s="16">
        <f>IF($A143="","",Deals!$F95)</f>
        <v/>
      </c>
      <c r="D143" s="21">
        <f>IF($A143="","",Deals!$H95)</f>
        <v/>
      </c>
      <c r="E143" s="17">
        <f>IF($A143="","",Deals!$Q95)</f>
        <v/>
      </c>
      <c r="F143" s="16">
        <f>IF($A143="","",IF(AND(Deals!$I95&lt;&gt;"",Deals!$J95&lt;&gt;""),"Yes","No"))</f>
        <v/>
      </c>
      <c r="G143" s="22">
        <f>IF($A143="","",Deals!$Z95)</f>
        <v/>
      </c>
      <c r="H143" s="23">
        <f>IF(OR($A143="",$G143=""),"",INT((Settings!$B$19-$G143)/7))</f>
        <v/>
      </c>
      <c r="I143" s="24">
        <f>IF(OR($A143="",NOT(OR(Deals!$F95="Active",Deals!$F95="Proposal"))),"",TRIM(IF($E143=0," Unstaffed","")&amp;IF(IF(Deals!$U95="",FALSE,OR(AND(IFERROR(INDEX(Templates!$B$3:$B$10,MATCH(Deals!$U95,Templates!$A$3:$A$10,0)),0)&gt;0,COUNTIFS(Assignments!$C$2:$C$769,$A143,Assignments!$F$2:$F$769,"Partner",Assignments!$G$2:$G$769,"Active")=0),AND(IFERROR(INDEX(Templates!$C$3:$C$10,MATCH(Deals!$U95,Templates!$A$3:$A$10,0)),0)&gt;0,COUNTIFS(Assignments!$C$2:$C$769,$A143,Assignments!$F$2:$F$769,"MD",Assignments!$G$2:$G$769,"Active")=0),AND(IFERROR(INDEX(Templates!$D$3:$D$10,MATCH(Deals!$U95,Templates!$A$3:$A$10,0)),0)&gt;0,COUNTIFS(Assignments!$C$2:$C$769,$A143,Assignments!$F$2:$F$769,"Director",Assignments!$G$2:$G$769,"Active")=0),AND(IFERROR(INDEX(Templates!$E$3:$E$10,MATCH(Deals!$U95,Templates!$A$3:$A$10,0)),0)&gt;0,COUNTIFS(Assignments!$C$2:$C$769,$A143,Assignments!$F$2:$F$769,"VP",Assignments!$G$2:$G$769,"Active")=0),AND(IFERROR(INDEX(Templates!$F$3:$F$10,MATCH(Deals!$U95,Templates!$A$3:$A$10,0)),0)&gt;0,COUNTIFS(Assignments!$C$2:$C$769,$A143,Assignments!$F$2:$F$769,"Senior Associate",Assignments!$G$2:$G$769,"Active")=0),AND(IFERROR(INDEX(Templates!$G$3:$G$10,MATCH(Deals!$U95,Templates!$A$3:$A$10,0)),0)&gt;0,COUNTIFS(Assignments!$C$2:$C$769,$A143,Assignments!$F$2:$F$769,"Renewable Specialist",Assignments!$G$2:$G$769,"Active")=0),AND(IFERROR(INDEX(Templates!$H$3:$H$10,MATCH(Deals!$U95,Templates!$A$3:$A$10,0)),0)&gt;0,COUNTIFS(Assignments!$C$2:$C$769,$A143,Assignments!$F$2:$F$769,"Associate",Assignments!$G$2:$G$769,"Active")=0)))," MissingLevel","")&amp;IF(AND($C143="Proposal",Deals!$H95=0.5)," DefaultProbability","")&amp;IF($F143="No"," NoDates","")&amp;IF(AND(ISNUMBER($H143),$H143&gt;=Settings!$B$20)," Stale","")))</f>
        <v/>
      </c>
    </row>
    <row r="144">
      <c r="A144" s="16">
        <f>IF(Deals!$A96="","",Deals!$A96)</f>
        <v/>
      </c>
      <c r="B144" s="16">
        <f>IF($A144="","",Deals!$C96)</f>
        <v/>
      </c>
      <c r="C144" s="16">
        <f>IF($A144="","",Deals!$F96)</f>
        <v/>
      </c>
      <c r="D144" s="21">
        <f>IF($A144="","",Deals!$H96)</f>
        <v/>
      </c>
      <c r="E144" s="17">
        <f>IF($A144="","",Deals!$Q96)</f>
        <v/>
      </c>
      <c r="F144" s="16">
        <f>IF($A144="","",IF(AND(Deals!$I96&lt;&gt;"",Deals!$J96&lt;&gt;""),"Yes","No"))</f>
        <v/>
      </c>
      <c r="G144" s="22">
        <f>IF($A144="","",Deals!$Z96)</f>
        <v/>
      </c>
      <c r="H144" s="23">
        <f>IF(OR($A144="",$G144=""),"",INT((Settings!$B$19-$G144)/7))</f>
        <v/>
      </c>
      <c r="I144" s="24">
        <f>IF(OR($A144="",NOT(OR(Deals!$F96="Active",Deals!$F96="Proposal"))),"",TRIM(IF($E144=0," Unstaffed","")&amp;IF(IF(Deals!$U96="",FALSE,OR(AND(IFERROR(INDEX(Templates!$B$3:$B$10,MATCH(Deals!$U96,Templates!$A$3:$A$10,0)),0)&gt;0,COUNTIFS(Assignments!$C$2:$C$769,$A144,Assignments!$F$2:$F$769,"Partner",Assignments!$G$2:$G$769,"Active")=0),AND(IFERROR(INDEX(Templates!$C$3:$C$10,MATCH(Deals!$U96,Templates!$A$3:$A$10,0)),0)&gt;0,COUNTIFS(Assignments!$C$2:$C$769,$A144,Assignments!$F$2:$F$769,"MD",Assignments!$G$2:$G$769,"Active")=0),AND(IFERROR(INDEX(Templates!$D$3:$D$10,MATCH(Deals!$U96,Templates!$A$3:$A$10,0)),0)&gt;0,COUNTIFS(Assignments!$C$2:$C$769,$A144,Assignments!$F$2:$F$769,"Director",Assignments!$G$2:$G$769,"Active")=0),AND(IFERROR(INDEX(Templates!$E$3:$E$10,MATCH(Deals!$U96,Templates!$A$3:$A$10,0)),0)&gt;0,COUNTIFS(Assignments!$C$2:$C$769,$A144,Assignments!$F$2:$F$769,"VP",Assignments!$G$2:$G$769,"Active")=0),AND(IFERROR(INDEX(Templates!$F$3:$F$10,MATCH(Deals!$U96,Templates!$A$3:$A$10,0)),0)&gt;0,COUNTIFS(Assignments!$C$2:$C$769,$A144,Assignments!$F$2:$F$769,"Senior Associate",Assignments!$G$2:$G$769,"Active")=0),AND(IFERROR(INDEX(Templates!$G$3:$G$10,MATCH(Deals!$U96,Templates!$A$3:$A$10,0)),0)&gt;0,COUNTIFS(Assignments!$C$2:$C$769,$A144,Assignments!$F$2:$F$769,"Renewable Specialist",Assignments!$G$2:$G$769,"Active")=0),AND(IFERROR(INDEX(Templates!$H$3:$H$10,MATCH(Deals!$U96,Templates!$A$3:$A$10,0)),0)&gt;0,COUNTIFS(Assignments!$C$2:$C$769,$A144,Assignments!$F$2:$F$769,"Associate",Assignments!$G$2:$G$769,"Active")=0)))," MissingLevel","")&amp;IF(AND($C144="Proposal",Deals!$H96=0.5)," DefaultProbability","")&amp;IF($F144="No"," NoDates","")&amp;IF(AND(ISNUMBER($H144),$H144&gt;=Settings!$B$20)," Stale","")))</f>
        <v/>
      </c>
    </row>
    <row r="145">
      <c r="A145" s="16">
        <f>IF(Deals!$A97="","",Deals!$A97)</f>
        <v/>
      </c>
      <c r="B145" s="16">
        <f>IF($A145="","",Deals!$C97)</f>
        <v/>
      </c>
      <c r="C145" s="16">
        <f>IF($A145="","",Deals!$F97)</f>
        <v/>
      </c>
      <c r="D145" s="21">
        <f>IF($A145="","",Deals!$H97)</f>
        <v/>
      </c>
      <c r="E145" s="17">
        <f>IF($A145="","",Deals!$Q97)</f>
        <v/>
      </c>
      <c r="F145" s="16">
        <f>IF($A145="","",IF(AND(Deals!$I97&lt;&gt;"",Deals!$J97&lt;&gt;""),"Yes","No"))</f>
        <v/>
      </c>
      <c r="G145" s="22">
        <f>IF($A145="","",Deals!$Z97)</f>
        <v/>
      </c>
      <c r="H145" s="23">
        <f>IF(OR($A145="",$G145=""),"",INT((Settings!$B$19-$G145)/7))</f>
        <v/>
      </c>
      <c r="I145" s="24">
        <f>IF(OR($A145="",NOT(OR(Deals!$F97="Active",Deals!$F97="Proposal"))),"",TRIM(IF($E145=0," Unstaffed","")&amp;IF(IF(Deals!$U97="",FALSE,OR(AND(IFERROR(INDEX(Templates!$B$3:$B$10,MATCH(Deals!$U97,Templates!$A$3:$A$10,0)),0)&gt;0,COUNTIFS(Assignments!$C$2:$C$769,$A145,Assignments!$F$2:$F$769,"Partner",Assignments!$G$2:$G$769,"Active")=0),AND(IFERROR(INDEX(Templates!$C$3:$C$10,MATCH(Deals!$U97,Templates!$A$3:$A$10,0)),0)&gt;0,COUNTIFS(Assignments!$C$2:$C$769,$A145,Assignments!$F$2:$F$769,"MD",Assignments!$G$2:$G$769,"Active")=0),AND(IFERROR(INDEX(Templates!$D$3:$D$10,MATCH(Deals!$U97,Templates!$A$3:$A$10,0)),0)&gt;0,COUNTIFS(Assignments!$C$2:$C$769,$A145,Assignments!$F$2:$F$769,"Director",Assignments!$G$2:$G$769,"Active")=0),AND(IFERROR(INDEX(Templates!$E$3:$E$10,MATCH(Deals!$U97,Templates!$A$3:$A$10,0)),0)&gt;0,COUNTIFS(Assignments!$C$2:$C$769,$A145,Assignments!$F$2:$F$769,"VP",Assignments!$G$2:$G$769,"Active")=0),AND(IFERROR(INDEX(Templates!$F$3:$F$10,MATCH(Deals!$U97,Templates!$A$3:$A$10,0)),0)&gt;0,COUNTIFS(Assignments!$C$2:$C$769,$A145,Assignments!$F$2:$F$769,"Senior Associate",Assignments!$G$2:$G$769,"Active")=0),AND(IFERROR(INDEX(Templates!$G$3:$G$10,MATCH(Deals!$U97,Templates!$A$3:$A$10,0)),0)&gt;0,COUNTIFS(Assignments!$C$2:$C$769,$A145,Assignments!$F$2:$F$769,"Renewable Specialist",Assignments!$G$2:$G$769,"Active")=0),AND(IFERROR(INDEX(Templates!$H$3:$H$10,MATCH(Deals!$U97,Templates!$A$3:$A$10,0)),0)&gt;0,COUNTIFS(Assignments!$C$2:$C$769,$A145,Assignments!$F$2:$F$769,"Associate",Assignments!$G$2:$G$769,"Active")=0)))," MissingLevel","")&amp;IF(AND($C145="Proposal",Deals!$H97=0.5)," DefaultProbability","")&amp;IF($F145="No"," NoDates","")&amp;IF(AND(ISNUMBER($H145),$H145&gt;=Settings!$B$20)," Stale","")))</f>
        <v/>
      </c>
    </row>
    <row r="146">
      <c r="A146" s="16">
        <f>IF(Deals!$A98="","",Deals!$A98)</f>
        <v/>
      </c>
      <c r="B146" s="16">
        <f>IF($A146="","",Deals!$C98)</f>
        <v/>
      </c>
      <c r="C146" s="16">
        <f>IF($A146="","",Deals!$F98)</f>
        <v/>
      </c>
      <c r="D146" s="21">
        <f>IF($A146="","",Deals!$H98)</f>
        <v/>
      </c>
      <c r="E146" s="17">
        <f>IF($A146="","",Deals!$Q98)</f>
        <v/>
      </c>
      <c r="F146" s="16">
        <f>IF($A146="","",IF(AND(Deals!$I98&lt;&gt;"",Deals!$J98&lt;&gt;""),"Yes","No"))</f>
        <v/>
      </c>
      <c r="G146" s="22">
        <f>IF($A146="","",Deals!$Z98)</f>
        <v/>
      </c>
      <c r="H146" s="23">
        <f>IF(OR($A146="",$G146=""),"",INT((Settings!$B$19-$G146)/7))</f>
        <v/>
      </c>
      <c r="I146" s="24">
        <f>IF(OR($A146="",NOT(OR(Deals!$F98="Active",Deals!$F98="Proposal"))),"",TRIM(IF($E146=0," Unstaffed","")&amp;IF(IF(Deals!$U98="",FALSE,OR(AND(IFERROR(INDEX(Templates!$B$3:$B$10,MATCH(Deals!$U98,Templates!$A$3:$A$10,0)),0)&gt;0,COUNTIFS(Assignments!$C$2:$C$769,$A146,Assignments!$F$2:$F$769,"Partner",Assignments!$G$2:$G$769,"Active")=0),AND(IFERROR(INDEX(Templates!$C$3:$C$10,MATCH(Deals!$U98,Templates!$A$3:$A$10,0)),0)&gt;0,COUNTIFS(Assignments!$C$2:$C$769,$A146,Assignments!$F$2:$F$769,"MD",Assignments!$G$2:$G$769,"Active")=0),AND(IFERROR(INDEX(Templates!$D$3:$D$10,MATCH(Deals!$U98,Templates!$A$3:$A$10,0)),0)&gt;0,COUNTIFS(Assignments!$C$2:$C$769,$A146,Assignments!$F$2:$F$769,"Director",Assignments!$G$2:$G$769,"Active")=0),AND(IFERROR(INDEX(Templates!$E$3:$E$10,MATCH(Deals!$U98,Templates!$A$3:$A$10,0)),0)&gt;0,COUNTIFS(Assignments!$C$2:$C$769,$A146,Assignments!$F$2:$F$769,"VP",Assignments!$G$2:$G$769,"Active")=0),AND(IFERROR(INDEX(Templates!$F$3:$F$10,MATCH(Deals!$U98,Templates!$A$3:$A$10,0)),0)&gt;0,COUNTIFS(Assignments!$C$2:$C$769,$A146,Assignments!$F$2:$F$769,"Senior Associate",Assignments!$G$2:$G$769,"Active")=0),AND(IFERROR(INDEX(Templates!$G$3:$G$10,MATCH(Deals!$U98,Templates!$A$3:$A$10,0)),0)&gt;0,COUNTIFS(Assignments!$C$2:$C$769,$A146,Assignments!$F$2:$F$769,"Renewable Specialist",Assignments!$G$2:$G$769,"Active")=0),AND(IFERROR(INDEX(Templates!$H$3:$H$10,MATCH(Deals!$U98,Templates!$A$3:$A$10,0)),0)&gt;0,COUNTIFS(Assignments!$C$2:$C$769,$A146,Assignments!$F$2:$F$769,"Associate",Assignments!$G$2:$G$769,"Active")=0)))," MissingLevel","")&amp;IF(AND($C146="Proposal",Deals!$H98=0.5)," DefaultProbability","")&amp;IF($F146="No"," NoDates","")&amp;IF(AND(ISNUMBER($H146),$H146&gt;=Settings!$B$20)," Stale","")))</f>
        <v/>
      </c>
    </row>
    <row r="147">
      <c r="A147" s="16">
        <f>IF(Deals!$A99="","",Deals!$A99)</f>
        <v/>
      </c>
      <c r="B147" s="16">
        <f>IF($A147="","",Deals!$C99)</f>
        <v/>
      </c>
      <c r="C147" s="16">
        <f>IF($A147="","",Deals!$F99)</f>
        <v/>
      </c>
      <c r="D147" s="21">
        <f>IF($A147="","",Deals!$H99)</f>
        <v/>
      </c>
      <c r="E147" s="17">
        <f>IF($A147="","",Deals!$Q99)</f>
        <v/>
      </c>
      <c r="F147" s="16">
        <f>IF($A147="","",IF(AND(Deals!$I99&lt;&gt;"",Deals!$J99&lt;&gt;""),"Yes","No"))</f>
        <v/>
      </c>
      <c r="G147" s="22">
        <f>IF($A147="","",Deals!$Z99)</f>
        <v/>
      </c>
      <c r="H147" s="23">
        <f>IF(OR($A147="",$G147=""),"",INT((Settings!$B$19-$G147)/7))</f>
        <v/>
      </c>
      <c r="I147" s="24">
        <f>IF(OR($A147="",NOT(OR(Deals!$F99="Active",Deals!$F99="Proposal"))),"",TRIM(IF($E147=0," Unstaffed","")&amp;IF(IF(Deals!$U99="",FALSE,OR(AND(IFERROR(INDEX(Templates!$B$3:$B$10,MATCH(Deals!$U99,Templates!$A$3:$A$10,0)),0)&gt;0,COUNTIFS(Assignments!$C$2:$C$769,$A147,Assignments!$F$2:$F$769,"Partner",Assignments!$G$2:$G$769,"Active")=0),AND(IFERROR(INDEX(Templates!$C$3:$C$10,MATCH(Deals!$U99,Templates!$A$3:$A$10,0)),0)&gt;0,COUNTIFS(Assignments!$C$2:$C$769,$A147,Assignments!$F$2:$F$769,"MD",Assignments!$G$2:$G$769,"Active")=0),AND(IFERROR(INDEX(Templates!$D$3:$D$10,MATCH(Deals!$U99,Templates!$A$3:$A$10,0)),0)&gt;0,COUNTIFS(Assignments!$C$2:$C$769,$A147,Assignments!$F$2:$F$769,"Director",Assignments!$G$2:$G$769,"Active")=0),AND(IFERROR(INDEX(Templates!$E$3:$E$10,MATCH(Deals!$U99,Templates!$A$3:$A$10,0)),0)&gt;0,COUNTIFS(Assignments!$C$2:$C$769,$A147,Assignments!$F$2:$F$769,"VP",Assignments!$G$2:$G$769,"Active")=0),AND(IFERROR(INDEX(Templates!$F$3:$F$10,MATCH(Deals!$U99,Templates!$A$3:$A$10,0)),0)&gt;0,COUNTIFS(Assignments!$C$2:$C$769,$A147,Assignments!$F$2:$F$769,"Senior Associate",Assignments!$G$2:$G$769,"Active")=0),AND(IFERROR(INDEX(Templates!$G$3:$G$10,MATCH(Deals!$U99,Templates!$A$3:$A$10,0)),0)&gt;0,COUNTIFS(Assignments!$C$2:$C$769,$A147,Assignments!$F$2:$F$769,"Renewable Specialist",Assignments!$G$2:$G$769,"Active")=0),AND(IFERROR(INDEX(Templates!$H$3:$H$10,MATCH(Deals!$U99,Templates!$A$3:$A$10,0)),0)&gt;0,COUNTIFS(Assignments!$C$2:$C$769,$A147,Assignments!$F$2:$F$769,"Associate",Assignments!$G$2:$G$769,"Active")=0)))," MissingLevel","")&amp;IF(AND($C147="Proposal",Deals!$H99=0.5)," DefaultProbability","")&amp;IF($F147="No"," NoDates","")&amp;IF(AND(ISNUMBER($H147),$H147&gt;=Settings!$B$20)," Stale","")))</f>
        <v/>
      </c>
    </row>
    <row r="148">
      <c r="A148" s="16">
        <f>IF(Deals!$A100="","",Deals!$A100)</f>
        <v/>
      </c>
      <c r="B148" s="16">
        <f>IF($A148="","",Deals!$C100)</f>
        <v/>
      </c>
      <c r="C148" s="16">
        <f>IF($A148="","",Deals!$F100)</f>
        <v/>
      </c>
      <c r="D148" s="21">
        <f>IF($A148="","",Deals!$H100)</f>
        <v/>
      </c>
      <c r="E148" s="17">
        <f>IF($A148="","",Deals!$Q100)</f>
        <v/>
      </c>
      <c r="F148" s="16">
        <f>IF($A148="","",IF(AND(Deals!$I100&lt;&gt;"",Deals!$J100&lt;&gt;""),"Yes","No"))</f>
        <v/>
      </c>
      <c r="G148" s="22">
        <f>IF($A148="","",Deals!$Z100)</f>
        <v/>
      </c>
      <c r="H148" s="23">
        <f>IF(OR($A148="",$G148=""),"",INT((Settings!$B$19-$G148)/7))</f>
        <v/>
      </c>
      <c r="I148" s="24">
        <f>IF(OR($A148="",NOT(OR(Deals!$F100="Active",Deals!$F100="Proposal"))),"",TRIM(IF($E148=0," Unstaffed","")&amp;IF(IF(Deals!$U100="",FALSE,OR(AND(IFERROR(INDEX(Templates!$B$3:$B$10,MATCH(Deals!$U100,Templates!$A$3:$A$10,0)),0)&gt;0,COUNTIFS(Assignments!$C$2:$C$769,$A148,Assignments!$F$2:$F$769,"Partner",Assignments!$G$2:$G$769,"Active")=0),AND(IFERROR(INDEX(Templates!$C$3:$C$10,MATCH(Deals!$U100,Templates!$A$3:$A$10,0)),0)&gt;0,COUNTIFS(Assignments!$C$2:$C$769,$A148,Assignments!$F$2:$F$769,"MD",Assignments!$G$2:$G$769,"Active")=0),AND(IFERROR(INDEX(Templates!$D$3:$D$10,MATCH(Deals!$U100,Templates!$A$3:$A$10,0)),0)&gt;0,COUNTIFS(Assignments!$C$2:$C$769,$A148,Assignments!$F$2:$F$769,"Director",Assignments!$G$2:$G$769,"Active")=0),AND(IFERROR(INDEX(Templates!$E$3:$E$10,MATCH(Deals!$U100,Templates!$A$3:$A$10,0)),0)&gt;0,COUNTIFS(Assignments!$C$2:$C$769,$A148,Assignments!$F$2:$F$769,"VP",Assignments!$G$2:$G$769,"Active")=0),AND(IFERROR(INDEX(Templates!$F$3:$F$10,MATCH(Deals!$U100,Templates!$A$3:$A$10,0)),0)&gt;0,COUNTIFS(Assignments!$C$2:$C$769,$A148,Assignments!$F$2:$F$769,"Senior Associate",Assignments!$G$2:$G$769,"Active")=0),AND(IFERROR(INDEX(Templates!$G$3:$G$10,MATCH(Deals!$U100,Templates!$A$3:$A$10,0)),0)&gt;0,COUNTIFS(Assignments!$C$2:$C$769,$A148,Assignments!$F$2:$F$769,"Renewable Specialist",Assignments!$G$2:$G$769,"Active")=0),AND(IFERROR(INDEX(Templates!$H$3:$H$10,MATCH(Deals!$U100,Templates!$A$3:$A$10,0)),0)&gt;0,COUNTIFS(Assignments!$C$2:$C$769,$A148,Assignments!$F$2:$F$769,"Associate",Assignments!$G$2:$G$769,"Active")=0)))," MissingLevel","")&amp;IF(AND($C148="Proposal",Deals!$H100=0.5)," DefaultProbability","")&amp;IF($F148="No"," NoDates","")&amp;IF(AND(ISNUMBER($H148),$H148&gt;=Settings!$B$20)," Stale","")))</f>
        <v/>
      </c>
    </row>
    <row r="149">
      <c r="A149" s="16">
        <f>IF(Deals!$A101="","",Deals!$A101)</f>
        <v/>
      </c>
      <c r="B149" s="16">
        <f>IF($A149="","",Deals!$C101)</f>
        <v/>
      </c>
      <c r="C149" s="16">
        <f>IF($A149="","",Deals!$F101)</f>
        <v/>
      </c>
      <c r="D149" s="21">
        <f>IF($A149="","",Deals!$H101)</f>
        <v/>
      </c>
      <c r="E149" s="17">
        <f>IF($A149="","",Deals!$Q101)</f>
        <v/>
      </c>
      <c r="F149" s="16">
        <f>IF($A149="","",IF(AND(Deals!$I101&lt;&gt;"",Deals!$J101&lt;&gt;""),"Yes","No"))</f>
        <v/>
      </c>
      <c r="G149" s="22">
        <f>IF($A149="","",Deals!$Z101)</f>
        <v/>
      </c>
      <c r="H149" s="23">
        <f>IF(OR($A149="",$G149=""),"",INT((Settings!$B$19-$G149)/7))</f>
        <v/>
      </c>
      <c r="I149" s="24">
        <f>IF(OR($A149="",NOT(OR(Deals!$F101="Active",Deals!$F101="Proposal"))),"",TRIM(IF($E149=0," Unstaffed","")&amp;IF(IF(Deals!$U101="",FALSE,OR(AND(IFERROR(INDEX(Templates!$B$3:$B$10,MATCH(Deals!$U101,Templates!$A$3:$A$10,0)),0)&gt;0,COUNTIFS(Assignments!$C$2:$C$769,$A149,Assignments!$F$2:$F$769,"Partner",Assignments!$G$2:$G$769,"Active")=0),AND(IFERROR(INDEX(Templates!$C$3:$C$10,MATCH(Deals!$U101,Templates!$A$3:$A$10,0)),0)&gt;0,COUNTIFS(Assignments!$C$2:$C$769,$A149,Assignments!$F$2:$F$769,"MD",Assignments!$G$2:$G$769,"Active")=0),AND(IFERROR(INDEX(Templates!$D$3:$D$10,MATCH(Deals!$U101,Templates!$A$3:$A$10,0)),0)&gt;0,COUNTIFS(Assignments!$C$2:$C$769,$A149,Assignments!$F$2:$F$769,"Director",Assignments!$G$2:$G$769,"Active")=0),AND(IFERROR(INDEX(Templates!$E$3:$E$10,MATCH(Deals!$U101,Templates!$A$3:$A$10,0)),0)&gt;0,COUNTIFS(Assignments!$C$2:$C$769,$A149,Assignments!$F$2:$F$769,"VP",Assignments!$G$2:$G$769,"Active")=0),AND(IFERROR(INDEX(Templates!$F$3:$F$10,MATCH(Deals!$U101,Templates!$A$3:$A$10,0)),0)&gt;0,COUNTIFS(Assignments!$C$2:$C$769,$A149,Assignments!$F$2:$F$769,"Senior Associate",Assignments!$G$2:$G$769,"Active")=0),AND(IFERROR(INDEX(Templates!$G$3:$G$10,MATCH(Deals!$U101,Templates!$A$3:$A$10,0)),0)&gt;0,COUNTIFS(Assignments!$C$2:$C$769,$A149,Assignments!$F$2:$F$769,"Renewable Specialist",Assignments!$G$2:$G$769,"Active")=0),AND(IFERROR(INDEX(Templates!$H$3:$H$10,MATCH(Deals!$U101,Templates!$A$3:$A$10,0)),0)&gt;0,COUNTIFS(Assignments!$C$2:$C$769,$A149,Assignments!$F$2:$F$769,"Associate",Assignments!$G$2:$G$769,"Active")=0)))," MissingLevel","")&amp;IF(AND($C149="Proposal",Deals!$H101=0.5)," DefaultProbability","")&amp;IF($F149="No"," NoDates","")&amp;IF(AND(ISNUMBER($H149),$H149&gt;=Settings!$B$20)," Stale","")))</f>
        <v/>
      </c>
    </row>
    <row r="150">
      <c r="A150" s="16">
        <f>IF(Deals!$A102="","",Deals!$A102)</f>
        <v/>
      </c>
      <c r="B150" s="16">
        <f>IF($A150="","",Deals!$C102)</f>
        <v/>
      </c>
      <c r="C150" s="16">
        <f>IF($A150="","",Deals!$F102)</f>
        <v/>
      </c>
      <c r="D150" s="21">
        <f>IF($A150="","",Deals!$H102)</f>
        <v/>
      </c>
      <c r="E150" s="17">
        <f>IF($A150="","",Deals!$Q102)</f>
        <v/>
      </c>
      <c r="F150" s="16">
        <f>IF($A150="","",IF(AND(Deals!$I102&lt;&gt;"",Deals!$J102&lt;&gt;""),"Yes","No"))</f>
        <v/>
      </c>
      <c r="G150" s="22">
        <f>IF($A150="","",Deals!$Z102)</f>
        <v/>
      </c>
      <c r="H150" s="23">
        <f>IF(OR($A150="",$G150=""),"",INT((Settings!$B$19-$G150)/7))</f>
        <v/>
      </c>
      <c r="I150" s="24">
        <f>IF(OR($A150="",NOT(OR(Deals!$F102="Active",Deals!$F102="Proposal"))),"",TRIM(IF($E150=0," Unstaffed","")&amp;IF(IF(Deals!$U102="",FALSE,OR(AND(IFERROR(INDEX(Templates!$B$3:$B$10,MATCH(Deals!$U102,Templates!$A$3:$A$10,0)),0)&gt;0,COUNTIFS(Assignments!$C$2:$C$769,$A150,Assignments!$F$2:$F$769,"Partner",Assignments!$G$2:$G$769,"Active")=0),AND(IFERROR(INDEX(Templates!$C$3:$C$10,MATCH(Deals!$U102,Templates!$A$3:$A$10,0)),0)&gt;0,COUNTIFS(Assignments!$C$2:$C$769,$A150,Assignments!$F$2:$F$769,"MD",Assignments!$G$2:$G$769,"Active")=0),AND(IFERROR(INDEX(Templates!$D$3:$D$10,MATCH(Deals!$U102,Templates!$A$3:$A$10,0)),0)&gt;0,COUNTIFS(Assignments!$C$2:$C$769,$A150,Assignments!$F$2:$F$769,"Director",Assignments!$G$2:$G$769,"Active")=0),AND(IFERROR(INDEX(Templates!$E$3:$E$10,MATCH(Deals!$U102,Templates!$A$3:$A$10,0)),0)&gt;0,COUNTIFS(Assignments!$C$2:$C$769,$A150,Assignments!$F$2:$F$769,"VP",Assignments!$G$2:$G$769,"Active")=0),AND(IFERROR(INDEX(Templates!$F$3:$F$10,MATCH(Deals!$U102,Templates!$A$3:$A$10,0)),0)&gt;0,COUNTIFS(Assignments!$C$2:$C$769,$A150,Assignments!$F$2:$F$769,"Senior Associate",Assignments!$G$2:$G$769,"Active")=0),AND(IFERROR(INDEX(Templates!$G$3:$G$10,MATCH(Deals!$U102,Templates!$A$3:$A$10,0)),0)&gt;0,COUNTIFS(Assignments!$C$2:$C$769,$A150,Assignments!$F$2:$F$769,"Renewable Specialist",Assignments!$G$2:$G$769,"Active")=0),AND(IFERROR(INDEX(Templates!$H$3:$H$10,MATCH(Deals!$U102,Templates!$A$3:$A$10,0)),0)&gt;0,COUNTIFS(Assignments!$C$2:$C$769,$A150,Assignments!$F$2:$F$769,"Associate",Assignments!$G$2:$G$769,"Active")=0)))," MissingLevel","")&amp;IF(AND($C150="Proposal",Deals!$H102=0.5)," DefaultProbability","")&amp;IF($F150="No"," NoDates","")&amp;IF(AND(ISNUMBER($H150),$H150&gt;=Settings!$B$20)," Stale","")))</f>
        <v/>
      </c>
    </row>
    <row r="151">
      <c r="A151" s="16">
        <f>IF(Deals!$A103="","",Deals!$A103)</f>
        <v/>
      </c>
      <c r="B151" s="16">
        <f>IF($A151="","",Deals!$C103)</f>
        <v/>
      </c>
      <c r="C151" s="16">
        <f>IF($A151="","",Deals!$F103)</f>
        <v/>
      </c>
      <c r="D151" s="21">
        <f>IF($A151="","",Deals!$H103)</f>
        <v/>
      </c>
      <c r="E151" s="17">
        <f>IF($A151="","",Deals!$Q103)</f>
        <v/>
      </c>
      <c r="F151" s="16">
        <f>IF($A151="","",IF(AND(Deals!$I103&lt;&gt;"",Deals!$J103&lt;&gt;""),"Yes","No"))</f>
        <v/>
      </c>
      <c r="G151" s="22">
        <f>IF($A151="","",Deals!$Z103)</f>
        <v/>
      </c>
      <c r="H151" s="23">
        <f>IF(OR($A151="",$G151=""),"",INT((Settings!$B$19-$G151)/7))</f>
        <v/>
      </c>
      <c r="I151" s="24">
        <f>IF(OR($A151="",NOT(OR(Deals!$F103="Active",Deals!$F103="Proposal"))),"",TRIM(IF($E151=0," Unstaffed","")&amp;IF(IF(Deals!$U103="",FALSE,OR(AND(IFERROR(INDEX(Templates!$B$3:$B$10,MATCH(Deals!$U103,Templates!$A$3:$A$10,0)),0)&gt;0,COUNTIFS(Assignments!$C$2:$C$769,$A151,Assignments!$F$2:$F$769,"Partner",Assignments!$G$2:$G$769,"Active")=0),AND(IFERROR(INDEX(Templates!$C$3:$C$10,MATCH(Deals!$U103,Templates!$A$3:$A$10,0)),0)&gt;0,COUNTIFS(Assignments!$C$2:$C$769,$A151,Assignments!$F$2:$F$769,"MD",Assignments!$G$2:$G$769,"Active")=0),AND(IFERROR(INDEX(Templates!$D$3:$D$10,MATCH(Deals!$U103,Templates!$A$3:$A$10,0)),0)&gt;0,COUNTIFS(Assignments!$C$2:$C$769,$A151,Assignments!$F$2:$F$769,"Director",Assignments!$G$2:$G$769,"Active")=0),AND(IFERROR(INDEX(Templates!$E$3:$E$10,MATCH(Deals!$U103,Templates!$A$3:$A$10,0)),0)&gt;0,COUNTIFS(Assignments!$C$2:$C$769,$A151,Assignments!$F$2:$F$769,"VP",Assignments!$G$2:$G$769,"Active")=0),AND(IFERROR(INDEX(Templates!$F$3:$F$10,MATCH(Deals!$U103,Templates!$A$3:$A$10,0)),0)&gt;0,COUNTIFS(Assignments!$C$2:$C$769,$A151,Assignments!$F$2:$F$769,"Senior Associate",Assignments!$G$2:$G$769,"Active")=0),AND(IFERROR(INDEX(Templates!$G$3:$G$10,MATCH(Deals!$U103,Templates!$A$3:$A$10,0)),0)&gt;0,COUNTIFS(Assignments!$C$2:$C$769,$A151,Assignments!$F$2:$F$769,"Renewable Specialist",Assignments!$G$2:$G$769,"Active")=0),AND(IFERROR(INDEX(Templates!$H$3:$H$10,MATCH(Deals!$U103,Templates!$A$3:$A$10,0)),0)&gt;0,COUNTIFS(Assignments!$C$2:$C$769,$A151,Assignments!$F$2:$F$769,"Associate",Assignments!$G$2:$G$769,"Active")=0)))," MissingLevel","")&amp;IF(AND($C151="Proposal",Deals!$H103=0.5)," DefaultProbability","")&amp;IF($F151="No"," NoDates","")&amp;IF(AND(ISNUMBER($H151),$H151&gt;=Settings!$B$20)," Stale","")))</f>
        <v/>
      </c>
    </row>
    <row r="152">
      <c r="A152" s="16">
        <f>IF(Deals!$A104="","",Deals!$A104)</f>
        <v/>
      </c>
      <c r="B152" s="16">
        <f>IF($A152="","",Deals!$C104)</f>
        <v/>
      </c>
      <c r="C152" s="16">
        <f>IF($A152="","",Deals!$F104)</f>
        <v/>
      </c>
      <c r="D152" s="21">
        <f>IF($A152="","",Deals!$H104)</f>
        <v/>
      </c>
      <c r="E152" s="17">
        <f>IF($A152="","",Deals!$Q104)</f>
        <v/>
      </c>
      <c r="F152" s="16">
        <f>IF($A152="","",IF(AND(Deals!$I104&lt;&gt;"",Deals!$J104&lt;&gt;""),"Yes","No"))</f>
        <v/>
      </c>
      <c r="G152" s="22">
        <f>IF($A152="","",Deals!$Z104)</f>
        <v/>
      </c>
      <c r="H152" s="23">
        <f>IF(OR($A152="",$G152=""),"",INT((Settings!$B$19-$G152)/7))</f>
        <v/>
      </c>
      <c r="I152" s="24">
        <f>IF(OR($A152="",NOT(OR(Deals!$F104="Active",Deals!$F104="Proposal"))),"",TRIM(IF($E152=0," Unstaffed","")&amp;IF(IF(Deals!$U104="",FALSE,OR(AND(IFERROR(INDEX(Templates!$B$3:$B$10,MATCH(Deals!$U104,Templates!$A$3:$A$10,0)),0)&gt;0,COUNTIFS(Assignments!$C$2:$C$769,$A152,Assignments!$F$2:$F$769,"Partner",Assignments!$G$2:$G$769,"Active")=0),AND(IFERROR(INDEX(Templates!$C$3:$C$10,MATCH(Deals!$U104,Templates!$A$3:$A$10,0)),0)&gt;0,COUNTIFS(Assignments!$C$2:$C$769,$A152,Assignments!$F$2:$F$769,"MD",Assignments!$G$2:$G$769,"Active")=0),AND(IFERROR(INDEX(Templates!$D$3:$D$10,MATCH(Deals!$U104,Templates!$A$3:$A$10,0)),0)&gt;0,COUNTIFS(Assignments!$C$2:$C$769,$A152,Assignments!$F$2:$F$769,"Director",Assignments!$G$2:$G$769,"Active")=0),AND(IFERROR(INDEX(Templates!$E$3:$E$10,MATCH(Deals!$U104,Templates!$A$3:$A$10,0)),0)&gt;0,COUNTIFS(Assignments!$C$2:$C$769,$A152,Assignments!$F$2:$F$769,"VP",Assignments!$G$2:$G$769,"Active")=0),AND(IFERROR(INDEX(Templates!$F$3:$F$10,MATCH(Deals!$U104,Templates!$A$3:$A$10,0)),0)&gt;0,COUNTIFS(Assignments!$C$2:$C$769,$A152,Assignments!$F$2:$F$769,"Senior Associate",Assignments!$G$2:$G$769,"Active")=0),AND(IFERROR(INDEX(Templates!$G$3:$G$10,MATCH(Deals!$U104,Templates!$A$3:$A$10,0)),0)&gt;0,COUNTIFS(Assignments!$C$2:$C$769,$A152,Assignments!$F$2:$F$769,"Renewable Specialist",Assignments!$G$2:$G$769,"Active")=0),AND(IFERROR(INDEX(Templates!$H$3:$H$10,MATCH(Deals!$U104,Templates!$A$3:$A$10,0)),0)&gt;0,COUNTIFS(Assignments!$C$2:$C$769,$A152,Assignments!$F$2:$F$769,"Associate",Assignments!$G$2:$G$769,"Active")=0)))," MissingLevel","")&amp;IF(AND($C152="Proposal",Deals!$H104=0.5)," DefaultProbability","")&amp;IF($F152="No"," NoDates","")&amp;IF(AND(ISNUMBER($H152),$H152&gt;=Settings!$B$20)," Stale","")))</f>
        <v/>
      </c>
    </row>
    <row r="153">
      <c r="A153" s="16">
        <f>IF(Deals!$A105="","",Deals!$A105)</f>
        <v/>
      </c>
      <c r="B153" s="16">
        <f>IF($A153="","",Deals!$C105)</f>
        <v/>
      </c>
      <c r="C153" s="16">
        <f>IF($A153="","",Deals!$F105)</f>
        <v/>
      </c>
      <c r="D153" s="21">
        <f>IF($A153="","",Deals!$H105)</f>
        <v/>
      </c>
      <c r="E153" s="17">
        <f>IF($A153="","",Deals!$Q105)</f>
        <v/>
      </c>
      <c r="F153" s="16">
        <f>IF($A153="","",IF(AND(Deals!$I105&lt;&gt;"",Deals!$J105&lt;&gt;""),"Yes","No"))</f>
        <v/>
      </c>
      <c r="G153" s="22">
        <f>IF($A153="","",Deals!$Z105)</f>
        <v/>
      </c>
      <c r="H153" s="23">
        <f>IF(OR($A153="",$G153=""),"",INT((Settings!$B$19-$G153)/7))</f>
        <v/>
      </c>
      <c r="I153" s="24">
        <f>IF(OR($A153="",NOT(OR(Deals!$F105="Active",Deals!$F105="Proposal"))),"",TRIM(IF($E153=0," Unstaffed","")&amp;IF(IF(Deals!$U105="",FALSE,OR(AND(IFERROR(INDEX(Templates!$B$3:$B$10,MATCH(Deals!$U105,Templates!$A$3:$A$10,0)),0)&gt;0,COUNTIFS(Assignments!$C$2:$C$769,$A153,Assignments!$F$2:$F$769,"Partner",Assignments!$G$2:$G$769,"Active")=0),AND(IFERROR(INDEX(Templates!$C$3:$C$10,MATCH(Deals!$U105,Templates!$A$3:$A$10,0)),0)&gt;0,COUNTIFS(Assignments!$C$2:$C$769,$A153,Assignments!$F$2:$F$769,"MD",Assignments!$G$2:$G$769,"Active")=0),AND(IFERROR(INDEX(Templates!$D$3:$D$10,MATCH(Deals!$U105,Templates!$A$3:$A$10,0)),0)&gt;0,COUNTIFS(Assignments!$C$2:$C$769,$A153,Assignments!$F$2:$F$769,"Director",Assignments!$G$2:$G$769,"Active")=0),AND(IFERROR(INDEX(Templates!$E$3:$E$10,MATCH(Deals!$U105,Templates!$A$3:$A$10,0)),0)&gt;0,COUNTIFS(Assignments!$C$2:$C$769,$A153,Assignments!$F$2:$F$769,"VP",Assignments!$G$2:$G$769,"Active")=0),AND(IFERROR(INDEX(Templates!$F$3:$F$10,MATCH(Deals!$U105,Templates!$A$3:$A$10,0)),0)&gt;0,COUNTIFS(Assignments!$C$2:$C$769,$A153,Assignments!$F$2:$F$769,"Senior Associate",Assignments!$G$2:$G$769,"Active")=0),AND(IFERROR(INDEX(Templates!$G$3:$G$10,MATCH(Deals!$U105,Templates!$A$3:$A$10,0)),0)&gt;0,COUNTIFS(Assignments!$C$2:$C$769,$A153,Assignments!$F$2:$F$769,"Renewable Specialist",Assignments!$G$2:$G$769,"Active")=0),AND(IFERROR(INDEX(Templates!$H$3:$H$10,MATCH(Deals!$U105,Templates!$A$3:$A$10,0)),0)&gt;0,COUNTIFS(Assignments!$C$2:$C$769,$A153,Assignments!$F$2:$F$769,"Associate",Assignments!$G$2:$G$769,"Active")=0)))," MissingLevel","")&amp;IF(AND($C153="Proposal",Deals!$H105=0.5)," DefaultProbability","")&amp;IF($F153="No"," NoDates","")&amp;IF(AND(ISNUMBER($H153),$H153&gt;=Settings!$B$20)," Stale","")))</f>
        <v/>
      </c>
    </row>
    <row r="154">
      <c r="A154" s="16">
        <f>IF(Deals!$A106="","",Deals!$A106)</f>
        <v/>
      </c>
      <c r="B154" s="16">
        <f>IF($A154="","",Deals!$C106)</f>
        <v/>
      </c>
      <c r="C154" s="16">
        <f>IF($A154="","",Deals!$F106)</f>
        <v/>
      </c>
      <c r="D154" s="21">
        <f>IF($A154="","",Deals!$H106)</f>
        <v/>
      </c>
      <c r="E154" s="17">
        <f>IF($A154="","",Deals!$Q106)</f>
        <v/>
      </c>
      <c r="F154" s="16">
        <f>IF($A154="","",IF(AND(Deals!$I106&lt;&gt;"",Deals!$J106&lt;&gt;""),"Yes","No"))</f>
        <v/>
      </c>
      <c r="G154" s="22">
        <f>IF($A154="","",Deals!$Z106)</f>
        <v/>
      </c>
      <c r="H154" s="23">
        <f>IF(OR($A154="",$G154=""),"",INT((Settings!$B$19-$G154)/7))</f>
        <v/>
      </c>
      <c r="I154" s="24">
        <f>IF(OR($A154="",NOT(OR(Deals!$F106="Active",Deals!$F106="Proposal"))),"",TRIM(IF($E154=0," Unstaffed","")&amp;IF(IF(Deals!$U106="",FALSE,OR(AND(IFERROR(INDEX(Templates!$B$3:$B$10,MATCH(Deals!$U106,Templates!$A$3:$A$10,0)),0)&gt;0,COUNTIFS(Assignments!$C$2:$C$769,$A154,Assignments!$F$2:$F$769,"Partner",Assignments!$G$2:$G$769,"Active")=0),AND(IFERROR(INDEX(Templates!$C$3:$C$10,MATCH(Deals!$U106,Templates!$A$3:$A$10,0)),0)&gt;0,COUNTIFS(Assignments!$C$2:$C$769,$A154,Assignments!$F$2:$F$769,"MD",Assignments!$G$2:$G$769,"Active")=0),AND(IFERROR(INDEX(Templates!$D$3:$D$10,MATCH(Deals!$U106,Templates!$A$3:$A$10,0)),0)&gt;0,COUNTIFS(Assignments!$C$2:$C$769,$A154,Assignments!$F$2:$F$769,"Director",Assignments!$G$2:$G$769,"Active")=0),AND(IFERROR(INDEX(Templates!$E$3:$E$10,MATCH(Deals!$U106,Templates!$A$3:$A$10,0)),0)&gt;0,COUNTIFS(Assignments!$C$2:$C$769,$A154,Assignments!$F$2:$F$769,"VP",Assignments!$G$2:$G$769,"Active")=0),AND(IFERROR(INDEX(Templates!$F$3:$F$10,MATCH(Deals!$U106,Templates!$A$3:$A$10,0)),0)&gt;0,COUNTIFS(Assignments!$C$2:$C$769,$A154,Assignments!$F$2:$F$769,"Senior Associate",Assignments!$G$2:$G$769,"Active")=0),AND(IFERROR(INDEX(Templates!$G$3:$G$10,MATCH(Deals!$U106,Templates!$A$3:$A$10,0)),0)&gt;0,COUNTIFS(Assignments!$C$2:$C$769,$A154,Assignments!$F$2:$F$769,"Renewable Specialist",Assignments!$G$2:$G$769,"Active")=0),AND(IFERROR(INDEX(Templates!$H$3:$H$10,MATCH(Deals!$U106,Templates!$A$3:$A$10,0)),0)&gt;0,COUNTIFS(Assignments!$C$2:$C$769,$A154,Assignments!$F$2:$F$769,"Associate",Assignments!$G$2:$G$769,"Active")=0)))," MissingLevel","")&amp;IF(AND($C154="Proposal",Deals!$H106=0.5)," DefaultProbability","")&amp;IF($F154="No"," NoDates","")&amp;IF(AND(ISNUMBER($H154),$H154&gt;=Settings!$B$20)," Stale","")))</f>
        <v/>
      </c>
    </row>
    <row r="155">
      <c r="A155" s="16">
        <f>IF(Deals!$A107="","",Deals!$A107)</f>
        <v/>
      </c>
      <c r="B155" s="16">
        <f>IF($A155="","",Deals!$C107)</f>
        <v/>
      </c>
      <c r="C155" s="16">
        <f>IF($A155="","",Deals!$F107)</f>
        <v/>
      </c>
      <c r="D155" s="21">
        <f>IF($A155="","",Deals!$H107)</f>
        <v/>
      </c>
      <c r="E155" s="17">
        <f>IF($A155="","",Deals!$Q107)</f>
        <v/>
      </c>
      <c r="F155" s="16">
        <f>IF($A155="","",IF(AND(Deals!$I107&lt;&gt;"",Deals!$J107&lt;&gt;""),"Yes","No"))</f>
        <v/>
      </c>
      <c r="G155" s="22">
        <f>IF($A155="","",Deals!$Z107)</f>
        <v/>
      </c>
      <c r="H155" s="23">
        <f>IF(OR($A155="",$G155=""),"",INT((Settings!$B$19-$G155)/7))</f>
        <v/>
      </c>
      <c r="I155" s="24">
        <f>IF(OR($A155="",NOT(OR(Deals!$F107="Active",Deals!$F107="Proposal"))),"",TRIM(IF($E155=0," Unstaffed","")&amp;IF(IF(Deals!$U107="",FALSE,OR(AND(IFERROR(INDEX(Templates!$B$3:$B$10,MATCH(Deals!$U107,Templates!$A$3:$A$10,0)),0)&gt;0,COUNTIFS(Assignments!$C$2:$C$769,$A155,Assignments!$F$2:$F$769,"Partner",Assignments!$G$2:$G$769,"Active")=0),AND(IFERROR(INDEX(Templates!$C$3:$C$10,MATCH(Deals!$U107,Templates!$A$3:$A$10,0)),0)&gt;0,COUNTIFS(Assignments!$C$2:$C$769,$A155,Assignments!$F$2:$F$769,"MD",Assignments!$G$2:$G$769,"Active")=0),AND(IFERROR(INDEX(Templates!$D$3:$D$10,MATCH(Deals!$U107,Templates!$A$3:$A$10,0)),0)&gt;0,COUNTIFS(Assignments!$C$2:$C$769,$A155,Assignments!$F$2:$F$769,"Director",Assignments!$G$2:$G$769,"Active")=0),AND(IFERROR(INDEX(Templates!$E$3:$E$10,MATCH(Deals!$U107,Templates!$A$3:$A$10,0)),0)&gt;0,COUNTIFS(Assignments!$C$2:$C$769,$A155,Assignments!$F$2:$F$769,"VP",Assignments!$G$2:$G$769,"Active")=0),AND(IFERROR(INDEX(Templates!$F$3:$F$10,MATCH(Deals!$U107,Templates!$A$3:$A$10,0)),0)&gt;0,COUNTIFS(Assignments!$C$2:$C$769,$A155,Assignments!$F$2:$F$769,"Senior Associate",Assignments!$G$2:$G$769,"Active")=0),AND(IFERROR(INDEX(Templates!$G$3:$G$10,MATCH(Deals!$U107,Templates!$A$3:$A$10,0)),0)&gt;0,COUNTIFS(Assignments!$C$2:$C$769,$A155,Assignments!$F$2:$F$769,"Renewable Specialist",Assignments!$G$2:$G$769,"Active")=0),AND(IFERROR(INDEX(Templates!$H$3:$H$10,MATCH(Deals!$U107,Templates!$A$3:$A$10,0)),0)&gt;0,COUNTIFS(Assignments!$C$2:$C$769,$A155,Assignments!$F$2:$F$769,"Associate",Assignments!$G$2:$G$769,"Active")=0)))," MissingLevel","")&amp;IF(AND($C155="Proposal",Deals!$H107=0.5)," DefaultProbability","")&amp;IF($F155="No"," NoDates","")&amp;IF(AND(ISNUMBER($H155),$H155&gt;=Settings!$B$20)," Stale","")))</f>
        <v/>
      </c>
    </row>
    <row r="156">
      <c r="A156" s="16">
        <f>IF(Deals!$A108="","",Deals!$A108)</f>
        <v/>
      </c>
      <c r="B156" s="16">
        <f>IF($A156="","",Deals!$C108)</f>
        <v/>
      </c>
      <c r="C156" s="16">
        <f>IF($A156="","",Deals!$F108)</f>
        <v/>
      </c>
      <c r="D156" s="21">
        <f>IF($A156="","",Deals!$H108)</f>
        <v/>
      </c>
      <c r="E156" s="17">
        <f>IF($A156="","",Deals!$Q108)</f>
        <v/>
      </c>
      <c r="F156" s="16">
        <f>IF($A156="","",IF(AND(Deals!$I108&lt;&gt;"",Deals!$J108&lt;&gt;""),"Yes","No"))</f>
        <v/>
      </c>
      <c r="G156" s="22">
        <f>IF($A156="","",Deals!$Z108)</f>
        <v/>
      </c>
      <c r="H156" s="23">
        <f>IF(OR($A156="",$G156=""),"",INT((Settings!$B$19-$G156)/7))</f>
        <v/>
      </c>
      <c r="I156" s="24">
        <f>IF(OR($A156="",NOT(OR(Deals!$F108="Active",Deals!$F108="Proposal"))),"",TRIM(IF($E156=0," Unstaffed","")&amp;IF(IF(Deals!$U108="",FALSE,OR(AND(IFERROR(INDEX(Templates!$B$3:$B$10,MATCH(Deals!$U108,Templates!$A$3:$A$10,0)),0)&gt;0,COUNTIFS(Assignments!$C$2:$C$769,$A156,Assignments!$F$2:$F$769,"Partner",Assignments!$G$2:$G$769,"Active")=0),AND(IFERROR(INDEX(Templates!$C$3:$C$10,MATCH(Deals!$U108,Templates!$A$3:$A$10,0)),0)&gt;0,COUNTIFS(Assignments!$C$2:$C$769,$A156,Assignments!$F$2:$F$769,"MD",Assignments!$G$2:$G$769,"Active")=0),AND(IFERROR(INDEX(Templates!$D$3:$D$10,MATCH(Deals!$U108,Templates!$A$3:$A$10,0)),0)&gt;0,COUNTIFS(Assignments!$C$2:$C$769,$A156,Assignments!$F$2:$F$769,"Director",Assignments!$G$2:$G$769,"Active")=0),AND(IFERROR(INDEX(Templates!$E$3:$E$10,MATCH(Deals!$U108,Templates!$A$3:$A$10,0)),0)&gt;0,COUNTIFS(Assignments!$C$2:$C$769,$A156,Assignments!$F$2:$F$769,"VP",Assignments!$G$2:$G$769,"Active")=0),AND(IFERROR(INDEX(Templates!$F$3:$F$10,MATCH(Deals!$U108,Templates!$A$3:$A$10,0)),0)&gt;0,COUNTIFS(Assignments!$C$2:$C$769,$A156,Assignments!$F$2:$F$769,"Senior Associate",Assignments!$G$2:$G$769,"Active")=0),AND(IFERROR(INDEX(Templates!$G$3:$G$10,MATCH(Deals!$U108,Templates!$A$3:$A$10,0)),0)&gt;0,COUNTIFS(Assignments!$C$2:$C$769,$A156,Assignments!$F$2:$F$769,"Renewable Specialist",Assignments!$G$2:$G$769,"Active")=0),AND(IFERROR(INDEX(Templates!$H$3:$H$10,MATCH(Deals!$U108,Templates!$A$3:$A$10,0)),0)&gt;0,COUNTIFS(Assignments!$C$2:$C$769,$A156,Assignments!$F$2:$F$769,"Associate",Assignments!$G$2:$G$769,"Active")=0)))," MissingLevel","")&amp;IF(AND($C156="Proposal",Deals!$H108=0.5)," DefaultProbability","")&amp;IF($F156="No"," NoDates","")&amp;IF(AND(ISNUMBER($H156),$H156&gt;=Settings!$B$20)," Stale","")))</f>
        <v/>
      </c>
    </row>
    <row r="157">
      <c r="A157" s="16">
        <f>IF(Deals!$A109="","",Deals!$A109)</f>
        <v/>
      </c>
      <c r="B157" s="16">
        <f>IF($A157="","",Deals!$C109)</f>
        <v/>
      </c>
      <c r="C157" s="16">
        <f>IF($A157="","",Deals!$F109)</f>
        <v/>
      </c>
      <c r="D157" s="21">
        <f>IF($A157="","",Deals!$H109)</f>
        <v/>
      </c>
      <c r="E157" s="17">
        <f>IF($A157="","",Deals!$Q109)</f>
        <v/>
      </c>
      <c r="F157" s="16">
        <f>IF($A157="","",IF(AND(Deals!$I109&lt;&gt;"",Deals!$J109&lt;&gt;""),"Yes","No"))</f>
        <v/>
      </c>
      <c r="G157" s="22">
        <f>IF($A157="","",Deals!$Z109)</f>
        <v/>
      </c>
      <c r="H157" s="23">
        <f>IF(OR($A157="",$G157=""),"",INT((Settings!$B$19-$G157)/7))</f>
        <v/>
      </c>
      <c r="I157" s="24">
        <f>IF(OR($A157="",NOT(OR(Deals!$F109="Active",Deals!$F109="Proposal"))),"",TRIM(IF($E157=0," Unstaffed","")&amp;IF(IF(Deals!$U109="",FALSE,OR(AND(IFERROR(INDEX(Templates!$B$3:$B$10,MATCH(Deals!$U109,Templates!$A$3:$A$10,0)),0)&gt;0,COUNTIFS(Assignments!$C$2:$C$769,$A157,Assignments!$F$2:$F$769,"Partner",Assignments!$G$2:$G$769,"Active")=0),AND(IFERROR(INDEX(Templates!$C$3:$C$10,MATCH(Deals!$U109,Templates!$A$3:$A$10,0)),0)&gt;0,COUNTIFS(Assignments!$C$2:$C$769,$A157,Assignments!$F$2:$F$769,"MD",Assignments!$G$2:$G$769,"Active")=0),AND(IFERROR(INDEX(Templates!$D$3:$D$10,MATCH(Deals!$U109,Templates!$A$3:$A$10,0)),0)&gt;0,COUNTIFS(Assignments!$C$2:$C$769,$A157,Assignments!$F$2:$F$769,"Director",Assignments!$G$2:$G$769,"Active")=0),AND(IFERROR(INDEX(Templates!$E$3:$E$10,MATCH(Deals!$U109,Templates!$A$3:$A$10,0)),0)&gt;0,COUNTIFS(Assignments!$C$2:$C$769,$A157,Assignments!$F$2:$F$769,"VP",Assignments!$G$2:$G$769,"Active")=0),AND(IFERROR(INDEX(Templates!$F$3:$F$10,MATCH(Deals!$U109,Templates!$A$3:$A$10,0)),0)&gt;0,COUNTIFS(Assignments!$C$2:$C$769,$A157,Assignments!$F$2:$F$769,"Senior Associate",Assignments!$G$2:$G$769,"Active")=0),AND(IFERROR(INDEX(Templates!$G$3:$G$10,MATCH(Deals!$U109,Templates!$A$3:$A$10,0)),0)&gt;0,COUNTIFS(Assignments!$C$2:$C$769,$A157,Assignments!$F$2:$F$769,"Renewable Specialist",Assignments!$G$2:$G$769,"Active")=0),AND(IFERROR(INDEX(Templates!$H$3:$H$10,MATCH(Deals!$U109,Templates!$A$3:$A$10,0)),0)&gt;0,COUNTIFS(Assignments!$C$2:$C$769,$A157,Assignments!$F$2:$F$769,"Associate",Assignments!$G$2:$G$769,"Active")=0)))," MissingLevel","")&amp;IF(AND($C157="Proposal",Deals!$H109=0.5)," DefaultProbability","")&amp;IF($F157="No"," NoDates","")&amp;IF(AND(ISNUMBER($H157),$H157&gt;=Settings!$B$20)," Stale","")))</f>
        <v/>
      </c>
    </row>
    <row r="158">
      <c r="A158" s="16">
        <f>IF(Deals!$A110="","",Deals!$A110)</f>
        <v/>
      </c>
      <c r="B158" s="16">
        <f>IF($A158="","",Deals!$C110)</f>
        <v/>
      </c>
      <c r="C158" s="16">
        <f>IF($A158="","",Deals!$F110)</f>
        <v/>
      </c>
      <c r="D158" s="21">
        <f>IF($A158="","",Deals!$H110)</f>
        <v/>
      </c>
      <c r="E158" s="17">
        <f>IF($A158="","",Deals!$Q110)</f>
        <v/>
      </c>
      <c r="F158" s="16">
        <f>IF($A158="","",IF(AND(Deals!$I110&lt;&gt;"",Deals!$J110&lt;&gt;""),"Yes","No"))</f>
        <v/>
      </c>
      <c r="G158" s="22">
        <f>IF($A158="","",Deals!$Z110)</f>
        <v/>
      </c>
      <c r="H158" s="23">
        <f>IF(OR($A158="",$G158=""),"",INT((Settings!$B$19-$G158)/7))</f>
        <v/>
      </c>
      <c r="I158" s="24">
        <f>IF(OR($A158="",NOT(OR(Deals!$F110="Active",Deals!$F110="Proposal"))),"",TRIM(IF($E158=0," Unstaffed","")&amp;IF(IF(Deals!$U110="",FALSE,OR(AND(IFERROR(INDEX(Templates!$B$3:$B$10,MATCH(Deals!$U110,Templates!$A$3:$A$10,0)),0)&gt;0,COUNTIFS(Assignments!$C$2:$C$769,$A158,Assignments!$F$2:$F$769,"Partner",Assignments!$G$2:$G$769,"Active")=0),AND(IFERROR(INDEX(Templates!$C$3:$C$10,MATCH(Deals!$U110,Templates!$A$3:$A$10,0)),0)&gt;0,COUNTIFS(Assignments!$C$2:$C$769,$A158,Assignments!$F$2:$F$769,"MD",Assignments!$G$2:$G$769,"Active")=0),AND(IFERROR(INDEX(Templates!$D$3:$D$10,MATCH(Deals!$U110,Templates!$A$3:$A$10,0)),0)&gt;0,COUNTIFS(Assignments!$C$2:$C$769,$A158,Assignments!$F$2:$F$769,"Director",Assignments!$G$2:$G$769,"Active")=0),AND(IFERROR(INDEX(Templates!$E$3:$E$10,MATCH(Deals!$U110,Templates!$A$3:$A$10,0)),0)&gt;0,COUNTIFS(Assignments!$C$2:$C$769,$A158,Assignments!$F$2:$F$769,"VP",Assignments!$G$2:$G$769,"Active")=0),AND(IFERROR(INDEX(Templates!$F$3:$F$10,MATCH(Deals!$U110,Templates!$A$3:$A$10,0)),0)&gt;0,COUNTIFS(Assignments!$C$2:$C$769,$A158,Assignments!$F$2:$F$769,"Senior Associate",Assignments!$G$2:$G$769,"Active")=0),AND(IFERROR(INDEX(Templates!$G$3:$G$10,MATCH(Deals!$U110,Templates!$A$3:$A$10,0)),0)&gt;0,COUNTIFS(Assignments!$C$2:$C$769,$A158,Assignments!$F$2:$F$769,"Renewable Specialist",Assignments!$G$2:$G$769,"Active")=0),AND(IFERROR(INDEX(Templates!$H$3:$H$10,MATCH(Deals!$U110,Templates!$A$3:$A$10,0)),0)&gt;0,COUNTIFS(Assignments!$C$2:$C$769,$A158,Assignments!$F$2:$F$769,"Associate",Assignments!$G$2:$G$769,"Active")=0)))," MissingLevel","")&amp;IF(AND($C158="Proposal",Deals!$H110=0.5)," DefaultProbability","")&amp;IF($F158="No"," NoDates","")&amp;IF(AND(ISNUMBER($H158),$H158&gt;=Settings!$B$20)," Stale","")))</f>
        <v/>
      </c>
    </row>
    <row r="159">
      <c r="A159" s="16">
        <f>IF(Deals!$A111="","",Deals!$A111)</f>
        <v/>
      </c>
      <c r="B159" s="16">
        <f>IF($A159="","",Deals!$C111)</f>
        <v/>
      </c>
      <c r="C159" s="16">
        <f>IF($A159="","",Deals!$F111)</f>
        <v/>
      </c>
      <c r="D159" s="21">
        <f>IF($A159="","",Deals!$H111)</f>
        <v/>
      </c>
      <c r="E159" s="17">
        <f>IF($A159="","",Deals!$Q111)</f>
        <v/>
      </c>
      <c r="F159" s="16">
        <f>IF($A159="","",IF(AND(Deals!$I111&lt;&gt;"",Deals!$J111&lt;&gt;""),"Yes","No"))</f>
        <v/>
      </c>
      <c r="G159" s="22">
        <f>IF($A159="","",Deals!$Z111)</f>
        <v/>
      </c>
      <c r="H159" s="23">
        <f>IF(OR($A159="",$G159=""),"",INT((Settings!$B$19-$G159)/7))</f>
        <v/>
      </c>
      <c r="I159" s="24">
        <f>IF(OR($A159="",NOT(OR(Deals!$F111="Active",Deals!$F111="Proposal"))),"",TRIM(IF($E159=0," Unstaffed","")&amp;IF(IF(Deals!$U111="",FALSE,OR(AND(IFERROR(INDEX(Templates!$B$3:$B$10,MATCH(Deals!$U111,Templates!$A$3:$A$10,0)),0)&gt;0,COUNTIFS(Assignments!$C$2:$C$769,$A159,Assignments!$F$2:$F$769,"Partner",Assignments!$G$2:$G$769,"Active")=0),AND(IFERROR(INDEX(Templates!$C$3:$C$10,MATCH(Deals!$U111,Templates!$A$3:$A$10,0)),0)&gt;0,COUNTIFS(Assignments!$C$2:$C$769,$A159,Assignments!$F$2:$F$769,"MD",Assignments!$G$2:$G$769,"Active")=0),AND(IFERROR(INDEX(Templates!$D$3:$D$10,MATCH(Deals!$U111,Templates!$A$3:$A$10,0)),0)&gt;0,COUNTIFS(Assignments!$C$2:$C$769,$A159,Assignments!$F$2:$F$769,"Director",Assignments!$G$2:$G$769,"Active")=0),AND(IFERROR(INDEX(Templates!$E$3:$E$10,MATCH(Deals!$U111,Templates!$A$3:$A$10,0)),0)&gt;0,COUNTIFS(Assignments!$C$2:$C$769,$A159,Assignments!$F$2:$F$769,"VP",Assignments!$G$2:$G$769,"Active")=0),AND(IFERROR(INDEX(Templates!$F$3:$F$10,MATCH(Deals!$U111,Templates!$A$3:$A$10,0)),0)&gt;0,COUNTIFS(Assignments!$C$2:$C$769,$A159,Assignments!$F$2:$F$769,"Senior Associate",Assignments!$G$2:$G$769,"Active")=0),AND(IFERROR(INDEX(Templates!$G$3:$G$10,MATCH(Deals!$U111,Templates!$A$3:$A$10,0)),0)&gt;0,COUNTIFS(Assignments!$C$2:$C$769,$A159,Assignments!$F$2:$F$769,"Renewable Specialist",Assignments!$G$2:$G$769,"Active")=0),AND(IFERROR(INDEX(Templates!$H$3:$H$10,MATCH(Deals!$U111,Templates!$A$3:$A$10,0)),0)&gt;0,COUNTIFS(Assignments!$C$2:$C$769,$A159,Assignments!$F$2:$F$769,"Associate",Assignments!$G$2:$G$769,"Active")=0)))," MissingLevel","")&amp;IF(AND($C159="Proposal",Deals!$H111=0.5)," DefaultProbability","")&amp;IF($F159="No"," NoDates","")&amp;IF(AND(ISNUMBER($H159),$H159&gt;=Settings!$B$20)," Stale","")))</f>
        <v/>
      </c>
    </row>
    <row r="160">
      <c r="A160" s="16">
        <f>IF(Deals!$A112="","",Deals!$A112)</f>
        <v/>
      </c>
      <c r="B160" s="16">
        <f>IF($A160="","",Deals!$C112)</f>
        <v/>
      </c>
      <c r="C160" s="16">
        <f>IF($A160="","",Deals!$F112)</f>
        <v/>
      </c>
      <c r="D160" s="21">
        <f>IF($A160="","",Deals!$H112)</f>
        <v/>
      </c>
      <c r="E160" s="17">
        <f>IF($A160="","",Deals!$Q112)</f>
        <v/>
      </c>
      <c r="F160" s="16">
        <f>IF($A160="","",IF(AND(Deals!$I112&lt;&gt;"",Deals!$J112&lt;&gt;""),"Yes","No"))</f>
        <v/>
      </c>
      <c r="G160" s="22">
        <f>IF($A160="","",Deals!$Z112)</f>
        <v/>
      </c>
      <c r="H160" s="23">
        <f>IF(OR($A160="",$G160=""),"",INT((Settings!$B$19-$G160)/7))</f>
        <v/>
      </c>
      <c r="I160" s="24">
        <f>IF(OR($A160="",NOT(OR(Deals!$F112="Active",Deals!$F112="Proposal"))),"",TRIM(IF($E160=0," Unstaffed","")&amp;IF(IF(Deals!$U112="",FALSE,OR(AND(IFERROR(INDEX(Templates!$B$3:$B$10,MATCH(Deals!$U112,Templates!$A$3:$A$10,0)),0)&gt;0,COUNTIFS(Assignments!$C$2:$C$769,$A160,Assignments!$F$2:$F$769,"Partner",Assignments!$G$2:$G$769,"Active")=0),AND(IFERROR(INDEX(Templates!$C$3:$C$10,MATCH(Deals!$U112,Templates!$A$3:$A$10,0)),0)&gt;0,COUNTIFS(Assignments!$C$2:$C$769,$A160,Assignments!$F$2:$F$769,"MD",Assignments!$G$2:$G$769,"Active")=0),AND(IFERROR(INDEX(Templates!$D$3:$D$10,MATCH(Deals!$U112,Templates!$A$3:$A$10,0)),0)&gt;0,COUNTIFS(Assignments!$C$2:$C$769,$A160,Assignments!$F$2:$F$769,"Director",Assignments!$G$2:$G$769,"Active")=0),AND(IFERROR(INDEX(Templates!$E$3:$E$10,MATCH(Deals!$U112,Templates!$A$3:$A$10,0)),0)&gt;0,COUNTIFS(Assignments!$C$2:$C$769,$A160,Assignments!$F$2:$F$769,"VP",Assignments!$G$2:$G$769,"Active")=0),AND(IFERROR(INDEX(Templates!$F$3:$F$10,MATCH(Deals!$U112,Templates!$A$3:$A$10,0)),0)&gt;0,COUNTIFS(Assignments!$C$2:$C$769,$A160,Assignments!$F$2:$F$769,"Senior Associate",Assignments!$G$2:$G$769,"Active")=0),AND(IFERROR(INDEX(Templates!$G$3:$G$10,MATCH(Deals!$U112,Templates!$A$3:$A$10,0)),0)&gt;0,COUNTIFS(Assignments!$C$2:$C$769,$A160,Assignments!$F$2:$F$769,"Renewable Specialist",Assignments!$G$2:$G$769,"Active")=0),AND(IFERROR(INDEX(Templates!$H$3:$H$10,MATCH(Deals!$U112,Templates!$A$3:$A$10,0)),0)&gt;0,COUNTIFS(Assignments!$C$2:$C$769,$A160,Assignments!$F$2:$F$769,"Associate",Assignments!$G$2:$G$769,"Active")=0)))," MissingLevel","")&amp;IF(AND($C160="Proposal",Deals!$H112=0.5)," DefaultProbability","")&amp;IF($F160="No"," NoDates","")&amp;IF(AND(ISNUMBER($H160),$H160&gt;=Settings!$B$20)," Stale","")))</f>
        <v/>
      </c>
    </row>
    <row r="161">
      <c r="A161" s="16">
        <f>IF(Deals!$A113="","",Deals!$A113)</f>
        <v/>
      </c>
      <c r="B161" s="16">
        <f>IF($A161="","",Deals!$C113)</f>
        <v/>
      </c>
      <c r="C161" s="16">
        <f>IF($A161="","",Deals!$F113)</f>
        <v/>
      </c>
      <c r="D161" s="21">
        <f>IF($A161="","",Deals!$H113)</f>
        <v/>
      </c>
      <c r="E161" s="17">
        <f>IF($A161="","",Deals!$Q113)</f>
        <v/>
      </c>
      <c r="F161" s="16">
        <f>IF($A161="","",IF(AND(Deals!$I113&lt;&gt;"",Deals!$J113&lt;&gt;""),"Yes","No"))</f>
        <v/>
      </c>
      <c r="G161" s="22">
        <f>IF($A161="","",Deals!$Z113)</f>
        <v/>
      </c>
      <c r="H161" s="23">
        <f>IF(OR($A161="",$G161=""),"",INT((Settings!$B$19-$G161)/7))</f>
        <v/>
      </c>
      <c r="I161" s="24">
        <f>IF(OR($A161="",NOT(OR(Deals!$F113="Active",Deals!$F113="Proposal"))),"",TRIM(IF($E161=0," Unstaffed","")&amp;IF(IF(Deals!$U113="",FALSE,OR(AND(IFERROR(INDEX(Templates!$B$3:$B$10,MATCH(Deals!$U113,Templates!$A$3:$A$10,0)),0)&gt;0,COUNTIFS(Assignments!$C$2:$C$769,$A161,Assignments!$F$2:$F$769,"Partner",Assignments!$G$2:$G$769,"Active")=0),AND(IFERROR(INDEX(Templates!$C$3:$C$10,MATCH(Deals!$U113,Templates!$A$3:$A$10,0)),0)&gt;0,COUNTIFS(Assignments!$C$2:$C$769,$A161,Assignments!$F$2:$F$769,"MD",Assignments!$G$2:$G$769,"Active")=0),AND(IFERROR(INDEX(Templates!$D$3:$D$10,MATCH(Deals!$U113,Templates!$A$3:$A$10,0)),0)&gt;0,COUNTIFS(Assignments!$C$2:$C$769,$A161,Assignments!$F$2:$F$769,"Director",Assignments!$G$2:$G$769,"Active")=0),AND(IFERROR(INDEX(Templates!$E$3:$E$10,MATCH(Deals!$U113,Templates!$A$3:$A$10,0)),0)&gt;0,COUNTIFS(Assignments!$C$2:$C$769,$A161,Assignments!$F$2:$F$769,"VP",Assignments!$G$2:$G$769,"Active")=0),AND(IFERROR(INDEX(Templates!$F$3:$F$10,MATCH(Deals!$U113,Templates!$A$3:$A$10,0)),0)&gt;0,COUNTIFS(Assignments!$C$2:$C$769,$A161,Assignments!$F$2:$F$769,"Senior Associate",Assignments!$G$2:$G$769,"Active")=0),AND(IFERROR(INDEX(Templates!$G$3:$G$10,MATCH(Deals!$U113,Templates!$A$3:$A$10,0)),0)&gt;0,COUNTIFS(Assignments!$C$2:$C$769,$A161,Assignments!$F$2:$F$769,"Renewable Specialist",Assignments!$G$2:$G$769,"Active")=0),AND(IFERROR(INDEX(Templates!$H$3:$H$10,MATCH(Deals!$U113,Templates!$A$3:$A$10,0)),0)&gt;0,COUNTIFS(Assignments!$C$2:$C$769,$A161,Assignments!$F$2:$F$769,"Associate",Assignments!$G$2:$G$769,"Active")=0)))," MissingLevel","")&amp;IF(AND($C161="Proposal",Deals!$H113=0.5)," DefaultProbability","")&amp;IF($F161="No"," NoDates","")&amp;IF(AND(ISNUMBER($H161),$H161&gt;=Settings!$B$20)," Stale","")))</f>
        <v/>
      </c>
    </row>
    <row r="162">
      <c r="A162" s="16">
        <f>IF(Deals!$A114="","",Deals!$A114)</f>
        <v/>
      </c>
      <c r="B162" s="16">
        <f>IF($A162="","",Deals!$C114)</f>
        <v/>
      </c>
      <c r="C162" s="16">
        <f>IF($A162="","",Deals!$F114)</f>
        <v/>
      </c>
      <c r="D162" s="21">
        <f>IF($A162="","",Deals!$H114)</f>
        <v/>
      </c>
      <c r="E162" s="17">
        <f>IF($A162="","",Deals!$Q114)</f>
        <v/>
      </c>
      <c r="F162" s="16">
        <f>IF($A162="","",IF(AND(Deals!$I114&lt;&gt;"",Deals!$J114&lt;&gt;""),"Yes","No"))</f>
        <v/>
      </c>
      <c r="G162" s="22">
        <f>IF($A162="","",Deals!$Z114)</f>
        <v/>
      </c>
      <c r="H162" s="23">
        <f>IF(OR($A162="",$G162=""),"",INT((Settings!$B$19-$G162)/7))</f>
        <v/>
      </c>
      <c r="I162" s="24">
        <f>IF(OR($A162="",NOT(OR(Deals!$F114="Active",Deals!$F114="Proposal"))),"",TRIM(IF($E162=0," Unstaffed","")&amp;IF(IF(Deals!$U114="",FALSE,OR(AND(IFERROR(INDEX(Templates!$B$3:$B$10,MATCH(Deals!$U114,Templates!$A$3:$A$10,0)),0)&gt;0,COUNTIFS(Assignments!$C$2:$C$769,$A162,Assignments!$F$2:$F$769,"Partner",Assignments!$G$2:$G$769,"Active")=0),AND(IFERROR(INDEX(Templates!$C$3:$C$10,MATCH(Deals!$U114,Templates!$A$3:$A$10,0)),0)&gt;0,COUNTIFS(Assignments!$C$2:$C$769,$A162,Assignments!$F$2:$F$769,"MD",Assignments!$G$2:$G$769,"Active")=0),AND(IFERROR(INDEX(Templates!$D$3:$D$10,MATCH(Deals!$U114,Templates!$A$3:$A$10,0)),0)&gt;0,COUNTIFS(Assignments!$C$2:$C$769,$A162,Assignments!$F$2:$F$769,"Director",Assignments!$G$2:$G$769,"Active")=0),AND(IFERROR(INDEX(Templates!$E$3:$E$10,MATCH(Deals!$U114,Templates!$A$3:$A$10,0)),0)&gt;0,COUNTIFS(Assignments!$C$2:$C$769,$A162,Assignments!$F$2:$F$769,"VP",Assignments!$G$2:$G$769,"Active")=0),AND(IFERROR(INDEX(Templates!$F$3:$F$10,MATCH(Deals!$U114,Templates!$A$3:$A$10,0)),0)&gt;0,COUNTIFS(Assignments!$C$2:$C$769,$A162,Assignments!$F$2:$F$769,"Senior Associate",Assignments!$G$2:$G$769,"Active")=0),AND(IFERROR(INDEX(Templates!$G$3:$G$10,MATCH(Deals!$U114,Templates!$A$3:$A$10,0)),0)&gt;0,COUNTIFS(Assignments!$C$2:$C$769,$A162,Assignments!$F$2:$F$769,"Renewable Specialist",Assignments!$G$2:$G$769,"Active")=0),AND(IFERROR(INDEX(Templates!$H$3:$H$10,MATCH(Deals!$U114,Templates!$A$3:$A$10,0)),0)&gt;0,COUNTIFS(Assignments!$C$2:$C$769,$A162,Assignments!$F$2:$F$769,"Associate",Assignments!$G$2:$G$769,"Active")=0)))," MissingLevel","")&amp;IF(AND($C162="Proposal",Deals!$H114=0.5)," DefaultProbability","")&amp;IF($F162="No"," NoDates","")&amp;IF(AND(ISNUMBER($H162),$H162&gt;=Settings!$B$20)," Stale","")))</f>
        <v/>
      </c>
    </row>
    <row r="163">
      <c r="A163" s="16">
        <f>IF(Deals!$A115="","",Deals!$A115)</f>
        <v/>
      </c>
      <c r="B163" s="16">
        <f>IF($A163="","",Deals!$C115)</f>
        <v/>
      </c>
      <c r="C163" s="16">
        <f>IF($A163="","",Deals!$F115)</f>
        <v/>
      </c>
      <c r="D163" s="21">
        <f>IF($A163="","",Deals!$H115)</f>
        <v/>
      </c>
      <c r="E163" s="17">
        <f>IF($A163="","",Deals!$Q115)</f>
        <v/>
      </c>
      <c r="F163" s="16">
        <f>IF($A163="","",IF(AND(Deals!$I115&lt;&gt;"",Deals!$J115&lt;&gt;""),"Yes","No"))</f>
        <v/>
      </c>
      <c r="G163" s="22">
        <f>IF($A163="","",Deals!$Z115)</f>
        <v/>
      </c>
      <c r="H163" s="23">
        <f>IF(OR($A163="",$G163=""),"",INT((Settings!$B$19-$G163)/7))</f>
        <v/>
      </c>
      <c r="I163" s="24">
        <f>IF(OR($A163="",NOT(OR(Deals!$F115="Active",Deals!$F115="Proposal"))),"",TRIM(IF($E163=0," Unstaffed","")&amp;IF(IF(Deals!$U115="",FALSE,OR(AND(IFERROR(INDEX(Templates!$B$3:$B$10,MATCH(Deals!$U115,Templates!$A$3:$A$10,0)),0)&gt;0,COUNTIFS(Assignments!$C$2:$C$769,$A163,Assignments!$F$2:$F$769,"Partner",Assignments!$G$2:$G$769,"Active")=0),AND(IFERROR(INDEX(Templates!$C$3:$C$10,MATCH(Deals!$U115,Templates!$A$3:$A$10,0)),0)&gt;0,COUNTIFS(Assignments!$C$2:$C$769,$A163,Assignments!$F$2:$F$769,"MD",Assignments!$G$2:$G$769,"Active")=0),AND(IFERROR(INDEX(Templates!$D$3:$D$10,MATCH(Deals!$U115,Templates!$A$3:$A$10,0)),0)&gt;0,COUNTIFS(Assignments!$C$2:$C$769,$A163,Assignments!$F$2:$F$769,"Director",Assignments!$G$2:$G$769,"Active")=0),AND(IFERROR(INDEX(Templates!$E$3:$E$10,MATCH(Deals!$U115,Templates!$A$3:$A$10,0)),0)&gt;0,COUNTIFS(Assignments!$C$2:$C$769,$A163,Assignments!$F$2:$F$769,"VP",Assignments!$G$2:$G$769,"Active")=0),AND(IFERROR(INDEX(Templates!$F$3:$F$10,MATCH(Deals!$U115,Templates!$A$3:$A$10,0)),0)&gt;0,COUNTIFS(Assignments!$C$2:$C$769,$A163,Assignments!$F$2:$F$769,"Senior Associate",Assignments!$G$2:$G$769,"Active")=0),AND(IFERROR(INDEX(Templates!$G$3:$G$10,MATCH(Deals!$U115,Templates!$A$3:$A$10,0)),0)&gt;0,COUNTIFS(Assignments!$C$2:$C$769,$A163,Assignments!$F$2:$F$769,"Renewable Specialist",Assignments!$G$2:$G$769,"Active")=0),AND(IFERROR(INDEX(Templates!$H$3:$H$10,MATCH(Deals!$U115,Templates!$A$3:$A$10,0)),0)&gt;0,COUNTIFS(Assignments!$C$2:$C$769,$A163,Assignments!$F$2:$F$769,"Associate",Assignments!$G$2:$G$769,"Active")=0)))," MissingLevel","")&amp;IF(AND($C163="Proposal",Deals!$H115=0.5)," DefaultProbability","")&amp;IF($F163="No"," NoDates","")&amp;IF(AND(ISNUMBER($H163),$H163&gt;=Settings!$B$20)," Stale","")))</f>
        <v/>
      </c>
    </row>
    <row r="164">
      <c r="A164" s="16">
        <f>IF(Deals!$A116="","",Deals!$A116)</f>
        <v/>
      </c>
      <c r="B164" s="16">
        <f>IF($A164="","",Deals!$C116)</f>
        <v/>
      </c>
      <c r="C164" s="16">
        <f>IF($A164="","",Deals!$F116)</f>
        <v/>
      </c>
      <c r="D164" s="21">
        <f>IF($A164="","",Deals!$H116)</f>
        <v/>
      </c>
      <c r="E164" s="17">
        <f>IF($A164="","",Deals!$Q116)</f>
        <v/>
      </c>
      <c r="F164" s="16">
        <f>IF($A164="","",IF(AND(Deals!$I116&lt;&gt;"",Deals!$J116&lt;&gt;""),"Yes","No"))</f>
        <v/>
      </c>
      <c r="G164" s="22">
        <f>IF($A164="","",Deals!$Z116)</f>
        <v/>
      </c>
      <c r="H164" s="23">
        <f>IF(OR($A164="",$G164=""),"",INT((Settings!$B$19-$G164)/7))</f>
        <v/>
      </c>
      <c r="I164" s="24">
        <f>IF(OR($A164="",NOT(OR(Deals!$F116="Active",Deals!$F116="Proposal"))),"",TRIM(IF($E164=0," Unstaffed","")&amp;IF(IF(Deals!$U116="",FALSE,OR(AND(IFERROR(INDEX(Templates!$B$3:$B$10,MATCH(Deals!$U116,Templates!$A$3:$A$10,0)),0)&gt;0,COUNTIFS(Assignments!$C$2:$C$769,$A164,Assignments!$F$2:$F$769,"Partner",Assignments!$G$2:$G$769,"Active")=0),AND(IFERROR(INDEX(Templates!$C$3:$C$10,MATCH(Deals!$U116,Templates!$A$3:$A$10,0)),0)&gt;0,COUNTIFS(Assignments!$C$2:$C$769,$A164,Assignments!$F$2:$F$769,"MD",Assignments!$G$2:$G$769,"Active")=0),AND(IFERROR(INDEX(Templates!$D$3:$D$10,MATCH(Deals!$U116,Templates!$A$3:$A$10,0)),0)&gt;0,COUNTIFS(Assignments!$C$2:$C$769,$A164,Assignments!$F$2:$F$769,"Director",Assignments!$G$2:$G$769,"Active")=0),AND(IFERROR(INDEX(Templates!$E$3:$E$10,MATCH(Deals!$U116,Templates!$A$3:$A$10,0)),0)&gt;0,COUNTIFS(Assignments!$C$2:$C$769,$A164,Assignments!$F$2:$F$769,"VP",Assignments!$G$2:$G$769,"Active")=0),AND(IFERROR(INDEX(Templates!$F$3:$F$10,MATCH(Deals!$U116,Templates!$A$3:$A$10,0)),0)&gt;0,COUNTIFS(Assignments!$C$2:$C$769,$A164,Assignments!$F$2:$F$769,"Senior Associate",Assignments!$G$2:$G$769,"Active")=0),AND(IFERROR(INDEX(Templates!$G$3:$G$10,MATCH(Deals!$U116,Templates!$A$3:$A$10,0)),0)&gt;0,COUNTIFS(Assignments!$C$2:$C$769,$A164,Assignments!$F$2:$F$769,"Renewable Specialist",Assignments!$G$2:$G$769,"Active")=0),AND(IFERROR(INDEX(Templates!$H$3:$H$10,MATCH(Deals!$U116,Templates!$A$3:$A$10,0)),0)&gt;0,COUNTIFS(Assignments!$C$2:$C$769,$A164,Assignments!$F$2:$F$769,"Associate",Assignments!$G$2:$G$769,"Active")=0)))," MissingLevel","")&amp;IF(AND($C164="Proposal",Deals!$H116=0.5)," DefaultProbability","")&amp;IF($F164="No"," NoDates","")&amp;IF(AND(ISNUMBER($H164),$H164&gt;=Settings!$B$20)," Stale","")))</f>
        <v/>
      </c>
    </row>
    <row r="165">
      <c r="A165" s="16">
        <f>IF(Deals!$A117="","",Deals!$A117)</f>
        <v/>
      </c>
      <c r="B165" s="16">
        <f>IF($A165="","",Deals!$C117)</f>
        <v/>
      </c>
      <c r="C165" s="16">
        <f>IF($A165="","",Deals!$F117)</f>
        <v/>
      </c>
      <c r="D165" s="21">
        <f>IF($A165="","",Deals!$H117)</f>
        <v/>
      </c>
      <c r="E165" s="17">
        <f>IF($A165="","",Deals!$Q117)</f>
        <v/>
      </c>
      <c r="F165" s="16">
        <f>IF($A165="","",IF(AND(Deals!$I117&lt;&gt;"",Deals!$J117&lt;&gt;""),"Yes","No"))</f>
        <v/>
      </c>
      <c r="G165" s="22">
        <f>IF($A165="","",Deals!$Z117)</f>
        <v/>
      </c>
      <c r="H165" s="23">
        <f>IF(OR($A165="",$G165=""),"",INT((Settings!$B$19-$G165)/7))</f>
        <v/>
      </c>
      <c r="I165" s="24">
        <f>IF(OR($A165="",NOT(OR(Deals!$F117="Active",Deals!$F117="Proposal"))),"",TRIM(IF($E165=0," Unstaffed","")&amp;IF(IF(Deals!$U117="",FALSE,OR(AND(IFERROR(INDEX(Templates!$B$3:$B$10,MATCH(Deals!$U117,Templates!$A$3:$A$10,0)),0)&gt;0,COUNTIFS(Assignments!$C$2:$C$769,$A165,Assignments!$F$2:$F$769,"Partner",Assignments!$G$2:$G$769,"Active")=0),AND(IFERROR(INDEX(Templates!$C$3:$C$10,MATCH(Deals!$U117,Templates!$A$3:$A$10,0)),0)&gt;0,COUNTIFS(Assignments!$C$2:$C$769,$A165,Assignments!$F$2:$F$769,"MD",Assignments!$G$2:$G$769,"Active")=0),AND(IFERROR(INDEX(Templates!$D$3:$D$10,MATCH(Deals!$U117,Templates!$A$3:$A$10,0)),0)&gt;0,COUNTIFS(Assignments!$C$2:$C$769,$A165,Assignments!$F$2:$F$769,"Director",Assignments!$G$2:$G$769,"Active")=0),AND(IFERROR(INDEX(Templates!$E$3:$E$10,MATCH(Deals!$U117,Templates!$A$3:$A$10,0)),0)&gt;0,COUNTIFS(Assignments!$C$2:$C$769,$A165,Assignments!$F$2:$F$769,"VP",Assignments!$G$2:$G$769,"Active")=0),AND(IFERROR(INDEX(Templates!$F$3:$F$10,MATCH(Deals!$U117,Templates!$A$3:$A$10,0)),0)&gt;0,COUNTIFS(Assignments!$C$2:$C$769,$A165,Assignments!$F$2:$F$769,"Senior Associate",Assignments!$G$2:$G$769,"Active")=0),AND(IFERROR(INDEX(Templates!$G$3:$G$10,MATCH(Deals!$U117,Templates!$A$3:$A$10,0)),0)&gt;0,COUNTIFS(Assignments!$C$2:$C$769,$A165,Assignments!$F$2:$F$769,"Renewable Specialist",Assignments!$G$2:$G$769,"Active")=0),AND(IFERROR(INDEX(Templates!$H$3:$H$10,MATCH(Deals!$U117,Templates!$A$3:$A$10,0)),0)&gt;0,COUNTIFS(Assignments!$C$2:$C$769,$A165,Assignments!$F$2:$F$769,"Associate",Assignments!$G$2:$G$769,"Active")=0)))," MissingLevel","")&amp;IF(AND($C165="Proposal",Deals!$H117=0.5)," DefaultProbability","")&amp;IF($F165="No"," NoDates","")&amp;IF(AND(ISNUMBER($H165),$H165&gt;=Settings!$B$20)," Stale","")))</f>
        <v/>
      </c>
    </row>
    <row r="166">
      <c r="A166" s="16">
        <f>IF(Deals!$A118="","",Deals!$A118)</f>
        <v/>
      </c>
      <c r="B166" s="16">
        <f>IF($A166="","",Deals!$C118)</f>
        <v/>
      </c>
      <c r="C166" s="16">
        <f>IF($A166="","",Deals!$F118)</f>
        <v/>
      </c>
      <c r="D166" s="21">
        <f>IF($A166="","",Deals!$H118)</f>
        <v/>
      </c>
      <c r="E166" s="17">
        <f>IF($A166="","",Deals!$Q118)</f>
        <v/>
      </c>
      <c r="F166" s="16">
        <f>IF($A166="","",IF(AND(Deals!$I118&lt;&gt;"",Deals!$J118&lt;&gt;""),"Yes","No"))</f>
        <v/>
      </c>
      <c r="G166" s="22">
        <f>IF($A166="","",Deals!$Z118)</f>
        <v/>
      </c>
      <c r="H166" s="23">
        <f>IF(OR($A166="",$G166=""),"",INT((Settings!$B$19-$G166)/7))</f>
        <v/>
      </c>
      <c r="I166" s="24">
        <f>IF(OR($A166="",NOT(OR(Deals!$F118="Active",Deals!$F118="Proposal"))),"",TRIM(IF($E166=0," Unstaffed","")&amp;IF(IF(Deals!$U118="",FALSE,OR(AND(IFERROR(INDEX(Templates!$B$3:$B$10,MATCH(Deals!$U118,Templates!$A$3:$A$10,0)),0)&gt;0,COUNTIFS(Assignments!$C$2:$C$769,$A166,Assignments!$F$2:$F$769,"Partner",Assignments!$G$2:$G$769,"Active")=0),AND(IFERROR(INDEX(Templates!$C$3:$C$10,MATCH(Deals!$U118,Templates!$A$3:$A$10,0)),0)&gt;0,COUNTIFS(Assignments!$C$2:$C$769,$A166,Assignments!$F$2:$F$769,"MD",Assignments!$G$2:$G$769,"Active")=0),AND(IFERROR(INDEX(Templates!$D$3:$D$10,MATCH(Deals!$U118,Templates!$A$3:$A$10,0)),0)&gt;0,COUNTIFS(Assignments!$C$2:$C$769,$A166,Assignments!$F$2:$F$769,"Director",Assignments!$G$2:$G$769,"Active")=0),AND(IFERROR(INDEX(Templates!$E$3:$E$10,MATCH(Deals!$U118,Templates!$A$3:$A$10,0)),0)&gt;0,COUNTIFS(Assignments!$C$2:$C$769,$A166,Assignments!$F$2:$F$769,"VP",Assignments!$G$2:$G$769,"Active")=0),AND(IFERROR(INDEX(Templates!$F$3:$F$10,MATCH(Deals!$U118,Templates!$A$3:$A$10,0)),0)&gt;0,COUNTIFS(Assignments!$C$2:$C$769,$A166,Assignments!$F$2:$F$769,"Senior Associate",Assignments!$G$2:$G$769,"Active")=0),AND(IFERROR(INDEX(Templates!$G$3:$G$10,MATCH(Deals!$U118,Templates!$A$3:$A$10,0)),0)&gt;0,COUNTIFS(Assignments!$C$2:$C$769,$A166,Assignments!$F$2:$F$769,"Renewable Specialist",Assignments!$G$2:$G$769,"Active")=0),AND(IFERROR(INDEX(Templates!$H$3:$H$10,MATCH(Deals!$U118,Templates!$A$3:$A$10,0)),0)&gt;0,COUNTIFS(Assignments!$C$2:$C$769,$A166,Assignments!$F$2:$F$769,"Associate",Assignments!$G$2:$G$769,"Active")=0)))," MissingLevel","")&amp;IF(AND($C166="Proposal",Deals!$H118=0.5)," DefaultProbability","")&amp;IF($F166="No"," NoDates","")&amp;IF(AND(ISNUMBER($H166),$H166&gt;=Settings!$B$20)," Stale","")))</f>
        <v/>
      </c>
    </row>
    <row r="167">
      <c r="A167" s="16">
        <f>IF(Deals!$A119="","",Deals!$A119)</f>
        <v/>
      </c>
      <c r="B167" s="16">
        <f>IF($A167="","",Deals!$C119)</f>
        <v/>
      </c>
      <c r="C167" s="16">
        <f>IF($A167="","",Deals!$F119)</f>
        <v/>
      </c>
      <c r="D167" s="21">
        <f>IF($A167="","",Deals!$H119)</f>
        <v/>
      </c>
      <c r="E167" s="17">
        <f>IF($A167="","",Deals!$Q119)</f>
        <v/>
      </c>
      <c r="F167" s="16">
        <f>IF($A167="","",IF(AND(Deals!$I119&lt;&gt;"",Deals!$J119&lt;&gt;""),"Yes","No"))</f>
        <v/>
      </c>
      <c r="G167" s="22">
        <f>IF($A167="","",Deals!$Z119)</f>
        <v/>
      </c>
      <c r="H167" s="23">
        <f>IF(OR($A167="",$G167=""),"",INT((Settings!$B$19-$G167)/7))</f>
        <v/>
      </c>
      <c r="I167" s="24">
        <f>IF(OR($A167="",NOT(OR(Deals!$F119="Active",Deals!$F119="Proposal"))),"",TRIM(IF($E167=0," Unstaffed","")&amp;IF(IF(Deals!$U119="",FALSE,OR(AND(IFERROR(INDEX(Templates!$B$3:$B$10,MATCH(Deals!$U119,Templates!$A$3:$A$10,0)),0)&gt;0,COUNTIFS(Assignments!$C$2:$C$769,$A167,Assignments!$F$2:$F$769,"Partner",Assignments!$G$2:$G$769,"Active")=0),AND(IFERROR(INDEX(Templates!$C$3:$C$10,MATCH(Deals!$U119,Templates!$A$3:$A$10,0)),0)&gt;0,COUNTIFS(Assignments!$C$2:$C$769,$A167,Assignments!$F$2:$F$769,"MD",Assignments!$G$2:$G$769,"Active")=0),AND(IFERROR(INDEX(Templates!$D$3:$D$10,MATCH(Deals!$U119,Templates!$A$3:$A$10,0)),0)&gt;0,COUNTIFS(Assignments!$C$2:$C$769,$A167,Assignments!$F$2:$F$769,"Director",Assignments!$G$2:$G$769,"Active")=0),AND(IFERROR(INDEX(Templates!$E$3:$E$10,MATCH(Deals!$U119,Templates!$A$3:$A$10,0)),0)&gt;0,COUNTIFS(Assignments!$C$2:$C$769,$A167,Assignments!$F$2:$F$769,"VP",Assignments!$G$2:$G$769,"Active")=0),AND(IFERROR(INDEX(Templates!$F$3:$F$10,MATCH(Deals!$U119,Templates!$A$3:$A$10,0)),0)&gt;0,COUNTIFS(Assignments!$C$2:$C$769,$A167,Assignments!$F$2:$F$769,"Senior Associate",Assignments!$G$2:$G$769,"Active")=0),AND(IFERROR(INDEX(Templates!$G$3:$G$10,MATCH(Deals!$U119,Templates!$A$3:$A$10,0)),0)&gt;0,COUNTIFS(Assignments!$C$2:$C$769,$A167,Assignments!$F$2:$F$769,"Renewable Specialist",Assignments!$G$2:$G$769,"Active")=0),AND(IFERROR(INDEX(Templates!$H$3:$H$10,MATCH(Deals!$U119,Templates!$A$3:$A$10,0)),0)&gt;0,COUNTIFS(Assignments!$C$2:$C$769,$A167,Assignments!$F$2:$F$769,"Associate",Assignments!$G$2:$G$769,"Active")=0)))," MissingLevel","")&amp;IF(AND($C167="Proposal",Deals!$H119=0.5)," DefaultProbability","")&amp;IF($F167="No"," NoDates","")&amp;IF(AND(ISNUMBER($H167),$H167&gt;=Settings!$B$20)," Stale","")))</f>
        <v/>
      </c>
    </row>
    <row r="168">
      <c r="A168" s="16">
        <f>IF(Deals!$A120="","",Deals!$A120)</f>
        <v/>
      </c>
      <c r="B168" s="16">
        <f>IF($A168="","",Deals!$C120)</f>
        <v/>
      </c>
      <c r="C168" s="16">
        <f>IF($A168="","",Deals!$F120)</f>
        <v/>
      </c>
      <c r="D168" s="21">
        <f>IF($A168="","",Deals!$H120)</f>
        <v/>
      </c>
      <c r="E168" s="17">
        <f>IF($A168="","",Deals!$Q120)</f>
        <v/>
      </c>
      <c r="F168" s="16">
        <f>IF($A168="","",IF(AND(Deals!$I120&lt;&gt;"",Deals!$J120&lt;&gt;""),"Yes","No"))</f>
        <v/>
      </c>
      <c r="G168" s="22">
        <f>IF($A168="","",Deals!$Z120)</f>
        <v/>
      </c>
      <c r="H168" s="23">
        <f>IF(OR($A168="",$G168=""),"",INT((Settings!$B$19-$G168)/7))</f>
        <v/>
      </c>
      <c r="I168" s="24">
        <f>IF(OR($A168="",NOT(OR(Deals!$F120="Active",Deals!$F120="Proposal"))),"",TRIM(IF($E168=0," Unstaffed","")&amp;IF(IF(Deals!$U120="",FALSE,OR(AND(IFERROR(INDEX(Templates!$B$3:$B$10,MATCH(Deals!$U120,Templates!$A$3:$A$10,0)),0)&gt;0,COUNTIFS(Assignments!$C$2:$C$769,$A168,Assignments!$F$2:$F$769,"Partner",Assignments!$G$2:$G$769,"Active")=0),AND(IFERROR(INDEX(Templates!$C$3:$C$10,MATCH(Deals!$U120,Templates!$A$3:$A$10,0)),0)&gt;0,COUNTIFS(Assignments!$C$2:$C$769,$A168,Assignments!$F$2:$F$769,"MD",Assignments!$G$2:$G$769,"Active")=0),AND(IFERROR(INDEX(Templates!$D$3:$D$10,MATCH(Deals!$U120,Templates!$A$3:$A$10,0)),0)&gt;0,COUNTIFS(Assignments!$C$2:$C$769,$A168,Assignments!$F$2:$F$769,"Director",Assignments!$G$2:$G$769,"Active")=0),AND(IFERROR(INDEX(Templates!$E$3:$E$10,MATCH(Deals!$U120,Templates!$A$3:$A$10,0)),0)&gt;0,COUNTIFS(Assignments!$C$2:$C$769,$A168,Assignments!$F$2:$F$769,"VP",Assignments!$G$2:$G$769,"Active")=0),AND(IFERROR(INDEX(Templates!$F$3:$F$10,MATCH(Deals!$U120,Templates!$A$3:$A$10,0)),0)&gt;0,COUNTIFS(Assignments!$C$2:$C$769,$A168,Assignments!$F$2:$F$769,"Senior Associate",Assignments!$G$2:$G$769,"Active")=0),AND(IFERROR(INDEX(Templates!$G$3:$G$10,MATCH(Deals!$U120,Templates!$A$3:$A$10,0)),0)&gt;0,COUNTIFS(Assignments!$C$2:$C$769,$A168,Assignments!$F$2:$F$769,"Renewable Specialist",Assignments!$G$2:$G$769,"Active")=0),AND(IFERROR(INDEX(Templates!$H$3:$H$10,MATCH(Deals!$U120,Templates!$A$3:$A$10,0)),0)&gt;0,COUNTIFS(Assignments!$C$2:$C$769,$A168,Assignments!$F$2:$F$769,"Associate",Assignments!$G$2:$G$769,"Active")=0)))," MissingLevel","")&amp;IF(AND($C168="Proposal",Deals!$H120=0.5)," DefaultProbability","")&amp;IF($F168="No"," NoDates","")&amp;IF(AND(ISNUMBER($H168),$H168&gt;=Settings!$B$20)," Stale","")))</f>
        <v/>
      </c>
    </row>
    <row r="169">
      <c r="A169" s="16">
        <f>IF(Deals!$A121="","",Deals!$A121)</f>
        <v/>
      </c>
      <c r="B169" s="16">
        <f>IF($A169="","",Deals!$C121)</f>
        <v/>
      </c>
      <c r="C169" s="16">
        <f>IF($A169="","",Deals!$F121)</f>
        <v/>
      </c>
      <c r="D169" s="21">
        <f>IF($A169="","",Deals!$H121)</f>
        <v/>
      </c>
      <c r="E169" s="17">
        <f>IF($A169="","",Deals!$Q121)</f>
        <v/>
      </c>
      <c r="F169" s="16">
        <f>IF($A169="","",IF(AND(Deals!$I121&lt;&gt;"",Deals!$J121&lt;&gt;""),"Yes","No"))</f>
        <v/>
      </c>
      <c r="G169" s="22">
        <f>IF($A169="","",Deals!$Z121)</f>
        <v/>
      </c>
      <c r="H169" s="23">
        <f>IF(OR($A169="",$G169=""),"",INT((Settings!$B$19-$G169)/7))</f>
        <v/>
      </c>
      <c r="I169" s="24">
        <f>IF(OR($A169="",NOT(OR(Deals!$F121="Active",Deals!$F121="Proposal"))),"",TRIM(IF($E169=0," Unstaffed","")&amp;IF(IF(Deals!$U121="",FALSE,OR(AND(IFERROR(INDEX(Templates!$B$3:$B$10,MATCH(Deals!$U121,Templates!$A$3:$A$10,0)),0)&gt;0,COUNTIFS(Assignments!$C$2:$C$769,$A169,Assignments!$F$2:$F$769,"Partner",Assignments!$G$2:$G$769,"Active")=0),AND(IFERROR(INDEX(Templates!$C$3:$C$10,MATCH(Deals!$U121,Templates!$A$3:$A$10,0)),0)&gt;0,COUNTIFS(Assignments!$C$2:$C$769,$A169,Assignments!$F$2:$F$769,"MD",Assignments!$G$2:$G$769,"Active")=0),AND(IFERROR(INDEX(Templates!$D$3:$D$10,MATCH(Deals!$U121,Templates!$A$3:$A$10,0)),0)&gt;0,COUNTIFS(Assignments!$C$2:$C$769,$A169,Assignments!$F$2:$F$769,"Director",Assignments!$G$2:$G$769,"Active")=0),AND(IFERROR(INDEX(Templates!$E$3:$E$10,MATCH(Deals!$U121,Templates!$A$3:$A$10,0)),0)&gt;0,COUNTIFS(Assignments!$C$2:$C$769,$A169,Assignments!$F$2:$F$769,"VP",Assignments!$G$2:$G$769,"Active")=0),AND(IFERROR(INDEX(Templates!$F$3:$F$10,MATCH(Deals!$U121,Templates!$A$3:$A$10,0)),0)&gt;0,COUNTIFS(Assignments!$C$2:$C$769,$A169,Assignments!$F$2:$F$769,"Senior Associate",Assignments!$G$2:$G$769,"Active")=0),AND(IFERROR(INDEX(Templates!$G$3:$G$10,MATCH(Deals!$U121,Templates!$A$3:$A$10,0)),0)&gt;0,COUNTIFS(Assignments!$C$2:$C$769,$A169,Assignments!$F$2:$F$769,"Renewable Specialist",Assignments!$G$2:$G$769,"Active")=0),AND(IFERROR(INDEX(Templates!$H$3:$H$10,MATCH(Deals!$U121,Templates!$A$3:$A$10,0)),0)&gt;0,COUNTIFS(Assignments!$C$2:$C$769,$A169,Assignments!$F$2:$F$769,"Associate",Assignments!$G$2:$G$769,"Active")=0)))," MissingLevel","")&amp;IF(AND($C169="Proposal",Deals!$H121=0.5)," DefaultProbability","")&amp;IF($F169="No"," NoDates","")&amp;IF(AND(ISNUMBER($H169),$H169&gt;=Settings!$B$20)," Stale","")))</f>
        <v/>
      </c>
    </row>
    <row r="170">
      <c r="A170" s="16">
        <f>IF(Deals!$A122="","",Deals!$A122)</f>
        <v/>
      </c>
      <c r="B170" s="16">
        <f>IF($A170="","",Deals!$C122)</f>
        <v/>
      </c>
      <c r="C170" s="16">
        <f>IF($A170="","",Deals!$F122)</f>
        <v/>
      </c>
      <c r="D170" s="21">
        <f>IF($A170="","",Deals!$H122)</f>
        <v/>
      </c>
      <c r="E170" s="17">
        <f>IF($A170="","",Deals!$Q122)</f>
        <v/>
      </c>
      <c r="F170" s="16">
        <f>IF($A170="","",IF(AND(Deals!$I122&lt;&gt;"",Deals!$J122&lt;&gt;""),"Yes","No"))</f>
        <v/>
      </c>
      <c r="G170" s="22">
        <f>IF($A170="","",Deals!$Z122)</f>
        <v/>
      </c>
      <c r="H170" s="23">
        <f>IF(OR($A170="",$G170=""),"",INT((Settings!$B$19-$G170)/7))</f>
        <v/>
      </c>
      <c r="I170" s="24">
        <f>IF(OR($A170="",NOT(OR(Deals!$F122="Active",Deals!$F122="Proposal"))),"",TRIM(IF($E170=0," Unstaffed","")&amp;IF(IF(Deals!$U122="",FALSE,OR(AND(IFERROR(INDEX(Templates!$B$3:$B$10,MATCH(Deals!$U122,Templates!$A$3:$A$10,0)),0)&gt;0,COUNTIFS(Assignments!$C$2:$C$769,$A170,Assignments!$F$2:$F$769,"Partner",Assignments!$G$2:$G$769,"Active")=0),AND(IFERROR(INDEX(Templates!$C$3:$C$10,MATCH(Deals!$U122,Templates!$A$3:$A$10,0)),0)&gt;0,COUNTIFS(Assignments!$C$2:$C$769,$A170,Assignments!$F$2:$F$769,"MD",Assignments!$G$2:$G$769,"Active")=0),AND(IFERROR(INDEX(Templates!$D$3:$D$10,MATCH(Deals!$U122,Templates!$A$3:$A$10,0)),0)&gt;0,COUNTIFS(Assignments!$C$2:$C$769,$A170,Assignments!$F$2:$F$769,"Director",Assignments!$G$2:$G$769,"Active")=0),AND(IFERROR(INDEX(Templates!$E$3:$E$10,MATCH(Deals!$U122,Templates!$A$3:$A$10,0)),0)&gt;0,COUNTIFS(Assignments!$C$2:$C$769,$A170,Assignments!$F$2:$F$769,"VP",Assignments!$G$2:$G$769,"Active")=0),AND(IFERROR(INDEX(Templates!$F$3:$F$10,MATCH(Deals!$U122,Templates!$A$3:$A$10,0)),0)&gt;0,COUNTIFS(Assignments!$C$2:$C$769,$A170,Assignments!$F$2:$F$769,"Senior Associate",Assignments!$G$2:$G$769,"Active")=0),AND(IFERROR(INDEX(Templates!$G$3:$G$10,MATCH(Deals!$U122,Templates!$A$3:$A$10,0)),0)&gt;0,COUNTIFS(Assignments!$C$2:$C$769,$A170,Assignments!$F$2:$F$769,"Renewable Specialist",Assignments!$G$2:$G$769,"Active")=0),AND(IFERROR(INDEX(Templates!$H$3:$H$10,MATCH(Deals!$U122,Templates!$A$3:$A$10,0)),0)&gt;0,COUNTIFS(Assignments!$C$2:$C$769,$A170,Assignments!$F$2:$F$769,"Associate",Assignments!$G$2:$G$769,"Active")=0)))," MissingLevel","")&amp;IF(AND($C170="Proposal",Deals!$H122=0.5)," DefaultProbability","")&amp;IF($F170="No"," NoDates","")&amp;IF(AND(ISNUMBER($H170),$H170&gt;=Settings!$B$20)," Stale","")))</f>
        <v/>
      </c>
    </row>
    <row r="171">
      <c r="A171" s="16">
        <f>IF(Deals!$A123="","",Deals!$A123)</f>
        <v/>
      </c>
      <c r="B171" s="16">
        <f>IF($A171="","",Deals!$C123)</f>
        <v/>
      </c>
      <c r="C171" s="16">
        <f>IF($A171="","",Deals!$F123)</f>
        <v/>
      </c>
      <c r="D171" s="21">
        <f>IF($A171="","",Deals!$H123)</f>
        <v/>
      </c>
      <c r="E171" s="17">
        <f>IF($A171="","",Deals!$Q123)</f>
        <v/>
      </c>
      <c r="F171" s="16">
        <f>IF($A171="","",IF(AND(Deals!$I123&lt;&gt;"",Deals!$J123&lt;&gt;""),"Yes","No"))</f>
        <v/>
      </c>
      <c r="G171" s="22">
        <f>IF($A171="","",Deals!$Z123)</f>
        <v/>
      </c>
      <c r="H171" s="23">
        <f>IF(OR($A171="",$G171=""),"",INT((Settings!$B$19-$G171)/7))</f>
        <v/>
      </c>
      <c r="I171" s="24">
        <f>IF(OR($A171="",NOT(OR(Deals!$F123="Active",Deals!$F123="Proposal"))),"",TRIM(IF($E171=0," Unstaffed","")&amp;IF(IF(Deals!$U123="",FALSE,OR(AND(IFERROR(INDEX(Templates!$B$3:$B$10,MATCH(Deals!$U123,Templates!$A$3:$A$10,0)),0)&gt;0,COUNTIFS(Assignments!$C$2:$C$769,$A171,Assignments!$F$2:$F$769,"Partner",Assignments!$G$2:$G$769,"Active")=0),AND(IFERROR(INDEX(Templates!$C$3:$C$10,MATCH(Deals!$U123,Templates!$A$3:$A$10,0)),0)&gt;0,COUNTIFS(Assignments!$C$2:$C$769,$A171,Assignments!$F$2:$F$769,"MD",Assignments!$G$2:$G$769,"Active")=0),AND(IFERROR(INDEX(Templates!$D$3:$D$10,MATCH(Deals!$U123,Templates!$A$3:$A$10,0)),0)&gt;0,COUNTIFS(Assignments!$C$2:$C$769,$A171,Assignments!$F$2:$F$769,"Director",Assignments!$G$2:$G$769,"Active")=0),AND(IFERROR(INDEX(Templates!$E$3:$E$10,MATCH(Deals!$U123,Templates!$A$3:$A$10,0)),0)&gt;0,COUNTIFS(Assignments!$C$2:$C$769,$A171,Assignments!$F$2:$F$769,"VP",Assignments!$G$2:$G$769,"Active")=0),AND(IFERROR(INDEX(Templates!$F$3:$F$10,MATCH(Deals!$U123,Templates!$A$3:$A$10,0)),0)&gt;0,COUNTIFS(Assignments!$C$2:$C$769,$A171,Assignments!$F$2:$F$769,"Senior Associate",Assignments!$G$2:$G$769,"Active")=0),AND(IFERROR(INDEX(Templates!$G$3:$G$10,MATCH(Deals!$U123,Templates!$A$3:$A$10,0)),0)&gt;0,COUNTIFS(Assignments!$C$2:$C$769,$A171,Assignments!$F$2:$F$769,"Renewable Specialist",Assignments!$G$2:$G$769,"Active")=0),AND(IFERROR(INDEX(Templates!$H$3:$H$10,MATCH(Deals!$U123,Templates!$A$3:$A$10,0)),0)&gt;0,COUNTIFS(Assignments!$C$2:$C$769,$A171,Assignments!$F$2:$F$769,"Associate",Assignments!$G$2:$G$769,"Active")=0)))," MissingLevel","")&amp;IF(AND($C171="Proposal",Deals!$H123=0.5)," DefaultProbability","")&amp;IF($F171="No"," NoDates","")&amp;IF(AND(ISNUMBER($H171),$H171&gt;=Settings!$B$20)," Stale","")))</f>
        <v/>
      </c>
    </row>
    <row r="172">
      <c r="A172" s="16">
        <f>IF(Deals!$A124="","",Deals!$A124)</f>
        <v/>
      </c>
      <c r="B172" s="16">
        <f>IF($A172="","",Deals!$C124)</f>
        <v/>
      </c>
      <c r="C172" s="16">
        <f>IF($A172="","",Deals!$F124)</f>
        <v/>
      </c>
      <c r="D172" s="21">
        <f>IF($A172="","",Deals!$H124)</f>
        <v/>
      </c>
      <c r="E172" s="17">
        <f>IF($A172="","",Deals!$Q124)</f>
        <v/>
      </c>
      <c r="F172" s="16">
        <f>IF($A172="","",IF(AND(Deals!$I124&lt;&gt;"",Deals!$J124&lt;&gt;""),"Yes","No"))</f>
        <v/>
      </c>
      <c r="G172" s="22">
        <f>IF($A172="","",Deals!$Z124)</f>
        <v/>
      </c>
      <c r="H172" s="23">
        <f>IF(OR($A172="",$G172=""),"",INT((Settings!$B$19-$G172)/7))</f>
        <v/>
      </c>
      <c r="I172" s="24">
        <f>IF(OR($A172="",NOT(OR(Deals!$F124="Active",Deals!$F124="Proposal"))),"",TRIM(IF($E172=0," Unstaffed","")&amp;IF(IF(Deals!$U124="",FALSE,OR(AND(IFERROR(INDEX(Templates!$B$3:$B$10,MATCH(Deals!$U124,Templates!$A$3:$A$10,0)),0)&gt;0,COUNTIFS(Assignments!$C$2:$C$769,$A172,Assignments!$F$2:$F$769,"Partner",Assignments!$G$2:$G$769,"Active")=0),AND(IFERROR(INDEX(Templates!$C$3:$C$10,MATCH(Deals!$U124,Templates!$A$3:$A$10,0)),0)&gt;0,COUNTIFS(Assignments!$C$2:$C$769,$A172,Assignments!$F$2:$F$769,"MD",Assignments!$G$2:$G$769,"Active")=0),AND(IFERROR(INDEX(Templates!$D$3:$D$10,MATCH(Deals!$U124,Templates!$A$3:$A$10,0)),0)&gt;0,COUNTIFS(Assignments!$C$2:$C$769,$A172,Assignments!$F$2:$F$769,"Director",Assignments!$G$2:$G$769,"Active")=0),AND(IFERROR(INDEX(Templates!$E$3:$E$10,MATCH(Deals!$U124,Templates!$A$3:$A$10,0)),0)&gt;0,COUNTIFS(Assignments!$C$2:$C$769,$A172,Assignments!$F$2:$F$769,"VP",Assignments!$G$2:$G$769,"Active")=0),AND(IFERROR(INDEX(Templates!$F$3:$F$10,MATCH(Deals!$U124,Templates!$A$3:$A$10,0)),0)&gt;0,COUNTIFS(Assignments!$C$2:$C$769,$A172,Assignments!$F$2:$F$769,"Senior Associate",Assignments!$G$2:$G$769,"Active")=0),AND(IFERROR(INDEX(Templates!$G$3:$G$10,MATCH(Deals!$U124,Templates!$A$3:$A$10,0)),0)&gt;0,COUNTIFS(Assignments!$C$2:$C$769,$A172,Assignments!$F$2:$F$769,"Renewable Specialist",Assignments!$G$2:$G$769,"Active")=0),AND(IFERROR(INDEX(Templates!$H$3:$H$10,MATCH(Deals!$U124,Templates!$A$3:$A$10,0)),0)&gt;0,COUNTIFS(Assignments!$C$2:$C$769,$A172,Assignments!$F$2:$F$769,"Associate",Assignments!$G$2:$G$769,"Active")=0)))," MissingLevel","")&amp;IF(AND($C172="Proposal",Deals!$H124=0.5)," DefaultProbability","")&amp;IF($F172="No"," NoDates","")&amp;IF(AND(ISNUMBER($H172),$H172&gt;=Settings!$B$20)," Stale","")))</f>
        <v/>
      </c>
    </row>
    <row r="173">
      <c r="A173" s="16">
        <f>IF(Deals!$A125="","",Deals!$A125)</f>
        <v/>
      </c>
      <c r="B173" s="16">
        <f>IF($A173="","",Deals!$C125)</f>
        <v/>
      </c>
      <c r="C173" s="16">
        <f>IF($A173="","",Deals!$F125)</f>
        <v/>
      </c>
      <c r="D173" s="21">
        <f>IF($A173="","",Deals!$H125)</f>
        <v/>
      </c>
      <c r="E173" s="17">
        <f>IF($A173="","",Deals!$Q125)</f>
        <v/>
      </c>
      <c r="F173" s="16">
        <f>IF($A173="","",IF(AND(Deals!$I125&lt;&gt;"",Deals!$J125&lt;&gt;""),"Yes","No"))</f>
        <v/>
      </c>
      <c r="G173" s="22">
        <f>IF($A173="","",Deals!$Z125)</f>
        <v/>
      </c>
      <c r="H173" s="23">
        <f>IF(OR($A173="",$G173=""),"",INT((Settings!$B$19-$G173)/7))</f>
        <v/>
      </c>
      <c r="I173" s="24">
        <f>IF(OR($A173="",NOT(OR(Deals!$F125="Active",Deals!$F125="Proposal"))),"",TRIM(IF($E173=0," Unstaffed","")&amp;IF(IF(Deals!$U125="",FALSE,OR(AND(IFERROR(INDEX(Templates!$B$3:$B$10,MATCH(Deals!$U125,Templates!$A$3:$A$10,0)),0)&gt;0,COUNTIFS(Assignments!$C$2:$C$769,$A173,Assignments!$F$2:$F$769,"Partner",Assignments!$G$2:$G$769,"Active")=0),AND(IFERROR(INDEX(Templates!$C$3:$C$10,MATCH(Deals!$U125,Templates!$A$3:$A$10,0)),0)&gt;0,COUNTIFS(Assignments!$C$2:$C$769,$A173,Assignments!$F$2:$F$769,"MD",Assignments!$G$2:$G$769,"Active")=0),AND(IFERROR(INDEX(Templates!$D$3:$D$10,MATCH(Deals!$U125,Templates!$A$3:$A$10,0)),0)&gt;0,COUNTIFS(Assignments!$C$2:$C$769,$A173,Assignments!$F$2:$F$769,"Director",Assignments!$G$2:$G$769,"Active")=0),AND(IFERROR(INDEX(Templates!$E$3:$E$10,MATCH(Deals!$U125,Templates!$A$3:$A$10,0)),0)&gt;0,COUNTIFS(Assignments!$C$2:$C$769,$A173,Assignments!$F$2:$F$769,"VP",Assignments!$G$2:$G$769,"Active")=0),AND(IFERROR(INDEX(Templates!$F$3:$F$10,MATCH(Deals!$U125,Templates!$A$3:$A$10,0)),0)&gt;0,COUNTIFS(Assignments!$C$2:$C$769,$A173,Assignments!$F$2:$F$769,"Senior Associate",Assignments!$G$2:$G$769,"Active")=0),AND(IFERROR(INDEX(Templates!$G$3:$G$10,MATCH(Deals!$U125,Templates!$A$3:$A$10,0)),0)&gt;0,COUNTIFS(Assignments!$C$2:$C$769,$A173,Assignments!$F$2:$F$769,"Renewable Specialist",Assignments!$G$2:$G$769,"Active")=0),AND(IFERROR(INDEX(Templates!$H$3:$H$10,MATCH(Deals!$U125,Templates!$A$3:$A$10,0)),0)&gt;0,COUNTIFS(Assignments!$C$2:$C$769,$A173,Assignments!$F$2:$F$769,"Associate",Assignments!$G$2:$G$769,"Active")=0)))," MissingLevel","")&amp;IF(AND($C173="Proposal",Deals!$H125=0.5)," DefaultProbability","")&amp;IF($F173="No"," NoDates","")&amp;IF(AND(ISNUMBER($H173),$H173&gt;=Settings!$B$20)," Stale","")))</f>
        <v/>
      </c>
    </row>
    <row r="174">
      <c r="A174" s="16">
        <f>IF(Deals!$A126="","",Deals!$A126)</f>
        <v/>
      </c>
      <c r="B174" s="16">
        <f>IF($A174="","",Deals!$C126)</f>
        <v/>
      </c>
      <c r="C174" s="16">
        <f>IF($A174="","",Deals!$F126)</f>
        <v/>
      </c>
      <c r="D174" s="21">
        <f>IF($A174="","",Deals!$H126)</f>
        <v/>
      </c>
      <c r="E174" s="17">
        <f>IF($A174="","",Deals!$Q126)</f>
        <v/>
      </c>
      <c r="F174" s="16">
        <f>IF($A174="","",IF(AND(Deals!$I126&lt;&gt;"",Deals!$J126&lt;&gt;""),"Yes","No"))</f>
        <v/>
      </c>
      <c r="G174" s="22">
        <f>IF($A174="","",Deals!$Z126)</f>
        <v/>
      </c>
      <c r="H174" s="23">
        <f>IF(OR($A174="",$G174=""),"",INT((Settings!$B$19-$G174)/7))</f>
        <v/>
      </c>
      <c r="I174" s="24">
        <f>IF(OR($A174="",NOT(OR(Deals!$F126="Active",Deals!$F126="Proposal"))),"",TRIM(IF($E174=0," Unstaffed","")&amp;IF(IF(Deals!$U126="",FALSE,OR(AND(IFERROR(INDEX(Templates!$B$3:$B$10,MATCH(Deals!$U126,Templates!$A$3:$A$10,0)),0)&gt;0,COUNTIFS(Assignments!$C$2:$C$769,$A174,Assignments!$F$2:$F$769,"Partner",Assignments!$G$2:$G$769,"Active")=0),AND(IFERROR(INDEX(Templates!$C$3:$C$10,MATCH(Deals!$U126,Templates!$A$3:$A$10,0)),0)&gt;0,COUNTIFS(Assignments!$C$2:$C$769,$A174,Assignments!$F$2:$F$769,"MD",Assignments!$G$2:$G$769,"Active")=0),AND(IFERROR(INDEX(Templates!$D$3:$D$10,MATCH(Deals!$U126,Templates!$A$3:$A$10,0)),0)&gt;0,COUNTIFS(Assignments!$C$2:$C$769,$A174,Assignments!$F$2:$F$769,"Director",Assignments!$G$2:$G$769,"Active")=0),AND(IFERROR(INDEX(Templates!$E$3:$E$10,MATCH(Deals!$U126,Templates!$A$3:$A$10,0)),0)&gt;0,COUNTIFS(Assignments!$C$2:$C$769,$A174,Assignments!$F$2:$F$769,"VP",Assignments!$G$2:$G$769,"Active")=0),AND(IFERROR(INDEX(Templates!$F$3:$F$10,MATCH(Deals!$U126,Templates!$A$3:$A$10,0)),0)&gt;0,COUNTIFS(Assignments!$C$2:$C$769,$A174,Assignments!$F$2:$F$769,"Senior Associate",Assignments!$G$2:$G$769,"Active")=0),AND(IFERROR(INDEX(Templates!$G$3:$G$10,MATCH(Deals!$U126,Templates!$A$3:$A$10,0)),0)&gt;0,COUNTIFS(Assignments!$C$2:$C$769,$A174,Assignments!$F$2:$F$769,"Renewable Specialist",Assignments!$G$2:$G$769,"Active")=0),AND(IFERROR(INDEX(Templates!$H$3:$H$10,MATCH(Deals!$U126,Templates!$A$3:$A$10,0)),0)&gt;0,COUNTIFS(Assignments!$C$2:$C$769,$A174,Assignments!$F$2:$F$769,"Associate",Assignments!$G$2:$G$769,"Active")=0)))," MissingLevel","")&amp;IF(AND($C174="Proposal",Deals!$H126=0.5)," DefaultProbability","")&amp;IF($F174="No"," NoDates","")&amp;IF(AND(ISNUMBER($H174),$H174&gt;=Settings!$B$20)," Stale","")))</f>
        <v/>
      </c>
    </row>
    <row r="175">
      <c r="A175" s="16">
        <f>IF(Deals!$A127="","",Deals!$A127)</f>
        <v/>
      </c>
      <c r="B175" s="16">
        <f>IF($A175="","",Deals!$C127)</f>
        <v/>
      </c>
      <c r="C175" s="16">
        <f>IF($A175="","",Deals!$F127)</f>
        <v/>
      </c>
      <c r="D175" s="21">
        <f>IF($A175="","",Deals!$H127)</f>
        <v/>
      </c>
      <c r="E175" s="17">
        <f>IF($A175="","",Deals!$Q127)</f>
        <v/>
      </c>
      <c r="F175" s="16">
        <f>IF($A175="","",IF(AND(Deals!$I127&lt;&gt;"",Deals!$J127&lt;&gt;""),"Yes","No"))</f>
        <v/>
      </c>
      <c r="G175" s="22">
        <f>IF($A175="","",Deals!$Z127)</f>
        <v/>
      </c>
      <c r="H175" s="23">
        <f>IF(OR($A175="",$G175=""),"",INT((Settings!$B$19-$G175)/7))</f>
        <v/>
      </c>
      <c r="I175" s="24">
        <f>IF(OR($A175="",NOT(OR(Deals!$F127="Active",Deals!$F127="Proposal"))),"",TRIM(IF($E175=0," Unstaffed","")&amp;IF(IF(Deals!$U127="",FALSE,OR(AND(IFERROR(INDEX(Templates!$B$3:$B$10,MATCH(Deals!$U127,Templates!$A$3:$A$10,0)),0)&gt;0,COUNTIFS(Assignments!$C$2:$C$769,$A175,Assignments!$F$2:$F$769,"Partner",Assignments!$G$2:$G$769,"Active")=0),AND(IFERROR(INDEX(Templates!$C$3:$C$10,MATCH(Deals!$U127,Templates!$A$3:$A$10,0)),0)&gt;0,COUNTIFS(Assignments!$C$2:$C$769,$A175,Assignments!$F$2:$F$769,"MD",Assignments!$G$2:$G$769,"Active")=0),AND(IFERROR(INDEX(Templates!$D$3:$D$10,MATCH(Deals!$U127,Templates!$A$3:$A$10,0)),0)&gt;0,COUNTIFS(Assignments!$C$2:$C$769,$A175,Assignments!$F$2:$F$769,"Director",Assignments!$G$2:$G$769,"Active")=0),AND(IFERROR(INDEX(Templates!$E$3:$E$10,MATCH(Deals!$U127,Templates!$A$3:$A$10,0)),0)&gt;0,COUNTIFS(Assignments!$C$2:$C$769,$A175,Assignments!$F$2:$F$769,"VP",Assignments!$G$2:$G$769,"Active")=0),AND(IFERROR(INDEX(Templates!$F$3:$F$10,MATCH(Deals!$U127,Templates!$A$3:$A$10,0)),0)&gt;0,COUNTIFS(Assignments!$C$2:$C$769,$A175,Assignments!$F$2:$F$769,"Senior Associate",Assignments!$G$2:$G$769,"Active")=0),AND(IFERROR(INDEX(Templates!$G$3:$G$10,MATCH(Deals!$U127,Templates!$A$3:$A$10,0)),0)&gt;0,COUNTIFS(Assignments!$C$2:$C$769,$A175,Assignments!$F$2:$F$769,"Renewable Specialist",Assignments!$G$2:$G$769,"Active")=0),AND(IFERROR(INDEX(Templates!$H$3:$H$10,MATCH(Deals!$U127,Templates!$A$3:$A$10,0)),0)&gt;0,COUNTIFS(Assignments!$C$2:$C$769,$A175,Assignments!$F$2:$F$769,"Associate",Assignments!$G$2:$G$769,"Active")=0)))," MissingLevel","")&amp;IF(AND($C175="Proposal",Deals!$H127=0.5)," DefaultProbability","")&amp;IF($F175="No"," NoDates","")&amp;IF(AND(ISNUMBER($H175),$H175&gt;=Settings!$B$20)," Stale","")))</f>
        <v/>
      </c>
    </row>
    <row r="176">
      <c r="A176" s="16">
        <f>IF(Deals!$A128="","",Deals!$A128)</f>
        <v/>
      </c>
      <c r="B176" s="16">
        <f>IF($A176="","",Deals!$C128)</f>
        <v/>
      </c>
      <c r="C176" s="16">
        <f>IF($A176="","",Deals!$F128)</f>
        <v/>
      </c>
      <c r="D176" s="21">
        <f>IF($A176="","",Deals!$H128)</f>
        <v/>
      </c>
      <c r="E176" s="17">
        <f>IF($A176="","",Deals!$Q128)</f>
        <v/>
      </c>
      <c r="F176" s="16">
        <f>IF($A176="","",IF(AND(Deals!$I128&lt;&gt;"",Deals!$J128&lt;&gt;""),"Yes","No"))</f>
        <v/>
      </c>
      <c r="G176" s="22">
        <f>IF($A176="","",Deals!$Z128)</f>
        <v/>
      </c>
      <c r="H176" s="23">
        <f>IF(OR($A176="",$G176=""),"",INT((Settings!$B$19-$G176)/7))</f>
        <v/>
      </c>
      <c r="I176" s="24">
        <f>IF(OR($A176="",NOT(OR(Deals!$F128="Active",Deals!$F128="Proposal"))),"",TRIM(IF($E176=0," Unstaffed","")&amp;IF(IF(Deals!$U128="",FALSE,OR(AND(IFERROR(INDEX(Templates!$B$3:$B$10,MATCH(Deals!$U128,Templates!$A$3:$A$10,0)),0)&gt;0,COUNTIFS(Assignments!$C$2:$C$769,$A176,Assignments!$F$2:$F$769,"Partner",Assignments!$G$2:$G$769,"Active")=0),AND(IFERROR(INDEX(Templates!$C$3:$C$10,MATCH(Deals!$U128,Templates!$A$3:$A$10,0)),0)&gt;0,COUNTIFS(Assignments!$C$2:$C$769,$A176,Assignments!$F$2:$F$769,"MD",Assignments!$G$2:$G$769,"Active")=0),AND(IFERROR(INDEX(Templates!$D$3:$D$10,MATCH(Deals!$U128,Templates!$A$3:$A$10,0)),0)&gt;0,COUNTIFS(Assignments!$C$2:$C$769,$A176,Assignments!$F$2:$F$769,"Director",Assignments!$G$2:$G$769,"Active")=0),AND(IFERROR(INDEX(Templates!$E$3:$E$10,MATCH(Deals!$U128,Templates!$A$3:$A$10,0)),0)&gt;0,COUNTIFS(Assignments!$C$2:$C$769,$A176,Assignments!$F$2:$F$769,"VP",Assignments!$G$2:$G$769,"Active")=0),AND(IFERROR(INDEX(Templates!$F$3:$F$10,MATCH(Deals!$U128,Templates!$A$3:$A$10,0)),0)&gt;0,COUNTIFS(Assignments!$C$2:$C$769,$A176,Assignments!$F$2:$F$769,"Senior Associate",Assignments!$G$2:$G$769,"Active")=0),AND(IFERROR(INDEX(Templates!$G$3:$G$10,MATCH(Deals!$U128,Templates!$A$3:$A$10,0)),0)&gt;0,COUNTIFS(Assignments!$C$2:$C$769,$A176,Assignments!$F$2:$F$769,"Renewable Specialist",Assignments!$G$2:$G$769,"Active")=0),AND(IFERROR(INDEX(Templates!$H$3:$H$10,MATCH(Deals!$U128,Templates!$A$3:$A$10,0)),0)&gt;0,COUNTIFS(Assignments!$C$2:$C$769,$A176,Assignments!$F$2:$F$769,"Associate",Assignments!$G$2:$G$769,"Active")=0)))," MissingLevel","")&amp;IF(AND($C176="Proposal",Deals!$H128=0.5)," DefaultProbability","")&amp;IF($F176="No"," NoDates","")&amp;IF(AND(ISNUMBER($H176),$H176&gt;=Settings!$B$20)," Stale","")))</f>
        <v/>
      </c>
    </row>
    <row r="177">
      <c r="A177" s="16">
        <f>IF(Deals!$A129="","",Deals!$A129)</f>
        <v/>
      </c>
      <c r="B177" s="16">
        <f>IF($A177="","",Deals!$C129)</f>
        <v/>
      </c>
      <c r="C177" s="16">
        <f>IF($A177="","",Deals!$F129)</f>
        <v/>
      </c>
      <c r="D177" s="21">
        <f>IF($A177="","",Deals!$H129)</f>
        <v/>
      </c>
      <c r="E177" s="17">
        <f>IF($A177="","",Deals!$Q129)</f>
        <v/>
      </c>
      <c r="F177" s="16">
        <f>IF($A177="","",IF(AND(Deals!$I129&lt;&gt;"",Deals!$J129&lt;&gt;""),"Yes","No"))</f>
        <v/>
      </c>
      <c r="G177" s="22">
        <f>IF($A177="","",Deals!$Z129)</f>
        <v/>
      </c>
      <c r="H177" s="23">
        <f>IF(OR($A177="",$G177=""),"",INT((Settings!$B$19-$G177)/7))</f>
        <v/>
      </c>
      <c r="I177" s="24">
        <f>IF(OR($A177="",NOT(OR(Deals!$F129="Active",Deals!$F129="Proposal"))),"",TRIM(IF($E177=0," Unstaffed","")&amp;IF(IF(Deals!$U129="",FALSE,OR(AND(IFERROR(INDEX(Templates!$B$3:$B$10,MATCH(Deals!$U129,Templates!$A$3:$A$10,0)),0)&gt;0,COUNTIFS(Assignments!$C$2:$C$769,$A177,Assignments!$F$2:$F$769,"Partner",Assignments!$G$2:$G$769,"Active")=0),AND(IFERROR(INDEX(Templates!$C$3:$C$10,MATCH(Deals!$U129,Templates!$A$3:$A$10,0)),0)&gt;0,COUNTIFS(Assignments!$C$2:$C$769,$A177,Assignments!$F$2:$F$769,"MD",Assignments!$G$2:$G$769,"Active")=0),AND(IFERROR(INDEX(Templates!$D$3:$D$10,MATCH(Deals!$U129,Templates!$A$3:$A$10,0)),0)&gt;0,COUNTIFS(Assignments!$C$2:$C$769,$A177,Assignments!$F$2:$F$769,"Director",Assignments!$G$2:$G$769,"Active")=0),AND(IFERROR(INDEX(Templates!$E$3:$E$10,MATCH(Deals!$U129,Templates!$A$3:$A$10,0)),0)&gt;0,COUNTIFS(Assignments!$C$2:$C$769,$A177,Assignments!$F$2:$F$769,"VP",Assignments!$G$2:$G$769,"Active")=0),AND(IFERROR(INDEX(Templates!$F$3:$F$10,MATCH(Deals!$U129,Templates!$A$3:$A$10,0)),0)&gt;0,COUNTIFS(Assignments!$C$2:$C$769,$A177,Assignments!$F$2:$F$769,"Senior Associate",Assignments!$G$2:$G$769,"Active")=0),AND(IFERROR(INDEX(Templates!$G$3:$G$10,MATCH(Deals!$U129,Templates!$A$3:$A$10,0)),0)&gt;0,COUNTIFS(Assignments!$C$2:$C$769,$A177,Assignments!$F$2:$F$769,"Renewable Specialist",Assignments!$G$2:$G$769,"Active")=0),AND(IFERROR(INDEX(Templates!$H$3:$H$10,MATCH(Deals!$U129,Templates!$A$3:$A$10,0)),0)&gt;0,COUNTIFS(Assignments!$C$2:$C$769,$A177,Assignments!$F$2:$F$769,"Associate",Assignments!$G$2:$G$769,"Active")=0)))," MissingLevel","")&amp;IF(AND($C177="Proposal",Deals!$H129=0.5)," DefaultProbability","")&amp;IF($F177="No"," NoDates","")&amp;IF(AND(ISNUMBER($H177),$H177&gt;=Settings!$B$20)," Stale","")))</f>
        <v/>
      </c>
    </row>
    <row r="178">
      <c r="A178" s="16">
        <f>IF(Deals!$A130="","",Deals!$A130)</f>
        <v/>
      </c>
      <c r="B178" s="16">
        <f>IF($A178="","",Deals!$C130)</f>
        <v/>
      </c>
      <c r="C178" s="16">
        <f>IF($A178="","",Deals!$F130)</f>
        <v/>
      </c>
      <c r="D178" s="21">
        <f>IF($A178="","",Deals!$H130)</f>
        <v/>
      </c>
      <c r="E178" s="17">
        <f>IF($A178="","",Deals!$Q130)</f>
        <v/>
      </c>
      <c r="F178" s="16">
        <f>IF($A178="","",IF(AND(Deals!$I130&lt;&gt;"",Deals!$J130&lt;&gt;""),"Yes","No"))</f>
        <v/>
      </c>
      <c r="G178" s="22">
        <f>IF($A178="","",Deals!$Z130)</f>
        <v/>
      </c>
      <c r="H178" s="23">
        <f>IF(OR($A178="",$G178=""),"",INT((Settings!$B$19-$G178)/7))</f>
        <v/>
      </c>
      <c r="I178" s="24">
        <f>IF(OR($A178="",NOT(OR(Deals!$F130="Active",Deals!$F130="Proposal"))),"",TRIM(IF($E178=0," Unstaffed","")&amp;IF(IF(Deals!$U130="",FALSE,OR(AND(IFERROR(INDEX(Templates!$B$3:$B$10,MATCH(Deals!$U130,Templates!$A$3:$A$10,0)),0)&gt;0,COUNTIFS(Assignments!$C$2:$C$769,$A178,Assignments!$F$2:$F$769,"Partner",Assignments!$G$2:$G$769,"Active")=0),AND(IFERROR(INDEX(Templates!$C$3:$C$10,MATCH(Deals!$U130,Templates!$A$3:$A$10,0)),0)&gt;0,COUNTIFS(Assignments!$C$2:$C$769,$A178,Assignments!$F$2:$F$769,"MD",Assignments!$G$2:$G$769,"Active")=0),AND(IFERROR(INDEX(Templates!$D$3:$D$10,MATCH(Deals!$U130,Templates!$A$3:$A$10,0)),0)&gt;0,COUNTIFS(Assignments!$C$2:$C$769,$A178,Assignments!$F$2:$F$769,"Director",Assignments!$G$2:$G$769,"Active")=0),AND(IFERROR(INDEX(Templates!$E$3:$E$10,MATCH(Deals!$U130,Templates!$A$3:$A$10,0)),0)&gt;0,COUNTIFS(Assignments!$C$2:$C$769,$A178,Assignments!$F$2:$F$769,"VP",Assignments!$G$2:$G$769,"Active")=0),AND(IFERROR(INDEX(Templates!$F$3:$F$10,MATCH(Deals!$U130,Templates!$A$3:$A$10,0)),0)&gt;0,COUNTIFS(Assignments!$C$2:$C$769,$A178,Assignments!$F$2:$F$769,"Senior Associate",Assignments!$G$2:$G$769,"Active")=0),AND(IFERROR(INDEX(Templates!$G$3:$G$10,MATCH(Deals!$U130,Templates!$A$3:$A$10,0)),0)&gt;0,COUNTIFS(Assignments!$C$2:$C$769,$A178,Assignments!$F$2:$F$769,"Renewable Specialist",Assignments!$G$2:$G$769,"Active")=0),AND(IFERROR(INDEX(Templates!$H$3:$H$10,MATCH(Deals!$U130,Templates!$A$3:$A$10,0)),0)&gt;0,COUNTIFS(Assignments!$C$2:$C$769,$A178,Assignments!$F$2:$F$769,"Associate",Assignments!$G$2:$G$769,"Active")=0)))," MissingLevel","")&amp;IF(AND($C178="Proposal",Deals!$H130=0.5)," DefaultProbability","")&amp;IF($F178="No"," NoDates","")&amp;IF(AND(ISNUMBER($H178),$H178&gt;=Settings!$B$20)," Stale","")))</f>
        <v/>
      </c>
    </row>
    <row r="179">
      <c r="A179" s="16">
        <f>IF(Deals!$A131="","",Deals!$A131)</f>
        <v/>
      </c>
      <c r="B179" s="16">
        <f>IF($A179="","",Deals!$C131)</f>
        <v/>
      </c>
      <c r="C179" s="16">
        <f>IF($A179="","",Deals!$F131)</f>
        <v/>
      </c>
      <c r="D179" s="21">
        <f>IF($A179="","",Deals!$H131)</f>
        <v/>
      </c>
      <c r="E179" s="17">
        <f>IF($A179="","",Deals!$Q131)</f>
        <v/>
      </c>
      <c r="F179" s="16">
        <f>IF($A179="","",IF(AND(Deals!$I131&lt;&gt;"",Deals!$J131&lt;&gt;""),"Yes","No"))</f>
        <v/>
      </c>
      <c r="G179" s="22">
        <f>IF($A179="","",Deals!$Z131)</f>
        <v/>
      </c>
      <c r="H179" s="23">
        <f>IF(OR($A179="",$G179=""),"",INT((Settings!$B$19-$G179)/7))</f>
        <v/>
      </c>
      <c r="I179" s="24">
        <f>IF(OR($A179="",NOT(OR(Deals!$F131="Active",Deals!$F131="Proposal"))),"",TRIM(IF($E179=0," Unstaffed","")&amp;IF(IF(Deals!$U131="",FALSE,OR(AND(IFERROR(INDEX(Templates!$B$3:$B$10,MATCH(Deals!$U131,Templates!$A$3:$A$10,0)),0)&gt;0,COUNTIFS(Assignments!$C$2:$C$769,$A179,Assignments!$F$2:$F$769,"Partner",Assignments!$G$2:$G$769,"Active")=0),AND(IFERROR(INDEX(Templates!$C$3:$C$10,MATCH(Deals!$U131,Templates!$A$3:$A$10,0)),0)&gt;0,COUNTIFS(Assignments!$C$2:$C$769,$A179,Assignments!$F$2:$F$769,"MD",Assignments!$G$2:$G$769,"Active")=0),AND(IFERROR(INDEX(Templates!$D$3:$D$10,MATCH(Deals!$U131,Templates!$A$3:$A$10,0)),0)&gt;0,COUNTIFS(Assignments!$C$2:$C$769,$A179,Assignments!$F$2:$F$769,"Director",Assignments!$G$2:$G$769,"Active")=0),AND(IFERROR(INDEX(Templates!$E$3:$E$10,MATCH(Deals!$U131,Templates!$A$3:$A$10,0)),0)&gt;0,COUNTIFS(Assignments!$C$2:$C$769,$A179,Assignments!$F$2:$F$769,"VP",Assignments!$G$2:$G$769,"Active")=0),AND(IFERROR(INDEX(Templates!$F$3:$F$10,MATCH(Deals!$U131,Templates!$A$3:$A$10,0)),0)&gt;0,COUNTIFS(Assignments!$C$2:$C$769,$A179,Assignments!$F$2:$F$769,"Senior Associate",Assignments!$G$2:$G$769,"Active")=0),AND(IFERROR(INDEX(Templates!$G$3:$G$10,MATCH(Deals!$U131,Templates!$A$3:$A$10,0)),0)&gt;0,COUNTIFS(Assignments!$C$2:$C$769,$A179,Assignments!$F$2:$F$769,"Renewable Specialist",Assignments!$G$2:$G$769,"Active")=0),AND(IFERROR(INDEX(Templates!$H$3:$H$10,MATCH(Deals!$U131,Templates!$A$3:$A$10,0)),0)&gt;0,COUNTIFS(Assignments!$C$2:$C$769,$A179,Assignments!$F$2:$F$769,"Associate",Assignments!$G$2:$G$769,"Active")=0)))," MissingLevel","")&amp;IF(AND($C179="Proposal",Deals!$H131=0.5)," DefaultProbability","")&amp;IF($F179="No"," NoDates","")&amp;IF(AND(ISNUMBER($H179),$H179&gt;=Settings!$B$20)," Stale","")))</f>
        <v/>
      </c>
    </row>
    <row r="180">
      <c r="A180" s="16">
        <f>IF(Deals!$A132="","",Deals!$A132)</f>
        <v/>
      </c>
      <c r="B180" s="16">
        <f>IF($A180="","",Deals!$C132)</f>
        <v/>
      </c>
      <c r="C180" s="16">
        <f>IF($A180="","",Deals!$F132)</f>
        <v/>
      </c>
      <c r="D180" s="21">
        <f>IF($A180="","",Deals!$H132)</f>
        <v/>
      </c>
      <c r="E180" s="17">
        <f>IF($A180="","",Deals!$Q132)</f>
        <v/>
      </c>
      <c r="F180" s="16">
        <f>IF($A180="","",IF(AND(Deals!$I132&lt;&gt;"",Deals!$J132&lt;&gt;""),"Yes","No"))</f>
        <v/>
      </c>
      <c r="G180" s="22">
        <f>IF($A180="","",Deals!$Z132)</f>
        <v/>
      </c>
      <c r="H180" s="23">
        <f>IF(OR($A180="",$G180=""),"",INT((Settings!$B$19-$G180)/7))</f>
        <v/>
      </c>
      <c r="I180" s="24">
        <f>IF(OR($A180="",NOT(OR(Deals!$F132="Active",Deals!$F132="Proposal"))),"",TRIM(IF($E180=0," Unstaffed","")&amp;IF(IF(Deals!$U132="",FALSE,OR(AND(IFERROR(INDEX(Templates!$B$3:$B$10,MATCH(Deals!$U132,Templates!$A$3:$A$10,0)),0)&gt;0,COUNTIFS(Assignments!$C$2:$C$769,$A180,Assignments!$F$2:$F$769,"Partner",Assignments!$G$2:$G$769,"Active")=0),AND(IFERROR(INDEX(Templates!$C$3:$C$10,MATCH(Deals!$U132,Templates!$A$3:$A$10,0)),0)&gt;0,COUNTIFS(Assignments!$C$2:$C$769,$A180,Assignments!$F$2:$F$769,"MD",Assignments!$G$2:$G$769,"Active")=0),AND(IFERROR(INDEX(Templates!$D$3:$D$10,MATCH(Deals!$U132,Templates!$A$3:$A$10,0)),0)&gt;0,COUNTIFS(Assignments!$C$2:$C$769,$A180,Assignments!$F$2:$F$769,"Director",Assignments!$G$2:$G$769,"Active")=0),AND(IFERROR(INDEX(Templates!$E$3:$E$10,MATCH(Deals!$U132,Templates!$A$3:$A$10,0)),0)&gt;0,COUNTIFS(Assignments!$C$2:$C$769,$A180,Assignments!$F$2:$F$769,"VP",Assignments!$G$2:$G$769,"Active")=0),AND(IFERROR(INDEX(Templates!$F$3:$F$10,MATCH(Deals!$U132,Templates!$A$3:$A$10,0)),0)&gt;0,COUNTIFS(Assignments!$C$2:$C$769,$A180,Assignments!$F$2:$F$769,"Senior Associate",Assignments!$G$2:$G$769,"Active")=0),AND(IFERROR(INDEX(Templates!$G$3:$G$10,MATCH(Deals!$U132,Templates!$A$3:$A$10,0)),0)&gt;0,COUNTIFS(Assignments!$C$2:$C$769,$A180,Assignments!$F$2:$F$769,"Renewable Specialist",Assignments!$G$2:$G$769,"Active")=0),AND(IFERROR(INDEX(Templates!$H$3:$H$10,MATCH(Deals!$U132,Templates!$A$3:$A$10,0)),0)&gt;0,COUNTIFS(Assignments!$C$2:$C$769,$A180,Assignments!$F$2:$F$769,"Associate",Assignments!$G$2:$G$769,"Active")=0)))," MissingLevel","")&amp;IF(AND($C180="Proposal",Deals!$H132=0.5)," DefaultProbability","")&amp;IF($F180="No"," NoDates","")&amp;IF(AND(ISNUMBER($H180),$H180&gt;=Settings!$B$20)," Stale","")))</f>
        <v/>
      </c>
    </row>
    <row r="181">
      <c r="A181" s="16">
        <f>IF(Deals!$A133="","",Deals!$A133)</f>
        <v/>
      </c>
      <c r="B181" s="16">
        <f>IF($A181="","",Deals!$C133)</f>
        <v/>
      </c>
      <c r="C181" s="16">
        <f>IF($A181="","",Deals!$F133)</f>
        <v/>
      </c>
      <c r="D181" s="21">
        <f>IF($A181="","",Deals!$H133)</f>
        <v/>
      </c>
      <c r="E181" s="17">
        <f>IF($A181="","",Deals!$Q133)</f>
        <v/>
      </c>
      <c r="F181" s="16">
        <f>IF($A181="","",IF(AND(Deals!$I133&lt;&gt;"",Deals!$J133&lt;&gt;""),"Yes","No"))</f>
        <v/>
      </c>
      <c r="G181" s="22">
        <f>IF($A181="","",Deals!$Z133)</f>
        <v/>
      </c>
      <c r="H181" s="23">
        <f>IF(OR($A181="",$G181=""),"",INT((Settings!$B$19-$G181)/7))</f>
        <v/>
      </c>
      <c r="I181" s="24">
        <f>IF(OR($A181="",NOT(OR(Deals!$F133="Active",Deals!$F133="Proposal"))),"",TRIM(IF($E181=0," Unstaffed","")&amp;IF(IF(Deals!$U133="",FALSE,OR(AND(IFERROR(INDEX(Templates!$B$3:$B$10,MATCH(Deals!$U133,Templates!$A$3:$A$10,0)),0)&gt;0,COUNTIFS(Assignments!$C$2:$C$769,$A181,Assignments!$F$2:$F$769,"Partner",Assignments!$G$2:$G$769,"Active")=0),AND(IFERROR(INDEX(Templates!$C$3:$C$10,MATCH(Deals!$U133,Templates!$A$3:$A$10,0)),0)&gt;0,COUNTIFS(Assignments!$C$2:$C$769,$A181,Assignments!$F$2:$F$769,"MD",Assignments!$G$2:$G$769,"Active")=0),AND(IFERROR(INDEX(Templates!$D$3:$D$10,MATCH(Deals!$U133,Templates!$A$3:$A$10,0)),0)&gt;0,COUNTIFS(Assignments!$C$2:$C$769,$A181,Assignments!$F$2:$F$769,"Director",Assignments!$G$2:$G$769,"Active")=0),AND(IFERROR(INDEX(Templates!$E$3:$E$10,MATCH(Deals!$U133,Templates!$A$3:$A$10,0)),0)&gt;0,COUNTIFS(Assignments!$C$2:$C$769,$A181,Assignments!$F$2:$F$769,"VP",Assignments!$G$2:$G$769,"Active")=0),AND(IFERROR(INDEX(Templates!$F$3:$F$10,MATCH(Deals!$U133,Templates!$A$3:$A$10,0)),0)&gt;0,COUNTIFS(Assignments!$C$2:$C$769,$A181,Assignments!$F$2:$F$769,"Senior Associate",Assignments!$G$2:$G$769,"Active")=0),AND(IFERROR(INDEX(Templates!$G$3:$G$10,MATCH(Deals!$U133,Templates!$A$3:$A$10,0)),0)&gt;0,COUNTIFS(Assignments!$C$2:$C$769,$A181,Assignments!$F$2:$F$769,"Renewable Specialist",Assignments!$G$2:$G$769,"Active")=0),AND(IFERROR(INDEX(Templates!$H$3:$H$10,MATCH(Deals!$U133,Templates!$A$3:$A$10,0)),0)&gt;0,COUNTIFS(Assignments!$C$2:$C$769,$A181,Assignments!$F$2:$F$769,"Associate",Assignments!$G$2:$G$769,"Active")=0)))," MissingLevel","")&amp;IF(AND($C181="Proposal",Deals!$H133=0.5)," DefaultProbability","")&amp;IF($F181="No"," NoDates","")&amp;IF(AND(ISNUMBER($H181),$H181&gt;=Settings!$B$20)," Stale","")))</f>
        <v/>
      </c>
    </row>
    <row r="182">
      <c r="A182" s="16">
        <f>IF(Deals!$A134="","",Deals!$A134)</f>
        <v/>
      </c>
      <c r="B182" s="16">
        <f>IF($A182="","",Deals!$C134)</f>
        <v/>
      </c>
      <c r="C182" s="16">
        <f>IF($A182="","",Deals!$F134)</f>
        <v/>
      </c>
      <c r="D182" s="21">
        <f>IF($A182="","",Deals!$H134)</f>
        <v/>
      </c>
      <c r="E182" s="17">
        <f>IF($A182="","",Deals!$Q134)</f>
        <v/>
      </c>
      <c r="F182" s="16">
        <f>IF($A182="","",IF(AND(Deals!$I134&lt;&gt;"",Deals!$J134&lt;&gt;""),"Yes","No"))</f>
        <v/>
      </c>
      <c r="G182" s="22">
        <f>IF($A182="","",Deals!$Z134)</f>
        <v/>
      </c>
      <c r="H182" s="23">
        <f>IF(OR($A182="",$G182=""),"",INT((Settings!$B$19-$G182)/7))</f>
        <v/>
      </c>
      <c r="I182" s="24">
        <f>IF(OR($A182="",NOT(OR(Deals!$F134="Active",Deals!$F134="Proposal"))),"",TRIM(IF($E182=0," Unstaffed","")&amp;IF(IF(Deals!$U134="",FALSE,OR(AND(IFERROR(INDEX(Templates!$B$3:$B$10,MATCH(Deals!$U134,Templates!$A$3:$A$10,0)),0)&gt;0,COUNTIFS(Assignments!$C$2:$C$769,$A182,Assignments!$F$2:$F$769,"Partner",Assignments!$G$2:$G$769,"Active")=0),AND(IFERROR(INDEX(Templates!$C$3:$C$10,MATCH(Deals!$U134,Templates!$A$3:$A$10,0)),0)&gt;0,COUNTIFS(Assignments!$C$2:$C$769,$A182,Assignments!$F$2:$F$769,"MD",Assignments!$G$2:$G$769,"Active")=0),AND(IFERROR(INDEX(Templates!$D$3:$D$10,MATCH(Deals!$U134,Templates!$A$3:$A$10,0)),0)&gt;0,COUNTIFS(Assignments!$C$2:$C$769,$A182,Assignments!$F$2:$F$769,"Director",Assignments!$G$2:$G$769,"Active")=0),AND(IFERROR(INDEX(Templates!$E$3:$E$10,MATCH(Deals!$U134,Templates!$A$3:$A$10,0)),0)&gt;0,COUNTIFS(Assignments!$C$2:$C$769,$A182,Assignments!$F$2:$F$769,"VP",Assignments!$G$2:$G$769,"Active")=0),AND(IFERROR(INDEX(Templates!$F$3:$F$10,MATCH(Deals!$U134,Templates!$A$3:$A$10,0)),0)&gt;0,COUNTIFS(Assignments!$C$2:$C$769,$A182,Assignments!$F$2:$F$769,"Senior Associate",Assignments!$G$2:$G$769,"Active")=0),AND(IFERROR(INDEX(Templates!$G$3:$G$10,MATCH(Deals!$U134,Templates!$A$3:$A$10,0)),0)&gt;0,COUNTIFS(Assignments!$C$2:$C$769,$A182,Assignments!$F$2:$F$769,"Renewable Specialist",Assignments!$G$2:$G$769,"Active")=0),AND(IFERROR(INDEX(Templates!$H$3:$H$10,MATCH(Deals!$U134,Templates!$A$3:$A$10,0)),0)&gt;0,COUNTIFS(Assignments!$C$2:$C$769,$A182,Assignments!$F$2:$F$769,"Associate",Assignments!$G$2:$G$769,"Active")=0)))," MissingLevel","")&amp;IF(AND($C182="Proposal",Deals!$H134=0.5)," DefaultProbability","")&amp;IF($F182="No"," NoDates","")&amp;IF(AND(ISNUMBER($H182),$H182&gt;=Settings!$B$20)," Stale","")))</f>
        <v/>
      </c>
    </row>
    <row r="183">
      <c r="A183" s="16">
        <f>IF(Deals!$A135="","",Deals!$A135)</f>
        <v/>
      </c>
      <c r="B183" s="16">
        <f>IF($A183="","",Deals!$C135)</f>
        <v/>
      </c>
      <c r="C183" s="16">
        <f>IF($A183="","",Deals!$F135)</f>
        <v/>
      </c>
      <c r="D183" s="21">
        <f>IF($A183="","",Deals!$H135)</f>
        <v/>
      </c>
      <c r="E183" s="17">
        <f>IF($A183="","",Deals!$Q135)</f>
        <v/>
      </c>
      <c r="F183" s="16">
        <f>IF($A183="","",IF(AND(Deals!$I135&lt;&gt;"",Deals!$J135&lt;&gt;""),"Yes","No"))</f>
        <v/>
      </c>
      <c r="G183" s="22">
        <f>IF($A183="","",Deals!$Z135)</f>
        <v/>
      </c>
      <c r="H183" s="23">
        <f>IF(OR($A183="",$G183=""),"",INT((Settings!$B$19-$G183)/7))</f>
        <v/>
      </c>
      <c r="I183" s="24">
        <f>IF(OR($A183="",NOT(OR(Deals!$F135="Active",Deals!$F135="Proposal"))),"",TRIM(IF($E183=0," Unstaffed","")&amp;IF(IF(Deals!$U135="",FALSE,OR(AND(IFERROR(INDEX(Templates!$B$3:$B$10,MATCH(Deals!$U135,Templates!$A$3:$A$10,0)),0)&gt;0,COUNTIFS(Assignments!$C$2:$C$769,$A183,Assignments!$F$2:$F$769,"Partner",Assignments!$G$2:$G$769,"Active")=0),AND(IFERROR(INDEX(Templates!$C$3:$C$10,MATCH(Deals!$U135,Templates!$A$3:$A$10,0)),0)&gt;0,COUNTIFS(Assignments!$C$2:$C$769,$A183,Assignments!$F$2:$F$769,"MD",Assignments!$G$2:$G$769,"Active")=0),AND(IFERROR(INDEX(Templates!$D$3:$D$10,MATCH(Deals!$U135,Templates!$A$3:$A$10,0)),0)&gt;0,COUNTIFS(Assignments!$C$2:$C$769,$A183,Assignments!$F$2:$F$769,"Director",Assignments!$G$2:$G$769,"Active")=0),AND(IFERROR(INDEX(Templates!$E$3:$E$10,MATCH(Deals!$U135,Templates!$A$3:$A$10,0)),0)&gt;0,COUNTIFS(Assignments!$C$2:$C$769,$A183,Assignments!$F$2:$F$769,"VP",Assignments!$G$2:$G$769,"Active")=0),AND(IFERROR(INDEX(Templates!$F$3:$F$10,MATCH(Deals!$U135,Templates!$A$3:$A$10,0)),0)&gt;0,COUNTIFS(Assignments!$C$2:$C$769,$A183,Assignments!$F$2:$F$769,"Senior Associate",Assignments!$G$2:$G$769,"Active")=0),AND(IFERROR(INDEX(Templates!$G$3:$G$10,MATCH(Deals!$U135,Templates!$A$3:$A$10,0)),0)&gt;0,COUNTIFS(Assignments!$C$2:$C$769,$A183,Assignments!$F$2:$F$769,"Renewable Specialist",Assignments!$G$2:$G$769,"Active")=0),AND(IFERROR(INDEX(Templates!$H$3:$H$10,MATCH(Deals!$U135,Templates!$A$3:$A$10,0)),0)&gt;0,COUNTIFS(Assignments!$C$2:$C$769,$A183,Assignments!$F$2:$F$769,"Associate",Assignments!$G$2:$G$769,"Active")=0)))," MissingLevel","")&amp;IF(AND($C183="Proposal",Deals!$H135=0.5)," DefaultProbability","")&amp;IF($F183="No"," NoDates","")&amp;IF(AND(ISNUMBER($H183),$H183&gt;=Settings!$B$20)," Stale","")))</f>
        <v/>
      </c>
    </row>
    <row r="184">
      <c r="A184" s="16">
        <f>IF(Deals!$A136="","",Deals!$A136)</f>
        <v/>
      </c>
      <c r="B184" s="16">
        <f>IF($A184="","",Deals!$C136)</f>
        <v/>
      </c>
      <c r="C184" s="16">
        <f>IF($A184="","",Deals!$F136)</f>
        <v/>
      </c>
      <c r="D184" s="21">
        <f>IF($A184="","",Deals!$H136)</f>
        <v/>
      </c>
      <c r="E184" s="17">
        <f>IF($A184="","",Deals!$Q136)</f>
        <v/>
      </c>
      <c r="F184" s="16">
        <f>IF($A184="","",IF(AND(Deals!$I136&lt;&gt;"",Deals!$J136&lt;&gt;""),"Yes","No"))</f>
        <v/>
      </c>
      <c r="G184" s="22">
        <f>IF($A184="","",Deals!$Z136)</f>
        <v/>
      </c>
      <c r="H184" s="23">
        <f>IF(OR($A184="",$G184=""),"",INT((Settings!$B$19-$G184)/7))</f>
        <v/>
      </c>
      <c r="I184" s="24">
        <f>IF(OR($A184="",NOT(OR(Deals!$F136="Active",Deals!$F136="Proposal"))),"",TRIM(IF($E184=0," Unstaffed","")&amp;IF(IF(Deals!$U136="",FALSE,OR(AND(IFERROR(INDEX(Templates!$B$3:$B$10,MATCH(Deals!$U136,Templates!$A$3:$A$10,0)),0)&gt;0,COUNTIFS(Assignments!$C$2:$C$769,$A184,Assignments!$F$2:$F$769,"Partner",Assignments!$G$2:$G$769,"Active")=0),AND(IFERROR(INDEX(Templates!$C$3:$C$10,MATCH(Deals!$U136,Templates!$A$3:$A$10,0)),0)&gt;0,COUNTIFS(Assignments!$C$2:$C$769,$A184,Assignments!$F$2:$F$769,"MD",Assignments!$G$2:$G$769,"Active")=0),AND(IFERROR(INDEX(Templates!$D$3:$D$10,MATCH(Deals!$U136,Templates!$A$3:$A$10,0)),0)&gt;0,COUNTIFS(Assignments!$C$2:$C$769,$A184,Assignments!$F$2:$F$769,"Director",Assignments!$G$2:$G$769,"Active")=0),AND(IFERROR(INDEX(Templates!$E$3:$E$10,MATCH(Deals!$U136,Templates!$A$3:$A$10,0)),0)&gt;0,COUNTIFS(Assignments!$C$2:$C$769,$A184,Assignments!$F$2:$F$769,"VP",Assignments!$G$2:$G$769,"Active")=0),AND(IFERROR(INDEX(Templates!$F$3:$F$10,MATCH(Deals!$U136,Templates!$A$3:$A$10,0)),0)&gt;0,COUNTIFS(Assignments!$C$2:$C$769,$A184,Assignments!$F$2:$F$769,"Senior Associate",Assignments!$G$2:$G$769,"Active")=0),AND(IFERROR(INDEX(Templates!$G$3:$G$10,MATCH(Deals!$U136,Templates!$A$3:$A$10,0)),0)&gt;0,COUNTIFS(Assignments!$C$2:$C$769,$A184,Assignments!$F$2:$F$769,"Renewable Specialist",Assignments!$G$2:$G$769,"Active")=0),AND(IFERROR(INDEX(Templates!$H$3:$H$10,MATCH(Deals!$U136,Templates!$A$3:$A$10,0)),0)&gt;0,COUNTIFS(Assignments!$C$2:$C$769,$A184,Assignments!$F$2:$F$769,"Associate",Assignments!$G$2:$G$769,"Active")=0)))," MissingLevel","")&amp;IF(AND($C184="Proposal",Deals!$H136=0.5)," DefaultProbability","")&amp;IF($F184="No"," NoDates","")&amp;IF(AND(ISNUMBER($H184),$H184&gt;=Settings!$B$20)," Stale","")))</f>
        <v/>
      </c>
    </row>
    <row r="185">
      <c r="A185" s="16">
        <f>IF(Deals!$A137="","",Deals!$A137)</f>
        <v/>
      </c>
      <c r="B185" s="16">
        <f>IF($A185="","",Deals!$C137)</f>
        <v/>
      </c>
      <c r="C185" s="16">
        <f>IF($A185="","",Deals!$F137)</f>
        <v/>
      </c>
      <c r="D185" s="21">
        <f>IF($A185="","",Deals!$H137)</f>
        <v/>
      </c>
      <c r="E185" s="17">
        <f>IF($A185="","",Deals!$Q137)</f>
        <v/>
      </c>
      <c r="F185" s="16">
        <f>IF($A185="","",IF(AND(Deals!$I137&lt;&gt;"",Deals!$J137&lt;&gt;""),"Yes","No"))</f>
        <v/>
      </c>
      <c r="G185" s="22">
        <f>IF($A185="","",Deals!$Z137)</f>
        <v/>
      </c>
      <c r="H185" s="23">
        <f>IF(OR($A185="",$G185=""),"",INT((Settings!$B$19-$G185)/7))</f>
        <v/>
      </c>
      <c r="I185" s="24">
        <f>IF(OR($A185="",NOT(OR(Deals!$F137="Active",Deals!$F137="Proposal"))),"",TRIM(IF($E185=0," Unstaffed","")&amp;IF(IF(Deals!$U137="",FALSE,OR(AND(IFERROR(INDEX(Templates!$B$3:$B$10,MATCH(Deals!$U137,Templates!$A$3:$A$10,0)),0)&gt;0,COUNTIFS(Assignments!$C$2:$C$769,$A185,Assignments!$F$2:$F$769,"Partner",Assignments!$G$2:$G$769,"Active")=0),AND(IFERROR(INDEX(Templates!$C$3:$C$10,MATCH(Deals!$U137,Templates!$A$3:$A$10,0)),0)&gt;0,COUNTIFS(Assignments!$C$2:$C$769,$A185,Assignments!$F$2:$F$769,"MD",Assignments!$G$2:$G$769,"Active")=0),AND(IFERROR(INDEX(Templates!$D$3:$D$10,MATCH(Deals!$U137,Templates!$A$3:$A$10,0)),0)&gt;0,COUNTIFS(Assignments!$C$2:$C$769,$A185,Assignments!$F$2:$F$769,"Director",Assignments!$G$2:$G$769,"Active")=0),AND(IFERROR(INDEX(Templates!$E$3:$E$10,MATCH(Deals!$U137,Templates!$A$3:$A$10,0)),0)&gt;0,COUNTIFS(Assignments!$C$2:$C$769,$A185,Assignments!$F$2:$F$769,"VP",Assignments!$G$2:$G$769,"Active")=0),AND(IFERROR(INDEX(Templates!$F$3:$F$10,MATCH(Deals!$U137,Templates!$A$3:$A$10,0)),0)&gt;0,COUNTIFS(Assignments!$C$2:$C$769,$A185,Assignments!$F$2:$F$769,"Senior Associate",Assignments!$G$2:$G$769,"Active")=0),AND(IFERROR(INDEX(Templates!$G$3:$G$10,MATCH(Deals!$U137,Templates!$A$3:$A$10,0)),0)&gt;0,COUNTIFS(Assignments!$C$2:$C$769,$A185,Assignments!$F$2:$F$769,"Renewable Specialist",Assignments!$G$2:$G$769,"Active")=0),AND(IFERROR(INDEX(Templates!$H$3:$H$10,MATCH(Deals!$U137,Templates!$A$3:$A$10,0)),0)&gt;0,COUNTIFS(Assignments!$C$2:$C$769,$A185,Assignments!$F$2:$F$769,"Associate",Assignments!$G$2:$G$769,"Active")=0)))," MissingLevel","")&amp;IF(AND($C185="Proposal",Deals!$H137=0.5)," DefaultProbability","")&amp;IF($F185="No"," NoDates","")&amp;IF(AND(ISNUMBER($H185),$H185&gt;=Settings!$B$20)," Stale","")))</f>
        <v/>
      </c>
    </row>
    <row r="186">
      <c r="A186" s="16">
        <f>IF(Deals!$A138="","",Deals!$A138)</f>
        <v/>
      </c>
      <c r="B186" s="16">
        <f>IF($A186="","",Deals!$C138)</f>
        <v/>
      </c>
      <c r="C186" s="16">
        <f>IF($A186="","",Deals!$F138)</f>
        <v/>
      </c>
      <c r="D186" s="21">
        <f>IF($A186="","",Deals!$H138)</f>
        <v/>
      </c>
      <c r="E186" s="17">
        <f>IF($A186="","",Deals!$Q138)</f>
        <v/>
      </c>
      <c r="F186" s="16">
        <f>IF($A186="","",IF(AND(Deals!$I138&lt;&gt;"",Deals!$J138&lt;&gt;""),"Yes","No"))</f>
        <v/>
      </c>
      <c r="G186" s="22">
        <f>IF($A186="","",Deals!$Z138)</f>
        <v/>
      </c>
      <c r="H186" s="23">
        <f>IF(OR($A186="",$G186=""),"",INT((Settings!$B$19-$G186)/7))</f>
        <v/>
      </c>
      <c r="I186" s="24">
        <f>IF(OR($A186="",NOT(OR(Deals!$F138="Active",Deals!$F138="Proposal"))),"",TRIM(IF($E186=0," Unstaffed","")&amp;IF(IF(Deals!$U138="",FALSE,OR(AND(IFERROR(INDEX(Templates!$B$3:$B$10,MATCH(Deals!$U138,Templates!$A$3:$A$10,0)),0)&gt;0,COUNTIFS(Assignments!$C$2:$C$769,$A186,Assignments!$F$2:$F$769,"Partner",Assignments!$G$2:$G$769,"Active")=0),AND(IFERROR(INDEX(Templates!$C$3:$C$10,MATCH(Deals!$U138,Templates!$A$3:$A$10,0)),0)&gt;0,COUNTIFS(Assignments!$C$2:$C$769,$A186,Assignments!$F$2:$F$769,"MD",Assignments!$G$2:$G$769,"Active")=0),AND(IFERROR(INDEX(Templates!$D$3:$D$10,MATCH(Deals!$U138,Templates!$A$3:$A$10,0)),0)&gt;0,COUNTIFS(Assignments!$C$2:$C$769,$A186,Assignments!$F$2:$F$769,"Director",Assignments!$G$2:$G$769,"Active")=0),AND(IFERROR(INDEX(Templates!$E$3:$E$10,MATCH(Deals!$U138,Templates!$A$3:$A$10,0)),0)&gt;0,COUNTIFS(Assignments!$C$2:$C$769,$A186,Assignments!$F$2:$F$769,"VP",Assignments!$G$2:$G$769,"Active")=0),AND(IFERROR(INDEX(Templates!$F$3:$F$10,MATCH(Deals!$U138,Templates!$A$3:$A$10,0)),0)&gt;0,COUNTIFS(Assignments!$C$2:$C$769,$A186,Assignments!$F$2:$F$769,"Senior Associate",Assignments!$G$2:$G$769,"Active")=0),AND(IFERROR(INDEX(Templates!$G$3:$G$10,MATCH(Deals!$U138,Templates!$A$3:$A$10,0)),0)&gt;0,COUNTIFS(Assignments!$C$2:$C$769,$A186,Assignments!$F$2:$F$769,"Renewable Specialist",Assignments!$G$2:$G$769,"Active")=0),AND(IFERROR(INDEX(Templates!$H$3:$H$10,MATCH(Deals!$U138,Templates!$A$3:$A$10,0)),0)&gt;0,COUNTIFS(Assignments!$C$2:$C$769,$A186,Assignments!$F$2:$F$769,"Associate",Assignments!$G$2:$G$769,"Active")=0)))," MissingLevel","")&amp;IF(AND($C186="Proposal",Deals!$H138=0.5)," DefaultProbability","")&amp;IF($F186="No"," NoDates","")&amp;IF(AND(ISNUMBER($H186),$H186&gt;=Settings!$B$20)," Stale","")))</f>
        <v/>
      </c>
    </row>
    <row r="187">
      <c r="A187" s="16">
        <f>IF(Deals!$A139="","",Deals!$A139)</f>
        <v/>
      </c>
      <c r="B187" s="16">
        <f>IF($A187="","",Deals!$C139)</f>
        <v/>
      </c>
      <c r="C187" s="16">
        <f>IF($A187="","",Deals!$F139)</f>
        <v/>
      </c>
      <c r="D187" s="21">
        <f>IF($A187="","",Deals!$H139)</f>
        <v/>
      </c>
      <c r="E187" s="17">
        <f>IF($A187="","",Deals!$Q139)</f>
        <v/>
      </c>
      <c r="F187" s="16">
        <f>IF($A187="","",IF(AND(Deals!$I139&lt;&gt;"",Deals!$J139&lt;&gt;""),"Yes","No"))</f>
        <v/>
      </c>
      <c r="G187" s="22">
        <f>IF($A187="","",Deals!$Z139)</f>
        <v/>
      </c>
      <c r="H187" s="23">
        <f>IF(OR($A187="",$G187=""),"",INT((Settings!$B$19-$G187)/7))</f>
        <v/>
      </c>
      <c r="I187" s="24">
        <f>IF(OR($A187="",NOT(OR(Deals!$F139="Active",Deals!$F139="Proposal"))),"",TRIM(IF($E187=0," Unstaffed","")&amp;IF(IF(Deals!$U139="",FALSE,OR(AND(IFERROR(INDEX(Templates!$B$3:$B$10,MATCH(Deals!$U139,Templates!$A$3:$A$10,0)),0)&gt;0,COUNTIFS(Assignments!$C$2:$C$769,$A187,Assignments!$F$2:$F$769,"Partner",Assignments!$G$2:$G$769,"Active")=0),AND(IFERROR(INDEX(Templates!$C$3:$C$10,MATCH(Deals!$U139,Templates!$A$3:$A$10,0)),0)&gt;0,COUNTIFS(Assignments!$C$2:$C$769,$A187,Assignments!$F$2:$F$769,"MD",Assignments!$G$2:$G$769,"Active")=0),AND(IFERROR(INDEX(Templates!$D$3:$D$10,MATCH(Deals!$U139,Templates!$A$3:$A$10,0)),0)&gt;0,COUNTIFS(Assignments!$C$2:$C$769,$A187,Assignments!$F$2:$F$769,"Director",Assignments!$G$2:$G$769,"Active")=0),AND(IFERROR(INDEX(Templates!$E$3:$E$10,MATCH(Deals!$U139,Templates!$A$3:$A$10,0)),0)&gt;0,COUNTIFS(Assignments!$C$2:$C$769,$A187,Assignments!$F$2:$F$769,"VP",Assignments!$G$2:$G$769,"Active")=0),AND(IFERROR(INDEX(Templates!$F$3:$F$10,MATCH(Deals!$U139,Templates!$A$3:$A$10,0)),0)&gt;0,COUNTIFS(Assignments!$C$2:$C$769,$A187,Assignments!$F$2:$F$769,"Senior Associate",Assignments!$G$2:$G$769,"Active")=0),AND(IFERROR(INDEX(Templates!$G$3:$G$10,MATCH(Deals!$U139,Templates!$A$3:$A$10,0)),0)&gt;0,COUNTIFS(Assignments!$C$2:$C$769,$A187,Assignments!$F$2:$F$769,"Renewable Specialist",Assignments!$G$2:$G$769,"Active")=0),AND(IFERROR(INDEX(Templates!$H$3:$H$10,MATCH(Deals!$U139,Templates!$A$3:$A$10,0)),0)&gt;0,COUNTIFS(Assignments!$C$2:$C$769,$A187,Assignments!$F$2:$F$769,"Associate",Assignments!$G$2:$G$769,"Active")=0)))," MissingLevel","")&amp;IF(AND($C187="Proposal",Deals!$H139=0.5)," DefaultProbability","")&amp;IF($F187="No"," NoDates","")&amp;IF(AND(ISNUMBER($H187),$H187&gt;=Settings!$B$20)," Stale","")))</f>
        <v/>
      </c>
    </row>
    <row r="188">
      <c r="A188" s="16">
        <f>IF(Deals!$A140="","",Deals!$A140)</f>
        <v/>
      </c>
      <c r="B188" s="16">
        <f>IF($A188="","",Deals!$C140)</f>
        <v/>
      </c>
      <c r="C188" s="16">
        <f>IF($A188="","",Deals!$F140)</f>
        <v/>
      </c>
      <c r="D188" s="21">
        <f>IF($A188="","",Deals!$H140)</f>
        <v/>
      </c>
      <c r="E188" s="17">
        <f>IF($A188="","",Deals!$Q140)</f>
        <v/>
      </c>
      <c r="F188" s="16">
        <f>IF($A188="","",IF(AND(Deals!$I140&lt;&gt;"",Deals!$J140&lt;&gt;""),"Yes","No"))</f>
        <v/>
      </c>
      <c r="G188" s="22">
        <f>IF($A188="","",Deals!$Z140)</f>
        <v/>
      </c>
      <c r="H188" s="23">
        <f>IF(OR($A188="",$G188=""),"",INT((Settings!$B$19-$G188)/7))</f>
        <v/>
      </c>
      <c r="I188" s="24">
        <f>IF(OR($A188="",NOT(OR(Deals!$F140="Active",Deals!$F140="Proposal"))),"",TRIM(IF($E188=0," Unstaffed","")&amp;IF(IF(Deals!$U140="",FALSE,OR(AND(IFERROR(INDEX(Templates!$B$3:$B$10,MATCH(Deals!$U140,Templates!$A$3:$A$10,0)),0)&gt;0,COUNTIFS(Assignments!$C$2:$C$769,$A188,Assignments!$F$2:$F$769,"Partner",Assignments!$G$2:$G$769,"Active")=0),AND(IFERROR(INDEX(Templates!$C$3:$C$10,MATCH(Deals!$U140,Templates!$A$3:$A$10,0)),0)&gt;0,COUNTIFS(Assignments!$C$2:$C$769,$A188,Assignments!$F$2:$F$769,"MD",Assignments!$G$2:$G$769,"Active")=0),AND(IFERROR(INDEX(Templates!$D$3:$D$10,MATCH(Deals!$U140,Templates!$A$3:$A$10,0)),0)&gt;0,COUNTIFS(Assignments!$C$2:$C$769,$A188,Assignments!$F$2:$F$769,"Director",Assignments!$G$2:$G$769,"Active")=0),AND(IFERROR(INDEX(Templates!$E$3:$E$10,MATCH(Deals!$U140,Templates!$A$3:$A$10,0)),0)&gt;0,COUNTIFS(Assignments!$C$2:$C$769,$A188,Assignments!$F$2:$F$769,"VP",Assignments!$G$2:$G$769,"Active")=0),AND(IFERROR(INDEX(Templates!$F$3:$F$10,MATCH(Deals!$U140,Templates!$A$3:$A$10,0)),0)&gt;0,COUNTIFS(Assignments!$C$2:$C$769,$A188,Assignments!$F$2:$F$769,"Senior Associate",Assignments!$G$2:$G$769,"Active")=0),AND(IFERROR(INDEX(Templates!$G$3:$G$10,MATCH(Deals!$U140,Templates!$A$3:$A$10,0)),0)&gt;0,COUNTIFS(Assignments!$C$2:$C$769,$A188,Assignments!$F$2:$F$769,"Renewable Specialist",Assignments!$G$2:$G$769,"Active")=0),AND(IFERROR(INDEX(Templates!$H$3:$H$10,MATCH(Deals!$U140,Templates!$A$3:$A$10,0)),0)&gt;0,COUNTIFS(Assignments!$C$2:$C$769,$A188,Assignments!$F$2:$F$769,"Associate",Assignments!$G$2:$G$769,"Active")=0)))," MissingLevel","")&amp;IF(AND($C188="Proposal",Deals!$H140=0.5)," DefaultProbability","")&amp;IF($F188="No"," NoDates","")&amp;IF(AND(ISNUMBER($H188),$H188&gt;=Settings!$B$20)," Stale","")))</f>
        <v/>
      </c>
    </row>
    <row r="189">
      <c r="A189" s="16">
        <f>IF(Deals!$A141="","",Deals!$A141)</f>
        <v/>
      </c>
      <c r="B189" s="16">
        <f>IF($A189="","",Deals!$C141)</f>
        <v/>
      </c>
      <c r="C189" s="16">
        <f>IF($A189="","",Deals!$F141)</f>
        <v/>
      </c>
      <c r="D189" s="21">
        <f>IF($A189="","",Deals!$H141)</f>
        <v/>
      </c>
      <c r="E189" s="17">
        <f>IF($A189="","",Deals!$Q141)</f>
        <v/>
      </c>
      <c r="F189" s="16">
        <f>IF($A189="","",IF(AND(Deals!$I141&lt;&gt;"",Deals!$J141&lt;&gt;""),"Yes","No"))</f>
        <v/>
      </c>
      <c r="G189" s="22">
        <f>IF($A189="","",Deals!$Z141)</f>
        <v/>
      </c>
      <c r="H189" s="23">
        <f>IF(OR($A189="",$G189=""),"",INT((Settings!$B$19-$G189)/7))</f>
        <v/>
      </c>
      <c r="I189" s="24">
        <f>IF(OR($A189="",NOT(OR(Deals!$F141="Active",Deals!$F141="Proposal"))),"",TRIM(IF($E189=0," Unstaffed","")&amp;IF(IF(Deals!$U141="",FALSE,OR(AND(IFERROR(INDEX(Templates!$B$3:$B$10,MATCH(Deals!$U141,Templates!$A$3:$A$10,0)),0)&gt;0,COUNTIFS(Assignments!$C$2:$C$769,$A189,Assignments!$F$2:$F$769,"Partner",Assignments!$G$2:$G$769,"Active")=0),AND(IFERROR(INDEX(Templates!$C$3:$C$10,MATCH(Deals!$U141,Templates!$A$3:$A$10,0)),0)&gt;0,COUNTIFS(Assignments!$C$2:$C$769,$A189,Assignments!$F$2:$F$769,"MD",Assignments!$G$2:$G$769,"Active")=0),AND(IFERROR(INDEX(Templates!$D$3:$D$10,MATCH(Deals!$U141,Templates!$A$3:$A$10,0)),0)&gt;0,COUNTIFS(Assignments!$C$2:$C$769,$A189,Assignments!$F$2:$F$769,"Director",Assignments!$G$2:$G$769,"Active")=0),AND(IFERROR(INDEX(Templates!$E$3:$E$10,MATCH(Deals!$U141,Templates!$A$3:$A$10,0)),0)&gt;0,COUNTIFS(Assignments!$C$2:$C$769,$A189,Assignments!$F$2:$F$769,"VP",Assignments!$G$2:$G$769,"Active")=0),AND(IFERROR(INDEX(Templates!$F$3:$F$10,MATCH(Deals!$U141,Templates!$A$3:$A$10,0)),0)&gt;0,COUNTIFS(Assignments!$C$2:$C$769,$A189,Assignments!$F$2:$F$769,"Senior Associate",Assignments!$G$2:$G$769,"Active")=0),AND(IFERROR(INDEX(Templates!$G$3:$G$10,MATCH(Deals!$U141,Templates!$A$3:$A$10,0)),0)&gt;0,COUNTIFS(Assignments!$C$2:$C$769,$A189,Assignments!$F$2:$F$769,"Renewable Specialist",Assignments!$G$2:$G$769,"Active")=0),AND(IFERROR(INDEX(Templates!$H$3:$H$10,MATCH(Deals!$U141,Templates!$A$3:$A$10,0)),0)&gt;0,COUNTIFS(Assignments!$C$2:$C$769,$A189,Assignments!$F$2:$F$769,"Associate",Assignments!$G$2:$G$769,"Active")=0)))," MissingLevel","")&amp;IF(AND($C189="Proposal",Deals!$H141=0.5)," DefaultProbability","")&amp;IF($F189="No"," NoDates","")&amp;IF(AND(ISNUMBER($H189),$H189&gt;=Settings!$B$20)," Stale","")))</f>
        <v/>
      </c>
    </row>
    <row r="190">
      <c r="A190" s="16">
        <f>IF(Deals!$A142="","",Deals!$A142)</f>
        <v/>
      </c>
      <c r="B190" s="16">
        <f>IF($A190="","",Deals!$C142)</f>
        <v/>
      </c>
      <c r="C190" s="16">
        <f>IF($A190="","",Deals!$F142)</f>
        <v/>
      </c>
      <c r="D190" s="21">
        <f>IF($A190="","",Deals!$H142)</f>
        <v/>
      </c>
      <c r="E190" s="17">
        <f>IF($A190="","",Deals!$Q142)</f>
        <v/>
      </c>
      <c r="F190" s="16">
        <f>IF($A190="","",IF(AND(Deals!$I142&lt;&gt;"",Deals!$J142&lt;&gt;""),"Yes","No"))</f>
        <v/>
      </c>
      <c r="G190" s="22">
        <f>IF($A190="","",Deals!$Z142)</f>
        <v/>
      </c>
      <c r="H190" s="23">
        <f>IF(OR($A190="",$G190=""),"",INT((Settings!$B$19-$G190)/7))</f>
        <v/>
      </c>
      <c r="I190" s="24">
        <f>IF(OR($A190="",NOT(OR(Deals!$F142="Active",Deals!$F142="Proposal"))),"",TRIM(IF($E190=0," Unstaffed","")&amp;IF(IF(Deals!$U142="",FALSE,OR(AND(IFERROR(INDEX(Templates!$B$3:$B$10,MATCH(Deals!$U142,Templates!$A$3:$A$10,0)),0)&gt;0,COUNTIFS(Assignments!$C$2:$C$769,$A190,Assignments!$F$2:$F$769,"Partner",Assignments!$G$2:$G$769,"Active")=0),AND(IFERROR(INDEX(Templates!$C$3:$C$10,MATCH(Deals!$U142,Templates!$A$3:$A$10,0)),0)&gt;0,COUNTIFS(Assignments!$C$2:$C$769,$A190,Assignments!$F$2:$F$769,"MD",Assignments!$G$2:$G$769,"Active")=0),AND(IFERROR(INDEX(Templates!$D$3:$D$10,MATCH(Deals!$U142,Templates!$A$3:$A$10,0)),0)&gt;0,COUNTIFS(Assignments!$C$2:$C$769,$A190,Assignments!$F$2:$F$769,"Director",Assignments!$G$2:$G$769,"Active")=0),AND(IFERROR(INDEX(Templates!$E$3:$E$10,MATCH(Deals!$U142,Templates!$A$3:$A$10,0)),0)&gt;0,COUNTIFS(Assignments!$C$2:$C$769,$A190,Assignments!$F$2:$F$769,"VP",Assignments!$G$2:$G$769,"Active")=0),AND(IFERROR(INDEX(Templates!$F$3:$F$10,MATCH(Deals!$U142,Templates!$A$3:$A$10,0)),0)&gt;0,COUNTIFS(Assignments!$C$2:$C$769,$A190,Assignments!$F$2:$F$769,"Senior Associate",Assignments!$G$2:$G$769,"Active")=0),AND(IFERROR(INDEX(Templates!$G$3:$G$10,MATCH(Deals!$U142,Templates!$A$3:$A$10,0)),0)&gt;0,COUNTIFS(Assignments!$C$2:$C$769,$A190,Assignments!$F$2:$F$769,"Renewable Specialist",Assignments!$G$2:$G$769,"Active")=0),AND(IFERROR(INDEX(Templates!$H$3:$H$10,MATCH(Deals!$U142,Templates!$A$3:$A$10,0)),0)&gt;0,COUNTIFS(Assignments!$C$2:$C$769,$A190,Assignments!$F$2:$F$769,"Associate",Assignments!$G$2:$G$769,"Active")=0)))," MissingLevel","")&amp;IF(AND($C190="Proposal",Deals!$H142=0.5)," DefaultProbability","")&amp;IF($F190="No"," NoDates","")&amp;IF(AND(ISNUMBER($H190),$H190&gt;=Settings!$B$20)," Stale","")))</f>
        <v/>
      </c>
    </row>
    <row r="191">
      <c r="A191" s="16">
        <f>IF(Deals!$A143="","",Deals!$A143)</f>
        <v/>
      </c>
      <c r="B191" s="16">
        <f>IF($A191="","",Deals!$C143)</f>
        <v/>
      </c>
      <c r="C191" s="16">
        <f>IF($A191="","",Deals!$F143)</f>
        <v/>
      </c>
      <c r="D191" s="21">
        <f>IF($A191="","",Deals!$H143)</f>
        <v/>
      </c>
      <c r="E191" s="17">
        <f>IF($A191="","",Deals!$Q143)</f>
        <v/>
      </c>
      <c r="F191" s="16">
        <f>IF($A191="","",IF(AND(Deals!$I143&lt;&gt;"",Deals!$J143&lt;&gt;""),"Yes","No"))</f>
        <v/>
      </c>
      <c r="G191" s="22">
        <f>IF($A191="","",Deals!$Z143)</f>
        <v/>
      </c>
      <c r="H191" s="23">
        <f>IF(OR($A191="",$G191=""),"",INT((Settings!$B$19-$G191)/7))</f>
        <v/>
      </c>
      <c r="I191" s="24">
        <f>IF(OR($A191="",NOT(OR(Deals!$F143="Active",Deals!$F143="Proposal"))),"",TRIM(IF($E191=0," Unstaffed","")&amp;IF(IF(Deals!$U143="",FALSE,OR(AND(IFERROR(INDEX(Templates!$B$3:$B$10,MATCH(Deals!$U143,Templates!$A$3:$A$10,0)),0)&gt;0,COUNTIFS(Assignments!$C$2:$C$769,$A191,Assignments!$F$2:$F$769,"Partner",Assignments!$G$2:$G$769,"Active")=0),AND(IFERROR(INDEX(Templates!$C$3:$C$10,MATCH(Deals!$U143,Templates!$A$3:$A$10,0)),0)&gt;0,COUNTIFS(Assignments!$C$2:$C$769,$A191,Assignments!$F$2:$F$769,"MD",Assignments!$G$2:$G$769,"Active")=0),AND(IFERROR(INDEX(Templates!$D$3:$D$10,MATCH(Deals!$U143,Templates!$A$3:$A$10,0)),0)&gt;0,COUNTIFS(Assignments!$C$2:$C$769,$A191,Assignments!$F$2:$F$769,"Director",Assignments!$G$2:$G$769,"Active")=0),AND(IFERROR(INDEX(Templates!$E$3:$E$10,MATCH(Deals!$U143,Templates!$A$3:$A$10,0)),0)&gt;0,COUNTIFS(Assignments!$C$2:$C$769,$A191,Assignments!$F$2:$F$769,"VP",Assignments!$G$2:$G$769,"Active")=0),AND(IFERROR(INDEX(Templates!$F$3:$F$10,MATCH(Deals!$U143,Templates!$A$3:$A$10,0)),0)&gt;0,COUNTIFS(Assignments!$C$2:$C$769,$A191,Assignments!$F$2:$F$769,"Senior Associate",Assignments!$G$2:$G$769,"Active")=0),AND(IFERROR(INDEX(Templates!$G$3:$G$10,MATCH(Deals!$U143,Templates!$A$3:$A$10,0)),0)&gt;0,COUNTIFS(Assignments!$C$2:$C$769,$A191,Assignments!$F$2:$F$769,"Renewable Specialist",Assignments!$G$2:$G$769,"Active")=0),AND(IFERROR(INDEX(Templates!$H$3:$H$10,MATCH(Deals!$U143,Templates!$A$3:$A$10,0)),0)&gt;0,COUNTIFS(Assignments!$C$2:$C$769,$A191,Assignments!$F$2:$F$769,"Associate",Assignments!$G$2:$G$769,"Active")=0)))," MissingLevel","")&amp;IF(AND($C191="Proposal",Deals!$H143=0.5)," DefaultProbability","")&amp;IF($F191="No"," NoDates","")&amp;IF(AND(ISNUMBER($H191),$H191&gt;=Settings!$B$20)," Stale","")))</f>
        <v/>
      </c>
    </row>
    <row r="192">
      <c r="A192" s="16">
        <f>IF(Deals!$A144="","",Deals!$A144)</f>
        <v/>
      </c>
      <c r="B192" s="16">
        <f>IF($A192="","",Deals!$C144)</f>
        <v/>
      </c>
      <c r="C192" s="16">
        <f>IF($A192="","",Deals!$F144)</f>
        <v/>
      </c>
      <c r="D192" s="21">
        <f>IF($A192="","",Deals!$H144)</f>
        <v/>
      </c>
      <c r="E192" s="17">
        <f>IF($A192="","",Deals!$Q144)</f>
        <v/>
      </c>
      <c r="F192" s="16">
        <f>IF($A192="","",IF(AND(Deals!$I144&lt;&gt;"",Deals!$J144&lt;&gt;""),"Yes","No"))</f>
        <v/>
      </c>
      <c r="G192" s="22">
        <f>IF($A192="","",Deals!$Z144)</f>
        <v/>
      </c>
      <c r="H192" s="23">
        <f>IF(OR($A192="",$G192=""),"",INT((Settings!$B$19-$G192)/7))</f>
        <v/>
      </c>
      <c r="I192" s="24">
        <f>IF(OR($A192="",NOT(OR(Deals!$F144="Active",Deals!$F144="Proposal"))),"",TRIM(IF($E192=0," Unstaffed","")&amp;IF(IF(Deals!$U144="",FALSE,OR(AND(IFERROR(INDEX(Templates!$B$3:$B$10,MATCH(Deals!$U144,Templates!$A$3:$A$10,0)),0)&gt;0,COUNTIFS(Assignments!$C$2:$C$769,$A192,Assignments!$F$2:$F$769,"Partner",Assignments!$G$2:$G$769,"Active")=0),AND(IFERROR(INDEX(Templates!$C$3:$C$10,MATCH(Deals!$U144,Templates!$A$3:$A$10,0)),0)&gt;0,COUNTIFS(Assignments!$C$2:$C$769,$A192,Assignments!$F$2:$F$769,"MD",Assignments!$G$2:$G$769,"Active")=0),AND(IFERROR(INDEX(Templates!$D$3:$D$10,MATCH(Deals!$U144,Templates!$A$3:$A$10,0)),0)&gt;0,COUNTIFS(Assignments!$C$2:$C$769,$A192,Assignments!$F$2:$F$769,"Director",Assignments!$G$2:$G$769,"Active")=0),AND(IFERROR(INDEX(Templates!$E$3:$E$10,MATCH(Deals!$U144,Templates!$A$3:$A$10,0)),0)&gt;0,COUNTIFS(Assignments!$C$2:$C$769,$A192,Assignments!$F$2:$F$769,"VP",Assignments!$G$2:$G$769,"Active")=0),AND(IFERROR(INDEX(Templates!$F$3:$F$10,MATCH(Deals!$U144,Templates!$A$3:$A$10,0)),0)&gt;0,COUNTIFS(Assignments!$C$2:$C$769,$A192,Assignments!$F$2:$F$769,"Senior Associate",Assignments!$G$2:$G$769,"Active")=0),AND(IFERROR(INDEX(Templates!$G$3:$G$10,MATCH(Deals!$U144,Templates!$A$3:$A$10,0)),0)&gt;0,COUNTIFS(Assignments!$C$2:$C$769,$A192,Assignments!$F$2:$F$769,"Renewable Specialist",Assignments!$G$2:$G$769,"Active")=0),AND(IFERROR(INDEX(Templates!$H$3:$H$10,MATCH(Deals!$U144,Templates!$A$3:$A$10,0)),0)&gt;0,COUNTIFS(Assignments!$C$2:$C$769,$A192,Assignments!$F$2:$F$769,"Associate",Assignments!$G$2:$G$769,"Active")=0)))," MissingLevel","")&amp;IF(AND($C192="Proposal",Deals!$H144=0.5)," DefaultProbability","")&amp;IF($F192="No"," NoDates","")&amp;IF(AND(ISNUMBER($H192),$H192&gt;=Settings!$B$20)," Stale","")))</f>
        <v/>
      </c>
    </row>
    <row r="193">
      <c r="A193" s="16">
        <f>IF(Deals!$A145="","",Deals!$A145)</f>
        <v/>
      </c>
      <c r="B193" s="16">
        <f>IF($A193="","",Deals!$C145)</f>
        <v/>
      </c>
      <c r="C193" s="16">
        <f>IF($A193="","",Deals!$F145)</f>
        <v/>
      </c>
      <c r="D193" s="21">
        <f>IF($A193="","",Deals!$H145)</f>
        <v/>
      </c>
      <c r="E193" s="17">
        <f>IF($A193="","",Deals!$Q145)</f>
        <v/>
      </c>
      <c r="F193" s="16">
        <f>IF($A193="","",IF(AND(Deals!$I145&lt;&gt;"",Deals!$J145&lt;&gt;""),"Yes","No"))</f>
        <v/>
      </c>
      <c r="G193" s="22">
        <f>IF($A193="","",Deals!$Z145)</f>
        <v/>
      </c>
      <c r="H193" s="23">
        <f>IF(OR($A193="",$G193=""),"",INT((Settings!$B$19-$G193)/7))</f>
        <v/>
      </c>
      <c r="I193" s="24">
        <f>IF(OR($A193="",NOT(OR(Deals!$F145="Active",Deals!$F145="Proposal"))),"",TRIM(IF($E193=0," Unstaffed","")&amp;IF(IF(Deals!$U145="",FALSE,OR(AND(IFERROR(INDEX(Templates!$B$3:$B$10,MATCH(Deals!$U145,Templates!$A$3:$A$10,0)),0)&gt;0,COUNTIFS(Assignments!$C$2:$C$769,$A193,Assignments!$F$2:$F$769,"Partner",Assignments!$G$2:$G$769,"Active")=0),AND(IFERROR(INDEX(Templates!$C$3:$C$10,MATCH(Deals!$U145,Templates!$A$3:$A$10,0)),0)&gt;0,COUNTIFS(Assignments!$C$2:$C$769,$A193,Assignments!$F$2:$F$769,"MD",Assignments!$G$2:$G$769,"Active")=0),AND(IFERROR(INDEX(Templates!$D$3:$D$10,MATCH(Deals!$U145,Templates!$A$3:$A$10,0)),0)&gt;0,COUNTIFS(Assignments!$C$2:$C$769,$A193,Assignments!$F$2:$F$769,"Director",Assignments!$G$2:$G$769,"Active")=0),AND(IFERROR(INDEX(Templates!$E$3:$E$10,MATCH(Deals!$U145,Templates!$A$3:$A$10,0)),0)&gt;0,COUNTIFS(Assignments!$C$2:$C$769,$A193,Assignments!$F$2:$F$769,"VP",Assignments!$G$2:$G$769,"Active")=0),AND(IFERROR(INDEX(Templates!$F$3:$F$10,MATCH(Deals!$U145,Templates!$A$3:$A$10,0)),0)&gt;0,COUNTIFS(Assignments!$C$2:$C$769,$A193,Assignments!$F$2:$F$769,"Senior Associate",Assignments!$G$2:$G$769,"Active")=0),AND(IFERROR(INDEX(Templates!$G$3:$G$10,MATCH(Deals!$U145,Templates!$A$3:$A$10,0)),0)&gt;0,COUNTIFS(Assignments!$C$2:$C$769,$A193,Assignments!$F$2:$F$769,"Renewable Specialist",Assignments!$G$2:$G$769,"Active")=0),AND(IFERROR(INDEX(Templates!$H$3:$H$10,MATCH(Deals!$U145,Templates!$A$3:$A$10,0)),0)&gt;0,COUNTIFS(Assignments!$C$2:$C$769,$A193,Assignments!$F$2:$F$769,"Associate",Assignments!$G$2:$G$769,"Active")=0)))," MissingLevel","")&amp;IF(AND($C193="Proposal",Deals!$H145=0.5)," DefaultProbability","")&amp;IF($F193="No"," NoDates","")&amp;IF(AND(ISNUMBER($H193),$H193&gt;=Settings!$B$20)," Stale","")))</f>
        <v/>
      </c>
    </row>
    <row r="194">
      <c r="A194" s="16">
        <f>IF(Deals!$A146="","",Deals!$A146)</f>
        <v/>
      </c>
      <c r="B194" s="16">
        <f>IF($A194="","",Deals!$C146)</f>
        <v/>
      </c>
      <c r="C194" s="16">
        <f>IF($A194="","",Deals!$F146)</f>
        <v/>
      </c>
      <c r="D194" s="21">
        <f>IF($A194="","",Deals!$H146)</f>
        <v/>
      </c>
      <c r="E194" s="17">
        <f>IF($A194="","",Deals!$Q146)</f>
        <v/>
      </c>
      <c r="F194" s="16">
        <f>IF($A194="","",IF(AND(Deals!$I146&lt;&gt;"",Deals!$J146&lt;&gt;""),"Yes","No"))</f>
        <v/>
      </c>
      <c r="G194" s="22">
        <f>IF($A194="","",Deals!$Z146)</f>
        <v/>
      </c>
      <c r="H194" s="23">
        <f>IF(OR($A194="",$G194=""),"",INT((Settings!$B$19-$G194)/7))</f>
        <v/>
      </c>
      <c r="I194" s="24">
        <f>IF(OR($A194="",NOT(OR(Deals!$F146="Active",Deals!$F146="Proposal"))),"",TRIM(IF($E194=0," Unstaffed","")&amp;IF(IF(Deals!$U146="",FALSE,OR(AND(IFERROR(INDEX(Templates!$B$3:$B$10,MATCH(Deals!$U146,Templates!$A$3:$A$10,0)),0)&gt;0,COUNTIFS(Assignments!$C$2:$C$769,$A194,Assignments!$F$2:$F$769,"Partner",Assignments!$G$2:$G$769,"Active")=0),AND(IFERROR(INDEX(Templates!$C$3:$C$10,MATCH(Deals!$U146,Templates!$A$3:$A$10,0)),0)&gt;0,COUNTIFS(Assignments!$C$2:$C$769,$A194,Assignments!$F$2:$F$769,"MD",Assignments!$G$2:$G$769,"Active")=0),AND(IFERROR(INDEX(Templates!$D$3:$D$10,MATCH(Deals!$U146,Templates!$A$3:$A$10,0)),0)&gt;0,COUNTIFS(Assignments!$C$2:$C$769,$A194,Assignments!$F$2:$F$769,"Director",Assignments!$G$2:$G$769,"Active")=0),AND(IFERROR(INDEX(Templates!$E$3:$E$10,MATCH(Deals!$U146,Templates!$A$3:$A$10,0)),0)&gt;0,COUNTIFS(Assignments!$C$2:$C$769,$A194,Assignments!$F$2:$F$769,"VP",Assignments!$G$2:$G$769,"Active")=0),AND(IFERROR(INDEX(Templates!$F$3:$F$10,MATCH(Deals!$U146,Templates!$A$3:$A$10,0)),0)&gt;0,COUNTIFS(Assignments!$C$2:$C$769,$A194,Assignments!$F$2:$F$769,"Senior Associate",Assignments!$G$2:$G$769,"Active")=0),AND(IFERROR(INDEX(Templates!$G$3:$G$10,MATCH(Deals!$U146,Templates!$A$3:$A$10,0)),0)&gt;0,COUNTIFS(Assignments!$C$2:$C$769,$A194,Assignments!$F$2:$F$769,"Renewable Specialist",Assignments!$G$2:$G$769,"Active")=0),AND(IFERROR(INDEX(Templates!$H$3:$H$10,MATCH(Deals!$U146,Templates!$A$3:$A$10,0)),0)&gt;0,COUNTIFS(Assignments!$C$2:$C$769,$A194,Assignments!$F$2:$F$769,"Associate",Assignments!$G$2:$G$769,"Active")=0)))," MissingLevel","")&amp;IF(AND($C194="Proposal",Deals!$H146=0.5)," DefaultProbability","")&amp;IF($F194="No"," NoDates","")&amp;IF(AND(ISNUMBER($H194),$H194&gt;=Settings!$B$20)," Stale","")))</f>
        <v/>
      </c>
    </row>
    <row r="195">
      <c r="A195" s="16">
        <f>IF(Deals!$A147="","",Deals!$A147)</f>
        <v/>
      </c>
      <c r="B195" s="16">
        <f>IF($A195="","",Deals!$C147)</f>
        <v/>
      </c>
      <c r="C195" s="16">
        <f>IF($A195="","",Deals!$F147)</f>
        <v/>
      </c>
      <c r="D195" s="21">
        <f>IF($A195="","",Deals!$H147)</f>
        <v/>
      </c>
      <c r="E195" s="17">
        <f>IF($A195="","",Deals!$Q147)</f>
        <v/>
      </c>
      <c r="F195" s="16">
        <f>IF($A195="","",IF(AND(Deals!$I147&lt;&gt;"",Deals!$J147&lt;&gt;""),"Yes","No"))</f>
        <v/>
      </c>
      <c r="G195" s="22">
        <f>IF($A195="","",Deals!$Z147)</f>
        <v/>
      </c>
      <c r="H195" s="23">
        <f>IF(OR($A195="",$G195=""),"",INT((Settings!$B$19-$G195)/7))</f>
        <v/>
      </c>
      <c r="I195" s="24">
        <f>IF(OR($A195="",NOT(OR(Deals!$F147="Active",Deals!$F147="Proposal"))),"",TRIM(IF($E195=0," Unstaffed","")&amp;IF(IF(Deals!$U147="",FALSE,OR(AND(IFERROR(INDEX(Templates!$B$3:$B$10,MATCH(Deals!$U147,Templates!$A$3:$A$10,0)),0)&gt;0,COUNTIFS(Assignments!$C$2:$C$769,$A195,Assignments!$F$2:$F$769,"Partner",Assignments!$G$2:$G$769,"Active")=0),AND(IFERROR(INDEX(Templates!$C$3:$C$10,MATCH(Deals!$U147,Templates!$A$3:$A$10,0)),0)&gt;0,COUNTIFS(Assignments!$C$2:$C$769,$A195,Assignments!$F$2:$F$769,"MD",Assignments!$G$2:$G$769,"Active")=0),AND(IFERROR(INDEX(Templates!$D$3:$D$10,MATCH(Deals!$U147,Templates!$A$3:$A$10,0)),0)&gt;0,COUNTIFS(Assignments!$C$2:$C$769,$A195,Assignments!$F$2:$F$769,"Director",Assignments!$G$2:$G$769,"Active")=0),AND(IFERROR(INDEX(Templates!$E$3:$E$10,MATCH(Deals!$U147,Templates!$A$3:$A$10,0)),0)&gt;0,COUNTIFS(Assignments!$C$2:$C$769,$A195,Assignments!$F$2:$F$769,"VP",Assignments!$G$2:$G$769,"Active")=0),AND(IFERROR(INDEX(Templates!$F$3:$F$10,MATCH(Deals!$U147,Templates!$A$3:$A$10,0)),0)&gt;0,COUNTIFS(Assignments!$C$2:$C$769,$A195,Assignments!$F$2:$F$769,"Senior Associate",Assignments!$G$2:$G$769,"Active")=0),AND(IFERROR(INDEX(Templates!$G$3:$G$10,MATCH(Deals!$U147,Templates!$A$3:$A$10,0)),0)&gt;0,COUNTIFS(Assignments!$C$2:$C$769,$A195,Assignments!$F$2:$F$769,"Renewable Specialist",Assignments!$G$2:$G$769,"Active")=0),AND(IFERROR(INDEX(Templates!$H$3:$H$10,MATCH(Deals!$U147,Templates!$A$3:$A$10,0)),0)&gt;0,COUNTIFS(Assignments!$C$2:$C$769,$A195,Assignments!$F$2:$F$769,"Associate",Assignments!$G$2:$G$769,"Active")=0)))," MissingLevel","")&amp;IF(AND($C195="Proposal",Deals!$H147=0.5)," DefaultProbability","")&amp;IF($F195="No"," NoDates","")&amp;IF(AND(ISNUMBER($H195),$H195&gt;=Settings!$B$20)," Stale","")))</f>
        <v/>
      </c>
    </row>
    <row r="196">
      <c r="A196" s="16">
        <f>IF(Deals!$A148="","",Deals!$A148)</f>
        <v/>
      </c>
      <c r="B196" s="16">
        <f>IF($A196="","",Deals!$C148)</f>
        <v/>
      </c>
      <c r="C196" s="16">
        <f>IF($A196="","",Deals!$F148)</f>
        <v/>
      </c>
      <c r="D196" s="21">
        <f>IF($A196="","",Deals!$H148)</f>
        <v/>
      </c>
      <c r="E196" s="17">
        <f>IF($A196="","",Deals!$Q148)</f>
        <v/>
      </c>
      <c r="F196" s="16">
        <f>IF($A196="","",IF(AND(Deals!$I148&lt;&gt;"",Deals!$J148&lt;&gt;""),"Yes","No"))</f>
        <v/>
      </c>
      <c r="G196" s="22">
        <f>IF($A196="","",Deals!$Z148)</f>
        <v/>
      </c>
      <c r="H196" s="23">
        <f>IF(OR($A196="",$G196=""),"",INT((Settings!$B$19-$G196)/7))</f>
        <v/>
      </c>
      <c r="I196" s="24">
        <f>IF(OR($A196="",NOT(OR(Deals!$F148="Active",Deals!$F148="Proposal"))),"",TRIM(IF($E196=0," Unstaffed","")&amp;IF(IF(Deals!$U148="",FALSE,OR(AND(IFERROR(INDEX(Templates!$B$3:$B$10,MATCH(Deals!$U148,Templates!$A$3:$A$10,0)),0)&gt;0,COUNTIFS(Assignments!$C$2:$C$769,$A196,Assignments!$F$2:$F$769,"Partner",Assignments!$G$2:$G$769,"Active")=0),AND(IFERROR(INDEX(Templates!$C$3:$C$10,MATCH(Deals!$U148,Templates!$A$3:$A$10,0)),0)&gt;0,COUNTIFS(Assignments!$C$2:$C$769,$A196,Assignments!$F$2:$F$769,"MD",Assignments!$G$2:$G$769,"Active")=0),AND(IFERROR(INDEX(Templates!$D$3:$D$10,MATCH(Deals!$U148,Templates!$A$3:$A$10,0)),0)&gt;0,COUNTIFS(Assignments!$C$2:$C$769,$A196,Assignments!$F$2:$F$769,"Director",Assignments!$G$2:$G$769,"Active")=0),AND(IFERROR(INDEX(Templates!$E$3:$E$10,MATCH(Deals!$U148,Templates!$A$3:$A$10,0)),0)&gt;0,COUNTIFS(Assignments!$C$2:$C$769,$A196,Assignments!$F$2:$F$769,"VP",Assignments!$G$2:$G$769,"Active")=0),AND(IFERROR(INDEX(Templates!$F$3:$F$10,MATCH(Deals!$U148,Templates!$A$3:$A$10,0)),0)&gt;0,COUNTIFS(Assignments!$C$2:$C$769,$A196,Assignments!$F$2:$F$769,"Senior Associate",Assignments!$G$2:$G$769,"Active")=0),AND(IFERROR(INDEX(Templates!$G$3:$G$10,MATCH(Deals!$U148,Templates!$A$3:$A$10,0)),0)&gt;0,COUNTIFS(Assignments!$C$2:$C$769,$A196,Assignments!$F$2:$F$769,"Renewable Specialist",Assignments!$G$2:$G$769,"Active")=0),AND(IFERROR(INDEX(Templates!$H$3:$H$10,MATCH(Deals!$U148,Templates!$A$3:$A$10,0)),0)&gt;0,COUNTIFS(Assignments!$C$2:$C$769,$A196,Assignments!$F$2:$F$769,"Associate",Assignments!$G$2:$G$769,"Active")=0)))," MissingLevel","")&amp;IF(AND($C196="Proposal",Deals!$H148=0.5)," DefaultProbability","")&amp;IF($F196="No"," NoDates","")&amp;IF(AND(ISNUMBER($H196),$H196&gt;=Settings!$B$20)," Stale","")))</f>
        <v/>
      </c>
    </row>
    <row r="197">
      <c r="A197" s="16">
        <f>IF(Deals!$A149="","",Deals!$A149)</f>
        <v/>
      </c>
      <c r="B197" s="16">
        <f>IF($A197="","",Deals!$C149)</f>
        <v/>
      </c>
      <c r="C197" s="16">
        <f>IF($A197="","",Deals!$F149)</f>
        <v/>
      </c>
      <c r="D197" s="21">
        <f>IF($A197="","",Deals!$H149)</f>
        <v/>
      </c>
      <c r="E197" s="17">
        <f>IF($A197="","",Deals!$Q149)</f>
        <v/>
      </c>
      <c r="F197" s="16">
        <f>IF($A197="","",IF(AND(Deals!$I149&lt;&gt;"",Deals!$J149&lt;&gt;""),"Yes","No"))</f>
        <v/>
      </c>
      <c r="G197" s="22">
        <f>IF($A197="","",Deals!$Z149)</f>
        <v/>
      </c>
      <c r="H197" s="23">
        <f>IF(OR($A197="",$G197=""),"",INT((Settings!$B$19-$G197)/7))</f>
        <v/>
      </c>
      <c r="I197" s="24">
        <f>IF(OR($A197="",NOT(OR(Deals!$F149="Active",Deals!$F149="Proposal"))),"",TRIM(IF($E197=0," Unstaffed","")&amp;IF(IF(Deals!$U149="",FALSE,OR(AND(IFERROR(INDEX(Templates!$B$3:$B$10,MATCH(Deals!$U149,Templates!$A$3:$A$10,0)),0)&gt;0,COUNTIFS(Assignments!$C$2:$C$769,$A197,Assignments!$F$2:$F$769,"Partner",Assignments!$G$2:$G$769,"Active")=0),AND(IFERROR(INDEX(Templates!$C$3:$C$10,MATCH(Deals!$U149,Templates!$A$3:$A$10,0)),0)&gt;0,COUNTIFS(Assignments!$C$2:$C$769,$A197,Assignments!$F$2:$F$769,"MD",Assignments!$G$2:$G$769,"Active")=0),AND(IFERROR(INDEX(Templates!$D$3:$D$10,MATCH(Deals!$U149,Templates!$A$3:$A$10,0)),0)&gt;0,COUNTIFS(Assignments!$C$2:$C$769,$A197,Assignments!$F$2:$F$769,"Director",Assignments!$G$2:$G$769,"Active")=0),AND(IFERROR(INDEX(Templates!$E$3:$E$10,MATCH(Deals!$U149,Templates!$A$3:$A$10,0)),0)&gt;0,COUNTIFS(Assignments!$C$2:$C$769,$A197,Assignments!$F$2:$F$769,"VP",Assignments!$G$2:$G$769,"Active")=0),AND(IFERROR(INDEX(Templates!$F$3:$F$10,MATCH(Deals!$U149,Templates!$A$3:$A$10,0)),0)&gt;0,COUNTIFS(Assignments!$C$2:$C$769,$A197,Assignments!$F$2:$F$769,"Senior Associate",Assignments!$G$2:$G$769,"Active")=0),AND(IFERROR(INDEX(Templates!$G$3:$G$10,MATCH(Deals!$U149,Templates!$A$3:$A$10,0)),0)&gt;0,COUNTIFS(Assignments!$C$2:$C$769,$A197,Assignments!$F$2:$F$769,"Renewable Specialist",Assignments!$G$2:$G$769,"Active")=0),AND(IFERROR(INDEX(Templates!$H$3:$H$10,MATCH(Deals!$U149,Templates!$A$3:$A$10,0)),0)&gt;0,COUNTIFS(Assignments!$C$2:$C$769,$A197,Assignments!$F$2:$F$769,"Associate",Assignments!$G$2:$G$769,"Active")=0)))," MissingLevel","")&amp;IF(AND($C197="Proposal",Deals!$H149=0.5)," DefaultProbability","")&amp;IF($F197="No"," NoDates","")&amp;IF(AND(ISNUMBER($H197),$H197&gt;=Settings!$B$20)," Stale","")))</f>
        <v/>
      </c>
    </row>
    <row r="198">
      <c r="A198" s="16">
        <f>IF(Deals!$A150="","",Deals!$A150)</f>
        <v/>
      </c>
      <c r="B198" s="16">
        <f>IF($A198="","",Deals!$C150)</f>
        <v/>
      </c>
      <c r="C198" s="16">
        <f>IF($A198="","",Deals!$F150)</f>
        <v/>
      </c>
      <c r="D198" s="21">
        <f>IF($A198="","",Deals!$H150)</f>
        <v/>
      </c>
      <c r="E198" s="17">
        <f>IF($A198="","",Deals!$Q150)</f>
        <v/>
      </c>
      <c r="F198" s="16">
        <f>IF($A198="","",IF(AND(Deals!$I150&lt;&gt;"",Deals!$J150&lt;&gt;""),"Yes","No"))</f>
        <v/>
      </c>
      <c r="G198" s="22">
        <f>IF($A198="","",Deals!$Z150)</f>
        <v/>
      </c>
      <c r="H198" s="23">
        <f>IF(OR($A198="",$G198=""),"",INT((Settings!$B$19-$G198)/7))</f>
        <v/>
      </c>
      <c r="I198" s="24">
        <f>IF(OR($A198="",NOT(OR(Deals!$F150="Active",Deals!$F150="Proposal"))),"",TRIM(IF($E198=0," Unstaffed","")&amp;IF(IF(Deals!$U150="",FALSE,OR(AND(IFERROR(INDEX(Templates!$B$3:$B$10,MATCH(Deals!$U150,Templates!$A$3:$A$10,0)),0)&gt;0,COUNTIFS(Assignments!$C$2:$C$769,$A198,Assignments!$F$2:$F$769,"Partner",Assignments!$G$2:$G$769,"Active")=0),AND(IFERROR(INDEX(Templates!$C$3:$C$10,MATCH(Deals!$U150,Templates!$A$3:$A$10,0)),0)&gt;0,COUNTIFS(Assignments!$C$2:$C$769,$A198,Assignments!$F$2:$F$769,"MD",Assignments!$G$2:$G$769,"Active")=0),AND(IFERROR(INDEX(Templates!$D$3:$D$10,MATCH(Deals!$U150,Templates!$A$3:$A$10,0)),0)&gt;0,COUNTIFS(Assignments!$C$2:$C$769,$A198,Assignments!$F$2:$F$769,"Director",Assignments!$G$2:$G$769,"Active")=0),AND(IFERROR(INDEX(Templates!$E$3:$E$10,MATCH(Deals!$U150,Templates!$A$3:$A$10,0)),0)&gt;0,COUNTIFS(Assignments!$C$2:$C$769,$A198,Assignments!$F$2:$F$769,"VP",Assignments!$G$2:$G$769,"Active")=0),AND(IFERROR(INDEX(Templates!$F$3:$F$10,MATCH(Deals!$U150,Templates!$A$3:$A$10,0)),0)&gt;0,COUNTIFS(Assignments!$C$2:$C$769,$A198,Assignments!$F$2:$F$769,"Senior Associate",Assignments!$G$2:$G$769,"Active")=0),AND(IFERROR(INDEX(Templates!$G$3:$G$10,MATCH(Deals!$U150,Templates!$A$3:$A$10,0)),0)&gt;0,COUNTIFS(Assignments!$C$2:$C$769,$A198,Assignments!$F$2:$F$769,"Renewable Specialist",Assignments!$G$2:$G$769,"Active")=0),AND(IFERROR(INDEX(Templates!$H$3:$H$10,MATCH(Deals!$U150,Templates!$A$3:$A$10,0)),0)&gt;0,COUNTIFS(Assignments!$C$2:$C$769,$A198,Assignments!$F$2:$F$769,"Associate",Assignments!$G$2:$G$769,"Active")=0)))," MissingLevel","")&amp;IF(AND($C198="Proposal",Deals!$H150=0.5)," DefaultProbability","")&amp;IF($F198="No"," NoDates","")&amp;IF(AND(ISNUMBER($H198),$H198&gt;=Settings!$B$20)," Stale","")))</f>
        <v/>
      </c>
    </row>
    <row r="199">
      <c r="A199" s="16">
        <f>IF(Deals!$A151="","",Deals!$A151)</f>
        <v/>
      </c>
      <c r="B199" s="16">
        <f>IF($A199="","",Deals!$C151)</f>
        <v/>
      </c>
      <c r="C199" s="16">
        <f>IF($A199="","",Deals!$F151)</f>
        <v/>
      </c>
      <c r="D199" s="21">
        <f>IF($A199="","",Deals!$H151)</f>
        <v/>
      </c>
      <c r="E199" s="17">
        <f>IF($A199="","",Deals!$Q151)</f>
        <v/>
      </c>
      <c r="F199" s="16">
        <f>IF($A199="","",IF(AND(Deals!$I151&lt;&gt;"",Deals!$J151&lt;&gt;""),"Yes","No"))</f>
        <v/>
      </c>
      <c r="G199" s="22">
        <f>IF($A199="","",Deals!$Z151)</f>
        <v/>
      </c>
      <c r="H199" s="23">
        <f>IF(OR($A199="",$G199=""),"",INT((Settings!$B$19-$G199)/7))</f>
        <v/>
      </c>
      <c r="I199" s="24">
        <f>IF(OR($A199="",NOT(OR(Deals!$F151="Active",Deals!$F151="Proposal"))),"",TRIM(IF($E199=0," Unstaffed","")&amp;IF(IF(Deals!$U151="",FALSE,OR(AND(IFERROR(INDEX(Templates!$B$3:$B$10,MATCH(Deals!$U151,Templates!$A$3:$A$10,0)),0)&gt;0,COUNTIFS(Assignments!$C$2:$C$769,$A199,Assignments!$F$2:$F$769,"Partner",Assignments!$G$2:$G$769,"Active")=0),AND(IFERROR(INDEX(Templates!$C$3:$C$10,MATCH(Deals!$U151,Templates!$A$3:$A$10,0)),0)&gt;0,COUNTIFS(Assignments!$C$2:$C$769,$A199,Assignments!$F$2:$F$769,"MD",Assignments!$G$2:$G$769,"Active")=0),AND(IFERROR(INDEX(Templates!$D$3:$D$10,MATCH(Deals!$U151,Templates!$A$3:$A$10,0)),0)&gt;0,COUNTIFS(Assignments!$C$2:$C$769,$A199,Assignments!$F$2:$F$769,"Director",Assignments!$G$2:$G$769,"Active")=0),AND(IFERROR(INDEX(Templates!$E$3:$E$10,MATCH(Deals!$U151,Templates!$A$3:$A$10,0)),0)&gt;0,COUNTIFS(Assignments!$C$2:$C$769,$A199,Assignments!$F$2:$F$769,"VP",Assignments!$G$2:$G$769,"Active")=0),AND(IFERROR(INDEX(Templates!$F$3:$F$10,MATCH(Deals!$U151,Templates!$A$3:$A$10,0)),0)&gt;0,COUNTIFS(Assignments!$C$2:$C$769,$A199,Assignments!$F$2:$F$769,"Senior Associate",Assignments!$G$2:$G$769,"Active")=0),AND(IFERROR(INDEX(Templates!$G$3:$G$10,MATCH(Deals!$U151,Templates!$A$3:$A$10,0)),0)&gt;0,COUNTIFS(Assignments!$C$2:$C$769,$A199,Assignments!$F$2:$F$769,"Renewable Specialist",Assignments!$G$2:$G$769,"Active")=0),AND(IFERROR(INDEX(Templates!$H$3:$H$10,MATCH(Deals!$U151,Templates!$A$3:$A$10,0)),0)&gt;0,COUNTIFS(Assignments!$C$2:$C$769,$A199,Assignments!$F$2:$F$769,"Associate",Assignments!$G$2:$G$769,"Active")=0)))," MissingLevel","")&amp;IF(AND($C199="Proposal",Deals!$H151=0.5)," DefaultProbability","")&amp;IF($F199="No"," NoDates","")&amp;IF(AND(ISNUMBER($H199),$H199&gt;=Settings!$B$20)," Stale","")))</f>
        <v/>
      </c>
    </row>
    <row r="200">
      <c r="A200" s="16">
        <f>IF(Deals!$A152="","",Deals!$A152)</f>
        <v/>
      </c>
      <c r="B200" s="16">
        <f>IF($A200="","",Deals!$C152)</f>
        <v/>
      </c>
      <c r="C200" s="16">
        <f>IF($A200="","",Deals!$F152)</f>
        <v/>
      </c>
      <c r="D200" s="21">
        <f>IF($A200="","",Deals!$H152)</f>
        <v/>
      </c>
      <c r="E200" s="17">
        <f>IF($A200="","",Deals!$Q152)</f>
        <v/>
      </c>
      <c r="F200" s="16">
        <f>IF($A200="","",IF(AND(Deals!$I152&lt;&gt;"",Deals!$J152&lt;&gt;""),"Yes","No"))</f>
        <v/>
      </c>
      <c r="G200" s="22">
        <f>IF($A200="","",Deals!$Z152)</f>
        <v/>
      </c>
      <c r="H200" s="23">
        <f>IF(OR($A200="",$G200=""),"",INT((Settings!$B$19-$G200)/7))</f>
        <v/>
      </c>
      <c r="I200" s="24">
        <f>IF(OR($A200="",NOT(OR(Deals!$F152="Active",Deals!$F152="Proposal"))),"",TRIM(IF($E200=0," Unstaffed","")&amp;IF(IF(Deals!$U152="",FALSE,OR(AND(IFERROR(INDEX(Templates!$B$3:$B$10,MATCH(Deals!$U152,Templates!$A$3:$A$10,0)),0)&gt;0,COUNTIFS(Assignments!$C$2:$C$769,$A200,Assignments!$F$2:$F$769,"Partner",Assignments!$G$2:$G$769,"Active")=0),AND(IFERROR(INDEX(Templates!$C$3:$C$10,MATCH(Deals!$U152,Templates!$A$3:$A$10,0)),0)&gt;0,COUNTIFS(Assignments!$C$2:$C$769,$A200,Assignments!$F$2:$F$769,"MD",Assignments!$G$2:$G$769,"Active")=0),AND(IFERROR(INDEX(Templates!$D$3:$D$10,MATCH(Deals!$U152,Templates!$A$3:$A$10,0)),0)&gt;0,COUNTIFS(Assignments!$C$2:$C$769,$A200,Assignments!$F$2:$F$769,"Director",Assignments!$G$2:$G$769,"Active")=0),AND(IFERROR(INDEX(Templates!$E$3:$E$10,MATCH(Deals!$U152,Templates!$A$3:$A$10,0)),0)&gt;0,COUNTIFS(Assignments!$C$2:$C$769,$A200,Assignments!$F$2:$F$769,"VP",Assignments!$G$2:$G$769,"Active")=0),AND(IFERROR(INDEX(Templates!$F$3:$F$10,MATCH(Deals!$U152,Templates!$A$3:$A$10,0)),0)&gt;0,COUNTIFS(Assignments!$C$2:$C$769,$A200,Assignments!$F$2:$F$769,"Senior Associate",Assignments!$G$2:$G$769,"Active")=0),AND(IFERROR(INDEX(Templates!$G$3:$G$10,MATCH(Deals!$U152,Templates!$A$3:$A$10,0)),0)&gt;0,COUNTIFS(Assignments!$C$2:$C$769,$A200,Assignments!$F$2:$F$769,"Renewable Specialist",Assignments!$G$2:$G$769,"Active")=0),AND(IFERROR(INDEX(Templates!$H$3:$H$10,MATCH(Deals!$U152,Templates!$A$3:$A$10,0)),0)&gt;0,COUNTIFS(Assignments!$C$2:$C$769,$A200,Assignments!$F$2:$F$769,"Associate",Assignments!$G$2:$G$769,"Active")=0)))," MissingLevel","")&amp;IF(AND($C200="Proposal",Deals!$H152=0.5)," DefaultProbability","")&amp;IF($F200="No"," NoDates","")&amp;IF(AND(ISNUMBER($H200),$H200&gt;=Settings!$B$20)," Stale","")))</f>
        <v/>
      </c>
    </row>
    <row r="201">
      <c r="A201" s="16">
        <f>IF(Deals!$A153="","",Deals!$A153)</f>
        <v/>
      </c>
      <c r="B201" s="16">
        <f>IF($A201="","",Deals!$C153)</f>
        <v/>
      </c>
      <c r="C201" s="16">
        <f>IF($A201="","",Deals!$F153)</f>
        <v/>
      </c>
      <c r="D201" s="21">
        <f>IF($A201="","",Deals!$H153)</f>
        <v/>
      </c>
      <c r="E201" s="17">
        <f>IF($A201="","",Deals!$Q153)</f>
        <v/>
      </c>
      <c r="F201" s="16">
        <f>IF($A201="","",IF(AND(Deals!$I153&lt;&gt;"",Deals!$J153&lt;&gt;""),"Yes","No"))</f>
        <v/>
      </c>
      <c r="G201" s="22">
        <f>IF($A201="","",Deals!$Z153)</f>
        <v/>
      </c>
      <c r="H201" s="23">
        <f>IF(OR($A201="",$G201=""),"",INT((Settings!$B$19-$G201)/7))</f>
        <v/>
      </c>
      <c r="I201" s="24">
        <f>IF(OR($A201="",NOT(OR(Deals!$F153="Active",Deals!$F153="Proposal"))),"",TRIM(IF($E201=0," Unstaffed","")&amp;IF(IF(Deals!$U153="",FALSE,OR(AND(IFERROR(INDEX(Templates!$B$3:$B$10,MATCH(Deals!$U153,Templates!$A$3:$A$10,0)),0)&gt;0,COUNTIFS(Assignments!$C$2:$C$769,$A201,Assignments!$F$2:$F$769,"Partner",Assignments!$G$2:$G$769,"Active")=0),AND(IFERROR(INDEX(Templates!$C$3:$C$10,MATCH(Deals!$U153,Templates!$A$3:$A$10,0)),0)&gt;0,COUNTIFS(Assignments!$C$2:$C$769,$A201,Assignments!$F$2:$F$769,"MD",Assignments!$G$2:$G$769,"Active")=0),AND(IFERROR(INDEX(Templates!$D$3:$D$10,MATCH(Deals!$U153,Templates!$A$3:$A$10,0)),0)&gt;0,COUNTIFS(Assignments!$C$2:$C$769,$A201,Assignments!$F$2:$F$769,"Director",Assignments!$G$2:$G$769,"Active")=0),AND(IFERROR(INDEX(Templates!$E$3:$E$10,MATCH(Deals!$U153,Templates!$A$3:$A$10,0)),0)&gt;0,COUNTIFS(Assignments!$C$2:$C$769,$A201,Assignments!$F$2:$F$769,"VP",Assignments!$G$2:$G$769,"Active")=0),AND(IFERROR(INDEX(Templates!$F$3:$F$10,MATCH(Deals!$U153,Templates!$A$3:$A$10,0)),0)&gt;0,COUNTIFS(Assignments!$C$2:$C$769,$A201,Assignments!$F$2:$F$769,"Senior Associate",Assignments!$G$2:$G$769,"Active")=0),AND(IFERROR(INDEX(Templates!$G$3:$G$10,MATCH(Deals!$U153,Templates!$A$3:$A$10,0)),0)&gt;0,COUNTIFS(Assignments!$C$2:$C$769,$A201,Assignments!$F$2:$F$769,"Renewable Specialist",Assignments!$G$2:$G$769,"Active")=0),AND(IFERROR(INDEX(Templates!$H$3:$H$10,MATCH(Deals!$U153,Templates!$A$3:$A$10,0)),0)&gt;0,COUNTIFS(Assignments!$C$2:$C$769,$A201,Assignments!$F$2:$F$769,"Associate",Assignments!$G$2:$G$769,"Active")=0)))," MissingLevel","")&amp;IF(AND($C201="Proposal",Deals!$H153=0.5)," DefaultProbability","")&amp;IF($F201="No"," NoDates","")&amp;IF(AND(ISNUMBER($H201),$H201&gt;=Settings!$B$20)," Stale","")))</f>
        <v/>
      </c>
    </row>
    <row r="202">
      <c r="A202" s="16">
        <f>IF(Deals!$A154="","",Deals!$A154)</f>
        <v/>
      </c>
      <c r="B202" s="16">
        <f>IF($A202="","",Deals!$C154)</f>
        <v/>
      </c>
      <c r="C202" s="16">
        <f>IF($A202="","",Deals!$F154)</f>
        <v/>
      </c>
      <c r="D202" s="21">
        <f>IF($A202="","",Deals!$H154)</f>
        <v/>
      </c>
      <c r="E202" s="17">
        <f>IF($A202="","",Deals!$Q154)</f>
        <v/>
      </c>
      <c r="F202" s="16">
        <f>IF($A202="","",IF(AND(Deals!$I154&lt;&gt;"",Deals!$J154&lt;&gt;""),"Yes","No"))</f>
        <v/>
      </c>
      <c r="G202" s="22">
        <f>IF($A202="","",Deals!$Z154)</f>
        <v/>
      </c>
      <c r="H202" s="23">
        <f>IF(OR($A202="",$G202=""),"",INT((Settings!$B$19-$G202)/7))</f>
        <v/>
      </c>
      <c r="I202" s="24">
        <f>IF(OR($A202="",NOT(OR(Deals!$F154="Active",Deals!$F154="Proposal"))),"",TRIM(IF($E202=0," Unstaffed","")&amp;IF(IF(Deals!$U154="",FALSE,OR(AND(IFERROR(INDEX(Templates!$B$3:$B$10,MATCH(Deals!$U154,Templates!$A$3:$A$10,0)),0)&gt;0,COUNTIFS(Assignments!$C$2:$C$769,$A202,Assignments!$F$2:$F$769,"Partner",Assignments!$G$2:$G$769,"Active")=0),AND(IFERROR(INDEX(Templates!$C$3:$C$10,MATCH(Deals!$U154,Templates!$A$3:$A$10,0)),0)&gt;0,COUNTIFS(Assignments!$C$2:$C$769,$A202,Assignments!$F$2:$F$769,"MD",Assignments!$G$2:$G$769,"Active")=0),AND(IFERROR(INDEX(Templates!$D$3:$D$10,MATCH(Deals!$U154,Templates!$A$3:$A$10,0)),0)&gt;0,COUNTIFS(Assignments!$C$2:$C$769,$A202,Assignments!$F$2:$F$769,"Director",Assignments!$G$2:$G$769,"Active")=0),AND(IFERROR(INDEX(Templates!$E$3:$E$10,MATCH(Deals!$U154,Templates!$A$3:$A$10,0)),0)&gt;0,COUNTIFS(Assignments!$C$2:$C$769,$A202,Assignments!$F$2:$F$769,"VP",Assignments!$G$2:$G$769,"Active")=0),AND(IFERROR(INDEX(Templates!$F$3:$F$10,MATCH(Deals!$U154,Templates!$A$3:$A$10,0)),0)&gt;0,COUNTIFS(Assignments!$C$2:$C$769,$A202,Assignments!$F$2:$F$769,"Senior Associate",Assignments!$G$2:$G$769,"Active")=0),AND(IFERROR(INDEX(Templates!$G$3:$G$10,MATCH(Deals!$U154,Templates!$A$3:$A$10,0)),0)&gt;0,COUNTIFS(Assignments!$C$2:$C$769,$A202,Assignments!$F$2:$F$769,"Renewable Specialist",Assignments!$G$2:$G$769,"Active")=0),AND(IFERROR(INDEX(Templates!$H$3:$H$10,MATCH(Deals!$U154,Templates!$A$3:$A$10,0)),0)&gt;0,COUNTIFS(Assignments!$C$2:$C$769,$A202,Assignments!$F$2:$F$769,"Associate",Assignments!$G$2:$G$769,"Active")=0)))," MissingLevel","")&amp;IF(AND($C202="Proposal",Deals!$H154=0.5)," DefaultProbability","")&amp;IF($F202="No"," NoDates","")&amp;IF(AND(ISNUMBER($H202),$H202&gt;=Settings!$B$20)," Stale","")))</f>
        <v/>
      </c>
    </row>
    <row r="203">
      <c r="A203" s="16">
        <f>IF(Deals!$A155="","",Deals!$A155)</f>
        <v/>
      </c>
      <c r="B203" s="16">
        <f>IF($A203="","",Deals!$C155)</f>
        <v/>
      </c>
      <c r="C203" s="16">
        <f>IF($A203="","",Deals!$F155)</f>
        <v/>
      </c>
      <c r="D203" s="21">
        <f>IF($A203="","",Deals!$H155)</f>
        <v/>
      </c>
      <c r="E203" s="17">
        <f>IF($A203="","",Deals!$Q155)</f>
        <v/>
      </c>
      <c r="F203" s="16">
        <f>IF($A203="","",IF(AND(Deals!$I155&lt;&gt;"",Deals!$J155&lt;&gt;""),"Yes","No"))</f>
        <v/>
      </c>
      <c r="G203" s="22">
        <f>IF($A203="","",Deals!$Z155)</f>
        <v/>
      </c>
      <c r="H203" s="23">
        <f>IF(OR($A203="",$G203=""),"",INT((Settings!$B$19-$G203)/7))</f>
        <v/>
      </c>
      <c r="I203" s="24">
        <f>IF(OR($A203="",NOT(OR(Deals!$F155="Active",Deals!$F155="Proposal"))),"",TRIM(IF($E203=0," Unstaffed","")&amp;IF(IF(Deals!$U155="",FALSE,OR(AND(IFERROR(INDEX(Templates!$B$3:$B$10,MATCH(Deals!$U155,Templates!$A$3:$A$10,0)),0)&gt;0,COUNTIFS(Assignments!$C$2:$C$769,$A203,Assignments!$F$2:$F$769,"Partner",Assignments!$G$2:$G$769,"Active")=0),AND(IFERROR(INDEX(Templates!$C$3:$C$10,MATCH(Deals!$U155,Templates!$A$3:$A$10,0)),0)&gt;0,COUNTIFS(Assignments!$C$2:$C$769,$A203,Assignments!$F$2:$F$769,"MD",Assignments!$G$2:$G$769,"Active")=0),AND(IFERROR(INDEX(Templates!$D$3:$D$10,MATCH(Deals!$U155,Templates!$A$3:$A$10,0)),0)&gt;0,COUNTIFS(Assignments!$C$2:$C$769,$A203,Assignments!$F$2:$F$769,"Director",Assignments!$G$2:$G$769,"Active")=0),AND(IFERROR(INDEX(Templates!$E$3:$E$10,MATCH(Deals!$U155,Templates!$A$3:$A$10,0)),0)&gt;0,COUNTIFS(Assignments!$C$2:$C$769,$A203,Assignments!$F$2:$F$769,"VP",Assignments!$G$2:$G$769,"Active")=0),AND(IFERROR(INDEX(Templates!$F$3:$F$10,MATCH(Deals!$U155,Templates!$A$3:$A$10,0)),0)&gt;0,COUNTIFS(Assignments!$C$2:$C$769,$A203,Assignments!$F$2:$F$769,"Senior Associate",Assignments!$G$2:$G$769,"Active")=0),AND(IFERROR(INDEX(Templates!$G$3:$G$10,MATCH(Deals!$U155,Templates!$A$3:$A$10,0)),0)&gt;0,COUNTIFS(Assignments!$C$2:$C$769,$A203,Assignments!$F$2:$F$769,"Renewable Specialist",Assignments!$G$2:$G$769,"Active")=0),AND(IFERROR(INDEX(Templates!$H$3:$H$10,MATCH(Deals!$U155,Templates!$A$3:$A$10,0)),0)&gt;0,COUNTIFS(Assignments!$C$2:$C$769,$A203,Assignments!$F$2:$F$769,"Associate",Assignments!$G$2:$G$769,"Active")=0)))," MissingLevel","")&amp;IF(AND($C203="Proposal",Deals!$H155=0.5)," DefaultProbability","")&amp;IF($F203="No"," NoDates","")&amp;IF(AND(ISNUMBER($H203),$H203&gt;=Settings!$B$20)," Stale","")))</f>
        <v/>
      </c>
    </row>
    <row r="204">
      <c r="A204" s="16">
        <f>IF(Deals!$A156="","",Deals!$A156)</f>
        <v/>
      </c>
      <c r="B204" s="16">
        <f>IF($A204="","",Deals!$C156)</f>
        <v/>
      </c>
      <c r="C204" s="16">
        <f>IF($A204="","",Deals!$F156)</f>
        <v/>
      </c>
      <c r="D204" s="21">
        <f>IF($A204="","",Deals!$H156)</f>
        <v/>
      </c>
      <c r="E204" s="17">
        <f>IF($A204="","",Deals!$Q156)</f>
        <v/>
      </c>
      <c r="F204" s="16">
        <f>IF($A204="","",IF(AND(Deals!$I156&lt;&gt;"",Deals!$J156&lt;&gt;""),"Yes","No"))</f>
        <v/>
      </c>
      <c r="G204" s="22">
        <f>IF($A204="","",Deals!$Z156)</f>
        <v/>
      </c>
      <c r="H204" s="23">
        <f>IF(OR($A204="",$G204=""),"",INT((Settings!$B$19-$G204)/7))</f>
        <v/>
      </c>
      <c r="I204" s="24">
        <f>IF(OR($A204="",NOT(OR(Deals!$F156="Active",Deals!$F156="Proposal"))),"",TRIM(IF($E204=0," Unstaffed","")&amp;IF(IF(Deals!$U156="",FALSE,OR(AND(IFERROR(INDEX(Templates!$B$3:$B$10,MATCH(Deals!$U156,Templates!$A$3:$A$10,0)),0)&gt;0,COUNTIFS(Assignments!$C$2:$C$769,$A204,Assignments!$F$2:$F$769,"Partner",Assignments!$G$2:$G$769,"Active")=0),AND(IFERROR(INDEX(Templates!$C$3:$C$10,MATCH(Deals!$U156,Templates!$A$3:$A$10,0)),0)&gt;0,COUNTIFS(Assignments!$C$2:$C$769,$A204,Assignments!$F$2:$F$769,"MD",Assignments!$G$2:$G$769,"Active")=0),AND(IFERROR(INDEX(Templates!$D$3:$D$10,MATCH(Deals!$U156,Templates!$A$3:$A$10,0)),0)&gt;0,COUNTIFS(Assignments!$C$2:$C$769,$A204,Assignments!$F$2:$F$769,"Director",Assignments!$G$2:$G$769,"Active")=0),AND(IFERROR(INDEX(Templates!$E$3:$E$10,MATCH(Deals!$U156,Templates!$A$3:$A$10,0)),0)&gt;0,COUNTIFS(Assignments!$C$2:$C$769,$A204,Assignments!$F$2:$F$769,"VP",Assignments!$G$2:$G$769,"Active")=0),AND(IFERROR(INDEX(Templates!$F$3:$F$10,MATCH(Deals!$U156,Templates!$A$3:$A$10,0)),0)&gt;0,COUNTIFS(Assignments!$C$2:$C$769,$A204,Assignments!$F$2:$F$769,"Senior Associate",Assignments!$G$2:$G$769,"Active")=0),AND(IFERROR(INDEX(Templates!$G$3:$G$10,MATCH(Deals!$U156,Templates!$A$3:$A$10,0)),0)&gt;0,COUNTIFS(Assignments!$C$2:$C$769,$A204,Assignments!$F$2:$F$769,"Renewable Specialist",Assignments!$G$2:$G$769,"Active")=0),AND(IFERROR(INDEX(Templates!$H$3:$H$10,MATCH(Deals!$U156,Templates!$A$3:$A$10,0)),0)&gt;0,COUNTIFS(Assignments!$C$2:$C$769,$A204,Assignments!$F$2:$F$769,"Associate",Assignments!$G$2:$G$769,"Active")=0)))," MissingLevel","")&amp;IF(AND($C204="Proposal",Deals!$H156=0.5)," DefaultProbability","")&amp;IF($F204="No"," NoDates","")&amp;IF(AND(ISNUMBER($H204),$H204&gt;=Settings!$B$20)," Stale","")))</f>
        <v/>
      </c>
    </row>
    <row r="205">
      <c r="A205" s="16">
        <f>IF(Deals!$A157="","",Deals!$A157)</f>
        <v/>
      </c>
      <c r="B205" s="16">
        <f>IF($A205="","",Deals!$C157)</f>
        <v/>
      </c>
      <c r="C205" s="16">
        <f>IF($A205="","",Deals!$F157)</f>
        <v/>
      </c>
      <c r="D205" s="21">
        <f>IF($A205="","",Deals!$H157)</f>
        <v/>
      </c>
      <c r="E205" s="17">
        <f>IF($A205="","",Deals!$Q157)</f>
        <v/>
      </c>
      <c r="F205" s="16">
        <f>IF($A205="","",IF(AND(Deals!$I157&lt;&gt;"",Deals!$J157&lt;&gt;""),"Yes","No"))</f>
        <v/>
      </c>
      <c r="G205" s="22">
        <f>IF($A205="","",Deals!$Z157)</f>
        <v/>
      </c>
      <c r="H205" s="23">
        <f>IF(OR($A205="",$G205=""),"",INT((Settings!$B$19-$G205)/7))</f>
        <v/>
      </c>
      <c r="I205" s="24">
        <f>IF(OR($A205="",NOT(OR(Deals!$F157="Active",Deals!$F157="Proposal"))),"",TRIM(IF($E205=0," Unstaffed","")&amp;IF(IF(Deals!$U157="",FALSE,OR(AND(IFERROR(INDEX(Templates!$B$3:$B$10,MATCH(Deals!$U157,Templates!$A$3:$A$10,0)),0)&gt;0,COUNTIFS(Assignments!$C$2:$C$769,$A205,Assignments!$F$2:$F$769,"Partner",Assignments!$G$2:$G$769,"Active")=0),AND(IFERROR(INDEX(Templates!$C$3:$C$10,MATCH(Deals!$U157,Templates!$A$3:$A$10,0)),0)&gt;0,COUNTIFS(Assignments!$C$2:$C$769,$A205,Assignments!$F$2:$F$769,"MD",Assignments!$G$2:$G$769,"Active")=0),AND(IFERROR(INDEX(Templates!$D$3:$D$10,MATCH(Deals!$U157,Templates!$A$3:$A$10,0)),0)&gt;0,COUNTIFS(Assignments!$C$2:$C$769,$A205,Assignments!$F$2:$F$769,"Director",Assignments!$G$2:$G$769,"Active")=0),AND(IFERROR(INDEX(Templates!$E$3:$E$10,MATCH(Deals!$U157,Templates!$A$3:$A$10,0)),0)&gt;0,COUNTIFS(Assignments!$C$2:$C$769,$A205,Assignments!$F$2:$F$769,"VP",Assignments!$G$2:$G$769,"Active")=0),AND(IFERROR(INDEX(Templates!$F$3:$F$10,MATCH(Deals!$U157,Templates!$A$3:$A$10,0)),0)&gt;0,COUNTIFS(Assignments!$C$2:$C$769,$A205,Assignments!$F$2:$F$769,"Senior Associate",Assignments!$G$2:$G$769,"Active")=0),AND(IFERROR(INDEX(Templates!$G$3:$G$10,MATCH(Deals!$U157,Templates!$A$3:$A$10,0)),0)&gt;0,COUNTIFS(Assignments!$C$2:$C$769,$A205,Assignments!$F$2:$F$769,"Renewable Specialist",Assignments!$G$2:$G$769,"Active")=0),AND(IFERROR(INDEX(Templates!$H$3:$H$10,MATCH(Deals!$U157,Templates!$A$3:$A$10,0)),0)&gt;0,COUNTIFS(Assignments!$C$2:$C$769,$A205,Assignments!$F$2:$F$769,"Associate",Assignments!$G$2:$G$769,"Active")=0)))," MissingLevel","")&amp;IF(AND($C205="Proposal",Deals!$H157=0.5)," DefaultProbability","")&amp;IF($F205="No"," NoDates","")&amp;IF(AND(ISNUMBER($H205),$H205&gt;=Settings!$B$20)," Stale","")))</f>
        <v/>
      </c>
    </row>
    <row r="206">
      <c r="A206" s="16">
        <f>IF(Deals!$A158="","",Deals!$A158)</f>
        <v/>
      </c>
      <c r="B206" s="16">
        <f>IF($A206="","",Deals!$C158)</f>
        <v/>
      </c>
      <c r="C206" s="16">
        <f>IF($A206="","",Deals!$F158)</f>
        <v/>
      </c>
      <c r="D206" s="21">
        <f>IF($A206="","",Deals!$H158)</f>
        <v/>
      </c>
      <c r="E206" s="17">
        <f>IF($A206="","",Deals!$Q158)</f>
        <v/>
      </c>
      <c r="F206" s="16">
        <f>IF($A206="","",IF(AND(Deals!$I158&lt;&gt;"",Deals!$J158&lt;&gt;""),"Yes","No"))</f>
        <v/>
      </c>
      <c r="G206" s="22">
        <f>IF($A206="","",Deals!$Z158)</f>
        <v/>
      </c>
      <c r="H206" s="23">
        <f>IF(OR($A206="",$G206=""),"",INT((Settings!$B$19-$G206)/7))</f>
        <v/>
      </c>
      <c r="I206" s="24">
        <f>IF(OR($A206="",NOT(OR(Deals!$F158="Active",Deals!$F158="Proposal"))),"",TRIM(IF($E206=0," Unstaffed","")&amp;IF(IF(Deals!$U158="",FALSE,OR(AND(IFERROR(INDEX(Templates!$B$3:$B$10,MATCH(Deals!$U158,Templates!$A$3:$A$10,0)),0)&gt;0,COUNTIFS(Assignments!$C$2:$C$769,$A206,Assignments!$F$2:$F$769,"Partner",Assignments!$G$2:$G$769,"Active")=0),AND(IFERROR(INDEX(Templates!$C$3:$C$10,MATCH(Deals!$U158,Templates!$A$3:$A$10,0)),0)&gt;0,COUNTIFS(Assignments!$C$2:$C$769,$A206,Assignments!$F$2:$F$769,"MD",Assignments!$G$2:$G$769,"Active")=0),AND(IFERROR(INDEX(Templates!$D$3:$D$10,MATCH(Deals!$U158,Templates!$A$3:$A$10,0)),0)&gt;0,COUNTIFS(Assignments!$C$2:$C$769,$A206,Assignments!$F$2:$F$769,"Director",Assignments!$G$2:$G$769,"Active")=0),AND(IFERROR(INDEX(Templates!$E$3:$E$10,MATCH(Deals!$U158,Templates!$A$3:$A$10,0)),0)&gt;0,COUNTIFS(Assignments!$C$2:$C$769,$A206,Assignments!$F$2:$F$769,"VP",Assignments!$G$2:$G$769,"Active")=0),AND(IFERROR(INDEX(Templates!$F$3:$F$10,MATCH(Deals!$U158,Templates!$A$3:$A$10,0)),0)&gt;0,COUNTIFS(Assignments!$C$2:$C$769,$A206,Assignments!$F$2:$F$769,"Senior Associate",Assignments!$G$2:$G$769,"Active")=0),AND(IFERROR(INDEX(Templates!$G$3:$G$10,MATCH(Deals!$U158,Templates!$A$3:$A$10,0)),0)&gt;0,COUNTIFS(Assignments!$C$2:$C$769,$A206,Assignments!$F$2:$F$769,"Renewable Specialist",Assignments!$G$2:$G$769,"Active")=0),AND(IFERROR(INDEX(Templates!$H$3:$H$10,MATCH(Deals!$U158,Templates!$A$3:$A$10,0)),0)&gt;0,COUNTIFS(Assignments!$C$2:$C$769,$A206,Assignments!$F$2:$F$769,"Associate",Assignments!$G$2:$G$769,"Active")=0)))," MissingLevel","")&amp;IF(AND($C206="Proposal",Deals!$H158=0.5)," DefaultProbability","")&amp;IF($F206="No"," NoDates","")&amp;IF(AND(ISNUMBER($H206),$H206&gt;=Settings!$B$20)," Stale","")))</f>
        <v/>
      </c>
    </row>
    <row r="207">
      <c r="A207" s="16">
        <f>IF(Deals!$A159="","",Deals!$A159)</f>
        <v/>
      </c>
      <c r="B207" s="16">
        <f>IF($A207="","",Deals!$C159)</f>
        <v/>
      </c>
      <c r="C207" s="16">
        <f>IF($A207="","",Deals!$F159)</f>
        <v/>
      </c>
      <c r="D207" s="21">
        <f>IF($A207="","",Deals!$H159)</f>
        <v/>
      </c>
      <c r="E207" s="17">
        <f>IF($A207="","",Deals!$Q159)</f>
        <v/>
      </c>
      <c r="F207" s="16">
        <f>IF($A207="","",IF(AND(Deals!$I159&lt;&gt;"",Deals!$J159&lt;&gt;""),"Yes","No"))</f>
        <v/>
      </c>
      <c r="G207" s="22">
        <f>IF($A207="","",Deals!$Z159)</f>
        <v/>
      </c>
      <c r="H207" s="23">
        <f>IF(OR($A207="",$G207=""),"",INT((Settings!$B$19-$G207)/7))</f>
        <v/>
      </c>
      <c r="I207" s="24">
        <f>IF(OR($A207="",NOT(OR(Deals!$F159="Active",Deals!$F159="Proposal"))),"",TRIM(IF($E207=0," Unstaffed","")&amp;IF(IF(Deals!$U159="",FALSE,OR(AND(IFERROR(INDEX(Templates!$B$3:$B$10,MATCH(Deals!$U159,Templates!$A$3:$A$10,0)),0)&gt;0,COUNTIFS(Assignments!$C$2:$C$769,$A207,Assignments!$F$2:$F$769,"Partner",Assignments!$G$2:$G$769,"Active")=0),AND(IFERROR(INDEX(Templates!$C$3:$C$10,MATCH(Deals!$U159,Templates!$A$3:$A$10,0)),0)&gt;0,COUNTIFS(Assignments!$C$2:$C$769,$A207,Assignments!$F$2:$F$769,"MD",Assignments!$G$2:$G$769,"Active")=0),AND(IFERROR(INDEX(Templates!$D$3:$D$10,MATCH(Deals!$U159,Templates!$A$3:$A$10,0)),0)&gt;0,COUNTIFS(Assignments!$C$2:$C$769,$A207,Assignments!$F$2:$F$769,"Director",Assignments!$G$2:$G$769,"Active")=0),AND(IFERROR(INDEX(Templates!$E$3:$E$10,MATCH(Deals!$U159,Templates!$A$3:$A$10,0)),0)&gt;0,COUNTIFS(Assignments!$C$2:$C$769,$A207,Assignments!$F$2:$F$769,"VP",Assignments!$G$2:$G$769,"Active")=0),AND(IFERROR(INDEX(Templates!$F$3:$F$10,MATCH(Deals!$U159,Templates!$A$3:$A$10,0)),0)&gt;0,COUNTIFS(Assignments!$C$2:$C$769,$A207,Assignments!$F$2:$F$769,"Senior Associate",Assignments!$G$2:$G$769,"Active")=0),AND(IFERROR(INDEX(Templates!$G$3:$G$10,MATCH(Deals!$U159,Templates!$A$3:$A$10,0)),0)&gt;0,COUNTIFS(Assignments!$C$2:$C$769,$A207,Assignments!$F$2:$F$769,"Renewable Specialist",Assignments!$G$2:$G$769,"Active")=0),AND(IFERROR(INDEX(Templates!$H$3:$H$10,MATCH(Deals!$U159,Templates!$A$3:$A$10,0)),0)&gt;0,COUNTIFS(Assignments!$C$2:$C$769,$A207,Assignments!$F$2:$F$769,"Associate",Assignments!$G$2:$G$769,"Active")=0)))," MissingLevel","")&amp;IF(AND($C207="Proposal",Deals!$H159=0.5)," DefaultProbability","")&amp;IF($F207="No"," NoDates","")&amp;IF(AND(ISNUMBER($H207),$H207&gt;=Settings!$B$20)," Stale","")))</f>
        <v/>
      </c>
    </row>
    <row r="208">
      <c r="A208" s="16">
        <f>IF(Deals!$A160="","",Deals!$A160)</f>
        <v/>
      </c>
      <c r="B208" s="16">
        <f>IF($A208="","",Deals!$C160)</f>
        <v/>
      </c>
      <c r="C208" s="16">
        <f>IF($A208="","",Deals!$F160)</f>
        <v/>
      </c>
      <c r="D208" s="21">
        <f>IF($A208="","",Deals!$H160)</f>
        <v/>
      </c>
      <c r="E208" s="17">
        <f>IF($A208="","",Deals!$Q160)</f>
        <v/>
      </c>
      <c r="F208" s="16">
        <f>IF($A208="","",IF(AND(Deals!$I160&lt;&gt;"",Deals!$J160&lt;&gt;""),"Yes","No"))</f>
        <v/>
      </c>
      <c r="G208" s="22">
        <f>IF($A208="","",Deals!$Z160)</f>
        <v/>
      </c>
      <c r="H208" s="23">
        <f>IF(OR($A208="",$G208=""),"",INT((Settings!$B$19-$G208)/7))</f>
        <v/>
      </c>
      <c r="I208" s="24">
        <f>IF(OR($A208="",NOT(OR(Deals!$F160="Active",Deals!$F160="Proposal"))),"",TRIM(IF($E208=0," Unstaffed","")&amp;IF(IF(Deals!$U160="",FALSE,OR(AND(IFERROR(INDEX(Templates!$B$3:$B$10,MATCH(Deals!$U160,Templates!$A$3:$A$10,0)),0)&gt;0,COUNTIFS(Assignments!$C$2:$C$769,$A208,Assignments!$F$2:$F$769,"Partner",Assignments!$G$2:$G$769,"Active")=0),AND(IFERROR(INDEX(Templates!$C$3:$C$10,MATCH(Deals!$U160,Templates!$A$3:$A$10,0)),0)&gt;0,COUNTIFS(Assignments!$C$2:$C$769,$A208,Assignments!$F$2:$F$769,"MD",Assignments!$G$2:$G$769,"Active")=0),AND(IFERROR(INDEX(Templates!$D$3:$D$10,MATCH(Deals!$U160,Templates!$A$3:$A$10,0)),0)&gt;0,COUNTIFS(Assignments!$C$2:$C$769,$A208,Assignments!$F$2:$F$769,"Director",Assignments!$G$2:$G$769,"Active")=0),AND(IFERROR(INDEX(Templates!$E$3:$E$10,MATCH(Deals!$U160,Templates!$A$3:$A$10,0)),0)&gt;0,COUNTIFS(Assignments!$C$2:$C$769,$A208,Assignments!$F$2:$F$769,"VP",Assignments!$G$2:$G$769,"Active")=0),AND(IFERROR(INDEX(Templates!$F$3:$F$10,MATCH(Deals!$U160,Templates!$A$3:$A$10,0)),0)&gt;0,COUNTIFS(Assignments!$C$2:$C$769,$A208,Assignments!$F$2:$F$769,"Senior Associate",Assignments!$G$2:$G$769,"Active")=0),AND(IFERROR(INDEX(Templates!$G$3:$G$10,MATCH(Deals!$U160,Templates!$A$3:$A$10,0)),0)&gt;0,COUNTIFS(Assignments!$C$2:$C$769,$A208,Assignments!$F$2:$F$769,"Renewable Specialist",Assignments!$G$2:$G$769,"Active")=0),AND(IFERROR(INDEX(Templates!$H$3:$H$10,MATCH(Deals!$U160,Templates!$A$3:$A$10,0)),0)&gt;0,COUNTIFS(Assignments!$C$2:$C$769,$A208,Assignments!$F$2:$F$769,"Associate",Assignments!$G$2:$G$769,"Active")=0)))," MissingLevel","")&amp;IF(AND($C208="Proposal",Deals!$H160=0.5)," DefaultProbability","")&amp;IF($F208="No"," NoDates","")&amp;IF(AND(ISNUMBER($H208),$H208&gt;=Settings!$B$20)," Stale","")))</f>
        <v/>
      </c>
    </row>
    <row r="209">
      <c r="A209" s="16">
        <f>IF(Deals!$A161="","",Deals!$A161)</f>
        <v/>
      </c>
      <c r="B209" s="16">
        <f>IF($A209="","",Deals!$C161)</f>
        <v/>
      </c>
      <c r="C209" s="16">
        <f>IF($A209="","",Deals!$F161)</f>
        <v/>
      </c>
      <c r="D209" s="21">
        <f>IF($A209="","",Deals!$H161)</f>
        <v/>
      </c>
      <c r="E209" s="17">
        <f>IF($A209="","",Deals!$Q161)</f>
        <v/>
      </c>
      <c r="F209" s="16">
        <f>IF($A209="","",IF(AND(Deals!$I161&lt;&gt;"",Deals!$J161&lt;&gt;""),"Yes","No"))</f>
        <v/>
      </c>
      <c r="G209" s="22">
        <f>IF($A209="","",Deals!$Z161)</f>
        <v/>
      </c>
      <c r="H209" s="23">
        <f>IF(OR($A209="",$G209=""),"",INT((Settings!$B$19-$G209)/7))</f>
        <v/>
      </c>
      <c r="I209" s="24">
        <f>IF(OR($A209="",NOT(OR(Deals!$F161="Active",Deals!$F161="Proposal"))),"",TRIM(IF($E209=0," Unstaffed","")&amp;IF(IF(Deals!$U161="",FALSE,OR(AND(IFERROR(INDEX(Templates!$B$3:$B$10,MATCH(Deals!$U161,Templates!$A$3:$A$10,0)),0)&gt;0,COUNTIFS(Assignments!$C$2:$C$769,$A209,Assignments!$F$2:$F$769,"Partner",Assignments!$G$2:$G$769,"Active")=0),AND(IFERROR(INDEX(Templates!$C$3:$C$10,MATCH(Deals!$U161,Templates!$A$3:$A$10,0)),0)&gt;0,COUNTIFS(Assignments!$C$2:$C$769,$A209,Assignments!$F$2:$F$769,"MD",Assignments!$G$2:$G$769,"Active")=0),AND(IFERROR(INDEX(Templates!$D$3:$D$10,MATCH(Deals!$U161,Templates!$A$3:$A$10,0)),0)&gt;0,COUNTIFS(Assignments!$C$2:$C$769,$A209,Assignments!$F$2:$F$769,"Director",Assignments!$G$2:$G$769,"Active")=0),AND(IFERROR(INDEX(Templates!$E$3:$E$10,MATCH(Deals!$U161,Templates!$A$3:$A$10,0)),0)&gt;0,COUNTIFS(Assignments!$C$2:$C$769,$A209,Assignments!$F$2:$F$769,"VP",Assignments!$G$2:$G$769,"Active")=0),AND(IFERROR(INDEX(Templates!$F$3:$F$10,MATCH(Deals!$U161,Templates!$A$3:$A$10,0)),0)&gt;0,COUNTIFS(Assignments!$C$2:$C$769,$A209,Assignments!$F$2:$F$769,"Senior Associate",Assignments!$G$2:$G$769,"Active")=0),AND(IFERROR(INDEX(Templates!$G$3:$G$10,MATCH(Deals!$U161,Templates!$A$3:$A$10,0)),0)&gt;0,COUNTIFS(Assignments!$C$2:$C$769,$A209,Assignments!$F$2:$F$769,"Renewable Specialist",Assignments!$G$2:$G$769,"Active")=0),AND(IFERROR(INDEX(Templates!$H$3:$H$10,MATCH(Deals!$U161,Templates!$A$3:$A$10,0)),0)&gt;0,COUNTIFS(Assignments!$C$2:$C$769,$A209,Assignments!$F$2:$F$769,"Associate",Assignments!$G$2:$G$769,"Active")=0)))," MissingLevel","")&amp;IF(AND($C209="Proposal",Deals!$H161=0.5)," DefaultProbability","")&amp;IF($F209="No"," NoDates","")&amp;IF(AND(ISNUMBER($H209),$H209&gt;=Settings!$B$20)," Stale","")))</f>
        <v/>
      </c>
    </row>
    <row r="210">
      <c r="A210" s="16">
        <f>IF(Deals!$A162="","",Deals!$A162)</f>
        <v/>
      </c>
      <c r="B210" s="16">
        <f>IF($A210="","",Deals!$C162)</f>
        <v/>
      </c>
      <c r="C210" s="16">
        <f>IF($A210="","",Deals!$F162)</f>
        <v/>
      </c>
      <c r="D210" s="21">
        <f>IF($A210="","",Deals!$H162)</f>
        <v/>
      </c>
      <c r="E210" s="17">
        <f>IF($A210="","",Deals!$Q162)</f>
        <v/>
      </c>
      <c r="F210" s="16">
        <f>IF($A210="","",IF(AND(Deals!$I162&lt;&gt;"",Deals!$J162&lt;&gt;""),"Yes","No"))</f>
        <v/>
      </c>
      <c r="G210" s="22">
        <f>IF($A210="","",Deals!$Z162)</f>
        <v/>
      </c>
      <c r="H210" s="23">
        <f>IF(OR($A210="",$G210=""),"",INT((Settings!$B$19-$G210)/7))</f>
        <v/>
      </c>
      <c r="I210" s="24">
        <f>IF(OR($A210="",NOT(OR(Deals!$F162="Active",Deals!$F162="Proposal"))),"",TRIM(IF($E210=0," Unstaffed","")&amp;IF(IF(Deals!$U162="",FALSE,OR(AND(IFERROR(INDEX(Templates!$B$3:$B$10,MATCH(Deals!$U162,Templates!$A$3:$A$10,0)),0)&gt;0,COUNTIFS(Assignments!$C$2:$C$769,$A210,Assignments!$F$2:$F$769,"Partner",Assignments!$G$2:$G$769,"Active")=0),AND(IFERROR(INDEX(Templates!$C$3:$C$10,MATCH(Deals!$U162,Templates!$A$3:$A$10,0)),0)&gt;0,COUNTIFS(Assignments!$C$2:$C$769,$A210,Assignments!$F$2:$F$769,"MD",Assignments!$G$2:$G$769,"Active")=0),AND(IFERROR(INDEX(Templates!$D$3:$D$10,MATCH(Deals!$U162,Templates!$A$3:$A$10,0)),0)&gt;0,COUNTIFS(Assignments!$C$2:$C$769,$A210,Assignments!$F$2:$F$769,"Director",Assignments!$G$2:$G$769,"Active")=0),AND(IFERROR(INDEX(Templates!$E$3:$E$10,MATCH(Deals!$U162,Templates!$A$3:$A$10,0)),0)&gt;0,COUNTIFS(Assignments!$C$2:$C$769,$A210,Assignments!$F$2:$F$769,"VP",Assignments!$G$2:$G$769,"Active")=0),AND(IFERROR(INDEX(Templates!$F$3:$F$10,MATCH(Deals!$U162,Templates!$A$3:$A$10,0)),0)&gt;0,COUNTIFS(Assignments!$C$2:$C$769,$A210,Assignments!$F$2:$F$769,"Senior Associate",Assignments!$G$2:$G$769,"Active")=0),AND(IFERROR(INDEX(Templates!$G$3:$G$10,MATCH(Deals!$U162,Templates!$A$3:$A$10,0)),0)&gt;0,COUNTIFS(Assignments!$C$2:$C$769,$A210,Assignments!$F$2:$F$769,"Renewable Specialist",Assignments!$G$2:$G$769,"Active")=0),AND(IFERROR(INDEX(Templates!$H$3:$H$10,MATCH(Deals!$U162,Templates!$A$3:$A$10,0)),0)&gt;0,COUNTIFS(Assignments!$C$2:$C$769,$A210,Assignments!$F$2:$F$769,"Associate",Assignments!$G$2:$G$769,"Active")=0)))," MissingLevel","")&amp;IF(AND($C210="Proposal",Deals!$H162=0.5)," DefaultProbability","")&amp;IF($F210="No"," NoDates","")&amp;IF(AND(ISNUMBER($H210),$H210&gt;=Settings!$B$20)," Stale","")))</f>
        <v/>
      </c>
    </row>
    <row r="211">
      <c r="A211" s="16">
        <f>IF(Deals!$A163="","",Deals!$A163)</f>
        <v/>
      </c>
      <c r="B211" s="16">
        <f>IF($A211="","",Deals!$C163)</f>
        <v/>
      </c>
      <c r="C211" s="16">
        <f>IF($A211="","",Deals!$F163)</f>
        <v/>
      </c>
      <c r="D211" s="21">
        <f>IF($A211="","",Deals!$H163)</f>
        <v/>
      </c>
      <c r="E211" s="17">
        <f>IF($A211="","",Deals!$Q163)</f>
        <v/>
      </c>
      <c r="F211" s="16">
        <f>IF($A211="","",IF(AND(Deals!$I163&lt;&gt;"",Deals!$J163&lt;&gt;""),"Yes","No"))</f>
        <v/>
      </c>
      <c r="G211" s="22">
        <f>IF($A211="","",Deals!$Z163)</f>
        <v/>
      </c>
      <c r="H211" s="23">
        <f>IF(OR($A211="",$G211=""),"",INT((Settings!$B$19-$G211)/7))</f>
        <v/>
      </c>
      <c r="I211" s="24">
        <f>IF(OR($A211="",NOT(OR(Deals!$F163="Active",Deals!$F163="Proposal"))),"",TRIM(IF($E211=0," Unstaffed","")&amp;IF(IF(Deals!$U163="",FALSE,OR(AND(IFERROR(INDEX(Templates!$B$3:$B$10,MATCH(Deals!$U163,Templates!$A$3:$A$10,0)),0)&gt;0,COUNTIFS(Assignments!$C$2:$C$769,$A211,Assignments!$F$2:$F$769,"Partner",Assignments!$G$2:$G$769,"Active")=0),AND(IFERROR(INDEX(Templates!$C$3:$C$10,MATCH(Deals!$U163,Templates!$A$3:$A$10,0)),0)&gt;0,COUNTIFS(Assignments!$C$2:$C$769,$A211,Assignments!$F$2:$F$769,"MD",Assignments!$G$2:$G$769,"Active")=0),AND(IFERROR(INDEX(Templates!$D$3:$D$10,MATCH(Deals!$U163,Templates!$A$3:$A$10,0)),0)&gt;0,COUNTIFS(Assignments!$C$2:$C$769,$A211,Assignments!$F$2:$F$769,"Director",Assignments!$G$2:$G$769,"Active")=0),AND(IFERROR(INDEX(Templates!$E$3:$E$10,MATCH(Deals!$U163,Templates!$A$3:$A$10,0)),0)&gt;0,COUNTIFS(Assignments!$C$2:$C$769,$A211,Assignments!$F$2:$F$769,"VP",Assignments!$G$2:$G$769,"Active")=0),AND(IFERROR(INDEX(Templates!$F$3:$F$10,MATCH(Deals!$U163,Templates!$A$3:$A$10,0)),0)&gt;0,COUNTIFS(Assignments!$C$2:$C$769,$A211,Assignments!$F$2:$F$769,"Senior Associate",Assignments!$G$2:$G$769,"Active")=0),AND(IFERROR(INDEX(Templates!$G$3:$G$10,MATCH(Deals!$U163,Templates!$A$3:$A$10,0)),0)&gt;0,COUNTIFS(Assignments!$C$2:$C$769,$A211,Assignments!$F$2:$F$769,"Renewable Specialist",Assignments!$G$2:$G$769,"Active")=0),AND(IFERROR(INDEX(Templates!$H$3:$H$10,MATCH(Deals!$U163,Templates!$A$3:$A$10,0)),0)&gt;0,COUNTIFS(Assignments!$C$2:$C$769,$A211,Assignments!$F$2:$F$769,"Associate",Assignments!$G$2:$G$769,"Active")=0)))," MissingLevel","")&amp;IF(AND($C211="Proposal",Deals!$H163=0.5)," DefaultProbability","")&amp;IF($F211="No"," NoDates","")&amp;IF(AND(ISNUMBER($H211),$H211&gt;=Settings!$B$20)," Stale","")))</f>
        <v/>
      </c>
    </row>
    <row r="212">
      <c r="A212" s="16">
        <f>IF(Deals!$A164="","",Deals!$A164)</f>
        <v/>
      </c>
      <c r="B212" s="16">
        <f>IF($A212="","",Deals!$C164)</f>
        <v/>
      </c>
      <c r="C212" s="16">
        <f>IF($A212="","",Deals!$F164)</f>
        <v/>
      </c>
      <c r="D212" s="21">
        <f>IF($A212="","",Deals!$H164)</f>
        <v/>
      </c>
      <c r="E212" s="17">
        <f>IF($A212="","",Deals!$Q164)</f>
        <v/>
      </c>
      <c r="F212" s="16">
        <f>IF($A212="","",IF(AND(Deals!$I164&lt;&gt;"",Deals!$J164&lt;&gt;""),"Yes","No"))</f>
        <v/>
      </c>
      <c r="G212" s="22">
        <f>IF($A212="","",Deals!$Z164)</f>
        <v/>
      </c>
      <c r="H212" s="23">
        <f>IF(OR($A212="",$G212=""),"",INT((Settings!$B$19-$G212)/7))</f>
        <v/>
      </c>
      <c r="I212" s="24">
        <f>IF(OR($A212="",NOT(OR(Deals!$F164="Active",Deals!$F164="Proposal"))),"",TRIM(IF($E212=0," Unstaffed","")&amp;IF(IF(Deals!$U164="",FALSE,OR(AND(IFERROR(INDEX(Templates!$B$3:$B$10,MATCH(Deals!$U164,Templates!$A$3:$A$10,0)),0)&gt;0,COUNTIFS(Assignments!$C$2:$C$769,$A212,Assignments!$F$2:$F$769,"Partner",Assignments!$G$2:$G$769,"Active")=0),AND(IFERROR(INDEX(Templates!$C$3:$C$10,MATCH(Deals!$U164,Templates!$A$3:$A$10,0)),0)&gt;0,COUNTIFS(Assignments!$C$2:$C$769,$A212,Assignments!$F$2:$F$769,"MD",Assignments!$G$2:$G$769,"Active")=0),AND(IFERROR(INDEX(Templates!$D$3:$D$10,MATCH(Deals!$U164,Templates!$A$3:$A$10,0)),0)&gt;0,COUNTIFS(Assignments!$C$2:$C$769,$A212,Assignments!$F$2:$F$769,"Director",Assignments!$G$2:$G$769,"Active")=0),AND(IFERROR(INDEX(Templates!$E$3:$E$10,MATCH(Deals!$U164,Templates!$A$3:$A$10,0)),0)&gt;0,COUNTIFS(Assignments!$C$2:$C$769,$A212,Assignments!$F$2:$F$769,"VP",Assignments!$G$2:$G$769,"Active")=0),AND(IFERROR(INDEX(Templates!$F$3:$F$10,MATCH(Deals!$U164,Templates!$A$3:$A$10,0)),0)&gt;0,COUNTIFS(Assignments!$C$2:$C$769,$A212,Assignments!$F$2:$F$769,"Senior Associate",Assignments!$G$2:$G$769,"Active")=0),AND(IFERROR(INDEX(Templates!$G$3:$G$10,MATCH(Deals!$U164,Templates!$A$3:$A$10,0)),0)&gt;0,COUNTIFS(Assignments!$C$2:$C$769,$A212,Assignments!$F$2:$F$769,"Renewable Specialist",Assignments!$G$2:$G$769,"Active")=0),AND(IFERROR(INDEX(Templates!$H$3:$H$10,MATCH(Deals!$U164,Templates!$A$3:$A$10,0)),0)&gt;0,COUNTIFS(Assignments!$C$2:$C$769,$A212,Assignments!$F$2:$F$769,"Associate",Assignments!$G$2:$G$769,"Active")=0)))," MissingLevel","")&amp;IF(AND($C212="Proposal",Deals!$H164=0.5)," DefaultProbability","")&amp;IF($F212="No"," NoDates","")&amp;IF(AND(ISNUMBER($H212),$H212&gt;=Settings!$B$20)," Stale","")))</f>
        <v/>
      </c>
    </row>
    <row r="213">
      <c r="A213" s="16">
        <f>IF(Deals!$A165="","",Deals!$A165)</f>
        <v/>
      </c>
      <c r="B213" s="16">
        <f>IF($A213="","",Deals!$C165)</f>
        <v/>
      </c>
      <c r="C213" s="16">
        <f>IF($A213="","",Deals!$F165)</f>
        <v/>
      </c>
      <c r="D213" s="21">
        <f>IF($A213="","",Deals!$H165)</f>
        <v/>
      </c>
      <c r="E213" s="17">
        <f>IF($A213="","",Deals!$Q165)</f>
        <v/>
      </c>
      <c r="F213" s="16">
        <f>IF($A213="","",IF(AND(Deals!$I165&lt;&gt;"",Deals!$J165&lt;&gt;""),"Yes","No"))</f>
        <v/>
      </c>
      <c r="G213" s="22">
        <f>IF($A213="","",Deals!$Z165)</f>
        <v/>
      </c>
      <c r="H213" s="23">
        <f>IF(OR($A213="",$G213=""),"",INT((Settings!$B$19-$G213)/7))</f>
        <v/>
      </c>
      <c r="I213" s="24">
        <f>IF(OR($A213="",NOT(OR(Deals!$F165="Active",Deals!$F165="Proposal"))),"",TRIM(IF($E213=0," Unstaffed","")&amp;IF(IF(Deals!$U165="",FALSE,OR(AND(IFERROR(INDEX(Templates!$B$3:$B$10,MATCH(Deals!$U165,Templates!$A$3:$A$10,0)),0)&gt;0,COUNTIFS(Assignments!$C$2:$C$769,$A213,Assignments!$F$2:$F$769,"Partner",Assignments!$G$2:$G$769,"Active")=0),AND(IFERROR(INDEX(Templates!$C$3:$C$10,MATCH(Deals!$U165,Templates!$A$3:$A$10,0)),0)&gt;0,COUNTIFS(Assignments!$C$2:$C$769,$A213,Assignments!$F$2:$F$769,"MD",Assignments!$G$2:$G$769,"Active")=0),AND(IFERROR(INDEX(Templates!$D$3:$D$10,MATCH(Deals!$U165,Templates!$A$3:$A$10,0)),0)&gt;0,COUNTIFS(Assignments!$C$2:$C$769,$A213,Assignments!$F$2:$F$769,"Director",Assignments!$G$2:$G$769,"Active")=0),AND(IFERROR(INDEX(Templates!$E$3:$E$10,MATCH(Deals!$U165,Templates!$A$3:$A$10,0)),0)&gt;0,COUNTIFS(Assignments!$C$2:$C$769,$A213,Assignments!$F$2:$F$769,"VP",Assignments!$G$2:$G$769,"Active")=0),AND(IFERROR(INDEX(Templates!$F$3:$F$10,MATCH(Deals!$U165,Templates!$A$3:$A$10,0)),0)&gt;0,COUNTIFS(Assignments!$C$2:$C$769,$A213,Assignments!$F$2:$F$769,"Senior Associate",Assignments!$G$2:$G$769,"Active")=0),AND(IFERROR(INDEX(Templates!$G$3:$G$10,MATCH(Deals!$U165,Templates!$A$3:$A$10,0)),0)&gt;0,COUNTIFS(Assignments!$C$2:$C$769,$A213,Assignments!$F$2:$F$769,"Renewable Specialist",Assignments!$G$2:$G$769,"Active")=0),AND(IFERROR(INDEX(Templates!$H$3:$H$10,MATCH(Deals!$U165,Templates!$A$3:$A$10,0)),0)&gt;0,COUNTIFS(Assignments!$C$2:$C$769,$A213,Assignments!$F$2:$F$769,"Associate",Assignments!$G$2:$G$769,"Active")=0)))," MissingLevel","")&amp;IF(AND($C213="Proposal",Deals!$H165=0.5)," DefaultProbability","")&amp;IF($F213="No"," NoDates","")&amp;IF(AND(ISNUMBER($H213),$H213&gt;=Settings!$B$20)," Stale","")))</f>
        <v/>
      </c>
    </row>
    <row r="214">
      <c r="A214" s="16">
        <f>IF(Deals!$A166="","",Deals!$A166)</f>
        <v/>
      </c>
      <c r="B214" s="16">
        <f>IF($A214="","",Deals!$C166)</f>
        <v/>
      </c>
      <c r="C214" s="16">
        <f>IF($A214="","",Deals!$F166)</f>
        <v/>
      </c>
      <c r="D214" s="21">
        <f>IF($A214="","",Deals!$H166)</f>
        <v/>
      </c>
      <c r="E214" s="17">
        <f>IF($A214="","",Deals!$Q166)</f>
        <v/>
      </c>
      <c r="F214" s="16">
        <f>IF($A214="","",IF(AND(Deals!$I166&lt;&gt;"",Deals!$J166&lt;&gt;""),"Yes","No"))</f>
        <v/>
      </c>
      <c r="G214" s="22">
        <f>IF($A214="","",Deals!$Z166)</f>
        <v/>
      </c>
      <c r="H214" s="23">
        <f>IF(OR($A214="",$G214=""),"",INT((Settings!$B$19-$G214)/7))</f>
        <v/>
      </c>
      <c r="I214" s="24">
        <f>IF(OR($A214="",NOT(OR(Deals!$F166="Active",Deals!$F166="Proposal"))),"",TRIM(IF($E214=0," Unstaffed","")&amp;IF(IF(Deals!$U166="",FALSE,OR(AND(IFERROR(INDEX(Templates!$B$3:$B$10,MATCH(Deals!$U166,Templates!$A$3:$A$10,0)),0)&gt;0,COUNTIFS(Assignments!$C$2:$C$769,$A214,Assignments!$F$2:$F$769,"Partner",Assignments!$G$2:$G$769,"Active")=0),AND(IFERROR(INDEX(Templates!$C$3:$C$10,MATCH(Deals!$U166,Templates!$A$3:$A$10,0)),0)&gt;0,COUNTIFS(Assignments!$C$2:$C$769,$A214,Assignments!$F$2:$F$769,"MD",Assignments!$G$2:$G$769,"Active")=0),AND(IFERROR(INDEX(Templates!$D$3:$D$10,MATCH(Deals!$U166,Templates!$A$3:$A$10,0)),0)&gt;0,COUNTIFS(Assignments!$C$2:$C$769,$A214,Assignments!$F$2:$F$769,"Director",Assignments!$G$2:$G$769,"Active")=0),AND(IFERROR(INDEX(Templates!$E$3:$E$10,MATCH(Deals!$U166,Templates!$A$3:$A$10,0)),0)&gt;0,COUNTIFS(Assignments!$C$2:$C$769,$A214,Assignments!$F$2:$F$769,"VP",Assignments!$G$2:$G$769,"Active")=0),AND(IFERROR(INDEX(Templates!$F$3:$F$10,MATCH(Deals!$U166,Templates!$A$3:$A$10,0)),0)&gt;0,COUNTIFS(Assignments!$C$2:$C$769,$A214,Assignments!$F$2:$F$769,"Senior Associate",Assignments!$G$2:$G$769,"Active")=0),AND(IFERROR(INDEX(Templates!$G$3:$G$10,MATCH(Deals!$U166,Templates!$A$3:$A$10,0)),0)&gt;0,COUNTIFS(Assignments!$C$2:$C$769,$A214,Assignments!$F$2:$F$769,"Renewable Specialist",Assignments!$G$2:$G$769,"Active")=0),AND(IFERROR(INDEX(Templates!$H$3:$H$10,MATCH(Deals!$U166,Templates!$A$3:$A$10,0)),0)&gt;0,COUNTIFS(Assignments!$C$2:$C$769,$A214,Assignments!$F$2:$F$769,"Associate",Assignments!$G$2:$G$769,"Active")=0)))," MissingLevel","")&amp;IF(AND($C214="Proposal",Deals!$H166=0.5)," DefaultProbability","")&amp;IF($F214="No"," NoDates","")&amp;IF(AND(ISNUMBER($H214),$H214&gt;=Settings!$B$20)," Stale","")))</f>
        <v/>
      </c>
    </row>
    <row r="215">
      <c r="A215" s="16">
        <f>IF(Deals!$A167="","",Deals!$A167)</f>
        <v/>
      </c>
      <c r="B215" s="16">
        <f>IF($A215="","",Deals!$C167)</f>
        <v/>
      </c>
      <c r="C215" s="16">
        <f>IF($A215="","",Deals!$F167)</f>
        <v/>
      </c>
      <c r="D215" s="21">
        <f>IF($A215="","",Deals!$H167)</f>
        <v/>
      </c>
      <c r="E215" s="17">
        <f>IF($A215="","",Deals!$Q167)</f>
        <v/>
      </c>
      <c r="F215" s="16">
        <f>IF($A215="","",IF(AND(Deals!$I167&lt;&gt;"",Deals!$J167&lt;&gt;""),"Yes","No"))</f>
        <v/>
      </c>
      <c r="G215" s="22">
        <f>IF($A215="","",Deals!$Z167)</f>
        <v/>
      </c>
      <c r="H215" s="23">
        <f>IF(OR($A215="",$G215=""),"",INT((Settings!$B$19-$G215)/7))</f>
        <v/>
      </c>
      <c r="I215" s="24">
        <f>IF(OR($A215="",NOT(OR(Deals!$F167="Active",Deals!$F167="Proposal"))),"",TRIM(IF($E215=0," Unstaffed","")&amp;IF(IF(Deals!$U167="",FALSE,OR(AND(IFERROR(INDEX(Templates!$B$3:$B$10,MATCH(Deals!$U167,Templates!$A$3:$A$10,0)),0)&gt;0,COUNTIFS(Assignments!$C$2:$C$769,$A215,Assignments!$F$2:$F$769,"Partner",Assignments!$G$2:$G$769,"Active")=0),AND(IFERROR(INDEX(Templates!$C$3:$C$10,MATCH(Deals!$U167,Templates!$A$3:$A$10,0)),0)&gt;0,COUNTIFS(Assignments!$C$2:$C$769,$A215,Assignments!$F$2:$F$769,"MD",Assignments!$G$2:$G$769,"Active")=0),AND(IFERROR(INDEX(Templates!$D$3:$D$10,MATCH(Deals!$U167,Templates!$A$3:$A$10,0)),0)&gt;0,COUNTIFS(Assignments!$C$2:$C$769,$A215,Assignments!$F$2:$F$769,"Director",Assignments!$G$2:$G$769,"Active")=0),AND(IFERROR(INDEX(Templates!$E$3:$E$10,MATCH(Deals!$U167,Templates!$A$3:$A$10,0)),0)&gt;0,COUNTIFS(Assignments!$C$2:$C$769,$A215,Assignments!$F$2:$F$769,"VP",Assignments!$G$2:$G$769,"Active")=0),AND(IFERROR(INDEX(Templates!$F$3:$F$10,MATCH(Deals!$U167,Templates!$A$3:$A$10,0)),0)&gt;0,COUNTIFS(Assignments!$C$2:$C$769,$A215,Assignments!$F$2:$F$769,"Senior Associate",Assignments!$G$2:$G$769,"Active")=0),AND(IFERROR(INDEX(Templates!$G$3:$G$10,MATCH(Deals!$U167,Templates!$A$3:$A$10,0)),0)&gt;0,COUNTIFS(Assignments!$C$2:$C$769,$A215,Assignments!$F$2:$F$769,"Renewable Specialist",Assignments!$G$2:$G$769,"Active")=0),AND(IFERROR(INDEX(Templates!$H$3:$H$10,MATCH(Deals!$U167,Templates!$A$3:$A$10,0)),0)&gt;0,COUNTIFS(Assignments!$C$2:$C$769,$A215,Assignments!$F$2:$F$769,"Associate",Assignments!$G$2:$G$769,"Active")=0)))," MissingLevel","")&amp;IF(AND($C215="Proposal",Deals!$H167=0.5)," DefaultProbability","")&amp;IF($F215="No"," NoDates","")&amp;IF(AND(ISNUMBER($H215),$H215&gt;=Settings!$B$20)," Stale","")))</f>
        <v/>
      </c>
    </row>
    <row r="216">
      <c r="A216" s="16">
        <f>IF(Deals!$A168="","",Deals!$A168)</f>
        <v/>
      </c>
      <c r="B216" s="16">
        <f>IF($A216="","",Deals!$C168)</f>
        <v/>
      </c>
      <c r="C216" s="16">
        <f>IF($A216="","",Deals!$F168)</f>
        <v/>
      </c>
      <c r="D216" s="21">
        <f>IF($A216="","",Deals!$H168)</f>
        <v/>
      </c>
      <c r="E216" s="17">
        <f>IF($A216="","",Deals!$Q168)</f>
        <v/>
      </c>
      <c r="F216" s="16">
        <f>IF($A216="","",IF(AND(Deals!$I168&lt;&gt;"",Deals!$J168&lt;&gt;""),"Yes","No"))</f>
        <v/>
      </c>
      <c r="G216" s="22">
        <f>IF($A216="","",Deals!$Z168)</f>
        <v/>
      </c>
      <c r="H216" s="23">
        <f>IF(OR($A216="",$G216=""),"",INT((Settings!$B$19-$G216)/7))</f>
        <v/>
      </c>
      <c r="I216" s="24">
        <f>IF(OR($A216="",NOT(OR(Deals!$F168="Active",Deals!$F168="Proposal"))),"",TRIM(IF($E216=0," Unstaffed","")&amp;IF(IF(Deals!$U168="",FALSE,OR(AND(IFERROR(INDEX(Templates!$B$3:$B$10,MATCH(Deals!$U168,Templates!$A$3:$A$10,0)),0)&gt;0,COUNTIFS(Assignments!$C$2:$C$769,$A216,Assignments!$F$2:$F$769,"Partner",Assignments!$G$2:$G$769,"Active")=0),AND(IFERROR(INDEX(Templates!$C$3:$C$10,MATCH(Deals!$U168,Templates!$A$3:$A$10,0)),0)&gt;0,COUNTIFS(Assignments!$C$2:$C$769,$A216,Assignments!$F$2:$F$769,"MD",Assignments!$G$2:$G$769,"Active")=0),AND(IFERROR(INDEX(Templates!$D$3:$D$10,MATCH(Deals!$U168,Templates!$A$3:$A$10,0)),0)&gt;0,COUNTIFS(Assignments!$C$2:$C$769,$A216,Assignments!$F$2:$F$769,"Director",Assignments!$G$2:$G$769,"Active")=0),AND(IFERROR(INDEX(Templates!$E$3:$E$10,MATCH(Deals!$U168,Templates!$A$3:$A$10,0)),0)&gt;0,COUNTIFS(Assignments!$C$2:$C$769,$A216,Assignments!$F$2:$F$769,"VP",Assignments!$G$2:$G$769,"Active")=0),AND(IFERROR(INDEX(Templates!$F$3:$F$10,MATCH(Deals!$U168,Templates!$A$3:$A$10,0)),0)&gt;0,COUNTIFS(Assignments!$C$2:$C$769,$A216,Assignments!$F$2:$F$769,"Senior Associate",Assignments!$G$2:$G$769,"Active")=0),AND(IFERROR(INDEX(Templates!$G$3:$G$10,MATCH(Deals!$U168,Templates!$A$3:$A$10,0)),0)&gt;0,COUNTIFS(Assignments!$C$2:$C$769,$A216,Assignments!$F$2:$F$769,"Renewable Specialist",Assignments!$G$2:$G$769,"Active")=0),AND(IFERROR(INDEX(Templates!$H$3:$H$10,MATCH(Deals!$U168,Templates!$A$3:$A$10,0)),0)&gt;0,COUNTIFS(Assignments!$C$2:$C$769,$A216,Assignments!$F$2:$F$769,"Associate",Assignments!$G$2:$G$769,"Active")=0)))," MissingLevel","")&amp;IF(AND($C216="Proposal",Deals!$H168=0.5)," DefaultProbability","")&amp;IF($F216="No"," NoDates","")&amp;IF(AND(ISNUMBER($H216),$H216&gt;=Settings!$B$20)," Stale","")))</f>
        <v/>
      </c>
    </row>
    <row r="217">
      <c r="A217" s="16">
        <f>IF(Deals!$A169="","",Deals!$A169)</f>
        <v/>
      </c>
      <c r="B217" s="16">
        <f>IF($A217="","",Deals!$C169)</f>
        <v/>
      </c>
      <c r="C217" s="16">
        <f>IF($A217="","",Deals!$F169)</f>
        <v/>
      </c>
      <c r="D217" s="21">
        <f>IF($A217="","",Deals!$H169)</f>
        <v/>
      </c>
      <c r="E217" s="17">
        <f>IF($A217="","",Deals!$Q169)</f>
        <v/>
      </c>
      <c r="F217" s="16">
        <f>IF($A217="","",IF(AND(Deals!$I169&lt;&gt;"",Deals!$J169&lt;&gt;""),"Yes","No"))</f>
        <v/>
      </c>
      <c r="G217" s="22">
        <f>IF($A217="","",Deals!$Z169)</f>
        <v/>
      </c>
      <c r="H217" s="23">
        <f>IF(OR($A217="",$G217=""),"",INT((Settings!$B$19-$G217)/7))</f>
        <v/>
      </c>
      <c r="I217" s="24">
        <f>IF(OR($A217="",NOT(OR(Deals!$F169="Active",Deals!$F169="Proposal"))),"",TRIM(IF($E217=0," Unstaffed","")&amp;IF(IF(Deals!$U169="",FALSE,OR(AND(IFERROR(INDEX(Templates!$B$3:$B$10,MATCH(Deals!$U169,Templates!$A$3:$A$10,0)),0)&gt;0,COUNTIFS(Assignments!$C$2:$C$769,$A217,Assignments!$F$2:$F$769,"Partner",Assignments!$G$2:$G$769,"Active")=0),AND(IFERROR(INDEX(Templates!$C$3:$C$10,MATCH(Deals!$U169,Templates!$A$3:$A$10,0)),0)&gt;0,COUNTIFS(Assignments!$C$2:$C$769,$A217,Assignments!$F$2:$F$769,"MD",Assignments!$G$2:$G$769,"Active")=0),AND(IFERROR(INDEX(Templates!$D$3:$D$10,MATCH(Deals!$U169,Templates!$A$3:$A$10,0)),0)&gt;0,COUNTIFS(Assignments!$C$2:$C$769,$A217,Assignments!$F$2:$F$769,"Director",Assignments!$G$2:$G$769,"Active")=0),AND(IFERROR(INDEX(Templates!$E$3:$E$10,MATCH(Deals!$U169,Templates!$A$3:$A$10,0)),0)&gt;0,COUNTIFS(Assignments!$C$2:$C$769,$A217,Assignments!$F$2:$F$769,"VP",Assignments!$G$2:$G$769,"Active")=0),AND(IFERROR(INDEX(Templates!$F$3:$F$10,MATCH(Deals!$U169,Templates!$A$3:$A$10,0)),0)&gt;0,COUNTIFS(Assignments!$C$2:$C$769,$A217,Assignments!$F$2:$F$769,"Senior Associate",Assignments!$G$2:$G$769,"Active")=0),AND(IFERROR(INDEX(Templates!$G$3:$G$10,MATCH(Deals!$U169,Templates!$A$3:$A$10,0)),0)&gt;0,COUNTIFS(Assignments!$C$2:$C$769,$A217,Assignments!$F$2:$F$769,"Renewable Specialist",Assignments!$G$2:$G$769,"Active")=0),AND(IFERROR(INDEX(Templates!$H$3:$H$10,MATCH(Deals!$U169,Templates!$A$3:$A$10,0)),0)&gt;0,COUNTIFS(Assignments!$C$2:$C$769,$A217,Assignments!$F$2:$F$769,"Associate",Assignments!$G$2:$G$769,"Active")=0)))," MissingLevel","")&amp;IF(AND($C217="Proposal",Deals!$H169=0.5)," DefaultProbability","")&amp;IF($F217="No"," NoDates","")&amp;IF(AND(ISNUMBER($H217),$H217&gt;=Settings!$B$20)," Stale","")))</f>
        <v/>
      </c>
    </row>
    <row r="218">
      <c r="A218" s="16">
        <f>IF(Deals!$A170="","",Deals!$A170)</f>
        <v/>
      </c>
      <c r="B218" s="16">
        <f>IF($A218="","",Deals!$C170)</f>
        <v/>
      </c>
      <c r="C218" s="16">
        <f>IF($A218="","",Deals!$F170)</f>
        <v/>
      </c>
      <c r="D218" s="21">
        <f>IF($A218="","",Deals!$H170)</f>
        <v/>
      </c>
      <c r="E218" s="17">
        <f>IF($A218="","",Deals!$Q170)</f>
        <v/>
      </c>
      <c r="F218" s="16">
        <f>IF($A218="","",IF(AND(Deals!$I170&lt;&gt;"",Deals!$J170&lt;&gt;""),"Yes","No"))</f>
        <v/>
      </c>
      <c r="G218" s="22">
        <f>IF($A218="","",Deals!$Z170)</f>
        <v/>
      </c>
      <c r="H218" s="23">
        <f>IF(OR($A218="",$G218=""),"",INT((Settings!$B$19-$G218)/7))</f>
        <v/>
      </c>
      <c r="I218" s="24">
        <f>IF(OR($A218="",NOT(OR(Deals!$F170="Active",Deals!$F170="Proposal"))),"",TRIM(IF($E218=0," Unstaffed","")&amp;IF(IF(Deals!$U170="",FALSE,OR(AND(IFERROR(INDEX(Templates!$B$3:$B$10,MATCH(Deals!$U170,Templates!$A$3:$A$10,0)),0)&gt;0,COUNTIFS(Assignments!$C$2:$C$769,$A218,Assignments!$F$2:$F$769,"Partner",Assignments!$G$2:$G$769,"Active")=0),AND(IFERROR(INDEX(Templates!$C$3:$C$10,MATCH(Deals!$U170,Templates!$A$3:$A$10,0)),0)&gt;0,COUNTIFS(Assignments!$C$2:$C$769,$A218,Assignments!$F$2:$F$769,"MD",Assignments!$G$2:$G$769,"Active")=0),AND(IFERROR(INDEX(Templates!$D$3:$D$10,MATCH(Deals!$U170,Templates!$A$3:$A$10,0)),0)&gt;0,COUNTIFS(Assignments!$C$2:$C$769,$A218,Assignments!$F$2:$F$769,"Director",Assignments!$G$2:$G$769,"Active")=0),AND(IFERROR(INDEX(Templates!$E$3:$E$10,MATCH(Deals!$U170,Templates!$A$3:$A$10,0)),0)&gt;0,COUNTIFS(Assignments!$C$2:$C$769,$A218,Assignments!$F$2:$F$769,"VP",Assignments!$G$2:$G$769,"Active")=0),AND(IFERROR(INDEX(Templates!$F$3:$F$10,MATCH(Deals!$U170,Templates!$A$3:$A$10,0)),0)&gt;0,COUNTIFS(Assignments!$C$2:$C$769,$A218,Assignments!$F$2:$F$769,"Senior Associate",Assignments!$G$2:$G$769,"Active")=0),AND(IFERROR(INDEX(Templates!$G$3:$G$10,MATCH(Deals!$U170,Templates!$A$3:$A$10,0)),0)&gt;0,COUNTIFS(Assignments!$C$2:$C$769,$A218,Assignments!$F$2:$F$769,"Renewable Specialist",Assignments!$G$2:$G$769,"Active")=0),AND(IFERROR(INDEX(Templates!$H$3:$H$10,MATCH(Deals!$U170,Templates!$A$3:$A$10,0)),0)&gt;0,COUNTIFS(Assignments!$C$2:$C$769,$A218,Assignments!$F$2:$F$769,"Associate",Assignments!$G$2:$G$769,"Active")=0)))," MissingLevel","")&amp;IF(AND($C218="Proposal",Deals!$H170=0.5)," DefaultProbability","")&amp;IF($F218="No"," NoDates","")&amp;IF(AND(ISNUMBER($H218),$H218&gt;=Settings!$B$20)," Stale","")))</f>
        <v/>
      </c>
    </row>
    <row r="219">
      <c r="A219" s="16">
        <f>IF(Deals!$A171="","",Deals!$A171)</f>
        <v/>
      </c>
      <c r="B219" s="16">
        <f>IF($A219="","",Deals!$C171)</f>
        <v/>
      </c>
      <c r="C219" s="16">
        <f>IF($A219="","",Deals!$F171)</f>
        <v/>
      </c>
      <c r="D219" s="21">
        <f>IF($A219="","",Deals!$H171)</f>
        <v/>
      </c>
      <c r="E219" s="17">
        <f>IF($A219="","",Deals!$Q171)</f>
        <v/>
      </c>
      <c r="F219" s="16">
        <f>IF($A219="","",IF(AND(Deals!$I171&lt;&gt;"",Deals!$J171&lt;&gt;""),"Yes","No"))</f>
        <v/>
      </c>
      <c r="G219" s="22">
        <f>IF($A219="","",Deals!$Z171)</f>
        <v/>
      </c>
      <c r="H219" s="23">
        <f>IF(OR($A219="",$G219=""),"",INT((Settings!$B$19-$G219)/7))</f>
        <v/>
      </c>
      <c r="I219" s="24">
        <f>IF(OR($A219="",NOT(OR(Deals!$F171="Active",Deals!$F171="Proposal"))),"",TRIM(IF($E219=0," Unstaffed","")&amp;IF(IF(Deals!$U171="",FALSE,OR(AND(IFERROR(INDEX(Templates!$B$3:$B$10,MATCH(Deals!$U171,Templates!$A$3:$A$10,0)),0)&gt;0,COUNTIFS(Assignments!$C$2:$C$769,$A219,Assignments!$F$2:$F$769,"Partner",Assignments!$G$2:$G$769,"Active")=0),AND(IFERROR(INDEX(Templates!$C$3:$C$10,MATCH(Deals!$U171,Templates!$A$3:$A$10,0)),0)&gt;0,COUNTIFS(Assignments!$C$2:$C$769,$A219,Assignments!$F$2:$F$769,"MD",Assignments!$G$2:$G$769,"Active")=0),AND(IFERROR(INDEX(Templates!$D$3:$D$10,MATCH(Deals!$U171,Templates!$A$3:$A$10,0)),0)&gt;0,COUNTIFS(Assignments!$C$2:$C$769,$A219,Assignments!$F$2:$F$769,"Director",Assignments!$G$2:$G$769,"Active")=0),AND(IFERROR(INDEX(Templates!$E$3:$E$10,MATCH(Deals!$U171,Templates!$A$3:$A$10,0)),0)&gt;0,COUNTIFS(Assignments!$C$2:$C$769,$A219,Assignments!$F$2:$F$769,"VP",Assignments!$G$2:$G$769,"Active")=0),AND(IFERROR(INDEX(Templates!$F$3:$F$10,MATCH(Deals!$U171,Templates!$A$3:$A$10,0)),0)&gt;0,COUNTIFS(Assignments!$C$2:$C$769,$A219,Assignments!$F$2:$F$769,"Senior Associate",Assignments!$G$2:$G$769,"Active")=0),AND(IFERROR(INDEX(Templates!$G$3:$G$10,MATCH(Deals!$U171,Templates!$A$3:$A$10,0)),0)&gt;0,COUNTIFS(Assignments!$C$2:$C$769,$A219,Assignments!$F$2:$F$769,"Renewable Specialist",Assignments!$G$2:$G$769,"Active")=0),AND(IFERROR(INDEX(Templates!$H$3:$H$10,MATCH(Deals!$U171,Templates!$A$3:$A$10,0)),0)&gt;0,COUNTIFS(Assignments!$C$2:$C$769,$A219,Assignments!$F$2:$F$769,"Associate",Assignments!$G$2:$G$769,"Active")=0)))," MissingLevel","")&amp;IF(AND($C219="Proposal",Deals!$H171=0.5)," DefaultProbability","")&amp;IF($F219="No"," NoDates","")&amp;IF(AND(ISNUMBER($H219),$H219&gt;=Settings!$B$20)," Stale","")))</f>
        <v/>
      </c>
    </row>
    <row r="220">
      <c r="A220" s="16">
        <f>IF(Deals!$A172="","",Deals!$A172)</f>
        <v/>
      </c>
      <c r="B220" s="16">
        <f>IF($A220="","",Deals!$C172)</f>
        <v/>
      </c>
      <c r="C220" s="16">
        <f>IF($A220="","",Deals!$F172)</f>
        <v/>
      </c>
      <c r="D220" s="21">
        <f>IF($A220="","",Deals!$H172)</f>
        <v/>
      </c>
      <c r="E220" s="17">
        <f>IF($A220="","",Deals!$Q172)</f>
        <v/>
      </c>
      <c r="F220" s="16">
        <f>IF($A220="","",IF(AND(Deals!$I172&lt;&gt;"",Deals!$J172&lt;&gt;""),"Yes","No"))</f>
        <v/>
      </c>
      <c r="G220" s="22">
        <f>IF($A220="","",Deals!$Z172)</f>
        <v/>
      </c>
      <c r="H220" s="23">
        <f>IF(OR($A220="",$G220=""),"",INT((Settings!$B$19-$G220)/7))</f>
        <v/>
      </c>
      <c r="I220" s="24">
        <f>IF(OR($A220="",NOT(OR(Deals!$F172="Active",Deals!$F172="Proposal"))),"",TRIM(IF($E220=0," Unstaffed","")&amp;IF(IF(Deals!$U172="",FALSE,OR(AND(IFERROR(INDEX(Templates!$B$3:$B$10,MATCH(Deals!$U172,Templates!$A$3:$A$10,0)),0)&gt;0,COUNTIFS(Assignments!$C$2:$C$769,$A220,Assignments!$F$2:$F$769,"Partner",Assignments!$G$2:$G$769,"Active")=0),AND(IFERROR(INDEX(Templates!$C$3:$C$10,MATCH(Deals!$U172,Templates!$A$3:$A$10,0)),0)&gt;0,COUNTIFS(Assignments!$C$2:$C$769,$A220,Assignments!$F$2:$F$769,"MD",Assignments!$G$2:$G$769,"Active")=0),AND(IFERROR(INDEX(Templates!$D$3:$D$10,MATCH(Deals!$U172,Templates!$A$3:$A$10,0)),0)&gt;0,COUNTIFS(Assignments!$C$2:$C$769,$A220,Assignments!$F$2:$F$769,"Director",Assignments!$G$2:$G$769,"Active")=0),AND(IFERROR(INDEX(Templates!$E$3:$E$10,MATCH(Deals!$U172,Templates!$A$3:$A$10,0)),0)&gt;0,COUNTIFS(Assignments!$C$2:$C$769,$A220,Assignments!$F$2:$F$769,"VP",Assignments!$G$2:$G$769,"Active")=0),AND(IFERROR(INDEX(Templates!$F$3:$F$10,MATCH(Deals!$U172,Templates!$A$3:$A$10,0)),0)&gt;0,COUNTIFS(Assignments!$C$2:$C$769,$A220,Assignments!$F$2:$F$769,"Senior Associate",Assignments!$G$2:$G$769,"Active")=0),AND(IFERROR(INDEX(Templates!$G$3:$G$10,MATCH(Deals!$U172,Templates!$A$3:$A$10,0)),0)&gt;0,COUNTIFS(Assignments!$C$2:$C$769,$A220,Assignments!$F$2:$F$769,"Renewable Specialist",Assignments!$G$2:$G$769,"Active")=0),AND(IFERROR(INDEX(Templates!$H$3:$H$10,MATCH(Deals!$U172,Templates!$A$3:$A$10,0)),0)&gt;0,COUNTIFS(Assignments!$C$2:$C$769,$A220,Assignments!$F$2:$F$769,"Associate",Assignments!$G$2:$G$769,"Active")=0)))," MissingLevel","")&amp;IF(AND($C220="Proposal",Deals!$H172=0.5)," DefaultProbability","")&amp;IF($F220="No"," NoDates","")&amp;IF(AND(ISNUMBER($H220),$H220&gt;=Settings!$B$20)," Stale","")))</f>
        <v/>
      </c>
    </row>
    <row r="221">
      <c r="A221" s="16">
        <f>IF(Deals!$A173="","",Deals!$A173)</f>
        <v/>
      </c>
      <c r="B221" s="16">
        <f>IF($A221="","",Deals!$C173)</f>
        <v/>
      </c>
      <c r="C221" s="16">
        <f>IF($A221="","",Deals!$F173)</f>
        <v/>
      </c>
      <c r="D221" s="21">
        <f>IF($A221="","",Deals!$H173)</f>
        <v/>
      </c>
      <c r="E221" s="17">
        <f>IF($A221="","",Deals!$Q173)</f>
        <v/>
      </c>
      <c r="F221" s="16">
        <f>IF($A221="","",IF(AND(Deals!$I173&lt;&gt;"",Deals!$J173&lt;&gt;""),"Yes","No"))</f>
        <v/>
      </c>
      <c r="G221" s="22">
        <f>IF($A221="","",Deals!$Z173)</f>
        <v/>
      </c>
      <c r="H221" s="23">
        <f>IF(OR($A221="",$G221=""),"",INT((Settings!$B$19-$G221)/7))</f>
        <v/>
      </c>
      <c r="I221" s="24">
        <f>IF(OR($A221="",NOT(OR(Deals!$F173="Active",Deals!$F173="Proposal"))),"",TRIM(IF($E221=0," Unstaffed","")&amp;IF(IF(Deals!$U173="",FALSE,OR(AND(IFERROR(INDEX(Templates!$B$3:$B$10,MATCH(Deals!$U173,Templates!$A$3:$A$10,0)),0)&gt;0,COUNTIFS(Assignments!$C$2:$C$769,$A221,Assignments!$F$2:$F$769,"Partner",Assignments!$G$2:$G$769,"Active")=0),AND(IFERROR(INDEX(Templates!$C$3:$C$10,MATCH(Deals!$U173,Templates!$A$3:$A$10,0)),0)&gt;0,COUNTIFS(Assignments!$C$2:$C$769,$A221,Assignments!$F$2:$F$769,"MD",Assignments!$G$2:$G$769,"Active")=0),AND(IFERROR(INDEX(Templates!$D$3:$D$10,MATCH(Deals!$U173,Templates!$A$3:$A$10,0)),0)&gt;0,COUNTIFS(Assignments!$C$2:$C$769,$A221,Assignments!$F$2:$F$769,"Director",Assignments!$G$2:$G$769,"Active")=0),AND(IFERROR(INDEX(Templates!$E$3:$E$10,MATCH(Deals!$U173,Templates!$A$3:$A$10,0)),0)&gt;0,COUNTIFS(Assignments!$C$2:$C$769,$A221,Assignments!$F$2:$F$769,"VP",Assignments!$G$2:$G$769,"Active")=0),AND(IFERROR(INDEX(Templates!$F$3:$F$10,MATCH(Deals!$U173,Templates!$A$3:$A$10,0)),0)&gt;0,COUNTIFS(Assignments!$C$2:$C$769,$A221,Assignments!$F$2:$F$769,"Senior Associate",Assignments!$G$2:$G$769,"Active")=0),AND(IFERROR(INDEX(Templates!$G$3:$G$10,MATCH(Deals!$U173,Templates!$A$3:$A$10,0)),0)&gt;0,COUNTIFS(Assignments!$C$2:$C$769,$A221,Assignments!$F$2:$F$769,"Renewable Specialist",Assignments!$G$2:$G$769,"Active")=0),AND(IFERROR(INDEX(Templates!$H$3:$H$10,MATCH(Deals!$U173,Templates!$A$3:$A$10,0)),0)&gt;0,COUNTIFS(Assignments!$C$2:$C$769,$A221,Assignments!$F$2:$F$769,"Associate",Assignments!$G$2:$G$769,"Active")=0)))," MissingLevel","")&amp;IF(AND($C221="Proposal",Deals!$H173=0.5)," DefaultProbability","")&amp;IF($F221="No"," NoDates","")&amp;IF(AND(ISNUMBER($H221),$H221&gt;=Settings!$B$20)," Stale","")))</f>
        <v/>
      </c>
    </row>
    <row r="222">
      <c r="A222" s="16">
        <f>IF(Deals!$A174="","",Deals!$A174)</f>
        <v/>
      </c>
      <c r="B222" s="16">
        <f>IF($A222="","",Deals!$C174)</f>
        <v/>
      </c>
      <c r="C222" s="16">
        <f>IF($A222="","",Deals!$F174)</f>
        <v/>
      </c>
      <c r="D222" s="21">
        <f>IF($A222="","",Deals!$H174)</f>
        <v/>
      </c>
      <c r="E222" s="17">
        <f>IF($A222="","",Deals!$Q174)</f>
        <v/>
      </c>
      <c r="F222" s="16">
        <f>IF($A222="","",IF(AND(Deals!$I174&lt;&gt;"",Deals!$J174&lt;&gt;""),"Yes","No"))</f>
        <v/>
      </c>
      <c r="G222" s="22">
        <f>IF($A222="","",Deals!$Z174)</f>
        <v/>
      </c>
      <c r="H222" s="23">
        <f>IF(OR($A222="",$G222=""),"",INT((Settings!$B$19-$G222)/7))</f>
        <v/>
      </c>
      <c r="I222" s="24">
        <f>IF(OR($A222="",NOT(OR(Deals!$F174="Active",Deals!$F174="Proposal"))),"",TRIM(IF($E222=0," Unstaffed","")&amp;IF(IF(Deals!$U174="",FALSE,OR(AND(IFERROR(INDEX(Templates!$B$3:$B$10,MATCH(Deals!$U174,Templates!$A$3:$A$10,0)),0)&gt;0,COUNTIFS(Assignments!$C$2:$C$769,$A222,Assignments!$F$2:$F$769,"Partner",Assignments!$G$2:$G$769,"Active")=0),AND(IFERROR(INDEX(Templates!$C$3:$C$10,MATCH(Deals!$U174,Templates!$A$3:$A$10,0)),0)&gt;0,COUNTIFS(Assignments!$C$2:$C$769,$A222,Assignments!$F$2:$F$769,"MD",Assignments!$G$2:$G$769,"Active")=0),AND(IFERROR(INDEX(Templates!$D$3:$D$10,MATCH(Deals!$U174,Templates!$A$3:$A$10,0)),0)&gt;0,COUNTIFS(Assignments!$C$2:$C$769,$A222,Assignments!$F$2:$F$769,"Director",Assignments!$G$2:$G$769,"Active")=0),AND(IFERROR(INDEX(Templates!$E$3:$E$10,MATCH(Deals!$U174,Templates!$A$3:$A$10,0)),0)&gt;0,COUNTIFS(Assignments!$C$2:$C$769,$A222,Assignments!$F$2:$F$769,"VP",Assignments!$G$2:$G$769,"Active")=0),AND(IFERROR(INDEX(Templates!$F$3:$F$10,MATCH(Deals!$U174,Templates!$A$3:$A$10,0)),0)&gt;0,COUNTIFS(Assignments!$C$2:$C$769,$A222,Assignments!$F$2:$F$769,"Senior Associate",Assignments!$G$2:$G$769,"Active")=0),AND(IFERROR(INDEX(Templates!$G$3:$G$10,MATCH(Deals!$U174,Templates!$A$3:$A$10,0)),0)&gt;0,COUNTIFS(Assignments!$C$2:$C$769,$A222,Assignments!$F$2:$F$769,"Renewable Specialist",Assignments!$G$2:$G$769,"Active")=0),AND(IFERROR(INDEX(Templates!$H$3:$H$10,MATCH(Deals!$U174,Templates!$A$3:$A$10,0)),0)&gt;0,COUNTIFS(Assignments!$C$2:$C$769,$A222,Assignments!$F$2:$F$769,"Associate",Assignments!$G$2:$G$769,"Active")=0)))," MissingLevel","")&amp;IF(AND($C222="Proposal",Deals!$H174=0.5)," DefaultProbability","")&amp;IF($F222="No"," NoDates","")&amp;IF(AND(ISNUMBER($H222),$H222&gt;=Settings!$B$20)," Stale","")))</f>
        <v/>
      </c>
    </row>
    <row r="223">
      <c r="A223" s="16">
        <f>IF(Deals!$A175="","",Deals!$A175)</f>
        <v/>
      </c>
      <c r="B223" s="16">
        <f>IF($A223="","",Deals!$C175)</f>
        <v/>
      </c>
      <c r="C223" s="16">
        <f>IF($A223="","",Deals!$F175)</f>
        <v/>
      </c>
      <c r="D223" s="21">
        <f>IF($A223="","",Deals!$H175)</f>
        <v/>
      </c>
      <c r="E223" s="17">
        <f>IF($A223="","",Deals!$Q175)</f>
        <v/>
      </c>
      <c r="F223" s="16">
        <f>IF($A223="","",IF(AND(Deals!$I175&lt;&gt;"",Deals!$J175&lt;&gt;""),"Yes","No"))</f>
        <v/>
      </c>
      <c r="G223" s="22">
        <f>IF($A223="","",Deals!$Z175)</f>
        <v/>
      </c>
      <c r="H223" s="23">
        <f>IF(OR($A223="",$G223=""),"",INT((Settings!$B$19-$G223)/7))</f>
        <v/>
      </c>
      <c r="I223" s="24">
        <f>IF(OR($A223="",NOT(OR(Deals!$F175="Active",Deals!$F175="Proposal"))),"",TRIM(IF($E223=0," Unstaffed","")&amp;IF(IF(Deals!$U175="",FALSE,OR(AND(IFERROR(INDEX(Templates!$B$3:$B$10,MATCH(Deals!$U175,Templates!$A$3:$A$10,0)),0)&gt;0,COUNTIFS(Assignments!$C$2:$C$769,$A223,Assignments!$F$2:$F$769,"Partner",Assignments!$G$2:$G$769,"Active")=0),AND(IFERROR(INDEX(Templates!$C$3:$C$10,MATCH(Deals!$U175,Templates!$A$3:$A$10,0)),0)&gt;0,COUNTIFS(Assignments!$C$2:$C$769,$A223,Assignments!$F$2:$F$769,"MD",Assignments!$G$2:$G$769,"Active")=0),AND(IFERROR(INDEX(Templates!$D$3:$D$10,MATCH(Deals!$U175,Templates!$A$3:$A$10,0)),0)&gt;0,COUNTIFS(Assignments!$C$2:$C$769,$A223,Assignments!$F$2:$F$769,"Director",Assignments!$G$2:$G$769,"Active")=0),AND(IFERROR(INDEX(Templates!$E$3:$E$10,MATCH(Deals!$U175,Templates!$A$3:$A$10,0)),0)&gt;0,COUNTIFS(Assignments!$C$2:$C$769,$A223,Assignments!$F$2:$F$769,"VP",Assignments!$G$2:$G$769,"Active")=0),AND(IFERROR(INDEX(Templates!$F$3:$F$10,MATCH(Deals!$U175,Templates!$A$3:$A$10,0)),0)&gt;0,COUNTIFS(Assignments!$C$2:$C$769,$A223,Assignments!$F$2:$F$769,"Senior Associate",Assignments!$G$2:$G$769,"Active")=0),AND(IFERROR(INDEX(Templates!$G$3:$G$10,MATCH(Deals!$U175,Templates!$A$3:$A$10,0)),0)&gt;0,COUNTIFS(Assignments!$C$2:$C$769,$A223,Assignments!$F$2:$F$769,"Renewable Specialist",Assignments!$G$2:$G$769,"Active")=0),AND(IFERROR(INDEX(Templates!$H$3:$H$10,MATCH(Deals!$U175,Templates!$A$3:$A$10,0)),0)&gt;0,COUNTIFS(Assignments!$C$2:$C$769,$A223,Assignments!$F$2:$F$769,"Associate",Assignments!$G$2:$G$769,"Active")=0)))," MissingLevel","")&amp;IF(AND($C223="Proposal",Deals!$H175=0.5)," DefaultProbability","")&amp;IF($F223="No"," NoDates","")&amp;IF(AND(ISNUMBER($H223),$H223&gt;=Settings!$B$20)," Stale","")))</f>
        <v/>
      </c>
    </row>
    <row r="224">
      <c r="A224" s="16">
        <f>IF(Deals!$A176="","",Deals!$A176)</f>
        <v/>
      </c>
      <c r="B224" s="16">
        <f>IF($A224="","",Deals!$C176)</f>
        <v/>
      </c>
      <c r="C224" s="16">
        <f>IF($A224="","",Deals!$F176)</f>
        <v/>
      </c>
      <c r="D224" s="21">
        <f>IF($A224="","",Deals!$H176)</f>
        <v/>
      </c>
      <c r="E224" s="17">
        <f>IF($A224="","",Deals!$Q176)</f>
        <v/>
      </c>
      <c r="F224" s="16">
        <f>IF($A224="","",IF(AND(Deals!$I176&lt;&gt;"",Deals!$J176&lt;&gt;""),"Yes","No"))</f>
        <v/>
      </c>
      <c r="G224" s="22">
        <f>IF($A224="","",Deals!$Z176)</f>
        <v/>
      </c>
      <c r="H224" s="23">
        <f>IF(OR($A224="",$G224=""),"",INT((Settings!$B$19-$G224)/7))</f>
        <v/>
      </c>
      <c r="I224" s="24">
        <f>IF(OR($A224="",NOT(OR(Deals!$F176="Active",Deals!$F176="Proposal"))),"",TRIM(IF($E224=0," Unstaffed","")&amp;IF(IF(Deals!$U176="",FALSE,OR(AND(IFERROR(INDEX(Templates!$B$3:$B$10,MATCH(Deals!$U176,Templates!$A$3:$A$10,0)),0)&gt;0,COUNTIFS(Assignments!$C$2:$C$769,$A224,Assignments!$F$2:$F$769,"Partner",Assignments!$G$2:$G$769,"Active")=0),AND(IFERROR(INDEX(Templates!$C$3:$C$10,MATCH(Deals!$U176,Templates!$A$3:$A$10,0)),0)&gt;0,COUNTIFS(Assignments!$C$2:$C$769,$A224,Assignments!$F$2:$F$769,"MD",Assignments!$G$2:$G$769,"Active")=0),AND(IFERROR(INDEX(Templates!$D$3:$D$10,MATCH(Deals!$U176,Templates!$A$3:$A$10,0)),0)&gt;0,COUNTIFS(Assignments!$C$2:$C$769,$A224,Assignments!$F$2:$F$769,"Director",Assignments!$G$2:$G$769,"Active")=0),AND(IFERROR(INDEX(Templates!$E$3:$E$10,MATCH(Deals!$U176,Templates!$A$3:$A$10,0)),0)&gt;0,COUNTIFS(Assignments!$C$2:$C$769,$A224,Assignments!$F$2:$F$769,"VP",Assignments!$G$2:$G$769,"Active")=0),AND(IFERROR(INDEX(Templates!$F$3:$F$10,MATCH(Deals!$U176,Templates!$A$3:$A$10,0)),0)&gt;0,COUNTIFS(Assignments!$C$2:$C$769,$A224,Assignments!$F$2:$F$769,"Senior Associate",Assignments!$G$2:$G$769,"Active")=0),AND(IFERROR(INDEX(Templates!$G$3:$G$10,MATCH(Deals!$U176,Templates!$A$3:$A$10,0)),0)&gt;0,COUNTIFS(Assignments!$C$2:$C$769,$A224,Assignments!$F$2:$F$769,"Renewable Specialist",Assignments!$G$2:$G$769,"Active")=0),AND(IFERROR(INDEX(Templates!$H$3:$H$10,MATCH(Deals!$U176,Templates!$A$3:$A$10,0)),0)&gt;0,COUNTIFS(Assignments!$C$2:$C$769,$A224,Assignments!$F$2:$F$769,"Associate",Assignments!$G$2:$G$769,"Active")=0)))," MissingLevel","")&amp;IF(AND($C224="Proposal",Deals!$H176=0.5)," DefaultProbability","")&amp;IF($F224="No"," NoDates","")&amp;IF(AND(ISNUMBER($H224),$H224&gt;=Settings!$B$20)," Stale","")))</f>
        <v/>
      </c>
    </row>
    <row r="225">
      <c r="A225" s="16">
        <f>IF(Deals!$A177="","",Deals!$A177)</f>
        <v/>
      </c>
      <c r="B225" s="16">
        <f>IF($A225="","",Deals!$C177)</f>
        <v/>
      </c>
      <c r="C225" s="16">
        <f>IF($A225="","",Deals!$F177)</f>
        <v/>
      </c>
      <c r="D225" s="21">
        <f>IF($A225="","",Deals!$H177)</f>
        <v/>
      </c>
      <c r="E225" s="17">
        <f>IF($A225="","",Deals!$Q177)</f>
        <v/>
      </c>
      <c r="F225" s="16">
        <f>IF($A225="","",IF(AND(Deals!$I177&lt;&gt;"",Deals!$J177&lt;&gt;""),"Yes","No"))</f>
        <v/>
      </c>
      <c r="G225" s="22">
        <f>IF($A225="","",Deals!$Z177)</f>
        <v/>
      </c>
      <c r="H225" s="23">
        <f>IF(OR($A225="",$G225=""),"",INT((Settings!$B$19-$G225)/7))</f>
        <v/>
      </c>
      <c r="I225" s="24">
        <f>IF(OR($A225="",NOT(OR(Deals!$F177="Active",Deals!$F177="Proposal"))),"",TRIM(IF($E225=0," Unstaffed","")&amp;IF(IF(Deals!$U177="",FALSE,OR(AND(IFERROR(INDEX(Templates!$B$3:$B$10,MATCH(Deals!$U177,Templates!$A$3:$A$10,0)),0)&gt;0,COUNTIFS(Assignments!$C$2:$C$769,$A225,Assignments!$F$2:$F$769,"Partner",Assignments!$G$2:$G$769,"Active")=0),AND(IFERROR(INDEX(Templates!$C$3:$C$10,MATCH(Deals!$U177,Templates!$A$3:$A$10,0)),0)&gt;0,COUNTIFS(Assignments!$C$2:$C$769,$A225,Assignments!$F$2:$F$769,"MD",Assignments!$G$2:$G$769,"Active")=0),AND(IFERROR(INDEX(Templates!$D$3:$D$10,MATCH(Deals!$U177,Templates!$A$3:$A$10,0)),0)&gt;0,COUNTIFS(Assignments!$C$2:$C$769,$A225,Assignments!$F$2:$F$769,"Director",Assignments!$G$2:$G$769,"Active")=0),AND(IFERROR(INDEX(Templates!$E$3:$E$10,MATCH(Deals!$U177,Templates!$A$3:$A$10,0)),0)&gt;0,COUNTIFS(Assignments!$C$2:$C$769,$A225,Assignments!$F$2:$F$769,"VP",Assignments!$G$2:$G$769,"Active")=0),AND(IFERROR(INDEX(Templates!$F$3:$F$10,MATCH(Deals!$U177,Templates!$A$3:$A$10,0)),0)&gt;0,COUNTIFS(Assignments!$C$2:$C$769,$A225,Assignments!$F$2:$F$769,"Senior Associate",Assignments!$G$2:$G$769,"Active")=0),AND(IFERROR(INDEX(Templates!$G$3:$G$10,MATCH(Deals!$U177,Templates!$A$3:$A$10,0)),0)&gt;0,COUNTIFS(Assignments!$C$2:$C$769,$A225,Assignments!$F$2:$F$769,"Renewable Specialist",Assignments!$G$2:$G$769,"Active")=0),AND(IFERROR(INDEX(Templates!$H$3:$H$10,MATCH(Deals!$U177,Templates!$A$3:$A$10,0)),0)&gt;0,COUNTIFS(Assignments!$C$2:$C$769,$A225,Assignments!$F$2:$F$769,"Associate",Assignments!$G$2:$G$769,"Active")=0)))," MissingLevel","")&amp;IF(AND($C225="Proposal",Deals!$H177=0.5)," DefaultProbability","")&amp;IF($F225="No"," NoDates","")&amp;IF(AND(ISNUMBER($H225),$H225&gt;=Settings!$B$20)," Stale","")))</f>
        <v/>
      </c>
    </row>
    <row r="226">
      <c r="A226" s="16">
        <f>IF(Deals!$A178="","",Deals!$A178)</f>
        <v/>
      </c>
      <c r="B226" s="16">
        <f>IF($A226="","",Deals!$C178)</f>
        <v/>
      </c>
      <c r="C226" s="16">
        <f>IF($A226="","",Deals!$F178)</f>
        <v/>
      </c>
      <c r="D226" s="21">
        <f>IF($A226="","",Deals!$H178)</f>
        <v/>
      </c>
      <c r="E226" s="17">
        <f>IF($A226="","",Deals!$Q178)</f>
        <v/>
      </c>
      <c r="F226" s="16">
        <f>IF($A226="","",IF(AND(Deals!$I178&lt;&gt;"",Deals!$J178&lt;&gt;""),"Yes","No"))</f>
        <v/>
      </c>
      <c r="G226" s="22">
        <f>IF($A226="","",Deals!$Z178)</f>
        <v/>
      </c>
      <c r="H226" s="23">
        <f>IF(OR($A226="",$G226=""),"",INT((Settings!$B$19-$G226)/7))</f>
        <v/>
      </c>
      <c r="I226" s="24">
        <f>IF(OR($A226="",NOT(OR(Deals!$F178="Active",Deals!$F178="Proposal"))),"",TRIM(IF($E226=0," Unstaffed","")&amp;IF(IF(Deals!$U178="",FALSE,OR(AND(IFERROR(INDEX(Templates!$B$3:$B$10,MATCH(Deals!$U178,Templates!$A$3:$A$10,0)),0)&gt;0,COUNTIFS(Assignments!$C$2:$C$769,$A226,Assignments!$F$2:$F$769,"Partner",Assignments!$G$2:$G$769,"Active")=0),AND(IFERROR(INDEX(Templates!$C$3:$C$10,MATCH(Deals!$U178,Templates!$A$3:$A$10,0)),0)&gt;0,COUNTIFS(Assignments!$C$2:$C$769,$A226,Assignments!$F$2:$F$769,"MD",Assignments!$G$2:$G$769,"Active")=0),AND(IFERROR(INDEX(Templates!$D$3:$D$10,MATCH(Deals!$U178,Templates!$A$3:$A$10,0)),0)&gt;0,COUNTIFS(Assignments!$C$2:$C$769,$A226,Assignments!$F$2:$F$769,"Director",Assignments!$G$2:$G$769,"Active")=0),AND(IFERROR(INDEX(Templates!$E$3:$E$10,MATCH(Deals!$U178,Templates!$A$3:$A$10,0)),0)&gt;0,COUNTIFS(Assignments!$C$2:$C$769,$A226,Assignments!$F$2:$F$769,"VP",Assignments!$G$2:$G$769,"Active")=0),AND(IFERROR(INDEX(Templates!$F$3:$F$10,MATCH(Deals!$U178,Templates!$A$3:$A$10,0)),0)&gt;0,COUNTIFS(Assignments!$C$2:$C$769,$A226,Assignments!$F$2:$F$769,"Senior Associate",Assignments!$G$2:$G$769,"Active")=0),AND(IFERROR(INDEX(Templates!$G$3:$G$10,MATCH(Deals!$U178,Templates!$A$3:$A$10,0)),0)&gt;0,COUNTIFS(Assignments!$C$2:$C$769,$A226,Assignments!$F$2:$F$769,"Renewable Specialist",Assignments!$G$2:$G$769,"Active")=0),AND(IFERROR(INDEX(Templates!$H$3:$H$10,MATCH(Deals!$U178,Templates!$A$3:$A$10,0)),0)&gt;0,COUNTIFS(Assignments!$C$2:$C$769,$A226,Assignments!$F$2:$F$769,"Associate",Assignments!$G$2:$G$769,"Active")=0)))," MissingLevel","")&amp;IF(AND($C226="Proposal",Deals!$H178=0.5)," DefaultProbability","")&amp;IF($F226="No"," NoDates","")&amp;IF(AND(ISNUMBER($H226),$H226&gt;=Settings!$B$20)," Stale","")))</f>
        <v/>
      </c>
    </row>
    <row r="227">
      <c r="A227" s="16">
        <f>IF(Deals!$A179="","",Deals!$A179)</f>
        <v/>
      </c>
      <c r="B227" s="16">
        <f>IF($A227="","",Deals!$C179)</f>
        <v/>
      </c>
      <c r="C227" s="16">
        <f>IF($A227="","",Deals!$F179)</f>
        <v/>
      </c>
      <c r="D227" s="21">
        <f>IF($A227="","",Deals!$H179)</f>
        <v/>
      </c>
      <c r="E227" s="17">
        <f>IF($A227="","",Deals!$Q179)</f>
        <v/>
      </c>
      <c r="F227" s="16">
        <f>IF($A227="","",IF(AND(Deals!$I179&lt;&gt;"",Deals!$J179&lt;&gt;""),"Yes","No"))</f>
        <v/>
      </c>
      <c r="G227" s="22">
        <f>IF($A227="","",Deals!$Z179)</f>
        <v/>
      </c>
      <c r="H227" s="23">
        <f>IF(OR($A227="",$G227=""),"",INT((Settings!$B$19-$G227)/7))</f>
        <v/>
      </c>
      <c r="I227" s="24">
        <f>IF(OR($A227="",NOT(OR(Deals!$F179="Active",Deals!$F179="Proposal"))),"",TRIM(IF($E227=0," Unstaffed","")&amp;IF(IF(Deals!$U179="",FALSE,OR(AND(IFERROR(INDEX(Templates!$B$3:$B$10,MATCH(Deals!$U179,Templates!$A$3:$A$10,0)),0)&gt;0,COUNTIFS(Assignments!$C$2:$C$769,$A227,Assignments!$F$2:$F$769,"Partner",Assignments!$G$2:$G$769,"Active")=0),AND(IFERROR(INDEX(Templates!$C$3:$C$10,MATCH(Deals!$U179,Templates!$A$3:$A$10,0)),0)&gt;0,COUNTIFS(Assignments!$C$2:$C$769,$A227,Assignments!$F$2:$F$769,"MD",Assignments!$G$2:$G$769,"Active")=0),AND(IFERROR(INDEX(Templates!$D$3:$D$10,MATCH(Deals!$U179,Templates!$A$3:$A$10,0)),0)&gt;0,COUNTIFS(Assignments!$C$2:$C$769,$A227,Assignments!$F$2:$F$769,"Director",Assignments!$G$2:$G$769,"Active")=0),AND(IFERROR(INDEX(Templates!$E$3:$E$10,MATCH(Deals!$U179,Templates!$A$3:$A$10,0)),0)&gt;0,COUNTIFS(Assignments!$C$2:$C$769,$A227,Assignments!$F$2:$F$769,"VP",Assignments!$G$2:$G$769,"Active")=0),AND(IFERROR(INDEX(Templates!$F$3:$F$10,MATCH(Deals!$U179,Templates!$A$3:$A$10,0)),0)&gt;0,COUNTIFS(Assignments!$C$2:$C$769,$A227,Assignments!$F$2:$F$769,"Senior Associate",Assignments!$G$2:$G$769,"Active")=0),AND(IFERROR(INDEX(Templates!$G$3:$G$10,MATCH(Deals!$U179,Templates!$A$3:$A$10,0)),0)&gt;0,COUNTIFS(Assignments!$C$2:$C$769,$A227,Assignments!$F$2:$F$769,"Renewable Specialist",Assignments!$G$2:$G$769,"Active")=0),AND(IFERROR(INDEX(Templates!$H$3:$H$10,MATCH(Deals!$U179,Templates!$A$3:$A$10,0)),0)&gt;0,COUNTIFS(Assignments!$C$2:$C$769,$A227,Assignments!$F$2:$F$769,"Associate",Assignments!$G$2:$G$769,"Active")=0)))," MissingLevel","")&amp;IF(AND($C227="Proposal",Deals!$H179=0.5)," DefaultProbability","")&amp;IF($F227="No"," NoDates","")&amp;IF(AND(ISNUMBER($H227),$H227&gt;=Settings!$B$20)," Stale","")))</f>
        <v/>
      </c>
    </row>
    <row r="228">
      <c r="A228" s="16">
        <f>IF(Deals!$A180="","",Deals!$A180)</f>
        <v/>
      </c>
      <c r="B228" s="16">
        <f>IF($A228="","",Deals!$C180)</f>
        <v/>
      </c>
      <c r="C228" s="16">
        <f>IF($A228="","",Deals!$F180)</f>
        <v/>
      </c>
      <c r="D228" s="21">
        <f>IF($A228="","",Deals!$H180)</f>
        <v/>
      </c>
      <c r="E228" s="17">
        <f>IF($A228="","",Deals!$Q180)</f>
        <v/>
      </c>
      <c r="F228" s="16">
        <f>IF($A228="","",IF(AND(Deals!$I180&lt;&gt;"",Deals!$J180&lt;&gt;""),"Yes","No"))</f>
        <v/>
      </c>
      <c r="G228" s="22">
        <f>IF($A228="","",Deals!$Z180)</f>
        <v/>
      </c>
      <c r="H228" s="23">
        <f>IF(OR($A228="",$G228=""),"",INT((Settings!$B$19-$G228)/7))</f>
        <v/>
      </c>
      <c r="I228" s="24">
        <f>IF(OR($A228="",NOT(OR(Deals!$F180="Active",Deals!$F180="Proposal"))),"",TRIM(IF($E228=0," Unstaffed","")&amp;IF(IF(Deals!$U180="",FALSE,OR(AND(IFERROR(INDEX(Templates!$B$3:$B$10,MATCH(Deals!$U180,Templates!$A$3:$A$10,0)),0)&gt;0,COUNTIFS(Assignments!$C$2:$C$769,$A228,Assignments!$F$2:$F$769,"Partner",Assignments!$G$2:$G$769,"Active")=0),AND(IFERROR(INDEX(Templates!$C$3:$C$10,MATCH(Deals!$U180,Templates!$A$3:$A$10,0)),0)&gt;0,COUNTIFS(Assignments!$C$2:$C$769,$A228,Assignments!$F$2:$F$769,"MD",Assignments!$G$2:$G$769,"Active")=0),AND(IFERROR(INDEX(Templates!$D$3:$D$10,MATCH(Deals!$U180,Templates!$A$3:$A$10,0)),0)&gt;0,COUNTIFS(Assignments!$C$2:$C$769,$A228,Assignments!$F$2:$F$769,"Director",Assignments!$G$2:$G$769,"Active")=0),AND(IFERROR(INDEX(Templates!$E$3:$E$10,MATCH(Deals!$U180,Templates!$A$3:$A$10,0)),0)&gt;0,COUNTIFS(Assignments!$C$2:$C$769,$A228,Assignments!$F$2:$F$769,"VP",Assignments!$G$2:$G$769,"Active")=0),AND(IFERROR(INDEX(Templates!$F$3:$F$10,MATCH(Deals!$U180,Templates!$A$3:$A$10,0)),0)&gt;0,COUNTIFS(Assignments!$C$2:$C$769,$A228,Assignments!$F$2:$F$769,"Senior Associate",Assignments!$G$2:$G$769,"Active")=0),AND(IFERROR(INDEX(Templates!$G$3:$G$10,MATCH(Deals!$U180,Templates!$A$3:$A$10,0)),0)&gt;0,COUNTIFS(Assignments!$C$2:$C$769,$A228,Assignments!$F$2:$F$769,"Renewable Specialist",Assignments!$G$2:$G$769,"Active")=0),AND(IFERROR(INDEX(Templates!$H$3:$H$10,MATCH(Deals!$U180,Templates!$A$3:$A$10,0)),0)&gt;0,COUNTIFS(Assignments!$C$2:$C$769,$A228,Assignments!$F$2:$F$769,"Associate",Assignments!$G$2:$G$769,"Active")=0)))," MissingLevel","")&amp;IF(AND($C228="Proposal",Deals!$H180=0.5)," DefaultProbability","")&amp;IF($F228="No"," NoDates","")&amp;IF(AND(ISNUMBER($H228),$H228&gt;=Settings!$B$20)," Stale","")))</f>
        <v/>
      </c>
    </row>
    <row r="229">
      <c r="A229" s="16">
        <f>IF(Deals!$A181="","",Deals!$A181)</f>
        <v/>
      </c>
      <c r="B229" s="16">
        <f>IF($A229="","",Deals!$C181)</f>
        <v/>
      </c>
      <c r="C229" s="16">
        <f>IF($A229="","",Deals!$F181)</f>
        <v/>
      </c>
      <c r="D229" s="21">
        <f>IF($A229="","",Deals!$H181)</f>
        <v/>
      </c>
      <c r="E229" s="17">
        <f>IF($A229="","",Deals!$Q181)</f>
        <v/>
      </c>
      <c r="F229" s="16">
        <f>IF($A229="","",IF(AND(Deals!$I181&lt;&gt;"",Deals!$J181&lt;&gt;""),"Yes","No"))</f>
        <v/>
      </c>
      <c r="G229" s="22">
        <f>IF($A229="","",Deals!$Z181)</f>
        <v/>
      </c>
      <c r="H229" s="23">
        <f>IF(OR($A229="",$G229=""),"",INT((Settings!$B$19-$G229)/7))</f>
        <v/>
      </c>
      <c r="I229" s="24">
        <f>IF(OR($A229="",NOT(OR(Deals!$F181="Active",Deals!$F181="Proposal"))),"",TRIM(IF($E229=0," Unstaffed","")&amp;IF(IF(Deals!$U181="",FALSE,OR(AND(IFERROR(INDEX(Templates!$B$3:$B$10,MATCH(Deals!$U181,Templates!$A$3:$A$10,0)),0)&gt;0,COUNTIFS(Assignments!$C$2:$C$769,$A229,Assignments!$F$2:$F$769,"Partner",Assignments!$G$2:$G$769,"Active")=0),AND(IFERROR(INDEX(Templates!$C$3:$C$10,MATCH(Deals!$U181,Templates!$A$3:$A$10,0)),0)&gt;0,COUNTIFS(Assignments!$C$2:$C$769,$A229,Assignments!$F$2:$F$769,"MD",Assignments!$G$2:$G$769,"Active")=0),AND(IFERROR(INDEX(Templates!$D$3:$D$10,MATCH(Deals!$U181,Templates!$A$3:$A$10,0)),0)&gt;0,COUNTIFS(Assignments!$C$2:$C$769,$A229,Assignments!$F$2:$F$769,"Director",Assignments!$G$2:$G$769,"Active")=0),AND(IFERROR(INDEX(Templates!$E$3:$E$10,MATCH(Deals!$U181,Templates!$A$3:$A$10,0)),0)&gt;0,COUNTIFS(Assignments!$C$2:$C$769,$A229,Assignments!$F$2:$F$769,"VP",Assignments!$G$2:$G$769,"Active")=0),AND(IFERROR(INDEX(Templates!$F$3:$F$10,MATCH(Deals!$U181,Templates!$A$3:$A$10,0)),0)&gt;0,COUNTIFS(Assignments!$C$2:$C$769,$A229,Assignments!$F$2:$F$769,"Senior Associate",Assignments!$G$2:$G$769,"Active")=0),AND(IFERROR(INDEX(Templates!$G$3:$G$10,MATCH(Deals!$U181,Templates!$A$3:$A$10,0)),0)&gt;0,COUNTIFS(Assignments!$C$2:$C$769,$A229,Assignments!$F$2:$F$769,"Renewable Specialist",Assignments!$G$2:$G$769,"Active")=0),AND(IFERROR(INDEX(Templates!$H$3:$H$10,MATCH(Deals!$U181,Templates!$A$3:$A$10,0)),0)&gt;0,COUNTIFS(Assignments!$C$2:$C$769,$A229,Assignments!$F$2:$F$769,"Associate",Assignments!$G$2:$G$769,"Active")=0)))," MissingLevel","")&amp;IF(AND($C229="Proposal",Deals!$H181=0.5)," DefaultProbability","")&amp;IF($F229="No"," NoDates","")&amp;IF(AND(ISNUMBER($H229),$H229&gt;=Settings!$B$20)," Stale","")))</f>
        <v/>
      </c>
    </row>
    <row r="230">
      <c r="A230" s="16">
        <f>IF(Deals!$A182="","",Deals!$A182)</f>
        <v/>
      </c>
      <c r="B230" s="16">
        <f>IF($A230="","",Deals!$C182)</f>
        <v/>
      </c>
      <c r="C230" s="16">
        <f>IF($A230="","",Deals!$F182)</f>
        <v/>
      </c>
      <c r="D230" s="21">
        <f>IF($A230="","",Deals!$H182)</f>
        <v/>
      </c>
      <c r="E230" s="17">
        <f>IF($A230="","",Deals!$Q182)</f>
        <v/>
      </c>
      <c r="F230" s="16">
        <f>IF($A230="","",IF(AND(Deals!$I182&lt;&gt;"",Deals!$J182&lt;&gt;""),"Yes","No"))</f>
        <v/>
      </c>
      <c r="G230" s="22">
        <f>IF($A230="","",Deals!$Z182)</f>
        <v/>
      </c>
      <c r="H230" s="23">
        <f>IF(OR($A230="",$G230=""),"",INT((Settings!$B$19-$G230)/7))</f>
        <v/>
      </c>
      <c r="I230" s="24">
        <f>IF(OR($A230="",NOT(OR(Deals!$F182="Active",Deals!$F182="Proposal"))),"",TRIM(IF($E230=0," Unstaffed","")&amp;IF(IF(Deals!$U182="",FALSE,OR(AND(IFERROR(INDEX(Templates!$B$3:$B$10,MATCH(Deals!$U182,Templates!$A$3:$A$10,0)),0)&gt;0,COUNTIFS(Assignments!$C$2:$C$769,$A230,Assignments!$F$2:$F$769,"Partner",Assignments!$G$2:$G$769,"Active")=0),AND(IFERROR(INDEX(Templates!$C$3:$C$10,MATCH(Deals!$U182,Templates!$A$3:$A$10,0)),0)&gt;0,COUNTIFS(Assignments!$C$2:$C$769,$A230,Assignments!$F$2:$F$769,"MD",Assignments!$G$2:$G$769,"Active")=0),AND(IFERROR(INDEX(Templates!$D$3:$D$10,MATCH(Deals!$U182,Templates!$A$3:$A$10,0)),0)&gt;0,COUNTIFS(Assignments!$C$2:$C$769,$A230,Assignments!$F$2:$F$769,"Director",Assignments!$G$2:$G$769,"Active")=0),AND(IFERROR(INDEX(Templates!$E$3:$E$10,MATCH(Deals!$U182,Templates!$A$3:$A$10,0)),0)&gt;0,COUNTIFS(Assignments!$C$2:$C$769,$A230,Assignments!$F$2:$F$769,"VP",Assignments!$G$2:$G$769,"Active")=0),AND(IFERROR(INDEX(Templates!$F$3:$F$10,MATCH(Deals!$U182,Templates!$A$3:$A$10,0)),0)&gt;0,COUNTIFS(Assignments!$C$2:$C$769,$A230,Assignments!$F$2:$F$769,"Senior Associate",Assignments!$G$2:$G$769,"Active")=0),AND(IFERROR(INDEX(Templates!$G$3:$G$10,MATCH(Deals!$U182,Templates!$A$3:$A$10,0)),0)&gt;0,COUNTIFS(Assignments!$C$2:$C$769,$A230,Assignments!$F$2:$F$769,"Renewable Specialist",Assignments!$G$2:$G$769,"Active")=0),AND(IFERROR(INDEX(Templates!$H$3:$H$10,MATCH(Deals!$U182,Templates!$A$3:$A$10,0)),0)&gt;0,COUNTIFS(Assignments!$C$2:$C$769,$A230,Assignments!$F$2:$F$769,"Associate",Assignments!$G$2:$G$769,"Active")=0)))," MissingLevel","")&amp;IF(AND($C230="Proposal",Deals!$H182=0.5)," DefaultProbability","")&amp;IF($F230="No"," NoDates","")&amp;IF(AND(ISNUMBER($H230),$H230&gt;=Settings!$B$20)," Stale","")))</f>
        <v/>
      </c>
    </row>
    <row r="231">
      <c r="A231" s="16">
        <f>IF(Deals!$A183="","",Deals!$A183)</f>
        <v/>
      </c>
      <c r="B231" s="16">
        <f>IF($A231="","",Deals!$C183)</f>
        <v/>
      </c>
      <c r="C231" s="16">
        <f>IF($A231="","",Deals!$F183)</f>
        <v/>
      </c>
      <c r="D231" s="21">
        <f>IF($A231="","",Deals!$H183)</f>
        <v/>
      </c>
      <c r="E231" s="17">
        <f>IF($A231="","",Deals!$Q183)</f>
        <v/>
      </c>
      <c r="F231" s="16">
        <f>IF($A231="","",IF(AND(Deals!$I183&lt;&gt;"",Deals!$J183&lt;&gt;""),"Yes","No"))</f>
        <v/>
      </c>
      <c r="G231" s="22">
        <f>IF($A231="","",Deals!$Z183)</f>
        <v/>
      </c>
      <c r="H231" s="23">
        <f>IF(OR($A231="",$G231=""),"",INT((Settings!$B$19-$G231)/7))</f>
        <v/>
      </c>
      <c r="I231" s="24">
        <f>IF(OR($A231="",NOT(OR(Deals!$F183="Active",Deals!$F183="Proposal"))),"",TRIM(IF($E231=0," Unstaffed","")&amp;IF(IF(Deals!$U183="",FALSE,OR(AND(IFERROR(INDEX(Templates!$B$3:$B$10,MATCH(Deals!$U183,Templates!$A$3:$A$10,0)),0)&gt;0,COUNTIFS(Assignments!$C$2:$C$769,$A231,Assignments!$F$2:$F$769,"Partner",Assignments!$G$2:$G$769,"Active")=0),AND(IFERROR(INDEX(Templates!$C$3:$C$10,MATCH(Deals!$U183,Templates!$A$3:$A$10,0)),0)&gt;0,COUNTIFS(Assignments!$C$2:$C$769,$A231,Assignments!$F$2:$F$769,"MD",Assignments!$G$2:$G$769,"Active")=0),AND(IFERROR(INDEX(Templates!$D$3:$D$10,MATCH(Deals!$U183,Templates!$A$3:$A$10,0)),0)&gt;0,COUNTIFS(Assignments!$C$2:$C$769,$A231,Assignments!$F$2:$F$769,"Director",Assignments!$G$2:$G$769,"Active")=0),AND(IFERROR(INDEX(Templates!$E$3:$E$10,MATCH(Deals!$U183,Templates!$A$3:$A$10,0)),0)&gt;0,COUNTIFS(Assignments!$C$2:$C$769,$A231,Assignments!$F$2:$F$769,"VP",Assignments!$G$2:$G$769,"Active")=0),AND(IFERROR(INDEX(Templates!$F$3:$F$10,MATCH(Deals!$U183,Templates!$A$3:$A$10,0)),0)&gt;0,COUNTIFS(Assignments!$C$2:$C$769,$A231,Assignments!$F$2:$F$769,"Senior Associate",Assignments!$G$2:$G$769,"Active")=0),AND(IFERROR(INDEX(Templates!$G$3:$G$10,MATCH(Deals!$U183,Templates!$A$3:$A$10,0)),0)&gt;0,COUNTIFS(Assignments!$C$2:$C$769,$A231,Assignments!$F$2:$F$769,"Renewable Specialist",Assignments!$G$2:$G$769,"Active")=0),AND(IFERROR(INDEX(Templates!$H$3:$H$10,MATCH(Deals!$U183,Templates!$A$3:$A$10,0)),0)&gt;0,COUNTIFS(Assignments!$C$2:$C$769,$A231,Assignments!$F$2:$F$769,"Associate",Assignments!$G$2:$G$769,"Active")=0)))," MissingLevel","")&amp;IF(AND($C231="Proposal",Deals!$H183=0.5)," DefaultProbability","")&amp;IF($F231="No"," NoDates","")&amp;IF(AND(ISNUMBER($H231),$H231&gt;=Settings!$B$20)," Stale","")))</f>
        <v/>
      </c>
    </row>
    <row r="232">
      <c r="A232" s="16">
        <f>IF(Deals!$A184="","",Deals!$A184)</f>
        <v/>
      </c>
      <c r="B232" s="16">
        <f>IF($A232="","",Deals!$C184)</f>
        <v/>
      </c>
      <c r="C232" s="16">
        <f>IF($A232="","",Deals!$F184)</f>
        <v/>
      </c>
      <c r="D232" s="21">
        <f>IF($A232="","",Deals!$H184)</f>
        <v/>
      </c>
      <c r="E232" s="17">
        <f>IF($A232="","",Deals!$Q184)</f>
        <v/>
      </c>
      <c r="F232" s="16">
        <f>IF($A232="","",IF(AND(Deals!$I184&lt;&gt;"",Deals!$J184&lt;&gt;""),"Yes","No"))</f>
        <v/>
      </c>
      <c r="G232" s="22">
        <f>IF($A232="","",Deals!$Z184)</f>
        <v/>
      </c>
      <c r="H232" s="23">
        <f>IF(OR($A232="",$G232=""),"",INT((Settings!$B$19-$G232)/7))</f>
        <v/>
      </c>
      <c r="I232" s="24">
        <f>IF(OR($A232="",NOT(OR(Deals!$F184="Active",Deals!$F184="Proposal"))),"",TRIM(IF($E232=0," Unstaffed","")&amp;IF(IF(Deals!$U184="",FALSE,OR(AND(IFERROR(INDEX(Templates!$B$3:$B$10,MATCH(Deals!$U184,Templates!$A$3:$A$10,0)),0)&gt;0,COUNTIFS(Assignments!$C$2:$C$769,$A232,Assignments!$F$2:$F$769,"Partner",Assignments!$G$2:$G$769,"Active")=0),AND(IFERROR(INDEX(Templates!$C$3:$C$10,MATCH(Deals!$U184,Templates!$A$3:$A$10,0)),0)&gt;0,COUNTIFS(Assignments!$C$2:$C$769,$A232,Assignments!$F$2:$F$769,"MD",Assignments!$G$2:$G$769,"Active")=0),AND(IFERROR(INDEX(Templates!$D$3:$D$10,MATCH(Deals!$U184,Templates!$A$3:$A$10,0)),0)&gt;0,COUNTIFS(Assignments!$C$2:$C$769,$A232,Assignments!$F$2:$F$769,"Director",Assignments!$G$2:$G$769,"Active")=0),AND(IFERROR(INDEX(Templates!$E$3:$E$10,MATCH(Deals!$U184,Templates!$A$3:$A$10,0)),0)&gt;0,COUNTIFS(Assignments!$C$2:$C$769,$A232,Assignments!$F$2:$F$769,"VP",Assignments!$G$2:$G$769,"Active")=0),AND(IFERROR(INDEX(Templates!$F$3:$F$10,MATCH(Deals!$U184,Templates!$A$3:$A$10,0)),0)&gt;0,COUNTIFS(Assignments!$C$2:$C$769,$A232,Assignments!$F$2:$F$769,"Senior Associate",Assignments!$G$2:$G$769,"Active")=0),AND(IFERROR(INDEX(Templates!$G$3:$G$10,MATCH(Deals!$U184,Templates!$A$3:$A$10,0)),0)&gt;0,COUNTIFS(Assignments!$C$2:$C$769,$A232,Assignments!$F$2:$F$769,"Renewable Specialist",Assignments!$G$2:$G$769,"Active")=0),AND(IFERROR(INDEX(Templates!$H$3:$H$10,MATCH(Deals!$U184,Templates!$A$3:$A$10,0)),0)&gt;0,COUNTIFS(Assignments!$C$2:$C$769,$A232,Assignments!$F$2:$F$769,"Associate",Assignments!$G$2:$G$769,"Active")=0)))," MissingLevel","")&amp;IF(AND($C232="Proposal",Deals!$H184=0.5)," DefaultProbability","")&amp;IF($F232="No"," NoDates","")&amp;IF(AND(ISNUMBER($H232),$H232&gt;=Settings!$B$20)," Stale","")))</f>
        <v/>
      </c>
    </row>
    <row r="233">
      <c r="A233" s="16">
        <f>IF(Deals!$A185="","",Deals!$A185)</f>
        <v/>
      </c>
      <c r="B233" s="16">
        <f>IF($A233="","",Deals!$C185)</f>
        <v/>
      </c>
      <c r="C233" s="16">
        <f>IF($A233="","",Deals!$F185)</f>
        <v/>
      </c>
      <c r="D233" s="21">
        <f>IF($A233="","",Deals!$H185)</f>
        <v/>
      </c>
      <c r="E233" s="17">
        <f>IF($A233="","",Deals!$Q185)</f>
        <v/>
      </c>
      <c r="F233" s="16">
        <f>IF($A233="","",IF(AND(Deals!$I185&lt;&gt;"",Deals!$J185&lt;&gt;""),"Yes","No"))</f>
        <v/>
      </c>
      <c r="G233" s="22">
        <f>IF($A233="","",Deals!$Z185)</f>
        <v/>
      </c>
      <c r="H233" s="23">
        <f>IF(OR($A233="",$G233=""),"",INT((Settings!$B$19-$G233)/7))</f>
        <v/>
      </c>
      <c r="I233" s="24">
        <f>IF(OR($A233="",NOT(OR(Deals!$F185="Active",Deals!$F185="Proposal"))),"",TRIM(IF($E233=0," Unstaffed","")&amp;IF(IF(Deals!$U185="",FALSE,OR(AND(IFERROR(INDEX(Templates!$B$3:$B$10,MATCH(Deals!$U185,Templates!$A$3:$A$10,0)),0)&gt;0,COUNTIFS(Assignments!$C$2:$C$769,$A233,Assignments!$F$2:$F$769,"Partner",Assignments!$G$2:$G$769,"Active")=0),AND(IFERROR(INDEX(Templates!$C$3:$C$10,MATCH(Deals!$U185,Templates!$A$3:$A$10,0)),0)&gt;0,COUNTIFS(Assignments!$C$2:$C$769,$A233,Assignments!$F$2:$F$769,"MD",Assignments!$G$2:$G$769,"Active")=0),AND(IFERROR(INDEX(Templates!$D$3:$D$10,MATCH(Deals!$U185,Templates!$A$3:$A$10,0)),0)&gt;0,COUNTIFS(Assignments!$C$2:$C$769,$A233,Assignments!$F$2:$F$769,"Director",Assignments!$G$2:$G$769,"Active")=0),AND(IFERROR(INDEX(Templates!$E$3:$E$10,MATCH(Deals!$U185,Templates!$A$3:$A$10,0)),0)&gt;0,COUNTIFS(Assignments!$C$2:$C$769,$A233,Assignments!$F$2:$F$769,"VP",Assignments!$G$2:$G$769,"Active")=0),AND(IFERROR(INDEX(Templates!$F$3:$F$10,MATCH(Deals!$U185,Templates!$A$3:$A$10,0)),0)&gt;0,COUNTIFS(Assignments!$C$2:$C$769,$A233,Assignments!$F$2:$F$769,"Senior Associate",Assignments!$G$2:$G$769,"Active")=0),AND(IFERROR(INDEX(Templates!$G$3:$G$10,MATCH(Deals!$U185,Templates!$A$3:$A$10,0)),0)&gt;0,COUNTIFS(Assignments!$C$2:$C$769,$A233,Assignments!$F$2:$F$769,"Renewable Specialist",Assignments!$G$2:$G$769,"Active")=0),AND(IFERROR(INDEX(Templates!$H$3:$H$10,MATCH(Deals!$U185,Templates!$A$3:$A$10,0)),0)&gt;0,COUNTIFS(Assignments!$C$2:$C$769,$A233,Assignments!$F$2:$F$769,"Associate",Assignments!$G$2:$G$769,"Active")=0)))," MissingLevel","")&amp;IF(AND($C233="Proposal",Deals!$H185=0.5)," DefaultProbability","")&amp;IF($F233="No"," NoDates","")&amp;IF(AND(ISNUMBER($H233),$H233&gt;=Settings!$B$20)," Stale","")))</f>
        <v/>
      </c>
    </row>
    <row r="234">
      <c r="A234" s="16">
        <f>IF(Deals!$A186="","",Deals!$A186)</f>
        <v/>
      </c>
      <c r="B234" s="16">
        <f>IF($A234="","",Deals!$C186)</f>
        <v/>
      </c>
      <c r="C234" s="16">
        <f>IF($A234="","",Deals!$F186)</f>
        <v/>
      </c>
      <c r="D234" s="21">
        <f>IF($A234="","",Deals!$H186)</f>
        <v/>
      </c>
      <c r="E234" s="17">
        <f>IF($A234="","",Deals!$Q186)</f>
        <v/>
      </c>
      <c r="F234" s="16">
        <f>IF($A234="","",IF(AND(Deals!$I186&lt;&gt;"",Deals!$J186&lt;&gt;""),"Yes","No"))</f>
        <v/>
      </c>
      <c r="G234" s="22">
        <f>IF($A234="","",Deals!$Z186)</f>
        <v/>
      </c>
      <c r="H234" s="23">
        <f>IF(OR($A234="",$G234=""),"",INT((Settings!$B$19-$G234)/7))</f>
        <v/>
      </c>
      <c r="I234" s="24">
        <f>IF(OR($A234="",NOT(OR(Deals!$F186="Active",Deals!$F186="Proposal"))),"",TRIM(IF($E234=0," Unstaffed","")&amp;IF(IF(Deals!$U186="",FALSE,OR(AND(IFERROR(INDEX(Templates!$B$3:$B$10,MATCH(Deals!$U186,Templates!$A$3:$A$10,0)),0)&gt;0,COUNTIFS(Assignments!$C$2:$C$769,$A234,Assignments!$F$2:$F$769,"Partner",Assignments!$G$2:$G$769,"Active")=0),AND(IFERROR(INDEX(Templates!$C$3:$C$10,MATCH(Deals!$U186,Templates!$A$3:$A$10,0)),0)&gt;0,COUNTIFS(Assignments!$C$2:$C$769,$A234,Assignments!$F$2:$F$769,"MD",Assignments!$G$2:$G$769,"Active")=0),AND(IFERROR(INDEX(Templates!$D$3:$D$10,MATCH(Deals!$U186,Templates!$A$3:$A$10,0)),0)&gt;0,COUNTIFS(Assignments!$C$2:$C$769,$A234,Assignments!$F$2:$F$769,"Director",Assignments!$G$2:$G$769,"Active")=0),AND(IFERROR(INDEX(Templates!$E$3:$E$10,MATCH(Deals!$U186,Templates!$A$3:$A$10,0)),0)&gt;0,COUNTIFS(Assignments!$C$2:$C$769,$A234,Assignments!$F$2:$F$769,"VP",Assignments!$G$2:$G$769,"Active")=0),AND(IFERROR(INDEX(Templates!$F$3:$F$10,MATCH(Deals!$U186,Templates!$A$3:$A$10,0)),0)&gt;0,COUNTIFS(Assignments!$C$2:$C$769,$A234,Assignments!$F$2:$F$769,"Senior Associate",Assignments!$G$2:$G$769,"Active")=0),AND(IFERROR(INDEX(Templates!$G$3:$G$10,MATCH(Deals!$U186,Templates!$A$3:$A$10,0)),0)&gt;0,COUNTIFS(Assignments!$C$2:$C$769,$A234,Assignments!$F$2:$F$769,"Renewable Specialist",Assignments!$G$2:$G$769,"Active")=0),AND(IFERROR(INDEX(Templates!$H$3:$H$10,MATCH(Deals!$U186,Templates!$A$3:$A$10,0)),0)&gt;0,COUNTIFS(Assignments!$C$2:$C$769,$A234,Assignments!$F$2:$F$769,"Associate",Assignments!$G$2:$G$769,"Active")=0)))," MissingLevel","")&amp;IF(AND($C234="Proposal",Deals!$H186=0.5)," DefaultProbability","")&amp;IF($F234="No"," NoDates","")&amp;IF(AND(ISNUMBER($H234),$H234&gt;=Settings!$B$20)," Stale","")))</f>
        <v/>
      </c>
    </row>
    <row r="235">
      <c r="A235" s="16">
        <f>IF(Deals!$A187="","",Deals!$A187)</f>
        <v/>
      </c>
      <c r="B235" s="16">
        <f>IF($A235="","",Deals!$C187)</f>
        <v/>
      </c>
      <c r="C235" s="16">
        <f>IF($A235="","",Deals!$F187)</f>
        <v/>
      </c>
      <c r="D235" s="21">
        <f>IF($A235="","",Deals!$H187)</f>
        <v/>
      </c>
      <c r="E235" s="17">
        <f>IF($A235="","",Deals!$Q187)</f>
        <v/>
      </c>
      <c r="F235" s="16">
        <f>IF($A235="","",IF(AND(Deals!$I187&lt;&gt;"",Deals!$J187&lt;&gt;""),"Yes","No"))</f>
        <v/>
      </c>
      <c r="G235" s="22">
        <f>IF($A235="","",Deals!$Z187)</f>
        <v/>
      </c>
      <c r="H235" s="23">
        <f>IF(OR($A235="",$G235=""),"",INT((Settings!$B$19-$G235)/7))</f>
        <v/>
      </c>
      <c r="I235" s="24">
        <f>IF(OR($A235="",NOT(OR(Deals!$F187="Active",Deals!$F187="Proposal"))),"",TRIM(IF($E235=0," Unstaffed","")&amp;IF(IF(Deals!$U187="",FALSE,OR(AND(IFERROR(INDEX(Templates!$B$3:$B$10,MATCH(Deals!$U187,Templates!$A$3:$A$10,0)),0)&gt;0,COUNTIFS(Assignments!$C$2:$C$769,$A235,Assignments!$F$2:$F$769,"Partner",Assignments!$G$2:$G$769,"Active")=0),AND(IFERROR(INDEX(Templates!$C$3:$C$10,MATCH(Deals!$U187,Templates!$A$3:$A$10,0)),0)&gt;0,COUNTIFS(Assignments!$C$2:$C$769,$A235,Assignments!$F$2:$F$769,"MD",Assignments!$G$2:$G$769,"Active")=0),AND(IFERROR(INDEX(Templates!$D$3:$D$10,MATCH(Deals!$U187,Templates!$A$3:$A$10,0)),0)&gt;0,COUNTIFS(Assignments!$C$2:$C$769,$A235,Assignments!$F$2:$F$769,"Director",Assignments!$G$2:$G$769,"Active")=0),AND(IFERROR(INDEX(Templates!$E$3:$E$10,MATCH(Deals!$U187,Templates!$A$3:$A$10,0)),0)&gt;0,COUNTIFS(Assignments!$C$2:$C$769,$A235,Assignments!$F$2:$F$769,"VP",Assignments!$G$2:$G$769,"Active")=0),AND(IFERROR(INDEX(Templates!$F$3:$F$10,MATCH(Deals!$U187,Templates!$A$3:$A$10,0)),0)&gt;0,COUNTIFS(Assignments!$C$2:$C$769,$A235,Assignments!$F$2:$F$769,"Senior Associate",Assignments!$G$2:$G$769,"Active")=0),AND(IFERROR(INDEX(Templates!$G$3:$G$10,MATCH(Deals!$U187,Templates!$A$3:$A$10,0)),0)&gt;0,COUNTIFS(Assignments!$C$2:$C$769,$A235,Assignments!$F$2:$F$769,"Renewable Specialist",Assignments!$G$2:$G$769,"Active")=0),AND(IFERROR(INDEX(Templates!$H$3:$H$10,MATCH(Deals!$U187,Templates!$A$3:$A$10,0)),0)&gt;0,COUNTIFS(Assignments!$C$2:$C$769,$A235,Assignments!$F$2:$F$769,"Associate",Assignments!$G$2:$G$769,"Active")=0)))," MissingLevel","")&amp;IF(AND($C235="Proposal",Deals!$H187=0.5)," DefaultProbability","")&amp;IF($F235="No"," NoDates","")&amp;IF(AND(ISNUMBER($H235),$H235&gt;=Settings!$B$20)," Stale","")))</f>
        <v/>
      </c>
    </row>
    <row r="236">
      <c r="A236" s="16">
        <f>IF(Deals!$A188="","",Deals!$A188)</f>
        <v/>
      </c>
      <c r="B236" s="16">
        <f>IF($A236="","",Deals!$C188)</f>
        <v/>
      </c>
      <c r="C236" s="16">
        <f>IF($A236="","",Deals!$F188)</f>
        <v/>
      </c>
      <c r="D236" s="21">
        <f>IF($A236="","",Deals!$H188)</f>
        <v/>
      </c>
      <c r="E236" s="17">
        <f>IF($A236="","",Deals!$Q188)</f>
        <v/>
      </c>
      <c r="F236" s="16">
        <f>IF($A236="","",IF(AND(Deals!$I188&lt;&gt;"",Deals!$J188&lt;&gt;""),"Yes","No"))</f>
        <v/>
      </c>
      <c r="G236" s="22">
        <f>IF($A236="","",Deals!$Z188)</f>
        <v/>
      </c>
      <c r="H236" s="23">
        <f>IF(OR($A236="",$G236=""),"",INT((Settings!$B$19-$G236)/7))</f>
        <v/>
      </c>
      <c r="I236" s="24">
        <f>IF(OR($A236="",NOT(OR(Deals!$F188="Active",Deals!$F188="Proposal"))),"",TRIM(IF($E236=0," Unstaffed","")&amp;IF(IF(Deals!$U188="",FALSE,OR(AND(IFERROR(INDEX(Templates!$B$3:$B$10,MATCH(Deals!$U188,Templates!$A$3:$A$10,0)),0)&gt;0,COUNTIFS(Assignments!$C$2:$C$769,$A236,Assignments!$F$2:$F$769,"Partner",Assignments!$G$2:$G$769,"Active")=0),AND(IFERROR(INDEX(Templates!$C$3:$C$10,MATCH(Deals!$U188,Templates!$A$3:$A$10,0)),0)&gt;0,COUNTIFS(Assignments!$C$2:$C$769,$A236,Assignments!$F$2:$F$769,"MD",Assignments!$G$2:$G$769,"Active")=0),AND(IFERROR(INDEX(Templates!$D$3:$D$10,MATCH(Deals!$U188,Templates!$A$3:$A$10,0)),0)&gt;0,COUNTIFS(Assignments!$C$2:$C$769,$A236,Assignments!$F$2:$F$769,"Director",Assignments!$G$2:$G$769,"Active")=0),AND(IFERROR(INDEX(Templates!$E$3:$E$10,MATCH(Deals!$U188,Templates!$A$3:$A$10,0)),0)&gt;0,COUNTIFS(Assignments!$C$2:$C$769,$A236,Assignments!$F$2:$F$769,"VP",Assignments!$G$2:$G$769,"Active")=0),AND(IFERROR(INDEX(Templates!$F$3:$F$10,MATCH(Deals!$U188,Templates!$A$3:$A$10,0)),0)&gt;0,COUNTIFS(Assignments!$C$2:$C$769,$A236,Assignments!$F$2:$F$769,"Senior Associate",Assignments!$G$2:$G$769,"Active")=0),AND(IFERROR(INDEX(Templates!$G$3:$G$10,MATCH(Deals!$U188,Templates!$A$3:$A$10,0)),0)&gt;0,COUNTIFS(Assignments!$C$2:$C$769,$A236,Assignments!$F$2:$F$769,"Renewable Specialist",Assignments!$G$2:$G$769,"Active")=0),AND(IFERROR(INDEX(Templates!$H$3:$H$10,MATCH(Deals!$U188,Templates!$A$3:$A$10,0)),0)&gt;0,COUNTIFS(Assignments!$C$2:$C$769,$A236,Assignments!$F$2:$F$769,"Associate",Assignments!$G$2:$G$769,"Active")=0)))," MissingLevel","")&amp;IF(AND($C236="Proposal",Deals!$H188=0.5)," DefaultProbability","")&amp;IF($F236="No"," NoDates","")&amp;IF(AND(ISNUMBER($H236),$H236&gt;=Settings!$B$20)," Stale","")))</f>
        <v/>
      </c>
    </row>
    <row r="237">
      <c r="A237" s="16">
        <f>IF(Deals!$A189="","",Deals!$A189)</f>
        <v/>
      </c>
      <c r="B237" s="16">
        <f>IF($A237="","",Deals!$C189)</f>
        <v/>
      </c>
      <c r="C237" s="16">
        <f>IF($A237="","",Deals!$F189)</f>
        <v/>
      </c>
      <c r="D237" s="21">
        <f>IF($A237="","",Deals!$H189)</f>
        <v/>
      </c>
      <c r="E237" s="17">
        <f>IF($A237="","",Deals!$Q189)</f>
        <v/>
      </c>
      <c r="F237" s="16">
        <f>IF($A237="","",IF(AND(Deals!$I189&lt;&gt;"",Deals!$J189&lt;&gt;""),"Yes","No"))</f>
        <v/>
      </c>
      <c r="G237" s="22">
        <f>IF($A237="","",Deals!$Z189)</f>
        <v/>
      </c>
      <c r="H237" s="23">
        <f>IF(OR($A237="",$G237=""),"",INT((Settings!$B$19-$G237)/7))</f>
        <v/>
      </c>
      <c r="I237" s="24">
        <f>IF(OR($A237="",NOT(OR(Deals!$F189="Active",Deals!$F189="Proposal"))),"",TRIM(IF($E237=0," Unstaffed","")&amp;IF(IF(Deals!$U189="",FALSE,OR(AND(IFERROR(INDEX(Templates!$B$3:$B$10,MATCH(Deals!$U189,Templates!$A$3:$A$10,0)),0)&gt;0,COUNTIFS(Assignments!$C$2:$C$769,$A237,Assignments!$F$2:$F$769,"Partner",Assignments!$G$2:$G$769,"Active")=0),AND(IFERROR(INDEX(Templates!$C$3:$C$10,MATCH(Deals!$U189,Templates!$A$3:$A$10,0)),0)&gt;0,COUNTIFS(Assignments!$C$2:$C$769,$A237,Assignments!$F$2:$F$769,"MD",Assignments!$G$2:$G$769,"Active")=0),AND(IFERROR(INDEX(Templates!$D$3:$D$10,MATCH(Deals!$U189,Templates!$A$3:$A$10,0)),0)&gt;0,COUNTIFS(Assignments!$C$2:$C$769,$A237,Assignments!$F$2:$F$769,"Director",Assignments!$G$2:$G$769,"Active")=0),AND(IFERROR(INDEX(Templates!$E$3:$E$10,MATCH(Deals!$U189,Templates!$A$3:$A$10,0)),0)&gt;0,COUNTIFS(Assignments!$C$2:$C$769,$A237,Assignments!$F$2:$F$769,"VP",Assignments!$G$2:$G$769,"Active")=0),AND(IFERROR(INDEX(Templates!$F$3:$F$10,MATCH(Deals!$U189,Templates!$A$3:$A$10,0)),0)&gt;0,COUNTIFS(Assignments!$C$2:$C$769,$A237,Assignments!$F$2:$F$769,"Senior Associate",Assignments!$G$2:$G$769,"Active")=0),AND(IFERROR(INDEX(Templates!$G$3:$G$10,MATCH(Deals!$U189,Templates!$A$3:$A$10,0)),0)&gt;0,COUNTIFS(Assignments!$C$2:$C$769,$A237,Assignments!$F$2:$F$769,"Renewable Specialist",Assignments!$G$2:$G$769,"Active")=0),AND(IFERROR(INDEX(Templates!$H$3:$H$10,MATCH(Deals!$U189,Templates!$A$3:$A$10,0)),0)&gt;0,COUNTIFS(Assignments!$C$2:$C$769,$A237,Assignments!$F$2:$F$769,"Associate",Assignments!$G$2:$G$769,"Active")=0)))," MissingLevel","")&amp;IF(AND($C237="Proposal",Deals!$H189=0.5)," DefaultProbability","")&amp;IF($F237="No"," NoDates","")&amp;IF(AND(ISNUMBER($H237),$H237&gt;=Settings!$B$20)," Stale","")))</f>
        <v/>
      </c>
    </row>
    <row r="238">
      <c r="A238" s="16">
        <f>IF(Deals!$A190="","",Deals!$A190)</f>
        <v/>
      </c>
      <c r="B238" s="16">
        <f>IF($A238="","",Deals!$C190)</f>
        <v/>
      </c>
      <c r="C238" s="16">
        <f>IF($A238="","",Deals!$F190)</f>
        <v/>
      </c>
      <c r="D238" s="21">
        <f>IF($A238="","",Deals!$H190)</f>
        <v/>
      </c>
      <c r="E238" s="17">
        <f>IF($A238="","",Deals!$Q190)</f>
        <v/>
      </c>
      <c r="F238" s="16">
        <f>IF($A238="","",IF(AND(Deals!$I190&lt;&gt;"",Deals!$J190&lt;&gt;""),"Yes","No"))</f>
        <v/>
      </c>
      <c r="G238" s="22">
        <f>IF($A238="","",Deals!$Z190)</f>
        <v/>
      </c>
      <c r="H238" s="23">
        <f>IF(OR($A238="",$G238=""),"",INT((Settings!$B$19-$G238)/7))</f>
        <v/>
      </c>
      <c r="I238" s="24">
        <f>IF(OR($A238="",NOT(OR(Deals!$F190="Active",Deals!$F190="Proposal"))),"",TRIM(IF($E238=0," Unstaffed","")&amp;IF(IF(Deals!$U190="",FALSE,OR(AND(IFERROR(INDEX(Templates!$B$3:$B$10,MATCH(Deals!$U190,Templates!$A$3:$A$10,0)),0)&gt;0,COUNTIFS(Assignments!$C$2:$C$769,$A238,Assignments!$F$2:$F$769,"Partner",Assignments!$G$2:$G$769,"Active")=0),AND(IFERROR(INDEX(Templates!$C$3:$C$10,MATCH(Deals!$U190,Templates!$A$3:$A$10,0)),0)&gt;0,COUNTIFS(Assignments!$C$2:$C$769,$A238,Assignments!$F$2:$F$769,"MD",Assignments!$G$2:$G$769,"Active")=0),AND(IFERROR(INDEX(Templates!$D$3:$D$10,MATCH(Deals!$U190,Templates!$A$3:$A$10,0)),0)&gt;0,COUNTIFS(Assignments!$C$2:$C$769,$A238,Assignments!$F$2:$F$769,"Director",Assignments!$G$2:$G$769,"Active")=0),AND(IFERROR(INDEX(Templates!$E$3:$E$10,MATCH(Deals!$U190,Templates!$A$3:$A$10,0)),0)&gt;0,COUNTIFS(Assignments!$C$2:$C$769,$A238,Assignments!$F$2:$F$769,"VP",Assignments!$G$2:$G$769,"Active")=0),AND(IFERROR(INDEX(Templates!$F$3:$F$10,MATCH(Deals!$U190,Templates!$A$3:$A$10,0)),0)&gt;0,COUNTIFS(Assignments!$C$2:$C$769,$A238,Assignments!$F$2:$F$769,"Senior Associate",Assignments!$G$2:$G$769,"Active")=0),AND(IFERROR(INDEX(Templates!$G$3:$G$10,MATCH(Deals!$U190,Templates!$A$3:$A$10,0)),0)&gt;0,COUNTIFS(Assignments!$C$2:$C$769,$A238,Assignments!$F$2:$F$769,"Renewable Specialist",Assignments!$G$2:$G$769,"Active")=0),AND(IFERROR(INDEX(Templates!$H$3:$H$10,MATCH(Deals!$U190,Templates!$A$3:$A$10,0)),0)&gt;0,COUNTIFS(Assignments!$C$2:$C$769,$A238,Assignments!$F$2:$F$769,"Associate",Assignments!$G$2:$G$769,"Active")=0)))," MissingLevel","")&amp;IF(AND($C238="Proposal",Deals!$H190=0.5)," DefaultProbability","")&amp;IF($F238="No"," NoDates","")&amp;IF(AND(ISNUMBER($H238),$H238&gt;=Settings!$B$20)," Stale","")))</f>
        <v/>
      </c>
    </row>
    <row r="239">
      <c r="A239" s="16">
        <f>IF(Deals!$A191="","",Deals!$A191)</f>
        <v/>
      </c>
      <c r="B239" s="16">
        <f>IF($A239="","",Deals!$C191)</f>
        <v/>
      </c>
      <c r="C239" s="16">
        <f>IF($A239="","",Deals!$F191)</f>
        <v/>
      </c>
      <c r="D239" s="21">
        <f>IF($A239="","",Deals!$H191)</f>
        <v/>
      </c>
      <c r="E239" s="17">
        <f>IF($A239="","",Deals!$Q191)</f>
        <v/>
      </c>
      <c r="F239" s="16">
        <f>IF($A239="","",IF(AND(Deals!$I191&lt;&gt;"",Deals!$J191&lt;&gt;""),"Yes","No"))</f>
        <v/>
      </c>
      <c r="G239" s="22">
        <f>IF($A239="","",Deals!$Z191)</f>
        <v/>
      </c>
      <c r="H239" s="23">
        <f>IF(OR($A239="",$G239=""),"",INT((Settings!$B$19-$G239)/7))</f>
        <v/>
      </c>
      <c r="I239" s="24">
        <f>IF(OR($A239="",NOT(OR(Deals!$F191="Active",Deals!$F191="Proposal"))),"",TRIM(IF($E239=0," Unstaffed","")&amp;IF(IF(Deals!$U191="",FALSE,OR(AND(IFERROR(INDEX(Templates!$B$3:$B$10,MATCH(Deals!$U191,Templates!$A$3:$A$10,0)),0)&gt;0,COUNTIFS(Assignments!$C$2:$C$769,$A239,Assignments!$F$2:$F$769,"Partner",Assignments!$G$2:$G$769,"Active")=0),AND(IFERROR(INDEX(Templates!$C$3:$C$10,MATCH(Deals!$U191,Templates!$A$3:$A$10,0)),0)&gt;0,COUNTIFS(Assignments!$C$2:$C$769,$A239,Assignments!$F$2:$F$769,"MD",Assignments!$G$2:$G$769,"Active")=0),AND(IFERROR(INDEX(Templates!$D$3:$D$10,MATCH(Deals!$U191,Templates!$A$3:$A$10,0)),0)&gt;0,COUNTIFS(Assignments!$C$2:$C$769,$A239,Assignments!$F$2:$F$769,"Director",Assignments!$G$2:$G$769,"Active")=0),AND(IFERROR(INDEX(Templates!$E$3:$E$10,MATCH(Deals!$U191,Templates!$A$3:$A$10,0)),0)&gt;0,COUNTIFS(Assignments!$C$2:$C$769,$A239,Assignments!$F$2:$F$769,"VP",Assignments!$G$2:$G$769,"Active")=0),AND(IFERROR(INDEX(Templates!$F$3:$F$10,MATCH(Deals!$U191,Templates!$A$3:$A$10,0)),0)&gt;0,COUNTIFS(Assignments!$C$2:$C$769,$A239,Assignments!$F$2:$F$769,"Senior Associate",Assignments!$G$2:$G$769,"Active")=0),AND(IFERROR(INDEX(Templates!$G$3:$G$10,MATCH(Deals!$U191,Templates!$A$3:$A$10,0)),0)&gt;0,COUNTIFS(Assignments!$C$2:$C$769,$A239,Assignments!$F$2:$F$769,"Renewable Specialist",Assignments!$G$2:$G$769,"Active")=0),AND(IFERROR(INDEX(Templates!$H$3:$H$10,MATCH(Deals!$U191,Templates!$A$3:$A$10,0)),0)&gt;0,COUNTIFS(Assignments!$C$2:$C$769,$A239,Assignments!$F$2:$F$769,"Associate",Assignments!$G$2:$G$769,"Active")=0)))," MissingLevel","")&amp;IF(AND($C239="Proposal",Deals!$H191=0.5)," DefaultProbability","")&amp;IF($F239="No"," NoDates","")&amp;IF(AND(ISNUMBER($H239),$H239&gt;=Settings!$B$20)," Stale","")))</f>
        <v/>
      </c>
    </row>
    <row r="240">
      <c r="A240" s="16">
        <f>IF(Deals!$A192="","",Deals!$A192)</f>
        <v/>
      </c>
      <c r="B240" s="16">
        <f>IF($A240="","",Deals!$C192)</f>
        <v/>
      </c>
      <c r="C240" s="16">
        <f>IF($A240="","",Deals!$F192)</f>
        <v/>
      </c>
      <c r="D240" s="21">
        <f>IF($A240="","",Deals!$H192)</f>
        <v/>
      </c>
      <c r="E240" s="17">
        <f>IF($A240="","",Deals!$Q192)</f>
        <v/>
      </c>
      <c r="F240" s="16">
        <f>IF($A240="","",IF(AND(Deals!$I192&lt;&gt;"",Deals!$J192&lt;&gt;""),"Yes","No"))</f>
        <v/>
      </c>
      <c r="G240" s="22">
        <f>IF($A240="","",Deals!$Z192)</f>
        <v/>
      </c>
      <c r="H240" s="23">
        <f>IF(OR($A240="",$G240=""),"",INT((Settings!$B$19-$G240)/7))</f>
        <v/>
      </c>
      <c r="I240" s="24">
        <f>IF(OR($A240="",NOT(OR(Deals!$F192="Active",Deals!$F192="Proposal"))),"",TRIM(IF($E240=0," Unstaffed","")&amp;IF(IF(Deals!$U192="",FALSE,OR(AND(IFERROR(INDEX(Templates!$B$3:$B$10,MATCH(Deals!$U192,Templates!$A$3:$A$10,0)),0)&gt;0,COUNTIFS(Assignments!$C$2:$C$769,$A240,Assignments!$F$2:$F$769,"Partner",Assignments!$G$2:$G$769,"Active")=0),AND(IFERROR(INDEX(Templates!$C$3:$C$10,MATCH(Deals!$U192,Templates!$A$3:$A$10,0)),0)&gt;0,COUNTIFS(Assignments!$C$2:$C$769,$A240,Assignments!$F$2:$F$769,"MD",Assignments!$G$2:$G$769,"Active")=0),AND(IFERROR(INDEX(Templates!$D$3:$D$10,MATCH(Deals!$U192,Templates!$A$3:$A$10,0)),0)&gt;0,COUNTIFS(Assignments!$C$2:$C$769,$A240,Assignments!$F$2:$F$769,"Director",Assignments!$G$2:$G$769,"Active")=0),AND(IFERROR(INDEX(Templates!$E$3:$E$10,MATCH(Deals!$U192,Templates!$A$3:$A$10,0)),0)&gt;0,COUNTIFS(Assignments!$C$2:$C$769,$A240,Assignments!$F$2:$F$769,"VP",Assignments!$G$2:$G$769,"Active")=0),AND(IFERROR(INDEX(Templates!$F$3:$F$10,MATCH(Deals!$U192,Templates!$A$3:$A$10,0)),0)&gt;0,COUNTIFS(Assignments!$C$2:$C$769,$A240,Assignments!$F$2:$F$769,"Senior Associate",Assignments!$G$2:$G$769,"Active")=0),AND(IFERROR(INDEX(Templates!$G$3:$G$10,MATCH(Deals!$U192,Templates!$A$3:$A$10,0)),0)&gt;0,COUNTIFS(Assignments!$C$2:$C$769,$A240,Assignments!$F$2:$F$769,"Renewable Specialist",Assignments!$G$2:$G$769,"Active")=0),AND(IFERROR(INDEX(Templates!$H$3:$H$10,MATCH(Deals!$U192,Templates!$A$3:$A$10,0)),0)&gt;0,COUNTIFS(Assignments!$C$2:$C$769,$A240,Assignments!$F$2:$F$769,"Associate",Assignments!$G$2:$G$769,"Active")=0)))," MissingLevel","")&amp;IF(AND($C240="Proposal",Deals!$H192=0.5)," DefaultProbability","")&amp;IF($F240="No"," NoDates","")&amp;IF(AND(ISNUMBER($H240),$H240&gt;=Settings!$B$20)," Stale","")))</f>
        <v/>
      </c>
    </row>
    <row r="241">
      <c r="A241" s="16">
        <f>IF(Deals!$A193="","",Deals!$A193)</f>
        <v/>
      </c>
      <c r="B241" s="16">
        <f>IF($A241="","",Deals!$C193)</f>
        <v/>
      </c>
      <c r="C241" s="16">
        <f>IF($A241="","",Deals!$F193)</f>
        <v/>
      </c>
      <c r="D241" s="21">
        <f>IF($A241="","",Deals!$H193)</f>
        <v/>
      </c>
      <c r="E241" s="17">
        <f>IF($A241="","",Deals!$Q193)</f>
        <v/>
      </c>
      <c r="F241" s="16">
        <f>IF($A241="","",IF(AND(Deals!$I193&lt;&gt;"",Deals!$J193&lt;&gt;""),"Yes","No"))</f>
        <v/>
      </c>
      <c r="G241" s="22">
        <f>IF($A241="","",Deals!$Z193)</f>
        <v/>
      </c>
      <c r="H241" s="23">
        <f>IF(OR($A241="",$G241=""),"",INT((Settings!$B$19-$G241)/7))</f>
        <v/>
      </c>
      <c r="I241" s="24">
        <f>IF(OR($A241="",NOT(OR(Deals!$F193="Active",Deals!$F193="Proposal"))),"",TRIM(IF($E241=0," Unstaffed","")&amp;IF(IF(Deals!$U193="",FALSE,OR(AND(IFERROR(INDEX(Templates!$B$3:$B$10,MATCH(Deals!$U193,Templates!$A$3:$A$10,0)),0)&gt;0,COUNTIFS(Assignments!$C$2:$C$769,$A241,Assignments!$F$2:$F$769,"Partner",Assignments!$G$2:$G$769,"Active")=0),AND(IFERROR(INDEX(Templates!$C$3:$C$10,MATCH(Deals!$U193,Templates!$A$3:$A$10,0)),0)&gt;0,COUNTIFS(Assignments!$C$2:$C$769,$A241,Assignments!$F$2:$F$769,"MD",Assignments!$G$2:$G$769,"Active")=0),AND(IFERROR(INDEX(Templates!$D$3:$D$10,MATCH(Deals!$U193,Templates!$A$3:$A$10,0)),0)&gt;0,COUNTIFS(Assignments!$C$2:$C$769,$A241,Assignments!$F$2:$F$769,"Director",Assignments!$G$2:$G$769,"Active")=0),AND(IFERROR(INDEX(Templates!$E$3:$E$10,MATCH(Deals!$U193,Templates!$A$3:$A$10,0)),0)&gt;0,COUNTIFS(Assignments!$C$2:$C$769,$A241,Assignments!$F$2:$F$769,"VP",Assignments!$G$2:$G$769,"Active")=0),AND(IFERROR(INDEX(Templates!$F$3:$F$10,MATCH(Deals!$U193,Templates!$A$3:$A$10,0)),0)&gt;0,COUNTIFS(Assignments!$C$2:$C$769,$A241,Assignments!$F$2:$F$769,"Senior Associate",Assignments!$G$2:$G$769,"Active")=0),AND(IFERROR(INDEX(Templates!$G$3:$G$10,MATCH(Deals!$U193,Templates!$A$3:$A$10,0)),0)&gt;0,COUNTIFS(Assignments!$C$2:$C$769,$A241,Assignments!$F$2:$F$769,"Renewable Specialist",Assignments!$G$2:$G$769,"Active")=0),AND(IFERROR(INDEX(Templates!$H$3:$H$10,MATCH(Deals!$U193,Templates!$A$3:$A$10,0)),0)&gt;0,COUNTIFS(Assignments!$C$2:$C$769,$A241,Assignments!$F$2:$F$769,"Associate",Assignments!$G$2:$G$769,"Active")=0)))," MissingLevel","")&amp;IF(AND($C241="Proposal",Deals!$H193=0.5)," DefaultProbability","")&amp;IF($F241="No"," NoDates","")&amp;IF(AND(ISNUMBER($H241),$H241&gt;=Settings!$B$20)," Stale","")))</f>
        <v/>
      </c>
    </row>
    <row r="242">
      <c r="A242" s="16">
        <f>IF(Deals!$A194="","",Deals!$A194)</f>
        <v/>
      </c>
      <c r="B242" s="16">
        <f>IF($A242="","",Deals!$C194)</f>
        <v/>
      </c>
      <c r="C242" s="16">
        <f>IF($A242="","",Deals!$F194)</f>
        <v/>
      </c>
      <c r="D242" s="21">
        <f>IF($A242="","",Deals!$H194)</f>
        <v/>
      </c>
      <c r="E242" s="17">
        <f>IF($A242="","",Deals!$Q194)</f>
        <v/>
      </c>
      <c r="F242" s="16">
        <f>IF($A242="","",IF(AND(Deals!$I194&lt;&gt;"",Deals!$J194&lt;&gt;""),"Yes","No"))</f>
        <v/>
      </c>
      <c r="G242" s="22">
        <f>IF($A242="","",Deals!$Z194)</f>
        <v/>
      </c>
      <c r="H242" s="23">
        <f>IF(OR($A242="",$G242=""),"",INT((Settings!$B$19-$G242)/7))</f>
        <v/>
      </c>
      <c r="I242" s="24">
        <f>IF(OR($A242="",NOT(OR(Deals!$F194="Active",Deals!$F194="Proposal"))),"",TRIM(IF($E242=0," Unstaffed","")&amp;IF(IF(Deals!$U194="",FALSE,OR(AND(IFERROR(INDEX(Templates!$B$3:$B$10,MATCH(Deals!$U194,Templates!$A$3:$A$10,0)),0)&gt;0,COUNTIFS(Assignments!$C$2:$C$769,$A242,Assignments!$F$2:$F$769,"Partner",Assignments!$G$2:$G$769,"Active")=0),AND(IFERROR(INDEX(Templates!$C$3:$C$10,MATCH(Deals!$U194,Templates!$A$3:$A$10,0)),0)&gt;0,COUNTIFS(Assignments!$C$2:$C$769,$A242,Assignments!$F$2:$F$769,"MD",Assignments!$G$2:$G$769,"Active")=0),AND(IFERROR(INDEX(Templates!$D$3:$D$10,MATCH(Deals!$U194,Templates!$A$3:$A$10,0)),0)&gt;0,COUNTIFS(Assignments!$C$2:$C$769,$A242,Assignments!$F$2:$F$769,"Director",Assignments!$G$2:$G$769,"Active")=0),AND(IFERROR(INDEX(Templates!$E$3:$E$10,MATCH(Deals!$U194,Templates!$A$3:$A$10,0)),0)&gt;0,COUNTIFS(Assignments!$C$2:$C$769,$A242,Assignments!$F$2:$F$769,"VP",Assignments!$G$2:$G$769,"Active")=0),AND(IFERROR(INDEX(Templates!$F$3:$F$10,MATCH(Deals!$U194,Templates!$A$3:$A$10,0)),0)&gt;0,COUNTIFS(Assignments!$C$2:$C$769,$A242,Assignments!$F$2:$F$769,"Senior Associate",Assignments!$G$2:$G$769,"Active")=0),AND(IFERROR(INDEX(Templates!$G$3:$G$10,MATCH(Deals!$U194,Templates!$A$3:$A$10,0)),0)&gt;0,COUNTIFS(Assignments!$C$2:$C$769,$A242,Assignments!$F$2:$F$769,"Renewable Specialist",Assignments!$G$2:$G$769,"Active")=0),AND(IFERROR(INDEX(Templates!$H$3:$H$10,MATCH(Deals!$U194,Templates!$A$3:$A$10,0)),0)&gt;0,COUNTIFS(Assignments!$C$2:$C$769,$A242,Assignments!$F$2:$F$769,"Associate",Assignments!$G$2:$G$769,"Active")=0)))," MissingLevel","")&amp;IF(AND($C242="Proposal",Deals!$H194=0.5)," DefaultProbability","")&amp;IF($F242="No"," NoDates","")&amp;IF(AND(ISNUMBER($H242),$H242&gt;=Settings!$B$20)," Stale","")))</f>
        <v/>
      </c>
    </row>
    <row r="243">
      <c r="A243" s="16">
        <f>IF(Deals!$A195="","",Deals!$A195)</f>
        <v/>
      </c>
      <c r="B243" s="16">
        <f>IF($A243="","",Deals!$C195)</f>
        <v/>
      </c>
      <c r="C243" s="16">
        <f>IF($A243="","",Deals!$F195)</f>
        <v/>
      </c>
      <c r="D243" s="21">
        <f>IF($A243="","",Deals!$H195)</f>
        <v/>
      </c>
      <c r="E243" s="17">
        <f>IF($A243="","",Deals!$Q195)</f>
        <v/>
      </c>
      <c r="F243" s="16">
        <f>IF($A243="","",IF(AND(Deals!$I195&lt;&gt;"",Deals!$J195&lt;&gt;""),"Yes","No"))</f>
        <v/>
      </c>
      <c r="G243" s="22">
        <f>IF($A243="","",Deals!$Z195)</f>
        <v/>
      </c>
      <c r="H243" s="23">
        <f>IF(OR($A243="",$G243=""),"",INT((Settings!$B$19-$G243)/7))</f>
        <v/>
      </c>
      <c r="I243" s="24">
        <f>IF(OR($A243="",NOT(OR(Deals!$F195="Active",Deals!$F195="Proposal"))),"",TRIM(IF($E243=0," Unstaffed","")&amp;IF(IF(Deals!$U195="",FALSE,OR(AND(IFERROR(INDEX(Templates!$B$3:$B$10,MATCH(Deals!$U195,Templates!$A$3:$A$10,0)),0)&gt;0,COUNTIFS(Assignments!$C$2:$C$769,$A243,Assignments!$F$2:$F$769,"Partner",Assignments!$G$2:$G$769,"Active")=0),AND(IFERROR(INDEX(Templates!$C$3:$C$10,MATCH(Deals!$U195,Templates!$A$3:$A$10,0)),0)&gt;0,COUNTIFS(Assignments!$C$2:$C$769,$A243,Assignments!$F$2:$F$769,"MD",Assignments!$G$2:$G$769,"Active")=0),AND(IFERROR(INDEX(Templates!$D$3:$D$10,MATCH(Deals!$U195,Templates!$A$3:$A$10,0)),0)&gt;0,COUNTIFS(Assignments!$C$2:$C$769,$A243,Assignments!$F$2:$F$769,"Director",Assignments!$G$2:$G$769,"Active")=0),AND(IFERROR(INDEX(Templates!$E$3:$E$10,MATCH(Deals!$U195,Templates!$A$3:$A$10,0)),0)&gt;0,COUNTIFS(Assignments!$C$2:$C$769,$A243,Assignments!$F$2:$F$769,"VP",Assignments!$G$2:$G$769,"Active")=0),AND(IFERROR(INDEX(Templates!$F$3:$F$10,MATCH(Deals!$U195,Templates!$A$3:$A$10,0)),0)&gt;0,COUNTIFS(Assignments!$C$2:$C$769,$A243,Assignments!$F$2:$F$769,"Senior Associate",Assignments!$G$2:$G$769,"Active")=0),AND(IFERROR(INDEX(Templates!$G$3:$G$10,MATCH(Deals!$U195,Templates!$A$3:$A$10,0)),0)&gt;0,COUNTIFS(Assignments!$C$2:$C$769,$A243,Assignments!$F$2:$F$769,"Renewable Specialist",Assignments!$G$2:$G$769,"Active")=0),AND(IFERROR(INDEX(Templates!$H$3:$H$10,MATCH(Deals!$U195,Templates!$A$3:$A$10,0)),0)&gt;0,COUNTIFS(Assignments!$C$2:$C$769,$A243,Assignments!$F$2:$F$769,"Associate",Assignments!$G$2:$G$769,"Active")=0)))," MissingLevel","")&amp;IF(AND($C243="Proposal",Deals!$H195=0.5)," DefaultProbability","")&amp;IF($F243="No"," NoDates","")&amp;IF(AND(ISNUMBER($H243),$H243&gt;=Settings!$B$20)," Stale","")))</f>
        <v/>
      </c>
    </row>
    <row r="244">
      <c r="A244" s="16">
        <f>IF(Deals!$A196="","",Deals!$A196)</f>
        <v/>
      </c>
      <c r="B244" s="16">
        <f>IF($A244="","",Deals!$C196)</f>
        <v/>
      </c>
      <c r="C244" s="16">
        <f>IF($A244="","",Deals!$F196)</f>
        <v/>
      </c>
      <c r="D244" s="21">
        <f>IF($A244="","",Deals!$H196)</f>
        <v/>
      </c>
      <c r="E244" s="17">
        <f>IF($A244="","",Deals!$Q196)</f>
        <v/>
      </c>
      <c r="F244" s="16">
        <f>IF($A244="","",IF(AND(Deals!$I196&lt;&gt;"",Deals!$J196&lt;&gt;""),"Yes","No"))</f>
        <v/>
      </c>
      <c r="G244" s="22">
        <f>IF($A244="","",Deals!$Z196)</f>
        <v/>
      </c>
      <c r="H244" s="23">
        <f>IF(OR($A244="",$G244=""),"",INT((Settings!$B$19-$G244)/7))</f>
        <v/>
      </c>
      <c r="I244" s="24">
        <f>IF(OR($A244="",NOT(OR(Deals!$F196="Active",Deals!$F196="Proposal"))),"",TRIM(IF($E244=0," Unstaffed","")&amp;IF(IF(Deals!$U196="",FALSE,OR(AND(IFERROR(INDEX(Templates!$B$3:$B$10,MATCH(Deals!$U196,Templates!$A$3:$A$10,0)),0)&gt;0,COUNTIFS(Assignments!$C$2:$C$769,$A244,Assignments!$F$2:$F$769,"Partner",Assignments!$G$2:$G$769,"Active")=0),AND(IFERROR(INDEX(Templates!$C$3:$C$10,MATCH(Deals!$U196,Templates!$A$3:$A$10,0)),0)&gt;0,COUNTIFS(Assignments!$C$2:$C$769,$A244,Assignments!$F$2:$F$769,"MD",Assignments!$G$2:$G$769,"Active")=0),AND(IFERROR(INDEX(Templates!$D$3:$D$10,MATCH(Deals!$U196,Templates!$A$3:$A$10,0)),0)&gt;0,COUNTIFS(Assignments!$C$2:$C$769,$A244,Assignments!$F$2:$F$769,"Director",Assignments!$G$2:$G$769,"Active")=0),AND(IFERROR(INDEX(Templates!$E$3:$E$10,MATCH(Deals!$U196,Templates!$A$3:$A$10,0)),0)&gt;0,COUNTIFS(Assignments!$C$2:$C$769,$A244,Assignments!$F$2:$F$769,"VP",Assignments!$G$2:$G$769,"Active")=0),AND(IFERROR(INDEX(Templates!$F$3:$F$10,MATCH(Deals!$U196,Templates!$A$3:$A$10,0)),0)&gt;0,COUNTIFS(Assignments!$C$2:$C$769,$A244,Assignments!$F$2:$F$769,"Senior Associate",Assignments!$G$2:$G$769,"Active")=0),AND(IFERROR(INDEX(Templates!$G$3:$G$10,MATCH(Deals!$U196,Templates!$A$3:$A$10,0)),0)&gt;0,COUNTIFS(Assignments!$C$2:$C$769,$A244,Assignments!$F$2:$F$769,"Renewable Specialist",Assignments!$G$2:$G$769,"Active")=0),AND(IFERROR(INDEX(Templates!$H$3:$H$10,MATCH(Deals!$U196,Templates!$A$3:$A$10,0)),0)&gt;0,COUNTIFS(Assignments!$C$2:$C$769,$A244,Assignments!$F$2:$F$769,"Associate",Assignments!$G$2:$G$769,"Active")=0)))," MissingLevel","")&amp;IF(AND($C244="Proposal",Deals!$H196=0.5)," DefaultProbability","")&amp;IF($F244="No"," NoDates","")&amp;IF(AND(ISNUMBER($H244),$H244&gt;=Settings!$B$20)," Stale","")))</f>
        <v/>
      </c>
    </row>
    <row r="245">
      <c r="A245" s="16">
        <f>IF(Deals!$A197="","",Deals!$A197)</f>
        <v/>
      </c>
      <c r="B245" s="16">
        <f>IF($A245="","",Deals!$C197)</f>
        <v/>
      </c>
      <c r="C245" s="16">
        <f>IF($A245="","",Deals!$F197)</f>
        <v/>
      </c>
      <c r="D245" s="21">
        <f>IF($A245="","",Deals!$H197)</f>
        <v/>
      </c>
      <c r="E245" s="17">
        <f>IF($A245="","",Deals!$Q197)</f>
        <v/>
      </c>
      <c r="F245" s="16">
        <f>IF($A245="","",IF(AND(Deals!$I197&lt;&gt;"",Deals!$J197&lt;&gt;""),"Yes","No"))</f>
        <v/>
      </c>
      <c r="G245" s="22">
        <f>IF($A245="","",Deals!$Z197)</f>
        <v/>
      </c>
      <c r="H245" s="23">
        <f>IF(OR($A245="",$G245=""),"",INT((Settings!$B$19-$G245)/7))</f>
        <v/>
      </c>
      <c r="I245" s="24">
        <f>IF(OR($A245="",NOT(OR(Deals!$F197="Active",Deals!$F197="Proposal"))),"",TRIM(IF($E245=0," Unstaffed","")&amp;IF(IF(Deals!$U197="",FALSE,OR(AND(IFERROR(INDEX(Templates!$B$3:$B$10,MATCH(Deals!$U197,Templates!$A$3:$A$10,0)),0)&gt;0,COUNTIFS(Assignments!$C$2:$C$769,$A245,Assignments!$F$2:$F$769,"Partner",Assignments!$G$2:$G$769,"Active")=0),AND(IFERROR(INDEX(Templates!$C$3:$C$10,MATCH(Deals!$U197,Templates!$A$3:$A$10,0)),0)&gt;0,COUNTIFS(Assignments!$C$2:$C$769,$A245,Assignments!$F$2:$F$769,"MD",Assignments!$G$2:$G$769,"Active")=0),AND(IFERROR(INDEX(Templates!$D$3:$D$10,MATCH(Deals!$U197,Templates!$A$3:$A$10,0)),0)&gt;0,COUNTIFS(Assignments!$C$2:$C$769,$A245,Assignments!$F$2:$F$769,"Director",Assignments!$G$2:$G$769,"Active")=0),AND(IFERROR(INDEX(Templates!$E$3:$E$10,MATCH(Deals!$U197,Templates!$A$3:$A$10,0)),0)&gt;0,COUNTIFS(Assignments!$C$2:$C$769,$A245,Assignments!$F$2:$F$769,"VP",Assignments!$G$2:$G$769,"Active")=0),AND(IFERROR(INDEX(Templates!$F$3:$F$10,MATCH(Deals!$U197,Templates!$A$3:$A$10,0)),0)&gt;0,COUNTIFS(Assignments!$C$2:$C$769,$A245,Assignments!$F$2:$F$769,"Senior Associate",Assignments!$G$2:$G$769,"Active")=0),AND(IFERROR(INDEX(Templates!$G$3:$G$10,MATCH(Deals!$U197,Templates!$A$3:$A$10,0)),0)&gt;0,COUNTIFS(Assignments!$C$2:$C$769,$A245,Assignments!$F$2:$F$769,"Renewable Specialist",Assignments!$G$2:$G$769,"Active")=0),AND(IFERROR(INDEX(Templates!$H$3:$H$10,MATCH(Deals!$U197,Templates!$A$3:$A$10,0)),0)&gt;0,COUNTIFS(Assignments!$C$2:$C$769,$A245,Assignments!$F$2:$F$769,"Associate",Assignments!$G$2:$G$769,"Active")=0)))," MissingLevel","")&amp;IF(AND($C245="Proposal",Deals!$H197=0.5)," DefaultProbability","")&amp;IF($F245="No"," NoDates","")&amp;IF(AND(ISNUMBER($H245),$H245&gt;=Settings!$B$20)," Stale","")))</f>
        <v/>
      </c>
    </row>
    <row r="246">
      <c r="A246" s="16">
        <f>IF(Deals!$A198="","",Deals!$A198)</f>
        <v/>
      </c>
      <c r="B246" s="16">
        <f>IF($A246="","",Deals!$C198)</f>
        <v/>
      </c>
      <c r="C246" s="16">
        <f>IF($A246="","",Deals!$F198)</f>
        <v/>
      </c>
      <c r="D246" s="21">
        <f>IF($A246="","",Deals!$H198)</f>
        <v/>
      </c>
      <c r="E246" s="17">
        <f>IF($A246="","",Deals!$Q198)</f>
        <v/>
      </c>
      <c r="F246" s="16">
        <f>IF($A246="","",IF(AND(Deals!$I198&lt;&gt;"",Deals!$J198&lt;&gt;""),"Yes","No"))</f>
        <v/>
      </c>
      <c r="G246" s="22">
        <f>IF($A246="","",Deals!$Z198)</f>
        <v/>
      </c>
      <c r="H246" s="23">
        <f>IF(OR($A246="",$G246=""),"",INT((Settings!$B$19-$G246)/7))</f>
        <v/>
      </c>
      <c r="I246" s="24">
        <f>IF(OR($A246="",NOT(OR(Deals!$F198="Active",Deals!$F198="Proposal"))),"",TRIM(IF($E246=0," Unstaffed","")&amp;IF(IF(Deals!$U198="",FALSE,OR(AND(IFERROR(INDEX(Templates!$B$3:$B$10,MATCH(Deals!$U198,Templates!$A$3:$A$10,0)),0)&gt;0,COUNTIFS(Assignments!$C$2:$C$769,$A246,Assignments!$F$2:$F$769,"Partner",Assignments!$G$2:$G$769,"Active")=0),AND(IFERROR(INDEX(Templates!$C$3:$C$10,MATCH(Deals!$U198,Templates!$A$3:$A$10,0)),0)&gt;0,COUNTIFS(Assignments!$C$2:$C$769,$A246,Assignments!$F$2:$F$769,"MD",Assignments!$G$2:$G$769,"Active")=0),AND(IFERROR(INDEX(Templates!$D$3:$D$10,MATCH(Deals!$U198,Templates!$A$3:$A$10,0)),0)&gt;0,COUNTIFS(Assignments!$C$2:$C$769,$A246,Assignments!$F$2:$F$769,"Director",Assignments!$G$2:$G$769,"Active")=0),AND(IFERROR(INDEX(Templates!$E$3:$E$10,MATCH(Deals!$U198,Templates!$A$3:$A$10,0)),0)&gt;0,COUNTIFS(Assignments!$C$2:$C$769,$A246,Assignments!$F$2:$F$769,"VP",Assignments!$G$2:$G$769,"Active")=0),AND(IFERROR(INDEX(Templates!$F$3:$F$10,MATCH(Deals!$U198,Templates!$A$3:$A$10,0)),0)&gt;0,COUNTIFS(Assignments!$C$2:$C$769,$A246,Assignments!$F$2:$F$769,"Senior Associate",Assignments!$G$2:$G$769,"Active")=0),AND(IFERROR(INDEX(Templates!$G$3:$G$10,MATCH(Deals!$U198,Templates!$A$3:$A$10,0)),0)&gt;0,COUNTIFS(Assignments!$C$2:$C$769,$A246,Assignments!$F$2:$F$769,"Renewable Specialist",Assignments!$G$2:$G$769,"Active")=0),AND(IFERROR(INDEX(Templates!$H$3:$H$10,MATCH(Deals!$U198,Templates!$A$3:$A$10,0)),0)&gt;0,COUNTIFS(Assignments!$C$2:$C$769,$A246,Assignments!$F$2:$F$769,"Associate",Assignments!$G$2:$G$769,"Active")=0)))," MissingLevel","")&amp;IF(AND($C246="Proposal",Deals!$H198=0.5)," DefaultProbability","")&amp;IF($F246="No"," NoDates","")&amp;IF(AND(ISNUMBER($H246),$H246&gt;=Settings!$B$20)," Stale","")))</f>
        <v/>
      </c>
    </row>
    <row r="247">
      <c r="A247" s="16">
        <f>IF(Deals!$A199="","",Deals!$A199)</f>
        <v/>
      </c>
      <c r="B247" s="16">
        <f>IF($A247="","",Deals!$C199)</f>
        <v/>
      </c>
      <c r="C247" s="16">
        <f>IF($A247="","",Deals!$F199)</f>
        <v/>
      </c>
      <c r="D247" s="21">
        <f>IF($A247="","",Deals!$H199)</f>
        <v/>
      </c>
      <c r="E247" s="17">
        <f>IF($A247="","",Deals!$Q199)</f>
        <v/>
      </c>
      <c r="F247" s="16">
        <f>IF($A247="","",IF(AND(Deals!$I199&lt;&gt;"",Deals!$J199&lt;&gt;""),"Yes","No"))</f>
        <v/>
      </c>
      <c r="G247" s="22">
        <f>IF($A247="","",Deals!$Z199)</f>
        <v/>
      </c>
      <c r="H247" s="23">
        <f>IF(OR($A247="",$G247=""),"",INT((Settings!$B$19-$G247)/7))</f>
        <v/>
      </c>
      <c r="I247" s="24">
        <f>IF(OR($A247="",NOT(OR(Deals!$F199="Active",Deals!$F199="Proposal"))),"",TRIM(IF($E247=0," Unstaffed","")&amp;IF(IF(Deals!$U199="",FALSE,OR(AND(IFERROR(INDEX(Templates!$B$3:$B$10,MATCH(Deals!$U199,Templates!$A$3:$A$10,0)),0)&gt;0,COUNTIFS(Assignments!$C$2:$C$769,$A247,Assignments!$F$2:$F$769,"Partner",Assignments!$G$2:$G$769,"Active")=0),AND(IFERROR(INDEX(Templates!$C$3:$C$10,MATCH(Deals!$U199,Templates!$A$3:$A$10,0)),0)&gt;0,COUNTIFS(Assignments!$C$2:$C$769,$A247,Assignments!$F$2:$F$769,"MD",Assignments!$G$2:$G$769,"Active")=0),AND(IFERROR(INDEX(Templates!$D$3:$D$10,MATCH(Deals!$U199,Templates!$A$3:$A$10,0)),0)&gt;0,COUNTIFS(Assignments!$C$2:$C$769,$A247,Assignments!$F$2:$F$769,"Director",Assignments!$G$2:$G$769,"Active")=0),AND(IFERROR(INDEX(Templates!$E$3:$E$10,MATCH(Deals!$U199,Templates!$A$3:$A$10,0)),0)&gt;0,COUNTIFS(Assignments!$C$2:$C$769,$A247,Assignments!$F$2:$F$769,"VP",Assignments!$G$2:$G$769,"Active")=0),AND(IFERROR(INDEX(Templates!$F$3:$F$10,MATCH(Deals!$U199,Templates!$A$3:$A$10,0)),0)&gt;0,COUNTIFS(Assignments!$C$2:$C$769,$A247,Assignments!$F$2:$F$769,"Senior Associate",Assignments!$G$2:$G$769,"Active")=0),AND(IFERROR(INDEX(Templates!$G$3:$G$10,MATCH(Deals!$U199,Templates!$A$3:$A$10,0)),0)&gt;0,COUNTIFS(Assignments!$C$2:$C$769,$A247,Assignments!$F$2:$F$769,"Renewable Specialist",Assignments!$G$2:$G$769,"Active")=0),AND(IFERROR(INDEX(Templates!$H$3:$H$10,MATCH(Deals!$U199,Templates!$A$3:$A$10,0)),0)&gt;0,COUNTIFS(Assignments!$C$2:$C$769,$A247,Assignments!$F$2:$F$769,"Associate",Assignments!$G$2:$G$769,"Active")=0)))," MissingLevel","")&amp;IF(AND($C247="Proposal",Deals!$H199=0.5)," DefaultProbability","")&amp;IF($F247="No"," NoDates","")&amp;IF(AND(ISNUMBER($H247),$H247&gt;=Settings!$B$20)," Stale","")))</f>
        <v/>
      </c>
    </row>
    <row r="248">
      <c r="A248" s="16">
        <f>IF(Deals!$A200="","",Deals!$A200)</f>
        <v/>
      </c>
      <c r="B248" s="16">
        <f>IF($A248="","",Deals!$C200)</f>
        <v/>
      </c>
      <c r="C248" s="16">
        <f>IF($A248="","",Deals!$F200)</f>
        <v/>
      </c>
      <c r="D248" s="21">
        <f>IF($A248="","",Deals!$H200)</f>
        <v/>
      </c>
      <c r="E248" s="17">
        <f>IF($A248="","",Deals!$Q200)</f>
        <v/>
      </c>
      <c r="F248" s="16">
        <f>IF($A248="","",IF(AND(Deals!$I200&lt;&gt;"",Deals!$J200&lt;&gt;""),"Yes","No"))</f>
        <v/>
      </c>
      <c r="G248" s="22">
        <f>IF($A248="","",Deals!$Z200)</f>
        <v/>
      </c>
      <c r="H248" s="23">
        <f>IF(OR($A248="",$G248=""),"",INT((Settings!$B$19-$G248)/7))</f>
        <v/>
      </c>
      <c r="I248" s="24">
        <f>IF(OR($A248="",NOT(OR(Deals!$F200="Active",Deals!$F200="Proposal"))),"",TRIM(IF($E248=0," Unstaffed","")&amp;IF(IF(Deals!$U200="",FALSE,OR(AND(IFERROR(INDEX(Templates!$B$3:$B$10,MATCH(Deals!$U200,Templates!$A$3:$A$10,0)),0)&gt;0,COUNTIFS(Assignments!$C$2:$C$769,$A248,Assignments!$F$2:$F$769,"Partner",Assignments!$G$2:$G$769,"Active")=0),AND(IFERROR(INDEX(Templates!$C$3:$C$10,MATCH(Deals!$U200,Templates!$A$3:$A$10,0)),0)&gt;0,COUNTIFS(Assignments!$C$2:$C$769,$A248,Assignments!$F$2:$F$769,"MD",Assignments!$G$2:$G$769,"Active")=0),AND(IFERROR(INDEX(Templates!$D$3:$D$10,MATCH(Deals!$U200,Templates!$A$3:$A$10,0)),0)&gt;0,COUNTIFS(Assignments!$C$2:$C$769,$A248,Assignments!$F$2:$F$769,"Director",Assignments!$G$2:$G$769,"Active")=0),AND(IFERROR(INDEX(Templates!$E$3:$E$10,MATCH(Deals!$U200,Templates!$A$3:$A$10,0)),0)&gt;0,COUNTIFS(Assignments!$C$2:$C$769,$A248,Assignments!$F$2:$F$769,"VP",Assignments!$G$2:$G$769,"Active")=0),AND(IFERROR(INDEX(Templates!$F$3:$F$10,MATCH(Deals!$U200,Templates!$A$3:$A$10,0)),0)&gt;0,COUNTIFS(Assignments!$C$2:$C$769,$A248,Assignments!$F$2:$F$769,"Senior Associate",Assignments!$G$2:$G$769,"Active")=0),AND(IFERROR(INDEX(Templates!$G$3:$G$10,MATCH(Deals!$U200,Templates!$A$3:$A$10,0)),0)&gt;0,COUNTIFS(Assignments!$C$2:$C$769,$A248,Assignments!$F$2:$F$769,"Renewable Specialist",Assignments!$G$2:$G$769,"Active")=0),AND(IFERROR(INDEX(Templates!$H$3:$H$10,MATCH(Deals!$U200,Templates!$A$3:$A$10,0)),0)&gt;0,COUNTIFS(Assignments!$C$2:$C$769,$A248,Assignments!$F$2:$F$769,"Associate",Assignments!$G$2:$G$769,"Active")=0)))," MissingLevel","")&amp;IF(AND($C248="Proposal",Deals!$H200=0.5)," DefaultProbability","")&amp;IF($F248="No"," NoDates","")&amp;IF(AND(ISNUMBER($H248),$H248&gt;=Settings!$B$20)," Stale","")))</f>
        <v/>
      </c>
    </row>
    <row r="249">
      <c r="A249" s="16">
        <f>IF(Deals!$A201="","",Deals!$A201)</f>
        <v/>
      </c>
      <c r="B249" s="16">
        <f>IF($A249="","",Deals!$C201)</f>
        <v/>
      </c>
      <c r="C249" s="16">
        <f>IF($A249="","",Deals!$F201)</f>
        <v/>
      </c>
      <c r="D249" s="21">
        <f>IF($A249="","",Deals!$H201)</f>
        <v/>
      </c>
      <c r="E249" s="17">
        <f>IF($A249="","",Deals!$Q201)</f>
        <v/>
      </c>
      <c r="F249" s="16">
        <f>IF($A249="","",IF(AND(Deals!$I201&lt;&gt;"",Deals!$J201&lt;&gt;""),"Yes","No"))</f>
        <v/>
      </c>
      <c r="G249" s="22">
        <f>IF($A249="","",Deals!$Z201)</f>
        <v/>
      </c>
      <c r="H249" s="23">
        <f>IF(OR($A249="",$G249=""),"",INT((Settings!$B$19-$G249)/7))</f>
        <v/>
      </c>
      <c r="I249" s="24">
        <f>IF(OR($A249="",NOT(OR(Deals!$F201="Active",Deals!$F201="Proposal"))),"",TRIM(IF($E249=0," Unstaffed","")&amp;IF(IF(Deals!$U201="",FALSE,OR(AND(IFERROR(INDEX(Templates!$B$3:$B$10,MATCH(Deals!$U201,Templates!$A$3:$A$10,0)),0)&gt;0,COUNTIFS(Assignments!$C$2:$C$769,$A249,Assignments!$F$2:$F$769,"Partner",Assignments!$G$2:$G$769,"Active")=0),AND(IFERROR(INDEX(Templates!$C$3:$C$10,MATCH(Deals!$U201,Templates!$A$3:$A$10,0)),0)&gt;0,COUNTIFS(Assignments!$C$2:$C$769,$A249,Assignments!$F$2:$F$769,"MD",Assignments!$G$2:$G$769,"Active")=0),AND(IFERROR(INDEX(Templates!$D$3:$D$10,MATCH(Deals!$U201,Templates!$A$3:$A$10,0)),0)&gt;0,COUNTIFS(Assignments!$C$2:$C$769,$A249,Assignments!$F$2:$F$769,"Director",Assignments!$G$2:$G$769,"Active")=0),AND(IFERROR(INDEX(Templates!$E$3:$E$10,MATCH(Deals!$U201,Templates!$A$3:$A$10,0)),0)&gt;0,COUNTIFS(Assignments!$C$2:$C$769,$A249,Assignments!$F$2:$F$769,"VP",Assignments!$G$2:$G$769,"Active")=0),AND(IFERROR(INDEX(Templates!$F$3:$F$10,MATCH(Deals!$U201,Templates!$A$3:$A$10,0)),0)&gt;0,COUNTIFS(Assignments!$C$2:$C$769,$A249,Assignments!$F$2:$F$769,"Senior Associate",Assignments!$G$2:$G$769,"Active")=0),AND(IFERROR(INDEX(Templates!$G$3:$G$10,MATCH(Deals!$U201,Templates!$A$3:$A$10,0)),0)&gt;0,COUNTIFS(Assignments!$C$2:$C$769,$A249,Assignments!$F$2:$F$769,"Renewable Specialist",Assignments!$G$2:$G$769,"Active")=0),AND(IFERROR(INDEX(Templates!$H$3:$H$10,MATCH(Deals!$U201,Templates!$A$3:$A$10,0)),0)&gt;0,COUNTIFS(Assignments!$C$2:$C$769,$A249,Assignments!$F$2:$F$769,"Associate",Assignments!$G$2:$G$769,"Active")=0)))," MissingLevel","")&amp;IF(AND($C249="Proposal",Deals!$H201=0.5)," DefaultProbability","")&amp;IF($F249="No"," NoDates","")&amp;IF(AND(ISNUMBER($H249),$H249&gt;=Settings!$B$20)," Stale","")))</f>
        <v/>
      </c>
    </row>
    <row r="250">
      <c r="A250" s="16">
        <f>IF(Deals!$A202="","",Deals!$A202)</f>
        <v/>
      </c>
      <c r="B250" s="16">
        <f>IF($A250="","",Deals!$C202)</f>
        <v/>
      </c>
      <c r="C250" s="16">
        <f>IF($A250="","",Deals!$F202)</f>
        <v/>
      </c>
      <c r="D250" s="21">
        <f>IF($A250="","",Deals!$H202)</f>
        <v/>
      </c>
      <c r="E250" s="17">
        <f>IF($A250="","",Deals!$Q202)</f>
        <v/>
      </c>
      <c r="F250" s="16">
        <f>IF($A250="","",IF(AND(Deals!$I202&lt;&gt;"",Deals!$J202&lt;&gt;""),"Yes","No"))</f>
        <v/>
      </c>
      <c r="G250" s="22">
        <f>IF($A250="","",Deals!$Z202)</f>
        <v/>
      </c>
      <c r="H250" s="23">
        <f>IF(OR($A250="",$G250=""),"",INT((Settings!$B$19-$G250)/7))</f>
        <v/>
      </c>
      <c r="I250" s="24">
        <f>IF(OR($A250="",NOT(OR(Deals!$F202="Active",Deals!$F202="Proposal"))),"",TRIM(IF($E250=0," Unstaffed","")&amp;IF(IF(Deals!$U202="",FALSE,OR(AND(IFERROR(INDEX(Templates!$B$3:$B$10,MATCH(Deals!$U202,Templates!$A$3:$A$10,0)),0)&gt;0,COUNTIFS(Assignments!$C$2:$C$769,$A250,Assignments!$F$2:$F$769,"Partner",Assignments!$G$2:$G$769,"Active")=0),AND(IFERROR(INDEX(Templates!$C$3:$C$10,MATCH(Deals!$U202,Templates!$A$3:$A$10,0)),0)&gt;0,COUNTIFS(Assignments!$C$2:$C$769,$A250,Assignments!$F$2:$F$769,"MD",Assignments!$G$2:$G$769,"Active")=0),AND(IFERROR(INDEX(Templates!$D$3:$D$10,MATCH(Deals!$U202,Templates!$A$3:$A$10,0)),0)&gt;0,COUNTIFS(Assignments!$C$2:$C$769,$A250,Assignments!$F$2:$F$769,"Director",Assignments!$G$2:$G$769,"Active")=0),AND(IFERROR(INDEX(Templates!$E$3:$E$10,MATCH(Deals!$U202,Templates!$A$3:$A$10,0)),0)&gt;0,COUNTIFS(Assignments!$C$2:$C$769,$A250,Assignments!$F$2:$F$769,"VP",Assignments!$G$2:$G$769,"Active")=0),AND(IFERROR(INDEX(Templates!$F$3:$F$10,MATCH(Deals!$U202,Templates!$A$3:$A$10,0)),0)&gt;0,COUNTIFS(Assignments!$C$2:$C$769,$A250,Assignments!$F$2:$F$769,"Senior Associate",Assignments!$G$2:$G$769,"Active")=0),AND(IFERROR(INDEX(Templates!$G$3:$G$10,MATCH(Deals!$U202,Templates!$A$3:$A$10,0)),0)&gt;0,COUNTIFS(Assignments!$C$2:$C$769,$A250,Assignments!$F$2:$F$769,"Renewable Specialist",Assignments!$G$2:$G$769,"Active")=0),AND(IFERROR(INDEX(Templates!$H$3:$H$10,MATCH(Deals!$U202,Templates!$A$3:$A$10,0)),0)&gt;0,COUNTIFS(Assignments!$C$2:$C$769,$A250,Assignments!$F$2:$F$769,"Associate",Assignments!$G$2:$G$769,"Active")=0)))," MissingLevel","")&amp;IF(AND($C250="Proposal",Deals!$H202=0.5)," DefaultProbability","")&amp;IF($F250="No"," NoDates","")&amp;IF(AND(ISNUMBER($H250),$H250&gt;=Settings!$B$20)," Stale","")))</f>
        <v/>
      </c>
    </row>
    <row r="251">
      <c r="A251" s="16">
        <f>IF(Deals!$A203="","",Deals!$A203)</f>
        <v/>
      </c>
      <c r="B251" s="16">
        <f>IF($A251="","",Deals!$C203)</f>
        <v/>
      </c>
      <c r="C251" s="16">
        <f>IF($A251="","",Deals!$F203)</f>
        <v/>
      </c>
      <c r="D251" s="21">
        <f>IF($A251="","",Deals!$H203)</f>
        <v/>
      </c>
      <c r="E251" s="17">
        <f>IF($A251="","",Deals!$Q203)</f>
        <v/>
      </c>
      <c r="F251" s="16">
        <f>IF($A251="","",IF(AND(Deals!$I203&lt;&gt;"",Deals!$J203&lt;&gt;""),"Yes","No"))</f>
        <v/>
      </c>
      <c r="G251" s="22">
        <f>IF($A251="","",Deals!$Z203)</f>
        <v/>
      </c>
      <c r="H251" s="23">
        <f>IF(OR($A251="",$G251=""),"",INT((Settings!$B$19-$G251)/7))</f>
        <v/>
      </c>
      <c r="I251" s="24">
        <f>IF(OR($A251="",NOT(OR(Deals!$F203="Active",Deals!$F203="Proposal"))),"",TRIM(IF($E251=0," Unstaffed","")&amp;IF(IF(Deals!$U203="",FALSE,OR(AND(IFERROR(INDEX(Templates!$B$3:$B$10,MATCH(Deals!$U203,Templates!$A$3:$A$10,0)),0)&gt;0,COUNTIFS(Assignments!$C$2:$C$769,$A251,Assignments!$F$2:$F$769,"Partner",Assignments!$G$2:$G$769,"Active")=0),AND(IFERROR(INDEX(Templates!$C$3:$C$10,MATCH(Deals!$U203,Templates!$A$3:$A$10,0)),0)&gt;0,COUNTIFS(Assignments!$C$2:$C$769,$A251,Assignments!$F$2:$F$769,"MD",Assignments!$G$2:$G$769,"Active")=0),AND(IFERROR(INDEX(Templates!$D$3:$D$10,MATCH(Deals!$U203,Templates!$A$3:$A$10,0)),0)&gt;0,COUNTIFS(Assignments!$C$2:$C$769,$A251,Assignments!$F$2:$F$769,"Director",Assignments!$G$2:$G$769,"Active")=0),AND(IFERROR(INDEX(Templates!$E$3:$E$10,MATCH(Deals!$U203,Templates!$A$3:$A$10,0)),0)&gt;0,COUNTIFS(Assignments!$C$2:$C$769,$A251,Assignments!$F$2:$F$769,"VP",Assignments!$G$2:$G$769,"Active")=0),AND(IFERROR(INDEX(Templates!$F$3:$F$10,MATCH(Deals!$U203,Templates!$A$3:$A$10,0)),0)&gt;0,COUNTIFS(Assignments!$C$2:$C$769,$A251,Assignments!$F$2:$F$769,"Senior Associate",Assignments!$G$2:$G$769,"Active")=0),AND(IFERROR(INDEX(Templates!$G$3:$G$10,MATCH(Deals!$U203,Templates!$A$3:$A$10,0)),0)&gt;0,COUNTIFS(Assignments!$C$2:$C$769,$A251,Assignments!$F$2:$F$769,"Renewable Specialist",Assignments!$G$2:$G$769,"Active")=0),AND(IFERROR(INDEX(Templates!$H$3:$H$10,MATCH(Deals!$U203,Templates!$A$3:$A$10,0)),0)&gt;0,COUNTIFS(Assignments!$C$2:$C$769,$A251,Assignments!$F$2:$F$769,"Associate",Assignments!$G$2:$G$769,"Active")=0)))," MissingLevel","")&amp;IF(AND($C251="Proposal",Deals!$H203=0.5)," DefaultProbability","")&amp;IF($F251="No"," NoDates","")&amp;IF(AND(ISNUMBER($H251),$H251&gt;=Settings!$B$20)," Stale","")))</f>
        <v/>
      </c>
    </row>
    <row r="252">
      <c r="A252" s="16">
        <f>IF(Deals!$A204="","",Deals!$A204)</f>
        <v/>
      </c>
      <c r="B252" s="16">
        <f>IF($A252="","",Deals!$C204)</f>
        <v/>
      </c>
      <c r="C252" s="16">
        <f>IF($A252="","",Deals!$F204)</f>
        <v/>
      </c>
      <c r="D252" s="21">
        <f>IF($A252="","",Deals!$H204)</f>
        <v/>
      </c>
      <c r="E252" s="17">
        <f>IF($A252="","",Deals!$Q204)</f>
        <v/>
      </c>
      <c r="F252" s="16">
        <f>IF($A252="","",IF(AND(Deals!$I204&lt;&gt;"",Deals!$J204&lt;&gt;""),"Yes","No"))</f>
        <v/>
      </c>
      <c r="G252" s="22">
        <f>IF($A252="","",Deals!$Z204)</f>
        <v/>
      </c>
      <c r="H252" s="23">
        <f>IF(OR($A252="",$G252=""),"",INT((Settings!$B$19-$G252)/7))</f>
        <v/>
      </c>
      <c r="I252" s="24">
        <f>IF(OR($A252="",NOT(OR(Deals!$F204="Active",Deals!$F204="Proposal"))),"",TRIM(IF($E252=0," Unstaffed","")&amp;IF(IF(Deals!$U204="",FALSE,OR(AND(IFERROR(INDEX(Templates!$B$3:$B$10,MATCH(Deals!$U204,Templates!$A$3:$A$10,0)),0)&gt;0,COUNTIFS(Assignments!$C$2:$C$769,$A252,Assignments!$F$2:$F$769,"Partner",Assignments!$G$2:$G$769,"Active")=0),AND(IFERROR(INDEX(Templates!$C$3:$C$10,MATCH(Deals!$U204,Templates!$A$3:$A$10,0)),0)&gt;0,COUNTIFS(Assignments!$C$2:$C$769,$A252,Assignments!$F$2:$F$769,"MD",Assignments!$G$2:$G$769,"Active")=0),AND(IFERROR(INDEX(Templates!$D$3:$D$10,MATCH(Deals!$U204,Templates!$A$3:$A$10,0)),0)&gt;0,COUNTIFS(Assignments!$C$2:$C$769,$A252,Assignments!$F$2:$F$769,"Director",Assignments!$G$2:$G$769,"Active")=0),AND(IFERROR(INDEX(Templates!$E$3:$E$10,MATCH(Deals!$U204,Templates!$A$3:$A$10,0)),0)&gt;0,COUNTIFS(Assignments!$C$2:$C$769,$A252,Assignments!$F$2:$F$769,"VP",Assignments!$G$2:$G$769,"Active")=0),AND(IFERROR(INDEX(Templates!$F$3:$F$10,MATCH(Deals!$U204,Templates!$A$3:$A$10,0)),0)&gt;0,COUNTIFS(Assignments!$C$2:$C$769,$A252,Assignments!$F$2:$F$769,"Senior Associate",Assignments!$G$2:$G$769,"Active")=0),AND(IFERROR(INDEX(Templates!$G$3:$G$10,MATCH(Deals!$U204,Templates!$A$3:$A$10,0)),0)&gt;0,COUNTIFS(Assignments!$C$2:$C$769,$A252,Assignments!$F$2:$F$769,"Renewable Specialist",Assignments!$G$2:$G$769,"Active")=0),AND(IFERROR(INDEX(Templates!$H$3:$H$10,MATCH(Deals!$U204,Templates!$A$3:$A$10,0)),0)&gt;0,COUNTIFS(Assignments!$C$2:$C$769,$A252,Assignments!$F$2:$F$769,"Associate",Assignments!$G$2:$G$769,"Active")=0)))," MissingLevel","")&amp;IF(AND($C252="Proposal",Deals!$H204=0.5)," DefaultProbability","")&amp;IF($F252="No"," NoDates","")&amp;IF(AND(ISNUMBER($H252),$H252&gt;=Settings!$B$20)," Stale","")))</f>
        <v/>
      </c>
    </row>
    <row r="253">
      <c r="A253" s="16">
        <f>IF(Deals!$A205="","",Deals!$A205)</f>
        <v/>
      </c>
      <c r="B253" s="16">
        <f>IF($A253="","",Deals!$C205)</f>
        <v/>
      </c>
      <c r="C253" s="16">
        <f>IF($A253="","",Deals!$F205)</f>
        <v/>
      </c>
      <c r="D253" s="21">
        <f>IF($A253="","",Deals!$H205)</f>
        <v/>
      </c>
      <c r="E253" s="17">
        <f>IF($A253="","",Deals!$Q205)</f>
        <v/>
      </c>
      <c r="F253" s="16">
        <f>IF($A253="","",IF(AND(Deals!$I205&lt;&gt;"",Deals!$J205&lt;&gt;""),"Yes","No"))</f>
        <v/>
      </c>
      <c r="G253" s="22">
        <f>IF($A253="","",Deals!$Z205)</f>
        <v/>
      </c>
      <c r="H253" s="23">
        <f>IF(OR($A253="",$G253=""),"",INT((Settings!$B$19-$G253)/7))</f>
        <v/>
      </c>
      <c r="I253" s="24">
        <f>IF(OR($A253="",NOT(OR(Deals!$F205="Active",Deals!$F205="Proposal"))),"",TRIM(IF($E253=0," Unstaffed","")&amp;IF(IF(Deals!$U205="",FALSE,OR(AND(IFERROR(INDEX(Templates!$B$3:$B$10,MATCH(Deals!$U205,Templates!$A$3:$A$10,0)),0)&gt;0,COUNTIFS(Assignments!$C$2:$C$769,$A253,Assignments!$F$2:$F$769,"Partner",Assignments!$G$2:$G$769,"Active")=0),AND(IFERROR(INDEX(Templates!$C$3:$C$10,MATCH(Deals!$U205,Templates!$A$3:$A$10,0)),0)&gt;0,COUNTIFS(Assignments!$C$2:$C$769,$A253,Assignments!$F$2:$F$769,"MD",Assignments!$G$2:$G$769,"Active")=0),AND(IFERROR(INDEX(Templates!$D$3:$D$10,MATCH(Deals!$U205,Templates!$A$3:$A$10,0)),0)&gt;0,COUNTIFS(Assignments!$C$2:$C$769,$A253,Assignments!$F$2:$F$769,"Director",Assignments!$G$2:$G$769,"Active")=0),AND(IFERROR(INDEX(Templates!$E$3:$E$10,MATCH(Deals!$U205,Templates!$A$3:$A$10,0)),0)&gt;0,COUNTIFS(Assignments!$C$2:$C$769,$A253,Assignments!$F$2:$F$769,"VP",Assignments!$G$2:$G$769,"Active")=0),AND(IFERROR(INDEX(Templates!$F$3:$F$10,MATCH(Deals!$U205,Templates!$A$3:$A$10,0)),0)&gt;0,COUNTIFS(Assignments!$C$2:$C$769,$A253,Assignments!$F$2:$F$769,"Senior Associate",Assignments!$G$2:$G$769,"Active")=0),AND(IFERROR(INDEX(Templates!$G$3:$G$10,MATCH(Deals!$U205,Templates!$A$3:$A$10,0)),0)&gt;0,COUNTIFS(Assignments!$C$2:$C$769,$A253,Assignments!$F$2:$F$769,"Renewable Specialist",Assignments!$G$2:$G$769,"Active")=0),AND(IFERROR(INDEX(Templates!$H$3:$H$10,MATCH(Deals!$U205,Templates!$A$3:$A$10,0)),0)&gt;0,COUNTIFS(Assignments!$C$2:$C$769,$A253,Assignments!$F$2:$F$769,"Associate",Assignments!$G$2:$G$769,"Active")=0)))," MissingLevel","")&amp;IF(AND($C253="Proposal",Deals!$H205=0.5)," DefaultProbability","")&amp;IF($F253="No"," NoDates","")&amp;IF(AND(ISNUMBER($H253),$H253&gt;=Settings!$B$20)," Stale","")))</f>
        <v/>
      </c>
    </row>
    <row r="254">
      <c r="A254" s="16">
        <f>IF(Deals!$A206="","",Deals!$A206)</f>
        <v/>
      </c>
      <c r="B254" s="16">
        <f>IF($A254="","",Deals!$C206)</f>
        <v/>
      </c>
      <c r="C254" s="16">
        <f>IF($A254="","",Deals!$F206)</f>
        <v/>
      </c>
      <c r="D254" s="21">
        <f>IF($A254="","",Deals!$H206)</f>
        <v/>
      </c>
      <c r="E254" s="17">
        <f>IF($A254="","",Deals!$Q206)</f>
        <v/>
      </c>
      <c r="F254" s="16">
        <f>IF($A254="","",IF(AND(Deals!$I206&lt;&gt;"",Deals!$J206&lt;&gt;""),"Yes","No"))</f>
        <v/>
      </c>
      <c r="G254" s="22">
        <f>IF($A254="","",Deals!$Z206)</f>
        <v/>
      </c>
      <c r="H254" s="23">
        <f>IF(OR($A254="",$G254=""),"",INT((Settings!$B$19-$G254)/7))</f>
        <v/>
      </c>
      <c r="I254" s="24">
        <f>IF(OR($A254="",NOT(OR(Deals!$F206="Active",Deals!$F206="Proposal"))),"",TRIM(IF($E254=0," Unstaffed","")&amp;IF(IF(Deals!$U206="",FALSE,OR(AND(IFERROR(INDEX(Templates!$B$3:$B$10,MATCH(Deals!$U206,Templates!$A$3:$A$10,0)),0)&gt;0,COUNTIFS(Assignments!$C$2:$C$769,$A254,Assignments!$F$2:$F$769,"Partner",Assignments!$G$2:$G$769,"Active")=0),AND(IFERROR(INDEX(Templates!$C$3:$C$10,MATCH(Deals!$U206,Templates!$A$3:$A$10,0)),0)&gt;0,COUNTIFS(Assignments!$C$2:$C$769,$A254,Assignments!$F$2:$F$769,"MD",Assignments!$G$2:$G$769,"Active")=0),AND(IFERROR(INDEX(Templates!$D$3:$D$10,MATCH(Deals!$U206,Templates!$A$3:$A$10,0)),0)&gt;0,COUNTIFS(Assignments!$C$2:$C$769,$A254,Assignments!$F$2:$F$769,"Director",Assignments!$G$2:$G$769,"Active")=0),AND(IFERROR(INDEX(Templates!$E$3:$E$10,MATCH(Deals!$U206,Templates!$A$3:$A$10,0)),0)&gt;0,COUNTIFS(Assignments!$C$2:$C$769,$A254,Assignments!$F$2:$F$769,"VP",Assignments!$G$2:$G$769,"Active")=0),AND(IFERROR(INDEX(Templates!$F$3:$F$10,MATCH(Deals!$U206,Templates!$A$3:$A$10,0)),0)&gt;0,COUNTIFS(Assignments!$C$2:$C$769,$A254,Assignments!$F$2:$F$769,"Senior Associate",Assignments!$G$2:$G$769,"Active")=0),AND(IFERROR(INDEX(Templates!$G$3:$G$10,MATCH(Deals!$U206,Templates!$A$3:$A$10,0)),0)&gt;0,COUNTIFS(Assignments!$C$2:$C$769,$A254,Assignments!$F$2:$F$769,"Renewable Specialist",Assignments!$G$2:$G$769,"Active")=0),AND(IFERROR(INDEX(Templates!$H$3:$H$10,MATCH(Deals!$U206,Templates!$A$3:$A$10,0)),0)&gt;0,COUNTIFS(Assignments!$C$2:$C$769,$A254,Assignments!$F$2:$F$769,"Associate",Assignments!$G$2:$G$769,"Active")=0)))," MissingLevel","")&amp;IF(AND($C254="Proposal",Deals!$H206=0.5)," DefaultProbability","")&amp;IF($F254="No"," NoDates","")&amp;IF(AND(ISNUMBER($H254),$H254&gt;=Settings!$B$20)," Stale","")))</f>
        <v/>
      </c>
    </row>
    <row r="255">
      <c r="A255" s="16">
        <f>IF(Deals!$A207="","",Deals!$A207)</f>
        <v/>
      </c>
      <c r="B255" s="16">
        <f>IF($A255="","",Deals!$C207)</f>
        <v/>
      </c>
      <c r="C255" s="16">
        <f>IF($A255="","",Deals!$F207)</f>
        <v/>
      </c>
      <c r="D255" s="21">
        <f>IF($A255="","",Deals!$H207)</f>
        <v/>
      </c>
      <c r="E255" s="17">
        <f>IF($A255="","",Deals!$Q207)</f>
        <v/>
      </c>
      <c r="F255" s="16">
        <f>IF($A255="","",IF(AND(Deals!$I207&lt;&gt;"",Deals!$J207&lt;&gt;""),"Yes","No"))</f>
        <v/>
      </c>
      <c r="G255" s="22">
        <f>IF($A255="","",Deals!$Z207)</f>
        <v/>
      </c>
      <c r="H255" s="23">
        <f>IF(OR($A255="",$G255=""),"",INT((Settings!$B$19-$G255)/7))</f>
        <v/>
      </c>
      <c r="I255" s="24">
        <f>IF(OR($A255="",NOT(OR(Deals!$F207="Active",Deals!$F207="Proposal"))),"",TRIM(IF($E255=0," Unstaffed","")&amp;IF(IF(Deals!$U207="",FALSE,OR(AND(IFERROR(INDEX(Templates!$B$3:$B$10,MATCH(Deals!$U207,Templates!$A$3:$A$10,0)),0)&gt;0,COUNTIFS(Assignments!$C$2:$C$769,$A255,Assignments!$F$2:$F$769,"Partner",Assignments!$G$2:$G$769,"Active")=0),AND(IFERROR(INDEX(Templates!$C$3:$C$10,MATCH(Deals!$U207,Templates!$A$3:$A$10,0)),0)&gt;0,COUNTIFS(Assignments!$C$2:$C$769,$A255,Assignments!$F$2:$F$769,"MD",Assignments!$G$2:$G$769,"Active")=0),AND(IFERROR(INDEX(Templates!$D$3:$D$10,MATCH(Deals!$U207,Templates!$A$3:$A$10,0)),0)&gt;0,COUNTIFS(Assignments!$C$2:$C$769,$A255,Assignments!$F$2:$F$769,"Director",Assignments!$G$2:$G$769,"Active")=0),AND(IFERROR(INDEX(Templates!$E$3:$E$10,MATCH(Deals!$U207,Templates!$A$3:$A$10,0)),0)&gt;0,COUNTIFS(Assignments!$C$2:$C$769,$A255,Assignments!$F$2:$F$769,"VP",Assignments!$G$2:$G$769,"Active")=0),AND(IFERROR(INDEX(Templates!$F$3:$F$10,MATCH(Deals!$U207,Templates!$A$3:$A$10,0)),0)&gt;0,COUNTIFS(Assignments!$C$2:$C$769,$A255,Assignments!$F$2:$F$769,"Senior Associate",Assignments!$G$2:$G$769,"Active")=0),AND(IFERROR(INDEX(Templates!$G$3:$G$10,MATCH(Deals!$U207,Templates!$A$3:$A$10,0)),0)&gt;0,COUNTIFS(Assignments!$C$2:$C$769,$A255,Assignments!$F$2:$F$769,"Renewable Specialist",Assignments!$G$2:$G$769,"Active")=0),AND(IFERROR(INDEX(Templates!$H$3:$H$10,MATCH(Deals!$U207,Templates!$A$3:$A$10,0)),0)&gt;0,COUNTIFS(Assignments!$C$2:$C$769,$A255,Assignments!$F$2:$F$769,"Associate",Assignments!$G$2:$G$769,"Active")=0)))," MissingLevel","")&amp;IF(AND($C255="Proposal",Deals!$H207=0.5)," DefaultProbability","")&amp;IF($F255="No"," NoDates","")&amp;IF(AND(ISNUMBER($H255),$H255&gt;=Settings!$B$20)," Stale","")))</f>
        <v/>
      </c>
    </row>
    <row r="256">
      <c r="A256" s="16">
        <f>IF(Deals!$A208="","",Deals!$A208)</f>
        <v/>
      </c>
      <c r="B256" s="16">
        <f>IF($A256="","",Deals!$C208)</f>
        <v/>
      </c>
      <c r="C256" s="16">
        <f>IF($A256="","",Deals!$F208)</f>
        <v/>
      </c>
      <c r="D256" s="21">
        <f>IF($A256="","",Deals!$H208)</f>
        <v/>
      </c>
      <c r="E256" s="17">
        <f>IF($A256="","",Deals!$Q208)</f>
        <v/>
      </c>
      <c r="F256" s="16">
        <f>IF($A256="","",IF(AND(Deals!$I208&lt;&gt;"",Deals!$J208&lt;&gt;""),"Yes","No"))</f>
        <v/>
      </c>
      <c r="G256" s="22">
        <f>IF($A256="","",Deals!$Z208)</f>
        <v/>
      </c>
      <c r="H256" s="23">
        <f>IF(OR($A256="",$G256=""),"",INT((Settings!$B$19-$G256)/7))</f>
        <v/>
      </c>
      <c r="I256" s="24">
        <f>IF(OR($A256="",NOT(OR(Deals!$F208="Active",Deals!$F208="Proposal"))),"",TRIM(IF($E256=0," Unstaffed","")&amp;IF(IF(Deals!$U208="",FALSE,OR(AND(IFERROR(INDEX(Templates!$B$3:$B$10,MATCH(Deals!$U208,Templates!$A$3:$A$10,0)),0)&gt;0,COUNTIFS(Assignments!$C$2:$C$769,$A256,Assignments!$F$2:$F$769,"Partner",Assignments!$G$2:$G$769,"Active")=0),AND(IFERROR(INDEX(Templates!$C$3:$C$10,MATCH(Deals!$U208,Templates!$A$3:$A$10,0)),0)&gt;0,COUNTIFS(Assignments!$C$2:$C$769,$A256,Assignments!$F$2:$F$769,"MD",Assignments!$G$2:$G$769,"Active")=0),AND(IFERROR(INDEX(Templates!$D$3:$D$10,MATCH(Deals!$U208,Templates!$A$3:$A$10,0)),0)&gt;0,COUNTIFS(Assignments!$C$2:$C$769,$A256,Assignments!$F$2:$F$769,"Director",Assignments!$G$2:$G$769,"Active")=0),AND(IFERROR(INDEX(Templates!$E$3:$E$10,MATCH(Deals!$U208,Templates!$A$3:$A$10,0)),0)&gt;0,COUNTIFS(Assignments!$C$2:$C$769,$A256,Assignments!$F$2:$F$769,"VP",Assignments!$G$2:$G$769,"Active")=0),AND(IFERROR(INDEX(Templates!$F$3:$F$10,MATCH(Deals!$U208,Templates!$A$3:$A$10,0)),0)&gt;0,COUNTIFS(Assignments!$C$2:$C$769,$A256,Assignments!$F$2:$F$769,"Senior Associate",Assignments!$G$2:$G$769,"Active")=0),AND(IFERROR(INDEX(Templates!$G$3:$G$10,MATCH(Deals!$U208,Templates!$A$3:$A$10,0)),0)&gt;0,COUNTIFS(Assignments!$C$2:$C$769,$A256,Assignments!$F$2:$F$769,"Renewable Specialist",Assignments!$G$2:$G$769,"Active")=0),AND(IFERROR(INDEX(Templates!$H$3:$H$10,MATCH(Deals!$U208,Templates!$A$3:$A$10,0)),0)&gt;0,COUNTIFS(Assignments!$C$2:$C$769,$A256,Assignments!$F$2:$F$769,"Associate",Assignments!$G$2:$G$769,"Active")=0)))," MissingLevel","")&amp;IF(AND($C256="Proposal",Deals!$H208=0.5)," DefaultProbability","")&amp;IF($F256="No"," NoDates","")&amp;IF(AND(ISNUMBER($H256),$H256&gt;=Settings!$B$20)," Stale","")))</f>
        <v/>
      </c>
    </row>
    <row r="257">
      <c r="A257" s="16">
        <f>IF(Deals!$A209="","",Deals!$A209)</f>
        <v/>
      </c>
      <c r="B257" s="16">
        <f>IF($A257="","",Deals!$C209)</f>
        <v/>
      </c>
      <c r="C257" s="16">
        <f>IF($A257="","",Deals!$F209)</f>
        <v/>
      </c>
      <c r="D257" s="21">
        <f>IF($A257="","",Deals!$H209)</f>
        <v/>
      </c>
      <c r="E257" s="17">
        <f>IF($A257="","",Deals!$Q209)</f>
        <v/>
      </c>
      <c r="F257" s="16">
        <f>IF($A257="","",IF(AND(Deals!$I209&lt;&gt;"",Deals!$J209&lt;&gt;""),"Yes","No"))</f>
        <v/>
      </c>
      <c r="G257" s="22">
        <f>IF($A257="","",Deals!$Z209)</f>
        <v/>
      </c>
      <c r="H257" s="23">
        <f>IF(OR($A257="",$G257=""),"",INT((Settings!$B$19-$G257)/7))</f>
        <v/>
      </c>
      <c r="I257" s="24">
        <f>IF(OR($A257="",NOT(OR(Deals!$F209="Active",Deals!$F209="Proposal"))),"",TRIM(IF($E257=0," Unstaffed","")&amp;IF(IF(Deals!$U209="",FALSE,OR(AND(IFERROR(INDEX(Templates!$B$3:$B$10,MATCH(Deals!$U209,Templates!$A$3:$A$10,0)),0)&gt;0,COUNTIFS(Assignments!$C$2:$C$769,$A257,Assignments!$F$2:$F$769,"Partner",Assignments!$G$2:$G$769,"Active")=0),AND(IFERROR(INDEX(Templates!$C$3:$C$10,MATCH(Deals!$U209,Templates!$A$3:$A$10,0)),0)&gt;0,COUNTIFS(Assignments!$C$2:$C$769,$A257,Assignments!$F$2:$F$769,"MD",Assignments!$G$2:$G$769,"Active")=0),AND(IFERROR(INDEX(Templates!$D$3:$D$10,MATCH(Deals!$U209,Templates!$A$3:$A$10,0)),0)&gt;0,COUNTIFS(Assignments!$C$2:$C$769,$A257,Assignments!$F$2:$F$769,"Director",Assignments!$G$2:$G$769,"Active")=0),AND(IFERROR(INDEX(Templates!$E$3:$E$10,MATCH(Deals!$U209,Templates!$A$3:$A$10,0)),0)&gt;0,COUNTIFS(Assignments!$C$2:$C$769,$A257,Assignments!$F$2:$F$769,"VP",Assignments!$G$2:$G$769,"Active")=0),AND(IFERROR(INDEX(Templates!$F$3:$F$10,MATCH(Deals!$U209,Templates!$A$3:$A$10,0)),0)&gt;0,COUNTIFS(Assignments!$C$2:$C$769,$A257,Assignments!$F$2:$F$769,"Senior Associate",Assignments!$G$2:$G$769,"Active")=0),AND(IFERROR(INDEX(Templates!$G$3:$G$10,MATCH(Deals!$U209,Templates!$A$3:$A$10,0)),0)&gt;0,COUNTIFS(Assignments!$C$2:$C$769,$A257,Assignments!$F$2:$F$769,"Renewable Specialist",Assignments!$G$2:$G$769,"Active")=0),AND(IFERROR(INDEX(Templates!$H$3:$H$10,MATCH(Deals!$U209,Templates!$A$3:$A$10,0)),0)&gt;0,COUNTIFS(Assignments!$C$2:$C$769,$A257,Assignments!$F$2:$F$769,"Associate",Assignments!$G$2:$G$769,"Active")=0)))," MissingLevel","")&amp;IF(AND($C257="Proposal",Deals!$H209=0.5)," DefaultProbability","")&amp;IF($F257="No"," NoDates","")&amp;IF(AND(ISNUMBER($H257),$H257&gt;=Settings!$B$20)," Stale","")))</f>
        <v/>
      </c>
    </row>
    <row r="258">
      <c r="A258" s="16">
        <f>IF(Deals!$A210="","",Deals!$A210)</f>
        <v/>
      </c>
      <c r="B258" s="16">
        <f>IF($A258="","",Deals!$C210)</f>
        <v/>
      </c>
      <c r="C258" s="16">
        <f>IF($A258="","",Deals!$F210)</f>
        <v/>
      </c>
      <c r="D258" s="21">
        <f>IF($A258="","",Deals!$H210)</f>
        <v/>
      </c>
      <c r="E258" s="17">
        <f>IF($A258="","",Deals!$Q210)</f>
        <v/>
      </c>
      <c r="F258" s="16">
        <f>IF($A258="","",IF(AND(Deals!$I210&lt;&gt;"",Deals!$J210&lt;&gt;""),"Yes","No"))</f>
        <v/>
      </c>
      <c r="G258" s="22">
        <f>IF($A258="","",Deals!$Z210)</f>
        <v/>
      </c>
      <c r="H258" s="23">
        <f>IF(OR($A258="",$G258=""),"",INT((Settings!$B$19-$G258)/7))</f>
        <v/>
      </c>
      <c r="I258" s="24">
        <f>IF(OR($A258="",NOT(OR(Deals!$F210="Active",Deals!$F210="Proposal"))),"",TRIM(IF($E258=0," Unstaffed","")&amp;IF(IF(Deals!$U210="",FALSE,OR(AND(IFERROR(INDEX(Templates!$B$3:$B$10,MATCH(Deals!$U210,Templates!$A$3:$A$10,0)),0)&gt;0,COUNTIFS(Assignments!$C$2:$C$769,$A258,Assignments!$F$2:$F$769,"Partner",Assignments!$G$2:$G$769,"Active")=0),AND(IFERROR(INDEX(Templates!$C$3:$C$10,MATCH(Deals!$U210,Templates!$A$3:$A$10,0)),0)&gt;0,COUNTIFS(Assignments!$C$2:$C$769,$A258,Assignments!$F$2:$F$769,"MD",Assignments!$G$2:$G$769,"Active")=0),AND(IFERROR(INDEX(Templates!$D$3:$D$10,MATCH(Deals!$U210,Templates!$A$3:$A$10,0)),0)&gt;0,COUNTIFS(Assignments!$C$2:$C$769,$A258,Assignments!$F$2:$F$769,"Director",Assignments!$G$2:$G$769,"Active")=0),AND(IFERROR(INDEX(Templates!$E$3:$E$10,MATCH(Deals!$U210,Templates!$A$3:$A$10,0)),0)&gt;0,COUNTIFS(Assignments!$C$2:$C$769,$A258,Assignments!$F$2:$F$769,"VP",Assignments!$G$2:$G$769,"Active")=0),AND(IFERROR(INDEX(Templates!$F$3:$F$10,MATCH(Deals!$U210,Templates!$A$3:$A$10,0)),0)&gt;0,COUNTIFS(Assignments!$C$2:$C$769,$A258,Assignments!$F$2:$F$769,"Senior Associate",Assignments!$G$2:$G$769,"Active")=0),AND(IFERROR(INDEX(Templates!$G$3:$G$10,MATCH(Deals!$U210,Templates!$A$3:$A$10,0)),0)&gt;0,COUNTIFS(Assignments!$C$2:$C$769,$A258,Assignments!$F$2:$F$769,"Renewable Specialist",Assignments!$G$2:$G$769,"Active")=0),AND(IFERROR(INDEX(Templates!$H$3:$H$10,MATCH(Deals!$U210,Templates!$A$3:$A$10,0)),0)&gt;0,COUNTIFS(Assignments!$C$2:$C$769,$A258,Assignments!$F$2:$F$769,"Associate",Assignments!$G$2:$G$769,"Active")=0)))," MissingLevel","")&amp;IF(AND($C258="Proposal",Deals!$H210=0.5)," DefaultProbability","")&amp;IF($F258="No"," NoDates","")&amp;IF(AND(ISNUMBER($H258),$H258&gt;=Settings!$B$20)," Stale","")))</f>
        <v/>
      </c>
    </row>
    <row r="259">
      <c r="A259" s="16">
        <f>IF(Deals!$A211="","",Deals!$A211)</f>
        <v/>
      </c>
      <c r="B259" s="16">
        <f>IF($A259="","",Deals!$C211)</f>
        <v/>
      </c>
      <c r="C259" s="16">
        <f>IF($A259="","",Deals!$F211)</f>
        <v/>
      </c>
      <c r="D259" s="21">
        <f>IF($A259="","",Deals!$H211)</f>
        <v/>
      </c>
      <c r="E259" s="17">
        <f>IF($A259="","",Deals!$Q211)</f>
        <v/>
      </c>
      <c r="F259" s="16">
        <f>IF($A259="","",IF(AND(Deals!$I211&lt;&gt;"",Deals!$J211&lt;&gt;""),"Yes","No"))</f>
        <v/>
      </c>
      <c r="G259" s="22">
        <f>IF($A259="","",Deals!$Z211)</f>
        <v/>
      </c>
      <c r="H259" s="23">
        <f>IF(OR($A259="",$G259=""),"",INT((Settings!$B$19-$G259)/7))</f>
        <v/>
      </c>
      <c r="I259" s="24">
        <f>IF(OR($A259="",NOT(OR(Deals!$F211="Active",Deals!$F211="Proposal"))),"",TRIM(IF($E259=0," Unstaffed","")&amp;IF(IF(Deals!$U211="",FALSE,OR(AND(IFERROR(INDEX(Templates!$B$3:$B$10,MATCH(Deals!$U211,Templates!$A$3:$A$10,0)),0)&gt;0,COUNTIFS(Assignments!$C$2:$C$769,$A259,Assignments!$F$2:$F$769,"Partner",Assignments!$G$2:$G$769,"Active")=0),AND(IFERROR(INDEX(Templates!$C$3:$C$10,MATCH(Deals!$U211,Templates!$A$3:$A$10,0)),0)&gt;0,COUNTIFS(Assignments!$C$2:$C$769,$A259,Assignments!$F$2:$F$769,"MD",Assignments!$G$2:$G$769,"Active")=0),AND(IFERROR(INDEX(Templates!$D$3:$D$10,MATCH(Deals!$U211,Templates!$A$3:$A$10,0)),0)&gt;0,COUNTIFS(Assignments!$C$2:$C$769,$A259,Assignments!$F$2:$F$769,"Director",Assignments!$G$2:$G$769,"Active")=0),AND(IFERROR(INDEX(Templates!$E$3:$E$10,MATCH(Deals!$U211,Templates!$A$3:$A$10,0)),0)&gt;0,COUNTIFS(Assignments!$C$2:$C$769,$A259,Assignments!$F$2:$F$769,"VP",Assignments!$G$2:$G$769,"Active")=0),AND(IFERROR(INDEX(Templates!$F$3:$F$10,MATCH(Deals!$U211,Templates!$A$3:$A$10,0)),0)&gt;0,COUNTIFS(Assignments!$C$2:$C$769,$A259,Assignments!$F$2:$F$769,"Senior Associate",Assignments!$G$2:$G$769,"Active")=0),AND(IFERROR(INDEX(Templates!$G$3:$G$10,MATCH(Deals!$U211,Templates!$A$3:$A$10,0)),0)&gt;0,COUNTIFS(Assignments!$C$2:$C$769,$A259,Assignments!$F$2:$F$769,"Renewable Specialist",Assignments!$G$2:$G$769,"Active")=0),AND(IFERROR(INDEX(Templates!$H$3:$H$10,MATCH(Deals!$U211,Templates!$A$3:$A$10,0)),0)&gt;0,COUNTIFS(Assignments!$C$2:$C$769,$A259,Assignments!$F$2:$F$769,"Associate",Assignments!$G$2:$G$769,"Active")=0)))," MissingLevel","")&amp;IF(AND($C259="Proposal",Deals!$H211=0.5)," DefaultProbability","")&amp;IF($F259="No"," NoDates","")&amp;IF(AND(ISNUMBER($H259),$H259&gt;=Settings!$B$20)," Stale","")))</f>
        <v/>
      </c>
    </row>
    <row r="260">
      <c r="A260" s="16">
        <f>IF(Deals!$A212="","",Deals!$A212)</f>
        <v/>
      </c>
      <c r="B260" s="16">
        <f>IF($A260="","",Deals!$C212)</f>
        <v/>
      </c>
      <c r="C260" s="16">
        <f>IF($A260="","",Deals!$F212)</f>
        <v/>
      </c>
      <c r="D260" s="21">
        <f>IF($A260="","",Deals!$H212)</f>
        <v/>
      </c>
      <c r="E260" s="17">
        <f>IF($A260="","",Deals!$Q212)</f>
        <v/>
      </c>
      <c r="F260" s="16">
        <f>IF($A260="","",IF(AND(Deals!$I212&lt;&gt;"",Deals!$J212&lt;&gt;""),"Yes","No"))</f>
        <v/>
      </c>
      <c r="G260" s="22">
        <f>IF($A260="","",Deals!$Z212)</f>
        <v/>
      </c>
      <c r="H260" s="23">
        <f>IF(OR($A260="",$G260=""),"",INT((Settings!$B$19-$G260)/7))</f>
        <v/>
      </c>
      <c r="I260" s="24">
        <f>IF(OR($A260="",NOT(OR(Deals!$F212="Active",Deals!$F212="Proposal"))),"",TRIM(IF($E260=0," Unstaffed","")&amp;IF(IF(Deals!$U212="",FALSE,OR(AND(IFERROR(INDEX(Templates!$B$3:$B$10,MATCH(Deals!$U212,Templates!$A$3:$A$10,0)),0)&gt;0,COUNTIFS(Assignments!$C$2:$C$769,$A260,Assignments!$F$2:$F$769,"Partner",Assignments!$G$2:$G$769,"Active")=0),AND(IFERROR(INDEX(Templates!$C$3:$C$10,MATCH(Deals!$U212,Templates!$A$3:$A$10,0)),0)&gt;0,COUNTIFS(Assignments!$C$2:$C$769,$A260,Assignments!$F$2:$F$769,"MD",Assignments!$G$2:$G$769,"Active")=0),AND(IFERROR(INDEX(Templates!$D$3:$D$10,MATCH(Deals!$U212,Templates!$A$3:$A$10,0)),0)&gt;0,COUNTIFS(Assignments!$C$2:$C$769,$A260,Assignments!$F$2:$F$769,"Director",Assignments!$G$2:$G$769,"Active")=0),AND(IFERROR(INDEX(Templates!$E$3:$E$10,MATCH(Deals!$U212,Templates!$A$3:$A$10,0)),0)&gt;0,COUNTIFS(Assignments!$C$2:$C$769,$A260,Assignments!$F$2:$F$769,"VP",Assignments!$G$2:$G$769,"Active")=0),AND(IFERROR(INDEX(Templates!$F$3:$F$10,MATCH(Deals!$U212,Templates!$A$3:$A$10,0)),0)&gt;0,COUNTIFS(Assignments!$C$2:$C$769,$A260,Assignments!$F$2:$F$769,"Senior Associate",Assignments!$G$2:$G$769,"Active")=0),AND(IFERROR(INDEX(Templates!$G$3:$G$10,MATCH(Deals!$U212,Templates!$A$3:$A$10,0)),0)&gt;0,COUNTIFS(Assignments!$C$2:$C$769,$A260,Assignments!$F$2:$F$769,"Renewable Specialist",Assignments!$G$2:$G$769,"Active")=0),AND(IFERROR(INDEX(Templates!$H$3:$H$10,MATCH(Deals!$U212,Templates!$A$3:$A$10,0)),0)&gt;0,COUNTIFS(Assignments!$C$2:$C$769,$A260,Assignments!$F$2:$F$769,"Associate",Assignments!$G$2:$G$769,"Active")=0)))," MissingLevel","")&amp;IF(AND($C260="Proposal",Deals!$H212=0.5)," DefaultProbability","")&amp;IF($F260="No"," NoDates","")&amp;IF(AND(ISNUMBER($H260),$H260&gt;=Settings!$B$20)," Stale","")))</f>
        <v/>
      </c>
    </row>
    <row r="261">
      <c r="A261" s="16">
        <f>IF(Deals!$A213="","",Deals!$A213)</f>
        <v/>
      </c>
      <c r="B261" s="16">
        <f>IF($A261="","",Deals!$C213)</f>
        <v/>
      </c>
      <c r="C261" s="16">
        <f>IF($A261="","",Deals!$F213)</f>
        <v/>
      </c>
      <c r="D261" s="21">
        <f>IF($A261="","",Deals!$H213)</f>
        <v/>
      </c>
      <c r="E261" s="17">
        <f>IF($A261="","",Deals!$Q213)</f>
        <v/>
      </c>
      <c r="F261" s="16">
        <f>IF($A261="","",IF(AND(Deals!$I213&lt;&gt;"",Deals!$J213&lt;&gt;""),"Yes","No"))</f>
        <v/>
      </c>
      <c r="G261" s="22">
        <f>IF($A261="","",Deals!$Z213)</f>
        <v/>
      </c>
      <c r="H261" s="23">
        <f>IF(OR($A261="",$G261=""),"",INT((Settings!$B$19-$G261)/7))</f>
        <v/>
      </c>
      <c r="I261" s="24">
        <f>IF(OR($A261="",NOT(OR(Deals!$F213="Active",Deals!$F213="Proposal"))),"",TRIM(IF($E261=0," Unstaffed","")&amp;IF(IF(Deals!$U213="",FALSE,OR(AND(IFERROR(INDEX(Templates!$B$3:$B$10,MATCH(Deals!$U213,Templates!$A$3:$A$10,0)),0)&gt;0,COUNTIFS(Assignments!$C$2:$C$769,$A261,Assignments!$F$2:$F$769,"Partner",Assignments!$G$2:$G$769,"Active")=0),AND(IFERROR(INDEX(Templates!$C$3:$C$10,MATCH(Deals!$U213,Templates!$A$3:$A$10,0)),0)&gt;0,COUNTIFS(Assignments!$C$2:$C$769,$A261,Assignments!$F$2:$F$769,"MD",Assignments!$G$2:$G$769,"Active")=0),AND(IFERROR(INDEX(Templates!$D$3:$D$10,MATCH(Deals!$U213,Templates!$A$3:$A$10,0)),0)&gt;0,COUNTIFS(Assignments!$C$2:$C$769,$A261,Assignments!$F$2:$F$769,"Director",Assignments!$G$2:$G$769,"Active")=0),AND(IFERROR(INDEX(Templates!$E$3:$E$10,MATCH(Deals!$U213,Templates!$A$3:$A$10,0)),0)&gt;0,COUNTIFS(Assignments!$C$2:$C$769,$A261,Assignments!$F$2:$F$769,"VP",Assignments!$G$2:$G$769,"Active")=0),AND(IFERROR(INDEX(Templates!$F$3:$F$10,MATCH(Deals!$U213,Templates!$A$3:$A$10,0)),0)&gt;0,COUNTIFS(Assignments!$C$2:$C$769,$A261,Assignments!$F$2:$F$769,"Senior Associate",Assignments!$G$2:$G$769,"Active")=0),AND(IFERROR(INDEX(Templates!$G$3:$G$10,MATCH(Deals!$U213,Templates!$A$3:$A$10,0)),0)&gt;0,COUNTIFS(Assignments!$C$2:$C$769,$A261,Assignments!$F$2:$F$769,"Renewable Specialist",Assignments!$G$2:$G$769,"Active")=0),AND(IFERROR(INDEX(Templates!$H$3:$H$10,MATCH(Deals!$U213,Templates!$A$3:$A$10,0)),0)&gt;0,COUNTIFS(Assignments!$C$2:$C$769,$A261,Assignments!$F$2:$F$769,"Associate",Assignments!$G$2:$G$769,"Active")=0)))," MissingLevel","")&amp;IF(AND($C261="Proposal",Deals!$H213=0.5)," DefaultProbability","")&amp;IF($F261="No"," NoDates","")&amp;IF(AND(ISNUMBER($H261),$H261&gt;=Settings!$B$20)," Stale","")))</f>
        <v/>
      </c>
    </row>
    <row r="262">
      <c r="A262" s="16">
        <f>IF(Deals!$A214="","",Deals!$A214)</f>
        <v/>
      </c>
      <c r="B262" s="16">
        <f>IF($A262="","",Deals!$C214)</f>
        <v/>
      </c>
      <c r="C262" s="16">
        <f>IF($A262="","",Deals!$F214)</f>
        <v/>
      </c>
      <c r="D262" s="21">
        <f>IF($A262="","",Deals!$H214)</f>
        <v/>
      </c>
      <c r="E262" s="17">
        <f>IF($A262="","",Deals!$Q214)</f>
        <v/>
      </c>
      <c r="F262" s="16">
        <f>IF($A262="","",IF(AND(Deals!$I214&lt;&gt;"",Deals!$J214&lt;&gt;""),"Yes","No"))</f>
        <v/>
      </c>
      <c r="G262" s="22">
        <f>IF($A262="","",Deals!$Z214)</f>
        <v/>
      </c>
      <c r="H262" s="23">
        <f>IF(OR($A262="",$G262=""),"",INT((Settings!$B$19-$G262)/7))</f>
        <v/>
      </c>
      <c r="I262" s="24">
        <f>IF(OR($A262="",NOT(OR(Deals!$F214="Active",Deals!$F214="Proposal"))),"",TRIM(IF($E262=0," Unstaffed","")&amp;IF(IF(Deals!$U214="",FALSE,OR(AND(IFERROR(INDEX(Templates!$B$3:$B$10,MATCH(Deals!$U214,Templates!$A$3:$A$10,0)),0)&gt;0,COUNTIFS(Assignments!$C$2:$C$769,$A262,Assignments!$F$2:$F$769,"Partner",Assignments!$G$2:$G$769,"Active")=0),AND(IFERROR(INDEX(Templates!$C$3:$C$10,MATCH(Deals!$U214,Templates!$A$3:$A$10,0)),0)&gt;0,COUNTIFS(Assignments!$C$2:$C$769,$A262,Assignments!$F$2:$F$769,"MD",Assignments!$G$2:$G$769,"Active")=0),AND(IFERROR(INDEX(Templates!$D$3:$D$10,MATCH(Deals!$U214,Templates!$A$3:$A$10,0)),0)&gt;0,COUNTIFS(Assignments!$C$2:$C$769,$A262,Assignments!$F$2:$F$769,"Director",Assignments!$G$2:$G$769,"Active")=0),AND(IFERROR(INDEX(Templates!$E$3:$E$10,MATCH(Deals!$U214,Templates!$A$3:$A$10,0)),0)&gt;0,COUNTIFS(Assignments!$C$2:$C$769,$A262,Assignments!$F$2:$F$769,"VP",Assignments!$G$2:$G$769,"Active")=0),AND(IFERROR(INDEX(Templates!$F$3:$F$10,MATCH(Deals!$U214,Templates!$A$3:$A$10,0)),0)&gt;0,COUNTIFS(Assignments!$C$2:$C$769,$A262,Assignments!$F$2:$F$769,"Senior Associate",Assignments!$G$2:$G$769,"Active")=0),AND(IFERROR(INDEX(Templates!$G$3:$G$10,MATCH(Deals!$U214,Templates!$A$3:$A$10,0)),0)&gt;0,COUNTIFS(Assignments!$C$2:$C$769,$A262,Assignments!$F$2:$F$769,"Renewable Specialist",Assignments!$G$2:$G$769,"Active")=0),AND(IFERROR(INDEX(Templates!$H$3:$H$10,MATCH(Deals!$U214,Templates!$A$3:$A$10,0)),0)&gt;0,COUNTIFS(Assignments!$C$2:$C$769,$A262,Assignments!$F$2:$F$769,"Associate",Assignments!$G$2:$G$769,"Active")=0)))," MissingLevel","")&amp;IF(AND($C262="Proposal",Deals!$H214=0.5)," DefaultProbability","")&amp;IF($F262="No"," NoDates","")&amp;IF(AND(ISNUMBER($H262),$H262&gt;=Settings!$B$20)," Stale","")))</f>
        <v/>
      </c>
    </row>
    <row r="263">
      <c r="A263" s="16">
        <f>IF(Deals!$A215="","",Deals!$A215)</f>
        <v/>
      </c>
      <c r="B263" s="16">
        <f>IF($A263="","",Deals!$C215)</f>
        <v/>
      </c>
      <c r="C263" s="16">
        <f>IF($A263="","",Deals!$F215)</f>
        <v/>
      </c>
      <c r="D263" s="21">
        <f>IF($A263="","",Deals!$H215)</f>
        <v/>
      </c>
      <c r="E263" s="17">
        <f>IF($A263="","",Deals!$Q215)</f>
        <v/>
      </c>
      <c r="F263" s="16">
        <f>IF($A263="","",IF(AND(Deals!$I215&lt;&gt;"",Deals!$J215&lt;&gt;""),"Yes","No"))</f>
        <v/>
      </c>
      <c r="G263" s="22">
        <f>IF($A263="","",Deals!$Z215)</f>
        <v/>
      </c>
      <c r="H263" s="23">
        <f>IF(OR($A263="",$G263=""),"",INT((Settings!$B$19-$G263)/7))</f>
        <v/>
      </c>
      <c r="I263" s="24">
        <f>IF(OR($A263="",NOT(OR(Deals!$F215="Active",Deals!$F215="Proposal"))),"",TRIM(IF($E263=0," Unstaffed","")&amp;IF(IF(Deals!$U215="",FALSE,OR(AND(IFERROR(INDEX(Templates!$B$3:$B$10,MATCH(Deals!$U215,Templates!$A$3:$A$10,0)),0)&gt;0,COUNTIFS(Assignments!$C$2:$C$769,$A263,Assignments!$F$2:$F$769,"Partner",Assignments!$G$2:$G$769,"Active")=0),AND(IFERROR(INDEX(Templates!$C$3:$C$10,MATCH(Deals!$U215,Templates!$A$3:$A$10,0)),0)&gt;0,COUNTIFS(Assignments!$C$2:$C$769,$A263,Assignments!$F$2:$F$769,"MD",Assignments!$G$2:$G$769,"Active")=0),AND(IFERROR(INDEX(Templates!$D$3:$D$10,MATCH(Deals!$U215,Templates!$A$3:$A$10,0)),0)&gt;0,COUNTIFS(Assignments!$C$2:$C$769,$A263,Assignments!$F$2:$F$769,"Director",Assignments!$G$2:$G$769,"Active")=0),AND(IFERROR(INDEX(Templates!$E$3:$E$10,MATCH(Deals!$U215,Templates!$A$3:$A$10,0)),0)&gt;0,COUNTIFS(Assignments!$C$2:$C$769,$A263,Assignments!$F$2:$F$769,"VP",Assignments!$G$2:$G$769,"Active")=0),AND(IFERROR(INDEX(Templates!$F$3:$F$10,MATCH(Deals!$U215,Templates!$A$3:$A$10,0)),0)&gt;0,COUNTIFS(Assignments!$C$2:$C$769,$A263,Assignments!$F$2:$F$769,"Senior Associate",Assignments!$G$2:$G$769,"Active")=0),AND(IFERROR(INDEX(Templates!$G$3:$G$10,MATCH(Deals!$U215,Templates!$A$3:$A$10,0)),0)&gt;0,COUNTIFS(Assignments!$C$2:$C$769,$A263,Assignments!$F$2:$F$769,"Renewable Specialist",Assignments!$G$2:$G$769,"Active")=0),AND(IFERROR(INDEX(Templates!$H$3:$H$10,MATCH(Deals!$U215,Templates!$A$3:$A$10,0)),0)&gt;0,COUNTIFS(Assignments!$C$2:$C$769,$A263,Assignments!$F$2:$F$769,"Associate",Assignments!$G$2:$G$769,"Active")=0)))," MissingLevel","")&amp;IF(AND($C263="Proposal",Deals!$H215=0.5)," DefaultProbability","")&amp;IF($F263="No"," NoDates","")&amp;IF(AND(ISNUMBER($H263),$H263&gt;=Settings!$B$20)," Stale","")))</f>
        <v/>
      </c>
    </row>
    <row r="264">
      <c r="A264" s="16">
        <f>IF(Deals!$A216="","",Deals!$A216)</f>
        <v/>
      </c>
      <c r="B264" s="16">
        <f>IF($A264="","",Deals!$C216)</f>
        <v/>
      </c>
      <c r="C264" s="16">
        <f>IF($A264="","",Deals!$F216)</f>
        <v/>
      </c>
      <c r="D264" s="21">
        <f>IF($A264="","",Deals!$H216)</f>
        <v/>
      </c>
      <c r="E264" s="17">
        <f>IF($A264="","",Deals!$Q216)</f>
        <v/>
      </c>
      <c r="F264" s="16">
        <f>IF($A264="","",IF(AND(Deals!$I216&lt;&gt;"",Deals!$J216&lt;&gt;""),"Yes","No"))</f>
        <v/>
      </c>
      <c r="G264" s="22">
        <f>IF($A264="","",Deals!$Z216)</f>
        <v/>
      </c>
      <c r="H264" s="23">
        <f>IF(OR($A264="",$G264=""),"",INT((Settings!$B$19-$G264)/7))</f>
        <v/>
      </c>
      <c r="I264" s="24">
        <f>IF(OR($A264="",NOT(OR(Deals!$F216="Active",Deals!$F216="Proposal"))),"",TRIM(IF($E264=0," Unstaffed","")&amp;IF(IF(Deals!$U216="",FALSE,OR(AND(IFERROR(INDEX(Templates!$B$3:$B$10,MATCH(Deals!$U216,Templates!$A$3:$A$10,0)),0)&gt;0,COUNTIFS(Assignments!$C$2:$C$769,$A264,Assignments!$F$2:$F$769,"Partner",Assignments!$G$2:$G$769,"Active")=0),AND(IFERROR(INDEX(Templates!$C$3:$C$10,MATCH(Deals!$U216,Templates!$A$3:$A$10,0)),0)&gt;0,COUNTIFS(Assignments!$C$2:$C$769,$A264,Assignments!$F$2:$F$769,"MD",Assignments!$G$2:$G$769,"Active")=0),AND(IFERROR(INDEX(Templates!$D$3:$D$10,MATCH(Deals!$U216,Templates!$A$3:$A$10,0)),0)&gt;0,COUNTIFS(Assignments!$C$2:$C$769,$A264,Assignments!$F$2:$F$769,"Director",Assignments!$G$2:$G$769,"Active")=0),AND(IFERROR(INDEX(Templates!$E$3:$E$10,MATCH(Deals!$U216,Templates!$A$3:$A$10,0)),0)&gt;0,COUNTIFS(Assignments!$C$2:$C$769,$A264,Assignments!$F$2:$F$769,"VP",Assignments!$G$2:$G$769,"Active")=0),AND(IFERROR(INDEX(Templates!$F$3:$F$10,MATCH(Deals!$U216,Templates!$A$3:$A$10,0)),0)&gt;0,COUNTIFS(Assignments!$C$2:$C$769,$A264,Assignments!$F$2:$F$769,"Senior Associate",Assignments!$G$2:$G$769,"Active")=0),AND(IFERROR(INDEX(Templates!$G$3:$G$10,MATCH(Deals!$U216,Templates!$A$3:$A$10,0)),0)&gt;0,COUNTIFS(Assignments!$C$2:$C$769,$A264,Assignments!$F$2:$F$769,"Renewable Specialist",Assignments!$G$2:$G$769,"Active")=0),AND(IFERROR(INDEX(Templates!$H$3:$H$10,MATCH(Deals!$U216,Templates!$A$3:$A$10,0)),0)&gt;0,COUNTIFS(Assignments!$C$2:$C$769,$A264,Assignments!$F$2:$F$769,"Associate",Assignments!$G$2:$G$769,"Active")=0)))," MissingLevel","")&amp;IF(AND($C264="Proposal",Deals!$H216=0.5)," DefaultProbability","")&amp;IF($F264="No"," NoDates","")&amp;IF(AND(ISNUMBER($H264),$H264&gt;=Settings!$B$20)," Stale","")))</f>
        <v/>
      </c>
    </row>
    <row r="265">
      <c r="A265" s="16">
        <f>IF(Deals!$A217="","",Deals!$A217)</f>
        <v/>
      </c>
      <c r="B265" s="16">
        <f>IF($A265="","",Deals!$C217)</f>
        <v/>
      </c>
      <c r="C265" s="16">
        <f>IF($A265="","",Deals!$F217)</f>
        <v/>
      </c>
      <c r="D265" s="21">
        <f>IF($A265="","",Deals!$H217)</f>
        <v/>
      </c>
      <c r="E265" s="17">
        <f>IF($A265="","",Deals!$Q217)</f>
        <v/>
      </c>
      <c r="F265" s="16">
        <f>IF($A265="","",IF(AND(Deals!$I217&lt;&gt;"",Deals!$J217&lt;&gt;""),"Yes","No"))</f>
        <v/>
      </c>
      <c r="G265" s="22">
        <f>IF($A265="","",Deals!$Z217)</f>
        <v/>
      </c>
      <c r="H265" s="23">
        <f>IF(OR($A265="",$G265=""),"",INT((Settings!$B$19-$G265)/7))</f>
        <v/>
      </c>
      <c r="I265" s="24">
        <f>IF(OR($A265="",NOT(OR(Deals!$F217="Active",Deals!$F217="Proposal"))),"",TRIM(IF($E265=0," Unstaffed","")&amp;IF(IF(Deals!$U217="",FALSE,OR(AND(IFERROR(INDEX(Templates!$B$3:$B$10,MATCH(Deals!$U217,Templates!$A$3:$A$10,0)),0)&gt;0,COUNTIFS(Assignments!$C$2:$C$769,$A265,Assignments!$F$2:$F$769,"Partner",Assignments!$G$2:$G$769,"Active")=0),AND(IFERROR(INDEX(Templates!$C$3:$C$10,MATCH(Deals!$U217,Templates!$A$3:$A$10,0)),0)&gt;0,COUNTIFS(Assignments!$C$2:$C$769,$A265,Assignments!$F$2:$F$769,"MD",Assignments!$G$2:$G$769,"Active")=0),AND(IFERROR(INDEX(Templates!$D$3:$D$10,MATCH(Deals!$U217,Templates!$A$3:$A$10,0)),0)&gt;0,COUNTIFS(Assignments!$C$2:$C$769,$A265,Assignments!$F$2:$F$769,"Director",Assignments!$G$2:$G$769,"Active")=0),AND(IFERROR(INDEX(Templates!$E$3:$E$10,MATCH(Deals!$U217,Templates!$A$3:$A$10,0)),0)&gt;0,COUNTIFS(Assignments!$C$2:$C$769,$A265,Assignments!$F$2:$F$769,"VP",Assignments!$G$2:$G$769,"Active")=0),AND(IFERROR(INDEX(Templates!$F$3:$F$10,MATCH(Deals!$U217,Templates!$A$3:$A$10,0)),0)&gt;0,COUNTIFS(Assignments!$C$2:$C$769,$A265,Assignments!$F$2:$F$769,"Senior Associate",Assignments!$G$2:$G$769,"Active")=0),AND(IFERROR(INDEX(Templates!$G$3:$G$10,MATCH(Deals!$U217,Templates!$A$3:$A$10,0)),0)&gt;0,COUNTIFS(Assignments!$C$2:$C$769,$A265,Assignments!$F$2:$F$769,"Renewable Specialist",Assignments!$G$2:$G$769,"Active")=0),AND(IFERROR(INDEX(Templates!$H$3:$H$10,MATCH(Deals!$U217,Templates!$A$3:$A$10,0)),0)&gt;0,COUNTIFS(Assignments!$C$2:$C$769,$A265,Assignments!$F$2:$F$769,"Associate",Assignments!$G$2:$G$769,"Active")=0)))," MissingLevel","")&amp;IF(AND($C265="Proposal",Deals!$H217=0.5)," DefaultProbability","")&amp;IF($F265="No"," NoDates","")&amp;IF(AND(ISNUMBER($H265),$H265&gt;=Settings!$B$20)," Stale","")))</f>
        <v/>
      </c>
    </row>
    <row r="266">
      <c r="A266" s="16">
        <f>IF(Deals!$A218="","",Deals!$A218)</f>
        <v/>
      </c>
      <c r="B266" s="16">
        <f>IF($A266="","",Deals!$C218)</f>
        <v/>
      </c>
      <c r="C266" s="16">
        <f>IF($A266="","",Deals!$F218)</f>
        <v/>
      </c>
      <c r="D266" s="21">
        <f>IF($A266="","",Deals!$H218)</f>
        <v/>
      </c>
      <c r="E266" s="17">
        <f>IF($A266="","",Deals!$Q218)</f>
        <v/>
      </c>
      <c r="F266" s="16">
        <f>IF($A266="","",IF(AND(Deals!$I218&lt;&gt;"",Deals!$J218&lt;&gt;""),"Yes","No"))</f>
        <v/>
      </c>
      <c r="G266" s="22">
        <f>IF($A266="","",Deals!$Z218)</f>
        <v/>
      </c>
      <c r="H266" s="23">
        <f>IF(OR($A266="",$G266=""),"",INT((Settings!$B$19-$G266)/7))</f>
        <v/>
      </c>
      <c r="I266" s="24">
        <f>IF(OR($A266="",NOT(OR(Deals!$F218="Active",Deals!$F218="Proposal"))),"",TRIM(IF($E266=0," Unstaffed","")&amp;IF(IF(Deals!$U218="",FALSE,OR(AND(IFERROR(INDEX(Templates!$B$3:$B$10,MATCH(Deals!$U218,Templates!$A$3:$A$10,0)),0)&gt;0,COUNTIFS(Assignments!$C$2:$C$769,$A266,Assignments!$F$2:$F$769,"Partner",Assignments!$G$2:$G$769,"Active")=0),AND(IFERROR(INDEX(Templates!$C$3:$C$10,MATCH(Deals!$U218,Templates!$A$3:$A$10,0)),0)&gt;0,COUNTIFS(Assignments!$C$2:$C$769,$A266,Assignments!$F$2:$F$769,"MD",Assignments!$G$2:$G$769,"Active")=0),AND(IFERROR(INDEX(Templates!$D$3:$D$10,MATCH(Deals!$U218,Templates!$A$3:$A$10,0)),0)&gt;0,COUNTIFS(Assignments!$C$2:$C$769,$A266,Assignments!$F$2:$F$769,"Director",Assignments!$G$2:$G$769,"Active")=0),AND(IFERROR(INDEX(Templates!$E$3:$E$10,MATCH(Deals!$U218,Templates!$A$3:$A$10,0)),0)&gt;0,COUNTIFS(Assignments!$C$2:$C$769,$A266,Assignments!$F$2:$F$769,"VP",Assignments!$G$2:$G$769,"Active")=0),AND(IFERROR(INDEX(Templates!$F$3:$F$10,MATCH(Deals!$U218,Templates!$A$3:$A$10,0)),0)&gt;0,COUNTIFS(Assignments!$C$2:$C$769,$A266,Assignments!$F$2:$F$769,"Senior Associate",Assignments!$G$2:$G$769,"Active")=0),AND(IFERROR(INDEX(Templates!$G$3:$G$10,MATCH(Deals!$U218,Templates!$A$3:$A$10,0)),0)&gt;0,COUNTIFS(Assignments!$C$2:$C$769,$A266,Assignments!$F$2:$F$769,"Renewable Specialist",Assignments!$G$2:$G$769,"Active")=0),AND(IFERROR(INDEX(Templates!$H$3:$H$10,MATCH(Deals!$U218,Templates!$A$3:$A$10,0)),0)&gt;0,COUNTIFS(Assignments!$C$2:$C$769,$A266,Assignments!$F$2:$F$769,"Associate",Assignments!$G$2:$G$769,"Active")=0)))," MissingLevel","")&amp;IF(AND($C266="Proposal",Deals!$H218=0.5)," DefaultProbability","")&amp;IF($F266="No"," NoDates","")&amp;IF(AND(ISNUMBER($H266),$H266&gt;=Settings!$B$20)," Stale","")))</f>
        <v/>
      </c>
    </row>
    <row r="267">
      <c r="A267" s="16">
        <f>IF(Deals!$A219="","",Deals!$A219)</f>
        <v/>
      </c>
      <c r="B267" s="16">
        <f>IF($A267="","",Deals!$C219)</f>
        <v/>
      </c>
      <c r="C267" s="16">
        <f>IF($A267="","",Deals!$F219)</f>
        <v/>
      </c>
      <c r="D267" s="21">
        <f>IF($A267="","",Deals!$H219)</f>
        <v/>
      </c>
      <c r="E267" s="17">
        <f>IF($A267="","",Deals!$Q219)</f>
        <v/>
      </c>
      <c r="F267" s="16">
        <f>IF($A267="","",IF(AND(Deals!$I219&lt;&gt;"",Deals!$J219&lt;&gt;""),"Yes","No"))</f>
        <v/>
      </c>
      <c r="G267" s="22">
        <f>IF($A267="","",Deals!$Z219)</f>
        <v/>
      </c>
      <c r="H267" s="23">
        <f>IF(OR($A267="",$G267=""),"",INT((Settings!$B$19-$G267)/7))</f>
        <v/>
      </c>
      <c r="I267" s="24">
        <f>IF(OR($A267="",NOT(OR(Deals!$F219="Active",Deals!$F219="Proposal"))),"",TRIM(IF($E267=0," Unstaffed","")&amp;IF(IF(Deals!$U219="",FALSE,OR(AND(IFERROR(INDEX(Templates!$B$3:$B$10,MATCH(Deals!$U219,Templates!$A$3:$A$10,0)),0)&gt;0,COUNTIFS(Assignments!$C$2:$C$769,$A267,Assignments!$F$2:$F$769,"Partner",Assignments!$G$2:$G$769,"Active")=0),AND(IFERROR(INDEX(Templates!$C$3:$C$10,MATCH(Deals!$U219,Templates!$A$3:$A$10,0)),0)&gt;0,COUNTIFS(Assignments!$C$2:$C$769,$A267,Assignments!$F$2:$F$769,"MD",Assignments!$G$2:$G$769,"Active")=0),AND(IFERROR(INDEX(Templates!$D$3:$D$10,MATCH(Deals!$U219,Templates!$A$3:$A$10,0)),0)&gt;0,COUNTIFS(Assignments!$C$2:$C$769,$A267,Assignments!$F$2:$F$769,"Director",Assignments!$G$2:$G$769,"Active")=0),AND(IFERROR(INDEX(Templates!$E$3:$E$10,MATCH(Deals!$U219,Templates!$A$3:$A$10,0)),0)&gt;0,COUNTIFS(Assignments!$C$2:$C$769,$A267,Assignments!$F$2:$F$769,"VP",Assignments!$G$2:$G$769,"Active")=0),AND(IFERROR(INDEX(Templates!$F$3:$F$10,MATCH(Deals!$U219,Templates!$A$3:$A$10,0)),0)&gt;0,COUNTIFS(Assignments!$C$2:$C$769,$A267,Assignments!$F$2:$F$769,"Senior Associate",Assignments!$G$2:$G$769,"Active")=0),AND(IFERROR(INDEX(Templates!$G$3:$G$10,MATCH(Deals!$U219,Templates!$A$3:$A$10,0)),0)&gt;0,COUNTIFS(Assignments!$C$2:$C$769,$A267,Assignments!$F$2:$F$769,"Renewable Specialist",Assignments!$G$2:$G$769,"Active")=0),AND(IFERROR(INDEX(Templates!$H$3:$H$10,MATCH(Deals!$U219,Templates!$A$3:$A$10,0)),0)&gt;0,COUNTIFS(Assignments!$C$2:$C$769,$A267,Assignments!$F$2:$F$769,"Associate",Assignments!$G$2:$G$769,"Active")=0)))," MissingLevel","")&amp;IF(AND($C267="Proposal",Deals!$H219=0.5)," DefaultProbability","")&amp;IF($F267="No"," NoDates","")&amp;IF(AND(ISNUMBER($H267),$H267&gt;=Settings!$B$20)," Stale","")))</f>
        <v/>
      </c>
    </row>
    <row r="268">
      <c r="A268" s="16">
        <f>IF(Deals!$A220="","",Deals!$A220)</f>
        <v/>
      </c>
      <c r="B268" s="16">
        <f>IF($A268="","",Deals!$C220)</f>
        <v/>
      </c>
      <c r="C268" s="16">
        <f>IF($A268="","",Deals!$F220)</f>
        <v/>
      </c>
      <c r="D268" s="21">
        <f>IF($A268="","",Deals!$H220)</f>
        <v/>
      </c>
      <c r="E268" s="17">
        <f>IF($A268="","",Deals!$Q220)</f>
        <v/>
      </c>
      <c r="F268" s="16">
        <f>IF($A268="","",IF(AND(Deals!$I220&lt;&gt;"",Deals!$J220&lt;&gt;""),"Yes","No"))</f>
        <v/>
      </c>
      <c r="G268" s="22">
        <f>IF($A268="","",Deals!$Z220)</f>
        <v/>
      </c>
      <c r="H268" s="23">
        <f>IF(OR($A268="",$G268=""),"",INT((Settings!$B$19-$G268)/7))</f>
        <v/>
      </c>
      <c r="I268" s="24">
        <f>IF(OR($A268="",NOT(OR(Deals!$F220="Active",Deals!$F220="Proposal"))),"",TRIM(IF($E268=0," Unstaffed","")&amp;IF(IF(Deals!$U220="",FALSE,OR(AND(IFERROR(INDEX(Templates!$B$3:$B$10,MATCH(Deals!$U220,Templates!$A$3:$A$10,0)),0)&gt;0,COUNTIFS(Assignments!$C$2:$C$769,$A268,Assignments!$F$2:$F$769,"Partner",Assignments!$G$2:$G$769,"Active")=0),AND(IFERROR(INDEX(Templates!$C$3:$C$10,MATCH(Deals!$U220,Templates!$A$3:$A$10,0)),0)&gt;0,COUNTIFS(Assignments!$C$2:$C$769,$A268,Assignments!$F$2:$F$769,"MD",Assignments!$G$2:$G$769,"Active")=0),AND(IFERROR(INDEX(Templates!$D$3:$D$10,MATCH(Deals!$U220,Templates!$A$3:$A$10,0)),0)&gt;0,COUNTIFS(Assignments!$C$2:$C$769,$A268,Assignments!$F$2:$F$769,"Director",Assignments!$G$2:$G$769,"Active")=0),AND(IFERROR(INDEX(Templates!$E$3:$E$10,MATCH(Deals!$U220,Templates!$A$3:$A$10,0)),0)&gt;0,COUNTIFS(Assignments!$C$2:$C$769,$A268,Assignments!$F$2:$F$769,"VP",Assignments!$G$2:$G$769,"Active")=0),AND(IFERROR(INDEX(Templates!$F$3:$F$10,MATCH(Deals!$U220,Templates!$A$3:$A$10,0)),0)&gt;0,COUNTIFS(Assignments!$C$2:$C$769,$A268,Assignments!$F$2:$F$769,"Senior Associate",Assignments!$G$2:$G$769,"Active")=0),AND(IFERROR(INDEX(Templates!$G$3:$G$10,MATCH(Deals!$U220,Templates!$A$3:$A$10,0)),0)&gt;0,COUNTIFS(Assignments!$C$2:$C$769,$A268,Assignments!$F$2:$F$769,"Renewable Specialist",Assignments!$G$2:$G$769,"Active")=0),AND(IFERROR(INDEX(Templates!$H$3:$H$10,MATCH(Deals!$U220,Templates!$A$3:$A$10,0)),0)&gt;0,COUNTIFS(Assignments!$C$2:$C$769,$A268,Assignments!$F$2:$F$769,"Associate",Assignments!$G$2:$G$769,"Active")=0)))," MissingLevel","")&amp;IF(AND($C268="Proposal",Deals!$H220=0.5)," DefaultProbability","")&amp;IF($F268="No"," NoDates","")&amp;IF(AND(ISNUMBER($H268),$H268&gt;=Settings!$B$20)," Stale","")))</f>
        <v/>
      </c>
    </row>
    <row r="269">
      <c r="A269" s="16">
        <f>IF(Deals!$A221="","",Deals!$A221)</f>
        <v/>
      </c>
      <c r="B269" s="16">
        <f>IF($A269="","",Deals!$C221)</f>
        <v/>
      </c>
      <c r="C269" s="16">
        <f>IF($A269="","",Deals!$F221)</f>
        <v/>
      </c>
      <c r="D269" s="21">
        <f>IF($A269="","",Deals!$H221)</f>
        <v/>
      </c>
      <c r="E269" s="17">
        <f>IF($A269="","",Deals!$Q221)</f>
        <v/>
      </c>
      <c r="F269" s="16">
        <f>IF($A269="","",IF(AND(Deals!$I221&lt;&gt;"",Deals!$J221&lt;&gt;""),"Yes","No"))</f>
        <v/>
      </c>
      <c r="G269" s="22">
        <f>IF($A269="","",Deals!$Z221)</f>
        <v/>
      </c>
      <c r="H269" s="23">
        <f>IF(OR($A269="",$G269=""),"",INT((Settings!$B$19-$G269)/7))</f>
        <v/>
      </c>
      <c r="I269" s="24">
        <f>IF(OR($A269="",NOT(OR(Deals!$F221="Active",Deals!$F221="Proposal"))),"",TRIM(IF($E269=0," Unstaffed","")&amp;IF(IF(Deals!$U221="",FALSE,OR(AND(IFERROR(INDEX(Templates!$B$3:$B$10,MATCH(Deals!$U221,Templates!$A$3:$A$10,0)),0)&gt;0,COUNTIFS(Assignments!$C$2:$C$769,$A269,Assignments!$F$2:$F$769,"Partner",Assignments!$G$2:$G$769,"Active")=0),AND(IFERROR(INDEX(Templates!$C$3:$C$10,MATCH(Deals!$U221,Templates!$A$3:$A$10,0)),0)&gt;0,COUNTIFS(Assignments!$C$2:$C$769,$A269,Assignments!$F$2:$F$769,"MD",Assignments!$G$2:$G$769,"Active")=0),AND(IFERROR(INDEX(Templates!$D$3:$D$10,MATCH(Deals!$U221,Templates!$A$3:$A$10,0)),0)&gt;0,COUNTIFS(Assignments!$C$2:$C$769,$A269,Assignments!$F$2:$F$769,"Director",Assignments!$G$2:$G$769,"Active")=0),AND(IFERROR(INDEX(Templates!$E$3:$E$10,MATCH(Deals!$U221,Templates!$A$3:$A$10,0)),0)&gt;0,COUNTIFS(Assignments!$C$2:$C$769,$A269,Assignments!$F$2:$F$769,"VP",Assignments!$G$2:$G$769,"Active")=0),AND(IFERROR(INDEX(Templates!$F$3:$F$10,MATCH(Deals!$U221,Templates!$A$3:$A$10,0)),0)&gt;0,COUNTIFS(Assignments!$C$2:$C$769,$A269,Assignments!$F$2:$F$769,"Senior Associate",Assignments!$G$2:$G$769,"Active")=0),AND(IFERROR(INDEX(Templates!$G$3:$G$10,MATCH(Deals!$U221,Templates!$A$3:$A$10,0)),0)&gt;0,COUNTIFS(Assignments!$C$2:$C$769,$A269,Assignments!$F$2:$F$769,"Renewable Specialist",Assignments!$G$2:$G$769,"Active")=0),AND(IFERROR(INDEX(Templates!$H$3:$H$10,MATCH(Deals!$U221,Templates!$A$3:$A$10,0)),0)&gt;0,COUNTIFS(Assignments!$C$2:$C$769,$A269,Assignments!$F$2:$F$769,"Associate",Assignments!$G$2:$G$769,"Active")=0)))," MissingLevel","")&amp;IF(AND($C269="Proposal",Deals!$H221=0.5)," DefaultProbability","")&amp;IF($F269="No"," NoDates","")&amp;IF(AND(ISNUMBER($H269),$H269&gt;=Settings!$B$20)," Stale","")))</f>
        <v/>
      </c>
    </row>
    <row r="270">
      <c r="A270" s="16">
        <f>IF(Deals!$A222="","",Deals!$A222)</f>
        <v/>
      </c>
      <c r="B270" s="16">
        <f>IF($A270="","",Deals!$C222)</f>
        <v/>
      </c>
      <c r="C270" s="16">
        <f>IF($A270="","",Deals!$F222)</f>
        <v/>
      </c>
      <c r="D270" s="21">
        <f>IF($A270="","",Deals!$H222)</f>
        <v/>
      </c>
      <c r="E270" s="17">
        <f>IF($A270="","",Deals!$Q222)</f>
        <v/>
      </c>
      <c r="F270" s="16">
        <f>IF($A270="","",IF(AND(Deals!$I222&lt;&gt;"",Deals!$J222&lt;&gt;""),"Yes","No"))</f>
        <v/>
      </c>
      <c r="G270" s="22">
        <f>IF($A270="","",Deals!$Z222)</f>
        <v/>
      </c>
      <c r="H270" s="23">
        <f>IF(OR($A270="",$G270=""),"",INT((Settings!$B$19-$G270)/7))</f>
        <v/>
      </c>
      <c r="I270" s="24">
        <f>IF(OR($A270="",NOT(OR(Deals!$F222="Active",Deals!$F222="Proposal"))),"",TRIM(IF($E270=0," Unstaffed","")&amp;IF(IF(Deals!$U222="",FALSE,OR(AND(IFERROR(INDEX(Templates!$B$3:$B$10,MATCH(Deals!$U222,Templates!$A$3:$A$10,0)),0)&gt;0,COUNTIFS(Assignments!$C$2:$C$769,$A270,Assignments!$F$2:$F$769,"Partner",Assignments!$G$2:$G$769,"Active")=0),AND(IFERROR(INDEX(Templates!$C$3:$C$10,MATCH(Deals!$U222,Templates!$A$3:$A$10,0)),0)&gt;0,COUNTIFS(Assignments!$C$2:$C$769,$A270,Assignments!$F$2:$F$769,"MD",Assignments!$G$2:$G$769,"Active")=0),AND(IFERROR(INDEX(Templates!$D$3:$D$10,MATCH(Deals!$U222,Templates!$A$3:$A$10,0)),0)&gt;0,COUNTIFS(Assignments!$C$2:$C$769,$A270,Assignments!$F$2:$F$769,"Director",Assignments!$G$2:$G$769,"Active")=0),AND(IFERROR(INDEX(Templates!$E$3:$E$10,MATCH(Deals!$U222,Templates!$A$3:$A$10,0)),0)&gt;0,COUNTIFS(Assignments!$C$2:$C$769,$A270,Assignments!$F$2:$F$769,"VP",Assignments!$G$2:$G$769,"Active")=0),AND(IFERROR(INDEX(Templates!$F$3:$F$10,MATCH(Deals!$U222,Templates!$A$3:$A$10,0)),0)&gt;0,COUNTIFS(Assignments!$C$2:$C$769,$A270,Assignments!$F$2:$F$769,"Senior Associate",Assignments!$G$2:$G$769,"Active")=0),AND(IFERROR(INDEX(Templates!$G$3:$G$10,MATCH(Deals!$U222,Templates!$A$3:$A$10,0)),0)&gt;0,COUNTIFS(Assignments!$C$2:$C$769,$A270,Assignments!$F$2:$F$769,"Renewable Specialist",Assignments!$G$2:$G$769,"Active")=0),AND(IFERROR(INDEX(Templates!$H$3:$H$10,MATCH(Deals!$U222,Templates!$A$3:$A$10,0)),0)&gt;0,COUNTIFS(Assignments!$C$2:$C$769,$A270,Assignments!$F$2:$F$769,"Associate",Assignments!$G$2:$G$769,"Active")=0)))," MissingLevel","")&amp;IF(AND($C270="Proposal",Deals!$H222=0.5)," DefaultProbability","")&amp;IF($F270="No"," NoDates","")&amp;IF(AND(ISNUMBER($H270),$H270&gt;=Settings!$B$20)," Stale","")))</f>
        <v/>
      </c>
    </row>
    <row r="271">
      <c r="A271" s="16">
        <f>IF(Deals!$A223="","",Deals!$A223)</f>
        <v/>
      </c>
      <c r="B271" s="16">
        <f>IF($A271="","",Deals!$C223)</f>
        <v/>
      </c>
      <c r="C271" s="16">
        <f>IF($A271="","",Deals!$F223)</f>
        <v/>
      </c>
      <c r="D271" s="21">
        <f>IF($A271="","",Deals!$H223)</f>
        <v/>
      </c>
      <c r="E271" s="17">
        <f>IF($A271="","",Deals!$Q223)</f>
        <v/>
      </c>
      <c r="F271" s="16">
        <f>IF($A271="","",IF(AND(Deals!$I223&lt;&gt;"",Deals!$J223&lt;&gt;""),"Yes","No"))</f>
        <v/>
      </c>
      <c r="G271" s="22">
        <f>IF($A271="","",Deals!$Z223)</f>
        <v/>
      </c>
      <c r="H271" s="23">
        <f>IF(OR($A271="",$G271=""),"",INT((Settings!$B$19-$G271)/7))</f>
        <v/>
      </c>
      <c r="I271" s="24">
        <f>IF(OR($A271="",NOT(OR(Deals!$F223="Active",Deals!$F223="Proposal"))),"",TRIM(IF($E271=0," Unstaffed","")&amp;IF(IF(Deals!$U223="",FALSE,OR(AND(IFERROR(INDEX(Templates!$B$3:$B$10,MATCH(Deals!$U223,Templates!$A$3:$A$10,0)),0)&gt;0,COUNTIFS(Assignments!$C$2:$C$769,$A271,Assignments!$F$2:$F$769,"Partner",Assignments!$G$2:$G$769,"Active")=0),AND(IFERROR(INDEX(Templates!$C$3:$C$10,MATCH(Deals!$U223,Templates!$A$3:$A$10,0)),0)&gt;0,COUNTIFS(Assignments!$C$2:$C$769,$A271,Assignments!$F$2:$F$769,"MD",Assignments!$G$2:$G$769,"Active")=0),AND(IFERROR(INDEX(Templates!$D$3:$D$10,MATCH(Deals!$U223,Templates!$A$3:$A$10,0)),0)&gt;0,COUNTIFS(Assignments!$C$2:$C$769,$A271,Assignments!$F$2:$F$769,"Director",Assignments!$G$2:$G$769,"Active")=0),AND(IFERROR(INDEX(Templates!$E$3:$E$10,MATCH(Deals!$U223,Templates!$A$3:$A$10,0)),0)&gt;0,COUNTIFS(Assignments!$C$2:$C$769,$A271,Assignments!$F$2:$F$769,"VP",Assignments!$G$2:$G$769,"Active")=0),AND(IFERROR(INDEX(Templates!$F$3:$F$10,MATCH(Deals!$U223,Templates!$A$3:$A$10,0)),0)&gt;0,COUNTIFS(Assignments!$C$2:$C$769,$A271,Assignments!$F$2:$F$769,"Senior Associate",Assignments!$G$2:$G$769,"Active")=0),AND(IFERROR(INDEX(Templates!$G$3:$G$10,MATCH(Deals!$U223,Templates!$A$3:$A$10,0)),0)&gt;0,COUNTIFS(Assignments!$C$2:$C$769,$A271,Assignments!$F$2:$F$769,"Renewable Specialist",Assignments!$G$2:$G$769,"Active")=0),AND(IFERROR(INDEX(Templates!$H$3:$H$10,MATCH(Deals!$U223,Templates!$A$3:$A$10,0)),0)&gt;0,COUNTIFS(Assignments!$C$2:$C$769,$A271,Assignments!$F$2:$F$769,"Associate",Assignments!$G$2:$G$769,"Active")=0)))," MissingLevel","")&amp;IF(AND($C271="Proposal",Deals!$H223=0.5)," DefaultProbability","")&amp;IF($F271="No"," NoDates","")&amp;IF(AND(ISNUMBER($H271),$H271&gt;=Settings!$B$20)," Stale","")))</f>
        <v/>
      </c>
    </row>
    <row r="272">
      <c r="A272" s="16">
        <f>IF(Deals!$A224="","",Deals!$A224)</f>
        <v/>
      </c>
      <c r="B272" s="16">
        <f>IF($A272="","",Deals!$C224)</f>
        <v/>
      </c>
      <c r="C272" s="16">
        <f>IF($A272="","",Deals!$F224)</f>
        <v/>
      </c>
      <c r="D272" s="21">
        <f>IF($A272="","",Deals!$H224)</f>
        <v/>
      </c>
      <c r="E272" s="17">
        <f>IF($A272="","",Deals!$Q224)</f>
        <v/>
      </c>
      <c r="F272" s="16">
        <f>IF($A272="","",IF(AND(Deals!$I224&lt;&gt;"",Deals!$J224&lt;&gt;""),"Yes","No"))</f>
        <v/>
      </c>
      <c r="G272" s="22">
        <f>IF($A272="","",Deals!$Z224)</f>
        <v/>
      </c>
      <c r="H272" s="23">
        <f>IF(OR($A272="",$G272=""),"",INT((Settings!$B$19-$G272)/7))</f>
        <v/>
      </c>
      <c r="I272" s="24">
        <f>IF(OR($A272="",NOT(OR(Deals!$F224="Active",Deals!$F224="Proposal"))),"",TRIM(IF($E272=0," Unstaffed","")&amp;IF(IF(Deals!$U224="",FALSE,OR(AND(IFERROR(INDEX(Templates!$B$3:$B$10,MATCH(Deals!$U224,Templates!$A$3:$A$10,0)),0)&gt;0,COUNTIFS(Assignments!$C$2:$C$769,$A272,Assignments!$F$2:$F$769,"Partner",Assignments!$G$2:$G$769,"Active")=0),AND(IFERROR(INDEX(Templates!$C$3:$C$10,MATCH(Deals!$U224,Templates!$A$3:$A$10,0)),0)&gt;0,COUNTIFS(Assignments!$C$2:$C$769,$A272,Assignments!$F$2:$F$769,"MD",Assignments!$G$2:$G$769,"Active")=0),AND(IFERROR(INDEX(Templates!$D$3:$D$10,MATCH(Deals!$U224,Templates!$A$3:$A$10,0)),0)&gt;0,COUNTIFS(Assignments!$C$2:$C$769,$A272,Assignments!$F$2:$F$769,"Director",Assignments!$G$2:$G$769,"Active")=0),AND(IFERROR(INDEX(Templates!$E$3:$E$10,MATCH(Deals!$U224,Templates!$A$3:$A$10,0)),0)&gt;0,COUNTIFS(Assignments!$C$2:$C$769,$A272,Assignments!$F$2:$F$769,"VP",Assignments!$G$2:$G$769,"Active")=0),AND(IFERROR(INDEX(Templates!$F$3:$F$10,MATCH(Deals!$U224,Templates!$A$3:$A$10,0)),0)&gt;0,COUNTIFS(Assignments!$C$2:$C$769,$A272,Assignments!$F$2:$F$769,"Senior Associate",Assignments!$G$2:$G$769,"Active")=0),AND(IFERROR(INDEX(Templates!$G$3:$G$10,MATCH(Deals!$U224,Templates!$A$3:$A$10,0)),0)&gt;0,COUNTIFS(Assignments!$C$2:$C$769,$A272,Assignments!$F$2:$F$769,"Renewable Specialist",Assignments!$G$2:$G$769,"Active")=0),AND(IFERROR(INDEX(Templates!$H$3:$H$10,MATCH(Deals!$U224,Templates!$A$3:$A$10,0)),0)&gt;0,COUNTIFS(Assignments!$C$2:$C$769,$A272,Assignments!$F$2:$F$769,"Associate",Assignments!$G$2:$G$769,"Active")=0)))," MissingLevel","")&amp;IF(AND($C272="Proposal",Deals!$H224=0.5)," DefaultProbability","")&amp;IF($F272="No"," NoDates","")&amp;IF(AND(ISNUMBER($H272),$H272&gt;=Settings!$B$20)," Stale","")))</f>
        <v/>
      </c>
    </row>
    <row r="273">
      <c r="A273" s="16">
        <f>IF(Deals!$A225="","",Deals!$A225)</f>
        <v/>
      </c>
      <c r="B273" s="16">
        <f>IF($A273="","",Deals!$C225)</f>
        <v/>
      </c>
      <c r="C273" s="16">
        <f>IF($A273="","",Deals!$F225)</f>
        <v/>
      </c>
      <c r="D273" s="21">
        <f>IF($A273="","",Deals!$H225)</f>
        <v/>
      </c>
      <c r="E273" s="17">
        <f>IF($A273="","",Deals!$Q225)</f>
        <v/>
      </c>
      <c r="F273" s="16">
        <f>IF($A273="","",IF(AND(Deals!$I225&lt;&gt;"",Deals!$J225&lt;&gt;""),"Yes","No"))</f>
        <v/>
      </c>
      <c r="G273" s="22">
        <f>IF($A273="","",Deals!$Z225)</f>
        <v/>
      </c>
      <c r="H273" s="23">
        <f>IF(OR($A273="",$G273=""),"",INT((Settings!$B$19-$G273)/7))</f>
        <v/>
      </c>
      <c r="I273" s="24">
        <f>IF(OR($A273="",NOT(OR(Deals!$F225="Active",Deals!$F225="Proposal"))),"",TRIM(IF($E273=0," Unstaffed","")&amp;IF(IF(Deals!$U225="",FALSE,OR(AND(IFERROR(INDEX(Templates!$B$3:$B$10,MATCH(Deals!$U225,Templates!$A$3:$A$10,0)),0)&gt;0,COUNTIFS(Assignments!$C$2:$C$769,$A273,Assignments!$F$2:$F$769,"Partner",Assignments!$G$2:$G$769,"Active")=0),AND(IFERROR(INDEX(Templates!$C$3:$C$10,MATCH(Deals!$U225,Templates!$A$3:$A$10,0)),0)&gt;0,COUNTIFS(Assignments!$C$2:$C$769,$A273,Assignments!$F$2:$F$769,"MD",Assignments!$G$2:$G$769,"Active")=0),AND(IFERROR(INDEX(Templates!$D$3:$D$10,MATCH(Deals!$U225,Templates!$A$3:$A$10,0)),0)&gt;0,COUNTIFS(Assignments!$C$2:$C$769,$A273,Assignments!$F$2:$F$769,"Director",Assignments!$G$2:$G$769,"Active")=0),AND(IFERROR(INDEX(Templates!$E$3:$E$10,MATCH(Deals!$U225,Templates!$A$3:$A$10,0)),0)&gt;0,COUNTIFS(Assignments!$C$2:$C$769,$A273,Assignments!$F$2:$F$769,"VP",Assignments!$G$2:$G$769,"Active")=0),AND(IFERROR(INDEX(Templates!$F$3:$F$10,MATCH(Deals!$U225,Templates!$A$3:$A$10,0)),0)&gt;0,COUNTIFS(Assignments!$C$2:$C$769,$A273,Assignments!$F$2:$F$769,"Senior Associate",Assignments!$G$2:$G$769,"Active")=0),AND(IFERROR(INDEX(Templates!$G$3:$G$10,MATCH(Deals!$U225,Templates!$A$3:$A$10,0)),0)&gt;0,COUNTIFS(Assignments!$C$2:$C$769,$A273,Assignments!$F$2:$F$769,"Renewable Specialist",Assignments!$G$2:$G$769,"Active")=0),AND(IFERROR(INDEX(Templates!$H$3:$H$10,MATCH(Deals!$U225,Templates!$A$3:$A$10,0)),0)&gt;0,COUNTIFS(Assignments!$C$2:$C$769,$A273,Assignments!$F$2:$F$769,"Associate",Assignments!$G$2:$G$769,"Active")=0)))," MissingLevel","")&amp;IF(AND($C273="Proposal",Deals!$H225=0.5)," DefaultProbability","")&amp;IF($F273="No"," NoDates","")&amp;IF(AND(ISNUMBER($H273),$H273&gt;=Settings!$B$20)," Stale","")))</f>
        <v/>
      </c>
    </row>
    <row r="274">
      <c r="A274" s="16">
        <f>IF(Deals!$A226="","",Deals!$A226)</f>
        <v/>
      </c>
      <c r="B274" s="16">
        <f>IF($A274="","",Deals!$C226)</f>
        <v/>
      </c>
      <c r="C274" s="16">
        <f>IF($A274="","",Deals!$F226)</f>
        <v/>
      </c>
      <c r="D274" s="21">
        <f>IF($A274="","",Deals!$H226)</f>
        <v/>
      </c>
      <c r="E274" s="17">
        <f>IF($A274="","",Deals!$Q226)</f>
        <v/>
      </c>
      <c r="F274" s="16">
        <f>IF($A274="","",IF(AND(Deals!$I226&lt;&gt;"",Deals!$J226&lt;&gt;""),"Yes","No"))</f>
        <v/>
      </c>
      <c r="G274" s="22">
        <f>IF($A274="","",Deals!$Z226)</f>
        <v/>
      </c>
      <c r="H274" s="23">
        <f>IF(OR($A274="",$G274=""),"",INT((Settings!$B$19-$G274)/7))</f>
        <v/>
      </c>
      <c r="I274" s="24">
        <f>IF(OR($A274="",NOT(OR(Deals!$F226="Active",Deals!$F226="Proposal"))),"",TRIM(IF($E274=0," Unstaffed","")&amp;IF(IF(Deals!$U226="",FALSE,OR(AND(IFERROR(INDEX(Templates!$B$3:$B$10,MATCH(Deals!$U226,Templates!$A$3:$A$10,0)),0)&gt;0,COUNTIFS(Assignments!$C$2:$C$769,$A274,Assignments!$F$2:$F$769,"Partner",Assignments!$G$2:$G$769,"Active")=0),AND(IFERROR(INDEX(Templates!$C$3:$C$10,MATCH(Deals!$U226,Templates!$A$3:$A$10,0)),0)&gt;0,COUNTIFS(Assignments!$C$2:$C$769,$A274,Assignments!$F$2:$F$769,"MD",Assignments!$G$2:$G$769,"Active")=0),AND(IFERROR(INDEX(Templates!$D$3:$D$10,MATCH(Deals!$U226,Templates!$A$3:$A$10,0)),0)&gt;0,COUNTIFS(Assignments!$C$2:$C$769,$A274,Assignments!$F$2:$F$769,"Director",Assignments!$G$2:$G$769,"Active")=0),AND(IFERROR(INDEX(Templates!$E$3:$E$10,MATCH(Deals!$U226,Templates!$A$3:$A$10,0)),0)&gt;0,COUNTIFS(Assignments!$C$2:$C$769,$A274,Assignments!$F$2:$F$769,"VP",Assignments!$G$2:$G$769,"Active")=0),AND(IFERROR(INDEX(Templates!$F$3:$F$10,MATCH(Deals!$U226,Templates!$A$3:$A$10,0)),0)&gt;0,COUNTIFS(Assignments!$C$2:$C$769,$A274,Assignments!$F$2:$F$769,"Senior Associate",Assignments!$G$2:$G$769,"Active")=0),AND(IFERROR(INDEX(Templates!$G$3:$G$10,MATCH(Deals!$U226,Templates!$A$3:$A$10,0)),0)&gt;0,COUNTIFS(Assignments!$C$2:$C$769,$A274,Assignments!$F$2:$F$769,"Renewable Specialist",Assignments!$G$2:$G$769,"Active")=0),AND(IFERROR(INDEX(Templates!$H$3:$H$10,MATCH(Deals!$U226,Templates!$A$3:$A$10,0)),0)&gt;0,COUNTIFS(Assignments!$C$2:$C$769,$A274,Assignments!$F$2:$F$769,"Associate",Assignments!$G$2:$G$769,"Active")=0)))," MissingLevel","")&amp;IF(AND($C274="Proposal",Deals!$H226=0.5)," DefaultProbability","")&amp;IF($F274="No"," NoDates","")&amp;IF(AND(ISNUMBER($H274),$H274&gt;=Settings!$B$20)," Stale","")))</f>
        <v/>
      </c>
    </row>
    <row r="275">
      <c r="A275" s="16">
        <f>IF(Deals!$A227="","",Deals!$A227)</f>
        <v/>
      </c>
      <c r="B275" s="16">
        <f>IF($A275="","",Deals!$C227)</f>
        <v/>
      </c>
      <c r="C275" s="16">
        <f>IF($A275="","",Deals!$F227)</f>
        <v/>
      </c>
      <c r="D275" s="21">
        <f>IF($A275="","",Deals!$H227)</f>
        <v/>
      </c>
      <c r="E275" s="17">
        <f>IF($A275="","",Deals!$Q227)</f>
        <v/>
      </c>
      <c r="F275" s="16">
        <f>IF($A275="","",IF(AND(Deals!$I227&lt;&gt;"",Deals!$J227&lt;&gt;""),"Yes","No"))</f>
        <v/>
      </c>
      <c r="G275" s="22">
        <f>IF($A275="","",Deals!$Z227)</f>
        <v/>
      </c>
      <c r="H275" s="23">
        <f>IF(OR($A275="",$G275=""),"",INT((Settings!$B$19-$G275)/7))</f>
        <v/>
      </c>
      <c r="I275" s="24">
        <f>IF(OR($A275="",NOT(OR(Deals!$F227="Active",Deals!$F227="Proposal"))),"",TRIM(IF($E275=0," Unstaffed","")&amp;IF(IF(Deals!$U227="",FALSE,OR(AND(IFERROR(INDEX(Templates!$B$3:$B$10,MATCH(Deals!$U227,Templates!$A$3:$A$10,0)),0)&gt;0,COUNTIFS(Assignments!$C$2:$C$769,$A275,Assignments!$F$2:$F$769,"Partner",Assignments!$G$2:$G$769,"Active")=0),AND(IFERROR(INDEX(Templates!$C$3:$C$10,MATCH(Deals!$U227,Templates!$A$3:$A$10,0)),0)&gt;0,COUNTIFS(Assignments!$C$2:$C$769,$A275,Assignments!$F$2:$F$769,"MD",Assignments!$G$2:$G$769,"Active")=0),AND(IFERROR(INDEX(Templates!$D$3:$D$10,MATCH(Deals!$U227,Templates!$A$3:$A$10,0)),0)&gt;0,COUNTIFS(Assignments!$C$2:$C$769,$A275,Assignments!$F$2:$F$769,"Director",Assignments!$G$2:$G$769,"Active")=0),AND(IFERROR(INDEX(Templates!$E$3:$E$10,MATCH(Deals!$U227,Templates!$A$3:$A$10,0)),0)&gt;0,COUNTIFS(Assignments!$C$2:$C$769,$A275,Assignments!$F$2:$F$769,"VP",Assignments!$G$2:$G$769,"Active")=0),AND(IFERROR(INDEX(Templates!$F$3:$F$10,MATCH(Deals!$U227,Templates!$A$3:$A$10,0)),0)&gt;0,COUNTIFS(Assignments!$C$2:$C$769,$A275,Assignments!$F$2:$F$769,"Senior Associate",Assignments!$G$2:$G$769,"Active")=0),AND(IFERROR(INDEX(Templates!$G$3:$G$10,MATCH(Deals!$U227,Templates!$A$3:$A$10,0)),0)&gt;0,COUNTIFS(Assignments!$C$2:$C$769,$A275,Assignments!$F$2:$F$769,"Renewable Specialist",Assignments!$G$2:$G$769,"Active")=0),AND(IFERROR(INDEX(Templates!$H$3:$H$10,MATCH(Deals!$U227,Templates!$A$3:$A$10,0)),0)&gt;0,COUNTIFS(Assignments!$C$2:$C$769,$A275,Assignments!$F$2:$F$769,"Associate",Assignments!$G$2:$G$769,"Active")=0)))," MissingLevel","")&amp;IF(AND($C275="Proposal",Deals!$H227=0.5)," DefaultProbability","")&amp;IF($F275="No"," NoDates","")&amp;IF(AND(ISNUMBER($H275),$H275&gt;=Settings!$B$20)," Stale","")))</f>
        <v/>
      </c>
    </row>
    <row r="276">
      <c r="A276" s="16">
        <f>IF(Deals!$A228="","",Deals!$A228)</f>
        <v/>
      </c>
      <c r="B276" s="16">
        <f>IF($A276="","",Deals!$C228)</f>
        <v/>
      </c>
      <c r="C276" s="16">
        <f>IF($A276="","",Deals!$F228)</f>
        <v/>
      </c>
      <c r="D276" s="21">
        <f>IF($A276="","",Deals!$H228)</f>
        <v/>
      </c>
      <c r="E276" s="17">
        <f>IF($A276="","",Deals!$Q228)</f>
        <v/>
      </c>
      <c r="F276" s="16">
        <f>IF($A276="","",IF(AND(Deals!$I228&lt;&gt;"",Deals!$J228&lt;&gt;""),"Yes","No"))</f>
        <v/>
      </c>
      <c r="G276" s="22">
        <f>IF($A276="","",Deals!$Z228)</f>
        <v/>
      </c>
      <c r="H276" s="23">
        <f>IF(OR($A276="",$G276=""),"",INT((Settings!$B$19-$G276)/7))</f>
        <v/>
      </c>
      <c r="I276" s="24">
        <f>IF(OR($A276="",NOT(OR(Deals!$F228="Active",Deals!$F228="Proposal"))),"",TRIM(IF($E276=0," Unstaffed","")&amp;IF(IF(Deals!$U228="",FALSE,OR(AND(IFERROR(INDEX(Templates!$B$3:$B$10,MATCH(Deals!$U228,Templates!$A$3:$A$10,0)),0)&gt;0,COUNTIFS(Assignments!$C$2:$C$769,$A276,Assignments!$F$2:$F$769,"Partner",Assignments!$G$2:$G$769,"Active")=0),AND(IFERROR(INDEX(Templates!$C$3:$C$10,MATCH(Deals!$U228,Templates!$A$3:$A$10,0)),0)&gt;0,COUNTIFS(Assignments!$C$2:$C$769,$A276,Assignments!$F$2:$F$769,"MD",Assignments!$G$2:$G$769,"Active")=0),AND(IFERROR(INDEX(Templates!$D$3:$D$10,MATCH(Deals!$U228,Templates!$A$3:$A$10,0)),0)&gt;0,COUNTIFS(Assignments!$C$2:$C$769,$A276,Assignments!$F$2:$F$769,"Director",Assignments!$G$2:$G$769,"Active")=0),AND(IFERROR(INDEX(Templates!$E$3:$E$10,MATCH(Deals!$U228,Templates!$A$3:$A$10,0)),0)&gt;0,COUNTIFS(Assignments!$C$2:$C$769,$A276,Assignments!$F$2:$F$769,"VP",Assignments!$G$2:$G$769,"Active")=0),AND(IFERROR(INDEX(Templates!$F$3:$F$10,MATCH(Deals!$U228,Templates!$A$3:$A$10,0)),0)&gt;0,COUNTIFS(Assignments!$C$2:$C$769,$A276,Assignments!$F$2:$F$769,"Senior Associate",Assignments!$G$2:$G$769,"Active")=0),AND(IFERROR(INDEX(Templates!$G$3:$G$10,MATCH(Deals!$U228,Templates!$A$3:$A$10,0)),0)&gt;0,COUNTIFS(Assignments!$C$2:$C$769,$A276,Assignments!$F$2:$F$769,"Renewable Specialist",Assignments!$G$2:$G$769,"Active")=0),AND(IFERROR(INDEX(Templates!$H$3:$H$10,MATCH(Deals!$U228,Templates!$A$3:$A$10,0)),0)&gt;0,COUNTIFS(Assignments!$C$2:$C$769,$A276,Assignments!$F$2:$F$769,"Associate",Assignments!$G$2:$G$769,"Active")=0)))," MissingLevel","")&amp;IF(AND($C276="Proposal",Deals!$H228=0.5)," DefaultProbability","")&amp;IF($F276="No"," NoDates","")&amp;IF(AND(ISNUMBER($H276),$H276&gt;=Settings!$B$20)," Stale","")))</f>
        <v/>
      </c>
    </row>
    <row r="277">
      <c r="A277" s="16">
        <f>IF(Deals!$A229="","",Deals!$A229)</f>
        <v/>
      </c>
      <c r="B277" s="16">
        <f>IF($A277="","",Deals!$C229)</f>
        <v/>
      </c>
      <c r="C277" s="16">
        <f>IF($A277="","",Deals!$F229)</f>
        <v/>
      </c>
      <c r="D277" s="21">
        <f>IF($A277="","",Deals!$H229)</f>
        <v/>
      </c>
      <c r="E277" s="17">
        <f>IF($A277="","",Deals!$Q229)</f>
        <v/>
      </c>
      <c r="F277" s="16">
        <f>IF($A277="","",IF(AND(Deals!$I229&lt;&gt;"",Deals!$J229&lt;&gt;""),"Yes","No"))</f>
        <v/>
      </c>
      <c r="G277" s="22">
        <f>IF($A277="","",Deals!$Z229)</f>
        <v/>
      </c>
      <c r="H277" s="23">
        <f>IF(OR($A277="",$G277=""),"",INT((Settings!$B$19-$G277)/7))</f>
        <v/>
      </c>
      <c r="I277" s="24">
        <f>IF(OR($A277="",NOT(OR(Deals!$F229="Active",Deals!$F229="Proposal"))),"",TRIM(IF($E277=0," Unstaffed","")&amp;IF(IF(Deals!$U229="",FALSE,OR(AND(IFERROR(INDEX(Templates!$B$3:$B$10,MATCH(Deals!$U229,Templates!$A$3:$A$10,0)),0)&gt;0,COUNTIFS(Assignments!$C$2:$C$769,$A277,Assignments!$F$2:$F$769,"Partner",Assignments!$G$2:$G$769,"Active")=0),AND(IFERROR(INDEX(Templates!$C$3:$C$10,MATCH(Deals!$U229,Templates!$A$3:$A$10,0)),0)&gt;0,COUNTIFS(Assignments!$C$2:$C$769,$A277,Assignments!$F$2:$F$769,"MD",Assignments!$G$2:$G$769,"Active")=0),AND(IFERROR(INDEX(Templates!$D$3:$D$10,MATCH(Deals!$U229,Templates!$A$3:$A$10,0)),0)&gt;0,COUNTIFS(Assignments!$C$2:$C$769,$A277,Assignments!$F$2:$F$769,"Director",Assignments!$G$2:$G$769,"Active")=0),AND(IFERROR(INDEX(Templates!$E$3:$E$10,MATCH(Deals!$U229,Templates!$A$3:$A$10,0)),0)&gt;0,COUNTIFS(Assignments!$C$2:$C$769,$A277,Assignments!$F$2:$F$769,"VP",Assignments!$G$2:$G$769,"Active")=0),AND(IFERROR(INDEX(Templates!$F$3:$F$10,MATCH(Deals!$U229,Templates!$A$3:$A$10,0)),0)&gt;0,COUNTIFS(Assignments!$C$2:$C$769,$A277,Assignments!$F$2:$F$769,"Senior Associate",Assignments!$G$2:$G$769,"Active")=0),AND(IFERROR(INDEX(Templates!$G$3:$G$10,MATCH(Deals!$U229,Templates!$A$3:$A$10,0)),0)&gt;0,COUNTIFS(Assignments!$C$2:$C$769,$A277,Assignments!$F$2:$F$769,"Renewable Specialist",Assignments!$G$2:$G$769,"Active")=0),AND(IFERROR(INDEX(Templates!$H$3:$H$10,MATCH(Deals!$U229,Templates!$A$3:$A$10,0)),0)&gt;0,COUNTIFS(Assignments!$C$2:$C$769,$A277,Assignments!$F$2:$F$769,"Associate",Assignments!$G$2:$G$769,"Active")=0)))," MissingLevel","")&amp;IF(AND($C277="Proposal",Deals!$H229=0.5)," DefaultProbability","")&amp;IF($F277="No"," NoDates","")&amp;IF(AND(ISNUMBER($H277),$H277&gt;=Settings!$B$20)," Stale","")))</f>
        <v/>
      </c>
    </row>
    <row r="278">
      <c r="A278" s="16">
        <f>IF(Deals!$A230="","",Deals!$A230)</f>
        <v/>
      </c>
      <c r="B278" s="16">
        <f>IF($A278="","",Deals!$C230)</f>
        <v/>
      </c>
      <c r="C278" s="16">
        <f>IF($A278="","",Deals!$F230)</f>
        <v/>
      </c>
      <c r="D278" s="21">
        <f>IF($A278="","",Deals!$H230)</f>
        <v/>
      </c>
      <c r="E278" s="17">
        <f>IF($A278="","",Deals!$Q230)</f>
        <v/>
      </c>
      <c r="F278" s="16">
        <f>IF($A278="","",IF(AND(Deals!$I230&lt;&gt;"",Deals!$J230&lt;&gt;""),"Yes","No"))</f>
        <v/>
      </c>
      <c r="G278" s="22">
        <f>IF($A278="","",Deals!$Z230)</f>
        <v/>
      </c>
      <c r="H278" s="23">
        <f>IF(OR($A278="",$G278=""),"",INT((Settings!$B$19-$G278)/7))</f>
        <v/>
      </c>
      <c r="I278" s="24">
        <f>IF(OR($A278="",NOT(OR(Deals!$F230="Active",Deals!$F230="Proposal"))),"",TRIM(IF($E278=0," Unstaffed","")&amp;IF(IF(Deals!$U230="",FALSE,OR(AND(IFERROR(INDEX(Templates!$B$3:$B$10,MATCH(Deals!$U230,Templates!$A$3:$A$10,0)),0)&gt;0,COUNTIFS(Assignments!$C$2:$C$769,$A278,Assignments!$F$2:$F$769,"Partner",Assignments!$G$2:$G$769,"Active")=0),AND(IFERROR(INDEX(Templates!$C$3:$C$10,MATCH(Deals!$U230,Templates!$A$3:$A$10,0)),0)&gt;0,COUNTIFS(Assignments!$C$2:$C$769,$A278,Assignments!$F$2:$F$769,"MD",Assignments!$G$2:$G$769,"Active")=0),AND(IFERROR(INDEX(Templates!$D$3:$D$10,MATCH(Deals!$U230,Templates!$A$3:$A$10,0)),0)&gt;0,COUNTIFS(Assignments!$C$2:$C$769,$A278,Assignments!$F$2:$F$769,"Director",Assignments!$G$2:$G$769,"Active")=0),AND(IFERROR(INDEX(Templates!$E$3:$E$10,MATCH(Deals!$U230,Templates!$A$3:$A$10,0)),0)&gt;0,COUNTIFS(Assignments!$C$2:$C$769,$A278,Assignments!$F$2:$F$769,"VP",Assignments!$G$2:$G$769,"Active")=0),AND(IFERROR(INDEX(Templates!$F$3:$F$10,MATCH(Deals!$U230,Templates!$A$3:$A$10,0)),0)&gt;0,COUNTIFS(Assignments!$C$2:$C$769,$A278,Assignments!$F$2:$F$769,"Senior Associate",Assignments!$G$2:$G$769,"Active")=0),AND(IFERROR(INDEX(Templates!$G$3:$G$10,MATCH(Deals!$U230,Templates!$A$3:$A$10,0)),0)&gt;0,COUNTIFS(Assignments!$C$2:$C$769,$A278,Assignments!$F$2:$F$769,"Renewable Specialist",Assignments!$G$2:$G$769,"Active")=0),AND(IFERROR(INDEX(Templates!$H$3:$H$10,MATCH(Deals!$U230,Templates!$A$3:$A$10,0)),0)&gt;0,COUNTIFS(Assignments!$C$2:$C$769,$A278,Assignments!$F$2:$F$769,"Associate",Assignments!$G$2:$G$769,"Active")=0)))," MissingLevel","")&amp;IF(AND($C278="Proposal",Deals!$H230=0.5)," DefaultProbability","")&amp;IF($F278="No"," NoDates","")&amp;IF(AND(ISNUMBER($H278),$H278&gt;=Settings!$B$20)," Stale","")))</f>
        <v/>
      </c>
    </row>
    <row r="279">
      <c r="A279" s="16">
        <f>IF(Deals!$A231="","",Deals!$A231)</f>
        <v/>
      </c>
      <c r="B279" s="16">
        <f>IF($A279="","",Deals!$C231)</f>
        <v/>
      </c>
      <c r="C279" s="16">
        <f>IF($A279="","",Deals!$F231)</f>
        <v/>
      </c>
      <c r="D279" s="21">
        <f>IF($A279="","",Deals!$H231)</f>
        <v/>
      </c>
      <c r="E279" s="17">
        <f>IF($A279="","",Deals!$Q231)</f>
        <v/>
      </c>
      <c r="F279" s="16">
        <f>IF($A279="","",IF(AND(Deals!$I231&lt;&gt;"",Deals!$J231&lt;&gt;""),"Yes","No"))</f>
        <v/>
      </c>
      <c r="G279" s="22">
        <f>IF($A279="","",Deals!$Z231)</f>
        <v/>
      </c>
      <c r="H279" s="23">
        <f>IF(OR($A279="",$G279=""),"",INT((Settings!$B$19-$G279)/7))</f>
        <v/>
      </c>
      <c r="I279" s="24">
        <f>IF(OR($A279="",NOT(OR(Deals!$F231="Active",Deals!$F231="Proposal"))),"",TRIM(IF($E279=0," Unstaffed","")&amp;IF(IF(Deals!$U231="",FALSE,OR(AND(IFERROR(INDEX(Templates!$B$3:$B$10,MATCH(Deals!$U231,Templates!$A$3:$A$10,0)),0)&gt;0,COUNTIFS(Assignments!$C$2:$C$769,$A279,Assignments!$F$2:$F$769,"Partner",Assignments!$G$2:$G$769,"Active")=0),AND(IFERROR(INDEX(Templates!$C$3:$C$10,MATCH(Deals!$U231,Templates!$A$3:$A$10,0)),0)&gt;0,COUNTIFS(Assignments!$C$2:$C$769,$A279,Assignments!$F$2:$F$769,"MD",Assignments!$G$2:$G$769,"Active")=0),AND(IFERROR(INDEX(Templates!$D$3:$D$10,MATCH(Deals!$U231,Templates!$A$3:$A$10,0)),0)&gt;0,COUNTIFS(Assignments!$C$2:$C$769,$A279,Assignments!$F$2:$F$769,"Director",Assignments!$G$2:$G$769,"Active")=0),AND(IFERROR(INDEX(Templates!$E$3:$E$10,MATCH(Deals!$U231,Templates!$A$3:$A$10,0)),0)&gt;0,COUNTIFS(Assignments!$C$2:$C$769,$A279,Assignments!$F$2:$F$769,"VP",Assignments!$G$2:$G$769,"Active")=0),AND(IFERROR(INDEX(Templates!$F$3:$F$10,MATCH(Deals!$U231,Templates!$A$3:$A$10,0)),0)&gt;0,COUNTIFS(Assignments!$C$2:$C$769,$A279,Assignments!$F$2:$F$769,"Senior Associate",Assignments!$G$2:$G$769,"Active")=0),AND(IFERROR(INDEX(Templates!$G$3:$G$10,MATCH(Deals!$U231,Templates!$A$3:$A$10,0)),0)&gt;0,COUNTIFS(Assignments!$C$2:$C$769,$A279,Assignments!$F$2:$F$769,"Renewable Specialist",Assignments!$G$2:$G$769,"Active")=0),AND(IFERROR(INDEX(Templates!$H$3:$H$10,MATCH(Deals!$U231,Templates!$A$3:$A$10,0)),0)&gt;0,COUNTIFS(Assignments!$C$2:$C$769,$A279,Assignments!$F$2:$F$769,"Associate",Assignments!$G$2:$G$769,"Active")=0)))," MissingLevel","")&amp;IF(AND($C279="Proposal",Deals!$H231=0.5)," DefaultProbability","")&amp;IF($F279="No"," NoDates","")&amp;IF(AND(ISNUMBER($H279),$H279&gt;=Settings!$B$20)," Stale","")))</f>
        <v/>
      </c>
    </row>
    <row r="280">
      <c r="A280" s="16">
        <f>IF(Deals!$A232="","",Deals!$A232)</f>
        <v/>
      </c>
      <c r="B280" s="16">
        <f>IF($A280="","",Deals!$C232)</f>
        <v/>
      </c>
      <c r="C280" s="16">
        <f>IF($A280="","",Deals!$F232)</f>
        <v/>
      </c>
      <c r="D280" s="21">
        <f>IF($A280="","",Deals!$H232)</f>
        <v/>
      </c>
      <c r="E280" s="17">
        <f>IF($A280="","",Deals!$Q232)</f>
        <v/>
      </c>
      <c r="F280" s="16">
        <f>IF($A280="","",IF(AND(Deals!$I232&lt;&gt;"",Deals!$J232&lt;&gt;""),"Yes","No"))</f>
        <v/>
      </c>
      <c r="G280" s="22">
        <f>IF($A280="","",Deals!$Z232)</f>
        <v/>
      </c>
      <c r="H280" s="23">
        <f>IF(OR($A280="",$G280=""),"",INT((Settings!$B$19-$G280)/7))</f>
        <v/>
      </c>
      <c r="I280" s="24">
        <f>IF(OR($A280="",NOT(OR(Deals!$F232="Active",Deals!$F232="Proposal"))),"",TRIM(IF($E280=0," Unstaffed","")&amp;IF(IF(Deals!$U232="",FALSE,OR(AND(IFERROR(INDEX(Templates!$B$3:$B$10,MATCH(Deals!$U232,Templates!$A$3:$A$10,0)),0)&gt;0,COUNTIFS(Assignments!$C$2:$C$769,$A280,Assignments!$F$2:$F$769,"Partner",Assignments!$G$2:$G$769,"Active")=0),AND(IFERROR(INDEX(Templates!$C$3:$C$10,MATCH(Deals!$U232,Templates!$A$3:$A$10,0)),0)&gt;0,COUNTIFS(Assignments!$C$2:$C$769,$A280,Assignments!$F$2:$F$769,"MD",Assignments!$G$2:$G$769,"Active")=0),AND(IFERROR(INDEX(Templates!$D$3:$D$10,MATCH(Deals!$U232,Templates!$A$3:$A$10,0)),0)&gt;0,COUNTIFS(Assignments!$C$2:$C$769,$A280,Assignments!$F$2:$F$769,"Director",Assignments!$G$2:$G$769,"Active")=0),AND(IFERROR(INDEX(Templates!$E$3:$E$10,MATCH(Deals!$U232,Templates!$A$3:$A$10,0)),0)&gt;0,COUNTIFS(Assignments!$C$2:$C$769,$A280,Assignments!$F$2:$F$769,"VP",Assignments!$G$2:$G$769,"Active")=0),AND(IFERROR(INDEX(Templates!$F$3:$F$10,MATCH(Deals!$U232,Templates!$A$3:$A$10,0)),0)&gt;0,COUNTIFS(Assignments!$C$2:$C$769,$A280,Assignments!$F$2:$F$769,"Senior Associate",Assignments!$G$2:$G$769,"Active")=0),AND(IFERROR(INDEX(Templates!$G$3:$G$10,MATCH(Deals!$U232,Templates!$A$3:$A$10,0)),0)&gt;0,COUNTIFS(Assignments!$C$2:$C$769,$A280,Assignments!$F$2:$F$769,"Renewable Specialist",Assignments!$G$2:$G$769,"Active")=0),AND(IFERROR(INDEX(Templates!$H$3:$H$10,MATCH(Deals!$U232,Templates!$A$3:$A$10,0)),0)&gt;0,COUNTIFS(Assignments!$C$2:$C$769,$A280,Assignments!$F$2:$F$769,"Associate",Assignments!$G$2:$G$769,"Active")=0)))," MissingLevel","")&amp;IF(AND($C280="Proposal",Deals!$H232=0.5)," DefaultProbability","")&amp;IF($F280="No"," NoDates","")&amp;IF(AND(ISNUMBER($H280),$H280&gt;=Settings!$B$20)," Stale","")))</f>
        <v/>
      </c>
    </row>
    <row r="281">
      <c r="A281" s="16">
        <f>IF(Deals!$A233="","",Deals!$A233)</f>
        <v/>
      </c>
      <c r="B281" s="16">
        <f>IF($A281="","",Deals!$C233)</f>
        <v/>
      </c>
      <c r="C281" s="16">
        <f>IF($A281="","",Deals!$F233)</f>
        <v/>
      </c>
      <c r="D281" s="21">
        <f>IF($A281="","",Deals!$H233)</f>
        <v/>
      </c>
      <c r="E281" s="17">
        <f>IF($A281="","",Deals!$Q233)</f>
        <v/>
      </c>
      <c r="F281" s="16">
        <f>IF($A281="","",IF(AND(Deals!$I233&lt;&gt;"",Deals!$J233&lt;&gt;""),"Yes","No"))</f>
        <v/>
      </c>
      <c r="G281" s="22">
        <f>IF($A281="","",Deals!$Z233)</f>
        <v/>
      </c>
      <c r="H281" s="23">
        <f>IF(OR($A281="",$G281=""),"",INT((Settings!$B$19-$G281)/7))</f>
        <v/>
      </c>
      <c r="I281" s="24">
        <f>IF(OR($A281="",NOT(OR(Deals!$F233="Active",Deals!$F233="Proposal"))),"",TRIM(IF($E281=0," Unstaffed","")&amp;IF(IF(Deals!$U233="",FALSE,OR(AND(IFERROR(INDEX(Templates!$B$3:$B$10,MATCH(Deals!$U233,Templates!$A$3:$A$10,0)),0)&gt;0,COUNTIFS(Assignments!$C$2:$C$769,$A281,Assignments!$F$2:$F$769,"Partner",Assignments!$G$2:$G$769,"Active")=0),AND(IFERROR(INDEX(Templates!$C$3:$C$10,MATCH(Deals!$U233,Templates!$A$3:$A$10,0)),0)&gt;0,COUNTIFS(Assignments!$C$2:$C$769,$A281,Assignments!$F$2:$F$769,"MD",Assignments!$G$2:$G$769,"Active")=0),AND(IFERROR(INDEX(Templates!$D$3:$D$10,MATCH(Deals!$U233,Templates!$A$3:$A$10,0)),0)&gt;0,COUNTIFS(Assignments!$C$2:$C$769,$A281,Assignments!$F$2:$F$769,"Director",Assignments!$G$2:$G$769,"Active")=0),AND(IFERROR(INDEX(Templates!$E$3:$E$10,MATCH(Deals!$U233,Templates!$A$3:$A$10,0)),0)&gt;0,COUNTIFS(Assignments!$C$2:$C$769,$A281,Assignments!$F$2:$F$769,"VP",Assignments!$G$2:$G$769,"Active")=0),AND(IFERROR(INDEX(Templates!$F$3:$F$10,MATCH(Deals!$U233,Templates!$A$3:$A$10,0)),0)&gt;0,COUNTIFS(Assignments!$C$2:$C$769,$A281,Assignments!$F$2:$F$769,"Senior Associate",Assignments!$G$2:$G$769,"Active")=0),AND(IFERROR(INDEX(Templates!$G$3:$G$10,MATCH(Deals!$U233,Templates!$A$3:$A$10,0)),0)&gt;0,COUNTIFS(Assignments!$C$2:$C$769,$A281,Assignments!$F$2:$F$769,"Renewable Specialist",Assignments!$G$2:$G$769,"Active")=0),AND(IFERROR(INDEX(Templates!$H$3:$H$10,MATCH(Deals!$U233,Templates!$A$3:$A$10,0)),0)&gt;0,COUNTIFS(Assignments!$C$2:$C$769,$A281,Assignments!$F$2:$F$769,"Associate",Assignments!$G$2:$G$769,"Active")=0)))," MissingLevel","")&amp;IF(AND($C281="Proposal",Deals!$H233=0.5)," DefaultProbability","")&amp;IF($F281="No"," NoDates","")&amp;IF(AND(ISNUMBER($H281),$H281&gt;=Settings!$B$20)," Stale","")))</f>
        <v/>
      </c>
    </row>
    <row r="282">
      <c r="A282" s="16">
        <f>IF(Deals!$A234="","",Deals!$A234)</f>
        <v/>
      </c>
      <c r="B282" s="16">
        <f>IF($A282="","",Deals!$C234)</f>
        <v/>
      </c>
      <c r="C282" s="16">
        <f>IF($A282="","",Deals!$F234)</f>
        <v/>
      </c>
      <c r="D282" s="21">
        <f>IF($A282="","",Deals!$H234)</f>
        <v/>
      </c>
      <c r="E282" s="17">
        <f>IF($A282="","",Deals!$Q234)</f>
        <v/>
      </c>
      <c r="F282" s="16">
        <f>IF($A282="","",IF(AND(Deals!$I234&lt;&gt;"",Deals!$J234&lt;&gt;""),"Yes","No"))</f>
        <v/>
      </c>
      <c r="G282" s="22">
        <f>IF($A282="","",Deals!$Z234)</f>
        <v/>
      </c>
      <c r="H282" s="23">
        <f>IF(OR($A282="",$G282=""),"",INT((Settings!$B$19-$G282)/7))</f>
        <v/>
      </c>
      <c r="I282" s="24">
        <f>IF(OR($A282="",NOT(OR(Deals!$F234="Active",Deals!$F234="Proposal"))),"",TRIM(IF($E282=0," Unstaffed","")&amp;IF(IF(Deals!$U234="",FALSE,OR(AND(IFERROR(INDEX(Templates!$B$3:$B$10,MATCH(Deals!$U234,Templates!$A$3:$A$10,0)),0)&gt;0,COUNTIFS(Assignments!$C$2:$C$769,$A282,Assignments!$F$2:$F$769,"Partner",Assignments!$G$2:$G$769,"Active")=0),AND(IFERROR(INDEX(Templates!$C$3:$C$10,MATCH(Deals!$U234,Templates!$A$3:$A$10,0)),0)&gt;0,COUNTIFS(Assignments!$C$2:$C$769,$A282,Assignments!$F$2:$F$769,"MD",Assignments!$G$2:$G$769,"Active")=0),AND(IFERROR(INDEX(Templates!$D$3:$D$10,MATCH(Deals!$U234,Templates!$A$3:$A$10,0)),0)&gt;0,COUNTIFS(Assignments!$C$2:$C$769,$A282,Assignments!$F$2:$F$769,"Director",Assignments!$G$2:$G$769,"Active")=0),AND(IFERROR(INDEX(Templates!$E$3:$E$10,MATCH(Deals!$U234,Templates!$A$3:$A$10,0)),0)&gt;0,COUNTIFS(Assignments!$C$2:$C$769,$A282,Assignments!$F$2:$F$769,"VP",Assignments!$G$2:$G$769,"Active")=0),AND(IFERROR(INDEX(Templates!$F$3:$F$10,MATCH(Deals!$U234,Templates!$A$3:$A$10,0)),0)&gt;0,COUNTIFS(Assignments!$C$2:$C$769,$A282,Assignments!$F$2:$F$769,"Senior Associate",Assignments!$G$2:$G$769,"Active")=0),AND(IFERROR(INDEX(Templates!$G$3:$G$10,MATCH(Deals!$U234,Templates!$A$3:$A$10,0)),0)&gt;0,COUNTIFS(Assignments!$C$2:$C$769,$A282,Assignments!$F$2:$F$769,"Renewable Specialist",Assignments!$G$2:$G$769,"Active")=0),AND(IFERROR(INDEX(Templates!$H$3:$H$10,MATCH(Deals!$U234,Templates!$A$3:$A$10,0)),0)&gt;0,COUNTIFS(Assignments!$C$2:$C$769,$A282,Assignments!$F$2:$F$769,"Associate",Assignments!$G$2:$G$769,"Active")=0)))," MissingLevel","")&amp;IF(AND($C282="Proposal",Deals!$H234=0.5)," DefaultProbability","")&amp;IF($F282="No"," NoDates","")&amp;IF(AND(ISNUMBER($H282),$H282&gt;=Settings!$B$20)," Stale","")))</f>
        <v/>
      </c>
    </row>
    <row r="283">
      <c r="A283" s="16">
        <f>IF(Deals!$A235="","",Deals!$A235)</f>
        <v/>
      </c>
      <c r="B283" s="16">
        <f>IF($A283="","",Deals!$C235)</f>
        <v/>
      </c>
      <c r="C283" s="16">
        <f>IF($A283="","",Deals!$F235)</f>
        <v/>
      </c>
      <c r="D283" s="21">
        <f>IF($A283="","",Deals!$H235)</f>
        <v/>
      </c>
      <c r="E283" s="17">
        <f>IF($A283="","",Deals!$Q235)</f>
        <v/>
      </c>
      <c r="F283" s="16">
        <f>IF($A283="","",IF(AND(Deals!$I235&lt;&gt;"",Deals!$J235&lt;&gt;""),"Yes","No"))</f>
        <v/>
      </c>
      <c r="G283" s="22">
        <f>IF($A283="","",Deals!$Z235)</f>
        <v/>
      </c>
      <c r="H283" s="23">
        <f>IF(OR($A283="",$G283=""),"",INT((Settings!$B$19-$G283)/7))</f>
        <v/>
      </c>
      <c r="I283" s="24">
        <f>IF(OR($A283="",NOT(OR(Deals!$F235="Active",Deals!$F235="Proposal"))),"",TRIM(IF($E283=0," Unstaffed","")&amp;IF(IF(Deals!$U235="",FALSE,OR(AND(IFERROR(INDEX(Templates!$B$3:$B$10,MATCH(Deals!$U235,Templates!$A$3:$A$10,0)),0)&gt;0,COUNTIFS(Assignments!$C$2:$C$769,$A283,Assignments!$F$2:$F$769,"Partner",Assignments!$G$2:$G$769,"Active")=0),AND(IFERROR(INDEX(Templates!$C$3:$C$10,MATCH(Deals!$U235,Templates!$A$3:$A$10,0)),0)&gt;0,COUNTIFS(Assignments!$C$2:$C$769,$A283,Assignments!$F$2:$F$769,"MD",Assignments!$G$2:$G$769,"Active")=0),AND(IFERROR(INDEX(Templates!$D$3:$D$10,MATCH(Deals!$U235,Templates!$A$3:$A$10,0)),0)&gt;0,COUNTIFS(Assignments!$C$2:$C$769,$A283,Assignments!$F$2:$F$769,"Director",Assignments!$G$2:$G$769,"Active")=0),AND(IFERROR(INDEX(Templates!$E$3:$E$10,MATCH(Deals!$U235,Templates!$A$3:$A$10,0)),0)&gt;0,COUNTIFS(Assignments!$C$2:$C$769,$A283,Assignments!$F$2:$F$769,"VP",Assignments!$G$2:$G$769,"Active")=0),AND(IFERROR(INDEX(Templates!$F$3:$F$10,MATCH(Deals!$U235,Templates!$A$3:$A$10,0)),0)&gt;0,COUNTIFS(Assignments!$C$2:$C$769,$A283,Assignments!$F$2:$F$769,"Senior Associate",Assignments!$G$2:$G$769,"Active")=0),AND(IFERROR(INDEX(Templates!$G$3:$G$10,MATCH(Deals!$U235,Templates!$A$3:$A$10,0)),0)&gt;0,COUNTIFS(Assignments!$C$2:$C$769,$A283,Assignments!$F$2:$F$769,"Renewable Specialist",Assignments!$G$2:$G$769,"Active")=0),AND(IFERROR(INDEX(Templates!$H$3:$H$10,MATCH(Deals!$U235,Templates!$A$3:$A$10,0)),0)&gt;0,COUNTIFS(Assignments!$C$2:$C$769,$A283,Assignments!$F$2:$F$769,"Associate",Assignments!$G$2:$G$769,"Active")=0)))," MissingLevel","")&amp;IF(AND($C283="Proposal",Deals!$H235=0.5)," DefaultProbability","")&amp;IF($F283="No"," NoDates","")&amp;IF(AND(ISNUMBER($H283),$H283&gt;=Settings!$B$20)," Stale","")))</f>
        <v/>
      </c>
    </row>
    <row r="284">
      <c r="A284" s="16">
        <f>IF(Deals!$A236="","",Deals!$A236)</f>
        <v/>
      </c>
      <c r="B284" s="16">
        <f>IF($A284="","",Deals!$C236)</f>
        <v/>
      </c>
      <c r="C284" s="16">
        <f>IF($A284="","",Deals!$F236)</f>
        <v/>
      </c>
      <c r="D284" s="21">
        <f>IF($A284="","",Deals!$H236)</f>
        <v/>
      </c>
      <c r="E284" s="17">
        <f>IF($A284="","",Deals!$Q236)</f>
        <v/>
      </c>
      <c r="F284" s="16">
        <f>IF($A284="","",IF(AND(Deals!$I236&lt;&gt;"",Deals!$J236&lt;&gt;""),"Yes","No"))</f>
        <v/>
      </c>
      <c r="G284" s="22">
        <f>IF($A284="","",Deals!$Z236)</f>
        <v/>
      </c>
      <c r="H284" s="23">
        <f>IF(OR($A284="",$G284=""),"",INT((Settings!$B$19-$G284)/7))</f>
        <v/>
      </c>
      <c r="I284" s="24">
        <f>IF(OR($A284="",NOT(OR(Deals!$F236="Active",Deals!$F236="Proposal"))),"",TRIM(IF($E284=0," Unstaffed","")&amp;IF(IF(Deals!$U236="",FALSE,OR(AND(IFERROR(INDEX(Templates!$B$3:$B$10,MATCH(Deals!$U236,Templates!$A$3:$A$10,0)),0)&gt;0,COUNTIFS(Assignments!$C$2:$C$769,$A284,Assignments!$F$2:$F$769,"Partner",Assignments!$G$2:$G$769,"Active")=0),AND(IFERROR(INDEX(Templates!$C$3:$C$10,MATCH(Deals!$U236,Templates!$A$3:$A$10,0)),0)&gt;0,COUNTIFS(Assignments!$C$2:$C$769,$A284,Assignments!$F$2:$F$769,"MD",Assignments!$G$2:$G$769,"Active")=0),AND(IFERROR(INDEX(Templates!$D$3:$D$10,MATCH(Deals!$U236,Templates!$A$3:$A$10,0)),0)&gt;0,COUNTIFS(Assignments!$C$2:$C$769,$A284,Assignments!$F$2:$F$769,"Director",Assignments!$G$2:$G$769,"Active")=0),AND(IFERROR(INDEX(Templates!$E$3:$E$10,MATCH(Deals!$U236,Templates!$A$3:$A$10,0)),0)&gt;0,COUNTIFS(Assignments!$C$2:$C$769,$A284,Assignments!$F$2:$F$769,"VP",Assignments!$G$2:$G$769,"Active")=0),AND(IFERROR(INDEX(Templates!$F$3:$F$10,MATCH(Deals!$U236,Templates!$A$3:$A$10,0)),0)&gt;0,COUNTIFS(Assignments!$C$2:$C$769,$A284,Assignments!$F$2:$F$769,"Senior Associate",Assignments!$G$2:$G$769,"Active")=0),AND(IFERROR(INDEX(Templates!$G$3:$G$10,MATCH(Deals!$U236,Templates!$A$3:$A$10,0)),0)&gt;0,COUNTIFS(Assignments!$C$2:$C$769,$A284,Assignments!$F$2:$F$769,"Renewable Specialist",Assignments!$G$2:$G$769,"Active")=0),AND(IFERROR(INDEX(Templates!$H$3:$H$10,MATCH(Deals!$U236,Templates!$A$3:$A$10,0)),0)&gt;0,COUNTIFS(Assignments!$C$2:$C$769,$A284,Assignments!$F$2:$F$769,"Associate",Assignments!$G$2:$G$769,"Active")=0)))," MissingLevel","")&amp;IF(AND($C284="Proposal",Deals!$H236=0.5)," DefaultProbability","")&amp;IF($F284="No"," NoDates","")&amp;IF(AND(ISNUMBER($H284),$H284&gt;=Settings!$B$20)," Stale","")))</f>
        <v/>
      </c>
    </row>
    <row r="285">
      <c r="A285" s="16">
        <f>IF(Deals!$A237="","",Deals!$A237)</f>
        <v/>
      </c>
      <c r="B285" s="16">
        <f>IF($A285="","",Deals!$C237)</f>
        <v/>
      </c>
      <c r="C285" s="16">
        <f>IF($A285="","",Deals!$F237)</f>
        <v/>
      </c>
      <c r="D285" s="21">
        <f>IF($A285="","",Deals!$H237)</f>
        <v/>
      </c>
      <c r="E285" s="17">
        <f>IF($A285="","",Deals!$Q237)</f>
        <v/>
      </c>
      <c r="F285" s="16">
        <f>IF($A285="","",IF(AND(Deals!$I237&lt;&gt;"",Deals!$J237&lt;&gt;""),"Yes","No"))</f>
        <v/>
      </c>
      <c r="G285" s="22">
        <f>IF($A285="","",Deals!$Z237)</f>
        <v/>
      </c>
      <c r="H285" s="23">
        <f>IF(OR($A285="",$G285=""),"",INT((Settings!$B$19-$G285)/7))</f>
        <v/>
      </c>
      <c r="I285" s="24">
        <f>IF(OR($A285="",NOT(OR(Deals!$F237="Active",Deals!$F237="Proposal"))),"",TRIM(IF($E285=0," Unstaffed","")&amp;IF(IF(Deals!$U237="",FALSE,OR(AND(IFERROR(INDEX(Templates!$B$3:$B$10,MATCH(Deals!$U237,Templates!$A$3:$A$10,0)),0)&gt;0,COUNTIFS(Assignments!$C$2:$C$769,$A285,Assignments!$F$2:$F$769,"Partner",Assignments!$G$2:$G$769,"Active")=0),AND(IFERROR(INDEX(Templates!$C$3:$C$10,MATCH(Deals!$U237,Templates!$A$3:$A$10,0)),0)&gt;0,COUNTIFS(Assignments!$C$2:$C$769,$A285,Assignments!$F$2:$F$769,"MD",Assignments!$G$2:$G$769,"Active")=0),AND(IFERROR(INDEX(Templates!$D$3:$D$10,MATCH(Deals!$U237,Templates!$A$3:$A$10,0)),0)&gt;0,COUNTIFS(Assignments!$C$2:$C$769,$A285,Assignments!$F$2:$F$769,"Director",Assignments!$G$2:$G$769,"Active")=0),AND(IFERROR(INDEX(Templates!$E$3:$E$10,MATCH(Deals!$U237,Templates!$A$3:$A$10,0)),0)&gt;0,COUNTIFS(Assignments!$C$2:$C$769,$A285,Assignments!$F$2:$F$769,"VP",Assignments!$G$2:$G$769,"Active")=0),AND(IFERROR(INDEX(Templates!$F$3:$F$10,MATCH(Deals!$U237,Templates!$A$3:$A$10,0)),0)&gt;0,COUNTIFS(Assignments!$C$2:$C$769,$A285,Assignments!$F$2:$F$769,"Senior Associate",Assignments!$G$2:$G$769,"Active")=0),AND(IFERROR(INDEX(Templates!$G$3:$G$10,MATCH(Deals!$U237,Templates!$A$3:$A$10,0)),0)&gt;0,COUNTIFS(Assignments!$C$2:$C$769,$A285,Assignments!$F$2:$F$769,"Renewable Specialist",Assignments!$G$2:$G$769,"Active")=0),AND(IFERROR(INDEX(Templates!$H$3:$H$10,MATCH(Deals!$U237,Templates!$A$3:$A$10,0)),0)&gt;0,COUNTIFS(Assignments!$C$2:$C$769,$A285,Assignments!$F$2:$F$769,"Associate",Assignments!$G$2:$G$769,"Active")=0)))," MissingLevel","")&amp;IF(AND($C285="Proposal",Deals!$H237=0.5)," DefaultProbability","")&amp;IF($F285="No"," NoDates","")&amp;IF(AND(ISNUMBER($H285),$H285&gt;=Settings!$B$20)," Stale","")))</f>
        <v/>
      </c>
    </row>
    <row r="286">
      <c r="A286" s="16">
        <f>IF(Deals!$A238="","",Deals!$A238)</f>
        <v/>
      </c>
      <c r="B286" s="16">
        <f>IF($A286="","",Deals!$C238)</f>
        <v/>
      </c>
      <c r="C286" s="16">
        <f>IF($A286="","",Deals!$F238)</f>
        <v/>
      </c>
      <c r="D286" s="21">
        <f>IF($A286="","",Deals!$H238)</f>
        <v/>
      </c>
      <c r="E286" s="17">
        <f>IF($A286="","",Deals!$Q238)</f>
        <v/>
      </c>
      <c r="F286" s="16">
        <f>IF($A286="","",IF(AND(Deals!$I238&lt;&gt;"",Deals!$J238&lt;&gt;""),"Yes","No"))</f>
        <v/>
      </c>
      <c r="G286" s="22">
        <f>IF($A286="","",Deals!$Z238)</f>
        <v/>
      </c>
      <c r="H286" s="23">
        <f>IF(OR($A286="",$G286=""),"",INT((Settings!$B$19-$G286)/7))</f>
        <v/>
      </c>
      <c r="I286" s="24">
        <f>IF(OR($A286="",NOT(OR(Deals!$F238="Active",Deals!$F238="Proposal"))),"",TRIM(IF($E286=0," Unstaffed","")&amp;IF(IF(Deals!$U238="",FALSE,OR(AND(IFERROR(INDEX(Templates!$B$3:$B$10,MATCH(Deals!$U238,Templates!$A$3:$A$10,0)),0)&gt;0,COUNTIFS(Assignments!$C$2:$C$769,$A286,Assignments!$F$2:$F$769,"Partner",Assignments!$G$2:$G$769,"Active")=0),AND(IFERROR(INDEX(Templates!$C$3:$C$10,MATCH(Deals!$U238,Templates!$A$3:$A$10,0)),0)&gt;0,COUNTIFS(Assignments!$C$2:$C$769,$A286,Assignments!$F$2:$F$769,"MD",Assignments!$G$2:$G$769,"Active")=0),AND(IFERROR(INDEX(Templates!$D$3:$D$10,MATCH(Deals!$U238,Templates!$A$3:$A$10,0)),0)&gt;0,COUNTIFS(Assignments!$C$2:$C$769,$A286,Assignments!$F$2:$F$769,"Director",Assignments!$G$2:$G$769,"Active")=0),AND(IFERROR(INDEX(Templates!$E$3:$E$10,MATCH(Deals!$U238,Templates!$A$3:$A$10,0)),0)&gt;0,COUNTIFS(Assignments!$C$2:$C$769,$A286,Assignments!$F$2:$F$769,"VP",Assignments!$G$2:$G$769,"Active")=0),AND(IFERROR(INDEX(Templates!$F$3:$F$10,MATCH(Deals!$U238,Templates!$A$3:$A$10,0)),0)&gt;0,COUNTIFS(Assignments!$C$2:$C$769,$A286,Assignments!$F$2:$F$769,"Senior Associate",Assignments!$G$2:$G$769,"Active")=0),AND(IFERROR(INDEX(Templates!$G$3:$G$10,MATCH(Deals!$U238,Templates!$A$3:$A$10,0)),0)&gt;0,COUNTIFS(Assignments!$C$2:$C$769,$A286,Assignments!$F$2:$F$769,"Renewable Specialist",Assignments!$G$2:$G$769,"Active")=0),AND(IFERROR(INDEX(Templates!$H$3:$H$10,MATCH(Deals!$U238,Templates!$A$3:$A$10,0)),0)&gt;0,COUNTIFS(Assignments!$C$2:$C$769,$A286,Assignments!$F$2:$F$769,"Associate",Assignments!$G$2:$G$769,"Active")=0)))," MissingLevel","")&amp;IF(AND($C286="Proposal",Deals!$H238=0.5)," DefaultProbability","")&amp;IF($F286="No"," NoDates","")&amp;IF(AND(ISNUMBER($H286),$H286&gt;=Settings!$B$20)," Stale","")))</f>
        <v/>
      </c>
    </row>
    <row r="287">
      <c r="A287" s="16">
        <f>IF(Deals!$A239="","",Deals!$A239)</f>
        <v/>
      </c>
      <c r="B287" s="16">
        <f>IF($A287="","",Deals!$C239)</f>
        <v/>
      </c>
      <c r="C287" s="16">
        <f>IF($A287="","",Deals!$F239)</f>
        <v/>
      </c>
      <c r="D287" s="21">
        <f>IF($A287="","",Deals!$H239)</f>
        <v/>
      </c>
      <c r="E287" s="17">
        <f>IF($A287="","",Deals!$Q239)</f>
        <v/>
      </c>
      <c r="F287" s="16">
        <f>IF($A287="","",IF(AND(Deals!$I239&lt;&gt;"",Deals!$J239&lt;&gt;""),"Yes","No"))</f>
        <v/>
      </c>
      <c r="G287" s="22">
        <f>IF($A287="","",Deals!$Z239)</f>
        <v/>
      </c>
      <c r="H287" s="23">
        <f>IF(OR($A287="",$G287=""),"",INT((Settings!$B$19-$G287)/7))</f>
        <v/>
      </c>
      <c r="I287" s="24">
        <f>IF(OR($A287="",NOT(OR(Deals!$F239="Active",Deals!$F239="Proposal"))),"",TRIM(IF($E287=0," Unstaffed","")&amp;IF(IF(Deals!$U239="",FALSE,OR(AND(IFERROR(INDEX(Templates!$B$3:$B$10,MATCH(Deals!$U239,Templates!$A$3:$A$10,0)),0)&gt;0,COUNTIFS(Assignments!$C$2:$C$769,$A287,Assignments!$F$2:$F$769,"Partner",Assignments!$G$2:$G$769,"Active")=0),AND(IFERROR(INDEX(Templates!$C$3:$C$10,MATCH(Deals!$U239,Templates!$A$3:$A$10,0)),0)&gt;0,COUNTIFS(Assignments!$C$2:$C$769,$A287,Assignments!$F$2:$F$769,"MD",Assignments!$G$2:$G$769,"Active")=0),AND(IFERROR(INDEX(Templates!$D$3:$D$10,MATCH(Deals!$U239,Templates!$A$3:$A$10,0)),0)&gt;0,COUNTIFS(Assignments!$C$2:$C$769,$A287,Assignments!$F$2:$F$769,"Director",Assignments!$G$2:$G$769,"Active")=0),AND(IFERROR(INDEX(Templates!$E$3:$E$10,MATCH(Deals!$U239,Templates!$A$3:$A$10,0)),0)&gt;0,COUNTIFS(Assignments!$C$2:$C$769,$A287,Assignments!$F$2:$F$769,"VP",Assignments!$G$2:$G$769,"Active")=0),AND(IFERROR(INDEX(Templates!$F$3:$F$10,MATCH(Deals!$U239,Templates!$A$3:$A$10,0)),0)&gt;0,COUNTIFS(Assignments!$C$2:$C$769,$A287,Assignments!$F$2:$F$769,"Senior Associate",Assignments!$G$2:$G$769,"Active")=0),AND(IFERROR(INDEX(Templates!$G$3:$G$10,MATCH(Deals!$U239,Templates!$A$3:$A$10,0)),0)&gt;0,COUNTIFS(Assignments!$C$2:$C$769,$A287,Assignments!$F$2:$F$769,"Renewable Specialist",Assignments!$G$2:$G$769,"Active")=0),AND(IFERROR(INDEX(Templates!$H$3:$H$10,MATCH(Deals!$U239,Templates!$A$3:$A$10,0)),0)&gt;0,COUNTIFS(Assignments!$C$2:$C$769,$A287,Assignments!$F$2:$F$769,"Associate",Assignments!$G$2:$G$769,"Active")=0)))," MissingLevel","")&amp;IF(AND($C287="Proposal",Deals!$H239=0.5)," DefaultProbability","")&amp;IF($F287="No"," NoDates","")&amp;IF(AND(ISNUMBER($H287),$H287&gt;=Settings!$B$20)," Stale","")))</f>
        <v/>
      </c>
    </row>
    <row r="288">
      <c r="A288" s="16">
        <f>IF(Deals!$A240="","",Deals!$A240)</f>
        <v/>
      </c>
      <c r="B288" s="16">
        <f>IF($A288="","",Deals!$C240)</f>
        <v/>
      </c>
      <c r="C288" s="16">
        <f>IF($A288="","",Deals!$F240)</f>
        <v/>
      </c>
      <c r="D288" s="21">
        <f>IF($A288="","",Deals!$H240)</f>
        <v/>
      </c>
      <c r="E288" s="17">
        <f>IF($A288="","",Deals!$Q240)</f>
        <v/>
      </c>
      <c r="F288" s="16">
        <f>IF($A288="","",IF(AND(Deals!$I240&lt;&gt;"",Deals!$J240&lt;&gt;""),"Yes","No"))</f>
        <v/>
      </c>
      <c r="G288" s="22">
        <f>IF($A288="","",Deals!$Z240)</f>
        <v/>
      </c>
      <c r="H288" s="23">
        <f>IF(OR($A288="",$G288=""),"",INT((Settings!$B$19-$G288)/7))</f>
        <v/>
      </c>
      <c r="I288" s="24">
        <f>IF(OR($A288="",NOT(OR(Deals!$F240="Active",Deals!$F240="Proposal"))),"",TRIM(IF($E288=0," Unstaffed","")&amp;IF(IF(Deals!$U240="",FALSE,OR(AND(IFERROR(INDEX(Templates!$B$3:$B$10,MATCH(Deals!$U240,Templates!$A$3:$A$10,0)),0)&gt;0,COUNTIFS(Assignments!$C$2:$C$769,$A288,Assignments!$F$2:$F$769,"Partner",Assignments!$G$2:$G$769,"Active")=0),AND(IFERROR(INDEX(Templates!$C$3:$C$10,MATCH(Deals!$U240,Templates!$A$3:$A$10,0)),0)&gt;0,COUNTIFS(Assignments!$C$2:$C$769,$A288,Assignments!$F$2:$F$769,"MD",Assignments!$G$2:$G$769,"Active")=0),AND(IFERROR(INDEX(Templates!$D$3:$D$10,MATCH(Deals!$U240,Templates!$A$3:$A$10,0)),0)&gt;0,COUNTIFS(Assignments!$C$2:$C$769,$A288,Assignments!$F$2:$F$769,"Director",Assignments!$G$2:$G$769,"Active")=0),AND(IFERROR(INDEX(Templates!$E$3:$E$10,MATCH(Deals!$U240,Templates!$A$3:$A$10,0)),0)&gt;0,COUNTIFS(Assignments!$C$2:$C$769,$A288,Assignments!$F$2:$F$769,"VP",Assignments!$G$2:$G$769,"Active")=0),AND(IFERROR(INDEX(Templates!$F$3:$F$10,MATCH(Deals!$U240,Templates!$A$3:$A$10,0)),0)&gt;0,COUNTIFS(Assignments!$C$2:$C$769,$A288,Assignments!$F$2:$F$769,"Senior Associate",Assignments!$G$2:$G$769,"Active")=0),AND(IFERROR(INDEX(Templates!$G$3:$G$10,MATCH(Deals!$U240,Templates!$A$3:$A$10,0)),0)&gt;0,COUNTIFS(Assignments!$C$2:$C$769,$A288,Assignments!$F$2:$F$769,"Renewable Specialist",Assignments!$G$2:$G$769,"Active")=0),AND(IFERROR(INDEX(Templates!$H$3:$H$10,MATCH(Deals!$U240,Templates!$A$3:$A$10,0)),0)&gt;0,COUNTIFS(Assignments!$C$2:$C$769,$A288,Assignments!$F$2:$F$769,"Associate",Assignments!$G$2:$G$769,"Active")=0)))," MissingLevel","")&amp;IF(AND($C288="Proposal",Deals!$H240=0.5)," DefaultProbability","")&amp;IF($F288="No"," NoDates","")&amp;IF(AND(ISNUMBER($H288),$H288&gt;=Settings!$B$20)," Stale","")))</f>
        <v/>
      </c>
    </row>
    <row r="289">
      <c r="A289" s="16">
        <f>IF(Deals!$A241="","",Deals!$A241)</f>
        <v/>
      </c>
      <c r="B289" s="16">
        <f>IF($A289="","",Deals!$C241)</f>
        <v/>
      </c>
      <c r="C289" s="16">
        <f>IF($A289="","",Deals!$F241)</f>
        <v/>
      </c>
      <c r="D289" s="21">
        <f>IF($A289="","",Deals!$H241)</f>
        <v/>
      </c>
      <c r="E289" s="17">
        <f>IF($A289="","",Deals!$Q241)</f>
        <v/>
      </c>
      <c r="F289" s="16">
        <f>IF($A289="","",IF(AND(Deals!$I241&lt;&gt;"",Deals!$J241&lt;&gt;""),"Yes","No"))</f>
        <v/>
      </c>
      <c r="G289" s="22">
        <f>IF($A289="","",Deals!$Z241)</f>
        <v/>
      </c>
      <c r="H289" s="23">
        <f>IF(OR($A289="",$G289=""),"",INT((Settings!$B$19-$G289)/7))</f>
        <v/>
      </c>
      <c r="I289" s="24">
        <f>IF(OR($A289="",NOT(OR(Deals!$F241="Active",Deals!$F241="Proposal"))),"",TRIM(IF($E289=0," Unstaffed","")&amp;IF(IF(Deals!$U241="",FALSE,OR(AND(IFERROR(INDEX(Templates!$B$3:$B$10,MATCH(Deals!$U241,Templates!$A$3:$A$10,0)),0)&gt;0,COUNTIFS(Assignments!$C$2:$C$769,$A289,Assignments!$F$2:$F$769,"Partner",Assignments!$G$2:$G$769,"Active")=0),AND(IFERROR(INDEX(Templates!$C$3:$C$10,MATCH(Deals!$U241,Templates!$A$3:$A$10,0)),0)&gt;0,COUNTIFS(Assignments!$C$2:$C$769,$A289,Assignments!$F$2:$F$769,"MD",Assignments!$G$2:$G$769,"Active")=0),AND(IFERROR(INDEX(Templates!$D$3:$D$10,MATCH(Deals!$U241,Templates!$A$3:$A$10,0)),0)&gt;0,COUNTIFS(Assignments!$C$2:$C$769,$A289,Assignments!$F$2:$F$769,"Director",Assignments!$G$2:$G$769,"Active")=0),AND(IFERROR(INDEX(Templates!$E$3:$E$10,MATCH(Deals!$U241,Templates!$A$3:$A$10,0)),0)&gt;0,COUNTIFS(Assignments!$C$2:$C$769,$A289,Assignments!$F$2:$F$769,"VP",Assignments!$G$2:$G$769,"Active")=0),AND(IFERROR(INDEX(Templates!$F$3:$F$10,MATCH(Deals!$U241,Templates!$A$3:$A$10,0)),0)&gt;0,COUNTIFS(Assignments!$C$2:$C$769,$A289,Assignments!$F$2:$F$769,"Senior Associate",Assignments!$G$2:$G$769,"Active")=0),AND(IFERROR(INDEX(Templates!$G$3:$G$10,MATCH(Deals!$U241,Templates!$A$3:$A$10,0)),0)&gt;0,COUNTIFS(Assignments!$C$2:$C$769,$A289,Assignments!$F$2:$F$769,"Renewable Specialist",Assignments!$G$2:$G$769,"Active")=0),AND(IFERROR(INDEX(Templates!$H$3:$H$10,MATCH(Deals!$U241,Templates!$A$3:$A$10,0)),0)&gt;0,COUNTIFS(Assignments!$C$2:$C$769,$A289,Assignments!$F$2:$F$769,"Associate",Assignments!$G$2:$G$769,"Active")=0)))," MissingLevel","")&amp;IF(AND($C289="Proposal",Deals!$H241=0.5)," DefaultProbability","")&amp;IF($F289="No"," NoDates","")&amp;IF(AND(ISNUMBER($H289),$H289&gt;=Settings!$B$20)," Stale","")))</f>
        <v/>
      </c>
    </row>
    <row r="290">
      <c r="A290" s="16">
        <f>IF(Deals!$A242="","",Deals!$A242)</f>
        <v/>
      </c>
      <c r="B290" s="16">
        <f>IF($A290="","",Deals!$C242)</f>
        <v/>
      </c>
      <c r="C290" s="16">
        <f>IF($A290="","",Deals!$F242)</f>
        <v/>
      </c>
      <c r="D290" s="21">
        <f>IF($A290="","",Deals!$H242)</f>
        <v/>
      </c>
      <c r="E290" s="17">
        <f>IF($A290="","",Deals!$Q242)</f>
        <v/>
      </c>
      <c r="F290" s="16">
        <f>IF($A290="","",IF(AND(Deals!$I242&lt;&gt;"",Deals!$J242&lt;&gt;""),"Yes","No"))</f>
        <v/>
      </c>
      <c r="G290" s="22">
        <f>IF($A290="","",Deals!$Z242)</f>
        <v/>
      </c>
      <c r="H290" s="23">
        <f>IF(OR($A290="",$G290=""),"",INT((Settings!$B$19-$G290)/7))</f>
        <v/>
      </c>
      <c r="I290" s="24">
        <f>IF(OR($A290="",NOT(OR(Deals!$F242="Active",Deals!$F242="Proposal"))),"",TRIM(IF($E290=0," Unstaffed","")&amp;IF(IF(Deals!$U242="",FALSE,OR(AND(IFERROR(INDEX(Templates!$B$3:$B$10,MATCH(Deals!$U242,Templates!$A$3:$A$10,0)),0)&gt;0,COUNTIFS(Assignments!$C$2:$C$769,$A290,Assignments!$F$2:$F$769,"Partner",Assignments!$G$2:$G$769,"Active")=0),AND(IFERROR(INDEX(Templates!$C$3:$C$10,MATCH(Deals!$U242,Templates!$A$3:$A$10,0)),0)&gt;0,COUNTIFS(Assignments!$C$2:$C$769,$A290,Assignments!$F$2:$F$769,"MD",Assignments!$G$2:$G$769,"Active")=0),AND(IFERROR(INDEX(Templates!$D$3:$D$10,MATCH(Deals!$U242,Templates!$A$3:$A$10,0)),0)&gt;0,COUNTIFS(Assignments!$C$2:$C$769,$A290,Assignments!$F$2:$F$769,"Director",Assignments!$G$2:$G$769,"Active")=0),AND(IFERROR(INDEX(Templates!$E$3:$E$10,MATCH(Deals!$U242,Templates!$A$3:$A$10,0)),0)&gt;0,COUNTIFS(Assignments!$C$2:$C$769,$A290,Assignments!$F$2:$F$769,"VP",Assignments!$G$2:$G$769,"Active")=0),AND(IFERROR(INDEX(Templates!$F$3:$F$10,MATCH(Deals!$U242,Templates!$A$3:$A$10,0)),0)&gt;0,COUNTIFS(Assignments!$C$2:$C$769,$A290,Assignments!$F$2:$F$769,"Senior Associate",Assignments!$G$2:$G$769,"Active")=0),AND(IFERROR(INDEX(Templates!$G$3:$G$10,MATCH(Deals!$U242,Templates!$A$3:$A$10,0)),0)&gt;0,COUNTIFS(Assignments!$C$2:$C$769,$A290,Assignments!$F$2:$F$769,"Renewable Specialist",Assignments!$G$2:$G$769,"Active")=0),AND(IFERROR(INDEX(Templates!$H$3:$H$10,MATCH(Deals!$U242,Templates!$A$3:$A$10,0)),0)&gt;0,COUNTIFS(Assignments!$C$2:$C$769,$A290,Assignments!$F$2:$F$769,"Associate",Assignments!$G$2:$G$769,"Active")=0)))," MissingLevel","")&amp;IF(AND($C290="Proposal",Deals!$H242=0.5)," DefaultProbability","")&amp;IF($F290="No"," NoDates","")&amp;IF(AND(ISNUMBER($H290),$H290&gt;=Settings!$B$20)," Stale","")))</f>
        <v/>
      </c>
    </row>
    <row r="291">
      <c r="A291" s="16">
        <f>IF(Deals!$A243="","",Deals!$A243)</f>
        <v/>
      </c>
      <c r="B291" s="16">
        <f>IF($A291="","",Deals!$C243)</f>
        <v/>
      </c>
      <c r="C291" s="16">
        <f>IF($A291="","",Deals!$F243)</f>
        <v/>
      </c>
      <c r="D291" s="21">
        <f>IF($A291="","",Deals!$H243)</f>
        <v/>
      </c>
      <c r="E291" s="17">
        <f>IF($A291="","",Deals!$Q243)</f>
        <v/>
      </c>
      <c r="F291" s="16">
        <f>IF($A291="","",IF(AND(Deals!$I243&lt;&gt;"",Deals!$J243&lt;&gt;""),"Yes","No"))</f>
        <v/>
      </c>
      <c r="G291" s="22">
        <f>IF($A291="","",Deals!$Z243)</f>
        <v/>
      </c>
      <c r="H291" s="23">
        <f>IF(OR($A291="",$G291=""),"",INT((Settings!$B$19-$G291)/7))</f>
        <v/>
      </c>
      <c r="I291" s="24">
        <f>IF(OR($A291="",NOT(OR(Deals!$F243="Active",Deals!$F243="Proposal"))),"",TRIM(IF($E291=0," Unstaffed","")&amp;IF(IF(Deals!$U243="",FALSE,OR(AND(IFERROR(INDEX(Templates!$B$3:$B$10,MATCH(Deals!$U243,Templates!$A$3:$A$10,0)),0)&gt;0,COUNTIFS(Assignments!$C$2:$C$769,$A291,Assignments!$F$2:$F$769,"Partner",Assignments!$G$2:$G$769,"Active")=0),AND(IFERROR(INDEX(Templates!$C$3:$C$10,MATCH(Deals!$U243,Templates!$A$3:$A$10,0)),0)&gt;0,COUNTIFS(Assignments!$C$2:$C$769,$A291,Assignments!$F$2:$F$769,"MD",Assignments!$G$2:$G$769,"Active")=0),AND(IFERROR(INDEX(Templates!$D$3:$D$10,MATCH(Deals!$U243,Templates!$A$3:$A$10,0)),0)&gt;0,COUNTIFS(Assignments!$C$2:$C$769,$A291,Assignments!$F$2:$F$769,"Director",Assignments!$G$2:$G$769,"Active")=0),AND(IFERROR(INDEX(Templates!$E$3:$E$10,MATCH(Deals!$U243,Templates!$A$3:$A$10,0)),0)&gt;0,COUNTIFS(Assignments!$C$2:$C$769,$A291,Assignments!$F$2:$F$769,"VP",Assignments!$G$2:$G$769,"Active")=0),AND(IFERROR(INDEX(Templates!$F$3:$F$10,MATCH(Deals!$U243,Templates!$A$3:$A$10,0)),0)&gt;0,COUNTIFS(Assignments!$C$2:$C$769,$A291,Assignments!$F$2:$F$769,"Senior Associate",Assignments!$G$2:$G$769,"Active")=0),AND(IFERROR(INDEX(Templates!$G$3:$G$10,MATCH(Deals!$U243,Templates!$A$3:$A$10,0)),0)&gt;0,COUNTIFS(Assignments!$C$2:$C$769,$A291,Assignments!$F$2:$F$769,"Renewable Specialist",Assignments!$G$2:$G$769,"Active")=0),AND(IFERROR(INDEX(Templates!$H$3:$H$10,MATCH(Deals!$U243,Templates!$A$3:$A$10,0)),0)&gt;0,COUNTIFS(Assignments!$C$2:$C$769,$A291,Assignments!$F$2:$F$769,"Associate",Assignments!$G$2:$G$769,"Active")=0)))," MissingLevel","")&amp;IF(AND($C291="Proposal",Deals!$H243=0.5)," DefaultProbability","")&amp;IF($F291="No"," NoDates","")&amp;IF(AND(ISNUMBER($H291),$H291&gt;=Settings!$B$20)," Stale","")))</f>
        <v/>
      </c>
    </row>
    <row r="292">
      <c r="A292" s="16">
        <f>IF(Deals!$A244="","",Deals!$A244)</f>
        <v/>
      </c>
      <c r="B292" s="16">
        <f>IF($A292="","",Deals!$C244)</f>
        <v/>
      </c>
      <c r="C292" s="16">
        <f>IF($A292="","",Deals!$F244)</f>
        <v/>
      </c>
      <c r="D292" s="21">
        <f>IF($A292="","",Deals!$H244)</f>
        <v/>
      </c>
      <c r="E292" s="17">
        <f>IF($A292="","",Deals!$Q244)</f>
        <v/>
      </c>
      <c r="F292" s="16">
        <f>IF($A292="","",IF(AND(Deals!$I244&lt;&gt;"",Deals!$J244&lt;&gt;""),"Yes","No"))</f>
        <v/>
      </c>
      <c r="G292" s="22">
        <f>IF($A292="","",Deals!$Z244)</f>
        <v/>
      </c>
      <c r="H292" s="23">
        <f>IF(OR($A292="",$G292=""),"",INT((Settings!$B$19-$G292)/7))</f>
        <v/>
      </c>
      <c r="I292" s="24">
        <f>IF(OR($A292="",NOT(OR(Deals!$F244="Active",Deals!$F244="Proposal"))),"",TRIM(IF($E292=0," Unstaffed","")&amp;IF(IF(Deals!$U244="",FALSE,OR(AND(IFERROR(INDEX(Templates!$B$3:$B$10,MATCH(Deals!$U244,Templates!$A$3:$A$10,0)),0)&gt;0,COUNTIFS(Assignments!$C$2:$C$769,$A292,Assignments!$F$2:$F$769,"Partner",Assignments!$G$2:$G$769,"Active")=0),AND(IFERROR(INDEX(Templates!$C$3:$C$10,MATCH(Deals!$U244,Templates!$A$3:$A$10,0)),0)&gt;0,COUNTIFS(Assignments!$C$2:$C$769,$A292,Assignments!$F$2:$F$769,"MD",Assignments!$G$2:$G$769,"Active")=0),AND(IFERROR(INDEX(Templates!$D$3:$D$10,MATCH(Deals!$U244,Templates!$A$3:$A$10,0)),0)&gt;0,COUNTIFS(Assignments!$C$2:$C$769,$A292,Assignments!$F$2:$F$769,"Director",Assignments!$G$2:$G$769,"Active")=0),AND(IFERROR(INDEX(Templates!$E$3:$E$10,MATCH(Deals!$U244,Templates!$A$3:$A$10,0)),0)&gt;0,COUNTIFS(Assignments!$C$2:$C$769,$A292,Assignments!$F$2:$F$769,"VP",Assignments!$G$2:$G$769,"Active")=0),AND(IFERROR(INDEX(Templates!$F$3:$F$10,MATCH(Deals!$U244,Templates!$A$3:$A$10,0)),0)&gt;0,COUNTIFS(Assignments!$C$2:$C$769,$A292,Assignments!$F$2:$F$769,"Senior Associate",Assignments!$G$2:$G$769,"Active")=0),AND(IFERROR(INDEX(Templates!$G$3:$G$10,MATCH(Deals!$U244,Templates!$A$3:$A$10,0)),0)&gt;0,COUNTIFS(Assignments!$C$2:$C$769,$A292,Assignments!$F$2:$F$769,"Renewable Specialist",Assignments!$G$2:$G$769,"Active")=0),AND(IFERROR(INDEX(Templates!$H$3:$H$10,MATCH(Deals!$U244,Templates!$A$3:$A$10,0)),0)&gt;0,COUNTIFS(Assignments!$C$2:$C$769,$A292,Assignments!$F$2:$F$769,"Associate",Assignments!$G$2:$G$769,"Active")=0)))," MissingLevel","")&amp;IF(AND($C292="Proposal",Deals!$H244=0.5)," DefaultProbability","")&amp;IF($F292="No"," NoDates","")&amp;IF(AND(ISNUMBER($H292),$H292&gt;=Settings!$B$20)," Stale","")))</f>
        <v/>
      </c>
    </row>
    <row r="293">
      <c r="A293" s="16">
        <f>IF(Deals!$A245="","",Deals!$A245)</f>
        <v/>
      </c>
      <c r="B293" s="16">
        <f>IF($A293="","",Deals!$C245)</f>
        <v/>
      </c>
      <c r="C293" s="16">
        <f>IF($A293="","",Deals!$F245)</f>
        <v/>
      </c>
      <c r="D293" s="21">
        <f>IF($A293="","",Deals!$H245)</f>
        <v/>
      </c>
      <c r="E293" s="17">
        <f>IF($A293="","",Deals!$Q245)</f>
        <v/>
      </c>
      <c r="F293" s="16">
        <f>IF($A293="","",IF(AND(Deals!$I245&lt;&gt;"",Deals!$J245&lt;&gt;""),"Yes","No"))</f>
        <v/>
      </c>
      <c r="G293" s="22">
        <f>IF($A293="","",Deals!$Z245)</f>
        <v/>
      </c>
      <c r="H293" s="23">
        <f>IF(OR($A293="",$G293=""),"",INT((Settings!$B$19-$G293)/7))</f>
        <v/>
      </c>
      <c r="I293" s="24">
        <f>IF(OR($A293="",NOT(OR(Deals!$F245="Active",Deals!$F245="Proposal"))),"",TRIM(IF($E293=0," Unstaffed","")&amp;IF(IF(Deals!$U245="",FALSE,OR(AND(IFERROR(INDEX(Templates!$B$3:$B$10,MATCH(Deals!$U245,Templates!$A$3:$A$10,0)),0)&gt;0,COUNTIFS(Assignments!$C$2:$C$769,$A293,Assignments!$F$2:$F$769,"Partner",Assignments!$G$2:$G$769,"Active")=0),AND(IFERROR(INDEX(Templates!$C$3:$C$10,MATCH(Deals!$U245,Templates!$A$3:$A$10,0)),0)&gt;0,COUNTIFS(Assignments!$C$2:$C$769,$A293,Assignments!$F$2:$F$769,"MD",Assignments!$G$2:$G$769,"Active")=0),AND(IFERROR(INDEX(Templates!$D$3:$D$10,MATCH(Deals!$U245,Templates!$A$3:$A$10,0)),0)&gt;0,COUNTIFS(Assignments!$C$2:$C$769,$A293,Assignments!$F$2:$F$769,"Director",Assignments!$G$2:$G$769,"Active")=0),AND(IFERROR(INDEX(Templates!$E$3:$E$10,MATCH(Deals!$U245,Templates!$A$3:$A$10,0)),0)&gt;0,COUNTIFS(Assignments!$C$2:$C$769,$A293,Assignments!$F$2:$F$769,"VP",Assignments!$G$2:$G$769,"Active")=0),AND(IFERROR(INDEX(Templates!$F$3:$F$10,MATCH(Deals!$U245,Templates!$A$3:$A$10,0)),0)&gt;0,COUNTIFS(Assignments!$C$2:$C$769,$A293,Assignments!$F$2:$F$769,"Senior Associate",Assignments!$G$2:$G$769,"Active")=0),AND(IFERROR(INDEX(Templates!$G$3:$G$10,MATCH(Deals!$U245,Templates!$A$3:$A$10,0)),0)&gt;0,COUNTIFS(Assignments!$C$2:$C$769,$A293,Assignments!$F$2:$F$769,"Renewable Specialist",Assignments!$G$2:$G$769,"Active")=0),AND(IFERROR(INDEX(Templates!$H$3:$H$10,MATCH(Deals!$U245,Templates!$A$3:$A$10,0)),0)&gt;0,COUNTIFS(Assignments!$C$2:$C$769,$A293,Assignments!$F$2:$F$769,"Associate",Assignments!$G$2:$G$769,"Active")=0)))," MissingLevel","")&amp;IF(AND($C293="Proposal",Deals!$H245=0.5)," DefaultProbability","")&amp;IF($F293="No"," NoDates","")&amp;IF(AND(ISNUMBER($H293),$H293&gt;=Settings!$B$20)," Stale","")))</f>
        <v/>
      </c>
    </row>
    <row r="294">
      <c r="A294" s="16">
        <f>IF(Deals!$A246="","",Deals!$A246)</f>
        <v/>
      </c>
      <c r="B294" s="16">
        <f>IF($A294="","",Deals!$C246)</f>
        <v/>
      </c>
      <c r="C294" s="16">
        <f>IF($A294="","",Deals!$F246)</f>
        <v/>
      </c>
      <c r="D294" s="21">
        <f>IF($A294="","",Deals!$H246)</f>
        <v/>
      </c>
      <c r="E294" s="17">
        <f>IF($A294="","",Deals!$Q246)</f>
        <v/>
      </c>
      <c r="F294" s="16">
        <f>IF($A294="","",IF(AND(Deals!$I246&lt;&gt;"",Deals!$J246&lt;&gt;""),"Yes","No"))</f>
        <v/>
      </c>
      <c r="G294" s="22">
        <f>IF($A294="","",Deals!$Z246)</f>
        <v/>
      </c>
      <c r="H294" s="23">
        <f>IF(OR($A294="",$G294=""),"",INT((Settings!$B$19-$G294)/7))</f>
        <v/>
      </c>
      <c r="I294" s="24">
        <f>IF(OR($A294="",NOT(OR(Deals!$F246="Active",Deals!$F246="Proposal"))),"",TRIM(IF($E294=0," Unstaffed","")&amp;IF(IF(Deals!$U246="",FALSE,OR(AND(IFERROR(INDEX(Templates!$B$3:$B$10,MATCH(Deals!$U246,Templates!$A$3:$A$10,0)),0)&gt;0,COUNTIFS(Assignments!$C$2:$C$769,$A294,Assignments!$F$2:$F$769,"Partner",Assignments!$G$2:$G$769,"Active")=0),AND(IFERROR(INDEX(Templates!$C$3:$C$10,MATCH(Deals!$U246,Templates!$A$3:$A$10,0)),0)&gt;0,COUNTIFS(Assignments!$C$2:$C$769,$A294,Assignments!$F$2:$F$769,"MD",Assignments!$G$2:$G$769,"Active")=0),AND(IFERROR(INDEX(Templates!$D$3:$D$10,MATCH(Deals!$U246,Templates!$A$3:$A$10,0)),0)&gt;0,COUNTIFS(Assignments!$C$2:$C$769,$A294,Assignments!$F$2:$F$769,"Director",Assignments!$G$2:$G$769,"Active")=0),AND(IFERROR(INDEX(Templates!$E$3:$E$10,MATCH(Deals!$U246,Templates!$A$3:$A$10,0)),0)&gt;0,COUNTIFS(Assignments!$C$2:$C$769,$A294,Assignments!$F$2:$F$769,"VP",Assignments!$G$2:$G$769,"Active")=0),AND(IFERROR(INDEX(Templates!$F$3:$F$10,MATCH(Deals!$U246,Templates!$A$3:$A$10,0)),0)&gt;0,COUNTIFS(Assignments!$C$2:$C$769,$A294,Assignments!$F$2:$F$769,"Senior Associate",Assignments!$G$2:$G$769,"Active")=0),AND(IFERROR(INDEX(Templates!$G$3:$G$10,MATCH(Deals!$U246,Templates!$A$3:$A$10,0)),0)&gt;0,COUNTIFS(Assignments!$C$2:$C$769,$A294,Assignments!$F$2:$F$769,"Renewable Specialist",Assignments!$G$2:$G$769,"Active")=0),AND(IFERROR(INDEX(Templates!$H$3:$H$10,MATCH(Deals!$U246,Templates!$A$3:$A$10,0)),0)&gt;0,COUNTIFS(Assignments!$C$2:$C$769,$A294,Assignments!$F$2:$F$769,"Associate",Assignments!$G$2:$G$769,"Active")=0)))," MissingLevel","")&amp;IF(AND($C294="Proposal",Deals!$H246=0.5)," DefaultProbability","")&amp;IF($F294="No"," NoDates","")&amp;IF(AND(ISNUMBER($H294),$H294&gt;=Settings!$B$20)," Stale","")))</f>
        <v/>
      </c>
    </row>
    <row r="295">
      <c r="A295" s="16">
        <f>IF(Deals!$A247="","",Deals!$A247)</f>
        <v/>
      </c>
      <c r="B295" s="16">
        <f>IF($A295="","",Deals!$C247)</f>
        <v/>
      </c>
      <c r="C295" s="16">
        <f>IF($A295="","",Deals!$F247)</f>
        <v/>
      </c>
      <c r="D295" s="21">
        <f>IF($A295="","",Deals!$H247)</f>
        <v/>
      </c>
      <c r="E295" s="17">
        <f>IF($A295="","",Deals!$Q247)</f>
        <v/>
      </c>
      <c r="F295" s="16">
        <f>IF($A295="","",IF(AND(Deals!$I247&lt;&gt;"",Deals!$J247&lt;&gt;""),"Yes","No"))</f>
        <v/>
      </c>
      <c r="G295" s="22">
        <f>IF($A295="","",Deals!$Z247)</f>
        <v/>
      </c>
      <c r="H295" s="23">
        <f>IF(OR($A295="",$G295=""),"",INT((Settings!$B$19-$G295)/7))</f>
        <v/>
      </c>
      <c r="I295" s="24">
        <f>IF(OR($A295="",NOT(OR(Deals!$F247="Active",Deals!$F247="Proposal"))),"",TRIM(IF($E295=0," Unstaffed","")&amp;IF(IF(Deals!$U247="",FALSE,OR(AND(IFERROR(INDEX(Templates!$B$3:$B$10,MATCH(Deals!$U247,Templates!$A$3:$A$10,0)),0)&gt;0,COUNTIFS(Assignments!$C$2:$C$769,$A295,Assignments!$F$2:$F$769,"Partner",Assignments!$G$2:$G$769,"Active")=0),AND(IFERROR(INDEX(Templates!$C$3:$C$10,MATCH(Deals!$U247,Templates!$A$3:$A$10,0)),0)&gt;0,COUNTIFS(Assignments!$C$2:$C$769,$A295,Assignments!$F$2:$F$769,"MD",Assignments!$G$2:$G$769,"Active")=0),AND(IFERROR(INDEX(Templates!$D$3:$D$10,MATCH(Deals!$U247,Templates!$A$3:$A$10,0)),0)&gt;0,COUNTIFS(Assignments!$C$2:$C$769,$A295,Assignments!$F$2:$F$769,"Director",Assignments!$G$2:$G$769,"Active")=0),AND(IFERROR(INDEX(Templates!$E$3:$E$10,MATCH(Deals!$U247,Templates!$A$3:$A$10,0)),0)&gt;0,COUNTIFS(Assignments!$C$2:$C$769,$A295,Assignments!$F$2:$F$769,"VP",Assignments!$G$2:$G$769,"Active")=0),AND(IFERROR(INDEX(Templates!$F$3:$F$10,MATCH(Deals!$U247,Templates!$A$3:$A$10,0)),0)&gt;0,COUNTIFS(Assignments!$C$2:$C$769,$A295,Assignments!$F$2:$F$769,"Senior Associate",Assignments!$G$2:$G$769,"Active")=0),AND(IFERROR(INDEX(Templates!$G$3:$G$10,MATCH(Deals!$U247,Templates!$A$3:$A$10,0)),0)&gt;0,COUNTIFS(Assignments!$C$2:$C$769,$A295,Assignments!$F$2:$F$769,"Renewable Specialist",Assignments!$G$2:$G$769,"Active")=0),AND(IFERROR(INDEX(Templates!$H$3:$H$10,MATCH(Deals!$U247,Templates!$A$3:$A$10,0)),0)&gt;0,COUNTIFS(Assignments!$C$2:$C$769,$A295,Assignments!$F$2:$F$769,"Associate",Assignments!$G$2:$G$769,"Active")=0)))," MissingLevel","")&amp;IF(AND($C295="Proposal",Deals!$H247=0.5)," DefaultProbability","")&amp;IF($F295="No"," NoDates","")&amp;IF(AND(ISNUMBER($H295),$H295&gt;=Settings!$B$20)," Stale","")))</f>
        <v/>
      </c>
    </row>
    <row r="296">
      <c r="A296" s="16">
        <f>IF(Deals!$A248="","",Deals!$A248)</f>
        <v/>
      </c>
      <c r="B296" s="16">
        <f>IF($A296="","",Deals!$C248)</f>
        <v/>
      </c>
      <c r="C296" s="16">
        <f>IF($A296="","",Deals!$F248)</f>
        <v/>
      </c>
      <c r="D296" s="21">
        <f>IF($A296="","",Deals!$H248)</f>
        <v/>
      </c>
      <c r="E296" s="17">
        <f>IF($A296="","",Deals!$Q248)</f>
        <v/>
      </c>
      <c r="F296" s="16">
        <f>IF($A296="","",IF(AND(Deals!$I248&lt;&gt;"",Deals!$J248&lt;&gt;""),"Yes","No"))</f>
        <v/>
      </c>
      <c r="G296" s="22">
        <f>IF($A296="","",Deals!$Z248)</f>
        <v/>
      </c>
      <c r="H296" s="23">
        <f>IF(OR($A296="",$G296=""),"",INT((Settings!$B$19-$G296)/7))</f>
        <v/>
      </c>
      <c r="I296" s="24">
        <f>IF(OR($A296="",NOT(OR(Deals!$F248="Active",Deals!$F248="Proposal"))),"",TRIM(IF($E296=0," Unstaffed","")&amp;IF(IF(Deals!$U248="",FALSE,OR(AND(IFERROR(INDEX(Templates!$B$3:$B$10,MATCH(Deals!$U248,Templates!$A$3:$A$10,0)),0)&gt;0,COUNTIFS(Assignments!$C$2:$C$769,$A296,Assignments!$F$2:$F$769,"Partner",Assignments!$G$2:$G$769,"Active")=0),AND(IFERROR(INDEX(Templates!$C$3:$C$10,MATCH(Deals!$U248,Templates!$A$3:$A$10,0)),0)&gt;0,COUNTIFS(Assignments!$C$2:$C$769,$A296,Assignments!$F$2:$F$769,"MD",Assignments!$G$2:$G$769,"Active")=0),AND(IFERROR(INDEX(Templates!$D$3:$D$10,MATCH(Deals!$U248,Templates!$A$3:$A$10,0)),0)&gt;0,COUNTIFS(Assignments!$C$2:$C$769,$A296,Assignments!$F$2:$F$769,"Director",Assignments!$G$2:$G$769,"Active")=0),AND(IFERROR(INDEX(Templates!$E$3:$E$10,MATCH(Deals!$U248,Templates!$A$3:$A$10,0)),0)&gt;0,COUNTIFS(Assignments!$C$2:$C$769,$A296,Assignments!$F$2:$F$769,"VP",Assignments!$G$2:$G$769,"Active")=0),AND(IFERROR(INDEX(Templates!$F$3:$F$10,MATCH(Deals!$U248,Templates!$A$3:$A$10,0)),0)&gt;0,COUNTIFS(Assignments!$C$2:$C$769,$A296,Assignments!$F$2:$F$769,"Senior Associate",Assignments!$G$2:$G$769,"Active")=0),AND(IFERROR(INDEX(Templates!$G$3:$G$10,MATCH(Deals!$U248,Templates!$A$3:$A$10,0)),0)&gt;0,COUNTIFS(Assignments!$C$2:$C$769,$A296,Assignments!$F$2:$F$769,"Renewable Specialist",Assignments!$G$2:$G$769,"Active")=0),AND(IFERROR(INDEX(Templates!$H$3:$H$10,MATCH(Deals!$U248,Templates!$A$3:$A$10,0)),0)&gt;0,COUNTIFS(Assignments!$C$2:$C$769,$A296,Assignments!$F$2:$F$769,"Associate",Assignments!$G$2:$G$769,"Active")=0)))," MissingLevel","")&amp;IF(AND($C296="Proposal",Deals!$H248=0.5)," DefaultProbability","")&amp;IF($F296="No"," NoDates","")&amp;IF(AND(ISNUMBER($H296),$H296&gt;=Settings!$B$20)," Stale","")))</f>
        <v/>
      </c>
    </row>
    <row r="297">
      <c r="A297" s="16">
        <f>IF(Deals!$A249="","",Deals!$A249)</f>
        <v/>
      </c>
      <c r="B297" s="16">
        <f>IF($A297="","",Deals!$C249)</f>
        <v/>
      </c>
      <c r="C297" s="16">
        <f>IF($A297="","",Deals!$F249)</f>
        <v/>
      </c>
      <c r="D297" s="21">
        <f>IF($A297="","",Deals!$H249)</f>
        <v/>
      </c>
      <c r="E297" s="17">
        <f>IF($A297="","",Deals!$Q249)</f>
        <v/>
      </c>
      <c r="F297" s="16">
        <f>IF($A297="","",IF(AND(Deals!$I249&lt;&gt;"",Deals!$J249&lt;&gt;""),"Yes","No"))</f>
        <v/>
      </c>
      <c r="G297" s="22">
        <f>IF($A297="","",Deals!$Z249)</f>
        <v/>
      </c>
      <c r="H297" s="23">
        <f>IF(OR($A297="",$G297=""),"",INT((Settings!$B$19-$G297)/7))</f>
        <v/>
      </c>
      <c r="I297" s="24">
        <f>IF(OR($A297="",NOT(OR(Deals!$F249="Active",Deals!$F249="Proposal"))),"",TRIM(IF($E297=0," Unstaffed","")&amp;IF(IF(Deals!$U249="",FALSE,OR(AND(IFERROR(INDEX(Templates!$B$3:$B$10,MATCH(Deals!$U249,Templates!$A$3:$A$10,0)),0)&gt;0,COUNTIFS(Assignments!$C$2:$C$769,$A297,Assignments!$F$2:$F$769,"Partner",Assignments!$G$2:$G$769,"Active")=0),AND(IFERROR(INDEX(Templates!$C$3:$C$10,MATCH(Deals!$U249,Templates!$A$3:$A$10,0)),0)&gt;0,COUNTIFS(Assignments!$C$2:$C$769,$A297,Assignments!$F$2:$F$769,"MD",Assignments!$G$2:$G$769,"Active")=0),AND(IFERROR(INDEX(Templates!$D$3:$D$10,MATCH(Deals!$U249,Templates!$A$3:$A$10,0)),0)&gt;0,COUNTIFS(Assignments!$C$2:$C$769,$A297,Assignments!$F$2:$F$769,"Director",Assignments!$G$2:$G$769,"Active")=0),AND(IFERROR(INDEX(Templates!$E$3:$E$10,MATCH(Deals!$U249,Templates!$A$3:$A$10,0)),0)&gt;0,COUNTIFS(Assignments!$C$2:$C$769,$A297,Assignments!$F$2:$F$769,"VP",Assignments!$G$2:$G$769,"Active")=0),AND(IFERROR(INDEX(Templates!$F$3:$F$10,MATCH(Deals!$U249,Templates!$A$3:$A$10,0)),0)&gt;0,COUNTIFS(Assignments!$C$2:$C$769,$A297,Assignments!$F$2:$F$769,"Senior Associate",Assignments!$G$2:$G$769,"Active")=0),AND(IFERROR(INDEX(Templates!$G$3:$G$10,MATCH(Deals!$U249,Templates!$A$3:$A$10,0)),0)&gt;0,COUNTIFS(Assignments!$C$2:$C$769,$A297,Assignments!$F$2:$F$769,"Renewable Specialist",Assignments!$G$2:$G$769,"Active")=0),AND(IFERROR(INDEX(Templates!$H$3:$H$10,MATCH(Deals!$U249,Templates!$A$3:$A$10,0)),0)&gt;0,COUNTIFS(Assignments!$C$2:$C$769,$A297,Assignments!$F$2:$F$769,"Associate",Assignments!$G$2:$G$769,"Active")=0)))," MissingLevel","")&amp;IF(AND($C297="Proposal",Deals!$H249=0.5)," DefaultProbability","")&amp;IF($F297="No"," NoDates","")&amp;IF(AND(ISNUMBER($H297),$H297&gt;=Settings!$B$20)," Stale","")))</f>
        <v/>
      </c>
    </row>
    <row r="298">
      <c r="A298" s="16">
        <f>IF(Deals!$A250="","",Deals!$A250)</f>
        <v/>
      </c>
      <c r="B298" s="16">
        <f>IF($A298="","",Deals!$C250)</f>
        <v/>
      </c>
      <c r="C298" s="16">
        <f>IF($A298="","",Deals!$F250)</f>
        <v/>
      </c>
      <c r="D298" s="21">
        <f>IF($A298="","",Deals!$H250)</f>
        <v/>
      </c>
      <c r="E298" s="17">
        <f>IF($A298="","",Deals!$Q250)</f>
        <v/>
      </c>
      <c r="F298" s="16">
        <f>IF($A298="","",IF(AND(Deals!$I250&lt;&gt;"",Deals!$J250&lt;&gt;""),"Yes","No"))</f>
        <v/>
      </c>
      <c r="G298" s="22">
        <f>IF($A298="","",Deals!$Z250)</f>
        <v/>
      </c>
      <c r="H298" s="23">
        <f>IF(OR($A298="",$G298=""),"",INT((Settings!$B$19-$G298)/7))</f>
        <v/>
      </c>
      <c r="I298" s="24">
        <f>IF(OR($A298="",NOT(OR(Deals!$F250="Active",Deals!$F250="Proposal"))),"",TRIM(IF($E298=0," Unstaffed","")&amp;IF(IF(Deals!$U250="",FALSE,OR(AND(IFERROR(INDEX(Templates!$B$3:$B$10,MATCH(Deals!$U250,Templates!$A$3:$A$10,0)),0)&gt;0,COUNTIFS(Assignments!$C$2:$C$769,$A298,Assignments!$F$2:$F$769,"Partner",Assignments!$G$2:$G$769,"Active")=0),AND(IFERROR(INDEX(Templates!$C$3:$C$10,MATCH(Deals!$U250,Templates!$A$3:$A$10,0)),0)&gt;0,COUNTIFS(Assignments!$C$2:$C$769,$A298,Assignments!$F$2:$F$769,"MD",Assignments!$G$2:$G$769,"Active")=0),AND(IFERROR(INDEX(Templates!$D$3:$D$10,MATCH(Deals!$U250,Templates!$A$3:$A$10,0)),0)&gt;0,COUNTIFS(Assignments!$C$2:$C$769,$A298,Assignments!$F$2:$F$769,"Director",Assignments!$G$2:$G$769,"Active")=0),AND(IFERROR(INDEX(Templates!$E$3:$E$10,MATCH(Deals!$U250,Templates!$A$3:$A$10,0)),0)&gt;0,COUNTIFS(Assignments!$C$2:$C$769,$A298,Assignments!$F$2:$F$769,"VP",Assignments!$G$2:$G$769,"Active")=0),AND(IFERROR(INDEX(Templates!$F$3:$F$10,MATCH(Deals!$U250,Templates!$A$3:$A$10,0)),0)&gt;0,COUNTIFS(Assignments!$C$2:$C$769,$A298,Assignments!$F$2:$F$769,"Senior Associate",Assignments!$G$2:$G$769,"Active")=0),AND(IFERROR(INDEX(Templates!$G$3:$G$10,MATCH(Deals!$U250,Templates!$A$3:$A$10,0)),0)&gt;0,COUNTIFS(Assignments!$C$2:$C$769,$A298,Assignments!$F$2:$F$769,"Renewable Specialist",Assignments!$G$2:$G$769,"Active")=0),AND(IFERROR(INDEX(Templates!$H$3:$H$10,MATCH(Deals!$U250,Templates!$A$3:$A$10,0)),0)&gt;0,COUNTIFS(Assignments!$C$2:$C$769,$A298,Assignments!$F$2:$F$769,"Associate",Assignments!$G$2:$G$769,"Active")=0)))," MissingLevel","")&amp;IF(AND($C298="Proposal",Deals!$H250=0.5)," DefaultProbability","")&amp;IF($F298="No"," NoDates","")&amp;IF(AND(ISNUMBER($H298),$H298&gt;=Settings!$B$20)," Stale","")))</f>
        <v/>
      </c>
    </row>
    <row r="299">
      <c r="A299" s="16">
        <f>IF(Deals!$A251="","",Deals!$A251)</f>
        <v/>
      </c>
      <c r="B299" s="16">
        <f>IF($A299="","",Deals!$C251)</f>
        <v/>
      </c>
      <c r="C299" s="16">
        <f>IF($A299="","",Deals!$F251)</f>
        <v/>
      </c>
      <c r="D299" s="21">
        <f>IF($A299="","",Deals!$H251)</f>
        <v/>
      </c>
      <c r="E299" s="17">
        <f>IF($A299="","",Deals!$Q251)</f>
        <v/>
      </c>
      <c r="F299" s="16">
        <f>IF($A299="","",IF(AND(Deals!$I251&lt;&gt;"",Deals!$J251&lt;&gt;""),"Yes","No"))</f>
        <v/>
      </c>
      <c r="G299" s="22">
        <f>IF($A299="","",Deals!$Z251)</f>
        <v/>
      </c>
      <c r="H299" s="23">
        <f>IF(OR($A299="",$G299=""),"",INT((Settings!$B$19-$G299)/7))</f>
        <v/>
      </c>
      <c r="I299" s="24">
        <f>IF(OR($A299="",NOT(OR(Deals!$F251="Active",Deals!$F251="Proposal"))),"",TRIM(IF($E299=0," Unstaffed","")&amp;IF(IF(Deals!$U251="",FALSE,OR(AND(IFERROR(INDEX(Templates!$B$3:$B$10,MATCH(Deals!$U251,Templates!$A$3:$A$10,0)),0)&gt;0,COUNTIFS(Assignments!$C$2:$C$769,$A299,Assignments!$F$2:$F$769,"Partner",Assignments!$G$2:$G$769,"Active")=0),AND(IFERROR(INDEX(Templates!$C$3:$C$10,MATCH(Deals!$U251,Templates!$A$3:$A$10,0)),0)&gt;0,COUNTIFS(Assignments!$C$2:$C$769,$A299,Assignments!$F$2:$F$769,"MD",Assignments!$G$2:$G$769,"Active")=0),AND(IFERROR(INDEX(Templates!$D$3:$D$10,MATCH(Deals!$U251,Templates!$A$3:$A$10,0)),0)&gt;0,COUNTIFS(Assignments!$C$2:$C$769,$A299,Assignments!$F$2:$F$769,"Director",Assignments!$G$2:$G$769,"Active")=0),AND(IFERROR(INDEX(Templates!$E$3:$E$10,MATCH(Deals!$U251,Templates!$A$3:$A$10,0)),0)&gt;0,COUNTIFS(Assignments!$C$2:$C$769,$A299,Assignments!$F$2:$F$769,"VP",Assignments!$G$2:$G$769,"Active")=0),AND(IFERROR(INDEX(Templates!$F$3:$F$10,MATCH(Deals!$U251,Templates!$A$3:$A$10,0)),0)&gt;0,COUNTIFS(Assignments!$C$2:$C$769,$A299,Assignments!$F$2:$F$769,"Senior Associate",Assignments!$G$2:$G$769,"Active")=0),AND(IFERROR(INDEX(Templates!$G$3:$G$10,MATCH(Deals!$U251,Templates!$A$3:$A$10,0)),0)&gt;0,COUNTIFS(Assignments!$C$2:$C$769,$A299,Assignments!$F$2:$F$769,"Renewable Specialist",Assignments!$G$2:$G$769,"Active")=0),AND(IFERROR(INDEX(Templates!$H$3:$H$10,MATCH(Deals!$U251,Templates!$A$3:$A$10,0)),0)&gt;0,COUNTIFS(Assignments!$C$2:$C$769,$A299,Assignments!$F$2:$F$769,"Associate",Assignments!$G$2:$G$769,"Active")=0)))," MissingLevel","")&amp;IF(AND($C299="Proposal",Deals!$H251=0.5)," DefaultProbability","")&amp;IF($F299="No"," NoDates","")&amp;IF(AND(ISNUMBER($H299),$H299&gt;=Settings!$B$20)," Stale","")))</f>
        <v/>
      </c>
    </row>
    <row r="300">
      <c r="A300" s="16">
        <f>IF(Deals!$A252="","",Deals!$A252)</f>
        <v/>
      </c>
      <c r="B300" s="16">
        <f>IF($A300="","",Deals!$C252)</f>
        <v/>
      </c>
      <c r="C300" s="16">
        <f>IF($A300="","",Deals!$F252)</f>
        <v/>
      </c>
      <c r="D300" s="21">
        <f>IF($A300="","",Deals!$H252)</f>
        <v/>
      </c>
      <c r="E300" s="17">
        <f>IF($A300="","",Deals!$Q252)</f>
        <v/>
      </c>
      <c r="F300" s="16">
        <f>IF($A300="","",IF(AND(Deals!$I252&lt;&gt;"",Deals!$J252&lt;&gt;""),"Yes","No"))</f>
        <v/>
      </c>
      <c r="G300" s="22">
        <f>IF($A300="","",Deals!$Z252)</f>
        <v/>
      </c>
      <c r="H300" s="23">
        <f>IF(OR($A300="",$G300=""),"",INT((Settings!$B$19-$G300)/7))</f>
        <v/>
      </c>
      <c r="I300" s="24">
        <f>IF(OR($A300="",NOT(OR(Deals!$F252="Active",Deals!$F252="Proposal"))),"",TRIM(IF($E300=0," Unstaffed","")&amp;IF(IF(Deals!$U252="",FALSE,OR(AND(IFERROR(INDEX(Templates!$B$3:$B$10,MATCH(Deals!$U252,Templates!$A$3:$A$10,0)),0)&gt;0,COUNTIFS(Assignments!$C$2:$C$769,$A300,Assignments!$F$2:$F$769,"Partner",Assignments!$G$2:$G$769,"Active")=0),AND(IFERROR(INDEX(Templates!$C$3:$C$10,MATCH(Deals!$U252,Templates!$A$3:$A$10,0)),0)&gt;0,COUNTIFS(Assignments!$C$2:$C$769,$A300,Assignments!$F$2:$F$769,"MD",Assignments!$G$2:$G$769,"Active")=0),AND(IFERROR(INDEX(Templates!$D$3:$D$10,MATCH(Deals!$U252,Templates!$A$3:$A$10,0)),0)&gt;0,COUNTIFS(Assignments!$C$2:$C$769,$A300,Assignments!$F$2:$F$769,"Director",Assignments!$G$2:$G$769,"Active")=0),AND(IFERROR(INDEX(Templates!$E$3:$E$10,MATCH(Deals!$U252,Templates!$A$3:$A$10,0)),0)&gt;0,COUNTIFS(Assignments!$C$2:$C$769,$A300,Assignments!$F$2:$F$769,"VP",Assignments!$G$2:$G$769,"Active")=0),AND(IFERROR(INDEX(Templates!$F$3:$F$10,MATCH(Deals!$U252,Templates!$A$3:$A$10,0)),0)&gt;0,COUNTIFS(Assignments!$C$2:$C$769,$A300,Assignments!$F$2:$F$769,"Senior Associate",Assignments!$G$2:$G$769,"Active")=0),AND(IFERROR(INDEX(Templates!$G$3:$G$10,MATCH(Deals!$U252,Templates!$A$3:$A$10,0)),0)&gt;0,COUNTIFS(Assignments!$C$2:$C$769,$A300,Assignments!$F$2:$F$769,"Renewable Specialist",Assignments!$G$2:$G$769,"Active")=0),AND(IFERROR(INDEX(Templates!$H$3:$H$10,MATCH(Deals!$U252,Templates!$A$3:$A$10,0)),0)&gt;0,COUNTIFS(Assignments!$C$2:$C$769,$A300,Assignments!$F$2:$F$769,"Associate",Assignments!$G$2:$G$769,"Active")=0)))," MissingLevel","")&amp;IF(AND($C300="Proposal",Deals!$H252=0.5)," DefaultProbability","")&amp;IF($F300="No"," NoDates","")&amp;IF(AND(ISNUMBER($H300),$H300&gt;=Settings!$B$20)," Stale","")))</f>
        <v/>
      </c>
    </row>
    <row r="301">
      <c r="A301" s="16">
        <f>IF(Deals!$A253="","",Deals!$A253)</f>
        <v/>
      </c>
      <c r="B301" s="16">
        <f>IF($A301="","",Deals!$C253)</f>
        <v/>
      </c>
      <c r="C301" s="16">
        <f>IF($A301="","",Deals!$F253)</f>
        <v/>
      </c>
      <c r="D301" s="21">
        <f>IF($A301="","",Deals!$H253)</f>
        <v/>
      </c>
      <c r="E301" s="17">
        <f>IF($A301="","",Deals!$Q253)</f>
        <v/>
      </c>
      <c r="F301" s="16">
        <f>IF($A301="","",IF(AND(Deals!$I253&lt;&gt;"",Deals!$J253&lt;&gt;""),"Yes","No"))</f>
        <v/>
      </c>
      <c r="G301" s="22">
        <f>IF($A301="","",Deals!$Z253)</f>
        <v/>
      </c>
      <c r="H301" s="23">
        <f>IF(OR($A301="",$G301=""),"",INT((Settings!$B$19-$G301)/7))</f>
        <v/>
      </c>
      <c r="I301" s="24">
        <f>IF(OR($A301="",NOT(OR(Deals!$F253="Active",Deals!$F253="Proposal"))),"",TRIM(IF($E301=0," Unstaffed","")&amp;IF(IF(Deals!$U253="",FALSE,OR(AND(IFERROR(INDEX(Templates!$B$3:$B$10,MATCH(Deals!$U253,Templates!$A$3:$A$10,0)),0)&gt;0,COUNTIFS(Assignments!$C$2:$C$769,$A301,Assignments!$F$2:$F$769,"Partner",Assignments!$G$2:$G$769,"Active")=0),AND(IFERROR(INDEX(Templates!$C$3:$C$10,MATCH(Deals!$U253,Templates!$A$3:$A$10,0)),0)&gt;0,COUNTIFS(Assignments!$C$2:$C$769,$A301,Assignments!$F$2:$F$769,"MD",Assignments!$G$2:$G$769,"Active")=0),AND(IFERROR(INDEX(Templates!$D$3:$D$10,MATCH(Deals!$U253,Templates!$A$3:$A$10,0)),0)&gt;0,COUNTIFS(Assignments!$C$2:$C$769,$A301,Assignments!$F$2:$F$769,"Director",Assignments!$G$2:$G$769,"Active")=0),AND(IFERROR(INDEX(Templates!$E$3:$E$10,MATCH(Deals!$U253,Templates!$A$3:$A$10,0)),0)&gt;0,COUNTIFS(Assignments!$C$2:$C$769,$A301,Assignments!$F$2:$F$769,"VP",Assignments!$G$2:$G$769,"Active")=0),AND(IFERROR(INDEX(Templates!$F$3:$F$10,MATCH(Deals!$U253,Templates!$A$3:$A$10,0)),0)&gt;0,COUNTIFS(Assignments!$C$2:$C$769,$A301,Assignments!$F$2:$F$769,"Senior Associate",Assignments!$G$2:$G$769,"Active")=0),AND(IFERROR(INDEX(Templates!$G$3:$G$10,MATCH(Deals!$U253,Templates!$A$3:$A$10,0)),0)&gt;0,COUNTIFS(Assignments!$C$2:$C$769,$A301,Assignments!$F$2:$F$769,"Renewable Specialist",Assignments!$G$2:$G$769,"Active")=0),AND(IFERROR(INDEX(Templates!$H$3:$H$10,MATCH(Deals!$U253,Templates!$A$3:$A$10,0)),0)&gt;0,COUNTIFS(Assignments!$C$2:$C$769,$A301,Assignments!$F$2:$F$769,"Associate",Assignments!$G$2:$G$769,"Active")=0)))," MissingLevel","")&amp;IF(AND($C301="Proposal",Deals!$H253=0.5)," DefaultProbability","")&amp;IF($F301="No"," NoDates","")&amp;IF(AND(ISNUMBER($H301),$H301&gt;=Settings!$B$20)," Stale","")))</f>
        <v/>
      </c>
    </row>
    <row r="302">
      <c r="A302" s="16">
        <f>IF(Deals!$A254="","",Deals!$A254)</f>
        <v/>
      </c>
      <c r="B302" s="16">
        <f>IF($A302="","",Deals!$C254)</f>
        <v/>
      </c>
      <c r="C302" s="16">
        <f>IF($A302="","",Deals!$F254)</f>
        <v/>
      </c>
      <c r="D302" s="21">
        <f>IF($A302="","",Deals!$H254)</f>
        <v/>
      </c>
      <c r="E302" s="17">
        <f>IF($A302="","",Deals!$Q254)</f>
        <v/>
      </c>
      <c r="F302" s="16">
        <f>IF($A302="","",IF(AND(Deals!$I254&lt;&gt;"",Deals!$J254&lt;&gt;""),"Yes","No"))</f>
        <v/>
      </c>
      <c r="G302" s="22">
        <f>IF($A302="","",Deals!$Z254)</f>
        <v/>
      </c>
      <c r="H302" s="23">
        <f>IF(OR($A302="",$G302=""),"",INT((Settings!$B$19-$G302)/7))</f>
        <v/>
      </c>
      <c r="I302" s="24">
        <f>IF(OR($A302="",NOT(OR(Deals!$F254="Active",Deals!$F254="Proposal"))),"",TRIM(IF($E302=0," Unstaffed","")&amp;IF(IF(Deals!$U254="",FALSE,OR(AND(IFERROR(INDEX(Templates!$B$3:$B$10,MATCH(Deals!$U254,Templates!$A$3:$A$10,0)),0)&gt;0,COUNTIFS(Assignments!$C$2:$C$769,$A302,Assignments!$F$2:$F$769,"Partner",Assignments!$G$2:$G$769,"Active")=0),AND(IFERROR(INDEX(Templates!$C$3:$C$10,MATCH(Deals!$U254,Templates!$A$3:$A$10,0)),0)&gt;0,COUNTIFS(Assignments!$C$2:$C$769,$A302,Assignments!$F$2:$F$769,"MD",Assignments!$G$2:$G$769,"Active")=0),AND(IFERROR(INDEX(Templates!$D$3:$D$10,MATCH(Deals!$U254,Templates!$A$3:$A$10,0)),0)&gt;0,COUNTIFS(Assignments!$C$2:$C$769,$A302,Assignments!$F$2:$F$769,"Director",Assignments!$G$2:$G$769,"Active")=0),AND(IFERROR(INDEX(Templates!$E$3:$E$10,MATCH(Deals!$U254,Templates!$A$3:$A$10,0)),0)&gt;0,COUNTIFS(Assignments!$C$2:$C$769,$A302,Assignments!$F$2:$F$769,"VP",Assignments!$G$2:$G$769,"Active")=0),AND(IFERROR(INDEX(Templates!$F$3:$F$10,MATCH(Deals!$U254,Templates!$A$3:$A$10,0)),0)&gt;0,COUNTIFS(Assignments!$C$2:$C$769,$A302,Assignments!$F$2:$F$769,"Senior Associate",Assignments!$G$2:$G$769,"Active")=0),AND(IFERROR(INDEX(Templates!$G$3:$G$10,MATCH(Deals!$U254,Templates!$A$3:$A$10,0)),0)&gt;0,COUNTIFS(Assignments!$C$2:$C$769,$A302,Assignments!$F$2:$F$769,"Renewable Specialist",Assignments!$G$2:$G$769,"Active")=0),AND(IFERROR(INDEX(Templates!$H$3:$H$10,MATCH(Deals!$U254,Templates!$A$3:$A$10,0)),0)&gt;0,COUNTIFS(Assignments!$C$2:$C$769,$A302,Assignments!$F$2:$F$769,"Associate",Assignments!$G$2:$G$769,"Active")=0)))," MissingLevel","")&amp;IF(AND($C302="Proposal",Deals!$H254=0.5)," DefaultProbability","")&amp;IF($F302="No"," NoDates","")&amp;IF(AND(ISNUMBER($H302),$H302&gt;=Settings!$B$20)," Stale","")))</f>
        <v/>
      </c>
    </row>
    <row r="303">
      <c r="A303" s="16">
        <f>IF(Deals!$A255="","",Deals!$A255)</f>
        <v/>
      </c>
      <c r="B303" s="16">
        <f>IF($A303="","",Deals!$C255)</f>
        <v/>
      </c>
      <c r="C303" s="16">
        <f>IF($A303="","",Deals!$F255)</f>
        <v/>
      </c>
      <c r="D303" s="21">
        <f>IF($A303="","",Deals!$H255)</f>
        <v/>
      </c>
      <c r="E303" s="17">
        <f>IF($A303="","",Deals!$Q255)</f>
        <v/>
      </c>
      <c r="F303" s="16">
        <f>IF($A303="","",IF(AND(Deals!$I255&lt;&gt;"",Deals!$J255&lt;&gt;""),"Yes","No"))</f>
        <v/>
      </c>
      <c r="G303" s="22">
        <f>IF($A303="","",Deals!$Z255)</f>
        <v/>
      </c>
      <c r="H303" s="23">
        <f>IF(OR($A303="",$G303=""),"",INT((Settings!$B$19-$G303)/7))</f>
        <v/>
      </c>
      <c r="I303" s="24">
        <f>IF(OR($A303="",NOT(OR(Deals!$F255="Active",Deals!$F255="Proposal"))),"",TRIM(IF($E303=0," Unstaffed","")&amp;IF(IF(Deals!$U255="",FALSE,OR(AND(IFERROR(INDEX(Templates!$B$3:$B$10,MATCH(Deals!$U255,Templates!$A$3:$A$10,0)),0)&gt;0,COUNTIFS(Assignments!$C$2:$C$769,$A303,Assignments!$F$2:$F$769,"Partner",Assignments!$G$2:$G$769,"Active")=0),AND(IFERROR(INDEX(Templates!$C$3:$C$10,MATCH(Deals!$U255,Templates!$A$3:$A$10,0)),0)&gt;0,COUNTIFS(Assignments!$C$2:$C$769,$A303,Assignments!$F$2:$F$769,"MD",Assignments!$G$2:$G$769,"Active")=0),AND(IFERROR(INDEX(Templates!$D$3:$D$10,MATCH(Deals!$U255,Templates!$A$3:$A$10,0)),0)&gt;0,COUNTIFS(Assignments!$C$2:$C$769,$A303,Assignments!$F$2:$F$769,"Director",Assignments!$G$2:$G$769,"Active")=0),AND(IFERROR(INDEX(Templates!$E$3:$E$10,MATCH(Deals!$U255,Templates!$A$3:$A$10,0)),0)&gt;0,COUNTIFS(Assignments!$C$2:$C$769,$A303,Assignments!$F$2:$F$769,"VP",Assignments!$G$2:$G$769,"Active")=0),AND(IFERROR(INDEX(Templates!$F$3:$F$10,MATCH(Deals!$U255,Templates!$A$3:$A$10,0)),0)&gt;0,COUNTIFS(Assignments!$C$2:$C$769,$A303,Assignments!$F$2:$F$769,"Senior Associate",Assignments!$G$2:$G$769,"Active")=0),AND(IFERROR(INDEX(Templates!$G$3:$G$10,MATCH(Deals!$U255,Templates!$A$3:$A$10,0)),0)&gt;0,COUNTIFS(Assignments!$C$2:$C$769,$A303,Assignments!$F$2:$F$769,"Renewable Specialist",Assignments!$G$2:$G$769,"Active")=0),AND(IFERROR(INDEX(Templates!$H$3:$H$10,MATCH(Deals!$U255,Templates!$A$3:$A$10,0)),0)&gt;0,COUNTIFS(Assignments!$C$2:$C$769,$A303,Assignments!$F$2:$F$769,"Associate",Assignments!$G$2:$G$769,"Active")=0)))," MissingLevel","")&amp;IF(AND($C303="Proposal",Deals!$H255=0.5)," DefaultProbability","")&amp;IF($F303="No"," NoDates","")&amp;IF(AND(ISNUMBER($H303),$H303&gt;=Settings!$B$20)," Stale","")))</f>
        <v/>
      </c>
    </row>
    <row r="304">
      <c r="A304" s="16">
        <f>IF(Deals!$A256="","",Deals!$A256)</f>
        <v/>
      </c>
      <c r="B304" s="16">
        <f>IF($A304="","",Deals!$C256)</f>
        <v/>
      </c>
      <c r="C304" s="16">
        <f>IF($A304="","",Deals!$F256)</f>
        <v/>
      </c>
      <c r="D304" s="21">
        <f>IF($A304="","",Deals!$H256)</f>
        <v/>
      </c>
      <c r="E304" s="17">
        <f>IF($A304="","",Deals!$Q256)</f>
        <v/>
      </c>
      <c r="F304" s="16">
        <f>IF($A304="","",IF(AND(Deals!$I256&lt;&gt;"",Deals!$J256&lt;&gt;""),"Yes","No"))</f>
        <v/>
      </c>
      <c r="G304" s="22">
        <f>IF($A304="","",Deals!$Z256)</f>
        <v/>
      </c>
      <c r="H304" s="23">
        <f>IF(OR($A304="",$G304=""),"",INT((Settings!$B$19-$G304)/7))</f>
        <v/>
      </c>
      <c r="I304" s="24">
        <f>IF(OR($A304="",NOT(OR(Deals!$F256="Active",Deals!$F256="Proposal"))),"",TRIM(IF($E304=0," Unstaffed","")&amp;IF(IF(Deals!$U256="",FALSE,OR(AND(IFERROR(INDEX(Templates!$B$3:$B$10,MATCH(Deals!$U256,Templates!$A$3:$A$10,0)),0)&gt;0,COUNTIFS(Assignments!$C$2:$C$769,$A304,Assignments!$F$2:$F$769,"Partner",Assignments!$G$2:$G$769,"Active")=0),AND(IFERROR(INDEX(Templates!$C$3:$C$10,MATCH(Deals!$U256,Templates!$A$3:$A$10,0)),0)&gt;0,COUNTIFS(Assignments!$C$2:$C$769,$A304,Assignments!$F$2:$F$769,"MD",Assignments!$G$2:$G$769,"Active")=0),AND(IFERROR(INDEX(Templates!$D$3:$D$10,MATCH(Deals!$U256,Templates!$A$3:$A$10,0)),0)&gt;0,COUNTIFS(Assignments!$C$2:$C$769,$A304,Assignments!$F$2:$F$769,"Director",Assignments!$G$2:$G$769,"Active")=0),AND(IFERROR(INDEX(Templates!$E$3:$E$10,MATCH(Deals!$U256,Templates!$A$3:$A$10,0)),0)&gt;0,COUNTIFS(Assignments!$C$2:$C$769,$A304,Assignments!$F$2:$F$769,"VP",Assignments!$G$2:$G$769,"Active")=0),AND(IFERROR(INDEX(Templates!$F$3:$F$10,MATCH(Deals!$U256,Templates!$A$3:$A$10,0)),0)&gt;0,COUNTIFS(Assignments!$C$2:$C$769,$A304,Assignments!$F$2:$F$769,"Senior Associate",Assignments!$G$2:$G$769,"Active")=0),AND(IFERROR(INDEX(Templates!$G$3:$G$10,MATCH(Deals!$U256,Templates!$A$3:$A$10,0)),0)&gt;0,COUNTIFS(Assignments!$C$2:$C$769,$A304,Assignments!$F$2:$F$769,"Renewable Specialist",Assignments!$G$2:$G$769,"Active")=0),AND(IFERROR(INDEX(Templates!$H$3:$H$10,MATCH(Deals!$U256,Templates!$A$3:$A$10,0)),0)&gt;0,COUNTIFS(Assignments!$C$2:$C$769,$A304,Assignments!$F$2:$F$769,"Associate",Assignments!$G$2:$G$769,"Active")=0)))," MissingLevel","")&amp;IF(AND($C304="Proposal",Deals!$H256=0.5)," DefaultProbability","")&amp;IF($F304="No"," NoDates","")&amp;IF(AND(ISNUMBER($H304),$H304&gt;=Settings!$B$20)," Stale","")))</f>
        <v/>
      </c>
    </row>
    <row r="305">
      <c r="A305" s="16">
        <f>IF(Deals!$A257="","",Deals!$A257)</f>
        <v/>
      </c>
      <c r="B305" s="16">
        <f>IF($A305="","",Deals!$C257)</f>
        <v/>
      </c>
      <c r="C305" s="16">
        <f>IF($A305="","",Deals!$F257)</f>
        <v/>
      </c>
      <c r="D305" s="21">
        <f>IF($A305="","",Deals!$H257)</f>
        <v/>
      </c>
      <c r="E305" s="17">
        <f>IF($A305="","",Deals!$Q257)</f>
        <v/>
      </c>
      <c r="F305" s="16">
        <f>IF($A305="","",IF(AND(Deals!$I257&lt;&gt;"",Deals!$J257&lt;&gt;""),"Yes","No"))</f>
        <v/>
      </c>
      <c r="G305" s="22">
        <f>IF($A305="","",Deals!$Z257)</f>
        <v/>
      </c>
      <c r="H305" s="23">
        <f>IF(OR($A305="",$G305=""),"",INT((Settings!$B$19-$G305)/7))</f>
        <v/>
      </c>
      <c r="I305" s="24">
        <f>IF(OR($A305="",NOT(OR(Deals!$F257="Active",Deals!$F257="Proposal"))),"",TRIM(IF($E305=0," Unstaffed","")&amp;IF(IF(Deals!$U257="",FALSE,OR(AND(IFERROR(INDEX(Templates!$B$3:$B$10,MATCH(Deals!$U257,Templates!$A$3:$A$10,0)),0)&gt;0,COUNTIFS(Assignments!$C$2:$C$769,$A305,Assignments!$F$2:$F$769,"Partner",Assignments!$G$2:$G$769,"Active")=0),AND(IFERROR(INDEX(Templates!$C$3:$C$10,MATCH(Deals!$U257,Templates!$A$3:$A$10,0)),0)&gt;0,COUNTIFS(Assignments!$C$2:$C$769,$A305,Assignments!$F$2:$F$769,"MD",Assignments!$G$2:$G$769,"Active")=0),AND(IFERROR(INDEX(Templates!$D$3:$D$10,MATCH(Deals!$U257,Templates!$A$3:$A$10,0)),0)&gt;0,COUNTIFS(Assignments!$C$2:$C$769,$A305,Assignments!$F$2:$F$769,"Director",Assignments!$G$2:$G$769,"Active")=0),AND(IFERROR(INDEX(Templates!$E$3:$E$10,MATCH(Deals!$U257,Templates!$A$3:$A$10,0)),0)&gt;0,COUNTIFS(Assignments!$C$2:$C$769,$A305,Assignments!$F$2:$F$769,"VP",Assignments!$G$2:$G$769,"Active")=0),AND(IFERROR(INDEX(Templates!$F$3:$F$10,MATCH(Deals!$U257,Templates!$A$3:$A$10,0)),0)&gt;0,COUNTIFS(Assignments!$C$2:$C$769,$A305,Assignments!$F$2:$F$769,"Senior Associate",Assignments!$G$2:$G$769,"Active")=0),AND(IFERROR(INDEX(Templates!$G$3:$G$10,MATCH(Deals!$U257,Templates!$A$3:$A$10,0)),0)&gt;0,COUNTIFS(Assignments!$C$2:$C$769,$A305,Assignments!$F$2:$F$769,"Renewable Specialist",Assignments!$G$2:$G$769,"Active")=0),AND(IFERROR(INDEX(Templates!$H$3:$H$10,MATCH(Deals!$U257,Templates!$A$3:$A$10,0)),0)&gt;0,COUNTIFS(Assignments!$C$2:$C$769,$A305,Assignments!$F$2:$F$769,"Associate",Assignments!$G$2:$G$769,"Active")=0)))," MissingLevel","")&amp;IF(AND($C305="Proposal",Deals!$H257=0.5)," DefaultProbability","")&amp;IF($F305="No"," NoDates","")&amp;IF(AND(ISNUMBER($H305),$H305&gt;=Settings!$B$20)," Stale","")))</f>
        <v/>
      </c>
    </row>
    <row r="306">
      <c r="A306" s="16">
        <f>IF(Deals!$A258="","",Deals!$A258)</f>
        <v/>
      </c>
      <c r="B306" s="16">
        <f>IF($A306="","",Deals!$C258)</f>
        <v/>
      </c>
      <c r="C306" s="16">
        <f>IF($A306="","",Deals!$F258)</f>
        <v/>
      </c>
      <c r="D306" s="21">
        <f>IF($A306="","",Deals!$H258)</f>
        <v/>
      </c>
      <c r="E306" s="17">
        <f>IF($A306="","",Deals!$Q258)</f>
        <v/>
      </c>
      <c r="F306" s="16">
        <f>IF($A306="","",IF(AND(Deals!$I258&lt;&gt;"",Deals!$J258&lt;&gt;""),"Yes","No"))</f>
        <v/>
      </c>
      <c r="G306" s="22">
        <f>IF($A306="","",Deals!$Z258)</f>
        <v/>
      </c>
      <c r="H306" s="23">
        <f>IF(OR($A306="",$G306=""),"",INT((Settings!$B$19-$G306)/7))</f>
        <v/>
      </c>
      <c r="I306" s="24">
        <f>IF(OR($A306="",NOT(OR(Deals!$F258="Active",Deals!$F258="Proposal"))),"",TRIM(IF($E306=0," Unstaffed","")&amp;IF(IF(Deals!$U258="",FALSE,OR(AND(IFERROR(INDEX(Templates!$B$3:$B$10,MATCH(Deals!$U258,Templates!$A$3:$A$10,0)),0)&gt;0,COUNTIFS(Assignments!$C$2:$C$769,$A306,Assignments!$F$2:$F$769,"Partner",Assignments!$G$2:$G$769,"Active")=0),AND(IFERROR(INDEX(Templates!$C$3:$C$10,MATCH(Deals!$U258,Templates!$A$3:$A$10,0)),0)&gt;0,COUNTIFS(Assignments!$C$2:$C$769,$A306,Assignments!$F$2:$F$769,"MD",Assignments!$G$2:$G$769,"Active")=0),AND(IFERROR(INDEX(Templates!$D$3:$D$10,MATCH(Deals!$U258,Templates!$A$3:$A$10,0)),0)&gt;0,COUNTIFS(Assignments!$C$2:$C$769,$A306,Assignments!$F$2:$F$769,"Director",Assignments!$G$2:$G$769,"Active")=0),AND(IFERROR(INDEX(Templates!$E$3:$E$10,MATCH(Deals!$U258,Templates!$A$3:$A$10,0)),0)&gt;0,COUNTIFS(Assignments!$C$2:$C$769,$A306,Assignments!$F$2:$F$769,"VP",Assignments!$G$2:$G$769,"Active")=0),AND(IFERROR(INDEX(Templates!$F$3:$F$10,MATCH(Deals!$U258,Templates!$A$3:$A$10,0)),0)&gt;0,COUNTIFS(Assignments!$C$2:$C$769,$A306,Assignments!$F$2:$F$769,"Senior Associate",Assignments!$G$2:$G$769,"Active")=0),AND(IFERROR(INDEX(Templates!$G$3:$G$10,MATCH(Deals!$U258,Templates!$A$3:$A$10,0)),0)&gt;0,COUNTIFS(Assignments!$C$2:$C$769,$A306,Assignments!$F$2:$F$769,"Renewable Specialist",Assignments!$G$2:$G$769,"Active")=0),AND(IFERROR(INDEX(Templates!$H$3:$H$10,MATCH(Deals!$U258,Templates!$A$3:$A$10,0)),0)&gt;0,COUNTIFS(Assignments!$C$2:$C$769,$A306,Assignments!$F$2:$F$769,"Associate",Assignments!$G$2:$G$769,"Active")=0)))," MissingLevel","")&amp;IF(AND($C306="Proposal",Deals!$H258=0.5)," DefaultProbability","")&amp;IF($F306="No"," NoDates","")&amp;IF(AND(ISNUMBER($H306),$H306&gt;=Settings!$B$20)," Stale","")))</f>
        <v/>
      </c>
    </row>
    <row r="307">
      <c r="A307" s="16">
        <f>IF(Deals!$A259="","",Deals!$A259)</f>
        <v/>
      </c>
      <c r="B307" s="16">
        <f>IF($A307="","",Deals!$C259)</f>
        <v/>
      </c>
      <c r="C307" s="16">
        <f>IF($A307="","",Deals!$F259)</f>
        <v/>
      </c>
      <c r="D307" s="21">
        <f>IF($A307="","",Deals!$H259)</f>
        <v/>
      </c>
      <c r="E307" s="17">
        <f>IF($A307="","",Deals!$Q259)</f>
        <v/>
      </c>
      <c r="F307" s="16">
        <f>IF($A307="","",IF(AND(Deals!$I259&lt;&gt;"",Deals!$J259&lt;&gt;""),"Yes","No"))</f>
        <v/>
      </c>
      <c r="G307" s="22">
        <f>IF($A307="","",Deals!$Z259)</f>
        <v/>
      </c>
      <c r="H307" s="23">
        <f>IF(OR($A307="",$G307=""),"",INT((Settings!$B$19-$G307)/7))</f>
        <v/>
      </c>
      <c r="I307" s="24">
        <f>IF(OR($A307="",NOT(OR(Deals!$F259="Active",Deals!$F259="Proposal"))),"",TRIM(IF($E307=0," Unstaffed","")&amp;IF(IF(Deals!$U259="",FALSE,OR(AND(IFERROR(INDEX(Templates!$B$3:$B$10,MATCH(Deals!$U259,Templates!$A$3:$A$10,0)),0)&gt;0,COUNTIFS(Assignments!$C$2:$C$769,$A307,Assignments!$F$2:$F$769,"Partner",Assignments!$G$2:$G$769,"Active")=0),AND(IFERROR(INDEX(Templates!$C$3:$C$10,MATCH(Deals!$U259,Templates!$A$3:$A$10,0)),0)&gt;0,COUNTIFS(Assignments!$C$2:$C$769,$A307,Assignments!$F$2:$F$769,"MD",Assignments!$G$2:$G$769,"Active")=0),AND(IFERROR(INDEX(Templates!$D$3:$D$10,MATCH(Deals!$U259,Templates!$A$3:$A$10,0)),0)&gt;0,COUNTIFS(Assignments!$C$2:$C$769,$A307,Assignments!$F$2:$F$769,"Director",Assignments!$G$2:$G$769,"Active")=0),AND(IFERROR(INDEX(Templates!$E$3:$E$10,MATCH(Deals!$U259,Templates!$A$3:$A$10,0)),0)&gt;0,COUNTIFS(Assignments!$C$2:$C$769,$A307,Assignments!$F$2:$F$769,"VP",Assignments!$G$2:$G$769,"Active")=0),AND(IFERROR(INDEX(Templates!$F$3:$F$10,MATCH(Deals!$U259,Templates!$A$3:$A$10,0)),0)&gt;0,COUNTIFS(Assignments!$C$2:$C$769,$A307,Assignments!$F$2:$F$769,"Senior Associate",Assignments!$G$2:$G$769,"Active")=0),AND(IFERROR(INDEX(Templates!$G$3:$G$10,MATCH(Deals!$U259,Templates!$A$3:$A$10,0)),0)&gt;0,COUNTIFS(Assignments!$C$2:$C$769,$A307,Assignments!$F$2:$F$769,"Renewable Specialist",Assignments!$G$2:$G$769,"Active")=0),AND(IFERROR(INDEX(Templates!$H$3:$H$10,MATCH(Deals!$U259,Templates!$A$3:$A$10,0)),0)&gt;0,COUNTIFS(Assignments!$C$2:$C$769,$A307,Assignments!$F$2:$F$769,"Associate",Assignments!$G$2:$G$769,"Active")=0)))," MissingLevel","")&amp;IF(AND($C307="Proposal",Deals!$H259=0.5)," DefaultProbability","")&amp;IF($F307="No"," NoDates","")&amp;IF(AND(ISNUMBER($H307),$H307&gt;=Settings!$B$20)," Stale","")))</f>
        <v/>
      </c>
    </row>
    <row r="308">
      <c r="A308" s="16">
        <f>IF(Deals!$A260="","",Deals!$A260)</f>
        <v/>
      </c>
      <c r="B308" s="16">
        <f>IF($A308="","",Deals!$C260)</f>
        <v/>
      </c>
      <c r="C308" s="16">
        <f>IF($A308="","",Deals!$F260)</f>
        <v/>
      </c>
      <c r="D308" s="21">
        <f>IF($A308="","",Deals!$H260)</f>
        <v/>
      </c>
      <c r="E308" s="17">
        <f>IF($A308="","",Deals!$Q260)</f>
        <v/>
      </c>
      <c r="F308" s="16">
        <f>IF($A308="","",IF(AND(Deals!$I260&lt;&gt;"",Deals!$J260&lt;&gt;""),"Yes","No"))</f>
        <v/>
      </c>
      <c r="G308" s="22">
        <f>IF($A308="","",Deals!$Z260)</f>
        <v/>
      </c>
      <c r="H308" s="23">
        <f>IF(OR($A308="",$G308=""),"",INT((Settings!$B$19-$G308)/7))</f>
        <v/>
      </c>
      <c r="I308" s="24">
        <f>IF(OR($A308="",NOT(OR(Deals!$F260="Active",Deals!$F260="Proposal"))),"",TRIM(IF($E308=0," Unstaffed","")&amp;IF(IF(Deals!$U260="",FALSE,OR(AND(IFERROR(INDEX(Templates!$B$3:$B$10,MATCH(Deals!$U260,Templates!$A$3:$A$10,0)),0)&gt;0,COUNTIFS(Assignments!$C$2:$C$769,$A308,Assignments!$F$2:$F$769,"Partner",Assignments!$G$2:$G$769,"Active")=0),AND(IFERROR(INDEX(Templates!$C$3:$C$10,MATCH(Deals!$U260,Templates!$A$3:$A$10,0)),0)&gt;0,COUNTIFS(Assignments!$C$2:$C$769,$A308,Assignments!$F$2:$F$769,"MD",Assignments!$G$2:$G$769,"Active")=0),AND(IFERROR(INDEX(Templates!$D$3:$D$10,MATCH(Deals!$U260,Templates!$A$3:$A$10,0)),0)&gt;0,COUNTIFS(Assignments!$C$2:$C$769,$A308,Assignments!$F$2:$F$769,"Director",Assignments!$G$2:$G$769,"Active")=0),AND(IFERROR(INDEX(Templates!$E$3:$E$10,MATCH(Deals!$U260,Templates!$A$3:$A$10,0)),0)&gt;0,COUNTIFS(Assignments!$C$2:$C$769,$A308,Assignments!$F$2:$F$769,"VP",Assignments!$G$2:$G$769,"Active")=0),AND(IFERROR(INDEX(Templates!$F$3:$F$10,MATCH(Deals!$U260,Templates!$A$3:$A$10,0)),0)&gt;0,COUNTIFS(Assignments!$C$2:$C$769,$A308,Assignments!$F$2:$F$769,"Senior Associate",Assignments!$G$2:$G$769,"Active")=0),AND(IFERROR(INDEX(Templates!$G$3:$G$10,MATCH(Deals!$U260,Templates!$A$3:$A$10,0)),0)&gt;0,COUNTIFS(Assignments!$C$2:$C$769,$A308,Assignments!$F$2:$F$769,"Renewable Specialist",Assignments!$G$2:$G$769,"Active")=0),AND(IFERROR(INDEX(Templates!$H$3:$H$10,MATCH(Deals!$U260,Templates!$A$3:$A$10,0)),0)&gt;0,COUNTIFS(Assignments!$C$2:$C$769,$A308,Assignments!$F$2:$F$769,"Associate",Assignments!$G$2:$G$769,"Active")=0)))," MissingLevel","")&amp;IF(AND($C308="Proposal",Deals!$H260=0.5)," DefaultProbability","")&amp;IF($F308="No"," NoDates","")&amp;IF(AND(ISNUMBER($H308),$H308&gt;=Settings!$B$20)," Stale","")))</f>
        <v/>
      </c>
    </row>
    <row r="309">
      <c r="A309" s="16">
        <f>IF(Deals!$A261="","",Deals!$A261)</f>
        <v/>
      </c>
      <c r="B309" s="16">
        <f>IF($A309="","",Deals!$C261)</f>
        <v/>
      </c>
      <c r="C309" s="16">
        <f>IF($A309="","",Deals!$F261)</f>
        <v/>
      </c>
      <c r="D309" s="21">
        <f>IF($A309="","",Deals!$H261)</f>
        <v/>
      </c>
      <c r="E309" s="17">
        <f>IF($A309="","",Deals!$Q261)</f>
        <v/>
      </c>
      <c r="F309" s="16">
        <f>IF($A309="","",IF(AND(Deals!$I261&lt;&gt;"",Deals!$J261&lt;&gt;""),"Yes","No"))</f>
        <v/>
      </c>
      <c r="G309" s="22">
        <f>IF($A309="","",Deals!$Z261)</f>
        <v/>
      </c>
      <c r="H309" s="23">
        <f>IF(OR($A309="",$G309=""),"",INT((Settings!$B$19-$G309)/7))</f>
        <v/>
      </c>
      <c r="I309" s="24">
        <f>IF(OR($A309="",NOT(OR(Deals!$F261="Active",Deals!$F261="Proposal"))),"",TRIM(IF($E309=0," Unstaffed","")&amp;IF(IF(Deals!$U261="",FALSE,OR(AND(IFERROR(INDEX(Templates!$B$3:$B$10,MATCH(Deals!$U261,Templates!$A$3:$A$10,0)),0)&gt;0,COUNTIFS(Assignments!$C$2:$C$769,$A309,Assignments!$F$2:$F$769,"Partner",Assignments!$G$2:$G$769,"Active")=0),AND(IFERROR(INDEX(Templates!$C$3:$C$10,MATCH(Deals!$U261,Templates!$A$3:$A$10,0)),0)&gt;0,COUNTIFS(Assignments!$C$2:$C$769,$A309,Assignments!$F$2:$F$769,"MD",Assignments!$G$2:$G$769,"Active")=0),AND(IFERROR(INDEX(Templates!$D$3:$D$10,MATCH(Deals!$U261,Templates!$A$3:$A$10,0)),0)&gt;0,COUNTIFS(Assignments!$C$2:$C$769,$A309,Assignments!$F$2:$F$769,"Director",Assignments!$G$2:$G$769,"Active")=0),AND(IFERROR(INDEX(Templates!$E$3:$E$10,MATCH(Deals!$U261,Templates!$A$3:$A$10,0)),0)&gt;0,COUNTIFS(Assignments!$C$2:$C$769,$A309,Assignments!$F$2:$F$769,"VP",Assignments!$G$2:$G$769,"Active")=0),AND(IFERROR(INDEX(Templates!$F$3:$F$10,MATCH(Deals!$U261,Templates!$A$3:$A$10,0)),0)&gt;0,COUNTIFS(Assignments!$C$2:$C$769,$A309,Assignments!$F$2:$F$769,"Senior Associate",Assignments!$G$2:$G$769,"Active")=0),AND(IFERROR(INDEX(Templates!$G$3:$G$10,MATCH(Deals!$U261,Templates!$A$3:$A$10,0)),0)&gt;0,COUNTIFS(Assignments!$C$2:$C$769,$A309,Assignments!$F$2:$F$769,"Renewable Specialist",Assignments!$G$2:$G$769,"Active")=0),AND(IFERROR(INDEX(Templates!$H$3:$H$10,MATCH(Deals!$U261,Templates!$A$3:$A$10,0)),0)&gt;0,COUNTIFS(Assignments!$C$2:$C$769,$A309,Assignments!$F$2:$F$769,"Associate",Assignments!$G$2:$G$769,"Active")=0)))," MissingLevel","")&amp;IF(AND($C309="Proposal",Deals!$H261=0.5)," DefaultProbability","")&amp;IF($F309="No"," NoDates","")&amp;IF(AND(ISNUMBER($H309),$H309&gt;=Settings!$B$20)," Stale","")))</f>
        <v/>
      </c>
    </row>
    <row r="310">
      <c r="A310" s="16">
        <f>IF(Deals!$A262="","",Deals!$A262)</f>
        <v/>
      </c>
      <c r="B310" s="16">
        <f>IF($A310="","",Deals!$C262)</f>
        <v/>
      </c>
      <c r="C310" s="16">
        <f>IF($A310="","",Deals!$F262)</f>
        <v/>
      </c>
      <c r="D310" s="21">
        <f>IF($A310="","",Deals!$H262)</f>
        <v/>
      </c>
      <c r="E310" s="17">
        <f>IF($A310="","",Deals!$Q262)</f>
        <v/>
      </c>
      <c r="F310" s="16">
        <f>IF($A310="","",IF(AND(Deals!$I262&lt;&gt;"",Deals!$J262&lt;&gt;""),"Yes","No"))</f>
        <v/>
      </c>
      <c r="G310" s="22">
        <f>IF($A310="","",Deals!$Z262)</f>
        <v/>
      </c>
      <c r="H310" s="23">
        <f>IF(OR($A310="",$G310=""),"",INT((Settings!$B$19-$G310)/7))</f>
        <v/>
      </c>
      <c r="I310" s="24">
        <f>IF(OR($A310="",NOT(OR(Deals!$F262="Active",Deals!$F262="Proposal"))),"",TRIM(IF($E310=0," Unstaffed","")&amp;IF(IF(Deals!$U262="",FALSE,OR(AND(IFERROR(INDEX(Templates!$B$3:$B$10,MATCH(Deals!$U262,Templates!$A$3:$A$10,0)),0)&gt;0,COUNTIFS(Assignments!$C$2:$C$769,$A310,Assignments!$F$2:$F$769,"Partner",Assignments!$G$2:$G$769,"Active")=0),AND(IFERROR(INDEX(Templates!$C$3:$C$10,MATCH(Deals!$U262,Templates!$A$3:$A$10,0)),0)&gt;0,COUNTIFS(Assignments!$C$2:$C$769,$A310,Assignments!$F$2:$F$769,"MD",Assignments!$G$2:$G$769,"Active")=0),AND(IFERROR(INDEX(Templates!$D$3:$D$10,MATCH(Deals!$U262,Templates!$A$3:$A$10,0)),0)&gt;0,COUNTIFS(Assignments!$C$2:$C$769,$A310,Assignments!$F$2:$F$769,"Director",Assignments!$G$2:$G$769,"Active")=0),AND(IFERROR(INDEX(Templates!$E$3:$E$10,MATCH(Deals!$U262,Templates!$A$3:$A$10,0)),0)&gt;0,COUNTIFS(Assignments!$C$2:$C$769,$A310,Assignments!$F$2:$F$769,"VP",Assignments!$G$2:$G$769,"Active")=0),AND(IFERROR(INDEX(Templates!$F$3:$F$10,MATCH(Deals!$U262,Templates!$A$3:$A$10,0)),0)&gt;0,COUNTIFS(Assignments!$C$2:$C$769,$A310,Assignments!$F$2:$F$769,"Senior Associate",Assignments!$G$2:$G$769,"Active")=0),AND(IFERROR(INDEX(Templates!$G$3:$G$10,MATCH(Deals!$U262,Templates!$A$3:$A$10,0)),0)&gt;0,COUNTIFS(Assignments!$C$2:$C$769,$A310,Assignments!$F$2:$F$769,"Renewable Specialist",Assignments!$G$2:$G$769,"Active")=0),AND(IFERROR(INDEX(Templates!$H$3:$H$10,MATCH(Deals!$U262,Templates!$A$3:$A$10,0)),0)&gt;0,COUNTIFS(Assignments!$C$2:$C$769,$A310,Assignments!$F$2:$F$769,"Associate",Assignments!$G$2:$G$769,"Active")=0)))," MissingLevel","")&amp;IF(AND($C310="Proposal",Deals!$H262=0.5)," DefaultProbability","")&amp;IF($F310="No"," NoDates","")&amp;IF(AND(ISNUMBER($H310),$H310&gt;=Settings!$B$20)," Stale","")))</f>
        <v/>
      </c>
    </row>
    <row r="311">
      <c r="A311" s="16">
        <f>IF(Deals!$A263="","",Deals!$A263)</f>
        <v/>
      </c>
      <c r="B311" s="16">
        <f>IF($A311="","",Deals!$C263)</f>
        <v/>
      </c>
      <c r="C311" s="16">
        <f>IF($A311="","",Deals!$F263)</f>
        <v/>
      </c>
      <c r="D311" s="21">
        <f>IF($A311="","",Deals!$H263)</f>
        <v/>
      </c>
      <c r="E311" s="17">
        <f>IF($A311="","",Deals!$Q263)</f>
        <v/>
      </c>
      <c r="F311" s="16">
        <f>IF($A311="","",IF(AND(Deals!$I263&lt;&gt;"",Deals!$J263&lt;&gt;""),"Yes","No"))</f>
        <v/>
      </c>
      <c r="G311" s="22">
        <f>IF($A311="","",Deals!$Z263)</f>
        <v/>
      </c>
      <c r="H311" s="23">
        <f>IF(OR($A311="",$G311=""),"",INT((Settings!$B$19-$G311)/7))</f>
        <v/>
      </c>
      <c r="I311" s="24">
        <f>IF(OR($A311="",NOT(OR(Deals!$F263="Active",Deals!$F263="Proposal"))),"",TRIM(IF($E311=0," Unstaffed","")&amp;IF(IF(Deals!$U263="",FALSE,OR(AND(IFERROR(INDEX(Templates!$B$3:$B$10,MATCH(Deals!$U263,Templates!$A$3:$A$10,0)),0)&gt;0,COUNTIFS(Assignments!$C$2:$C$769,$A311,Assignments!$F$2:$F$769,"Partner",Assignments!$G$2:$G$769,"Active")=0),AND(IFERROR(INDEX(Templates!$C$3:$C$10,MATCH(Deals!$U263,Templates!$A$3:$A$10,0)),0)&gt;0,COUNTIFS(Assignments!$C$2:$C$769,$A311,Assignments!$F$2:$F$769,"MD",Assignments!$G$2:$G$769,"Active")=0),AND(IFERROR(INDEX(Templates!$D$3:$D$10,MATCH(Deals!$U263,Templates!$A$3:$A$10,0)),0)&gt;0,COUNTIFS(Assignments!$C$2:$C$769,$A311,Assignments!$F$2:$F$769,"Director",Assignments!$G$2:$G$769,"Active")=0),AND(IFERROR(INDEX(Templates!$E$3:$E$10,MATCH(Deals!$U263,Templates!$A$3:$A$10,0)),0)&gt;0,COUNTIFS(Assignments!$C$2:$C$769,$A311,Assignments!$F$2:$F$769,"VP",Assignments!$G$2:$G$769,"Active")=0),AND(IFERROR(INDEX(Templates!$F$3:$F$10,MATCH(Deals!$U263,Templates!$A$3:$A$10,0)),0)&gt;0,COUNTIFS(Assignments!$C$2:$C$769,$A311,Assignments!$F$2:$F$769,"Senior Associate",Assignments!$G$2:$G$769,"Active")=0),AND(IFERROR(INDEX(Templates!$G$3:$G$10,MATCH(Deals!$U263,Templates!$A$3:$A$10,0)),0)&gt;0,COUNTIFS(Assignments!$C$2:$C$769,$A311,Assignments!$F$2:$F$769,"Renewable Specialist",Assignments!$G$2:$G$769,"Active")=0),AND(IFERROR(INDEX(Templates!$H$3:$H$10,MATCH(Deals!$U263,Templates!$A$3:$A$10,0)),0)&gt;0,COUNTIFS(Assignments!$C$2:$C$769,$A311,Assignments!$F$2:$F$769,"Associate",Assignments!$G$2:$G$769,"Active")=0)))," MissingLevel","")&amp;IF(AND($C311="Proposal",Deals!$H263=0.5)," DefaultProbability","")&amp;IF($F311="No"," NoDates","")&amp;IF(AND(ISNUMBER($H311),$H311&gt;=Settings!$B$20)," Stale","")))</f>
        <v/>
      </c>
    </row>
    <row r="312">
      <c r="A312" s="16">
        <f>IF(Deals!$A264="","",Deals!$A264)</f>
        <v/>
      </c>
      <c r="B312" s="16">
        <f>IF($A312="","",Deals!$C264)</f>
        <v/>
      </c>
      <c r="C312" s="16">
        <f>IF($A312="","",Deals!$F264)</f>
        <v/>
      </c>
      <c r="D312" s="21">
        <f>IF($A312="","",Deals!$H264)</f>
        <v/>
      </c>
      <c r="E312" s="17">
        <f>IF($A312="","",Deals!$Q264)</f>
        <v/>
      </c>
      <c r="F312" s="16">
        <f>IF($A312="","",IF(AND(Deals!$I264&lt;&gt;"",Deals!$J264&lt;&gt;""),"Yes","No"))</f>
        <v/>
      </c>
      <c r="G312" s="22">
        <f>IF($A312="","",Deals!$Z264)</f>
        <v/>
      </c>
      <c r="H312" s="23">
        <f>IF(OR($A312="",$G312=""),"",INT((Settings!$B$19-$G312)/7))</f>
        <v/>
      </c>
      <c r="I312" s="24">
        <f>IF(OR($A312="",NOT(OR(Deals!$F264="Active",Deals!$F264="Proposal"))),"",TRIM(IF($E312=0," Unstaffed","")&amp;IF(IF(Deals!$U264="",FALSE,OR(AND(IFERROR(INDEX(Templates!$B$3:$B$10,MATCH(Deals!$U264,Templates!$A$3:$A$10,0)),0)&gt;0,COUNTIFS(Assignments!$C$2:$C$769,$A312,Assignments!$F$2:$F$769,"Partner",Assignments!$G$2:$G$769,"Active")=0),AND(IFERROR(INDEX(Templates!$C$3:$C$10,MATCH(Deals!$U264,Templates!$A$3:$A$10,0)),0)&gt;0,COUNTIFS(Assignments!$C$2:$C$769,$A312,Assignments!$F$2:$F$769,"MD",Assignments!$G$2:$G$769,"Active")=0),AND(IFERROR(INDEX(Templates!$D$3:$D$10,MATCH(Deals!$U264,Templates!$A$3:$A$10,0)),0)&gt;0,COUNTIFS(Assignments!$C$2:$C$769,$A312,Assignments!$F$2:$F$769,"Director",Assignments!$G$2:$G$769,"Active")=0),AND(IFERROR(INDEX(Templates!$E$3:$E$10,MATCH(Deals!$U264,Templates!$A$3:$A$10,0)),0)&gt;0,COUNTIFS(Assignments!$C$2:$C$769,$A312,Assignments!$F$2:$F$769,"VP",Assignments!$G$2:$G$769,"Active")=0),AND(IFERROR(INDEX(Templates!$F$3:$F$10,MATCH(Deals!$U264,Templates!$A$3:$A$10,0)),0)&gt;0,COUNTIFS(Assignments!$C$2:$C$769,$A312,Assignments!$F$2:$F$769,"Senior Associate",Assignments!$G$2:$G$769,"Active")=0),AND(IFERROR(INDEX(Templates!$G$3:$G$10,MATCH(Deals!$U264,Templates!$A$3:$A$10,0)),0)&gt;0,COUNTIFS(Assignments!$C$2:$C$769,$A312,Assignments!$F$2:$F$769,"Renewable Specialist",Assignments!$G$2:$G$769,"Active")=0),AND(IFERROR(INDEX(Templates!$H$3:$H$10,MATCH(Deals!$U264,Templates!$A$3:$A$10,0)),0)&gt;0,COUNTIFS(Assignments!$C$2:$C$769,$A312,Assignments!$F$2:$F$769,"Associate",Assignments!$G$2:$G$769,"Active")=0)))," MissingLevel","")&amp;IF(AND($C312="Proposal",Deals!$H264=0.5)," DefaultProbability","")&amp;IF($F312="No"," NoDates","")&amp;IF(AND(ISNUMBER($H312),$H312&gt;=Settings!$B$20)," Stale","")))</f>
        <v/>
      </c>
    </row>
    <row r="313">
      <c r="A313" s="16">
        <f>IF(Deals!$A265="","",Deals!$A265)</f>
        <v/>
      </c>
      <c r="B313" s="16">
        <f>IF($A313="","",Deals!$C265)</f>
        <v/>
      </c>
      <c r="C313" s="16">
        <f>IF($A313="","",Deals!$F265)</f>
        <v/>
      </c>
      <c r="D313" s="21">
        <f>IF($A313="","",Deals!$H265)</f>
        <v/>
      </c>
      <c r="E313" s="17">
        <f>IF($A313="","",Deals!$Q265)</f>
        <v/>
      </c>
      <c r="F313" s="16">
        <f>IF($A313="","",IF(AND(Deals!$I265&lt;&gt;"",Deals!$J265&lt;&gt;""),"Yes","No"))</f>
        <v/>
      </c>
      <c r="G313" s="22">
        <f>IF($A313="","",Deals!$Z265)</f>
        <v/>
      </c>
      <c r="H313" s="23">
        <f>IF(OR($A313="",$G313=""),"",INT((Settings!$B$19-$G313)/7))</f>
        <v/>
      </c>
      <c r="I313" s="24">
        <f>IF(OR($A313="",NOT(OR(Deals!$F265="Active",Deals!$F265="Proposal"))),"",TRIM(IF($E313=0," Unstaffed","")&amp;IF(IF(Deals!$U265="",FALSE,OR(AND(IFERROR(INDEX(Templates!$B$3:$B$10,MATCH(Deals!$U265,Templates!$A$3:$A$10,0)),0)&gt;0,COUNTIFS(Assignments!$C$2:$C$769,$A313,Assignments!$F$2:$F$769,"Partner",Assignments!$G$2:$G$769,"Active")=0),AND(IFERROR(INDEX(Templates!$C$3:$C$10,MATCH(Deals!$U265,Templates!$A$3:$A$10,0)),0)&gt;0,COUNTIFS(Assignments!$C$2:$C$769,$A313,Assignments!$F$2:$F$769,"MD",Assignments!$G$2:$G$769,"Active")=0),AND(IFERROR(INDEX(Templates!$D$3:$D$10,MATCH(Deals!$U265,Templates!$A$3:$A$10,0)),0)&gt;0,COUNTIFS(Assignments!$C$2:$C$769,$A313,Assignments!$F$2:$F$769,"Director",Assignments!$G$2:$G$769,"Active")=0),AND(IFERROR(INDEX(Templates!$E$3:$E$10,MATCH(Deals!$U265,Templates!$A$3:$A$10,0)),0)&gt;0,COUNTIFS(Assignments!$C$2:$C$769,$A313,Assignments!$F$2:$F$769,"VP",Assignments!$G$2:$G$769,"Active")=0),AND(IFERROR(INDEX(Templates!$F$3:$F$10,MATCH(Deals!$U265,Templates!$A$3:$A$10,0)),0)&gt;0,COUNTIFS(Assignments!$C$2:$C$769,$A313,Assignments!$F$2:$F$769,"Senior Associate",Assignments!$G$2:$G$769,"Active")=0),AND(IFERROR(INDEX(Templates!$G$3:$G$10,MATCH(Deals!$U265,Templates!$A$3:$A$10,0)),0)&gt;0,COUNTIFS(Assignments!$C$2:$C$769,$A313,Assignments!$F$2:$F$769,"Renewable Specialist",Assignments!$G$2:$G$769,"Active")=0),AND(IFERROR(INDEX(Templates!$H$3:$H$10,MATCH(Deals!$U265,Templates!$A$3:$A$10,0)),0)&gt;0,COUNTIFS(Assignments!$C$2:$C$769,$A313,Assignments!$F$2:$F$769,"Associate",Assignments!$G$2:$G$769,"Active")=0)))," MissingLevel","")&amp;IF(AND($C313="Proposal",Deals!$H265=0.5)," DefaultProbability","")&amp;IF($F313="No"," NoDates","")&amp;IF(AND(ISNUMBER($H313),$H313&gt;=Settings!$B$20)," Stale","")))</f>
        <v/>
      </c>
    </row>
    <row r="314">
      <c r="A314" s="16">
        <f>IF(Deals!$A266="","",Deals!$A266)</f>
        <v/>
      </c>
      <c r="B314" s="16">
        <f>IF($A314="","",Deals!$C266)</f>
        <v/>
      </c>
      <c r="C314" s="16">
        <f>IF($A314="","",Deals!$F266)</f>
        <v/>
      </c>
      <c r="D314" s="21">
        <f>IF($A314="","",Deals!$H266)</f>
        <v/>
      </c>
      <c r="E314" s="17">
        <f>IF($A314="","",Deals!$Q266)</f>
        <v/>
      </c>
      <c r="F314" s="16">
        <f>IF($A314="","",IF(AND(Deals!$I266&lt;&gt;"",Deals!$J266&lt;&gt;""),"Yes","No"))</f>
        <v/>
      </c>
      <c r="G314" s="22">
        <f>IF($A314="","",Deals!$Z266)</f>
        <v/>
      </c>
      <c r="H314" s="23">
        <f>IF(OR($A314="",$G314=""),"",INT((Settings!$B$19-$G314)/7))</f>
        <v/>
      </c>
      <c r="I314" s="24">
        <f>IF(OR($A314="",NOT(OR(Deals!$F266="Active",Deals!$F266="Proposal"))),"",TRIM(IF($E314=0," Unstaffed","")&amp;IF(IF(Deals!$U266="",FALSE,OR(AND(IFERROR(INDEX(Templates!$B$3:$B$10,MATCH(Deals!$U266,Templates!$A$3:$A$10,0)),0)&gt;0,COUNTIFS(Assignments!$C$2:$C$769,$A314,Assignments!$F$2:$F$769,"Partner",Assignments!$G$2:$G$769,"Active")=0),AND(IFERROR(INDEX(Templates!$C$3:$C$10,MATCH(Deals!$U266,Templates!$A$3:$A$10,0)),0)&gt;0,COUNTIFS(Assignments!$C$2:$C$769,$A314,Assignments!$F$2:$F$769,"MD",Assignments!$G$2:$G$769,"Active")=0),AND(IFERROR(INDEX(Templates!$D$3:$D$10,MATCH(Deals!$U266,Templates!$A$3:$A$10,0)),0)&gt;0,COUNTIFS(Assignments!$C$2:$C$769,$A314,Assignments!$F$2:$F$769,"Director",Assignments!$G$2:$G$769,"Active")=0),AND(IFERROR(INDEX(Templates!$E$3:$E$10,MATCH(Deals!$U266,Templates!$A$3:$A$10,0)),0)&gt;0,COUNTIFS(Assignments!$C$2:$C$769,$A314,Assignments!$F$2:$F$769,"VP",Assignments!$G$2:$G$769,"Active")=0),AND(IFERROR(INDEX(Templates!$F$3:$F$10,MATCH(Deals!$U266,Templates!$A$3:$A$10,0)),0)&gt;0,COUNTIFS(Assignments!$C$2:$C$769,$A314,Assignments!$F$2:$F$769,"Senior Associate",Assignments!$G$2:$G$769,"Active")=0),AND(IFERROR(INDEX(Templates!$G$3:$G$10,MATCH(Deals!$U266,Templates!$A$3:$A$10,0)),0)&gt;0,COUNTIFS(Assignments!$C$2:$C$769,$A314,Assignments!$F$2:$F$769,"Renewable Specialist",Assignments!$G$2:$G$769,"Active")=0),AND(IFERROR(INDEX(Templates!$H$3:$H$10,MATCH(Deals!$U266,Templates!$A$3:$A$10,0)),0)&gt;0,COUNTIFS(Assignments!$C$2:$C$769,$A314,Assignments!$F$2:$F$769,"Associate",Assignments!$G$2:$G$769,"Active")=0)))," MissingLevel","")&amp;IF(AND($C314="Proposal",Deals!$H266=0.5)," DefaultProbability","")&amp;IF($F314="No"," NoDates","")&amp;IF(AND(ISNUMBER($H314),$H314&gt;=Settings!$B$20)," Stale","")))</f>
        <v/>
      </c>
    </row>
    <row r="315">
      <c r="A315" s="16">
        <f>IF(Deals!$A267="","",Deals!$A267)</f>
        <v/>
      </c>
      <c r="B315" s="16">
        <f>IF($A315="","",Deals!$C267)</f>
        <v/>
      </c>
      <c r="C315" s="16">
        <f>IF($A315="","",Deals!$F267)</f>
        <v/>
      </c>
      <c r="D315" s="21">
        <f>IF($A315="","",Deals!$H267)</f>
        <v/>
      </c>
      <c r="E315" s="17">
        <f>IF($A315="","",Deals!$Q267)</f>
        <v/>
      </c>
      <c r="F315" s="16">
        <f>IF($A315="","",IF(AND(Deals!$I267&lt;&gt;"",Deals!$J267&lt;&gt;""),"Yes","No"))</f>
        <v/>
      </c>
      <c r="G315" s="22">
        <f>IF($A315="","",Deals!$Z267)</f>
        <v/>
      </c>
      <c r="H315" s="23">
        <f>IF(OR($A315="",$G315=""),"",INT((Settings!$B$19-$G315)/7))</f>
        <v/>
      </c>
      <c r="I315" s="24">
        <f>IF(OR($A315="",NOT(OR(Deals!$F267="Active",Deals!$F267="Proposal"))),"",TRIM(IF($E315=0," Unstaffed","")&amp;IF(IF(Deals!$U267="",FALSE,OR(AND(IFERROR(INDEX(Templates!$B$3:$B$10,MATCH(Deals!$U267,Templates!$A$3:$A$10,0)),0)&gt;0,COUNTIFS(Assignments!$C$2:$C$769,$A315,Assignments!$F$2:$F$769,"Partner",Assignments!$G$2:$G$769,"Active")=0),AND(IFERROR(INDEX(Templates!$C$3:$C$10,MATCH(Deals!$U267,Templates!$A$3:$A$10,0)),0)&gt;0,COUNTIFS(Assignments!$C$2:$C$769,$A315,Assignments!$F$2:$F$769,"MD",Assignments!$G$2:$G$769,"Active")=0),AND(IFERROR(INDEX(Templates!$D$3:$D$10,MATCH(Deals!$U267,Templates!$A$3:$A$10,0)),0)&gt;0,COUNTIFS(Assignments!$C$2:$C$769,$A315,Assignments!$F$2:$F$769,"Director",Assignments!$G$2:$G$769,"Active")=0),AND(IFERROR(INDEX(Templates!$E$3:$E$10,MATCH(Deals!$U267,Templates!$A$3:$A$10,0)),0)&gt;0,COUNTIFS(Assignments!$C$2:$C$769,$A315,Assignments!$F$2:$F$769,"VP",Assignments!$G$2:$G$769,"Active")=0),AND(IFERROR(INDEX(Templates!$F$3:$F$10,MATCH(Deals!$U267,Templates!$A$3:$A$10,0)),0)&gt;0,COUNTIFS(Assignments!$C$2:$C$769,$A315,Assignments!$F$2:$F$769,"Senior Associate",Assignments!$G$2:$G$769,"Active")=0),AND(IFERROR(INDEX(Templates!$G$3:$G$10,MATCH(Deals!$U267,Templates!$A$3:$A$10,0)),0)&gt;0,COUNTIFS(Assignments!$C$2:$C$769,$A315,Assignments!$F$2:$F$769,"Renewable Specialist",Assignments!$G$2:$G$769,"Active")=0),AND(IFERROR(INDEX(Templates!$H$3:$H$10,MATCH(Deals!$U267,Templates!$A$3:$A$10,0)),0)&gt;0,COUNTIFS(Assignments!$C$2:$C$769,$A315,Assignments!$F$2:$F$769,"Associate",Assignments!$G$2:$G$769,"Active")=0)))," MissingLevel","")&amp;IF(AND($C315="Proposal",Deals!$H267=0.5)," DefaultProbability","")&amp;IF($F315="No"," NoDates","")&amp;IF(AND(ISNUMBER($H315),$H315&gt;=Settings!$B$20)," Stale","")))</f>
        <v/>
      </c>
    </row>
    <row r="316">
      <c r="A316" s="16">
        <f>IF(Deals!$A268="","",Deals!$A268)</f>
        <v/>
      </c>
      <c r="B316" s="16">
        <f>IF($A316="","",Deals!$C268)</f>
        <v/>
      </c>
      <c r="C316" s="16">
        <f>IF($A316="","",Deals!$F268)</f>
        <v/>
      </c>
      <c r="D316" s="21">
        <f>IF($A316="","",Deals!$H268)</f>
        <v/>
      </c>
      <c r="E316" s="17">
        <f>IF($A316="","",Deals!$Q268)</f>
        <v/>
      </c>
      <c r="F316" s="16">
        <f>IF($A316="","",IF(AND(Deals!$I268&lt;&gt;"",Deals!$J268&lt;&gt;""),"Yes","No"))</f>
        <v/>
      </c>
      <c r="G316" s="22">
        <f>IF($A316="","",Deals!$Z268)</f>
        <v/>
      </c>
      <c r="H316" s="23">
        <f>IF(OR($A316="",$G316=""),"",INT((Settings!$B$19-$G316)/7))</f>
        <v/>
      </c>
      <c r="I316" s="24">
        <f>IF(OR($A316="",NOT(OR(Deals!$F268="Active",Deals!$F268="Proposal"))),"",TRIM(IF($E316=0," Unstaffed","")&amp;IF(IF(Deals!$U268="",FALSE,OR(AND(IFERROR(INDEX(Templates!$B$3:$B$10,MATCH(Deals!$U268,Templates!$A$3:$A$10,0)),0)&gt;0,COUNTIFS(Assignments!$C$2:$C$769,$A316,Assignments!$F$2:$F$769,"Partner",Assignments!$G$2:$G$769,"Active")=0),AND(IFERROR(INDEX(Templates!$C$3:$C$10,MATCH(Deals!$U268,Templates!$A$3:$A$10,0)),0)&gt;0,COUNTIFS(Assignments!$C$2:$C$769,$A316,Assignments!$F$2:$F$769,"MD",Assignments!$G$2:$G$769,"Active")=0),AND(IFERROR(INDEX(Templates!$D$3:$D$10,MATCH(Deals!$U268,Templates!$A$3:$A$10,0)),0)&gt;0,COUNTIFS(Assignments!$C$2:$C$769,$A316,Assignments!$F$2:$F$769,"Director",Assignments!$G$2:$G$769,"Active")=0),AND(IFERROR(INDEX(Templates!$E$3:$E$10,MATCH(Deals!$U268,Templates!$A$3:$A$10,0)),0)&gt;0,COUNTIFS(Assignments!$C$2:$C$769,$A316,Assignments!$F$2:$F$769,"VP",Assignments!$G$2:$G$769,"Active")=0),AND(IFERROR(INDEX(Templates!$F$3:$F$10,MATCH(Deals!$U268,Templates!$A$3:$A$10,0)),0)&gt;0,COUNTIFS(Assignments!$C$2:$C$769,$A316,Assignments!$F$2:$F$769,"Senior Associate",Assignments!$G$2:$G$769,"Active")=0),AND(IFERROR(INDEX(Templates!$G$3:$G$10,MATCH(Deals!$U268,Templates!$A$3:$A$10,0)),0)&gt;0,COUNTIFS(Assignments!$C$2:$C$769,$A316,Assignments!$F$2:$F$769,"Renewable Specialist",Assignments!$G$2:$G$769,"Active")=0),AND(IFERROR(INDEX(Templates!$H$3:$H$10,MATCH(Deals!$U268,Templates!$A$3:$A$10,0)),0)&gt;0,COUNTIFS(Assignments!$C$2:$C$769,$A316,Assignments!$F$2:$F$769,"Associate",Assignments!$G$2:$G$769,"Active")=0)))," MissingLevel","")&amp;IF(AND($C316="Proposal",Deals!$H268=0.5)," DefaultProbability","")&amp;IF($F316="No"," NoDates","")&amp;IF(AND(ISNUMBER($H316),$H316&gt;=Settings!$B$20)," Stale","")))</f>
        <v/>
      </c>
    </row>
    <row r="317">
      <c r="A317" s="16">
        <f>IF(Deals!$A269="","",Deals!$A269)</f>
        <v/>
      </c>
      <c r="B317" s="16">
        <f>IF($A317="","",Deals!$C269)</f>
        <v/>
      </c>
      <c r="C317" s="16">
        <f>IF($A317="","",Deals!$F269)</f>
        <v/>
      </c>
      <c r="D317" s="21">
        <f>IF($A317="","",Deals!$H269)</f>
        <v/>
      </c>
      <c r="E317" s="17">
        <f>IF($A317="","",Deals!$Q269)</f>
        <v/>
      </c>
      <c r="F317" s="16">
        <f>IF($A317="","",IF(AND(Deals!$I269&lt;&gt;"",Deals!$J269&lt;&gt;""),"Yes","No"))</f>
        <v/>
      </c>
      <c r="G317" s="22">
        <f>IF($A317="","",Deals!$Z269)</f>
        <v/>
      </c>
      <c r="H317" s="23">
        <f>IF(OR($A317="",$G317=""),"",INT((Settings!$B$19-$G317)/7))</f>
        <v/>
      </c>
      <c r="I317" s="24">
        <f>IF(OR($A317="",NOT(OR(Deals!$F269="Active",Deals!$F269="Proposal"))),"",TRIM(IF($E317=0," Unstaffed","")&amp;IF(IF(Deals!$U269="",FALSE,OR(AND(IFERROR(INDEX(Templates!$B$3:$B$10,MATCH(Deals!$U269,Templates!$A$3:$A$10,0)),0)&gt;0,COUNTIFS(Assignments!$C$2:$C$769,$A317,Assignments!$F$2:$F$769,"Partner",Assignments!$G$2:$G$769,"Active")=0),AND(IFERROR(INDEX(Templates!$C$3:$C$10,MATCH(Deals!$U269,Templates!$A$3:$A$10,0)),0)&gt;0,COUNTIFS(Assignments!$C$2:$C$769,$A317,Assignments!$F$2:$F$769,"MD",Assignments!$G$2:$G$769,"Active")=0),AND(IFERROR(INDEX(Templates!$D$3:$D$10,MATCH(Deals!$U269,Templates!$A$3:$A$10,0)),0)&gt;0,COUNTIFS(Assignments!$C$2:$C$769,$A317,Assignments!$F$2:$F$769,"Director",Assignments!$G$2:$G$769,"Active")=0),AND(IFERROR(INDEX(Templates!$E$3:$E$10,MATCH(Deals!$U269,Templates!$A$3:$A$10,0)),0)&gt;0,COUNTIFS(Assignments!$C$2:$C$769,$A317,Assignments!$F$2:$F$769,"VP",Assignments!$G$2:$G$769,"Active")=0),AND(IFERROR(INDEX(Templates!$F$3:$F$10,MATCH(Deals!$U269,Templates!$A$3:$A$10,0)),0)&gt;0,COUNTIFS(Assignments!$C$2:$C$769,$A317,Assignments!$F$2:$F$769,"Senior Associate",Assignments!$G$2:$G$769,"Active")=0),AND(IFERROR(INDEX(Templates!$G$3:$G$10,MATCH(Deals!$U269,Templates!$A$3:$A$10,0)),0)&gt;0,COUNTIFS(Assignments!$C$2:$C$769,$A317,Assignments!$F$2:$F$769,"Renewable Specialist",Assignments!$G$2:$G$769,"Active")=0),AND(IFERROR(INDEX(Templates!$H$3:$H$10,MATCH(Deals!$U269,Templates!$A$3:$A$10,0)),0)&gt;0,COUNTIFS(Assignments!$C$2:$C$769,$A317,Assignments!$F$2:$F$769,"Associate",Assignments!$G$2:$G$769,"Active")=0)))," MissingLevel","")&amp;IF(AND($C317="Proposal",Deals!$H269=0.5)," DefaultProbability","")&amp;IF($F317="No"," NoDates","")&amp;IF(AND(ISNUMBER($H317),$H317&gt;=Settings!$B$20)," Stale","")))</f>
        <v/>
      </c>
    </row>
    <row r="318">
      <c r="A318" s="16">
        <f>IF(Deals!$A270="","",Deals!$A270)</f>
        <v/>
      </c>
      <c r="B318" s="16">
        <f>IF($A318="","",Deals!$C270)</f>
        <v/>
      </c>
      <c r="C318" s="16">
        <f>IF($A318="","",Deals!$F270)</f>
        <v/>
      </c>
      <c r="D318" s="21">
        <f>IF($A318="","",Deals!$H270)</f>
        <v/>
      </c>
      <c r="E318" s="17">
        <f>IF($A318="","",Deals!$Q270)</f>
        <v/>
      </c>
      <c r="F318" s="16">
        <f>IF($A318="","",IF(AND(Deals!$I270&lt;&gt;"",Deals!$J270&lt;&gt;""),"Yes","No"))</f>
        <v/>
      </c>
      <c r="G318" s="22">
        <f>IF($A318="","",Deals!$Z270)</f>
        <v/>
      </c>
      <c r="H318" s="23">
        <f>IF(OR($A318="",$G318=""),"",INT((Settings!$B$19-$G318)/7))</f>
        <v/>
      </c>
      <c r="I318" s="24">
        <f>IF(OR($A318="",NOT(OR(Deals!$F270="Active",Deals!$F270="Proposal"))),"",TRIM(IF($E318=0," Unstaffed","")&amp;IF(IF(Deals!$U270="",FALSE,OR(AND(IFERROR(INDEX(Templates!$B$3:$B$10,MATCH(Deals!$U270,Templates!$A$3:$A$10,0)),0)&gt;0,COUNTIFS(Assignments!$C$2:$C$769,$A318,Assignments!$F$2:$F$769,"Partner",Assignments!$G$2:$G$769,"Active")=0),AND(IFERROR(INDEX(Templates!$C$3:$C$10,MATCH(Deals!$U270,Templates!$A$3:$A$10,0)),0)&gt;0,COUNTIFS(Assignments!$C$2:$C$769,$A318,Assignments!$F$2:$F$769,"MD",Assignments!$G$2:$G$769,"Active")=0),AND(IFERROR(INDEX(Templates!$D$3:$D$10,MATCH(Deals!$U270,Templates!$A$3:$A$10,0)),0)&gt;0,COUNTIFS(Assignments!$C$2:$C$769,$A318,Assignments!$F$2:$F$769,"Director",Assignments!$G$2:$G$769,"Active")=0),AND(IFERROR(INDEX(Templates!$E$3:$E$10,MATCH(Deals!$U270,Templates!$A$3:$A$10,0)),0)&gt;0,COUNTIFS(Assignments!$C$2:$C$769,$A318,Assignments!$F$2:$F$769,"VP",Assignments!$G$2:$G$769,"Active")=0),AND(IFERROR(INDEX(Templates!$F$3:$F$10,MATCH(Deals!$U270,Templates!$A$3:$A$10,0)),0)&gt;0,COUNTIFS(Assignments!$C$2:$C$769,$A318,Assignments!$F$2:$F$769,"Senior Associate",Assignments!$G$2:$G$769,"Active")=0),AND(IFERROR(INDEX(Templates!$G$3:$G$10,MATCH(Deals!$U270,Templates!$A$3:$A$10,0)),0)&gt;0,COUNTIFS(Assignments!$C$2:$C$769,$A318,Assignments!$F$2:$F$769,"Renewable Specialist",Assignments!$G$2:$G$769,"Active")=0),AND(IFERROR(INDEX(Templates!$H$3:$H$10,MATCH(Deals!$U270,Templates!$A$3:$A$10,0)),0)&gt;0,COUNTIFS(Assignments!$C$2:$C$769,$A318,Assignments!$F$2:$F$769,"Associate",Assignments!$G$2:$G$769,"Active")=0)))," MissingLevel","")&amp;IF(AND($C318="Proposal",Deals!$H270=0.5)," DefaultProbability","")&amp;IF($F318="No"," NoDates","")&amp;IF(AND(ISNUMBER($H318),$H318&gt;=Settings!$B$20)," Stale","")))</f>
        <v/>
      </c>
    </row>
    <row r="319">
      <c r="A319" s="16">
        <f>IF(Deals!$A271="","",Deals!$A271)</f>
        <v/>
      </c>
      <c r="B319" s="16">
        <f>IF($A319="","",Deals!$C271)</f>
        <v/>
      </c>
      <c r="C319" s="16">
        <f>IF($A319="","",Deals!$F271)</f>
        <v/>
      </c>
      <c r="D319" s="21">
        <f>IF($A319="","",Deals!$H271)</f>
        <v/>
      </c>
      <c r="E319" s="17">
        <f>IF($A319="","",Deals!$Q271)</f>
        <v/>
      </c>
      <c r="F319" s="16">
        <f>IF($A319="","",IF(AND(Deals!$I271&lt;&gt;"",Deals!$J271&lt;&gt;""),"Yes","No"))</f>
        <v/>
      </c>
      <c r="G319" s="22">
        <f>IF($A319="","",Deals!$Z271)</f>
        <v/>
      </c>
      <c r="H319" s="23">
        <f>IF(OR($A319="",$G319=""),"",INT((Settings!$B$19-$G319)/7))</f>
        <v/>
      </c>
      <c r="I319" s="24">
        <f>IF(OR($A319="",NOT(OR(Deals!$F271="Active",Deals!$F271="Proposal"))),"",TRIM(IF($E319=0," Unstaffed","")&amp;IF(IF(Deals!$U271="",FALSE,OR(AND(IFERROR(INDEX(Templates!$B$3:$B$10,MATCH(Deals!$U271,Templates!$A$3:$A$10,0)),0)&gt;0,COUNTIFS(Assignments!$C$2:$C$769,$A319,Assignments!$F$2:$F$769,"Partner",Assignments!$G$2:$G$769,"Active")=0),AND(IFERROR(INDEX(Templates!$C$3:$C$10,MATCH(Deals!$U271,Templates!$A$3:$A$10,0)),0)&gt;0,COUNTIFS(Assignments!$C$2:$C$769,$A319,Assignments!$F$2:$F$769,"MD",Assignments!$G$2:$G$769,"Active")=0),AND(IFERROR(INDEX(Templates!$D$3:$D$10,MATCH(Deals!$U271,Templates!$A$3:$A$10,0)),0)&gt;0,COUNTIFS(Assignments!$C$2:$C$769,$A319,Assignments!$F$2:$F$769,"Director",Assignments!$G$2:$G$769,"Active")=0),AND(IFERROR(INDEX(Templates!$E$3:$E$10,MATCH(Deals!$U271,Templates!$A$3:$A$10,0)),0)&gt;0,COUNTIFS(Assignments!$C$2:$C$769,$A319,Assignments!$F$2:$F$769,"VP",Assignments!$G$2:$G$769,"Active")=0),AND(IFERROR(INDEX(Templates!$F$3:$F$10,MATCH(Deals!$U271,Templates!$A$3:$A$10,0)),0)&gt;0,COUNTIFS(Assignments!$C$2:$C$769,$A319,Assignments!$F$2:$F$769,"Senior Associate",Assignments!$G$2:$G$769,"Active")=0),AND(IFERROR(INDEX(Templates!$G$3:$G$10,MATCH(Deals!$U271,Templates!$A$3:$A$10,0)),0)&gt;0,COUNTIFS(Assignments!$C$2:$C$769,$A319,Assignments!$F$2:$F$769,"Renewable Specialist",Assignments!$G$2:$G$769,"Active")=0),AND(IFERROR(INDEX(Templates!$H$3:$H$10,MATCH(Deals!$U271,Templates!$A$3:$A$10,0)),0)&gt;0,COUNTIFS(Assignments!$C$2:$C$769,$A319,Assignments!$F$2:$F$769,"Associate",Assignments!$G$2:$G$769,"Active")=0)))," MissingLevel","")&amp;IF(AND($C319="Proposal",Deals!$H271=0.5)," DefaultProbability","")&amp;IF($F319="No"," NoDates","")&amp;IF(AND(ISNUMBER($H319),$H319&gt;=Settings!$B$20)," Stale","")))</f>
        <v/>
      </c>
    </row>
    <row r="320">
      <c r="A320" s="16">
        <f>IF(Deals!$A272="","",Deals!$A272)</f>
        <v/>
      </c>
      <c r="B320" s="16">
        <f>IF($A320="","",Deals!$C272)</f>
        <v/>
      </c>
      <c r="C320" s="16">
        <f>IF($A320="","",Deals!$F272)</f>
        <v/>
      </c>
      <c r="D320" s="21">
        <f>IF($A320="","",Deals!$H272)</f>
        <v/>
      </c>
      <c r="E320" s="17">
        <f>IF($A320="","",Deals!$Q272)</f>
        <v/>
      </c>
      <c r="F320" s="16">
        <f>IF($A320="","",IF(AND(Deals!$I272&lt;&gt;"",Deals!$J272&lt;&gt;""),"Yes","No"))</f>
        <v/>
      </c>
      <c r="G320" s="22">
        <f>IF($A320="","",Deals!$Z272)</f>
        <v/>
      </c>
      <c r="H320" s="23">
        <f>IF(OR($A320="",$G320=""),"",INT((Settings!$B$19-$G320)/7))</f>
        <v/>
      </c>
      <c r="I320" s="24">
        <f>IF(OR($A320="",NOT(OR(Deals!$F272="Active",Deals!$F272="Proposal"))),"",TRIM(IF($E320=0," Unstaffed","")&amp;IF(IF(Deals!$U272="",FALSE,OR(AND(IFERROR(INDEX(Templates!$B$3:$B$10,MATCH(Deals!$U272,Templates!$A$3:$A$10,0)),0)&gt;0,COUNTIFS(Assignments!$C$2:$C$769,$A320,Assignments!$F$2:$F$769,"Partner",Assignments!$G$2:$G$769,"Active")=0),AND(IFERROR(INDEX(Templates!$C$3:$C$10,MATCH(Deals!$U272,Templates!$A$3:$A$10,0)),0)&gt;0,COUNTIFS(Assignments!$C$2:$C$769,$A320,Assignments!$F$2:$F$769,"MD",Assignments!$G$2:$G$769,"Active")=0),AND(IFERROR(INDEX(Templates!$D$3:$D$10,MATCH(Deals!$U272,Templates!$A$3:$A$10,0)),0)&gt;0,COUNTIFS(Assignments!$C$2:$C$769,$A320,Assignments!$F$2:$F$769,"Director",Assignments!$G$2:$G$769,"Active")=0),AND(IFERROR(INDEX(Templates!$E$3:$E$10,MATCH(Deals!$U272,Templates!$A$3:$A$10,0)),0)&gt;0,COUNTIFS(Assignments!$C$2:$C$769,$A320,Assignments!$F$2:$F$769,"VP",Assignments!$G$2:$G$769,"Active")=0),AND(IFERROR(INDEX(Templates!$F$3:$F$10,MATCH(Deals!$U272,Templates!$A$3:$A$10,0)),0)&gt;0,COUNTIFS(Assignments!$C$2:$C$769,$A320,Assignments!$F$2:$F$769,"Senior Associate",Assignments!$G$2:$G$769,"Active")=0),AND(IFERROR(INDEX(Templates!$G$3:$G$10,MATCH(Deals!$U272,Templates!$A$3:$A$10,0)),0)&gt;0,COUNTIFS(Assignments!$C$2:$C$769,$A320,Assignments!$F$2:$F$769,"Renewable Specialist",Assignments!$G$2:$G$769,"Active")=0),AND(IFERROR(INDEX(Templates!$H$3:$H$10,MATCH(Deals!$U272,Templates!$A$3:$A$10,0)),0)&gt;0,COUNTIFS(Assignments!$C$2:$C$769,$A320,Assignments!$F$2:$F$769,"Associate",Assignments!$G$2:$G$769,"Active")=0)))," MissingLevel","")&amp;IF(AND($C320="Proposal",Deals!$H272=0.5)," DefaultProbability","")&amp;IF($F320="No"," NoDates","")&amp;IF(AND(ISNUMBER($H320),$H320&gt;=Settings!$B$20)," Stale","")))</f>
        <v/>
      </c>
    </row>
    <row r="321">
      <c r="A321" s="16">
        <f>IF(Deals!$A273="","",Deals!$A273)</f>
        <v/>
      </c>
      <c r="B321" s="16">
        <f>IF($A321="","",Deals!$C273)</f>
        <v/>
      </c>
      <c r="C321" s="16">
        <f>IF($A321="","",Deals!$F273)</f>
        <v/>
      </c>
      <c r="D321" s="21">
        <f>IF($A321="","",Deals!$H273)</f>
        <v/>
      </c>
      <c r="E321" s="17">
        <f>IF($A321="","",Deals!$Q273)</f>
        <v/>
      </c>
      <c r="F321" s="16">
        <f>IF($A321="","",IF(AND(Deals!$I273&lt;&gt;"",Deals!$J273&lt;&gt;""),"Yes","No"))</f>
        <v/>
      </c>
      <c r="G321" s="22">
        <f>IF($A321="","",Deals!$Z273)</f>
        <v/>
      </c>
      <c r="H321" s="23">
        <f>IF(OR($A321="",$G321=""),"",INT((Settings!$B$19-$G321)/7))</f>
        <v/>
      </c>
      <c r="I321" s="24">
        <f>IF(OR($A321="",NOT(OR(Deals!$F273="Active",Deals!$F273="Proposal"))),"",TRIM(IF($E321=0," Unstaffed","")&amp;IF(IF(Deals!$U273="",FALSE,OR(AND(IFERROR(INDEX(Templates!$B$3:$B$10,MATCH(Deals!$U273,Templates!$A$3:$A$10,0)),0)&gt;0,COUNTIFS(Assignments!$C$2:$C$769,$A321,Assignments!$F$2:$F$769,"Partner",Assignments!$G$2:$G$769,"Active")=0),AND(IFERROR(INDEX(Templates!$C$3:$C$10,MATCH(Deals!$U273,Templates!$A$3:$A$10,0)),0)&gt;0,COUNTIFS(Assignments!$C$2:$C$769,$A321,Assignments!$F$2:$F$769,"MD",Assignments!$G$2:$G$769,"Active")=0),AND(IFERROR(INDEX(Templates!$D$3:$D$10,MATCH(Deals!$U273,Templates!$A$3:$A$10,0)),0)&gt;0,COUNTIFS(Assignments!$C$2:$C$769,$A321,Assignments!$F$2:$F$769,"Director",Assignments!$G$2:$G$769,"Active")=0),AND(IFERROR(INDEX(Templates!$E$3:$E$10,MATCH(Deals!$U273,Templates!$A$3:$A$10,0)),0)&gt;0,COUNTIFS(Assignments!$C$2:$C$769,$A321,Assignments!$F$2:$F$769,"VP",Assignments!$G$2:$G$769,"Active")=0),AND(IFERROR(INDEX(Templates!$F$3:$F$10,MATCH(Deals!$U273,Templates!$A$3:$A$10,0)),0)&gt;0,COUNTIFS(Assignments!$C$2:$C$769,$A321,Assignments!$F$2:$F$769,"Senior Associate",Assignments!$G$2:$G$769,"Active")=0),AND(IFERROR(INDEX(Templates!$G$3:$G$10,MATCH(Deals!$U273,Templates!$A$3:$A$10,0)),0)&gt;0,COUNTIFS(Assignments!$C$2:$C$769,$A321,Assignments!$F$2:$F$769,"Renewable Specialist",Assignments!$G$2:$G$769,"Active")=0),AND(IFERROR(INDEX(Templates!$H$3:$H$10,MATCH(Deals!$U273,Templates!$A$3:$A$10,0)),0)&gt;0,COUNTIFS(Assignments!$C$2:$C$769,$A321,Assignments!$F$2:$F$769,"Associate",Assignments!$G$2:$G$769,"Active")=0)))," MissingLevel","")&amp;IF(AND($C321="Proposal",Deals!$H273=0.5)," DefaultProbability","")&amp;IF($F321="No"," NoDates","")&amp;IF(AND(ISNUMBER($H321),$H321&gt;=Settings!$B$20)," Stale","")))</f>
        <v/>
      </c>
    </row>
    <row r="322">
      <c r="A322" s="16">
        <f>IF(Deals!$A274="","",Deals!$A274)</f>
        <v/>
      </c>
      <c r="B322" s="16">
        <f>IF($A322="","",Deals!$C274)</f>
        <v/>
      </c>
      <c r="C322" s="16">
        <f>IF($A322="","",Deals!$F274)</f>
        <v/>
      </c>
      <c r="D322" s="21">
        <f>IF($A322="","",Deals!$H274)</f>
        <v/>
      </c>
      <c r="E322" s="17">
        <f>IF($A322="","",Deals!$Q274)</f>
        <v/>
      </c>
      <c r="F322" s="16">
        <f>IF($A322="","",IF(AND(Deals!$I274&lt;&gt;"",Deals!$J274&lt;&gt;""),"Yes","No"))</f>
        <v/>
      </c>
      <c r="G322" s="22">
        <f>IF($A322="","",Deals!$Z274)</f>
        <v/>
      </c>
      <c r="H322" s="23">
        <f>IF(OR($A322="",$G322=""),"",INT((Settings!$B$19-$G322)/7))</f>
        <v/>
      </c>
      <c r="I322" s="24">
        <f>IF(OR($A322="",NOT(OR(Deals!$F274="Active",Deals!$F274="Proposal"))),"",TRIM(IF($E322=0," Unstaffed","")&amp;IF(IF(Deals!$U274="",FALSE,OR(AND(IFERROR(INDEX(Templates!$B$3:$B$10,MATCH(Deals!$U274,Templates!$A$3:$A$10,0)),0)&gt;0,COUNTIFS(Assignments!$C$2:$C$769,$A322,Assignments!$F$2:$F$769,"Partner",Assignments!$G$2:$G$769,"Active")=0),AND(IFERROR(INDEX(Templates!$C$3:$C$10,MATCH(Deals!$U274,Templates!$A$3:$A$10,0)),0)&gt;0,COUNTIFS(Assignments!$C$2:$C$769,$A322,Assignments!$F$2:$F$769,"MD",Assignments!$G$2:$G$769,"Active")=0),AND(IFERROR(INDEX(Templates!$D$3:$D$10,MATCH(Deals!$U274,Templates!$A$3:$A$10,0)),0)&gt;0,COUNTIFS(Assignments!$C$2:$C$769,$A322,Assignments!$F$2:$F$769,"Director",Assignments!$G$2:$G$769,"Active")=0),AND(IFERROR(INDEX(Templates!$E$3:$E$10,MATCH(Deals!$U274,Templates!$A$3:$A$10,0)),0)&gt;0,COUNTIFS(Assignments!$C$2:$C$769,$A322,Assignments!$F$2:$F$769,"VP",Assignments!$G$2:$G$769,"Active")=0),AND(IFERROR(INDEX(Templates!$F$3:$F$10,MATCH(Deals!$U274,Templates!$A$3:$A$10,0)),0)&gt;0,COUNTIFS(Assignments!$C$2:$C$769,$A322,Assignments!$F$2:$F$769,"Senior Associate",Assignments!$G$2:$G$769,"Active")=0),AND(IFERROR(INDEX(Templates!$G$3:$G$10,MATCH(Deals!$U274,Templates!$A$3:$A$10,0)),0)&gt;0,COUNTIFS(Assignments!$C$2:$C$769,$A322,Assignments!$F$2:$F$769,"Renewable Specialist",Assignments!$G$2:$G$769,"Active")=0),AND(IFERROR(INDEX(Templates!$H$3:$H$10,MATCH(Deals!$U274,Templates!$A$3:$A$10,0)),0)&gt;0,COUNTIFS(Assignments!$C$2:$C$769,$A322,Assignments!$F$2:$F$769,"Associate",Assignments!$G$2:$G$769,"Active")=0)))," MissingLevel","")&amp;IF(AND($C322="Proposal",Deals!$H274=0.5)," DefaultProbability","")&amp;IF($F322="No"," NoDates","")&amp;IF(AND(ISNUMBER($H322),$H322&gt;=Settings!$B$20)," Stale","")))</f>
        <v/>
      </c>
    </row>
    <row r="323">
      <c r="A323" s="16">
        <f>IF(Deals!$A275="","",Deals!$A275)</f>
        <v/>
      </c>
      <c r="B323" s="16">
        <f>IF($A323="","",Deals!$C275)</f>
        <v/>
      </c>
      <c r="C323" s="16">
        <f>IF($A323="","",Deals!$F275)</f>
        <v/>
      </c>
      <c r="D323" s="21">
        <f>IF($A323="","",Deals!$H275)</f>
        <v/>
      </c>
      <c r="E323" s="17">
        <f>IF($A323="","",Deals!$Q275)</f>
        <v/>
      </c>
      <c r="F323" s="16">
        <f>IF($A323="","",IF(AND(Deals!$I275&lt;&gt;"",Deals!$J275&lt;&gt;""),"Yes","No"))</f>
        <v/>
      </c>
      <c r="G323" s="22">
        <f>IF($A323="","",Deals!$Z275)</f>
        <v/>
      </c>
      <c r="H323" s="23">
        <f>IF(OR($A323="",$G323=""),"",INT((Settings!$B$19-$G323)/7))</f>
        <v/>
      </c>
      <c r="I323" s="24">
        <f>IF(OR($A323="",NOT(OR(Deals!$F275="Active",Deals!$F275="Proposal"))),"",TRIM(IF($E323=0," Unstaffed","")&amp;IF(IF(Deals!$U275="",FALSE,OR(AND(IFERROR(INDEX(Templates!$B$3:$B$10,MATCH(Deals!$U275,Templates!$A$3:$A$10,0)),0)&gt;0,COUNTIFS(Assignments!$C$2:$C$769,$A323,Assignments!$F$2:$F$769,"Partner",Assignments!$G$2:$G$769,"Active")=0),AND(IFERROR(INDEX(Templates!$C$3:$C$10,MATCH(Deals!$U275,Templates!$A$3:$A$10,0)),0)&gt;0,COUNTIFS(Assignments!$C$2:$C$769,$A323,Assignments!$F$2:$F$769,"MD",Assignments!$G$2:$G$769,"Active")=0),AND(IFERROR(INDEX(Templates!$D$3:$D$10,MATCH(Deals!$U275,Templates!$A$3:$A$10,0)),0)&gt;0,COUNTIFS(Assignments!$C$2:$C$769,$A323,Assignments!$F$2:$F$769,"Director",Assignments!$G$2:$G$769,"Active")=0),AND(IFERROR(INDEX(Templates!$E$3:$E$10,MATCH(Deals!$U275,Templates!$A$3:$A$10,0)),0)&gt;0,COUNTIFS(Assignments!$C$2:$C$769,$A323,Assignments!$F$2:$F$769,"VP",Assignments!$G$2:$G$769,"Active")=0),AND(IFERROR(INDEX(Templates!$F$3:$F$10,MATCH(Deals!$U275,Templates!$A$3:$A$10,0)),0)&gt;0,COUNTIFS(Assignments!$C$2:$C$769,$A323,Assignments!$F$2:$F$769,"Senior Associate",Assignments!$G$2:$G$769,"Active")=0),AND(IFERROR(INDEX(Templates!$G$3:$G$10,MATCH(Deals!$U275,Templates!$A$3:$A$10,0)),0)&gt;0,COUNTIFS(Assignments!$C$2:$C$769,$A323,Assignments!$F$2:$F$769,"Renewable Specialist",Assignments!$G$2:$G$769,"Active")=0),AND(IFERROR(INDEX(Templates!$H$3:$H$10,MATCH(Deals!$U275,Templates!$A$3:$A$10,0)),0)&gt;0,COUNTIFS(Assignments!$C$2:$C$769,$A323,Assignments!$F$2:$F$769,"Associate",Assignments!$G$2:$G$769,"Active")=0)))," MissingLevel","")&amp;IF(AND($C323="Proposal",Deals!$H275=0.5)," DefaultProbability","")&amp;IF($F323="No"," NoDates","")&amp;IF(AND(ISNUMBER($H323),$H323&gt;=Settings!$B$20)," Stale","")))</f>
        <v/>
      </c>
    </row>
    <row r="324">
      <c r="A324" s="16">
        <f>IF(Deals!$A276="","",Deals!$A276)</f>
        <v/>
      </c>
      <c r="B324" s="16">
        <f>IF($A324="","",Deals!$C276)</f>
        <v/>
      </c>
      <c r="C324" s="16">
        <f>IF($A324="","",Deals!$F276)</f>
        <v/>
      </c>
      <c r="D324" s="21">
        <f>IF($A324="","",Deals!$H276)</f>
        <v/>
      </c>
      <c r="E324" s="17">
        <f>IF($A324="","",Deals!$Q276)</f>
        <v/>
      </c>
      <c r="F324" s="16">
        <f>IF($A324="","",IF(AND(Deals!$I276&lt;&gt;"",Deals!$J276&lt;&gt;""),"Yes","No"))</f>
        <v/>
      </c>
      <c r="G324" s="22">
        <f>IF($A324="","",Deals!$Z276)</f>
        <v/>
      </c>
      <c r="H324" s="23">
        <f>IF(OR($A324="",$G324=""),"",INT((Settings!$B$19-$G324)/7))</f>
        <v/>
      </c>
      <c r="I324" s="24">
        <f>IF(OR($A324="",NOT(OR(Deals!$F276="Active",Deals!$F276="Proposal"))),"",TRIM(IF($E324=0," Unstaffed","")&amp;IF(IF(Deals!$U276="",FALSE,OR(AND(IFERROR(INDEX(Templates!$B$3:$B$10,MATCH(Deals!$U276,Templates!$A$3:$A$10,0)),0)&gt;0,COUNTIFS(Assignments!$C$2:$C$769,$A324,Assignments!$F$2:$F$769,"Partner",Assignments!$G$2:$G$769,"Active")=0),AND(IFERROR(INDEX(Templates!$C$3:$C$10,MATCH(Deals!$U276,Templates!$A$3:$A$10,0)),0)&gt;0,COUNTIFS(Assignments!$C$2:$C$769,$A324,Assignments!$F$2:$F$769,"MD",Assignments!$G$2:$G$769,"Active")=0),AND(IFERROR(INDEX(Templates!$D$3:$D$10,MATCH(Deals!$U276,Templates!$A$3:$A$10,0)),0)&gt;0,COUNTIFS(Assignments!$C$2:$C$769,$A324,Assignments!$F$2:$F$769,"Director",Assignments!$G$2:$G$769,"Active")=0),AND(IFERROR(INDEX(Templates!$E$3:$E$10,MATCH(Deals!$U276,Templates!$A$3:$A$10,0)),0)&gt;0,COUNTIFS(Assignments!$C$2:$C$769,$A324,Assignments!$F$2:$F$769,"VP",Assignments!$G$2:$G$769,"Active")=0),AND(IFERROR(INDEX(Templates!$F$3:$F$10,MATCH(Deals!$U276,Templates!$A$3:$A$10,0)),0)&gt;0,COUNTIFS(Assignments!$C$2:$C$769,$A324,Assignments!$F$2:$F$769,"Senior Associate",Assignments!$G$2:$G$769,"Active")=0),AND(IFERROR(INDEX(Templates!$G$3:$G$10,MATCH(Deals!$U276,Templates!$A$3:$A$10,0)),0)&gt;0,COUNTIFS(Assignments!$C$2:$C$769,$A324,Assignments!$F$2:$F$769,"Renewable Specialist",Assignments!$G$2:$G$769,"Active")=0),AND(IFERROR(INDEX(Templates!$H$3:$H$10,MATCH(Deals!$U276,Templates!$A$3:$A$10,0)),0)&gt;0,COUNTIFS(Assignments!$C$2:$C$769,$A324,Assignments!$F$2:$F$769,"Associate",Assignments!$G$2:$G$769,"Active")=0)))," MissingLevel","")&amp;IF(AND($C324="Proposal",Deals!$H276=0.5)," DefaultProbability","")&amp;IF($F324="No"," NoDates","")&amp;IF(AND(ISNUMBER($H324),$H324&gt;=Settings!$B$20)," Stale","")))</f>
        <v/>
      </c>
    </row>
    <row r="325">
      <c r="A325" s="16">
        <f>IF(Deals!$A277="","",Deals!$A277)</f>
        <v/>
      </c>
      <c r="B325" s="16">
        <f>IF($A325="","",Deals!$C277)</f>
        <v/>
      </c>
      <c r="C325" s="16">
        <f>IF($A325="","",Deals!$F277)</f>
        <v/>
      </c>
      <c r="D325" s="21">
        <f>IF($A325="","",Deals!$H277)</f>
        <v/>
      </c>
      <c r="E325" s="17">
        <f>IF($A325="","",Deals!$Q277)</f>
        <v/>
      </c>
      <c r="F325" s="16">
        <f>IF($A325="","",IF(AND(Deals!$I277&lt;&gt;"",Deals!$J277&lt;&gt;""),"Yes","No"))</f>
        <v/>
      </c>
      <c r="G325" s="22">
        <f>IF($A325="","",Deals!$Z277)</f>
        <v/>
      </c>
      <c r="H325" s="23">
        <f>IF(OR($A325="",$G325=""),"",INT((Settings!$B$19-$G325)/7))</f>
        <v/>
      </c>
      <c r="I325" s="24">
        <f>IF(OR($A325="",NOT(OR(Deals!$F277="Active",Deals!$F277="Proposal"))),"",TRIM(IF($E325=0," Unstaffed","")&amp;IF(IF(Deals!$U277="",FALSE,OR(AND(IFERROR(INDEX(Templates!$B$3:$B$10,MATCH(Deals!$U277,Templates!$A$3:$A$10,0)),0)&gt;0,COUNTIFS(Assignments!$C$2:$C$769,$A325,Assignments!$F$2:$F$769,"Partner",Assignments!$G$2:$G$769,"Active")=0),AND(IFERROR(INDEX(Templates!$C$3:$C$10,MATCH(Deals!$U277,Templates!$A$3:$A$10,0)),0)&gt;0,COUNTIFS(Assignments!$C$2:$C$769,$A325,Assignments!$F$2:$F$769,"MD",Assignments!$G$2:$G$769,"Active")=0),AND(IFERROR(INDEX(Templates!$D$3:$D$10,MATCH(Deals!$U277,Templates!$A$3:$A$10,0)),0)&gt;0,COUNTIFS(Assignments!$C$2:$C$769,$A325,Assignments!$F$2:$F$769,"Director",Assignments!$G$2:$G$769,"Active")=0),AND(IFERROR(INDEX(Templates!$E$3:$E$10,MATCH(Deals!$U277,Templates!$A$3:$A$10,0)),0)&gt;0,COUNTIFS(Assignments!$C$2:$C$769,$A325,Assignments!$F$2:$F$769,"VP",Assignments!$G$2:$G$769,"Active")=0),AND(IFERROR(INDEX(Templates!$F$3:$F$10,MATCH(Deals!$U277,Templates!$A$3:$A$10,0)),0)&gt;0,COUNTIFS(Assignments!$C$2:$C$769,$A325,Assignments!$F$2:$F$769,"Senior Associate",Assignments!$G$2:$G$769,"Active")=0),AND(IFERROR(INDEX(Templates!$G$3:$G$10,MATCH(Deals!$U277,Templates!$A$3:$A$10,0)),0)&gt;0,COUNTIFS(Assignments!$C$2:$C$769,$A325,Assignments!$F$2:$F$769,"Renewable Specialist",Assignments!$G$2:$G$769,"Active")=0),AND(IFERROR(INDEX(Templates!$H$3:$H$10,MATCH(Deals!$U277,Templates!$A$3:$A$10,0)),0)&gt;0,COUNTIFS(Assignments!$C$2:$C$769,$A325,Assignments!$F$2:$F$769,"Associate",Assignments!$G$2:$G$769,"Active")=0)))," MissingLevel","")&amp;IF(AND($C325="Proposal",Deals!$H277=0.5)," DefaultProbability","")&amp;IF($F325="No"," NoDates","")&amp;IF(AND(ISNUMBER($H325),$H325&gt;=Settings!$B$20)," Stale","")))</f>
        <v/>
      </c>
    </row>
    <row r="326">
      <c r="A326" s="16">
        <f>IF(Deals!$A278="","",Deals!$A278)</f>
        <v/>
      </c>
      <c r="B326" s="16">
        <f>IF($A326="","",Deals!$C278)</f>
        <v/>
      </c>
      <c r="C326" s="16">
        <f>IF($A326="","",Deals!$F278)</f>
        <v/>
      </c>
      <c r="D326" s="21">
        <f>IF($A326="","",Deals!$H278)</f>
        <v/>
      </c>
      <c r="E326" s="17">
        <f>IF($A326="","",Deals!$Q278)</f>
        <v/>
      </c>
      <c r="F326" s="16">
        <f>IF($A326="","",IF(AND(Deals!$I278&lt;&gt;"",Deals!$J278&lt;&gt;""),"Yes","No"))</f>
        <v/>
      </c>
      <c r="G326" s="22">
        <f>IF($A326="","",Deals!$Z278)</f>
        <v/>
      </c>
      <c r="H326" s="23">
        <f>IF(OR($A326="",$G326=""),"",INT((Settings!$B$19-$G326)/7))</f>
        <v/>
      </c>
      <c r="I326" s="24">
        <f>IF(OR($A326="",NOT(OR(Deals!$F278="Active",Deals!$F278="Proposal"))),"",TRIM(IF($E326=0," Unstaffed","")&amp;IF(IF(Deals!$U278="",FALSE,OR(AND(IFERROR(INDEX(Templates!$B$3:$B$10,MATCH(Deals!$U278,Templates!$A$3:$A$10,0)),0)&gt;0,COUNTIFS(Assignments!$C$2:$C$769,$A326,Assignments!$F$2:$F$769,"Partner",Assignments!$G$2:$G$769,"Active")=0),AND(IFERROR(INDEX(Templates!$C$3:$C$10,MATCH(Deals!$U278,Templates!$A$3:$A$10,0)),0)&gt;0,COUNTIFS(Assignments!$C$2:$C$769,$A326,Assignments!$F$2:$F$769,"MD",Assignments!$G$2:$G$769,"Active")=0),AND(IFERROR(INDEX(Templates!$D$3:$D$10,MATCH(Deals!$U278,Templates!$A$3:$A$10,0)),0)&gt;0,COUNTIFS(Assignments!$C$2:$C$769,$A326,Assignments!$F$2:$F$769,"Director",Assignments!$G$2:$G$769,"Active")=0),AND(IFERROR(INDEX(Templates!$E$3:$E$10,MATCH(Deals!$U278,Templates!$A$3:$A$10,0)),0)&gt;0,COUNTIFS(Assignments!$C$2:$C$769,$A326,Assignments!$F$2:$F$769,"VP",Assignments!$G$2:$G$769,"Active")=0),AND(IFERROR(INDEX(Templates!$F$3:$F$10,MATCH(Deals!$U278,Templates!$A$3:$A$10,0)),0)&gt;0,COUNTIFS(Assignments!$C$2:$C$769,$A326,Assignments!$F$2:$F$769,"Senior Associate",Assignments!$G$2:$G$769,"Active")=0),AND(IFERROR(INDEX(Templates!$G$3:$G$10,MATCH(Deals!$U278,Templates!$A$3:$A$10,0)),0)&gt;0,COUNTIFS(Assignments!$C$2:$C$769,$A326,Assignments!$F$2:$F$769,"Renewable Specialist",Assignments!$G$2:$G$769,"Active")=0),AND(IFERROR(INDEX(Templates!$H$3:$H$10,MATCH(Deals!$U278,Templates!$A$3:$A$10,0)),0)&gt;0,COUNTIFS(Assignments!$C$2:$C$769,$A326,Assignments!$F$2:$F$769,"Associate",Assignments!$G$2:$G$769,"Active")=0)))," MissingLevel","")&amp;IF(AND($C326="Proposal",Deals!$H278=0.5)," DefaultProbability","")&amp;IF($F326="No"," NoDates","")&amp;IF(AND(ISNUMBER($H326),$H326&gt;=Settings!$B$20)," Stale","")))</f>
        <v/>
      </c>
    </row>
    <row r="327">
      <c r="A327" s="16">
        <f>IF(Deals!$A279="","",Deals!$A279)</f>
        <v/>
      </c>
      <c r="B327" s="16">
        <f>IF($A327="","",Deals!$C279)</f>
        <v/>
      </c>
      <c r="C327" s="16">
        <f>IF($A327="","",Deals!$F279)</f>
        <v/>
      </c>
      <c r="D327" s="21">
        <f>IF($A327="","",Deals!$H279)</f>
        <v/>
      </c>
      <c r="E327" s="17">
        <f>IF($A327="","",Deals!$Q279)</f>
        <v/>
      </c>
      <c r="F327" s="16">
        <f>IF($A327="","",IF(AND(Deals!$I279&lt;&gt;"",Deals!$J279&lt;&gt;""),"Yes","No"))</f>
        <v/>
      </c>
      <c r="G327" s="22">
        <f>IF($A327="","",Deals!$Z279)</f>
        <v/>
      </c>
      <c r="H327" s="23">
        <f>IF(OR($A327="",$G327=""),"",INT((Settings!$B$19-$G327)/7))</f>
        <v/>
      </c>
      <c r="I327" s="24">
        <f>IF(OR($A327="",NOT(OR(Deals!$F279="Active",Deals!$F279="Proposal"))),"",TRIM(IF($E327=0," Unstaffed","")&amp;IF(IF(Deals!$U279="",FALSE,OR(AND(IFERROR(INDEX(Templates!$B$3:$B$10,MATCH(Deals!$U279,Templates!$A$3:$A$10,0)),0)&gt;0,COUNTIFS(Assignments!$C$2:$C$769,$A327,Assignments!$F$2:$F$769,"Partner",Assignments!$G$2:$G$769,"Active")=0),AND(IFERROR(INDEX(Templates!$C$3:$C$10,MATCH(Deals!$U279,Templates!$A$3:$A$10,0)),0)&gt;0,COUNTIFS(Assignments!$C$2:$C$769,$A327,Assignments!$F$2:$F$769,"MD",Assignments!$G$2:$G$769,"Active")=0),AND(IFERROR(INDEX(Templates!$D$3:$D$10,MATCH(Deals!$U279,Templates!$A$3:$A$10,0)),0)&gt;0,COUNTIFS(Assignments!$C$2:$C$769,$A327,Assignments!$F$2:$F$769,"Director",Assignments!$G$2:$G$769,"Active")=0),AND(IFERROR(INDEX(Templates!$E$3:$E$10,MATCH(Deals!$U279,Templates!$A$3:$A$10,0)),0)&gt;0,COUNTIFS(Assignments!$C$2:$C$769,$A327,Assignments!$F$2:$F$769,"VP",Assignments!$G$2:$G$769,"Active")=0),AND(IFERROR(INDEX(Templates!$F$3:$F$10,MATCH(Deals!$U279,Templates!$A$3:$A$10,0)),0)&gt;0,COUNTIFS(Assignments!$C$2:$C$769,$A327,Assignments!$F$2:$F$769,"Senior Associate",Assignments!$G$2:$G$769,"Active")=0),AND(IFERROR(INDEX(Templates!$G$3:$G$10,MATCH(Deals!$U279,Templates!$A$3:$A$10,0)),0)&gt;0,COUNTIFS(Assignments!$C$2:$C$769,$A327,Assignments!$F$2:$F$769,"Renewable Specialist",Assignments!$G$2:$G$769,"Active")=0),AND(IFERROR(INDEX(Templates!$H$3:$H$10,MATCH(Deals!$U279,Templates!$A$3:$A$10,0)),0)&gt;0,COUNTIFS(Assignments!$C$2:$C$769,$A327,Assignments!$F$2:$F$769,"Associate",Assignments!$G$2:$G$769,"Active")=0)))," MissingLevel","")&amp;IF(AND($C327="Proposal",Deals!$H279=0.5)," DefaultProbability","")&amp;IF($F327="No"," NoDates","")&amp;IF(AND(ISNUMBER($H327),$H327&gt;=Settings!$B$20)," Stale","")))</f>
        <v/>
      </c>
    </row>
    <row r="328">
      <c r="A328" s="16">
        <f>IF(Deals!$A280="","",Deals!$A280)</f>
        <v/>
      </c>
      <c r="B328" s="16">
        <f>IF($A328="","",Deals!$C280)</f>
        <v/>
      </c>
      <c r="C328" s="16">
        <f>IF($A328="","",Deals!$F280)</f>
        <v/>
      </c>
      <c r="D328" s="21">
        <f>IF($A328="","",Deals!$H280)</f>
        <v/>
      </c>
      <c r="E328" s="17">
        <f>IF($A328="","",Deals!$Q280)</f>
        <v/>
      </c>
      <c r="F328" s="16">
        <f>IF($A328="","",IF(AND(Deals!$I280&lt;&gt;"",Deals!$J280&lt;&gt;""),"Yes","No"))</f>
        <v/>
      </c>
      <c r="G328" s="22">
        <f>IF($A328="","",Deals!$Z280)</f>
        <v/>
      </c>
      <c r="H328" s="23">
        <f>IF(OR($A328="",$G328=""),"",INT((Settings!$B$19-$G328)/7))</f>
        <v/>
      </c>
      <c r="I328" s="24">
        <f>IF(OR($A328="",NOT(OR(Deals!$F280="Active",Deals!$F280="Proposal"))),"",TRIM(IF($E328=0," Unstaffed","")&amp;IF(IF(Deals!$U280="",FALSE,OR(AND(IFERROR(INDEX(Templates!$B$3:$B$10,MATCH(Deals!$U280,Templates!$A$3:$A$10,0)),0)&gt;0,COUNTIFS(Assignments!$C$2:$C$769,$A328,Assignments!$F$2:$F$769,"Partner",Assignments!$G$2:$G$769,"Active")=0),AND(IFERROR(INDEX(Templates!$C$3:$C$10,MATCH(Deals!$U280,Templates!$A$3:$A$10,0)),0)&gt;0,COUNTIFS(Assignments!$C$2:$C$769,$A328,Assignments!$F$2:$F$769,"MD",Assignments!$G$2:$G$769,"Active")=0),AND(IFERROR(INDEX(Templates!$D$3:$D$10,MATCH(Deals!$U280,Templates!$A$3:$A$10,0)),0)&gt;0,COUNTIFS(Assignments!$C$2:$C$769,$A328,Assignments!$F$2:$F$769,"Director",Assignments!$G$2:$G$769,"Active")=0),AND(IFERROR(INDEX(Templates!$E$3:$E$10,MATCH(Deals!$U280,Templates!$A$3:$A$10,0)),0)&gt;0,COUNTIFS(Assignments!$C$2:$C$769,$A328,Assignments!$F$2:$F$769,"VP",Assignments!$G$2:$G$769,"Active")=0),AND(IFERROR(INDEX(Templates!$F$3:$F$10,MATCH(Deals!$U280,Templates!$A$3:$A$10,0)),0)&gt;0,COUNTIFS(Assignments!$C$2:$C$769,$A328,Assignments!$F$2:$F$769,"Senior Associate",Assignments!$G$2:$G$769,"Active")=0),AND(IFERROR(INDEX(Templates!$G$3:$G$10,MATCH(Deals!$U280,Templates!$A$3:$A$10,0)),0)&gt;0,COUNTIFS(Assignments!$C$2:$C$769,$A328,Assignments!$F$2:$F$769,"Renewable Specialist",Assignments!$G$2:$G$769,"Active")=0),AND(IFERROR(INDEX(Templates!$H$3:$H$10,MATCH(Deals!$U280,Templates!$A$3:$A$10,0)),0)&gt;0,COUNTIFS(Assignments!$C$2:$C$769,$A328,Assignments!$F$2:$F$769,"Associate",Assignments!$G$2:$G$769,"Active")=0)))," MissingLevel","")&amp;IF(AND($C328="Proposal",Deals!$H280=0.5)," DefaultProbability","")&amp;IF($F328="No"," NoDates","")&amp;IF(AND(ISNUMBER($H328),$H328&gt;=Settings!$B$20)," Stale","")))</f>
        <v/>
      </c>
    </row>
    <row r="329">
      <c r="A329" s="16">
        <f>IF(Deals!$A281="","",Deals!$A281)</f>
        <v/>
      </c>
      <c r="B329" s="16">
        <f>IF($A329="","",Deals!$C281)</f>
        <v/>
      </c>
      <c r="C329" s="16">
        <f>IF($A329="","",Deals!$F281)</f>
        <v/>
      </c>
      <c r="D329" s="21">
        <f>IF($A329="","",Deals!$H281)</f>
        <v/>
      </c>
      <c r="E329" s="17">
        <f>IF($A329="","",Deals!$Q281)</f>
        <v/>
      </c>
      <c r="F329" s="16">
        <f>IF($A329="","",IF(AND(Deals!$I281&lt;&gt;"",Deals!$J281&lt;&gt;""),"Yes","No"))</f>
        <v/>
      </c>
      <c r="G329" s="22">
        <f>IF($A329="","",Deals!$Z281)</f>
        <v/>
      </c>
      <c r="H329" s="23">
        <f>IF(OR($A329="",$G329=""),"",INT((Settings!$B$19-$G329)/7))</f>
        <v/>
      </c>
      <c r="I329" s="24">
        <f>IF(OR($A329="",NOT(OR(Deals!$F281="Active",Deals!$F281="Proposal"))),"",TRIM(IF($E329=0," Unstaffed","")&amp;IF(IF(Deals!$U281="",FALSE,OR(AND(IFERROR(INDEX(Templates!$B$3:$B$10,MATCH(Deals!$U281,Templates!$A$3:$A$10,0)),0)&gt;0,COUNTIFS(Assignments!$C$2:$C$769,$A329,Assignments!$F$2:$F$769,"Partner",Assignments!$G$2:$G$769,"Active")=0),AND(IFERROR(INDEX(Templates!$C$3:$C$10,MATCH(Deals!$U281,Templates!$A$3:$A$10,0)),0)&gt;0,COUNTIFS(Assignments!$C$2:$C$769,$A329,Assignments!$F$2:$F$769,"MD",Assignments!$G$2:$G$769,"Active")=0),AND(IFERROR(INDEX(Templates!$D$3:$D$10,MATCH(Deals!$U281,Templates!$A$3:$A$10,0)),0)&gt;0,COUNTIFS(Assignments!$C$2:$C$769,$A329,Assignments!$F$2:$F$769,"Director",Assignments!$G$2:$G$769,"Active")=0),AND(IFERROR(INDEX(Templates!$E$3:$E$10,MATCH(Deals!$U281,Templates!$A$3:$A$10,0)),0)&gt;0,COUNTIFS(Assignments!$C$2:$C$769,$A329,Assignments!$F$2:$F$769,"VP",Assignments!$G$2:$G$769,"Active")=0),AND(IFERROR(INDEX(Templates!$F$3:$F$10,MATCH(Deals!$U281,Templates!$A$3:$A$10,0)),0)&gt;0,COUNTIFS(Assignments!$C$2:$C$769,$A329,Assignments!$F$2:$F$769,"Senior Associate",Assignments!$G$2:$G$769,"Active")=0),AND(IFERROR(INDEX(Templates!$G$3:$G$10,MATCH(Deals!$U281,Templates!$A$3:$A$10,0)),0)&gt;0,COUNTIFS(Assignments!$C$2:$C$769,$A329,Assignments!$F$2:$F$769,"Renewable Specialist",Assignments!$G$2:$G$769,"Active")=0),AND(IFERROR(INDEX(Templates!$H$3:$H$10,MATCH(Deals!$U281,Templates!$A$3:$A$10,0)),0)&gt;0,COUNTIFS(Assignments!$C$2:$C$769,$A329,Assignments!$F$2:$F$769,"Associate",Assignments!$G$2:$G$769,"Active")=0)))," MissingLevel","")&amp;IF(AND($C329="Proposal",Deals!$H281=0.5)," DefaultProbability","")&amp;IF($F329="No"," NoDates","")&amp;IF(AND(ISNUMBER($H329),$H329&gt;=Settings!$B$20)," Stale","")))</f>
        <v/>
      </c>
    </row>
    <row r="330">
      <c r="A330" s="16">
        <f>IF(Deals!$A282="","",Deals!$A282)</f>
        <v/>
      </c>
      <c r="B330" s="16">
        <f>IF($A330="","",Deals!$C282)</f>
        <v/>
      </c>
      <c r="C330" s="16">
        <f>IF($A330="","",Deals!$F282)</f>
        <v/>
      </c>
      <c r="D330" s="21">
        <f>IF($A330="","",Deals!$H282)</f>
        <v/>
      </c>
      <c r="E330" s="17">
        <f>IF($A330="","",Deals!$Q282)</f>
        <v/>
      </c>
      <c r="F330" s="16">
        <f>IF($A330="","",IF(AND(Deals!$I282&lt;&gt;"",Deals!$J282&lt;&gt;""),"Yes","No"))</f>
        <v/>
      </c>
      <c r="G330" s="22">
        <f>IF($A330="","",Deals!$Z282)</f>
        <v/>
      </c>
      <c r="H330" s="23">
        <f>IF(OR($A330="",$G330=""),"",INT((Settings!$B$19-$G330)/7))</f>
        <v/>
      </c>
      <c r="I330" s="24">
        <f>IF(OR($A330="",NOT(OR(Deals!$F282="Active",Deals!$F282="Proposal"))),"",TRIM(IF($E330=0," Unstaffed","")&amp;IF(IF(Deals!$U282="",FALSE,OR(AND(IFERROR(INDEX(Templates!$B$3:$B$10,MATCH(Deals!$U282,Templates!$A$3:$A$10,0)),0)&gt;0,COUNTIFS(Assignments!$C$2:$C$769,$A330,Assignments!$F$2:$F$769,"Partner",Assignments!$G$2:$G$769,"Active")=0),AND(IFERROR(INDEX(Templates!$C$3:$C$10,MATCH(Deals!$U282,Templates!$A$3:$A$10,0)),0)&gt;0,COUNTIFS(Assignments!$C$2:$C$769,$A330,Assignments!$F$2:$F$769,"MD",Assignments!$G$2:$G$769,"Active")=0),AND(IFERROR(INDEX(Templates!$D$3:$D$10,MATCH(Deals!$U282,Templates!$A$3:$A$10,0)),0)&gt;0,COUNTIFS(Assignments!$C$2:$C$769,$A330,Assignments!$F$2:$F$769,"Director",Assignments!$G$2:$G$769,"Active")=0),AND(IFERROR(INDEX(Templates!$E$3:$E$10,MATCH(Deals!$U282,Templates!$A$3:$A$10,0)),0)&gt;0,COUNTIFS(Assignments!$C$2:$C$769,$A330,Assignments!$F$2:$F$769,"VP",Assignments!$G$2:$G$769,"Active")=0),AND(IFERROR(INDEX(Templates!$F$3:$F$10,MATCH(Deals!$U282,Templates!$A$3:$A$10,0)),0)&gt;0,COUNTIFS(Assignments!$C$2:$C$769,$A330,Assignments!$F$2:$F$769,"Senior Associate",Assignments!$G$2:$G$769,"Active")=0),AND(IFERROR(INDEX(Templates!$G$3:$G$10,MATCH(Deals!$U282,Templates!$A$3:$A$10,0)),0)&gt;0,COUNTIFS(Assignments!$C$2:$C$769,$A330,Assignments!$F$2:$F$769,"Renewable Specialist",Assignments!$G$2:$G$769,"Active")=0),AND(IFERROR(INDEX(Templates!$H$3:$H$10,MATCH(Deals!$U282,Templates!$A$3:$A$10,0)),0)&gt;0,COUNTIFS(Assignments!$C$2:$C$769,$A330,Assignments!$F$2:$F$769,"Associate",Assignments!$G$2:$G$769,"Active")=0)))," MissingLevel","")&amp;IF(AND($C330="Proposal",Deals!$H282=0.5)," DefaultProbability","")&amp;IF($F330="No"," NoDates","")&amp;IF(AND(ISNUMBER($H330),$H330&gt;=Settings!$B$20)," Stale","")))</f>
        <v/>
      </c>
    </row>
    <row r="331">
      <c r="A331" s="16">
        <f>IF(Deals!$A283="","",Deals!$A283)</f>
        <v/>
      </c>
      <c r="B331" s="16">
        <f>IF($A331="","",Deals!$C283)</f>
        <v/>
      </c>
      <c r="C331" s="16">
        <f>IF($A331="","",Deals!$F283)</f>
        <v/>
      </c>
      <c r="D331" s="21">
        <f>IF($A331="","",Deals!$H283)</f>
        <v/>
      </c>
      <c r="E331" s="17">
        <f>IF($A331="","",Deals!$Q283)</f>
        <v/>
      </c>
      <c r="F331" s="16">
        <f>IF($A331="","",IF(AND(Deals!$I283&lt;&gt;"",Deals!$J283&lt;&gt;""),"Yes","No"))</f>
        <v/>
      </c>
      <c r="G331" s="22">
        <f>IF($A331="","",Deals!$Z283)</f>
        <v/>
      </c>
      <c r="H331" s="23">
        <f>IF(OR($A331="",$G331=""),"",INT((Settings!$B$19-$G331)/7))</f>
        <v/>
      </c>
      <c r="I331" s="24">
        <f>IF(OR($A331="",NOT(OR(Deals!$F283="Active",Deals!$F283="Proposal"))),"",TRIM(IF($E331=0," Unstaffed","")&amp;IF(IF(Deals!$U283="",FALSE,OR(AND(IFERROR(INDEX(Templates!$B$3:$B$10,MATCH(Deals!$U283,Templates!$A$3:$A$10,0)),0)&gt;0,COUNTIFS(Assignments!$C$2:$C$769,$A331,Assignments!$F$2:$F$769,"Partner",Assignments!$G$2:$G$769,"Active")=0),AND(IFERROR(INDEX(Templates!$C$3:$C$10,MATCH(Deals!$U283,Templates!$A$3:$A$10,0)),0)&gt;0,COUNTIFS(Assignments!$C$2:$C$769,$A331,Assignments!$F$2:$F$769,"MD",Assignments!$G$2:$G$769,"Active")=0),AND(IFERROR(INDEX(Templates!$D$3:$D$10,MATCH(Deals!$U283,Templates!$A$3:$A$10,0)),0)&gt;0,COUNTIFS(Assignments!$C$2:$C$769,$A331,Assignments!$F$2:$F$769,"Director",Assignments!$G$2:$G$769,"Active")=0),AND(IFERROR(INDEX(Templates!$E$3:$E$10,MATCH(Deals!$U283,Templates!$A$3:$A$10,0)),0)&gt;0,COUNTIFS(Assignments!$C$2:$C$769,$A331,Assignments!$F$2:$F$769,"VP",Assignments!$G$2:$G$769,"Active")=0),AND(IFERROR(INDEX(Templates!$F$3:$F$10,MATCH(Deals!$U283,Templates!$A$3:$A$10,0)),0)&gt;0,COUNTIFS(Assignments!$C$2:$C$769,$A331,Assignments!$F$2:$F$769,"Senior Associate",Assignments!$G$2:$G$769,"Active")=0),AND(IFERROR(INDEX(Templates!$G$3:$G$10,MATCH(Deals!$U283,Templates!$A$3:$A$10,0)),0)&gt;0,COUNTIFS(Assignments!$C$2:$C$769,$A331,Assignments!$F$2:$F$769,"Renewable Specialist",Assignments!$G$2:$G$769,"Active")=0),AND(IFERROR(INDEX(Templates!$H$3:$H$10,MATCH(Deals!$U283,Templates!$A$3:$A$10,0)),0)&gt;0,COUNTIFS(Assignments!$C$2:$C$769,$A331,Assignments!$F$2:$F$769,"Associate",Assignments!$G$2:$G$769,"Active")=0)))," MissingLevel","")&amp;IF(AND($C331="Proposal",Deals!$H283=0.5)," DefaultProbability","")&amp;IF($F331="No"," NoDates","")&amp;IF(AND(ISNUMBER($H331),$H331&gt;=Settings!$B$20)," Stale","")))</f>
        <v/>
      </c>
    </row>
    <row r="332">
      <c r="A332" s="16">
        <f>IF(Deals!$A284="","",Deals!$A284)</f>
        <v/>
      </c>
      <c r="B332" s="16">
        <f>IF($A332="","",Deals!$C284)</f>
        <v/>
      </c>
      <c r="C332" s="16">
        <f>IF($A332="","",Deals!$F284)</f>
        <v/>
      </c>
      <c r="D332" s="21">
        <f>IF($A332="","",Deals!$H284)</f>
        <v/>
      </c>
      <c r="E332" s="17">
        <f>IF($A332="","",Deals!$Q284)</f>
        <v/>
      </c>
      <c r="F332" s="16">
        <f>IF($A332="","",IF(AND(Deals!$I284&lt;&gt;"",Deals!$J284&lt;&gt;""),"Yes","No"))</f>
        <v/>
      </c>
      <c r="G332" s="22">
        <f>IF($A332="","",Deals!$Z284)</f>
        <v/>
      </c>
      <c r="H332" s="23">
        <f>IF(OR($A332="",$G332=""),"",INT((Settings!$B$19-$G332)/7))</f>
        <v/>
      </c>
      <c r="I332" s="24">
        <f>IF(OR($A332="",NOT(OR(Deals!$F284="Active",Deals!$F284="Proposal"))),"",TRIM(IF($E332=0," Unstaffed","")&amp;IF(IF(Deals!$U284="",FALSE,OR(AND(IFERROR(INDEX(Templates!$B$3:$B$10,MATCH(Deals!$U284,Templates!$A$3:$A$10,0)),0)&gt;0,COUNTIFS(Assignments!$C$2:$C$769,$A332,Assignments!$F$2:$F$769,"Partner",Assignments!$G$2:$G$769,"Active")=0),AND(IFERROR(INDEX(Templates!$C$3:$C$10,MATCH(Deals!$U284,Templates!$A$3:$A$10,0)),0)&gt;0,COUNTIFS(Assignments!$C$2:$C$769,$A332,Assignments!$F$2:$F$769,"MD",Assignments!$G$2:$G$769,"Active")=0),AND(IFERROR(INDEX(Templates!$D$3:$D$10,MATCH(Deals!$U284,Templates!$A$3:$A$10,0)),0)&gt;0,COUNTIFS(Assignments!$C$2:$C$769,$A332,Assignments!$F$2:$F$769,"Director",Assignments!$G$2:$G$769,"Active")=0),AND(IFERROR(INDEX(Templates!$E$3:$E$10,MATCH(Deals!$U284,Templates!$A$3:$A$10,0)),0)&gt;0,COUNTIFS(Assignments!$C$2:$C$769,$A332,Assignments!$F$2:$F$769,"VP",Assignments!$G$2:$G$769,"Active")=0),AND(IFERROR(INDEX(Templates!$F$3:$F$10,MATCH(Deals!$U284,Templates!$A$3:$A$10,0)),0)&gt;0,COUNTIFS(Assignments!$C$2:$C$769,$A332,Assignments!$F$2:$F$769,"Senior Associate",Assignments!$G$2:$G$769,"Active")=0),AND(IFERROR(INDEX(Templates!$G$3:$G$10,MATCH(Deals!$U284,Templates!$A$3:$A$10,0)),0)&gt;0,COUNTIFS(Assignments!$C$2:$C$769,$A332,Assignments!$F$2:$F$769,"Renewable Specialist",Assignments!$G$2:$G$769,"Active")=0),AND(IFERROR(INDEX(Templates!$H$3:$H$10,MATCH(Deals!$U284,Templates!$A$3:$A$10,0)),0)&gt;0,COUNTIFS(Assignments!$C$2:$C$769,$A332,Assignments!$F$2:$F$769,"Associate",Assignments!$G$2:$G$769,"Active")=0)))," MissingLevel","")&amp;IF(AND($C332="Proposal",Deals!$H284=0.5)," DefaultProbability","")&amp;IF($F332="No"," NoDates","")&amp;IF(AND(ISNUMBER($H332),$H332&gt;=Settings!$B$20)," Stale","")))</f>
        <v/>
      </c>
    </row>
    <row r="333">
      <c r="A333" s="16">
        <f>IF(Deals!$A285="","",Deals!$A285)</f>
        <v/>
      </c>
      <c r="B333" s="16">
        <f>IF($A333="","",Deals!$C285)</f>
        <v/>
      </c>
      <c r="C333" s="16">
        <f>IF($A333="","",Deals!$F285)</f>
        <v/>
      </c>
      <c r="D333" s="21">
        <f>IF($A333="","",Deals!$H285)</f>
        <v/>
      </c>
      <c r="E333" s="17">
        <f>IF($A333="","",Deals!$Q285)</f>
        <v/>
      </c>
      <c r="F333" s="16">
        <f>IF($A333="","",IF(AND(Deals!$I285&lt;&gt;"",Deals!$J285&lt;&gt;""),"Yes","No"))</f>
        <v/>
      </c>
      <c r="G333" s="22">
        <f>IF($A333="","",Deals!$Z285)</f>
        <v/>
      </c>
      <c r="H333" s="23">
        <f>IF(OR($A333="",$G333=""),"",INT((Settings!$B$19-$G333)/7))</f>
        <v/>
      </c>
      <c r="I333" s="24">
        <f>IF(OR($A333="",NOT(OR(Deals!$F285="Active",Deals!$F285="Proposal"))),"",TRIM(IF($E333=0," Unstaffed","")&amp;IF(IF(Deals!$U285="",FALSE,OR(AND(IFERROR(INDEX(Templates!$B$3:$B$10,MATCH(Deals!$U285,Templates!$A$3:$A$10,0)),0)&gt;0,COUNTIFS(Assignments!$C$2:$C$769,$A333,Assignments!$F$2:$F$769,"Partner",Assignments!$G$2:$G$769,"Active")=0),AND(IFERROR(INDEX(Templates!$C$3:$C$10,MATCH(Deals!$U285,Templates!$A$3:$A$10,0)),0)&gt;0,COUNTIFS(Assignments!$C$2:$C$769,$A333,Assignments!$F$2:$F$769,"MD",Assignments!$G$2:$G$769,"Active")=0),AND(IFERROR(INDEX(Templates!$D$3:$D$10,MATCH(Deals!$U285,Templates!$A$3:$A$10,0)),0)&gt;0,COUNTIFS(Assignments!$C$2:$C$769,$A333,Assignments!$F$2:$F$769,"Director",Assignments!$G$2:$G$769,"Active")=0),AND(IFERROR(INDEX(Templates!$E$3:$E$10,MATCH(Deals!$U285,Templates!$A$3:$A$10,0)),0)&gt;0,COUNTIFS(Assignments!$C$2:$C$769,$A333,Assignments!$F$2:$F$769,"VP",Assignments!$G$2:$G$769,"Active")=0),AND(IFERROR(INDEX(Templates!$F$3:$F$10,MATCH(Deals!$U285,Templates!$A$3:$A$10,0)),0)&gt;0,COUNTIFS(Assignments!$C$2:$C$769,$A333,Assignments!$F$2:$F$769,"Senior Associate",Assignments!$G$2:$G$769,"Active")=0),AND(IFERROR(INDEX(Templates!$G$3:$G$10,MATCH(Deals!$U285,Templates!$A$3:$A$10,0)),0)&gt;0,COUNTIFS(Assignments!$C$2:$C$769,$A333,Assignments!$F$2:$F$769,"Renewable Specialist",Assignments!$G$2:$G$769,"Active")=0),AND(IFERROR(INDEX(Templates!$H$3:$H$10,MATCH(Deals!$U285,Templates!$A$3:$A$10,0)),0)&gt;0,COUNTIFS(Assignments!$C$2:$C$769,$A333,Assignments!$F$2:$F$769,"Associate",Assignments!$G$2:$G$769,"Active")=0)))," MissingLevel","")&amp;IF(AND($C333="Proposal",Deals!$H285=0.5)," DefaultProbability","")&amp;IF($F333="No"," NoDates","")&amp;IF(AND(ISNUMBER($H333),$H333&gt;=Settings!$B$20)," Stale","")))</f>
        <v/>
      </c>
    </row>
    <row r="334">
      <c r="A334" s="16">
        <f>IF(Deals!$A286="","",Deals!$A286)</f>
        <v/>
      </c>
      <c r="B334" s="16">
        <f>IF($A334="","",Deals!$C286)</f>
        <v/>
      </c>
      <c r="C334" s="16">
        <f>IF($A334="","",Deals!$F286)</f>
        <v/>
      </c>
      <c r="D334" s="21">
        <f>IF($A334="","",Deals!$H286)</f>
        <v/>
      </c>
      <c r="E334" s="17">
        <f>IF($A334="","",Deals!$Q286)</f>
        <v/>
      </c>
      <c r="F334" s="16">
        <f>IF($A334="","",IF(AND(Deals!$I286&lt;&gt;"",Deals!$J286&lt;&gt;""),"Yes","No"))</f>
        <v/>
      </c>
      <c r="G334" s="22">
        <f>IF($A334="","",Deals!$Z286)</f>
        <v/>
      </c>
      <c r="H334" s="23">
        <f>IF(OR($A334="",$G334=""),"",INT((Settings!$B$19-$G334)/7))</f>
        <v/>
      </c>
      <c r="I334" s="24">
        <f>IF(OR($A334="",NOT(OR(Deals!$F286="Active",Deals!$F286="Proposal"))),"",TRIM(IF($E334=0," Unstaffed","")&amp;IF(IF(Deals!$U286="",FALSE,OR(AND(IFERROR(INDEX(Templates!$B$3:$B$10,MATCH(Deals!$U286,Templates!$A$3:$A$10,0)),0)&gt;0,COUNTIFS(Assignments!$C$2:$C$769,$A334,Assignments!$F$2:$F$769,"Partner",Assignments!$G$2:$G$769,"Active")=0),AND(IFERROR(INDEX(Templates!$C$3:$C$10,MATCH(Deals!$U286,Templates!$A$3:$A$10,0)),0)&gt;0,COUNTIFS(Assignments!$C$2:$C$769,$A334,Assignments!$F$2:$F$769,"MD",Assignments!$G$2:$G$769,"Active")=0),AND(IFERROR(INDEX(Templates!$D$3:$D$10,MATCH(Deals!$U286,Templates!$A$3:$A$10,0)),0)&gt;0,COUNTIFS(Assignments!$C$2:$C$769,$A334,Assignments!$F$2:$F$769,"Director",Assignments!$G$2:$G$769,"Active")=0),AND(IFERROR(INDEX(Templates!$E$3:$E$10,MATCH(Deals!$U286,Templates!$A$3:$A$10,0)),0)&gt;0,COUNTIFS(Assignments!$C$2:$C$769,$A334,Assignments!$F$2:$F$769,"VP",Assignments!$G$2:$G$769,"Active")=0),AND(IFERROR(INDEX(Templates!$F$3:$F$10,MATCH(Deals!$U286,Templates!$A$3:$A$10,0)),0)&gt;0,COUNTIFS(Assignments!$C$2:$C$769,$A334,Assignments!$F$2:$F$769,"Senior Associate",Assignments!$G$2:$G$769,"Active")=0),AND(IFERROR(INDEX(Templates!$G$3:$G$10,MATCH(Deals!$U286,Templates!$A$3:$A$10,0)),0)&gt;0,COUNTIFS(Assignments!$C$2:$C$769,$A334,Assignments!$F$2:$F$769,"Renewable Specialist",Assignments!$G$2:$G$769,"Active")=0),AND(IFERROR(INDEX(Templates!$H$3:$H$10,MATCH(Deals!$U286,Templates!$A$3:$A$10,0)),0)&gt;0,COUNTIFS(Assignments!$C$2:$C$769,$A334,Assignments!$F$2:$F$769,"Associate",Assignments!$G$2:$G$769,"Active")=0)))," MissingLevel","")&amp;IF(AND($C334="Proposal",Deals!$H286=0.5)," DefaultProbability","")&amp;IF($F334="No"," NoDates","")&amp;IF(AND(ISNUMBER($H334),$H334&gt;=Settings!$B$20)," Stale","")))</f>
        <v/>
      </c>
    </row>
    <row r="335">
      <c r="A335" s="16">
        <f>IF(Deals!$A287="","",Deals!$A287)</f>
        <v/>
      </c>
      <c r="B335" s="16">
        <f>IF($A335="","",Deals!$C287)</f>
        <v/>
      </c>
      <c r="C335" s="16">
        <f>IF($A335="","",Deals!$F287)</f>
        <v/>
      </c>
      <c r="D335" s="21">
        <f>IF($A335="","",Deals!$H287)</f>
        <v/>
      </c>
      <c r="E335" s="17">
        <f>IF($A335="","",Deals!$Q287)</f>
        <v/>
      </c>
      <c r="F335" s="16">
        <f>IF($A335="","",IF(AND(Deals!$I287&lt;&gt;"",Deals!$J287&lt;&gt;""),"Yes","No"))</f>
        <v/>
      </c>
      <c r="G335" s="22">
        <f>IF($A335="","",Deals!$Z287)</f>
        <v/>
      </c>
      <c r="H335" s="23">
        <f>IF(OR($A335="",$G335=""),"",INT((Settings!$B$19-$G335)/7))</f>
        <v/>
      </c>
      <c r="I335" s="24">
        <f>IF(OR($A335="",NOT(OR(Deals!$F287="Active",Deals!$F287="Proposal"))),"",TRIM(IF($E335=0," Unstaffed","")&amp;IF(IF(Deals!$U287="",FALSE,OR(AND(IFERROR(INDEX(Templates!$B$3:$B$10,MATCH(Deals!$U287,Templates!$A$3:$A$10,0)),0)&gt;0,COUNTIFS(Assignments!$C$2:$C$769,$A335,Assignments!$F$2:$F$769,"Partner",Assignments!$G$2:$G$769,"Active")=0),AND(IFERROR(INDEX(Templates!$C$3:$C$10,MATCH(Deals!$U287,Templates!$A$3:$A$10,0)),0)&gt;0,COUNTIFS(Assignments!$C$2:$C$769,$A335,Assignments!$F$2:$F$769,"MD",Assignments!$G$2:$G$769,"Active")=0),AND(IFERROR(INDEX(Templates!$D$3:$D$10,MATCH(Deals!$U287,Templates!$A$3:$A$10,0)),0)&gt;0,COUNTIFS(Assignments!$C$2:$C$769,$A335,Assignments!$F$2:$F$769,"Director",Assignments!$G$2:$G$769,"Active")=0),AND(IFERROR(INDEX(Templates!$E$3:$E$10,MATCH(Deals!$U287,Templates!$A$3:$A$10,0)),0)&gt;0,COUNTIFS(Assignments!$C$2:$C$769,$A335,Assignments!$F$2:$F$769,"VP",Assignments!$G$2:$G$769,"Active")=0),AND(IFERROR(INDEX(Templates!$F$3:$F$10,MATCH(Deals!$U287,Templates!$A$3:$A$10,0)),0)&gt;0,COUNTIFS(Assignments!$C$2:$C$769,$A335,Assignments!$F$2:$F$769,"Senior Associate",Assignments!$G$2:$G$769,"Active")=0),AND(IFERROR(INDEX(Templates!$G$3:$G$10,MATCH(Deals!$U287,Templates!$A$3:$A$10,0)),0)&gt;0,COUNTIFS(Assignments!$C$2:$C$769,$A335,Assignments!$F$2:$F$769,"Renewable Specialist",Assignments!$G$2:$G$769,"Active")=0),AND(IFERROR(INDEX(Templates!$H$3:$H$10,MATCH(Deals!$U287,Templates!$A$3:$A$10,0)),0)&gt;0,COUNTIFS(Assignments!$C$2:$C$769,$A335,Assignments!$F$2:$F$769,"Associate",Assignments!$G$2:$G$769,"Active")=0)))," MissingLevel","")&amp;IF(AND($C335="Proposal",Deals!$H287=0.5)," DefaultProbability","")&amp;IF($F335="No"," NoDates","")&amp;IF(AND(ISNUMBER($H335),$H335&gt;=Settings!$B$20)," Stale","")))</f>
        <v/>
      </c>
    </row>
    <row r="336">
      <c r="A336" s="16">
        <f>IF(Deals!$A288="","",Deals!$A288)</f>
        <v/>
      </c>
      <c r="B336" s="16">
        <f>IF($A336="","",Deals!$C288)</f>
        <v/>
      </c>
      <c r="C336" s="16">
        <f>IF($A336="","",Deals!$F288)</f>
        <v/>
      </c>
      <c r="D336" s="21">
        <f>IF($A336="","",Deals!$H288)</f>
        <v/>
      </c>
      <c r="E336" s="17">
        <f>IF($A336="","",Deals!$Q288)</f>
        <v/>
      </c>
      <c r="F336" s="16">
        <f>IF($A336="","",IF(AND(Deals!$I288&lt;&gt;"",Deals!$J288&lt;&gt;""),"Yes","No"))</f>
        <v/>
      </c>
      <c r="G336" s="22">
        <f>IF($A336="","",Deals!$Z288)</f>
        <v/>
      </c>
      <c r="H336" s="23">
        <f>IF(OR($A336="",$G336=""),"",INT((Settings!$B$19-$G336)/7))</f>
        <v/>
      </c>
      <c r="I336" s="24">
        <f>IF(OR($A336="",NOT(OR(Deals!$F288="Active",Deals!$F288="Proposal"))),"",TRIM(IF($E336=0," Unstaffed","")&amp;IF(IF(Deals!$U288="",FALSE,OR(AND(IFERROR(INDEX(Templates!$B$3:$B$10,MATCH(Deals!$U288,Templates!$A$3:$A$10,0)),0)&gt;0,COUNTIFS(Assignments!$C$2:$C$769,$A336,Assignments!$F$2:$F$769,"Partner",Assignments!$G$2:$G$769,"Active")=0),AND(IFERROR(INDEX(Templates!$C$3:$C$10,MATCH(Deals!$U288,Templates!$A$3:$A$10,0)),0)&gt;0,COUNTIFS(Assignments!$C$2:$C$769,$A336,Assignments!$F$2:$F$769,"MD",Assignments!$G$2:$G$769,"Active")=0),AND(IFERROR(INDEX(Templates!$D$3:$D$10,MATCH(Deals!$U288,Templates!$A$3:$A$10,0)),0)&gt;0,COUNTIFS(Assignments!$C$2:$C$769,$A336,Assignments!$F$2:$F$769,"Director",Assignments!$G$2:$G$769,"Active")=0),AND(IFERROR(INDEX(Templates!$E$3:$E$10,MATCH(Deals!$U288,Templates!$A$3:$A$10,0)),0)&gt;0,COUNTIFS(Assignments!$C$2:$C$769,$A336,Assignments!$F$2:$F$769,"VP",Assignments!$G$2:$G$769,"Active")=0),AND(IFERROR(INDEX(Templates!$F$3:$F$10,MATCH(Deals!$U288,Templates!$A$3:$A$10,0)),0)&gt;0,COUNTIFS(Assignments!$C$2:$C$769,$A336,Assignments!$F$2:$F$769,"Senior Associate",Assignments!$G$2:$G$769,"Active")=0),AND(IFERROR(INDEX(Templates!$G$3:$G$10,MATCH(Deals!$U288,Templates!$A$3:$A$10,0)),0)&gt;0,COUNTIFS(Assignments!$C$2:$C$769,$A336,Assignments!$F$2:$F$769,"Renewable Specialist",Assignments!$G$2:$G$769,"Active")=0),AND(IFERROR(INDEX(Templates!$H$3:$H$10,MATCH(Deals!$U288,Templates!$A$3:$A$10,0)),0)&gt;0,COUNTIFS(Assignments!$C$2:$C$769,$A336,Assignments!$F$2:$F$769,"Associate",Assignments!$G$2:$G$769,"Active")=0)))," MissingLevel","")&amp;IF(AND($C336="Proposal",Deals!$H288=0.5)," DefaultProbability","")&amp;IF($F336="No"," NoDates","")&amp;IF(AND(ISNUMBER($H336),$H336&gt;=Settings!$B$20)," Stale","")))</f>
        <v/>
      </c>
    </row>
    <row r="337">
      <c r="A337" s="16">
        <f>IF(Deals!$A289="","",Deals!$A289)</f>
        <v/>
      </c>
      <c r="B337" s="16">
        <f>IF($A337="","",Deals!$C289)</f>
        <v/>
      </c>
      <c r="C337" s="16">
        <f>IF($A337="","",Deals!$F289)</f>
        <v/>
      </c>
      <c r="D337" s="21">
        <f>IF($A337="","",Deals!$H289)</f>
        <v/>
      </c>
      <c r="E337" s="17">
        <f>IF($A337="","",Deals!$Q289)</f>
        <v/>
      </c>
      <c r="F337" s="16">
        <f>IF($A337="","",IF(AND(Deals!$I289&lt;&gt;"",Deals!$J289&lt;&gt;""),"Yes","No"))</f>
        <v/>
      </c>
      <c r="G337" s="22">
        <f>IF($A337="","",Deals!$Z289)</f>
        <v/>
      </c>
      <c r="H337" s="23">
        <f>IF(OR($A337="",$G337=""),"",INT((Settings!$B$19-$G337)/7))</f>
        <v/>
      </c>
      <c r="I337" s="24">
        <f>IF(OR($A337="",NOT(OR(Deals!$F289="Active",Deals!$F289="Proposal"))),"",TRIM(IF($E337=0," Unstaffed","")&amp;IF(IF(Deals!$U289="",FALSE,OR(AND(IFERROR(INDEX(Templates!$B$3:$B$10,MATCH(Deals!$U289,Templates!$A$3:$A$10,0)),0)&gt;0,COUNTIFS(Assignments!$C$2:$C$769,$A337,Assignments!$F$2:$F$769,"Partner",Assignments!$G$2:$G$769,"Active")=0),AND(IFERROR(INDEX(Templates!$C$3:$C$10,MATCH(Deals!$U289,Templates!$A$3:$A$10,0)),0)&gt;0,COUNTIFS(Assignments!$C$2:$C$769,$A337,Assignments!$F$2:$F$769,"MD",Assignments!$G$2:$G$769,"Active")=0),AND(IFERROR(INDEX(Templates!$D$3:$D$10,MATCH(Deals!$U289,Templates!$A$3:$A$10,0)),0)&gt;0,COUNTIFS(Assignments!$C$2:$C$769,$A337,Assignments!$F$2:$F$769,"Director",Assignments!$G$2:$G$769,"Active")=0),AND(IFERROR(INDEX(Templates!$E$3:$E$10,MATCH(Deals!$U289,Templates!$A$3:$A$10,0)),0)&gt;0,COUNTIFS(Assignments!$C$2:$C$769,$A337,Assignments!$F$2:$F$769,"VP",Assignments!$G$2:$G$769,"Active")=0),AND(IFERROR(INDEX(Templates!$F$3:$F$10,MATCH(Deals!$U289,Templates!$A$3:$A$10,0)),0)&gt;0,COUNTIFS(Assignments!$C$2:$C$769,$A337,Assignments!$F$2:$F$769,"Senior Associate",Assignments!$G$2:$G$769,"Active")=0),AND(IFERROR(INDEX(Templates!$G$3:$G$10,MATCH(Deals!$U289,Templates!$A$3:$A$10,0)),0)&gt;0,COUNTIFS(Assignments!$C$2:$C$769,$A337,Assignments!$F$2:$F$769,"Renewable Specialist",Assignments!$G$2:$G$769,"Active")=0),AND(IFERROR(INDEX(Templates!$H$3:$H$10,MATCH(Deals!$U289,Templates!$A$3:$A$10,0)),0)&gt;0,COUNTIFS(Assignments!$C$2:$C$769,$A337,Assignments!$F$2:$F$769,"Associate",Assignments!$G$2:$G$769,"Active")=0)))," MissingLevel","")&amp;IF(AND($C337="Proposal",Deals!$H289=0.5)," DefaultProbability","")&amp;IF($F337="No"," NoDates","")&amp;IF(AND(ISNUMBER($H337),$H337&gt;=Settings!$B$20)," Stale","")))</f>
        <v/>
      </c>
    </row>
    <row r="338">
      <c r="A338" s="16">
        <f>IF(Deals!$A290="","",Deals!$A290)</f>
        <v/>
      </c>
      <c r="B338" s="16">
        <f>IF($A338="","",Deals!$C290)</f>
        <v/>
      </c>
      <c r="C338" s="16">
        <f>IF($A338="","",Deals!$F290)</f>
        <v/>
      </c>
      <c r="D338" s="21">
        <f>IF($A338="","",Deals!$H290)</f>
        <v/>
      </c>
      <c r="E338" s="17">
        <f>IF($A338="","",Deals!$Q290)</f>
        <v/>
      </c>
      <c r="F338" s="16">
        <f>IF($A338="","",IF(AND(Deals!$I290&lt;&gt;"",Deals!$J290&lt;&gt;""),"Yes","No"))</f>
        <v/>
      </c>
      <c r="G338" s="22">
        <f>IF($A338="","",Deals!$Z290)</f>
        <v/>
      </c>
      <c r="H338" s="23">
        <f>IF(OR($A338="",$G338=""),"",INT((Settings!$B$19-$G338)/7))</f>
        <v/>
      </c>
      <c r="I338" s="24">
        <f>IF(OR($A338="",NOT(OR(Deals!$F290="Active",Deals!$F290="Proposal"))),"",TRIM(IF($E338=0," Unstaffed","")&amp;IF(IF(Deals!$U290="",FALSE,OR(AND(IFERROR(INDEX(Templates!$B$3:$B$10,MATCH(Deals!$U290,Templates!$A$3:$A$10,0)),0)&gt;0,COUNTIFS(Assignments!$C$2:$C$769,$A338,Assignments!$F$2:$F$769,"Partner",Assignments!$G$2:$G$769,"Active")=0),AND(IFERROR(INDEX(Templates!$C$3:$C$10,MATCH(Deals!$U290,Templates!$A$3:$A$10,0)),0)&gt;0,COUNTIFS(Assignments!$C$2:$C$769,$A338,Assignments!$F$2:$F$769,"MD",Assignments!$G$2:$G$769,"Active")=0),AND(IFERROR(INDEX(Templates!$D$3:$D$10,MATCH(Deals!$U290,Templates!$A$3:$A$10,0)),0)&gt;0,COUNTIFS(Assignments!$C$2:$C$769,$A338,Assignments!$F$2:$F$769,"Director",Assignments!$G$2:$G$769,"Active")=0),AND(IFERROR(INDEX(Templates!$E$3:$E$10,MATCH(Deals!$U290,Templates!$A$3:$A$10,0)),0)&gt;0,COUNTIFS(Assignments!$C$2:$C$769,$A338,Assignments!$F$2:$F$769,"VP",Assignments!$G$2:$G$769,"Active")=0),AND(IFERROR(INDEX(Templates!$F$3:$F$10,MATCH(Deals!$U290,Templates!$A$3:$A$10,0)),0)&gt;0,COUNTIFS(Assignments!$C$2:$C$769,$A338,Assignments!$F$2:$F$769,"Senior Associate",Assignments!$G$2:$G$769,"Active")=0),AND(IFERROR(INDEX(Templates!$G$3:$G$10,MATCH(Deals!$U290,Templates!$A$3:$A$10,0)),0)&gt;0,COUNTIFS(Assignments!$C$2:$C$769,$A338,Assignments!$F$2:$F$769,"Renewable Specialist",Assignments!$G$2:$G$769,"Active")=0),AND(IFERROR(INDEX(Templates!$H$3:$H$10,MATCH(Deals!$U290,Templates!$A$3:$A$10,0)),0)&gt;0,COUNTIFS(Assignments!$C$2:$C$769,$A338,Assignments!$F$2:$F$769,"Associate",Assignments!$G$2:$G$769,"Active")=0)))," MissingLevel","")&amp;IF(AND($C338="Proposal",Deals!$H290=0.5)," DefaultProbability","")&amp;IF($F338="No"," NoDates","")&amp;IF(AND(ISNUMBER($H338),$H338&gt;=Settings!$B$20)," Stale","")))</f>
        <v/>
      </c>
    </row>
    <row r="339">
      <c r="A339" s="16">
        <f>IF(Deals!$A291="","",Deals!$A291)</f>
        <v/>
      </c>
      <c r="B339" s="16">
        <f>IF($A339="","",Deals!$C291)</f>
        <v/>
      </c>
      <c r="C339" s="16">
        <f>IF($A339="","",Deals!$F291)</f>
        <v/>
      </c>
      <c r="D339" s="21">
        <f>IF($A339="","",Deals!$H291)</f>
        <v/>
      </c>
      <c r="E339" s="17">
        <f>IF($A339="","",Deals!$Q291)</f>
        <v/>
      </c>
      <c r="F339" s="16">
        <f>IF($A339="","",IF(AND(Deals!$I291&lt;&gt;"",Deals!$J291&lt;&gt;""),"Yes","No"))</f>
        <v/>
      </c>
      <c r="G339" s="22">
        <f>IF($A339="","",Deals!$Z291)</f>
        <v/>
      </c>
      <c r="H339" s="23">
        <f>IF(OR($A339="",$G339=""),"",INT((Settings!$B$19-$G339)/7))</f>
        <v/>
      </c>
      <c r="I339" s="24">
        <f>IF(OR($A339="",NOT(OR(Deals!$F291="Active",Deals!$F291="Proposal"))),"",TRIM(IF($E339=0," Unstaffed","")&amp;IF(IF(Deals!$U291="",FALSE,OR(AND(IFERROR(INDEX(Templates!$B$3:$B$10,MATCH(Deals!$U291,Templates!$A$3:$A$10,0)),0)&gt;0,COUNTIFS(Assignments!$C$2:$C$769,$A339,Assignments!$F$2:$F$769,"Partner",Assignments!$G$2:$G$769,"Active")=0),AND(IFERROR(INDEX(Templates!$C$3:$C$10,MATCH(Deals!$U291,Templates!$A$3:$A$10,0)),0)&gt;0,COUNTIFS(Assignments!$C$2:$C$769,$A339,Assignments!$F$2:$F$769,"MD",Assignments!$G$2:$G$769,"Active")=0),AND(IFERROR(INDEX(Templates!$D$3:$D$10,MATCH(Deals!$U291,Templates!$A$3:$A$10,0)),0)&gt;0,COUNTIFS(Assignments!$C$2:$C$769,$A339,Assignments!$F$2:$F$769,"Director",Assignments!$G$2:$G$769,"Active")=0),AND(IFERROR(INDEX(Templates!$E$3:$E$10,MATCH(Deals!$U291,Templates!$A$3:$A$10,0)),0)&gt;0,COUNTIFS(Assignments!$C$2:$C$769,$A339,Assignments!$F$2:$F$769,"VP",Assignments!$G$2:$G$769,"Active")=0),AND(IFERROR(INDEX(Templates!$F$3:$F$10,MATCH(Deals!$U291,Templates!$A$3:$A$10,0)),0)&gt;0,COUNTIFS(Assignments!$C$2:$C$769,$A339,Assignments!$F$2:$F$769,"Senior Associate",Assignments!$G$2:$G$769,"Active")=0),AND(IFERROR(INDEX(Templates!$G$3:$G$10,MATCH(Deals!$U291,Templates!$A$3:$A$10,0)),0)&gt;0,COUNTIFS(Assignments!$C$2:$C$769,$A339,Assignments!$F$2:$F$769,"Renewable Specialist",Assignments!$G$2:$G$769,"Active")=0),AND(IFERROR(INDEX(Templates!$H$3:$H$10,MATCH(Deals!$U291,Templates!$A$3:$A$10,0)),0)&gt;0,COUNTIFS(Assignments!$C$2:$C$769,$A339,Assignments!$F$2:$F$769,"Associate",Assignments!$G$2:$G$769,"Active")=0)))," MissingLevel","")&amp;IF(AND($C339="Proposal",Deals!$H291=0.5)," DefaultProbability","")&amp;IF($F339="No"," NoDates","")&amp;IF(AND(ISNUMBER($H339),$H339&gt;=Settings!$B$20)," Stale","")))</f>
        <v/>
      </c>
    </row>
    <row r="340">
      <c r="A340" s="16">
        <f>IF(Deals!$A292="","",Deals!$A292)</f>
        <v/>
      </c>
      <c r="B340" s="16">
        <f>IF($A340="","",Deals!$C292)</f>
        <v/>
      </c>
      <c r="C340" s="16">
        <f>IF($A340="","",Deals!$F292)</f>
        <v/>
      </c>
      <c r="D340" s="21">
        <f>IF($A340="","",Deals!$H292)</f>
        <v/>
      </c>
      <c r="E340" s="17">
        <f>IF($A340="","",Deals!$Q292)</f>
        <v/>
      </c>
      <c r="F340" s="16">
        <f>IF($A340="","",IF(AND(Deals!$I292&lt;&gt;"",Deals!$J292&lt;&gt;""),"Yes","No"))</f>
        <v/>
      </c>
      <c r="G340" s="22">
        <f>IF($A340="","",Deals!$Z292)</f>
        <v/>
      </c>
      <c r="H340" s="23">
        <f>IF(OR($A340="",$G340=""),"",INT((Settings!$B$19-$G340)/7))</f>
        <v/>
      </c>
      <c r="I340" s="24">
        <f>IF(OR($A340="",NOT(OR(Deals!$F292="Active",Deals!$F292="Proposal"))),"",TRIM(IF($E340=0," Unstaffed","")&amp;IF(IF(Deals!$U292="",FALSE,OR(AND(IFERROR(INDEX(Templates!$B$3:$B$10,MATCH(Deals!$U292,Templates!$A$3:$A$10,0)),0)&gt;0,COUNTIFS(Assignments!$C$2:$C$769,$A340,Assignments!$F$2:$F$769,"Partner",Assignments!$G$2:$G$769,"Active")=0),AND(IFERROR(INDEX(Templates!$C$3:$C$10,MATCH(Deals!$U292,Templates!$A$3:$A$10,0)),0)&gt;0,COUNTIFS(Assignments!$C$2:$C$769,$A340,Assignments!$F$2:$F$769,"MD",Assignments!$G$2:$G$769,"Active")=0),AND(IFERROR(INDEX(Templates!$D$3:$D$10,MATCH(Deals!$U292,Templates!$A$3:$A$10,0)),0)&gt;0,COUNTIFS(Assignments!$C$2:$C$769,$A340,Assignments!$F$2:$F$769,"Director",Assignments!$G$2:$G$769,"Active")=0),AND(IFERROR(INDEX(Templates!$E$3:$E$10,MATCH(Deals!$U292,Templates!$A$3:$A$10,0)),0)&gt;0,COUNTIFS(Assignments!$C$2:$C$769,$A340,Assignments!$F$2:$F$769,"VP",Assignments!$G$2:$G$769,"Active")=0),AND(IFERROR(INDEX(Templates!$F$3:$F$10,MATCH(Deals!$U292,Templates!$A$3:$A$10,0)),0)&gt;0,COUNTIFS(Assignments!$C$2:$C$769,$A340,Assignments!$F$2:$F$769,"Senior Associate",Assignments!$G$2:$G$769,"Active")=0),AND(IFERROR(INDEX(Templates!$G$3:$G$10,MATCH(Deals!$U292,Templates!$A$3:$A$10,0)),0)&gt;0,COUNTIFS(Assignments!$C$2:$C$769,$A340,Assignments!$F$2:$F$769,"Renewable Specialist",Assignments!$G$2:$G$769,"Active")=0),AND(IFERROR(INDEX(Templates!$H$3:$H$10,MATCH(Deals!$U292,Templates!$A$3:$A$10,0)),0)&gt;0,COUNTIFS(Assignments!$C$2:$C$769,$A340,Assignments!$F$2:$F$769,"Associate",Assignments!$G$2:$G$769,"Active")=0)))," MissingLevel","")&amp;IF(AND($C340="Proposal",Deals!$H292=0.5)," DefaultProbability","")&amp;IF($F340="No"," NoDates","")&amp;IF(AND(ISNUMBER($H340),$H340&gt;=Settings!$B$20)," Stale","")))</f>
        <v/>
      </c>
    </row>
    <row r="341">
      <c r="A341" s="16">
        <f>IF(Deals!$A293="","",Deals!$A293)</f>
        <v/>
      </c>
      <c r="B341" s="16">
        <f>IF($A341="","",Deals!$C293)</f>
        <v/>
      </c>
      <c r="C341" s="16">
        <f>IF($A341="","",Deals!$F293)</f>
        <v/>
      </c>
      <c r="D341" s="21">
        <f>IF($A341="","",Deals!$H293)</f>
        <v/>
      </c>
      <c r="E341" s="17">
        <f>IF($A341="","",Deals!$Q293)</f>
        <v/>
      </c>
      <c r="F341" s="16">
        <f>IF($A341="","",IF(AND(Deals!$I293&lt;&gt;"",Deals!$J293&lt;&gt;""),"Yes","No"))</f>
        <v/>
      </c>
      <c r="G341" s="22">
        <f>IF($A341="","",Deals!$Z293)</f>
        <v/>
      </c>
      <c r="H341" s="23">
        <f>IF(OR($A341="",$G341=""),"",INT((Settings!$B$19-$G341)/7))</f>
        <v/>
      </c>
      <c r="I341" s="24">
        <f>IF(OR($A341="",NOT(OR(Deals!$F293="Active",Deals!$F293="Proposal"))),"",TRIM(IF($E341=0," Unstaffed","")&amp;IF(IF(Deals!$U293="",FALSE,OR(AND(IFERROR(INDEX(Templates!$B$3:$B$10,MATCH(Deals!$U293,Templates!$A$3:$A$10,0)),0)&gt;0,COUNTIFS(Assignments!$C$2:$C$769,$A341,Assignments!$F$2:$F$769,"Partner",Assignments!$G$2:$G$769,"Active")=0),AND(IFERROR(INDEX(Templates!$C$3:$C$10,MATCH(Deals!$U293,Templates!$A$3:$A$10,0)),0)&gt;0,COUNTIFS(Assignments!$C$2:$C$769,$A341,Assignments!$F$2:$F$769,"MD",Assignments!$G$2:$G$769,"Active")=0),AND(IFERROR(INDEX(Templates!$D$3:$D$10,MATCH(Deals!$U293,Templates!$A$3:$A$10,0)),0)&gt;0,COUNTIFS(Assignments!$C$2:$C$769,$A341,Assignments!$F$2:$F$769,"Director",Assignments!$G$2:$G$769,"Active")=0),AND(IFERROR(INDEX(Templates!$E$3:$E$10,MATCH(Deals!$U293,Templates!$A$3:$A$10,0)),0)&gt;0,COUNTIFS(Assignments!$C$2:$C$769,$A341,Assignments!$F$2:$F$769,"VP",Assignments!$G$2:$G$769,"Active")=0),AND(IFERROR(INDEX(Templates!$F$3:$F$10,MATCH(Deals!$U293,Templates!$A$3:$A$10,0)),0)&gt;0,COUNTIFS(Assignments!$C$2:$C$769,$A341,Assignments!$F$2:$F$769,"Senior Associate",Assignments!$G$2:$G$769,"Active")=0),AND(IFERROR(INDEX(Templates!$G$3:$G$10,MATCH(Deals!$U293,Templates!$A$3:$A$10,0)),0)&gt;0,COUNTIFS(Assignments!$C$2:$C$769,$A341,Assignments!$F$2:$F$769,"Renewable Specialist",Assignments!$G$2:$G$769,"Active")=0),AND(IFERROR(INDEX(Templates!$H$3:$H$10,MATCH(Deals!$U293,Templates!$A$3:$A$10,0)),0)&gt;0,COUNTIFS(Assignments!$C$2:$C$769,$A341,Assignments!$F$2:$F$769,"Associate",Assignments!$G$2:$G$769,"Active")=0)))," MissingLevel","")&amp;IF(AND($C341="Proposal",Deals!$H293=0.5)," DefaultProbability","")&amp;IF($F341="No"," NoDates","")&amp;IF(AND(ISNUMBER($H341),$H341&gt;=Settings!$B$20)," Stale","")))</f>
        <v/>
      </c>
    </row>
    <row r="342">
      <c r="A342" s="16">
        <f>IF(Deals!$A294="","",Deals!$A294)</f>
        <v/>
      </c>
      <c r="B342" s="16">
        <f>IF($A342="","",Deals!$C294)</f>
        <v/>
      </c>
      <c r="C342" s="16">
        <f>IF($A342="","",Deals!$F294)</f>
        <v/>
      </c>
      <c r="D342" s="21">
        <f>IF($A342="","",Deals!$H294)</f>
        <v/>
      </c>
      <c r="E342" s="17">
        <f>IF($A342="","",Deals!$Q294)</f>
        <v/>
      </c>
      <c r="F342" s="16">
        <f>IF($A342="","",IF(AND(Deals!$I294&lt;&gt;"",Deals!$J294&lt;&gt;""),"Yes","No"))</f>
        <v/>
      </c>
      <c r="G342" s="22">
        <f>IF($A342="","",Deals!$Z294)</f>
        <v/>
      </c>
      <c r="H342" s="23">
        <f>IF(OR($A342="",$G342=""),"",INT((Settings!$B$19-$G342)/7))</f>
        <v/>
      </c>
      <c r="I342" s="24">
        <f>IF(OR($A342="",NOT(OR(Deals!$F294="Active",Deals!$F294="Proposal"))),"",TRIM(IF($E342=0," Unstaffed","")&amp;IF(IF(Deals!$U294="",FALSE,OR(AND(IFERROR(INDEX(Templates!$B$3:$B$10,MATCH(Deals!$U294,Templates!$A$3:$A$10,0)),0)&gt;0,COUNTIFS(Assignments!$C$2:$C$769,$A342,Assignments!$F$2:$F$769,"Partner",Assignments!$G$2:$G$769,"Active")=0),AND(IFERROR(INDEX(Templates!$C$3:$C$10,MATCH(Deals!$U294,Templates!$A$3:$A$10,0)),0)&gt;0,COUNTIFS(Assignments!$C$2:$C$769,$A342,Assignments!$F$2:$F$769,"MD",Assignments!$G$2:$G$769,"Active")=0),AND(IFERROR(INDEX(Templates!$D$3:$D$10,MATCH(Deals!$U294,Templates!$A$3:$A$10,0)),0)&gt;0,COUNTIFS(Assignments!$C$2:$C$769,$A342,Assignments!$F$2:$F$769,"Director",Assignments!$G$2:$G$769,"Active")=0),AND(IFERROR(INDEX(Templates!$E$3:$E$10,MATCH(Deals!$U294,Templates!$A$3:$A$10,0)),0)&gt;0,COUNTIFS(Assignments!$C$2:$C$769,$A342,Assignments!$F$2:$F$769,"VP",Assignments!$G$2:$G$769,"Active")=0),AND(IFERROR(INDEX(Templates!$F$3:$F$10,MATCH(Deals!$U294,Templates!$A$3:$A$10,0)),0)&gt;0,COUNTIFS(Assignments!$C$2:$C$769,$A342,Assignments!$F$2:$F$769,"Senior Associate",Assignments!$G$2:$G$769,"Active")=0),AND(IFERROR(INDEX(Templates!$G$3:$G$10,MATCH(Deals!$U294,Templates!$A$3:$A$10,0)),0)&gt;0,COUNTIFS(Assignments!$C$2:$C$769,$A342,Assignments!$F$2:$F$769,"Renewable Specialist",Assignments!$G$2:$G$769,"Active")=0),AND(IFERROR(INDEX(Templates!$H$3:$H$10,MATCH(Deals!$U294,Templates!$A$3:$A$10,0)),0)&gt;0,COUNTIFS(Assignments!$C$2:$C$769,$A342,Assignments!$F$2:$F$769,"Associate",Assignments!$G$2:$G$769,"Active")=0)))," MissingLevel","")&amp;IF(AND($C342="Proposal",Deals!$H294=0.5)," DefaultProbability","")&amp;IF($F342="No"," NoDates","")&amp;IF(AND(ISNUMBER($H342),$H342&gt;=Settings!$B$20)," Stale","")))</f>
        <v/>
      </c>
    </row>
    <row r="343">
      <c r="A343" s="16">
        <f>IF(Deals!$A295="","",Deals!$A295)</f>
        <v/>
      </c>
      <c r="B343" s="16">
        <f>IF($A343="","",Deals!$C295)</f>
        <v/>
      </c>
      <c r="C343" s="16">
        <f>IF($A343="","",Deals!$F295)</f>
        <v/>
      </c>
      <c r="D343" s="21">
        <f>IF($A343="","",Deals!$H295)</f>
        <v/>
      </c>
      <c r="E343" s="17">
        <f>IF($A343="","",Deals!$Q295)</f>
        <v/>
      </c>
      <c r="F343" s="16">
        <f>IF($A343="","",IF(AND(Deals!$I295&lt;&gt;"",Deals!$J295&lt;&gt;""),"Yes","No"))</f>
        <v/>
      </c>
      <c r="G343" s="22">
        <f>IF($A343="","",Deals!$Z295)</f>
        <v/>
      </c>
      <c r="H343" s="23">
        <f>IF(OR($A343="",$G343=""),"",INT((Settings!$B$19-$G343)/7))</f>
        <v/>
      </c>
      <c r="I343" s="24">
        <f>IF(OR($A343="",NOT(OR(Deals!$F295="Active",Deals!$F295="Proposal"))),"",TRIM(IF($E343=0," Unstaffed","")&amp;IF(IF(Deals!$U295="",FALSE,OR(AND(IFERROR(INDEX(Templates!$B$3:$B$10,MATCH(Deals!$U295,Templates!$A$3:$A$10,0)),0)&gt;0,COUNTIFS(Assignments!$C$2:$C$769,$A343,Assignments!$F$2:$F$769,"Partner",Assignments!$G$2:$G$769,"Active")=0),AND(IFERROR(INDEX(Templates!$C$3:$C$10,MATCH(Deals!$U295,Templates!$A$3:$A$10,0)),0)&gt;0,COUNTIFS(Assignments!$C$2:$C$769,$A343,Assignments!$F$2:$F$769,"MD",Assignments!$G$2:$G$769,"Active")=0),AND(IFERROR(INDEX(Templates!$D$3:$D$10,MATCH(Deals!$U295,Templates!$A$3:$A$10,0)),0)&gt;0,COUNTIFS(Assignments!$C$2:$C$769,$A343,Assignments!$F$2:$F$769,"Director",Assignments!$G$2:$G$769,"Active")=0),AND(IFERROR(INDEX(Templates!$E$3:$E$10,MATCH(Deals!$U295,Templates!$A$3:$A$10,0)),0)&gt;0,COUNTIFS(Assignments!$C$2:$C$769,$A343,Assignments!$F$2:$F$769,"VP",Assignments!$G$2:$G$769,"Active")=0),AND(IFERROR(INDEX(Templates!$F$3:$F$10,MATCH(Deals!$U295,Templates!$A$3:$A$10,0)),0)&gt;0,COUNTIFS(Assignments!$C$2:$C$769,$A343,Assignments!$F$2:$F$769,"Senior Associate",Assignments!$G$2:$G$769,"Active")=0),AND(IFERROR(INDEX(Templates!$G$3:$G$10,MATCH(Deals!$U295,Templates!$A$3:$A$10,0)),0)&gt;0,COUNTIFS(Assignments!$C$2:$C$769,$A343,Assignments!$F$2:$F$769,"Renewable Specialist",Assignments!$G$2:$G$769,"Active")=0),AND(IFERROR(INDEX(Templates!$H$3:$H$10,MATCH(Deals!$U295,Templates!$A$3:$A$10,0)),0)&gt;0,COUNTIFS(Assignments!$C$2:$C$769,$A343,Assignments!$F$2:$F$769,"Associate",Assignments!$G$2:$G$769,"Active")=0)))," MissingLevel","")&amp;IF(AND($C343="Proposal",Deals!$H295=0.5)," DefaultProbability","")&amp;IF($F343="No"," NoDates","")&amp;IF(AND(ISNUMBER($H343),$H343&gt;=Settings!$B$20)," Stale","")))</f>
        <v/>
      </c>
    </row>
    <row r="344">
      <c r="A344" s="16">
        <f>IF(Deals!$A296="","",Deals!$A296)</f>
        <v/>
      </c>
      <c r="B344" s="16">
        <f>IF($A344="","",Deals!$C296)</f>
        <v/>
      </c>
      <c r="C344" s="16">
        <f>IF($A344="","",Deals!$F296)</f>
        <v/>
      </c>
      <c r="D344" s="21">
        <f>IF($A344="","",Deals!$H296)</f>
        <v/>
      </c>
      <c r="E344" s="17">
        <f>IF($A344="","",Deals!$Q296)</f>
        <v/>
      </c>
      <c r="F344" s="16">
        <f>IF($A344="","",IF(AND(Deals!$I296&lt;&gt;"",Deals!$J296&lt;&gt;""),"Yes","No"))</f>
        <v/>
      </c>
      <c r="G344" s="22">
        <f>IF($A344="","",Deals!$Z296)</f>
        <v/>
      </c>
      <c r="H344" s="23">
        <f>IF(OR($A344="",$G344=""),"",INT((Settings!$B$19-$G344)/7))</f>
        <v/>
      </c>
      <c r="I344" s="24">
        <f>IF(OR($A344="",NOT(OR(Deals!$F296="Active",Deals!$F296="Proposal"))),"",TRIM(IF($E344=0," Unstaffed","")&amp;IF(IF(Deals!$U296="",FALSE,OR(AND(IFERROR(INDEX(Templates!$B$3:$B$10,MATCH(Deals!$U296,Templates!$A$3:$A$10,0)),0)&gt;0,COUNTIFS(Assignments!$C$2:$C$769,$A344,Assignments!$F$2:$F$769,"Partner",Assignments!$G$2:$G$769,"Active")=0),AND(IFERROR(INDEX(Templates!$C$3:$C$10,MATCH(Deals!$U296,Templates!$A$3:$A$10,0)),0)&gt;0,COUNTIFS(Assignments!$C$2:$C$769,$A344,Assignments!$F$2:$F$769,"MD",Assignments!$G$2:$G$769,"Active")=0),AND(IFERROR(INDEX(Templates!$D$3:$D$10,MATCH(Deals!$U296,Templates!$A$3:$A$10,0)),0)&gt;0,COUNTIFS(Assignments!$C$2:$C$769,$A344,Assignments!$F$2:$F$769,"Director",Assignments!$G$2:$G$769,"Active")=0),AND(IFERROR(INDEX(Templates!$E$3:$E$10,MATCH(Deals!$U296,Templates!$A$3:$A$10,0)),0)&gt;0,COUNTIFS(Assignments!$C$2:$C$769,$A344,Assignments!$F$2:$F$769,"VP",Assignments!$G$2:$G$769,"Active")=0),AND(IFERROR(INDEX(Templates!$F$3:$F$10,MATCH(Deals!$U296,Templates!$A$3:$A$10,0)),0)&gt;0,COUNTIFS(Assignments!$C$2:$C$769,$A344,Assignments!$F$2:$F$769,"Senior Associate",Assignments!$G$2:$G$769,"Active")=0),AND(IFERROR(INDEX(Templates!$G$3:$G$10,MATCH(Deals!$U296,Templates!$A$3:$A$10,0)),0)&gt;0,COUNTIFS(Assignments!$C$2:$C$769,$A344,Assignments!$F$2:$F$769,"Renewable Specialist",Assignments!$G$2:$G$769,"Active")=0),AND(IFERROR(INDEX(Templates!$H$3:$H$10,MATCH(Deals!$U296,Templates!$A$3:$A$10,0)),0)&gt;0,COUNTIFS(Assignments!$C$2:$C$769,$A344,Assignments!$F$2:$F$769,"Associate",Assignments!$G$2:$G$769,"Active")=0)))," MissingLevel","")&amp;IF(AND($C344="Proposal",Deals!$H296=0.5)," DefaultProbability","")&amp;IF($F344="No"," NoDates","")&amp;IF(AND(ISNUMBER($H344),$H344&gt;=Settings!$B$20)," Stale","")))</f>
        <v/>
      </c>
    </row>
    <row r="345">
      <c r="A345" s="16">
        <f>IF(Deals!$A297="","",Deals!$A297)</f>
        <v/>
      </c>
      <c r="B345" s="16">
        <f>IF($A345="","",Deals!$C297)</f>
        <v/>
      </c>
      <c r="C345" s="16">
        <f>IF($A345="","",Deals!$F297)</f>
        <v/>
      </c>
      <c r="D345" s="21">
        <f>IF($A345="","",Deals!$H297)</f>
        <v/>
      </c>
      <c r="E345" s="17">
        <f>IF($A345="","",Deals!$Q297)</f>
        <v/>
      </c>
      <c r="F345" s="16">
        <f>IF($A345="","",IF(AND(Deals!$I297&lt;&gt;"",Deals!$J297&lt;&gt;""),"Yes","No"))</f>
        <v/>
      </c>
      <c r="G345" s="22">
        <f>IF($A345="","",Deals!$Z297)</f>
        <v/>
      </c>
      <c r="H345" s="23">
        <f>IF(OR($A345="",$G345=""),"",INT((Settings!$B$19-$G345)/7))</f>
        <v/>
      </c>
      <c r="I345" s="24">
        <f>IF(OR($A345="",NOT(OR(Deals!$F297="Active",Deals!$F297="Proposal"))),"",TRIM(IF($E345=0," Unstaffed","")&amp;IF(IF(Deals!$U297="",FALSE,OR(AND(IFERROR(INDEX(Templates!$B$3:$B$10,MATCH(Deals!$U297,Templates!$A$3:$A$10,0)),0)&gt;0,COUNTIFS(Assignments!$C$2:$C$769,$A345,Assignments!$F$2:$F$769,"Partner",Assignments!$G$2:$G$769,"Active")=0),AND(IFERROR(INDEX(Templates!$C$3:$C$10,MATCH(Deals!$U297,Templates!$A$3:$A$10,0)),0)&gt;0,COUNTIFS(Assignments!$C$2:$C$769,$A345,Assignments!$F$2:$F$769,"MD",Assignments!$G$2:$G$769,"Active")=0),AND(IFERROR(INDEX(Templates!$D$3:$D$10,MATCH(Deals!$U297,Templates!$A$3:$A$10,0)),0)&gt;0,COUNTIFS(Assignments!$C$2:$C$769,$A345,Assignments!$F$2:$F$769,"Director",Assignments!$G$2:$G$769,"Active")=0),AND(IFERROR(INDEX(Templates!$E$3:$E$10,MATCH(Deals!$U297,Templates!$A$3:$A$10,0)),0)&gt;0,COUNTIFS(Assignments!$C$2:$C$769,$A345,Assignments!$F$2:$F$769,"VP",Assignments!$G$2:$G$769,"Active")=0),AND(IFERROR(INDEX(Templates!$F$3:$F$10,MATCH(Deals!$U297,Templates!$A$3:$A$10,0)),0)&gt;0,COUNTIFS(Assignments!$C$2:$C$769,$A345,Assignments!$F$2:$F$769,"Senior Associate",Assignments!$G$2:$G$769,"Active")=0),AND(IFERROR(INDEX(Templates!$G$3:$G$10,MATCH(Deals!$U297,Templates!$A$3:$A$10,0)),0)&gt;0,COUNTIFS(Assignments!$C$2:$C$769,$A345,Assignments!$F$2:$F$769,"Renewable Specialist",Assignments!$G$2:$G$769,"Active")=0),AND(IFERROR(INDEX(Templates!$H$3:$H$10,MATCH(Deals!$U297,Templates!$A$3:$A$10,0)),0)&gt;0,COUNTIFS(Assignments!$C$2:$C$769,$A345,Assignments!$F$2:$F$769,"Associate",Assignments!$G$2:$G$769,"Active")=0)))," MissingLevel","")&amp;IF(AND($C345="Proposal",Deals!$H297=0.5)," DefaultProbability","")&amp;IF($F345="No"," NoDates","")&amp;IF(AND(ISNUMBER($H345),$H345&gt;=Settings!$B$20)," Stale","")))</f>
        <v/>
      </c>
    </row>
    <row r="346">
      <c r="A346" s="16">
        <f>IF(Deals!$A298="","",Deals!$A298)</f>
        <v/>
      </c>
      <c r="B346" s="16">
        <f>IF($A346="","",Deals!$C298)</f>
        <v/>
      </c>
      <c r="C346" s="16">
        <f>IF($A346="","",Deals!$F298)</f>
        <v/>
      </c>
      <c r="D346" s="21">
        <f>IF($A346="","",Deals!$H298)</f>
        <v/>
      </c>
      <c r="E346" s="17">
        <f>IF($A346="","",Deals!$Q298)</f>
        <v/>
      </c>
      <c r="F346" s="16">
        <f>IF($A346="","",IF(AND(Deals!$I298&lt;&gt;"",Deals!$J298&lt;&gt;""),"Yes","No"))</f>
        <v/>
      </c>
      <c r="G346" s="22">
        <f>IF($A346="","",Deals!$Z298)</f>
        <v/>
      </c>
      <c r="H346" s="23">
        <f>IF(OR($A346="",$G346=""),"",INT((Settings!$B$19-$G346)/7))</f>
        <v/>
      </c>
      <c r="I346" s="24">
        <f>IF(OR($A346="",NOT(OR(Deals!$F298="Active",Deals!$F298="Proposal"))),"",TRIM(IF($E346=0," Unstaffed","")&amp;IF(IF(Deals!$U298="",FALSE,OR(AND(IFERROR(INDEX(Templates!$B$3:$B$10,MATCH(Deals!$U298,Templates!$A$3:$A$10,0)),0)&gt;0,COUNTIFS(Assignments!$C$2:$C$769,$A346,Assignments!$F$2:$F$769,"Partner",Assignments!$G$2:$G$769,"Active")=0),AND(IFERROR(INDEX(Templates!$C$3:$C$10,MATCH(Deals!$U298,Templates!$A$3:$A$10,0)),0)&gt;0,COUNTIFS(Assignments!$C$2:$C$769,$A346,Assignments!$F$2:$F$769,"MD",Assignments!$G$2:$G$769,"Active")=0),AND(IFERROR(INDEX(Templates!$D$3:$D$10,MATCH(Deals!$U298,Templates!$A$3:$A$10,0)),0)&gt;0,COUNTIFS(Assignments!$C$2:$C$769,$A346,Assignments!$F$2:$F$769,"Director",Assignments!$G$2:$G$769,"Active")=0),AND(IFERROR(INDEX(Templates!$E$3:$E$10,MATCH(Deals!$U298,Templates!$A$3:$A$10,0)),0)&gt;0,COUNTIFS(Assignments!$C$2:$C$769,$A346,Assignments!$F$2:$F$769,"VP",Assignments!$G$2:$G$769,"Active")=0),AND(IFERROR(INDEX(Templates!$F$3:$F$10,MATCH(Deals!$U298,Templates!$A$3:$A$10,0)),0)&gt;0,COUNTIFS(Assignments!$C$2:$C$769,$A346,Assignments!$F$2:$F$769,"Senior Associate",Assignments!$G$2:$G$769,"Active")=0),AND(IFERROR(INDEX(Templates!$G$3:$G$10,MATCH(Deals!$U298,Templates!$A$3:$A$10,0)),0)&gt;0,COUNTIFS(Assignments!$C$2:$C$769,$A346,Assignments!$F$2:$F$769,"Renewable Specialist",Assignments!$G$2:$G$769,"Active")=0),AND(IFERROR(INDEX(Templates!$H$3:$H$10,MATCH(Deals!$U298,Templates!$A$3:$A$10,0)),0)&gt;0,COUNTIFS(Assignments!$C$2:$C$769,$A346,Assignments!$F$2:$F$769,"Associate",Assignments!$G$2:$G$769,"Active")=0)))," MissingLevel","")&amp;IF(AND($C346="Proposal",Deals!$H298=0.5)," DefaultProbability","")&amp;IF($F346="No"," NoDates","")&amp;IF(AND(ISNUMBER($H346),$H346&gt;=Settings!$B$20)," Stale","")))</f>
        <v/>
      </c>
    </row>
    <row r="347">
      <c r="A347" s="16">
        <f>IF(Deals!$A299="","",Deals!$A299)</f>
        <v/>
      </c>
      <c r="B347" s="16">
        <f>IF($A347="","",Deals!$C299)</f>
        <v/>
      </c>
      <c r="C347" s="16">
        <f>IF($A347="","",Deals!$F299)</f>
        <v/>
      </c>
      <c r="D347" s="21">
        <f>IF($A347="","",Deals!$H299)</f>
        <v/>
      </c>
      <c r="E347" s="17">
        <f>IF($A347="","",Deals!$Q299)</f>
        <v/>
      </c>
      <c r="F347" s="16">
        <f>IF($A347="","",IF(AND(Deals!$I299&lt;&gt;"",Deals!$J299&lt;&gt;""),"Yes","No"))</f>
        <v/>
      </c>
      <c r="G347" s="22">
        <f>IF($A347="","",Deals!$Z299)</f>
        <v/>
      </c>
      <c r="H347" s="23">
        <f>IF(OR($A347="",$G347=""),"",INT((Settings!$B$19-$G347)/7))</f>
        <v/>
      </c>
      <c r="I347" s="24">
        <f>IF(OR($A347="",NOT(OR(Deals!$F299="Active",Deals!$F299="Proposal"))),"",TRIM(IF($E347=0," Unstaffed","")&amp;IF(IF(Deals!$U299="",FALSE,OR(AND(IFERROR(INDEX(Templates!$B$3:$B$10,MATCH(Deals!$U299,Templates!$A$3:$A$10,0)),0)&gt;0,COUNTIFS(Assignments!$C$2:$C$769,$A347,Assignments!$F$2:$F$769,"Partner",Assignments!$G$2:$G$769,"Active")=0),AND(IFERROR(INDEX(Templates!$C$3:$C$10,MATCH(Deals!$U299,Templates!$A$3:$A$10,0)),0)&gt;0,COUNTIFS(Assignments!$C$2:$C$769,$A347,Assignments!$F$2:$F$769,"MD",Assignments!$G$2:$G$769,"Active")=0),AND(IFERROR(INDEX(Templates!$D$3:$D$10,MATCH(Deals!$U299,Templates!$A$3:$A$10,0)),0)&gt;0,COUNTIFS(Assignments!$C$2:$C$769,$A347,Assignments!$F$2:$F$769,"Director",Assignments!$G$2:$G$769,"Active")=0),AND(IFERROR(INDEX(Templates!$E$3:$E$10,MATCH(Deals!$U299,Templates!$A$3:$A$10,0)),0)&gt;0,COUNTIFS(Assignments!$C$2:$C$769,$A347,Assignments!$F$2:$F$769,"VP",Assignments!$G$2:$G$769,"Active")=0),AND(IFERROR(INDEX(Templates!$F$3:$F$10,MATCH(Deals!$U299,Templates!$A$3:$A$10,0)),0)&gt;0,COUNTIFS(Assignments!$C$2:$C$769,$A347,Assignments!$F$2:$F$769,"Senior Associate",Assignments!$G$2:$G$769,"Active")=0),AND(IFERROR(INDEX(Templates!$G$3:$G$10,MATCH(Deals!$U299,Templates!$A$3:$A$10,0)),0)&gt;0,COUNTIFS(Assignments!$C$2:$C$769,$A347,Assignments!$F$2:$F$769,"Renewable Specialist",Assignments!$G$2:$G$769,"Active")=0),AND(IFERROR(INDEX(Templates!$H$3:$H$10,MATCH(Deals!$U299,Templates!$A$3:$A$10,0)),0)&gt;0,COUNTIFS(Assignments!$C$2:$C$769,$A347,Assignments!$F$2:$F$769,"Associate",Assignments!$G$2:$G$769,"Active")=0)))," MissingLevel","")&amp;IF(AND($C347="Proposal",Deals!$H299=0.5)," DefaultProbability","")&amp;IF($F347="No"," NoDates","")&amp;IF(AND(ISNUMBER($H347),$H347&gt;=Settings!$B$20)," Stale","")))</f>
        <v/>
      </c>
    </row>
    <row r="348">
      <c r="A348" s="16">
        <f>IF(Deals!$A300="","",Deals!$A300)</f>
        <v/>
      </c>
      <c r="B348" s="16">
        <f>IF($A348="","",Deals!$C300)</f>
        <v/>
      </c>
      <c r="C348" s="16">
        <f>IF($A348="","",Deals!$F300)</f>
        <v/>
      </c>
      <c r="D348" s="21">
        <f>IF($A348="","",Deals!$H300)</f>
        <v/>
      </c>
      <c r="E348" s="17">
        <f>IF($A348="","",Deals!$Q300)</f>
        <v/>
      </c>
      <c r="F348" s="16">
        <f>IF($A348="","",IF(AND(Deals!$I300&lt;&gt;"",Deals!$J300&lt;&gt;""),"Yes","No"))</f>
        <v/>
      </c>
      <c r="G348" s="22">
        <f>IF($A348="","",Deals!$Z300)</f>
        <v/>
      </c>
      <c r="H348" s="23">
        <f>IF(OR($A348="",$G348=""),"",INT((Settings!$B$19-$G348)/7))</f>
        <v/>
      </c>
      <c r="I348" s="24">
        <f>IF(OR($A348="",NOT(OR(Deals!$F300="Active",Deals!$F300="Proposal"))),"",TRIM(IF($E348=0," Unstaffed","")&amp;IF(IF(Deals!$U300="",FALSE,OR(AND(IFERROR(INDEX(Templates!$B$3:$B$10,MATCH(Deals!$U300,Templates!$A$3:$A$10,0)),0)&gt;0,COUNTIFS(Assignments!$C$2:$C$769,$A348,Assignments!$F$2:$F$769,"Partner",Assignments!$G$2:$G$769,"Active")=0),AND(IFERROR(INDEX(Templates!$C$3:$C$10,MATCH(Deals!$U300,Templates!$A$3:$A$10,0)),0)&gt;0,COUNTIFS(Assignments!$C$2:$C$769,$A348,Assignments!$F$2:$F$769,"MD",Assignments!$G$2:$G$769,"Active")=0),AND(IFERROR(INDEX(Templates!$D$3:$D$10,MATCH(Deals!$U300,Templates!$A$3:$A$10,0)),0)&gt;0,COUNTIFS(Assignments!$C$2:$C$769,$A348,Assignments!$F$2:$F$769,"Director",Assignments!$G$2:$G$769,"Active")=0),AND(IFERROR(INDEX(Templates!$E$3:$E$10,MATCH(Deals!$U300,Templates!$A$3:$A$10,0)),0)&gt;0,COUNTIFS(Assignments!$C$2:$C$769,$A348,Assignments!$F$2:$F$769,"VP",Assignments!$G$2:$G$769,"Active")=0),AND(IFERROR(INDEX(Templates!$F$3:$F$10,MATCH(Deals!$U300,Templates!$A$3:$A$10,0)),0)&gt;0,COUNTIFS(Assignments!$C$2:$C$769,$A348,Assignments!$F$2:$F$769,"Senior Associate",Assignments!$G$2:$G$769,"Active")=0),AND(IFERROR(INDEX(Templates!$G$3:$G$10,MATCH(Deals!$U300,Templates!$A$3:$A$10,0)),0)&gt;0,COUNTIFS(Assignments!$C$2:$C$769,$A348,Assignments!$F$2:$F$769,"Renewable Specialist",Assignments!$G$2:$G$769,"Active")=0),AND(IFERROR(INDEX(Templates!$H$3:$H$10,MATCH(Deals!$U300,Templates!$A$3:$A$10,0)),0)&gt;0,COUNTIFS(Assignments!$C$2:$C$769,$A348,Assignments!$F$2:$F$769,"Associate",Assignments!$G$2:$G$769,"Active")=0)))," MissingLevel","")&amp;IF(AND($C348="Proposal",Deals!$H300=0.5)," DefaultProbability","")&amp;IF($F348="No"," NoDates","")&amp;IF(AND(ISNUMBER($H348),$H348&gt;=Settings!$B$20)," Stale","")))</f>
        <v/>
      </c>
    </row>
    <row r="349">
      <c r="A349" s="16">
        <f>IF(Deals!$A301="","",Deals!$A301)</f>
        <v/>
      </c>
      <c r="B349" s="16">
        <f>IF($A349="","",Deals!$C301)</f>
        <v/>
      </c>
      <c r="C349" s="16">
        <f>IF($A349="","",Deals!$F301)</f>
        <v/>
      </c>
      <c r="D349" s="21">
        <f>IF($A349="","",Deals!$H301)</f>
        <v/>
      </c>
      <c r="E349" s="17">
        <f>IF($A349="","",Deals!$Q301)</f>
        <v/>
      </c>
      <c r="F349" s="16">
        <f>IF($A349="","",IF(AND(Deals!$I301&lt;&gt;"",Deals!$J301&lt;&gt;""),"Yes","No"))</f>
        <v/>
      </c>
      <c r="G349" s="22">
        <f>IF($A349="","",Deals!$Z301)</f>
        <v/>
      </c>
      <c r="H349" s="23">
        <f>IF(OR($A349="",$G349=""),"",INT((Settings!$B$19-$G349)/7))</f>
        <v/>
      </c>
      <c r="I349" s="24">
        <f>IF(OR($A349="",NOT(OR(Deals!$F301="Active",Deals!$F301="Proposal"))),"",TRIM(IF($E349=0," Unstaffed","")&amp;IF(IF(Deals!$U301="",FALSE,OR(AND(IFERROR(INDEX(Templates!$B$3:$B$10,MATCH(Deals!$U301,Templates!$A$3:$A$10,0)),0)&gt;0,COUNTIFS(Assignments!$C$2:$C$769,$A349,Assignments!$F$2:$F$769,"Partner",Assignments!$G$2:$G$769,"Active")=0),AND(IFERROR(INDEX(Templates!$C$3:$C$10,MATCH(Deals!$U301,Templates!$A$3:$A$10,0)),0)&gt;0,COUNTIFS(Assignments!$C$2:$C$769,$A349,Assignments!$F$2:$F$769,"MD",Assignments!$G$2:$G$769,"Active")=0),AND(IFERROR(INDEX(Templates!$D$3:$D$10,MATCH(Deals!$U301,Templates!$A$3:$A$10,0)),0)&gt;0,COUNTIFS(Assignments!$C$2:$C$769,$A349,Assignments!$F$2:$F$769,"Director",Assignments!$G$2:$G$769,"Active")=0),AND(IFERROR(INDEX(Templates!$E$3:$E$10,MATCH(Deals!$U301,Templates!$A$3:$A$10,0)),0)&gt;0,COUNTIFS(Assignments!$C$2:$C$769,$A349,Assignments!$F$2:$F$769,"VP",Assignments!$G$2:$G$769,"Active")=0),AND(IFERROR(INDEX(Templates!$F$3:$F$10,MATCH(Deals!$U301,Templates!$A$3:$A$10,0)),0)&gt;0,COUNTIFS(Assignments!$C$2:$C$769,$A349,Assignments!$F$2:$F$769,"Senior Associate",Assignments!$G$2:$G$769,"Active")=0),AND(IFERROR(INDEX(Templates!$G$3:$G$10,MATCH(Deals!$U301,Templates!$A$3:$A$10,0)),0)&gt;0,COUNTIFS(Assignments!$C$2:$C$769,$A349,Assignments!$F$2:$F$769,"Renewable Specialist",Assignments!$G$2:$G$769,"Active")=0),AND(IFERROR(INDEX(Templates!$H$3:$H$10,MATCH(Deals!$U301,Templates!$A$3:$A$10,0)),0)&gt;0,COUNTIFS(Assignments!$C$2:$C$769,$A349,Assignments!$F$2:$F$769,"Associate",Assignments!$G$2:$G$769,"Active")=0)))," MissingLevel","")&amp;IF(AND($C349="Proposal",Deals!$H301=0.5)," DefaultProbability","")&amp;IF($F349="No"," NoDates","")&amp;IF(AND(ISNUMBER($H349),$H349&gt;=Settings!$B$20)," Stale","")))</f>
        <v/>
      </c>
    </row>
    <row r="350">
      <c r="A350" s="16">
        <f>IF(Deals!$A302="","",Deals!$A302)</f>
        <v/>
      </c>
      <c r="B350" s="16">
        <f>IF($A350="","",Deals!$C302)</f>
        <v/>
      </c>
      <c r="C350" s="16">
        <f>IF($A350="","",Deals!$F302)</f>
        <v/>
      </c>
      <c r="D350" s="21">
        <f>IF($A350="","",Deals!$H302)</f>
        <v/>
      </c>
      <c r="E350" s="17">
        <f>IF($A350="","",Deals!$Q302)</f>
        <v/>
      </c>
      <c r="F350" s="16">
        <f>IF($A350="","",IF(AND(Deals!$I302&lt;&gt;"",Deals!$J302&lt;&gt;""),"Yes","No"))</f>
        <v/>
      </c>
      <c r="G350" s="22">
        <f>IF($A350="","",Deals!$Z302)</f>
        <v/>
      </c>
      <c r="H350" s="23">
        <f>IF(OR($A350="",$G350=""),"",INT((Settings!$B$19-$G350)/7))</f>
        <v/>
      </c>
      <c r="I350" s="24">
        <f>IF(OR($A350="",NOT(OR(Deals!$F302="Active",Deals!$F302="Proposal"))),"",TRIM(IF($E350=0," Unstaffed","")&amp;IF(IF(Deals!$U302="",FALSE,OR(AND(IFERROR(INDEX(Templates!$B$3:$B$10,MATCH(Deals!$U302,Templates!$A$3:$A$10,0)),0)&gt;0,COUNTIFS(Assignments!$C$2:$C$769,$A350,Assignments!$F$2:$F$769,"Partner",Assignments!$G$2:$G$769,"Active")=0),AND(IFERROR(INDEX(Templates!$C$3:$C$10,MATCH(Deals!$U302,Templates!$A$3:$A$10,0)),0)&gt;0,COUNTIFS(Assignments!$C$2:$C$769,$A350,Assignments!$F$2:$F$769,"MD",Assignments!$G$2:$G$769,"Active")=0),AND(IFERROR(INDEX(Templates!$D$3:$D$10,MATCH(Deals!$U302,Templates!$A$3:$A$10,0)),0)&gt;0,COUNTIFS(Assignments!$C$2:$C$769,$A350,Assignments!$F$2:$F$769,"Director",Assignments!$G$2:$G$769,"Active")=0),AND(IFERROR(INDEX(Templates!$E$3:$E$10,MATCH(Deals!$U302,Templates!$A$3:$A$10,0)),0)&gt;0,COUNTIFS(Assignments!$C$2:$C$769,$A350,Assignments!$F$2:$F$769,"VP",Assignments!$G$2:$G$769,"Active")=0),AND(IFERROR(INDEX(Templates!$F$3:$F$10,MATCH(Deals!$U302,Templates!$A$3:$A$10,0)),0)&gt;0,COUNTIFS(Assignments!$C$2:$C$769,$A350,Assignments!$F$2:$F$769,"Senior Associate",Assignments!$G$2:$G$769,"Active")=0),AND(IFERROR(INDEX(Templates!$G$3:$G$10,MATCH(Deals!$U302,Templates!$A$3:$A$10,0)),0)&gt;0,COUNTIFS(Assignments!$C$2:$C$769,$A350,Assignments!$F$2:$F$769,"Renewable Specialist",Assignments!$G$2:$G$769,"Active")=0),AND(IFERROR(INDEX(Templates!$H$3:$H$10,MATCH(Deals!$U302,Templates!$A$3:$A$10,0)),0)&gt;0,COUNTIFS(Assignments!$C$2:$C$769,$A350,Assignments!$F$2:$F$769,"Associate",Assignments!$G$2:$G$769,"Active")=0)))," MissingLevel","")&amp;IF(AND($C350="Proposal",Deals!$H302=0.5)," DefaultProbability","")&amp;IF($F350="No"," NoDates","")&amp;IF(AND(ISNUMBER($H350),$H350&gt;=Settings!$B$20)," Stale","")))</f>
        <v/>
      </c>
    </row>
    <row r="351">
      <c r="A351" s="16">
        <f>IF(Deals!$A303="","",Deals!$A303)</f>
        <v/>
      </c>
      <c r="B351" s="16">
        <f>IF($A351="","",Deals!$C303)</f>
        <v/>
      </c>
      <c r="C351" s="16">
        <f>IF($A351="","",Deals!$F303)</f>
        <v/>
      </c>
      <c r="D351" s="21">
        <f>IF($A351="","",Deals!$H303)</f>
        <v/>
      </c>
      <c r="E351" s="17">
        <f>IF($A351="","",Deals!$Q303)</f>
        <v/>
      </c>
      <c r="F351" s="16">
        <f>IF($A351="","",IF(AND(Deals!$I303&lt;&gt;"",Deals!$J303&lt;&gt;""),"Yes","No"))</f>
        <v/>
      </c>
      <c r="G351" s="22">
        <f>IF($A351="","",Deals!$Z303)</f>
        <v/>
      </c>
      <c r="H351" s="23">
        <f>IF(OR($A351="",$G351=""),"",INT((Settings!$B$19-$G351)/7))</f>
        <v/>
      </c>
      <c r="I351" s="24">
        <f>IF(OR($A351="",NOT(OR(Deals!$F303="Active",Deals!$F303="Proposal"))),"",TRIM(IF($E351=0," Unstaffed","")&amp;IF(IF(Deals!$U303="",FALSE,OR(AND(IFERROR(INDEX(Templates!$B$3:$B$10,MATCH(Deals!$U303,Templates!$A$3:$A$10,0)),0)&gt;0,COUNTIFS(Assignments!$C$2:$C$769,$A351,Assignments!$F$2:$F$769,"Partner",Assignments!$G$2:$G$769,"Active")=0),AND(IFERROR(INDEX(Templates!$C$3:$C$10,MATCH(Deals!$U303,Templates!$A$3:$A$10,0)),0)&gt;0,COUNTIFS(Assignments!$C$2:$C$769,$A351,Assignments!$F$2:$F$769,"MD",Assignments!$G$2:$G$769,"Active")=0),AND(IFERROR(INDEX(Templates!$D$3:$D$10,MATCH(Deals!$U303,Templates!$A$3:$A$10,0)),0)&gt;0,COUNTIFS(Assignments!$C$2:$C$769,$A351,Assignments!$F$2:$F$769,"Director",Assignments!$G$2:$G$769,"Active")=0),AND(IFERROR(INDEX(Templates!$E$3:$E$10,MATCH(Deals!$U303,Templates!$A$3:$A$10,0)),0)&gt;0,COUNTIFS(Assignments!$C$2:$C$769,$A351,Assignments!$F$2:$F$769,"VP",Assignments!$G$2:$G$769,"Active")=0),AND(IFERROR(INDEX(Templates!$F$3:$F$10,MATCH(Deals!$U303,Templates!$A$3:$A$10,0)),0)&gt;0,COUNTIFS(Assignments!$C$2:$C$769,$A351,Assignments!$F$2:$F$769,"Senior Associate",Assignments!$G$2:$G$769,"Active")=0),AND(IFERROR(INDEX(Templates!$G$3:$G$10,MATCH(Deals!$U303,Templates!$A$3:$A$10,0)),0)&gt;0,COUNTIFS(Assignments!$C$2:$C$769,$A351,Assignments!$F$2:$F$769,"Renewable Specialist",Assignments!$G$2:$G$769,"Active")=0),AND(IFERROR(INDEX(Templates!$H$3:$H$10,MATCH(Deals!$U303,Templates!$A$3:$A$10,0)),0)&gt;0,COUNTIFS(Assignments!$C$2:$C$769,$A351,Assignments!$F$2:$F$769,"Associate",Assignments!$G$2:$G$769,"Active")=0)))," MissingLevel","")&amp;IF(AND($C351="Proposal",Deals!$H303=0.5)," DefaultProbability","")&amp;IF($F351="No"," NoDates","")&amp;IF(AND(ISNUMBER($H351),$H351&gt;=Settings!$B$20)," Stale","")))</f>
        <v/>
      </c>
    </row>
    <row r="352">
      <c r="A352" s="16">
        <f>IF(Deals!$A304="","",Deals!$A304)</f>
        <v/>
      </c>
      <c r="B352" s="16">
        <f>IF($A352="","",Deals!$C304)</f>
        <v/>
      </c>
      <c r="C352" s="16">
        <f>IF($A352="","",Deals!$F304)</f>
        <v/>
      </c>
      <c r="D352" s="21">
        <f>IF($A352="","",Deals!$H304)</f>
        <v/>
      </c>
      <c r="E352" s="17">
        <f>IF($A352="","",Deals!$Q304)</f>
        <v/>
      </c>
      <c r="F352" s="16">
        <f>IF($A352="","",IF(AND(Deals!$I304&lt;&gt;"",Deals!$J304&lt;&gt;""),"Yes","No"))</f>
        <v/>
      </c>
      <c r="G352" s="22">
        <f>IF($A352="","",Deals!$Z304)</f>
        <v/>
      </c>
      <c r="H352" s="23">
        <f>IF(OR($A352="",$G352=""),"",INT((Settings!$B$19-$G352)/7))</f>
        <v/>
      </c>
      <c r="I352" s="24">
        <f>IF(OR($A352="",NOT(OR(Deals!$F304="Active",Deals!$F304="Proposal"))),"",TRIM(IF($E352=0," Unstaffed","")&amp;IF(IF(Deals!$U304="",FALSE,OR(AND(IFERROR(INDEX(Templates!$B$3:$B$10,MATCH(Deals!$U304,Templates!$A$3:$A$10,0)),0)&gt;0,COUNTIFS(Assignments!$C$2:$C$769,$A352,Assignments!$F$2:$F$769,"Partner",Assignments!$G$2:$G$769,"Active")=0),AND(IFERROR(INDEX(Templates!$C$3:$C$10,MATCH(Deals!$U304,Templates!$A$3:$A$10,0)),0)&gt;0,COUNTIFS(Assignments!$C$2:$C$769,$A352,Assignments!$F$2:$F$769,"MD",Assignments!$G$2:$G$769,"Active")=0),AND(IFERROR(INDEX(Templates!$D$3:$D$10,MATCH(Deals!$U304,Templates!$A$3:$A$10,0)),0)&gt;0,COUNTIFS(Assignments!$C$2:$C$769,$A352,Assignments!$F$2:$F$769,"Director",Assignments!$G$2:$G$769,"Active")=0),AND(IFERROR(INDEX(Templates!$E$3:$E$10,MATCH(Deals!$U304,Templates!$A$3:$A$10,0)),0)&gt;0,COUNTIFS(Assignments!$C$2:$C$769,$A352,Assignments!$F$2:$F$769,"VP",Assignments!$G$2:$G$769,"Active")=0),AND(IFERROR(INDEX(Templates!$F$3:$F$10,MATCH(Deals!$U304,Templates!$A$3:$A$10,0)),0)&gt;0,COUNTIFS(Assignments!$C$2:$C$769,$A352,Assignments!$F$2:$F$769,"Senior Associate",Assignments!$G$2:$G$769,"Active")=0),AND(IFERROR(INDEX(Templates!$G$3:$G$10,MATCH(Deals!$U304,Templates!$A$3:$A$10,0)),0)&gt;0,COUNTIFS(Assignments!$C$2:$C$769,$A352,Assignments!$F$2:$F$769,"Renewable Specialist",Assignments!$G$2:$G$769,"Active")=0),AND(IFERROR(INDEX(Templates!$H$3:$H$10,MATCH(Deals!$U304,Templates!$A$3:$A$10,0)),0)&gt;0,COUNTIFS(Assignments!$C$2:$C$769,$A352,Assignments!$F$2:$F$769,"Associate",Assignments!$G$2:$G$769,"Active")=0)))," MissingLevel","")&amp;IF(AND($C352="Proposal",Deals!$H304=0.5)," DefaultProbability","")&amp;IF($F352="No"," NoDates","")&amp;IF(AND(ISNUMBER($H352),$H352&gt;=Settings!$B$20)," Stale","")))</f>
        <v/>
      </c>
    </row>
    <row r="353">
      <c r="A353" s="16">
        <f>IF(Deals!$A305="","",Deals!$A305)</f>
        <v/>
      </c>
      <c r="B353" s="16">
        <f>IF($A353="","",Deals!$C305)</f>
        <v/>
      </c>
      <c r="C353" s="16">
        <f>IF($A353="","",Deals!$F305)</f>
        <v/>
      </c>
      <c r="D353" s="21">
        <f>IF($A353="","",Deals!$H305)</f>
        <v/>
      </c>
      <c r="E353" s="17">
        <f>IF($A353="","",Deals!$Q305)</f>
        <v/>
      </c>
      <c r="F353" s="16">
        <f>IF($A353="","",IF(AND(Deals!$I305&lt;&gt;"",Deals!$J305&lt;&gt;""),"Yes","No"))</f>
        <v/>
      </c>
      <c r="G353" s="22">
        <f>IF($A353="","",Deals!$Z305)</f>
        <v/>
      </c>
      <c r="H353" s="23">
        <f>IF(OR($A353="",$G353=""),"",INT((Settings!$B$19-$G353)/7))</f>
        <v/>
      </c>
      <c r="I353" s="24">
        <f>IF(OR($A353="",NOT(OR(Deals!$F305="Active",Deals!$F305="Proposal"))),"",TRIM(IF($E353=0," Unstaffed","")&amp;IF(IF(Deals!$U305="",FALSE,OR(AND(IFERROR(INDEX(Templates!$B$3:$B$10,MATCH(Deals!$U305,Templates!$A$3:$A$10,0)),0)&gt;0,COUNTIFS(Assignments!$C$2:$C$769,$A353,Assignments!$F$2:$F$769,"Partner",Assignments!$G$2:$G$769,"Active")=0),AND(IFERROR(INDEX(Templates!$C$3:$C$10,MATCH(Deals!$U305,Templates!$A$3:$A$10,0)),0)&gt;0,COUNTIFS(Assignments!$C$2:$C$769,$A353,Assignments!$F$2:$F$769,"MD",Assignments!$G$2:$G$769,"Active")=0),AND(IFERROR(INDEX(Templates!$D$3:$D$10,MATCH(Deals!$U305,Templates!$A$3:$A$10,0)),0)&gt;0,COUNTIFS(Assignments!$C$2:$C$769,$A353,Assignments!$F$2:$F$769,"Director",Assignments!$G$2:$G$769,"Active")=0),AND(IFERROR(INDEX(Templates!$E$3:$E$10,MATCH(Deals!$U305,Templates!$A$3:$A$10,0)),0)&gt;0,COUNTIFS(Assignments!$C$2:$C$769,$A353,Assignments!$F$2:$F$769,"VP",Assignments!$G$2:$G$769,"Active")=0),AND(IFERROR(INDEX(Templates!$F$3:$F$10,MATCH(Deals!$U305,Templates!$A$3:$A$10,0)),0)&gt;0,COUNTIFS(Assignments!$C$2:$C$769,$A353,Assignments!$F$2:$F$769,"Senior Associate",Assignments!$G$2:$G$769,"Active")=0),AND(IFERROR(INDEX(Templates!$G$3:$G$10,MATCH(Deals!$U305,Templates!$A$3:$A$10,0)),0)&gt;0,COUNTIFS(Assignments!$C$2:$C$769,$A353,Assignments!$F$2:$F$769,"Renewable Specialist",Assignments!$G$2:$G$769,"Active")=0),AND(IFERROR(INDEX(Templates!$H$3:$H$10,MATCH(Deals!$U305,Templates!$A$3:$A$10,0)),0)&gt;0,COUNTIFS(Assignments!$C$2:$C$769,$A353,Assignments!$F$2:$F$769,"Associate",Assignments!$G$2:$G$769,"Active")=0)))," MissingLevel","")&amp;IF(AND($C353="Proposal",Deals!$H305=0.5)," DefaultProbability","")&amp;IF($F353="No"," NoDates","")&amp;IF(AND(ISNUMBER($H353),$H353&gt;=Settings!$B$20)," Stale","")))</f>
        <v/>
      </c>
    </row>
    <row r="354">
      <c r="A354" s="16">
        <f>IF(Deals!$A306="","",Deals!$A306)</f>
        <v/>
      </c>
      <c r="B354" s="16">
        <f>IF($A354="","",Deals!$C306)</f>
        <v/>
      </c>
      <c r="C354" s="16">
        <f>IF($A354="","",Deals!$F306)</f>
        <v/>
      </c>
      <c r="D354" s="21">
        <f>IF($A354="","",Deals!$H306)</f>
        <v/>
      </c>
      <c r="E354" s="17">
        <f>IF($A354="","",Deals!$Q306)</f>
        <v/>
      </c>
      <c r="F354" s="16">
        <f>IF($A354="","",IF(AND(Deals!$I306&lt;&gt;"",Deals!$J306&lt;&gt;""),"Yes","No"))</f>
        <v/>
      </c>
      <c r="G354" s="22">
        <f>IF($A354="","",Deals!$Z306)</f>
        <v/>
      </c>
      <c r="H354" s="23">
        <f>IF(OR($A354="",$G354=""),"",INT((Settings!$B$19-$G354)/7))</f>
        <v/>
      </c>
      <c r="I354" s="24">
        <f>IF(OR($A354="",NOT(OR(Deals!$F306="Active",Deals!$F306="Proposal"))),"",TRIM(IF($E354=0," Unstaffed","")&amp;IF(IF(Deals!$U306="",FALSE,OR(AND(IFERROR(INDEX(Templates!$B$3:$B$10,MATCH(Deals!$U306,Templates!$A$3:$A$10,0)),0)&gt;0,COUNTIFS(Assignments!$C$2:$C$769,$A354,Assignments!$F$2:$F$769,"Partner",Assignments!$G$2:$G$769,"Active")=0),AND(IFERROR(INDEX(Templates!$C$3:$C$10,MATCH(Deals!$U306,Templates!$A$3:$A$10,0)),0)&gt;0,COUNTIFS(Assignments!$C$2:$C$769,$A354,Assignments!$F$2:$F$769,"MD",Assignments!$G$2:$G$769,"Active")=0),AND(IFERROR(INDEX(Templates!$D$3:$D$10,MATCH(Deals!$U306,Templates!$A$3:$A$10,0)),0)&gt;0,COUNTIFS(Assignments!$C$2:$C$769,$A354,Assignments!$F$2:$F$769,"Director",Assignments!$G$2:$G$769,"Active")=0),AND(IFERROR(INDEX(Templates!$E$3:$E$10,MATCH(Deals!$U306,Templates!$A$3:$A$10,0)),0)&gt;0,COUNTIFS(Assignments!$C$2:$C$769,$A354,Assignments!$F$2:$F$769,"VP",Assignments!$G$2:$G$769,"Active")=0),AND(IFERROR(INDEX(Templates!$F$3:$F$10,MATCH(Deals!$U306,Templates!$A$3:$A$10,0)),0)&gt;0,COUNTIFS(Assignments!$C$2:$C$769,$A354,Assignments!$F$2:$F$769,"Senior Associate",Assignments!$G$2:$G$769,"Active")=0),AND(IFERROR(INDEX(Templates!$G$3:$G$10,MATCH(Deals!$U306,Templates!$A$3:$A$10,0)),0)&gt;0,COUNTIFS(Assignments!$C$2:$C$769,$A354,Assignments!$F$2:$F$769,"Renewable Specialist",Assignments!$G$2:$G$769,"Active")=0),AND(IFERROR(INDEX(Templates!$H$3:$H$10,MATCH(Deals!$U306,Templates!$A$3:$A$10,0)),0)&gt;0,COUNTIFS(Assignments!$C$2:$C$769,$A354,Assignments!$F$2:$F$769,"Associate",Assignments!$G$2:$G$769,"Active")=0)))," MissingLevel","")&amp;IF(AND($C354="Proposal",Deals!$H306=0.5)," DefaultProbability","")&amp;IF($F354="No"," NoDates","")&amp;IF(AND(ISNUMBER($H354),$H354&gt;=Settings!$B$20)," Stale","")))</f>
        <v/>
      </c>
    </row>
    <row r="355">
      <c r="A355" s="16">
        <f>IF(Deals!$A307="","",Deals!$A307)</f>
        <v/>
      </c>
      <c r="B355" s="16">
        <f>IF($A355="","",Deals!$C307)</f>
        <v/>
      </c>
      <c r="C355" s="16">
        <f>IF($A355="","",Deals!$F307)</f>
        <v/>
      </c>
      <c r="D355" s="21">
        <f>IF($A355="","",Deals!$H307)</f>
        <v/>
      </c>
      <c r="E355" s="17">
        <f>IF($A355="","",Deals!$Q307)</f>
        <v/>
      </c>
      <c r="F355" s="16">
        <f>IF($A355="","",IF(AND(Deals!$I307&lt;&gt;"",Deals!$J307&lt;&gt;""),"Yes","No"))</f>
        <v/>
      </c>
      <c r="G355" s="22">
        <f>IF($A355="","",Deals!$Z307)</f>
        <v/>
      </c>
      <c r="H355" s="23">
        <f>IF(OR($A355="",$G355=""),"",INT((Settings!$B$19-$G355)/7))</f>
        <v/>
      </c>
      <c r="I355" s="24">
        <f>IF(OR($A355="",NOT(OR(Deals!$F307="Active",Deals!$F307="Proposal"))),"",TRIM(IF($E355=0," Unstaffed","")&amp;IF(IF(Deals!$U307="",FALSE,OR(AND(IFERROR(INDEX(Templates!$B$3:$B$10,MATCH(Deals!$U307,Templates!$A$3:$A$10,0)),0)&gt;0,COUNTIFS(Assignments!$C$2:$C$769,$A355,Assignments!$F$2:$F$769,"Partner",Assignments!$G$2:$G$769,"Active")=0),AND(IFERROR(INDEX(Templates!$C$3:$C$10,MATCH(Deals!$U307,Templates!$A$3:$A$10,0)),0)&gt;0,COUNTIFS(Assignments!$C$2:$C$769,$A355,Assignments!$F$2:$F$769,"MD",Assignments!$G$2:$G$769,"Active")=0),AND(IFERROR(INDEX(Templates!$D$3:$D$10,MATCH(Deals!$U307,Templates!$A$3:$A$10,0)),0)&gt;0,COUNTIFS(Assignments!$C$2:$C$769,$A355,Assignments!$F$2:$F$769,"Director",Assignments!$G$2:$G$769,"Active")=0),AND(IFERROR(INDEX(Templates!$E$3:$E$10,MATCH(Deals!$U307,Templates!$A$3:$A$10,0)),0)&gt;0,COUNTIFS(Assignments!$C$2:$C$769,$A355,Assignments!$F$2:$F$769,"VP",Assignments!$G$2:$G$769,"Active")=0),AND(IFERROR(INDEX(Templates!$F$3:$F$10,MATCH(Deals!$U307,Templates!$A$3:$A$10,0)),0)&gt;0,COUNTIFS(Assignments!$C$2:$C$769,$A355,Assignments!$F$2:$F$769,"Senior Associate",Assignments!$G$2:$G$769,"Active")=0),AND(IFERROR(INDEX(Templates!$G$3:$G$10,MATCH(Deals!$U307,Templates!$A$3:$A$10,0)),0)&gt;0,COUNTIFS(Assignments!$C$2:$C$769,$A355,Assignments!$F$2:$F$769,"Renewable Specialist",Assignments!$G$2:$G$769,"Active")=0),AND(IFERROR(INDEX(Templates!$H$3:$H$10,MATCH(Deals!$U307,Templates!$A$3:$A$10,0)),0)&gt;0,COUNTIFS(Assignments!$C$2:$C$769,$A355,Assignments!$F$2:$F$769,"Associate",Assignments!$G$2:$G$769,"Active")=0)))," MissingLevel","")&amp;IF(AND($C355="Proposal",Deals!$H307=0.5)," DefaultProbability","")&amp;IF($F355="No"," NoDates","")&amp;IF(AND(ISNUMBER($H355),$H355&gt;=Settings!$B$20)," Stale","")))</f>
        <v/>
      </c>
    </row>
    <row r="356">
      <c r="A356" s="16">
        <f>IF(Deals!$A308="","",Deals!$A308)</f>
        <v/>
      </c>
      <c r="B356" s="16">
        <f>IF($A356="","",Deals!$C308)</f>
        <v/>
      </c>
      <c r="C356" s="16">
        <f>IF($A356="","",Deals!$F308)</f>
        <v/>
      </c>
      <c r="D356" s="21">
        <f>IF($A356="","",Deals!$H308)</f>
        <v/>
      </c>
      <c r="E356" s="17">
        <f>IF($A356="","",Deals!$Q308)</f>
        <v/>
      </c>
      <c r="F356" s="16">
        <f>IF($A356="","",IF(AND(Deals!$I308&lt;&gt;"",Deals!$J308&lt;&gt;""),"Yes","No"))</f>
        <v/>
      </c>
      <c r="G356" s="22">
        <f>IF($A356="","",Deals!$Z308)</f>
        <v/>
      </c>
      <c r="H356" s="23">
        <f>IF(OR($A356="",$G356=""),"",INT((Settings!$B$19-$G356)/7))</f>
        <v/>
      </c>
      <c r="I356" s="24">
        <f>IF(OR($A356="",NOT(OR(Deals!$F308="Active",Deals!$F308="Proposal"))),"",TRIM(IF($E356=0," Unstaffed","")&amp;IF(IF(Deals!$U308="",FALSE,OR(AND(IFERROR(INDEX(Templates!$B$3:$B$10,MATCH(Deals!$U308,Templates!$A$3:$A$10,0)),0)&gt;0,COUNTIFS(Assignments!$C$2:$C$769,$A356,Assignments!$F$2:$F$769,"Partner",Assignments!$G$2:$G$769,"Active")=0),AND(IFERROR(INDEX(Templates!$C$3:$C$10,MATCH(Deals!$U308,Templates!$A$3:$A$10,0)),0)&gt;0,COUNTIFS(Assignments!$C$2:$C$769,$A356,Assignments!$F$2:$F$769,"MD",Assignments!$G$2:$G$769,"Active")=0),AND(IFERROR(INDEX(Templates!$D$3:$D$10,MATCH(Deals!$U308,Templates!$A$3:$A$10,0)),0)&gt;0,COUNTIFS(Assignments!$C$2:$C$769,$A356,Assignments!$F$2:$F$769,"Director",Assignments!$G$2:$G$769,"Active")=0),AND(IFERROR(INDEX(Templates!$E$3:$E$10,MATCH(Deals!$U308,Templates!$A$3:$A$10,0)),0)&gt;0,COUNTIFS(Assignments!$C$2:$C$769,$A356,Assignments!$F$2:$F$769,"VP",Assignments!$G$2:$G$769,"Active")=0),AND(IFERROR(INDEX(Templates!$F$3:$F$10,MATCH(Deals!$U308,Templates!$A$3:$A$10,0)),0)&gt;0,COUNTIFS(Assignments!$C$2:$C$769,$A356,Assignments!$F$2:$F$769,"Senior Associate",Assignments!$G$2:$G$769,"Active")=0),AND(IFERROR(INDEX(Templates!$G$3:$G$10,MATCH(Deals!$U308,Templates!$A$3:$A$10,0)),0)&gt;0,COUNTIFS(Assignments!$C$2:$C$769,$A356,Assignments!$F$2:$F$769,"Renewable Specialist",Assignments!$G$2:$G$769,"Active")=0),AND(IFERROR(INDEX(Templates!$H$3:$H$10,MATCH(Deals!$U308,Templates!$A$3:$A$10,0)),0)&gt;0,COUNTIFS(Assignments!$C$2:$C$769,$A356,Assignments!$F$2:$F$769,"Associate",Assignments!$G$2:$G$769,"Active")=0)))," MissingLevel","")&amp;IF(AND($C356="Proposal",Deals!$H308=0.5)," DefaultProbability","")&amp;IF($F356="No"," NoDates","")&amp;IF(AND(ISNUMBER($H356),$H356&gt;=Settings!$B$20)," Stale","")))</f>
        <v/>
      </c>
    </row>
    <row r="357">
      <c r="A357" s="16">
        <f>IF(Deals!$A309="","",Deals!$A309)</f>
        <v/>
      </c>
      <c r="B357" s="16">
        <f>IF($A357="","",Deals!$C309)</f>
        <v/>
      </c>
      <c r="C357" s="16">
        <f>IF($A357="","",Deals!$F309)</f>
        <v/>
      </c>
      <c r="D357" s="21">
        <f>IF($A357="","",Deals!$H309)</f>
        <v/>
      </c>
      <c r="E357" s="17">
        <f>IF($A357="","",Deals!$Q309)</f>
        <v/>
      </c>
      <c r="F357" s="16">
        <f>IF($A357="","",IF(AND(Deals!$I309&lt;&gt;"",Deals!$J309&lt;&gt;""),"Yes","No"))</f>
        <v/>
      </c>
      <c r="G357" s="22">
        <f>IF($A357="","",Deals!$Z309)</f>
        <v/>
      </c>
      <c r="H357" s="23">
        <f>IF(OR($A357="",$G357=""),"",INT((Settings!$B$19-$G357)/7))</f>
        <v/>
      </c>
      <c r="I357" s="24">
        <f>IF(OR($A357="",NOT(OR(Deals!$F309="Active",Deals!$F309="Proposal"))),"",TRIM(IF($E357=0," Unstaffed","")&amp;IF(IF(Deals!$U309="",FALSE,OR(AND(IFERROR(INDEX(Templates!$B$3:$B$10,MATCH(Deals!$U309,Templates!$A$3:$A$10,0)),0)&gt;0,COUNTIFS(Assignments!$C$2:$C$769,$A357,Assignments!$F$2:$F$769,"Partner",Assignments!$G$2:$G$769,"Active")=0),AND(IFERROR(INDEX(Templates!$C$3:$C$10,MATCH(Deals!$U309,Templates!$A$3:$A$10,0)),0)&gt;0,COUNTIFS(Assignments!$C$2:$C$769,$A357,Assignments!$F$2:$F$769,"MD",Assignments!$G$2:$G$769,"Active")=0),AND(IFERROR(INDEX(Templates!$D$3:$D$10,MATCH(Deals!$U309,Templates!$A$3:$A$10,0)),0)&gt;0,COUNTIFS(Assignments!$C$2:$C$769,$A357,Assignments!$F$2:$F$769,"Director",Assignments!$G$2:$G$769,"Active")=0),AND(IFERROR(INDEX(Templates!$E$3:$E$10,MATCH(Deals!$U309,Templates!$A$3:$A$10,0)),0)&gt;0,COUNTIFS(Assignments!$C$2:$C$769,$A357,Assignments!$F$2:$F$769,"VP",Assignments!$G$2:$G$769,"Active")=0),AND(IFERROR(INDEX(Templates!$F$3:$F$10,MATCH(Deals!$U309,Templates!$A$3:$A$10,0)),0)&gt;0,COUNTIFS(Assignments!$C$2:$C$769,$A357,Assignments!$F$2:$F$769,"Senior Associate",Assignments!$G$2:$G$769,"Active")=0),AND(IFERROR(INDEX(Templates!$G$3:$G$10,MATCH(Deals!$U309,Templates!$A$3:$A$10,0)),0)&gt;0,COUNTIFS(Assignments!$C$2:$C$769,$A357,Assignments!$F$2:$F$769,"Renewable Specialist",Assignments!$G$2:$G$769,"Active")=0),AND(IFERROR(INDEX(Templates!$H$3:$H$10,MATCH(Deals!$U309,Templates!$A$3:$A$10,0)),0)&gt;0,COUNTIFS(Assignments!$C$2:$C$769,$A357,Assignments!$F$2:$F$769,"Associate",Assignments!$G$2:$G$769,"Active")=0)))," MissingLevel","")&amp;IF(AND($C357="Proposal",Deals!$H309=0.5)," DefaultProbability","")&amp;IF($F357="No"," NoDates","")&amp;IF(AND(ISNUMBER($H357),$H357&gt;=Settings!$B$20)," Stale","")))</f>
        <v/>
      </c>
    </row>
    <row r="358">
      <c r="A358" s="16">
        <f>IF(Deals!$A310="","",Deals!$A310)</f>
        <v/>
      </c>
      <c r="B358" s="16">
        <f>IF($A358="","",Deals!$C310)</f>
        <v/>
      </c>
      <c r="C358" s="16">
        <f>IF($A358="","",Deals!$F310)</f>
        <v/>
      </c>
      <c r="D358" s="21">
        <f>IF($A358="","",Deals!$H310)</f>
        <v/>
      </c>
      <c r="E358" s="17">
        <f>IF($A358="","",Deals!$Q310)</f>
        <v/>
      </c>
      <c r="F358" s="16">
        <f>IF($A358="","",IF(AND(Deals!$I310&lt;&gt;"",Deals!$J310&lt;&gt;""),"Yes","No"))</f>
        <v/>
      </c>
      <c r="G358" s="22">
        <f>IF($A358="","",Deals!$Z310)</f>
        <v/>
      </c>
      <c r="H358" s="23">
        <f>IF(OR($A358="",$G358=""),"",INT((Settings!$B$19-$G358)/7))</f>
        <v/>
      </c>
      <c r="I358" s="24">
        <f>IF(OR($A358="",NOT(OR(Deals!$F310="Active",Deals!$F310="Proposal"))),"",TRIM(IF($E358=0," Unstaffed","")&amp;IF(IF(Deals!$U310="",FALSE,OR(AND(IFERROR(INDEX(Templates!$B$3:$B$10,MATCH(Deals!$U310,Templates!$A$3:$A$10,0)),0)&gt;0,COUNTIFS(Assignments!$C$2:$C$769,$A358,Assignments!$F$2:$F$769,"Partner",Assignments!$G$2:$G$769,"Active")=0),AND(IFERROR(INDEX(Templates!$C$3:$C$10,MATCH(Deals!$U310,Templates!$A$3:$A$10,0)),0)&gt;0,COUNTIFS(Assignments!$C$2:$C$769,$A358,Assignments!$F$2:$F$769,"MD",Assignments!$G$2:$G$769,"Active")=0),AND(IFERROR(INDEX(Templates!$D$3:$D$10,MATCH(Deals!$U310,Templates!$A$3:$A$10,0)),0)&gt;0,COUNTIFS(Assignments!$C$2:$C$769,$A358,Assignments!$F$2:$F$769,"Director",Assignments!$G$2:$G$769,"Active")=0),AND(IFERROR(INDEX(Templates!$E$3:$E$10,MATCH(Deals!$U310,Templates!$A$3:$A$10,0)),0)&gt;0,COUNTIFS(Assignments!$C$2:$C$769,$A358,Assignments!$F$2:$F$769,"VP",Assignments!$G$2:$G$769,"Active")=0),AND(IFERROR(INDEX(Templates!$F$3:$F$10,MATCH(Deals!$U310,Templates!$A$3:$A$10,0)),0)&gt;0,COUNTIFS(Assignments!$C$2:$C$769,$A358,Assignments!$F$2:$F$769,"Senior Associate",Assignments!$G$2:$G$769,"Active")=0),AND(IFERROR(INDEX(Templates!$G$3:$G$10,MATCH(Deals!$U310,Templates!$A$3:$A$10,0)),0)&gt;0,COUNTIFS(Assignments!$C$2:$C$769,$A358,Assignments!$F$2:$F$769,"Renewable Specialist",Assignments!$G$2:$G$769,"Active")=0),AND(IFERROR(INDEX(Templates!$H$3:$H$10,MATCH(Deals!$U310,Templates!$A$3:$A$10,0)),0)&gt;0,COUNTIFS(Assignments!$C$2:$C$769,$A358,Assignments!$F$2:$F$769,"Associate",Assignments!$G$2:$G$769,"Active")=0)))," MissingLevel","")&amp;IF(AND($C358="Proposal",Deals!$H310=0.5)," DefaultProbability","")&amp;IF($F358="No"," NoDates","")&amp;IF(AND(ISNUMBER($H358),$H358&gt;=Settings!$B$20)," Stale","")))</f>
        <v/>
      </c>
    </row>
    <row r="359">
      <c r="A359" s="16">
        <f>IF(Deals!$A311="","",Deals!$A311)</f>
        <v/>
      </c>
      <c r="B359" s="16">
        <f>IF($A359="","",Deals!$C311)</f>
        <v/>
      </c>
      <c r="C359" s="16">
        <f>IF($A359="","",Deals!$F311)</f>
        <v/>
      </c>
      <c r="D359" s="21">
        <f>IF($A359="","",Deals!$H311)</f>
        <v/>
      </c>
      <c r="E359" s="17">
        <f>IF($A359="","",Deals!$Q311)</f>
        <v/>
      </c>
      <c r="F359" s="16">
        <f>IF($A359="","",IF(AND(Deals!$I311&lt;&gt;"",Deals!$J311&lt;&gt;""),"Yes","No"))</f>
        <v/>
      </c>
      <c r="G359" s="22">
        <f>IF($A359="","",Deals!$Z311)</f>
        <v/>
      </c>
      <c r="H359" s="23">
        <f>IF(OR($A359="",$G359=""),"",INT((Settings!$B$19-$G359)/7))</f>
        <v/>
      </c>
      <c r="I359" s="24">
        <f>IF(OR($A359="",NOT(OR(Deals!$F311="Active",Deals!$F311="Proposal"))),"",TRIM(IF($E359=0," Unstaffed","")&amp;IF(IF(Deals!$U311="",FALSE,OR(AND(IFERROR(INDEX(Templates!$B$3:$B$10,MATCH(Deals!$U311,Templates!$A$3:$A$10,0)),0)&gt;0,COUNTIFS(Assignments!$C$2:$C$769,$A359,Assignments!$F$2:$F$769,"Partner",Assignments!$G$2:$G$769,"Active")=0),AND(IFERROR(INDEX(Templates!$C$3:$C$10,MATCH(Deals!$U311,Templates!$A$3:$A$10,0)),0)&gt;0,COUNTIFS(Assignments!$C$2:$C$769,$A359,Assignments!$F$2:$F$769,"MD",Assignments!$G$2:$G$769,"Active")=0),AND(IFERROR(INDEX(Templates!$D$3:$D$10,MATCH(Deals!$U311,Templates!$A$3:$A$10,0)),0)&gt;0,COUNTIFS(Assignments!$C$2:$C$769,$A359,Assignments!$F$2:$F$769,"Director",Assignments!$G$2:$G$769,"Active")=0),AND(IFERROR(INDEX(Templates!$E$3:$E$10,MATCH(Deals!$U311,Templates!$A$3:$A$10,0)),0)&gt;0,COUNTIFS(Assignments!$C$2:$C$769,$A359,Assignments!$F$2:$F$769,"VP",Assignments!$G$2:$G$769,"Active")=0),AND(IFERROR(INDEX(Templates!$F$3:$F$10,MATCH(Deals!$U311,Templates!$A$3:$A$10,0)),0)&gt;0,COUNTIFS(Assignments!$C$2:$C$769,$A359,Assignments!$F$2:$F$769,"Senior Associate",Assignments!$G$2:$G$769,"Active")=0),AND(IFERROR(INDEX(Templates!$G$3:$G$10,MATCH(Deals!$U311,Templates!$A$3:$A$10,0)),0)&gt;0,COUNTIFS(Assignments!$C$2:$C$769,$A359,Assignments!$F$2:$F$769,"Renewable Specialist",Assignments!$G$2:$G$769,"Active")=0),AND(IFERROR(INDEX(Templates!$H$3:$H$10,MATCH(Deals!$U311,Templates!$A$3:$A$10,0)),0)&gt;0,COUNTIFS(Assignments!$C$2:$C$769,$A359,Assignments!$F$2:$F$769,"Associate",Assignments!$G$2:$G$769,"Active")=0)))," MissingLevel","")&amp;IF(AND($C359="Proposal",Deals!$H311=0.5)," DefaultProbability","")&amp;IF($F359="No"," NoDates","")&amp;IF(AND(ISNUMBER($H359),$H359&gt;=Settings!$B$20)," Stale","")))</f>
        <v/>
      </c>
    </row>
    <row r="360">
      <c r="A360" s="16">
        <f>IF(Deals!$A312="","",Deals!$A312)</f>
        <v/>
      </c>
      <c r="B360" s="16">
        <f>IF($A360="","",Deals!$C312)</f>
        <v/>
      </c>
      <c r="C360" s="16">
        <f>IF($A360="","",Deals!$F312)</f>
        <v/>
      </c>
      <c r="D360" s="21">
        <f>IF($A360="","",Deals!$H312)</f>
        <v/>
      </c>
      <c r="E360" s="17">
        <f>IF($A360="","",Deals!$Q312)</f>
        <v/>
      </c>
      <c r="F360" s="16">
        <f>IF($A360="","",IF(AND(Deals!$I312&lt;&gt;"",Deals!$J312&lt;&gt;""),"Yes","No"))</f>
        <v/>
      </c>
      <c r="G360" s="22">
        <f>IF($A360="","",Deals!$Z312)</f>
        <v/>
      </c>
      <c r="H360" s="23">
        <f>IF(OR($A360="",$G360=""),"",INT((Settings!$B$19-$G360)/7))</f>
        <v/>
      </c>
      <c r="I360" s="24">
        <f>IF(OR($A360="",NOT(OR(Deals!$F312="Active",Deals!$F312="Proposal"))),"",TRIM(IF($E360=0," Unstaffed","")&amp;IF(IF(Deals!$U312="",FALSE,OR(AND(IFERROR(INDEX(Templates!$B$3:$B$10,MATCH(Deals!$U312,Templates!$A$3:$A$10,0)),0)&gt;0,COUNTIFS(Assignments!$C$2:$C$769,$A360,Assignments!$F$2:$F$769,"Partner",Assignments!$G$2:$G$769,"Active")=0),AND(IFERROR(INDEX(Templates!$C$3:$C$10,MATCH(Deals!$U312,Templates!$A$3:$A$10,0)),0)&gt;0,COUNTIFS(Assignments!$C$2:$C$769,$A360,Assignments!$F$2:$F$769,"MD",Assignments!$G$2:$G$769,"Active")=0),AND(IFERROR(INDEX(Templates!$D$3:$D$10,MATCH(Deals!$U312,Templates!$A$3:$A$10,0)),0)&gt;0,COUNTIFS(Assignments!$C$2:$C$769,$A360,Assignments!$F$2:$F$769,"Director",Assignments!$G$2:$G$769,"Active")=0),AND(IFERROR(INDEX(Templates!$E$3:$E$10,MATCH(Deals!$U312,Templates!$A$3:$A$10,0)),0)&gt;0,COUNTIFS(Assignments!$C$2:$C$769,$A360,Assignments!$F$2:$F$769,"VP",Assignments!$G$2:$G$769,"Active")=0),AND(IFERROR(INDEX(Templates!$F$3:$F$10,MATCH(Deals!$U312,Templates!$A$3:$A$10,0)),0)&gt;0,COUNTIFS(Assignments!$C$2:$C$769,$A360,Assignments!$F$2:$F$769,"Senior Associate",Assignments!$G$2:$G$769,"Active")=0),AND(IFERROR(INDEX(Templates!$G$3:$G$10,MATCH(Deals!$U312,Templates!$A$3:$A$10,0)),0)&gt;0,COUNTIFS(Assignments!$C$2:$C$769,$A360,Assignments!$F$2:$F$769,"Renewable Specialist",Assignments!$G$2:$G$769,"Active")=0),AND(IFERROR(INDEX(Templates!$H$3:$H$10,MATCH(Deals!$U312,Templates!$A$3:$A$10,0)),0)&gt;0,COUNTIFS(Assignments!$C$2:$C$769,$A360,Assignments!$F$2:$F$769,"Associate",Assignments!$G$2:$G$769,"Active")=0)))," MissingLevel","")&amp;IF(AND($C360="Proposal",Deals!$H312=0.5)," DefaultProbability","")&amp;IF($F360="No"," NoDates","")&amp;IF(AND(ISNUMBER($H360),$H360&gt;=Settings!$B$20)," Stale","")))</f>
        <v/>
      </c>
    </row>
    <row r="361">
      <c r="A361" s="16">
        <f>IF(Deals!$A313="","",Deals!$A313)</f>
        <v/>
      </c>
      <c r="B361" s="16">
        <f>IF($A361="","",Deals!$C313)</f>
        <v/>
      </c>
      <c r="C361" s="16">
        <f>IF($A361="","",Deals!$F313)</f>
        <v/>
      </c>
      <c r="D361" s="21">
        <f>IF($A361="","",Deals!$H313)</f>
        <v/>
      </c>
      <c r="E361" s="17">
        <f>IF($A361="","",Deals!$Q313)</f>
        <v/>
      </c>
      <c r="F361" s="16">
        <f>IF($A361="","",IF(AND(Deals!$I313&lt;&gt;"",Deals!$J313&lt;&gt;""),"Yes","No"))</f>
        <v/>
      </c>
      <c r="G361" s="22">
        <f>IF($A361="","",Deals!$Z313)</f>
        <v/>
      </c>
      <c r="H361" s="23">
        <f>IF(OR($A361="",$G361=""),"",INT((Settings!$B$19-$G361)/7))</f>
        <v/>
      </c>
      <c r="I361" s="24">
        <f>IF(OR($A361="",NOT(OR(Deals!$F313="Active",Deals!$F313="Proposal"))),"",TRIM(IF($E361=0," Unstaffed","")&amp;IF(IF(Deals!$U313="",FALSE,OR(AND(IFERROR(INDEX(Templates!$B$3:$B$10,MATCH(Deals!$U313,Templates!$A$3:$A$10,0)),0)&gt;0,COUNTIFS(Assignments!$C$2:$C$769,$A361,Assignments!$F$2:$F$769,"Partner",Assignments!$G$2:$G$769,"Active")=0),AND(IFERROR(INDEX(Templates!$C$3:$C$10,MATCH(Deals!$U313,Templates!$A$3:$A$10,0)),0)&gt;0,COUNTIFS(Assignments!$C$2:$C$769,$A361,Assignments!$F$2:$F$769,"MD",Assignments!$G$2:$G$769,"Active")=0),AND(IFERROR(INDEX(Templates!$D$3:$D$10,MATCH(Deals!$U313,Templates!$A$3:$A$10,0)),0)&gt;0,COUNTIFS(Assignments!$C$2:$C$769,$A361,Assignments!$F$2:$F$769,"Director",Assignments!$G$2:$G$769,"Active")=0),AND(IFERROR(INDEX(Templates!$E$3:$E$10,MATCH(Deals!$U313,Templates!$A$3:$A$10,0)),0)&gt;0,COUNTIFS(Assignments!$C$2:$C$769,$A361,Assignments!$F$2:$F$769,"VP",Assignments!$G$2:$G$769,"Active")=0),AND(IFERROR(INDEX(Templates!$F$3:$F$10,MATCH(Deals!$U313,Templates!$A$3:$A$10,0)),0)&gt;0,COUNTIFS(Assignments!$C$2:$C$769,$A361,Assignments!$F$2:$F$769,"Senior Associate",Assignments!$G$2:$G$769,"Active")=0),AND(IFERROR(INDEX(Templates!$G$3:$G$10,MATCH(Deals!$U313,Templates!$A$3:$A$10,0)),0)&gt;0,COUNTIFS(Assignments!$C$2:$C$769,$A361,Assignments!$F$2:$F$769,"Renewable Specialist",Assignments!$G$2:$G$769,"Active")=0),AND(IFERROR(INDEX(Templates!$H$3:$H$10,MATCH(Deals!$U313,Templates!$A$3:$A$10,0)),0)&gt;0,COUNTIFS(Assignments!$C$2:$C$769,$A361,Assignments!$F$2:$F$769,"Associate",Assignments!$G$2:$G$769,"Active")=0)))," MissingLevel","")&amp;IF(AND($C361="Proposal",Deals!$H313=0.5)," DefaultProbability","")&amp;IF($F361="No"," NoDates","")&amp;IF(AND(ISNUMBER($H361),$H361&gt;=Settings!$B$20)," Stale","")))</f>
        <v/>
      </c>
    </row>
    <row r="362">
      <c r="A362" s="16">
        <f>IF(Deals!$A314="","",Deals!$A314)</f>
        <v/>
      </c>
      <c r="B362" s="16">
        <f>IF($A362="","",Deals!$C314)</f>
        <v/>
      </c>
      <c r="C362" s="16">
        <f>IF($A362="","",Deals!$F314)</f>
        <v/>
      </c>
      <c r="D362" s="21">
        <f>IF($A362="","",Deals!$H314)</f>
        <v/>
      </c>
      <c r="E362" s="17">
        <f>IF($A362="","",Deals!$Q314)</f>
        <v/>
      </c>
      <c r="F362" s="16">
        <f>IF($A362="","",IF(AND(Deals!$I314&lt;&gt;"",Deals!$J314&lt;&gt;""),"Yes","No"))</f>
        <v/>
      </c>
      <c r="G362" s="22">
        <f>IF($A362="","",Deals!$Z314)</f>
        <v/>
      </c>
      <c r="H362" s="23">
        <f>IF(OR($A362="",$G362=""),"",INT((Settings!$B$19-$G362)/7))</f>
        <v/>
      </c>
      <c r="I362" s="24">
        <f>IF(OR($A362="",NOT(OR(Deals!$F314="Active",Deals!$F314="Proposal"))),"",TRIM(IF($E362=0," Unstaffed","")&amp;IF(IF(Deals!$U314="",FALSE,OR(AND(IFERROR(INDEX(Templates!$B$3:$B$10,MATCH(Deals!$U314,Templates!$A$3:$A$10,0)),0)&gt;0,COUNTIFS(Assignments!$C$2:$C$769,$A362,Assignments!$F$2:$F$769,"Partner",Assignments!$G$2:$G$769,"Active")=0),AND(IFERROR(INDEX(Templates!$C$3:$C$10,MATCH(Deals!$U314,Templates!$A$3:$A$10,0)),0)&gt;0,COUNTIFS(Assignments!$C$2:$C$769,$A362,Assignments!$F$2:$F$769,"MD",Assignments!$G$2:$G$769,"Active")=0),AND(IFERROR(INDEX(Templates!$D$3:$D$10,MATCH(Deals!$U314,Templates!$A$3:$A$10,0)),0)&gt;0,COUNTIFS(Assignments!$C$2:$C$769,$A362,Assignments!$F$2:$F$769,"Director",Assignments!$G$2:$G$769,"Active")=0),AND(IFERROR(INDEX(Templates!$E$3:$E$10,MATCH(Deals!$U314,Templates!$A$3:$A$10,0)),0)&gt;0,COUNTIFS(Assignments!$C$2:$C$769,$A362,Assignments!$F$2:$F$769,"VP",Assignments!$G$2:$G$769,"Active")=0),AND(IFERROR(INDEX(Templates!$F$3:$F$10,MATCH(Deals!$U314,Templates!$A$3:$A$10,0)),0)&gt;0,COUNTIFS(Assignments!$C$2:$C$769,$A362,Assignments!$F$2:$F$769,"Senior Associate",Assignments!$G$2:$G$769,"Active")=0),AND(IFERROR(INDEX(Templates!$G$3:$G$10,MATCH(Deals!$U314,Templates!$A$3:$A$10,0)),0)&gt;0,COUNTIFS(Assignments!$C$2:$C$769,$A362,Assignments!$F$2:$F$769,"Renewable Specialist",Assignments!$G$2:$G$769,"Active")=0),AND(IFERROR(INDEX(Templates!$H$3:$H$10,MATCH(Deals!$U314,Templates!$A$3:$A$10,0)),0)&gt;0,COUNTIFS(Assignments!$C$2:$C$769,$A362,Assignments!$F$2:$F$769,"Associate",Assignments!$G$2:$G$769,"Active")=0)))," MissingLevel","")&amp;IF(AND($C362="Proposal",Deals!$H314=0.5)," DefaultProbability","")&amp;IF($F362="No"," NoDates","")&amp;IF(AND(ISNUMBER($H362),$H362&gt;=Settings!$B$20)," Stale","")))</f>
        <v/>
      </c>
    </row>
    <row r="363">
      <c r="A363" s="16">
        <f>IF(Deals!$A315="","",Deals!$A315)</f>
        <v/>
      </c>
      <c r="B363" s="16">
        <f>IF($A363="","",Deals!$C315)</f>
        <v/>
      </c>
      <c r="C363" s="16">
        <f>IF($A363="","",Deals!$F315)</f>
        <v/>
      </c>
      <c r="D363" s="21">
        <f>IF($A363="","",Deals!$H315)</f>
        <v/>
      </c>
      <c r="E363" s="17">
        <f>IF($A363="","",Deals!$Q315)</f>
        <v/>
      </c>
      <c r="F363" s="16">
        <f>IF($A363="","",IF(AND(Deals!$I315&lt;&gt;"",Deals!$J315&lt;&gt;""),"Yes","No"))</f>
        <v/>
      </c>
      <c r="G363" s="22">
        <f>IF($A363="","",Deals!$Z315)</f>
        <v/>
      </c>
      <c r="H363" s="23">
        <f>IF(OR($A363="",$G363=""),"",INT((Settings!$B$19-$G363)/7))</f>
        <v/>
      </c>
      <c r="I363" s="24">
        <f>IF(OR($A363="",NOT(OR(Deals!$F315="Active",Deals!$F315="Proposal"))),"",TRIM(IF($E363=0," Unstaffed","")&amp;IF(IF(Deals!$U315="",FALSE,OR(AND(IFERROR(INDEX(Templates!$B$3:$B$10,MATCH(Deals!$U315,Templates!$A$3:$A$10,0)),0)&gt;0,COUNTIFS(Assignments!$C$2:$C$769,$A363,Assignments!$F$2:$F$769,"Partner",Assignments!$G$2:$G$769,"Active")=0),AND(IFERROR(INDEX(Templates!$C$3:$C$10,MATCH(Deals!$U315,Templates!$A$3:$A$10,0)),0)&gt;0,COUNTIFS(Assignments!$C$2:$C$769,$A363,Assignments!$F$2:$F$769,"MD",Assignments!$G$2:$G$769,"Active")=0),AND(IFERROR(INDEX(Templates!$D$3:$D$10,MATCH(Deals!$U315,Templates!$A$3:$A$10,0)),0)&gt;0,COUNTIFS(Assignments!$C$2:$C$769,$A363,Assignments!$F$2:$F$769,"Director",Assignments!$G$2:$G$769,"Active")=0),AND(IFERROR(INDEX(Templates!$E$3:$E$10,MATCH(Deals!$U315,Templates!$A$3:$A$10,0)),0)&gt;0,COUNTIFS(Assignments!$C$2:$C$769,$A363,Assignments!$F$2:$F$769,"VP",Assignments!$G$2:$G$769,"Active")=0),AND(IFERROR(INDEX(Templates!$F$3:$F$10,MATCH(Deals!$U315,Templates!$A$3:$A$10,0)),0)&gt;0,COUNTIFS(Assignments!$C$2:$C$769,$A363,Assignments!$F$2:$F$769,"Senior Associate",Assignments!$G$2:$G$769,"Active")=0),AND(IFERROR(INDEX(Templates!$G$3:$G$10,MATCH(Deals!$U315,Templates!$A$3:$A$10,0)),0)&gt;0,COUNTIFS(Assignments!$C$2:$C$769,$A363,Assignments!$F$2:$F$769,"Renewable Specialist",Assignments!$G$2:$G$769,"Active")=0),AND(IFERROR(INDEX(Templates!$H$3:$H$10,MATCH(Deals!$U315,Templates!$A$3:$A$10,0)),0)&gt;0,COUNTIFS(Assignments!$C$2:$C$769,$A363,Assignments!$F$2:$F$769,"Associate",Assignments!$G$2:$G$769,"Active")=0)))," MissingLevel","")&amp;IF(AND($C363="Proposal",Deals!$H315=0.5)," DefaultProbability","")&amp;IF($F363="No"," NoDates","")&amp;IF(AND(ISNUMBER($H363),$H363&gt;=Settings!$B$20)," Stale","")))</f>
        <v/>
      </c>
    </row>
    <row r="364">
      <c r="A364" s="16">
        <f>IF(Deals!$A316="","",Deals!$A316)</f>
        <v/>
      </c>
      <c r="B364" s="16">
        <f>IF($A364="","",Deals!$C316)</f>
        <v/>
      </c>
      <c r="C364" s="16">
        <f>IF($A364="","",Deals!$F316)</f>
        <v/>
      </c>
      <c r="D364" s="21">
        <f>IF($A364="","",Deals!$H316)</f>
        <v/>
      </c>
      <c r="E364" s="17">
        <f>IF($A364="","",Deals!$Q316)</f>
        <v/>
      </c>
      <c r="F364" s="16">
        <f>IF($A364="","",IF(AND(Deals!$I316&lt;&gt;"",Deals!$J316&lt;&gt;""),"Yes","No"))</f>
        <v/>
      </c>
      <c r="G364" s="22">
        <f>IF($A364="","",Deals!$Z316)</f>
        <v/>
      </c>
      <c r="H364" s="23">
        <f>IF(OR($A364="",$G364=""),"",INT((Settings!$B$19-$G364)/7))</f>
        <v/>
      </c>
      <c r="I364" s="24">
        <f>IF(OR($A364="",NOT(OR(Deals!$F316="Active",Deals!$F316="Proposal"))),"",TRIM(IF($E364=0," Unstaffed","")&amp;IF(IF(Deals!$U316="",FALSE,OR(AND(IFERROR(INDEX(Templates!$B$3:$B$10,MATCH(Deals!$U316,Templates!$A$3:$A$10,0)),0)&gt;0,COUNTIFS(Assignments!$C$2:$C$769,$A364,Assignments!$F$2:$F$769,"Partner",Assignments!$G$2:$G$769,"Active")=0),AND(IFERROR(INDEX(Templates!$C$3:$C$10,MATCH(Deals!$U316,Templates!$A$3:$A$10,0)),0)&gt;0,COUNTIFS(Assignments!$C$2:$C$769,$A364,Assignments!$F$2:$F$769,"MD",Assignments!$G$2:$G$769,"Active")=0),AND(IFERROR(INDEX(Templates!$D$3:$D$10,MATCH(Deals!$U316,Templates!$A$3:$A$10,0)),0)&gt;0,COUNTIFS(Assignments!$C$2:$C$769,$A364,Assignments!$F$2:$F$769,"Director",Assignments!$G$2:$G$769,"Active")=0),AND(IFERROR(INDEX(Templates!$E$3:$E$10,MATCH(Deals!$U316,Templates!$A$3:$A$10,0)),0)&gt;0,COUNTIFS(Assignments!$C$2:$C$769,$A364,Assignments!$F$2:$F$769,"VP",Assignments!$G$2:$G$769,"Active")=0),AND(IFERROR(INDEX(Templates!$F$3:$F$10,MATCH(Deals!$U316,Templates!$A$3:$A$10,0)),0)&gt;0,COUNTIFS(Assignments!$C$2:$C$769,$A364,Assignments!$F$2:$F$769,"Senior Associate",Assignments!$G$2:$G$769,"Active")=0),AND(IFERROR(INDEX(Templates!$G$3:$G$10,MATCH(Deals!$U316,Templates!$A$3:$A$10,0)),0)&gt;0,COUNTIFS(Assignments!$C$2:$C$769,$A364,Assignments!$F$2:$F$769,"Renewable Specialist",Assignments!$G$2:$G$769,"Active")=0),AND(IFERROR(INDEX(Templates!$H$3:$H$10,MATCH(Deals!$U316,Templates!$A$3:$A$10,0)),0)&gt;0,COUNTIFS(Assignments!$C$2:$C$769,$A364,Assignments!$F$2:$F$769,"Associate",Assignments!$G$2:$G$769,"Active")=0)))," MissingLevel","")&amp;IF(AND($C364="Proposal",Deals!$H316=0.5)," DefaultProbability","")&amp;IF($F364="No"," NoDates","")&amp;IF(AND(ISNUMBER($H364),$H364&gt;=Settings!$B$20)," Stale","")))</f>
        <v/>
      </c>
    </row>
    <row r="365">
      <c r="A365" s="16">
        <f>IF(Deals!$A317="","",Deals!$A317)</f>
        <v/>
      </c>
      <c r="B365" s="16">
        <f>IF($A365="","",Deals!$C317)</f>
        <v/>
      </c>
      <c r="C365" s="16">
        <f>IF($A365="","",Deals!$F317)</f>
        <v/>
      </c>
      <c r="D365" s="21">
        <f>IF($A365="","",Deals!$H317)</f>
        <v/>
      </c>
      <c r="E365" s="17">
        <f>IF($A365="","",Deals!$Q317)</f>
        <v/>
      </c>
      <c r="F365" s="16">
        <f>IF($A365="","",IF(AND(Deals!$I317&lt;&gt;"",Deals!$J317&lt;&gt;""),"Yes","No"))</f>
        <v/>
      </c>
      <c r="G365" s="22">
        <f>IF($A365="","",Deals!$Z317)</f>
        <v/>
      </c>
      <c r="H365" s="23">
        <f>IF(OR($A365="",$G365=""),"",INT((Settings!$B$19-$G365)/7))</f>
        <v/>
      </c>
      <c r="I365" s="24">
        <f>IF(OR($A365="",NOT(OR(Deals!$F317="Active",Deals!$F317="Proposal"))),"",TRIM(IF($E365=0," Unstaffed","")&amp;IF(IF(Deals!$U317="",FALSE,OR(AND(IFERROR(INDEX(Templates!$B$3:$B$10,MATCH(Deals!$U317,Templates!$A$3:$A$10,0)),0)&gt;0,COUNTIFS(Assignments!$C$2:$C$769,$A365,Assignments!$F$2:$F$769,"Partner",Assignments!$G$2:$G$769,"Active")=0),AND(IFERROR(INDEX(Templates!$C$3:$C$10,MATCH(Deals!$U317,Templates!$A$3:$A$10,0)),0)&gt;0,COUNTIFS(Assignments!$C$2:$C$769,$A365,Assignments!$F$2:$F$769,"MD",Assignments!$G$2:$G$769,"Active")=0),AND(IFERROR(INDEX(Templates!$D$3:$D$10,MATCH(Deals!$U317,Templates!$A$3:$A$10,0)),0)&gt;0,COUNTIFS(Assignments!$C$2:$C$769,$A365,Assignments!$F$2:$F$769,"Director",Assignments!$G$2:$G$769,"Active")=0),AND(IFERROR(INDEX(Templates!$E$3:$E$10,MATCH(Deals!$U317,Templates!$A$3:$A$10,0)),0)&gt;0,COUNTIFS(Assignments!$C$2:$C$769,$A365,Assignments!$F$2:$F$769,"VP",Assignments!$G$2:$G$769,"Active")=0),AND(IFERROR(INDEX(Templates!$F$3:$F$10,MATCH(Deals!$U317,Templates!$A$3:$A$10,0)),0)&gt;0,COUNTIFS(Assignments!$C$2:$C$769,$A365,Assignments!$F$2:$F$769,"Senior Associate",Assignments!$G$2:$G$769,"Active")=0),AND(IFERROR(INDEX(Templates!$G$3:$G$10,MATCH(Deals!$U317,Templates!$A$3:$A$10,0)),0)&gt;0,COUNTIFS(Assignments!$C$2:$C$769,$A365,Assignments!$F$2:$F$769,"Renewable Specialist",Assignments!$G$2:$G$769,"Active")=0),AND(IFERROR(INDEX(Templates!$H$3:$H$10,MATCH(Deals!$U317,Templates!$A$3:$A$10,0)),0)&gt;0,COUNTIFS(Assignments!$C$2:$C$769,$A365,Assignments!$F$2:$F$769,"Associate",Assignments!$G$2:$G$769,"Active")=0)))," MissingLevel","")&amp;IF(AND($C365="Proposal",Deals!$H317=0.5)," DefaultProbability","")&amp;IF($F365="No"," NoDates","")&amp;IF(AND(ISNUMBER($H365),$H365&gt;=Settings!$B$20)," Stale","")))</f>
        <v/>
      </c>
    </row>
    <row r="366">
      <c r="A366" s="16">
        <f>IF(Deals!$A318="","",Deals!$A318)</f>
        <v/>
      </c>
      <c r="B366" s="16">
        <f>IF($A366="","",Deals!$C318)</f>
        <v/>
      </c>
      <c r="C366" s="16">
        <f>IF($A366="","",Deals!$F318)</f>
        <v/>
      </c>
      <c r="D366" s="21">
        <f>IF($A366="","",Deals!$H318)</f>
        <v/>
      </c>
      <c r="E366" s="17">
        <f>IF($A366="","",Deals!$Q318)</f>
        <v/>
      </c>
      <c r="F366" s="16">
        <f>IF($A366="","",IF(AND(Deals!$I318&lt;&gt;"",Deals!$J318&lt;&gt;""),"Yes","No"))</f>
        <v/>
      </c>
      <c r="G366" s="22">
        <f>IF($A366="","",Deals!$Z318)</f>
        <v/>
      </c>
      <c r="H366" s="23">
        <f>IF(OR($A366="",$G366=""),"",INT((Settings!$B$19-$G366)/7))</f>
        <v/>
      </c>
      <c r="I366" s="24">
        <f>IF(OR($A366="",NOT(OR(Deals!$F318="Active",Deals!$F318="Proposal"))),"",TRIM(IF($E366=0," Unstaffed","")&amp;IF(IF(Deals!$U318="",FALSE,OR(AND(IFERROR(INDEX(Templates!$B$3:$B$10,MATCH(Deals!$U318,Templates!$A$3:$A$10,0)),0)&gt;0,COUNTIFS(Assignments!$C$2:$C$769,$A366,Assignments!$F$2:$F$769,"Partner",Assignments!$G$2:$G$769,"Active")=0),AND(IFERROR(INDEX(Templates!$C$3:$C$10,MATCH(Deals!$U318,Templates!$A$3:$A$10,0)),0)&gt;0,COUNTIFS(Assignments!$C$2:$C$769,$A366,Assignments!$F$2:$F$769,"MD",Assignments!$G$2:$G$769,"Active")=0),AND(IFERROR(INDEX(Templates!$D$3:$D$10,MATCH(Deals!$U318,Templates!$A$3:$A$10,0)),0)&gt;0,COUNTIFS(Assignments!$C$2:$C$769,$A366,Assignments!$F$2:$F$769,"Director",Assignments!$G$2:$G$769,"Active")=0),AND(IFERROR(INDEX(Templates!$E$3:$E$10,MATCH(Deals!$U318,Templates!$A$3:$A$10,0)),0)&gt;0,COUNTIFS(Assignments!$C$2:$C$769,$A366,Assignments!$F$2:$F$769,"VP",Assignments!$G$2:$G$769,"Active")=0),AND(IFERROR(INDEX(Templates!$F$3:$F$10,MATCH(Deals!$U318,Templates!$A$3:$A$10,0)),0)&gt;0,COUNTIFS(Assignments!$C$2:$C$769,$A366,Assignments!$F$2:$F$769,"Senior Associate",Assignments!$G$2:$G$769,"Active")=0),AND(IFERROR(INDEX(Templates!$G$3:$G$10,MATCH(Deals!$U318,Templates!$A$3:$A$10,0)),0)&gt;0,COUNTIFS(Assignments!$C$2:$C$769,$A366,Assignments!$F$2:$F$769,"Renewable Specialist",Assignments!$G$2:$G$769,"Active")=0),AND(IFERROR(INDEX(Templates!$H$3:$H$10,MATCH(Deals!$U318,Templates!$A$3:$A$10,0)),0)&gt;0,COUNTIFS(Assignments!$C$2:$C$769,$A366,Assignments!$F$2:$F$769,"Associate",Assignments!$G$2:$G$769,"Active")=0)))," MissingLevel","")&amp;IF(AND($C366="Proposal",Deals!$H318=0.5)," DefaultProbability","")&amp;IF($F366="No"," NoDates","")&amp;IF(AND(ISNUMBER($H366),$H366&gt;=Settings!$B$20)," Stale","")))</f>
        <v/>
      </c>
    </row>
    <row r="367">
      <c r="A367" s="16">
        <f>IF(Deals!$A319="","",Deals!$A319)</f>
        <v/>
      </c>
      <c r="B367" s="16">
        <f>IF($A367="","",Deals!$C319)</f>
        <v/>
      </c>
      <c r="C367" s="16">
        <f>IF($A367="","",Deals!$F319)</f>
        <v/>
      </c>
      <c r="D367" s="21">
        <f>IF($A367="","",Deals!$H319)</f>
        <v/>
      </c>
      <c r="E367" s="17">
        <f>IF($A367="","",Deals!$Q319)</f>
        <v/>
      </c>
      <c r="F367" s="16">
        <f>IF($A367="","",IF(AND(Deals!$I319&lt;&gt;"",Deals!$J319&lt;&gt;""),"Yes","No"))</f>
        <v/>
      </c>
      <c r="G367" s="22">
        <f>IF($A367="","",Deals!$Z319)</f>
        <v/>
      </c>
      <c r="H367" s="23">
        <f>IF(OR($A367="",$G367=""),"",INT((Settings!$B$19-$G367)/7))</f>
        <v/>
      </c>
      <c r="I367" s="24">
        <f>IF(OR($A367="",NOT(OR(Deals!$F319="Active",Deals!$F319="Proposal"))),"",TRIM(IF($E367=0," Unstaffed","")&amp;IF(IF(Deals!$U319="",FALSE,OR(AND(IFERROR(INDEX(Templates!$B$3:$B$10,MATCH(Deals!$U319,Templates!$A$3:$A$10,0)),0)&gt;0,COUNTIFS(Assignments!$C$2:$C$769,$A367,Assignments!$F$2:$F$769,"Partner",Assignments!$G$2:$G$769,"Active")=0),AND(IFERROR(INDEX(Templates!$C$3:$C$10,MATCH(Deals!$U319,Templates!$A$3:$A$10,0)),0)&gt;0,COUNTIFS(Assignments!$C$2:$C$769,$A367,Assignments!$F$2:$F$769,"MD",Assignments!$G$2:$G$769,"Active")=0),AND(IFERROR(INDEX(Templates!$D$3:$D$10,MATCH(Deals!$U319,Templates!$A$3:$A$10,0)),0)&gt;0,COUNTIFS(Assignments!$C$2:$C$769,$A367,Assignments!$F$2:$F$769,"Director",Assignments!$G$2:$G$769,"Active")=0),AND(IFERROR(INDEX(Templates!$E$3:$E$10,MATCH(Deals!$U319,Templates!$A$3:$A$10,0)),0)&gt;0,COUNTIFS(Assignments!$C$2:$C$769,$A367,Assignments!$F$2:$F$769,"VP",Assignments!$G$2:$G$769,"Active")=0),AND(IFERROR(INDEX(Templates!$F$3:$F$10,MATCH(Deals!$U319,Templates!$A$3:$A$10,0)),0)&gt;0,COUNTIFS(Assignments!$C$2:$C$769,$A367,Assignments!$F$2:$F$769,"Senior Associate",Assignments!$G$2:$G$769,"Active")=0),AND(IFERROR(INDEX(Templates!$G$3:$G$10,MATCH(Deals!$U319,Templates!$A$3:$A$10,0)),0)&gt;0,COUNTIFS(Assignments!$C$2:$C$769,$A367,Assignments!$F$2:$F$769,"Renewable Specialist",Assignments!$G$2:$G$769,"Active")=0),AND(IFERROR(INDEX(Templates!$H$3:$H$10,MATCH(Deals!$U319,Templates!$A$3:$A$10,0)),0)&gt;0,COUNTIFS(Assignments!$C$2:$C$769,$A367,Assignments!$F$2:$F$769,"Associate",Assignments!$G$2:$G$769,"Active")=0)))," MissingLevel","")&amp;IF(AND($C367="Proposal",Deals!$H319=0.5)," DefaultProbability","")&amp;IF($F367="No"," NoDates","")&amp;IF(AND(ISNUMBER($H367),$H367&gt;=Settings!$B$20)," Stale","")))</f>
        <v/>
      </c>
    </row>
    <row r="368">
      <c r="A368" s="16">
        <f>IF(Deals!$A320="","",Deals!$A320)</f>
        <v/>
      </c>
      <c r="B368" s="16">
        <f>IF($A368="","",Deals!$C320)</f>
        <v/>
      </c>
      <c r="C368" s="16">
        <f>IF($A368="","",Deals!$F320)</f>
        <v/>
      </c>
      <c r="D368" s="21">
        <f>IF($A368="","",Deals!$H320)</f>
        <v/>
      </c>
      <c r="E368" s="17">
        <f>IF($A368="","",Deals!$Q320)</f>
        <v/>
      </c>
      <c r="F368" s="16">
        <f>IF($A368="","",IF(AND(Deals!$I320&lt;&gt;"",Deals!$J320&lt;&gt;""),"Yes","No"))</f>
        <v/>
      </c>
      <c r="G368" s="22">
        <f>IF($A368="","",Deals!$Z320)</f>
        <v/>
      </c>
      <c r="H368" s="23">
        <f>IF(OR($A368="",$G368=""),"",INT((Settings!$B$19-$G368)/7))</f>
        <v/>
      </c>
      <c r="I368" s="24">
        <f>IF(OR($A368="",NOT(OR(Deals!$F320="Active",Deals!$F320="Proposal"))),"",TRIM(IF($E368=0," Unstaffed","")&amp;IF(IF(Deals!$U320="",FALSE,OR(AND(IFERROR(INDEX(Templates!$B$3:$B$10,MATCH(Deals!$U320,Templates!$A$3:$A$10,0)),0)&gt;0,COUNTIFS(Assignments!$C$2:$C$769,$A368,Assignments!$F$2:$F$769,"Partner",Assignments!$G$2:$G$769,"Active")=0),AND(IFERROR(INDEX(Templates!$C$3:$C$10,MATCH(Deals!$U320,Templates!$A$3:$A$10,0)),0)&gt;0,COUNTIFS(Assignments!$C$2:$C$769,$A368,Assignments!$F$2:$F$769,"MD",Assignments!$G$2:$G$769,"Active")=0),AND(IFERROR(INDEX(Templates!$D$3:$D$10,MATCH(Deals!$U320,Templates!$A$3:$A$10,0)),0)&gt;0,COUNTIFS(Assignments!$C$2:$C$769,$A368,Assignments!$F$2:$F$769,"Director",Assignments!$G$2:$G$769,"Active")=0),AND(IFERROR(INDEX(Templates!$E$3:$E$10,MATCH(Deals!$U320,Templates!$A$3:$A$10,0)),0)&gt;0,COUNTIFS(Assignments!$C$2:$C$769,$A368,Assignments!$F$2:$F$769,"VP",Assignments!$G$2:$G$769,"Active")=0),AND(IFERROR(INDEX(Templates!$F$3:$F$10,MATCH(Deals!$U320,Templates!$A$3:$A$10,0)),0)&gt;0,COUNTIFS(Assignments!$C$2:$C$769,$A368,Assignments!$F$2:$F$769,"Senior Associate",Assignments!$G$2:$G$769,"Active")=0),AND(IFERROR(INDEX(Templates!$G$3:$G$10,MATCH(Deals!$U320,Templates!$A$3:$A$10,0)),0)&gt;0,COUNTIFS(Assignments!$C$2:$C$769,$A368,Assignments!$F$2:$F$769,"Renewable Specialist",Assignments!$G$2:$G$769,"Active")=0),AND(IFERROR(INDEX(Templates!$H$3:$H$10,MATCH(Deals!$U320,Templates!$A$3:$A$10,0)),0)&gt;0,COUNTIFS(Assignments!$C$2:$C$769,$A368,Assignments!$F$2:$F$769,"Associate",Assignments!$G$2:$G$769,"Active")=0)))," MissingLevel","")&amp;IF(AND($C368="Proposal",Deals!$H320=0.5)," DefaultProbability","")&amp;IF($F368="No"," NoDates","")&amp;IF(AND(ISNUMBER($H368),$H368&gt;=Settings!$B$20)," Stale","")))</f>
        <v/>
      </c>
    </row>
    <row r="369">
      <c r="A369" s="16">
        <f>IF(Deals!$A321="","",Deals!$A321)</f>
        <v/>
      </c>
      <c r="B369" s="16">
        <f>IF($A369="","",Deals!$C321)</f>
        <v/>
      </c>
      <c r="C369" s="16">
        <f>IF($A369="","",Deals!$F321)</f>
        <v/>
      </c>
      <c r="D369" s="21">
        <f>IF($A369="","",Deals!$H321)</f>
        <v/>
      </c>
      <c r="E369" s="17">
        <f>IF($A369="","",Deals!$Q321)</f>
        <v/>
      </c>
      <c r="F369" s="16">
        <f>IF($A369="","",IF(AND(Deals!$I321&lt;&gt;"",Deals!$J321&lt;&gt;""),"Yes","No"))</f>
        <v/>
      </c>
      <c r="G369" s="22">
        <f>IF($A369="","",Deals!$Z321)</f>
        <v/>
      </c>
      <c r="H369" s="23">
        <f>IF(OR($A369="",$G369=""),"",INT((Settings!$B$19-$G369)/7))</f>
        <v/>
      </c>
      <c r="I369" s="24">
        <f>IF(OR($A369="",NOT(OR(Deals!$F321="Active",Deals!$F321="Proposal"))),"",TRIM(IF($E369=0," Unstaffed","")&amp;IF(IF(Deals!$U321="",FALSE,OR(AND(IFERROR(INDEX(Templates!$B$3:$B$10,MATCH(Deals!$U321,Templates!$A$3:$A$10,0)),0)&gt;0,COUNTIFS(Assignments!$C$2:$C$769,$A369,Assignments!$F$2:$F$769,"Partner",Assignments!$G$2:$G$769,"Active")=0),AND(IFERROR(INDEX(Templates!$C$3:$C$10,MATCH(Deals!$U321,Templates!$A$3:$A$10,0)),0)&gt;0,COUNTIFS(Assignments!$C$2:$C$769,$A369,Assignments!$F$2:$F$769,"MD",Assignments!$G$2:$G$769,"Active")=0),AND(IFERROR(INDEX(Templates!$D$3:$D$10,MATCH(Deals!$U321,Templates!$A$3:$A$10,0)),0)&gt;0,COUNTIFS(Assignments!$C$2:$C$769,$A369,Assignments!$F$2:$F$769,"Director",Assignments!$G$2:$G$769,"Active")=0),AND(IFERROR(INDEX(Templates!$E$3:$E$10,MATCH(Deals!$U321,Templates!$A$3:$A$10,0)),0)&gt;0,COUNTIFS(Assignments!$C$2:$C$769,$A369,Assignments!$F$2:$F$769,"VP",Assignments!$G$2:$G$769,"Active")=0),AND(IFERROR(INDEX(Templates!$F$3:$F$10,MATCH(Deals!$U321,Templates!$A$3:$A$10,0)),0)&gt;0,COUNTIFS(Assignments!$C$2:$C$769,$A369,Assignments!$F$2:$F$769,"Senior Associate",Assignments!$G$2:$G$769,"Active")=0),AND(IFERROR(INDEX(Templates!$G$3:$G$10,MATCH(Deals!$U321,Templates!$A$3:$A$10,0)),0)&gt;0,COUNTIFS(Assignments!$C$2:$C$769,$A369,Assignments!$F$2:$F$769,"Renewable Specialist",Assignments!$G$2:$G$769,"Active")=0),AND(IFERROR(INDEX(Templates!$H$3:$H$10,MATCH(Deals!$U321,Templates!$A$3:$A$10,0)),0)&gt;0,COUNTIFS(Assignments!$C$2:$C$769,$A369,Assignments!$F$2:$F$769,"Associate",Assignments!$G$2:$G$769,"Active")=0)))," MissingLevel","")&amp;IF(AND($C369="Proposal",Deals!$H321=0.5)," DefaultProbability","")&amp;IF($F369="No"," NoDates","")&amp;IF(AND(ISNUMBER($H369),$H369&gt;=Settings!$B$20)," Stale","")))</f>
        <v/>
      </c>
    </row>
    <row r="370">
      <c r="A370" s="16">
        <f>IF(Deals!$A322="","",Deals!$A322)</f>
        <v/>
      </c>
      <c r="B370" s="16">
        <f>IF($A370="","",Deals!$C322)</f>
        <v/>
      </c>
      <c r="C370" s="16">
        <f>IF($A370="","",Deals!$F322)</f>
        <v/>
      </c>
      <c r="D370" s="21">
        <f>IF($A370="","",Deals!$H322)</f>
        <v/>
      </c>
      <c r="E370" s="17">
        <f>IF($A370="","",Deals!$Q322)</f>
        <v/>
      </c>
      <c r="F370" s="16">
        <f>IF($A370="","",IF(AND(Deals!$I322&lt;&gt;"",Deals!$J322&lt;&gt;""),"Yes","No"))</f>
        <v/>
      </c>
      <c r="G370" s="22">
        <f>IF($A370="","",Deals!$Z322)</f>
        <v/>
      </c>
      <c r="H370" s="23">
        <f>IF(OR($A370="",$G370=""),"",INT((Settings!$B$19-$G370)/7))</f>
        <v/>
      </c>
      <c r="I370" s="24">
        <f>IF(OR($A370="",NOT(OR(Deals!$F322="Active",Deals!$F322="Proposal"))),"",TRIM(IF($E370=0," Unstaffed","")&amp;IF(IF(Deals!$U322="",FALSE,OR(AND(IFERROR(INDEX(Templates!$B$3:$B$10,MATCH(Deals!$U322,Templates!$A$3:$A$10,0)),0)&gt;0,COUNTIFS(Assignments!$C$2:$C$769,$A370,Assignments!$F$2:$F$769,"Partner",Assignments!$G$2:$G$769,"Active")=0),AND(IFERROR(INDEX(Templates!$C$3:$C$10,MATCH(Deals!$U322,Templates!$A$3:$A$10,0)),0)&gt;0,COUNTIFS(Assignments!$C$2:$C$769,$A370,Assignments!$F$2:$F$769,"MD",Assignments!$G$2:$G$769,"Active")=0),AND(IFERROR(INDEX(Templates!$D$3:$D$10,MATCH(Deals!$U322,Templates!$A$3:$A$10,0)),0)&gt;0,COUNTIFS(Assignments!$C$2:$C$769,$A370,Assignments!$F$2:$F$769,"Director",Assignments!$G$2:$G$769,"Active")=0),AND(IFERROR(INDEX(Templates!$E$3:$E$10,MATCH(Deals!$U322,Templates!$A$3:$A$10,0)),0)&gt;0,COUNTIFS(Assignments!$C$2:$C$769,$A370,Assignments!$F$2:$F$769,"VP",Assignments!$G$2:$G$769,"Active")=0),AND(IFERROR(INDEX(Templates!$F$3:$F$10,MATCH(Deals!$U322,Templates!$A$3:$A$10,0)),0)&gt;0,COUNTIFS(Assignments!$C$2:$C$769,$A370,Assignments!$F$2:$F$769,"Senior Associate",Assignments!$G$2:$G$769,"Active")=0),AND(IFERROR(INDEX(Templates!$G$3:$G$10,MATCH(Deals!$U322,Templates!$A$3:$A$10,0)),0)&gt;0,COUNTIFS(Assignments!$C$2:$C$769,$A370,Assignments!$F$2:$F$769,"Renewable Specialist",Assignments!$G$2:$G$769,"Active")=0),AND(IFERROR(INDEX(Templates!$H$3:$H$10,MATCH(Deals!$U322,Templates!$A$3:$A$10,0)),0)&gt;0,COUNTIFS(Assignments!$C$2:$C$769,$A370,Assignments!$F$2:$F$769,"Associate",Assignments!$G$2:$G$769,"Active")=0)))," MissingLevel","")&amp;IF(AND($C370="Proposal",Deals!$H322=0.5)," DefaultProbability","")&amp;IF($F370="No"," NoDates","")&amp;IF(AND(ISNUMBER($H370),$H370&gt;=Settings!$B$20)," Stale","")))</f>
        <v/>
      </c>
    </row>
    <row r="371">
      <c r="A371" s="16">
        <f>IF(Deals!$A323="","",Deals!$A323)</f>
        <v/>
      </c>
      <c r="B371" s="16">
        <f>IF($A371="","",Deals!$C323)</f>
        <v/>
      </c>
      <c r="C371" s="16">
        <f>IF($A371="","",Deals!$F323)</f>
        <v/>
      </c>
      <c r="D371" s="21">
        <f>IF($A371="","",Deals!$H323)</f>
        <v/>
      </c>
      <c r="E371" s="17">
        <f>IF($A371="","",Deals!$Q323)</f>
        <v/>
      </c>
      <c r="F371" s="16">
        <f>IF($A371="","",IF(AND(Deals!$I323&lt;&gt;"",Deals!$J323&lt;&gt;""),"Yes","No"))</f>
        <v/>
      </c>
      <c r="G371" s="22">
        <f>IF($A371="","",Deals!$Z323)</f>
        <v/>
      </c>
      <c r="H371" s="23">
        <f>IF(OR($A371="",$G371=""),"",INT((Settings!$B$19-$G371)/7))</f>
        <v/>
      </c>
      <c r="I371" s="24">
        <f>IF(OR($A371="",NOT(OR(Deals!$F323="Active",Deals!$F323="Proposal"))),"",TRIM(IF($E371=0," Unstaffed","")&amp;IF(IF(Deals!$U323="",FALSE,OR(AND(IFERROR(INDEX(Templates!$B$3:$B$10,MATCH(Deals!$U323,Templates!$A$3:$A$10,0)),0)&gt;0,COUNTIFS(Assignments!$C$2:$C$769,$A371,Assignments!$F$2:$F$769,"Partner",Assignments!$G$2:$G$769,"Active")=0),AND(IFERROR(INDEX(Templates!$C$3:$C$10,MATCH(Deals!$U323,Templates!$A$3:$A$10,0)),0)&gt;0,COUNTIFS(Assignments!$C$2:$C$769,$A371,Assignments!$F$2:$F$769,"MD",Assignments!$G$2:$G$769,"Active")=0),AND(IFERROR(INDEX(Templates!$D$3:$D$10,MATCH(Deals!$U323,Templates!$A$3:$A$10,0)),0)&gt;0,COUNTIFS(Assignments!$C$2:$C$769,$A371,Assignments!$F$2:$F$769,"Director",Assignments!$G$2:$G$769,"Active")=0),AND(IFERROR(INDEX(Templates!$E$3:$E$10,MATCH(Deals!$U323,Templates!$A$3:$A$10,0)),0)&gt;0,COUNTIFS(Assignments!$C$2:$C$769,$A371,Assignments!$F$2:$F$769,"VP",Assignments!$G$2:$G$769,"Active")=0),AND(IFERROR(INDEX(Templates!$F$3:$F$10,MATCH(Deals!$U323,Templates!$A$3:$A$10,0)),0)&gt;0,COUNTIFS(Assignments!$C$2:$C$769,$A371,Assignments!$F$2:$F$769,"Senior Associate",Assignments!$G$2:$G$769,"Active")=0),AND(IFERROR(INDEX(Templates!$G$3:$G$10,MATCH(Deals!$U323,Templates!$A$3:$A$10,0)),0)&gt;0,COUNTIFS(Assignments!$C$2:$C$769,$A371,Assignments!$F$2:$F$769,"Renewable Specialist",Assignments!$G$2:$G$769,"Active")=0),AND(IFERROR(INDEX(Templates!$H$3:$H$10,MATCH(Deals!$U323,Templates!$A$3:$A$10,0)),0)&gt;0,COUNTIFS(Assignments!$C$2:$C$769,$A371,Assignments!$F$2:$F$769,"Associate",Assignments!$G$2:$G$769,"Active")=0)))," MissingLevel","")&amp;IF(AND($C371="Proposal",Deals!$H323=0.5)," DefaultProbability","")&amp;IF($F371="No"," NoDates","")&amp;IF(AND(ISNUMBER($H371),$H371&gt;=Settings!$B$20)," Stale","")))</f>
        <v/>
      </c>
    </row>
    <row r="372">
      <c r="A372" s="16">
        <f>IF(Deals!$A324="","",Deals!$A324)</f>
        <v/>
      </c>
      <c r="B372" s="16">
        <f>IF($A372="","",Deals!$C324)</f>
        <v/>
      </c>
      <c r="C372" s="16">
        <f>IF($A372="","",Deals!$F324)</f>
        <v/>
      </c>
      <c r="D372" s="21">
        <f>IF($A372="","",Deals!$H324)</f>
        <v/>
      </c>
      <c r="E372" s="17">
        <f>IF($A372="","",Deals!$Q324)</f>
        <v/>
      </c>
      <c r="F372" s="16">
        <f>IF($A372="","",IF(AND(Deals!$I324&lt;&gt;"",Deals!$J324&lt;&gt;""),"Yes","No"))</f>
        <v/>
      </c>
      <c r="G372" s="22">
        <f>IF($A372="","",Deals!$Z324)</f>
        <v/>
      </c>
      <c r="H372" s="23">
        <f>IF(OR($A372="",$G372=""),"",INT((Settings!$B$19-$G372)/7))</f>
        <v/>
      </c>
      <c r="I372" s="24">
        <f>IF(OR($A372="",NOT(OR(Deals!$F324="Active",Deals!$F324="Proposal"))),"",TRIM(IF($E372=0," Unstaffed","")&amp;IF(IF(Deals!$U324="",FALSE,OR(AND(IFERROR(INDEX(Templates!$B$3:$B$10,MATCH(Deals!$U324,Templates!$A$3:$A$10,0)),0)&gt;0,COUNTIFS(Assignments!$C$2:$C$769,$A372,Assignments!$F$2:$F$769,"Partner",Assignments!$G$2:$G$769,"Active")=0),AND(IFERROR(INDEX(Templates!$C$3:$C$10,MATCH(Deals!$U324,Templates!$A$3:$A$10,0)),0)&gt;0,COUNTIFS(Assignments!$C$2:$C$769,$A372,Assignments!$F$2:$F$769,"MD",Assignments!$G$2:$G$769,"Active")=0),AND(IFERROR(INDEX(Templates!$D$3:$D$10,MATCH(Deals!$U324,Templates!$A$3:$A$10,0)),0)&gt;0,COUNTIFS(Assignments!$C$2:$C$769,$A372,Assignments!$F$2:$F$769,"Director",Assignments!$G$2:$G$769,"Active")=0),AND(IFERROR(INDEX(Templates!$E$3:$E$10,MATCH(Deals!$U324,Templates!$A$3:$A$10,0)),0)&gt;0,COUNTIFS(Assignments!$C$2:$C$769,$A372,Assignments!$F$2:$F$769,"VP",Assignments!$G$2:$G$769,"Active")=0),AND(IFERROR(INDEX(Templates!$F$3:$F$10,MATCH(Deals!$U324,Templates!$A$3:$A$10,0)),0)&gt;0,COUNTIFS(Assignments!$C$2:$C$769,$A372,Assignments!$F$2:$F$769,"Senior Associate",Assignments!$G$2:$G$769,"Active")=0),AND(IFERROR(INDEX(Templates!$G$3:$G$10,MATCH(Deals!$U324,Templates!$A$3:$A$10,0)),0)&gt;0,COUNTIFS(Assignments!$C$2:$C$769,$A372,Assignments!$F$2:$F$769,"Renewable Specialist",Assignments!$G$2:$G$769,"Active")=0),AND(IFERROR(INDEX(Templates!$H$3:$H$10,MATCH(Deals!$U324,Templates!$A$3:$A$10,0)),0)&gt;0,COUNTIFS(Assignments!$C$2:$C$769,$A372,Assignments!$F$2:$F$769,"Associate",Assignments!$G$2:$G$769,"Active")=0)))," MissingLevel","")&amp;IF(AND($C372="Proposal",Deals!$H324=0.5)," DefaultProbability","")&amp;IF($F372="No"," NoDates","")&amp;IF(AND(ISNUMBER($H372),$H372&gt;=Settings!$B$20)," Stale","")))</f>
        <v/>
      </c>
    </row>
    <row r="373">
      <c r="A373" s="16">
        <f>IF(Deals!$A325="","",Deals!$A325)</f>
        <v/>
      </c>
      <c r="B373" s="16">
        <f>IF($A373="","",Deals!$C325)</f>
        <v/>
      </c>
      <c r="C373" s="16">
        <f>IF($A373="","",Deals!$F325)</f>
        <v/>
      </c>
      <c r="D373" s="21">
        <f>IF($A373="","",Deals!$H325)</f>
        <v/>
      </c>
      <c r="E373" s="17">
        <f>IF($A373="","",Deals!$Q325)</f>
        <v/>
      </c>
      <c r="F373" s="16">
        <f>IF($A373="","",IF(AND(Deals!$I325&lt;&gt;"",Deals!$J325&lt;&gt;""),"Yes","No"))</f>
        <v/>
      </c>
      <c r="G373" s="22">
        <f>IF($A373="","",Deals!$Z325)</f>
        <v/>
      </c>
      <c r="H373" s="23">
        <f>IF(OR($A373="",$G373=""),"",INT((Settings!$B$19-$G373)/7))</f>
        <v/>
      </c>
      <c r="I373" s="24">
        <f>IF(OR($A373="",NOT(OR(Deals!$F325="Active",Deals!$F325="Proposal"))),"",TRIM(IF($E373=0," Unstaffed","")&amp;IF(IF(Deals!$U325="",FALSE,OR(AND(IFERROR(INDEX(Templates!$B$3:$B$10,MATCH(Deals!$U325,Templates!$A$3:$A$10,0)),0)&gt;0,COUNTIFS(Assignments!$C$2:$C$769,$A373,Assignments!$F$2:$F$769,"Partner",Assignments!$G$2:$G$769,"Active")=0),AND(IFERROR(INDEX(Templates!$C$3:$C$10,MATCH(Deals!$U325,Templates!$A$3:$A$10,0)),0)&gt;0,COUNTIFS(Assignments!$C$2:$C$769,$A373,Assignments!$F$2:$F$769,"MD",Assignments!$G$2:$G$769,"Active")=0),AND(IFERROR(INDEX(Templates!$D$3:$D$10,MATCH(Deals!$U325,Templates!$A$3:$A$10,0)),0)&gt;0,COUNTIFS(Assignments!$C$2:$C$769,$A373,Assignments!$F$2:$F$769,"Director",Assignments!$G$2:$G$769,"Active")=0),AND(IFERROR(INDEX(Templates!$E$3:$E$10,MATCH(Deals!$U325,Templates!$A$3:$A$10,0)),0)&gt;0,COUNTIFS(Assignments!$C$2:$C$769,$A373,Assignments!$F$2:$F$769,"VP",Assignments!$G$2:$G$769,"Active")=0),AND(IFERROR(INDEX(Templates!$F$3:$F$10,MATCH(Deals!$U325,Templates!$A$3:$A$10,0)),0)&gt;0,COUNTIFS(Assignments!$C$2:$C$769,$A373,Assignments!$F$2:$F$769,"Senior Associate",Assignments!$G$2:$G$769,"Active")=0),AND(IFERROR(INDEX(Templates!$G$3:$G$10,MATCH(Deals!$U325,Templates!$A$3:$A$10,0)),0)&gt;0,COUNTIFS(Assignments!$C$2:$C$769,$A373,Assignments!$F$2:$F$769,"Renewable Specialist",Assignments!$G$2:$G$769,"Active")=0),AND(IFERROR(INDEX(Templates!$H$3:$H$10,MATCH(Deals!$U325,Templates!$A$3:$A$10,0)),0)&gt;0,COUNTIFS(Assignments!$C$2:$C$769,$A373,Assignments!$F$2:$F$769,"Associate",Assignments!$G$2:$G$769,"Active")=0)))," MissingLevel","")&amp;IF(AND($C373="Proposal",Deals!$H325=0.5)," DefaultProbability","")&amp;IF($F373="No"," NoDates","")&amp;IF(AND(ISNUMBER($H373),$H373&gt;=Settings!$B$20)," Stale","")))</f>
        <v/>
      </c>
    </row>
    <row r="374">
      <c r="A374" s="16">
        <f>IF(Deals!$A326="","",Deals!$A326)</f>
        <v/>
      </c>
      <c r="B374" s="16">
        <f>IF($A374="","",Deals!$C326)</f>
        <v/>
      </c>
      <c r="C374" s="16">
        <f>IF($A374="","",Deals!$F326)</f>
        <v/>
      </c>
      <c r="D374" s="21">
        <f>IF($A374="","",Deals!$H326)</f>
        <v/>
      </c>
      <c r="E374" s="17">
        <f>IF($A374="","",Deals!$Q326)</f>
        <v/>
      </c>
      <c r="F374" s="16">
        <f>IF($A374="","",IF(AND(Deals!$I326&lt;&gt;"",Deals!$J326&lt;&gt;""),"Yes","No"))</f>
        <v/>
      </c>
      <c r="G374" s="22">
        <f>IF($A374="","",Deals!$Z326)</f>
        <v/>
      </c>
      <c r="H374" s="23">
        <f>IF(OR($A374="",$G374=""),"",INT((Settings!$B$19-$G374)/7))</f>
        <v/>
      </c>
      <c r="I374" s="24">
        <f>IF(OR($A374="",NOT(OR(Deals!$F326="Active",Deals!$F326="Proposal"))),"",TRIM(IF($E374=0," Unstaffed","")&amp;IF(IF(Deals!$U326="",FALSE,OR(AND(IFERROR(INDEX(Templates!$B$3:$B$10,MATCH(Deals!$U326,Templates!$A$3:$A$10,0)),0)&gt;0,COUNTIFS(Assignments!$C$2:$C$769,$A374,Assignments!$F$2:$F$769,"Partner",Assignments!$G$2:$G$769,"Active")=0),AND(IFERROR(INDEX(Templates!$C$3:$C$10,MATCH(Deals!$U326,Templates!$A$3:$A$10,0)),0)&gt;0,COUNTIFS(Assignments!$C$2:$C$769,$A374,Assignments!$F$2:$F$769,"MD",Assignments!$G$2:$G$769,"Active")=0),AND(IFERROR(INDEX(Templates!$D$3:$D$10,MATCH(Deals!$U326,Templates!$A$3:$A$10,0)),0)&gt;0,COUNTIFS(Assignments!$C$2:$C$769,$A374,Assignments!$F$2:$F$769,"Director",Assignments!$G$2:$G$769,"Active")=0),AND(IFERROR(INDEX(Templates!$E$3:$E$10,MATCH(Deals!$U326,Templates!$A$3:$A$10,0)),0)&gt;0,COUNTIFS(Assignments!$C$2:$C$769,$A374,Assignments!$F$2:$F$769,"VP",Assignments!$G$2:$G$769,"Active")=0),AND(IFERROR(INDEX(Templates!$F$3:$F$10,MATCH(Deals!$U326,Templates!$A$3:$A$10,0)),0)&gt;0,COUNTIFS(Assignments!$C$2:$C$769,$A374,Assignments!$F$2:$F$769,"Senior Associate",Assignments!$G$2:$G$769,"Active")=0),AND(IFERROR(INDEX(Templates!$G$3:$G$10,MATCH(Deals!$U326,Templates!$A$3:$A$10,0)),0)&gt;0,COUNTIFS(Assignments!$C$2:$C$769,$A374,Assignments!$F$2:$F$769,"Renewable Specialist",Assignments!$G$2:$G$769,"Active")=0),AND(IFERROR(INDEX(Templates!$H$3:$H$10,MATCH(Deals!$U326,Templates!$A$3:$A$10,0)),0)&gt;0,COUNTIFS(Assignments!$C$2:$C$769,$A374,Assignments!$F$2:$F$769,"Associate",Assignments!$G$2:$G$769,"Active")=0)))," MissingLevel","")&amp;IF(AND($C374="Proposal",Deals!$H326=0.5)," DefaultProbability","")&amp;IF($F374="No"," NoDates","")&amp;IF(AND(ISNUMBER($H374),$H374&gt;=Settings!$B$20)," Stale","")))</f>
        <v/>
      </c>
    </row>
    <row r="375">
      <c r="A375" s="16">
        <f>IF(Deals!$A327="","",Deals!$A327)</f>
        <v/>
      </c>
      <c r="B375" s="16">
        <f>IF($A375="","",Deals!$C327)</f>
        <v/>
      </c>
      <c r="C375" s="16">
        <f>IF($A375="","",Deals!$F327)</f>
        <v/>
      </c>
      <c r="D375" s="21">
        <f>IF($A375="","",Deals!$H327)</f>
        <v/>
      </c>
      <c r="E375" s="17">
        <f>IF($A375="","",Deals!$Q327)</f>
        <v/>
      </c>
      <c r="F375" s="16">
        <f>IF($A375="","",IF(AND(Deals!$I327&lt;&gt;"",Deals!$J327&lt;&gt;""),"Yes","No"))</f>
        <v/>
      </c>
      <c r="G375" s="22">
        <f>IF($A375="","",Deals!$Z327)</f>
        <v/>
      </c>
      <c r="H375" s="23">
        <f>IF(OR($A375="",$G375=""),"",INT((Settings!$B$19-$G375)/7))</f>
        <v/>
      </c>
      <c r="I375" s="24">
        <f>IF(OR($A375="",NOT(OR(Deals!$F327="Active",Deals!$F327="Proposal"))),"",TRIM(IF($E375=0," Unstaffed","")&amp;IF(IF(Deals!$U327="",FALSE,OR(AND(IFERROR(INDEX(Templates!$B$3:$B$10,MATCH(Deals!$U327,Templates!$A$3:$A$10,0)),0)&gt;0,COUNTIFS(Assignments!$C$2:$C$769,$A375,Assignments!$F$2:$F$769,"Partner",Assignments!$G$2:$G$769,"Active")=0),AND(IFERROR(INDEX(Templates!$C$3:$C$10,MATCH(Deals!$U327,Templates!$A$3:$A$10,0)),0)&gt;0,COUNTIFS(Assignments!$C$2:$C$769,$A375,Assignments!$F$2:$F$769,"MD",Assignments!$G$2:$G$769,"Active")=0),AND(IFERROR(INDEX(Templates!$D$3:$D$10,MATCH(Deals!$U327,Templates!$A$3:$A$10,0)),0)&gt;0,COUNTIFS(Assignments!$C$2:$C$769,$A375,Assignments!$F$2:$F$769,"Director",Assignments!$G$2:$G$769,"Active")=0),AND(IFERROR(INDEX(Templates!$E$3:$E$10,MATCH(Deals!$U327,Templates!$A$3:$A$10,0)),0)&gt;0,COUNTIFS(Assignments!$C$2:$C$769,$A375,Assignments!$F$2:$F$769,"VP",Assignments!$G$2:$G$769,"Active")=0),AND(IFERROR(INDEX(Templates!$F$3:$F$10,MATCH(Deals!$U327,Templates!$A$3:$A$10,0)),0)&gt;0,COUNTIFS(Assignments!$C$2:$C$769,$A375,Assignments!$F$2:$F$769,"Senior Associate",Assignments!$G$2:$G$769,"Active")=0),AND(IFERROR(INDEX(Templates!$G$3:$G$10,MATCH(Deals!$U327,Templates!$A$3:$A$10,0)),0)&gt;0,COUNTIFS(Assignments!$C$2:$C$769,$A375,Assignments!$F$2:$F$769,"Renewable Specialist",Assignments!$G$2:$G$769,"Active")=0),AND(IFERROR(INDEX(Templates!$H$3:$H$10,MATCH(Deals!$U327,Templates!$A$3:$A$10,0)),0)&gt;0,COUNTIFS(Assignments!$C$2:$C$769,$A375,Assignments!$F$2:$F$769,"Associate",Assignments!$G$2:$G$769,"Active")=0)))," MissingLevel","")&amp;IF(AND($C375="Proposal",Deals!$H327=0.5)," DefaultProbability","")&amp;IF($F375="No"," NoDates","")&amp;IF(AND(ISNUMBER($H375),$H375&gt;=Settings!$B$20)," Stale","")))</f>
        <v/>
      </c>
    </row>
    <row r="376">
      <c r="A376" s="16">
        <f>IF(Deals!$A328="","",Deals!$A328)</f>
        <v/>
      </c>
      <c r="B376" s="16">
        <f>IF($A376="","",Deals!$C328)</f>
        <v/>
      </c>
      <c r="C376" s="16">
        <f>IF($A376="","",Deals!$F328)</f>
        <v/>
      </c>
      <c r="D376" s="21">
        <f>IF($A376="","",Deals!$H328)</f>
        <v/>
      </c>
      <c r="E376" s="17">
        <f>IF($A376="","",Deals!$Q328)</f>
        <v/>
      </c>
      <c r="F376" s="16">
        <f>IF($A376="","",IF(AND(Deals!$I328&lt;&gt;"",Deals!$J328&lt;&gt;""),"Yes","No"))</f>
        <v/>
      </c>
      <c r="G376" s="22">
        <f>IF($A376="","",Deals!$Z328)</f>
        <v/>
      </c>
      <c r="H376" s="23">
        <f>IF(OR($A376="",$G376=""),"",INT((Settings!$B$19-$G376)/7))</f>
        <v/>
      </c>
      <c r="I376" s="24">
        <f>IF(OR($A376="",NOT(OR(Deals!$F328="Active",Deals!$F328="Proposal"))),"",TRIM(IF($E376=0," Unstaffed","")&amp;IF(IF(Deals!$U328="",FALSE,OR(AND(IFERROR(INDEX(Templates!$B$3:$B$10,MATCH(Deals!$U328,Templates!$A$3:$A$10,0)),0)&gt;0,COUNTIFS(Assignments!$C$2:$C$769,$A376,Assignments!$F$2:$F$769,"Partner",Assignments!$G$2:$G$769,"Active")=0),AND(IFERROR(INDEX(Templates!$C$3:$C$10,MATCH(Deals!$U328,Templates!$A$3:$A$10,0)),0)&gt;0,COUNTIFS(Assignments!$C$2:$C$769,$A376,Assignments!$F$2:$F$769,"MD",Assignments!$G$2:$G$769,"Active")=0),AND(IFERROR(INDEX(Templates!$D$3:$D$10,MATCH(Deals!$U328,Templates!$A$3:$A$10,0)),0)&gt;0,COUNTIFS(Assignments!$C$2:$C$769,$A376,Assignments!$F$2:$F$769,"Director",Assignments!$G$2:$G$769,"Active")=0),AND(IFERROR(INDEX(Templates!$E$3:$E$10,MATCH(Deals!$U328,Templates!$A$3:$A$10,0)),0)&gt;0,COUNTIFS(Assignments!$C$2:$C$769,$A376,Assignments!$F$2:$F$769,"VP",Assignments!$G$2:$G$769,"Active")=0),AND(IFERROR(INDEX(Templates!$F$3:$F$10,MATCH(Deals!$U328,Templates!$A$3:$A$10,0)),0)&gt;0,COUNTIFS(Assignments!$C$2:$C$769,$A376,Assignments!$F$2:$F$769,"Senior Associate",Assignments!$G$2:$G$769,"Active")=0),AND(IFERROR(INDEX(Templates!$G$3:$G$10,MATCH(Deals!$U328,Templates!$A$3:$A$10,0)),0)&gt;0,COUNTIFS(Assignments!$C$2:$C$769,$A376,Assignments!$F$2:$F$769,"Renewable Specialist",Assignments!$G$2:$G$769,"Active")=0),AND(IFERROR(INDEX(Templates!$H$3:$H$10,MATCH(Deals!$U328,Templates!$A$3:$A$10,0)),0)&gt;0,COUNTIFS(Assignments!$C$2:$C$769,$A376,Assignments!$F$2:$F$769,"Associate",Assignments!$G$2:$G$769,"Active")=0)))," MissingLevel","")&amp;IF(AND($C376="Proposal",Deals!$H328=0.5)," DefaultProbability","")&amp;IF($F376="No"," NoDates","")&amp;IF(AND(ISNUMBER($H376),$H376&gt;=Settings!$B$20)," Stale","")))</f>
        <v/>
      </c>
    </row>
    <row r="377">
      <c r="A377" s="16">
        <f>IF(Deals!$A329="","",Deals!$A329)</f>
        <v/>
      </c>
      <c r="B377" s="16">
        <f>IF($A377="","",Deals!$C329)</f>
        <v/>
      </c>
      <c r="C377" s="16">
        <f>IF($A377="","",Deals!$F329)</f>
        <v/>
      </c>
      <c r="D377" s="21">
        <f>IF($A377="","",Deals!$H329)</f>
        <v/>
      </c>
      <c r="E377" s="17">
        <f>IF($A377="","",Deals!$Q329)</f>
        <v/>
      </c>
      <c r="F377" s="16">
        <f>IF($A377="","",IF(AND(Deals!$I329&lt;&gt;"",Deals!$J329&lt;&gt;""),"Yes","No"))</f>
        <v/>
      </c>
      <c r="G377" s="22">
        <f>IF($A377="","",Deals!$Z329)</f>
        <v/>
      </c>
      <c r="H377" s="23">
        <f>IF(OR($A377="",$G377=""),"",INT((Settings!$B$19-$G377)/7))</f>
        <v/>
      </c>
      <c r="I377" s="24">
        <f>IF(OR($A377="",NOT(OR(Deals!$F329="Active",Deals!$F329="Proposal"))),"",TRIM(IF($E377=0," Unstaffed","")&amp;IF(IF(Deals!$U329="",FALSE,OR(AND(IFERROR(INDEX(Templates!$B$3:$B$10,MATCH(Deals!$U329,Templates!$A$3:$A$10,0)),0)&gt;0,COUNTIFS(Assignments!$C$2:$C$769,$A377,Assignments!$F$2:$F$769,"Partner",Assignments!$G$2:$G$769,"Active")=0),AND(IFERROR(INDEX(Templates!$C$3:$C$10,MATCH(Deals!$U329,Templates!$A$3:$A$10,0)),0)&gt;0,COUNTIFS(Assignments!$C$2:$C$769,$A377,Assignments!$F$2:$F$769,"MD",Assignments!$G$2:$G$769,"Active")=0),AND(IFERROR(INDEX(Templates!$D$3:$D$10,MATCH(Deals!$U329,Templates!$A$3:$A$10,0)),0)&gt;0,COUNTIFS(Assignments!$C$2:$C$769,$A377,Assignments!$F$2:$F$769,"Director",Assignments!$G$2:$G$769,"Active")=0),AND(IFERROR(INDEX(Templates!$E$3:$E$10,MATCH(Deals!$U329,Templates!$A$3:$A$10,0)),0)&gt;0,COUNTIFS(Assignments!$C$2:$C$769,$A377,Assignments!$F$2:$F$769,"VP",Assignments!$G$2:$G$769,"Active")=0),AND(IFERROR(INDEX(Templates!$F$3:$F$10,MATCH(Deals!$U329,Templates!$A$3:$A$10,0)),0)&gt;0,COUNTIFS(Assignments!$C$2:$C$769,$A377,Assignments!$F$2:$F$769,"Senior Associate",Assignments!$G$2:$G$769,"Active")=0),AND(IFERROR(INDEX(Templates!$G$3:$G$10,MATCH(Deals!$U329,Templates!$A$3:$A$10,0)),0)&gt;0,COUNTIFS(Assignments!$C$2:$C$769,$A377,Assignments!$F$2:$F$769,"Renewable Specialist",Assignments!$G$2:$G$769,"Active")=0),AND(IFERROR(INDEX(Templates!$H$3:$H$10,MATCH(Deals!$U329,Templates!$A$3:$A$10,0)),0)&gt;0,COUNTIFS(Assignments!$C$2:$C$769,$A377,Assignments!$F$2:$F$769,"Associate",Assignments!$G$2:$G$769,"Active")=0)))," MissingLevel","")&amp;IF(AND($C377="Proposal",Deals!$H329=0.5)," DefaultProbability","")&amp;IF($F377="No"," NoDates","")&amp;IF(AND(ISNUMBER($H377),$H377&gt;=Settings!$B$20)," Stale","")))</f>
        <v/>
      </c>
    </row>
    <row r="378">
      <c r="A378" s="16">
        <f>IF(Deals!$A330="","",Deals!$A330)</f>
        <v/>
      </c>
      <c r="B378" s="16">
        <f>IF($A378="","",Deals!$C330)</f>
        <v/>
      </c>
      <c r="C378" s="16">
        <f>IF($A378="","",Deals!$F330)</f>
        <v/>
      </c>
      <c r="D378" s="21">
        <f>IF($A378="","",Deals!$H330)</f>
        <v/>
      </c>
      <c r="E378" s="17">
        <f>IF($A378="","",Deals!$Q330)</f>
        <v/>
      </c>
      <c r="F378" s="16">
        <f>IF($A378="","",IF(AND(Deals!$I330&lt;&gt;"",Deals!$J330&lt;&gt;""),"Yes","No"))</f>
        <v/>
      </c>
      <c r="G378" s="22">
        <f>IF($A378="","",Deals!$Z330)</f>
        <v/>
      </c>
      <c r="H378" s="23">
        <f>IF(OR($A378="",$G378=""),"",INT((Settings!$B$19-$G378)/7))</f>
        <v/>
      </c>
      <c r="I378" s="24">
        <f>IF(OR($A378="",NOT(OR(Deals!$F330="Active",Deals!$F330="Proposal"))),"",TRIM(IF($E378=0," Unstaffed","")&amp;IF(IF(Deals!$U330="",FALSE,OR(AND(IFERROR(INDEX(Templates!$B$3:$B$10,MATCH(Deals!$U330,Templates!$A$3:$A$10,0)),0)&gt;0,COUNTIFS(Assignments!$C$2:$C$769,$A378,Assignments!$F$2:$F$769,"Partner",Assignments!$G$2:$G$769,"Active")=0),AND(IFERROR(INDEX(Templates!$C$3:$C$10,MATCH(Deals!$U330,Templates!$A$3:$A$10,0)),0)&gt;0,COUNTIFS(Assignments!$C$2:$C$769,$A378,Assignments!$F$2:$F$769,"MD",Assignments!$G$2:$G$769,"Active")=0),AND(IFERROR(INDEX(Templates!$D$3:$D$10,MATCH(Deals!$U330,Templates!$A$3:$A$10,0)),0)&gt;0,COUNTIFS(Assignments!$C$2:$C$769,$A378,Assignments!$F$2:$F$769,"Director",Assignments!$G$2:$G$769,"Active")=0),AND(IFERROR(INDEX(Templates!$E$3:$E$10,MATCH(Deals!$U330,Templates!$A$3:$A$10,0)),0)&gt;0,COUNTIFS(Assignments!$C$2:$C$769,$A378,Assignments!$F$2:$F$769,"VP",Assignments!$G$2:$G$769,"Active")=0),AND(IFERROR(INDEX(Templates!$F$3:$F$10,MATCH(Deals!$U330,Templates!$A$3:$A$10,0)),0)&gt;0,COUNTIFS(Assignments!$C$2:$C$769,$A378,Assignments!$F$2:$F$769,"Senior Associate",Assignments!$G$2:$G$769,"Active")=0),AND(IFERROR(INDEX(Templates!$G$3:$G$10,MATCH(Deals!$U330,Templates!$A$3:$A$10,0)),0)&gt;0,COUNTIFS(Assignments!$C$2:$C$769,$A378,Assignments!$F$2:$F$769,"Renewable Specialist",Assignments!$G$2:$G$769,"Active")=0),AND(IFERROR(INDEX(Templates!$H$3:$H$10,MATCH(Deals!$U330,Templates!$A$3:$A$10,0)),0)&gt;0,COUNTIFS(Assignments!$C$2:$C$769,$A378,Assignments!$F$2:$F$769,"Associate",Assignments!$G$2:$G$769,"Active")=0)))," MissingLevel","")&amp;IF(AND($C378="Proposal",Deals!$H330=0.5)," DefaultProbability","")&amp;IF($F378="No"," NoDates","")&amp;IF(AND(ISNUMBER($H378),$H378&gt;=Settings!$B$20)," Stale","")))</f>
        <v/>
      </c>
    </row>
    <row r="379">
      <c r="A379" s="16">
        <f>IF(Deals!$A331="","",Deals!$A331)</f>
        <v/>
      </c>
      <c r="B379" s="16">
        <f>IF($A379="","",Deals!$C331)</f>
        <v/>
      </c>
      <c r="C379" s="16">
        <f>IF($A379="","",Deals!$F331)</f>
        <v/>
      </c>
      <c r="D379" s="21">
        <f>IF($A379="","",Deals!$H331)</f>
        <v/>
      </c>
      <c r="E379" s="17">
        <f>IF($A379="","",Deals!$Q331)</f>
        <v/>
      </c>
      <c r="F379" s="16">
        <f>IF($A379="","",IF(AND(Deals!$I331&lt;&gt;"",Deals!$J331&lt;&gt;""),"Yes","No"))</f>
        <v/>
      </c>
      <c r="G379" s="22">
        <f>IF($A379="","",Deals!$Z331)</f>
        <v/>
      </c>
      <c r="H379" s="23">
        <f>IF(OR($A379="",$G379=""),"",INT((Settings!$B$19-$G379)/7))</f>
        <v/>
      </c>
      <c r="I379" s="24">
        <f>IF(OR($A379="",NOT(OR(Deals!$F331="Active",Deals!$F331="Proposal"))),"",TRIM(IF($E379=0," Unstaffed","")&amp;IF(IF(Deals!$U331="",FALSE,OR(AND(IFERROR(INDEX(Templates!$B$3:$B$10,MATCH(Deals!$U331,Templates!$A$3:$A$10,0)),0)&gt;0,COUNTIFS(Assignments!$C$2:$C$769,$A379,Assignments!$F$2:$F$769,"Partner",Assignments!$G$2:$G$769,"Active")=0),AND(IFERROR(INDEX(Templates!$C$3:$C$10,MATCH(Deals!$U331,Templates!$A$3:$A$10,0)),0)&gt;0,COUNTIFS(Assignments!$C$2:$C$769,$A379,Assignments!$F$2:$F$769,"MD",Assignments!$G$2:$G$769,"Active")=0),AND(IFERROR(INDEX(Templates!$D$3:$D$10,MATCH(Deals!$U331,Templates!$A$3:$A$10,0)),0)&gt;0,COUNTIFS(Assignments!$C$2:$C$769,$A379,Assignments!$F$2:$F$769,"Director",Assignments!$G$2:$G$769,"Active")=0),AND(IFERROR(INDEX(Templates!$E$3:$E$10,MATCH(Deals!$U331,Templates!$A$3:$A$10,0)),0)&gt;0,COUNTIFS(Assignments!$C$2:$C$769,$A379,Assignments!$F$2:$F$769,"VP",Assignments!$G$2:$G$769,"Active")=0),AND(IFERROR(INDEX(Templates!$F$3:$F$10,MATCH(Deals!$U331,Templates!$A$3:$A$10,0)),0)&gt;0,COUNTIFS(Assignments!$C$2:$C$769,$A379,Assignments!$F$2:$F$769,"Senior Associate",Assignments!$G$2:$G$769,"Active")=0),AND(IFERROR(INDEX(Templates!$G$3:$G$10,MATCH(Deals!$U331,Templates!$A$3:$A$10,0)),0)&gt;0,COUNTIFS(Assignments!$C$2:$C$769,$A379,Assignments!$F$2:$F$769,"Renewable Specialist",Assignments!$G$2:$G$769,"Active")=0),AND(IFERROR(INDEX(Templates!$H$3:$H$10,MATCH(Deals!$U331,Templates!$A$3:$A$10,0)),0)&gt;0,COUNTIFS(Assignments!$C$2:$C$769,$A379,Assignments!$F$2:$F$769,"Associate",Assignments!$G$2:$G$769,"Active")=0)))," MissingLevel","")&amp;IF(AND($C379="Proposal",Deals!$H331=0.5)," DefaultProbability","")&amp;IF($F379="No"," NoDates","")&amp;IF(AND(ISNUMBER($H379),$H379&gt;=Settings!$B$20)," Stale","")))</f>
        <v/>
      </c>
    </row>
    <row r="380">
      <c r="A380" s="16">
        <f>IF(Deals!$A332="","",Deals!$A332)</f>
        <v/>
      </c>
      <c r="B380" s="16">
        <f>IF($A380="","",Deals!$C332)</f>
        <v/>
      </c>
      <c r="C380" s="16">
        <f>IF($A380="","",Deals!$F332)</f>
        <v/>
      </c>
      <c r="D380" s="21">
        <f>IF($A380="","",Deals!$H332)</f>
        <v/>
      </c>
      <c r="E380" s="17">
        <f>IF($A380="","",Deals!$Q332)</f>
        <v/>
      </c>
      <c r="F380" s="16">
        <f>IF($A380="","",IF(AND(Deals!$I332&lt;&gt;"",Deals!$J332&lt;&gt;""),"Yes","No"))</f>
        <v/>
      </c>
      <c r="G380" s="22">
        <f>IF($A380="","",Deals!$Z332)</f>
        <v/>
      </c>
      <c r="H380" s="23">
        <f>IF(OR($A380="",$G380=""),"",INT((Settings!$B$19-$G380)/7))</f>
        <v/>
      </c>
      <c r="I380" s="24">
        <f>IF(OR($A380="",NOT(OR(Deals!$F332="Active",Deals!$F332="Proposal"))),"",TRIM(IF($E380=0," Unstaffed","")&amp;IF(IF(Deals!$U332="",FALSE,OR(AND(IFERROR(INDEX(Templates!$B$3:$B$10,MATCH(Deals!$U332,Templates!$A$3:$A$10,0)),0)&gt;0,COUNTIFS(Assignments!$C$2:$C$769,$A380,Assignments!$F$2:$F$769,"Partner",Assignments!$G$2:$G$769,"Active")=0),AND(IFERROR(INDEX(Templates!$C$3:$C$10,MATCH(Deals!$U332,Templates!$A$3:$A$10,0)),0)&gt;0,COUNTIFS(Assignments!$C$2:$C$769,$A380,Assignments!$F$2:$F$769,"MD",Assignments!$G$2:$G$769,"Active")=0),AND(IFERROR(INDEX(Templates!$D$3:$D$10,MATCH(Deals!$U332,Templates!$A$3:$A$10,0)),0)&gt;0,COUNTIFS(Assignments!$C$2:$C$769,$A380,Assignments!$F$2:$F$769,"Director",Assignments!$G$2:$G$769,"Active")=0),AND(IFERROR(INDEX(Templates!$E$3:$E$10,MATCH(Deals!$U332,Templates!$A$3:$A$10,0)),0)&gt;0,COUNTIFS(Assignments!$C$2:$C$769,$A380,Assignments!$F$2:$F$769,"VP",Assignments!$G$2:$G$769,"Active")=0),AND(IFERROR(INDEX(Templates!$F$3:$F$10,MATCH(Deals!$U332,Templates!$A$3:$A$10,0)),0)&gt;0,COUNTIFS(Assignments!$C$2:$C$769,$A380,Assignments!$F$2:$F$769,"Senior Associate",Assignments!$G$2:$G$769,"Active")=0),AND(IFERROR(INDEX(Templates!$G$3:$G$10,MATCH(Deals!$U332,Templates!$A$3:$A$10,0)),0)&gt;0,COUNTIFS(Assignments!$C$2:$C$769,$A380,Assignments!$F$2:$F$769,"Renewable Specialist",Assignments!$G$2:$G$769,"Active")=0),AND(IFERROR(INDEX(Templates!$H$3:$H$10,MATCH(Deals!$U332,Templates!$A$3:$A$10,0)),0)&gt;0,COUNTIFS(Assignments!$C$2:$C$769,$A380,Assignments!$F$2:$F$769,"Associate",Assignments!$G$2:$G$769,"Active")=0)))," MissingLevel","")&amp;IF(AND($C380="Proposal",Deals!$H332=0.5)," DefaultProbability","")&amp;IF($F380="No"," NoDates","")&amp;IF(AND(ISNUMBER($H380),$H380&gt;=Settings!$B$20)," Stale","")))</f>
        <v/>
      </c>
    </row>
    <row r="381">
      <c r="A381" s="16">
        <f>IF(Deals!$A333="","",Deals!$A333)</f>
        <v/>
      </c>
      <c r="B381" s="16">
        <f>IF($A381="","",Deals!$C333)</f>
        <v/>
      </c>
      <c r="C381" s="16">
        <f>IF($A381="","",Deals!$F333)</f>
        <v/>
      </c>
      <c r="D381" s="21">
        <f>IF($A381="","",Deals!$H333)</f>
        <v/>
      </c>
      <c r="E381" s="17">
        <f>IF($A381="","",Deals!$Q333)</f>
        <v/>
      </c>
      <c r="F381" s="16">
        <f>IF($A381="","",IF(AND(Deals!$I333&lt;&gt;"",Deals!$J333&lt;&gt;""),"Yes","No"))</f>
        <v/>
      </c>
      <c r="G381" s="22">
        <f>IF($A381="","",Deals!$Z333)</f>
        <v/>
      </c>
      <c r="H381" s="23">
        <f>IF(OR($A381="",$G381=""),"",INT((Settings!$B$19-$G381)/7))</f>
        <v/>
      </c>
      <c r="I381" s="24">
        <f>IF(OR($A381="",NOT(OR(Deals!$F333="Active",Deals!$F333="Proposal"))),"",TRIM(IF($E381=0," Unstaffed","")&amp;IF(IF(Deals!$U333="",FALSE,OR(AND(IFERROR(INDEX(Templates!$B$3:$B$10,MATCH(Deals!$U333,Templates!$A$3:$A$10,0)),0)&gt;0,COUNTIFS(Assignments!$C$2:$C$769,$A381,Assignments!$F$2:$F$769,"Partner",Assignments!$G$2:$G$769,"Active")=0),AND(IFERROR(INDEX(Templates!$C$3:$C$10,MATCH(Deals!$U333,Templates!$A$3:$A$10,0)),0)&gt;0,COUNTIFS(Assignments!$C$2:$C$769,$A381,Assignments!$F$2:$F$769,"MD",Assignments!$G$2:$G$769,"Active")=0),AND(IFERROR(INDEX(Templates!$D$3:$D$10,MATCH(Deals!$U333,Templates!$A$3:$A$10,0)),0)&gt;0,COUNTIFS(Assignments!$C$2:$C$769,$A381,Assignments!$F$2:$F$769,"Director",Assignments!$G$2:$G$769,"Active")=0),AND(IFERROR(INDEX(Templates!$E$3:$E$10,MATCH(Deals!$U333,Templates!$A$3:$A$10,0)),0)&gt;0,COUNTIFS(Assignments!$C$2:$C$769,$A381,Assignments!$F$2:$F$769,"VP",Assignments!$G$2:$G$769,"Active")=0),AND(IFERROR(INDEX(Templates!$F$3:$F$10,MATCH(Deals!$U333,Templates!$A$3:$A$10,0)),0)&gt;0,COUNTIFS(Assignments!$C$2:$C$769,$A381,Assignments!$F$2:$F$769,"Senior Associate",Assignments!$G$2:$G$769,"Active")=0),AND(IFERROR(INDEX(Templates!$G$3:$G$10,MATCH(Deals!$U333,Templates!$A$3:$A$10,0)),0)&gt;0,COUNTIFS(Assignments!$C$2:$C$769,$A381,Assignments!$F$2:$F$769,"Renewable Specialist",Assignments!$G$2:$G$769,"Active")=0),AND(IFERROR(INDEX(Templates!$H$3:$H$10,MATCH(Deals!$U333,Templates!$A$3:$A$10,0)),0)&gt;0,COUNTIFS(Assignments!$C$2:$C$769,$A381,Assignments!$F$2:$F$769,"Associate",Assignments!$G$2:$G$769,"Active")=0)))," MissingLevel","")&amp;IF(AND($C381="Proposal",Deals!$H333=0.5)," DefaultProbability","")&amp;IF($F381="No"," NoDates","")&amp;IF(AND(ISNUMBER($H381),$H381&gt;=Settings!$B$20)," Stale","")))</f>
        <v/>
      </c>
    </row>
    <row r="382">
      <c r="A382" s="16">
        <f>IF(Deals!$A334="","",Deals!$A334)</f>
        <v/>
      </c>
      <c r="B382" s="16">
        <f>IF($A382="","",Deals!$C334)</f>
        <v/>
      </c>
      <c r="C382" s="16">
        <f>IF($A382="","",Deals!$F334)</f>
        <v/>
      </c>
      <c r="D382" s="21">
        <f>IF($A382="","",Deals!$H334)</f>
        <v/>
      </c>
      <c r="E382" s="17">
        <f>IF($A382="","",Deals!$Q334)</f>
        <v/>
      </c>
      <c r="F382" s="16">
        <f>IF($A382="","",IF(AND(Deals!$I334&lt;&gt;"",Deals!$J334&lt;&gt;""),"Yes","No"))</f>
        <v/>
      </c>
      <c r="G382" s="22">
        <f>IF($A382="","",Deals!$Z334)</f>
        <v/>
      </c>
      <c r="H382" s="23">
        <f>IF(OR($A382="",$G382=""),"",INT((Settings!$B$19-$G382)/7))</f>
        <v/>
      </c>
      <c r="I382" s="24">
        <f>IF(OR($A382="",NOT(OR(Deals!$F334="Active",Deals!$F334="Proposal"))),"",TRIM(IF($E382=0," Unstaffed","")&amp;IF(IF(Deals!$U334="",FALSE,OR(AND(IFERROR(INDEX(Templates!$B$3:$B$10,MATCH(Deals!$U334,Templates!$A$3:$A$10,0)),0)&gt;0,COUNTIFS(Assignments!$C$2:$C$769,$A382,Assignments!$F$2:$F$769,"Partner",Assignments!$G$2:$G$769,"Active")=0),AND(IFERROR(INDEX(Templates!$C$3:$C$10,MATCH(Deals!$U334,Templates!$A$3:$A$10,0)),0)&gt;0,COUNTIFS(Assignments!$C$2:$C$769,$A382,Assignments!$F$2:$F$769,"MD",Assignments!$G$2:$G$769,"Active")=0),AND(IFERROR(INDEX(Templates!$D$3:$D$10,MATCH(Deals!$U334,Templates!$A$3:$A$10,0)),0)&gt;0,COUNTIFS(Assignments!$C$2:$C$769,$A382,Assignments!$F$2:$F$769,"Director",Assignments!$G$2:$G$769,"Active")=0),AND(IFERROR(INDEX(Templates!$E$3:$E$10,MATCH(Deals!$U334,Templates!$A$3:$A$10,0)),0)&gt;0,COUNTIFS(Assignments!$C$2:$C$769,$A382,Assignments!$F$2:$F$769,"VP",Assignments!$G$2:$G$769,"Active")=0),AND(IFERROR(INDEX(Templates!$F$3:$F$10,MATCH(Deals!$U334,Templates!$A$3:$A$10,0)),0)&gt;0,COUNTIFS(Assignments!$C$2:$C$769,$A382,Assignments!$F$2:$F$769,"Senior Associate",Assignments!$G$2:$G$769,"Active")=0),AND(IFERROR(INDEX(Templates!$G$3:$G$10,MATCH(Deals!$U334,Templates!$A$3:$A$10,0)),0)&gt;0,COUNTIFS(Assignments!$C$2:$C$769,$A382,Assignments!$F$2:$F$769,"Renewable Specialist",Assignments!$G$2:$G$769,"Active")=0),AND(IFERROR(INDEX(Templates!$H$3:$H$10,MATCH(Deals!$U334,Templates!$A$3:$A$10,0)),0)&gt;0,COUNTIFS(Assignments!$C$2:$C$769,$A382,Assignments!$F$2:$F$769,"Associate",Assignments!$G$2:$G$769,"Active")=0)))," MissingLevel","")&amp;IF(AND($C382="Proposal",Deals!$H334=0.5)," DefaultProbability","")&amp;IF($F382="No"," NoDates","")&amp;IF(AND(ISNUMBER($H382),$H382&gt;=Settings!$B$20)," Stale","")))</f>
        <v/>
      </c>
    </row>
    <row r="383">
      <c r="A383" s="16">
        <f>IF(Deals!$A335="","",Deals!$A335)</f>
        <v/>
      </c>
      <c r="B383" s="16">
        <f>IF($A383="","",Deals!$C335)</f>
        <v/>
      </c>
      <c r="C383" s="16">
        <f>IF($A383="","",Deals!$F335)</f>
        <v/>
      </c>
      <c r="D383" s="21">
        <f>IF($A383="","",Deals!$H335)</f>
        <v/>
      </c>
      <c r="E383" s="17">
        <f>IF($A383="","",Deals!$Q335)</f>
        <v/>
      </c>
      <c r="F383" s="16">
        <f>IF($A383="","",IF(AND(Deals!$I335&lt;&gt;"",Deals!$J335&lt;&gt;""),"Yes","No"))</f>
        <v/>
      </c>
      <c r="G383" s="22">
        <f>IF($A383="","",Deals!$Z335)</f>
        <v/>
      </c>
      <c r="H383" s="23">
        <f>IF(OR($A383="",$G383=""),"",INT((Settings!$B$19-$G383)/7))</f>
        <v/>
      </c>
      <c r="I383" s="24">
        <f>IF(OR($A383="",NOT(OR(Deals!$F335="Active",Deals!$F335="Proposal"))),"",TRIM(IF($E383=0," Unstaffed","")&amp;IF(IF(Deals!$U335="",FALSE,OR(AND(IFERROR(INDEX(Templates!$B$3:$B$10,MATCH(Deals!$U335,Templates!$A$3:$A$10,0)),0)&gt;0,COUNTIFS(Assignments!$C$2:$C$769,$A383,Assignments!$F$2:$F$769,"Partner",Assignments!$G$2:$G$769,"Active")=0),AND(IFERROR(INDEX(Templates!$C$3:$C$10,MATCH(Deals!$U335,Templates!$A$3:$A$10,0)),0)&gt;0,COUNTIFS(Assignments!$C$2:$C$769,$A383,Assignments!$F$2:$F$769,"MD",Assignments!$G$2:$G$769,"Active")=0),AND(IFERROR(INDEX(Templates!$D$3:$D$10,MATCH(Deals!$U335,Templates!$A$3:$A$10,0)),0)&gt;0,COUNTIFS(Assignments!$C$2:$C$769,$A383,Assignments!$F$2:$F$769,"Director",Assignments!$G$2:$G$769,"Active")=0),AND(IFERROR(INDEX(Templates!$E$3:$E$10,MATCH(Deals!$U335,Templates!$A$3:$A$10,0)),0)&gt;0,COUNTIFS(Assignments!$C$2:$C$769,$A383,Assignments!$F$2:$F$769,"VP",Assignments!$G$2:$G$769,"Active")=0),AND(IFERROR(INDEX(Templates!$F$3:$F$10,MATCH(Deals!$U335,Templates!$A$3:$A$10,0)),0)&gt;0,COUNTIFS(Assignments!$C$2:$C$769,$A383,Assignments!$F$2:$F$769,"Senior Associate",Assignments!$G$2:$G$769,"Active")=0),AND(IFERROR(INDEX(Templates!$G$3:$G$10,MATCH(Deals!$U335,Templates!$A$3:$A$10,0)),0)&gt;0,COUNTIFS(Assignments!$C$2:$C$769,$A383,Assignments!$F$2:$F$769,"Renewable Specialist",Assignments!$G$2:$G$769,"Active")=0),AND(IFERROR(INDEX(Templates!$H$3:$H$10,MATCH(Deals!$U335,Templates!$A$3:$A$10,0)),0)&gt;0,COUNTIFS(Assignments!$C$2:$C$769,$A383,Assignments!$F$2:$F$769,"Associate",Assignments!$G$2:$G$769,"Active")=0)))," MissingLevel","")&amp;IF(AND($C383="Proposal",Deals!$H335=0.5)," DefaultProbability","")&amp;IF($F383="No"," NoDates","")&amp;IF(AND(ISNUMBER($H383),$H383&gt;=Settings!$B$20)," Stale","")))</f>
        <v/>
      </c>
    </row>
    <row r="384">
      <c r="A384" s="16">
        <f>IF(Deals!$A336="","",Deals!$A336)</f>
        <v/>
      </c>
      <c r="B384" s="16">
        <f>IF($A384="","",Deals!$C336)</f>
        <v/>
      </c>
      <c r="C384" s="16">
        <f>IF($A384="","",Deals!$F336)</f>
        <v/>
      </c>
      <c r="D384" s="21">
        <f>IF($A384="","",Deals!$H336)</f>
        <v/>
      </c>
      <c r="E384" s="17">
        <f>IF($A384="","",Deals!$Q336)</f>
        <v/>
      </c>
      <c r="F384" s="16">
        <f>IF($A384="","",IF(AND(Deals!$I336&lt;&gt;"",Deals!$J336&lt;&gt;""),"Yes","No"))</f>
        <v/>
      </c>
      <c r="G384" s="22">
        <f>IF($A384="","",Deals!$Z336)</f>
        <v/>
      </c>
      <c r="H384" s="23">
        <f>IF(OR($A384="",$G384=""),"",INT((Settings!$B$19-$G384)/7))</f>
        <v/>
      </c>
      <c r="I384" s="24">
        <f>IF(OR($A384="",NOT(OR(Deals!$F336="Active",Deals!$F336="Proposal"))),"",TRIM(IF($E384=0," Unstaffed","")&amp;IF(IF(Deals!$U336="",FALSE,OR(AND(IFERROR(INDEX(Templates!$B$3:$B$10,MATCH(Deals!$U336,Templates!$A$3:$A$10,0)),0)&gt;0,COUNTIFS(Assignments!$C$2:$C$769,$A384,Assignments!$F$2:$F$769,"Partner",Assignments!$G$2:$G$769,"Active")=0),AND(IFERROR(INDEX(Templates!$C$3:$C$10,MATCH(Deals!$U336,Templates!$A$3:$A$10,0)),0)&gt;0,COUNTIFS(Assignments!$C$2:$C$769,$A384,Assignments!$F$2:$F$769,"MD",Assignments!$G$2:$G$769,"Active")=0),AND(IFERROR(INDEX(Templates!$D$3:$D$10,MATCH(Deals!$U336,Templates!$A$3:$A$10,0)),0)&gt;0,COUNTIFS(Assignments!$C$2:$C$769,$A384,Assignments!$F$2:$F$769,"Director",Assignments!$G$2:$G$769,"Active")=0),AND(IFERROR(INDEX(Templates!$E$3:$E$10,MATCH(Deals!$U336,Templates!$A$3:$A$10,0)),0)&gt;0,COUNTIFS(Assignments!$C$2:$C$769,$A384,Assignments!$F$2:$F$769,"VP",Assignments!$G$2:$G$769,"Active")=0),AND(IFERROR(INDEX(Templates!$F$3:$F$10,MATCH(Deals!$U336,Templates!$A$3:$A$10,0)),0)&gt;0,COUNTIFS(Assignments!$C$2:$C$769,$A384,Assignments!$F$2:$F$769,"Senior Associate",Assignments!$G$2:$G$769,"Active")=0),AND(IFERROR(INDEX(Templates!$G$3:$G$10,MATCH(Deals!$U336,Templates!$A$3:$A$10,0)),0)&gt;0,COUNTIFS(Assignments!$C$2:$C$769,$A384,Assignments!$F$2:$F$769,"Renewable Specialist",Assignments!$G$2:$G$769,"Active")=0),AND(IFERROR(INDEX(Templates!$H$3:$H$10,MATCH(Deals!$U336,Templates!$A$3:$A$10,0)),0)&gt;0,COUNTIFS(Assignments!$C$2:$C$769,$A384,Assignments!$F$2:$F$769,"Associate",Assignments!$G$2:$G$769,"Active")=0)))," MissingLevel","")&amp;IF(AND($C384="Proposal",Deals!$H336=0.5)," DefaultProbability","")&amp;IF($F384="No"," NoDates","")&amp;IF(AND(ISNUMBER($H384),$H384&gt;=Settings!$B$20)," Stale","")))</f>
        <v/>
      </c>
    </row>
    <row r="385">
      <c r="A385" s="16">
        <f>IF(Deals!$A337="","",Deals!$A337)</f>
        <v/>
      </c>
      <c r="B385" s="16">
        <f>IF($A385="","",Deals!$C337)</f>
        <v/>
      </c>
      <c r="C385" s="16">
        <f>IF($A385="","",Deals!$F337)</f>
        <v/>
      </c>
      <c r="D385" s="21">
        <f>IF($A385="","",Deals!$H337)</f>
        <v/>
      </c>
      <c r="E385" s="17">
        <f>IF($A385="","",Deals!$Q337)</f>
        <v/>
      </c>
      <c r="F385" s="16">
        <f>IF($A385="","",IF(AND(Deals!$I337&lt;&gt;"",Deals!$J337&lt;&gt;""),"Yes","No"))</f>
        <v/>
      </c>
      <c r="G385" s="22">
        <f>IF($A385="","",Deals!$Z337)</f>
        <v/>
      </c>
      <c r="H385" s="23">
        <f>IF(OR($A385="",$G385=""),"",INT((Settings!$B$19-$G385)/7))</f>
        <v/>
      </c>
      <c r="I385" s="24">
        <f>IF(OR($A385="",NOT(OR(Deals!$F337="Active",Deals!$F337="Proposal"))),"",TRIM(IF($E385=0," Unstaffed","")&amp;IF(IF(Deals!$U337="",FALSE,OR(AND(IFERROR(INDEX(Templates!$B$3:$B$10,MATCH(Deals!$U337,Templates!$A$3:$A$10,0)),0)&gt;0,COUNTIFS(Assignments!$C$2:$C$769,$A385,Assignments!$F$2:$F$769,"Partner",Assignments!$G$2:$G$769,"Active")=0),AND(IFERROR(INDEX(Templates!$C$3:$C$10,MATCH(Deals!$U337,Templates!$A$3:$A$10,0)),0)&gt;0,COUNTIFS(Assignments!$C$2:$C$769,$A385,Assignments!$F$2:$F$769,"MD",Assignments!$G$2:$G$769,"Active")=0),AND(IFERROR(INDEX(Templates!$D$3:$D$10,MATCH(Deals!$U337,Templates!$A$3:$A$10,0)),0)&gt;0,COUNTIFS(Assignments!$C$2:$C$769,$A385,Assignments!$F$2:$F$769,"Director",Assignments!$G$2:$G$769,"Active")=0),AND(IFERROR(INDEX(Templates!$E$3:$E$10,MATCH(Deals!$U337,Templates!$A$3:$A$10,0)),0)&gt;0,COUNTIFS(Assignments!$C$2:$C$769,$A385,Assignments!$F$2:$F$769,"VP",Assignments!$G$2:$G$769,"Active")=0),AND(IFERROR(INDEX(Templates!$F$3:$F$10,MATCH(Deals!$U337,Templates!$A$3:$A$10,0)),0)&gt;0,COUNTIFS(Assignments!$C$2:$C$769,$A385,Assignments!$F$2:$F$769,"Senior Associate",Assignments!$G$2:$G$769,"Active")=0),AND(IFERROR(INDEX(Templates!$G$3:$G$10,MATCH(Deals!$U337,Templates!$A$3:$A$10,0)),0)&gt;0,COUNTIFS(Assignments!$C$2:$C$769,$A385,Assignments!$F$2:$F$769,"Renewable Specialist",Assignments!$G$2:$G$769,"Active")=0),AND(IFERROR(INDEX(Templates!$H$3:$H$10,MATCH(Deals!$U337,Templates!$A$3:$A$10,0)),0)&gt;0,COUNTIFS(Assignments!$C$2:$C$769,$A385,Assignments!$F$2:$F$769,"Associate",Assignments!$G$2:$G$769,"Active")=0)))," MissingLevel","")&amp;IF(AND($C385="Proposal",Deals!$H337=0.5)," DefaultProbability","")&amp;IF($F385="No"," NoDates","")&amp;IF(AND(ISNUMBER($H385),$H385&gt;=Settings!$B$20)," Stale","")))</f>
        <v/>
      </c>
    </row>
    <row r="386">
      <c r="A386" s="16">
        <f>IF(Deals!$A338="","",Deals!$A338)</f>
        <v/>
      </c>
      <c r="B386" s="16">
        <f>IF($A386="","",Deals!$C338)</f>
        <v/>
      </c>
      <c r="C386" s="16">
        <f>IF($A386="","",Deals!$F338)</f>
        <v/>
      </c>
      <c r="D386" s="21">
        <f>IF($A386="","",Deals!$H338)</f>
        <v/>
      </c>
      <c r="E386" s="17">
        <f>IF($A386="","",Deals!$Q338)</f>
        <v/>
      </c>
      <c r="F386" s="16">
        <f>IF($A386="","",IF(AND(Deals!$I338&lt;&gt;"",Deals!$J338&lt;&gt;""),"Yes","No"))</f>
        <v/>
      </c>
      <c r="G386" s="22">
        <f>IF($A386="","",Deals!$Z338)</f>
        <v/>
      </c>
      <c r="H386" s="23">
        <f>IF(OR($A386="",$G386=""),"",INT((Settings!$B$19-$G386)/7))</f>
        <v/>
      </c>
      <c r="I386" s="24">
        <f>IF(OR($A386="",NOT(OR(Deals!$F338="Active",Deals!$F338="Proposal"))),"",TRIM(IF($E386=0," Unstaffed","")&amp;IF(IF(Deals!$U338="",FALSE,OR(AND(IFERROR(INDEX(Templates!$B$3:$B$10,MATCH(Deals!$U338,Templates!$A$3:$A$10,0)),0)&gt;0,COUNTIFS(Assignments!$C$2:$C$769,$A386,Assignments!$F$2:$F$769,"Partner",Assignments!$G$2:$G$769,"Active")=0),AND(IFERROR(INDEX(Templates!$C$3:$C$10,MATCH(Deals!$U338,Templates!$A$3:$A$10,0)),0)&gt;0,COUNTIFS(Assignments!$C$2:$C$769,$A386,Assignments!$F$2:$F$769,"MD",Assignments!$G$2:$G$769,"Active")=0),AND(IFERROR(INDEX(Templates!$D$3:$D$10,MATCH(Deals!$U338,Templates!$A$3:$A$10,0)),0)&gt;0,COUNTIFS(Assignments!$C$2:$C$769,$A386,Assignments!$F$2:$F$769,"Director",Assignments!$G$2:$G$769,"Active")=0),AND(IFERROR(INDEX(Templates!$E$3:$E$10,MATCH(Deals!$U338,Templates!$A$3:$A$10,0)),0)&gt;0,COUNTIFS(Assignments!$C$2:$C$769,$A386,Assignments!$F$2:$F$769,"VP",Assignments!$G$2:$G$769,"Active")=0),AND(IFERROR(INDEX(Templates!$F$3:$F$10,MATCH(Deals!$U338,Templates!$A$3:$A$10,0)),0)&gt;0,COUNTIFS(Assignments!$C$2:$C$769,$A386,Assignments!$F$2:$F$769,"Senior Associate",Assignments!$G$2:$G$769,"Active")=0),AND(IFERROR(INDEX(Templates!$G$3:$G$10,MATCH(Deals!$U338,Templates!$A$3:$A$10,0)),0)&gt;0,COUNTIFS(Assignments!$C$2:$C$769,$A386,Assignments!$F$2:$F$769,"Renewable Specialist",Assignments!$G$2:$G$769,"Active")=0),AND(IFERROR(INDEX(Templates!$H$3:$H$10,MATCH(Deals!$U338,Templates!$A$3:$A$10,0)),0)&gt;0,COUNTIFS(Assignments!$C$2:$C$769,$A386,Assignments!$F$2:$F$769,"Associate",Assignments!$G$2:$G$769,"Active")=0)))," MissingLevel","")&amp;IF(AND($C386="Proposal",Deals!$H338=0.5)," DefaultProbability","")&amp;IF($F386="No"," NoDates","")&amp;IF(AND(ISNUMBER($H386),$H386&gt;=Settings!$B$20)," Stale","")))</f>
        <v/>
      </c>
    </row>
    <row r="387">
      <c r="A387" s="16">
        <f>IF(Deals!$A339="","",Deals!$A339)</f>
        <v/>
      </c>
      <c r="B387" s="16">
        <f>IF($A387="","",Deals!$C339)</f>
        <v/>
      </c>
      <c r="C387" s="16">
        <f>IF($A387="","",Deals!$F339)</f>
        <v/>
      </c>
      <c r="D387" s="21">
        <f>IF($A387="","",Deals!$H339)</f>
        <v/>
      </c>
      <c r="E387" s="17">
        <f>IF($A387="","",Deals!$Q339)</f>
        <v/>
      </c>
      <c r="F387" s="16">
        <f>IF($A387="","",IF(AND(Deals!$I339&lt;&gt;"",Deals!$J339&lt;&gt;""),"Yes","No"))</f>
        <v/>
      </c>
      <c r="G387" s="22">
        <f>IF($A387="","",Deals!$Z339)</f>
        <v/>
      </c>
      <c r="H387" s="23">
        <f>IF(OR($A387="",$G387=""),"",INT((Settings!$B$19-$G387)/7))</f>
        <v/>
      </c>
      <c r="I387" s="24">
        <f>IF(OR($A387="",NOT(OR(Deals!$F339="Active",Deals!$F339="Proposal"))),"",TRIM(IF($E387=0," Unstaffed","")&amp;IF(IF(Deals!$U339="",FALSE,OR(AND(IFERROR(INDEX(Templates!$B$3:$B$10,MATCH(Deals!$U339,Templates!$A$3:$A$10,0)),0)&gt;0,COUNTIFS(Assignments!$C$2:$C$769,$A387,Assignments!$F$2:$F$769,"Partner",Assignments!$G$2:$G$769,"Active")=0),AND(IFERROR(INDEX(Templates!$C$3:$C$10,MATCH(Deals!$U339,Templates!$A$3:$A$10,0)),0)&gt;0,COUNTIFS(Assignments!$C$2:$C$769,$A387,Assignments!$F$2:$F$769,"MD",Assignments!$G$2:$G$769,"Active")=0),AND(IFERROR(INDEX(Templates!$D$3:$D$10,MATCH(Deals!$U339,Templates!$A$3:$A$10,0)),0)&gt;0,COUNTIFS(Assignments!$C$2:$C$769,$A387,Assignments!$F$2:$F$769,"Director",Assignments!$G$2:$G$769,"Active")=0),AND(IFERROR(INDEX(Templates!$E$3:$E$10,MATCH(Deals!$U339,Templates!$A$3:$A$10,0)),0)&gt;0,COUNTIFS(Assignments!$C$2:$C$769,$A387,Assignments!$F$2:$F$769,"VP",Assignments!$G$2:$G$769,"Active")=0),AND(IFERROR(INDEX(Templates!$F$3:$F$10,MATCH(Deals!$U339,Templates!$A$3:$A$10,0)),0)&gt;0,COUNTIFS(Assignments!$C$2:$C$769,$A387,Assignments!$F$2:$F$769,"Senior Associate",Assignments!$G$2:$G$769,"Active")=0),AND(IFERROR(INDEX(Templates!$G$3:$G$10,MATCH(Deals!$U339,Templates!$A$3:$A$10,0)),0)&gt;0,COUNTIFS(Assignments!$C$2:$C$769,$A387,Assignments!$F$2:$F$769,"Renewable Specialist",Assignments!$G$2:$G$769,"Active")=0),AND(IFERROR(INDEX(Templates!$H$3:$H$10,MATCH(Deals!$U339,Templates!$A$3:$A$10,0)),0)&gt;0,COUNTIFS(Assignments!$C$2:$C$769,$A387,Assignments!$F$2:$F$769,"Associate",Assignments!$G$2:$G$769,"Active")=0)))," MissingLevel","")&amp;IF(AND($C387="Proposal",Deals!$H339=0.5)," DefaultProbability","")&amp;IF($F387="No"," NoDates","")&amp;IF(AND(ISNUMBER($H387),$H387&gt;=Settings!$B$20)," Stale","")))</f>
        <v/>
      </c>
    </row>
    <row r="388">
      <c r="A388" s="16">
        <f>IF(Deals!$A340="","",Deals!$A340)</f>
        <v/>
      </c>
      <c r="B388" s="16">
        <f>IF($A388="","",Deals!$C340)</f>
        <v/>
      </c>
      <c r="C388" s="16">
        <f>IF($A388="","",Deals!$F340)</f>
        <v/>
      </c>
      <c r="D388" s="21">
        <f>IF($A388="","",Deals!$H340)</f>
        <v/>
      </c>
      <c r="E388" s="17">
        <f>IF($A388="","",Deals!$Q340)</f>
        <v/>
      </c>
      <c r="F388" s="16">
        <f>IF($A388="","",IF(AND(Deals!$I340&lt;&gt;"",Deals!$J340&lt;&gt;""),"Yes","No"))</f>
        <v/>
      </c>
      <c r="G388" s="22">
        <f>IF($A388="","",Deals!$Z340)</f>
        <v/>
      </c>
      <c r="H388" s="23">
        <f>IF(OR($A388="",$G388=""),"",INT((Settings!$B$19-$G388)/7))</f>
        <v/>
      </c>
      <c r="I388" s="24">
        <f>IF(OR($A388="",NOT(OR(Deals!$F340="Active",Deals!$F340="Proposal"))),"",TRIM(IF($E388=0," Unstaffed","")&amp;IF(IF(Deals!$U340="",FALSE,OR(AND(IFERROR(INDEX(Templates!$B$3:$B$10,MATCH(Deals!$U340,Templates!$A$3:$A$10,0)),0)&gt;0,COUNTIFS(Assignments!$C$2:$C$769,$A388,Assignments!$F$2:$F$769,"Partner",Assignments!$G$2:$G$769,"Active")=0),AND(IFERROR(INDEX(Templates!$C$3:$C$10,MATCH(Deals!$U340,Templates!$A$3:$A$10,0)),0)&gt;0,COUNTIFS(Assignments!$C$2:$C$769,$A388,Assignments!$F$2:$F$769,"MD",Assignments!$G$2:$G$769,"Active")=0),AND(IFERROR(INDEX(Templates!$D$3:$D$10,MATCH(Deals!$U340,Templates!$A$3:$A$10,0)),0)&gt;0,COUNTIFS(Assignments!$C$2:$C$769,$A388,Assignments!$F$2:$F$769,"Director",Assignments!$G$2:$G$769,"Active")=0),AND(IFERROR(INDEX(Templates!$E$3:$E$10,MATCH(Deals!$U340,Templates!$A$3:$A$10,0)),0)&gt;0,COUNTIFS(Assignments!$C$2:$C$769,$A388,Assignments!$F$2:$F$769,"VP",Assignments!$G$2:$G$769,"Active")=0),AND(IFERROR(INDEX(Templates!$F$3:$F$10,MATCH(Deals!$U340,Templates!$A$3:$A$10,0)),0)&gt;0,COUNTIFS(Assignments!$C$2:$C$769,$A388,Assignments!$F$2:$F$769,"Senior Associate",Assignments!$G$2:$G$769,"Active")=0),AND(IFERROR(INDEX(Templates!$G$3:$G$10,MATCH(Deals!$U340,Templates!$A$3:$A$10,0)),0)&gt;0,COUNTIFS(Assignments!$C$2:$C$769,$A388,Assignments!$F$2:$F$769,"Renewable Specialist",Assignments!$G$2:$G$769,"Active")=0),AND(IFERROR(INDEX(Templates!$H$3:$H$10,MATCH(Deals!$U340,Templates!$A$3:$A$10,0)),0)&gt;0,COUNTIFS(Assignments!$C$2:$C$769,$A388,Assignments!$F$2:$F$769,"Associate",Assignments!$G$2:$G$769,"Active")=0)))," MissingLevel","")&amp;IF(AND($C388="Proposal",Deals!$H340=0.5)," DefaultProbability","")&amp;IF($F388="No"," NoDates","")&amp;IF(AND(ISNUMBER($H388),$H388&gt;=Settings!$B$20)," Stale","")))</f>
        <v/>
      </c>
    </row>
    <row r="389">
      <c r="A389" s="16">
        <f>IF(Deals!$A341="","",Deals!$A341)</f>
        <v/>
      </c>
      <c r="B389" s="16">
        <f>IF($A389="","",Deals!$C341)</f>
        <v/>
      </c>
      <c r="C389" s="16">
        <f>IF($A389="","",Deals!$F341)</f>
        <v/>
      </c>
      <c r="D389" s="21">
        <f>IF($A389="","",Deals!$H341)</f>
        <v/>
      </c>
      <c r="E389" s="17">
        <f>IF($A389="","",Deals!$Q341)</f>
        <v/>
      </c>
      <c r="F389" s="16">
        <f>IF($A389="","",IF(AND(Deals!$I341&lt;&gt;"",Deals!$J341&lt;&gt;""),"Yes","No"))</f>
        <v/>
      </c>
      <c r="G389" s="22">
        <f>IF($A389="","",Deals!$Z341)</f>
        <v/>
      </c>
      <c r="H389" s="23">
        <f>IF(OR($A389="",$G389=""),"",INT((Settings!$B$19-$G389)/7))</f>
        <v/>
      </c>
      <c r="I389" s="24">
        <f>IF(OR($A389="",NOT(OR(Deals!$F341="Active",Deals!$F341="Proposal"))),"",TRIM(IF($E389=0," Unstaffed","")&amp;IF(IF(Deals!$U341="",FALSE,OR(AND(IFERROR(INDEX(Templates!$B$3:$B$10,MATCH(Deals!$U341,Templates!$A$3:$A$10,0)),0)&gt;0,COUNTIFS(Assignments!$C$2:$C$769,$A389,Assignments!$F$2:$F$769,"Partner",Assignments!$G$2:$G$769,"Active")=0),AND(IFERROR(INDEX(Templates!$C$3:$C$10,MATCH(Deals!$U341,Templates!$A$3:$A$10,0)),0)&gt;0,COUNTIFS(Assignments!$C$2:$C$769,$A389,Assignments!$F$2:$F$769,"MD",Assignments!$G$2:$G$769,"Active")=0),AND(IFERROR(INDEX(Templates!$D$3:$D$10,MATCH(Deals!$U341,Templates!$A$3:$A$10,0)),0)&gt;0,COUNTIFS(Assignments!$C$2:$C$769,$A389,Assignments!$F$2:$F$769,"Director",Assignments!$G$2:$G$769,"Active")=0),AND(IFERROR(INDEX(Templates!$E$3:$E$10,MATCH(Deals!$U341,Templates!$A$3:$A$10,0)),0)&gt;0,COUNTIFS(Assignments!$C$2:$C$769,$A389,Assignments!$F$2:$F$769,"VP",Assignments!$G$2:$G$769,"Active")=0),AND(IFERROR(INDEX(Templates!$F$3:$F$10,MATCH(Deals!$U341,Templates!$A$3:$A$10,0)),0)&gt;0,COUNTIFS(Assignments!$C$2:$C$769,$A389,Assignments!$F$2:$F$769,"Senior Associate",Assignments!$G$2:$G$769,"Active")=0),AND(IFERROR(INDEX(Templates!$G$3:$G$10,MATCH(Deals!$U341,Templates!$A$3:$A$10,0)),0)&gt;0,COUNTIFS(Assignments!$C$2:$C$769,$A389,Assignments!$F$2:$F$769,"Renewable Specialist",Assignments!$G$2:$G$769,"Active")=0),AND(IFERROR(INDEX(Templates!$H$3:$H$10,MATCH(Deals!$U341,Templates!$A$3:$A$10,0)),0)&gt;0,COUNTIFS(Assignments!$C$2:$C$769,$A389,Assignments!$F$2:$F$769,"Associate",Assignments!$G$2:$G$769,"Active")=0)))," MissingLevel","")&amp;IF(AND($C389="Proposal",Deals!$H341=0.5)," DefaultProbability","")&amp;IF($F389="No"," NoDates","")&amp;IF(AND(ISNUMBER($H389),$H389&gt;=Settings!$B$20)," Stale","")))</f>
        <v/>
      </c>
    </row>
    <row r="390">
      <c r="A390" s="16">
        <f>IF(Deals!$A342="","",Deals!$A342)</f>
        <v/>
      </c>
      <c r="B390" s="16">
        <f>IF($A390="","",Deals!$C342)</f>
        <v/>
      </c>
      <c r="C390" s="16">
        <f>IF($A390="","",Deals!$F342)</f>
        <v/>
      </c>
      <c r="D390" s="21">
        <f>IF($A390="","",Deals!$H342)</f>
        <v/>
      </c>
      <c r="E390" s="17">
        <f>IF($A390="","",Deals!$Q342)</f>
        <v/>
      </c>
      <c r="F390" s="16">
        <f>IF($A390="","",IF(AND(Deals!$I342&lt;&gt;"",Deals!$J342&lt;&gt;""),"Yes","No"))</f>
        <v/>
      </c>
      <c r="G390" s="22">
        <f>IF($A390="","",Deals!$Z342)</f>
        <v/>
      </c>
      <c r="H390" s="23">
        <f>IF(OR($A390="",$G390=""),"",INT((Settings!$B$19-$G390)/7))</f>
        <v/>
      </c>
      <c r="I390" s="24">
        <f>IF(OR($A390="",NOT(OR(Deals!$F342="Active",Deals!$F342="Proposal"))),"",TRIM(IF($E390=0," Unstaffed","")&amp;IF(IF(Deals!$U342="",FALSE,OR(AND(IFERROR(INDEX(Templates!$B$3:$B$10,MATCH(Deals!$U342,Templates!$A$3:$A$10,0)),0)&gt;0,COUNTIFS(Assignments!$C$2:$C$769,$A390,Assignments!$F$2:$F$769,"Partner",Assignments!$G$2:$G$769,"Active")=0),AND(IFERROR(INDEX(Templates!$C$3:$C$10,MATCH(Deals!$U342,Templates!$A$3:$A$10,0)),0)&gt;0,COUNTIFS(Assignments!$C$2:$C$769,$A390,Assignments!$F$2:$F$769,"MD",Assignments!$G$2:$G$769,"Active")=0),AND(IFERROR(INDEX(Templates!$D$3:$D$10,MATCH(Deals!$U342,Templates!$A$3:$A$10,0)),0)&gt;0,COUNTIFS(Assignments!$C$2:$C$769,$A390,Assignments!$F$2:$F$769,"Director",Assignments!$G$2:$G$769,"Active")=0),AND(IFERROR(INDEX(Templates!$E$3:$E$10,MATCH(Deals!$U342,Templates!$A$3:$A$10,0)),0)&gt;0,COUNTIFS(Assignments!$C$2:$C$769,$A390,Assignments!$F$2:$F$769,"VP",Assignments!$G$2:$G$769,"Active")=0),AND(IFERROR(INDEX(Templates!$F$3:$F$10,MATCH(Deals!$U342,Templates!$A$3:$A$10,0)),0)&gt;0,COUNTIFS(Assignments!$C$2:$C$769,$A390,Assignments!$F$2:$F$769,"Senior Associate",Assignments!$G$2:$G$769,"Active")=0),AND(IFERROR(INDEX(Templates!$G$3:$G$10,MATCH(Deals!$U342,Templates!$A$3:$A$10,0)),0)&gt;0,COUNTIFS(Assignments!$C$2:$C$769,$A390,Assignments!$F$2:$F$769,"Renewable Specialist",Assignments!$G$2:$G$769,"Active")=0),AND(IFERROR(INDEX(Templates!$H$3:$H$10,MATCH(Deals!$U342,Templates!$A$3:$A$10,0)),0)&gt;0,COUNTIFS(Assignments!$C$2:$C$769,$A390,Assignments!$F$2:$F$769,"Associate",Assignments!$G$2:$G$769,"Active")=0)))," MissingLevel","")&amp;IF(AND($C390="Proposal",Deals!$H342=0.5)," DefaultProbability","")&amp;IF($F390="No"," NoDates","")&amp;IF(AND(ISNUMBER($H390),$H390&gt;=Settings!$B$20)," Stale","")))</f>
        <v/>
      </c>
    </row>
    <row r="391">
      <c r="A391" s="16">
        <f>IF(Deals!$A343="","",Deals!$A343)</f>
        <v/>
      </c>
      <c r="B391" s="16">
        <f>IF($A391="","",Deals!$C343)</f>
        <v/>
      </c>
      <c r="C391" s="16">
        <f>IF($A391="","",Deals!$F343)</f>
        <v/>
      </c>
      <c r="D391" s="21">
        <f>IF($A391="","",Deals!$H343)</f>
        <v/>
      </c>
      <c r="E391" s="17">
        <f>IF($A391="","",Deals!$Q343)</f>
        <v/>
      </c>
      <c r="F391" s="16">
        <f>IF($A391="","",IF(AND(Deals!$I343&lt;&gt;"",Deals!$J343&lt;&gt;""),"Yes","No"))</f>
        <v/>
      </c>
      <c r="G391" s="22">
        <f>IF($A391="","",Deals!$Z343)</f>
        <v/>
      </c>
      <c r="H391" s="23">
        <f>IF(OR($A391="",$G391=""),"",INT((Settings!$B$19-$G391)/7))</f>
        <v/>
      </c>
      <c r="I391" s="24">
        <f>IF(OR($A391="",NOT(OR(Deals!$F343="Active",Deals!$F343="Proposal"))),"",TRIM(IF($E391=0," Unstaffed","")&amp;IF(IF(Deals!$U343="",FALSE,OR(AND(IFERROR(INDEX(Templates!$B$3:$B$10,MATCH(Deals!$U343,Templates!$A$3:$A$10,0)),0)&gt;0,COUNTIFS(Assignments!$C$2:$C$769,$A391,Assignments!$F$2:$F$769,"Partner",Assignments!$G$2:$G$769,"Active")=0),AND(IFERROR(INDEX(Templates!$C$3:$C$10,MATCH(Deals!$U343,Templates!$A$3:$A$10,0)),0)&gt;0,COUNTIFS(Assignments!$C$2:$C$769,$A391,Assignments!$F$2:$F$769,"MD",Assignments!$G$2:$G$769,"Active")=0),AND(IFERROR(INDEX(Templates!$D$3:$D$10,MATCH(Deals!$U343,Templates!$A$3:$A$10,0)),0)&gt;0,COUNTIFS(Assignments!$C$2:$C$769,$A391,Assignments!$F$2:$F$769,"Director",Assignments!$G$2:$G$769,"Active")=0),AND(IFERROR(INDEX(Templates!$E$3:$E$10,MATCH(Deals!$U343,Templates!$A$3:$A$10,0)),0)&gt;0,COUNTIFS(Assignments!$C$2:$C$769,$A391,Assignments!$F$2:$F$769,"VP",Assignments!$G$2:$G$769,"Active")=0),AND(IFERROR(INDEX(Templates!$F$3:$F$10,MATCH(Deals!$U343,Templates!$A$3:$A$10,0)),0)&gt;0,COUNTIFS(Assignments!$C$2:$C$769,$A391,Assignments!$F$2:$F$769,"Senior Associate",Assignments!$G$2:$G$769,"Active")=0),AND(IFERROR(INDEX(Templates!$G$3:$G$10,MATCH(Deals!$U343,Templates!$A$3:$A$10,0)),0)&gt;0,COUNTIFS(Assignments!$C$2:$C$769,$A391,Assignments!$F$2:$F$769,"Renewable Specialist",Assignments!$G$2:$G$769,"Active")=0),AND(IFERROR(INDEX(Templates!$H$3:$H$10,MATCH(Deals!$U343,Templates!$A$3:$A$10,0)),0)&gt;0,COUNTIFS(Assignments!$C$2:$C$769,$A391,Assignments!$F$2:$F$769,"Associate",Assignments!$G$2:$G$769,"Active")=0)))," MissingLevel","")&amp;IF(AND($C391="Proposal",Deals!$H343=0.5)," DefaultProbability","")&amp;IF($F391="No"," NoDates","")&amp;IF(AND(ISNUMBER($H391),$H391&gt;=Settings!$B$20)," Stale","")))</f>
        <v/>
      </c>
    </row>
    <row r="392">
      <c r="A392" s="16">
        <f>IF(Deals!$A344="","",Deals!$A344)</f>
        <v/>
      </c>
      <c r="B392" s="16">
        <f>IF($A392="","",Deals!$C344)</f>
        <v/>
      </c>
      <c r="C392" s="16">
        <f>IF($A392="","",Deals!$F344)</f>
        <v/>
      </c>
      <c r="D392" s="21">
        <f>IF($A392="","",Deals!$H344)</f>
        <v/>
      </c>
      <c r="E392" s="17">
        <f>IF($A392="","",Deals!$Q344)</f>
        <v/>
      </c>
      <c r="F392" s="16">
        <f>IF($A392="","",IF(AND(Deals!$I344&lt;&gt;"",Deals!$J344&lt;&gt;""),"Yes","No"))</f>
        <v/>
      </c>
      <c r="G392" s="22">
        <f>IF($A392="","",Deals!$Z344)</f>
        <v/>
      </c>
      <c r="H392" s="23">
        <f>IF(OR($A392="",$G392=""),"",INT((Settings!$B$19-$G392)/7))</f>
        <v/>
      </c>
      <c r="I392" s="24">
        <f>IF(OR($A392="",NOT(OR(Deals!$F344="Active",Deals!$F344="Proposal"))),"",TRIM(IF($E392=0," Unstaffed","")&amp;IF(IF(Deals!$U344="",FALSE,OR(AND(IFERROR(INDEX(Templates!$B$3:$B$10,MATCH(Deals!$U344,Templates!$A$3:$A$10,0)),0)&gt;0,COUNTIFS(Assignments!$C$2:$C$769,$A392,Assignments!$F$2:$F$769,"Partner",Assignments!$G$2:$G$769,"Active")=0),AND(IFERROR(INDEX(Templates!$C$3:$C$10,MATCH(Deals!$U344,Templates!$A$3:$A$10,0)),0)&gt;0,COUNTIFS(Assignments!$C$2:$C$769,$A392,Assignments!$F$2:$F$769,"MD",Assignments!$G$2:$G$769,"Active")=0),AND(IFERROR(INDEX(Templates!$D$3:$D$10,MATCH(Deals!$U344,Templates!$A$3:$A$10,0)),0)&gt;0,COUNTIFS(Assignments!$C$2:$C$769,$A392,Assignments!$F$2:$F$769,"Director",Assignments!$G$2:$G$769,"Active")=0),AND(IFERROR(INDEX(Templates!$E$3:$E$10,MATCH(Deals!$U344,Templates!$A$3:$A$10,0)),0)&gt;0,COUNTIFS(Assignments!$C$2:$C$769,$A392,Assignments!$F$2:$F$769,"VP",Assignments!$G$2:$G$769,"Active")=0),AND(IFERROR(INDEX(Templates!$F$3:$F$10,MATCH(Deals!$U344,Templates!$A$3:$A$10,0)),0)&gt;0,COUNTIFS(Assignments!$C$2:$C$769,$A392,Assignments!$F$2:$F$769,"Senior Associate",Assignments!$G$2:$G$769,"Active")=0),AND(IFERROR(INDEX(Templates!$G$3:$G$10,MATCH(Deals!$U344,Templates!$A$3:$A$10,0)),0)&gt;0,COUNTIFS(Assignments!$C$2:$C$769,$A392,Assignments!$F$2:$F$769,"Renewable Specialist",Assignments!$G$2:$G$769,"Active")=0),AND(IFERROR(INDEX(Templates!$H$3:$H$10,MATCH(Deals!$U344,Templates!$A$3:$A$10,0)),0)&gt;0,COUNTIFS(Assignments!$C$2:$C$769,$A392,Assignments!$F$2:$F$769,"Associate",Assignments!$G$2:$G$769,"Active")=0)))," MissingLevel","")&amp;IF(AND($C392="Proposal",Deals!$H344=0.5)," DefaultProbability","")&amp;IF($F392="No"," NoDates","")&amp;IF(AND(ISNUMBER($H392),$H392&gt;=Settings!$B$20)," Stale","")))</f>
        <v/>
      </c>
    </row>
    <row r="393">
      <c r="A393" s="16">
        <f>IF(Deals!$A345="","",Deals!$A345)</f>
        <v/>
      </c>
      <c r="B393" s="16">
        <f>IF($A393="","",Deals!$C345)</f>
        <v/>
      </c>
      <c r="C393" s="16">
        <f>IF($A393="","",Deals!$F345)</f>
        <v/>
      </c>
      <c r="D393" s="21">
        <f>IF($A393="","",Deals!$H345)</f>
        <v/>
      </c>
      <c r="E393" s="17">
        <f>IF($A393="","",Deals!$Q345)</f>
        <v/>
      </c>
      <c r="F393" s="16">
        <f>IF($A393="","",IF(AND(Deals!$I345&lt;&gt;"",Deals!$J345&lt;&gt;""),"Yes","No"))</f>
        <v/>
      </c>
      <c r="G393" s="22">
        <f>IF($A393="","",Deals!$Z345)</f>
        <v/>
      </c>
      <c r="H393" s="23">
        <f>IF(OR($A393="",$G393=""),"",INT((Settings!$B$19-$G393)/7))</f>
        <v/>
      </c>
      <c r="I393" s="24">
        <f>IF(OR($A393="",NOT(OR(Deals!$F345="Active",Deals!$F345="Proposal"))),"",TRIM(IF($E393=0," Unstaffed","")&amp;IF(IF(Deals!$U345="",FALSE,OR(AND(IFERROR(INDEX(Templates!$B$3:$B$10,MATCH(Deals!$U345,Templates!$A$3:$A$10,0)),0)&gt;0,COUNTIFS(Assignments!$C$2:$C$769,$A393,Assignments!$F$2:$F$769,"Partner",Assignments!$G$2:$G$769,"Active")=0),AND(IFERROR(INDEX(Templates!$C$3:$C$10,MATCH(Deals!$U345,Templates!$A$3:$A$10,0)),0)&gt;0,COUNTIFS(Assignments!$C$2:$C$769,$A393,Assignments!$F$2:$F$769,"MD",Assignments!$G$2:$G$769,"Active")=0),AND(IFERROR(INDEX(Templates!$D$3:$D$10,MATCH(Deals!$U345,Templates!$A$3:$A$10,0)),0)&gt;0,COUNTIFS(Assignments!$C$2:$C$769,$A393,Assignments!$F$2:$F$769,"Director",Assignments!$G$2:$G$769,"Active")=0),AND(IFERROR(INDEX(Templates!$E$3:$E$10,MATCH(Deals!$U345,Templates!$A$3:$A$10,0)),0)&gt;0,COUNTIFS(Assignments!$C$2:$C$769,$A393,Assignments!$F$2:$F$769,"VP",Assignments!$G$2:$G$769,"Active")=0),AND(IFERROR(INDEX(Templates!$F$3:$F$10,MATCH(Deals!$U345,Templates!$A$3:$A$10,0)),0)&gt;0,COUNTIFS(Assignments!$C$2:$C$769,$A393,Assignments!$F$2:$F$769,"Senior Associate",Assignments!$G$2:$G$769,"Active")=0),AND(IFERROR(INDEX(Templates!$G$3:$G$10,MATCH(Deals!$U345,Templates!$A$3:$A$10,0)),0)&gt;0,COUNTIFS(Assignments!$C$2:$C$769,$A393,Assignments!$F$2:$F$769,"Renewable Specialist",Assignments!$G$2:$G$769,"Active")=0),AND(IFERROR(INDEX(Templates!$H$3:$H$10,MATCH(Deals!$U345,Templates!$A$3:$A$10,0)),0)&gt;0,COUNTIFS(Assignments!$C$2:$C$769,$A393,Assignments!$F$2:$F$769,"Associate",Assignments!$G$2:$G$769,"Active")=0)))," MissingLevel","")&amp;IF(AND($C393="Proposal",Deals!$H345=0.5)," DefaultProbability","")&amp;IF($F393="No"," NoDates","")&amp;IF(AND(ISNUMBER($H393),$H393&gt;=Settings!$B$20)," Stale","")))</f>
        <v/>
      </c>
    </row>
    <row r="394">
      <c r="A394" s="16">
        <f>IF(Deals!$A346="","",Deals!$A346)</f>
        <v/>
      </c>
      <c r="B394" s="16">
        <f>IF($A394="","",Deals!$C346)</f>
        <v/>
      </c>
      <c r="C394" s="16">
        <f>IF($A394="","",Deals!$F346)</f>
        <v/>
      </c>
      <c r="D394" s="21">
        <f>IF($A394="","",Deals!$H346)</f>
        <v/>
      </c>
      <c r="E394" s="17">
        <f>IF($A394="","",Deals!$Q346)</f>
        <v/>
      </c>
      <c r="F394" s="16">
        <f>IF($A394="","",IF(AND(Deals!$I346&lt;&gt;"",Deals!$J346&lt;&gt;""),"Yes","No"))</f>
        <v/>
      </c>
      <c r="G394" s="22">
        <f>IF($A394="","",Deals!$Z346)</f>
        <v/>
      </c>
      <c r="H394" s="23">
        <f>IF(OR($A394="",$G394=""),"",INT((Settings!$B$19-$G394)/7))</f>
        <v/>
      </c>
      <c r="I394" s="24">
        <f>IF(OR($A394="",NOT(OR(Deals!$F346="Active",Deals!$F346="Proposal"))),"",TRIM(IF($E394=0," Unstaffed","")&amp;IF(IF(Deals!$U346="",FALSE,OR(AND(IFERROR(INDEX(Templates!$B$3:$B$10,MATCH(Deals!$U346,Templates!$A$3:$A$10,0)),0)&gt;0,COUNTIFS(Assignments!$C$2:$C$769,$A394,Assignments!$F$2:$F$769,"Partner",Assignments!$G$2:$G$769,"Active")=0),AND(IFERROR(INDEX(Templates!$C$3:$C$10,MATCH(Deals!$U346,Templates!$A$3:$A$10,0)),0)&gt;0,COUNTIFS(Assignments!$C$2:$C$769,$A394,Assignments!$F$2:$F$769,"MD",Assignments!$G$2:$G$769,"Active")=0),AND(IFERROR(INDEX(Templates!$D$3:$D$10,MATCH(Deals!$U346,Templates!$A$3:$A$10,0)),0)&gt;0,COUNTIFS(Assignments!$C$2:$C$769,$A394,Assignments!$F$2:$F$769,"Director",Assignments!$G$2:$G$769,"Active")=0),AND(IFERROR(INDEX(Templates!$E$3:$E$10,MATCH(Deals!$U346,Templates!$A$3:$A$10,0)),0)&gt;0,COUNTIFS(Assignments!$C$2:$C$769,$A394,Assignments!$F$2:$F$769,"VP",Assignments!$G$2:$G$769,"Active")=0),AND(IFERROR(INDEX(Templates!$F$3:$F$10,MATCH(Deals!$U346,Templates!$A$3:$A$10,0)),0)&gt;0,COUNTIFS(Assignments!$C$2:$C$769,$A394,Assignments!$F$2:$F$769,"Senior Associate",Assignments!$G$2:$G$769,"Active")=0),AND(IFERROR(INDEX(Templates!$G$3:$G$10,MATCH(Deals!$U346,Templates!$A$3:$A$10,0)),0)&gt;0,COUNTIFS(Assignments!$C$2:$C$769,$A394,Assignments!$F$2:$F$769,"Renewable Specialist",Assignments!$G$2:$G$769,"Active")=0),AND(IFERROR(INDEX(Templates!$H$3:$H$10,MATCH(Deals!$U346,Templates!$A$3:$A$10,0)),0)&gt;0,COUNTIFS(Assignments!$C$2:$C$769,$A394,Assignments!$F$2:$F$769,"Associate",Assignments!$G$2:$G$769,"Active")=0)))," MissingLevel","")&amp;IF(AND($C394="Proposal",Deals!$H346=0.5)," DefaultProbability","")&amp;IF($F394="No"," NoDates","")&amp;IF(AND(ISNUMBER($H394),$H394&gt;=Settings!$B$20)," Stale","")))</f>
        <v/>
      </c>
    </row>
    <row r="395">
      <c r="A395" s="16">
        <f>IF(Deals!$A347="","",Deals!$A347)</f>
        <v/>
      </c>
      <c r="B395" s="16">
        <f>IF($A395="","",Deals!$C347)</f>
        <v/>
      </c>
      <c r="C395" s="16">
        <f>IF($A395="","",Deals!$F347)</f>
        <v/>
      </c>
      <c r="D395" s="21">
        <f>IF($A395="","",Deals!$H347)</f>
        <v/>
      </c>
      <c r="E395" s="17">
        <f>IF($A395="","",Deals!$Q347)</f>
        <v/>
      </c>
      <c r="F395" s="16">
        <f>IF($A395="","",IF(AND(Deals!$I347&lt;&gt;"",Deals!$J347&lt;&gt;""),"Yes","No"))</f>
        <v/>
      </c>
      <c r="G395" s="22">
        <f>IF($A395="","",Deals!$Z347)</f>
        <v/>
      </c>
      <c r="H395" s="23">
        <f>IF(OR($A395="",$G395=""),"",INT((Settings!$B$19-$G395)/7))</f>
        <v/>
      </c>
      <c r="I395" s="24">
        <f>IF(OR($A395="",NOT(OR(Deals!$F347="Active",Deals!$F347="Proposal"))),"",TRIM(IF($E395=0," Unstaffed","")&amp;IF(IF(Deals!$U347="",FALSE,OR(AND(IFERROR(INDEX(Templates!$B$3:$B$10,MATCH(Deals!$U347,Templates!$A$3:$A$10,0)),0)&gt;0,COUNTIFS(Assignments!$C$2:$C$769,$A395,Assignments!$F$2:$F$769,"Partner",Assignments!$G$2:$G$769,"Active")=0),AND(IFERROR(INDEX(Templates!$C$3:$C$10,MATCH(Deals!$U347,Templates!$A$3:$A$10,0)),0)&gt;0,COUNTIFS(Assignments!$C$2:$C$769,$A395,Assignments!$F$2:$F$769,"MD",Assignments!$G$2:$G$769,"Active")=0),AND(IFERROR(INDEX(Templates!$D$3:$D$10,MATCH(Deals!$U347,Templates!$A$3:$A$10,0)),0)&gt;0,COUNTIFS(Assignments!$C$2:$C$769,$A395,Assignments!$F$2:$F$769,"Director",Assignments!$G$2:$G$769,"Active")=0),AND(IFERROR(INDEX(Templates!$E$3:$E$10,MATCH(Deals!$U347,Templates!$A$3:$A$10,0)),0)&gt;0,COUNTIFS(Assignments!$C$2:$C$769,$A395,Assignments!$F$2:$F$769,"VP",Assignments!$G$2:$G$769,"Active")=0),AND(IFERROR(INDEX(Templates!$F$3:$F$10,MATCH(Deals!$U347,Templates!$A$3:$A$10,0)),0)&gt;0,COUNTIFS(Assignments!$C$2:$C$769,$A395,Assignments!$F$2:$F$769,"Senior Associate",Assignments!$G$2:$G$769,"Active")=0),AND(IFERROR(INDEX(Templates!$G$3:$G$10,MATCH(Deals!$U347,Templates!$A$3:$A$10,0)),0)&gt;0,COUNTIFS(Assignments!$C$2:$C$769,$A395,Assignments!$F$2:$F$769,"Renewable Specialist",Assignments!$G$2:$G$769,"Active")=0),AND(IFERROR(INDEX(Templates!$H$3:$H$10,MATCH(Deals!$U347,Templates!$A$3:$A$10,0)),0)&gt;0,COUNTIFS(Assignments!$C$2:$C$769,$A395,Assignments!$F$2:$F$769,"Associate",Assignments!$G$2:$G$769,"Active")=0)))," MissingLevel","")&amp;IF(AND($C395="Proposal",Deals!$H347=0.5)," DefaultProbability","")&amp;IF($F395="No"," NoDates","")&amp;IF(AND(ISNUMBER($H395),$H395&gt;=Settings!$B$20)," Stale","")))</f>
        <v/>
      </c>
    </row>
    <row r="396">
      <c r="A396" s="16">
        <f>IF(Deals!$A348="","",Deals!$A348)</f>
        <v/>
      </c>
      <c r="B396" s="16">
        <f>IF($A396="","",Deals!$C348)</f>
        <v/>
      </c>
      <c r="C396" s="16">
        <f>IF($A396="","",Deals!$F348)</f>
        <v/>
      </c>
      <c r="D396" s="21">
        <f>IF($A396="","",Deals!$H348)</f>
        <v/>
      </c>
      <c r="E396" s="17">
        <f>IF($A396="","",Deals!$Q348)</f>
        <v/>
      </c>
      <c r="F396" s="16">
        <f>IF($A396="","",IF(AND(Deals!$I348&lt;&gt;"",Deals!$J348&lt;&gt;""),"Yes","No"))</f>
        <v/>
      </c>
      <c r="G396" s="22">
        <f>IF($A396="","",Deals!$Z348)</f>
        <v/>
      </c>
      <c r="H396" s="23">
        <f>IF(OR($A396="",$G396=""),"",INT((Settings!$B$19-$G396)/7))</f>
        <v/>
      </c>
      <c r="I396" s="24">
        <f>IF(OR($A396="",NOT(OR(Deals!$F348="Active",Deals!$F348="Proposal"))),"",TRIM(IF($E396=0," Unstaffed","")&amp;IF(IF(Deals!$U348="",FALSE,OR(AND(IFERROR(INDEX(Templates!$B$3:$B$10,MATCH(Deals!$U348,Templates!$A$3:$A$10,0)),0)&gt;0,COUNTIFS(Assignments!$C$2:$C$769,$A396,Assignments!$F$2:$F$769,"Partner",Assignments!$G$2:$G$769,"Active")=0),AND(IFERROR(INDEX(Templates!$C$3:$C$10,MATCH(Deals!$U348,Templates!$A$3:$A$10,0)),0)&gt;0,COUNTIFS(Assignments!$C$2:$C$769,$A396,Assignments!$F$2:$F$769,"MD",Assignments!$G$2:$G$769,"Active")=0),AND(IFERROR(INDEX(Templates!$D$3:$D$10,MATCH(Deals!$U348,Templates!$A$3:$A$10,0)),0)&gt;0,COUNTIFS(Assignments!$C$2:$C$769,$A396,Assignments!$F$2:$F$769,"Director",Assignments!$G$2:$G$769,"Active")=0),AND(IFERROR(INDEX(Templates!$E$3:$E$10,MATCH(Deals!$U348,Templates!$A$3:$A$10,0)),0)&gt;0,COUNTIFS(Assignments!$C$2:$C$769,$A396,Assignments!$F$2:$F$769,"VP",Assignments!$G$2:$G$769,"Active")=0),AND(IFERROR(INDEX(Templates!$F$3:$F$10,MATCH(Deals!$U348,Templates!$A$3:$A$10,0)),0)&gt;0,COUNTIFS(Assignments!$C$2:$C$769,$A396,Assignments!$F$2:$F$769,"Senior Associate",Assignments!$G$2:$G$769,"Active")=0),AND(IFERROR(INDEX(Templates!$G$3:$G$10,MATCH(Deals!$U348,Templates!$A$3:$A$10,0)),0)&gt;0,COUNTIFS(Assignments!$C$2:$C$769,$A396,Assignments!$F$2:$F$769,"Renewable Specialist",Assignments!$G$2:$G$769,"Active")=0),AND(IFERROR(INDEX(Templates!$H$3:$H$10,MATCH(Deals!$U348,Templates!$A$3:$A$10,0)),0)&gt;0,COUNTIFS(Assignments!$C$2:$C$769,$A396,Assignments!$F$2:$F$769,"Associate",Assignments!$G$2:$G$769,"Active")=0)))," MissingLevel","")&amp;IF(AND($C396="Proposal",Deals!$H348=0.5)," DefaultProbability","")&amp;IF($F396="No"," NoDates","")&amp;IF(AND(ISNUMBER($H396),$H396&gt;=Settings!$B$20)," Stale","")))</f>
        <v/>
      </c>
    </row>
    <row r="397">
      <c r="A397" s="16">
        <f>IF(Deals!$A349="","",Deals!$A349)</f>
        <v/>
      </c>
      <c r="B397" s="16">
        <f>IF($A397="","",Deals!$C349)</f>
        <v/>
      </c>
      <c r="C397" s="16">
        <f>IF($A397="","",Deals!$F349)</f>
        <v/>
      </c>
      <c r="D397" s="21">
        <f>IF($A397="","",Deals!$H349)</f>
        <v/>
      </c>
      <c r="E397" s="17">
        <f>IF($A397="","",Deals!$Q349)</f>
        <v/>
      </c>
      <c r="F397" s="16">
        <f>IF($A397="","",IF(AND(Deals!$I349&lt;&gt;"",Deals!$J349&lt;&gt;""),"Yes","No"))</f>
        <v/>
      </c>
      <c r="G397" s="22">
        <f>IF($A397="","",Deals!$Z349)</f>
        <v/>
      </c>
      <c r="H397" s="23">
        <f>IF(OR($A397="",$G397=""),"",INT((Settings!$B$19-$G397)/7))</f>
        <v/>
      </c>
      <c r="I397" s="24">
        <f>IF(OR($A397="",NOT(OR(Deals!$F349="Active",Deals!$F349="Proposal"))),"",TRIM(IF($E397=0," Unstaffed","")&amp;IF(IF(Deals!$U349="",FALSE,OR(AND(IFERROR(INDEX(Templates!$B$3:$B$10,MATCH(Deals!$U349,Templates!$A$3:$A$10,0)),0)&gt;0,COUNTIFS(Assignments!$C$2:$C$769,$A397,Assignments!$F$2:$F$769,"Partner",Assignments!$G$2:$G$769,"Active")=0),AND(IFERROR(INDEX(Templates!$C$3:$C$10,MATCH(Deals!$U349,Templates!$A$3:$A$10,0)),0)&gt;0,COUNTIFS(Assignments!$C$2:$C$769,$A397,Assignments!$F$2:$F$769,"MD",Assignments!$G$2:$G$769,"Active")=0),AND(IFERROR(INDEX(Templates!$D$3:$D$10,MATCH(Deals!$U349,Templates!$A$3:$A$10,0)),0)&gt;0,COUNTIFS(Assignments!$C$2:$C$769,$A397,Assignments!$F$2:$F$769,"Director",Assignments!$G$2:$G$769,"Active")=0),AND(IFERROR(INDEX(Templates!$E$3:$E$10,MATCH(Deals!$U349,Templates!$A$3:$A$10,0)),0)&gt;0,COUNTIFS(Assignments!$C$2:$C$769,$A397,Assignments!$F$2:$F$769,"VP",Assignments!$G$2:$G$769,"Active")=0),AND(IFERROR(INDEX(Templates!$F$3:$F$10,MATCH(Deals!$U349,Templates!$A$3:$A$10,0)),0)&gt;0,COUNTIFS(Assignments!$C$2:$C$769,$A397,Assignments!$F$2:$F$769,"Senior Associate",Assignments!$G$2:$G$769,"Active")=0),AND(IFERROR(INDEX(Templates!$G$3:$G$10,MATCH(Deals!$U349,Templates!$A$3:$A$10,0)),0)&gt;0,COUNTIFS(Assignments!$C$2:$C$769,$A397,Assignments!$F$2:$F$769,"Renewable Specialist",Assignments!$G$2:$G$769,"Active")=0),AND(IFERROR(INDEX(Templates!$H$3:$H$10,MATCH(Deals!$U349,Templates!$A$3:$A$10,0)),0)&gt;0,COUNTIFS(Assignments!$C$2:$C$769,$A397,Assignments!$F$2:$F$769,"Associate",Assignments!$G$2:$G$769,"Active")=0)))," MissingLevel","")&amp;IF(AND($C397="Proposal",Deals!$H349=0.5)," DefaultProbability","")&amp;IF($F397="No"," NoDates","")&amp;IF(AND(ISNUMBER($H397),$H397&gt;=Settings!$B$20)," Stale","")))</f>
        <v/>
      </c>
    </row>
    <row r="398">
      <c r="A398" s="16">
        <f>IF(Deals!$A350="","",Deals!$A350)</f>
        <v/>
      </c>
      <c r="B398" s="16">
        <f>IF($A398="","",Deals!$C350)</f>
        <v/>
      </c>
      <c r="C398" s="16">
        <f>IF($A398="","",Deals!$F350)</f>
        <v/>
      </c>
      <c r="D398" s="21">
        <f>IF($A398="","",Deals!$H350)</f>
        <v/>
      </c>
      <c r="E398" s="17">
        <f>IF($A398="","",Deals!$Q350)</f>
        <v/>
      </c>
      <c r="F398" s="16">
        <f>IF($A398="","",IF(AND(Deals!$I350&lt;&gt;"",Deals!$J350&lt;&gt;""),"Yes","No"))</f>
        <v/>
      </c>
      <c r="G398" s="22">
        <f>IF($A398="","",Deals!$Z350)</f>
        <v/>
      </c>
      <c r="H398" s="23">
        <f>IF(OR($A398="",$G398=""),"",INT((Settings!$B$19-$G398)/7))</f>
        <v/>
      </c>
      <c r="I398" s="24">
        <f>IF(OR($A398="",NOT(OR(Deals!$F350="Active",Deals!$F350="Proposal"))),"",TRIM(IF($E398=0," Unstaffed","")&amp;IF(IF(Deals!$U350="",FALSE,OR(AND(IFERROR(INDEX(Templates!$B$3:$B$10,MATCH(Deals!$U350,Templates!$A$3:$A$10,0)),0)&gt;0,COUNTIFS(Assignments!$C$2:$C$769,$A398,Assignments!$F$2:$F$769,"Partner",Assignments!$G$2:$G$769,"Active")=0),AND(IFERROR(INDEX(Templates!$C$3:$C$10,MATCH(Deals!$U350,Templates!$A$3:$A$10,0)),0)&gt;0,COUNTIFS(Assignments!$C$2:$C$769,$A398,Assignments!$F$2:$F$769,"MD",Assignments!$G$2:$G$769,"Active")=0),AND(IFERROR(INDEX(Templates!$D$3:$D$10,MATCH(Deals!$U350,Templates!$A$3:$A$10,0)),0)&gt;0,COUNTIFS(Assignments!$C$2:$C$769,$A398,Assignments!$F$2:$F$769,"Director",Assignments!$G$2:$G$769,"Active")=0),AND(IFERROR(INDEX(Templates!$E$3:$E$10,MATCH(Deals!$U350,Templates!$A$3:$A$10,0)),0)&gt;0,COUNTIFS(Assignments!$C$2:$C$769,$A398,Assignments!$F$2:$F$769,"VP",Assignments!$G$2:$G$769,"Active")=0),AND(IFERROR(INDEX(Templates!$F$3:$F$10,MATCH(Deals!$U350,Templates!$A$3:$A$10,0)),0)&gt;0,COUNTIFS(Assignments!$C$2:$C$769,$A398,Assignments!$F$2:$F$769,"Senior Associate",Assignments!$G$2:$G$769,"Active")=0),AND(IFERROR(INDEX(Templates!$G$3:$G$10,MATCH(Deals!$U350,Templates!$A$3:$A$10,0)),0)&gt;0,COUNTIFS(Assignments!$C$2:$C$769,$A398,Assignments!$F$2:$F$769,"Renewable Specialist",Assignments!$G$2:$G$769,"Active")=0),AND(IFERROR(INDEX(Templates!$H$3:$H$10,MATCH(Deals!$U350,Templates!$A$3:$A$10,0)),0)&gt;0,COUNTIFS(Assignments!$C$2:$C$769,$A398,Assignments!$F$2:$F$769,"Associate",Assignments!$G$2:$G$769,"Active")=0)))," MissingLevel","")&amp;IF(AND($C398="Proposal",Deals!$H350=0.5)," DefaultProbability","")&amp;IF($F398="No"," NoDates","")&amp;IF(AND(ISNUMBER($H398),$H398&gt;=Settings!$B$20)," Stale","")))</f>
        <v/>
      </c>
    </row>
    <row r="399">
      <c r="A399" s="16">
        <f>IF(Deals!$A351="","",Deals!$A351)</f>
        <v/>
      </c>
      <c r="B399" s="16">
        <f>IF($A399="","",Deals!$C351)</f>
        <v/>
      </c>
      <c r="C399" s="16">
        <f>IF($A399="","",Deals!$F351)</f>
        <v/>
      </c>
      <c r="D399" s="21">
        <f>IF($A399="","",Deals!$H351)</f>
        <v/>
      </c>
      <c r="E399" s="17">
        <f>IF($A399="","",Deals!$Q351)</f>
        <v/>
      </c>
      <c r="F399" s="16">
        <f>IF($A399="","",IF(AND(Deals!$I351&lt;&gt;"",Deals!$J351&lt;&gt;""),"Yes","No"))</f>
        <v/>
      </c>
      <c r="G399" s="22">
        <f>IF($A399="","",Deals!$Z351)</f>
        <v/>
      </c>
      <c r="H399" s="23">
        <f>IF(OR($A399="",$G399=""),"",INT((Settings!$B$19-$G399)/7))</f>
        <v/>
      </c>
      <c r="I399" s="24">
        <f>IF(OR($A399="",NOT(OR(Deals!$F351="Active",Deals!$F351="Proposal"))),"",TRIM(IF($E399=0," Unstaffed","")&amp;IF(IF(Deals!$U351="",FALSE,OR(AND(IFERROR(INDEX(Templates!$B$3:$B$10,MATCH(Deals!$U351,Templates!$A$3:$A$10,0)),0)&gt;0,COUNTIFS(Assignments!$C$2:$C$769,$A399,Assignments!$F$2:$F$769,"Partner",Assignments!$G$2:$G$769,"Active")=0),AND(IFERROR(INDEX(Templates!$C$3:$C$10,MATCH(Deals!$U351,Templates!$A$3:$A$10,0)),0)&gt;0,COUNTIFS(Assignments!$C$2:$C$769,$A399,Assignments!$F$2:$F$769,"MD",Assignments!$G$2:$G$769,"Active")=0),AND(IFERROR(INDEX(Templates!$D$3:$D$10,MATCH(Deals!$U351,Templates!$A$3:$A$10,0)),0)&gt;0,COUNTIFS(Assignments!$C$2:$C$769,$A399,Assignments!$F$2:$F$769,"Director",Assignments!$G$2:$G$769,"Active")=0),AND(IFERROR(INDEX(Templates!$E$3:$E$10,MATCH(Deals!$U351,Templates!$A$3:$A$10,0)),0)&gt;0,COUNTIFS(Assignments!$C$2:$C$769,$A399,Assignments!$F$2:$F$769,"VP",Assignments!$G$2:$G$769,"Active")=0),AND(IFERROR(INDEX(Templates!$F$3:$F$10,MATCH(Deals!$U351,Templates!$A$3:$A$10,0)),0)&gt;0,COUNTIFS(Assignments!$C$2:$C$769,$A399,Assignments!$F$2:$F$769,"Senior Associate",Assignments!$G$2:$G$769,"Active")=0),AND(IFERROR(INDEX(Templates!$G$3:$G$10,MATCH(Deals!$U351,Templates!$A$3:$A$10,0)),0)&gt;0,COUNTIFS(Assignments!$C$2:$C$769,$A399,Assignments!$F$2:$F$769,"Renewable Specialist",Assignments!$G$2:$G$769,"Active")=0),AND(IFERROR(INDEX(Templates!$H$3:$H$10,MATCH(Deals!$U351,Templates!$A$3:$A$10,0)),0)&gt;0,COUNTIFS(Assignments!$C$2:$C$769,$A399,Assignments!$F$2:$F$769,"Associate",Assignments!$G$2:$G$769,"Active")=0)))," MissingLevel","")&amp;IF(AND($C399="Proposal",Deals!$H351=0.5)," DefaultProbability","")&amp;IF($F399="No"," NoDates","")&amp;IF(AND(ISNUMBER($H399),$H399&gt;=Settings!$B$20)," Stale","")))</f>
        <v/>
      </c>
    </row>
    <row r="400">
      <c r="A400" s="16">
        <f>IF(Deals!$A352="","",Deals!$A352)</f>
        <v/>
      </c>
      <c r="B400" s="16">
        <f>IF($A400="","",Deals!$C352)</f>
        <v/>
      </c>
      <c r="C400" s="16">
        <f>IF($A400="","",Deals!$F352)</f>
        <v/>
      </c>
      <c r="D400" s="21">
        <f>IF($A400="","",Deals!$H352)</f>
        <v/>
      </c>
      <c r="E400" s="17">
        <f>IF($A400="","",Deals!$Q352)</f>
        <v/>
      </c>
      <c r="F400" s="16">
        <f>IF($A400="","",IF(AND(Deals!$I352&lt;&gt;"",Deals!$J352&lt;&gt;""),"Yes","No"))</f>
        <v/>
      </c>
      <c r="G400" s="22">
        <f>IF($A400="","",Deals!$Z352)</f>
        <v/>
      </c>
      <c r="H400" s="23">
        <f>IF(OR($A400="",$G400=""),"",INT((Settings!$B$19-$G400)/7))</f>
        <v/>
      </c>
      <c r="I400" s="24">
        <f>IF(OR($A400="",NOT(OR(Deals!$F352="Active",Deals!$F352="Proposal"))),"",TRIM(IF($E400=0," Unstaffed","")&amp;IF(IF(Deals!$U352="",FALSE,OR(AND(IFERROR(INDEX(Templates!$B$3:$B$10,MATCH(Deals!$U352,Templates!$A$3:$A$10,0)),0)&gt;0,COUNTIFS(Assignments!$C$2:$C$769,$A400,Assignments!$F$2:$F$769,"Partner",Assignments!$G$2:$G$769,"Active")=0),AND(IFERROR(INDEX(Templates!$C$3:$C$10,MATCH(Deals!$U352,Templates!$A$3:$A$10,0)),0)&gt;0,COUNTIFS(Assignments!$C$2:$C$769,$A400,Assignments!$F$2:$F$769,"MD",Assignments!$G$2:$G$769,"Active")=0),AND(IFERROR(INDEX(Templates!$D$3:$D$10,MATCH(Deals!$U352,Templates!$A$3:$A$10,0)),0)&gt;0,COUNTIFS(Assignments!$C$2:$C$769,$A400,Assignments!$F$2:$F$769,"Director",Assignments!$G$2:$G$769,"Active")=0),AND(IFERROR(INDEX(Templates!$E$3:$E$10,MATCH(Deals!$U352,Templates!$A$3:$A$10,0)),0)&gt;0,COUNTIFS(Assignments!$C$2:$C$769,$A400,Assignments!$F$2:$F$769,"VP",Assignments!$G$2:$G$769,"Active")=0),AND(IFERROR(INDEX(Templates!$F$3:$F$10,MATCH(Deals!$U352,Templates!$A$3:$A$10,0)),0)&gt;0,COUNTIFS(Assignments!$C$2:$C$769,$A400,Assignments!$F$2:$F$769,"Senior Associate",Assignments!$G$2:$G$769,"Active")=0),AND(IFERROR(INDEX(Templates!$G$3:$G$10,MATCH(Deals!$U352,Templates!$A$3:$A$10,0)),0)&gt;0,COUNTIFS(Assignments!$C$2:$C$769,$A400,Assignments!$F$2:$F$769,"Renewable Specialist",Assignments!$G$2:$G$769,"Active")=0),AND(IFERROR(INDEX(Templates!$H$3:$H$10,MATCH(Deals!$U352,Templates!$A$3:$A$10,0)),0)&gt;0,COUNTIFS(Assignments!$C$2:$C$769,$A400,Assignments!$F$2:$F$769,"Associate",Assignments!$G$2:$G$769,"Active")=0)))," MissingLevel","")&amp;IF(AND($C400="Proposal",Deals!$H352=0.5)," DefaultProbability","")&amp;IF($F400="No"," NoDates","")&amp;IF(AND(ISNUMBER($H400),$H400&gt;=Settings!$B$20)," Stale","")))</f>
        <v/>
      </c>
    </row>
    <row r="401">
      <c r="A401" s="16">
        <f>IF(Deals!$A353="","",Deals!$A353)</f>
        <v/>
      </c>
      <c r="B401" s="16">
        <f>IF($A401="","",Deals!$C353)</f>
        <v/>
      </c>
      <c r="C401" s="16">
        <f>IF($A401="","",Deals!$F353)</f>
        <v/>
      </c>
      <c r="D401" s="21">
        <f>IF($A401="","",Deals!$H353)</f>
        <v/>
      </c>
      <c r="E401" s="17">
        <f>IF($A401="","",Deals!$Q353)</f>
        <v/>
      </c>
      <c r="F401" s="16">
        <f>IF($A401="","",IF(AND(Deals!$I353&lt;&gt;"",Deals!$J353&lt;&gt;""),"Yes","No"))</f>
        <v/>
      </c>
      <c r="G401" s="22">
        <f>IF($A401="","",Deals!$Z353)</f>
        <v/>
      </c>
      <c r="H401" s="23">
        <f>IF(OR($A401="",$G401=""),"",INT((Settings!$B$19-$G401)/7))</f>
        <v/>
      </c>
      <c r="I401" s="24">
        <f>IF(OR($A401="",NOT(OR(Deals!$F353="Active",Deals!$F353="Proposal"))),"",TRIM(IF($E401=0," Unstaffed","")&amp;IF(IF(Deals!$U353="",FALSE,OR(AND(IFERROR(INDEX(Templates!$B$3:$B$10,MATCH(Deals!$U353,Templates!$A$3:$A$10,0)),0)&gt;0,COUNTIFS(Assignments!$C$2:$C$769,$A401,Assignments!$F$2:$F$769,"Partner",Assignments!$G$2:$G$769,"Active")=0),AND(IFERROR(INDEX(Templates!$C$3:$C$10,MATCH(Deals!$U353,Templates!$A$3:$A$10,0)),0)&gt;0,COUNTIFS(Assignments!$C$2:$C$769,$A401,Assignments!$F$2:$F$769,"MD",Assignments!$G$2:$G$769,"Active")=0),AND(IFERROR(INDEX(Templates!$D$3:$D$10,MATCH(Deals!$U353,Templates!$A$3:$A$10,0)),0)&gt;0,COUNTIFS(Assignments!$C$2:$C$769,$A401,Assignments!$F$2:$F$769,"Director",Assignments!$G$2:$G$769,"Active")=0),AND(IFERROR(INDEX(Templates!$E$3:$E$10,MATCH(Deals!$U353,Templates!$A$3:$A$10,0)),0)&gt;0,COUNTIFS(Assignments!$C$2:$C$769,$A401,Assignments!$F$2:$F$769,"VP",Assignments!$G$2:$G$769,"Active")=0),AND(IFERROR(INDEX(Templates!$F$3:$F$10,MATCH(Deals!$U353,Templates!$A$3:$A$10,0)),0)&gt;0,COUNTIFS(Assignments!$C$2:$C$769,$A401,Assignments!$F$2:$F$769,"Senior Associate",Assignments!$G$2:$G$769,"Active")=0),AND(IFERROR(INDEX(Templates!$G$3:$G$10,MATCH(Deals!$U353,Templates!$A$3:$A$10,0)),0)&gt;0,COUNTIFS(Assignments!$C$2:$C$769,$A401,Assignments!$F$2:$F$769,"Renewable Specialist",Assignments!$G$2:$G$769,"Active")=0),AND(IFERROR(INDEX(Templates!$H$3:$H$10,MATCH(Deals!$U353,Templates!$A$3:$A$10,0)),0)&gt;0,COUNTIFS(Assignments!$C$2:$C$769,$A401,Assignments!$F$2:$F$769,"Associate",Assignments!$G$2:$G$769,"Active")=0)))," MissingLevel","")&amp;IF(AND($C401="Proposal",Deals!$H353=0.5)," DefaultProbability","")&amp;IF($F401="No"," NoDates","")&amp;IF(AND(ISNUMBER($H401),$H401&gt;=Settings!$B$20)," Stale","")))</f>
        <v/>
      </c>
    </row>
    <row r="402">
      <c r="A402" s="16">
        <f>IF(Deals!$A354="","",Deals!$A354)</f>
        <v/>
      </c>
      <c r="B402" s="16">
        <f>IF($A402="","",Deals!$C354)</f>
        <v/>
      </c>
      <c r="C402" s="16">
        <f>IF($A402="","",Deals!$F354)</f>
        <v/>
      </c>
      <c r="D402" s="21">
        <f>IF($A402="","",Deals!$H354)</f>
        <v/>
      </c>
      <c r="E402" s="17">
        <f>IF($A402="","",Deals!$Q354)</f>
        <v/>
      </c>
      <c r="F402" s="16">
        <f>IF($A402="","",IF(AND(Deals!$I354&lt;&gt;"",Deals!$J354&lt;&gt;""),"Yes","No"))</f>
        <v/>
      </c>
      <c r="G402" s="22">
        <f>IF($A402="","",Deals!$Z354)</f>
        <v/>
      </c>
      <c r="H402" s="23">
        <f>IF(OR($A402="",$G402=""),"",INT((Settings!$B$19-$G402)/7))</f>
        <v/>
      </c>
      <c r="I402" s="24">
        <f>IF(OR($A402="",NOT(OR(Deals!$F354="Active",Deals!$F354="Proposal"))),"",TRIM(IF($E402=0," Unstaffed","")&amp;IF(IF(Deals!$U354="",FALSE,OR(AND(IFERROR(INDEX(Templates!$B$3:$B$10,MATCH(Deals!$U354,Templates!$A$3:$A$10,0)),0)&gt;0,COUNTIFS(Assignments!$C$2:$C$769,$A402,Assignments!$F$2:$F$769,"Partner",Assignments!$G$2:$G$769,"Active")=0),AND(IFERROR(INDEX(Templates!$C$3:$C$10,MATCH(Deals!$U354,Templates!$A$3:$A$10,0)),0)&gt;0,COUNTIFS(Assignments!$C$2:$C$769,$A402,Assignments!$F$2:$F$769,"MD",Assignments!$G$2:$G$769,"Active")=0),AND(IFERROR(INDEX(Templates!$D$3:$D$10,MATCH(Deals!$U354,Templates!$A$3:$A$10,0)),0)&gt;0,COUNTIFS(Assignments!$C$2:$C$769,$A402,Assignments!$F$2:$F$769,"Director",Assignments!$G$2:$G$769,"Active")=0),AND(IFERROR(INDEX(Templates!$E$3:$E$10,MATCH(Deals!$U354,Templates!$A$3:$A$10,0)),0)&gt;0,COUNTIFS(Assignments!$C$2:$C$769,$A402,Assignments!$F$2:$F$769,"VP",Assignments!$G$2:$G$769,"Active")=0),AND(IFERROR(INDEX(Templates!$F$3:$F$10,MATCH(Deals!$U354,Templates!$A$3:$A$10,0)),0)&gt;0,COUNTIFS(Assignments!$C$2:$C$769,$A402,Assignments!$F$2:$F$769,"Senior Associate",Assignments!$G$2:$G$769,"Active")=0),AND(IFERROR(INDEX(Templates!$G$3:$G$10,MATCH(Deals!$U354,Templates!$A$3:$A$10,0)),0)&gt;0,COUNTIFS(Assignments!$C$2:$C$769,$A402,Assignments!$F$2:$F$769,"Renewable Specialist",Assignments!$G$2:$G$769,"Active")=0),AND(IFERROR(INDEX(Templates!$H$3:$H$10,MATCH(Deals!$U354,Templates!$A$3:$A$10,0)),0)&gt;0,COUNTIFS(Assignments!$C$2:$C$769,$A402,Assignments!$F$2:$F$769,"Associate",Assignments!$G$2:$G$769,"Active")=0)))," MissingLevel","")&amp;IF(AND($C402="Proposal",Deals!$H354=0.5)," DefaultProbability","")&amp;IF($F402="No"," NoDates","")&amp;IF(AND(ISNUMBER($H402),$H402&gt;=Settings!$B$20)," Stale","")))</f>
        <v/>
      </c>
    </row>
    <row r="403">
      <c r="A403" s="16">
        <f>IF(Deals!$A355="","",Deals!$A355)</f>
        <v/>
      </c>
      <c r="B403" s="16">
        <f>IF($A403="","",Deals!$C355)</f>
        <v/>
      </c>
      <c r="C403" s="16">
        <f>IF($A403="","",Deals!$F355)</f>
        <v/>
      </c>
      <c r="D403" s="21">
        <f>IF($A403="","",Deals!$H355)</f>
        <v/>
      </c>
      <c r="E403" s="17">
        <f>IF($A403="","",Deals!$Q355)</f>
        <v/>
      </c>
      <c r="F403" s="16">
        <f>IF($A403="","",IF(AND(Deals!$I355&lt;&gt;"",Deals!$J355&lt;&gt;""),"Yes","No"))</f>
        <v/>
      </c>
      <c r="G403" s="22">
        <f>IF($A403="","",Deals!$Z355)</f>
        <v/>
      </c>
      <c r="H403" s="23">
        <f>IF(OR($A403="",$G403=""),"",INT((Settings!$B$19-$G403)/7))</f>
        <v/>
      </c>
      <c r="I403" s="24">
        <f>IF(OR($A403="",NOT(OR(Deals!$F355="Active",Deals!$F355="Proposal"))),"",TRIM(IF($E403=0," Unstaffed","")&amp;IF(IF(Deals!$U355="",FALSE,OR(AND(IFERROR(INDEX(Templates!$B$3:$B$10,MATCH(Deals!$U355,Templates!$A$3:$A$10,0)),0)&gt;0,COUNTIFS(Assignments!$C$2:$C$769,$A403,Assignments!$F$2:$F$769,"Partner",Assignments!$G$2:$G$769,"Active")=0),AND(IFERROR(INDEX(Templates!$C$3:$C$10,MATCH(Deals!$U355,Templates!$A$3:$A$10,0)),0)&gt;0,COUNTIFS(Assignments!$C$2:$C$769,$A403,Assignments!$F$2:$F$769,"MD",Assignments!$G$2:$G$769,"Active")=0),AND(IFERROR(INDEX(Templates!$D$3:$D$10,MATCH(Deals!$U355,Templates!$A$3:$A$10,0)),0)&gt;0,COUNTIFS(Assignments!$C$2:$C$769,$A403,Assignments!$F$2:$F$769,"Director",Assignments!$G$2:$G$769,"Active")=0),AND(IFERROR(INDEX(Templates!$E$3:$E$10,MATCH(Deals!$U355,Templates!$A$3:$A$10,0)),0)&gt;0,COUNTIFS(Assignments!$C$2:$C$769,$A403,Assignments!$F$2:$F$769,"VP",Assignments!$G$2:$G$769,"Active")=0),AND(IFERROR(INDEX(Templates!$F$3:$F$10,MATCH(Deals!$U355,Templates!$A$3:$A$10,0)),0)&gt;0,COUNTIFS(Assignments!$C$2:$C$769,$A403,Assignments!$F$2:$F$769,"Senior Associate",Assignments!$G$2:$G$769,"Active")=0),AND(IFERROR(INDEX(Templates!$G$3:$G$10,MATCH(Deals!$U355,Templates!$A$3:$A$10,0)),0)&gt;0,COUNTIFS(Assignments!$C$2:$C$769,$A403,Assignments!$F$2:$F$769,"Renewable Specialist",Assignments!$G$2:$G$769,"Active")=0),AND(IFERROR(INDEX(Templates!$H$3:$H$10,MATCH(Deals!$U355,Templates!$A$3:$A$10,0)),0)&gt;0,COUNTIFS(Assignments!$C$2:$C$769,$A403,Assignments!$F$2:$F$769,"Associate",Assignments!$G$2:$G$769,"Active")=0)))," MissingLevel","")&amp;IF(AND($C403="Proposal",Deals!$H355=0.5)," DefaultProbability","")&amp;IF($F403="No"," NoDates","")&amp;IF(AND(ISNUMBER($H403),$H403&gt;=Settings!$B$20)," Stale","")))</f>
        <v/>
      </c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1"/>
  <conditionalFormatting sqref="A7:F45">
    <cfRule type="expression" priority="1" dxfId="0" stopIfTrue="1">
      <formula>$F7="OVER-ALLOCATED"</formula>
    </cfRule>
    <cfRule type="expression" priority="2" dxfId="2" stopIfTrue="1">
      <formula>$F7="UNDER-UTILIZED"</formula>
    </cfRule>
  </conditionalFormatting>
  <conditionalFormatting sqref="A50:I403">
    <cfRule type="expression" priority="3" dxfId="1">
      <formula>AND($I50&lt;&gt;"",$A50&lt;&gt;"")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AB9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>
      <c r="A1" s="5" t="inlineStr">
        <is>
          <t>Scenario analysis - what-if, without touching the live plan</t>
        </is>
      </c>
    </row>
    <row r="2">
      <c r="A2" s="6" t="inlineStr">
        <is>
          <t>This mirrors Capacity but applies the SCENARIO overrides you set on the Deals tab (the violet columns: Scenario probability / start / end). Leave them blank and this equals Live exactly (every Change below is 0). Fill an override - e.g. bump three proposals to 100% - to see who would blow up. The live Capacity and Check-in tabs are never affected.</t>
        </is>
      </c>
    </row>
    <row r="3"/>
    <row r="4">
      <c r="A4" s="25" t="inlineStr">
        <is>
          <t>1) Impact summary - who changes under the scenario (peak over the next 4 weeks)</t>
        </is>
      </c>
    </row>
    <row r="5" ht="28" customHeight="1">
      <c r="A5" s="15" t="inlineStr">
        <is>
          <t>Person</t>
        </is>
      </c>
      <c r="B5" s="15" t="inlineStr">
        <is>
          <t>Cap hrs/wk</t>
        </is>
      </c>
      <c r="C5" s="15" t="inlineStr">
        <is>
          <t>Live peak</t>
        </is>
      </c>
      <c r="D5" s="15" t="inlineStr">
        <is>
          <t>Scenario peak</t>
        </is>
      </c>
      <c r="E5" s="15" t="inlineStr">
        <is>
          <t>Change</t>
        </is>
      </c>
      <c r="F5" s="15" t="inlineStr">
        <is>
          <t>Scenario util</t>
        </is>
      </c>
      <c r="G5" s="15" t="inlineStr">
        <is>
          <t>Flag</t>
        </is>
      </c>
    </row>
    <row r="6">
      <c r="A6" s="16">
        <f>IF(Roster!$A2="","",Roster!$A2)</f>
        <v/>
      </c>
      <c r="B6" s="17">
        <f>IF($A6="","",Roster!$D2)</f>
        <v/>
      </c>
      <c r="C6" s="18">
        <f>IF($A6="","",MAX(Capacity!$C5:$F5))</f>
        <v/>
      </c>
      <c r="D6" s="18">
        <f>IF($A6="","",MAX($C48:$F48))</f>
        <v/>
      </c>
      <c r="E6" s="26">
        <f>IF($A6="","",$D6-$C6)</f>
        <v/>
      </c>
      <c r="F6" s="19">
        <f>IF(OR($A6="",$B6=0),"",$D6/$B6)</f>
        <v/>
      </c>
      <c r="G6" s="20">
        <f>IF($B6=0,"",IF(AND($D6&gt;$B6,$C6&lt;=$B6),"NEWLY OVER",IF($D6&gt;$B6,"over",IF(AND($C6&gt;$B6,$D6&lt;=$B6),"eased",""))))</f>
        <v/>
      </c>
    </row>
    <row r="7">
      <c r="A7" s="16">
        <f>IF(Roster!$A3="","",Roster!$A3)</f>
        <v/>
      </c>
      <c r="B7" s="17">
        <f>IF($A7="","",Roster!$D3)</f>
        <v/>
      </c>
      <c r="C7" s="18">
        <f>IF($A7="","",MAX(Capacity!$C6:$F6))</f>
        <v/>
      </c>
      <c r="D7" s="18">
        <f>IF($A7="","",MAX($C49:$F49))</f>
        <v/>
      </c>
      <c r="E7" s="26">
        <f>IF($A7="","",$D7-$C7)</f>
        <v/>
      </c>
      <c r="F7" s="19">
        <f>IF(OR($A7="",$B7=0),"",$D7/$B7)</f>
        <v/>
      </c>
      <c r="G7" s="20">
        <f>IF($B7=0,"",IF(AND($D7&gt;$B7,$C7&lt;=$B7),"NEWLY OVER",IF($D7&gt;$B7,"over",IF(AND($C7&gt;$B7,$D7&lt;=$B7),"eased",""))))</f>
        <v/>
      </c>
    </row>
    <row r="8">
      <c r="A8" s="16">
        <f>IF(Roster!$A4="","",Roster!$A4)</f>
        <v/>
      </c>
      <c r="B8" s="17">
        <f>IF($A8="","",Roster!$D4)</f>
        <v/>
      </c>
      <c r="C8" s="18">
        <f>IF($A8="","",MAX(Capacity!$C7:$F7))</f>
        <v/>
      </c>
      <c r="D8" s="18">
        <f>IF($A8="","",MAX($C50:$F50))</f>
        <v/>
      </c>
      <c r="E8" s="26">
        <f>IF($A8="","",$D8-$C8)</f>
        <v/>
      </c>
      <c r="F8" s="19">
        <f>IF(OR($A8="",$B8=0),"",$D8/$B8)</f>
        <v/>
      </c>
      <c r="G8" s="20">
        <f>IF($B8=0,"",IF(AND($D8&gt;$B8,$C8&lt;=$B8),"NEWLY OVER",IF($D8&gt;$B8,"over",IF(AND($C8&gt;$B8,$D8&lt;=$B8),"eased",""))))</f>
        <v/>
      </c>
    </row>
    <row r="9">
      <c r="A9" s="16">
        <f>IF(Roster!$A5="","",Roster!$A5)</f>
        <v/>
      </c>
      <c r="B9" s="17">
        <f>IF($A9="","",Roster!$D5)</f>
        <v/>
      </c>
      <c r="C9" s="18">
        <f>IF($A9="","",MAX(Capacity!$C8:$F8))</f>
        <v/>
      </c>
      <c r="D9" s="18">
        <f>IF($A9="","",MAX($C51:$F51))</f>
        <v/>
      </c>
      <c r="E9" s="26">
        <f>IF($A9="","",$D9-$C9)</f>
        <v/>
      </c>
      <c r="F9" s="19">
        <f>IF(OR($A9="",$B9=0),"",$D9/$B9)</f>
        <v/>
      </c>
      <c r="G9" s="20">
        <f>IF($B9=0,"",IF(AND($D9&gt;$B9,$C9&lt;=$B9),"NEWLY OVER",IF($D9&gt;$B9,"over",IF(AND($C9&gt;$B9,$D9&lt;=$B9),"eased",""))))</f>
        <v/>
      </c>
    </row>
    <row r="10">
      <c r="A10" s="16">
        <f>IF(Roster!$A6="","",Roster!$A6)</f>
        <v/>
      </c>
      <c r="B10" s="17">
        <f>IF($A10="","",Roster!$D6)</f>
        <v/>
      </c>
      <c r="C10" s="18">
        <f>IF($A10="","",MAX(Capacity!$C9:$F9))</f>
        <v/>
      </c>
      <c r="D10" s="18">
        <f>IF($A10="","",MAX($C52:$F52))</f>
        <v/>
      </c>
      <c r="E10" s="26">
        <f>IF($A10="","",$D10-$C10)</f>
        <v/>
      </c>
      <c r="F10" s="19">
        <f>IF(OR($A10="",$B10=0),"",$D10/$B10)</f>
        <v/>
      </c>
      <c r="G10" s="20">
        <f>IF($B10=0,"",IF(AND($D10&gt;$B10,$C10&lt;=$B10),"NEWLY OVER",IF($D10&gt;$B10,"over",IF(AND($C10&gt;$B10,$D10&lt;=$B10),"eased",""))))</f>
        <v/>
      </c>
    </row>
    <row r="11">
      <c r="A11" s="16">
        <f>IF(Roster!$A7="","",Roster!$A7)</f>
        <v/>
      </c>
      <c r="B11" s="17">
        <f>IF($A11="","",Roster!$D7)</f>
        <v/>
      </c>
      <c r="C11" s="18">
        <f>IF($A11="","",MAX(Capacity!$C10:$F10))</f>
        <v/>
      </c>
      <c r="D11" s="18">
        <f>IF($A11="","",MAX($C53:$F53))</f>
        <v/>
      </c>
      <c r="E11" s="26">
        <f>IF($A11="","",$D11-$C11)</f>
        <v/>
      </c>
      <c r="F11" s="19">
        <f>IF(OR($A11="",$B11=0),"",$D11/$B11)</f>
        <v/>
      </c>
      <c r="G11" s="20">
        <f>IF($B11=0,"",IF(AND($D11&gt;$B11,$C11&lt;=$B11),"NEWLY OVER",IF($D11&gt;$B11,"over",IF(AND($C11&gt;$B11,$D11&lt;=$B11),"eased",""))))</f>
        <v/>
      </c>
    </row>
    <row r="12">
      <c r="A12" s="16">
        <f>IF(Roster!$A8="","",Roster!$A8)</f>
        <v/>
      </c>
      <c r="B12" s="17">
        <f>IF($A12="","",Roster!$D8)</f>
        <v/>
      </c>
      <c r="C12" s="18">
        <f>IF($A12="","",MAX(Capacity!$C11:$F11))</f>
        <v/>
      </c>
      <c r="D12" s="18">
        <f>IF($A12="","",MAX($C54:$F54))</f>
        <v/>
      </c>
      <c r="E12" s="26">
        <f>IF($A12="","",$D12-$C12)</f>
        <v/>
      </c>
      <c r="F12" s="19">
        <f>IF(OR($A12="",$B12=0),"",$D12/$B12)</f>
        <v/>
      </c>
      <c r="G12" s="20">
        <f>IF($B12=0,"",IF(AND($D12&gt;$B12,$C12&lt;=$B12),"NEWLY OVER",IF($D12&gt;$B12,"over",IF(AND($C12&gt;$B12,$D12&lt;=$B12),"eased",""))))</f>
        <v/>
      </c>
    </row>
    <row r="13">
      <c r="A13" s="16">
        <f>IF(Roster!$A9="","",Roster!$A9)</f>
        <v/>
      </c>
      <c r="B13" s="17">
        <f>IF($A13="","",Roster!$D9)</f>
        <v/>
      </c>
      <c r="C13" s="18">
        <f>IF($A13="","",MAX(Capacity!$C12:$F12))</f>
        <v/>
      </c>
      <c r="D13" s="18">
        <f>IF($A13="","",MAX($C55:$F55))</f>
        <v/>
      </c>
      <c r="E13" s="26">
        <f>IF($A13="","",$D13-$C13)</f>
        <v/>
      </c>
      <c r="F13" s="19">
        <f>IF(OR($A13="",$B13=0),"",$D13/$B13)</f>
        <v/>
      </c>
      <c r="G13" s="20">
        <f>IF($B13=0,"",IF(AND($D13&gt;$B13,$C13&lt;=$B13),"NEWLY OVER",IF($D13&gt;$B13,"over",IF(AND($C13&gt;$B13,$D13&lt;=$B13),"eased",""))))</f>
        <v/>
      </c>
    </row>
    <row r="14">
      <c r="A14" s="16">
        <f>IF(Roster!$A10="","",Roster!$A10)</f>
        <v/>
      </c>
      <c r="B14" s="17">
        <f>IF($A14="","",Roster!$D10)</f>
        <v/>
      </c>
      <c r="C14" s="18">
        <f>IF($A14="","",MAX(Capacity!$C13:$F13))</f>
        <v/>
      </c>
      <c r="D14" s="18">
        <f>IF($A14="","",MAX($C56:$F56))</f>
        <v/>
      </c>
      <c r="E14" s="26">
        <f>IF($A14="","",$D14-$C14)</f>
        <v/>
      </c>
      <c r="F14" s="19">
        <f>IF(OR($A14="",$B14=0),"",$D14/$B14)</f>
        <v/>
      </c>
      <c r="G14" s="20">
        <f>IF($B14=0,"",IF(AND($D14&gt;$B14,$C14&lt;=$B14),"NEWLY OVER",IF($D14&gt;$B14,"over",IF(AND($C14&gt;$B14,$D14&lt;=$B14),"eased",""))))</f>
        <v/>
      </c>
    </row>
    <row r="15">
      <c r="A15" s="16">
        <f>IF(Roster!$A11="","",Roster!$A11)</f>
        <v/>
      </c>
      <c r="B15" s="17">
        <f>IF($A15="","",Roster!$D11)</f>
        <v/>
      </c>
      <c r="C15" s="18">
        <f>IF($A15="","",MAX(Capacity!$C14:$F14))</f>
        <v/>
      </c>
      <c r="D15" s="18">
        <f>IF($A15="","",MAX($C57:$F57))</f>
        <v/>
      </c>
      <c r="E15" s="26">
        <f>IF($A15="","",$D15-$C15)</f>
        <v/>
      </c>
      <c r="F15" s="19">
        <f>IF(OR($A15="",$B15=0),"",$D15/$B15)</f>
        <v/>
      </c>
      <c r="G15" s="20">
        <f>IF($B15=0,"",IF(AND($D15&gt;$B15,$C15&lt;=$B15),"NEWLY OVER",IF($D15&gt;$B15,"over",IF(AND($C15&gt;$B15,$D15&lt;=$B15),"eased",""))))</f>
        <v/>
      </c>
    </row>
    <row r="16">
      <c r="A16" s="16">
        <f>IF(Roster!$A12="","",Roster!$A12)</f>
        <v/>
      </c>
      <c r="B16" s="17">
        <f>IF($A16="","",Roster!$D12)</f>
        <v/>
      </c>
      <c r="C16" s="18">
        <f>IF($A16="","",MAX(Capacity!$C15:$F15))</f>
        <v/>
      </c>
      <c r="D16" s="18">
        <f>IF($A16="","",MAX($C58:$F58))</f>
        <v/>
      </c>
      <c r="E16" s="26">
        <f>IF($A16="","",$D16-$C16)</f>
        <v/>
      </c>
      <c r="F16" s="19">
        <f>IF(OR($A16="",$B16=0),"",$D16/$B16)</f>
        <v/>
      </c>
      <c r="G16" s="20">
        <f>IF($B16=0,"",IF(AND($D16&gt;$B16,$C16&lt;=$B16),"NEWLY OVER",IF($D16&gt;$B16,"over",IF(AND($C16&gt;$B16,$D16&lt;=$B16),"eased",""))))</f>
        <v/>
      </c>
    </row>
    <row r="17">
      <c r="A17" s="16">
        <f>IF(Roster!$A13="","",Roster!$A13)</f>
        <v/>
      </c>
      <c r="B17" s="17">
        <f>IF($A17="","",Roster!$D13)</f>
        <v/>
      </c>
      <c r="C17" s="18">
        <f>IF($A17="","",MAX(Capacity!$C16:$F16))</f>
        <v/>
      </c>
      <c r="D17" s="18">
        <f>IF($A17="","",MAX($C59:$F59))</f>
        <v/>
      </c>
      <c r="E17" s="26">
        <f>IF($A17="","",$D17-$C17)</f>
        <v/>
      </c>
      <c r="F17" s="19">
        <f>IF(OR($A17="",$B17=0),"",$D17/$B17)</f>
        <v/>
      </c>
      <c r="G17" s="20">
        <f>IF($B17=0,"",IF(AND($D17&gt;$B17,$C17&lt;=$B17),"NEWLY OVER",IF($D17&gt;$B17,"over",IF(AND($C17&gt;$B17,$D17&lt;=$B17),"eased",""))))</f>
        <v/>
      </c>
    </row>
    <row r="18">
      <c r="A18" s="16">
        <f>IF(Roster!$A14="","",Roster!$A14)</f>
        <v/>
      </c>
      <c r="B18" s="17">
        <f>IF($A18="","",Roster!$D14)</f>
        <v/>
      </c>
      <c r="C18" s="18">
        <f>IF($A18="","",MAX(Capacity!$C17:$F17))</f>
        <v/>
      </c>
      <c r="D18" s="18">
        <f>IF($A18="","",MAX($C60:$F60))</f>
        <v/>
      </c>
      <c r="E18" s="26">
        <f>IF($A18="","",$D18-$C18)</f>
        <v/>
      </c>
      <c r="F18" s="19">
        <f>IF(OR($A18="",$B18=0),"",$D18/$B18)</f>
        <v/>
      </c>
      <c r="G18" s="20">
        <f>IF($B18=0,"",IF(AND($D18&gt;$B18,$C18&lt;=$B18),"NEWLY OVER",IF($D18&gt;$B18,"over",IF(AND($C18&gt;$B18,$D18&lt;=$B18),"eased",""))))</f>
        <v/>
      </c>
    </row>
    <row r="19">
      <c r="A19" s="16">
        <f>IF(Roster!$A15="","",Roster!$A15)</f>
        <v/>
      </c>
      <c r="B19" s="17">
        <f>IF($A19="","",Roster!$D15)</f>
        <v/>
      </c>
      <c r="C19" s="18">
        <f>IF($A19="","",MAX(Capacity!$C18:$F18))</f>
        <v/>
      </c>
      <c r="D19" s="18">
        <f>IF($A19="","",MAX($C61:$F61))</f>
        <v/>
      </c>
      <c r="E19" s="26">
        <f>IF($A19="","",$D19-$C19)</f>
        <v/>
      </c>
      <c r="F19" s="19">
        <f>IF(OR($A19="",$B19=0),"",$D19/$B19)</f>
        <v/>
      </c>
      <c r="G19" s="20">
        <f>IF($B19=0,"",IF(AND($D19&gt;$B19,$C19&lt;=$B19),"NEWLY OVER",IF($D19&gt;$B19,"over",IF(AND($C19&gt;$B19,$D19&lt;=$B19),"eased",""))))</f>
        <v/>
      </c>
    </row>
    <row r="20">
      <c r="A20" s="16">
        <f>IF(Roster!$A16="","",Roster!$A16)</f>
        <v/>
      </c>
      <c r="B20" s="17">
        <f>IF($A20="","",Roster!$D16)</f>
        <v/>
      </c>
      <c r="C20" s="18">
        <f>IF($A20="","",MAX(Capacity!$C19:$F19))</f>
        <v/>
      </c>
      <c r="D20" s="18">
        <f>IF($A20="","",MAX($C62:$F62))</f>
        <v/>
      </c>
      <c r="E20" s="26">
        <f>IF($A20="","",$D20-$C20)</f>
        <v/>
      </c>
      <c r="F20" s="19">
        <f>IF(OR($A20="",$B20=0),"",$D20/$B20)</f>
        <v/>
      </c>
      <c r="G20" s="20">
        <f>IF($B20=0,"",IF(AND($D20&gt;$B20,$C20&lt;=$B20),"NEWLY OVER",IF($D20&gt;$B20,"over",IF(AND($C20&gt;$B20,$D20&lt;=$B20),"eased",""))))</f>
        <v/>
      </c>
    </row>
    <row r="21">
      <c r="A21" s="16">
        <f>IF(Roster!$A17="","",Roster!$A17)</f>
        <v/>
      </c>
      <c r="B21" s="17">
        <f>IF($A21="","",Roster!$D17)</f>
        <v/>
      </c>
      <c r="C21" s="18">
        <f>IF($A21="","",MAX(Capacity!$C20:$F20))</f>
        <v/>
      </c>
      <c r="D21" s="18">
        <f>IF($A21="","",MAX($C63:$F63))</f>
        <v/>
      </c>
      <c r="E21" s="26">
        <f>IF($A21="","",$D21-$C21)</f>
        <v/>
      </c>
      <c r="F21" s="19">
        <f>IF(OR($A21="",$B21=0),"",$D21/$B21)</f>
        <v/>
      </c>
      <c r="G21" s="20">
        <f>IF($B21=0,"",IF(AND($D21&gt;$B21,$C21&lt;=$B21),"NEWLY OVER",IF($D21&gt;$B21,"over",IF(AND($C21&gt;$B21,$D21&lt;=$B21),"eased",""))))</f>
        <v/>
      </c>
    </row>
    <row r="22">
      <c r="A22" s="16">
        <f>IF(Roster!$A18="","",Roster!$A18)</f>
        <v/>
      </c>
      <c r="B22" s="17">
        <f>IF($A22="","",Roster!$D18)</f>
        <v/>
      </c>
      <c r="C22" s="18">
        <f>IF($A22="","",MAX(Capacity!$C21:$F21))</f>
        <v/>
      </c>
      <c r="D22" s="18">
        <f>IF($A22="","",MAX($C64:$F64))</f>
        <v/>
      </c>
      <c r="E22" s="26">
        <f>IF($A22="","",$D22-$C22)</f>
        <v/>
      </c>
      <c r="F22" s="19">
        <f>IF(OR($A22="",$B22=0),"",$D22/$B22)</f>
        <v/>
      </c>
      <c r="G22" s="20">
        <f>IF($B22=0,"",IF(AND($D22&gt;$B22,$C22&lt;=$B22),"NEWLY OVER",IF($D22&gt;$B22,"over",IF(AND($C22&gt;$B22,$D22&lt;=$B22),"eased",""))))</f>
        <v/>
      </c>
    </row>
    <row r="23">
      <c r="A23" s="16">
        <f>IF(Roster!$A19="","",Roster!$A19)</f>
        <v/>
      </c>
      <c r="B23" s="17">
        <f>IF($A23="","",Roster!$D19)</f>
        <v/>
      </c>
      <c r="C23" s="18">
        <f>IF($A23="","",MAX(Capacity!$C22:$F22))</f>
        <v/>
      </c>
      <c r="D23" s="18">
        <f>IF($A23="","",MAX($C65:$F65))</f>
        <v/>
      </c>
      <c r="E23" s="26">
        <f>IF($A23="","",$D23-$C23)</f>
        <v/>
      </c>
      <c r="F23" s="19">
        <f>IF(OR($A23="",$B23=0),"",$D23/$B23)</f>
        <v/>
      </c>
      <c r="G23" s="20">
        <f>IF($B23=0,"",IF(AND($D23&gt;$B23,$C23&lt;=$B23),"NEWLY OVER",IF($D23&gt;$B23,"over",IF(AND($C23&gt;$B23,$D23&lt;=$B23),"eased",""))))</f>
        <v/>
      </c>
    </row>
    <row r="24">
      <c r="A24" s="16">
        <f>IF(Roster!$A20="","",Roster!$A20)</f>
        <v/>
      </c>
      <c r="B24" s="17">
        <f>IF($A24="","",Roster!$D20)</f>
        <v/>
      </c>
      <c r="C24" s="18">
        <f>IF($A24="","",MAX(Capacity!$C23:$F23))</f>
        <v/>
      </c>
      <c r="D24" s="18">
        <f>IF($A24="","",MAX($C66:$F66))</f>
        <v/>
      </c>
      <c r="E24" s="26">
        <f>IF($A24="","",$D24-$C24)</f>
        <v/>
      </c>
      <c r="F24" s="19">
        <f>IF(OR($A24="",$B24=0),"",$D24/$B24)</f>
        <v/>
      </c>
      <c r="G24" s="20">
        <f>IF($B24=0,"",IF(AND($D24&gt;$B24,$C24&lt;=$B24),"NEWLY OVER",IF($D24&gt;$B24,"over",IF(AND($C24&gt;$B24,$D24&lt;=$B24),"eased",""))))</f>
        <v/>
      </c>
    </row>
    <row r="25">
      <c r="A25" s="16">
        <f>IF(Roster!$A21="","",Roster!$A21)</f>
        <v/>
      </c>
      <c r="B25" s="17">
        <f>IF($A25="","",Roster!$D21)</f>
        <v/>
      </c>
      <c r="C25" s="18">
        <f>IF($A25="","",MAX(Capacity!$C24:$F24))</f>
        <v/>
      </c>
      <c r="D25" s="18">
        <f>IF($A25="","",MAX($C67:$F67))</f>
        <v/>
      </c>
      <c r="E25" s="26">
        <f>IF($A25="","",$D25-$C25)</f>
        <v/>
      </c>
      <c r="F25" s="19">
        <f>IF(OR($A25="",$B25=0),"",$D25/$B25)</f>
        <v/>
      </c>
      <c r="G25" s="20">
        <f>IF($B25=0,"",IF(AND($D25&gt;$B25,$C25&lt;=$B25),"NEWLY OVER",IF($D25&gt;$B25,"over",IF(AND($C25&gt;$B25,$D25&lt;=$B25),"eased",""))))</f>
        <v/>
      </c>
    </row>
    <row r="26">
      <c r="A26" s="16">
        <f>IF(Roster!$A22="","",Roster!$A22)</f>
        <v/>
      </c>
      <c r="B26" s="17">
        <f>IF($A26="","",Roster!$D22)</f>
        <v/>
      </c>
      <c r="C26" s="18">
        <f>IF($A26="","",MAX(Capacity!$C25:$F25))</f>
        <v/>
      </c>
      <c r="D26" s="18">
        <f>IF($A26="","",MAX($C68:$F68))</f>
        <v/>
      </c>
      <c r="E26" s="26">
        <f>IF($A26="","",$D26-$C26)</f>
        <v/>
      </c>
      <c r="F26" s="19">
        <f>IF(OR($A26="",$B26=0),"",$D26/$B26)</f>
        <v/>
      </c>
      <c r="G26" s="20">
        <f>IF($B26=0,"",IF(AND($D26&gt;$B26,$C26&lt;=$B26),"NEWLY OVER",IF($D26&gt;$B26,"over",IF(AND($C26&gt;$B26,$D26&lt;=$B26),"eased",""))))</f>
        <v/>
      </c>
    </row>
    <row r="27">
      <c r="A27" s="16">
        <f>IF(Roster!$A23="","",Roster!$A23)</f>
        <v/>
      </c>
      <c r="B27" s="17">
        <f>IF($A27="","",Roster!$D23)</f>
        <v/>
      </c>
      <c r="C27" s="18">
        <f>IF($A27="","",MAX(Capacity!$C26:$F26))</f>
        <v/>
      </c>
      <c r="D27" s="18">
        <f>IF($A27="","",MAX($C69:$F69))</f>
        <v/>
      </c>
      <c r="E27" s="26">
        <f>IF($A27="","",$D27-$C27)</f>
        <v/>
      </c>
      <c r="F27" s="19">
        <f>IF(OR($A27="",$B27=0),"",$D27/$B27)</f>
        <v/>
      </c>
      <c r="G27" s="20">
        <f>IF($B27=0,"",IF(AND($D27&gt;$B27,$C27&lt;=$B27),"NEWLY OVER",IF($D27&gt;$B27,"over",IF(AND($C27&gt;$B27,$D27&lt;=$B27),"eased",""))))</f>
        <v/>
      </c>
    </row>
    <row r="28">
      <c r="A28" s="16">
        <f>IF(Roster!$A24="","",Roster!$A24)</f>
        <v/>
      </c>
      <c r="B28" s="17">
        <f>IF($A28="","",Roster!$D24)</f>
        <v/>
      </c>
      <c r="C28" s="18">
        <f>IF($A28="","",MAX(Capacity!$C27:$F27))</f>
        <v/>
      </c>
      <c r="D28" s="18">
        <f>IF($A28="","",MAX($C70:$F70))</f>
        <v/>
      </c>
      <c r="E28" s="26">
        <f>IF($A28="","",$D28-$C28)</f>
        <v/>
      </c>
      <c r="F28" s="19">
        <f>IF(OR($A28="",$B28=0),"",$D28/$B28)</f>
        <v/>
      </c>
      <c r="G28" s="20">
        <f>IF($B28=0,"",IF(AND($D28&gt;$B28,$C28&lt;=$B28),"NEWLY OVER",IF($D28&gt;$B28,"over",IF(AND($C28&gt;$B28,$D28&lt;=$B28),"eased",""))))</f>
        <v/>
      </c>
    </row>
    <row r="29">
      <c r="A29" s="16">
        <f>IF(Roster!$A25="","",Roster!$A25)</f>
        <v/>
      </c>
      <c r="B29" s="17">
        <f>IF($A29="","",Roster!$D25)</f>
        <v/>
      </c>
      <c r="C29" s="18">
        <f>IF($A29="","",MAX(Capacity!$C28:$F28))</f>
        <v/>
      </c>
      <c r="D29" s="18">
        <f>IF($A29="","",MAX($C71:$F71))</f>
        <v/>
      </c>
      <c r="E29" s="26">
        <f>IF($A29="","",$D29-$C29)</f>
        <v/>
      </c>
      <c r="F29" s="19">
        <f>IF(OR($A29="",$B29=0),"",$D29/$B29)</f>
        <v/>
      </c>
      <c r="G29" s="20">
        <f>IF($B29=0,"",IF(AND($D29&gt;$B29,$C29&lt;=$B29),"NEWLY OVER",IF($D29&gt;$B29,"over",IF(AND($C29&gt;$B29,$D29&lt;=$B29),"eased",""))))</f>
        <v/>
      </c>
    </row>
    <row r="30">
      <c r="A30" s="16">
        <f>IF(Roster!$A26="","",Roster!$A26)</f>
        <v/>
      </c>
      <c r="B30" s="17">
        <f>IF($A30="","",Roster!$D26)</f>
        <v/>
      </c>
      <c r="C30" s="18">
        <f>IF($A30="","",MAX(Capacity!$C29:$F29))</f>
        <v/>
      </c>
      <c r="D30" s="18">
        <f>IF($A30="","",MAX($C72:$F72))</f>
        <v/>
      </c>
      <c r="E30" s="26">
        <f>IF($A30="","",$D30-$C30)</f>
        <v/>
      </c>
      <c r="F30" s="19">
        <f>IF(OR($A30="",$B30=0),"",$D30/$B30)</f>
        <v/>
      </c>
      <c r="G30" s="20">
        <f>IF($B30=0,"",IF(AND($D30&gt;$B30,$C30&lt;=$B30),"NEWLY OVER",IF($D30&gt;$B30,"over",IF(AND($C30&gt;$B30,$D30&lt;=$B30),"eased",""))))</f>
        <v/>
      </c>
    </row>
    <row r="31">
      <c r="A31" s="16">
        <f>IF(Roster!$A27="","",Roster!$A27)</f>
        <v/>
      </c>
      <c r="B31" s="17">
        <f>IF($A31="","",Roster!$D27)</f>
        <v/>
      </c>
      <c r="C31" s="18">
        <f>IF($A31="","",MAX(Capacity!$C30:$F30))</f>
        <v/>
      </c>
      <c r="D31" s="18">
        <f>IF($A31="","",MAX($C73:$F73))</f>
        <v/>
      </c>
      <c r="E31" s="26">
        <f>IF($A31="","",$D31-$C31)</f>
        <v/>
      </c>
      <c r="F31" s="19">
        <f>IF(OR($A31="",$B31=0),"",$D31/$B31)</f>
        <v/>
      </c>
      <c r="G31" s="20">
        <f>IF($B31=0,"",IF(AND($D31&gt;$B31,$C31&lt;=$B31),"NEWLY OVER",IF($D31&gt;$B31,"over",IF(AND($C31&gt;$B31,$D31&lt;=$B31),"eased",""))))</f>
        <v/>
      </c>
    </row>
    <row r="32">
      <c r="A32" s="16">
        <f>IF(Roster!$A28="","",Roster!$A28)</f>
        <v/>
      </c>
      <c r="B32" s="17">
        <f>IF($A32="","",Roster!$D28)</f>
        <v/>
      </c>
      <c r="C32" s="18">
        <f>IF($A32="","",MAX(Capacity!$C31:$F31))</f>
        <v/>
      </c>
      <c r="D32" s="18">
        <f>IF($A32="","",MAX($C74:$F74))</f>
        <v/>
      </c>
      <c r="E32" s="26">
        <f>IF($A32="","",$D32-$C32)</f>
        <v/>
      </c>
      <c r="F32" s="19">
        <f>IF(OR($A32="",$B32=0),"",$D32/$B32)</f>
        <v/>
      </c>
      <c r="G32" s="20">
        <f>IF($B32=0,"",IF(AND($D32&gt;$B32,$C32&lt;=$B32),"NEWLY OVER",IF($D32&gt;$B32,"over",IF(AND($C32&gt;$B32,$D32&lt;=$B32),"eased",""))))</f>
        <v/>
      </c>
    </row>
    <row r="33">
      <c r="A33" s="16">
        <f>IF(Roster!$A29="","",Roster!$A29)</f>
        <v/>
      </c>
      <c r="B33" s="17">
        <f>IF($A33="","",Roster!$D29)</f>
        <v/>
      </c>
      <c r="C33" s="18">
        <f>IF($A33="","",MAX(Capacity!$C32:$F32))</f>
        <v/>
      </c>
      <c r="D33" s="18">
        <f>IF($A33="","",MAX($C75:$F75))</f>
        <v/>
      </c>
      <c r="E33" s="26">
        <f>IF($A33="","",$D33-$C33)</f>
        <v/>
      </c>
      <c r="F33" s="19">
        <f>IF(OR($A33="",$B33=0),"",$D33/$B33)</f>
        <v/>
      </c>
      <c r="G33" s="20">
        <f>IF($B33=0,"",IF(AND($D33&gt;$B33,$C33&lt;=$B33),"NEWLY OVER",IF($D33&gt;$B33,"over",IF(AND($C33&gt;$B33,$D33&lt;=$B33),"eased",""))))</f>
        <v/>
      </c>
    </row>
    <row r="34">
      <c r="A34" s="16">
        <f>IF(Roster!$A30="","",Roster!$A30)</f>
        <v/>
      </c>
      <c r="B34" s="17">
        <f>IF($A34="","",Roster!$D30)</f>
        <v/>
      </c>
      <c r="C34" s="18">
        <f>IF($A34="","",MAX(Capacity!$C33:$F33))</f>
        <v/>
      </c>
      <c r="D34" s="18">
        <f>IF($A34="","",MAX($C76:$F76))</f>
        <v/>
      </c>
      <c r="E34" s="26">
        <f>IF($A34="","",$D34-$C34)</f>
        <v/>
      </c>
      <c r="F34" s="19">
        <f>IF(OR($A34="",$B34=0),"",$D34/$B34)</f>
        <v/>
      </c>
      <c r="G34" s="20">
        <f>IF($B34=0,"",IF(AND($D34&gt;$B34,$C34&lt;=$B34),"NEWLY OVER",IF($D34&gt;$B34,"over",IF(AND($C34&gt;$B34,$D34&lt;=$B34),"eased",""))))</f>
        <v/>
      </c>
    </row>
    <row r="35">
      <c r="A35" s="16">
        <f>IF(Roster!$A31="","",Roster!$A31)</f>
        <v/>
      </c>
      <c r="B35" s="17">
        <f>IF($A35="","",Roster!$D31)</f>
        <v/>
      </c>
      <c r="C35" s="18">
        <f>IF($A35="","",MAX(Capacity!$C34:$F34))</f>
        <v/>
      </c>
      <c r="D35" s="18">
        <f>IF($A35="","",MAX($C77:$F77))</f>
        <v/>
      </c>
      <c r="E35" s="26">
        <f>IF($A35="","",$D35-$C35)</f>
        <v/>
      </c>
      <c r="F35" s="19">
        <f>IF(OR($A35="",$B35=0),"",$D35/$B35)</f>
        <v/>
      </c>
      <c r="G35" s="20">
        <f>IF($B35=0,"",IF(AND($D35&gt;$B35,$C35&lt;=$B35),"NEWLY OVER",IF($D35&gt;$B35,"over",IF(AND($C35&gt;$B35,$D35&lt;=$B35),"eased",""))))</f>
        <v/>
      </c>
    </row>
    <row r="36">
      <c r="A36" s="16">
        <f>IF(Roster!$A32="","",Roster!$A32)</f>
        <v/>
      </c>
      <c r="B36" s="17">
        <f>IF($A36="","",Roster!$D32)</f>
        <v/>
      </c>
      <c r="C36" s="18">
        <f>IF($A36="","",MAX(Capacity!$C35:$F35))</f>
        <v/>
      </c>
      <c r="D36" s="18">
        <f>IF($A36="","",MAX($C78:$F78))</f>
        <v/>
      </c>
      <c r="E36" s="26">
        <f>IF($A36="","",$D36-$C36)</f>
        <v/>
      </c>
      <c r="F36" s="19">
        <f>IF(OR($A36="",$B36=0),"",$D36/$B36)</f>
        <v/>
      </c>
      <c r="G36" s="20">
        <f>IF($B36=0,"",IF(AND($D36&gt;$B36,$C36&lt;=$B36),"NEWLY OVER",IF($D36&gt;$B36,"over",IF(AND($C36&gt;$B36,$D36&lt;=$B36),"eased",""))))</f>
        <v/>
      </c>
    </row>
    <row r="37">
      <c r="A37" s="16">
        <f>IF(Roster!$A33="","",Roster!$A33)</f>
        <v/>
      </c>
      <c r="B37" s="17">
        <f>IF($A37="","",Roster!$D33)</f>
        <v/>
      </c>
      <c r="C37" s="18">
        <f>IF($A37="","",MAX(Capacity!$C36:$F36))</f>
        <v/>
      </c>
      <c r="D37" s="18">
        <f>IF($A37="","",MAX($C79:$F79))</f>
        <v/>
      </c>
      <c r="E37" s="26">
        <f>IF($A37="","",$D37-$C37)</f>
        <v/>
      </c>
      <c r="F37" s="19">
        <f>IF(OR($A37="",$B37=0),"",$D37/$B37)</f>
        <v/>
      </c>
      <c r="G37" s="20">
        <f>IF($B37=0,"",IF(AND($D37&gt;$B37,$C37&lt;=$B37),"NEWLY OVER",IF($D37&gt;$B37,"over",IF(AND($C37&gt;$B37,$D37&lt;=$B37),"eased",""))))</f>
        <v/>
      </c>
    </row>
    <row r="38">
      <c r="A38" s="16">
        <f>IF(Roster!$A34="","",Roster!$A34)</f>
        <v/>
      </c>
      <c r="B38" s="17">
        <f>IF($A38="","",Roster!$D34)</f>
        <v/>
      </c>
      <c r="C38" s="18">
        <f>IF($A38="","",MAX(Capacity!$C37:$F37))</f>
        <v/>
      </c>
      <c r="D38" s="18">
        <f>IF($A38="","",MAX($C80:$F80))</f>
        <v/>
      </c>
      <c r="E38" s="26">
        <f>IF($A38="","",$D38-$C38)</f>
        <v/>
      </c>
      <c r="F38" s="19">
        <f>IF(OR($A38="",$B38=0),"",$D38/$B38)</f>
        <v/>
      </c>
      <c r="G38" s="20">
        <f>IF($B38=0,"",IF(AND($D38&gt;$B38,$C38&lt;=$B38),"NEWLY OVER",IF($D38&gt;$B38,"over",IF(AND($C38&gt;$B38,$D38&lt;=$B38),"eased",""))))</f>
        <v/>
      </c>
    </row>
    <row r="39">
      <c r="A39" s="16">
        <f>IF(Roster!$A35="","",Roster!$A35)</f>
        <v/>
      </c>
      <c r="B39" s="17">
        <f>IF($A39="","",Roster!$D35)</f>
        <v/>
      </c>
      <c r="C39" s="18">
        <f>IF($A39="","",MAX(Capacity!$C38:$F38))</f>
        <v/>
      </c>
      <c r="D39" s="18">
        <f>IF($A39="","",MAX($C81:$F81))</f>
        <v/>
      </c>
      <c r="E39" s="26">
        <f>IF($A39="","",$D39-$C39)</f>
        <v/>
      </c>
      <c r="F39" s="19">
        <f>IF(OR($A39="",$B39=0),"",$D39/$B39)</f>
        <v/>
      </c>
      <c r="G39" s="20">
        <f>IF($B39=0,"",IF(AND($D39&gt;$B39,$C39&lt;=$B39),"NEWLY OVER",IF($D39&gt;$B39,"over",IF(AND($C39&gt;$B39,$D39&lt;=$B39),"eased",""))))</f>
        <v/>
      </c>
    </row>
    <row r="40">
      <c r="A40" s="16">
        <f>IF(Roster!$A36="","",Roster!$A36)</f>
        <v/>
      </c>
      <c r="B40" s="17">
        <f>IF($A40="","",Roster!$D36)</f>
        <v/>
      </c>
      <c r="C40" s="18">
        <f>IF($A40="","",MAX(Capacity!$C39:$F39))</f>
        <v/>
      </c>
      <c r="D40" s="18">
        <f>IF($A40="","",MAX($C82:$F82))</f>
        <v/>
      </c>
      <c r="E40" s="26">
        <f>IF($A40="","",$D40-$C40)</f>
        <v/>
      </c>
      <c r="F40" s="19">
        <f>IF(OR($A40="",$B40=0),"",$D40/$B40)</f>
        <v/>
      </c>
      <c r="G40" s="20">
        <f>IF($B40=0,"",IF(AND($D40&gt;$B40,$C40&lt;=$B40),"NEWLY OVER",IF($D40&gt;$B40,"over",IF(AND($C40&gt;$B40,$D40&lt;=$B40),"eased",""))))</f>
        <v/>
      </c>
    </row>
    <row r="41">
      <c r="A41" s="16">
        <f>IF(Roster!$A37="","",Roster!$A37)</f>
        <v/>
      </c>
      <c r="B41" s="17">
        <f>IF($A41="","",Roster!$D37)</f>
        <v/>
      </c>
      <c r="C41" s="18">
        <f>IF($A41="","",MAX(Capacity!$C40:$F40))</f>
        <v/>
      </c>
      <c r="D41" s="18">
        <f>IF($A41="","",MAX($C83:$F83))</f>
        <v/>
      </c>
      <c r="E41" s="26">
        <f>IF($A41="","",$D41-$C41)</f>
        <v/>
      </c>
      <c r="F41" s="19">
        <f>IF(OR($A41="",$B41=0),"",$D41/$B41)</f>
        <v/>
      </c>
      <c r="G41" s="20">
        <f>IF($B41=0,"",IF(AND($D41&gt;$B41,$C41&lt;=$B41),"NEWLY OVER",IF($D41&gt;$B41,"over",IF(AND($C41&gt;$B41,$D41&lt;=$B41),"eased",""))))</f>
        <v/>
      </c>
    </row>
    <row r="42">
      <c r="A42" s="16">
        <f>IF(Roster!$A38="","",Roster!$A38)</f>
        <v/>
      </c>
      <c r="B42" s="17">
        <f>IF($A42="","",Roster!$D38)</f>
        <v/>
      </c>
      <c r="C42" s="18">
        <f>IF($A42="","",MAX(Capacity!$C41:$F41))</f>
        <v/>
      </c>
      <c r="D42" s="18">
        <f>IF($A42="","",MAX($C84:$F84))</f>
        <v/>
      </c>
      <c r="E42" s="26">
        <f>IF($A42="","",$D42-$C42)</f>
        <v/>
      </c>
      <c r="F42" s="19">
        <f>IF(OR($A42="",$B42=0),"",$D42/$B42)</f>
        <v/>
      </c>
      <c r="G42" s="20">
        <f>IF($B42=0,"",IF(AND($D42&gt;$B42,$C42&lt;=$B42),"NEWLY OVER",IF($D42&gt;$B42,"over",IF(AND($C42&gt;$B42,$D42&lt;=$B42),"eased",""))))</f>
        <v/>
      </c>
    </row>
    <row r="43">
      <c r="A43" s="16">
        <f>IF(Roster!$A39="","",Roster!$A39)</f>
        <v/>
      </c>
      <c r="B43" s="17">
        <f>IF($A43="","",Roster!$D39)</f>
        <v/>
      </c>
      <c r="C43" s="18">
        <f>IF($A43="","",MAX(Capacity!$C42:$F42))</f>
        <v/>
      </c>
      <c r="D43" s="18">
        <f>IF($A43="","",MAX($C85:$F85))</f>
        <v/>
      </c>
      <c r="E43" s="26">
        <f>IF($A43="","",$D43-$C43)</f>
        <v/>
      </c>
      <c r="F43" s="19">
        <f>IF(OR($A43="",$B43=0),"",$D43/$B43)</f>
        <v/>
      </c>
      <c r="G43" s="20">
        <f>IF($B43=0,"",IF(AND($D43&gt;$B43,$C43&lt;=$B43),"NEWLY OVER",IF($D43&gt;$B43,"over",IF(AND($C43&gt;$B43,$D43&lt;=$B43),"eased",""))))</f>
        <v/>
      </c>
    </row>
    <row r="44">
      <c r="A44" s="16">
        <f>IF(Roster!$A40="","",Roster!$A40)</f>
        <v/>
      </c>
      <c r="B44" s="17">
        <f>IF($A44="","",Roster!$D40)</f>
        <v/>
      </c>
      <c r="C44" s="18">
        <f>IF($A44="","",MAX(Capacity!$C43:$F43))</f>
        <v/>
      </c>
      <c r="D44" s="18">
        <f>IF($A44="","",MAX($C86:$F86))</f>
        <v/>
      </c>
      <c r="E44" s="26">
        <f>IF($A44="","",$D44-$C44)</f>
        <v/>
      </c>
      <c r="F44" s="19">
        <f>IF(OR($A44="",$B44=0),"",$D44/$B44)</f>
        <v/>
      </c>
      <c r="G44" s="20">
        <f>IF($B44=0,"",IF(AND($D44&gt;$B44,$C44&lt;=$B44),"NEWLY OVER",IF($D44&gt;$B44,"over",IF(AND($C44&gt;$B44,$D44&lt;=$B44),"eased",""))))</f>
        <v/>
      </c>
    </row>
    <row r="45"/>
    <row r="46">
      <c r="A46" s="25" t="inlineStr">
        <is>
          <t>2) Scenario capacity heatmap (person x week, with overrides applied)</t>
        </is>
      </c>
    </row>
    <row r="47">
      <c r="A47" s="7" t="inlineStr">
        <is>
          <t>Person</t>
        </is>
      </c>
      <c r="B47" s="7" t="inlineStr">
        <is>
          <t>Cap</t>
        </is>
      </c>
      <c r="C47" s="8">
        <f>Settings!$B$3</f>
        <v/>
      </c>
      <c r="D47" s="8">
        <f>C47+7</f>
        <v/>
      </c>
      <c r="E47" s="8">
        <f>D47+7</f>
        <v/>
      </c>
      <c r="F47" s="8">
        <f>E47+7</f>
        <v/>
      </c>
      <c r="G47" s="8">
        <f>F47+7</f>
        <v/>
      </c>
      <c r="H47" s="8">
        <f>G47+7</f>
        <v/>
      </c>
      <c r="I47" s="8">
        <f>H47+7</f>
        <v/>
      </c>
      <c r="J47" s="8">
        <f>I47+7</f>
        <v/>
      </c>
      <c r="K47" s="8">
        <f>J47+7</f>
        <v/>
      </c>
      <c r="L47" s="8">
        <f>K47+7</f>
        <v/>
      </c>
      <c r="M47" s="8">
        <f>L47+7</f>
        <v/>
      </c>
      <c r="N47" s="8">
        <f>M47+7</f>
        <v/>
      </c>
      <c r="O47" s="8">
        <f>N47+7</f>
        <v/>
      </c>
      <c r="P47" s="8">
        <f>O47+7</f>
        <v/>
      </c>
      <c r="Q47" s="8">
        <f>P47+7</f>
        <v/>
      </c>
      <c r="R47" s="8">
        <f>Q47+7</f>
        <v/>
      </c>
      <c r="S47" s="8">
        <f>R47+7</f>
        <v/>
      </c>
      <c r="T47" s="8">
        <f>S47+7</f>
        <v/>
      </c>
      <c r="U47" s="8">
        <f>T47+7</f>
        <v/>
      </c>
      <c r="V47" s="8">
        <f>U47+7</f>
        <v/>
      </c>
      <c r="W47" s="8">
        <f>V47+7</f>
        <v/>
      </c>
      <c r="X47" s="8">
        <f>W47+7</f>
        <v/>
      </c>
      <c r="Y47" s="8">
        <f>X47+7</f>
        <v/>
      </c>
      <c r="Z47" s="8">
        <f>Y47+7</f>
        <v/>
      </c>
      <c r="AA47" s="8">
        <f>Z47+7</f>
        <v/>
      </c>
      <c r="AB47" s="8">
        <f>AA47+7</f>
        <v/>
      </c>
    </row>
    <row r="48">
      <c r="A48" s="9">
        <f>IF(Roster!$A2="","",Roster!$A2)</f>
        <v/>
      </c>
      <c r="B48" s="10">
        <f>IF($A48="","",IFERROR(INDEX(Roster!$D$2:$D$40,MATCH($A48,Roster!$A$2:$A$40,0)),""))</f>
        <v/>
      </c>
      <c r="C48" s="11">
        <f>IF($A48="","",SUMIFS(Assignments!$AK$2:$AK$769,Assignments!$A$2:$A$769,$A48,Assignments!$G$2:$G$769,"Active",Assignments!$AI$2:$AI$769,"&lt;="&amp;C$47,Assignments!$AJ$2:$AJ$769,"&gt;="&amp;C$47)+SUMIFS(Assignments!$AN$2:$AN$769,Assignments!$A$2:$A$769,$A48,Assignments!$G$2:$G$769,"Active",Assignments!$AL$2:$AL$769,"&lt;="&amp;C$47,Assignments!$AM$2:$AM$769,"&gt;="&amp;C$47))</f>
        <v/>
      </c>
      <c r="D48" s="11">
        <f>IF($A48="","",SUMIFS(Assignments!$AK$2:$AK$769,Assignments!$A$2:$A$769,$A48,Assignments!$G$2:$G$769,"Active",Assignments!$AI$2:$AI$769,"&lt;="&amp;D$47,Assignments!$AJ$2:$AJ$769,"&gt;="&amp;D$47)+SUMIFS(Assignments!$AN$2:$AN$769,Assignments!$A$2:$A$769,$A48,Assignments!$G$2:$G$769,"Active",Assignments!$AL$2:$AL$769,"&lt;="&amp;D$47,Assignments!$AM$2:$AM$769,"&gt;="&amp;D$47))</f>
        <v/>
      </c>
      <c r="E48" s="11">
        <f>IF($A48="","",SUMIFS(Assignments!$AK$2:$AK$769,Assignments!$A$2:$A$769,$A48,Assignments!$G$2:$G$769,"Active",Assignments!$AI$2:$AI$769,"&lt;="&amp;E$47,Assignments!$AJ$2:$AJ$769,"&gt;="&amp;E$47)+SUMIFS(Assignments!$AN$2:$AN$769,Assignments!$A$2:$A$769,$A48,Assignments!$G$2:$G$769,"Active",Assignments!$AL$2:$AL$769,"&lt;="&amp;E$47,Assignments!$AM$2:$AM$769,"&gt;="&amp;E$47))</f>
        <v/>
      </c>
      <c r="F48" s="11">
        <f>IF($A48="","",SUMIFS(Assignments!$AK$2:$AK$769,Assignments!$A$2:$A$769,$A48,Assignments!$G$2:$G$769,"Active",Assignments!$AI$2:$AI$769,"&lt;="&amp;F$47,Assignments!$AJ$2:$AJ$769,"&gt;="&amp;F$47)+SUMIFS(Assignments!$AN$2:$AN$769,Assignments!$A$2:$A$769,$A48,Assignments!$G$2:$G$769,"Active",Assignments!$AL$2:$AL$769,"&lt;="&amp;F$47,Assignments!$AM$2:$AM$769,"&gt;="&amp;F$47))</f>
        <v/>
      </c>
      <c r="G48" s="11">
        <f>IF($A48="","",SUMIFS(Assignments!$AK$2:$AK$769,Assignments!$A$2:$A$769,$A48,Assignments!$G$2:$G$769,"Active",Assignments!$AI$2:$AI$769,"&lt;="&amp;G$47,Assignments!$AJ$2:$AJ$769,"&gt;="&amp;G$47)+SUMIFS(Assignments!$AN$2:$AN$769,Assignments!$A$2:$A$769,$A48,Assignments!$G$2:$G$769,"Active",Assignments!$AL$2:$AL$769,"&lt;="&amp;G$47,Assignments!$AM$2:$AM$769,"&gt;="&amp;G$47))</f>
        <v/>
      </c>
      <c r="H48" s="11">
        <f>IF($A48="","",SUMIFS(Assignments!$AK$2:$AK$769,Assignments!$A$2:$A$769,$A48,Assignments!$G$2:$G$769,"Active",Assignments!$AI$2:$AI$769,"&lt;="&amp;H$47,Assignments!$AJ$2:$AJ$769,"&gt;="&amp;H$47)+SUMIFS(Assignments!$AN$2:$AN$769,Assignments!$A$2:$A$769,$A48,Assignments!$G$2:$G$769,"Active",Assignments!$AL$2:$AL$769,"&lt;="&amp;H$47,Assignments!$AM$2:$AM$769,"&gt;="&amp;H$47))</f>
        <v/>
      </c>
      <c r="I48" s="11">
        <f>IF($A48="","",SUMIFS(Assignments!$AK$2:$AK$769,Assignments!$A$2:$A$769,$A48,Assignments!$G$2:$G$769,"Active",Assignments!$AI$2:$AI$769,"&lt;="&amp;I$47,Assignments!$AJ$2:$AJ$769,"&gt;="&amp;I$47)+SUMIFS(Assignments!$AN$2:$AN$769,Assignments!$A$2:$A$769,$A48,Assignments!$G$2:$G$769,"Active",Assignments!$AL$2:$AL$769,"&lt;="&amp;I$47,Assignments!$AM$2:$AM$769,"&gt;="&amp;I$47))</f>
        <v/>
      </c>
      <c r="J48" s="11">
        <f>IF($A48="","",SUMIFS(Assignments!$AK$2:$AK$769,Assignments!$A$2:$A$769,$A48,Assignments!$G$2:$G$769,"Active",Assignments!$AI$2:$AI$769,"&lt;="&amp;J$47,Assignments!$AJ$2:$AJ$769,"&gt;="&amp;J$47)+SUMIFS(Assignments!$AN$2:$AN$769,Assignments!$A$2:$A$769,$A48,Assignments!$G$2:$G$769,"Active",Assignments!$AL$2:$AL$769,"&lt;="&amp;J$47,Assignments!$AM$2:$AM$769,"&gt;="&amp;J$47))</f>
        <v/>
      </c>
      <c r="K48" s="11">
        <f>IF($A48="","",SUMIFS(Assignments!$AK$2:$AK$769,Assignments!$A$2:$A$769,$A48,Assignments!$G$2:$G$769,"Active",Assignments!$AI$2:$AI$769,"&lt;="&amp;K$47,Assignments!$AJ$2:$AJ$769,"&gt;="&amp;K$47)+SUMIFS(Assignments!$AN$2:$AN$769,Assignments!$A$2:$A$769,$A48,Assignments!$G$2:$G$769,"Active",Assignments!$AL$2:$AL$769,"&lt;="&amp;K$47,Assignments!$AM$2:$AM$769,"&gt;="&amp;K$47))</f>
        <v/>
      </c>
      <c r="L48" s="11">
        <f>IF($A48="","",SUMIFS(Assignments!$AK$2:$AK$769,Assignments!$A$2:$A$769,$A48,Assignments!$G$2:$G$769,"Active",Assignments!$AI$2:$AI$769,"&lt;="&amp;L$47,Assignments!$AJ$2:$AJ$769,"&gt;="&amp;L$47)+SUMIFS(Assignments!$AN$2:$AN$769,Assignments!$A$2:$A$769,$A48,Assignments!$G$2:$G$769,"Active",Assignments!$AL$2:$AL$769,"&lt;="&amp;L$47,Assignments!$AM$2:$AM$769,"&gt;="&amp;L$47))</f>
        <v/>
      </c>
      <c r="M48" s="11">
        <f>IF($A48="","",SUMIFS(Assignments!$AK$2:$AK$769,Assignments!$A$2:$A$769,$A48,Assignments!$G$2:$G$769,"Active",Assignments!$AI$2:$AI$769,"&lt;="&amp;M$47,Assignments!$AJ$2:$AJ$769,"&gt;="&amp;M$47)+SUMIFS(Assignments!$AN$2:$AN$769,Assignments!$A$2:$A$769,$A48,Assignments!$G$2:$G$769,"Active",Assignments!$AL$2:$AL$769,"&lt;="&amp;M$47,Assignments!$AM$2:$AM$769,"&gt;="&amp;M$47))</f>
        <v/>
      </c>
      <c r="N48" s="11">
        <f>IF($A48="","",SUMIFS(Assignments!$AK$2:$AK$769,Assignments!$A$2:$A$769,$A48,Assignments!$G$2:$G$769,"Active",Assignments!$AI$2:$AI$769,"&lt;="&amp;N$47,Assignments!$AJ$2:$AJ$769,"&gt;="&amp;N$47)+SUMIFS(Assignments!$AN$2:$AN$769,Assignments!$A$2:$A$769,$A48,Assignments!$G$2:$G$769,"Active",Assignments!$AL$2:$AL$769,"&lt;="&amp;N$47,Assignments!$AM$2:$AM$769,"&gt;="&amp;N$47))</f>
        <v/>
      </c>
      <c r="O48" s="11">
        <f>IF($A48="","",SUMIFS(Assignments!$AK$2:$AK$769,Assignments!$A$2:$A$769,$A48,Assignments!$G$2:$G$769,"Active",Assignments!$AI$2:$AI$769,"&lt;="&amp;O$47,Assignments!$AJ$2:$AJ$769,"&gt;="&amp;O$47)+SUMIFS(Assignments!$AN$2:$AN$769,Assignments!$A$2:$A$769,$A48,Assignments!$G$2:$G$769,"Active",Assignments!$AL$2:$AL$769,"&lt;="&amp;O$47,Assignments!$AM$2:$AM$769,"&gt;="&amp;O$47))</f>
        <v/>
      </c>
      <c r="P48" s="11">
        <f>IF($A48="","",SUMIFS(Assignments!$AK$2:$AK$769,Assignments!$A$2:$A$769,$A48,Assignments!$G$2:$G$769,"Active",Assignments!$AI$2:$AI$769,"&lt;="&amp;P$47,Assignments!$AJ$2:$AJ$769,"&gt;="&amp;P$47)+SUMIFS(Assignments!$AN$2:$AN$769,Assignments!$A$2:$A$769,$A48,Assignments!$G$2:$G$769,"Active",Assignments!$AL$2:$AL$769,"&lt;="&amp;P$47,Assignments!$AM$2:$AM$769,"&gt;="&amp;P$47))</f>
        <v/>
      </c>
      <c r="Q48" s="11">
        <f>IF($A48="","",SUMIFS(Assignments!$AK$2:$AK$769,Assignments!$A$2:$A$769,$A48,Assignments!$G$2:$G$769,"Active",Assignments!$AI$2:$AI$769,"&lt;="&amp;Q$47,Assignments!$AJ$2:$AJ$769,"&gt;="&amp;Q$47)+SUMIFS(Assignments!$AN$2:$AN$769,Assignments!$A$2:$A$769,$A48,Assignments!$G$2:$G$769,"Active",Assignments!$AL$2:$AL$769,"&lt;="&amp;Q$47,Assignments!$AM$2:$AM$769,"&gt;="&amp;Q$47))</f>
        <v/>
      </c>
      <c r="R48" s="11">
        <f>IF($A48="","",SUMIFS(Assignments!$AK$2:$AK$769,Assignments!$A$2:$A$769,$A48,Assignments!$G$2:$G$769,"Active",Assignments!$AI$2:$AI$769,"&lt;="&amp;R$47,Assignments!$AJ$2:$AJ$769,"&gt;="&amp;R$47)+SUMIFS(Assignments!$AN$2:$AN$769,Assignments!$A$2:$A$769,$A48,Assignments!$G$2:$G$769,"Active",Assignments!$AL$2:$AL$769,"&lt;="&amp;R$47,Assignments!$AM$2:$AM$769,"&gt;="&amp;R$47))</f>
        <v/>
      </c>
      <c r="S48" s="11">
        <f>IF($A48="","",SUMIFS(Assignments!$AK$2:$AK$769,Assignments!$A$2:$A$769,$A48,Assignments!$G$2:$G$769,"Active",Assignments!$AI$2:$AI$769,"&lt;="&amp;S$47,Assignments!$AJ$2:$AJ$769,"&gt;="&amp;S$47)+SUMIFS(Assignments!$AN$2:$AN$769,Assignments!$A$2:$A$769,$A48,Assignments!$G$2:$G$769,"Active",Assignments!$AL$2:$AL$769,"&lt;="&amp;S$47,Assignments!$AM$2:$AM$769,"&gt;="&amp;S$47))</f>
        <v/>
      </c>
      <c r="T48" s="11">
        <f>IF($A48="","",SUMIFS(Assignments!$AK$2:$AK$769,Assignments!$A$2:$A$769,$A48,Assignments!$G$2:$G$769,"Active",Assignments!$AI$2:$AI$769,"&lt;="&amp;T$47,Assignments!$AJ$2:$AJ$769,"&gt;="&amp;T$47)+SUMIFS(Assignments!$AN$2:$AN$769,Assignments!$A$2:$A$769,$A48,Assignments!$G$2:$G$769,"Active",Assignments!$AL$2:$AL$769,"&lt;="&amp;T$47,Assignments!$AM$2:$AM$769,"&gt;="&amp;T$47))</f>
        <v/>
      </c>
      <c r="U48" s="11">
        <f>IF($A48="","",SUMIFS(Assignments!$AK$2:$AK$769,Assignments!$A$2:$A$769,$A48,Assignments!$G$2:$G$769,"Active",Assignments!$AI$2:$AI$769,"&lt;="&amp;U$47,Assignments!$AJ$2:$AJ$769,"&gt;="&amp;U$47)+SUMIFS(Assignments!$AN$2:$AN$769,Assignments!$A$2:$A$769,$A48,Assignments!$G$2:$G$769,"Active",Assignments!$AL$2:$AL$769,"&lt;="&amp;U$47,Assignments!$AM$2:$AM$769,"&gt;="&amp;U$47))</f>
        <v/>
      </c>
      <c r="V48" s="11">
        <f>IF($A48="","",SUMIFS(Assignments!$AK$2:$AK$769,Assignments!$A$2:$A$769,$A48,Assignments!$G$2:$G$769,"Active",Assignments!$AI$2:$AI$769,"&lt;="&amp;V$47,Assignments!$AJ$2:$AJ$769,"&gt;="&amp;V$47)+SUMIFS(Assignments!$AN$2:$AN$769,Assignments!$A$2:$A$769,$A48,Assignments!$G$2:$G$769,"Active",Assignments!$AL$2:$AL$769,"&lt;="&amp;V$47,Assignments!$AM$2:$AM$769,"&gt;="&amp;V$47))</f>
        <v/>
      </c>
      <c r="W48" s="11">
        <f>IF($A48="","",SUMIFS(Assignments!$AK$2:$AK$769,Assignments!$A$2:$A$769,$A48,Assignments!$G$2:$G$769,"Active",Assignments!$AI$2:$AI$769,"&lt;="&amp;W$47,Assignments!$AJ$2:$AJ$769,"&gt;="&amp;W$47)+SUMIFS(Assignments!$AN$2:$AN$769,Assignments!$A$2:$A$769,$A48,Assignments!$G$2:$G$769,"Active",Assignments!$AL$2:$AL$769,"&lt;="&amp;W$47,Assignments!$AM$2:$AM$769,"&gt;="&amp;W$47))</f>
        <v/>
      </c>
      <c r="X48" s="11">
        <f>IF($A48="","",SUMIFS(Assignments!$AK$2:$AK$769,Assignments!$A$2:$A$769,$A48,Assignments!$G$2:$G$769,"Active",Assignments!$AI$2:$AI$769,"&lt;="&amp;X$47,Assignments!$AJ$2:$AJ$769,"&gt;="&amp;X$47)+SUMIFS(Assignments!$AN$2:$AN$769,Assignments!$A$2:$A$769,$A48,Assignments!$G$2:$G$769,"Active",Assignments!$AL$2:$AL$769,"&lt;="&amp;X$47,Assignments!$AM$2:$AM$769,"&gt;="&amp;X$47))</f>
        <v/>
      </c>
      <c r="Y48" s="11">
        <f>IF($A48="","",SUMIFS(Assignments!$AK$2:$AK$769,Assignments!$A$2:$A$769,$A48,Assignments!$G$2:$G$769,"Active",Assignments!$AI$2:$AI$769,"&lt;="&amp;Y$47,Assignments!$AJ$2:$AJ$769,"&gt;="&amp;Y$47)+SUMIFS(Assignments!$AN$2:$AN$769,Assignments!$A$2:$A$769,$A48,Assignments!$G$2:$G$769,"Active",Assignments!$AL$2:$AL$769,"&lt;="&amp;Y$47,Assignments!$AM$2:$AM$769,"&gt;="&amp;Y$47))</f>
        <v/>
      </c>
      <c r="Z48" s="11">
        <f>IF($A48="","",SUMIFS(Assignments!$AK$2:$AK$769,Assignments!$A$2:$A$769,$A48,Assignments!$G$2:$G$769,"Active",Assignments!$AI$2:$AI$769,"&lt;="&amp;Z$47,Assignments!$AJ$2:$AJ$769,"&gt;="&amp;Z$47)+SUMIFS(Assignments!$AN$2:$AN$769,Assignments!$A$2:$A$769,$A48,Assignments!$G$2:$G$769,"Active",Assignments!$AL$2:$AL$769,"&lt;="&amp;Z$47,Assignments!$AM$2:$AM$769,"&gt;="&amp;Z$47))</f>
        <v/>
      </c>
      <c r="AA48" s="11">
        <f>IF($A48="","",SUMIFS(Assignments!$AK$2:$AK$769,Assignments!$A$2:$A$769,$A48,Assignments!$G$2:$G$769,"Active",Assignments!$AI$2:$AI$769,"&lt;="&amp;AA$47,Assignments!$AJ$2:$AJ$769,"&gt;="&amp;AA$47)+SUMIFS(Assignments!$AN$2:$AN$769,Assignments!$A$2:$A$769,$A48,Assignments!$G$2:$G$769,"Active",Assignments!$AL$2:$AL$769,"&lt;="&amp;AA$47,Assignments!$AM$2:$AM$769,"&gt;="&amp;AA$47))</f>
        <v/>
      </c>
      <c r="AB48" s="11">
        <f>IF($A48="","",SUMIFS(Assignments!$AK$2:$AK$769,Assignments!$A$2:$A$769,$A48,Assignments!$G$2:$G$769,"Active",Assignments!$AI$2:$AI$769,"&lt;="&amp;AB$47,Assignments!$AJ$2:$AJ$769,"&gt;="&amp;AB$47)+SUMIFS(Assignments!$AN$2:$AN$769,Assignments!$A$2:$A$769,$A48,Assignments!$G$2:$G$769,"Active",Assignments!$AL$2:$AL$769,"&lt;="&amp;AB$47,Assignments!$AM$2:$AM$769,"&gt;="&amp;AB$47))</f>
        <v/>
      </c>
    </row>
    <row r="49">
      <c r="A49" s="9">
        <f>IF(Roster!$A3="","",Roster!$A3)</f>
        <v/>
      </c>
      <c r="B49" s="10">
        <f>IF($A49="","",IFERROR(INDEX(Roster!$D$2:$D$40,MATCH($A49,Roster!$A$2:$A$40,0)),""))</f>
        <v/>
      </c>
      <c r="C49" s="11">
        <f>IF($A49="","",SUMIFS(Assignments!$AK$2:$AK$769,Assignments!$A$2:$A$769,$A49,Assignments!$G$2:$G$769,"Active",Assignments!$AI$2:$AI$769,"&lt;="&amp;C$47,Assignments!$AJ$2:$AJ$769,"&gt;="&amp;C$47)+SUMIFS(Assignments!$AN$2:$AN$769,Assignments!$A$2:$A$769,$A49,Assignments!$G$2:$G$769,"Active",Assignments!$AL$2:$AL$769,"&lt;="&amp;C$47,Assignments!$AM$2:$AM$769,"&gt;="&amp;C$47))</f>
        <v/>
      </c>
      <c r="D49" s="11">
        <f>IF($A49="","",SUMIFS(Assignments!$AK$2:$AK$769,Assignments!$A$2:$A$769,$A49,Assignments!$G$2:$G$769,"Active",Assignments!$AI$2:$AI$769,"&lt;="&amp;D$47,Assignments!$AJ$2:$AJ$769,"&gt;="&amp;D$47)+SUMIFS(Assignments!$AN$2:$AN$769,Assignments!$A$2:$A$769,$A49,Assignments!$G$2:$G$769,"Active",Assignments!$AL$2:$AL$769,"&lt;="&amp;D$47,Assignments!$AM$2:$AM$769,"&gt;="&amp;D$47))</f>
        <v/>
      </c>
      <c r="E49" s="11">
        <f>IF($A49="","",SUMIFS(Assignments!$AK$2:$AK$769,Assignments!$A$2:$A$769,$A49,Assignments!$G$2:$G$769,"Active",Assignments!$AI$2:$AI$769,"&lt;="&amp;E$47,Assignments!$AJ$2:$AJ$769,"&gt;="&amp;E$47)+SUMIFS(Assignments!$AN$2:$AN$769,Assignments!$A$2:$A$769,$A49,Assignments!$G$2:$G$769,"Active",Assignments!$AL$2:$AL$769,"&lt;="&amp;E$47,Assignments!$AM$2:$AM$769,"&gt;="&amp;E$47))</f>
        <v/>
      </c>
      <c r="F49" s="11">
        <f>IF($A49="","",SUMIFS(Assignments!$AK$2:$AK$769,Assignments!$A$2:$A$769,$A49,Assignments!$G$2:$G$769,"Active",Assignments!$AI$2:$AI$769,"&lt;="&amp;F$47,Assignments!$AJ$2:$AJ$769,"&gt;="&amp;F$47)+SUMIFS(Assignments!$AN$2:$AN$769,Assignments!$A$2:$A$769,$A49,Assignments!$G$2:$G$769,"Active",Assignments!$AL$2:$AL$769,"&lt;="&amp;F$47,Assignments!$AM$2:$AM$769,"&gt;="&amp;F$47))</f>
        <v/>
      </c>
      <c r="G49" s="11">
        <f>IF($A49="","",SUMIFS(Assignments!$AK$2:$AK$769,Assignments!$A$2:$A$769,$A49,Assignments!$G$2:$G$769,"Active",Assignments!$AI$2:$AI$769,"&lt;="&amp;G$47,Assignments!$AJ$2:$AJ$769,"&gt;="&amp;G$47)+SUMIFS(Assignments!$AN$2:$AN$769,Assignments!$A$2:$A$769,$A49,Assignments!$G$2:$G$769,"Active",Assignments!$AL$2:$AL$769,"&lt;="&amp;G$47,Assignments!$AM$2:$AM$769,"&gt;="&amp;G$47))</f>
        <v/>
      </c>
      <c r="H49" s="11">
        <f>IF($A49="","",SUMIFS(Assignments!$AK$2:$AK$769,Assignments!$A$2:$A$769,$A49,Assignments!$G$2:$G$769,"Active",Assignments!$AI$2:$AI$769,"&lt;="&amp;H$47,Assignments!$AJ$2:$AJ$769,"&gt;="&amp;H$47)+SUMIFS(Assignments!$AN$2:$AN$769,Assignments!$A$2:$A$769,$A49,Assignments!$G$2:$G$769,"Active",Assignments!$AL$2:$AL$769,"&lt;="&amp;H$47,Assignments!$AM$2:$AM$769,"&gt;="&amp;H$47))</f>
        <v/>
      </c>
      <c r="I49" s="11">
        <f>IF($A49="","",SUMIFS(Assignments!$AK$2:$AK$769,Assignments!$A$2:$A$769,$A49,Assignments!$G$2:$G$769,"Active",Assignments!$AI$2:$AI$769,"&lt;="&amp;I$47,Assignments!$AJ$2:$AJ$769,"&gt;="&amp;I$47)+SUMIFS(Assignments!$AN$2:$AN$769,Assignments!$A$2:$A$769,$A49,Assignments!$G$2:$G$769,"Active",Assignments!$AL$2:$AL$769,"&lt;="&amp;I$47,Assignments!$AM$2:$AM$769,"&gt;="&amp;I$47))</f>
        <v/>
      </c>
      <c r="J49" s="11">
        <f>IF($A49="","",SUMIFS(Assignments!$AK$2:$AK$769,Assignments!$A$2:$A$769,$A49,Assignments!$G$2:$G$769,"Active",Assignments!$AI$2:$AI$769,"&lt;="&amp;J$47,Assignments!$AJ$2:$AJ$769,"&gt;="&amp;J$47)+SUMIFS(Assignments!$AN$2:$AN$769,Assignments!$A$2:$A$769,$A49,Assignments!$G$2:$G$769,"Active",Assignments!$AL$2:$AL$769,"&lt;="&amp;J$47,Assignments!$AM$2:$AM$769,"&gt;="&amp;J$47))</f>
        <v/>
      </c>
      <c r="K49" s="11">
        <f>IF($A49="","",SUMIFS(Assignments!$AK$2:$AK$769,Assignments!$A$2:$A$769,$A49,Assignments!$G$2:$G$769,"Active",Assignments!$AI$2:$AI$769,"&lt;="&amp;K$47,Assignments!$AJ$2:$AJ$769,"&gt;="&amp;K$47)+SUMIFS(Assignments!$AN$2:$AN$769,Assignments!$A$2:$A$769,$A49,Assignments!$G$2:$G$769,"Active",Assignments!$AL$2:$AL$769,"&lt;="&amp;K$47,Assignments!$AM$2:$AM$769,"&gt;="&amp;K$47))</f>
        <v/>
      </c>
      <c r="L49" s="11">
        <f>IF($A49="","",SUMIFS(Assignments!$AK$2:$AK$769,Assignments!$A$2:$A$769,$A49,Assignments!$G$2:$G$769,"Active",Assignments!$AI$2:$AI$769,"&lt;="&amp;L$47,Assignments!$AJ$2:$AJ$769,"&gt;="&amp;L$47)+SUMIFS(Assignments!$AN$2:$AN$769,Assignments!$A$2:$A$769,$A49,Assignments!$G$2:$G$769,"Active",Assignments!$AL$2:$AL$769,"&lt;="&amp;L$47,Assignments!$AM$2:$AM$769,"&gt;="&amp;L$47))</f>
        <v/>
      </c>
      <c r="M49" s="11">
        <f>IF($A49="","",SUMIFS(Assignments!$AK$2:$AK$769,Assignments!$A$2:$A$769,$A49,Assignments!$G$2:$G$769,"Active",Assignments!$AI$2:$AI$769,"&lt;="&amp;M$47,Assignments!$AJ$2:$AJ$769,"&gt;="&amp;M$47)+SUMIFS(Assignments!$AN$2:$AN$769,Assignments!$A$2:$A$769,$A49,Assignments!$G$2:$G$769,"Active",Assignments!$AL$2:$AL$769,"&lt;="&amp;M$47,Assignments!$AM$2:$AM$769,"&gt;="&amp;M$47))</f>
        <v/>
      </c>
      <c r="N49" s="11">
        <f>IF($A49="","",SUMIFS(Assignments!$AK$2:$AK$769,Assignments!$A$2:$A$769,$A49,Assignments!$G$2:$G$769,"Active",Assignments!$AI$2:$AI$769,"&lt;="&amp;N$47,Assignments!$AJ$2:$AJ$769,"&gt;="&amp;N$47)+SUMIFS(Assignments!$AN$2:$AN$769,Assignments!$A$2:$A$769,$A49,Assignments!$G$2:$G$769,"Active",Assignments!$AL$2:$AL$769,"&lt;="&amp;N$47,Assignments!$AM$2:$AM$769,"&gt;="&amp;N$47))</f>
        <v/>
      </c>
      <c r="O49" s="11">
        <f>IF($A49="","",SUMIFS(Assignments!$AK$2:$AK$769,Assignments!$A$2:$A$769,$A49,Assignments!$G$2:$G$769,"Active",Assignments!$AI$2:$AI$769,"&lt;="&amp;O$47,Assignments!$AJ$2:$AJ$769,"&gt;="&amp;O$47)+SUMIFS(Assignments!$AN$2:$AN$769,Assignments!$A$2:$A$769,$A49,Assignments!$G$2:$G$769,"Active",Assignments!$AL$2:$AL$769,"&lt;="&amp;O$47,Assignments!$AM$2:$AM$769,"&gt;="&amp;O$47))</f>
        <v/>
      </c>
      <c r="P49" s="11">
        <f>IF($A49="","",SUMIFS(Assignments!$AK$2:$AK$769,Assignments!$A$2:$A$769,$A49,Assignments!$G$2:$G$769,"Active",Assignments!$AI$2:$AI$769,"&lt;="&amp;P$47,Assignments!$AJ$2:$AJ$769,"&gt;="&amp;P$47)+SUMIFS(Assignments!$AN$2:$AN$769,Assignments!$A$2:$A$769,$A49,Assignments!$G$2:$G$769,"Active",Assignments!$AL$2:$AL$769,"&lt;="&amp;P$47,Assignments!$AM$2:$AM$769,"&gt;="&amp;P$47))</f>
        <v/>
      </c>
      <c r="Q49" s="11">
        <f>IF($A49="","",SUMIFS(Assignments!$AK$2:$AK$769,Assignments!$A$2:$A$769,$A49,Assignments!$G$2:$G$769,"Active",Assignments!$AI$2:$AI$769,"&lt;="&amp;Q$47,Assignments!$AJ$2:$AJ$769,"&gt;="&amp;Q$47)+SUMIFS(Assignments!$AN$2:$AN$769,Assignments!$A$2:$A$769,$A49,Assignments!$G$2:$G$769,"Active",Assignments!$AL$2:$AL$769,"&lt;="&amp;Q$47,Assignments!$AM$2:$AM$769,"&gt;="&amp;Q$47))</f>
        <v/>
      </c>
      <c r="R49" s="11">
        <f>IF($A49="","",SUMIFS(Assignments!$AK$2:$AK$769,Assignments!$A$2:$A$769,$A49,Assignments!$G$2:$G$769,"Active",Assignments!$AI$2:$AI$769,"&lt;="&amp;R$47,Assignments!$AJ$2:$AJ$769,"&gt;="&amp;R$47)+SUMIFS(Assignments!$AN$2:$AN$769,Assignments!$A$2:$A$769,$A49,Assignments!$G$2:$G$769,"Active",Assignments!$AL$2:$AL$769,"&lt;="&amp;R$47,Assignments!$AM$2:$AM$769,"&gt;="&amp;R$47))</f>
        <v/>
      </c>
      <c r="S49" s="11">
        <f>IF($A49="","",SUMIFS(Assignments!$AK$2:$AK$769,Assignments!$A$2:$A$769,$A49,Assignments!$G$2:$G$769,"Active",Assignments!$AI$2:$AI$769,"&lt;="&amp;S$47,Assignments!$AJ$2:$AJ$769,"&gt;="&amp;S$47)+SUMIFS(Assignments!$AN$2:$AN$769,Assignments!$A$2:$A$769,$A49,Assignments!$G$2:$G$769,"Active",Assignments!$AL$2:$AL$769,"&lt;="&amp;S$47,Assignments!$AM$2:$AM$769,"&gt;="&amp;S$47))</f>
        <v/>
      </c>
      <c r="T49" s="11">
        <f>IF($A49="","",SUMIFS(Assignments!$AK$2:$AK$769,Assignments!$A$2:$A$769,$A49,Assignments!$G$2:$G$769,"Active",Assignments!$AI$2:$AI$769,"&lt;="&amp;T$47,Assignments!$AJ$2:$AJ$769,"&gt;="&amp;T$47)+SUMIFS(Assignments!$AN$2:$AN$769,Assignments!$A$2:$A$769,$A49,Assignments!$G$2:$G$769,"Active",Assignments!$AL$2:$AL$769,"&lt;="&amp;T$47,Assignments!$AM$2:$AM$769,"&gt;="&amp;T$47))</f>
        <v/>
      </c>
      <c r="U49" s="11">
        <f>IF($A49="","",SUMIFS(Assignments!$AK$2:$AK$769,Assignments!$A$2:$A$769,$A49,Assignments!$G$2:$G$769,"Active",Assignments!$AI$2:$AI$769,"&lt;="&amp;U$47,Assignments!$AJ$2:$AJ$769,"&gt;="&amp;U$47)+SUMIFS(Assignments!$AN$2:$AN$769,Assignments!$A$2:$A$769,$A49,Assignments!$G$2:$G$769,"Active",Assignments!$AL$2:$AL$769,"&lt;="&amp;U$47,Assignments!$AM$2:$AM$769,"&gt;="&amp;U$47))</f>
        <v/>
      </c>
      <c r="V49" s="11">
        <f>IF($A49="","",SUMIFS(Assignments!$AK$2:$AK$769,Assignments!$A$2:$A$769,$A49,Assignments!$G$2:$G$769,"Active",Assignments!$AI$2:$AI$769,"&lt;="&amp;V$47,Assignments!$AJ$2:$AJ$769,"&gt;="&amp;V$47)+SUMIFS(Assignments!$AN$2:$AN$769,Assignments!$A$2:$A$769,$A49,Assignments!$G$2:$G$769,"Active",Assignments!$AL$2:$AL$769,"&lt;="&amp;V$47,Assignments!$AM$2:$AM$769,"&gt;="&amp;V$47))</f>
        <v/>
      </c>
      <c r="W49" s="11">
        <f>IF($A49="","",SUMIFS(Assignments!$AK$2:$AK$769,Assignments!$A$2:$A$769,$A49,Assignments!$G$2:$G$769,"Active",Assignments!$AI$2:$AI$769,"&lt;="&amp;W$47,Assignments!$AJ$2:$AJ$769,"&gt;="&amp;W$47)+SUMIFS(Assignments!$AN$2:$AN$769,Assignments!$A$2:$A$769,$A49,Assignments!$G$2:$G$769,"Active",Assignments!$AL$2:$AL$769,"&lt;="&amp;W$47,Assignments!$AM$2:$AM$769,"&gt;="&amp;W$47))</f>
        <v/>
      </c>
      <c r="X49" s="11">
        <f>IF($A49="","",SUMIFS(Assignments!$AK$2:$AK$769,Assignments!$A$2:$A$769,$A49,Assignments!$G$2:$G$769,"Active",Assignments!$AI$2:$AI$769,"&lt;="&amp;X$47,Assignments!$AJ$2:$AJ$769,"&gt;="&amp;X$47)+SUMIFS(Assignments!$AN$2:$AN$769,Assignments!$A$2:$A$769,$A49,Assignments!$G$2:$G$769,"Active",Assignments!$AL$2:$AL$769,"&lt;="&amp;X$47,Assignments!$AM$2:$AM$769,"&gt;="&amp;X$47))</f>
        <v/>
      </c>
      <c r="Y49" s="11">
        <f>IF($A49="","",SUMIFS(Assignments!$AK$2:$AK$769,Assignments!$A$2:$A$769,$A49,Assignments!$G$2:$G$769,"Active",Assignments!$AI$2:$AI$769,"&lt;="&amp;Y$47,Assignments!$AJ$2:$AJ$769,"&gt;="&amp;Y$47)+SUMIFS(Assignments!$AN$2:$AN$769,Assignments!$A$2:$A$769,$A49,Assignments!$G$2:$G$769,"Active",Assignments!$AL$2:$AL$769,"&lt;="&amp;Y$47,Assignments!$AM$2:$AM$769,"&gt;="&amp;Y$47))</f>
        <v/>
      </c>
      <c r="Z49" s="11">
        <f>IF($A49="","",SUMIFS(Assignments!$AK$2:$AK$769,Assignments!$A$2:$A$769,$A49,Assignments!$G$2:$G$769,"Active",Assignments!$AI$2:$AI$769,"&lt;="&amp;Z$47,Assignments!$AJ$2:$AJ$769,"&gt;="&amp;Z$47)+SUMIFS(Assignments!$AN$2:$AN$769,Assignments!$A$2:$A$769,$A49,Assignments!$G$2:$G$769,"Active",Assignments!$AL$2:$AL$769,"&lt;="&amp;Z$47,Assignments!$AM$2:$AM$769,"&gt;="&amp;Z$47))</f>
        <v/>
      </c>
      <c r="AA49" s="11">
        <f>IF($A49="","",SUMIFS(Assignments!$AK$2:$AK$769,Assignments!$A$2:$A$769,$A49,Assignments!$G$2:$G$769,"Active",Assignments!$AI$2:$AI$769,"&lt;="&amp;AA$47,Assignments!$AJ$2:$AJ$769,"&gt;="&amp;AA$47)+SUMIFS(Assignments!$AN$2:$AN$769,Assignments!$A$2:$A$769,$A49,Assignments!$G$2:$G$769,"Active",Assignments!$AL$2:$AL$769,"&lt;="&amp;AA$47,Assignments!$AM$2:$AM$769,"&gt;="&amp;AA$47))</f>
        <v/>
      </c>
      <c r="AB49" s="11">
        <f>IF($A49="","",SUMIFS(Assignments!$AK$2:$AK$769,Assignments!$A$2:$A$769,$A49,Assignments!$G$2:$G$769,"Active",Assignments!$AI$2:$AI$769,"&lt;="&amp;AB$47,Assignments!$AJ$2:$AJ$769,"&gt;="&amp;AB$47)+SUMIFS(Assignments!$AN$2:$AN$769,Assignments!$A$2:$A$769,$A49,Assignments!$G$2:$G$769,"Active",Assignments!$AL$2:$AL$769,"&lt;="&amp;AB$47,Assignments!$AM$2:$AM$769,"&gt;="&amp;AB$47))</f>
        <v/>
      </c>
    </row>
    <row r="50">
      <c r="A50" s="9">
        <f>IF(Roster!$A4="","",Roster!$A4)</f>
        <v/>
      </c>
      <c r="B50" s="10">
        <f>IF($A50="","",IFERROR(INDEX(Roster!$D$2:$D$40,MATCH($A50,Roster!$A$2:$A$40,0)),""))</f>
        <v/>
      </c>
      <c r="C50" s="11">
        <f>IF($A50="","",SUMIFS(Assignments!$AK$2:$AK$769,Assignments!$A$2:$A$769,$A50,Assignments!$G$2:$G$769,"Active",Assignments!$AI$2:$AI$769,"&lt;="&amp;C$47,Assignments!$AJ$2:$AJ$769,"&gt;="&amp;C$47)+SUMIFS(Assignments!$AN$2:$AN$769,Assignments!$A$2:$A$769,$A50,Assignments!$G$2:$G$769,"Active",Assignments!$AL$2:$AL$769,"&lt;="&amp;C$47,Assignments!$AM$2:$AM$769,"&gt;="&amp;C$47))</f>
        <v/>
      </c>
      <c r="D50" s="11">
        <f>IF($A50="","",SUMIFS(Assignments!$AK$2:$AK$769,Assignments!$A$2:$A$769,$A50,Assignments!$G$2:$G$769,"Active",Assignments!$AI$2:$AI$769,"&lt;="&amp;D$47,Assignments!$AJ$2:$AJ$769,"&gt;="&amp;D$47)+SUMIFS(Assignments!$AN$2:$AN$769,Assignments!$A$2:$A$769,$A50,Assignments!$G$2:$G$769,"Active",Assignments!$AL$2:$AL$769,"&lt;="&amp;D$47,Assignments!$AM$2:$AM$769,"&gt;="&amp;D$47))</f>
        <v/>
      </c>
      <c r="E50" s="11">
        <f>IF($A50="","",SUMIFS(Assignments!$AK$2:$AK$769,Assignments!$A$2:$A$769,$A50,Assignments!$G$2:$G$769,"Active",Assignments!$AI$2:$AI$769,"&lt;="&amp;E$47,Assignments!$AJ$2:$AJ$769,"&gt;="&amp;E$47)+SUMIFS(Assignments!$AN$2:$AN$769,Assignments!$A$2:$A$769,$A50,Assignments!$G$2:$G$769,"Active",Assignments!$AL$2:$AL$769,"&lt;="&amp;E$47,Assignments!$AM$2:$AM$769,"&gt;="&amp;E$47))</f>
        <v/>
      </c>
      <c r="F50" s="11">
        <f>IF($A50="","",SUMIFS(Assignments!$AK$2:$AK$769,Assignments!$A$2:$A$769,$A50,Assignments!$G$2:$G$769,"Active",Assignments!$AI$2:$AI$769,"&lt;="&amp;F$47,Assignments!$AJ$2:$AJ$769,"&gt;="&amp;F$47)+SUMIFS(Assignments!$AN$2:$AN$769,Assignments!$A$2:$A$769,$A50,Assignments!$G$2:$G$769,"Active",Assignments!$AL$2:$AL$769,"&lt;="&amp;F$47,Assignments!$AM$2:$AM$769,"&gt;="&amp;F$47))</f>
        <v/>
      </c>
      <c r="G50" s="11">
        <f>IF($A50="","",SUMIFS(Assignments!$AK$2:$AK$769,Assignments!$A$2:$A$769,$A50,Assignments!$G$2:$G$769,"Active",Assignments!$AI$2:$AI$769,"&lt;="&amp;G$47,Assignments!$AJ$2:$AJ$769,"&gt;="&amp;G$47)+SUMIFS(Assignments!$AN$2:$AN$769,Assignments!$A$2:$A$769,$A50,Assignments!$G$2:$G$769,"Active",Assignments!$AL$2:$AL$769,"&lt;="&amp;G$47,Assignments!$AM$2:$AM$769,"&gt;="&amp;G$47))</f>
        <v/>
      </c>
      <c r="H50" s="11">
        <f>IF($A50="","",SUMIFS(Assignments!$AK$2:$AK$769,Assignments!$A$2:$A$769,$A50,Assignments!$G$2:$G$769,"Active",Assignments!$AI$2:$AI$769,"&lt;="&amp;H$47,Assignments!$AJ$2:$AJ$769,"&gt;="&amp;H$47)+SUMIFS(Assignments!$AN$2:$AN$769,Assignments!$A$2:$A$769,$A50,Assignments!$G$2:$G$769,"Active",Assignments!$AL$2:$AL$769,"&lt;="&amp;H$47,Assignments!$AM$2:$AM$769,"&gt;="&amp;H$47))</f>
        <v/>
      </c>
      <c r="I50" s="11">
        <f>IF($A50="","",SUMIFS(Assignments!$AK$2:$AK$769,Assignments!$A$2:$A$769,$A50,Assignments!$G$2:$G$769,"Active",Assignments!$AI$2:$AI$769,"&lt;="&amp;I$47,Assignments!$AJ$2:$AJ$769,"&gt;="&amp;I$47)+SUMIFS(Assignments!$AN$2:$AN$769,Assignments!$A$2:$A$769,$A50,Assignments!$G$2:$G$769,"Active",Assignments!$AL$2:$AL$769,"&lt;="&amp;I$47,Assignments!$AM$2:$AM$769,"&gt;="&amp;I$47))</f>
        <v/>
      </c>
      <c r="J50" s="11">
        <f>IF($A50="","",SUMIFS(Assignments!$AK$2:$AK$769,Assignments!$A$2:$A$769,$A50,Assignments!$G$2:$G$769,"Active",Assignments!$AI$2:$AI$769,"&lt;="&amp;J$47,Assignments!$AJ$2:$AJ$769,"&gt;="&amp;J$47)+SUMIFS(Assignments!$AN$2:$AN$769,Assignments!$A$2:$A$769,$A50,Assignments!$G$2:$G$769,"Active",Assignments!$AL$2:$AL$769,"&lt;="&amp;J$47,Assignments!$AM$2:$AM$769,"&gt;="&amp;J$47))</f>
        <v/>
      </c>
      <c r="K50" s="11">
        <f>IF($A50="","",SUMIFS(Assignments!$AK$2:$AK$769,Assignments!$A$2:$A$769,$A50,Assignments!$G$2:$G$769,"Active",Assignments!$AI$2:$AI$769,"&lt;="&amp;K$47,Assignments!$AJ$2:$AJ$769,"&gt;="&amp;K$47)+SUMIFS(Assignments!$AN$2:$AN$769,Assignments!$A$2:$A$769,$A50,Assignments!$G$2:$G$769,"Active",Assignments!$AL$2:$AL$769,"&lt;="&amp;K$47,Assignments!$AM$2:$AM$769,"&gt;="&amp;K$47))</f>
        <v/>
      </c>
      <c r="L50" s="11">
        <f>IF($A50="","",SUMIFS(Assignments!$AK$2:$AK$769,Assignments!$A$2:$A$769,$A50,Assignments!$G$2:$G$769,"Active",Assignments!$AI$2:$AI$769,"&lt;="&amp;L$47,Assignments!$AJ$2:$AJ$769,"&gt;="&amp;L$47)+SUMIFS(Assignments!$AN$2:$AN$769,Assignments!$A$2:$A$769,$A50,Assignments!$G$2:$G$769,"Active",Assignments!$AL$2:$AL$769,"&lt;="&amp;L$47,Assignments!$AM$2:$AM$769,"&gt;="&amp;L$47))</f>
        <v/>
      </c>
      <c r="M50" s="11">
        <f>IF($A50="","",SUMIFS(Assignments!$AK$2:$AK$769,Assignments!$A$2:$A$769,$A50,Assignments!$G$2:$G$769,"Active",Assignments!$AI$2:$AI$769,"&lt;="&amp;M$47,Assignments!$AJ$2:$AJ$769,"&gt;="&amp;M$47)+SUMIFS(Assignments!$AN$2:$AN$769,Assignments!$A$2:$A$769,$A50,Assignments!$G$2:$G$769,"Active",Assignments!$AL$2:$AL$769,"&lt;="&amp;M$47,Assignments!$AM$2:$AM$769,"&gt;="&amp;M$47))</f>
        <v/>
      </c>
      <c r="N50" s="11">
        <f>IF($A50="","",SUMIFS(Assignments!$AK$2:$AK$769,Assignments!$A$2:$A$769,$A50,Assignments!$G$2:$G$769,"Active",Assignments!$AI$2:$AI$769,"&lt;="&amp;N$47,Assignments!$AJ$2:$AJ$769,"&gt;="&amp;N$47)+SUMIFS(Assignments!$AN$2:$AN$769,Assignments!$A$2:$A$769,$A50,Assignments!$G$2:$G$769,"Active",Assignments!$AL$2:$AL$769,"&lt;="&amp;N$47,Assignments!$AM$2:$AM$769,"&gt;="&amp;N$47))</f>
        <v/>
      </c>
      <c r="O50" s="11">
        <f>IF($A50="","",SUMIFS(Assignments!$AK$2:$AK$769,Assignments!$A$2:$A$769,$A50,Assignments!$G$2:$G$769,"Active",Assignments!$AI$2:$AI$769,"&lt;="&amp;O$47,Assignments!$AJ$2:$AJ$769,"&gt;="&amp;O$47)+SUMIFS(Assignments!$AN$2:$AN$769,Assignments!$A$2:$A$769,$A50,Assignments!$G$2:$G$769,"Active",Assignments!$AL$2:$AL$769,"&lt;="&amp;O$47,Assignments!$AM$2:$AM$769,"&gt;="&amp;O$47))</f>
        <v/>
      </c>
      <c r="P50" s="11">
        <f>IF($A50="","",SUMIFS(Assignments!$AK$2:$AK$769,Assignments!$A$2:$A$769,$A50,Assignments!$G$2:$G$769,"Active",Assignments!$AI$2:$AI$769,"&lt;="&amp;P$47,Assignments!$AJ$2:$AJ$769,"&gt;="&amp;P$47)+SUMIFS(Assignments!$AN$2:$AN$769,Assignments!$A$2:$A$769,$A50,Assignments!$G$2:$G$769,"Active",Assignments!$AL$2:$AL$769,"&lt;="&amp;P$47,Assignments!$AM$2:$AM$769,"&gt;="&amp;P$47))</f>
        <v/>
      </c>
      <c r="Q50" s="11">
        <f>IF($A50="","",SUMIFS(Assignments!$AK$2:$AK$769,Assignments!$A$2:$A$769,$A50,Assignments!$G$2:$G$769,"Active",Assignments!$AI$2:$AI$769,"&lt;="&amp;Q$47,Assignments!$AJ$2:$AJ$769,"&gt;="&amp;Q$47)+SUMIFS(Assignments!$AN$2:$AN$769,Assignments!$A$2:$A$769,$A50,Assignments!$G$2:$G$769,"Active",Assignments!$AL$2:$AL$769,"&lt;="&amp;Q$47,Assignments!$AM$2:$AM$769,"&gt;="&amp;Q$47))</f>
        <v/>
      </c>
      <c r="R50" s="11">
        <f>IF($A50="","",SUMIFS(Assignments!$AK$2:$AK$769,Assignments!$A$2:$A$769,$A50,Assignments!$G$2:$G$769,"Active",Assignments!$AI$2:$AI$769,"&lt;="&amp;R$47,Assignments!$AJ$2:$AJ$769,"&gt;="&amp;R$47)+SUMIFS(Assignments!$AN$2:$AN$769,Assignments!$A$2:$A$769,$A50,Assignments!$G$2:$G$769,"Active",Assignments!$AL$2:$AL$769,"&lt;="&amp;R$47,Assignments!$AM$2:$AM$769,"&gt;="&amp;R$47))</f>
        <v/>
      </c>
      <c r="S50" s="11">
        <f>IF($A50="","",SUMIFS(Assignments!$AK$2:$AK$769,Assignments!$A$2:$A$769,$A50,Assignments!$G$2:$G$769,"Active",Assignments!$AI$2:$AI$769,"&lt;="&amp;S$47,Assignments!$AJ$2:$AJ$769,"&gt;="&amp;S$47)+SUMIFS(Assignments!$AN$2:$AN$769,Assignments!$A$2:$A$769,$A50,Assignments!$G$2:$G$769,"Active",Assignments!$AL$2:$AL$769,"&lt;="&amp;S$47,Assignments!$AM$2:$AM$769,"&gt;="&amp;S$47))</f>
        <v/>
      </c>
      <c r="T50" s="11">
        <f>IF($A50="","",SUMIFS(Assignments!$AK$2:$AK$769,Assignments!$A$2:$A$769,$A50,Assignments!$G$2:$G$769,"Active",Assignments!$AI$2:$AI$769,"&lt;="&amp;T$47,Assignments!$AJ$2:$AJ$769,"&gt;="&amp;T$47)+SUMIFS(Assignments!$AN$2:$AN$769,Assignments!$A$2:$A$769,$A50,Assignments!$G$2:$G$769,"Active",Assignments!$AL$2:$AL$769,"&lt;="&amp;T$47,Assignments!$AM$2:$AM$769,"&gt;="&amp;T$47))</f>
        <v/>
      </c>
      <c r="U50" s="11">
        <f>IF($A50="","",SUMIFS(Assignments!$AK$2:$AK$769,Assignments!$A$2:$A$769,$A50,Assignments!$G$2:$G$769,"Active",Assignments!$AI$2:$AI$769,"&lt;="&amp;U$47,Assignments!$AJ$2:$AJ$769,"&gt;="&amp;U$47)+SUMIFS(Assignments!$AN$2:$AN$769,Assignments!$A$2:$A$769,$A50,Assignments!$G$2:$G$769,"Active",Assignments!$AL$2:$AL$769,"&lt;="&amp;U$47,Assignments!$AM$2:$AM$769,"&gt;="&amp;U$47))</f>
        <v/>
      </c>
      <c r="V50" s="11">
        <f>IF($A50="","",SUMIFS(Assignments!$AK$2:$AK$769,Assignments!$A$2:$A$769,$A50,Assignments!$G$2:$G$769,"Active",Assignments!$AI$2:$AI$769,"&lt;="&amp;V$47,Assignments!$AJ$2:$AJ$769,"&gt;="&amp;V$47)+SUMIFS(Assignments!$AN$2:$AN$769,Assignments!$A$2:$A$769,$A50,Assignments!$G$2:$G$769,"Active",Assignments!$AL$2:$AL$769,"&lt;="&amp;V$47,Assignments!$AM$2:$AM$769,"&gt;="&amp;V$47))</f>
        <v/>
      </c>
      <c r="W50" s="11">
        <f>IF($A50="","",SUMIFS(Assignments!$AK$2:$AK$769,Assignments!$A$2:$A$769,$A50,Assignments!$G$2:$G$769,"Active",Assignments!$AI$2:$AI$769,"&lt;="&amp;W$47,Assignments!$AJ$2:$AJ$769,"&gt;="&amp;W$47)+SUMIFS(Assignments!$AN$2:$AN$769,Assignments!$A$2:$A$769,$A50,Assignments!$G$2:$G$769,"Active",Assignments!$AL$2:$AL$769,"&lt;="&amp;W$47,Assignments!$AM$2:$AM$769,"&gt;="&amp;W$47))</f>
        <v/>
      </c>
      <c r="X50" s="11">
        <f>IF($A50="","",SUMIFS(Assignments!$AK$2:$AK$769,Assignments!$A$2:$A$769,$A50,Assignments!$G$2:$G$769,"Active",Assignments!$AI$2:$AI$769,"&lt;="&amp;X$47,Assignments!$AJ$2:$AJ$769,"&gt;="&amp;X$47)+SUMIFS(Assignments!$AN$2:$AN$769,Assignments!$A$2:$A$769,$A50,Assignments!$G$2:$G$769,"Active",Assignments!$AL$2:$AL$769,"&lt;="&amp;X$47,Assignments!$AM$2:$AM$769,"&gt;="&amp;X$47))</f>
        <v/>
      </c>
      <c r="Y50" s="11">
        <f>IF($A50="","",SUMIFS(Assignments!$AK$2:$AK$769,Assignments!$A$2:$A$769,$A50,Assignments!$G$2:$G$769,"Active",Assignments!$AI$2:$AI$769,"&lt;="&amp;Y$47,Assignments!$AJ$2:$AJ$769,"&gt;="&amp;Y$47)+SUMIFS(Assignments!$AN$2:$AN$769,Assignments!$A$2:$A$769,$A50,Assignments!$G$2:$G$769,"Active",Assignments!$AL$2:$AL$769,"&lt;="&amp;Y$47,Assignments!$AM$2:$AM$769,"&gt;="&amp;Y$47))</f>
        <v/>
      </c>
      <c r="Z50" s="11">
        <f>IF($A50="","",SUMIFS(Assignments!$AK$2:$AK$769,Assignments!$A$2:$A$769,$A50,Assignments!$G$2:$G$769,"Active",Assignments!$AI$2:$AI$769,"&lt;="&amp;Z$47,Assignments!$AJ$2:$AJ$769,"&gt;="&amp;Z$47)+SUMIFS(Assignments!$AN$2:$AN$769,Assignments!$A$2:$A$769,$A50,Assignments!$G$2:$G$769,"Active",Assignments!$AL$2:$AL$769,"&lt;="&amp;Z$47,Assignments!$AM$2:$AM$769,"&gt;="&amp;Z$47))</f>
        <v/>
      </c>
      <c r="AA50" s="11">
        <f>IF($A50="","",SUMIFS(Assignments!$AK$2:$AK$769,Assignments!$A$2:$A$769,$A50,Assignments!$G$2:$G$769,"Active",Assignments!$AI$2:$AI$769,"&lt;="&amp;AA$47,Assignments!$AJ$2:$AJ$769,"&gt;="&amp;AA$47)+SUMIFS(Assignments!$AN$2:$AN$769,Assignments!$A$2:$A$769,$A50,Assignments!$G$2:$G$769,"Active",Assignments!$AL$2:$AL$769,"&lt;="&amp;AA$47,Assignments!$AM$2:$AM$769,"&gt;="&amp;AA$47))</f>
        <v/>
      </c>
      <c r="AB50" s="11">
        <f>IF($A50="","",SUMIFS(Assignments!$AK$2:$AK$769,Assignments!$A$2:$A$769,$A50,Assignments!$G$2:$G$769,"Active",Assignments!$AI$2:$AI$769,"&lt;="&amp;AB$47,Assignments!$AJ$2:$AJ$769,"&gt;="&amp;AB$47)+SUMIFS(Assignments!$AN$2:$AN$769,Assignments!$A$2:$A$769,$A50,Assignments!$G$2:$G$769,"Active",Assignments!$AL$2:$AL$769,"&lt;="&amp;AB$47,Assignments!$AM$2:$AM$769,"&gt;="&amp;AB$47))</f>
        <v/>
      </c>
    </row>
    <row r="51">
      <c r="A51" s="9">
        <f>IF(Roster!$A5="","",Roster!$A5)</f>
        <v/>
      </c>
      <c r="B51" s="10">
        <f>IF($A51="","",IFERROR(INDEX(Roster!$D$2:$D$40,MATCH($A51,Roster!$A$2:$A$40,0)),""))</f>
        <v/>
      </c>
      <c r="C51" s="11">
        <f>IF($A51="","",SUMIFS(Assignments!$AK$2:$AK$769,Assignments!$A$2:$A$769,$A51,Assignments!$G$2:$G$769,"Active",Assignments!$AI$2:$AI$769,"&lt;="&amp;C$47,Assignments!$AJ$2:$AJ$769,"&gt;="&amp;C$47)+SUMIFS(Assignments!$AN$2:$AN$769,Assignments!$A$2:$A$769,$A51,Assignments!$G$2:$G$769,"Active",Assignments!$AL$2:$AL$769,"&lt;="&amp;C$47,Assignments!$AM$2:$AM$769,"&gt;="&amp;C$47))</f>
        <v/>
      </c>
      <c r="D51" s="11">
        <f>IF($A51="","",SUMIFS(Assignments!$AK$2:$AK$769,Assignments!$A$2:$A$769,$A51,Assignments!$G$2:$G$769,"Active",Assignments!$AI$2:$AI$769,"&lt;="&amp;D$47,Assignments!$AJ$2:$AJ$769,"&gt;="&amp;D$47)+SUMIFS(Assignments!$AN$2:$AN$769,Assignments!$A$2:$A$769,$A51,Assignments!$G$2:$G$769,"Active",Assignments!$AL$2:$AL$769,"&lt;="&amp;D$47,Assignments!$AM$2:$AM$769,"&gt;="&amp;D$47))</f>
        <v/>
      </c>
      <c r="E51" s="11">
        <f>IF($A51="","",SUMIFS(Assignments!$AK$2:$AK$769,Assignments!$A$2:$A$769,$A51,Assignments!$G$2:$G$769,"Active",Assignments!$AI$2:$AI$769,"&lt;="&amp;E$47,Assignments!$AJ$2:$AJ$769,"&gt;="&amp;E$47)+SUMIFS(Assignments!$AN$2:$AN$769,Assignments!$A$2:$A$769,$A51,Assignments!$G$2:$G$769,"Active",Assignments!$AL$2:$AL$769,"&lt;="&amp;E$47,Assignments!$AM$2:$AM$769,"&gt;="&amp;E$47))</f>
        <v/>
      </c>
      <c r="F51" s="11">
        <f>IF($A51="","",SUMIFS(Assignments!$AK$2:$AK$769,Assignments!$A$2:$A$769,$A51,Assignments!$G$2:$G$769,"Active",Assignments!$AI$2:$AI$769,"&lt;="&amp;F$47,Assignments!$AJ$2:$AJ$769,"&gt;="&amp;F$47)+SUMIFS(Assignments!$AN$2:$AN$769,Assignments!$A$2:$A$769,$A51,Assignments!$G$2:$G$769,"Active",Assignments!$AL$2:$AL$769,"&lt;="&amp;F$47,Assignments!$AM$2:$AM$769,"&gt;="&amp;F$47))</f>
        <v/>
      </c>
      <c r="G51" s="11">
        <f>IF($A51="","",SUMIFS(Assignments!$AK$2:$AK$769,Assignments!$A$2:$A$769,$A51,Assignments!$G$2:$G$769,"Active",Assignments!$AI$2:$AI$769,"&lt;="&amp;G$47,Assignments!$AJ$2:$AJ$769,"&gt;="&amp;G$47)+SUMIFS(Assignments!$AN$2:$AN$769,Assignments!$A$2:$A$769,$A51,Assignments!$G$2:$G$769,"Active",Assignments!$AL$2:$AL$769,"&lt;="&amp;G$47,Assignments!$AM$2:$AM$769,"&gt;="&amp;G$47))</f>
        <v/>
      </c>
      <c r="H51" s="11">
        <f>IF($A51="","",SUMIFS(Assignments!$AK$2:$AK$769,Assignments!$A$2:$A$769,$A51,Assignments!$G$2:$G$769,"Active",Assignments!$AI$2:$AI$769,"&lt;="&amp;H$47,Assignments!$AJ$2:$AJ$769,"&gt;="&amp;H$47)+SUMIFS(Assignments!$AN$2:$AN$769,Assignments!$A$2:$A$769,$A51,Assignments!$G$2:$G$769,"Active",Assignments!$AL$2:$AL$769,"&lt;="&amp;H$47,Assignments!$AM$2:$AM$769,"&gt;="&amp;H$47))</f>
        <v/>
      </c>
      <c r="I51" s="11">
        <f>IF($A51="","",SUMIFS(Assignments!$AK$2:$AK$769,Assignments!$A$2:$A$769,$A51,Assignments!$G$2:$G$769,"Active",Assignments!$AI$2:$AI$769,"&lt;="&amp;I$47,Assignments!$AJ$2:$AJ$769,"&gt;="&amp;I$47)+SUMIFS(Assignments!$AN$2:$AN$769,Assignments!$A$2:$A$769,$A51,Assignments!$G$2:$G$769,"Active",Assignments!$AL$2:$AL$769,"&lt;="&amp;I$47,Assignments!$AM$2:$AM$769,"&gt;="&amp;I$47))</f>
        <v/>
      </c>
      <c r="J51" s="11">
        <f>IF($A51="","",SUMIFS(Assignments!$AK$2:$AK$769,Assignments!$A$2:$A$769,$A51,Assignments!$G$2:$G$769,"Active",Assignments!$AI$2:$AI$769,"&lt;="&amp;J$47,Assignments!$AJ$2:$AJ$769,"&gt;="&amp;J$47)+SUMIFS(Assignments!$AN$2:$AN$769,Assignments!$A$2:$A$769,$A51,Assignments!$G$2:$G$769,"Active",Assignments!$AL$2:$AL$769,"&lt;="&amp;J$47,Assignments!$AM$2:$AM$769,"&gt;="&amp;J$47))</f>
        <v/>
      </c>
      <c r="K51" s="11">
        <f>IF($A51="","",SUMIFS(Assignments!$AK$2:$AK$769,Assignments!$A$2:$A$769,$A51,Assignments!$G$2:$G$769,"Active",Assignments!$AI$2:$AI$769,"&lt;="&amp;K$47,Assignments!$AJ$2:$AJ$769,"&gt;="&amp;K$47)+SUMIFS(Assignments!$AN$2:$AN$769,Assignments!$A$2:$A$769,$A51,Assignments!$G$2:$G$769,"Active",Assignments!$AL$2:$AL$769,"&lt;="&amp;K$47,Assignments!$AM$2:$AM$769,"&gt;="&amp;K$47))</f>
        <v/>
      </c>
      <c r="L51" s="11">
        <f>IF($A51="","",SUMIFS(Assignments!$AK$2:$AK$769,Assignments!$A$2:$A$769,$A51,Assignments!$G$2:$G$769,"Active",Assignments!$AI$2:$AI$769,"&lt;="&amp;L$47,Assignments!$AJ$2:$AJ$769,"&gt;="&amp;L$47)+SUMIFS(Assignments!$AN$2:$AN$769,Assignments!$A$2:$A$769,$A51,Assignments!$G$2:$G$769,"Active",Assignments!$AL$2:$AL$769,"&lt;="&amp;L$47,Assignments!$AM$2:$AM$769,"&gt;="&amp;L$47))</f>
        <v/>
      </c>
      <c r="M51" s="11">
        <f>IF($A51="","",SUMIFS(Assignments!$AK$2:$AK$769,Assignments!$A$2:$A$769,$A51,Assignments!$G$2:$G$769,"Active",Assignments!$AI$2:$AI$769,"&lt;="&amp;M$47,Assignments!$AJ$2:$AJ$769,"&gt;="&amp;M$47)+SUMIFS(Assignments!$AN$2:$AN$769,Assignments!$A$2:$A$769,$A51,Assignments!$G$2:$G$769,"Active",Assignments!$AL$2:$AL$769,"&lt;="&amp;M$47,Assignments!$AM$2:$AM$769,"&gt;="&amp;M$47))</f>
        <v/>
      </c>
      <c r="N51" s="11">
        <f>IF($A51="","",SUMIFS(Assignments!$AK$2:$AK$769,Assignments!$A$2:$A$769,$A51,Assignments!$G$2:$G$769,"Active",Assignments!$AI$2:$AI$769,"&lt;="&amp;N$47,Assignments!$AJ$2:$AJ$769,"&gt;="&amp;N$47)+SUMIFS(Assignments!$AN$2:$AN$769,Assignments!$A$2:$A$769,$A51,Assignments!$G$2:$G$769,"Active",Assignments!$AL$2:$AL$769,"&lt;="&amp;N$47,Assignments!$AM$2:$AM$769,"&gt;="&amp;N$47))</f>
        <v/>
      </c>
      <c r="O51" s="11">
        <f>IF($A51="","",SUMIFS(Assignments!$AK$2:$AK$769,Assignments!$A$2:$A$769,$A51,Assignments!$G$2:$G$769,"Active",Assignments!$AI$2:$AI$769,"&lt;="&amp;O$47,Assignments!$AJ$2:$AJ$769,"&gt;="&amp;O$47)+SUMIFS(Assignments!$AN$2:$AN$769,Assignments!$A$2:$A$769,$A51,Assignments!$G$2:$G$769,"Active",Assignments!$AL$2:$AL$769,"&lt;="&amp;O$47,Assignments!$AM$2:$AM$769,"&gt;="&amp;O$47))</f>
        <v/>
      </c>
      <c r="P51" s="11">
        <f>IF($A51="","",SUMIFS(Assignments!$AK$2:$AK$769,Assignments!$A$2:$A$769,$A51,Assignments!$G$2:$G$769,"Active",Assignments!$AI$2:$AI$769,"&lt;="&amp;P$47,Assignments!$AJ$2:$AJ$769,"&gt;="&amp;P$47)+SUMIFS(Assignments!$AN$2:$AN$769,Assignments!$A$2:$A$769,$A51,Assignments!$G$2:$G$769,"Active",Assignments!$AL$2:$AL$769,"&lt;="&amp;P$47,Assignments!$AM$2:$AM$769,"&gt;="&amp;P$47))</f>
        <v/>
      </c>
      <c r="Q51" s="11">
        <f>IF($A51="","",SUMIFS(Assignments!$AK$2:$AK$769,Assignments!$A$2:$A$769,$A51,Assignments!$G$2:$G$769,"Active",Assignments!$AI$2:$AI$769,"&lt;="&amp;Q$47,Assignments!$AJ$2:$AJ$769,"&gt;="&amp;Q$47)+SUMIFS(Assignments!$AN$2:$AN$769,Assignments!$A$2:$A$769,$A51,Assignments!$G$2:$G$769,"Active",Assignments!$AL$2:$AL$769,"&lt;="&amp;Q$47,Assignments!$AM$2:$AM$769,"&gt;="&amp;Q$47))</f>
        <v/>
      </c>
      <c r="R51" s="11">
        <f>IF($A51="","",SUMIFS(Assignments!$AK$2:$AK$769,Assignments!$A$2:$A$769,$A51,Assignments!$G$2:$G$769,"Active",Assignments!$AI$2:$AI$769,"&lt;="&amp;R$47,Assignments!$AJ$2:$AJ$769,"&gt;="&amp;R$47)+SUMIFS(Assignments!$AN$2:$AN$769,Assignments!$A$2:$A$769,$A51,Assignments!$G$2:$G$769,"Active",Assignments!$AL$2:$AL$769,"&lt;="&amp;R$47,Assignments!$AM$2:$AM$769,"&gt;="&amp;R$47))</f>
        <v/>
      </c>
      <c r="S51" s="11">
        <f>IF($A51="","",SUMIFS(Assignments!$AK$2:$AK$769,Assignments!$A$2:$A$769,$A51,Assignments!$G$2:$G$769,"Active",Assignments!$AI$2:$AI$769,"&lt;="&amp;S$47,Assignments!$AJ$2:$AJ$769,"&gt;="&amp;S$47)+SUMIFS(Assignments!$AN$2:$AN$769,Assignments!$A$2:$A$769,$A51,Assignments!$G$2:$G$769,"Active",Assignments!$AL$2:$AL$769,"&lt;="&amp;S$47,Assignments!$AM$2:$AM$769,"&gt;="&amp;S$47))</f>
        <v/>
      </c>
      <c r="T51" s="11">
        <f>IF($A51="","",SUMIFS(Assignments!$AK$2:$AK$769,Assignments!$A$2:$A$769,$A51,Assignments!$G$2:$G$769,"Active",Assignments!$AI$2:$AI$769,"&lt;="&amp;T$47,Assignments!$AJ$2:$AJ$769,"&gt;="&amp;T$47)+SUMIFS(Assignments!$AN$2:$AN$769,Assignments!$A$2:$A$769,$A51,Assignments!$G$2:$G$769,"Active",Assignments!$AL$2:$AL$769,"&lt;="&amp;T$47,Assignments!$AM$2:$AM$769,"&gt;="&amp;T$47))</f>
        <v/>
      </c>
      <c r="U51" s="11">
        <f>IF($A51="","",SUMIFS(Assignments!$AK$2:$AK$769,Assignments!$A$2:$A$769,$A51,Assignments!$G$2:$G$769,"Active",Assignments!$AI$2:$AI$769,"&lt;="&amp;U$47,Assignments!$AJ$2:$AJ$769,"&gt;="&amp;U$47)+SUMIFS(Assignments!$AN$2:$AN$769,Assignments!$A$2:$A$769,$A51,Assignments!$G$2:$G$769,"Active",Assignments!$AL$2:$AL$769,"&lt;="&amp;U$47,Assignments!$AM$2:$AM$769,"&gt;="&amp;U$47))</f>
        <v/>
      </c>
      <c r="V51" s="11">
        <f>IF($A51="","",SUMIFS(Assignments!$AK$2:$AK$769,Assignments!$A$2:$A$769,$A51,Assignments!$G$2:$G$769,"Active",Assignments!$AI$2:$AI$769,"&lt;="&amp;V$47,Assignments!$AJ$2:$AJ$769,"&gt;="&amp;V$47)+SUMIFS(Assignments!$AN$2:$AN$769,Assignments!$A$2:$A$769,$A51,Assignments!$G$2:$G$769,"Active",Assignments!$AL$2:$AL$769,"&lt;="&amp;V$47,Assignments!$AM$2:$AM$769,"&gt;="&amp;V$47))</f>
        <v/>
      </c>
      <c r="W51" s="11">
        <f>IF($A51="","",SUMIFS(Assignments!$AK$2:$AK$769,Assignments!$A$2:$A$769,$A51,Assignments!$G$2:$G$769,"Active",Assignments!$AI$2:$AI$769,"&lt;="&amp;W$47,Assignments!$AJ$2:$AJ$769,"&gt;="&amp;W$47)+SUMIFS(Assignments!$AN$2:$AN$769,Assignments!$A$2:$A$769,$A51,Assignments!$G$2:$G$769,"Active",Assignments!$AL$2:$AL$769,"&lt;="&amp;W$47,Assignments!$AM$2:$AM$769,"&gt;="&amp;W$47))</f>
        <v/>
      </c>
      <c r="X51" s="11">
        <f>IF($A51="","",SUMIFS(Assignments!$AK$2:$AK$769,Assignments!$A$2:$A$769,$A51,Assignments!$G$2:$G$769,"Active",Assignments!$AI$2:$AI$769,"&lt;="&amp;X$47,Assignments!$AJ$2:$AJ$769,"&gt;="&amp;X$47)+SUMIFS(Assignments!$AN$2:$AN$769,Assignments!$A$2:$A$769,$A51,Assignments!$G$2:$G$769,"Active",Assignments!$AL$2:$AL$769,"&lt;="&amp;X$47,Assignments!$AM$2:$AM$769,"&gt;="&amp;X$47))</f>
        <v/>
      </c>
      <c r="Y51" s="11">
        <f>IF($A51="","",SUMIFS(Assignments!$AK$2:$AK$769,Assignments!$A$2:$A$769,$A51,Assignments!$G$2:$G$769,"Active",Assignments!$AI$2:$AI$769,"&lt;="&amp;Y$47,Assignments!$AJ$2:$AJ$769,"&gt;="&amp;Y$47)+SUMIFS(Assignments!$AN$2:$AN$769,Assignments!$A$2:$A$769,$A51,Assignments!$G$2:$G$769,"Active",Assignments!$AL$2:$AL$769,"&lt;="&amp;Y$47,Assignments!$AM$2:$AM$769,"&gt;="&amp;Y$47))</f>
        <v/>
      </c>
      <c r="Z51" s="11">
        <f>IF($A51="","",SUMIFS(Assignments!$AK$2:$AK$769,Assignments!$A$2:$A$769,$A51,Assignments!$G$2:$G$769,"Active",Assignments!$AI$2:$AI$769,"&lt;="&amp;Z$47,Assignments!$AJ$2:$AJ$769,"&gt;="&amp;Z$47)+SUMIFS(Assignments!$AN$2:$AN$769,Assignments!$A$2:$A$769,$A51,Assignments!$G$2:$G$769,"Active",Assignments!$AL$2:$AL$769,"&lt;="&amp;Z$47,Assignments!$AM$2:$AM$769,"&gt;="&amp;Z$47))</f>
        <v/>
      </c>
      <c r="AA51" s="11">
        <f>IF($A51="","",SUMIFS(Assignments!$AK$2:$AK$769,Assignments!$A$2:$A$769,$A51,Assignments!$G$2:$G$769,"Active",Assignments!$AI$2:$AI$769,"&lt;="&amp;AA$47,Assignments!$AJ$2:$AJ$769,"&gt;="&amp;AA$47)+SUMIFS(Assignments!$AN$2:$AN$769,Assignments!$A$2:$A$769,$A51,Assignments!$G$2:$G$769,"Active",Assignments!$AL$2:$AL$769,"&lt;="&amp;AA$47,Assignments!$AM$2:$AM$769,"&gt;="&amp;AA$47))</f>
        <v/>
      </c>
      <c r="AB51" s="11">
        <f>IF($A51="","",SUMIFS(Assignments!$AK$2:$AK$769,Assignments!$A$2:$A$769,$A51,Assignments!$G$2:$G$769,"Active",Assignments!$AI$2:$AI$769,"&lt;="&amp;AB$47,Assignments!$AJ$2:$AJ$769,"&gt;="&amp;AB$47)+SUMIFS(Assignments!$AN$2:$AN$769,Assignments!$A$2:$A$769,$A51,Assignments!$G$2:$G$769,"Active",Assignments!$AL$2:$AL$769,"&lt;="&amp;AB$47,Assignments!$AM$2:$AM$769,"&gt;="&amp;AB$47))</f>
        <v/>
      </c>
    </row>
    <row r="52">
      <c r="A52" s="9">
        <f>IF(Roster!$A6="","",Roster!$A6)</f>
        <v/>
      </c>
      <c r="B52" s="10">
        <f>IF($A52="","",IFERROR(INDEX(Roster!$D$2:$D$40,MATCH($A52,Roster!$A$2:$A$40,0)),""))</f>
        <v/>
      </c>
      <c r="C52" s="11">
        <f>IF($A52="","",SUMIFS(Assignments!$AK$2:$AK$769,Assignments!$A$2:$A$769,$A52,Assignments!$G$2:$G$769,"Active",Assignments!$AI$2:$AI$769,"&lt;="&amp;C$47,Assignments!$AJ$2:$AJ$769,"&gt;="&amp;C$47)+SUMIFS(Assignments!$AN$2:$AN$769,Assignments!$A$2:$A$769,$A52,Assignments!$G$2:$G$769,"Active",Assignments!$AL$2:$AL$769,"&lt;="&amp;C$47,Assignments!$AM$2:$AM$769,"&gt;="&amp;C$47))</f>
        <v/>
      </c>
      <c r="D52" s="11">
        <f>IF($A52="","",SUMIFS(Assignments!$AK$2:$AK$769,Assignments!$A$2:$A$769,$A52,Assignments!$G$2:$G$769,"Active",Assignments!$AI$2:$AI$769,"&lt;="&amp;D$47,Assignments!$AJ$2:$AJ$769,"&gt;="&amp;D$47)+SUMIFS(Assignments!$AN$2:$AN$769,Assignments!$A$2:$A$769,$A52,Assignments!$G$2:$G$769,"Active",Assignments!$AL$2:$AL$769,"&lt;="&amp;D$47,Assignments!$AM$2:$AM$769,"&gt;="&amp;D$47))</f>
        <v/>
      </c>
      <c r="E52" s="11">
        <f>IF($A52="","",SUMIFS(Assignments!$AK$2:$AK$769,Assignments!$A$2:$A$769,$A52,Assignments!$G$2:$G$769,"Active",Assignments!$AI$2:$AI$769,"&lt;="&amp;E$47,Assignments!$AJ$2:$AJ$769,"&gt;="&amp;E$47)+SUMIFS(Assignments!$AN$2:$AN$769,Assignments!$A$2:$A$769,$A52,Assignments!$G$2:$G$769,"Active",Assignments!$AL$2:$AL$769,"&lt;="&amp;E$47,Assignments!$AM$2:$AM$769,"&gt;="&amp;E$47))</f>
        <v/>
      </c>
      <c r="F52" s="11">
        <f>IF($A52="","",SUMIFS(Assignments!$AK$2:$AK$769,Assignments!$A$2:$A$769,$A52,Assignments!$G$2:$G$769,"Active",Assignments!$AI$2:$AI$769,"&lt;="&amp;F$47,Assignments!$AJ$2:$AJ$769,"&gt;="&amp;F$47)+SUMIFS(Assignments!$AN$2:$AN$769,Assignments!$A$2:$A$769,$A52,Assignments!$G$2:$G$769,"Active",Assignments!$AL$2:$AL$769,"&lt;="&amp;F$47,Assignments!$AM$2:$AM$769,"&gt;="&amp;F$47))</f>
        <v/>
      </c>
      <c r="G52" s="11">
        <f>IF($A52="","",SUMIFS(Assignments!$AK$2:$AK$769,Assignments!$A$2:$A$769,$A52,Assignments!$G$2:$G$769,"Active",Assignments!$AI$2:$AI$769,"&lt;="&amp;G$47,Assignments!$AJ$2:$AJ$769,"&gt;="&amp;G$47)+SUMIFS(Assignments!$AN$2:$AN$769,Assignments!$A$2:$A$769,$A52,Assignments!$G$2:$G$769,"Active",Assignments!$AL$2:$AL$769,"&lt;="&amp;G$47,Assignments!$AM$2:$AM$769,"&gt;="&amp;G$47))</f>
        <v/>
      </c>
      <c r="H52" s="11">
        <f>IF($A52="","",SUMIFS(Assignments!$AK$2:$AK$769,Assignments!$A$2:$A$769,$A52,Assignments!$G$2:$G$769,"Active",Assignments!$AI$2:$AI$769,"&lt;="&amp;H$47,Assignments!$AJ$2:$AJ$769,"&gt;="&amp;H$47)+SUMIFS(Assignments!$AN$2:$AN$769,Assignments!$A$2:$A$769,$A52,Assignments!$G$2:$G$769,"Active",Assignments!$AL$2:$AL$769,"&lt;="&amp;H$47,Assignments!$AM$2:$AM$769,"&gt;="&amp;H$47))</f>
        <v/>
      </c>
      <c r="I52" s="11">
        <f>IF($A52="","",SUMIFS(Assignments!$AK$2:$AK$769,Assignments!$A$2:$A$769,$A52,Assignments!$G$2:$G$769,"Active",Assignments!$AI$2:$AI$769,"&lt;="&amp;I$47,Assignments!$AJ$2:$AJ$769,"&gt;="&amp;I$47)+SUMIFS(Assignments!$AN$2:$AN$769,Assignments!$A$2:$A$769,$A52,Assignments!$G$2:$G$769,"Active",Assignments!$AL$2:$AL$769,"&lt;="&amp;I$47,Assignments!$AM$2:$AM$769,"&gt;="&amp;I$47))</f>
        <v/>
      </c>
      <c r="J52" s="11">
        <f>IF($A52="","",SUMIFS(Assignments!$AK$2:$AK$769,Assignments!$A$2:$A$769,$A52,Assignments!$G$2:$G$769,"Active",Assignments!$AI$2:$AI$769,"&lt;="&amp;J$47,Assignments!$AJ$2:$AJ$769,"&gt;="&amp;J$47)+SUMIFS(Assignments!$AN$2:$AN$769,Assignments!$A$2:$A$769,$A52,Assignments!$G$2:$G$769,"Active",Assignments!$AL$2:$AL$769,"&lt;="&amp;J$47,Assignments!$AM$2:$AM$769,"&gt;="&amp;J$47))</f>
        <v/>
      </c>
      <c r="K52" s="11">
        <f>IF($A52="","",SUMIFS(Assignments!$AK$2:$AK$769,Assignments!$A$2:$A$769,$A52,Assignments!$G$2:$G$769,"Active",Assignments!$AI$2:$AI$769,"&lt;="&amp;K$47,Assignments!$AJ$2:$AJ$769,"&gt;="&amp;K$47)+SUMIFS(Assignments!$AN$2:$AN$769,Assignments!$A$2:$A$769,$A52,Assignments!$G$2:$G$769,"Active",Assignments!$AL$2:$AL$769,"&lt;="&amp;K$47,Assignments!$AM$2:$AM$769,"&gt;="&amp;K$47))</f>
        <v/>
      </c>
      <c r="L52" s="11">
        <f>IF($A52="","",SUMIFS(Assignments!$AK$2:$AK$769,Assignments!$A$2:$A$769,$A52,Assignments!$G$2:$G$769,"Active",Assignments!$AI$2:$AI$769,"&lt;="&amp;L$47,Assignments!$AJ$2:$AJ$769,"&gt;="&amp;L$47)+SUMIFS(Assignments!$AN$2:$AN$769,Assignments!$A$2:$A$769,$A52,Assignments!$G$2:$G$769,"Active",Assignments!$AL$2:$AL$769,"&lt;="&amp;L$47,Assignments!$AM$2:$AM$769,"&gt;="&amp;L$47))</f>
        <v/>
      </c>
      <c r="M52" s="11">
        <f>IF($A52="","",SUMIFS(Assignments!$AK$2:$AK$769,Assignments!$A$2:$A$769,$A52,Assignments!$G$2:$G$769,"Active",Assignments!$AI$2:$AI$769,"&lt;="&amp;M$47,Assignments!$AJ$2:$AJ$769,"&gt;="&amp;M$47)+SUMIFS(Assignments!$AN$2:$AN$769,Assignments!$A$2:$A$769,$A52,Assignments!$G$2:$G$769,"Active",Assignments!$AL$2:$AL$769,"&lt;="&amp;M$47,Assignments!$AM$2:$AM$769,"&gt;="&amp;M$47))</f>
        <v/>
      </c>
      <c r="N52" s="11">
        <f>IF($A52="","",SUMIFS(Assignments!$AK$2:$AK$769,Assignments!$A$2:$A$769,$A52,Assignments!$G$2:$G$769,"Active",Assignments!$AI$2:$AI$769,"&lt;="&amp;N$47,Assignments!$AJ$2:$AJ$769,"&gt;="&amp;N$47)+SUMIFS(Assignments!$AN$2:$AN$769,Assignments!$A$2:$A$769,$A52,Assignments!$G$2:$G$769,"Active",Assignments!$AL$2:$AL$769,"&lt;="&amp;N$47,Assignments!$AM$2:$AM$769,"&gt;="&amp;N$47))</f>
        <v/>
      </c>
      <c r="O52" s="11">
        <f>IF($A52="","",SUMIFS(Assignments!$AK$2:$AK$769,Assignments!$A$2:$A$769,$A52,Assignments!$G$2:$G$769,"Active",Assignments!$AI$2:$AI$769,"&lt;="&amp;O$47,Assignments!$AJ$2:$AJ$769,"&gt;="&amp;O$47)+SUMIFS(Assignments!$AN$2:$AN$769,Assignments!$A$2:$A$769,$A52,Assignments!$G$2:$G$769,"Active",Assignments!$AL$2:$AL$769,"&lt;="&amp;O$47,Assignments!$AM$2:$AM$769,"&gt;="&amp;O$47))</f>
        <v/>
      </c>
      <c r="P52" s="11">
        <f>IF($A52="","",SUMIFS(Assignments!$AK$2:$AK$769,Assignments!$A$2:$A$769,$A52,Assignments!$G$2:$G$769,"Active",Assignments!$AI$2:$AI$769,"&lt;="&amp;P$47,Assignments!$AJ$2:$AJ$769,"&gt;="&amp;P$47)+SUMIFS(Assignments!$AN$2:$AN$769,Assignments!$A$2:$A$769,$A52,Assignments!$G$2:$G$769,"Active",Assignments!$AL$2:$AL$769,"&lt;="&amp;P$47,Assignments!$AM$2:$AM$769,"&gt;="&amp;P$47))</f>
        <v/>
      </c>
      <c r="Q52" s="11">
        <f>IF($A52="","",SUMIFS(Assignments!$AK$2:$AK$769,Assignments!$A$2:$A$769,$A52,Assignments!$G$2:$G$769,"Active",Assignments!$AI$2:$AI$769,"&lt;="&amp;Q$47,Assignments!$AJ$2:$AJ$769,"&gt;="&amp;Q$47)+SUMIFS(Assignments!$AN$2:$AN$769,Assignments!$A$2:$A$769,$A52,Assignments!$G$2:$G$769,"Active",Assignments!$AL$2:$AL$769,"&lt;="&amp;Q$47,Assignments!$AM$2:$AM$769,"&gt;="&amp;Q$47))</f>
        <v/>
      </c>
      <c r="R52" s="11">
        <f>IF($A52="","",SUMIFS(Assignments!$AK$2:$AK$769,Assignments!$A$2:$A$769,$A52,Assignments!$G$2:$G$769,"Active",Assignments!$AI$2:$AI$769,"&lt;="&amp;R$47,Assignments!$AJ$2:$AJ$769,"&gt;="&amp;R$47)+SUMIFS(Assignments!$AN$2:$AN$769,Assignments!$A$2:$A$769,$A52,Assignments!$G$2:$G$769,"Active",Assignments!$AL$2:$AL$769,"&lt;="&amp;R$47,Assignments!$AM$2:$AM$769,"&gt;="&amp;R$47))</f>
        <v/>
      </c>
      <c r="S52" s="11">
        <f>IF($A52="","",SUMIFS(Assignments!$AK$2:$AK$769,Assignments!$A$2:$A$769,$A52,Assignments!$G$2:$G$769,"Active",Assignments!$AI$2:$AI$769,"&lt;="&amp;S$47,Assignments!$AJ$2:$AJ$769,"&gt;="&amp;S$47)+SUMIFS(Assignments!$AN$2:$AN$769,Assignments!$A$2:$A$769,$A52,Assignments!$G$2:$G$769,"Active",Assignments!$AL$2:$AL$769,"&lt;="&amp;S$47,Assignments!$AM$2:$AM$769,"&gt;="&amp;S$47))</f>
        <v/>
      </c>
      <c r="T52" s="11">
        <f>IF($A52="","",SUMIFS(Assignments!$AK$2:$AK$769,Assignments!$A$2:$A$769,$A52,Assignments!$G$2:$G$769,"Active",Assignments!$AI$2:$AI$769,"&lt;="&amp;T$47,Assignments!$AJ$2:$AJ$769,"&gt;="&amp;T$47)+SUMIFS(Assignments!$AN$2:$AN$769,Assignments!$A$2:$A$769,$A52,Assignments!$G$2:$G$769,"Active",Assignments!$AL$2:$AL$769,"&lt;="&amp;T$47,Assignments!$AM$2:$AM$769,"&gt;="&amp;T$47))</f>
        <v/>
      </c>
      <c r="U52" s="11">
        <f>IF($A52="","",SUMIFS(Assignments!$AK$2:$AK$769,Assignments!$A$2:$A$769,$A52,Assignments!$G$2:$G$769,"Active",Assignments!$AI$2:$AI$769,"&lt;="&amp;U$47,Assignments!$AJ$2:$AJ$769,"&gt;="&amp;U$47)+SUMIFS(Assignments!$AN$2:$AN$769,Assignments!$A$2:$A$769,$A52,Assignments!$G$2:$G$769,"Active",Assignments!$AL$2:$AL$769,"&lt;="&amp;U$47,Assignments!$AM$2:$AM$769,"&gt;="&amp;U$47))</f>
        <v/>
      </c>
      <c r="V52" s="11">
        <f>IF($A52="","",SUMIFS(Assignments!$AK$2:$AK$769,Assignments!$A$2:$A$769,$A52,Assignments!$G$2:$G$769,"Active",Assignments!$AI$2:$AI$769,"&lt;="&amp;V$47,Assignments!$AJ$2:$AJ$769,"&gt;="&amp;V$47)+SUMIFS(Assignments!$AN$2:$AN$769,Assignments!$A$2:$A$769,$A52,Assignments!$G$2:$G$769,"Active",Assignments!$AL$2:$AL$769,"&lt;="&amp;V$47,Assignments!$AM$2:$AM$769,"&gt;="&amp;V$47))</f>
        <v/>
      </c>
      <c r="W52" s="11">
        <f>IF($A52="","",SUMIFS(Assignments!$AK$2:$AK$769,Assignments!$A$2:$A$769,$A52,Assignments!$G$2:$G$769,"Active",Assignments!$AI$2:$AI$769,"&lt;="&amp;W$47,Assignments!$AJ$2:$AJ$769,"&gt;="&amp;W$47)+SUMIFS(Assignments!$AN$2:$AN$769,Assignments!$A$2:$A$769,$A52,Assignments!$G$2:$G$769,"Active",Assignments!$AL$2:$AL$769,"&lt;="&amp;W$47,Assignments!$AM$2:$AM$769,"&gt;="&amp;W$47))</f>
        <v/>
      </c>
      <c r="X52" s="11">
        <f>IF($A52="","",SUMIFS(Assignments!$AK$2:$AK$769,Assignments!$A$2:$A$769,$A52,Assignments!$G$2:$G$769,"Active",Assignments!$AI$2:$AI$769,"&lt;="&amp;X$47,Assignments!$AJ$2:$AJ$769,"&gt;="&amp;X$47)+SUMIFS(Assignments!$AN$2:$AN$769,Assignments!$A$2:$A$769,$A52,Assignments!$G$2:$G$769,"Active",Assignments!$AL$2:$AL$769,"&lt;="&amp;X$47,Assignments!$AM$2:$AM$769,"&gt;="&amp;X$47))</f>
        <v/>
      </c>
      <c r="Y52" s="11">
        <f>IF($A52="","",SUMIFS(Assignments!$AK$2:$AK$769,Assignments!$A$2:$A$769,$A52,Assignments!$G$2:$G$769,"Active",Assignments!$AI$2:$AI$769,"&lt;="&amp;Y$47,Assignments!$AJ$2:$AJ$769,"&gt;="&amp;Y$47)+SUMIFS(Assignments!$AN$2:$AN$769,Assignments!$A$2:$A$769,$A52,Assignments!$G$2:$G$769,"Active",Assignments!$AL$2:$AL$769,"&lt;="&amp;Y$47,Assignments!$AM$2:$AM$769,"&gt;="&amp;Y$47))</f>
        <v/>
      </c>
      <c r="Z52" s="11">
        <f>IF($A52="","",SUMIFS(Assignments!$AK$2:$AK$769,Assignments!$A$2:$A$769,$A52,Assignments!$G$2:$G$769,"Active",Assignments!$AI$2:$AI$769,"&lt;="&amp;Z$47,Assignments!$AJ$2:$AJ$769,"&gt;="&amp;Z$47)+SUMIFS(Assignments!$AN$2:$AN$769,Assignments!$A$2:$A$769,$A52,Assignments!$G$2:$G$769,"Active",Assignments!$AL$2:$AL$769,"&lt;="&amp;Z$47,Assignments!$AM$2:$AM$769,"&gt;="&amp;Z$47))</f>
        <v/>
      </c>
      <c r="AA52" s="11">
        <f>IF($A52="","",SUMIFS(Assignments!$AK$2:$AK$769,Assignments!$A$2:$A$769,$A52,Assignments!$G$2:$G$769,"Active",Assignments!$AI$2:$AI$769,"&lt;="&amp;AA$47,Assignments!$AJ$2:$AJ$769,"&gt;="&amp;AA$47)+SUMIFS(Assignments!$AN$2:$AN$769,Assignments!$A$2:$A$769,$A52,Assignments!$G$2:$G$769,"Active",Assignments!$AL$2:$AL$769,"&lt;="&amp;AA$47,Assignments!$AM$2:$AM$769,"&gt;="&amp;AA$47))</f>
        <v/>
      </c>
      <c r="AB52" s="11">
        <f>IF($A52="","",SUMIFS(Assignments!$AK$2:$AK$769,Assignments!$A$2:$A$769,$A52,Assignments!$G$2:$G$769,"Active",Assignments!$AI$2:$AI$769,"&lt;="&amp;AB$47,Assignments!$AJ$2:$AJ$769,"&gt;="&amp;AB$47)+SUMIFS(Assignments!$AN$2:$AN$769,Assignments!$A$2:$A$769,$A52,Assignments!$G$2:$G$769,"Active",Assignments!$AL$2:$AL$769,"&lt;="&amp;AB$47,Assignments!$AM$2:$AM$769,"&gt;="&amp;AB$47))</f>
        <v/>
      </c>
    </row>
    <row r="53">
      <c r="A53" s="9">
        <f>IF(Roster!$A7="","",Roster!$A7)</f>
        <v/>
      </c>
      <c r="B53" s="10">
        <f>IF($A53="","",IFERROR(INDEX(Roster!$D$2:$D$40,MATCH($A53,Roster!$A$2:$A$40,0)),""))</f>
        <v/>
      </c>
      <c r="C53" s="11">
        <f>IF($A53="","",SUMIFS(Assignments!$AK$2:$AK$769,Assignments!$A$2:$A$769,$A53,Assignments!$G$2:$G$769,"Active",Assignments!$AI$2:$AI$769,"&lt;="&amp;C$47,Assignments!$AJ$2:$AJ$769,"&gt;="&amp;C$47)+SUMIFS(Assignments!$AN$2:$AN$769,Assignments!$A$2:$A$769,$A53,Assignments!$G$2:$G$769,"Active",Assignments!$AL$2:$AL$769,"&lt;="&amp;C$47,Assignments!$AM$2:$AM$769,"&gt;="&amp;C$47))</f>
        <v/>
      </c>
      <c r="D53" s="11">
        <f>IF($A53="","",SUMIFS(Assignments!$AK$2:$AK$769,Assignments!$A$2:$A$769,$A53,Assignments!$G$2:$G$769,"Active",Assignments!$AI$2:$AI$769,"&lt;="&amp;D$47,Assignments!$AJ$2:$AJ$769,"&gt;="&amp;D$47)+SUMIFS(Assignments!$AN$2:$AN$769,Assignments!$A$2:$A$769,$A53,Assignments!$G$2:$G$769,"Active",Assignments!$AL$2:$AL$769,"&lt;="&amp;D$47,Assignments!$AM$2:$AM$769,"&gt;="&amp;D$47))</f>
        <v/>
      </c>
      <c r="E53" s="11">
        <f>IF($A53="","",SUMIFS(Assignments!$AK$2:$AK$769,Assignments!$A$2:$A$769,$A53,Assignments!$G$2:$G$769,"Active",Assignments!$AI$2:$AI$769,"&lt;="&amp;E$47,Assignments!$AJ$2:$AJ$769,"&gt;="&amp;E$47)+SUMIFS(Assignments!$AN$2:$AN$769,Assignments!$A$2:$A$769,$A53,Assignments!$G$2:$G$769,"Active",Assignments!$AL$2:$AL$769,"&lt;="&amp;E$47,Assignments!$AM$2:$AM$769,"&gt;="&amp;E$47))</f>
        <v/>
      </c>
      <c r="F53" s="11">
        <f>IF($A53="","",SUMIFS(Assignments!$AK$2:$AK$769,Assignments!$A$2:$A$769,$A53,Assignments!$G$2:$G$769,"Active",Assignments!$AI$2:$AI$769,"&lt;="&amp;F$47,Assignments!$AJ$2:$AJ$769,"&gt;="&amp;F$47)+SUMIFS(Assignments!$AN$2:$AN$769,Assignments!$A$2:$A$769,$A53,Assignments!$G$2:$G$769,"Active",Assignments!$AL$2:$AL$769,"&lt;="&amp;F$47,Assignments!$AM$2:$AM$769,"&gt;="&amp;F$47))</f>
        <v/>
      </c>
      <c r="G53" s="11">
        <f>IF($A53="","",SUMIFS(Assignments!$AK$2:$AK$769,Assignments!$A$2:$A$769,$A53,Assignments!$G$2:$G$769,"Active",Assignments!$AI$2:$AI$769,"&lt;="&amp;G$47,Assignments!$AJ$2:$AJ$769,"&gt;="&amp;G$47)+SUMIFS(Assignments!$AN$2:$AN$769,Assignments!$A$2:$A$769,$A53,Assignments!$G$2:$G$769,"Active",Assignments!$AL$2:$AL$769,"&lt;="&amp;G$47,Assignments!$AM$2:$AM$769,"&gt;="&amp;G$47))</f>
        <v/>
      </c>
      <c r="H53" s="11">
        <f>IF($A53="","",SUMIFS(Assignments!$AK$2:$AK$769,Assignments!$A$2:$A$769,$A53,Assignments!$G$2:$G$769,"Active",Assignments!$AI$2:$AI$769,"&lt;="&amp;H$47,Assignments!$AJ$2:$AJ$769,"&gt;="&amp;H$47)+SUMIFS(Assignments!$AN$2:$AN$769,Assignments!$A$2:$A$769,$A53,Assignments!$G$2:$G$769,"Active",Assignments!$AL$2:$AL$769,"&lt;="&amp;H$47,Assignments!$AM$2:$AM$769,"&gt;="&amp;H$47))</f>
        <v/>
      </c>
      <c r="I53" s="11">
        <f>IF($A53="","",SUMIFS(Assignments!$AK$2:$AK$769,Assignments!$A$2:$A$769,$A53,Assignments!$G$2:$G$769,"Active",Assignments!$AI$2:$AI$769,"&lt;="&amp;I$47,Assignments!$AJ$2:$AJ$769,"&gt;="&amp;I$47)+SUMIFS(Assignments!$AN$2:$AN$769,Assignments!$A$2:$A$769,$A53,Assignments!$G$2:$G$769,"Active",Assignments!$AL$2:$AL$769,"&lt;="&amp;I$47,Assignments!$AM$2:$AM$769,"&gt;="&amp;I$47))</f>
        <v/>
      </c>
      <c r="J53" s="11">
        <f>IF($A53="","",SUMIFS(Assignments!$AK$2:$AK$769,Assignments!$A$2:$A$769,$A53,Assignments!$G$2:$G$769,"Active",Assignments!$AI$2:$AI$769,"&lt;="&amp;J$47,Assignments!$AJ$2:$AJ$769,"&gt;="&amp;J$47)+SUMIFS(Assignments!$AN$2:$AN$769,Assignments!$A$2:$A$769,$A53,Assignments!$G$2:$G$769,"Active",Assignments!$AL$2:$AL$769,"&lt;="&amp;J$47,Assignments!$AM$2:$AM$769,"&gt;="&amp;J$47))</f>
        <v/>
      </c>
      <c r="K53" s="11">
        <f>IF($A53="","",SUMIFS(Assignments!$AK$2:$AK$769,Assignments!$A$2:$A$769,$A53,Assignments!$G$2:$G$769,"Active",Assignments!$AI$2:$AI$769,"&lt;="&amp;K$47,Assignments!$AJ$2:$AJ$769,"&gt;="&amp;K$47)+SUMIFS(Assignments!$AN$2:$AN$769,Assignments!$A$2:$A$769,$A53,Assignments!$G$2:$G$769,"Active",Assignments!$AL$2:$AL$769,"&lt;="&amp;K$47,Assignments!$AM$2:$AM$769,"&gt;="&amp;K$47))</f>
        <v/>
      </c>
      <c r="L53" s="11">
        <f>IF($A53="","",SUMIFS(Assignments!$AK$2:$AK$769,Assignments!$A$2:$A$769,$A53,Assignments!$G$2:$G$769,"Active",Assignments!$AI$2:$AI$769,"&lt;="&amp;L$47,Assignments!$AJ$2:$AJ$769,"&gt;="&amp;L$47)+SUMIFS(Assignments!$AN$2:$AN$769,Assignments!$A$2:$A$769,$A53,Assignments!$G$2:$G$769,"Active",Assignments!$AL$2:$AL$769,"&lt;="&amp;L$47,Assignments!$AM$2:$AM$769,"&gt;="&amp;L$47))</f>
        <v/>
      </c>
      <c r="M53" s="11">
        <f>IF($A53="","",SUMIFS(Assignments!$AK$2:$AK$769,Assignments!$A$2:$A$769,$A53,Assignments!$G$2:$G$769,"Active",Assignments!$AI$2:$AI$769,"&lt;="&amp;M$47,Assignments!$AJ$2:$AJ$769,"&gt;="&amp;M$47)+SUMIFS(Assignments!$AN$2:$AN$769,Assignments!$A$2:$A$769,$A53,Assignments!$G$2:$G$769,"Active",Assignments!$AL$2:$AL$769,"&lt;="&amp;M$47,Assignments!$AM$2:$AM$769,"&gt;="&amp;M$47))</f>
        <v/>
      </c>
      <c r="N53" s="11">
        <f>IF($A53="","",SUMIFS(Assignments!$AK$2:$AK$769,Assignments!$A$2:$A$769,$A53,Assignments!$G$2:$G$769,"Active",Assignments!$AI$2:$AI$769,"&lt;="&amp;N$47,Assignments!$AJ$2:$AJ$769,"&gt;="&amp;N$47)+SUMIFS(Assignments!$AN$2:$AN$769,Assignments!$A$2:$A$769,$A53,Assignments!$G$2:$G$769,"Active",Assignments!$AL$2:$AL$769,"&lt;="&amp;N$47,Assignments!$AM$2:$AM$769,"&gt;="&amp;N$47))</f>
        <v/>
      </c>
      <c r="O53" s="11">
        <f>IF($A53="","",SUMIFS(Assignments!$AK$2:$AK$769,Assignments!$A$2:$A$769,$A53,Assignments!$G$2:$G$769,"Active",Assignments!$AI$2:$AI$769,"&lt;="&amp;O$47,Assignments!$AJ$2:$AJ$769,"&gt;="&amp;O$47)+SUMIFS(Assignments!$AN$2:$AN$769,Assignments!$A$2:$A$769,$A53,Assignments!$G$2:$G$769,"Active",Assignments!$AL$2:$AL$769,"&lt;="&amp;O$47,Assignments!$AM$2:$AM$769,"&gt;="&amp;O$47))</f>
        <v/>
      </c>
      <c r="P53" s="11">
        <f>IF($A53="","",SUMIFS(Assignments!$AK$2:$AK$769,Assignments!$A$2:$A$769,$A53,Assignments!$G$2:$G$769,"Active",Assignments!$AI$2:$AI$769,"&lt;="&amp;P$47,Assignments!$AJ$2:$AJ$769,"&gt;="&amp;P$47)+SUMIFS(Assignments!$AN$2:$AN$769,Assignments!$A$2:$A$769,$A53,Assignments!$G$2:$G$769,"Active",Assignments!$AL$2:$AL$769,"&lt;="&amp;P$47,Assignments!$AM$2:$AM$769,"&gt;="&amp;P$47))</f>
        <v/>
      </c>
      <c r="Q53" s="11">
        <f>IF($A53="","",SUMIFS(Assignments!$AK$2:$AK$769,Assignments!$A$2:$A$769,$A53,Assignments!$G$2:$G$769,"Active",Assignments!$AI$2:$AI$769,"&lt;="&amp;Q$47,Assignments!$AJ$2:$AJ$769,"&gt;="&amp;Q$47)+SUMIFS(Assignments!$AN$2:$AN$769,Assignments!$A$2:$A$769,$A53,Assignments!$G$2:$G$769,"Active",Assignments!$AL$2:$AL$769,"&lt;="&amp;Q$47,Assignments!$AM$2:$AM$769,"&gt;="&amp;Q$47))</f>
        <v/>
      </c>
      <c r="R53" s="11">
        <f>IF($A53="","",SUMIFS(Assignments!$AK$2:$AK$769,Assignments!$A$2:$A$769,$A53,Assignments!$G$2:$G$769,"Active",Assignments!$AI$2:$AI$769,"&lt;="&amp;R$47,Assignments!$AJ$2:$AJ$769,"&gt;="&amp;R$47)+SUMIFS(Assignments!$AN$2:$AN$769,Assignments!$A$2:$A$769,$A53,Assignments!$G$2:$G$769,"Active",Assignments!$AL$2:$AL$769,"&lt;="&amp;R$47,Assignments!$AM$2:$AM$769,"&gt;="&amp;R$47))</f>
        <v/>
      </c>
      <c r="S53" s="11">
        <f>IF($A53="","",SUMIFS(Assignments!$AK$2:$AK$769,Assignments!$A$2:$A$769,$A53,Assignments!$G$2:$G$769,"Active",Assignments!$AI$2:$AI$769,"&lt;="&amp;S$47,Assignments!$AJ$2:$AJ$769,"&gt;="&amp;S$47)+SUMIFS(Assignments!$AN$2:$AN$769,Assignments!$A$2:$A$769,$A53,Assignments!$G$2:$G$769,"Active",Assignments!$AL$2:$AL$769,"&lt;="&amp;S$47,Assignments!$AM$2:$AM$769,"&gt;="&amp;S$47))</f>
        <v/>
      </c>
      <c r="T53" s="11">
        <f>IF($A53="","",SUMIFS(Assignments!$AK$2:$AK$769,Assignments!$A$2:$A$769,$A53,Assignments!$G$2:$G$769,"Active",Assignments!$AI$2:$AI$769,"&lt;="&amp;T$47,Assignments!$AJ$2:$AJ$769,"&gt;="&amp;T$47)+SUMIFS(Assignments!$AN$2:$AN$769,Assignments!$A$2:$A$769,$A53,Assignments!$G$2:$G$769,"Active",Assignments!$AL$2:$AL$769,"&lt;="&amp;T$47,Assignments!$AM$2:$AM$769,"&gt;="&amp;T$47))</f>
        <v/>
      </c>
      <c r="U53" s="11">
        <f>IF($A53="","",SUMIFS(Assignments!$AK$2:$AK$769,Assignments!$A$2:$A$769,$A53,Assignments!$G$2:$G$769,"Active",Assignments!$AI$2:$AI$769,"&lt;="&amp;U$47,Assignments!$AJ$2:$AJ$769,"&gt;="&amp;U$47)+SUMIFS(Assignments!$AN$2:$AN$769,Assignments!$A$2:$A$769,$A53,Assignments!$G$2:$G$769,"Active",Assignments!$AL$2:$AL$769,"&lt;="&amp;U$47,Assignments!$AM$2:$AM$769,"&gt;="&amp;U$47))</f>
        <v/>
      </c>
      <c r="V53" s="11">
        <f>IF($A53="","",SUMIFS(Assignments!$AK$2:$AK$769,Assignments!$A$2:$A$769,$A53,Assignments!$G$2:$G$769,"Active",Assignments!$AI$2:$AI$769,"&lt;="&amp;V$47,Assignments!$AJ$2:$AJ$769,"&gt;="&amp;V$47)+SUMIFS(Assignments!$AN$2:$AN$769,Assignments!$A$2:$A$769,$A53,Assignments!$G$2:$G$769,"Active",Assignments!$AL$2:$AL$769,"&lt;="&amp;V$47,Assignments!$AM$2:$AM$769,"&gt;="&amp;V$47))</f>
        <v/>
      </c>
      <c r="W53" s="11">
        <f>IF($A53="","",SUMIFS(Assignments!$AK$2:$AK$769,Assignments!$A$2:$A$769,$A53,Assignments!$G$2:$G$769,"Active",Assignments!$AI$2:$AI$769,"&lt;="&amp;W$47,Assignments!$AJ$2:$AJ$769,"&gt;="&amp;W$47)+SUMIFS(Assignments!$AN$2:$AN$769,Assignments!$A$2:$A$769,$A53,Assignments!$G$2:$G$769,"Active",Assignments!$AL$2:$AL$769,"&lt;="&amp;W$47,Assignments!$AM$2:$AM$769,"&gt;="&amp;W$47))</f>
        <v/>
      </c>
      <c r="X53" s="11">
        <f>IF($A53="","",SUMIFS(Assignments!$AK$2:$AK$769,Assignments!$A$2:$A$769,$A53,Assignments!$G$2:$G$769,"Active",Assignments!$AI$2:$AI$769,"&lt;="&amp;X$47,Assignments!$AJ$2:$AJ$769,"&gt;="&amp;X$47)+SUMIFS(Assignments!$AN$2:$AN$769,Assignments!$A$2:$A$769,$A53,Assignments!$G$2:$G$769,"Active",Assignments!$AL$2:$AL$769,"&lt;="&amp;X$47,Assignments!$AM$2:$AM$769,"&gt;="&amp;X$47))</f>
        <v/>
      </c>
      <c r="Y53" s="11">
        <f>IF($A53="","",SUMIFS(Assignments!$AK$2:$AK$769,Assignments!$A$2:$A$769,$A53,Assignments!$G$2:$G$769,"Active",Assignments!$AI$2:$AI$769,"&lt;="&amp;Y$47,Assignments!$AJ$2:$AJ$769,"&gt;="&amp;Y$47)+SUMIFS(Assignments!$AN$2:$AN$769,Assignments!$A$2:$A$769,$A53,Assignments!$G$2:$G$769,"Active",Assignments!$AL$2:$AL$769,"&lt;="&amp;Y$47,Assignments!$AM$2:$AM$769,"&gt;="&amp;Y$47))</f>
        <v/>
      </c>
      <c r="Z53" s="11">
        <f>IF($A53="","",SUMIFS(Assignments!$AK$2:$AK$769,Assignments!$A$2:$A$769,$A53,Assignments!$G$2:$G$769,"Active",Assignments!$AI$2:$AI$769,"&lt;="&amp;Z$47,Assignments!$AJ$2:$AJ$769,"&gt;="&amp;Z$47)+SUMIFS(Assignments!$AN$2:$AN$769,Assignments!$A$2:$A$769,$A53,Assignments!$G$2:$G$769,"Active",Assignments!$AL$2:$AL$769,"&lt;="&amp;Z$47,Assignments!$AM$2:$AM$769,"&gt;="&amp;Z$47))</f>
        <v/>
      </c>
      <c r="AA53" s="11">
        <f>IF($A53="","",SUMIFS(Assignments!$AK$2:$AK$769,Assignments!$A$2:$A$769,$A53,Assignments!$G$2:$G$769,"Active",Assignments!$AI$2:$AI$769,"&lt;="&amp;AA$47,Assignments!$AJ$2:$AJ$769,"&gt;="&amp;AA$47)+SUMIFS(Assignments!$AN$2:$AN$769,Assignments!$A$2:$A$769,$A53,Assignments!$G$2:$G$769,"Active",Assignments!$AL$2:$AL$769,"&lt;="&amp;AA$47,Assignments!$AM$2:$AM$769,"&gt;="&amp;AA$47))</f>
        <v/>
      </c>
      <c r="AB53" s="11">
        <f>IF($A53="","",SUMIFS(Assignments!$AK$2:$AK$769,Assignments!$A$2:$A$769,$A53,Assignments!$G$2:$G$769,"Active",Assignments!$AI$2:$AI$769,"&lt;="&amp;AB$47,Assignments!$AJ$2:$AJ$769,"&gt;="&amp;AB$47)+SUMIFS(Assignments!$AN$2:$AN$769,Assignments!$A$2:$A$769,$A53,Assignments!$G$2:$G$769,"Active",Assignments!$AL$2:$AL$769,"&lt;="&amp;AB$47,Assignments!$AM$2:$AM$769,"&gt;="&amp;AB$47))</f>
        <v/>
      </c>
    </row>
    <row r="54">
      <c r="A54" s="9">
        <f>IF(Roster!$A8="","",Roster!$A8)</f>
        <v/>
      </c>
      <c r="B54" s="10">
        <f>IF($A54="","",IFERROR(INDEX(Roster!$D$2:$D$40,MATCH($A54,Roster!$A$2:$A$40,0)),""))</f>
        <v/>
      </c>
      <c r="C54" s="11">
        <f>IF($A54="","",SUMIFS(Assignments!$AK$2:$AK$769,Assignments!$A$2:$A$769,$A54,Assignments!$G$2:$G$769,"Active",Assignments!$AI$2:$AI$769,"&lt;="&amp;C$47,Assignments!$AJ$2:$AJ$769,"&gt;="&amp;C$47)+SUMIFS(Assignments!$AN$2:$AN$769,Assignments!$A$2:$A$769,$A54,Assignments!$G$2:$G$769,"Active",Assignments!$AL$2:$AL$769,"&lt;="&amp;C$47,Assignments!$AM$2:$AM$769,"&gt;="&amp;C$47))</f>
        <v/>
      </c>
      <c r="D54" s="11">
        <f>IF($A54="","",SUMIFS(Assignments!$AK$2:$AK$769,Assignments!$A$2:$A$769,$A54,Assignments!$G$2:$G$769,"Active",Assignments!$AI$2:$AI$769,"&lt;="&amp;D$47,Assignments!$AJ$2:$AJ$769,"&gt;="&amp;D$47)+SUMIFS(Assignments!$AN$2:$AN$769,Assignments!$A$2:$A$769,$A54,Assignments!$G$2:$G$769,"Active",Assignments!$AL$2:$AL$769,"&lt;="&amp;D$47,Assignments!$AM$2:$AM$769,"&gt;="&amp;D$47))</f>
        <v/>
      </c>
      <c r="E54" s="11">
        <f>IF($A54="","",SUMIFS(Assignments!$AK$2:$AK$769,Assignments!$A$2:$A$769,$A54,Assignments!$G$2:$G$769,"Active",Assignments!$AI$2:$AI$769,"&lt;="&amp;E$47,Assignments!$AJ$2:$AJ$769,"&gt;="&amp;E$47)+SUMIFS(Assignments!$AN$2:$AN$769,Assignments!$A$2:$A$769,$A54,Assignments!$G$2:$G$769,"Active",Assignments!$AL$2:$AL$769,"&lt;="&amp;E$47,Assignments!$AM$2:$AM$769,"&gt;="&amp;E$47))</f>
        <v/>
      </c>
      <c r="F54" s="11">
        <f>IF($A54="","",SUMIFS(Assignments!$AK$2:$AK$769,Assignments!$A$2:$A$769,$A54,Assignments!$G$2:$G$769,"Active",Assignments!$AI$2:$AI$769,"&lt;="&amp;F$47,Assignments!$AJ$2:$AJ$769,"&gt;="&amp;F$47)+SUMIFS(Assignments!$AN$2:$AN$769,Assignments!$A$2:$A$769,$A54,Assignments!$G$2:$G$769,"Active",Assignments!$AL$2:$AL$769,"&lt;="&amp;F$47,Assignments!$AM$2:$AM$769,"&gt;="&amp;F$47))</f>
        <v/>
      </c>
      <c r="G54" s="11">
        <f>IF($A54="","",SUMIFS(Assignments!$AK$2:$AK$769,Assignments!$A$2:$A$769,$A54,Assignments!$G$2:$G$769,"Active",Assignments!$AI$2:$AI$769,"&lt;="&amp;G$47,Assignments!$AJ$2:$AJ$769,"&gt;="&amp;G$47)+SUMIFS(Assignments!$AN$2:$AN$769,Assignments!$A$2:$A$769,$A54,Assignments!$G$2:$G$769,"Active",Assignments!$AL$2:$AL$769,"&lt;="&amp;G$47,Assignments!$AM$2:$AM$769,"&gt;="&amp;G$47))</f>
        <v/>
      </c>
      <c r="H54" s="11">
        <f>IF($A54="","",SUMIFS(Assignments!$AK$2:$AK$769,Assignments!$A$2:$A$769,$A54,Assignments!$G$2:$G$769,"Active",Assignments!$AI$2:$AI$769,"&lt;="&amp;H$47,Assignments!$AJ$2:$AJ$769,"&gt;="&amp;H$47)+SUMIFS(Assignments!$AN$2:$AN$769,Assignments!$A$2:$A$769,$A54,Assignments!$G$2:$G$769,"Active",Assignments!$AL$2:$AL$769,"&lt;="&amp;H$47,Assignments!$AM$2:$AM$769,"&gt;="&amp;H$47))</f>
        <v/>
      </c>
      <c r="I54" s="11">
        <f>IF($A54="","",SUMIFS(Assignments!$AK$2:$AK$769,Assignments!$A$2:$A$769,$A54,Assignments!$G$2:$G$769,"Active",Assignments!$AI$2:$AI$769,"&lt;="&amp;I$47,Assignments!$AJ$2:$AJ$769,"&gt;="&amp;I$47)+SUMIFS(Assignments!$AN$2:$AN$769,Assignments!$A$2:$A$769,$A54,Assignments!$G$2:$G$769,"Active",Assignments!$AL$2:$AL$769,"&lt;="&amp;I$47,Assignments!$AM$2:$AM$769,"&gt;="&amp;I$47))</f>
        <v/>
      </c>
      <c r="J54" s="11">
        <f>IF($A54="","",SUMIFS(Assignments!$AK$2:$AK$769,Assignments!$A$2:$A$769,$A54,Assignments!$G$2:$G$769,"Active",Assignments!$AI$2:$AI$769,"&lt;="&amp;J$47,Assignments!$AJ$2:$AJ$769,"&gt;="&amp;J$47)+SUMIFS(Assignments!$AN$2:$AN$769,Assignments!$A$2:$A$769,$A54,Assignments!$G$2:$G$769,"Active",Assignments!$AL$2:$AL$769,"&lt;="&amp;J$47,Assignments!$AM$2:$AM$769,"&gt;="&amp;J$47))</f>
        <v/>
      </c>
      <c r="K54" s="11">
        <f>IF($A54="","",SUMIFS(Assignments!$AK$2:$AK$769,Assignments!$A$2:$A$769,$A54,Assignments!$G$2:$G$769,"Active",Assignments!$AI$2:$AI$769,"&lt;="&amp;K$47,Assignments!$AJ$2:$AJ$769,"&gt;="&amp;K$47)+SUMIFS(Assignments!$AN$2:$AN$769,Assignments!$A$2:$A$769,$A54,Assignments!$G$2:$G$769,"Active",Assignments!$AL$2:$AL$769,"&lt;="&amp;K$47,Assignments!$AM$2:$AM$769,"&gt;="&amp;K$47))</f>
        <v/>
      </c>
      <c r="L54" s="11">
        <f>IF($A54="","",SUMIFS(Assignments!$AK$2:$AK$769,Assignments!$A$2:$A$769,$A54,Assignments!$G$2:$G$769,"Active",Assignments!$AI$2:$AI$769,"&lt;="&amp;L$47,Assignments!$AJ$2:$AJ$769,"&gt;="&amp;L$47)+SUMIFS(Assignments!$AN$2:$AN$769,Assignments!$A$2:$A$769,$A54,Assignments!$G$2:$G$769,"Active",Assignments!$AL$2:$AL$769,"&lt;="&amp;L$47,Assignments!$AM$2:$AM$769,"&gt;="&amp;L$47))</f>
        <v/>
      </c>
      <c r="M54" s="11">
        <f>IF($A54="","",SUMIFS(Assignments!$AK$2:$AK$769,Assignments!$A$2:$A$769,$A54,Assignments!$G$2:$G$769,"Active",Assignments!$AI$2:$AI$769,"&lt;="&amp;M$47,Assignments!$AJ$2:$AJ$769,"&gt;="&amp;M$47)+SUMIFS(Assignments!$AN$2:$AN$769,Assignments!$A$2:$A$769,$A54,Assignments!$G$2:$G$769,"Active",Assignments!$AL$2:$AL$769,"&lt;="&amp;M$47,Assignments!$AM$2:$AM$769,"&gt;="&amp;M$47))</f>
        <v/>
      </c>
      <c r="N54" s="11">
        <f>IF($A54="","",SUMIFS(Assignments!$AK$2:$AK$769,Assignments!$A$2:$A$769,$A54,Assignments!$G$2:$G$769,"Active",Assignments!$AI$2:$AI$769,"&lt;="&amp;N$47,Assignments!$AJ$2:$AJ$769,"&gt;="&amp;N$47)+SUMIFS(Assignments!$AN$2:$AN$769,Assignments!$A$2:$A$769,$A54,Assignments!$G$2:$G$769,"Active",Assignments!$AL$2:$AL$769,"&lt;="&amp;N$47,Assignments!$AM$2:$AM$769,"&gt;="&amp;N$47))</f>
        <v/>
      </c>
      <c r="O54" s="11">
        <f>IF($A54="","",SUMIFS(Assignments!$AK$2:$AK$769,Assignments!$A$2:$A$769,$A54,Assignments!$G$2:$G$769,"Active",Assignments!$AI$2:$AI$769,"&lt;="&amp;O$47,Assignments!$AJ$2:$AJ$769,"&gt;="&amp;O$47)+SUMIFS(Assignments!$AN$2:$AN$769,Assignments!$A$2:$A$769,$A54,Assignments!$G$2:$G$769,"Active",Assignments!$AL$2:$AL$769,"&lt;="&amp;O$47,Assignments!$AM$2:$AM$769,"&gt;="&amp;O$47))</f>
        <v/>
      </c>
      <c r="P54" s="11">
        <f>IF($A54="","",SUMIFS(Assignments!$AK$2:$AK$769,Assignments!$A$2:$A$769,$A54,Assignments!$G$2:$G$769,"Active",Assignments!$AI$2:$AI$769,"&lt;="&amp;P$47,Assignments!$AJ$2:$AJ$769,"&gt;="&amp;P$47)+SUMIFS(Assignments!$AN$2:$AN$769,Assignments!$A$2:$A$769,$A54,Assignments!$G$2:$G$769,"Active",Assignments!$AL$2:$AL$769,"&lt;="&amp;P$47,Assignments!$AM$2:$AM$769,"&gt;="&amp;P$47))</f>
        <v/>
      </c>
      <c r="Q54" s="11">
        <f>IF($A54="","",SUMIFS(Assignments!$AK$2:$AK$769,Assignments!$A$2:$A$769,$A54,Assignments!$G$2:$G$769,"Active",Assignments!$AI$2:$AI$769,"&lt;="&amp;Q$47,Assignments!$AJ$2:$AJ$769,"&gt;="&amp;Q$47)+SUMIFS(Assignments!$AN$2:$AN$769,Assignments!$A$2:$A$769,$A54,Assignments!$G$2:$G$769,"Active",Assignments!$AL$2:$AL$769,"&lt;="&amp;Q$47,Assignments!$AM$2:$AM$769,"&gt;="&amp;Q$47))</f>
        <v/>
      </c>
      <c r="R54" s="11">
        <f>IF($A54="","",SUMIFS(Assignments!$AK$2:$AK$769,Assignments!$A$2:$A$769,$A54,Assignments!$G$2:$G$769,"Active",Assignments!$AI$2:$AI$769,"&lt;="&amp;R$47,Assignments!$AJ$2:$AJ$769,"&gt;="&amp;R$47)+SUMIFS(Assignments!$AN$2:$AN$769,Assignments!$A$2:$A$769,$A54,Assignments!$G$2:$G$769,"Active",Assignments!$AL$2:$AL$769,"&lt;="&amp;R$47,Assignments!$AM$2:$AM$769,"&gt;="&amp;R$47))</f>
        <v/>
      </c>
      <c r="S54" s="11">
        <f>IF($A54="","",SUMIFS(Assignments!$AK$2:$AK$769,Assignments!$A$2:$A$769,$A54,Assignments!$G$2:$G$769,"Active",Assignments!$AI$2:$AI$769,"&lt;="&amp;S$47,Assignments!$AJ$2:$AJ$769,"&gt;="&amp;S$47)+SUMIFS(Assignments!$AN$2:$AN$769,Assignments!$A$2:$A$769,$A54,Assignments!$G$2:$G$769,"Active",Assignments!$AL$2:$AL$769,"&lt;="&amp;S$47,Assignments!$AM$2:$AM$769,"&gt;="&amp;S$47))</f>
        <v/>
      </c>
      <c r="T54" s="11">
        <f>IF($A54="","",SUMIFS(Assignments!$AK$2:$AK$769,Assignments!$A$2:$A$769,$A54,Assignments!$G$2:$G$769,"Active",Assignments!$AI$2:$AI$769,"&lt;="&amp;T$47,Assignments!$AJ$2:$AJ$769,"&gt;="&amp;T$47)+SUMIFS(Assignments!$AN$2:$AN$769,Assignments!$A$2:$A$769,$A54,Assignments!$G$2:$G$769,"Active",Assignments!$AL$2:$AL$769,"&lt;="&amp;T$47,Assignments!$AM$2:$AM$769,"&gt;="&amp;T$47))</f>
        <v/>
      </c>
      <c r="U54" s="11">
        <f>IF($A54="","",SUMIFS(Assignments!$AK$2:$AK$769,Assignments!$A$2:$A$769,$A54,Assignments!$G$2:$G$769,"Active",Assignments!$AI$2:$AI$769,"&lt;="&amp;U$47,Assignments!$AJ$2:$AJ$769,"&gt;="&amp;U$47)+SUMIFS(Assignments!$AN$2:$AN$769,Assignments!$A$2:$A$769,$A54,Assignments!$G$2:$G$769,"Active",Assignments!$AL$2:$AL$769,"&lt;="&amp;U$47,Assignments!$AM$2:$AM$769,"&gt;="&amp;U$47))</f>
        <v/>
      </c>
      <c r="V54" s="11">
        <f>IF($A54="","",SUMIFS(Assignments!$AK$2:$AK$769,Assignments!$A$2:$A$769,$A54,Assignments!$G$2:$G$769,"Active",Assignments!$AI$2:$AI$769,"&lt;="&amp;V$47,Assignments!$AJ$2:$AJ$769,"&gt;="&amp;V$47)+SUMIFS(Assignments!$AN$2:$AN$769,Assignments!$A$2:$A$769,$A54,Assignments!$G$2:$G$769,"Active",Assignments!$AL$2:$AL$769,"&lt;="&amp;V$47,Assignments!$AM$2:$AM$769,"&gt;="&amp;V$47))</f>
        <v/>
      </c>
      <c r="W54" s="11">
        <f>IF($A54="","",SUMIFS(Assignments!$AK$2:$AK$769,Assignments!$A$2:$A$769,$A54,Assignments!$G$2:$G$769,"Active",Assignments!$AI$2:$AI$769,"&lt;="&amp;W$47,Assignments!$AJ$2:$AJ$769,"&gt;="&amp;W$47)+SUMIFS(Assignments!$AN$2:$AN$769,Assignments!$A$2:$A$769,$A54,Assignments!$G$2:$G$769,"Active",Assignments!$AL$2:$AL$769,"&lt;="&amp;W$47,Assignments!$AM$2:$AM$769,"&gt;="&amp;W$47))</f>
        <v/>
      </c>
      <c r="X54" s="11">
        <f>IF($A54="","",SUMIFS(Assignments!$AK$2:$AK$769,Assignments!$A$2:$A$769,$A54,Assignments!$G$2:$G$769,"Active",Assignments!$AI$2:$AI$769,"&lt;="&amp;X$47,Assignments!$AJ$2:$AJ$769,"&gt;="&amp;X$47)+SUMIFS(Assignments!$AN$2:$AN$769,Assignments!$A$2:$A$769,$A54,Assignments!$G$2:$G$769,"Active",Assignments!$AL$2:$AL$769,"&lt;="&amp;X$47,Assignments!$AM$2:$AM$769,"&gt;="&amp;X$47))</f>
        <v/>
      </c>
      <c r="Y54" s="11">
        <f>IF($A54="","",SUMIFS(Assignments!$AK$2:$AK$769,Assignments!$A$2:$A$769,$A54,Assignments!$G$2:$G$769,"Active",Assignments!$AI$2:$AI$769,"&lt;="&amp;Y$47,Assignments!$AJ$2:$AJ$769,"&gt;="&amp;Y$47)+SUMIFS(Assignments!$AN$2:$AN$769,Assignments!$A$2:$A$769,$A54,Assignments!$G$2:$G$769,"Active",Assignments!$AL$2:$AL$769,"&lt;="&amp;Y$47,Assignments!$AM$2:$AM$769,"&gt;="&amp;Y$47))</f>
        <v/>
      </c>
      <c r="Z54" s="11">
        <f>IF($A54="","",SUMIFS(Assignments!$AK$2:$AK$769,Assignments!$A$2:$A$769,$A54,Assignments!$G$2:$G$769,"Active",Assignments!$AI$2:$AI$769,"&lt;="&amp;Z$47,Assignments!$AJ$2:$AJ$769,"&gt;="&amp;Z$47)+SUMIFS(Assignments!$AN$2:$AN$769,Assignments!$A$2:$A$769,$A54,Assignments!$G$2:$G$769,"Active",Assignments!$AL$2:$AL$769,"&lt;="&amp;Z$47,Assignments!$AM$2:$AM$769,"&gt;="&amp;Z$47))</f>
        <v/>
      </c>
      <c r="AA54" s="11">
        <f>IF($A54="","",SUMIFS(Assignments!$AK$2:$AK$769,Assignments!$A$2:$A$769,$A54,Assignments!$G$2:$G$769,"Active",Assignments!$AI$2:$AI$769,"&lt;="&amp;AA$47,Assignments!$AJ$2:$AJ$769,"&gt;="&amp;AA$47)+SUMIFS(Assignments!$AN$2:$AN$769,Assignments!$A$2:$A$769,$A54,Assignments!$G$2:$G$769,"Active",Assignments!$AL$2:$AL$769,"&lt;="&amp;AA$47,Assignments!$AM$2:$AM$769,"&gt;="&amp;AA$47))</f>
        <v/>
      </c>
      <c r="AB54" s="11">
        <f>IF($A54="","",SUMIFS(Assignments!$AK$2:$AK$769,Assignments!$A$2:$A$769,$A54,Assignments!$G$2:$G$769,"Active",Assignments!$AI$2:$AI$769,"&lt;="&amp;AB$47,Assignments!$AJ$2:$AJ$769,"&gt;="&amp;AB$47)+SUMIFS(Assignments!$AN$2:$AN$769,Assignments!$A$2:$A$769,$A54,Assignments!$G$2:$G$769,"Active",Assignments!$AL$2:$AL$769,"&lt;="&amp;AB$47,Assignments!$AM$2:$AM$769,"&gt;="&amp;AB$47))</f>
        <v/>
      </c>
    </row>
    <row r="55">
      <c r="A55" s="9">
        <f>IF(Roster!$A9="","",Roster!$A9)</f>
        <v/>
      </c>
      <c r="B55" s="10">
        <f>IF($A55="","",IFERROR(INDEX(Roster!$D$2:$D$40,MATCH($A55,Roster!$A$2:$A$40,0)),""))</f>
        <v/>
      </c>
      <c r="C55" s="11">
        <f>IF($A55="","",SUMIFS(Assignments!$AK$2:$AK$769,Assignments!$A$2:$A$769,$A55,Assignments!$G$2:$G$769,"Active",Assignments!$AI$2:$AI$769,"&lt;="&amp;C$47,Assignments!$AJ$2:$AJ$769,"&gt;="&amp;C$47)+SUMIFS(Assignments!$AN$2:$AN$769,Assignments!$A$2:$A$769,$A55,Assignments!$G$2:$G$769,"Active",Assignments!$AL$2:$AL$769,"&lt;="&amp;C$47,Assignments!$AM$2:$AM$769,"&gt;="&amp;C$47))</f>
        <v/>
      </c>
      <c r="D55" s="11">
        <f>IF($A55="","",SUMIFS(Assignments!$AK$2:$AK$769,Assignments!$A$2:$A$769,$A55,Assignments!$G$2:$G$769,"Active",Assignments!$AI$2:$AI$769,"&lt;="&amp;D$47,Assignments!$AJ$2:$AJ$769,"&gt;="&amp;D$47)+SUMIFS(Assignments!$AN$2:$AN$769,Assignments!$A$2:$A$769,$A55,Assignments!$G$2:$G$769,"Active",Assignments!$AL$2:$AL$769,"&lt;="&amp;D$47,Assignments!$AM$2:$AM$769,"&gt;="&amp;D$47))</f>
        <v/>
      </c>
      <c r="E55" s="11">
        <f>IF($A55="","",SUMIFS(Assignments!$AK$2:$AK$769,Assignments!$A$2:$A$769,$A55,Assignments!$G$2:$G$769,"Active",Assignments!$AI$2:$AI$769,"&lt;="&amp;E$47,Assignments!$AJ$2:$AJ$769,"&gt;="&amp;E$47)+SUMIFS(Assignments!$AN$2:$AN$769,Assignments!$A$2:$A$769,$A55,Assignments!$G$2:$G$769,"Active",Assignments!$AL$2:$AL$769,"&lt;="&amp;E$47,Assignments!$AM$2:$AM$769,"&gt;="&amp;E$47))</f>
        <v/>
      </c>
      <c r="F55" s="11">
        <f>IF($A55="","",SUMIFS(Assignments!$AK$2:$AK$769,Assignments!$A$2:$A$769,$A55,Assignments!$G$2:$G$769,"Active",Assignments!$AI$2:$AI$769,"&lt;="&amp;F$47,Assignments!$AJ$2:$AJ$769,"&gt;="&amp;F$47)+SUMIFS(Assignments!$AN$2:$AN$769,Assignments!$A$2:$A$769,$A55,Assignments!$G$2:$G$769,"Active",Assignments!$AL$2:$AL$769,"&lt;="&amp;F$47,Assignments!$AM$2:$AM$769,"&gt;="&amp;F$47))</f>
        <v/>
      </c>
      <c r="G55" s="11">
        <f>IF($A55="","",SUMIFS(Assignments!$AK$2:$AK$769,Assignments!$A$2:$A$769,$A55,Assignments!$G$2:$G$769,"Active",Assignments!$AI$2:$AI$769,"&lt;="&amp;G$47,Assignments!$AJ$2:$AJ$769,"&gt;="&amp;G$47)+SUMIFS(Assignments!$AN$2:$AN$769,Assignments!$A$2:$A$769,$A55,Assignments!$G$2:$G$769,"Active",Assignments!$AL$2:$AL$769,"&lt;="&amp;G$47,Assignments!$AM$2:$AM$769,"&gt;="&amp;G$47))</f>
        <v/>
      </c>
      <c r="H55" s="11">
        <f>IF($A55="","",SUMIFS(Assignments!$AK$2:$AK$769,Assignments!$A$2:$A$769,$A55,Assignments!$G$2:$G$769,"Active",Assignments!$AI$2:$AI$769,"&lt;="&amp;H$47,Assignments!$AJ$2:$AJ$769,"&gt;="&amp;H$47)+SUMIFS(Assignments!$AN$2:$AN$769,Assignments!$A$2:$A$769,$A55,Assignments!$G$2:$G$769,"Active",Assignments!$AL$2:$AL$769,"&lt;="&amp;H$47,Assignments!$AM$2:$AM$769,"&gt;="&amp;H$47))</f>
        <v/>
      </c>
      <c r="I55" s="11">
        <f>IF($A55="","",SUMIFS(Assignments!$AK$2:$AK$769,Assignments!$A$2:$A$769,$A55,Assignments!$G$2:$G$769,"Active",Assignments!$AI$2:$AI$769,"&lt;="&amp;I$47,Assignments!$AJ$2:$AJ$769,"&gt;="&amp;I$47)+SUMIFS(Assignments!$AN$2:$AN$769,Assignments!$A$2:$A$769,$A55,Assignments!$G$2:$G$769,"Active",Assignments!$AL$2:$AL$769,"&lt;="&amp;I$47,Assignments!$AM$2:$AM$769,"&gt;="&amp;I$47))</f>
        <v/>
      </c>
      <c r="J55" s="11">
        <f>IF($A55="","",SUMIFS(Assignments!$AK$2:$AK$769,Assignments!$A$2:$A$769,$A55,Assignments!$G$2:$G$769,"Active",Assignments!$AI$2:$AI$769,"&lt;="&amp;J$47,Assignments!$AJ$2:$AJ$769,"&gt;="&amp;J$47)+SUMIFS(Assignments!$AN$2:$AN$769,Assignments!$A$2:$A$769,$A55,Assignments!$G$2:$G$769,"Active",Assignments!$AL$2:$AL$769,"&lt;="&amp;J$47,Assignments!$AM$2:$AM$769,"&gt;="&amp;J$47))</f>
        <v/>
      </c>
      <c r="K55" s="11">
        <f>IF($A55="","",SUMIFS(Assignments!$AK$2:$AK$769,Assignments!$A$2:$A$769,$A55,Assignments!$G$2:$G$769,"Active",Assignments!$AI$2:$AI$769,"&lt;="&amp;K$47,Assignments!$AJ$2:$AJ$769,"&gt;="&amp;K$47)+SUMIFS(Assignments!$AN$2:$AN$769,Assignments!$A$2:$A$769,$A55,Assignments!$G$2:$G$769,"Active",Assignments!$AL$2:$AL$769,"&lt;="&amp;K$47,Assignments!$AM$2:$AM$769,"&gt;="&amp;K$47))</f>
        <v/>
      </c>
      <c r="L55" s="11">
        <f>IF($A55="","",SUMIFS(Assignments!$AK$2:$AK$769,Assignments!$A$2:$A$769,$A55,Assignments!$G$2:$G$769,"Active",Assignments!$AI$2:$AI$769,"&lt;="&amp;L$47,Assignments!$AJ$2:$AJ$769,"&gt;="&amp;L$47)+SUMIFS(Assignments!$AN$2:$AN$769,Assignments!$A$2:$A$769,$A55,Assignments!$G$2:$G$769,"Active",Assignments!$AL$2:$AL$769,"&lt;="&amp;L$47,Assignments!$AM$2:$AM$769,"&gt;="&amp;L$47))</f>
        <v/>
      </c>
      <c r="M55" s="11">
        <f>IF($A55="","",SUMIFS(Assignments!$AK$2:$AK$769,Assignments!$A$2:$A$769,$A55,Assignments!$G$2:$G$769,"Active",Assignments!$AI$2:$AI$769,"&lt;="&amp;M$47,Assignments!$AJ$2:$AJ$769,"&gt;="&amp;M$47)+SUMIFS(Assignments!$AN$2:$AN$769,Assignments!$A$2:$A$769,$A55,Assignments!$G$2:$G$769,"Active",Assignments!$AL$2:$AL$769,"&lt;="&amp;M$47,Assignments!$AM$2:$AM$769,"&gt;="&amp;M$47))</f>
        <v/>
      </c>
      <c r="N55" s="11">
        <f>IF($A55="","",SUMIFS(Assignments!$AK$2:$AK$769,Assignments!$A$2:$A$769,$A55,Assignments!$G$2:$G$769,"Active",Assignments!$AI$2:$AI$769,"&lt;="&amp;N$47,Assignments!$AJ$2:$AJ$769,"&gt;="&amp;N$47)+SUMIFS(Assignments!$AN$2:$AN$769,Assignments!$A$2:$A$769,$A55,Assignments!$G$2:$G$769,"Active",Assignments!$AL$2:$AL$769,"&lt;="&amp;N$47,Assignments!$AM$2:$AM$769,"&gt;="&amp;N$47))</f>
        <v/>
      </c>
      <c r="O55" s="11">
        <f>IF($A55="","",SUMIFS(Assignments!$AK$2:$AK$769,Assignments!$A$2:$A$769,$A55,Assignments!$G$2:$G$769,"Active",Assignments!$AI$2:$AI$769,"&lt;="&amp;O$47,Assignments!$AJ$2:$AJ$769,"&gt;="&amp;O$47)+SUMIFS(Assignments!$AN$2:$AN$769,Assignments!$A$2:$A$769,$A55,Assignments!$G$2:$G$769,"Active",Assignments!$AL$2:$AL$769,"&lt;="&amp;O$47,Assignments!$AM$2:$AM$769,"&gt;="&amp;O$47))</f>
        <v/>
      </c>
      <c r="P55" s="11">
        <f>IF($A55="","",SUMIFS(Assignments!$AK$2:$AK$769,Assignments!$A$2:$A$769,$A55,Assignments!$G$2:$G$769,"Active",Assignments!$AI$2:$AI$769,"&lt;="&amp;P$47,Assignments!$AJ$2:$AJ$769,"&gt;="&amp;P$47)+SUMIFS(Assignments!$AN$2:$AN$769,Assignments!$A$2:$A$769,$A55,Assignments!$G$2:$G$769,"Active",Assignments!$AL$2:$AL$769,"&lt;="&amp;P$47,Assignments!$AM$2:$AM$769,"&gt;="&amp;P$47))</f>
        <v/>
      </c>
      <c r="Q55" s="11">
        <f>IF($A55="","",SUMIFS(Assignments!$AK$2:$AK$769,Assignments!$A$2:$A$769,$A55,Assignments!$G$2:$G$769,"Active",Assignments!$AI$2:$AI$769,"&lt;="&amp;Q$47,Assignments!$AJ$2:$AJ$769,"&gt;="&amp;Q$47)+SUMIFS(Assignments!$AN$2:$AN$769,Assignments!$A$2:$A$769,$A55,Assignments!$G$2:$G$769,"Active",Assignments!$AL$2:$AL$769,"&lt;="&amp;Q$47,Assignments!$AM$2:$AM$769,"&gt;="&amp;Q$47))</f>
        <v/>
      </c>
      <c r="R55" s="11">
        <f>IF($A55="","",SUMIFS(Assignments!$AK$2:$AK$769,Assignments!$A$2:$A$769,$A55,Assignments!$G$2:$G$769,"Active",Assignments!$AI$2:$AI$769,"&lt;="&amp;R$47,Assignments!$AJ$2:$AJ$769,"&gt;="&amp;R$47)+SUMIFS(Assignments!$AN$2:$AN$769,Assignments!$A$2:$A$769,$A55,Assignments!$G$2:$G$769,"Active",Assignments!$AL$2:$AL$769,"&lt;="&amp;R$47,Assignments!$AM$2:$AM$769,"&gt;="&amp;R$47))</f>
        <v/>
      </c>
      <c r="S55" s="11">
        <f>IF($A55="","",SUMIFS(Assignments!$AK$2:$AK$769,Assignments!$A$2:$A$769,$A55,Assignments!$G$2:$G$769,"Active",Assignments!$AI$2:$AI$769,"&lt;="&amp;S$47,Assignments!$AJ$2:$AJ$769,"&gt;="&amp;S$47)+SUMIFS(Assignments!$AN$2:$AN$769,Assignments!$A$2:$A$769,$A55,Assignments!$G$2:$G$769,"Active",Assignments!$AL$2:$AL$769,"&lt;="&amp;S$47,Assignments!$AM$2:$AM$769,"&gt;="&amp;S$47))</f>
        <v/>
      </c>
      <c r="T55" s="11">
        <f>IF($A55="","",SUMIFS(Assignments!$AK$2:$AK$769,Assignments!$A$2:$A$769,$A55,Assignments!$G$2:$G$769,"Active",Assignments!$AI$2:$AI$769,"&lt;="&amp;T$47,Assignments!$AJ$2:$AJ$769,"&gt;="&amp;T$47)+SUMIFS(Assignments!$AN$2:$AN$769,Assignments!$A$2:$A$769,$A55,Assignments!$G$2:$G$769,"Active",Assignments!$AL$2:$AL$769,"&lt;="&amp;T$47,Assignments!$AM$2:$AM$769,"&gt;="&amp;T$47))</f>
        <v/>
      </c>
      <c r="U55" s="11">
        <f>IF($A55="","",SUMIFS(Assignments!$AK$2:$AK$769,Assignments!$A$2:$A$769,$A55,Assignments!$G$2:$G$769,"Active",Assignments!$AI$2:$AI$769,"&lt;="&amp;U$47,Assignments!$AJ$2:$AJ$769,"&gt;="&amp;U$47)+SUMIFS(Assignments!$AN$2:$AN$769,Assignments!$A$2:$A$769,$A55,Assignments!$G$2:$G$769,"Active",Assignments!$AL$2:$AL$769,"&lt;="&amp;U$47,Assignments!$AM$2:$AM$769,"&gt;="&amp;U$47))</f>
        <v/>
      </c>
      <c r="V55" s="11">
        <f>IF($A55="","",SUMIFS(Assignments!$AK$2:$AK$769,Assignments!$A$2:$A$769,$A55,Assignments!$G$2:$G$769,"Active",Assignments!$AI$2:$AI$769,"&lt;="&amp;V$47,Assignments!$AJ$2:$AJ$769,"&gt;="&amp;V$47)+SUMIFS(Assignments!$AN$2:$AN$769,Assignments!$A$2:$A$769,$A55,Assignments!$G$2:$G$769,"Active",Assignments!$AL$2:$AL$769,"&lt;="&amp;V$47,Assignments!$AM$2:$AM$769,"&gt;="&amp;V$47))</f>
        <v/>
      </c>
      <c r="W55" s="11">
        <f>IF($A55="","",SUMIFS(Assignments!$AK$2:$AK$769,Assignments!$A$2:$A$769,$A55,Assignments!$G$2:$G$769,"Active",Assignments!$AI$2:$AI$769,"&lt;="&amp;W$47,Assignments!$AJ$2:$AJ$769,"&gt;="&amp;W$47)+SUMIFS(Assignments!$AN$2:$AN$769,Assignments!$A$2:$A$769,$A55,Assignments!$G$2:$G$769,"Active",Assignments!$AL$2:$AL$769,"&lt;="&amp;W$47,Assignments!$AM$2:$AM$769,"&gt;="&amp;W$47))</f>
        <v/>
      </c>
      <c r="X55" s="11">
        <f>IF($A55="","",SUMIFS(Assignments!$AK$2:$AK$769,Assignments!$A$2:$A$769,$A55,Assignments!$G$2:$G$769,"Active",Assignments!$AI$2:$AI$769,"&lt;="&amp;X$47,Assignments!$AJ$2:$AJ$769,"&gt;="&amp;X$47)+SUMIFS(Assignments!$AN$2:$AN$769,Assignments!$A$2:$A$769,$A55,Assignments!$G$2:$G$769,"Active",Assignments!$AL$2:$AL$769,"&lt;="&amp;X$47,Assignments!$AM$2:$AM$769,"&gt;="&amp;X$47))</f>
        <v/>
      </c>
      <c r="Y55" s="11">
        <f>IF($A55="","",SUMIFS(Assignments!$AK$2:$AK$769,Assignments!$A$2:$A$769,$A55,Assignments!$G$2:$G$769,"Active",Assignments!$AI$2:$AI$769,"&lt;="&amp;Y$47,Assignments!$AJ$2:$AJ$769,"&gt;="&amp;Y$47)+SUMIFS(Assignments!$AN$2:$AN$769,Assignments!$A$2:$A$769,$A55,Assignments!$G$2:$G$769,"Active",Assignments!$AL$2:$AL$769,"&lt;="&amp;Y$47,Assignments!$AM$2:$AM$769,"&gt;="&amp;Y$47))</f>
        <v/>
      </c>
      <c r="Z55" s="11">
        <f>IF($A55="","",SUMIFS(Assignments!$AK$2:$AK$769,Assignments!$A$2:$A$769,$A55,Assignments!$G$2:$G$769,"Active",Assignments!$AI$2:$AI$769,"&lt;="&amp;Z$47,Assignments!$AJ$2:$AJ$769,"&gt;="&amp;Z$47)+SUMIFS(Assignments!$AN$2:$AN$769,Assignments!$A$2:$A$769,$A55,Assignments!$G$2:$G$769,"Active",Assignments!$AL$2:$AL$769,"&lt;="&amp;Z$47,Assignments!$AM$2:$AM$769,"&gt;="&amp;Z$47))</f>
        <v/>
      </c>
      <c r="AA55" s="11">
        <f>IF($A55="","",SUMIFS(Assignments!$AK$2:$AK$769,Assignments!$A$2:$A$769,$A55,Assignments!$G$2:$G$769,"Active",Assignments!$AI$2:$AI$769,"&lt;="&amp;AA$47,Assignments!$AJ$2:$AJ$769,"&gt;="&amp;AA$47)+SUMIFS(Assignments!$AN$2:$AN$769,Assignments!$A$2:$A$769,$A55,Assignments!$G$2:$G$769,"Active",Assignments!$AL$2:$AL$769,"&lt;="&amp;AA$47,Assignments!$AM$2:$AM$769,"&gt;="&amp;AA$47))</f>
        <v/>
      </c>
      <c r="AB55" s="11">
        <f>IF($A55="","",SUMIFS(Assignments!$AK$2:$AK$769,Assignments!$A$2:$A$769,$A55,Assignments!$G$2:$G$769,"Active",Assignments!$AI$2:$AI$769,"&lt;="&amp;AB$47,Assignments!$AJ$2:$AJ$769,"&gt;="&amp;AB$47)+SUMIFS(Assignments!$AN$2:$AN$769,Assignments!$A$2:$A$769,$A55,Assignments!$G$2:$G$769,"Active",Assignments!$AL$2:$AL$769,"&lt;="&amp;AB$47,Assignments!$AM$2:$AM$769,"&gt;="&amp;AB$47))</f>
        <v/>
      </c>
    </row>
    <row r="56">
      <c r="A56" s="9">
        <f>IF(Roster!$A10="","",Roster!$A10)</f>
        <v/>
      </c>
      <c r="B56" s="10">
        <f>IF($A56="","",IFERROR(INDEX(Roster!$D$2:$D$40,MATCH($A56,Roster!$A$2:$A$40,0)),""))</f>
        <v/>
      </c>
      <c r="C56" s="11">
        <f>IF($A56="","",SUMIFS(Assignments!$AK$2:$AK$769,Assignments!$A$2:$A$769,$A56,Assignments!$G$2:$G$769,"Active",Assignments!$AI$2:$AI$769,"&lt;="&amp;C$47,Assignments!$AJ$2:$AJ$769,"&gt;="&amp;C$47)+SUMIFS(Assignments!$AN$2:$AN$769,Assignments!$A$2:$A$769,$A56,Assignments!$G$2:$G$769,"Active",Assignments!$AL$2:$AL$769,"&lt;="&amp;C$47,Assignments!$AM$2:$AM$769,"&gt;="&amp;C$47))</f>
        <v/>
      </c>
      <c r="D56" s="11">
        <f>IF($A56="","",SUMIFS(Assignments!$AK$2:$AK$769,Assignments!$A$2:$A$769,$A56,Assignments!$G$2:$G$769,"Active",Assignments!$AI$2:$AI$769,"&lt;="&amp;D$47,Assignments!$AJ$2:$AJ$769,"&gt;="&amp;D$47)+SUMIFS(Assignments!$AN$2:$AN$769,Assignments!$A$2:$A$769,$A56,Assignments!$G$2:$G$769,"Active",Assignments!$AL$2:$AL$769,"&lt;="&amp;D$47,Assignments!$AM$2:$AM$769,"&gt;="&amp;D$47))</f>
        <v/>
      </c>
      <c r="E56" s="11">
        <f>IF($A56="","",SUMIFS(Assignments!$AK$2:$AK$769,Assignments!$A$2:$A$769,$A56,Assignments!$G$2:$G$769,"Active",Assignments!$AI$2:$AI$769,"&lt;="&amp;E$47,Assignments!$AJ$2:$AJ$769,"&gt;="&amp;E$47)+SUMIFS(Assignments!$AN$2:$AN$769,Assignments!$A$2:$A$769,$A56,Assignments!$G$2:$G$769,"Active",Assignments!$AL$2:$AL$769,"&lt;="&amp;E$47,Assignments!$AM$2:$AM$769,"&gt;="&amp;E$47))</f>
        <v/>
      </c>
      <c r="F56" s="11">
        <f>IF($A56="","",SUMIFS(Assignments!$AK$2:$AK$769,Assignments!$A$2:$A$769,$A56,Assignments!$G$2:$G$769,"Active",Assignments!$AI$2:$AI$769,"&lt;="&amp;F$47,Assignments!$AJ$2:$AJ$769,"&gt;="&amp;F$47)+SUMIFS(Assignments!$AN$2:$AN$769,Assignments!$A$2:$A$769,$A56,Assignments!$G$2:$G$769,"Active",Assignments!$AL$2:$AL$769,"&lt;="&amp;F$47,Assignments!$AM$2:$AM$769,"&gt;="&amp;F$47))</f>
        <v/>
      </c>
      <c r="G56" s="11">
        <f>IF($A56="","",SUMIFS(Assignments!$AK$2:$AK$769,Assignments!$A$2:$A$769,$A56,Assignments!$G$2:$G$769,"Active",Assignments!$AI$2:$AI$769,"&lt;="&amp;G$47,Assignments!$AJ$2:$AJ$769,"&gt;="&amp;G$47)+SUMIFS(Assignments!$AN$2:$AN$769,Assignments!$A$2:$A$769,$A56,Assignments!$G$2:$G$769,"Active",Assignments!$AL$2:$AL$769,"&lt;="&amp;G$47,Assignments!$AM$2:$AM$769,"&gt;="&amp;G$47))</f>
        <v/>
      </c>
      <c r="H56" s="11">
        <f>IF($A56="","",SUMIFS(Assignments!$AK$2:$AK$769,Assignments!$A$2:$A$769,$A56,Assignments!$G$2:$G$769,"Active",Assignments!$AI$2:$AI$769,"&lt;="&amp;H$47,Assignments!$AJ$2:$AJ$769,"&gt;="&amp;H$47)+SUMIFS(Assignments!$AN$2:$AN$769,Assignments!$A$2:$A$769,$A56,Assignments!$G$2:$G$769,"Active",Assignments!$AL$2:$AL$769,"&lt;="&amp;H$47,Assignments!$AM$2:$AM$769,"&gt;="&amp;H$47))</f>
        <v/>
      </c>
      <c r="I56" s="11">
        <f>IF($A56="","",SUMIFS(Assignments!$AK$2:$AK$769,Assignments!$A$2:$A$769,$A56,Assignments!$G$2:$G$769,"Active",Assignments!$AI$2:$AI$769,"&lt;="&amp;I$47,Assignments!$AJ$2:$AJ$769,"&gt;="&amp;I$47)+SUMIFS(Assignments!$AN$2:$AN$769,Assignments!$A$2:$A$769,$A56,Assignments!$G$2:$G$769,"Active",Assignments!$AL$2:$AL$769,"&lt;="&amp;I$47,Assignments!$AM$2:$AM$769,"&gt;="&amp;I$47))</f>
        <v/>
      </c>
      <c r="J56" s="11">
        <f>IF($A56="","",SUMIFS(Assignments!$AK$2:$AK$769,Assignments!$A$2:$A$769,$A56,Assignments!$G$2:$G$769,"Active",Assignments!$AI$2:$AI$769,"&lt;="&amp;J$47,Assignments!$AJ$2:$AJ$769,"&gt;="&amp;J$47)+SUMIFS(Assignments!$AN$2:$AN$769,Assignments!$A$2:$A$769,$A56,Assignments!$G$2:$G$769,"Active",Assignments!$AL$2:$AL$769,"&lt;="&amp;J$47,Assignments!$AM$2:$AM$769,"&gt;="&amp;J$47))</f>
        <v/>
      </c>
      <c r="K56" s="11">
        <f>IF($A56="","",SUMIFS(Assignments!$AK$2:$AK$769,Assignments!$A$2:$A$769,$A56,Assignments!$G$2:$G$769,"Active",Assignments!$AI$2:$AI$769,"&lt;="&amp;K$47,Assignments!$AJ$2:$AJ$769,"&gt;="&amp;K$47)+SUMIFS(Assignments!$AN$2:$AN$769,Assignments!$A$2:$A$769,$A56,Assignments!$G$2:$G$769,"Active",Assignments!$AL$2:$AL$769,"&lt;="&amp;K$47,Assignments!$AM$2:$AM$769,"&gt;="&amp;K$47))</f>
        <v/>
      </c>
      <c r="L56" s="11">
        <f>IF($A56="","",SUMIFS(Assignments!$AK$2:$AK$769,Assignments!$A$2:$A$769,$A56,Assignments!$G$2:$G$769,"Active",Assignments!$AI$2:$AI$769,"&lt;="&amp;L$47,Assignments!$AJ$2:$AJ$769,"&gt;="&amp;L$47)+SUMIFS(Assignments!$AN$2:$AN$769,Assignments!$A$2:$A$769,$A56,Assignments!$G$2:$G$769,"Active",Assignments!$AL$2:$AL$769,"&lt;="&amp;L$47,Assignments!$AM$2:$AM$769,"&gt;="&amp;L$47))</f>
        <v/>
      </c>
      <c r="M56" s="11">
        <f>IF($A56="","",SUMIFS(Assignments!$AK$2:$AK$769,Assignments!$A$2:$A$769,$A56,Assignments!$G$2:$G$769,"Active",Assignments!$AI$2:$AI$769,"&lt;="&amp;M$47,Assignments!$AJ$2:$AJ$769,"&gt;="&amp;M$47)+SUMIFS(Assignments!$AN$2:$AN$769,Assignments!$A$2:$A$769,$A56,Assignments!$G$2:$G$769,"Active",Assignments!$AL$2:$AL$769,"&lt;="&amp;M$47,Assignments!$AM$2:$AM$769,"&gt;="&amp;M$47))</f>
        <v/>
      </c>
      <c r="N56" s="11">
        <f>IF($A56="","",SUMIFS(Assignments!$AK$2:$AK$769,Assignments!$A$2:$A$769,$A56,Assignments!$G$2:$G$769,"Active",Assignments!$AI$2:$AI$769,"&lt;="&amp;N$47,Assignments!$AJ$2:$AJ$769,"&gt;="&amp;N$47)+SUMIFS(Assignments!$AN$2:$AN$769,Assignments!$A$2:$A$769,$A56,Assignments!$G$2:$G$769,"Active",Assignments!$AL$2:$AL$769,"&lt;="&amp;N$47,Assignments!$AM$2:$AM$769,"&gt;="&amp;N$47))</f>
        <v/>
      </c>
      <c r="O56" s="11">
        <f>IF($A56="","",SUMIFS(Assignments!$AK$2:$AK$769,Assignments!$A$2:$A$769,$A56,Assignments!$G$2:$G$769,"Active",Assignments!$AI$2:$AI$769,"&lt;="&amp;O$47,Assignments!$AJ$2:$AJ$769,"&gt;="&amp;O$47)+SUMIFS(Assignments!$AN$2:$AN$769,Assignments!$A$2:$A$769,$A56,Assignments!$G$2:$G$769,"Active",Assignments!$AL$2:$AL$769,"&lt;="&amp;O$47,Assignments!$AM$2:$AM$769,"&gt;="&amp;O$47))</f>
        <v/>
      </c>
      <c r="P56" s="11">
        <f>IF($A56="","",SUMIFS(Assignments!$AK$2:$AK$769,Assignments!$A$2:$A$769,$A56,Assignments!$G$2:$G$769,"Active",Assignments!$AI$2:$AI$769,"&lt;="&amp;P$47,Assignments!$AJ$2:$AJ$769,"&gt;="&amp;P$47)+SUMIFS(Assignments!$AN$2:$AN$769,Assignments!$A$2:$A$769,$A56,Assignments!$G$2:$G$769,"Active",Assignments!$AL$2:$AL$769,"&lt;="&amp;P$47,Assignments!$AM$2:$AM$769,"&gt;="&amp;P$47))</f>
        <v/>
      </c>
      <c r="Q56" s="11">
        <f>IF($A56="","",SUMIFS(Assignments!$AK$2:$AK$769,Assignments!$A$2:$A$769,$A56,Assignments!$G$2:$G$769,"Active",Assignments!$AI$2:$AI$769,"&lt;="&amp;Q$47,Assignments!$AJ$2:$AJ$769,"&gt;="&amp;Q$47)+SUMIFS(Assignments!$AN$2:$AN$769,Assignments!$A$2:$A$769,$A56,Assignments!$G$2:$G$769,"Active",Assignments!$AL$2:$AL$769,"&lt;="&amp;Q$47,Assignments!$AM$2:$AM$769,"&gt;="&amp;Q$47))</f>
        <v/>
      </c>
      <c r="R56" s="11">
        <f>IF($A56="","",SUMIFS(Assignments!$AK$2:$AK$769,Assignments!$A$2:$A$769,$A56,Assignments!$G$2:$G$769,"Active",Assignments!$AI$2:$AI$769,"&lt;="&amp;R$47,Assignments!$AJ$2:$AJ$769,"&gt;="&amp;R$47)+SUMIFS(Assignments!$AN$2:$AN$769,Assignments!$A$2:$A$769,$A56,Assignments!$G$2:$G$769,"Active",Assignments!$AL$2:$AL$769,"&lt;="&amp;R$47,Assignments!$AM$2:$AM$769,"&gt;="&amp;R$47))</f>
        <v/>
      </c>
      <c r="S56" s="11">
        <f>IF($A56="","",SUMIFS(Assignments!$AK$2:$AK$769,Assignments!$A$2:$A$769,$A56,Assignments!$G$2:$G$769,"Active",Assignments!$AI$2:$AI$769,"&lt;="&amp;S$47,Assignments!$AJ$2:$AJ$769,"&gt;="&amp;S$47)+SUMIFS(Assignments!$AN$2:$AN$769,Assignments!$A$2:$A$769,$A56,Assignments!$G$2:$G$769,"Active",Assignments!$AL$2:$AL$769,"&lt;="&amp;S$47,Assignments!$AM$2:$AM$769,"&gt;="&amp;S$47))</f>
        <v/>
      </c>
      <c r="T56" s="11">
        <f>IF($A56="","",SUMIFS(Assignments!$AK$2:$AK$769,Assignments!$A$2:$A$769,$A56,Assignments!$G$2:$G$769,"Active",Assignments!$AI$2:$AI$769,"&lt;="&amp;T$47,Assignments!$AJ$2:$AJ$769,"&gt;="&amp;T$47)+SUMIFS(Assignments!$AN$2:$AN$769,Assignments!$A$2:$A$769,$A56,Assignments!$G$2:$G$769,"Active",Assignments!$AL$2:$AL$769,"&lt;="&amp;T$47,Assignments!$AM$2:$AM$769,"&gt;="&amp;T$47))</f>
        <v/>
      </c>
      <c r="U56" s="11">
        <f>IF($A56="","",SUMIFS(Assignments!$AK$2:$AK$769,Assignments!$A$2:$A$769,$A56,Assignments!$G$2:$G$769,"Active",Assignments!$AI$2:$AI$769,"&lt;="&amp;U$47,Assignments!$AJ$2:$AJ$769,"&gt;="&amp;U$47)+SUMIFS(Assignments!$AN$2:$AN$769,Assignments!$A$2:$A$769,$A56,Assignments!$G$2:$G$769,"Active",Assignments!$AL$2:$AL$769,"&lt;="&amp;U$47,Assignments!$AM$2:$AM$769,"&gt;="&amp;U$47))</f>
        <v/>
      </c>
      <c r="V56" s="11">
        <f>IF($A56="","",SUMIFS(Assignments!$AK$2:$AK$769,Assignments!$A$2:$A$769,$A56,Assignments!$G$2:$G$769,"Active",Assignments!$AI$2:$AI$769,"&lt;="&amp;V$47,Assignments!$AJ$2:$AJ$769,"&gt;="&amp;V$47)+SUMIFS(Assignments!$AN$2:$AN$769,Assignments!$A$2:$A$769,$A56,Assignments!$G$2:$G$769,"Active",Assignments!$AL$2:$AL$769,"&lt;="&amp;V$47,Assignments!$AM$2:$AM$769,"&gt;="&amp;V$47))</f>
        <v/>
      </c>
      <c r="W56" s="11">
        <f>IF($A56="","",SUMIFS(Assignments!$AK$2:$AK$769,Assignments!$A$2:$A$769,$A56,Assignments!$G$2:$G$769,"Active",Assignments!$AI$2:$AI$769,"&lt;="&amp;W$47,Assignments!$AJ$2:$AJ$769,"&gt;="&amp;W$47)+SUMIFS(Assignments!$AN$2:$AN$769,Assignments!$A$2:$A$769,$A56,Assignments!$G$2:$G$769,"Active",Assignments!$AL$2:$AL$769,"&lt;="&amp;W$47,Assignments!$AM$2:$AM$769,"&gt;="&amp;W$47))</f>
        <v/>
      </c>
      <c r="X56" s="11">
        <f>IF($A56="","",SUMIFS(Assignments!$AK$2:$AK$769,Assignments!$A$2:$A$769,$A56,Assignments!$G$2:$G$769,"Active",Assignments!$AI$2:$AI$769,"&lt;="&amp;X$47,Assignments!$AJ$2:$AJ$769,"&gt;="&amp;X$47)+SUMIFS(Assignments!$AN$2:$AN$769,Assignments!$A$2:$A$769,$A56,Assignments!$G$2:$G$769,"Active",Assignments!$AL$2:$AL$769,"&lt;="&amp;X$47,Assignments!$AM$2:$AM$769,"&gt;="&amp;X$47))</f>
        <v/>
      </c>
      <c r="Y56" s="11">
        <f>IF($A56="","",SUMIFS(Assignments!$AK$2:$AK$769,Assignments!$A$2:$A$769,$A56,Assignments!$G$2:$G$769,"Active",Assignments!$AI$2:$AI$769,"&lt;="&amp;Y$47,Assignments!$AJ$2:$AJ$769,"&gt;="&amp;Y$47)+SUMIFS(Assignments!$AN$2:$AN$769,Assignments!$A$2:$A$769,$A56,Assignments!$G$2:$G$769,"Active",Assignments!$AL$2:$AL$769,"&lt;="&amp;Y$47,Assignments!$AM$2:$AM$769,"&gt;="&amp;Y$47))</f>
        <v/>
      </c>
      <c r="Z56" s="11">
        <f>IF($A56="","",SUMIFS(Assignments!$AK$2:$AK$769,Assignments!$A$2:$A$769,$A56,Assignments!$G$2:$G$769,"Active",Assignments!$AI$2:$AI$769,"&lt;="&amp;Z$47,Assignments!$AJ$2:$AJ$769,"&gt;="&amp;Z$47)+SUMIFS(Assignments!$AN$2:$AN$769,Assignments!$A$2:$A$769,$A56,Assignments!$G$2:$G$769,"Active",Assignments!$AL$2:$AL$769,"&lt;="&amp;Z$47,Assignments!$AM$2:$AM$769,"&gt;="&amp;Z$47))</f>
        <v/>
      </c>
      <c r="AA56" s="11">
        <f>IF($A56="","",SUMIFS(Assignments!$AK$2:$AK$769,Assignments!$A$2:$A$769,$A56,Assignments!$G$2:$G$769,"Active",Assignments!$AI$2:$AI$769,"&lt;="&amp;AA$47,Assignments!$AJ$2:$AJ$769,"&gt;="&amp;AA$47)+SUMIFS(Assignments!$AN$2:$AN$769,Assignments!$A$2:$A$769,$A56,Assignments!$G$2:$G$769,"Active",Assignments!$AL$2:$AL$769,"&lt;="&amp;AA$47,Assignments!$AM$2:$AM$769,"&gt;="&amp;AA$47))</f>
        <v/>
      </c>
      <c r="AB56" s="11">
        <f>IF($A56="","",SUMIFS(Assignments!$AK$2:$AK$769,Assignments!$A$2:$A$769,$A56,Assignments!$G$2:$G$769,"Active",Assignments!$AI$2:$AI$769,"&lt;="&amp;AB$47,Assignments!$AJ$2:$AJ$769,"&gt;="&amp;AB$47)+SUMIFS(Assignments!$AN$2:$AN$769,Assignments!$A$2:$A$769,$A56,Assignments!$G$2:$G$769,"Active",Assignments!$AL$2:$AL$769,"&lt;="&amp;AB$47,Assignments!$AM$2:$AM$769,"&gt;="&amp;AB$47))</f>
        <v/>
      </c>
    </row>
    <row r="57">
      <c r="A57" s="9">
        <f>IF(Roster!$A11="","",Roster!$A11)</f>
        <v/>
      </c>
      <c r="B57" s="10">
        <f>IF($A57="","",IFERROR(INDEX(Roster!$D$2:$D$40,MATCH($A57,Roster!$A$2:$A$40,0)),""))</f>
        <v/>
      </c>
      <c r="C57" s="11">
        <f>IF($A57="","",SUMIFS(Assignments!$AK$2:$AK$769,Assignments!$A$2:$A$769,$A57,Assignments!$G$2:$G$769,"Active",Assignments!$AI$2:$AI$769,"&lt;="&amp;C$47,Assignments!$AJ$2:$AJ$769,"&gt;="&amp;C$47)+SUMIFS(Assignments!$AN$2:$AN$769,Assignments!$A$2:$A$769,$A57,Assignments!$G$2:$G$769,"Active",Assignments!$AL$2:$AL$769,"&lt;="&amp;C$47,Assignments!$AM$2:$AM$769,"&gt;="&amp;C$47))</f>
        <v/>
      </c>
      <c r="D57" s="11">
        <f>IF($A57="","",SUMIFS(Assignments!$AK$2:$AK$769,Assignments!$A$2:$A$769,$A57,Assignments!$G$2:$G$769,"Active",Assignments!$AI$2:$AI$769,"&lt;="&amp;D$47,Assignments!$AJ$2:$AJ$769,"&gt;="&amp;D$47)+SUMIFS(Assignments!$AN$2:$AN$769,Assignments!$A$2:$A$769,$A57,Assignments!$G$2:$G$769,"Active",Assignments!$AL$2:$AL$769,"&lt;="&amp;D$47,Assignments!$AM$2:$AM$769,"&gt;="&amp;D$47))</f>
        <v/>
      </c>
      <c r="E57" s="11">
        <f>IF($A57="","",SUMIFS(Assignments!$AK$2:$AK$769,Assignments!$A$2:$A$769,$A57,Assignments!$G$2:$G$769,"Active",Assignments!$AI$2:$AI$769,"&lt;="&amp;E$47,Assignments!$AJ$2:$AJ$769,"&gt;="&amp;E$47)+SUMIFS(Assignments!$AN$2:$AN$769,Assignments!$A$2:$A$769,$A57,Assignments!$G$2:$G$769,"Active",Assignments!$AL$2:$AL$769,"&lt;="&amp;E$47,Assignments!$AM$2:$AM$769,"&gt;="&amp;E$47))</f>
        <v/>
      </c>
      <c r="F57" s="11">
        <f>IF($A57="","",SUMIFS(Assignments!$AK$2:$AK$769,Assignments!$A$2:$A$769,$A57,Assignments!$G$2:$G$769,"Active",Assignments!$AI$2:$AI$769,"&lt;="&amp;F$47,Assignments!$AJ$2:$AJ$769,"&gt;="&amp;F$47)+SUMIFS(Assignments!$AN$2:$AN$769,Assignments!$A$2:$A$769,$A57,Assignments!$G$2:$G$769,"Active",Assignments!$AL$2:$AL$769,"&lt;="&amp;F$47,Assignments!$AM$2:$AM$769,"&gt;="&amp;F$47))</f>
        <v/>
      </c>
      <c r="G57" s="11">
        <f>IF($A57="","",SUMIFS(Assignments!$AK$2:$AK$769,Assignments!$A$2:$A$769,$A57,Assignments!$G$2:$G$769,"Active",Assignments!$AI$2:$AI$769,"&lt;="&amp;G$47,Assignments!$AJ$2:$AJ$769,"&gt;="&amp;G$47)+SUMIFS(Assignments!$AN$2:$AN$769,Assignments!$A$2:$A$769,$A57,Assignments!$G$2:$G$769,"Active",Assignments!$AL$2:$AL$769,"&lt;="&amp;G$47,Assignments!$AM$2:$AM$769,"&gt;="&amp;G$47))</f>
        <v/>
      </c>
      <c r="H57" s="11">
        <f>IF($A57="","",SUMIFS(Assignments!$AK$2:$AK$769,Assignments!$A$2:$A$769,$A57,Assignments!$G$2:$G$769,"Active",Assignments!$AI$2:$AI$769,"&lt;="&amp;H$47,Assignments!$AJ$2:$AJ$769,"&gt;="&amp;H$47)+SUMIFS(Assignments!$AN$2:$AN$769,Assignments!$A$2:$A$769,$A57,Assignments!$G$2:$G$769,"Active",Assignments!$AL$2:$AL$769,"&lt;="&amp;H$47,Assignments!$AM$2:$AM$769,"&gt;="&amp;H$47))</f>
        <v/>
      </c>
      <c r="I57" s="11">
        <f>IF($A57="","",SUMIFS(Assignments!$AK$2:$AK$769,Assignments!$A$2:$A$769,$A57,Assignments!$G$2:$G$769,"Active",Assignments!$AI$2:$AI$769,"&lt;="&amp;I$47,Assignments!$AJ$2:$AJ$769,"&gt;="&amp;I$47)+SUMIFS(Assignments!$AN$2:$AN$769,Assignments!$A$2:$A$769,$A57,Assignments!$G$2:$G$769,"Active",Assignments!$AL$2:$AL$769,"&lt;="&amp;I$47,Assignments!$AM$2:$AM$769,"&gt;="&amp;I$47))</f>
        <v/>
      </c>
      <c r="J57" s="11">
        <f>IF($A57="","",SUMIFS(Assignments!$AK$2:$AK$769,Assignments!$A$2:$A$769,$A57,Assignments!$G$2:$G$769,"Active",Assignments!$AI$2:$AI$769,"&lt;="&amp;J$47,Assignments!$AJ$2:$AJ$769,"&gt;="&amp;J$47)+SUMIFS(Assignments!$AN$2:$AN$769,Assignments!$A$2:$A$769,$A57,Assignments!$G$2:$G$769,"Active",Assignments!$AL$2:$AL$769,"&lt;="&amp;J$47,Assignments!$AM$2:$AM$769,"&gt;="&amp;J$47))</f>
        <v/>
      </c>
      <c r="K57" s="11">
        <f>IF($A57="","",SUMIFS(Assignments!$AK$2:$AK$769,Assignments!$A$2:$A$769,$A57,Assignments!$G$2:$G$769,"Active",Assignments!$AI$2:$AI$769,"&lt;="&amp;K$47,Assignments!$AJ$2:$AJ$769,"&gt;="&amp;K$47)+SUMIFS(Assignments!$AN$2:$AN$769,Assignments!$A$2:$A$769,$A57,Assignments!$G$2:$G$769,"Active",Assignments!$AL$2:$AL$769,"&lt;="&amp;K$47,Assignments!$AM$2:$AM$769,"&gt;="&amp;K$47))</f>
        <v/>
      </c>
      <c r="L57" s="11">
        <f>IF($A57="","",SUMIFS(Assignments!$AK$2:$AK$769,Assignments!$A$2:$A$769,$A57,Assignments!$G$2:$G$769,"Active",Assignments!$AI$2:$AI$769,"&lt;="&amp;L$47,Assignments!$AJ$2:$AJ$769,"&gt;="&amp;L$47)+SUMIFS(Assignments!$AN$2:$AN$769,Assignments!$A$2:$A$769,$A57,Assignments!$G$2:$G$769,"Active",Assignments!$AL$2:$AL$769,"&lt;="&amp;L$47,Assignments!$AM$2:$AM$769,"&gt;="&amp;L$47))</f>
        <v/>
      </c>
      <c r="M57" s="11">
        <f>IF($A57="","",SUMIFS(Assignments!$AK$2:$AK$769,Assignments!$A$2:$A$769,$A57,Assignments!$G$2:$G$769,"Active",Assignments!$AI$2:$AI$769,"&lt;="&amp;M$47,Assignments!$AJ$2:$AJ$769,"&gt;="&amp;M$47)+SUMIFS(Assignments!$AN$2:$AN$769,Assignments!$A$2:$A$769,$A57,Assignments!$G$2:$G$769,"Active",Assignments!$AL$2:$AL$769,"&lt;="&amp;M$47,Assignments!$AM$2:$AM$769,"&gt;="&amp;M$47))</f>
        <v/>
      </c>
      <c r="N57" s="11">
        <f>IF($A57="","",SUMIFS(Assignments!$AK$2:$AK$769,Assignments!$A$2:$A$769,$A57,Assignments!$G$2:$G$769,"Active",Assignments!$AI$2:$AI$769,"&lt;="&amp;N$47,Assignments!$AJ$2:$AJ$769,"&gt;="&amp;N$47)+SUMIFS(Assignments!$AN$2:$AN$769,Assignments!$A$2:$A$769,$A57,Assignments!$G$2:$G$769,"Active",Assignments!$AL$2:$AL$769,"&lt;="&amp;N$47,Assignments!$AM$2:$AM$769,"&gt;="&amp;N$47))</f>
        <v/>
      </c>
      <c r="O57" s="11">
        <f>IF($A57="","",SUMIFS(Assignments!$AK$2:$AK$769,Assignments!$A$2:$A$769,$A57,Assignments!$G$2:$G$769,"Active",Assignments!$AI$2:$AI$769,"&lt;="&amp;O$47,Assignments!$AJ$2:$AJ$769,"&gt;="&amp;O$47)+SUMIFS(Assignments!$AN$2:$AN$769,Assignments!$A$2:$A$769,$A57,Assignments!$G$2:$G$769,"Active",Assignments!$AL$2:$AL$769,"&lt;="&amp;O$47,Assignments!$AM$2:$AM$769,"&gt;="&amp;O$47))</f>
        <v/>
      </c>
      <c r="P57" s="11">
        <f>IF($A57="","",SUMIFS(Assignments!$AK$2:$AK$769,Assignments!$A$2:$A$769,$A57,Assignments!$G$2:$G$769,"Active",Assignments!$AI$2:$AI$769,"&lt;="&amp;P$47,Assignments!$AJ$2:$AJ$769,"&gt;="&amp;P$47)+SUMIFS(Assignments!$AN$2:$AN$769,Assignments!$A$2:$A$769,$A57,Assignments!$G$2:$G$769,"Active",Assignments!$AL$2:$AL$769,"&lt;="&amp;P$47,Assignments!$AM$2:$AM$769,"&gt;="&amp;P$47))</f>
        <v/>
      </c>
      <c r="Q57" s="11">
        <f>IF($A57="","",SUMIFS(Assignments!$AK$2:$AK$769,Assignments!$A$2:$A$769,$A57,Assignments!$G$2:$G$769,"Active",Assignments!$AI$2:$AI$769,"&lt;="&amp;Q$47,Assignments!$AJ$2:$AJ$769,"&gt;="&amp;Q$47)+SUMIFS(Assignments!$AN$2:$AN$769,Assignments!$A$2:$A$769,$A57,Assignments!$G$2:$G$769,"Active",Assignments!$AL$2:$AL$769,"&lt;="&amp;Q$47,Assignments!$AM$2:$AM$769,"&gt;="&amp;Q$47))</f>
        <v/>
      </c>
      <c r="R57" s="11">
        <f>IF($A57="","",SUMIFS(Assignments!$AK$2:$AK$769,Assignments!$A$2:$A$769,$A57,Assignments!$G$2:$G$769,"Active",Assignments!$AI$2:$AI$769,"&lt;="&amp;R$47,Assignments!$AJ$2:$AJ$769,"&gt;="&amp;R$47)+SUMIFS(Assignments!$AN$2:$AN$769,Assignments!$A$2:$A$769,$A57,Assignments!$G$2:$G$769,"Active",Assignments!$AL$2:$AL$769,"&lt;="&amp;R$47,Assignments!$AM$2:$AM$769,"&gt;="&amp;R$47))</f>
        <v/>
      </c>
      <c r="S57" s="11">
        <f>IF($A57="","",SUMIFS(Assignments!$AK$2:$AK$769,Assignments!$A$2:$A$769,$A57,Assignments!$G$2:$G$769,"Active",Assignments!$AI$2:$AI$769,"&lt;="&amp;S$47,Assignments!$AJ$2:$AJ$769,"&gt;="&amp;S$47)+SUMIFS(Assignments!$AN$2:$AN$769,Assignments!$A$2:$A$769,$A57,Assignments!$G$2:$G$769,"Active",Assignments!$AL$2:$AL$769,"&lt;="&amp;S$47,Assignments!$AM$2:$AM$769,"&gt;="&amp;S$47))</f>
        <v/>
      </c>
      <c r="T57" s="11">
        <f>IF($A57="","",SUMIFS(Assignments!$AK$2:$AK$769,Assignments!$A$2:$A$769,$A57,Assignments!$G$2:$G$769,"Active",Assignments!$AI$2:$AI$769,"&lt;="&amp;T$47,Assignments!$AJ$2:$AJ$769,"&gt;="&amp;T$47)+SUMIFS(Assignments!$AN$2:$AN$769,Assignments!$A$2:$A$769,$A57,Assignments!$G$2:$G$769,"Active",Assignments!$AL$2:$AL$769,"&lt;="&amp;T$47,Assignments!$AM$2:$AM$769,"&gt;="&amp;T$47))</f>
        <v/>
      </c>
      <c r="U57" s="11">
        <f>IF($A57="","",SUMIFS(Assignments!$AK$2:$AK$769,Assignments!$A$2:$A$769,$A57,Assignments!$G$2:$G$769,"Active",Assignments!$AI$2:$AI$769,"&lt;="&amp;U$47,Assignments!$AJ$2:$AJ$769,"&gt;="&amp;U$47)+SUMIFS(Assignments!$AN$2:$AN$769,Assignments!$A$2:$A$769,$A57,Assignments!$G$2:$G$769,"Active",Assignments!$AL$2:$AL$769,"&lt;="&amp;U$47,Assignments!$AM$2:$AM$769,"&gt;="&amp;U$47))</f>
        <v/>
      </c>
      <c r="V57" s="11">
        <f>IF($A57="","",SUMIFS(Assignments!$AK$2:$AK$769,Assignments!$A$2:$A$769,$A57,Assignments!$G$2:$G$769,"Active",Assignments!$AI$2:$AI$769,"&lt;="&amp;V$47,Assignments!$AJ$2:$AJ$769,"&gt;="&amp;V$47)+SUMIFS(Assignments!$AN$2:$AN$769,Assignments!$A$2:$A$769,$A57,Assignments!$G$2:$G$769,"Active",Assignments!$AL$2:$AL$769,"&lt;="&amp;V$47,Assignments!$AM$2:$AM$769,"&gt;="&amp;V$47))</f>
        <v/>
      </c>
      <c r="W57" s="11">
        <f>IF($A57="","",SUMIFS(Assignments!$AK$2:$AK$769,Assignments!$A$2:$A$769,$A57,Assignments!$G$2:$G$769,"Active",Assignments!$AI$2:$AI$769,"&lt;="&amp;W$47,Assignments!$AJ$2:$AJ$769,"&gt;="&amp;W$47)+SUMIFS(Assignments!$AN$2:$AN$769,Assignments!$A$2:$A$769,$A57,Assignments!$G$2:$G$769,"Active",Assignments!$AL$2:$AL$769,"&lt;="&amp;W$47,Assignments!$AM$2:$AM$769,"&gt;="&amp;W$47))</f>
        <v/>
      </c>
      <c r="X57" s="11">
        <f>IF($A57="","",SUMIFS(Assignments!$AK$2:$AK$769,Assignments!$A$2:$A$769,$A57,Assignments!$G$2:$G$769,"Active",Assignments!$AI$2:$AI$769,"&lt;="&amp;X$47,Assignments!$AJ$2:$AJ$769,"&gt;="&amp;X$47)+SUMIFS(Assignments!$AN$2:$AN$769,Assignments!$A$2:$A$769,$A57,Assignments!$G$2:$G$769,"Active",Assignments!$AL$2:$AL$769,"&lt;="&amp;X$47,Assignments!$AM$2:$AM$769,"&gt;="&amp;X$47))</f>
        <v/>
      </c>
      <c r="Y57" s="11">
        <f>IF($A57="","",SUMIFS(Assignments!$AK$2:$AK$769,Assignments!$A$2:$A$769,$A57,Assignments!$G$2:$G$769,"Active",Assignments!$AI$2:$AI$769,"&lt;="&amp;Y$47,Assignments!$AJ$2:$AJ$769,"&gt;="&amp;Y$47)+SUMIFS(Assignments!$AN$2:$AN$769,Assignments!$A$2:$A$769,$A57,Assignments!$G$2:$G$769,"Active",Assignments!$AL$2:$AL$769,"&lt;="&amp;Y$47,Assignments!$AM$2:$AM$769,"&gt;="&amp;Y$47))</f>
        <v/>
      </c>
      <c r="Z57" s="11">
        <f>IF($A57="","",SUMIFS(Assignments!$AK$2:$AK$769,Assignments!$A$2:$A$769,$A57,Assignments!$G$2:$G$769,"Active",Assignments!$AI$2:$AI$769,"&lt;="&amp;Z$47,Assignments!$AJ$2:$AJ$769,"&gt;="&amp;Z$47)+SUMIFS(Assignments!$AN$2:$AN$769,Assignments!$A$2:$A$769,$A57,Assignments!$G$2:$G$769,"Active",Assignments!$AL$2:$AL$769,"&lt;="&amp;Z$47,Assignments!$AM$2:$AM$769,"&gt;="&amp;Z$47))</f>
        <v/>
      </c>
      <c r="AA57" s="11">
        <f>IF($A57="","",SUMIFS(Assignments!$AK$2:$AK$769,Assignments!$A$2:$A$769,$A57,Assignments!$G$2:$G$769,"Active",Assignments!$AI$2:$AI$769,"&lt;="&amp;AA$47,Assignments!$AJ$2:$AJ$769,"&gt;="&amp;AA$47)+SUMIFS(Assignments!$AN$2:$AN$769,Assignments!$A$2:$A$769,$A57,Assignments!$G$2:$G$769,"Active",Assignments!$AL$2:$AL$769,"&lt;="&amp;AA$47,Assignments!$AM$2:$AM$769,"&gt;="&amp;AA$47))</f>
        <v/>
      </c>
      <c r="AB57" s="11">
        <f>IF($A57="","",SUMIFS(Assignments!$AK$2:$AK$769,Assignments!$A$2:$A$769,$A57,Assignments!$G$2:$G$769,"Active",Assignments!$AI$2:$AI$769,"&lt;="&amp;AB$47,Assignments!$AJ$2:$AJ$769,"&gt;="&amp;AB$47)+SUMIFS(Assignments!$AN$2:$AN$769,Assignments!$A$2:$A$769,$A57,Assignments!$G$2:$G$769,"Active",Assignments!$AL$2:$AL$769,"&lt;="&amp;AB$47,Assignments!$AM$2:$AM$769,"&gt;="&amp;AB$47))</f>
        <v/>
      </c>
    </row>
    <row r="58">
      <c r="A58" s="9">
        <f>IF(Roster!$A12="","",Roster!$A12)</f>
        <v/>
      </c>
      <c r="B58" s="10">
        <f>IF($A58="","",IFERROR(INDEX(Roster!$D$2:$D$40,MATCH($A58,Roster!$A$2:$A$40,0)),""))</f>
        <v/>
      </c>
      <c r="C58" s="11">
        <f>IF($A58="","",SUMIFS(Assignments!$AK$2:$AK$769,Assignments!$A$2:$A$769,$A58,Assignments!$G$2:$G$769,"Active",Assignments!$AI$2:$AI$769,"&lt;="&amp;C$47,Assignments!$AJ$2:$AJ$769,"&gt;="&amp;C$47)+SUMIFS(Assignments!$AN$2:$AN$769,Assignments!$A$2:$A$769,$A58,Assignments!$G$2:$G$769,"Active",Assignments!$AL$2:$AL$769,"&lt;="&amp;C$47,Assignments!$AM$2:$AM$769,"&gt;="&amp;C$47))</f>
        <v/>
      </c>
      <c r="D58" s="11">
        <f>IF($A58="","",SUMIFS(Assignments!$AK$2:$AK$769,Assignments!$A$2:$A$769,$A58,Assignments!$G$2:$G$769,"Active",Assignments!$AI$2:$AI$769,"&lt;="&amp;D$47,Assignments!$AJ$2:$AJ$769,"&gt;="&amp;D$47)+SUMIFS(Assignments!$AN$2:$AN$769,Assignments!$A$2:$A$769,$A58,Assignments!$G$2:$G$769,"Active",Assignments!$AL$2:$AL$769,"&lt;="&amp;D$47,Assignments!$AM$2:$AM$769,"&gt;="&amp;D$47))</f>
        <v/>
      </c>
      <c r="E58" s="11">
        <f>IF($A58="","",SUMIFS(Assignments!$AK$2:$AK$769,Assignments!$A$2:$A$769,$A58,Assignments!$G$2:$G$769,"Active",Assignments!$AI$2:$AI$769,"&lt;="&amp;E$47,Assignments!$AJ$2:$AJ$769,"&gt;="&amp;E$47)+SUMIFS(Assignments!$AN$2:$AN$769,Assignments!$A$2:$A$769,$A58,Assignments!$G$2:$G$769,"Active",Assignments!$AL$2:$AL$769,"&lt;="&amp;E$47,Assignments!$AM$2:$AM$769,"&gt;="&amp;E$47))</f>
        <v/>
      </c>
      <c r="F58" s="11">
        <f>IF($A58="","",SUMIFS(Assignments!$AK$2:$AK$769,Assignments!$A$2:$A$769,$A58,Assignments!$G$2:$G$769,"Active",Assignments!$AI$2:$AI$769,"&lt;="&amp;F$47,Assignments!$AJ$2:$AJ$769,"&gt;="&amp;F$47)+SUMIFS(Assignments!$AN$2:$AN$769,Assignments!$A$2:$A$769,$A58,Assignments!$G$2:$G$769,"Active",Assignments!$AL$2:$AL$769,"&lt;="&amp;F$47,Assignments!$AM$2:$AM$769,"&gt;="&amp;F$47))</f>
        <v/>
      </c>
      <c r="G58" s="11">
        <f>IF($A58="","",SUMIFS(Assignments!$AK$2:$AK$769,Assignments!$A$2:$A$769,$A58,Assignments!$G$2:$G$769,"Active",Assignments!$AI$2:$AI$769,"&lt;="&amp;G$47,Assignments!$AJ$2:$AJ$769,"&gt;="&amp;G$47)+SUMIFS(Assignments!$AN$2:$AN$769,Assignments!$A$2:$A$769,$A58,Assignments!$G$2:$G$769,"Active",Assignments!$AL$2:$AL$769,"&lt;="&amp;G$47,Assignments!$AM$2:$AM$769,"&gt;="&amp;G$47))</f>
        <v/>
      </c>
      <c r="H58" s="11">
        <f>IF($A58="","",SUMIFS(Assignments!$AK$2:$AK$769,Assignments!$A$2:$A$769,$A58,Assignments!$G$2:$G$769,"Active",Assignments!$AI$2:$AI$769,"&lt;="&amp;H$47,Assignments!$AJ$2:$AJ$769,"&gt;="&amp;H$47)+SUMIFS(Assignments!$AN$2:$AN$769,Assignments!$A$2:$A$769,$A58,Assignments!$G$2:$G$769,"Active",Assignments!$AL$2:$AL$769,"&lt;="&amp;H$47,Assignments!$AM$2:$AM$769,"&gt;="&amp;H$47))</f>
        <v/>
      </c>
      <c r="I58" s="11">
        <f>IF($A58="","",SUMIFS(Assignments!$AK$2:$AK$769,Assignments!$A$2:$A$769,$A58,Assignments!$G$2:$G$769,"Active",Assignments!$AI$2:$AI$769,"&lt;="&amp;I$47,Assignments!$AJ$2:$AJ$769,"&gt;="&amp;I$47)+SUMIFS(Assignments!$AN$2:$AN$769,Assignments!$A$2:$A$769,$A58,Assignments!$G$2:$G$769,"Active",Assignments!$AL$2:$AL$769,"&lt;="&amp;I$47,Assignments!$AM$2:$AM$769,"&gt;="&amp;I$47))</f>
        <v/>
      </c>
      <c r="J58" s="11">
        <f>IF($A58="","",SUMIFS(Assignments!$AK$2:$AK$769,Assignments!$A$2:$A$769,$A58,Assignments!$G$2:$G$769,"Active",Assignments!$AI$2:$AI$769,"&lt;="&amp;J$47,Assignments!$AJ$2:$AJ$769,"&gt;="&amp;J$47)+SUMIFS(Assignments!$AN$2:$AN$769,Assignments!$A$2:$A$769,$A58,Assignments!$G$2:$G$769,"Active",Assignments!$AL$2:$AL$769,"&lt;="&amp;J$47,Assignments!$AM$2:$AM$769,"&gt;="&amp;J$47))</f>
        <v/>
      </c>
      <c r="K58" s="11">
        <f>IF($A58="","",SUMIFS(Assignments!$AK$2:$AK$769,Assignments!$A$2:$A$769,$A58,Assignments!$G$2:$G$769,"Active",Assignments!$AI$2:$AI$769,"&lt;="&amp;K$47,Assignments!$AJ$2:$AJ$769,"&gt;="&amp;K$47)+SUMIFS(Assignments!$AN$2:$AN$769,Assignments!$A$2:$A$769,$A58,Assignments!$G$2:$G$769,"Active",Assignments!$AL$2:$AL$769,"&lt;="&amp;K$47,Assignments!$AM$2:$AM$769,"&gt;="&amp;K$47))</f>
        <v/>
      </c>
      <c r="L58" s="11">
        <f>IF($A58="","",SUMIFS(Assignments!$AK$2:$AK$769,Assignments!$A$2:$A$769,$A58,Assignments!$G$2:$G$769,"Active",Assignments!$AI$2:$AI$769,"&lt;="&amp;L$47,Assignments!$AJ$2:$AJ$769,"&gt;="&amp;L$47)+SUMIFS(Assignments!$AN$2:$AN$769,Assignments!$A$2:$A$769,$A58,Assignments!$G$2:$G$769,"Active",Assignments!$AL$2:$AL$769,"&lt;="&amp;L$47,Assignments!$AM$2:$AM$769,"&gt;="&amp;L$47))</f>
        <v/>
      </c>
      <c r="M58" s="11">
        <f>IF($A58="","",SUMIFS(Assignments!$AK$2:$AK$769,Assignments!$A$2:$A$769,$A58,Assignments!$G$2:$G$769,"Active",Assignments!$AI$2:$AI$769,"&lt;="&amp;M$47,Assignments!$AJ$2:$AJ$769,"&gt;="&amp;M$47)+SUMIFS(Assignments!$AN$2:$AN$769,Assignments!$A$2:$A$769,$A58,Assignments!$G$2:$G$769,"Active",Assignments!$AL$2:$AL$769,"&lt;="&amp;M$47,Assignments!$AM$2:$AM$769,"&gt;="&amp;M$47))</f>
        <v/>
      </c>
      <c r="N58" s="11">
        <f>IF($A58="","",SUMIFS(Assignments!$AK$2:$AK$769,Assignments!$A$2:$A$769,$A58,Assignments!$G$2:$G$769,"Active",Assignments!$AI$2:$AI$769,"&lt;="&amp;N$47,Assignments!$AJ$2:$AJ$769,"&gt;="&amp;N$47)+SUMIFS(Assignments!$AN$2:$AN$769,Assignments!$A$2:$A$769,$A58,Assignments!$G$2:$G$769,"Active",Assignments!$AL$2:$AL$769,"&lt;="&amp;N$47,Assignments!$AM$2:$AM$769,"&gt;="&amp;N$47))</f>
        <v/>
      </c>
      <c r="O58" s="11">
        <f>IF($A58="","",SUMIFS(Assignments!$AK$2:$AK$769,Assignments!$A$2:$A$769,$A58,Assignments!$G$2:$G$769,"Active",Assignments!$AI$2:$AI$769,"&lt;="&amp;O$47,Assignments!$AJ$2:$AJ$769,"&gt;="&amp;O$47)+SUMIFS(Assignments!$AN$2:$AN$769,Assignments!$A$2:$A$769,$A58,Assignments!$G$2:$G$769,"Active",Assignments!$AL$2:$AL$769,"&lt;="&amp;O$47,Assignments!$AM$2:$AM$769,"&gt;="&amp;O$47))</f>
        <v/>
      </c>
      <c r="P58" s="11">
        <f>IF($A58="","",SUMIFS(Assignments!$AK$2:$AK$769,Assignments!$A$2:$A$769,$A58,Assignments!$G$2:$G$769,"Active",Assignments!$AI$2:$AI$769,"&lt;="&amp;P$47,Assignments!$AJ$2:$AJ$769,"&gt;="&amp;P$47)+SUMIFS(Assignments!$AN$2:$AN$769,Assignments!$A$2:$A$769,$A58,Assignments!$G$2:$G$769,"Active",Assignments!$AL$2:$AL$769,"&lt;="&amp;P$47,Assignments!$AM$2:$AM$769,"&gt;="&amp;P$47))</f>
        <v/>
      </c>
      <c r="Q58" s="11">
        <f>IF($A58="","",SUMIFS(Assignments!$AK$2:$AK$769,Assignments!$A$2:$A$769,$A58,Assignments!$G$2:$G$769,"Active",Assignments!$AI$2:$AI$769,"&lt;="&amp;Q$47,Assignments!$AJ$2:$AJ$769,"&gt;="&amp;Q$47)+SUMIFS(Assignments!$AN$2:$AN$769,Assignments!$A$2:$A$769,$A58,Assignments!$G$2:$G$769,"Active",Assignments!$AL$2:$AL$769,"&lt;="&amp;Q$47,Assignments!$AM$2:$AM$769,"&gt;="&amp;Q$47))</f>
        <v/>
      </c>
      <c r="R58" s="11">
        <f>IF($A58="","",SUMIFS(Assignments!$AK$2:$AK$769,Assignments!$A$2:$A$769,$A58,Assignments!$G$2:$G$769,"Active",Assignments!$AI$2:$AI$769,"&lt;="&amp;R$47,Assignments!$AJ$2:$AJ$769,"&gt;="&amp;R$47)+SUMIFS(Assignments!$AN$2:$AN$769,Assignments!$A$2:$A$769,$A58,Assignments!$G$2:$G$769,"Active",Assignments!$AL$2:$AL$769,"&lt;="&amp;R$47,Assignments!$AM$2:$AM$769,"&gt;="&amp;R$47))</f>
        <v/>
      </c>
      <c r="S58" s="11">
        <f>IF($A58="","",SUMIFS(Assignments!$AK$2:$AK$769,Assignments!$A$2:$A$769,$A58,Assignments!$G$2:$G$769,"Active",Assignments!$AI$2:$AI$769,"&lt;="&amp;S$47,Assignments!$AJ$2:$AJ$769,"&gt;="&amp;S$47)+SUMIFS(Assignments!$AN$2:$AN$769,Assignments!$A$2:$A$769,$A58,Assignments!$G$2:$G$769,"Active",Assignments!$AL$2:$AL$769,"&lt;="&amp;S$47,Assignments!$AM$2:$AM$769,"&gt;="&amp;S$47))</f>
        <v/>
      </c>
      <c r="T58" s="11">
        <f>IF($A58="","",SUMIFS(Assignments!$AK$2:$AK$769,Assignments!$A$2:$A$769,$A58,Assignments!$G$2:$G$769,"Active",Assignments!$AI$2:$AI$769,"&lt;="&amp;T$47,Assignments!$AJ$2:$AJ$769,"&gt;="&amp;T$47)+SUMIFS(Assignments!$AN$2:$AN$769,Assignments!$A$2:$A$769,$A58,Assignments!$G$2:$G$769,"Active",Assignments!$AL$2:$AL$769,"&lt;="&amp;T$47,Assignments!$AM$2:$AM$769,"&gt;="&amp;T$47))</f>
        <v/>
      </c>
      <c r="U58" s="11">
        <f>IF($A58="","",SUMIFS(Assignments!$AK$2:$AK$769,Assignments!$A$2:$A$769,$A58,Assignments!$G$2:$G$769,"Active",Assignments!$AI$2:$AI$769,"&lt;="&amp;U$47,Assignments!$AJ$2:$AJ$769,"&gt;="&amp;U$47)+SUMIFS(Assignments!$AN$2:$AN$769,Assignments!$A$2:$A$769,$A58,Assignments!$G$2:$G$769,"Active",Assignments!$AL$2:$AL$769,"&lt;="&amp;U$47,Assignments!$AM$2:$AM$769,"&gt;="&amp;U$47))</f>
        <v/>
      </c>
      <c r="V58" s="11">
        <f>IF($A58="","",SUMIFS(Assignments!$AK$2:$AK$769,Assignments!$A$2:$A$769,$A58,Assignments!$G$2:$G$769,"Active",Assignments!$AI$2:$AI$769,"&lt;="&amp;V$47,Assignments!$AJ$2:$AJ$769,"&gt;="&amp;V$47)+SUMIFS(Assignments!$AN$2:$AN$769,Assignments!$A$2:$A$769,$A58,Assignments!$G$2:$G$769,"Active",Assignments!$AL$2:$AL$769,"&lt;="&amp;V$47,Assignments!$AM$2:$AM$769,"&gt;="&amp;V$47))</f>
        <v/>
      </c>
      <c r="W58" s="11">
        <f>IF($A58="","",SUMIFS(Assignments!$AK$2:$AK$769,Assignments!$A$2:$A$769,$A58,Assignments!$G$2:$G$769,"Active",Assignments!$AI$2:$AI$769,"&lt;="&amp;W$47,Assignments!$AJ$2:$AJ$769,"&gt;="&amp;W$47)+SUMIFS(Assignments!$AN$2:$AN$769,Assignments!$A$2:$A$769,$A58,Assignments!$G$2:$G$769,"Active",Assignments!$AL$2:$AL$769,"&lt;="&amp;W$47,Assignments!$AM$2:$AM$769,"&gt;="&amp;W$47))</f>
        <v/>
      </c>
      <c r="X58" s="11">
        <f>IF($A58="","",SUMIFS(Assignments!$AK$2:$AK$769,Assignments!$A$2:$A$769,$A58,Assignments!$G$2:$G$769,"Active",Assignments!$AI$2:$AI$769,"&lt;="&amp;X$47,Assignments!$AJ$2:$AJ$769,"&gt;="&amp;X$47)+SUMIFS(Assignments!$AN$2:$AN$769,Assignments!$A$2:$A$769,$A58,Assignments!$G$2:$G$769,"Active",Assignments!$AL$2:$AL$769,"&lt;="&amp;X$47,Assignments!$AM$2:$AM$769,"&gt;="&amp;X$47))</f>
        <v/>
      </c>
      <c r="Y58" s="11">
        <f>IF($A58="","",SUMIFS(Assignments!$AK$2:$AK$769,Assignments!$A$2:$A$769,$A58,Assignments!$G$2:$G$769,"Active",Assignments!$AI$2:$AI$769,"&lt;="&amp;Y$47,Assignments!$AJ$2:$AJ$769,"&gt;="&amp;Y$47)+SUMIFS(Assignments!$AN$2:$AN$769,Assignments!$A$2:$A$769,$A58,Assignments!$G$2:$G$769,"Active",Assignments!$AL$2:$AL$769,"&lt;="&amp;Y$47,Assignments!$AM$2:$AM$769,"&gt;="&amp;Y$47))</f>
        <v/>
      </c>
      <c r="Z58" s="11">
        <f>IF($A58="","",SUMIFS(Assignments!$AK$2:$AK$769,Assignments!$A$2:$A$769,$A58,Assignments!$G$2:$G$769,"Active",Assignments!$AI$2:$AI$769,"&lt;="&amp;Z$47,Assignments!$AJ$2:$AJ$769,"&gt;="&amp;Z$47)+SUMIFS(Assignments!$AN$2:$AN$769,Assignments!$A$2:$A$769,$A58,Assignments!$G$2:$G$769,"Active",Assignments!$AL$2:$AL$769,"&lt;="&amp;Z$47,Assignments!$AM$2:$AM$769,"&gt;="&amp;Z$47))</f>
        <v/>
      </c>
      <c r="AA58" s="11">
        <f>IF($A58="","",SUMIFS(Assignments!$AK$2:$AK$769,Assignments!$A$2:$A$769,$A58,Assignments!$G$2:$G$769,"Active",Assignments!$AI$2:$AI$769,"&lt;="&amp;AA$47,Assignments!$AJ$2:$AJ$769,"&gt;="&amp;AA$47)+SUMIFS(Assignments!$AN$2:$AN$769,Assignments!$A$2:$A$769,$A58,Assignments!$G$2:$G$769,"Active",Assignments!$AL$2:$AL$769,"&lt;="&amp;AA$47,Assignments!$AM$2:$AM$769,"&gt;="&amp;AA$47))</f>
        <v/>
      </c>
      <c r="AB58" s="11">
        <f>IF($A58="","",SUMIFS(Assignments!$AK$2:$AK$769,Assignments!$A$2:$A$769,$A58,Assignments!$G$2:$G$769,"Active",Assignments!$AI$2:$AI$769,"&lt;="&amp;AB$47,Assignments!$AJ$2:$AJ$769,"&gt;="&amp;AB$47)+SUMIFS(Assignments!$AN$2:$AN$769,Assignments!$A$2:$A$769,$A58,Assignments!$G$2:$G$769,"Active",Assignments!$AL$2:$AL$769,"&lt;="&amp;AB$47,Assignments!$AM$2:$AM$769,"&gt;="&amp;AB$47))</f>
        <v/>
      </c>
    </row>
    <row r="59">
      <c r="A59" s="9">
        <f>IF(Roster!$A13="","",Roster!$A13)</f>
        <v/>
      </c>
      <c r="B59" s="10">
        <f>IF($A59="","",IFERROR(INDEX(Roster!$D$2:$D$40,MATCH($A59,Roster!$A$2:$A$40,0)),""))</f>
        <v/>
      </c>
      <c r="C59" s="11">
        <f>IF($A59="","",SUMIFS(Assignments!$AK$2:$AK$769,Assignments!$A$2:$A$769,$A59,Assignments!$G$2:$G$769,"Active",Assignments!$AI$2:$AI$769,"&lt;="&amp;C$47,Assignments!$AJ$2:$AJ$769,"&gt;="&amp;C$47)+SUMIFS(Assignments!$AN$2:$AN$769,Assignments!$A$2:$A$769,$A59,Assignments!$G$2:$G$769,"Active",Assignments!$AL$2:$AL$769,"&lt;="&amp;C$47,Assignments!$AM$2:$AM$769,"&gt;="&amp;C$47))</f>
        <v/>
      </c>
      <c r="D59" s="11">
        <f>IF($A59="","",SUMIFS(Assignments!$AK$2:$AK$769,Assignments!$A$2:$A$769,$A59,Assignments!$G$2:$G$769,"Active",Assignments!$AI$2:$AI$769,"&lt;="&amp;D$47,Assignments!$AJ$2:$AJ$769,"&gt;="&amp;D$47)+SUMIFS(Assignments!$AN$2:$AN$769,Assignments!$A$2:$A$769,$A59,Assignments!$G$2:$G$769,"Active",Assignments!$AL$2:$AL$769,"&lt;="&amp;D$47,Assignments!$AM$2:$AM$769,"&gt;="&amp;D$47))</f>
        <v/>
      </c>
      <c r="E59" s="11">
        <f>IF($A59="","",SUMIFS(Assignments!$AK$2:$AK$769,Assignments!$A$2:$A$769,$A59,Assignments!$G$2:$G$769,"Active",Assignments!$AI$2:$AI$769,"&lt;="&amp;E$47,Assignments!$AJ$2:$AJ$769,"&gt;="&amp;E$47)+SUMIFS(Assignments!$AN$2:$AN$769,Assignments!$A$2:$A$769,$A59,Assignments!$G$2:$G$769,"Active",Assignments!$AL$2:$AL$769,"&lt;="&amp;E$47,Assignments!$AM$2:$AM$769,"&gt;="&amp;E$47))</f>
        <v/>
      </c>
      <c r="F59" s="11">
        <f>IF($A59="","",SUMIFS(Assignments!$AK$2:$AK$769,Assignments!$A$2:$A$769,$A59,Assignments!$G$2:$G$769,"Active",Assignments!$AI$2:$AI$769,"&lt;="&amp;F$47,Assignments!$AJ$2:$AJ$769,"&gt;="&amp;F$47)+SUMIFS(Assignments!$AN$2:$AN$769,Assignments!$A$2:$A$769,$A59,Assignments!$G$2:$G$769,"Active",Assignments!$AL$2:$AL$769,"&lt;="&amp;F$47,Assignments!$AM$2:$AM$769,"&gt;="&amp;F$47))</f>
        <v/>
      </c>
      <c r="G59" s="11">
        <f>IF($A59="","",SUMIFS(Assignments!$AK$2:$AK$769,Assignments!$A$2:$A$769,$A59,Assignments!$G$2:$G$769,"Active",Assignments!$AI$2:$AI$769,"&lt;="&amp;G$47,Assignments!$AJ$2:$AJ$769,"&gt;="&amp;G$47)+SUMIFS(Assignments!$AN$2:$AN$769,Assignments!$A$2:$A$769,$A59,Assignments!$G$2:$G$769,"Active",Assignments!$AL$2:$AL$769,"&lt;="&amp;G$47,Assignments!$AM$2:$AM$769,"&gt;="&amp;G$47))</f>
        <v/>
      </c>
      <c r="H59" s="11">
        <f>IF($A59="","",SUMIFS(Assignments!$AK$2:$AK$769,Assignments!$A$2:$A$769,$A59,Assignments!$G$2:$G$769,"Active",Assignments!$AI$2:$AI$769,"&lt;="&amp;H$47,Assignments!$AJ$2:$AJ$769,"&gt;="&amp;H$47)+SUMIFS(Assignments!$AN$2:$AN$769,Assignments!$A$2:$A$769,$A59,Assignments!$G$2:$G$769,"Active",Assignments!$AL$2:$AL$769,"&lt;="&amp;H$47,Assignments!$AM$2:$AM$769,"&gt;="&amp;H$47))</f>
        <v/>
      </c>
      <c r="I59" s="11">
        <f>IF($A59="","",SUMIFS(Assignments!$AK$2:$AK$769,Assignments!$A$2:$A$769,$A59,Assignments!$G$2:$G$769,"Active",Assignments!$AI$2:$AI$769,"&lt;="&amp;I$47,Assignments!$AJ$2:$AJ$769,"&gt;="&amp;I$47)+SUMIFS(Assignments!$AN$2:$AN$769,Assignments!$A$2:$A$769,$A59,Assignments!$G$2:$G$769,"Active",Assignments!$AL$2:$AL$769,"&lt;="&amp;I$47,Assignments!$AM$2:$AM$769,"&gt;="&amp;I$47))</f>
        <v/>
      </c>
      <c r="J59" s="11">
        <f>IF($A59="","",SUMIFS(Assignments!$AK$2:$AK$769,Assignments!$A$2:$A$769,$A59,Assignments!$G$2:$G$769,"Active",Assignments!$AI$2:$AI$769,"&lt;="&amp;J$47,Assignments!$AJ$2:$AJ$769,"&gt;="&amp;J$47)+SUMIFS(Assignments!$AN$2:$AN$769,Assignments!$A$2:$A$769,$A59,Assignments!$G$2:$G$769,"Active",Assignments!$AL$2:$AL$769,"&lt;="&amp;J$47,Assignments!$AM$2:$AM$769,"&gt;="&amp;J$47))</f>
        <v/>
      </c>
      <c r="K59" s="11">
        <f>IF($A59="","",SUMIFS(Assignments!$AK$2:$AK$769,Assignments!$A$2:$A$769,$A59,Assignments!$G$2:$G$769,"Active",Assignments!$AI$2:$AI$769,"&lt;="&amp;K$47,Assignments!$AJ$2:$AJ$769,"&gt;="&amp;K$47)+SUMIFS(Assignments!$AN$2:$AN$769,Assignments!$A$2:$A$769,$A59,Assignments!$G$2:$G$769,"Active",Assignments!$AL$2:$AL$769,"&lt;="&amp;K$47,Assignments!$AM$2:$AM$769,"&gt;="&amp;K$47))</f>
        <v/>
      </c>
      <c r="L59" s="11">
        <f>IF($A59="","",SUMIFS(Assignments!$AK$2:$AK$769,Assignments!$A$2:$A$769,$A59,Assignments!$G$2:$G$769,"Active",Assignments!$AI$2:$AI$769,"&lt;="&amp;L$47,Assignments!$AJ$2:$AJ$769,"&gt;="&amp;L$47)+SUMIFS(Assignments!$AN$2:$AN$769,Assignments!$A$2:$A$769,$A59,Assignments!$G$2:$G$769,"Active",Assignments!$AL$2:$AL$769,"&lt;="&amp;L$47,Assignments!$AM$2:$AM$769,"&gt;="&amp;L$47))</f>
        <v/>
      </c>
      <c r="M59" s="11">
        <f>IF($A59="","",SUMIFS(Assignments!$AK$2:$AK$769,Assignments!$A$2:$A$769,$A59,Assignments!$G$2:$G$769,"Active",Assignments!$AI$2:$AI$769,"&lt;="&amp;M$47,Assignments!$AJ$2:$AJ$769,"&gt;="&amp;M$47)+SUMIFS(Assignments!$AN$2:$AN$769,Assignments!$A$2:$A$769,$A59,Assignments!$G$2:$G$769,"Active",Assignments!$AL$2:$AL$769,"&lt;="&amp;M$47,Assignments!$AM$2:$AM$769,"&gt;="&amp;M$47))</f>
        <v/>
      </c>
      <c r="N59" s="11">
        <f>IF($A59="","",SUMIFS(Assignments!$AK$2:$AK$769,Assignments!$A$2:$A$769,$A59,Assignments!$G$2:$G$769,"Active",Assignments!$AI$2:$AI$769,"&lt;="&amp;N$47,Assignments!$AJ$2:$AJ$769,"&gt;="&amp;N$47)+SUMIFS(Assignments!$AN$2:$AN$769,Assignments!$A$2:$A$769,$A59,Assignments!$G$2:$G$769,"Active",Assignments!$AL$2:$AL$769,"&lt;="&amp;N$47,Assignments!$AM$2:$AM$769,"&gt;="&amp;N$47))</f>
        <v/>
      </c>
      <c r="O59" s="11">
        <f>IF($A59="","",SUMIFS(Assignments!$AK$2:$AK$769,Assignments!$A$2:$A$769,$A59,Assignments!$G$2:$G$769,"Active",Assignments!$AI$2:$AI$769,"&lt;="&amp;O$47,Assignments!$AJ$2:$AJ$769,"&gt;="&amp;O$47)+SUMIFS(Assignments!$AN$2:$AN$769,Assignments!$A$2:$A$769,$A59,Assignments!$G$2:$G$769,"Active",Assignments!$AL$2:$AL$769,"&lt;="&amp;O$47,Assignments!$AM$2:$AM$769,"&gt;="&amp;O$47))</f>
        <v/>
      </c>
      <c r="P59" s="11">
        <f>IF($A59="","",SUMIFS(Assignments!$AK$2:$AK$769,Assignments!$A$2:$A$769,$A59,Assignments!$G$2:$G$769,"Active",Assignments!$AI$2:$AI$769,"&lt;="&amp;P$47,Assignments!$AJ$2:$AJ$769,"&gt;="&amp;P$47)+SUMIFS(Assignments!$AN$2:$AN$769,Assignments!$A$2:$A$769,$A59,Assignments!$G$2:$G$769,"Active",Assignments!$AL$2:$AL$769,"&lt;="&amp;P$47,Assignments!$AM$2:$AM$769,"&gt;="&amp;P$47))</f>
        <v/>
      </c>
      <c r="Q59" s="11">
        <f>IF($A59="","",SUMIFS(Assignments!$AK$2:$AK$769,Assignments!$A$2:$A$769,$A59,Assignments!$G$2:$G$769,"Active",Assignments!$AI$2:$AI$769,"&lt;="&amp;Q$47,Assignments!$AJ$2:$AJ$769,"&gt;="&amp;Q$47)+SUMIFS(Assignments!$AN$2:$AN$769,Assignments!$A$2:$A$769,$A59,Assignments!$G$2:$G$769,"Active",Assignments!$AL$2:$AL$769,"&lt;="&amp;Q$47,Assignments!$AM$2:$AM$769,"&gt;="&amp;Q$47))</f>
        <v/>
      </c>
      <c r="R59" s="11">
        <f>IF($A59="","",SUMIFS(Assignments!$AK$2:$AK$769,Assignments!$A$2:$A$769,$A59,Assignments!$G$2:$G$769,"Active",Assignments!$AI$2:$AI$769,"&lt;="&amp;R$47,Assignments!$AJ$2:$AJ$769,"&gt;="&amp;R$47)+SUMIFS(Assignments!$AN$2:$AN$769,Assignments!$A$2:$A$769,$A59,Assignments!$G$2:$G$769,"Active",Assignments!$AL$2:$AL$769,"&lt;="&amp;R$47,Assignments!$AM$2:$AM$769,"&gt;="&amp;R$47))</f>
        <v/>
      </c>
      <c r="S59" s="11">
        <f>IF($A59="","",SUMIFS(Assignments!$AK$2:$AK$769,Assignments!$A$2:$A$769,$A59,Assignments!$G$2:$G$769,"Active",Assignments!$AI$2:$AI$769,"&lt;="&amp;S$47,Assignments!$AJ$2:$AJ$769,"&gt;="&amp;S$47)+SUMIFS(Assignments!$AN$2:$AN$769,Assignments!$A$2:$A$769,$A59,Assignments!$G$2:$G$769,"Active",Assignments!$AL$2:$AL$769,"&lt;="&amp;S$47,Assignments!$AM$2:$AM$769,"&gt;="&amp;S$47))</f>
        <v/>
      </c>
      <c r="T59" s="11">
        <f>IF($A59="","",SUMIFS(Assignments!$AK$2:$AK$769,Assignments!$A$2:$A$769,$A59,Assignments!$G$2:$G$769,"Active",Assignments!$AI$2:$AI$769,"&lt;="&amp;T$47,Assignments!$AJ$2:$AJ$769,"&gt;="&amp;T$47)+SUMIFS(Assignments!$AN$2:$AN$769,Assignments!$A$2:$A$769,$A59,Assignments!$G$2:$G$769,"Active",Assignments!$AL$2:$AL$769,"&lt;="&amp;T$47,Assignments!$AM$2:$AM$769,"&gt;="&amp;T$47))</f>
        <v/>
      </c>
      <c r="U59" s="11">
        <f>IF($A59="","",SUMIFS(Assignments!$AK$2:$AK$769,Assignments!$A$2:$A$769,$A59,Assignments!$G$2:$G$769,"Active",Assignments!$AI$2:$AI$769,"&lt;="&amp;U$47,Assignments!$AJ$2:$AJ$769,"&gt;="&amp;U$47)+SUMIFS(Assignments!$AN$2:$AN$769,Assignments!$A$2:$A$769,$A59,Assignments!$G$2:$G$769,"Active",Assignments!$AL$2:$AL$769,"&lt;="&amp;U$47,Assignments!$AM$2:$AM$769,"&gt;="&amp;U$47))</f>
        <v/>
      </c>
      <c r="V59" s="11">
        <f>IF($A59="","",SUMIFS(Assignments!$AK$2:$AK$769,Assignments!$A$2:$A$769,$A59,Assignments!$G$2:$G$769,"Active",Assignments!$AI$2:$AI$769,"&lt;="&amp;V$47,Assignments!$AJ$2:$AJ$769,"&gt;="&amp;V$47)+SUMIFS(Assignments!$AN$2:$AN$769,Assignments!$A$2:$A$769,$A59,Assignments!$G$2:$G$769,"Active",Assignments!$AL$2:$AL$769,"&lt;="&amp;V$47,Assignments!$AM$2:$AM$769,"&gt;="&amp;V$47))</f>
        <v/>
      </c>
      <c r="W59" s="11">
        <f>IF($A59="","",SUMIFS(Assignments!$AK$2:$AK$769,Assignments!$A$2:$A$769,$A59,Assignments!$G$2:$G$769,"Active",Assignments!$AI$2:$AI$769,"&lt;="&amp;W$47,Assignments!$AJ$2:$AJ$769,"&gt;="&amp;W$47)+SUMIFS(Assignments!$AN$2:$AN$769,Assignments!$A$2:$A$769,$A59,Assignments!$G$2:$G$769,"Active",Assignments!$AL$2:$AL$769,"&lt;="&amp;W$47,Assignments!$AM$2:$AM$769,"&gt;="&amp;W$47))</f>
        <v/>
      </c>
      <c r="X59" s="11">
        <f>IF($A59="","",SUMIFS(Assignments!$AK$2:$AK$769,Assignments!$A$2:$A$769,$A59,Assignments!$G$2:$G$769,"Active",Assignments!$AI$2:$AI$769,"&lt;="&amp;X$47,Assignments!$AJ$2:$AJ$769,"&gt;="&amp;X$47)+SUMIFS(Assignments!$AN$2:$AN$769,Assignments!$A$2:$A$769,$A59,Assignments!$G$2:$G$769,"Active",Assignments!$AL$2:$AL$769,"&lt;="&amp;X$47,Assignments!$AM$2:$AM$769,"&gt;="&amp;X$47))</f>
        <v/>
      </c>
      <c r="Y59" s="11">
        <f>IF($A59="","",SUMIFS(Assignments!$AK$2:$AK$769,Assignments!$A$2:$A$769,$A59,Assignments!$G$2:$G$769,"Active",Assignments!$AI$2:$AI$769,"&lt;="&amp;Y$47,Assignments!$AJ$2:$AJ$769,"&gt;="&amp;Y$47)+SUMIFS(Assignments!$AN$2:$AN$769,Assignments!$A$2:$A$769,$A59,Assignments!$G$2:$G$769,"Active",Assignments!$AL$2:$AL$769,"&lt;="&amp;Y$47,Assignments!$AM$2:$AM$769,"&gt;="&amp;Y$47))</f>
        <v/>
      </c>
      <c r="Z59" s="11">
        <f>IF($A59="","",SUMIFS(Assignments!$AK$2:$AK$769,Assignments!$A$2:$A$769,$A59,Assignments!$G$2:$G$769,"Active",Assignments!$AI$2:$AI$769,"&lt;="&amp;Z$47,Assignments!$AJ$2:$AJ$769,"&gt;="&amp;Z$47)+SUMIFS(Assignments!$AN$2:$AN$769,Assignments!$A$2:$A$769,$A59,Assignments!$G$2:$G$769,"Active",Assignments!$AL$2:$AL$769,"&lt;="&amp;Z$47,Assignments!$AM$2:$AM$769,"&gt;="&amp;Z$47))</f>
        <v/>
      </c>
      <c r="AA59" s="11">
        <f>IF($A59="","",SUMIFS(Assignments!$AK$2:$AK$769,Assignments!$A$2:$A$769,$A59,Assignments!$G$2:$G$769,"Active",Assignments!$AI$2:$AI$769,"&lt;="&amp;AA$47,Assignments!$AJ$2:$AJ$769,"&gt;="&amp;AA$47)+SUMIFS(Assignments!$AN$2:$AN$769,Assignments!$A$2:$A$769,$A59,Assignments!$G$2:$G$769,"Active",Assignments!$AL$2:$AL$769,"&lt;="&amp;AA$47,Assignments!$AM$2:$AM$769,"&gt;="&amp;AA$47))</f>
        <v/>
      </c>
      <c r="AB59" s="11">
        <f>IF($A59="","",SUMIFS(Assignments!$AK$2:$AK$769,Assignments!$A$2:$A$769,$A59,Assignments!$G$2:$G$769,"Active",Assignments!$AI$2:$AI$769,"&lt;="&amp;AB$47,Assignments!$AJ$2:$AJ$769,"&gt;="&amp;AB$47)+SUMIFS(Assignments!$AN$2:$AN$769,Assignments!$A$2:$A$769,$A59,Assignments!$G$2:$G$769,"Active",Assignments!$AL$2:$AL$769,"&lt;="&amp;AB$47,Assignments!$AM$2:$AM$769,"&gt;="&amp;AB$47))</f>
        <v/>
      </c>
    </row>
    <row r="60">
      <c r="A60" s="9">
        <f>IF(Roster!$A14="","",Roster!$A14)</f>
        <v/>
      </c>
      <c r="B60" s="10">
        <f>IF($A60="","",IFERROR(INDEX(Roster!$D$2:$D$40,MATCH($A60,Roster!$A$2:$A$40,0)),""))</f>
        <v/>
      </c>
      <c r="C60" s="11">
        <f>IF($A60="","",SUMIFS(Assignments!$AK$2:$AK$769,Assignments!$A$2:$A$769,$A60,Assignments!$G$2:$G$769,"Active",Assignments!$AI$2:$AI$769,"&lt;="&amp;C$47,Assignments!$AJ$2:$AJ$769,"&gt;="&amp;C$47)+SUMIFS(Assignments!$AN$2:$AN$769,Assignments!$A$2:$A$769,$A60,Assignments!$G$2:$G$769,"Active",Assignments!$AL$2:$AL$769,"&lt;="&amp;C$47,Assignments!$AM$2:$AM$769,"&gt;="&amp;C$47))</f>
        <v/>
      </c>
      <c r="D60" s="11">
        <f>IF($A60="","",SUMIFS(Assignments!$AK$2:$AK$769,Assignments!$A$2:$A$769,$A60,Assignments!$G$2:$G$769,"Active",Assignments!$AI$2:$AI$769,"&lt;="&amp;D$47,Assignments!$AJ$2:$AJ$769,"&gt;="&amp;D$47)+SUMIFS(Assignments!$AN$2:$AN$769,Assignments!$A$2:$A$769,$A60,Assignments!$G$2:$G$769,"Active",Assignments!$AL$2:$AL$769,"&lt;="&amp;D$47,Assignments!$AM$2:$AM$769,"&gt;="&amp;D$47))</f>
        <v/>
      </c>
      <c r="E60" s="11">
        <f>IF($A60="","",SUMIFS(Assignments!$AK$2:$AK$769,Assignments!$A$2:$A$769,$A60,Assignments!$G$2:$G$769,"Active",Assignments!$AI$2:$AI$769,"&lt;="&amp;E$47,Assignments!$AJ$2:$AJ$769,"&gt;="&amp;E$47)+SUMIFS(Assignments!$AN$2:$AN$769,Assignments!$A$2:$A$769,$A60,Assignments!$G$2:$G$769,"Active",Assignments!$AL$2:$AL$769,"&lt;="&amp;E$47,Assignments!$AM$2:$AM$769,"&gt;="&amp;E$47))</f>
        <v/>
      </c>
      <c r="F60" s="11">
        <f>IF($A60="","",SUMIFS(Assignments!$AK$2:$AK$769,Assignments!$A$2:$A$769,$A60,Assignments!$G$2:$G$769,"Active",Assignments!$AI$2:$AI$769,"&lt;="&amp;F$47,Assignments!$AJ$2:$AJ$769,"&gt;="&amp;F$47)+SUMIFS(Assignments!$AN$2:$AN$769,Assignments!$A$2:$A$769,$A60,Assignments!$G$2:$G$769,"Active",Assignments!$AL$2:$AL$769,"&lt;="&amp;F$47,Assignments!$AM$2:$AM$769,"&gt;="&amp;F$47))</f>
        <v/>
      </c>
      <c r="G60" s="11">
        <f>IF($A60="","",SUMIFS(Assignments!$AK$2:$AK$769,Assignments!$A$2:$A$769,$A60,Assignments!$G$2:$G$769,"Active",Assignments!$AI$2:$AI$769,"&lt;="&amp;G$47,Assignments!$AJ$2:$AJ$769,"&gt;="&amp;G$47)+SUMIFS(Assignments!$AN$2:$AN$769,Assignments!$A$2:$A$769,$A60,Assignments!$G$2:$G$769,"Active",Assignments!$AL$2:$AL$769,"&lt;="&amp;G$47,Assignments!$AM$2:$AM$769,"&gt;="&amp;G$47))</f>
        <v/>
      </c>
      <c r="H60" s="11">
        <f>IF($A60="","",SUMIFS(Assignments!$AK$2:$AK$769,Assignments!$A$2:$A$769,$A60,Assignments!$G$2:$G$769,"Active",Assignments!$AI$2:$AI$769,"&lt;="&amp;H$47,Assignments!$AJ$2:$AJ$769,"&gt;="&amp;H$47)+SUMIFS(Assignments!$AN$2:$AN$769,Assignments!$A$2:$A$769,$A60,Assignments!$G$2:$G$769,"Active",Assignments!$AL$2:$AL$769,"&lt;="&amp;H$47,Assignments!$AM$2:$AM$769,"&gt;="&amp;H$47))</f>
        <v/>
      </c>
      <c r="I60" s="11">
        <f>IF($A60="","",SUMIFS(Assignments!$AK$2:$AK$769,Assignments!$A$2:$A$769,$A60,Assignments!$G$2:$G$769,"Active",Assignments!$AI$2:$AI$769,"&lt;="&amp;I$47,Assignments!$AJ$2:$AJ$769,"&gt;="&amp;I$47)+SUMIFS(Assignments!$AN$2:$AN$769,Assignments!$A$2:$A$769,$A60,Assignments!$G$2:$G$769,"Active",Assignments!$AL$2:$AL$769,"&lt;="&amp;I$47,Assignments!$AM$2:$AM$769,"&gt;="&amp;I$47))</f>
        <v/>
      </c>
      <c r="J60" s="11">
        <f>IF($A60="","",SUMIFS(Assignments!$AK$2:$AK$769,Assignments!$A$2:$A$769,$A60,Assignments!$G$2:$G$769,"Active",Assignments!$AI$2:$AI$769,"&lt;="&amp;J$47,Assignments!$AJ$2:$AJ$769,"&gt;="&amp;J$47)+SUMIFS(Assignments!$AN$2:$AN$769,Assignments!$A$2:$A$769,$A60,Assignments!$G$2:$G$769,"Active",Assignments!$AL$2:$AL$769,"&lt;="&amp;J$47,Assignments!$AM$2:$AM$769,"&gt;="&amp;J$47))</f>
        <v/>
      </c>
      <c r="K60" s="11">
        <f>IF($A60="","",SUMIFS(Assignments!$AK$2:$AK$769,Assignments!$A$2:$A$769,$A60,Assignments!$G$2:$G$769,"Active",Assignments!$AI$2:$AI$769,"&lt;="&amp;K$47,Assignments!$AJ$2:$AJ$769,"&gt;="&amp;K$47)+SUMIFS(Assignments!$AN$2:$AN$769,Assignments!$A$2:$A$769,$A60,Assignments!$G$2:$G$769,"Active",Assignments!$AL$2:$AL$769,"&lt;="&amp;K$47,Assignments!$AM$2:$AM$769,"&gt;="&amp;K$47))</f>
        <v/>
      </c>
      <c r="L60" s="11">
        <f>IF($A60="","",SUMIFS(Assignments!$AK$2:$AK$769,Assignments!$A$2:$A$769,$A60,Assignments!$G$2:$G$769,"Active",Assignments!$AI$2:$AI$769,"&lt;="&amp;L$47,Assignments!$AJ$2:$AJ$769,"&gt;="&amp;L$47)+SUMIFS(Assignments!$AN$2:$AN$769,Assignments!$A$2:$A$769,$A60,Assignments!$G$2:$G$769,"Active",Assignments!$AL$2:$AL$769,"&lt;="&amp;L$47,Assignments!$AM$2:$AM$769,"&gt;="&amp;L$47))</f>
        <v/>
      </c>
      <c r="M60" s="11">
        <f>IF($A60="","",SUMIFS(Assignments!$AK$2:$AK$769,Assignments!$A$2:$A$769,$A60,Assignments!$G$2:$G$769,"Active",Assignments!$AI$2:$AI$769,"&lt;="&amp;M$47,Assignments!$AJ$2:$AJ$769,"&gt;="&amp;M$47)+SUMIFS(Assignments!$AN$2:$AN$769,Assignments!$A$2:$A$769,$A60,Assignments!$G$2:$G$769,"Active",Assignments!$AL$2:$AL$769,"&lt;="&amp;M$47,Assignments!$AM$2:$AM$769,"&gt;="&amp;M$47))</f>
        <v/>
      </c>
      <c r="N60" s="11">
        <f>IF($A60="","",SUMIFS(Assignments!$AK$2:$AK$769,Assignments!$A$2:$A$769,$A60,Assignments!$G$2:$G$769,"Active",Assignments!$AI$2:$AI$769,"&lt;="&amp;N$47,Assignments!$AJ$2:$AJ$769,"&gt;="&amp;N$47)+SUMIFS(Assignments!$AN$2:$AN$769,Assignments!$A$2:$A$769,$A60,Assignments!$G$2:$G$769,"Active",Assignments!$AL$2:$AL$769,"&lt;="&amp;N$47,Assignments!$AM$2:$AM$769,"&gt;="&amp;N$47))</f>
        <v/>
      </c>
      <c r="O60" s="11">
        <f>IF($A60="","",SUMIFS(Assignments!$AK$2:$AK$769,Assignments!$A$2:$A$769,$A60,Assignments!$G$2:$G$769,"Active",Assignments!$AI$2:$AI$769,"&lt;="&amp;O$47,Assignments!$AJ$2:$AJ$769,"&gt;="&amp;O$47)+SUMIFS(Assignments!$AN$2:$AN$769,Assignments!$A$2:$A$769,$A60,Assignments!$G$2:$G$769,"Active",Assignments!$AL$2:$AL$769,"&lt;="&amp;O$47,Assignments!$AM$2:$AM$769,"&gt;="&amp;O$47))</f>
        <v/>
      </c>
      <c r="P60" s="11">
        <f>IF($A60="","",SUMIFS(Assignments!$AK$2:$AK$769,Assignments!$A$2:$A$769,$A60,Assignments!$G$2:$G$769,"Active",Assignments!$AI$2:$AI$769,"&lt;="&amp;P$47,Assignments!$AJ$2:$AJ$769,"&gt;="&amp;P$47)+SUMIFS(Assignments!$AN$2:$AN$769,Assignments!$A$2:$A$769,$A60,Assignments!$G$2:$G$769,"Active",Assignments!$AL$2:$AL$769,"&lt;="&amp;P$47,Assignments!$AM$2:$AM$769,"&gt;="&amp;P$47))</f>
        <v/>
      </c>
      <c r="Q60" s="11">
        <f>IF($A60="","",SUMIFS(Assignments!$AK$2:$AK$769,Assignments!$A$2:$A$769,$A60,Assignments!$G$2:$G$769,"Active",Assignments!$AI$2:$AI$769,"&lt;="&amp;Q$47,Assignments!$AJ$2:$AJ$769,"&gt;="&amp;Q$47)+SUMIFS(Assignments!$AN$2:$AN$769,Assignments!$A$2:$A$769,$A60,Assignments!$G$2:$G$769,"Active",Assignments!$AL$2:$AL$769,"&lt;="&amp;Q$47,Assignments!$AM$2:$AM$769,"&gt;="&amp;Q$47))</f>
        <v/>
      </c>
      <c r="R60" s="11">
        <f>IF($A60="","",SUMIFS(Assignments!$AK$2:$AK$769,Assignments!$A$2:$A$769,$A60,Assignments!$G$2:$G$769,"Active",Assignments!$AI$2:$AI$769,"&lt;="&amp;R$47,Assignments!$AJ$2:$AJ$769,"&gt;="&amp;R$47)+SUMIFS(Assignments!$AN$2:$AN$769,Assignments!$A$2:$A$769,$A60,Assignments!$G$2:$G$769,"Active",Assignments!$AL$2:$AL$769,"&lt;="&amp;R$47,Assignments!$AM$2:$AM$769,"&gt;="&amp;R$47))</f>
        <v/>
      </c>
      <c r="S60" s="11">
        <f>IF($A60="","",SUMIFS(Assignments!$AK$2:$AK$769,Assignments!$A$2:$A$769,$A60,Assignments!$G$2:$G$769,"Active",Assignments!$AI$2:$AI$769,"&lt;="&amp;S$47,Assignments!$AJ$2:$AJ$769,"&gt;="&amp;S$47)+SUMIFS(Assignments!$AN$2:$AN$769,Assignments!$A$2:$A$769,$A60,Assignments!$G$2:$G$769,"Active",Assignments!$AL$2:$AL$769,"&lt;="&amp;S$47,Assignments!$AM$2:$AM$769,"&gt;="&amp;S$47))</f>
        <v/>
      </c>
      <c r="T60" s="11">
        <f>IF($A60="","",SUMIFS(Assignments!$AK$2:$AK$769,Assignments!$A$2:$A$769,$A60,Assignments!$G$2:$G$769,"Active",Assignments!$AI$2:$AI$769,"&lt;="&amp;T$47,Assignments!$AJ$2:$AJ$769,"&gt;="&amp;T$47)+SUMIFS(Assignments!$AN$2:$AN$769,Assignments!$A$2:$A$769,$A60,Assignments!$G$2:$G$769,"Active",Assignments!$AL$2:$AL$769,"&lt;="&amp;T$47,Assignments!$AM$2:$AM$769,"&gt;="&amp;T$47))</f>
        <v/>
      </c>
      <c r="U60" s="11">
        <f>IF($A60="","",SUMIFS(Assignments!$AK$2:$AK$769,Assignments!$A$2:$A$769,$A60,Assignments!$G$2:$G$769,"Active",Assignments!$AI$2:$AI$769,"&lt;="&amp;U$47,Assignments!$AJ$2:$AJ$769,"&gt;="&amp;U$47)+SUMIFS(Assignments!$AN$2:$AN$769,Assignments!$A$2:$A$769,$A60,Assignments!$G$2:$G$769,"Active",Assignments!$AL$2:$AL$769,"&lt;="&amp;U$47,Assignments!$AM$2:$AM$769,"&gt;="&amp;U$47))</f>
        <v/>
      </c>
      <c r="V60" s="11">
        <f>IF($A60="","",SUMIFS(Assignments!$AK$2:$AK$769,Assignments!$A$2:$A$769,$A60,Assignments!$G$2:$G$769,"Active",Assignments!$AI$2:$AI$769,"&lt;="&amp;V$47,Assignments!$AJ$2:$AJ$769,"&gt;="&amp;V$47)+SUMIFS(Assignments!$AN$2:$AN$769,Assignments!$A$2:$A$769,$A60,Assignments!$G$2:$G$769,"Active",Assignments!$AL$2:$AL$769,"&lt;="&amp;V$47,Assignments!$AM$2:$AM$769,"&gt;="&amp;V$47))</f>
        <v/>
      </c>
      <c r="W60" s="11">
        <f>IF($A60="","",SUMIFS(Assignments!$AK$2:$AK$769,Assignments!$A$2:$A$769,$A60,Assignments!$G$2:$G$769,"Active",Assignments!$AI$2:$AI$769,"&lt;="&amp;W$47,Assignments!$AJ$2:$AJ$769,"&gt;="&amp;W$47)+SUMIFS(Assignments!$AN$2:$AN$769,Assignments!$A$2:$A$769,$A60,Assignments!$G$2:$G$769,"Active",Assignments!$AL$2:$AL$769,"&lt;="&amp;W$47,Assignments!$AM$2:$AM$769,"&gt;="&amp;W$47))</f>
        <v/>
      </c>
      <c r="X60" s="11">
        <f>IF($A60="","",SUMIFS(Assignments!$AK$2:$AK$769,Assignments!$A$2:$A$769,$A60,Assignments!$G$2:$G$769,"Active",Assignments!$AI$2:$AI$769,"&lt;="&amp;X$47,Assignments!$AJ$2:$AJ$769,"&gt;="&amp;X$47)+SUMIFS(Assignments!$AN$2:$AN$769,Assignments!$A$2:$A$769,$A60,Assignments!$G$2:$G$769,"Active",Assignments!$AL$2:$AL$769,"&lt;="&amp;X$47,Assignments!$AM$2:$AM$769,"&gt;="&amp;X$47))</f>
        <v/>
      </c>
      <c r="Y60" s="11">
        <f>IF($A60="","",SUMIFS(Assignments!$AK$2:$AK$769,Assignments!$A$2:$A$769,$A60,Assignments!$G$2:$G$769,"Active",Assignments!$AI$2:$AI$769,"&lt;="&amp;Y$47,Assignments!$AJ$2:$AJ$769,"&gt;="&amp;Y$47)+SUMIFS(Assignments!$AN$2:$AN$769,Assignments!$A$2:$A$769,$A60,Assignments!$G$2:$G$769,"Active",Assignments!$AL$2:$AL$769,"&lt;="&amp;Y$47,Assignments!$AM$2:$AM$769,"&gt;="&amp;Y$47))</f>
        <v/>
      </c>
      <c r="Z60" s="11">
        <f>IF($A60="","",SUMIFS(Assignments!$AK$2:$AK$769,Assignments!$A$2:$A$769,$A60,Assignments!$G$2:$G$769,"Active",Assignments!$AI$2:$AI$769,"&lt;="&amp;Z$47,Assignments!$AJ$2:$AJ$769,"&gt;="&amp;Z$47)+SUMIFS(Assignments!$AN$2:$AN$769,Assignments!$A$2:$A$769,$A60,Assignments!$G$2:$G$769,"Active",Assignments!$AL$2:$AL$769,"&lt;="&amp;Z$47,Assignments!$AM$2:$AM$769,"&gt;="&amp;Z$47))</f>
        <v/>
      </c>
      <c r="AA60" s="11">
        <f>IF($A60="","",SUMIFS(Assignments!$AK$2:$AK$769,Assignments!$A$2:$A$769,$A60,Assignments!$G$2:$G$769,"Active",Assignments!$AI$2:$AI$769,"&lt;="&amp;AA$47,Assignments!$AJ$2:$AJ$769,"&gt;="&amp;AA$47)+SUMIFS(Assignments!$AN$2:$AN$769,Assignments!$A$2:$A$769,$A60,Assignments!$G$2:$G$769,"Active",Assignments!$AL$2:$AL$769,"&lt;="&amp;AA$47,Assignments!$AM$2:$AM$769,"&gt;="&amp;AA$47))</f>
        <v/>
      </c>
      <c r="AB60" s="11">
        <f>IF($A60="","",SUMIFS(Assignments!$AK$2:$AK$769,Assignments!$A$2:$A$769,$A60,Assignments!$G$2:$G$769,"Active",Assignments!$AI$2:$AI$769,"&lt;="&amp;AB$47,Assignments!$AJ$2:$AJ$769,"&gt;="&amp;AB$47)+SUMIFS(Assignments!$AN$2:$AN$769,Assignments!$A$2:$A$769,$A60,Assignments!$G$2:$G$769,"Active",Assignments!$AL$2:$AL$769,"&lt;="&amp;AB$47,Assignments!$AM$2:$AM$769,"&gt;="&amp;AB$47))</f>
        <v/>
      </c>
    </row>
    <row r="61">
      <c r="A61" s="9">
        <f>IF(Roster!$A15="","",Roster!$A15)</f>
        <v/>
      </c>
      <c r="B61" s="10">
        <f>IF($A61="","",IFERROR(INDEX(Roster!$D$2:$D$40,MATCH($A61,Roster!$A$2:$A$40,0)),""))</f>
        <v/>
      </c>
      <c r="C61" s="11">
        <f>IF($A61="","",SUMIFS(Assignments!$AK$2:$AK$769,Assignments!$A$2:$A$769,$A61,Assignments!$G$2:$G$769,"Active",Assignments!$AI$2:$AI$769,"&lt;="&amp;C$47,Assignments!$AJ$2:$AJ$769,"&gt;="&amp;C$47)+SUMIFS(Assignments!$AN$2:$AN$769,Assignments!$A$2:$A$769,$A61,Assignments!$G$2:$G$769,"Active",Assignments!$AL$2:$AL$769,"&lt;="&amp;C$47,Assignments!$AM$2:$AM$769,"&gt;="&amp;C$47))</f>
        <v/>
      </c>
      <c r="D61" s="11">
        <f>IF($A61="","",SUMIFS(Assignments!$AK$2:$AK$769,Assignments!$A$2:$A$769,$A61,Assignments!$G$2:$G$769,"Active",Assignments!$AI$2:$AI$769,"&lt;="&amp;D$47,Assignments!$AJ$2:$AJ$769,"&gt;="&amp;D$47)+SUMIFS(Assignments!$AN$2:$AN$769,Assignments!$A$2:$A$769,$A61,Assignments!$G$2:$G$769,"Active",Assignments!$AL$2:$AL$769,"&lt;="&amp;D$47,Assignments!$AM$2:$AM$769,"&gt;="&amp;D$47))</f>
        <v/>
      </c>
      <c r="E61" s="11">
        <f>IF($A61="","",SUMIFS(Assignments!$AK$2:$AK$769,Assignments!$A$2:$A$769,$A61,Assignments!$G$2:$G$769,"Active",Assignments!$AI$2:$AI$769,"&lt;="&amp;E$47,Assignments!$AJ$2:$AJ$769,"&gt;="&amp;E$47)+SUMIFS(Assignments!$AN$2:$AN$769,Assignments!$A$2:$A$769,$A61,Assignments!$G$2:$G$769,"Active",Assignments!$AL$2:$AL$769,"&lt;="&amp;E$47,Assignments!$AM$2:$AM$769,"&gt;="&amp;E$47))</f>
        <v/>
      </c>
      <c r="F61" s="11">
        <f>IF($A61="","",SUMIFS(Assignments!$AK$2:$AK$769,Assignments!$A$2:$A$769,$A61,Assignments!$G$2:$G$769,"Active",Assignments!$AI$2:$AI$769,"&lt;="&amp;F$47,Assignments!$AJ$2:$AJ$769,"&gt;="&amp;F$47)+SUMIFS(Assignments!$AN$2:$AN$769,Assignments!$A$2:$A$769,$A61,Assignments!$G$2:$G$769,"Active",Assignments!$AL$2:$AL$769,"&lt;="&amp;F$47,Assignments!$AM$2:$AM$769,"&gt;="&amp;F$47))</f>
        <v/>
      </c>
      <c r="G61" s="11">
        <f>IF($A61="","",SUMIFS(Assignments!$AK$2:$AK$769,Assignments!$A$2:$A$769,$A61,Assignments!$G$2:$G$769,"Active",Assignments!$AI$2:$AI$769,"&lt;="&amp;G$47,Assignments!$AJ$2:$AJ$769,"&gt;="&amp;G$47)+SUMIFS(Assignments!$AN$2:$AN$769,Assignments!$A$2:$A$769,$A61,Assignments!$G$2:$G$769,"Active",Assignments!$AL$2:$AL$769,"&lt;="&amp;G$47,Assignments!$AM$2:$AM$769,"&gt;="&amp;G$47))</f>
        <v/>
      </c>
      <c r="H61" s="11">
        <f>IF($A61="","",SUMIFS(Assignments!$AK$2:$AK$769,Assignments!$A$2:$A$769,$A61,Assignments!$G$2:$G$769,"Active",Assignments!$AI$2:$AI$769,"&lt;="&amp;H$47,Assignments!$AJ$2:$AJ$769,"&gt;="&amp;H$47)+SUMIFS(Assignments!$AN$2:$AN$769,Assignments!$A$2:$A$769,$A61,Assignments!$G$2:$G$769,"Active",Assignments!$AL$2:$AL$769,"&lt;="&amp;H$47,Assignments!$AM$2:$AM$769,"&gt;="&amp;H$47))</f>
        <v/>
      </c>
      <c r="I61" s="11">
        <f>IF($A61="","",SUMIFS(Assignments!$AK$2:$AK$769,Assignments!$A$2:$A$769,$A61,Assignments!$G$2:$G$769,"Active",Assignments!$AI$2:$AI$769,"&lt;="&amp;I$47,Assignments!$AJ$2:$AJ$769,"&gt;="&amp;I$47)+SUMIFS(Assignments!$AN$2:$AN$769,Assignments!$A$2:$A$769,$A61,Assignments!$G$2:$G$769,"Active",Assignments!$AL$2:$AL$769,"&lt;="&amp;I$47,Assignments!$AM$2:$AM$769,"&gt;="&amp;I$47))</f>
        <v/>
      </c>
      <c r="J61" s="11">
        <f>IF($A61="","",SUMIFS(Assignments!$AK$2:$AK$769,Assignments!$A$2:$A$769,$A61,Assignments!$G$2:$G$769,"Active",Assignments!$AI$2:$AI$769,"&lt;="&amp;J$47,Assignments!$AJ$2:$AJ$769,"&gt;="&amp;J$47)+SUMIFS(Assignments!$AN$2:$AN$769,Assignments!$A$2:$A$769,$A61,Assignments!$G$2:$G$769,"Active",Assignments!$AL$2:$AL$769,"&lt;="&amp;J$47,Assignments!$AM$2:$AM$769,"&gt;="&amp;J$47))</f>
        <v/>
      </c>
      <c r="K61" s="11">
        <f>IF($A61="","",SUMIFS(Assignments!$AK$2:$AK$769,Assignments!$A$2:$A$769,$A61,Assignments!$G$2:$G$769,"Active",Assignments!$AI$2:$AI$769,"&lt;="&amp;K$47,Assignments!$AJ$2:$AJ$769,"&gt;="&amp;K$47)+SUMIFS(Assignments!$AN$2:$AN$769,Assignments!$A$2:$A$769,$A61,Assignments!$G$2:$G$769,"Active",Assignments!$AL$2:$AL$769,"&lt;="&amp;K$47,Assignments!$AM$2:$AM$769,"&gt;="&amp;K$47))</f>
        <v/>
      </c>
      <c r="L61" s="11">
        <f>IF($A61="","",SUMIFS(Assignments!$AK$2:$AK$769,Assignments!$A$2:$A$769,$A61,Assignments!$G$2:$G$769,"Active",Assignments!$AI$2:$AI$769,"&lt;="&amp;L$47,Assignments!$AJ$2:$AJ$769,"&gt;="&amp;L$47)+SUMIFS(Assignments!$AN$2:$AN$769,Assignments!$A$2:$A$769,$A61,Assignments!$G$2:$G$769,"Active",Assignments!$AL$2:$AL$769,"&lt;="&amp;L$47,Assignments!$AM$2:$AM$769,"&gt;="&amp;L$47))</f>
        <v/>
      </c>
      <c r="M61" s="11">
        <f>IF($A61="","",SUMIFS(Assignments!$AK$2:$AK$769,Assignments!$A$2:$A$769,$A61,Assignments!$G$2:$G$769,"Active",Assignments!$AI$2:$AI$769,"&lt;="&amp;M$47,Assignments!$AJ$2:$AJ$769,"&gt;="&amp;M$47)+SUMIFS(Assignments!$AN$2:$AN$769,Assignments!$A$2:$A$769,$A61,Assignments!$G$2:$G$769,"Active",Assignments!$AL$2:$AL$769,"&lt;="&amp;M$47,Assignments!$AM$2:$AM$769,"&gt;="&amp;M$47))</f>
        <v/>
      </c>
      <c r="N61" s="11">
        <f>IF($A61="","",SUMIFS(Assignments!$AK$2:$AK$769,Assignments!$A$2:$A$769,$A61,Assignments!$G$2:$G$769,"Active",Assignments!$AI$2:$AI$769,"&lt;="&amp;N$47,Assignments!$AJ$2:$AJ$769,"&gt;="&amp;N$47)+SUMIFS(Assignments!$AN$2:$AN$769,Assignments!$A$2:$A$769,$A61,Assignments!$G$2:$G$769,"Active",Assignments!$AL$2:$AL$769,"&lt;="&amp;N$47,Assignments!$AM$2:$AM$769,"&gt;="&amp;N$47))</f>
        <v/>
      </c>
      <c r="O61" s="11">
        <f>IF($A61="","",SUMIFS(Assignments!$AK$2:$AK$769,Assignments!$A$2:$A$769,$A61,Assignments!$G$2:$G$769,"Active",Assignments!$AI$2:$AI$769,"&lt;="&amp;O$47,Assignments!$AJ$2:$AJ$769,"&gt;="&amp;O$47)+SUMIFS(Assignments!$AN$2:$AN$769,Assignments!$A$2:$A$769,$A61,Assignments!$G$2:$G$769,"Active",Assignments!$AL$2:$AL$769,"&lt;="&amp;O$47,Assignments!$AM$2:$AM$769,"&gt;="&amp;O$47))</f>
        <v/>
      </c>
      <c r="P61" s="11">
        <f>IF($A61="","",SUMIFS(Assignments!$AK$2:$AK$769,Assignments!$A$2:$A$769,$A61,Assignments!$G$2:$G$769,"Active",Assignments!$AI$2:$AI$769,"&lt;="&amp;P$47,Assignments!$AJ$2:$AJ$769,"&gt;="&amp;P$47)+SUMIFS(Assignments!$AN$2:$AN$769,Assignments!$A$2:$A$769,$A61,Assignments!$G$2:$G$769,"Active",Assignments!$AL$2:$AL$769,"&lt;="&amp;P$47,Assignments!$AM$2:$AM$769,"&gt;="&amp;P$47))</f>
        <v/>
      </c>
      <c r="Q61" s="11">
        <f>IF($A61="","",SUMIFS(Assignments!$AK$2:$AK$769,Assignments!$A$2:$A$769,$A61,Assignments!$G$2:$G$769,"Active",Assignments!$AI$2:$AI$769,"&lt;="&amp;Q$47,Assignments!$AJ$2:$AJ$769,"&gt;="&amp;Q$47)+SUMIFS(Assignments!$AN$2:$AN$769,Assignments!$A$2:$A$769,$A61,Assignments!$G$2:$G$769,"Active",Assignments!$AL$2:$AL$769,"&lt;="&amp;Q$47,Assignments!$AM$2:$AM$769,"&gt;="&amp;Q$47))</f>
        <v/>
      </c>
      <c r="R61" s="11">
        <f>IF($A61="","",SUMIFS(Assignments!$AK$2:$AK$769,Assignments!$A$2:$A$769,$A61,Assignments!$G$2:$G$769,"Active",Assignments!$AI$2:$AI$769,"&lt;="&amp;R$47,Assignments!$AJ$2:$AJ$769,"&gt;="&amp;R$47)+SUMIFS(Assignments!$AN$2:$AN$769,Assignments!$A$2:$A$769,$A61,Assignments!$G$2:$G$769,"Active",Assignments!$AL$2:$AL$769,"&lt;="&amp;R$47,Assignments!$AM$2:$AM$769,"&gt;="&amp;R$47))</f>
        <v/>
      </c>
      <c r="S61" s="11">
        <f>IF($A61="","",SUMIFS(Assignments!$AK$2:$AK$769,Assignments!$A$2:$A$769,$A61,Assignments!$G$2:$G$769,"Active",Assignments!$AI$2:$AI$769,"&lt;="&amp;S$47,Assignments!$AJ$2:$AJ$769,"&gt;="&amp;S$47)+SUMIFS(Assignments!$AN$2:$AN$769,Assignments!$A$2:$A$769,$A61,Assignments!$G$2:$G$769,"Active",Assignments!$AL$2:$AL$769,"&lt;="&amp;S$47,Assignments!$AM$2:$AM$769,"&gt;="&amp;S$47))</f>
        <v/>
      </c>
      <c r="T61" s="11">
        <f>IF($A61="","",SUMIFS(Assignments!$AK$2:$AK$769,Assignments!$A$2:$A$769,$A61,Assignments!$G$2:$G$769,"Active",Assignments!$AI$2:$AI$769,"&lt;="&amp;T$47,Assignments!$AJ$2:$AJ$769,"&gt;="&amp;T$47)+SUMIFS(Assignments!$AN$2:$AN$769,Assignments!$A$2:$A$769,$A61,Assignments!$G$2:$G$769,"Active",Assignments!$AL$2:$AL$769,"&lt;="&amp;T$47,Assignments!$AM$2:$AM$769,"&gt;="&amp;T$47))</f>
        <v/>
      </c>
      <c r="U61" s="11">
        <f>IF($A61="","",SUMIFS(Assignments!$AK$2:$AK$769,Assignments!$A$2:$A$769,$A61,Assignments!$G$2:$G$769,"Active",Assignments!$AI$2:$AI$769,"&lt;="&amp;U$47,Assignments!$AJ$2:$AJ$769,"&gt;="&amp;U$47)+SUMIFS(Assignments!$AN$2:$AN$769,Assignments!$A$2:$A$769,$A61,Assignments!$G$2:$G$769,"Active",Assignments!$AL$2:$AL$769,"&lt;="&amp;U$47,Assignments!$AM$2:$AM$769,"&gt;="&amp;U$47))</f>
        <v/>
      </c>
      <c r="V61" s="11">
        <f>IF($A61="","",SUMIFS(Assignments!$AK$2:$AK$769,Assignments!$A$2:$A$769,$A61,Assignments!$G$2:$G$769,"Active",Assignments!$AI$2:$AI$769,"&lt;="&amp;V$47,Assignments!$AJ$2:$AJ$769,"&gt;="&amp;V$47)+SUMIFS(Assignments!$AN$2:$AN$769,Assignments!$A$2:$A$769,$A61,Assignments!$G$2:$G$769,"Active",Assignments!$AL$2:$AL$769,"&lt;="&amp;V$47,Assignments!$AM$2:$AM$769,"&gt;="&amp;V$47))</f>
        <v/>
      </c>
      <c r="W61" s="11">
        <f>IF($A61="","",SUMIFS(Assignments!$AK$2:$AK$769,Assignments!$A$2:$A$769,$A61,Assignments!$G$2:$G$769,"Active",Assignments!$AI$2:$AI$769,"&lt;="&amp;W$47,Assignments!$AJ$2:$AJ$769,"&gt;="&amp;W$47)+SUMIFS(Assignments!$AN$2:$AN$769,Assignments!$A$2:$A$769,$A61,Assignments!$G$2:$G$769,"Active",Assignments!$AL$2:$AL$769,"&lt;="&amp;W$47,Assignments!$AM$2:$AM$769,"&gt;="&amp;W$47))</f>
        <v/>
      </c>
      <c r="X61" s="11">
        <f>IF($A61="","",SUMIFS(Assignments!$AK$2:$AK$769,Assignments!$A$2:$A$769,$A61,Assignments!$G$2:$G$769,"Active",Assignments!$AI$2:$AI$769,"&lt;="&amp;X$47,Assignments!$AJ$2:$AJ$769,"&gt;="&amp;X$47)+SUMIFS(Assignments!$AN$2:$AN$769,Assignments!$A$2:$A$769,$A61,Assignments!$G$2:$G$769,"Active",Assignments!$AL$2:$AL$769,"&lt;="&amp;X$47,Assignments!$AM$2:$AM$769,"&gt;="&amp;X$47))</f>
        <v/>
      </c>
      <c r="Y61" s="11">
        <f>IF($A61="","",SUMIFS(Assignments!$AK$2:$AK$769,Assignments!$A$2:$A$769,$A61,Assignments!$G$2:$G$769,"Active",Assignments!$AI$2:$AI$769,"&lt;="&amp;Y$47,Assignments!$AJ$2:$AJ$769,"&gt;="&amp;Y$47)+SUMIFS(Assignments!$AN$2:$AN$769,Assignments!$A$2:$A$769,$A61,Assignments!$G$2:$G$769,"Active",Assignments!$AL$2:$AL$769,"&lt;="&amp;Y$47,Assignments!$AM$2:$AM$769,"&gt;="&amp;Y$47))</f>
        <v/>
      </c>
      <c r="Z61" s="11">
        <f>IF($A61="","",SUMIFS(Assignments!$AK$2:$AK$769,Assignments!$A$2:$A$769,$A61,Assignments!$G$2:$G$769,"Active",Assignments!$AI$2:$AI$769,"&lt;="&amp;Z$47,Assignments!$AJ$2:$AJ$769,"&gt;="&amp;Z$47)+SUMIFS(Assignments!$AN$2:$AN$769,Assignments!$A$2:$A$769,$A61,Assignments!$G$2:$G$769,"Active",Assignments!$AL$2:$AL$769,"&lt;="&amp;Z$47,Assignments!$AM$2:$AM$769,"&gt;="&amp;Z$47))</f>
        <v/>
      </c>
      <c r="AA61" s="11">
        <f>IF($A61="","",SUMIFS(Assignments!$AK$2:$AK$769,Assignments!$A$2:$A$769,$A61,Assignments!$G$2:$G$769,"Active",Assignments!$AI$2:$AI$769,"&lt;="&amp;AA$47,Assignments!$AJ$2:$AJ$769,"&gt;="&amp;AA$47)+SUMIFS(Assignments!$AN$2:$AN$769,Assignments!$A$2:$A$769,$A61,Assignments!$G$2:$G$769,"Active",Assignments!$AL$2:$AL$769,"&lt;="&amp;AA$47,Assignments!$AM$2:$AM$769,"&gt;="&amp;AA$47))</f>
        <v/>
      </c>
      <c r="AB61" s="11">
        <f>IF($A61="","",SUMIFS(Assignments!$AK$2:$AK$769,Assignments!$A$2:$A$769,$A61,Assignments!$G$2:$G$769,"Active",Assignments!$AI$2:$AI$769,"&lt;="&amp;AB$47,Assignments!$AJ$2:$AJ$769,"&gt;="&amp;AB$47)+SUMIFS(Assignments!$AN$2:$AN$769,Assignments!$A$2:$A$769,$A61,Assignments!$G$2:$G$769,"Active",Assignments!$AL$2:$AL$769,"&lt;="&amp;AB$47,Assignments!$AM$2:$AM$769,"&gt;="&amp;AB$47))</f>
        <v/>
      </c>
    </row>
    <row r="62">
      <c r="A62" s="9">
        <f>IF(Roster!$A16="","",Roster!$A16)</f>
        <v/>
      </c>
      <c r="B62" s="10">
        <f>IF($A62="","",IFERROR(INDEX(Roster!$D$2:$D$40,MATCH($A62,Roster!$A$2:$A$40,0)),""))</f>
        <v/>
      </c>
      <c r="C62" s="11">
        <f>IF($A62="","",SUMIFS(Assignments!$AK$2:$AK$769,Assignments!$A$2:$A$769,$A62,Assignments!$G$2:$G$769,"Active",Assignments!$AI$2:$AI$769,"&lt;="&amp;C$47,Assignments!$AJ$2:$AJ$769,"&gt;="&amp;C$47)+SUMIFS(Assignments!$AN$2:$AN$769,Assignments!$A$2:$A$769,$A62,Assignments!$G$2:$G$769,"Active",Assignments!$AL$2:$AL$769,"&lt;="&amp;C$47,Assignments!$AM$2:$AM$769,"&gt;="&amp;C$47))</f>
        <v/>
      </c>
      <c r="D62" s="11">
        <f>IF($A62="","",SUMIFS(Assignments!$AK$2:$AK$769,Assignments!$A$2:$A$769,$A62,Assignments!$G$2:$G$769,"Active",Assignments!$AI$2:$AI$769,"&lt;="&amp;D$47,Assignments!$AJ$2:$AJ$769,"&gt;="&amp;D$47)+SUMIFS(Assignments!$AN$2:$AN$769,Assignments!$A$2:$A$769,$A62,Assignments!$G$2:$G$769,"Active",Assignments!$AL$2:$AL$769,"&lt;="&amp;D$47,Assignments!$AM$2:$AM$769,"&gt;="&amp;D$47))</f>
        <v/>
      </c>
      <c r="E62" s="11">
        <f>IF($A62="","",SUMIFS(Assignments!$AK$2:$AK$769,Assignments!$A$2:$A$769,$A62,Assignments!$G$2:$G$769,"Active",Assignments!$AI$2:$AI$769,"&lt;="&amp;E$47,Assignments!$AJ$2:$AJ$769,"&gt;="&amp;E$47)+SUMIFS(Assignments!$AN$2:$AN$769,Assignments!$A$2:$A$769,$A62,Assignments!$G$2:$G$769,"Active",Assignments!$AL$2:$AL$769,"&lt;="&amp;E$47,Assignments!$AM$2:$AM$769,"&gt;="&amp;E$47))</f>
        <v/>
      </c>
      <c r="F62" s="11">
        <f>IF($A62="","",SUMIFS(Assignments!$AK$2:$AK$769,Assignments!$A$2:$A$769,$A62,Assignments!$G$2:$G$769,"Active",Assignments!$AI$2:$AI$769,"&lt;="&amp;F$47,Assignments!$AJ$2:$AJ$769,"&gt;="&amp;F$47)+SUMIFS(Assignments!$AN$2:$AN$769,Assignments!$A$2:$A$769,$A62,Assignments!$G$2:$G$769,"Active",Assignments!$AL$2:$AL$769,"&lt;="&amp;F$47,Assignments!$AM$2:$AM$769,"&gt;="&amp;F$47))</f>
        <v/>
      </c>
      <c r="G62" s="11">
        <f>IF($A62="","",SUMIFS(Assignments!$AK$2:$AK$769,Assignments!$A$2:$A$769,$A62,Assignments!$G$2:$G$769,"Active",Assignments!$AI$2:$AI$769,"&lt;="&amp;G$47,Assignments!$AJ$2:$AJ$769,"&gt;="&amp;G$47)+SUMIFS(Assignments!$AN$2:$AN$769,Assignments!$A$2:$A$769,$A62,Assignments!$G$2:$G$769,"Active",Assignments!$AL$2:$AL$769,"&lt;="&amp;G$47,Assignments!$AM$2:$AM$769,"&gt;="&amp;G$47))</f>
        <v/>
      </c>
      <c r="H62" s="11">
        <f>IF($A62="","",SUMIFS(Assignments!$AK$2:$AK$769,Assignments!$A$2:$A$769,$A62,Assignments!$G$2:$G$769,"Active",Assignments!$AI$2:$AI$769,"&lt;="&amp;H$47,Assignments!$AJ$2:$AJ$769,"&gt;="&amp;H$47)+SUMIFS(Assignments!$AN$2:$AN$769,Assignments!$A$2:$A$769,$A62,Assignments!$G$2:$G$769,"Active",Assignments!$AL$2:$AL$769,"&lt;="&amp;H$47,Assignments!$AM$2:$AM$769,"&gt;="&amp;H$47))</f>
        <v/>
      </c>
      <c r="I62" s="11">
        <f>IF($A62="","",SUMIFS(Assignments!$AK$2:$AK$769,Assignments!$A$2:$A$769,$A62,Assignments!$G$2:$G$769,"Active",Assignments!$AI$2:$AI$769,"&lt;="&amp;I$47,Assignments!$AJ$2:$AJ$769,"&gt;="&amp;I$47)+SUMIFS(Assignments!$AN$2:$AN$769,Assignments!$A$2:$A$769,$A62,Assignments!$G$2:$G$769,"Active",Assignments!$AL$2:$AL$769,"&lt;="&amp;I$47,Assignments!$AM$2:$AM$769,"&gt;="&amp;I$47))</f>
        <v/>
      </c>
      <c r="J62" s="11">
        <f>IF($A62="","",SUMIFS(Assignments!$AK$2:$AK$769,Assignments!$A$2:$A$769,$A62,Assignments!$G$2:$G$769,"Active",Assignments!$AI$2:$AI$769,"&lt;="&amp;J$47,Assignments!$AJ$2:$AJ$769,"&gt;="&amp;J$47)+SUMIFS(Assignments!$AN$2:$AN$769,Assignments!$A$2:$A$769,$A62,Assignments!$G$2:$G$769,"Active",Assignments!$AL$2:$AL$769,"&lt;="&amp;J$47,Assignments!$AM$2:$AM$769,"&gt;="&amp;J$47))</f>
        <v/>
      </c>
      <c r="K62" s="11">
        <f>IF($A62="","",SUMIFS(Assignments!$AK$2:$AK$769,Assignments!$A$2:$A$769,$A62,Assignments!$G$2:$G$769,"Active",Assignments!$AI$2:$AI$769,"&lt;="&amp;K$47,Assignments!$AJ$2:$AJ$769,"&gt;="&amp;K$47)+SUMIFS(Assignments!$AN$2:$AN$769,Assignments!$A$2:$A$769,$A62,Assignments!$G$2:$G$769,"Active",Assignments!$AL$2:$AL$769,"&lt;="&amp;K$47,Assignments!$AM$2:$AM$769,"&gt;="&amp;K$47))</f>
        <v/>
      </c>
      <c r="L62" s="11">
        <f>IF($A62="","",SUMIFS(Assignments!$AK$2:$AK$769,Assignments!$A$2:$A$769,$A62,Assignments!$G$2:$G$769,"Active",Assignments!$AI$2:$AI$769,"&lt;="&amp;L$47,Assignments!$AJ$2:$AJ$769,"&gt;="&amp;L$47)+SUMIFS(Assignments!$AN$2:$AN$769,Assignments!$A$2:$A$769,$A62,Assignments!$G$2:$G$769,"Active",Assignments!$AL$2:$AL$769,"&lt;="&amp;L$47,Assignments!$AM$2:$AM$769,"&gt;="&amp;L$47))</f>
        <v/>
      </c>
      <c r="M62" s="11">
        <f>IF($A62="","",SUMIFS(Assignments!$AK$2:$AK$769,Assignments!$A$2:$A$769,$A62,Assignments!$G$2:$G$769,"Active",Assignments!$AI$2:$AI$769,"&lt;="&amp;M$47,Assignments!$AJ$2:$AJ$769,"&gt;="&amp;M$47)+SUMIFS(Assignments!$AN$2:$AN$769,Assignments!$A$2:$A$769,$A62,Assignments!$G$2:$G$769,"Active",Assignments!$AL$2:$AL$769,"&lt;="&amp;M$47,Assignments!$AM$2:$AM$769,"&gt;="&amp;M$47))</f>
        <v/>
      </c>
      <c r="N62" s="11">
        <f>IF($A62="","",SUMIFS(Assignments!$AK$2:$AK$769,Assignments!$A$2:$A$769,$A62,Assignments!$G$2:$G$769,"Active",Assignments!$AI$2:$AI$769,"&lt;="&amp;N$47,Assignments!$AJ$2:$AJ$769,"&gt;="&amp;N$47)+SUMIFS(Assignments!$AN$2:$AN$769,Assignments!$A$2:$A$769,$A62,Assignments!$G$2:$G$769,"Active",Assignments!$AL$2:$AL$769,"&lt;="&amp;N$47,Assignments!$AM$2:$AM$769,"&gt;="&amp;N$47))</f>
        <v/>
      </c>
      <c r="O62" s="11">
        <f>IF($A62="","",SUMIFS(Assignments!$AK$2:$AK$769,Assignments!$A$2:$A$769,$A62,Assignments!$G$2:$G$769,"Active",Assignments!$AI$2:$AI$769,"&lt;="&amp;O$47,Assignments!$AJ$2:$AJ$769,"&gt;="&amp;O$47)+SUMIFS(Assignments!$AN$2:$AN$769,Assignments!$A$2:$A$769,$A62,Assignments!$G$2:$G$769,"Active",Assignments!$AL$2:$AL$769,"&lt;="&amp;O$47,Assignments!$AM$2:$AM$769,"&gt;="&amp;O$47))</f>
        <v/>
      </c>
      <c r="P62" s="11">
        <f>IF($A62="","",SUMIFS(Assignments!$AK$2:$AK$769,Assignments!$A$2:$A$769,$A62,Assignments!$G$2:$G$769,"Active",Assignments!$AI$2:$AI$769,"&lt;="&amp;P$47,Assignments!$AJ$2:$AJ$769,"&gt;="&amp;P$47)+SUMIFS(Assignments!$AN$2:$AN$769,Assignments!$A$2:$A$769,$A62,Assignments!$G$2:$G$769,"Active",Assignments!$AL$2:$AL$769,"&lt;="&amp;P$47,Assignments!$AM$2:$AM$769,"&gt;="&amp;P$47))</f>
        <v/>
      </c>
      <c r="Q62" s="11">
        <f>IF($A62="","",SUMIFS(Assignments!$AK$2:$AK$769,Assignments!$A$2:$A$769,$A62,Assignments!$G$2:$G$769,"Active",Assignments!$AI$2:$AI$769,"&lt;="&amp;Q$47,Assignments!$AJ$2:$AJ$769,"&gt;="&amp;Q$47)+SUMIFS(Assignments!$AN$2:$AN$769,Assignments!$A$2:$A$769,$A62,Assignments!$G$2:$G$769,"Active",Assignments!$AL$2:$AL$769,"&lt;="&amp;Q$47,Assignments!$AM$2:$AM$769,"&gt;="&amp;Q$47))</f>
        <v/>
      </c>
      <c r="R62" s="11">
        <f>IF($A62="","",SUMIFS(Assignments!$AK$2:$AK$769,Assignments!$A$2:$A$769,$A62,Assignments!$G$2:$G$769,"Active",Assignments!$AI$2:$AI$769,"&lt;="&amp;R$47,Assignments!$AJ$2:$AJ$769,"&gt;="&amp;R$47)+SUMIFS(Assignments!$AN$2:$AN$769,Assignments!$A$2:$A$769,$A62,Assignments!$G$2:$G$769,"Active",Assignments!$AL$2:$AL$769,"&lt;="&amp;R$47,Assignments!$AM$2:$AM$769,"&gt;="&amp;R$47))</f>
        <v/>
      </c>
      <c r="S62" s="11">
        <f>IF($A62="","",SUMIFS(Assignments!$AK$2:$AK$769,Assignments!$A$2:$A$769,$A62,Assignments!$G$2:$G$769,"Active",Assignments!$AI$2:$AI$769,"&lt;="&amp;S$47,Assignments!$AJ$2:$AJ$769,"&gt;="&amp;S$47)+SUMIFS(Assignments!$AN$2:$AN$769,Assignments!$A$2:$A$769,$A62,Assignments!$G$2:$G$769,"Active",Assignments!$AL$2:$AL$769,"&lt;="&amp;S$47,Assignments!$AM$2:$AM$769,"&gt;="&amp;S$47))</f>
        <v/>
      </c>
      <c r="T62" s="11">
        <f>IF($A62="","",SUMIFS(Assignments!$AK$2:$AK$769,Assignments!$A$2:$A$769,$A62,Assignments!$G$2:$G$769,"Active",Assignments!$AI$2:$AI$769,"&lt;="&amp;T$47,Assignments!$AJ$2:$AJ$769,"&gt;="&amp;T$47)+SUMIFS(Assignments!$AN$2:$AN$769,Assignments!$A$2:$A$769,$A62,Assignments!$G$2:$G$769,"Active",Assignments!$AL$2:$AL$769,"&lt;="&amp;T$47,Assignments!$AM$2:$AM$769,"&gt;="&amp;T$47))</f>
        <v/>
      </c>
      <c r="U62" s="11">
        <f>IF($A62="","",SUMIFS(Assignments!$AK$2:$AK$769,Assignments!$A$2:$A$769,$A62,Assignments!$G$2:$G$769,"Active",Assignments!$AI$2:$AI$769,"&lt;="&amp;U$47,Assignments!$AJ$2:$AJ$769,"&gt;="&amp;U$47)+SUMIFS(Assignments!$AN$2:$AN$769,Assignments!$A$2:$A$769,$A62,Assignments!$G$2:$G$769,"Active",Assignments!$AL$2:$AL$769,"&lt;="&amp;U$47,Assignments!$AM$2:$AM$769,"&gt;="&amp;U$47))</f>
        <v/>
      </c>
      <c r="V62" s="11">
        <f>IF($A62="","",SUMIFS(Assignments!$AK$2:$AK$769,Assignments!$A$2:$A$769,$A62,Assignments!$G$2:$G$769,"Active",Assignments!$AI$2:$AI$769,"&lt;="&amp;V$47,Assignments!$AJ$2:$AJ$769,"&gt;="&amp;V$47)+SUMIFS(Assignments!$AN$2:$AN$769,Assignments!$A$2:$A$769,$A62,Assignments!$G$2:$G$769,"Active",Assignments!$AL$2:$AL$769,"&lt;="&amp;V$47,Assignments!$AM$2:$AM$769,"&gt;="&amp;V$47))</f>
        <v/>
      </c>
      <c r="W62" s="11">
        <f>IF($A62="","",SUMIFS(Assignments!$AK$2:$AK$769,Assignments!$A$2:$A$769,$A62,Assignments!$G$2:$G$769,"Active",Assignments!$AI$2:$AI$769,"&lt;="&amp;W$47,Assignments!$AJ$2:$AJ$769,"&gt;="&amp;W$47)+SUMIFS(Assignments!$AN$2:$AN$769,Assignments!$A$2:$A$769,$A62,Assignments!$G$2:$G$769,"Active",Assignments!$AL$2:$AL$769,"&lt;="&amp;W$47,Assignments!$AM$2:$AM$769,"&gt;="&amp;W$47))</f>
        <v/>
      </c>
      <c r="X62" s="11">
        <f>IF($A62="","",SUMIFS(Assignments!$AK$2:$AK$769,Assignments!$A$2:$A$769,$A62,Assignments!$G$2:$G$769,"Active",Assignments!$AI$2:$AI$769,"&lt;="&amp;X$47,Assignments!$AJ$2:$AJ$769,"&gt;="&amp;X$47)+SUMIFS(Assignments!$AN$2:$AN$769,Assignments!$A$2:$A$769,$A62,Assignments!$G$2:$G$769,"Active",Assignments!$AL$2:$AL$769,"&lt;="&amp;X$47,Assignments!$AM$2:$AM$769,"&gt;="&amp;X$47))</f>
        <v/>
      </c>
      <c r="Y62" s="11">
        <f>IF($A62="","",SUMIFS(Assignments!$AK$2:$AK$769,Assignments!$A$2:$A$769,$A62,Assignments!$G$2:$G$769,"Active",Assignments!$AI$2:$AI$769,"&lt;="&amp;Y$47,Assignments!$AJ$2:$AJ$769,"&gt;="&amp;Y$47)+SUMIFS(Assignments!$AN$2:$AN$769,Assignments!$A$2:$A$769,$A62,Assignments!$G$2:$G$769,"Active",Assignments!$AL$2:$AL$769,"&lt;="&amp;Y$47,Assignments!$AM$2:$AM$769,"&gt;="&amp;Y$47))</f>
        <v/>
      </c>
      <c r="Z62" s="11">
        <f>IF($A62="","",SUMIFS(Assignments!$AK$2:$AK$769,Assignments!$A$2:$A$769,$A62,Assignments!$G$2:$G$769,"Active",Assignments!$AI$2:$AI$769,"&lt;="&amp;Z$47,Assignments!$AJ$2:$AJ$769,"&gt;="&amp;Z$47)+SUMIFS(Assignments!$AN$2:$AN$769,Assignments!$A$2:$A$769,$A62,Assignments!$G$2:$G$769,"Active",Assignments!$AL$2:$AL$769,"&lt;="&amp;Z$47,Assignments!$AM$2:$AM$769,"&gt;="&amp;Z$47))</f>
        <v/>
      </c>
      <c r="AA62" s="11">
        <f>IF($A62="","",SUMIFS(Assignments!$AK$2:$AK$769,Assignments!$A$2:$A$769,$A62,Assignments!$G$2:$G$769,"Active",Assignments!$AI$2:$AI$769,"&lt;="&amp;AA$47,Assignments!$AJ$2:$AJ$769,"&gt;="&amp;AA$47)+SUMIFS(Assignments!$AN$2:$AN$769,Assignments!$A$2:$A$769,$A62,Assignments!$G$2:$G$769,"Active",Assignments!$AL$2:$AL$769,"&lt;="&amp;AA$47,Assignments!$AM$2:$AM$769,"&gt;="&amp;AA$47))</f>
        <v/>
      </c>
      <c r="AB62" s="11">
        <f>IF($A62="","",SUMIFS(Assignments!$AK$2:$AK$769,Assignments!$A$2:$A$769,$A62,Assignments!$G$2:$G$769,"Active",Assignments!$AI$2:$AI$769,"&lt;="&amp;AB$47,Assignments!$AJ$2:$AJ$769,"&gt;="&amp;AB$47)+SUMIFS(Assignments!$AN$2:$AN$769,Assignments!$A$2:$A$769,$A62,Assignments!$G$2:$G$769,"Active",Assignments!$AL$2:$AL$769,"&lt;="&amp;AB$47,Assignments!$AM$2:$AM$769,"&gt;="&amp;AB$47))</f>
        <v/>
      </c>
    </row>
    <row r="63">
      <c r="A63" s="9">
        <f>IF(Roster!$A17="","",Roster!$A17)</f>
        <v/>
      </c>
      <c r="B63" s="10">
        <f>IF($A63="","",IFERROR(INDEX(Roster!$D$2:$D$40,MATCH($A63,Roster!$A$2:$A$40,0)),""))</f>
        <v/>
      </c>
      <c r="C63" s="11">
        <f>IF($A63="","",SUMIFS(Assignments!$AK$2:$AK$769,Assignments!$A$2:$A$769,$A63,Assignments!$G$2:$G$769,"Active",Assignments!$AI$2:$AI$769,"&lt;="&amp;C$47,Assignments!$AJ$2:$AJ$769,"&gt;="&amp;C$47)+SUMIFS(Assignments!$AN$2:$AN$769,Assignments!$A$2:$A$769,$A63,Assignments!$G$2:$G$769,"Active",Assignments!$AL$2:$AL$769,"&lt;="&amp;C$47,Assignments!$AM$2:$AM$769,"&gt;="&amp;C$47))</f>
        <v/>
      </c>
      <c r="D63" s="11">
        <f>IF($A63="","",SUMIFS(Assignments!$AK$2:$AK$769,Assignments!$A$2:$A$769,$A63,Assignments!$G$2:$G$769,"Active",Assignments!$AI$2:$AI$769,"&lt;="&amp;D$47,Assignments!$AJ$2:$AJ$769,"&gt;="&amp;D$47)+SUMIFS(Assignments!$AN$2:$AN$769,Assignments!$A$2:$A$769,$A63,Assignments!$G$2:$G$769,"Active",Assignments!$AL$2:$AL$769,"&lt;="&amp;D$47,Assignments!$AM$2:$AM$769,"&gt;="&amp;D$47))</f>
        <v/>
      </c>
      <c r="E63" s="11">
        <f>IF($A63="","",SUMIFS(Assignments!$AK$2:$AK$769,Assignments!$A$2:$A$769,$A63,Assignments!$G$2:$G$769,"Active",Assignments!$AI$2:$AI$769,"&lt;="&amp;E$47,Assignments!$AJ$2:$AJ$769,"&gt;="&amp;E$47)+SUMIFS(Assignments!$AN$2:$AN$769,Assignments!$A$2:$A$769,$A63,Assignments!$G$2:$G$769,"Active",Assignments!$AL$2:$AL$769,"&lt;="&amp;E$47,Assignments!$AM$2:$AM$769,"&gt;="&amp;E$47))</f>
        <v/>
      </c>
      <c r="F63" s="11">
        <f>IF($A63="","",SUMIFS(Assignments!$AK$2:$AK$769,Assignments!$A$2:$A$769,$A63,Assignments!$G$2:$G$769,"Active",Assignments!$AI$2:$AI$769,"&lt;="&amp;F$47,Assignments!$AJ$2:$AJ$769,"&gt;="&amp;F$47)+SUMIFS(Assignments!$AN$2:$AN$769,Assignments!$A$2:$A$769,$A63,Assignments!$G$2:$G$769,"Active",Assignments!$AL$2:$AL$769,"&lt;="&amp;F$47,Assignments!$AM$2:$AM$769,"&gt;="&amp;F$47))</f>
        <v/>
      </c>
      <c r="G63" s="11">
        <f>IF($A63="","",SUMIFS(Assignments!$AK$2:$AK$769,Assignments!$A$2:$A$769,$A63,Assignments!$G$2:$G$769,"Active",Assignments!$AI$2:$AI$769,"&lt;="&amp;G$47,Assignments!$AJ$2:$AJ$769,"&gt;="&amp;G$47)+SUMIFS(Assignments!$AN$2:$AN$769,Assignments!$A$2:$A$769,$A63,Assignments!$G$2:$G$769,"Active",Assignments!$AL$2:$AL$769,"&lt;="&amp;G$47,Assignments!$AM$2:$AM$769,"&gt;="&amp;G$47))</f>
        <v/>
      </c>
      <c r="H63" s="11">
        <f>IF($A63="","",SUMIFS(Assignments!$AK$2:$AK$769,Assignments!$A$2:$A$769,$A63,Assignments!$G$2:$G$769,"Active",Assignments!$AI$2:$AI$769,"&lt;="&amp;H$47,Assignments!$AJ$2:$AJ$769,"&gt;="&amp;H$47)+SUMIFS(Assignments!$AN$2:$AN$769,Assignments!$A$2:$A$769,$A63,Assignments!$G$2:$G$769,"Active",Assignments!$AL$2:$AL$769,"&lt;="&amp;H$47,Assignments!$AM$2:$AM$769,"&gt;="&amp;H$47))</f>
        <v/>
      </c>
      <c r="I63" s="11">
        <f>IF($A63="","",SUMIFS(Assignments!$AK$2:$AK$769,Assignments!$A$2:$A$769,$A63,Assignments!$G$2:$G$769,"Active",Assignments!$AI$2:$AI$769,"&lt;="&amp;I$47,Assignments!$AJ$2:$AJ$769,"&gt;="&amp;I$47)+SUMIFS(Assignments!$AN$2:$AN$769,Assignments!$A$2:$A$769,$A63,Assignments!$G$2:$G$769,"Active",Assignments!$AL$2:$AL$769,"&lt;="&amp;I$47,Assignments!$AM$2:$AM$769,"&gt;="&amp;I$47))</f>
        <v/>
      </c>
      <c r="J63" s="11">
        <f>IF($A63="","",SUMIFS(Assignments!$AK$2:$AK$769,Assignments!$A$2:$A$769,$A63,Assignments!$G$2:$G$769,"Active",Assignments!$AI$2:$AI$769,"&lt;="&amp;J$47,Assignments!$AJ$2:$AJ$769,"&gt;="&amp;J$47)+SUMIFS(Assignments!$AN$2:$AN$769,Assignments!$A$2:$A$769,$A63,Assignments!$G$2:$G$769,"Active",Assignments!$AL$2:$AL$769,"&lt;="&amp;J$47,Assignments!$AM$2:$AM$769,"&gt;="&amp;J$47))</f>
        <v/>
      </c>
      <c r="K63" s="11">
        <f>IF($A63="","",SUMIFS(Assignments!$AK$2:$AK$769,Assignments!$A$2:$A$769,$A63,Assignments!$G$2:$G$769,"Active",Assignments!$AI$2:$AI$769,"&lt;="&amp;K$47,Assignments!$AJ$2:$AJ$769,"&gt;="&amp;K$47)+SUMIFS(Assignments!$AN$2:$AN$769,Assignments!$A$2:$A$769,$A63,Assignments!$G$2:$G$769,"Active",Assignments!$AL$2:$AL$769,"&lt;="&amp;K$47,Assignments!$AM$2:$AM$769,"&gt;="&amp;K$47))</f>
        <v/>
      </c>
      <c r="L63" s="11">
        <f>IF($A63="","",SUMIFS(Assignments!$AK$2:$AK$769,Assignments!$A$2:$A$769,$A63,Assignments!$G$2:$G$769,"Active",Assignments!$AI$2:$AI$769,"&lt;="&amp;L$47,Assignments!$AJ$2:$AJ$769,"&gt;="&amp;L$47)+SUMIFS(Assignments!$AN$2:$AN$769,Assignments!$A$2:$A$769,$A63,Assignments!$G$2:$G$769,"Active",Assignments!$AL$2:$AL$769,"&lt;="&amp;L$47,Assignments!$AM$2:$AM$769,"&gt;="&amp;L$47))</f>
        <v/>
      </c>
      <c r="M63" s="11">
        <f>IF($A63="","",SUMIFS(Assignments!$AK$2:$AK$769,Assignments!$A$2:$A$769,$A63,Assignments!$G$2:$G$769,"Active",Assignments!$AI$2:$AI$769,"&lt;="&amp;M$47,Assignments!$AJ$2:$AJ$769,"&gt;="&amp;M$47)+SUMIFS(Assignments!$AN$2:$AN$769,Assignments!$A$2:$A$769,$A63,Assignments!$G$2:$G$769,"Active",Assignments!$AL$2:$AL$769,"&lt;="&amp;M$47,Assignments!$AM$2:$AM$769,"&gt;="&amp;M$47))</f>
        <v/>
      </c>
      <c r="N63" s="11">
        <f>IF($A63="","",SUMIFS(Assignments!$AK$2:$AK$769,Assignments!$A$2:$A$769,$A63,Assignments!$G$2:$G$769,"Active",Assignments!$AI$2:$AI$769,"&lt;="&amp;N$47,Assignments!$AJ$2:$AJ$769,"&gt;="&amp;N$47)+SUMIFS(Assignments!$AN$2:$AN$769,Assignments!$A$2:$A$769,$A63,Assignments!$G$2:$G$769,"Active",Assignments!$AL$2:$AL$769,"&lt;="&amp;N$47,Assignments!$AM$2:$AM$769,"&gt;="&amp;N$47))</f>
        <v/>
      </c>
      <c r="O63" s="11">
        <f>IF($A63="","",SUMIFS(Assignments!$AK$2:$AK$769,Assignments!$A$2:$A$769,$A63,Assignments!$G$2:$G$769,"Active",Assignments!$AI$2:$AI$769,"&lt;="&amp;O$47,Assignments!$AJ$2:$AJ$769,"&gt;="&amp;O$47)+SUMIFS(Assignments!$AN$2:$AN$769,Assignments!$A$2:$A$769,$A63,Assignments!$G$2:$G$769,"Active",Assignments!$AL$2:$AL$769,"&lt;="&amp;O$47,Assignments!$AM$2:$AM$769,"&gt;="&amp;O$47))</f>
        <v/>
      </c>
      <c r="P63" s="11">
        <f>IF($A63="","",SUMIFS(Assignments!$AK$2:$AK$769,Assignments!$A$2:$A$769,$A63,Assignments!$G$2:$G$769,"Active",Assignments!$AI$2:$AI$769,"&lt;="&amp;P$47,Assignments!$AJ$2:$AJ$769,"&gt;="&amp;P$47)+SUMIFS(Assignments!$AN$2:$AN$769,Assignments!$A$2:$A$769,$A63,Assignments!$G$2:$G$769,"Active",Assignments!$AL$2:$AL$769,"&lt;="&amp;P$47,Assignments!$AM$2:$AM$769,"&gt;="&amp;P$47))</f>
        <v/>
      </c>
      <c r="Q63" s="11">
        <f>IF($A63="","",SUMIFS(Assignments!$AK$2:$AK$769,Assignments!$A$2:$A$769,$A63,Assignments!$G$2:$G$769,"Active",Assignments!$AI$2:$AI$769,"&lt;="&amp;Q$47,Assignments!$AJ$2:$AJ$769,"&gt;="&amp;Q$47)+SUMIFS(Assignments!$AN$2:$AN$769,Assignments!$A$2:$A$769,$A63,Assignments!$G$2:$G$769,"Active",Assignments!$AL$2:$AL$769,"&lt;="&amp;Q$47,Assignments!$AM$2:$AM$769,"&gt;="&amp;Q$47))</f>
        <v/>
      </c>
      <c r="R63" s="11">
        <f>IF($A63="","",SUMIFS(Assignments!$AK$2:$AK$769,Assignments!$A$2:$A$769,$A63,Assignments!$G$2:$G$769,"Active",Assignments!$AI$2:$AI$769,"&lt;="&amp;R$47,Assignments!$AJ$2:$AJ$769,"&gt;="&amp;R$47)+SUMIFS(Assignments!$AN$2:$AN$769,Assignments!$A$2:$A$769,$A63,Assignments!$G$2:$G$769,"Active",Assignments!$AL$2:$AL$769,"&lt;="&amp;R$47,Assignments!$AM$2:$AM$769,"&gt;="&amp;R$47))</f>
        <v/>
      </c>
      <c r="S63" s="11">
        <f>IF($A63="","",SUMIFS(Assignments!$AK$2:$AK$769,Assignments!$A$2:$A$769,$A63,Assignments!$G$2:$G$769,"Active",Assignments!$AI$2:$AI$769,"&lt;="&amp;S$47,Assignments!$AJ$2:$AJ$769,"&gt;="&amp;S$47)+SUMIFS(Assignments!$AN$2:$AN$769,Assignments!$A$2:$A$769,$A63,Assignments!$G$2:$G$769,"Active",Assignments!$AL$2:$AL$769,"&lt;="&amp;S$47,Assignments!$AM$2:$AM$769,"&gt;="&amp;S$47))</f>
        <v/>
      </c>
      <c r="T63" s="11">
        <f>IF($A63="","",SUMIFS(Assignments!$AK$2:$AK$769,Assignments!$A$2:$A$769,$A63,Assignments!$G$2:$G$769,"Active",Assignments!$AI$2:$AI$769,"&lt;="&amp;T$47,Assignments!$AJ$2:$AJ$769,"&gt;="&amp;T$47)+SUMIFS(Assignments!$AN$2:$AN$769,Assignments!$A$2:$A$769,$A63,Assignments!$G$2:$G$769,"Active",Assignments!$AL$2:$AL$769,"&lt;="&amp;T$47,Assignments!$AM$2:$AM$769,"&gt;="&amp;T$47))</f>
        <v/>
      </c>
      <c r="U63" s="11">
        <f>IF($A63="","",SUMIFS(Assignments!$AK$2:$AK$769,Assignments!$A$2:$A$769,$A63,Assignments!$G$2:$G$769,"Active",Assignments!$AI$2:$AI$769,"&lt;="&amp;U$47,Assignments!$AJ$2:$AJ$769,"&gt;="&amp;U$47)+SUMIFS(Assignments!$AN$2:$AN$769,Assignments!$A$2:$A$769,$A63,Assignments!$G$2:$G$769,"Active",Assignments!$AL$2:$AL$769,"&lt;="&amp;U$47,Assignments!$AM$2:$AM$769,"&gt;="&amp;U$47))</f>
        <v/>
      </c>
      <c r="V63" s="11">
        <f>IF($A63="","",SUMIFS(Assignments!$AK$2:$AK$769,Assignments!$A$2:$A$769,$A63,Assignments!$G$2:$G$769,"Active",Assignments!$AI$2:$AI$769,"&lt;="&amp;V$47,Assignments!$AJ$2:$AJ$769,"&gt;="&amp;V$47)+SUMIFS(Assignments!$AN$2:$AN$769,Assignments!$A$2:$A$769,$A63,Assignments!$G$2:$G$769,"Active",Assignments!$AL$2:$AL$769,"&lt;="&amp;V$47,Assignments!$AM$2:$AM$769,"&gt;="&amp;V$47))</f>
        <v/>
      </c>
      <c r="W63" s="11">
        <f>IF($A63="","",SUMIFS(Assignments!$AK$2:$AK$769,Assignments!$A$2:$A$769,$A63,Assignments!$G$2:$G$769,"Active",Assignments!$AI$2:$AI$769,"&lt;="&amp;W$47,Assignments!$AJ$2:$AJ$769,"&gt;="&amp;W$47)+SUMIFS(Assignments!$AN$2:$AN$769,Assignments!$A$2:$A$769,$A63,Assignments!$G$2:$G$769,"Active",Assignments!$AL$2:$AL$769,"&lt;="&amp;W$47,Assignments!$AM$2:$AM$769,"&gt;="&amp;W$47))</f>
        <v/>
      </c>
      <c r="X63" s="11">
        <f>IF($A63="","",SUMIFS(Assignments!$AK$2:$AK$769,Assignments!$A$2:$A$769,$A63,Assignments!$G$2:$G$769,"Active",Assignments!$AI$2:$AI$769,"&lt;="&amp;X$47,Assignments!$AJ$2:$AJ$769,"&gt;="&amp;X$47)+SUMIFS(Assignments!$AN$2:$AN$769,Assignments!$A$2:$A$769,$A63,Assignments!$G$2:$G$769,"Active",Assignments!$AL$2:$AL$769,"&lt;="&amp;X$47,Assignments!$AM$2:$AM$769,"&gt;="&amp;X$47))</f>
        <v/>
      </c>
      <c r="Y63" s="11">
        <f>IF($A63="","",SUMIFS(Assignments!$AK$2:$AK$769,Assignments!$A$2:$A$769,$A63,Assignments!$G$2:$G$769,"Active",Assignments!$AI$2:$AI$769,"&lt;="&amp;Y$47,Assignments!$AJ$2:$AJ$769,"&gt;="&amp;Y$47)+SUMIFS(Assignments!$AN$2:$AN$769,Assignments!$A$2:$A$769,$A63,Assignments!$G$2:$G$769,"Active",Assignments!$AL$2:$AL$769,"&lt;="&amp;Y$47,Assignments!$AM$2:$AM$769,"&gt;="&amp;Y$47))</f>
        <v/>
      </c>
      <c r="Z63" s="11">
        <f>IF($A63="","",SUMIFS(Assignments!$AK$2:$AK$769,Assignments!$A$2:$A$769,$A63,Assignments!$G$2:$G$769,"Active",Assignments!$AI$2:$AI$769,"&lt;="&amp;Z$47,Assignments!$AJ$2:$AJ$769,"&gt;="&amp;Z$47)+SUMIFS(Assignments!$AN$2:$AN$769,Assignments!$A$2:$A$769,$A63,Assignments!$G$2:$G$769,"Active",Assignments!$AL$2:$AL$769,"&lt;="&amp;Z$47,Assignments!$AM$2:$AM$769,"&gt;="&amp;Z$47))</f>
        <v/>
      </c>
      <c r="AA63" s="11">
        <f>IF($A63="","",SUMIFS(Assignments!$AK$2:$AK$769,Assignments!$A$2:$A$769,$A63,Assignments!$G$2:$G$769,"Active",Assignments!$AI$2:$AI$769,"&lt;="&amp;AA$47,Assignments!$AJ$2:$AJ$769,"&gt;="&amp;AA$47)+SUMIFS(Assignments!$AN$2:$AN$769,Assignments!$A$2:$A$769,$A63,Assignments!$G$2:$G$769,"Active",Assignments!$AL$2:$AL$769,"&lt;="&amp;AA$47,Assignments!$AM$2:$AM$769,"&gt;="&amp;AA$47))</f>
        <v/>
      </c>
      <c r="AB63" s="11">
        <f>IF($A63="","",SUMIFS(Assignments!$AK$2:$AK$769,Assignments!$A$2:$A$769,$A63,Assignments!$G$2:$G$769,"Active",Assignments!$AI$2:$AI$769,"&lt;="&amp;AB$47,Assignments!$AJ$2:$AJ$769,"&gt;="&amp;AB$47)+SUMIFS(Assignments!$AN$2:$AN$769,Assignments!$A$2:$A$769,$A63,Assignments!$G$2:$G$769,"Active",Assignments!$AL$2:$AL$769,"&lt;="&amp;AB$47,Assignments!$AM$2:$AM$769,"&gt;="&amp;AB$47))</f>
        <v/>
      </c>
    </row>
    <row r="64">
      <c r="A64" s="9">
        <f>IF(Roster!$A18="","",Roster!$A18)</f>
        <v/>
      </c>
      <c r="B64" s="10">
        <f>IF($A64="","",IFERROR(INDEX(Roster!$D$2:$D$40,MATCH($A64,Roster!$A$2:$A$40,0)),""))</f>
        <v/>
      </c>
      <c r="C64" s="11">
        <f>IF($A64="","",SUMIFS(Assignments!$AK$2:$AK$769,Assignments!$A$2:$A$769,$A64,Assignments!$G$2:$G$769,"Active",Assignments!$AI$2:$AI$769,"&lt;="&amp;C$47,Assignments!$AJ$2:$AJ$769,"&gt;="&amp;C$47)+SUMIFS(Assignments!$AN$2:$AN$769,Assignments!$A$2:$A$769,$A64,Assignments!$G$2:$G$769,"Active",Assignments!$AL$2:$AL$769,"&lt;="&amp;C$47,Assignments!$AM$2:$AM$769,"&gt;="&amp;C$47))</f>
        <v/>
      </c>
      <c r="D64" s="11">
        <f>IF($A64="","",SUMIFS(Assignments!$AK$2:$AK$769,Assignments!$A$2:$A$769,$A64,Assignments!$G$2:$G$769,"Active",Assignments!$AI$2:$AI$769,"&lt;="&amp;D$47,Assignments!$AJ$2:$AJ$769,"&gt;="&amp;D$47)+SUMIFS(Assignments!$AN$2:$AN$769,Assignments!$A$2:$A$769,$A64,Assignments!$G$2:$G$769,"Active",Assignments!$AL$2:$AL$769,"&lt;="&amp;D$47,Assignments!$AM$2:$AM$769,"&gt;="&amp;D$47))</f>
        <v/>
      </c>
      <c r="E64" s="11">
        <f>IF($A64="","",SUMIFS(Assignments!$AK$2:$AK$769,Assignments!$A$2:$A$769,$A64,Assignments!$G$2:$G$769,"Active",Assignments!$AI$2:$AI$769,"&lt;="&amp;E$47,Assignments!$AJ$2:$AJ$769,"&gt;="&amp;E$47)+SUMIFS(Assignments!$AN$2:$AN$769,Assignments!$A$2:$A$769,$A64,Assignments!$G$2:$G$769,"Active",Assignments!$AL$2:$AL$769,"&lt;="&amp;E$47,Assignments!$AM$2:$AM$769,"&gt;="&amp;E$47))</f>
        <v/>
      </c>
      <c r="F64" s="11">
        <f>IF($A64="","",SUMIFS(Assignments!$AK$2:$AK$769,Assignments!$A$2:$A$769,$A64,Assignments!$G$2:$G$769,"Active",Assignments!$AI$2:$AI$769,"&lt;="&amp;F$47,Assignments!$AJ$2:$AJ$769,"&gt;="&amp;F$47)+SUMIFS(Assignments!$AN$2:$AN$769,Assignments!$A$2:$A$769,$A64,Assignments!$G$2:$G$769,"Active",Assignments!$AL$2:$AL$769,"&lt;="&amp;F$47,Assignments!$AM$2:$AM$769,"&gt;="&amp;F$47))</f>
        <v/>
      </c>
      <c r="G64" s="11">
        <f>IF($A64="","",SUMIFS(Assignments!$AK$2:$AK$769,Assignments!$A$2:$A$769,$A64,Assignments!$G$2:$G$769,"Active",Assignments!$AI$2:$AI$769,"&lt;="&amp;G$47,Assignments!$AJ$2:$AJ$769,"&gt;="&amp;G$47)+SUMIFS(Assignments!$AN$2:$AN$769,Assignments!$A$2:$A$769,$A64,Assignments!$G$2:$G$769,"Active",Assignments!$AL$2:$AL$769,"&lt;="&amp;G$47,Assignments!$AM$2:$AM$769,"&gt;="&amp;G$47))</f>
        <v/>
      </c>
      <c r="H64" s="11">
        <f>IF($A64="","",SUMIFS(Assignments!$AK$2:$AK$769,Assignments!$A$2:$A$769,$A64,Assignments!$G$2:$G$769,"Active",Assignments!$AI$2:$AI$769,"&lt;="&amp;H$47,Assignments!$AJ$2:$AJ$769,"&gt;="&amp;H$47)+SUMIFS(Assignments!$AN$2:$AN$769,Assignments!$A$2:$A$769,$A64,Assignments!$G$2:$G$769,"Active",Assignments!$AL$2:$AL$769,"&lt;="&amp;H$47,Assignments!$AM$2:$AM$769,"&gt;="&amp;H$47))</f>
        <v/>
      </c>
      <c r="I64" s="11">
        <f>IF($A64="","",SUMIFS(Assignments!$AK$2:$AK$769,Assignments!$A$2:$A$769,$A64,Assignments!$G$2:$G$769,"Active",Assignments!$AI$2:$AI$769,"&lt;="&amp;I$47,Assignments!$AJ$2:$AJ$769,"&gt;="&amp;I$47)+SUMIFS(Assignments!$AN$2:$AN$769,Assignments!$A$2:$A$769,$A64,Assignments!$G$2:$G$769,"Active",Assignments!$AL$2:$AL$769,"&lt;="&amp;I$47,Assignments!$AM$2:$AM$769,"&gt;="&amp;I$47))</f>
        <v/>
      </c>
      <c r="J64" s="11">
        <f>IF($A64="","",SUMIFS(Assignments!$AK$2:$AK$769,Assignments!$A$2:$A$769,$A64,Assignments!$G$2:$G$769,"Active",Assignments!$AI$2:$AI$769,"&lt;="&amp;J$47,Assignments!$AJ$2:$AJ$769,"&gt;="&amp;J$47)+SUMIFS(Assignments!$AN$2:$AN$769,Assignments!$A$2:$A$769,$A64,Assignments!$G$2:$G$769,"Active",Assignments!$AL$2:$AL$769,"&lt;="&amp;J$47,Assignments!$AM$2:$AM$769,"&gt;="&amp;J$47))</f>
        <v/>
      </c>
      <c r="K64" s="11">
        <f>IF($A64="","",SUMIFS(Assignments!$AK$2:$AK$769,Assignments!$A$2:$A$769,$A64,Assignments!$G$2:$G$769,"Active",Assignments!$AI$2:$AI$769,"&lt;="&amp;K$47,Assignments!$AJ$2:$AJ$769,"&gt;="&amp;K$47)+SUMIFS(Assignments!$AN$2:$AN$769,Assignments!$A$2:$A$769,$A64,Assignments!$G$2:$G$769,"Active",Assignments!$AL$2:$AL$769,"&lt;="&amp;K$47,Assignments!$AM$2:$AM$769,"&gt;="&amp;K$47))</f>
        <v/>
      </c>
      <c r="L64" s="11">
        <f>IF($A64="","",SUMIFS(Assignments!$AK$2:$AK$769,Assignments!$A$2:$A$769,$A64,Assignments!$G$2:$G$769,"Active",Assignments!$AI$2:$AI$769,"&lt;="&amp;L$47,Assignments!$AJ$2:$AJ$769,"&gt;="&amp;L$47)+SUMIFS(Assignments!$AN$2:$AN$769,Assignments!$A$2:$A$769,$A64,Assignments!$G$2:$G$769,"Active",Assignments!$AL$2:$AL$769,"&lt;="&amp;L$47,Assignments!$AM$2:$AM$769,"&gt;="&amp;L$47))</f>
        <v/>
      </c>
      <c r="M64" s="11">
        <f>IF($A64="","",SUMIFS(Assignments!$AK$2:$AK$769,Assignments!$A$2:$A$769,$A64,Assignments!$G$2:$G$769,"Active",Assignments!$AI$2:$AI$769,"&lt;="&amp;M$47,Assignments!$AJ$2:$AJ$769,"&gt;="&amp;M$47)+SUMIFS(Assignments!$AN$2:$AN$769,Assignments!$A$2:$A$769,$A64,Assignments!$G$2:$G$769,"Active",Assignments!$AL$2:$AL$769,"&lt;="&amp;M$47,Assignments!$AM$2:$AM$769,"&gt;="&amp;M$47))</f>
        <v/>
      </c>
      <c r="N64" s="11">
        <f>IF($A64="","",SUMIFS(Assignments!$AK$2:$AK$769,Assignments!$A$2:$A$769,$A64,Assignments!$G$2:$G$769,"Active",Assignments!$AI$2:$AI$769,"&lt;="&amp;N$47,Assignments!$AJ$2:$AJ$769,"&gt;="&amp;N$47)+SUMIFS(Assignments!$AN$2:$AN$769,Assignments!$A$2:$A$769,$A64,Assignments!$G$2:$G$769,"Active",Assignments!$AL$2:$AL$769,"&lt;="&amp;N$47,Assignments!$AM$2:$AM$769,"&gt;="&amp;N$47))</f>
        <v/>
      </c>
      <c r="O64" s="11">
        <f>IF($A64="","",SUMIFS(Assignments!$AK$2:$AK$769,Assignments!$A$2:$A$769,$A64,Assignments!$G$2:$G$769,"Active",Assignments!$AI$2:$AI$769,"&lt;="&amp;O$47,Assignments!$AJ$2:$AJ$769,"&gt;="&amp;O$47)+SUMIFS(Assignments!$AN$2:$AN$769,Assignments!$A$2:$A$769,$A64,Assignments!$G$2:$G$769,"Active",Assignments!$AL$2:$AL$769,"&lt;="&amp;O$47,Assignments!$AM$2:$AM$769,"&gt;="&amp;O$47))</f>
        <v/>
      </c>
      <c r="P64" s="11">
        <f>IF($A64="","",SUMIFS(Assignments!$AK$2:$AK$769,Assignments!$A$2:$A$769,$A64,Assignments!$G$2:$G$769,"Active",Assignments!$AI$2:$AI$769,"&lt;="&amp;P$47,Assignments!$AJ$2:$AJ$769,"&gt;="&amp;P$47)+SUMIFS(Assignments!$AN$2:$AN$769,Assignments!$A$2:$A$769,$A64,Assignments!$G$2:$G$769,"Active",Assignments!$AL$2:$AL$769,"&lt;="&amp;P$47,Assignments!$AM$2:$AM$769,"&gt;="&amp;P$47))</f>
        <v/>
      </c>
      <c r="Q64" s="11">
        <f>IF($A64="","",SUMIFS(Assignments!$AK$2:$AK$769,Assignments!$A$2:$A$769,$A64,Assignments!$G$2:$G$769,"Active",Assignments!$AI$2:$AI$769,"&lt;="&amp;Q$47,Assignments!$AJ$2:$AJ$769,"&gt;="&amp;Q$47)+SUMIFS(Assignments!$AN$2:$AN$769,Assignments!$A$2:$A$769,$A64,Assignments!$G$2:$G$769,"Active",Assignments!$AL$2:$AL$769,"&lt;="&amp;Q$47,Assignments!$AM$2:$AM$769,"&gt;="&amp;Q$47))</f>
        <v/>
      </c>
      <c r="R64" s="11">
        <f>IF($A64="","",SUMIFS(Assignments!$AK$2:$AK$769,Assignments!$A$2:$A$769,$A64,Assignments!$G$2:$G$769,"Active",Assignments!$AI$2:$AI$769,"&lt;="&amp;R$47,Assignments!$AJ$2:$AJ$769,"&gt;="&amp;R$47)+SUMIFS(Assignments!$AN$2:$AN$769,Assignments!$A$2:$A$769,$A64,Assignments!$G$2:$G$769,"Active",Assignments!$AL$2:$AL$769,"&lt;="&amp;R$47,Assignments!$AM$2:$AM$769,"&gt;="&amp;R$47))</f>
        <v/>
      </c>
      <c r="S64" s="11">
        <f>IF($A64="","",SUMIFS(Assignments!$AK$2:$AK$769,Assignments!$A$2:$A$769,$A64,Assignments!$G$2:$G$769,"Active",Assignments!$AI$2:$AI$769,"&lt;="&amp;S$47,Assignments!$AJ$2:$AJ$769,"&gt;="&amp;S$47)+SUMIFS(Assignments!$AN$2:$AN$769,Assignments!$A$2:$A$769,$A64,Assignments!$G$2:$G$769,"Active",Assignments!$AL$2:$AL$769,"&lt;="&amp;S$47,Assignments!$AM$2:$AM$769,"&gt;="&amp;S$47))</f>
        <v/>
      </c>
      <c r="T64" s="11">
        <f>IF($A64="","",SUMIFS(Assignments!$AK$2:$AK$769,Assignments!$A$2:$A$769,$A64,Assignments!$G$2:$G$769,"Active",Assignments!$AI$2:$AI$769,"&lt;="&amp;T$47,Assignments!$AJ$2:$AJ$769,"&gt;="&amp;T$47)+SUMIFS(Assignments!$AN$2:$AN$769,Assignments!$A$2:$A$769,$A64,Assignments!$G$2:$G$769,"Active",Assignments!$AL$2:$AL$769,"&lt;="&amp;T$47,Assignments!$AM$2:$AM$769,"&gt;="&amp;T$47))</f>
        <v/>
      </c>
      <c r="U64" s="11">
        <f>IF($A64="","",SUMIFS(Assignments!$AK$2:$AK$769,Assignments!$A$2:$A$769,$A64,Assignments!$G$2:$G$769,"Active",Assignments!$AI$2:$AI$769,"&lt;="&amp;U$47,Assignments!$AJ$2:$AJ$769,"&gt;="&amp;U$47)+SUMIFS(Assignments!$AN$2:$AN$769,Assignments!$A$2:$A$769,$A64,Assignments!$G$2:$G$769,"Active",Assignments!$AL$2:$AL$769,"&lt;="&amp;U$47,Assignments!$AM$2:$AM$769,"&gt;="&amp;U$47))</f>
        <v/>
      </c>
      <c r="V64" s="11">
        <f>IF($A64="","",SUMIFS(Assignments!$AK$2:$AK$769,Assignments!$A$2:$A$769,$A64,Assignments!$G$2:$G$769,"Active",Assignments!$AI$2:$AI$769,"&lt;="&amp;V$47,Assignments!$AJ$2:$AJ$769,"&gt;="&amp;V$47)+SUMIFS(Assignments!$AN$2:$AN$769,Assignments!$A$2:$A$769,$A64,Assignments!$G$2:$G$769,"Active",Assignments!$AL$2:$AL$769,"&lt;="&amp;V$47,Assignments!$AM$2:$AM$769,"&gt;="&amp;V$47))</f>
        <v/>
      </c>
      <c r="W64" s="11">
        <f>IF($A64="","",SUMIFS(Assignments!$AK$2:$AK$769,Assignments!$A$2:$A$769,$A64,Assignments!$G$2:$G$769,"Active",Assignments!$AI$2:$AI$769,"&lt;="&amp;W$47,Assignments!$AJ$2:$AJ$769,"&gt;="&amp;W$47)+SUMIFS(Assignments!$AN$2:$AN$769,Assignments!$A$2:$A$769,$A64,Assignments!$G$2:$G$769,"Active",Assignments!$AL$2:$AL$769,"&lt;="&amp;W$47,Assignments!$AM$2:$AM$769,"&gt;="&amp;W$47))</f>
        <v/>
      </c>
      <c r="X64" s="11">
        <f>IF($A64="","",SUMIFS(Assignments!$AK$2:$AK$769,Assignments!$A$2:$A$769,$A64,Assignments!$G$2:$G$769,"Active",Assignments!$AI$2:$AI$769,"&lt;="&amp;X$47,Assignments!$AJ$2:$AJ$769,"&gt;="&amp;X$47)+SUMIFS(Assignments!$AN$2:$AN$769,Assignments!$A$2:$A$769,$A64,Assignments!$G$2:$G$769,"Active",Assignments!$AL$2:$AL$769,"&lt;="&amp;X$47,Assignments!$AM$2:$AM$769,"&gt;="&amp;X$47))</f>
        <v/>
      </c>
      <c r="Y64" s="11">
        <f>IF($A64="","",SUMIFS(Assignments!$AK$2:$AK$769,Assignments!$A$2:$A$769,$A64,Assignments!$G$2:$G$769,"Active",Assignments!$AI$2:$AI$769,"&lt;="&amp;Y$47,Assignments!$AJ$2:$AJ$769,"&gt;="&amp;Y$47)+SUMIFS(Assignments!$AN$2:$AN$769,Assignments!$A$2:$A$769,$A64,Assignments!$G$2:$G$769,"Active",Assignments!$AL$2:$AL$769,"&lt;="&amp;Y$47,Assignments!$AM$2:$AM$769,"&gt;="&amp;Y$47))</f>
        <v/>
      </c>
      <c r="Z64" s="11">
        <f>IF($A64="","",SUMIFS(Assignments!$AK$2:$AK$769,Assignments!$A$2:$A$769,$A64,Assignments!$G$2:$G$769,"Active",Assignments!$AI$2:$AI$769,"&lt;="&amp;Z$47,Assignments!$AJ$2:$AJ$769,"&gt;="&amp;Z$47)+SUMIFS(Assignments!$AN$2:$AN$769,Assignments!$A$2:$A$769,$A64,Assignments!$G$2:$G$769,"Active",Assignments!$AL$2:$AL$769,"&lt;="&amp;Z$47,Assignments!$AM$2:$AM$769,"&gt;="&amp;Z$47))</f>
        <v/>
      </c>
      <c r="AA64" s="11">
        <f>IF($A64="","",SUMIFS(Assignments!$AK$2:$AK$769,Assignments!$A$2:$A$769,$A64,Assignments!$G$2:$G$769,"Active",Assignments!$AI$2:$AI$769,"&lt;="&amp;AA$47,Assignments!$AJ$2:$AJ$769,"&gt;="&amp;AA$47)+SUMIFS(Assignments!$AN$2:$AN$769,Assignments!$A$2:$A$769,$A64,Assignments!$G$2:$G$769,"Active",Assignments!$AL$2:$AL$769,"&lt;="&amp;AA$47,Assignments!$AM$2:$AM$769,"&gt;="&amp;AA$47))</f>
        <v/>
      </c>
      <c r="AB64" s="11">
        <f>IF($A64="","",SUMIFS(Assignments!$AK$2:$AK$769,Assignments!$A$2:$A$769,$A64,Assignments!$G$2:$G$769,"Active",Assignments!$AI$2:$AI$769,"&lt;="&amp;AB$47,Assignments!$AJ$2:$AJ$769,"&gt;="&amp;AB$47)+SUMIFS(Assignments!$AN$2:$AN$769,Assignments!$A$2:$A$769,$A64,Assignments!$G$2:$G$769,"Active",Assignments!$AL$2:$AL$769,"&lt;="&amp;AB$47,Assignments!$AM$2:$AM$769,"&gt;="&amp;AB$47))</f>
        <v/>
      </c>
    </row>
    <row r="65">
      <c r="A65" s="9">
        <f>IF(Roster!$A19="","",Roster!$A19)</f>
        <v/>
      </c>
      <c r="B65" s="10">
        <f>IF($A65="","",IFERROR(INDEX(Roster!$D$2:$D$40,MATCH($A65,Roster!$A$2:$A$40,0)),""))</f>
        <v/>
      </c>
      <c r="C65" s="11">
        <f>IF($A65="","",SUMIFS(Assignments!$AK$2:$AK$769,Assignments!$A$2:$A$769,$A65,Assignments!$G$2:$G$769,"Active",Assignments!$AI$2:$AI$769,"&lt;="&amp;C$47,Assignments!$AJ$2:$AJ$769,"&gt;="&amp;C$47)+SUMIFS(Assignments!$AN$2:$AN$769,Assignments!$A$2:$A$769,$A65,Assignments!$G$2:$G$769,"Active",Assignments!$AL$2:$AL$769,"&lt;="&amp;C$47,Assignments!$AM$2:$AM$769,"&gt;="&amp;C$47))</f>
        <v/>
      </c>
      <c r="D65" s="11">
        <f>IF($A65="","",SUMIFS(Assignments!$AK$2:$AK$769,Assignments!$A$2:$A$769,$A65,Assignments!$G$2:$G$769,"Active",Assignments!$AI$2:$AI$769,"&lt;="&amp;D$47,Assignments!$AJ$2:$AJ$769,"&gt;="&amp;D$47)+SUMIFS(Assignments!$AN$2:$AN$769,Assignments!$A$2:$A$769,$A65,Assignments!$G$2:$G$769,"Active",Assignments!$AL$2:$AL$769,"&lt;="&amp;D$47,Assignments!$AM$2:$AM$769,"&gt;="&amp;D$47))</f>
        <v/>
      </c>
      <c r="E65" s="11">
        <f>IF($A65="","",SUMIFS(Assignments!$AK$2:$AK$769,Assignments!$A$2:$A$769,$A65,Assignments!$G$2:$G$769,"Active",Assignments!$AI$2:$AI$769,"&lt;="&amp;E$47,Assignments!$AJ$2:$AJ$769,"&gt;="&amp;E$47)+SUMIFS(Assignments!$AN$2:$AN$769,Assignments!$A$2:$A$769,$A65,Assignments!$G$2:$G$769,"Active",Assignments!$AL$2:$AL$769,"&lt;="&amp;E$47,Assignments!$AM$2:$AM$769,"&gt;="&amp;E$47))</f>
        <v/>
      </c>
      <c r="F65" s="11">
        <f>IF($A65="","",SUMIFS(Assignments!$AK$2:$AK$769,Assignments!$A$2:$A$769,$A65,Assignments!$G$2:$G$769,"Active",Assignments!$AI$2:$AI$769,"&lt;="&amp;F$47,Assignments!$AJ$2:$AJ$769,"&gt;="&amp;F$47)+SUMIFS(Assignments!$AN$2:$AN$769,Assignments!$A$2:$A$769,$A65,Assignments!$G$2:$G$769,"Active",Assignments!$AL$2:$AL$769,"&lt;="&amp;F$47,Assignments!$AM$2:$AM$769,"&gt;="&amp;F$47))</f>
        <v/>
      </c>
      <c r="G65" s="11">
        <f>IF($A65="","",SUMIFS(Assignments!$AK$2:$AK$769,Assignments!$A$2:$A$769,$A65,Assignments!$G$2:$G$769,"Active",Assignments!$AI$2:$AI$769,"&lt;="&amp;G$47,Assignments!$AJ$2:$AJ$769,"&gt;="&amp;G$47)+SUMIFS(Assignments!$AN$2:$AN$769,Assignments!$A$2:$A$769,$A65,Assignments!$G$2:$G$769,"Active",Assignments!$AL$2:$AL$769,"&lt;="&amp;G$47,Assignments!$AM$2:$AM$769,"&gt;="&amp;G$47))</f>
        <v/>
      </c>
      <c r="H65" s="11">
        <f>IF($A65="","",SUMIFS(Assignments!$AK$2:$AK$769,Assignments!$A$2:$A$769,$A65,Assignments!$G$2:$G$769,"Active",Assignments!$AI$2:$AI$769,"&lt;="&amp;H$47,Assignments!$AJ$2:$AJ$769,"&gt;="&amp;H$47)+SUMIFS(Assignments!$AN$2:$AN$769,Assignments!$A$2:$A$769,$A65,Assignments!$G$2:$G$769,"Active",Assignments!$AL$2:$AL$769,"&lt;="&amp;H$47,Assignments!$AM$2:$AM$769,"&gt;="&amp;H$47))</f>
        <v/>
      </c>
      <c r="I65" s="11">
        <f>IF($A65="","",SUMIFS(Assignments!$AK$2:$AK$769,Assignments!$A$2:$A$769,$A65,Assignments!$G$2:$G$769,"Active",Assignments!$AI$2:$AI$769,"&lt;="&amp;I$47,Assignments!$AJ$2:$AJ$769,"&gt;="&amp;I$47)+SUMIFS(Assignments!$AN$2:$AN$769,Assignments!$A$2:$A$769,$A65,Assignments!$G$2:$G$769,"Active",Assignments!$AL$2:$AL$769,"&lt;="&amp;I$47,Assignments!$AM$2:$AM$769,"&gt;="&amp;I$47))</f>
        <v/>
      </c>
      <c r="J65" s="11">
        <f>IF($A65="","",SUMIFS(Assignments!$AK$2:$AK$769,Assignments!$A$2:$A$769,$A65,Assignments!$G$2:$G$769,"Active",Assignments!$AI$2:$AI$769,"&lt;="&amp;J$47,Assignments!$AJ$2:$AJ$769,"&gt;="&amp;J$47)+SUMIFS(Assignments!$AN$2:$AN$769,Assignments!$A$2:$A$769,$A65,Assignments!$G$2:$G$769,"Active",Assignments!$AL$2:$AL$769,"&lt;="&amp;J$47,Assignments!$AM$2:$AM$769,"&gt;="&amp;J$47))</f>
        <v/>
      </c>
      <c r="K65" s="11">
        <f>IF($A65="","",SUMIFS(Assignments!$AK$2:$AK$769,Assignments!$A$2:$A$769,$A65,Assignments!$G$2:$G$769,"Active",Assignments!$AI$2:$AI$769,"&lt;="&amp;K$47,Assignments!$AJ$2:$AJ$769,"&gt;="&amp;K$47)+SUMIFS(Assignments!$AN$2:$AN$769,Assignments!$A$2:$A$769,$A65,Assignments!$G$2:$G$769,"Active",Assignments!$AL$2:$AL$769,"&lt;="&amp;K$47,Assignments!$AM$2:$AM$769,"&gt;="&amp;K$47))</f>
        <v/>
      </c>
      <c r="L65" s="11">
        <f>IF($A65="","",SUMIFS(Assignments!$AK$2:$AK$769,Assignments!$A$2:$A$769,$A65,Assignments!$G$2:$G$769,"Active",Assignments!$AI$2:$AI$769,"&lt;="&amp;L$47,Assignments!$AJ$2:$AJ$769,"&gt;="&amp;L$47)+SUMIFS(Assignments!$AN$2:$AN$769,Assignments!$A$2:$A$769,$A65,Assignments!$G$2:$G$769,"Active",Assignments!$AL$2:$AL$769,"&lt;="&amp;L$47,Assignments!$AM$2:$AM$769,"&gt;="&amp;L$47))</f>
        <v/>
      </c>
      <c r="M65" s="11">
        <f>IF($A65="","",SUMIFS(Assignments!$AK$2:$AK$769,Assignments!$A$2:$A$769,$A65,Assignments!$G$2:$G$769,"Active",Assignments!$AI$2:$AI$769,"&lt;="&amp;M$47,Assignments!$AJ$2:$AJ$769,"&gt;="&amp;M$47)+SUMIFS(Assignments!$AN$2:$AN$769,Assignments!$A$2:$A$769,$A65,Assignments!$G$2:$G$769,"Active",Assignments!$AL$2:$AL$769,"&lt;="&amp;M$47,Assignments!$AM$2:$AM$769,"&gt;="&amp;M$47))</f>
        <v/>
      </c>
      <c r="N65" s="11">
        <f>IF($A65="","",SUMIFS(Assignments!$AK$2:$AK$769,Assignments!$A$2:$A$769,$A65,Assignments!$G$2:$G$769,"Active",Assignments!$AI$2:$AI$769,"&lt;="&amp;N$47,Assignments!$AJ$2:$AJ$769,"&gt;="&amp;N$47)+SUMIFS(Assignments!$AN$2:$AN$769,Assignments!$A$2:$A$769,$A65,Assignments!$G$2:$G$769,"Active",Assignments!$AL$2:$AL$769,"&lt;="&amp;N$47,Assignments!$AM$2:$AM$769,"&gt;="&amp;N$47))</f>
        <v/>
      </c>
      <c r="O65" s="11">
        <f>IF($A65="","",SUMIFS(Assignments!$AK$2:$AK$769,Assignments!$A$2:$A$769,$A65,Assignments!$G$2:$G$769,"Active",Assignments!$AI$2:$AI$769,"&lt;="&amp;O$47,Assignments!$AJ$2:$AJ$769,"&gt;="&amp;O$47)+SUMIFS(Assignments!$AN$2:$AN$769,Assignments!$A$2:$A$769,$A65,Assignments!$G$2:$G$769,"Active",Assignments!$AL$2:$AL$769,"&lt;="&amp;O$47,Assignments!$AM$2:$AM$769,"&gt;="&amp;O$47))</f>
        <v/>
      </c>
      <c r="P65" s="11">
        <f>IF($A65="","",SUMIFS(Assignments!$AK$2:$AK$769,Assignments!$A$2:$A$769,$A65,Assignments!$G$2:$G$769,"Active",Assignments!$AI$2:$AI$769,"&lt;="&amp;P$47,Assignments!$AJ$2:$AJ$769,"&gt;="&amp;P$47)+SUMIFS(Assignments!$AN$2:$AN$769,Assignments!$A$2:$A$769,$A65,Assignments!$G$2:$G$769,"Active",Assignments!$AL$2:$AL$769,"&lt;="&amp;P$47,Assignments!$AM$2:$AM$769,"&gt;="&amp;P$47))</f>
        <v/>
      </c>
      <c r="Q65" s="11">
        <f>IF($A65="","",SUMIFS(Assignments!$AK$2:$AK$769,Assignments!$A$2:$A$769,$A65,Assignments!$G$2:$G$769,"Active",Assignments!$AI$2:$AI$769,"&lt;="&amp;Q$47,Assignments!$AJ$2:$AJ$769,"&gt;="&amp;Q$47)+SUMIFS(Assignments!$AN$2:$AN$769,Assignments!$A$2:$A$769,$A65,Assignments!$G$2:$G$769,"Active",Assignments!$AL$2:$AL$769,"&lt;="&amp;Q$47,Assignments!$AM$2:$AM$769,"&gt;="&amp;Q$47))</f>
        <v/>
      </c>
      <c r="R65" s="11">
        <f>IF($A65="","",SUMIFS(Assignments!$AK$2:$AK$769,Assignments!$A$2:$A$769,$A65,Assignments!$G$2:$G$769,"Active",Assignments!$AI$2:$AI$769,"&lt;="&amp;R$47,Assignments!$AJ$2:$AJ$769,"&gt;="&amp;R$47)+SUMIFS(Assignments!$AN$2:$AN$769,Assignments!$A$2:$A$769,$A65,Assignments!$G$2:$G$769,"Active",Assignments!$AL$2:$AL$769,"&lt;="&amp;R$47,Assignments!$AM$2:$AM$769,"&gt;="&amp;R$47))</f>
        <v/>
      </c>
      <c r="S65" s="11">
        <f>IF($A65="","",SUMIFS(Assignments!$AK$2:$AK$769,Assignments!$A$2:$A$769,$A65,Assignments!$G$2:$G$769,"Active",Assignments!$AI$2:$AI$769,"&lt;="&amp;S$47,Assignments!$AJ$2:$AJ$769,"&gt;="&amp;S$47)+SUMIFS(Assignments!$AN$2:$AN$769,Assignments!$A$2:$A$769,$A65,Assignments!$G$2:$G$769,"Active",Assignments!$AL$2:$AL$769,"&lt;="&amp;S$47,Assignments!$AM$2:$AM$769,"&gt;="&amp;S$47))</f>
        <v/>
      </c>
      <c r="T65" s="11">
        <f>IF($A65="","",SUMIFS(Assignments!$AK$2:$AK$769,Assignments!$A$2:$A$769,$A65,Assignments!$G$2:$G$769,"Active",Assignments!$AI$2:$AI$769,"&lt;="&amp;T$47,Assignments!$AJ$2:$AJ$769,"&gt;="&amp;T$47)+SUMIFS(Assignments!$AN$2:$AN$769,Assignments!$A$2:$A$769,$A65,Assignments!$G$2:$G$769,"Active",Assignments!$AL$2:$AL$769,"&lt;="&amp;T$47,Assignments!$AM$2:$AM$769,"&gt;="&amp;T$47))</f>
        <v/>
      </c>
      <c r="U65" s="11">
        <f>IF($A65="","",SUMIFS(Assignments!$AK$2:$AK$769,Assignments!$A$2:$A$769,$A65,Assignments!$G$2:$G$769,"Active",Assignments!$AI$2:$AI$769,"&lt;="&amp;U$47,Assignments!$AJ$2:$AJ$769,"&gt;="&amp;U$47)+SUMIFS(Assignments!$AN$2:$AN$769,Assignments!$A$2:$A$769,$A65,Assignments!$G$2:$G$769,"Active",Assignments!$AL$2:$AL$769,"&lt;="&amp;U$47,Assignments!$AM$2:$AM$769,"&gt;="&amp;U$47))</f>
        <v/>
      </c>
      <c r="V65" s="11">
        <f>IF($A65="","",SUMIFS(Assignments!$AK$2:$AK$769,Assignments!$A$2:$A$769,$A65,Assignments!$G$2:$G$769,"Active",Assignments!$AI$2:$AI$769,"&lt;="&amp;V$47,Assignments!$AJ$2:$AJ$769,"&gt;="&amp;V$47)+SUMIFS(Assignments!$AN$2:$AN$769,Assignments!$A$2:$A$769,$A65,Assignments!$G$2:$G$769,"Active",Assignments!$AL$2:$AL$769,"&lt;="&amp;V$47,Assignments!$AM$2:$AM$769,"&gt;="&amp;V$47))</f>
        <v/>
      </c>
      <c r="W65" s="11">
        <f>IF($A65="","",SUMIFS(Assignments!$AK$2:$AK$769,Assignments!$A$2:$A$769,$A65,Assignments!$G$2:$G$769,"Active",Assignments!$AI$2:$AI$769,"&lt;="&amp;W$47,Assignments!$AJ$2:$AJ$769,"&gt;="&amp;W$47)+SUMIFS(Assignments!$AN$2:$AN$769,Assignments!$A$2:$A$769,$A65,Assignments!$G$2:$G$769,"Active",Assignments!$AL$2:$AL$769,"&lt;="&amp;W$47,Assignments!$AM$2:$AM$769,"&gt;="&amp;W$47))</f>
        <v/>
      </c>
      <c r="X65" s="11">
        <f>IF($A65="","",SUMIFS(Assignments!$AK$2:$AK$769,Assignments!$A$2:$A$769,$A65,Assignments!$G$2:$G$769,"Active",Assignments!$AI$2:$AI$769,"&lt;="&amp;X$47,Assignments!$AJ$2:$AJ$769,"&gt;="&amp;X$47)+SUMIFS(Assignments!$AN$2:$AN$769,Assignments!$A$2:$A$769,$A65,Assignments!$G$2:$G$769,"Active",Assignments!$AL$2:$AL$769,"&lt;="&amp;X$47,Assignments!$AM$2:$AM$769,"&gt;="&amp;X$47))</f>
        <v/>
      </c>
      <c r="Y65" s="11">
        <f>IF($A65="","",SUMIFS(Assignments!$AK$2:$AK$769,Assignments!$A$2:$A$769,$A65,Assignments!$G$2:$G$769,"Active",Assignments!$AI$2:$AI$769,"&lt;="&amp;Y$47,Assignments!$AJ$2:$AJ$769,"&gt;="&amp;Y$47)+SUMIFS(Assignments!$AN$2:$AN$769,Assignments!$A$2:$A$769,$A65,Assignments!$G$2:$G$769,"Active",Assignments!$AL$2:$AL$769,"&lt;="&amp;Y$47,Assignments!$AM$2:$AM$769,"&gt;="&amp;Y$47))</f>
        <v/>
      </c>
      <c r="Z65" s="11">
        <f>IF($A65="","",SUMIFS(Assignments!$AK$2:$AK$769,Assignments!$A$2:$A$769,$A65,Assignments!$G$2:$G$769,"Active",Assignments!$AI$2:$AI$769,"&lt;="&amp;Z$47,Assignments!$AJ$2:$AJ$769,"&gt;="&amp;Z$47)+SUMIFS(Assignments!$AN$2:$AN$769,Assignments!$A$2:$A$769,$A65,Assignments!$G$2:$G$769,"Active",Assignments!$AL$2:$AL$769,"&lt;="&amp;Z$47,Assignments!$AM$2:$AM$769,"&gt;="&amp;Z$47))</f>
        <v/>
      </c>
      <c r="AA65" s="11">
        <f>IF($A65="","",SUMIFS(Assignments!$AK$2:$AK$769,Assignments!$A$2:$A$769,$A65,Assignments!$G$2:$G$769,"Active",Assignments!$AI$2:$AI$769,"&lt;="&amp;AA$47,Assignments!$AJ$2:$AJ$769,"&gt;="&amp;AA$47)+SUMIFS(Assignments!$AN$2:$AN$769,Assignments!$A$2:$A$769,$A65,Assignments!$G$2:$G$769,"Active",Assignments!$AL$2:$AL$769,"&lt;="&amp;AA$47,Assignments!$AM$2:$AM$769,"&gt;="&amp;AA$47))</f>
        <v/>
      </c>
      <c r="AB65" s="11">
        <f>IF($A65="","",SUMIFS(Assignments!$AK$2:$AK$769,Assignments!$A$2:$A$769,$A65,Assignments!$G$2:$G$769,"Active",Assignments!$AI$2:$AI$769,"&lt;="&amp;AB$47,Assignments!$AJ$2:$AJ$769,"&gt;="&amp;AB$47)+SUMIFS(Assignments!$AN$2:$AN$769,Assignments!$A$2:$A$769,$A65,Assignments!$G$2:$G$769,"Active",Assignments!$AL$2:$AL$769,"&lt;="&amp;AB$47,Assignments!$AM$2:$AM$769,"&gt;="&amp;AB$47))</f>
        <v/>
      </c>
    </row>
    <row r="66">
      <c r="A66" s="9">
        <f>IF(Roster!$A20="","",Roster!$A20)</f>
        <v/>
      </c>
      <c r="B66" s="10">
        <f>IF($A66="","",IFERROR(INDEX(Roster!$D$2:$D$40,MATCH($A66,Roster!$A$2:$A$40,0)),""))</f>
        <v/>
      </c>
      <c r="C66" s="11">
        <f>IF($A66="","",SUMIFS(Assignments!$AK$2:$AK$769,Assignments!$A$2:$A$769,$A66,Assignments!$G$2:$G$769,"Active",Assignments!$AI$2:$AI$769,"&lt;="&amp;C$47,Assignments!$AJ$2:$AJ$769,"&gt;="&amp;C$47)+SUMIFS(Assignments!$AN$2:$AN$769,Assignments!$A$2:$A$769,$A66,Assignments!$G$2:$G$769,"Active",Assignments!$AL$2:$AL$769,"&lt;="&amp;C$47,Assignments!$AM$2:$AM$769,"&gt;="&amp;C$47))</f>
        <v/>
      </c>
      <c r="D66" s="11">
        <f>IF($A66="","",SUMIFS(Assignments!$AK$2:$AK$769,Assignments!$A$2:$A$769,$A66,Assignments!$G$2:$G$769,"Active",Assignments!$AI$2:$AI$769,"&lt;="&amp;D$47,Assignments!$AJ$2:$AJ$769,"&gt;="&amp;D$47)+SUMIFS(Assignments!$AN$2:$AN$769,Assignments!$A$2:$A$769,$A66,Assignments!$G$2:$G$769,"Active",Assignments!$AL$2:$AL$769,"&lt;="&amp;D$47,Assignments!$AM$2:$AM$769,"&gt;="&amp;D$47))</f>
        <v/>
      </c>
      <c r="E66" s="11">
        <f>IF($A66="","",SUMIFS(Assignments!$AK$2:$AK$769,Assignments!$A$2:$A$769,$A66,Assignments!$G$2:$G$769,"Active",Assignments!$AI$2:$AI$769,"&lt;="&amp;E$47,Assignments!$AJ$2:$AJ$769,"&gt;="&amp;E$47)+SUMIFS(Assignments!$AN$2:$AN$769,Assignments!$A$2:$A$769,$A66,Assignments!$G$2:$G$769,"Active",Assignments!$AL$2:$AL$769,"&lt;="&amp;E$47,Assignments!$AM$2:$AM$769,"&gt;="&amp;E$47))</f>
        <v/>
      </c>
      <c r="F66" s="11">
        <f>IF($A66="","",SUMIFS(Assignments!$AK$2:$AK$769,Assignments!$A$2:$A$769,$A66,Assignments!$G$2:$G$769,"Active",Assignments!$AI$2:$AI$769,"&lt;="&amp;F$47,Assignments!$AJ$2:$AJ$769,"&gt;="&amp;F$47)+SUMIFS(Assignments!$AN$2:$AN$769,Assignments!$A$2:$A$769,$A66,Assignments!$G$2:$G$769,"Active",Assignments!$AL$2:$AL$769,"&lt;="&amp;F$47,Assignments!$AM$2:$AM$769,"&gt;="&amp;F$47))</f>
        <v/>
      </c>
      <c r="G66" s="11">
        <f>IF($A66="","",SUMIFS(Assignments!$AK$2:$AK$769,Assignments!$A$2:$A$769,$A66,Assignments!$G$2:$G$769,"Active",Assignments!$AI$2:$AI$769,"&lt;="&amp;G$47,Assignments!$AJ$2:$AJ$769,"&gt;="&amp;G$47)+SUMIFS(Assignments!$AN$2:$AN$769,Assignments!$A$2:$A$769,$A66,Assignments!$G$2:$G$769,"Active",Assignments!$AL$2:$AL$769,"&lt;="&amp;G$47,Assignments!$AM$2:$AM$769,"&gt;="&amp;G$47))</f>
        <v/>
      </c>
      <c r="H66" s="11">
        <f>IF($A66="","",SUMIFS(Assignments!$AK$2:$AK$769,Assignments!$A$2:$A$769,$A66,Assignments!$G$2:$G$769,"Active",Assignments!$AI$2:$AI$769,"&lt;="&amp;H$47,Assignments!$AJ$2:$AJ$769,"&gt;="&amp;H$47)+SUMIFS(Assignments!$AN$2:$AN$769,Assignments!$A$2:$A$769,$A66,Assignments!$G$2:$G$769,"Active",Assignments!$AL$2:$AL$769,"&lt;="&amp;H$47,Assignments!$AM$2:$AM$769,"&gt;="&amp;H$47))</f>
        <v/>
      </c>
      <c r="I66" s="11">
        <f>IF($A66="","",SUMIFS(Assignments!$AK$2:$AK$769,Assignments!$A$2:$A$769,$A66,Assignments!$G$2:$G$769,"Active",Assignments!$AI$2:$AI$769,"&lt;="&amp;I$47,Assignments!$AJ$2:$AJ$769,"&gt;="&amp;I$47)+SUMIFS(Assignments!$AN$2:$AN$769,Assignments!$A$2:$A$769,$A66,Assignments!$G$2:$G$769,"Active",Assignments!$AL$2:$AL$769,"&lt;="&amp;I$47,Assignments!$AM$2:$AM$769,"&gt;="&amp;I$47))</f>
        <v/>
      </c>
      <c r="J66" s="11">
        <f>IF($A66="","",SUMIFS(Assignments!$AK$2:$AK$769,Assignments!$A$2:$A$769,$A66,Assignments!$G$2:$G$769,"Active",Assignments!$AI$2:$AI$769,"&lt;="&amp;J$47,Assignments!$AJ$2:$AJ$769,"&gt;="&amp;J$47)+SUMIFS(Assignments!$AN$2:$AN$769,Assignments!$A$2:$A$769,$A66,Assignments!$G$2:$G$769,"Active",Assignments!$AL$2:$AL$769,"&lt;="&amp;J$47,Assignments!$AM$2:$AM$769,"&gt;="&amp;J$47))</f>
        <v/>
      </c>
      <c r="K66" s="11">
        <f>IF($A66="","",SUMIFS(Assignments!$AK$2:$AK$769,Assignments!$A$2:$A$769,$A66,Assignments!$G$2:$G$769,"Active",Assignments!$AI$2:$AI$769,"&lt;="&amp;K$47,Assignments!$AJ$2:$AJ$769,"&gt;="&amp;K$47)+SUMIFS(Assignments!$AN$2:$AN$769,Assignments!$A$2:$A$769,$A66,Assignments!$G$2:$G$769,"Active",Assignments!$AL$2:$AL$769,"&lt;="&amp;K$47,Assignments!$AM$2:$AM$769,"&gt;="&amp;K$47))</f>
        <v/>
      </c>
      <c r="L66" s="11">
        <f>IF($A66="","",SUMIFS(Assignments!$AK$2:$AK$769,Assignments!$A$2:$A$769,$A66,Assignments!$G$2:$G$769,"Active",Assignments!$AI$2:$AI$769,"&lt;="&amp;L$47,Assignments!$AJ$2:$AJ$769,"&gt;="&amp;L$47)+SUMIFS(Assignments!$AN$2:$AN$769,Assignments!$A$2:$A$769,$A66,Assignments!$G$2:$G$769,"Active",Assignments!$AL$2:$AL$769,"&lt;="&amp;L$47,Assignments!$AM$2:$AM$769,"&gt;="&amp;L$47))</f>
        <v/>
      </c>
      <c r="M66" s="11">
        <f>IF($A66="","",SUMIFS(Assignments!$AK$2:$AK$769,Assignments!$A$2:$A$769,$A66,Assignments!$G$2:$G$769,"Active",Assignments!$AI$2:$AI$769,"&lt;="&amp;M$47,Assignments!$AJ$2:$AJ$769,"&gt;="&amp;M$47)+SUMIFS(Assignments!$AN$2:$AN$769,Assignments!$A$2:$A$769,$A66,Assignments!$G$2:$G$769,"Active",Assignments!$AL$2:$AL$769,"&lt;="&amp;M$47,Assignments!$AM$2:$AM$769,"&gt;="&amp;M$47))</f>
        <v/>
      </c>
      <c r="N66" s="11">
        <f>IF($A66="","",SUMIFS(Assignments!$AK$2:$AK$769,Assignments!$A$2:$A$769,$A66,Assignments!$G$2:$G$769,"Active",Assignments!$AI$2:$AI$769,"&lt;="&amp;N$47,Assignments!$AJ$2:$AJ$769,"&gt;="&amp;N$47)+SUMIFS(Assignments!$AN$2:$AN$769,Assignments!$A$2:$A$769,$A66,Assignments!$G$2:$G$769,"Active",Assignments!$AL$2:$AL$769,"&lt;="&amp;N$47,Assignments!$AM$2:$AM$769,"&gt;="&amp;N$47))</f>
        <v/>
      </c>
      <c r="O66" s="11">
        <f>IF($A66="","",SUMIFS(Assignments!$AK$2:$AK$769,Assignments!$A$2:$A$769,$A66,Assignments!$G$2:$G$769,"Active",Assignments!$AI$2:$AI$769,"&lt;="&amp;O$47,Assignments!$AJ$2:$AJ$769,"&gt;="&amp;O$47)+SUMIFS(Assignments!$AN$2:$AN$769,Assignments!$A$2:$A$769,$A66,Assignments!$G$2:$G$769,"Active",Assignments!$AL$2:$AL$769,"&lt;="&amp;O$47,Assignments!$AM$2:$AM$769,"&gt;="&amp;O$47))</f>
        <v/>
      </c>
      <c r="P66" s="11">
        <f>IF($A66="","",SUMIFS(Assignments!$AK$2:$AK$769,Assignments!$A$2:$A$769,$A66,Assignments!$G$2:$G$769,"Active",Assignments!$AI$2:$AI$769,"&lt;="&amp;P$47,Assignments!$AJ$2:$AJ$769,"&gt;="&amp;P$47)+SUMIFS(Assignments!$AN$2:$AN$769,Assignments!$A$2:$A$769,$A66,Assignments!$G$2:$G$769,"Active",Assignments!$AL$2:$AL$769,"&lt;="&amp;P$47,Assignments!$AM$2:$AM$769,"&gt;="&amp;P$47))</f>
        <v/>
      </c>
      <c r="Q66" s="11">
        <f>IF($A66="","",SUMIFS(Assignments!$AK$2:$AK$769,Assignments!$A$2:$A$769,$A66,Assignments!$G$2:$G$769,"Active",Assignments!$AI$2:$AI$769,"&lt;="&amp;Q$47,Assignments!$AJ$2:$AJ$769,"&gt;="&amp;Q$47)+SUMIFS(Assignments!$AN$2:$AN$769,Assignments!$A$2:$A$769,$A66,Assignments!$G$2:$G$769,"Active",Assignments!$AL$2:$AL$769,"&lt;="&amp;Q$47,Assignments!$AM$2:$AM$769,"&gt;="&amp;Q$47))</f>
        <v/>
      </c>
      <c r="R66" s="11">
        <f>IF($A66="","",SUMIFS(Assignments!$AK$2:$AK$769,Assignments!$A$2:$A$769,$A66,Assignments!$G$2:$G$769,"Active",Assignments!$AI$2:$AI$769,"&lt;="&amp;R$47,Assignments!$AJ$2:$AJ$769,"&gt;="&amp;R$47)+SUMIFS(Assignments!$AN$2:$AN$769,Assignments!$A$2:$A$769,$A66,Assignments!$G$2:$G$769,"Active",Assignments!$AL$2:$AL$769,"&lt;="&amp;R$47,Assignments!$AM$2:$AM$769,"&gt;="&amp;R$47))</f>
        <v/>
      </c>
      <c r="S66" s="11">
        <f>IF($A66="","",SUMIFS(Assignments!$AK$2:$AK$769,Assignments!$A$2:$A$769,$A66,Assignments!$G$2:$G$769,"Active",Assignments!$AI$2:$AI$769,"&lt;="&amp;S$47,Assignments!$AJ$2:$AJ$769,"&gt;="&amp;S$47)+SUMIFS(Assignments!$AN$2:$AN$769,Assignments!$A$2:$A$769,$A66,Assignments!$G$2:$G$769,"Active",Assignments!$AL$2:$AL$769,"&lt;="&amp;S$47,Assignments!$AM$2:$AM$769,"&gt;="&amp;S$47))</f>
        <v/>
      </c>
      <c r="T66" s="11">
        <f>IF($A66="","",SUMIFS(Assignments!$AK$2:$AK$769,Assignments!$A$2:$A$769,$A66,Assignments!$G$2:$G$769,"Active",Assignments!$AI$2:$AI$769,"&lt;="&amp;T$47,Assignments!$AJ$2:$AJ$769,"&gt;="&amp;T$47)+SUMIFS(Assignments!$AN$2:$AN$769,Assignments!$A$2:$A$769,$A66,Assignments!$G$2:$G$769,"Active",Assignments!$AL$2:$AL$769,"&lt;="&amp;T$47,Assignments!$AM$2:$AM$769,"&gt;="&amp;T$47))</f>
        <v/>
      </c>
      <c r="U66" s="11">
        <f>IF($A66="","",SUMIFS(Assignments!$AK$2:$AK$769,Assignments!$A$2:$A$769,$A66,Assignments!$G$2:$G$769,"Active",Assignments!$AI$2:$AI$769,"&lt;="&amp;U$47,Assignments!$AJ$2:$AJ$769,"&gt;="&amp;U$47)+SUMIFS(Assignments!$AN$2:$AN$769,Assignments!$A$2:$A$769,$A66,Assignments!$G$2:$G$769,"Active",Assignments!$AL$2:$AL$769,"&lt;="&amp;U$47,Assignments!$AM$2:$AM$769,"&gt;="&amp;U$47))</f>
        <v/>
      </c>
      <c r="V66" s="11">
        <f>IF($A66="","",SUMIFS(Assignments!$AK$2:$AK$769,Assignments!$A$2:$A$769,$A66,Assignments!$G$2:$G$769,"Active",Assignments!$AI$2:$AI$769,"&lt;="&amp;V$47,Assignments!$AJ$2:$AJ$769,"&gt;="&amp;V$47)+SUMIFS(Assignments!$AN$2:$AN$769,Assignments!$A$2:$A$769,$A66,Assignments!$G$2:$G$769,"Active",Assignments!$AL$2:$AL$769,"&lt;="&amp;V$47,Assignments!$AM$2:$AM$769,"&gt;="&amp;V$47))</f>
        <v/>
      </c>
      <c r="W66" s="11">
        <f>IF($A66="","",SUMIFS(Assignments!$AK$2:$AK$769,Assignments!$A$2:$A$769,$A66,Assignments!$G$2:$G$769,"Active",Assignments!$AI$2:$AI$769,"&lt;="&amp;W$47,Assignments!$AJ$2:$AJ$769,"&gt;="&amp;W$47)+SUMIFS(Assignments!$AN$2:$AN$769,Assignments!$A$2:$A$769,$A66,Assignments!$G$2:$G$769,"Active",Assignments!$AL$2:$AL$769,"&lt;="&amp;W$47,Assignments!$AM$2:$AM$769,"&gt;="&amp;W$47))</f>
        <v/>
      </c>
      <c r="X66" s="11">
        <f>IF($A66="","",SUMIFS(Assignments!$AK$2:$AK$769,Assignments!$A$2:$A$769,$A66,Assignments!$G$2:$G$769,"Active",Assignments!$AI$2:$AI$769,"&lt;="&amp;X$47,Assignments!$AJ$2:$AJ$769,"&gt;="&amp;X$47)+SUMIFS(Assignments!$AN$2:$AN$769,Assignments!$A$2:$A$769,$A66,Assignments!$G$2:$G$769,"Active",Assignments!$AL$2:$AL$769,"&lt;="&amp;X$47,Assignments!$AM$2:$AM$769,"&gt;="&amp;X$47))</f>
        <v/>
      </c>
      <c r="Y66" s="11">
        <f>IF($A66="","",SUMIFS(Assignments!$AK$2:$AK$769,Assignments!$A$2:$A$769,$A66,Assignments!$G$2:$G$769,"Active",Assignments!$AI$2:$AI$769,"&lt;="&amp;Y$47,Assignments!$AJ$2:$AJ$769,"&gt;="&amp;Y$47)+SUMIFS(Assignments!$AN$2:$AN$769,Assignments!$A$2:$A$769,$A66,Assignments!$G$2:$G$769,"Active",Assignments!$AL$2:$AL$769,"&lt;="&amp;Y$47,Assignments!$AM$2:$AM$769,"&gt;="&amp;Y$47))</f>
        <v/>
      </c>
      <c r="Z66" s="11">
        <f>IF($A66="","",SUMIFS(Assignments!$AK$2:$AK$769,Assignments!$A$2:$A$769,$A66,Assignments!$G$2:$G$769,"Active",Assignments!$AI$2:$AI$769,"&lt;="&amp;Z$47,Assignments!$AJ$2:$AJ$769,"&gt;="&amp;Z$47)+SUMIFS(Assignments!$AN$2:$AN$769,Assignments!$A$2:$A$769,$A66,Assignments!$G$2:$G$769,"Active",Assignments!$AL$2:$AL$769,"&lt;="&amp;Z$47,Assignments!$AM$2:$AM$769,"&gt;="&amp;Z$47))</f>
        <v/>
      </c>
      <c r="AA66" s="11">
        <f>IF($A66="","",SUMIFS(Assignments!$AK$2:$AK$769,Assignments!$A$2:$A$769,$A66,Assignments!$G$2:$G$769,"Active",Assignments!$AI$2:$AI$769,"&lt;="&amp;AA$47,Assignments!$AJ$2:$AJ$769,"&gt;="&amp;AA$47)+SUMIFS(Assignments!$AN$2:$AN$769,Assignments!$A$2:$A$769,$A66,Assignments!$G$2:$G$769,"Active",Assignments!$AL$2:$AL$769,"&lt;="&amp;AA$47,Assignments!$AM$2:$AM$769,"&gt;="&amp;AA$47))</f>
        <v/>
      </c>
      <c r="AB66" s="11">
        <f>IF($A66="","",SUMIFS(Assignments!$AK$2:$AK$769,Assignments!$A$2:$A$769,$A66,Assignments!$G$2:$G$769,"Active",Assignments!$AI$2:$AI$769,"&lt;="&amp;AB$47,Assignments!$AJ$2:$AJ$769,"&gt;="&amp;AB$47)+SUMIFS(Assignments!$AN$2:$AN$769,Assignments!$A$2:$A$769,$A66,Assignments!$G$2:$G$769,"Active",Assignments!$AL$2:$AL$769,"&lt;="&amp;AB$47,Assignments!$AM$2:$AM$769,"&gt;="&amp;AB$47))</f>
        <v/>
      </c>
    </row>
    <row r="67">
      <c r="A67" s="9">
        <f>IF(Roster!$A21="","",Roster!$A21)</f>
        <v/>
      </c>
      <c r="B67" s="10">
        <f>IF($A67="","",IFERROR(INDEX(Roster!$D$2:$D$40,MATCH($A67,Roster!$A$2:$A$40,0)),""))</f>
        <v/>
      </c>
      <c r="C67" s="11">
        <f>IF($A67="","",SUMIFS(Assignments!$AK$2:$AK$769,Assignments!$A$2:$A$769,$A67,Assignments!$G$2:$G$769,"Active",Assignments!$AI$2:$AI$769,"&lt;="&amp;C$47,Assignments!$AJ$2:$AJ$769,"&gt;="&amp;C$47)+SUMIFS(Assignments!$AN$2:$AN$769,Assignments!$A$2:$A$769,$A67,Assignments!$G$2:$G$769,"Active",Assignments!$AL$2:$AL$769,"&lt;="&amp;C$47,Assignments!$AM$2:$AM$769,"&gt;="&amp;C$47))</f>
        <v/>
      </c>
      <c r="D67" s="11">
        <f>IF($A67="","",SUMIFS(Assignments!$AK$2:$AK$769,Assignments!$A$2:$A$769,$A67,Assignments!$G$2:$G$769,"Active",Assignments!$AI$2:$AI$769,"&lt;="&amp;D$47,Assignments!$AJ$2:$AJ$769,"&gt;="&amp;D$47)+SUMIFS(Assignments!$AN$2:$AN$769,Assignments!$A$2:$A$769,$A67,Assignments!$G$2:$G$769,"Active",Assignments!$AL$2:$AL$769,"&lt;="&amp;D$47,Assignments!$AM$2:$AM$769,"&gt;="&amp;D$47))</f>
        <v/>
      </c>
      <c r="E67" s="11">
        <f>IF($A67="","",SUMIFS(Assignments!$AK$2:$AK$769,Assignments!$A$2:$A$769,$A67,Assignments!$G$2:$G$769,"Active",Assignments!$AI$2:$AI$769,"&lt;="&amp;E$47,Assignments!$AJ$2:$AJ$769,"&gt;="&amp;E$47)+SUMIFS(Assignments!$AN$2:$AN$769,Assignments!$A$2:$A$769,$A67,Assignments!$G$2:$G$769,"Active",Assignments!$AL$2:$AL$769,"&lt;="&amp;E$47,Assignments!$AM$2:$AM$769,"&gt;="&amp;E$47))</f>
        <v/>
      </c>
      <c r="F67" s="11">
        <f>IF($A67="","",SUMIFS(Assignments!$AK$2:$AK$769,Assignments!$A$2:$A$769,$A67,Assignments!$G$2:$G$769,"Active",Assignments!$AI$2:$AI$769,"&lt;="&amp;F$47,Assignments!$AJ$2:$AJ$769,"&gt;="&amp;F$47)+SUMIFS(Assignments!$AN$2:$AN$769,Assignments!$A$2:$A$769,$A67,Assignments!$G$2:$G$769,"Active",Assignments!$AL$2:$AL$769,"&lt;="&amp;F$47,Assignments!$AM$2:$AM$769,"&gt;="&amp;F$47))</f>
        <v/>
      </c>
      <c r="G67" s="11">
        <f>IF($A67="","",SUMIFS(Assignments!$AK$2:$AK$769,Assignments!$A$2:$A$769,$A67,Assignments!$G$2:$G$769,"Active",Assignments!$AI$2:$AI$769,"&lt;="&amp;G$47,Assignments!$AJ$2:$AJ$769,"&gt;="&amp;G$47)+SUMIFS(Assignments!$AN$2:$AN$769,Assignments!$A$2:$A$769,$A67,Assignments!$G$2:$G$769,"Active",Assignments!$AL$2:$AL$769,"&lt;="&amp;G$47,Assignments!$AM$2:$AM$769,"&gt;="&amp;G$47))</f>
        <v/>
      </c>
      <c r="H67" s="11">
        <f>IF($A67="","",SUMIFS(Assignments!$AK$2:$AK$769,Assignments!$A$2:$A$769,$A67,Assignments!$G$2:$G$769,"Active",Assignments!$AI$2:$AI$769,"&lt;="&amp;H$47,Assignments!$AJ$2:$AJ$769,"&gt;="&amp;H$47)+SUMIFS(Assignments!$AN$2:$AN$769,Assignments!$A$2:$A$769,$A67,Assignments!$G$2:$G$769,"Active",Assignments!$AL$2:$AL$769,"&lt;="&amp;H$47,Assignments!$AM$2:$AM$769,"&gt;="&amp;H$47))</f>
        <v/>
      </c>
      <c r="I67" s="11">
        <f>IF($A67="","",SUMIFS(Assignments!$AK$2:$AK$769,Assignments!$A$2:$A$769,$A67,Assignments!$G$2:$G$769,"Active",Assignments!$AI$2:$AI$769,"&lt;="&amp;I$47,Assignments!$AJ$2:$AJ$769,"&gt;="&amp;I$47)+SUMIFS(Assignments!$AN$2:$AN$769,Assignments!$A$2:$A$769,$A67,Assignments!$G$2:$G$769,"Active",Assignments!$AL$2:$AL$769,"&lt;="&amp;I$47,Assignments!$AM$2:$AM$769,"&gt;="&amp;I$47))</f>
        <v/>
      </c>
      <c r="J67" s="11">
        <f>IF($A67="","",SUMIFS(Assignments!$AK$2:$AK$769,Assignments!$A$2:$A$769,$A67,Assignments!$G$2:$G$769,"Active",Assignments!$AI$2:$AI$769,"&lt;="&amp;J$47,Assignments!$AJ$2:$AJ$769,"&gt;="&amp;J$47)+SUMIFS(Assignments!$AN$2:$AN$769,Assignments!$A$2:$A$769,$A67,Assignments!$G$2:$G$769,"Active",Assignments!$AL$2:$AL$769,"&lt;="&amp;J$47,Assignments!$AM$2:$AM$769,"&gt;="&amp;J$47))</f>
        <v/>
      </c>
      <c r="K67" s="11">
        <f>IF($A67="","",SUMIFS(Assignments!$AK$2:$AK$769,Assignments!$A$2:$A$769,$A67,Assignments!$G$2:$G$769,"Active",Assignments!$AI$2:$AI$769,"&lt;="&amp;K$47,Assignments!$AJ$2:$AJ$769,"&gt;="&amp;K$47)+SUMIFS(Assignments!$AN$2:$AN$769,Assignments!$A$2:$A$769,$A67,Assignments!$G$2:$G$769,"Active",Assignments!$AL$2:$AL$769,"&lt;="&amp;K$47,Assignments!$AM$2:$AM$769,"&gt;="&amp;K$47))</f>
        <v/>
      </c>
      <c r="L67" s="11">
        <f>IF($A67="","",SUMIFS(Assignments!$AK$2:$AK$769,Assignments!$A$2:$A$769,$A67,Assignments!$G$2:$G$769,"Active",Assignments!$AI$2:$AI$769,"&lt;="&amp;L$47,Assignments!$AJ$2:$AJ$769,"&gt;="&amp;L$47)+SUMIFS(Assignments!$AN$2:$AN$769,Assignments!$A$2:$A$769,$A67,Assignments!$G$2:$G$769,"Active",Assignments!$AL$2:$AL$769,"&lt;="&amp;L$47,Assignments!$AM$2:$AM$769,"&gt;="&amp;L$47))</f>
        <v/>
      </c>
      <c r="M67" s="11">
        <f>IF($A67="","",SUMIFS(Assignments!$AK$2:$AK$769,Assignments!$A$2:$A$769,$A67,Assignments!$G$2:$G$769,"Active",Assignments!$AI$2:$AI$769,"&lt;="&amp;M$47,Assignments!$AJ$2:$AJ$769,"&gt;="&amp;M$47)+SUMIFS(Assignments!$AN$2:$AN$769,Assignments!$A$2:$A$769,$A67,Assignments!$G$2:$G$769,"Active",Assignments!$AL$2:$AL$769,"&lt;="&amp;M$47,Assignments!$AM$2:$AM$769,"&gt;="&amp;M$47))</f>
        <v/>
      </c>
      <c r="N67" s="11">
        <f>IF($A67="","",SUMIFS(Assignments!$AK$2:$AK$769,Assignments!$A$2:$A$769,$A67,Assignments!$G$2:$G$769,"Active",Assignments!$AI$2:$AI$769,"&lt;="&amp;N$47,Assignments!$AJ$2:$AJ$769,"&gt;="&amp;N$47)+SUMIFS(Assignments!$AN$2:$AN$769,Assignments!$A$2:$A$769,$A67,Assignments!$G$2:$G$769,"Active",Assignments!$AL$2:$AL$769,"&lt;="&amp;N$47,Assignments!$AM$2:$AM$769,"&gt;="&amp;N$47))</f>
        <v/>
      </c>
      <c r="O67" s="11">
        <f>IF($A67="","",SUMIFS(Assignments!$AK$2:$AK$769,Assignments!$A$2:$A$769,$A67,Assignments!$G$2:$G$769,"Active",Assignments!$AI$2:$AI$769,"&lt;="&amp;O$47,Assignments!$AJ$2:$AJ$769,"&gt;="&amp;O$47)+SUMIFS(Assignments!$AN$2:$AN$769,Assignments!$A$2:$A$769,$A67,Assignments!$G$2:$G$769,"Active",Assignments!$AL$2:$AL$769,"&lt;="&amp;O$47,Assignments!$AM$2:$AM$769,"&gt;="&amp;O$47))</f>
        <v/>
      </c>
      <c r="P67" s="11">
        <f>IF($A67="","",SUMIFS(Assignments!$AK$2:$AK$769,Assignments!$A$2:$A$769,$A67,Assignments!$G$2:$G$769,"Active",Assignments!$AI$2:$AI$769,"&lt;="&amp;P$47,Assignments!$AJ$2:$AJ$769,"&gt;="&amp;P$47)+SUMIFS(Assignments!$AN$2:$AN$769,Assignments!$A$2:$A$769,$A67,Assignments!$G$2:$G$769,"Active",Assignments!$AL$2:$AL$769,"&lt;="&amp;P$47,Assignments!$AM$2:$AM$769,"&gt;="&amp;P$47))</f>
        <v/>
      </c>
      <c r="Q67" s="11">
        <f>IF($A67="","",SUMIFS(Assignments!$AK$2:$AK$769,Assignments!$A$2:$A$769,$A67,Assignments!$G$2:$G$769,"Active",Assignments!$AI$2:$AI$769,"&lt;="&amp;Q$47,Assignments!$AJ$2:$AJ$769,"&gt;="&amp;Q$47)+SUMIFS(Assignments!$AN$2:$AN$769,Assignments!$A$2:$A$769,$A67,Assignments!$G$2:$G$769,"Active",Assignments!$AL$2:$AL$769,"&lt;="&amp;Q$47,Assignments!$AM$2:$AM$769,"&gt;="&amp;Q$47))</f>
        <v/>
      </c>
      <c r="R67" s="11">
        <f>IF($A67="","",SUMIFS(Assignments!$AK$2:$AK$769,Assignments!$A$2:$A$769,$A67,Assignments!$G$2:$G$769,"Active",Assignments!$AI$2:$AI$769,"&lt;="&amp;R$47,Assignments!$AJ$2:$AJ$769,"&gt;="&amp;R$47)+SUMIFS(Assignments!$AN$2:$AN$769,Assignments!$A$2:$A$769,$A67,Assignments!$G$2:$G$769,"Active",Assignments!$AL$2:$AL$769,"&lt;="&amp;R$47,Assignments!$AM$2:$AM$769,"&gt;="&amp;R$47))</f>
        <v/>
      </c>
      <c r="S67" s="11">
        <f>IF($A67="","",SUMIFS(Assignments!$AK$2:$AK$769,Assignments!$A$2:$A$769,$A67,Assignments!$G$2:$G$769,"Active",Assignments!$AI$2:$AI$769,"&lt;="&amp;S$47,Assignments!$AJ$2:$AJ$769,"&gt;="&amp;S$47)+SUMIFS(Assignments!$AN$2:$AN$769,Assignments!$A$2:$A$769,$A67,Assignments!$G$2:$G$769,"Active",Assignments!$AL$2:$AL$769,"&lt;="&amp;S$47,Assignments!$AM$2:$AM$769,"&gt;="&amp;S$47))</f>
        <v/>
      </c>
      <c r="T67" s="11">
        <f>IF($A67="","",SUMIFS(Assignments!$AK$2:$AK$769,Assignments!$A$2:$A$769,$A67,Assignments!$G$2:$G$769,"Active",Assignments!$AI$2:$AI$769,"&lt;="&amp;T$47,Assignments!$AJ$2:$AJ$769,"&gt;="&amp;T$47)+SUMIFS(Assignments!$AN$2:$AN$769,Assignments!$A$2:$A$769,$A67,Assignments!$G$2:$G$769,"Active",Assignments!$AL$2:$AL$769,"&lt;="&amp;T$47,Assignments!$AM$2:$AM$769,"&gt;="&amp;T$47))</f>
        <v/>
      </c>
      <c r="U67" s="11">
        <f>IF($A67="","",SUMIFS(Assignments!$AK$2:$AK$769,Assignments!$A$2:$A$769,$A67,Assignments!$G$2:$G$769,"Active",Assignments!$AI$2:$AI$769,"&lt;="&amp;U$47,Assignments!$AJ$2:$AJ$769,"&gt;="&amp;U$47)+SUMIFS(Assignments!$AN$2:$AN$769,Assignments!$A$2:$A$769,$A67,Assignments!$G$2:$G$769,"Active",Assignments!$AL$2:$AL$769,"&lt;="&amp;U$47,Assignments!$AM$2:$AM$769,"&gt;="&amp;U$47))</f>
        <v/>
      </c>
      <c r="V67" s="11">
        <f>IF($A67="","",SUMIFS(Assignments!$AK$2:$AK$769,Assignments!$A$2:$A$769,$A67,Assignments!$G$2:$G$769,"Active",Assignments!$AI$2:$AI$769,"&lt;="&amp;V$47,Assignments!$AJ$2:$AJ$769,"&gt;="&amp;V$47)+SUMIFS(Assignments!$AN$2:$AN$769,Assignments!$A$2:$A$769,$A67,Assignments!$G$2:$G$769,"Active",Assignments!$AL$2:$AL$769,"&lt;="&amp;V$47,Assignments!$AM$2:$AM$769,"&gt;="&amp;V$47))</f>
        <v/>
      </c>
      <c r="W67" s="11">
        <f>IF($A67="","",SUMIFS(Assignments!$AK$2:$AK$769,Assignments!$A$2:$A$769,$A67,Assignments!$G$2:$G$769,"Active",Assignments!$AI$2:$AI$769,"&lt;="&amp;W$47,Assignments!$AJ$2:$AJ$769,"&gt;="&amp;W$47)+SUMIFS(Assignments!$AN$2:$AN$769,Assignments!$A$2:$A$769,$A67,Assignments!$G$2:$G$769,"Active",Assignments!$AL$2:$AL$769,"&lt;="&amp;W$47,Assignments!$AM$2:$AM$769,"&gt;="&amp;W$47))</f>
        <v/>
      </c>
      <c r="X67" s="11">
        <f>IF($A67="","",SUMIFS(Assignments!$AK$2:$AK$769,Assignments!$A$2:$A$769,$A67,Assignments!$G$2:$G$769,"Active",Assignments!$AI$2:$AI$769,"&lt;="&amp;X$47,Assignments!$AJ$2:$AJ$769,"&gt;="&amp;X$47)+SUMIFS(Assignments!$AN$2:$AN$769,Assignments!$A$2:$A$769,$A67,Assignments!$G$2:$G$769,"Active",Assignments!$AL$2:$AL$769,"&lt;="&amp;X$47,Assignments!$AM$2:$AM$769,"&gt;="&amp;X$47))</f>
        <v/>
      </c>
      <c r="Y67" s="11">
        <f>IF($A67="","",SUMIFS(Assignments!$AK$2:$AK$769,Assignments!$A$2:$A$769,$A67,Assignments!$G$2:$G$769,"Active",Assignments!$AI$2:$AI$769,"&lt;="&amp;Y$47,Assignments!$AJ$2:$AJ$769,"&gt;="&amp;Y$47)+SUMIFS(Assignments!$AN$2:$AN$769,Assignments!$A$2:$A$769,$A67,Assignments!$G$2:$G$769,"Active",Assignments!$AL$2:$AL$769,"&lt;="&amp;Y$47,Assignments!$AM$2:$AM$769,"&gt;="&amp;Y$47))</f>
        <v/>
      </c>
      <c r="Z67" s="11">
        <f>IF($A67="","",SUMIFS(Assignments!$AK$2:$AK$769,Assignments!$A$2:$A$769,$A67,Assignments!$G$2:$G$769,"Active",Assignments!$AI$2:$AI$769,"&lt;="&amp;Z$47,Assignments!$AJ$2:$AJ$769,"&gt;="&amp;Z$47)+SUMIFS(Assignments!$AN$2:$AN$769,Assignments!$A$2:$A$769,$A67,Assignments!$G$2:$G$769,"Active",Assignments!$AL$2:$AL$769,"&lt;="&amp;Z$47,Assignments!$AM$2:$AM$769,"&gt;="&amp;Z$47))</f>
        <v/>
      </c>
      <c r="AA67" s="11">
        <f>IF($A67="","",SUMIFS(Assignments!$AK$2:$AK$769,Assignments!$A$2:$A$769,$A67,Assignments!$G$2:$G$769,"Active",Assignments!$AI$2:$AI$769,"&lt;="&amp;AA$47,Assignments!$AJ$2:$AJ$769,"&gt;="&amp;AA$47)+SUMIFS(Assignments!$AN$2:$AN$769,Assignments!$A$2:$A$769,$A67,Assignments!$G$2:$G$769,"Active",Assignments!$AL$2:$AL$769,"&lt;="&amp;AA$47,Assignments!$AM$2:$AM$769,"&gt;="&amp;AA$47))</f>
        <v/>
      </c>
      <c r="AB67" s="11">
        <f>IF($A67="","",SUMIFS(Assignments!$AK$2:$AK$769,Assignments!$A$2:$A$769,$A67,Assignments!$G$2:$G$769,"Active",Assignments!$AI$2:$AI$769,"&lt;="&amp;AB$47,Assignments!$AJ$2:$AJ$769,"&gt;="&amp;AB$47)+SUMIFS(Assignments!$AN$2:$AN$769,Assignments!$A$2:$A$769,$A67,Assignments!$G$2:$G$769,"Active",Assignments!$AL$2:$AL$769,"&lt;="&amp;AB$47,Assignments!$AM$2:$AM$769,"&gt;="&amp;AB$47))</f>
        <v/>
      </c>
    </row>
    <row r="68">
      <c r="A68" s="9">
        <f>IF(Roster!$A22="","",Roster!$A22)</f>
        <v/>
      </c>
      <c r="B68" s="10">
        <f>IF($A68="","",IFERROR(INDEX(Roster!$D$2:$D$40,MATCH($A68,Roster!$A$2:$A$40,0)),""))</f>
        <v/>
      </c>
      <c r="C68" s="11">
        <f>IF($A68="","",SUMIFS(Assignments!$AK$2:$AK$769,Assignments!$A$2:$A$769,$A68,Assignments!$G$2:$G$769,"Active",Assignments!$AI$2:$AI$769,"&lt;="&amp;C$47,Assignments!$AJ$2:$AJ$769,"&gt;="&amp;C$47)+SUMIFS(Assignments!$AN$2:$AN$769,Assignments!$A$2:$A$769,$A68,Assignments!$G$2:$G$769,"Active",Assignments!$AL$2:$AL$769,"&lt;="&amp;C$47,Assignments!$AM$2:$AM$769,"&gt;="&amp;C$47))</f>
        <v/>
      </c>
      <c r="D68" s="11">
        <f>IF($A68="","",SUMIFS(Assignments!$AK$2:$AK$769,Assignments!$A$2:$A$769,$A68,Assignments!$G$2:$G$769,"Active",Assignments!$AI$2:$AI$769,"&lt;="&amp;D$47,Assignments!$AJ$2:$AJ$769,"&gt;="&amp;D$47)+SUMIFS(Assignments!$AN$2:$AN$769,Assignments!$A$2:$A$769,$A68,Assignments!$G$2:$G$769,"Active",Assignments!$AL$2:$AL$769,"&lt;="&amp;D$47,Assignments!$AM$2:$AM$769,"&gt;="&amp;D$47))</f>
        <v/>
      </c>
      <c r="E68" s="11">
        <f>IF($A68="","",SUMIFS(Assignments!$AK$2:$AK$769,Assignments!$A$2:$A$769,$A68,Assignments!$G$2:$G$769,"Active",Assignments!$AI$2:$AI$769,"&lt;="&amp;E$47,Assignments!$AJ$2:$AJ$769,"&gt;="&amp;E$47)+SUMIFS(Assignments!$AN$2:$AN$769,Assignments!$A$2:$A$769,$A68,Assignments!$G$2:$G$769,"Active",Assignments!$AL$2:$AL$769,"&lt;="&amp;E$47,Assignments!$AM$2:$AM$769,"&gt;="&amp;E$47))</f>
        <v/>
      </c>
      <c r="F68" s="11">
        <f>IF($A68="","",SUMIFS(Assignments!$AK$2:$AK$769,Assignments!$A$2:$A$769,$A68,Assignments!$G$2:$G$769,"Active",Assignments!$AI$2:$AI$769,"&lt;="&amp;F$47,Assignments!$AJ$2:$AJ$769,"&gt;="&amp;F$47)+SUMIFS(Assignments!$AN$2:$AN$769,Assignments!$A$2:$A$769,$A68,Assignments!$G$2:$G$769,"Active",Assignments!$AL$2:$AL$769,"&lt;="&amp;F$47,Assignments!$AM$2:$AM$769,"&gt;="&amp;F$47))</f>
        <v/>
      </c>
      <c r="G68" s="11">
        <f>IF($A68="","",SUMIFS(Assignments!$AK$2:$AK$769,Assignments!$A$2:$A$769,$A68,Assignments!$G$2:$G$769,"Active",Assignments!$AI$2:$AI$769,"&lt;="&amp;G$47,Assignments!$AJ$2:$AJ$769,"&gt;="&amp;G$47)+SUMIFS(Assignments!$AN$2:$AN$769,Assignments!$A$2:$A$769,$A68,Assignments!$G$2:$G$769,"Active",Assignments!$AL$2:$AL$769,"&lt;="&amp;G$47,Assignments!$AM$2:$AM$769,"&gt;="&amp;G$47))</f>
        <v/>
      </c>
      <c r="H68" s="11">
        <f>IF($A68="","",SUMIFS(Assignments!$AK$2:$AK$769,Assignments!$A$2:$A$769,$A68,Assignments!$G$2:$G$769,"Active",Assignments!$AI$2:$AI$769,"&lt;="&amp;H$47,Assignments!$AJ$2:$AJ$769,"&gt;="&amp;H$47)+SUMIFS(Assignments!$AN$2:$AN$769,Assignments!$A$2:$A$769,$A68,Assignments!$G$2:$G$769,"Active",Assignments!$AL$2:$AL$769,"&lt;="&amp;H$47,Assignments!$AM$2:$AM$769,"&gt;="&amp;H$47))</f>
        <v/>
      </c>
      <c r="I68" s="11">
        <f>IF($A68="","",SUMIFS(Assignments!$AK$2:$AK$769,Assignments!$A$2:$A$769,$A68,Assignments!$G$2:$G$769,"Active",Assignments!$AI$2:$AI$769,"&lt;="&amp;I$47,Assignments!$AJ$2:$AJ$769,"&gt;="&amp;I$47)+SUMIFS(Assignments!$AN$2:$AN$769,Assignments!$A$2:$A$769,$A68,Assignments!$G$2:$G$769,"Active",Assignments!$AL$2:$AL$769,"&lt;="&amp;I$47,Assignments!$AM$2:$AM$769,"&gt;="&amp;I$47))</f>
        <v/>
      </c>
      <c r="J68" s="11">
        <f>IF($A68="","",SUMIFS(Assignments!$AK$2:$AK$769,Assignments!$A$2:$A$769,$A68,Assignments!$G$2:$G$769,"Active",Assignments!$AI$2:$AI$769,"&lt;="&amp;J$47,Assignments!$AJ$2:$AJ$769,"&gt;="&amp;J$47)+SUMIFS(Assignments!$AN$2:$AN$769,Assignments!$A$2:$A$769,$A68,Assignments!$G$2:$G$769,"Active",Assignments!$AL$2:$AL$769,"&lt;="&amp;J$47,Assignments!$AM$2:$AM$769,"&gt;="&amp;J$47))</f>
        <v/>
      </c>
      <c r="K68" s="11">
        <f>IF($A68="","",SUMIFS(Assignments!$AK$2:$AK$769,Assignments!$A$2:$A$769,$A68,Assignments!$G$2:$G$769,"Active",Assignments!$AI$2:$AI$769,"&lt;="&amp;K$47,Assignments!$AJ$2:$AJ$769,"&gt;="&amp;K$47)+SUMIFS(Assignments!$AN$2:$AN$769,Assignments!$A$2:$A$769,$A68,Assignments!$G$2:$G$769,"Active",Assignments!$AL$2:$AL$769,"&lt;="&amp;K$47,Assignments!$AM$2:$AM$769,"&gt;="&amp;K$47))</f>
        <v/>
      </c>
      <c r="L68" s="11">
        <f>IF($A68="","",SUMIFS(Assignments!$AK$2:$AK$769,Assignments!$A$2:$A$769,$A68,Assignments!$G$2:$G$769,"Active",Assignments!$AI$2:$AI$769,"&lt;="&amp;L$47,Assignments!$AJ$2:$AJ$769,"&gt;="&amp;L$47)+SUMIFS(Assignments!$AN$2:$AN$769,Assignments!$A$2:$A$769,$A68,Assignments!$G$2:$G$769,"Active",Assignments!$AL$2:$AL$769,"&lt;="&amp;L$47,Assignments!$AM$2:$AM$769,"&gt;="&amp;L$47))</f>
        <v/>
      </c>
      <c r="M68" s="11">
        <f>IF($A68="","",SUMIFS(Assignments!$AK$2:$AK$769,Assignments!$A$2:$A$769,$A68,Assignments!$G$2:$G$769,"Active",Assignments!$AI$2:$AI$769,"&lt;="&amp;M$47,Assignments!$AJ$2:$AJ$769,"&gt;="&amp;M$47)+SUMIFS(Assignments!$AN$2:$AN$769,Assignments!$A$2:$A$769,$A68,Assignments!$G$2:$G$769,"Active",Assignments!$AL$2:$AL$769,"&lt;="&amp;M$47,Assignments!$AM$2:$AM$769,"&gt;="&amp;M$47))</f>
        <v/>
      </c>
      <c r="N68" s="11">
        <f>IF($A68="","",SUMIFS(Assignments!$AK$2:$AK$769,Assignments!$A$2:$A$769,$A68,Assignments!$G$2:$G$769,"Active",Assignments!$AI$2:$AI$769,"&lt;="&amp;N$47,Assignments!$AJ$2:$AJ$769,"&gt;="&amp;N$47)+SUMIFS(Assignments!$AN$2:$AN$769,Assignments!$A$2:$A$769,$A68,Assignments!$G$2:$G$769,"Active",Assignments!$AL$2:$AL$769,"&lt;="&amp;N$47,Assignments!$AM$2:$AM$769,"&gt;="&amp;N$47))</f>
        <v/>
      </c>
      <c r="O68" s="11">
        <f>IF($A68="","",SUMIFS(Assignments!$AK$2:$AK$769,Assignments!$A$2:$A$769,$A68,Assignments!$G$2:$G$769,"Active",Assignments!$AI$2:$AI$769,"&lt;="&amp;O$47,Assignments!$AJ$2:$AJ$769,"&gt;="&amp;O$47)+SUMIFS(Assignments!$AN$2:$AN$769,Assignments!$A$2:$A$769,$A68,Assignments!$G$2:$G$769,"Active",Assignments!$AL$2:$AL$769,"&lt;="&amp;O$47,Assignments!$AM$2:$AM$769,"&gt;="&amp;O$47))</f>
        <v/>
      </c>
      <c r="P68" s="11">
        <f>IF($A68="","",SUMIFS(Assignments!$AK$2:$AK$769,Assignments!$A$2:$A$769,$A68,Assignments!$G$2:$G$769,"Active",Assignments!$AI$2:$AI$769,"&lt;="&amp;P$47,Assignments!$AJ$2:$AJ$769,"&gt;="&amp;P$47)+SUMIFS(Assignments!$AN$2:$AN$769,Assignments!$A$2:$A$769,$A68,Assignments!$G$2:$G$769,"Active",Assignments!$AL$2:$AL$769,"&lt;="&amp;P$47,Assignments!$AM$2:$AM$769,"&gt;="&amp;P$47))</f>
        <v/>
      </c>
      <c r="Q68" s="11">
        <f>IF($A68="","",SUMIFS(Assignments!$AK$2:$AK$769,Assignments!$A$2:$A$769,$A68,Assignments!$G$2:$G$769,"Active",Assignments!$AI$2:$AI$769,"&lt;="&amp;Q$47,Assignments!$AJ$2:$AJ$769,"&gt;="&amp;Q$47)+SUMIFS(Assignments!$AN$2:$AN$769,Assignments!$A$2:$A$769,$A68,Assignments!$G$2:$G$769,"Active",Assignments!$AL$2:$AL$769,"&lt;="&amp;Q$47,Assignments!$AM$2:$AM$769,"&gt;="&amp;Q$47))</f>
        <v/>
      </c>
      <c r="R68" s="11">
        <f>IF($A68="","",SUMIFS(Assignments!$AK$2:$AK$769,Assignments!$A$2:$A$769,$A68,Assignments!$G$2:$G$769,"Active",Assignments!$AI$2:$AI$769,"&lt;="&amp;R$47,Assignments!$AJ$2:$AJ$769,"&gt;="&amp;R$47)+SUMIFS(Assignments!$AN$2:$AN$769,Assignments!$A$2:$A$769,$A68,Assignments!$G$2:$G$769,"Active",Assignments!$AL$2:$AL$769,"&lt;="&amp;R$47,Assignments!$AM$2:$AM$769,"&gt;="&amp;R$47))</f>
        <v/>
      </c>
      <c r="S68" s="11">
        <f>IF($A68="","",SUMIFS(Assignments!$AK$2:$AK$769,Assignments!$A$2:$A$769,$A68,Assignments!$G$2:$G$769,"Active",Assignments!$AI$2:$AI$769,"&lt;="&amp;S$47,Assignments!$AJ$2:$AJ$769,"&gt;="&amp;S$47)+SUMIFS(Assignments!$AN$2:$AN$769,Assignments!$A$2:$A$769,$A68,Assignments!$G$2:$G$769,"Active",Assignments!$AL$2:$AL$769,"&lt;="&amp;S$47,Assignments!$AM$2:$AM$769,"&gt;="&amp;S$47))</f>
        <v/>
      </c>
      <c r="T68" s="11">
        <f>IF($A68="","",SUMIFS(Assignments!$AK$2:$AK$769,Assignments!$A$2:$A$769,$A68,Assignments!$G$2:$G$769,"Active",Assignments!$AI$2:$AI$769,"&lt;="&amp;T$47,Assignments!$AJ$2:$AJ$769,"&gt;="&amp;T$47)+SUMIFS(Assignments!$AN$2:$AN$769,Assignments!$A$2:$A$769,$A68,Assignments!$G$2:$G$769,"Active",Assignments!$AL$2:$AL$769,"&lt;="&amp;T$47,Assignments!$AM$2:$AM$769,"&gt;="&amp;T$47))</f>
        <v/>
      </c>
      <c r="U68" s="11">
        <f>IF($A68="","",SUMIFS(Assignments!$AK$2:$AK$769,Assignments!$A$2:$A$769,$A68,Assignments!$G$2:$G$769,"Active",Assignments!$AI$2:$AI$769,"&lt;="&amp;U$47,Assignments!$AJ$2:$AJ$769,"&gt;="&amp;U$47)+SUMIFS(Assignments!$AN$2:$AN$769,Assignments!$A$2:$A$769,$A68,Assignments!$G$2:$G$769,"Active",Assignments!$AL$2:$AL$769,"&lt;="&amp;U$47,Assignments!$AM$2:$AM$769,"&gt;="&amp;U$47))</f>
        <v/>
      </c>
      <c r="V68" s="11">
        <f>IF($A68="","",SUMIFS(Assignments!$AK$2:$AK$769,Assignments!$A$2:$A$769,$A68,Assignments!$G$2:$G$769,"Active",Assignments!$AI$2:$AI$769,"&lt;="&amp;V$47,Assignments!$AJ$2:$AJ$769,"&gt;="&amp;V$47)+SUMIFS(Assignments!$AN$2:$AN$769,Assignments!$A$2:$A$769,$A68,Assignments!$G$2:$G$769,"Active",Assignments!$AL$2:$AL$769,"&lt;="&amp;V$47,Assignments!$AM$2:$AM$769,"&gt;="&amp;V$47))</f>
        <v/>
      </c>
      <c r="W68" s="11">
        <f>IF($A68="","",SUMIFS(Assignments!$AK$2:$AK$769,Assignments!$A$2:$A$769,$A68,Assignments!$G$2:$G$769,"Active",Assignments!$AI$2:$AI$769,"&lt;="&amp;W$47,Assignments!$AJ$2:$AJ$769,"&gt;="&amp;W$47)+SUMIFS(Assignments!$AN$2:$AN$769,Assignments!$A$2:$A$769,$A68,Assignments!$G$2:$G$769,"Active",Assignments!$AL$2:$AL$769,"&lt;="&amp;W$47,Assignments!$AM$2:$AM$769,"&gt;="&amp;W$47))</f>
        <v/>
      </c>
      <c r="X68" s="11">
        <f>IF($A68="","",SUMIFS(Assignments!$AK$2:$AK$769,Assignments!$A$2:$A$769,$A68,Assignments!$G$2:$G$769,"Active",Assignments!$AI$2:$AI$769,"&lt;="&amp;X$47,Assignments!$AJ$2:$AJ$769,"&gt;="&amp;X$47)+SUMIFS(Assignments!$AN$2:$AN$769,Assignments!$A$2:$A$769,$A68,Assignments!$G$2:$G$769,"Active",Assignments!$AL$2:$AL$769,"&lt;="&amp;X$47,Assignments!$AM$2:$AM$769,"&gt;="&amp;X$47))</f>
        <v/>
      </c>
      <c r="Y68" s="11">
        <f>IF($A68="","",SUMIFS(Assignments!$AK$2:$AK$769,Assignments!$A$2:$A$769,$A68,Assignments!$G$2:$G$769,"Active",Assignments!$AI$2:$AI$769,"&lt;="&amp;Y$47,Assignments!$AJ$2:$AJ$769,"&gt;="&amp;Y$47)+SUMIFS(Assignments!$AN$2:$AN$769,Assignments!$A$2:$A$769,$A68,Assignments!$G$2:$G$769,"Active",Assignments!$AL$2:$AL$769,"&lt;="&amp;Y$47,Assignments!$AM$2:$AM$769,"&gt;="&amp;Y$47))</f>
        <v/>
      </c>
      <c r="Z68" s="11">
        <f>IF($A68="","",SUMIFS(Assignments!$AK$2:$AK$769,Assignments!$A$2:$A$769,$A68,Assignments!$G$2:$G$769,"Active",Assignments!$AI$2:$AI$769,"&lt;="&amp;Z$47,Assignments!$AJ$2:$AJ$769,"&gt;="&amp;Z$47)+SUMIFS(Assignments!$AN$2:$AN$769,Assignments!$A$2:$A$769,$A68,Assignments!$G$2:$G$769,"Active",Assignments!$AL$2:$AL$769,"&lt;="&amp;Z$47,Assignments!$AM$2:$AM$769,"&gt;="&amp;Z$47))</f>
        <v/>
      </c>
      <c r="AA68" s="11">
        <f>IF($A68="","",SUMIFS(Assignments!$AK$2:$AK$769,Assignments!$A$2:$A$769,$A68,Assignments!$G$2:$G$769,"Active",Assignments!$AI$2:$AI$769,"&lt;="&amp;AA$47,Assignments!$AJ$2:$AJ$769,"&gt;="&amp;AA$47)+SUMIFS(Assignments!$AN$2:$AN$769,Assignments!$A$2:$A$769,$A68,Assignments!$G$2:$G$769,"Active",Assignments!$AL$2:$AL$769,"&lt;="&amp;AA$47,Assignments!$AM$2:$AM$769,"&gt;="&amp;AA$47))</f>
        <v/>
      </c>
      <c r="AB68" s="11">
        <f>IF($A68="","",SUMIFS(Assignments!$AK$2:$AK$769,Assignments!$A$2:$A$769,$A68,Assignments!$G$2:$G$769,"Active",Assignments!$AI$2:$AI$769,"&lt;="&amp;AB$47,Assignments!$AJ$2:$AJ$769,"&gt;="&amp;AB$47)+SUMIFS(Assignments!$AN$2:$AN$769,Assignments!$A$2:$A$769,$A68,Assignments!$G$2:$G$769,"Active",Assignments!$AL$2:$AL$769,"&lt;="&amp;AB$47,Assignments!$AM$2:$AM$769,"&gt;="&amp;AB$47))</f>
        <v/>
      </c>
    </row>
    <row r="69">
      <c r="A69" s="9">
        <f>IF(Roster!$A23="","",Roster!$A23)</f>
        <v/>
      </c>
      <c r="B69" s="10">
        <f>IF($A69="","",IFERROR(INDEX(Roster!$D$2:$D$40,MATCH($A69,Roster!$A$2:$A$40,0)),""))</f>
        <v/>
      </c>
      <c r="C69" s="11">
        <f>IF($A69="","",SUMIFS(Assignments!$AK$2:$AK$769,Assignments!$A$2:$A$769,$A69,Assignments!$G$2:$G$769,"Active",Assignments!$AI$2:$AI$769,"&lt;="&amp;C$47,Assignments!$AJ$2:$AJ$769,"&gt;="&amp;C$47)+SUMIFS(Assignments!$AN$2:$AN$769,Assignments!$A$2:$A$769,$A69,Assignments!$G$2:$G$769,"Active",Assignments!$AL$2:$AL$769,"&lt;="&amp;C$47,Assignments!$AM$2:$AM$769,"&gt;="&amp;C$47))</f>
        <v/>
      </c>
      <c r="D69" s="11">
        <f>IF($A69="","",SUMIFS(Assignments!$AK$2:$AK$769,Assignments!$A$2:$A$769,$A69,Assignments!$G$2:$G$769,"Active",Assignments!$AI$2:$AI$769,"&lt;="&amp;D$47,Assignments!$AJ$2:$AJ$769,"&gt;="&amp;D$47)+SUMIFS(Assignments!$AN$2:$AN$769,Assignments!$A$2:$A$769,$A69,Assignments!$G$2:$G$769,"Active",Assignments!$AL$2:$AL$769,"&lt;="&amp;D$47,Assignments!$AM$2:$AM$769,"&gt;="&amp;D$47))</f>
        <v/>
      </c>
      <c r="E69" s="11">
        <f>IF($A69="","",SUMIFS(Assignments!$AK$2:$AK$769,Assignments!$A$2:$A$769,$A69,Assignments!$G$2:$G$769,"Active",Assignments!$AI$2:$AI$769,"&lt;="&amp;E$47,Assignments!$AJ$2:$AJ$769,"&gt;="&amp;E$47)+SUMIFS(Assignments!$AN$2:$AN$769,Assignments!$A$2:$A$769,$A69,Assignments!$G$2:$G$769,"Active",Assignments!$AL$2:$AL$769,"&lt;="&amp;E$47,Assignments!$AM$2:$AM$769,"&gt;="&amp;E$47))</f>
        <v/>
      </c>
      <c r="F69" s="11">
        <f>IF($A69="","",SUMIFS(Assignments!$AK$2:$AK$769,Assignments!$A$2:$A$769,$A69,Assignments!$G$2:$G$769,"Active",Assignments!$AI$2:$AI$769,"&lt;="&amp;F$47,Assignments!$AJ$2:$AJ$769,"&gt;="&amp;F$47)+SUMIFS(Assignments!$AN$2:$AN$769,Assignments!$A$2:$A$769,$A69,Assignments!$G$2:$G$769,"Active",Assignments!$AL$2:$AL$769,"&lt;="&amp;F$47,Assignments!$AM$2:$AM$769,"&gt;="&amp;F$47))</f>
        <v/>
      </c>
      <c r="G69" s="11">
        <f>IF($A69="","",SUMIFS(Assignments!$AK$2:$AK$769,Assignments!$A$2:$A$769,$A69,Assignments!$G$2:$G$769,"Active",Assignments!$AI$2:$AI$769,"&lt;="&amp;G$47,Assignments!$AJ$2:$AJ$769,"&gt;="&amp;G$47)+SUMIFS(Assignments!$AN$2:$AN$769,Assignments!$A$2:$A$769,$A69,Assignments!$G$2:$G$769,"Active",Assignments!$AL$2:$AL$769,"&lt;="&amp;G$47,Assignments!$AM$2:$AM$769,"&gt;="&amp;G$47))</f>
        <v/>
      </c>
      <c r="H69" s="11">
        <f>IF($A69="","",SUMIFS(Assignments!$AK$2:$AK$769,Assignments!$A$2:$A$769,$A69,Assignments!$G$2:$G$769,"Active",Assignments!$AI$2:$AI$769,"&lt;="&amp;H$47,Assignments!$AJ$2:$AJ$769,"&gt;="&amp;H$47)+SUMIFS(Assignments!$AN$2:$AN$769,Assignments!$A$2:$A$769,$A69,Assignments!$G$2:$G$769,"Active",Assignments!$AL$2:$AL$769,"&lt;="&amp;H$47,Assignments!$AM$2:$AM$769,"&gt;="&amp;H$47))</f>
        <v/>
      </c>
      <c r="I69" s="11">
        <f>IF($A69="","",SUMIFS(Assignments!$AK$2:$AK$769,Assignments!$A$2:$A$769,$A69,Assignments!$G$2:$G$769,"Active",Assignments!$AI$2:$AI$769,"&lt;="&amp;I$47,Assignments!$AJ$2:$AJ$769,"&gt;="&amp;I$47)+SUMIFS(Assignments!$AN$2:$AN$769,Assignments!$A$2:$A$769,$A69,Assignments!$G$2:$G$769,"Active",Assignments!$AL$2:$AL$769,"&lt;="&amp;I$47,Assignments!$AM$2:$AM$769,"&gt;="&amp;I$47))</f>
        <v/>
      </c>
      <c r="J69" s="11">
        <f>IF($A69="","",SUMIFS(Assignments!$AK$2:$AK$769,Assignments!$A$2:$A$769,$A69,Assignments!$G$2:$G$769,"Active",Assignments!$AI$2:$AI$769,"&lt;="&amp;J$47,Assignments!$AJ$2:$AJ$769,"&gt;="&amp;J$47)+SUMIFS(Assignments!$AN$2:$AN$769,Assignments!$A$2:$A$769,$A69,Assignments!$G$2:$G$769,"Active",Assignments!$AL$2:$AL$769,"&lt;="&amp;J$47,Assignments!$AM$2:$AM$769,"&gt;="&amp;J$47))</f>
        <v/>
      </c>
      <c r="K69" s="11">
        <f>IF($A69="","",SUMIFS(Assignments!$AK$2:$AK$769,Assignments!$A$2:$A$769,$A69,Assignments!$G$2:$G$769,"Active",Assignments!$AI$2:$AI$769,"&lt;="&amp;K$47,Assignments!$AJ$2:$AJ$769,"&gt;="&amp;K$47)+SUMIFS(Assignments!$AN$2:$AN$769,Assignments!$A$2:$A$769,$A69,Assignments!$G$2:$G$769,"Active",Assignments!$AL$2:$AL$769,"&lt;="&amp;K$47,Assignments!$AM$2:$AM$769,"&gt;="&amp;K$47))</f>
        <v/>
      </c>
      <c r="L69" s="11">
        <f>IF($A69="","",SUMIFS(Assignments!$AK$2:$AK$769,Assignments!$A$2:$A$769,$A69,Assignments!$G$2:$G$769,"Active",Assignments!$AI$2:$AI$769,"&lt;="&amp;L$47,Assignments!$AJ$2:$AJ$769,"&gt;="&amp;L$47)+SUMIFS(Assignments!$AN$2:$AN$769,Assignments!$A$2:$A$769,$A69,Assignments!$G$2:$G$769,"Active",Assignments!$AL$2:$AL$769,"&lt;="&amp;L$47,Assignments!$AM$2:$AM$769,"&gt;="&amp;L$47))</f>
        <v/>
      </c>
      <c r="M69" s="11">
        <f>IF($A69="","",SUMIFS(Assignments!$AK$2:$AK$769,Assignments!$A$2:$A$769,$A69,Assignments!$G$2:$G$769,"Active",Assignments!$AI$2:$AI$769,"&lt;="&amp;M$47,Assignments!$AJ$2:$AJ$769,"&gt;="&amp;M$47)+SUMIFS(Assignments!$AN$2:$AN$769,Assignments!$A$2:$A$769,$A69,Assignments!$G$2:$G$769,"Active",Assignments!$AL$2:$AL$769,"&lt;="&amp;M$47,Assignments!$AM$2:$AM$769,"&gt;="&amp;M$47))</f>
        <v/>
      </c>
      <c r="N69" s="11">
        <f>IF($A69="","",SUMIFS(Assignments!$AK$2:$AK$769,Assignments!$A$2:$A$769,$A69,Assignments!$G$2:$G$769,"Active",Assignments!$AI$2:$AI$769,"&lt;="&amp;N$47,Assignments!$AJ$2:$AJ$769,"&gt;="&amp;N$47)+SUMIFS(Assignments!$AN$2:$AN$769,Assignments!$A$2:$A$769,$A69,Assignments!$G$2:$G$769,"Active",Assignments!$AL$2:$AL$769,"&lt;="&amp;N$47,Assignments!$AM$2:$AM$769,"&gt;="&amp;N$47))</f>
        <v/>
      </c>
      <c r="O69" s="11">
        <f>IF($A69="","",SUMIFS(Assignments!$AK$2:$AK$769,Assignments!$A$2:$A$769,$A69,Assignments!$G$2:$G$769,"Active",Assignments!$AI$2:$AI$769,"&lt;="&amp;O$47,Assignments!$AJ$2:$AJ$769,"&gt;="&amp;O$47)+SUMIFS(Assignments!$AN$2:$AN$769,Assignments!$A$2:$A$769,$A69,Assignments!$G$2:$G$769,"Active",Assignments!$AL$2:$AL$769,"&lt;="&amp;O$47,Assignments!$AM$2:$AM$769,"&gt;="&amp;O$47))</f>
        <v/>
      </c>
      <c r="P69" s="11">
        <f>IF($A69="","",SUMIFS(Assignments!$AK$2:$AK$769,Assignments!$A$2:$A$769,$A69,Assignments!$G$2:$G$769,"Active",Assignments!$AI$2:$AI$769,"&lt;="&amp;P$47,Assignments!$AJ$2:$AJ$769,"&gt;="&amp;P$47)+SUMIFS(Assignments!$AN$2:$AN$769,Assignments!$A$2:$A$769,$A69,Assignments!$G$2:$G$769,"Active",Assignments!$AL$2:$AL$769,"&lt;="&amp;P$47,Assignments!$AM$2:$AM$769,"&gt;="&amp;P$47))</f>
        <v/>
      </c>
      <c r="Q69" s="11">
        <f>IF($A69="","",SUMIFS(Assignments!$AK$2:$AK$769,Assignments!$A$2:$A$769,$A69,Assignments!$G$2:$G$769,"Active",Assignments!$AI$2:$AI$769,"&lt;="&amp;Q$47,Assignments!$AJ$2:$AJ$769,"&gt;="&amp;Q$47)+SUMIFS(Assignments!$AN$2:$AN$769,Assignments!$A$2:$A$769,$A69,Assignments!$G$2:$G$769,"Active",Assignments!$AL$2:$AL$769,"&lt;="&amp;Q$47,Assignments!$AM$2:$AM$769,"&gt;="&amp;Q$47))</f>
        <v/>
      </c>
      <c r="R69" s="11">
        <f>IF($A69="","",SUMIFS(Assignments!$AK$2:$AK$769,Assignments!$A$2:$A$769,$A69,Assignments!$G$2:$G$769,"Active",Assignments!$AI$2:$AI$769,"&lt;="&amp;R$47,Assignments!$AJ$2:$AJ$769,"&gt;="&amp;R$47)+SUMIFS(Assignments!$AN$2:$AN$769,Assignments!$A$2:$A$769,$A69,Assignments!$G$2:$G$769,"Active",Assignments!$AL$2:$AL$769,"&lt;="&amp;R$47,Assignments!$AM$2:$AM$769,"&gt;="&amp;R$47))</f>
        <v/>
      </c>
      <c r="S69" s="11">
        <f>IF($A69="","",SUMIFS(Assignments!$AK$2:$AK$769,Assignments!$A$2:$A$769,$A69,Assignments!$G$2:$G$769,"Active",Assignments!$AI$2:$AI$769,"&lt;="&amp;S$47,Assignments!$AJ$2:$AJ$769,"&gt;="&amp;S$47)+SUMIFS(Assignments!$AN$2:$AN$769,Assignments!$A$2:$A$769,$A69,Assignments!$G$2:$G$769,"Active",Assignments!$AL$2:$AL$769,"&lt;="&amp;S$47,Assignments!$AM$2:$AM$769,"&gt;="&amp;S$47))</f>
        <v/>
      </c>
      <c r="T69" s="11">
        <f>IF($A69="","",SUMIFS(Assignments!$AK$2:$AK$769,Assignments!$A$2:$A$769,$A69,Assignments!$G$2:$G$769,"Active",Assignments!$AI$2:$AI$769,"&lt;="&amp;T$47,Assignments!$AJ$2:$AJ$769,"&gt;="&amp;T$47)+SUMIFS(Assignments!$AN$2:$AN$769,Assignments!$A$2:$A$769,$A69,Assignments!$G$2:$G$769,"Active",Assignments!$AL$2:$AL$769,"&lt;="&amp;T$47,Assignments!$AM$2:$AM$769,"&gt;="&amp;T$47))</f>
        <v/>
      </c>
      <c r="U69" s="11">
        <f>IF($A69="","",SUMIFS(Assignments!$AK$2:$AK$769,Assignments!$A$2:$A$769,$A69,Assignments!$G$2:$G$769,"Active",Assignments!$AI$2:$AI$769,"&lt;="&amp;U$47,Assignments!$AJ$2:$AJ$769,"&gt;="&amp;U$47)+SUMIFS(Assignments!$AN$2:$AN$769,Assignments!$A$2:$A$769,$A69,Assignments!$G$2:$G$769,"Active",Assignments!$AL$2:$AL$769,"&lt;="&amp;U$47,Assignments!$AM$2:$AM$769,"&gt;="&amp;U$47))</f>
        <v/>
      </c>
      <c r="V69" s="11">
        <f>IF($A69="","",SUMIFS(Assignments!$AK$2:$AK$769,Assignments!$A$2:$A$769,$A69,Assignments!$G$2:$G$769,"Active",Assignments!$AI$2:$AI$769,"&lt;="&amp;V$47,Assignments!$AJ$2:$AJ$769,"&gt;="&amp;V$47)+SUMIFS(Assignments!$AN$2:$AN$769,Assignments!$A$2:$A$769,$A69,Assignments!$G$2:$G$769,"Active",Assignments!$AL$2:$AL$769,"&lt;="&amp;V$47,Assignments!$AM$2:$AM$769,"&gt;="&amp;V$47))</f>
        <v/>
      </c>
      <c r="W69" s="11">
        <f>IF($A69="","",SUMIFS(Assignments!$AK$2:$AK$769,Assignments!$A$2:$A$769,$A69,Assignments!$G$2:$G$769,"Active",Assignments!$AI$2:$AI$769,"&lt;="&amp;W$47,Assignments!$AJ$2:$AJ$769,"&gt;="&amp;W$47)+SUMIFS(Assignments!$AN$2:$AN$769,Assignments!$A$2:$A$769,$A69,Assignments!$G$2:$G$769,"Active",Assignments!$AL$2:$AL$769,"&lt;="&amp;W$47,Assignments!$AM$2:$AM$769,"&gt;="&amp;W$47))</f>
        <v/>
      </c>
      <c r="X69" s="11">
        <f>IF($A69="","",SUMIFS(Assignments!$AK$2:$AK$769,Assignments!$A$2:$A$769,$A69,Assignments!$G$2:$G$769,"Active",Assignments!$AI$2:$AI$769,"&lt;="&amp;X$47,Assignments!$AJ$2:$AJ$769,"&gt;="&amp;X$47)+SUMIFS(Assignments!$AN$2:$AN$769,Assignments!$A$2:$A$769,$A69,Assignments!$G$2:$G$769,"Active",Assignments!$AL$2:$AL$769,"&lt;="&amp;X$47,Assignments!$AM$2:$AM$769,"&gt;="&amp;X$47))</f>
        <v/>
      </c>
      <c r="Y69" s="11">
        <f>IF($A69="","",SUMIFS(Assignments!$AK$2:$AK$769,Assignments!$A$2:$A$769,$A69,Assignments!$G$2:$G$769,"Active",Assignments!$AI$2:$AI$769,"&lt;="&amp;Y$47,Assignments!$AJ$2:$AJ$769,"&gt;="&amp;Y$47)+SUMIFS(Assignments!$AN$2:$AN$769,Assignments!$A$2:$A$769,$A69,Assignments!$G$2:$G$769,"Active",Assignments!$AL$2:$AL$769,"&lt;="&amp;Y$47,Assignments!$AM$2:$AM$769,"&gt;="&amp;Y$47))</f>
        <v/>
      </c>
      <c r="Z69" s="11">
        <f>IF($A69="","",SUMIFS(Assignments!$AK$2:$AK$769,Assignments!$A$2:$A$769,$A69,Assignments!$G$2:$G$769,"Active",Assignments!$AI$2:$AI$769,"&lt;="&amp;Z$47,Assignments!$AJ$2:$AJ$769,"&gt;="&amp;Z$47)+SUMIFS(Assignments!$AN$2:$AN$769,Assignments!$A$2:$A$769,$A69,Assignments!$G$2:$G$769,"Active",Assignments!$AL$2:$AL$769,"&lt;="&amp;Z$47,Assignments!$AM$2:$AM$769,"&gt;="&amp;Z$47))</f>
        <v/>
      </c>
      <c r="AA69" s="11">
        <f>IF($A69="","",SUMIFS(Assignments!$AK$2:$AK$769,Assignments!$A$2:$A$769,$A69,Assignments!$G$2:$G$769,"Active",Assignments!$AI$2:$AI$769,"&lt;="&amp;AA$47,Assignments!$AJ$2:$AJ$769,"&gt;="&amp;AA$47)+SUMIFS(Assignments!$AN$2:$AN$769,Assignments!$A$2:$A$769,$A69,Assignments!$G$2:$G$769,"Active",Assignments!$AL$2:$AL$769,"&lt;="&amp;AA$47,Assignments!$AM$2:$AM$769,"&gt;="&amp;AA$47))</f>
        <v/>
      </c>
      <c r="AB69" s="11">
        <f>IF($A69="","",SUMIFS(Assignments!$AK$2:$AK$769,Assignments!$A$2:$A$769,$A69,Assignments!$G$2:$G$769,"Active",Assignments!$AI$2:$AI$769,"&lt;="&amp;AB$47,Assignments!$AJ$2:$AJ$769,"&gt;="&amp;AB$47)+SUMIFS(Assignments!$AN$2:$AN$769,Assignments!$A$2:$A$769,$A69,Assignments!$G$2:$G$769,"Active",Assignments!$AL$2:$AL$769,"&lt;="&amp;AB$47,Assignments!$AM$2:$AM$769,"&gt;="&amp;AB$47))</f>
        <v/>
      </c>
    </row>
    <row r="70">
      <c r="A70" s="9">
        <f>IF(Roster!$A24="","",Roster!$A24)</f>
        <v/>
      </c>
      <c r="B70" s="10">
        <f>IF($A70="","",IFERROR(INDEX(Roster!$D$2:$D$40,MATCH($A70,Roster!$A$2:$A$40,0)),""))</f>
        <v/>
      </c>
      <c r="C70" s="11">
        <f>IF($A70="","",SUMIFS(Assignments!$AK$2:$AK$769,Assignments!$A$2:$A$769,$A70,Assignments!$G$2:$G$769,"Active",Assignments!$AI$2:$AI$769,"&lt;="&amp;C$47,Assignments!$AJ$2:$AJ$769,"&gt;="&amp;C$47)+SUMIFS(Assignments!$AN$2:$AN$769,Assignments!$A$2:$A$769,$A70,Assignments!$G$2:$G$769,"Active",Assignments!$AL$2:$AL$769,"&lt;="&amp;C$47,Assignments!$AM$2:$AM$769,"&gt;="&amp;C$47))</f>
        <v/>
      </c>
      <c r="D70" s="11">
        <f>IF($A70="","",SUMIFS(Assignments!$AK$2:$AK$769,Assignments!$A$2:$A$769,$A70,Assignments!$G$2:$G$769,"Active",Assignments!$AI$2:$AI$769,"&lt;="&amp;D$47,Assignments!$AJ$2:$AJ$769,"&gt;="&amp;D$47)+SUMIFS(Assignments!$AN$2:$AN$769,Assignments!$A$2:$A$769,$A70,Assignments!$G$2:$G$769,"Active",Assignments!$AL$2:$AL$769,"&lt;="&amp;D$47,Assignments!$AM$2:$AM$769,"&gt;="&amp;D$47))</f>
        <v/>
      </c>
      <c r="E70" s="11">
        <f>IF($A70="","",SUMIFS(Assignments!$AK$2:$AK$769,Assignments!$A$2:$A$769,$A70,Assignments!$G$2:$G$769,"Active",Assignments!$AI$2:$AI$769,"&lt;="&amp;E$47,Assignments!$AJ$2:$AJ$769,"&gt;="&amp;E$47)+SUMIFS(Assignments!$AN$2:$AN$769,Assignments!$A$2:$A$769,$A70,Assignments!$G$2:$G$769,"Active",Assignments!$AL$2:$AL$769,"&lt;="&amp;E$47,Assignments!$AM$2:$AM$769,"&gt;="&amp;E$47))</f>
        <v/>
      </c>
      <c r="F70" s="11">
        <f>IF($A70="","",SUMIFS(Assignments!$AK$2:$AK$769,Assignments!$A$2:$A$769,$A70,Assignments!$G$2:$G$769,"Active",Assignments!$AI$2:$AI$769,"&lt;="&amp;F$47,Assignments!$AJ$2:$AJ$769,"&gt;="&amp;F$47)+SUMIFS(Assignments!$AN$2:$AN$769,Assignments!$A$2:$A$769,$A70,Assignments!$G$2:$G$769,"Active",Assignments!$AL$2:$AL$769,"&lt;="&amp;F$47,Assignments!$AM$2:$AM$769,"&gt;="&amp;F$47))</f>
        <v/>
      </c>
      <c r="G70" s="11">
        <f>IF($A70="","",SUMIFS(Assignments!$AK$2:$AK$769,Assignments!$A$2:$A$769,$A70,Assignments!$G$2:$G$769,"Active",Assignments!$AI$2:$AI$769,"&lt;="&amp;G$47,Assignments!$AJ$2:$AJ$769,"&gt;="&amp;G$47)+SUMIFS(Assignments!$AN$2:$AN$769,Assignments!$A$2:$A$769,$A70,Assignments!$G$2:$G$769,"Active",Assignments!$AL$2:$AL$769,"&lt;="&amp;G$47,Assignments!$AM$2:$AM$769,"&gt;="&amp;G$47))</f>
        <v/>
      </c>
      <c r="H70" s="11">
        <f>IF($A70="","",SUMIFS(Assignments!$AK$2:$AK$769,Assignments!$A$2:$A$769,$A70,Assignments!$G$2:$G$769,"Active",Assignments!$AI$2:$AI$769,"&lt;="&amp;H$47,Assignments!$AJ$2:$AJ$769,"&gt;="&amp;H$47)+SUMIFS(Assignments!$AN$2:$AN$769,Assignments!$A$2:$A$769,$A70,Assignments!$G$2:$G$769,"Active",Assignments!$AL$2:$AL$769,"&lt;="&amp;H$47,Assignments!$AM$2:$AM$769,"&gt;="&amp;H$47))</f>
        <v/>
      </c>
      <c r="I70" s="11">
        <f>IF($A70="","",SUMIFS(Assignments!$AK$2:$AK$769,Assignments!$A$2:$A$769,$A70,Assignments!$G$2:$G$769,"Active",Assignments!$AI$2:$AI$769,"&lt;="&amp;I$47,Assignments!$AJ$2:$AJ$769,"&gt;="&amp;I$47)+SUMIFS(Assignments!$AN$2:$AN$769,Assignments!$A$2:$A$769,$A70,Assignments!$G$2:$G$769,"Active",Assignments!$AL$2:$AL$769,"&lt;="&amp;I$47,Assignments!$AM$2:$AM$769,"&gt;="&amp;I$47))</f>
        <v/>
      </c>
      <c r="J70" s="11">
        <f>IF($A70="","",SUMIFS(Assignments!$AK$2:$AK$769,Assignments!$A$2:$A$769,$A70,Assignments!$G$2:$G$769,"Active",Assignments!$AI$2:$AI$769,"&lt;="&amp;J$47,Assignments!$AJ$2:$AJ$769,"&gt;="&amp;J$47)+SUMIFS(Assignments!$AN$2:$AN$769,Assignments!$A$2:$A$769,$A70,Assignments!$G$2:$G$769,"Active",Assignments!$AL$2:$AL$769,"&lt;="&amp;J$47,Assignments!$AM$2:$AM$769,"&gt;="&amp;J$47))</f>
        <v/>
      </c>
      <c r="K70" s="11">
        <f>IF($A70="","",SUMIFS(Assignments!$AK$2:$AK$769,Assignments!$A$2:$A$769,$A70,Assignments!$G$2:$G$769,"Active",Assignments!$AI$2:$AI$769,"&lt;="&amp;K$47,Assignments!$AJ$2:$AJ$769,"&gt;="&amp;K$47)+SUMIFS(Assignments!$AN$2:$AN$769,Assignments!$A$2:$A$769,$A70,Assignments!$G$2:$G$769,"Active",Assignments!$AL$2:$AL$769,"&lt;="&amp;K$47,Assignments!$AM$2:$AM$769,"&gt;="&amp;K$47))</f>
        <v/>
      </c>
      <c r="L70" s="11">
        <f>IF($A70="","",SUMIFS(Assignments!$AK$2:$AK$769,Assignments!$A$2:$A$769,$A70,Assignments!$G$2:$G$769,"Active",Assignments!$AI$2:$AI$769,"&lt;="&amp;L$47,Assignments!$AJ$2:$AJ$769,"&gt;="&amp;L$47)+SUMIFS(Assignments!$AN$2:$AN$769,Assignments!$A$2:$A$769,$A70,Assignments!$G$2:$G$769,"Active",Assignments!$AL$2:$AL$769,"&lt;="&amp;L$47,Assignments!$AM$2:$AM$769,"&gt;="&amp;L$47))</f>
        <v/>
      </c>
      <c r="M70" s="11">
        <f>IF($A70="","",SUMIFS(Assignments!$AK$2:$AK$769,Assignments!$A$2:$A$769,$A70,Assignments!$G$2:$G$769,"Active",Assignments!$AI$2:$AI$769,"&lt;="&amp;M$47,Assignments!$AJ$2:$AJ$769,"&gt;="&amp;M$47)+SUMIFS(Assignments!$AN$2:$AN$769,Assignments!$A$2:$A$769,$A70,Assignments!$G$2:$G$769,"Active",Assignments!$AL$2:$AL$769,"&lt;="&amp;M$47,Assignments!$AM$2:$AM$769,"&gt;="&amp;M$47))</f>
        <v/>
      </c>
      <c r="N70" s="11">
        <f>IF($A70="","",SUMIFS(Assignments!$AK$2:$AK$769,Assignments!$A$2:$A$769,$A70,Assignments!$G$2:$G$769,"Active",Assignments!$AI$2:$AI$769,"&lt;="&amp;N$47,Assignments!$AJ$2:$AJ$769,"&gt;="&amp;N$47)+SUMIFS(Assignments!$AN$2:$AN$769,Assignments!$A$2:$A$769,$A70,Assignments!$G$2:$G$769,"Active",Assignments!$AL$2:$AL$769,"&lt;="&amp;N$47,Assignments!$AM$2:$AM$769,"&gt;="&amp;N$47))</f>
        <v/>
      </c>
      <c r="O70" s="11">
        <f>IF($A70="","",SUMIFS(Assignments!$AK$2:$AK$769,Assignments!$A$2:$A$769,$A70,Assignments!$G$2:$G$769,"Active",Assignments!$AI$2:$AI$769,"&lt;="&amp;O$47,Assignments!$AJ$2:$AJ$769,"&gt;="&amp;O$47)+SUMIFS(Assignments!$AN$2:$AN$769,Assignments!$A$2:$A$769,$A70,Assignments!$G$2:$G$769,"Active",Assignments!$AL$2:$AL$769,"&lt;="&amp;O$47,Assignments!$AM$2:$AM$769,"&gt;="&amp;O$47))</f>
        <v/>
      </c>
      <c r="P70" s="11">
        <f>IF($A70="","",SUMIFS(Assignments!$AK$2:$AK$769,Assignments!$A$2:$A$769,$A70,Assignments!$G$2:$G$769,"Active",Assignments!$AI$2:$AI$769,"&lt;="&amp;P$47,Assignments!$AJ$2:$AJ$769,"&gt;="&amp;P$47)+SUMIFS(Assignments!$AN$2:$AN$769,Assignments!$A$2:$A$769,$A70,Assignments!$G$2:$G$769,"Active",Assignments!$AL$2:$AL$769,"&lt;="&amp;P$47,Assignments!$AM$2:$AM$769,"&gt;="&amp;P$47))</f>
        <v/>
      </c>
      <c r="Q70" s="11">
        <f>IF($A70="","",SUMIFS(Assignments!$AK$2:$AK$769,Assignments!$A$2:$A$769,$A70,Assignments!$G$2:$G$769,"Active",Assignments!$AI$2:$AI$769,"&lt;="&amp;Q$47,Assignments!$AJ$2:$AJ$769,"&gt;="&amp;Q$47)+SUMIFS(Assignments!$AN$2:$AN$769,Assignments!$A$2:$A$769,$A70,Assignments!$G$2:$G$769,"Active",Assignments!$AL$2:$AL$769,"&lt;="&amp;Q$47,Assignments!$AM$2:$AM$769,"&gt;="&amp;Q$47))</f>
        <v/>
      </c>
      <c r="R70" s="11">
        <f>IF($A70="","",SUMIFS(Assignments!$AK$2:$AK$769,Assignments!$A$2:$A$769,$A70,Assignments!$G$2:$G$769,"Active",Assignments!$AI$2:$AI$769,"&lt;="&amp;R$47,Assignments!$AJ$2:$AJ$769,"&gt;="&amp;R$47)+SUMIFS(Assignments!$AN$2:$AN$769,Assignments!$A$2:$A$769,$A70,Assignments!$G$2:$G$769,"Active",Assignments!$AL$2:$AL$769,"&lt;="&amp;R$47,Assignments!$AM$2:$AM$769,"&gt;="&amp;R$47))</f>
        <v/>
      </c>
      <c r="S70" s="11">
        <f>IF($A70="","",SUMIFS(Assignments!$AK$2:$AK$769,Assignments!$A$2:$A$769,$A70,Assignments!$G$2:$G$769,"Active",Assignments!$AI$2:$AI$769,"&lt;="&amp;S$47,Assignments!$AJ$2:$AJ$769,"&gt;="&amp;S$47)+SUMIFS(Assignments!$AN$2:$AN$769,Assignments!$A$2:$A$769,$A70,Assignments!$G$2:$G$769,"Active",Assignments!$AL$2:$AL$769,"&lt;="&amp;S$47,Assignments!$AM$2:$AM$769,"&gt;="&amp;S$47))</f>
        <v/>
      </c>
      <c r="T70" s="11">
        <f>IF($A70="","",SUMIFS(Assignments!$AK$2:$AK$769,Assignments!$A$2:$A$769,$A70,Assignments!$G$2:$G$769,"Active",Assignments!$AI$2:$AI$769,"&lt;="&amp;T$47,Assignments!$AJ$2:$AJ$769,"&gt;="&amp;T$47)+SUMIFS(Assignments!$AN$2:$AN$769,Assignments!$A$2:$A$769,$A70,Assignments!$G$2:$G$769,"Active",Assignments!$AL$2:$AL$769,"&lt;="&amp;T$47,Assignments!$AM$2:$AM$769,"&gt;="&amp;T$47))</f>
        <v/>
      </c>
      <c r="U70" s="11">
        <f>IF($A70="","",SUMIFS(Assignments!$AK$2:$AK$769,Assignments!$A$2:$A$769,$A70,Assignments!$G$2:$G$769,"Active",Assignments!$AI$2:$AI$769,"&lt;="&amp;U$47,Assignments!$AJ$2:$AJ$769,"&gt;="&amp;U$47)+SUMIFS(Assignments!$AN$2:$AN$769,Assignments!$A$2:$A$769,$A70,Assignments!$G$2:$G$769,"Active",Assignments!$AL$2:$AL$769,"&lt;="&amp;U$47,Assignments!$AM$2:$AM$769,"&gt;="&amp;U$47))</f>
        <v/>
      </c>
      <c r="V70" s="11">
        <f>IF($A70="","",SUMIFS(Assignments!$AK$2:$AK$769,Assignments!$A$2:$A$769,$A70,Assignments!$G$2:$G$769,"Active",Assignments!$AI$2:$AI$769,"&lt;="&amp;V$47,Assignments!$AJ$2:$AJ$769,"&gt;="&amp;V$47)+SUMIFS(Assignments!$AN$2:$AN$769,Assignments!$A$2:$A$769,$A70,Assignments!$G$2:$G$769,"Active",Assignments!$AL$2:$AL$769,"&lt;="&amp;V$47,Assignments!$AM$2:$AM$769,"&gt;="&amp;V$47))</f>
        <v/>
      </c>
      <c r="W70" s="11">
        <f>IF($A70="","",SUMIFS(Assignments!$AK$2:$AK$769,Assignments!$A$2:$A$769,$A70,Assignments!$G$2:$G$769,"Active",Assignments!$AI$2:$AI$769,"&lt;="&amp;W$47,Assignments!$AJ$2:$AJ$769,"&gt;="&amp;W$47)+SUMIFS(Assignments!$AN$2:$AN$769,Assignments!$A$2:$A$769,$A70,Assignments!$G$2:$G$769,"Active",Assignments!$AL$2:$AL$769,"&lt;="&amp;W$47,Assignments!$AM$2:$AM$769,"&gt;="&amp;W$47))</f>
        <v/>
      </c>
      <c r="X70" s="11">
        <f>IF($A70="","",SUMIFS(Assignments!$AK$2:$AK$769,Assignments!$A$2:$A$769,$A70,Assignments!$G$2:$G$769,"Active",Assignments!$AI$2:$AI$769,"&lt;="&amp;X$47,Assignments!$AJ$2:$AJ$769,"&gt;="&amp;X$47)+SUMIFS(Assignments!$AN$2:$AN$769,Assignments!$A$2:$A$769,$A70,Assignments!$G$2:$G$769,"Active",Assignments!$AL$2:$AL$769,"&lt;="&amp;X$47,Assignments!$AM$2:$AM$769,"&gt;="&amp;X$47))</f>
        <v/>
      </c>
      <c r="Y70" s="11">
        <f>IF($A70="","",SUMIFS(Assignments!$AK$2:$AK$769,Assignments!$A$2:$A$769,$A70,Assignments!$G$2:$G$769,"Active",Assignments!$AI$2:$AI$769,"&lt;="&amp;Y$47,Assignments!$AJ$2:$AJ$769,"&gt;="&amp;Y$47)+SUMIFS(Assignments!$AN$2:$AN$769,Assignments!$A$2:$A$769,$A70,Assignments!$G$2:$G$769,"Active",Assignments!$AL$2:$AL$769,"&lt;="&amp;Y$47,Assignments!$AM$2:$AM$769,"&gt;="&amp;Y$47))</f>
        <v/>
      </c>
      <c r="Z70" s="11">
        <f>IF($A70="","",SUMIFS(Assignments!$AK$2:$AK$769,Assignments!$A$2:$A$769,$A70,Assignments!$G$2:$G$769,"Active",Assignments!$AI$2:$AI$769,"&lt;="&amp;Z$47,Assignments!$AJ$2:$AJ$769,"&gt;="&amp;Z$47)+SUMIFS(Assignments!$AN$2:$AN$769,Assignments!$A$2:$A$769,$A70,Assignments!$G$2:$G$769,"Active",Assignments!$AL$2:$AL$769,"&lt;="&amp;Z$47,Assignments!$AM$2:$AM$769,"&gt;="&amp;Z$47))</f>
        <v/>
      </c>
      <c r="AA70" s="11">
        <f>IF($A70="","",SUMIFS(Assignments!$AK$2:$AK$769,Assignments!$A$2:$A$769,$A70,Assignments!$G$2:$G$769,"Active",Assignments!$AI$2:$AI$769,"&lt;="&amp;AA$47,Assignments!$AJ$2:$AJ$769,"&gt;="&amp;AA$47)+SUMIFS(Assignments!$AN$2:$AN$769,Assignments!$A$2:$A$769,$A70,Assignments!$G$2:$G$769,"Active",Assignments!$AL$2:$AL$769,"&lt;="&amp;AA$47,Assignments!$AM$2:$AM$769,"&gt;="&amp;AA$47))</f>
        <v/>
      </c>
      <c r="AB70" s="11">
        <f>IF($A70="","",SUMIFS(Assignments!$AK$2:$AK$769,Assignments!$A$2:$A$769,$A70,Assignments!$G$2:$G$769,"Active",Assignments!$AI$2:$AI$769,"&lt;="&amp;AB$47,Assignments!$AJ$2:$AJ$769,"&gt;="&amp;AB$47)+SUMIFS(Assignments!$AN$2:$AN$769,Assignments!$A$2:$A$769,$A70,Assignments!$G$2:$G$769,"Active",Assignments!$AL$2:$AL$769,"&lt;="&amp;AB$47,Assignments!$AM$2:$AM$769,"&gt;="&amp;AB$47))</f>
        <v/>
      </c>
    </row>
    <row r="71">
      <c r="A71" s="9">
        <f>IF(Roster!$A25="","",Roster!$A25)</f>
        <v/>
      </c>
      <c r="B71" s="10">
        <f>IF($A71="","",IFERROR(INDEX(Roster!$D$2:$D$40,MATCH($A71,Roster!$A$2:$A$40,0)),""))</f>
        <v/>
      </c>
      <c r="C71" s="11">
        <f>IF($A71="","",SUMIFS(Assignments!$AK$2:$AK$769,Assignments!$A$2:$A$769,$A71,Assignments!$G$2:$G$769,"Active",Assignments!$AI$2:$AI$769,"&lt;="&amp;C$47,Assignments!$AJ$2:$AJ$769,"&gt;="&amp;C$47)+SUMIFS(Assignments!$AN$2:$AN$769,Assignments!$A$2:$A$769,$A71,Assignments!$G$2:$G$769,"Active",Assignments!$AL$2:$AL$769,"&lt;="&amp;C$47,Assignments!$AM$2:$AM$769,"&gt;="&amp;C$47))</f>
        <v/>
      </c>
      <c r="D71" s="11">
        <f>IF($A71="","",SUMIFS(Assignments!$AK$2:$AK$769,Assignments!$A$2:$A$769,$A71,Assignments!$G$2:$G$769,"Active",Assignments!$AI$2:$AI$769,"&lt;="&amp;D$47,Assignments!$AJ$2:$AJ$769,"&gt;="&amp;D$47)+SUMIFS(Assignments!$AN$2:$AN$769,Assignments!$A$2:$A$769,$A71,Assignments!$G$2:$G$769,"Active",Assignments!$AL$2:$AL$769,"&lt;="&amp;D$47,Assignments!$AM$2:$AM$769,"&gt;="&amp;D$47))</f>
        <v/>
      </c>
      <c r="E71" s="11">
        <f>IF($A71="","",SUMIFS(Assignments!$AK$2:$AK$769,Assignments!$A$2:$A$769,$A71,Assignments!$G$2:$G$769,"Active",Assignments!$AI$2:$AI$769,"&lt;="&amp;E$47,Assignments!$AJ$2:$AJ$769,"&gt;="&amp;E$47)+SUMIFS(Assignments!$AN$2:$AN$769,Assignments!$A$2:$A$769,$A71,Assignments!$G$2:$G$769,"Active",Assignments!$AL$2:$AL$769,"&lt;="&amp;E$47,Assignments!$AM$2:$AM$769,"&gt;="&amp;E$47))</f>
        <v/>
      </c>
      <c r="F71" s="11">
        <f>IF($A71="","",SUMIFS(Assignments!$AK$2:$AK$769,Assignments!$A$2:$A$769,$A71,Assignments!$G$2:$G$769,"Active",Assignments!$AI$2:$AI$769,"&lt;="&amp;F$47,Assignments!$AJ$2:$AJ$769,"&gt;="&amp;F$47)+SUMIFS(Assignments!$AN$2:$AN$769,Assignments!$A$2:$A$769,$A71,Assignments!$G$2:$G$769,"Active",Assignments!$AL$2:$AL$769,"&lt;="&amp;F$47,Assignments!$AM$2:$AM$769,"&gt;="&amp;F$47))</f>
        <v/>
      </c>
      <c r="G71" s="11">
        <f>IF($A71="","",SUMIFS(Assignments!$AK$2:$AK$769,Assignments!$A$2:$A$769,$A71,Assignments!$G$2:$G$769,"Active",Assignments!$AI$2:$AI$769,"&lt;="&amp;G$47,Assignments!$AJ$2:$AJ$769,"&gt;="&amp;G$47)+SUMIFS(Assignments!$AN$2:$AN$769,Assignments!$A$2:$A$769,$A71,Assignments!$G$2:$G$769,"Active",Assignments!$AL$2:$AL$769,"&lt;="&amp;G$47,Assignments!$AM$2:$AM$769,"&gt;="&amp;G$47))</f>
        <v/>
      </c>
      <c r="H71" s="11">
        <f>IF($A71="","",SUMIFS(Assignments!$AK$2:$AK$769,Assignments!$A$2:$A$769,$A71,Assignments!$G$2:$G$769,"Active",Assignments!$AI$2:$AI$769,"&lt;="&amp;H$47,Assignments!$AJ$2:$AJ$769,"&gt;="&amp;H$47)+SUMIFS(Assignments!$AN$2:$AN$769,Assignments!$A$2:$A$769,$A71,Assignments!$G$2:$G$769,"Active",Assignments!$AL$2:$AL$769,"&lt;="&amp;H$47,Assignments!$AM$2:$AM$769,"&gt;="&amp;H$47))</f>
        <v/>
      </c>
      <c r="I71" s="11">
        <f>IF($A71="","",SUMIFS(Assignments!$AK$2:$AK$769,Assignments!$A$2:$A$769,$A71,Assignments!$G$2:$G$769,"Active",Assignments!$AI$2:$AI$769,"&lt;="&amp;I$47,Assignments!$AJ$2:$AJ$769,"&gt;="&amp;I$47)+SUMIFS(Assignments!$AN$2:$AN$769,Assignments!$A$2:$A$769,$A71,Assignments!$G$2:$G$769,"Active",Assignments!$AL$2:$AL$769,"&lt;="&amp;I$47,Assignments!$AM$2:$AM$769,"&gt;="&amp;I$47))</f>
        <v/>
      </c>
      <c r="J71" s="11">
        <f>IF($A71="","",SUMIFS(Assignments!$AK$2:$AK$769,Assignments!$A$2:$A$769,$A71,Assignments!$G$2:$G$769,"Active",Assignments!$AI$2:$AI$769,"&lt;="&amp;J$47,Assignments!$AJ$2:$AJ$769,"&gt;="&amp;J$47)+SUMIFS(Assignments!$AN$2:$AN$769,Assignments!$A$2:$A$769,$A71,Assignments!$G$2:$G$769,"Active",Assignments!$AL$2:$AL$769,"&lt;="&amp;J$47,Assignments!$AM$2:$AM$769,"&gt;="&amp;J$47))</f>
        <v/>
      </c>
      <c r="K71" s="11">
        <f>IF($A71="","",SUMIFS(Assignments!$AK$2:$AK$769,Assignments!$A$2:$A$769,$A71,Assignments!$G$2:$G$769,"Active",Assignments!$AI$2:$AI$769,"&lt;="&amp;K$47,Assignments!$AJ$2:$AJ$769,"&gt;="&amp;K$47)+SUMIFS(Assignments!$AN$2:$AN$769,Assignments!$A$2:$A$769,$A71,Assignments!$G$2:$G$769,"Active",Assignments!$AL$2:$AL$769,"&lt;="&amp;K$47,Assignments!$AM$2:$AM$769,"&gt;="&amp;K$47))</f>
        <v/>
      </c>
      <c r="L71" s="11">
        <f>IF($A71="","",SUMIFS(Assignments!$AK$2:$AK$769,Assignments!$A$2:$A$769,$A71,Assignments!$G$2:$G$769,"Active",Assignments!$AI$2:$AI$769,"&lt;="&amp;L$47,Assignments!$AJ$2:$AJ$769,"&gt;="&amp;L$47)+SUMIFS(Assignments!$AN$2:$AN$769,Assignments!$A$2:$A$769,$A71,Assignments!$G$2:$G$769,"Active",Assignments!$AL$2:$AL$769,"&lt;="&amp;L$47,Assignments!$AM$2:$AM$769,"&gt;="&amp;L$47))</f>
        <v/>
      </c>
      <c r="M71" s="11">
        <f>IF($A71="","",SUMIFS(Assignments!$AK$2:$AK$769,Assignments!$A$2:$A$769,$A71,Assignments!$G$2:$G$769,"Active",Assignments!$AI$2:$AI$769,"&lt;="&amp;M$47,Assignments!$AJ$2:$AJ$769,"&gt;="&amp;M$47)+SUMIFS(Assignments!$AN$2:$AN$769,Assignments!$A$2:$A$769,$A71,Assignments!$G$2:$G$769,"Active",Assignments!$AL$2:$AL$769,"&lt;="&amp;M$47,Assignments!$AM$2:$AM$769,"&gt;="&amp;M$47))</f>
        <v/>
      </c>
      <c r="N71" s="11">
        <f>IF($A71="","",SUMIFS(Assignments!$AK$2:$AK$769,Assignments!$A$2:$A$769,$A71,Assignments!$G$2:$G$769,"Active",Assignments!$AI$2:$AI$769,"&lt;="&amp;N$47,Assignments!$AJ$2:$AJ$769,"&gt;="&amp;N$47)+SUMIFS(Assignments!$AN$2:$AN$769,Assignments!$A$2:$A$769,$A71,Assignments!$G$2:$G$769,"Active",Assignments!$AL$2:$AL$769,"&lt;="&amp;N$47,Assignments!$AM$2:$AM$769,"&gt;="&amp;N$47))</f>
        <v/>
      </c>
      <c r="O71" s="11">
        <f>IF($A71="","",SUMIFS(Assignments!$AK$2:$AK$769,Assignments!$A$2:$A$769,$A71,Assignments!$G$2:$G$769,"Active",Assignments!$AI$2:$AI$769,"&lt;="&amp;O$47,Assignments!$AJ$2:$AJ$769,"&gt;="&amp;O$47)+SUMIFS(Assignments!$AN$2:$AN$769,Assignments!$A$2:$A$769,$A71,Assignments!$G$2:$G$769,"Active",Assignments!$AL$2:$AL$769,"&lt;="&amp;O$47,Assignments!$AM$2:$AM$769,"&gt;="&amp;O$47))</f>
        <v/>
      </c>
      <c r="P71" s="11">
        <f>IF($A71="","",SUMIFS(Assignments!$AK$2:$AK$769,Assignments!$A$2:$A$769,$A71,Assignments!$G$2:$G$769,"Active",Assignments!$AI$2:$AI$769,"&lt;="&amp;P$47,Assignments!$AJ$2:$AJ$769,"&gt;="&amp;P$47)+SUMIFS(Assignments!$AN$2:$AN$769,Assignments!$A$2:$A$769,$A71,Assignments!$G$2:$G$769,"Active",Assignments!$AL$2:$AL$769,"&lt;="&amp;P$47,Assignments!$AM$2:$AM$769,"&gt;="&amp;P$47))</f>
        <v/>
      </c>
      <c r="Q71" s="11">
        <f>IF($A71="","",SUMIFS(Assignments!$AK$2:$AK$769,Assignments!$A$2:$A$769,$A71,Assignments!$G$2:$G$769,"Active",Assignments!$AI$2:$AI$769,"&lt;="&amp;Q$47,Assignments!$AJ$2:$AJ$769,"&gt;="&amp;Q$47)+SUMIFS(Assignments!$AN$2:$AN$769,Assignments!$A$2:$A$769,$A71,Assignments!$G$2:$G$769,"Active",Assignments!$AL$2:$AL$769,"&lt;="&amp;Q$47,Assignments!$AM$2:$AM$769,"&gt;="&amp;Q$47))</f>
        <v/>
      </c>
      <c r="R71" s="11">
        <f>IF($A71="","",SUMIFS(Assignments!$AK$2:$AK$769,Assignments!$A$2:$A$769,$A71,Assignments!$G$2:$G$769,"Active",Assignments!$AI$2:$AI$769,"&lt;="&amp;R$47,Assignments!$AJ$2:$AJ$769,"&gt;="&amp;R$47)+SUMIFS(Assignments!$AN$2:$AN$769,Assignments!$A$2:$A$769,$A71,Assignments!$G$2:$G$769,"Active",Assignments!$AL$2:$AL$769,"&lt;="&amp;R$47,Assignments!$AM$2:$AM$769,"&gt;="&amp;R$47))</f>
        <v/>
      </c>
      <c r="S71" s="11">
        <f>IF($A71="","",SUMIFS(Assignments!$AK$2:$AK$769,Assignments!$A$2:$A$769,$A71,Assignments!$G$2:$G$769,"Active",Assignments!$AI$2:$AI$769,"&lt;="&amp;S$47,Assignments!$AJ$2:$AJ$769,"&gt;="&amp;S$47)+SUMIFS(Assignments!$AN$2:$AN$769,Assignments!$A$2:$A$769,$A71,Assignments!$G$2:$G$769,"Active",Assignments!$AL$2:$AL$769,"&lt;="&amp;S$47,Assignments!$AM$2:$AM$769,"&gt;="&amp;S$47))</f>
        <v/>
      </c>
      <c r="T71" s="11">
        <f>IF($A71="","",SUMIFS(Assignments!$AK$2:$AK$769,Assignments!$A$2:$A$769,$A71,Assignments!$G$2:$G$769,"Active",Assignments!$AI$2:$AI$769,"&lt;="&amp;T$47,Assignments!$AJ$2:$AJ$769,"&gt;="&amp;T$47)+SUMIFS(Assignments!$AN$2:$AN$769,Assignments!$A$2:$A$769,$A71,Assignments!$G$2:$G$769,"Active",Assignments!$AL$2:$AL$769,"&lt;="&amp;T$47,Assignments!$AM$2:$AM$769,"&gt;="&amp;T$47))</f>
        <v/>
      </c>
      <c r="U71" s="11">
        <f>IF($A71="","",SUMIFS(Assignments!$AK$2:$AK$769,Assignments!$A$2:$A$769,$A71,Assignments!$G$2:$G$769,"Active",Assignments!$AI$2:$AI$769,"&lt;="&amp;U$47,Assignments!$AJ$2:$AJ$769,"&gt;="&amp;U$47)+SUMIFS(Assignments!$AN$2:$AN$769,Assignments!$A$2:$A$769,$A71,Assignments!$G$2:$G$769,"Active",Assignments!$AL$2:$AL$769,"&lt;="&amp;U$47,Assignments!$AM$2:$AM$769,"&gt;="&amp;U$47))</f>
        <v/>
      </c>
      <c r="V71" s="11">
        <f>IF($A71="","",SUMIFS(Assignments!$AK$2:$AK$769,Assignments!$A$2:$A$769,$A71,Assignments!$G$2:$G$769,"Active",Assignments!$AI$2:$AI$769,"&lt;="&amp;V$47,Assignments!$AJ$2:$AJ$769,"&gt;="&amp;V$47)+SUMIFS(Assignments!$AN$2:$AN$769,Assignments!$A$2:$A$769,$A71,Assignments!$G$2:$G$769,"Active",Assignments!$AL$2:$AL$769,"&lt;="&amp;V$47,Assignments!$AM$2:$AM$769,"&gt;="&amp;V$47))</f>
        <v/>
      </c>
      <c r="W71" s="11">
        <f>IF($A71="","",SUMIFS(Assignments!$AK$2:$AK$769,Assignments!$A$2:$A$769,$A71,Assignments!$G$2:$G$769,"Active",Assignments!$AI$2:$AI$769,"&lt;="&amp;W$47,Assignments!$AJ$2:$AJ$769,"&gt;="&amp;W$47)+SUMIFS(Assignments!$AN$2:$AN$769,Assignments!$A$2:$A$769,$A71,Assignments!$G$2:$G$769,"Active",Assignments!$AL$2:$AL$769,"&lt;="&amp;W$47,Assignments!$AM$2:$AM$769,"&gt;="&amp;W$47))</f>
        <v/>
      </c>
      <c r="X71" s="11">
        <f>IF($A71="","",SUMIFS(Assignments!$AK$2:$AK$769,Assignments!$A$2:$A$769,$A71,Assignments!$G$2:$G$769,"Active",Assignments!$AI$2:$AI$769,"&lt;="&amp;X$47,Assignments!$AJ$2:$AJ$769,"&gt;="&amp;X$47)+SUMIFS(Assignments!$AN$2:$AN$769,Assignments!$A$2:$A$769,$A71,Assignments!$G$2:$G$769,"Active",Assignments!$AL$2:$AL$769,"&lt;="&amp;X$47,Assignments!$AM$2:$AM$769,"&gt;="&amp;X$47))</f>
        <v/>
      </c>
      <c r="Y71" s="11">
        <f>IF($A71="","",SUMIFS(Assignments!$AK$2:$AK$769,Assignments!$A$2:$A$769,$A71,Assignments!$G$2:$G$769,"Active",Assignments!$AI$2:$AI$769,"&lt;="&amp;Y$47,Assignments!$AJ$2:$AJ$769,"&gt;="&amp;Y$47)+SUMIFS(Assignments!$AN$2:$AN$769,Assignments!$A$2:$A$769,$A71,Assignments!$G$2:$G$769,"Active",Assignments!$AL$2:$AL$769,"&lt;="&amp;Y$47,Assignments!$AM$2:$AM$769,"&gt;="&amp;Y$47))</f>
        <v/>
      </c>
      <c r="Z71" s="11">
        <f>IF($A71="","",SUMIFS(Assignments!$AK$2:$AK$769,Assignments!$A$2:$A$769,$A71,Assignments!$G$2:$G$769,"Active",Assignments!$AI$2:$AI$769,"&lt;="&amp;Z$47,Assignments!$AJ$2:$AJ$769,"&gt;="&amp;Z$47)+SUMIFS(Assignments!$AN$2:$AN$769,Assignments!$A$2:$A$769,$A71,Assignments!$G$2:$G$769,"Active",Assignments!$AL$2:$AL$769,"&lt;="&amp;Z$47,Assignments!$AM$2:$AM$769,"&gt;="&amp;Z$47))</f>
        <v/>
      </c>
      <c r="AA71" s="11">
        <f>IF($A71="","",SUMIFS(Assignments!$AK$2:$AK$769,Assignments!$A$2:$A$769,$A71,Assignments!$G$2:$G$769,"Active",Assignments!$AI$2:$AI$769,"&lt;="&amp;AA$47,Assignments!$AJ$2:$AJ$769,"&gt;="&amp;AA$47)+SUMIFS(Assignments!$AN$2:$AN$769,Assignments!$A$2:$A$769,$A71,Assignments!$G$2:$G$769,"Active",Assignments!$AL$2:$AL$769,"&lt;="&amp;AA$47,Assignments!$AM$2:$AM$769,"&gt;="&amp;AA$47))</f>
        <v/>
      </c>
      <c r="AB71" s="11">
        <f>IF($A71="","",SUMIFS(Assignments!$AK$2:$AK$769,Assignments!$A$2:$A$769,$A71,Assignments!$G$2:$G$769,"Active",Assignments!$AI$2:$AI$769,"&lt;="&amp;AB$47,Assignments!$AJ$2:$AJ$769,"&gt;="&amp;AB$47)+SUMIFS(Assignments!$AN$2:$AN$769,Assignments!$A$2:$A$769,$A71,Assignments!$G$2:$G$769,"Active",Assignments!$AL$2:$AL$769,"&lt;="&amp;AB$47,Assignments!$AM$2:$AM$769,"&gt;="&amp;AB$47))</f>
        <v/>
      </c>
    </row>
    <row r="72">
      <c r="A72" s="9">
        <f>IF(Roster!$A26="","",Roster!$A26)</f>
        <v/>
      </c>
      <c r="B72" s="10">
        <f>IF($A72="","",IFERROR(INDEX(Roster!$D$2:$D$40,MATCH($A72,Roster!$A$2:$A$40,0)),""))</f>
        <v/>
      </c>
      <c r="C72" s="11">
        <f>IF($A72="","",SUMIFS(Assignments!$AK$2:$AK$769,Assignments!$A$2:$A$769,$A72,Assignments!$G$2:$G$769,"Active",Assignments!$AI$2:$AI$769,"&lt;="&amp;C$47,Assignments!$AJ$2:$AJ$769,"&gt;="&amp;C$47)+SUMIFS(Assignments!$AN$2:$AN$769,Assignments!$A$2:$A$769,$A72,Assignments!$G$2:$G$769,"Active",Assignments!$AL$2:$AL$769,"&lt;="&amp;C$47,Assignments!$AM$2:$AM$769,"&gt;="&amp;C$47))</f>
        <v/>
      </c>
      <c r="D72" s="11">
        <f>IF($A72="","",SUMIFS(Assignments!$AK$2:$AK$769,Assignments!$A$2:$A$769,$A72,Assignments!$G$2:$G$769,"Active",Assignments!$AI$2:$AI$769,"&lt;="&amp;D$47,Assignments!$AJ$2:$AJ$769,"&gt;="&amp;D$47)+SUMIFS(Assignments!$AN$2:$AN$769,Assignments!$A$2:$A$769,$A72,Assignments!$G$2:$G$769,"Active",Assignments!$AL$2:$AL$769,"&lt;="&amp;D$47,Assignments!$AM$2:$AM$769,"&gt;="&amp;D$47))</f>
        <v/>
      </c>
      <c r="E72" s="11">
        <f>IF($A72="","",SUMIFS(Assignments!$AK$2:$AK$769,Assignments!$A$2:$A$769,$A72,Assignments!$G$2:$G$769,"Active",Assignments!$AI$2:$AI$769,"&lt;="&amp;E$47,Assignments!$AJ$2:$AJ$769,"&gt;="&amp;E$47)+SUMIFS(Assignments!$AN$2:$AN$769,Assignments!$A$2:$A$769,$A72,Assignments!$G$2:$G$769,"Active",Assignments!$AL$2:$AL$769,"&lt;="&amp;E$47,Assignments!$AM$2:$AM$769,"&gt;="&amp;E$47))</f>
        <v/>
      </c>
      <c r="F72" s="11">
        <f>IF($A72="","",SUMIFS(Assignments!$AK$2:$AK$769,Assignments!$A$2:$A$769,$A72,Assignments!$G$2:$G$769,"Active",Assignments!$AI$2:$AI$769,"&lt;="&amp;F$47,Assignments!$AJ$2:$AJ$769,"&gt;="&amp;F$47)+SUMIFS(Assignments!$AN$2:$AN$769,Assignments!$A$2:$A$769,$A72,Assignments!$G$2:$G$769,"Active",Assignments!$AL$2:$AL$769,"&lt;="&amp;F$47,Assignments!$AM$2:$AM$769,"&gt;="&amp;F$47))</f>
        <v/>
      </c>
      <c r="G72" s="11">
        <f>IF($A72="","",SUMIFS(Assignments!$AK$2:$AK$769,Assignments!$A$2:$A$769,$A72,Assignments!$G$2:$G$769,"Active",Assignments!$AI$2:$AI$769,"&lt;="&amp;G$47,Assignments!$AJ$2:$AJ$769,"&gt;="&amp;G$47)+SUMIFS(Assignments!$AN$2:$AN$769,Assignments!$A$2:$A$769,$A72,Assignments!$G$2:$G$769,"Active",Assignments!$AL$2:$AL$769,"&lt;="&amp;G$47,Assignments!$AM$2:$AM$769,"&gt;="&amp;G$47))</f>
        <v/>
      </c>
      <c r="H72" s="11">
        <f>IF($A72="","",SUMIFS(Assignments!$AK$2:$AK$769,Assignments!$A$2:$A$769,$A72,Assignments!$G$2:$G$769,"Active",Assignments!$AI$2:$AI$769,"&lt;="&amp;H$47,Assignments!$AJ$2:$AJ$769,"&gt;="&amp;H$47)+SUMIFS(Assignments!$AN$2:$AN$769,Assignments!$A$2:$A$769,$A72,Assignments!$G$2:$G$769,"Active",Assignments!$AL$2:$AL$769,"&lt;="&amp;H$47,Assignments!$AM$2:$AM$769,"&gt;="&amp;H$47))</f>
        <v/>
      </c>
      <c r="I72" s="11">
        <f>IF($A72="","",SUMIFS(Assignments!$AK$2:$AK$769,Assignments!$A$2:$A$769,$A72,Assignments!$G$2:$G$769,"Active",Assignments!$AI$2:$AI$769,"&lt;="&amp;I$47,Assignments!$AJ$2:$AJ$769,"&gt;="&amp;I$47)+SUMIFS(Assignments!$AN$2:$AN$769,Assignments!$A$2:$A$769,$A72,Assignments!$G$2:$G$769,"Active",Assignments!$AL$2:$AL$769,"&lt;="&amp;I$47,Assignments!$AM$2:$AM$769,"&gt;="&amp;I$47))</f>
        <v/>
      </c>
      <c r="J72" s="11">
        <f>IF($A72="","",SUMIFS(Assignments!$AK$2:$AK$769,Assignments!$A$2:$A$769,$A72,Assignments!$G$2:$G$769,"Active",Assignments!$AI$2:$AI$769,"&lt;="&amp;J$47,Assignments!$AJ$2:$AJ$769,"&gt;="&amp;J$47)+SUMIFS(Assignments!$AN$2:$AN$769,Assignments!$A$2:$A$769,$A72,Assignments!$G$2:$G$769,"Active",Assignments!$AL$2:$AL$769,"&lt;="&amp;J$47,Assignments!$AM$2:$AM$769,"&gt;="&amp;J$47))</f>
        <v/>
      </c>
      <c r="K72" s="11">
        <f>IF($A72="","",SUMIFS(Assignments!$AK$2:$AK$769,Assignments!$A$2:$A$769,$A72,Assignments!$G$2:$G$769,"Active",Assignments!$AI$2:$AI$769,"&lt;="&amp;K$47,Assignments!$AJ$2:$AJ$769,"&gt;="&amp;K$47)+SUMIFS(Assignments!$AN$2:$AN$769,Assignments!$A$2:$A$769,$A72,Assignments!$G$2:$G$769,"Active",Assignments!$AL$2:$AL$769,"&lt;="&amp;K$47,Assignments!$AM$2:$AM$769,"&gt;="&amp;K$47))</f>
        <v/>
      </c>
      <c r="L72" s="11">
        <f>IF($A72="","",SUMIFS(Assignments!$AK$2:$AK$769,Assignments!$A$2:$A$769,$A72,Assignments!$G$2:$G$769,"Active",Assignments!$AI$2:$AI$769,"&lt;="&amp;L$47,Assignments!$AJ$2:$AJ$769,"&gt;="&amp;L$47)+SUMIFS(Assignments!$AN$2:$AN$769,Assignments!$A$2:$A$769,$A72,Assignments!$G$2:$G$769,"Active",Assignments!$AL$2:$AL$769,"&lt;="&amp;L$47,Assignments!$AM$2:$AM$769,"&gt;="&amp;L$47))</f>
        <v/>
      </c>
      <c r="M72" s="11">
        <f>IF($A72="","",SUMIFS(Assignments!$AK$2:$AK$769,Assignments!$A$2:$A$769,$A72,Assignments!$G$2:$G$769,"Active",Assignments!$AI$2:$AI$769,"&lt;="&amp;M$47,Assignments!$AJ$2:$AJ$769,"&gt;="&amp;M$47)+SUMIFS(Assignments!$AN$2:$AN$769,Assignments!$A$2:$A$769,$A72,Assignments!$G$2:$G$769,"Active",Assignments!$AL$2:$AL$769,"&lt;="&amp;M$47,Assignments!$AM$2:$AM$769,"&gt;="&amp;M$47))</f>
        <v/>
      </c>
      <c r="N72" s="11">
        <f>IF($A72="","",SUMIFS(Assignments!$AK$2:$AK$769,Assignments!$A$2:$A$769,$A72,Assignments!$G$2:$G$769,"Active",Assignments!$AI$2:$AI$769,"&lt;="&amp;N$47,Assignments!$AJ$2:$AJ$769,"&gt;="&amp;N$47)+SUMIFS(Assignments!$AN$2:$AN$769,Assignments!$A$2:$A$769,$A72,Assignments!$G$2:$G$769,"Active",Assignments!$AL$2:$AL$769,"&lt;="&amp;N$47,Assignments!$AM$2:$AM$769,"&gt;="&amp;N$47))</f>
        <v/>
      </c>
      <c r="O72" s="11">
        <f>IF($A72="","",SUMIFS(Assignments!$AK$2:$AK$769,Assignments!$A$2:$A$769,$A72,Assignments!$G$2:$G$769,"Active",Assignments!$AI$2:$AI$769,"&lt;="&amp;O$47,Assignments!$AJ$2:$AJ$769,"&gt;="&amp;O$47)+SUMIFS(Assignments!$AN$2:$AN$769,Assignments!$A$2:$A$769,$A72,Assignments!$G$2:$G$769,"Active",Assignments!$AL$2:$AL$769,"&lt;="&amp;O$47,Assignments!$AM$2:$AM$769,"&gt;="&amp;O$47))</f>
        <v/>
      </c>
      <c r="P72" s="11">
        <f>IF($A72="","",SUMIFS(Assignments!$AK$2:$AK$769,Assignments!$A$2:$A$769,$A72,Assignments!$G$2:$G$769,"Active",Assignments!$AI$2:$AI$769,"&lt;="&amp;P$47,Assignments!$AJ$2:$AJ$769,"&gt;="&amp;P$47)+SUMIFS(Assignments!$AN$2:$AN$769,Assignments!$A$2:$A$769,$A72,Assignments!$G$2:$G$769,"Active",Assignments!$AL$2:$AL$769,"&lt;="&amp;P$47,Assignments!$AM$2:$AM$769,"&gt;="&amp;P$47))</f>
        <v/>
      </c>
      <c r="Q72" s="11">
        <f>IF($A72="","",SUMIFS(Assignments!$AK$2:$AK$769,Assignments!$A$2:$A$769,$A72,Assignments!$G$2:$G$769,"Active",Assignments!$AI$2:$AI$769,"&lt;="&amp;Q$47,Assignments!$AJ$2:$AJ$769,"&gt;="&amp;Q$47)+SUMIFS(Assignments!$AN$2:$AN$769,Assignments!$A$2:$A$769,$A72,Assignments!$G$2:$G$769,"Active",Assignments!$AL$2:$AL$769,"&lt;="&amp;Q$47,Assignments!$AM$2:$AM$769,"&gt;="&amp;Q$47))</f>
        <v/>
      </c>
      <c r="R72" s="11">
        <f>IF($A72="","",SUMIFS(Assignments!$AK$2:$AK$769,Assignments!$A$2:$A$769,$A72,Assignments!$G$2:$G$769,"Active",Assignments!$AI$2:$AI$769,"&lt;="&amp;R$47,Assignments!$AJ$2:$AJ$769,"&gt;="&amp;R$47)+SUMIFS(Assignments!$AN$2:$AN$769,Assignments!$A$2:$A$769,$A72,Assignments!$G$2:$G$769,"Active",Assignments!$AL$2:$AL$769,"&lt;="&amp;R$47,Assignments!$AM$2:$AM$769,"&gt;="&amp;R$47))</f>
        <v/>
      </c>
      <c r="S72" s="11">
        <f>IF($A72="","",SUMIFS(Assignments!$AK$2:$AK$769,Assignments!$A$2:$A$769,$A72,Assignments!$G$2:$G$769,"Active",Assignments!$AI$2:$AI$769,"&lt;="&amp;S$47,Assignments!$AJ$2:$AJ$769,"&gt;="&amp;S$47)+SUMIFS(Assignments!$AN$2:$AN$769,Assignments!$A$2:$A$769,$A72,Assignments!$G$2:$G$769,"Active",Assignments!$AL$2:$AL$769,"&lt;="&amp;S$47,Assignments!$AM$2:$AM$769,"&gt;="&amp;S$47))</f>
        <v/>
      </c>
      <c r="T72" s="11">
        <f>IF($A72="","",SUMIFS(Assignments!$AK$2:$AK$769,Assignments!$A$2:$A$769,$A72,Assignments!$G$2:$G$769,"Active",Assignments!$AI$2:$AI$769,"&lt;="&amp;T$47,Assignments!$AJ$2:$AJ$769,"&gt;="&amp;T$47)+SUMIFS(Assignments!$AN$2:$AN$769,Assignments!$A$2:$A$769,$A72,Assignments!$G$2:$G$769,"Active",Assignments!$AL$2:$AL$769,"&lt;="&amp;T$47,Assignments!$AM$2:$AM$769,"&gt;="&amp;T$47))</f>
        <v/>
      </c>
      <c r="U72" s="11">
        <f>IF($A72="","",SUMIFS(Assignments!$AK$2:$AK$769,Assignments!$A$2:$A$769,$A72,Assignments!$G$2:$G$769,"Active",Assignments!$AI$2:$AI$769,"&lt;="&amp;U$47,Assignments!$AJ$2:$AJ$769,"&gt;="&amp;U$47)+SUMIFS(Assignments!$AN$2:$AN$769,Assignments!$A$2:$A$769,$A72,Assignments!$G$2:$G$769,"Active",Assignments!$AL$2:$AL$769,"&lt;="&amp;U$47,Assignments!$AM$2:$AM$769,"&gt;="&amp;U$47))</f>
        <v/>
      </c>
      <c r="V72" s="11">
        <f>IF($A72="","",SUMIFS(Assignments!$AK$2:$AK$769,Assignments!$A$2:$A$769,$A72,Assignments!$G$2:$G$769,"Active",Assignments!$AI$2:$AI$769,"&lt;="&amp;V$47,Assignments!$AJ$2:$AJ$769,"&gt;="&amp;V$47)+SUMIFS(Assignments!$AN$2:$AN$769,Assignments!$A$2:$A$769,$A72,Assignments!$G$2:$G$769,"Active",Assignments!$AL$2:$AL$769,"&lt;="&amp;V$47,Assignments!$AM$2:$AM$769,"&gt;="&amp;V$47))</f>
        <v/>
      </c>
      <c r="W72" s="11">
        <f>IF($A72="","",SUMIFS(Assignments!$AK$2:$AK$769,Assignments!$A$2:$A$769,$A72,Assignments!$G$2:$G$769,"Active",Assignments!$AI$2:$AI$769,"&lt;="&amp;W$47,Assignments!$AJ$2:$AJ$769,"&gt;="&amp;W$47)+SUMIFS(Assignments!$AN$2:$AN$769,Assignments!$A$2:$A$769,$A72,Assignments!$G$2:$G$769,"Active",Assignments!$AL$2:$AL$769,"&lt;="&amp;W$47,Assignments!$AM$2:$AM$769,"&gt;="&amp;W$47))</f>
        <v/>
      </c>
      <c r="X72" s="11">
        <f>IF($A72="","",SUMIFS(Assignments!$AK$2:$AK$769,Assignments!$A$2:$A$769,$A72,Assignments!$G$2:$G$769,"Active",Assignments!$AI$2:$AI$769,"&lt;="&amp;X$47,Assignments!$AJ$2:$AJ$769,"&gt;="&amp;X$47)+SUMIFS(Assignments!$AN$2:$AN$769,Assignments!$A$2:$A$769,$A72,Assignments!$G$2:$G$769,"Active",Assignments!$AL$2:$AL$769,"&lt;="&amp;X$47,Assignments!$AM$2:$AM$769,"&gt;="&amp;X$47))</f>
        <v/>
      </c>
      <c r="Y72" s="11">
        <f>IF($A72="","",SUMIFS(Assignments!$AK$2:$AK$769,Assignments!$A$2:$A$769,$A72,Assignments!$G$2:$G$769,"Active",Assignments!$AI$2:$AI$769,"&lt;="&amp;Y$47,Assignments!$AJ$2:$AJ$769,"&gt;="&amp;Y$47)+SUMIFS(Assignments!$AN$2:$AN$769,Assignments!$A$2:$A$769,$A72,Assignments!$G$2:$G$769,"Active",Assignments!$AL$2:$AL$769,"&lt;="&amp;Y$47,Assignments!$AM$2:$AM$769,"&gt;="&amp;Y$47))</f>
        <v/>
      </c>
      <c r="Z72" s="11">
        <f>IF($A72="","",SUMIFS(Assignments!$AK$2:$AK$769,Assignments!$A$2:$A$769,$A72,Assignments!$G$2:$G$769,"Active",Assignments!$AI$2:$AI$769,"&lt;="&amp;Z$47,Assignments!$AJ$2:$AJ$769,"&gt;="&amp;Z$47)+SUMIFS(Assignments!$AN$2:$AN$769,Assignments!$A$2:$A$769,$A72,Assignments!$G$2:$G$769,"Active",Assignments!$AL$2:$AL$769,"&lt;="&amp;Z$47,Assignments!$AM$2:$AM$769,"&gt;="&amp;Z$47))</f>
        <v/>
      </c>
      <c r="AA72" s="11">
        <f>IF($A72="","",SUMIFS(Assignments!$AK$2:$AK$769,Assignments!$A$2:$A$769,$A72,Assignments!$G$2:$G$769,"Active",Assignments!$AI$2:$AI$769,"&lt;="&amp;AA$47,Assignments!$AJ$2:$AJ$769,"&gt;="&amp;AA$47)+SUMIFS(Assignments!$AN$2:$AN$769,Assignments!$A$2:$A$769,$A72,Assignments!$G$2:$G$769,"Active",Assignments!$AL$2:$AL$769,"&lt;="&amp;AA$47,Assignments!$AM$2:$AM$769,"&gt;="&amp;AA$47))</f>
        <v/>
      </c>
      <c r="AB72" s="11">
        <f>IF($A72="","",SUMIFS(Assignments!$AK$2:$AK$769,Assignments!$A$2:$A$769,$A72,Assignments!$G$2:$G$769,"Active",Assignments!$AI$2:$AI$769,"&lt;="&amp;AB$47,Assignments!$AJ$2:$AJ$769,"&gt;="&amp;AB$47)+SUMIFS(Assignments!$AN$2:$AN$769,Assignments!$A$2:$A$769,$A72,Assignments!$G$2:$G$769,"Active",Assignments!$AL$2:$AL$769,"&lt;="&amp;AB$47,Assignments!$AM$2:$AM$769,"&gt;="&amp;AB$47))</f>
        <v/>
      </c>
    </row>
    <row r="73">
      <c r="A73" s="9">
        <f>IF(Roster!$A27="","",Roster!$A27)</f>
        <v/>
      </c>
      <c r="B73" s="10">
        <f>IF($A73="","",IFERROR(INDEX(Roster!$D$2:$D$40,MATCH($A73,Roster!$A$2:$A$40,0)),""))</f>
        <v/>
      </c>
      <c r="C73" s="11">
        <f>IF($A73="","",SUMIFS(Assignments!$AK$2:$AK$769,Assignments!$A$2:$A$769,$A73,Assignments!$G$2:$G$769,"Active",Assignments!$AI$2:$AI$769,"&lt;="&amp;C$47,Assignments!$AJ$2:$AJ$769,"&gt;="&amp;C$47)+SUMIFS(Assignments!$AN$2:$AN$769,Assignments!$A$2:$A$769,$A73,Assignments!$G$2:$G$769,"Active",Assignments!$AL$2:$AL$769,"&lt;="&amp;C$47,Assignments!$AM$2:$AM$769,"&gt;="&amp;C$47))</f>
        <v/>
      </c>
      <c r="D73" s="11">
        <f>IF($A73="","",SUMIFS(Assignments!$AK$2:$AK$769,Assignments!$A$2:$A$769,$A73,Assignments!$G$2:$G$769,"Active",Assignments!$AI$2:$AI$769,"&lt;="&amp;D$47,Assignments!$AJ$2:$AJ$769,"&gt;="&amp;D$47)+SUMIFS(Assignments!$AN$2:$AN$769,Assignments!$A$2:$A$769,$A73,Assignments!$G$2:$G$769,"Active",Assignments!$AL$2:$AL$769,"&lt;="&amp;D$47,Assignments!$AM$2:$AM$769,"&gt;="&amp;D$47))</f>
        <v/>
      </c>
      <c r="E73" s="11">
        <f>IF($A73="","",SUMIFS(Assignments!$AK$2:$AK$769,Assignments!$A$2:$A$769,$A73,Assignments!$G$2:$G$769,"Active",Assignments!$AI$2:$AI$769,"&lt;="&amp;E$47,Assignments!$AJ$2:$AJ$769,"&gt;="&amp;E$47)+SUMIFS(Assignments!$AN$2:$AN$769,Assignments!$A$2:$A$769,$A73,Assignments!$G$2:$G$769,"Active",Assignments!$AL$2:$AL$769,"&lt;="&amp;E$47,Assignments!$AM$2:$AM$769,"&gt;="&amp;E$47))</f>
        <v/>
      </c>
      <c r="F73" s="11">
        <f>IF($A73="","",SUMIFS(Assignments!$AK$2:$AK$769,Assignments!$A$2:$A$769,$A73,Assignments!$G$2:$G$769,"Active",Assignments!$AI$2:$AI$769,"&lt;="&amp;F$47,Assignments!$AJ$2:$AJ$769,"&gt;="&amp;F$47)+SUMIFS(Assignments!$AN$2:$AN$769,Assignments!$A$2:$A$769,$A73,Assignments!$G$2:$G$769,"Active",Assignments!$AL$2:$AL$769,"&lt;="&amp;F$47,Assignments!$AM$2:$AM$769,"&gt;="&amp;F$47))</f>
        <v/>
      </c>
      <c r="G73" s="11">
        <f>IF($A73="","",SUMIFS(Assignments!$AK$2:$AK$769,Assignments!$A$2:$A$769,$A73,Assignments!$G$2:$G$769,"Active",Assignments!$AI$2:$AI$769,"&lt;="&amp;G$47,Assignments!$AJ$2:$AJ$769,"&gt;="&amp;G$47)+SUMIFS(Assignments!$AN$2:$AN$769,Assignments!$A$2:$A$769,$A73,Assignments!$G$2:$G$769,"Active",Assignments!$AL$2:$AL$769,"&lt;="&amp;G$47,Assignments!$AM$2:$AM$769,"&gt;="&amp;G$47))</f>
        <v/>
      </c>
      <c r="H73" s="11">
        <f>IF($A73="","",SUMIFS(Assignments!$AK$2:$AK$769,Assignments!$A$2:$A$769,$A73,Assignments!$G$2:$G$769,"Active",Assignments!$AI$2:$AI$769,"&lt;="&amp;H$47,Assignments!$AJ$2:$AJ$769,"&gt;="&amp;H$47)+SUMIFS(Assignments!$AN$2:$AN$769,Assignments!$A$2:$A$769,$A73,Assignments!$G$2:$G$769,"Active",Assignments!$AL$2:$AL$769,"&lt;="&amp;H$47,Assignments!$AM$2:$AM$769,"&gt;="&amp;H$47))</f>
        <v/>
      </c>
      <c r="I73" s="11">
        <f>IF($A73="","",SUMIFS(Assignments!$AK$2:$AK$769,Assignments!$A$2:$A$769,$A73,Assignments!$G$2:$G$769,"Active",Assignments!$AI$2:$AI$769,"&lt;="&amp;I$47,Assignments!$AJ$2:$AJ$769,"&gt;="&amp;I$47)+SUMIFS(Assignments!$AN$2:$AN$769,Assignments!$A$2:$A$769,$A73,Assignments!$G$2:$G$769,"Active",Assignments!$AL$2:$AL$769,"&lt;="&amp;I$47,Assignments!$AM$2:$AM$769,"&gt;="&amp;I$47))</f>
        <v/>
      </c>
      <c r="J73" s="11">
        <f>IF($A73="","",SUMIFS(Assignments!$AK$2:$AK$769,Assignments!$A$2:$A$769,$A73,Assignments!$G$2:$G$769,"Active",Assignments!$AI$2:$AI$769,"&lt;="&amp;J$47,Assignments!$AJ$2:$AJ$769,"&gt;="&amp;J$47)+SUMIFS(Assignments!$AN$2:$AN$769,Assignments!$A$2:$A$769,$A73,Assignments!$G$2:$G$769,"Active",Assignments!$AL$2:$AL$769,"&lt;="&amp;J$47,Assignments!$AM$2:$AM$769,"&gt;="&amp;J$47))</f>
        <v/>
      </c>
      <c r="K73" s="11">
        <f>IF($A73="","",SUMIFS(Assignments!$AK$2:$AK$769,Assignments!$A$2:$A$769,$A73,Assignments!$G$2:$G$769,"Active",Assignments!$AI$2:$AI$769,"&lt;="&amp;K$47,Assignments!$AJ$2:$AJ$769,"&gt;="&amp;K$47)+SUMIFS(Assignments!$AN$2:$AN$769,Assignments!$A$2:$A$769,$A73,Assignments!$G$2:$G$769,"Active",Assignments!$AL$2:$AL$769,"&lt;="&amp;K$47,Assignments!$AM$2:$AM$769,"&gt;="&amp;K$47))</f>
        <v/>
      </c>
      <c r="L73" s="11">
        <f>IF($A73="","",SUMIFS(Assignments!$AK$2:$AK$769,Assignments!$A$2:$A$769,$A73,Assignments!$G$2:$G$769,"Active",Assignments!$AI$2:$AI$769,"&lt;="&amp;L$47,Assignments!$AJ$2:$AJ$769,"&gt;="&amp;L$47)+SUMIFS(Assignments!$AN$2:$AN$769,Assignments!$A$2:$A$769,$A73,Assignments!$G$2:$G$769,"Active",Assignments!$AL$2:$AL$769,"&lt;="&amp;L$47,Assignments!$AM$2:$AM$769,"&gt;="&amp;L$47))</f>
        <v/>
      </c>
      <c r="M73" s="11">
        <f>IF($A73="","",SUMIFS(Assignments!$AK$2:$AK$769,Assignments!$A$2:$A$769,$A73,Assignments!$G$2:$G$769,"Active",Assignments!$AI$2:$AI$769,"&lt;="&amp;M$47,Assignments!$AJ$2:$AJ$769,"&gt;="&amp;M$47)+SUMIFS(Assignments!$AN$2:$AN$769,Assignments!$A$2:$A$769,$A73,Assignments!$G$2:$G$769,"Active",Assignments!$AL$2:$AL$769,"&lt;="&amp;M$47,Assignments!$AM$2:$AM$769,"&gt;="&amp;M$47))</f>
        <v/>
      </c>
      <c r="N73" s="11">
        <f>IF($A73="","",SUMIFS(Assignments!$AK$2:$AK$769,Assignments!$A$2:$A$769,$A73,Assignments!$G$2:$G$769,"Active",Assignments!$AI$2:$AI$769,"&lt;="&amp;N$47,Assignments!$AJ$2:$AJ$769,"&gt;="&amp;N$47)+SUMIFS(Assignments!$AN$2:$AN$769,Assignments!$A$2:$A$769,$A73,Assignments!$G$2:$G$769,"Active",Assignments!$AL$2:$AL$769,"&lt;="&amp;N$47,Assignments!$AM$2:$AM$769,"&gt;="&amp;N$47))</f>
        <v/>
      </c>
      <c r="O73" s="11">
        <f>IF($A73="","",SUMIFS(Assignments!$AK$2:$AK$769,Assignments!$A$2:$A$769,$A73,Assignments!$G$2:$G$769,"Active",Assignments!$AI$2:$AI$769,"&lt;="&amp;O$47,Assignments!$AJ$2:$AJ$769,"&gt;="&amp;O$47)+SUMIFS(Assignments!$AN$2:$AN$769,Assignments!$A$2:$A$769,$A73,Assignments!$G$2:$G$769,"Active",Assignments!$AL$2:$AL$769,"&lt;="&amp;O$47,Assignments!$AM$2:$AM$769,"&gt;="&amp;O$47))</f>
        <v/>
      </c>
      <c r="P73" s="11">
        <f>IF($A73="","",SUMIFS(Assignments!$AK$2:$AK$769,Assignments!$A$2:$A$769,$A73,Assignments!$G$2:$G$769,"Active",Assignments!$AI$2:$AI$769,"&lt;="&amp;P$47,Assignments!$AJ$2:$AJ$769,"&gt;="&amp;P$47)+SUMIFS(Assignments!$AN$2:$AN$769,Assignments!$A$2:$A$769,$A73,Assignments!$G$2:$G$769,"Active",Assignments!$AL$2:$AL$769,"&lt;="&amp;P$47,Assignments!$AM$2:$AM$769,"&gt;="&amp;P$47))</f>
        <v/>
      </c>
      <c r="Q73" s="11">
        <f>IF($A73="","",SUMIFS(Assignments!$AK$2:$AK$769,Assignments!$A$2:$A$769,$A73,Assignments!$G$2:$G$769,"Active",Assignments!$AI$2:$AI$769,"&lt;="&amp;Q$47,Assignments!$AJ$2:$AJ$769,"&gt;="&amp;Q$47)+SUMIFS(Assignments!$AN$2:$AN$769,Assignments!$A$2:$A$769,$A73,Assignments!$G$2:$G$769,"Active",Assignments!$AL$2:$AL$769,"&lt;="&amp;Q$47,Assignments!$AM$2:$AM$769,"&gt;="&amp;Q$47))</f>
        <v/>
      </c>
      <c r="R73" s="11">
        <f>IF($A73="","",SUMIFS(Assignments!$AK$2:$AK$769,Assignments!$A$2:$A$769,$A73,Assignments!$G$2:$G$769,"Active",Assignments!$AI$2:$AI$769,"&lt;="&amp;R$47,Assignments!$AJ$2:$AJ$769,"&gt;="&amp;R$47)+SUMIFS(Assignments!$AN$2:$AN$769,Assignments!$A$2:$A$769,$A73,Assignments!$G$2:$G$769,"Active",Assignments!$AL$2:$AL$769,"&lt;="&amp;R$47,Assignments!$AM$2:$AM$769,"&gt;="&amp;R$47))</f>
        <v/>
      </c>
      <c r="S73" s="11">
        <f>IF($A73="","",SUMIFS(Assignments!$AK$2:$AK$769,Assignments!$A$2:$A$769,$A73,Assignments!$G$2:$G$769,"Active",Assignments!$AI$2:$AI$769,"&lt;="&amp;S$47,Assignments!$AJ$2:$AJ$769,"&gt;="&amp;S$47)+SUMIFS(Assignments!$AN$2:$AN$769,Assignments!$A$2:$A$769,$A73,Assignments!$G$2:$G$769,"Active",Assignments!$AL$2:$AL$769,"&lt;="&amp;S$47,Assignments!$AM$2:$AM$769,"&gt;="&amp;S$47))</f>
        <v/>
      </c>
      <c r="T73" s="11">
        <f>IF($A73="","",SUMIFS(Assignments!$AK$2:$AK$769,Assignments!$A$2:$A$769,$A73,Assignments!$G$2:$G$769,"Active",Assignments!$AI$2:$AI$769,"&lt;="&amp;T$47,Assignments!$AJ$2:$AJ$769,"&gt;="&amp;T$47)+SUMIFS(Assignments!$AN$2:$AN$769,Assignments!$A$2:$A$769,$A73,Assignments!$G$2:$G$769,"Active",Assignments!$AL$2:$AL$769,"&lt;="&amp;T$47,Assignments!$AM$2:$AM$769,"&gt;="&amp;T$47))</f>
        <v/>
      </c>
      <c r="U73" s="11">
        <f>IF($A73="","",SUMIFS(Assignments!$AK$2:$AK$769,Assignments!$A$2:$A$769,$A73,Assignments!$G$2:$G$769,"Active",Assignments!$AI$2:$AI$769,"&lt;="&amp;U$47,Assignments!$AJ$2:$AJ$769,"&gt;="&amp;U$47)+SUMIFS(Assignments!$AN$2:$AN$769,Assignments!$A$2:$A$769,$A73,Assignments!$G$2:$G$769,"Active",Assignments!$AL$2:$AL$769,"&lt;="&amp;U$47,Assignments!$AM$2:$AM$769,"&gt;="&amp;U$47))</f>
        <v/>
      </c>
      <c r="V73" s="11">
        <f>IF($A73="","",SUMIFS(Assignments!$AK$2:$AK$769,Assignments!$A$2:$A$769,$A73,Assignments!$G$2:$G$769,"Active",Assignments!$AI$2:$AI$769,"&lt;="&amp;V$47,Assignments!$AJ$2:$AJ$769,"&gt;="&amp;V$47)+SUMIFS(Assignments!$AN$2:$AN$769,Assignments!$A$2:$A$769,$A73,Assignments!$G$2:$G$769,"Active",Assignments!$AL$2:$AL$769,"&lt;="&amp;V$47,Assignments!$AM$2:$AM$769,"&gt;="&amp;V$47))</f>
        <v/>
      </c>
      <c r="W73" s="11">
        <f>IF($A73="","",SUMIFS(Assignments!$AK$2:$AK$769,Assignments!$A$2:$A$769,$A73,Assignments!$G$2:$G$769,"Active",Assignments!$AI$2:$AI$769,"&lt;="&amp;W$47,Assignments!$AJ$2:$AJ$769,"&gt;="&amp;W$47)+SUMIFS(Assignments!$AN$2:$AN$769,Assignments!$A$2:$A$769,$A73,Assignments!$G$2:$G$769,"Active",Assignments!$AL$2:$AL$769,"&lt;="&amp;W$47,Assignments!$AM$2:$AM$769,"&gt;="&amp;W$47))</f>
        <v/>
      </c>
      <c r="X73" s="11">
        <f>IF($A73="","",SUMIFS(Assignments!$AK$2:$AK$769,Assignments!$A$2:$A$769,$A73,Assignments!$G$2:$G$769,"Active",Assignments!$AI$2:$AI$769,"&lt;="&amp;X$47,Assignments!$AJ$2:$AJ$769,"&gt;="&amp;X$47)+SUMIFS(Assignments!$AN$2:$AN$769,Assignments!$A$2:$A$769,$A73,Assignments!$G$2:$G$769,"Active",Assignments!$AL$2:$AL$769,"&lt;="&amp;X$47,Assignments!$AM$2:$AM$769,"&gt;="&amp;X$47))</f>
        <v/>
      </c>
      <c r="Y73" s="11">
        <f>IF($A73="","",SUMIFS(Assignments!$AK$2:$AK$769,Assignments!$A$2:$A$769,$A73,Assignments!$G$2:$G$769,"Active",Assignments!$AI$2:$AI$769,"&lt;="&amp;Y$47,Assignments!$AJ$2:$AJ$769,"&gt;="&amp;Y$47)+SUMIFS(Assignments!$AN$2:$AN$769,Assignments!$A$2:$A$769,$A73,Assignments!$G$2:$G$769,"Active",Assignments!$AL$2:$AL$769,"&lt;="&amp;Y$47,Assignments!$AM$2:$AM$769,"&gt;="&amp;Y$47))</f>
        <v/>
      </c>
      <c r="Z73" s="11">
        <f>IF($A73="","",SUMIFS(Assignments!$AK$2:$AK$769,Assignments!$A$2:$A$769,$A73,Assignments!$G$2:$G$769,"Active",Assignments!$AI$2:$AI$769,"&lt;="&amp;Z$47,Assignments!$AJ$2:$AJ$769,"&gt;="&amp;Z$47)+SUMIFS(Assignments!$AN$2:$AN$769,Assignments!$A$2:$A$769,$A73,Assignments!$G$2:$G$769,"Active",Assignments!$AL$2:$AL$769,"&lt;="&amp;Z$47,Assignments!$AM$2:$AM$769,"&gt;="&amp;Z$47))</f>
        <v/>
      </c>
      <c r="AA73" s="11">
        <f>IF($A73="","",SUMIFS(Assignments!$AK$2:$AK$769,Assignments!$A$2:$A$769,$A73,Assignments!$G$2:$G$769,"Active",Assignments!$AI$2:$AI$769,"&lt;="&amp;AA$47,Assignments!$AJ$2:$AJ$769,"&gt;="&amp;AA$47)+SUMIFS(Assignments!$AN$2:$AN$769,Assignments!$A$2:$A$769,$A73,Assignments!$G$2:$G$769,"Active",Assignments!$AL$2:$AL$769,"&lt;="&amp;AA$47,Assignments!$AM$2:$AM$769,"&gt;="&amp;AA$47))</f>
        <v/>
      </c>
      <c r="AB73" s="11">
        <f>IF($A73="","",SUMIFS(Assignments!$AK$2:$AK$769,Assignments!$A$2:$A$769,$A73,Assignments!$G$2:$G$769,"Active",Assignments!$AI$2:$AI$769,"&lt;="&amp;AB$47,Assignments!$AJ$2:$AJ$769,"&gt;="&amp;AB$47)+SUMIFS(Assignments!$AN$2:$AN$769,Assignments!$A$2:$A$769,$A73,Assignments!$G$2:$G$769,"Active",Assignments!$AL$2:$AL$769,"&lt;="&amp;AB$47,Assignments!$AM$2:$AM$769,"&gt;="&amp;AB$47))</f>
        <v/>
      </c>
    </row>
    <row r="74">
      <c r="A74" s="9">
        <f>IF(Roster!$A28="","",Roster!$A28)</f>
        <v/>
      </c>
      <c r="B74" s="10">
        <f>IF($A74="","",IFERROR(INDEX(Roster!$D$2:$D$40,MATCH($A74,Roster!$A$2:$A$40,0)),""))</f>
        <v/>
      </c>
      <c r="C74" s="11">
        <f>IF($A74="","",SUMIFS(Assignments!$AK$2:$AK$769,Assignments!$A$2:$A$769,$A74,Assignments!$G$2:$G$769,"Active",Assignments!$AI$2:$AI$769,"&lt;="&amp;C$47,Assignments!$AJ$2:$AJ$769,"&gt;="&amp;C$47)+SUMIFS(Assignments!$AN$2:$AN$769,Assignments!$A$2:$A$769,$A74,Assignments!$G$2:$G$769,"Active",Assignments!$AL$2:$AL$769,"&lt;="&amp;C$47,Assignments!$AM$2:$AM$769,"&gt;="&amp;C$47))</f>
        <v/>
      </c>
      <c r="D74" s="11">
        <f>IF($A74="","",SUMIFS(Assignments!$AK$2:$AK$769,Assignments!$A$2:$A$769,$A74,Assignments!$G$2:$G$769,"Active",Assignments!$AI$2:$AI$769,"&lt;="&amp;D$47,Assignments!$AJ$2:$AJ$769,"&gt;="&amp;D$47)+SUMIFS(Assignments!$AN$2:$AN$769,Assignments!$A$2:$A$769,$A74,Assignments!$G$2:$G$769,"Active",Assignments!$AL$2:$AL$769,"&lt;="&amp;D$47,Assignments!$AM$2:$AM$769,"&gt;="&amp;D$47))</f>
        <v/>
      </c>
      <c r="E74" s="11">
        <f>IF($A74="","",SUMIFS(Assignments!$AK$2:$AK$769,Assignments!$A$2:$A$769,$A74,Assignments!$G$2:$G$769,"Active",Assignments!$AI$2:$AI$769,"&lt;="&amp;E$47,Assignments!$AJ$2:$AJ$769,"&gt;="&amp;E$47)+SUMIFS(Assignments!$AN$2:$AN$769,Assignments!$A$2:$A$769,$A74,Assignments!$G$2:$G$769,"Active",Assignments!$AL$2:$AL$769,"&lt;="&amp;E$47,Assignments!$AM$2:$AM$769,"&gt;="&amp;E$47))</f>
        <v/>
      </c>
      <c r="F74" s="11">
        <f>IF($A74="","",SUMIFS(Assignments!$AK$2:$AK$769,Assignments!$A$2:$A$769,$A74,Assignments!$G$2:$G$769,"Active",Assignments!$AI$2:$AI$769,"&lt;="&amp;F$47,Assignments!$AJ$2:$AJ$769,"&gt;="&amp;F$47)+SUMIFS(Assignments!$AN$2:$AN$769,Assignments!$A$2:$A$769,$A74,Assignments!$G$2:$G$769,"Active",Assignments!$AL$2:$AL$769,"&lt;="&amp;F$47,Assignments!$AM$2:$AM$769,"&gt;="&amp;F$47))</f>
        <v/>
      </c>
      <c r="G74" s="11">
        <f>IF($A74="","",SUMIFS(Assignments!$AK$2:$AK$769,Assignments!$A$2:$A$769,$A74,Assignments!$G$2:$G$769,"Active",Assignments!$AI$2:$AI$769,"&lt;="&amp;G$47,Assignments!$AJ$2:$AJ$769,"&gt;="&amp;G$47)+SUMIFS(Assignments!$AN$2:$AN$769,Assignments!$A$2:$A$769,$A74,Assignments!$G$2:$G$769,"Active",Assignments!$AL$2:$AL$769,"&lt;="&amp;G$47,Assignments!$AM$2:$AM$769,"&gt;="&amp;G$47))</f>
        <v/>
      </c>
      <c r="H74" s="11">
        <f>IF($A74="","",SUMIFS(Assignments!$AK$2:$AK$769,Assignments!$A$2:$A$769,$A74,Assignments!$G$2:$G$769,"Active",Assignments!$AI$2:$AI$769,"&lt;="&amp;H$47,Assignments!$AJ$2:$AJ$769,"&gt;="&amp;H$47)+SUMIFS(Assignments!$AN$2:$AN$769,Assignments!$A$2:$A$769,$A74,Assignments!$G$2:$G$769,"Active",Assignments!$AL$2:$AL$769,"&lt;="&amp;H$47,Assignments!$AM$2:$AM$769,"&gt;="&amp;H$47))</f>
        <v/>
      </c>
      <c r="I74" s="11">
        <f>IF($A74="","",SUMIFS(Assignments!$AK$2:$AK$769,Assignments!$A$2:$A$769,$A74,Assignments!$G$2:$G$769,"Active",Assignments!$AI$2:$AI$769,"&lt;="&amp;I$47,Assignments!$AJ$2:$AJ$769,"&gt;="&amp;I$47)+SUMIFS(Assignments!$AN$2:$AN$769,Assignments!$A$2:$A$769,$A74,Assignments!$G$2:$G$769,"Active",Assignments!$AL$2:$AL$769,"&lt;="&amp;I$47,Assignments!$AM$2:$AM$769,"&gt;="&amp;I$47))</f>
        <v/>
      </c>
      <c r="J74" s="11">
        <f>IF($A74="","",SUMIFS(Assignments!$AK$2:$AK$769,Assignments!$A$2:$A$769,$A74,Assignments!$G$2:$G$769,"Active",Assignments!$AI$2:$AI$769,"&lt;="&amp;J$47,Assignments!$AJ$2:$AJ$769,"&gt;="&amp;J$47)+SUMIFS(Assignments!$AN$2:$AN$769,Assignments!$A$2:$A$769,$A74,Assignments!$G$2:$G$769,"Active",Assignments!$AL$2:$AL$769,"&lt;="&amp;J$47,Assignments!$AM$2:$AM$769,"&gt;="&amp;J$47))</f>
        <v/>
      </c>
      <c r="K74" s="11">
        <f>IF($A74="","",SUMIFS(Assignments!$AK$2:$AK$769,Assignments!$A$2:$A$769,$A74,Assignments!$G$2:$G$769,"Active",Assignments!$AI$2:$AI$769,"&lt;="&amp;K$47,Assignments!$AJ$2:$AJ$769,"&gt;="&amp;K$47)+SUMIFS(Assignments!$AN$2:$AN$769,Assignments!$A$2:$A$769,$A74,Assignments!$G$2:$G$769,"Active",Assignments!$AL$2:$AL$769,"&lt;="&amp;K$47,Assignments!$AM$2:$AM$769,"&gt;="&amp;K$47))</f>
        <v/>
      </c>
      <c r="L74" s="11">
        <f>IF($A74="","",SUMIFS(Assignments!$AK$2:$AK$769,Assignments!$A$2:$A$769,$A74,Assignments!$G$2:$G$769,"Active",Assignments!$AI$2:$AI$769,"&lt;="&amp;L$47,Assignments!$AJ$2:$AJ$769,"&gt;="&amp;L$47)+SUMIFS(Assignments!$AN$2:$AN$769,Assignments!$A$2:$A$769,$A74,Assignments!$G$2:$G$769,"Active",Assignments!$AL$2:$AL$769,"&lt;="&amp;L$47,Assignments!$AM$2:$AM$769,"&gt;="&amp;L$47))</f>
        <v/>
      </c>
      <c r="M74" s="11">
        <f>IF($A74="","",SUMIFS(Assignments!$AK$2:$AK$769,Assignments!$A$2:$A$769,$A74,Assignments!$G$2:$G$769,"Active",Assignments!$AI$2:$AI$769,"&lt;="&amp;M$47,Assignments!$AJ$2:$AJ$769,"&gt;="&amp;M$47)+SUMIFS(Assignments!$AN$2:$AN$769,Assignments!$A$2:$A$769,$A74,Assignments!$G$2:$G$769,"Active",Assignments!$AL$2:$AL$769,"&lt;="&amp;M$47,Assignments!$AM$2:$AM$769,"&gt;="&amp;M$47))</f>
        <v/>
      </c>
      <c r="N74" s="11">
        <f>IF($A74="","",SUMIFS(Assignments!$AK$2:$AK$769,Assignments!$A$2:$A$769,$A74,Assignments!$G$2:$G$769,"Active",Assignments!$AI$2:$AI$769,"&lt;="&amp;N$47,Assignments!$AJ$2:$AJ$769,"&gt;="&amp;N$47)+SUMIFS(Assignments!$AN$2:$AN$769,Assignments!$A$2:$A$769,$A74,Assignments!$G$2:$G$769,"Active",Assignments!$AL$2:$AL$769,"&lt;="&amp;N$47,Assignments!$AM$2:$AM$769,"&gt;="&amp;N$47))</f>
        <v/>
      </c>
      <c r="O74" s="11">
        <f>IF($A74="","",SUMIFS(Assignments!$AK$2:$AK$769,Assignments!$A$2:$A$769,$A74,Assignments!$G$2:$G$769,"Active",Assignments!$AI$2:$AI$769,"&lt;="&amp;O$47,Assignments!$AJ$2:$AJ$769,"&gt;="&amp;O$47)+SUMIFS(Assignments!$AN$2:$AN$769,Assignments!$A$2:$A$769,$A74,Assignments!$G$2:$G$769,"Active",Assignments!$AL$2:$AL$769,"&lt;="&amp;O$47,Assignments!$AM$2:$AM$769,"&gt;="&amp;O$47))</f>
        <v/>
      </c>
      <c r="P74" s="11">
        <f>IF($A74="","",SUMIFS(Assignments!$AK$2:$AK$769,Assignments!$A$2:$A$769,$A74,Assignments!$G$2:$G$769,"Active",Assignments!$AI$2:$AI$769,"&lt;="&amp;P$47,Assignments!$AJ$2:$AJ$769,"&gt;="&amp;P$47)+SUMIFS(Assignments!$AN$2:$AN$769,Assignments!$A$2:$A$769,$A74,Assignments!$G$2:$G$769,"Active",Assignments!$AL$2:$AL$769,"&lt;="&amp;P$47,Assignments!$AM$2:$AM$769,"&gt;="&amp;P$47))</f>
        <v/>
      </c>
      <c r="Q74" s="11">
        <f>IF($A74="","",SUMIFS(Assignments!$AK$2:$AK$769,Assignments!$A$2:$A$769,$A74,Assignments!$G$2:$G$769,"Active",Assignments!$AI$2:$AI$769,"&lt;="&amp;Q$47,Assignments!$AJ$2:$AJ$769,"&gt;="&amp;Q$47)+SUMIFS(Assignments!$AN$2:$AN$769,Assignments!$A$2:$A$769,$A74,Assignments!$G$2:$G$769,"Active",Assignments!$AL$2:$AL$769,"&lt;="&amp;Q$47,Assignments!$AM$2:$AM$769,"&gt;="&amp;Q$47))</f>
        <v/>
      </c>
      <c r="R74" s="11">
        <f>IF($A74="","",SUMIFS(Assignments!$AK$2:$AK$769,Assignments!$A$2:$A$769,$A74,Assignments!$G$2:$G$769,"Active",Assignments!$AI$2:$AI$769,"&lt;="&amp;R$47,Assignments!$AJ$2:$AJ$769,"&gt;="&amp;R$47)+SUMIFS(Assignments!$AN$2:$AN$769,Assignments!$A$2:$A$769,$A74,Assignments!$G$2:$G$769,"Active",Assignments!$AL$2:$AL$769,"&lt;="&amp;R$47,Assignments!$AM$2:$AM$769,"&gt;="&amp;R$47))</f>
        <v/>
      </c>
      <c r="S74" s="11">
        <f>IF($A74="","",SUMIFS(Assignments!$AK$2:$AK$769,Assignments!$A$2:$A$769,$A74,Assignments!$G$2:$G$769,"Active",Assignments!$AI$2:$AI$769,"&lt;="&amp;S$47,Assignments!$AJ$2:$AJ$769,"&gt;="&amp;S$47)+SUMIFS(Assignments!$AN$2:$AN$769,Assignments!$A$2:$A$769,$A74,Assignments!$G$2:$G$769,"Active",Assignments!$AL$2:$AL$769,"&lt;="&amp;S$47,Assignments!$AM$2:$AM$769,"&gt;="&amp;S$47))</f>
        <v/>
      </c>
      <c r="T74" s="11">
        <f>IF($A74="","",SUMIFS(Assignments!$AK$2:$AK$769,Assignments!$A$2:$A$769,$A74,Assignments!$G$2:$G$769,"Active",Assignments!$AI$2:$AI$769,"&lt;="&amp;T$47,Assignments!$AJ$2:$AJ$769,"&gt;="&amp;T$47)+SUMIFS(Assignments!$AN$2:$AN$769,Assignments!$A$2:$A$769,$A74,Assignments!$G$2:$G$769,"Active",Assignments!$AL$2:$AL$769,"&lt;="&amp;T$47,Assignments!$AM$2:$AM$769,"&gt;="&amp;T$47))</f>
        <v/>
      </c>
      <c r="U74" s="11">
        <f>IF($A74="","",SUMIFS(Assignments!$AK$2:$AK$769,Assignments!$A$2:$A$769,$A74,Assignments!$G$2:$G$769,"Active",Assignments!$AI$2:$AI$769,"&lt;="&amp;U$47,Assignments!$AJ$2:$AJ$769,"&gt;="&amp;U$47)+SUMIFS(Assignments!$AN$2:$AN$769,Assignments!$A$2:$A$769,$A74,Assignments!$G$2:$G$769,"Active",Assignments!$AL$2:$AL$769,"&lt;="&amp;U$47,Assignments!$AM$2:$AM$769,"&gt;="&amp;U$47))</f>
        <v/>
      </c>
      <c r="V74" s="11">
        <f>IF($A74="","",SUMIFS(Assignments!$AK$2:$AK$769,Assignments!$A$2:$A$769,$A74,Assignments!$G$2:$G$769,"Active",Assignments!$AI$2:$AI$769,"&lt;="&amp;V$47,Assignments!$AJ$2:$AJ$769,"&gt;="&amp;V$47)+SUMIFS(Assignments!$AN$2:$AN$769,Assignments!$A$2:$A$769,$A74,Assignments!$G$2:$G$769,"Active",Assignments!$AL$2:$AL$769,"&lt;="&amp;V$47,Assignments!$AM$2:$AM$769,"&gt;="&amp;V$47))</f>
        <v/>
      </c>
      <c r="W74" s="11">
        <f>IF($A74="","",SUMIFS(Assignments!$AK$2:$AK$769,Assignments!$A$2:$A$769,$A74,Assignments!$G$2:$G$769,"Active",Assignments!$AI$2:$AI$769,"&lt;="&amp;W$47,Assignments!$AJ$2:$AJ$769,"&gt;="&amp;W$47)+SUMIFS(Assignments!$AN$2:$AN$769,Assignments!$A$2:$A$769,$A74,Assignments!$G$2:$G$769,"Active",Assignments!$AL$2:$AL$769,"&lt;="&amp;W$47,Assignments!$AM$2:$AM$769,"&gt;="&amp;W$47))</f>
        <v/>
      </c>
      <c r="X74" s="11">
        <f>IF($A74="","",SUMIFS(Assignments!$AK$2:$AK$769,Assignments!$A$2:$A$769,$A74,Assignments!$G$2:$G$769,"Active",Assignments!$AI$2:$AI$769,"&lt;="&amp;X$47,Assignments!$AJ$2:$AJ$769,"&gt;="&amp;X$47)+SUMIFS(Assignments!$AN$2:$AN$769,Assignments!$A$2:$A$769,$A74,Assignments!$G$2:$G$769,"Active",Assignments!$AL$2:$AL$769,"&lt;="&amp;X$47,Assignments!$AM$2:$AM$769,"&gt;="&amp;X$47))</f>
        <v/>
      </c>
      <c r="Y74" s="11">
        <f>IF($A74="","",SUMIFS(Assignments!$AK$2:$AK$769,Assignments!$A$2:$A$769,$A74,Assignments!$G$2:$G$769,"Active",Assignments!$AI$2:$AI$769,"&lt;="&amp;Y$47,Assignments!$AJ$2:$AJ$769,"&gt;="&amp;Y$47)+SUMIFS(Assignments!$AN$2:$AN$769,Assignments!$A$2:$A$769,$A74,Assignments!$G$2:$G$769,"Active",Assignments!$AL$2:$AL$769,"&lt;="&amp;Y$47,Assignments!$AM$2:$AM$769,"&gt;="&amp;Y$47))</f>
        <v/>
      </c>
      <c r="Z74" s="11">
        <f>IF($A74="","",SUMIFS(Assignments!$AK$2:$AK$769,Assignments!$A$2:$A$769,$A74,Assignments!$G$2:$G$769,"Active",Assignments!$AI$2:$AI$769,"&lt;="&amp;Z$47,Assignments!$AJ$2:$AJ$769,"&gt;="&amp;Z$47)+SUMIFS(Assignments!$AN$2:$AN$769,Assignments!$A$2:$A$769,$A74,Assignments!$G$2:$G$769,"Active",Assignments!$AL$2:$AL$769,"&lt;="&amp;Z$47,Assignments!$AM$2:$AM$769,"&gt;="&amp;Z$47))</f>
        <v/>
      </c>
      <c r="AA74" s="11">
        <f>IF($A74="","",SUMIFS(Assignments!$AK$2:$AK$769,Assignments!$A$2:$A$769,$A74,Assignments!$G$2:$G$769,"Active",Assignments!$AI$2:$AI$769,"&lt;="&amp;AA$47,Assignments!$AJ$2:$AJ$769,"&gt;="&amp;AA$47)+SUMIFS(Assignments!$AN$2:$AN$769,Assignments!$A$2:$A$769,$A74,Assignments!$G$2:$G$769,"Active",Assignments!$AL$2:$AL$769,"&lt;="&amp;AA$47,Assignments!$AM$2:$AM$769,"&gt;="&amp;AA$47))</f>
        <v/>
      </c>
      <c r="AB74" s="11">
        <f>IF($A74="","",SUMIFS(Assignments!$AK$2:$AK$769,Assignments!$A$2:$A$769,$A74,Assignments!$G$2:$G$769,"Active",Assignments!$AI$2:$AI$769,"&lt;="&amp;AB$47,Assignments!$AJ$2:$AJ$769,"&gt;="&amp;AB$47)+SUMIFS(Assignments!$AN$2:$AN$769,Assignments!$A$2:$A$769,$A74,Assignments!$G$2:$G$769,"Active",Assignments!$AL$2:$AL$769,"&lt;="&amp;AB$47,Assignments!$AM$2:$AM$769,"&gt;="&amp;AB$47))</f>
        <v/>
      </c>
    </row>
    <row r="75">
      <c r="A75" s="9">
        <f>IF(Roster!$A29="","",Roster!$A29)</f>
        <v/>
      </c>
      <c r="B75" s="10">
        <f>IF($A75="","",IFERROR(INDEX(Roster!$D$2:$D$40,MATCH($A75,Roster!$A$2:$A$40,0)),""))</f>
        <v/>
      </c>
      <c r="C75" s="11">
        <f>IF($A75="","",SUMIFS(Assignments!$AK$2:$AK$769,Assignments!$A$2:$A$769,$A75,Assignments!$G$2:$G$769,"Active",Assignments!$AI$2:$AI$769,"&lt;="&amp;C$47,Assignments!$AJ$2:$AJ$769,"&gt;="&amp;C$47)+SUMIFS(Assignments!$AN$2:$AN$769,Assignments!$A$2:$A$769,$A75,Assignments!$G$2:$G$769,"Active",Assignments!$AL$2:$AL$769,"&lt;="&amp;C$47,Assignments!$AM$2:$AM$769,"&gt;="&amp;C$47))</f>
        <v/>
      </c>
      <c r="D75" s="11">
        <f>IF($A75="","",SUMIFS(Assignments!$AK$2:$AK$769,Assignments!$A$2:$A$769,$A75,Assignments!$G$2:$G$769,"Active",Assignments!$AI$2:$AI$769,"&lt;="&amp;D$47,Assignments!$AJ$2:$AJ$769,"&gt;="&amp;D$47)+SUMIFS(Assignments!$AN$2:$AN$769,Assignments!$A$2:$A$769,$A75,Assignments!$G$2:$G$769,"Active",Assignments!$AL$2:$AL$769,"&lt;="&amp;D$47,Assignments!$AM$2:$AM$769,"&gt;="&amp;D$47))</f>
        <v/>
      </c>
      <c r="E75" s="11">
        <f>IF($A75="","",SUMIFS(Assignments!$AK$2:$AK$769,Assignments!$A$2:$A$769,$A75,Assignments!$G$2:$G$769,"Active",Assignments!$AI$2:$AI$769,"&lt;="&amp;E$47,Assignments!$AJ$2:$AJ$769,"&gt;="&amp;E$47)+SUMIFS(Assignments!$AN$2:$AN$769,Assignments!$A$2:$A$769,$A75,Assignments!$G$2:$G$769,"Active",Assignments!$AL$2:$AL$769,"&lt;="&amp;E$47,Assignments!$AM$2:$AM$769,"&gt;="&amp;E$47))</f>
        <v/>
      </c>
      <c r="F75" s="11">
        <f>IF($A75="","",SUMIFS(Assignments!$AK$2:$AK$769,Assignments!$A$2:$A$769,$A75,Assignments!$G$2:$G$769,"Active",Assignments!$AI$2:$AI$769,"&lt;="&amp;F$47,Assignments!$AJ$2:$AJ$769,"&gt;="&amp;F$47)+SUMIFS(Assignments!$AN$2:$AN$769,Assignments!$A$2:$A$769,$A75,Assignments!$G$2:$G$769,"Active",Assignments!$AL$2:$AL$769,"&lt;="&amp;F$47,Assignments!$AM$2:$AM$769,"&gt;="&amp;F$47))</f>
        <v/>
      </c>
      <c r="G75" s="11">
        <f>IF($A75="","",SUMIFS(Assignments!$AK$2:$AK$769,Assignments!$A$2:$A$769,$A75,Assignments!$G$2:$G$769,"Active",Assignments!$AI$2:$AI$769,"&lt;="&amp;G$47,Assignments!$AJ$2:$AJ$769,"&gt;="&amp;G$47)+SUMIFS(Assignments!$AN$2:$AN$769,Assignments!$A$2:$A$769,$A75,Assignments!$G$2:$G$769,"Active",Assignments!$AL$2:$AL$769,"&lt;="&amp;G$47,Assignments!$AM$2:$AM$769,"&gt;="&amp;G$47))</f>
        <v/>
      </c>
      <c r="H75" s="11">
        <f>IF($A75="","",SUMIFS(Assignments!$AK$2:$AK$769,Assignments!$A$2:$A$769,$A75,Assignments!$G$2:$G$769,"Active",Assignments!$AI$2:$AI$769,"&lt;="&amp;H$47,Assignments!$AJ$2:$AJ$769,"&gt;="&amp;H$47)+SUMIFS(Assignments!$AN$2:$AN$769,Assignments!$A$2:$A$769,$A75,Assignments!$G$2:$G$769,"Active",Assignments!$AL$2:$AL$769,"&lt;="&amp;H$47,Assignments!$AM$2:$AM$769,"&gt;="&amp;H$47))</f>
        <v/>
      </c>
      <c r="I75" s="11">
        <f>IF($A75="","",SUMIFS(Assignments!$AK$2:$AK$769,Assignments!$A$2:$A$769,$A75,Assignments!$G$2:$G$769,"Active",Assignments!$AI$2:$AI$769,"&lt;="&amp;I$47,Assignments!$AJ$2:$AJ$769,"&gt;="&amp;I$47)+SUMIFS(Assignments!$AN$2:$AN$769,Assignments!$A$2:$A$769,$A75,Assignments!$G$2:$G$769,"Active",Assignments!$AL$2:$AL$769,"&lt;="&amp;I$47,Assignments!$AM$2:$AM$769,"&gt;="&amp;I$47))</f>
        <v/>
      </c>
      <c r="J75" s="11">
        <f>IF($A75="","",SUMIFS(Assignments!$AK$2:$AK$769,Assignments!$A$2:$A$769,$A75,Assignments!$G$2:$G$769,"Active",Assignments!$AI$2:$AI$769,"&lt;="&amp;J$47,Assignments!$AJ$2:$AJ$769,"&gt;="&amp;J$47)+SUMIFS(Assignments!$AN$2:$AN$769,Assignments!$A$2:$A$769,$A75,Assignments!$G$2:$G$769,"Active",Assignments!$AL$2:$AL$769,"&lt;="&amp;J$47,Assignments!$AM$2:$AM$769,"&gt;="&amp;J$47))</f>
        <v/>
      </c>
      <c r="K75" s="11">
        <f>IF($A75="","",SUMIFS(Assignments!$AK$2:$AK$769,Assignments!$A$2:$A$769,$A75,Assignments!$G$2:$G$769,"Active",Assignments!$AI$2:$AI$769,"&lt;="&amp;K$47,Assignments!$AJ$2:$AJ$769,"&gt;="&amp;K$47)+SUMIFS(Assignments!$AN$2:$AN$769,Assignments!$A$2:$A$769,$A75,Assignments!$G$2:$G$769,"Active",Assignments!$AL$2:$AL$769,"&lt;="&amp;K$47,Assignments!$AM$2:$AM$769,"&gt;="&amp;K$47))</f>
        <v/>
      </c>
      <c r="L75" s="11">
        <f>IF($A75="","",SUMIFS(Assignments!$AK$2:$AK$769,Assignments!$A$2:$A$769,$A75,Assignments!$G$2:$G$769,"Active",Assignments!$AI$2:$AI$769,"&lt;="&amp;L$47,Assignments!$AJ$2:$AJ$769,"&gt;="&amp;L$47)+SUMIFS(Assignments!$AN$2:$AN$769,Assignments!$A$2:$A$769,$A75,Assignments!$G$2:$G$769,"Active",Assignments!$AL$2:$AL$769,"&lt;="&amp;L$47,Assignments!$AM$2:$AM$769,"&gt;="&amp;L$47))</f>
        <v/>
      </c>
      <c r="M75" s="11">
        <f>IF($A75="","",SUMIFS(Assignments!$AK$2:$AK$769,Assignments!$A$2:$A$769,$A75,Assignments!$G$2:$G$769,"Active",Assignments!$AI$2:$AI$769,"&lt;="&amp;M$47,Assignments!$AJ$2:$AJ$769,"&gt;="&amp;M$47)+SUMIFS(Assignments!$AN$2:$AN$769,Assignments!$A$2:$A$769,$A75,Assignments!$G$2:$G$769,"Active",Assignments!$AL$2:$AL$769,"&lt;="&amp;M$47,Assignments!$AM$2:$AM$769,"&gt;="&amp;M$47))</f>
        <v/>
      </c>
      <c r="N75" s="11">
        <f>IF($A75="","",SUMIFS(Assignments!$AK$2:$AK$769,Assignments!$A$2:$A$769,$A75,Assignments!$G$2:$G$769,"Active",Assignments!$AI$2:$AI$769,"&lt;="&amp;N$47,Assignments!$AJ$2:$AJ$769,"&gt;="&amp;N$47)+SUMIFS(Assignments!$AN$2:$AN$769,Assignments!$A$2:$A$769,$A75,Assignments!$G$2:$G$769,"Active",Assignments!$AL$2:$AL$769,"&lt;="&amp;N$47,Assignments!$AM$2:$AM$769,"&gt;="&amp;N$47))</f>
        <v/>
      </c>
      <c r="O75" s="11">
        <f>IF($A75="","",SUMIFS(Assignments!$AK$2:$AK$769,Assignments!$A$2:$A$769,$A75,Assignments!$G$2:$G$769,"Active",Assignments!$AI$2:$AI$769,"&lt;="&amp;O$47,Assignments!$AJ$2:$AJ$769,"&gt;="&amp;O$47)+SUMIFS(Assignments!$AN$2:$AN$769,Assignments!$A$2:$A$769,$A75,Assignments!$G$2:$G$769,"Active",Assignments!$AL$2:$AL$769,"&lt;="&amp;O$47,Assignments!$AM$2:$AM$769,"&gt;="&amp;O$47))</f>
        <v/>
      </c>
      <c r="P75" s="11">
        <f>IF($A75="","",SUMIFS(Assignments!$AK$2:$AK$769,Assignments!$A$2:$A$769,$A75,Assignments!$G$2:$G$769,"Active",Assignments!$AI$2:$AI$769,"&lt;="&amp;P$47,Assignments!$AJ$2:$AJ$769,"&gt;="&amp;P$47)+SUMIFS(Assignments!$AN$2:$AN$769,Assignments!$A$2:$A$769,$A75,Assignments!$G$2:$G$769,"Active",Assignments!$AL$2:$AL$769,"&lt;="&amp;P$47,Assignments!$AM$2:$AM$769,"&gt;="&amp;P$47))</f>
        <v/>
      </c>
      <c r="Q75" s="11">
        <f>IF($A75="","",SUMIFS(Assignments!$AK$2:$AK$769,Assignments!$A$2:$A$769,$A75,Assignments!$G$2:$G$769,"Active",Assignments!$AI$2:$AI$769,"&lt;="&amp;Q$47,Assignments!$AJ$2:$AJ$769,"&gt;="&amp;Q$47)+SUMIFS(Assignments!$AN$2:$AN$769,Assignments!$A$2:$A$769,$A75,Assignments!$G$2:$G$769,"Active",Assignments!$AL$2:$AL$769,"&lt;="&amp;Q$47,Assignments!$AM$2:$AM$769,"&gt;="&amp;Q$47))</f>
        <v/>
      </c>
      <c r="R75" s="11">
        <f>IF($A75="","",SUMIFS(Assignments!$AK$2:$AK$769,Assignments!$A$2:$A$769,$A75,Assignments!$G$2:$G$769,"Active",Assignments!$AI$2:$AI$769,"&lt;="&amp;R$47,Assignments!$AJ$2:$AJ$769,"&gt;="&amp;R$47)+SUMIFS(Assignments!$AN$2:$AN$769,Assignments!$A$2:$A$769,$A75,Assignments!$G$2:$G$769,"Active",Assignments!$AL$2:$AL$769,"&lt;="&amp;R$47,Assignments!$AM$2:$AM$769,"&gt;="&amp;R$47))</f>
        <v/>
      </c>
      <c r="S75" s="11">
        <f>IF($A75="","",SUMIFS(Assignments!$AK$2:$AK$769,Assignments!$A$2:$A$769,$A75,Assignments!$G$2:$G$769,"Active",Assignments!$AI$2:$AI$769,"&lt;="&amp;S$47,Assignments!$AJ$2:$AJ$769,"&gt;="&amp;S$47)+SUMIFS(Assignments!$AN$2:$AN$769,Assignments!$A$2:$A$769,$A75,Assignments!$G$2:$G$769,"Active",Assignments!$AL$2:$AL$769,"&lt;="&amp;S$47,Assignments!$AM$2:$AM$769,"&gt;="&amp;S$47))</f>
        <v/>
      </c>
      <c r="T75" s="11">
        <f>IF($A75="","",SUMIFS(Assignments!$AK$2:$AK$769,Assignments!$A$2:$A$769,$A75,Assignments!$G$2:$G$769,"Active",Assignments!$AI$2:$AI$769,"&lt;="&amp;T$47,Assignments!$AJ$2:$AJ$769,"&gt;="&amp;T$47)+SUMIFS(Assignments!$AN$2:$AN$769,Assignments!$A$2:$A$769,$A75,Assignments!$G$2:$G$769,"Active",Assignments!$AL$2:$AL$769,"&lt;="&amp;T$47,Assignments!$AM$2:$AM$769,"&gt;="&amp;T$47))</f>
        <v/>
      </c>
      <c r="U75" s="11">
        <f>IF($A75="","",SUMIFS(Assignments!$AK$2:$AK$769,Assignments!$A$2:$A$769,$A75,Assignments!$G$2:$G$769,"Active",Assignments!$AI$2:$AI$769,"&lt;="&amp;U$47,Assignments!$AJ$2:$AJ$769,"&gt;="&amp;U$47)+SUMIFS(Assignments!$AN$2:$AN$769,Assignments!$A$2:$A$769,$A75,Assignments!$G$2:$G$769,"Active",Assignments!$AL$2:$AL$769,"&lt;="&amp;U$47,Assignments!$AM$2:$AM$769,"&gt;="&amp;U$47))</f>
        <v/>
      </c>
      <c r="V75" s="11">
        <f>IF($A75="","",SUMIFS(Assignments!$AK$2:$AK$769,Assignments!$A$2:$A$769,$A75,Assignments!$G$2:$G$769,"Active",Assignments!$AI$2:$AI$769,"&lt;="&amp;V$47,Assignments!$AJ$2:$AJ$769,"&gt;="&amp;V$47)+SUMIFS(Assignments!$AN$2:$AN$769,Assignments!$A$2:$A$769,$A75,Assignments!$G$2:$G$769,"Active",Assignments!$AL$2:$AL$769,"&lt;="&amp;V$47,Assignments!$AM$2:$AM$769,"&gt;="&amp;V$47))</f>
        <v/>
      </c>
      <c r="W75" s="11">
        <f>IF($A75="","",SUMIFS(Assignments!$AK$2:$AK$769,Assignments!$A$2:$A$769,$A75,Assignments!$G$2:$G$769,"Active",Assignments!$AI$2:$AI$769,"&lt;="&amp;W$47,Assignments!$AJ$2:$AJ$769,"&gt;="&amp;W$47)+SUMIFS(Assignments!$AN$2:$AN$769,Assignments!$A$2:$A$769,$A75,Assignments!$G$2:$G$769,"Active",Assignments!$AL$2:$AL$769,"&lt;="&amp;W$47,Assignments!$AM$2:$AM$769,"&gt;="&amp;W$47))</f>
        <v/>
      </c>
      <c r="X75" s="11">
        <f>IF($A75="","",SUMIFS(Assignments!$AK$2:$AK$769,Assignments!$A$2:$A$769,$A75,Assignments!$G$2:$G$769,"Active",Assignments!$AI$2:$AI$769,"&lt;="&amp;X$47,Assignments!$AJ$2:$AJ$769,"&gt;="&amp;X$47)+SUMIFS(Assignments!$AN$2:$AN$769,Assignments!$A$2:$A$769,$A75,Assignments!$G$2:$G$769,"Active",Assignments!$AL$2:$AL$769,"&lt;="&amp;X$47,Assignments!$AM$2:$AM$769,"&gt;="&amp;X$47))</f>
        <v/>
      </c>
      <c r="Y75" s="11">
        <f>IF($A75="","",SUMIFS(Assignments!$AK$2:$AK$769,Assignments!$A$2:$A$769,$A75,Assignments!$G$2:$G$769,"Active",Assignments!$AI$2:$AI$769,"&lt;="&amp;Y$47,Assignments!$AJ$2:$AJ$769,"&gt;="&amp;Y$47)+SUMIFS(Assignments!$AN$2:$AN$769,Assignments!$A$2:$A$769,$A75,Assignments!$G$2:$G$769,"Active",Assignments!$AL$2:$AL$769,"&lt;="&amp;Y$47,Assignments!$AM$2:$AM$769,"&gt;="&amp;Y$47))</f>
        <v/>
      </c>
      <c r="Z75" s="11">
        <f>IF($A75="","",SUMIFS(Assignments!$AK$2:$AK$769,Assignments!$A$2:$A$769,$A75,Assignments!$G$2:$G$769,"Active",Assignments!$AI$2:$AI$769,"&lt;="&amp;Z$47,Assignments!$AJ$2:$AJ$769,"&gt;="&amp;Z$47)+SUMIFS(Assignments!$AN$2:$AN$769,Assignments!$A$2:$A$769,$A75,Assignments!$G$2:$G$769,"Active",Assignments!$AL$2:$AL$769,"&lt;="&amp;Z$47,Assignments!$AM$2:$AM$769,"&gt;="&amp;Z$47))</f>
        <v/>
      </c>
      <c r="AA75" s="11">
        <f>IF($A75="","",SUMIFS(Assignments!$AK$2:$AK$769,Assignments!$A$2:$A$769,$A75,Assignments!$G$2:$G$769,"Active",Assignments!$AI$2:$AI$769,"&lt;="&amp;AA$47,Assignments!$AJ$2:$AJ$769,"&gt;="&amp;AA$47)+SUMIFS(Assignments!$AN$2:$AN$769,Assignments!$A$2:$A$769,$A75,Assignments!$G$2:$G$769,"Active",Assignments!$AL$2:$AL$769,"&lt;="&amp;AA$47,Assignments!$AM$2:$AM$769,"&gt;="&amp;AA$47))</f>
        <v/>
      </c>
      <c r="AB75" s="11">
        <f>IF($A75="","",SUMIFS(Assignments!$AK$2:$AK$769,Assignments!$A$2:$A$769,$A75,Assignments!$G$2:$G$769,"Active",Assignments!$AI$2:$AI$769,"&lt;="&amp;AB$47,Assignments!$AJ$2:$AJ$769,"&gt;="&amp;AB$47)+SUMIFS(Assignments!$AN$2:$AN$769,Assignments!$A$2:$A$769,$A75,Assignments!$G$2:$G$769,"Active",Assignments!$AL$2:$AL$769,"&lt;="&amp;AB$47,Assignments!$AM$2:$AM$769,"&gt;="&amp;AB$47))</f>
        <v/>
      </c>
    </row>
    <row r="76">
      <c r="A76" s="9">
        <f>IF(Roster!$A30="","",Roster!$A30)</f>
        <v/>
      </c>
      <c r="B76" s="10">
        <f>IF($A76="","",IFERROR(INDEX(Roster!$D$2:$D$40,MATCH($A76,Roster!$A$2:$A$40,0)),""))</f>
        <v/>
      </c>
      <c r="C76" s="11">
        <f>IF($A76="","",SUMIFS(Assignments!$AK$2:$AK$769,Assignments!$A$2:$A$769,$A76,Assignments!$G$2:$G$769,"Active",Assignments!$AI$2:$AI$769,"&lt;="&amp;C$47,Assignments!$AJ$2:$AJ$769,"&gt;="&amp;C$47)+SUMIFS(Assignments!$AN$2:$AN$769,Assignments!$A$2:$A$769,$A76,Assignments!$G$2:$G$769,"Active",Assignments!$AL$2:$AL$769,"&lt;="&amp;C$47,Assignments!$AM$2:$AM$769,"&gt;="&amp;C$47))</f>
        <v/>
      </c>
      <c r="D76" s="11">
        <f>IF($A76="","",SUMIFS(Assignments!$AK$2:$AK$769,Assignments!$A$2:$A$769,$A76,Assignments!$G$2:$G$769,"Active",Assignments!$AI$2:$AI$769,"&lt;="&amp;D$47,Assignments!$AJ$2:$AJ$769,"&gt;="&amp;D$47)+SUMIFS(Assignments!$AN$2:$AN$769,Assignments!$A$2:$A$769,$A76,Assignments!$G$2:$G$769,"Active",Assignments!$AL$2:$AL$769,"&lt;="&amp;D$47,Assignments!$AM$2:$AM$769,"&gt;="&amp;D$47))</f>
        <v/>
      </c>
      <c r="E76" s="11">
        <f>IF($A76="","",SUMIFS(Assignments!$AK$2:$AK$769,Assignments!$A$2:$A$769,$A76,Assignments!$G$2:$G$769,"Active",Assignments!$AI$2:$AI$769,"&lt;="&amp;E$47,Assignments!$AJ$2:$AJ$769,"&gt;="&amp;E$47)+SUMIFS(Assignments!$AN$2:$AN$769,Assignments!$A$2:$A$769,$A76,Assignments!$G$2:$G$769,"Active",Assignments!$AL$2:$AL$769,"&lt;="&amp;E$47,Assignments!$AM$2:$AM$769,"&gt;="&amp;E$47))</f>
        <v/>
      </c>
      <c r="F76" s="11">
        <f>IF($A76="","",SUMIFS(Assignments!$AK$2:$AK$769,Assignments!$A$2:$A$769,$A76,Assignments!$G$2:$G$769,"Active",Assignments!$AI$2:$AI$769,"&lt;="&amp;F$47,Assignments!$AJ$2:$AJ$769,"&gt;="&amp;F$47)+SUMIFS(Assignments!$AN$2:$AN$769,Assignments!$A$2:$A$769,$A76,Assignments!$G$2:$G$769,"Active",Assignments!$AL$2:$AL$769,"&lt;="&amp;F$47,Assignments!$AM$2:$AM$769,"&gt;="&amp;F$47))</f>
        <v/>
      </c>
      <c r="G76" s="11">
        <f>IF($A76="","",SUMIFS(Assignments!$AK$2:$AK$769,Assignments!$A$2:$A$769,$A76,Assignments!$G$2:$G$769,"Active",Assignments!$AI$2:$AI$769,"&lt;="&amp;G$47,Assignments!$AJ$2:$AJ$769,"&gt;="&amp;G$47)+SUMIFS(Assignments!$AN$2:$AN$769,Assignments!$A$2:$A$769,$A76,Assignments!$G$2:$G$769,"Active",Assignments!$AL$2:$AL$769,"&lt;="&amp;G$47,Assignments!$AM$2:$AM$769,"&gt;="&amp;G$47))</f>
        <v/>
      </c>
      <c r="H76" s="11">
        <f>IF($A76="","",SUMIFS(Assignments!$AK$2:$AK$769,Assignments!$A$2:$A$769,$A76,Assignments!$G$2:$G$769,"Active",Assignments!$AI$2:$AI$769,"&lt;="&amp;H$47,Assignments!$AJ$2:$AJ$769,"&gt;="&amp;H$47)+SUMIFS(Assignments!$AN$2:$AN$769,Assignments!$A$2:$A$769,$A76,Assignments!$G$2:$G$769,"Active",Assignments!$AL$2:$AL$769,"&lt;="&amp;H$47,Assignments!$AM$2:$AM$769,"&gt;="&amp;H$47))</f>
        <v/>
      </c>
      <c r="I76" s="11">
        <f>IF($A76="","",SUMIFS(Assignments!$AK$2:$AK$769,Assignments!$A$2:$A$769,$A76,Assignments!$G$2:$G$769,"Active",Assignments!$AI$2:$AI$769,"&lt;="&amp;I$47,Assignments!$AJ$2:$AJ$769,"&gt;="&amp;I$47)+SUMIFS(Assignments!$AN$2:$AN$769,Assignments!$A$2:$A$769,$A76,Assignments!$G$2:$G$769,"Active",Assignments!$AL$2:$AL$769,"&lt;="&amp;I$47,Assignments!$AM$2:$AM$769,"&gt;="&amp;I$47))</f>
        <v/>
      </c>
      <c r="J76" s="11">
        <f>IF($A76="","",SUMIFS(Assignments!$AK$2:$AK$769,Assignments!$A$2:$A$769,$A76,Assignments!$G$2:$G$769,"Active",Assignments!$AI$2:$AI$769,"&lt;="&amp;J$47,Assignments!$AJ$2:$AJ$769,"&gt;="&amp;J$47)+SUMIFS(Assignments!$AN$2:$AN$769,Assignments!$A$2:$A$769,$A76,Assignments!$G$2:$G$769,"Active",Assignments!$AL$2:$AL$769,"&lt;="&amp;J$47,Assignments!$AM$2:$AM$769,"&gt;="&amp;J$47))</f>
        <v/>
      </c>
      <c r="K76" s="11">
        <f>IF($A76="","",SUMIFS(Assignments!$AK$2:$AK$769,Assignments!$A$2:$A$769,$A76,Assignments!$G$2:$G$769,"Active",Assignments!$AI$2:$AI$769,"&lt;="&amp;K$47,Assignments!$AJ$2:$AJ$769,"&gt;="&amp;K$47)+SUMIFS(Assignments!$AN$2:$AN$769,Assignments!$A$2:$A$769,$A76,Assignments!$G$2:$G$769,"Active",Assignments!$AL$2:$AL$769,"&lt;="&amp;K$47,Assignments!$AM$2:$AM$769,"&gt;="&amp;K$47))</f>
        <v/>
      </c>
      <c r="L76" s="11">
        <f>IF($A76="","",SUMIFS(Assignments!$AK$2:$AK$769,Assignments!$A$2:$A$769,$A76,Assignments!$G$2:$G$769,"Active",Assignments!$AI$2:$AI$769,"&lt;="&amp;L$47,Assignments!$AJ$2:$AJ$769,"&gt;="&amp;L$47)+SUMIFS(Assignments!$AN$2:$AN$769,Assignments!$A$2:$A$769,$A76,Assignments!$G$2:$G$769,"Active",Assignments!$AL$2:$AL$769,"&lt;="&amp;L$47,Assignments!$AM$2:$AM$769,"&gt;="&amp;L$47))</f>
        <v/>
      </c>
      <c r="M76" s="11">
        <f>IF($A76="","",SUMIFS(Assignments!$AK$2:$AK$769,Assignments!$A$2:$A$769,$A76,Assignments!$G$2:$G$769,"Active",Assignments!$AI$2:$AI$769,"&lt;="&amp;M$47,Assignments!$AJ$2:$AJ$769,"&gt;="&amp;M$47)+SUMIFS(Assignments!$AN$2:$AN$769,Assignments!$A$2:$A$769,$A76,Assignments!$G$2:$G$769,"Active",Assignments!$AL$2:$AL$769,"&lt;="&amp;M$47,Assignments!$AM$2:$AM$769,"&gt;="&amp;M$47))</f>
        <v/>
      </c>
      <c r="N76" s="11">
        <f>IF($A76="","",SUMIFS(Assignments!$AK$2:$AK$769,Assignments!$A$2:$A$769,$A76,Assignments!$G$2:$G$769,"Active",Assignments!$AI$2:$AI$769,"&lt;="&amp;N$47,Assignments!$AJ$2:$AJ$769,"&gt;="&amp;N$47)+SUMIFS(Assignments!$AN$2:$AN$769,Assignments!$A$2:$A$769,$A76,Assignments!$G$2:$G$769,"Active",Assignments!$AL$2:$AL$769,"&lt;="&amp;N$47,Assignments!$AM$2:$AM$769,"&gt;="&amp;N$47))</f>
        <v/>
      </c>
      <c r="O76" s="11">
        <f>IF($A76="","",SUMIFS(Assignments!$AK$2:$AK$769,Assignments!$A$2:$A$769,$A76,Assignments!$G$2:$G$769,"Active",Assignments!$AI$2:$AI$769,"&lt;="&amp;O$47,Assignments!$AJ$2:$AJ$769,"&gt;="&amp;O$47)+SUMIFS(Assignments!$AN$2:$AN$769,Assignments!$A$2:$A$769,$A76,Assignments!$G$2:$G$769,"Active",Assignments!$AL$2:$AL$769,"&lt;="&amp;O$47,Assignments!$AM$2:$AM$769,"&gt;="&amp;O$47))</f>
        <v/>
      </c>
      <c r="P76" s="11">
        <f>IF($A76="","",SUMIFS(Assignments!$AK$2:$AK$769,Assignments!$A$2:$A$769,$A76,Assignments!$G$2:$G$769,"Active",Assignments!$AI$2:$AI$769,"&lt;="&amp;P$47,Assignments!$AJ$2:$AJ$769,"&gt;="&amp;P$47)+SUMIFS(Assignments!$AN$2:$AN$769,Assignments!$A$2:$A$769,$A76,Assignments!$G$2:$G$769,"Active",Assignments!$AL$2:$AL$769,"&lt;="&amp;P$47,Assignments!$AM$2:$AM$769,"&gt;="&amp;P$47))</f>
        <v/>
      </c>
      <c r="Q76" s="11">
        <f>IF($A76="","",SUMIFS(Assignments!$AK$2:$AK$769,Assignments!$A$2:$A$769,$A76,Assignments!$G$2:$G$769,"Active",Assignments!$AI$2:$AI$769,"&lt;="&amp;Q$47,Assignments!$AJ$2:$AJ$769,"&gt;="&amp;Q$47)+SUMIFS(Assignments!$AN$2:$AN$769,Assignments!$A$2:$A$769,$A76,Assignments!$G$2:$G$769,"Active",Assignments!$AL$2:$AL$769,"&lt;="&amp;Q$47,Assignments!$AM$2:$AM$769,"&gt;="&amp;Q$47))</f>
        <v/>
      </c>
      <c r="R76" s="11">
        <f>IF($A76="","",SUMIFS(Assignments!$AK$2:$AK$769,Assignments!$A$2:$A$769,$A76,Assignments!$G$2:$G$769,"Active",Assignments!$AI$2:$AI$769,"&lt;="&amp;R$47,Assignments!$AJ$2:$AJ$769,"&gt;="&amp;R$47)+SUMIFS(Assignments!$AN$2:$AN$769,Assignments!$A$2:$A$769,$A76,Assignments!$G$2:$G$769,"Active",Assignments!$AL$2:$AL$769,"&lt;="&amp;R$47,Assignments!$AM$2:$AM$769,"&gt;="&amp;R$47))</f>
        <v/>
      </c>
      <c r="S76" s="11">
        <f>IF($A76="","",SUMIFS(Assignments!$AK$2:$AK$769,Assignments!$A$2:$A$769,$A76,Assignments!$G$2:$G$769,"Active",Assignments!$AI$2:$AI$769,"&lt;="&amp;S$47,Assignments!$AJ$2:$AJ$769,"&gt;="&amp;S$47)+SUMIFS(Assignments!$AN$2:$AN$769,Assignments!$A$2:$A$769,$A76,Assignments!$G$2:$G$769,"Active",Assignments!$AL$2:$AL$769,"&lt;="&amp;S$47,Assignments!$AM$2:$AM$769,"&gt;="&amp;S$47))</f>
        <v/>
      </c>
      <c r="T76" s="11">
        <f>IF($A76="","",SUMIFS(Assignments!$AK$2:$AK$769,Assignments!$A$2:$A$769,$A76,Assignments!$G$2:$G$769,"Active",Assignments!$AI$2:$AI$769,"&lt;="&amp;T$47,Assignments!$AJ$2:$AJ$769,"&gt;="&amp;T$47)+SUMIFS(Assignments!$AN$2:$AN$769,Assignments!$A$2:$A$769,$A76,Assignments!$G$2:$G$769,"Active",Assignments!$AL$2:$AL$769,"&lt;="&amp;T$47,Assignments!$AM$2:$AM$769,"&gt;="&amp;T$47))</f>
        <v/>
      </c>
      <c r="U76" s="11">
        <f>IF($A76="","",SUMIFS(Assignments!$AK$2:$AK$769,Assignments!$A$2:$A$769,$A76,Assignments!$G$2:$G$769,"Active",Assignments!$AI$2:$AI$769,"&lt;="&amp;U$47,Assignments!$AJ$2:$AJ$769,"&gt;="&amp;U$47)+SUMIFS(Assignments!$AN$2:$AN$769,Assignments!$A$2:$A$769,$A76,Assignments!$G$2:$G$769,"Active",Assignments!$AL$2:$AL$769,"&lt;="&amp;U$47,Assignments!$AM$2:$AM$769,"&gt;="&amp;U$47))</f>
        <v/>
      </c>
      <c r="V76" s="11">
        <f>IF($A76="","",SUMIFS(Assignments!$AK$2:$AK$769,Assignments!$A$2:$A$769,$A76,Assignments!$G$2:$G$769,"Active",Assignments!$AI$2:$AI$769,"&lt;="&amp;V$47,Assignments!$AJ$2:$AJ$769,"&gt;="&amp;V$47)+SUMIFS(Assignments!$AN$2:$AN$769,Assignments!$A$2:$A$769,$A76,Assignments!$G$2:$G$769,"Active",Assignments!$AL$2:$AL$769,"&lt;="&amp;V$47,Assignments!$AM$2:$AM$769,"&gt;="&amp;V$47))</f>
        <v/>
      </c>
      <c r="W76" s="11">
        <f>IF($A76="","",SUMIFS(Assignments!$AK$2:$AK$769,Assignments!$A$2:$A$769,$A76,Assignments!$G$2:$G$769,"Active",Assignments!$AI$2:$AI$769,"&lt;="&amp;W$47,Assignments!$AJ$2:$AJ$769,"&gt;="&amp;W$47)+SUMIFS(Assignments!$AN$2:$AN$769,Assignments!$A$2:$A$769,$A76,Assignments!$G$2:$G$769,"Active",Assignments!$AL$2:$AL$769,"&lt;="&amp;W$47,Assignments!$AM$2:$AM$769,"&gt;="&amp;W$47))</f>
        <v/>
      </c>
      <c r="X76" s="11">
        <f>IF($A76="","",SUMIFS(Assignments!$AK$2:$AK$769,Assignments!$A$2:$A$769,$A76,Assignments!$G$2:$G$769,"Active",Assignments!$AI$2:$AI$769,"&lt;="&amp;X$47,Assignments!$AJ$2:$AJ$769,"&gt;="&amp;X$47)+SUMIFS(Assignments!$AN$2:$AN$769,Assignments!$A$2:$A$769,$A76,Assignments!$G$2:$G$769,"Active",Assignments!$AL$2:$AL$769,"&lt;="&amp;X$47,Assignments!$AM$2:$AM$769,"&gt;="&amp;X$47))</f>
        <v/>
      </c>
      <c r="Y76" s="11">
        <f>IF($A76="","",SUMIFS(Assignments!$AK$2:$AK$769,Assignments!$A$2:$A$769,$A76,Assignments!$G$2:$G$769,"Active",Assignments!$AI$2:$AI$769,"&lt;="&amp;Y$47,Assignments!$AJ$2:$AJ$769,"&gt;="&amp;Y$47)+SUMIFS(Assignments!$AN$2:$AN$769,Assignments!$A$2:$A$769,$A76,Assignments!$G$2:$G$769,"Active",Assignments!$AL$2:$AL$769,"&lt;="&amp;Y$47,Assignments!$AM$2:$AM$769,"&gt;="&amp;Y$47))</f>
        <v/>
      </c>
      <c r="Z76" s="11">
        <f>IF($A76="","",SUMIFS(Assignments!$AK$2:$AK$769,Assignments!$A$2:$A$769,$A76,Assignments!$G$2:$G$769,"Active",Assignments!$AI$2:$AI$769,"&lt;="&amp;Z$47,Assignments!$AJ$2:$AJ$769,"&gt;="&amp;Z$47)+SUMIFS(Assignments!$AN$2:$AN$769,Assignments!$A$2:$A$769,$A76,Assignments!$G$2:$G$769,"Active",Assignments!$AL$2:$AL$769,"&lt;="&amp;Z$47,Assignments!$AM$2:$AM$769,"&gt;="&amp;Z$47))</f>
        <v/>
      </c>
      <c r="AA76" s="11">
        <f>IF($A76="","",SUMIFS(Assignments!$AK$2:$AK$769,Assignments!$A$2:$A$769,$A76,Assignments!$G$2:$G$769,"Active",Assignments!$AI$2:$AI$769,"&lt;="&amp;AA$47,Assignments!$AJ$2:$AJ$769,"&gt;="&amp;AA$47)+SUMIFS(Assignments!$AN$2:$AN$769,Assignments!$A$2:$A$769,$A76,Assignments!$G$2:$G$769,"Active",Assignments!$AL$2:$AL$769,"&lt;="&amp;AA$47,Assignments!$AM$2:$AM$769,"&gt;="&amp;AA$47))</f>
        <v/>
      </c>
      <c r="AB76" s="11">
        <f>IF($A76="","",SUMIFS(Assignments!$AK$2:$AK$769,Assignments!$A$2:$A$769,$A76,Assignments!$G$2:$G$769,"Active",Assignments!$AI$2:$AI$769,"&lt;="&amp;AB$47,Assignments!$AJ$2:$AJ$769,"&gt;="&amp;AB$47)+SUMIFS(Assignments!$AN$2:$AN$769,Assignments!$A$2:$A$769,$A76,Assignments!$G$2:$G$769,"Active",Assignments!$AL$2:$AL$769,"&lt;="&amp;AB$47,Assignments!$AM$2:$AM$769,"&gt;="&amp;AB$47))</f>
        <v/>
      </c>
    </row>
    <row r="77">
      <c r="A77" s="9">
        <f>IF(Roster!$A31="","",Roster!$A31)</f>
        <v/>
      </c>
      <c r="B77" s="10">
        <f>IF($A77="","",IFERROR(INDEX(Roster!$D$2:$D$40,MATCH($A77,Roster!$A$2:$A$40,0)),""))</f>
        <v/>
      </c>
      <c r="C77" s="11">
        <f>IF($A77="","",SUMIFS(Assignments!$AK$2:$AK$769,Assignments!$A$2:$A$769,$A77,Assignments!$G$2:$G$769,"Active",Assignments!$AI$2:$AI$769,"&lt;="&amp;C$47,Assignments!$AJ$2:$AJ$769,"&gt;="&amp;C$47)+SUMIFS(Assignments!$AN$2:$AN$769,Assignments!$A$2:$A$769,$A77,Assignments!$G$2:$G$769,"Active",Assignments!$AL$2:$AL$769,"&lt;="&amp;C$47,Assignments!$AM$2:$AM$769,"&gt;="&amp;C$47))</f>
        <v/>
      </c>
      <c r="D77" s="11">
        <f>IF($A77="","",SUMIFS(Assignments!$AK$2:$AK$769,Assignments!$A$2:$A$769,$A77,Assignments!$G$2:$G$769,"Active",Assignments!$AI$2:$AI$769,"&lt;="&amp;D$47,Assignments!$AJ$2:$AJ$769,"&gt;="&amp;D$47)+SUMIFS(Assignments!$AN$2:$AN$769,Assignments!$A$2:$A$769,$A77,Assignments!$G$2:$G$769,"Active",Assignments!$AL$2:$AL$769,"&lt;="&amp;D$47,Assignments!$AM$2:$AM$769,"&gt;="&amp;D$47))</f>
        <v/>
      </c>
      <c r="E77" s="11">
        <f>IF($A77="","",SUMIFS(Assignments!$AK$2:$AK$769,Assignments!$A$2:$A$769,$A77,Assignments!$G$2:$G$769,"Active",Assignments!$AI$2:$AI$769,"&lt;="&amp;E$47,Assignments!$AJ$2:$AJ$769,"&gt;="&amp;E$47)+SUMIFS(Assignments!$AN$2:$AN$769,Assignments!$A$2:$A$769,$A77,Assignments!$G$2:$G$769,"Active",Assignments!$AL$2:$AL$769,"&lt;="&amp;E$47,Assignments!$AM$2:$AM$769,"&gt;="&amp;E$47))</f>
        <v/>
      </c>
      <c r="F77" s="11">
        <f>IF($A77="","",SUMIFS(Assignments!$AK$2:$AK$769,Assignments!$A$2:$A$769,$A77,Assignments!$G$2:$G$769,"Active",Assignments!$AI$2:$AI$769,"&lt;="&amp;F$47,Assignments!$AJ$2:$AJ$769,"&gt;="&amp;F$47)+SUMIFS(Assignments!$AN$2:$AN$769,Assignments!$A$2:$A$769,$A77,Assignments!$G$2:$G$769,"Active",Assignments!$AL$2:$AL$769,"&lt;="&amp;F$47,Assignments!$AM$2:$AM$769,"&gt;="&amp;F$47))</f>
        <v/>
      </c>
      <c r="G77" s="11">
        <f>IF($A77="","",SUMIFS(Assignments!$AK$2:$AK$769,Assignments!$A$2:$A$769,$A77,Assignments!$G$2:$G$769,"Active",Assignments!$AI$2:$AI$769,"&lt;="&amp;G$47,Assignments!$AJ$2:$AJ$769,"&gt;="&amp;G$47)+SUMIFS(Assignments!$AN$2:$AN$769,Assignments!$A$2:$A$769,$A77,Assignments!$G$2:$G$769,"Active",Assignments!$AL$2:$AL$769,"&lt;="&amp;G$47,Assignments!$AM$2:$AM$769,"&gt;="&amp;G$47))</f>
        <v/>
      </c>
      <c r="H77" s="11">
        <f>IF($A77="","",SUMIFS(Assignments!$AK$2:$AK$769,Assignments!$A$2:$A$769,$A77,Assignments!$G$2:$G$769,"Active",Assignments!$AI$2:$AI$769,"&lt;="&amp;H$47,Assignments!$AJ$2:$AJ$769,"&gt;="&amp;H$47)+SUMIFS(Assignments!$AN$2:$AN$769,Assignments!$A$2:$A$769,$A77,Assignments!$G$2:$G$769,"Active",Assignments!$AL$2:$AL$769,"&lt;="&amp;H$47,Assignments!$AM$2:$AM$769,"&gt;="&amp;H$47))</f>
        <v/>
      </c>
      <c r="I77" s="11">
        <f>IF($A77="","",SUMIFS(Assignments!$AK$2:$AK$769,Assignments!$A$2:$A$769,$A77,Assignments!$G$2:$G$769,"Active",Assignments!$AI$2:$AI$769,"&lt;="&amp;I$47,Assignments!$AJ$2:$AJ$769,"&gt;="&amp;I$47)+SUMIFS(Assignments!$AN$2:$AN$769,Assignments!$A$2:$A$769,$A77,Assignments!$G$2:$G$769,"Active",Assignments!$AL$2:$AL$769,"&lt;="&amp;I$47,Assignments!$AM$2:$AM$769,"&gt;="&amp;I$47))</f>
        <v/>
      </c>
      <c r="J77" s="11">
        <f>IF($A77="","",SUMIFS(Assignments!$AK$2:$AK$769,Assignments!$A$2:$A$769,$A77,Assignments!$G$2:$G$769,"Active",Assignments!$AI$2:$AI$769,"&lt;="&amp;J$47,Assignments!$AJ$2:$AJ$769,"&gt;="&amp;J$47)+SUMIFS(Assignments!$AN$2:$AN$769,Assignments!$A$2:$A$769,$A77,Assignments!$G$2:$G$769,"Active",Assignments!$AL$2:$AL$769,"&lt;="&amp;J$47,Assignments!$AM$2:$AM$769,"&gt;="&amp;J$47))</f>
        <v/>
      </c>
      <c r="K77" s="11">
        <f>IF($A77="","",SUMIFS(Assignments!$AK$2:$AK$769,Assignments!$A$2:$A$769,$A77,Assignments!$G$2:$G$769,"Active",Assignments!$AI$2:$AI$769,"&lt;="&amp;K$47,Assignments!$AJ$2:$AJ$769,"&gt;="&amp;K$47)+SUMIFS(Assignments!$AN$2:$AN$769,Assignments!$A$2:$A$769,$A77,Assignments!$G$2:$G$769,"Active",Assignments!$AL$2:$AL$769,"&lt;="&amp;K$47,Assignments!$AM$2:$AM$769,"&gt;="&amp;K$47))</f>
        <v/>
      </c>
      <c r="L77" s="11">
        <f>IF($A77="","",SUMIFS(Assignments!$AK$2:$AK$769,Assignments!$A$2:$A$769,$A77,Assignments!$G$2:$G$769,"Active",Assignments!$AI$2:$AI$769,"&lt;="&amp;L$47,Assignments!$AJ$2:$AJ$769,"&gt;="&amp;L$47)+SUMIFS(Assignments!$AN$2:$AN$769,Assignments!$A$2:$A$769,$A77,Assignments!$G$2:$G$769,"Active",Assignments!$AL$2:$AL$769,"&lt;="&amp;L$47,Assignments!$AM$2:$AM$769,"&gt;="&amp;L$47))</f>
        <v/>
      </c>
      <c r="M77" s="11">
        <f>IF($A77="","",SUMIFS(Assignments!$AK$2:$AK$769,Assignments!$A$2:$A$769,$A77,Assignments!$G$2:$G$769,"Active",Assignments!$AI$2:$AI$769,"&lt;="&amp;M$47,Assignments!$AJ$2:$AJ$769,"&gt;="&amp;M$47)+SUMIFS(Assignments!$AN$2:$AN$769,Assignments!$A$2:$A$769,$A77,Assignments!$G$2:$G$769,"Active",Assignments!$AL$2:$AL$769,"&lt;="&amp;M$47,Assignments!$AM$2:$AM$769,"&gt;="&amp;M$47))</f>
        <v/>
      </c>
      <c r="N77" s="11">
        <f>IF($A77="","",SUMIFS(Assignments!$AK$2:$AK$769,Assignments!$A$2:$A$769,$A77,Assignments!$G$2:$G$769,"Active",Assignments!$AI$2:$AI$769,"&lt;="&amp;N$47,Assignments!$AJ$2:$AJ$769,"&gt;="&amp;N$47)+SUMIFS(Assignments!$AN$2:$AN$769,Assignments!$A$2:$A$769,$A77,Assignments!$G$2:$G$769,"Active",Assignments!$AL$2:$AL$769,"&lt;="&amp;N$47,Assignments!$AM$2:$AM$769,"&gt;="&amp;N$47))</f>
        <v/>
      </c>
      <c r="O77" s="11">
        <f>IF($A77="","",SUMIFS(Assignments!$AK$2:$AK$769,Assignments!$A$2:$A$769,$A77,Assignments!$G$2:$G$769,"Active",Assignments!$AI$2:$AI$769,"&lt;="&amp;O$47,Assignments!$AJ$2:$AJ$769,"&gt;="&amp;O$47)+SUMIFS(Assignments!$AN$2:$AN$769,Assignments!$A$2:$A$769,$A77,Assignments!$G$2:$G$769,"Active",Assignments!$AL$2:$AL$769,"&lt;="&amp;O$47,Assignments!$AM$2:$AM$769,"&gt;="&amp;O$47))</f>
        <v/>
      </c>
      <c r="P77" s="11">
        <f>IF($A77="","",SUMIFS(Assignments!$AK$2:$AK$769,Assignments!$A$2:$A$769,$A77,Assignments!$G$2:$G$769,"Active",Assignments!$AI$2:$AI$769,"&lt;="&amp;P$47,Assignments!$AJ$2:$AJ$769,"&gt;="&amp;P$47)+SUMIFS(Assignments!$AN$2:$AN$769,Assignments!$A$2:$A$769,$A77,Assignments!$G$2:$G$769,"Active",Assignments!$AL$2:$AL$769,"&lt;="&amp;P$47,Assignments!$AM$2:$AM$769,"&gt;="&amp;P$47))</f>
        <v/>
      </c>
      <c r="Q77" s="11">
        <f>IF($A77="","",SUMIFS(Assignments!$AK$2:$AK$769,Assignments!$A$2:$A$769,$A77,Assignments!$G$2:$G$769,"Active",Assignments!$AI$2:$AI$769,"&lt;="&amp;Q$47,Assignments!$AJ$2:$AJ$769,"&gt;="&amp;Q$47)+SUMIFS(Assignments!$AN$2:$AN$769,Assignments!$A$2:$A$769,$A77,Assignments!$G$2:$G$769,"Active",Assignments!$AL$2:$AL$769,"&lt;="&amp;Q$47,Assignments!$AM$2:$AM$769,"&gt;="&amp;Q$47))</f>
        <v/>
      </c>
      <c r="R77" s="11">
        <f>IF($A77="","",SUMIFS(Assignments!$AK$2:$AK$769,Assignments!$A$2:$A$769,$A77,Assignments!$G$2:$G$769,"Active",Assignments!$AI$2:$AI$769,"&lt;="&amp;R$47,Assignments!$AJ$2:$AJ$769,"&gt;="&amp;R$47)+SUMIFS(Assignments!$AN$2:$AN$769,Assignments!$A$2:$A$769,$A77,Assignments!$G$2:$G$769,"Active",Assignments!$AL$2:$AL$769,"&lt;="&amp;R$47,Assignments!$AM$2:$AM$769,"&gt;="&amp;R$47))</f>
        <v/>
      </c>
      <c r="S77" s="11">
        <f>IF($A77="","",SUMIFS(Assignments!$AK$2:$AK$769,Assignments!$A$2:$A$769,$A77,Assignments!$G$2:$G$769,"Active",Assignments!$AI$2:$AI$769,"&lt;="&amp;S$47,Assignments!$AJ$2:$AJ$769,"&gt;="&amp;S$47)+SUMIFS(Assignments!$AN$2:$AN$769,Assignments!$A$2:$A$769,$A77,Assignments!$G$2:$G$769,"Active",Assignments!$AL$2:$AL$769,"&lt;="&amp;S$47,Assignments!$AM$2:$AM$769,"&gt;="&amp;S$47))</f>
        <v/>
      </c>
      <c r="T77" s="11">
        <f>IF($A77="","",SUMIFS(Assignments!$AK$2:$AK$769,Assignments!$A$2:$A$769,$A77,Assignments!$G$2:$G$769,"Active",Assignments!$AI$2:$AI$769,"&lt;="&amp;T$47,Assignments!$AJ$2:$AJ$769,"&gt;="&amp;T$47)+SUMIFS(Assignments!$AN$2:$AN$769,Assignments!$A$2:$A$769,$A77,Assignments!$G$2:$G$769,"Active",Assignments!$AL$2:$AL$769,"&lt;="&amp;T$47,Assignments!$AM$2:$AM$769,"&gt;="&amp;T$47))</f>
        <v/>
      </c>
      <c r="U77" s="11">
        <f>IF($A77="","",SUMIFS(Assignments!$AK$2:$AK$769,Assignments!$A$2:$A$769,$A77,Assignments!$G$2:$G$769,"Active",Assignments!$AI$2:$AI$769,"&lt;="&amp;U$47,Assignments!$AJ$2:$AJ$769,"&gt;="&amp;U$47)+SUMIFS(Assignments!$AN$2:$AN$769,Assignments!$A$2:$A$769,$A77,Assignments!$G$2:$G$769,"Active",Assignments!$AL$2:$AL$769,"&lt;="&amp;U$47,Assignments!$AM$2:$AM$769,"&gt;="&amp;U$47))</f>
        <v/>
      </c>
      <c r="V77" s="11">
        <f>IF($A77="","",SUMIFS(Assignments!$AK$2:$AK$769,Assignments!$A$2:$A$769,$A77,Assignments!$G$2:$G$769,"Active",Assignments!$AI$2:$AI$769,"&lt;="&amp;V$47,Assignments!$AJ$2:$AJ$769,"&gt;="&amp;V$47)+SUMIFS(Assignments!$AN$2:$AN$769,Assignments!$A$2:$A$769,$A77,Assignments!$G$2:$G$769,"Active",Assignments!$AL$2:$AL$769,"&lt;="&amp;V$47,Assignments!$AM$2:$AM$769,"&gt;="&amp;V$47))</f>
        <v/>
      </c>
      <c r="W77" s="11">
        <f>IF($A77="","",SUMIFS(Assignments!$AK$2:$AK$769,Assignments!$A$2:$A$769,$A77,Assignments!$G$2:$G$769,"Active",Assignments!$AI$2:$AI$769,"&lt;="&amp;W$47,Assignments!$AJ$2:$AJ$769,"&gt;="&amp;W$47)+SUMIFS(Assignments!$AN$2:$AN$769,Assignments!$A$2:$A$769,$A77,Assignments!$G$2:$G$769,"Active",Assignments!$AL$2:$AL$769,"&lt;="&amp;W$47,Assignments!$AM$2:$AM$769,"&gt;="&amp;W$47))</f>
        <v/>
      </c>
      <c r="X77" s="11">
        <f>IF($A77="","",SUMIFS(Assignments!$AK$2:$AK$769,Assignments!$A$2:$A$769,$A77,Assignments!$G$2:$G$769,"Active",Assignments!$AI$2:$AI$769,"&lt;="&amp;X$47,Assignments!$AJ$2:$AJ$769,"&gt;="&amp;X$47)+SUMIFS(Assignments!$AN$2:$AN$769,Assignments!$A$2:$A$769,$A77,Assignments!$G$2:$G$769,"Active",Assignments!$AL$2:$AL$769,"&lt;="&amp;X$47,Assignments!$AM$2:$AM$769,"&gt;="&amp;X$47))</f>
        <v/>
      </c>
      <c r="Y77" s="11">
        <f>IF($A77="","",SUMIFS(Assignments!$AK$2:$AK$769,Assignments!$A$2:$A$769,$A77,Assignments!$G$2:$G$769,"Active",Assignments!$AI$2:$AI$769,"&lt;="&amp;Y$47,Assignments!$AJ$2:$AJ$769,"&gt;="&amp;Y$47)+SUMIFS(Assignments!$AN$2:$AN$769,Assignments!$A$2:$A$769,$A77,Assignments!$G$2:$G$769,"Active",Assignments!$AL$2:$AL$769,"&lt;="&amp;Y$47,Assignments!$AM$2:$AM$769,"&gt;="&amp;Y$47))</f>
        <v/>
      </c>
      <c r="Z77" s="11">
        <f>IF($A77="","",SUMIFS(Assignments!$AK$2:$AK$769,Assignments!$A$2:$A$769,$A77,Assignments!$G$2:$G$769,"Active",Assignments!$AI$2:$AI$769,"&lt;="&amp;Z$47,Assignments!$AJ$2:$AJ$769,"&gt;="&amp;Z$47)+SUMIFS(Assignments!$AN$2:$AN$769,Assignments!$A$2:$A$769,$A77,Assignments!$G$2:$G$769,"Active",Assignments!$AL$2:$AL$769,"&lt;="&amp;Z$47,Assignments!$AM$2:$AM$769,"&gt;="&amp;Z$47))</f>
        <v/>
      </c>
      <c r="AA77" s="11">
        <f>IF($A77="","",SUMIFS(Assignments!$AK$2:$AK$769,Assignments!$A$2:$A$769,$A77,Assignments!$G$2:$G$769,"Active",Assignments!$AI$2:$AI$769,"&lt;="&amp;AA$47,Assignments!$AJ$2:$AJ$769,"&gt;="&amp;AA$47)+SUMIFS(Assignments!$AN$2:$AN$769,Assignments!$A$2:$A$769,$A77,Assignments!$G$2:$G$769,"Active",Assignments!$AL$2:$AL$769,"&lt;="&amp;AA$47,Assignments!$AM$2:$AM$769,"&gt;="&amp;AA$47))</f>
        <v/>
      </c>
      <c r="AB77" s="11">
        <f>IF($A77="","",SUMIFS(Assignments!$AK$2:$AK$769,Assignments!$A$2:$A$769,$A77,Assignments!$G$2:$G$769,"Active",Assignments!$AI$2:$AI$769,"&lt;="&amp;AB$47,Assignments!$AJ$2:$AJ$769,"&gt;="&amp;AB$47)+SUMIFS(Assignments!$AN$2:$AN$769,Assignments!$A$2:$A$769,$A77,Assignments!$G$2:$G$769,"Active",Assignments!$AL$2:$AL$769,"&lt;="&amp;AB$47,Assignments!$AM$2:$AM$769,"&gt;="&amp;AB$47))</f>
        <v/>
      </c>
    </row>
    <row r="78">
      <c r="A78" s="9">
        <f>IF(Roster!$A32="","",Roster!$A32)</f>
        <v/>
      </c>
      <c r="B78" s="10">
        <f>IF($A78="","",IFERROR(INDEX(Roster!$D$2:$D$40,MATCH($A78,Roster!$A$2:$A$40,0)),""))</f>
        <v/>
      </c>
      <c r="C78" s="11">
        <f>IF($A78="","",SUMIFS(Assignments!$AK$2:$AK$769,Assignments!$A$2:$A$769,$A78,Assignments!$G$2:$G$769,"Active",Assignments!$AI$2:$AI$769,"&lt;="&amp;C$47,Assignments!$AJ$2:$AJ$769,"&gt;="&amp;C$47)+SUMIFS(Assignments!$AN$2:$AN$769,Assignments!$A$2:$A$769,$A78,Assignments!$G$2:$G$769,"Active",Assignments!$AL$2:$AL$769,"&lt;="&amp;C$47,Assignments!$AM$2:$AM$769,"&gt;="&amp;C$47))</f>
        <v/>
      </c>
      <c r="D78" s="11">
        <f>IF($A78="","",SUMIFS(Assignments!$AK$2:$AK$769,Assignments!$A$2:$A$769,$A78,Assignments!$G$2:$G$769,"Active",Assignments!$AI$2:$AI$769,"&lt;="&amp;D$47,Assignments!$AJ$2:$AJ$769,"&gt;="&amp;D$47)+SUMIFS(Assignments!$AN$2:$AN$769,Assignments!$A$2:$A$769,$A78,Assignments!$G$2:$G$769,"Active",Assignments!$AL$2:$AL$769,"&lt;="&amp;D$47,Assignments!$AM$2:$AM$769,"&gt;="&amp;D$47))</f>
        <v/>
      </c>
      <c r="E78" s="11">
        <f>IF($A78="","",SUMIFS(Assignments!$AK$2:$AK$769,Assignments!$A$2:$A$769,$A78,Assignments!$G$2:$G$769,"Active",Assignments!$AI$2:$AI$769,"&lt;="&amp;E$47,Assignments!$AJ$2:$AJ$769,"&gt;="&amp;E$47)+SUMIFS(Assignments!$AN$2:$AN$769,Assignments!$A$2:$A$769,$A78,Assignments!$G$2:$G$769,"Active",Assignments!$AL$2:$AL$769,"&lt;="&amp;E$47,Assignments!$AM$2:$AM$769,"&gt;="&amp;E$47))</f>
        <v/>
      </c>
      <c r="F78" s="11">
        <f>IF($A78="","",SUMIFS(Assignments!$AK$2:$AK$769,Assignments!$A$2:$A$769,$A78,Assignments!$G$2:$G$769,"Active",Assignments!$AI$2:$AI$769,"&lt;="&amp;F$47,Assignments!$AJ$2:$AJ$769,"&gt;="&amp;F$47)+SUMIFS(Assignments!$AN$2:$AN$769,Assignments!$A$2:$A$769,$A78,Assignments!$G$2:$G$769,"Active",Assignments!$AL$2:$AL$769,"&lt;="&amp;F$47,Assignments!$AM$2:$AM$769,"&gt;="&amp;F$47))</f>
        <v/>
      </c>
      <c r="G78" s="11">
        <f>IF($A78="","",SUMIFS(Assignments!$AK$2:$AK$769,Assignments!$A$2:$A$769,$A78,Assignments!$G$2:$G$769,"Active",Assignments!$AI$2:$AI$769,"&lt;="&amp;G$47,Assignments!$AJ$2:$AJ$769,"&gt;="&amp;G$47)+SUMIFS(Assignments!$AN$2:$AN$769,Assignments!$A$2:$A$769,$A78,Assignments!$G$2:$G$769,"Active",Assignments!$AL$2:$AL$769,"&lt;="&amp;G$47,Assignments!$AM$2:$AM$769,"&gt;="&amp;G$47))</f>
        <v/>
      </c>
      <c r="H78" s="11">
        <f>IF($A78="","",SUMIFS(Assignments!$AK$2:$AK$769,Assignments!$A$2:$A$769,$A78,Assignments!$G$2:$G$769,"Active",Assignments!$AI$2:$AI$769,"&lt;="&amp;H$47,Assignments!$AJ$2:$AJ$769,"&gt;="&amp;H$47)+SUMIFS(Assignments!$AN$2:$AN$769,Assignments!$A$2:$A$769,$A78,Assignments!$G$2:$G$769,"Active",Assignments!$AL$2:$AL$769,"&lt;="&amp;H$47,Assignments!$AM$2:$AM$769,"&gt;="&amp;H$47))</f>
        <v/>
      </c>
      <c r="I78" s="11">
        <f>IF($A78="","",SUMIFS(Assignments!$AK$2:$AK$769,Assignments!$A$2:$A$769,$A78,Assignments!$G$2:$G$769,"Active",Assignments!$AI$2:$AI$769,"&lt;="&amp;I$47,Assignments!$AJ$2:$AJ$769,"&gt;="&amp;I$47)+SUMIFS(Assignments!$AN$2:$AN$769,Assignments!$A$2:$A$769,$A78,Assignments!$G$2:$G$769,"Active",Assignments!$AL$2:$AL$769,"&lt;="&amp;I$47,Assignments!$AM$2:$AM$769,"&gt;="&amp;I$47))</f>
        <v/>
      </c>
      <c r="J78" s="11">
        <f>IF($A78="","",SUMIFS(Assignments!$AK$2:$AK$769,Assignments!$A$2:$A$769,$A78,Assignments!$G$2:$G$769,"Active",Assignments!$AI$2:$AI$769,"&lt;="&amp;J$47,Assignments!$AJ$2:$AJ$769,"&gt;="&amp;J$47)+SUMIFS(Assignments!$AN$2:$AN$769,Assignments!$A$2:$A$769,$A78,Assignments!$G$2:$G$769,"Active",Assignments!$AL$2:$AL$769,"&lt;="&amp;J$47,Assignments!$AM$2:$AM$769,"&gt;="&amp;J$47))</f>
        <v/>
      </c>
      <c r="K78" s="11">
        <f>IF($A78="","",SUMIFS(Assignments!$AK$2:$AK$769,Assignments!$A$2:$A$769,$A78,Assignments!$G$2:$G$769,"Active",Assignments!$AI$2:$AI$769,"&lt;="&amp;K$47,Assignments!$AJ$2:$AJ$769,"&gt;="&amp;K$47)+SUMIFS(Assignments!$AN$2:$AN$769,Assignments!$A$2:$A$769,$A78,Assignments!$G$2:$G$769,"Active",Assignments!$AL$2:$AL$769,"&lt;="&amp;K$47,Assignments!$AM$2:$AM$769,"&gt;="&amp;K$47))</f>
        <v/>
      </c>
      <c r="L78" s="11">
        <f>IF($A78="","",SUMIFS(Assignments!$AK$2:$AK$769,Assignments!$A$2:$A$769,$A78,Assignments!$G$2:$G$769,"Active",Assignments!$AI$2:$AI$769,"&lt;="&amp;L$47,Assignments!$AJ$2:$AJ$769,"&gt;="&amp;L$47)+SUMIFS(Assignments!$AN$2:$AN$769,Assignments!$A$2:$A$769,$A78,Assignments!$G$2:$G$769,"Active",Assignments!$AL$2:$AL$769,"&lt;="&amp;L$47,Assignments!$AM$2:$AM$769,"&gt;="&amp;L$47))</f>
        <v/>
      </c>
      <c r="M78" s="11">
        <f>IF($A78="","",SUMIFS(Assignments!$AK$2:$AK$769,Assignments!$A$2:$A$769,$A78,Assignments!$G$2:$G$769,"Active",Assignments!$AI$2:$AI$769,"&lt;="&amp;M$47,Assignments!$AJ$2:$AJ$769,"&gt;="&amp;M$47)+SUMIFS(Assignments!$AN$2:$AN$769,Assignments!$A$2:$A$769,$A78,Assignments!$G$2:$G$769,"Active",Assignments!$AL$2:$AL$769,"&lt;="&amp;M$47,Assignments!$AM$2:$AM$769,"&gt;="&amp;M$47))</f>
        <v/>
      </c>
      <c r="N78" s="11">
        <f>IF($A78="","",SUMIFS(Assignments!$AK$2:$AK$769,Assignments!$A$2:$A$769,$A78,Assignments!$G$2:$G$769,"Active",Assignments!$AI$2:$AI$769,"&lt;="&amp;N$47,Assignments!$AJ$2:$AJ$769,"&gt;="&amp;N$47)+SUMIFS(Assignments!$AN$2:$AN$769,Assignments!$A$2:$A$769,$A78,Assignments!$G$2:$G$769,"Active",Assignments!$AL$2:$AL$769,"&lt;="&amp;N$47,Assignments!$AM$2:$AM$769,"&gt;="&amp;N$47))</f>
        <v/>
      </c>
      <c r="O78" s="11">
        <f>IF($A78="","",SUMIFS(Assignments!$AK$2:$AK$769,Assignments!$A$2:$A$769,$A78,Assignments!$G$2:$G$769,"Active",Assignments!$AI$2:$AI$769,"&lt;="&amp;O$47,Assignments!$AJ$2:$AJ$769,"&gt;="&amp;O$47)+SUMIFS(Assignments!$AN$2:$AN$769,Assignments!$A$2:$A$769,$A78,Assignments!$G$2:$G$769,"Active",Assignments!$AL$2:$AL$769,"&lt;="&amp;O$47,Assignments!$AM$2:$AM$769,"&gt;="&amp;O$47))</f>
        <v/>
      </c>
      <c r="P78" s="11">
        <f>IF($A78="","",SUMIFS(Assignments!$AK$2:$AK$769,Assignments!$A$2:$A$769,$A78,Assignments!$G$2:$G$769,"Active",Assignments!$AI$2:$AI$769,"&lt;="&amp;P$47,Assignments!$AJ$2:$AJ$769,"&gt;="&amp;P$47)+SUMIFS(Assignments!$AN$2:$AN$769,Assignments!$A$2:$A$769,$A78,Assignments!$G$2:$G$769,"Active",Assignments!$AL$2:$AL$769,"&lt;="&amp;P$47,Assignments!$AM$2:$AM$769,"&gt;="&amp;P$47))</f>
        <v/>
      </c>
      <c r="Q78" s="11">
        <f>IF($A78="","",SUMIFS(Assignments!$AK$2:$AK$769,Assignments!$A$2:$A$769,$A78,Assignments!$G$2:$G$769,"Active",Assignments!$AI$2:$AI$769,"&lt;="&amp;Q$47,Assignments!$AJ$2:$AJ$769,"&gt;="&amp;Q$47)+SUMIFS(Assignments!$AN$2:$AN$769,Assignments!$A$2:$A$769,$A78,Assignments!$G$2:$G$769,"Active",Assignments!$AL$2:$AL$769,"&lt;="&amp;Q$47,Assignments!$AM$2:$AM$769,"&gt;="&amp;Q$47))</f>
        <v/>
      </c>
      <c r="R78" s="11">
        <f>IF($A78="","",SUMIFS(Assignments!$AK$2:$AK$769,Assignments!$A$2:$A$769,$A78,Assignments!$G$2:$G$769,"Active",Assignments!$AI$2:$AI$769,"&lt;="&amp;R$47,Assignments!$AJ$2:$AJ$769,"&gt;="&amp;R$47)+SUMIFS(Assignments!$AN$2:$AN$769,Assignments!$A$2:$A$769,$A78,Assignments!$G$2:$G$769,"Active",Assignments!$AL$2:$AL$769,"&lt;="&amp;R$47,Assignments!$AM$2:$AM$769,"&gt;="&amp;R$47))</f>
        <v/>
      </c>
      <c r="S78" s="11">
        <f>IF($A78="","",SUMIFS(Assignments!$AK$2:$AK$769,Assignments!$A$2:$A$769,$A78,Assignments!$G$2:$G$769,"Active",Assignments!$AI$2:$AI$769,"&lt;="&amp;S$47,Assignments!$AJ$2:$AJ$769,"&gt;="&amp;S$47)+SUMIFS(Assignments!$AN$2:$AN$769,Assignments!$A$2:$A$769,$A78,Assignments!$G$2:$G$769,"Active",Assignments!$AL$2:$AL$769,"&lt;="&amp;S$47,Assignments!$AM$2:$AM$769,"&gt;="&amp;S$47))</f>
        <v/>
      </c>
      <c r="T78" s="11">
        <f>IF($A78="","",SUMIFS(Assignments!$AK$2:$AK$769,Assignments!$A$2:$A$769,$A78,Assignments!$G$2:$G$769,"Active",Assignments!$AI$2:$AI$769,"&lt;="&amp;T$47,Assignments!$AJ$2:$AJ$769,"&gt;="&amp;T$47)+SUMIFS(Assignments!$AN$2:$AN$769,Assignments!$A$2:$A$769,$A78,Assignments!$G$2:$G$769,"Active",Assignments!$AL$2:$AL$769,"&lt;="&amp;T$47,Assignments!$AM$2:$AM$769,"&gt;="&amp;T$47))</f>
        <v/>
      </c>
      <c r="U78" s="11">
        <f>IF($A78="","",SUMIFS(Assignments!$AK$2:$AK$769,Assignments!$A$2:$A$769,$A78,Assignments!$G$2:$G$769,"Active",Assignments!$AI$2:$AI$769,"&lt;="&amp;U$47,Assignments!$AJ$2:$AJ$769,"&gt;="&amp;U$47)+SUMIFS(Assignments!$AN$2:$AN$769,Assignments!$A$2:$A$769,$A78,Assignments!$G$2:$G$769,"Active",Assignments!$AL$2:$AL$769,"&lt;="&amp;U$47,Assignments!$AM$2:$AM$769,"&gt;="&amp;U$47))</f>
        <v/>
      </c>
      <c r="V78" s="11">
        <f>IF($A78="","",SUMIFS(Assignments!$AK$2:$AK$769,Assignments!$A$2:$A$769,$A78,Assignments!$G$2:$G$769,"Active",Assignments!$AI$2:$AI$769,"&lt;="&amp;V$47,Assignments!$AJ$2:$AJ$769,"&gt;="&amp;V$47)+SUMIFS(Assignments!$AN$2:$AN$769,Assignments!$A$2:$A$769,$A78,Assignments!$G$2:$G$769,"Active",Assignments!$AL$2:$AL$769,"&lt;="&amp;V$47,Assignments!$AM$2:$AM$769,"&gt;="&amp;V$47))</f>
        <v/>
      </c>
      <c r="W78" s="11">
        <f>IF($A78="","",SUMIFS(Assignments!$AK$2:$AK$769,Assignments!$A$2:$A$769,$A78,Assignments!$G$2:$G$769,"Active",Assignments!$AI$2:$AI$769,"&lt;="&amp;W$47,Assignments!$AJ$2:$AJ$769,"&gt;="&amp;W$47)+SUMIFS(Assignments!$AN$2:$AN$769,Assignments!$A$2:$A$769,$A78,Assignments!$G$2:$G$769,"Active",Assignments!$AL$2:$AL$769,"&lt;="&amp;W$47,Assignments!$AM$2:$AM$769,"&gt;="&amp;W$47))</f>
        <v/>
      </c>
      <c r="X78" s="11">
        <f>IF($A78="","",SUMIFS(Assignments!$AK$2:$AK$769,Assignments!$A$2:$A$769,$A78,Assignments!$G$2:$G$769,"Active",Assignments!$AI$2:$AI$769,"&lt;="&amp;X$47,Assignments!$AJ$2:$AJ$769,"&gt;="&amp;X$47)+SUMIFS(Assignments!$AN$2:$AN$769,Assignments!$A$2:$A$769,$A78,Assignments!$G$2:$G$769,"Active",Assignments!$AL$2:$AL$769,"&lt;="&amp;X$47,Assignments!$AM$2:$AM$769,"&gt;="&amp;X$47))</f>
        <v/>
      </c>
      <c r="Y78" s="11">
        <f>IF($A78="","",SUMIFS(Assignments!$AK$2:$AK$769,Assignments!$A$2:$A$769,$A78,Assignments!$G$2:$G$769,"Active",Assignments!$AI$2:$AI$769,"&lt;="&amp;Y$47,Assignments!$AJ$2:$AJ$769,"&gt;="&amp;Y$47)+SUMIFS(Assignments!$AN$2:$AN$769,Assignments!$A$2:$A$769,$A78,Assignments!$G$2:$G$769,"Active",Assignments!$AL$2:$AL$769,"&lt;="&amp;Y$47,Assignments!$AM$2:$AM$769,"&gt;="&amp;Y$47))</f>
        <v/>
      </c>
      <c r="Z78" s="11">
        <f>IF($A78="","",SUMIFS(Assignments!$AK$2:$AK$769,Assignments!$A$2:$A$769,$A78,Assignments!$G$2:$G$769,"Active",Assignments!$AI$2:$AI$769,"&lt;="&amp;Z$47,Assignments!$AJ$2:$AJ$769,"&gt;="&amp;Z$47)+SUMIFS(Assignments!$AN$2:$AN$769,Assignments!$A$2:$A$769,$A78,Assignments!$G$2:$G$769,"Active",Assignments!$AL$2:$AL$769,"&lt;="&amp;Z$47,Assignments!$AM$2:$AM$769,"&gt;="&amp;Z$47))</f>
        <v/>
      </c>
      <c r="AA78" s="11">
        <f>IF($A78="","",SUMIFS(Assignments!$AK$2:$AK$769,Assignments!$A$2:$A$769,$A78,Assignments!$G$2:$G$769,"Active",Assignments!$AI$2:$AI$769,"&lt;="&amp;AA$47,Assignments!$AJ$2:$AJ$769,"&gt;="&amp;AA$47)+SUMIFS(Assignments!$AN$2:$AN$769,Assignments!$A$2:$A$769,$A78,Assignments!$G$2:$G$769,"Active",Assignments!$AL$2:$AL$769,"&lt;="&amp;AA$47,Assignments!$AM$2:$AM$769,"&gt;="&amp;AA$47))</f>
        <v/>
      </c>
      <c r="AB78" s="11">
        <f>IF($A78="","",SUMIFS(Assignments!$AK$2:$AK$769,Assignments!$A$2:$A$769,$A78,Assignments!$G$2:$G$769,"Active",Assignments!$AI$2:$AI$769,"&lt;="&amp;AB$47,Assignments!$AJ$2:$AJ$769,"&gt;="&amp;AB$47)+SUMIFS(Assignments!$AN$2:$AN$769,Assignments!$A$2:$A$769,$A78,Assignments!$G$2:$G$769,"Active",Assignments!$AL$2:$AL$769,"&lt;="&amp;AB$47,Assignments!$AM$2:$AM$769,"&gt;="&amp;AB$47))</f>
        <v/>
      </c>
    </row>
    <row r="79">
      <c r="A79" s="9">
        <f>IF(Roster!$A33="","",Roster!$A33)</f>
        <v/>
      </c>
      <c r="B79" s="10">
        <f>IF($A79="","",IFERROR(INDEX(Roster!$D$2:$D$40,MATCH($A79,Roster!$A$2:$A$40,0)),""))</f>
        <v/>
      </c>
      <c r="C79" s="11">
        <f>IF($A79="","",SUMIFS(Assignments!$AK$2:$AK$769,Assignments!$A$2:$A$769,$A79,Assignments!$G$2:$G$769,"Active",Assignments!$AI$2:$AI$769,"&lt;="&amp;C$47,Assignments!$AJ$2:$AJ$769,"&gt;="&amp;C$47)+SUMIFS(Assignments!$AN$2:$AN$769,Assignments!$A$2:$A$769,$A79,Assignments!$G$2:$G$769,"Active",Assignments!$AL$2:$AL$769,"&lt;="&amp;C$47,Assignments!$AM$2:$AM$769,"&gt;="&amp;C$47))</f>
        <v/>
      </c>
      <c r="D79" s="11">
        <f>IF($A79="","",SUMIFS(Assignments!$AK$2:$AK$769,Assignments!$A$2:$A$769,$A79,Assignments!$G$2:$G$769,"Active",Assignments!$AI$2:$AI$769,"&lt;="&amp;D$47,Assignments!$AJ$2:$AJ$769,"&gt;="&amp;D$47)+SUMIFS(Assignments!$AN$2:$AN$769,Assignments!$A$2:$A$769,$A79,Assignments!$G$2:$G$769,"Active",Assignments!$AL$2:$AL$769,"&lt;="&amp;D$47,Assignments!$AM$2:$AM$769,"&gt;="&amp;D$47))</f>
        <v/>
      </c>
      <c r="E79" s="11">
        <f>IF($A79="","",SUMIFS(Assignments!$AK$2:$AK$769,Assignments!$A$2:$A$769,$A79,Assignments!$G$2:$G$769,"Active",Assignments!$AI$2:$AI$769,"&lt;="&amp;E$47,Assignments!$AJ$2:$AJ$769,"&gt;="&amp;E$47)+SUMIFS(Assignments!$AN$2:$AN$769,Assignments!$A$2:$A$769,$A79,Assignments!$G$2:$G$769,"Active",Assignments!$AL$2:$AL$769,"&lt;="&amp;E$47,Assignments!$AM$2:$AM$769,"&gt;="&amp;E$47))</f>
        <v/>
      </c>
      <c r="F79" s="11">
        <f>IF($A79="","",SUMIFS(Assignments!$AK$2:$AK$769,Assignments!$A$2:$A$769,$A79,Assignments!$G$2:$G$769,"Active",Assignments!$AI$2:$AI$769,"&lt;="&amp;F$47,Assignments!$AJ$2:$AJ$769,"&gt;="&amp;F$47)+SUMIFS(Assignments!$AN$2:$AN$769,Assignments!$A$2:$A$769,$A79,Assignments!$G$2:$G$769,"Active",Assignments!$AL$2:$AL$769,"&lt;="&amp;F$47,Assignments!$AM$2:$AM$769,"&gt;="&amp;F$47))</f>
        <v/>
      </c>
      <c r="G79" s="11">
        <f>IF($A79="","",SUMIFS(Assignments!$AK$2:$AK$769,Assignments!$A$2:$A$769,$A79,Assignments!$G$2:$G$769,"Active",Assignments!$AI$2:$AI$769,"&lt;="&amp;G$47,Assignments!$AJ$2:$AJ$769,"&gt;="&amp;G$47)+SUMIFS(Assignments!$AN$2:$AN$769,Assignments!$A$2:$A$769,$A79,Assignments!$G$2:$G$769,"Active",Assignments!$AL$2:$AL$769,"&lt;="&amp;G$47,Assignments!$AM$2:$AM$769,"&gt;="&amp;G$47))</f>
        <v/>
      </c>
      <c r="H79" s="11">
        <f>IF($A79="","",SUMIFS(Assignments!$AK$2:$AK$769,Assignments!$A$2:$A$769,$A79,Assignments!$G$2:$G$769,"Active",Assignments!$AI$2:$AI$769,"&lt;="&amp;H$47,Assignments!$AJ$2:$AJ$769,"&gt;="&amp;H$47)+SUMIFS(Assignments!$AN$2:$AN$769,Assignments!$A$2:$A$769,$A79,Assignments!$G$2:$G$769,"Active",Assignments!$AL$2:$AL$769,"&lt;="&amp;H$47,Assignments!$AM$2:$AM$769,"&gt;="&amp;H$47))</f>
        <v/>
      </c>
      <c r="I79" s="11">
        <f>IF($A79="","",SUMIFS(Assignments!$AK$2:$AK$769,Assignments!$A$2:$A$769,$A79,Assignments!$G$2:$G$769,"Active",Assignments!$AI$2:$AI$769,"&lt;="&amp;I$47,Assignments!$AJ$2:$AJ$769,"&gt;="&amp;I$47)+SUMIFS(Assignments!$AN$2:$AN$769,Assignments!$A$2:$A$769,$A79,Assignments!$G$2:$G$769,"Active",Assignments!$AL$2:$AL$769,"&lt;="&amp;I$47,Assignments!$AM$2:$AM$769,"&gt;="&amp;I$47))</f>
        <v/>
      </c>
      <c r="J79" s="11">
        <f>IF($A79="","",SUMIFS(Assignments!$AK$2:$AK$769,Assignments!$A$2:$A$769,$A79,Assignments!$G$2:$G$769,"Active",Assignments!$AI$2:$AI$769,"&lt;="&amp;J$47,Assignments!$AJ$2:$AJ$769,"&gt;="&amp;J$47)+SUMIFS(Assignments!$AN$2:$AN$769,Assignments!$A$2:$A$769,$A79,Assignments!$G$2:$G$769,"Active",Assignments!$AL$2:$AL$769,"&lt;="&amp;J$47,Assignments!$AM$2:$AM$769,"&gt;="&amp;J$47))</f>
        <v/>
      </c>
      <c r="K79" s="11">
        <f>IF($A79="","",SUMIFS(Assignments!$AK$2:$AK$769,Assignments!$A$2:$A$769,$A79,Assignments!$G$2:$G$769,"Active",Assignments!$AI$2:$AI$769,"&lt;="&amp;K$47,Assignments!$AJ$2:$AJ$769,"&gt;="&amp;K$47)+SUMIFS(Assignments!$AN$2:$AN$769,Assignments!$A$2:$A$769,$A79,Assignments!$G$2:$G$769,"Active",Assignments!$AL$2:$AL$769,"&lt;="&amp;K$47,Assignments!$AM$2:$AM$769,"&gt;="&amp;K$47))</f>
        <v/>
      </c>
      <c r="L79" s="11">
        <f>IF($A79="","",SUMIFS(Assignments!$AK$2:$AK$769,Assignments!$A$2:$A$769,$A79,Assignments!$G$2:$G$769,"Active",Assignments!$AI$2:$AI$769,"&lt;="&amp;L$47,Assignments!$AJ$2:$AJ$769,"&gt;="&amp;L$47)+SUMIFS(Assignments!$AN$2:$AN$769,Assignments!$A$2:$A$769,$A79,Assignments!$G$2:$G$769,"Active",Assignments!$AL$2:$AL$769,"&lt;="&amp;L$47,Assignments!$AM$2:$AM$769,"&gt;="&amp;L$47))</f>
        <v/>
      </c>
      <c r="M79" s="11">
        <f>IF($A79="","",SUMIFS(Assignments!$AK$2:$AK$769,Assignments!$A$2:$A$769,$A79,Assignments!$G$2:$G$769,"Active",Assignments!$AI$2:$AI$769,"&lt;="&amp;M$47,Assignments!$AJ$2:$AJ$769,"&gt;="&amp;M$47)+SUMIFS(Assignments!$AN$2:$AN$769,Assignments!$A$2:$A$769,$A79,Assignments!$G$2:$G$769,"Active",Assignments!$AL$2:$AL$769,"&lt;="&amp;M$47,Assignments!$AM$2:$AM$769,"&gt;="&amp;M$47))</f>
        <v/>
      </c>
      <c r="N79" s="11">
        <f>IF($A79="","",SUMIFS(Assignments!$AK$2:$AK$769,Assignments!$A$2:$A$769,$A79,Assignments!$G$2:$G$769,"Active",Assignments!$AI$2:$AI$769,"&lt;="&amp;N$47,Assignments!$AJ$2:$AJ$769,"&gt;="&amp;N$47)+SUMIFS(Assignments!$AN$2:$AN$769,Assignments!$A$2:$A$769,$A79,Assignments!$G$2:$G$769,"Active",Assignments!$AL$2:$AL$769,"&lt;="&amp;N$47,Assignments!$AM$2:$AM$769,"&gt;="&amp;N$47))</f>
        <v/>
      </c>
      <c r="O79" s="11">
        <f>IF($A79="","",SUMIFS(Assignments!$AK$2:$AK$769,Assignments!$A$2:$A$769,$A79,Assignments!$G$2:$G$769,"Active",Assignments!$AI$2:$AI$769,"&lt;="&amp;O$47,Assignments!$AJ$2:$AJ$769,"&gt;="&amp;O$47)+SUMIFS(Assignments!$AN$2:$AN$769,Assignments!$A$2:$A$769,$A79,Assignments!$G$2:$G$769,"Active",Assignments!$AL$2:$AL$769,"&lt;="&amp;O$47,Assignments!$AM$2:$AM$769,"&gt;="&amp;O$47))</f>
        <v/>
      </c>
      <c r="P79" s="11">
        <f>IF($A79="","",SUMIFS(Assignments!$AK$2:$AK$769,Assignments!$A$2:$A$769,$A79,Assignments!$G$2:$G$769,"Active",Assignments!$AI$2:$AI$769,"&lt;="&amp;P$47,Assignments!$AJ$2:$AJ$769,"&gt;="&amp;P$47)+SUMIFS(Assignments!$AN$2:$AN$769,Assignments!$A$2:$A$769,$A79,Assignments!$G$2:$G$769,"Active",Assignments!$AL$2:$AL$769,"&lt;="&amp;P$47,Assignments!$AM$2:$AM$769,"&gt;="&amp;P$47))</f>
        <v/>
      </c>
      <c r="Q79" s="11">
        <f>IF($A79="","",SUMIFS(Assignments!$AK$2:$AK$769,Assignments!$A$2:$A$769,$A79,Assignments!$G$2:$G$769,"Active",Assignments!$AI$2:$AI$769,"&lt;="&amp;Q$47,Assignments!$AJ$2:$AJ$769,"&gt;="&amp;Q$47)+SUMIFS(Assignments!$AN$2:$AN$769,Assignments!$A$2:$A$769,$A79,Assignments!$G$2:$G$769,"Active",Assignments!$AL$2:$AL$769,"&lt;="&amp;Q$47,Assignments!$AM$2:$AM$769,"&gt;="&amp;Q$47))</f>
        <v/>
      </c>
      <c r="R79" s="11">
        <f>IF($A79="","",SUMIFS(Assignments!$AK$2:$AK$769,Assignments!$A$2:$A$769,$A79,Assignments!$G$2:$G$769,"Active",Assignments!$AI$2:$AI$769,"&lt;="&amp;R$47,Assignments!$AJ$2:$AJ$769,"&gt;="&amp;R$47)+SUMIFS(Assignments!$AN$2:$AN$769,Assignments!$A$2:$A$769,$A79,Assignments!$G$2:$G$769,"Active",Assignments!$AL$2:$AL$769,"&lt;="&amp;R$47,Assignments!$AM$2:$AM$769,"&gt;="&amp;R$47))</f>
        <v/>
      </c>
      <c r="S79" s="11">
        <f>IF($A79="","",SUMIFS(Assignments!$AK$2:$AK$769,Assignments!$A$2:$A$769,$A79,Assignments!$G$2:$G$769,"Active",Assignments!$AI$2:$AI$769,"&lt;="&amp;S$47,Assignments!$AJ$2:$AJ$769,"&gt;="&amp;S$47)+SUMIFS(Assignments!$AN$2:$AN$769,Assignments!$A$2:$A$769,$A79,Assignments!$G$2:$G$769,"Active",Assignments!$AL$2:$AL$769,"&lt;="&amp;S$47,Assignments!$AM$2:$AM$769,"&gt;="&amp;S$47))</f>
        <v/>
      </c>
      <c r="T79" s="11">
        <f>IF($A79="","",SUMIFS(Assignments!$AK$2:$AK$769,Assignments!$A$2:$A$769,$A79,Assignments!$G$2:$G$769,"Active",Assignments!$AI$2:$AI$769,"&lt;="&amp;T$47,Assignments!$AJ$2:$AJ$769,"&gt;="&amp;T$47)+SUMIFS(Assignments!$AN$2:$AN$769,Assignments!$A$2:$A$769,$A79,Assignments!$G$2:$G$769,"Active",Assignments!$AL$2:$AL$769,"&lt;="&amp;T$47,Assignments!$AM$2:$AM$769,"&gt;="&amp;T$47))</f>
        <v/>
      </c>
      <c r="U79" s="11">
        <f>IF($A79="","",SUMIFS(Assignments!$AK$2:$AK$769,Assignments!$A$2:$A$769,$A79,Assignments!$G$2:$G$769,"Active",Assignments!$AI$2:$AI$769,"&lt;="&amp;U$47,Assignments!$AJ$2:$AJ$769,"&gt;="&amp;U$47)+SUMIFS(Assignments!$AN$2:$AN$769,Assignments!$A$2:$A$769,$A79,Assignments!$G$2:$G$769,"Active",Assignments!$AL$2:$AL$769,"&lt;="&amp;U$47,Assignments!$AM$2:$AM$769,"&gt;="&amp;U$47))</f>
        <v/>
      </c>
      <c r="V79" s="11">
        <f>IF($A79="","",SUMIFS(Assignments!$AK$2:$AK$769,Assignments!$A$2:$A$769,$A79,Assignments!$G$2:$G$769,"Active",Assignments!$AI$2:$AI$769,"&lt;="&amp;V$47,Assignments!$AJ$2:$AJ$769,"&gt;="&amp;V$47)+SUMIFS(Assignments!$AN$2:$AN$769,Assignments!$A$2:$A$769,$A79,Assignments!$G$2:$G$769,"Active",Assignments!$AL$2:$AL$769,"&lt;="&amp;V$47,Assignments!$AM$2:$AM$769,"&gt;="&amp;V$47))</f>
        <v/>
      </c>
      <c r="W79" s="11">
        <f>IF($A79="","",SUMIFS(Assignments!$AK$2:$AK$769,Assignments!$A$2:$A$769,$A79,Assignments!$G$2:$G$769,"Active",Assignments!$AI$2:$AI$769,"&lt;="&amp;W$47,Assignments!$AJ$2:$AJ$769,"&gt;="&amp;W$47)+SUMIFS(Assignments!$AN$2:$AN$769,Assignments!$A$2:$A$769,$A79,Assignments!$G$2:$G$769,"Active",Assignments!$AL$2:$AL$769,"&lt;="&amp;W$47,Assignments!$AM$2:$AM$769,"&gt;="&amp;W$47))</f>
        <v/>
      </c>
      <c r="X79" s="11">
        <f>IF($A79="","",SUMIFS(Assignments!$AK$2:$AK$769,Assignments!$A$2:$A$769,$A79,Assignments!$G$2:$G$769,"Active",Assignments!$AI$2:$AI$769,"&lt;="&amp;X$47,Assignments!$AJ$2:$AJ$769,"&gt;="&amp;X$47)+SUMIFS(Assignments!$AN$2:$AN$769,Assignments!$A$2:$A$769,$A79,Assignments!$G$2:$G$769,"Active",Assignments!$AL$2:$AL$769,"&lt;="&amp;X$47,Assignments!$AM$2:$AM$769,"&gt;="&amp;X$47))</f>
        <v/>
      </c>
      <c r="Y79" s="11">
        <f>IF($A79="","",SUMIFS(Assignments!$AK$2:$AK$769,Assignments!$A$2:$A$769,$A79,Assignments!$G$2:$G$769,"Active",Assignments!$AI$2:$AI$769,"&lt;="&amp;Y$47,Assignments!$AJ$2:$AJ$769,"&gt;="&amp;Y$47)+SUMIFS(Assignments!$AN$2:$AN$769,Assignments!$A$2:$A$769,$A79,Assignments!$G$2:$G$769,"Active",Assignments!$AL$2:$AL$769,"&lt;="&amp;Y$47,Assignments!$AM$2:$AM$769,"&gt;="&amp;Y$47))</f>
        <v/>
      </c>
      <c r="Z79" s="11">
        <f>IF($A79="","",SUMIFS(Assignments!$AK$2:$AK$769,Assignments!$A$2:$A$769,$A79,Assignments!$G$2:$G$769,"Active",Assignments!$AI$2:$AI$769,"&lt;="&amp;Z$47,Assignments!$AJ$2:$AJ$769,"&gt;="&amp;Z$47)+SUMIFS(Assignments!$AN$2:$AN$769,Assignments!$A$2:$A$769,$A79,Assignments!$G$2:$G$769,"Active",Assignments!$AL$2:$AL$769,"&lt;="&amp;Z$47,Assignments!$AM$2:$AM$769,"&gt;="&amp;Z$47))</f>
        <v/>
      </c>
      <c r="AA79" s="11">
        <f>IF($A79="","",SUMIFS(Assignments!$AK$2:$AK$769,Assignments!$A$2:$A$769,$A79,Assignments!$G$2:$G$769,"Active",Assignments!$AI$2:$AI$769,"&lt;="&amp;AA$47,Assignments!$AJ$2:$AJ$769,"&gt;="&amp;AA$47)+SUMIFS(Assignments!$AN$2:$AN$769,Assignments!$A$2:$A$769,$A79,Assignments!$G$2:$G$769,"Active",Assignments!$AL$2:$AL$769,"&lt;="&amp;AA$47,Assignments!$AM$2:$AM$769,"&gt;="&amp;AA$47))</f>
        <v/>
      </c>
      <c r="AB79" s="11">
        <f>IF($A79="","",SUMIFS(Assignments!$AK$2:$AK$769,Assignments!$A$2:$A$769,$A79,Assignments!$G$2:$G$769,"Active",Assignments!$AI$2:$AI$769,"&lt;="&amp;AB$47,Assignments!$AJ$2:$AJ$769,"&gt;="&amp;AB$47)+SUMIFS(Assignments!$AN$2:$AN$769,Assignments!$A$2:$A$769,$A79,Assignments!$G$2:$G$769,"Active",Assignments!$AL$2:$AL$769,"&lt;="&amp;AB$47,Assignments!$AM$2:$AM$769,"&gt;="&amp;AB$47))</f>
        <v/>
      </c>
    </row>
    <row r="80">
      <c r="A80" s="9">
        <f>IF(Roster!$A34="","",Roster!$A34)</f>
        <v/>
      </c>
      <c r="B80" s="10">
        <f>IF($A80="","",IFERROR(INDEX(Roster!$D$2:$D$40,MATCH($A80,Roster!$A$2:$A$40,0)),""))</f>
        <v/>
      </c>
      <c r="C80" s="11">
        <f>IF($A80="","",SUMIFS(Assignments!$AK$2:$AK$769,Assignments!$A$2:$A$769,$A80,Assignments!$G$2:$G$769,"Active",Assignments!$AI$2:$AI$769,"&lt;="&amp;C$47,Assignments!$AJ$2:$AJ$769,"&gt;="&amp;C$47)+SUMIFS(Assignments!$AN$2:$AN$769,Assignments!$A$2:$A$769,$A80,Assignments!$G$2:$G$769,"Active",Assignments!$AL$2:$AL$769,"&lt;="&amp;C$47,Assignments!$AM$2:$AM$769,"&gt;="&amp;C$47))</f>
        <v/>
      </c>
      <c r="D80" s="11">
        <f>IF($A80="","",SUMIFS(Assignments!$AK$2:$AK$769,Assignments!$A$2:$A$769,$A80,Assignments!$G$2:$G$769,"Active",Assignments!$AI$2:$AI$769,"&lt;="&amp;D$47,Assignments!$AJ$2:$AJ$769,"&gt;="&amp;D$47)+SUMIFS(Assignments!$AN$2:$AN$769,Assignments!$A$2:$A$769,$A80,Assignments!$G$2:$G$769,"Active",Assignments!$AL$2:$AL$769,"&lt;="&amp;D$47,Assignments!$AM$2:$AM$769,"&gt;="&amp;D$47))</f>
        <v/>
      </c>
      <c r="E80" s="11">
        <f>IF($A80="","",SUMIFS(Assignments!$AK$2:$AK$769,Assignments!$A$2:$A$769,$A80,Assignments!$G$2:$G$769,"Active",Assignments!$AI$2:$AI$769,"&lt;="&amp;E$47,Assignments!$AJ$2:$AJ$769,"&gt;="&amp;E$47)+SUMIFS(Assignments!$AN$2:$AN$769,Assignments!$A$2:$A$769,$A80,Assignments!$G$2:$G$769,"Active",Assignments!$AL$2:$AL$769,"&lt;="&amp;E$47,Assignments!$AM$2:$AM$769,"&gt;="&amp;E$47))</f>
        <v/>
      </c>
      <c r="F80" s="11">
        <f>IF($A80="","",SUMIFS(Assignments!$AK$2:$AK$769,Assignments!$A$2:$A$769,$A80,Assignments!$G$2:$G$769,"Active",Assignments!$AI$2:$AI$769,"&lt;="&amp;F$47,Assignments!$AJ$2:$AJ$769,"&gt;="&amp;F$47)+SUMIFS(Assignments!$AN$2:$AN$769,Assignments!$A$2:$A$769,$A80,Assignments!$G$2:$G$769,"Active",Assignments!$AL$2:$AL$769,"&lt;="&amp;F$47,Assignments!$AM$2:$AM$769,"&gt;="&amp;F$47))</f>
        <v/>
      </c>
      <c r="G80" s="11">
        <f>IF($A80="","",SUMIFS(Assignments!$AK$2:$AK$769,Assignments!$A$2:$A$769,$A80,Assignments!$G$2:$G$769,"Active",Assignments!$AI$2:$AI$769,"&lt;="&amp;G$47,Assignments!$AJ$2:$AJ$769,"&gt;="&amp;G$47)+SUMIFS(Assignments!$AN$2:$AN$769,Assignments!$A$2:$A$769,$A80,Assignments!$G$2:$G$769,"Active",Assignments!$AL$2:$AL$769,"&lt;="&amp;G$47,Assignments!$AM$2:$AM$769,"&gt;="&amp;G$47))</f>
        <v/>
      </c>
      <c r="H80" s="11">
        <f>IF($A80="","",SUMIFS(Assignments!$AK$2:$AK$769,Assignments!$A$2:$A$769,$A80,Assignments!$G$2:$G$769,"Active",Assignments!$AI$2:$AI$769,"&lt;="&amp;H$47,Assignments!$AJ$2:$AJ$769,"&gt;="&amp;H$47)+SUMIFS(Assignments!$AN$2:$AN$769,Assignments!$A$2:$A$769,$A80,Assignments!$G$2:$G$769,"Active",Assignments!$AL$2:$AL$769,"&lt;="&amp;H$47,Assignments!$AM$2:$AM$769,"&gt;="&amp;H$47))</f>
        <v/>
      </c>
      <c r="I80" s="11">
        <f>IF($A80="","",SUMIFS(Assignments!$AK$2:$AK$769,Assignments!$A$2:$A$769,$A80,Assignments!$G$2:$G$769,"Active",Assignments!$AI$2:$AI$769,"&lt;="&amp;I$47,Assignments!$AJ$2:$AJ$769,"&gt;="&amp;I$47)+SUMIFS(Assignments!$AN$2:$AN$769,Assignments!$A$2:$A$769,$A80,Assignments!$G$2:$G$769,"Active",Assignments!$AL$2:$AL$769,"&lt;="&amp;I$47,Assignments!$AM$2:$AM$769,"&gt;="&amp;I$47))</f>
        <v/>
      </c>
      <c r="J80" s="11">
        <f>IF($A80="","",SUMIFS(Assignments!$AK$2:$AK$769,Assignments!$A$2:$A$769,$A80,Assignments!$G$2:$G$769,"Active",Assignments!$AI$2:$AI$769,"&lt;="&amp;J$47,Assignments!$AJ$2:$AJ$769,"&gt;="&amp;J$47)+SUMIFS(Assignments!$AN$2:$AN$769,Assignments!$A$2:$A$769,$A80,Assignments!$G$2:$G$769,"Active",Assignments!$AL$2:$AL$769,"&lt;="&amp;J$47,Assignments!$AM$2:$AM$769,"&gt;="&amp;J$47))</f>
        <v/>
      </c>
      <c r="K80" s="11">
        <f>IF($A80="","",SUMIFS(Assignments!$AK$2:$AK$769,Assignments!$A$2:$A$769,$A80,Assignments!$G$2:$G$769,"Active",Assignments!$AI$2:$AI$769,"&lt;="&amp;K$47,Assignments!$AJ$2:$AJ$769,"&gt;="&amp;K$47)+SUMIFS(Assignments!$AN$2:$AN$769,Assignments!$A$2:$A$769,$A80,Assignments!$G$2:$G$769,"Active",Assignments!$AL$2:$AL$769,"&lt;="&amp;K$47,Assignments!$AM$2:$AM$769,"&gt;="&amp;K$47))</f>
        <v/>
      </c>
      <c r="L80" s="11">
        <f>IF($A80="","",SUMIFS(Assignments!$AK$2:$AK$769,Assignments!$A$2:$A$769,$A80,Assignments!$G$2:$G$769,"Active",Assignments!$AI$2:$AI$769,"&lt;="&amp;L$47,Assignments!$AJ$2:$AJ$769,"&gt;="&amp;L$47)+SUMIFS(Assignments!$AN$2:$AN$769,Assignments!$A$2:$A$769,$A80,Assignments!$G$2:$G$769,"Active",Assignments!$AL$2:$AL$769,"&lt;="&amp;L$47,Assignments!$AM$2:$AM$769,"&gt;="&amp;L$47))</f>
        <v/>
      </c>
      <c r="M80" s="11">
        <f>IF($A80="","",SUMIFS(Assignments!$AK$2:$AK$769,Assignments!$A$2:$A$769,$A80,Assignments!$G$2:$G$769,"Active",Assignments!$AI$2:$AI$769,"&lt;="&amp;M$47,Assignments!$AJ$2:$AJ$769,"&gt;="&amp;M$47)+SUMIFS(Assignments!$AN$2:$AN$769,Assignments!$A$2:$A$769,$A80,Assignments!$G$2:$G$769,"Active",Assignments!$AL$2:$AL$769,"&lt;="&amp;M$47,Assignments!$AM$2:$AM$769,"&gt;="&amp;M$47))</f>
        <v/>
      </c>
      <c r="N80" s="11">
        <f>IF($A80="","",SUMIFS(Assignments!$AK$2:$AK$769,Assignments!$A$2:$A$769,$A80,Assignments!$G$2:$G$769,"Active",Assignments!$AI$2:$AI$769,"&lt;="&amp;N$47,Assignments!$AJ$2:$AJ$769,"&gt;="&amp;N$47)+SUMIFS(Assignments!$AN$2:$AN$769,Assignments!$A$2:$A$769,$A80,Assignments!$G$2:$G$769,"Active",Assignments!$AL$2:$AL$769,"&lt;="&amp;N$47,Assignments!$AM$2:$AM$769,"&gt;="&amp;N$47))</f>
        <v/>
      </c>
      <c r="O80" s="11">
        <f>IF($A80="","",SUMIFS(Assignments!$AK$2:$AK$769,Assignments!$A$2:$A$769,$A80,Assignments!$G$2:$G$769,"Active",Assignments!$AI$2:$AI$769,"&lt;="&amp;O$47,Assignments!$AJ$2:$AJ$769,"&gt;="&amp;O$47)+SUMIFS(Assignments!$AN$2:$AN$769,Assignments!$A$2:$A$769,$A80,Assignments!$G$2:$G$769,"Active",Assignments!$AL$2:$AL$769,"&lt;="&amp;O$47,Assignments!$AM$2:$AM$769,"&gt;="&amp;O$47))</f>
        <v/>
      </c>
      <c r="P80" s="11">
        <f>IF($A80="","",SUMIFS(Assignments!$AK$2:$AK$769,Assignments!$A$2:$A$769,$A80,Assignments!$G$2:$G$769,"Active",Assignments!$AI$2:$AI$769,"&lt;="&amp;P$47,Assignments!$AJ$2:$AJ$769,"&gt;="&amp;P$47)+SUMIFS(Assignments!$AN$2:$AN$769,Assignments!$A$2:$A$769,$A80,Assignments!$G$2:$G$769,"Active",Assignments!$AL$2:$AL$769,"&lt;="&amp;P$47,Assignments!$AM$2:$AM$769,"&gt;="&amp;P$47))</f>
        <v/>
      </c>
      <c r="Q80" s="11">
        <f>IF($A80="","",SUMIFS(Assignments!$AK$2:$AK$769,Assignments!$A$2:$A$769,$A80,Assignments!$G$2:$G$769,"Active",Assignments!$AI$2:$AI$769,"&lt;="&amp;Q$47,Assignments!$AJ$2:$AJ$769,"&gt;="&amp;Q$47)+SUMIFS(Assignments!$AN$2:$AN$769,Assignments!$A$2:$A$769,$A80,Assignments!$G$2:$G$769,"Active",Assignments!$AL$2:$AL$769,"&lt;="&amp;Q$47,Assignments!$AM$2:$AM$769,"&gt;="&amp;Q$47))</f>
        <v/>
      </c>
      <c r="R80" s="11">
        <f>IF($A80="","",SUMIFS(Assignments!$AK$2:$AK$769,Assignments!$A$2:$A$769,$A80,Assignments!$G$2:$G$769,"Active",Assignments!$AI$2:$AI$769,"&lt;="&amp;R$47,Assignments!$AJ$2:$AJ$769,"&gt;="&amp;R$47)+SUMIFS(Assignments!$AN$2:$AN$769,Assignments!$A$2:$A$769,$A80,Assignments!$G$2:$G$769,"Active",Assignments!$AL$2:$AL$769,"&lt;="&amp;R$47,Assignments!$AM$2:$AM$769,"&gt;="&amp;R$47))</f>
        <v/>
      </c>
      <c r="S80" s="11">
        <f>IF($A80="","",SUMIFS(Assignments!$AK$2:$AK$769,Assignments!$A$2:$A$769,$A80,Assignments!$G$2:$G$769,"Active",Assignments!$AI$2:$AI$769,"&lt;="&amp;S$47,Assignments!$AJ$2:$AJ$769,"&gt;="&amp;S$47)+SUMIFS(Assignments!$AN$2:$AN$769,Assignments!$A$2:$A$769,$A80,Assignments!$G$2:$G$769,"Active",Assignments!$AL$2:$AL$769,"&lt;="&amp;S$47,Assignments!$AM$2:$AM$769,"&gt;="&amp;S$47))</f>
        <v/>
      </c>
      <c r="T80" s="11">
        <f>IF($A80="","",SUMIFS(Assignments!$AK$2:$AK$769,Assignments!$A$2:$A$769,$A80,Assignments!$G$2:$G$769,"Active",Assignments!$AI$2:$AI$769,"&lt;="&amp;T$47,Assignments!$AJ$2:$AJ$769,"&gt;="&amp;T$47)+SUMIFS(Assignments!$AN$2:$AN$769,Assignments!$A$2:$A$769,$A80,Assignments!$G$2:$G$769,"Active",Assignments!$AL$2:$AL$769,"&lt;="&amp;T$47,Assignments!$AM$2:$AM$769,"&gt;="&amp;T$47))</f>
        <v/>
      </c>
      <c r="U80" s="11">
        <f>IF($A80="","",SUMIFS(Assignments!$AK$2:$AK$769,Assignments!$A$2:$A$769,$A80,Assignments!$G$2:$G$769,"Active",Assignments!$AI$2:$AI$769,"&lt;="&amp;U$47,Assignments!$AJ$2:$AJ$769,"&gt;="&amp;U$47)+SUMIFS(Assignments!$AN$2:$AN$769,Assignments!$A$2:$A$769,$A80,Assignments!$G$2:$G$769,"Active",Assignments!$AL$2:$AL$769,"&lt;="&amp;U$47,Assignments!$AM$2:$AM$769,"&gt;="&amp;U$47))</f>
        <v/>
      </c>
      <c r="V80" s="11">
        <f>IF($A80="","",SUMIFS(Assignments!$AK$2:$AK$769,Assignments!$A$2:$A$769,$A80,Assignments!$G$2:$G$769,"Active",Assignments!$AI$2:$AI$769,"&lt;="&amp;V$47,Assignments!$AJ$2:$AJ$769,"&gt;="&amp;V$47)+SUMIFS(Assignments!$AN$2:$AN$769,Assignments!$A$2:$A$769,$A80,Assignments!$G$2:$G$769,"Active",Assignments!$AL$2:$AL$769,"&lt;="&amp;V$47,Assignments!$AM$2:$AM$769,"&gt;="&amp;V$47))</f>
        <v/>
      </c>
      <c r="W80" s="11">
        <f>IF($A80="","",SUMIFS(Assignments!$AK$2:$AK$769,Assignments!$A$2:$A$769,$A80,Assignments!$G$2:$G$769,"Active",Assignments!$AI$2:$AI$769,"&lt;="&amp;W$47,Assignments!$AJ$2:$AJ$769,"&gt;="&amp;W$47)+SUMIFS(Assignments!$AN$2:$AN$769,Assignments!$A$2:$A$769,$A80,Assignments!$G$2:$G$769,"Active",Assignments!$AL$2:$AL$769,"&lt;="&amp;W$47,Assignments!$AM$2:$AM$769,"&gt;="&amp;W$47))</f>
        <v/>
      </c>
      <c r="X80" s="11">
        <f>IF($A80="","",SUMIFS(Assignments!$AK$2:$AK$769,Assignments!$A$2:$A$769,$A80,Assignments!$G$2:$G$769,"Active",Assignments!$AI$2:$AI$769,"&lt;="&amp;X$47,Assignments!$AJ$2:$AJ$769,"&gt;="&amp;X$47)+SUMIFS(Assignments!$AN$2:$AN$769,Assignments!$A$2:$A$769,$A80,Assignments!$G$2:$G$769,"Active",Assignments!$AL$2:$AL$769,"&lt;="&amp;X$47,Assignments!$AM$2:$AM$769,"&gt;="&amp;X$47))</f>
        <v/>
      </c>
      <c r="Y80" s="11">
        <f>IF($A80="","",SUMIFS(Assignments!$AK$2:$AK$769,Assignments!$A$2:$A$769,$A80,Assignments!$G$2:$G$769,"Active",Assignments!$AI$2:$AI$769,"&lt;="&amp;Y$47,Assignments!$AJ$2:$AJ$769,"&gt;="&amp;Y$47)+SUMIFS(Assignments!$AN$2:$AN$769,Assignments!$A$2:$A$769,$A80,Assignments!$G$2:$G$769,"Active",Assignments!$AL$2:$AL$769,"&lt;="&amp;Y$47,Assignments!$AM$2:$AM$769,"&gt;="&amp;Y$47))</f>
        <v/>
      </c>
      <c r="Z80" s="11">
        <f>IF($A80="","",SUMIFS(Assignments!$AK$2:$AK$769,Assignments!$A$2:$A$769,$A80,Assignments!$G$2:$G$769,"Active",Assignments!$AI$2:$AI$769,"&lt;="&amp;Z$47,Assignments!$AJ$2:$AJ$769,"&gt;="&amp;Z$47)+SUMIFS(Assignments!$AN$2:$AN$769,Assignments!$A$2:$A$769,$A80,Assignments!$G$2:$G$769,"Active",Assignments!$AL$2:$AL$769,"&lt;="&amp;Z$47,Assignments!$AM$2:$AM$769,"&gt;="&amp;Z$47))</f>
        <v/>
      </c>
      <c r="AA80" s="11">
        <f>IF($A80="","",SUMIFS(Assignments!$AK$2:$AK$769,Assignments!$A$2:$A$769,$A80,Assignments!$G$2:$G$769,"Active",Assignments!$AI$2:$AI$769,"&lt;="&amp;AA$47,Assignments!$AJ$2:$AJ$769,"&gt;="&amp;AA$47)+SUMIFS(Assignments!$AN$2:$AN$769,Assignments!$A$2:$A$769,$A80,Assignments!$G$2:$G$769,"Active",Assignments!$AL$2:$AL$769,"&lt;="&amp;AA$47,Assignments!$AM$2:$AM$769,"&gt;="&amp;AA$47))</f>
        <v/>
      </c>
      <c r="AB80" s="11">
        <f>IF($A80="","",SUMIFS(Assignments!$AK$2:$AK$769,Assignments!$A$2:$A$769,$A80,Assignments!$G$2:$G$769,"Active",Assignments!$AI$2:$AI$769,"&lt;="&amp;AB$47,Assignments!$AJ$2:$AJ$769,"&gt;="&amp;AB$47)+SUMIFS(Assignments!$AN$2:$AN$769,Assignments!$A$2:$A$769,$A80,Assignments!$G$2:$G$769,"Active",Assignments!$AL$2:$AL$769,"&lt;="&amp;AB$47,Assignments!$AM$2:$AM$769,"&gt;="&amp;AB$47))</f>
        <v/>
      </c>
    </row>
    <row r="81">
      <c r="A81" s="9">
        <f>IF(Roster!$A35="","",Roster!$A35)</f>
        <v/>
      </c>
      <c r="B81" s="10">
        <f>IF($A81="","",IFERROR(INDEX(Roster!$D$2:$D$40,MATCH($A81,Roster!$A$2:$A$40,0)),""))</f>
        <v/>
      </c>
      <c r="C81" s="11">
        <f>IF($A81="","",SUMIFS(Assignments!$AK$2:$AK$769,Assignments!$A$2:$A$769,$A81,Assignments!$G$2:$G$769,"Active",Assignments!$AI$2:$AI$769,"&lt;="&amp;C$47,Assignments!$AJ$2:$AJ$769,"&gt;="&amp;C$47)+SUMIFS(Assignments!$AN$2:$AN$769,Assignments!$A$2:$A$769,$A81,Assignments!$G$2:$G$769,"Active",Assignments!$AL$2:$AL$769,"&lt;="&amp;C$47,Assignments!$AM$2:$AM$769,"&gt;="&amp;C$47))</f>
        <v/>
      </c>
      <c r="D81" s="11">
        <f>IF($A81="","",SUMIFS(Assignments!$AK$2:$AK$769,Assignments!$A$2:$A$769,$A81,Assignments!$G$2:$G$769,"Active",Assignments!$AI$2:$AI$769,"&lt;="&amp;D$47,Assignments!$AJ$2:$AJ$769,"&gt;="&amp;D$47)+SUMIFS(Assignments!$AN$2:$AN$769,Assignments!$A$2:$A$769,$A81,Assignments!$G$2:$G$769,"Active",Assignments!$AL$2:$AL$769,"&lt;="&amp;D$47,Assignments!$AM$2:$AM$769,"&gt;="&amp;D$47))</f>
        <v/>
      </c>
      <c r="E81" s="11">
        <f>IF($A81="","",SUMIFS(Assignments!$AK$2:$AK$769,Assignments!$A$2:$A$769,$A81,Assignments!$G$2:$G$769,"Active",Assignments!$AI$2:$AI$769,"&lt;="&amp;E$47,Assignments!$AJ$2:$AJ$769,"&gt;="&amp;E$47)+SUMIFS(Assignments!$AN$2:$AN$769,Assignments!$A$2:$A$769,$A81,Assignments!$G$2:$G$769,"Active",Assignments!$AL$2:$AL$769,"&lt;="&amp;E$47,Assignments!$AM$2:$AM$769,"&gt;="&amp;E$47))</f>
        <v/>
      </c>
      <c r="F81" s="11">
        <f>IF($A81="","",SUMIFS(Assignments!$AK$2:$AK$769,Assignments!$A$2:$A$769,$A81,Assignments!$G$2:$G$769,"Active",Assignments!$AI$2:$AI$769,"&lt;="&amp;F$47,Assignments!$AJ$2:$AJ$769,"&gt;="&amp;F$47)+SUMIFS(Assignments!$AN$2:$AN$769,Assignments!$A$2:$A$769,$A81,Assignments!$G$2:$G$769,"Active",Assignments!$AL$2:$AL$769,"&lt;="&amp;F$47,Assignments!$AM$2:$AM$769,"&gt;="&amp;F$47))</f>
        <v/>
      </c>
      <c r="G81" s="11">
        <f>IF($A81="","",SUMIFS(Assignments!$AK$2:$AK$769,Assignments!$A$2:$A$769,$A81,Assignments!$G$2:$G$769,"Active",Assignments!$AI$2:$AI$769,"&lt;="&amp;G$47,Assignments!$AJ$2:$AJ$769,"&gt;="&amp;G$47)+SUMIFS(Assignments!$AN$2:$AN$769,Assignments!$A$2:$A$769,$A81,Assignments!$G$2:$G$769,"Active",Assignments!$AL$2:$AL$769,"&lt;="&amp;G$47,Assignments!$AM$2:$AM$769,"&gt;="&amp;G$47))</f>
        <v/>
      </c>
      <c r="H81" s="11">
        <f>IF($A81="","",SUMIFS(Assignments!$AK$2:$AK$769,Assignments!$A$2:$A$769,$A81,Assignments!$G$2:$G$769,"Active",Assignments!$AI$2:$AI$769,"&lt;="&amp;H$47,Assignments!$AJ$2:$AJ$769,"&gt;="&amp;H$47)+SUMIFS(Assignments!$AN$2:$AN$769,Assignments!$A$2:$A$769,$A81,Assignments!$G$2:$G$769,"Active",Assignments!$AL$2:$AL$769,"&lt;="&amp;H$47,Assignments!$AM$2:$AM$769,"&gt;="&amp;H$47))</f>
        <v/>
      </c>
      <c r="I81" s="11">
        <f>IF($A81="","",SUMIFS(Assignments!$AK$2:$AK$769,Assignments!$A$2:$A$769,$A81,Assignments!$G$2:$G$769,"Active",Assignments!$AI$2:$AI$769,"&lt;="&amp;I$47,Assignments!$AJ$2:$AJ$769,"&gt;="&amp;I$47)+SUMIFS(Assignments!$AN$2:$AN$769,Assignments!$A$2:$A$769,$A81,Assignments!$G$2:$G$769,"Active",Assignments!$AL$2:$AL$769,"&lt;="&amp;I$47,Assignments!$AM$2:$AM$769,"&gt;="&amp;I$47))</f>
        <v/>
      </c>
      <c r="J81" s="11">
        <f>IF($A81="","",SUMIFS(Assignments!$AK$2:$AK$769,Assignments!$A$2:$A$769,$A81,Assignments!$G$2:$G$769,"Active",Assignments!$AI$2:$AI$769,"&lt;="&amp;J$47,Assignments!$AJ$2:$AJ$769,"&gt;="&amp;J$47)+SUMIFS(Assignments!$AN$2:$AN$769,Assignments!$A$2:$A$769,$A81,Assignments!$G$2:$G$769,"Active",Assignments!$AL$2:$AL$769,"&lt;="&amp;J$47,Assignments!$AM$2:$AM$769,"&gt;="&amp;J$47))</f>
        <v/>
      </c>
      <c r="K81" s="11">
        <f>IF($A81="","",SUMIFS(Assignments!$AK$2:$AK$769,Assignments!$A$2:$A$769,$A81,Assignments!$G$2:$G$769,"Active",Assignments!$AI$2:$AI$769,"&lt;="&amp;K$47,Assignments!$AJ$2:$AJ$769,"&gt;="&amp;K$47)+SUMIFS(Assignments!$AN$2:$AN$769,Assignments!$A$2:$A$769,$A81,Assignments!$G$2:$G$769,"Active",Assignments!$AL$2:$AL$769,"&lt;="&amp;K$47,Assignments!$AM$2:$AM$769,"&gt;="&amp;K$47))</f>
        <v/>
      </c>
      <c r="L81" s="11">
        <f>IF($A81="","",SUMIFS(Assignments!$AK$2:$AK$769,Assignments!$A$2:$A$769,$A81,Assignments!$G$2:$G$769,"Active",Assignments!$AI$2:$AI$769,"&lt;="&amp;L$47,Assignments!$AJ$2:$AJ$769,"&gt;="&amp;L$47)+SUMIFS(Assignments!$AN$2:$AN$769,Assignments!$A$2:$A$769,$A81,Assignments!$G$2:$G$769,"Active",Assignments!$AL$2:$AL$769,"&lt;="&amp;L$47,Assignments!$AM$2:$AM$769,"&gt;="&amp;L$47))</f>
        <v/>
      </c>
      <c r="M81" s="11">
        <f>IF($A81="","",SUMIFS(Assignments!$AK$2:$AK$769,Assignments!$A$2:$A$769,$A81,Assignments!$G$2:$G$769,"Active",Assignments!$AI$2:$AI$769,"&lt;="&amp;M$47,Assignments!$AJ$2:$AJ$769,"&gt;="&amp;M$47)+SUMIFS(Assignments!$AN$2:$AN$769,Assignments!$A$2:$A$769,$A81,Assignments!$G$2:$G$769,"Active",Assignments!$AL$2:$AL$769,"&lt;="&amp;M$47,Assignments!$AM$2:$AM$769,"&gt;="&amp;M$47))</f>
        <v/>
      </c>
      <c r="N81" s="11">
        <f>IF($A81="","",SUMIFS(Assignments!$AK$2:$AK$769,Assignments!$A$2:$A$769,$A81,Assignments!$G$2:$G$769,"Active",Assignments!$AI$2:$AI$769,"&lt;="&amp;N$47,Assignments!$AJ$2:$AJ$769,"&gt;="&amp;N$47)+SUMIFS(Assignments!$AN$2:$AN$769,Assignments!$A$2:$A$769,$A81,Assignments!$G$2:$G$769,"Active",Assignments!$AL$2:$AL$769,"&lt;="&amp;N$47,Assignments!$AM$2:$AM$769,"&gt;="&amp;N$47))</f>
        <v/>
      </c>
      <c r="O81" s="11">
        <f>IF($A81="","",SUMIFS(Assignments!$AK$2:$AK$769,Assignments!$A$2:$A$769,$A81,Assignments!$G$2:$G$769,"Active",Assignments!$AI$2:$AI$769,"&lt;="&amp;O$47,Assignments!$AJ$2:$AJ$769,"&gt;="&amp;O$47)+SUMIFS(Assignments!$AN$2:$AN$769,Assignments!$A$2:$A$769,$A81,Assignments!$G$2:$G$769,"Active",Assignments!$AL$2:$AL$769,"&lt;="&amp;O$47,Assignments!$AM$2:$AM$769,"&gt;="&amp;O$47))</f>
        <v/>
      </c>
      <c r="P81" s="11">
        <f>IF($A81="","",SUMIFS(Assignments!$AK$2:$AK$769,Assignments!$A$2:$A$769,$A81,Assignments!$G$2:$G$769,"Active",Assignments!$AI$2:$AI$769,"&lt;="&amp;P$47,Assignments!$AJ$2:$AJ$769,"&gt;="&amp;P$47)+SUMIFS(Assignments!$AN$2:$AN$769,Assignments!$A$2:$A$769,$A81,Assignments!$G$2:$G$769,"Active",Assignments!$AL$2:$AL$769,"&lt;="&amp;P$47,Assignments!$AM$2:$AM$769,"&gt;="&amp;P$47))</f>
        <v/>
      </c>
      <c r="Q81" s="11">
        <f>IF($A81="","",SUMIFS(Assignments!$AK$2:$AK$769,Assignments!$A$2:$A$769,$A81,Assignments!$G$2:$G$769,"Active",Assignments!$AI$2:$AI$769,"&lt;="&amp;Q$47,Assignments!$AJ$2:$AJ$769,"&gt;="&amp;Q$47)+SUMIFS(Assignments!$AN$2:$AN$769,Assignments!$A$2:$A$769,$A81,Assignments!$G$2:$G$769,"Active",Assignments!$AL$2:$AL$769,"&lt;="&amp;Q$47,Assignments!$AM$2:$AM$769,"&gt;="&amp;Q$47))</f>
        <v/>
      </c>
      <c r="R81" s="11">
        <f>IF($A81="","",SUMIFS(Assignments!$AK$2:$AK$769,Assignments!$A$2:$A$769,$A81,Assignments!$G$2:$G$769,"Active",Assignments!$AI$2:$AI$769,"&lt;="&amp;R$47,Assignments!$AJ$2:$AJ$769,"&gt;="&amp;R$47)+SUMIFS(Assignments!$AN$2:$AN$769,Assignments!$A$2:$A$769,$A81,Assignments!$G$2:$G$769,"Active",Assignments!$AL$2:$AL$769,"&lt;="&amp;R$47,Assignments!$AM$2:$AM$769,"&gt;="&amp;R$47))</f>
        <v/>
      </c>
      <c r="S81" s="11">
        <f>IF($A81="","",SUMIFS(Assignments!$AK$2:$AK$769,Assignments!$A$2:$A$769,$A81,Assignments!$G$2:$G$769,"Active",Assignments!$AI$2:$AI$769,"&lt;="&amp;S$47,Assignments!$AJ$2:$AJ$769,"&gt;="&amp;S$47)+SUMIFS(Assignments!$AN$2:$AN$769,Assignments!$A$2:$A$769,$A81,Assignments!$G$2:$G$769,"Active",Assignments!$AL$2:$AL$769,"&lt;="&amp;S$47,Assignments!$AM$2:$AM$769,"&gt;="&amp;S$47))</f>
        <v/>
      </c>
      <c r="T81" s="11">
        <f>IF($A81="","",SUMIFS(Assignments!$AK$2:$AK$769,Assignments!$A$2:$A$769,$A81,Assignments!$G$2:$G$769,"Active",Assignments!$AI$2:$AI$769,"&lt;="&amp;T$47,Assignments!$AJ$2:$AJ$769,"&gt;="&amp;T$47)+SUMIFS(Assignments!$AN$2:$AN$769,Assignments!$A$2:$A$769,$A81,Assignments!$G$2:$G$769,"Active",Assignments!$AL$2:$AL$769,"&lt;="&amp;T$47,Assignments!$AM$2:$AM$769,"&gt;="&amp;T$47))</f>
        <v/>
      </c>
      <c r="U81" s="11">
        <f>IF($A81="","",SUMIFS(Assignments!$AK$2:$AK$769,Assignments!$A$2:$A$769,$A81,Assignments!$G$2:$G$769,"Active",Assignments!$AI$2:$AI$769,"&lt;="&amp;U$47,Assignments!$AJ$2:$AJ$769,"&gt;="&amp;U$47)+SUMIFS(Assignments!$AN$2:$AN$769,Assignments!$A$2:$A$769,$A81,Assignments!$G$2:$G$769,"Active",Assignments!$AL$2:$AL$769,"&lt;="&amp;U$47,Assignments!$AM$2:$AM$769,"&gt;="&amp;U$47))</f>
        <v/>
      </c>
      <c r="V81" s="11">
        <f>IF($A81="","",SUMIFS(Assignments!$AK$2:$AK$769,Assignments!$A$2:$A$769,$A81,Assignments!$G$2:$G$769,"Active",Assignments!$AI$2:$AI$769,"&lt;="&amp;V$47,Assignments!$AJ$2:$AJ$769,"&gt;="&amp;V$47)+SUMIFS(Assignments!$AN$2:$AN$769,Assignments!$A$2:$A$769,$A81,Assignments!$G$2:$G$769,"Active",Assignments!$AL$2:$AL$769,"&lt;="&amp;V$47,Assignments!$AM$2:$AM$769,"&gt;="&amp;V$47))</f>
        <v/>
      </c>
      <c r="W81" s="11">
        <f>IF($A81="","",SUMIFS(Assignments!$AK$2:$AK$769,Assignments!$A$2:$A$769,$A81,Assignments!$G$2:$G$769,"Active",Assignments!$AI$2:$AI$769,"&lt;="&amp;W$47,Assignments!$AJ$2:$AJ$769,"&gt;="&amp;W$47)+SUMIFS(Assignments!$AN$2:$AN$769,Assignments!$A$2:$A$769,$A81,Assignments!$G$2:$G$769,"Active",Assignments!$AL$2:$AL$769,"&lt;="&amp;W$47,Assignments!$AM$2:$AM$769,"&gt;="&amp;W$47))</f>
        <v/>
      </c>
      <c r="X81" s="11">
        <f>IF($A81="","",SUMIFS(Assignments!$AK$2:$AK$769,Assignments!$A$2:$A$769,$A81,Assignments!$G$2:$G$769,"Active",Assignments!$AI$2:$AI$769,"&lt;="&amp;X$47,Assignments!$AJ$2:$AJ$769,"&gt;="&amp;X$47)+SUMIFS(Assignments!$AN$2:$AN$769,Assignments!$A$2:$A$769,$A81,Assignments!$G$2:$G$769,"Active",Assignments!$AL$2:$AL$769,"&lt;="&amp;X$47,Assignments!$AM$2:$AM$769,"&gt;="&amp;X$47))</f>
        <v/>
      </c>
      <c r="Y81" s="11">
        <f>IF($A81="","",SUMIFS(Assignments!$AK$2:$AK$769,Assignments!$A$2:$A$769,$A81,Assignments!$G$2:$G$769,"Active",Assignments!$AI$2:$AI$769,"&lt;="&amp;Y$47,Assignments!$AJ$2:$AJ$769,"&gt;="&amp;Y$47)+SUMIFS(Assignments!$AN$2:$AN$769,Assignments!$A$2:$A$769,$A81,Assignments!$G$2:$G$769,"Active",Assignments!$AL$2:$AL$769,"&lt;="&amp;Y$47,Assignments!$AM$2:$AM$769,"&gt;="&amp;Y$47))</f>
        <v/>
      </c>
      <c r="Z81" s="11">
        <f>IF($A81="","",SUMIFS(Assignments!$AK$2:$AK$769,Assignments!$A$2:$A$769,$A81,Assignments!$G$2:$G$769,"Active",Assignments!$AI$2:$AI$769,"&lt;="&amp;Z$47,Assignments!$AJ$2:$AJ$769,"&gt;="&amp;Z$47)+SUMIFS(Assignments!$AN$2:$AN$769,Assignments!$A$2:$A$769,$A81,Assignments!$G$2:$G$769,"Active",Assignments!$AL$2:$AL$769,"&lt;="&amp;Z$47,Assignments!$AM$2:$AM$769,"&gt;="&amp;Z$47))</f>
        <v/>
      </c>
      <c r="AA81" s="11">
        <f>IF($A81="","",SUMIFS(Assignments!$AK$2:$AK$769,Assignments!$A$2:$A$769,$A81,Assignments!$G$2:$G$769,"Active",Assignments!$AI$2:$AI$769,"&lt;="&amp;AA$47,Assignments!$AJ$2:$AJ$769,"&gt;="&amp;AA$47)+SUMIFS(Assignments!$AN$2:$AN$769,Assignments!$A$2:$A$769,$A81,Assignments!$G$2:$G$769,"Active",Assignments!$AL$2:$AL$769,"&lt;="&amp;AA$47,Assignments!$AM$2:$AM$769,"&gt;="&amp;AA$47))</f>
        <v/>
      </c>
      <c r="AB81" s="11">
        <f>IF($A81="","",SUMIFS(Assignments!$AK$2:$AK$769,Assignments!$A$2:$A$769,$A81,Assignments!$G$2:$G$769,"Active",Assignments!$AI$2:$AI$769,"&lt;="&amp;AB$47,Assignments!$AJ$2:$AJ$769,"&gt;="&amp;AB$47)+SUMIFS(Assignments!$AN$2:$AN$769,Assignments!$A$2:$A$769,$A81,Assignments!$G$2:$G$769,"Active",Assignments!$AL$2:$AL$769,"&lt;="&amp;AB$47,Assignments!$AM$2:$AM$769,"&gt;="&amp;AB$47))</f>
        <v/>
      </c>
    </row>
    <row r="82">
      <c r="A82" s="9">
        <f>IF(Roster!$A36="","",Roster!$A36)</f>
        <v/>
      </c>
      <c r="B82" s="10">
        <f>IF($A82="","",IFERROR(INDEX(Roster!$D$2:$D$40,MATCH($A82,Roster!$A$2:$A$40,0)),""))</f>
        <v/>
      </c>
      <c r="C82" s="11">
        <f>IF($A82="","",SUMIFS(Assignments!$AK$2:$AK$769,Assignments!$A$2:$A$769,$A82,Assignments!$G$2:$G$769,"Active",Assignments!$AI$2:$AI$769,"&lt;="&amp;C$47,Assignments!$AJ$2:$AJ$769,"&gt;="&amp;C$47)+SUMIFS(Assignments!$AN$2:$AN$769,Assignments!$A$2:$A$769,$A82,Assignments!$G$2:$G$769,"Active",Assignments!$AL$2:$AL$769,"&lt;="&amp;C$47,Assignments!$AM$2:$AM$769,"&gt;="&amp;C$47))</f>
        <v/>
      </c>
      <c r="D82" s="11">
        <f>IF($A82="","",SUMIFS(Assignments!$AK$2:$AK$769,Assignments!$A$2:$A$769,$A82,Assignments!$G$2:$G$769,"Active",Assignments!$AI$2:$AI$769,"&lt;="&amp;D$47,Assignments!$AJ$2:$AJ$769,"&gt;="&amp;D$47)+SUMIFS(Assignments!$AN$2:$AN$769,Assignments!$A$2:$A$769,$A82,Assignments!$G$2:$G$769,"Active",Assignments!$AL$2:$AL$769,"&lt;="&amp;D$47,Assignments!$AM$2:$AM$769,"&gt;="&amp;D$47))</f>
        <v/>
      </c>
      <c r="E82" s="11">
        <f>IF($A82="","",SUMIFS(Assignments!$AK$2:$AK$769,Assignments!$A$2:$A$769,$A82,Assignments!$G$2:$G$769,"Active",Assignments!$AI$2:$AI$769,"&lt;="&amp;E$47,Assignments!$AJ$2:$AJ$769,"&gt;="&amp;E$47)+SUMIFS(Assignments!$AN$2:$AN$769,Assignments!$A$2:$A$769,$A82,Assignments!$G$2:$G$769,"Active",Assignments!$AL$2:$AL$769,"&lt;="&amp;E$47,Assignments!$AM$2:$AM$769,"&gt;="&amp;E$47))</f>
        <v/>
      </c>
      <c r="F82" s="11">
        <f>IF($A82="","",SUMIFS(Assignments!$AK$2:$AK$769,Assignments!$A$2:$A$769,$A82,Assignments!$G$2:$G$769,"Active",Assignments!$AI$2:$AI$769,"&lt;="&amp;F$47,Assignments!$AJ$2:$AJ$769,"&gt;="&amp;F$47)+SUMIFS(Assignments!$AN$2:$AN$769,Assignments!$A$2:$A$769,$A82,Assignments!$G$2:$G$769,"Active",Assignments!$AL$2:$AL$769,"&lt;="&amp;F$47,Assignments!$AM$2:$AM$769,"&gt;="&amp;F$47))</f>
        <v/>
      </c>
      <c r="G82" s="11">
        <f>IF($A82="","",SUMIFS(Assignments!$AK$2:$AK$769,Assignments!$A$2:$A$769,$A82,Assignments!$G$2:$G$769,"Active",Assignments!$AI$2:$AI$769,"&lt;="&amp;G$47,Assignments!$AJ$2:$AJ$769,"&gt;="&amp;G$47)+SUMIFS(Assignments!$AN$2:$AN$769,Assignments!$A$2:$A$769,$A82,Assignments!$G$2:$G$769,"Active",Assignments!$AL$2:$AL$769,"&lt;="&amp;G$47,Assignments!$AM$2:$AM$769,"&gt;="&amp;G$47))</f>
        <v/>
      </c>
      <c r="H82" s="11">
        <f>IF($A82="","",SUMIFS(Assignments!$AK$2:$AK$769,Assignments!$A$2:$A$769,$A82,Assignments!$G$2:$G$769,"Active",Assignments!$AI$2:$AI$769,"&lt;="&amp;H$47,Assignments!$AJ$2:$AJ$769,"&gt;="&amp;H$47)+SUMIFS(Assignments!$AN$2:$AN$769,Assignments!$A$2:$A$769,$A82,Assignments!$G$2:$G$769,"Active",Assignments!$AL$2:$AL$769,"&lt;="&amp;H$47,Assignments!$AM$2:$AM$769,"&gt;="&amp;H$47))</f>
        <v/>
      </c>
      <c r="I82" s="11">
        <f>IF($A82="","",SUMIFS(Assignments!$AK$2:$AK$769,Assignments!$A$2:$A$769,$A82,Assignments!$G$2:$G$769,"Active",Assignments!$AI$2:$AI$769,"&lt;="&amp;I$47,Assignments!$AJ$2:$AJ$769,"&gt;="&amp;I$47)+SUMIFS(Assignments!$AN$2:$AN$769,Assignments!$A$2:$A$769,$A82,Assignments!$G$2:$G$769,"Active",Assignments!$AL$2:$AL$769,"&lt;="&amp;I$47,Assignments!$AM$2:$AM$769,"&gt;="&amp;I$47))</f>
        <v/>
      </c>
      <c r="J82" s="11">
        <f>IF($A82="","",SUMIFS(Assignments!$AK$2:$AK$769,Assignments!$A$2:$A$769,$A82,Assignments!$G$2:$G$769,"Active",Assignments!$AI$2:$AI$769,"&lt;="&amp;J$47,Assignments!$AJ$2:$AJ$769,"&gt;="&amp;J$47)+SUMIFS(Assignments!$AN$2:$AN$769,Assignments!$A$2:$A$769,$A82,Assignments!$G$2:$G$769,"Active",Assignments!$AL$2:$AL$769,"&lt;="&amp;J$47,Assignments!$AM$2:$AM$769,"&gt;="&amp;J$47))</f>
        <v/>
      </c>
      <c r="K82" s="11">
        <f>IF($A82="","",SUMIFS(Assignments!$AK$2:$AK$769,Assignments!$A$2:$A$769,$A82,Assignments!$G$2:$G$769,"Active",Assignments!$AI$2:$AI$769,"&lt;="&amp;K$47,Assignments!$AJ$2:$AJ$769,"&gt;="&amp;K$47)+SUMIFS(Assignments!$AN$2:$AN$769,Assignments!$A$2:$A$769,$A82,Assignments!$G$2:$G$769,"Active",Assignments!$AL$2:$AL$769,"&lt;="&amp;K$47,Assignments!$AM$2:$AM$769,"&gt;="&amp;K$47))</f>
        <v/>
      </c>
      <c r="L82" s="11">
        <f>IF($A82="","",SUMIFS(Assignments!$AK$2:$AK$769,Assignments!$A$2:$A$769,$A82,Assignments!$G$2:$G$769,"Active",Assignments!$AI$2:$AI$769,"&lt;="&amp;L$47,Assignments!$AJ$2:$AJ$769,"&gt;="&amp;L$47)+SUMIFS(Assignments!$AN$2:$AN$769,Assignments!$A$2:$A$769,$A82,Assignments!$G$2:$G$769,"Active",Assignments!$AL$2:$AL$769,"&lt;="&amp;L$47,Assignments!$AM$2:$AM$769,"&gt;="&amp;L$47))</f>
        <v/>
      </c>
      <c r="M82" s="11">
        <f>IF($A82="","",SUMIFS(Assignments!$AK$2:$AK$769,Assignments!$A$2:$A$769,$A82,Assignments!$G$2:$G$769,"Active",Assignments!$AI$2:$AI$769,"&lt;="&amp;M$47,Assignments!$AJ$2:$AJ$769,"&gt;="&amp;M$47)+SUMIFS(Assignments!$AN$2:$AN$769,Assignments!$A$2:$A$769,$A82,Assignments!$G$2:$G$769,"Active",Assignments!$AL$2:$AL$769,"&lt;="&amp;M$47,Assignments!$AM$2:$AM$769,"&gt;="&amp;M$47))</f>
        <v/>
      </c>
      <c r="N82" s="11">
        <f>IF($A82="","",SUMIFS(Assignments!$AK$2:$AK$769,Assignments!$A$2:$A$769,$A82,Assignments!$G$2:$G$769,"Active",Assignments!$AI$2:$AI$769,"&lt;="&amp;N$47,Assignments!$AJ$2:$AJ$769,"&gt;="&amp;N$47)+SUMIFS(Assignments!$AN$2:$AN$769,Assignments!$A$2:$A$769,$A82,Assignments!$G$2:$G$769,"Active",Assignments!$AL$2:$AL$769,"&lt;="&amp;N$47,Assignments!$AM$2:$AM$769,"&gt;="&amp;N$47))</f>
        <v/>
      </c>
      <c r="O82" s="11">
        <f>IF($A82="","",SUMIFS(Assignments!$AK$2:$AK$769,Assignments!$A$2:$A$769,$A82,Assignments!$G$2:$G$769,"Active",Assignments!$AI$2:$AI$769,"&lt;="&amp;O$47,Assignments!$AJ$2:$AJ$769,"&gt;="&amp;O$47)+SUMIFS(Assignments!$AN$2:$AN$769,Assignments!$A$2:$A$769,$A82,Assignments!$G$2:$G$769,"Active",Assignments!$AL$2:$AL$769,"&lt;="&amp;O$47,Assignments!$AM$2:$AM$769,"&gt;="&amp;O$47))</f>
        <v/>
      </c>
      <c r="P82" s="11">
        <f>IF($A82="","",SUMIFS(Assignments!$AK$2:$AK$769,Assignments!$A$2:$A$769,$A82,Assignments!$G$2:$G$769,"Active",Assignments!$AI$2:$AI$769,"&lt;="&amp;P$47,Assignments!$AJ$2:$AJ$769,"&gt;="&amp;P$47)+SUMIFS(Assignments!$AN$2:$AN$769,Assignments!$A$2:$A$769,$A82,Assignments!$G$2:$G$769,"Active",Assignments!$AL$2:$AL$769,"&lt;="&amp;P$47,Assignments!$AM$2:$AM$769,"&gt;="&amp;P$47))</f>
        <v/>
      </c>
      <c r="Q82" s="11">
        <f>IF($A82="","",SUMIFS(Assignments!$AK$2:$AK$769,Assignments!$A$2:$A$769,$A82,Assignments!$G$2:$G$769,"Active",Assignments!$AI$2:$AI$769,"&lt;="&amp;Q$47,Assignments!$AJ$2:$AJ$769,"&gt;="&amp;Q$47)+SUMIFS(Assignments!$AN$2:$AN$769,Assignments!$A$2:$A$769,$A82,Assignments!$G$2:$G$769,"Active",Assignments!$AL$2:$AL$769,"&lt;="&amp;Q$47,Assignments!$AM$2:$AM$769,"&gt;="&amp;Q$47))</f>
        <v/>
      </c>
      <c r="R82" s="11">
        <f>IF($A82="","",SUMIFS(Assignments!$AK$2:$AK$769,Assignments!$A$2:$A$769,$A82,Assignments!$G$2:$G$769,"Active",Assignments!$AI$2:$AI$769,"&lt;="&amp;R$47,Assignments!$AJ$2:$AJ$769,"&gt;="&amp;R$47)+SUMIFS(Assignments!$AN$2:$AN$769,Assignments!$A$2:$A$769,$A82,Assignments!$G$2:$G$769,"Active",Assignments!$AL$2:$AL$769,"&lt;="&amp;R$47,Assignments!$AM$2:$AM$769,"&gt;="&amp;R$47))</f>
        <v/>
      </c>
      <c r="S82" s="11">
        <f>IF($A82="","",SUMIFS(Assignments!$AK$2:$AK$769,Assignments!$A$2:$A$769,$A82,Assignments!$G$2:$G$769,"Active",Assignments!$AI$2:$AI$769,"&lt;="&amp;S$47,Assignments!$AJ$2:$AJ$769,"&gt;="&amp;S$47)+SUMIFS(Assignments!$AN$2:$AN$769,Assignments!$A$2:$A$769,$A82,Assignments!$G$2:$G$769,"Active",Assignments!$AL$2:$AL$769,"&lt;="&amp;S$47,Assignments!$AM$2:$AM$769,"&gt;="&amp;S$47))</f>
        <v/>
      </c>
      <c r="T82" s="11">
        <f>IF($A82="","",SUMIFS(Assignments!$AK$2:$AK$769,Assignments!$A$2:$A$769,$A82,Assignments!$G$2:$G$769,"Active",Assignments!$AI$2:$AI$769,"&lt;="&amp;T$47,Assignments!$AJ$2:$AJ$769,"&gt;="&amp;T$47)+SUMIFS(Assignments!$AN$2:$AN$769,Assignments!$A$2:$A$769,$A82,Assignments!$G$2:$G$769,"Active",Assignments!$AL$2:$AL$769,"&lt;="&amp;T$47,Assignments!$AM$2:$AM$769,"&gt;="&amp;T$47))</f>
        <v/>
      </c>
      <c r="U82" s="11">
        <f>IF($A82="","",SUMIFS(Assignments!$AK$2:$AK$769,Assignments!$A$2:$A$769,$A82,Assignments!$G$2:$G$769,"Active",Assignments!$AI$2:$AI$769,"&lt;="&amp;U$47,Assignments!$AJ$2:$AJ$769,"&gt;="&amp;U$47)+SUMIFS(Assignments!$AN$2:$AN$769,Assignments!$A$2:$A$769,$A82,Assignments!$G$2:$G$769,"Active",Assignments!$AL$2:$AL$769,"&lt;="&amp;U$47,Assignments!$AM$2:$AM$769,"&gt;="&amp;U$47))</f>
        <v/>
      </c>
      <c r="V82" s="11">
        <f>IF($A82="","",SUMIFS(Assignments!$AK$2:$AK$769,Assignments!$A$2:$A$769,$A82,Assignments!$G$2:$G$769,"Active",Assignments!$AI$2:$AI$769,"&lt;="&amp;V$47,Assignments!$AJ$2:$AJ$769,"&gt;="&amp;V$47)+SUMIFS(Assignments!$AN$2:$AN$769,Assignments!$A$2:$A$769,$A82,Assignments!$G$2:$G$769,"Active",Assignments!$AL$2:$AL$769,"&lt;="&amp;V$47,Assignments!$AM$2:$AM$769,"&gt;="&amp;V$47))</f>
        <v/>
      </c>
      <c r="W82" s="11">
        <f>IF($A82="","",SUMIFS(Assignments!$AK$2:$AK$769,Assignments!$A$2:$A$769,$A82,Assignments!$G$2:$G$769,"Active",Assignments!$AI$2:$AI$769,"&lt;="&amp;W$47,Assignments!$AJ$2:$AJ$769,"&gt;="&amp;W$47)+SUMIFS(Assignments!$AN$2:$AN$769,Assignments!$A$2:$A$769,$A82,Assignments!$G$2:$G$769,"Active",Assignments!$AL$2:$AL$769,"&lt;="&amp;W$47,Assignments!$AM$2:$AM$769,"&gt;="&amp;W$47))</f>
        <v/>
      </c>
      <c r="X82" s="11">
        <f>IF($A82="","",SUMIFS(Assignments!$AK$2:$AK$769,Assignments!$A$2:$A$769,$A82,Assignments!$G$2:$G$769,"Active",Assignments!$AI$2:$AI$769,"&lt;="&amp;X$47,Assignments!$AJ$2:$AJ$769,"&gt;="&amp;X$47)+SUMIFS(Assignments!$AN$2:$AN$769,Assignments!$A$2:$A$769,$A82,Assignments!$G$2:$G$769,"Active",Assignments!$AL$2:$AL$769,"&lt;="&amp;X$47,Assignments!$AM$2:$AM$769,"&gt;="&amp;X$47))</f>
        <v/>
      </c>
      <c r="Y82" s="11">
        <f>IF($A82="","",SUMIFS(Assignments!$AK$2:$AK$769,Assignments!$A$2:$A$769,$A82,Assignments!$G$2:$G$769,"Active",Assignments!$AI$2:$AI$769,"&lt;="&amp;Y$47,Assignments!$AJ$2:$AJ$769,"&gt;="&amp;Y$47)+SUMIFS(Assignments!$AN$2:$AN$769,Assignments!$A$2:$A$769,$A82,Assignments!$G$2:$G$769,"Active",Assignments!$AL$2:$AL$769,"&lt;="&amp;Y$47,Assignments!$AM$2:$AM$769,"&gt;="&amp;Y$47))</f>
        <v/>
      </c>
      <c r="Z82" s="11">
        <f>IF($A82="","",SUMIFS(Assignments!$AK$2:$AK$769,Assignments!$A$2:$A$769,$A82,Assignments!$G$2:$G$769,"Active",Assignments!$AI$2:$AI$769,"&lt;="&amp;Z$47,Assignments!$AJ$2:$AJ$769,"&gt;="&amp;Z$47)+SUMIFS(Assignments!$AN$2:$AN$769,Assignments!$A$2:$A$769,$A82,Assignments!$G$2:$G$769,"Active",Assignments!$AL$2:$AL$769,"&lt;="&amp;Z$47,Assignments!$AM$2:$AM$769,"&gt;="&amp;Z$47))</f>
        <v/>
      </c>
      <c r="AA82" s="11">
        <f>IF($A82="","",SUMIFS(Assignments!$AK$2:$AK$769,Assignments!$A$2:$A$769,$A82,Assignments!$G$2:$G$769,"Active",Assignments!$AI$2:$AI$769,"&lt;="&amp;AA$47,Assignments!$AJ$2:$AJ$769,"&gt;="&amp;AA$47)+SUMIFS(Assignments!$AN$2:$AN$769,Assignments!$A$2:$A$769,$A82,Assignments!$G$2:$G$769,"Active",Assignments!$AL$2:$AL$769,"&lt;="&amp;AA$47,Assignments!$AM$2:$AM$769,"&gt;="&amp;AA$47))</f>
        <v/>
      </c>
      <c r="AB82" s="11">
        <f>IF($A82="","",SUMIFS(Assignments!$AK$2:$AK$769,Assignments!$A$2:$A$769,$A82,Assignments!$G$2:$G$769,"Active",Assignments!$AI$2:$AI$769,"&lt;="&amp;AB$47,Assignments!$AJ$2:$AJ$769,"&gt;="&amp;AB$47)+SUMIFS(Assignments!$AN$2:$AN$769,Assignments!$A$2:$A$769,$A82,Assignments!$G$2:$G$769,"Active",Assignments!$AL$2:$AL$769,"&lt;="&amp;AB$47,Assignments!$AM$2:$AM$769,"&gt;="&amp;AB$47))</f>
        <v/>
      </c>
    </row>
    <row r="83">
      <c r="A83" s="9">
        <f>IF(Roster!$A37="","",Roster!$A37)</f>
        <v/>
      </c>
      <c r="B83" s="10">
        <f>IF($A83="","",IFERROR(INDEX(Roster!$D$2:$D$40,MATCH($A83,Roster!$A$2:$A$40,0)),""))</f>
        <v/>
      </c>
      <c r="C83" s="11">
        <f>IF($A83="","",SUMIFS(Assignments!$AK$2:$AK$769,Assignments!$A$2:$A$769,$A83,Assignments!$G$2:$G$769,"Active",Assignments!$AI$2:$AI$769,"&lt;="&amp;C$47,Assignments!$AJ$2:$AJ$769,"&gt;="&amp;C$47)+SUMIFS(Assignments!$AN$2:$AN$769,Assignments!$A$2:$A$769,$A83,Assignments!$G$2:$G$769,"Active",Assignments!$AL$2:$AL$769,"&lt;="&amp;C$47,Assignments!$AM$2:$AM$769,"&gt;="&amp;C$47))</f>
        <v/>
      </c>
      <c r="D83" s="11">
        <f>IF($A83="","",SUMIFS(Assignments!$AK$2:$AK$769,Assignments!$A$2:$A$769,$A83,Assignments!$G$2:$G$769,"Active",Assignments!$AI$2:$AI$769,"&lt;="&amp;D$47,Assignments!$AJ$2:$AJ$769,"&gt;="&amp;D$47)+SUMIFS(Assignments!$AN$2:$AN$769,Assignments!$A$2:$A$769,$A83,Assignments!$G$2:$G$769,"Active",Assignments!$AL$2:$AL$769,"&lt;="&amp;D$47,Assignments!$AM$2:$AM$769,"&gt;="&amp;D$47))</f>
        <v/>
      </c>
      <c r="E83" s="11">
        <f>IF($A83="","",SUMIFS(Assignments!$AK$2:$AK$769,Assignments!$A$2:$A$769,$A83,Assignments!$G$2:$G$769,"Active",Assignments!$AI$2:$AI$769,"&lt;="&amp;E$47,Assignments!$AJ$2:$AJ$769,"&gt;="&amp;E$47)+SUMIFS(Assignments!$AN$2:$AN$769,Assignments!$A$2:$A$769,$A83,Assignments!$G$2:$G$769,"Active",Assignments!$AL$2:$AL$769,"&lt;="&amp;E$47,Assignments!$AM$2:$AM$769,"&gt;="&amp;E$47))</f>
        <v/>
      </c>
      <c r="F83" s="11">
        <f>IF($A83="","",SUMIFS(Assignments!$AK$2:$AK$769,Assignments!$A$2:$A$769,$A83,Assignments!$G$2:$G$769,"Active",Assignments!$AI$2:$AI$769,"&lt;="&amp;F$47,Assignments!$AJ$2:$AJ$769,"&gt;="&amp;F$47)+SUMIFS(Assignments!$AN$2:$AN$769,Assignments!$A$2:$A$769,$A83,Assignments!$G$2:$G$769,"Active",Assignments!$AL$2:$AL$769,"&lt;="&amp;F$47,Assignments!$AM$2:$AM$769,"&gt;="&amp;F$47))</f>
        <v/>
      </c>
      <c r="G83" s="11">
        <f>IF($A83="","",SUMIFS(Assignments!$AK$2:$AK$769,Assignments!$A$2:$A$769,$A83,Assignments!$G$2:$G$769,"Active",Assignments!$AI$2:$AI$769,"&lt;="&amp;G$47,Assignments!$AJ$2:$AJ$769,"&gt;="&amp;G$47)+SUMIFS(Assignments!$AN$2:$AN$769,Assignments!$A$2:$A$769,$A83,Assignments!$G$2:$G$769,"Active",Assignments!$AL$2:$AL$769,"&lt;="&amp;G$47,Assignments!$AM$2:$AM$769,"&gt;="&amp;G$47))</f>
        <v/>
      </c>
      <c r="H83" s="11">
        <f>IF($A83="","",SUMIFS(Assignments!$AK$2:$AK$769,Assignments!$A$2:$A$769,$A83,Assignments!$G$2:$G$769,"Active",Assignments!$AI$2:$AI$769,"&lt;="&amp;H$47,Assignments!$AJ$2:$AJ$769,"&gt;="&amp;H$47)+SUMIFS(Assignments!$AN$2:$AN$769,Assignments!$A$2:$A$769,$A83,Assignments!$G$2:$G$769,"Active",Assignments!$AL$2:$AL$769,"&lt;="&amp;H$47,Assignments!$AM$2:$AM$769,"&gt;="&amp;H$47))</f>
        <v/>
      </c>
      <c r="I83" s="11">
        <f>IF($A83="","",SUMIFS(Assignments!$AK$2:$AK$769,Assignments!$A$2:$A$769,$A83,Assignments!$G$2:$G$769,"Active",Assignments!$AI$2:$AI$769,"&lt;="&amp;I$47,Assignments!$AJ$2:$AJ$769,"&gt;="&amp;I$47)+SUMIFS(Assignments!$AN$2:$AN$769,Assignments!$A$2:$A$769,$A83,Assignments!$G$2:$G$769,"Active",Assignments!$AL$2:$AL$769,"&lt;="&amp;I$47,Assignments!$AM$2:$AM$769,"&gt;="&amp;I$47))</f>
        <v/>
      </c>
      <c r="J83" s="11">
        <f>IF($A83="","",SUMIFS(Assignments!$AK$2:$AK$769,Assignments!$A$2:$A$769,$A83,Assignments!$G$2:$G$769,"Active",Assignments!$AI$2:$AI$769,"&lt;="&amp;J$47,Assignments!$AJ$2:$AJ$769,"&gt;="&amp;J$47)+SUMIFS(Assignments!$AN$2:$AN$769,Assignments!$A$2:$A$769,$A83,Assignments!$G$2:$G$769,"Active",Assignments!$AL$2:$AL$769,"&lt;="&amp;J$47,Assignments!$AM$2:$AM$769,"&gt;="&amp;J$47))</f>
        <v/>
      </c>
      <c r="K83" s="11">
        <f>IF($A83="","",SUMIFS(Assignments!$AK$2:$AK$769,Assignments!$A$2:$A$769,$A83,Assignments!$G$2:$G$769,"Active",Assignments!$AI$2:$AI$769,"&lt;="&amp;K$47,Assignments!$AJ$2:$AJ$769,"&gt;="&amp;K$47)+SUMIFS(Assignments!$AN$2:$AN$769,Assignments!$A$2:$A$769,$A83,Assignments!$G$2:$G$769,"Active",Assignments!$AL$2:$AL$769,"&lt;="&amp;K$47,Assignments!$AM$2:$AM$769,"&gt;="&amp;K$47))</f>
        <v/>
      </c>
      <c r="L83" s="11">
        <f>IF($A83="","",SUMIFS(Assignments!$AK$2:$AK$769,Assignments!$A$2:$A$769,$A83,Assignments!$G$2:$G$769,"Active",Assignments!$AI$2:$AI$769,"&lt;="&amp;L$47,Assignments!$AJ$2:$AJ$769,"&gt;="&amp;L$47)+SUMIFS(Assignments!$AN$2:$AN$769,Assignments!$A$2:$A$769,$A83,Assignments!$G$2:$G$769,"Active",Assignments!$AL$2:$AL$769,"&lt;="&amp;L$47,Assignments!$AM$2:$AM$769,"&gt;="&amp;L$47))</f>
        <v/>
      </c>
      <c r="M83" s="11">
        <f>IF($A83="","",SUMIFS(Assignments!$AK$2:$AK$769,Assignments!$A$2:$A$769,$A83,Assignments!$G$2:$G$769,"Active",Assignments!$AI$2:$AI$769,"&lt;="&amp;M$47,Assignments!$AJ$2:$AJ$769,"&gt;="&amp;M$47)+SUMIFS(Assignments!$AN$2:$AN$769,Assignments!$A$2:$A$769,$A83,Assignments!$G$2:$G$769,"Active",Assignments!$AL$2:$AL$769,"&lt;="&amp;M$47,Assignments!$AM$2:$AM$769,"&gt;="&amp;M$47))</f>
        <v/>
      </c>
      <c r="N83" s="11">
        <f>IF($A83="","",SUMIFS(Assignments!$AK$2:$AK$769,Assignments!$A$2:$A$769,$A83,Assignments!$G$2:$G$769,"Active",Assignments!$AI$2:$AI$769,"&lt;="&amp;N$47,Assignments!$AJ$2:$AJ$769,"&gt;="&amp;N$47)+SUMIFS(Assignments!$AN$2:$AN$769,Assignments!$A$2:$A$769,$A83,Assignments!$G$2:$G$769,"Active",Assignments!$AL$2:$AL$769,"&lt;="&amp;N$47,Assignments!$AM$2:$AM$769,"&gt;="&amp;N$47))</f>
        <v/>
      </c>
      <c r="O83" s="11">
        <f>IF($A83="","",SUMIFS(Assignments!$AK$2:$AK$769,Assignments!$A$2:$A$769,$A83,Assignments!$G$2:$G$769,"Active",Assignments!$AI$2:$AI$769,"&lt;="&amp;O$47,Assignments!$AJ$2:$AJ$769,"&gt;="&amp;O$47)+SUMIFS(Assignments!$AN$2:$AN$769,Assignments!$A$2:$A$769,$A83,Assignments!$G$2:$G$769,"Active",Assignments!$AL$2:$AL$769,"&lt;="&amp;O$47,Assignments!$AM$2:$AM$769,"&gt;="&amp;O$47))</f>
        <v/>
      </c>
      <c r="P83" s="11">
        <f>IF($A83="","",SUMIFS(Assignments!$AK$2:$AK$769,Assignments!$A$2:$A$769,$A83,Assignments!$G$2:$G$769,"Active",Assignments!$AI$2:$AI$769,"&lt;="&amp;P$47,Assignments!$AJ$2:$AJ$769,"&gt;="&amp;P$47)+SUMIFS(Assignments!$AN$2:$AN$769,Assignments!$A$2:$A$769,$A83,Assignments!$G$2:$G$769,"Active",Assignments!$AL$2:$AL$769,"&lt;="&amp;P$47,Assignments!$AM$2:$AM$769,"&gt;="&amp;P$47))</f>
        <v/>
      </c>
      <c r="Q83" s="11">
        <f>IF($A83="","",SUMIFS(Assignments!$AK$2:$AK$769,Assignments!$A$2:$A$769,$A83,Assignments!$G$2:$G$769,"Active",Assignments!$AI$2:$AI$769,"&lt;="&amp;Q$47,Assignments!$AJ$2:$AJ$769,"&gt;="&amp;Q$47)+SUMIFS(Assignments!$AN$2:$AN$769,Assignments!$A$2:$A$769,$A83,Assignments!$G$2:$G$769,"Active",Assignments!$AL$2:$AL$769,"&lt;="&amp;Q$47,Assignments!$AM$2:$AM$769,"&gt;="&amp;Q$47))</f>
        <v/>
      </c>
      <c r="R83" s="11">
        <f>IF($A83="","",SUMIFS(Assignments!$AK$2:$AK$769,Assignments!$A$2:$A$769,$A83,Assignments!$G$2:$G$769,"Active",Assignments!$AI$2:$AI$769,"&lt;="&amp;R$47,Assignments!$AJ$2:$AJ$769,"&gt;="&amp;R$47)+SUMIFS(Assignments!$AN$2:$AN$769,Assignments!$A$2:$A$769,$A83,Assignments!$G$2:$G$769,"Active",Assignments!$AL$2:$AL$769,"&lt;="&amp;R$47,Assignments!$AM$2:$AM$769,"&gt;="&amp;R$47))</f>
        <v/>
      </c>
      <c r="S83" s="11">
        <f>IF($A83="","",SUMIFS(Assignments!$AK$2:$AK$769,Assignments!$A$2:$A$769,$A83,Assignments!$G$2:$G$769,"Active",Assignments!$AI$2:$AI$769,"&lt;="&amp;S$47,Assignments!$AJ$2:$AJ$769,"&gt;="&amp;S$47)+SUMIFS(Assignments!$AN$2:$AN$769,Assignments!$A$2:$A$769,$A83,Assignments!$G$2:$G$769,"Active",Assignments!$AL$2:$AL$769,"&lt;="&amp;S$47,Assignments!$AM$2:$AM$769,"&gt;="&amp;S$47))</f>
        <v/>
      </c>
      <c r="T83" s="11">
        <f>IF($A83="","",SUMIFS(Assignments!$AK$2:$AK$769,Assignments!$A$2:$A$769,$A83,Assignments!$G$2:$G$769,"Active",Assignments!$AI$2:$AI$769,"&lt;="&amp;T$47,Assignments!$AJ$2:$AJ$769,"&gt;="&amp;T$47)+SUMIFS(Assignments!$AN$2:$AN$769,Assignments!$A$2:$A$769,$A83,Assignments!$G$2:$G$769,"Active",Assignments!$AL$2:$AL$769,"&lt;="&amp;T$47,Assignments!$AM$2:$AM$769,"&gt;="&amp;T$47))</f>
        <v/>
      </c>
      <c r="U83" s="11">
        <f>IF($A83="","",SUMIFS(Assignments!$AK$2:$AK$769,Assignments!$A$2:$A$769,$A83,Assignments!$G$2:$G$769,"Active",Assignments!$AI$2:$AI$769,"&lt;="&amp;U$47,Assignments!$AJ$2:$AJ$769,"&gt;="&amp;U$47)+SUMIFS(Assignments!$AN$2:$AN$769,Assignments!$A$2:$A$769,$A83,Assignments!$G$2:$G$769,"Active",Assignments!$AL$2:$AL$769,"&lt;="&amp;U$47,Assignments!$AM$2:$AM$769,"&gt;="&amp;U$47))</f>
        <v/>
      </c>
      <c r="V83" s="11">
        <f>IF($A83="","",SUMIFS(Assignments!$AK$2:$AK$769,Assignments!$A$2:$A$769,$A83,Assignments!$G$2:$G$769,"Active",Assignments!$AI$2:$AI$769,"&lt;="&amp;V$47,Assignments!$AJ$2:$AJ$769,"&gt;="&amp;V$47)+SUMIFS(Assignments!$AN$2:$AN$769,Assignments!$A$2:$A$769,$A83,Assignments!$G$2:$G$769,"Active",Assignments!$AL$2:$AL$769,"&lt;="&amp;V$47,Assignments!$AM$2:$AM$769,"&gt;="&amp;V$47))</f>
        <v/>
      </c>
      <c r="W83" s="11">
        <f>IF($A83="","",SUMIFS(Assignments!$AK$2:$AK$769,Assignments!$A$2:$A$769,$A83,Assignments!$G$2:$G$769,"Active",Assignments!$AI$2:$AI$769,"&lt;="&amp;W$47,Assignments!$AJ$2:$AJ$769,"&gt;="&amp;W$47)+SUMIFS(Assignments!$AN$2:$AN$769,Assignments!$A$2:$A$769,$A83,Assignments!$G$2:$G$769,"Active",Assignments!$AL$2:$AL$769,"&lt;="&amp;W$47,Assignments!$AM$2:$AM$769,"&gt;="&amp;W$47))</f>
        <v/>
      </c>
      <c r="X83" s="11">
        <f>IF($A83="","",SUMIFS(Assignments!$AK$2:$AK$769,Assignments!$A$2:$A$769,$A83,Assignments!$G$2:$G$769,"Active",Assignments!$AI$2:$AI$769,"&lt;="&amp;X$47,Assignments!$AJ$2:$AJ$769,"&gt;="&amp;X$47)+SUMIFS(Assignments!$AN$2:$AN$769,Assignments!$A$2:$A$769,$A83,Assignments!$G$2:$G$769,"Active",Assignments!$AL$2:$AL$769,"&lt;="&amp;X$47,Assignments!$AM$2:$AM$769,"&gt;="&amp;X$47))</f>
        <v/>
      </c>
      <c r="Y83" s="11">
        <f>IF($A83="","",SUMIFS(Assignments!$AK$2:$AK$769,Assignments!$A$2:$A$769,$A83,Assignments!$G$2:$G$769,"Active",Assignments!$AI$2:$AI$769,"&lt;="&amp;Y$47,Assignments!$AJ$2:$AJ$769,"&gt;="&amp;Y$47)+SUMIFS(Assignments!$AN$2:$AN$769,Assignments!$A$2:$A$769,$A83,Assignments!$G$2:$G$769,"Active",Assignments!$AL$2:$AL$769,"&lt;="&amp;Y$47,Assignments!$AM$2:$AM$769,"&gt;="&amp;Y$47))</f>
        <v/>
      </c>
      <c r="Z83" s="11">
        <f>IF($A83="","",SUMIFS(Assignments!$AK$2:$AK$769,Assignments!$A$2:$A$769,$A83,Assignments!$G$2:$G$769,"Active",Assignments!$AI$2:$AI$769,"&lt;="&amp;Z$47,Assignments!$AJ$2:$AJ$769,"&gt;="&amp;Z$47)+SUMIFS(Assignments!$AN$2:$AN$769,Assignments!$A$2:$A$769,$A83,Assignments!$G$2:$G$769,"Active",Assignments!$AL$2:$AL$769,"&lt;="&amp;Z$47,Assignments!$AM$2:$AM$769,"&gt;="&amp;Z$47))</f>
        <v/>
      </c>
      <c r="AA83" s="11">
        <f>IF($A83="","",SUMIFS(Assignments!$AK$2:$AK$769,Assignments!$A$2:$A$769,$A83,Assignments!$G$2:$G$769,"Active",Assignments!$AI$2:$AI$769,"&lt;="&amp;AA$47,Assignments!$AJ$2:$AJ$769,"&gt;="&amp;AA$47)+SUMIFS(Assignments!$AN$2:$AN$769,Assignments!$A$2:$A$769,$A83,Assignments!$G$2:$G$769,"Active",Assignments!$AL$2:$AL$769,"&lt;="&amp;AA$47,Assignments!$AM$2:$AM$769,"&gt;="&amp;AA$47))</f>
        <v/>
      </c>
      <c r="AB83" s="11">
        <f>IF($A83="","",SUMIFS(Assignments!$AK$2:$AK$769,Assignments!$A$2:$A$769,$A83,Assignments!$G$2:$G$769,"Active",Assignments!$AI$2:$AI$769,"&lt;="&amp;AB$47,Assignments!$AJ$2:$AJ$769,"&gt;="&amp;AB$47)+SUMIFS(Assignments!$AN$2:$AN$769,Assignments!$A$2:$A$769,$A83,Assignments!$G$2:$G$769,"Active",Assignments!$AL$2:$AL$769,"&lt;="&amp;AB$47,Assignments!$AM$2:$AM$769,"&gt;="&amp;AB$47))</f>
        <v/>
      </c>
    </row>
    <row r="84">
      <c r="A84" s="9">
        <f>IF(Roster!$A38="","",Roster!$A38)</f>
        <v/>
      </c>
      <c r="B84" s="10">
        <f>IF($A84="","",IFERROR(INDEX(Roster!$D$2:$D$40,MATCH($A84,Roster!$A$2:$A$40,0)),""))</f>
        <v/>
      </c>
      <c r="C84" s="11">
        <f>IF($A84="","",SUMIFS(Assignments!$AK$2:$AK$769,Assignments!$A$2:$A$769,$A84,Assignments!$G$2:$G$769,"Active",Assignments!$AI$2:$AI$769,"&lt;="&amp;C$47,Assignments!$AJ$2:$AJ$769,"&gt;="&amp;C$47)+SUMIFS(Assignments!$AN$2:$AN$769,Assignments!$A$2:$A$769,$A84,Assignments!$G$2:$G$769,"Active",Assignments!$AL$2:$AL$769,"&lt;="&amp;C$47,Assignments!$AM$2:$AM$769,"&gt;="&amp;C$47))</f>
        <v/>
      </c>
      <c r="D84" s="11">
        <f>IF($A84="","",SUMIFS(Assignments!$AK$2:$AK$769,Assignments!$A$2:$A$769,$A84,Assignments!$G$2:$G$769,"Active",Assignments!$AI$2:$AI$769,"&lt;="&amp;D$47,Assignments!$AJ$2:$AJ$769,"&gt;="&amp;D$47)+SUMIFS(Assignments!$AN$2:$AN$769,Assignments!$A$2:$A$769,$A84,Assignments!$G$2:$G$769,"Active",Assignments!$AL$2:$AL$769,"&lt;="&amp;D$47,Assignments!$AM$2:$AM$769,"&gt;="&amp;D$47))</f>
        <v/>
      </c>
      <c r="E84" s="11">
        <f>IF($A84="","",SUMIFS(Assignments!$AK$2:$AK$769,Assignments!$A$2:$A$769,$A84,Assignments!$G$2:$G$769,"Active",Assignments!$AI$2:$AI$769,"&lt;="&amp;E$47,Assignments!$AJ$2:$AJ$769,"&gt;="&amp;E$47)+SUMIFS(Assignments!$AN$2:$AN$769,Assignments!$A$2:$A$769,$A84,Assignments!$G$2:$G$769,"Active",Assignments!$AL$2:$AL$769,"&lt;="&amp;E$47,Assignments!$AM$2:$AM$769,"&gt;="&amp;E$47))</f>
        <v/>
      </c>
      <c r="F84" s="11">
        <f>IF($A84="","",SUMIFS(Assignments!$AK$2:$AK$769,Assignments!$A$2:$A$769,$A84,Assignments!$G$2:$G$769,"Active",Assignments!$AI$2:$AI$769,"&lt;="&amp;F$47,Assignments!$AJ$2:$AJ$769,"&gt;="&amp;F$47)+SUMIFS(Assignments!$AN$2:$AN$769,Assignments!$A$2:$A$769,$A84,Assignments!$G$2:$G$769,"Active",Assignments!$AL$2:$AL$769,"&lt;="&amp;F$47,Assignments!$AM$2:$AM$769,"&gt;="&amp;F$47))</f>
        <v/>
      </c>
      <c r="G84" s="11">
        <f>IF($A84="","",SUMIFS(Assignments!$AK$2:$AK$769,Assignments!$A$2:$A$769,$A84,Assignments!$G$2:$G$769,"Active",Assignments!$AI$2:$AI$769,"&lt;="&amp;G$47,Assignments!$AJ$2:$AJ$769,"&gt;="&amp;G$47)+SUMIFS(Assignments!$AN$2:$AN$769,Assignments!$A$2:$A$769,$A84,Assignments!$G$2:$G$769,"Active",Assignments!$AL$2:$AL$769,"&lt;="&amp;G$47,Assignments!$AM$2:$AM$769,"&gt;="&amp;G$47))</f>
        <v/>
      </c>
      <c r="H84" s="11">
        <f>IF($A84="","",SUMIFS(Assignments!$AK$2:$AK$769,Assignments!$A$2:$A$769,$A84,Assignments!$G$2:$G$769,"Active",Assignments!$AI$2:$AI$769,"&lt;="&amp;H$47,Assignments!$AJ$2:$AJ$769,"&gt;="&amp;H$47)+SUMIFS(Assignments!$AN$2:$AN$769,Assignments!$A$2:$A$769,$A84,Assignments!$G$2:$G$769,"Active",Assignments!$AL$2:$AL$769,"&lt;="&amp;H$47,Assignments!$AM$2:$AM$769,"&gt;="&amp;H$47))</f>
        <v/>
      </c>
      <c r="I84" s="11">
        <f>IF($A84="","",SUMIFS(Assignments!$AK$2:$AK$769,Assignments!$A$2:$A$769,$A84,Assignments!$G$2:$G$769,"Active",Assignments!$AI$2:$AI$769,"&lt;="&amp;I$47,Assignments!$AJ$2:$AJ$769,"&gt;="&amp;I$47)+SUMIFS(Assignments!$AN$2:$AN$769,Assignments!$A$2:$A$769,$A84,Assignments!$G$2:$G$769,"Active",Assignments!$AL$2:$AL$769,"&lt;="&amp;I$47,Assignments!$AM$2:$AM$769,"&gt;="&amp;I$47))</f>
        <v/>
      </c>
      <c r="J84" s="11">
        <f>IF($A84="","",SUMIFS(Assignments!$AK$2:$AK$769,Assignments!$A$2:$A$769,$A84,Assignments!$G$2:$G$769,"Active",Assignments!$AI$2:$AI$769,"&lt;="&amp;J$47,Assignments!$AJ$2:$AJ$769,"&gt;="&amp;J$47)+SUMIFS(Assignments!$AN$2:$AN$769,Assignments!$A$2:$A$769,$A84,Assignments!$G$2:$G$769,"Active",Assignments!$AL$2:$AL$769,"&lt;="&amp;J$47,Assignments!$AM$2:$AM$769,"&gt;="&amp;J$47))</f>
        <v/>
      </c>
      <c r="K84" s="11">
        <f>IF($A84="","",SUMIFS(Assignments!$AK$2:$AK$769,Assignments!$A$2:$A$769,$A84,Assignments!$G$2:$G$769,"Active",Assignments!$AI$2:$AI$769,"&lt;="&amp;K$47,Assignments!$AJ$2:$AJ$769,"&gt;="&amp;K$47)+SUMIFS(Assignments!$AN$2:$AN$769,Assignments!$A$2:$A$769,$A84,Assignments!$G$2:$G$769,"Active",Assignments!$AL$2:$AL$769,"&lt;="&amp;K$47,Assignments!$AM$2:$AM$769,"&gt;="&amp;K$47))</f>
        <v/>
      </c>
      <c r="L84" s="11">
        <f>IF($A84="","",SUMIFS(Assignments!$AK$2:$AK$769,Assignments!$A$2:$A$769,$A84,Assignments!$G$2:$G$769,"Active",Assignments!$AI$2:$AI$769,"&lt;="&amp;L$47,Assignments!$AJ$2:$AJ$769,"&gt;="&amp;L$47)+SUMIFS(Assignments!$AN$2:$AN$769,Assignments!$A$2:$A$769,$A84,Assignments!$G$2:$G$769,"Active",Assignments!$AL$2:$AL$769,"&lt;="&amp;L$47,Assignments!$AM$2:$AM$769,"&gt;="&amp;L$47))</f>
        <v/>
      </c>
      <c r="M84" s="11">
        <f>IF($A84="","",SUMIFS(Assignments!$AK$2:$AK$769,Assignments!$A$2:$A$769,$A84,Assignments!$G$2:$G$769,"Active",Assignments!$AI$2:$AI$769,"&lt;="&amp;M$47,Assignments!$AJ$2:$AJ$769,"&gt;="&amp;M$47)+SUMIFS(Assignments!$AN$2:$AN$769,Assignments!$A$2:$A$769,$A84,Assignments!$G$2:$G$769,"Active",Assignments!$AL$2:$AL$769,"&lt;="&amp;M$47,Assignments!$AM$2:$AM$769,"&gt;="&amp;M$47))</f>
        <v/>
      </c>
      <c r="N84" s="11">
        <f>IF($A84="","",SUMIFS(Assignments!$AK$2:$AK$769,Assignments!$A$2:$A$769,$A84,Assignments!$G$2:$G$769,"Active",Assignments!$AI$2:$AI$769,"&lt;="&amp;N$47,Assignments!$AJ$2:$AJ$769,"&gt;="&amp;N$47)+SUMIFS(Assignments!$AN$2:$AN$769,Assignments!$A$2:$A$769,$A84,Assignments!$G$2:$G$769,"Active",Assignments!$AL$2:$AL$769,"&lt;="&amp;N$47,Assignments!$AM$2:$AM$769,"&gt;="&amp;N$47))</f>
        <v/>
      </c>
      <c r="O84" s="11">
        <f>IF($A84="","",SUMIFS(Assignments!$AK$2:$AK$769,Assignments!$A$2:$A$769,$A84,Assignments!$G$2:$G$769,"Active",Assignments!$AI$2:$AI$769,"&lt;="&amp;O$47,Assignments!$AJ$2:$AJ$769,"&gt;="&amp;O$47)+SUMIFS(Assignments!$AN$2:$AN$769,Assignments!$A$2:$A$769,$A84,Assignments!$G$2:$G$769,"Active",Assignments!$AL$2:$AL$769,"&lt;="&amp;O$47,Assignments!$AM$2:$AM$769,"&gt;="&amp;O$47))</f>
        <v/>
      </c>
      <c r="P84" s="11">
        <f>IF($A84="","",SUMIFS(Assignments!$AK$2:$AK$769,Assignments!$A$2:$A$769,$A84,Assignments!$G$2:$G$769,"Active",Assignments!$AI$2:$AI$769,"&lt;="&amp;P$47,Assignments!$AJ$2:$AJ$769,"&gt;="&amp;P$47)+SUMIFS(Assignments!$AN$2:$AN$769,Assignments!$A$2:$A$769,$A84,Assignments!$G$2:$G$769,"Active",Assignments!$AL$2:$AL$769,"&lt;="&amp;P$47,Assignments!$AM$2:$AM$769,"&gt;="&amp;P$47))</f>
        <v/>
      </c>
      <c r="Q84" s="11">
        <f>IF($A84="","",SUMIFS(Assignments!$AK$2:$AK$769,Assignments!$A$2:$A$769,$A84,Assignments!$G$2:$G$769,"Active",Assignments!$AI$2:$AI$769,"&lt;="&amp;Q$47,Assignments!$AJ$2:$AJ$769,"&gt;="&amp;Q$47)+SUMIFS(Assignments!$AN$2:$AN$769,Assignments!$A$2:$A$769,$A84,Assignments!$G$2:$G$769,"Active",Assignments!$AL$2:$AL$769,"&lt;="&amp;Q$47,Assignments!$AM$2:$AM$769,"&gt;="&amp;Q$47))</f>
        <v/>
      </c>
      <c r="R84" s="11">
        <f>IF($A84="","",SUMIFS(Assignments!$AK$2:$AK$769,Assignments!$A$2:$A$769,$A84,Assignments!$G$2:$G$769,"Active",Assignments!$AI$2:$AI$769,"&lt;="&amp;R$47,Assignments!$AJ$2:$AJ$769,"&gt;="&amp;R$47)+SUMIFS(Assignments!$AN$2:$AN$769,Assignments!$A$2:$A$769,$A84,Assignments!$G$2:$G$769,"Active",Assignments!$AL$2:$AL$769,"&lt;="&amp;R$47,Assignments!$AM$2:$AM$769,"&gt;="&amp;R$47))</f>
        <v/>
      </c>
      <c r="S84" s="11">
        <f>IF($A84="","",SUMIFS(Assignments!$AK$2:$AK$769,Assignments!$A$2:$A$769,$A84,Assignments!$G$2:$G$769,"Active",Assignments!$AI$2:$AI$769,"&lt;="&amp;S$47,Assignments!$AJ$2:$AJ$769,"&gt;="&amp;S$47)+SUMIFS(Assignments!$AN$2:$AN$769,Assignments!$A$2:$A$769,$A84,Assignments!$G$2:$G$769,"Active",Assignments!$AL$2:$AL$769,"&lt;="&amp;S$47,Assignments!$AM$2:$AM$769,"&gt;="&amp;S$47))</f>
        <v/>
      </c>
      <c r="T84" s="11">
        <f>IF($A84="","",SUMIFS(Assignments!$AK$2:$AK$769,Assignments!$A$2:$A$769,$A84,Assignments!$G$2:$G$769,"Active",Assignments!$AI$2:$AI$769,"&lt;="&amp;T$47,Assignments!$AJ$2:$AJ$769,"&gt;="&amp;T$47)+SUMIFS(Assignments!$AN$2:$AN$769,Assignments!$A$2:$A$769,$A84,Assignments!$G$2:$G$769,"Active",Assignments!$AL$2:$AL$769,"&lt;="&amp;T$47,Assignments!$AM$2:$AM$769,"&gt;="&amp;T$47))</f>
        <v/>
      </c>
      <c r="U84" s="11">
        <f>IF($A84="","",SUMIFS(Assignments!$AK$2:$AK$769,Assignments!$A$2:$A$769,$A84,Assignments!$G$2:$G$769,"Active",Assignments!$AI$2:$AI$769,"&lt;="&amp;U$47,Assignments!$AJ$2:$AJ$769,"&gt;="&amp;U$47)+SUMIFS(Assignments!$AN$2:$AN$769,Assignments!$A$2:$A$769,$A84,Assignments!$G$2:$G$769,"Active",Assignments!$AL$2:$AL$769,"&lt;="&amp;U$47,Assignments!$AM$2:$AM$769,"&gt;="&amp;U$47))</f>
        <v/>
      </c>
      <c r="V84" s="11">
        <f>IF($A84="","",SUMIFS(Assignments!$AK$2:$AK$769,Assignments!$A$2:$A$769,$A84,Assignments!$G$2:$G$769,"Active",Assignments!$AI$2:$AI$769,"&lt;="&amp;V$47,Assignments!$AJ$2:$AJ$769,"&gt;="&amp;V$47)+SUMIFS(Assignments!$AN$2:$AN$769,Assignments!$A$2:$A$769,$A84,Assignments!$G$2:$G$769,"Active",Assignments!$AL$2:$AL$769,"&lt;="&amp;V$47,Assignments!$AM$2:$AM$769,"&gt;="&amp;V$47))</f>
        <v/>
      </c>
      <c r="W84" s="11">
        <f>IF($A84="","",SUMIFS(Assignments!$AK$2:$AK$769,Assignments!$A$2:$A$769,$A84,Assignments!$G$2:$G$769,"Active",Assignments!$AI$2:$AI$769,"&lt;="&amp;W$47,Assignments!$AJ$2:$AJ$769,"&gt;="&amp;W$47)+SUMIFS(Assignments!$AN$2:$AN$769,Assignments!$A$2:$A$769,$A84,Assignments!$G$2:$G$769,"Active",Assignments!$AL$2:$AL$769,"&lt;="&amp;W$47,Assignments!$AM$2:$AM$769,"&gt;="&amp;W$47))</f>
        <v/>
      </c>
      <c r="X84" s="11">
        <f>IF($A84="","",SUMIFS(Assignments!$AK$2:$AK$769,Assignments!$A$2:$A$769,$A84,Assignments!$G$2:$G$769,"Active",Assignments!$AI$2:$AI$769,"&lt;="&amp;X$47,Assignments!$AJ$2:$AJ$769,"&gt;="&amp;X$47)+SUMIFS(Assignments!$AN$2:$AN$769,Assignments!$A$2:$A$769,$A84,Assignments!$G$2:$G$769,"Active",Assignments!$AL$2:$AL$769,"&lt;="&amp;X$47,Assignments!$AM$2:$AM$769,"&gt;="&amp;X$47))</f>
        <v/>
      </c>
      <c r="Y84" s="11">
        <f>IF($A84="","",SUMIFS(Assignments!$AK$2:$AK$769,Assignments!$A$2:$A$769,$A84,Assignments!$G$2:$G$769,"Active",Assignments!$AI$2:$AI$769,"&lt;="&amp;Y$47,Assignments!$AJ$2:$AJ$769,"&gt;="&amp;Y$47)+SUMIFS(Assignments!$AN$2:$AN$769,Assignments!$A$2:$A$769,$A84,Assignments!$G$2:$G$769,"Active",Assignments!$AL$2:$AL$769,"&lt;="&amp;Y$47,Assignments!$AM$2:$AM$769,"&gt;="&amp;Y$47))</f>
        <v/>
      </c>
      <c r="Z84" s="11">
        <f>IF($A84="","",SUMIFS(Assignments!$AK$2:$AK$769,Assignments!$A$2:$A$769,$A84,Assignments!$G$2:$G$769,"Active",Assignments!$AI$2:$AI$769,"&lt;="&amp;Z$47,Assignments!$AJ$2:$AJ$769,"&gt;="&amp;Z$47)+SUMIFS(Assignments!$AN$2:$AN$769,Assignments!$A$2:$A$769,$A84,Assignments!$G$2:$G$769,"Active",Assignments!$AL$2:$AL$769,"&lt;="&amp;Z$47,Assignments!$AM$2:$AM$769,"&gt;="&amp;Z$47))</f>
        <v/>
      </c>
      <c r="AA84" s="11">
        <f>IF($A84="","",SUMIFS(Assignments!$AK$2:$AK$769,Assignments!$A$2:$A$769,$A84,Assignments!$G$2:$G$769,"Active",Assignments!$AI$2:$AI$769,"&lt;="&amp;AA$47,Assignments!$AJ$2:$AJ$769,"&gt;="&amp;AA$47)+SUMIFS(Assignments!$AN$2:$AN$769,Assignments!$A$2:$A$769,$A84,Assignments!$G$2:$G$769,"Active",Assignments!$AL$2:$AL$769,"&lt;="&amp;AA$47,Assignments!$AM$2:$AM$769,"&gt;="&amp;AA$47))</f>
        <v/>
      </c>
      <c r="AB84" s="11">
        <f>IF($A84="","",SUMIFS(Assignments!$AK$2:$AK$769,Assignments!$A$2:$A$769,$A84,Assignments!$G$2:$G$769,"Active",Assignments!$AI$2:$AI$769,"&lt;="&amp;AB$47,Assignments!$AJ$2:$AJ$769,"&gt;="&amp;AB$47)+SUMIFS(Assignments!$AN$2:$AN$769,Assignments!$A$2:$A$769,$A84,Assignments!$G$2:$G$769,"Active",Assignments!$AL$2:$AL$769,"&lt;="&amp;AB$47,Assignments!$AM$2:$AM$769,"&gt;="&amp;AB$47))</f>
        <v/>
      </c>
    </row>
    <row r="85">
      <c r="A85" s="9">
        <f>IF(Roster!$A39="","",Roster!$A39)</f>
        <v/>
      </c>
      <c r="B85" s="10">
        <f>IF($A85="","",IFERROR(INDEX(Roster!$D$2:$D$40,MATCH($A85,Roster!$A$2:$A$40,0)),""))</f>
        <v/>
      </c>
      <c r="C85" s="11">
        <f>IF($A85="","",SUMIFS(Assignments!$AK$2:$AK$769,Assignments!$A$2:$A$769,$A85,Assignments!$G$2:$G$769,"Active",Assignments!$AI$2:$AI$769,"&lt;="&amp;C$47,Assignments!$AJ$2:$AJ$769,"&gt;="&amp;C$47)+SUMIFS(Assignments!$AN$2:$AN$769,Assignments!$A$2:$A$769,$A85,Assignments!$G$2:$G$769,"Active",Assignments!$AL$2:$AL$769,"&lt;="&amp;C$47,Assignments!$AM$2:$AM$769,"&gt;="&amp;C$47))</f>
        <v/>
      </c>
      <c r="D85" s="11">
        <f>IF($A85="","",SUMIFS(Assignments!$AK$2:$AK$769,Assignments!$A$2:$A$769,$A85,Assignments!$G$2:$G$769,"Active",Assignments!$AI$2:$AI$769,"&lt;="&amp;D$47,Assignments!$AJ$2:$AJ$769,"&gt;="&amp;D$47)+SUMIFS(Assignments!$AN$2:$AN$769,Assignments!$A$2:$A$769,$A85,Assignments!$G$2:$G$769,"Active",Assignments!$AL$2:$AL$769,"&lt;="&amp;D$47,Assignments!$AM$2:$AM$769,"&gt;="&amp;D$47))</f>
        <v/>
      </c>
      <c r="E85" s="11">
        <f>IF($A85="","",SUMIFS(Assignments!$AK$2:$AK$769,Assignments!$A$2:$A$769,$A85,Assignments!$G$2:$G$769,"Active",Assignments!$AI$2:$AI$769,"&lt;="&amp;E$47,Assignments!$AJ$2:$AJ$769,"&gt;="&amp;E$47)+SUMIFS(Assignments!$AN$2:$AN$769,Assignments!$A$2:$A$769,$A85,Assignments!$G$2:$G$769,"Active",Assignments!$AL$2:$AL$769,"&lt;="&amp;E$47,Assignments!$AM$2:$AM$769,"&gt;="&amp;E$47))</f>
        <v/>
      </c>
      <c r="F85" s="11">
        <f>IF($A85="","",SUMIFS(Assignments!$AK$2:$AK$769,Assignments!$A$2:$A$769,$A85,Assignments!$G$2:$G$769,"Active",Assignments!$AI$2:$AI$769,"&lt;="&amp;F$47,Assignments!$AJ$2:$AJ$769,"&gt;="&amp;F$47)+SUMIFS(Assignments!$AN$2:$AN$769,Assignments!$A$2:$A$769,$A85,Assignments!$G$2:$G$769,"Active",Assignments!$AL$2:$AL$769,"&lt;="&amp;F$47,Assignments!$AM$2:$AM$769,"&gt;="&amp;F$47))</f>
        <v/>
      </c>
      <c r="G85" s="11">
        <f>IF($A85="","",SUMIFS(Assignments!$AK$2:$AK$769,Assignments!$A$2:$A$769,$A85,Assignments!$G$2:$G$769,"Active",Assignments!$AI$2:$AI$769,"&lt;="&amp;G$47,Assignments!$AJ$2:$AJ$769,"&gt;="&amp;G$47)+SUMIFS(Assignments!$AN$2:$AN$769,Assignments!$A$2:$A$769,$A85,Assignments!$G$2:$G$769,"Active",Assignments!$AL$2:$AL$769,"&lt;="&amp;G$47,Assignments!$AM$2:$AM$769,"&gt;="&amp;G$47))</f>
        <v/>
      </c>
      <c r="H85" s="11">
        <f>IF($A85="","",SUMIFS(Assignments!$AK$2:$AK$769,Assignments!$A$2:$A$769,$A85,Assignments!$G$2:$G$769,"Active",Assignments!$AI$2:$AI$769,"&lt;="&amp;H$47,Assignments!$AJ$2:$AJ$769,"&gt;="&amp;H$47)+SUMIFS(Assignments!$AN$2:$AN$769,Assignments!$A$2:$A$769,$A85,Assignments!$G$2:$G$769,"Active",Assignments!$AL$2:$AL$769,"&lt;="&amp;H$47,Assignments!$AM$2:$AM$769,"&gt;="&amp;H$47))</f>
        <v/>
      </c>
      <c r="I85" s="11">
        <f>IF($A85="","",SUMIFS(Assignments!$AK$2:$AK$769,Assignments!$A$2:$A$769,$A85,Assignments!$G$2:$G$769,"Active",Assignments!$AI$2:$AI$769,"&lt;="&amp;I$47,Assignments!$AJ$2:$AJ$769,"&gt;="&amp;I$47)+SUMIFS(Assignments!$AN$2:$AN$769,Assignments!$A$2:$A$769,$A85,Assignments!$G$2:$G$769,"Active",Assignments!$AL$2:$AL$769,"&lt;="&amp;I$47,Assignments!$AM$2:$AM$769,"&gt;="&amp;I$47))</f>
        <v/>
      </c>
      <c r="J85" s="11">
        <f>IF($A85="","",SUMIFS(Assignments!$AK$2:$AK$769,Assignments!$A$2:$A$769,$A85,Assignments!$G$2:$G$769,"Active",Assignments!$AI$2:$AI$769,"&lt;="&amp;J$47,Assignments!$AJ$2:$AJ$769,"&gt;="&amp;J$47)+SUMIFS(Assignments!$AN$2:$AN$769,Assignments!$A$2:$A$769,$A85,Assignments!$G$2:$G$769,"Active",Assignments!$AL$2:$AL$769,"&lt;="&amp;J$47,Assignments!$AM$2:$AM$769,"&gt;="&amp;J$47))</f>
        <v/>
      </c>
      <c r="K85" s="11">
        <f>IF($A85="","",SUMIFS(Assignments!$AK$2:$AK$769,Assignments!$A$2:$A$769,$A85,Assignments!$G$2:$G$769,"Active",Assignments!$AI$2:$AI$769,"&lt;="&amp;K$47,Assignments!$AJ$2:$AJ$769,"&gt;="&amp;K$47)+SUMIFS(Assignments!$AN$2:$AN$769,Assignments!$A$2:$A$769,$A85,Assignments!$G$2:$G$769,"Active",Assignments!$AL$2:$AL$769,"&lt;="&amp;K$47,Assignments!$AM$2:$AM$769,"&gt;="&amp;K$47))</f>
        <v/>
      </c>
      <c r="L85" s="11">
        <f>IF($A85="","",SUMIFS(Assignments!$AK$2:$AK$769,Assignments!$A$2:$A$769,$A85,Assignments!$G$2:$G$769,"Active",Assignments!$AI$2:$AI$769,"&lt;="&amp;L$47,Assignments!$AJ$2:$AJ$769,"&gt;="&amp;L$47)+SUMIFS(Assignments!$AN$2:$AN$769,Assignments!$A$2:$A$769,$A85,Assignments!$G$2:$G$769,"Active",Assignments!$AL$2:$AL$769,"&lt;="&amp;L$47,Assignments!$AM$2:$AM$769,"&gt;="&amp;L$47))</f>
        <v/>
      </c>
      <c r="M85" s="11">
        <f>IF($A85="","",SUMIFS(Assignments!$AK$2:$AK$769,Assignments!$A$2:$A$769,$A85,Assignments!$G$2:$G$769,"Active",Assignments!$AI$2:$AI$769,"&lt;="&amp;M$47,Assignments!$AJ$2:$AJ$769,"&gt;="&amp;M$47)+SUMIFS(Assignments!$AN$2:$AN$769,Assignments!$A$2:$A$769,$A85,Assignments!$G$2:$G$769,"Active",Assignments!$AL$2:$AL$769,"&lt;="&amp;M$47,Assignments!$AM$2:$AM$769,"&gt;="&amp;M$47))</f>
        <v/>
      </c>
      <c r="N85" s="11">
        <f>IF($A85="","",SUMIFS(Assignments!$AK$2:$AK$769,Assignments!$A$2:$A$769,$A85,Assignments!$G$2:$G$769,"Active",Assignments!$AI$2:$AI$769,"&lt;="&amp;N$47,Assignments!$AJ$2:$AJ$769,"&gt;="&amp;N$47)+SUMIFS(Assignments!$AN$2:$AN$769,Assignments!$A$2:$A$769,$A85,Assignments!$G$2:$G$769,"Active",Assignments!$AL$2:$AL$769,"&lt;="&amp;N$47,Assignments!$AM$2:$AM$769,"&gt;="&amp;N$47))</f>
        <v/>
      </c>
      <c r="O85" s="11">
        <f>IF($A85="","",SUMIFS(Assignments!$AK$2:$AK$769,Assignments!$A$2:$A$769,$A85,Assignments!$G$2:$G$769,"Active",Assignments!$AI$2:$AI$769,"&lt;="&amp;O$47,Assignments!$AJ$2:$AJ$769,"&gt;="&amp;O$47)+SUMIFS(Assignments!$AN$2:$AN$769,Assignments!$A$2:$A$769,$A85,Assignments!$G$2:$G$769,"Active",Assignments!$AL$2:$AL$769,"&lt;="&amp;O$47,Assignments!$AM$2:$AM$769,"&gt;="&amp;O$47))</f>
        <v/>
      </c>
      <c r="P85" s="11">
        <f>IF($A85="","",SUMIFS(Assignments!$AK$2:$AK$769,Assignments!$A$2:$A$769,$A85,Assignments!$G$2:$G$769,"Active",Assignments!$AI$2:$AI$769,"&lt;="&amp;P$47,Assignments!$AJ$2:$AJ$769,"&gt;="&amp;P$47)+SUMIFS(Assignments!$AN$2:$AN$769,Assignments!$A$2:$A$769,$A85,Assignments!$G$2:$G$769,"Active",Assignments!$AL$2:$AL$769,"&lt;="&amp;P$47,Assignments!$AM$2:$AM$769,"&gt;="&amp;P$47))</f>
        <v/>
      </c>
      <c r="Q85" s="11">
        <f>IF($A85="","",SUMIFS(Assignments!$AK$2:$AK$769,Assignments!$A$2:$A$769,$A85,Assignments!$G$2:$G$769,"Active",Assignments!$AI$2:$AI$769,"&lt;="&amp;Q$47,Assignments!$AJ$2:$AJ$769,"&gt;="&amp;Q$47)+SUMIFS(Assignments!$AN$2:$AN$769,Assignments!$A$2:$A$769,$A85,Assignments!$G$2:$G$769,"Active",Assignments!$AL$2:$AL$769,"&lt;="&amp;Q$47,Assignments!$AM$2:$AM$769,"&gt;="&amp;Q$47))</f>
        <v/>
      </c>
      <c r="R85" s="11">
        <f>IF($A85="","",SUMIFS(Assignments!$AK$2:$AK$769,Assignments!$A$2:$A$769,$A85,Assignments!$G$2:$G$769,"Active",Assignments!$AI$2:$AI$769,"&lt;="&amp;R$47,Assignments!$AJ$2:$AJ$769,"&gt;="&amp;R$47)+SUMIFS(Assignments!$AN$2:$AN$769,Assignments!$A$2:$A$769,$A85,Assignments!$G$2:$G$769,"Active",Assignments!$AL$2:$AL$769,"&lt;="&amp;R$47,Assignments!$AM$2:$AM$769,"&gt;="&amp;R$47))</f>
        <v/>
      </c>
      <c r="S85" s="11">
        <f>IF($A85="","",SUMIFS(Assignments!$AK$2:$AK$769,Assignments!$A$2:$A$769,$A85,Assignments!$G$2:$G$769,"Active",Assignments!$AI$2:$AI$769,"&lt;="&amp;S$47,Assignments!$AJ$2:$AJ$769,"&gt;="&amp;S$47)+SUMIFS(Assignments!$AN$2:$AN$769,Assignments!$A$2:$A$769,$A85,Assignments!$G$2:$G$769,"Active",Assignments!$AL$2:$AL$769,"&lt;="&amp;S$47,Assignments!$AM$2:$AM$769,"&gt;="&amp;S$47))</f>
        <v/>
      </c>
      <c r="T85" s="11">
        <f>IF($A85="","",SUMIFS(Assignments!$AK$2:$AK$769,Assignments!$A$2:$A$769,$A85,Assignments!$G$2:$G$769,"Active",Assignments!$AI$2:$AI$769,"&lt;="&amp;T$47,Assignments!$AJ$2:$AJ$769,"&gt;="&amp;T$47)+SUMIFS(Assignments!$AN$2:$AN$769,Assignments!$A$2:$A$769,$A85,Assignments!$G$2:$G$769,"Active",Assignments!$AL$2:$AL$769,"&lt;="&amp;T$47,Assignments!$AM$2:$AM$769,"&gt;="&amp;T$47))</f>
        <v/>
      </c>
      <c r="U85" s="11">
        <f>IF($A85="","",SUMIFS(Assignments!$AK$2:$AK$769,Assignments!$A$2:$A$769,$A85,Assignments!$G$2:$G$769,"Active",Assignments!$AI$2:$AI$769,"&lt;="&amp;U$47,Assignments!$AJ$2:$AJ$769,"&gt;="&amp;U$47)+SUMIFS(Assignments!$AN$2:$AN$769,Assignments!$A$2:$A$769,$A85,Assignments!$G$2:$G$769,"Active",Assignments!$AL$2:$AL$769,"&lt;="&amp;U$47,Assignments!$AM$2:$AM$769,"&gt;="&amp;U$47))</f>
        <v/>
      </c>
      <c r="V85" s="11">
        <f>IF($A85="","",SUMIFS(Assignments!$AK$2:$AK$769,Assignments!$A$2:$A$769,$A85,Assignments!$G$2:$G$769,"Active",Assignments!$AI$2:$AI$769,"&lt;="&amp;V$47,Assignments!$AJ$2:$AJ$769,"&gt;="&amp;V$47)+SUMIFS(Assignments!$AN$2:$AN$769,Assignments!$A$2:$A$769,$A85,Assignments!$G$2:$G$769,"Active",Assignments!$AL$2:$AL$769,"&lt;="&amp;V$47,Assignments!$AM$2:$AM$769,"&gt;="&amp;V$47))</f>
        <v/>
      </c>
      <c r="W85" s="11">
        <f>IF($A85="","",SUMIFS(Assignments!$AK$2:$AK$769,Assignments!$A$2:$A$769,$A85,Assignments!$G$2:$G$769,"Active",Assignments!$AI$2:$AI$769,"&lt;="&amp;W$47,Assignments!$AJ$2:$AJ$769,"&gt;="&amp;W$47)+SUMIFS(Assignments!$AN$2:$AN$769,Assignments!$A$2:$A$769,$A85,Assignments!$G$2:$G$769,"Active",Assignments!$AL$2:$AL$769,"&lt;="&amp;W$47,Assignments!$AM$2:$AM$769,"&gt;="&amp;W$47))</f>
        <v/>
      </c>
      <c r="X85" s="11">
        <f>IF($A85="","",SUMIFS(Assignments!$AK$2:$AK$769,Assignments!$A$2:$A$769,$A85,Assignments!$G$2:$G$769,"Active",Assignments!$AI$2:$AI$769,"&lt;="&amp;X$47,Assignments!$AJ$2:$AJ$769,"&gt;="&amp;X$47)+SUMIFS(Assignments!$AN$2:$AN$769,Assignments!$A$2:$A$769,$A85,Assignments!$G$2:$G$769,"Active",Assignments!$AL$2:$AL$769,"&lt;="&amp;X$47,Assignments!$AM$2:$AM$769,"&gt;="&amp;X$47))</f>
        <v/>
      </c>
      <c r="Y85" s="11">
        <f>IF($A85="","",SUMIFS(Assignments!$AK$2:$AK$769,Assignments!$A$2:$A$769,$A85,Assignments!$G$2:$G$769,"Active",Assignments!$AI$2:$AI$769,"&lt;="&amp;Y$47,Assignments!$AJ$2:$AJ$769,"&gt;="&amp;Y$47)+SUMIFS(Assignments!$AN$2:$AN$769,Assignments!$A$2:$A$769,$A85,Assignments!$G$2:$G$769,"Active",Assignments!$AL$2:$AL$769,"&lt;="&amp;Y$47,Assignments!$AM$2:$AM$769,"&gt;="&amp;Y$47))</f>
        <v/>
      </c>
      <c r="Z85" s="11">
        <f>IF($A85="","",SUMIFS(Assignments!$AK$2:$AK$769,Assignments!$A$2:$A$769,$A85,Assignments!$G$2:$G$769,"Active",Assignments!$AI$2:$AI$769,"&lt;="&amp;Z$47,Assignments!$AJ$2:$AJ$769,"&gt;="&amp;Z$47)+SUMIFS(Assignments!$AN$2:$AN$769,Assignments!$A$2:$A$769,$A85,Assignments!$G$2:$G$769,"Active",Assignments!$AL$2:$AL$769,"&lt;="&amp;Z$47,Assignments!$AM$2:$AM$769,"&gt;="&amp;Z$47))</f>
        <v/>
      </c>
      <c r="AA85" s="11">
        <f>IF($A85="","",SUMIFS(Assignments!$AK$2:$AK$769,Assignments!$A$2:$A$769,$A85,Assignments!$G$2:$G$769,"Active",Assignments!$AI$2:$AI$769,"&lt;="&amp;AA$47,Assignments!$AJ$2:$AJ$769,"&gt;="&amp;AA$47)+SUMIFS(Assignments!$AN$2:$AN$769,Assignments!$A$2:$A$769,$A85,Assignments!$G$2:$G$769,"Active",Assignments!$AL$2:$AL$769,"&lt;="&amp;AA$47,Assignments!$AM$2:$AM$769,"&gt;="&amp;AA$47))</f>
        <v/>
      </c>
      <c r="AB85" s="11">
        <f>IF($A85="","",SUMIFS(Assignments!$AK$2:$AK$769,Assignments!$A$2:$A$769,$A85,Assignments!$G$2:$G$769,"Active",Assignments!$AI$2:$AI$769,"&lt;="&amp;AB$47,Assignments!$AJ$2:$AJ$769,"&gt;="&amp;AB$47)+SUMIFS(Assignments!$AN$2:$AN$769,Assignments!$A$2:$A$769,$A85,Assignments!$G$2:$G$769,"Active",Assignments!$AL$2:$AL$769,"&lt;="&amp;AB$47,Assignments!$AM$2:$AM$769,"&gt;="&amp;AB$47))</f>
        <v/>
      </c>
    </row>
    <row r="86">
      <c r="A86" s="9">
        <f>IF(Roster!$A40="","",Roster!$A40)</f>
        <v/>
      </c>
      <c r="B86" s="10">
        <f>IF($A86="","",IFERROR(INDEX(Roster!$D$2:$D$40,MATCH($A86,Roster!$A$2:$A$40,0)),""))</f>
        <v/>
      </c>
      <c r="C86" s="11">
        <f>IF($A86="","",SUMIFS(Assignments!$AK$2:$AK$769,Assignments!$A$2:$A$769,$A86,Assignments!$G$2:$G$769,"Active",Assignments!$AI$2:$AI$769,"&lt;="&amp;C$47,Assignments!$AJ$2:$AJ$769,"&gt;="&amp;C$47)+SUMIFS(Assignments!$AN$2:$AN$769,Assignments!$A$2:$A$769,$A86,Assignments!$G$2:$G$769,"Active",Assignments!$AL$2:$AL$769,"&lt;="&amp;C$47,Assignments!$AM$2:$AM$769,"&gt;="&amp;C$47))</f>
        <v/>
      </c>
      <c r="D86" s="11">
        <f>IF($A86="","",SUMIFS(Assignments!$AK$2:$AK$769,Assignments!$A$2:$A$769,$A86,Assignments!$G$2:$G$769,"Active",Assignments!$AI$2:$AI$769,"&lt;="&amp;D$47,Assignments!$AJ$2:$AJ$769,"&gt;="&amp;D$47)+SUMIFS(Assignments!$AN$2:$AN$769,Assignments!$A$2:$A$769,$A86,Assignments!$G$2:$G$769,"Active",Assignments!$AL$2:$AL$769,"&lt;="&amp;D$47,Assignments!$AM$2:$AM$769,"&gt;="&amp;D$47))</f>
        <v/>
      </c>
      <c r="E86" s="11">
        <f>IF($A86="","",SUMIFS(Assignments!$AK$2:$AK$769,Assignments!$A$2:$A$769,$A86,Assignments!$G$2:$G$769,"Active",Assignments!$AI$2:$AI$769,"&lt;="&amp;E$47,Assignments!$AJ$2:$AJ$769,"&gt;="&amp;E$47)+SUMIFS(Assignments!$AN$2:$AN$769,Assignments!$A$2:$A$769,$A86,Assignments!$G$2:$G$769,"Active",Assignments!$AL$2:$AL$769,"&lt;="&amp;E$47,Assignments!$AM$2:$AM$769,"&gt;="&amp;E$47))</f>
        <v/>
      </c>
      <c r="F86" s="11">
        <f>IF($A86="","",SUMIFS(Assignments!$AK$2:$AK$769,Assignments!$A$2:$A$769,$A86,Assignments!$G$2:$G$769,"Active",Assignments!$AI$2:$AI$769,"&lt;="&amp;F$47,Assignments!$AJ$2:$AJ$769,"&gt;="&amp;F$47)+SUMIFS(Assignments!$AN$2:$AN$769,Assignments!$A$2:$A$769,$A86,Assignments!$G$2:$G$769,"Active",Assignments!$AL$2:$AL$769,"&lt;="&amp;F$47,Assignments!$AM$2:$AM$769,"&gt;="&amp;F$47))</f>
        <v/>
      </c>
      <c r="G86" s="11">
        <f>IF($A86="","",SUMIFS(Assignments!$AK$2:$AK$769,Assignments!$A$2:$A$769,$A86,Assignments!$G$2:$G$769,"Active",Assignments!$AI$2:$AI$769,"&lt;="&amp;G$47,Assignments!$AJ$2:$AJ$769,"&gt;="&amp;G$47)+SUMIFS(Assignments!$AN$2:$AN$769,Assignments!$A$2:$A$769,$A86,Assignments!$G$2:$G$769,"Active",Assignments!$AL$2:$AL$769,"&lt;="&amp;G$47,Assignments!$AM$2:$AM$769,"&gt;="&amp;G$47))</f>
        <v/>
      </c>
      <c r="H86" s="11">
        <f>IF($A86="","",SUMIFS(Assignments!$AK$2:$AK$769,Assignments!$A$2:$A$769,$A86,Assignments!$G$2:$G$769,"Active",Assignments!$AI$2:$AI$769,"&lt;="&amp;H$47,Assignments!$AJ$2:$AJ$769,"&gt;="&amp;H$47)+SUMIFS(Assignments!$AN$2:$AN$769,Assignments!$A$2:$A$769,$A86,Assignments!$G$2:$G$769,"Active",Assignments!$AL$2:$AL$769,"&lt;="&amp;H$47,Assignments!$AM$2:$AM$769,"&gt;="&amp;H$47))</f>
        <v/>
      </c>
      <c r="I86" s="11">
        <f>IF($A86="","",SUMIFS(Assignments!$AK$2:$AK$769,Assignments!$A$2:$A$769,$A86,Assignments!$G$2:$G$769,"Active",Assignments!$AI$2:$AI$769,"&lt;="&amp;I$47,Assignments!$AJ$2:$AJ$769,"&gt;="&amp;I$47)+SUMIFS(Assignments!$AN$2:$AN$769,Assignments!$A$2:$A$769,$A86,Assignments!$G$2:$G$769,"Active",Assignments!$AL$2:$AL$769,"&lt;="&amp;I$47,Assignments!$AM$2:$AM$769,"&gt;="&amp;I$47))</f>
        <v/>
      </c>
      <c r="J86" s="11">
        <f>IF($A86="","",SUMIFS(Assignments!$AK$2:$AK$769,Assignments!$A$2:$A$769,$A86,Assignments!$G$2:$G$769,"Active",Assignments!$AI$2:$AI$769,"&lt;="&amp;J$47,Assignments!$AJ$2:$AJ$769,"&gt;="&amp;J$47)+SUMIFS(Assignments!$AN$2:$AN$769,Assignments!$A$2:$A$769,$A86,Assignments!$G$2:$G$769,"Active",Assignments!$AL$2:$AL$769,"&lt;="&amp;J$47,Assignments!$AM$2:$AM$769,"&gt;="&amp;J$47))</f>
        <v/>
      </c>
      <c r="K86" s="11">
        <f>IF($A86="","",SUMIFS(Assignments!$AK$2:$AK$769,Assignments!$A$2:$A$769,$A86,Assignments!$G$2:$G$769,"Active",Assignments!$AI$2:$AI$769,"&lt;="&amp;K$47,Assignments!$AJ$2:$AJ$769,"&gt;="&amp;K$47)+SUMIFS(Assignments!$AN$2:$AN$769,Assignments!$A$2:$A$769,$A86,Assignments!$G$2:$G$769,"Active",Assignments!$AL$2:$AL$769,"&lt;="&amp;K$47,Assignments!$AM$2:$AM$769,"&gt;="&amp;K$47))</f>
        <v/>
      </c>
      <c r="L86" s="11">
        <f>IF($A86="","",SUMIFS(Assignments!$AK$2:$AK$769,Assignments!$A$2:$A$769,$A86,Assignments!$G$2:$G$769,"Active",Assignments!$AI$2:$AI$769,"&lt;="&amp;L$47,Assignments!$AJ$2:$AJ$769,"&gt;="&amp;L$47)+SUMIFS(Assignments!$AN$2:$AN$769,Assignments!$A$2:$A$769,$A86,Assignments!$G$2:$G$769,"Active",Assignments!$AL$2:$AL$769,"&lt;="&amp;L$47,Assignments!$AM$2:$AM$769,"&gt;="&amp;L$47))</f>
        <v/>
      </c>
      <c r="M86" s="11">
        <f>IF($A86="","",SUMIFS(Assignments!$AK$2:$AK$769,Assignments!$A$2:$A$769,$A86,Assignments!$G$2:$G$769,"Active",Assignments!$AI$2:$AI$769,"&lt;="&amp;M$47,Assignments!$AJ$2:$AJ$769,"&gt;="&amp;M$47)+SUMIFS(Assignments!$AN$2:$AN$769,Assignments!$A$2:$A$769,$A86,Assignments!$G$2:$G$769,"Active",Assignments!$AL$2:$AL$769,"&lt;="&amp;M$47,Assignments!$AM$2:$AM$769,"&gt;="&amp;M$47))</f>
        <v/>
      </c>
      <c r="N86" s="11">
        <f>IF($A86="","",SUMIFS(Assignments!$AK$2:$AK$769,Assignments!$A$2:$A$769,$A86,Assignments!$G$2:$G$769,"Active",Assignments!$AI$2:$AI$769,"&lt;="&amp;N$47,Assignments!$AJ$2:$AJ$769,"&gt;="&amp;N$47)+SUMIFS(Assignments!$AN$2:$AN$769,Assignments!$A$2:$A$769,$A86,Assignments!$G$2:$G$769,"Active",Assignments!$AL$2:$AL$769,"&lt;="&amp;N$47,Assignments!$AM$2:$AM$769,"&gt;="&amp;N$47))</f>
        <v/>
      </c>
      <c r="O86" s="11">
        <f>IF($A86="","",SUMIFS(Assignments!$AK$2:$AK$769,Assignments!$A$2:$A$769,$A86,Assignments!$G$2:$G$769,"Active",Assignments!$AI$2:$AI$769,"&lt;="&amp;O$47,Assignments!$AJ$2:$AJ$769,"&gt;="&amp;O$47)+SUMIFS(Assignments!$AN$2:$AN$769,Assignments!$A$2:$A$769,$A86,Assignments!$G$2:$G$769,"Active",Assignments!$AL$2:$AL$769,"&lt;="&amp;O$47,Assignments!$AM$2:$AM$769,"&gt;="&amp;O$47))</f>
        <v/>
      </c>
      <c r="P86" s="11">
        <f>IF($A86="","",SUMIFS(Assignments!$AK$2:$AK$769,Assignments!$A$2:$A$769,$A86,Assignments!$G$2:$G$769,"Active",Assignments!$AI$2:$AI$769,"&lt;="&amp;P$47,Assignments!$AJ$2:$AJ$769,"&gt;="&amp;P$47)+SUMIFS(Assignments!$AN$2:$AN$769,Assignments!$A$2:$A$769,$A86,Assignments!$G$2:$G$769,"Active",Assignments!$AL$2:$AL$769,"&lt;="&amp;P$47,Assignments!$AM$2:$AM$769,"&gt;="&amp;P$47))</f>
        <v/>
      </c>
      <c r="Q86" s="11">
        <f>IF($A86="","",SUMIFS(Assignments!$AK$2:$AK$769,Assignments!$A$2:$A$769,$A86,Assignments!$G$2:$G$769,"Active",Assignments!$AI$2:$AI$769,"&lt;="&amp;Q$47,Assignments!$AJ$2:$AJ$769,"&gt;="&amp;Q$47)+SUMIFS(Assignments!$AN$2:$AN$769,Assignments!$A$2:$A$769,$A86,Assignments!$G$2:$G$769,"Active",Assignments!$AL$2:$AL$769,"&lt;="&amp;Q$47,Assignments!$AM$2:$AM$769,"&gt;="&amp;Q$47))</f>
        <v/>
      </c>
      <c r="R86" s="11">
        <f>IF($A86="","",SUMIFS(Assignments!$AK$2:$AK$769,Assignments!$A$2:$A$769,$A86,Assignments!$G$2:$G$769,"Active",Assignments!$AI$2:$AI$769,"&lt;="&amp;R$47,Assignments!$AJ$2:$AJ$769,"&gt;="&amp;R$47)+SUMIFS(Assignments!$AN$2:$AN$769,Assignments!$A$2:$A$769,$A86,Assignments!$G$2:$G$769,"Active",Assignments!$AL$2:$AL$769,"&lt;="&amp;R$47,Assignments!$AM$2:$AM$769,"&gt;="&amp;R$47))</f>
        <v/>
      </c>
      <c r="S86" s="11">
        <f>IF($A86="","",SUMIFS(Assignments!$AK$2:$AK$769,Assignments!$A$2:$A$769,$A86,Assignments!$G$2:$G$769,"Active",Assignments!$AI$2:$AI$769,"&lt;="&amp;S$47,Assignments!$AJ$2:$AJ$769,"&gt;="&amp;S$47)+SUMIFS(Assignments!$AN$2:$AN$769,Assignments!$A$2:$A$769,$A86,Assignments!$G$2:$G$769,"Active",Assignments!$AL$2:$AL$769,"&lt;="&amp;S$47,Assignments!$AM$2:$AM$769,"&gt;="&amp;S$47))</f>
        <v/>
      </c>
      <c r="T86" s="11">
        <f>IF($A86="","",SUMIFS(Assignments!$AK$2:$AK$769,Assignments!$A$2:$A$769,$A86,Assignments!$G$2:$G$769,"Active",Assignments!$AI$2:$AI$769,"&lt;="&amp;T$47,Assignments!$AJ$2:$AJ$769,"&gt;="&amp;T$47)+SUMIFS(Assignments!$AN$2:$AN$769,Assignments!$A$2:$A$769,$A86,Assignments!$G$2:$G$769,"Active",Assignments!$AL$2:$AL$769,"&lt;="&amp;T$47,Assignments!$AM$2:$AM$769,"&gt;="&amp;T$47))</f>
        <v/>
      </c>
      <c r="U86" s="11">
        <f>IF($A86="","",SUMIFS(Assignments!$AK$2:$AK$769,Assignments!$A$2:$A$769,$A86,Assignments!$G$2:$G$769,"Active",Assignments!$AI$2:$AI$769,"&lt;="&amp;U$47,Assignments!$AJ$2:$AJ$769,"&gt;="&amp;U$47)+SUMIFS(Assignments!$AN$2:$AN$769,Assignments!$A$2:$A$769,$A86,Assignments!$G$2:$G$769,"Active",Assignments!$AL$2:$AL$769,"&lt;="&amp;U$47,Assignments!$AM$2:$AM$769,"&gt;="&amp;U$47))</f>
        <v/>
      </c>
      <c r="V86" s="11">
        <f>IF($A86="","",SUMIFS(Assignments!$AK$2:$AK$769,Assignments!$A$2:$A$769,$A86,Assignments!$G$2:$G$769,"Active",Assignments!$AI$2:$AI$769,"&lt;="&amp;V$47,Assignments!$AJ$2:$AJ$769,"&gt;="&amp;V$47)+SUMIFS(Assignments!$AN$2:$AN$769,Assignments!$A$2:$A$769,$A86,Assignments!$G$2:$G$769,"Active",Assignments!$AL$2:$AL$769,"&lt;="&amp;V$47,Assignments!$AM$2:$AM$769,"&gt;="&amp;V$47))</f>
        <v/>
      </c>
      <c r="W86" s="11">
        <f>IF($A86="","",SUMIFS(Assignments!$AK$2:$AK$769,Assignments!$A$2:$A$769,$A86,Assignments!$G$2:$G$769,"Active",Assignments!$AI$2:$AI$769,"&lt;="&amp;W$47,Assignments!$AJ$2:$AJ$769,"&gt;="&amp;W$47)+SUMIFS(Assignments!$AN$2:$AN$769,Assignments!$A$2:$A$769,$A86,Assignments!$G$2:$G$769,"Active",Assignments!$AL$2:$AL$769,"&lt;="&amp;W$47,Assignments!$AM$2:$AM$769,"&gt;="&amp;W$47))</f>
        <v/>
      </c>
      <c r="X86" s="11">
        <f>IF($A86="","",SUMIFS(Assignments!$AK$2:$AK$769,Assignments!$A$2:$A$769,$A86,Assignments!$G$2:$G$769,"Active",Assignments!$AI$2:$AI$769,"&lt;="&amp;X$47,Assignments!$AJ$2:$AJ$769,"&gt;="&amp;X$47)+SUMIFS(Assignments!$AN$2:$AN$769,Assignments!$A$2:$A$769,$A86,Assignments!$G$2:$G$769,"Active",Assignments!$AL$2:$AL$769,"&lt;="&amp;X$47,Assignments!$AM$2:$AM$769,"&gt;="&amp;X$47))</f>
        <v/>
      </c>
      <c r="Y86" s="11">
        <f>IF($A86="","",SUMIFS(Assignments!$AK$2:$AK$769,Assignments!$A$2:$A$769,$A86,Assignments!$G$2:$G$769,"Active",Assignments!$AI$2:$AI$769,"&lt;="&amp;Y$47,Assignments!$AJ$2:$AJ$769,"&gt;="&amp;Y$47)+SUMIFS(Assignments!$AN$2:$AN$769,Assignments!$A$2:$A$769,$A86,Assignments!$G$2:$G$769,"Active",Assignments!$AL$2:$AL$769,"&lt;="&amp;Y$47,Assignments!$AM$2:$AM$769,"&gt;="&amp;Y$47))</f>
        <v/>
      </c>
      <c r="Z86" s="11">
        <f>IF($A86="","",SUMIFS(Assignments!$AK$2:$AK$769,Assignments!$A$2:$A$769,$A86,Assignments!$G$2:$G$769,"Active",Assignments!$AI$2:$AI$769,"&lt;="&amp;Z$47,Assignments!$AJ$2:$AJ$769,"&gt;="&amp;Z$47)+SUMIFS(Assignments!$AN$2:$AN$769,Assignments!$A$2:$A$769,$A86,Assignments!$G$2:$G$769,"Active",Assignments!$AL$2:$AL$769,"&lt;="&amp;Z$47,Assignments!$AM$2:$AM$769,"&gt;="&amp;Z$47))</f>
        <v/>
      </c>
      <c r="AA86" s="11">
        <f>IF($A86="","",SUMIFS(Assignments!$AK$2:$AK$769,Assignments!$A$2:$A$769,$A86,Assignments!$G$2:$G$769,"Active",Assignments!$AI$2:$AI$769,"&lt;="&amp;AA$47,Assignments!$AJ$2:$AJ$769,"&gt;="&amp;AA$47)+SUMIFS(Assignments!$AN$2:$AN$769,Assignments!$A$2:$A$769,$A86,Assignments!$G$2:$G$769,"Active",Assignments!$AL$2:$AL$769,"&lt;="&amp;AA$47,Assignments!$AM$2:$AM$769,"&gt;="&amp;AA$47))</f>
        <v/>
      </c>
      <c r="AB86" s="11">
        <f>IF($A86="","",SUMIFS(Assignments!$AK$2:$AK$769,Assignments!$A$2:$A$769,$A86,Assignments!$G$2:$G$769,"Active",Assignments!$AI$2:$AI$769,"&lt;="&amp;AB$47,Assignments!$AJ$2:$AJ$769,"&gt;="&amp;AB$47)+SUMIFS(Assignments!$AN$2:$AN$769,Assignments!$A$2:$A$769,$A86,Assignments!$G$2:$G$769,"Active",Assignments!$AL$2:$AL$769,"&lt;="&amp;AB$47,Assignments!$AM$2:$AM$769,"&gt;="&amp;AB$47))</f>
        <v/>
      </c>
    </row>
    <row r="87"/>
    <row r="88">
      <c r="A88" s="12" t="inlineStr">
        <is>
          <t>Team planned (scenario)</t>
        </is>
      </c>
      <c r="C88" s="13">
        <f>SUM(C48:C86)</f>
        <v/>
      </c>
      <c r="D88" s="13">
        <f>SUM(D48:D86)</f>
        <v/>
      </c>
      <c r="E88" s="13">
        <f>SUM(E48:E86)</f>
        <v/>
      </c>
      <c r="F88" s="13">
        <f>SUM(F48:F86)</f>
        <v/>
      </c>
      <c r="G88" s="13">
        <f>SUM(G48:G86)</f>
        <v/>
      </c>
      <c r="H88" s="13">
        <f>SUM(H48:H86)</f>
        <v/>
      </c>
      <c r="I88" s="13">
        <f>SUM(I48:I86)</f>
        <v/>
      </c>
      <c r="J88" s="13">
        <f>SUM(J48:J86)</f>
        <v/>
      </c>
      <c r="K88" s="13">
        <f>SUM(K48:K86)</f>
        <v/>
      </c>
      <c r="L88" s="13">
        <f>SUM(L48:L86)</f>
        <v/>
      </c>
      <c r="M88" s="13">
        <f>SUM(M48:M86)</f>
        <v/>
      </c>
      <c r="N88" s="13">
        <f>SUM(N48:N86)</f>
        <v/>
      </c>
      <c r="O88" s="13">
        <f>SUM(O48:O86)</f>
        <v/>
      </c>
      <c r="P88" s="13">
        <f>SUM(P48:P86)</f>
        <v/>
      </c>
      <c r="Q88" s="13">
        <f>SUM(Q48:Q86)</f>
        <v/>
      </c>
      <c r="R88" s="13">
        <f>SUM(R48:R86)</f>
        <v/>
      </c>
      <c r="S88" s="13">
        <f>SUM(S48:S86)</f>
        <v/>
      </c>
      <c r="T88" s="13">
        <f>SUM(T48:T86)</f>
        <v/>
      </c>
      <c r="U88" s="13">
        <f>SUM(U48:U86)</f>
        <v/>
      </c>
      <c r="V88" s="13">
        <f>SUM(V48:V86)</f>
        <v/>
      </c>
      <c r="W88" s="13">
        <f>SUM(W48:W86)</f>
        <v/>
      </c>
      <c r="X88" s="13">
        <f>SUM(X48:X86)</f>
        <v/>
      </c>
      <c r="Y88" s="13">
        <f>SUM(Y48:Y86)</f>
        <v/>
      </c>
      <c r="Z88" s="13">
        <f>SUM(Z48:Z86)</f>
        <v/>
      </c>
      <c r="AA88" s="13">
        <f>SUM(AA48:AA86)</f>
        <v/>
      </c>
      <c r="AB88" s="13">
        <f>SUM(AB48:AB86)</f>
        <v/>
      </c>
    </row>
    <row r="89">
      <c r="A89" s="12" t="inlineStr">
        <is>
          <t>Team planned (live)</t>
        </is>
      </c>
      <c r="C89" s="10">
        <f>Capacity!C45</f>
        <v/>
      </c>
      <c r="D89" s="10">
        <f>Capacity!D45</f>
        <v/>
      </c>
      <c r="E89" s="10">
        <f>Capacity!E45</f>
        <v/>
      </c>
      <c r="F89" s="10">
        <f>Capacity!F45</f>
        <v/>
      </c>
      <c r="G89" s="10">
        <f>Capacity!G45</f>
        <v/>
      </c>
      <c r="H89" s="10">
        <f>Capacity!H45</f>
        <v/>
      </c>
      <c r="I89" s="10">
        <f>Capacity!I45</f>
        <v/>
      </c>
      <c r="J89" s="10">
        <f>Capacity!J45</f>
        <v/>
      </c>
      <c r="K89" s="10">
        <f>Capacity!K45</f>
        <v/>
      </c>
      <c r="L89" s="10">
        <f>Capacity!L45</f>
        <v/>
      </c>
      <c r="M89" s="10">
        <f>Capacity!M45</f>
        <v/>
      </c>
      <c r="N89" s="10">
        <f>Capacity!N45</f>
        <v/>
      </c>
      <c r="O89" s="10">
        <f>Capacity!O45</f>
        <v/>
      </c>
      <c r="P89" s="10">
        <f>Capacity!P45</f>
        <v/>
      </c>
      <c r="Q89" s="10">
        <f>Capacity!Q45</f>
        <v/>
      </c>
      <c r="R89" s="10">
        <f>Capacity!R45</f>
        <v/>
      </c>
      <c r="S89" s="10">
        <f>Capacity!S45</f>
        <v/>
      </c>
      <c r="T89" s="10">
        <f>Capacity!T45</f>
        <v/>
      </c>
      <c r="U89" s="10">
        <f>Capacity!U45</f>
        <v/>
      </c>
      <c r="V89" s="10">
        <f>Capacity!V45</f>
        <v/>
      </c>
      <c r="W89" s="10">
        <f>Capacity!W45</f>
        <v/>
      </c>
      <c r="X89" s="10">
        <f>Capacity!X45</f>
        <v/>
      </c>
      <c r="Y89" s="10">
        <f>Capacity!Y45</f>
        <v/>
      </c>
      <c r="Z89" s="10">
        <f>Capacity!Z45</f>
        <v/>
      </c>
      <c r="AA89" s="10">
        <f>Capacity!AA45</f>
        <v/>
      </c>
      <c r="AB89" s="10">
        <f>Capacity!AB45</f>
        <v/>
      </c>
    </row>
    <row r="90">
      <c r="A90" s="12" t="inlineStr">
        <is>
          <t>Change</t>
        </is>
      </c>
      <c r="C90" s="27">
        <f>C88-C89</f>
        <v/>
      </c>
      <c r="D90" s="27">
        <f>D88-D89</f>
        <v/>
      </c>
      <c r="E90" s="27">
        <f>E88-E89</f>
        <v/>
      </c>
      <c r="F90" s="27">
        <f>F88-F89</f>
        <v/>
      </c>
      <c r="G90" s="27">
        <f>G88-G89</f>
        <v/>
      </c>
      <c r="H90" s="27">
        <f>H88-H89</f>
        <v/>
      </c>
      <c r="I90" s="27">
        <f>I88-I89</f>
        <v/>
      </c>
      <c r="J90" s="27">
        <f>J88-J89</f>
        <v/>
      </c>
      <c r="K90" s="27">
        <f>K88-K89</f>
        <v/>
      </c>
      <c r="L90" s="27">
        <f>L88-L89</f>
        <v/>
      </c>
      <c r="M90" s="27">
        <f>M88-M89</f>
        <v/>
      </c>
      <c r="N90" s="27">
        <f>N88-N89</f>
        <v/>
      </c>
      <c r="O90" s="27">
        <f>O88-O89</f>
        <v/>
      </c>
      <c r="P90" s="27">
        <f>P88-P89</f>
        <v/>
      </c>
      <c r="Q90" s="27">
        <f>Q88-Q89</f>
        <v/>
      </c>
      <c r="R90" s="27">
        <f>R88-R89</f>
        <v/>
      </c>
      <c r="S90" s="27">
        <f>S88-S89</f>
        <v/>
      </c>
      <c r="T90" s="27">
        <f>T88-T89</f>
        <v/>
      </c>
      <c r="U90" s="27">
        <f>U88-U89</f>
        <v/>
      </c>
      <c r="V90" s="27">
        <f>V88-V89</f>
        <v/>
      </c>
      <c r="W90" s="27">
        <f>W88-W89</f>
        <v/>
      </c>
      <c r="X90" s="27">
        <f>X88-X89</f>
        <v/>
      </c>
      <c r="Y90" s="27">
        <f>Y88-Y89</f>
        <v/>
      </c>
      <c r="Z90" s="27">
        <f>Z88-Z89</f>
        <v/>
      </c>
      <c r="AA90" s="27">
        <f>AA88-AA89</f>
        <v/>
      </c>
      <c r="AB90" s="27">
        <f>AB88-AB89</f>
        <v/>
      </c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1"/>
  <conditionalFormatting sqref="A6:G44">
    <cfRule type="expression" priority="1" dxfId="0" stopIfTrue="1">
      <formula>OR($G6="NEWLY OVER",$G6="over")</formula>
    </cfRule>
    <cfRule type="expression" priority="2" dxfId="3" stopIfTrue="1">
      <formula>$G6="eased"</formula>
    </cfRule>
  </conditionalFormatting>
  <conditionalFormatting sqref="E6:E44">
    <cfRule type="expression" priority="3" dxfId="4">
      <formula>AND(ISNUMBER($E6),$E6&lt;&gt;0)</formula>
    </cfRule>
  </conditionalFormatting>
  <conditionalFormatting sqref="C48:AB86">
    <cfRule type="expression" priority="4" dxfId="0" stopIfTrue="1">
      <formula>AND(ISNUMBER(C48),ISNUMBER($B48),C48&gt;$B48)</formula>
    </cfRule>
    <cfRule type="expression" priority="5" dxfId="1" stopIfTrue="1">
      <formula>AND(ISNUMBER(C48),ISNUMBER($B48),C48&gt;0.85*$B48)</formula>
    </cfRule>
  </conditionalFormatting>
  <conditionalFormatting sqref="C90:AB90">
    <cfRule type="expression" priority="6" dxfId="4">
      <formula>C90&lt;&gt;0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BP3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8" customWidth="1" min="2" max="2"/>
    <col width="26" customWidth="1" min="3" max="3"/>
    <col width="22" customWidth="1" min="4" max="4"/>
    <col width="8" customWidth="1" min="5" max="5"/>
    <col width="14" customWidth="1" min="6" max="6"/>
    <col width="13" customWidth="1" min="7" max="7"/>
    <col width="10" customWidth="1" min="8" max="8"/>
    <col width="11" customWidth="1" min="9" max="9"/>
    <col width="11" customWidth="1" min="10" max="10"/>
    <col hidden="1" width="13" customWidth="1" min="11" max="11"/>
    <col hidden="1" width="13" customWidth="1" min="12" max="12"/>
    <col hidden="1" width="14" customWidth="1" min="13" max="13"/>
    <col hidden="1" width="14" customWidth="1" min="14" max="14"/>
    <col hidden="1" width="16" customWidth="1" min="15" max="15"/>
    <col hidden="1" width="11" customWidth="1" min="16" max="16"/>
    <col width="8" customWidth="1" min="17" max="17"/>
    <col width="10" customWidth="1" min="18" max="18"/>
    <col width="16" customWidth="1" min="19" max="19"/>
    <col width="30" customWidth="1" min="20" max="20"/>
    <col width="20" customWidth="1" min="21" max="21"/>
    <col width="10" customWidth="1" min="22" max="22"/>
    <col width="10" customWidth="1" min="23" max="23"/>
    <col width="10" customWidth="1" min="24" max="24"/>
    <col width="14" customWidth="1" min="25" max="25"/>
    <col width="11" customWidth="1" min="26" max="26"/>
    <col width="14" customWidth="1" min="27" max="27"/>
    <col width="12" customWidth="1" min="28" max="28"/>
    <col width="12" customWidth="1" min="29" max="29"/>
    <col width="11" customWidth="1" min="30" max="30"/>
    <col width="12" customWidth="1" min="31" max="31"/>
    <col width="12" customWidth="1" min="32" max="32"/>
    <col width="14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2" customWidth="1" min="56" max="56"/>
    <col hidden="1" width="10" customWidth="1" min="57" max="57"/>
    <col hidden="1" width="10" customWidth="1" min="58" max="58"/>
    <col hidden="1" width="10" customWidth="1" min="59" max="59"/>
    <col hidden="1" width="10" customWidth="1" min="60" max="60"/>
    <col hidden="1" width="10" customWidth="1" min="61" max="61"/>
    <col hidden="1" width="11" customWidth="1" min="62" max="62"/>
    <col hidden="1" width="11" customWidth="1" min="63" max="63"/>
    <col hidden="1" width="11" customWidth="1" min="64" max="64"/>
    <col hidden="1" width="11" customWidth="1" min="65" max="65"/>
    <col hidden="1" width="11" customWidth="1" min="66" max="66"/>
    <col hidden="1" width="11" customWidth="1" min="67" max="67"/>
    <col hidden="1" width="11" customWidth="1" min="68" max="68"/>
  </cols>
  <sheetData>
    <row r="1" ht="28" customHeight="1">
      <c r="A1" s="15" t="inlineStr">
        <is>
          <t>Project ID</t>
        </is>
      </c>
      <c r="B1" s="15" t="inlineStr">
        <is>
          <t>Client (as filed)</t>
        </is>
      </c>
      <c r="C1" s="15" t="inlineStr">
        <is>
          <t>Primary client</t>
        </is>
      </c>
      <c r="D1" s="15" t="inlineStr">
        <is>
          <t>End client / target</t>
        </is>
      </c>
      <c r="E1" s="15" t="inlineStr">
        <is>
          <t>Referral?</t>
        </is>
      </c>
      <c r="F1" s="15" t="inlineStr">
        <is>
          <t>Lifecycle</t>
        </is>
      </c>
      <c r="G1" s="15" t="inlineStr">
        <is>
          <t>Phase</t>
        </is>
      </c>
      <c r="H1" s="15" t="inlineStr">
        <is>
          <t>Probability</t>
        </is>
      </c>
      <c r="I1" s="15" t="inlineStr">
        <is>
          <t>Expected start</t>
        </is>
      </c>
      <c r="J1" s="15" t="inlineStr">
        <is>
          <t>Expected end</t>
        </is>
      </c>
      <c r="K1" s="15" t="inlineStr">
        <is>
          <t>(retired: workstream scoping -&gt;)</t>
        </is>
      </c>
      <c r="L1" s="15" t="inlineStr">
        <is>
          <t>(retired)</t>
        </is>
      </c>
      <c r="M1" s="15" t="inlineStr">
        <is>
          <t>(retired)</t>
        </is>
      </c>
      <c r="N1" s="15" t="inlineStr">
        <is>
          <t>(retired)</t>
        </is>
      </c>
      <c r="O1" s="15" t="inlineStr">
        <is>
          <t>(retired)</t>
        </is>
      </c>
      <c r="P1" s="15" t="inlineStr">
        <is>
          <t>(retired)</t>
        </is>
      </c>
      <c r="Q1" s="15" t="inlineStr">
        <is>
          <t># staffed</t>
        </is>
      </c>
      <c r="R1" s="15" t="inlineStr">
        <is>
          <t>Planned hrs/wk</t>
        </is>
      </c>
      <c r="S1" s="15" t="inlineStr">
        <is>
          <t>Source status (Jul 9)</t>
        </is>
      </c>
      <c r="T1" s="15" t="inlineStr">
        <is>
          <t>Notes</t>
        </is>
      </c>
      <c r="U1" s="15" t="inlineStr">
        <is>
          <t>Effort archetype (legacy)</t>
        </is>
      </c>
      <c r="V1" s="15" t="inlineStr">
        <is>
          <t>Front x (calc)</t>
        </is>
      </c>
      <c r="W1" s="15" t="inlineStr">
        <is>
          <t>Tail x (calc)</t>
        </is>
      </c>
      <c r="X1" s="15" t="inlineStr">
        <is>
          <t>Front frac (calc)</t>
        </is>
      </c>
      <c r="Y1" s="15" t="inlineStr">
        <is>
          <t>Phase split date (calc)</t>
        </is>
      </c>
      <c r="Z1" s="15" t="inlineStr">
        <is>
          <t>Added on</t>
        </is>
      </c>
      <c r="AA1" s="15" t="inlineStr">
        <is>
          <t>SCENARIO probability</t>
        </is>
      </c>
      <c r="AB1" s="15" t="inlineStr">
        <is>
          <t>SCENARIO start</t>
        </is>
      </c>
      <c r="AC1" s="15" t="inlineStr">
        <is>
          <t>SCENARIO end</t>
        </is>
      </c>
      <c r="AD1" s="15" t="inlineStr">
        <is>
          <t>Eff. scn prob (calc)</t>
        </is>
      </c>
      <c r="AE1" s="15" t="inlineStr">
        <is>
          <t>Eff. scn start (calc)</t>
        </is>
      </c>
      <c r="AF1" s="15" t="inlineStr">
        <is>
          <t>Eff. scn end (calc)</t>
        </is>
      </c>
      <c r="AG1" s="15" t="inlineStr">
        <is>
          <t>Scenario split (calc)</t>
        </is>
      </c>
      <c r="AH1" s="15" t="inlineStr">
        <is>
          <t>TDD deal type</t>
        </is>
      </c>
      <c r="AI1" s="15" t="inlineStr">
        <is>
          <t>Domestic only? (Y/N)</t>
        </is>
      </c>
      <c r="AJ1" s="15" t="inlineStr">
        <is>
          <t>TDD scope</t>
        </is>
      </c>
      <c r="AK1" s="15" t="inlineStr">
        <is>
          <t>Other TDD scoping</t>
        </is>
      </c>
      <c r="AL1" s="15" t="inlineStr">
        <is>
          <t>Modeling: Corporate tax modeling</t>
        </is>
      </c>
      <c r="AM1" s="15" t="inlineStr">
        <is>
          <t>Modeling: Tracking Model Review</t>
        </is>
      </c>
      <c r="AN1" s="15" t="inlineStr">
        <is>
          <t>Modeling: Property tax Modeling</t>
        </is>
      </c>
      <c r="AO1" s="15" t="inlineStr">
        <is>
          <t>Modeling: SALT Modeling</t>
        </is>
      </c>
      <c r="AP1" s="15" t="inlineStr">
        <is>
          <t>Modeling: Tax Credit Assumption Review</t>
        </is>
      </c>
      <c r="AQ1" s="15" t="inlineStr">
        <is>
          <t>Modeling: Step Up Calculation</t>
        </is>
      </c>
      <c r="AR1" s="15" t="inlineStr">
        <is>
          <t>Modeling: Section 382 limitation</t>
        </is>
      </c>
      <c r="AS1" s="15" t="inlineStr">
        <is>
          <t>Modeling: FIRPTA Modeling</t>
        </is>
      </c>
      <c r="AT1" s="15" t="inlineStr">
        <is>
          <t>Modeling: Other modeling complexities</t>
        </is>
      </c>
      <c r="AU1" s="15" t="inlineStr">
        <is>
          <t>Structuring: Strawman deck</t>
        </is>
      </c>
      <c r="AV1" s="15" t="inlineStr">
        <is>
          <t>Structuring: Structure paper</t>
        </is>
      </c>
      <c r="AW1" s="15" t="inlineStr">
        <is>
          <t>Structuring: Opinion</t>
        </is>
      </c>
      <c r="AX1" s="15" t="inlineStr">
        <is>
          <t>Legal docs review</t>
        </is>
      </c>
      <c r="AY1" s="15" t="inlineStr">
        <is>
          <t>Fee $ - TDD</t>
        </is>
      </c>
      <c r="AZ1" s="15" t="inlineStr">
        <is>
          <t>Fee $ - Modeling</t>
        </is>
      </c>
      <c r="BA1" s="15" t="inlineStr">
        <is>
          <t>Fee $ - Structuring</t>
        </is>
      </c>
      <c r="BB1" s="15" t="inlineStr">
        <is>
          <t>Fee $ - Legal docs review</t>
        </is>
      </c>
      <c r="BC1" s="15" t="inlineStr">
        <is>
          <t>Fee $ - Other</t>
        </is>
      </c>
      <c r="BD1" s="15" t="inlineStr">
        <is>
          <t>Fee $ total (calc)</t>
        </is>
      </c>
      <c r="BE1" s="15" t="inlineStr">
        <is>
          <t>Dur wk - TDD (calc)</t>
        </is>
      </c>
      <c r="BF1" s="15" t="inlineStr">
        <is>
          <t>Dur wk - Modeling (calc)</t>
        </is>
      </c>
      <c r="BG1" s="15" t="inlineStr">
        <is>
          <t>Dur wk - Structuring (calc)</t>
        </is>
      </c>
      <c r="BH1" s="15" t="inlineStr">
        <is>
          <t>Dur wk - Legal docs review (calc)</t>
        </is>
      </c>
      <c r="BI1" s="15" t="inlineStr">
        <is>
          <t>Dur wk - Other (calc)</t>
        </is>
      </c>
      <c r="BJ1" s="15" t="inlineStr">
        <is>
          <t>Partner</t>
        </is>
      </c>
      <c r="BK1" s="15" t="inlineStr">
        <is>
          <t>MD</t>
        </is>
      </c>
      <c r="BL1" s="15" t="inlineStr">
        <is>
          <t>Director</t>
        </is>
      </c>
      <c r="BM1" s="15" t="inlineStr">
        <is>
          <t>VP</t>
        </is>
      </c>
      <c r="BN1" s="15" t="inlineStr">
        <is>
          <t>Senior Associate</t>
        </is>
      </c>
      <c r="BO1" s="15" t="inlineStr">
        <is>
          <t>Renewable Specialist</t>
        </is>
      </c>
      <c r="BP1" s="15" t="inlineStr">
        <is>
          <t>Associate</t>
        </is>
      </c>
    </row>
    <row r="2">
      <c r="A2" s="28" t="inlineStr">
        <is>
          <t>EXAMPLE_0</t>
        </is>
      </c>
      <c r="B2" s="20" t="inlineStr">
        <is>
          <t>Example Client LLC : Example Target</t>
        </is>
      </c>
      <c r="C2" s="28" t="inlineStr">
        <is>
          <t>Example Client LLC</t>
        </is>
      </c>
      <c r="D2" s="28" t="inlineStr">
        <is>
          <t>Example Target</t>
        </is>
      </c>
      <c r="E2" s="28" t="inlineStr">
        <is>
          <t>No</t>
        </is>
      </c>
      <c r="F2" s="28" t="inlineStr">
        <is>
          <t>Active</t>
        </is>
      </c>
      <c r="G2" s="28" t="inlineStr">
        <is>
          <t>Diligence</t>
        </is>
      </c>
      <c r="H2" s="29" t="n">
        <v>1</v>
      </c>
      <c r="I2" s="30" t="n">
        <v>46223</v>
      </c>
      <c r="J2" s="30" t="n">
        <v>46325</v>
      </c>
      <c r="K2" s="31" t="n"/>
      <c r="L2" s="31" t="n"/>
      <c r="M2" s="31" t="n"/>
      <c r="N2" s="31" t="n"/>
      <c r="O2" s="31" t="n"/>
      <c r="P2" s="31" t="n"/>
      <c r="Q2" s="23">
        <f>IF($A2="","",COUNTIFS(Assignments!$C$2:$C$769,$A2,Assignments!$G$2:$G$769,"Active"))</f>
        <v/>
      </c>
      <c r="R2" s="32">
        <f>IF($A2="","",SUMIFS(Assignments!$I$2:$I$769,Assignments!$C$2:$C$769,$A2,Assignments!$G$2:$G$769,"Active"))</f>
        <v/>
      </c>
      <c r="S2" s="20" t="inlineStr">
        <is>
          <t>(example)</t>
        </is>
      </c>
      <c r="T2" s="33" t="inlineStr">
        <is>
          <t>EXAMPLE row - shows the expected formats; delete any time. Nobody is staffed on it.</t>
        </is>
      </c>
      <c r="U2" s="28" t="inlineStr">
        <is>
          <t>Buy-side TDD + Structuring</t>
        </is>
      </c>
      <c r="V2" s="34">
        <f>IF($U2="","",IFERROR(INDEX(Templates!$K$3:$K$10,MATCH($U2,Templates!$A$3:$A$10,0)),""))</f>
        <v/>
      </c>
      <c r="W2" s="34">
        <f>IF($U2="","",IFERROR(INDEX(Templates!$L$3:$L$10,MATCH($U2,Templates!$A$3:$A$10,0)),""))</f>
        <v/>
      </c>
      <c r="X2" s="21">
        <f>IF($U2="","",IFERROR(INDEX(Templates!$J$3:$J$10,MATCH($U2,Templates!$A$3:$A$10,0)),""))</f>
        <v/>
      </c>
      <c r="Y2" s="35">
        <f>IF(OR($U2="",$I2="",$J2="",$X2=""),"",$I2+$X2*($J2-$I2))</f>
        <v/>
      </c>
      <c r="Z2" s="30" t="n">
        <v>46212</v>
      </c>
      <c r="AA2" s="29" t="n"/>
      <c r="AB2" s="30" t="n"/>
      <c r="AC2" s="30" t="n"/>
      <c r="AD2" s="19">
        <f>IF($A2="","",IF($AA2="",$H2,$AA2))</f>
        <v/>
      </c>
      <c r="AE2" s="35">
        <f>IF($A2="","",IF($AB2="",$I2,$AB2))</f>
        <v/>
      </c>
      <c r="AF2" s="35">
        <f>IF($A2="","",IF($AC2="",$J2,$AC2))</f>
        <v/>
      </c>
      <c r="AG2" s="35">
        <f>IF(OR($U2="",$AE2="",$AF2="",$X2=""),"",$AE2+$X2*($AF2-$AE2))</f>
        <v/>
      </c>
      <c r="AH2" s="28" t="inlineStr">
        <is>
          <t>Asset Deal (or DRE)</t>
        </is>
      </c>
      <c r="AI2" s="28" t="inlineStr">
        <is>
          <t>Y</t>
        </is>
      </c>
      <c r="AJ2" s="28" t="inlineStr">
        <is>
          <t>Limited Procedures</t>
        </is>
      </c>
      <c r="AK2" s="28" t="inlineStr">
        <is>
          <t>Carve out</t>
        </is>
      </c>
      <c r="AL2" s="28" t="inlineStr">
        <is>
          <t>Building roll up</t>
        </is>
      </c>
      <c r="AM2" s="28" t="inlineStr"/>
      <c r="AN2" s="28" t="inlineStr"/>
      <c r="AO2" s="28" t="inlineStr">
        <is>
          <t>Y</t>
        </is>
      </c>
      <c r="AP2" s="28" t="inlineStr"/>
      <c r="AQ2" s="28" t="inlineStr">
        <is>
          <t>Y</t>
        </is>
      </c>
      <c r="AR2" s="28" t="inlineStr"/>
      <c r="AS2" s="28" t="inlineStr"/>
      <c r="AT2" s="28" t="inlineStr"/>
      <c r="AU2" s="28" t="inlineStr">
        <is>
          <t>Y</t>
        </is>
      </c>
      <c r="AV2" s="28" t="inlineStr"/>
      <c r="AW2" s="28" t="inlineStr"/>
      <c r="AX2" s="28" t="inlineStr">
        <is>
          <t>Y</t>
        </is>
      </c>
      <c r="AY2" s="36" t="n">
        <v>250000</v>
      </c>
      <c r="AZ2" s="36" t="n">
        <v>90000</v>
      </c>
      <c r="BA2" s="36" t="n"/>
      <c r="BB2" s="36" t="n"/>
      <c r="BC2" s="36" t="n"/>
      <c r="BD2" s="37">
        <f>IF($A2="","",SUM($AY2:$BC2))</f>
        <v/>
      </c>
      <c r="BE2" s="18">
        <f>IF($A2="","",IF(AND($I2&lt;&gt;"",$J2&lt;&gt;""),MAX(1,($J2-$I2)/7),Templates!$B$35))</f>
        <v/>
      </c>
      <c r="BF2" s="18">
        <f>IF($A2="","",IF(AND($I2&lt;&gt;"",$J2&lt;&gt;""),MAX(1,($J2-$I2)/7),Templates!$B$36))</f>
        <v/>
      </c>
      <c r="BG2" s="18">
        <f>IF($A2="","",IF(AND($I2&lt;&gt;"",$J2&lt;&gt;""),MAX(1,($J2-$I2)/7),Templates!$B$37))</f>
        <v/>
      </c>
      <c r="BH2" s="18">
        <f>IF($A2="","",IF(AND($I2&lt;&gt;"",$J2&lt;&gt;""),MAX(1,($J2-$I2)/7),Templates!$B$38))</f>
        <v/>
      </c>
      <c r="BI2" s="18">
        <f>IF($A2="","",IF(AND($I2&lt;&gt;"",$J2&lt;&gt;""),MAX(1,($J2-$I2)/7),Templates!$B$39))</f>
        <v/>
      </c>
      <c r="BJ2" s="18">
        <f>IF(OR($A2="",$BD2=0),0,($AY2*Templates!$B$27/$BE2+$AZ2*Templates!$B$28/$BF2+$BA2*Templates!$B$29/$BG2+$BB2*Templates!$B$30/$BH2+$BC2*Templates!$B$31/$BI2)/Templates!$B$17)</f>
        <v/>
      </c>
      <c r="BK2" s="18">
        <f>IF(OR($A2="",$BD2=0),0,($AY2*Templates!$C$27/$BE2+$AZ2*Templates!$C$28/$BF2+$BA2*Templates!$C$29/$BG2+$BB2*Templates!$C$30/$BH2+$BC2*Templates!$C$31/$BI2)/Templates!$B$18)</f>
        <v/>
      </c>
      <c r="BL2" s="18">
        <f>IF(OR($A2="",$BD2=0),0,($AY2*Templates!$D$27/$BE2+$AZ2*Templates!$D$28/$BF2+$BA2*Templates!$D$29/$BG2+$BB2*Templates!$D$30/$BH2+$BC2*Templates!$D$31/$BI2)/Templates!$B$19)</f>
        <v/>
      </c>
      <c r="BM2" s="18">
        <f>IF(OR($A2="",$BD2=0),0,($AY2*Templates!$E$27/$BE2+$AZ2*Templates!$E$28/$BF2+$BA2*Templates!$E$29/$BG2+$BB2*Templates!$E$30/$BH2+$BC2*Templates!$E$31/$BI2)/Templates!$B$20)</f>
        <v/>
      </c>
      <c r="BN2" s="18">
        <f>IF(OR($A2="",$BD2=0),0,($AY2*Templates!$F$27/$BE2+$AZ2*Templates!$F$28/$BF2+$BA2*Templates!$F$29/$BG2+$BB2*Templates!$F$30/$BH2+$BC2*Templates!$F$31/$BI2)/Templates!$B$21)</f>
        <v/>
      </c>
      <c r="BO2" s="18">
        <f>IF(OR($A2="",$BD2=0),0,($AY2*Templates!$G$27/$BE2+$AZ2*Templates!$G$28/$BF2+$BA2*Templates!$G$29/$BG2+$BB2*Templates!$G$30/$BH2+$BC2*Templates!$G$31/$BI2)/Templates!$B$22)</f>
        <v/>
      </c>
      <c r="BP2" s="18">
        <f>IF(OR($A2="",$BD2=0),0,($AY2*Templates!$H$27/$BE2+$AZ2*Templates!$H$28/$BF2+$BA2*Templates!$H$29/$BG2+$BB2*Templates!$H$30/$BH2+$BC2*Templates!$H$31/$BI2)/Templates!$B$23)</f>
        <v/>
      </c>
    </row>
    <row r="3">
      <c r="A3" s="28" t="inlineStr">
        <is>
          <t>2026 Structuring_1</t>
        </is>
      </c>
      <c r="B3" s="20" t="inlineStr">
        <is>
          <t>Torch Clean Energy</t>
        </is>
      </c>
      <c r="C3" s="28" t="inlineStr">
        <is>
          <t>Torch Clean Energy</t>
        </is>
      </c>
      <c r="D3" s="28" t="inlineStr"/>
      <c r="E3" s="28" t="inlineStr">
        <is>
          <t>No</t>
        </is>
      </c>
      <c r="F3" s="28" t="inlineStr">
        <is>
          <t>Active</t>
        </is>
      </c>
      <c r="G3" s="38" t="n"/>
      <c r="H3" s="29" t="n">
        <v>1</v>
      </c>
      <c r="I3" s="39" t="n"/>
      <c r="J3" s="39" t="n"/>
      <c r="K3" s="31" t="n"/>
      <c r="L3" s="31" t="n"/>
      <c r="M3" s="31" t="n"/>
      <c r="N3" s="31" t="n"/>
      <c r="O3" s="31" t="n"/>
      <c r="P3" s="31" t="n"/>
      <c r="Q3" s="23">
        <f>IF($A3="","",COUNTIFS(Assignments!$C$2:$C$769,$A3,Assignments!$G$2:$G$769,"Active"))</f>
        <v/>
      </c>
      <c r="R3" s="32">
        <f>IF($A3="","",SUMIFS(Assignments!$I$2:$I$769,Assignments!$C$2:$C$769,$A3,Assignments!$G$2:$G$769,"Active"))</f>
        <v/>
      </c>
      <c r="S3" s="20" t="inlineStr">
        <is>
          <t>WIP</t>
        </is>
      </c>
      <c r="T3" s="31" t="n"/>
      <c r="U3" s="38" t="n"/>
      <c r="V3" s="34">
        <f>IF($U3="","",IFERROR(INDEX(Templates!$K$3:$K$10,MATCH($U3,Templates!$A$3:$A$10,0)),""))</f>
        <v/>
      </c>
      <c r="W3" s="34">
        <f>IF($U3="","",IFERROR(INDEX(Templates!$L$3:$L$10,MATCH($U3,Templates!$A$3:$A$10,0)),""))</f>
        <v/>
      </c>
      <c r="X3" s="21">
        <f>IF($U3="","",IFERROR(INDEX(Templates!$J$3:$J$10,MATCH($U3,Templates!$A$3:$A$10,0)),""))</f>
        <v/>
      </c>
      <c r="Y3" s="35">
        <f>IF(OR($U3="",$I3="",$J3="",$X3=""),"",$I3+$X3*($J3-$I3))</f>
        <v/>
      </c>
      <c r="Z3" s="30" t="n">
        <v>46212</v>
      </c>
      <c r="AA3" s="40" t="n"/>
      <c r="AB3" s="41" t="n"/>
      <c r="AC3" s="41" t="n"/>
      <c r="AD3" s="19">
        <f>IF($A3="","",IF($AA3="",$H3,$AA3))</f>
        <v/>
      </c>
      <c r="AE3" s="35">
        <f>IF($A3="","",IF($AB3="",$I3,$AB3))</f>
        <v/>
      </c>
      <c r="AF3" s="35">
        <f>IF($A3="","",IF($AC3="",$J3,$AC3))</f>
        <v/>
      </c>
      <c r="AG3" s="35">
        <f>IF(OR($U3="",$AE3="",$AF3="",$X3=""),"",$AE3+$X3*($AF3-$AE3))</f>
        <v/>
      </c>
      <c r="AH3" s="38" t="n"/>
      <c r="AI3" s="38" t="n"/>
      <c r="AJ3" s="38" t="n"/>
      <c r="AK3" s="38" t="n"/>
      <c r="AL3" s="38" t="n"/>
      <c r="AM3" s="38" t="n"/>
      <c r="AN3" s="38" t="n"/>
      <c r="AO3" s="38" t="n"/>
      <c r="AP3" s="38" t="n"/>
      <c r="AQ3" s="38" t="n"/>
      <c r="AR3" s="38" t="n"/>
      <c r="AS3" s="38" t="n"/>
      <c r="AT3" s="38" t="n"/>
      <c r="AU3" s="38" t="n"/>
      <c r="AV3" s="38" t="n"/>
      <c r="AW3" s="38" t="n"/>
      <c r="AX3" s="38" t="n"/>
      <c r="AY3" s="42" t="n"/>
      <c r="AZ3" s="42" t="n"/>
      <c r="BA3" s="42" t="n"/>
      <c r="BB3" s="42" t="n"/>
      <c r="BC3" s="42" t="n"/>
      <c r="BD3" s="37">
        <f>IF($A3="","",SUM($AY3:$BC3))</f>
        <v/>
      </c>
      <c r="BE3" s="18">
        <f>IF($A3="","",IF(AND($I3&lt;&gt;"",$J3&lt;&gt;""),MAX(1,($J3-$I3)/7),Templates!$B$35))</f>
        <v/>
      </c>
      <c r="BF3" s="18">
        <f>IF($A3="","",IF(AND($I3&lt;&gt;"",$J3&lt;&gt;""),MAX(1,($J3-$I3)/7),Templates!$B$36))</f>
        <v/>
      </c>
      <c r="BG3" s="18">
        <f>IF($A3="","",IF(AND($I3&lt;&gt;"",$J3&lt;&gt;""),MAX(1,($J3-$I3)/7),Templates!$B$37))</f>
        <v/>
      </c>
      <c r="BH3" s="18">
        <f>IF($A3="","",IF(AND($I3&lt;&gt;"",$J3&lt;&gt;""),MAX(1,($J3-$I3)/7),Templates!$B$38))</f>
        <v/>
      </c>
      <c r="BI3" s="18">
        <f>IF($A3="","",IF(AND($I3&lt;&gt;"",$J3&lt;&gt;""),MAX(1,($J3-$I3)/7),Templates!$B$39))</f>
        <v/>
      </c>
      <c r="BJ3" s="18">
        <f>IF(OR($A3="",$BD3=0),0,($AY3*Templates!$B$27/$BE3+$AZ3*Templates!$B$28/$BF3+$BA3*Templates!$B$29/$BG3+$BB3*Templates!$B$30/$BH3+$BC3*Templates!$B$31/$BI3)/Templates!$B$17)</f>
        <v/>
      </c>
      <c r="BK3" s="18">
        <f>IF(OR($A3="",$BD3=0),0,($AY3*Templates!$C$27/$BE3+$AZ3*Templates!$C$28/$BF3+$BA3*Templates!$C$29/$BG3+$BB3*Templates!$C$30/$BH3+$BC3*Templates!$C$31/$BI3)/Templates!$B$18)</f>
        <v/>
      </c>
      <c r="BL3" s="18">
        <f>IF(OR($A3="",$BD3=0),0,($AY3*Templates!$D$27/$BE3+$AZ3*Templates!$D$28/$BF3+$BA3*Templates!$D$29/$BG3+$BB3*Templates!$D$30/$BH3+$BC3*Templates!$D$31/$BI3)/Templates!$B$19)</f>
        <v/>
      </c>
      <c r="BM3" s="18">
        <f>IF(OR($A3="",$BD3=0),0,($AY3*Templates!$E$27/$BE3+$AZ3*Templates!$E$28/$BF3+$BA3*Templates!$E$29/$BG3+$BB3*Templates!$E$30/$BH3+$BC3*Templates!$E$31/$BI3)/Templates!$B$20)</f>
        <v/>
      </c>
      <c r="BN3" s="18">
        <f>IF(OR($A3="",$BD3=0),0,($AY3*Templates!$F$27/$BE3+$AZ3*Templates!$F$28/$BF3+$BA3*Templates!$F$29/$BG3+$BB3*Templates!$F$30/$BH3+$BC3*Templates!$F$31/$BI3)/Templates!$B$21)</f>
        <v/>
      </c>
      <c r="BO3" s="18">
        <f>IF(OR($A3="",$BD3=0),0,($AY3*Templates!$G$27/$BE3+$AZ3*Templates!$G$28/$BF3+$BA3*Templates!$G$29/$BG3+$BB3*Templates!$G$30/$BH3+$BC3*Templates!$G$31/$BI3)/Templates!$B$22)</f>
        <v/>
      </c>
      <c r="BP3" s="18">
        <f>IF(OR($A3="",$BD3=0),0,($AY3*Templates!$H$27/$BE3+$AZ3*Templates!$H$28/$BF3+$BA3*Templates!$H$29/$BG3+$BB3*Templates!$H$30/$BH3+$BC3*Templates!$H$31/$BI3)/Templates!$B$23)</f>
        <v/>
      </c>
    </row>
    <row r="4">
      <c r="A4" s="28" t="inlineStr">
        <is>
          <t>360_2</t>
        </is>
      </c>
      <c r="B4" s="20" t="inlineStr">
        <is>
          <t>360 Behavioral Health</t>
        </is>
      </c>
      <c r="C4" s="28" t="inlineStr">
        <is>
          <t>360 Behavioral Health</t>
        </is>
      </c>
      <c r="D4" s="28" t="inlineStr"/>
      <c r="E4" s="28" t="inlineStr">
        <is>
          <t>No</t>
        </is>
      </c>
      <c r="F4" s="28" t="inlineStr">
        <is>
          <t>Active</t>
        </is>
      </c>
      <c r="G4" s="38" t="n"/>
      <c r="H4" s="29" t="n">
        <v>1</v>
      </c>
      <c r="I4" s="39" t="n"/>
      <c r="J4" s="39" t="n"/>
      <c r="K4" s="31" t="n"/>
      <c r="L4" s="31" t="n"/>
      <c r="M4" s="31" t="n"/>
      <c r="N4" s="31" t="n"/>
      <c r="O4" s="31" t="n"/>
      <c r="P4" s="31" t="n"/>
      <c r="Q4" s="23">
        <f>IF($A4="","",COUNTIFS(Assignments!$C$2:$C$769,$A4,Assignments!$G$2:$G$769,"Active"))</f>
        <v/>
      </c>
      <c r="R4" s="32">
        <f>IF($A4="","",SUMIFS(Assignments!$I$2:$I$769,Assignments!$C$2:$C$769,$A4,Assignments!$G$2:$G$769,"Active"))</f>
        <v/>
      </c>
      <c r="S4" s="20" t="inlineStr">
        <is>
          <t>WIP</t>
        </is>
      </c>
      <c r="T4" s="31" t="n"/>
      <c r="U4" s="38" t="n"/>
      <c r="V4" s="34">
        <f>IF($U4="","",IFERROR(INDEX(Templates!$K$3:$K$10,MATCH($U4,Templates!$A$3:$A$10,0)),""))</f>
        <v/>
      </c>
      <c r="W4" s="34">
        <f>IF($U4="","",IFERROR(INDEX(Templates!$L$3:$L$10,MATCH($U4,Templates!$A$3:$A$10,0)),""))</f>
        <v/>
      </c>
      <c r="X4" s="21">
        <f>IF($U4="","",IFERROR(INDEX(Templates!$J$3:$J$10,MATCH($U4,Templates!$A$3:$A$10,0)),""))</f>
        <v/>
      </c>
      <c r="Y4" s="35">
        <f>IF(OR($U4="",$I4="",$J4="",$X4=""),"",$I4+$X4*($J4-$I4))</f>
        <v/>
      </c>
      <c r="Z4" s="30" t="n">
        <v>46212</v>
      </c>
      <c r="AA4" s="40" t="n"/>
      <c r="AB4" s="41" t="n"/>
      <c r="AC4" s="41" t="n"/>
      <c r="AD4" s="19">
        <f>IF($A4="","",IF($AA4="",$H4,$AA4))</f>
        <v/>
      </c>
      <c r="AE4" s="35">
        <f>IF($A4="","",IF($AB4="",$I4,$AB4))</f>
        <v/>
      </c>
      <c r="AF4" s="35">
        <f>IF($A4="","",IF($AC4="",$J4,$AC4))</f>
        <v/>
      </c>
      <c r="AG4" s="35">
        <f>IF(OR($U4="",$AE4="",$AF4="",$X4=""),"",$AE4+$X4*($AF4-$AE4))</f>
        <v/>
      </c>
      <c r="AH4" s="38" t="n"/>
      <c r="AI4" s="38" t="n"/>
      <c r="AJ4" s="38" t="n"/>
      <c r="AK4" s="38" t="n"/>
      <c r="AL4" s="38" t="n"/>
      <c r="AM4" s="38" t="n"/>
      <c r="AN4" s="38" t="n"/>
      <c r="AO4" s="38" t="n"/>
      <c r="AP4" s="38" t="n"/>
      <c r="AQ4" s="38" t="n"/>
      <c r="AR4" s="38" t="n"/>
      <c r="AS4" s="38" t="n"/>
      <c r="AT4" s="38" t="n"/>
      <c r="AU4" s="38" t="n"/>
      <c r="AV4" s="38" t="n"/>
      <c r="AW4" s="38" t="n"/>
      <c r="AX4" s="38" t="n"/>
      <c r="AY4" s="42" t="n"/>
      <c r="AZ4" s="42" t="n"/>
      <c r="BA4" s="42" t="n"/>
      <c r="BB4" s="42" t="n"/>
      <c r="BC4" s="42" t="n"/>
      <c r="BD4" s="37">
        <f>IF($A4="","",SUM($AY4:$BC4))</f>
        <v/>
      </c>
      <c r="BE4" s="18">
        <f>IF($A4="","",IF(AND($I4&lt;&gt;"",$J4&lt;&gt;""),MAX(1,($J4-$I4)/7),Templates!$B$35))</f>
        <v/>
      </c>
      <c r="BF4" s="18">
        <f>IF($A4="","",IF(AND($I4&lt;&gt;"",$J4&lt;&gt;""),MAX(1,($J4-$I4)/7),Templates!$B$36))</f>
        <v/>
      </c>
      <c r="BG4" s="18">
        <f>IF($A4="","",IF(AND($I4&lt;&gt;"",$J4&lt;&gt;""),MAX(1,($J4-$I4)/7),Templates!$B$37))</f>
        <v/>
      </c>
      <c r="BH4" s="18">
        <f>IF($A4="","",IF(AND($I4&lt;&gt;"",$J4&lt;&gt;""),MAX(1,($J4-$I4)/7),Templates!$B$38))</f>
        <v/>
      </c>
      <c r="BI4" s="18">
        <f>IF($A4="","",IF(AND($I4&lt;&gt;"",$J4&lt;&gt;""),MAX(1,($J4-$I4)/7),Templates!$B$39))</f>
        <v/>
      </c>
      <c r="BJ4" s="18">
        <f>IF(OR($A4="",$BD4=0),0,($AY4*Templates!$B$27/$BE4+$AZ4*Templates!$B$28/$BF4+$BA4*Templates!$B$29/$BG4+$BB4*Templates!$B$30/$BH4+$BC4*Templates!$B$31/$BI4)/Templates!$B$17)</f>
        <v/>
      </c>
      <c r="BK4" s="18">
        <f>IF(OR($A4="",$BD4=0),0,($AY4*Templates!$C$27/$BE4+$AZ4*Templates!$C$28/$BF4+$BA4*Templates!$C$29/$BG4+$BB4*Templates!$C$30/$BH4+$BC4*Templates!$C$31/$BI4)/Templates!$B$18)</f>
        <v/>
      </c>
      <c r="BL4" s="18">
        <f>IF(OR($A4="",$BD4=0),0,($AY4*Templates!$D$27/$BE4+$AZ4*Templates!$D$28/$BF4+$BA4*Templates!$D$29/$BG4+$BB4*Templates!$D$30/$BH4+$BC4*Templates!$D$31/$BI4)/Templates!$B$19)</f>
        <v/>
      </c>
      <c r="BM4" s="18">
        <f>IF(OR($A4="",$BD4=0),0,($AY4*Templates!$E$27/$BE4+$AZ4*Templates!$E$28/$BF4+$BA4*Templates!$E$29/$BG4+$BB4*Templates!$E$30/$BH4+$BC4*Templates!$E$31/$BI4)/Templates!$B$20)</f>
        <v/>
      </c>
      <c r="BN4" s="18">
        <f>IF(OR($A4="",$BD4=0),0,($AY4*Templates!$F$27/$BE4+$AZ4*Templates!$F$28/$BF4+$BA4*Templates!$F$29/$BG4+$BB4*Templates!$F$30/$BH4+$BC4*Templates!$F$31/$BI4)/Templates!$B$21)</f>
        <v/>
      </c>
      <c r="BO4" s="18">
        <f>IF(OR($A4="",$BD4=0),0,($AY4*Templates!$G$27/$BE4+$AZ4*Templates!$G$28/$BF4+$BA4*Templates!$G$29/$BG4+$BB4*Templates!$G$30/$BH4+$BC4*Templates!$G$31/$BI4)/Templates!$B$22)</f>
        <v/>
      </c>
      <c r="BP4" s="18">
        <f>IF(OR($A4="",$BD4=0),0,($AY4*Templates!$H$27/$BE4+$AZ4*Templates!$H$28/$BF4+$BA4*Templates!$H$29/$BG4+$BB4*Templates!$H$30/$BH4+$BC4*Templates!$H$31/$BI4)/Templates!$B$23)</f>
        <v/>
      </c>
    </row>
    <row r="5">
      <c r="A5" s="28" t="inlineStr">
        <is>
          <t>5C Ocean_1</t>
        </is>
      </c>
      <c r="B5" s="20" t="inlineStr">
        <is>
          <t>5C AI Group Inc.</t>
        </is>
      </c>
      <c r="C5" s="28" t="inlineStr">
        <is>
          <t>5C AI Group Inc.</t>
        </is>
      </c>
      <c r="D5" s="28" t="inlineStr"/>
      <c r="E5" s="28" t="inlineStr">
        <is>
          <t>No</t>
        </is>
      </c>
      <c r="F5" s="28" t="inlineStr">
        <is>
          <t>Active</t>
        </is>
      </c>
      <c r="G5" s="38" t="n"/>
      <c r="H5" s="29" t="n">
        <v>1</v>
      </c>
      <c r="I5" s="39" t="n"/>
      <c r="J5" s="39" t="n"/>
      <c r="K5" s="31" t="n"/>
      <c r="L5" s="31" t="n"/>
      <c r="M5" s="31" t="n"/>
      <c r="N5" s="31" t="n"/>
      <c r="O5" s="31" t="n"/>
      <c r="P5" s="31" t="n"/>
      <c r="Q5" s="23">
        <f>IF($A5="","",COUNTIFS(Assignments!$C$2:$C$769,$A5,Assignments!$G$2:$G$769,"Active"))</f>
        <v/>
      </c>
      <c r="R5" s="32">
        <f>IF($A5="","",SUMIFS(Assignments!$I$2:$I$769,Assignments!$C$2:$C$769,$A5,Assignments!$G$2:$G$769,"Active"))</f>
        <v/>
      </c>
      <c r="S5" s="20" t="inlineStr">
        <is>
          <t>WIP</t>
        </is>
      </c>
      <c r="T5" s="31" t="n"/>
      <c r="U5" s="38" t="n"/>
      <c r="V5" s="34">
        <f>IF($U5="","",IFERROR(INDEX(Templates!$K$3:$K$10,MATCH($U5,Templates!$A$3:$A$10,0)),""))</f>
        <v/>
      </c>
      <c r="W5" s="34">
        <f>IF($U5="","",IFERROR(INDEX(Templates!$L$3:$L$10,MATCH($U5,Templates!$A$3:$A$10,0)),""))</f>
        <v/>
      </c>
      <c r="X5" s="21">
        <f>IF($U5="","",IFERROR(INDEX(Templates!$J$3:$J$10,MATCH($U5,Templates!$A$3:$A$10,0)),""))</f>
        <v/>
      </c>
      <c r="Y5" s="35">
        <f>IF(OR($U5="",$I5="",$J5="",$X5=""),"",$I5+$X5*($J5-$I5))</f>
        <v/>
      </c>
      <c r="Z5" s="30" t="n">
        <v>46212</v>
      </c>
      <c r="AA5" s="40" t="n"/>
      <c r="AB5" s="41" t="n"/>
      <c r="AC5" s="41" t="n"/>
      <c r="AD5" s="19">
        <f>IF($A5="","",IF($AA5="",$H5,$AA5))</f>
        <v/>
      </c>
      <c r="AE5" s="35">
        <f>IF($A5="","",IF($AB5="",$I5,$AB5))</f>
        <v/>
      </c>
      <c r="AF5" s="35">
        <f>IF($A5="","",IF($AC5="",$J5,$AC5))</f>
        <v/>
      </c>
      <c r="AG5" s="35">
        <f>IF(OR($U5="",$AE5="",$AF5="",$X5=""),"",$AE5+$X5*($AF5-$AE5))</f>
        <v/>
      </c>
      <c r="AH5" s="38" t="n"/>
      <c r="AI5" s="38" t="n"/>
      <c r="AJ5" s="38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8" t="n"/>
      <c r="AW5" s="38" t="n"/>
      <c r="AX5" s="38" t="n"/>
      <c r="AY5" s="42" t="n"/>
      <c r="AZ5" s="42" t="n"/>
      <c r="BA5" s="42" t="n"/>
      <c r="BB5" s="42" t="n"/>
      <c r="BC5" s="42" t="n"/>
      <c r="BD5" s="37">
        <f>IF($A5="","",SUM($AY5:$BC5))</f>
        <v/>
      </c>
      <c r="BE5" s="18">
        <f>IF($A5="","",IF(AND($I5&lt;&gt;"",$J5&lt;&gt;""),MAX(1,($J5-$I5)/7),Templates!$B$35))</f>
        <v/>
      </c>
      <c r="BF5" s="18">
        <f>IF($A5="","",IF(AND($I5&lt;&gt;"",$J5&lt;&gt;""),MAX(1,($J5-$I5)/7),Templates!$B$36))</f>
        <v/>
      </c>
      <c r="BG5" s="18">
        <f>IF($A5="","",IF(AND($I5&lt;&gt;"",$J5&lt;&gt;""),MAX(1,($J5-$I5)/7),Templates!$B$37))</f>
        <v/>
      </c>
      <c r="BH5" s="18">
        <f>IF($A5="","",IF(AND($I5&lt;&gt;"",$J5&lt;&gt;""),MAX(1,($J5-$I5)/7),Templates!$B$38))</f>
        <v/>
      </c>
      <c r="BI5" s="18">
        <f>IF($A5="","",IF(AND($I5&lt;&gt;"",$J5&lt;&gt;""),MAX(1,($J5-$I5)/7),Templates!$B$39))</f>
        <v/>
      </c>
      <c r="BJ5" s="18">
        <f>IF(OR($A5="",$BD5=0),0,($AY5*Templates!$B$27/$BE5+$AZ5*Templates!$B$28/$BF5+$BA5*Templates!$B$29/$BG5+$BB5*Templates!$B$30/$BH5+$BC5*Templates!$B$31/$BI5)/Templates!$B$17)</f>
        <v/>
      </c>
      <c r="BK5" s="18">
        <f>IF(OR($A5="",$BD5=0),0,($AY5*Templates!$C$27/$BE5+$AZ5*Templates!$C$28/$BF5+$BA5*Templates!$C$29/$BG5+$BB5*Templates!$C$30/$BH5+$BC5*Templates!$C$31/$BI5)/Templates!$B$18)</f>
        <v/>
      </c>
      <c r="BL5" s="18">
        <f>IF(OR($A5="",$BD5=0),0,($AY5*Templates!$D$27/$BE5+$AZ5*Templates!$D$28/$BF5+$BA5*Templates!$D$29/$BG5+$BB5*Templates!$D$30/$BH5+$BC5*Templates!$D$31/$BI5)/Templates!$B$19)</f>
        <v/>
      </c>
      <c r="BM5" s="18">
        <f>IF(OR($A5="",$BD5=0),0,($AY5*Templates!$E$27/$BE5+$AZ5*Templates!$E$28/$BF5+$BA5*Templates!$E$29/$BG5+$BB5*Templates!$E$30/$BH5+$BC5*Templates!$E$31/$BI5)/Templates!$B$20)</f>
        <v/>
      </c>
      <c r="BN5" s="18">
        <f>IF(OR($A5="",$BD5=0),0,($AY5*Templates!$F$27/$BE5+$AZ5*Templates!$F$28/$BF5+$BA5*Templates!$F$29/$BG5+$BB5*Templates!$F$30/$BH5+$BC5*Templates!$F$31/$BI5)/Templates!$B$21)</f>
        <v/>
      </c>
      <c r="BO5" s="18">
        <f>IF(OR($A5="",$BD5=0),0,($AY5*Templates!$G$27/$BE5+$AZ5*Templates!$G$28/$BF5+$BA5*Templates!$G$29/$BG5+$BB5*Templates!$G$30/$BH5+$BC5*Templates!$G$31/$BI5)/Templates!$B$22)</f>
        <v/>
      </c>
      <c r="BP5" s="18">
        <f>IF(OR($A5="",$BD5=0),0,($AY5*Templates!$H$27/$BE5+$AZ5*Templates!$H$28/$BF5+$BA5*Templates!$H$29/$BG5+$BB5*Templates!$H$30/$BH5+$BC5*Templates!$H$31/$BI5)/Templates!$B$23)</f>
        <v/>
      </c>
    </row>
    <row r="6">
      <c r="A6" s="28" t="inlineStr">
        <is>
          <t>80/20 Assistance_1</t>
        </is>
      </c>
      <c r="B6" s="20" t="inlineStr">
        <is>
          <t>CVC Capital Partners : DIF Capital Partners</t>
        </is>
      </c>
      <c r="C6" s="28" t="inlineStr">
        <is>
          <t>CVC Capital Partners</t>
        </is>
      </c>
      <c r="D6" s="28" t="inlineStr">
        <is>
          <t>DIF Capital Partners</t>
        </is>
      </c>
      <c r="E6" s="28" t="inlineStr">
        <is>
          <t>No</t>
        </is>
      </c>
      <c r="F6" s="28" t="inlineStr">
        <is>
          <t>Active</t>
        </is>
      </c>
      <c r="G6" s="38" t="n"/>
      <c r="H6" s="29" t="n">
        <v>1</v>
      </c>
      <c r="I6" s="39" t="n"/>
      <c r="J6" s="39" t="n"/>
      <c r="K6" s="31" t="n"/>
      <c r="L6" s="31" t="n"/>
      <c r="M6" s="31" t="n"/>
      <c r="N6" s="31" t="n"/>
      <c r="O6" s="31" t="n"/>
      <c r="P6" s="31" t="n"/>
      <c r="Q6" s="23">
        <f>IF($A6="","",COUNTIFS(Assignments!$C$2:$C$769,$A6,Assignments!$G$2:$G$769,"Active"))</f>
        <v/>
      </c>
      <c r="R6" s="32">
        <f>IF($A6="","",SUMIFS(Assignments!$I$2:$I$769,Assignments!$C$2:$C$769,$A6,Assignments!$G$2:$G$769,"Active"))</f>
        <v/>
      </c>
      <c r="S6" s="20" t="inlineStr">
        <is>
          <t>WIP</t>
        </is>
      </c>
      <c r="T6" s="31" t="n"/>
      <c r="U6" s="38" t="n"/>
      <c r="V6" s="34">
        <f>IF($U6="","",IFERROR(INDEX(Templates!$K$3:$K$10,MATCH($U6,Templates!$A$3:$A$10,0)),""))</f>
        <v/>
      </c>
      <c r="W6" s="34">
        <f>IF($U6="","",IFERROR(INDEX(Templates!$L$3:$L$10,MATCH($U6,Templates!$A$3:$A$10,0)),""))</f>
        <v/>
      </c>
      <c r="X6" s="21">
        <f>IF($U6="","",IFERROR(INDEX(Templates!$J$3:$J$10,MATCH($U6,Templates!$A$3:$A$10,0)),""))</f>
        <v/>
      </c>
      <c r="Y6" s="35">
        <f>IF(OR($U6="",$I6="",$J6="",$X6=""),"",$I6+$X6*($J6-$I6))</f>
        <v/>
      </c>
      <c r="Z6" s="30" t="n">
        <v>46212</v>
      </c>
      <c r="AA6" s="40" t="n"/>
      <c r="AB6" s="41" t="n"/>
      <c r="AC6" s="41" t="n"/>
      <c r="AD6" s="19">
        <f>IF($A6="","",IF($AA6="",$H6,$AA6))</f>
        <v/>
      </c>
      <c r="AE6" s="35">
        <f>IF($A6="","",IF($AB6="",$I6,$AB6))</f>
        <v/>
      </c>
      <c r="AF6" s="35">
        <f>IF($A6="","",IF($AC6="",$J6,$AC6))</f>
        <v/>
      </c>
      <c r="AG6" s="35">
        <f>IF(OR($U6="",$AE6="",$AF6="",$X6=""),"",$AE6+$X6*($AF6-$AE6))</f>
        <v/>
      </c>
      <c r="AH6" s="38" t="n"/>
      <c r="AI6" s="38" t="n"/>
      <c r="AJ6" s="38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8" t="n"/>
      <c r="AW6" s="38" t="n"/>
      <c r="AX6" s="38" t="n"/>
      <c r="AY6" s="42" t="n"/>
      <c r="AZ6" s="42" t="n"/>
      <c r="BA6" s="42" t="n"/>
      <c r="BB6" s="42" t="n"/>
      <c r="BC6" s="42" t="n"/>
      <c r="BD6" s="37">
        <f>IF($A6="","",SUM($AY6:$BC6))</f>
        <v/>
      </c>
      <c r="BE6" s="18">
        <f>IF($A6="","",IF(AND($I6&lt;&gt;"",$J6&lt;&gt;""),MAX(1,($J6-$I6)/7),Templates!$B$35))</f>
        <v/>
      </c>
      <c r="BF6" s="18">
        <f>IF($A6="","",IF(AND($I6&lt;&gt;"",$J6&lt;&gt;""),MAX(1,($J6-$I6)/7),Templates!$B$36))</f>
        <v/>
      </c>
      <c r="BG6" s="18">
        <f>IF($A6="","",IF(AND($I6&lt;&gt;"",$J6&lt;&gt;""),MAX(1,($J6-$I6)/7),Templates!$B$37))</f>
        <v/>
      </c>
      <c r="BH6" s="18">
        <f>IF($A6="","",IF(AND($I6&lt;&gt;"",$J6&lt;&gt;""),MAX(1,($J6-$I6)/7),Templates!$B$38))</f>
        <v/>
      </c>
      <c r="BI6" s="18">
        <f>IF($A6="","",IF(AND($I6&lt;&gt;"",$J6&lt;&gt;""),MAX(1,($J6-$I6)/7),Templates!$B$39))</f>
        <v/>
      </c>
      <c r="BJ6" s="18">
        <f>IF(OR($A6="",$BD6=0),0,($AY6*Templates!$B$27/$BE6+$AZ6*Templates!$B$28/$BF6+$BA6*Templates!$B$29/$BG6+$BB6*Templates!$B$30/$BH6+$BC6*Templates!$B$31/$BI6)/Templates!$B$17)</f>
        <v/>
      </c>
      <c r="BK6" s="18">
        <f>IF(OR($A6="",$BD6=0),0,($AY6*Templates!$C$27/$BE6+$AZ6*Templates!$C$28/$BF6+$BA6*Templates!$C$29/$BG6+$BB6*Templates!$C$30/$BH6+$BC6*Templates!$C$31/$BI6)/Templates!$B$18)</f>
        <v/>
      </c>
      <c r="BL6" s="18">
        <f>IF(OR($A6="",$BD6=0),0,($AY6*Templates!$D$27/$BE6+$AZ6*Templates!$D$28/$BF6+$BA6*Templates!$D$29/$BG6+$BB6*Templates!$D$30/$BH6+$BC6*Templates!$D$31/$BI6)/Templates!$B$19)</f>
        <v/>
      </c>
      <c r="BM6" s="18">
        <f>IF(OR($A6="",$BD6=0),0,($AY6*Templates!$E$27/$BE6+$AZ6*Templates!$E$28/$BF6+$BA6*Templates!$E$29/$BG6+$BB6*Templates!$E$30/$BH6+$BC6*Templates!$E$31/$BI6)/Templates!$B$20)</f>
        <v/>
      </c>
      <c r="BN6" s="18">
        <f>IF(OR($A6="",$BD6=0),0,($AY6*Templates!$F$27/$BE6+$AZ6*Templates!$F$28/$BF6+$BA6*Templates!$F$29/$BG6+$BB6*Templates!$F$30/$BH6+$BC6*Templates!$F$31/$BI6)/Templates!$B$21)</f>
        <v/>
      </c>
      <c r="BO6" s="18">
        <f>IF(OR($A6="",$BD6=0),0,($AY6*Templates!$G$27/$BE6+$AZ6*Templates!$G$28/$BF6+$BA6*Templates!$G$29/$BG6+$BB6*Templates!$G$30/$BH6+$BC6*Templates!$G$31/$BI6)/Templates!$B$22)</f>
        <v/>
      </c>
      <c r="BP6" s="18">
        <f>IF(OR($A6="",$BD6=0),0,($AY6*Templates!$H$27/$BE6+$AZ6*Templates!$H$28/$BF6+$BA6*Templates!$H$29/$BG6+$BB6*Templates!$H$30/$BH6+$BC6*Templates!$H$31/$BI6)/Templates!$B$23)</f>
        <v/>
      </c>
    </row>
    <row r="7">
      <c r="A7" s="28" t="inlineStr">
        <is>
          <t>Adanac_1</t>
        </is>
      </c>
      <c r="B7" s="20" t="inlineStr">
        <is>
          <t>Walk-On Capital</t>
        </is>
      </c>
      <c r="C7" s="28" t="inlineStr">
        <is>
          <t>Walk-On Capital</t>
        </is>
      </c>
      <c r="D7" s="28" t="inlineStr"/>
      <c r="E7" s="28" t="inlineStr">
        <is>
          <t>No</t>
        </is>
      </c>
      <c r="F7" s="28" t="inlineStr">
        <is>
          <t>Active</t>
        </is>
      </c>
      <c r="G7" s="38" t="n"/>
      <c r="H7" s="29" t="n">
        <v>1</v>
      </c>
      <c r="I7" s="39" t="n"/>
      <c r="J7" s="39" t="n"/>
      <c r="K7" s="31" t="n"/>
      <c r="L7" s="31" t="n"/>
      <c r="M7" s="31" t="n"/>
      <c r="N7" s="31" t="n"/>
      <c r="O7" s="31" t="n"/>
      <c r="P7" s="31" t="n"/>
      <c r="Q7" s="23">
        <f>IF($A7="","",COUNTIFS(Assignments!$C$2:$C$769,$A7,Assignments!$G$2:$G$769,"Active"))</f>
        <v/>
      </c>
      <c r="R7" s="32">
        <f>IF($A7="","",SUMIFS(Assignments!$I$2:$I$769,Assignments!$C$2:$C$769,$A7,Assignments!$G$2:$G$769,"Active"))</f>
        <v/>
      </c>
      <c r="S7" s="20" t="inlineStr">
        <is>
          <t>WIP</t>
        </is>
      </c>
      <c r="T7" s="31" t="n"/>
      <c r="U7" s="38" t="n"/>
      <c r="V7" s="34">
        <f>IF($U7="","",IFERROR(INDEX(Templates!$K$3:$K$10,MATCH($U7,Templates!$A$3:$A$10,0)),""))</f>
        <v/>
      </c>
      <c r="W7" s="34">
        <f>IF($U7="","",IFERROR(INDEX(Templates!$L$3:$L$10,MATCH($U7,Templates!$A$3:$A$10,0)),""))</f>
        <v/>
      </c>
      <c r="X7" s="21">
        <f>IF($U7="","",IFERROR(INDEX(Templates!$J$3:$J$10,MATCH($U7,Templates!$A$3:$A$10,0)),""))</f>
        <v/>
      </c>
      <c r="Y7" s="35">
        <f>IF(OR($U7="",$I7="",$J7="",$X7=""),"",$I7+$X7*($J7-$I7))</f>
        <v/>
      </c>
      <c r="Z7" s="30" t="n">
        <v>46212</v>
      </c>
      <c r="AA7" s="40" t="n"/>
      <c r="AB7" s="41" t="n"/>
      <c r="AC7" s="41" t="n"/>
      <c r="AD7" s="19">
        <f>IF($A7="","",IF($AA7="",$H7,$AA7))</f>
        <v/>
      </c>
      <c r="AE7" s="35">
        <f>IF($A7="","",IF($AB7="",$I7,$AB7))</f>
        <v/>
      </c>
      <c r="AF7" s="35">
        <f>IF($A7="","",IF($AC7="",$J7,$AC7))</f>
        <v/>
      </c>
      <c r="AG7" s="35">
        <f>IF(OR($U7="",$AE7="",$AF7="",$X7=""),"",$AE7+$X7*($AF7-$AE7))</f>
        <v/>
      </c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8" t="n"/>
      <c r="AW7" s="38" t="n"/>
      <c r="AX7" s="38" t="n"/>
      <c r="AY7" s="42" t="n"/>
      <c r="AZ7" s="42" t="n"/>
      <c r="BA7" s="42" t="n"/>
      <c r="BB7" s="42" t="n"/>
      <c r="BC7" s="42" t="n"/>
      <c r="BD7" s="37">
        <f>IF($A7="","",SUM($AY7:$BC7))</f>
        <v/>
      </c>
      <c r="BE7" s="18">
        <f>IF($A7="","",IF(AND($I7&lt;&gt;"",$J7&lt;&gt;""),MAX(1,($J7-$I7)/7),Templates!$B$35))</f>
        <v/>
      </c>
      <c r="BF7" s="18">
        <f>IF($A7="","",IF(AND($I7&lt;&gt;"",$J7&lt;&gt;""),MAX(1,($J7-$I7)/7),Templates!$B$36))</f>
        <v/>
      </c>
      <c r="BG7" s="18">
        <f>IF($A7="","",IF(AND($I7&lt;&gt;"",$J7&lt;&gt;""),MAX(1,($J7-$I7)/7),Templates!$B$37))</f>
        <v/>
      </c>
      <c r="BH7" s="18">
        <f>IF($A7="","",IF(AND($I7&lt;&gt;"",$J7&lt;&gt;""),MAX(1,($J7-$I7)/7),Templates!$B$38))</f>
        <v/>
      </c>
      <c r="BI7" s="18">
        <f>IF($A7="","",IF(AND($I7&lt;&gt;"",$J7&lt;&gt;""),MAX(1,($J7-$I7)/7),Templates!$B$39))</f>
        <v/>
      </c>
      <c r="BJ7" s="18">
        <f>IF(OR($A7="",$BD7=0),0,($AY7*Templates!$B$27/$BE7+$AZ7*Templates!$B$28/$BF7+$BA7*Templates!$B$29/$BG7+$BB7*Templates!$B$30/$BH7+$BC7*Templates!$B$31/$BI7)/Templates!$B$17)</f>
        <v/>
      </c>
      <c r="BK7" s="18">
        <f>IF(OR($A7="",$BD7=0),0,($AY7*Templates!$C$27/$BE7+$AZ7*Templates!$C$28/$BF7+$BA7*Templates!$C$29/$BG7+$BB7*Templates!$C$30/$BH7+$BC7*Templates!$C$31/$BI7)/Templates!$B$18)</f>
        <v/>
      </c>
      <c r="BL7" s="18">
        <f>IF(OR($A7="",$BD7=0),0,($AY7*Templates!$D$27/$BE7+$AZ7*Templates!$D$28/$BF7+$BA7*Templates!$D$29/$BG7+$BB7*Templates!$D$30/$BH7+$BC7*Templates!$D$31/$BI7)/Templates!$B$19)</f>
        <v/>
      </c>
      <c r="BM7" s="18">
        <f>IF(OR($A7="",$BD7=0),0,($AY7*Templates!$E$27/$BE7+$AZ7*Templates!$E$28/$BF7+$BA7*Templates!$E$29/$BG7+$BB7*Templates!$E$30/$BH7+$BC7*Templates!$E$31/$BI7)/Templates!$B$20)</f>
        <v/>
      </c>
      <c r="BN7" s="18">
        <f>IF(OR($A7="",$BD7=0),0,($AY7*Templates!$F$27/$BE7+$AZ7*Templates!$F$28/$BF7+$BA7*Templates!$F$29/$BG7+$BB7*Templates!$F$30/$BH7+$BC7*Templates!$F$31/$BI7)/Templates!$B$21)</f>
        <v/>
      </c>
      <c r="BO7" s="18">
        <f>IF(OR($A7="",$BD7=0),0,($AY7*Templates!$G$27/$BE7+$AZ7*Templates!$G$28/$BF7+$BA7*Templates!$G$29/$BG7+$BB7*Templates!$G$30/$BH7+$BC7*Templates!$G$31/$BI7)/Templates!$B$22)</f>
        <v/>
      </c>
      <c r="BP7" s="18">
        <f>IF(OR($A7="",$BD7=0),0,($AY7*Templates!$H$27/$BE7+$AZ7*Templates!$H$28/$BF7+$BA7*Templates!$H$29/$BG7+$BB7*Templates!$H$30/$BH7+$BC7*Templates!$H$31/$BI7)/Templates!$B$23)</f>
        <v/>
      </c>
    </row>
    <row r="8">
      <c r="A8" s="28" t="inlineStr">
        <is>
          <t>Advantage_1</t>
        </is>
      </c>
      <c r="B8" s="20" t="inlineStr">
        <is>
          <t>Q-Energy Private Equity</t>
        </is>
      </c>
      <c r="C8" s="28" t="inlineStr">
        <is>
          <t>Q-Energy Private Equity</t>
        </is>
      </c>
      <c r="D8" s="28" t="inlineStr"/>
      <c r="E8" s="28" t="inlineStr">
        <is>
          <t>No</t>
        </is>
      </c>
      <c r="F8" s="28" t="inlineStr">
        <is>
          <t>Active</t>
        </is>
      </c>
      <c r="G8" s="38" t="n"/>
      <c r="H8" s="29" t="n">
        <v>1</v>
      </c>
      <c r="I8" s="39" t="n"/>
      <c r="J8" s="39" t="n"/>
      <c r="K8" s="31" t="n"/>
      <c r="L8" s="31" t="n"/>
      <c r="M8" s="31" t="n"/>
      <c r="N8" s="31" t="n"/>
      <c r="O8" s="31" t="n"/>
      <c r="P8" s="31" t="n"/>
      <c r="Q8" s="23">
        <f>IF($A8="","",COUNTIFS(Assignments!$C$2:$C$769,$A8,Assignments!$G$2:$G$769,"Active"))</f>
        <v/>
      </c>
      <c r="R8" s="32">
        <f>IF($A8="","",SUMIFS(Assignments!$I$2:$I$769,Assignments!$C$2:$C$769,$A8,Assignments!$G$2:$G$769,"Active"))</f>
        <v/>
      </c>
      <c r="S8" s="20" t="inlineStr">
        <is>
          <t>WIP</t>
        </is>
      </c>
      <c r="T8" s="31" t="n"/>
      <c r="U8" s="38" t="n"/>
      <c r="V8" s="34">
        <f>IF($U8="","",IFERROR(INDEX(Templates!$K$3:$K$10,MATCH($U8,Templates!$A$3:$A$10,0)),""))</f>
        <v/>
      </c>
      <c r="W8" s="34">
        <f>IF($U8="","",IFERROR(INDEX(Templates!$L$3:$L$10,MATCH($U8,Templates!$A$3:$A$10,0)),""))</f>
        <v/>
      </c>
      <c r="X8" s="21">
        <f>IF($U8="","",IFERROR(INDEX(Templates!$J$3:$J$10,MATCH($U8,Templates!$A$3:$A$10,0)),""))</f>
        <v/>
      </c>
      <c r="Y8" s="35">
        <f>IF(OR($U8="",$I8="",$J8="",$X8=""),"",$I8+$X8*($J8-$I8))</f>
        <v/>
      </c>
      <c r="Z8" s="30" t="n">
        <v>46212</v>
      </c>
      <c r="AA8" s="40" t="n"/>
      <c r="AB8" s="41" t="n"/>
      <c r="AC8" s="41" t="n"/>
      <c r="AD8" s="19">
        <f>IF($A8="","",IF($AA8="",$H8,$AA8))</f>
        <v/>
      </c>
      <c r="AE8" s="35">
        <f>IF($A8="","",IF($AB8="",$I8,$AB8))</f>
        <v/>
      </c>
      <c r="AF8" s="35">
        <f>IF($A8="","",IF($AC8="",$J8,$AC8))</f>
        <v/>
      </c>
      <c r="AG8" s="35">
        <f>IF(OR($U8="",$AE8="",$AF8="",$X8=""),"",$AE8+$X8*($AF8-$AE8))</f>
        <v/>
      </c>
      <c r="AH8" s="38" t="n"/>
      <c r="AI8" s="38" t="n"/>
      <c r="AJ8" s="38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8" t="n"/>
      <c r="AV8" s="38" t="n"/>
      <c r="AW8" s="38" t="n"/>
      <c r="AX8" s="38" t="n"/>
      <c r="AY8" s="42" t="n"/>
      <c r="AZ8" s="42" t="n"/>
      <c r="BA8" s="42" t="n"/>
      <c r="BB8" s="42" t="n"/>
      <c r="BC8" s="42" t="n"/>
      <c r="BD8" s="37">
        <f>IF($A8="","",SUM($AY8:$BC8))</f>
        <v/>
      </c>
      <c r="BE8" s="18">
        <f>IF($A8="","",IF(AND($I8&lt;&gt;"",$J8&lt;&gt;""),MAX(1,($J8-$I8)/7),Templates!$B$35))</f>
        <v/>
      </c>
      <c r="BF8" s="18">
        <f>IF($A8="","",IF(AND($I8&lt;&gt;"",$J8&lt;&gt;""),MAX(1,($J8-$I8)/7),Templates!$B$36))</f>
        <v/>
      </c>
      <c r="BG8" s="18">
        <f>IF($A8="","",IF(AND($I8&lt;&gt;"",$J8&lt;&gt;""),MAX(1,($J8-$I8)/7),Templates!$B$37))</f>
        <v/>
      </c>
      <c r="BH8" s="18">
        <f>IF($A8="","",IF(AND($I8&lt;&gt;"",$J8&lt;&gt;""),MAX(1,($J8-$I8)/7),Templates!$B$38))</f>
        <v/>
      </c>
      <c r="BI8" s="18">
        <f>IF($A8="","",IF(AND($I8&lt;&gt;"",$J8&lt;&gt;""),MAX(1,($J8-$I8)/7),Templates!$B$39))</f>
        <v/>
      </c>
      <c r="BJ8" s="18">
        <f>IF(OR($A8="",$BD8=0),0,($AY8*Templates!$B$27/$BE8+$AZ8*Templates!$B$28/$BF8+$BA8*Templates!$B$29/$BG8+$BB8*Templates!$B$30/$BH8+$BC8*Templates!$B$31/$BI8)/Templates!$B$17)</f>
        <v/>
      </c>
      <c r="BK8" s="18">
        <f>IF(OR($A8="",$BD8=0),0,($AY8*Templates!$C$27/$BE8+$AZ8*Templates!$C$28/$BF8+$BA8*Templates!$C$29/$BG8+$BB8*Templates!$C$30/$BH8+$BC8*Templates!$C$31/$BI8)/Templates!$B$18)</f>
        <v/>
      </c>
      <c r="BL8" s="18">
        <f>IF(OR($A8="",$BD8=0),0,($AY8*Templates!$D$27/$BE8+$AZ8*Templates!$D$28/$BF8+$BA8*Templates!$D$29/$BG8+$BB8*Templates!$D$30/$BH8+$BC8*Templates!$D$31/$BI8)/Templates!$B$19)</f>
        <v/>
      </c>
      <c r="BM8" s="18">
        <f>IF(OR($A8="",$BD8=0),0,($AY8*Templates!$E$27/$BE8+$AZ8*Templates!$E$28/$BF8+$BA8*Templates!$E$29/$BG8+$BB8*Templates!$E$30/$BH8+$BC8*Templates!$E$31/$BI8)/Templates!$B$20)</f>
        <v/>
      </c>
      <c r="BN8" s="18">
        <f>IF(OR($A8="",$BD8=0),0,($AY8*Templates!$F$27/$BE8+$AZ8*Templates!$F$28/$BF8+$BA8*Templates!$F$29/$BG8+$BB8*Templates!$F$30/$BH8+$BC8*Templates!$F$31/$BI8)/Templates!$B$21)</f>
        <v/>
      </c>
      <c r="BO8" s="18">
        <f>IF(OR($A8="",$BD8=0),0,($AY8*Templates!$G$27/$BE8+$AZ8*Templates!$G$28/$BF8+$BA8*Templates!$G$29/$BG8+$BB8*Templates!$G$30/$BH8+$BC8*Templates!$G$31/$BI8)/Templates!$B$22)</f>
        <v/>
      </c>
      <c r="BP8" s="18">
        <f>IF(OR($A8="",$BD8=0),0,($AY8*Templates!$H$27/$BE8+$AZ8*Templates!$H$28/$BF8+$BA8*Templates!$H$29/$BG8+$BB8*Templates!$H$30/$BH8+$BC8*Templates!$H$31/$BI8)/Templates!$B$23)</f>
        <v/>
      </c>
    </row>
    <row r="9">
      <c r="A9" s="28" t="inlineStr">
        <is>
          <t>AIM_5</t>
        </is>
      </c>
      <c r="B9" s="20" t="inlineStr">
        <is>
          <t>Eight Advisory</t>
        </is>
      </c>
      <c r="C9" s="28" t="inlineStr">
        <is>
          <t>Eight Advisory</t>
        </is>
      </c>
      <c r="D9" s="28" t="inlineStr"/>
      <c r="E9" s="28" t="inlineStr">
        <is>
          <t>No</t>
        </is>
      </c>
      <c r="F9" s="28" t="inlineStr">
        <is>
          <t>Active</t>
        </is>
      </c>
      <c r="G9" s="38" t="n"/>
      <c r="H9" s="29" t="n">
        <v>1</v>
      </c>
      <c r="I9" s="39" t="n"/>
      <c r="J9" s="39" t="n"/>
      <c r="K9" s="31" t="n"/>
      <c r="L9" s="31" t="n"/>
      <c r="M9" s="31" t="n"/>
      <c r="N9" s="31" t="n"/>
      <c r="O9" s="31" t="n"/>
      <c r="P9" s="31" t="n"/>
      <c r="Q9" s="23">
        <f>IF($A9="","",COUNTIFS(Assignments!$C$2:$C$769,$A9,Assignments!$G$2:$G$769,"Active"))</f>
        <v/>
      </c>
      <c r="R9" s="32">
        <f>IF($A9="","",SUMIFS(Assignments!$I$2:$I$769,Assignments!$C$2:$C$769,$A9,Assignments!$G$2:$G$769,"Active"))</f>
        <v/>
      </c>
      <c r="S9" s="20" t="inlineStr">
        <is>
          <t>WIP</t>
        </is>
      </c>
      <c r="T9" s="31" t="n"/>
      <c r="U9" s="38" t="n"/>
      <c r="V9" s="34">
        <f>IF($U9="","",IFERROR(INDEX(Templates!$K$3:$K$10,MATCH($U9,Templates!$A$3:$A$10,0)),""))</f>
        <v/>
      </c>
      <c r="W9" s="34">
        <f>IF($U9="","",IFERROR(INDEX(Templates!$L$3:$L$10,MATCH($U9,Templates!$A$3:$A$10,0)),""))</f>
        <v/>
      </c>
      <c r="X9" s="21">
        <f>IF($U9="","",IFERROR(INDEX(Templates!$J$3:$J$10,MATCH($U9,Templates!$A$3:$A$10,0)),""))</f>
        <v/>
      </c>
      <c r="Y9" s="35">
        <f>IF(OR($U9="",$I9="",$J9="",$X9=""),"",$I9+$X9*($J9-$I9))</f>
        <v/>
      </c>
      <c r="Z9" s="30" t="n">
        <v>46212</v>
      </c>
      <c r="AA9" s="40" t="n"/>
      <c r="AB9" s="41" t="n"/>
      <c r="AC9" s="41" t="n"/>
      <c r="AD9" s="19">
        <f>IF($A9="","",IF($AA9="",$H9,$AA9))</f>
        <v/>
      </c>
      <c r="AE9" s="35">
        <f>IF($A9="","",IF($AB9="",$I9,$AB9))</f>
        <v/>
      </c>
      <c r="AF9" s="35">
        <f>IF($A9="","",IF($AC9="",$J9,$AC9))</f>
        <v/>
      </c>
      <c r="AG9" s="35">
        <f>IF(OR($U9="",$AE9="",$AF9="",$X9=""),"",$AE9+$X9*($AF9-$AE9))</f>
        <v/>
      </c>
      <c r="AH9" s="38" t="n"/>
      <c r="AI9" s="38" t="n"/>
      <c r="AJ9" s="38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8" t="n"/>
      <c r="AV9" s="38" t="n"/>
      <c r="AW9" s="38" t="n"/>
      <c r="AX9" s="38" t="n"/>
      <c r="AY9" s="42" t="n"/>
      <c r="AZ9" s="42" t="n"/>
      <c r="BA9" s="42" t="n"/>
      <c r="BB9" s="42" t="n"/>
      <c r="BC9" s="42" t="n"/>
      <c r="BD9" s="37">
        <f>IF($A9="","",SUM($AY9:$BC9))</f>
        <v/>
      </c>
      <c r="BE9" s="18">
        <f>IF($A9="","",IF(AND($I9&lt;&gt;"",$J9&lt;&gt;""),MAX(1,($J9-$I9)/7),Templates!$B$35))</f>
        <v/>
      </c>
      <c r="BF9" s="18">
        <f>IF($A9="","",IF(AND($I9&lt;&gt;"",$J9&lt;&gt;""),MAX(1,($J9-$I9)/7),Templates!$B$36))</f>
        <v/>
      </c>
      <c r="BG9" s="18">
        <f>IF($A9="","",IF(AND($I9&lt;&gt;"",$J9&lt;&gt;""),MAX(1,($J9-$I9)/7),Templates!$B$37))</f>
        <v/>
      </c>
      <c r="BH9" s="18">
        <f>IF($A9="","",IF(AND($I9&lt;&gt;"",$J9&lt;&gt;""),MAX(1,($J9-$I9)/7),Templates!$B$38))</f>
        <v/>
      </c>
      <c r="BI9" s="18">
        <f>IF($A9="","",IF(AND($I9&lt;&gt;"",$J9&lt;&gt;""),MAX(1,($J9-$I9)/7),Templates!$B$39))</f>
        <v/>
      </c>
      <c r="BJ9" s="18">
        <f>IF(OR($A9="",$BD9=0),0,($AY9*Templates!$B$27/$BE9+$AZ9*Templates!$B$28/$BF9+$BA9*Templates!$B$29/$BG9+$BB9*Templates!$B$30/$BH9+$BC9*Templates!$B$31/$BI9)/Templates!$B$17)</f>
        <v/>
      </c>
      <c r="BK9" s="18">
        <f>IF(OR($A9="",$BD9=0),0,($AY9*Templates!$C$27/$BE9+$AZ9*Templates!$C$28/$BF9+$BA9*Templates!$C$29/$BG9+$BB9*Templates!$C$30/$BH9+$BC9*Templates!$C$31/$BI9)/Templates!$B$18)</f>
        <v/>
      </c>
      <c r="BL9" s="18">
        <f>IF(OR($A9="",$BD9=0),0,($AY9*Templates!$D$27/$BE9+$AZ9*Templates!$D$28/$BF9+$BA9*Templates!$D$29/$BG9+$BB9*Templates!$D$30/$BH9+$BC9*Templates!$D$31/$BI9)/Templates!$B$19)</f>
        <v/>
      </c>
      <c r="BM9" s="18">
        <f>IF(OR($A9="",$BD9=0),0,($AY9*Templates!$E$27/$BE9+$AZ9*Templates!$E$28/$BF9+$BA9*Templates!$E$29/$BG9+$BB9*Templates!$E$30/$BH9+$BC9*Templates!$E$31/$BI9)/Templates!$B$20)</f>
        <v/>
      </c>
      <c r="BN9" s="18">
        <f>IF(OR($A9="",$BD9=0),0,($AY9*Templates!$F$27/$BE9+$AZ9*Templates!$F$28/$BF9+$BA9*Templates!$F$29/$BG9+$BB9*Templates!$F$30/$BH9+$BC9*Templates!$F$31/$BI9)/Templates!$B$21)</f>
        <v/>
      </c>
      <c r="BO9" s="18">
        <f>IF(OR($A9="",$BD9=0),0,($AY9*Templates!$G$27/$BE9+$AZ9*Templates!$G$28/$BF9+$BA9*Templates!$G$29/$BG9+$BB9*Templates!$G$30/$BH9+$BC9*Templates!$G$31/$BI9)/Templates!$B$22)</f>
        <v/>
      </c>
      <c r="BP9" s="18">
        <f>IF(OR($A9="",$BD9=0),0,($AY9*Templates!$H$27/$BE9+$AZ9*Templates!$H$28/$BF9+$BA9*Templates!$H$29/$BG9+$BB9*Templates!$H$30/$BH9+$BC9*Templates!$H$31/$BI9)/Templates!$B$23)</f>
        <v/>
      </c>
    </row>
    <row r="10">
      <c r="A10" s="28" t="inlineStr">
        <is>
          <t>Atlas_4</t>
        </is>
      </c>
      <c r="B10" s="20" t="inlineStr">
        <is>
          <t>Strattam Capital Management LLC</t>
        </is>
      </c>
      <c r="C10" s="28" t="inlineStr">
        <is>
          <t>Strattam Capital Management LLC</t>
        </is>
      </c>
      <c r="D10" s="28" t="inlineStr"/>
      <c r="E10" s="28" t="inlineStr">
        <is>
          <t>No</t>
        </is>
      </c>
      <c r="F10" s="28" t="inlineStr">
        <is>
          <t>Active</t>
        </is>
      </c>
      <c r="G10" s="38" t="n"/>
      <c r="H10" s="29" t="n">
        <v>1</v>
      </c>
      <c r="I10" s="39" t="n"/>
      <c r="J10" s="39" t="n"/>
      <c r="K10" s="31" t="n"/>
      <c r="L10" s="31" t="n"/>
      <c r="M10" s="31" t="n"/>
      <c r="N10" s="31" t="n"/>
      <c r="O10" s="31" t="n"/>
      <c r="P10" s="31" t="n"/>
      <c r="Q10" s="23">
        <f>IF($A10="","",COUNTIFS(Assignments!$C$2:$C$769,$A10,Assignments!$G$2:$G$769,"Active"))</f>
        <v/>
      </c>
      <c r="R10" s="32">
        <f>IF($A10="","",SUMIFS(Assignments!$I$2:$I$769,Assignments!$C$2:$C$769,$A10,Assignments!$G$2:$G$769,"Active"))</f>
        <v/>
      </c>
      <c r="S10" s="20" t="inlineStr">
        <is>
          <t>WIP</t>
        </is>
      </c>
      <c r="T10" s="31" t="n"/>
      <c r="U10" s="38" t="n"/>
      <c r="V10" s="34">
        <f>IF($U10="","",IFERROR(INDEX(Templates!$K$3:$K$10,MATCH($U10,Templates!$A$3:$A$10,0)),""))</f>
        <v/>
      </c>
      <c r="W10" s="34">
        <f>IF($U10="","",IFERROR(INDEX(Templates!$L$3:$L$10,MATCH($U10,Templates!$A$3:$A$10,0)),""))</f>
        <v/>
      </c>
      <c r="X10" s="21">
        <f>IF($U10="","",IFERROR(INDEX(Templates!$J$3:$J$10,MATCH($U10,Templates!$A$3:$A$10,0)),""))</f>
        <v/>
      </c>
      <c r="Y10" s="35">
        <f>IF(OR($U10="",$I10="",$J10="",$X10=""),"",$I10+$X10*($J10-$I10))</f>
        <v/>
      </c>
      <c r="Z10" s="30" t="n">
        <v>46212</v>
      </c>
      <c r="AA10" s="40" t="n"/>
      <c r="AB10" s="41" t="n"/>
      <c r="AC10" s="41" t="n"/>
      <c r="AD10" s="19">
        <f>IF($A10="","",IF($AA10="",$H10,$AA10))</f>
        <v/>
      </c>
      <c r="AE10" s="35">
        <f>IF($A10="","",IF($AB10="",$I10,$AB10))</f>
        <v/>
      </c>
      <c r="AF10" s="35">
        <f>IF($A10="","",IF($AC10="",$J10,$AC10))</f>
        <v/>
      </c>
      <c r="AG10" s="35">
        <f>IF(OR($U10="",$AE10="",$AF10="",$X10=""),"",$AE10+$X10*($AF10-$AE10))</f>
        <v/>
      </c>
      <c r="AH10" s="38" t="n"/>
      <c r="AI10" s="38" t="n"/>
      <c r="AJ10" s="38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8" t="n"/>
      <c r="AV10" s="38" t="n"/>
      <c r="AW10" s="38" t="n"/>
      <c r="AX10" s="38" t="n"/>
      <c r="AY10" s="42" t="n"/>
      <c r="AZ10" s="42" t="n"/>
      <c r="BA10" s="42" t="n"/>
      <c r="BB10" s="42" t="n"/>
      <c r="BC10" s="42" t="n"/>
      <c r="BD10" s="37">
        <f>IF($A10="","",SUM($AY10:$BC10))</f>
        <v/>
      </c>
      <c r="BE10" s="18">
        <f>IF($A10="","",IF(AND($I10&lt;&gt;"",$J10&lt;&gt;""),MAX(1,($J10-$I10)/7),Templates!$B$35))</f>
        <v/>
      </c>
      <c r="BF10" s="18">
        <f>IF($A10="","",IF(AND($I10&lt;&gt;"",$J10&lt;&gt;""),MAX(1,($J10-$I10)/7),Templates!$B$36))</f>
        <v/>
      </c>
      <c r="BG10" s="18">
        <f>IF($A10="","",IF(AND($I10&lt;&gt;"",$J10&lt;&gt;""),MAX(1,($J10-$I10)/7),Templates!$B$37))</f>
        <v/>
      </c>
      <c r="BH10" s="18">
        <f>IF($A10="","",IF(AND($I10&lt;&gt;"",$J10&lt;&gt;""),MAX(1,($J10-$I10)/7),Templates!$B$38))</f>
        <v/>
      </c>
      <c r="BI10" s="18">
        <f>IF($A10="","",IF(AND($I10&lt;&gt;"",$J10&lt;&gt;""),MAX(1,($J10-$I10)/7),Templates!$B$39))</f>
        <v/>
      </c>
      <c r="BJ10" s="18">
        <f>IF(OR($A10="",$BD10=0),0,($AY10*Templates!$B$27/$BE10+$AZ10*Templates!$B$28/$BF10+$BA10*Templates!$B$29/$BG10+$BB10*Templates!$B$30/$BH10+$BC10*Templates!$B$31/$BI10)/Templates!$B$17)</f>
        <v/>
      </c>
      <c r="BK10" s="18">
        <f>IF(OR($A10="",$BD10=0),0,($AY10*Templates!$C$27/$BE10+$AZ10*Templates!$C$28/$BF10+$BA10*Templates!$C$29/$BG10+$BB10*Templates!$C$30/$BH10+$BC10*Templates!$C$31/$BI10)/Templates!$B$18)</f>
        <v/>
      </c>
      <c r="BL10" s="18">
        <f>IF(OR($A10="",$BD10=0),0,($AY10*Templates!$D$27/$BE10+$AZ10*Templates!$D$28/$BF10+$BA10*Templates!$D$29/$BG10+$BB10*Templates!$D$30/$BH10+$BC10*Templates!$D$31/$BI10)/Templates!$B$19)</f>
        <v/>
      </c>
      <c r="BM10" s="18">
        <f>IF(OR($A10="",$BD10=0),0,($AY10*Templates!$E$27/$BE10+$AZ10*Templates!$E$28/$BF10+$BA10*Templates!$E$29/$BG10+$BB10*Templates!$E$30/$BH10+$BC10*Templates!$E$31/$BI10)/Templates!$B$20)</f>
        <v/>
      </c>
      <c r="BN10" s="18">
        <f>IF(OR($A10="",$BD10=0),0,($AY10*Templates!$F$27/$BE10+$AZ10*Templates!$F$28/$BF10+$BA10*Templates!$F$29/$BG10+$BB10*Templates!$F$30/$BH10+$BC10*Templates!$F$31/$BI10)/Templates!$B$21)</f>
        <v/>
      </c>
      <c r="BO10" s="18">
        <f>IF(OR($A10="",$BD10=0),0,($AY10*Templates!$G$27/$BE10+$AZ10*Templates!$G$28/$BF10+$BA10*Templates!$G$29/$BG10+$BB10*Templates!$G$30/$BH10+$BC10*Templates!$G$31/$BI10)/Templates!$B$22)</f>
        <v/>
      </c>
      <c r="BP10" s="18">
        <f>IF(OR($A10="",$BD10=0),0,($AY10*Templates!$H$27/$BE10+$AZ10*Templates!$H$28/$BF10+$BA10*Templates!$H$29/$BG10+$BB10*Templates!$H$30/$BH10+$BC10*Templates!$H$31/$BI10)/Templates!$B$23)</f>
        <v/>
      </c>
    </row>
    <row r="11">
      <c r="A11" s="28" t="inlineStr">
        <is>
          <t>Aypa_3</t>
        </is>
      </c>
      <c r="B11" s="20" t="inlineStr">
        <is>
          <t>The Blackstone Group : Aypa Power</t>
        </is>
      </c>
      <c r="C11" s="28" t="inlineStr">
        <is>
          <t>The Blackstone Group</t>
        </is>
      </c>
      <c r="D11" s="28" t="inlineStr">
        <is>
          <t>Aypa Power</t>
        </is>
      </c>
      <c r="E11" s="28" t="inlineStr">
        <is>
          <t>No</t>
        </is>
      </c>
      <c r="F11" s="28" t="inlineStr">
        <is>
          <t>Active</t>
        </is>
      </c>
      <c r="G11" s="38" t="n"/>
      <c r="H11" s="29" t="n">
        <v>1</v>
      </c>
      <c r="I11" s="39" t="n"/>
      <c r="J11" s="39" t="n"/>
      <c r="K11" s="31" t="n"/>
      <c r="L11" s="31" t="n"/>
      <c r="M11" s="31" t="n"/>
      <c r="N11" s="31" t="n"/>
      <c r="O11" s="31" t="n"/>
      <c r="P11" s="31" t="n"/>
      <c r="Q11" s="23">
        <f>IF($A11="","",COUNTIFS(Assignments!$C$2:$C$769,$A11,Assignments!$G$2:$G$769,"Active"))</f>
        <v/>
      </c>
      <c r="R11" s="32">
        <f>IF($A11="","",SUMIFS(Assignments!$I$2:$I$769,Assignments!$C$2:$C$769,$A11,Assignments!$G$2:$G$769,"Active"))</f>
        <v/>
      </c>
      <c r="S11" s="20" t="inlineStr">
        <is>
          <t>WIP</t>
        </is>
      </c>
      <c r="T11" s="31" t="n"/>
      <c r="U11" s="38" t="n"/>
      <c r="V11" s="34">
        <f>IF($U11="","",IFERROR(INDEX(Templates!$K$3:$K$10,MATCH($U11,Templates!$A$3:$A$10,0)),""))</f>
        <v/>
      </c>
      <c r="W11" s="34">
        <f>IF($U11="","",IFERROR(INDEX(Templates!$L$3:$L$10,MATCH($U11,Templates!$A$3:$A$10,0)),""))</f>
        <v/>
      </c>
      <c r="X11" s="21">
        <f>IF($U11="","",IFERROR(INDEX(Templates!$J$3:$J$10,MATCH($U11,Templates!$A$3:$A$10,0)),""))</f>
        <v/>
      </c>
      <c r="Y11" s="35">
        <f>IF(OR($U11="",$I11="",$J11="",$X11=""),"",$I11+$X11*($J11-$I11))</f>
        <v/>
      </c>
      <c r="Z11" s="30" t="n">
        <v>46212</v>
      </c>
      <c r="AA11" s="40" t="n"/>
      <c r="AB11" s="41" t="n"/>
      <c r="AC11" s="41" t="n"/>
      <c r="AD11" s="19">
        <f>IF($A11="","",IF($AA11="",$H11,$AA11))</f>
        <v/>
      </c>
      <c r="AE11" s="35">
        <f>IF($A11="","",IF($AB11="",$I11,$AB11))</f>
        <v/>
      </c>
      <c r="AF11" s="35">
        <f>IF($A11="","",IF($AC11="",$J11,$AC11))</f>
        <v/>
      </c>
      <c r="AG11" s="35">
        <f>IF(OR($U11="",$AE11="",$AF11="",$X11=""),"",$AE11+$X11*($AF11-$AE11))</f>
        <v/>
      </c>
      <c r="AH11" s="38" t="n"/>
      <c r="AI11" s="38" t="n"/>
      <c r="AJ11" s="38" t="n"/>
      <c r="AK11" s="38" t="n"/>
      <c r="AL11" s="38" t="n"/>
      <c r="AM11" s="38" t="n"/>
      <c r="AN11" s="38" t="n"/>
      <c r="AO11" s="38" t="n"/>
      <c r="AP11" s="38" t="n"/>
      <c r="AQ11" s="38" t="n"/>
      <c r="AR11" s="38" t="n"/>
      <c r="AS11" s="38" t="n"/>
      <c r="AT11" s="38" t="n"/>
      <c r="AU11" s="38" t="n"/>
      <c r="AV11" s="38" t="n"/>
      <c r="AW11" s="38" t="n"/>
      <c r="AX11" s="38" t="n"/>
      <c r="AY11" s="42" t="n"/>
      <c r="AZ11" s="42" t="n"/>
      <c r="BA11" s="42" t="n"/>
      <c r="BB11" s="42" t="n"/>
      <c r="BC11" s="42" t="n"/>
      <c r="BD11" s="37">
        <f>IF($A11="","",SUM($AY11:$BC11))</f>
        <v/>
      </c>
      <c r="BE11" s="18">
        <f>IF($A11="","",IF(AND($I11&lt;&gt;"",$J11&lt;&gt;""),MAX(1,($J11-$I11)/7),Templates!$B$35))</f>
        <v/>
      </c>
      <c r="BF11" s="18">
        <f>IF($A11="","",IF(AND($I11&lt;&gt;"",$J11&lt;&gt;""),MAX(1,($J11-$I11)/7),Templates!$B$36))</f>
        <v/>
      </c>
      <c r="BG11" s="18">
        <f>IF($A11="","",IF(AND($I11&lt;&gt;"",$J11&lt;&gt;""),MAX(1,($J11-$I11)/7),Templates!$B$37))</f>
        <v/>
      </c>
      <c r="BH11" s="18">
        <f>IF($A11="","",IF(AND($I11&lt;&gt;"",$J11&lt;&gt;""),MAX(1,($J11-$I11)/7),Templates!$B$38))</f>
        <v/>
      </c>
      <c r="BI11" s="18">
        <f>IF($A11="","",IF(AND($I11&lt;&gt;"",$J11&lt;&gt;""),MAX(1,($J11-$I11)/7),Templates!$B$39))</f>
        <v/>
      </c>
      <c r="BJ11" s="18">
        <f>IF(OR($A11="",$BD11=0),0,($AY11*Templates!$B$27/$BE11+$AZ11*Templates!$B$28/$BF11+$BA11*Templates!$B$29/$BG11+$BB11*Templates!$B$30/$BH11+$BC11*Templates!$B$31/$BI11)/Templates!$B$17)</f>
        <v/>
      </c>
      <c r="BK11" s="18">
        <f>IF(OR($A11="",$BD11=0),0,($AY11*Templates!$C$27/$BE11+$AZ11*Templates!$C$28/$BF11+$BA11*Templates!$C$29/$BG11+$BB11*Templates!$C$30/$BH11+$BC11*Templates!$C$31/$BI11)/Templates!$B$18)</f>
        <v/>
      </c>
      <c r="BL11" s="18">
        <f>IF(OR($A11="",$BD11=0),0,($AY11*Templates!$D$27/$BE11+$AZ11*Templates!$D$28/$BF11+$BA11*Templates!$D$29/$BG11+$BB11*Templates!$D$30/$BH11+$BC11*Templates!$D$31/$BI11)/Templates!$B$19)</f>
        <v/>
      </c>
      <c r="BM11" s="18">
        <f>IF(OR($A11="",$BD11=0),0,($AY11*Templates!$E$27/$BE11+$AZ11*Templates!$E$28/$BF11+$BA11*Templates!$E$29/$BG11+$BB11*Templates!$E$30/$BH11+$BC11*Templates!$E$31/$BI11)/Templates!$B$20)</f>
        <v/>
      </c>
      <c r="BN11" s="18">
        <f>IF(OR($A11="",$BD11=0),0,($AY11*Templates!$F$27/$BE11+$AZ11*Templates!$F$28/$BF11+$BA11*Templates!$F$29/$BG11+$BB11*Templates!$F$30/$BH11+$BC11*Templates!$F$31/$BI11)/Templates!$B$21)</f>
        <v/>
      </c>
      <c r="BO11" s="18">
        <f>IF(OR($A11="",$BD11=0),0,($AY11*Templates!$G$27/$BE11+$AZ11*Templates!$G$28/$BF11+$BA11*Templates!$G$29/$BG11+$BB11*Templates!$G$30/$BH11+$BC11*Templates!$G$31/$BI11)/Templates!$B$22)</f>
        <v/>
      </c>
      <c r="BP11" s="18">
        <f>IF(OR($A11="",$BD11=0),0,($AY11*Templates!$H$27/$BE11+$AZ11*Templates!$H$28/$BF11+$BA11*Templates!$H$29/$BG11+$BB11*Templates!$H$30/$BH11+$BC11*Templates!$H$31/$BI11)/Templates!$B$23)</f>
        <v/>
      </c>
    </row>
    <row r="12">
      <c r="A12" s="28" t="inlineStr">
        <is>
          <t>B2V_1</t>
        </is>
      </c>
      <c r="B12" s="20" t="inlineStr">
        <is>
          <t>Ares Management Corporation : AwayDay</t>
        </is>
      </c>
      <c r="C12" s="28" t="inlineStr">
        <is>
          <t>Ares Management Corporation</t>
        </is>
      </c>
      <c r="D12" s="28" t="inlineStr">
        <is>
          <t>AwayDay</t>
        </is>
      </c>
      <c r="E12" s="28" t="inlineStr">
        <is>
          <t>No</t>
        </is>
      </c>
      <c r="F12" s="28" t="inlineStr">
        <is>
          <t>Active</t>
        </is>
      </c>
      <c r="G12" s="38" t="n"/>
      <c r="H12" s="29" t="n">
        <v>1</v>
      </c>
      <c r="I12" s="39" t="n"/>
      <c r="J12" s="39" t="n"/>
      <c r="K12" s="31" t="n"/>
      <c r="L12" s="31" t="n"/>
      <c r="M12" s="31" t="n"/>
      <c r="N12" s="31" t="n"/>
      <c r="O12" s="31" t="n"/>
      <c r="P12" s="31" t="n"/>
      <c r="Q12" s="23">
        <f>IF($A12="","",COUNTIFS(Assignments!$C$2:$C$769,$A12,Assignments!$G$2:$G$769,"Active"))</f>
        <v/>
      </c>
      <c r="R12" s="32">
        <f>IF($A12="","",SUMIFS(Assignments!$I$2:$I$769,Assignments!$C$2:$C$769,$A12,Assignments!$G$2:$G$769,"Active"))</f>
        <v/>
      </c>
      <c r="S12" s="20" t="inlineStr">
        <is>
          <t>WIP</t>
        </is>
      </c>
      <c r="T12" s="31" t="n"/>
      <c r="U12" s="38" t="n"/>
      <c r="V12" s="34">
        <f>IF($U12="","",IFERROR(INDEX(Templates!$K$3:$K$10,MATCH($U12,Templates!$A$3:$A$10,0)),""))</f>
        <v/>
      </c>
      <c r="W12" s="34">
        <f>IF($U12="","",IFERROR(INDEX(Templates!$L$3:$L$10,MATCH($U12,Templates!$A$3:$A$10,0)),""))</f>
        <v/>
      </c>
      <c r="X12" s="21">
        <f>IF($U12="","",IFERROR(INDEX(Templates!$J$3:$J$10,MATCH($U12,Templates!$A$3:$A$10,0)),""))</f>
        <v/>
      </c>
      <c r="Y12" s="35">
        <f>IF(OR($U12="",$I12="",$J12="",$X12=""),"",$I12+$X12*($J12-$I12))</f>
        <v/>
      </c>
      <c r="Z12" s="30" t="n">
        <v>46212</v>
      </c>
      <c r="AA12" s="40" t="n"/>
      <c r="AB12" s="41" t="n"/>
      <c r="AC12" s="41" t="n"/>
      <c r="AD12" s="19">
        <f>IF($A12="","",IF($AA12="",$H12,$AA12))</f>
        <v/>
      </c>
      <c r="AE12" s="35">
        <f>IF($A12="","",IF($AB12="",$I12,$AB12))</f>
        <v/>
      </c>
      <c r="AF12" s="35">
        <f>IF($A12="","",IF($AC12="",$J12,$AC12))</f>
        <v/>
      </c>
      <c r="AG12" s="35">
        <f>IF(OR($U12="",$AE12="",$AF12="",$X12=""),"",$AE12+$X12*($AF12-$AE12))</f>
        <v/>
      </c>
      <c r="AH12" s="38" t="n"/>
      <c r="AI12" s="38" t="n"/>
      <c r="AJ12" s="38" t="n"/>
      <c r="AK12" s="38" t="n"/>
      <c r="AL12" s="38" t="n"/>
      <c r="AM12" s="38" t="n"/>
      <c r="AN12" s="38" t="n"/>
      <c r="AO12" s="38" t="n"/>
      <c r="AP12" s="38" t="n"/>
      <c r="AQ12" s="38" t="n"/>
      <c r="AR12" s="38" t="n"/>
      <c r="AS12" s="38" t="n"/>
      <c r="AT12" s="38" t="n"/>
      <c r="AU12" s="38" t="n"/>
      <c r="AV12" s="38" t="n"/>
      <c r="AW12" s="38" t="n"/>
      <c r="AX12" s="38" t="n"/>
      <c r="AY12" s="42" t="n"/>
      <c r="AZ12" s="42" t="n"/>
      <c r="BA12" s="42" t="n"/>
      <c r="BB12" s="42" t="n"/>
      <c r="BC12" s="42" t="n"/>
      <c r="BD12" s="37">
        <f>IF($A12="","",SUM($AY12:$BC12))</f>
        <v/>
      </c>
      <c r="BE12" s="18">
        <f>IF($A12="","",IF(AND($I12&lt;&gt;"",$J12&lt;&gt;""),MAX(1,($J12-$I12)/7),Templates!$B$35))</f>
        <v/>
      </c>
      <c r="BF12" s="18">
        <f>IF($A12="","",IF(AND($I12&lt;&gt;"",$J12&lt;&gt;""),MAX(1,($J12-$I12)/7),Templates!$B$36))</f>
        <v/>
      </c>
      <c r="BG12" s="18">
        <f>IF($A12="","",IF(AND($I12&lt;&gt;"",$J12&lt;&gt;""),MAX(1,($J12-$I12)/7),Templates!$B$37))</f>
        <v/>
      </c>
      <c r="BH12" s="18">
        <f>IF($A12="","",IF(AND($I12&lt;&gt;"",$J12&lt;&gt;""),MAX(1,($J12-$I12)/7),Templates!$B$38))</f>
        <v/>
      </c>
      <c r="BI12" s="18">
        <f>IF($A12="","",IF(AND($I12&lt;&gt;"",$J12&lt;&gt;""),MAX(1,($J12-$I12)/7),Templates!$B$39))</f>
        <v/>
      </c>
      <c r="BJ12" s="18">
        <f>IF(OR($A12="",$BD12=0),0,($AY12*Templates!$B$27/$BE12+$AZ12*Templates!$B$28/$BF12+$BA12*Templates!$B$29/$BG12+$BB12*Templates!$B$30/$BH12+$BC12*Templates!$B$31/$BI12)/Templates!$B$17)</f>
        <v/>
      </c>
      <c r="BK12" s="18">
        <f>IF(OR($A12="",$BD12=0),0,($AY12*Templates!$C$27/$BE12+$AZ12*Templates!$C$28/$BF12+$BA12*Templates!$C$29/$BG12+$BB12*Templates!$C$30/$BH12+$BC12*Templates!$C$31/$BI12)/Templates!$B$18)</f>
        <v/>
      </c>
      <c r="BL12" s="18">
        <f>IF(OR($A12="",$BD12=0),0,($AY12*Templates!$D$27/$BE12+$AZ12*Templates!$D$28/$BF12+$BA12*Templates!$D$29/$BG12+$BB12*Templates!$D$30/$BH12+$BC12*Templates!$D$31/$BI12)/Templates!$B$19)</f>
        <v/>
      </c>
      <c r="BM12" s="18">
        <f>IF(OR($A12="",$BD12=0),0,($AY12*Templates!$E$27/$BE12+$AZ12*Templates!$E$28/$BF12+$BA12*Templates!$E$29/$BG12+$BB12*Templates!$E$30/$BH12+$BC12*Templates!$E$31/$BI12)/Templates!$B$20)</f>
        <v/>
      </c>
      <c r="BN12" s="18">
        <f>IF(OR($A12="",$BD12=0),0,($AY12*Templates!$F$27/$BE12+$AZ12*Templates!$F$28/$BF12+$BA12*Templates!$F$29/$BG12+$BB12*Templates!$F$30/$BH12+$BC12*Templates!$F$31/$BI12)/Templates!$B$21)</f>
        <v/>
      </c>
      <c r="BO12" s="18">
        <f>IF(OR($A12="",$BD12=0),0,($AY12*Templates!$G$27/$BE12+$AZ12*Templates!$G$28/$BF12+$BA12*Templates!$G$29/$BG12+$BB12*Templates!$G$30/$BH12+$BC12*Templates!$G$31/$BI12)/Templates!$B$22)</f>
        <v/>
      </c>
      <c r="BP12" s="18">
        <f>IF(OR($A12="",$BD12=0),0,($AY12*Templates!$H$27/$BE12+$AZ12*Templates!$H$28/$BF12+$BA12*Templates!$H$29/$BG12+$BB12*Templates!$H$30/$BH12+$BC12*Templates!$H$31/$BI12)/Templates!$B$23)</f>
        <v/>
      </c>
    </row>
    <row r="13">
      <c r="A13" s="28" t="inlineStr">
        <is>
          <t>Bay_2</t>
        </is>
      </c>
      <c r="B13" s="20" t="inlineStr">
        <is>
          <t>Manulife : John Hancock</t>
        </is>
      </c>
      <c r="C13" s="28" t="inlineStr">
        <is>
          <t>Manulife</t>
        </is>
      </c>
      <c r="D13" s="28" t="inlineStr">
        <is>
          <t>John Hancock</t>
        </is>
      </c>
      <c r="E13" s="28" t="inlineStr">
        <is>
          <t>No</t>
        </is>
      </c>
      <c r="F13" s="28" t="inlineStr">
        <is>
          <t>Active</t>
        </is>
      </c>
      <c r="G13" s="38" t="n"/>
      <c r="H13" s="29" t="n">
        <v>1</v>
      </c>
      <c r="I13" s="39" t="n"/>
      <c r="J13" s="39" t="n"/>
      <c r="K13" s="31" t="n"/>
      <c r="L13" s="31" t="n"/>
      <c r="M13" s="31" t="n"/>
      <c r="N13" s="31" t="n"/>
      <c r="O13" s="31" t="n"/>
      <c r="P13" s="31" t="n"/>
      <c r="Q13" s="23">
        <f>IF($A13="","",COUNTIFS(Assignments!$C$2:$C$769,$A13,Assignments!$G$2:$G$769,"Active"))</f>
        <v/>
      </c>
      <c r="R13" s="32">
        <f>IF($A13="","",SUMIFS(Assignments!$I$2:$I$769,Assignments!$C$2:$C$769,$A13,Assignments!$G$2:$G$769,"Active"))</f>
        <v/>
      </c>
      <c r="S13" s="20" t="inlineStr">
        <is>
          <t>WIP</t>
        </is>
      </c>
      <c r="T13" s="31" t="n"/>
      <c r="U13" s="38" t="n"/>
      <c r="V13" s="34">
        <f>IF($U13="","",IFERROR(INDEX(Templates!$K$3:$K$10,MATCH($U13,Templates!$A$3:$A$10,0)),""))</f>
        <v/>
      </c>
      <c r="W13" s="34">
        <f>IF($U13="","",IFERROR(INDEX(Templates!$L$3:$L$10,MATCH($U13,Templates!$A$3:$A$10,0)),""))</f>
        <v/>
      </c>
      <c r="X13" s="21">
        <f>IF($U13="","",IFERROR(INDEX(Templates!$J$3:$J$10,MATCH($U13,Templates!$A$3:$A$10,0)),""))</f>
        <v/>
      </c>
      <c r="Y13" s="35">
        <f>IF(OR($U13="",$I13="",$J13="",$X13=""),"",$I13+$X13*($J13-$I13))</f>
        <v/>
      </c>
      <c r="Z13" s="30" t="n">
        <v>46212</v>
      </c>
      <c r="AA13" s="40" t="n"/>
      <c r="AB13" s="41" t="n"/>
      <c r="AC13" s="41" t="n"/>
      <c r="AD13" s="19">
        <f>IF($A13="","",IF($AA13="",$H13,$AA13))</f>
        <v/>
      </c>
      <c r="AE13" s="35">
        <f>IF($A13="","",IF($AB13="",$I13,$AB13))</f>
        <v/>
      </c>
      <c r="AF13" s="35">
        <f>IF($A13="","",IF($AC13="",$J13,$AC13))</f>
        <v/>
      </c>
      <c r="AG13" s="35">
        <f>IF(OR($U13="",$AE13="",$AF13="",$X13=""),"",$AE13+$X13*($AF13-$AE13))</f>
        <v/>
      </c>
      <c r="AH13" s="38" t="n"/>
      <c r="AI13" s="38" t="n"/>
      <c r="AJ13" s="38" t="n"/>
      <c r="AK13" s="38" t="n"/>
      <c r="AL13" s="38" t="n"/>
      <c r="AM13" s="38" t="n"/>
      <c r="AN13" s="38" t="n"/>
      <c r="AO13" s="38" t="n"/>
      <c r="AP13" s="38" t="n"/>
      <c r="AQ13" s="38" t="n"/>
      <c r="AR13" s="38" t="n"/>
      <c r="AS13" s="38" t="n"/>
      <c r="AT13" s="38" t="n"/>
      <c r="AU13" s="38" t="n"/>
      <c r="AV13" s="38" t="n"/>
      <c r="AW13" s="38" t="n"/>
      <c r="AX13" s="38" t="n"/>
      <c r="AY13" s="42" t="n"/>
      <c r="AZ13" s="42" t="n"/>
      <c r="BA13" s="42" t="n"/>
      <c r="BB13" s="42" t="n"/>
      <c r="BC13" s="42" t="n"/>
      <c r="BD13" s="37">
        <f>IF($A13="","",SUM($AY13:$BC13))</f>
        <v/>
      </c>
      <c r="BE13" s="18">
        <f>IF($A13="","",IF(AND($I13&lt;&gt;"",$J13&lt;&gt;""),MAX(1,($J13-$I13)/7),Templates!$B$35))</f>
        <v/>
      </c>
      <c r="BF13" s="18">
        <f>IF($A13="","",IF(AND($I13&lt;&gt;"",$J13&lt;&gt;""),MAX(1,($J13-$I13)/7),Templates!$B$36))</f>
        <v/>
      </c>
      <c r="BG13" s="18">
        <f>IF($A13="","",IF(AND($I13&lt;&gt;"",$J13&lt;&gt;""),MAX(1,($J13-$I13)/7),Templates!$B$37))</f>
        <v/>
      </c>
      <c r="BH13" s="18">
        <f>IF($A13="","",IF(AND($I13&lt;&gt;"",$J13&lt;&gt;""),MAX(1,($J13-$I13)/7),Templates!$B$38))</f>
        <v/>
      </c>
      <c r="BI13" s="18">
        <f>IF($A13="","",IF(AND($I13&lt;&gt;"",$J13&lt;&gt;""),MAX(1,($J13-$I13)/7),Templates!$B$39))</f>
        <v/>
      </c>
      <c r="BJ13" s="18">
        <f>IF(OR($A13="",$BD13=0),0,($AY13*Templates!$B$27/$BE13+$AZ13*Templates!$B$28/$BF13+$BA13*Templates!$B$29/$BG13+$BB13*Templates!$B$30/$BH13+$BC13*Templates!$B$31/$BI13)/Templates!$B$17)</f>
        <v/>
      </c>
      <c r="BK13" s="18">
        <f>IF(OR($A13="",$BD13=0),0,($AY13*Templates!$C$27/$BE13+$AZ13*Templates!$C$28/$BF13+$BA13*Templates!$C$29/$BG13+$BB13*Templates!$C$30/$BH13+$BC13*Templates!$C$31/$BI13)/Templates!$B$18)</f>
        <v/>
      </c>
      <c r="BL13" s="18">
        <f>IF(OR($A13="",$BD13=0),0,($AY13*Templates!$D$27/$BE13+$AZ13*Templates!$D$28/$BF13+$BA13*Templates!$D$29/$BG13+$BB13*Templates!$D$30/$BH13+$BC13*Templates!$D$31/$BI13)/Templates!$B$19)</f>
        <v/>
      </c>
      <c r="BM13" s="18">
        <f>IF(OR($A13="",$BD13=0),0,($AY13*Templates!$E$27/$BE13+$AZ13*Templates!$E$28/$BF13+$BA13*Templates!$E$29/$BG13+$BB13*Templates!$E$30/$BH13+$BC13*Templates!$E$31/$BI13)/Templates!$B$20)</f>
        <v/>
      </c>
      <c r="BN13" s="18">
        <f>IF(OR($A13="",$BD13=0),0,($AY13*Templates!$F$27/$BE13+$AZ13*Templates!$F$28/$BF13+$BA13*Templates!$F$29/$BG13+$BB13*Templates!$F$30/$BH13+$BC13*Templates!$F$31/$BI13)/Templates!$B$21)</f>
        <v/>
      </c>
      <c r="BO13" s="18">
        <f>IF(OR($A13="",$BD13=0),0,($AY13*Templates!$G$27/$BE13+$AZ13*Templates!$G$28/$BF13+$BA13*Templates!$G$29/$BG13+$BB13*Templates!$G$30/$BH13+$BC13*Templates!$G$31/$BI13)/Templates!$B$22)</f>
        <v/>
      </c>
      <c r="BP13" s="18">
        <f>IF(OR($A13="",$BD13=0),0,($AY13*Templates!$H$27/$BE13+$AZ13*Templates!$H$28/$BF13+$BA13*Templates!$H$29/$BG13+$BB13*Templates!$H$30/$BH13+$BC13*Templates!$H$31/$BI13)/Templates!$B$23)</f>
        <v/>
      </c>
    </row>
    <row r="14">
      <c r="A14" s="28" t="inlineStr">
        <is>
          <t>Bernhard_3</t>
        </is>
      </c>
      <c r="B14" s="20" t="inlineStr">
        <is>
          <t>DIF Capital Partners</t>
        </is>
      </c>
      <c r="C14" s="28" t="inlineStr">
        <is>
          <t>DIF Capital Partners</t>
        </is>
      </c>
      <c r="D14" s="28" t="inlineStr"/>
      <c r="E14" s="28" t="inlineStr">
        <is>
          <t>No</t>
        </is>
      </c>
      <c r="F14" s="28" t="inlineStr">
        <is>
          <t>Active</t>
        </is>
      </c>
      <c r="G14" s="38" t="n"/>
      <c r="H14" s="29" t="n">
        <v>1</v>
      </c>
      <c r="I14" s="39" t="n"/>
      <c r="J14" s="39" t="n"/>
      <c r="K14" s="31" t="n"/>
      <c r="L14" s="31" t="n"/>
      <c r="M14" s="31" t="n"/>
      <c r="N14" s="31" t="n"/>
      <c r="O14" s="31" t="n"/>
      <c r="P14" s="31" t="n"/>
      <c r="Q14" s="23">
        <f>IF($A14="","",COUNTIFS(Assignments!$C$2:$C$769,$A14,Assignments!$G$2:$G$769,"Active"))</f>
        <v/>
      </c>
      <c r="R14" s="32">
        <f>IF($A14="","",SUMIFS(Assignments!$I$2:$I$769,Assignments!$C$2:$C$769,$A14,Assignments!$G$2:$G$769,"Active"))</f>
        <v/>
      </c>
      <c r="S14" s="20" t="inlineStr">
        <is>
          <t>WIP</t>
        </is>
      </c>
      <c r="T14" s="31" t="n"/>
      <c r="U14" s="38" t="n"/>
      <c r="V14" s="34">
        <f>IF($U14="","",IFERROR(INDEX(Templates!$K$3:$K$10,MATCH($U14,Templates!$A$3:$A$10,0)),""))</f>
        <v/>
      </c>
      <c r="W14" s="34">
        <f>IF($U14="","",IFERROR(INDEX(Templates!$L$3:$L$10,MATCH($U14,Templates!$A$3:$A$10,0)),""))</f>
        <v/>
      </c>
      <c r="X14" s="21">
        <f>IF($U14="","",IFERROR(INDEX(Templates!$J$3:$J$10,MATCH($U14,Templates!$A$3:$A$10,0)),""))</f>
        <v/>
      </c>
      <c r="Y14" s="35">
        <f>IF(OR($U14="",$I14="",$J14="",$X14=""),"",$I14+$X14*($J14-$I14))</f>
        <v/>
      </c>
      <c r="Z14" s="30" t="n">
        <v>46212</v>
      </c>
      <c r="AA14" s="40" t="n"/>
      <c r="AB14" s="41" t="n"/>
      <c r="AC14" s="41" t="n"/>
      <c r="AD14" s="19">
        <f>IF($A14="","",IF($AA14="",$H14,$AA14))</f>
        <v/>
      </c>
      <c r="AE14" s="35">
        <f>IF($A14="","",IF($AB14="",$I14,$AB14))</f>
        <v/>
      </c>
      <c r="AF14" s="35">
        <f>IF($A14="","",IF($AC14="",$J14,$AC14))</f>
        <v/>
      </c>
      <c r="AG14" s="35">
        <f>IF(OR($U14="",$AE14="",$AF14="",$X14=""),"",$AE14+$X14*($AF14-$AE14))</f>
        <v/>
      </c>
      <c r="AH14" s="38" t="n"/>
      <c r="AI14" s="38" t="n"/>
      <c r="AJ14" s="38" t="n"/>
      <c r="AK14" s="38" t="n"/>
      <c r="AL14" s="38" t="n"/>
      <c r="AM14" s="38" t="n"/>
      <c r="AN14" s="38" t="n"/>
      <c r="AO14" s="38" t="n"/>
      <c r="AP14" s="38" t="n"/>
      <c r="AQ14" s="38" t="n"/>
      <c r="AR14" s="38" t="n"/>
      <c r="AS14" s="38" t="n"/>
      <c r="AT14" s="38" t="n"/>
      <c r="AU14" s="38" t="n"/>
      <c r="AV14" s="38" t="n"/>
      <c r="AW14" s="38" t="n"/>
      <c r="AX14" s="38" t="n"/>
      <c r="AY14" s="42" t="n"/>
      <c r="AZ14" s="42" t="n"/>
      <c r="BA14" s="42" t="n"/>
      <c r="BB14" s="42" t="n"/>
      <c r="BC14" s="42" t="n"/>
      <c r="BD14" s="37">
        <f>IF($A14="","",SUM($AY14:$BC14))</f>
        <v/>
      </c>
      <c r="BE14" s="18">
        <f>IF($A14="","",IF(AND($I14&lt;&gt;"",$J14&lt;&gt;""),MAX(1,($J14-$I14)/7),Templates!$B$35))</f>
        <v/>
      </c>
      <c r="BF14" s="18">
        <f>IF($A14="","",IF(AND($I14&lt;&gt;"",$J14&lt;&gt;""),MAX(1,($J14-$I14)/7),Templates!$B$36))</f>
        <v/>
      </c>
      <c r="BG14" s="18">
        <f>IF($A14="","",IF(AND($I14&lt;&gt;"",$J14&lt;&gt;""),MAX(1,($J14-$I14)/7),Templates!$B$37))</f>
        <v/>
      </c>
      <c r="BH14" s="18">
        <f>IF($A14="","",IF(AND($I14&lt;&gt;"",$J14&lt;&gt;""),MAX(1,($J14-$I14)/7),Templates!$B$38))</f>
        <v/>
      </c>
      <c r="BI14" s="18">
        <f>IF($A14="","",IF(AND($I14&lt;&gt;"",$J14&lt;&gt;""),MAX(1,($J14-$I14)/7),Templates!$B$39))</f>
        <v/>
      </c>
      <c r="BJ14" s="18">
        <f>IF(OR($A14="",$BD14=0),0,($AY14*Templates!$B$27/$BE14+$AZ14*Templates!$B$28/$BF14+$BA14*Templates!$B$29/$BG14+$BB14*Templates!$B$30/$BH14+$BC14*Templates!$B$31/$BI14)/Templates!$B$17)</f>
        <v/>
      </c>
      <c r="BK14" s="18">
        <f>IF(OR($A14="",$BD14=0),0,($AY14*Templates!$C$27/$BE14+$AZ14*Templates!$C$28/$BF14+$BA14*Templates!$C$29/$BG14+$BB14*Templates!$C$30/$BH14+$BC14*Templates!$C$31/$BI14)/Templates!$B$18)</f>
        <v/>
      </c>
      <c r="BL14" s="18">
        <f>IF(OR($A14="",$BD14=0),0,($AY14*Templates!$D$27/$BE14+$AZ14*Templates!$D$28/$BF14+$BA14*Templates!$D$29/$BG14+$BB14*Templates!$D$30/$BH14+$BC14*Templates!$D$31/$BI14)/Templates!$B$19)</f>
        <v/>
      </c>
      <c r="BM14" s="18">
        <f>IF(OR($A14="",$BD14=0),0,($AY14*Templates!$E$27/$BE14+$AZ14*Templates!$E$28/$BF14+$BA14*Templates!$E$29/$BG14+$BB14*Templates!$E$30/$BH14+$BC14*Templates!$E$31/$BI14)/Templates!$B$20)</f>
        <v/>
      </c>
      <c r="BN14" s="18">
        <f>IF(OR($A14="",$BD14=0),0,($AY14*Templates!$F$27/$BE14+$AZ14*Templates!$F$28/$BF14+$BA14*Templates!$F$29/$BG14+$BB14*Templates!$F$30/$BH14+$BC14*Templates!$F$31/$BI14)/Templates!$B$21)</f>
        <v/>
      </c>
      <c r="BO14" s="18">
        <f>IF(OR($A14="",$BD14=0),0,($AY14*Templates!$G$27/$BE14+$AZ14*Templates!$G$28/$BF14+$BA14*Templates!$G$29/$BG14+$BB14*Templates!$G$30/$BH14+$BC14*Templates!$G$31/$BI14)/Templates!$B$22)</f>
        <v/>
      </c>
      <c r="BP14" s="18">
        <f>IF(OR($A14="",$BD14=0),0,($AY14*Templates!$H$27/$BE14+$AZ14*Templates!$H$28/$BF14+$BA14*Templates!$H$29/$BG14+$BB14*Templates!$H$30/$BH14+$BC14*Templates!$H$31/$BI14)/Templates!$B$23)</f>
        <v/>
      </c>
    </row>
    <row r="15">
      <c r="A15" s="28" t="inlineStr">
        <is>
          <t>Big_4</t>
        </is>
      </c>
      <c r="B15" s="20" t="inlineStr">
        <is>
          <t>Ethos Specialty Insurance Services</t>
        </is>
      </c>
      <c r="C15" s="28" t="inlineStr">
        <is>
          <t>Ethos Specialty Insurance Services</t>
        </is>
      </c>
      <c r="D15" s="28" t="inlineStr"/>
      <c r="E15" s="28" t="inlineStr">
        <is>
          <t>No</t>
        </is>
      </c>
      <c r="F15" s="28" t="inlineStr">
        <is>
          <t>Active</t>
        </is>
      </c>
      <c r="G15" s="38" t="n"/>
      <c r="H15" s="29" t="n">
        <v>1</v>
      </c>
      <c r="I15" s="39" t="n"/>
      <c r="J15" s="39" t="n"/>
      <c r="K15" s="31" t="n"/>
      <c r="L15" s="31" t="n"/>
      <c r="M15" s="31" t="n"/>
      <c r="N15" s="31" t="n"/>
      <c r="O15" s="31" t="n"/>
      <c r="P15" s="31" t="n"/>
      <c r="Q15" s="23">
        <f>IF($A15="","",COUNTIFS(Assignments!$C$2:$C$769,$A15,Assignments!$G$2:$G$769,"Active"))</f>
        <v/>
      </c>
      <c r="R15" s="32">
        <f>IF($A15="","",SUMIFS(Assignments!$I$2:$I$769,Assignments!$C$2:$C$769,$A15,Assignments!$G$2:$G$769,"Active"))</f>
        <v/>
      </c>
      <c r="S15" s="20" t="inlineStr">
        <is>
          <t>WIP</t>
        </is>
      </c>
      <c r="T15" s="31" t="n"/>
      <c r="U15" s="38" t="n"/>
      <c r="V15" s="34">
        <f>IF($U15="","",IFERROR(INDEX(Templates!$K$3:$K$10,MATCH($U15,Templates!$A$3:$A$10,0)),""))</f>
        <v/>
      </c>
      <c r="W15" s="34">
        <f>IF($U15="","",IFERROR(INDEX(Templates!$L$3:$L$10,MATCH($U15,Templates!$A$3:$A$10,0)),""))</f>
        <v/>
      </c>
      <c r="X15" s="21">
        <f>IF($U15="","",IFERROR(INDEX(Templates!$J$3:$J$10,MATCH($U15,Templates!$A$3:$A$10,0)),""))</f>
        <v/>
      </c>
      <c r="Y15" s="35">
        <f>IF(OR($U15="",$I15="",$J15="",$X15=""),"",$I15+$X15*($J15-$I15))</f>
        <v/>
      </c>
      <c r="Z15" s="30" t="n">
        <v>46212</v>
      </c>
      <c r="AA15" s="40" t="n"/>
      <c r="AB15" s="41" t="n"/>
      <c r="AC15" s="41" t="n"/>
      <c r="AD15" s="19">
        <f>IF($A15="","",IF($AA15="",$H15,$AA15))</f>
        <v/>
      </c>
      <c r="AE15" s="35">
        <f>IF($A15="","",IF($AB15="",$I15,$AB15))</f>
        <v/>
      </c>
      <c r="AF15" s="35">
        <f>IF($A15="","",IF($AC15="",$J15,$AC15))</f>
        <v/>
      </c>
      <c r="AG15" s="35">
        <f>IF(OR($U15="",$AE15="",$AF15="",$X15=""),"",$AE15+$X15*($AF15-$AE15))</f>
        <v/>
      </c>
      <c r="AH15" s="38" t="n"/>
      <c r="AI15" s="38" t="n"/>
      <c r="AJ15" s="38" t="n"/>
      <c r="AK15" s="38" t="n"/>
      <c r="AL15" s="38" t="n"/>
      <c r="AM15" s="38" t="n"/>
      <c r="AN15" s="38" t="n"/>
      <c r="AO15" s="38" t="n"/>
      <c r="AP15" s="38" t="n"/>
      <c r="AQ15" s="38" t="n"/>
      <c r="AR15" s="38" t="n"/>
      <c r="AS15" s="38" t="n"/>
      <c r="AT15" s="38" t="n"/>
      <c r="AU15" s="38" t="n"/>
      <c r="AV15" s="38" t="n"/>
      <c r="AW15" s="38" t="n"/>
      <c r="AX15" s="38" t="n"/>
      <c r="AY15" s="42" t="n"/>
      <c r="AZ15" s="42" t="n"/>
      <c r="BA15" s="42" t="n"/>
      <c r="BB15" s="42" t="n"/>
      <c r="BC15" s="42" t="n"/>
      <c r="BD15" s="37">
        <f>IF($A15="","",SUM($AY15:$BC15))</f>
        <v/>
      </c>
      <c r="BE15" s="18">
        <f>IF($A15="","",IF(AND($I15&lt;&gt;"",$J15&lt;&gt;""),MAX(1,($J15-$I15)/7),Templates!$B$35))</f>
        <v/>
      </c>
      <c r="BF15" s="18">
        <f>IF($A15="","",IF(AND($I15&lt;&gt;"",$J15&lt;&gt;""),MAX(1,($J15-$I15)/7),Templates!$B$36))</f>
        <v/>
      </c>
      <c r="BG15" s="18">
        <f>IF($A15="","",IF(AND($I15&lt;&gt;"",$J15&lt;&gt;""),MAX(1,($J15-$I15)/7),Templates!$B$37))</f>
        <v/>
      </c>
      <c r="BH15" s="18">
        <f>IF($A15="","",IF(AND($I15&lt;&gt;"",$J15&lt;&gt;""),MAX(1,($J15-$I15)/7),Templates!$B$38))</f>
        <v/>
      </c>
      <c r="BI15" s="18">
        <f>IF($A15="","",IF(AND($I15&lt;&gt;"",$J15&lt;&gt;""),MAX(1,($J15-$I15)/7),Templates!$B$39))</f>
        <v/>
      </c>
      <c r="BJ15" s="18">
        <f>IF(OR($A15="",$BD15=0),0,($AY15*Templates!$B$27/$BE15+$AZ15*Templates!$B$28/$BF15+$BA15*Templates!$B$29/$BG15+$BB15*Templates!$B$30/$BH15+$BC15*Templates!$B$31/$BI15)/Templates!$B$17)</f>
        <v/>
      </c>
      <c r="BK15" s="18">
        <f>IF(OR($A15="",$BD15=0),0,($AY15*Templates!$C$27/$BE15+$AZ15*Templates!$C$28/$BF15+$BA15*Templates!$C$29/$BG15+$BB15*Templates!$C$30/$BH15+$BC15*Templates!$C$31/$BI15)/Templates!$B$18)</f>
        <v/>
      </c>
      <c r="BL15" s="18">
        <f>IF(OR($A15="",$BD15=0),0,($AY15*Templates!$D$27/$BE15+$AZ15*Templates!$D$28/$BF15+$BA15*Templates!$D$29/$BG15+$BB15*Templates!$D$30/$BH15+$BC15*Templates!$D$31/$BI15)/Templates!$B$19)</f>
        <v/>
      </c>
      <c r="BM15" s="18">
        <f>IF(OR($A15="",$BD15=0),0,($AY15*Templates!$E$27/$BE15+$AZ15*Templates!$E$28/$BF15+$BA15*Templates!$E$29/$BG15+$BB15*Templates!$E$30/$BH15+$BC15*Templates!$E$31/$BI15)/Templates!$B$20)</f>
        <v/>
      </c>
      <c r="BN15" s="18">
        <f>IF(OR($A15="",$BD15=0),0,($AY15*Templates!$F$27/$BE15+$AZ15*Templates!$F$28/$BF15+$BA15*Templates!$F$29/$BG15+$BB15*Templates!$F$30/$BH15+$BC15*Templates!$F$31/$BI15)/Templates!$B$21)</f>
        <v/>
      </c>
      <c r="BO15" s="18">
        <f>IF(OR($A15="",$BD15=0),0,($AY15*Templates!$G$27/$BE15+$AZ15*Templates!$G$28/$BF15+$BA15*Templates!$G$29/$BG15+$BB15*Templates!$G$30/$BH15+$BC15*Templates!$G$31/$BI15)/Templates!$B$22)</f>
        <v/>
      </c>
      <c r="BP15" s="18">
        <f>IF(OR($A15="",$BD15=0),0,($AY15*Templates!$H$27/$BE15+$AZ15*Templates!$H$28/$BF15+$BA15*Templates!$H$29/$BG15+$BB15*Templates!$H$30/$BH15+$BC15*Templates!$H$31/$BI15)/Templates!$B$23)</f>
        <v/>
      </c>
    </row>
    <row r="16">
      <c r="A16" s="28" t="inlineStr">
        <is>
          <t>Bishopville_1</t>
        </is>
      </c>
      <c r="B16" s="20" t="inlineStr">
        <is>
          <t>Volante Transaction Services, North America</t>
        </is>
      </c>
      <c r="C16" s="28" t="inlineStr">
        <is>
          <t>Volante Transaction Services, North America</t>
        </is>
      </c>
      <c r="D16" s="28" t="inlineStr"/>
      <c r="E16" s="28" t="inlineStr">
        <is>
          <t>No</t>
        </is>
      </c>
      <c r="F16" s="28" t="inlineStr">
        <is>
          <t>Active</t>
        </is>
      </c>
      <c r="G16" s="38" t="n"/>
      <c r="H16" s="29" t="n">
        <v>1</v>
      </c>
      <c r="I16" s="39" t="n"/>
      <c r="J16" s="39" t="n"/>
      <c r="K16" s="31" t="n"/>
      <c r="L16" s="31" t="n"/>
      <c r="M16" s="31" t="n"/>
      <c r="N16" s="31" t="n"/>
      <c r="O16" s="31" t="n"/>
      <c r="P16" s="31" t="n"/>
      <c r="Q16" s="23">
        <f>IF($A16="","",COUNTIFS(Assignments!$C$2:$C$769,$A16,Assignments!$G$2:$G$769,"Active"))</f>
        <v/>
      </c>
      <c r="R16" s="32">
        <f>IF($A16="","",SUMIFS(Assignments!$I$2:$I$769,Assignments!$C$2:$C$769,$A16,Assignments!$G$2:$G$769,"Active"))</f>
        <v/>
      </c>
      <c r="S16" s="20" t="inlineStr">
        <is>
          <t>WIP</t>
        </is>
      </c>
      <c r="T16" s="31" t="n"/>
      <c r="U16" s="38" t="n"/>
      <c r="V16" s="34">
        <f>IF($U16="","",IFERROR(INDEX(Templates!$K$3:$K$10,MATCH($U16,Templates!$A$3:$A$10,0)),""))</f>
        <v/>
      </c>
      <c r="W16" s="34">
        <f>IF($U16="","",IFERROR(INDEX(Templates!$L$3:$L$10,MATCH($U16,Templates!$A$3:$A$10,0)),""))</f>
        <v/>
      </c>
      <c r="X16" s="21">
        <f>IF($U16="","",IFERROR(INDEX(Templates!$J$3:$J$10,MATCH($U16,Templates!$A$3:$A$10,0)),""))</f>
        <v/>
      </c>
      <c r="Y16" s="35">
        <f>IF(OR($U16="",$I16="",$J16="",$X16=""),"",$I16+$X16*($J16-$I16))</f>
        <v/>
      </c>
      <c r="Z16" s="30" t="n">
        <v>46212</v>
      </c>
      <c r="AA16" s="40" t="n"/>
      <c r="AB16" s="41" t="n"/>
      <c r="AC16" s="41" t="n"/>
      <c r="AD16" s="19">
        <f>IF($A16="","",IF($AA16="",$H16,$AA16))</f>
        <v/>
      </c>
      <c r="AE16" s="35">
        <f>IF($A16="","",IF($AB16="",$I16,$AB16))</f>
        <v/>
      </c>
      <c r="AF16" s="35">
        <f>IF($A16="","",IF($AC16="",$J16,$AC16))</f>
        <v/>
      </c>
      <c r="AG16" s="35">
        <f>IF(OR($U16="",$AE16="",$AF16="",$X16=""),"",$AE16+$X16*($AF16-$AE16))</f>
        <v/>
      </c>
      <c r="AH16" s="38" t="n"/>
      <c r="AI16" s="38" t="n"/>
      <c r="AJ16" s="38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42" t="n"/>
      <c r="AZ16" s="42" t="n"/>
      <c r="BA16" s="42" t="n"/>
      <c r="BB16" s="42" t="n"/>
      <c r="BC16" s="42" t="n"/>
      <c r="BD16" s="37">
        <f>IF($A16="","",SUM($AY16:$BC16))</f>
        <v/>
      </c>
      <c r="BE16" s="18">
        <f>IF($A16="","",IF(AND($I16&lt;&gt;"",$J16&lt;&gt;""),MAX(1,($J16-$I16)/7),Templates!$B$35))</f>
        <v/>
      </c>
      <c r="BF16" s="18">
        <f>IF($A16="","",IF(AND($I16&lt;&gt;"",$J16&lt;&gt;""),MAX(1,($J16-$I16)/7),Templates!$B$36))</f>
        <v/>
      </c>
      <c r="BG16" s="18">
        <f>IF($A16="","",IF(AND($I16&lt;&gt;"",$J16&lt;&gt;""),MAX(1,($J16-$I16)/7),Templates!$B$37))</f>
        <v/>
      </c>
      <c r="BH16" s="18">
        <f>IF($A16="","",IF(AND($I16&lt;&gt;"",$J16&lt;&gt;""),MAX(1,($J16-$I16)/7),Templates!$B$38))</f>
        <v/>
      </c>
      <c r="BI16" s="18">
        <f>IF($A16="","",IF(AND($I16&lt;&gt;"",$J16&lt;&gt;""),MAX(1,($J16-$I16)/7),Templates!$B$39))</f>
        <v/>
      </c>
      <c r="BJ16" s="18">
        <f>IF(OR($A16="",$BD16=0),0,($AY16*Templates!$B$27/$BE16+$AZ16*Templates!$B$28/$BF16+$BA16*Templates!$B$29/$BG16+$BB16*Templates!$B$30/$BH16+$BC16*Templates!$B$31/$BI16)/Templates!$B$17)</f>
        <v/>
      </c>
      <c r="BK16" s="18">
        <f>IF(OR($A16="",$BD16=0),0,($AY16*Templates!$C$27/$BE16+$AZ16*Templates!$C$28/$BF16+$BA16*Templates!$C$29/$BG16+$BB16*Templates!$C$30/$BH16+$BC16*Templates!$C$31/$BI16)/Templates!$B$18)</f>
        <v/>
      </c>
      <c r="BL16" s="18">
        <f>IF(OR($A16="",$BD16=0),0,($AY16*Templates!$D$27/$BE16+$AZ16*Templates!$D$28/$BF16+$BA16*Templates!$D$29/$BG16+$BB16*Templates!$D$30/$BH16+$BC16*Templates!$D$31/$BI16)/Templates!$B$19)</f>
        <v/>
      </c>
      <c r="BM16" s="18">
        <f>IF(OR($A16="",$BD16=0),0,($AY16*Templates!$E$27/$BE16+$AZ16*Templates!$E$28/$BF16+$BA16*Templates!$E$29/$BG16+$BB16*Templates!$E$30/$BH16+$BC16*Templates!$E$31/$BI16)/Templates!$B$20)</f>
        <v/>
      </c>
      <c r="BN16" s="18">
        <f>IF(OR($A16="",$BD16=0),0,($AY16*Templates!$F$27/$BE16+$AZ16*Templates!$F$28/$BF16+$BA16*Templates!$F$29/$BG16+$BB16*Templates!$F$30/$BH16+$BC16*Templates!$F$31/$BI16)/Templates!$B$21)</f>
        <v/>
      </c>
      <c r="BO16" s="18">
        <f>IF(OR($A16="",$BD16=0),0,($AY16*Templates!$G$27/$BE16+$AZ16*Templates!$G$28/$BF16+$BA16*Templates!$G$29/$BG16+$BB16*Templates!$G$30/$BH16+$BC16*Templates!$G$31/$BI16)/Templates!$B$22)</f>
        <v/>
      </c>
      <c r="BP16" s="18">
        <f>IF(OR($A16="",$BD16=0),0,($AY16*Templates!$H$27/$BE16+$AZ16*Templates!$H$28/$BF16+$BA16*Templates!$H$29/$BG16+$BB16*Templates!$H$30/$BH16+$BC16*Templates!$H$31/$BI16)/Templates!$B$23)</f>
        <v/>
      </c>
    </row>
    <row r="17">
      <c r="A17" s="28" t="inlineStr">
        <is>
          <t>Bledsoe_1</t>
        </is>
      </c>
      <c r="B17" s="20" t="inlineStr">
        <is>
          <t>Manulife : Manulife Infrastructure Fund III AIV Holdings B LP</t>
        </is>
      </c>
      <c r="C17" s="28" t="inlineStr">
        <is>
          <t>Manulife</t>
        </is>
      </c>
      <c r="D17" s="28" t="inlineStr">
        <is>
          <t>Manulife Infrastructure Fund III AIV Holdings B LP</t>
        </is>
      </c>
      <c r="E17" s="28" t="inlineStr">
        <is>
          <t>No</t>
        </is>
      </c>
      <c r="F17" s="28" t="inlineStr">
        <is>
          <t>Active</t>
        </is>
      </c>
      <c r="G17" s="38" t="n"/>
      <c r="H17" s="29" t="n">
        <v>1</v>
      </c>
      <c r="I17" s="39" t="n"/>
      <c r="J17" s="39" t="n"/>
      <c r="K17" s="31" t="n"/>
      <c r="L17" s="31" t="n"/>
      <c r="M17" s="31" t="n"/>
      <c r="N17" s="31" t="n"/>
      <c r="O17" s="31" t="n"/>
      <c r="P17" s="31" t="n"/>
      <c r="Q17" s="23">
        <f>IF($A17="","",COUNTIFS(Assignments!$C$2:$C$769,$A17,Assignments!$G$2:$G$769,"Active"))</f>
        <v/>
      </c>
      <c r="R17" s="32">
        <f>IF($A17="","",SUMIFS(Assignments!$I$2:$I$769,Assignments!$C$2:$C$769,$A17,Assignments!$G$2:$G$769,"Active"))</f>
        <v/>
      </c>
      <c r="S17" s="20" t="inlineStr">
        <is>
          <t>WIP</t>
        </is>
      </c>
      <c r="T17" s="31" t="n"/>
      <c r="U17" s="38" t="n"/>
      <c r="V17" s="34">
        <f>IF($U17="","",IFERROR(INDEX(Templates!$K$3:$K$10,MATCH($U17,Templates!$A$3:$A$10,0)),""))</f>
        <v/>
      </c>
      <c r="W17" s="34">
        <f>IF($U17="","",IFERROR(INDEX(Templates!$L$3:$L$10,MATCH($U17,Templates!$A$3:$A$10,0)),""))</f>
        <v/>
      </c>
      <c r="X17" s="21">
        <f>IF($U17="","",IFERROR(INDEX(Templates!$J$3:$J$10,MATCH($U17,Templates!$A$3:$A$10,0)),""))</f>
        <v/>
      </c>
      <c r="Y17" s="35">
        <f>IF(OR($U17="",$I17="",$J17="",$X17=""),"",$I17+$X17*($J17-$I17))</f>
        <v/>
      </c>
      <c r="Z17" s="30" t="n">
        <v>46212</v>
      </c>
      <c r="AA17" s="40" t="n"/>
      <c r="AB17" s="41" t="n"/>
      <c r="AC17" s="41" t="n"/>
      <c r="AD17" s="19">
        <f>IF($A17="","",IF($AA17="",$H17,$AA17))</f>
        <v/>
      </c>
      <c r="AE17" s="35">
        <f>IF($A17="","",IF($AB17="",$I17,$AB17))</f>
        <v/>
      </c>
      <c r="AF17" s="35">
        <f>IF($A17="","",IF($AC17="",$J17,$AC17))</f>
        <v/>
      </c>
      <c r="AG17" s="35">
        <f>IF(OR($U17="",$AE17="",$AF17="",$X17=""),"",$AE17+$X17*($AF17-$AE17))</f>
        <v/>
      </c>
      <c r="AH17" s="38" t="n"/>
      <c r="AI17" s="38" t="n"/>
      <c r="AJ17" s="38" t="n"/>
      <c r="AK17" s="38" t="n"/>
      <c r="AL17" s="38" t="n"/>
      <c r="AM17" s="38" t="n"/>
      <c r="AN17" s="38" t="n"/>
      <c r="AO17" s="38" t="n"/>
      <c r="AP17" s="38" t="n"/>
      <c r="AQ17" s="38" t="n"/>
      <c r="AR17" s="38" t="n"/>
      <c r="AS17" s="38" t="n"/>
      <c r="AT17" s="38" t="n"/>
      <c r="AU17" s="38" t="n"/>
      <c r="AV17" s="38" t="n"/>
      <c r="AW17" s="38" t="n"/>
      <c r="AX17" s="38" t="n"/>
      <c r="AY17" s="42" t="n"/>
      <c r="AZ17" s="42" t="n"/>
      <c r="BA17" s="42" t="n"/>
      <c r="BB17" s="42" t="n"/>
      <c r="BC17" s="42" t="n"/>
      <c r="BD17" s="37">
        <f>IF($A17="","",SUM($AY17:$BC17))</f>
        <v/>
      </c>
      <c r="BE17" s="18">
        <f>IF($A17="","",IF(AND($I17&lt;&gt;"",$J17&lt;&gt;""),MAX(1,($J17-$I17)/7),Templates!$B$35))</f>
        <v/>
      </c>
      <c r="BF17" s="18">
        <f>IF($A17="","",IF(AND($I17&lt;&gt;"",$J17&lt;&gt;""),MAX(1,($J17-$I17)/7),Templates!$B$36))</f>
        <v/>
      </c>
      <c r="BG17" s="18">
        <f>IF($A17="","",IF(AND($I17&lt;&gt;"",$J17&lt;&gt;""),MAX(1,($J17-$I17)/7),Templates!$B$37))</f>
        <v/>
      </c>
      <c r="BH17" s="18">
        <f>IF($A17="","",IF(AND($I17&lt;&gt;"",$J17&lt;&gt;""),MAX(1,($J17-$I17)/7),Templates!$B$38))</f>
        <v/>
      </c>
      <c r="BI17" s="18">
        <f>IF($A17="","",IF(AND($I17&lt;&gt;"",$J17&lt;&gt;""),MAX(1,($J17-$I17)/7),Templates!$B$39))</f>
        <v/>
      </c>
      <c r="BJ17" s="18">
        <f>IF(OR($A17="",$BD17=0),0,($AY17*Templates!$B$27/$BE17+$AZ17*Templates!$B$28/$BF17+$BA17*Templates!$B$29/$BG17+$BB17*Templates!$B$30/$BH17+$BC17*Templates!$B$31/$BI17)/Templates!$B$17)</f>
        <v/>
      </c>
      <c r="BK17" s="18">
        <f>IF(OR($A17="",$BD17=0),0,($AY17*Templates!$C$27/$BE17+$AZ17*Templates!$C$28/$BF17+$BA17*Templates!$C$29/$BG17+$BB17*Templates!$C$30/$BH17+$BC17*Templates!$C$31/$BI17)/Templates!$B$18)</f>
        <v/>
      </c>
      <c r="BL17" s="18">
        <f>IF(OR($A17="",$BD17=0),0,($AY17*Templates!$D$27/$BE17+$AZ17*Templates!$D$28/$BF17+$BA17*Templates!$D$29/$BG17+$BB17*Templates!$D$30/$BH17+$BC17*Templates!$D$31/$BI17)/Templates!$B$19)</f>
        <v/>
      </c>
      <c r="BM17" s="18">
        <f>IF(OR($A17="",$BD17=0),0,($AY17*Templates!$E$27/$BE17+$AZ17*Templates!$E$28/$BF17+$BA17*Templates!$E$29/$BG17+$BB17*Templates!$E$30/$BH17+$BC17*Templates!$E$31/$BI17)/Templates!$B$20)</f>
        <v/>
      </c>
      <c r="BN17" s="18">
        <f>IF(OR($A17="",$BD17=0),0,($AY17*Templates!$F$27/$BE17+$AZ17*Templates!$F$28/$BF17+$BA17*Templates!$F$29/$BG17+$BB17*Templates!$F$30/$BH17+$BC17*Templates!$F$31/$BI17)/Templates!$B$21)</f>
        <v/>
      </c>
      <c r="BO17" s="18">
        <f>IF(OR($A17="",$BD17=0),0,($AY17*Templates!$G$27/$BE17+$AZ17*Templates!$G$28/$BF17+$BA17*Templates!$G$29/$BG17+$BB17*Templates!$G$30/$BH17+$BC17*Templates!$G$31/$BI17)/Templates!$B$22)</f>
        <v/>
      </c>
      <c r="BP17" s="18">
        <f>IF(OR($A17="",$BD17=0),0,($AY17*Templates!$H$27/$BE17+$AZ17*Templates!$H$28/$BF17+$BA17*Templates!$H$29/$BG17+$BB17*Templates!$H$30/$BH17+$BC17*Templates!$H$31/$BI17)/Templates!$B$23)</f>
        <v/>
      </c>
    </row>
    <row r="18">
      <c r="A18" s="28" t="inlineStr">
        <is>
          <t>Blue_6</t>
        </is>
      </c>
      <c r="B18" s="20" t="inlineStr">
        <is>
          <t>Repsol Renewables NA</t>
        </is>
      </c>
      <c r="C18" s="28" t="inlineStr">
        <is>
          <t>Repsol Renewables NA</t>
        </is>
      </c>
      <c r="D18" s="28" t="inlineStr"/>
      <c r="E18" s="28" t="inlineStr">
        <is>
          <t>No</t>
        </is>
      </c>
      <c r="F18" s="28" t="inlineStr">
        <is>
          <t>Active</t>
        </is>
      </c>
      <c r="G18" s="38" t="n"/>
      <c r="H18" s="29" t="n">
        <v>1</v>
      </c>
      <c r="I18" s="39" t="n"/>
      <c r="J18" s="39" t="n"/>
      <c r="K18" s="31" t="n"/>
      <c r="L18" s="31" t="n"/>
      <c r="M18" s="31" t="n"/>
      <c r="N18" s="31" t="n"/>
      <c r="O18" s="31" t="n"/>
      <c r="P18" s="31" t="n"/>
      <c r="Q18" s="23">
        <f>IF($A18="","",COUNTIFS(Assignments!$C$2:$C$769,$A18,Assignments!$G$2:$G$769,"Active"))</f>
        <v/>
      </c>
      <c r="R18" s="32">
        <f>IF($A18="","",SUMIFS(Assignments!$I$2:$I$769,Assignments!$C$2:$C$769,$A18,Assignments!$G$2:$G$769,"Active"))</f>
        <v/>
      </c>
      <c r="S18" s="20" t="inlineStr">
        <is>
          <t>WIP</t>
        </is>
      </c>
      <c r="T18" s="31" t="n"/>
      <c r="U18" s="38" t="n"/>
      <c r="V18" s="34">
        <f>IF($U18="","",IFERROR(INDEX(Templates!$K$3:$K$10,MATCH($U18,Templates!$A$3:$A$10,0)),""))</f>
        <v/>
      </c>
      <c r="W18" s="34">
        <f>IF($U18="","",IFERROR(INDEX(Templates!$L$3:$L$10,MATCH($U18,Templates!$A$3:$A$10,0)),""))</f>
        <v/>
      </c>
      <c r="X18" s="21">
        <f>IF($U18="","",IFERROR(INDEX(Templates!$J$3:$J$10,MATCH($U18,Templates!$A$3:$A$10,0)),""))</f>
        <v/>
      </c>
      <c r="Y18" s="35">
        <f>IF(OR($U18="",$I18="",$J18="",$X18=""),"",$I18+$X18*($J18-$I18))</f>
        <v/>
      </c>
      <c r="Z18" s="30" t="n">
        <v>46212</v>
      </c>
      <c r="AA18" s="40" t="n"/>
      <c r="AB18" s="41" t="n"/>
      <c r="AC18" s="41" t="n"/>
      <c r="AD18" s="19">
        <f>IF($A18="","",IF($AA18="",$H18,$AA18))</f>
        <v/>
      </c>
      <c r="AE18" s="35">
        <f>IF($A18="","",IF($AB18="",$I18,$AB18))</f>
        <v/>
      </c>
      <c r="AF18" s="35">
        <f>IF($A18="","",IF($AC18="",$J18,$AC18))</f>
        <v/>
      </c>
      <c r="AG18" s="35">
        <f>IF(OR($U18="",$AE18="",$AF18="",$X18=""),"",$AE18+$X18*($AF18-$AE18))</f>
        <v/>
      </c>
      <c r="AH18" s="38" t="n"/>
      <c r="AI18" s="38" t="n"/>
      <c r="AJ18" s="38" t="n"/>
      <c r="AK18" s="38" t="n"/>
      <c r="AL18" s="38" t="n"/>
      <c r="AM18" s="38" t="n"/>
      <c r="AN18" s="38" t="n"/>
      <c r="AO18" s="38" t="n"/>
      <c r="AP18" s="38" t="n"/>
      <c r="AQ18" s="38" t="n"/>
      <c r="AR18" s="38" t="n"/>
      <c r="AS18" s="38" t="n"/>
      <c r="AT18" s="38" t="n"/>
      <c r="AU18" s="38" t="n"/>
      <c r="AV18" s="38" t="n"/>
      <c r="AW18" s="38" t="n"/>
      <c r="AX18" s="38" t="n"/>
      <c r="AY18" s="42" t="n"/>
      <c r="AZ18" s="42" t="n"/>
      <c r="BA18" s="42" t="n"/>
      <c r="BB18" s="42" t="n"/>
      <c r="BC18" s="42" t="n"/>
      <c r="BD18" s="37">
        <f>IF($A18="","",SUM($AY18:$BC18))</f>
        <v/>
      </c>
      <c r="BE18" s="18">
        <f>IF($A18="","",IF(AND($I18&lt;&gt;"",$J18&lt;&gt;""),MAX(1,($J18-$I18)/7),Templates!$B$35))</f>
        <v/>
      </c>
      <c r="BF18" s="18">
        <f>IF($A18="","",IF(AND($I18&lt;&gt;"",$J18&lt;&gt;""),MAX(1,($J18-$I18)/7),Templates!$B$36))</f>
        <v/>
      </c>
      <c r="BG18" s="18">
        <f>IF($A18="","",IF(AND($I18&lt;&gt;"",$J18&lt;&gt;""),MAX(1,($J18-$I18)/7),Templates!$B$37))</f>
        <v/>
      </c>
      <c r="BH18" s="18">
        <f>IF($A18="","",IF(AND($I18&lt;&gt;"",$J18&lt;&gt;""),MAX(1,($J18-$I18)/7),Templates!$B$38))</f>
        <v/>
      </c>
      <c r="BI18" s="18">
        <f>IF($A18="","",IF(AND($I18&lt;&gt;"",$J18&lt;&gt;""),MAX(1,($J18-$I18)/7),Templates!$B$39))</f>
        <v/>
      </c>
      <c r="BJ18" s="18">
        <f>IF(OR($A18="",$BD18=0),0,($AY18*Templates!$B$27/$BE18+$AZ18*Templates!$B$28/$BF18+$BA18*Templates!$B$29/$BG18+$BB18*Templates!$B$30/$BH18+$BC18*Templates!$B$31/$BI18)/Templates!$B$17)</f>
        <v/>
      </c>
      <c r="BK18" s="18">
        <f>IF(OR($A18="",$BD18=0),0,($AY18*Templates!$C$27/$BE18+$AZ18*Templates!$C$28/$BF18+$BA18*Templates!$C$29/$BG18+$BB18*Templates!$C$30/$BH18+$BC18*Templates!$C$31/$BI18)/Templates!$B$18)</f>
        <v/>
      </c>
      <c r="BL18" s="18">
        <f>IF(OR($A18="",$BD18=0),0,($AY18*Templates!$D$27/$BE18+$AZ18*Templates!$D$28/$BF18+$BA18*Templates!$D$29/$BG18+$BB18*Templates!$D$30/$BH18+$BC18*Templates!$D$31/$BI18)/Templates!$B$19)</f>
        <v/>
      </c>
      <c r="BM18" s="18">
        <f>IF(OR($A18="",$BD18=0),0,($AY18*Templates!$E$27/$BE18+$AZ18*Templates!$E$28/$BF18+$BA18*Templates!$E$29/$BG18+$BB18*Templates!$E$30/$BH18+$BC18*Templates!$E$31/$BI18)/Templates!$B$20)</f>
        <v/>
      </c>
      <c r="BN18" s="18">
        <f>IF(OR($A18="",$BD18=0),0,($AY18*Templates!$F$27/$BE18+$AZ18*Templates!$F$28/$BF18+$BA18*Templates!$F$29/$BG18+$BB18*Templates!$F$30/$BH18+$BC18*Templates!$F$31/$BI18)/Templates!$B$21)</f>
        <v/>
      </c>
      <c r="BO18" s="18">
        <f>IF(OR($A18="",$BD18=0),0,($AY18*Templates!$G$27/$BE18+$AZ18*Templates!$G$28/$BF18+$BA18*Templates!$G$29/$BG18+$BB18*Templates!$G$30/$BH18+$BC18*Templates!$G$31/$BI18)/Templates!$B$22)</f>
        <v/>
      </c>
      <c r="BP18" s="18">
        <f>IF(OR($A18="",$BD18=0),0,($AY18*Templates!$H$27/$BE18+$AZ18*Templates!$H$28/$BF18+$BA18*Templates!$H$29/$BG18+$BB18*Templates!$H$30/$BH18+$BC18*Templates!$H$31/$BI18)/Templates!$B$23)</f>
        <v/>
      </c>
    </row>
    <row r="19">
      <c r="A19" s="28" t="inlineStr">
        <is>
          <t>Blue_8</t>
        </is>
      </c>
      <c r="B19" s="20" t="inlineStr">
        <is>
          <t>Ares Management Corporation</t>
        </is>
      </c>
      <c r="C19" s="28" t="inlineStr">
        <is>
          <t>Ares Management Corporation</t>
        </is>
      </c>
      <c r="D19" s="28" t="inlineStr"/>
      <c r="E19" s="28" t="inlineStr">
        <is>
          <t>No</t>
        </is>
      </c>
      <c r="F19" s="28" t="inlineStr">
        <is>
          <t>Active</t>
        </is>
      </c>
      <c r="G19" s="38" t="n"/>
      <c r="H19" s="29" t="n">
        <v>1</v>
      </c>
      <c r="I19" s="39" t="n"/>
      <c r="J19" s="39" t="n"/>
      <c r="K19" s="31" t="n"/>
      <c r="L19" s="31" t="n"/>
      <c r="M19" s="31" t="n"/>
      <c r="N19" s="31" t="n"/>
      <c r="O19" s="31" t="n"/>
      <c r="P19" s="31" t="n"/>
      <c r="Q19" s="23">
        <f>IF($A19="","",COUNTIFS(Assignments!$C$2:$C$769,$A19,Assignments!$G$2:$G$769,"Active"))</f>
        <v/>
      </c>
      <c r="R19" s="32">
        <f>IF($A19="","",SUMIFS(Assignments!$I$2:$I$769,Assignments!$C$2:$C$769,$A19,Assignments!$G$2:$G$769,"Active"))</f>
        <v/>
      </c>
      <c r="S19" s="20" t="inlineStr">
        <is>
          <t>WIP</t>
        </is>
      </c>
      <c r="T19" s="31" t="n"/>
      <c r="U19" s="38" t="n"/>
      <c r="V19" s="34">
        <f>IF($U19="","",IFERROR(INDEX(Templates!$K$3:$K$10,MATCH($U19,Templates!$A$3:$A$10,0)),""))</f>
        <v/>
      </c>
      <c r="W19" s="34">
        <f>IF($U19="","",IFERROR(INDEX(Templates!$L$3:$L$10,MATCH($U19,Templates!$A$3:$A$10,0)),""))</f>
        <v/>
      </c>
      <c r="X19" s="21">
        <f>IF($U19="","",IFERROR(INDEX(Templates!$J$3:$J$10,MATCH($U19,Templates!$A$3:$A$10,0)),""))</f>
        <v/>
      </c>
      <c r="Y19" s="35">
        <f>IF(OR($U19="",$I19="",$J19="",$X19=""),"",$I19+$X19*($J19-$I19))</f>
        <v/>
      </c>
      <c r="Z19" s="30" t="n">
        <v>46212</v>
      </c>
      <c r="AA19" s="40" t="n"/>
      <c r="AB19" s="41" t="n"/>
      <c r="AC19" s="41" t="n"/>
      <c r="AD19" s="19">
        <f>IF($A19="","",IF($AA19="",$H19,$AA19))</f>
        <v/>
      </c>
      <c r="AE19" s="35">
        <f>IF($A19="","",IF($AB19="",$I19,$AB19))</f>
        <v/>
      </c>
      <c r="AF19" s="35">
        <f>IF($A19="","",IF($AC19="",$J19,$AC19))</f>
        <v/>
      </c>
      <c r="AG19" s="35">
        <f>IF(OR($U19="",$AE19="",$AF19="",$X19=""),"",$AE19+$X19*($AF19-$AE19))</f>
        <v/>
      </c>
      <c r="AH19" s="38" t="n"/>
      <c r="AI19" s="38" t="n"/>
      <c r="AJ19" s="38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42" t="n"/>
      <c r="AZ19" s="42" t="n"/>
      <c r="BA19" s="42" t="n"/>
      <c r="BB19" s="42" t="n"/>
      <c r="BC19" s="42" t="n"/>
      <c r="BD19" s="37">
        <f>IF($A19="","",SUM($AY19:$BC19))</f>
        <v/>
      </c>
      <c r="BE19" s="18">
        <f>IF($A19="","",IF(AND($I19&lt;&gt;"",$J19&lt;&gt;""),MAX(1,($J19-$I19)/7),Templates!$B$35))</f>
        <v/>
      </c>
      <c r="BF19" s="18">
        <f>IF($A19="","",IF(AND($I19&lt;&gt;"",$J19&lt;&gt;""),MAX(1,($J19-$I19)/7),Templates!$B$36))</f>
        <v/>
      </c>
      <c r="BG19" s="18">
        <f>IF($A19="","",IF(AND($I19&lt;&gt;"",$J19&lt;&gt;""),MAX(1,($J19-$I19)/7),Templates!$B$37))</f>
        <v/>
      </c>
      <c r="BH19" s="18">
        <f>IF($A19="","",IF(AND($I19&lt;&gt;"",$J19&lt;&gt;""),MAX(1,($J19-$I19)/7),Templates!$B$38))</f>
        <v/>
      </c>
      <c r="BI19" s="18">
        <f>IF($A19="","",IF(AND($I19&lt;&gt;"",$J19&lt;&gt;""),MAX(1,($J19-$I19)/7),Templates!$B$39))</f>
        <v/>
      </c>
      <c r="BJ19" s="18">
        <f>IF(OR($A19="",$BD19=0),0,($AY19*Templates!$B$27/$BE19+$AZ19*Templates!$B$28/$BF19+$BA19*Templates!$B$29/$BG19+$BB19*Templates!$B$30/$BH19+$BC19*Templates!$B$31/$BI19)/Templates!$B$17)</f>
        <v/>
      </c>
      <c r="BK19" s="18">
        <f>IF(OR($A19="",$BD19=0),0,($AY19*Templates!$C$27/$BE19+$AZ19*Templates!$C$28/$BF19+$BA19*Templates!$C$29/$BG19+$BB19*Templates!$C$30/$BH19+$BC19*Templates!$C$31/$BI19)/Templates!$B$18)</f>
        <v/>
      </c>
      <c r="BL19" s="18">
        <f>IF(OR($A19="",$BD19=0),0,($AY19*Templates!$D$27/$BE19+$AZ19*Templates!$D$28/$BF19+$BA19*Templates!$D$29/$BG19+$BB19*Templates!$D$30/$BH19+$BC19*Templates!$D$31/$BI19)/Templates!$B$19)</f>
        <v/>
      </c>
      <c r="BM19" s="18">
        <f>IF(OR($A19="",$BD19=0),0,($AY19*Templates!$E$27/$BE19+$AZ19*Templates!$E$28/$BF19+$BA19*Templates!$E$29/$BG19+$BB19*Templates!$E$30/$BH19+$BC19*Templates!$E$31/$BI19)/Templates!$B$20)</f>
        <v/>
      </c>
      <c r="BN19" s="18">
        <f>IF(OR($A19="",$BD19=0),0,($AY19*Templates!$F$27/$BE19+$AZ19*Templates!$F$28/$BF19+$BA19*Templates!$F$29/$BG19+$BB19*Templates!$F$30/$BH19+$BC19*Templates!$F$31/$BI19)/Templates!$B$21)</f>
        <v/>
      </c>
      <c r="BO19" s="18">
        <f>IF(OR($A19="",$BD19=0),0,($AY19*Templates!$G$27/$BE19+$AZ19*Templates!$G$28/$BF19+$BA19*Templates!$G$29/$BG19+$BB19*Templates!$G$30/$BH19+$BC19*Templates!$G$31/$BI19)/Templates!$B$22)</f>
        <v/>
      </c>
      <c r="BP19" s="18">
        <f>IF(OR($A19="",$BD19=0),0,($AY19*Templates!$H$27/$BE19+$AZ19*Templates!$H$28/$BF19+$BA19*Templates!$H$29/$BG19+$BB19*Templates!$H$30/$BH19+$BC19*Templates!$H$31/$BI19)/Templates!$B$23)</f>
        <v/>
      </c>
    </row>
    <row r="20">
      <c r="A20" s="28" t="inlineStr">
        <is>
          <t>Bocce_2</t>
        </is>
      </c>
      <c r="B20" s="20" t="inlineStr">
        <is>
          <t>Certa</t>
        </is>
      </c>
      <c r="C20" s="28" t="inlineStr">
        <is>
          <t>Certa</t>
        </is>
      </c>
      <c r="D20" s="28" t="inlineStr"/>
      <c r="E20" s="28" t="inlineStr">
        <is>
          <t>No</t>
        </is>
      </c>
      <c r="F20" s="28" t="inlineStr">
        <is>
          <t>Active</t>
        </is>
      </c>
      <c r="G20" s="38" t="n"/>
      <c r="H20" s="29" t="n">
        <v>1</v>
      </c>
      <c r="I20" s="39" t="n"/>
      <c r="J20" s="39" t="n"/>
      <c r="K20" s="31" t="n"/>
      <c r="L20" s="31" t="n"/>
      <c r="M20" s="31" t="n"/>
      <c r="N20" s="31" t="n"/>
      <c r="O20" s="31" t="n"/>
      <c r="P20" s="31" t="n"/>
      <c r="Q20" s="23">
        <f>IF($A20="","",COUNTIFS(Assignments!$C$2:$C$769,$A20,Assignments!$G$2:$G$769,"Active"))</f>
        <v/>
      </c>
      <c r="R20" s="32">
        <f>IF($A20="","",SUMIFS(Assignments!$I$2:$I$769,Assignments!$C$2:$C$769,$A20,Assignments!$G$2:$G$769,"Active"))</f>
        <v/>
      </c>
      <c r="S20" s="20" t="inlineStr">
        <is>
          <t>WIP</t>
        </is>
      </c>
      <c r="T20" s="31" t="n"/>
      <c r="U20" s="38" t="n"/>
      <c r="V20" s="34">
        <f>IF($U20="","",IFERROR(INDEX(Templates!$K$3:$K$10,MATCH($U20,Templates!$A$3:$A$10,0)),""))</f>
        <v/>
      </c>
      <c r="W20" s="34">
        <f>IF($U20="","",IFERROR(INDEX(Templates!$L$3:$L$10,MATCH($U20,Templates!$A$3:$A$10,0)),""))</f>
        <v/>
      </c>
      <c r="X20" s="21">
        <f>IF($U20="","",IFERROR(INDEX(Templates!$J$3:$J$10,MATCH($U20,Templates!$A$3:$A$10,0)),""))</f>
        <v/>
      </c>
      <c r="Y20" s="35">
        <f>IF(OR($U20="",$I20="",$J20="",$X20=""),"",$I20+$X20*($J20-$I20))</f>
        <v/>
      </c>
      <c r="Z20" s="30" t="n">
        <v>46212</v>
      </c>
      <c r="AA20" s="40" t="n"/>
      <c r="AB20" s="41" t="n"/>
      <c r="AC20" s="41" t="n"/>
      <c r="AD20" s="19">
        <f>IF($A20="","",IF($AA20="",$H20,$AA20))</f>
        <v/>
      </c>
      <c r="AE20" s="35">
        <f>IF($A20="","",IF($AB20="",$I20,$AB20))</f>
        <v/>
      </c>
      <c r="AF20" s="35">
        <f>IF($A20="","",IF($AC20="",$J20,$AC20))</f>
        <v/>
      </c>
      <c r="AG20" s="35">
        <f>IF(OR($U20="",$AE20="",$AF20="",$X20=""),"",$AE20+$X20*($AF20-$AE20))</f>
        <v/>
      </c>
      <c r="AH20" s="38" t="n"/>
      <c r="AI20" s="38" t="n"/>
      <c r="AJ20" s="38" t="n"/>
      <c r="AK20" s="38" t="n"/>
      <c r="AL20" s="38" t="n"/>
      <c r="AM20" s="38" t="n"/>
      <c r="AN20" s="38" t="n"/>
      <c r="AO20" s="38" t="n"/>
      <c r="AP20" s="38" t="n"/>
      <c r="AQ20" s="38" t="n"/>
      <c r="AR20" s="38" t="n"/>
      <c r="AS20" s="38" t="n"/>
      <c r="AT20" s="38" t="n"/>
      <c r="AU20" s="38" t="n"/>
      <c r="AV20" s="38" t="n"/>
      <c r="AW20" s="38" t="n"/>
      <c r="AX20" s="38" t="n"/>
      <c r="AY20" s="42" t="n"/>
      <c r="AZ20" s="42" t="n"/>
      <c r="BA20" s="42" t="n"/>
      <c r="BB20" s="42" t="n"/>
      <c r="BC20" s="42" t="n"/>
      <c r="BD20" s="37">
        <f>IF($A20="","",SUM($AY20:$BC20))</f>
        <v/>
      </c>
      <c r="BE20" s="18">
        <f>IF($A20="","",IF(AND($I20&lt;&gt;"",$J20&lt;&gt;""),MAX(1,($J20-$I20)/7),Templates!$B$35))</f>
        <v/>
      </c>
      <c r="BF20" s="18">
        <f>IF($A20="","",IF(AND($I20&lt;&gt;"",$J20&lt;&gt;""),MAX(1,($J20-$I20)/7),Templates!$B$36))</f>
        <v/>
      </c>
      <c r="BG20" s="18">
        <f>IF($A20="","",IF(AND($I20&lt;&gt;"",$J20&lt;&gt;""),MAX(1,($J20-$I20)/7),Templates!$B$37))</f>
        <v/>
      </c>
      <c r="BH20" s="18">
        <f>IF($A20="","",IF(AND($I20&lt;&gt;"",$J20&lt;&gt;""),MAX(1,($J20-$I20)/7),Templates!$B$38))</f>
        <v/>
      </c>
      <c r="BI20" s="18">
        <f>IF($A20="","",IF(AND($I20&lt;&gt;"",$J20&lt;&gt;""),MAX(1,($J20-$I20)/7),Templates!$B$39))</f>
        <v/>
      </c>
      <c r="BJ20" s="18">
        <f>IF(OR($A20="",$BD20=0),0,($AY20*Templates!$B$27/$BE20+$AZ20*Templates!$B$28/$BF20+$BA20*Templates!$B$29/$BG20+$BB20*Templates!$B$30/$BH20+$BC20*Templates!$B$31/$BI20)/Templates!$B$17)</f>
        <v/>
      </c>
      <c r="BK20" s="18">
        <f>IF(OR($A20="",$BD20=0),0,($AY20*Templates!$C$27/$BE20+$AZ20*Templates!$C$28/$BF20+$BA20*Templates!$C$29/$BG20+$BB20*Templates!$C$30/$BH20+$BC20*Templates!$C$31/$BI20)/Templates!$B$18)</f>
        <v/>
      </c>
      <c r="BL20" s="18">
        <f>IF(OR($A20="",$BD20=0),0,($AY20*Templates!$D$27/$BE20+$AZ20*Templates!$D$28/$BF20+$BA20*Templates!$D$29/$BG20+$BB20*Templates!$D$30/$BH20+$BC20*Templates!$D$31/$BI20)/Templates!$B$19)</f>
        <v/>
      </c>
      <c r="BM20" s="18">
        <f>IF(OR($A20="",$BD20=0),0,($AY20*Templates!$E$27/$BE20+$AZ20*Templates!$E$28/$BF20+$BA20*Templates!$E$29/$BG20+$BB20*Templates!$E$30/$BH20+$BC20*Templates!$E$31/$BI20)/Templates!$B$20)</f>
        <v/>
      </c>
      <c r="BN20" s="18">
        <f>IF(OR($A20="",$BD20=0),0,($AY20*Templates!$F$27/$BE20+$AZ20*Templates!$F$28/$BF20+$BA20*Templates!$F$29/$BG20+$BB20*Templates!$F$30/$BH20+$BC20*Templates!$F$31/$BI20)/Templates!$B$21)</f>
        <v/>
      </c>
      <c r="BO20" s="18">
        <f>IF(OR($A20="",$BD20=0),0,($AY20*Templates!$G$27/$BE20+$AZ20*Templates!$G$28/$BF20+$BA20*Templates!$G$29/$BG20+$BB20*Templates!$G$30/$BH20+$BC20*Templates!$G$31/$BI20)/Templates!$B$22)</f>
        <v/>
      </c>
      <c r="BP20" s="18">
        <f>IF(OR($A20="",$BD20=0),0,($AY20*Templates!$H$27/$BE20+$AZ20*Templates!$H$28/$BF20+$BA20*Templates!$H$29/$BG20+$BB20*Templates!$H$30/$BH20+$BC20*Templates!$H$31/$BI20)/Templates!$B$23)</f>
        <v/>
      </c>
    </row>
    <row r="21">
      <c r="A21" s="28" t="inlineStr">
        <is>
          <t>Bolt_2</t>
        </is>
      </c>
      <c r="B21" s="20" t="inlineStr">
        <is>
          <t>Brookfield</t>
        </is>
      </c>
      <c r="C21" s="28" t="inlineStr">
        <is>
          <t>Brookfield</t>
        </is>
      </c>
      <c r="D21" s="28" t="inlineStr"/>
      <c r="E21" s="28" t="inlineStr">
        <is>
          <t>No</t>
        </is>
      </c>
      <c r="F21" s="28" t="inlineStr">
        <is>
          <t>Active</t>
        </is>
      </c>
      <c r="G21" s="38" t="n"/>
      <c r="H21" s="29" t="n">
        <v>1</v>
      </c>
      <c r="I21" s="39" t="n"/>
      <c r="J21" s="39" t="n"/>
      <c r="K21" s="31" t="n"/>
      <c r="L21" s="31" t="n"/>
      <c r="M21" s="31" t="n"/>
      <c r="N21" s="31" t="n"/>
      <c r="O21" s="31" t="n"/>
      <c r="P21" s="31" t="n"/>
      <c r="Q21" s="23">
        <f>IF($A21="","",COUNTIFS(Assignments!$C$2:$C$769,$A21,Assignments!$G$2:$G$769,"Active"))</f>
        <v/>
      </c>
      <c r="R21" s="32">
        <f>IF($A21="","",SUMIFS(Assignments!$I$2:$I$769,Assignments!$C$2:$C$769,$A21,Assignments!$G$2:$G$769,"Active"))</f>
        <v/>
      </c>
      <c r="S21" s="20" t="inlineStr">
        <is>
          <t>Summary tab only (WIP)</t>
        </is>
      </c>
      <c r="T21" s="31" t="n"/>
      <c r="U21" s="38" t="n"/>
      <c r="V21" s="34">
        <f>IF($U21="","",IFERROR(INDEX(Templates!$K$3:$K$10,MATCH($U21,Templates!$A$3:$A$10,0)),""))</f>
        <v/>
      </c>
      <c r="W21" s="34">
        <f>IF($U21="","",IFERROR(INDEX(Templates!$L$3:$L$10,MATCH($U21,Templates!$A$3:$A$10,0)),""))</f>
        <v/>
      </c>
      <c r="X21" s="21">
        <f>IF($U21="","",IFERROR(INDEX(Templates!$J$3:$J$10,MATCH($U21,Templates!$A$3:$A$10,0)),""))</f>
        <v/>
      </c>
      <c r="Y21" s="35">
        <f>IF(OR($U21="",$I21="",$J21="",$X21=""),"",$I21+$X21*($J21-$I21))</f>
        <v/>
      </c>
      <c r="Z21" s="30" t="n">
        <v>46212</v>
      </c>
      <c r="AA21" s="40" t="n"/>
      <c r="AB21" s="41" t="n"/>
      <c r="AC21" s="41" t="n"/>
      <c r="AD21" s="19">
        <f>IF($A21="","",IF($AA21="",$H21,$AA21))</f>
        <v/>
      </c>
      <c r="AE21" s="35">
        <f>IF($A21="","",IF($AB21="",$I21,$AB21))</f>
        <v/>
      </c>
      <c r="AF21" s="35">
        <f>IF($A21="","",IF($AC21="",$J21,$AC21))</f>
        <v/>
      </c>
      <c r="AG21" s="35">
        <f>IF(OR($U21="",$AE21="",$AF21="",$X21=""),"",$AE21+$X21*($AF21-$AE21))</f>
        <v/>
      </c>
      <c r="AH21" s="38" t="n"/>
      <c r="AI21" s="38" t="n"/>
      <c r="AJ21" s="38" t="n"/>
      <c r="AK21" s="38" t="n"/>
      <c r="AL21" s="38" t="n"/>
      <c r="AM21" s="38" t="n"/>
      <c r="AN21" s="38" t="n"/>
      <c r="AO21" s="38" t="n"/>
      <c r="AP21" s="38" t="n"/>
      <c r="AQ21" s="38" t="n"/>
      <c r="AR21" s="38" t="n"/>
      <c r="AS21" s="38" t="n"/>
      <c r="AT21" s="38" t="n"/>
      <c r="AU21" s="38" t="n"/>
      <c r="AV21" s="38" t="n"/>
      <c r="AW21" s="38" t="n"/>
      <c r="AX21" s="38" t="n"/>
      <c r="AY21" s="42" t="n"/>
      <c r="AZ21" s="42" t="n"/>
      <c r="BA21" s="42" t="n"/>
      <c r="BB21" s="42" t="n"/>
      <c r="BC21" s="42" t="n"/>
      <c r="BD21" s="37">
        <f>IF($A21="","",SUM($AY21:$BC21))</f>
        <v/>
      </c>
      <c r="BE21" s="18">
        <f>IF($A21="","",IF(AND($I21&lt;&gt;"",$J21&lt;&gt;""),MAX(1,($J21-$I21)/7),Templates!$B$35))</f>
        <v/>
      </c>
      <c r="BF21" s="18">
        <f>IF($A21="","",IF(AND($I21&lt;&gt;"",$J21&lt;&gt;""),MAX(1,($J21-$I21)/7),Templates!$B$36))</f>
        <v/>
      </c>
      <c r="BG21" s="18">
        <f>IF($A21="","",IF(AND($I21&lt;&gt;"",$J21&lt;&gt;""),MAX(1,($J21-$I21)/7),Templates!$B$37))</f>
        <v/>
      </c>
      <c r="BH21" s="18">
        <f>IF($A21="","",IF(AND($I21&lt;&gt;"",$J21&lt;&gt;""),MAX(1,($J21-$I21)/7),Templates!$B$38))</f>
        <v/>
      </c>
      <c r="BI21" s="18">
        <f>IF($A21="","",IF(AND($I21&lt;&gt;"",$J21&lt;&gt;""),MAX(1,($J21-$I21)/7),Templates!$B$39))</f>
        <v/>
      </c>
      <c r="BJ21" s="18">
        <f>IF(OR($A21="",$BD21=0),0,($AY21*Templates!$B$27/$BE21+$AZ21*Templates!$B$28/$BF21+$BA21*Templates!$B$29/$BG21+$BB21*Templates!$B$30/$BH21+$BC21*Templates!$B$31/$BI21)/Templates!$B$17)</f>
        <v/>
      </c>
      <c r="BK21" s="18">
        <f>IF(OR($A21="",$BD21=0),0,($AY21*Templates!$C$27/$BE21+$AZ21*Templates!$C$28/$BF21+$BA21*Templates!$C$29/$BG21+$BB21*Templates!$C$30/$BH21+$BC21*Templates!$C$31/$BI21)/Templates!$B$18)</f>
        <v/>
      </c>
      <c r="BL21" s="18">
        <f>IF(OR($A21="",$BD21=0),0,($AY21*Templates!$D$27/$BE21+$AZ21*Templates!$D$28/$BF21+$BA21*Templates!$D$29/$BG21+$BB21*Templates!$D$30/$BH21+$BC21*Templates!$D$31/$BI21)/Templates!$B$19)</f>
        <v/>
      </c>
      <c r="BM21" s="18">
        <f>IF(OR($A21="",$BD21=0),0,($AY21*Templates!$E$27/$BE21+$AZ21*Templates!$E$28/$BF21+$BA21*Templates!$E$29/$BG21+$BB21*Templates!$E$30/$BH21+$BC21*Templates!$E$31/$BI21)/Templates!$B$20)</f>
        <v/>
      </c>
      <c r="BN21" s="18">
        <f>IF(OR($A21="",$BD21=0),0,($AY21*Templates!$F$27/$BE21+$AZ21*Templates!$F$28/$BF21+$BA21*Templates!$F$29/$BG21+$BB21*Templates!$F$30/$BH21+$BC21*Templates!$F$31/$BI21)/Templates!$B$21)</f>
        <v/>
      </c>
      <c r="BO21" s="18">
        <f>IF(OR($A21="",$BD21=0),0,($AY21*Templates!$G$27/$BE21+$AZ21*Templates!$G$28/$BF21+$BA21*Templates!$G$29/$BG21+$BB21*Templates!$G$30/$BH21+$BC21*Templates!$G$31/$BI21)/Templates!$B$22)</f>
        <v/>
      </c>
      <c r="BP21" s="18">
        <f>IF(OR($A21="",$BD21=0),0,($AY21*Templates!$H$27/$BE21+$AZ21*Templates!$H$28/$BF21+$BA21*Templates!$H$29/$BG21+$BB21*Templates!$H$30/$BH21+$BC21*Templates!$H$31/$BI21)/Templates!$B$23)</f>
        <v/>
      </c>
    </row>
    <row r="22">
      <c r="A22" s="28" t="inlineStr">
        <is>
          <t>BPF_1</t>
        </is>
      </c>
      <c r="B22" s="20" t="inlineStr">
        <is>
          <t>BPF Acquisition Co Series 11, LLC</t>
        </is>
      </c>
      <c r="C22" s="28" t="inlineStr">
        <is>
          <t>BPF Acquisition Co Series 11, LLC</t>
        </is>
      </c>
      <c r="D22" s="28" t="inlineStr"/>
      <c r="E22" s="28" t="inlineStr">
        <is>
          <t>No</t>
        </is>
      </c>
      <c r="F22" s="28" t="inlineStr">
        <is>
          <t>Active</t>
        </is>
      </c>
      <c r="G22" s="38" t="n"/>
      <c r="H22" s="29" t="n">
        <v>1</v>
      </c>
      <c r="I22" s="39" t="n"/>
      <c r="J22" s="39" t="n"/>
      <c r="K22" s="31" t="n"/>
      <c r="L22" s="31" t="n"/>
      <c r="M22" s="31" t="n"/>
      <c r="N22" s="31" t="n"/>
      <c r="O22" s="31" t="n"/>
      <c r="P22" s="31" t="n"/>
      <c r="Q22" s="23">
        <f>IF($A22="","",COUNTIFS(Assignments!$C$2:$C$769,$A22,Assignments!$G$2:$G$769,"Active"))</f>
        <v/>
      </c>
      <c r="R22" s="32">
        <f>IF($A22="","",SUMIFS(Assignments!$I$2:$I$769,Assignments!$C$2:$C$769,$A22,Assignments!$G$2:$G$769,"Active"))</f>
        <v/>
      </c>
      <c r="S22" s="20" t="inlineStr">
        <is>
          <t>WIP</t>
        </is>
      </c>
      <c r="T22" s="31" t="n"/>
      <c r="U22" s="38" t="n"/>
      <c r="V22" s="34">
        <f>IF($U22="","",IFERROR(INDEX(Templates!$K$3:$K$10,MATCH($U22,Templates!$A$3:$A$10,0)),""))</f>
        <v/>
      </c>
      <c r="W22" s="34">
        <f>IF($U22="","",IFERROR(INDEX(Templates!$L$3:$L$10,MATCH($U22,Templates!$A$3:$A$10,0)),""))</f>
        <v/>
      </c>
      <c r="X22" s="21">
        <f>IF($U22="","",IFERROR(INDEX(Templates!$J$3:$J$10,MATCH($U22,Templates!$A$3:$A$10,0)),""))</f>
        <v/>
      </c>
      <c r="Y22" s="35">
        <f>IF(OR($U22="",$I22="",$J22="",$X22=""),"",$I22+$X22*($J22-$I22))</f>
        <v/>
      </c>
      <c r="Z22" s="30" t="n">
        <v>46212</v>
      </c>
      <c r="AA22" s="40" t="n"/>
      <c r="AB22" s="41" t="n"/>
      <c r="AC22" s="41" t="n"/>
      <c r="AD22" s="19">
        <f>IF($A22="","",IF($AA22="",$H22,$AA22))</f>
        <v/>
      </c>
      <c r="AE22" s="35">
        <f>IF($A22="","",IF($AB22="",$I22,$AB22))</f>
        <v/>
      </c>
      <c r="AF22" s="35">
        <f>IF($A22="","",IF($AC22="",$J22,$AC22))</f>
        <v/>
      </c>
      <c r="AG22" s="35">
        <f>IF(OR($U22="",$AE22="",$AF22="",$X22=""),"",$AE22+$X22*($AF22-$AE22))</f>
        <v/>
      </c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42" t="n"/>
      <c r="AZ22" s="42" t="n"/>
      <c r="BA22" s="42" t="n"/>
      <c r="BB22" s="42" t="n"/>
      <c r="BC22" s="42" t="n"/>
      <c r="BD22" s="37">
        <f>IF($A22="","",SUM($AY22:$BC22))</f>
        <v/>
      </c>
      <c r="BE22" s="18">
        <f>IF($A22="","",IF(AND($I22&lt;&gt;"",$J22&lt;&gt;""),MAX(1,($J22-$I22)/7),Templates!$B$35))</f>
        <v/>
      </c>
      <c r="BF22" s="18">
        <f>IF($A22="","",IF(AND($I22&lt;&gt;"",$J22&lt;&gt;""),MAX(1,($J22-$I22)/7),Templates!$B$36))</f>
        <v/>
      </c>
      <c r="BG22" s="18">
        <f>IF($A22="","",IF(AND($I22&lt;&gt;"",$J22&lt;&gt;""),MAX(1,($J22-$I22)/7),Templates!$B$37))</f>
        <v/>
      </c>
      <c r="BH22" s="18">
        <f>IF($A22="","",IF(AND($I22&lt;&gt;"",$J22&lt;&gt;""),MAX(1,($J22-$I22)/7),Templates!$B$38))</f>
        <v/>
      </c>
      <c r="BI22" s="18">
        <f>IF($A22="","",IF(AND($I22&lt;&gt;"",$J22&lt;&gt;""),MAX(1,($J22-$I22)/7),Templates!$B$39))</f>
        <v/>
      </c>
      <c r="BJ22" s="18">
        <f>IF(OR($A22="",$BD22=0),0,($AY22*Templates!$B$27/$BE22+$AZ22*Templates!$B$28/$BF22+$BA22*Templates!$B$29/$BG22+$BB22*Templates!$B$30/$BH22+$BC22*Templates!$B$31/$BI22)/Templates!$B$17)</f>
        <v/>
      </c>
      <c r="BK22" s="18">
        <f>IF(OR($A22="",$BD22=0),0,($AY22*Templates!$C$27/$BE22+$AZ22*Templates!$C$28/$BF22+$BA22*Templates!$C$29/$BG22+$BB22*Templates!$C$30/$BH22+$BC22*Templates!$C$31/$BI22)/Templates!$B$18)</f>
        <v/>
      </c>
      <c r="BL22" s="18">
        <f>IF(OR($A22="",$BD22=0),0,($AY22*Templates!$D$27/$BE22+$AZ22*Templates!$D$28/$BF22+$BA22*Templates!$D$29/$BG22+$BB22*Templates!$D$30/$BH22+$BC22*Templates!$D$31/$BI22)/Templates!$B$19)</f>
        <v/>
      </c>
      <c r="BM22" s="18">
        <f>IF(OR($A22="",$BD22=0),0,($AY22*Templates!$E$27/$BE22+$AZ22*Templates!$E$28/$BF22+$BA22*Templates!$E$29/$BG22+$BB22*Templates!$E$30/$BH22+$BC22*Templates!$E$31/$BI22)/Templates!$B$20)</f>
        <v/>
      </c>
      <c r="BN22" s="18">
        <f>IF(OR($A22="",$BD22=0),0,($AY22*Templates!$F$27/$BE22+$AZ22*Templates!$F$28/$BF22+$BA22*Templates!$F$29/$BG22+$BB22*Templates!$F$30/$BH22+$BC22*Templates!$F$31/$BI22)/Templates!$B$21)</f>
        <v/>
      </c>
      <c r="BO22" s="18">
        <f>IF(OR($A22="",$BD22=0),0,($AY22*Templates!$G$27/$BE22+$AZ22*Templates!$G$28/$BF22+$BA22*Templates!$G$29/$BG22+$BB22*Templates!$G$30/$BH22+$BC22*Templates!$G$31/$BI22)/Templates!$B$22)</f>
        <v/>
      </c>
      <c r="BP22" s="18">
        <f>IF(OR($A22="",$BD22=0),0,($AY22*Templates!$H$27/$BE22+$AZ22*Templates!$H$28/$BF22+$BA22*Templates!$H$29/$BG22+$BB22*Templates!$H$30/$BH22+$BC22*Templates!$H$31/$BI22)/Templates!$B$23)</f>
        <v/>
      </c>
    </row>
    <row r="23">
      <c r="A23" s="28" t="inlineStr">
        <is>
          <t>BPF_2</t>
        </is>
      </c>
      <c r="B23" s="20" t="inlineStr">
        <is>
          <t>BPF Acquisition Co Series 11, LLC</t>
        </is>
      </c>
      <c r="C23" s="28" t="inlineStr">
        <is>
          <t>BPF Acquisition Co Series 11, LLC</t>
        </is>
      </c>
      <c r="D23" s="28" t="inlineStr"/>
      <c r="E23" s="28" t="inlineStr">
        <is>
          <t>No</t>
        </is>
      </c>
      <c r="F23" s="28" t="inlineStr">
        <is>
          <t>Active</t>
        </is>
      </c>
      <c r="G23" s="38" t="n"/>
      <c r="H23" s="29" t="n">
        <v>1</v>
      </c>
      <c r="I23" s="39" t="n"/>
      <c r="J23" s="39" t="n"/>
      <c r="K23" s="31" t="n"/>
      <c r="L23" s="31" t="n"/>
      <c r="M23" s="31" t="n"/>
      <c r="N23" s="31" t="n"/>
      <c r="O23" s="31" t="n"/>
      <c r="P23" s="31" t="n"/>
      <c r="Q23" s="23">
        <f>IF($A23="","",COUNTIFS(Assignments!$C$2:$C$769,$A23,Assignments!$G$2:$G$769,"Active"))</f>
        <v/>
      </c>
      <c r="R23" s="32">
        <f>IF($A23="","",SUMIFS(Assignments!$I$2:$I$769,Assignments!$C$2:$C$769,$A23,Assignments!$G$2:$G$769,"Active"))</f>
        <v/>
      </c>
      <c r="S23" s="20" t="inlineStr">
        <is>
          <t>WIP</t>
        </is>
      </c>
      <c r="T23" s="31" t="n"/>
      <c r="U23" s="38" t="n"/>
      <c r="V23" s="34">
        <f>IF($U23="","",IFERROR(INDEX(Templates!$K$3:$K$10,MATCH($U23,Templates!$A$3:$A$10,0)),""))</f>
        <v/>
      </c>
      <c r="W23" s="34">
        <f>IF($U23="","",IFERROR(INDEX(Templates!$L$3:$L$10,MATCH($U23,Templates!$A$3:$A$10,0)),""))</f>
        <v/>
      </c>
      <c r="X23" s="21">
        <f>IF($U23="","",IFERROR(INDEX(Templates!$J$3:$J$10,MATCH($U23,Templates!$A$3:$A$10,0)),""))</f>
        <v/>
      </c>
      <c r="Y23" s="35">
        <f>IF(OR($U23="",$I23="",$J23="",$X23=""),"",$I23+$X23*($J23-$I23))</f>
        <v/>
      </c>
      <c r="Z23" s="30" t="n">
        <v>46212</v>
      </c>
      <c r="AA23" s="40" t="n"/>
      <c r="AB23" s="41" t="n"/>
      <c r="AC23" s="41" t="n"/>
      <c r="AD23" s="19">
        <f>IF($A23="","",IF($AA23="",$H23,$AA23))</f>
        <v/>
      </c>
      <c r="AE23" s="35">
        <f>IF($A23="","",IF($AB23="",$I23,$AB23))</f>
        <v/>
      </c>
      <c r="AF23" s="35">
        <f>IF($A23="","",IF($AC23="",$J23,$AC23))</f>
        <v/>
      </c>
      <c r="AG23" s="35">
        <f>IF(OR($U23="",$AE23="",$AF23="",$X23=""),"",$AE23+$X23*($AF23-$AE23))</f>
        <v/>
      </c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42" t="n"/>
      <c r="AZ23" s="42" t="n"/>
      <c r="BA23" s="42" t="n"/>
      <c r="BB23" s="42" t="n"/>
      <c r="BC23" s="42" t="n"/>
      <c r="BD23" s="37">
        <f>IF($A23="","",SUM($AY23:$BC23))</f>
        <v/>
      </c>
      <c r="BE23" s="18">
        <f>IF($A23="","",IF(AND($I23&lt;&gt;"",$J23&lt;&gt;""),MAX(1,($J23-$I23)/7),Templates!$B$35))</f>
        <v/>
      </c>
      <c r="BF23" s="18">
        <f>IF($A23="","",IF(AND($I23&lt;&gt;"",$J23&lt;&gt;""),MAX(1,($J23-$I23)/7),Templates!$B$36))</f>
        <v/>
      </c>
      <c r="BG23" s="18">
        <f>IF($A23="","",IF(AND($I23&lt;&gt;"",$J23&lt;&gt;""),MAX(1,($J23-$I23)/7),Templates!$B$37))</f>
        <v/>
      </c>
      <c r="BH23" s="18">
        <f>IF($A23="","",IF(AND($I23&lt;&gt;"",$J23&lt;&gt;""),MAX(1,($J23-$I23)/7),Templates!$B$38))</f>
        <v/>
      </c>
      <c r="BI23" s="18">
        <f>IF($A23="","",IF(AND($I23&lt;&gt;"",$J23&lt;&gt;""),MAX(1,($J23-$I23)/7),Templates!$B$39))</f>
        <v/>
      </c>
      <c r="BJ23" s="18">
        <f>IF(OR($A23="",$BD23=0),0,($AY23*Templates!$B$27/$BE23+$AZ23*Templates!$B$28/$BF23+$BA23*Templates!$B$29/$BG23+$BB23*Templates!$B$30/$BH23+$BC23*Templates!$B$31/$BI23)/Templates!$B$17)</f>
        <v/>
      </c>
      <c r="BK23" s="18">
        <f>IF(OR($A23="",$BD23=0),0,($AY23*Templates!$C$27/$BE23+$AZ23*Templates!$C$28/$BF23+$BA23*Templates!$C$29/$BG23+$BB23*Templates!$C$30/$BH23+$BC23*Templates!$C$31/$BI23)/Templates!$B$18)</f>
        <v/>
      </c>
      <c r="BL23" s="18">
        <f>IF(OR($A23="",$BD23=0),0,($AY23*Templates!$D$27/$BE23+$AZ23*Templates!$D$28/$BF23+$BA23*Templates!$D$29/$BG23+$BB23*Templates!$D$30/$BH23+$BC23*Templates!$D$31/$BI23)/Templates!$B$19)</f>
        <v/>
      </c>
      <c r="BM23" s="18">
        <f>IF(OR($A23="",$BD23=0),0,($AY23*Templates!$E$27/$BE23+$AZ23*Templates!$E$28/$BF23+$BA23*Templates!$E$29/$BG23+$BB23*Templates!$E$30/$BH23+$BC23*Templates!$E$31/$BI23)/Templates!$B$20)</f>
        <v/>
      </c>
      <c r="BN23" s="18">
        <f>IF(OR($A23="",$BD23=0),0,($AY23*Templates!$F$27/$BE23+$AZ23*Templates!$F$28/$BF23+$BA23*Templates!$F$29/$BG23+$BB23*Templates!$F$30/$BH23+$BC23*Templates!$F$31/$BI23)/Templates!$B$21)</f>
        <v/>
      </c>
      <c r="BO23" s="18">
        <f>IF(OR($A23="",$BD23=0),0,($AY23*Templates!$G$27/$BE23+$AZ23*Templates!$G$28/$BF23+$BA23*Templates!$G$29/$BG23+$BB23*Templates!$G$30/$BH23+$BC23*Templates!$G$31/$BI23)/Templates!$B$22)</f>
        <v/>
      </c>
      <c r="BP23" s="18">
        <f>IF(OR($A23="",$BD23=0),0,($AY23*Templates!$H$27/$BE23+$AZ23*Templates!$H$28/$BF23+$BA23*Templates!$H$29/$BG23+$BB23*Templates!$H$30/$BH23+$BC23*Templates!$H$31/$BI23)/Templates!$B$23)</f>
        <v/>
      </c>
    </row>
    <row r="24">
      <c r="A24" s="28" t="inlineStr">
        <is>
          <t>Brass_2</t>
        </is>
      </c>
      <c r="B24" s="20" t="inlineStr">
        <is>
          <t>BlueChip Underwriting Services</t>
        </is>
      </c>
      <c r="C24" s="28" t="inlineStr">
        <is>
          <t>BlueChip Underwriting Services</t>
        </is>
      </c>
      <c r="D24" s="28" t="inlineStr"/>
      <c r="E24" s="28" t="inlineStr">
        <is>
          <t>No</t>
        </is>
      </c>
      <c r="F24" s="28" t="inlineStr">
        <is>
          <t>Active</t>
        </is>
      </c>
      <c r="G24" s="38" t="n"/>
      <c r="H24" s="29" t="n">
        <v>1</v>
      </c>
      <c r="I24" s="39" t="n"/>
      <c r="J24" s="39" t="n"/>
      <c r="K24" s="31" t="n"/>
      <c r="L24" s="31" t="n"/>
      <c r="M24" s="31" t="n"/>
      <c r="N24" s="31" t="n"/>
      <c r="O24" s="31" t="n"/>
      <c r="P24" s="31" t="n"/>
      <c r="Q24" s="23">
        <f>IF($A24="","",COUNTIFS(Assignments!$C$2:$C$769,$A24,Assignments!$G$2:$G$769,"Active"))</f>
        <v/>
      </c>
      <c r="R24" s="32">
        <f>IF($A24="","",SUMIFS(Assignments!$I$2:$I$769,Assignments!$C$2:$C$769,$A24,Assignments!$G$2:$G$769,"Active"))</f>
        <v/>
      </c>
      <c r="S24" s="20" t="inlineStr">
        <is>
          <t>WIP</t>
        </is>
      </c>
      <c r="T24" s="31" t="n"/>
      <c r="U24" s="38" t="n"/>
      <c r="V24" s="34">
        <f>IF($U24="","",IFERROR(INDEX(Templates!$K$3:$K$10,MATCH($U24,Templates!$A$3:$A$10,0)),""))</f>
        <v/>
      </c>
      <c r="W24" s="34">
        <f>IF($U24="","",IFERROR(INDEX(Templates!$L$3:$L$10,MATCH($U24,Templates!$A$3:$A$10,0)),""))</f>
        <v/>
      </c>
      <c r="X24" s="21">
        <f>IF($U24="","",IFERROR(INDEX(Templates!$J$3:$J$10,MATCH($U24,Templates!$A$3:$A$10,0)),""))</f>
        <v/>
      </c>
      <c r="Y24" s="35">
        <f>IF(OR($U24="",$I24="",$J24="",$X24=""),"",$I24+$X24*($J24-$I24))</f>
        <v/>
      </c>
      <c r="Z24" s="30" t="n">
        <v>46212</v>
      </c>
      <c r="AA24" s="40" t="n"/>
      <c r="AB24" s="41" t="n"/>
      <c r="AC24" s="41" t="n"/>
      <c r="AD24" s="19">
        <f>IF($A24="","",IF($AA24="",$H24,$AA24))</f>
        <v/>
      </c>
      <c r="AE24" s="35">
        <f>IF($A24="","",IF($AB24="",$I24,$AB24))</f>
        <v/>
      </c>
      <c r="AF24" s="35">
        <f>IF($A24="","",IF($AC24="",$J24,$AC24))</f>
        <v/>
      </c>
      <c r="AG24" s="35">
        <f>IF(OR($U24="",$AE24="",$AF24="",$X24=""),"",$AE24+$X24*($AF24-$AE24))</f>
        <v/>
      </c>
      <c r="AH24" s="38" t="n"/>
      <c r="AI24" s="38" t="n"/>
      <c r="AJ24" s="38" t="n"/>
      <c r="AK24" s="38" t="n"/>
      <c r="AL24" s="38" t="n"/>
      <c r="AM24" s="38" t="n"/>
      <c r="AN24" s="38" t="n"/>
      <c r="AO24" s="38" t="n"/>
      <c r="AP24" s="38" t="n"/>
      <c r="AQ24" s="38" t="n"/>
      <c r="AR24" s="38" t="n"/>
      <c r="AS24" s="38" t="n"/>
      <c r="AT24" s="38" t="n"/>
      <c r="AU24" s="38" t="n"/>
      <c r="AV24" s="38" t="n"/>
      <c r="AW24" s="38" t="n"/>
      <c r="AX24" s="38" t="n"/>
      <c r="AY24" s="42" t="n"/>
      <c r="AZ24" s="42" t="n"/>
      <c r="BA24" s="42" t="n"/>
      <c r="BB24" s="42" t="n"/>
      <c r="BC24" s="42" t="n"/>
      <c r="BD24" s="37">
        <f>IF($A24="","",SUM($AY24:$BC24))</f>
        <v/>
      </c>
      <c r="BE24" s="18">
        <f>IF($A24="","",IF(AND($I24&lt;&gt;"",$J24&lt;&gt;""),MAX(1,($J24-$I24)/7),Templates!$B$35))</f>
        <v/>
      </c>
      <c r="BF24" s="18">
        <f>IF($A24="","",IF(AND($I24&lt;&gt;"",$J24&lt;&gt;""),MAX(1,($J24-$I24)/7),Templates!$B$36))</f>
        <v/>
      </c>
      <c r="BG24" s="18">
        <f>IF($A24="","",IF(AND($I24&lt;&gt;"",$J24&lt;&gt;""),MAX(1,($J24-$I24)/7),Templates!$B$37))</f>
        <v/>
      </c>
      <c r="BH24" s="18">
        <f>IF($A24="","",IF(AND($I24&lt;&gt;"",$J24&lt;&gt;""),MAX(1,($J24-$I24)/7),Templates!$B$38))</f>
        <v/>
      </c>
      <c r="BI24" s="18">
        <f>IF($A24="","",IF(AND($I24&lt;&gt;"",$J24&lt;&gt;""),MAX(1,($J24-$I24)/7),Templates!$B$39))</f>
        <v/>
      </c>
      <c r="BJ24" s="18">
        <f>IF(OR($A24="",$BD24=0),0,($AY24*Templates!$B$27/$BE24+$AZ24*Templates!$B$28/$BF24+$BA24*Templates!$B$29/$BG24+$BB24*Templates!$B$30/$BH24+$BC24*Templates!$B$31/$BI24)/Templates!$B$17)</f>
        <v/>
      </c>
      <c r="BK24" s="18">
        <f>IF(OR($A24="",$BD24=0),0,($AY24*Templates!$C$27/$BE24+$AZ24*Templates!$C$28/$BF24+$BA24*Templates!$C$29/$BG24+$BB24*Templates!$C$30/$BH24+$BC24*Templates!$C$31/$BI24)/Templates!$B$18)</f>
        <v/>
      </c>
      <c r="BL24" s="18">
        <f>IF(OR($A24="",$BD24=0),0,($AY24*Templates!$D$27/$BE24+$AZ24*Templates!$D$28/$BF24+$BA24*Templates!$D$29/$BG24+$BB24*Templates!$D$30/$BH24+$BC24*Templates!$D$31/$BI24)/Templates!$B$19)</f>
        <v/>
      </c>
      <c r="BM24" s="18">
        <f>IF(OR($A24="",$BD24=0),0,($AY24*Templates!$E$27/$BE24+$AZ24*Templates!$E$28/$BF24+$BA24*Templates!$E$29/$BG24+$BB24*Templates!$E$30/$BH24+$BC24*Templates!$E$31/$BI24)/Templates!$B$20)</f>
        <v/>
      </c>
      <c r="BN24" s="18">
        <f>IF(OR($A24="",$BD24=0),0,($AY24*Templates!$F$27/$BE24+$AZ24*Templates!$F$28/$BF24+$BA24*Templates!$F$29/$BG24+$BB24*Templates!$F$30/$BH24+$BC24*Templates!$F$31/$BI24)/Templates!$B$21)</f>
        <v/>
      </c>
      <c r="BO24" s="18">
        <f>IF(OR($A24="",$BD24=0),0,($AY24*Templates!$G$27/$BE24+$AZ24*Templates!$G$28/$BF24+$BA24*Templates!$G$29/$BG24+$BB24*Templates!$G$30/$BH24+$BC24*Templates!$G$31/$BI24)/Templates!$B$22)</f>
        <v/>
      </c>
      <c r="BP24" s="18">
        <f>IF(OR($A24="",$BD24=0),0,($AY24*Templates!$H$27/$BE24+$AZ24*Templates!$H$28/$BF24+$BA24*Templates!$H$29/$BG24+$BB24*Templates!$H$30/$BH24+$BC24*Templates!$H$31/$BI24)/Templates!$B$23)</f>
        <v/>
      </c>
    </row>
    <row r="25">
      <c r="A25" s="28" t="inlineStr">
        <is>
          <t>Breakaway_1</t>
        </is>
      </c>
      <c r="B25" s="20" t="inlineStr">
        <is>
          <t>Ares Management Corporation : AwayDay</t>
        </is>
      </c>
      <c r="C25" s="28" t="inlineStr">
        <is>
          <t>Ares Management Corporation</t>
        </is>
      </c>
      <c r="D25" s="28" t="inlineStr">
        <is>
          <t>AwayDay</t>
        </is>
      </c>
      <c r="E25" s="28" t="inlineStr">
        <is>
          <t>No</t>
        </is>
      </c>
      <c r="F25" s="28" t="inlineStr">
        <is>
          <t>Active</t>
        </is>
      </c>
      <c r="G25" s="38" t="n"/>
      <c r="H25" s="29" t="n">
        <v>1</v>
      </c>
      <c r="I25" s="39" t="n"/>
      <c r="J25" s="39" t="n"/>
      <c r="K25" s="31" t="n"/>
      <c r="L25" s="31" t="n"/>
      <c r="M25" s="31" t="n"/>
      <c r="N25" s="31" t="n"/>
      <c r="O25" s="31" t="n"/>
      <c r="P25" s="31" t="n"/>
      <c r="Q25" s="23">
        <f>IF($A25="","",COUNTIFS(Assignments!$C$2:$C$769,$A25,Assignments!$G$2:$G$769,"Active"))</f>
        <v/>
      </c>
      <c r="R25" s="32">
        <f>IF($A25="","",SUMIFS(Assignments!$I$2:$I$769,Assignments!$C$2:$C$769,$A25,Assignments!$G$2:$G$769,"Active"))</f>
        <v/>
      </c>
      <c r="S25" s="20" t="inlineStr">
        <is>
          <t>WIP</t>
        </is>
      </c>
      <c r="T25" s="31" t="n"/>
      <c r="U25" s="38" t="n"/>
      <c r="V25" s="34">
        <f>IF($U25="","",IFERROR(INDEX(Templates!$K$3:$K$10,MATCH($U25,Templates!$A$3:$A$10,0)),""))</f>
        <v/>
      </c>
      <c r="W25" s="34">
        <f>IF($U25="","",IFERROR(INDEX(Templates!$L$3:$L$10,MATCH($U25,Templates!$A$3:$A$10,0)),""))</f>
        <v/>
      </c>
      <c r="X25" s="21">
        <f>IF($U25="","",IFERROR(INDEX(Templates!$J$3:$J$10,MATCH($U25,Templates!$A$3:$A$10,0)),""))</f>
        <v/>
      </c>
      <c r="Y25" s="35">
        <f>IF(OR($U25="",$I25="",$J25="",$X25=""),"",$I25+$X25*($J25-$I25))</f>
        <v/>
      </c>
      <c r="Z25" s="30" t="n">
        <v>46212</v>
      </c>
      <c r="AA25" s="40" t="n"/>
      <c r="AB25" s="41" t="n"/>
      <c r="AC25" s="41" t="n"/>
      <c r="AD25" s="19">
        <f>IF($A25="","",IF($AA25="",$H25,$AA25))</f>
        <v/>
      </c>
      <c r="AE25" s="35">
        <f>IF($A25="","",IF($AB25="",$I25,$AB25))</f>
        <v/>
      </c>
      <c r="AF25" s="35">
        <f>IF($A25="","",IF($AC25="",$J25,$AC25))</f>
        <v/>
      </c>
      <c r="AG25" s="35">
        <f>IF(OR($U25="",$AE25="",$AF25="",$X25=""),"",$AE25+$X25*($AF25-$AE25))</f>
        <v/>
      </c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42" t="n"/>
      <c r="AZ25" s="42" t="n"/>
      <c r="BA25" s="42" t="n"/>
      <c r="BB25" s="42" t="n"/>
      <c r="BC25" s="42" t="n"/>
      <c r="BD25" s="37">
        <f>IF($A25="","",SUM($AY25:$BC25))</f>
        <v/>
      </c>
      <c r="BE25" s="18">
        <f>IF($A25="","",IF(AND($I25&lt;&gt;"",$J25&lt;&gt;""),MAX(1,($J25-$I25)/7),Templates!$B$35))</f>
        <v/>
      </c>
      <c r="BF25" s="18">
        <f>IF($A25="","",IF(AND($I25&lt;&gt;"",$J25&lt;&gt;""),MAX(1,($J25-$I25)/7),Templates!$B$36))</f>
        <v/>
      </c>
      <c r="BG25" s="18">
        <f>IF($A25="","",IF(AND($I25&lt;&gt;"",$J25&lt;&gt;""),MAX(1,($J25-$I25)/7),Templates!$B$37))</f>
        <v/>
      </c>
      <c r="BH25" s="18">
        <f>IF($A25="","",IF(AND($I25&lt;&gt;"",$J25&lt;&gt;""),MAX(1,($J25-$I25)/7),Templates!$B$38))</f>
        <v/>
      </c>
      <c r="BI25" s="18">
        <f>IF($A25="","",IF(AND($I25&lt;&gt;"",$J25&lt;&gt;""),MAX(1,($J25-$I25)/7),Templates!$B$39))</f>
        <v/>
      </c>
      <c r="BJ25" s="18">
        <f>IF(OR($A25="",$BD25=0),0,($AY25*Templates!$B$27/$BE25+$AZ25*Templates!$B$28/$BF25+$BA25*Templates!$B$29/$BG25+$BB25*Templates!$B$30/$BH25+$BC25*Templates!$B$31/$BI25)/Templates!$B$17)</f>
        <v/>
      </c>
      <c r="BK25" s="18">
        <f>IF(OR($A25="",$BD25=0),0,($AY25*Templates!$C$27/$BE25+$AZ25*Templates!$C$28/$BF25+$BA25*Templates!$C$29/$BG25+$BB25*Templates!$C$30/$BH25+$BC25*Templates!$C$31/$BI25)/Templates!$B$18)</f>
        <v/>
      </c>
      <c r="BL25" s="18">
        <f>IF(OR($A25="",$BD25=0),0,($AY25*Templates!$D$27/$BE25+$AZ25*Templates!$D$28/$BF25+$BA25*Templates!$D$29/$BG25+$BB25*Templates!$D$30/$BH25+$BC25*Templates!$D$31/$BI25)/Templates!$B$19)</f>
        <v/>
      </c>
      <c r="BM25" s="18">
        <f>IF(OR($A25="",$BD25=0),0,($AY25*Templates!$E$27/$BE25+$AZ25*Templates!$E$28/$BF25+$BA25*Templates!$E$29/$BG25+$BB25*Templates!$E$30/$BH25+$BC25*Templates!$E$31/$BI25)/Templates!$B$20)</f>
        <v/>
      </c>
      <c r="BN25" s="18">
        <f>IF(OR($A25="",$BD25=0),0,($AY25*Templates!$F$27/$BE25+$AZ25*Templates!$F$28/$BF25+$BA25*Templates!$F$29/$BG25+$BB25*Templates!$F$30/$BH25+$BC25*Templates!$F$31/$BI25)/Templates!$B$21)</f>
        <v/>
      </c>
      <c r="BO25" s="18">
        <f>IF(OR($A25="",$BD25=0),0,($AY25*Templates!$G$27/$BE25+$AZ25*Templates!$G$28/$BF25+$BA25*Templates!$G$29/$BG25+$BB25*Templates!$G$30/$BH25+$BC25*Templates!$G$31/$BI25)/Templates!$B$22)</f>
        <v/>
      </c>
      <c r="BP25" s="18">
        <f>IF(OR($A25="",$BD25=0),0,($AY25*Templates!$H$27/$BE25+$AZ25*Templates!$H$28/$BF25+$BA25*Templates!$H$29/$BG25+$BB25*Templates!$H$30/$BH25+$BC25*Templates!$H$31/$BI25)/Templates!$B$23)</f>
        <v/>
      </c>
    </row>
    <row r="26">
      <c r="A26" s="28" t="inlineStr">
        <is>
          <t>Brick_1</t>
        </is>
      </c>
      <c r="B26" s="20" t="inlineStr">
        <is>
          <t>Fengate</t>
        </is>
      </c>
      <c r="C26" s="28" t="inlineStr">
        <is>
          <t>Fengate</t>
        </is>
      </c>
      <c r="D26" s="28" t="inlineStr"/>
      <c r="E26" s="28" t="inlineStr">
        <is>
          <t>No</t>
        </is>
      </c>
      <c r="F26" s="28" t="inlineStr">
        <is>
          <t>Active</t>
        </is>
      </c>
      <c r="G26" s="38" t="n"/>
      <c r="H26" s="29" t="n">
        <v>1</v>
      </c>
      <c r="I26" s="39" t="n"/>
      <c r="J26" s="39" t="n"/>
      <c r="K26" s="31" t="n"/>
      <c r="L26" s="31" t="n"/>
      <c r="M26" s="31" t="n"/>
      <c r="N26" s="31" t="n"/>
      <c r="O26" s="31" t="n"/>
      <c r="P26" s="31" t="n"/>
      <c r="Q26" s="23">
        <f>IF($A26="","",COUNTIFS(Assignments!$C$2:$C$769,$A26,Assignments!$G$2:$G$769,"Active"))</f>
        <v/>
      </c>
      <c r="R26" s="32">
        <f>IF($A26="","",SUMIFS(Assignments!$I$2:$I$769,Assignments!$C$2:$C$769,$A26,Assignments!$G$2:$G$769,"Active"))</f>
        <v/>
      </c>
      <c r="S26" s="20" t="inlineStr">
        <is>
          <t>Summary tab only (WIP)</t>
        </is>
      </c>
      <c r="T26" s="31" t="n"/>
      <c r="U26" s="38" t="n"/>
      <c r="V26" s="34">
        <f>IF($U26="","",IFERROR(INDEX(Templates!$K$3:$K$10,MATCH($U26,Templates!$A$3:$A$10,0)),""))</f>
        <v/>
      </c>
      <c r="W26" s="34">
        <f>IF($U26="","",IFERROR(INDEX(Templates!$L$3:$L$10,MATCH($U26,Templates!$A$3:$A$10,0)),""))</f>
        <v/>
      </c>
      <c r="X26" s="21">
        <f>IF($U26="","",IFERROR(INDEX(Templates!$J$3:$J$10,MATCH($U26,Templates!$A$3:$A$10,0)),""))</f>
        <v/>
      </c>
      <c r="Y26" s="35">
        <f>IF(OR($U26="",$I26="",$J26="",$X26=""),"",$I26+$X26*($J26-$I26))</f>
        <v/>
      </c>
      <c r="Z26" s="30" t="n">
        <v>46212</v>
      </c>
      <c r="AA26" s="40" t="n"/>
      <c r="AB26" s="41" t="n"/>
      <c r="AC26" s="41" t="n"/>
      <c r="AD26" s="19">
        <f>IF($A26="","",IF($AA26="",$H26,$AA26))</f>
        <v/>
      </c>
      <c r="AE26" s="35">
        <f>IF($A26="","",IF($AB26="",$I26,$AB26))</f>
        <v/>
      </c>
      <c r="AF26" s="35">
        <f>IF($A26="","",IF($AC26="",$J26,$AC26))</f>
        <v/>
      </c>
      <c r="AG26" s="35">
        <f>IF(OR($U26="",$AE26="",$AF26="",$X26=""),"",$AE26+$X26*($AF26-$AE26))</f>
        <v/>
      </c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42" t="n"/>
      <c r="AZ26" s="42" t="n"/>
      <c r="BA26" s="42" t="n"/>
      <c r="BB26" s="42" t="n"/>
      <c r="BC26" s="42" t="n"/>
      <c r="BD26" s="37">
        <f>IF($A26="","",SUM($AY26:$BC26))</f>
        <v/>
      </c>
      <c r="BE26" s="18">
        <f>IF($A26="","",IF(AND($I26&lt;&gt;"",$J26&lt;&gt;""),MAX(1,($J26-$I26)/7),Templates!$B$35))</f>
        <v/>
      </c>
      <c r="BF26" s="18">
        <f>IF($A26="","",IF(AND($I26&lt;&gt;"",$J26&lt;&gt;""),MAX(1,($J26-$I26)/7),Templates!$B$36))</f>
        <v/>
      </c>
      <c r="BG26" s="18">
        <f>IF($A26="","",IF(AND($I26&lt;&gt;"",$J26&lt;&gt;""),MAX(1,($J26-$I26)/7),Templates!$B$37))</f>
        <v/>
      </c>
      <c r="BH26" s="18">
        <f>IF($A26="","",IF(AND($I26&lt;&gt;"",$J26&lt;&gt;""),MAX(1,($J26-$I26)/7),Templates!$B$38))</f>
        <v/>
      </c>
      <c r="BI26" s="18">
        <f>IF($A26="","",IF(AND($I26&lt;&gt;"",$J26&lt;&gt;""),MAX(1,($J26-$I26)/7),Templates!$B$39))</f>
        <v/>
      </c>
      <c r="BJ26" s="18">
        <f>IF(OR($A26="",$BD26=0),0,($AY26*Templates!$B$27/$BE26+$AZ26*Templates!$B$28/$BF26+$BA26*Templates!$B$29/$BG26+$BB26*Templates!$B$30/$BH26+$BC26*Templates!$B$31/$BI26)/Templates!$B$17)</f>
        <v/>
      </c>
      <c r="BK26" s="18">
        <f>IF(OR($A26="",$BD26=0),0,($AY26*Templates!$C$27/$BE26+$AZ26*Templates!$C$28/$BF26+$BA26*Templates!$C$29/$BG26+$BB26*Templates!$C$30/$BH26+$BC26*Templates!$C$31/$BI26)/Templates!$B$18)</f>
        <v/>
      </c>
      <c r="BL26" s="18">
        <f>IF(OR($A26="",$BD26=0),0,($AY26*Templates!$D$27/$BE26+$AZ26*Templates!$D$28/$BF26+$BA26*Templates!$D$29/$BG26+$BB26*Templates!$D$30/$BH26+$BC26*Templates!$D$31/$BI26)/Templates!$B$19)</f>
        <v/>
      </c>
      <c r="BM26" s="18">
        <f>IF(OR($A26="",$BD26=0),0,($AY26*Templates!$E$27/$BE26+$AZ26*Templates!$E$28/$BF26+$BA26*Templates!$E$29/$BG26+$BB26*Templates!$E$30/$BH26+$BC26*Templates!$E$31/$BI26)/Templates!$B$20)</f>
        <v/>
      </c>
      <c r="BN26" s="18">
        <f>IF(OR($A26="",$BD26=0),0,($AY26*Templates!$F$27/$BE26+$AZ26*Templates!$F$28/$BF26+$BA26*Templates!$F$29/$BG26+$BB26*Templates!$F$30/$BH26+$BC26*Templates!$F$31/$BI26)/Templates!$B$21)</f>
        <v/>
      </c>
      <c r="BO26" s="18">
        <f>IF(OR($A26="",$BD26=0),0,($AY26*Templates!$G$27/$BE26+$AZ26*Templates!$G$28/$BF26+$BA26*Templates!$G$29/$BG26+$BB26*Templates!$G$30/$BH26+$BC26*Templates!$G$31/$BI26)/Templates!$B$22)</f>
        <v/>
      </c>
      <c r="BP26" s="18">
        <f>IF(OR($A26="",$BD26=0),0,($AY26*Templates!$H$27/$BE26+$AZ26*Templates!$H$28/$BF26+$BA26*Templates!$H$29/$BG26+$BB26*Templates!$H$30/$BH26+$BC26*Templates!$H$31/$BI26)/Templates!$B$23)</f>
        <v/>
      </c>
    </row>
    <row r="27">
      <c r="A27" s="28" t="inlineStr">
        <is>
          <t>Camaro_1</t>
        </is>
      </c>
      <c r="B27" s="20" t="inlineStr">
        <is>
          <t>Mechhi Infrastructure Partners</t>
        </is>
      </c>
      <c r="C27" s="28" t="inlineStr">
        <is>
          <t>Mechhi Infrastructure Partners</t>
        </is>
      </c>
      <c r="D27" s="28" t="inlineStr"/>
      <c r="E27" s="28" t="inlineStr">
        <is>
          <t>No</t>
        </is>
      </c>
      <c r="F27" s="28" t="inlineStr">
        <is>
          <t>Active</t>
        </is>
      </c>
      <c r="G27" s="38" t="n"/>
      <c r="H27" s="29" t="n">
        <v>1</v>
      </c>
      <c r="I27" s="39" t="n"/>
      <c r="J27" s="39" t="n"/>
      <c r="K27" s="31" t="n"/>
      <c r="L27" s="31" t="n"/>
      <c r="M27" s="31" t="n"/>
      <c r="N27" s="31" t="n"/>
      <c r="O27" s="31" t="n"/>
      <c r="P27" s="31" t="n"/>
      <c r="Q27" s="23">
        <f>IF($A27="","",COUNTIFS(Assignments!$C$2:$C$769,$A27,Assignments!$G$2:$G$769,"Active"))</f>
        <v/>
      </c>
      <c r="R27" s="32">
        <f>IF($A27="","",SUMIFS(Assignments!$I$2:$I$769,Assignments!$C$2:$C$769,$A27,Assignments!$G$2:$G$769,"Active"))</f>
        <v/>
      </c>
      <c r="S27" s="20" t="inlineStr">
        <is>
          <t>WIP</t>
        </is>
      </c>
      <c r="T27" s="31" t="n"/>
      <c r="U27" s="38" t="n"/>
      <c r="V27" s="34">
        <f>IF($U27="","",IFERROR(INDEX(Templates!$K$3:$K$10,MATCH($U27,Templates!$A$3:$A$10,0)),""))</f>
        <v/>
      </c>
      <c r="W27" s="34">
        <f>IF($U27="","",IFERROR(INDEX(Templates!$L$3:$L$10,MATCH($U27,Templates!$A$3:$A$10,0)),""))</f>
        <v/>
      </c>
      <c r="X27" s="21">
        <f>IF($U27="","",IFERROR(INDEX(Templates!$J$3:$J$10,MATCH($U27,Templates!$A$3:$A$10,0)),""))</f>
        <v/>
      </c>
      <c r="Y27" s="35">
        <f>IF(OR($U27="",$I27="",$J27="",$X27=""),"",$I27+$X27*($J27-$I27))</f>
        <v/>
      </c>
      <c r="Z27" s="30" t="n">
        <v>46212</v>
      </c>
      <c r="AA27" s="40" t="n"/>
      <c r="AB27" s="41" t="n"/>
      <c r="AC27" s="41" t="n"/>
      <c r="AD27" s="19">
        <f>IF($A27="","",IF($AA27="",$H27,$AA27))</f>
        <v/>
      </c>
      <c r="AE27" s="35">
        <f>IF($A27="","",IF($AB27="",$I27,$AB27))</f>
        <v/>
      </c>
      <c r="AF27" s="35">
        <f>IF($A27="","",IF($AC27="",$J27,$AC27))</f>
        <v/>
      </c>
      <c r="AG27" s="35">
        <f>IF(OR($U27="",$AE27="",$AF27="",$X27=""),"",$AE27+$X27*($AF27-$AE27))</f>
        <v/>
      </c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8" t="n"/>
      <c r="AX27" s="38" t="n"/>
      <c r="AY27" s="42" t="n"/>
      <c r="AZ27" s="42" t="n"/>
      <c r="BA27" s="42" t="n"/>
      <c r="BB27" s="42" t="n"/>
      <c r="BC27" s="42" t="n"/>
      <c r="BD27" s="37">
        <f>IF($A27="","",SUM($AY27:$BC27))</f>
        <v/>
      </c>
      <c r="BE27" s="18">
        <f>IF($A27="","",IF(AND($I27&lt;&gt;"",$J27&lt;&gt;""),MAX(1,($J27-$I27)/7),Templates!$B$35))</f>
        <v/>
      </c>
      <c r="BF27" s="18">
        <f>IF($A27="","",IF(AND($I27&lt;&gt;"",$J27&lt;&gt;""),MAX(1,($J27-$I27)/7),Templates!$B$36))</f>
        <v/>
      </c>
      <c r="BG27" s="18">
        <f>IF($A27="","",IF(AND($I27&lt;&gt;"",$J27&lt;&gt;""),MAX(1,($J27-$I27)/7),Templates!$B$37))</f>
        <v/>
      </c>
      <c r="BH27" s="18">
        <f>IF($A27="","",IF(AND($I27&lt;&gt;"",$J27&lt;&gt;""),MAX(1,($J27-$I27)/7),Templates!$B$38))</f>
        <v/>
      </c>
      <c r="BI27" s="18">
        <f>IF($A27="","",IF(AND($I27&lt;&gt;"",$J27&lt;&gt;""),MAX(1,($J27-$I27)/7),Templates!$B$39))</f>
        <v/>
      </c>
      <c r="BJ27" s="18">
        <f>IF(OR($A27="",$BD27=0),0,($AY27*Templates!$B$27/$BE27+$AZ27*Templates!$B$28/$BF27+$BA27*Templates!$B$29/$BG27+$BB27*Templates!$B$30/$BH27+$BC27*Templates!$B$31/$BI27)/Templates!$B$17)</f>
        <v/>
      </c>
      <c r="BK27" s="18">
        <f>IF(OR($A27="",$BD27=0),0,($AY27*Templates!$C$27/$BE27+$AZ27*Templates!$C$28/$BF27+$BA27*Templates!$C$29/$BG27+$BB27*Templates!$C$30/$BH27+$BC27*Templates!$C$31/$BI27)/Templates!$B$18)</f>
        <v/>
      </c>
      <c r="BL27" s="18">
        <f>IF(OR($A27="",$BD27=0),0,($AY27*Templates!$D$27/$BE27+$AZ27*Templates!$D$28/$BF27+$BA27*Templates!$D$29/$BG27+$BB27*Templates!$D$30/$BH27+$BC27*Templates!$D$31/$BI27)/Templates!$B$19)</f>
        <v/>
      </c>
      <c r="BM27" s="18">
        <f>IF(OR($A27="",$BD27=0),0,($AY27*Templates!$E$27/$BE27+$AZ27*Templates!$E$28/$BF27+$BA27*Templates!$E$29/$BG27+$BB27*Templates!$E$30/$BH27+$BC27*Templates!$E$31/$BI27)/Templates!$B$20)</f>
        <v/>
      </c>
      <c r="BN27" s="18">
        <f>IF(OR($A27="",$BD27=0),0,($AY27*Templates!$F$27/$BE27+$AZ27*Templates!$F$28/$BF27+$BA27*Templates!$F$29/$BG27+$BB27*Templates!$F$30/$BH27+$BC27*Templates!$F$31/$BI27)/Templates!$B$21)</f>
        <v/>
      </c>
      <c r="BO27" s="18">
        <f>IF(OR($A27="",$BD27=0),0,($AY27*Templates!$G$27/$BE27+$AZ27*Templates!$G$28/$BF27+$BA27*Templates!$G$29/$BG27+$BB27*Templates!$G$30/$BH27+$BC27*Templates!$G$31/$BI27)/Templates!$B$22)</f>
        <v/>
      </c>
      <c r="BP27" s="18">
        <f>IF(OR($A27="",$BD27=0),0,($AY27*Templates!$H$27/$BE27+$AZ27*Templates!$H$28/$BF27+$BA27*Templates!$H$29/$BG27+$BB27*Templates!$H$30/$BH27+$BC27*Templates!$H$31/$BI27)/Templates!$B$23)</f>
        <v/>
      </c>
    </row>
    <row r="28">
      <c r="A28" s="28" t="inlineStr">
        <is>
          <t>Canyon_2</t>
        </is>
      </c>
      <c r="B28" s="20" t="inlineStr">
        <is>
          <t>EQT Group</t>
        </is>
      </c>
      <c r="C28" s="28" t="inlineStr">
        <is>
          <t>EQT Group</t>
        </is>
      </c>
      <c r="D28" s="28" t="inlineStr"/>
      <c r="E28" s="28" t="inlineStr">
        <is>
          <t>No</t>
        </is>
      </c>
      <c r="F28" s="28" t="inlineStr">
        <is>
          <t>Active</t>
        </is>
      </c>
      <c r="G28" s="38" t="n"/>
      <c r="H28" s="29" t="n">
        <v>1</v>
      </c>
      <c r="I28" s="39" t="n"/>
      <c r="J28" s="39" t="n"/>
      <c r="K28" s="31" t="n"/>
      <c r="L28" s="31" t="n"/>
      <c r="M28" s="31" t="n"/>
      <c r="N28" s="31" t="n"/>
      <c r="O28" s="31" t="n"/>
      <c r="P28" s="31" t="n"/>
      <c r="Q28" s="23">
        <f>IF($A28="","",COUNTIFS(Assignments!$C$2:$C$769,$A28,Assignments!$G$2:$G$769,"Active"))</f>
        <v/>
      </c>
      <c r="R28" s="32">
        <f>IF($A28="","",SUMIFS(Assignments!$I$2:$I$769,Assignments!$C$2:$C$769,$A28,Assignments!$G$2:$G$769,"Active"))</f>
        <v/>
      </c>
      <c r="S28" s="20" t="inlineStr">
        <is>
          <t>WIP</t>
        </is>
      </c>
      <c r="T28" s="31" t="n"/>
      <c r="U28" s="38" t="n"/>
      <c r="V28" s="34">
        <f>IF($U28="","",IFERROR(INDEX(Templates!$K$3:$K$10,MATCH($U28,Templates!$A$3:$A$10,0)),""))</f>
        <v/>
      </c>
      <c r="W28" s="34">
        <f>IF($U28="","",IFERROR(INDEX(Templates!$L$3:$L$10,MATCH($U28,Templates!$A$3:$A$10,0)),""))</f>
        <v/>
      </c>
      <c r="X28" s="21">
        <f>IF($U28="","",IFERROR(INDEX(Templates!$J$3:$J$10,MATCH($U28,Templates!$A$3:$A$10,0)),""))</f>
        <v/>
      </c>
      <c r="Y28" s="35">
        <f>IF(OR($U28="",$I28="",$J28="",$X28=""),"",$I28+$X28*($J28-$I28))</f>
        <v/>
      </c>
      <c r="Z28" s="30" t="n">
        <v>46212</v>
      </c>
      <c r="AA28" s="40" t="n"/>
      <c r="AB28" s="41" t="n"/>
      <c r="AC28" s="41" t="n"/>
      <c r="AD28" s="19">
        <f>IF($A28="","",IF($AA28="",$H28,$AA28))</f>
        <v/>
      </c>
      <c r="AE28" s="35">
        <f>IF($A28="","",IF($AB28="",$I28,$AB28))</f>
        <v/>
      </c>
      <c r="AF28" s="35">
        <f>IF($A28="","",IF($AC28="",$J28,$AC28))</f>
        <v/>
      </c>
      <c r="AG28" s="35">
        <f>IF(OR($U28="",$AE28="",$AF28="",$X28=""),"",$AE28+$X28*($AF28-$AE28))</f>
        <v/>
      </c>
      <c r="AH28" s="38" t="n"/>
      <c r="AI28" s="38" t="n"/>
      <c r="AJ28" s="38" t="n"/>
      <c r="AK28" s="38" t="n"/>
      <c r="AL28" s="38" t="n"/>
      <c r="AM28" s="38" t="n"/>
      <c r="AN28" s="38" t="n"/>
      <c r="AO28" s="38" t="n"/>
      <c r="AP28" s="38" t="n"/>
      <c r="AQ28" s="38" t="n"/>
      <c r="AR28" s="38" t="n"/>
      <c r="AS28" s="38" t="n"/>
      <c r="AT28" s="38" t="n"/>
      <c r="AU28" s="38" t="n"/>
      <c r="AV28" s="38" t="n"/>
      <c r="AW28" s="38" t="n"/>
      <c r="AX28" s="38" t="n"/>
      <c r="AY28" s="42" t="n"/>
      <c r="AZ28" s="42" t="n"/>
      <c r="BA28" s="42" t="n"/>
      <c r="BB28" s="42" t="n"/>
      <c r="BC28" s="42" t="n"/>
      <c r="BD28" s="37">
        <f>IF($A28="","",SUM($AY28:$BC28))</f>
        <v/>
      </c>
      <c r="BE28" s="18">
        <f>IF($A28="","",IF(AND($I28&lt;&gt;"",$J28&lt;&gt;""),MAX(1,($J28-$I28)/7),Templates!$B$35))</f>
        <v/>
      </c>
      <c r="BF28" s="18">
        <f>IF($A28="","",IF(AND($I28&lt;&gt;"",$J28&lt;&gt;""),MAX(1,($J28-$I28)/7),Templates!$B$36))</f>
        <v/>
      </c>
      <c r="BG28" s="18">
        <f>IF($A28="","",IF(AND($I28&lt;&gt;"",$J28&lt;&gt;""),MAX(1,($J28-$I28)/7),Templates!$B$37))</f>
        <v/>
      </c>
      <c r="BH28" s="18">
        <f>IF($A28="","",IF(AND($I28&lt;&gt;"",$J28&lt;&gt;""),MAX(1,($J28-$I28)/7),Templates!$B$38))</f>
        <v/>
      </c>
      <c r="BI28" s="18">
        <f>IF($A28="","",IF(AND($I28&lt;&gt;"",$J28&lt;&gt;""),MAX(1,($J28-$I28)/7),Templates!$B$39))</f>
        <v/>
      </c>
      <c r="BJ28" s="18">
        <f>IF(OR($A28="",$BD28=0),0,($AY28*Templates!$B$27/$BE28+$AZ28*Templates!$B$28/$BF28+$BA28*Templates!$B$29/$BG28+$BB28*Templates!$B$30/$BH28+$BC28*Templates!$B$31/$BI28)/Templates!$B$17)</f>
        <v/>
      </c>
      <c r="BK28" s="18">
        <f>IF(OR($A28="",$BD28=0),0,($AY28*Templates!$C$27/$BE28+$AZ28*Templates!$C$28/$BF28+$BA28*Templates!$C$29/$BG28+$BB28*Templates!$C$30/$BH28+$BC28*Templates!$C$31/$BI28)/Templates!$B$18)</f>
        <v/>
      </c>
      <c r="BL28" s="18">
        <f>IF(OR($A28="",$BD28=0),0,($AY28*Templates!$D$27/$BE28+$AZ28*Templates!$D$28/$BF28+$BA28*Templates!$D$29/$BG28+$BB28*Templates!$D$30/$BH28+$BC28*Templates!$D$31/$BI28)/Templates!$B$19)</f>
        <v/>
      </c>
      <c r="BM28" s="18">
        <f>IF(OR($A28="",$BD28=0),0,($AY28*Templates!$E$27/$BE28+$AZ28*Templates!$E$28/$BF28+$BA28*Templates!$E$29/$BG28+$BB28*Templates!$E$30/$BH28+$BC28*Templates!$E$31/$BI28)/Templates!$B$20)</f>
        <v/>
      </c>
      <c r="BN28" s="18">
        <f>IF(OR($A28="",$BD28=0),0,($AY28*Templates!$F$27/$BE28+$AZ28*Templates!$F$28/$BF28+$BA28*Templates!$F$29/$BG28+$BB28*Templates!$F$30/$BH28+$BC28*Templates!$F$31/$BI28)/Templates!$B$21)</f>
        <v/>
      </c>
      <c r="BO28" s="18">
        <f>IF(OR($A28="",$BD28=0),0,($AY28*Templates!$G$27/$BE28+$AZ28*Templates!$G$28/$BF28+$BA28*Templates!$G$29/$BG28+$BB28*Templates!$G$30/$BH28+$BC28*Templates!$G$31/$BI28)/Templates!$B$22)</f>
        <v/>
      </c>
      <c r="BP28" s="18">
        <f>IF(OR($A28="",$BD28=0),0,($AY28*Templates!$H$27/$BE28+$AZ28*Templates!$H$28/$BF28+$BA28*Templates!$H$29/$BG28+$BB28*Templates!$H$30/$BH28+$BC28*Templates!$H$31/$BI28)/Templates!$B$23)</f>
        <v/>
      </c>
    </row>
    <row r="29">
      <c r="A29" s="28" t="inlineStr">
        <is>
          <t>Care_1</t>
        </is>
      </c>
      <c r="B29" s="20" t="inlineStr">
        <is>
          <t>CrossCountry Consulting</t>
        </is>
      </c>
      <c r="C29" s="28" t="inlineStr">
        <is>
          <t>CrossCountry Consulting</t>
        </is>
      </c>
      <c r="D29" s="28" t="inlineStr"/>
      <c r="E29" s="28" t="inlineStr">
        <is>
          <t>No</t>
        </is>
      </c>
      <c r="F29" s="28" t="inlineStr">
        <is>
          <t>Active</t>
        </is>
      </c>
      <c r="G29" s="38" t="n"/>
      <c r="H29" s="29" t="n">
        <v>1</v>
      </c>
      <c r="I29" s="39" t="n"/>
      <c r="J29" s="39" t="n"/>
      <c r="K29" s="31" t="n"/>
      <c r="L29" s="31" t="n"/>
      <c r="M29" s="31" t="n"/>
      <c r="N29" s="31" t="n"/>
      <c r="O29" s="31" t="n"/>
      <c r="P29" s="31" t="n"/>
      <c r="Q29" s="23">
        <f>IF($A29="","",COUNTIFS(Assignments!$C$2:$C$769,$A29,Assignments!$G$2:$G$769,"Active"))</f>
        <v/>
      </c>
      <c r="R29" s="32">
        <f>IF($A29="","",SUMIFS(Assignments!$I$2:$I$769,Assignments!$C$2:$C$769,$A29,Assignments!$G$2:$G$769,"Active"))</f>
        <v/>
      </c>
      <c r="S29" s="20" t="inlineStr">
        <is>
          <t>WIP</t>
        </is>
      </c>
      <c r="T29" s="31" t="n"/>
      <c r="U29" s="38" t="n"/>
      <c r="V29" s="34">
        <f>IF($U29="","",IFERROR(INDEX(Templates!$K$3:$K$10,MATCH($U29,Templates!$A$3:$A$10,0)),""))</f>
        <v/>
      </c>
      <c r="W29" s="34">
        <f>IF($U29="","",IFERROR(INDEX(Templates!$L$3:$L$10,MATCH($U29,Templates!$A$3:$A$10,0)),""))</f>
        <v/>
      </c>
      <c r="X29" s="21">
        <f>IF($U29="","",IFERROR(INDEX(Templates!$J$3:$J$10,MATCH($U29,Templates!$A$3:$A$10,0)),""))</f>
        <v/>
      </c>
      <c r="Y29" s="35">
        <f>IF(OR($U29="",$I29="",$J29="",$X29=""),"",$I29+$X29*($J29-$I29))</f>
        <v/>
      </c>
      <c r="Z29" s="30" t="n">
        <v>46212</v>
      </c>
      <c r="AA29" s="40" t="n"/>
      <c r="AB29" s="41" t="n"/>
      <c r="AC29" s="41" t="n"/>
      <c r="AD29" s="19">
        <f>IF($A29="","",IF($AA29="",$H29,$AA29))</f>
        <v/>
      </c>
      <c r="AE29" s="35">
        <f>IF($A29="","",IF($AB29="",$I29,$AB29))</f>
        <v/>
      </c>
      <c r="AF29" s="35">
        <f>IF($A29="","",IF($AC29="",$J29,$AC29))</f>
        <v/>
      </c>
      <c r="AG29" s="35">
        <f>IF(OR($U29="",$AE29="",$AF29="",$X29=""),"",$AE29+$X29*($AF29-$AE29))</f>
        <v/>
      </c>
      <c r="AH29" s="38" t="n"/>
      <c r="AI29" s="38" t="n"/>
      <c r="AJ29" s="38" t="n"/>
      <c r="AK29" s="38" t="n"/>
      <c r="AL29" s="38" t="n"/>
      <c r="AM29" s="38" t="n"/>
      <c r="AN29" s="38" t="n"/>
      <c r="AO29" s="38" t="n"/>
      <c r="AP29" s="38" t="n"/>
      <c r="AQ29" s="38" t="n"/>
      <c r="AR29" s="38" t="n"/>
      <c r="AS29" s="38" t="n"/>
      <c r="AT29" s="38" t="n"/>
      <c r="AU29" s="38" t="n"/>
      <c r="AV29" s="38" t="n"/>
      <c r="AW29" s="38" t="n"/>
      <c r="AX29" s="38" t="n"/>
      <c r="AY29" s="42" t="n"/>
      <c r="AZ29" s="42" t="n"/>
      <c r="BA29" s="42" t="n"/>
      <c r="BB29" s="42" t="n"/>
      <c r="BC29" s="42" t="n"/>
      <c r="BD29" s="37">
        <f>IF($A29="","",SUM($AY29:$BC29))</f>
        <v/>
      </c>
      <c r="BE29" s="18">
        <f>IF($A29="","",IF(AND($I29&lt;&gt;"",$J29&lt;&gt;""),MAX(1,($J29-$I29)/7),Templates!$B$35))</f>
        <v/>
      </c>
      <c r="BF29" s="18">
        <f>IF($A29="","",IF(AND($I29&lt;&gt;"",$J29&lt;&gt;""),MAX(1,($J29-$I29)/7),Templates!$B$36))</f>
        <v/>
      </c>
      <c r="BG29" s="18">
        <f>IF($A29="","",IF(AND($I29&lt;&gt;"",$J29&lt;&gt;""),MAX(1,($J29-$I29)/7),Templates!$B$37))</f>
        <v/>
      </c>
      <c r="BH29" s="18">
        <f>IF($A29="","",IF(AND($I29&lt;&gt;"",$J29&lt;&gt;""),MAX(1,($J29-$I29)/7),Templates!$B$38))</f>
        <v/>
      </c>
      <c r="BI29" s="18">
        <f>IF($A29="","",IF(AND($I29&lt;&gt;"",$J29&lt;&gt;""),MAX(1,($J29-$I29)/7),Templates!$B$39))</f>
        <v/>
      </c>
      <c r="BJ29" s="18">
        <f>IF(OR($A29="",$BD29=0),0,($AY29*Templates!$B$27/$BE29+$AZ29*Templates!$B$28/$BF29+$BA29*Templates!$B$29/$BG29+$BB29*Templates!$B$30/$BH29+$BC29*Templates!$B$31/$BI29)/Templates!$B$17)</f>
        <v/>
      </c>
      <c r="BK29" s="18">
        <f>IF(OR($A29="",$BD29=0),0,($AY29*Templates!$C$27/$BE29+$AZ29*Templates!$C$28/$BF29+$BA29*Templates!$C$29/$BG29+$BB29*Templates!$C$30/$BH29+$BC29*Templates!$C$31/$BI29)/Templates!$B$18)</f>
        <v/>
      </c>
      <c r="BL29" s="18">
        <f>IF(OR($A29="",$BD29=0),0,($AY29*Templates!$D$27/$BE29+$AZ29*Templates!$D$28/$BF29+$BA29*Templates!$D$29/$BG29+$BB29*Templates!$D$30/$BH29+$BC29*Templates!$D$31/$BI29)/Templates!$B$19)</f>
        <v/>
      </c>
      <c r="BM29" s="18">
        <f>IF(OR($A29="",$BD29=0),0,($AY29*Templates!$E$27/$BE29+$AZ29*Templates!$E$28/$BF29+$BA29*Templates!$E$29/$BG29+$BB29*Templates!$E$30/$BH29+$BC29*Templates!$E$31/$BI29)/Templates!$B$20)</f>
        <v/>
      </c>
      <c r="BN29" s="18">
        <f>IF(OR($A29="",$BD29=0),0,($AY29*Templates!$F$27/$BE29+$AZ29*Templates!$F$28/$BF29+$BA29*Templates!$F$29/$BG29+$BB29*Templates!$F$30/$BH29+$BC29*Templates!$F$31/$BI29)/Templates!$B$21)</f>
        <v/>
      </c>
      <c r="BO29" s="18">
        <f>IF(OR($A29="",$BD29=0),0,($AY29*Templates!$G$27/$BE29+$AZ29*Templates!$G$28/$BF29+$BA29*Templates!$G$29/$BG29+$BB29*Templates!$G$30/$BH29+$BC29*Templates!$G$31/$BI29)/Templates!$B$22)</f>
        <v/>
      </c>
      <c r="BP29" s="18">
        <f>IF(OR($A29="",$BD29=0),0,($AY29*Templates!$H$27/$BE29+$AZ29*Templates!$H$28/$BF29+$BA29*Templates!$H$29/$BG29+$BB29*Templates!$H$30/$BH29+$BC29*Templates!$H$31/$BI29)/Templates!$B$23)</f>
        <v/>
      </c>
    </row>
    <row r="30">
      <c r="A30" s="28" t="inlineStr">
        <is>
          <t>Celestial_1</t>
        </is>
      </c>
      <c r="B30" s="20" t="inlineStr">
        <is>
          <t>ConTeras Industrial Group</t>
        </is>
      </c>
      <c r="C30" s="28" t="inlineStr">
        <is>
          <t>ConTeras Industrial Group</t>
        </is>
      </c>
      <c r="D30" s="28" t="inlineStr"/>
      <c r="E30" s="28" t="inlineStr">
        <is>
          <t>No</t>
        </is>
      </c>
      <c r="F30" s="28" t="inlineStr">
        <is>
          <t>Active</t>
        </is>
      </c>
      <c r="G30" s="38" t="n"/>
      <c r="H30" s="29" t="n">
        <v>1</v>
      </c>
      <c r="I30" s="39" t="n"/>
      <c r="J30" s="39" t="n"/>
      <c r="K30" s="31" t="n"/>
      <c r="L30" s="31" t="n"/>
      <c r="M30" s="31" t="n"/>
      <c r="N30" s="31" t="n"/>
      <c r="O30" s="31" t="n"/>
      <c r="P30" s="31" t="n"/>
      <c r="Q30" s="23">
        <f>IF($A30="","",COUNTIFS(Assignments!$C$2:$C$769,$A30,Assignments!$G$2:$G$769,"Active"))</f>
        <v/>
      </c>
      <c r="R30" s="32">
        <f>IF($A30="","",SUMIFS(Assignments!$I$2:$I$769,Assignments!$C$2:$C$769,$A30,Assignments!$G$2:$G$769,"Active"))</f>
        <v/>
      </c>
      <c r="S30" s="20" t="inlineStr">
        <is>
          <t>WIP</t>
        </is>
      </c>
      <c r="T30" s="31" t="n"/>
      <c r="U30" s="38" t="n"/>
      <c r="V30" s="34">
        <f>IF($U30="","",IFERROR(INDEX(Templates!$K$3:$K$10,MATCH($U30,Templates!$A$3:$A$10,0)),""))</f>
        <v/>
      </c>
      <c r="W30" s="34">
        <f>IF($U30="","",IFERROR(INDEX(Templates!$L$3:$L$10,MATCH($U30,Templates!$A$3:$A$10,0)),""))</f>
        <v/>
      </c>
      <c r="X30" s="21">
        <f>IF($U30="","",IFERROR(INDEX(Templates!$J$3:$J$10,MATCH($U30,Templates!$A$3:$A$10,0)),""))</f>
        <v/>
      </c>
      <c r="Y30" s="35">
        <f>IF(OR($U30="",$I30="",$J30="",$X30=""),"",$I30+$X30*($J30-$I30))</f>
        <v/>
      </c>
      <c r="Z30" s="30" t="n">
        <v>46212</v>
      </c>
      <c r="AA30" s="40" t="n"/>
      <c r="AB30" s="41" t="n"/>
      <c r="AC30" s="41" t="n"/>
      <c r="AD30" s="19">
        <f>IF($A30="","",IF($AA30="",$H30,$AA30))</f>
        <v/>
      </c>
      <c r="AE30" s="35">
        <f>IF($A30="","",IF($AB30="",$I30,$AB30))</f>
        <v/>
      </c>
      <c r="AF30" s="35">
        <f>IF($A30="","",IF($AC30="",$J30,$AC30))</f>
        <v/>
      </c>
      <c r="AG30" s="35">
        <f>IF(OR($U30="",$AE30="",$AF30="",$X30=""),"",$AE30+$X30*($AF30-$AE30))</f>
        <v/>
      </c>
      <c r="AH30" s="38" t="n"/>
      <c r="AI30" s="38" t="n"/>
      <c r="AJ30" s="38" t="n"/>
      <c r="AK30" s="38" t="n"/>
      <c r="AL30" s="38" t="n"/>
      <c r="AM30" s="38" t="n"/>
      <c r="AN30" s="38" t="n"/>
      <c r="AO30" s="38" t="n"/>
      <c r="AP30" s="38" t="n"/>
      <c r="AQ30" s="38" t="n"/>
      <c r="AR30" s="38" t="n"/>
      <c r="AS30" s="38" t="n"/>
      <c r="AT30" s="38" t="n"/>
      <c r="AU30" s="38" t="n"/>
      <c r="AV30" s="38" t="n"/>
      <c r="AW30" s="38" t="n"/>
      <c r="AX30" s="38" t="n"/>
      <c r="AY30" s="42" t="n"/>
      <c r="AZ30" s="42" t="n"/>
      <c r="BA30" s="42" t="n"/>
      <c r="BB30" s="42" t="n"/>
      <c r="BC30" s="42" t="n"/>
      <c r="BD30" s="37">
        <f>IF($A30="","",SUM($AY30:$BC30))</f>
        <v/>
      </c>
      <c r="BE30" s="18">
        <f>IF($A30="","",IF(AND($I30&lt;&gt;"",$J30&lt;&gt;""),MAX(1,($J30-$I30)/7),Templates!$B$35))</f>
        <v/>
      </c>
      <c r="BF30" s="18">
        <f>IF($A30="","",IF(AND($I30&lt;&gt;"",$J30&lt;&gt;""),MAX(1,($J30-$I30)/7),Templates!$B$36))</f>
        <v/>
      </c>
      <c r="BG30" s="18">
        <f>IF($A30="","",IF(AND($I30&lt;&gt;"",$J30&lt;&gt;""),MAX(1,($J30-$I30)/7),Templates!$B$37))</f>
        <v/>
      </c>
      <c r="BH30" s="18">
        <f>IF($A30="","",IF(AND($I30&lt;&gt;"",$J30&lt;&gt;""),MAX(1,($J30-$I30)/7),Templates!$B$38))</f>
        <v/>
      </c>
      <c r="BI30" s="18">
        <f>IF($A30="","",IF(AND($I30&lt;&gt;"",$J30&lt;&gt;""),MAX(1,($J30-$I30)/7),Templates!$B$39))</f>
        <v/>
      </c>
      <c r="BJ30" s="18">
        <f>IF(OR($A30="",$BD30=0),0,($AY30*Templates!$B$27/$BE30+$AZ30*Templates!$B$28/$BF30+$BA30*Templates!$B$29/$BG30+$BB30*Templates!$B$30/$BH30+$BC30*Templates!$B$31/$BI30)/Templates!$B$17)</f>
        <v/>
      </c>
      <c r="BK30" s="18">
        <f>IF(OR($A30="",$BD30=0),0,($AY30*Templates!$C$27/$BE30+$AZ30*Templates!$C$28/$BF30+$BA30*Templates!$C$29/$BG30+$BB30*Templates!$C$30/$BH30+$BC30*Templates!$C$31/$BI30)/Templates!$B$18)</f>
        <v/>
      </c>
      <c r="BL30" s="18">
        <f>IF(OR($A30="",$BD30=0),0,($AY30*Templates!$D$27/$BE30+$AZ30*Templates!$D$28/$BF30+$BA30*Templates!$D$29/$BG30+$BB30*Templates!$D$30/$BH30+$BC30*Templates!$D$31/$BI30)/Templates!$B$19)</f>
        <v/>
      </c>
      <c r="BM30" s="18">
        <f>IF(OR($A30="",$BD30=0),0,($AY30*Templates!$E$27/$BE30+$AZ30*Templates!$E$28/$BF30+$BA30*Templates!$E$29/$BG30+$BB30*Templates!$E$30/$BH30+$BC30*Templates!$E$31/$BI30)/Templates!$B$20)</f>
        <v/>
      </c>
      <c r="BN30" s="18">
        <f>IF(OR($A30="",$BD30=0),0,($AY30*Templates!$F$27/$BE30+$AZ30*Templates!$F$28/$BF30+$BA30*Templates!$F$29/$BG30+$BB30*Templates!$F$30/$BH30+$BC30*Templates!$F$31/$BI30)/Templates!$B$21)</f>
        <v/>
      </c>
      <c r="BO30" s="18">
        <f>IF(OR($A30="",$BD30=0),0,($AY30*Templates!$G$27/$BE30+$AZ30*Templates!$G$28/$BF30+$BA30*Templates!$G$29/$BG30+$BB30*Templates!$G$30/$BH30+$BC30*Templates!$G$31/$BI30)/Templates!$B$22)</f>
        <v/>
      </c>
      <c r="BP30" s="18">
        <f>IF(OR($A30="",$BD30=0),0,($AY30*Templates!$H$27/$BE30+$AZ30*Templates!$H$28/$BF30+$BA30*Templates!$H$29/$BG30+$BB30*Templates!$H$30/$BH30+$BC30*Templates!$H$31/$BI30)/Templates!$B$23)</f>
        <v/>
      </c>
    </row>
    <row r="31">
      <c r="A31" s="28" t="inlineStr">
        <is>
          <t>CFlats_1</t>
        </is>
      </c>
      <c r="B31" s="20" t="inlineStr">
        <is>
          <t>Ethos Specialty Insurance Services</t>
        </is>
      </c>
      <c r="C31" s="28" t="inlineStr">
        <is>
          <t>Ethos Specialty Insurance Services</t>
        </is>
      </c>
      <c r="D31" s="28" t="inlineStr"/>
      <c r="E31" s="28" t="inlineStr">
        <is>
          <t>No</t>
        </is>
      </c>
      <c r="F31" s="28" t="inlineStr">
        <is>
          <t>Active</t>
        </is>
      </c>
      <c r="G31" s="38" t="n"/>
      <c r="H31" s="29" t="n">
        <v>1</v>
      </c>
      <c r="I31" s="39" t="n"/>
      <c r="J31" s="39" t="n"/>
      <c r="K31" s="31" t="n"/>
      <c r="L31" s="31" t="n"/>
      <c r="M31" s="31" t="n"/>
      <c r="N31" s="31" t="n"/>
      <c r="O31" s="31" t="n"/>
      <c r="P31" s="31" t="n"/>
      <c r="Q31" s="23">
        <f>IF($A31="","",COUNTIFS(Assignments!$C$2:$C$769,$A31,Assignments!$G$2:$G$769,"Active"))</f>
        <v/>
      </c>
      <c r="R31" s="32">
        <f>IF($A31="","",SUMIFS(Assignments!$I$2:$I$769,Assignments!$C$2:$C$769,$A31,Assignments!$G$2:$G$769,"Active"))</f>
        <v/>
      </c>
      <c r="S31" s="20" t="inlineStr">
        <is>
          <t>WIP</t>
        </is>
      </c>
      <c r="T31" s="31" t="n"/>
      <c r="U31" s="38" t="n"/>
      <c r="V31" s="34">
        <f>IF($U31="","",IFERROR(INDEX(Templates!$K$3:$K$10,MATCH($U31,Templates!$A$3:$A$10,0)),""))</f>
        <v/>
      </c>
      <c r="W31" s="34">
        <f>IF($U31="","",IFERROR(INDEX(Templates!$L$3:$L$10,MATCH($U31,Templates!$A$3:$A$10,0)),""))</f>
        <v/>
      </c>
      <c r="X31" s="21">
        <f>IF($U31="","",IFERROR(INDEX(Templates!$J$3:$J$10,MATCH($U31,Templates!$A$3:$A$10,0)),""))</f>
        <v/>
      </c>
      <c r="Y31" s="35">
        <f>IF(OR($U31="",$I31="",$J31="",$X31=""),"",$I31+$X31*($J31-$I31))</f>
        <v/>
      </c>
      <c r="Z31" s="30" t="n">
        <v>46212</v>
      </c>
      <c r="AA31" s="40" t="n"/>
      <c r="AB31" s="41" t="n"/>
      <c r="AC31" s="41" t="n"/>
      <c r="AD31" s="19">
        <f>IF($A31="","",IF($AA31="",$H31,$AA31))</f>
        <v/>
      </c>
      <c r="AE31" s="35">
        <f>IF($A31="","",IF($AB31="",$I31,$AB31))</f>
        <v/>
      </c>
      <c r="AF31" s="35">
        <f>IF($A31="","",IF($AC31="",$J31,$AC31))</f>
        <v/>
      </c>
      <c r="AG31" s="35">
        <f>IF(OR($U31="",$AE31="",$AF31="",$X31=""),"",$AE31+$X31*($AF31-$AE31))</f>
        <v/>
      </c>
      <c r="AH31" s="38" t="n"/>
      <c r="AI31" s="38" t="n"/>
      <c r="AJ31" s="38" t="n"/>
      <c r="AK31" s="38" t="n"/>
      <c r="AL31" s="38" t="n"/>
      <c r="AM31" s="38" t="n"/>
      <c r="AN31" s="38" t="n"/>
      <c r="AO31" s="38" t="n"/>
      <c r="AP31" s="38" t="n"/>
      <c r="AQ31" s="38" t="n"/>
      <c r="AR31" s="38" t="n"/>
      <c r="AS31" s="38" t="n"/>
      <c r="AT31" s="38" t="n"/>
      <c r="AU31" s="38" t="n"/>
      <c r="AV31" s="38" t="n"/>
      <c r="AW31" s="38" t="n"/>
      <c r="AX31" s="38" t="n"/>
      <c r="AY31" s="42" t="n"/>
      <c r="AZ31" s="42" t="n"/>
      <c r="BA31" s="42" t="n"/>
      <c r="BB31" s="42" t="n"/>
      <c r="BC31" s="42" t="n"/>
      <c r="BD31" s="37">
        <f>IF($A31="","",SUM($AY31:$BC31))</f>
        <v/>
      </c>
      <c r="BE31" s="18">
        <f>IF($A31="","",IF(AND($I31&lt;&gt;"",$J31&lt;&gt;""),MAX(1,($J31-$I31)/7),Templates!$B$35))</f>
        <v/>
      </c>
      <c r="BF31" s="18">
        <f>IF($A31="","",IF(AND($I31&lt;&gt;"",$J31&lt;&gt;""),MAX(1,($J31-$I31)/7),Templates!$B$36))</f>
        <v/>
      </c>
      <c r="BG31" s="18">
        <f>IF($A31="","",IF(AND($I31&lt;&gt;"",$J31&lt;&gt;""),MAX(1,($J31-$I31)/7),Templates!$B$37))</f>
        <v/>
      </c>
      <c r="BH31" s="18">
        <f>IF($A31="","",IF(AND($I31&lt;&gt;"",$J31&lt;&gt;""),MAX(1,($J31-$I31)/7),Templates!$B$38))</f>
        <v/>
      </c>
      <c r="BI31" s="18">
        <f>IF($A31="","",IF(AND($I31&lt;&gt;"",$J31&lt;&gt;""),MAX(1,($J31-$I31)/7),Templates!$B$39))</f>
        <v/>
      </c>
      <c r="BJ31" s="18">
        <f>IF(OR($A31="",$BD31=0),0,($AY31*Templates!$B$27/$BE31+$AZ31*Templates!$B$28/$BF31+$BA31*Templates!$B$29/$BG31+$BB31*Templates!$B$30/$BH31+$BC31*Templates!$B$31/$BI31)/Templates!$B$17)</f>
        <v/>
      </c>
      <c r="BK31" s="18">
        <f>IF(OR($A31="",$BD31=0),0,($AY31*Templates!$C$27/$BE31+$AZ31*Templates!$C$28/$BF31+$BA31*Templates!$C$29/$BG31+$BB31*Templates!$C$30/$BH31+$BC31*Templates!$C$31/$BI31)/Templates!$B$18)</f>
        <v/>
      </c>
      <c r="BL31" s="18">
        <f>IF(OR($A31="",$BD31=0),0,($AY31*Templates!$D$27/$BE31+$AZ31*Templates!$D$28/$BF31+$BA31*Templates!$D$29/$BG31+$BB31*Templates!$D$30/$BH31+$BC31*Templates!$D$31/$BI31)/Templates!$B$19)</f>
        <v/>
      </c>
      <c r="BM31" s="18">
        <f>IF(OR($A31="",$BD31=0),0,($AY31*Templates!$E$27/$BE31+$AZ31*Templates!$E$28/$BF31+$BA31*Templates!$E$29/$BG31+$BB31*Templates!$E$30/$BH31+$BC31*Templates!$E$31/$BI31)/Templates!$B$20)</f>
        <v/>
      </c>
      <c r="BN31" s="18">
        <f>IF(OR($A31="",$BD31=0),0,($AY31*Templates!$F$27/$BE31+$AZ31*Templates!$F$28/$BF31+$BA31*Templates!$F$29/$BG31+$BB31*Templates!$F$30/$BH31+$BC31*Templates!$F$31/$BI31)/Templates!$B$21)</f>
        <v/>
      </c>
      <c r="BO31" s="18">
        <f>IF(OR($A31="",$BD31=0),0,($AY31*Templates!$G$27/$BE31+$AZ31*Templates!$G$28/$BF31+$BA31*Templates!$G$29/$BG31+$BB31*Templates!$G$30/$BH31+$BC31*Templates!$G$31/$BI31)/Templates!$B$22)</f>
        <v/>
      </c>
      <c r="BP31" s="18">
        <f>IF(OR($A31="",$BD31=0),0,($AY31*Templates!$H$27/$BE31+$AZ31*Templates!$H$28/$BF31+$BA31*Templates!$H$29/$BG31+$BB31*Templates!$H$30/$BH31+$BC31*Templates!$H$31/$BI31)/Templates!$B$23)</f>
        <v/>
      </c>
    </row>
    <row r="32">
      <c r="A32" s="28" t="inlineStr">
        <is>
          <t>Challenger_1</t>
        </is>
      </c>
      <c r="B32" s="20" t="inlineStr">
        <is>
          <t>Fengate</t>
        </is>
      </c>
      <c r="C32" s="28" t="inlineStr">
        <is>
          <t>Fengate</t>
        </is>
      </c>
      <c r="D32" s="28" t="inlineStr"/>
      <c r="E32" s="28" t="inlineStr">
        <is>
          <t>No</t>
        </is>
      </c>
      <c r="F32" s="28" t="inlineStr">
        <is>
          <t>Active</t>
        </is>
      </c>
      <c r="G32" s="38" t="n"/>
      <c r="H32" s="29" t="n">
        <v>1</v>
      </c>
      <c r="I32" s="39" t="n"/>
      <c r="J32" s="39" t="n"/>
      <c r="K32" s="31" t="n"/>
      <c r="L32" s="31" t="n"/>
      <c r="M32" s="31" t="n"/>
      <c r="N32" s="31" t="n"/>
      <c r="O32" s="31" t="n"/>
      <c r="P32" s="31" t="n"/>
      <c r="Q32" s="23">
        <f>IF($A32="","",COUNTIFS(Assignments!$C$2:$C$769,$A32,Assignments!$G$2:$G$769,"Active"))</f>
        <v/>
      </c>
      <c r="R32" s="32">
        <f>IF($A32="","",SUMIFS(Assignments!$I$2:$I$769,Assignments!$C$2:$C$769,$A32,Assignments!$G$2:$G$769,"Active"))</f>
        <v/>
      </c>
      <c r="S32" s="20" t="inlineStr">
        <is>
          <t>WIP</t>
        </is>
      </c>
      <c r="T32" s="31" t="n"/>
      <c r="U32" s="38" t="n"/>
      <c r="V32" s="34">
        <f>IF($U32="","",IFERROR(INDEX(Templates!$K$3:$K$10,MATCH($U32,Templates!$A$3:$A$10,0)),""))</f>
        <v/>
      </c>
      <c r="W32" s="34">
        <f>IF($U32="","",IFERROR(INDEX(Templates!$L$3:$L$10,MATCH($U32,Templates!$A$3:$A$10,0)),""))</f>
        <v/>
      </c>
      <c r="X32" s="21">
        <f>IF($U32="","",IFERROR(INDEX(Templates!$J$3:$J$10,MATCH($U32,Templates!$A$3:$A$10,0)),""))</f>
        <v/>
      </c>
      <c r="Y32" s="35">
        <f>IF(OR($U32="",$I32="",$J32="",$X32=""),"",$I32+$X32*($J32-$I32))</f>
        <v/>
      </c>
      <c r="Z32" s="30" t="n">
        <v>46212</v>
      </c>
      <c r="AA32" s="40" t="n"/>
      <c r="AB32" s="41" t="n"/>
      <c r="AC32" s="41" t="n"/>
      <c r="AD32" s="19">
        <f>IF($A32="","",IF($AA32="",$H32,$AA32))</f>
        <v/>
      </c>
      <c r="AE32" s="35">
        <f>IF($A32="","",IF($AB32="",$I32,$AB32))</f>
        <v/>
      </c>
      <c r="AF32" s="35">
        <f>IF($A32="","",IF($AC32="",$J32,$AC32))</f>
        <v/>
      </c>
      <c r="AG32" s="35">
        <f>IF(OR($U32="",$AE32="",$AF32="",$X32=""),"",$AE32+$X32*($AF32-$AE32))</f>
        <v/>
      </c>
      <c r="AH32" s="38" t="n"/>
      <c r="AI32" s="38" t="n"/>
      <c r="AJ32" s="38" t="n"/>
      <c r="AK32" s="38" t="n"/>
      <c r="AL32" s="38" t="n"/>
      <c r="AM32" s="38" t="n"/>
      <c r="AN32" s="38" t="n"/>
      <c r="AO32" s="38" t="n"/>
      <c r="AP32" s="38" t="n"/>
      <c r="AQ32" s="38" t="n"/>
      <c r="AR32" s="38" t="n"/>
      <c r="AS32" s="38" t="n"/>
      <c r="AT32" s="38" t="n"/>
      <c r="AU32" s="38" t="n"/>
      <c r="AV32" s="38" t="n"/>
      <c r="AW32" s="38" t="n"/>
      <c r="AX32" s="38" t="n"/>
      <c r="AY32" s="42" t="n"/>
      <c r="AZ32" s="42" t="n"/>
      <c r="BA32" s="42" t="n"/>
      <c r="BB32" s="42" t="n"/>
      <c r="BC32" s="42" t="n"/>
      <c r="BD32" s="37">
        <f>IF($A32="","",SUM($AY32:$BC32))</f>
        <v/>
      </c>
      <c r="BE32" s="18">
        <f>IF($A32="","",IF(AND($I32&lt;&gt;"",$J32&lt;&gt;""),MAX(1,($J32-$I32)/7),Templates!$B$35))</f>
        <v/>
      </c>
      <c r="BF32" s="18">
        <f>IF($A32="","",IF(AND($I32&lt;&gt;"",$J32&lt;&gt;""),MAX(1,($J32-$I32)/7),Templates!$B$36))</f>
        <v/>
      </c>
      <c r="BG32" s="18">
        <f>IF($A32="","",IF(AND($I32&lt;&gt;"",$J32&lt;&gt;""),MAX(1,($J32-$I32)/7),Templates!$B$37))</f>
        <v/>
      </c>
      <c r="BH32" s="18">
        <f>IF($A32="","",IF(AND($I32&lt;&gt;"",$J32&lt;&gt;""),MAX(1,($J32-$I32)/7),Templates!$B$38))</f>
        <v/>
      </c>
      <c r="BI32" s="18">
        <f>IF($A32="","",IF(AND($I32&lt;&gt;"",$J32&lt;&gt;""),MAX(1,($J32-$I32)/7),Templates!$B$39))</f>
        <v/>
      </c>
      <c r="BJ32" s="18">
        <f>IF(OR($A32="",$BD32=0),0,($AY32*Templates!$B$27/$BE32+$AZ32*Templates!$B$28/$BF32+$BA32*Templates!$B$29/$BG32+$BB32*Templates!$B$30/$BH32+$BC32*Templates!$B$31/$BI32)/Templates!$B$17)</f>
        <v/>
      </c>
      <c r="BK32" s="18">
        <f>IF(OR($A32="",$BD32=0),0,($AY32*Templates!$C$27/$BE32+$AZ32*Templates!$C$28/$BF32+$BA32*Templates!$C$29/$BG32+$BB32*Templates!$C$30/$BH32+$BC32*Templates!$C$31/$BI32)/Templates!$B$18)</f>
        <v/>
      </c>
      <c r="BL32" s="18">
        <f>IF(OR($A32="",$BD32=0),0,($AY32*Templates!$D$27/$BE32+$AZ32*Templates!$D$28/$BF32+$BA32*Templates!$D$29/$BG32+$BB32*Templates!$D$30/$BH32+$BC32*Templates!$D$31/$BI32)/Templates!$B$19)</f>
        <v/>
      </c>
      <c r="BM32" s="18">
        <f>IF(OR($A32="",$BD32=0),0,($AY32*Templates!$E$27/$BE32+$AZ32*Templates!$E$28/$BF32+$BA32*Templates!$E$29/$BG32+$BB32*Templates!$E$30/$BH32+$BC32*Templates!$E$31/$BI32)/Templates!$B$20)</f>
        <v/>
      </c>
      <c r="BN32" s="18">
        <f>IF(OR($A32="",$BD32=0),0,($AY32*Templates!$F$27/$BE32+$AZ32*Templates!$F$28/$BF32+$BA32*Templates!$F$29/$BG32+$BB32*Templates!$F$30/$BH32+$BC32*Templates!$F$31/$BI32)/Templates!$B$21)</f>
        <v/>
      </c>
      <c r="BO32" s="18">
        <f>IF(OR($A32="",$BD32=0),0,($AY32*Templates!$G$27/$BE32+$AZ32*Templates!$G$28/$BF32+$BA32*Templates!$G$29/$BG32+$BB32*Templates!$G$30/$BH32+$BC32*Templates!$G$31/$BI32)/Templates!$B$22)</f>
        <v/>
      </c>
      <c r="BP32" s="18">
        <f>IF(OR($A32="",$BD32=0),0,($AY32*Templates!$H$27/$BE32+$AZ32*Templates!$H$28/$BF32+$BA32*Templates!$H$29/$BG32+$BB32*Templates!$H$30/$BH32+$BC32*Templates!$H$31/$BI32)/Templates!$B$23)</f>
        <v/>
      </c>
    </row>
    <row r="33">
      <c r="A33" s="28" t="inlineStr">
        <is>
          <t>Chicago RE_1</t>
        </is>
      </c>
      <c r="B33" s="20" t="inlineStr">
        <is>
          <t>Fengate</t>
        </is>
      </c>
      <c r="C33" s="28" t="inlineStr">
        <is>
          <t>Fengate</t>
        </is>
      </c>
      <c r="D33" s="28" t="inlineStr"/>
      <c r="E33" s="28" t="inlineStr">
        <is>
          <t>No</t>
        </is>
      </c>
      <c r="F33" s="28" t="inlineStr">
        <is>
          <t>Active</t>
        </is>
      </c>
      <c r="G33" s="38" t="n"/>
      <c r="H33" s="29" t="n">
        <v>1</v>
      </c>
      <c r="I33" s="39" t="n"/>
      <c r="J33" s="39" t="n"/>
      <c r="K33" s="31" t="n"/>
      <c r="L33" s="31" t="n"/>
      <c r="M33" s="31" t="n"/>
      <c r="N33" s="31" t="n"/>
      <c r="O33" s="31" t="n"/>
      <c r="P33" s="31" t="n"/>
      <c r="Q33" s="23">
        <f>IF($A33="","",COUNTIFS(Assignments!$C$2:$C$769,$A33,Assignments!$G$2:$G$769,"Active"))</f>
        <v/>
      </c>
      <c r="R33" s="32">
        <f>IF($A33="","",SUMIFS(Assignments!$I$2:$I$769,Assignments!$C$2:$C$769,$A33,Assignments!$G$2:$G$769,"Active"))</f>
        <v/>
      </c>
      <c r="S33" s="20" t="inlineStr">
        <is>
          <t>WIP</t>
        </is>
      </c>
      <c r="T33" s="31" t="n"/>
      <c r="U33" s="38" t="n"/>
      <c r="V33" s="34">
        <f>IF($U33="","",IFERROR(INDEX(Templates!$K$3:$K$10,MATCH($U33,Templates!$A$3:$A$10,0)),""))</f>
        <v/>
      </c>
      <c r="W33" s="34">
        <f>IF($U33="","",IFERROR(INDEX(Templates!$L$3:$L$10,MATCH($U33,Templates!$A$3:$A$10,0)),""))</f>
        <v/>
      </c>
      <c r="X33" s="21">
        <f>IF($U33="","",IFERROR(INDEX(Templates!$J$3:$J$10,MATCH($U33,Templates!$A$3:$A$10,0)),""))</f>
        <v/>
      </c>
      <c r="Y33" s="35">
        <f>IF(OR($U33="",$I33="",$J33="",$X33=""),"",$I33+$X33*($J33-$I33))</f>
        <v/>
      </c>
      <c r="Z33" s="30" t="n">
        <v>46212</v>
      </c>
      <c r="AA33" s="40" t="n"/>
      <c r="AB33" s="41" t="n"/>
      <c r="AC33" s="41" t="n"/>
      <c r="AD33" s="19">
        <f>IF($A33="","",IF($AA33="",$H33,$AA33))</f>
        <v/>
      </c>
      <c r="AE33" s="35">
        <f>IF($A33="","",IF($AB33="",$I33,$AB33))</f>
        <v/>
      </c>
      <c r="AF33" s="35">
        <f>IF($A33="","",IF($AC33="",$J33,$AC33))</f>
        <v/>
      </c>
      <c r="AG33" s="35">
        <f>IF(OR($U33="",$AE33="",$AF33="",$X33=""),"",$AE33+$X33*($AF33-$AE33))</f>
        <v/>
      </c>
      <c r="AH33" s="38" t="n"/>
      <c r="AI33" s="38" t="n"/>
      <c r="AJ33" s="38" t="n"/>
      <c r="AK33" s="38" t="n"/>
      <c r="AL33" s="38" t="n"/>
      <c r="AM33" s="38" t="n"/>
      <c r="AN33" s="38" t="n"/>
      <c r="AO33" s="38" t="n"/>
      <c r="AP33" s="38" t="n"/>
      <c r="AQ33" s="38" t="n"/>
      <c r="AR33" s="38" t="n"/>
      <c r="AS33" s="38" t="n"/>
      <c r="AT33" s="38" t="n"/>
      <c r="AU33" s="38" t="n"/>
      <c r="AV33" s="38" t="n"/>
      <c r="AW33" s="38" t="n"/>
      <c r="AX33" s="38" t="n"/>
      <c r="AY33" s="42" t="n"/>
      <c r="AZ33" s="42" t="n"/>
      <c r="BA33" s="42" t="n"/>
      <c r="BB33" s="42" t="n"/>
      <c r="BC33" s="42" t="n"/>
      <c r="BD33" s="37">
        <f>IF($A33="","",SUM($AY33:$BC33))</f>
        <v/>
      </c>
      <c r="BE33" s="18">
        <f>IF($A33="","",IF(AND($I33&lt;&gt;"",$J33&lt;&gt;""),MAX(1,($J33-$I33)/7),Templates!$B$35))</f>
        <v/>
      </c>
      <c r="BF33" s="18">
        <f>IF($A33="","",IF(AND($I33&lt;&gt;"",$J33&lt;&gt;""),MAX(1,($J33-$I33)/7),Templates!$B$36))</f>
        <v/>
      </c>
      <c r="BG33" s="18">
        <f>IF($A33="","",IF(AND($I33&lt;&gt;"",$J33&lt;&gt;""),MAX(1,($J33-$I33)/7),Templates!$B$37))</f>
        <v/>
      </c>
      <c r="BH33" s="18">
        <f>IF($A33="","",IF(AND($I33&lt;&gt;"",$J33&lt;&gt;""),MAX(1,($J33-$I33)/7),Templates!$B$38))</f>
        <v/>
      </c>
      <c r="BI33" s="18">
        <f>IF($A33="","",IF(AND($I33&lt;&gt;"",$J33&lt;&gt;""),MAX(1,($J33-$I33)/7),Templates!$B$39))</f>
        <v/>
      </c>
      <c r="BJ33" s="18">
        <f>IF(OR($A33="",$BD33=0),0,($AY33*Templates!$B$27/$BE33+$AZ33*Templates!$B$28/$BF33+$BA33*Templates!$B$29/$BG33+$BB33*Templates!$B$30/$BH33+$BC33*Templates!$B$31/$BI33)/Templates!$B$17)</f>
        <v/>
      </c>
      <c r="BK33" s="18">
        <f>IF(OR($A33="",$BD33=0),0,($AY33*Templates!$C$27/$BE33+$AZ33*Templates!$C$28/$BF33+$BA33*Templates!$C$29/$BG33+$BB33*Templates!$C$30/$BH33+$BC33*Templates!$C$31/$BI33)/Templates!$B$18)</f>
        <v/>
      </c>
      <c r="BL33" s="18">
        <f>IF(OR($A33="",$BD33=0),0,($AY33*Templates!$D$27/$BE33+$AZ33*Templates!$D$28/$BF33+$BA33*Templates!$D$29/$BG33+$BB33*Templates!$D$30/$BH33+$BC33*Templates!$D$31/$BI33)/Templates!$B$19)</f>
        <v/>
      </c>
      <c r="BM33" s="18">
        <f>IF(OR($A33="",$BD33=0),0,($AY33*Templates!$E$27/$BE33+$AZ33*Templates!$E$28/$BF33+$BA33*Templates!$E$29/$BG33+$BB33*Templates!$E$30/$BH33+$BC33*Templates!$E$31/$BI33)/Templates!$B$20)</f>
        <v/>
      </c>
      <c r="BN33" s="18">
        <f>IF(OR($A33="",$BD33=0),0,($AY33*Templates!$F$27/$BE33+$AZ33*Templates!$F$28/$BF33+$BA33*Templates!$F$29/$BG33+$BB33*Templates!$F$30/$BH33+$BC33*Templates!$F$31/$BI33)/Templates!$B$21)</f>
        <v/>
      </c>
      <c r="BO33" s="18">
        <f>IF(OR($A33="",$BD33=0),0,($AY33*Templates!$G$27/$BE33+$AZ33*Templates!$G$28/$BF33+$BA33*Templates!$G$29/$BG33+$BB33*Templates!$G$30/$BH33+$BC33*Templates!$G$31/$BI33)/Templates!$B$22)</f>
        <v/>
      </c>
      <c r="BP33" s="18">
        <f>IF(OR($A33="",$BD33=0),0,($AY33*Templates!$H$27/$BE33+$AZ33*Templates!$H$28/$BF33+$BA33*Templates!$H$29/$BG33+$BB33*Templates!$H$30/$BH33+$BC33*Templates!$H$31/$BI33)/Templates!$B$23)</f>
        <v/>
      </c>
    </row>
    <row r="34">
      <c r="A34" s="28" t="inlineStr">
        <is>
          <t>Chile_1</t>
        </is>
      </c>
      <c r="B34" s="20" t="inlineStr">
        <is>
          <t>Inn-Flow</t>
        </is>
      </c>
      <c r="C34" s="28" t="inlineStr">
        <is>
          <t>Inn-Flow</t>
        </is>
      </c>
      <c r="D34" s="28" t="inlineStr"/>
      <c r="E34" s="28" t="inlineStr">
        <is>
          <t>No</t>
        </is>
      </c>
      <c r="F34" s="28" t="inlineStr">
        <is>
          <t>Active</t>
        </is>
      </c>
      <c r="G34" s="38" t="n"/>
      <c r="H34" s="29" t="n">
        <v>1</v>
      </c>
      <c r="I34" s="39" t="n"/>
      <c r="J34" s="39" t="n"/>
      <c r="K34" s="31" t="n"/>
      <c r="L34" s="31" t="n"/>
      <c r="M34" s="31" t="n"/>
      <c r="N34" s="31" t="n"/>
      <c r="O34" s="31" t="n"/>
      <c r="P34" s="31" t="n"/>
      <c r="Q34" s="23">
        <f>IF($A34="","",COUNTIFS(Assignments!$C$2:$C$769,$A34,Assignments!$G$2:$G$769,"Active"))</f>
        <v/>
      </c>
      <c r="R34" s="32">
        <f>IF($A34="","",SUMIFS(Assignments!$I$2:$I$769,Assignments!$C$2:$C$769,$A34,Assignments!$G$2:$G$769,"Active"))</f>
        <v/>
      </c>
      <c r="S34" s="20" t="inlineStr">
        <is>
          <t>Summary tab only (WIP)</t>
        </is>
      </c>
      <c r="T34" s="31" t="n"/>
      <c r="U34" s="38" t="n"/>
      <c r="V34" s="34">
        <f>IF($U34="","",IFERROR(INDEX(Templates!$K$3:$K$10,MATCH($U34,Templates!$A$3:$A$10,0)),""))</f>
        <v/>
      </c>
      <c r="W34" s="34">
        <f>IF($U34="","",IFERROR(INDEX(Templates!$L$3:$L$10,MATCH($U34,Templates!$A$3:$A$10,0)),""))</f>
        <v/>
      </c>
      <c r="X34" s="21">
        <f>IF($U34="","",IFERROR(INDEX(Templates!$J$3:$J$10,MATCH($U34,Templates!$A$3:$A$10,0)),""))</f>
        <v/>
      </c>
      <c r="Y34" s="35">
        <f>IF(OR($U34="",$I34="",$J34="",$X34=""),"",$I34+$X34*($J34-$I34))</f>
        <v/>
      </c>
      <c r="Z34" s="30" t="n">
        <v>46212</v>
      </c>
      <c r="AA34" s="40" t="n"/>
      <c r="AB34" s="41" t="n"/>
      <c r="AC34" s="41" t="n"/>
      <c r="AD34" s="19">
        <f>IF($A34="","",IF($AA34="",$H34,$AA34))</f>
        <v/>
      </c>
      <c r="AE34" s="35">
        <f>IF($A34="","",IF($AB34="",$I34,$AB34))</f>
        <v/>
      </c>
      <c r="AF34" s="35">
        <f>IF($A34="","",IF($AC34="",$J34,$AC34))</f>
        <v/>
      </c>
      <c r="AG34" s="35">
        <f>IF(OR($U34="",$AE34="",$AF34="",$X34=""),"",$AE34+$X34*($AF34-$AE34))</f>
        <v/>
      </c>
      <c r="AH34" s="38" t="n"/>
      <c r="AI34" s="38" t="n"/>
      <c r="AJ34" s="38" t="n"/>
      <c r="AK34" s="38" t="n"/>
      <c r="AL34" s="38" t="n"/>
      <c r="AM34" s="38" t="n"/>
      <c r="AN34" s="38" t="n"/>
      <c r="AO34" s="38" t="n"/>
      <c r="AP34" s="38" t="n"/>
      <c r="AQ34" s="38" t="n"/>
      <c r="AR34" s="38" t="n"/>
      <c r="AS34" s="38" t="n"/>
      <c r="AT34" s="38" t="n"/>
      <c r="AU34" s="38" t="n"/>
      <c r="AV34" s="38" t="n"/>
      <c r="AW34" s="38" t="n"/>
      <c r="AX34" s="38" t="n"/>
      <c r="AY34" s="42" t="n"/>
      <c r="AZ34" s="42" t="n"/>
      <c r="BA34" s="42" t="n"/>
      <c r="BB34" s="42" t="n"/>
      <c r="BC34" s="42" t="n"/>
      <c r="BD34" s="37">
        <f>IF($A34="","",SUM($AY34:$BC34))</f>
        <v/>
      </c>
      <c r="BE34" s="18">
        <f>IF($A34="","",IF(AND($I34&lt;&gt;"",$J34&lt;&gt;""),MAX(1,($J34-$I34)/7),Templates!$B$35))</f>
        <v/>
      </c>
      <c r="BF34" s="18">
        <f>IF($A34="","",IF(AND($I34&lt;&gt;"",$J34&lt;&gt;""),MAX(1,($J34-$I34)/7),Templates!$B$36))</f>
        <v/>
      </c>
      <c r="BG34" s="18">
        <f>IF($A34="","",IF(AND($I34&lt;&gt;"",$J34&lt;&gt;""),MAX(1,($J34-$I34)/7),Templates!$B$37))</f>
        <v/>
      </c>
      <c r="BH34" s="18">
        <f>IF($A34="","",IF(AND($I34&lt;&gt;"",$J34&lt;&gt;""),MAX(1,($J34-$I34)/7),Templates!$B$38))</f>
        <v/>
      </c>
      <c r="BI34" s="18">
        <f>IF($A34="","",IF(AND($I34&lt;&gt;"",$J34&lt;&gt;""),MAX(1,($J34-$I34)/7),Templates!$B$39))</f>
        <v/>
      </c>
      <c r="BJ34" s="18">
        <f>IF(OR($A34="",$BD34=0),0,($AY34*Templates!$B$27/$BE34+$AZ34*Templates!$B$28/$BF34+$BA34*Templates!$B$29/$BG34+$BB34*Templates!$B$30/$BH34+$BC34*Templates!$B$31/$BI34)/Templates!$B$17)</f>
        <v/>
      </c>
      <c r="BK34" s="18">
        <f>IF(OR($A34="",$BD34=0),0,($AY34*Templates!$C$27/$BE34+$AZ34*Templates!$C$28/$BF34+$BA34*Templates!$C$29/$BG34+$BB34*Templates!$C$30/$BH34+$BC34*Templates!$C$31/$BI34)/Templates!$B$18)</f>
        <v/>
      </c>
      <c r="BL34" s="18">
        <f>IF(OR($A34="",$BD34=0),0,($AY34*Templates!$D$27/$BE34+$AZ34*Templates!$D$28/$BF34+$BA34*Templates!$D$29/$BG34+$BB34*Templates!$D$30/$BH34+$BC34*Templates!$D$31/$BI34)/Templates!$B$19)</f>
        <v/>
      </c>
      <c r="BM34" s="18">
        <f>IF(OR($A34="",$BD34=0),0,($AY34*Templates!$E$27/$BE34+$AZ34*Templates!$E$28/$BF34+$BA34*Templates!$E$29/$BG34+$BB34*Templates!$E$30/$BH34+$BC34*Templates!$E$31/$BI34)/Templates!$B$20)</f>
        <v/>
      </c>
      <c r="BN34" s="18">
        <f>IF(OR($A34="",$BD34=0),0,($AY34*Templates!$F$27/$BE34+$AZ34*Templates!$F$28/$BF34+$BA34*Templates!$F$29/$BG34+$BB34*Templates!$F$30/$BH34+$BC34*Templates!$F$31/$BI34)/Templates!$B$21)</f>
        <v/>
      </c>
      <c r="BO34" s="18">
        <f>IF(OR($A34="",$BD34=0),0,($AY34*Templates!$G$27/$BE34+$AZ34*Templates!$G$28/$BF34+$BA34*Templates!$G$29/$BG34+$BB34*Templates!$G$30/$BH34+$BC34*Templates!$G$31/$BI34)/Templates!$B$22)</f>
        <v/>
      </c>
      <c r="BP34" s="18">
        <f>IF(OR($A34="",$BD34=0),0,($AY34*Templates!$H$27/$BE34+$AZ34*Templates!$H$28/$BF34+$BA34*Templates!$H$29/$BG34+$BB34*Templates!$H$30/$BH34+$BC34*Templates!$H$31/$BI34)/Templates!$B$23)</f>
        <v/>
      </c>
    </row>
    <row r="35">
      <c r="A35" s="28" t="inlineStr">
        <is>
          <t>Circuit_1</t>
        </is>
      </c>
      <c r="B35" s="20" t="inlineStr">
        <is>
          <t>LS Power</t>
        </is>
      </c>
      <c r="C35" s="28" t="inlineStr">
        <is>
          <t>LS Power</t>
        </is>
      </c>
      <c r="D35" s="28" t="inlineStr"/>
      <c r="E35" s="28" t="inlineStr">
        <is>
          <t>No</t>
        </is>
      </c>
      <c r="F35" s="28" t="inlineStr">
        <is>
          <t>Active</t>
        </is>
      </c>
      <c r="G35" s="38" t="n"/>
      <c r="H35" s="29" t="n">
        <v>1</v>
      </c>
      <c r="I35" s="39" t="n"/>
      <c r="J35" s="39" t="n"/>
      <c r="K35" s="31" t="n"/>
      <c r="L35" s="31" t="n"/>
      <c r="M35" s="31" t="n"/>
      <c r="N35" s="31" t="n"/>
      <c r="O35" s="31" t="n"/>
      <c r="P35" s="31" t="n"/>
      <c r="Q35" s="23">
        <f>IF($A35="","",COUNTIFS(Assignments!$C$2:$C$769,$A35,Assignments!$G$2:$G$769,"Active"))</f>
        <v/>
      </c>
      <c r="R35" s="32">
        <f>IF($A35="","",SUMIFS(Assignments!$I$2:$I$769,Assignments!$C$2:$C$769,$A35,Assignments!$G$2:$G$769,"Active"))</f>
        <v/>
      </c>
      <c r="S35" s="20" t="inlineStr">
        <is>
          <t>WIP</t>
        </is>
      </c>
      <c r="T35" s="31" t="n"/>
      <c r="U35" s="38" t="n"/>
      <c r="V35" s="34">
        <f>IF($U35="","",IFERROR(INDEX(Templates!$K$3:$K$10,MATCH($U35,Templates!$A$3:$A$10,0)),""))</f>
        <v/>
      </c>
      <c r="W35" s="34">
        <f>IF($U35="","",IFERROR(INDEX(Templates!$L$3:$L$10,MATCH($U35,Templates!$A$3:$A$10,0)),""))</f>
        <v/>
      </c>
      <c r="X35" s="21">
        <f>IF($U35="","",IFERROR(INDEX(Templates!$J$3:$J$10,MATCH($U35,Templates!$A$3:$A$10,0)),""))</f>
        <v/>
      </c>
      <c r="Y35" s="35">
        <f>IF(OR($U35="",$I35="",$J35="",$X35=""),"",$I35+$X35*($J35-$I35))</f>
        <v/>
      </c>
      <c r="Z35" s="30" t="n">
        <v>46212</v>
      </c>
      <c r="AA35" s="40" t="n"/>
      <c r="AB35" s="41" t="n"/>
      <c r="AC35" s="41" t="n"/>
      <c r="AD35" s="19">
        <f>IF($A35="","",IF($AA35="",$H35,$AA35))</f>
        <v/>
      </c>
      <c r="AE35" s="35">
        <f>IF($A35="","",IF($AB35="",$I35,$AB35))</f>
        <v/>
      </c>
      <c r="AF35" s="35">
        <f>IF($A35="","",IF($AC35="",$J35,$AC35))</f>
        <v/>
      </c>
      <c r="AG35" s="35">
        <f>IF(OR($U35="",$AE35="",$AF35="",$X35=""),"",$AE35+$X35*($AF35-$AE35))</f>
        <v/>
      </c>
      <c r="AH35" s="38" t="n"/>
      <c r="AI35" s="38" t="n"/>
      <c r="AJ35" s="38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42" t="n"/>
      <c r="AZ35" s="42" t="n"/>
      <c r="BA35" s="42" t="n"/>
      <c r="BB35" s="42" t="n"/>
      <c r="BC35" s="42" t="n"/>
      <c r="BD35" s="37">
        <f>IF($A35="","",SUM($AY35:$BC35))</f>
        <v/>
      </c>
      <c r="BE35" s="18">
        <f>IF($A35="","",IF(AND($I35&lt;&gt;"",$J35&lt;&gt;""),MAX(1,($J35-$I35)/7),Templates!$B$35))</f>
        <v/>
      </c>
      <c r="BF35" s="18">
        <f>IF($A35="","",IF(AND($I35&lt;&gt;"",$J35&lt;&gt;""),MAX(1,($J35-$I35)/7),Templates!$B$36))</f>
        <v/>
      </c>
      <c r="BG35" s="18">
        <f>IF($A35="","",IF(AND($I35&lt;&gt;"",$J35&lt;&gt;""),MAX(1,($J35-$I35)/7),Templates!$B$37))</f>
        <v/>
      </c>
      <c r="BH35" s="18">
        <f>IF($A35="","",IF(AND($I35&lt;&gt;"",$J35&lt;&gt;""),MAX(1,($J35-$I35)/7),Templates!$B$38))</f>
        <v/>
      </c>
      <c r="BI35" s="18">
        <f>IF($A35="","",IF(AND($I35&lt;&gt;"",$J35&lt;&gt;""),MAX(1,($J35-$I35)/7),Templates!$B$39))</f>
        <v/>
      </c>
      <c r="BJ35" s="18">
        <f>IF(OR($A35="",$BD35=0),0,($AY35*Templates!$B$27/$BE35+$AZ35*Templates!$B$28/$BF35+$BA35*Templates!$B$29/$BG35+$BB35*Templates!$B$30/$BH35+$BC35*Templates!$B$31/$BI35)/Templates!$B$17)</f>
        <v/>
      </c>
      <c r="BK35" s="18">
        <f>IF(OR($A35="",$BD35=0),0,($AY35*Templates!$C$27/$BE35+$AZ35*Templates!$C$28/$BF35+$BA35*Templates!$C$29/$BG35+$BB35*Templates!$C$30/$BH35+$BC35*Templates!$C$31/$BI35)/Templates!$B$18)</f>
        <v/>
      </c>
      <c r="BL35" s="18">
        <f>IF(OR($A35="",$BD35=0),0,($AY35*Templates!$D$27/$BE35+$AZ35*Templates!$D$28/$BF35+$BA35*Templates!$D$29/$BG35+$BB35*Templates!$D$30/$BH35+$BC35*Templates!$D$31/$BI35)/Templates!$B$19)</f>
        <v/>
      </c>
      <c r="BM35" s="18">
        <f>IF(OR($A35="",$BD35=0),0,($AY35*Templates!$E$27/$BE35+$AZ35*Templates!$E$28/$BF35+$BA35*Templates!$E$29/$BG35+$BB35*Templates!$E$30/$BH35+$BC35*Templates!$E$31/$BI35)/Templates!$B$20)</f>
        <v/>
      </c>
      <c r="BN35" s="18">
        <f>IF(OR($A35="",$BD35=0),0,($AY35*Templates!$F$27/$BE35+$AZ35*Templates!$F$28/$BF35+$BA35*Templates!$F$29/$BG35+$BB35*Templates!$F$30/$BH35+$BC35*Templates!$F$31/$BI35)/Templates!$B$21)</f>
        <v/>
      </c>
      <c r="BO35" s="18">
        <f>IF(OR($A35="",$BD35=0),0,($AY35*Templates!$G$27/$BE35+$AZ35*Templates!$G$28/$BF35+$BA35*Templates!$G$29/$BG35+$BB35*Templates!$G$30/$BH35+$BC35*Templates!$G$31/$BI35)/Templates!$B$22)</f>
        <v/>
      </c>
      <c r="BP35" s="18">
        <f>IF(OR($A35="",$BD35=0),0,($AY35*Templates!$H$27/$BE35+$AZ35*Templates!$H$28/$BF35+$BA35*Templates!$H$29/$BG35+$BB35*Templates!$H$30/$BH35+$BC35*Templates!$H$31/$BI35)/Templates!$B$23)</f>
        <v/>
      </c>
    </row>
    <row r="36">
      <c r="A36" s="28" t="inlineStr">
        <is>
          <t>CLS_1</t>
        </is>
      </c>
      <c r="B36" s="20" t="inlineStr">
        <is>
          <t>Embark</t>
        </is>
      </c>
      <c r="C36" s="28" t="inlineStr">
        <is>
          <t>Embark</t>
        </is>
      </c>
      <c r="D36" s="28" t="inlineStr"/>
      <c r="E36" s="28" t="inlineStr">
        <is>
          <t>No</t>
        </is>
      </c>
      <c r="F36" s="28" t="inlineStr">
        <is>
          <t>Active</t>
        </is>
      </c>
      <c r="G36" s="38" t="n"/>
      <c r="H36" s="29" t="n">
        <v>1</v>
      </c>
      <c r="I36" s="39" t="n"/>
      <c r="J36" s="39" t="n"/>
      <c r="K36" s="31" t="n"/>
      <c r="L36" s="31" t="n"/>
      <c r="M36" s="31" t="n"/>
      <c r="N36" s="31" t="n"/>
      <c r="O36" s="31" t="n"/>
      <c r="P36" s="31" t="n"/>
      <c r="Q36" s="23">
        <f>IF($A36="","",COUNTIFS(Assignments!$C$2:$C$769,$A36,Assignments!$G$2:$G$769,"Active"))</f>
        <v/>
      </c>
      <c r="R36" s="32">
        <f>IF($A36="","",SUMIFS(Assignments!$I$2:$I$769,Assignments!$C$2:$C$769,$A36,Assignments!$G$2:$G$769,"Active"))</f>
        <v/>
      </c>
      <c r="S36" s="20" t="inlineStr">
        <is>
          <t>WIP</t>
        </is>
      </c>
      <c r="T36" s="31" t="n"/>
      <c r="U36" s="38" t="n"/>
      <c r="V36" s="34">
        <f>IF($U36="","",IFERROR(INDEX(Templates!$K$3:$K$10,MATCH($U36,Templates!$A$3:$A$10,0)),""))</f>
        <v/>
      </c>
      <c r="W36" s="34">
        <f>IF($U36="","",IFERROR(INDEX(Templates!$L$3:$L$10,MATCH($U36,Templates!$A$3:$A$10,0)),""))</f>
        <v/>
      </c>
      <c r="X36" s="21">
        <f>IF($U36="","",IFERROR(INDEX(Templates!$J$3:$J$10,MATCH($U36,Templates!$A$3:$A$10,0)),""))</f>
        <v/>
      </c>
      <c r="Y36" s="35">
        <f>IF(OR($U36="",$I36="",$J36="",$X36=""),"",$I36+$X36*($J36-$I36))</f>
        <v/>
      </c>
      <c r="Z36" s="30" t="n">
        <v>46212</v>
      </c>
      <c r="AA36" s="40" t="n"/>
      <c r="AB36" s="41" t="n"/>
      <c r="AC36" s="41" t="n"/>
      <c r="AD36" s="19">
        <f>IF($A36="","",IF($AA36="",$H36,$AA36))</f>
        <v/>
      </c>
      <c r="AE36" s="35">
        <f>IF($A36="","",IF($AB36="",$I36,$AB36))</f>
        <v/>
      </c>
      <c r="AF36" s="35">
        <f>IF($A36="","",IF($AC36="",$J36,$AC36))</f>
        <v/>
      </c>
      <c r="AG36" s="35">
        <f>IF(OR($U36="",$AE36="",$AF36="",$X36=""),"",$AE36+$X36*($AF36-$AE36))</f>
        <v/>
      </c>
      <c r="AH36" s="38" t="n"/>
      <c r="AI36" s="38" t="n"/>
      <c r="AJ36" s="38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42" t="n"/>
      <c r="AZ36" s="42" t="n"/>
      <c r="BA36" s="42" t="n"/>
      <c r="BB36" s="42" t="n"/>
      <c r="BC36" s="42" t="n"/>
      <c r="BD36" s="37">
        <f>IF($A36="","",SUM($AY36:$BC36))</f>
        <v/>
      </c>
      <c r="BE36" s="18">
        <f>IF($A36="","",IF(AND($I36&lt;&gt;"",$J36&lt;&gt;""),MAX(1,($J36-$I36)/7),Templates!$B$35))</f>
        <v/>
      </c>
      <c r="BF36" s="18">
        <f>IF($A36="","",IF(AND($I36&lt;&gt;"",$J36&lt;&gt;""),MAX(1,($J36-$I36)/7),Templates!$B$36))</f>
        <v/>
      </c>
      <c r="BG36" s="18">
        <f>IF($A36="","",IF(AND($I36&lt;&gt;"",$J36&lt;&gt;""),MAX(1,($J36-$I36)/7),Templates!$B$37))</f>
        <v/>
      </c>
      <c r="BH36" s="18">
        <f>IF($A36="","",IF(AND($I36&lt;&gt;"",$J36&lt;&gt;""),MAX(1,($J36-$I36)/7),Templates!$B$38))</f>
        <v/>
      </c>
      <c r="BI36" s="18">
        <f>IF($A36="","",IF(AND($I36&lt;&gt;"",$J36&lt;&gt;""),MAX(1,($J36-$I36)/7),Templates!$B$39))</f>
        <v/>
      </c>
      <c r="BJ36" s="18">
        <f>IF(OR($A36="",$BD36=0),0,($AY36*Templates!$B$27/$BE36+$AZ36*Templates!$B$28/$BF36+$BA36*Templates!$B$29/$BG36+$BB36*Templates!$B$30/$BH36+$BC36*Templates!$B$31/$BI36)/Templates!$B$17)</f>
        <v/>
      </c>
      <c r="BK36" s="18">
        <f>IF(OR($A36="",$BD36=0),0,($AY36*Templates!$C$27/$BE36+$AZ36*Templates!$C$28/$BF36+$BA36*Templates!$C$29/$BG36+$BB36*Templates!$C$30/$BH36+$BC36*Templates!$C$31/$BI36)/Templates!$B$18)</f>
        <v/>
      </c>
      <c r="BL36" s="18">
        <f>IF(OR($A36="",$BD36=0),0,($AY36*Templates!$D$27/$BE36+$AZ36*Templates!$D$28/$BF36+$BA36*Templates!$D$29/$BG36+$BB36*Templates!$D$30/$BH36+$BC36*Templates!$D$31/$BI36)/Templates!$B$19)</f>
        <v/>
      </c>
      <c r="BM36" s="18">
        <f>IF(OR($A36="",$BD36=0),0,($AY36*Templates!$E$27/$BE36+$AZ36*Templates!$E$28/$BF36+$BA36*Templates!$E$29/$BG36+$BB36*Templates!$E$30/$BH36+$BC36*Templates!$E$31/$BI36)/Templates!$B$20)</f>
        <v/>
      </c>
      <c r="BN36" s="18">
        <f>IF(OR($A36="",$BD36=0),0,($AY36*Templates!$F$27/$BE36+$AZ36*Templates!$F$28/$BF36+$BA36*Templates!$F$29/$BG36+$BB36*Templates!$F$30/$BH36+$BC36*Templates!$F$31/$BI36)/Templates!$B$21)</f>
        <v/>
      </c>
      <c r="BO36" s="18">
        <f>IF(OR($A36="",$BD36=0),0,($AY36*Templates!$G$27/$BE36+$AZ36*Templates!$G$28/$BF36+$BA36*Templates!$G$29/$BG36+$BB36*Templates!$G$30/$BH36+$BC36*Templates!$G$31/$BI36)/Templates!$B$22)</f>
        <v/>
      </c>
      <c r="BP36" s="18">
        <f>IF(OR($A36="",$BD36=0),0,($AY36*Templates!$H$27/$BE36+$AZ36*Templates!$H$28/$BF36+$BA36*Templates!$H$29/$BG36+$BB36*Templates!$H$30/$BH36+$BC36*Templates!$H$31/$BI36)/Templates!$B$23)</f>
        <v/>
      </c>
    </row>
    <row r="37">
      <c r="A37" s="28" t="inlineStr">
        <is>
          <t>Cohost_1</t>
        </is>
      </c>
      <c r="B37" s="20" t="inlineStr">
        <is>
          <t>AwayDay</t>
        </is>
      </c>
      <c r="C37" s="28" t="inlineStr">
        <is>
          <t>AwayDay</t>
        </is>
      </c>
      <c r="D37" s="28" t="inlineStr"/>
      <c r="E37" s="28" t="inlineStr">
        <is>
          <t>No</t>
        </is>
      </c>
      <c r="F37" s="28" t="inlineStr">
        <is>
          <t>Active</t>
        </is>
      </c>
      <c r="G37" s="38" t="n"/>
      <c r="H37" s="29" t="n">
        <v>1</v>
      </c>
      <c r="I37" s="39" t="n"/>
      <c r="J37" s="39" t="n"/>
      <c r="K37" s="31" t="n"/>
      <c r="L37" s="31" t="n"/>
      <c r="M37" s="31" t="n"/>
      <c r="N37" s="31" t="n"/>
      <c r="O37" s="31" t="n"/>
      <c r="P37" s="31" t="n"/>
      <c r="Q37" s="23">
        <f>IF($A37="","",COUNTIFS(Assignments!$C$2:$C$769,$A37,Assignments!$G$2:$G$769,"Active"))</f>
        <v/>
      </c>
      <c r="R37" s="32">
        <f>IF($A37="","",SUMIFS(Assignments!$I$2:$I$769,Assignments!$C$2:$C$769,$A37,Assignments!$G$2:$G$769,"Active"))</f>
        <v/>
      </c>
      <c r="S37" s="20" t="inlineStr">
        <is>
          <t>WIP</t>
        </is>
      </c>
      <c r="T37" s="31" t="n"/>
      <c r="U37" s="38" t="n"/>
      <c r="V37" s="34">
        <f>IF($U37="","",IFERROR(INDEX(Templates!$K$3:$K$10,MATCH($U37,Templates!$A$3:$A$10,0)),""))</f>
        <v/>
      </c>
      <c r="W37" s="34">
        <f>IF($U37="","",IFERROR(INDEX(Templates!$L$3:$L$10,MATCH($U37,Templates!$A$3:$A$10,0)),""))</f>
        <v/>
      </c>
      <c r="X37" s="21">
        <f>IF($U37="","",IFERROR(INDEX(Templates!$J$3:$J$10,MATCH($U37,Templates!$A$3:$A$10,0)),""))</f>
        <v/>
      </c>
      <c r="Y37" s="35">
        <f>IF(OR($U37="",$I37="",$J37="",$X37=""),"",$I37+$X37*($J37-$I37))</f>
        <v/>
      </c>
      <c r="Z37" s="30" t="n">
        <v>46212</v>
      </c>
      <c r="AA37" s="40" t="n"/>
      <c r="AB37" s="41" t="n"/>
      <c r="AC37" s="41" t="n"/>
      <c r="AD37" s="19">
        <f>IF($A37="","",IF($AA37="",$H37,$AA37))</f>
        <v/>
      </c>
      <c r="AE37" s="35">
        <f>IF($A37="","",IF($AB37="",$I37,$AB37))</f>
        <v/>
      </c>
      <c r="AF37" s="35">
        <f>IF($A37="","",IF($AC37="",$J37,$AC37))</f>
        <v/>
      </c>
      <c r="AG37" s="35">
        <f>IF(OR($U37="",$AE37="",$AF37="",$X37=""),"",$AE37+$X37*($AF37-$AE37))</f>
        <v/>
      </c>
      <c r="AH37" s="38" t="n"/>
      <c r="AI37" s="38" t="n"/>
      <c r="AJ37" s="38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42" t="n"/>
      <c r="AZ37" s="42" t="n"/>
      <c r="BA37" s="42" t="n"/>
      <c r="BB37" s="42" t="n"/>
      <c r="BC37" s="42" t="n"/>
      <c r="BD37" s="37">
        <f>IF($A37="","",SUM($AY37:$BC37))</f>
        <v/>
      </c>
      <c r="BE37" s="18">
        <f>IF($A37="","",IF(AND($I37&lt;&gt;"",$J37&lt;&gt;""),MAX(1,($J37-$I37)/7),Templates!$B$35))</f>
        <v/>
      </c>
      <c r="BF37" s="18">
        <f>IF($A37="","",IF(AND($I37&lt;&gt;"",$J37&lt;&gt;""),MAX(1,($J37-$I37)/7),Templates!$B$36))</f>
        <v/>
      </c>
      <c r="BG37" s="18">
        <f>IF($A37="","",IF(AND($I37&lt;&gt;"",$J37&lt;&gt;""),MAX(1,($J37-$I37)/7),Templates!$B$37))</f>
        <v/>
      </c>
      <c r="BH37" s="18">
        <f>IF($A37="","",IF(AND($I37&lt;&gt;"",$J37&lt;&gt;""),MAX(1,($J37-$I37)/7),Templates!$B$38))</f>
        <v/>
      </c>
      <c r="BI37" s="18">
        <f>IF($A37="","",IF(AND($I37&lt;&gt;"",$J37&lt;&gt;""),MAX(1,($J37-$I37)/7),Templates!$B$39))</f>
        <v/>
      </c>
      <c r="BJ37" s="18">
        <f>IF(OR($A37="",$BD37=0),0,($AY37*Templates!$B$27/$BE37+$AZ37*Templates!$B$28/$BF37+$BA37*Templates!$B$29/$BG37+$BB37*Templates!$B$30/$BH37+$BC37*Templates!$B$31/$BI37)/Templates!$B$17)</f>
        <v/>
      </c>
      <c r="BK37" s="18">
        <f>IF(OR($A37="",$BD37=0),0,($AY37*Templates!$C$27/$BE37+$AZ37*Templates!$C$28/$BF37+$BA37*Templates!$C$29/$BG37+$BB37*Templates!$C$30/$BH37+$BC37*Templates!$C$31/$BI37)/Templates!$B$18)</f>
        <v/>
      </c>
      <c r="BL37" s="18">
        <f>IF(OR($A37="",$BD37=0),0,($AY37*Templates!$D$27/$BE37+$AZ37*Templates!$D$28/$BF37+$BA37*Templates!$D$29/$BG37+$BB37*Templates!$D$30/$BH37+$BC37*Templates!$D$31/$BI37)/Templates!$B$19)</f>
        <v/>
      </c>
      <c r="BM37" s="18">
        <f>IF(OR($A37="",$BD37=0),0,($AY37*Templates!$E$27/$BE37+$AZ37*Templates!$E$28/$BF37+$BA37*Templates!$E$29/$BG37+$BB37*Templates!$E$30/$BH37+$BC37*Templates!$E$31/$BI37)/Templates!$B$20)</f>
        <v/>
      </c>
      <c r="BN37" s="18">
        <f>IF(OR($A37="",$BD37=0),0,($AY37*Templates!$F$27/$BE37+$AZ37*Templates!$F$28/$BF37+$BA37*Templates!$F$29/$BG37+$BB37*Templates!$F$30/$BH37+$BC37*Templates!$F$31/$BI37)/Templates!$B$21)</f>
        <v/>
      </c>
      <c r="BO37" s="18">
        <f>IF(OR($A37="",$BD37=0),0,($AY37*Templates!$G$27/$BE37+$AZ37*Templates!$G$28/$BF37+$BA37*Templates!$G$29/$BG37+$BB37*Templates!$G$30/$BH37+$BC37*Templates!$G$31/$BI37)/Templates!$B$22)</f>
        <v/>
      </c>
      <c r="BP37" s="18">
        <f>IF(OR($A37="",$BD37=0),0,($AY37*Templates!$H$27/$BE37+$AZ37*Templates!$H$28/$BF37+$BA37*Templates!$H$29/$BG37+$BB37*Templates!$H$30/$BH37+$BC37*Templates!$H$31/$BI37)/Templates!$B$23)</f>
        <v/>
      </c>
    </row>
    <row r="38">
      <c r="A38" s="28" t="inlineStr">
        <is>
          <t>Colt_2</t>
        </is>
      </c>
      <c r="B38" s="20" t="inlineStr">
        <is>
          <t>Blackstone Management Partners LLC</t>
        </is>
      </c>
      <c r="C38" s="28" t="inlineStr">
        <is>
          <t>Blackstone Management Partners LLC</t>
        </is>
      </c>
      <c r="D38" s="28" t="inlineStr"/>
      <c r="E38" s="28" t="inlineStr">
        <is>
          <t>No</t>
        </is>
      </c>
      <c r="F38" s="28" t="inlineStr">
        <is>
          <t>Active</t>
        </is>
      </c>
      <c r="G38" s="38" t="n"/>
      <c r="H38" s="29" t="n">
        <v>1</v>
      </c>
      <c r="I38" s="39" t="n"/>
      <c r="J38" s="39" t="n"/>
      <c r="K38" s="31" t="n"/>
      <c r="L38" s="31" t="n"/>
      <c r="M38" s="31" t="n"/>
      <c r="N38" s="31" t="n"/>
      <c r="O38" s="31" t="n"/>
      <c r="P38" s="31" t="n"/>
      <c r="Q38" s="23">
        <f>IF($A38="","",COUNTIFS(Assignments!$C$2:$C$769,$A38,Assignments!$G$2:$G$769,"Active"))</f>
        <v/>
      </c>
      <c r="R38" s="32">
        <f>IF($A38="","",SUMIFS(Assignments!$I$2:$I$769,Assignments!$C$2:$C$769,$A38,Assignments!$G$2:$G$769,"Active"))</f>
        <v/>
      </c>
      <c r="S38" s="20" t="inlineStr">
        <is>
          <t>WIP</t>
        </is>
      </c>
      <c r="T38" s="31" t="n"/>
      <c r="U38" s="38" t="n"/>
      <c r="V38" s="34">
        <f>IF($U38="","",IFERROR(INDEX(Templates!$K$3:$K$10,MATCH($U38,Templates!$A$3:$A$10,0)),""))</f>
        <v/>
      </c>
      <c r="W38" s="34">
        <f>IF($U38="","",IFERROR(INDEX(Templates!$L$3:$L$10,MATCH($U38,Templates!$A$3:$A$10,0)),""))</f>
        <v/>
      </c>
      <c r="X38" s="21">
        <f>IF($U38="","",IFERROR(INDEX(Templates!$J$3:$J$10,MATCH($U38,Templates!$A$3:$A$10,0)),""))</f>
        <v/>
      </c>
      <c r="Y38" s="35">
        <f>IF(OR($U38="",$I38="",$J38="",$X38=""),"",$I38+$X38*($J38-$I38))</f>
        <v/>
      </c>
      <c r="Z38" s="30" t="n">
        <v>46212</v>
      </c>
      <c r="AA38" s="40" t="n"/>
      <c r="AB38" s="41" t="n"/>
      <c r="AC38" s="41" t="n"/>
      <c r="AD38" s="19">
        <f>IF($A38="","",IF($AA38="",$H38,$AA38))</f>
        <v/>
      </c>
      <c r="AE38" s="35">
        <f>IF($A38="","",IF($AB38="",$I38,$AB38))</f>
        <v/>
      </c>
      <c r="AF38" s="35">
        <f>IF($A38="","",IF($AC38="",$J38,$AC38))</f>
        <v/>
      </c>
      <c r="AG38" s="35">
        <f>IF(OR($U38="",$AE38="",$AF38="",$X38=""),"",$AE38+$X38*($AF38-$AE38))</f>
        <v/>
      </c>
      <c r="AH38" s="38" t="n"/>
      <c r="AI38" s="38" t="n"/>
      <c r="AJ38" s="38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42" t="n"/>
      <c r="AZ38" s="42" t="n"/>
      <c r="BA38" s="42" t="n"/>
      <c r="BB38" s="42" t="n"/>
      <c r="BC38" s="42" t="n"/>
      <c r="BD38" s="37">
        <f>IF($A38="","",SUM($AY38:$BC38))</f>
        <v/>
      </c>
      <c r="BE38" s="18">
        <f>IF($A38="","",IF(AND($I38&lt;&gt;"",$J38&lt;&gt;""),MAX(1,($J38-$I38)/7),Templates!$B$35))</f>
        <v/>
      </c>
      <c r="BF38" s="18">
        <f>IF($A38="","",IF(AND($I38&lt;&gt;"",$J38&lt;&gt;""),MAX(1,($J38-$I38)/7),Templates!$B$36))</f>
        <v/>
      </c>
      <c r="BG38" s="18">
        <f>IF($A38="","",IF(AND($I38&lt;&gt;"",$J38&lt;&gt;""),MAX(1,($J38-$I38)/7),Templates!$B$37))</f>
        <v/>
      </c>
      <c r="BH38" s="18">
        <f>IF($A38="","",IF(AND($I38&lt;&gt;"",$J38&lt;&gt;""),MAX(1,($J38-$I38)/7),Templates!$B$38))</f>
        <v/>
      </c>
      <c r="BI38" s="18">
        <f>IF($A38="","",IF(AND($I38&lt;&gt;"",$J38&lt;&gt;""),MAX(1,($J38-$I38)/7),Templates!$B$39))</f>
        <v/>
      </c>
      <c r="BJ38" s="18">
        <f>IF(OR($A38="",$BD38=0),0,($AY38*Templates!$B$27/$BE38+$AZ38*Templates!$B$28/$BF38+$BA38*Templates!$B$29/$BG38+$BB38*Templates!$B$30/$BH38+$BC38*Templates!$B$31/$BI38)/Templates!$B$17)</f>
        <v/>
      </c>
      <c r="BK38" s="18">
        <f>IF(OR($A38="",$BD38=0),0,($AY38*Templates!$C$27/$BE38+$AZ38*Templates!$C$28/$BF38+$BA38*Templates!$C$29/$BG38+$BB38*Templates!$C$30/$BH38+$BC38*Templates!$C$31/$BI38)/Templates!$B$18)</f>
        <v/>
      </c>
      <c r="BL38" s="18">
        <f>IF(OR($A38="",$BD38=0),0,($AY38*Templates!$D$27/$BE38+$AZ38*Templates!$D$28/$BF38+$BA38*Templates!$D$29/$BG38+$BB38*Templates!$D$30/$BH38+$BC38*Templates!$D$31/$BI38)/Templates!$B$19)</f>
        <v/>
      </c>
      <c r="BM38" s="18">
        <f>IF(OR($A38="",$BD38=0),0,($AY38*Templates!$E$27/$BE38+$AZ38*Templates!$E$28/$BF38+$BA38*Templates!$E$29/$BG38+$BB38*Templates!$E$30/$BH38+$BC38*Templates!$E$31/$BI38)/Templates!$B$20)</f>
        <v/>
      </c>
      <c r="BN38" s="18">
        <f>IF(OR($A38="",$BD38=0),0,($AY38*Templates!$F$27/$BE38+$AZ38*Templates!$F$28/$BF38+$BA38*Templates!$F$29/$BG38+$BB38*Templates!$F$30/$BH38+$BC38*Templates!$F$31/$BI38)/Templates!$B$21)</f>
        <v/>
      </c>
      <c r="BO38" s="18">
        <f>IF(OR($A38="",$BD38=0),0,($AY38*Templates!$G$27/$BE38+$AZ38*Templates!$G$28/$BF38+$BA38*Templates!$G$29/$BG38+$BB38*Templates!$G$30/$BH38+$BC38*Templates!$G$31/$BI38)/Templates!$B$22)</f>
        <v/>
      </c>
      <c r="BP38" s="18">
        <f>IF(OR($A38="",$BD38=0),0,($AY38*Templates!$H$27/$BE38+$AZ38*Templates!$H$28/$BF38+$BA38*Templates!$H$29/$BG38+$BB38*Templates!$H$30/$BH38+$BC38*Templates!$H$31/$BI38)/Templates!$B$23)</f>
        <v/>
      </c>
    </row>
    <row r="39">
      <c r="A39" s="28" t="inlineStr">
        <is>
          <t>Concrete_1</t>
        </is>
      </c>
      <c r="B39" s="20" t="inlineStr">
        <is>
          <t>Lime Rock New Energy L.P.</t>
        </is>
      </c>
      <c r="C39" s="28" t="inlineStr">
        <is>
          <t>Lime Rock New Energy L.P.</t>
        </is>
      </c>
      <c r="D39" s="28" t="inlineStr"/>
      <c r="E39" s="28" t="inlineStr">
        <is>
          <t>No</t>
        </is>
      </c>
      <c r="F39" s="28" t="inlineStr">
        <is>
          <t>Active</t>
        </is>
      </c>
      <c r="G39" s="38" t="n"/>
      <c r="H39" s="29" t="n">
        <v>1</v>
      </c>
      <c r="I39" s="39" t="n"/>
      <c r="J39" s="39" t="n"/>
      <c r="K39" s="31" t="n"/>
      <c r="L39" s="31" t="n"/>
      <c r="M39" s="31" t="n"/>
      <c r="N39" s="31" t="n"/>
      <c r="O39" s="31" t="n"/>
      <c r="P39" s="31" t="n"/>
      <c r="Q39" s="23">
        <f>IF($A39="","",COUNTIFS(Assignments!$C$2:$C$769,$A39,Assignments!$G$2:$G$769,"Active"))</f>
        <v/>
      </c>
      <c r="R39" s="32">
        <f>IF($A39="","",SUMIFS(Assignments!$I$2:$I$769,Assignments!$C$2:$C$769,$A39,Assignments!$G$2:$G$769,"Active"))</f>
        <v/>
      </c>
      <c r="S39" s="20" t="inlineStr">
        <is>
          <t>WIP</t>
        </is>
      </c>
      <c r="T39" s="31" t="n"/>
      <c r="U39" s="38" t="n"/>
      <c r="V39" s="34">
        <f>IF($U39="","",IFERROR(INDEX(Templates!$K$3:$K$10,MATCH($U39,Templates!$A$3:$A$10,0)),""))</f>
        <v/>
      </c>
      <c r="W39" s="34">
        <f>IF($U39="","",IFERROR(INDEX(Templates!$L$3:$L$10,MATCH($U39,Templates!$A$3:$A$10,0)),""))</f>
        <v/>
      </c>
      <c r="X39" s="21">
        <f>IF($U39="","",IFERROR(INDEX(Templates!$J$3:$J$10,MATCH($U39,Templates!$A$3:$A$10,0)),""))</f>
        <v/>
      </c>
      <c r="Y39" s="35">
        <f>IF(OR($U39="",$I39="",$J39="",$X39=""),"",$I39+$X39*($J39-$I39))</f>
        <v/>
      </c>
      <c r="Z39" s="30" t="n">
        <v>46212</v>
      </c>
      <c r="AA39" s="40" t="n"/>
      <c r="AB39" s="41" t="n"/>
      <c r="AC39" s="41" t="n"/>
      <c r="AD39" s="19">
        <f>IF($A39="","",IF($AA39="",$H39,$AA39))</f>
        <v/>
      </c>
      <c r="AE39" s="35">
        <f>IF($A39="","",IF($AB39="",$I39,$AB39))</f>
        <v/>
      </c>
      <c r="AF39" s="35">
        <f>IF($A39="","",IF($AC39="",$J39,$AC39))</f>
        <v/>
      </c>
      <c r="AG39" s="35">
        <f>IF(OR($U39="",$AE39="",$AF39="",$X39=""),"",$AE39+$X39*($AF39-$AE39))</f>
        <v/>
      </c>
      <c r="AH39" s="38" t="n"/>
      <c r="AI39" s="38" t="n"/>
      <c r="AJ39" s="38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42" t="n"/>
      <c r="AZ39" s="42" t="n"/>
      <c r="BA39" s="42" t="n"/>
      <c r="BB39" s="42" t="n"/>
      <c r="BC39" s="42" t="n"/>
      <c r="BD39" s="37">
        <f>IF($A39="","",SUM($AY39:$BC39))</f>
        <v/>
      </c>
      <c r="BE39" s="18">
        <f>IF($A39="","",IF(AND($I39&lt;&gt;"",$J39&lt;&gt;""),MAX(1,($J39-$I39)/7),Templates!$B$35))</f>
        <v/>
      </c>
      <c r="BF39" s="18">
        <f>IF($A39="","",IF(AND($I39&lt;&gt;"",$J39&lt;&gt;""),MAX(1,($J39-$I39)/7),Templates!$B$36))</f>
        <v/>
      </c>
      <c r="BG39" s="18">
        <f>IF($A39="","",IF(AND($I39&lt;&gt;"",$J39&lt;&gt;""),MAX(1,($J39-$I39)/7),Templates!$B$37))</f>
        <v/>
      </c>
      <c r="BH39" s="18">
        <f>IF($A39="","",IF(AND($I39&lt;&gt;"",$J39&lt;&gt;""),MAX(1,($J39-$I39)/7),Templates!$B$38))</f>
        <v/>
      </c>
      <c r="BI39" s="18">
        <f>IF($A39="","",IF(AND($I39&lt;&gt;"",$J39&lt;&gt;""),MAX(1,($J39-$I39)/7),Templates!$B$39))</f>
        <v/>
      </c>
      <c r="BJ39" s="18">
        <f>IF(OR($A39="",$BD39=0),0,($AY39*Templates!$B$27/$BE39+$AZ39*Templates!$B$28/$BF39+$BA39*Templates!$B$29/$BG39+$BB39*Templates!$B$30/$BH39+$BC39*Templates!$B$31/$BI39)/Templates!$B$17)</f>
        <v/>
      </c>
      <c r="BK39" s="18">
        <f>IF(OR($A39="",$BD39=0),0,($AY39*Templates!$C$27/$BE39+$AZ39*Templates!$C$28/$BF39+$BA39*Templates!$C$29/$BG39+$BB39*Templates!$C$30/$BH39+$BC39*Templates!$C$31/$BI39)/Templates!$B$18)</f>
        <v/>
      </c>
      <c r="BL39" s="18">
        <f>IF(OR($A39="",$BD39=0),0,($AY39*Templates!$D$27/$BE39+$AZ39*Templates!$D$28/$BF39+$BA39*Templates!$D$29/$BG39+$BB39*Templates!$D$30/$BH39+$BC39*Templates!$D$31/$BI39)/Templates!$B$19)</f>
        <v/>
      </c>
      <c r="BM39" s="18">
        <f>IF(OR($A39="",$BD39=0),0,($AY39*Templates!$E$27/$BE39+$AZ39*Templates!$E$28/$BF39+$BA39*Templates!$E$29/$BG39+$BB39*Templates!$E$30/$BH39+$BC39*Templates!$E$31/$BI39)/Templates!$B$20)</f>
        <v/>
      </c>
      <c r="BN39" s="18">
        <f>IF(OR($A39="",$BD39=0),0,($AY39*Templates!$F$27/$BE39+$AZ39*Templates!$F$28/$BF39+$BA39*Templates!$F$29/$BG39+$BB39*Templates!$F$30/$BH39+$BC39*Templates!$F$31/$BI39)/Templates!$B$21)</f>
        <v/>
      </c>
      <c r="BO39" s="18">
        <f>IF(OR($A39="",$BD39=0),0,($AY39*Templates!$G$27/$BE39+$AZ39*Templates!$G$28/$BF39+$BA39*Templates!$G$29/$BG39+$BB39*Templates!$G$30/$BH39+$BC39*Templates!$G$31/$BI39)/Templates!$B$22)</f>
        <v/>
      </c>
      <c r="BP39" s="18">
        <f>IF(OR($A39="",$BD39=0),0,($AY39*Templates!$H$27/$BE39+$AZ39*Templates!$H$28/$BF39+$BA39*Templates!$H$29/$BG39+$BB39*Templates!$H$30/$BH39+$BC39*Templates!$H$31/$BI39)/Templates!$B$23)</f>
        <v/>
      </c>
    </row>
    <row r="40">
      <c r="A40" s="28" t="inlineStr">
        <is>
          <t>Copia_3</t>
        </is>
      </c>
      <c r="B40" s="20" t="inlineStr">
        <is>
          <t>Copia Power</t>
        </is>
      </c>
      <c r="C40" s="28" t="inlineStr">
        <is>
          <t>Copia Power</t>
        </is>
      </c>
      <c r="D40" s="28" t="inlineStr"/>
      <c r="E40" s="28" t="inlineStr">
        <is>
          <t>No</t>
        </is>
      </c>
      <c r="F40" s="28" t="inlineStr">
        <is>
          <t>Active</t>
        </is>
      </c>
      <c r="G40" s="38" t="n"/>
      <c r="H40" s="29" t="n">
        <v>1</v>
      </c>
      <c r="I40" s="39" t="n"/>
      <c r="J40" s="39" t="n"/>
      <c r="K40" s="31" t="n"/>
      <c r="L40" s="31" t="n"/>
      <c r="M40" s="31" t="n"/>
      <c r="N40" s="31" t="n"/>
      <c r="O40" s="31" t="n"/>
      <c r="P40" s="31" t="n"/>
      <c r="Q40" s="23">
        <f>IF($A40="","",COUNTIFS(Assignments!$C$2:$C$769,$A40,Assignments!$G$2:$G$769,"Active"))</f>
        <v/>
      </c>
      <c r="R40" s="32">
        <f>IF($A40="","",SUMIFS(Assignments!$I$2:$I$769,Assignments!$C$2:$C$769,$A40,Assignments!$G$2:$G$769,"Active"))</f>
        <v/>
      </c>
      <c r="S40" s="20" t="inlineStr">
        <is>
          <t>WIP</t>
        </is>
      </c>
      <c r="T40" s="31" t="n"/>
      <c r="U40" s="38" t="n"/>
      <c r="V40" s="34">
        <f>IF($U40="","",IFERROR(INDEX(Templates!$K$3:$K$10,MATCH($U40,Templates!$A$3:$A$10,0)),""))</f>
        <v/>
      </c>
      <c r="W40" s="34">
        <f>IF($U40="","",IFERROR(INDEX(Templates!$L$3:$L$10,MATCH($U40,Templates!$A$3:$A$10,0)),""))</f>
        <v/>
      </c>
      <c r="X40" s="21">
        <f>IF($U40="","",IFERROR(INDEX(Templates!$J$3:$J$10,MATCH($U40,Templates!$A$3:$A$10,0)),""))</f>
        <v/>
      </c>
      <c r="Y40" s="35">
        <f>IF(OR($U40="",$I40="",$J40="",$X40=""),"",$I40+$X40*($J40-$I40))</f>
        <v/>
      </c>
      <c r="Z40" s="30" t="n">
        <v>46212</v>
      </c>
      <c r="AA40" s="40" t="n"/>
      <c r="AB40" s="41" t="n"/>
      <c r="AC40" s="41" t="n"/>
      <c r="AD40" s="19">
        <f>IF($A40="","",IF($AA40="",$H40,$AA40))</f>
        <v/>
      </c>
      <c r="AE40" s="35">
        <f>IF($A40="","",IF($AB40="",$I40,$AB40))</f>
        <v/>
      </c>
      <c r="AF40" s="35">
        <f>IF($A40="","",IF($AC40="",$J40,$AC40))</f>
        <v/>
      </c>
      <c r="AG40" s="35">
        <f>IF(OR($U40="",$AE40="",$AF40="",$X40=""),"",$AE40+$X40*($AF40-$AE40))</f>
        <v/>
      </c>
      <c r="AH40" s="38" t="n"/>
      <c r="AI40" s="38" t="n"/>
      <c r="AJ40" s="38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42" t="n"/>
      <c r="AZ40" s="42" t="n"/>
      <c r="BA40" s="42" t="n"/>
      <c r="BB40" s="42" t="n"/>
      <c r="BC40" s="42" t="n"/>
      <c r="BD40" s="37">
        <f>IF($A40="","",SUM($AY40:$BC40))</f>
        <v/>
      </c>
      <c r="BE40" s="18">
        <f>IF($A40="","",IF(AND($I40&lt;&gt;"",$J40&lt;&gt;""),MAX(1,($J40-$I40)/7),Templates!$B$35))</f>
        <v/>
      </c>
      <c r="BF40" s="18">
        <f>IF($A40="","",IF(AND($I40&lt;&gt;"",$J40&lt;&gt;""),MAX(1,($J40-$I40)/7),Templates!$B$36))</f>
        <v/>
      </c>
      <c r="BG40" s="18">
        <f>IF($A40="","",IF(AND($I40&lt;&gt;"",$J40&lt;&gt;""),MAX(1,($J40-$I40)/7),Templates!$B$37))</f>
        <v/>
      </c>
      <c r="BH40" s="18">
        <f>IF($A40="","",IF(AND($I40&lt;&gt;"",$J40&lt;&gt;""),MAX(1,($J40-$I40)/7),Templates!$B$38))</f>
        <v/>
      </c>
      <c r="BI40" s="18">
        <f>IF($A40="","",IF(AND($I40&lt;&gt;"",$J40&lt;&gt;""),MAX(1,($J40-$I40)/7),Templates!$B$39))</f>
        <v/>
      </c>
      <c r="BJ40" s="18">
        <f>IF(OR($A40="",$BD40=0),0,($AY40*Templates!$B$27/$BE40+$AZ40*Templates!$B$28/$BF40+$BA40*Templates!$B$29/$BG40+$BB40*Templates!$B$30/$BH40+$BC40*Templates!$B$31/$BI40)/Templates!$B$17)</f>
        <v/>
      </c>
      <c r="BK40" s="18">
        <f>IF(OR($A40="",$BD40=0),0,($AY40*Templates!$C$27/$BE40+$AZ40*Templates!$C$28/$BF40+$BA40*Templates!$C$29/$BG40+$BB40*Templates!$C$30/$BH40+$BC40*Templates!$C$31/$BI40)/Templates!$B$18)</f>
        <v/>
      </c>
      <c r="BL40" s="18">
        <f>IF(OR($A40="",$BD40=0),0,($AY40*Templates!$D$27/$BE40+$AZ40*Templates!$D$28/$BF40+$BA40*Templates!$D$29/$BG40+$BB40*Templates!$D$30/$BH40+$BC40*Templates!$D$31/$BI40)/Templates!$B$19)</f>
        <v/>
      </c>
      <c r="BM40" s="18">
        <f>IF(OR($A40="",$BD40=0),0,($AY40*Templates!$E$27/$BE40+$AZ40*Templates!$E$28/$BF40+$BA40*Templates!$E$29/$BG40+$BB40*Templates!$E$30/$BH40+$BC40*Templates!$E$31/$BI40)/Templates!$B$20)</f>
        <v/>
      </c>
      <c r="BN40" s="18">
        <f>IF(OR($A40="",$BD40=0),0,($AY40*Templates!$F$27/$BE40+$AZ40*Templates!$F$28/$BF40+$BA40*Templates!$F$29/$BG40+$BB40*Templates!$F$30/$BH40+$BC40*Templates!$F$31/$BI40)/Templates!$B$21)</f>
        <v/>
      </c>
      <c r="BO40" s="18">
        <f>IF(OR($A40="",$BD40=0),0,($AY40*Templates!$G$27/$BE40+$AZ40*Templates!$G$28/$BF40+$BA40*Templates!$G$29/$BG40+$BB40*Templates!$G$30/$BH40+$BC40*Templates!$G$31/$BI40)/Templates!$B$22)</f>
        <v/>
      </c>
      <c r="BP40" s="18">
        <f>IF(OR($A40="",$BD40=0),0,($AY40*Templates!$H$27/$BE40+$AZ40*Templates!$H$28/$BF40+$BA40*Templates!$H$29/$BG40+$BB40*Templates!$H$30/$BH40+$BC40*Templates!$H$31/$BI40)/Templates!$B$23)</f>
        <v/>
      </c>
    </row>
    <row r="41">
      <c r="A41" s="28" t="inlineStr">
        <is>
          <t>CopiaAdHoc_1</t>
        </is>
      </c>
      <c r="B41" s="20" t="inlineStr">
        <is>
          <t>Copia Power</t>
        </is>
      </c>
      <c r="C41" s="28" t="inlineStr">
        <is>
          <t>Copia Power</t>
        </is>
      </c>
      <c r="D41" s="28" t="inlineStr"/>
      <c r="E41" s="28" t="inlineStr">
        <is>
          <t>No</t>
        </is>
      </c>
      <c r="F41" s="28" t="inlineStr">
        <is>
          <t>Active</t>
        </is>
      </c>
      <c r="G41" s="38" t="n"/>
      <c r="H41" s="29" t="n">
        <v>1</v>
      </c>
      <c r="I41" s="39" t="n"/>
      <c r="J41" s="39" t="n"/>
      <c r="K41" s="31" t="n"/>
      <c r="L41" s="31" t="n"/>
      <c r="M41" s="31" t="n"/>
      <c r="N41" s="31" t="n"/>
      <c r="O41" s="31" t="n"/>
      <c r="P41" s="31" t="n"/>
      <c r="Q41" s="23">
        <f>IF($A41="","",COUNTIFS(Assignments!$C$2:$C$769,$A41,Assignments!$G$2:$G$769,"Active"))</f>
        <v/>
      </c>
      <c r="R41" s="32">
        <f>IF($A41="","",SUMIFS(Assignments!$I$2:$I$769,Assignments!$C$2:$C$769,$A41,Assignments!$G$2:$G$769,"Active"))</f>
        <v/>
      </c>
      <c r="S41" s="20" t="inlineStr">
        <is>
          <t>WIP</t>
        </is>
      </c>
      <c r="T41" s="31" t="n"/>
      <c r="U41" s="38" t="n"/>
      <c r="V41" s="34">
        <f>IF($U41="","",IFERROR(INDEX(Templates!$K$3:$K$10,MATCH($U41,Templates!$A$3:$A$10,0)),""))</f>
        <v/>
      </c>
      <c r="W41" s="34">
        <f>IF($U41="","",IFERROR(INDEX(Templates!$L$3:$L$10,MATCH($U41,Templates!$A$3:$A$10,0)),""))</f>
        <v/>
      </c>
      <c r="X41" s="21">
        <f>IF($U41="","",IFERROR(INDEX(Templates!$J$3:$J$10,MATCH($U41,Templates!$A$3:$A$10,0)),""))</f>
        <v/>
      </c>
      <c r="Y41" s="35">
        <f>IF(OR($U41="",$I41="",$J41="",$X41=""),"",$I41+$X41*($J41-$I41))</f>
        <v/>
      </c>
      <c r="Z41" s="30" t="n">
        <v>46212</v>
      </c>
      <c r="AA41" s="40" t="n"/>
      <c r="AB41" s="41" t="n"/>
      <c r="AC41" s="41" t="n"/>
      <c r="AD41" s="19">
        <f>IF($A41="","",IF($AA41="",$H41,$AA41))</f>
        <v/>
      </c>
      <c r="AE41" s="35">
        <f>IF($A41="","",IF($AB41="",$I41,$AB41))</f>
        <v/>
      </c>
      <c r="AF41" s="35">
        <f>IF($A41="","",IF($AC41="",$J41,$AC41))</f>
        <v/>
      </c>
      <c r="AG41" s="35">
        <f>IF(OR($U41="",$AE41="",$AF41="",$X41=""),"",$AE41+$X41*($AF41-$AE41))</f>
        <v/>
      </c>
      <c r="AH41" s="38" t="n"/>
      <c r="AI41" s="38" t="n"/>
      <c r="AJ41" s="38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42" t="n"/>
      <c r="AZ41" s="42" t="n"/>
      <c r="BA41" s="42" t="n"/>
      <c r="BB41" s="42" t="n"/>
      <c r="BC41" s="42" t="n"/>
      <c r="BD41" s="37">
        <f>IF($A41="","",SUM($AY41:$BC41))</f>
        <v/>
      </c>
      <c r="BE41" s="18">
        <f>IF($A41="","",IF(AND($I41&lt;&gt;"",$J41&lt;&gt;""),MAX(1,($J41-$I41)/7),Templates!$B$35))</f>
        <v/>
      </c>
      <c r="BF41" s="18">
        <f>IF($A41="","",IF(AND($I41&lt;&gt;"",$J41&lt;&gt;""),MAX(1,($J41-$I41)/7),Templates!$B$36))</f>
        <v/>
      </c>
      <c r="BG41" s="18">
        <f>IF($A41="","",IF(AND($I41&lt;&gt;"",$J41&lt;&gt;""),MAX(1,($J41-$I41)/7),Templates!$B$37))</f>
        <v/>
      </c>
      <c r="BH41" s="18">
        <f>IF($A41="","",IF(AND($I41&lt;&gt;"",$J41&lt;&gt;""),MAX(1,($J41-$I41)/7),Templates!$B$38))</f>
        <v/>
      </c>
      <c r="BI41" s="18">
        <f>IF($A41="","",IF(AND($I41&lt;&gt;"",$J41&lt;&gt;""),MAX(1,($J41-$I41)/7),Templates!$B$39))</f>
        <v/>
      </c>
      <c r="BJ41" s="18">
        <f>IF(OR($A41="",$BD41=0),0,($AY41*Templates!$B$27/$BE41+$AZ41*Templates!$B$28/$BF41+$BA41*Templates!$B$29/$BG41+$BB41*Templates!$B$30/$BH41+$BC41*Templates!$B$31/$BI41)/Templates!$B$17)</f>
        <v/>
      </c>
      <c r="BK41" s="18">
        <f>IF(OR($A41="",$BD41=0),0,($AY41*Templates!$C$27/$BE41+$AZ41*Templates!$C$28/$BF41+$BA41*Templates!$C$29/$BG41+$BB41*Templates!$C$30/$BH41+$BC41*Templates!$C$31/$BI41)/Templates!$B$18)</f>
        <v/>
      </c>
      <c r="BL41" s="18">
        <f>IF(OR($A41="",$BD41=0),0,($AY41*Templates!$D$27/$BE41+$AZ41*Templates!$D$28/$BF41+$BA41*Templates!$D$29/$BG41+$BB41*Templates!$D$30/$BH41+$BC41*Templates!$D$31/$BI41)/Templates!$B$19)</f>
        <v/>
      </c>
      <c r="BM41" s="18">
        <f>IF(OR($A41="",$BD41=0),0,($AY41*Templates!$E$27/$BE41+$AZ41*Templates!$E$28/$BF41+$BA41*Templates!$E$29/$BG41+$BB41*Templates!$E$30/$BH41+$BC41*Templates!$E$31/$BI41)/Templates!$B$20)</f>
        <v/>
      </c>
      <c r="BN41" s="18">
        <f>IF(OR($A41="",$BD41=0),0,($AY41*Templates!$F$27/$BE41+$AZ41*Templates!$F$28/$BF41+$BA41*Templates!$F$29/$BG41+$BB41*Templates!$F$30/$BH41+$BC41*Templates!$F$31/$BI41)/Templates!$B$21)</f>
        <v/>
      </c>
      <c r="BO41" s="18">
        <f>IF(OR($A41="",$BD41=0),0,($AY41*Templates!$G$27/$BE41+$AZ41*Templates!$G$28/$BF41+$BA41*Templates!$G$29/$BG41+$BB41*Templates!$G$30/$BH41+$BC41*Templates!$G$31/$BI41)/Templates!$B$22)</f>
        <v/>
      </c>
      <c r="BP41" s="18">
        <f>IF(OR($A41="",$BD41=0),0,($AY41*Templates!$H$27/$BE41+$AZ41*Templates!$H$28/$BF41+$BA41*Templates!$H$29/$BG41+$BB41*Templates!$H$30/$BH41+$BC41*Templates!$H$31/$BI41)/Templates!$B$23)</f>
        <v/>
      </c>
    </row>
    <row r="42">
      <c r="A42" s="28" t="inlineStr">
        <is>
          <t>Coral II_1</t>
        </is>
      </c>
      <c r="B42" s="20" t="inlineStr">
        <is>
          <t>John Laing</t>
        </is>
      </c>
      <c r="C42" s="28" t="inlineStr">
        <is>
          <t>John Laing</t>
        </is>
      </c>
      <c r="D42" s="28" t="inlineStr"/>
      <c r="E42" s="28" t="inlineStr">
        <is>
          <t>No</t>
        </is>
      </c>
      <c r="F42" s="28" t="inlineStr">
        <is>
          <t>Active</t>
        </is>
      </c>
      <c r="G42" s="38" t="n"/>
      <c r="H42" s="29" t="n">
        <v>1</v>
      </c>
      <c r="I42" s="39" t="n"/>
      <c r="J42" s="39" t="n"/>
      <c r="K42" s="31" t="n"/>
      <c r="L42" s="31" t="n"/>
      <c r="M42" s="31" t="n"/>
      <c r="N42" s="31" t="n"/>
      <c r="O42" s="31" t="n"/>
      <c r="P42" s="31" t="n"/>
      <c r="Q42" s="23">
        <f>IF($A42="","",COUNTIFS(Assignments!$C$2:$C$769,$A42,Assignments!$G$2:$G$769,"Active"))</f>
        <v/>
      </c>
      <c r="R42" s="32">
        <f>IF($A42="","",SUMIFS(Assignments!$I$2:$I$769,Assignments!$C$2:$C$769,$A42,Assignments!$G$2:$G$769,"Active"))</f>
        <v/>
      </c>
      <c r="S42" s="20" t="inlineStr">
        <is>
          <t>WIP</t>
        </is>
      </c>
      <c r="T42" s="31" t="n"/>
      <c r="U42" s="38" t="n"/>
      <c r="V42" s="34">
        <f>IF($U42="","",IFERROR(INDEX(Templates!$K$3:$K$10,MATCH($U42,Templates!$A$3:$A$10,0)),""))</f>
        <v/>
      </c>
      <c r="W42" s="34">
        <f>IF($U42="","",IFERROR(INDEX(Templates!$L$3:$L$10,MATCH($U42,Templates!$A$3:$A$10,0)),""))</f>
        <v/>
      </c>
      <c r="X42" s="21">
        <f>IF($U42="","",IFERROR(INDEX(Templates!$J$3:$J$10,MATCH($U42,Templates!$A$3:$A$10,0)),""))</f>
        <v/>
      </c>
      <c r="Y42" s="35">
        <f>IF(OR($U42="",$I42="",$J42="",$X42=""),"",$I42+$X42*($J42-$I42))</f>
        <v/>
      </c>
      <c r="Z42" s="30" t="n">
        <v>46212</v>
      </c>
      <c r="AA42" s="40" t="n"/>
      <c r="AB42" s="41" t="n"/>
      <c r="AC42" s="41" t="n"/>
      <c r="AD42" s="19">
        <f>IF($A42="","",IF($AA42="",$H42,$AA42))</f>
        <v/>
      </c>
      <c r="AE42" s="35">
        <f>IF($A42="","",IF($AB42="",$I42,$AB42))</f>
        <v/>
      </c>
      <c r="AF42" s="35">
        <f>IF($A42="","",IF($AC42="",$J42,$AC42))</f>
        <v/>
      </c>
      <c r="AG42" s="35">
        <f>IF(OR($U42="",$AE42="",$AF42="",$X42=""),"",$AE42+$X42*($AF42-$AE42))</f>
        <v/>
      </c>
      <c r="AH42" s="38" t="n"/>
      <c r="AI42" s="38" t="n"/>
      <c r="AJ42" s="38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42" t="n"/>
      <c r="AZ42" s="42" t="n"/>
      <c r="BA42" s="42" t="n"/>
      <c r="BB42" s="42" t="n"/>
      <c r="BC42" s="42" t="n"/>
      <c r="BD42" s="37">
        <f>IF($A42="","",SUM($AY42:$BC42))</f>
        <v/>
      </c>
      <c r="BE42" s="18">
        <f>IF($A42="","",IF(AND($I42&lt;&gt;"",$J42&lt;&gt;""),MAX(1,($J42-$I42)/7),Templates!$B$35))</f>
        <v/>
      </c>
      <c r="BF42" s="18">
        <f>IF($A42="","",IF(AND($I42&lt;&gt;"",$J42&lt;&gt;""),MAX(1,($J42-$I42)/7),Templates!$B$36))</f>
        <v/>
      </c>
      <c r="BG42" s="18">
        <f>IF($A42="","",IF(AND($I42&lt;&gt;"",$J42&lt;&gt;""),MAX(1,($J42-$I42)/7),Templates!$B$37))</f>
        <v/>
      </c>
      <c r="BH42" s="18">
        <f>IF($A42="","",IF(AND($I42&lt;&gt;"",$J42&lt;&gt;""),MAX(1,($J42-$I42)/7),Templates!$B$38))</f>
        <v/>
      </c>
      <c r="BI42" s="18">
        <f>IF($A42="","",IF(AND($I42&lt;&gt;"",$J42&lt;&gt;""),MAX(1,($J42-$I42)/7),Templates!$B$39))</f>
        <v/>
      </c>
      <c r="BJ42" s="18">
        <f>IF(OR($A42="",$BD42=0),0,($AY42*Templates!$B$27/$BE42+$AZ42*Templates!$B$28/$BF42+$BA42*Templates!$B$29/$BG42+$BB42*Templates!$B$30/$BH42+$BC42*Templates!$B$31/$BI42)/Templates!$B$17)</f>
        <v/>
      </c>
      <c r="BK42" s="18">
        <f>IF(OR($A42="",$BD42=0),0,($AY42*Templates!$C$27/$BE42+$AZ42*Templates!$C$28/$BF42+$BA42*Templates!$C$29/$BG42+$BB42*Templates!$C$30/$BH42+$BC42*Templates!$C$31/$BI42)/Templates!$B$18)</f>
        <v/>
      </c>
      <c r="BL42" s="18">
        <f>IF(OR($A42="",$BD42=0),0,($AY42*Templates!$D$27/$BE42+$AZ42*Templates!$D$28/$BF42+$BA42*Templates!$D$29/$BG42+$BB42*Templates!$D$30/$BH42+$BC42*Templates!$D$31/$BI42)/Templates!$B$19)</f>
        <v/>
      </c>
      <c r="BM42" s="18">
        <f>IF(OR($A42="",$BD42=0),0,($AY42*Templates!$E$27/$BE42+$AZ42*Templates!$E$28/$BF42+$BA42*Templates!$E$29/$BG42+$BB42*Templates!$E$30/$BH42+$BC42*Templates!$E$31/$BI42)/Templates!$B$20)</f>
        <v/>
      </c>
      <c r="BN42" s="18">
        <f>IF(OR($A42="",$BD42=0),0,($AY42*Templates!$F$27/$BE42+$AZ42*Templates!$F$28/$BF42+$BA42*Templates!$F$29/$BG42+$BB42*Templates!$F$30/$BH42+$BC42*Templates!$F$31/$BI42)/Templates!$B$21)</f>
        <v/>
      </c>
      <c r="BO42" s="18">
        <f>IF(OR($A42="",$BD42=0),0,($AY42*Templates!$G$27/$BE42+$AZ42*Templates!$G$28/$BF42+$BA42*Templates!$G$29/$BG42+$BB42*Templates!$G$30/$BH42+$BC42*Templates!$G$31/$BI42)/Templates!$B$22)</f>
        <v/>
      </c>
      <c r="BP42" s="18">
        <f>IF(OR($A42="",$BD42=0),0,($AY42*Templates!$H$27/$BE42+$AZ42*Templates!$H$28/$BF42+$BA42*Templates!$H$29/$BG42+$BB42*Templates!$H$30/$BH42+$BC42*Templates!$H$31/$BI42)/Templates!$B$23)</f>
        <v/>
      </c>
    </row>
    <row r="43">
      <c r="A43" s="28" t="inlineStr">
        <is>
          <t>Cosmetic _1</t>
        </is>
      </c>
      <c r="B43" s="20" t="inlineStr">
        <is>
          <t>Taxand Global : Arsene TaxAnd</t>
        </is>
      </c>
      <c r="C43" s="28" t="inlineStr">
        <is>
          <t>Taxand Global</t>
        </is>
      </c>
      <c r="D43" s="28" t="inlineStr">
        <is>
          <t>Arsene TaxAnd</t>
        </is>
      </c>
      <c r="E43" s="28" t="inlineStr">
        <is>
          <t>No</t>
        </is>
      </c>
      <c r="F43" s="28" t="inlineStr">
        <is>
          <t>Active</t>
        </is>
      </c>
      <c r="G43" s="38" t="n"/>
      <c r="H43" s="29" t="n">
        <v>1</v>
      </c>
      <c r="I43" s="39" t="n"/>
      <c r="J43" s="39" t="n"/>
      <c r="K43" s="31" t="n"/>
      <c r="L43" s="31" t="n"/>
      <c r="M43" s="31" t="n"/>
      <c r="N43" s="31" t="n"/>
      <c r="O43" s="31" t="n"/>
      <c r="P43" s="31" t="n"/>
      <c r="Q43" s="23">
        <f>IF($A43="","",COUNTIFS(Assignments!$C$2:$C$769,$A43,Assignments!$G$2:$G$769,"Active"))</f>
        <v/>
      </c>
      <c r="R43" s="32">
        <f>IF($A43="","",SUMIFS(Assignments!$I$2:$I$769,Assignments!$C$2:$C$769,$A43,Assignments!$G$2:$G$769,"Active"))</f>
        <v/>
      </c>
      <c r="S43" s="20" t="inlineStr">
        <is>
          <t>Proposal + WIP (duplicate rows merged)</t>
        </is>
      </c>
      <c r="T43" s="31" t="n"/>
      <c r="U43" s="38" t="n"/>
      <c r="V43" s="34">
        <f>IF($U43="","",IFERROR(INDEX(Templates!$K$3:$K$10,MATCH($U43,Templates!$A$3:$A$10,0)),""))</f>
        <v/>
      </c>
      <c r="W43" s="34">
        <f>IF($U43="","",IFERROR(INDEX(Templates!$L$3:$L$10,MATCH($U43,Templates!$A$3:$A$10,0)),""))</f>
        <v/>
      </c>
      <c r="X43" s="21">
        <f>IF($U43="","",IFERROR(INDEX(Templates!$J$3:$J$10,MATCH($U43,Templates!$A$3:$A$10,0)),""))</f>
        <v/>
      </c>
      <c r="Y43" s="35">
        <f>IF(OR($U43="",$I43="",$J43="",$X43=""),"",$I43+$X43*($J43-$I43))</f>
        <v/>
      </c>
      <c r="Z43" s="30" t="n">
        <v>46212</v>
      </c>
      <c r="AA43" s="40" t="n"/>
      <c r="AB43" s="41" t="n"/>
      <c r="AC43" s="41" t="n"/>
      <c r="AD43" s="19">
        <f>IF($A43="","",IF($AA43="",$H43,$AA43))</f>
        <v/>
      </c>
      <c r="AE43" s="35">
        <f>IF($A43="","",IF($AB43="",$I43,$AB43))</f>
        <v/>
      </c>
      <c r="AF43" s="35">
        <f>IF($A43="","",IF($AC43="",$J43,$AC43))</f>
        <v/>
      </c>
      <c r="AG43" s="35">
        <f>IF(OR($U43="",$AE43="",$AF43="",$X43=""),"",$AE43+$X43*($AF43-$AE43))</f>
        <v/>
      </c>
      <c r="AH43" s="38" t="n"/>
      <c r="AI43" s="38" t="n"/>
      <c r="AJ43" s="38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42" t="n"/>
      <c r="AZ43" s="42" t="n"/>
      <c r="BA43" s="42" t="n"/>
      <c r="BB43" s="42" t="n"/>
      <c r="BC43" s="42" t="n"/>
      <c r="BD43" s="37">
        <f>IF($A43="","",SUM($AY43:$BC43))</f>
        <v/>
      </c>
      <c r="BE43" s="18">
        <f>IF($A43="","",IF(AND($I43&lt;&gt;"",$J43&lt;&gt;""),MAX(1,($J43-$I43)/7),Templates!$B$35))</f>
        <v/>
      </c>
      <c r="BF43" s="18">
        <f>IF($A43="","",IF(AND($I43&lt;&gt;"",$J43&lt;&gt;""),MAX(1,($J43-$I43)/7),Templates!$B$36))</f>
        <v/>
      </c>
      <c r="BG43" s="18">
        <f>IF($A43="","",IF(AND($I43&lt;&gt;"",$J43&lt;&gt;""),MAX(1,($J43-$I43)/7),Templates!$B$37))</f>
        <v/>
      </c>
      <c r="BH43" s="18">
        <f>IF($A43="","",IF(AND($I43&lt;&gt;"",$J43&lt;&gt;""),MAX(1,($J43-$I43)/7),Templates!$B$38))</f>
        <v/>
      </c>
      <c r="BI43" s="18">
        <f>IF($A43="","",IF(AND($I43&lt;&gt;"",$J43&lt;&gt;""),MAX(1,($J43-$I43)/7),Templates!$B$39))</f>
        <v/>
      </c>
      <c r="BJ43" s="18">
        <f>IF(OR($A43="",$BD43=0),0,($AY43*Templates!$B$27/$BE43+$AZ43*Templates!$B$28/$BF43+$BA43*Templates!$B$29/$BG43+$BB43*Templates!$B$30/$BH43+$BC43*Templates!$B$31/$BI43)/Templates!$B$17)</f>
        <v/>
      </c>
      <c r="BK43" s="18">
        <f>IF(OR($A43="",$BD43=0),0,($AY43*Templates!$C$27/$BE43+$AZ43*Templates!$C$28/$BF43+$BA43*Templates!$C$29/$BG43+$BB43*Templates!$C$30/$BH43+$BC43*Templates!$C$31/$BI43)/Templates!$B$18)</f>
        <v/>
      </c>
      <c r="BL43" s="18">
        <f>IF(OR($A43="",$BD43=0),0,($AY43*Templates!$D$27/$BE43+$AZ43*Templates!$D$28/$BF43+$BA43*Templates!$D$29/$BG43+$BB43*Templates!$D$30/$BH43+$BC43*Templates!$D$31/$BI43)/Templates!$B$19)</f>
        <v/>
      </c>
      <c r="BM43" s="18">
        <f>IF(OR($A43="",$BD43=0),0,($AY43*Templates!$E$27/$BE43+$AZ43*Templates!$E$28/$BF43+$BA43*Templates!$E$29/$BG43+$BB43*Templates!$E$30/$BH43+$BC43*Templates!$E$31/$BI43)/Templates!$B$20)</f>
        <v/>
      </c>
      <c r="BN43" s="18">
        <f>IF(OR($A43="",$BD43=0),0,($AY43*Templates!$F$27/$BE43+$AZ43*Templates!$F$28/$BF43+$BA43*Templates!$F$29/$BG43+$BB43*Templates!$F$30/$BH43+$BC43*Templates!$F$31/$BI43)/Templates!$B$21)</f>
        <v/>
      </c>
      <c r="BO43" s="18">
        <f>IF(OR($A43="",$BD43=0),0,($AY43*Templates!$G$27/$BE43+$AZ43*Templates!$G$28/$BF43+$BA43*Templates!$G$29/$BG43+$BB43*Templates!$G$30/$BH43+$BC43*Templates!$G$31/$BI43)/Templates!$B$22)</f>
        <v/>
      </c>
      <c r="BP43" s="18">
        <f>IF(OR($A43="",$BD43=0),0,($AY43*Templates!$H$27/$BE43+$AZ43*Templates!$H$28/$BF43+$BA43*Templates!$H$29/$BG43+$BB43*Templates!$H$30/$BH43+$BC43*Templates!$H$31/$BI43)/Templates!$B$23)</f>
        <v/>
      </c>
    </row>
    <row r="44">
      <c r="A44" s="28" t="inlineStr">
        <is>
          <t>Cotton_1</t>
        </is>
      </c>
      <c r="B44" s="20" t="inlineStr">
        <is>
          <t>Northleaf Capital Partners</t>
        </is>
      </c>
      <c r="C44" s="28" t="inlineStr">
        <is>
          <t>Northleaf Capital Partners</t>
        </is>
      </c>
      <c r="D44" s="28" t="inlineStr"/>
      <c r="E44" s="28" t="inlineStr">
        <is>
          <t>No</t>
        </is>
      </c>
      <c r="F44" s="28" t="inlineStr">
        <is>
          <t>Active</t>
        </is>
      </c>
      <c r="G44" s="38" t="n"/>
      <c r="H44" s="29" t="n">
        <v>1</v>
      </c>
      <c r="I44" s="39" t="n"/>
      <c r="J44" s="39" t="n"/>
      <c r="K44" s="31" t="n"/>
      <c r="L44" s="31" t="n"/>
      <c r="M44" s="31" t="n"/>
      <c r="N44" s="31" t="n"/>
      <c r="O44" s="31" t="n"/>
      <c r="P44" s="31" t="n"/>
      <c r="Q44" s="23">
        <f>IF($A44="","",COUNTIFS(Assignments!$C$2:$C$769,$A44,Assignments!$G$2:$G$769,"Active"))</f>
        <v/>
      </c>
      <c r="R44" s="32">
        <f>IF($A44="","",SUMIFS(Assignments!$I$2:$I$769,Assignments!$C$2:$C$769,$A44,Assignments!$G$2:$G$769,"Active"))</f>
        <v/>
      </c>
      <c r="S44" s="20" t="inlineStr">
        <is>
          <t>WIP</t>
        </is>
      </c>
      <c r="T44" s="31" t="n"/>
      <c r="U44" s="38" t="n"/>
      <c r="V44" s="34">
        <f>IF($U44="","",IFERROR(INDEX(Templates!$K$3:$K$10,MATCH($U44,Templates!$A$3:$A$10,0)),""))</f>
        <v/>
      </c>
      <c r="W44" s="34">
        <f>IF($U44="","",IFERROR(INDEX(Templates!$L$3:$L$10,MATCH($U44,Templates!$A$3:$A$10,0)),""))</f>
        <v/>
      </c>
      <c r="X44" s="21">
        <f>IF($U44="","",IFERROR(INDEX(Templates!$J$3:$J$10,MATCH($U44,Templates!$A$3:$A$10,0)),""))</f>
        <v/>
      </c>
      <c r="Y44" s="35">
        <f>IF(OR($U44="",$I44="",$J44="",$X44=""),"",$I44+$X44*($J44-$I44))</f>
        <v/>
      </c>
      <c r="Z44" s="30" t="n">
        <v>46212</v>
      </c>
      <c r="AA44" s="40" t="n"/>
      <c r="AB44" s="41" t="n"/>
      <c r="AC44" s="41" t="n"/>
      <c r="AD44" s="19">
        <f>IF($A44="","",IF($AA44="",$H44,$AA44))</f>
        <v/>
      </c>
      <c r="AE44" s="35">
        <f>IF($A44="","",IF($AB44="",$I44,$AB44))</f>
        <v/>
      </c>
      <c r="AF44" s="35">
        <f>IF($A44="","",IF($AC44="",$J44,$AC44))</f>
        <v/>
      </c>
      <c r="AG44" s="35">
        <f>IF(OR($U44="",$AE44="",$AF44="",$X44=""),"",$AE44+$X44*($AF44-$AE44))</f>
        <v/>
      </c>
      <c r="AH44" s="38" t="n"/>
      <c r="AI44" s="38" t="n"/>
      <c r="AJ44" s="38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42" t="n"/>
      <c r="AZ44" s="42" t="n"/>
      <c r="BA44" s="42" t="n"/>
      <c r="BB44" s="42" t="n"/>
      <c r="BC44" s="42" t="n"/>
      <c r="BD44" s="37">
        <f>IF($A44="","",SUM($AY44:$BC44))</f>
        <v/>
      </c>
      <c r="BE44" s="18">
        <f>IF($A44="","",IF(AND($I44&lt;&gt;"",$J44&lt;&gt;""),MAX(1,($J44-$I44)/7),Templates!$B$35))</f>
        <v/>
      </c>
      <c r="BF44" s="18">
        <f>IF($A44="","",IF(AND($I44&lt;&gt;"",$J44&lt;&gt;""),MAX(1,($J44-$I44)/7),Templates!$B$36))</f>
        <v/>
      </c>
      <c r="BG44" s="18">
        <f>IF($A44="","",IF(AND($I44&lt;&gt;"",$J44&lt;&gt;""),MAX(1,($J44-$I44)/7),Templates!$B$37))</f>
        <v/>
      </c>
      <c r="BH44" s="18">
        <f>IF($A44="","",IF(AND($I44&lt;&gt;"",$J44&lt;&gt;""),MAX(1,($J44-$I44)/7),Templates!$B$38))</f>
        <v/>
      </c>
      <c r="BI44" s="18">
        <f>IF($A44="","",IF(AND($I44&lt;&gt;"",$J44&lt;&gt;""),MAX(1,($J44-$I44)/7),Templates!$B$39))</f>
        <v/>
      </c>
      <c r="BJ44" s="18">
        <f>IF(OR($A44="",$BD44=0),0,($AY44*Templates!$B$27/$BE44+$AZ44*Templates!$B$28/$BF44+$BA44*Templates!$B$29/$BG44+$BB44*Templates!$B$30/$BH44+$BC44*Templates!$B$31/$BI44)/Templates!$B$17)</f>
        <v/>
      </c>
      <c r="BK44" s="18">
        <f>IF(OR($A44="",$BD44=0),0,($AY44*Templates!$C$27/$BE44+$AZ44*Templates!$C$28/$BF44+$BA44*Templates!$C$29/$BG44+$BB44*Templates!$C$30/$BH44+$BC44*Templates!$C$31/$BI44)/Templates!$B$18)</f>
        <v/>
      </c>
      <c r="BL44" s="18">
        <f>IF(OR($A44="",$BD44=0),0,($AY44*Templates!$D$27/$BE44+$AZ44*Templates!$D$28/$BF44+$BA44*Templates!$D$29/$BG44+$BB44*Templates!$D$30/$BH44+$BC44*Templates!$D$31/$BI44)/Templates!$B$19)</f>
        <v/>
      </c>
      <c r="BM44" s="18">
        <f>IF(OR($A44="",$BD44=0),0,($AY44*Templates!$E$27/$BE44+$AZ44*Templates!$E$28/$BF44+$BA44*Templates!$E$29/$BG44+$BB44*Templates!$E$30/$BH44+$BC44*Templates!$E$31/$BI44)/Templates!$B$20)</f>
        <v/>
      </c>
      <c r="BN44" s="18">
        <f>IF(OR($A44="",$BD44=0),0,($AY44*Templates!$F$27/$BE44+$AZ44*Templates!$F$28/$BF44+$BA44*Templates!$F$29/$BG44+$BB44*Templates!$F$30/$BH44+$BC44*Templates!$F$31/$BI44)/Templates!$B$21)</f>
        <v/>
      </c>
      <c r="BO44" s="18">
        <f>IF(OR($A44="",$BD44=0),0,($AY44*Templates!$G$27/$BE44+$AZ44*Templates!$G$28/$BF44+$BA44*Templates!$G$29/$BG44+$BB44*Templates!$G$30/$BH44+$BC44*Templates!$G$31/$BI44)/Templates!$B$22)</f>
        <v/>
      </c>
      <c r="BP44" s="18">
        <f>IF(OR($A44="",$BD44=0),0,($AY44*Templates!$H$27/$BE44+$AZ44*Templates!$H$28/$BF44+$BA44*Templates!$H$29/$BG44+$BB44*Templates!$H$30/$BH44+$BC44*Templates!$H$31/$BI44)/Templates!$B$23)</f>
        <v/>
      </c>
    </row>
    <row r="45">
      <c r="A45" s="28" t="inlineStr">
        <is>
          <t>Cowboy_1</t>
        </is>
      </c>
      <c r="B45" s="20" t="inlineStr">
        <is>
          <t>Enbridge</t>
        </is>
      </c>
      <c r="C45" s="28" t="inlineStr">
        <is>
          <t>Enbridge</t>
        </is>
      </c>
      <c r="D45" s="28" t="inlineStr"/>
      <c r="E45" s="28" t="inlineStr">
        <is>
          <t>No</t>
        </is>
      </c>
      <c r="F45" s="28" t="inlineStr">
        <is>
          <t>Active</t>
        </is>
      </c>
      <c r="G45" s="38" t="n"/>
      <c r="H45" s="29" t="n">
        <v>1</v>
      </c>
      <c r="I45" s="39" t="n"/>
      <c r="J45" s="39" t="n"/>
      <c r="K45" s="31" t="n"/>
      <c r="L45" s="31" t="n"/>
      <c r="M45" s="31" t="n"/>
      <c r="N45" s="31" t="n"/>
      <c r="O45" s="31" t="n"/>
      <c r="P45" s="31" t="n"/>
      <c r="Q45" s="23">
        <f>IF($A45="","",COUNTIFS(Assignments!$C$2:$C$769,$A45,Assignments!$G$2:$G$769,"Active"))</f>
        <v/>
      </c>
      <c r="R45" s="32">
        <f>IF($A45="","",SUMIFS(Assignments!$I$2:$I$769,Assignments!$C$2:$C$769,$A45,Assignments!$G$2:$G$769,"Active"))</f>
        <v/>
      </c>
      <c r="S45" s="20" t="inlineStr">
        <is>
          <t>WIP</t>
        </is>
      </c>
      <c r="T45" s="31" t="n"/>
      <c r="U45" s="38" t="n"/>
      <c r="V45" s="34">
        <f>IF($U45="","",IFERROR(INDEX(Templates!$K$3:$K$10,MATCH($U45,Templates!$A$3:$A$10,0)),""))</f>
        <v/>
      </c>
      <c r="W45" s="34">
        <f>IF($U45="","",IFERROR(INDEX(Templates!$L$3:$L$10,MATCH($U45,Templates!$A$3:$A$10,0)),""))</f>
        <v/>
      </c>
      <c r="X45" s="21">
        <f>IF($U45="","",IFERROR(INDEX(Templates!$J$3:$J$10,MATCH($U45,Templates!$A$3:$A$10,0)),""))</f>
        <v/>
      </c>
      <c r="Y45" s="35">
        <f>IF(OR($U45="",$I45="",$J45="",$X45=""),"",$I45+$X45*($J45-$I45))</f>
        <v/>
      </c>
      <c r="Z45" s="30" t="n">
        <v>46212</v>
      </c>
      <c r="AA45" s="40" t="n"/>
      <c r="AB45" s="41" t="n"/>
      <c r="AC45" s="41" t="n"/>
      <c r="AD45" s="19">
        <f>IF($A45="","",IF($AA45="",$H45,$AA45))</f>
        <v/>
      </c>
      <c r="AE45" s="35">
        <f>IF($A45="","",IF($AB45="",$I45,$AB45))</f>
        <v/>
      </c>
      <c r="AF45" s="35">
        <f>IF($A45="","",IF($AC45="",$J45,$AC45))</f>
        <v/>
      </c>
      <c r="AG45" s="35">
        <f>IF(OR($U45="",$AE45="",$AF45="",$X45=""),"",$AE45+$X45*($AF45-$AE45))</f>
        <v/>
      </c>
      <c r="AH45" s="38" t="n"/>
      <c r="AI45" s="38" t="n"/>
      <c r="AJ45" s="38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42" t="n"/>
      <c r="AZ45" s="42" t="n"/>
      <c r="BA45" s="42" t="n"/>
      <c r="BB45" s="42" t="n"/>
      <c r="BC45" s="42" t="n"/>
      <c r="BD45" s="37">
        <f>IF($A45="","",SUM($AY45:$BC45))</f>
        <v/>
      </c>
      <c r="BE45" s="18">
        <f>IF($A45="","",IF(AND($I45&lt;&gt;"",$J45&lt;&gt;""),MAX(1,($J45-$I45)/7),Templates!$B$35))</f>
        <v/>
      </c>
      <c r="BF45" s="18">
        <f>IF($A45="","",IF(AND($I45&lt;&gt;"",$J45&lt;&gt;""),MAX(1,($J45-$I45)/7),Templates!$B$36))</f>
        <v/>
      </c>
      <c r="BG45" s="18">
        <f>IF($A45="","",IF(AND($I45&lt;&gt;"",$J45&lt;&gt;""),MAX(1,($J45-$I45)/7),Templates!$B$37))</f>
        <v/>
      </c>
      <c r="BH45" s="18">
        <f>IF($A45="","",IF(AND($I45&lt;&gt;"",$J45&lt;&gt;""),MAX(1,($J45-$I45)/7),Templates!$B$38))</f>
        <v/>
      </c>
      <c r="BI45" s="18">
        <f>IF($A45="","",IF(AND($I45&lt;&gt;"",$J45&lt;&gt;""),MAX(1,($J45-$I45)/7),Templates!$B$39))</f>
        <v/>
      </c>
      <c r="BJ45" s="18">
        <f>IF(OR($A45="",$BD45=0),0,($AY45*Templates!$B$27/$BE45+$AZ45*Templates!$B$28/$BF45+$BA45*Templates!$B$29/$BG45+$BB45*Templates!$B$30/$BH45+$BC45*Templates!$B$31/$BI45)/Templates!$B$17)</f>
        <v/>
      </c>
      <c r="BK45" s="18">
        <f>IF(OR($A45="",$BD45=0),0,($AY45*Templates!$C$27/$BE45+$AZ45*Templates!$C$28/$BF45+$BA45*Templates!$C$29/$BG45+$BB45*Templates!$C$30/$BH45+$BC45*Templates!$C$31/$BI45)/Templates!$B$18)</f>
        <v/>
      </c>
      <c r="BL45" s="18">
        <f>IF(OR($A45="",$BD45=0),0,($AY45*Templates!$D$27/$BE45+$AZ45*Templates!$D$28/$BF45+$BA45*Templates!$D$29/$BG45+$BB45*Templates!$D$30/$BH45+$BC45*Templates!$D$31/$BI45)/Templates!$B$19)</f>
        <v/>
      </c>
      <c r="BM45" s="18">
        <f>IF(OR($A45="",$BD45=0),0,($AY45*Templates!$E$27/$BE45+$AZ45*Templates!$E$28/$BF45+$BA45*Templates!$E$29/$BG45+$BB45*Templates!$E$30/$BH45+$BC45*Templates!$E$31/$BI45)/Templates!$B$20)</f>
        <v/>
      </c>
      <c r="BN45" s="18">
        <f>IF(OR($A45="",$BD45=0),0,($AY45*Templates!$F$27/$BE45+$AZ45*Templates!$F$28/$BF45+$BA45*Templates!$F$29/$BG45+$BB45*Templates!$F$30/$BH45+$BC45*Templates!$F$31/$BI45)/Templates!$B$21)</f>
        <v/>
      </c>
      <c r="BO45" s="18">
        <f>IF(OR($A45="",$BD45=0),0,($AY45*Templates!$G$27/$BE45+$AZ45*Templates!$G$28/$BF45+$BA45*Templates!$G$29/$BG45+$BB45*Templates!$G$30/$BH45+$BC45*Templates!$G$31/$BI45)/Templates!$B$22)</f>
        <v/>
      </c>
      <c r="BP45" s="18">
        <f>IF(OR($A45="",$BD45=0),0,($AY45*Templates!$H$27/$BE45+$AZ45*Templates!$H$28/$BF45+$BA45*Templates!$H$29/$BG45+$BB45*Templates!$H$30/$BH45+$BC45*Templates!$H$31/$BI45)/Templates!$B$23)</f>
        <v/>
      </c>
    </row>
    <row r="46">
      <c r="A46" s="28" t="inlineStr">
        <is>
          <t>Cross_1</t>
        </is>
      </c>
      <c r="B46" s="20" t="inlineStr">
        <is>
          <t>Solertia MGA Ltd.</t>
        </is>
      </c>
      <c r="C46" s="28" t="inlineStr">
        <is>
          <t>Solertia MGA Ltd.</t>
        </is>
      </c>
      <c r="D46" s="28" t="inlineStr"/>
      <c r="E46" s="28" t="inlineStr">
        <is>
          <t>No</t>
        </is>
      </c>
      <c r="F46" s="28" t="inlineStr">
        <is>
          <t>Active</t>
        </is>
      </c>
      <c r="G46" s="38" t="n"/>
      <c r="H46" s="29" t="n">
        <v>1</v>
      </c>
      <c r="I46" s="39" t="n"/>
      <c r="J46" s="39" t="n"/>
      <c r="K46" s="31" t="n"/>
      <c r="L46" s="31" t="n"/>
      <c r="M46" s="31" t="n"/>
      <c r="N46" s="31" t="n"/>
      <c r="O46" s="31" t="n"/>
      <c r="P46" s="31" t="n"/>
      <c r="Q46" s="23">
        <f>IF($A46="","",COUNTIFS(Assignments!$C$2:$C$769,$A46,Assignments!$G$2:$G$769,"Active"))</f>
        <v/>
      </c>
      <c r="R46" s="32">
        <f>IF($A46="","",SUMIFS(Assignments!$I$2:$I$769,Assignments!$C$2:$C$769,$A46,Assignments!$G$2:$G$769,"Active"))</f>
        <v/>
      </c>
      <c r="S46" s="20" t="inlineStr">
        <is>
          <t>WIP</t>
        </is>
      </c>
      <c r="T46" s="31" t="n"/>
      <c r="U46" s="38" t="n"/>
      <c r="V46" s="34">
        <f>IF($U46="","",IFERROR(INDEX(Templates!$K$3:$K$10,MATCH($U46,Templates!$A$3:$A$10,0)),""))</f>
        <v/>
      </c>
      <c r="W46" s="34">
        <f>IF($U46="","",IFERROR(INDEX(Templates!$L$3:$L$10,MATCH($U46,Templates!$A$3:$A$10,0)),""))</f>
        <v/>
      </c>
      <c r="X46" s="21">
        <f>IF($U46="","",IFERROR(INDEX(Templates!$J$3:$J$10,MATCH($U46,Templates!$A$3:$A$10,0)),""))</f>
        <v/>
      </c>
      <c r="Y46" s="35">
        <f>IF(OR($U46="",$I46="",$J46="",$X46=""),"",$I46+$X46*($J46-$I46))</f>
        <v/>
      </c>
      <c r="Z46" s="30" t="n">
        <v>46212</v>
      </c>
      <c r="AA46" s="40" t="n"/>
      <c r="AB46" s="41" t="n"/>
      <c r="AC46" s="41" t="n"/>
      <c r="AD46" s="19">
        <f>IF($A46="","",IF($AA46="",$H46,$AA46))</f>
        <v/>
      </c>
      <c r="AE46" s="35">
        <f>IF($A46="","",IF($AB46="",$I46,$AB46))</f>
        <v/>
      </c>
      <c r="AF46" s="35">
        <f>IF($A46="","",IF($AC46="",$J46,$AC46))</f>
        <v/>
      </c>
      <c r="AG46" s="35">
        <f>IF(OR($U46="",$AE46="",$AF46="",$X46=""),"",$AE46+$X46*($AF46-$AE46))</f>
        <v/>
      </c>
      <c r="AH46" s="38" t="n"/>
      <c r="AI46" s="38" t="n"/>
      <c r="AJ46" s="38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42" t="n"/>
      <c r="AZ46" s="42" t="n"/>
      <c r="BA46" s="42" t="n"/>
      <c r="BB46" s="42" t="n"/>
      <c r="BC46" s="42" t="n"/>
      <c r="BD46" s="37">
        <f>IF($A46="","",SUM($AY46:$BC46))</f>
        <v/>
      </c>
      <c r="BE46" s="18">
        <f>IF($A46="","",IF(AND($I46&lt;&gt;"",$J46&lt;&gt;""),MAX(1,($J46-$I46)/7),Templates!$B$35))</f>
        <v/>
      </c>
      <c r="BF46" s="18">
        <f>IF($A46="","",IF(AND($I46&lt;&gt;"",$J46&lt;&gt;""),MAX(1,($J46-$I46)/7),Templates!$B$36))</f>
        <v/>
      </c>
      <c r="BG46" s="18">
        <f>IF($A46="","",IF(AND($I46&lt;&gt;"",$J46&lt;&gt;""),MAX(1,($J46-$I46)/7),Templates!$B$37))</f>
        <v/>
      </c>
      <c r="BH46" s="18">
        <f>IF($A46="","",IF(AND($I46&lt;&gt;"",$J46&lt;&gt;""),MAX(1,($J46-$I46)/7),Templates!$B$38))</f>
        <v/>
      </c>
      <c r="BI46" s="18">
        <f>IF($A46="","",IF(AND($I46&lt;&gt;"",$J46&lt;&gt;""),MAX(1,($J46-$I46)/7),Templates!$B$39))</f>
        <v/>
      </c>
      <c r="BJ46" s="18">
        <f>IF(OR($A46="",$BD46=0),0,($AY46*Templates!$B$27/$BE46+$AZ46*Templates!$B$28/$BF46+$BA46*Templates!$B$29/$BG46+$BB46*Templates!$B$30/$BH46+$BC46*Templates!$B$31/$BI46)/Templates!$B$17)</f>
        <v/>
      </c>
      <c r="BK46" s="18">
        <f>IF(OR($A46="",$BD46=0),0,($AY46*Templates!$C$27/$BE46+$AZ46*Templates!$C$28/$BF46+$BA46*Templates!$C$29/$BG46+$BB46*Templates!$C$30/$BH46+$BC46*Templates!$C$31/$BI46)/Templates!$B$18)</f>
        <v/>
      </c>
      <c r="BL46" s="18">
        <f>IF(OR($A46="",$BD46=0),0,($AY46*Templates!$D$27/$BE46+$AZ46*Templates!$D$28/$BF46+$BA46*Templates!$D$29/$BG46+$BB46*Templates!$D$30/$BH46+$BC46*Templates!$D$31/$BI46)/Templates!$B$19)</f>
        <v/>
      </c>
      <c r="BM46" s="18">
        <f>IF(OR($A46="",$BD46=0),0,($AY46*Templates!$E$27/$BE46+$AZ46*Templates!$E$28/$BF46+$BA46*Templates!$E$29/$BG46+$BB46*Templates!$E$30/$BH46+$BC46*Templates!$E$31/$BI46)/Templates!$B$20)</f>
        <v/>
      </c>
      <c r="BN46" s="18">
        <f>IF(OR($A46="",$BD46=0),0,($AY46*Templates!$F$27/$BE46+$AZ46*Templates!$F$28/$BF46+$BA46*Templates!$F$29/$BG46+$BB46*Templates!$F$30/$BH46+$BC46*Templates!$F$31/$BI46)/Templates!$B$21)</f>
        <v/>
      </c>
      <c r="BO46" s="18">
        <f>IF(OR($A46="",$BD46=0),0,($AY46*Templates!$G$27/$BE46+$AZ46*Templates!$G$28/$BF46+$BA46*Templates!$G$29/$BG46+$BB46*Templates!$G$30/$BH46+$BC46*Templates!$G$31/$BI46)/Templates!$B$22)</f>
        <v/>
      </c>
      <c r="BP46" s="18">
        <f>IF(OR($A46="",$BD46=0),0,($AY46*Templates!$H$27/$BE46+$AZ46*Templates!$H$28/$BF46+$BA46*Templates!$H$29/$BG46+$BB46*Templates!$H$30/$BH46+$BC46*Templates!$H$31/$BI46)/Templates!$B$23)</f>
        <v/>
      </c>
    </row>
    <row r="47">
      <c r="A47" s="28" t="inlineStr">
        <is>
          <t>Dawn_1</t>
        </is>
      </c>
      <c r="B47" s="20" t="inlineStr">
        <is>
          <t>Liberty GTS</t>
        </is>
      </c>
      <c r="C47" s="28" t="inlineStr">
        <is>
          <t>Liberty GTS</t>
        </is>
      </c>
      <c r="D47" s="28" t="inlineStr"/>
      <c r="E47" s="28" t="inlineStr">
        <is>
          <t>No</t>
        </is>
      </c>
      <c r="F47" s="28" t="inlineStr">
        <is>
          <t>Active</t>
        </is>
      </c>
      <c r="G47" s="38" t="n"/>
      <c r="H47" s="29" t="n">
        <v>1</v>
      </c>
      <c r="I47" s="39" t="n"/>
      <c r="J47" s="39" t="n"/>
      <c r="K47" s="31" t="n"/>
      <c r="L47" s="31" t="n"/>
      <c r="M47" s="31" t="n"/>
      <c r="N47" s="31" t="n"/>
      <c r="O47" s="31" t="n"/>
      <c r="P47" s="31" t="n"/>
      <c r="Q47" s="23">
        <f>IF($A47="","",COUNTIFS(Assignments!$C$2:$C$769,$A47,Assignments!$G$2:$G$769,"Active"))</f>
        <v/>
      </c>
      <c r="R47" s="32">
        <f>IF($A47="","",SUMIFS(Assignments!$I$2:$I$769,Assignments!$C$2:$C$769,$A47,Assignments!$G$2:$G$769,"Active"))</f>
        <v/>
      </c>
      <c r="S47" s="20" t="inlineStr">
        <is>
          <t>WIP</t>
        </is>
      </c>
      <c r="T47" s="31" t="n"/>
      <c r="U47" s="38" t="n"/>
      <c r="V47" s="34">
        <f>IF($U47="","",IFERROR(INDEX(Templates!$K$3:$K$10,MATCH($U47,Templates!$A$3:$A$10,0)),""))</f>
        <v/>
      </c>
      <c r="W47" s="34">
        <f>IF($U47="","",IFERROR(INDEX(Templates!$L$3:$L$10,MATCH($U47,Templates!$A$3:$A$10,0)),""))</f>
        <v/>
      </c>
      <c r="X47" s="21">
        <f>IF($U47="","",IFERROR(INDEX(Templates!$J$3:$J$10,MATCH($U47,Templates!$A$3:$A$10,0)),""))</f>
        <v/>
      </c>
      <c r="Y47" s="35">
        <f>IF(OR($U47="",$I47="",$J47="",$X47=""),"",$I47+$X47*($J47-$I47))</f>
        <v/>
      </c>
      <c r="Z47" s="30" t="n">
        <v>46212</v>
      </c>
      <c r="AA47" s="40" t="n"/>
      <c r="AB47" s="41" t="n"/>
      <c r="AC47" s="41" t="n"/>
      <c r="AD47" s="19">
        <f>IF($A47="","",IF($AA47="",$H47,$AA47))</f>
        <v/>
      </c>
      <c r="AE47" s="35">
        <f>IF($A47="","",IF($AB47="",$I47,$AB47))</f>
        <v/>
      </c>
      <c r="AF47" s="35">
        <f>IF($A47="","",IF($AC47="",$J47,$AC47))</f>
        <v/>
      </c>
      <c r="AG47" s="35">
        <f>IF(OR($U47="",$AE47="",$AF47="",$X47=""),"",$AE47+$X47*($AF47-$AE47))</f>
        <v/>
      </c>
      <c r="AH47" s="38" t="n"/>
      <c r="AI47" s="38" t="n"/>
      <c r="AJ47" s="38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42" t="n"/>
      <c r="AZ47" s="42" t="n"/>
      <c r="BA47" s="42" t="n"/>
      <c r="BB47" s="42" t="n"/>
      <c r="BC47" s="42" t="n"/>
      <c r="BD47" s="37">
        <f>IF($A47="","",SUM($AY47:$BC47))</f>
        <v/>
      </c>
      <c r="BE47" s="18">
        <f>IF($A47="","",IF(AND($I47&lt;&gt;"",$J47&lt;&gt;""),MAX(1,($J47-$I47)/7),Templates!$B$35))</f>
        <v/>
      </c>
      <c r="BF47" s="18">
        <f>IF($A47="","",IF(AND($I47&lt;&gt;"",$J47&lt;&gt;""),MAX(1,($J47-$I47)/7),Templates!$B$36))</f>
        <v/>
      </c>
      <c r="BG47" s="18">
        <f>IF($A47="","",IF(AND($I47&lt;&gt;"",$J47&lt;&gt;""),MAX(1,($J47-$I47)/7),Templates!$B$37))</f>
        <v/>
      </c>
      <c r="BH47" s="18">
        <f>IF($A47="","",IF(AND($I47&lt;&gt;"",$J47&lt;&gt;""),MAX(1,($J47-$I47)/7),Templates!$B$38))</f>
        <v/>
      </c>
      <c r="BI47" s="18">
        <f>IF($A47="","",IF(AND($I47&lt;&gt;"",$J47&lt;&gt;""),MAX(1,($J47-$I47)/7),Templates!$B$39))</f>
        <v/>
      </c>
      <c r="BJ47" s="18">
        <f>IF(OR($A47="",$BD47=0),0,($AY47*Templates!$B$27/$BE47+$AZ47*Templates!$B$28/$BF47+$BA47*Templates!$B$29/$BG47+$BB47*Templates!$B$30/$BH47+$BC47*Templates!$B$31/$BI47)/Templates!$B$17)</f>
        <v/>
      </c>
      <c r="BK47" s="18">
        <f>IF(OR($A47="",$BD47=0),0,($AY47*Templates!$C$27/$BE47+$AZ47*Templates!$C$28/$BF47+$BA47*Templates!$C$29/$BG47+$BB47*Templates!$C$30/$BH47+$BC47*Templates!$C$31/$BI47)/Templates!$B$18)</f>
        <v/>
      </c>
      <c r="BL47" s="18">
        <f>IF(OR($A47="",$BD47=0),0,($AY47*Templates!$D$27/$BE47+$AZ47*Templates!$D$28/$BF47+$BA47*Templates!$D$29/$BG47+$BB47*Templates!$D$30/$BH47+$BC47*Templates!$D$31/$BI47)/Templates!$B$19)</f>
        <v/>
      </c>
      <c r="BM47" s="18">
        <f>IF(OR($A47="",$BD47=0),0,($AY47*Templates!$E$27/$BE47+$AZ47*Templates!$E$28/$BF47+$BA47*Templates!$E$29/$BG47+$BB47*Templates!$E$30/$BH47+$BC47*Templates!$E$31/$BI47)/Templates!$B$20)</f>
        <v/>
      </c>
      <c r="BN47" s="18">
        <f>IF(OR($A47="",$BD47=0),0,($AY47*Templates!$F$27/$BE47+$AZ47*Templates!$F$28/$BF47+$BA47*Templates!$F$29/$BG47+$BB47*Templates!$F$30/$BH47+$BC47*Templates!$F$31/$BI47)/Templates!$B$21)</f>
        <v/>
      </c>
      <c r="BO47" s="18">
        <f>IF(OR($A47="",$BD47=0),0,($AY47*Templates!$G$27/$BE47+$AZ47*Templates!$G$28/$BF47+$BA47*Templates!$G$29/$BG47+$BB47*Templates!$G$30/$BH47+$BC47*Templates!$G$31/$BI47)/Templates!$B$22)</f>
        <v/>
      </c>
      <c r="BP47" s="18">
        <f>IF(OR($A47="",$BD47=0),0,($AY47*Templates!$H$27/$BE47+$AZ47*Templates!$H$28/$BF47+$BA47*Templates!$H$29/$BG47+$BB47*Templates!$H$30/$BH47+$BC47*Templates!$H$31/$BI47)/Templates!$B$23)</f>
        <v/>
      </c>
    </row>
    <row r="48">
      <c r="A48" s="28" t="inlineStr">
        <is>
          <t>DEBT analysis_1</t>
        </is>
      </c>
      <c r="B48" s="20" t="inlineStr">
        <is>
          <t>Arsene TaxAnd</t>
        </is>
      </c>
      <c r="C48" s="28" t="inlineStr">
        <is>
          <t>Arsene TaxAnd</t>
        </is>
      </c>
      <c r="D48" s="28" t="inlineStr"/>
      <c r="E48" s="28" t="inlineStr">
        <is>
          <t>No</t>
        </is>
      </c>
      <c r="F48" s="28" t="inlineStr">
        <is>
          <t>Active</t>
        </is>
      </c>
      <c r="G48" s="38" t="n"/>
      <c r="H48" s="29" t="n">
        <v>1</v>
      </c>
      <c r="I48" s="39" t="n"/>
      <c r="J48" s="39" t="n"/>
      <c r="K48" s="31" t="n"/>
      <c r="L48" s="31" t="n"/>
      <c r="M48" s="31" t="n"/>
      <c r="N48" s="31" t="n"/>
      <c r="O48" s="31" t="n"/>
      <c r="P48" s="31" t="n"/>
      <c r="Q48" s="23">
        <f>IF($A48="","",COUNTIFS(Assignments!$C$2:$C$769,$A48,Assignments!$G$2:$G$769,"Active"))</f>
        <v/>
      </c>
      <c r="R48" s="32">
        <f>IF($A48="","",SUMIFS(Assignments!$I$2:$I$769,Assignments!$C$2:$C$769,$A48,Assignments!$G$2:$G$769,"Active"))</f>
        <v/>
      </c>
      <c r="S48" s="20" t="inlineStr">
        <is>
          <t>WIP</t>
        </is>
      </c>
      <c r="T48" s="31" t="n"/>
      <c r="U48" s="38" t="n"/>
      <c r="V48" s="34">
        <f>IF($U48="","",IFERROR(INDEX(Templates!$K$3:$K$10,MATCH($U48,Templates!$A$3:$A$10,0)),""))</f>
        <v/>
      </c>
      <c r="W48" s="34">
        <f>IF($U48="","",IFERROR(INDEX(Templates!$L$3:$L$10,MATCH($U48,Templates!$A$3:$A$10,0)),""))</f>
        <v/>
      </c>
      <c r="X48" s="21">
        <f>IF($U48="","",IFERROR(INDEX(Templates!$J$3:$J$10,MATCH($U48,Templates!$A$3:$A$10,0)),""))</f>
        <v/>
      </c>
      <c r="Y48" s="35">
        <f>IF(OR($U48="",$I48="",$J48="",$X48=""),"",$I48+$X48*($J48-$I48))</f>
        <v/>
      </c>
      <c r="Z48" s="30" t="n">
        <v>46212</v>
      </c>
      <c r="AA48" s="40" t="n"/>
      <c r="AB48" s="41" t="n"/>
      <c r="AC48" s="41" t="n"/>
      <c r="AD48" s="19">
        <f>IF($A48="","",IF($AA48="",$H48,$AA48))</f>
        <v/>
      </c>
      <c r="AE48" s="35">
        <f>IF($A48="","",IF($AB48="",$I48,$AB48))</f>
        <v/>
      </c>
      <c r="AF48" s="35">
        <f>IF($A48="","",IF($AC48="",$J48,$AC48))</f>
        <v/>
      </c>
      <c r="AG48" s="35">
        <f>IF(OR($U48="",$AE48="",$AF48="",$X48=""),"",$AE48+$X48*($AF48-$AE48))</f>
        <v/>
      </c>
      <c r="AH48" s="38" t="n"/>
      <c r="AI48" s="38" t="n"/>
      <c r="AJ48" s="38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42" t="n"/>
      <c r="AZ48" s="42" t="n"/>
      <c r="BA48" s="42" t="n"/>
      <c r="BB48" s="42" t="n"/>
      <c r="BC48" s="42" t="n"/>
      <c r="BD48" s="37">
        <f>IF($A48="","",SUM($AY48:$BC48))</f>
        <v/>
      </c>
      <c r="BE48" s="18">
        <f>IF($A48="","",IF(AND($I48&lt;&gt;"",$J48&lt;&gt;""),MAX(1,($J48-$I48)/7),Templates!$B$35))</f>
        <v/>
      </c>
      <c r="BF48" s="18">
        <f>IF($A48="","",IF(AND($I48&lt;&gt;"",$J48&lt;&gt;""),MAX(1,($J48-$I48)/7),Templates!$B$36))</f>
        <v/>
      </c>
      <c r="BG48" s="18">
        <f>IF($A48="","",IF(AND($I48&lt;&gt;"",$J48&lt;&gt;""),MAX(1,($J48-$I48)/7),Templates!$B$37))</f>
        <v/>
      </c>
      <c r="BH48" s="18">
        <f>IF($A48="","",IF(AND($I48&lt;&gt;"",$J48&lt;&gt;""),MAX(1,($J48-$I48)/7),Templates!$B$38))</f>
        <v/>
      </c>
      <c r="BI48" s="18">
        <f>IF($A48="","",IF(AND($I48&lt;&gt;"",$J48&lt;&gt;""),MAX(1,($J48-$I48)/7),Templates!$B$39))</f>
        <v/>
      </c>
      <c r="BJ48" s="18">
        <f>IF(OR($A48="",$BD48=0),0,($AY48*Templates!$B$27/$BE48+$AZ48*Templates!$B$28/$BF48+$BA48*Templates!$B$29/$BG48+$BB48*Templates!$B$30/$BH48+$BC48*Templates!$B$31/$BI48)/Templates!$B$17)</f>
        <v/>
      </c>
      <c r="BK48" s="18">
        <f>IF(OR($A48="",$BD48=0),0,($AY48*Templates!$C$27/$BE48+$AZ48*Templates!$C$28/$BF48+$BA48*Templates!$C$29/$BG48+$BB48*Templates!$C$30/$BH48+$BC48*Templates!$C$31/$BI48)/Templates!$B$18)</f>
        <v/>
      </c>
      <c r="BL48" s="18">
        <f>IF(OR($A48="",$BD48=0),0,($AY48*Templates!$D$27/$BE48+$AZ48*Templates!$D$28/$BF48+$BA48*Templates!$D$29/$BG48+$BB48*Templates!$D$30/$BH48+$BC48*Templates!$D$31/$BI48)/Templates!$B$19)</f>
        <v/>
      </c>
      <c r="BM48" s="18">
        <f>IF(OR($A48="",$BD48=0),0,($AY48*Templates!$E$27/$BE48+$AZ48*Templates!$E$28/$BF48+$BA48*Templates!$E$29/$BG48+$BB48*Templates!$E$30/$BH48+$BC48*Templates!$E$31/$BI48)/Templates!$B$20)</f>
        <v/>
      </c>
      <c r="BN48" s="18">
        <f>IF(OR($A48="",$BD48=0),0,($AY48*Templates!$F$27/$BE48+$AZ48*Templates!$F$28/$BF48+$BA48*Templates!$F$29/$BG48+$BB48*Templates!$F$30/$BH48+$BC48*Templates!$F$31/$BI48)/Templates!$B$21)</f>
        <v/>
      </c>
      <c r="BO48" s="18">
        <f>IF(OR($A48="",$BD48=0),0,($AY48*Templates!$G$27/$BE48+$AZ48*Templates!$G$28/$BF48+$BA48*Templates!$G$29/$BG48+$BB48*Templates!$G$30/$BH48+$BC48*Templates!$G$31/$BI48)/Templates!$B$22)</f>
        <v/>
      </c>
      <c r="BP48" s="18">
        <f>IF(OR($A48="",$BD48=0),0,($AY48*Templates!$H$27/$BE48+$AZ48*Templates!$H$28/$BF48+$BA48*Templates!$H$29/$BG48+$BB48*Templates!$H$30/$BH48+$BC48*Templates!$H$31/$BI48)/Templates!$B$23)</f>
        <v/>
      </c>
    </row>
    <row r="49">
      <c r="A49" s="28" t="inlineStr">
        <is>
          <t>Delaware_1</t>
        </is>
      </c>
      <c r="B49" s="20" t="inlineStr">
        <is>
          <t>CDS</t>
        </is>
      </c>
      <c r="C49" s="28" t="inlineStr">
        <is>
          <t>CDS</t>
        </is>
      </c>
      <c r="D49" s="28" t="inlineStr"/>
      <c r="E49" s="28" t="inlineStr">
        <is>
          <t>No</t>
        </is>
      </c>
      <c r="F49" s="28" t="inlineStr">
        <is>
          <t>Active</t>
        </is>
      </c>
      <c r="G49" s="38" t="n"/>
      <c r="H49" s="29" t="n">
        <v>1</v>
      </c>
      <c r="I49" s="39" t="n"/>
      <c r="J49" s="39" t="n"/>
      <c r="K49" s="31" t="n"/>
      <c r="L49" s="31" t="n"/>
      <c r="M49" s="31" t="n"/>
      <c r="N49" s="31" t="n"/>
      <c r="O49" s="31" t="n"/>
      <c r="P49" s="31" t="n"/>
      <c r="Q49" s="23">
        <f>IF($A49="","",COUNTIFS(Assignments!$C$2:$C$769,$A49,Assignments!$G$2:$G$769,"Active"))</f>
        <v/>
      </c>
      <c r="R49" s="32">
        <f>IF($A49="","",SUMIFS(Assignments!$I$2:$I$769,Assignments!$C$2:$C$769,$A49,Assignments!$G$2:$G$769,"Active"))</f>
        <v/>
      </c>
      <c r="S49" s="20" t="inlineStr">
        <is>
          <t>WIP</t>
        </is>
      </c>
      <c r="T49" s="31" t="n"/>
      <c r="U49" s="38" t="n"/>
      <c r="V49" s="34">
        <f>IF($U49="","",IFERROR(INDEX(Templates!$K$3:$K$10,MATCH($U49,Templates!$A$3:$A$10,0)),""))</f>
        <v/>
      </c>
      <c r="W49" s="34">
        <f>IF($U49="","",IFERROR(INDEX(Templates!$L$3:$L$10,MATCH($U49,Templates!$A$3:$A$10,0)),""))</f>
        <v/>
      </c>
      <c r="X49" s="21">
        <f>IF($U49="","",IFERROR(INDEX(Templates!$J$3:$J$10,MATCH($U49,Templates!$A$3:$A$10,0)),""))</f>
        <v/>
      </c>
      <c r="Y49" s="35">
        <f>IF(OR($U49="",$I49="",$J49="",$X49=""),"",$I49+$X49*($J49-$I49))</f>
        <v/>
      </c>
      <c r="Z49" s="30" t="n">
        <v>46212</v>
      </c>
      <c r="AA49" s="40" t="n"/>
      <c r="AB49" s="41" t="n"/>
      <c r="AC49" s="41" t="n"/>
      <c r="AD49" s="19">
        <f>IF($A49="","",IF($AA49="",$H49,$AA49))</f>
        <v/>
      </c>
      <c r="AE49" s="35">
        <f>IF($A49="","",IF($AB49="",$I49,$AB49))</f>
        <v/>
      </c>
      <c r="AF49" s="35">
        <f>IF($A49="","",IF($AC49="",$J49,$AC49))</f>
        <v/>
      </c>
      <c r="AG49" s="35">
        <f>IF(OR($U49="",$AE49="",$AF49="",$X49=""),"",$AE49+$X49*($AF49-$AE49))</f>
        <v/>
      </c>
      <c r="AH49" s="38" t="n"/>
      <c r="AI49" s="38" t="n"/>
      <c r="AJ49" s="38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42" t="n"/>
      <c r="AZ49" s="42" t="n"/>
      <c r="BA49" s="42" t="n"/>
      <c r="BB49" s="42" t="n"/>
      <c r="BC49" s="42" t="n"/>
      <c r="BD49" s="37">
        <f>IF($A49="","",SUM($AY49:$BC49))</f>
        <v/>
      </c>
      <c r="BE49" s="18">
        <f>IF($A49="","",IF(AND($I49&lt;&gt;"",$J49&lt;&gt;""),MAX(1,($J49-$I49)/7),Templates!$B$35))</f>
        <v/>
      </c>
      <c r="BF49" s="18">
        <f>IF($A49="","",IF(AND($I49&lt;&gt;"",$J49&lt;&gt;""),MAX(1,($J49-$I49)/7),Templates!$B$36))</f>
        <v/>
      </c>
      <c r="BG49" s="18">
        <f>IF($A49="","",IF(AND($I49&lt;&gt;"",$J49&lt;&gt;""),MAX(1,($J49-$I49)/7),Templates!$B$37))</f>
        <v/>
      </c>
      <c r="BH49" s="18">
        <f>IF($A49="","",IF(AND($I49&lt;&gt;"",$J49&lt;&gt;""),MAX(1,($J49-$I49)/7),Templates!$B$38))</f>
        <v/>
      </c>
      <c r="BI49" s="18">
        <f>IF($A49="","",IF(AND($I49&lt;&gt;"",$J49&lt;&gt;""),MAX(1,($J49-$I49)/7),Templates!$B$39))</f>
        <v/>
      </c>
      <c r="BJ49" s="18">
        <f>IF(OR($A49="",$BD49=0),0,($AY49*Templates!$B$27/$BE49+$AZ49*Templates!$B$28/$BF49+$BA49*Templates!$B$29/$BG49+$BB49*Templates!$B$30/$BH49+$BC49*Templates!$B$31/$BI49)/Templates!$B$17)</f>
        <v/>
      </c>
      <c r="BK49" s="18">
        <f>IF(OR($A49="",$BD49=0),0,($AY49*Templates!$C$27/$BE49+$AZ49*Templates!$C$28/$BF49+$BA49*Templates!$C$29/$BG49+$BB49*Templates!$C$30/$BH49+$BC49*Templates!$C$31/$BI49)/Templates!$B$18)</f>
        <v/>
      </c>
      <c r="BL49" s="18">
        <f>IF(OR($A49="",$BD49=0),0,($AY49*Templates!$D$27/$BE49+$AZ49*Templates!$D$28/$BF49+$BA49*Templates!$D$29/$BG49+$BB49*Templates!$D$30/$BH49+$BC49*Templates!$D$31/$BI49)/Templates!$B$19)</f>
        <v/>
      </c>
      <c r="BM49" s="18">
        <f>IF(OR($A49="",$BD49=0),0,($AY49*Templates!$E$27/$BE49+$AZ49*Templates!$E$28/$BF49+$BA49*Templates!$E$29/$BG49+$BB49*Templates!$E$30/$BH49+$BC49*Templates!$E$31/$BI49)/Templates!$B$20)</f>
        <v/>
      </c>
      <c r="BN49" s="18">
        <f>IF(OR($A49="",$BD49=0),0,($AY49*Templates!$F$27/$BE49+$AZ49*Templates!$F$28/$BF49+$BA49*Templates!$F$29/$BG49+$BB49*Templates!$F$30/$BH49+$BC49*Templates!$F$31/$BI49)/Templates!$B$21)</f>
        <v/>
      </c>
      <c r="BO49" s="18">
        <f>IF(OR($A49="",$BD49=0),0,($AY49*Templates!$G$27/$BE49+$AZ49*Templates!$G$28/$BF49+$BA49*Templates!$G$29/$BG49+$BB49*Templates!$G$30/$BH49+$BC49*Templates!$G$31/$BI49)/Templates!$B$22)</f>
        <v/>
      </c>
      <c r="BP49" s="18">
        <f>IF(OR($A49="",$BD49=0),0,($AY49*Templates!$H$27/$BE49+$AZ49*Templates!$H$28/$BF49+$BA49*Templates!$H$29/$BG49+$BB49*Templates!$H$30/$BH49+$BC49*Templates!$H$31/$BI49)/Templates!$B$23)</f>
        <v/>
      </c>
    </row>
    <row r="50">
      <c r="A50" s="28" t="inlineStr">
        <is>
          <t>Denali_3</t>
        </is>
      </c>
      <c r="B50" s="20" t="inlineStr">
        <is>
          <t>ECP</t>
        </is>
      </c>
      <c r="C50" s="28" t="inlineStr">
        <is>
          <t>ECP</t>
        </is>
      </c>
      <c r="D50" s="28" t="inlineStr"/>
      <c r="E50" s="28" t="inlineStr">
        <is>
          <t>No</t>
        </is>
      </c>
      <c r="F50" s="28" t="inlineStr">
        <is>
          <t>Active</t>
        </is>
      </c>
      <c r="G50" s="38" t="n"/>
      <c r="H50" s="29" t="n">
        <v>1</v>
      </c>
      <c r="I50" s="39" t="n"/>
      <c r="J50" s="39" t="n"/>
      <c r="K50" s="31" t="n"/>
      <c r="L50" s="31" t="n"/>
      <c r="M50" s="31" t="n"/>
      <c r="N50" s="31" t="n"/>
      <c r="O50" s="31" t="n"/>
      <c r="P50" s="31" t="n"/>
      <c r="Q50" s="23">
        <f>IF($A50="","",COUNTIFS(Assignments!$C$2:$C$769,$A50,Assignments!$G$2:$G$769,"Active"))</f>
        <v/>
      </c>
      <c r="R50" s="32">
        <f>IF($A50="","",SUMIFS(Assignments!$I$2:$I$769,Assignments!$C$2:$C$769,$A50,Assignments!$G$2:$G$769,"Active"))</f>
        <v/>
      </c>
      <c r="S50" s="20" t="inlineStr">
        <is>
          <t>WIP</t>
        </is>
      </c>
      <c r="T50" s="31" t="n"/>
      <c r="U50" s="38" t="n"/>
      <c r="V50" s="34">
        <f>IF($U50="","",IFERROR(INDEX(Templates!$K$3:$K$10,MATCH($U50,Templates!$A$3:$A$10,0)),""))</f>
        <v/>
      </c>
      <c r="W50" s="34">
        <f>IF($U50="","",IFERROR(INDEX(Templates!$L$3:$L$10,MATCH($U50,Templates!$A$3:$A$10,0)),""))</f>
        <v/>
      </c>
      <c r="X50" s="21">
        <f>IF($U50="","",IFERROR(INDEX(Templates!$J$3:$J$10,MATCH($U50,Templates!$A$3:$A$10,0)),""))</f>
        <v/>
      </c>
      <c r="Y50" s="35">
        <f>IF(OR($U50="",$I50="",$J50="",$X50=""),"",$I50+$X50*($J50-$I50))</f>
        <v/>
      </c>
      <c r="Z50" s="30" t="n">
        <v>46212</v>
      </c>
      <c r="AA50" s="40" t="n"/>
      <c r="AB50" s="41" t="n"/>
      <c r="AC50" s="41" t="n"/>
      <c r="AD50" s="19">
        <f>IF($A50="","",IF($AA50="",$H50,$AA50))</f>
        <v/>
      </c>
      <c r="AE50" s="35">
        <f>IF($A50="","",IF($AB50="",$I50,$AB50))</f>
        <v/>
      </c>
      <c r="AF50" s="35">
        <f>IF($A50="","",IF($AC50="",$J50,$AC50))</f>
        <v/>
      </c>
      <c r="AG50" s="35">
        <f>IF(OR($U50="",$AE50="",$AF50="",$X50=""),"",$AE50+$X50*($AF50-$AE50))</f>
        <v/>
      </c>
      <c r="AH50" s="38" t="n"/>
      <c r="AI50" s="38" t="n"/>
      <c r="AJ50" s="38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42" t="n"/>
      <c r="AZ50" s="42" t="n"/>
      <c r="BA50" s="42" t="n"/>
      <c r="BB50" s="42" t="n"/>
      <c r="BC50" s="42" t="n"/>
      <c r="BD50" s="37">
        <f>IF($A50="","",SUM($AY50:$BC50))</f>
        <v/>
      </c>
      <c r="BE50" s="18">
        <f>IF($A50="","",IF(AND($I50&lt;&gt;"",$J50&lt;&gt;""),MAX(1,($J50-$I50)/7),Templates!$B$35))</f>
        <v/>
      </c>
      <c r="BF50" s="18">
        <f>IF($A50="","",IF(AND($I50&lt;&gt;"",$J50&lt;&gt;""),MAX(1,($J50-$I50)/7),Templates!$B$36))</f>
        <v/>
      </c>
      <c r="BG50" s="18">
        <f>IF($A50="","",IF(AND($I50&lt;&gt;"",$J50&lt;&gt;""),MAX(1,($J50-$I50)/7),Templates!$B$37))</f>
        <v/>
      </c>
      <c r="BH50" s="18">
        <f>IF($A50="","",IF(AND($I50&lt;&gt;"",$J50&lt;&gt;""),MAX(1,($J50-$I50)/7),Templates!$B$38))</f>
        <v/>
      </c>
      <c r="BI50" s="18">
        <f>IF($A50="","",IF(AND($I50&lt;&gt;"",$J50&lt;&gt;""),MAX(1,($J50-$I50)/7),Templates!$B$39))</f>
        <v/>
      </c>
      <c r="BJ50" s="18">
        <f>IF(OR($A50="",$BD50=0),0,($AY50*Templates!$B$27/$BE50+$AZ50*Templates!$B$28/$BF50+$BA50*Templates!$B$29/$BG50+$BB50*Templates!$B$30/$BH50+$BC50*Templates!$B$31/$BI50)/Templates!$B$17)</f>
        <v/>
      </c>
      <c r="BK50" s="18">
        <f>IF(OR($A50="",$BD50=0),0,($AY50*Templates!$C$27/$BE50+$AZ50*Templates!$C$28/$BF50+$BA50*Templates!$C$29/$BG50+$BB50*Templates!$C$30/$BH50+$BC50*Templates!$C$31/$BI50)/Templates!$B$18)</f>
        <v/>
      </c>
      <c r="BL50" s="18">
        <f>IF(OR($A50="",$BD50=0),0,($AY50*Templates!$D$27/$BE50+$AZ50*Templates!$D$28/$BF50+$BA50*Templates!$D$29/$BG50+$BB50*Templates!$D$30/$BH50+$BC50*Templates!$D$31/$BI50)/Templates!$B$19)</f>
        <v/>
      </c>
      <c r="BM50" s="18">
        <f>IF(OR($A50="",$BD50=0),0,($AY50*Templates!$E$27/$BE50+$AZ50*Templates!$E$28/$BF50+$BA50*Templates!$E$29/$BG50+$BB50*Templates!$E$30/$BH50+$BC50*Templates!$E$31/$BI50)/Templates!$B$20)</f>
        <v/>
      </c>
      <c r="BN50" s="18">
        <f>IF(OR($A50="",$BD50=0),0,($AY50*Templates!$F$27/$BE50+$AZ50*Templates!$F$28/$BF50+$BA50*Templates!$F$29/$BG50+$BB50*Templates!$F$30/$BH50+$BC50*Templates!$F$31/$BI50)/Templates!$B$21)</f>
        <v/>
      </c>
      <c r="BO50" s="18">
        <f>IF(OR($A50="",$BD50=0),0,($AY50*Templates!$G$27/$BE50+$AZ50*Templates!$G$28/$BF50+$BA50*Templates!$G$29/$BG50+$BB50*Templates!$G$30/$BH50+$BC50*Templates!$G$31/$BI50)/Templates!$B$22)</f>
        <v/>
      </c>
      <c r="BP50" s="18">
        <f>IF(OR($A50="",$BD50=0),0,($AY50*Templates!$H$27/$BE50+$AZ50*Templates!$H$28/$BF50+$BA50*Templates!$H$29/$BG50+$BB50*Templates!$H$30/$BH50+$BC50*Templates!$H$31/$BI50)/Templates!$B$23)</f>
        <v/>
      </c>
    </row>
    <row r="51">
      <c r="A51" s="28" t="inlineStr">
        <is>
          <t>Denergy_1</t>
        </is>
      </c>
      <c r="B51" s="20" t="inlineStr">
        <is>
          <t>Denrgy LLC</t>
        </is>
      </c>
      <c r="C51" s="28" t="inlineStr">
        <is>
          <t>Denrgy LLC</t>
        </is>
      </c>
      <c r="D51" s="28" t="inlineStr"/>
      <c r="E51" s="28" t="inlineStr">
        <is>
          <t>No</t>
        </is>
      </c>
      <c r="F51" s="28" t="inlineStr">
        <is>
          <t>Active</t>
        </is>
      </c>
      <c r="G51" s="38" t="n"/>
      <c r="H51" s="29" t="n">
        <v>1</v>
      </c>
      <c r="I51" s="39" t="n"/>
      <c r="J51" s="39" t="n"/>
      <c r="K51" s="31" t="n"/>
      <c r="L51" s="31" t="n"/>
      <c r="M51" s="31" t="n"/>
      <c r="N51" s="31" t="n"/>
      <c r="O51" s="31" t="n"/>
      <c r="P51" s="31" t="n"/>
      <c r="Q51" s="23">
        <f>IF($A51="","",COUNTIFS(Assignments!$C$2:$C$769,$A51,Assignments!$G$2:$G$769,"Active"))</f>
        <v/>
      </c>
      <c r="R51" s="32">
        <f>IF($A51="","",SUMIFS(Assignments!$I$2:$I$769,Assignments!$C$2:$C$769,$A51,Assignments!$G$2:$G$769,"Active"))</f>
        <v/>
      </c>
      <c r="S51" s="20" t="inlineStr">
        <is>
          <t>WIP</t>
        </is>
      </c>
      <c r="T51" s="31" t="n"/>
      <c r="U51" s="38" t="n"/>
      <c r="V51" s="34">
        <f>IF($U51="","",IFERROR(INDEX(Templates!$K$3:$K$10,MATCH($U51,Templates!$A$3:$A$10,0)),""))</f>
        <v/>
      </c>
      <c r="W51" s="34">
        <f>IF($U51="","",IFERROR(INDEX(Templates!$L$3:$L$10,MATCH($U51,Templates!$A$3:$A$10,0)),""))</f>
        <v/>
      </c>
      <c r="X51" s="21">
        <f>IF($U51="","",IFERROR(INDEX(Templates!$J$3:$J$10,MATCH($U51,Templates!$A$3:$A$10,0)),""))</f>
        <v/>
      </c>
      <c r="Y51" s="35">
        <f>IF(OR($U51="",$I51="",$J51="",$X51=""),"",$I51+$X51*($J51-$I51))</f>
        <v/>
      </c>
      <c r="Z51" s="30" t="n">
        <v>46212</v>
      </c>
      <c r="AA51" s="40" t="n"/>
      <c r="AB51" s="41" t="n"/>
      <c r="AC51" s="41" t="n"/>
      <c r="AD51" s="19">
        <f>IF($A51="","",IF($AA51="",$H51,$AA51))</f>
        <v/>
      </c>
      <c r="AE51" s="35">
        <f>IF($A51="","",IF($AB51="",$I51,$AB51))</f>
        <v/>
      </c>
      <c r="AF51" s="35">
        <f>IF($A51="","",IF($AC51="",$J51,$AC51))</f>
        <v/>
      </c>
      <c r="AG51" s="35">
        <f>IF(OR($U51="",$AE51="",$AF51="",$X51=""),"",$AE51+$X51*($AF51-$AE51))</f>
        <v/>
      </c>
      <c r="AH51" s="38" t="n"/>
      <c r="AI51" s="38" t="n"/>
      <c r="AJ51" s="38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42" t="n"/>
      <c r="AZ51" s="42" t="n"/>
      <c r="BA51" s="42" t="n"/>
      <c r="BB51" s="42" t="n"/>
      <c r="BC51" s="42" t="n"/>
      <c r="BD51" s="37">
        <f>IF($A51="","",SUM($AY51:$BC51))</f>
        <v/>
      </c>
      <c r="BE51" s="18">
        <f>IF($A51="","",IF(AND($I51&lt;&gt;"",$J51&lt;&gt;""),MAX(1,($J51-$I51)/7),Templates!$B$35))</f>
        <v/>
      </c>
      <c r="BF51" s="18">
        <f>IF($A51="","",IF(AND($I51&lt;&gt;"",$J51&lt;&gt;""),MAX(1,($J51-$I51)/7),Templates!$B$36))</f>
        <v/>
      </c>
      <c r="BG51" s="18">
        <f>IF($A51="","",IF(AND($I51&lt;&gt;"",$J51&lt;&gt;""),MAX(1,($J51-$I51)/7),Templates!$B$37))</f>
        <v/>
      </c>
      <c r="BH51" s="18">
        <f>IF($A51="","",IF(AND($I51&lt;&gt;"",$J51&lt;&gt;""),MAX(1,($J51-$I51)/7),Templates!$B$38))</f>
        <v/>
      </c>
      <c r="BI51" s="18">
        <f>IF($A51="","",IF(AND($I51&lt;&gt;"",$J51&lt;&gt;""),MAX(1,($J51-$I51)/7),Templates!$B$39))</f>
        <v/>
      </c>
      <c r="BJ51" s="18">
        <f>IF(OR($A51="",$BD51=0),0,($AY51*Templates!$B$27/$BE51+$AZ51*Templates!$B$28/$BF51+$BA51*Templates!$B$29/$BG51+$BB51*Templates!$B$30/$BH51+$BC51*Templates!$B$31/$BI51)/Templates!$B$17)</f>
        <v/>
      </c>
      <c r="BK51" s="18">
        <f>IF(OR($A51="",$BD51=0),0,($AY51*Templates!$C$27/$BE51+$AZ51*Templates!$C$28/$BF51+$BA51*Templates!$C$29/$BG51+$BB51*Templates!$C$30/$BH51+$BC51*Templates!$C$31/$BI51)/Templates!$B$18)</f>
        <v/>
      </c>
      <c r="BL51" s="18">
        <f>IF(OR($A51="",$BD51=0),0,($AY51*Templates!$D$27/$BE51+$AZ51*Templates!$D$28/$BF51+$BA51*Templates!$D$29/$BG51+$BB51*Templates!$D$30/$BH51+$BC51*Templates!$D$31/$BI51)/Templates!$B$19)</f>
        <v/>
      </c>
      <c r="BM51" s="18">
        <f>IF(OR($A51="",$BD51=0),0,($AY51*Templates!$E$27/$BE51+$AZ51*Templates!$E$28/$BF51+$BA51*Templates!$E$29/$BG51+$BB51*Templates!$E$30/$BH51+$BC51*Templates!$E$31/$BI51)/Templates!$B$20)</f>
        <v/>
      </c>
      <c r="BN51" s="18">
        <f>IF(OR($A51="",$BD51=0),0,($AY51*Templates!$F$27/$BE51+$AZ51*Templates!$F$28/$BF51+$BA51*Templates!$F$29/$BG51+$BB51*Templates!$F$30/$BH51+$BC51*Templates!$F$31/$BI51)/Templates!$B$21)</f>
        <v/>
      </c>
      <c r="BO51" s="18">
        <f>IF(OR($A51="",$BD51=0),0,($AY51*Templates!$G$27/$BE51+$AZ51*Templates!$G$28/$BF51+$BA51*Templates!$G$29/$BG51+$BB51*Templates!$G$30/$BH51+$BC51*Templates!$G$31/$BI51)/Templates!$B$22)</f>
        <v/>
      </c>
      <c r="BP51" s="18">
        <f>IF(OR($A51="",$BD51=0),0,($AY51*Templates!$H$27/$BE51+$AZ51*Templates!$H$28/$BF51+$BA51*Templates!$H$29/$BG51+$BB51*Templates!$H$30/$BH51+$BC51*Templates!$H$31/$BI51)/Templates!$B$23)</f>
        <v/>
      </c>
    </row>
    <row r="52">
      <c r="A52" s="28" t="inlineStr">
        <is>
          <t>Dental_1</t>
        </is>
      </c>
      <c r="B52" s="20" t="inlineStr">
        <is>
          <t>Thurston Group, LLC</t>
        </is>
      </c>
      <c r="C52" s="28" t="inlineStr">
        <is>
          <t>Thurston Group, LLC</t>
        </is>
      </c>
      <c r="D52" s="28" t="inlineStr"/>
      <c r="E52" s="28" t="inlineStr">
        <is>
          <t>No</t>
        </is>
      </c>
      <c r="F52" s="28" t="inlineStr">
        <is>
          <t>Active</t>
        </is>
      </c>
      <c r="G52" s="38" t="n"/>
      <c r="H52" s="29" t="n">
        <v>1</v>
      </c>
      <c r="I52" s="39" t="n"/>
      <c r="J52" s="39" t="n"/>
      <c r="K52" s="31" t="n"/>
      <c r="L52" s="31" t="n"/>
      <c r="M52" s="31" t="n"/>
      <c r="N52" s="31" t="n"/>
      <c r="O52" s="31" t="n"/>
      <c r="P52" s="31" t="n"/>
      <c r="Q52" s="23">
        <f>IF($A52="","",COUNTIFS(Assignments!$C$2:$C$769,$A52,Assignments!$G$2:$G$769,"Active"))</f>
        <v/>
      </c>
      <c r="R52" s="32">
        <f>IF($A52="","",SUMIFS(Assignments!$I$2:$I$769,Assignments!$C$2:$C$769,$A52,Assignments!$G$2:$G$769,"Active"))</f>
        <v/>
      </c>
      <c r="S52" s="20" t="inlineStr">
        <is>
          <t>WIP</t>
        </is>
      </c>
      <c r="T52" s="31" t="n"/>
      <c r="U52" s="38" t="n"/>
      <c r="V52" s="34">
        <f>IF($U52="","",IFERROR(INDEX(Templates!$K$3:$K$10,MATCH($U52,Templates!$A$3:$A$10,0)),""))</f>
        <v/>
      </c>
      <c r="W52" s="34">
        <f>IF($U52="","",IFERROR(INDEX(Templates!$L$3:$L$10,MATCH($U52,Templates!$A$3:$A$10,0)),""))</f>
        <v/>
      </c>
      <c r="X52" s="21">
        <f>IF($U52="","",IFERROR(INDEX(Templates!$J$3:$J$10,MATCH($U52,Templates!$A$3:$A$10,0)),""))</f>
        <v/>
      </c>
      <c r="Y52" s="35">
        <f>IF(OR($U52="",$I52="",$J52="",$X52=""),"",$I52+$X52*($J52-$I52))</f>
        <v/>
      </c>
      <c r="Z52" s="30" t="n">
        <v>46212</v>
      </c>
      <c r="AA52" s="40" t="n"/>
      <c r="AB52" s="41" t="n"/>
      <c r="AC52" s="41" t="n"/>
      <c r="AD52" s="19">
        <f>IF($A52="","",IF($AA52="",$H52,$AA52))</f>
        <v/>
      </c>
      <c r="AE52" s="35">
        <f>IF($A52="","",IF($AB52="",$I52,$AB52))</f>
        <v/>
      </c>
      <c r="AF52" s="35">
        <f>IF($A52="","",IF($AC52="",$J52,$AC52))</f>
        <v/>
      </c>
      <c r="AG52" s="35">
        <f>IF(OR($U52="",$AE52="",$AF52="",$X52=""),"",$AE52+$X52*($AF52-$AE52))</f>
        <v/>
      </c>
      <c r="AH52" s="38" t="n"/>
      <c r="AI52" s="38" t="n"/>
      <c r="AJ52" s="38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42" t="n"/>
      <c r="AZ52" s="42" t="n"/>
      <c r="BA52" s="42" t="n"/>
      <c r="BB52" s="42" t="n"/>
      <c r="BC52" s="42" t="n"/>
      <c r="BD52" s="37">
        <f>IF($A52="","",SUM($AY52:$BC52))</f>
        <v/>
      </c>
      <c r="BE52" s="18">
        <f>IF($A52="","",IF(AND($I52&lt;&gt;"",$J52&lt;&gt;""),MAX(1,($J52-$I52)/7),Templates!$B$35))</f>
        <v/>
      </c>
      <c r="BF52" s="18">
        <f>IF($A52="","",IF(AND($I52&lt;&gt;"",$J52&lt;&gt;""),MAX(1,($J52-$I52)/7),Templates!$B$36))</f>
        <v/>
      </c>
      <c r="BG52" s="18">
        <f>IF($A52="","",IF(AND($I52&lt;&gt;"",$J52&lt;&gt;""),MAX(1,($J52-$I52)/7),Templates!$B$37))</f>
        <v/>
      </c>
      <c r="BH52" s="18">
        <f>IF($A52="","",IF(AND($I52&lt;&gt;"",$J52&lt;&gt;""),MAX(1,($J52-$I52)/7),Templates!$B$38))</f>
        <v/>
      </c>
      <c r="BI52" s="18">
        <f>IF($A52="","",IF(AND($I52&lt;&gt;"",$J52&lt;&gt;""),MAX(1,($J52-$I52)/7),Templates!$B$39))</f>
        <v/>
      </c>
      <c r="BJ52" s="18">
        <f>IF(OR($A52="",$BD52=0),0,($AY52*Templates!$B$27/$BE52+$AZ52*Templates!$B$28/$BF52+$BA52*Templates!$B$29/$BG52+$BB52*Templates!$B$30/$BH52+$BC52*Templates!$B$31/$BI52)/Templates!$B$17)</f>
        <v/>
      </c>
      <c r="BK52" s="18">
        <f>IF(OR($A52="",$BD52=0),0,($AY52*Templates!$C$27/$BE52+$AZ52*Templates!$C$28/$BF52+$BA52*Templates!$C$29/$BG52+$BB52*Templates!$C$30/$BH52+$BC52*Templates!$C$31/$BI52)/Templates!$B$18)</f>
        <v/>
      </c>
      <c r="BL52" s="18">
        <f>IF(OR($A52="",$BD52=0),0,($AY52*Templates!$D$27/$BE52+$AZ52*Templates!$D$28/$BF52+$BA52*Templates!$D$29/$BG52+$BB52*Templates!$D$30/$BH52+$BC52*Templates!$D$31/$BI52)/Templates!$B$19)</f>
        <v/>
      </c>
      <c r="BM52" s="18">
        <f>IF(OR($A52="",$BD52=0),0,($AY52*Templates!$E$27/$BE52+$AZ52*Templates!$E$28/$BF52+$BA52*Templates!$E$29/$BG52+$BB52*Templates!$E$30/$BH52+$BC52*Templates!$E$31/$BI52)/Templates!$B$20)</f>
        <v/>
      </c>
      <c r="BN52" s="18">
        <f>IF(OR($A52="",$BD52=0),0,($AY52*Templates!$F$27/$BE52+$AZ52*Templates!$F$28/$BF52+$BA52*Templates!$F$29/$BG52+$BB52*Templates!$F$30/$BH52+$BC52*Templates!$F$31/$BI52)/Templates!$B$21)</f>
        <v/>
      </c>
      <c r="BO52" s="18">
        <f>IF(OR($A52="",$BD52=0),0,($AY52*Templates!$G$27/$BE52+$AZ52*Templates!$G$28/$BF52+$BA52*Templates!$G$29/$BG52+$BB52*Templates!$G$30/$BH52+$BC52*Templates!$G$31/$BI52)/Templates!$B$22)</f>
        <v/>
      </c>
      <c r="BP52" s="18">
        <f>IF(OR($A52="",$BD52=0),0,($AY52*Templates!$H$27/$BE52+$AZ52*Templates!$H$28/$BF52+$BA52*Templates!$H$29/$BG52+$BB52*Templates!$H$30/$BH52+$BC52*Templates!$H$31/$BI52)/Templates!$B$23)</f>
        <v/>
      </c>
    </row>
    <row r="53">
      <c r="A53" s="28" t="inlineStr">
        <is>
          <t>Destiny_1</t>
        </is>
      </c>
      <c r="B53" s="20" t="inlineStr">
        <is>
          <t>Euclid Transactional</t>
        </is>
      </c>
      <c r="C53" s="28" t="inlineStr">
        <is>
          <t>Euclid Transactional</t>
        </is>
      </c>
      <c r="D53" s="28" t="inlineStr"/>
      <c r="E53" s="28" t="inlineStr">
        <is>
          <t>No</t>
        </is>
      </c>
      <c r="F53" s="28" t="inlineStr">
        <is>
          <t>Active</t>
        </is>
      </c>
      <c r="G53" s="38" t="n"/>
      <c r="H53" s="29" t="n">
        <v>1</v>
      </c>
      <c r="I53" s="39" t="n"/>
      <c r="J53" s="39" t="n"/>
      <c r="K53" s="31" t="n"/>
      <c r="L53" s="31" t="n"/>
      <c r="M53" s="31" t="n"/>
      <c r="N53" s="31" t="n"/>
      <c r="O53" s="31" t="n"/>
      <c r="P53" s="31" t="n"/>
      <c r="Q53" s="23">
        <f>IF($A53="","",COUNTIFS(Assignments!$C$2:$C$769,$A53,Assignments!$G$2:$G$769,"Active"))</f>
        <v/>
      </c>
      <c r="R53" s="32">
        <f>IF($A53="","",SUMIFS(Assignments!$I$2:$I$769,Assignments!$C$2:$C$769,$A53,Assignments!$G$2:$G$769,"Active"))</f>
        <v/>
      </c>
      <c r="S53" s="20" t="inlineStr">
        <is>
          <t>WIP</t>
        </is>
      </c>
      <c r="T53" s="31" t="n"/>
      <c r="U53" s="38" t="n"/>
      <c r="V53" s="34">
        <f>IF($U53="","",IFERROR(INDEX(Templates!$K$3:$K$10,MATCH($U53,Templates!$A$3:$A$10,0)),""))</f>
        <v/>
      </c>
      <c r="W53" s="34">
        <f>IF($U53="","",IFERROR(INDEX(Templates!$L$3:$L$10,MATCH($U53,Templates!$A$3:$A$10,0)),""))</f>
        <v/>
      </c>
      <c r="X53" s="21">
        <f>IF($U53="","",IFERROR(INDEX(Templates!$J$3:$J$10,MATCH($U53,Templates!$A$3:$A$10,0)),""))</f>
        <v/>
      </c>
      <c r="Y53" s="35">
        <f>IF(OR($U53="",$I53="",$J53="",$X53=""),"",$I53+$X53*($J53-$I53))</f>
        <v/>
      </c>
      <c r="Z53" s="30" t="n">
        <v>46212</v>
      </c>
      <c r="AA53" s="40" t="n"/>
      <c r="AB53" s="41" t="n"/>
      <c r="AC53" s="41" t="n"/>
      <c r="AD53" s="19">
        <f>IF($A53="","",IF($AA53="",$H53,$AA53))</f>
        <v/>
      </c>
      <c r="AE53" s="35">
        <f>IF($A53="","",IF($AB53="",$I53,$AB53))</f>
        <v/>
      </c>
      <c r="AF53" s="35">
        <f>IF($A53="","",IF($AC53="",$J53,$AC53))</f>
        <v/>
      </c>
      <c r="AG53" s="35">
        <f>IF(OR($U53="",$AE53="",$AF53="",$X53=""),"",$AE53+$X53*($AF53-$AE53))</f>
        <v/>
      </c>
      <c r="AH53" s="38" t="n"/>
      <c r="AI53" s="38" t="n"/>
      <c r="AJ53" s="38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42" t="n"/>
      <c r="AZ53" s="42" t="n"/>
      <c r="BA53" s="42" t="n"/>
      <c r="BB53" s="42" t="n"/>
      <c r="BC53" s="42" t="n"/>
      <c r="BD53" s="37">
        <f>IF($A53="","",SUM($AY53:$BC53))</f>
        <v/>
      </c>
      <c r="BE53" s="18">
        <f>IF($A53="","",IF(AND($I53&lt;&gt;"",$J53&lt;&gt;""),MAX(1,($J53-$I53)/7),Templates!$B$35))</f>
        <v/>
      </c>
      <c r="BF53" s="18">
        <f>IF($A53="","",IF(AND($I53&lt;&gt;"",$J53&lt;&gt;""),MAX(1,($J53-$I53)/7),Templates!$B$36))</f>
        <v/>
      </c>
      <c r="BG53" s="18">
        <f>IF($A53="","",IF(AND($I53&lt;&gt;"",$J53&lt;&gt;""),MAX(1,($J53-$I53)/7),Templates!$B$37))</f>
        <v/>
      </c>
      <c r="BH53" s="18">
        <f>IF($A53="","",IF(AND($I53&lt;&gt;"",$J53&lt;&gt;""),MAX(1,($J53-$I53)/7),Templates!$B$38))</f>
        <v/>
      </c>
      <c r="BI53" s="18">
        <f>IF($A53="","",IF(AND($I53&lt;&gt;"",$J53&lt;&gt;""),MAX(1,($J53-$I53)/7),Templates!$B$39))</f>
        <v/>
      </c>
      <c r="BJ53" s="18">
        <f>IF(OR($A53="",$BD53=0),0,($AY53*Templates!$B$27/$BE53+$AZ53*Templates!$B$28/$BF53+$BA53*Templates!$B$29/$BG53+$BB53*Templates!$B$30/$BH53+$BC53*Templates!$B$31/$BI53)/Templates!$B$17)</f>
        <v/>
      </c>
      <c r="BK53" s="18">
        <f>IF(OR($A53="",$BD53=0),0,($AY53*Templates!$C$27/$BE53+$AZ53*Templates!$C$28/$BF53+$BA53*Templates!$C$29/$BG53+$BB53*Templates!$C$30/$BH53+$BC53*Templates!$C$31/$BI53)/Templates!$B$18)</f>
        <v/>
      </c>
      <c r="BL53" s="18">
        <f>IF(OR($A53="",$BD53=0),0,($AY53*Templates!$D$27/$BE53+$AZ53*Templates!$D$28/$BF53+$BA53*Templates!$D$29/$BG53+$BB53*Templates!$D$30/$BH53+$BC53*Templates!$D$31/$BI53)/Templates!$B$19)</f>
        <v/>
      </c>
      <c r="BM53" s="18">
        <f>IF(OR($A53="",$BD53=0),0,($AY53*Templates!$E$27/$BE53+$AZ53*Templates!$E$28/$BF53+$BA53*Templates!$E$29/$BG53+$BB53*Templates!$E$30/$BH53+$BC53*Templates!$E$31/$BI53)/Templates!$B$20)</f>
        <v/>
      </c>
      <c r="BN53" s="18">
        <f>IF(OR($A53="",$BD53=0),0,($AY53*Templates!$F$27/$BE53+$AZ53*Templates!$F$28/$BF53+$BA53*Templates!$F$29/$BG53+$BB53*Templates!$F$30/$BH53+$BC53*Templates!$F$31/$BI53)/Templates!$B$21)</f>
        <v/>
      </c>
      <c r="BO53" s="18">
        <f>IF(OR($A53="",$BD53=0),0,($AY53*Templates!$G$27/$BE53+$AZ53*Templates!$G$28/$BF53+$BA53*Templates!$G$29/$BG53+$BB53*Templates!$G$30/$BH53+$BC53*Templates!$G$31/$BI53)/Templates!$B$22)</f>
        <v/>
      </c>
      <c r="BP53" s="18">
        <f>IF(OR($A53="",$BD53=0),0,($AY53*Templates!$H$27/$BE53+$AZ53*Templates!$H$28/$BF53+$BA53*Templates!$H$29/$BG53+$BB53*Templates!$H$30/$BH53+$BC53*Templates!$H$31/$BI53)/Templates!$B$23)</f>
        <v/>
      </c>
    </row>
    <row r="54">
      <c r="A54" s="28" t="inlineStr">
        <is>
          <t>DIF - Diverso_1</t>
        </is>
      </c>
      <c r="B54" s="20" t="inlineStr">
        <is>
          <t>CVC Capital Partners : DIF Capital Partners : Diverso Energy</t>
        </is>
      </c>
      <c r="C54" s="28" t="inlineStr">
        <is>
          <t>CVC Capital Partners</t>
        </is>
      </c>
      <c r="D54" s="28" t="inlineStr">
        <is>
          <t>Diverso Energy</t>
        </is>
      </c>
      <c r="E54" s="28" t="inlineStr">
        <is>
          <t>No</t>
        </is>
      </c>
      <c r="F54" s="28" t="inlineStr">
        <is>
          <t>Active</t>
        </is>
      </c>
      <c r="G54" s="38" t="n"/>
      <c r="H54" s="29" t="n">
        <v>1</v>
      </c>
      <c r="I54" s="39" t="n"/>
      <c r="J54" s="39" t="n"/>
      <c r="K54" s="31" t="n"/>
      <c r="L54" s="31" t="n"/>
      <c r="M54" s="31" t="n"/>
      <c r="N54" s="31" t="n"/>
      <c r="O54" s="31" t="n"/>
      <c r="P54" s="31" t="n"/>
      <c r="Q54" s="23">
        <f>IF($A54="","",COUNTIFS(Assignments!$C$2:$C$769,$A54,Assignments!$G$2:$G$769,"Active"))</f>
        <v/>
      </c>
      <c r="R54" s="32">
        <f>IF($A54="","",SUMIFS(Assignments!$I$2:$I$769,Assignments!$C$2:$C$769,$A54,Assignments!$G$2:$G$769,"Active"))</f>
        <v/>
      </c>
      <c r="S54" s="20" t="inlineStr">
        <is>
          <t>WIP</t>
        </is>
      </c>
      <c r="T54" s="31" t="n"/>
      <c r="U54" s="38" t="n"/>
      <c r="V54" s="34">
        <f>IF($U54="","",IFERROR(INDEX(Templates!$K$3:$K$10,MATCH($U54,Templates!$A$3:$A$10,0)),""))</f>
        <v/>
      </c>
      <c r="W54" s="34">
        <f>IF($U54="","",IFERROR(INDEX(Templates!$L$3:$L$10,MATCH($U54,Templates!$A$3:$A$10,0)),""))</f>
        <v/>
      </c>
      <c r="X54" s="21">
        <f>IF($U54="","",IFERROR(INDEX(Templates!$J$3:$J$10,MATCH($U54,Templates!$A$3:$A$10,0)),""))</f>
        <v/>
      </c>
      <c r="Y54" s="35">
        <f>IF(OR($U54="",$I54="",$J54="",$X54=""),"",$I54+$X54*($J54-$I54))</f>
        <v/>
      </c>
      <c r="Z54" s="30" t="n">
        <v>46212</v>
      </c>
      <c r="AA54" s="40" t="n"/>
      <c r="AB54" s="41" t="n"/>
      <c r="AC54" s="41" t="n"/>
      <c r="AD54" s="19">
        <f>IF($A54="","",IF($AA54="",$H54,$AA54))</f>
        <v/>
      </c>
      <c r="AE54" s="35">
        <f>IF($A54="","",IF($AB54="",$I54,$AB54))</f>
        <v/>
      </c>
      <c r="AF54" s="35">
        <f>IF($A54="","",IF($AC54="",$J54,$AC54))</f>
        <v/>
      </c>
      <c r="AG54" s="35">
        <f>IF(OR($U54="",$AE54="",$AF54="",$X54=""),"",$AE54+$X54*($AF54-$AE54))</f>
        <v/>
      </c>
      <c r="AH54" s="38" t="n"/>
      <c r="AI54" s="38" t="n"/>
      <c r="AJ54" s="38" t="n"/>
      <c r="AK54" s="38" t="n"/>
      <c r="AL54" s="38" t="n"/>
      <c r="AM54" s="38" t="n"/>
      <c r="AN54" s="38" t="n"/>
      <c r="AO54" s="38" t="n"/>
      <c r="AP54" s="38" t="n"/>
      <c r="AQ54" s="38" t="n"/>
      <c r="AR54" s="38" t="n"/>
      <c r="AS54" s="38" t="n"/>
      <c r="AT54" s="38" t="n"/>
      <c r="AU54" s="38" t="n"/>
      <c r="AV54" s="38" t="n"/>
      <c r="AW54" s="38" t="n"/>
      <c r="AX54" s="38" t="n"/>
      <c r="AY54" s="42" t="n"/>
      <c r="AZ54" s="42" t="n"/>
      <c r="BA54" s="42" t="n"/>
      <c r="BB54" s="42" t="n"/>
      <c r="BC54" s="42" t="n"/>
      <c r="BD54" s="37">
        <f>IF($A54="","",SUM($AY54:$BC54))</f>
        <v/>
      </c>
      <c r="BE54" s="18">
        <f>IF($A54="","",IF(AND($I54&lt;&gt;"",$J54&lt;&gt;""),MAX(1,($J54-$I54)/7),Templates!$B$35))</f>
        <v/>
      </c>
      <c r="BF54" s="18">
        <f>IF($A54="","",IF(AND($I54&lt;&gt;"",$J54&lt;&gt;""),MAX(1,($J54-$I54)/7),Templates!$B$36))</f>
        <v/>
      </c>
      <c r="BG54" s="18">
        <f>IF($A54="","",IF(AND($I54&lt;&gt;"",$J54&lt;&gt;""),MAX(1,($J54-$I54)/7),Templates!$B$37))</f>
        <v/>
      </c>
      <c r="BH54" s="18">
        <f>IF($A54="","",IF(AND($I54&lt;&gt;"",$J54&lt;&gt;""),MAX(1,($J54-$I54)/7),Templates!$B$38))</f>
        <v/>
      </c>
      <c r="BI54" s="18">
        <f>IF($A54="","",IF(AND($I54&lt;&gt;"",$J54&lt;&gt;""),MAX(1,($J54-$I54)/7),Templates!$B$39))</f>
        <v/>
      </c>
      <c r="BJ54" s="18">
        <f>IF(OR($A54="",$BD54=0),0,($AY54*Templates!$B$27/$BE54+$AZ54*Templates!$B$28/$BF54+$BA54*Templates!$B$29/$BG54+$BB54*Templates!$B$30/$BH54+$BC54*Templates!$B$31/$BI54)/Templates!$B$17)</f>
        <v/>
      </c>
      <c r="BK54" s="18">
        <f>IF(OR($A54="",$BD54=0),0,($AY54*Templates!$C$27/$BE54+$AZ54*Templates!$C$28/$BF54+$BA54*Templates!$C$29/$BG54+$BB54*Templates!$C$30/$BH54+$BC54*Templates!$C$31/$BI54)/Templates!$B$18)</f>
        <v/>
      </c>
      <c r="BL54" s="18">
        <f>IF(OR($A54="",$BD54=0),0,($AY54*Templates!$D$27/$BE54+$AZ54*Templates!$D$28/$BF54+$BA54*Templates!$D$29/$BG54+$BB54*Templates!$D$30/$BH54+$BC54*Templates!$D$31/$BI54)/Templates!$B$19)</f>
        <v/>
      </c>
      <c r="BM54" s="18">
        <f>IF(OR($A54="",$BD54=0),0,($AY54*Templates!$E$27/$BE54+$AZ54*Templates!$E$28/$BF54+$BA54*Templates!$E$29/$BG54+$BB54*Templates!$E$30/$BH54+$BC54*Templates!$E$31/$BI54)/Templates!$B$20)</f>
        <v/>
      </c>
      <c r="BN54" s="18">
        <f>IF(OR($A54="",$BD54=0),0,($AY54*Templates!$F$27/$BE54+$AZ54*Templates!$F$28/$BF54+$BA54*Templates!$F$29/$BG54+$BB54*Templates!$F$30/$BH54+$BC54*Templates!$F$31/$BI54)/Templates!$B$21)</f>
        <v/>
      </c>
      <c r="BO54" s="18">
        <f>IF(OR($A54="",$BD54=0),0,($AY54*Templates!$G$27/$BE54+$AZ54*Templates!$G$28/$BF54+$BA54*Templates!$G$29/$BG54+$BB54*Templates!$G$30/$BH54+$BC54*Templates!$G$31/$BI54)/Templates!$B$22)</f>
        <v/>
      </c>
      <c r="BP54" s="18">
        <f>IF(OR($A54="",$BD54=0),0,($AY54*Templates!$H$27/$BE54+$AZ54*Templates!$H$28/$BF54+$BA54*Templates!$H$29/$BG54+$BB54*Templates!$H$30/$BH54+$BC54*Templates!$H$31/$BI54)/Templates!$B$23)</f>
        <v/>
      </c>
    </row>
    <row r="55">
      <c r="A55" s="28" t="inlineStr">
        <is>
          <t>DIF Brahms_1</t>
        </is>
      </c>
      <c r="B55" s="20" t="inlineStr">
        <is>
          <t>CVC Capital Partners : DIF Capital Partners</t>
        </is>
      </c>
      <c r="C55" s="28" t="inlineStr">
        <is>
          <t>CVC Capital Partners</t>
        </is>
      </c>
      <c r="D55" s="28" t="inlineStr">
        <is>
          <t>DIF Capital Partners</t>
        </is>
      </c>
      <c r="E55" s="28" t="inlineStr">
        <is>
          <t>No</t>
        </is>
      </c>
      <c r="F55" s="28" t="inlineStr">
        <is>
          <t>Active</t>
        </is>
      </c>
      <c r="G55" s="38" t="n"/>
      <c r="H55" s="29" t="n">
        <v>1</v>
      </c>
      <c r="I55" s="39" t="n"/>
      <c r="J55" s="39" t="n"/>
      <c r="K55" s="31" t="n"/>
      <c r="L55" s="31" t="n"/>
      <c r="M55" s="31" t="n"/>
      <c r="N55" s="31" t="n"/>
      <c r="O55" s="31" t="n"/>
      <c r="P55" s="31" t="n"/>
      <c r="Q55" s="23">
        <f>IF($A55="","",COUNTIFS(Assignments!$C$2:$C$769,$A55,Assignments!$G$2:$G$769,"Active"))</f>
        <v/>
      </c>
      <c r="R55" s="32">
        <f>IF($A55="","",SUMIFS(Assignments!$I$2:$I$769,Assignments!$C$2:$C$769,$A55,Assignments!$G$2:$G$769,"Active"))</f>
        <v/>
      </c>
      <c r="S55" s="20" t="inlineStr">
        <is>
          <t>WIP</t>
        </is>
      </c>
      <c r="T55" s="31" t="n"/>
      <c r="U55" s="38" t="n"/>
      <c r="V55" s="34">
        <f>IF($U55="","",IFERROR(INDEX(Templates!$K$3:$K$10,MATCH($U55,Templates!$A$3:$A$10,0)),""))</f>
        <v/>
      </c>
      <c r="W55" s="34">
        <f>IF($U55="","",IFERROR(INDEX(Templates!$L$3:$L$10,MATCH($U55,Templates!$A$3:$A$10,0)),""))</f>
        <v/>
      </c>
      <c r="X55" s="21">
        <f>IF($U55="","",IFERROR(INDEX(Templates!$J$3:$J$10,MATCH($U55,Templates!$A$3:$A$10,0)),""))</f>
        <v/>
      </c>
      <c r="Y55" s="35">
        <f>IF(OR($U55="",$I55="",$J55="",$X55=""),"",$I55+$X55*($J55-$I55))</f>
        <v/>
      </c>
      <c r="Z55" s="30" t="n">
        <v>46212</v>
      </c>
      <c r="AA55" s="40" t="n"/>
      <c r="AB55" s="41" t="n"/>
      <c r="AC55" s="41" t="n"/>
      <c r="AD55" s="19">
        <f>IF($A55="","",IF($AA55="",$H55,$AA55))</f>
        <v/>
      </c>
      <c r="AE55" s="35">
        <f>IF($A55="","",IF($AB55="",$I55,$AB55))</f>
        <v/>
      </c>
      <c r="AF55" s="35">
        <f>IF($A55="","",IF($AC55="",$J55,$AC55))</f>
        <v/>
      </c>
      <c r="AG55" s="35">
        <f>IF(OR($U55="",$AE55="",$AF55="",$X55=""),"",$AE55+$X55*($AF55-$AE55))</f>
        <v/>
      </c>
      <c r="AH55" s="38" t="n"/>
      <c r="AI55" s="38" t="n"/>
      <c r="AJ55" s="38" t="n"/>
      <c r="AK55" s="38" t="n"/>
      <c r="AL55" s="38" t="n"/>
      <c r="AM55" s="38" t="n"/>
      <c r="AN55" s="38" t="n"/>
      <c r="AO55" s="38" t="n"/>
      <c r="AP55" s="38" t="n"/>
      <c r="AQ55" s="38" t="n"/>
      <c r="AR55" s="38" t="n"/>
      <c r="AS55" s="38" t="n"/>
      <c r="AT55" s="38" t="n"/>
      <c r="AU55" s="38" t="n"/>
      <c r="AV55" s="38" t="n"/>
      <c r="AW55" s="38" t="n"/>
      <c r="AX55" s="38" t="n"/>
      <c r="AY55" s="42" t="n"/>
      <c r="AZ55" s="42" t="n"/>
      <c r="BA55" s="42" t="n"/>
      <c r="BB55" s="42" t="n"/>
      <c r="BC55" s="42" t="n"/>
      <c r="BD55" s="37">
        <f>IF($A55="","",SUM($AY55:$BC55))</f>
        <v/>
      </c>
      <c r="BE55" s="18">
        <f>IF($A55="","",IF(AND($I55&lt;&gt;"",$J55&lt;&gt;""),MAX(1,($J55-$I55)/7),Templates!$B$35))</f>
        <v/>
      </c>
      <c r="BF55" s="18">
        <f>IF($A55="","",IF(AND($I55&lt;&gt;"",$J55&lt;&gt;""),MAX(1,($J55-$I55)/7),Templates!$B$36))</f>
        <v/>
      </c>
      <c r="BG55" s="18">
        <f>IF($A55="","",IF(AND($I55&lt;&gt;"",$J55&lt;&gt;""),MAX(1,($J55-$I55)/7),Templates!$B$37))</f>
        <v/>
      </c>
      <c r="BH55" s="18">
        <f>IF($A55="","",IF(AND($I55&lt;&gt;"",$J55&lt;&gt;""),MAX(1,($J55-$I55)/7),Templates!$B$38))</f>
        <v/>
      </c>
      <c r="BI55" s="18">
        <f>IF($A55="","",IF(AND($I55&lt;&gt;"",$J55&lt;&gt;""),MAX(1,($J55-$I55)/7),Templates!$B$39))</f>
        <v/>
      </c>
      <c r="BJ55" s="18">
        <f>IF(OR($A55="",$BD55=0),0,($AY55*Templates!$B$27/$BE55+$AZ55*Templates!$B$28/$BF55+$BA55*Templates!$B$29/$BG55+$BB55*Templates!$B$30/$BH55+$BC55*Templates!$B$31/$BI55)/Templates!$B$17)</f>
        <v/>
      </c>
      <c r="BK55" s="18">
        <f>IF(OR($A55="",$BD55=0),0,($AY55*Templates!$C$27/$BE55+$AZ55*Templates!$C$28/$BF55+$BA55*Templates!$C$29/$BG55+$BB55*Templates!$C$30/$BH55+$BC55*Templates!$C$31/$BI55)/Templates!$B$18)</f>
        <v/>
      </c>
      <c r="BL55" s="18">
        <f>IF(OR($A55="",$BD55=0),0,($AY55*Templates!$D$27/$BE55+$AZ55*Templates!$D$28/$BF55+$BA55*Templates!$D$29/$BG55+$BB55*Templates!$D$30/$BH55+$BC55*Templates!$D$31/$BI55)/Templates!$B$19)</f>
        <v/>
      </c>
      <c r="BM55" s="18">
        <f>IF(OR($A55="",$BD55=0),0,($AY55*Templates!$E$27/$BE55+$AZ55*Templates!$E$28/$BF55+$BA55*Templates!$E$29/$BG55+$BB55*Templates!$E$30/$BH55+$BC55*Templates!$E$31/$BI55)/Templates!$B$20)</f>
        <v/>
      </c>
      <c r="BN55" s="18">
        <f>IF(OR($A55="",$BD55=0),0,($AY55*Templates!$F$27/$BE55+$AZ55*Templates!$F$28/$BF55+$BA55*Templates!$F$29/$BG55+$BB55*Templates!$F$30/$BH55+$BC55*Templates!$F$31/$BI55)/Templates!$B$21)</f>
        <v/>
      </c>
      <c r="BO55" s="18">
        <f>IF(OR($A55="",$BD55=0),0,($AY55*Templates!$G$27/$BE55+$AZ55*Templates!$G$28/$BF55+$BA55*Templates!$G$29/$BG55+$BB55*Templates!$G$30/$BH55+$BC55*Templates!$G$31/$BI55)/Templates!$B$22)</f>
        <v/>
      </c>
      <c r="BP55" s="18">
        <f>IF(OR($A55="",$BD55=0),0,($AY55*Templates!$H$27/$BE55+$AZ55*Templates!$H$28/$BF55+$BA55*Templates!$H$29/$BG55+$BB55*Templates!$H$30/$BH55+$BC55*Templates!$H$31/$BI55)/Templates!$B$23)</f>
        <v/>
      </c>
    </row>
    <row r="56">
      <c r="A56" s="28" t="inlineStr">
        <is>
          <t>DIF Twister_2</t>
        </is>
      </c>
      <c r="B56" s="20" t="inlineStr">
        <is>
          <t>DIF Infra 4 US LLC</t>
        </is>
      </c>
      <c r="C56" s="28" t="inlineStr">
        <is>
          <t>DIF Infra 4 US LLC</t>
        </is>
      </c>
      <c r="D56" s="28" t="inlineStr"/>
      <c r="E56" s="28" t="inlineStr">
        <is>
          <t>No</t>
        </is>
      </c>
      <c r="F56" s="28" t="inlineStr">
        <is>
          <t>Active</t>
        </is>
      </c>
      <c r="G56" s="38" t="n"/>
      <c r="H56" s="29" t="n">
        <v>1</v>
      </c>
      <c r="I56" s="39" t="n"/>
      <c r="J56" s="39" t="n"/>
      <c r="K56" s="31" t="n"/>
      <c r="L56" s="31" t="n"/>
      <c r="M56" s="31" t="n"/>
      <c r="N56" s="31" t="n"/>
      <c r="O56" s="31" t="n"/>
      <c r="P56" s="31" t="n"/>
      <c r="Q56" s="23">
        <f>IF($A56="","",COUNTIFS(Assignments!$C$2:$C$769,$A56,Assignments!$G$2:$G$769,"Active"))</f>
        <v/>
      </c>
      <c r="R56" s="32">
        <f>IF($A56="","",SUMIFS(Assignments!$I$2:$I$769,Assignments!$C$2:$C$769,$A56,Assignments!$G$2:$G$769,"Active"))</f>
        <v/>
      </c>
      <c r="S56" s="20" t="inlineStr">
        <is>
          <t>WIP</t>
        </is>
      </c>
      <c r="T56" s="31" t="n"/>
      <c r="U56" s="38" t="n"/>
      <c r="V56" s="34">
        <f>IF($U56="","",IFERROR(INDEX(Templates!$K$3:$K$10,MATCH($U56,Templates!$A$3:$A$10,0)),""))</f>
        <v/>
      </c>
      <c r="W56" s="34">
        <f>IF($U56="","",IFERROR(INDEX(Templates!$L$3:$L$10,MATCH($U56,Templates!$A$3:$A$10,0)),""))</f>
        <v/>
      </c>
      <c r="X56" s="21">
        <f>IF($U56="","",IFERROR(INDEX(Templates!$J$3:$J$10,MATCH($U56,Templates!$A$3:$A$10,0)),""))</f>
        <v/>
      </c>
      <c r="Y56" s="35">
        <f>IF(OR($U56="",$I56="",$J56="",$X56=""),"",$I56+$X56*($J56-$I56))</f>
        <v/>
      </c>
      <c r="Z56" s="30" t="n">
        <v>46212</v>
      </c>
      <c r="AA56" s="40" t="n"/>
      <c r="AB56" s="41" t="n"/>
      <c r="AC56" s="41" t="n"/>
      <c r="AD56" s="19">
        <f>IF($A56="","",IF($AA56="",$H56,$AA56))</f>
        <v/>
      </c>
      <c r="AE56" s="35">
        <f>IF($A56="","",IF($AB56="",$I56,$AB56))</f>
        <v/>
      </c>
      <c r="AF56" s="35">
        <f>IF($A56="","",IF($AC56="",$J56,$AC56))</f>
        <v/>
      </c>
      <c r="AG56" s="35">
        <f>IF(OR($U56="",$AE56="",$AF56="",$X56=""),"",$AE56+$X56*($AF56-$AE56))</f>
        <v/>
      </c>
      <c r="AH56" s="38" t="n"/>
      <c r="AI56" s="38" t="n"/>
      <c r="AJ56" s="38" t="n"/>
      <c r="AK56" s="38" t="n"/>
      <c r="AL56" s="38" t="n"/>
      <c r="AM56" s="38" t="n"/>
      <c r="AN56" s="38" t="n"/>
      <c r="AO56" s="38" t="n"/>
      <c r="AP56" s="38" t="n"/>
      <c r="AQ56" s="38" t="n"/>
      <c r="AR56" s="38" t="n"/>
      <c r="AS56" s="38" t="n"/>
      <c r="AT56" s="38" t="n"/>
      <c r="AU56" s="38" t="n"/>
      <c r="AV56" s="38" t="n"/>
      <c r="AW56" s="38" t="n"/>
      <c r="AX56" s="38" t="n"/>
      <c r="AY56" s="42" t="n"/>
      <c r="AZ56" s="42" t="n"/>
      <c r="BA56" s="42" t="n"/>
      <c r="BB56" s="42" t="n"/>
      <c r="BC56" s="42" t="n"/>
      <c r="BD56" s="37">
        <f>IF($A56="","",SUM($AY56:$BC56))</f>
        <v/>
      </c>
      <c r="BE56" s="18">
        <f>IF($A56="","",IF(AND($I56&lt;&gt;"",$J56&lt;&gt;""),MAX(1,($J56-$I56)/7),Templates!$B$35))</f>
        <v/>
      </c>
      <c r="BF56" s="18">
        <f>IF($A56="","",IF(AND($I56&lt;&gt;"",$J56&lt;&gt;""),MAX(1,($J56-$I56)/7),Templates!$B$36))</f>
        <v/>
      </c>
      <c r="BG56" s="18">
        <f>IF($A56="","",IF(AND($I56&lt;&gt;"",$J56&lt;&gt;""),MAX(1,($J56-$I56)/7),Templates!$B$37))</f>
        <v/>
      </c>
      <c r="BH56" s="18">
        <f>IF($A56="","",IF(AND($I56&lt;&gt;"",$J56&lt;&gt;""),MAX(1,($J56-$I56)/7),Templates!$B$38))</f>
        <v/>
      </c>
      <c r="BI56" s="18">
        <f>IF($A56="","",IF(AND($I56&lt;&gt;"",$J56&lt;&gt;""),MAX(1,($J56-$I56)/7),Templates!$B$39))</f>
        <v/>
      </c>
      <c r="BJ56" s="18">
        <f>IF(OR($A56="",$BD56=0),0,($AY56*Templates!$B$27/$BE56+$AZ56*Templates!$B$28/$BF56+$BA56*Templates!$B$29/$BG56+$BB56*Templates!$B$30/$BH56+$BC56*Templates!$B$31/$BI56)/Templates!$B$17)</f>
        <v/>
      </c>
      <c r="BK56" s="18">
        <f>IF(OR($A56="",$BD56=0),0,($AY56*Templates!$C$27/$BE56+$AZ56*Templates!$C$28/$BF56+$BA56*Templates!$C$29/$BG56+$BB56*Templates!$C$30/$BH56+$BC56*Templates!$C$31/$BI56)/Templates!$B$18)</f>
        <v/>
      </c>
      <c r="BL56" s="18">
        <f>IF(OR($A56="",$BD56=0),0,($AY56*Templates!$D$27/$BE56+$AZ56*Templates!$D$28/$BF56+$BA56*Templates!$D$29/$BG56+$BB56*Templates!$D$30/$BH56+$BC56*Templates!$D$31/$BI56)/Templates!$B$19)</f>
        <v/>
      </c>
      <c r="BM56" s="18">
        <f>IF(OR($A56="",$BD56=0),0,($AY56*Templates!$E$27/$BE56+$AZ56*Templates!$E$28/$BF56+$BA56*Templates!$E$29/$BG56+$BB56*Templates!$E$30/$BH56+$BC56*Templates!$E$31/$BI56)/Templates!$B$20)</f>
        <v/>
      </c>
      <c r="BN56" s="18">
        <f>IF(OR($A56="",$BD56=0),0,($AY56*Templates!$F$27/$BE56+$AZ56*Templates!$F$28/$BF56+$BA56*Templates!$F$29/$BG56+$BB56*Templates!$F$30/$BH56+$BC56*Templates!$F$31/$BI56)/Templates!$B$21)</f>
        <v/>
      </c>
      <c r="BO56" s="18">
        <f>IF(OR($A56="",$BD56=0),0,($AY56*Templates!$G$27/$BE56+$AZ56*Templates!$G$28/$BF56+$BA56*Templates!$G$29/$BG56+$BB56*Templates!$G$30/$BH56+$BC56*Templates!$G$31/$BI56)/Templates!$B$22)</f>
        <v/>
      </c>
      <c r="BP56" s="18">
        <f>IF(OR($A56="",$BD56=0),0,($AY56*Templates!$H$27/$BE56+$AZ56*Templates!$H$28/$BF56+$BA56*Templates!$H$29/$BG56+$BB56*Templates!$H$30/$BH56+$BC56*Templates!$H$31/$BI56)/Templates!$B$23)</f>
        <v/>
      </c>
    </row>
    <row r="57">
      <c r="A57" s="28" t="inlineStr">
        <is>
          <t>Diploma_1</t>
        </is>
      </c>
      <c r="B57" s="20" t="inlineStr">
        <is>
          <t>Beacon Software, Inc.</t>
        </is>
      </c>
      <c r="C57" s="28" t="inlineStr">
        <is>
          <t>Beacon Software, Inc.</t>
        </is>
      </c>
      <c r="D57" s="28" t="inlineStr"/>
      <c r="E57" s="28" t="inlineStr">
        <is>
          <t>No</t>
        </is>
      </c>
      <c r="F57" s="28" t="inlineStr">
        <is>
          <t>Active</t>
        </is>
      </c>
      <c r="G57" s="38" t="n"/>
      <c r="H57" s="29" t="n">
        <v>1</v>
      </c>
      <c r="I57" s="39" t="n"/>
      <c r="J57" s="39" t="n"/>
      <c r="K57" s="31" t="n"/>
      <c r="L57" s="31" t="n"/>
      <c r="M57" s="31" t="n"/>
      <c r="N57" s="31" t="n"/>
      <c r="O57" s="31" t="n"/>
      <c r="P57" s="31" t="n"/>
      <c r="Q57" s="23">
        <f>IF($A57="","",COUNTIFS(Assignments!$C$2:$C$769,$A57,Assignments!$G$2:$G$769,"Active"))</f>
        <v/>
      </c>
      <c r="R57" s="32">
        <f>IF($A57="","",SUMIFS(Assignments!$I$2:$I$769,Assignments!$C$2:$C$769,$A57,Assignments!$G$2:$G$769,"Active"))</f>
        <v/>
      </c>
      <c r="S57" s="20" t="inlineStr">
        <is>
          <t>WIP</t>
        </is>
      </c>
      <c r="T57" s="31" t="n"/>
      <c r="U57" s="38" t="n"/>
      <c r="V57" s="34">
        <f>IF($U57="","",IFERROR(INDEX(Templates!$K$3:$K$10,MATCH($U57,Templates!$A$3:$A$10,0)),""))</f>
        <v/>
      </c>
      <c r="W57" s="34">
        <f>IF($U57="","",IFERROR(INDEX(Templates!$L$3:$L$10,MATCH($U57,Templates!$A$3:$A$10,0)),""))</f>
        <v/>
      </c>
      <c r="X57" s="21">
        <f>IF($U57="","",IFERROR(INDEX(Templates!$J$3:$J$10,MATCH($U57,Templates!$A$3:$A$10,0)),""))</f>
        <v/>
      </c>
      <c r="Y57" s="35">
        <f>IF(OR($U57="",$I57="",$J57="",$X57=""),"",$I57+$X57*($J57-$I57))</f>
        <v/>
      </c>
      <c r="Z57" s="30" t="n">
        <v>46212</v>
      </c>
      <c r="AA57" s="40" t="n"/>
      <c r="AB57" s="41" t="n"/>
      <c r="AC57" s="41" t="n"/>
      <c r="AD57" s="19">
        <f>IF($A57="","",IF($AA57="",$H57,$AA57))</f>
        <v/>
      </c>
      <c r="AE57" s="35">
        <f>IF($A57="","",IF($AB57="",$I57,$AB57))</f>
        <v/>
      </c>
      <c r="AF57" s="35">
        <f>IF($A57="","",IF($AC57="",$J57,$AC57))</f>
        <v/>
      </c>
      <c r="AG57" s="35">
        <f>IF(OR($U57="",$AE57="",$AF57="",$X57=""),"",$AE57+$X57*($AF57-$AE57))</f>
        <v/>
      </c>
      <c r="AH57" s="38" t="n"/>
      <c r="AI57" s="38" t="n"/>
      <c r="AJ57" s="38" t="n"/>
      <c r="AK57" s="38" t="n"/>
      <c r="AL57" s="38" t="n"/>
      <c r="AM57" s="38" t="n"/>
      <c r="AN57" s="38" t="n"/>
      <c r="AO57" s="38" t="n"/>
      <c r="AP57" s="38" t="n"/>
      <c r="AQ57" s="38" t="n"/>
      <c r="AR57" s="38" t="n"/>
      <c r="AS57" s="38" t="n"/>
      <c r="AT57" s="38" t="n"/>
      <c r="AU57" s="38" t="n"/>
      <c r="AV57" s="38" t="n"/>
      <c r="AW57" s="38" t="n"/>
      <c r="AX57" s="38" t="n"/>
      <c r="AY57" s="42" t="n"/>
      <c r="AZ57" s="42" t="n"/>
      <c r="BA57" s="42" t="n"/>
      <c r="BB57" s="42" t="n"/>
      <c r="BC57" s="42" t="n"/>
      <c r="BD57" s="37">
        <f>IF($A57="","",SUM($AY57:$BC57))</f>
        <v/>
      </c>
      <c r="BE57" s="18">
        <f>IF($A57="","",IF(AND($I57&lt;&gt;"",$J57&lt;&gt;""),MAX(1,($J57-$I57)/7),Templates!$B$35))</f>
        <v/>
      </c>
      <c r="BF57" s="18">
        <f>IF($A57="","",IF(AND($I57&lt;&gt;"",$J57&lt;&gt;""),MAX(1,($J57-$I57)/7),Templates!$B$36))</f>
        <v/>
      </c>
      <c r="BG57" s="18">
        <f>IF($A57="","",IF(AND($I57&lt;&gt;"",$J57&lt;&gt;""),MAX(1,($J57-$I57)/7),Templates!$B$37))</f>
        <v/>
      </c>
      <c r="BH57" s="18">
        <f>IF($A57="","",IF(AND($I57&lt;&gt;"",$J57&lt;&gt;""),MAX(1,($J57-$I57)/7),Templates!$B$38))</f>
        <v/>
      </c>
      <c r="BI57" s="18">
        <f>IF($A57="","",IF(AND($I57&lt;&gt;"",$J57&lt;&gt;""),MAX(1,($J57-$I57)/7),Templates!$B$39))</f>
        <v/>
      </c>
      <c r="BJ57" s="18">
        <f>IF(OR($A57="",$BD57=0),0,($AY57*Templates!$B$27/$BE57+$AZ57*Templates!$B$28/$BF57+$BA57*Templates!$B$29/$BG57+$BB57*Templates!$B$30/$BH57+$BC57*Templates!$B$31/$BI57)/Templates!$B$17)</f>
        <v/>
      </c>
      <c r="BK57" s="18">
        <f>IF(OR($A57="",$BD57=0),0,($AY57*Templates!$C$27/$BE57+$AZ57*Templates!$C$28/$BF57+$BA57*Templates!$C$29/$BG57+$BB57*Templates!$C$30/$BH57+$BC57*Templates!$C$31/$BI57)/Templates!$B$18)</f>
        <v/>
      </c>
      <c r="BL57" s="18">
        <f>IF(OR($A57="",$BD57=0),0,($AY57*Templates!$D$27/$BE57+$AZ57*Templates!$D$28/$BF57+$BA57*Templates!$D$29/$BG57+$BB57*Templates!$D$30/$BH57+$BC57*Templates!$D$31/$BI57)/Templates!$B$19)</f>
        <v/>
      </c>
      <c r="BM57" s="18">
        <f>IF(OR($A57="",$BD57=0),0,($AY57*Templates!$E$27/$BE57+$AZ57*Templates!$E$28/$BF57+$BA57*Templates!$E$29/$BG57+$BB57*Templates!$E$30/$BH57+$BC57*Templates!$E$31/$BI57)/Templates!$B$20)</f>
        <v/>
      </c>
      <c r="BN57" s="18">
        <f>IF(OR($A57="",$BD57=0),0,($AY57*Templates!$F$27/$BE57+$AZ57*Templates!$F$28/$BF57+$BA57*Templates!$F$29/$BG57+$BB57*Templates!$F$30/$BH57+$BC57*Templates!$F$31/$BI57)/Templates!$B$21)</f>
        <v/>
      </c>
      <c r="BO57" s="18">
        <f>IF(OR($A57="",$BD57=0),0,($AY57*Templates!$G$27/$BE57+$AZ57*Templates!$G$28/$BF57+$BA57*Templates!$G$29/$BG57+$BB57*Templates!$G$30/$BH57+$BC57*Templates!$G$31/$BI57)/Templates!$B$22)</f>
        <v/>
      </c>
      <c r="BP57" s="18">
        <f>IF(OR($A57="",$BD57=0),0,($AY57*Templates!$H$27/$BE57+$AZ57*Templates!$H$28/$BF57+$BA57*Templates!$H$29/$BG57+$BB57*Templates!$H$30/$BH57+$BC57*Templates!$H$31/$BI57)/Templates!$B$23)</f>
        <v/>
      </c>
    </row>
    <row r="58">
      <c r="A58" s="28" t="inlineStr">
        <is>
          <t>Doc_1</t>
        </is>
      </c>
      <c r="B58" s="20" t="inlineStr">
        <is>
          <t>Ethos Specialty Insurance Services</t>
        </is>
      </c>
      <c r="C58" s="28" t="inlineStr">
        <is>
          <t>Ethos Specialty Insurance Services</t>
        </is>
      </c>
      <c r="D58" s="28" t="inlineStr"/>
      <c r="E58" s="28" t="inlineStr">
        <is>
          <t>No</t>
        </is>
      </c>
      <c r="F58" s="28" t="inlineStr">
        <is>
          <t>Active</t>
        </is>
      </c>
      <c r="G58" s="38" t="n"/>
      <c r="H58" s="29" t="n">
        <v>1</v>
      </c>
      <c r="I58" s="39" t="n"/>
      <c r="J58" s="39" t="n"/>
      <c r="K58" s="31" t="n"/>
      <c r="L58" s="31" t="n"/>
      <c r="M58" s="31" t="n"/>
      <c r="N58" s="31" t="n"/>
      <c r="O58" s="31" t="n"/>
      <c r="P58" s="31" t="n"/>
      <c r="Q58" s="23">
        <f>IF($A58="","",COUNTIFS(Assignments!$C$2:$C$769,$A58,Assignments!$G$2:$G$769,"Active"))</f>
        <v/>
      </c>
      <c r="R58" s="32">
        <f>IF($A58="","",SUMIFS(Assignments!$I$2:$I$769,Assignments!$C$2:$C$769,$A58,Assignments!$G$2:$G$769,"Active"))</f>
        <v/>
      </c>
      <c r="S58" s="20" t="inlineStr">
        <is>
          <t>WIP</t>
        </is>
      </c>
      <c r="T58" s="31" t="n"/>
      <c r="U58" s="38" t="n"/>
      <c r="V58" s="34">
        <f>IF($U58="","",IFERROR(INDEX(Templates!$K$3:$K$10,MATCH($U58,Templates!$A$3:$A$10,0)),""))</f>
        <v/>
      </c>
      <c r="W58" s="34">
        <f>IF($U58="","",IFERROR(INDEX(Templates!$L$3:$L$10,MATCH($U58,Templates!$A$3:$A$10,0)),""))</f>
        <v/>
      </c>
      <c r="X58" s="21">
        <f>IF($U58="","",IFERROR(INDEX(Templates!$J$3:$J$10,MATCH($U58,Templates!$A$3:$A$10,0)),""))</f>
        <v/>
      </c>
      <c r="Y58" s="35">
        <f>IF(OR($U58="",$I58="",$J58="",$X58=""),"",$I58+$X58*($J58-$I58))</f>
        <v/>
      </c>
      <c r="Z58" s="30" t="n">
        <v>46212</v>
      </c>
      <c r="AA58" s="40" t="n"/>
      <c r="AB58" s="41" t="n"/>
      <c r="AC58" s="41" t="n"/>
      <c r="AD58" s="19">
        <f>IF($A58="","",IF($AA58="",$H58,$AA58))</f>
        <v/>
      </c>
      <c r="AE58" s="35">
        <f>IF($A58="","",IF($AB58="",$I58,$AB58))</f>
        <v/>
      </c>
      <c r="AF58" s="35">
        <f>IF($A58="","",IF($AC58="",$J58,$AC58))</f>
        <v/>
      </c>
      <c r="AG58" s="35">
        <f>IF(OR($U58="",$AE58="",$AF58="",$X58=""),"",$AE58+$X58*($AF58-$AE58))</f>
        <v/>
      </c>
      <c r="AH58" s="38" t="n"/>
      <c r="AI58" s="38" t="n"/>
      <c r="AJ58" s="38" t="n"/>
      <c r="AK58" s="38" t="n"/>
      <c r="AL58" s="38" t="n"/>
      <c r="AM58" s="38" t="n"/>
      <c r="AN58" s="38" t="n"/>
      <c r="AO58" s="38" t="n"/>
      <c r="AP58" s="38" t="n"/>
      <c r="AQ58" s="38" t="n"/>
      <c r="AR58" s="38" t="n"/>
      <c r="AS58" s="38" t="n"/>
      <c r="AT58" s="38" t="n"/>
      <c r="AU58" s="38" t="n"/>
      <c r="AV58" s="38" t="n"/>
      <c r="AW58" s="38" t="n"/>
      <c r="AX58" s="38" t="n"/>
      <c r="AY58" s="42" t="n"/>
      <c r="AZ58" s="42" t="n"/>
      <c r="BA58" s="42" t="n"/>
      <c r="BB58" s="42" t="n"/>
      <c r="BC58" s="42" t="n"/>
      <c r="BD58" s="37">
        <f>IF($A58="","",SUM($AY58:$BC58))</f>
        <v/>
      </c>
      <c r="BE58" s="18">
        <f>IF($A58="","",IF(AND($I58&lt;&gt;"",$J58&lt;&gt;""),MAX(1,($J58-$I58)/7),Templates!$B$35))</f>
        <v/>
      </c>
      <c r="BF58" s="18">
        <f>IF($A58="","",IF(AND($I58&lt;&gt;"",$J58&lt;&gt;""),MAX(1,($J58-$I58)/7),Templates!$B$36))</f>
        <v/>
      </c>
      <c r="BG58" s="18">
        <f>IF($A58="","",IF(AND($I58&lt;&gt;"",$J58&lt;&gt;""),MAX(1,($J58-$I58)/7),Templates!$B$37))</f>
        <v/>
      </c>
      <c r="BH58" s="18">
        <f>IF($A58="","",IF(AND($I58&lt;&gt;"",$J58&lt;&gt;""),MAX(1,($J58-$I58)/7),Templates!$B$38))</f>
        <v/>
      </c>
      <c r="BI58" s="18">
        <f>IF($A58="","",IF(AND($I58&lt;&gt;"",$J58&lt;&gt;""),MAX(1,($J58-$I58)/7),Templates!$B$39))</f>
        <v/>
      </c>
      <c r="BJ58" s="18">
        <f>IF(OR($A58="",$BD58=0),0,($AY58*Templates!$B$27/$BE58+$AZ58*Templates!$B$28/$BF58+$BA58*Templates!$B$29/$BG58+$BB58*Templates!$B$30/$BH58+$BC58*Templates!$B$31/$BI58)/Templates!$B$17)</f>
        <v/>
      </c>
      <c r="BK58" s="18">
        <f>IF(OR($A58="",$BD58=0),0,($AY58*Templates!$C$27/$BE58+$AZ58*Templates!$C$28/$BF58+$BA58*Templates!$C$29/$BG58+$BB58*Templates!$C$30/$BH58+$BC58*Templates!$C$31/$BI58)/Templates!$B$18)</f>
        <v/>
      </c>
      <c r="BL58" s="18">
        <f>IF(OR($A58="",$BD58=0),0,($AY58*Templates!$D$27/$BE58+$AZ58*Templates!$D$28/$BF58+$BA58*Templates!$D$29/$BG58+$BB58*Templates!$D$30/$BH58+$BC58*Templates!$D$31/$BI58)/Templates!$B$19)</f>
        <v/>
      </c>
      <c r="BM58" s="18">
        <f>IF(OR($A58="",$BD58=0),0,($AY58*Templates!$E$27/$BE58+$AZ58*Templates!$E$28/$BF58+$BA58*Templates!$E$29/$BG58+$BB58*Templates!$E$30/$BH58+$BC58*Templates!$E$31/$BI58)/Templates!$B$20)</f>
        <v/>
      </c>
      <c r="BN58" s="18">
        <f>IF(OR($A58="",$BD58=0),0,($AY58*Templates!$F$27/$BE58+$AZ58*Templates!$F$28/$BF58+$BA58*Templates!$F$29/$BG58+$BB58*Templates!$F$30/$BH58+$BC58*Templates!$F$31/$BI58)/Templates!$B$21)</f>
        <v/>
      </c>
      <c r="BO58" s="18">
        <f>IF(OR($A58="",$BD58=0),0,($AY58*Templates!$G$27/$BE58+$AZ58*Templates!$G$28/$BF58+$BA58*Templates!$G$29/$BG58+$BB58*Templates!$G$30/$BH58+$BC58*Templates!$G$31/$BI58)/Templates!$B$22)</f>
        <v/>
      </c>
      <c r="BP58" s="18">
        <f>IF(OR($A58="",$BD58=0),0,($AY58*Templates!$H$27/$BE58+$AZ58*Templates!$H$28/$BF58+$BA58*Templates!$H$29/$BG58+$BB58*Templates!$H$30/$BH58+$BC58*Templates!$H$31/$BI58)/Templates!$B$23)</f>
        <v/>
      </c>
    </row>
    <row r="59">
      <c r="A59" s="28" t="inlineStr">
        <is>
          <t>Dorsia_1</t>
        </is>
      </c>
      <c r="B59" s="20" t="inlineStr">
        <is>
          <t>Fengate</t>
        </is>
      </c>
      <c r="C59" s="28" t="inlineStr">
        <is>
          <t>Fengate</t>
        </is>
      </c>
      <c r="D59" s="28" t="inlineStr"/>
      <c r="E59" s="28" t="inlineStr">
        <is>
          <t>No</t>
        </is>
      </c>
      <c r="F59" s="28" t="inlineStr">
        <is>
          <t>Active</t>
        </is>
      </c>
      <c r="G59" s="38" t="n"/>
      <c r="H59" s="29" t="n">
        <v>1</v>
      </c>
      <c r="I59" s="39" t="n"/>
      <c r="J59" s="39" t="n"/>
      <c r="K59" s="31" t="n"/>
      <c r="L59" s="31" t="n"/>
      <c r="M59" s="31" t="n"/>
      <c r="N59" s="31" t="n"/>
      <c r="O59" s="31" t="n"/>
      <c r="P59" s="31" t="n"/>
      <c r="Q59" s="23">
        <f>IF($A59="","",COUNTIFS(Assignments!$C$2:$C$769,$A59,Assignments!$G$2:$G$769,"Active"))</f>
        <v/>
      </c>
      <c r="R59" s="32">
        <f>IF($A59="","",SUMIFS(Assignments!$I$2:$I$769,Assignments!$C$2:$C$769,$A59,Assignments!$G$2:$G$769,"Active"))</f>
        <v/>
      </c>
      <c r="S59" s="20" t="inlineStr">
        <is>
          <t>WIP</t>
        </is>
      </c>
      <c r="T59" s="31" t="n"/>
      <c r="U59" s="38" t="n"/>
      <c r="V59" s="34">
        <f>IF($U59="","",IFERROR(INDEX(Templates!$K$3:$K$10,MATCH($U59,Templates!$A$3:$A$10,0)),""))</f>
        <v/>
      </c>
      <c r="W59" s="34">
        <f>IF($U59="","",IFERROR(INDEX(Templates!$L$3:$L$10,MATCH($U59,Templates!$A$3:$A$10,0)),""))</f>
        <v/>
      </c>
      <c r="X59" s="21">
        <f>IF($U59="","",IFERROR(INDEX(Templates!$J$3:$J$10,MATCH($U59,Templates!$A$3:$A$10,0)),""))</f>
        <v/>
      </c>
      <c r="Y59" s="35">
        <f>IF(OR($U59="",$I59="",$J59="",$X59=""),"",$I59+$X59*($J59-$I59))</f>
        <v/>
      </c>
      <c r="Z59" s="30" t="n">
        <v>46212</v>
      </c>
      <c r="AA59" s="40" t="n"/>
      <c r="AB59" s="41" t="n"/>
      <c r="AC59" s="41" t="n"/>
      <c r="AD59" s="19">
        <f>IF($A59="","",IF($AA59="",$H59,$AA59))</f>
        <v/>
      </c>
      <c r="AE59" s="35">
        <f>IF($A59="","",IF($AB59="",$I59,$AB59))</f>
        <v/>
      </c>
      <c r="AF59" s="35">
        <f>IF($A59="","",IF($AC59="",$J59,$AC59))</f>
        <v/>
      </c>
      <c r="AG59" s="35">
        <f>IF(OR($U59="",$AE59="",$AF59="",$X59=""),"",$AE59+$X59*($AF59-$AE59))</f>
        <v/>
      </c>
      <c r="AH59" s="38" t="n"/>
      <c r="AI59" s="38" t="n"/>
      <c r="AJ59" s="38" t="n"/>
      <c r="AK59" s="38" t="n"/>
      <c r="AL59" s="38" t="n"/>
      <c r="AM59" s="38" t="n"/>
      <c r="AN59" s="38" t="n"/>
      <c r="AO59" s="38" t="n"/>
      <c r="AP59" s="38" t="n"/>
      <c r="AQ59" s="38" t="n"/>
      <c r="AR59" s="38" t="n"/>
      <c r="AS59" s="38" t="n"/>
      <c r="AT59" s="38" t="n"/>
      <c r="AU59" s="38" t="n"/>
      <c r="AV59" s="38" t="n"/>
      <c r="AW59" s="38" t="n"/>
      <c r="AX59" s="38" t="n"/>
      <c r="AY59" s="42" t="n"/>
      <c r="AZ59" s="42" t="n"/>
      <c r="BA59" s="42" t="n"/>
      <c r="BB59" s="42" t="n"/>
      <c r="BC59" s="42" t="n"/>
      <c r="BD59" s="37">
        <f>IF($A59="","",SUM($AY59:$BC59))</f>
        <v/>
      </c>
      <c r="BE59" s="18">
        <f>IF($A59="","",IF(AND($I59&lt;&gt;"",$J59&lt;&gt;""),MAX(1,($J59-$I59)/7),Templates!$B$35))</f>
        <v/>
      </c>
      <c r="BF59" s="18">
        <f>IF($A59="","",IF(AND($I59&lt;&gt;"",$J59&lt;&gt;""),MAX(1,($J59-$I59)/7),Templates!$B$36))</f>
        <v/>
      </c>
      <c r="BG59" s="18">
        <f>IF($A59="","",IF(AND($I59&lt;&gt;"",$J59&lt;&gt;""),MAX(1,($J59-$I59)/7),Templates!$B$37))</f>
        <v/>
      </c>
      <c r="BH59" s="18">
        <f>IF($A59="","",IF(AND($I59&lt;&gt;"",$J59&lt;&gt;""),MAX(1,($J59-$I59)/7),Templates!$B$38))</f>
        <v/>
      </c>
      <c r="BI59" s="18">
        <f>IF($A59="","",IF(AND($I59&lt;&gt;"",$J59&lt;&gt;""),MAX(1,($J59-$I59)/7),Templates!$B$39))</f>
        <v/>
      </c>
      <c r="BJ59" s="18">
        <f>IF(OR($A59="",$BD59=0),0,($AY59*Templates!$B$27/$BE59+$AZ59*Templates!$B$28/$BF59+$BA59*Templates!$B$29/$BG59+$BB59*Templates!$B$30/$BH59+$BC59*Templates!$B$31/$BI59)/Templates!$B$17)</f>
        <v/>
      </c>
      <c r="BK59" s="18">
        <f>IF(OR($A59="",$BD59=0),0,($AY59*Templates!$C$27/$BE59+$AZ59*Templates!$C$28/$BF59+$BA59*Templates!$C$29/$BG59+$BB59*Templates!$C$30/$BH59+$BC59*Templates!$C$31/$BI59)/Templates!$B$18)</f>
        <v/>
      </c>
      <c r="BL59" s="18">
        <f>IF(OR($A59="",$BD59=0),0,($AY59*Templates!$D$27/$BE59+$AZ59*Templates!$D$28/$BF59+$BA59*Templates!$D$29/$BG59+$BB59*Templates!$D$30/$BH59+$BC59*Templates!$D$31/$BI59)/Templates!$B$19)</f>
        <v/>
      </c>
      <c r="BM59" s="18">
        <f>IF(OR($A59="",$BD59=0),0,($AY59*Templates!$E$27/$BE59+$AZ59*Templates!$E$28/$BF59+$BA59*Templates!$E$29/$BG59+$BB59*Templates!$E$30/$BH59+$BC59*Templates!$E$31/$BI59)/Templates!$B$20)</f>
        <v/>
      </c>
      <c r="BN59" s="18">
        <f>IF(OR($A59="",$BD59=0),0,($AY59*Templates!$F$27/$BE59+$AZ59*Templates!$F$28/$BF59+$BA59*Templates!$F$29/$BG59+$BB59*Templates!$F$30/$BH59+$BC59*Templates!$F$31/$BI59)/Templates!$B$21)</f>
        <v/>
      </c>
      <c r="BO59" s="18">
        <f>IF(OR($A59="",$BD59=0),0,($AY59*Templates!$G$27/$BE59+$AZ59*Templates!$G$28/$BF59+$BA59*Templates!$G$29/$BG59+$BB59*Templates!$G$30/$BH59+$BC59*Templates!$G$31/$BI59)/Templates!$B$22)</f>
        <v/>
      </c>
      <c r="BP59" s="18">
        <f>IF(OR($A59="",$BD59=0),0,($AY59*Templates!$H$27/$BE59+$AZ59*Templates!$H$28/$BF59+$BA59*Templates!$H$29/$BG59+$BB59*Templates!$H$30/$BH59+$BC59*Templates!$H$31/$BI59)/Templates!$B$23)</f>
        <v/>
      </c>
    </row>
    <row r="60">
      <c r="A60" s="28" t="inlineStr">
        <is>
          <t>Dupont_1</t>
        </is>
      </c>
      <c r="B60" s="20" t="inlineStr">
        <is>
          <t>Ares Management Corporation</t>
        </is>
      </c>
      <c r="C60" s="28" t="inlineStr">
        <is>
          <t>Ares Management Corporation</t>
        </is>
      </c>
      <c r="D60" s="28" t="inlineStr"/>
      <c r="E60" s="28" t="inlineStr">
        <is>
          <t>No</t>
        </is>
      </c>
      <c r="F60" s="28" t="inlineStr">
        <is>
          <t>Active</t>
        </is>
      </c>
      <c r="G60" s="38" t="n"/>
      <c r="H60" s="29" t="n">
        <v>1</v>
      </c>
      <c r="I60" s="39" t="n"/>
      <c r="J60" s="39" t="n"/>
      <c r="K60" s="31" t="n"/>
      <c r="L60" s="31" t="n"/>
      <c r="M60" s="31" t="n"/>
      <c r="N60" s="31" t="n"/>
      <c r="O60" s="31" t="n"/>
      <c r="P60" s="31" t="n"/>
      <c r="Q60" s="23">
        <f>IF($A60="","",COUNTIFS(Assignments!$C$2:$C$769,$A60,Assignments!$G$2:$G$769,"Active"))</f>
        <v/>
      </c>
      <c r="R60" s="32">
        <f>IF($A60="","",SUMIFS(Assignments!$I$2:$I$769,Assignments!$C$2:$C$769,$A60,Assignments!$G$2:$G$769,"Active"))</f>
        <v/>
      </c>
      <c r="S60" s="20" t="inlineStr">
        <is>
          <t>WIP</t>
        </is>
      </c>
      <c r="T60" s="31" t="n"/>
      <c r="U60" s="38" t="n"/>
      <c r="V60" s="34">
        <f>IF($U60="","",IFERROR(INDEX(Templates!$K$3:$K$10,MATCH($U60,Templates!$A$3:$A$10,0)),""))</f>
        <v/>
      </c>
      <c r="W60" s="34">
        <f>IF($U60="","",IFERROR(INDEX(Templates!$L$3:$L$10,MATCH($U60,Templates!$A$3:$A$10,0)),""))</f>
        <v/>
      </c>
      <c r="X60" s="21">
        <f>IF($U60="","",IFERROR(INDEX(Templates!$J$3:$J$10,MATCH($U60,Templates!$A$3:$A$10,0)),""))</f>
        <v/>
      </c>
      <c r="Y60" s="35">
        <f>IF(OR($U60="",$I60="",$J60="",$X60=""),"",$I60+$X60*($J60-$I60))</f>
        <v/>
      </c>
      <c r="Z60" s="30" t="n">
        <v>46212</v>
      </c>
      <c r="AA60" s="40" t="n"/>
      <c r="AB60" s="41" t="n"/>
      <c r="AC60" s="41" t="n"/>
      <c r="AD60" s="19">
        <f>IF($A60="","",IF($AA60="",$H60,$AA60))</f>
        <v/>
      </c>
      <c r="AE60" s="35">
        <f>IF($A60="","",IF($AB60="",$I60,$AB60))</f>
        <v/>
      </c>
      <c r="AF60" s="35">
        <f>IF($A60="","",IF($AC60="",$J60,$AC60))</f>
        <v/>
      </c>
      <c r="AG60" s="35">
        <f>IF(OR($U60="",$AE60="",$AF60="",$X60=""),"",$AE60+$X60*($AF60-$AE60))</f>
        <v/>
      </c>
      <c r="AH60" s="38" t="n"/>
      <c r="AI60" s="38" t="n"/>
      <c r="AJ60" s="38" t="n"/>
      <c r="AK60" s="38" t="n"/>
      <c r="AL60" s="38" t="n"/>
      <c r="AM60" s="38" t="n"/>
      <c r="AN60" s="38" t="n"/>
      <c r="AO60" s="38" t="n"/>
      <c r="AP60" s="38" t="n"/>
      <c r="AQ60" s="38" t="n"/>
      <c r="AR60" s="38" t="n"/>
      <c r="AS60" s="38" t="n"/>
      <c r="AT60" s="38" t="n"/>
      <c r="AU60" s="38" t="n"/>
      <c r="AV60" s="38" t="n"/>
      <c r="AW60" s="38" t="n"/>
      <c r="AX60" s="38" t="n"/>
      <c r="AY60" s="42" t="n"/>
      <c r="AZ60" s="42" t="n"/>
      <c r="BA60" s="42" t="n"/>
      <c r="BB60" s="42" t="n"/>
      <c r="BC60" s="42" t="n"/>
      <c r="BD60" s="37">
        <f>IF($A60="","",SUM($AY60:$BC60))</f>
        <v/>
      </c>
      <c r="BE60" s="18">
        <f>IF($A60="","",IF(AND($I60&lt;&gt;"",$J60&lt;&gt;""),MAX(1,($J60-$I60)/7),Templates!$B$35))</f>
        <v/>
      </c>
      <c r="BF60" s="18">
        <f>IF($A60="","",IF(AND($I60&lt;&gt;"",$J60&lt;&gt;""),MAX(1,($J60-$I60)/7),Templates!$B$36))</f>
        <v/>
      </c>
      <c r="BG60" s="18">
        <f>IF($A60="","",IF(AND($I60&lt;&gt;"",$J60&lt;&gt;""),MAX(1,($J60-$I60)/7),Templates!$B$37))</f>
        <v/>
      </c>
      <c r="BH60" s="18">
        <f>IF($A60="","",IF(AND($I60&lt;&gt;"",$J60&lt;&gt;""),MAX(1,($J60-$I60)/7),Templates!$B$38))</f>
        <v/>
      </c>
      <c r="BI60" s="18">
        <f>IF($A60="","",IF(AND($I60&lt;&gt;"",$J60&lt;&gt;""),MAX(1,($J60-$I60)/7),Templates!$B$39))</f>
        <v/>
      </c>
      <c r="BJ60" s="18">
        <f>IF(OR($A60="",$BD60=0),0,($AY60*Templates!$B$27/$BE60+$AZ60*Templates!$B$28/$BF60+$BA60*Templates!$B$29/$BG60+$BB60*Templates!$B$30/$BH60+$BC60*Templates!$B$31/$BI60)/Templates!$B$17)</f>
        <v/>
      </c>
      <c r="BK60" s="18">
        <f>IF(OR($A60="",$BD60=0),0,($AY60*Templates!$C$27/$BE60+$AZ60*Templates!$C$28/$BF60+$BA60*Templates!$C$29/$BG60+$BB60*Templates!$C$30/$BH60+$BC60*Templates!$C$31/$BI60)/Templates!$B$18)</f>
        <v/>
      </c>
      <c r="BL60" s="18">
        <f>IF(OR($A60="",$BD60=0),0,($AY60*Templates!$D$27/$BE60+$AZ60*Templates!$D$28/$BF60+$BA60*Templates!$D$29/$BG60+$BB60*Templates!$D$30/$BH60+$BC60*Templates!$D$31/$BI60)/Templates!$B$19)</f>
        <v/>
      </c>
      <c r="BM60" s="18">
        <f>IF(OR($A60="",$BD60=0),0,($AY60*Templates!$E$27/$BE60+$AZ60*Templates!$E$28/$BF60+$BA60*Templates!$E$29/$BG60+$BB60*Templates!$E$30/$BH60+$BC60*Templates!$E$31/$BI60)/Templates!$B$20)</f>
        <v/>
      </c>
      <c r="BN60" s="18">
        <f>IF(OR($A60="",$BD60=0),0,($AY60*Templates!$F$27/$BE60+$AZ60*Templates!$F$28/$BF60+$BA60*Templates!$F$29/$BG60+$BB60*Templates!$F$30/$BH60+$BC60*Templates!$F$31/$BI60)/Templates!$B$21)</f>
        <v/>
      </c>
      <c r="BO60" s="18">
        <f>IF(OR($A60="",$BD60=0),0,($AY60*Templates!$G$27/$BE60+$AZ60*Templates!$G$28/$BF60+$BA60*Templates!$G$29/$BG60+$BB60*Templates!$G$30/$BH60+$BC60*Templates!$G$31/$BI60)/Templates!$B$22)</f>
        <v/>
      </c>
      <c r="BP60" s="18">
        <f>IF(OR($A60="",$BD60=0),0,($AY60*Templates!$H$27/$BE60+$AZ60*Templates!$H$28/$BF60+$BA60*Templates!$H$29/$BG60+$BB60*Templates!$H$30/$BH60+$BC60*Templates!$H$31/$BI60)/Templates!$B$23)</f>
        <v/>
      </c>
    </row>
    <row r="61">
      <c r="A61" s="28" t="inlineStr">
        <is>
          <t>Eagle_5</t>
        </is>
      </c>
      <c r="B61" s="20" t="inlineStr">
        <is>
          <t>Infrared Capital Partners</t>
        </is>
      </c>
      <c r="C61" s="28" t="inlineStr">
        <is>
          <t>Infrared Capital Partners</t>
        </is>
      </c>
      <c r="D61" s="28" t="inlineStr"/>
      <c r="E61" s="28" t="inlineStr">
        <is>
          <t>No</t>
        </is>
      </c>
      <c r="F61" s="28" t="inlineStr">
        <is>
          <t>Active</t>
        </is>
      </c>
      <c r="G61" s="38" t="n"/>
      <c r="H61" s="29" t="n">
        <v>1</v>
      </c>
      <c r="I61" s="39" t="n"/>
      <c r="J61" s="39" t="n"/>
      <c r="K61" s="31" t="n"/>
      <c r="L61" s="31" t="n"/>
      <c r="M61" s="31" t="n"/>
      <c r="N61" s="31" t="n"/>
      <c r="O61" s="31" t="n"/>
      <c r="P61" s="31" t="n"/>
      <c r="Q61" s="23">
        <f>IF($A61="","",COUNTIFS(Assignments!$C$2:$C$769,$A61,Assignments!$G$2:$G$769,"Active"))</f>
        <v/>
      </c>
      <c r="R61" s="32">
        <f>IF($A61="","",SUMIFS(Assignments!$I$2:$I$769,Assignments!$C$2:$C$769,$A61,Assignments!$G$2:$G$769,"Active"))</f>
        <v/>
      </c>
      <c r="S61" s="20" t="inlineStr">
        <is>
          <t>WIP</t>
        </is>
      </c>
      <c r="T61" s="31" t="n"/>
      <c r="U61" s="38" t="n"/>
      <c r="V61" s="34">
        <f>IF($U61="","",IFERROR(INDEX(Templates!$K$3:$K$10,MATCH($U61,Templates!$A$3:$A$10,0)),""))</f>
        <v/>
      </c>
      <c r="W61" s="34">
        <f>IF($U61="","",IFERROR(INDEX(Templates!$L$3:$L$10,MATCH($U61,Templates!$A$3:$A$10,0)),""))</f>
        <v/>
      </c>
      <c r="X61" s="21">
        <f>IF($U61="","",IFERROR(INDEX(Templates!$J$3:$J$10,MATCH($U61,Templates!$A$3:$A$10,0)),""))</f>
        <v/>
      </c>
      <c r="Y61" s="35">
        <f>IF(OR($U61="",$I61="",$J61="",$X61=""),"",$I61+$X61*($J61-$I61))</f>
        <v/>
      </c>
      <c r="Z61" s="30" t="n">
        <v>46212</v>
      </c>
      <c r="AA61" s="40" t="n"/>
      <c r="AB61" s="41" t="n"/>
      <c r="AC61" s="41" t="n"/>
      <c r="AD61" s="19">
        <f>IF($A61="","",IF($AA61="",$H61,$AA61))</f>
        <v/>
      </c>
      <c r="AE61" s="35">
        <f>IF($A61="","",IF($AB61="",$I61,$AB61))</f>
        <v/>
      </c>
      <c r="AF61" s="35">
        <f>IF($A61="","",IF($AC61="",$J61,$AC61))</f>
        <v/>
      </c>
      <c r="AG61" s="35">
        <f>IF(OR($U61="",$AE61="",$AF61="",$X61=""),"",$AE61+$X61*($AF61-$AE61))</f>
        <v/>
      </c>
      <c r="AH61" s="38" t="n"/>
      <c r="AI61" s="38" t="n"/>
      <c r="AJ61" s="38" t="n"/>
      <c r="AK61" s="38" t="n"/>
      <c r="AL61" s="38" t="n"/>
      <c r="AM61" s="38" t="n"/>
      <c r="AN61" s="38" t="n"/>
      <c r="AO61" s="38" t="n"/>
      <c r="AP61" s="38" t="n"/>
      <c r="AQ61" s="38" t="n"/>
      <c r="AR61" s="38" t="n"/>
      <c r="AS61" s="38" t="n"/>
      <c r="AT61" s="38" t="n"/>
      <c r="AU61" s="38" t="n"/>
      <c r="AV61" s="38" t="n"/>
      <c r="AW61" s="38" t="n"/>
      <c r="AX61" s="38" t="n"/>
      <c r="AY61" s="42" t="n"/>
      <c r="AZ61" s="42" t="n"/>
      <c r="BA61" s="42" t="n"/>
      <c r="BB61" s="42" t="n"/>
      <c r="BC61" s="42" t="n"/>
      <c r="BD61" s="37">
        <f>IF($A61="","",SUM($AY61:$BC61))</f>
        <v/>
      </c>
      <c r="BE61" s="18">
        <f>IF($A61="","",IF(AND($I61&lt;&gt;"",$J61&lt;&gt;""),MAX(1,($J61-$I61)/7),Templates!$B$35))</f>
        <v/>
      </c>
      <c r="BF61" s="18">
        <f>IF($A61="","",IF(AND($I61&lt;&gt;"",$J61&lt;&gt;""),MAX(1,($J61-$I61)/7),Templates!$B$36))</f>
        <v/>
      </c>
      <c r="BG61" s="18">
        <f>IF($A61="","",IF(AND($I61&lt;&gt;"",$J61&lt;&gt;""),MAX(1,($J61-$I61)/7),Templates!$B$37))</f>
        <v/>
      </c>
      <c r="BH61" s="18">
        <f>IF($A61="","",IF(AND($I61&lt;&gt;"",$J61&lt;&gt;""),MAX(1,($J61-$I61)/7),Templates!$B$38))</f>
        <v/>
      </c>
      <c r="BI61" s="18">
        <f>IF($A61="","",IF(AND($I61&lt;&gt;"",$J61&lt;&gt;""),MAX(1,($J61-$I61)/7),Templates!$B$39))</f>
        <v/>
      </c>
      <c r="BJ61" s="18">
        <f>IF(OR($A61="",$BD61=0),0,($AY61*Templates!$B$27/$BE61+$AZ61*Templates!$B$28/$BF61+$BA61*Templates!$B$29/$BG61+$BB61*Templates!$B$30/$BH61+$BC61*Templates!$B$31/$BI61)/Templates!$B$17)</f>
        <v/>
      </c>
      <c r="BK61" s="18">
        <f>IF(OR($A61="",$BD61=0),0,($AY61*Templates!$C$27/$BE61+$AZ61*Templates!$C$28/$BF61+$BA61*Templates!$C$29/$BG61+$BB61*Templates!$C$30/$BH61+$BC61*Templates!$C$31/$BI61)/Templates!$B$18)</f>
        <v/>
      </c>
      <c r="BL61" s="18">
        <f>IF(OR($A61="",$BD61=0),0,($AY61*Templates!$D$27/$BE61+$AZ61*Templates!$D$28/$BF61+$BA61*Templates!$D$29/$BG61+$BB61*Templates!$D$30/$BH61+$BC61*Templates!$D$31/$BI61)/Templates!$B$19)</f>
        <v/>
      </c>
      <c r="BM61" s="18">
        <f>IF(OR($A61="",$BD61=0),0,($AY61*Templates!$E$27/$BE61+$AZ61*Templates!$E$28/$BF61+$BA61*Templates!$E$29/$BG61+$BB61*Templates!$E$30/$BH61+$BC61*Templates!$E$31/$BI61)/Templates!$B$20)</f>
        <v/>
      </c>
      <c r="BN61" s="18">
        <f>IF(OR($A61="",$BD61=0),0,($AY61*Templates!$F$27/$BE61+$AZ61*Templates!$F$28/$BF61+$BA61*Templates!$F$29/$BG61+$BB61*Templates!$F$30/$BH61+$BC61*Templates!$F$31/$BI61)/Templates!$B$21)</f>
        <v/>
      </c>
      <c r="BO61" s="18">
        <f>IF(OR($A61="",$BD61=0),0,($AY61*Templates!$G$27/$BE61+$AZ61*Templates!$G$28/$BF61+$BA61*Templates!$G$29/$BG61+$BB61*Templates!$G$30/$BH61+$BC61*Templates!$G$31/$BI61)/Templates!$B$22)</f>
        <v/>
      </c>
      <c r="BP61" s="18">
        <f>IF(OR($A61="",$BD61=0),0,($AY61*Templates!$H$27/$BE61+$AZ61*Templates!$H$28/$BF61+$BA61*Templates!$H$29/$BG61+$BB61*Templates!$H$30/$BH61+$BC61*Templates!$H$31/$BI61)/Templates!$B$23)</f>
        <v/>
      </c>
    </row>
    <row r="62">
      <c r="A62" s="28" t="inlineStr">
        <is>
          <t>Eagle_7</t>
        </is>
      </c>
      <c r="B62" s="20" t="inlineStr">
        <is>
          <t>LS Power</t>
        </is>
      </c>
      <c r="C62" s="28" t="inlineStr">
        <is>
          <t>LS Power</t>
        </is>
      </c>
      <c r="D62" s="28" t="inlineStr"/>
      <c r="E62" s="28" t="inlineStr">
        <is>
          <t>No</t>
        </is>
      </c>
      <c r="F62" s="28" t="inlineStr">
        <is>
          <t>Active</t>
        </is>
      </c>
      <c r="G62" s="38" t="n"/>
      <c r="H62" s="29" t="n">
        <v>1</v>
      </c>
      <c r="I62" s="39" t="n"/>
      <c r="J62" s="39" t="n"/>
      <c r="K62" s="31" t="n"/>
      <c r="L62" s="31" t="n"/>
      <c r="M62" s="31" t="n"/>
      <c r="N62" s="31" t="n"/>
      <c r="O62" s="31" t="n"/>
      <c r="P62" s="31" t="n"/>
      <c r="Q62" s="23">
        <f>IF($A62="","",COUNTIFS(Assignments!$C$2:$C$769,$A62,Assignments!$G$2:$G$769,"Active"))</f>
        <v/>
      </c>
      <c r="R62" s="32">
        <f>IF($A62="","",SUMIFS(Assignments!$I$2:$I$769,Assignments!$C$2:$C$769,$A62,Assignments!$G$2:$G$769,"Active"))</f>
        <v/>
      </c>
      <c r="S62" s="20" t="inlineStr">
        <is>
          <t>WIP</t>
        </is>
      </c>
      <c r="T62" s="31" t="n"/>
      <c r="U62" s="38" t="n"/>
      <c r="V62" s="34">
        <f>IF($U62="","",IFERROR(INDEX(Templates!$K$3:$K$10,MATCH($U62,Templates!$A$3:$A$10,0)),""))</f>
        <v/>
      </c>
      <c r="W62" s="34">
        <f>IF($U62="","",IFERROR(INDEX(Templates!$L$3:$L$10,MATCH($U62,Templates!$A$3:$A$10,0)),""))</f>
        <v/>
      </c>
      <c r="X62" s="21">
        <f>IF($U62="","",IFERROR(INDEX(Templates!$J$3:$J$10,MATCH($U62,Templates!$A$3:$A$10,0)),""))</f>
        <v/>
      </c>
      <c r="Y62" s="35">
        <f>IF(OR($U62="",$I62="",$J62="",$X62=""),"",$I62+$X62*($J62-$I62))</f>
        <v/>
      </c>
      <c r="Z62" s="30" t="n">
        <v>46212</v>
      </c>
      <c r="AA62" s="40" t="n"/>
      <c r="AB62" s="41" t="n"/>
      <c r="AC62" s="41" t="n"/>
      <c r="AD62" s="19">
        <f>IF($A62="","",IF($AA62="",$H62,$AA62))</f>
        <v/>
      </c>
      <c r="AE62" s="35">
        <f>IF($A62="","",IF($AB62="",$I62,$AB62))</f>
        <v/>
      </c>
      <c r="AF62" s="35">
        <f>IF($A62="","",IF($AC62="",$J62,$AC62))</f>
        <v/>
      </c>
      <c r="AG62" s="35">
        <f>IF(OR($U62="",$AE62="",$AF62="",$X62=""),"",$AE62+$X62*($AF62-$AE62))</f>
        <v/>
      </c>
      <c r="AH62" s="38" t="n"/>
      <c r="AI62" s="38" t="n"/>
      <c r="AJ62" s="38" t="n"/>
      <c r="AK62" s="38" t="n"/>
      <c r="AL62" s="38" t="n"/>
      <c r="AM62" s="38" t="n"/>
      <c r="AN62" s="38" t="n"/>
      <c r="AO62" s="38" t="n"/>
      <c r="AP62" s="38" t="n"/>
      <c r="AQ62" s="38" t="n"/>
      <c r="AR62" s="38" t="n"/>
      <c r="AS62" s="38" t="n"/>
      <c r="AT62" s="38" t="n"/>
      <c r="AU62" s="38" t="n"/>
      <c r="AV62" s="38" t="n"/>
      <c r="AW62" s="38" t="n"/>
      <c r="AX62" s="38" t="n"/>
      <c r="AY62" s="42" t="n"/>
      <c r="AZ62" s="42" t="n"/>
      <c r="BA62" s="42" t="n"/>
      <c r="BB62" s="42" t="n"/>
      <c r="BC62" s="42" t="n"/>
      <c r="BD62" s="37">
        <f>IF($A62="","",SUM($AY62:$BC62))</f>
        <v/>
      </c>
      <c r="BE62" s="18">
        <f>IF($A62="","",IF(AND($I62&lt;&gt;"",$J62&lt;&gt;""),MAX(1,($J62-$I62)/7),Templates!$B$35))</f>
        <v/>
      </c>
      <c r="BF62" s="18">
        <f>IF($A62="","",IF(AND($I62&lt;&gt;"",$J62&lt;&gt;""),MAX(1,($J62-$I62)/7),Templates!$B$36))</f>
        <v/>
      </c>
      <c r="BG62" s="18">
        <f>IF($A62="","",IF(AND($I62&lt;&gt;"",$J62&lt;&gt;""),MAX(1,($J62-$I62)/7),Templates!$B$37))</f>
        <v/>
      </c>
      <c r="BH62" s="18">
        <f>IF($A62="","",IF(AND($I62&lt;&gt;"",$J62&lt;&gt;""),MAX(1,($J62-$I62)/7),Templates!$B$38))</f>
        <v/>
      </c>
      <c r="BI62" s="18">
        <f>IF($A62="","",IF(AND($I62&lt;&gt;"",$J62&lt;&gt;""),MAX(1,($J62-$I62)/7),Templates!$B$39))</f>
        <v/>
      </c>
      <c r="BJ62" s="18">
        <f>IF(OR($A62="",$BD62=0),0,($AY62*Templates!$B$27/$BE62+$AZ62*Templates!$B$28/$BF62+$BA62*Templates!$B$29/$BG62+$BB62*Templates!$B$30/$BH62+$BC62*Templates!$B$31/$BI62)/Templates!$B$17)</f>
        <v/>
      </c>
      <c r="BK62" s="18">
        <f>IF(OR($A62="",$BD62=0),0,($AY62*Templates!$C$27/$BE62+$AZ62*Templates!$C$28/$BF62+$BA62*Templates!$C$29/$BG62+$BB62*Templates!$C$30/$BH62+$BC62*Templates!$C$31/$BI62)/Templates!$B$18)</f>
        <v/>
      </c>
      <c r="BL62" s="18">
        <f>IF(OR($A62="",$BD62=0),0,($AY62*Templates!$D$27/$BE62+$AZ62*Templates!$D$28/$BF62+$BA62*Templates!$D$29/$BG62+$BB62*Templates!$D$30/$BH62+$BC62*Templates!$D$31/$BI62)/Templates!$B$19)</f>
        <v/>
      </c>
      <c r="BM62" s="18">
        <f>IF(OR($A62="",$BD62=0),0,($AY62*Templates!$E$27/$BE62+$AZ62*Templates!$E$28/$BF62+$BA62*Templates!$E$29/$BG62+$BB62*Templates!$E$30/$BH62+$BC62*Templates!$E$31/$BI62)/Templates!$B$20)</f>
        <v/>
      </c>
      <c r="BN62" s="18">
        <f>IF(OR($A62="",$BD62=0),0,($AY62*Templates!$F$27/$BE62+$AZ62*Templates!$F$28/$BF62+$BA62*Templates!$F$29/$BG62+$BB62*Templates!$F$30/$BH62+$BC62*Templates!$F$31/$BI62)/Templates!$B$21)</f>
        <v/>
      </c>
      <c r="BO62" s="18">
        <f>IF(OR($A62="",$BD62=0),0,($AY62*Templates!$G$27/$BE62+$AZ62*Templates!$G$28/$BF62+$BA62*Templates!$G$29/$BG62+$BB62*Templates!$G$30/$BH62+$BC62*Templates!$G$31/$BI62)/Templates!$B$22)</f>
        <v/>
      </c>
      <c r="BP62" s="18">
        <f>IF(OR($A62="",$BD62=0),0,($AY62*Templates!$H$27/$BE62+$AZ62*Templates!$H$28/$BF62+$BA62*Templates!$H$29/$BG62+$BB62*Templates!$H$30/$BH62+$BC62*Templates!$H$31/$BI62)/Templates!$B$23)</f>
        <v/>
      </c>
    </row>
    <row r="63">
      <c r="A63" s="28" t="inlineStr">
        <is>
          <t>Earthshine_2</t>
        </is>
      </c>
      <c r="B63" s="20" t="inlineStr">
        <is>
          <t>Mosaic Insurance</t>
        </is>
      </c>
      <c r="C63" s="28" t="inlineStr">
        <is>
          <t>Mosaic Insurance</t>
        </is>
      </c>
      <c r="D63" s="28" t="inlineStr"/>
      <c r="E63" s="28" t="inlineStr">
        <is>
          <t>No</t>
        </is>
      </c>
      <c r="F63" s="28" t="inlineStr">
        <is>
          <t>Active</t>
        </is>
      </c>
      <c r="G63" s="38" t="n"/>
      <c r="H63" s="29" t="n">
        <v>1</v>
      </c>
      <c r="I63" s="39" t="n"/>
      <c r="J63" s="39" t="n"/>
      <c r="K63" s="31" t="n"/>
      <c r="L63" s="31" t="n"/>
      <c r="M63" s="31" t="n"/>
      <c r="N63" s="31" t="n"/>
      <c r="O63" s="31" t="n"/>
      <c r="P63" s="31" t="n"/>
      <c r="Q63" s="23">
        <f>IF($A63="","",COUNTIFS(Assignments!$C$2:$C$769,$A63,Assignments!$G$2:$G$769,"Active"))</f>
        <v/>
      </c>
      <c r="R63" s="32">
        <f>IF($A63="","",SUMIFS(Assignments!$I$2:$I$769,Assignments!$C$2:$C$769,$A63,Assignments!$G$2:$G$769,"Active"))</f>
        <v/>
      </c>
      <c r="S63" s="20" t="inlineStr">
        <is>
          <t>WIP</t>
        </is>
      </c>
      <c r="T63" s="31" t="n"/>
      <c r="U63" s="38" t="n"/>
      <c r="V63" s="34">
        <f>IF($U63="","",IFERROR(INDEX(Templates!$K$3:$K$10,MATCH($U63,Templates!$A$3:$A$10,0)),""))</f>
        <v/>
      </c>
      <c r="W63" s="34">
        <f>IF($U63="","",IFERROR(INDEX(Templates!$L$3:$L$10,MATCH($U63,Templates!$A$3:$A$10,0)),""))</f>
        <v/>
      </c>
      <c r="X63" s="21">
        <f>IF($U63="","",IFERROR(INDEX(Templates!$J$3:$J$10,MATCH($U63,Templates!$A$3:$A$10,0)),""))</f>
        <v/>
      </c>
      <c r="Y63" s="35">
        <f>IF(OR($U63="",$I63="",$J63="",$X63=""),"",$I63+$X63*($J63-$I63))</f>
        <v/>
      </c>
      <c r="Z63" s="30" t="n">
        <v>46212</v>
      </c>
      <c r="AA63" s="40" t="n"/>
      <c r="AB63" s="41" t="n"/>
      <c r="AC63" s="41" t="n"/>
      <c r="AD63" s="19">
        <f>IF($A63="","",IF($AA63="",$H63,$AA63))</f>
        <v/>
      </c>
      <c r="AE63" s="35">
        <f>IF($A63="","",IF($AB63="",$I63,$AB63))</f>
        <v/>
      </c>
      <c r="AF63" s="35">
        <f>IF($A63="","",IF($AC63="",$J63,$AC63))</f>
        <v/>
      </c>
      <c r="AG63" s="35">
        <f>IF(OR($U63="",$AE63="",$AF63="",$X63=""),"",$AE63+$X63*($AF63-$AE63))</f>
        <v/>
      </c>
      <c r="AH63" s="38" t="n"/>
      <c r="AI63" s="38" t="n"/>
      <c r="AJ63" s="38" t="n"/>
      <c r="AK63" s="38" t="n"/>
      <c r="AL63" s="38" t="n"/>
      <c r="AM63" s="38" t="n"/>
      <c r="AN63" s="38" t="n"/>
      <c r="AO63" s="38" t="n"/>
      <c r="AP63" s="38" t="n"/>
      <c r="AQ63" s="38" t="n"/>
      <c r="AR63" s="38" t="n"/>
      <c r="AS63" s="38" t="n"/>
      <c r="AT63" s="38" t="n"/>
      <c r="AU63" s="38" t="n"/>
      <c r="AV63" s="38" t="n"/>
      <c r="AW63" s="38" t="n"/>
      <c r="AX63" s="38" t="n"/>
      <c r="AY63" s="42" t="n"/>
      <c r="AZ63" s="42" t="n"/>
      <c r="BA63" s="42" t="n"/>
      <c r="BB63" s="42" t="n"/>
      <c r="BC63" s="42" t="n"/>
      <c r="BD63" s="37">
        <f>IF($A63="","",SUM($AY63:$BC63))</f>
        <v/>
      </c>
      <c r="BE63" s="18">
        <f>IF($A63="","",IF(AND($I63&lt;&gt;"",$J63&lt;&gt;""),MAX(1,($J63-$I63)/7),Templates!$B$35))</f>
        <v/>
      </c>
      <c r="BF63" s="18">
        <f>IF($A63="","",IF(AND($I63&lt;&gt;"",$J63&lt;&gt;""),MAX(1,($J63-$I63)/7),Templates!$B$36))</f>
        <v/>
      </c>
      <c r="BG63" s="18">
        <f>IF($A63="","",IF(AND($I63&lt;&gt;"",$J63&lt;&gt;""),MAX(1,($J63-$I63)/7),Templates!$B$37))</f>
        <v/>
      </c>
      <c r="BH63" s="18">
        <f>IF($A63="","",IF(AND($I63&lt;&gt;"",$J63&lt;&gt;""),MAX(1,($J63-$I63)/7),Templates!$B$38))</f>
        <v/>
      </c>
      <c r="BI63" s="18">
        <f>IF($A63="","",IF(AND($I63&lt;&gt;"",$J63&lt;&gt;""),MAX(1,($J63-$I63)/7),Templates!$B$39))</f>
        <v/>
      </c>
      <c r="BJ63" s="18">
        <f>IF(OR($A63="",$BD63=0),0,($AY63*Templates!$B$27/$BE63+$AZ63*Templates!$B$28/$BF63+$BA63*Templates!$B$29/$BG63+$BB63*Templates!$B$30/$BH63+$BC63*Templates!$B$31/$BI63)/Templates!$B$17)</f>
        <v/>
      </c>
      <c r="BK63" s="18">
        <f>IF(OR($A63="",$BD63=0),0,($AY63*Templates!$C$27/$BE63+$AZ63*Templates!$C$28/$BF63+$BA63*Templates!$C$29/$BG63+$BB63*Templates!$C$30/$BH63+$BC63*Templates!$C$31/$BI63)/Templates!$B$18)</f>
        <v/>
      </c>
      <c r="BL63" s="18">
        <f>IF(OR($A63="",$BD63=0),0,($AY63*Templates!$D$27/$BE63+$AZ63*Templates!$D$28/$BF63+$BA63*Templates!$D$29/$BG63+$BB63*Templates!$D$30/$BH63+$BC63*Templates!$D$31/$BI63)/Templates!$B$19)</f>
        <v/>
      </c>
      <c r="BM63" s="18">
        <f>IF(OR($A63="",$BD63=0),0,($AY63*Templates!$E$27/$BE63+$AZ63*Templates!$E$28/$BF63+$BA63*Templates!$E$29/$BG63+$BB63*Templates!$E$30/$BH63+$BC63*Templates!$E$31/$BI63)/Templates!$B$20)</f>
        <v/>
      </c>
      <c r="BN63" s="18">
        <f>IF(OR($A63="",$BD63=0),0,($AY63*Templates!$F$27/$BE63+$AZ63*Templates!$F$28/$BF63+$BA63*Templates!$F$29/$BG63+$BB63*Templates!$F$30/$BH63+$BC63*Templates!$F$31/$BI63)/Templates!$B$21)</f>
        <v/>
      </c>
      <c r="BO63" s="18">
        <f>IF(OR($A63="",$BD63=0),0,($AY63*Templates!$G$27/$BE63+$AZ63*Templates!$G$28/$BF63+$BA63*Templates!$G$29/$BG63+$BB63*Templates!$G$30/$BH63+$BC63*Templates!$G$31/$BI63)/Templates!$B$22)</f>
        <v/>
      </c>
      <c r="BP63" s="18">
        <f>IF(OR($A63="",$BD63=0),0,($AY63*Templates!$H$27/$BE63+$AZ63*Templates!$H$28/$BF63+$BA63*Templates!$H$29/$BG63+$BB63*Templates!$H$30/$BH63+$BC63*Templates!$H$31/$BI63)/Templates!$B$23)</f>
        <v/>
      </c>
    </row>
    <row r="64">
      <c r="A64" s="28" t="inlineStr">
        <is>
          <t>Elektron_1</t>
        </is>
      </c>
      <c r="B64" s="20" t="inlineStr">
        <is>
          <t>Ethos Specialty Insurance Services</t>
        </is>
      </c>
      <c r="C64" s="28" t="inlineStr">
        <is>
          <t>Ethos Specialty Insurance Services</t>
        </is>
      </c>
      <c r="D64" s="28" t="inlineStr"/>
      <c r="E64" s="28" t="inlineStr">
        <is>
          <t>No</t>
        </is>
      </c>
      <c r="F64" s="28" t="inlineStr">
        <is>
          <t>Active</t>
        </is>
      </c>
      <c r="G64" s="38" t="n"/>
      <c r="H64" s="29" t="n">
        <v>1</v>
      </c>
      <c r="I64" s="39" t="n"/>
      <c r="J64" s="39" t="n"/>
      <c r="K64" s="31" t="n"/>
      <c r="L64" s="31" t="n"/>
      <c r="M64" s="31" t="n"/>
      <c r="N64" s="31" t="n"/>
      <c r="O64" s="31" t="n"/>
      <c r="P64" s="31" t="n"/>
      <c r="Q64" s="23">
        <f>IF($A64="","",COUNTIFS(Assignments!$C$2:$C$769,$A64,Assignments!$G$2:$G$769,"Active"))</f>
        <v/>
      </c>
      <c r="R64" s="32">
        <f>IF($A64="","",SUMIFS(Assignments!$I$2:$I$769,Assignments!$C$2:$C$769,$A64,Assignments!$G$2:$G$769,"Active"))</f>
        <v/>
      </c>
      <c r="S64" s="20" t="inlineStr">
        <is>
          <t>WIP</t>
        </is>
      </c>
      <c r="T64" s="31" t="n"/>
      <c r="U64" s="38" t="n"/>
      <c r="V64" s="34">
        <f>IF($U64="","",IFERROR(INDEX(Templates!$K$3:$K$10,MATCH($U64,Templates!$A$3:$A$10,0)),""))</f>
        <v/>
      </c>
      <c r="W64" s="34">
        <f>IF($U64="","",IFERROR(INDEX(Templates!$L$3:$L$10,MATCH($U64,Templates!$A$3:$A$10,0)),""))</f>
        <v/>
      </c>
      <c r="X64" s="21">
        <f>IF($U64="","",IFERROR(INDEX(Templates!$J$3:$J$10,MATCH($U64,Templates!$A$3:$A$10,0)),""))</f>
        <v/>
      </c>
      <c r="Y64" s="35">
        <f>IF(OR($U64="",$I64="",$J64="",$X64=""),"",$I64+$X64*($J64-$I64))</f>
        <v/>
      </c>
      <c r="Z64" s="30" t="n">
        <v>46212</v>
      </c>
      <c r="AA64" s="40" t="n"/>
      <c r="AB64" s="41" t="n"/>
      <c r="AC64" s="41" t="n"/>
      <c r="AD64" s="19">
        <f>IF($A64="","",IF($AA64="",$H64,$AA64))</f>
        <v/>
      </c>
      <c r="AE64" s="35">
        <f>IF($A64="","",IF($AB64="",$I64,$AB64))</f>
        <v/>
      </c>
      <c r="AF64" s="35">
        <f>IF($A64="","",IF($AC64="",$J64,$AC64))</f>
        <v/>
      </c>
      <c r="AG64" s="35">
        <f>IF(OR($U64="",$AE64="",$AF64="",$X64=""),"",$AE64+$X64*($AF64-$AE64))</f>
        <v/>
      </c>
      <c r="AH64" s="38" t="n"/>
      <c r="AI64" s="38" t="n"/>
      <c r="AJ64" s="38" t="n"/>
      <c r="AK64" s="38" t="n"/>
      <c r="AL64" s="38" t="n"/>
      <c r="AM64" s="38" t="n"/>
      <c r="AN64" s="38" t="n"/>
      <c r="AO64" s="38" t="n"/>
      <c r="AP64" s="38" t="n"/>
      <c r="AQ64" s="38" t="n"/>
      <c r="AR64" s="38" t="n"/>
      <c r="AS64" s="38" t="n"/>
      <c r="AT64" s="38" t="n"/>
      <c r="AU64" s="38" t="n"/>
      <c r="AV64" s="38" t="n"/>
      <c r="AW64" s="38" t="n"/>
      <c r="AX64" s="38" t="n"/>
      <c r="AY64" s="42" t="n"/>
      <c r="AZ64" s="42" t="n"/>
      <c r="BA64" s="42" t="n"/>
      <c r="BB64" s="42" t="n"/>
      <c r="BC64" s="42" t="n"/>
      <c r="BD64" s="37">
        <f>IF($A64="","",SUM($AY64:$BC64))</f>
        <v/>
      </c>
      <c r="BE64" s="18">
        <f>IF($A64="","",IF(AND($I64&lt;&gt;"",$J64&lt;&gt;""),MAX(1,($J64-$I64)/7),Templates!$B$35))</f>
        <v/>
      </c>
      <c r="BF64" s="18">
        <f>IF($A64="","",IF(AND($I64&lt;&gt;"",$J64&lt;&gt;""),MAX(1,($J64-$I64)/7),Templates!$B$36))</f>
        <v/>
      </c>
      <c r="BG64" s="18">
        <f>IF($A64="","",IF(AND($I64&lt;&gt;"",$J64&lt;&gt;""),MAX(1,($J64-$I64)/7),Templates!$B$37))</f>
        <v/>
      </c>
      <c r="BH64" s="18">
        <f>IF($A64="","",IF(AND($I64&lt;&gt;"",$J64&lt;&gt;""),MAX(1,($J64-$I64)/7),Templates!$B$38))</f>
        <v/>
      </c>
      <c r="BI64" s="18">
        <f>IF($A64="","",IF(AND($I64&lt;&gt;"",$J64&lt;&gt;""),MAX(1,($J64-$I64)/7),Templates!$B$39))</f>
        <v/>
      </c>
      <c r="BJ64" s="18">
        <f>IF(OR($A64="",$BD64=0),0,($AY64*Templates!$B$27/$BE64+$AZ64*Templates!$B$28/$BF64+$BA64*Templates!$B$29/$BG64+$BB64*Templates!$B$30/$BH64+$BC64*Templates!$B$31/$BI64)/Templates!$B$17)</f>
        <v/>
      </c>
      <c r="BK64" s="18">
        <f>IF(OR($A64="",$BD64=0),0,($AY64*Templates!$C$27/$BE64+$AZ64*Templates!$C$28/$BF64+$BA64*Templates!$C$29/$BG64+$BB64*Templates!$C$30/$BH64+$BC64*Templates!$C$31/$BI64)/Templates!$B$18)</f>
        <v/>
      </c>
      <c r="BL64" s="18">
        <f>IF(OR($A64="",$BD64=0),0,($AY64*Templates!$D$27/$BE64+$AZ64*Templates!$D$28/$BF64+$BA64*Templates!$D$29/$BG64+$BB64*Templates!$D$30/$BH64+$BC64*Templates!$D$31/$BI64)/Templates!$B$19)</f>
        <v/>
      </c>
      <c r="BM64" s="18">
        <f>IF(OR($A64="",$BD64=0),0,($AY64*Templates!$E$27/$BE64+$AZ64*Templates!$E$28/$BF64+$BA64*Templates!$E$29/$BG64+$BB64*Templates!$E$30/$BH64+$BC64*Templates!$E$31/$BI64)/Templates!$B$20)</f>
        <v/>
      </c>
      <c r="BN64" s="18">
        <f>IF(OR($A64="",$BD64=0),0,($AY64*Templates!$F$27/$BE64+$AZ64*Templates!$F$28/$BF64+$BA64*Templates!$F$29/$BG64+$BB64*Templates!$F$30/$BH64+$BC64*Templates!$F$31/$BI64)/Templates!$B$21)</f>
        <v/>
      </c>
      <c r="BO64" s="18">
        <f>IF(OR($A64="",$BD64=0),0,($AY64*Templates!$G$27/$BE64+$AZ64*Templates!$G$28/$BF64+$BA64*Templates!$G$29/$BG64+$BB64*Templates!$G$30/$BH64+$BC64*Templates!$G$31/$BI64)/Templates!$B$22)</f>
        <v/>
      </c>
      <c r="BP64" s="18">
        <f>IF(OR($A64="",$BD64=0),0,($AY64*Templates!$H$27/$BE64+$AZ64*Templates!$H$28/$BF64+$BA64*Templates!$H$29/$BG64+$BB64*Templates!$H$30/$BH64+$BC64*Templates!$H$31/$BI64)/Templates!$B$23)</f>
        <v/>
      </c>
    </row>
    <row r="65">
      <c r="A65" s="28" t="inlineStr">
        <is>
          <t>Emerald_6</t>
        </is>
      </c>
      <c r="B65" s="20" t="inlineStr">
        <is>
          <t>Repsol Renewables NA</t>
        </is>
      </c>
      <c r="C65" s="28" t="inlineStr">
        <is>
          <t>Repsol Renewables NA</t>
        </is>
      </c>
      <c r="D65" s="28" t="inlineStr"/>
      <c r="E65" s="28" t="inlineStr">
        <is>
          <t>No</t>
        </is>
      </c>
      <c r="F65" s="28" t="inlineStr">
        <is>
          <t>Active</t>
        </is>
      </c>
      <c r="G65" s="38" t="n"/>
      <c r="H65" s="29" t="n">
        <v>1</v>
      </c>
      <c r="I65" s="39" t="n"/>
      <c r="J65" s="39" t="n"/>
      <c r="K65" s="31" t="n"/>
      <c r="L65" s="31" t="n"/>
      <c r="M65" s="31" t="n"/>
      <c r="N65" s="31" t="n"/>
      <c r="O65" s="31" t="n"/>
      <c r="P65" s="31" t="n"/>
      <c r="Q65" s="23">
        <f>IF($A65="","",COUNTIFS(Assignments!$C$2:$C$769,$A65,Assignments!$G$2:$G$769,"Active"))</f>
        <v/>
      </c>
      <c r="R65" s="32">
        <f>IF($A65="","",SUMIFS(Assignments!$I$2:$I$769,Assignments!$C$2:$C$769,$A65,Assignments!$G$2:$G$769,"Active"))</f>
        <v/>
      </c>
      <c r="S65" s="20" t="inlineStr">
        <is>
          <t>WIP</t>
        </is>
      </c>
      <c r="T65" s="31" t="n"/>
      <c r="U65" s="38" t="n"/>
      <c r="V65" s="34">
        <f>IF($U65="","",IFERROR(INDEX(Templates!$K$3:$K$10,MATCH($U65,Templates!$A$3:$A$10,0)),""))</f>
        <v/>
      </c>
      <c r="W65" s="34">
        <f>IF($U65="","",IFERROR(INDEX(Templates!$L$3:$L$10,MATCH($U65,Templates!$A$3:$A$10,0)),""))</f>
        <v/>
      </c>
      <c r="X65" s="21">
        <f>IF($U65="","",IFERROR(INDEX(Templates!$J$3:$J$10,MATCH($U65,Templates!$A$3:$A$10,0)),""))</f>
        <v/>
      </c>
      <c r="Y65" s="35">
        <f>IF(OR($U65="",$I65="",$J65="",$X65=""),"",$I65+$X65*($J65-$I65))</f>
        <v/>
      </c>
      <c r="Z65" s="30" t="n">
        <v>46212</v>
      </c>
      <c r="AA65" s="40" t="n"/>
      <c r="AB65" s="41" t="n"/>
      <c r="AC65" s="41" t="n"/>
      <c r="AD65" s="19">
        <f>IF($A65="","",IF($AA65="",$H65,$AA65))</f>
        <v/>
      </c>
      <c r="AE65" s="35">
        <f>IF($A65="","",IF($AB65="",$I65,$AB65))</f>
        <v/>
      </c>
      <c r="AF65" s="35">
        <f>IF($A65="","",IF($AC65="",$J65,$AC65))</f>
        <v/>
      </c>
      <c r="AG65" s="35">
        <f>IF(OR($U65="",$AE65="",$AF65="",$X65=""),"",$AE65+$X65*($AF65-$AE65))</f>
        <v/>
      </c>
      <c r="AH65" s="38" t="n"/>
      <c r="AI65" s="38" t="n"/>
      <c r="AJ65" s="38" t="n"/>
      <c r="AK65" s="38" t="n"/>
      <c r="AL65" s="38" t="n"/>
      <c r="AM65" s="38" t="n"/>
      <c r="AN65" s="38" t="n"/>
      <c r="AO65" s="38" t="n"/>
      <c r="AP65" s="38" t="n"/>
      <c r="AQ65" s="38" t="n"/>
      <c r="AR65" s="38" t="n"/>
      <c r="AS65" s="38" t="n"/>
      <c r="AT65" s="38" t="n"/>
      <c r="AU65" s="38" t="n"/>
      <c r="AV65" s="38" t="n"/>
      <c r="AW65" s="38" t="n"/>
      <c r="AX65" s="38" t="n"/>
      <c r="AY65" s="42" t="n"/>
      <c r="AZ65" s="42" t="n"/>
      <c r="BA65" s="42" t="n"/>
      <c r="BB65" s="42" t="n"/>
      <c r="BC65" s="42" t="n"/>
      <c r="BD65" s="37">
        <f>IF($A65="","",SUM($AY65:$BC65))</f>
        <v/>
      </c>
      <c r="BE65" s="18">
        <f>IF($A65="","",IF(AND($I65&lt;&gt;"",$J65&lt;&gt;""),MAX(1,($J65-$I65)/7),Templates!$B$35))</f>
        <v/>
      </c>
      <c r="BF65" s="18">
        <f>IF($A65="","",IF(AND($I65&lt;&gt;"",$J65&lt;&gt;""),MAX(1,($J65-$I65)/7),Templates!$B$36))</f>
        <v/>
      </c>
      <c r="BG65" s="18">
        <f>IF($A65="","",IF(AND($I65&lt;&gt;"",$J65&lt;&gt;""),MAX(1,($J65-$I65)/7),Templates!$B$37))</f>
        <v/>
      </c>
      <c r="BH65" s="18">
        <f>IF($A65="","",IF(AND($I65&lt;&gt;"",$J65&lt;&gt;""),MAX(1,($J65-$I65)/7),Templates!$B$38))</f>
        <v/>
      </c>
      <c r="BI65" s="18">
        <f>IF($A65="","",IF(AND($I65&lt;&gt;"",$J65&lt;&gt;""),MAX(1,($J65-$I65)/7),Templates!$B$39))</f>
        <v/>
      </c>
      <c r="BJ65" s="18">
        <f>IF(OR($A65="",$BD65=0),0,($AY65*Templates!$B$27/$BE65+$AZ65*Templates!$B$28/$BF65+$BA65*Templates!$B$29/$BG65+$BB65*Templates!$B$30/$BH65+$BC65*Templates!$B$31/$BI65)/Templates!$B$17)</f>
        <v/>
      </c>
      <c r="BK65" s="18">
        <f>IF(OR($A65="",$BD65=0),0,($AY65*Templates!$C$27/$BE65+$AZ65*Templates!$C$28/$BF65+$BA65*Templates!$C$29/$BG65+$BB65*Templates!$C$30/$BH65+$BC65*Templates!$C$31/$BI65)/Templates!$B$18)</f>
        <v/>
      </c>
      <c r="BL65" s="18">
        <f>IF(OR($A65="",$BD65=0),0,($AY65*Templates!$D$27/$BE65+$AZ65*Templates!$D$28/$BF65+$BA65*Templates!$D$29/$BG65+$BB65*Templates!$D$30/$BH65+$BC65*Templates!$D$31/$BI65)/Templates!$B$19)</f>
        <v/>
      </c>
      <c r="BM65" s="18">
        <f>IF(OR($A65="",$BD65=0),0,($AY65*Templates!$E$27/$BE65+$AZ65*Templates!$E$28/$BF65+$BA65*Templates!$E$29/$BG65+$BB65*Templates!$E$30/$BH65+$BC65*Templates!$E$31/$BI65)/Templates!$B$20)</f>
        <v/>
      </c>
      <c r="BN65" s="18">
        <f>IF(OR($A65="",$BD65=0),0,($AY65*Templates!$F$27/$BE65+$AZ65*Templates!$F$28/$BF65+$BA65*Templates!$F$29/$BG65+$BB65*Templates!$F$30/$BH65+$BC65*Templates!$F$31/$BI65)/Templates!$B$21)</f>
        <v/>
      </c>
      <c r="BO65" s="18">
        <f>IF(OR($A65="",$BD65=0),0,($AY65*Templates!$G$27/$BE65+$AZ65*Templates!$G$28/$BF65+$BA65*Templates!$G$29/$BG65+$BB65*Templates!$G$30/$BH65+$BC65*Templates!$G$31/$BI65)/Templates!$B$22)</f>
        <v/>
      </c>
      <c r="BP65" s="18">
        <f>IF(OR($A65="",$BD65=0),0,($AY65*Templates!$H$27/$BE65+$AZ65*Templates!$H$28/$BF65+$BA65*Templates!$H$29/$BG65+$BB65*Templates!$H$30/$BH65+$BC65*Templates!$H$31/$BI65)/Templates!$B$23)</f>
        <v/>
      </c>
    </row>
    <row r="66">
      <c r="A66" s="28" t="inlineStr">
        <is>
          <t>Enterprise_1</t>
        </is>
      </c>
      <c r="B66" s="20" t="inlineStr">
        <is>
          <t>Link 1 IT Solutions, LLC</t>
        </is>
      </c>
      <c r="C66" s="28" t="inlineStr">
        <is>
          <t>Link 1 IT Solutions, LLC</t>
        </is>
      </c>
      <c r="D66" s="28" t="inlineStr"/>
      <c r="E66" s="28" t="inlineStr">
        <is>
          <t>No</t>
        </is>
      </c>
      <c r="F66" s="28" t="inlineStr">
        <is>
          <t>Active</t>
        </is>
      </c>
      <c r="G66" s="38" t="n"/>
      <c r="H66" s="29" t="n">
        <v>1</v>
      </c>
      <c r="I66" s="39" t="n"/>
      <c r="J66" s="39" t="n"/>
      <c r="K66" s="31" t="n"/>
      <c r="L66" s="31" t="n"/>
      <c r="M66" s="31" t="n"/>
      <c r="N66" s="31" t="n"/>
      <c r="O66" s="31" t="n"/>
      <c r="P66" s="31" t="n"/>
      <c r="Q66" s="23">
        <f>IF($A66="","",COUNTIFS(Assignments!$C$2:$C$769,$A66,Assignments!$G$2:$G$769,"Active"))</f>
        <v/>
      </c>
      <c r="R66" s="32">
        <f>IF($A66="","",SUMIFS(Assignments!$I$2:$I$769,Assignments!$C$2:$C$769,$A66,Assignments!$G$2:$G$769,"Active"))</f>
        <v/>
      </c>
      <c r="S66" s="20" t="inlineStr">
        <is>
          <t>WIP</t>
        </is>
      </c>
      <c r="T66" s="31" t="n"/>
      <c r="U66" s="38" t="n"/>
      <c r="V66" s="34">
        <f>IF($U66="","",IFERROR(INDEX(Templates!$K$3:$K$10,MATCH($U66,Templates!$A$3:$A$10,0)),""))</f>
        <v/>
      </c>
      <c r="W66" s="34">
        <f>IF($U66="","",IFERROR(INDEX(Templates!$L$3:$L$10,MATCH($U66,Templates!$A$3:$A$10,0)),""))</f>
        <v/>
      </c>
      <c r="X66" s="21">
        <f>IF($U66="","",IFERROR(INDEX(Templates!$J$3:$J$10,MATCH($U66,Templates!$A$3:$A$10,0)),""))</f>
        <v/>
      </c>
      <c r="Y66" s="35">
        <f>IF(OR($U66="",$I66="",$J66="",$X66=""),"",$I66+$X66*($J66-$I66))</f>
        <v/>
      </c>
      <c r="Z66" s="30" t="n">
        <v>46212</v>
      </c>
      <c r="AA66" s="40" t="n"/>
      <c r="AB66" s="41" t="n"/>
      <c r="AC66" s="41" t="n"/>
      <c r="AD66" s="19">
        <f>IF($A66="","",IF($AA66="",$H66,$AA66))</f>
        <v/>
      </c>
      <c r="AE66" s="35">
        <f>IF($A66="","",IF($AB66="",$I66,$AB66))</f>
        <v/>
      </c>
      <c r="AF66" s="35">
        <f>IF($A66="","",IF($AC66="",$J66,$AC66))</f>
        <v/>
      </c>
      <c r="AG66" s="35">
        <f>IF(OR($U66="",$AE66="",$AF66="",$X66=""),"",$AE66+$X66*($AF66-$AE66))</f>
        <v/>
      </c>
      <c r="AH66" s="38" t="n"/>
      <c r="AI66" s="38" t="n"/>
      <c r="AJ66" s="38" t="n"/>
      <c r="AK66" s="38" t="n"/>
      <c r="AL66" s="38" t="n"/>
      <c r="AM66" s="38" t="n"/>
      <c r="AN66" s="38" t="n"/>
      <c r="AO66" s="38" t="n"/>
      <c r="AP66" s="38" t="n"/>
      <c r="AQ66" s="38" t="n"/>
      <c r="AR66" s="38" t="n"/>
      <c r="AS66" s="38" t="n"/>
      <c r="AT66" s="38" t="n"/>
      <c r="AU66" s="38" t="n"/>
      <c r="AV66" s="38" t="n"/>
      <c r="AW66" s="38" t="n"/>
      <c r="AX66" s="38" t="n"/>
      <c r="AY66" s="42" t="n"/>
      <c r="AZ66" s="42" t="n"/>
      <c r="BA66" s="42" t="n"/>
      <c r="BB66" s="42" t="n"/>
      <c r="BC66" s="42" t="n"/>
      <c r="BD66" s="37">
        <f>IF($A66="","",SUM($AY66:$BC66))</f>
        <v/>
      </c>
      <c r="BE66" s="18">
        <f>IF($A66="","",IF(AND($I66&lt;&gt;"",$J66&lt;&gt;""),MAX(1,($J66-$I66)/7),Templates!$B$35))</f>
        <v/>
      </c>
      <c r="BF66" s="18">
        <f>IF($A66="","",IF(AND($I66&lt;&gt;"",$J66&lt;&gt;""),MAX(1,($J66-$I66)/7),Templates!$B$36))</f>
        <v/>
      </c>
      <c r="BG66" s="18">
        <f>IF($A66="","",IF(AND($I66&lt;&gt;"",$J66&lt;&gt;""),MAX(1,($J66-$I66)/7),Templates!$B$37))</f>
        <v/>
      </c>
      <c r="BH66" s="18">
        <f>IF($A66="","",IF(AND($I66&lt;&gt;"",$J66&lt;&gt;""),MAX(1,($J66-$I66)/7),Templates!$B$38))</f>
        <v/>
      </c>
      <c r="BI66" s="18">
        <f>IF($A66="","",IF(AND($I66&lt;&gt;"",$J66&lt;&gt;""),MAX(1,($J66-$I66)/7),Templates!$B$39))</f>
        <v/>
      </c>
      <c r="BJ66" s="18">
        <f>IF(OR($A66="",$BD66=0),0,($AY66*Templates!$B$27/$BE66+$AZ66*Templates!$B$28/$BF66+$BA66*Templates!$B$29/$BG66+$BB66*Templates!$B$30/$BH66+$BC66*Templates!$B$31/$BI66)/Templates!$B$17)</f>
        <v/>
      </c>
      <c r="BK66" s="18">
        <f>IF(OR($A66="",$BD66=0),0,($AY66*Templates!$C$27/$BE66+$AZ66*Templates!$C$28/$BF66+$BA66*Templates!$C$29/$BG66+$BB66*Templates!$C$30/$BH66+$BC66*Templates!$C$31/$BI66)/Templates!$B$18)</f>
        <v/>
      </c>
      <c r="BL66" s="18">
        <f>IF(OR($A66="",$BD66=0),0,($AY66*Templates!$D$27/$BE66+$AZ66*Templates!$D$28/$BF66+$BA66*Templates!$D$29/$BG66+$BB66*Templates!$D$30/$BH66+$BC66*Templates!$D$31/$BI66)/Templates!$B$19)</f>
        <v/>
      </c>
      <c r="BM66" s="18">
        <f>IF(OR($A66="",$BD66=0),0,($AY66*Templates!$E$27/$BE66+$AZ66*Templates!$E$28/$BF66+$BA66*Templates!$E$29/$BG66+$BB66*Templates!$E$30/$BH66+$BC66*Templates!$E$31/$BI66)/Templates!$B$20)</f>
        <v/>
      </c>
      <c r="BN66" s="18">
        <f>IF(OR($A66="",$BD66=0),0,($AY66*Templates!$F$27/$BE66+$AZ66*Templates!$F$28/$BF66+$BA66*Templates!$F$29/$BG66+$BB66*Templates!$F$30/$BH66+$BC66*Templates!$F$31/$BI66)/Templates!$B$21)</f>
        <v/>
      </c>
      <c r="BO66" s="18">
        <f>IF(OR($A66="",$BD66=0),0,($AY66*Templates!$G$27/$BE66+$AZ66*Templates!$G$28/$BF66+$BA66*Templates!$G$29/$BG66+$BB66*Templates!$G$30/$BH66+$BC66*Templates!$G$31/$BI66)/Templates!$B$22)</f>
        <v/>
      </c>
      <c r="BP66" s="18">
        <f>IF(OR($A66="",$BD66=0),0,($AY66*Templates!$H$27/$BE66+$AZ66*Templates!$H$28/$BF66+$BA66*Templates!$H$29/$BG66+$BB66*Templates!$H$30/$BH66+$BC66*Templates!$H$31/$BI66)/Templates!$B$23)</f>
        <v/>
      </c>
    </row>
    <row r="67">
      <c r="A67" s="28" t="inlineStr">
        <is>
          <t>EOS</t>
        </is>
      </c>
      <c r="B67" s="20" t="inlineStr">
        <is>
          <t>Eight Advisory</t>
        </is>
      </c>
      <c r="C67" s="28" t="inlineStr">
        <is>
          <t>Eight Advisory</t>
        </is>
      </c>
      <c r="D67" s="28" t="inlineStr"/>
      <c r="E67" s="28" t="inlineStr">
        <is>
          <t>No</t>
        </is>
      </c>
      <c r="F67" s="28" t="inlineStr">
        <is>
          <t>Active</t>
        </is>
      </c>
      <c r="G67" s="38" t="n"/>
      <c r="H67" s="29" t="n">
        <v>1</v>
      </c>
      <c r="I67" s="39" t="n"/>
      <c r="J67" s="39" t="n"/>
      <c r="K67" s="31" t="n"/>
      <c r="L67" s="31" t="n"/>
      <c r="M67" s="31" t="n"/>
      <c r="N67" s="31" t="n"/>
      <c r="O67" s="31" t="n"/>
      <c r="P67" s="31" t="n"/>
      <c r="Q67" s="23">
        <f>IF($A67="","",COUNTIFS(Assignments!$C$2:$C$769,$A67,Assignments!$G$2:$G$769,"Active"))</f>
        <v/>
      </c>
      <c r="R67" s="32">
        <f>IF($A67="","",SUMIFS(Assignments!$I$2:$I$769,Assignments!$C$2:$C$769,$A67,Assignments!$G$2:$G$769,"Active"))</f>
        <v/>
      </c>
      <c r="S67" s="20" t="inlineStr">
        <is>
          <t>Summary tab only (WIP)</t>
        </is>
      </c>
      <c r="T67" s="31" t="n"/>
      <c r="U67" s="38" t="n"/>
      <c r="V67" s="34">
        <f>IF($U67="","",IFERROR(INDEX(Templates!$K$3:$K$10,MATCH($U67,Templates!$A$3:$A$10,0)),""))</f>
        <v/>
      </c>
      <c r="W67" s="34">
        <f>IF($U67="","",IFERROR(INDEX(Templates!$L$3:$L$10,MATCH($U67,Templates!$A$3:$A$10,0)),""))</f>
        <v/>
      </c>
      <c r="X67" s="21">
        <f>IF($U67="","",IFERROR(INDEX(Templates!$J$3:$J$10,MATCH($U67,Templates!$A$3:$A$10,0)),""))</f>
        <v/>
      </c>
      <c r="Y67" s="35">
        <f>IF(OR($U67="",$I67="",$J67="",$X67=""),"",$I67+$X67*($J67-$I67))</f>
        <v/>
      </c>
      <c r="Z67" s="30" t="n">
        <v>46212</v>
      </c>
      <c r="AA67" s="40" t="n"/>
      <c r="AB67" s="41" t="n"/>
      <c r="AC67" s="41" t="n"/>
      <c r="AD67" s="19">
        <f>IF($A67="","",IF($AA67="",$H67,$AA67))</f>
        <v/>
      </c>
      <c r="AE67" s="35">
        <f>IF($A67="","",IF($AB67="",$I67,$AB67))</f>
        <v/>
      </c>
      <c r="AF67" s="35">
        <f>IF($A67="","",IF($AC67="",$J67,$AC67))</f>
        <v/>
      </c>
      <c r="AG67" s="35">
        <f>IF(OR($U67="",$AE67="",$AF67="",$X67=""),"",$AE67+$X67*($AF67-$AE67))</f>
        <v/>
      </c>
      <c r="AH67" s="38" t="n"/>
      <c r="AI67" s="38" t="n"/>
      <c r="AJ67" s="38" t="n"/>
      <c r="AK67" s="38" t="n"/>
      <c r="AL67" s="38" t="n"/>
      <c r="AM67" s="38" t="n"/>
      <c r="AN67" s="38" t="n"/>
      <c r="AO67" s="38" t="n"/>
      <c r="AP67" s="38" t="n"/>
      <c r="AQ67" s="38" t="n"/>
      <c r="AR67" s="38" t="n"/>
      <c r="AS67" s="38" t="n"/>
      <c r="AT67" s="38" t="n"/>
      <c r="AU67" s="38" t="n"/>
      <c r="AV67" s="38" t="n"/>
      <c r="AW67" s="38" t="n"/>
      <c r="AX67" s="38" t="n"/>
      <c r="AY67" s="42" t="n"/>
      <c r="AZ67" s="42" t="n"/>
      <c r="BA67" s="42" t="n"/>
      <c r="BB67" s="42" t="n"/>
      <c r="BC67" s="42" t="n"/>
      <c r="BD67" s="37">
        <f>IF($A67="","",SUM($AY67:$BC67))</f>
        <v/>
      </c>
      <c r="BE67" s="18">
        <f>IF($A67="","",IF(AND($I67&lt;&gt;"",$J67&lt;&gt;""),MAX(1,($J67-$I67)/7),Templates!$B$35))</f>
        <v/>
      </c>
      <c r="BF67" s="18">
        <f>IF($A67="","",IF(AND($I67&lt;&gt;"",$J67&lt;&gt;""),MAX(1,($J67-$I67)/7),Templates!$B$36))</f>
        <v/>
      </c>
      <c r="BG67" s="18">
        <f>IF($A67="","",IF(AND($I67&lt;&gt;"",$J67&lt;&gt;""),MAX(1,($J67-$I67)/7),Templates!$B$37))</f>
        <v/>
      </c>
      <c r="BH67" s="18">
        <f>IF($A67="","",IF(AND($I67&lt;&gt;"",$J67&lt;&gt;""),MAX(1,($J67-$I67)/7),Templates!$B$38))</f>
        <v/>
      </c>
      <c r="BI67" s="18">
        <f>IF($A67="","",IF(AND($I67&lt;&gt;"",$J67&lt;&gt;""),MAX(1,($J67-$I67)/7),Templates!$B$39))</f>
        <v/>
      </c>
      <c r="BJ67" s="18">
        <f>IF(OR($A67="",$BD67=0),0,($AY67*Templates!$B$27/$BE67+$AZ67*Templates!$B$28/$BF67+$BA67*Templates!$B$29/$BG67+$BB67*Templates!$B$30/$BH67+$BC67*Templates!$B$31/$BI67)/Templates!$B$17)</f>
        <v/>
      </c>
      <c r="BK67" s="18">
        <f>IF(OR($A67="",$BD67=0),0,($AY67*Templates!$C$27/$BE67+$AZ67*Templates!$C$28/$BF67+$BA67*Templates!$C$29/$BG67+$BB67*Templates!$C$30/$BH67+$BC67*Templates!$C$31/$BI67)/Templates!$B$18)</f>
        <v/>
      </c>
      <c r="BL67" s="18">
        <f>IF(OR($A67="",$BD67=0),0,($AY67*Templates!$D$27/$BE67+$AZ67*Templates!$D$28/$BF67+$BA67*Templates!$D$29/$BG67+$BB67*Templates!$D$30/$BH67+$BC67*Templates!$D$31/$BI67)/Templates!$B$19)</f>
        <v/>
      </c>
      <c r="BM67" s="18">
        <f>IF(OR($A67="",$BD67=0),0,($AY67*Templates!$E$27/$BE67+$AZ67*Templates!$E$28/$BF67+$BA67*Templates!$E$29/$BG67+$BB67*Templates!$E$30/$BH67+$BC67*Templates!$E$31/$BI67)/Templates!$B$20)</f>
        <v/>
      </c>
      <c r="BN67" s="18">
        <f>IF(OR($A67="",$BD67=0),0,($AY67*Templates!$F$27/$BE67+$AZ67*Templates!$F$28/$BF67+$BA67*Templates!$F$29/$BG67+$BB67*Templates!$F$30/$BH67+$BC67*Templates!$F$31/$BI67)/Templates!$B$21)</f>
        <v/>
      </c>
      <c r="BO67" s="18">
        <f>IF(OR($A67="",$BD67=0),0,($AY67*Templates!$G$27/$BE67+$AZ67*Templates!$G$28/$BF67+$BA67*Templates!$G$29/$BG67+$BB67*Templates!$G$30/$BH67+$BC67*Templates!$G$31/$BI67)/Templates!$B$22)</f>
        <v/>
      </c>
      <c r="BP67" s="18">
        <f>IF(OR($A67="",$BD67=0),0,($AY67*Templates!$H$27/$BE67+$AZ67*Templates!$H$28/$BF67+$BA67*Templates!$H$29/$BG67+$BB67*Templates!$H$30/$BH67+$BC67*Templates!$H$31/$BI67)/Templates!$B$23)</f>
        <v/>
      </c>
    </row>
    <row r="68">
      <c r="A68" s="28" t="inlineStr">
        <is>
          <t>EOS VDD_1</t>
        </is>
      </c>
      <c r="B68" s="20" t="inlineStr">
        <is>
          <t>Eight Advisory</t>
        </is>
      </c>
      <c r="C68" s="28" t="inlineStr">
        <is>
          <t>Eight Advisory</t>
        </is>
      </c>
      <c r="D68" s="28" t="inlineStr"/>
      <c r="E68" s="28" t="inlineStr">
        <is>
          <t>No</t>
        </is>
      </c>
      <c r="F68" s="28" t="inlineStr">
        <is>
          <t>Active</t>
        </is>
      </c>
      <c r="G68" s="38" t="n"/>
      <c r="H68" s="29" t="n">
        <v>1</v>
      </c>
      <c r="I68" s="39" t="n"/>
      <c r="J68" s="39" t="n"/>
      <c r="K68" s="31" t="n"/>
      <c r="L68" s="31" t="n"/>
      <c r="M68" s="31" t="n"/>
      <c r="N68" s="31" t="n"/>
      <c r="O68" s="31" t="n"/>
      <c r="P68" s="31" t="n"/>
      <c r="Q68" s="23">
        <f>IF($A68="","",COUNTIFS(Assignments!$C$2:$C$769,$A68,Assignments!$G$2:$G$769,"Active"))</f>
        <v/>
      </c>
      <c r="R68" s="32">
        <f>IF($A68="","",SUMIFS(Assignments!$I$2:$I$769,Assignments!$C$2:$C$769,$A68,Assignments!$G$2:$G$769,"Active"))</f>
        <v/>
      </c>
      <c r="S68" s="20" t="inlineStr">
        <is>
          <t>Summary tab only (WIP)</t>
        </is>
      </c>
      <c r="T68" s="31" t="n"/>
      <c r="U68" s="38" t="n"/>
      <c r="V68" s="34">
        <f>IF($U68="","",IFERROR(INDEX(Templates!$K$3:$K$10,MATCH($U68,Templates!$A$3:$A$10,0)),""))</f>
        <v/>
      </c>
      <c r="W68" s="34">
        <f>IF($U68="","",IFERROR(INDEX(Templates!$L$3:$L$10,MATCH($U68,Templates!$A$3:$A$10,0)),""))</f>
        <v/>
      </c>
      <c r="X68" s="21">
        <f>IF($U68="","",IFERROR(INDEX(Templates!$J$3:$J$10,MATCH($U68,Templates!$A$3:$A$10,0)),""))</f>
        <v/>
      </c>
      <c r="Y68" s="35">
        <f>IF(OR($U68="",$I68="",$J68="",$X68=""),"",$I68+$X68*($J68-$I68))</f>
        <v/>
      </c>
      <c r="Z68" s="30" t="n">
        <v>46212</v>
      </c>
      <c r="AA68" s="40" t="n"/>
      <c r="AB68" s="41" t="n"/>
      <c r="AC68" s="41" t="n"/>
      <c r="AD68" s="19">
        <f>IF($A68="","",IF($AA68="",$H68,$AA68))</f>
        <v/>
      </c>
      <c r="AE68" s="35">
        <f>IF($A68="","",IF($AB68="",$I68,$AB68))</f>
        <v/>
      </c>
      <c r="AF68" s="35">
        <f>IF($A68="","",IF($AC68="",$J68,$AC68))</f>
        <v/>
      </c>
      <c r="AG68" s="35">
        <f>IF(OR($U68="",$AE68="",$AF68="",$X68=""),"",$AE68+$X68*($AF68-$AE68))</f>
        <v/>
      </c>
      <c r="AH68" s="38" t="n"/>
      <c r="AI68" s="38" t="n"/>
      <c r="AJ68" s="38" t="n"/>
      <c r="AK68" s="38" t="n"/>
      <c r="AL68" s="38" t="n"/>
      <c r="AM68" s="38" t="n"/>
      <c r="AN68" s="38" t="n"/>
      <c r="AO68" s="38" t="n"/>
      <c r="AP68" s="38" t="n"/>
      <c r="AQ68" s="38" t="n"/>
      <c r="AR68" s="38" t="n"/>
      <c r="AS68" s="38" t="n"/>
      <c r="AT68" s="38" t="n"/>
      <c r="AU68" s="38" t="n"/>
      <c r="AV68" s="38" t="n"/>
      <c r="AW68" s="38" t="n"/>
      <c r="AX68" s="38" t="n"/>
      <c r="AY68" s="42" t="n"/>
      <c r="AZ68" s="42" t="n"/>
      <c r="BA68" s="42" t="n"/>
      <c r="BB68" s="42" t="n"/>
      <c r="BC68" s="42" t="n"/>
      <c r="BD68" s="37">
        <f>IF($A68="","",SUM($AY68:$BC68))</f>
        <v/>
      </c>
      <c r="BE68" s="18">
        <f>IF($A68="","",IF(AND($I68&lt;&gt;"",$J68&lt;&gt;""),MAX(1,($J68-$I68)/7),Templates!$B$35))</f>
        <v/>
      </c>
      <c r="BF68" s="18">
        <f>IF($A68="","",IF(AND($I68&lt;&gt;"",$J68&lt;&gt;""),MAX(1,($J68-$I68)/7),Templates!$B$36))</f>
        <v/>
      </c>
      <c r="BG68" s="18">
        <f>IF($A68="","",IF(AND($I68&lt;&gt;"",$J68&lt;&gt;""),MAX(1,($J68-$I68)/7),Templates!$B$37))</f>
        <v/>
      </c>
      <c r="BH68" s="18">
        <f>IF($A68="","",IF(AND($I68&lt;&gt;"",$J68&lt;&gt;""),MAX(1,($J68-$I68)/7),Templates!$B$38))</f>
        <v/>
      </c>
      <c r="BI68" s="18">
        <f>IF($A68="","",IF(AND($I68&lt;&gt;"",$J68&lt;&gt;""),MAX(1,($J68-$I68)/7),Templates!$B$39))</f>
        <v/>
      </c>
      <c r="BJ68" s="18">
        <f>IF(OR($A68="",$BD68=0),0,($AY68*Templates!$B$27/$BE68+$AZ68*Templates!$B$28/$BF68+$BA68*Templates!$B$29/$BG68+$BB68*Templates!$B$30/$BH68+$BC68*Templates!$B$31/$BI68)/Templates!$B$17)</f>
        <v/>
      </c>
      <c r="BK68" s="18">
        <f>IF(OR($A68="",$BD68=0),0,($AY68*Templates!$C$27/$BE68+$AZ68*Templates!$C$28/$BF68+$BA68*Templates!$C$29/$BG68+$BB68*Templates!$C$30/$BH68+$BC68*Templates!$C$31/$BI68)/Templates!$B$18)</f>
        <v/>
      </c>
      <c r="BL68" s="18">
        <f>IF(OR($A68="",$BD68=0),0,($AY68*Templates!$D$27/$BE68+$AZ68*Templates!$D$28/$BF68+$BA68*Templates!$D$29/$BG68+$BB68*Templates!$D$30/$BH68+$BC68*Templates!$D$31/$BI68)/Templates!$B$19)</f>
        <v/>
      </c>
      <c r="BM68" s="18">
        <f>IF(OR($A68="",$BD68=0),0,($AY68*Templates!$E$27/$BE68+$AZ68*Templates!$E$28/$BF68+$BA68*Templates!$E$29/$BG68+$BB68*Templates!$E$30/$BH68+$BC68*Templates!$E$31/$BI68)/Templates!$B$20)</f>
        <v/>
      </c>
      <c r="BN68" s="18">
        <f>IF(OR($A68="",$BD68=0),0,($AY68*Templates!$F$27/$BE68+$AZ68*Templates!$F$28/$BF68+$BA68*Templates!$F$29/$BG68+$BB68*Templates!$F$30/$BH68+$BC68*Templates!$F$31/$BI68)/Templates!$B$21)</f>
        <v/>
      </c>
      <c r="BO68" s="18">
        <f>IF(OR($A68="",$BD68=0),0,($AY68*Templates!$G$27/$BE68+$AZ68*Templates!$G$28/$BF68+$BA68*Templates!$G$29/$BG68+$BB68*Templates!$G$30/$BH68+$BC68*Templates!$G$31/$BI68)/Templates!$B$22)</f>
        <v/>
      </c>
      <c r="BP68" s="18">
        <f>IF(OR($A68="",$BD68=0),0,($AY68*Templates!$H$27/$BE68+$AZ68*Templates!$H$28/$BF68+$BA68*Templates!$H$29/$BG68+$BB68*Templates!$H$30/$BH68+$BC68*Templates!$H$31/$BI68)/Templates!$B$23)</f>
        <v/>
      </c>
    </row>
    <row r="69">
      <c r="A69" s="28" t="inlineStr">
        <is>
          <t>Etonia_1</t>
        </is>
      </c>
      <c r="B69" s="20" t="inlineStr">
        <is>
          <t>Ethos Specialty Insurance Services</t>
        </is>
      </c>
      <c r="C69" s="28" t="inlineStr">
        <is>
          <t>Ethos Specialty Insurance Services</t>
        </is>
      </c>
      <c r="D69" s="28" t="inlineStr"/>
      <c r="E69" s="28" t="inlineStr">
        <is>
          <t>No</t>
        </is>
      </c>
      <c r="F69" s="28" t="inlineStr">
        <is>
          <t>Active</t>
        </is>
      </c>
      <c r="G69" s="38" t="n"/>
      <c r="H69" s="29" t="n">
        <v>1</v>
      </c>
      <c r="I69" s="39" t="n"/>
      <c r="J69" s="39" t="n"/>
      <c r="K69" s="31" t="n"/>
      <c r="L69" s="31" t="n"/>
      <c r="M69" s="31" t="n"/>
      <c r="N69" s="31" t="n"/>
      <c r="O69" s="31" t="n"/>
      <c r="P69" s="31" t="n"/>
      <c r="Q69" s="23">
        <f>IF($A69="","",COUNTIFS(Assignments!$C$2:$C$769,$A69,Assignments!$G$2:$G$769,"Active"))</f>
        <v/>
      </c>
      <c r="R69" s="32">
        <f>IF($A69="","",SUMIFS(Assignments!$I$2:$I$769,Assignments!$C$2:$C$769,$A69,Assignments!$G$2:$G$769,"Active"))</f>
        <v/>
      </c>
      <c r="S69" s="20" t="inlineStr">
        <is>
          <t>WIP</t>
        </is>
      </c>
      <c r="T69" s="31" t="n"/>
      <c r="U69" s="38" t="n"/>
      <c r="V69" s="34">
        <f>IF($U69="","",IFERROR(INDEX(Templates!$K$3:$K$10,MATCH($U69,Templates!$A$3:$A$10,0)),""))</f>
        <v/>
      </c>
      <c r="W69" s="34">
        <f>IF($U69="","",IFERROR(INDEX(Templates!$L$3:$L$10,MATCH($U69,Templates!$A$3:$A$10,0)),""))</f>
        <v/>
      </c>
      <c r="X69" s="21">
        <f>IF($U69="","",IFERROR(INDEX(Templates!$J$3:$J$10,MATCH($U69,Templates!$A$3:$A$10,0)),""))</f>
        <v/>
      </c>
      <c r="Y69" s="35">
        <f>IF(OR($U69="",$I69="",$J69="",$X69=""),"",$I69+$X69*($J69-$I69))</f>
        <v/>
      </c>
      <c r="Z69" s="30" t="n">
        <v>46212</v>
      </c>
      <c r="AA69" s="40" t="n"/>
      <c r="AB69" s="41" t="n"/>
      <c r="AC69" s="41" t="n"/>
      <c r="AD69" s="19">
        <f>IF($A69="","",IF($AA69="",$H69,$AA69))</f>
        <v/>
      </c>
      <c r="AE69" s="35">
        <f>IF($A69="","",IF($AB69="",$I69,$AB69))</f>
        <v/>
      </c>
      <c r="AF69" s="35">
        <f>IF($A69="","",IF($AC69="",$J69,$AC69))</f>
        <v/>
      </c>
      <c r="AG69" s="35">
        <f>IF(OR($U69="",$AE69="",$AF69="",$X69=""),"",$AE69+$X69*($AF69-$AE69))</f>
        <v/>
      </c>
      <c r="AH69" s="38" t="n"/>
      <c r="AI69" s="38" t="n"/>
      <c r="AJ69" s="38" t="n"/>
      <c r="AK69" s="38" t="n"/>
      <c r="AL69" s="38" t="n"/>
      <c r="AM69" s="38" t="n"/>
      <c r="AN69" s="38" t="n"/>
      <c r="AO69" s="38" t="n"/>
      <c r="AP69" s="38" t="n"/>
      <c r="AQ69" s="38" t="n"/>
      <c r="AR69" s="38" t="n"/>
      <c r="AS69" s="38" t="n"/>
      <c r="AT69" s="38" t="n"/>
      <c r="AU69" s="38" t="n"/>
      <c r="AV69" s="38" t="n"/>
      <c r="AW69" s="38" t="n"/>
      <c r="AX69" s="38" t="n"/>
      <c r="AY69" s="42" t="n"/>
      <c r="AZ69" s="42" t="n"/>
      <c r="BA69" s="42" t="n"/>
      <c r="BB69" s="42" t="n"/>
      <c r="BC69" s="42" t="n"/>
      <c r="BD69" s="37">
        <f>IF($A69="","",SUM($AY69:$BC69))</f>
        <v/>
      </c>
      <c r="BE69" s="18">
        <f>IF($A69="","",IF(AND($I69&lt;&gt;"",$J69&lt;&gt;""),MAX(1,($J69-$I69)/7),Templates!$B$35))</f>
        <v/>
      </c>
      <c r="BF69" s="18">
        <f>IF($A69="","",IF(AND($I69&lt;&gt;"",$J69&lt;&gt;""),MAX(1,($J69-$I69)/7),Templates!$B$36))</f>
        <v/>
      </c>
      <c r="BG69" s="18">
        <f>IF($A69="","",IF(AND($I69&lt;&gt;"",$J69&lt;&gt;""),MAX(1,($J69-$I69)/7),Templates!$B$37))</f>
        <v/>
      </c>
      <c r="BH69" s="18">
        <f>IF($A69="","",IF(AND($I69&lt;&gt;"",$J69&lt;&gt;""),MAX(1,($J69-$I69)/7),Templates!$B$38))</f>
        <v/>
      </c>
      <c r="BI69" s="18">
        <f>IF($A69="","",IF(AND($I69&lt;&gt;"",$J69&lt;&gt;""),MAX(1,($J69-$I69)/7),Templates!$B$39))</f>
        <v/>
      </c>
      <c r="BJ69" s="18">
        <f>IF(OR($A69="",$BD69=0),0,($AY69*Templates!$B$27/$BE69+$AZ69*Templates!$B$28/$BF69+$BA69*Templates!$B$29/$BG69+$BB69*Templates!$B$30/$BH69+$BC69*Templates!$B$31/$BI69)/Templates!$B$17)</f>
        <v/>
      </c>
      <c r="BK69" s="18">
        <f>IF(OR($A69="",$BD69=0),0,($AY69*Templates!$C$27/$BE69+$AZ69*Templates!$C$28/$BF69+$BA69*Templates!$C$29/$BG69+$BB69*Templates!$C$30/$BH69+$BC69*Templates!$C$31/$BI69)/Templates!$B$18)</f>
        <v/>
      </c>
      <c r="BL69" s="18">
        <f>IF(OR($A69="",$BD69=0),0,($AY69*Templates!$D$27/$BE69+$AZ69*Templates!$D$28/$BF69+$BA69*Templates!$D$29/$BG69+$BB69*Templates!$D$30/$BH69+$BC69*Templates!$D$31/$BI69)/Templates!$B$19)</f>
        <v/>
      </c>
      <c r="BM69" s="18">
        <f>IF(OR($A69="",$BD69=0),0,($AY69*Templates!$E$27/$BE69+$AZ69*Templates!$E$28/$BF69+$BA69*Templates!$E$29/$BG69+$BB69*Templates!$E$30/$BH69+$BC69*Templates!$E$31/$BI69)/Templates!$B$20)</f>
        <v/>
      </c>
      <c r="BN69" s="18">
        <f>IF(OR($A69="",$BD69=0),0,($AY69*Templates!$F$27/$BE69+$AZ69*Templates!$F$28/$BF69+$BA69*Templates!$F$29/$BG69+$BB69*Templates!$F$30/$BH69+$BC69*Templates!$F$31/$BI69)/Templates!$B$21)</f>
        <v/>
      </c>
      <c r="BO69" s="18">
        <f>IF(OR($A69="",$BD69=0),0,($AY69*Templates!$G$27/$BE69+$AZ69*Templates!$G$28/$BF69+$BA69*Templates!$G$29/$BG69+$BB69*Templates!$G$30/$BH69+$BC69*Templates!$G$31/$BI69)/Templates!$B$22)</f>
        <v/>
      </c>
      <c r="BP69" s="18">
        <f>IF(OR($A69="",$BD69=0),0,($AY69*Templates!$H$27/$BE69+$AZ69*Templates!$H$28/$BF69+$BA69*Templates!$H$29/$BG69+$BB69*Templates!$H$30/$BH69+$BC69*Templates!$H$31/$BI69)/Templates!$B$23)</f>
        <v/>
      </c>
    </row>
    <row r="70">
      <c r="A70" s="28" t="inlineStr">
        <is>
          <t>Etude_2</t>
        </is>
      </c>
      <c r="B70" s="20" t="inlineStr">
        <is>
          <t>Liberty GTS</t>
        </is>
      </c>
      <c r="C70" s="28" t="inlineStr">
        <is>
          <t>Liberty GTS</t>
        </is>
      </c>
      <c r="D70" s="28" t="inlineStr"/>
      <c r="E70" s="28" t="inlineStr">
        <is>
          <t>No</t>
        </is>
      </c>
      <c r="F70" s="28" t="inlineStr">
        <is>
          <t>Active</t>
        </is>
      </c>
      <c r="G70" s="38" t="n"/>
      <c r="H70" s="29" t="n">
        <v>1</v>
      </c>
      <c r="I70" s="39" t="n"/>
      <c r="J70" s="39" t="n"/>
      <c r="K70" s="31" t="n"/>
      <c r="L70" s="31" t="n"/>
      <c r="M70" s="31" t="n"/>
      <c r="N70" s="31" t="n"/>
      <c r="O70" s="31" t="n"/>
      <c r="P70" s="31" t="n"/>
      <c r="Q70" s="23">
        <f>IF($A70="","",COUNTIFS(Assignments!$C$2:$C$769,$A70,Assignments!$G$2:$G$769,"Active"))</f>
        <v/>
      </c>
      <c r="R70" s="32">
        <f>IF($A70="","",SUMIFS(Assignments!$I$2:$I$769,Assignments!$C$2:$C$769,$A70,Assignments!$G$2:$G$769,"Active"))</f>
        <v/>
      </c>
      <c r="S70" s="20" t="inlineStr">
        <is>
          <t>WIP</t>
        </is>
      </c>
      <c r="T70" s="31" t="n"/>
      <c r="U70" s="38" t="n"/>
      <c r="V70" s="34">
        <f>IF($U70="","",IFERROR(INDEX(Templates!$K$3:$K$10,MATCH($U70,Templates!$A$3:$A$10,0)),""))</f>
        <v/>
      </c>
      <c r="W70" s="34">
        <f>IF($U70="","",IFERROR(INDEX(Templates!$L$3:$L$10,MATCH($U70,Templates!$A$3:$A$10,0)),""))</f>
        <v/>
      </c>
      <c r="X70" s="21">
        <f>IF($U70="","",IFERROR(INDEX(Templates!$J$3:$J$10,MATCH($U70,Templates!$A$3:$A$10,0)),""))</f>
        <v/>
      </c>
      <c r="Y70" s="35">
        <f>IF(OR($U70="",$I70="",$J70="",$X70=""),"",$I70+$X70*($J70-$I70))</f>
        <v/>
      </c>
      <c r="Z70" s="30" t="n">
        <v>46212</v>
      </c>
      <c r="AA70" s="40" t="n"/>
      <c r="AB70" s="41" t="n"/>
      <c r="AC70" s="41" t="n"/>
      <c r="AD70" s="19">
        <f>IF($A70="","",IF($AA70="",$H70,$AA70))</f>
        <v/>
      </c>
      <c r="AE70" s="35">
        <f>IF($A70="","",IF($AB70="",$I70,$AB70))</f>
        <v/>
      </c>
      <c r="AF70" s="35">
        <f>IF($A70="","",IF($AC70="",$J70,$AC70))</f>
        <v/>
      </c>
      <c r="AG70" s="35">
        <f>IF(OR($U70="",$AE70="",$AF70="",$X70=""),"",$AE70+$X70*($AF70-$AE70))</f>
        <v/>
      </c>
      <c r="AH70" s="38" t="n"/>
      <c r="AI70" s="38" t="n"/>
      <c r="AJ70" s="38" t="n"/>
      <c r="AK70" s="38" t="n"/>
      <c r="AL70" s="38" t="n"/>
      <c r="AM70" s="38" t="n"/>
      <c r="AN70" s="38" t="n"/>
      <c r="AO70" s="38" t="n"/>
      <c r="AP70" s="38" t="n"/>
      <c r="AQ70" s="38" t="n"/>
      <c r="AR70" s="38" t="n"/>
      <c r="AS70" s="38" t="n"/>
      <c r="AT70" s="38" t="n"/>
      <c r="AU70" s="38" t="n"/>
      <c r="AV70" s="38" t="n"/>
      <c r="AW70" s="38" t="n"/>
      <c r="AX70" s="38" t="n"/>
      <c r="AY70" s="42" t="n"/>
      <c r="AZ70" s="42" t="n"/>
      <c r="BA70" s="42" t="n"/>
      <c r="BB70" s="42" t="n"/>
      <c r="BC70" s="42" t="n"/>
      <c r="BD70" s="37">
        <f>IF($A70="","",SUM($AY70:$BC70))</f>
        <v/>
      </c>
      <c r="BE70" s="18">
        <f>IF($A70="","",IF(AND($I70&lt;&gt;"",$J70&lt;&gt;""),MAX(1,($J70-$I70)/7),Templates!$B$35))</f>
        <v/>
      </c>
      <c r="BF70" s="18">
        <f>IF($A70="","",IF(AND($I70&lt;&gt;"",$J70&lt;&gt;""),MAX(1,($J70-$I70)/7),Templates!$B$36))</f>
        <v/>
      </c>
      <c r="BG70" s="18">
        <f>IF($A70="","",IF(AND($I70&lt;&gt;"",$J70&lt;&gt;""),MAX(1,($J70-$I70)/7),Templates!$B$37))</f>
        <v/>
      </c>
      <c r="BH70" s="18">
        <f>IF($A70="","",IF(AND($I70&lt;&gt;"",$J70&lt;&gt;""),MAX(1,($J70-$I70)/7),Templates!$B$38))</f>
        <v/>
      </c>
      <c r="BI70" s="18">
        <f>IF($A70="","",IF(AND($I70&lt;&gt;"",$J70&lt;&gt;""),MAX(1,($J70-$I70)/7),Templates!$B$39))</f>
        <v/>
      </c>
      <c r="BJ70" s="18">
        <f>IF(OR($A70="",$BD70=0),0,($AY70*Templates!$B$27/$BE70+$AZ70*Templates!$B$28/$BF70+$BA70*Templates!$B$29/$BG70+$BB70*Templates!$B$30/$BH70+$BC70*Templates!$B$31/$BI70)/Templates!$B$17)</f>
        <v/>
      </c>
      <c r="BK70" s="18">
        <f>IF(OR($A70="",$BD70=0),0,($AY70*Templates!$C$27/$BE70+$AZ70*Templates!$C$28/$BF70+$BA70*Templates!$C$29/$BG70+$BB70*Templates!$C$30/$BH70+$BC70*Templates!$C$31/$BI70)/Templates!$B$18)</f>
        <v/>
      </c>
      <c r="BL70" s="18">
        <f>IF(OR($A70="",$BD70=0),0,($AY70*Templates!$D$27/$BE70+$AZ70*Templates!$D$28/$BF70+$BA70*Templates!$D$29/$BG70+$BB70*Templates!$D$30/$BH70+$BC70*Templates!$D$31/$BI70)/Templates!$B$19)</f>
        <v/>
      </c>
      <c r="BM70" s="18">
        <f>IF(OR($A70="",$BD70=0),0,($AY70*Templates!$E$27/$BE70+$AZ70*Templates!$E$28/$BF70+$BA70*Templates!$E$29/$BG70+$BB70*Templates!$E$30/$BH70+$BC70*Templates!$E$31/$BI70)/Templates!$B$20)</f>
        <v/>
      </c>
      <c r="BN70" s="18">
        <f>IF(OR($A70="",$BD70=0),0,($AY70*Templates!$F$27/$BE70+$AZ70*Templates!$F$28/$BF70+$BA70*Templates!$F$29/$BG70+$BB70*Templates!$F$30/$BH70+$BC70*Templates!$F$31/$BI70)/Templates!$B$21)</f>
        <v/>
      </c>
      <c r="BO70" s="18">
        <f>IF(OR($A70="",$BD70=0),0,($AY70*Templates!$G$27/$BE70+$AZ70*Templates!$G$28/$BF70+$BA70*Templates!$G$29/$BG70+$BB70*Templates!$G$30/$BH70+$BC70*Templates!$G$31/$BI70)/Templates!$B$22)</f>
        <v/>
      </c>
      <c r="BP70" s="18">
        <f>IF(OR($A70="",$BD70=0),0,($AY70*Templates!$H$27/$BE70+$AZ70*Templates!$H$28/$BF70+$BA70*Templates!$H$29/$BG70+$BB70*Templates!$H$30/$BH70+$BC70*Templates!$H$31/$BI70)/Templates!$B$23)</f>
        <v/>
      </c>
    </row>
    <row r="71">
      <c r="A71" s="28" t="inlineStr">
        <is>
          <t>Fengate_4</t>
        </is>
      </c>
      <c r="B71" s="20" t="inlineStr">
        <is>
          <t>Fengate</t>
        </is>
      </c>
      <c r="C71" s="28" t="inlineStr">
        <is>
          <t>Fengate</t>
        </is>
      </c>
      <c r="D71" s="28" t="inlineStr"/>
      <c r="E71" s="28" t="inlineStr">
        <is>
          <t>No</t>
        </is>
      </c>
      <c r="F71" s="28" t="inlineStr">
        <is>
          <t>Active</t>
        </is>
      </c>
      <c r="G71" s="38" t="n"/>
      <c r="H71" s="29" t="n">
        <v>1</v>
      </c>
      <c r="I71" s="39" t="n"/>
      <c r="J71" s="39" t="n"/>
      <c r="K71" s="31" t="n"/>
      <c r="L71" s="31" t="n"/>
      <c r="M71" s="31" t="n"/>
      <c r="N71" s="31" t="n"/>
      <c r="O71" s="31" t="n"/>
      <c r="P71" s="31" t="n"/>
      <c r="Q71" s="23">
        <f>IF($A71="","",COUNTIFS(Assignments!$C$2:$C$769,$A71,Assignments!$G$2:$G$769,"Active"))</f>
        <v/>
      </c>
      <c r="R71" s="32">
        <f>IF($A71="","",SUMIFS(Assignments!$I$2:$I$769,Assignments!$C$2:$C$769,$A71,Assignments!$G$2:$G$769,"Active"))</f>
        <v/>
      </c>
      <c r="S71" s="20" t="inlineStr">
        <is>
          <t>WIP</t>
        </is>
      </c>
      <c r="T71" s="31" t="n"/>
      <c r="U71" s="38" t="n"/>
      <c r="V71" s="34">
        <f>IF($U71="","",IFERROR(INDEX(Templates!$K$3:$K$10,MATCH($U71,Templates!$A$3:$A$10,0)),""))</f>
        <v/>
      </c>
      <c r="W71" s="34">
        <f>IF($U71="","",IFERROR(INDEX(Templates!$L$3:$L$10,MATCH($U71,Templates!$A$3:$A$10,0)),""))</f>
        <v/>
      </c>
      <c r="X71" s="21">
        <f>IF($U71="","",IFERROR(INDEX(Templates!$J$3:$J$10,MATCH($U71,Templates!$A$3:$A$10,0)),""))</f>
        <v/>
      </c>
      <c r="Y71" s="35">
        <f>IF(OR($U71="",$I71="",$J71="",$X71=""),"",$I71+$X71*($J71-$I71))</f>
        <v/>
      </c>
      <c r="Z71" s="30" t="n">
        <v>46212</v>
      </c>
      <c r="AA71" s="40" t="n"/>
      <c r="AB71" s="41" t="n"/>
      <c r="AC71" s="41" t="n"/>
      <c r="AD71" s="19">
        <f>IF($A71="","",IF($AA71="",$H71,$AA71))</f>
        <v/>
      </c>
      <c r="AE71" s="35">
        <f>IF($A71="","",IF($AB71="",$I71,$AB71))</f>
        <v/>
      </c>
      <c r="AF71" s="35">
        <f>IF($A71="","",IF($AC71="",$J71,$AC71))</f>
        <v/>
      </c>
      <c r="AG71" s="35">
        <f>IF(OR($U71="",$AE71="",$AF71="",$X71=""),"",$AE71+$X71*($AF71-$AE71))</f>
        <v/>
      </c>
      <c r="AH71" s="38" t="n"/>
      <c r="AI71" s="38" t="n"/>
      <c r="AJ71" s="38" t="n"/>
      <c r="AK71" s="38" t="n"/>
      <c r="AL71" s="38" t="n"/>
      <c r="AM71" s="38" t="n"/>
      <c r="AN71" s="38" t="n"/>
      <c r="AO71" s="38" t="n"/>
      <c r="AP71" s="38" t="n"/>
      <c r="AQ71" s="38" t="n"/>
      <c r="AR71" s="38" t="n"/>
      <c r="AS71" s="38" t="n"/>
      <c r="AT71" s="38" t="n"/>
      <c r="AU71" s="38" t="n"/>
      <c r="AV71" s="38" t="n"/>
      <c r="AW71" s="38" t="n"/>
      <c r="AX71" s="38" t="n"/>
      <c r="AY71" s="42" t="n"/>
      <c r="AZ71" s="42" t="n"/>
      <c r="BA71" s="42" t="n"/>
      <c r="BB71" s="42" t="n"/>
      <c r="BC71" s="42" t="n"/>
      <c r="BD71" s="37">
        <f>IF($A71="","",SUM($AY71:$BC71))</f>
        <v/>
      </c>
      <c r="BE71" s="18">
        <f>IF($A71="","",IF(AND($I71&lt;&gt;"",$J71&lt;&gt;""),MAX(1,($J71-$I71)/7),Templates!$B$35))</f>
        <v/>
      </c>
      <c r="BF71" s="18">
        <f>IF($A71="","",IF(AND($I71&lt;&gt;"",$J71&lt;&gt;""),MAX(1,($J71-$I71)/7),Templates!$B$36))</f>
        <v/>
      </c>
      <c r="BG71" s="18">
        <f>IF($A71="","",IF(AND($I71&lt;&gt;"",$J71&lt;&gt;""),MAX(1,($J71-$I71)/7),Templates!$B$37))</f>
        <v/>
      </c>
      <c r="BH71" s="18">
        <f>IF($A71="","",IF(AND($I71&lt;&gt;"",$J71&lt;&gt;""),MAX(1,($J71-$I71)/7),Templates!$B$38))</f>
        <v/>
      </c>
      <c r="BI71" s="18">
        <f>IF($A71="","",IF(AND($I71&lt;&gt;"",$J71&lt;&gt;""),MAX(1,($J71-$I71)/7),Templates!$B$39))</f>
        <v/>
      </c>
      <c r="BJ71" s="18">
        <f>IF(OR($A71="",$BD71=0),0,($AY71*Templates!$B$27/$BE71+$AZ71*Templates!$B$28/$BF71+$BA71*Templates!$B$29/$BG71+$BB71*Templates!$B$30/$BH71+$BC71*Templates!$B$31/$BI71)/Templates!$B$17)</f>
        <v/>
      </c>
      <c r="BK71" s="18">
        <f>IF(OR($A71="",$BD71=0),0,($AY71*Templates!$C$27/$BE71+$AZ71*Templates!$C$28/$BF71+$BA71*Templates!$C$29/$BG71+$BB71*Templates!$C$30/$BH71+$BC71*Templates!$C$31/$BI71)/Templates!$B$18)</f>
        <v/>
      </c>
      <c r="BL71" s="18">
        <f>IF(OR($A71="",$BD71=0),0,($AY71*Templates!$D$27/$BE71+$AZ71*Templates!$D$28/$BF71+$BA71*Templates!$D$29/$BG71+$BB71*Templates!$D$30/$BH71+$BC71*Templates!$D$31/$BI71)/Templates!$B$19)</f>
        <v/>
      </c>
      <c r="BM71" s="18">
        <f>IF(OR($A71="",$BD71=0),0,($AY71*Templates!$E$27/$BE71+$AZ71*Templates!$E$28/$BF71+$BA71*Templates!$E$29/$BG71+$BB71*Templates!$E$30/$BH71+$BC71*Templates!$E$31/$BI71)/Templates!$B$20)</f>
        <v/>
      </c>
      <c r="BN71" s="18">
        <f>IF(OR($A71="",$BD71=0),0,($AY71*Templates!$F$27/$BE71+$AZ71*Templates!$F$28/$BF71+$BA71*Templates!$F$29/$BG71+$BB71*Templates!$F$30/$BH71+$BC71*Templates!$F$31/$BI71)/Templates!$B$21)</f>
        <v/>
      </c>
      <c r="BO71" s="18">
        <f>IF(OR($A71="",$BD71=0),0,($AY71*Templates!$G$27/$BE71+$AZ71*Templates!$G$28/$BF71+$BA71*Templates!$G$29/$BG71+$BB71*Templates!$G$30/$BH71+$BC71*Templates!$G$31/$BI71)/Templates!$B$22)</f>
        <v/>
      </c>
      <c r="BP71" s="18">
        <f>IF(OR($A71="",$BD71=0),0,($AY71*Templates!$H$27/$BE71+$AZ71*Templates!$H$28/$BF71+$BA71*Templates!$H$29/$BG71+$BB71*Templates!$H$30/$BH71+$BC71*Templates!$H$31/$BI71)/Templates!$B$23)</f>
        <v/>
      </c>
    </row>
    <row r="72">
      <c r="A72" s="28" t="inlineStr">
        <is>
          <t>FIRPTA_Sunraycer_1</t>
        </is>
      </c>
      <c r="B72" s="20" t="inlineStr">
        <is>
          <t>Sunraycer</t>
        </is>
      </c>
      <c r="C72" s="28" t="inlineStr">
        <is>
          <t>Sunraycer</t>
        </is>
      </c>
      <c r="D72" s="28" t="inlineStr"/>
      <c r="E72" s="28" t="inlineStr">
        <is>
          <t>No</t>
        </is>
      </c>
      <c r="F72" s="28" t="inlineStr">
        <is>
          <t>Active</t>
        </is>
      </c>
      <c r="G72" s="38" t="n"/>
      <c r="H72" s="29" t="n">
        <v>1</v>
      </c>
      <c r="I72" s="39" t="n"/>
      <c r="J72" s="39" t="n"/>
      <c r="K72" s="31" t="n"/>
      <c r="L72" s="31" t="n"/>
      <c r="M72" s="31" t="n"/>
      <c r="N72" s="31" t="n"/>
      <c r="O72" s="31" t="n"/>
      <c r="P72" s="31" t="n"/>
      <c r="Q72" s="23">
        <f>IF($A72="","",COUNTIFS(Assignments!$C$2:$C$769,$A72,Assignments!$G$2:$G$769,"Active"))</f>
        <v/>
      </c>
      <c r="R72" s="32">
        <f>IF($A72="","",SUMIFS(Assignments!$I$2:$I$769,Assignments!$C$2:$C$769,$A72,Assignments!$G$2:$G$769,"Active"))</f>
        <v/>
      </c>
      <c r="S72" s="20" t="inlineStr">
        <is>
          <t>WIP</t>
        </is>
      </c>
      <c r="T72" s="31" t="n"/>
      <c r="U72" s="38" t="n"/>
      <c r="V72" s="34">
        <f>IF($U72="","",IFERROR(INDEX(Templates!$K$3:$K$10,MATCH($U72,Templates!$A$3:$A$10,0)),""))</f>
        <v/>
      </c>
      <c r="W72" s="34">
        <f>IF($U72="","",IFERROR(INDEX(Templates!$L$3:$L$10,MATCH($U72,Templates!$A$3:$A$10,0)),""))</f>
        <v/>
      </c>
      <c r="X72" s="21">
        <f>IF($U72="","",IFERROR(INDEX(Templates!$J$3:$J$10,MATCH($U72,Templates!$A$3:$A$10,0)),""))</f>
        <v/>
      </c>
      <c r="Y72" s="35">
        <f>IF(OR($U72="",$I72="",$J72="",$X72=""),"",$I72+$X72*($J72-$I72))</f>
        <v/>
      </c>
      <c r="Z72" s="30" t="n">
        <v>46212</v>
      </c>
      <c r="AA72" s="40" t="n"/>
      <c r="AB72" s="41" t="n"/>
      <c r="AC72" s="41" t="n"/>
      <c r="AD72" s="19">
        <f>IF($A72="","",IF($AA72="",$H72,$AA72))</f>
        <v/>
      </c>
      <c r="AE72" s="35">
        <f>IF($A72="","",IF($AB72="",$I72,$AB72))</f>
        <v/>
      </c>
      <c r="AF72" s="35">
        <f>IF($A72="","",IF($AC72="",$J72,$AC72))</f>
        <v/>
      </c>
      <c r="AG72" s="35">
        <f>IF(OR($U72="",$AE72="",$AF72="",$X72=""),"",$AE72+$X72*($AF72-$AE72))</f>
        <v/>
      </c>
      <c r="AH72" s="38" t="n"/>
      <c r="AI72" s="38" t="n"/>
      <c r="AJ72" s="38" t="n"/>
      <c r="AK72" s="38" t="n"/>
      <c r="AL72" s="38" t="n"/>
      <c r="AM72" s="38" t="n"/>
      <c r="AN72" s="38" t="n"/>
      <c r="AO72" s="38" t="n"/>
      <c r="AP72" s="38" t="n"/>
      <c r="AQ72" s="38" t="n"/>
      <c r="AR72" s="38" t="n"/>
      <c r="AS72" s="38" t="n"/>
      <c r="AT72" s="38" t="n"/>
      <c r="AU72" s="38" t="n"/>
      <c r="AV72" s="38" t="n"/>
      <c r="AW72" s="38" t="n"/>
      <c r="AX72" s="38" t="n"/>
      <c r="AY72" s="42" t="n"/>
      <c r="AZ72" s="42" t="n"/>
      <c r="BA72" s="42" t="n"/>
      <c r="BB72" s="42" t="n"/>
      <c r="BC72" s="42" t="n"/>
      <c r="BD72" s="37">
        <f>IF($A72="","",SUM($AY72:$BC72))</f>
        <v/>
      </c>
      <c r="BE72" s="18">
        <f>IF($A72="","",IF(AND($I72&lt;&gt;"",$J72&lt;&gt;""),MAX(1,($J72-$I72)/7),Templates!$B$35))</f>
        <v/>
      </c>
      <c r="BF72" s="18">
        <f>IF($A72="","",IF(AND($I72&lt;&gt;"",$J72&lt;&gt;""),MAX(1,($J72-$I72)/7),Templates!$B$36))</f>
        <v/>
      </c>
      <c r="BG72" s="18">
        <f>IF($A72="","",IF(AND($I72&lt;&gt;"",$J72&lt;&gt;""),MAX(1,($J72-$I72)/7),Templates!$B$37))</f>
        <v/>
      </c>
      <c r="BH72" s="18">
        <f>IF($A72="","",IF(AND($I72&lt;&gt;"",$J72&lt;&gt;""),MAX(1,($J72-$I72)/7),Templates!$B$38))</f>
        <v/>
      </c>
      <c r="BI72" s="18">
        <f>IF($A72="","",IF(AND($I72&lt;&gt;"",$J72&lt;&gt;""),MAX(1,($J72-$I72)/7),Templates!$B$39))</f>
        <v/>
      </c>
      <c r="BJ72" s="18">
        <f>IF(OR($A72="",$BD72=0),0,($AY72*Templates!$B$27/$BE72+$AZ72*Templates!$B$28/$BF72+$BA72*Templates!$B$29/$BG72+$BB72*Templates!$B$30/$BH72+$BC72*Templates!$B$31/$BI72)/Templates!$B$17)</f>
        <v/>
      </c>
      <c r="BK72" s="18">
        <f>IF(OR($A72="",$BD72=0),0,($AY72*Templates!$C$27/$BE72+$AZ72*Templates!$C$28/$BF72+$BA72*Templates!$C$29/$BG72+$BB72*Templates!$C$30/$BH72+$BC72*Templates!$C$31/$BI72)/Templates!$B$18)</f>
        <v/>
      </c>
      <c r="BL72" s="18">
        <f>IF(OR($A72="",$BD72=0),0,($AY72*Templates!$D$27/$BE72+$AZ72*Templates!$D$28/$BF72+$BA72*Templates!$D$29/$BG72+$BB72*Templates!$D$30/$BH72+$BC72*Templates!$D$31/$BI72)/Templates!$B$19)</f>
        <v/>
      </c>
      <c r="BM72" s="18">
        <f>IF(OR($A72="",$BD72=0),0,($AY72*Templates!$E$27/$BE72+$AZ72*Templates!$E$28/$BF72+$BA72*Templates!$E$29/$BG72+$BB72*Templates!$E$30/$BH72+$BC72*Templates!$E$31/$BI72)/Templates!$B$20)</f>
        <v/>
      </c>
      <c r="BN72" s="18">
        <f>IF(OR($A72="",$BD72=0),0,($AY72*Templates!$F$27/$BE72+$AZ72*Templates!$F$28/$BF72+$BA72*Templates!$F$29/$BG72+$BB72*Templates!$F$30/$BH72+$BC72*Templates!$F$31/$BI72)/Templates!$B$21)</f>
        <v/>
      </c>
      <c r="BO72" s="18">
        <f>IF(OR($A72="",$BD72=0),0,($AY72*Templates!$G$27/$BE72+$AZ72*Templates!$G$28/$BF72+$BA72*Templates!$G$29/$BG72+$BB72*Templates!$G$30/$BH72+$BC72*Templates!$G$31/$BI72)/Templates!$B$22)</f>
        <v/>
      </c>
      <c r="BP72" s="18">
        <f>IF(OR($A72="",$BD72=0),0,($AY72*Templates!$H$27/$BE72+$AZ72*Templates!$H$28/$BF72+$BA72*Templates!$H$29/$BG72+$BB72*Templates!$H$30/$BH72+$BC72*Templates!$H$31/$BI72)/Templates!$B$23)</f>
        <v/>
      </c>
    </row>
    <row r="73">
      <c r="A73" s="28" t="inlineStr">
        <is>
          <t>Fortress_3</t>
        </is>
      </c>
      <c r="B73" s="20" t="inlineStr">
        <is>
          <t>The Blackstone Group : Aypa Power</t>
        </is>
      </c>
      <c r="C73" s="28" t="inlineStr">
        <is>
          <t>The Blackstone Group</t>
        </is>
      </c>
      <c r="D73" s="28" t="inlineStr">
        <is>
          <t>Aypa Power</t>
        </is>
      </c>
      <c r="E73" s="28" t="inlineStr">
        <is>
          <t>No</t>
        </is>
      </c>
      <c r="F73" s="28" t="inlineStr">
        <is>
          <t>Active</t>
        </is>
      </c>
      <c r="G73" s="38" t="n"/>
      <c r="H73" s="29" t="n">
        <v>1</v>
      </c>
      <c r="I73" s="39" t="n"/>
      <c r="J73" s="39" t="n"/>
      <c r="K73" s="31" t="n"/>
      <c r="L73" s="31" t="n"/>
      <c r="M73" s="31" t="n"/>
      <c r="N73" s="31" t="n"/>
      <c r="O73" s="31" t="n"/>
      <c r="P73" s="31" t="n"/>
      <c r="Q73" s="23">
        <f>IF($A73="","",COUNTIFS(Assignments!$C$2:$C$769,$A73,Assignments!$G$2:$G$769,"Active"))</f>
        <v/>
      </c>
      <c r="R73" s="32">
        <f>IF($A73="","",SUMIFS(Assignments!$I$2:$I$769,Assignments!$C$2:$C$769,$A73,Assignments!$G$2:$G$769,"Active"))</f>
        <v/>
      </c>
      <c r="S73" s="20" t="inlineStr">
        <is>
          <t>WIP</t>
        </is>
      </c>
      <c r="T73" s="31" t="n"/>
      <c r="U73" s="38" t="n"/>
      <c r="V73" s="34">
        <f>IF($U73="","",IFERROR(INDEX(Templates!$K$3:$K$10,MATCH($U73,Templates!$A$3:$A$10,0)),""))</f>
        <v/>
      </c>
      <c r="W73" s="34">
        <f>IF($U73="","",IFERROR(INDEX(Templates!$L$3:$L$10,MATCH($U73,Templates!$A$3:$A$10,0)),""))</f>
        <v/>
      </c>
      <c r="X73" s="21">
        <f>IF($U73="","",IFERROR(INDEX(Templates!$J$3:$J$10,MATCH($U73,Templates!$A$3:$A$10,0)),""))</f>
        <v/>
      </c>
      <c r="Y73" s="35">
        <f>IF(OR($U73="",$I73="",$J73="",$X73=""),"",$I73+$X73*($J73-$I73))</f>
        <v/>
      </c>
      <c r="Z73" s="30" t="n">
        <v>46212</v>
      </c>
      <c r="AA73" s="40" t="n"/>
      <c r="AB73" s="41" t="n"/>
      <c r="AC73" s="41" t="n"/>
      <c r="AD73" s="19">
        <f>IF($A73="","",IF($AA73="",$H73,$AA73))</f>
        <v/>
      </c>
      <c r="AE73" s="35">
        <f>IF($A73="","",IF($AB73="",$I73,$AB73))</f>
        <v/>
      </c>
      <c r="AF73" s="35">
        <f>IF($A73="","",IF($AC73="",$J73,$AC73))</f>
        <v/>
      </c>
      <c r="AG73" s="35">
        <f>IF(OR($U73="",$AE73="",$AF73="",$X73=""),"",$AE73+$X73*($AF73-$AE73))</f>
        <v/>
      </c>
      <c r="AH73" s="38" t="n"/>
      <c r="AI73" s="38" t="n"/>
      <c r="AJ73" s="38" t="n"/>
      <c r="AK73" s="38" t="n"/>
      <c r="AL73" s="38" t="n"/>
      <c r="AM73" s="38" t="n"/>
      <c r="AN73" s="38" t="n"/>
      <c r="AO73" s="38" t="n"/>
      <c r="AP73" s="38" t="n"/>
      <c r="AQ73" s="38" t="n"/>
      <c r="AR73" s="38" t="n"/>
      <c r="AS73" s="38" t="n"/>
      <c r="AT73" s="38" t="n"/>
      <c r="AU73" s="38" t="n"/>
      <c r="AV73" s="38" t="n"/>
      <c r="AW73" s="38" t="n"/>
      <c r="AX73" s="38" t="n"/>
      <c r="AY73" s="42" t="n"/>
      <c r="AZ73" s="42" t="n"/>
      <c r="BA73" s="42" t="n"/>
      <c r="BB73" s="42" t="n"/>
      <c r="BC73" s="42" t="n"/>
      <c r="BD73" s="37">
        <f>IF($A73="","",SUM($AY73:$BC73))</f>
        <v/>
      </c>
      <c r="BE73" s="18">
        <f>IF($A73="","",IF(AND($I73&lt;&gt;"",$J73&lt;&gt;""),MAX(1,($J73-$I73)/7),Templates!$B$35))</f>
        <v/>
      </c>
      <c r="BF73" s="18">
        <f>IF($A73="","",IF(AND($I73&lt;&gt;"",$J73&lt;&gt;""),MAX(1,($J73-$I73)/7),Templates!$B$36))</f>
        <v/>
      </c>
      <c r="BG73" s="18">
        <f>IF($A73="","",IF(AND($I73&lt;&gt;"",$J73&lt;&gt;""),MAX(1,($J73-$I73)/7),Templates!$B$37))</f>
        <v/>
      </c>
      <c r="BH73" s="18">
        <f>IF($A73="","",IF(AND($I73&lt;&gt;"",$J73&lt;&gt;""),MAX(1,($J73-$I73)/7),Templates!$B$38))</f>
        <v/>
      </c>
      <c r="BI73" s="18">
        <f>IF($A73="","",IF(AND($I73&lt;&gt;"",$J73&lt;&gt;""),MAX(1,($J73-$I73)/7),Templates!$B$39))</f>
        <v/>
      </c>
      <c r="BJ73" s="18">
        <f>IF(OR($A73="",$BD73=0),0,($AY73*Templates!$B$27/$BE73+$AZ73*Templates!$B$28/$BF73+$BA73*Templates!$B$29/$BG73+$BB73*Templates!$B$30/$BH73+$BC73*Templates!$B$31/$BI73)/Templates!$B$17)</f>
        <v/>
      </c>
      <c r="BK73" s="18">
        <f>IF(OR($A73="",$BD73=0),0,($AY73*Templates!$C$27/$BE73+$AZ73*Templates!$C$28/$BF73+$BA73*Templates!$C$29/$BG73+$BB73*Templates!$C$30/$BH73+$BC73*Templates!$C$31/$BI73)/Templates!$B$18)</f>
        <v/>
      </c>
      <c r="BL73" s="18">
        <f>IF(OR($A73="",$BD73=0),0,($AY73*Templates!$D$27/$BE73+$AZ73*Templates!$D$28/$BF73+$BA73*Templates!$D$29/$BG73+$BB73*Templates!$D$30/$BH73+$BC73*Templates!$D$31/$BI73)/Templates!$B$19)</f>
        <v/>
      </c>
      <c r="BM73" s="18">
        <f>IF(OR($A73="",$BD73=0),0,($AY73*Templates!$E$27/$BE73+$AZ73*Templates!$E$28/$BF73+$BA73*Templates!$E$29/$BG73+$BB73*Templates!$E$30/$BH73+$BC73*Templates!$E$31/$BI73)/Templates!$B$20)</f>
        <v/>
      </c>
      <c r="BN73" s="18">
        <f>IF(OR($A73="",$BD73=0),0,($AY73*Templates!$F$27/$BE73+$AZ73*Templates!$F$28/$BF73+$BA73*Templates!$F$29/$BG73+$BB73*Templates!$F$30/$BH73+$BC73*Templates!$F$31/$BI73)/Templates!$B$21)</f>
        <v/>
      </c>
      <c r="BO73" s="18">
        <f>IF(OR($A73="",$BD73=0),0,($AY73*Templates!$G$27/$BE73+$AZ73*Templates!$G$28/$BF73+$BA73*Templates!$G$29/$BG73+$BB73*Templates!$G$30/$BH73+$BC73*Templates!$G$31/$BI73)/Templates!$B$22)</f>
        <v/>
      </c>
      <c r="BP73" s="18">
        <f>IF(OR($A73="",$BD73=0),0,($AY73*Templates!$H$27/$BE73+$AZ73*Templates!$H$28/$BF73+$BA73*Templates!$H$29/$BG73+$BB73*Templates!$H$30/$BH73+$BC73*Templates!$H$31/$BI73)/Templates!$B$23)</f>
        <v/>
      </c>
    </row>
    <row r="74">
      <c r="A74" s="28" t="inlineStr">
        <is>
          <t>Fury_1</t>
        </is>
      </c>
      <c r="B74" s="20" t="inlineStr">
        <is>
          <t>Macquarie Group</t>
        </is>
      </c>
      <c r="C74" s="28" t="inlineStr">
        <is>
          <t>Macquarie Group</t>
        </is>
      </c>
      <c r="D74" s="28" t="inlineStr"/>
      <c r="E74" s="28" t="inlineStr">
        <is>
          <t>No</t>
        </is>
      </c>
      <c r="F74" s="28" t="inlineStr">
        <is>
          <t>Active</t>
        </is>
      </c>
      <c r="G74" s="38" t="n"/>
      <c r="H74" s="29" t="n">
        <v>1</v>
      </c>
      <c r="I74" s="39" t="n"/>
      <c r="J74" s="39" t="n"/>
      <c r="K74" s="31" t="n"/>
      <c r="L74" s="31" t="n"/>
      <c r="M74" s="31" t="n"/>
      <c r="N74" s="31" t="n"/>
      <c r="O74" s="31" t="n"/>
      <c r="P74" s="31" t="n"/>
      <c r="Q74" s="23">
        <f>IF($A74="","",COUNTIFS(Assignments!$C$2:$C$769,$A74,Assignments!$G$2:$G$769,"Active"))</f>
        <v/>
      </c>
      <c r="R74" s="32">
        <f>IF($A74="","",SUMIFS(Assignments!$I$2:$I$769,Assignments!$C$2:$C$769,$A74,Assignments!$G$2:$G$769,"Active"))</f>
        <v/>
      </c>
      <c r="S74" s="20" t="inlineStr">
        <is>
          <t>WIP</t>
        </is>
      </c>
      <c r="T74" s="31" t="n"/>
      <c r="U74" s="38" t="n"/>
      <c r="V74" s="34">
        <f>IF($U74="","",IFERROR(INDEX(Templates!$K$3:$K$10,MATCH($U74,Templates!$A$3:$A$10,0)),""))</f>
        <v/>
      </c>
      <c r="W74" s="34">
        <f>IF($U74="","",IFERROR(INDEX(Templates!$L$3:$L$10,MATCH($U74,Templates!$A$3:$A$10,0)),""))</f>
        <v/>
      </c>
      <c r="X74" s="21">
        <f>IF($U74="","",IFERROR(INDEX(Templates!$J$3:$J$10,MATCH($U74,Templates!$A$3:$A$10,0)),""))</f>
        <v/>
      </c>
      <c r="Y74" s="35">
        <f>IF(OR($U74="",$I74="",$J74="",$X74=""),"",$I74+$X74*($J74-$I74))</f>
        <v/>
      </c>
      <c r="Z74" s="30" t="n">
        <v>46212</v>
      </c>
      <c r="AA74" s="40" t="n"/>
      <c r="AB74" s="41" t="n"/>
      <c r="AC74" s="41" t="n"/>
      <c r="AD74" s="19">
        <f>IF($A74="","",IF($AA74="",$H74,$AA74))</f>
        <v/>
      </c>
      <c r="AE74" s="35">
        <f>IF($A74="","",IF($AB74="",$I74,$AB74))</f>
        <v/>
      </c>
      <c r="AF74" s="35">
        <f>IF($A74="","",IF($AC74="",$J74,$AC74))</f>
        <v/>
      </c>
      <c r="AG74" s="35">
        <f>IF(OR($U74="",$AE74="",$AF74="",$X74=""),"",$AE74+$X74*($AF74-$AE74))</f>
        <v/>
      </c>
      <c r="AH74" s="38" t="n"/>
      <c r="AI74" s="38" t="n"/>
      <c r="AJ74" s="38" t="n"/>
      <c r="AK74" s="38" t="n"/>
      <c r="AL74" s="38" t="n"/>
      <c r="AM74" s="38" t="n"/>
      <c r="AN74" s="38" t="n"/>
      <c r="AO74" s="38" t="n"/>
      <c r="AP74" s="38" t="n"/>
      <c r="AQ74" s="38" t="n"/>
      <c r="AR74" s="38" t="n"/>
      <c r="AS74" s="38" t="n"/>
      <c r="AT74" s="38" t="n"/>
      <c r="AU74" s="38" t="n"/>
      <c r="AV74" s="38" t="n"/>
      <c r="AW74" s="38" t="n"/>
      <c r="AX74" s="38" t="n"/>
      <c r="AY74" s="42" t="n"/>
      <c r="AZ74" s="42" t="n"/>
      <c r="BA74" s="42" t="n"/>
      <c r="BB74" s="42" t="n"/>
      <c r="BC74" s="42" t="n"/>
      <c r="BD74" s="37">
        <f>IF($A74="","",SUM($AY74:$BC74))</f>
        <v/>
      </c>
      <c r="BE74" s="18">
        <f>IF($A74="","",IF(AND($I74&lt;&gt;"",$J74&lt;&gt;""),MAX(1,($J74-$I74)/7),Templates!$B$35))</f>
        <v/>
      </c>
      <c r="BF74" s="18">
        <f>IF($A74="","",IF(AND($I74&lt;&gt;"",$J74&lt;&gt;""),MAX(1,($J74-$I74)/7),Templates!$B$36))</f>
        <v/>
      </c>
      <c r="BG74" s="18">
        <f>IF($A74="","",IF(AND($I74&lt;&gt;"",$J74&lt;&gt;""),MAX(1,($J74-$I74)/7),Templates!$B$37))</f>
        <v/>
      </c>
      <c r="BH74" s="18">
        <f>IF($A74="","",IF(AND($I74&lt;&gt;"",$J74&lt;&gt;""),MAX(1,($J74-$I74)/7),Templates!$B$38))</f>
        <v/>
      </c>
      <c r="BI74" s="18">
        <f>IF($A74="","",IF(AND($I74&lt;&gt;"",$J74&lt;&gt;""),MAX(1,($J74-$I74)/7),Templates!$B$39))</f>
        <v/>
      </c>
      <c r="BJ74" s="18">
        <f>IF(OR($A74="",$BD74=0),0,($AY74*Templates!$B$27/$BE74+$AZ74*Templates!$B$28/$BF74+$BA74*Templates!$B$29/$BG74+$BB74*Templates!$B$30/$BH74+$BC74*Templates!$B$31/$BI74)/Templates!$B$17)</f>
        <v/>
      </c>
      <c r="BK74" s="18">
        <f>IF(OR($A74="",$BD74=0),0,($AY74*Templates!$C$27/$BE74+$AZ74*Templates!$C$28/$BF74+$BA74*Templates!$C$29/$BG74+$BB74*Templates!$C$30/$BH74+$BC74*Templates!$C$31/$BI74)/Templates!$B$18)</f>
        <v/>
      </c>
      <c r="BL74" s="18">
        <f>IF(OR($A74="",$BD74=0),0,($AY74*Templates!$D$27/$BE74+$AZ74*Templates!$D$28/$BF74+$BA74*Templates!$D$29/$BG74+$BB74*Templates!$D$30/$BH74+$BC74*Templates!$D$31/$BI74)/Templates!$B$19)</f>
        <v/>
      </c>
      <c r="BM74" s="18">
        <f>IF(OR($A74="",$BD74=0),0,($AY74*Templates!$E$27/$BE74+$AZ74*Templates!$E$28/$BF74+$BA74*Templates!$E$29/$BG74+$BB74*Templates!$E$30/$BH74+$BC74*Templates!$E$31/$BI74)/Templates!$B$20)</f>
        <v/>
      </c>
      <c r="BN74" s="18">
        <f>IF(OR($A74="",$BD74=0),0,($AY74*Templates!$F$27/$BE74+$AZ74*Templates!$F$28/$BF74+$BA74*Templates!$F$29/$BG74+$BB74*Templates!$F$30/$BH74+$BC74*Templates!$F$31/$BI74)/Templates!$B$21)</f>
        <v/>
      </c>
      <c r="BO74" s="18">
        <f>IF(OR($A74="",$BD74=0),0,($AY74*Templates!$G$27/$BE74+$AZ74*Templates!$G$28/$BF74+$BA74*Templates!$G$29/$BG74+$BB74*Templates!$G$30/$BH74+$BC74*Templates!$G$31/$BI74)/Templates!$B$22)</f>
        <v/>
      </c>
      <c r="BP74" s="18">
        <f>IF(OR($A74="",$BD74=0),0,($AY74*Templates!$H$27/$BE74+$AZ74*Templates!$H$28/$BF74+$BA74*Templates!$H$29/$BG74+$BB74*Templates!$H$30/$BH74+$BC74*Templates!$H$31/$BI74)/Templates!$B$23)</f>
        <v/>
      </c>
    </row>
    <row r="75">
      <c r="A75" s="28" t="inlineStr">
        <is>
          <t>Galaxy_1</t>
        </is>
      </c>
      <c r="B75" s="20" t="inlineStr">
        <is>
          <t>Ardent Equity</t>
        </is>
      </c>
      <c r="C75" s="28" t="inlineStr">
        <is>
          <t>Ardent Equity</t>
        </is>
      </c>
      <c r="D75" s="28" t="inlineStr"/>
      <c r="E75" s="28" t="inlineStr">
        <is>
          <t>No</t>
        </is>
      </c>
      <c r="F75" s="28" t="inlineStr">
        <is>
          <t>Active</t>
        </is>
      </c>
      <c r="G75" s="38" t="n"/>
      <c r="H75" s="29" t="n">
        <v>1</v>
      </c>
      <c r="I75" s="39" t="n"/>
      <c r="J75" s="39" t="n"/>
      <c r="K75" s="31" t="n"/>
      <c r="L75" s="31" t="n"/>
      <c r="M75" s="31" t="n"/>
      <c r="N75" s="31" t="n"/>
      <c r="O75" s="31" t="n"/>
      <c r="P75" s="31" t="n"/>
      <c r="Q75" s="23">
        <f>IF($A75="","",COUNTIFS(Assignments!$C$2:$C$769,$A75,Assignments!$G$2:$G$769,"Active"))</f>
        <v/>
      </c>
      <c r="R75" s="32">
        <f>IF($A75="","",SUMIFS(Assignments!$I$2:$I$769,Assignments!$C$2:$C$769,$A75,Assignments!$G$2:$G$769,"Active"))</f>
        <v/>
      </c>
      <c r="S75" s="20" t="inlineStr">
        <is>
          <t>WIP</t>
        </is>
      </c>
      <c r="T75" s="31" t="n"/>
      <c r="U75" s="38" t="n"/>
      <c r="V75" s="34">
        <f>IF($U75="","",IFERROR(INDEX(Templates!$K$3:$K$10,MATCH($U75,Templates!$A$3:$A$10,0)),""))</f>
        <v/>
      </c>
      <c r="W75" s="34">
        <f>IF($U75="","",IFERROR(INDEX(Templates!$L$3:$L$10,MATCH($U75,Templates!$A$3:$A$10,0)),""))</f>
        <v/>
      </c>
      <c r="X75" s="21">
        <f>IF($U75="","",IFERROR(INDEX(Templates!$J$3:$J$10,MATCH($U75,Templates!$A$3:$A$10,0)),""))</f>
        <v/>
      </c>
      <c r="Y75" s="35">
        <f>IF(OR($U75="",$I75="",$J75="",$X75=""),"",$I75+$X75*($J75-$I75))</f>
        <v/>
      </c>
      <c r="Z75" s="30" t="n">
        <v>46212</v>
      </c>
      <c r="AA75" s="40" t="n"/>
      <c r="AB75" s="41" t="n"/>
      <c r="AC75" s="41" t="n"/>
      <c r="AD75" s="19">
        <f>IF($A75="","",IF($AA75="",$H75,$AA75))</f>
        <v/>
      </c>
      <c r="AE75" s="35">
        <f>IF($A75="","",IF($AB75="",$I75,$AB75))</f>
        <v/>
      </c>
      <c r="AF75" s="35">
        <f>IF($A75="","",IF($AC75="",$J75,$AC75))</f>
        <v/>
      </c>
      <c r="AG75" s="35">
        <f>IF(OR($U75="",$AE75="",$AF75="",$X75=""),"",$AE75+$X75*($AF75-$AE75))</f>
        <v/>
      </c>
      <c r="AH75" s="38" t="n"/>
      <c r="AI75" s="38" t="n"/>
      <c r="AJ75" s="38" t="n"/>
      <c r="AK75" s="38" t="n"/>
      <c r="AL75" s="38" t="n"/>
      <c r="AM75" s="38" t="n"/>
      <c r="AN75" s="38" t="n"/>
      <c r="AO75" s="38" t="n"/>
      <c r="AP75" s="38" t="n"/>
      <c r="AQ75" s="38" t="n"/>
      <c r="AR75" s="38" t="n"/>
      <c r="AS75" s="38" t="n"/>
      <c r="AT75" s="38" t="n"/>
      <c r="AU75" s="38" t="n"/>
      <c r="AV75" s="38" t="n"/>
      <c r="AW75" s="38" t="n"/>
      <c r="AX75" s="38" t="n"/>
      <c r="AY75" s="42" t="n"/>
      <c r="AZ75" s="42" t="n"/>
      <c r="BA75" s="42" t="n"/>
      <c r="BB75" s="42" t="n"/>
      <c r="BC75" s="42" t="n"/>
      <c r="BD75" s="37">
        <f>IF($A75="","",SUM($AY75:$BC75))</f>
        <v/>
      </c>
      <c r="BE75" s="18">
        <f>IF($A75="","",IF(AND($I75&lt;&gt;"",$J75&lt;&gt;""),MAX(1,($J75-$I75)/7),Templates!$B$35))</f>
        <v/>
      </c>
      <c r="BF75" s="18">
        <f>IF($A75="","",IF(AND($I75&lt;&gt;"",$J75&lt;&gt;""),MAX(1,($J75-$I75)/7),Templates!$B$36))</f>
        <v/>
      </c>
      <c r="BG75" s="18">
        <f>IF($A75="","",IF(AND($I75&lt;&gt;"",$J75&lt;&gt;""),MAX(1,($J75-$I75)/7),Templates!$B$37))</f>
        <v/>
      </c>
      <c r="BH75" s="18">
        <f>IF($A75="","",IF(AND($I75&lt;&gt;"",$J75&lt;&gt;""),MAX(1,($J75-$I75)/7),Templates!$B$38))</f>
        <v/>
      </c>
      <c r="BI75" s="18">
        <f>IF($A75="","",IF(AND($I75&lt;&gt;"",$J75&lt;&gt;""),MAX(1,($J75-$I75)/7),Templates!$B$39))</f>
        <v/>
      </c>
      <c r="BJ75" s="18">
        <f>IF(OR($A75="",$BD75=0),0,($AY75*Templates!$B$27/$BE75+$AZ75*Templates!$B$28/$BF75+$BA75*Templates!$B$29/$BG75+$BB75*Templates!$B$30/$BH75+$BC75*Templates!$B$31/$BI75)/Templates!$B$17)</f>
        <v/>
      </c>
      <c r="BK75" s="18">
        <f>IF(OR($A75="",$BD75=0),0,($AY75*Templates!$C$27/$BE75+$AZ75*Templates!$C$28/$BF75+$BA75*Templates!$C$29/$BG75+$BB75*Templates!$C$30/$BH75+$BC75*Templates!$C$31/$BI75)/Templates!$B$18)</f>
        <v/>
      </c>
      <c r="BL75" s="18">
        <f>IF(OR($A75="",$BD75=0),0,($AY75*Templates!$D$27/$BE75+$AZ75*Templates!$D$28/$BF75+$BA75*Templates!$D$29/$BG75+$BB75*Templates!$D$30/$BH75+$BC75*Templates!$D$31/$BI75)/Templates!$B$19)</f>
        <v/>
      </c>
      <c r="BM75" s="18">
        <f>IF(OR($A75="",$BD75=0),0,($AY75*Templates!$E$27/$BE75+$AZ75*Templates!$E$28/$BF75+$BA75*Templates!$E$29/$BG75+$BB75*Templates!$E$30/$BH75+$BC75*Templates!$E$31/$BI75)/Templates!$B$20)</f>
        <v/>
      </c>
      <c r="BN75" s="18">
        <f>IF(OR($A75="",$BD75=0),0,($AY75*Templates!$F$27/$BE75+$AZ75*Templates!$F$28/$BF75+$BA75*Templates!$F$29/$BG75+$BB75*Templates!$F$30/$BH75+$BC75*Templates!$F$31/$BI75)/Templates!$B$21)</f>
        <v/>
      </c>
      <c r="BO75" s="18">
        <f>IF(OR($A75="",$BD75=0),0,($AY75*Templates!$G$27/$BE75+$AZ75*Templates!$G$28/$BF75+$BA75*Templates!$G$29/$BG75+$BB75*Templates!$G$30/$BH75+$BC75*Templates!$G$31/$BI75)/Templates!$B$22)</f>
        <v/>
      </c>
      <c r="BP75" s="18">
        <f>IF(OR($A75="",$BD75=0),0,($AY75*Templates!$H$27/$BE75+$AZ75*Templates!$H$28/$BF75+$BA75*Templates!$H$29/$BG75+$BB75*Templates!$H$30/$BH75+$BC75*Templates!$H$31/$BI75)/Templates!$B$23)</f>
        <v/>
      </c>
    </row>
    <row r="76">
      <c r="A76" s="28" t="inlineStr">
        <is>
          <t>Gambit_1</t>
        </is>
      </c>
      <c r="B76" s="20" t="inlineStr">
        <is>
          <t>Ares Management Corporation</t>
        </is>
      </c>
      <c r="C76" s="28" t="inlineStr">
        <is>
          <t>Ares Management Corporation</t>
        </is>
      </c>
      <c r="D76" s="28" t="inlineStr"/>
      <c r="E76" s="28" t="inlineStr">
        <is>
          <t>No</t>
        </is>
      </c>
      <c r="F76" s="28" t="inlineStr">
        <is>
          <t>Active</t>
        </is>
      </c>
      <c r="G76" s="38" t="n"/>
      <c r="H76" s="29" t="n">
        <v>1</v>
      </c>
      <c r="I76" s="39" t="n"/>
      <c r="J76" s="39" t="n"/>
      <c r="K76" s="31" t="n"/>
      <c r="L76" s="31" t="n"/>
      <c r="M76" s="31" t="n"/>
      <c r="N76" s="31" t="n"/>
      <c r="O76" s="31" t="n"/>
      <c r="P76" s="31" t="n"/>
      <c r="Q76" s="23">
        <f>IF($A76="","",COUNTIFS(Assignments!$C$2:$C$769,$A76,Assignments!$G$2:$G$769,"Active"))</f>
        <v/>
      </c>
      <c r="R76" s="32">
        <f>IF($A76="","",SUMIFS(Assignments!$I$2:$I$769,Assignments!$C$2:$C$769,$A76,Assignments!$G$2:$G$769,"Active"))</f>
        <v/>
      </c>
      <c r="S76" s="20" t="inlineStr">
        <is>
          <t>WIP</t>
        </is>
      </c>
      <c r="T76" s="31" t="n"/>
      <c r="U76" s="38" t="n"/>
      <c r="V76" s="34">
        <f>IF($U76="","",IFERROR(INDEX(Templates!$K$3:$K$10,MATCH($U76,Templates!$A$3:$A$10,0)),""))</f>
        <v/>
      </c>
      <c r="W76" s="34">
        <f>IF($U76="","",IFERROR(INDEX(Templates!$L$3:$L$10,MATCH($U76,Templates!$A$3:$A$10,0)),""))</f>
        <v/>
      </c>
      <c r="X76" s="21">
        <f>IF($U76="","",IFERROR(INDEX(Templates!$J$3:$J$10,MATCH($U76,Templates!$A$3:$A$10,0)),""))</f>
        <v/>
      </c>
      <c r="Y76" s="35">
        <f>IF(OR($U76="",$I76="",$J76="",$X76=""),"",$I76+$X76*($J76-$I76))</f>
        <v/>
      </c>
      <c r="Z76" s="30" t="n">
        <v>46212</v>
      </c>
      <c r="AA76" s="40" t="n"/>
      <c r="AB76" s="41" t="n"/>
      <c r="AC76" s="41" t="n"/>
      <c r="AD76" s="19">
        <f>IF($A76="","",IF($AA76="",$H76,$AA76))</f>
        <v/>
      </c>
      <c r="AE76" s="35">
        <f>IF($A76="","",IF($AB76="",$I76,$AB76))</f>
        <v/>
      </c>
      <c r="AF76" s="35">
        <f>IF($A76="","",IF($AC76="",$J76,$AC76))</f>
        <v/>
      </c>
      <c r="AG76" s="35">
        <f>IF(OR($U76="",$AE76="",$AF76="",$X76=""),"",$AE76+$X76*($AF76-$AE76))</f>
        <v/>
      </c>
      <c r="AH76" s="38" t="n"/>
      <c r="AI76" s="38" t="n"/>
      <c r="AJ76" s="38" t="n"/>
      <c r="AK76" s="38" t="n"/>
      <c r="AL76" s="38" t="n"/>
      <c r="AM76" s="38" t="n"/>
      <c r="AN76" s="38" t="n"/>
      <c r="AO76" s="38" t="n"/>
      <c r="AP76" s="38" t="n"/>
      <c r="AQ76" s="38" t="n"/>
      <c r="AR76" s="38" t="n"/>
      <c r="AS76" s="38" t="n"/>
      <c r="AT76" s="38" t="n"/>
      <c r="AU76" s="38" t="n"/>
      <c r="AV76" s="38" t="n"/>
      <c r="AW76" s="38" t="n"/>
      <c r="AX76" s="38" t="n"/>
      <c r="AY76" s="42" t="n"/>
      <c r="AZ76" s="42" t="n"/>
      <c r="BA76" s="42" t="n"/>
      <c r="BB76" s="42" t="n"/>
      <c r="BC76" s="42" t="n"/>
      <c r="BD76" s="37">
        <f>IF($A76="","",SUM($AY76:$BC76))</f>
        <v/>
      </c>
      <c r="BE76" s="18">
        <f>IF($A76="","",IF(AND($I76&lt;&gt;"",$J76&lt;&gt;""),MAX(1,($J76-$I76)/7),Templates!$B$35))</f>
        <v/>
      </c>
      <c r="BF76" s="18">
        <f>IF($A76="","",IF(AND($I76&lt;&gt;"",$J76&lt;&gt;""),MAX(1,($J76-$I76)/7),Templates!$B$36))</f>
        <v/>
      </c>
      <c r="BG76" s="18">
        <f>IF($A76="","",IF(AND($I76&lt;&gt;"",$J76&lt;&gt;""),MAX(1,($J76-$I76)/7),Templates!$B$37))</f>
        <v/>
      </c>
      <c r="BH76" s="18">
        <f>IF($A76="","",IF(AND($I76&lt;&gt;"",$J76&lt;&gt;""),MAX(1,($J76-$I76)/7),Templates!$B$38))</f>
        <v/>
      </c>
      <c r="BI76" s="18">
        <f>IF($A76="","",IF(AND($I76&lt;&gt;"",$J76&lt;&gt;""),MAX(1,($J76-$I76)/7),Templates!$B$39))</f>
        <v/>
      </c>
      <c r="BJ76" s="18">
        <f>IF(OR($A76="",$BD76=0),0,($AY76*Templates!$B$27/$BE76+$AZ76*Templates!$B$28/$BF76+$BA76*Templates!$B$29/$BG76+$BB76*Templates!$B$30/$BH76+$BC76*Templates!$B$31/$BI76)/Templates!$B$17)</f>
        <v/>
      </c>
      <c r="BK76" s="18">
        <f>IF(OR($A76="",$BD76=0),0,($AY76*Templates!$C$27/$BE76+$AZ76*Templates!$C$28/$BF76+$BA76*Templates!$C$29/$BG76+$BB76*Templates!$C$30/$BH76+$BC76*Templates!$C$31/$BI76)/Templates!$B$18)</f>
        <v/>
      </c>
      <c r="BL76" s="18">
        <f>IF(OR($A76="",$BD76=0),0,($AY76*Templates!$D$27/$BE76+$AZ76*Templates!$D$28/$BF76+$BA76*Templates!$D$29/$BG76+$BB76*Templates!$D$30/$BH76+$BC76*Templates!$D$31/$BI76)/Templates!$B$19)</f>
        <v/>
      </c>
      <c r="BM76" s="18">
        <f>IF(OR($A76="",$BD76=0),0,($AY76*Templates!$E$27/$BE76+$AZ76*Templates!$E$28/$BF76+$BA76*Templates!$E$29/$BG76+$BB76*Templates!$E$30/$BH76+$BC76*Templates!$E$31/$BI76)/Templates!$B$20)</f>
        <v/>
      </c>
      <c r="BN76" s="18">
        <f>IF(OR($A76="",$BD76=0),0,($AY76*Templates!$F$27/$BE76+$AZ76*Templates!$F$28/$BF76+$BA76*Templates!$F$29/$BG76+$BB76*Templates!$F$30/$BH76+$BC76*Templates!$F$31/$BI76)/Templates!$B$21)</f>
        <v/>
      </c>
      <c r="BO76" s="18">
        <f>IF(OR($A76="",$BD76=0),0,($AY76*Templates!$G$27/$BE76+$AZ76*Templates!$G$28/$BF76+$BA76*Templates!$G$29/$BG76+$BB76*Templates!$G$30/$BH76+$BC76*Templates!$G$31/$BI76)/Templates!$B$22)</f>
        <v/>
      </c>
      <c r="BP76" s="18">
        <f>IF(OR($A76="",$BD76=0),0,($AY76*Templates!$H$27/$BE76+$AZ76*Templates!$H$28/$BF76+$BA76*Templates!$H$29/$BG76+$BB76*Templates!$H$30/$BH76+$BC76*Templates!$H$31/$BI76)/Templates!$B$23)</f>
        <v/>
      </c>
    </row>
    <row r="77">
      <c r="A77" s="28" t="inlineStr">
        <is>
          <t>Gateway_3</t>
        </is>
      </c>
      <c r="B77" s="20" t="inlineStr">
        <is>
          <t>Northleaf Capital Partners</t>
        </is>
      </c>
      <c r="C77" s="28" t="inlineStr">
        <is>
          <t>Northleaf Capital Partners</t>
        </is>
      </c>
      <c r="D77" s="28" t="inlineStr"/>
      <c r="E77" s="28" t="inlineStr">
        <is>
          <t>No</t>
        </is>
      </c>
      <c r="F77" s="28" t="inlineStr">
        <is>
          <t>Active</t>
        </is>
      </c>
      <c r="G77" s="38" t="n"/>
      <c r="H77" s="29" t="n">
        <v>1</v>
      </c>
      <c r="I77" s="39" t="n"/>
      <c r="J77" s="39" t="n"/>
      <c r="K77" s="31" t="n"/>
      <c r="L77" s="31" t="n"/>
      <c r="M77" s="31" t="n"/>
      <c r="N77" s="31" t="n"/>
      <c r="O77" s="31" t="n"/>
      <c r="P77" s="31" t="n"/>
      <c r="Q77" s="23">
        <f>IF($A77="","",COUNTIFS(Assignments!$C$2:$C$769,$A77,Assignments!$G$2:$G$769,"Active"))</f>
        <v/>
      </c>
      <c r="R77" s="32">
        <f>IF($A77="","",SUMIFS(Assignments!$I$2:$I$769,Assignments!$C$2:$C$769,$A77,Assignments!$G$2:$G$769,"Active"))</f>
        <v/>
      </c>
      <c r="S77" s="20" t="inlineStr">
        <is>
          <t>WIP</t>
        </is>
      </c>
      <c r="T77" s="31" t="n"/>
      <c r="U77" s="38" t="n"/>
      <c r="V77" s="34">
        <f>IF($U77="","",IFERROR(INDEX(Templates!$K$3:$K$10,MATCH($U77,Templates!$A$3:$A$10,0)),""))</f>
        <v/>
      </c>
      <c r="W77" s="34">
        <f>IF($U77="","",IFERROR(INDEX(Templates!$L$3:$L$10,MATCH($U77,Templates!$A$3:$A$10,0)),""))</f>
        <v/>
      </c>
      <c r="X77" s="21">
        <f>IF($U77="","",IFERROR(INDEX(Templates!$J$3:$J$10,MATCH($U77,Templates!$A$3:$A$10,0)),""))</f>
        <v/>
      </c>
      <c r="Y77" s="35">
        <f>IF(OR($U77="",$I77="",$J77="",$X77=""),"",$I77+$X77*($J77-$I77))</f>
        <v/>
      </c>
      <c r="Z77" s="30" t="n">
        <v>46212</v>
      </c>
      <c r="AA77" s="40" t="n"/>
      <c r="AB77" s="41" t="n"/>
      <c r="AC77" s="41" t="n"/>
      <c r="AD77" s="19">
        <f>IF($A77="","",IF($AA77="",$H77,$AA77))</f>
        <v/>
      </c>
      <c r="AE77" s="35">
        <f>IF($A77="","",IF($AB77="",$I77,$AB77))</f>
        <v/>
      </c>
      <c r="AF77" s="35">
        <f>IF($A77="","",IF($AC77="",$J77,$AC77))</f>
        <v/>
      </c>
      <c r="AG77" s="35">
        <f>IF(OR($U77="",$AE77="",$AF77="",$X77=""),"",$AE77+$X77*($AF77-$AE77))</f>
        <v/>
      </c>
      <c r="AH77" s="38" t="n"/>
      <c r="AI77" s="38" t="n"/>
      <c r="AJ77" s="38" t="n"/>
      <c r="AK77" s="38" t="n"/>
      <c r="AL77" s="38" t="n"/>
      <c r="AM77" s="38" t="n"/>
      <c r="AN77" s="38" t="n"/>
      <c r="AO77" s="38" t="n"/>
      <c r="AP77" s="38" t="n"/>
      <c r="AQ77" s="38" t="n"/>
      <c r="AR77" s="38" t="n"/>
      <c r="AS77" s="38" t="n"/>
      <c r="AT77" s="38" t="n"/>
      <c r="AU77" s="38" t="n"/>
      <c r="AV77" s="38" t="n"/>
      <c r="AW77" s="38" t="n"/>
      <c r="AX77" s="38" t="n"/>
      <c r="AY77" s="42" t="n"/>
      <c r="AZ77" s="42" t="n"/>
      <c r="BA77" s="42" t="n"/>
      <c r="BB77" s="42" t="n"/>
      <c r="BC77" s="42" t="n"/>
      <c r="BD77" s="37">
        <f>IF($A77="","",SUM($AY77:$BC77))</f>
        <v/>
      </c>
      <c r="BE77" s="18">
        <f>IF($A77="","",IF(AND($I77&lt;&gt;"",$J77&lt;&gt;""),MAX(1,($J77-$I77)/7),Templates!$B$35))</f>
        <v/>
      </c>
      <c r="BF77" s="18">
        <f>IF($A77="","",IF(AND($I77&lt;&gt;"",$J77&lt;&gt;""),MAX(1,($J77-$I77)/7),Templates!$B$36))</f>
        <v/>
      </c>
      <c r="BG77" s="18">
        <f>IF($A77="","",IF(AND($I77&lt;&gt;"",$J77&lt;&gt;""),MAX(1,($J77-$I77)/7),Templates!$B$37))</f>
        <v/>
      </c>
      <c r="BH77" s="18">
        <f>IF($A77="","",IF(AND($I77&lt;&gt;"",$J77&lt;&gt;""),MAX(1,($J77-$I77)/7),Templates!$B$38))</f>
        <v/>
      </c>
      <c r="BI77" s="18">
        <f>IF($A77="","",IF(AND($I77&lt;&gt;"",$J77&lt;&gt;""),MAX(1,($J77-$I77)/7),Templates!$B$39))</f>
        <v/>
      </c>
      <c r="BJ77" s="18">
        <f>IF(OR($A77="",$BD77=0),0,($AY77*Templates!$B$27/$BE77+$AZ77*Templates!$B$28/$BF77+$BA77*Templates!$B$29/$BG77+$BB77*Templates!$B$30/$BH77+$BC77*Templates!$B$31/$BI77)/Templates!$B$17)</f>
        <v/>
      </c>
      <c r="BK77" s="18">
        <f>IF(OR($A77="",$BD77=0),0,($AY77*Templates!$C$27/$BE77+$AZ77*Templates!$C$28/$BF77+$BA77*Templates!$C$29/$BG77+$BB77*Templates!$C$30/$BH77+$BC77*Templates!$C$31/$BI77)/Templates!$B$18)</f>
        <v/>
      </c>
      <c r="BL77" s="18">
        <f>IF(OR($A77="",$BD77=0),0,($AY77*Templates!$D$27/$BE77+$AZ77*Templates!$D$28/$BF77+$BA77*Templates!$D$29/$BG77+$BB77*Templates!$D$30/$BH77+$BC77*Templates!$D$31/$BI77)/Templates!$B$19)</f>
        <v/>
      </c>
      <c r="BM77" s="18">
        <f>IF(OR($A77="",$BD77=0),0,($AY77*Templates!$E$27/$BE77+$AZ77*Templates!$E$28/$BF77+$BA77*Templates!$E$29/$BG77+$BB77*Templates!$E$30/$BH77+$BC77*Templates!$E$31/$BI77)/Templates!$B$20)</f>
        <v/>
      </c>
      <c r="BN77" s="18">
        <f>IF(OR($A77="",$BD77=0),0,($AY77*Templates!$F$27/$BE77+$AZ77*Templates!$F$28/$BF77+$BA77*Templates!$F$29/$BG77+$BB77*Templates!$F$30/$BH77+$BC77*Templates!$F$31/$BI77)/Templates!$B$21)</f>
        <v/>
      </c>
      <c r="BO77" s="18">
        <f>IF(OR($A77="",$BD77=0),0,($AY77*Templates!$G$27/$BE77+$AZ77*Templates!$G$28/$BF77+$BA77*Templates!$G$29/$BG77+$BB77*Templates!$G$30/$BH77+$BC77*Templates!$G$31/$BI77)/Templates!$B$22)</f>
        <v/>
      </c>
      <c r="BP77" s="18">
        <f>IF(OR($A77="",$BD77=0),0,($AY77*Templates!$H$27/$BE77+$AZ77*Templates!$H$28/$BF77+$BA77*Templates!$H$29/$BG77+$BB77*Templates!$H$30/$BH77+$BC77*Templates!$H$31/$BI77)/Templates!$B$23)</f>
        <v/>
      </c>
    </row>
    <row r="78">
      <c r="A78" s="28" t="inlineStr">
        <is>
          <t>Geneseo_1</t>
        </is>
      </c>
      <c r="B78" s="20" t="inlineStr">
        <is>
          <t>CVC Capital Partners : DIF Capital Partners : Joink</t>
        </is>
      </c>
      <c r="C78" s="28" t="inlineStr">
        <is>
          <t>CVC Capital Partners</t>
        </is>
      </c>
      <c r="D78" s="28" t="inlineStr">
        <is>
          <t>Joink</t>
        </is>
      </c>
      <c r="E78" s="28" t="inlineStr">
        <is>
          <t>No</t>
        </is>
      </c>
      <c r="F78" s="28" t="inlineStr">
        <is>
          <t>Active</t>
        </is>
      </c>
      <c r="G78" s="38" t="n"/>
      <c r="H78" s="29" t="n">
        <v>1</v>
      </c>
      <c r="I78" s="39" t="n"/>
      <c r="J78" s="39" t="n"/>
      <c r="K78" s="31" t="n"/>
      <c r="L78" s="31" t="n"/>
      <c r="M78" s="31" t="n"/>
      <c r="N78" s="31" t="n"/>
      <c r="O78" s="31" t="n"/>
      <c r="P78" s="31" t="n"/>
      <c r="Q78" s="23">
        <f>IF($A78="","",COUNTIFS(Assignments!$C$2:$C$769,$A78,Assignments!$G$2:$G$769,"Active"))</f>
        <v/>
      </c>
      <c r="R78" s="32">
        <f>IF($A78="","",SUMIFS(Assignments!$I$2:$I$769,Assignments!$C$2:$C$769,$A78,Assignments!$G$2:$G$769,"Active"))</f>
        <v/>
      </c>
      <c r="S78" s="20" t="inlineStr">
        <is>
          <t>WIP</t>
        </is>
      </c>
      <c r="T78" s="31" t="n"/>
      <c r="U78" s="38" t="n"/>
      <c r="V78" s="34">
        <f>IF($U78="","",IFERROR(INDEX(Templates!$K$3:$K$10,MATCH($U78,Templates!$A$3:$A$10,0)),""))</f>
        <v/>
      </c>
      <c r="W78" s="34">
        <f>IF($U78="","",IFERROR(INDEX(Templates!$L$3:$L$10,MATCH($U78,Templates!$A$3:$A$10,0)),""))</f>
        <v/>
      </c>
      <c r="X78" s="21">
        <f>IF($U78="","",IFERROR(INDEX(Templates!$J$3:$J$10,MATCH($U78,Templates!$A$3:$A$10,0)),""))</f>
        <v/>
      </c>
      <c r="Y78" s="35">
        <f>IF(OR($U78="",$I78="",$J78="",$X78=""),"",$I78+$X78*($J78-$I78))</f>
        <v/>
      </c>
      <c r="Z78" s="30" t="n">
        <v>46212</v>
      </c>
      <c r="AA78" s="40" t="n"/>
      <c r="AB78" s="41" t="n"/>
      <c r="AC78" s="41" t="n"/>
      <c r="AD78" s="19">
        <f>IF($A78="","",IF($AA78="",$H78,$AA78))</f>
        <v/>
      </c>
      <c r="AE78" s="35">
        <f>IF($A78="","",IF($AB78="",$I78,$AB78))</f>
        <v/>
      </c>
      <c r="AF78" s="35">
        <f>IF($A78="","",IF($AC78="",$J78,$AC78))</f>
        <v/>
      </c>
      <c r="AG78" s="35">
        <f>IF(OR($U78="",$AE78="",$AF78="",$X78=""),"",$AE78+$X78*($AF78-$AE78))</f>
        <v/>
      </c>
      <c r="AH78" s="38" t="n"/>
      <c r="AI78" s="38" t="n"/>
      <c r="AJ78" s="38" t="n"/>
      <c r="AK78" s="38" t="n"/>
      <c r="AL78" s="38" t="n"/>
      <c r="AM78" s="38" t="n"/>
      <c r="AN78" s="38" t="n"/>
      <c r="AO78" s="38" t="n"/>
      <c r="AP78" s="38" t="n"/>
      <c r="AQ78" s="38" t="n"/>
      <c r="AR78" s="38" t="n"/>
      <c r="AS78" s="38" t="n"/>
      <c r="AT78" s="38" t="n"/>
      <c r="AU78" s="38" t="n"/>
      <c r="AV78" s="38" t="n"/>
      <c r="AW78" s="38" t="n"/>
      <c r="AX78" s="38" t="n"/>
      <c r="AY78" s="42" t="n"/>
      <c r="AZ78" s="42" t="n"/>
      <c r="BA78" s="42" t="n"/>
      <c r="BB78" s="42" t="n"/>
      <c r="BC78" s="42" t="n"/>
      <c r="BD78" s="37">
        <f>IF($A78="","",SUM($AY78:$BC78))</f>
        <v/>
      </c>
      <c r="BE78" s="18">
        <f>IF($A78="","",IF(AND($I78&lt;&gt;"",$J78&lt;&gt;""),MAX(1,($J78-$I78)/7),Templates!$B$35))</f>
        <v/>
      </c>
      <c r="BF78" s="18">
        <f>IF($A78="","",IF(AND($I78&lt;&gt;"",$J78&lt;&gt;""),MAX(1,($J78-$I78)/7),Templates!$B$36))</f>
        <v/>
      </c>
      <c r="BG78" s="18">
        <f>IF($A78="","",IF(AND($I78&lt;&gt;"",$J78&lt;&gt;""),MAX(1,($J78-$I78)/7),Templates!$B$37))</f>
        <v/>
      </c>
      <c r="BH78" s="18">
        <f>IF($A78="","",IF(AND($I78&lt;&gt;"",$J78&lt;&gt;""),MAX(1,($J78-$I78)/7),Templates!$B$38))</f>
        <v/>
      </c>
      <c r="BI78" s="18">
        <f>IF($A78="","",IF(AND($I78&lt;&gt;"",$J78&lt;&gt;""),MAX(1,($J78-$I78)/7),Templates!$B$39))</f>
        <v/>
      </c>
      <c r="BJ78" s="18">
        <f>IF(OR($A78="",$BD78=0),0,($AY78*Templates!$B$27/$BE78+$AZ78*Templates!$B$28/$BF78+$BA78*Templates!$B$29/$BG78+$BB78*Templates!$B$30/$BH78+$BC78*Templates!$B$31/$BI78)/Templates!$B$17)</f>
        <v/>
      </c>
      <c r="BK78" s="18">
        <f>IF(OR($A78="",$BD78=0),0,($AY78*Templates!$C$27/$BE78+$AZ78*Templates!$C$28/$BF78+$BA78*Templates!$C$29/$BG78+$BB78*Templates!$C$30/$BH78+$BC78*Templates!$C$31/$BI78)/Templates!$B$18)</f>
        <v/>
      </c>
      <c r="BL78" s="18">
        <f>IF(OR($A78="",$BD78=0),0,($AY78*Templates!$D$27/$BE78+$AZ78*Templates!$D$28/$BF78+$BA78*Templates!$D$29/$BG78+$BB78*Templates!$D$30/$BH78+$BC78*Templates!$D$31/$BI78)/Templates!$B$19)</f>
        <v/>
      </c>
      <c r="BM78" s="18">
        <f>IF(OR($A78="",$BD78=0),0,($AY78*Templates!$E$27/$BE78+$AZ78*Templates!$E$28/$BF78+$BA78*Templates!$E$29/$BG78+$BB78*Templates!$E$30/$BH78+$BC78*Templates!$E$31/$BI78)/Templates!$B$20)</f>
        <v/>
      </c>
      <c r="BN78" s="18">
        <f>IF(OR($A78="",$BD78=0),0,($AY78*Templates!$F$27/$BE78+$AZ78*Templates!$F$28/$BF78+$BA78*Templates!$F$29/$BG78+$BB78*Templates!$F$30/$BH78+$BC78*Templates!$F$31/$BI78)/Templates!$B$21)</f>
        <v/>
      </c>
      <c r="BO78" s="18">
        <f>IF(OR($A78="",$BD78=0),0,($AY78*Templates!$G$27/$BE78+$AZ78*Templates!$G$28/$BF78+$BA78*Templates!$G$29/$BG78+$BB78*Templates!$G$30/$BH78+$BC78*Templates!$G$31/$BI78)/Templates!$B$22)</f>
        <v/>
      </c>
      <c r="BP78" s="18">
        <f>IF(OR($A78="",$BD78=0),0,($AY78*Templates!$H$27/$BE78+$AZ78*Templates!$H$28/$BF78+$BA78*Templates!$H$29/$BG78+$BB78*Templates!$H$30/$BH78+$BC78*Templates!$H$31/$BI78)/Templates!$B$23)</f>
        <v/>
      </c>
    </row>
    <row r="79">
      <c r="A79" s="28" t="inlineStr">
        <is>
          <t>Genesis_6</t>
        </is>
      </c>
      <c r="B79" s="20" t="inlineStr">
        <is>
          <t>Sumitomo Corporation of Americas</t>
        </is>
      </c>
      <c r="C79" s="28" t="inlineStr">
        <is>
          <t>Sumitomo Corporation of Americas</t>
        </is>
      </c>
      <c r="D79" s="28" t="inlineStr"/>
      <c r="E79" s="28" t="inlineStr">
        <is>
          <t>No</t>
        </is>
      </c>
      <c r="F79" s="28" t="inlineStr">
        <is>
          <t>Active</t>
        </is>
      </c>
      <c r="G79" s="38" t="n"/>
      <c r="H79" s="29" t="n">
        <v>1</v>
      </c>
      <c r="I79" s="39" t="n"/>
      <c r="J79" s="39" t="n"/>
      <c r="K79" s="31" t="n"/>
      <c r="L79" s="31" t="n"/>
      <c r="M79" s="31" t="n"/>
      <c r="N79" s="31" t="n"/>
      <c r="O79" s="31" t="n"/>
      <c r="P79" s="31" t="n"/>
      <c r="Q79" s="23">
        <f>IF($A79="","",COUNTIFS(Assignments!$C$2:$C$769,$A79,Assignments!$G$2:$G$769,"Active"))</f>
        <v/>
      </c>
      <c r="R79" s="32">
        <f>IF($A79="","",SUMIFS(Assignments!$I$2:$I$769,Assignments!$C$2:$C$769,$A79,Assignments!$G$2:$G$769,"Active"))</f>
        <v/>
      </c>
      <c r="S79" s="20" t="inlineStr">
        <is>
          <t>WIP</t>
        </is>
      </c>
      <c r="T79" s="31" t="n"/>
      <c r="U79" s="38" t="n"/>
      <c r="V79" s="34">
        <f>IF($U79="","",IFERROR(INDEX(Templates!$K$3:$K$10,MATCH($U79,Templates!$A$3:$A$10,0)),""))</f>
        <v/>
      </c>
      <c r="W79" s="34">
        <f>IF($U79="","",IFERROR(INDEX(Templates!$L$3:$L$10,MATCH($U79,Templates!$A$3:$A$10,0)),""))</f>
        <v/>
      </c>
      <c r="X79" s="21">
        <f>IF($U79="","",IFERROR(INDEX(Templates!$J$3:$J$10,MATCH($U79,Templates!$A$3:$A$10,0)),""))</f>
        <v/>
      </c>
      <c r="Y79" s="35">
        <f>IF(OR($U79="",$I79="",$J79="",$X79=""),"",$I79+$X79*($J79-$I79))</f>
        <v/>
      </c>
      <c r="Z79" s="30" t="n">
        <v>46212</v>
      </c>
      <c r="AA79" s="40" t="n"/>
      <c r="AB79" s="41" t="n"/>
      <c r="AC79" s="41" t="n"/>
      <c r="AD79" s="19">
        <f>IF($A79="","",IF($AA79="",$H79,$AA79))</f>
        <v/>
      </c>
      <c r="AE79" s="35">
        <f>IF($A79="","",IF($AB79="",$I79,$AB79))</f>
        <v/>
      </c>
      <c r="AF79" s="35">
        <f>IF($A79="","",IF($AC79="",$J79,$AC79))</f>
        <v/>
      </c>
      <c r="AG79" s="35">
        <f>IF(OR($U79="",$AE79="",$AF79="",$X79=""),"",$AE79+$X79*($AF79-$AE79))</f>
        <v/>
      </c>
      <c r="AH79" s="38" t="n"/>
      <c r="AI79" s="38" t="n"/>
      <c r="AJ79" s="38" t="n"/>
      <c r="AK79" s="38" t="n"/>
      <c r="AL79" s="38" t="n"/>
      <c r="AM79" s="38" t="n"/>
      <c r="AN79" s="38" t="n"/>
      <c r="AO79" s="38" t="n"/>
      <c r="AP79" s="38" t="n"/>
      <c r="AQ79" s="38" t="n"/>
      <c r="AR79" s="38" t="n"/>
      <c r="AS79" s="38" t="n"/>
      <c r="AT79" s="38" t="n"/>
      <c r="AU79" s="38" t="n"/>
      <c r="AV79" s="38" t="n"/>
      <c r="AW79" s="38" t="n"/>
      <c r="AX79" s="38" t="n"/>
      <c r="AY79" s="42" t="n"/>
      <c r="AZ79" s="42" t="n"/>
      <c r="BA79" s="42" t="n"/>
      <c r="BB79" s="42" t="n"/>
      <c r="BC79" s="42" t="n"/>
      <c r="BD79" s="37">
        <f>IF($A79="","",SUM($AY79:$BC79))</f>
        <v/>
      </c>
      <c r="BE79" s="18">
        <f>IF($A79="","",IF(AND($I79&lt;&gt;"",$J79&lt;&gt;""),MAX(1,($J79-$I79)/7),Templates!$B$35))</f>
        <v/>
      </c>
      <c r="BF79" s="18">
        <f>IF($A79="","",IF(AND($I79&lt;&gt;"",$J79&lt;&gt;""),MAX(1,($J79-$I79)/7),Templates!$B$36))</f>
        <v/>
      </c>
      <c r="BG79" s="18">
        <f>IF($A79="","",IF(AND($I79&lt;&gt;"",$J79&lt;&gt;""),MAX(1,($J79-$I79)/7),Templates!$B$37))</f>
        <v/>
      </c>
      <c r="BH79" s="18">
        <f>IF($A79="","",IF(AND($I79&lt;&gt;"",$J79&lt;&gt;""),MAX(1,($J79-$I79)/7),Templates!$B$38))</f>
        <v/>
      </c>
      <c r="BI79" s="18">
        <f>IF($A79="","",IF(AND($I79&lt;&gt;"",$J79&lt;&gt;""),MAX(1,($J79-$I79)/7),Templates!$B$39))</f>
        <v/>
      </c>
      <c r="BJ79" s="18">
        <f>IF(OR($A79="",$BD79=0),0,($AY79*Templates!$B$27/$BE79+$AZ79*Templates!$B$28/$BF79+$BA79*Templates!$B$29/$BG79+$BB79*Templates!$B$30/$BH79+$BC79*Templates!$B$31/$BI79)/Templates!$B$17)</f>
        <v/>
      </c>
      <c r="BK79" s="18">
        <f>IF(OR($A79="",$BD79=0),0,($AY79*Templates!$C$27/$BE79+$AZ79*Templates!$C$28/$BF79+$BA79*Templates!$C$29/$BG79+$BB79*Templates!$C$30/$BH79+$BC79*Templates!$C$31/$BI79)/Templates!$B$18)</f>
        <v/>
      </c>
      <c r="BL79" s="18">
        <f>IF(OR($A79="",$BD79=0),0,($AY79*Templates!$D$27/$BE79+$AZ79*Templates!$D$28/$BF79+$BA79*Templates!$D$29/$BG79+$BB79*Templates!$D$30/$BH79+$BC79*Templates!$D$31/$BI79)/Templates!$B$19)</f>
        <v/>
      </c>
      <c r="BM79" s="18">
        <f>IF(OR($A79="",$BD79=0),0,($AY79*Templates!$E$27/$BE79+$AZ79*Templates!$E$28/$BF79+$BA79*Templates!$E$29/$BG79+$BB79*Templates!$E$30/$BH79+$BC79*Templates!$E$31/$BI79)/Templates!$B$20)</f>
        <v/>
      </c>
      <c r="BN79" s="18">
        <f>IF(OR($A79="",$BD79=0),0,($AY79*Templates!$F$27/$BE79+$AZ79*Templates!$F$28/$BF79+$BA79*Templates!$F$29/$BG79+$BB79*Templates!$F$30/$BH79+$BC79*Templates!$F$31/$BI79)/Templates!$B$21)</f>
        <v/>
      </c>
      <c r="BO79" s="18">
        <f>IF(OR($A79="",$BD79=0),0,($AY79*Templates!$G$27/$BE79+$AZ79*Templates!$G$28/$BF79+$BA79*Templates!$G$29/$BG79+$BB79*Templates!$G$30/$BH79+$BC79*Templates!$G$31/$BI79)/Templates!$B$22)</f>
        <v/>
      </c>
      <c r="BP79" s="18">
        <f>IF(OR($A79="",$BD79=0),0,($AY79*Templates!$H$27/$BE79+$AZ79*Templates!$H$28/$BF79+$BA79*Templates!$H$29/$BG79+$BB79*Templates!$H$30/$BH79+$BC79*Templates!$H$31/$BI79)/Templates!$B$23)</f>
        <v/>
      </c>
    </row>
    <row r="80">
      <c r="A80" s="28" t="inlineStr">
        <is>
          <t>Georgia_3</t>
        </is>
      </c>
      <c r="B80" s="20" t="inlineStr">
        <is>
          <t>Ares Management Corporation</t>
        </is>
      </c>
      <c r="C80" s="28" t="inlineStr">
        <is>
          <t>Ares Management Corporation</t>
        </is>
      </c>
      <c r="D80" s="28" t="inlineStr"/>
      <c r="E80" s="28" t="inlineStr">
        <is>
          <t>No</t>
        </is>
      </c>
      <c r="F80" s="28" t="inlineStr">
        <is>
          <t>Active</t>
        </is>
      </c>
      <c r="G80" s="38" t="n"/>
      <c r="H80" s="29" t="n">
        <v>1</v>
      </c>
      <c r="I80" s="39" t="n"/>
      <c r="J80" s="39" t="n"/>
      <c r="K80" s="31" t="n"/>
      <c r="L80" s="31" t="n"/>
      <c r="M80" s="31" t="n"/>
      <c r="N80" s="31" t="n"/>
      <c r="O80" s="31" t="n"/>
      <c r="P80" s="31" t="n"/>
      <c r="Q80" s="23">
        <f>IF($A80="","",COUNTIFS(Assignments!$C$2:$C$769,$A80,Assignments!$G$2:$G$769,"Active"))</f>
        <v/>
      </c>
      <c r="R80" s="32">
        <f>IF($A80="","",SUMIFS(Assignments!$I$2:$I$769,Assignments!$C$2:$C$769,$A80,Assignments!$G$2:$G$769,"Active"))</f>
        <v/>
      </c>
      <c r="S80" s="20" t="inlineStr">
        <is>
          <t>WIP</t>
        </is>
      </c>
      <c r="T80" s="31" t="n"/>
      <c r="U80" s="38" t="n"/>
      <c r="V80" s="34">
        <f>IF($U80="","",IFERROR(INDEX(Templates!$K$3:$K$10,MATCH($U80,Templates!$A$3:$A$10,0)),""))</f>
        <v/>
      </c>
      <c r="W80" s="34">
        <f>IF($U80="","",IFERROR(INDEX(Templates!$L$3:$L$10,MATCH($U80,Templates!$A$3:$A$10,0)),""))</f>
        <v/>
      </c>
      <c r="X80" s="21">
        <f>IF($U80="","",IFERROR(INDEX(Templates!$J$3:$J$10,MATCH($U80,Templates!$A$3:$A$10,0)),""))</f>
        <v/>
      </c>
      <c r="Y80" s="35">
        <f>IF(OR($U80="",$I80="",$J80="",$X80=""),"",$I80+$X80*($J80-$I80))</f>
        <v/>
      </c>
      <c r="Z80" s="30" t="n">
        <v>46212</v>
      </c>
      <c r="AA80" s="40" t="n"/>
      <c r="AB80" s="41" t="n"/>
      <c r="AC80" s="41" t="n"/>
      <c r="AD80" s="19">
        <f>IF($A80="","",IF($AA80="",$H80,$AA80))</f>
        <v/>
      </c>
      <c r="AE80" s="35">
        <f>IF($A80="","",IF($AB80="",$I80,$AB80))</f>
        <v/>
      </c>
      <c r="AF80" s="35">
        <f>IF($A80="","",IF($AC80="",$J80,$AC80))</f>
        <v/>
      </c>
      <c r="AG80" s="35">
        <f>IF(OR($U80="",$AE80="",$AF80="",$X80=""),"",$AE80+$X80*($AF80-$AE80))</f>
        <v/>
      </c>
      <c r="AH80" s="38" t="n"/>
      <c r="AI80" s="38" t="n"/>
      <c r="AJ80" s="38" t="n"/>
      <c r="AK80" s="38" t="n"/>
      <c r="AL80" s="38" t="n"/>
      <c r="AM80" s="38" t="n"/>
      <c r="AN80" s="38" t="n"/>
      <c r="AO80" s="38" t="n"/>
      <c r="AP80" s="38" t="n"/>
      <c r="AQ80" s="38" t="n"/>
      <c r="AR80" s="38" t="n"/>
      <c r="AS80" s="38" t="n"/>
      <c r="AT80" s="38" t="n"/>
      <c r="AU80" s="38" t="n"/>
      <c r="AV80" s="38" t="n"/>
      <c r="AW80" s="38" t="n"/>
      <c r="AX80" s="38" t="n"/>
      <c r="AY80" s="42" t="n"/>
      <c r="AZ80" s="42" t="n"/>
      <c r="BA80" s="42" t="n"/>
      <c r="BB80" s="42" t="n"/>
      <c r="BC80" s="42" t="n"/>
      <c r="BD80" s="37">
        <f>IF($A80="","",SUM($AY80:$BC80))</f>
        <v/>
      </c>
      <c r="BE80" s="18">
        <f>IF($A80="","",IF(AND($I80&lt;&gt;"",$J80&lt;&gt;""),MAX(1,($J80-$I80)/7),Templates!$B$35))</f>
        <v/>
      </c>
      <c r="BF80" s="18">
        <f>IF($A80="","",IF(AND($I80&lt;&gt;"",$J80&lt;&gt;""),MAX(1,($J80-$I80)/7),Templates!$B$36))</f>
        <v/>
      </c>
      <c r="BG80" s="18">
        <f>IF($A80="","",IF(AND($I80&lt;&gt;"",$J80&lt;&gt;""),MAX(1,($J80-$I80)/7),Templates!$B$37))</f>
        <v/>
      </c>
      <c r="BH80" s="18">
        <f>IF($A80="","",IF(AND($I80&lt;&gt;"",$J80&lt;&gt;""),MAX(1,($J80-$I80)/7),Templates!$B$38))</f>
        <v/>
      </c>
      <c r="BI80" s="18">
        <f>IF($A80="","",IF(AND($I80&lt;&gt;"",$J80&lt;&gt;""),MAX(1,($J80-$I80)/7),Templates!$B$39))</f>
        <v/>
      </c>
      <c r="BJ80" s="18">
        <f>IF(OR($A80="",$BD80=0),0,($AY80*Templates!$B$27/$BE80+$AZ80*Templates!$B$28/$BF80+$BA80*Templates!$B$29/$BG80+$BB80*Templates!$B$30/$BH80+$BC80*Templates!$B$31/$BI80)/Templates!$B$17)</f>
        <v/>
      </c>
      <c r="BK80" s="18">
        <f>IF(OR($A80="",$BD80=0),0,($AY80*Templates!$C$27/$BE80+$AZ80*Templates!$C$28/$BF80+$BA80*Templates!$C$29/$BG80+$BB80*Templates!$C$30/$BH80+$BC80*Templates!$C$31/$BI80)/Templates!$B$18)</f>
        <v/>
      </c>
      <c r="BL80" s="18">
        <f>IF(OR($A80="",$BD80=0),0,($AY80*Templates!$D$27/$BE80+$AZ80*Templates!$D$28/$BF80+$BA80*Templates!$D$29/$BG80+$BB80*Templates!$D$30/$BH80+$BC80*Templates!$D$31/$BI80)/Templates!$B$19)</f>
        <v/>
      </c>
      <c r="BM80" s="18">
        <f>IF(OR($A80="",$BD80=0),0,($AY80*Templates!$E$27/$BE80+$AZ80*Templates!$E$28/$BF80+$BA80*Templates!$E$29/$BG80+$BB80*Templates!$E$30/$BH80+$BC80*Templates!$E$31/$BI80)/Templates!$B$20)</f>
        <v/>
      </c>
      <c r="BN80" s="18">
        <f>IF(OR($A80="",$BD80=0),0,($AY80*Templates!$F$27/$BE80+$AZ80*Templates!$F$28/$BF80+$BA80*Templates!$F$29/$BG80+$BB80*Templates!$F$30/$BH80+$BC80*Templates!$F$31/$BI80)/Templates!$B$21)</f>
        <v/>
      </c>
      <c r="BO80" s="18">
        <f>IF(OR($A80="",$BD80=0),0,($AY80*Templates!$G$27/$BE80+$AZ80*Templates!$G$28/$BF80+$BA80*Templates!$G$29/$BG80+$BB80*Templates!$G$30/$BH80+$BC80*Templates!$G$31/$BI80)/Templates!$B$22)</f>
        <v/>
      </c>
      <c r="BP80" s="18">
        <f>IF(OR($A80="",$BD80=0),0,($AY80*Templates!$H$27/$BE80+$AZ80*Templates!$H$28/$BF80+$BA80*Templates!$H$29/$BG80+$BB80*Templates!$H$30/$BH80+$BC80*Templates!$H$31/$BI80)/Templates!$B$23)</f>
        <v/>
      </c>
    </row>
    <row r="81">
      <c r="A81" s="28" t="inlineStr">
        <is>
          <t>Gonzaga_2</t>
        </is>
      </c>
      <c r="B81" s="20" t="inlineStr">
        <is>
          <t>Ethos Specialty Insurance Services</t>
        </is>
      </c>
      <c r="C81" s="28" t="inlineStr">
        <is>
          <t>Ethos Specialty Insurance Services</t>
        </is>
      </c>
      <c r="D81" s="28" t="inlineStr"/>
      <c r="E81" s="28" t="inlineStr">
        <is>
          <t>No</t>
        </is>
      </c>
      <c r="F81" s="28" t="inlineStr">
        <is>
          <t>Active</t>
        </is>
      </c>
      <c r="G81" s="38" t="n"/>
      <c r="H81" s="29" t="n">
        <v>1</v>
      </c>
      <c r="I81" s="39" t="n"/>
      <c r="J81" s="39" t="n"/>
      <c r="K81" s="31" t="n"/>
      <c r="L81" s="31" t="n"/>
      <c r="M81" s="31" t="n"/>
      <c r="N81" s="31" t="n"/>
      <c r="O81" s="31" t="n"/>
      <c r="P81" s="31" t="n"/>
      <c r="Q81" s="23">
        <f>IF($A81="","",COUNTIFS(Assignments!$C$2:$C$769,$A81,Assignments!$G$2:$G$769,"Active"))</f>
        <v/>
      </c>
      <c r="R81" s="32">
        <f>IF($A81="","",SUMIFS(Assignments!$I$2:$I$769,Assignments!$C$2:$C$769,$A81,Assignments!$G$2:$G$769,"Active"))</f>
        <v/>
      </c>
      <c r="S81" s="20" t="inlineStr">
        <is>
          <t>WIP</t>
        </is>
      </c>
      <c r="T81" s="31" t="n"/>
      <c r="U81" s="38" t="n"/>
      <c r="V81" s="34">
        <f>IF($U81="","",IFERROR(INDEX(Templates!$K$3:$K$10,MATCH($U81,Templates!$A$3:$A$10,0)),""))</f>
        <v/>
      </c>
      <c r="W81" s="34">
        <f>IF($U81="","",IFERROR(INDEX(Templates!$L$3:$L$10,MATCH($U81,Templates!$A$3:$A$10,0)),""))</f>
        <v/>
      </c>
      <c r="X81" s="21">
        <f>IF($U81="","",IFERROR(INDEX(Templates!$J$3:$J$10,MATCH($U81,Templates!$A$3:$A$10,0)),""))</f>
        <v/>
      </c>
      <c r="Y81" s="35">
        <f>IF(OR($U81="",$I81="",$J81="",$X81=""),"",$I81+$X81*($J81-$I81))</f>
        <v/>
      </c>
      <c r="Z81" s="30" t="n">
        <v>46212</v>
      </c>
      <c r="AA81" s="40" t="n"/>
      <c r="AB81" s="41" t="n"/>
      <c r="AC81" s="41" t="n"/>
      <c r="AD81" s="19">
        <f>IF($A81="","",IF($AA81="",$H81,$AA81))</f>
        <v/>
      </c>
      <c r="AE81" s="35">
        <f>IF($A81="","",IF($AB81="",$I81,$AB81))</f>
        <v/>
      </c>
      <c r="AF81" s="35">
        <f>IF($A81="","",IF($AC81="",$J81,$AC81))</f>
        <v/>
      </c>
      <c r="AG81" s="35">
        <f>IF(OR($U81="",$AE81="",$AF81="",$X81=""),"",$AE81+$X81*($AF81-$AE81))</f>
        <v/>
      </c>
      <c r="AH81" s="38" t="n"/>
      <c r="AI81" s="38" t="n"/>
      <c r="AJ81" s="38" t="n"/>
      <c r="AK81" s="38" t="n"/>
      <c r="AL81" s="38" t="n"/>
      <c r="AM81" s="38" t="n"/>
      <c r="AN81" s="38" t="n"/>
      <c r="AO81" s="38" t="n"/>
      <c r="AP81" s="38" t="n"/>
      <c r="AQ81" s="38" t="n"/>
      <c r="AR81" s="38" t="n"/>
      <c r="AS81" s="38" t="n"/>
      <c r="AT81" s="38" t="n"/>
      <c r="AU81" s="38" t="n"/>
      <c r="AV81" s="38" t="n"/>
      <c r="AW81" s="38" t="n"/>
      <c r="AX81" s="38" t="n"/>
      <c r="AY81" s="42" t="n"/>
      <c r="AZ81" s="42" t="n"/>
      <c r="BA81" s="42" t="n"/>
      <c r="BB81" s="42" t="n"/>
      <c r="BC81" s="42" t="n"/>
      <c r="BD81" s="37">
        <f>IF($A81="","",SUM($AY81:$BC81))</f>
        <v/>
      </c>
      <c r="BE81" s="18">
        <f>IF($A81="","",IF(AND($I81&lt;&gt;"",$J81&lt;&gt;""),MAX(1,($J81-$I81)/7),Templates!$B$35))</f>
        <v/>
      </c>
      <c r="BF81" s="18">
        <f>IF($A81="","",IF(AND($I81&lt;&gt;"",$J81&lt;&gt;""),MAX(1,($J81-$I81)/7),Templates!$B$36))</f>
        <v/>
      </c>
      <c r="BG81" s="18">
        <f>IF($A81="","",IF(AND($I81&lt;&gt;"",$J81&lt;&gt;""),MAX(1,($J81-$I81)/7),Templates!$B$37))</f>
        <v/>
      </c>
      <c r="BH81" s="18">
        <f>IF($A81="","",IF(AND($I81&lt;&gt;"",$J81&lt;&gt;""),MAX(1,($J81-$I81)/7),Templates!$B$38))</f>
        <v/>
      </c>
      <c r="BI81" s="18">
        <f>IF($A81="","",IF(AND($I81&lt;&gt;"",$J81&lt;&gt;""),MAX(1,($J81-$I81)/7),Templates!$B$39))</f>
        <v/>
      </c>
      <c r="BJ81" s="18">
        <f>IF(OR($A81="",$BD81=0),0,($AY81*Templates!$B$27/$BE81+$AZ81*Templates!$B$28/$BF81+$BA81*Templates!$B$29/$BG81+$BB81*Templates!$B$30/$BH81+$BC81*Templates!$B$31/$BI81)/Templates!$B$17)</f>
        <v/>
      </c>
      <c r="BK81" s="18">
        <f>IF(OR($A81="",$BD81=0),0,($AY81*Templates!$C$27/$BE81+$AZ81*Templates!$C$28/$BF81+$BA81*Templates!$C$29/$BG81+$BB81*Templates!$C$30/$BH81+$BC81*Templates!$C$31/$BI81)/Templates!$B$18)</f>
        <v/>
      </c>
      <c r="BL81" s="18">
        <f>IF(OR($A81="",$BD81=0),0,($AY81*Templates!$D$27/$BE81+$AZ81*Templates!$D$28/$BF81+$BA81*Templates!$D$29/$BG81+$BB81*Templates!$D$30/$BH81+$BC81*Templates!$D$31/$BI81)/Templates!$B$19)</f>
        <v/>
      </c>
      <c r="BM81" s="18">
        <f>IF(OR($A81="",$BD81=0),0,($AY81*Templates!$E$27/$BE81+$AZ81*Templates!$E$28/$BF81+$BA81*Templates!$E$29/$BG81+$BB81*Templates!$E$30/$BH81+$BC81*Templates!$E$31/$BI81)/Templates!$B$20)</f>
        <v/>
      </c>
      <c r="BN81" s="18">
        <f>IF(OR($A81="",$BD81=0),0,($AY81*Templates!$F$27/$BE81+$AZ81*Templates!$F$28/$BF81+$BA81*Templates!$F$29/$BG81+$BB81*Templates!$F$30/$BH81+$BC81*Templates!$F$31/$BI81)/Templates!$B$21)</f>
        <v/>
      </c>
      <c r="BO81" s="18">
        <f>IF(OR($A81="",$BD81=0),0,($AY81*Templates!$G$27/$BE81+$AZ81*Templates!$G$28/$BF81+$BA81*Templates!$G$29/$BG81+$BB81*Templates!$G$30/$BH81+$BC81*Templates!$G$31/$BI81)/Templates!$B$22)</f>
        <v/>
      </c>
      <c r="BP81" s="18">
        <f>IF(OR($A81="",$BD81=0),0,($AY81*Templates!$H$27/$BE81+$AZ81*Templates!$H$28/$BF81+$BA81*Templates!$H$29/$BG81+$BB81*Templates!$H$30/$BH81+$BC81*Templates!$H$31/$BI81)/Templates!$B$23)</f>
        <v/>
      </c>
    </row>
    <row r="82">
      <c r="A82" s="28" t="inlineStr">
        <is>
          <t>Goose_1</t>
        </is>
      </c>
      <c r="B82" s="20" t="inlineStr">
        <is>
          <t>CVC Capital Partners : DIF Capital Partners : DIF Infra 8 Canada Holdco 1 ULC</t>
        </is>
      </c>
      <c r="C82" s="28" t="inlineStr">
        <is>
          <t>CVC Capital Partners</t>
        </is>
      </c>
      <c r="D82" s="28" t="inlineStr">
        <is>
          <t>DIF Infra 8 Canada Holdco 1 ULC</t>
        </is>
      </c>
      <c r="E82" s="28" t="inlineStr">
        <is>
          <t>No</t>
        </is>
      </c>
      <c r="F82" s="28" t="inlineStr">
        <is>
          <t>Active</t>
        </is>
      </c>
      <c r="G82" s="38" t="n"/>
      <c r="H82" s="29" t="n">
        <v>1</v>
      </c>
      <c r="I82" s="39" t="n"/>
      <c r="J82" s="39" t="n"/>
      <c r="K82" s="31" t="n"/>
      <c r="L82" s="31" t="n"/>
      <c r="M82" s="31" t="n"/>
      <c r="N82" s="31" t="n"/>
      <c r="O82" s="31" t="n"/>
      <c r="P82" s="31" t="n"/>
      <c r="Q82" s="23">
        <f>IF($A82="","",COUNTIFS(Assignments!$C$2:$C$769,$A82,Assignments!$G$2:$G$769,"Active"))</f>
        <v/>
      </c>
      <c r="R82" s="32">
        <f>IF($A82="","",SUMIFS(Assignments!$I$2:$I$769,Assignments!$C$2:$C$769,$A82,Assignments!$G$2:$G$769,"Active"))</f>
        <v/>
      </c>
      <c r="S82" s="20" t="inlineStr">
        <is>
          <t>WIP</t>
        </is>
      </c>
      <c r="T82" s="31" t="n"/>
      <c r="U82" s="38" t="n"/>
      <c r="V82" s="34">
        <f>IF($U82="","",IFERROR(INDEX(Templates!$K$3:$K$10,MATCH($U82,Templates!$A$3:$A$10,0)),""))</f>
        <v/>
      </c>
      <c r="W82" s="34">
        <f>IF($U82="","",IFERROR(INDEX(Templates!$L$3:$L$10,MATCH($U82,Templates!$A$3:$A$10,0)),""))</f>
        <v/>
      </c>
      <c r="X82" s="21">
        <f>IF($U82="","",IFERROR(INDEX(Templates!$J$3:$J$10,MATCH($U82,Templates!$A$3:$A$10,0)),""))</f>
        <v/>
      </c>
      <c r="Y82" s="35">
        <f>IF(OR($U82="",$I82="",$J82="",$X82=""),"",$I82+$X82*($J82-$I82))</f>
        <v/>
      </c>
      <c r="Z82" s="30" t="n">
        <v>46212</v>
      </c>
      <c r="AA82" s="40" t="n"/>
      <c r="AB82" s="41" t="n"/>
      <c r="AC82" s="41" t="n"/>
      <c r="AD82" s="19">
        <f>IF($A82="","",IF($AA82="",$H82,$AA82))</f>
        <v/>
      </c>
      <c r="AE82" s="35">
        <f>IF($A82="","",IF($AB82="",$I82,$AB82))</f>
        <v/>
      </c>
      <c r="AF82" s="35">
        <f>IF($A82="","",IF($AC82="",$J82,$AC82))</f>
        <v/>
      </c>
      <c r="AG82" s="35">
        <f>IF(OR($U82="",$AE82="",$AF82="",$X82=""),"",$AE82+$X82*($AF82-$AE82))</f>
        <v/>
      </c>
      <c r="AH82" s="38" t="n"/>
      <c r="AI82" s="38" t="n"/>
      <c r="AJ82" s="38" t="n"/>
      <c r="AK82" s="38" t="n"/>
      <c r="AL82" s="38" t="n"/>
      <c r="AM82" s="38" t="n"/>
      <c r="AN82" s="38" t="n"/>
      <c r="AO82" s="38" t="n"/>
      <c r="AP82" s="38" t="n"/>
      <c r="AQ82" s="38" t="n"/>
      <c r="AR82" s="38" t="n"/>
      <c r="AS82" s="38" t="n"/>
      <c r="AT82" s="38" t="n"/>
      <c r="AU82" s="38" t="n"/>
      <c r="AV82" s="38" t="n"/>
      <c r="AW82" s="38" t="n"/>
      <c r="AX82" s="38" t="n"/>
      <c r="AY82" s="42" t="n"/>
      <c r="AZ82" s="42" t="n"/>
      <c r="BA82" s="42" t="n"/>
      <c r="BB82" s="42" t="n"/>
      <c r="BC82" s="42" t="n"/>
      <c r="BD82" s="37">
        <f>IF($A82="","",SUM($AY82:$BC82))</f>
        <v/>
      </c>
      <c r="BE82" s="18">
        <f>IF($A82="","",IF(AND($I82&lt;&gt;"",$J82&lt;&gt;""),MAX(1,($J82-$I82)/7),Templates!$B$35))</f>
        <v/>
      </c>
      <c r="BF82" s="18">
        <f>IF($A82="","",IF(AND($I82&lt;&gt;"",$J82&lt;&gt;""),MAX(1,($J82-$I82)/7),Templates!$B$36))</f>
        <v/>
      </c>
      <c r="BG82" s="18">
        <f>IF($A82="","",IF(AND($I82&lt;&gt;"",$J82&lt;&gt;""),MAX(1,($J82-$I82)/7),Templates!$B$37))</f>
        <v/>
      </c>
      <c r="BH82" s="18">
        <f>IF($A82="","",IF(AND($I82&lt;&gt;"",$J82&lt;&gt;""),MAX(1,($J82-$I82)/7),Templates!$B$38))</f>
        <v/>
      </c>
      <c r="BI82" s="18">
        <f>IF($A82="","",IF(AND($I82&lt;&gt;"",$J82&lt;&gt;""),MAX(1,($J82-$I82)/7),Templates!$B$39))</f>
        <v/>
      </c>
      <c r="BJ82" s="18">
        <f>IF(OR($A82="",$BD82=0),0,($AY82*Templates!$B$27/$BE82+$AZ82*Templates!$B$28/$BF82+$BA82*Templates!$B$29/$BG82+$BB82*Templates!$B$30/$BH82+$BC82*Templates!$B$31/$BI82)/Templates!$B$17)</f>
        <v/>
      </c>
      <c r="BK82" s="18">
        <f>IF(OR($A82="",$BD82=0),0,($AY82*Templates!$C$27/$BE82+$AZ82*Templates!$C$28/$BF82+$BA82*Templates!$C$29/$BG82+$BB82*Templates!$C$30/$BH82+$BC82*Templates!$C$31/$BI82)/Templates!$B$18)</f>
        <v/>
      </c>
      <c r="BL82" s="18">
        <f>IF(OR($A82="",$BD82=0),0,($AY82*Templates!$D$27/$BE82+$AZ82*Templates!$D$28/$BF82+$BA82*Templates!$D$29/$BG82+$BB82*Templates!$D$30/$BH82+$BC82*Templates!$D$31/$BI82)/Templates!$B$19)</f>
        <v/>
      </c>
      <c r="BM82" s="18">
        <f>IF(OR($A82="",$BD82=0),0,($AY82*Templates!$E$27/$BE82+$AZ82*Templates!$E$28/$BF82+$BA82*Templates!$E$29/$BG82+$BB82*Templates!$E$30/$BH82+$BC82*Templates!$E$31/$BI82)/Templates!$B$20)</f>
        <v/>
      </c>
      <c r="BN82" s="18">
        <f>IF(OR($A82="",$BD82=0),0,($AY82*Templates!$F$27/$BE82+$AZ82*Templates!$F$28/$BF82+$BA82*Templates!$F$29/$BG82+$BB82*Templates!$F$30/$BH82+$BC82*Templates!$F$31/$BI82)/Templates!$B$21)</f>
        <v/>
      </c>
      <c r="BO82" s="18">
        <f>IF(OR($A82="",$BD82=0),0,($AY82*Templates!$G$27/$BE82+$AZ82*Templates!$G$28/$BF82+$BA82*Templates!$G$29/$BG82+$BB82*Templates!$G$30/$BH82+$BC82*Templates!$G$31/$BI82)/Templates!$B$22)</f>
        <v/>
      </c>
      <c r="BP82" s="18">
        <f>IF(OR($A82="",$BD82=0),0,($AY82*Templates!$H$27/$BE82+$AZ82*Templates!$H$28/$BF82+$BA82*Templates!$H$29/$BG82+$BB82*Templates!$H$30/$BH82+$BC82*Templates!$H$31/$BI82)/Templates!$B$23)</f>
        <v/>
      </c>
    </row>
    <row r="83">
      <c r="A83" s="28" t="inlineStr">
        <is>
          <t>Goose_2</t>
        </is>
      </c>
      <c r="B83" s="20" t="inlineStr">
        <is>
          <t>Golden Goose</t>
        </is>
      </c>
      <c r="C83" s="28" t="inlineStr">
        <is>
          <t>Golden Goose</t>
        </is>
      </c>
      <c r="D83" s="28" t="inlineStr"/>
      <c r="E83" s="28" t="inlineStr">
        <is>
          <t>No</t>
        </is>
      </c>
      <c r="F83" s="28" t="inlineStr">
        <is>
          <t>Active</t>
        </is>
      </c>
      <c r="G83" s="38" t="n"/>
      <c r="H83" s="29" t="n">
        <v>1</v>
      </c>
      <c r="I83" s="39" t="n"/>
      <c r="J83" s="39" t="n"/>
      <c r="K83" s="31" t="n"/>
      <c r="L83" s="31" t="n"/>
      <c r="M83" s="31" t="n"/>
      <c r="N83" s="31" t="n"/>
      <c r="O83" s="31" t="n"/>
      <c r="P83" s="31" t="n"/>
      <c r="Q83" s="23">
        <f>IF($A83="","",COUNTIFS(Assignments!$C$2:$C$769,$A83,Assignments!$G$2:$G$769,"Active"))</f>
        <v/>
      </c>
      <c r="R83" s="32">
        <f>IF($A83="","",SUMIFS(Assignments!$I$2:$I$769,Assignments!$C$2:$C$769,$A83,Assignments!$G$2:$G$769,"Active"))</f>
        <v/>
      </c>
      <c r="S83" s="20" t="inlineStr">
        <is>
          <t>WIP</t>
        </is>
      </c>
      <c r="T83" s="31" t="n"/>
      <c r="U83" s="38" t="n"/>
      <c r="V83" s="34">
        <f>IF($U83="","",IFERROR(INDEX(Templates!$K$3:$K$10,MATCH($U83,Templates!$A$3:$A$10,0)),""))</f>
        <v/>
      </c>
      <c r="W83" s="34">
        <f>IF($U83="","",IFERROR(INDEX(Templates!$L$3:$L$10,MATCH($U83,Templates!$A$3:$A$10,0)),""))</f>
        <v/>
      </c>
      <c r="X83" s="21">
        <f>IF($U83="","",IFERROR(INDEX(Templates!$J$3:$J$10,MATCH($U83,Templates!$A$3:$A$10,0)),""))</f>
        <v/>
      </c>
      <c r="Y83" s="35">
        <f>IF(OR($U83="",$I83="",$J83="",$X83=""),"",$I83+$X83*($J83-$I83))</f>
        <v/>
      </c>
      <c r="Z83" s="30" t="n">
        <v>46212</v>
      </c>
      <c r="AA83" s="40" t="n"/>
      <c r="AB83" s="41" t="n"/>
      <c r="AC83" s="41" t="n"/>
      <c r="AD83" s="19">
        <f>IF($A83="","",IF($AA83="",$H83,$AA83))</f>
        <v/>
      </c>
      <c r="AE83" s="35">
        <f>IF($A83="","",IF($AB83="",$I83,$AB83))</f>
        <v/>
      </c>
      <c r="AF83" s="35">
        <f>IF($A83="","",IF($AC83="",$J83,$AC83))</f>
        <v/>
      </c>
      <c r="AG83" s="35">
        <f>IF(OR($U83="",$AE83="",$AF83="",$X83=""),"",$AE83+$X83*($AF83-$AE83))</f>
        <v/>
      </c>
      <c r="AH83" s="38" t="n"/>
      <c r="AI83" s="38" t="n"/>
      <c r="AJ83" s="38" t="n"/>
      <c r="AK83" s="38" t="n"/>
      <c r="AL83" s="38" t="n"/>
      <c r="AM83" s="38" t="n"/>
      <c r="AN83" s="38" t="n"/>
      <c r="AO83" s="38" t="n"/>
      <c r="AP83" s="38" t="n"/>
      <c r="AQ83" s="38" t="n"/>
      <c r="AR83" s="38" t="n"/>
      <c r="AS83" s="38" t="n"/>
      <c r="AT83" s="38" t="n"/>
      <c r="AU83" s="38" t="n"/>
      <c r="AV83" s="38" t="n"/>
      <c r="AW83" s="38" t="n"/>
      <c r="AX83" s="38" t="n"/>
      <c r="AY83" s="42" t="n"/>
      <c r="AZ83" s="42" t="n"/>
      <c r="BA83" s="42" t="n"/>
      <c r="BB83" s="42" t="n"/>
      <c r="BC83" s="42" t="n"/>
      <c r="BD83" s="37">
        <f>IF($A83="","",SUM($AY83:$BC83))</f>
        <v/>
      </c>
      <c r="BE83" s="18">
        <f>IF($A83="","",IF(AND($I83&lt;&gt;"",$J83&lt;&gt;""),MAX(1,($J83-$I83)/7),Templates!$B$35))</f>
        <v/>
      </c>
      <c r="BF83" s="18">
        <f>IF($A83="","",IF(AND($I83&lt;&gt;"",$J83&lt;&gt;""),MAX(1,($J83-$I83)/7),Templates!$B$36))</f>
        <v/>
      </c>
      <c r="BG83" s="18">
        <f>IF($A83="","",IF(AND($I83&lt;&gt;"",$J83&lt;&gt;""),MAX(1,($J83-$I83)/7),Templates!$B$37))</f>
        <v/>
      </c>
      <c r="BH83" s="18">
        <f>IF($A83="","",IF(AND($I83&lt;&gt;"",$J83&lt;&gt;""),MAX(1,($J83-$I83)/7),Templates!$B$38))</f>
        <v/>
      </c>
      <c r="BI83" s="18">
        <f>IF($A83="","",IF(AND($I83&lt;&gt;"",$J83&lt;&gt;""),MAX(1,($J83-$I83)/7),Templates!$B$39))</f>
        <v/>
      </c>
      <c r="BJ83" s="18">
        <f>IF(OR($A83="",$BD83=0),0,($AY83*Templates!$B$27/$BE83+$AZ83*Templates!$B$28/$BF83+$BA83*Templates!$B$29/$BG83+$BB83*Templates!$B$30/$BH83+$BC83*Templates!$B$31/$BI83)/Templates!$B$17)</f>
        <v/>
      </c>
      <c r="BK83" s="18">
        <f>IF(OR($A83="",$BD83=0),0,($AY83*Templates!$C$27/$BE83+$AZ83*Templates!$C$28/$BF83+$BA83*Templates!$C$29/$BG83+$BB83*Templates!$C$30/$BH83+$BC83*Templates!$C$31/$BI83)/Templates!$B$18)</f>
        <v/>
      </c>
      <c r="BL83" s="18">
        <f>IF(OR($A83="",$BD83=0),0,($AY83*Templates!$D$27/$BE83+$AZ83*Templates!$D$28/$BF83+$BA83*Templates!$D$29/$BG83+$BB83*Templates!$D$30/$BH83+$BC83*Templates!$D$31/$BI83)/Templates!$B$19)</f>
        <v/>
      </c>
      <c r="BM83" s="18">
        <f>IF(OR($A83="",$BD83=0),0,($AY83*Templates!$E$27/$BE83+$AZ83*Templates!$E$28/$BF83+$BA83*Templates!$E$29/$BG83+$BB83*Templates!$E$30/$BH83+$BC83*Templates!$E$31/$BI83)/Templates!$B$20)</f>
        <v/>
      </c>
      <c r="BN83" s="18">
        <f>IF(OR($A83="",$BD83=0),0,($AY83*Templates!$F$27/$BE83+$AZ83*Templates!$F$28/$BF83+$BA83*Templates!$F$29/$BG83+$BB83*Templates!$F$30/$BH83+$BC83*Templates!$F$31/$BI83)/Templates!$B$21)</f>
        <v/>
      </c>
      <c r="BO83" s="18">
        <f>IF(OR($A83="",$BD83=0),0,($AY83*Templates!$G$27/$BE83+$AZ83*Templates!$G$28/$BF83+$BA83*Templates!$G$29/$BG83+$BB83*Templates!$G$30/$BH83+$BC83*Templates!$G$31/$BI83)/Templates!$B$22)</f>
        <v/>
      </c>
      <c r="BP83" s="18">
        <f>IF(OR($A83="",$BD83=0),0,($AY83*Templates!$H$27/$BE83+$AZ83*Templates!$H$28/$BF83+$BA83*Templates!$H$29/$BG83+$BB83*Templates!$H$30/$BH83+$BC83*Templates!$H$31/$BI83)/Templates!$B$23)</f>
        <v/>
      </c>
    </row>
    <row r="84">
      <c r="A84" s="28" t="inlineStr">
        <is>
          <t>Graitec Reorg_2</t>
        </is>
      </c>
      <c r="B84" s="20" t="inlineStr">
        <is>
          <t>Arsene TaxAnd</t>
        </is>
      </c>
      <c r="C84" s="28" t="inlineStr">
        <is>
          <t>Arsene TaxAnd</t>
        </is>
      </c>
      <c r="D84" s="28" t="inlineStr"/>
      <c r="E84" s="28" t="inlineStr">
        <is>
          <t>No</t>
        </is>
      </c>
      <c r="F84" s="28" t="inlineStr">
        <is>
          <t>Active</t>
        </is>
      </c>
      <c r="G84" s="38" t="n"/>
      <c r="H84" s="29" t="n">
        <v>1</v>
      </c>
      <c r="I84" s="39" t="n"/>
      <c r="J84" s="39" t="n"/>
      <c r="K84" s="31" t="n"/>
      <c r="L84" s="31" t="n"/>
      <c r="M84" s="31" t="n"/>
      <c r="N84" s="31" t="n"/>
      <c r="O84" s="31" t="n"/>
      <c r="P84" s="31" t="n"/>
      <c r="Q84" s="23">
        <f>IF($A84="","",COUNTIFS(Assignments!$C$2:$C$769,$A84,Assignments!$G$2:$G$769,"Active"))</f>
        <v/>
      </c>
      <c r="R84" s="32">
        <f>IF($A84="","",SUMIFS(Assignments!$I$2:$I$769,Assignments!$C$2:$C$769,$A84,Assignments!$G$2:$G$769,"Active"))</f>
        <v/>
      </c>
      <c r="S84" s="20" t="inlineStr">
        <is>
          <t>WIP</t>
        </is>
      </c>
      <c r="T84" s="31" t="n"/>
      <c r="U84" s="38" t="n"/>
      <c r="V84" s="34">
        <f>IF($U84="","",IFERROR(INDEX(Templates!$K$3:$K$10,MATCH($U84,Templates!$A$3:$A$10,0)),""))</f>
        <v/>
      </c>
      <c r="W84" s="34">
        <f>IF($U84="","",IFERROR(INDEX(Templates!$L$3:$L$10,MATCH($U84,Templates!$A$3:$A$10,0)),""))</f>
        <v/>
      </c>
      <c r="X84" s="21">
        <f>IF($U84="","",IFERROR(INDEX(Templates!$J$3:$J$10,MATCH($U84,Templates!$A$3:$A$10,0)),""))</f>
        <v/>
      </c>
      <c r="Y84" s="35">
        <f>IF(OR($U84="",$I84="",$J84="",$X84=""),"",$I84+$X84*($J84-$I84))</f>
        <v/>
      </c>
      <c r="Z84" s="30" t="n">
        <v>46212</v>
      </c>
      <c r="AA84" s="40" t="n"/>
      <c r="AB84" s="41" t="n"/>
      <c r="AC84" s="41" t="n"/>
      <c r="AD84" s="19">
        <f>IF($A84="","",IF($AA84="",$H84,$AA84))</f>
        <v/>
      </c>
      <c r="AE84" s="35">
        <f>IF($A84="","",IF($AB84="",$I84,$AB84))</f>
        <v/>
      </c>
      <c r="AF84" s="35">
        <f>IF($A84="","",IF($AC84="",$J84,$AC84))</f>
        <v/>
      </c>
      <c r="AG84" s="35">
        <f>IF(OR($U84="",$AE84="",$AF84="",$X84=""),"",$AE84+$X84*($AF84-$AE84))</f>
        <v/>
      </c>
      <c r="AH84" s="38" t="n"/>
      <c r="AI84" s="38" t="n"/>
      <c r="AJ84" s="38" t="n"/>
      <c r="AK84" s="38" t="n"/>
      <c r="AL84" s="38" t="n"/>
      <c r="AM84" s="38" t="n"/>
      <c r="AN84" s="38" t="n"/>
      <c r="AO84" s="38" t="n"/>
      <c r="AP84" s="38" t="n"/>
      <c r="AQ84" s="38" t="n"/>
      <c r="AR84" s="38" t="n"/>
      <c r="AS84" s="38" t="n"/>
      <c r="AT84" s="38" t="n"/>
      <c r="AU84" s="38" t="n"/>
      <c r="AV84" s="38" t="n"/>
      <c r="AW84" s="38" t="n"/>
      <c r="AX84" s="38" t="n"/>
      <c r="AY84" s="42" t="n"/>
      <c r="AZ84" s="42" t="n"/>
      <c r="BA84" s="42" t="n"/>
      <c r="BB84" s="42" t="n"/>
      <c r="BC84" s="42" t="n"/>
      <c r="BD84" s="37">
        <f>IF($A84="","",SUM($AY84:$BC84))</f>
        <v/>
      </c>
      <c r="BE84" s="18">
        <f>IF($A84="","",IF(AND($I84&lt;&gt;"",$J84&lt;&gt;""),MAX(1,($J84-$I84)/7),Templates!$B$35))</f>
        <v/>
      </c>
      <c r="BF84" s="18">
        <f>IF($A84="","",IF(AND($I84&lt;&gt;"",$J84&lt;&gt;""),MAX(1,($J84-$I84)/7),Templates!$B$36))</f>
        <v/>
      </c>
      <c r="BG84" s="18">
        <f>IF($A84="","",IF(AND($I84&lt;&gt;"",$J84&lt;&gt;""),MAX(1,($J84-$I84)/7),Templates!$B$37))</f>
        <v/>
      </c>
      <c r="BH84" s="18">
        <f>IF($A84="","",IF(AND($I84&lt;&gt;"",$J84&lt;&gt;""),MAX(1,($J84-$I84)/7),Templates!$B$38))</f>
        <v/>
      </c>
      <c r="BI84" s="18">
        <f>IF($A84="","",IF(AND($I84&lt;&gt;"",$J84&lt;&gt;""),MAX(1,($J84-$I84)/7),Templates!$B$39))</f>
        <v/>
      </c>
      <c r="BJ84" s="18">
        <f>IF(OR($A84="",$BD84=0),0,($AY84*Templates!$B$27/$BE84+$AZ84*Templates!$B$28/$BF84+$BA84*Templates!$B$29/$BG84+$BB84*Templates!$B$30/$BH84+$BC84*Templates!$B$31/$BI84)/Templates!$B$17)</f>
        <v/>
      </c>
      <c r="BK84" s="18">
        <f>IF(OR($A84="",$BD84=0),0,($AY84*Templates!$C$27/$BE84+$AZ84*Templates!$C$28/$BF84+$BA84*Templates!$C$29/$BG84+$BB84*Templates!$C$30/$BH84+$BC84*Templates!$C$31/$BI84)/Templates!$B$18)</f>
        <v/>
      </c>
      <c r="BL84" s="18">
        <f>IF(OR($A84="",$BD84=0),0,($AY84*Templates!$D$27/$BE84+$AZ84*Templates!$D$28/$BF84+$BA84*Templates!$D$29/$BG84+$BB84*Templates!$D$30/$BH84+$BC84*Templates!$D$31/$BI84)/Templates!$B$19)</f>
        <v/>
      </c>
      <c r="BM84" s="18">
        <f>IF(OR($A84="",$BD84=0),0,($AY84*Templates!$E$27/$BE84+$AZ84*Templates!$E$28/$BF84+$BA84*Templates!$E$29/$BG84+$BB84*Templates!$E$30/$BH84+$BC84*Templates!$E$31/$BI84)/Templates!$B$20)</f>
        <v/>
      </c>
      <c r="BN84" s="18">
        <f>IF(OR($A84="",$BD84=0),0,($AY84*Templates!$F$27/$BE84+$AZ84*Templates!$F$28/$BF84+$BA84*Templates!$F$29/$BG84+$BB84*Templates!$F$30/$BH84+$BC84*Templates!$F$31/$BI84)/Templates!$B$21)</f>
        <v/>
      </c>
      <c r="BO84" s="18">
        <f>IF(OR($A84="",$BD84=0),0,($AY84*Templates!$G$27/$BE84+$AZ84*Templates!$G$28/$BF84+$BA84*Templates!$G$29/$BG84+$BB84*Templates!$G$30/$BH84+$BC84*Templates!$G$31/$BI84)/Templates!$B$22)</f>
        <v/>
      </c>
      <c r="BP84" s="18">
        <f>IF(OR($A84="",$BD84=0),0,($AY84*Templates!$H$27/$BE84+$AZ84*Templates!$H$28/$BF84+$BA84*Templates!$H$29/$BG84+$BB84*Templates!$H$30/$BH84+$BC84*Templates!$H$31/$BI84)/Templates!$B$23)</f>
        <v/>
      </c>
    </row>
    <row r="85">
      <c r="A85" s="28" t="inlineStr">
        <is>
          <t>Greenkey_1</t>
        </is>
      </c>
      <c r="B85" s="20" t="inlineStr">
        <is>
          <t>Berkshire Hathaway Specialty Insurance</t>
        </is>
      </c>
      <c r="C85" s="28" t="inlineStr">
        <is>
          <t>Berkshire Hathaway Specialty Insurance</t>
        </is>
      </c>
      <c r="D85" s="28" t="inlineStr"/>
      <c r="E85" s="28" t="inlineStr">
        <is>
          <t>No</t>
        </is>
      </c>
      <c r="F85" s="28" t="inlineStr">
        <is>
          <t>Active</t>
        </is>
      </c>
      <c r="G85" s="38" t="n"/>
      <c r="H85" s="29" t="n">
        <v>1</v>
      </c>
      <c r="I85" s="39" t="n"/>
      <c r="J85" s="39" t="n"/>
      <c r="K85" s="31" t="n"/>
      <c r="L85" s="31" t="n"/>
      <c r="M85" s="31" t="n"/>
      <c r="N85" s="31" t="n"/>
      <c r="O85" s="31" t="n"/>
      <c r="P85" s="31" t="n"/>
      <c r="Q85" s="23">
        <f>IF($A85="","",COUNTIFS(Assignments!$C$2:$C$769,$A85,Assignments!$G$2:$G$769,"Active"))</f>
        <v/>
      </c>
      <c r="R85" s="32">
        <f>IF($A85="","",SUMIFS(Assignments!$I$2:$I$769,Assignments!$C$2:$C$769,$A85,Assignments!$G$2:$G$769,"Active"))</f>
        <v/>
      </c>
      <c r="S85" s="20" t="inlineStr">
        <is>
          <t>WIP</t>
        </is>
      </c>
      <c r="T85" s="31" t="n"/>
      <c r="U85" s="38" t="n"/>
      <c r="V85" s="34">
        <f>IF($U85="","",IFERROR(INDEX(Templates!$K$3:$K$10,MATCH($U85,Templates!$A$3:$A$10,0)),""))</f>
        <v/>
      </c>
      <c r="W85" s="34">
        <f>IF($U85="","",IFERROR(INDEX(Templates!$L$3:$L$10,MATCH($U85,Templates!$A$3:$A$10,0)),""))</f>
        <v/>
      </c>
      <c r="X85" s="21">
        <f>IF($U85="","",IFERROR(INDEX(Templates!$J$3:$J$10,MATCH($U85,Templates!$A$3:$A$10,0)),""))</f>
        <v/>
      </c>
      <c r="Y85" s="35">
        <f>IF(OR($U85="",$I85="",$J85="",$X85=""),"",$I85+$X85*($J85-$I85))</f>
        <v/>
      </c>
      <c r="Z85" s="30" t="n">
        <v>46212</v>
      </c>
      <c r="AA85" s="40" t="n"/>
      <c r="AB85" s="41" t="n"/>
      <c r="AC85" s="41" t="n"/>
      <c r="AD85" s="19">
        <f>IF($A85="","",IF($AA85="",$H85,$AA85))</f>
        <v/>
      </c>
      <c r="AE85" s="35">
        <f>IF($A85="","",IF($AB85="",$I85,$AB85))</f>
        <v/>
      </c>
      <c r="AF85" s="35">
        <f>IF($A85="","",IF($AC85="",$J85,$AC85))</f>
        <v/>
      </c>
      <c r="AG85" s="35">
        <f>IF(OR($U85="",$AE85="",$AF85="",$X85=""),"",$AE85+$X85*($AF85-$AE85))</f>
        <v/>
      </c>
      <c r="AH85" s="38" t="n"/>
      <c r="AI85" s="38" t="n"/>
      <c r="AJ85" s="38" t="n"/>
      <c r="AK85" s="38" t="n"/>
      <c r="AL85" s="38" t="n"/>
      <c r="AM85" s="38" t="n"/>
      <c r="AN85" s="38" t="n"/>
      <c r="AO85" s="38" t="n"/>
      <c r="AP85" s="38" t="n"/>
      <c r="AQ85" s="38" t="n"/>
      <c r="AR85" s="38" t="n"/>
      <c r="AS85" s="38" t="n"/>
      <c r="AT85" s="38" t="n"/>
      <c r="AU85" s="38" t="n"/>
      <c r="AV85" s="38" t="n"/>
      <c r="AW85" s="38" t="n"/>
      <c r="AX85" s="38" t="n"/>
      <c r="AY85" s="42" t="n"/>
      <c r="AZ85" s="42" t="n"/>
      <c r="BA85" s="42" t="n"/>
      <c r="BB85" s="42" t="n"/>
      <c r="BC85" s="42" t="n"/>
      <c r="BD85" s="37">
        <f>IF($A85="","",SUM($AY85:$BC85))</f>
        <v/>
      </c>
      <c r="BE85" s="18">
        <f>IF($A85="","",IF(AND($I85&lt;&gt;"",$J85&lt;&gt;""),MAX(1,($J85-$I85)/7),Templates!$B$35))</f>
        <v/>
      </c>
      <c r="BF85" s="18">
        <f>IF($A85="","",IF(AND($I85&lt;&gt;"",$J85&lt;&gt;""),MAX(1,($J85-$I85)/7),Templates!$B$36))</f>
        <v/>
      </c>
      <c r="BG85" s="18">
        <f>IF($A85="","",IF(AND($I85&lt;&gt;"",$J85&lt;&gt;""),MAX(1,($J85-$I85)/7),Templates!$B$37))</f>
        <v/>
      </c>
      <c r="BH85" s="18">
        <f>IF($A85="","",IF(AND($I85&lt;&gt;"",$J85&lt;&gt;""),MAX(1,($J85-$I85)/7),Templates!$B$38))</f>
        <v/>
      </c>
      <c r="BI85" s="18">
        <f>IF($A85="","",IF(AND($I85&lt;&gt;"",$J85&lt;&gt;""),MAX(1,($J85-$I85)/7),Templates!$B$39))</f>
        <v/>
      </c>
      <c r="BJ85" s="18">
        <f>IF(OR($A85="",$BD85=0),0,($AY85*Templates!$B$27/$BE85+$AZ85*Templates!$B$28/$BF85+$BA85*Templates!$B$29/$BG85+$BB85*Templates!$B$30/$BH85+$BC85*Templates!$B$31/$BI85)/Templates!$B$17)</f>
        <v/>
      </c>
      <c r="BK85" s="18">
        <f>IF(OR($A85="",$BD85=0),0,($AY85*Templates!$C$27/$BE85+$AZ85*Templates!$C$28/$BF85+$BA85*Templates!$C$29/$BG85+$BB85*Templates!$C$30/$BH85+$BC85*Templates!$C$31/$BI85)/Templates!$B$18)</f>
        <v/>
      </c>
      <c r="BL85" s="18">
        <f>IF(OR($A85="",$BD85=0),0,($AY85*Templates!$D$27/$BE85+$AZ85*Templates!$D$28/$BF85+$BA85*Templates!$D$29/$BG85+$BB85*Templates!$D$30/$BH85+$BC85*Templates!$D$31/$BI85)/Templates!$B$19)</f>
        <v/>
      </c>
      <c r="BM85" s="18">
        <f>IF(OR($A85="",$BD85=0),0,($AY85*Templates!$E$27/$BE85+$AZ85*Templates!$E$28/$BF85+$BA85*Templates!$E$29/$BG85+$BB85*Templates!$E$30/$BH85+$BC85*Templates!$E$31/$BI85)/Templates!$B$20)</f>
        <v/>
      </c>
      <c r="BN85" s="18">
        <f>IF(OR($A85="",$BD85=0),0,($AY85*Templates!$F$27/$BE85+$AZ85*Templates!$F$28/$BF85+$BA85*Templates!$F$29/$BG85+$BB85*Templates!$F$30/$BH85+$BC85*Templates!$F$31/$BI85)/Templates!$B$21)</f>
        <v/>
      </c>
      <c r="BO85" s="18">
        <f>IF(OR($A85="",$BD85=0),0,($AY85*Templates!$G$27/$BE85+$AZ85*Templates!$G$28/$BF85+$BA85*Templates!$G$29/$BG85+$BB85*Templates!$G$30/$BH85+$BC85*Templates!$G$31/$BI85)/Templates!$B$22)</f>
        <v/>
      </c>
      <c r="BP85" s="18">
        <f>IF(OR($A85="",$BD85=0),0,($AY85*Templates!$H$27/$BE85+$AZ85*Templates!$H$28/$BF85+$BA85*Templates!$H$29/$BG85+$BB85*Templates!$H$30/$BH85+$BC85*Templates!$H$31/$BI85)/Templates!$B$23)</f>
        <v/>
      </c>
    </row>
    <row r="86">
      <c r="A86" s="28" t="inlineStr">
        <is>
          <t>Guardian_3</t>
        </is>
      </c>
      <c r="B86" s="20" t="inlineStr">
        <is>
          <t>PB Acquisitions, LLC</t>
        </is>
      </c>
      <c r="C86" s="28" t="inlineStr">
        <is>
          <t>PB Acquisitions, LLC</t>
        </is>
      </c>
      <c r="D86" s="28" t="inlineStr"/>
      <c r="E86" s="28" t="inlineStr">
        <is>
          <t>No</t>
        </is>
      </c>
      <c r="F86" s="28" t="inlineStr">
        <is>
          <t>Active</t>
        </is>
      </c>
      <c r="G86" s="38" t="n"/>
      <c r="H86" s="29" t="n">
        <v>1</v>
      </c>
      <c r="I86" s="39" t="n"/>
      <c r="J86" s="39" t="n"/>
      <c r="K86" s="31" t="n"/>
      <c r="L86" s="31" t="n"/>
      <c r="M86" s="31" t="n"/>
      <c r="N86" s="31" t="n"/>
      <c r="O86" s="31" t="n"/>
      <c r="P86" s="31" t="n"/>
      <c r="Q86" s="23">
        <f>IF($A86="","",COUNTIFS(Assignments!$C$2:$C$769,$A86,Assignments!$G$2:$G$769,"Active"))</f>
        <v/>
      </c>
      <c r="R86" s="32">
        <f>IF($A86="","",SUMIFS(Assignments!$I$2:$I$769,Assignments!$C$2:$C$769,$A86,Assignments!$G$2:$G$769,"Active"))</f>
        <v/>
      </c>
      <c r="S86" s="20" t="inlineStr">
        <is>
          <t>WIP</t>
        </is>
      </c>
      <c r="T86" s="31" t="n"/>
      <c r="U86" s="38" t="n"/>
      <c r="V86" s="34">
        <f>IF($U86="","",IFERROR(INDEX(Templates!$K$3:$K$10,MATCH($U86,Templates!$A$3:$A$10,0)),""))</f>
        <v/>
      </c>
      <c r="W86" s="34">
        <f>IF($U86="","",IFERROR(INDEX(Templates!$L$3:$L$10,MATCH($U86,Templates!$A$3:$A$10,0)),""))</f>
        <v/>
      </c>
      <c r="X86" s="21">
        <f>IF($U86="","",IFERROR(INDEX(Templates!$J$3:$J$10,MATCH($U86,Templates!$A$3:$A$10,0)),""))</f>
        <v/>
      </c>
      <c r="Y86" s="35">
        <f>IF(OR($U86="",$I86="",$J86="",$X86=""),"",$I86+$X86*($J86-$I86))</f>
        <v/>
      </c>
      <c r="Z86" s="30" t="n">
        <v>46212</v>
      </c>
      <c r="AA86" s="40" t="n"/>
      <c r="AB86" s="41" t="n"/>
      <c r="AC86" s="41" t="n"/>
      <c r="AD86" s="19">
        <f>IF($A86="","",IF($AA86="",$H86,$AA86))</f>
        <v/>
      </c>
      <c r="AE86" s="35">
        <f>IF($A86="","",IF($AB86="",$I86,$AB86))</f>
        <v/>
      </c>
      <c r="AF86" s="35">
        <f>IF($A86="","",IF($AC86="",$J86,$AC86))</f>
        <v/>
      </c>
      <c r="AG86" s="35">
        <f>IF(OR($U86="",$AE86="",$AF86="",$X86=""),"",$AE86+$X86*($AF86-$AE86))</f>
        <v/>
      </c>
      <c r="AH86" s="38" t="n"/>
      <c r="AI86" s="38" t="n"/>
      <c r="AJ86" s="38" t="n"/>
      <c r="AK86" s="38" t="n"/>
      <c r="AL86" s="38" t="n"/>
      <c r="AM86" s="38" t="n"/>
      <c r="AN86" s="38" t="n"/>
      <c r="AO86" s="38" t="n"/>
      <c r="AP86" s="38" t="n"/>
      <c r="AQ86" s="38" t="n"/>
      <c r="AR86" s="38" t="n"/>
      <c r="AS86" s="38" t="n"/>
      <c r="AT86" s="38" t="n"/>
      <c r="AU86" s="38" t="n"/>
      <c r="AV86" s="38" t="n"/>
      <c r="AW86" s="38" t="n"/>
      <c r="AX86" s="38" t="n"/>
      <c r="AY86" s="42" t="n"/>
      <c r="AZ86" s="42" t="n"/>
      <c r="BA86" s="42" t="n"/>
      <c r="BB86" s="42" t="n"/>
      <c r="BC86" s="42" t="n"/>
      <c r="BD86" s="37">
        <f>IF($A86="","",SUM($AY86:$BC86))</f>
        <v/>
      </c>
      <c r="BE86" s="18">
        <f>IF($A86="","",IF(AND($I86&lt;&gt;"",$J86&lt;&gt;""),MAX(1,($J86-$I86)/7),Templates!$B$35))</f>
        <v/>
      </c>
      <c r="BF86" s="18">
        <f>IF($A86="","",IF(AND($I86&lt;&gt;"",$J86&lt;&gt;""),MAX(1,($J86-$I86)/7),Templates!$B$36))</f>
        <v/>
      </c>
      <c r="BG86" s="18">
        <f>IF($A86="","",IF(AND($I86&lt;&gt;"",$J86&lt;&gt;""),MAX(1,($J86-$I86)/7),Templates!$B$37))</f>
        <v/>
      </c>
      <c r="BH86" s="18">
        <f>IF($A86="","",IF(AND($I86&lt;&gt;"",$J86&lt;&gt;""),MAX(1,($J86-$I86)/7),Templates!$B$38))</f>
        <v/>
      </c>
      <c r="BI86" s="18">
        <f>IF($A86="","",IF(AND($I86&lt;&gt;"",$J86&lt;&gt;""),MAX(1,($J86-$I86)/7),Templates!$B$39))</f>
        <v/>
      </c>
      <c r="BJ86" s="18">
        <f>IF(OR($A86="",$BD86=0),0,($AY86*Templates!$B$27/$BE86+$AZ86*Templates!$B$28/$BF86+$BA86*Templates!$B$29/$BG86+$BB86*Templates!$B$30/$BH86+$BC86*Templates!$B$31/$BI86)/Templates!$B$17)</f>
        <v/>
      </c>
      <c r="BK86" s="18">
        <f>IF(OR($A86="",$BD86=0),0,($AY86*Templates!$C$27/$BE86+$AZ86*Templates!$C$28/$BF86+$BA86*Templates!$C$29/$BG86+$BB86*Templates!$C$30/$BH86+$BC86*Templates!$C$31/$BI86)/Templates!$B$18)</f>
        <v/>
      </c>
      <c r="BL86" s="18">
        <f>IF(OR($A86="",$BD86=0),0,($AY86*Templates!$D$27/$BE86+$AZ86*Templates!$D$28/$BF86+$BA86*Templates!$D$29/$BG86+$BB86*Templates!$D$30/$BH86+$BC86*Templates!$D$31/$BI86)/Templates!$B$19)</f>
        <v/>
      </c>
      <c r="BM86" s="18">
        <f>IF(OR($A86="",$BD86=0),0,($AY86*Templates!$E$27/$BE86+$AZ86*Templates!$E$28/$BF86+$BA86*Templates!$E$29/$BG86+$BB86*Templates!$E$30/$BH86+$BC86*Templates!$E$31/$BI86)/Templates!$B$20)</f>
        <v/>
      </c>
      <c r="BN86" s="18">
        <f>IF(OR($A86="",$BD86=0),0,($AY86*Templates!$F$27/$BE86+$AZ86*Templates!$F$28/$BF86+$BA86*Templates!$F$29/$BG86+$BB86*Templates!$F$30/$BH86+$BC86*Templates!$F$31/$BI86)/Templates!$B$21)</f>
        <v/>
      </c>
      <c r="BO86" s="18">
        <f>IF(OR($A86="",$BD86=0),0,($AY86*Templates!$G$27/$BE86+$AZ86*Templates!$G$28/$BF86+$BA86*Templates!$G$29/$BG86+$BB86*Templates!$G$30/$BH86+$BC86*Templates!$G$31/$BI86)/Templates!$B$22)</f>
        <v/>
      </c>
      <c r="BP86" s="18">
        <f>IF(OR($A86="",$BD86=0),0,($AY86*Templates!$H$27/$BE86+$AZ86*Templates!$H$28/$BF86+$BA86*Templates!$H$29/$BG86+$BB86*Templates!$H$30/$BH86+$BC86*Templates!$H$31/$BI86)/Templates!$B$23)</f>
        <v/>
      </c>
    </row>
    <row r="87">
      <c r="A87" s="28" t="inlineStr">
        <is>
          <t>Hamby_1</t>
        </is>
      </c>
      <c r="B87" s="20" t="inlineStr">
        <is>
          <t>Abilene GCE LLC</t>
        </is>
      </c>
      <c r="C87" s="28" t="inlineStr">
        <is>
          <t>Abilene GCE LLC</t>
        </is>
      </c>
      <c r="D87" s="28" t="inlineStr"/>
      <c r="E87" s="28" t="inlineStr">
        <is>
          <t>No</t>
        </is>
      </c>
      <c r="F87" s="28" t="inlineStr">
        <is>
          <t>Active</t>
        </is>
      </c>
      <c r="G87" s="38" t="n"/>
      <c r="H87" s="29" t="n">
        <v>1</v>
      </c>
      <c r="I87" s="39" t="n"/>
      <c r="J87" s="39" t="n"/>
      <c r="K87" s="31" t="n"/>
      <c r="L87" s="31" t="n"/>
      <c r="M87" s="31" t="n"/>
      <c r="N87" s="31" t="n"/>
      <c r="O87" s="31" t="n"/>
      <c r="P87" s="31" t="n"/>
      <c r="Q87" s="23">
        <f>IF($A87="","",COUNTIFS(Assignments!$C$2:$C$769,$A87,Assignments!$G$2:$G$769,"Active"))</f>
        <v/>
      </c>
      <c r="R87" s="32">
        <f>IF($A87="","",SUMIFS(Assignments!$I$2:$I$769,Assignments!$C$2:$C$769,$A87,Assignments!$G$2:$G$769,"Active"))</f>
        <v/>
      </c>
      <c r="S87" s="20" t="inlineStr">
        <is>
          <t>WIP</t>
        </is>
      </c>
      <c r="T87" s="31" t="n"/>
      <c r="U87" s="38" t="n"/>
      <c r="V87" s="34">
        <f>IF($U87="","",IFERROR(INDEX(Templates!$K$3:$K$10,MATCH($U87,Templates!$A$3:$A$10,0)),""))</f>
        <v/>
      </c>
      <c r="W87" s="34">
        <f>IF($U87="","",IFERROR(INDEX(Templates!$L$3:$L$10,MATCH($U87,Templates!$A$3:$A$10,0)),""))</f>
        <v/>
      </c>
      <c r="X87" s="21">
        <f>IF($U87="","",IFERROR(INDEX(Templates!$J$3:$J$10,MATCH($U87,Templates!$A$3:$A$10,0)),""))</f>
        <v/>
      </c>
      <c r="Y87" s="35">
        <f>IF(OR($U87="",$I87="",$J87="",$X87=""),"",$I87+$X87*($J87-$I87))</f>
        <v/>
      </c>
      <c r="Z87" s="30" t="n">
        <v>46212</v>
      </c>
      <c r="AA87" s="40" t="n"/>
      <c r="AB87" s="41" t="n"/>
      <c r="AC87" s="41" t="n"/>
      <c r="AD87" s="19">
        <f>IF($A87="","",IF($AA87="",$H87,$AA87))</f>
        <v/>
      </c>
      <c r="AE87" s="35">
        <f>IF($A87="","",IF($AB87="",$I87,$AB87))</f>
        <v/>
      </c>
      <c r="AF87" s="35">
        <f>IF($A87="","",IF($AC87="",$J87,$AC87))</f>
        <v/>
      </c>
      <c r="AG87" s="35">
        <f>IF(OR($U87="",$AE87="",$AF87="",$X87=""),"",$AE87+$X87*($AF87-$AE87))</f>
        <v/>
      </c>
      <c r="AH87" s="38" t="n"/>
      <c r="AI87" s="38" t="n"/>
      <c r="AJ87" s="38" t="n"/>
      <c r="AK87" s="38" t="n"/>
      <c r="AL87" s="38" t="n"/>
      <c r="AM87" s="38" t="n"/>
      <c r="AN87" s="38" t="n"/>
      <c r="AO87" s="38" t="n"/>
      <c r="AP87" s="38" t="n"/>
      <c r="AQ87" s="38" t="n"/>
      <c r="AR87" s="38" t="n"/>
      <c r="AS87" s="38" t="n"/>
      <c r="AT87" s="38" t="n"/>
      <c r="AU87" s="38" t="n"/>
      <c r="AV87" s="38" t="n"/>
      <c r="AW87" s="38" t="n"/>
      <c r="AX87" s="38" t="n"/>
      <c r="AY87" s="42" t="n"/>
      <c r="AZ87" s="42" t="n"/>
      <c r="BA87" s="42" t="n"/>
      <c r="BB87" s="42" t="n"/>
      <c r="BC87" s="42" t="n"/>
      <c r="BD87" s="37">
        <f>IF($A87="","",SUM($AY87:$BC87))</f>
        <v/>
      </c>
      <c r="BE87" s="18">
        <f>IF($A87="","",IF(AND($I87&lt;&gt;"",$J87&lt;&gt;""),MAX(1,($J87-$I87)/7),Templates!$B$35))</f>
        <v/>
      </c>
      <c r="BF87" s="18">
        <f>IF($A87="","",IF(AND($I87&lt;&gt;"",$J87&lt;&gt;""),MAX(1,($J87-$I87)/7),Templates!$B$36))</f>
        <v/>
      </c>
      <c r="BG87" s="18">
        <f>IF($A87="","",IF(AND($I87&lt;&gt;"",$J87&lt;&gt;""),MAX(1,($J87-$I87)/7),Templates!$B$37))</f>
        <v/>
      </c>
      <c r="BH87" s="18">
        <f>IF($A87="","",IF(AND($I87&lt;&gt;"",$J87&lt;&gt;""),MAX(1,($J87-$I87)/7),Templates!$B$38))</f>
        <v/>
      </c>
      <c r="BI87" s="18">
        <f>IF($A87="","",IF(AND($I87&lt;&gt;"",$J87&lt;&gt;""),MAX(1,($J87-$I87)/7),Templates!$B$39))</f>
        <v/>
      </c>
      <c r="BJ87" s="18">
        <f>IF(OR($A87="",$BD87=0),0,($AY87*Templates!$B$27/$BE87+$AZ87*Templates!$B$28/$BF87+$BA87*Templates!$B$29/$BG87+$BB87*Templates!$B$30/$BH87+$BC87*Templates!$B$31/$BI87)/Templates!$B$17)</f>
        <v/>
      </c>
      <c r="BK87" s="18">
        <f>IF(OR($A87="",$BD87=0),0,($AY87*Templates!$C$27/$BE87+$AZ87*Templates!$C$28/$BF87+$BA87*Templates!$C$29/$BG87+$BB87*Templates!$C$30/$BH87+$BC87*Templates!$C$31/$BI87)/Templates!$B$18)</f>
        <v/>
      </c>
      <c r="BL87" s="18">
        <f>IF(OR($A87="",$BD87=0),0,($AY87*Templates!$D$27/$BE87+$AZ87*Templates!$D$28/$BF87+$BA87*Templates!$D$29/$BG87+$BB87*Templates!$D$30/$BH87+$BC87*Templates!$D$31/$BI87)/Templates!$B$19)</f>
        <v/>
      </c>
      <c r="BM87" s="18">
        <f>IF(OR($A87="",$BD87=0),0,($AY87*Templates!$E$27/$BE87+$AZ87*Templates!$E$28/$BF87+$BA87*Templates!$E$29/$BG87+$BB87*Templates!$E$30/$BH87+$BC87*Templates!$E$31/$BI87)/Templates!$B$20)</f>
        <v/>
      </c>
      <c r="BN87" s="18">
        <f>IF(OR($A87="",$BD87=0),0,($AY87*Templates!$F$27/$BE87+$AZ87*Templates!$F$28/$BF87+$BA87*Templates!$F$29/$BG87+$BB87*Templates!$F$30/$BH87+$BC87*Templates!$F$31/$BI87)/Templates!$B$21)</f>
        <v/>
      </c>
      <c r="BO87" s="18">
        <f>IF(OR($A87="",$BD87=0),0,($AY87*Templates!$G$27/$BE87+$AZ87*Templates!$G$28/$BF87+$BA87*Templates!$G$29/$BG87+$BB87*Templates!$G$30/$BH87+$BC87*Templates!$G$31/$BI87)/Templates!$B$22)</f>
        <v/>
      </c>
      <c r="BP87" s="18">
        <f>IF(OR($A87="",$BD87=0),0,($AY87*Templates!$H$27/$BE87+$AZ87*Templates!$H$28/$BF87+$BA87*Templates!$H$29/$BG87+$BB87*Templates!$H$30/$BH87+$BC87*Templates!$H$31/$BI87)/Templates!$B$23)</f>
        <v/>
      </c>
    </row>
    <row r="88">
      <c r="A88" s="28" t="inlineStr">
        <is>
          <t>Hatch_1</t>
        </is>
      </c>
      <c r="B88" s="20" t="inlineStr">
        <is>
          <t>Insperience Group</t>
        </is>
      </c>
      <c r="C88" s="28" t="inlineStr">
        <is>
          <t>Insperience Group</t>
        </is>
      </c>
      <c r="D88" s="28" t="inlineStr"/>
      <c r="E88" s="28" t="inlineStr">
        <is>
          <t>No</t>
        </is>
      </c>
      <c r="F88" s="28" t="inlineStr">
        <is>
          <t>Active</t>
        </is>
      </c>
      <c r="G88" s="38" t="n"/>
      <c r="H88" s="29" t="n">
        <v>1</v>
      </c>
      <c r="I88" s="39" t="n"/>
      <c r="J88" s="39" t="n"/>
      <c r="K88" s="31" t="n"/>
      <c r="L88" s="31" t="n"/>
      <c r="M88" s="31" t="n"/>
      <c r="N88" s="31" t="n"/>
      <c r="O88" s="31" t="n"/>
      <c r="P88" s="31" t="n"/>
      <c r="Q88" s="23">
        <f>IF($A88="","",COUNTIFS(Assignments!$C$2:$C$769,$A88,Assignments!$G$2:$G$769,"Active"))</f>
        <v/>
      </c>
      <c r="R88" s="32">
        <f>IF($A88="","",SUMIFS(Assignments!$I$2:$I$769,Assignments!$C$2:$C$769,$A88,Assignments!$G$2:$G$769,"Active"))</f>
        <v/>
      </c>
      <c r="S88" s="20" t="inlineStr">
        <is>
          <t>WIP</t>
        </is>
      </c>
      <c r="T88" s="31" t="n"/>
      <c r="U88" s="38" t="n"/>
      <c r="V88" s="34">
        <f>IF($U88="","",IFERROR(INDEX(Templates!$K$3:$K$10,MATCH($U88,Templates!$A$3:$A$10,0)),""))</f>
        <v/>
      </c>
      <c r="W88" s="34">
        <f>IF($U88="","",IFERROR(INDEX(Templates!$L$3:$L$10,MATCH($U88,Templates!$A$3:$A$10,0)),""))</f>
        <v/>
      </c>
      <c r="X88" s="21">
        <f>IF($U88="","",IFERROR(INDEX(Templates!$J$3:$J$10,MATCH($U88,Templates!$A$3:$A$10,0)),""))</f>
        <v/>
      </c>
      <c r="Y88" s="35">
        <f>IF(OR($U88="",$I88="",$J88="",$X88=""),"",$I88+$X88*($J88-$I88))</f>
        <v/>
      </c>
      <c r="Z88" s="30" t="n">
        <v>46212</v>
      </c>
      <c r="AA88" s="40" t="n"/>
      <c r="AB88" s="41" t="n"/>
      <c r="AC88" s="41" t="n"/>
      <c r="AD88" s="19">
        <f>IF($A88="","",IF($AA88="",$H88,$AA88))</f>
        <v/>
      </c>
      <c r="AE88" s="35">
        <f>IF($A88="","",IF($AB88="",$I88,$AB88))</f>
        <v/>
      </c>
      <c r="AF88" s="35">
        <f>IF($A88="","",IF($AC88="",$J88,$AC88))</f>
        <v/>
      </c>
      <c r="AG88" s="35">
        <f>IF(OR($U88="",$AE88="",$AF88="",$X88=""),"",$AE88+$X88*($AF88-$AE88))</f>
        <v/>
      </c>
      <c r="AH88" s="38" t="n"/>
      <c r="AI88" s="38" t="n"/>
      <c r="AJ88" s="38" t="n"/>
      <c r="AK88" s="38" t="n"/>
      <c r="AL88" s="38" t="n"/>
      <c r="AM88" s="38" t="n"/>
      <c r="AN88" s="38" t="n"/>
      <c r="AO88" s="38" t="n"/>
      <c r="AP88" s="38" t="n"/>
      <c r="AQ88" s="38" t="n"/>
      <c r="AR88" s="38" t="n"/>
      <c r="AS88" s="38" t="n"/>
      <c r="AT88" s="38" t="n"/>
      <c r="AU88" s="38" t="n"/>
      <c r="AV88" s="38" t="n"/>
      <c r="AW88" s="38" t="n"/>
      <c r="AX88" s="38" t="n"/>
      <c r="AY88" s="42" t="n"/>
      <c r="AZ88" s="42" t="n"/>
      <c r="BA88" s="42" t="n"/>
      <c r="BB88" s="42" t="n"/>
      <c r="BC88" s="42" t="n"/>
      <c r="BD88" s="37">
        <f>IF($A88="","",SUM($AY88:$BC88))</f>
        <v/>
      </c>
      <c r="BE88" s="18">
        <f>IF($A88="","",IF(AND($I88&lt;&gt;"",$J88&lt;&gt;""),MAX(1,($J88-$I88)/7),Templates!$B$35))</f>
        <v/>
      </c>
      <c r="BF88" s="18">
        <f>IF($A88="","",IF(AND($I88&lt;&gt;"",$J88&lt;&gt;""),MAX(1,($J88-$I88)/7),Templates!$B$36))</f>
        <v/>
      </c>
      <c r="BG88" s="18">
        <f>IF($A88="","",IF(AND($I88&lt;&gt;"",$J88&lt;&gt;""),MAX(1,($J88-$I88)/7),Templates!$B$37))</f>
        <v/>
      </c>
      <c r="BH88" s="18">
        <f>IF($A88="","",IF(AND($I88&lt;&gt;"",$J88&lt;&gt;""),MAX(1,($J88-$I88)/7),Templates!$B$38))</f>
        <v/>
      </c>
      <c r="BI88" s="18">
        <f>IF($A88="","",IF(AND($I88&lt;&gt;"",$J88&lt;&gt;""),MAX(1,($J88-$I88)/7),Templates!$B$39))</f>
        <v/>
      </c>
      <c r="BJ88" s="18">
        <f>IF(OR($A88="",$BD88=0),0,($AY88*Templates!$B$27/$BE88+$AZ88*Templates!$B$28/$BF88+$BA88*Templates!$B$29/$BG88+$BB88*Templates!$B$30/$BH88+$BC88*Templates!$B$31/$BI88)/Templates!$B$17)</f>
        <v/>
      </c>
      <c r="BK88" s="18">
        <f>IF(OR($A88="",$BD88=0),0,($AY88*Templates!$C$27/$BE88+$AZ88*Templates!$C$28/$BF88+$BA88*Templates!$C$29/$BG88+$BB88*Templates!$C$30/$BH88+$BC88*Templates!$C$31/$BI88)/Templates!$B$18)</f>
        <v/>
      </c>
      <c r="BL88" s="18">
        <f>IF(OR($A88="",$BD88=0),0,($AY88*Templates!$D$27/$BE88+$AZ88*Templates!$D$28/$BF88+$BA88*Templates!$D$29/$BG88+$BB88*Templates!$D$30/$BH88+$BC88*Templates!$D$31/$BI88)/Templates!$B$19)</f>
        <v/>
      </c>
      <c r="BM88" s="18">
        <f>IF(OR($A88="",$BD88=0),0,($AY88*Templates!$E$27/$BE88+$AZ88*Templates!$E$28/$BF88+$BA88*Templates!$E$29/$BG88+$BB88*Templates!$E$30/$BH88+$BC88*Templates!$E$31/$BI88)/Templates!$B$20)</f>
        <v/>
      </c>
      <c r="BN88" s="18">
        <f>IF(OR($A88="",$BD88=0),0,($AY88*Templates!$F$27/$BE88+$AZ88*Templates!$F$28/$BF88+$BA88*Templates!$F$29/$BG88+$BB88*Templates!$F$30/$BH88+$BC88*Templates!$F$31/$BI88)/Templates!$B$21)</f>
        <v/>
      </c>
      <c r="BO88" s="18">
        <f>IF(OR($A88="",$BD88=0),0,($AY88*Templates!$G$27/$BE88+$AZ88*Templates!$G$28/$BF88+$BA88*Templates!$G$29/$BG88+$BB88*Templates!$G$30/$BH88+$BC88*Templates!$G$31/$BI88)/Templates!$B$22)</f>
        <v/>
      </c>
      <c r="BP88" s="18">
        <f>IF(OR($A88="",$BD88=0),0,($AY88*Templates!$H$27/$BE88+$AZ88*Templates!$H$28/$BF88+$BA88*Templates!$H$29/$BG88+$BB88*Templates!$H$30/$BH88+$BC88*Templates!$H$31/$BI88)/Templates!$B$23)</f>
        <v/>
      </c>
    </row>
    <row r="89">
      <c r="A89" s="28" t="inlineStr">
        <is>
          <t>Heartland_2</t>
        </is>
      </c>
      <c r="B89" s="20" t="inlineStr">
        <is>
          <t>Sumitomo Corporation of Americas</t>
        </is>
      </c>
      <c r="C89" s="28" t="inlineStr">
        <is>
          <t>Sumitomo Corporation of Americas</t>
        </is>
      </c>
      <c r="D89" s="28" t="inlineStr"/>
      <c r="E89" s="28" t="inlineStr">
        <is>
          <t>No</t>
        </is>
      </c>
      <c r="F89" s="28" t="inlineStr">
        <is>
          <t>Active</t>
        </is>
      </c>
      <c r="G89" s="38" t="n"/>
      <c r="H89" s="29" t="n">
        <v>1</v>
      </c>
      <c r="I89" s="39" t="n"/>
      <c r="J89" s="39" t="n"/>
      <c r="K89" s="31" t="n"/>
      <c r="L89" s="31" t="n"/>
      <c r="M89" s="31" t="n"/>
      <c r="N89" s="31" t="n"/>
      <c r="O89" s="31" t="n"/>
      <c r="P89" s="31" t="n"/>
      <c r="Q89" s="23">
        <f>IF($A89="","",COUNTIFS(Assignments!$C$2:$C$769,$A89,Assignments!$G$2:$G$769,"Active"))</f>
        <v/>
      </c>
      <c r="R89" s="32">
        <f>IF($A89="","",SUMIFS(Assignments!$I$2:$I$769,Assignments!$C$2:$C$769,$A89,Assignments!$G$2:$G$769,"Active"))</f>
        <v/>
      </c>
      <c r="S89" s="20" t="inlineStr">
        <is>
          <t>WIP</t>
        </is>
      </c>
      <c r="T89" s="31" t="n"/>
      <c r="U89" s="38" t="n"/>
      <c r="V89" s="34">
        <f>IF($U89="","",IFERROR(INDEX(Templates!$K$3:$K$10,MATCH($U89,Templates!$A$3:$A$10,0)),""))</f>
        <v/>
      </c>
      <c r="W89" s="34">
        <f>IF($U89="","",IFERROR(INDEX(Templates!$L$3:$L$10,MATCH($U89,Templates!$A$3:$A$10,0)),""))</f>
        <v/>
      </c>
      <c r="X89" s="21">
        <f>IF($U89="","",IFERROR(INDEX(Templates!$J$3:$J$10,MATCH($U89,Templates!$A$3:$A$10,0)),""))</f>
        <v/>
      </c>
      <c r="Y89" s="35">
        <f>IF(OR($U89="",$I89="",$J89="",$X89=""),"",$I89+$X89*($J89-$I89))</f>
        <v/>
      </c>
      <c r="Z89" s="30" t="n">
        <v>46212</v>
      </c>
      <c r="AA89" s="40" t="n"/>
      <c r="AB89" s="41" t="n"/>
      <c r="AC89" s="41" t="n"/>
      <c r="AD89" s="19">
        <f>IF($A89="","",IF($AA89="",$H89,$AA89))</f>
        <v/>
      </c>
      <c r="AE89" s="35">
        <f>IF($A89="","",IF($AB89="",$I89,$AB89))</f>
        <v/>
      </c>
      <c r="AF89" s="35">
        <f>IF($A89="","",IF($AC89="",$J89,$AC89))</f>
        <v/>
      </c>
      <c r="AG89" s="35">
        <f>IF(OR($U89="",$AE89="",$AF89="",$X89=""),"",$AE89+$X89*($AF89-$AE89))</f>
        <v/>
      </c>
      <c r="AH89" s="38" t="n"/>
      <c r="AI89" s="38" t="n"/>
      <c r="AJ89" s="38" t="n"/>
      <c r="AK89" s="38" t="n"/>
      <c r="AL89" s="38" t="n"/>
      <c r="AM89" s="38" t="n"/>
      <c r="AN89" s="38" t="n"/>
      <c r="AO89" s="38" t="n"/>
      <c r="AP89" s="38" t="n"/>
      <c r="AQ89" s="38" t="n"/>
      <c r="AR89" s="38" t="n"/>
      <c r="AS89" s="38" t="n"/>
      <c r="AT89" s="38" t="n"/>
      <c r="AU89" s="38" t="n"/>
      <c r="AV89" s="38" t="n"/>
      <c r="AW89" s="38" t="n"/>
      <c r="AX89" s="38" t="n"/>
      <c r="AY89" s="42" t="n"/>
      <c r="AZ89" s="42" t="n"/>
      <c r="BA89" s="42" t="n"/>
      <c r="BB89" s="42" t="n"/>
      <c r="BC89" s="42" t="n"/>
      <c r="BD89" s="37">
        <f>IF($A89="","",SUM($AY89:$BC89))</f>
        <v/>
      </c>
      <c r="BE89" s="18">
        <f>IF($A89="","",IF(AND($I89&lt;&gt;"",$J89&lt;&gt;""),MAX(1,($J89-$I89)/7),Templates!$B$35))</f>
        <v/>
      </c>
      <c r="BF89" s="18">
        <f>IF($A89="","",IF(AND($I89&lt;&gt;"",$J89&lt;&gt;""),MAX(1,($J89-$I89)/7),Templates!$B$36))</f>
        <v/>
      </c>
      <c r="BG89" s="18">
        <f>IF($A89="","",IF(AND($I89&lt;&gt;"",$J89&lt;&gt;""),MAX(1,($J89-$I89)/7),Templates!$B$37))</f>
        <v/>
      </c>
      <c r="BH89" s="18">
        <f>IF($A89="","",IF(AND($I89&lt;&gt;"",$J89&lt;&gt;""),MAX(1,($J89-$I89)/7),Templates!$B$38))</f>
        <v/>
      </c>
      <c r="BI89" s="18">
        <f>IF($A89="","",IF(AND($I89&lt;&gt;"",$J89&lt;&gt;""),MAX(1,($J89-$I89)/7),Templates!$B$39))</f>
        <v/>
      </c>
      <c r="BJ89" s="18">
        <f>IF(OR($A89="",$BD89=0),0,($AY89*Templates!$B$27/$BE89+$AZ89*Templates!$B$28/$BF89+$BA89*Templates!$B$29/$BG89+$BB89*Templates!$B$30/$BH89+$BC89*Templates!$B$31/$BI89)/Templates!$B$17)</f>
        <v/>
      </c>
      <c r="BK89" s="18">
        <f>IF(OR($A89="",$BD89=0),0,($AY89*Templates!$C$27/$BE89+$AZ89*Templates!$C$28/$BF89+$BA89*Templates!$C$29/$BG89+$BB89*Templates!$C$30/$BH89+$BC89*Templates!$C$31/$BI89)/Templates!$B$18)</f>
        <v/>
      </c>
      <c r="BL89" s="18">
        <f>IF(OR($A89="",$BD89=0),0,($AY89*Templates!$D$27/$BE89+$AZ89*Templates!$D$28/$BF89+$BA89*Templates!$D$29/$BG89+$BB89*Templates!$D$30/$BH89+$BC89*Templates!$D$31/$BI89)/Templates!$B$19)</f>
        <v/>
      </c>
      <c r="BM89" s="18">
        <f>IF(OR($A89="",$BD89=0),0,($AY89*Templates!$E$27/$BE89+$AZ89*Templates!$E$28/$BF89+$BA89*Templates!$E$29/$BG89+$BB89*Templates!$E$30/$BH89+$BC89*Templates!$E$31/$BI89)/Templates!$B$20)</f>
        <v/>
      </c>
      <c r="BN89" s="18">
        <f>IF(OR($A89="",$BD89=0),0,($AY89*Templates!$F$27/$BE89+$AZ89*Templates!$F$28/$BF89+$BA89*Templates!$F$29/$BG89+$BB89*Templates!$F$30/$BH89+$BC89*Templates!$F$31/$BI89)/Templates!$B$21)</f>
        <v/>
      </c>
      <c r="BO89" s="18">
        <f>IF(OR($A89="",$BD89=0),0,($AY89*Templates!$G$27/$BE89+$AZ89*Templates!$G$28/$BF89+$BA89*Templates!$G$29/$BG89+$BB89*Templates!$G$30/$BH89+$BC89*Templates!$G$31/$BI89)/Templates!$B$22)</f>
        <v/>
      </c>
      <c r="BP89" s="18">
        <f>IF(OR($A89="",$BD89=0),0,($AY89*Templates!$H$27/$BE89+$AZ89*Templates!$H$28/$BF89+$BA89*Templates!$H$29/$BG89+$BB89*Templates!$H$30/$BH89+$BC89*Templates!$H$31/$BI89)/Templates!$B$23)</f>
        <v/>
      </c>
    </row>
    <row r="90">
      <c r="A90" s="28" t="inlineStr">
        <is>
          <t>Helios_2</t>
        </is>
      </c>
      <c r="B90" s="20" t="inlineStr">
        <is>
          <t>ICEN Risk</t>
        </is>
      </c>
      <c r="C90" s="28" t="inlineStr">
        <is>
          <t>ICEN Risk</t>
        </is>
      </c>
      <c r="D90" s="28" t="inlineStr"/>
      <c r="E90" s="28" t="inlineStr">
        <is>
          <t>No</t>
        </is>
      </c>
      <c r="F90" s="28" t="inlineStr">
        <is>
          <t>Active</t>
        </is>
      </c>
      <c r="G90" s="38" t="n"/>
      <c r="H90" s="29" t="n">
        <v>1</v>
      </c>
      <c r="I90" s="39" t="n"/>
      <c r="J90" s="39" t="n"/>
      <c r="K90" s="31" t="n"/>
      <c r="L90" s="31" t="n"/>
      <c r="M90" s="31" t="n"/>
      <c r="N90" s="31" t="n"/>
      <c r="O90" s="31" t="n"/>
      <c r="P90" s="31" t="n"/>
      <c r="Q90" s="23">
        <f>IF($A90="","",COUNTIFS(Assignments!$C$2:$C$769,$A90,Assignments!$G$2:$G$769,"Active"))</f>
        <v/>
      </c>
      <c r="R90" s="32">
        <f>IF($A90="","",SUMIFS(Assignments!$I$2:$I$769,Assignments!$C$2:$C$769,$A90,Assignments!$G$2:$G$769,"Active"))</f>
        <v/>
      </c>
      <c r="S90" s="20" t="inlineStr">
        <is>
          <t>WIP</t>
        </is>
      </c>
      <c r="T90" s="31" t="n"/>
      <c r="U90" s="38" t="n"/>
      <c r="V90" s="34">
        <f>IF($U90="","",IFERROR(INDEX(Templates!$K$3:$K$10,MATCH($U90,Templates!$A$3:$A$10,0)),""))</f>
        <v/>
      </c>
      <c r="W90" s="34">
        <f>IF($U90="","",IFERROR(INDEX(Templates!$L$3:$L$10,MATCH($U90,Templates!$A$3:$A$10,0)),""))</f>
        <v/>
      </c>
      <c r="X90" s="21">
        <f>IF($U90="","",IFERROR(INDEX(Templates!$J$3:$J$10,MATCH($U90,Templates!$A$3:$A$10,0)),""))</f>
        <v/>
      </c>
      <c r="Y90" s="35">
        <f>IF(OR($U90="",$I90="",$J90="",$X90=""),"",$I90+$X90*($J90-$I90))</f>
        <v/>
      </c>
      <c r="Z90" s="30" t="n">
        <v>46212</v>
      </c>
      <c r="AA90" s="40" t="n"/>
      <c r="AB90" s="41" t="n"/>
      <c r="AC90" s="41" t="n"/>
      <c r="AD90" s="19">
        <f>IF($A90="","",IF($AA90="",$H90,$AA90))</f>
        <v/>
      </c>
      <c r="AE90" s="35">
        <f>IF($A90="","",IF($AB90="",$I90,$AB90))</f>
        <v/>
      </c>
      <c r="AF90" s="35">
        <f>IF($A90="","",IF($AC90="",$J90,$AC90))</f>
        <v/>
      </c>
      <c r="AG90" s="35">
        <f>IF(OR($U90="",$AE90="",$AF90="",$X90=""),"",$AE90+$X90*($AF90-$AE90))</f>
        <v/>
      </c>
      <c r="AH90" s="38" t="n"/>
      <c r="AI90" s="38" t="n"/>
      <c r="AJ90" s="38" t="n"/>
      <c r="AK90" s="38" t="n"/>
      <c r="AL90" s="38" t="n"/>
      <c r="AM90" s="38" t="n"/>
      <c r="AN90" s="38" t="n"/>
      <c r="AO90" s="38" t="n"/>
      <c r="AP90" s="38" t="n"/>
      <c r="AQ90" s="38" t="n"/>
      <c r="AR90" s="38" t="n"/>
      <c r="AS90" s="38" t="n"/>
      <c r="AT90" s="38" t="n"/>
      <c r="AU90" s="38" t="n"/>
      <c r="AV90" s="38" t="n"/>
      <c r="AW90" s="38" t="n"/>
      <c r="AX90" s="38" t="n"/>
      <c r="AY90" s="42" t="n"/>
      <c r="AZ90" s="42" t="n"/>
      <c r="BA90" s="42" t="n"/>
      <c r="BB90" s="42" t="n"/>
      <c r="BC90" s="42" t="n"/>
      <c r="BD90" s="37">
        <f>IF($A90="","",SUM($AY90:$BC90))</f>
        <v/>
      </c>
      <c r="BE90" s="18">
        <f>IF($A90="","",IF(AND($I90&lt;&gt;"",$J90&lt;&gt;""),MAX(1,($J90-$I90)/7),Templates!$B$35))</f>
        <v/>
      </c>
      <c r="BF90" s="18">
        <f>IF($A90="","",IF(AND($I90&lt;&gt;"",$J90&lt;&gt;""),MAX(1,($J90-$I90)/7),Templates!$B$36))</f>
        <v/>
      </c>
      <c r="BG90" s="18">
        <f>IF($A90="","",IF(AND($I90&lt;&gt;"",$J90&lt;&gt;""),MAX(1,($J90-$I90)/7),Templates!$B$37))</f>
        <v/>
      </c>
      <c r="BH90" s="18">
        <f>IF($A90="","",IF(AND($I90&lt;&gt;"",$J90&lt;&gt;""),MAX(1,($J90-$I90)/7),Templates!$B$38))</f>
        <v/>
      </c>
      <c r="BI90" s="18">
        <f>IF($A90="","",IF(AND($I90&lt;&gt;"",$J90&lt;&gt;""),MAX(1,($J90-$I90)/7),Templates!$B$39))</f>
        <v/>
      </c>
      <c r="BJ90" s="18">
        <f>IF(OR($A90="",$BD90=0),0,($AY90*Templates!$B$27/$BE90+$AZ90*Templates!$B$28/$BF90+$BA90*Templates!$B$29/$BG90+$BB90*Templates!$B$30/$BH90+$BC90*Templates!$B$31/$BI90)/Templates!$B$17)</f>
        <v/>
      </c>
      <c r="BK90" s="18">
        <f>IF(OR($A90="",$BD90=0),0,($AY90*Templates!$C$27/$BE90+$AZ90*Templates!$C$28/$BF90+$BA90*Templates!$C$29/$BG90+$BB90*Templates!$C$30/$BH90+$BC90*Templates!$C$31/$BI90)/Templates!$B$18)</f>
        <v/>
      </c>
      <c r="BL90" s="18">
        <f>IF(OR($A90="",$BD90=0),0,($AY90*Templates!$D$27/$BE90+$AZ90*Templates!$D$28/$BF90+$BA90*Templates!$D$29/$BG90+$BB90*Templates!$D$30/$BH90+$BC90*Templates!$D$31/$BI90)/Templates!$B$19)</f>
        <v/>
      </c>
      <c r="BM90" s="18">
        <f>IF(OR($A90="",$BD90=0),0,($AY90*Templates!$E$27/$BE90+$AZ90*Templates!$E$28/$BF90+$BA90*Templates!$E$29/$BG90+$BB90*Templates!$E$30/$BH90+$BC90*Templates!$E$31/$BI90)/Templates!$B$20)</f>
        <v/>
      </c>
      <c r="BN90" s="18">
        <f>IF(OR($A90="",$BD90=0),0,($AY90*Templates!$F$27/$BE90+$AZ90*Templates!$F$28/$BF90+$BA90*Templates!$F$29/$BG90+$BB90*Templates!$F$30/$BH90+$BC90*Templates!$F$31/$BI90)/Templates!$B$21)</f>
        <v/>
      </c>
      <c r="BO90" s="18">
        <f>IF(OR($A90="",$BD90=0),0,($AY90*Templates!$G$27/$BE90+$AZ90*Templates!$G$28/$BF90+$BA90*Templates!$G$29/$BG90+$BB90*Templates!$G$30/$BH90+$BC90*Templates!$G$31/$BI90)/Templates!$B$22)</f>
        <v/>
      </c>
      <c r="BP90" s="18">
        <f>IF(OR($A90="",$BD90=0),0,($AY90*Templates!$H$27/$BE90+$AZ90*Templates!$H$28/$BF90+$BA90*Templates!$H$29/$BG90+$BB90*Templates!$H$30/$BH90+$BC90*Templates!$H$31/$BI90)/Templates!$B$23)</f>
        <v/>
      </c>
    </row>
    <row r="91">
      <c r="A91" s="28" t="inlineStr">
        <is>
          <t>Hidden _1</t>
        </is>
      </c>
      <c r="B91" s="20" t="inlineStr">
        <is>
          <t>VALE Insurance Partners</t>
        </is>
      </c>
      <c r="C91" s="28" t="inlineStr">
        <is>
          <t>VALE Insurance Partners</t>
        </is>
      </c>
      <c r="D91" s="28" t="inlineStr"/>
      <c r="E91" s="28" t="inlineStr">
        <is>
          <t>No</t>
        </is>
      </c>
      <c r="F91" s="28" t="inlineStr">
        <is>
          <t>Active</t>
        </is>
      </c>
      <c r="G91" s="38" t="n"/>
      <c r="H91" s="29" t="n">
        <v>1</v>
      </c>
      <c r="I91" s="39" t="n"/>
      <c r="J91" s="39" t="n"/>
      <c r="K91" s="31" t="n"/>
      <c r="L91" s="31" t="n"/>
      <c r="M91" s="31" t="n"/>
      <c r="N91" s="31" t="n"/>
      <c r="O91" s="31" t="n"/>
      <c r="P91" s="31" t="n"/>
      <c r="Q91" s="23">
        <f>IF($A91="","",COUNTIFS(Assignments!$C$2:$C$769,$A91,Assignments!$G$2:$G$769,"Active"))</f>
        <v/>
      </c>
      <c r="R91" s="32">
        <f>IF($A91="","",SUMIFS(Assignments!$I$2:$I$769,Assignments!$C$2:$C$769,$A91,Assignments!$G$2:$G$769,"Active"))</f>
        <v/>
      </c>
      <c r="S91" s="20" t="inlineStr">
        <is>
          <t>WIP</t>
        </is>
      </c>
      <c r="T91" s="31" t="n"/>
      <c r="U91" s="38" t="n"/>
      <c r="V91" s="34">
        <f>IF($U91="","",IFERROR(INDEX(Templates!$K$3:$K$10,MATCH($U91,Templates!$A$3:$A$10,0)),""))</f>
        <v/>
      </c>
      <c r="W91" s="34">
        <f>IF($U91="","",IFERROR(INDEX(Templates!$L$3:$L$10,MATCH($U91,Templates!$A$3:$A$10,0)),""))</f>
        <v/>
      </c>
      <c r="X91" s="21">
        <f>IF($U91="","",IFERROR(INDEX(Templates!$J$3:$J$10,MATCH($U91,Templates!$A$3:$A$10,0)),""))</f>
        <v/>
      </c>
      <c r="Y91" s="35">
        <f>IF(OR($U91="",$I91="",$J91="",$X91=""),"",$I91+$X91*($J91-$I91))</f>
        <v/>
      </c>
      <c r="Z91" s="30" t="n">
        <v>46212</v>
      </c>
      <c r="AA91" s="40" t="n"/>
      <c r="AB91" s="41" t="n"/>
      <c r="AC91" s="41" t="n"/>
      <c r="AD91" s="19">
        <f>IF($A91="","",IF($AA91="",$H91,$AA91))</f>
        <v/>
      </c>
      <c r="AE91" s="35">
        <f>IF($A91="","",IF($AB91="",$I91,$AB91))</f>
        <v/>
      </c>
      <c r="AF91" s="35">
        <f>IF($A91="","",IF($AC91="",$J91,$AC91))</f>
        <v/>
      </c>
      <c r="AG91" s="35">
        <f>IF(OR($U91="",$AE91="",$AF91="",$X91=""),"",$AE91+$X91*($AF91-$AE91))</f>
        <v/>
      </c>
      <c r="AH91" s="38" t="n"/>
      <c r="AI91" s="38" t="n"/>
      <c r="AJ91" s="38" t="n"/>
      <c r="AK91" s="38" t="n"/>
      <c r="AL91" s="38" t="n"/>
      <c r="AM91" s="38" t="n"/>
      <c r="AN91" s="38" t="n"/>
      <c r="AO91" s="38" t="n"/>
      <c r="AP91" s="38" t="n"/>
      <c r="AQ91" s="38" t="n"/>
      <c r="AR91" s="38" t="n"/>
      <c r="AS91" s="38" t="n"/>
      <c r="AT91" s="38" t="n"/>
      <c r="AU91" s="38" t="n"/>
      <c r="AV91" s="38" t="n"/>
      <c r="AW91" s="38" t="n"/>
      <c r="AX91" s="38" t="n"/>
      <c r="AY91" s="42" t="n"/>
      <c r="AZ91" s="42" t="n"/>
      <c r="BA91" s="42" t="n"/>
      <c r="BB91" s="42" t="n"/>
      <c r="BC91" s="42" t="n"/>
      <c r="BD91" s="37">
        <f>IF($A91="","",SUM($AY91:$BC91))</f>
        <v/>
      </c>
      <c r="BE91" s="18">
        <f>IF($A91="","",IF(AND($I91&lt;&gt;"",$J91&lt;&gt;""),MAX(1,($J91-$I91)/7),Templates!$B$35))</f>
        <v/>
      </c>
      <c r="BF91" s="18">
        <f>IF($A91="","",IF(AND($I91&lt;&gt;"",$J91&lt;&gt;""),MAX(1,($J91-$I91)/7),Templates!$B$36))</f>
        <v/>
      </c>
      <c r="BG91" s="18">
        <f>IF($A91="","",IF(AND($I91&lt;&gt;"",$J91&lt;&gt;""),MAX(1,($J91-$I91)/7),Templates!$B$37))</f>
        <v/>
      </c>
      <c r="BH91" s="18">
        <f>IF($A91="","",IF(AND($I91&lt;&gt;"",$J91&lt;&gt;""),MAX(1,($J91-$I91)/7),Templates!$B$38))</f>
        <v/>
      </c>
      <c r="BI91" s="18">
        <f>IF($A91="","",IF(AND($I91&lt;&gt;"",$J91&lt;&gt;""),MAX(1,($J91-$I91)/7),Templates!$B$39))</f>
        <v/>
      </c>
      <c r="BJ91" s="18">
        <f>IF(OR($A91="",$BD91=0),0,($AY91*Templates!$B$27/$BE91+$AZ91*Templates!$B$28/$BF91+$BA91*Templates!$B$29/$BG91+$BB91*Templates!$B$30/$BH91+$BC91*Templates!$B$31/$BI91)/Templates!$B$17)</f>
        <v/>
      </c>
      <c r="BK91" s="18">
        <f>IF(OR($A91="",$BD91=0),0,($AY91*Templates!$C$27/$BE91+$AZ91*Templates!$C$28/$BF91+$BA91*Templates!$C$29/$BG91+$BB91*Templates!$C$30/$BH91+$BC91*Templates!$C$31/$BI91)/Templates!$B$18)</f>
        <v/>
      </c>
      <c r="BL91" s="18">
        <f>IF(OR($A91="",$BD91=0),0,($AY91*Templates!$D$27/$BE91+$AZ91*Templates!$D$28/$BF91+$BA91*Templates!$D$29/$BG91+$BB91*Templates!$D$30/$BH91+$BC91*Templates!$D$31/$BI91)/Templates!$B$19)</f>
        <v/>
      </c>
      <c r="BM91" s="18">
        <f>IF(OR($A91="",$BD91=0),0,($AY91*Templates!$E$27/$BE91+$AZ91*Templates!$E$28/$BF91+$BA91*Templates!$E$29/$BG91+$BB91*Templates!$E$30/$BH91+$BC91*Templates!$E$31/$BI91)/Templates!$B$20)</f>
        <v/>
      </c>
      <c r="BN91" s="18">
        <f>IF(OR($A91="",$BD91=0),0,($AY91*Templates!$F$27/$BE91+$AZ91*Templates!$F$28/$BF91+$BA91*Templates!$F$29/$BG91+$BB91*Templates!$F$30/$BH91+$BC91*Templates!$F$31/$BI91)/Templates!$B$21)</f>
        <v/>
      </c>
      <c r="BO91" s="18">
        <f>IF(OR($A91="",$BD91=0),0,($AY91*Templates!$G$27/$BE91+$AZ91*Templates!$G$28/$BF91+$BA91*Templates!$G$29/$BG91+$BB91*Templates!$G$30/$BH91+$BC91*Templates!$G$31/$BI91)/Templates!$B$22)</f>
        <v/>
      </c>
      <c r="BP91" s="18">
        <f>IF(OR($A91="",$BD91=0),0,($AY91*Templates!$H$27/$BE91+$AZ91*Templates!$H$28/$BF91+$BA91*Templates!$H$29/$BG91+$BB91*Templates!$H$30/$BH91+$BC91*Templates!$H$31/$BI91)/Templates!$B$23)</f>
        <v/>
      </c>
    </row>
    <row r="92">
      <c r="A92" s="28" t="inlineStr">
        <is>
          <t>Hop_1</t>
        </is>
      </c>
      <c r="B92" s="20" t="inlineStr">
        <is>
          <t>Lantern Learning Group</t>
        </is>
      </c>
      <c r="C92" s="28" t="inlineStr">
        <is>
          <t>Lantern Learning Group</t>
        </is>
      </c>
      <c r="D92" s="28" t="inlineStr"/>
      <c r="E92" s="28" t="inlineStr">
        <is>
          <t>No</t>
        </is>
      </c>
      <c r="F92" s="28" t="inlineStr">
        <is>
          <t>Active</t>
        </is>
      </c>
      <c r="G92" s="38" t="n"/>
      <c r="H92" s="29" t="n">
        <v>1</v>
      </c>
      <c r="I92" s="39" t="n"/>
      <c r="J92" s="39" t="n"/>
      <c r="K92" s="31" t="n"/>
      <c r="L92" s="31" t="n"/>
      <c r="M92" s="31" t="n"/>
      <c r="N92" s="31" t="n"/>
      <c r="O92" s="31" t="n"/>
      <c r="P92" s="31" t="n"/>
      <c r="Q92" s="23">
        <f>IF($A92="","",COUNTIFS(Assignments!$C$2:$C$769,$A92,Assignments!$G$2:$G$769,"Active"))</f>
        <v/>
      </c>
      <c r="R92" s="32">
        <f>IF($A92="","",SUMIFS(Assignments!$I$2:$I$769,Assignments!$C$2:$C$769,$A92,Assignments!$G$2:$G$769,"Active"))</f>
        <v/>
      </c>
      <c r="S92" s="20" t="inlineStr">
        <is>
          <t>WIP</t>
        </is>
      </c>
      <c r="T92" s="31" t="n"/>
      <c r="U92" s="38" t="n"/>
      <c r="V92" s="34">
        <f>IF($U92="","",IFERROR(INDEX(Templates!$K$3:$K$10,MATCH($U92,Templates!$A$3:$A$10,0)),""))</f>
        <v/>
      </c>
      <c r="W92" s="34">
        <f>IF($U92="","",IFERROR(INDEX(Templates!$L$3:$L$10,MATCH($U92,Templates!$A$3:$A$10,0)),""))</f>
        <v/>
      </c>
      <c r="X92" s="21">
        <f>IF($U92="","",IFERROR(INDEX(Templates!$J$3:$J$10,MATCH($U92,Templates!$A$3:$A$10,0)),""))</f>
        <v/>
      </c>
      <c r="Y92" s="35">
        <f>IF(OR($U92="",$I92="",$J92="",$X92=""),"",$I92+$X92*($J92-$I92))</f>
        <v/>
      </c>
      <c r="Z92" s="30" t="n">
        <v>46212</v>
      </c>
      <c r="AA92" s="40" t="n"/>
      <c r="AB92" s="41" t="n"/>
      <c r="AC92" s="41" t="n"/>
      <c r="AD92" s="19">
        <f>IF($A92="","",IF($AA92="",$H92,$AA92))</f>
        <v/>
      </c>
      <c r="AE92" s="35">
        <f>IF($A92="","",IF($AB92="",$I92,$AB92))</f>
        <v/>
      </c>
      <c r="AF92" s="35">
        <f>IF($A92="","",IF($AC92="",$J92,$AC92))</f>
        <v/>
      </c>
      <c r="AG92" s="35">
        <f>IF(OR($U92="",$AE92="",$AF92="",$X92=""),"",$AE92+$X92*($AF92-$AE92))</f>
        <v/>
      </c>
      <c r="AH92" s="38" t="n"/>
      <c r="AI92" s="38" t="n"/>
      <c r="AJ92" s="38" t="n"/>
      <c r="AK92" s="38" t="n"/>
      <c r="AL92" s="38" t="n"/>
      <c r="AM92" s="38" t="n"/>
      <c r="AN92" s="38" t="n"/>
      <c r="AO92" s="38" t="n"/>
      <c r="AP92" s="38" t="n"/>
      <c r="AQ92" s="38" t="n"/>
      <c r="AR92" s="38" t="n"/>
      <c r="AS92" s="38" t="n"/>
      <c r="AT92" s="38" t="n"/>
      <c r="AU92" s="38" t="n"/>
      <c r="AV92" s="38" t="n"/>
      <c r="AW92" s="38" t="n"/>
      <c r="AX92" s="38" t="n"/>
      <c r="AY92" s="42" t="n"/>
      <c r="AZ92" s="42" t="n"/>
      <c r="BA92" s="42" t="n"/>
      <c r="BB92" s="42" t="n"/>
      <c r="BC92" s="42" t="n"/>
      <c r="BD92" s="37">
        <f>IF($A92="","",SUM($AY92:$BC92))</f>
        <v/>
      </c>
      <c r="BE92" s="18">
        <f>IF($A92="","",IF(AND($I92&lt;&gt;"",$J92&lt;&gt;""),MAX(1,($J92-$I92)/7),Templates!$B$35))</f>
        <v/>
      </c>
      <c r="BF92" s="18">
        <f>IF($A92="","",IF(AND($I92&lt;&gt;"",$J92&lt;&gt;""),MAX(1,($J92-$I92)/7),Templates!$B$36))</f>
        <v/>
      </c>
      <c r="BG92" s="18">
        <f>IF($A92="","",IF(AND($I92&lt;&gt;"",$J92&lt;&gt;""),MAX(1,($J92-$I92)/7),Templates!$B$37))</f>
        <v/>
      </c>
      <c r="BH92" s="18">
        <f>IF($A92="","",IF(AND($I92&lt;&gt;"",$J92&lt;&gt;""),MAX(1,($J92-$I92)/7),Templates!$B$38))</f>
        <v/>
      </c>
      <c r="BI92" s="18">
        <f>IF($A92="","",IF(AND($I92&lt;&gt;"",$J92&lt;&gt;""),MAX(1,($J92-$I92)/7),Templates!$B$39))</f>
        <v/>
      </c>
      <c r="BJ92" s="18">
        <f>IF(OR($A92="",$BD92=0),0,($AY92*Templates!$B$27/$BE92+$AZ92*Templates!$B$28/$BF92+$BA92*Templates!$B$29/$BG92+$BB92*Templates!$B$30/$BH92+$BC92*Templates!$B$31/$BI92)/Templates!$B$17)</f>
        <v/>
      </c>
      <c r="BK92" s="18">
        <f>IF(OR($A92="",$BD92=0),0,($AY92*Templates!$C$27/$BE92+$AZ92*Templates!$C$28/$BF92+$BA92*Templates!$C$29/$BG92+$BB92*Templates!$C$30/$BH92+$BC92*Templates!$C$31/$BI92)/Templates!$B$18)</f>
        <v/>
      </c>
      <c r="BL92" s="18">
        <f>IF(OR($A92="",$BD92=0),0,($AY92*Templates!$D$27/$BE92+$AZ92*Templates!$D$28/$BF92+$BA92*Templates!$D$29/$BG92+$BB92*Templates!$D$30/$BH92+$BC92*Templates!$D$31/$BI92)/Templates!$B$19)</f>
        <v/>
      </c>
      <c r="BM92" s="18">
        <f>IF(OR($A92="",$BD92=0),0,($AY92*Templates!$E$27/$BE92+$AZ92*Templates!$E$28/$BF92+$BA92*Templates!$E$29/$BG92+$BB92*Templates!$E$30/$BH92+$BC92*Templates!$E$31/$BI92)/Templates!$B$20)</f>
        <v/>
      </c>
      <c r="BN92" s="18">
        <f>IF(OR($A92="",$BD92=0),0,($AY92*Templates!$F$27/$BE92+$AZ92*Templates!$F$28/$BF92+$BA92*Templates!$F$29/$BG92+$BB92*Templates!$F$30/$BH92+$BC92*Templates!$F$31/$BI92)/Templates!$B$21)</f>
        <v/>
      </c>
      <c r="BO92" s="18">
        <f>IF(OR($A92="",$BD92=0),0,($AY92*Templates!$G$27/$BE92+$AZ92*Templates!$G$28/$BF92+$BA92*Templates!$G$29/$BG92+$BB92*Templates!$G$30/$BH92+$BC92*Templates!$G$31/$BI92)/Templates!$B$22)</f>
        <v/>
      </c>
      <c r="BP92" s="18">
        <f>IF(OR($A92="",$BD92=0),0,($AY92*Templates!$H$27/$BE92+$AZ92*Templates!$H$28/$BF92+$BA92*Templates!$H$29/$BG92+$BB92*Templates!$H$30/$BH92+$BC92*Templates!$H$31/$BI92)/Templates!$B$23)</f>
        <v/>
      </c>
    </row>
    <row r="93">
      <c r="A93" s="28" t="inlineStr">
        <is>
          <t>Horizon_3</t>
        </is>
      </c>
      <c r="B93" s="20" t="inlineStr">
        <is>
          <t>Q-Energy Private Equity</t>
        </is>
      </c>
      <c r="C93" s="28" t="inlineStr">
        <is>
          <t>Q-Energy Private Equity</t>
        </is>
      </c>
      <c r="D93" s="28" t="inlineStr"/>
      <c r="E93" s="28" t="inlineStr">
        <is>
          <t>No</t>
        </is>
      </c>
      <c r="F93" s="28" t="inlineStr">
        <is>
          <t>Active</t>
        </is>
      </c>
      <c r="G93" s="38" t="n"/>
      <c r="H93" s="29" t="n">
        <v>1</v>
      </c>
      <c r="I93" s="39" t="n"/>
      <c r="J93" s="39" t="n"/>
      <c r="K93" s="31" t="n"/>
      <c r="L93" s="31" t="n"/>
      <c r="M93" s="31" t="n"/>
      <c r="N93" s="31" t="n"/>
      <c r="O93" s="31" t="n"/>
      <c r="P93" s="31" t="n"/>
      <c r="Q93" s="23">
        <f>IF($A93="","",COUNTIFS(Assignments!$C$2:$C$769,$A93,Assignments!$G$2:$G$769,"Active"))</f>
        <v/>
      </c>
      <c r="R93" s="32">
        <f>IF($A93="","",SUMIFS(Assignments!$I$2:$I$769,Assignments!$C$2:$C$769,$A93,Assignments!$G$2:$G$769,"Active"))</f>
        <v/>
      </c>
      <c r="S93" s="20" t="inlineStr">
        <is>
          <t>WIP</t>
        </is>
      </c>
      <c r="T93" s="31" t="n"/>
      <c r="U93" s="38" t="n"/>
      <c r="V93" s="34">
        <f>IF($U93="","",IFERROR(INDEX(Templates!$K$3:$K$10,MATCH($U93,Templates!$A$3:$A$10,0)),""))</f>
        <v/>
      </c>
      <c r="W93" s="34">
        <f>IF($U93="","",IFERROR(INDEX(Templates!$L$3:$L$10,MATCH($U93,Templates!$A$3:$A$10,0)),""))</f>
        <v/>
      </c>
      <c r="X93" s="21">
        <f>IF($U93="","",IFERROR(INDEX(Templates!$J$3:$J$10,MATCH($U93,Templates!$A$3:$A$10,0)),""))</f>
        <v/>
      </c>
      <c r="Y93" s="35">
        <f>IF(OR($U93="",$I93="",$J93="",$X93=""),"",$I93+$X93*($J93-$I93))</f>
        <v/>
      </c>
      <c r="Z93" s="30" t="n">
        <v>46212</v>
      </c>
      <c r="AA93" s="40" t="n"/>
      <c r="AB93" s="41" t="n"/>
      <c r="AC93" s="41" t="n"/>
      <c r="AD93" s="19">
        <f>IF($A93="","",IF($AA93="",$H93,$AA93))</f>
        <v/>
      </c>
      <c r="AE93" s="35">
        <f>IF($A93="","",IF($AB93="",$I93,$AB93))</f>
        <v/>
      </c>
      <c r="AF93" s="35">
        <f>IF($A93="","",IF($AC93="",$J93,$AC93))</f>
        <v/>
      </c>
      <c r="AG93" s="35">
        <f>IF(OR($U93="",$AE93="",$AF93="",$X93=""),"",$AE93+$X93*($AF93-$AE93))</f>
        <v/>
      </c>
      <c r="AH93" s="38" t="n"/>
      <c r="AI93" s="38" t="n"/>
      <c r="AJ93" s="38" t="n"/>
      <c r="AK93" s="38" t="n"/>
      <c r="AL93" s="38" t="n"/>
      <c r="AM93" s="38" t="n"/>
      <c r="AN93" s="38" t="n"/>
      <c r="AO93" s="38" t="n"/>
      <c r="AP93" s="38" t="n"/>
      <c r="AQ93" s="38" t="n"/>
      <c r="AR93" s="38" t="n"/>
      <c r="AS93" s="38" t="n"/>
      <c r="AT93" s="38" t="n"/>
      <c r="AU93" s="38" t="n"/>
      <c r="AV93" s="38" t="n"/>
      <c r="AW93" s="38" t="n"/>
      <c r="AX93" s="38" t="n"/>
      <c r="AY93" s="42" t="n"/>
      <c r="AZ93" s="42" t="n"/>
      <c r="BA93" s="42" t="n"/>
      <c r="BB93" s="42" t="n"/>
      <c r="BC93" s="42" t="n"/>
      <c r="BD93" s="37">
        <f>IF($A93="","",SUM($AY93:$BC93))</f>
        <v/>
      </c>
      <c r="BE93" s="18">
        <f>IF($A93="","",IF(AND($I93&lt;&gt;"",$J93&lt;&gt;""),MAX(1,($J93-$I93)/7),Templates!$B$35))</f>
        <v/>
      </c>
      <c r="BF93" s="18">
        <f>IF($A93="","",IF(AND($I93&lt;&gt;"",$J93&lt;&gt;""),MAX(1,($J93-$I93)/7),Templates!$B$36))</f>
        <v/>
      </c>
      <c r="BG93" s="18">
        <f>IF($A93="","",IF(AND($I93&lt;&gt;"",$J93&lt;&gt;""),MAX(1,($J93-$I93)/7),Templates!$B$37))</f>
        <v/>
      </c>
      <c r="BH93" s="18">
        <f>IF($A93="","",IF(AND($I93&lt;&gt;"",$J93&lt;&gt;""),MAX(1,($J93-$I93)/7),Templates!$B$38))</f>
        <v/>
      </c>
      <c r="BI93" s="18">
        <f>IF($A93="","",IF(AND($I93&lt;&gt;"",$J93&lt;&gt;""),MAX(1,($J93-$I93)/7),Templates!$B$39))</f>
        <v/>
      </c>
      <c r="BJ93" s="18">
        <f>IF(OR($A93="",$BD93=0),0,($AY93*Templates!$B$27/$BE93+$AZ93*Templates!$B$28/$BF93+$BA93*Templates!$B$29/$BG93+$BB93*Templates!$B$30/$BH93+$BC93*Templates!$B$31/$BI93)/Templates!$B$17)</f>
        <v/>
      </c>
      <c r="BK93" s="18">
        <f>IF(OR($A93="",$BD93=0),0,($AY93*Templates!$C$27/$BE93+$AZ93*Templates!$C$28/$BF93+$BA93*Templates!$C$29/$BG93+$BB93*Templates!$C$30/$BH93+$BC93*Templates!$C$31/$BI93)/Templates!$B$18)</f>
        <v/>
      </c>
      <c r="BL93" s="18">
        <f>IF(OR($A93="",$BD93=0),0,($AY93*Templates!$D$27/$BE93+$AZ93*Templates!$D$28/$BF93+$BA93*Templates!$D$29/$BG93+$BB93*Templates!$D$30/$BH93+$BC93*Templates!$D$31/$BI93)/Templates!$B$19)</f>
        <v/>
      </c>
      <c r="BM93" s="18">
        <f>IF(OR($A93="",$BD93=0),0,($AY93*Templates!$E$27/$BE93+$AZ93*Templates!$E$28/$BF93+$BA93*Templates!$E$29/$BG93+$BB93*Templates!$E$30/$BH93+$BC93*Templates!$E$31/$BI93)/Templates!$B$20)</f>
        <v/>
      </c>
      <c r="BN93" s="18">
        <f>IF(OR($A93="",$BD93=0),0,($AY93*Templates!$F$27/$BE93+$AZ93*Templates!$F$28/$BF93+$BA93*Templates!$F$29/$BG93+$BB93*Templates!$F$30/$BH93+$BC93*Templates!$F$31/$BI93)/Templates!$B$21)</f>
        <v/>
      </c>
      <c r="BO93" s="18">
        <f>IF(OR($A93="",$BD93=0),0,($AY93*Templates!$G$27/$BE93+$AZ93*Templates!$G$28/$BF93+$BA93*Templates!$G$29/$BG93+$BB93*Templates!$G$30/$BH93+$BC93*Templates!$G$31/$BI93)/Templates!$B$22)</f>
        <v/>
      </c>
      <c r="BP93" s="18">
        <f>IF(OR($A93="",$BD93=0),0,($AY93*Templates!$H$27/$BE93+$AZ93*Templates!$H$28/$BF93+$BA93*Templates!$H$29/$BG93+$BB93*Templates!$H$30/$BH93+$BC93*Templates!$H$31/$BI93)/Templates!$B$23)</f>
        <v/>
      </c>
    </row>
    <row r="94">
      <c r="A94" s="28" t="inlineStr">
        <is>
          <t>HVDC Transmission_1</t>
        </is>
      </c>
      <c r="B94" s="20" t="inlineStr">
        <is>
          <t>American Terawatt, Inc.</t>
        </is>
      </c>
      <c r="C94" s="28" t="inlineStr">
        <is>
          <t>American Terawatt, Inc.</t>
        </is>
      </c>
      <c r="D94" s="28" t="inlineStr"/>
      <c r="E94" s="28" t="inlineStr">
        <is>
          <t>No</t>
        </is>
      </c>
      <c r="F94" s="28" t="inlineStr">
        <is>
          <t>Active</t>
        </is>
      </c>
      <c r="G94" s="38" t="n"/>
      <c r="H94" s="29" t="n">
        <v>1</v>
      </c>
      <c r="I94" s="39" t="n"/>
      <c r="J94" s="39" t="n"/>
      <c r="K94" s="31" t="n"/>
      <c r="L94" s="31" t="n"/>
      <c r="M94" s="31" t="n"/>
      <c r="N94" s="31" t="n"/>
      <c r="O94" s="31" t="n"/>
      <c r="P94" s="31" t="n"/>
      <c r="Q94" s="23">
        <f>IF($A94="","",COUNTIFS(Assignments!$C$2:$C$769,$A94,Assignments!$G$2:$G$769,"Active"))</f>
        <v/>
      </c>
      <c r="R94" s="32">
        <f>IF($A94="","",SUMIFS(Assignments!$I$2:$I$769,Assignments!$C$2:$C$769,$A94,Assignments!$G$2:$G$769,"Active"))</f>
        <v/>
      </c>
      <c r="S94" s="20" t="inlineStr">
        <is>
          <t>WIP</t>
        </is>
      </c>
      <c r="T94" s="31" t="n"/>
      <c r="U94" s="38" t="n"/>
      <c r="V94" s="34">
        <f>IF($U94="","",IFERROR(INDEX(Templates!$K$3:$K$10,MATCH($U94,Templates!$A$3:$A$10,0)),""))</f>
        <v/>
      </c>
      <c r="W94" s="34">
        <f>IF($U94="","",IFERROR(INDEX(Templates!$L$3:$L$10,MATCH($U94,Templates!$A$3:$A$10,0)),""))</f>
        <v/>
      </c>
      <c r="X94" s="21">
        <f>IF($U94="","",IFERROR(INDEX(Templates!$J$3:$J$10,MATCH($U94,Templates!$A$3:$A$10,0)),""))</f>
        <v/>
      </c>
      <c r="Y94" s="35">
        <f>IF(OR($U94="",$I94="",$J94="",$X94=""),"",$I94+$X94*($J94-$I94))</f>
        <v/>
      </c>
      <c r="Z94" s="30" t="n">
        <v>46212</v>
      </c>
      <c r="AA94" s="40" t="n"/>
      <c r="AB94" s="41" t="n"/>
      <c r="AC94" s="41" t="n"/>
      <c r="AD94" s="19">
        <f>IF($A94="","",IF($AA94="",$H94,$AA94))</f>
        <v/>
      </c>
      <c r="AE94" s="35">
        <f>IF($A94="","",IF($AB94="",$I94,$AB94))</f>
        <v/>
      </c>
      <c r="AF94" s="35">
        <f>IF($A94="","",IF($AC94="",$J94,$AC94))</f>
        <v/>
      </c>
      <c r="AG94" s="35">
        <f>IF(OR($U94="",$AE94="",$AF94="",$X94=""),"",$AE94+$X94*($AF94-$AE94))</f>
        <v/>
      </c>
      <c r="AH94" s="38" t="n"/>
      <c r="AI94" s="38" t="n"/>
      <c r="AJ94" s="38" t="n"/>
      <c r="AK94" s="38" t="n"/>
      <c r="AL94" s="38" t="n"/>
      <c r="AM94" s="38" t="n"/>
      <c r="AN94" s="38" t="n"/>
      <c r="AO94" s="38" t="n"/>
      <c r="AP94" s="38" t="n"/>
      <c r="AQ94" s="38" t="n"/>
      <c r="AR94" s="38" t="n"/>
      <c r="AS94" s="38" t="n"/>
      <c r="AT94" s="38" t="n"/>
      <c r="AU94" s="38" t="n"/>
      <c r="AV94" s="38" t="n"/>
      <c r="AW94" s="38" t="n"/>
      <c r="AX94" s="38" t="n"/>
      <c r="AY94" s="42" t="n"/>
      <c r="AZ94" s="42" t="n"/>
      <c r="BA94" s="42" t="n"/>
      <c r="BB94" s="42" t="n"/>
      <c r="BC94" s="42" t="n"/>
      <c r="BD94" s="37">
        <f>IF($A94="","",SUM($AY94:$BC94))</f>
        <v/>
      </c>
      <c r="BE94" s="18">
        <f>IF($A94="","",IF(AND($I94&lt;&gt;"",$J94&lt;&gt;""),MAX(1,($J94-$I94)/7),Templates!$B$35))</f>
        <v/>
      </c>
      <c r="BF94" s="18">
        <f>IF($A94="","",IF(AND($I94&lt;&gt;"",$J94&lt;&gt;""),MAX(1,($J94-$I94)/7),Templates!$B$36))</f>
        <v/>
      </c>
      <c r="BG94" s="18">
        <f>IF($A94="","",IF(AND($I94&lt;&gt;"",$J94&lt;&gt;""),MAX(1,($J94-$I94)/7),Templates!$B$37))</f>
        <v/>
      </c>
      <c r="BH94" s="18">
        <f>IF($A94="","",IF(AND($I94&lt;&gt;"",$J94&lt;&gt;""),MAX(1,($J94-$I94)/7),Templates!$B$38))</f>
        <v/>
      </c>
      <c r="BI94" s="18">
        <f>IF($A94="","",IF(AND($I94&lt;&gt;"",$J94&lt;&gt;""),MAX(1,($J94-$I94)/7),Templates!$B$39))</f>
        <v/>
      </c>
      <c r="BJ94" s="18">
        <f>IF(OR($A94="",$BD94=0),0,($AY94*Templates!$B$27/$BE94+$AZ94*Templates!$B$28/$BF94+$BA94*Templates!$B$29/$BG94+$BB94*Templates!$B$30/$BH94+$BC94*Templates!$B$31/$BI94)/Templates!$B$17)</f>
        <v/>
      </c>
      <c r="BK94" s="18">
        <f>IF(OR($A94="",$BD94=0),0,($AY94*Templates!$C$27/$BE94+$AZ94*Templates!$C$28/$BF94+$BA94*Templates!$C$29/$BG94+$BB94*Templates!$C$30/$BH94+$BC94*Templates!$C$31/$BI94)/Templates!$B$18)</f>
        <v/>
      </c>
      <c r="BL94" s="18">
        <f>IF(OR($A94="",$BD94=0),0,($AY94*Templates!$D$27/$BE94+$AZ94*Templates!$D$28/$BF94+$BA94*Templates!$D$29/$BG94+$BB94*Templates!$D$30/$BH94+$BC94*Templates!$D$31/$BI94)/Templates!$B$19)</f>
        <v/>
      </c>
      <c r="BM94" s="18">
        <f>IF(OR($A94="",$BD94=0),0,($AY94*Templates!$E$27/$BE94+$AZ94*Templates!$E$28/$BF94+$BA94*Templates!$E$29/$BG94+$BB94*Templates!$E$30/$BH94+$BC94*Templates!$E$31/$BI94)/Templates!$B$20)</f>
        <v/>
      </c>
      <c r="BN94" s="18">
        <f>IF(OR($A94="",$BD94=0),0,($AY94*Templates!$F$27/$BE94+$AZ94*Templates!$F$28/$BF94+$BA94*Templates!$F$29/$BG94+$BB94*Templates!$F$30/$BH94+$BC94*Templates!$F$31/$BI94)/Templates!$B$21)</f>
        <v/>
      </c>
      <c r="BO94" s="18">
        <f>IF(OR($A94="",$BD94=0),0,($AY94*Templates!$G$27/$BE94+$AZ94*Templates!$G$28/$BF94+$BA94*Templates!$G$29/$BG94+$BB94*Templates!$G$30/$BH94+$BC94*Templates!$G$31/$BI94)/Templates!$B$22)</f>
        <v/>
      </c>
      <c r="BP94" s="18">
        <f>IF(OR($A94="",$BD94=0),0,($AY94*Templates!$H$27/$BE94+$AZ94*Templates!$H$28/$BF94+$BA94*Templates!$H$29/$BG94+$BB94*Templates!$H$30/$BH94+$BC94*Templates!$H$31/$BI94)/Templates!$B$23)</f>
        <v/>
      </c>
    </row>
    <row r="95">
      <c r="A95" s="28" t="inlineStr">
        <is>
          <t>Hyacinth_1</t>
        </is>
      </c>
      <c r="B95" s="20" t="inlineStr">
        <is>
          <t>CFC Underwriting</t>
        </is>
      </c>
      <c r="C95" s="28" t="inlineStr">
        <is>
          <t>CFC Underwriting</t>
        </is>
      </c>
      <c r="D95" s="28" t="inlineStr"/>
      <c r="E95" s="28" t="inlineStr">
        <is>
          <t>No</t>
        </is>
      </c>
      <c r="F95" s="28" t="inlineStr">
        <is>
          <t>Active</t>
        </is>
      </c>
      <c r="G95" s="38" t="n"/>
      <c r="H95" s="29" t="n">
        <v>1</v>
      </c>
      <c r="I95" s="39" t="n"/>
      <c r="J95" s="39" t="n"/>
      <c r="K95" s="31" t="n"/>
      <c r="L95" s="31" t="n"/>
      <c r="M95" s="31" t="n"/>
      <c r="N95" s="31" t="n"/>
      <c r="O95" s="31" t="n"/>
      <c r="P95" s="31" t="n"/>
      <c r="Q95" s="23">
        <f>IF($A95="","",COUNTIFS(Assignments!$C$2:$C$769,$A95,Assignments!$G$2:$G$769,"Active"))</f>
        <v/>
      </c>
      <c r="R95" s="32">
        <f>IF($A95="","",SUMIFS(Assignments!$I$2:$I$769,Assignments!$C$2:$C$769,$A95,Assignments!$G$2:$G$769,"Active"))</f>
        <v/>
      </c>
      <c r="S95" s="20" t="inlineStr">
        <is>
          <t>WIP</t>
        </is>
      </c>
      <c r="T95" s="31" t="n"/>
      <c r="U95" s="38" t="n"/>
      <c r="V95" s="34">
        <f>IF($U95="","",IFERROR(INDEX(Templates!$K$3:$K$10,MATCH($U95,Templates!$A$3:$A$10,0)),""))</f>
        <v/>
      </c>
      <c r="W95" s="34">
        <f>IF($U95="","",IFERROR(INDEX(Templates!$L$3:$L$10,MATCH($U95,Templates!$A$3:$A$10,0)),""))</f>
        <v/>
      </c>
      <c r="X95" s="21">
        <f>IF($U95="","",IFERROR(INDEX(Templates!$J$3:$J$10,MATCH($U95,Templates!$A$3:$A$10,0)),""))</f>
        <v/>
      </c>
      <c r="Y95" s="35">
        <f>IF(OR($U95="",$I95="",$J95="",$X95=""),"",$I95+$X95*($J95-$I95))</f>
        <v/>
      </c>
      <c r="Z95" s="30" t="n">
        <v>46212</v>
      </c>
      <c r="AA95" s="40" t="n"/>
      <c r="AB95" s="41" t="n"/>
      <c r="AC95" s="41" t="n"/>
      <c r="AD95" s="19">
        <f>IF($A95="","",IF($AA95="",$H95,$AA95))</f>
        <v/>
      </c>
      <c r="AE95" s="35">
        <f>IF($A95="","",IF($AB95="",$I95,$AB95))</f>
        <v/>
      </c>
      <c r="AF95" s="35">
        <f>IF($A95="","",IF($AC95="",$J95,$AC95))</f>
        <v/>
      </c>
      <c r="AG95" s="35">
        <f>IF(OR($U95="",$AE95="",$AF95="",$X95=""),"",$AE95+$X95*($AF95-$AE95))</f>
        <v/>
      </c>
      <c r="AH95" s="38" t="n"/>
      <c r="AI95" s="38" t="n"/>
      <c r="AJ95" s="38" t="n"/>
      <c r="AK95" s="38" t="n"/>
      <c r="AL95" s="38" t="n"/>
      <c r="AM95" s="38" t="n"/>
      <c r="AN95" s="38" t="n"/>
      <c r="AO95" s="38" t="n"/>
      <c r="AP95" s="38" t="n"/>
      <c r="AQ95" s="38" t="n"/>
      <c r="AR95" s="38" t="n"/>
      <c r="AS95" s="38" t="n"/>
      <c r="AT95" s="38" t="n"/>
      <c r="AU95" s="38" t="n"/>
      <c r="AV95" s="38" t="n"/>
      <c r="AW95" s="38" t="n"/>
      <c r="AX95" s="38" t="n"/>
      <c r="AY95" s="42" t="n"/>
      <c r="AZ95" s="42" t="n"/>
      <c r="BA95" s="42" t="n"/>
      <c r="BB95" s="42" t="n"/>
      <c r="BC95" s="42" t="n"/>
      <c r="BD95" s="37">
        <f>IF($A95="","",SUM($AY95:$BC95))</f>
        <v/>
      </c>
      <c r="BE95" s="18">
        <f>IF($A95="","",IF(AND($I95&lt;&gt;"",$J95&lt;&gt;""),MAX(1,($J95-$I95)/7),Templates!$B$35))</f>
        <v/>
      </c>
      <c r="BF95" s="18">
        <f>IF($A95="","",IF(AND($I95&lt;&gt;"",$J95&lt;&gt;""),MAX(1,($J95-$I95)/7),Templates!$B$36))</f>
        <v/>
      </c>
      <c r="BG95" s="18">
        <f>IF($A95="","",IF(AND($I95&lt;&gt;"",$J95&lt;&gt;""),MAX(1,($J95-$I95)/7),Templates!$B$37))</f>
        <v/>
      </c>
      <c r="BH95" s="18">
        <f>IF($A95="","",IF(AND($I95&lt;&gt;"",$J95&lt;&gt;""),MAX(1,($J95-$I95)/7),Templates!$B$38))</f>
        <v/>
      </c>
      <c r="BI95" s="18">
        <f>IF($A95="","",IF(AND($I95&lt;&gt;"",$J95&lt;&gt;""),MAX(1,($J95-$I95)/7),Templates!$B$39))</f>
        <v/>
      </c>
      <c r="BJ95" s="18">
        <f>IF(OR($A95="",$BD95=0),0,($AY95*Templates!$B$27/$BE95+$AZ95*Templates!$B$28/$BF95+$BA95*Templates!$B$29/$BG95+$BB95*Templates!$B$30/$BH95+$BC95*Templates!$B$31/$BI95)/Templates!$B$17)</f>
        <v/>
      </c>
      <c r="BK95" s="18">
        <f>IF(OR($A95="",$BD95=0),0,($AY95*Templates!$C$27/$BE95+$AZ95*Templates!$C$28/$BF95+$BA95*Templates!$C$29/$BG95+$BB95*Templates!$C$30/$BH95+$BC95*Templates!$C$31/$BI95)/Templates!$B$18)</f>
        <v/>
      </c>
      <c r="BL95" s="18">
        <f>IF(OR($A95="",$BD95=0),0,($AY95*Templates!$D$27/$BE95+$AZ95*Templates!$D$28/$BF95+$BA95*Templates!$D$29/$BG95+$BB95*Templates!$D$30/$BH95+$BC95*Templates!$D$31/$BI95)/Templates!$B$19)</f>
        <v/>
      </c>
      <c r="BM95" s="18">
        <f>IF(OR($A95="",$BD95=0),0,($AY95*Templates!$E$27/$BE95+$AZ95*Templates!$E$28/$BF95+$BA95*Templates!$E$29/$BG95+$BB95*Templates!$E$30/$BH95+$BC95*Templates!$E$31/$BI95)/Templates!$B$20)</f>
        <v/>
      </c>
      <c r="BN95" s="18">
        <f>IF(OR($A95="",$BD95=0),0,($AY95*Templates!$F$27/$BE95+$AZ95*Templates!$F$28/$BF95+$BA95*Templates!$F$29/$BG95+$BB95*Templates!$F$30/$BH95+$BC95*Templates!$F$31/$BI95)/Templates!$B$21)</f>
        <v/>
      </c>
      <c r="BO95" s="18">
        <f>IF(OR($A95="",$BD95=0),0,($AY95*Templates!$G$27/$BE95+$AZ95*Templates!$G$28/$BF95+$BA95*Templates!$G$29/$BG95+$BB95*Templates!$G$30/$BH95+$BC95*Templates!$G$31/$BI95)/Templates!$B$22)</f>
        <v/>
      </c>
      <c r="BP95" s="18">
        <f>IF(OR($A95="",$BD95=0),0,($AY95*Templates!$H$27/$BE95+$AZ95*Templates!$H$28/$BF95+$BA95*Templates!$H$29/$BG95+$BB95*Templates!$H$30/$BH95+$BC95*Templates!$H$31/$BI95)/Templates!$B$23)</f>
        <v/>
      </c>
    </row>
    <row r="96">
      <c r="A96" s="28" t="inlineStr">
        <is>
          <t>Hydra_1</t>
        </is>
      </c>
      <c r="B96" s="20" t="inlineStr">
        <is>
          <t>Ethos Specialty Insurance Services</t>
        </is>
      </c>
      <c r="C96" s="28" t="inlineStr">
        <is>
          <t>Ethos Specialty Insurance Services</t>
        </is>
      </c>
      <c r="D96" s="28" t="inlineStr"/>
      <c r="E96" s="28" t="inlineStr">
        <is>
          <t>No</t>
        </is>
      </c>
      <c r="F96" s="28" t="inlineStr">
        <is>
          <t>Active</t>
        </is>
      </c>
      <c r="G96" s="38" t="n"/>
      <c r="H96" s="29" t="n">
        <v>1</v>
      </c>
      <c r="I96" s="39" t="n"/>
      <c r="J96" s="39" t="n"/>
      <c r="K96" s="31" t="n"/>
      <c r="L96" s="31" t="n"/>
      <c r="M96" s="31" t="n"/>
      <c r="N96" s="31" t="n"/>
      <c r="O96" s="31" t="n"/>
      <c r="P96" s="31" t="n"/>
      <c r="Q96" s="23">
        <f>IF($A96="","",COUNTIFS(Assignments!$C$2:$C$769,$A96,Assignments!$G$2:$G$769,"Active"))</f>
        <v/>
      </c>
      <c r="R96" s="32">
        <f>IF($A96="","",SUMIFS(Assignments!$I$2:$I$769,Assignments!$C$2:$C$769,$A96,Assignments!$G$2:$G$769,"Active"))</f>
        <v/>
      </c>
      <c r="S96" s="20" t="inlineStr">
        <is>
          <t>WIP</t>
        </is>
      </c>
      <c r="T96" s="31" t="n"/>
      <c r="U96" s="38" t="n"/>
      <c r="V96" s="34">
        <f>IF($U96="","",IFERROR(INDEX(Templates!$K$3:$K$10,MATCH($U96,Templates!$A$3:$A$10,0)),""))</f>
        <v/>
      </c>
      <c r="W96" s="34">
        <f>IF($U96="","",IFERROR(INDEX(Templates!$L$3:$L$10,MATCH($U96,Templates!$A$3:$A$10,0)),""))</f>
        <v/>
      </c>
      <c r="X96" s="21">
        <f>IF($U96="","",IFERROR(INDEX(Templates!$J$3:$J$10,MATCH($U96,Templates!$A$3:$A$10,0)),""))</f>
        <v/>
      </c>
      <c r="Y96" s="35">
        <f>IF(OR($U96="",$I96="",$J96="",$X96=""),"",$I96+$X96*($J96-$I96))</f>
        <v/>
      </c>
      <c r="Z96" s="30" t="n">
        <v>46212</v>
      </c>
      <c r="AA96" s="40" t="n"/>
      <c r="AB96" s="41" t="n"/>
      <c r="AC96" s="41" t="n"/>
      <c r="AD96" s="19">
        <f>IF($A96="","",IF($AA96="",$H96,$AA96))</f>
        <v/>
      </c>
      <c r="AE96" s="35">
        <f>IF($A96="","",IF($AB96="",$I96,$AB96))</f>
        <v/>
      </c>
      <c r="AF96" s="35">
        <f>IF($A96="","",IF($AC96="",$J96,$AC96))</f>
        <v/>
      </c>
      <c r="AG96" s="35">
        <f>IF(OR($U96="",$AE96="",$AF96="",$X96=""),"",$AE96+$X96*($AF96-$AE96))</f>
        <v/>
      </c>
      <c r="AH96" s="38" t="n"/>
      <c r="AI96" s="38" t="n"/>
      <c r="AJ96" s="38" t="n"/>
      <c r="AK96" s="38" t="n"/>
      <c r="AL96" s="38" t="n"/>
      <c r="AM96" s="38" t="n"/>
      <c r="AN96" s="38" t="n"/>
      <c r="AO96" s="38" t="n"/>
      <c r="AP96" s="38" t="n"/>
      <c r="AQ96" s="38" t="n"/>
      <c r="AR96" s="38" t="n"/>
      <c r="AS96" s="38" t="n"/>
      <c r="AT96" s="38" t="n"/>
      <c r="AU96" s="38" t="n"/>
      <c r="AV96" s="38" t="n"/>
      <c r="AW96" s="38" t="n"/>
      <c r="AX96" s="38" t="n"/>
      <c r="AY96" s="42" t="n"/>
      <c r="AZ96" s="42" t="n"/>
      <c r="BA96" s="42" t="n"/>
      <c r="BB96" s="42" t="n"/>
      <c r="BC96" s="42" t="n"/>
      <c r="BD96" s="37">
        <f>IF($A96="","",SUM($AY96:$BC96))</f>
        <v/>
      </c>
      <c r="BE96" s="18">
        <f>IF($A96="","",IF(AND($I96&lt;&gt;"",$J96&lt;&gt;""),MAX(1,($J96-$I96)/7),Templates!$B$35))</f>
        <v/>
      </c>
      <c r="BF96" s="18">
        <f>IF($A96="","",IF(AND($I96&lt;&gt;"",$J96&lt;&gt;""),MAX(1,($J96-$I96)/7),Templates!$B$36))</f>
        <v/>
      </c>
      <c r="BG96" s="18">
        <f>IF($A96="","",IF(AND($I96&lt;&gt;"",$J96&lt;&gt;""),MAX(1,($J96-$I96)/7),Templates!$B$37))</f>
        <v/>
      </c>
      <c r="BH96" s="18">
        <f>IF($A96="","",IF(AND($I96&lt;&gt;"",$J96&lt;&gt;""),MAX(1,($J96-$I96)/7),Templates!$B$38))</f>
        <v/>
      </c>
      <c r="BI96" s="18">
        <f>IF($A96="","",IF(AND($I96&lt;&gt;"",$J96&lt;&gt;""),MAX(1,($J96-$I96)/7),Templates!$B$39))</f>
        <v/>
      </c>
      <c r="BJ96" s="18">
        <f>IF(OR($A96="",$BD96=0),0,($AY96*Templates!$B$27/$BE96+$AZ96*Templates!$B$28/$BF96+$BA96*Templates!$B$29/$BG96+$BB96*Templates!$B$30/$BH96+$BC96*Templates!$B$31/$BI96)/Templates!$B$17)</f>
        <v/>
      </c>
      <c r="BK96" s="18">
        <f>IF(OR($A96="",$BD96=0),0,($AY96*Templates!$C$27/$BE96+$AZ96*Templates!$C$28/$BF96+$BA96*Templates!$C$29/$BG96+$BB96*Templates!$C$30/$BH96+$BC96*Templates!$C$31/$BI96)/Templates!$B$18)</f>
        <v/>
      </c>
      <c r="BL96" s="18">
        <f>IF(OR($A96="",$BD96=0),0,($AY96*Templates!$D$27/$BE96+$AZ96*Templates!$D$28/$BF96+$BA96*Templates!$D$29/$BG96+$BB96*Templates!$D$30/$BH96+$BC96*Templates!$D$31/$BI96)/Templates!$B$19)</f>
        <v/>
      </c>
      <c r="BM96" s="18">
        <f>IF(OR($A96="",$BD96=0),0,($AY96*Templates!$E$27/$BE96+$AZ96*Templates!$E$28/$BF96+$BA96*Templates!$E$29/$BG96+$BB96*Templates!$E$30/$BH96+$BC96*Templates!$E$31/$BI96)/Templates!$B$20)</f>
        <v/>
      </c>
      <c r="BN96" s="18">
        <f>IF(OR($A96="",$BD96=0),0,($AY96*Templates!$F$27/$BE96+$AZ96*Templates!$F$28/$BF96+$BA96*Templates!$F$29/$BG96+$BB96*Templates!$F$30/$BH96+$BC96*Templates!$F$31/$BI96)/Templates!$B$21)</f>
        <v/>
      </c>
      <c r="BO96" s="18">
        <f>IF(OR($A96="",$BD96=0),0,($AY96*Templates!$G$27/$BE96+$AZ96*Templates!$G$28/$BF96+$BA96*Templates!$G$29/$BG96+$BB96*Templates!$G$30/$BH96+$BC96*Templates!$G$31/$BI96)/Templates!$B$22)</f>
        <v/>
      </c>
      <c r="BP96" s="18">
        <f>IF(OR($A96="",$BD96=0),0,($AY96*Templates!$H$27/$BE96+$AZ96*Templates!$H$28/$BF96+$BA96*Templates!$H$29/$BG96+$BB96*Templates!$H$30/$BH96+$BC96*Templates!$H$31/$BI96)/Templates!$B$23)</f>
        <v/>
      </c>
    </row>
    <row r="97">
      <c r="A97" s="28" t="inlineStr">
        <is>
          <t>i3 Broadband _1</t>
        </is>
      </c>
      <c r="B97" s="20" t="inlineStr">
        <is>
          <t>Wren House Infrastructure</t>
        </is>
      </c>
      <c r="C97" s="28" t="inlineStr">
        <is>
          <t>Wren House Infrastructure</t>
        </is>
      </c>
      <c r="D97" s="28" t="inlineStr"/>
      <c r="E97" s="28" t="inlineStr">
        <is>
          <t>No</t>
        </is>
      </c>
      <c r="F97" s="28" t="inlineStr">
        <is>
          <t>Active</t>
        </is>
      </c>
      <c r="G97" s="38" t="n"/>
      <c r="H97" s="29" t="n">
        <v>1</v>
      </c>
      <c r="I97" s="39" t="n"/>
      <c r="J97" s="39" t="n"/>
      <c r="K97" s="31" t="n"/>
      <c r="L97" s="31" t="n"/>
      <c r="M97" s="31" t="n"/>
      <c r="N97" s="31" t="n"/>
      <c r="O97" s="31" t="n"/>
      <c r="P97" s="31" t="n"/>
      <c r="Q97" s="23">
        <f>IF($A97="","",COUNTIFS(Assignments!$C$2:$C$769,$A97,Assignments!$G$2:$G$769,"Active"))</f>
        <v/>
      </c>
      <c r="R97" s="32">
        <f>IF($A97="","",SUMIFS(Assignments!$I$2:$I$769,Assignments!$C$2:$C$769,$A97,Assignments!$G$2:$G$769,"Active"))</f>
        <v/>
      </c>
      <c r="S97" s="20" t="inlineStr">
        <is>
          <t>WIP</t>
        </is>
      </c>
      <c r="T97" s="31" t="n"/>
      <c r="U97" s="38" t="n"/>
      <c r="V97" s="34">
        <f>IF($U97="","",IFERROR(INDEX(Templates!$K$3:$K$10,MATCH($U97,Templates!$A$3:$A$10,0)),""))</f>
        <v/>
      </c>
      <c r="W97" s="34">
        <f>IF($U97="","",IFERROR(INDEX(Templates!$L$3:$L$10,MATCH($U97,Templates!$A$3:$A$10,0)),""))</f>
        <v/>
      </c>
      <c r="X97" s="21">
        <f>IF($U97="","",IFERROR(INDEX(Templates!$J$3:$J$10,MATCH($U97,Templates!$A$3:$A$10,0)),""))</f>
        <v/>
      </c>
      <c r="Y97" s="35">
        <f>IF(OR($U97="",$I97="",$J97="",$X97=""),"",$I97+$X97*($J97-$I97))</f>
        <v/>
      </c>
      <c r="Z97" s="30" t="n">
        <v>46212</v>
      </c>
      <c r="AA97" s="40" t="n"/>
      <c r="AB97" s="41" t="n"/>
      <c r="AC97" s="41" t="n"/>
      <c r="AD97" s="19">
        <f>IF($A97="","",IF($AA97="",$H97,$AA97))</f>
        <v/>
      </c>
      <c r="AE97" s="35">
        <f>IF($A97="","",IF($AB97="",$I97,$AB97))</f>
        <v/>
      </c>
      <c r="AF97" s="35">
        <f>IF($A97="","",IF($AC97="",$J97,$AC97))</f>
        <v/>
      </c>
      <c r="AG97" s="35">
        <f>IF(OR($U97="",$AE97="",$AF97="",$X97=""),"",$AE97+$X97*($AF97-$AE97))</f>
        <v/>
      </c>
      <c r="AH97" s="38" t="n"/>
      <c r="AI97" s="38" t="n"/>
      <c r="AJ97" s="38" t="n"/>
      <c r="AK97" s="38" t="n"/>
      <c r="AL97" s="38" t="n"/>
      <c r="AM97" s="38" t="n"/>
      <c r="AN97" s="38" t="n"/>
      <c r="AO97" s="38" t="n"/>
      <c r="AP97" s="38" t="n"/>
      <c r="AQ97" s="38" t="n"/>
      <c r="AR97" s="38" t="n"/>
      <c r="AS97" s="38" t="n"/>
      <c r="AT97" s="38" t="n"/>
      <c r="AU97" s="38" t="n"/>
      <c r="AV97" s="38" t="n"/>
      <c r="AW97" s="38" t="n"/>
      <c r="AX97" s="38" t="n"/>
      <c r="AY97" s="42" t="n"/>
      <c r="AZ97" s="42" t="n"/>
      <c r="BA97" s="42" t="n"/>
      <c r="BB97" s="42" t="n"/>
      <c r="BC97" s="42" t="n"/>
      <c r="BD97" s="37">
        <f>IF($A97="","",SUM($AY97:$BC97))</f>
        <v/>
      </c>
      <c r="BE97" s="18">
        <f>IF($A97="","",IF(AND($I97&lt;&gt;"",$J97&lt;&gt;""),MAX(1,($J97-$I97)/7),Templates!$B$35))</f>
        <v/>
      </c>
      <c r="BF97" s="18">
        <f>IF($A97="","",IF(AND($I97&lt;&gt;"",$J97&lt;&gt;""),MAX(1,($J97-$I97)/7),Templates!$B$36))</f>
        <v/>
      </c>
      <c r="BG97" s="18">
        <f>IF($A97="","",IF(AND($I97&lt;&gt;"",$J97&lt;&gt;""),MAX(1,($J97-$I97)/7),Templates!$B$37))</f>
        <v/>
      </c>
      <c r="BH97" s="18">
        <f>IF($A97="","",IF(AND($I97&lt;&gt;"",$J97&lt;&gt;""),MAX(1,($J97-$I97)/7),Templates!$B$38))</f>
        <v/>
      </c>
      <c r="BI97" s="18">
        <f>IF($A97="","",IF(AND($I97&lt;&gt;"",$J97&lt;&gt;""),MAX(1,($J97-$I97)/7),Templates!$B$39))</f>
        <v/>
      </c>
      <c r="BJ97" s="18">
        <f>IF(OR($A97="",$BD97=0),0,($AY97*Templates!$B$27/$BE97+$AZ97*Templates!$B$28/$BF97+$BA97*Templates!$B$29/$BG97+$BB97*Templates!$B$30/$BH97+$BC97*Templates!$B$31/$BI97)/Templates!$B$17)</f>
        <v/>
      </c>
      <c r="BK97" s="18">
        <f>IF(OR($A97="",$BD97=0),0,($AY97*Templates!$C$27/$BE97+$AZ97*Templates!$C$28/$BF97+$BA97*Templates!$C$29/$BG97+$BB97*Templates!$C$30/$BH97+$BC97*Templates!$C$31/$BI97)/Templates!$B$18)</f>
        <v/>
      </c>
      <c r="BL97" s="18">
        <f>IF(OR($A97="",$BD97=0),0,($AY97*Templates!$D$27/$BE97+$AZ97*Templates!$D$28/$BF97+$BA97*Templates!$D$29/$BG97+$BB97*Templates!$D$30/$BH97+$BC97*Templates!$D$31/$BI97)/Templates!$B$19)</f>
        <v/>
      </c>
      <c r="BM97" s="18">
        <f>IF(OR($A97="",$BD97=0),0,($AY97*Templates!$E$27/$BE97+$AZ97*Templates!$E$28/$BF97+$BA97*Templates!$E$29/$BG97+$BB97*Templates!$E$30/$BH97+$BC97*Templates!$E$31/$BI97)/Templates!$B$20)</f>
        <v/>
      </c>
      <c r="BN97" s="18">
        <f>IF(OR($A97="",$BD97=0),0,($AY97*Templates!$F$27/$BE97+$AZ97*Templates!$F$28/$BF97+$BA97*Templates!$F$29/$BG97+$BB97*Templates!$F$30/$BH97+$BC97*Templates!$F$31/$BI97)/Templates!$B$21)</f>
        <v/>
      </c>
      <c r="BO97" s="18">
        <f>IF(OR($A97="",$BD97=0),0,($AY97*Templates!$G$27/$BE97+$AZ97*Templates!$G$28/$BF97+$BA97*Templates!$G$29/$BG97+$BB97*Templates!$G$30/$BH97+$BC97*Templates!$G$31/$BI97)/Templates!$B$22)</f>
        <v/>
      </c>
      <c r="BP97" s="18">
        <f>IF(OR($A97="",$BD97=0),0,($AY97*Templates!$H$27/$BE97+$AZ97*Templates!$H$28/$BF97+$BA97*Templates!$H$29/$BG97+$BB97*Templates!$H$30/$BH97+$BC97*Templates!$H$31/$BI97)/Templates!$B$23)</f>
        <v/>
      </c>
    </row>
    <row r="98">
      <c r="A98" s="28" t="inlineStr">
        <is>
          <t>IGS_1</t>
        </is>
      </c>
      <c r="B98" s="20" t="inlineStr">
        <is>
          <t>Ethos Specialty Insurance Services</t>
        </is>
      </c>
      <c r="C98" s="28" t="inlineStr">
        <is>
          <t>Ethos Specialty Insurance Services</t>
        </is>
      </c>
      <c r="D98" s="28" t="inlineStr"/>
      <c r="E98" s="28" t="inlineStr">
        <is>
          <t>No</t>
        </is>
      </c>
      <c r="F98" s="28" t="inlineStr">
        <is>
          <t>Active</t>
        </is>
      </c>
      <c r="G98" s="38" t="n"/>
      <c r="H98" s="29" t="n">
        <v>1</v>
      </c>
      <c r="I98" s="39" t="n"/>
      <c r="J98" s="39" t="n"/>
      <c r="K98" s="31" t="n"/>
      <c r="L98" s="31" t="n"/>
      <c r="M98" s="31" t="n"/>
      <c r="N98" s="31" t="n"/>
      <c r="O98" s="31" t="n"/>
      <c r="P98" s="31" t="n"/>
      <c r="Q98" s="23">
        <f>IF($A98="","",COUNTIFS(Assignments!$C$2:$C$769,$A98,Assignments!$G$2:$G$769,"Active"))</f>
        <v/>
      </c>
      <c r="R98" s="32">
        <f>IF($A98="","",SUMIFS(Assignments!$I$2:$I$769,Assignments!$C$2:$C$769,$A98,Assignments!$G$2:$G$769,"Active"))</f>
        <v/>
      </c>
      <c r="S98" s="20" t="inlineStr">
        <is>
          <t>WIP</t>
        </is>
      </c>
      <c r="T98" s="31" t="n"/>
      <c r="U98" s="38" t="n"/>
      <c r="V98" s="34">
        <f>IF($U98="","",IFERROR(INDEX(Templates!$K$3:$K$10,MATCH($U98,Templates!$A$3:$A$10,0)),""))</f>
        <v/>
      </c>
      <c r="W98" s="34">
        <f>IF($U98="","",IFERROR(INDEX(Templates!$L$3:$L$10,MATCH($U98,Templates!$A$3:$A$10,0)),""))</f>
        <v/>
      </c>
      <c r="X98" s="21">
        <f>IF($U98="","",IFERROR(INDEX(Templates!$J$3:$J$10,MATCH($U98,Templates!$A$3:$A$10,0)),""))</f>
        <v/>
      </c>
      <c r="Y98" s="35">
        <f>IF(OR($U98="",$I98="",$J98="",$X98=""),"",$I98+$X98*($J98-$I98))</f>
        <v/>
      </c>
      <c r="Z98" s="30" t="n">
        <v>46212</v>
      </c>
      <c r="AA98" s="40" t="n"/>
      <c r="AB98" s="41" t="n"/>
      <c r="AC98" s="41" t="n"/>
      <c r="AD98" s="19">
        <f>IF($A98="","",IF($AA98="",$H98,$AA98))</f>
        <v/>
      </c>
      <c r="AE98" s="35">
        <f>IF($A98="","",IF($AB98="",$I98,$AB98))</f>
        <v/>
      </c>
      <c r="AF98" s="35">
        <f>IF($A98="","",IF($AC98="",$J98,$AC98))</f>
        <v/>
      </c>
      <c r="AG98" s="35">
        <f>IF(OR($U98="",$AE98="",$AF98="",$X98=""),"",$AE98+$X98*($AF98-$AE98))</f>
        <v/>
      </c>
      <c r="AH98" s="38" t="n"/>
      <c r="AI98" s="38" t="n"/>
      <c r="AJ98" s="38" t="n"/>
      <c r="AK98" s="38" t="n"/>
      <c r="AL98" s="38" t="n"/>
      <c r="AM98" s="38" t="n"/>
      <c r="AN98" s="38" t="n"/>
      <c r="AO98" s="38" t="n"/>
      <c r="AP98" s="38" t="n"/>
      <c r="AQ98" s="38" t="n"/>
      <c r="AR98" s="38" t="n"/>
      <c r="AS98" s="38" t="n"/>
      <c r="AT98" s="38" t="n"/>
      <c r="AU98" s="38" t="n"/>
      <c r="AV98" s="38" t="n"/>
      <c r="AW98" s="38" t="n"/>
      <c r="AX98" s="38" t="n"/>
      <c r="AY98" s="42" t="n"/>
      <c r="AZ98" s="42" t="n"/>
      <c r="BA98" s="42" t="n"/>
      <c r="BB98" s="42" t="n"/>
      <c r="BC98" s="42" t="n"/>
      <c r="BD98" s="37">
        <f>IF($A98="","",SUM($AY98:$BC98))</f>
        <v/>
      </c>
      <c r="BE98" s="18">
        <f>IF($A98="","",IF(AND($I98&lt;&gt;"",$J98&lt;&gt;""),MAX(1,($J98-$I98)/7),Templates!$B$35))</f>
        <v/>
      </c>
      <c r="BF98" s="18">
        <f>IF($A98="","",IF(AND($I98&lt;&gt;"",$J98&lt;&gt;""),MAX(1,($J98-$I98)/7),Templates!$B$36))</f>
        <v/>
      </c>
      <c r="BG98" s="18">
        <f>IF($A98="","",IF(AND($I98&lt;&gt;"",$J98&lt;&gt;""),MAX(1,($J98-$I98)/7),Templates!$B$37))</f>
        <v/>
      </c>
      <c r="BH98" s="18">
        <f>IF($A98="","",IF(AND($I98&lt;&gt;"",$J98&lt;&gt;""),MAX(1,($J98-$I98)/7),Templates!$B$38))</f>
        <v/>
      </c>
      <c r="BI98" s="18">
        <f>IF($A98="","",IF(AND($I98&lt;&gt;"",$J98&lt;&gt;""),MAX(1,($J98-$I98)/7),Templates!$B$39))</f>
        <v/>
      </c>
      <c r="BJ98" s="18">
        <f>IF(OR($A98="",$BD98=0),0,($AY98*Templates!$B$27/$BE98+$AZ98*Templates!$B$28/$BF98+$BA98*Templates!$B$29/$BG98+$BB98*Templates!$B$30/$BH98+$BC98*Templates!$B$31/$BI98)/Templates!$B$17)</f>
        <v/>
      </c>
      <c r="BK98" s="18">
        <f>IF(OR($A98="",$BD98=0),0,($AY98*Templates!$C$27/$BE98+$AZ98*Templates!$C$28/$BF98+$BA98*Templates!$C$29/$BG98+$BB98*Templates!$C$30/$BH98+$BC98*Templates!$C$31/$BI98)/Templates!$B$18)</f>
        <v/>
      </c>
      <c r="BL98" s="18">
        <f>IF(OR($A98="",$BD98=0),0,($AY98*Templates!$D$27/$BE98+$AZ98*Templates!$D$28/$BF98+$BA98*Templates!$D$29/$BG98+$BB98*Templates!$D$30/$BH98+$BC98*Templates!$D$31/$BI98)/Templates!$B$19)</f>
        <v/>
      </c>
      <c r="BM98" s="18">
        <f>IF(OR($A98="",$BD98=0),0,($AY98*Templates!$E$27/$BE98+$AZ98*Templates!$E$28/$BF98+$BA98*Templates!$E$29/$BG98+$BB98*Templates!$E$30/$BH98+$BC98*Templates!$E$31/$BI98)/Templates!$B$20)</f>
        <v/>
      </c>
      <c r="BN98" s="18">
        <f>IF(OR($A98="",$BD98=0),0,($AY98*Templates!$F$27/$BE98+$AZ98*Templates!$F$28/$BF98+$BA98*Templates!$F$29/$BG98+$BB98*Templates!$F$30/$BH98+$BC98*Templates!$F$31/$BI98)/Templates!$B$21)</f>
        <v/>
      </c>
      <c r="BO98" s="18">
        <f>IF(OR($A98="",$BD98=0),0,($AY98*Templates!$G$27/$BE98+$AZ98*Templates!$G$28/$BF98+$BA98*Templates!$G$29/$BG98+$BB98*Templates!$G$30/$BH98+$BC98*Templates!$G$31/$BI98)/Templates!$B$22)</f>
        <v/>
      </c>
      <c r="BP98" s="18">
        <f>IF(OR($A98="",$BD98=0),0,($AY98*Templates!$H$27/$BE98+$AZ98*Templates!$H$28/$BF98+$BA98*Templates!$H$29/$BG98+$BB98*Templates!$H$30/$BH98+$BC98*Templates!$H$31/$BI98)/Templates!$B$23)</f>
        <v/>
      </c>
    </row>
    <row r="99">
      <c r="A99" s="28" t="inlineStr">
        <is>
          <t>IMEC_1</t>
        </is>
      </c>
      <c r="B99" s="20" t="inlineStr">
        <is>
          <t>Maven Advisory LLC</t>
        </is>
      </c>
      <c r="C99" s="28" t="inlineStr">
        <is>
          <t>Maven Advisory LLC</t>
        </is>
      </c>
      <c r="D99" s="28" t="inlineStr"/>
      <c r="E99" s="28" t="inlineStr">
        <is>
          <t>No</t>
        </is>
      </c>
      <c r="F99" s="28" t="inlineStr">
        <is>
          <t>Active</t>
        </is>
      </c>
      <c r="G99" s="38" t="n"/>
      <c r="H99" s="29" t="n">
        <v>1</v>
      </c>
      <c r="I99" s="39" t="n"/>
      <c r="J99" s="39" t="n"/>
      <c r="K99" s="31" t="n"/>
      <c r="L99" s="31" t="n"/>
      <c r="M99" s="31" t="n"/>
      <c r="N99" s="31" t="n"/>
      <c r="O99" s="31" t="n"/>
      <c r="P99" s="31" t="n"/>
      <c r="Q99" s="23">
        <f>IF($A99="","",COUNTIFS(Assignments!$C$2:$C$769,$A99,Assignments!$G$2:$G$769,"Active"))</f>
        <v/>
      </c>
      <c r="R99" s="32">
        <f>IF($A99="","",SUMIFS(Assignments!$I$2:$I$769,Assignments!$C$2:$C$769,$A99,Assignments!$G$2:$G$769,"Active"))</f>
        <v/>
      </c>
      <c r="S99" s="20" t="inlineStr">
        <is>
          <t>WIP</t>
        </is>
      </c>
      <c r="T99" s="31" t="n"/>
      <c r="U99" s="38" t="n"/>
      <c r="V99" s="34">
        <f>IF($U99="","",IFERROR(INDEX(Templates!$K$3:$K$10,MATCH($U99,Templates!$A$3:$A$10,0)),""))</f>
        <v/>
      </c>
      <c r="W99" s="34">
        <f>IF($U99="","",IFERROR(INDEX(Templates!$L$3:$L$10,MATCH($U99,Templates!$A$3:$A$10,0)),""))</f>
        <v/>
      </c>
      <c r="X99" s="21">
        <f>IF($U99="","",IFERROR(INDEX(Templates!$J$3:$J$10,MATCH($U99,Templates!$A$3:$A$10,0)),""))</f>
        <v/>
      </c>
      <c r="Y99" s="35">
        <f>IF(OR($U99="",$I99="",$J99="",$X99=""),"",$I99+$X99*($J99-$I99))</f>
        <v/>
      </c>
      <c r="Z99" s="30" t="n">
        <v>46212</v>
      </c>
      <c r="AA99" s="40" t="n"/>
      <c r="AB99" s="41" t="n"/>
      <c r="AC99" s="41" t="n"/>
      <c r="AD99" s="19">
        <f>IF($A99="","",IF($AA99="",$H99,$AA99))</f>
        <v/>
      </c>
      <c r="AE99" s="35">
        <f>IF($A99="","",IF($AB99="",$I99,$AB99))</f>
        <v/>
      </c>
      <c r="AF99" s="35">
        <f>IF($A99="","",IF($AC99="",$J99,$AC99))</f>
        <v/>
      </c>
      <c r="AG99" s="35">
        <f>IF(OR($U99="",$AE99="",$AF99="",$X99=""),"",$AE99+$X99*($AF99-$AE99))</f>
        <v/>
      </c>
      <c r="AH99" s="38" t="n"/>
      <c r="AI99" s="38" t="n"/>
      <c r="AJ99" s="38" t="n"/>
      <c r="AK99" s="38" t="n"/>
      <c r="AL99" s="38" t="n"/>
      <c r="AM99" s="38" t="n"/>
      <c r="AN99" s="38" t="n"/>
      <c r="AO99" s="38" t="n"/>
      <c r="AP99" s="38" t="n"/>
      <c r="AQ99" s="38" t="n"/>
      <c r="AR99" s="38" t="n"/>
      <c r="AS99" s="38" t="n"/>
      <c r="AT99" s="38" t="n"/>
      <c r="AU99" s="38" t="n"/>
      <c r="AV99" s="38" t="n"/>
      <c r="AW99" s="38" t="n"/>
      <c r="AX99" s="38" t="n"/>
      <c r="AY99" s="42" t="n"/>
      <c r="AZ99" s="42" t="n"/>
      <c r="BA99" s="42" t="n"/>
      <c r="BB99" s="42" t="n"/>
      <c r="BC99" s="42" t="n"/>
      <c r="BD99" s="37">
        <f>IF($A99="","",SUM($AY99:$BC99))</f>
        <v/>
      </c>
      <c r="BE99" s="18">
        <f>IF($A99="","",IF(AND($I99&lt;&gt;"",$J99&lt;&gt;""),MAX(1,($J99-$I99)/7),Templates!$B$35))</f>
        <v/>
      </c>
      <c r="BF99" s="18">
        <f>IF($A99="","",IF(AND($I99&lt;&gt;"",$J99&lt;&gt;""),MAX(1,($J99-$I99)/7),Templates!$B$36))</f>
        <v/>
      </c>
      <c r="BG99" s="18">
        <f>IF($A99="","",IF(AND($I99&lt;&gt;"",$J99&lt;&gt;""),MAX(1,($J99-$I99)/7),Templates!$B$37))</f>
        <v/>
      </c>
      <c r="BH99" s="18">
        <f>IF($A99="","",IF(AND($I99&lt;&gt;"",$J99&lt;&gt;""),MAX(1,($J99-$I99)/7),Templates!$B$38))</f>
        <v/>
      </c>
      <c r="BI99" s="18">
        <f>IF($A99="","",IF(AND($I99&lt;&gt;"",$J99&lt;&gt;""),MAX(1,($J99-$I99)/7),Templates!$B$39))</f>
        <v/>
      </c>
      <c r="BJ99" s="18">
        <f>IF(OR($A99="",$BD99=0),0,($AY99*Templates!$B$27/$BE99+$AZ99*Templates!$B$28/$BF99+$BA99*Templates!$B$29/$BG99+$BB99*Templates!$B$30/$BH99+$BC99*Templates!$B$31/$BI99)/Templates!$B$17)</f>
        <v/>
      </c>
      <c r="BK99" s="18">
        <f>IF(OR($A99="",$BD99=0),0,($AY99*Templates!$C$27/$BE99+$AZ99*Templates!$C$28/$BF99+$BA99*Templates!$C$29/$BG99+$BB99*Templates!$C$30/$BH99+$BC99*Templates!$C$31/$BI99)/Templates!$B$18)</f>
        <v/>
      </c>
      <c r="BL99" s="18">
        <f>IF(OR($A99="",$BD99=0),0,($AY99*Templates!$D$27/$BE99+$AZ99*Templates!$D$28/$BF99+$BA99*Templates!$D$29/$BG99+$BB99*Templates!$D$30/$BH99+$BC99*Templates!$D$31/$BI99)/Templates!$B$19)</f>
        <v/>
      </c>
      <c r="BM99" s="18">
        <f>IF(OR($A99="",$BD99=0),0,($AY99*Templates!$E$27/$BE99+$AZ99*Templates!$E$28/$BF99+$BA99*Templates!$E$29/$BG99+$BB99*Templates!$E$30/$BH99+$BC99*Templates!$E$31/$BI99)/Templates!$B$20)</f>
        <v/>
      </c>
      <c r="BN99" s="18">
        <f>IF(OR($A99="",$BD99=0),0,($AY99*Templates!$F$27/$BE99+$AZ99*Templates!$F$28/$BF99+$BA99*Templates!$F$29/$BG99+$BB99*Templates!$F$30/$BH99+$BC99*Templates!$F$31/$BI99)/Templates!$B$21)</f>
        <v/>
      </c>
      <c r="BO99" s="18">
        <f>IF(OR($A99="",$BD99=0),0,($AY99*Templates!$G$27/$BE99+$AZ99*Templates!$G$28/$BF99+$BA99*Templates!$G$29/$BG99+$BB99*Templates!$G$30/$BH99+$BC99*Templates!$G$31/$BI99)/Templates!$B$22)</f>
        <v/>
      </c>
      <c r="BP99" s="18">
        <f>IF(OR($A99="",$BD99=0),0,($AY99*Templates!$H$27/$BE99+$AZ99*Templates!$H$28/$BF99+$BA99*Templates!$H$29/$BG99+$BB99*Templates!$H$30/$BH99+$BC99*Templates!$H$31/$BI99)/Templates!$B$23)</f>
        <v/>
      </c>
    </row>
    <row r="100">
      <c r="A100" s="28" t="inlineStr">
        <is>
          <t>Instinct_1</t>
        </is>
      </c>
      <c r="B100" s="20" t="inlineStr">
        <is>
          <t>Brookfield</t>
        </is>
      </c>
      <c r="C100" s="28" t="inlineStr">
        <is>
          <t>Brookfield</t>
        </is>
      </c>
      <c r="D100" s="28" t="inlineStr"/>
      <c r="E100" s="28" t="inlineStr">
        <is>
          <t>No</t>
        </is>
      </c>
      <c r="F100" s="28" t="inlineStr">
        <is>
          <t>Active</t>
        </is>
      </c>
      <c r="G100" s="38" t="n"/>
      <c r="H100" s="29" t="n">
        <v>1</v>
      </c>
      <c r="I100" s="39" t="n"/>
      <c r="J100" s="39" t="n"/>
      <c r="K100" s="31" t="n"/>
      <c r="L100" s="31" t="n"/>
      <c r="M100" s="31" t="n"/>
      <c r="N100" s="31" t="n"/>
      <c r="O100" s="31" t="n"/>
      <c r="P100" s="31" t="n"/>
      <c r="Q100" s="23">
        <f>IF($A100="","",COUNTIFS(Assignments!$C$2:$C$769,$A100,Assignments!$G$2:$G$769,"Active"))</f>
        <v/>
      </c>
      <c r="R100" s="32">
        <f>IF($A100="","",SUMIFS(Assignments!$I$2:$I$769,Assignments!$C$2:$C$769,$A100,Assignments!$G$2:$G$769,"Active"))</f>
        <v/>
      </c>
      <c r="S100" s="20" t="inlineStr">
        <is>
          <t>Summary tab only (WIP)</t>
        </is>
      </c>
      <c r="T100" s="31" t="n"/>
      <c r="U100" s="38" t="n"/>
      <c r="V100" s="34">
        <f>IF($U100="","",IFERROR(INDEX(Templates!$K$3:$K$10,MATCH($U100,Templates!$A$3:$A$10,0)),""))</f>
        <v/>
      </c>
      <c r="W100" s="34">
        <f>IF($U100="","",IFERROR(INDEX(Templates!$L$3:$L$10,MATCH($U100,Templates!$A$3:$A$10,0)),""))</f>
        <v/>
      </c>
      <c r="X100" s="21">
        <f>IF($U100="","",IFERROR(INDEX(Templates!$J$3:$J$10,MATCH($U100,Templates!$A$3:$A$10,0)),""))</f>
        <v/>
      </c>
      <c r="Y100" s="35">
        <f>IF(OR($U100="",$I100="",$J100="",$X100=""),"",$I100+$X100*($J100-$I100))</f>
        <v/>
      </c>
      <c r="Z100" s="30" t="n">
        <v>46212</v>
      </c>
      <c r="AA100" s="40" t="n"/>
      <c r="AB100" s="41" t="n"/>
      <c r="AC100" s="41" t="n"/>
      <c r="AD100" s="19">
        <f>IF($A100="","",IF($AA100="",$H100,$AA100))</f>
        <v/>
      </c>
      <c r="AE100" s="35">
        <f>IF($A100="","",IF($AB100="",$I100,$AB100))</f>
        <v/>
      </c>
      <c r="AF100" s="35">
        <f>IF($A100="","",IF($AC100="",$J100,$AC100))</f>
        <v/>
      </c>
      <c r="AG100" s="35">
        <f>IF(OR($U100="",$AE100="",$AF100="",$X100=""),"",$AE100+$X100*($AF100-$AE100))</f>
        <v/>
      </c>
      <c r="AH100" s="38" t="n"/>
      <c r="AI100" s="38" t="n"/>
      <c r="AJ100" s="38" t="n"/>
      <c r="AK100" s="38" t="n"/>
      <c r="AL100" s="38" t="n"/>
      <c r="AM100" s="38" t="n"/>
      <c r="AN100" s="38" t="n"/>
      <c r="AO100" s="38" t="n"/>
      <c r="AP100" s="38" t="n"/>
      <c r="AQ100" s="38" t="n"/>
      <c r="AR100" s="38" t="n"/>
      <c r="AS100" s="38" t="n"/>
      <c r="AT100" s="38" t="n"/>
      <c r="AU100" s="38" t="n"/>
      <c r="AV100" s="38" t="n"/>
      <c r="AW100" s="38" t="n"/>
      <c r="AX100" s="38" t="n"/>
      <c r="AY100" s="42" t="n"/>
      <c r="AZ100" s="42" t="n"/>
      <c r="BA100" s="42" t="n"/>
      <c r="BB100" s="42" t="n"/>
      <c r="BC100" s="42" t="n"/>
      <c r="BD100" s="37">
        <f>IF($A100="","",SUM($AY100:$BC100))</f>
        <v/>
      </c>
      <c r="BE100" s="18">
        <f>IF($A100="","",IF(AND($I100&lt;&gt;"",$J100&lt;&gt;""),MAX(1,($J100-$I100)/7),Templates!$B$35))</f>
        <v/>
      </c>
      <c r="BF100" s="18">
        <f>IF($A100="","",IF(AND($I100&lt;&gt;"",$J100&lt;&gt;""),MAX(1,($J100-$I100)/7),Templates!$B$36))</f>
        <v/>
      </c>
      <c r="BG100" s="18">
        <f>IF($A100="","",IF(AND($I100&lt;&gt;"",$J100&lt;&gt;""),MAX(1,($J100-$I100)/7),Templates!$B$37))</f>
        <v/>
      </c>
      <c r="BH100" s="18">
        <f>IF($A100="","",IF(AND($I100&lt;&gt;"",$J100&lt;&gt;""),MAX(1,($J100-$I100)/7),Templates!$B$38))</f>
        <v/>
      </c>
      <c r="BI100" s="18">
        <f>IF($A100="","",IF(AND($I100&lt;&gt;"",$J100&lt;&gt;""),MAX(1,($J100-$I100)/7),Templates!$B$39))</f>
        <v/>
      </c>
      <c r="BJ100" s="18">
        <f>IF(OR($A100="",$BD100=0),0,($AY100*Templates!$B$27/$BE100+$AZ100*Templates!$B$28/$BF100+$BA100*Templates!$B$29/$BG100+$BB100*Templates!$B$30/$BH100+$BC100*Templates!$B$31/$BI100)/Templates!$B$17)</f>
        <v/>
      </c>
      <c r="BK100" s="18">
        <f>IF(OR($A100="",$BD100=0),0,($AY100*Templates!$C$27/$BE100+$AZ100*Templates!$C$28/$BF100+$BA100*Templates!$C$29/$BG100+$BB100*Templates!$C$30/$BH100+$BC100*Templates!$C$31/$BI100)/Templates!$B$18)</f>
        <v/>
      </c>
      <c r="BL100" s="18">
        <f>IF(OR($A100="",$BD100=0),0,($AY100*Templates!$D$27/$BE100+$AZ100*Templates!$D$28/$BF100+$BA100*Templates!$D$29/$BG100+$BB100*Templates!$D$30/$BH100+$BC100*Templates!$D$31/$BI100)/Templates!$B$19)</f>
        <v/>
      </c>
      <c r="BM100" s="18">
        <f>IF(OR($A100="",$BD100=0),0,($AY100*Templates!$E$27/$BE100+$AZ100*Templates!$E$28/$BF100+$BA100*Templates!$E$29/$BG100+$BB100*Templates!$E$30/$BH100+$BC100*Templates!$E$31/$BI100)/Templates!$B$20)</f>
        <v/>
      </c>
      <c r="BN100" s="18">
        <f>IF(OR($A100="",$BD100=0),0,($AY100*Templates!$F$27/$BE100+$AZ100*Templates!$F$28/$BF100+$BA100*Templates!$F$29/$BG100+$BB100*Templates!$F$30/$BH100+$BC100*Templates!$F$31/$BI100)/Templates!$B$21)</f>
        <v/>
      </c>
      <c r="BO100" s="18">
        <f>IF(OR($A100="",$BD100=0),0,($AY100*Templates!$G$27/$BE100+$AZ100*Templates!$G$28/$BF100+$BA100*Templates!$G$29/$BG100+$BB100*Templates!$G$30/$BH100+$BC100*Templates!$G$31/$BI100)/Templates!$B$22)</f>
        <v/>
      </c>
      <c r="BP100" s="18">
        <f>IF(OR($A100="",$BD100=0),0,($AY100*Templates!$H$27/$BE100+$AZ100*Templates!$H$28/$BF100+$BA100*Templates!$H$29/$BG100+$BB100*Templates!$H$30/$BH100+$BC100*Templates!$H$31/$BI100)/Templates!$B$23)</f>
        <v/>
      </c>
    </row>
    <row r="101">
      <c r="A101" s="28" t="inlineStr">
        <is>
          <t>Irradiant_ITC_1</t>
        </is>
      </c>
      <c r="B101" s="20" t="inlineStr">
        <is>
          <t>Apollo</t>
        </is>
      </c>
      <c r="C101" s="28" t="inlineStr">
        <is>
          <t>Apollo</t>
        </is>
      </c>
      <c r="D101" s="28" t="inlineStr"/>
      <c r="E101" s="28" t="inlineStr">
        <is>
          <t>No</t>
        </is>
      </c>
      <c r="F101" s="28" t="inlineStr">
        <is>
          <t>Active</t>
        </is>
      </c>
      <c r="G101" s="38" t="n"/>
      <c r="H101" s="29" t="n">
        <v>1</v>
      </c>
      <c r="I101" s="39" t="n"/>
      <c r="J101" s="39" t="n"/>
      <c r="K101" s="31" t="n"/>
      <c r="L101" s="31" t="n"/>
      <c r="M101" s="31" t="n"/>
      <c r="N101" s="31" t="n"/>
      <c r="O101" s="31" t="n"/>
      <c r="P101" s="31" t="n"/>
      <c r="Q101" s="23">
        <f>IF($A101="","",COUNTIFS(Assignments!$C$2:$C$769,$A101,Assignments!$G$2:$G$769,"Active"))</f>
        <v/>
      </c>
      <c r="R101" s="32">
        <f>IF($A101="","",SUMIFS(Assignments!$I$2:$I$769,Assignments!$C$2:$C$769,$A101,Assignments!$G$2:$G$769,"Active"))</f>
        <v/>
      </c>
      <c r="S101" s="20" t="inlineStr">
        <is>
          <t>Summary tab only (WIP)</t>
        </is>
      </c>
      <c r="T101" s="31" t="n"/>
      <c r="U101" s="38" t="n"/>
      <c r="V101" s="34">
        <f>IF($U101="","",IFERROR(INDEX(Templates!$K$3:$K$10,MATCH($U101,Templates!$A$3:$A$10,0)),""))</f>
        <v/>
      </c>
      <c r="W101" s="34">
        <f>IF($U101="","",IFERROR(INDEX(Templates!$L$3:$L$10,MATCH($U101,Templates!$A$3:$A$10,0)),""))</f>
        <v/>
      </c>
      <c r="X101" s="21">
        <f>IF($U101="","",IFERROR(INDEX(Templates!$J$3:$J$10,MATCH($U101,Templates!$A$3:$A$10,0)),""))</f>
        <v/>
      </c>
      <c r="Y101" s="35">
        <f>IF(OR($U101="",$I101="",$J101="",$X101=""),"",$I101+$X101*($J101-$I101))</f>
        <v/>
      </c>
      <c r="Z101" s="30" t="n">
        <v>46212</v>
      </c>
      <c r="AA101" s="40" t="n"/>
      <c r="AB101" s="41" t="n"/>
      <c r="AC101" s="41" t="n"/>
      <c r="AD101" s="19">
        <f>IF($A101="","",IF($AA101="",$H101,$AA101))</f>
        <v/>
      </c>
      <c r="AE101" s="35">
        <f>IF($A101="","",IF($AB101="",$I101,$AB101))</f>
        <v/>
      </c>
      <c r="AF101" s="35">
        <f>IF($A101="","",IF($AC101="",$J101,$AC101))</f>
        <v/>
      </c>
      <c r="AG101" s="35">
        <f>IF(OR($U101="",$AE101="",$AF101="",$X101=""),"",$AE101+$X101*($AF101-$AE101))</f>
        <v/>
      </c>
      <c r="AH101" s="38" t="n"/>
      <c r="AI101" s="38" t="n"/>
      <c r="AJ101" s="38" t="n"/>
      <c r="AK101" s="38" t="n"/>
      <c r="AL101" s="38" t="n"/>
      <c r="AM101" s="38" t="n"/>
      <c r="AN101" s="38" t="n"/>
      <c r="AO101" s="38" t="n"/>
      <c r="AP101" s="38" t="n"/>
      <c r="AQ101" s="38" t="n"/>
      <c r="AR101" s="38" t="n"/>
      <c r="AS101" s="38" t="n"/>
      <c r="AT101" s="38" t="n"/>
      <c r="AU101" s="38" t="n"/>
      <c r="AV101" s="38" t="n"/>
      <c r="AW101" s="38" t="n"/>
      <c r="AX101" s="38" t="n"/>
      <c r="AY101" s="42" t="n"/>
      <c r="AZ101" s="42" t="n"/>
      <c r="BA101" s="42" t="n"/>
      <c r="BB101" s="42" t="n"/>
      <c r="BC101" s="42" t="n"/>
      <c r="BD101" s="37">
        <f>IF($A101="","",SUM($AY101:$BC101))</f>
        <v/>
      </c>
      <c r="BE101" s="18">
        <f>IF($A101="","",IF(AND($I101&lt;&gt;"",$J101&lt;&gt;""),MAX(1,($J101-$I101)/7),Templates!$B$35))</f>
        <v/>
      </c>
      <c r="BF101" s="18">
        <f>IF($A101="","",IF(AND($I101&lt;&gt;"",$J101&lt;&gt;""),MAX(1,($J101-$I101)/7),Templates!$B$36))</f>
        <v/>
      </c>
      <c r="BG101" s="18">
        <f>IF($A101="","",IF(AND($I101&lt;&gt;"",$J101&lt;&gt;""),MAX(1,($J101-$I101)/7),Templates!$B$37))</f>
        <v/>
      </c>
      <c r="BH101" s="18">
        <f>IF($A101="","",IF(AND($I101&lt;&gt;"",$J101&lt;&gt;""),MAX(1,($J101-$I101)/7),Templates!$B$38))</f>
        <v/>
      </c>
      <c r="BI101" s="18">
        <f>IF($A101="","",IF(AND($I101&lt;&gt;"",$J101&lt;&gt;""),MAX(1,($J101-$I101)/7),Templates!$B$39))</f>
        <v/>
      </c>
      <c r="BJ101" s="18">
        <f>IF(OR($A101="",$BD101=0),0,($AY101*Templates!$B$27/$BE101+$AZ101*Templates!$B$28/$BF101+$BA101*Templates!$B$29/$BG101+$BB101*Templates!$B$30/$BH101+$BC101*Templates!$B$31/$BI101)/Templates!$B$17)</f>
        <v/>
      </c>
      <c r="BK101" s="18">
        <f>IF(OR($A101="",$BD101=0),0,($AY101*Templates!$C$27/$BE101+$AZ101*Templates!$C$28/$BF101+$BA101*Templates!$C$29/$BG101+$BB101*Templates!$C$30/$BH101+$BC101*Templates!$C$31/$BI101)/Templates!$B$18)</f>
        <v/>
      </c>
      <c r="BL101" s="18">
        <f>IF(OR($A101="",$BD101=0),0,($AY101*Templates!$D$27/$BE101+$AZ101*Templates!$D$28/$BF101+$BA101*Templates!$D$29/$BG101+$BB101*Templates!$D$30/$BH101+$BC101*Templates!$D$31/$BI101)/Templates!$B$19)</f>
        <v/>
      </c>
      <c r="BM101" s="18">
        <f>IF(OR($A101="",$BD101=0),0,($AY101*Templates!$E$27/$BE101+$AZ101*Templates!$E$28/$BF101+$BA101*Templates!$E$29/$BG101+$BB101*Templates!$E$30/$BH101+$BC101*Templates!$E$31/$BI101)/Templates!$B$20)</f>
        <v/>
      </c>
      <c r="BN101" s="18">
        <f>IF(OR($A101="",$BD101=0),0,($AY101*Templates!$F$27/$BE101+$AZ101*Templates!$F$28/$BF101+$BA101*Templates!$F$29/$BG101+$BB101*Templates!$F$30/$BH101+$BC101*Templates!$F$31/$BI101)/Templates!$B$21)</f>
        <v/>
      </c>
      <c r="BO101" s="18">
        <f>IF(OR($A101="",$BD101=0),0,($AY101*Templates!$G$27/$BE101+$AZ101*Templates!$G$28/$BF101+$BA101*Templates!$G$29/$BG101+$BB101*Templates!$G$30/$BH101+$BC101*Templates!$G$31/$BI101)/Templates!$B$22)</f>
        <v/>
      </c>
      <c r="BP101" s="18">
        <f>IF(OR($A101="",$BD101=0),0,($AY101*Templates!$H$27/$BE101+$AZ101*Templates!$H$28/$BF101+$BA101*Templates!$H$29/$BG101+$BB101*Templates!$H$30/$BH101+$BC101*Templates!$H$31/$BI101)/Templates!$B$23)</f>
        <v/>
      </c>
    </row>
    <row r="102">
      <c r="A102" s="28" t="inlineStr">
        <is>
          <t>Javelina Gain_1</t>
        </is>
      </c>
      <c r="B102" s="20" t="inlineStr">
        <is>
          <t>Eolic Development Partners</t>
        </is>
      </c>
      <c r="C102" s="28" t="inlineStr">
        <is>
          <t>Eolic Development Partners</t>
        </is>
      </c>
      <c r="D102" s="28" t="inlineStr"/>
      <c r="E102" s="28" t="inlineStr">
        <is>
          <t>No</t>
        </is>
      </c>
      <c r="F102" s="28" t="inlineStr">
        <is>
          <t>Active</t>
        </is>
      </c>
      <c r="G102" s="38" t="n"/>
      <c r="H102" s="29" t="n">
        <v>1</v>
      </c>
      <c r="I102" s="39" t="n"/>
      <c r="J102" s="39" t="n"/>
      <c r="K102" s="31" t="n"/>
      <c r="L102" s="31" t="n"/>
      <c r="M102" s="31" t="n"/>
      <c r="N102" s="31" t="n"/>
      <c r="O102" s="31" t="n"/>
      <c r="P102" s="31" t="n"/>
      <c r="Q102" s="23">
        <f>IF($A102="","",COUNTIFS(Assignments!$C$2:$C$769,$A102,Assignments!$G$2:$G$769,"Active"))</f>
        <v/>
      </c>
      <c r="R102" s="32">
        <f>IF($A102="","",SUMIFS(Assignments!$I$2:$I$769,Assignments!$C$2:$C$769,$A102,Assignments!$G$2:$G$769,"Active"))</f>
        <v/>
      </c>
      <c r="S102" s="20" t="inlineStr">
        <is>
          <t>WIP</t>
        </is>
      </c>
      <c r="T102" s="31" t="n"/>
      <c r="U102" s="38" t="n"/>
      <c r="V102" s="34">
        <f>IF($U102="","",IFERROR(INDEX(Templates!$K$3:$K$10,MATCH($U102,Templates!$A$3:$A$10,0)),""))</f>
        <v/>
      </c>
      <c r="W102" s="34">
        <f>IF($U102="","",IFERROR(INDEX(Templates!$L$3:$L$10,MATCH($U102,Templates!$A$3:$A$10,0)),""))</f>
        <v/>
      </c>
      <c r="X102" s="21">
        <f>IF($U102="","",IFERROR(INDEX(Templates!$J$3:$J$10,MATCH($U102,Templates!$A$3:$A$10,0)),""))</f>
        <v/>
      </c>
      <c r="Y102" s="35">
        <f>IF(OR($U102="",$I102="",$J102="",$X102=""),"",$I102+$X102*($J102-$I102))</f>
        <v/>
      </c>
      <c r="Z102" s="30" t="n">
        <v>46212</v>
      </c>
      <c r="AA102" s="40" t="n"/>
      <c r="AB102" s="41" t="n"/>
      <c r="AC102" s="41" t="n"/>
      <c r="AD102" s="19">
        <f>IF($A102="","",IF($AA102="",$H102,$AA102))</f>
        <v/>
      </c>
      <c r="AE102" s="35">
        <f>IF($A102="","",IF($AB102="",$I102,$AB102))</f>
        <v/>
      </c>
      <c r="AF102" s="35">
        <f>IF($A102="","",IF($AC102="",$J102,$AC102))</f>
        <v/>
      </c>
      <c r="AG102" s="35">
        <f>IF(OR($U102="",$AE102="",$AF102="",$X102=""),"",$AE102+$X102*($AF102-$AE102))</f>
        <v/>
      </c>
      <c r="AH102" s="38" t="n"/>
      <c r="AI102" s="38" t="n"/>
      <c r="AJ102" s="38" t="n"/>
      <c r="AK102" s="38" t="n"/>
      <c r="AL102" s="38" t="n"/>
      <c r="AM102" s="38" t="n"/>
      <c r="AN102" s="38" t="n"/>
      <c r="AO102" s="38" t="n"/>
      <c r="AP102" s="38" t="n"/>
      <c r="AQ102" s="38" t="n"/>
      <c r="AR102" s="38" t="n"/>
      <c r="AS102" s="38" t="n"/>
      <c r="AT102" s="38" t="n"/>
      <c r="AU102" s="38" t="n"/>
      <c r="AV102" s="38" t="n"/>
      <c r="AW102" s="38" t="n"/>
      <c r="AX102" s="38" t="n"/>
      <c r="AY102" s="42" t="n"/>
      <c r="AZ102" s="42" t="n"/>
      <c r="BA102" s="42" t="n"/>
      <c r="BB102" s="42" t="n"/>
      <c r="BC102" s="42" t="n"/>
      <c r="BD102" s="37">
        <f>IF($A102="","",SUM($AY102:$BC102))</f>
        <v/>
      </c>
      <c r="BE102" s="18">
        <f>IF($A102="","",IF(AND($I102&lt;&gt;"",$J102&lt;&gt;""),MAX(1,($J102-$I102)/7),Templates!$B$35))</f>
        <v/>
      </c>
      <c r="BF102" s="18">
        <f>IF($A102="","",IF(AND($I102&lt;&gt;"",$J102&lt;&gt;""),MAX(1,($J102-$I102)/7),Templates!$B$36))</f>
        <v/>
      </c>
      <c r="BG102" s="18">
        <f>IF($A102="","",IF(AND($I102&lt;&gt;"",$J102&lt;&gt;""),MAX(1,($J102-$I102)/7),Templates!$B$37))</f>
        <v/>
      </c>
      <c r="BH102" s="18">
        <f>IF($A102="","",IF(AND($I102&lt;&gt;"",$J102&lt;&gt;""),MAX(1,($J102-$I102)/7),Templates!$B$38))</f>
        <v/>
      </c>
      <c r="BI102" s="18">
        <f>IF($A102="","",IF(AND($I102&lt;&gt;"",$J102&lt;&gt;""),MAX(1,($J102-$I102)/7),Templates!$B$39))</f>
        <v/>
      </c>
      <c r="BJ102" s="18">
        <f>IF(OR($A102="",$BD102=0),0,($AY102*Templates!$B$27/$BE102+$AZ102*Templates!$B$28/$BF102+$BA102*Templates!$B$29/$BG102+$BB102*Templates!$B$30/$BH102+$BC102*Templates!$B$31/$BI102)/Templates!$B$17)</f>
        <v/>
      </c>
      <c r="BK102" s="18">
        <f>IF(OR($A102="",$BD102=0),0,($AY102*Templates!$C$27/$BE102+$AZ102*Templates!$C$28/$BF102+$BA102*Templates!$C$29/$BG102+$BB102*Templates!$C$30/$BH102+$BC102*Templates!$C$31/$BI102)/Templates!$B$18)</f>
        <v/>
      </c>
      <c r="BL102" s="18">
        <f>IF(OR($A102="",$BD102=0),0,($AY102*Templates!$D$27/$BE102+$AZ102*Templates!$D$28/$BF102+$BA102*Templates!$D$29/$BG102+$BB102*Templates!$D$30/$BH102+$BC102*Templates!$D$31/$BI102)/Templates!$B$19)</f>
        <v/>
      </c>
      <c r="BM102" s="18">
        <f>IF(OR($A102="",$BD102=0),0,($AY102*Templates!$E$27/$BE102+$AZ102*Templates!$E$28/$BF102+$BA102*Templates!$E$29/$BG102+$BB102*Templates!$E$30/$BH102+$BC102*Templates!$E$31/$BI102)/Templates!$B$20)</f>
        <v/>
      </c>
      <c r="BN102" s="18">
        <f>IF(OR($A102="",$BD102=0),0,($AY102*Templates!$F$27/$BE102+$AZ102*Templates!$F$28/$BF102+$BA102*Templates!$F$29/$BG102+$BB102*Templates!$F$30/$BH102+$BC102*Templates!$F$31/$BI102)/Templates!$B$21)</f>
        <v/>
      </c>
      <c r="BO102" s="18">
        <f>IF(OR($A102="",$BD102=0),0,($AY102*Templates!$G$27/$BE102+$AZ102*Templates!$G$28/$BF102+$BA102*Templates!$G$29/$BG102+$BB102*Templates!$G$30/$BH102+$BC102*Templates!$G$31/$BI102)/Templates!$B$22)</f>
        <v/>
      </c>
      <c r="BP102" s="18">
        <f>IF(OR($A102="",$BD102=0),0,($AY102*Templates!$H$27/$BE102+$AZ102*Templates!$H$28/$BF102+$BA102*Templates!$H$29/$BG102+$BB102*Templates!$H$30/$BH102+$BC102*Templates!$H$31/$BI102)/Templates!$B$23)</f>
        <v/>
      </c>
    </row>
    <row r="103">
      <c r="A103" s="28" t="inlineStr">
        <is>
          <t>Justin_2</t>
        </is>
      </c>
      <c r="B103" s="20" t="inlineStr">
        <is>
          <t>Euclid Transactional</t>
        </is>
      </c>
      <c r="C103" s="28" t="inlineStr">
        <is>
          <t>Euclid Transactional</t>
        </is>
      </c>
      <c r="D103" s="28" t="inlineStr"/>
      <c r="E103" s="28" t="inlineStr">
        <is>
          <t>No</t>
        </is>
      </c>
      <c r="F103" s="28" t="inlineStr">
        <is>
          <t>Active</t>
        </is>
      </c>
      <c r="G103" s="38" t="n"/>
      <c r="H103" s="29" t="n">
        <v>1</v>
      </c>
      <c r="I103" s="39" t="n"/>
      <c r="J103" s="39" t="n"/>
      <c r="K103" s="31" t="n"/>
      <c r="L103" s="31" t="n"/>
      <c r="M103" s="31" t="n"/>
      <c r="N103" s="31" t="n"/>
      <c r="O103" s="31" t="n"/>
      <c r="P103" s="31" t="n"/>
      <c r="Q103" s="23">
        <f>IF($A103="","",COUNTIFS(Assignments!$C$2:$C$769,$A103,Assignments!$G$2:$G$769,"Active"))</f>
        <v/>
      </c>
      <c r="R103" s="32">
        <f>IF($A103="","",SUMIFS(Assignments!$I$2:$I$769,Assignments!$C$2:$C$769,$A103,Assignments!$G$2:$G$769,"Active"))</f>
        <v/>
      </c>
      <c r="S103" s="20" t="inlineStr">
        <is>
          <t>WIP</t>
        </is>
      </c>
      <c r="T103" s="31" t="n"/>
      <c r="U103" s="38" t="n"/>
      <c r="V103" s="34">
        <f>IF($U103="","",IFERROR(INDEX(Templates!$K$3:$K$10,MATCH($U103,Templates!$A$3:$A$10,0)),""))</f>
        <v/>
      </c>
      <c r="W103" s="34">
        <f>IF($U103="","",IFERROR(INDEX(Templates!$L$3:$L$10,MATCH($U103,Templates!$A$3:$A$10,0)),""))</f>
        <v/>
      </c>
      <c r="X103" s="21">
        <f>IF($U103="","",IFERROR(INDEX(Templates!$J$3:$J$10,MATCH($U103,Templates!$A$3:$A$10,0)),""))</f>
        <v/>
      </c>
      <c r="Y103" s="35">
        <f>IF(OR($U103="",$I103="",$J103="",$X103=""),"",$I103+$X103*($J103-$I103))</f>
        <v/>
      </c>
      <c r="Z103" s="30" t="n">
        <v>46212</v>
      </c>
      <c r="AA103" s="40" t="n"/>
      <c r="AB103" s="41" t="n"/>
      <c r="AC103" s="41" t="n"/>
      <c r="AD103" s="19">
        <f>IF($A103="","",IF($AA103="",$H103,$AA103))</f>
        <v/>
      </c>
      <c r="AE103" s="35">
        <f>IF($A103="","",IF($AB103="",$I103,$AB103))</f>
        <v/>
      </c>
      <c r="AF103" s="35">
        <f>IF($A103="","",IF($AC103="",$J103,$AC103))</f>
        <v/>
      </c>
      <c r="AG103" s="35">
        <f>IF(OR($U103="",$AE103="",$AF103="",$X103=""),"",$AE103+$X103*($AF103-$AE103))</f>
        <v/>
      </c>
      <c r="AH103" s="38" t="n"/>
      <c r="AI103" s="38" t="n"/>
      <c r="AJ103" s="38" t="n"/>
      <c r="AK103" s="38" t="n"/>
      <c r="AL103" s="38" t="n"/>
      <c r="AM103" s="38" t="n"/>
      <c r="AN103" s="38" t="n"/>
      <c r="AO103" s="38" t="n"/>
      <c r="AP103" s="38" t="n"/>
      <c r="AQ103" s="38" t="n"/>
      <c r="AR103" s="38" t="n"/>
      <c r="AS103" s="38" t="n"/>
      <c r="AT103" s="38" t="n"/>
      <c r="AU103" s="38" t="n"/>
      <c r="AV103" s="38" t="n"/>
      <c r="AW103" s="38" t="n"/>
      <c r="AX103" s="38" t="n"/>
      <c r="AY103" s="42" t="n"/>
      <c r="AZ103" s="42" t="n"/>
      <c r="BA103" s="42" t="n"/>
      <c r="BB103" s="42" t="n"/>
      <c r="BC103" s="42" t="n"/>
      <c r="BD103" s="37">
        <f>IF($A103="","",SUM($AY103:$BC103))</f>
        <v/>
      </c>
      <c r="BE103" s="18">
        <f>IF($A103="","",IF(AND($I103&lt;&gt;"",$J103&lt;&gt;""),MAX(1,($J103-$I103)/7),Templates!$B$35))</f>
        <v/>
      </c>
      <c r="BF103" s="18">
        <f>IF($A103="","",IF(AND($I103&lt;&gt;"",$J103&lt;&gt;""),MAX(1,($J103-$I103)/7),Templates!$B$36))</f>
        <v/>
      </c>
      <c r="BG103" s="18">
        <f>IF($A103="","",IF(AND($I103&lt;&gt;"",$J103&lt;&gt;""),MAX(1,($J103-$I103)/7),Templates!$B$37))</f>
        <v/>
      </c>
      <c r="BH103" s="18">
        <f>IF($A103="","",IF(AND($I103&lt;&gt;"",$J103&lt;&gt;""),MAX(1,($J103-$I103)/7),Templates!$B$38))</f>
        <v/>
      </c>
      <c r="BI103" s="18">
        <f>IF($A103="","",IF(AND($I103&lt;&gt;"",$J103&lt;&gt;""),MAX(1,($J103-$I103)/7),Templates!$B$39))</f>
        <v/>
      </c>
      <c r="BJ103" s="18">
        <f>IF(OR($A103="",$BD103=0),0,($AY103*Templates!$B$27/$BE103+$AZ103*Templates!$B$28/$BF103+$BA103*Templates!$B$29/$BG103+$BB103*Templates!$B$30/$BH103+$BC103*Templates!$B$31/$BI103)/Templates!$B$17)</f>
        <v/>
      </c>
      <c r="BK103" s="18">
        <f>IF(OR($A103="",$BD103=0),0,($AY103*Templates!$C$27/$BE103+$AZ103*Templates!$C$28/$BF103+$BA103*Templates!$C$29/$BG103+$BB103*Templates!$C$30/$BH103+$BC103*Templates!$C$31/$BI103)/Templates!$B$18)</f>
        <v/>
      </c>
      <c r="BL103" s="18">
        <f>IF(OR($A103="",$BD103=0),0,($AY103*Templates!$D$27/$BE103+$AZ103*Templates!$D$28/$BF103+$BA103*Templates!$D$29/$BG103+$BB103*Templates!$D$30/$BH103+$BC103*Templates!$D$31/$BI103)/Templates!$B$19)</f>
        <v/>
      </c>
      <c r="BM103" s="18">
        <f>IF(OR($A103="",$BD103=0),0,($AY103*Templates!$E$27/$BE103+$AZ103*Templates!$E$28/$BF103+$BA103*Templates!$E$29/$BG103+$BB103*Templates!$E$30/$BH103+$BC103*Templates!$E$31/$BI103)/Templates!$B$20)</f>
        <v/>
      </c>
      <c r="BN103" s="18">
        <f>IF(OR($A103="",$BD103=0),0,($AY103*Templates!$F$27/$BE103+$AZ103*Templates!$F$28/$BF103+$BA103*Templates!$F$29/$BG103+$BB103*Templates!$F$30/$BH103+$BC103*Templates!$F$31/$BI103)/Templates!$B$21)</f>
        <v/>
      </c>
      <c r="BO103" s="18">
        <f>IF(OR($A103="",$BD103=0),0,($AY103*Templates!$G$27/$BE103+$AZ103*Templates!$G$28/$BF103+$BA103*Templates!$G$29/$BG103+$BB103*Templates!$G$30/$BH103+$BC103*Templates!$G$31/$BI103)/Templates!$B$22)</f>
        <v/>
      </c>
      <c r="BP103" s="18">
        <f>IF(OR($A103="",$BD103=0),0,($AY103*Templates!$H$27/$BE103+$AZ103*Templates!$H$28/$BF103+$BA103*Templates!$H$29/$BG103+$BB103*Templates!$H$30/$BH103+$BC103*Templates!$H$31/$BI103)/Templates!$B$23)</f>
        <v/>
      </c>
    </row>
    <row r="104">
      <c r="A104" s="28" t="inlineStr">
        <is>
          <t>Kanawha_1</t>
        </is>
      </c>
      <c r="B104" s="20" t="inlineStr">
        <is>
          <t>Franklin L. Haney Company</t>
        </is>
      </c>
      <c r="C104" s="28" t="inlineStr">
        <is>
          <t>Franklin L. Haney Company</t>
        </is>
      </c>
      <c r="D104" s="28" t="inlineStr"/>
      <c r="E104" s="28" t="inlineStr">
        <is>
          <t>No</t>
        </is>
      </c>
      <c r="F104" s="28" t="inlineStr">
        <is>
          <t>Active</t>
        </is>
      </c>
      <c r="G104" s="38" t="n"/>
      <c r="H104" s="29" t="n">
        <v>1</v>
      </c>
      <c r="I104" s="39" t="n"/>
      <c r="J104" s="39" t="n"/>
      <c r="K104" s="31" t="n"/>
      <c r="L104" s="31" t="n"/>
      <c r="M104" s="31" t="n"/>
      <c r="N104" s="31" t="n"/>
      <c r="O104" s="31" t="n"/>
      <c r="P104" s="31" t="n"/>
      <c r="Q104" s="23">
        <f>IF($A104="","",COUNTIFS(Assignments!$C$2:$C$769,$A104,Assignments!$G$2:$G$769,"Active"))</f>
        <v/>
      </c>
      <c r="R104" s="32">
        <f>IF($A104="","",SUMIFS(Assignments!$I$2:$I$769,Assignments!$C$2:$C$769,$A104,Assignments!$G$2:$G$769,"Active"))</f>
        <v/>
      </c>
      <c r="S104" s="20" t="inlineStr">
        <is>
          <t>WIP</t>
        </is>
      </c>
      <c r="T104" s="31" t="n"/>
      <c r="U104" s="38" t="n"/>
      <c r="V104" s="34">
        <f>IF($U104="","",IFERROR(INDEX(Templates!$K$3:$K$10,MATCH($U104,Templates!$A$3:$A$10,0)),""))</f>
        <v/>
      </c>
      <c r="W104" s="34">
        <f>IF($U104="","",IFERROR(INDEX(Templates!$L$3:$L$10,MATCH($U104,Templates!$A$3:$A$10,0)),""))</f>
        <v/>
      </c>
      <c r="X104" s="21">
        <f>IF($U104="","",IFERROR(INDEX(Templates!$J$3:$J$10,MATCH($U104,Templates!$A$3:$A$10,0)),""))</f>
        <v/>
      </c>
      <c r="Y104" s="35">
        <f>IF(OR($U104="",$I104="",$J104="",$X104=""),"",$I104+$X104*($J104-$I104))</f>
        <v/>
      </c>
      <c r="Z104" s="30" t="n">
        <v>46212</v>
      </c>
      <c r="AA104" s="40" t="n"/>
      <c r="AB104" s="41" t="n"/>
      <c r="AC104" s="41" t="n"/>
      <c r="AD104" s="19">
        <f>IF($A104="","",IF($AA104="",$H104,$AA104))</f>
        <v/>
      </c>
      <c r="AE104" s="35">
        <f>IF($A104="","",IF($AB104="",$I104,$AB104))</f>
        <v/>
      </c>
      <c r="AF104" s="35">
        <f>IF($A104="","",IF($AC104="",$J104,$AC104))</f>
        <v/>
      </c>
      <c r="AG104" s="35">
        <f>IF(OR($U104="",$AE104="",$AF104="",$X104=""),"",$AE104+$X104*($AF104-$AE104))</f>
        <v/>
      </c>
      <c r="AH104" s="38" t="n"/>
      <c r="AI104" s="38" t="n"/>
      <c r="AJ104" s="38" t="n"/>
      <c r="AK104" s="38" t="n"/>
      <c r="AL104" s="38" t="n"/>
      <c r="AM104" s="38" t="n"/>
      <c r="AN104" s="38" t="n"/>
      <c r="AO104" s="38" t="n"/>
      <c r="AP104" s="38" t="n"/>
      <c r="AQ104" s="38" t="n"/>
      <c r="AR104" s="38" t="n"/>
      <c r="AS104" s="38" t="n"/>
      <c r="AT104" s="38" t="n"/>
      <c r="AU104" s="38" t="n"/>
      <c r="AV104" s="38" t="n"/>
      <c r="AW104" s="38" t="n"/>
      <c r="AX104" s="38" t="n"/>
      <c r="AY104" s="42" t="n"/>
      <c r="AZ104" s="42" t="n"/>
      <c r="BA104" s="42" t="n"/>
      <c r="BB104" s="42" t="n"/>
      <c r="BC104" s="42" t="n"/>
      <c r="BD104" s="37">
        <f>IF($A104="","",SUM($AY104:$BC104))</f>
        <v/>
      </c>
      <c r="BE104" s="18">
        <f>IF($A104="","",IF(AND($I104&lt;&gt;"",$J104&lt;&gt;""),MAX(1,($J104-$I104)/7),Templates!$B$35))</f>
        <v/>
      </c>
      <c r="BF104" s="18">
        <f>IF($A104="","",IF(AND($I104&lt;&gt;"",$J104&lt;&gt;""),MAX(1,($J104-$I104)/7),Templates!$B$36))</f>
        <v/>
      </c>
      <c r="BG104" s="18">
        <f>IF($A104="","",IF(AND($I104&lt;&gt;"",$J104&lt;&gt;""),MAX(1,($J104-$I104)/7),Templates!$B$37))</f>
        <v/>
      </c>
      <c r="BH104" s="18">
        <f>IF($A104="","",IF(AND($I104&lt;&gt;"",$J104&lt;&gt;""),MAX(1,($J104-$I104)/7),Templates!$B$38))</f>
        <v/>
      </c>
      <c r="BI104" s="18">
        <f>IF($A104="","",IF(AND($I104&lt;&gt;"",$J104&lt;&gt;""),MAX(1,($J104-$I104)/7),Templates!$B$39))</f>
        <v/>
      </c>
      <c r="BJ104" s="18">
        <f>IF(OR($A104="",$BD104=0),0,($AY104*Templates!$B$27/$BE104+$AZ104*Templates!$B$28/$BF104+$BA104*Templates!$B$29/$BG104+$BB104*Templates!$B$30/$BH104+$BC104*Templates!$B$31/$BI104)/Templates!$B$17)</f>
        <v/>
      </c>
      <c r="BK104" s="18">
        <f>IF(OR($A104="",$BD104=0),0,($AY104*Templates!$C$27/$BE104+$AZ104*Templates!$C$28/$BF104+$BA104*Templates!$C$29/$BG104+$BB104*Templates!$C$30/$BH104+$BC104*Templates!$C$31/$BI104)/Templates!$B$18)</f>
        <v/>
      </c>
      <c r="BL104" s="18">
        <f>IF(OR($A104="",$BD104=0),0,($AY104*Templates!$D$27/$BE104+$AZ104*Templates!$D$28/$BF104+$BA104*Templates!$D$29/$BG104+$BB104*Templates!$D$30/$BH104+$BC104*Templates!$D$31/$BI104)/Templates!$B$19)</f>
        <v/>
      </c>
      <c r="BM104" s="18">
        <f>IF(OR($A104="",$BD104=0),0,($AY104*Templates!$E$27/$BE104+$AZ104*Templates!$E$28/$BF104+$BA104*Templates!$E$29/$BG104+$BB104*Templates!$E$30/$BH104+$BC104*Templates!$E$31/$BI104)/Templates!$B$20)</f>
        <v/>
      </c>
      <c r="BN104" s="18">
        <f>IF(OR($A104="",$BD104=0),0,($AY104*Templates!$F$27/$BE104+$AZ104*Templates!$F$28/$BF104+$BA104*Templates!$F$29/$BG104+$BB104*Templates!$F$30/$BH104+$BC104*Templates!$F$31/$BI104)/Templates!$B$21)</f>
        <v/>
      </c>
      <c r="BO104" s="18">
        <f>IF(OR($A104="",$BD104=0),0,($AY104*Templates!$G$27/$BE104+$AZ104*Templates!$G$28/$BF104+$BA104*Templates!$G$29/$BG104+$BB104*Templates!$G$30/$BH104+$BC104*Templates!$G$31/$BI104)/Templates!$B$22)</f>
        <v/>
      </c>
      <c r="BP104" s="18">
        <f>IF(OR($A104="",$BD104=0),0,($AY104*Templates!$H$27/$BE104+$AZ104*Templates!$H$28/$BF104+$BA104*Templates!$H$29/$BG104+$BB104*Templates!$H$30/$BH104+$BC104*Templates!$H$31/$BI104)/Templates!$B$23)</f>
        <v/>
      </c>
    </row>
    <row r="105">
      <c r="A105" s="28" t="inlineStr">
        <is>
          <t>Kentucky_1</t>
        </is>
      </c>
      <c r="B105" s="20" t="inlineStr">
        <is>
          <t>The CAM Collective</t>
        </is>
      </c>
      <c r="C105" s="28" t="inlineStr">
        <is>
          <t>The CAM Collective</t>
        </is>
      </c>
      <c r="D105" s="28" t="inlineStr"/>
      <c r="E105" s="28" t="inlineStr">
        <is>
          <t>No</t>
        </is>
      </c>
      <c r="F105" s="28" t="inlineStr">
        <is>
          <t>Active</t>
        </is>
      </c>
      <c r="G105" s="38" t="n"/>
      <c r="H105" s="29" t="n">
        <v>1</v>
      </c>
      <c r="I105" s="39" t="n"/>
      <c r="J105" s="39" t="n"/>
      <c r="K105" s="31" t="n"/>
      <c r="L105" s="31" t="n"/>
      <c r="M105" s="31" t="n"/>
      <c r="N105" s="31" t="n"/>
      <c r="O105" s="31" t="n"/>
      <c r="P105" s="31" t="n"/>
      <c r="Q105" s="23">
        <f>IF($A105="","",COUNTIFS(Assignments!$C$2:$C$769,$A105,Assignments!$G$2:$G$769,"Active"))</f>
        <v/>
      </c>
      <c r="R105" s="32">
        <f>IF($A105="","",SUMIFS(Assignments!$I$2:$I$769,Assignments!$C$2:$C$769,$A105,Assignments!$G$2:$G$769,"Active"))</f>
        <v/>
      </c>
      <c r="S105" s="20" t="inlineStr">
        <is>
          <t>WIP</t>
        </is>
      </c>
      <c r="T105" s="31" t="n"/>
      <c r="U105" s="38" t="n"/>
      <c r="V105" s="34">
        <f>IF($U105="","",IFERROR(INDEX(Templates!$K$3:$K$10,MATCH($U105,Templates!$A$3:$A$10,0)),""))</f>
        <v/>
      </c>
      <c r="W105" s="34">
        <f>IF($U105="","",IFERROR(INDEX(Templates!$L$3:$L$10,MATCH($U105,Templates!$A$3:$A$10,0)),""))</f>
        <v/>
      </c>
      <c r="X105" s="21">
        <f>IF($U105="","",IFERROR(INDEX(Templates!$J$3:$J$10,MATCH($U105,Templates!$A$3:$A$10,0)),""))</f>
        <v/>
      </c>
      <c r="Y105" s="35">
        <f>IF(OR($U105="",$I105="",$J105="",$X105=""),"",$I105+$X105*($J105-$I105))</f>
        <v/>
      </c>
      <c r="Z105" s="30" t="n">
        <v>46212</v>
      </c>
      <c r="AA105" s="40" t="n"/>
      <c r="AB105" s="41" t="n"/>
      <c r="AC105" s="41" t="n"/>
      <c r="AD105" s="19">
        <f>IF($A105="","",IF($AA105="",$H105,$AA105))</f>
        <v/>
      </c>
      <c r="AE105" s="35">
        <f>IF($A105="","",IF($AB105="",$I105,$AB105))</f>
        <v/>
      </c>
      <c r="AF105" s="35">
        <f>IF($A105="","",IF($AC105="",$J105,$AC105))</f>
        <v/>
      </c>
      <c r="AG105" s="35">
        <f>IF(OR($U105="",$AE105="",$AF105="",$X105=""),"",$AE105+$X105*($AF105-$AE105))</f>
        <v/>
      </c>
      <c r="AH105" s="38" t="n"/>
      <c r="AI105" s="38" t="n"/>
      <c r="AJ105" s="38" t="n"/>
      <c r="AK105" s="38" t="n"/>
      <c r="AL105" s="38" t="n"/>
      <c r="AM105" s="38" t="n"/>
      <c r="AN105" s="38" t="n"/>
      <c r="AO105" s="38" t="n"/>
      <c r="AP105" s="38" t="n"/>
      <c r="AQ105" s="38" t="n"/>
      <c r="AR105" s="38" t="n"/>
      <c r="AS105" s="38" t="n"/>
      <c r="AT105" s="38" t="n"/>
      <c r="AU105" s="38" t="n"/>
      <c r="AV105" s="38" t="n"/>
      <c r="AW105" s="38" t="n"/>
      <c r="AX105" s="38" t="n"/>
      <c r="AY105" s="42" t="n"/>
      <c r="AZ105" s="42" t="n"/>
      <c r="BA105" s="42" t="n"/>
      <c r="BB105" s="42" t="n"/>
      <c r="BC105" s="42" t="n"/>
      <c r="BD105" s="37">
        <f>IF($A105="","",SUM($AY105:$BC105))</f>
        <v/>
      </c>
      <c r="BE105" s="18">
        <f>IF($A105="","",IF(AND($I105&lt;&gt;"",$J105&lt;&gt;""),MAX(1,($J105-$I105)/7),Templates!$B$35))</f>
        <v/>
      </c>
      <c r="BF105" s="18">
        <f>IF($A105="","",IF(AND($I105&lt;&gt;"",$J105&lt;&gt;""),MAX(1,($J105-$I105)/7),Templates!$B$36))</f>
        <v/>
      </c>
      <c r="BG105" s="18">
        <f>IF($A105="","",IF(AND($I105&lt;&gt;"",$J105&lt;&gt;""),MAX(1,($J105-$I105)/7),Templates!$B$37))</f>
        <v/>
      </c>
      <c r="BH105" s="18">
        <f>IF($A105="","",IF(AND($I105&lt;&gt;"",$J105&lt;&gt;""),MAX(1,($J105-$I105)/7),Templates!$B$38))</f>
        <v/>
      </c>
      <c r="BI105" s="18">
        <f>IF($A105="","",IF(AND($I105&lt;&gt;"",$J105&lt;&gt;""),MAX(1,($J105-$I105)/7),Templates!$B$39))</f>
        <v/>
      </c>
      <c r="BJ105" s="18">
        <f>IF(OR($A105="",$BD105=0),0,($AY105*Templates!$B$27/$BE105+$AZ105*Templates!$B$28/$BF105+$BA105*Templates!$B$29/$BG105+$BB105*Templates!$B$30/$BH105+$BC105*Templates!$B$31/$BI105)/Templates!$B$17)</f>
        <v/>
      </c>
      <c r="BK105" s="18">
        <f>IF(OR($A105="",$BD105=0),0,($AY105*Templates!$C$27/$BE105+$AZ105*Templates!$C$28/$BF105+$BA105*Templates!$C$29/$BG105+$BB105*Templates!$C$30/$BH105+$BC105*Templates!$C$31/$BI105)/Templates!$B$18)</f>
        <v/>
      </c>
      <c r="BL105" s="18">
        <f>IF(OR($A105="",$BD105=0),0,($AY105*Templates!$D$27/$BE105+$AZ105*Templates!$D$28/$BF105+$BA105*Templates!$D$29/$BG105+$BB105*Templates!$D$30/$BH105+$BC105*Templates!$D$31/$BI105)/Templates!$B$19)</f>
        <v/>
      </c>
      <c r="BM105" s="18">
        <f>IF(OR($A105="",$BD105=0),0,($AY105*Templates!$E$27/$BE105+$AZ105*Templates!$E$28/$BF105+$BA105*Templates!$E$29/$BG105+$BB105*Templates!$E$30/$BH105+$BC105*Templates!$E$31/$BI105)/Templates!$B$20)</f>
        <v/>
      </c>
      <c r="BN105" s="18">
        <f>IF(OR($A105="",$BD105=0),0,($AY105*Templates!$F$27/$BE105+$AZ105*Templates!$F$28/$BF105+$BA105*Templates!$F$29/$BG105+$BB105*Templates!$F$30/$BH105+$BC105*Templates!$F$31/$BI105)/Templates!$B$21)</f>
        <v/>
      </c>
      <c r="BO105" s="18">
        <f>IF(OR($A105="",$BD105=0),0,($AY105*Templates!$G$27/$BE105+$AZ105*Templates!$G$28/$BF105+$BA105*Templates!$G$29/$BG105+$BB105*Templates!$G$30/$BH105+$BC105*Templates!$G$31/$BI105)/Templates!$B$22)</f>
        <v/>
      </c>
      <c r="BP105" s="18">
        <f>IF(OR($A105="",$BD105=0),0,($AY105*Templates!$H$27/$BE105+$AZ105*Templates!$H$28/$BF105+$BA105*Templates!$H$29/$BG105+$BB105*Templates!$H$30/$BH105+$BC105*Templates!$H$31/$BI105)/Templates!$B$23)</f>
        <v/>
      </c>
    </row>
    <row r="106">
      <c r="A106" s="28" t="inlineStr">
        <is>
          <t>Lafayette_2</t>
        </is>
      </c>
      <c r="B106" s="20" t="inlineStr">
        <is>
          <t>EDF Renewables North America</t>
        </is>
      </c>
      <c r="C106" s="28" t="inlineStr">
        <is>
          <t>EDF Renewables North America</t>
        </is>
      </c>
      <c r="D106" s="28" t="inlineStr"/>
      <c r="E106" s="28" t="inlineStr">
        <is>
          <t>No</t>
        </is>
      </c>
      <c r="F106" s="28" t="inlineStr">
        <is>
          <t>Active</t>
        </is>
      </c>
      <c r="G106" s="38" t="n"/>
      <c r="H106" s="29" t="n">
        <v>1</v>
      </c>
      <c r="I106" s="39" t="n"/>
      <c r="J106" s="39" t="n"/>
      <c r="K106" s="31" t="n"/>
      <c r="L106" s="31" t="n"/>
      <c r="M106" s="31" t="n"/>
      <c r="N106" s="31" t="n"/>
      <c r="O106" s="31" t="n"/>
      <c r="P106" s="31" t="n"/>
      <c r="Q106" s="23">
        <f>IF($A106="","",COUNTIFS(Assignments!$C$2:$C$769,$A106,Assignments!$G$2:$G$769,"Active"))</f>
        <v/>
      </c>
      <c r="R106" s="32">
        <f>IF($A106="","",SUMIFS(Assignments!$I$2:$I$769,Assignments!$C$2:$C$769,$A106,Assignments!$G$2:$G$769,"Active"))</f>
        <v/>
      </c>
      <c r="S106" s="20" t="inlineStr">
        <is>
          <t>WIP</t>
        </is>
      </c>
      <c r="T106" s="31" t="n"/>
      <c r="U106" s="38" t="n"/>
      <c r="V106" s="34">
        <f>IF($U106="","",IFERROR(INDEX(Templates!$K$3:$K$10,MATCH($U106,Templates!$A$3:$A$10,0)),""))</f>
        <v/>
      </c>
      <c r="W106" s="34">
        <f>IF($U106="","",IFERROR(INDEX(Templates!$L$3:$L$10,MATCH($U106,Templates!$A$3:$A$10,0)),""))</f>
        <v/>
      </c>
      <c r="X106" s="21">
        <f>IF($U106="","",IFERROR(INDEX(Templates!$J$3:$J$10,MATCH($U106,Templates!$A$3:$A$10,0)),""))</f>
        <v/>
      </c>
      <c r="Y106" s="35">
        <f>IF(OR($U106="",$I106="",$J106="",$X106=""),"",$I106+$X106*($J106-$I106))</f>
        <v/>
      </c>
      <c r="Z106" s="30" t="n">
        <v>46212</v>
      </c>
      <c r="AA106" s="40" t="n"/>
      <c r="AB106" s="41" t="n"/>
      <c r="AC106" s="41" t="n"/>
      <c r="AD106" s="19">
        <f>IF($A106="","",IF($AA106="",$H106,$AA106))</f>
        <v/>
      </c>
      <c r="AE106" s="35">
        <f>IF($A106="","",IF($AB106="",$I106,$AB106))</f>
        <v/>
      </c>
      <c r="AF106" s="35">
        <f>IF($A106="","",IF($AC106="",$J106,$AC106))</f>
        <v/>
      </c>
      <c r="AG106" s="35">
        <f>IF(OR($U106="",$AE106="",$AF106="",$X106=""),"",$AE106+$X106*($AF106-$AE106))</f>
        <v/>
      </c>
      <c r="AH106" s="38" t="n"/>
      <c r="AI106" s="38" t="n"/>
      <c r="AJ106" s="38" t="n"/>
      <c r="AK106" s="38" t="n"/>
      <c r="AL106" s="38" t="n"/>
      <c r="AM106" s="38" t="n"/>
      <c r="AN106" s="38" t="n"/>
      <c r="AO106" s="38" t="n"/>
      <c r="AP106" s="38" t="n"/>
      <c r="AQ106" s="38" t="n"/>
      <c r="AR106" s="38" t="n"/>
      <c r="AS106" s="38" t="n"/>
      <c r="AT106" s="38" t="n"/>
      <c r="AU106" s="38" t="n"/>
      <c r="AV106" s="38" t="n"/>
      <c r="AW106" s="38" t="n"/>
      <c r="AX106" s="38" t="n"/>
      <c r="AY106" s="42" t="n"/>
      <c r="AZ106" s="42" t="n"/>
      <c r="BA106" s="42" t="n"/>
      <c r="BB106" s="42" t="n"/>
      <c r="BC106" s="42" t="n"/>
      <c r="BD106" s="37">
        <f>IF($A106="","",SUM($AY106:$BC106))</f>
        <v/>
      </c>
      <c r="BE106" s="18">
        <f>IF($A106="","",IF(AND($I106&lt;&gt;"",$J106&lt;&gt;""),MAX(1,($J106-$I106)/7),Templates!$B$35))</f>
        <v/>
      </c>
      <c r="BF106" s="18">
        <f>IF($A106="","",IF(AND($I106&lt;&gt;"",$J106&lt;&gt;""),MAX(1,($J106-$I106)/7),Templates!$B$36))</f>
        <v/>
      </c>
      <c r="BG106" s="18">
        <f>IF($A106="","",IF(AND($I106&lt;&gt;"",$J106&lt;&gt;""),MAX(1,($J106-$I106)/7),Templates!$B$37))</f>
        <v/>
      </c>
      <c r="BH106" s="18">
        <f>IF($A106="","",IF(AND($I106&lt;&gt;"",$J106&lt;&gt;""),MAX(1,($J106-$I106)/7),Templates!$B$38))</f>
        <v/>
      </c>
      <c r="BI106" s="18">
        <f>IF($A106="","",IF(AND($I106&lt;&gt;"",$J106&lt;&gt;""),MAX(1,($J106-$I106)/7),Templates!$B$39))</f>
        <v/>
      </c>
      <c r="BJ106" s="18">
        <f>IF(OR($A106="",$BD106=0),0,($AY106*Templates!$B$27/$BE106+$AZ106*Templates!$B$28/$BF106+$BA106*Templates!$B$29/$BG106+$BB106*Templates!$B$30/$BH106+$BC106*Templates!$B$31/$BI106)/Templates!$B$17)</f>
        <v/>
      </c>
      <c r="BK106" s="18">
        <f>IF(OR($A106="",$BD106=0),0,($AY106*Templates!$C$27/$BE106+$AZ106*Templates!$C$28/$BF106+$BA106*Templates!$C$29/$BG106+$BB106*Templates!$C$30/$BH106+$BC106*Templates!$C$31/$BI106)/Templates!$B$18)</f>
        <v/>
      </c>
      <c r="BL106" s="18">
        <f>IF(OR($A106="",$BD106=0),0,($AY106*Templates!$D$27/$BE106+$AZ106*Templates!$D$28/$BF106+$BA106*Templates!$D$29/$BG106+$BB106*Templates!$D$30/$BH106+$BC106*Templates!$D$31/$BI106)/Templates!$B$19)</f>
        <v/>
      </c>
      <c r="BM106" s="18">
        <f>IF(OR($A106="",$BD106=0),0,($AY106*Templates!$E$27/$BE106+$AZ106*Templates!$E$28/$BF106+$BA106*Templates!$E$29/$BG106+$BB106*Templates!$E$30/$BH106+$BC106*Templates!$E$31/$BI106)/Templates!$B$20)</f>
        <v/>
      </c>
      <c r="BN106" s="18">
        <f>IF(OR($A106="",$BD106=0),0,($AY106*Templates!$F$27/$BE106+$AZ106*Templates!$F$28/$BF106+$BA106*Templates!$F$29/$BG106+$BB106*Templates!$F$30/$BH106+$BC106*Templates!$F$31/$BI106)/Templates!$B$21)</f>
        <v/>
      </c>
      <c r="BO106" s="18">
        <f>IF(OR($A106="",$BD106=0),0,($AY106*Templates!$G$27/$BE106+$AZ106*Templates!$G$28/$BF106+$BA106*Templates!$G$29/$BG106+$BB106*Templates!$G$30/$BH106+$BC106*Templates!$G$31/$BI106)/Templates!$B$22)</f>
        <v/>
      </c>
      <c r="BP106" s="18">
        <f>IF(OR($A106="",$BD106=0),0,($AY106*Templates!$H$27/$BE106+$AZ106*Templates!$H$28/$BF106+$BA106*Templates!$H$29/$BG106+$BB106*Templates!$H$30/$BH106+$BC106*Templates!$H$31/$BI106)/Templates!$B$23)</f>
        <v/>
      </c>
    </row>
    <row r="107">
      <c r="A107" s="28" t="inlineStr">
        <is>
          <t>Long_2</t>
        </is>
      </c>
      <c r="B107" s="20" t="inlineStr">
        <is>
          <t>Euclid Transactional</t>
        </is>
      </c>
      <c r="C107" s="28" t="inlineStr">
        <is>
          <t>Euclid Transactional</t>
        </is>
      </c>
      <c r="D107" s="28" t="inlineStr"/>
      <c r="E107" s="28" t="inlineStr">
        <is>
          <t>No</t>
        </is>
      </c>
      <c r="F107" s="28" t="inlineStr">
        <is>
          <t>Active</t>
        </is>
      </c>
      <c r="G107" s="38" t="n"/>
      <c r="H107" s="29" t="n">
        <v>1</v>
      </c>
      <c r="I107" s="39" t="n"/>
      <c r="J107" s="39" t="n"/>
      <c r="K107" s="31" t="n"/>
      <c r="L107" s="31" t="n"/>
      <c r="M107" s="31" t="n"/>
      <c r="N107" s="31" t="n"/>
      <c r="O107" s="31" t="n"/>
      <c r="P107" s="31" t="n"/>
      <c r="Q107" s="23">
        <f>IF($A107="","",COUNTIFS(Assignments!$C$2:$C$769,$A107,Assignments!$G$2:$G$769,"Active"))</f>
        <v/>
      </c>
      <c r="R107" s="32">
        <f>IF($A107="","",SUMIFS(Assignments!$I$2:$I$769,Assignments!$C$2:$C$769,$A107,Assignments!$G$2:$G$769,"Active"))</f>
        <v/>
      </c>
      <c r="S107" s="20" t="inlineStr">
        <is>
          <t>WIP</t>
        </is>
      </c>
      <c r="T107" s="31" t="n"/>
      <c r="U107" s="38" t="n"/>
      <c r="V107" s="34">
        <f>IF($U107="","",IFERROR(INDEX(Templates!$K$3:$K$10,MATCH($U107,Templates!$A$3:$A$10,0)),""))</f>
        <v/>
      </c>
      <c r="W107" s="34">
        <f>IF($U107="","",IFERROR(INDEX(Templates!$L$3:$L$10,MATCH($U107,Templates!$A$3:$A$10,0)),""))</f>
        <v/>
      </c>
      <c r="X107" s="21">
        <f>IF($U107="","",IFERROR(INDEX(Templates!$J$3:$J$10,MATCH($U107,Templates!$A$3:$A$10,0)),""))</f>
        <v/>
      </c>
      <c r="Y107" s="35">
        <f>IF(OR($U107="",$I107="",$J107="",$X107=""),"",$I107+$X107*($J107-$I107))</f>
        <v/>
      </c>
      <c r="Z107" s="30" t="n">
        <v>46212</v>
      </c>
      <c r="AA107" s="40" t="n"/>
      <c r="AB107" s="41" t="n"/>
      <c r="AC107" s="41" t="n"/>
      <c r="AD107" s="19">
        <f>IF($A107="","",IF($AA107="",$H107,$AA107))</f>
        <v/>
      </c>
      <c r="AE107" s="35">
        <f>IF($A107="","",IF($AB107="",$I107,$AB107))</f>
        <v/>
      </c>
      <c r="AF107" s="35">
        <f>IF($A107="","",IF($AC107="",$J107,$AC107))</f>
        <v/>
      </c>
      <c r="AG107" s="35">
        <f>IF(OR($U107="",$AE107="",$AF107="",$X107=""),"",$AE107+$X107*($AF107-$AE107))</f>
        <v/>
      </c>
      <c r="AH107" s="38" t="n"/>
      <c r="AI107" s="38" t="n"/>
      <c r="AJ107" s="38" t="n"/>
      <c r="AK107" s="38" t="n"/>
      <c r="AL107" s="38" t="n"/>
      <c r="AM107" s="38" t="n"/>
      <c r="AN107" s="38" t="n"/>
      <c r="AO107" s="38" t="n"/>
      <c r="AP107" s="38" t="n"/>
      <c r="AQ107" s="38" t="n"/>
      <c r="AR107" s="38" t="n"/>
      <c r="AS107" s="38" t="n"/>
      <c r="AT107" s="38" t="n"/>
      <c r="AU107" s="38" t="n"/>
      <c r="AV107" s="38" t="n"/>
      <c r="AW107" s="38" t="n"/>
      <c r="AX107" s="38" t="n"/>
      <c r="AY107" s="42" t="n"/>
      <c r="AZ107" s="42" t="n"/>
      <c r="BA107" s="42" t="n"/>
      <c r="BB107" s="42" t="n"/>
      <c r="BC107" s="42" t="n"/>
      <c r="BD107" s="37">
        <f>IF($A107="","",SUM($AY107:$BC107))</f>
        <v/>
      </c>
      <c r="BE107" s="18">
        <f>IF($A107="","",IF(AND($I107&lt;&gt;"",$J107&lt;&gt;""),MAX(1,($J107-$I107)/7),Templates!$B$35))</f>
        <v/>
      </c>
      <c r="BF107" s="18">
        <f>IF($A107="","",IF(AND($I107&lt;&gt;"",$J107&lt;&gt;""),MAX(1,($J107-$I107)/7),Templates!$B$36))</f>
        <v/>
      </c>
      <c r="BG107" s="18">
        <f>IF($A107="","",IF(AND($I107&lt;&gt;"",$J107&lt;&gt;""),MAX(1,($J107-$I107)/7),Templates!$B$37))</f>
        <v/>
      </c>
      <c r="BH107" s="18">
        <f>IF($A107="","",IF(AND($I107&lt;&gt;"",$J107&lt;&gt;""),MAX(1,($J107-$I107)/7),Templates!$B$38))</f>
        <v/>
      </c>
      <c r="BI107" s="18">
        <f>IF($A107="","",IF(AND($I107&lt;&gt;"",$J107&lt;&gt;""),MAX(1,($J107-$I107)/7),Templates!$B$39))</f>
        <v/>
      </c>
      <c r="BJ107" s="18">
        <f>IF(OR($A107="",$BD107=0),0,($AY107*Templates!$B$27/$BE107+$AZ107*Templates!$B$28/$BF107+$BA107*Templates!$B$29/$BG107+$BB107*Templates!$B$30/$BH107+$BC107*Templates!$B$31/$BI107)/Templates!$B$17)</f>
        <v/>
      </c>
      <c r="BK107" s="18">
        <f>IF(OR($A107="",$BD107=0),0,($AY107*Templates!$C$27/$BE107+$AZ107*Templates!$C$28/$BF107+$BA107*Templates!$C$29/$BG107+$BB107*Templates!$C$30/$BH107+$BC107*Templates!$C$31/$BI107)/Templates!$B$18)</f>
        <v/>
      </c>
      <c r="BL107" s="18">
        <f>IF(OR($A107="",$BD107=0),0,($AY107*Templates!$D$27/$BE107+$AZ107*Templates!$D$28/$BF107+$BA107*Templates!$D$29/$BG107+$BB107*Templates!$D$30/$BH107+$BC107*Templates!$D$31/$BI107)/Templates!$B$19)</f>
        <v/>
      </c>
      <c r="BM107" s="18">
        <f>IF(OR($A107="",$BD107=0),0,($AY107*Templates!$E$27/$BE107+$AZ107*Templates!$E$28/$BF107+$BA107*Templates!$E$29/$BG107+$BB107*Templates!$E$30/$BH107+$BC107*Templates!$E$31/$BI107)/Templates!$B$20)</f>
        <v/>
      </c>
      <c r="BN107" s="18">
        <f>IF(OR($A107="",$BD107=0),0,($AY107*Templates!$F$27/$BE107+$AZ107*Templates!$F$28/$BF107+$BA107*Templates!$F$29/$BG107+$BB107*Templates!$F$30/$BH107+$BC107*Templates!$F$31/$BI107)/Templates!$B$21)</f>
        <v/>
      </c>
      <c r="BO107" s="18">
        <f>IF(OR($A107="",$BD107=0),0,($AY107*Templates!$G$27/$BE107+$AZ107*Templates!$G$28/$BF107+$BA107*Templates!$G$29/$BG107+$BB107*Templates!$G$30/$BH107+$BC107*Templates!$G$31/$BI107)/Templates!$B$22)</f>
        <v/>
      </c>
      <c r="BP107" s="18">
        <f>IF(OR($A107="",$BD107=0),0,($AY107*Templates!$H$27/$BE107+$AZ107*Templates!$H$28/$BF107+$BA107*Templates!$H$29/$BG107+$BB107*Templates!$H$30/$BH107+$BC107*Templates!$H$31/$BI107)/Templates!$B$23)</f>
        <v/>
      </c>
    </row>
    <row r="108">
      <c r="A108" s="28" t="inlineStr">
        <is>
          <t>Look Inc - Ethos_1</t>
        </is>
      </c>
      <c r="B108" s="20" t="inlineStr">
        <is>
          <t>Ethos Specialty Insurance Services</t>
        </is>
      </c>
      <c r="C108" s="28" t="inlineStr">
        <is>
          <t>Ethos Specialty Insurance Services</t>
        </is>
      </c>
      <c r="D108" s="28" t="inlineStr"/>
      <c r="E108" s="28" t="inlineStr">
        <is>
          <t>No</t>
        </is>
      </c>
      <c r="F108" s="28" t="inlineStr">
        <is>
          <t>Active</t>
        </is>
      </c>
      <c r="G108" s="38" t="n"/>
      <c r="H108" s="29" t="n">
        <v>1</v>
      </c>
      <c r="I108" s="39" t="n"/>
      <c r="J108" s="39" t="n"/>
      <c r="K108" s="31" t="n"/>
      <c r="L108" s="31" t="n"/>
      <c r="M108" s="31" t="n"/>
      <c r="N108" s="31" t="n"/>
      <c r="O108" s="31" t="n"/>
      <c r="P108" s="31" t="n"/>
      <c r="Q108" s="23">
        <f>IF($A108="","",COUNTIFS(Assignments!$C$2:$C$769,$A108,Assignments!$G$2:$G$769,"Active"))</f>
        <v/>
      </c>
      <c r="R108" s="32">
        <f>IF($A108="","",SUMIFS(Assignments!$I$2:$I$769,Assignments!$C$2:$C$769,$A108,Assignments!$G$2:$G$769,"Active"))</f>
        <v/>
      </c>
      <c r="S108" s="20" t="inlineStr">
        <is>
          <t>WIP</t>
        </is>
      </c>
      <c r="T108" s="31" t="n"/>
      <c r="U108" s="38" t="n"/>
      <c r="V108" s="34">
        <f>IF($U108="","",IFERROR(INDEX(Templates!$K$3:$K$10,MATCH($U108,Templates!$A$3:$A$10,0)),""))</f>
        <v/>
      </c>
      <c r="W108" s="34">
        <f>IF($U108="","",IFERROR(INDEX(Templates!$L$3:$L$10,MATCH($U108,Templates!$A$3:$A$10,0)),""))</f>
        <v/>
      </c>
      <c r="X108" s="21">
        <f>IF($U108="","",IFERROR(INDEX(Templates!$J$3:$J$10,MATCH($U108,Templates!$A$3:$A$10,0)),""))</f>
        <v/>
      </c>
      <c r="Y108" s="35">
        <f>IF(OR($U108="",$I108="",$J108="",$X108=""),"",$I108+$X108*($J108-$I108))</f>
        <v/>
      </c>
      <c r="Z108" s="30" t="n">
        <v>46212</v>
      </c>
      <c r="AA108" s="40" t="n"/>
      <c r="AB108" s="41" t="n"/>
      <c r="AC108" s="41" t="n"/>
      <c r="AD108" s="19">
        <f>IF($A108="","",IF($AA108="",$H108,$AA108))</f>
        <v/>
      </c>
      <c r="AE108" s="35">
        <f>IF($A108="","",IF($AB108="",$I108,$AB108))</f>
        <v/>
      </c>
      <c r="AF108" s="35">
        <f>IF($A108="","",IF($AC108="",$J108,$AC108))</f>
        <v/>
      </c>
      <c r="AG108" s="35">
        <f>IF(OR($U108="",$AE108="",$AF108="",$X108=""),"",$AE108+$X108*($AF108-$AE108))</f>
        <v/>
      </c>
      <c r="AH108" s="38" t="n"/>
      <c r="AI108" s="38" t="n"/>
      <c r="AJ108" s="38" t="n"/>
      <c r="AK108" s="38" t="n"/>
      <c r="AL108" s="38" t="n"/>
      <c r="AM108" s="38" t="n"/>
      <c r="AN108" s="38" t="n"/>
      <c r="AO108" s="38" t="n"/>
      <c r="AP108" s="38" t="n"/>
      <c r="AQ108" s="38" t="n"/>
      <c r="AR108" s="38" t="n"/>
      <c r="AS108" s="38" t="n"/>
      <c r="AT108" s="38" t="n"/>
      <c r="AU108" s="38" t="n"/>
      <c r="AV108" s="38" t="n"/>
      <c r="AW108" s="38" t="n"/>
      <c r="AX108" s="38" t="n"/>
      <c r="AY108" s="42" t="n"/>
      <c r="AZ108" s="42" t="n"/>
      <c r="BA108" s="42" t="n"/>
      <c r="BB108" s="42" t="n"/>
      <c r="BC108" s="42" t="n"/>
      <c r="BD108" s="37">
        <f>IF($A108="","",SUM($AY108:$BC108))</f>
        <v/>
      </c>
      <c r="BE108" s="18">
        <f>IF($A108="","",IF(AND($I108&lt;&gt;"",$J108&lt;&gt;""),MAX(1,($J108-$I108)/7),Templates!$B$35))</f>
        <v/>
      </c>
      <c r="BF108" s="18">
        <f>IF($A108="","",IF(AND($I108&lt;&gt;"",$J108&lt;&gt;""),MAX(1,($J108-$I108)/7),Templates!$B$36))</f>
        <v/>
      </c>
      <c r="BG108" s="18">
        <f>IF($A108="","",IF(AND($I108&lt;&gt;"",$J108&lt;&gt;""),MAX(1,($J108-$I108)/7),Templates!$B$37))</f>
        <v/>
      </c>
      <c r="BH108" s="18">
        <f>IF($A108="","",IF(AND($I108&lt;&gt;"",$J108&lt;&gt;""),MAX(1,($J108-$I108)/7),Templates!$B$38))</f>
        <v/>
      </c>
      <c r="BI108" s="18">
        <f>IF($A108="","",IF(AND($I108&lt;&gt;"",$J108&lt;&gt;""),MAX(1,($J108-$I108)/7),Templates!$B$39))</f>
        <v/>
      </c>
      <c r="BJ108" s="18">
        <f>IF(OR($A108="",$BD108=0),0,($AY108*Templates!$B$27/$BE108+$AZ108*Templates!$B$28/$BF108+$BA108*Templates!$B$29/$BG108+$BB108*Templates!$B$30/$BH108+$BC108*Templates!$B$31/$BI108)/Templates!$B$17)</f>
        <v/>
      </c>
      <c r="BK108" s="18">
        <f>IF(OR($A108="",$BD108=0),0,($AY108*Templates!$C$27/$BE108+$AZ108*Templates!$C$28/$BF108+$BA108*Templates!$C$29/$BG108+$BB108*Templates!$C$30/$BH108+$BC108*Templates!$C$31/$BI108)/Templates!$B$18)</f>
        <v/>
      </c>
      <c r="BL108" s="18">
        <f>IF(OR($A108="",$BD108=0),0,($AY108*Templates!$D$27/$BE108+$AZ108*Templates!$D$28/$BF108+$BA108*Templates!$D$29/$BG108+$BB108*Templates!$D$30/$BH108+$BC108*Templates!$D$31/$BI108)/Templates!$B$19)</f>
        <v/>
      </c>
      <c r="BM108" s="18">
        <f>IF(OR($A108="",$BD108=0),0,($AY108*Templates!$E$27/$BE108+$AZ108*Templates!$E$28/$BF108+$BA108*Templates!$E$29/$BG108+$BB108*Templates!$E$30/$BH108+$BC108*Templates!$E$31/$BI108)/Templates!$B$20)</f>
        <v/>
      </c>
      <c r="BN108" s="18">
        <f>IF(OR($A108="",$BD108=0),0,($AY108*Templates!$F$27/$BE108+$AZ108*Templates!$F$28/$BF108+$BA108*Templates!$F$29/$BG108+$BB108*Templates!$F$30/$BH108+$BC108*Templates!$F$31/$BI108)/Templates!$B$21)</f>
        <v/>
      </c>
      <c r="BO108" s="18">
        <f>IF(OR($A108="",$BD108=0),0,($AY108*Templates!$G$27/$BE108+$AZ108*Templates!$G$28/$BF108+$BA108*Templates!$G$29/$BG108+$BB108*Templates!$G$30/$BH108+$BC108*Templates!$G$31/$BI108)/Templates!$B$22)</f>
        <v/>
      </c>
      <c r="BP108" s="18">
        <f>IF(OR($A108="",$BD108=0),0,($AY108*Templates!$H$27/$BE108+$AZ108*Templates!$H$28/$BF108+$BA108*Templates!$H$29/$BG108+$BB108*Templates!$H$30/$BH108+$BC108*Templates!$H$31/$BI108)/Templates!$B$23)</f>
        <v/>
      </c>
    </row>
    <row r="109">
      <c r="A109" s="28" t="inlineStr">
        <is>
          <t>Lumenad_1</t>
        </is>
      </c>
      <c r="B109" s="20" t="inlineStr">
        <is>
          <t>Ambridge Group</t>
        </is>
      </c>
      <c r="C109" s="28" t="inlineStr">
        <is>
          <t>Ambridge Group</t>
        </is>
      </c>
      <c r="D109" s="28" t="inlineStr"/>
      <c r="E109" s="28" t="inlineStr">
        <is>
          <t>No</t>
        </is>
      </c>
      <c r="F109" s="28" t="inlineStr">
        <is>
          <t>Active</t>
        </is>
      </c>
      <c r="G109" s="38" t="n"/>
      <c r="H109" s="29" t="n">
        <v>1</v>
      </c>
      <c r="I109" s="39" t="n"/>
      <c r="J109" s="39" t="n"/>
      <c r="K109" s="31" t="n"/>
      <c r="L109" s="31" t="n"/>
      <c r="M109" s="31" t="n"/>
      <c r="N109" s="31" t="n"/>
      <c r="O109" s="31" t="n"/>
      <c r="P109" s="31" t="n"/>
      <c r="Q109" s="23">
        <f>IF($A109="","",COUNTIFS(Assignments!$C$2:$C$769,$A109,Assignments!$G$2:$G$769,"Active"))</f>
        <v/>
      </c>
      <c r="R109" s="32">
        <f>IF($A109="","",SUMIFS(Assignments!$I$2:$I$769,Assignments!$C$2:$C$769,$A109,Assignments!$G$2:$G$769,"Active"))</f>
        <v/>
      </c>
      <c r="S109" s="20" t="inlineStr">
        <is>
          <t>WIP</t>
        </is>
      </c>
      <c r="T109" s="31" t="n"/>
      <c r="U109" s="38" t="n"/>
      <c r="V109" s="34">
        <f>IF($U109="","",IFERROR(INDEX(Templates!$K$3:$K$10,MATCH($U109,Templates!$A$3:$A$10,0)),""))</f>
        <v/>
      </c>
      <c r="W109" s="34">
        <f>IF($U109="","",IFERROR(INDEX(Templates!$L$3:$L$10,MATCH($U109,Templates!$A$3:$A$10,0)),""))</f>
        <v/>
      </c>
      <c r="X109" s="21">
        <f>IF($U109="","",IFERROR(INDEX(Templates!$J$3:$J$10,MATCH($U109,Templates!$A$3:$A$10,0)),""))</f>
        <v/>
      </c>
      <c r="Y109" s="35">
        <f>IF(OR($U109="",$I109="",$J109="",$X109=""),"",$I109+$X109*($J109-$I109))</f>
        <v/>
      </c>
      <c r="Z109" s="30" t="n">
        <v>46212</v>
      </c>
      <c r="AA109" s="40" t="n"/>
      <c r="AB109" s="41" t="n"/>
      <c r="AC109" s="41" t="n"/>
      <c r="AD109" s="19">
        <f>IF($A109="","",IF($AA109="",$H109,$AA109))</f>
        <v/>
      </c>
      <c r="AE109" s="35">
        <f>IF($A109="","",IF($AB109="",$I109,$AB109))</f>
        <v/>
      </c>
      <c r="AF109" s="35">
        <f>IF($A109="","",IF($AC109="",$J109,$AC109))</f>
        <v/>
      </c>
      <c r="AG109" s="35">
        <f>IF(OR($U109="",$AE109="",$AF109="",$X109=""),"",$AE109+$X109*($AF109-$AE109))</f>
        <v/>
      </c>
      <c r="AH109" s="38" t="n"/>
      <c r="AI109" s="38" t="n"/>
      <c r="AJ109" s="38" t="n"/>
      <c r="AK109" s="38" t="n"/>
      <c r="AL109" s="38" t="n"/>
      <c r="AM109" s="38" t="n"/>
      <c r="AN109" s="38" t="n"/>
      <c r="AO109" s="38" t="n"/>
      <c r="AP109" s="38" t="n"/>
      <c r="AQ109" s="38" t="n"/>
      <c r="AR109" s="38" t="n"/>
      <c r="AS109" s="38" t="n"/>
      <c r="AT109" s="38" t="n"/>
      <c r="AU109" s="38" t="n"/>
      <c r="AV109" s="38" t="n"/>
      <c r="AW109" s="38" t="n"/>
      <c r="AX109" s="38" t="n"/>
      <c r="AY109" s="42" t="n"/>
      <c r="AZ109" s="42" t="n"/>
      <c r="BA109" s="42" t="n"/>
      <c r="BB109" s="42" t="n"/>
      <c r="BC109" s="42" t="n"/>
      <c r="BD109" s="37">
        <f>IF($A109="","",SUM($AY109:$BC109))</f>
        <v/>
      </c>
      <c r="BE109" s="18">
        <f>IF($A109="","",IF(AND($I109&lt;&gt;"",$J109&lt;&gt;""),MAX(1,($J109-$I109)/7),Templates!$B$35))</f>
        <v/>
      </c>
      <c r="BF109" s="18">
        <f>IF($A109="","",IF(AND($I109&lt;&gt;"",$J109&lt;&gt;""),MAX(1,($J109-$I109)/7),Templates!$B$36))</f>
        <v/>
      </c>
      <c r="BG109" s="18">
        <f>IF($A109="","",IF(AND($I109&lt;&gt;"",$J109&lt;&gt;""),MAX(1,($J109-$I109)/7),Templates!$B$37))</f>
        <v/>
      </c>
      <c r="BH109" s="18">
        <f>IF($A109="","",IF(AND($I109&lt;&gt;"",$J109&lt;&gt;""),MAX(1,($J109-$I109)/7),Templates!$B$38))</f>
        <v/>
      </c>
      <c r="BI109" s="18">
        <f>IF($A109="","",IF(AND($I109&lt;&gt;"",$J109&lt;&gt;""),MAX(1,($J109-$I109)/7),Templates!$B$39))</f>
        <v/>
      </c>
      <c r="BJ109" s="18">
        <f>IF(OR($A109="",$BD109=0),0,($AY109*Templates!$B$27/$BE109+$AZ109*Templates!$B$28/$BF109+$BA109*Templates!$B$29/$BG109+$BB109*Templates!$B$30/$BH109+$BC109*Templates!$B$31/$BI109)/Templates!$B$17)</f>
        <v/>
      </c>
      <c r="BK109" s="18">
        <f>IF(OR($A109="",$BD109=0),0,($AY109*Templates!$C$27/$BE109+$AZ109*Templates!$C$28/$BF109+$BA109*Templates!$C$29/$BG109+$BB109*Templates!$C$30/$BH109+$BC109*Templates!$C$31/$BI109)/Templates!$B$18)</f>
        <v/>
      </c>
      <c r="BL109" s="18">
        <f>IF(OR($A109="",$BD109=0),0,($AY109*Templates!$D$27/$BE109+$AZ109*Templates!$D$28/$BF109+$BA109*Templates!$D$29/$BG109+$BB109*Templates!$D$30/$BH109+$BC109*Templates!$D$31/$BI109)/Templates!$B$19)</f>
        <v/>
      </c>
      <c r="BM109" s="18">
        <f>IF(OR($A109="",$BD109=0),0,($AY109*Templates!$E$27/$BE109+$AZ109*Templates!$E$28/$BF109+$BA109*Templates!$E$29/$BG109+$BB109*Templates!$E$30/$BH109+$BC109*Templates!$E$31/$BI109)/Templates!$B$20)</f>
        <v/>
      </c>
      <c r="BN109" s="18">
        <f>IF(OR($A109="",$BD109=0),0,($AY109*Templates!$F$27/$BE109+$AZ109*Templates!$F$28/$BF109+$BA109*Templates!$F$29/$BG109+$BB109*Templates!$F$30/$BH109+$BC109*Templates!$F$31/$BI109)/Templates!$B$21)</f>
        <v/>
      </c>
      <c r="BO109" s="18">
        <f>IF(OR($A109="",$BD109=0),0,($AY109*Templates!$G$27/$BE109+$AZ109*Templates!$G$28/$BF109+$BA109*Templates!$G$29/$BG109+$BB109*Templates!$G$30/$BH109+$BC109*Templates!$G$31/$BI109)/Templates!$B$22)</f>
        <v/>
      </c>
      <c r="BP109" s="18">
        <f>IF(OR($A109="",$BD109=0),0,($AY109*Templates!$H$27/$BE109+$AZ109*Templates!$H$28/$BF109+$BA109*Templates!$H$29/$BG109+$BB109*Templates!$H$30/$BH109+$BC109*Templates!$H$31/$BI109)/Templates!$B$23)</f>
        <v/>
      </c>
    </row>
    <row r="110">
      <c r="A110" s="28" t="inlineStr">
        <is>
          <t>Mad_1</t>
        </is>
      </c>
      <c r="B110" s="20" t="inlineStr">
        <is>
          <t>Solertia MGA Ltd.</t>
        </is>
      </c>
      <c r="C110" s="28" t="inlineStr">
        <is>
          <t>Solertia MGA Ltd.</t>
        </is>
      </c>
      <c r="D110" s="28" t="inlineStr"/>
      <c r="E110" s="28" t="inlineStr">
        <is>
          <t>No</t>
        </is>
      </c>
      <c r="F110" s="28" t="inlineStr">
        <is>
          <t>Active</t>
        </is>
      </c>
      <c r="G110" s="38" t="n"/>
      <c r="H110" s="29" t="n">
        <v>1</v>
      </c>
      <c r="I110" s="39" t="n"/>
      <c r="J110" s="39" t="n"/>
      <c r="K110" s="31" t="n"/>
      <c r="L110" s="31" t="n"/>
      <c r="M110" s="31" t="n"/>
      <c r="N110" s="31" t="n"/>
      <c r="O110" s="31" t="n"/>
      <c r="P110" s="31" t="n"/>
      <c r="Q110" s="23">
        <f>IF($A110="","",COUNTIFS(Assignments!$C$2:$C$769,$A110,Assignments!$G$2:$G$769,"Active"))</f>
        <v/>
      </c>
      <c r="R110" s="32">
        <f>IF($A110="","",SUMIFS(Assignments!$I$2:$I$769,Assignments!$C$2:$C$769,$A110,Assignments!$G$2:$G$769,"Active"))</f>
        <v/>
      </c>
      <c r="S110" s="20" t="inlineStr">
        <is>
          <t>WIP</t>
        </is>
      </c>
      <c r="T110" s="31" t="n"/>
      <c r="U110" s="38" t="n"/>
      <c r="V110" s="34">
        <f>IF($U110="","",IFERROR(INDEX(Templates!$K$3:$K$10,MATCH($U110,Templates!$A$3:$A$10,0)),""))</f>
        <v/>
      </c>
      <c r="W110" s="34">
        <f>IF($U110="","",IFERROR(INDEX(Templates!$L$3:$L$10,MATCH($U110,Templates!$A$3:$A$10,0)),""))</f>
        <v/>
      </c>
      <c r="X110" s="21">
        <f>IF($U110="","",IFERROR(INDEX(Templates!$J$3:$J$10,MATCH($U110,Templates!$A$3:$A$10,0)),""))</f>
        <v/>
      </c>
      <c r="Y110" s="35">
        <f>IF(OR($U110="",$I110="",$J110="",$X110=""),"",$I110+$X110*($J110-$I110))</f>
        <v/>
      </c>
      <c r="Z110" s="30" t="n">
        <v>46212</v>
      </c>
      <c r="AA110" s="40" t="n"/>
      <c r="AB110" s="41" t="n"/>
      <c r="AC110" s="41" t="n"/>
      <c r="AD110" s="19">
        <f>IF($A110="","",IF($AA110="",$H110,$AA110))</f>
        <v/>
      </c>
      <c r="AE110" s="35">
        <f>IF($A110="","",IF($AB110="",$I110,$AB110))</f>
        <v/>
      </c>
      <c r="AF110" s="35">
        <f>IF($A110="","",IF($AC110="",$J110,$AC110))</f>
        <v/>
      </c>
      <c r="AG110" s="35">
        <f>IF(OR($U110="",$AE110="",$AF110="",$X110=""),"",$AE110+$X110*($AF110-$AE110))</f>
        <v/>
      </c>
      <c r="AH110" s="38" t="n"/>
      <c r="AI110" s="38" t="n"/>
      <c r="AJ110" s="38" t="n"/>
      <c r="AK110" s="38" t="n"/>
      <c r="AL110" s="38" t="n"/>
      <c r="AM110" s="38" t="n"/>
      <c r="AN110" s="38" t="n"/>
      <c r="AO110" s="38" t="n"/>
      <c r="AP110" s="38" t="n"/>
      <c r="AQ110" s="38" t="n"/>
      <c r="AR110" s="38" t="n"/>
      <c r="AS110" s="38" t="n"/>
      <c r="AT110" s="38" t="n"/>
      <c r="AU110" s="38" t="n"/>
      <c r="AV110" s="38" t="n"/>
      <c r="AW110" s="38" t="n"/>
      <c r="AX110" s="38" t="n"/>
      <c r="AY110" s="42" t="n"/>
      <c r="AZ110" s="42" t="n"/>
      <c r="BA110" s="42" t="n"/>
      <c r="BB110" s="42" t="n"/>
      <c r="BC110" s="42" t="n"/>
      <c r="BD110" s="37">
        <f>IF($A110="","",SUM($AY110:$BC110))</f>
        <v/>
      </c>
      <c r="BE110" s="18">
        <f>IF($A110="","",IF(AND($I110&lt;&gt;"",$J110&lt;&gt;""),MAX(1,($J110-$I110)/7),Templates!$B$35))</f>
        <v/>
      </c>
      <c r="BF110" s="18">
        <f>IF($A110="","",IF(AND($I110&lt;&gt;"",$J110&lt;&gt;""),MAX(1,($J110-$I110)/7),Templates!$B$36))</f>
        <v/>
      </c>
      <c r="BG110" s="18">
        <f>IF($A110="","",IF(AND($I110&lt;&gt;"",$J110&lt;&gt;""),MAX(1,($J110-$I110)/7),Templates!$B$37))</f>
        <v/>
      </c>
      <c r="BH110" s="18">
        <f>IF($A110="","",IF(AND($I110&lt;&gt;"",$J110&lt;&gt;""),MAX(1,($J110-$I110)/7),Templates!$B$38))</f>
        <v/>
      </c>
      <c r="BI110" s="18">
        <f>IF($A110="","",IF(AND($I110&lt;&gt;"",$J110&lt;&gt;""),MAX(1,($J110-$I110)/7),Templates!$B$39))</f>
        <v/>
      </c>
      <c r="BJ110" s="18">
        <f>IF(OR($A110="",$BD110=0),0,($AY110*Templates!$B$27/$BE110+$AZ110*Templates!$B$28/$BF110+$BA110*Templates!$B$29/$BG110+$BB110*Templates!$B$30/$BH110+$BC110*Templates!$B$31/$BI110)/Templates!$B$17)</f>
        <v/>
      </c>
      <c r="BK110" s="18">
        <f>IF(OR($A110="",$BD110=0),0,($AY110*Templates!$C$27/$BE110+$AZ110*Templates!$C$28/$BF110+$BA110*Templates!$C$29/$BG110+$BB110*Templates!$C$30/$BH110+$BC110*Templates!$C$31/$BI110)/Templates!$B$18)</f>
        <v/>
      </c>
      <c r="BL110" s="18">
        <f>IF(OR($A110="",$BD110=0),0,($AY110*Templates!$D$27/$BE110+$AZ110*Templates!$D$28/$BF110+$BA110*Templates!$D$29/$BG110+$BB110*Templates!$D$30/$BH110+$BC110*Templates!$D$31/$BI110)/Templates!$B$19)</f>
        <v/>
      </c>
      <c r="BM110" s="18">
        <f>IF(OR($A110="",$BD110=0),0,($AY110*Templates!$E$27/$BE110+$AZ110*Templates!$E$28/$BF110+$BA110*Templates!$E$29/$BG110+$BB110*Templates!$E$30/$BH110+$BC110*Templates!$E$31/$BI110)/Templates!$B$20)</f>
        <v/>
      </c>
      <c r="BN110" s="18">
        <f>IF(OR($A110="",$BD110=0),0,($AY110*Templates!$F$27/$BE110+$AZ110*Templates!$F$28/$BF110+$BA110*Templates!$F$29/$BG110+$BB110*Templates!$F$30/$BH110+$BC110*Templates!$F$31/$BI110)/Templates!$B$21)</f>
        <v/>
      </c>
      <c r="BO110" s="18">
        <f>IF(OR($A110="",$BD110=0),0,($AY110*Templates!$G$27/$BE110+$AZ110*Templates!$G$28/$BF110+$BA110*Templates!$G$29/$BG110+$BB110*Templates!$G$30/$BH110+$BC110*Templates!$G$31/$BI110)/Templates!$B$22)</f>
        <v/>
      </c>
      <c r="BP110" s="18">
        <f>IF(OR($A110="",$BD110=0),0,($AY110*Templates!$H$27/$BE110+$AZ110*Templates!$H$28/$BF110+$BA110*Templates!$H$29/$BG110+$BB110*Templates!$H$30/$BH110+$BC110*Templates!$H$31/$BI110)/Templates!$B$23)</f>
        <v/>
      </c>
    </row>
    <row r="111">
      <c r="A111" s="28" t="inlineStr">
        <is>
          <t>Manchester_1</t>
        </is>
      </c>
      <c r="B111" s="20" t="inlineStr">
        <is>
          <t>Fengate</t>
        </is>
      </c>
      <c r="C111" s="28" t="inlineStr">
        <is>
          <t>Fengate</t>
        </is>
      </c>
      <c r="D111" s="28" t="inlineStr"/>
      <c r="E111" s="28" t="inlineStr">
        <is>
          <t>No</t>
        </is>
      </c>
      <c r="F111" s="28" t="inlineStr">
        <is>
          <t>Active</t>
        </is>
      </c>
      <c r="G111" s="38" t="n"/>
      <c r="H111" s="29" t="n">
        <v>1</v>
      </c>
      <c r="I111" s="39" t="n"/>
      <c r="J111" s="39" t="n"/>
      <c r="K111" s="31" t="n"/>
      <c r="L111" s="31" t="n"/>
      <c r="M111" s="31" t="n"/>
      <c r="N111" s="31" t="n"/>
      <c r="O111" s="31" t="n"/>
      <c r="P111" s="31" t="n"/>
      <c r="Q111" s="23">
        <f>IF($A111="","",COUNTIFS(Assignments!$C$2:$C$769,$A111,Assignments!$G$2:$G$769,"Active"))</f>
        <v/>
      </c>
      <c r="R111" s="32">
        <f>IF($A111="","",SUMIFS(Assignments!$I$2:$I$769,Assignments!$C$2:$C$769,$A111,Assignments!$G$2:$G$769,"Active"))</f>
        <v/>
      </c>
      <c r="S111" s="20" t="inlineStr">
        <is>
          <t>Summary tab only (WIP)</t>
        </is>
      </c>
      <c r="T111" s="31" t="n"/>
      <c r="U111" s="38" t="n"/>
      <c r="V111" s="34">
        <f>IF($U111="","",IFERROR(INDEX(Templates!$K$3:$K$10,MATCH($U111,Templates!$A$3:$A$10,0)),""))</f>
        <v/>
      </c>
      <c r="W111" s="34">
        <f>IF($U111="","",IFERROR(INDEX(Templates!$L$3:$L$10,MATCH($U111,Templates!$A$3:$A$10,0)),""))</f>
        <v/>
      </c>
      <c r="X111" s="21">
        <f>IF($U111="","",IFERROR(INDEX(Templates!$J$3:$J$10,MATCH($U111,Templates!$A$3:$A$10,0)),""))</f>
        <v/>
      </c>
      <c r="Y111" s="35">
        <f>IF(OR($U111="",$I111="",$J111="",$X111=""),"",$I111+$X111*($J111-$I111))</f>
        <v/>
      </c>
      <c r="Z111" s="30" t="n">
        <v>46212</v>
      </c>
      <c r="AA111" s="40" t="n"/>
      <c r="AB111" s="41" t="n"/>
      <c r="AC111" s="41" t="n"/>
      <c r="AD111" s="19">
        <f>IF($A111="","",IF($AA111="",$H111,$AA111))</f>
        <v/>
      </c>
      <c r="AE111" s="35">
        <f>IF($A111="","",IF($AB111="",$I111,$AB111))</f>
        <v/>
      </c>
      <c r="AF111" s="35">
        <f>IF($A111="","",IF($AC111="",$J111,$AC111))</f>
        <v/>
      </c>
      <c r="AG111" s="35">
        <f>IF(OR($U111="",$AE111="",$AF111="",$X111=""),"",$AE111+$X111*($AF111-$AE111))</f>
        <v/>
      </c>
      <c r="AH111" s="38" t="n"/>
      <c r="AI111" s="38" t="n"/>
      <c r="AJ111" s="38" t="n"/>
      <c r="AK111" s="38" t="n"/>
      <c r="AL111" s="38" t="n"/>
      <c r="AM111" s="38" t="n"/>
      <c r="AN111" s="38" t="n"/>
      <c r="AO111" s="38" t="n"/>
      <c r="AP111" s="38" t="n"/>
      <c r="AQ111" s="38" t="n"/>
      <c r="AR111" s="38" t="n"/>
      <c r="AS111" s="38" t="n"/>
      <c r="AT111" s="38" t="n"/>
      <c r="AU111" s="38" t="n"/>
      <c r="AV111" s="38" t="n"/>
      <c r="AW111" s="38" t="n"/>
      <c r="AX111" s="38" t="n"/>
      <c r="AY111" s="42" t="n"/>
      <c r="AZ111" s="42" t="n"/>
      <c r="BA111" s="42" t="n"/>
      <c r="BB111" s="42" t="n"/>
      <c r="BC111" s="42" t="n"/>
      <c r="BD111" s="37">
        <f>IF($A111="","",SUM($AY111:$BC111))</f>
        <v/>
      </c>
      <c r="BE111" s="18">
        <f>IF($A111="","",IF(AND($I111&lt;&gt;"",$J111&lt;&gt;""),MAX(1,($J111-$I111)/7),Templates!$B$35))</f>
        <v/>
      </c>
      <c r="BF111" s="18">
        <f>IF($A111="","",IF(AND($I111&lt;&gt;"",$J111&lt;&gt;""),MAX(1,($J111-$I111)/7),Templates!$B$36))</f>
        <v/>
      </c>
      <c r="BG111" s="18">
        <f>IF($A111="","",IF(AND($I111&lt;&gt;"",$J111&lt;&gt;""),MAX(1,($J111-$I111)/7),Templates!$B$37))</f>
        <v/>
      </c>
      <c r="BH111" s="18">
        <f>IF($A111="","",IF(AND($I111&lt;&gt;"",$J111&lt;&gt;""),MAX(1,($J111-$I111)/7),Templates!$B$38))</f>
        <v/>
      </c>
      <c r="BI111" s="18">
        <f>IF($A111="","",IF(AND($I111&lt;&gt;"",$J111&lt;&gt;""),MAX(1,($J111-$I111)/7),Templates!$B$39))</f>
        <v/>
      </c>
      <c r="BJ111" s="18">
        <f>IF(OR($A111="",$BD111=0),0,($AY111*Templates!$B$27/$BE111+$AZ111*Templates!$B$28/$BF111+$BA111*Templates!$B$29/$BG111+$BB111*Templates!$B$30/$BH111+$BC111*Templates!$B$31/$BI111)/Templates!$B$17)</f>
        <v/>
      </c>
      <c r="BK111" s="18">
        <f>IF(OR($A111="",$BD111=0),0,($AY111*Templates!$C$27/$BE111+$AZ111*Templates!$C$28/$BF111+$BA111*Templates!$C$29/$BG111+$BB111*Templates!$C$30/$BH111+$BC111*Templates!$C$31/$BI111)/Templates!$B$18)</f>
        <v/>
      </c>
      <c r="BL111" s="18">
        <f>IF(OR($A111="",$BD111=0),0,($AY111*Templates!$D$27/$BE111+$AZ111*Templates!$D$28/$BF111+$BA111*Templates!$D$29/$BG111+$BB111*Templates!$D$30/$BH111+$BC111*Templates!$D$31/$BI111)/Templates!$B$19)</f>
        <v/>
      </c>
      <c r="BM111" s="18">
        <f>IF(OR($A111="",$BD111=0),0,($AY111*Templates!$E$27/$BE111+$AZ111*Templates!$E$28/$BF111+$BA111*Templates!$E$29/$BG111+$BB111*Templates!$E$30/$BH111+$BC111*Templates!$E$31/$BI111)/Templates!$B$20)</f>
        <v/>
      </c>
      <c r="BN111" s="18">
        <f>IF(OR($A111="",$BD111=0),0,($AY111*Templates!$F$27/$BE111+$AZ111*Templates!$F$28/$BF111+$BA111*Templates!$F$29/$BG111+$BB111*Templates!$F$30/$BH111+$BC111*Templates!$F$31/$BI111)/Templates!$B$21)</f>
        <v/>
      </c>
      <c r="BO111" s="18">
        <f>IF(OR($A111="",$BD111=0),0,($AY111*Templates!$G$27/$BE111+$AZ111*Templates!$G$28/$BF111+$BA111*Templates!$G$29/$BG111+$BB111*Templates!$G$30/$BH111+$BC111*Templates!$G$31/$BI111)/Templates!$B$22)</f>
        <v/>
      </c>
      <c r="BP111" s="18">
        <f>IF(OR($A111="",$BD111=0),0,($AY111*Templates!$H$27/$BE111+$AZ111*Templates!$H$28/$BF111+$BA111*Templates!$H$29/$BG111+$BB111*Templates!$H$30/$BH111+$BC111*Templates!$H$31/$BI111)/Templates!$B$23)</f>
        <v/>
      </c>
    </row>
    <row r="112">
      <c r="A112" s="28" t="inlineStr">
        <is>
          <t>Maple_4</t>
        </is>
      </c>
      <c r="B112" s="20" t="inlineStr">
        <is>
          <t>TXO Systems</t>
        </is>
      </c>
      <c r="C112" s="28" t="inlineStr">
        <is>
          <t>TXO Systems</t>
        </is>
      </c>
      <c r="D112" s="28" t="inlineStr"/>
      <c r="E112" s="28" t="inlineStr">
        <is>
          <t>No</t>
        </is>
      </c>
      <c r="F112" s="28" t="inlineStr">
        <is>
          <t>Active</t>
        </is>
      </c>
      <c r="G112" s="38" t="n"/>
      <c r="H112" s="29" t="n">
        <v>1</v>
      </c>
      <c r="I112" s="39" t="n"/>
      <c r="J112" s="39" t="n"/>
      <c r="K112" s="31" t="n"/>
      <c r="L112" s="31" t="n"/>
      <c r="M112" s="31" t="n"/>
      <c r="N112" s="31" t="n"/>
      <c r="O112" s="31" t="n"/>
      <c r="P112" s="31" t="n"/>
      <c r="Q112" s="23">
        <f>IF($A112="","",COUNTIFS(Assignments!$C$2:$C$769,$A112,Assignments!$G$2:$G$769,"Active"))</f>
        <v/>
      </c>
      <c r="R112" s="32">
        <f>IF($A112="","",SUMIFS(Assignments!$I$2:$I$769,Assignments!$C$2:$C$769,$A112,Assignments!$G$2:$G$769,"Active"))</f>
        <v/>
      </c>
      <c r="S112" s="20" t="inlineStr">
        <is>
          <t>WIP</t>
        </is>
      </c>
      <c r="T112" s="31" t="n"/>
      <c r="U112" s="38" t="n"/>
      <c r="V112" s="34">
        <f>IF($U112="","",IFERROR(INDEX(Templates!$K$3:$K$10,MATCH($U112,Templates!$A$3:$A$10,0)),""))</f>
        <v/>
      </c>
      <c r="W112" s="34">
        <f>IF($U112="","",IFERROR(INDEX(Templates!$L$3:$L$10,MATCH($U112,Templates!$A$3:$A$10,0)),""))</f>
        <v/>
      </c>
      <c r="X112" s="21">
        <f>IF($U112="","",IFERROR(INDEX(Templates!$J$3:$J$10,MATCH($U112,Templates!$A$3:$A$10,0)),""))</f>
        <v/>
      </c>
      <c r="Y112" s="35">
        <f>IF(OR($U112="",$I112="",$J112="",$X112=""),"",$I112+$X112*($J112-$I112))</f>
        <v/>
      </c>
      <c r="Z112" s="30" t="n">
        <v>46212</v>
      </c>
      <c r="AA112" s="40" t="n"/>
      <c r="AB112" s="41" t="n"/>
      <c r="AC112" s="41" t="n"/>
      <c r="AD112" s="19">
        <f>IF($A112="","",IF($AA112="",$H112,$AA112))</f>
        <v/>
      </c>
      <c r="AE112" s="35">
        <f>IF($A112="","",IF($AB112="",$I112,$AB112))</f>
        <v/>
      </c>
      <c r="AF112" s="35">
        <f>IF($A112="","",IF($AC112="",$J112,$AC112))</f>
        <v/>
      </c>
      <c r="AG112" s="35">
        <f>IF(OR($U112="",$AE112="",$AF112="",$X112=""),"",$AE112+$X112*($AF112-$AE112))</f>
        <v/>
      </c>
      <c r="AH112" s="38" t="n"/>
      <c r="AI112" s="38" t="n"/>
      <c r="AJ112" s="38" t="n"/>
      <c r="AK112" s="38" t="n"/>
      <c r="AL112" s="38" t="n"/>
      <c r="AM112" s="38" t="n"/>
      <c r="AN112" s="38" t="n"/>
      <c r="AO112" s="38" t="n"/>
      <c r="AP112" s="38" t="n"/>
      <c r="AQ112" s="38" t="n"/>
      <c r="AR112" s="38" t="n"/>
      <c r="AS112" s="38" t="n"/>
      <c r="AT112" s="38" t="n"/>
      <c r="AU112" s="38" t="n"/>
      <c r="AV112" s="38" t="n"/>
      <c r="AW112" s="38" t="n"/>
      <c r="AX112" s="38" t="n"/>
      <c r="AY112" s="42" t="n"/>
      <c r="AZ112" s="42" t="n"/>
      <c r="BA112" s="42" t="n"/>
      <c r="BB112" s="42" t="n"/>
      <c r="BC112" s="42" t="n"/>
      <c r="BD112" s="37">
        <f>IF($A112="","",SUM($AY112:$BC112))</f>
        <v/>
      </c>
      <c r="BE112" s="18">
        <f>IF($A112="","",IF(AND($I112&lt;&gt;"",$J112&lt;&gt;""),MAX(1,($J112-$I112)/7),Templates!$B$35))</f>
        <v/>
      </c>
      <c r="BF112" s="18">
        <f>IF($A112="","",IF(AND($I112&lt;&gt;"",$J112&lt;&gt;""),MAX(1,($J112-$I112)/7),Templates!$B$36))</f>
        <v/>
      </c>
      <c r="BG112" s="18">
        <f>IF($A112="","",IF(AND($I112&lt;&gt;"",$J112&lt;&gt;""),MAX(1,($J112-$I112)/7),Templates!$B$37))</f>
        <v/>
      </c>
      <c r="BH112" s="18">
        <f>IF($A112="","",IF(AND($I112&lt;&gt;"",$J112&lt;&gt;""),MAX(1,($J112-$I112)/7),Templates!$B$38))</f>
        <v/>
      </c>
      <c r="BI112" s="18">
        <f>IF($A112="","",IF(AND($I112&lt;&gt;"",$J112&lt;&gt;""),MAX(1,($J112-$I112)/7),Templates!$B$39))</f>
        <v/>
      </c>
      <c r="BJ112" s="18">
        <f>IF(OR($A112="",$BD112=0),0,($AY112*Templates!$B$27/$BE112+$AZ112*Templates!$B$28/$BF112+$BA112*Templates!$B$29/$BG112+$BB112*Templates!$B$30/$BH112+$BC112*Templates!$B$31/$BI112)/Templates!$B$17)</f>
        <v/>
      </c>
      <c r="BK112" s="18">
        <f>IF(OR($A112="",$BD112=0),0,($AY112*Templates!$C$27/$BE112+$AZ112*Templates!$C$28/$BF112+$BA112*Templates!$C$29/$BG112+$BB112*Templates!$C$30/$BH112+$BC112*Templates!$C$31/$BI112)/Templates!$B$18)</f>
        <v/>
      </c>
      <c r="BL112" s="18">
        <f>IF(OR($A112="",$BD112=0),0,($AY112*Templates!$D$27/$BE112+$AZ112*Templates!$D$28/$BF112+$BA112*Templates!$D$29/$BG112+$BB112*Templates!$D$30/$BH112+$BC112*Templates!$D$31/$BI112)/Templates!$B$19)</f>
        <v/>
      </c>
      <c r="BM112" s="18">
        <f>IF(OR($A112="",$BD112=0),0,($AY112*Templates!$E$27/$BE112+$AZ112*Templates!$E$28/$BF112+$BA112*Templates!$E$29/$BG112+$BB112*Templates!$E$30/$BH112+$BC112*Templates!$E$31/$BI112)/Templates!$B$20)</f>
        <v/>
      </c>
      <c r="BN112" s="18">
        <f>IF(OR($A112="",$BD112=0),0,($AY112*Templates!$F$27/$BE112+$AZ112*Templates!$F$28/$BF112+$BA112*Templates!$F$29/$BG112+$BB112*Templates!$F$30/$BH112+$BC112*Templates!$F$31/$BI112)/Templates!$B$21)</f>
        <v/>
      </c>
      <c r="BO112" s="18">
        <f>IF(OR($A112="",$BD112=0),0,($AY112*Templates!$G$27/$BE112+$AZ112*Templates!$G$28/$BF112+$BA112*Templates!$G$29/$BG112+$BB112*Templates!$G$30/$BH112+$BC112*Templates!$G$31/$BI112)/Templates!$B$22)</f>
        <v/>
      </c>
      <c r="BP112" s="18">
        <f>IF(OR($A112="",$BD112=0),0,($AY112*Templates!$H$27/$BE112+$AZ112*Templates!$H$28/$BF112+$BA112*Templates!$H$29/$BG112+$BB112*Templates!$H$30/$BH112+$BC112*Templates!$H$31/$BI112)/Templates!$B$23)</f>
        <v/>
      </c>
    </row>
    <row r="113">
      <c r="A113" s="28" t="inlineStr">
        <is>
          <t>MeadowBrook_1</t>
        </is>
      </c>
      <c r="B113" s="20" t="inlineStr">
        <is>
          <t>Ag-Grid Energy LLC</t>
        </is>
      </c>
      <c r="C113" s="28" t="inlineStr">
        <is>
          <t>Ag-Grid Energy LLC</t>
        </is>
      </c>
      <c r="D113" s="28" t="inlineStr"/>
      <c r="E113" s="28" t="inlineStr">
        <is>
          <t>No</t>
        </is>
      </c>
      <c r="F113" s="28" t="inlineStr">
        <is>
          <t>Active</t>
        </is>
      </c>
      <c r="G113" s="38" t="n"/>
      <c r="H113" s="29" t="n">
        <v>1</v>
      </c>
      <c r="I113" s="39" t="n"/>
      <c r="J113" s="39" t="n"/>
      <c r="K113" s="31" t="n"/>
      <c r="L113" s="31" t="n"/>
      <c r="M113" s="31" t="n"/>
      <c r="N113" s="31" t="n"/>
      <c r="O113" s="31" t="n"/>
      <c r="P113" s="31" t="n"/>
      <c r="Q113" s="23">
        <f>IF($A113="","",COUNTIFS(Assignments!$C$2:$C$769,$A113,Assignments!$G$2:$G$769,"Active"))</f>
        <v/>
      </c>
      <c r="R113" s="32">
        <f>IF($A113="","",SUMIFS(Assignments!$I$2:$I$769,Assignments!$C$2:$C$769,$A113,Assignments!$G$2:$G$769,"Active"))</f>
        <v/>
      </c>
      <c r="S113" s="20" t="inlineStr">
        <is>
          <t>WIP</t>
        </is>
      </c>
      <c r="T113" s="31" t="n"/>
      <c r="U113" s="38" t="n"/>
      <c r="V113" s="34">
        <f>IF($U113="","",IFERROR(INDEX(Templates!$K$3:$K$10,MATCH($U113,Templates!$A$3:$A$10,0)),""))</f>
        <v/>
      </c>
      <c r="W113" s="34">
        <f>IF($U113="","",IFERROR(INDEX(Templates!$L$3:$L$10,MATCH($U113,Templates!$A$3:$A$10,0)),""))</f>
        <v/>
      </c>
      <c r="X113" s="21">
        <f>IF($U113="","",IFERROR(INDEX(Templates!$J$3:$J$10,MATCH($U113,Templates!$A$3:$A$10,0)),""))</f>
        <v/>
      </c>
      <c r="Y113" s="35">
        <f>IF(OR($U113="",$I113="",$J113="",$X113=""),"",$I113+$X113*($J113-$I113))</f>
        <v/>
      </c>
      <c r="Z113" s="30" t="n">
        <v>46212</v>
      </c>
      <c r="AA113" s="40" t="n"/>
      <c r="AB113" s="41" t="n"/>
      <c r="AC113" s="41" t="n"/>
      <c r="AD113" s="19">
        <f>IF($A113="","",IF($AA113="",$H113,$AA113))</f>
        <v/>
      </c>
      <c r="AE113" s="35">
        <f>IF($A113="","",IF($AB113="",$I113,$AB113))</f>
        <v/>
      </c>
      <c r="AF113" s="35">
        <f>IF($A113="","",IF($AC113="",$J113,$AC113))</f>
        <v/>
      </c>
      <c r="AG113" s="35">
        <f>IF(OR($U113="",$AE113="",$AF113="",$X113=""),"",$AE113+$X113*($AF113-$AE113))</f>
        <v/>
      </c>
      <c r="AH113" s="38" t="n"/>
      <c r="AI113" s="38" t="n"/>
      <c r="AJ113" s="38" t="n"/>
      <c r="AK113" s="38" t="n"/>
      <c r="AL113" s="38" t="n"/>
      <c r="AM113" s="38" t="n"/>
      <c r="AN113" s="38" t="n"/>
      <c r="AO113" s="38" t="n"/>
      <c r="AP113" s="38" t="n"/>
      <c r="AQ113" s="38" t="n"/>
      <c r="AR113" s="38" t="n"/>
      <c r="AS113" s="38" t="n"/>
      <c r="AT113" s="38" t="n"/>
      <c r="AU113" s="38" t="n"/>
      <c r="AV113" s="38" t="n"/>
      <c r="AW113" s="38" t="n"/>
      <c r="AX113" s="38" t="n"/>
      <c r="AY113" s="42" t="n"/>
      <c r="AZ113" s="42" t="n"/>
      <c r="BA113" s="42" t="n"/>
      <c r="BB113" s="42" t="n"/>
      <c r="BC113" s="42" t="n"/>
      <c r="BD113" s="37">
        <f>IF($A113="","",SUM($AY113:$BC113))</f>
        <v/>
      </c>
      <c r="BE113" s="18">
        <f>IF($A113="","",IF(AND($I113&lt;&gt;"",$J113&lt;&gt;""),MAX(1,($J113-$I113)/7),Templates!$B$35))</f>
        <v/>
      </c>
      <c r="BF113" s="18">
        <f>IF($A113="","",IF(AND($I113&lt;&gt;"",$J113&lt;&gt;""),MAX(1,($J113-$I113)/7),Templates!$B$36))</f>
        <v/>
      </c>
      <c r="BG113" s="18">
        <f>IF($A113="","",IF(AND($I113&lt;&gt;"",$J113&lt;&gt;""),MAX(1,($J113-$I113)/7),Templates!$B$37))</f>
        <v/>
      </c>
      <c r="BH113" s="18">
        <f>IF($A113="","",IF(AND($I113&lt;&gt;"",$J113&lt;&gt;""),MAX(1,($J113-$I113)/7),Templates!$B$38))</f>
        <v/>
      </c>
      <c r="BI113" s="18">
        <f>IF($A113="","",IF(AND($I113&lt;&gt;"",$J113&lt;&gt;""),MAX(1,($J113-$I113)/7),Templates!$B$39))</f>
        <v/>
      </c>
      <c r="BJ113" s="18">
        <f>IF(OR($A113="",$BD113=0),0,($AY113*Templates!$B$27/$BE113+$AZ113*Templates!$B$28/$BF113+$BA113*Templates!$B$29/$BG113+$BB113*Templates!$B$30/$BH113+$BC113*Templates!$B$31/$BI113)/Templates!$B$17)</f>
        <v/>
      </c>
      <c r="BK113" s="18">
        <f>IF(OR($A113="",$BD113=0),0,($AY113*Templates!$C$27/$BE113+$AZ113*Templates!$C$28/$BF113+$BA113*Templates!$C$29/$BG113+$BB113*Templates!$C$30/$BH113+$BC113*Templates!$C$31/$BI113)/Templates!$B$18)</f>
        <v/>
      </c>
      <c r="BL113" s="18">
        <f>IF(OR($A113="",$BD113=0),0,($AY113*Templates!$D$27/$BE113+$AZ113*Templates!$D$28/$BF113+$BA113*Templates!$D$29/$BG113+$BB113*Templates!$D$30/$BH113+$BC113*Templates!$D$31/$BI113)/Templates!$B$19)</f>
        <v/>
      </c>
      <c r="BM113" s="18">
        <f>IF(OR($A113="",$BD113=0),0,($AY113*Templates!$E$27/$BE113+$AZ113*Templates!$E$28/$BF113+$BA113*Templates!$E$29/$BG113+$BB113*Templates!$E$30/$BH113+$BC113*Templates!$E$31/$BI113)/Templates!$B$20)</f>
        <v/>
      </c>
      <c r="BN113" s="18">
        <f>IF(OR($A113="",$BD113=0),0,($AY113*Templates!$F$27/$BE113+$AZ113*Templates!$F$28/$BF113+$BA113*Templates!$F$29/$BG113+$BB113*Templates!$F$30/$BH113+$BC113*Templates!$F$31/$BI113)/Templates!$B$21)</f>
        <v/>
      </c>
      <c r="BO113" s="18">
        <f>IF(OR($A113="",$BD113=0),0,($AY113*Templates!$G$27/$BE113+$AZ113*Templates!$G$28/$BF113+$BA113*Templates!$G$29/$BG113+$BB113*Templates!$G$30/$BH113+$BC113*Templates!$G$31/$BI113)/Templates!$B$22)</f>
        <v/>
      </c>
      <c r="BP113" s="18">
        <f>IF(OR($A113="",$BD113=0),0,($AY113*Templates!$H$27/$BE113+$AZ113*Templates!$H$28/$BF113+$BA113*Templates!$H$29/$BG113+$BB113*Templates!$H$30/$BH113+$BC113*Templates!$H$31/$BI113)/Templates!$B$23)</f>
        <v/>
      </c>
    </row>
    <row r="114">
      <c r="A114" s="28" t="inlineStr">
        <is>
          <t>Medicis_1</t>
        </is>
      </c>
      <c r="B114" s="20" t="inlineStr">
        <is>
          <t>Eight Advisory</t>
        </is>
      </c>
      <c r="C114" s="28" t="inlineStr">
        <is>
          <t>Eight Advisory</t>
        </is>
      </c>
      <c r="D114" s="28" t="inlineStr"/>
      <c r="E114" s="28" t="inlineStr">
        <is>
          <t>No</t>
        </is>
      </c>
      <c r="F114" s="28" t="inlineStr">
        <is>
          <t>Active</t>
        </is>
      </c>
      <c r="G114" s="38" t="n"/>
      <c r="H114" s="29" t="n">
        <v>1</v>
      </c>
      <c r="I114" s="39" t="n"/>
      <c r="J114" s="39" t="n"/>
      <c r="K114" s="31" t="n"/>
      <c r="L114" s="31" t="n"/>
      <c r="M114" s="31" t="n"/>
      <c r="N114" s="31" t="n"/>
      <c r="O114" s="31" t="n"/>
      <c r="P114" s="31" t="n"/>
      <c r="Q114" s="23">
        <f>IF($A114="","",COUNTIFS(Assignments!$C$2:$C$769,$A114,Assignments!$G$2:$G$769,"Active"))</f>
        <v/>
      </c>
      <c r="R114" s="32">
        <f>IF($A114="","",SUMIFS(Assignments!$I$2:$I$769,Assignments!$C$2:$C$769,$A114,Assignments!$G$2:$G$769,"Active"))</f>
        <v/>
      </c>
      <c r="S114" s="20" t="inlineStr">
        <is>
          <t>WIP</t>
        </is>
      </c>
      <c r="T114" s="31" t="n"/>
      <c r="U114" s="38" t="n"/>
      <c r="V114" s="34">
        <f>IF($U114="","",IFERROR(INDEX(Templates!$K$3:$K$10,MATCH($U114,Templates!$A$3:$A$10,0)),""))</f>
        <v/>
      </c>
      <c r="W114" s="34">
        <f>IF($U114="","",IFERROR(INDEX(Templates!$L$3:$L$10,MATCH($U114,Templates!$A$3:$A$10,0)),""))</f>
        <v/>
      </c>
      <c r="X114" s="21">
        <f>IF($U114="","",IFERROR(INDEX(Templates!$J$3:$J$10,MATCH($U114,Templates!$A$3:$A$10,0)),""))</f>
        <v/>
      </c>
      <c r="Y114" s="35">
        <f>IF(OR($U114="",$I114="",$J114="",$X114=""),"",$I114+$X114*($J114-$I114))</f>
        <v/>
      </c>
      <c r="Z114" s="30" t="n">
        <v>46212</v>
      </c>
      <c r="AA114" s="40" t="n"/>
      <c r="AB114" s="41" t="n"/>
      <c r="AC114" s="41" t="n"/>
      <c r="AD114" s="19">
        <f>IF($A114="","",IF($AA114="",$H114,$AA114))</f>
        <v/>
      </c>
      <c r="AE114" s="35">
        <f>IF($A114="","",IF($AB114="",$I114,$AB114))</f>
        <v/>
      </c>
      <c r="AF114" s="35">
        <f>IF($A114="","",IF($AC114="",$J114,$AC114))</f>
        <v/>
      </c>
      <c r="AG114" s="35">
        <f>IF(OR($U114="",$AE114="",$AF114="",$X114=""),"",$AE114+$X114*($AF114-$AE114))</f>
        <v/>
      </c>
      <c r="AH114" s="38" t="n"/>
      <c r="AI114" s="38" t="n"/>
      <c r="AJ114" s="38" t="n"/>
      <c r="AK114" s="38" t="n"/>
      <c r="AL114" s="38" t="n"/>
      <c r="AM114" s="38" t="n"/>
      <c r="AN114" s="38" t="n"/>
      <c r="AO114" s="38" t="n"/>
      <c r="AP114" s="38" t="n"/>
      <c r="AQ114" s="38" t="n"/>
      <c r="AR114" s="38" t="n"/>
      <c r="AS114" s="38" t="n"/>
      <c r="AT114" s="38" t="n"/>
      <c r="AU114" s="38" t="n"/>
      <c r="AV114" s="38" t="n"/>
      <c r="AW114" s="38" t="n"/>
      <c r="AX114" s="38" t="n"/>
      <c r="AY114" s="42" t="n"/>
      <c r="AZ114" s="42" t="n"/>
      <c r="BA114" s="42" t="n"/>
      <c r="BB114" s="42" t="n"/>
      <c r="BC114" s="42" t="n"/>
      <c r="BD114" s="37">
        <f>IF($A114="","",SUM($AY114:$BC114))</f>
        <v/>
      </c>
      <c r="BE114" s="18">
        <f>IF($A114="","",IF(AND($I114&lt;&gt;"",$J114&lt;&gt;""),MAX(1,($J114-$I114)/7),Templates!$B$35))</f>
        <v/>
      </c>
      <c r="BF114" s="18">
        <f>IF($A114="","",IF(AND($I114&lt;&gt;"",$J114&lt;&gt;""),MAX(1,($J114-$I114)/7),Templates!$B$36))</f>
        <v/>
      </c>
      <c r="BG114" s="18">
        <f>IF($A114="","",IF(AND($I114&lt;&gt;"",$J114&lt;&gt;""),MAX(1,($J114-$I114)/7),Templates!$B$37))</f>
        <v/>
      </c>
      <c r="BH114" s="18">
        <f>IF($A114="","",IF(AND($I114&lt;&gt;"",$J114&lt;&gt;""),MAX(1,($J114-$I114)/7),Templates!$B$38))</f>
        <v/>
      </c>
      <c r="BI114" s="18">
        <f>IF($A114="","",IF(AND($I114&lt;&gt;"",$J114&lt;&gt;""),MAX(1,($J114-$I114)/7),Templates!$B$39))</f>
        <v/>
      </c>
      <c r="BJ114" s="18">
        <f>IF(OR($A114="",$BD114=0),0,($AY114*Templates!$B$27/$BE114+$AZ114*Templates!$B$28/$BF114+$BA114*Templates!$B$29/$BG114+$BB114*Templates!$B$30/$BH114+$BC114*Templates!$B$31/$BI114)/Templates!$B$17)</f>
        <v/>
      </c>
      <c r="BK114" s="18">
        <f>IF(OR($A114="",$BD114=0),0,($AY114*Templates!$C$27/$BE114+$AZ114*Templates!$C$28/$BF114+$BA114*Templates!$C$29/$BG114+$BB114*Templates!$C$30/$BH114+$BC114*Templates!$C$31/$BI114)/Templates!$B$18)</f>
        <v/>
      </c>
      <c r="BL114" s="18">
        <f>IF(OR($A114="",$BD114=0),0,($AY114*Templates!$D$27/$BE114+$AZ114*Templates!$D$28/$BF114+$BA114*Templates!$D$29/$BG114+$BB114*Templates!$D$30/$BH114+$BC114*Templates!$D$31/$BI114)/Templates!$B$19)</f>
        <v/>
      </c>
      <c r="BM114" s="18">
        <f>IF(OR($A114="",$BD114=0),0,($AY114*Templates!$E$27/$BE114+$AZ114*Templates!$E$28/$BF114+$BA114*Templates!$E$29/$BG114+$BB114*Templates!$E$30/$BH114+$BC114*Templates!$E$31/$BI114)/Templates!$B$20)</f>
        <v/>
      </c>
      <c r="BN114" s="18">
        <f>IF(OR($A114="",$BD114=0),0,($AY114*Templates!$F$27/$BE114+$AZ114*Templates!$F$28/$BF114+$BA114*Templates!$F$29/$BG114+$BB114*Templates!$F$30/$BH114+$BC114*Templates!$F$31/$BI114)/Templates!$B$21)</f>
        <v/>
      </c>
      <c r="BO114" s="18">
        <f>IF(OR($A114="",$BD114=0),0,($AY114*Templates!$G$27/$BE114+$AZ114*Templates!$G$28/$BF114+$BA114*Templates!$G$29/$BG114+$BB114*Templates!$G$30/$BH114+$BC114*Templates!$G$31/$BI114)/Templates!$B$22)</f>
        <v/>
      </c>
      <c r="BP114" s="18">
        <f>IF(OR($A114="",$BD114=0),0,($AY114*Templates!$H$27/$BE114+$AZ114*Templates!$H$28/$BF114+$BA114*Templates!$H$29/$BG114+$BB114*Templates!$H$30/$BH114+$BC114*Templates!$H$31/$BI114)/Templates!$B$23)</f>
        <v/>
      </c>
    </row>
    <row r="115">
      <c r="A115" s="28" t="inlineStr">
        <is>
          <t>MIF_1</t>
        </is>
      </c>
      <c r="B115" s="20" t="inlineStr">
        <is>
          <t>Macquarie Group</t>
        </is>
      </c>
      <c r="C115" s="28" t="inlineStr">
        <is>
          <t>Macquarie Group</t>
        </is>
      </c>
      <c r="D115" s="28" t="inlineStr"/>
      <c r="E115" s="28" t="inlineStr">
        <is>
          <t>No</t>
        </is>
      </c>
      <c r="F115" s="28" t="inlineStr">
        <is>
          <t>Active</t>
        </is>
      </c>
      <c r="G115" s="38" t="n"/>
      <c r="H115" s="29" t="n">
        <v>1</v>
      </c>
      <c r="I115" s="39" t="n"/>
      <c r="J115" s="39" t="n"/>
      <c r="K115" s="31" t="n"/>
      <c r="L115" s="31" t="n"/>
      <c r="M115" s="31" t="n"/>
      <c r="N115" s="31" t="n"/>
      <c r="O115" s="31" t="n"/>
      <c r="P115" s="31" t="n"/>
      <c r="Q115" s="23">
        <f>IF($A115="","",COUNTIFS(Assignments!$C$2:$C$769,$A115,Assignments!$G$2:$G$769,"Active"))</f>
        <v/>
      </c>
      <c r="R115" s="32">
        <f>IF($A115="","",SUMIFS(Assignments!$I$2:$I$769,Assignments!$C$2:$C$769,$A115,Assignments!$G$2:$G$769,"Active"))</f>
        <v/>
      </c>
      <c r="S115" s="20" t="inlineStr">
        <is>
          <t>WIP</t>
        </is>
      </c>
      <c r="T115" s="31" t="n"/>
      <c r="U115" s="38" t="n"/>
      <c r="V115" s="34">
        <f>IF($U115="","",IFERROR(INDEX(Templates!$K$3:$K$10,MATCH($U115,Templates!$A$3:$A$10,0)),""))</f>
        <v/>
      </c>
      <c r="W115" s="34">
        <f>IF($U115="","",IFERROR(INDEX(Templates!$L$3:$L$10,MATCH($U115,Templates!$A$3:$A$10,0)),""))</f>
        <v/>
      </c>
      <c r="X115" s="21">
        <f>IF($U115="","",IFERROR(INDEX(Templates!$J$3:$J$10,MATCH($U115,Templates!$A$3:$A$10,0)),""))</f>
        <v/>
      </c>
      <c r="Y115" s="35">
        <f>IF(OR($U115="",$I115="",$J115="",$X115=""),"",$I115+$X115*($J115-$I115))</f>
        <v/>
      </c>
      <c r="Z115" s="30" t="n">
        <v>46212</v>
      </c>
      <c r="AA115" s="40" t="n"/>
      <c r="AB115" s="41" t="n"/>
      <c r="AC115" s="41" t="n"/>
      <c r="AD115" s="19">
        <f>IF($A115="","",IF($AA115="",$H115,$AA115))</f>
        <v/>
      </c>
      <c r="AE115" s="35">
        <f>IF($A115="","",IF($AB115="",$I115,$AB115))</f>
        <v/>
      </c>
      <c r="AF115" s="35">
        <f>IF($A115="","",IF($AC115="",$J115,$AC115))</f>
        <v/>
      </c>
      <c r="AG115" s="35">
        <f>IF(OR($U115="",$AE115="",$AF115="",$X115=""),"",$AE115+$X115*($AF115-$AE115))</f>
        <v/>
      </c>
      <c r="AH115" s="38" t="n"/>
      <c r="AI115" s="38" t="n"/>
      <c r="AJ115" s="38" t="n"/>
      <c r="AK115" s="38" t="n"/>
      <c r="AL115" s="38" t="n"/>
      <c r="AM115" s="38" t="n"/>
      <c r="AN115" s="38" t="n"/>
      <c r="AO115" s="38" t="n"/>
      <c r="AP115" s="38" t="n"/>
      <c r="AQ115" s="38" t="n"/>
      <c r="AR115" s="38" t="n"/>
      <c r="AS115" s="38" t="n"/>
      <c r="AT115" s="38" t="n"/>
      <c r="AU115" s="38" t="n"/>
      <c r="AV115" s="38" t="n"/>
      <c r="AW115" s="38" t="n"/>
      <c r="AX115" s="38" t="n"/>
      <c r="AY115" s="42" t="n"/>
      <c r="AZ115" s="42" t="n"/>
      <c r="BA115" s="42" t="n"/>
      <c r="BB115" s="42" t="n"/>
      <c r="BC115" s="42" t="n"/>
      <c r="BD115" s="37">
        <f>IF($A115="","",SUM($AY115:$BC115))</f>
        <v/>
      </c>
      <c r="BE115" s="18">
        <f>IF($A115="","",IF(AND($I115&lt;&gt;"",$J115&lt;&gt;""),MAX(1,($J115-$I115)/7),Templates!$B$35))</f>
        <v/>
      </c>
      <c r="BF115" s="18">
        <f>IF($A115="","",IF(AND($I115&lt;&gt;"",$J115&lt;&gt;""),MAX(1,($J115-$I115)/7),Templates!$B$36))</f>
        <v/>
      </c>
      <c r="BG115" s="18">
        <f>IF($A115="","",IF(AND($I115&lt;&gt;"",$J115&lt;&gt;""),MAX(1,($J115-$I115)/7),Templates!$B$37))</f>
        <v/>
      </c>
      <c r="BH115" s="18">
        <f>IF($A115="","",IF(AND($I115&lt;&gt;"",$J115&lt;&gt;""),MAX(1,($J115-$I115)/7),Templates!$B$38))</f>
        <v/>
      </c>
      <c r="BI115" s="18">
        <f>IF($A115="","",IF(AND($I115&lt;&gt;"",$J115&lt;&gt;""),MAX(1,($J115-$I115)/7),Templates!$B$39))</f>
        <v/>
      </c>
      <c r="BJ115" s="18">
        <f>IF(OR($A115="",$BD115=0),0,($AY115*Templates!$B$27/$BE115+$AZ115*Templates!$B$28/$BF115+$BA115*Templates!$B$29/$BG115+$BB115*Templates!$B$30/$BH115+$BC115*Templates!$B$31/$BI115)/Templates!$B$17)</f>
        <v/>
      </c>
      <c r="BK115" s="18">
        <f>IF(OR($A115="",$BD115=0),0,($AY115*Templates!$C$27/$BE115+$AZ115*Templates!$C$28/$BF115+$BA115*Templates!$C$29/$BG115+$BB115*Templates!$C$30/$BH115+$BC115*Templates!$C$31/$BI115)/Templates!$B$18)</f>
        <v/>
      </c>
      <c r="BL115" s="18">
        <f>IF(OR($A115="",$BD115=0),0,($AY115*Templates!$D$27/$BE115+$AZ115*Templates!$D$28/$BF115+$BA115*Templates!$D$29/$BG115+$BB115*Templates!$D$30/$BH115+$BC115*Templates!$D$31/$BI115)/Templates!$B$19)</f>
        <v/>
      </c>
      <c r="BM115" s="18">
        <f>IF(OR($A115="",$BD115=0),0,($AY115*Templates!$E$27/$BE115+$AZ115*Templates!$E$28/$BF115+$BA115*Templates!$E$29/$BG115+$BB115*Templates!$E$30/$BH115+$BC115*Templates!$E$31/$BI115)/Templates!$B$20)</f>
        <v/>
      </c>
      <c r="BN115" s="18">
        <f>IF(OR($A115="",$BD115=0),0,($AY115*Templates!$F$27/$BE115+$AZ115*Templates!$F$28/$BF115+$BA115*Templates!$F$29/$BG115+$BB115*Templates!$F$30/$BH115+$BC115*Templates!$F$31/$BI115)/Templates!$B$21)</f>
        <v/>
      </c>
      <c r="BO115" s="18">
        <f>IF(OR($A115="",$BD115=0),0,($AY115*Templates!$G$27/$BE115+$AZ115*Templates!$G$28/$BF115+$BA115*Templates!$G$29/$BG115+$BB115*Templates!$G$30/$BH115+$BC115*Templates!$G$31/$BI115)/Templates!$B$22)</f>
        <v/>
      </c>
      <c r="BP115" s="18">
        <f>IF(OR($A115="",$BD115=0),0,($AY115*Templates!$H$27/$BE115+$AZ115*Templates!$H$28/$BF115+$BA115*Templates!$H$29/$BG115+$BB115*Templates!$H$30/$BH115+$BC115*Templates!$H$31/$BI115)/Templates!$B$23)</f>
        <v/>
      </c>
    </row>
    <row r="116">
      <c r="A116" s="28" t="inlineStr">
        <is>
          <t>MIP_1</t>
        </is>
      </c>
      <c r="B116" s="20" t="inlineStr">
        <is>
          <t>Macquarie Group</t>
        </is>
      </c>
      <c r="C116" s="28" t="inlineStr">
        <is>
          <t>Macquarie Group</t>
        </is>
      </c>
      <c r="D116" s="28" t="inlineStr"/>
      <c r="E116" s="28" t="inlineStr">
        <is>
          <t>No</t>
        </is>
      </c>
      <c r="F116" s="28" t="inlineStr">
        <is>
          <t>Active</t>
        </is>
      </c>
      <c r="G116" s="38" t="n"/>
      <c r="H116" s="29" t="n">
        <v>1</v>
      </c>
      <c r="I116" s="39" t="n"/>
      <c r="J116" s="39" t="n"/>
      <c r="K116" s="31" t="n"/>
      <c r="L116" s="31" t="n"/>
      <c r="M116" s="31" t="n"/>
      <c r="N116" s="31" t="n"/>
      <c r="O116" s="31" t="n"/>
      <c r="P116" s="31" t="n"/>
      <c r="Q116" s="23">
        <f>IF($A116="","",COUNTIFS(Assignments!$C$2:$C$769,$A116,Assignments!$G$2:$G$769,"Active"))</f>
        <v/>
      </c>
      <c r="R116" s="32">
        <f>IF($A116="","",SUMIFS(Assignments!$I$2:$I$769,Assignments!$C$2:$C$769,$A116,Assignments!$G$2:$G$769,"Active"))</f>
        <v/>
      </c>
      <c r="S116" s="20" t="inlineStr">
        <is>
          <t>WIP</t>
        </is>
      </c>
      <c r="T116" s="31" t="n"/>
      <c r="U116" s="38" t="n"/>
      <c r="V116" s="34">
        <f>IF($U116="","",IFERROR(INDEX(Templates!$K$3:$K$10,MATCH($U116,Templates!$A$3:$A$10,0)),""))</f>
        <v/>
      </c>
      <c r="W116" s="34">
        <f>IF($U116="","",IFERROR(INDEX(Templates!$L$3:$L$10,MATCH($U116,Templates!$A$3:$A$10,0)),""))</f>
        <v/>
      </c>
      <c r="X116" s="21">
        <f>IF($U116="","",IFERROR(INDEX(Templates!$J$3:$J$10,MATCH($U116,Templates!$A$3:$A$10,0)),""))</f>
        <v/>
      </c>
      <c r="Y116" s="35">
        <f>IF(OR($U116="",$I116="",$J116="",$X116=""),"",$I116+$X116*($J116-$I116))</f>
        <v/>
      </c>
      <c r="Z116" s="30" t="n">
        <v>46212</v>
      </c>
      <c r="AA116" s="40" t="n"/>
      <c r="AB116" s="41" t="n"/>
      <c r="AC116" s="41" t="n"/>
      <c r="AD116" s="19">
        <f>IF($A116="","",IF($AA116="",$H116,$AA116))</f>
        <v/>
      </c>
      <c r="AE116" s="35">
        <f>IF($A116="","",IF($AB116="",$I116,$AB116))</f>
        <v/>
      </c>
      <c r="AF116" s="35">
        <f>IF($A116="","",IF($AC116="",$J116,$AC116))</f>
        <v/>
      </c>
      <c r="AG116" s="35">
        <f>IF(OR($U116="",$AE116="",$AF116="",$X116=""),"",$AE116+$X116*($AF116-$AE116))</f>
        <v/>
      </c>
      <c r="AH116" s="38" t="n"/>
      <c r="AI116" s="38" t="n"/>
      <c r="AJ116" s="38" t="n"/>
      <c r="AK116" s="38" t="n"/>
      <c r="AL116" s="38" t="n"/>
      <c r="AM116" s="38" t="n"/>
      <c r="AN116" s="38" t="n"/>
      <c r="AO116" s="38" t="n"/>
      <c r="AP116" s="38" t="n"/>
      <c r="AQ116" s="38" t="n"/>
      <c r="AR116" s="38" t="n"/>
      <c r="AS116" s="38" t="n"/>
      <c r="AT116" s="38" t="n"/>
      <c r="AU116" s="38" t="n"/>
      <c r="AV116" s="38" t="n"/>
      <c r="AW116" s="38" t="n"/>
      <c r="AX116" s="38" t="n"/>
      <c r="AY116" s="42" t="n"/>
      <c r="AZ116" s="42" t="n"/>
      <c r="BA116" s="42" t="n"/>
      <c r="BB116" s="42" t="n"/>
      <c r="BC116" s="42" t="n"/>
      <c r="BD116" s="37">
        <f>IF($A116="","",SUM($AY116:$BC116))</f>
        <v/>
      </c>
      <c r="BE116" s="18">
        <f>IF($A116="","",IF(AND($I116&lt;&gt;"",$J116&lt;&gt;""),MAX(1,($J116-$I116)/7),Templates!$B$35))</f>
        <v/>
      </c>
      <c r="BF116" s="18">
        <f>IF($A116="","",IF(AND($I116&lt;&gt;"",$J116&lt;&gt;""),MAX(1,($J116-$I116)/7),Templates!$B$36))</f>
        <v/>
      </c>
      <c r="BG116" s="18">
        <f>IF($A116="","",IF(AND($I116&lt;&gt;"",$J116&lt;&gt;""),MAX(1,($J116-$I116)/7),Templates!$B$37))</f>
        <v/>
      </c>
      <c r="BH116" s="18">
        <f>IF($A116="","",IF(AND($I116&lt;&gt;"",$J116&lt;&gt;""),MAX(1,($J116-$I116)/7),Templates!$B$38))</f>
        <v/>
      </c>
      <c r="BI116" s="18">
        <f>IF($A116="","",IF(AND($I116&lt;&gt;"",$J116&lt;&gt;""),MAX(1,($J116-$I116)/7),Templates!$B$39))</f>
        <v/>
      </c>
      <c r="BJ116" s="18">
        <f>IF(OR($A116="",$BD116=0),0,($AY116*Templates!$B$27/$BE116+$AZ116*Templates!$B$28/$BF116+$BA116*Templates!$B$29/$BG116+$BB116*Templates!$B$30/$BH116+$BC116*Templates!$B$31/$BI116)/Templates!$B$17)</f>
        <v/>
      </c>
      <c r="BK116" s="18">
        <f>IF(OR($A116="",$BD116=0),0,($AY116*Templates!$C$27/$BE116+$AZ116*Templates!$C$28/$BF116+$BA116*Templates!$C$29/$BG116+$BB116*Templates!$C$30/$BH116+$BC116*Templates!$C$31/$BI116)/Templates!$B$18)</f>
        <v/>
      </c>
      <c r="BL116" s="18">
        <f>IF(OR($A116="",$BD116=0),0,($AY116*Templates!$D$27/$BE116+$AZ116*Templates!$D$28/$BF116+$BA116*Templates!$D$29/$BG116+$BB116*Templates!$D$30/$BH116+$BC116*Templates!$D$31/$BI116)/Templates!$B$19)</f>
        <v/>
      </c>
      <c r="BM116" s="18">
        <f>IF(OR($A116="",$BD116=0),0,($AY116*Templates!$E$27/$BE116+$AZ116*Templates!$E$28/$BF116+$BA116*Templates!$E$29/$BG116+$BB116*Templates!$E$30/$BH116+$BC116*Templates!$E$31/$BI116)/Templates!$B$20)</f>
        <v/>
      </c>
      <c r="BN116" s="18">
        <f>IF(OR($A116="",$BD116=0),0,($AY116*Templates!$F$27/$BE116+$AZ116*Templates!$F$28/$BF116+$BA116*Templates!$F$29/$BG116+$BB116*Templates!$F$30/$BH116+$BC116*Templates!$F$31/$BI116)/Templates!$B$21)</f>
        <v/>
      </c>
      <c r="BO116" s="18">
        <f>IF(OR($A116="",$BD116=0),0,($AY116*Templates!$G$27/$BE116+$AZ116*Templates!$G$28/$BF116+$BA116*Templates!$G$29/$BG116+$BB116*Templates!$G$30/$BH116+$BC116*Templates!$G$31/$BI116)/Templates!$B$22)</f>
        <v/>
      </c>
      <c r="BP116" s="18">
        <f>IF(OR($A116="",$BD116=0),0,($AY116*Templates!$H$27/$BE116+$AZ116*Templates!$H$28/$BF116+$BA116*Templates!$H$29/$BG116+$BB116*Templates!$H$30/$BH116+$BC116*Templates!$H$31/$BI116)/Templates!$B$23)</f>
        <v/>
      </c>
    </row>
    <row r="117">
      <c r="A117" s="28" t="inlineStr">
        <is>
          <t>Modport_1</t>
        </is>
      </c>
      <c r="B117" s="20" t="inlineStr">
        <is>
          <t>Euclid Transactional</t>
        </is>
      </c>
      <c r="C117" s="28" t="inlineStr">
        <is>
          <t>Euclid Transactional</t>
        </is>
      </c>
      <c r="D117" s="28" t="inlineStr"/>
      <c r="E117" s="28" t="inlineStr">
        <is>
          <t>No</t>
        </is>
      </c>
      <c r="F117" s="28" t="inlineStr">
        <is>
          <t>Active</t>
        </is>
      </c>
      <c r="G117" s="38" t="n"/>
      <c r="H117" s="29" t="n">
        <v>1</v>
      </c>
      <c r="I117" s="39" t="n"/>
      <c r="J117" s="39" t="n"/>
      <c r="K117" s="31" t="n"/>
      <c r="L117" s="31" t="n"/>
      <c r="M117" s="31" t="n"/>
      <c r="N117" s="31" t="n"/>
      <c r="O117" s="31" t="n"/>
      <c r="P117" s="31" t="n"/>
      <c r="Q117" s="23">
        <f>IF($A117="","",COUNTIFS(Assignments!$C$2:$C$769,$A117,Assignments!$G$2:$G$769,"Active"))</f>
        <v/>
      </c>
      <c r="R117" s="32">
        <f>IF($A117="","",SUMIFS(Assignments!$I$2:$I$769,Assignments!$C$2:$C$769,$A117,Assignments!$G$2:$G$769,"Active"))</f>
        <v/>
      </c>
      <c r="S117" s="20" t="inlineStr">
        <is>
          <t>WIP</t>
        </is>
      </c>
      <c r="T117" s="31" t="n"/>
      <c r="U117" s="38" t="n"/>
      <c r="V117" s="34">
        <f>IF($U117="","",IFERROR(INDEX(Templates!$K$3:$K$10,MATCH($U117,Templates!$A$3:$A$10,0)),""))</f>
        <v/>
      </c>
      <c r="W117" s="34">
        <f>IF($U117="","",IFERROR(INDEX(Templates!$L$3:$L$10,MATCH($U117,Templates!$A$3:$A$10,0)),""))</f>
        <v/>
      </c>
      <c r="X117" s="21">
        <f>IF($U117="","",IFERROR(INDEX(Templates!$J$3:$J$10,MATCH($U117,Templates!$A$3:$A$10,0)),""))</f>
        <v/>
      </c>
      <c r="Y117" s="35">
        <f>IF(OR($U117="",$I117="",$J117="",$X117=""),"",$I117+$X117*($J117-$I117))</f>
        <v/>
      </c>
      <c r="Z117" s="30" t="n">
        <v>46212</v>
      </c>
      <c r="AA117" s="40" t="n"/>
      <c r="AB117" s="41" t="n"/>
      <c r="AC117" s="41" t="n"/>
      <c r="AD117" s="19">
        <f>IF($A117="","",IF($AA117="",$H117,$AA117))</f>
        <v/>
      </c>
      <c r="AE117" s="35">
        <f>IF($A117="","",IF($AB117="",$I117,$AB117))</f>
        <v/>
      </c>
      <c r="AF117" s="35">
        <f>IF($A117="","",IF($AC117="",$J117,$AC117))</f>
        <v/>
      </c>
      <c r="AG117" s="35">
        <f>IF(OR($U117="",$AE117="",$AF117="",$X117=""),"",$AE117+$X117*($AF117-$AE117))</f>
        <v/>
      </c>
      <c r="AH117" s="38" t="n"/>
      <c r="AI117" s="38" t="n"/>
      <c r="AJ117" s="38" t="n"/>
      <c r="AK117" s="38" t="n"/>
      <c r="AL117" s="38" t="n"/>
      <c r="AM117" s="38" t="n"/>
      <c r="AN117" s="38" t="n"/>
      <c r="AO117" s="38" t="n"/>
      <c r="AP117" s="38" t="n"/>
      <c r="AQ117" s="38" t="n"/>
      <c r="AR117" s="38" t="n"/>
      <c r="AS117" s="38" t="n"/>
      <c r="AT117" s="38" t="n"/>
      <c r="AU117" s="38" t="n"/>
      <c r="AV117" s="38" t="n"/>
      <c r="AW117" s="38" t="n"/>
      <c r="AX117" s="38" t="n"/>
      <c r="AY117" s="42" t="n"/>
      <c r="AZ117" s="42" t="n"/>
      <c r="BA117" s="42" t="n"/>
      <c r="BB117" s="42" t="n"/>
      <c r="BC117" s="42" t="n"/>
      <c r="BD117" s="37">
        <f>IF($A117="","",SUM($AY117:$BC117))</f>
        <v/>
      </c>
      <c r="BE117" s="18">
        <f>IF($A117="","",IF(AND($I117&lt;&gt;"",$J117&lt;&gt;""),MAX(1,($J117-$I117)/7),Templates!$B$35))</f>
        <v/>
      </c>
      <c r="BF117" s="18">
        <f>IF($A117="","",IF(AND($I117&lt;&gt;"",$J117&lt;&gt;""),MAX(1,($J117-$I117)/7),Templates!$B$36))</f>
        <v/>
      </c>
      <c r="BG117" s="18">
        <f>IF($A117="","",IF(AND($I117&lt;&gt;"",$J117&lt;&gt;""),MAX(1,($J117-$I117)/7),Templates!$B$37))</f>
        <v/>
      </c>
      <c r="BH117" s="18">
        <f>IF($A117="","",IF(AND($I117&lt;&gt;"",$J117&lt;&gt;""),MAX(1,($J117-$I117)/7),Templates!$B$38))</f>
        <v/>
      </c>
      <c r="BI117" s="18">
        <f>IF($A117="","",IF(AND($I117&lt;&gt;"",$J117&lt;&gt;""),MAX(1,($J117-$I117)/7),Templates!$B$39))</f>
        <v/>
      </c>
      <c r="BJ117" s="18">
        <f>IF(OR($A117="",$BD117=0),0,($AY117*Templates!$B$27/$BE117+$AZ117*Templates!$B$28/$BF117+$BA117*Templates!$B$29/$BG117+$BB117*Templates!$B$30/$BH117+$BC117*Templates!$B$31/$BI117)/Templates!$B$17)</f>
        <v/>
      </c>
      <c r="BK117" s="18">
        <f>IF(OR($A117="",$BD117=0),0,($AY117*Templates!$C$27/$BE117+$AZ117*Templates!$C$28/$BF117+$BA117*Templates!$C$29/$BG117+$BB117*Templates!$C$30/$BH117+$BC117*Templates!$C$31/$BI117)/Templates!$B$18)</f>
        <v/>
      </c>
      <c r="BL117" s="18">
        <f>IF(OR($A117="",$BD117=0),0,($AY117*Templates!$D$27/$BE117+$AZ117*Templates!$D$28/$BF117+$BA117*Templates!$D$29/$BG117+$BB117*Templates!$D$30/$BH117+$BC117*Templates!$D$31/$BI117)/Templates!$B$19)</f>
        <v/>
      </c>
      <c r="BM117" s="18">
        <f>IF(OR($A117="",$BD117=0),0,($AY117*Templates!$E$27/$BE117+$AZ117*Templates!$E$28/$BF117+$BA117*Templates!$E$29/$BG117+$BB117*Templates!$E$30/$BH117+$BC117*Templates!$E$31/$BI117)/Templates!$B$20)</f>
        <v/>
      </c>
      <c r="BN117" s="18">
        <f>IF(OR($A117="",$BD117=0),0,($AY117*Templates!$F$27/$BE117+$AZ117*Templates!$F$28/$BF117+$BA117*Templates!$F$29/$BG117+$BB117*Templates!$F$30/$BH117+$BC117*Templates!$F$31/$BI117)/Templates!$B$21)</f>
        <v/>
      </c>
      <c r="BO117" s="18">
        <f>IF(OR($A117="",$BD117=0),0,($AY117*Templates!$G$27/$BE117+$AZ117*Templates!$G$28/$BF117+$BA117*Templates!$G$29/$BG117+$BB117*Templates!$G$30/$BH117+$BC117*Templates!$G$31/$BI117)/Templates!$B$22)</f>
        <v/>
      </c>
      <c r="BP117" s="18">
        <f>IF(OR($A117="",$BD117=0),0,($AY117*Templates!$H$27/$BE117+$AZ117*Templates!$H$28/$BF117+$BA117*Templates!$H$29/$BG117+$BB117*Templates!$H$30/$BH117+$BC117*Templates!$H$31/$BI117)/Templates!$B$23)</f>
        <v/>
      </c>
    </row>
    <row r="118">
      <c r="A118" s="28" t="inlineStr">
        <is>
          <t>Mont_1</t>
        </is>
      </c>
      <c r="B118" s="20" t="inlineStr">
        <is>
          <t>RELX Plc</t>
        </is>
      </c>
      <c r="C118" s="28" t="inlineStr">
        <is>
          <t>RELX Plc</t>
        </is>
      </c>
      <c r="D118" s="28" t="inlineStr"/>
      <c r="E118" s="28" t="inlineStr">
        <is>
          <t>No</t>
        </is>
      </c>
      <c r="F118" s="28" t="inlineStr">
        <is>
          <t>Active</t>
        </is>
      </c>
      <c r="G118" s="38" t="n"/>
      <c r="H118" s="29" t="n">
        <v>1</v>
      </c>
      <c r="I118" s="39" t="n"/>
      <c r="J118" s="39" t="n"/>
      <c r="K118" s="31" t="n"/>
      <c r="L118" s="31" t="n"/>
      <c r="M118" s="31" t="n"/>
      <c r="N118" s="31" t="n"/>
      <c r="O118" s="31" t="n"/>
      <c r="P118" s="31" t="n"/>
      <c r="Q118" s="23">
        <f>IF($A118="","",COUNTIFS(Assignments!$C$2:$C$769,$A118,Assignments!$G$2:$G$769,"Active"))</f>
        <v/>
      </c>
      <c r="R118" s="32">
        <f>IF($A118="","",SUMIFS(Assignments!$I$2:$I$769,Assignments!$C$2:$C$769,$A118,Assignments!$G$2:$G$769,"Active"))</f>
        <v/>
      </c>
      <c r="S118" s="20" t="inlineStr">
        <is>
          <t>WIP</t>
        </is>
      </c>
      <c r="T118" s="31" t="n"/>
      <c r="U118" s="38" t="n"/>
      <c r="V118" s="34">
        <f>IF($U118="","",IFERROR(INDEX(Templates!$K$3:$K$10,MATCH($U118,Templates!$A$3:$A$10,0)),""))</f>
        <v/>
      </c>
      <c r="W118" s="34">
        <f>IF($U118="","",IFERROR(INDEX(Templates!$L$3:$L$10,MATCH($U118,Templates!$A$3:$A$10,0)),""))</f>
        <v/>
      </c>
      <c r="X118" s="21">
        <f>IF($U118="","",IFERROR(INDEX(Templates!$J$3:$J$10,MATCH($U118,Templates!$A$3:$A$10,0)),""))</f>
        <v/>
      </c>
      <c r="Y118" s="35">
        <f>IF(OR($U118="",$I118="",$J118="",$X118=""),"",$I118+$X118*($J118-$I118))</f>
        <v/>
      </c>
      <c r="Z118" s="30" t="n">
        <v>46212</v>
      </c>
      <c r="AA118" s="40" t="n"/>
      <c r="AB118" s="41" t="n"/>
      <c r="AC118" s="41" t="n"/>
      <c r="AD118" s="19">
        <f>IF($A118="","",IF($AA118="",$H118,$AA118))</f>
        <v/>
      </c>
      <c r="AE118" s="35">
        <f>IF($A118="","",IF($AB118="",$I118,$AB118))</f>
        <v/>
      </c>
      <c r="AF118" s="35">
        <f>IF($A118="","",IF($AC118="",$J118,$AC118))</f>
        <v/>
      </c>
      <c r="AG118" s="35">
        <f>IF(OR($U118="",$AE118="",$AF118="",$X118=""),"",$AE118+$X118*($AF118-$AE118))</f>
        <v/>
      </c>
      <c r="AH118" s="38" t="n"/>
      <c r="AI118" s="38" t="n"/>
      <c r="AJ118" s="38" t="n"/>
      <c r="AK118" s="38" t="n"/>
      <c r="AL118" s="38" t="n"/>
      <c r="AM118" s="38" t="n"/>
      <c r="AN118" s="38" t="n"/>
      <c r="AO118" s="38" t="n"/>
      <c r="AP118" s="38" t="n"/>
      <c r="AQ118" s="38" t="n"/>
      <c r="AR118" s="38" t="n"/>
      <c r="AS118" s="38" t="n"/>
      <c r="AT118" s="38" t="n"/>
      <c r="AU118" s="38" t="n"/>
      <c r="AV118" s="38" t="n"/>
      <c r="AW118" s="38" t="n"/>
      <c r="AX118" s="38" t="n"/>
      <c r="AY118" s="42" t="n"/>
      <c r="AZ118" s="42" t="n"/>
      <c r="BA118" s="42" t="n"/>
      <c r="BB118" s="42" t="n"/>
      <c r="BC118" s="42" t="n"/>
      <c r="BD118" s="37">
        <f>IF($A118="","",SUM($AY118:$BC118))</f>
        <v/>
      </c>
      <c r="BE118" s="18">
        <f>IF($A118="","",IF(AND($I118&lt;&gt;"",$J118&lt;&gt;""),MAX(1,($J118-$I118)/7),Templates!$B$35))</f>
        <v/>
      </c>
      <c r="BF118" s="18">
        <f>IF($A118="","",IF(AND($I118&lt;&gt;"",$J118&lt;&gt;""),MAX(1,($J118-$I118)/7),Templates!$B$36))</f>
        <v/>
      </c>
      <c r="BG118" s="18">
        <f>IF($A118="","",IF(AND($I118&lt;&gt;"",$J118&lt;&gt;""),MAX(1,($J118-$I118)/7),Templates!$B$37))</f>
        <v/>
      </c>
      <c r="BH118" s="18">
        <f>IF($A118="","",IF(AND($I118&lt;&gt;"",$J118&lt;&gt;""),MAX(1,($J118-$I118)/7),Templates!$B$38))</f>
        <v/>
      </c>
      <c r="BI118" s="18">
        <f>IF($A118="","",IF(AND($I118&lt;&gt;"",$J118&lt;&gt;""),MAX(1,($J118-$I118)/7),Templates!$B$39))</f>
        <v/>
      </c>
      <c r="BJ118" s="18">
        <f>IF(OR($A118="",$BD118=0),0,($AY118*Templates!$B$27/$BE118+$AZ118*Templates!$B$28/$BF118+$BA118*Templates!$B$29/$BG118+$BB118*Templates!$B$30/$BH118+$BC118*Templates!$B$31/$BI118)/Templates!$B$17)</f>
        <v/>
      </c>
      <c r="BK118" s="18">
        <f>IF(OR($A118="",$BD118=0),0,($AY118*Templates!$C$27/$BE118+$AZ118*Templates!$C$28/$BF118+$BA118*Templates!$C$29/$BG118+$BB118*Templates!$C$30/$BH118+$BC118*Templates!$C$31/$BI118)/Templates!$B$18)</f>
        <v/>
      </c>
      <c r="BL118" s="18">
        <f>IF(OR($A118="",$BD118=0),0,($AY118*Templates!$D$27/$BE118+$AZ118*Templates!$D$28/$BF118+$BA118*Templates!$D$29/$BG118+$BB118*Templates!$D$30/$BH118+$BC118*Templates!$D$31/$BI118)/Templates!$B$19)</f>
        <v/>
      </c>
      <c r="BM118" s="18">
        <f>IF(OR($A118="",$BD118=0),0,($AY118*Templates!$E$27/$BE118+$AZ118*Templates!$E$28/$BF118+$BA118*Templates!$E$29/$BG118+$BB118*Templates!$E$30/$BH118+$BC118*Templates!$E$31/$BI118)/Templates!$B$20)</f>
        <v/>
      </c>
      <c r="BN118" s="18">
        <f>IF(OR($A118="",$BD118=0),0,($AY118*Templates!$F$27/$BE118+$AZ118*Templates!$F$28/$BF118+$BA118*Templates!$F$29/$BG118+$BB118*Templates!$F$30/$BH118+$BC118*Templates!$F$31/$BI118)/Templates!$B$21)</f>
        <v/>
      </c>
      <c r="BO118" s="18">
        <f>IF(OR($A118="",$BD118=0),0,($AY118*Templates!$G$27/$BE118+$AZ118*Templates!$G$28/$BF118+$BA118*Templates!$G$29/$BG118+$BB118*Templates!$G$30/$BH118+$BC118*Templates!$G$31/$BI118)/Templates!$B$22)</f>
        <v/>
      </c>
      <c r="BP118" s="18">
        <f>IF(OR($A118="",$BD118=0),0,($AY118*Templates!$H$27/$BE118+$AZ118*Templates!$H$28/$BF118+$BA118*Templates!$H$29/$BG118+$BB118*Templates!$H$30/$BH118+$BC118*Templates!$H$31/$BI118)/Templates!$B$23)</f>
        <v/>
      </c>
    </row>
    <row r="119">
      <c r="A119" s="28" t="inlineStr">
        <is>
          <t>Mozart_2</t>
        </is>
      </c>
      <c r="B119" s="20" t="inlineStr">
        <is>
          <t>Eight Advisory</t>
        </is>
      </c>
      <c r="C119" s="28" t="inlineStr">
        <is>
          <t>Eight Advisory</t>
        </is>
      </c>
      <c r="D119" s="28" t="inlineStr"/>
      <c r="E119" s="28" t="inlineStr">
        <is>
          <t>No</t>
        </is>
      </c>
      <c r="F119" s="28" t="inlineStr">
        <is>
          <t>Active</t>
        </is>
      </c>
      <c r="G119" s="38" t="n"/>
      <c r="H119" s="29" t="n">
        <v>1</v>
      </c>
      <c r="I119" s="39" t="n"/>
      <c r="J119" s="39" t="n"/>
      <c r="K119" s="31" t="n"/>
      <c r="L119" s="31" t="n"/>
      <c r="M119" s="31" t="n"/>
      <c r="N119" s="31" t="n"/>
      <c r="O119" s="31" t="n"/>
      <c r="P119" s="31" t="n"/>
      <c r="Q119" s="23">
        <f>IF($A119="","",COUNTIFS(Assignments!$C$2:$C$769,$A119,Assignments!$G$2:$G$769,"Active"))</f>
        <v/>
      </c>
      <c r="R119" s="32">
        <f>IF($A119="","",SUMIFS(Assignments!$I$2:$I$769,Assignments!$C$2:$C$769,$A119,Assignments!$G$2:$G$769,"Active"))</f>
        <v/>
      </c>
      <c r="S119" s="20" t="inlineStr">
        <is>
          <t>WIP</t>
        </is>
      </c>
      <c r="T119" s="31" t="n"/>
      <c r="U119" s="38" t="n"/>
      <c r="V119" s="34">
        <f>IF($U119="","",IFERROR(INDEX(Templates!$K$3:$K$10,MATCH($U119,Templates!$A$3:$A$10,0)),""))</f>
        <v/>
      </c>
      <c r="W119" s="34">
        <f>IF($U119="","",IFERROR(INDEX(Templates!$L$3:$L$10,MATCH($U119,Templates!$A$3:$A$10,0)),""))</f>
        <v/>
      </c>
      <c r="X119" s="21">
        <f>IF($U119="","",IFERROR(INDEX(Templates!$J$3:$J$10,MATCH($U119,Templates!$A$3:$A$10,0)),""))</f>
        <v/>
      </c>
      <c r="Y119" s="35">
        <f>IF(OR($U119="",$I119="",$J119="",$X119=""),"",$I119+$X119*($J119-$I119))</f>
        <v/>
      </c>
      <c r="Z119" s="30" t="n">
        <v>46212</v>
      </c>
      <c r="AA119" s="40" t="n"/>
      <c r="AB119" s="41" t="n"/>
      <c r="AC119" s="41" t="n"/>
      <c r="AD119" s="19">
        <f>IF($A119="","",IF($AA119="",$H119,$AA119))</f>
        <v/>
      </c>
      <c r="AE119" s="35">
        <f>IF($A119="","",IF($AB119="",$I119,$AB119))</f>
        <v/>
      </c>
      <c r="AF119" s="35">
        <f>IF($A119="","",IF($AC119="",$J119,$AC119))</f>
        <v/>
      </c>
      <c r="AG119" s="35">
        <f>IF(OR($U119="",$AE119="",$AF119="",$X119=""),"",$AE119+$X119*($AF119-$AE119))</f>
        <v/>
      </c>
      <c r="AH119" s="38" t="n"/>
      <c r="AI119" s="38" t="n"/>
      <c r="AJ119" s="38" t="n"/>
      <c r="AK119" s="38" t="n"/>
      <c r="AL119" s="38" t="n"/>
      <c r="AM119" s="38" t="n"/>
      <c r="AN119" s="38" t="n"/>
      <c r="AO119" s="38" t="n"/>
      <c r="AP119" s="38" t="n"/>
      <c r="AQ119" s="38" t="n"/>
      <c r="AR119" s="38" t="n"/>
      <c r="AS119" s="38" t="n"/>
      <c r="AT119" s="38" t="n"/>
      <c r="AU119" s="38" t="n"/>
      <c r="AV119" s="38" t="n"/>
      <c r="AW119" s="38" t="n"/>
      <c r="AX119" s="38" t="n"/>
      <c r="AY119" s="42" t="n"/>
      <c r="AZ119" s="42" t="n"/>
      <c r="BA119" s="42" t="n"/>
      <c r="BB119" s="42" t="n"/>
      <c r="BC119" s="42" t="n"/>
      <c r="BD119" s="37">
        <f>IF($A119="","",SUM($AY119:$BC119))</f>
        <v/>
      </c>
      <c r="BE119" s="18">
        <f>IF($A119="","",IF(AND($I119&lt;&gt;"",$J119&lt;&gt;""),MAX(1,($J119-$I119)/7),Templates!$B$35))</f>
        <v/>
      </c>
      <c r="BF119" s="18">
        <f>IF($A119="","",IF(AND($I119&lt;&gt;"",$J119&lt;&gt;""),MAX(1,($J119-$I119)/7),Templates!$B$36))</f>
        <v/>
      </c>
      <c r="BG119" s="18">
        <f>IF($A119="","",IF(AND($I119&lt;&gt;"",$J119&lt;&gt;""),MAX(1,($J119-$I119)/7),Templates!$B$37))</f>
        <v/>
      </c>
      <c r="BH119" s="18">
        <f>IF($A119="","",IF(AND($I119&lt;&gt;"",$J119&lt;&gt;""),MAX(1,($J119-$I119)/7),Templates!$B$38))</f>
        <v/>
      </c>
      <c r="BI119" s="18">
        <f>IF($A119="","",IF(AND($I119&lt;&gt;"",$J119&lt;&gt;""),MAX(1,($J119-$I119)/7),Templates!$B$39))</f>
        <v/>
      </c>
      <c r="BJ119" s="18">
        <f>IF(OR($A119="",$BD119=0),0,($AY119*Templates!$B$27/$BE119+$AZ119*Templates!$B$28/$BF119+$BA119*Templates!$B$29/$BG119+$BB119*Templates!$B$30/$BH119+$BC119*Templates!$B$31/$BI119)/Templates!$B$17)</f>
        <v/>
      </c>
      <c r="BK119" s="18">
        <f>IF(OR($A119="",$BD119=0),0,($AY119*Templates!$C$27/$BE119+$AZ119*Templates!$C$28/$BF119+$BA119*Templates!$C$29/$BG119+$BB119*Templates!$C$30/$BH119+$BC119*Templates!$C$31/$BI119)/Templates!$B$18)</f>
        <v/>
      </c>
      <c r="BL119" s="18">
        <f>IF(OR($A119="",$BD119=0),0,($AY119*Templates!$D$27/$BE119+$AZ119*Templates!$D$28/$BF119+$BA119*Templates!$D$29/$BG119+$BB119*Templates!$D$30/$BH119+$BC119*Templates!$D$31/$BI119)/Templates!$B$19)</f>
        <v/>
      </c>
      <c r="BM119" s="18">
        <f>IF(OR($A119="",$BD119=0),0,($AY119*Templates!$E$27/$BE119+$AZ119*Templates!$E$28/$BF119+$BA119*Templates!$E$29/$BG119+$BB119*Templates!$E$30/$BH119+$BC119*Templates!$E$31/$BI119)/Templates!$B$20)</f>
        <v/>
      </c>
      <c r="BN119" s="18">
        <f>IF(OR($A119="",$BD119=0),0,($AY119*Templates!$F$27/$BE119+$AZ119*Templates!$F$28/$BF119+$BA119*Templates!$F$29/$BG119+$BB119*Templates!$F$30/$BH119+$BC119*Templates!$F$31/$BI119)/Templates!$B$21)</f>
        <v/>
      </c>
      <c r="BO119" s="18">
        <f>IF(OR($A119="",$BD119=0),0,($AY119*Templates!$G$27/$BE119+$AZ119*Templates!$G$28/$BF119+$BA119*Templates!$G$29/$BG119+$BB119*Templates!$G$30/$BH119+$BC119*Templates!$G$31/$BI119)/Templates!$B$22)</f>
        <v/>
      </c>
      <c r="BP119" s="18">
        <f>IF(OR($A119="",$BD119=0),0,($AY119*Templates!$H$27/$BE119+$AZ119*Templates!$H$28/$BF119+$BA119*Templates!$H$29/$BG119+$BB119*Templates!$H$30/$BH119+$BC119*Templates!$H$31/$BI119)/Templates!$B$23)</f>
        <v/>
      </c>
    </row>
    <row r="120">
      <c r="A120" s="28" t="inlineStr">
        <is>
          <t>Naples_2</t>
        </is>
      </c>
      <c r="B120" s="20" t="inlineStr">
        <is>
          <t>Health Velocity Capital</t>
        </is>
      </c>
      <c r="C120" s="28" t="inlineStr">
        <is>
          <t>Health Velocity Capital</t>
        </is>
      </c>
      <c r="D120" s="28" t="inlineStr"/>
      <c r="E120" s="28" t="inlineStr">
        <is>
          <t>No</t>
        </is>
      </c>
      <c r="F120" s="28" t="inlineStr">
        <is>
          <t>Active</t>
        </is>
      </c>
      <c r="G120" s="38" t="n"/>
      <c r="H120" s="29" t="n">
        <v>1</v>
      </c>
      <c r="I120" s="39" t="n"/>
      <c r="J120" s="39" t="n"/>
      <c r="K120" s="31" t="n"/>
      <c r="L120" s="31" t="n"/>
      <c r="M120" s="31" t="n"/>
      <c r="N120" s="31" t="n"/>
      <c r="O120" s="31" t="n"/>
      <c r="P120" s="31" t="n"/>
      <c r="Q120" s="23">
        <f>IF($A120="","",COUNTIFS(Assignments!$C$2:$C$769,$A120,Assignments!$G$2:$G$769,"Active"))</f>
        <v/>
      </c>
      <c r="R120" s="32">
        <f>IF($A120="","",SUMIFS(Assignments!$I$2:$I$769,Assignments!$C$2:$C$769,$A120,Assignments!$G$2:$G$769,"Active"))</f>
        <v/>
      </c>
      <c r="S120" s="20" t="inlineStr">
        <is>
          <t>WIP</t>
        </is>
      </c>
      <c r="T120" s="31" t="n"/>
      <c r="U120" s="38" t="n"/>
      <c r="V120" s="34">
        <f>IF($U120="","",IFERROR(INDEX(Templates!$K$3:$K$10,MATCH($U120,Templates!$A$3:$A$10,0)),""))</f>
        <v/>
      </c>
      <c r="W120" s="34">
        <f>IF($U120="","",IFERROR(INDEX(Templates!$L$3:$L$10,MATCH($U120,Templates!$A$3:$A$10,0)),""))</f>
        <v/>
      </c>
      <c r="X120" s="21">
        <f>IF($U120="","",IFERROR(INDEX(Templates!$J$3:$J$10,MATCH($U120,Templates!$A$3:$A$10,0)),""))</f>
        <v/>
      </c>
      <c r="Y120" s="35">
        <f>IF(OR($U120="",$I120="",$J120="",$X120=""),"",$I120+$X120*($J120-$I120))</f>
        <v/>
      </c>
      <c r="Z120" s="30" t="n">
        <v>46212</v>
      </c>
      <c r="AA120" s="40" t="n"/>
      <c r="AB120" s="41" t="n"/>
      <c r="AC120" s="41" t="n"/>
      <c r="AD120" s="19">
        <f>IF($A120="","",IF($AA120="",$H120,$AA120))</f>
        <v/>
      </c>
      <c r="AE120" s="35">
        <f>IF($A120="","",IF($AB120="",$I120,$AB120))</f>
        <v/>
      </c>
      <c r="AF120" s="35">
        <f>IF($A120="","",IF($AC120="",$J120,$AC120))</f>
        <v/>
      </c>
      <c r="AG120" s="35">
        <f>IF(OR($U120="",$AE120="",$AF120="",$X120=""),"",$AE120+$X120*($AF120-$AE120))</f>
        <v/>
      </c>
      <c r="AH120" s="38" t="n"/>
      <c r="AI120" s="38" t="n"/>
      <c r="AJ120" s="38" t="n"/>
      <c r="AK120" s="38" t="n"/>
      <c r="AL120" s="38" t="n"/>
      <c r="AM120" s="38" t="n"/>
      <c r="AN120" s="38" t="n"/>
      <c r="AO120" s="38" t="n"/>
      <c r="AP120" s="38" t="n"/>
      <c r="AQ120" s="38" t="n"/>
      <c r="AR120" s="38" t="n"/>
      <c r="AS120" s="38" t="n"/>
      <c r="AT120" s="38" t="n"/>
      <c r="AU120" s="38" t="n"/>
      <c r="AV120" s="38" t="n"/>
      <c r="AW120" s="38" t="n"/>
      <c r="AX120" s="38" t="n"/>
      <c r="AY120" s="42" t="n"/>
      <c r="AZ120" s="42" t="n"/>
      <c r="BA120" s="42" t="n"/>
      <c r="BB120" s="42" t="n"/>
      <c r="BC120" s="42" t="n"/>
      <c r="BD120" s="37">
        <f>IF($A120="","",SUM($AY120:$BC120))</f>
        <v/>
      </c>
      <c r="BE120" s="18">
        <f>IF($A120="","",IF(AND($I120&lt;&gt;"",$J120&lt;&gt;""),MAX(1,($J120-$I120)/7),Templates!$B$35))</f>
        <v/>
      </c>
      <c r="BF120" s="18">
        <f>IF($A120="","",IF(AND($I120&lt;&gt;"",$J120&lt;&gt;""),MAX(1,($J120-$I120)/7),Templates!$B$36))</f>
        <v/>
      </c>
      <c r="BG120" s="18">
        <f>IF($A120="","",IF(AND($I120&lt;&gt;"",$J120&lt;&gt;""),MAX(1,($J120-$I120)/7),Templates!$B$37))</f>
        <v/>
      </c>
      <c r="BH120" s="18">
        <f>IF($A120="","",IF(AND($I120&lt;&gt;"",$J120&lt;&gt;""),MAX(1,($J120-$I120)/7),Templates!$B$38))</f>
        <v/>
      </c>
      <c r="BI120" s="18">
        <f>IF($A120="","",IF(AND($I120&lt;&gt;"",$J120&lt;&gt;""),MAX(1,($J120-$I120)/7),Templates!$B$39))</f>
        <v/>
      </c>
      <c r="BJ120" s="18">
        <f>IF(OR($A120="",$BD120=0),0,($AY120*Templates!$B$27/$BE120+$AZ120*Templates!$B$28/$BF120+$BA120*Templates!$B$29/$BG120+$BB120*Templates!$B$30/$BH120+$BC120*Templates!$B$31/$BI120)/Templates!$B$17)</f>
        <v/>
      </c>
      <c r="BK120" s="18">
        <f>IF(OR($A120="",$BD120=0),0,($AY120*Templates!$C$27/$BE120+$AZ120*Templates!$C$28/$BF120+$BA120*Templates!$C$29/$BG120+$BB120*Templates!$C$30/$BH120+$BC120*Templates!$C$31/$BI120)/Templates!$B$18)</f>
        <v/>
      </c>
      <c r="BL120" s="18">
        <f>IF(OR($A120="",$BD120=0),0,($AY120*Templates!$D$27/$BE120+$AZ120*Templates!$D$28/$BF120+$BA120*Templates!$D$29/$BG120+$BB120*Templates!$D$30/$BH120+$BC120*Templates!$D$31/$BI120)/Templates!$B$19)</f>
        <v/>
      </c>
      <c r="BM120" s="18">
        <f>IF(OR($A120="",$BD120=0),0,($AY120*Templates!$E$27/$BE120+$AZ120*Templates!$E$28/$BF120+$BA120*Templates!$E$29/$BG120+$BB120*Templates!$E$30/$BH120+$BC120*Templates!$E$31/$BI120)/Templates!$B$20)</f>
        <v/>
      </c>
      <c r="BN120" s="18">
        <f>IF(OR($A120="",$BD120=0),0,($AY120*Templates!$F$27/$BE120+$AZ120*Templates!$F$28/$BF120+$BA120*Templates!$F$29/$BG120+$BB120*Templates!$F$30/$BH120+$BC120*Templates!$F$31/$BI120)/Templates!$B$21)</f>
        <v/>
      </c>
      <c r="BO120" s="18">
        <f>IF(OR($A120="",$BD120=0),0,($AY120*Templates!$G$27/$BE120+$AZ120*Templates!$G$28/$BF120+$BA120*Templates!$G$29/$BG120+$BB120*Templates!$G$30/$BH120+$BC120*Templates!$G$31/$BI120)/Templates!$B$22)</f>
        <v/>
      </c>
      <c r="BP120" s="18">
        <f>IF(OR($A120="",$BD120=0),0,($AY120*Templates!$H$27/$BE120+$AZ120*Templates!$H$28/$BF120+$BA120*Templates!$H$29/$BG120+$BB120*Templates!$H$30/$BH120+$BC120*Templates!$H$31/$BI120)/Templates!$B$23)</f>
        <v/>
      </c>
    </row>
    <row r="121">
      <c r="A121" s="28" t="inlineStr">
        <is>
          <t>Neo_2</t>
        </is>
      </c>
      <c r="B121" s="20" t="inlineStr">
        <is>
          <t>Ethos Specialty Insurance Services</t>
        </is>
      </c>
      <c r="C121" s="28" t="inlineStr">
        <is>
          <t>Ethos Specialty Insurance Services</t>
        </is>
      </c>
      <c r="D121" s="28" t="inlineStr"/>
      <c r="E121" s="28" t="inlineStr">
        <is>
          <t>No</t>
        </is>
      </c>
      <c r="F121" s="28" t="inlineStr">
        <is>
          <t>Active</t>
        </is>
      </c>
      <c r="G121" s="38" t="n"/>
      <c r="H121" s="29" t="n">
        <v>1</v>
      </c>
      <c r="I121" s="39" t="n"/>
      <c r="J121" s="39" t="n"/>
      <c r="K121" s="31" t="n"/>
      <c r="L121" s="31" t="n"/>
      <c r="M121" s="31" t="n"/>
      <c r="N121" s="31" t="n"/>
      <c r="O121" s="31" t="n"/>
      <c r="P121" s="31" t="n"/>
      <c r="Q121" s="23">
        <f>IF($A121="","",COUNTIFS(Assignments!$C$2:$C$769,$A121,Assignments!$G$2:$G$769,"Active"))</f>
        <v/>
      </c>
      <c r="R121" s="32">
        <f>IF($A121="","",SUMIFS(Assignments!$I$2:$I$769,Assignments!$C$2:$C$769,$A121,Assignments!$G$2:$G$769,"Active"))</f>
        <v/>
      </c>
      <c r="S121" s="20" t="inlineStr">
        <is>
          <t>WIP</t>
        </is>
      </c>
      <c r="T121" s="31" t="n"/>
      <c r="U121" s="38" t="n"/>
      <c r="V121" s="34">
        <f>IF($U121="","",IFERROR(INDEX(Templates!$K$3:$K$10,MATCH($U121,Templates!$A$3:$A$10,0)),""))</f>
        <v/>
      </c>
      <c r="W121" s="34">
        <f>IF($U121="","",IFERROR(INDEX(Templates!$L$3:$L$10,MATCH($U121,Templates!$A$3:$A$10,0)),""))</f>
        <v/>
      </c>
      <c r="X121" s="21">
        <f>IF($U121="","",IFERROR(INDEX(Templates!$J$3:$J$10,MATCH($U121,Templates!$A$3:$A$10,0)),""))</f>
        <v/>
      </c>
      <c r="Y121" s="35">
        <f>IF(OR($U121="",$I121="",$J121="",$X121=""),"",$I121+$X121*($J121-$I121))</f>
        <v/>
      </c>
      <c r="Z121" s="30" t="n">
        <v>46212</v>
      </c>
      <c r="AA121" s="40" t="n"/>
      <c r="AB121" s="41" t="n"/>
      <c r="AC121" s="41" t="n"/>
      <c r="AD121" s="19">
        <f>IF($A121="","",IF($AA121="",$H121,$AA121))</f>
        <v/>
      </c>
      <c r="AE121" s="35">
        <f>IF($A121="","",IF($AB121="",$I121,$AB121))</f>
        <v/>
      </c>
      <c r="AF121" s="35">
        <f>IF($A121="","",IF($AC121="",$J121,$AC121))</f>
        <v/>
      </c>
      <c r="AG121" s="35">
        <f>IF(OR($U121="",$AE121="",$AF121="",$X121=""),"",$AE121+$X121*($AF121-$AE121))</f>
        <v/>
      </c>
      <c r="AH121" s="38" t="n"/>
      <c r="AI121" s="38" t="n"/>
      <c r="AJ121" s="38" t="n"/>
      <c r="AK121" s="38" t="n"/>
      <c r="AL121" s="38" t="n"/>
      <c r="AM121" s="38" t="n"/>
      <c r="AN121" s="38" t="n"/>
      <c r="AO121" s="38" t="n"/>
      <c r="AP121" s="38" t="n"/>
      <c r="AQ121" s="38" t="n"/>
      <c r="AR121" s="38" t="n"/>
      <c r="AS121" s="38" t="n"/>
      <c r="AT121" s="38" t="n"/>
      <c r="AU121" s="38" t="n"/>
      <c r="AV121" s="38" t="n"/>
      <c r="AW121" s="38" t="n"/>
      <c r="AX121" s="38" t="n"/>
      <c r="AY121" s="42" t="n"/>
      <c r="AZ121" s="42" t="n"/>
      <c r="BA121" s="42" t="n"/>
      <c r="BB121" s="42" t="n"/>
      <c r="BC121" s="42" t="n"/>
      <c r="BD121" s="37">
        <f>IF($A121="","",SUM($AY121:$BC121))</f>
        <v/>
      </c>
      <c r="BE121" s="18">
        <f>IF($A121="","",IF(AND($I121&lt;&gt;"",$J121&lt;&gt;""),MAX(1,($J121-$I121)/7),Templates!$B$35))</f>
        <v/>
      </c>
      <c r="BF121" s="18">
        <f>IF($A121="","",IF(AND($I121&lt;&gt;"",$J121&lt;&gt;""),MAX(1,($J121-$I121)/7),Templates!$B$36))</f>
        <v/>
      </c>
      <c r="BG121" s="18">
        <f>IF($A121="","",IF(AND($I121&lt;&gt;"",$J121&lt;&gt;""),MAX(1,($J121-$I121)/7),Templates!$B$37))</f>
        <v/>
      </c>
      <c r="BH121" s="18">
        <f>IF($A121="","",IF(AND($I121&lt;&gt;"",$J121&lt;&gt;""),MAX(1,($J121-$I121)/7),Templates!$B$38))</f>
        <v/>
      </c>
      <c r="BI121" s="18">
        <f>IF($A121="","",IF(AND($I121&lt;&gt;"",$J121&lt;&gt;""),MAX(1,($J121-$I121)/7),Templates!$B$39))</f>
        <v/>
      </c>
      <c r="BJ121" s="18">
        <f>IF(OR($A121="",$BD121=0),0,($AY121*Templates!$B$27/$BE121+$AZ121*Templates!$B$28/$BF121+$BA121*Templates!$B$29/$BG121+$BB121*Templates!$B$30/$BH121+$BC121*Templates!$B$31/$BI121)/Templates!$B$17)</f>
        <v/>
      </c>
      <c r="BK121" s="18">
        <f>IF(OR($A121="",$BD121=0),0,($AY121*Templates!$C$27/$BE121+$AZ121*Templates!$C$28/$BF121+$BA121*Templates!$C$29/$BG121+$BB121*Templates!$C$30/$BH121+$BC121*Templates!$C$31/$BI121)/Templates!$B$18)</f>
        <v/>
      </c>
      <c r="BL121" s="18">
        <f>IF(OR($A121="",$BD121=0),0,($AY121*Templates!$D$27/$BE121+$AZ121*Templates!$D$28/$BF121+$BA121*Templates!$D$29/$BG121+$BB121*Templates!$D$30/$BH121+$BC121*Templates!$D$31/$BI121)/Templates!$B$19)</f>
        <v/>
      </c>
      <c r="BM121" s="18">
        <f>IF(OR($A121="",$BD121=0),0,($AY121*Templates!$E$27/$BE121+$AZ121*Templates!$E$28/$BF121+$BA121*Templates!$E$29/$BG121+$BB121*Templates!$E$30/$BH121+$BC121*Templates!$E$31/$BI121)/Templates!$B$20)</f>
        <v/>
      </c>
      <c r="BN121" s="18">
        <f>IF(OR($A121="",$BD121=0),0,($AY121*Templates!$F$27/$BE121+$AZ121*Templates!$F$28/$BF121+$BA121*Templates!$F$29/$BG121+$BB121*Templates!$F$30/$BH121+$BC121*Templates!$F$31/$BI121)/Templates!$B$21)</f>
        <v/>
      </c>
      <c r="BO121" s="18">
        <f>IF(OR($A121="",$BD121=0),0,($AY121*Templates!$G$27/$BE121+$AZ121*Templates!$G$28/$BF121+$BA121*Templates!$G$29/$BG121+$BB121*Templates!$G$30/$BH121+$BC121*Templates!$G$31/$BI121)/Templates!$B$22)</f>
        <v/>
      </c>
      <c r="BP121" s="18">
        <f>IF(OR($A121="",$BD121=0),0,($AY121*Templates!$H$27/$BE121+$AZ121*Templates!$H$28/$BF121+$BA121*Templates!$H$29/$BG121+$BB121*Templates!$H$30/$BH121+$BC121*Templates!$H$31/$BI121)/Templates!$B$23)</f>
        <v/>
      </c>
    </row>
    <row r="122">
      <c r="A122" s="28" t="inlineStr">
        <is>
          <t>Neutrino_1</t>
        </is>
      </c>
      <c r="B122" s="20" t="inlineStr">
        <is>
          <t>Solertia MGA Ltd.</t>
        </is>
      </c>
      <c r="C122" s="28" t="inlineStr">
        <is>
          <t>Solertia MGA Ltd.</t>
        </is>
      </c>
      <c r="D122" s="28" t="inlineStr"/>
      <c r="E122" s="28" t="inlineStr">
        <is>
          <t>No</t>
        </is>
      </c>
      <c r="F122" s="28" t="inlineStr">
        <is>
          <t>Active</t>
        </is>
      </c>
      <c r="G122" s="38" t="n"/>
      <c r="H122" s="29" t="n">
        <v>1</v>
      </c>
      <c r="I122" s="39" t="n"/>
      <c r="J122" s="39" t="n"/>
      <c r="K122" s="31" t="n"/>
      <c r="L122" s="31" t="n"/>
      <c r="M122" s="31" t="n"/>
      <c r="N122" s="31" t="n"/>
      <c r="O122" s="31" t="n"/>
      <c r="P122" s="31" t="n"/>
      <c r="Q122" s="23">
        <f>IF($A122="","",COUNTIFS(Assignments!$C$2:$C$769,$A122,Assignments!$G$2:$G$769,"Active"))</f>
        <v/>
      </c>
      <c r="R122" s="32">
        <f>IF($A122="","",SUMIFS(Assignments!$I$2:$I$769,Assignments!$C$2:$C$769,$A122,Assignments!$G$2:$G$769,"Active"))</f>
        <v/>
      </c>
      <c r="S122" s="20" t="inlineStr">
        <is>
          <t>WIP</t>
        </is>
      </c>
      <c r="T122" s="31" t="n"/>
      <c r="U122" s="38" t="n"/>
      <c r="V122" s="34">
        <f>IF($U122="","",IFERROR(INDEX(Templates!$K$3:$K$10,MATCH($U122,Templates!$A$3:$A$10,0)),""))</f>
        <v/>
      </c>
      <c r="W122" s="34">
        <f>IF($U122="","",IFERROR(INDEX(Templates!$L$3:$L$10,MATCH($U122,Templates!$A$3:$A$10,0)),""))</f>
        <v/>
      </c>
      <c r="X122" s="21">
        <f>IF($U122="","",IFERROR(INDEX(Templates!$J$3:$J$10,MATCH($U122,Templates!$A$3:$A$10,0)),""))</f>
        <v/>
      </c>
      <c r="Y122" s="35">
        <f>IF(OR($U122="",$I122="",$J122="",$X122=""),"",$I122+$X122*($J122-$I122))</f>
        <v/>
      </c>
      <c r="Z122" s="30" t="n">
        <v>46212</v>
      </c>
      <c r="AA122" s="40" t="n"/>
      <c r="AB122" s="41" t="n"/>
      <c r="AC122" s="41" t="n"/>
      <c r="AD122" s="19">
        <f>IF($A122="","",IF($AA122="",$H122,$AA122))</f>
        <v/>
      </c>
      <c r="AE122" s="35">
        <f>IF($A122="","",IF($AB122="",$I122,$AB122))</f>
        <v/>
      </c>
      <c r="AF122" s="35">
        <f>IF($A122="","",IF($AC122="",$J122,$AC122))</f>
        <v/>
      </c>
      <c r="AG122" s="35">
        <f>IF(OR($U122="",$AE122="",$AF122="",$X122=""),"",$AE122+$X122*($AF122-$AE122))</f>
        <v/>
      </c>
      <c r="AH122" s="38" t="n"/>
      <c r="AI122" s="38" t="n"/>
      <c r="AJ122" s="38" t="n"/>
      <c r="AK122" s="38" t="n"/>
      <c r="AL122" s="38" t="n"/>
      <c r="AM122" s="38" t="n"/>
      <c r="AN122" s="38" t="n"/>
      <c r="AO122" s="38" t="n"/>
      <c r="AP122" s="38" t="n"/>
      <c r="AQ122" s="38" t="n"/>
      <c r="AR122" s="38" t="n"/>
      <c r="AS122" s="38" t="n"/>
      <c r="AT122" s="38" t="n"/>
      <c r="AU122" s="38" t="n"/>
      <c r="AV122" s="38" t="n"/>
      <c r="AW122" s="38" t="n"/>
      <c r="AX122" s="38" t="n"/>
      <c r="AY122" s="42" t="n"/>
      <c r="AZ122" s="42" t="n"/>
      <c r="BA122" s="42" t="n"/>
      <c r="BB122" s="42" t="n"/>
      <c r="BC122" s="42" t="n"/>
      <c r="BD122" s="37">
        <f>IF($A122="","",SUM($AY122:$BC122))</f>
        <v/>
      </c>
      <c r="BE122" s="18">
        <f>IF($A122="","",IF(AND($I122&lt;&gt;"",$J122&lt;&gt;""),MAX(1,($J122-$I122)/7),Templates!$B$35))</f>
        <v/>
      </c>
      <c r="BF122" s="18">
        <f>IF($A122="","",IF(AND($I122&lt;&gt;"",$J122&lt;&gt;""),MAX(1,($J122-$I122)/7),Templates!$B$36))</f>
        <v/>
      </c>
      <c r="BG122" s="18">
        <f>IF($A122="","",IF(AND($I122&lt;&gt;"",$J122&lt;&gt;""),MAX(1,($J122-$I122)/7),Templates!$B$37))</f>
        <v/>
      </c>
      <c r="BH122" s="18">
        <f>IF($A122="","",IF(AND($I122&lt;&gt;"",$J122&lt;&gt;""),MAX(1,($J122-$I122)/7),Templates!$B$38))</f>
        <v/>
      </c>
      <c r="BI122" s="18">
        <f>IF($A122="","",IF(AND($I122&lt;&gt;"",$J122&lt;&gt;""),MAX(1,($J122-$I122)/7),Templates!$B$39))</f>
        <v/>
      </c>
      <c r="BJ122" s="18">
        <f>IF(OR($A122="",$BD122=0),0,($AY122*Templates!$B$27/$BE122+$AZ122*Templates!$B$28/$BF122+$BA122*Templates!$B$29/$BG122+$BB122*Templates!$B$30/$BH122+$BC122*Templates!$B$31/$BI122)/Templates!$B$17)</f>
        <v/>
      </c>
      <c r="BK122" s="18">
        <f>IF(OR($A122="",$BD122=0),0,($AY122*Templates!$C$27/$BE122+$AZ122*Templates!$C$28/$BF122+$BA122*Templates!$C$29/$BG122+$BB122*Templates!$C$30/$BH122+$BC122*Templates!$C$31/$BI122)/Templates!$B$18)</f>
        <v/>
      </c>
      <c r="BL122" s="18">
        <f>IF(OR($A122="",$BD122=0),0,($AY122*Templates!$D$27/$BE122+$AZ122*Templates!$D$28/$BF122+$BA122*Templates!$D$29/$BG122+$BB122*Templates!$D$30/$BH122+$BC122*Templates!$D$31/$BI122)/Templates!$B$19)</f>
        <v/>
      </c>
      <c r="BM122" s="18">
        <f>IF(OR($A122="",$BD122=0),0,($AY122*Templates!$E$27/$BE122+$AZ122*Templates!$E$28/$BF122+$BA122*Templates!$E$29/$BG122+$BB122*Templates!$E$30/$BH122+$BC122*Templates!$E$31/$BI122)/Templates!$B$20)</f>
        <v/>
      </c>
      <c r="BN122" s="18">
        <f>IF(OR($A122="",$BD122=0),0,($AY122*Templates!$F$27/$BE122+$AZ122*Templates!$F$28/$BF122+$BA122*Templates!$F$29/$BG122+$BB122*Templates!$F$30/$BH122+$BC122*Templates!$F$31/$BI122)/Templates!$B$21)</f>
        <v/>
      </c>
      <c r="BO122" s="18">
        <f>IF(OR($A122="",$BD122=0),0,($AY122*Templates!$G$27/$BE122+$AZ122*Templates!$G$28/$BF122+$BA122*Templates!$G$29/$BG122+$BB122*Templates!$G$30/$BH122+$BC122*Templates!$G$31/$BI122)/Templates!$B$22)</f>
        <v/>
      </c>
      <c r="BP122" s="18">
        <f>IF(OR($A122="",$BD122=0),0,($AY122*Templates!$H$27/$BE122+$AZ122*Templates!$H$28/$BF122+$BA122*Templates!$H$29/$BG122+$BB122*Templates!$H$30/$BH122+$BC122*Templates!$H$31/$BI122)/Templates!$B$23)</f>
        <v/>
      </c>
    </row>
    <row r="123">
      <c r="A123" s="28" t="inlineStr">
        <is>
          <t>Nevada_1</t>
        </is>
      </c>
      <c r="B123" s="20" t="inlineStr">
        <is>
          <t>CrossCountry Consulting</t>
        </is>
      </c>
      <c r="C123" s="28" t="inlineStr">
        <is>
          <t>CrossCountry Consulting</t>
        </is>
      </c>
      <c r="D123" s="28" t="inlineStr"/>
      <c r="E123" s="28" t="inlineStr">
        <is>
          <t>No</t>
        </is>
      </c>
      <c r="F123" s="28" t="inlineStr">
        <is>
          <t>Active</t>
        </is>
      </c>
      <c r="G123" s="38" t="n"/>
      <c r="H123" s="29" t="n">
        <v>1</v>
      </c>
      <c r="I123" s="39" t="n"/>
      <c r="J123" s="39" t="n"/>
      <c r="K123" s="31" t="n"/>
      <c r="L123" s="31" t="n"/>
      <c r="M123" s="31" t="n"/>
      <c r="N123" s="31" t="n"/>
      <c r="O123" s="31" t="n"/>
      <c r="P123" s="31" t="n"/>
      <c r="Q123" s="23">
        <f>IF($A123="","",COUNTIFS(Assignments!$C$2:$C$769,$A123,Assignments!$G$2:$G$769,"Active"))</f>
        <v/>
      </c>
      <c r="R123" s="32">
        <f>IF($A123="","",SUMIFS(Assignments!$I$2:$I$769,Assignments!$C$2:$C$769,$A123,Assignments!$G$2:$G$769,"Active"))</f>
        <v/>
      </c>
      <c r="S123" s="20" t="inlineStr">
        <is>
          <t>WIP</t>
        </is>
      </c>
      <c r="T123" s="31" t="n"/>
      <c r="U123" s="38" t="n"/>
      <c r="V123" s="34">
        <f>IF($U123="","",IFERROR(INDEX(Templates!$K$3:$K$10,MATCH($U123,Templates!$A$3:$A$10,0)),""))</f>
        <v/>
      </c>
      <c r="W123" s="34">
        <f>IF($U123="","",IFERROR(INDEX(Templates!$L$3:$L$10,MATCH($U123,Templates!$A$3:$A$10,0)),""))</f>
        <v/>
      </c>
      <c r="X123" s="21">
        <f>IF($U123="","",IFERROR(INDEX(Templates!$J$3:$J$10,MATCH($U123,Templates!$A$3:$A$10,0)),""))</f>
        <v/>
      </c>
      <c r="Y123" s="35">
        <f>IF(OR($U123="",$I123="",$J123="",$X123=""),"",$I123+$X123*($J123-$I123))</f>
        <v/>
      </c>
      <c r="Z123" s="30" t="n">
        <v>46212</v>
      </c>
      <c r="AA123" s="40" t="n"/>
      <c r="AB123" s="41" t="n"/>
      <c r="AC123" s="41" t="n"/>
      <c r="AD123" s="19">
        <f>IF($A123="","",IF($AA123="",$H123,$AA123))</f>
        <v/>
      </c>
      <c r="AE123" s="35">
        <f>IF($A123="","",IF($AB123="",$I123,$AB123))</f>
        <v/>
      </c>
      <c r="AF123" s="35">
        <f>IF($A123="","",IF($AC123="",$J123,$AC123))</f>
        <v/>
      </c>
      <c r="AG123" s="35">
        <f>IF(OR($U123="",$AE123="",$AF123="",$X123=""),"",$AE123+$X123*($AF123-$AE123))</f>
        <v/>
      </c>
      <c r="AH123" s="38" t="n"/>
      <c r="AI123" s="38" t="n"/>
      <c r="AJ123" s="38" t="n"/>
      <c r="AK123" s="38" t="n"/>
      <c r="AL123" s="38" t="n"/>
      <c r="AM123" s="38" t="n"/>
      <c r="AN123" s="38" t="n"/>
      <c r="AO123" s="38" t="n"/>
      <c r="AP123" s="38" t="n"/>
      <c r="AQ123" s="38" t="n"/>
      <c r="AR123" s="38" t="n"/>
      <c r="AS123" s="38" t="n"/>
      <c r="AT123" s="38" t="n"/>
      <c r="AU123" s="38" t="n"/>
      <c r="AV123" s="38" t="n"/>
      <c r="AW123" s="38" t="n"/>
      <c r="AX123" s="38" t="n"/>
      <c r="AY123" s="42" t="n"/>
      <c r="AZ123" s="42" t="n"/>
      <c r="BA123" s="42" t="n"/>
      <c r="BB123" s="42" t="n"/>
      <c r="BC123" s="42" t="n"/>
      <c r="BD123" s="37">
        <f>IF($A123="","",SUM($AY123:$BC123))</f>
        <v/>
      </c>
      <c r="BE123" s="18">
        <f>IF($A123="","",IF(AND($I123&lt;&gt;"",$J123&lt;&gt;""),MAX(1,($J123-$I123)/7),Templates!$B$35))</f>
        <v/>
      </c>
      <c r="BF123" s="18">
        <f>IF($A123="","",IF(AND($I123&lt;&gt;"",$J123&lt;&gt;""),MAX(1,($J123-$I123)/7),Templates!$B$36))</f>
        <v/>
      </c>
      <c r="BG123" s="18">
        <f>IF($A123="","",IF(AND($I123&lt;&gt;"",$J123&lt;&gt;""),MAX(1,($J123-$I123)/7),Templates!$B$37))</f>
        <v/>
      </c>
      <c r="BH123" s="18">
        <f>IF($A123="","",IF(AND($I123&lt;&gt;"",$J123&lt;&gt;""),MAX(1,($J123-$I123)/7),Templates!$B$38))</f>
        <v/>
      </c>
      <c r="BI123" s="18">
        <f>IF($A123="","",IF(AND($I123&lt;&gt;"",$J123&lt;&gt;""),MAX(1,($J123-$I123)/7),Templates!$B$39))</f>
        <v/>
      </c>
      <c r="BJ123" s="18">
        <f>IF(OR($A123="",$BD123=0),0,($AY123*Templates!$B$27/$BE123+$AZ123*Templates!$B$28/$BF123+$BA123*Templates!$B$29/$BG123+$BB123*Templates!$B$30/$BH123+$BC123*Templates!$B$31/$BI123)/Templates!$B$17)</f>
        <v/>
      </c>
      <c r="BK123" s="18">
        <f>IF(OR($A123="",$BD123=0),0,($AY123*Templates!$C$27/$BE123+$AZ123*Templates!$C$28/$BF123+$BA123*Templates!$C$29/$BG123+$BB123*Templates!$C$30/$BH123+$BC123*Templates!$C$31/$BI123)/Templates!$B$18)</f>
        <v/>
      </c>
      <c r="BL123" s="18">
        <f>IF(OR($A123="",$BD123=0),0,($AY123*Templates!$D$27/$BE123+$AZ123*Templates!$D$28/$BF123+$BA123*Templates!$D$29/$BG123+$BB123*Templates!$D$30/$BH123+$BC123*Templates!$D$31/$BI123)/Templates!$B$19)</f>
        <v/>
      </c>
      <c r="BM123" s="18">
        <f>IF(OR($A123="",$BD123=0),0,($AY123*Templates!$E$27/$BE123+$AZ123*Templates!$E$28/$BF123+$BA123*Templates!$E$29/$BG123+$BB123*Templates!$E$30/$BH123+$BC123*Templates!$E$31/$BI123)/Templates!$B$20)</f>
        <v/>
      </c>
      <c r="BN123" s="18">
        <f>IF(OR($A123="",$BD123=0),0,($AY123*Templates!$F$27/$BE123+$AZ123*Templates!$F$28/$BF123+$BA123*Templates!$F$29/$BG123+$BB123*Templates!$F$30/$BH123+$BC123*Templates!$F$31/$BI123)/Templates!$B$21)</f>
        <v/>
      </c>
      <c r="BO123" s="18">
        <f>IF(OR($A123="",$BD123=0),0,($AY123*Templates!$G$27/$BE123+$AZ123*Templates!$G$28/$BF123+$BA123*Templates!$G$29/$BG123+$BB123*Templates!$G$30/$BH123+$BC123*Templates!$G$31/$BI123)/Templates!$B$22)</f>
        <v/>
      </c>
      <c r="BP123" s="18">
        <f>IF(OR($A123="",$BD123=0),0,($AY123*Templates!$H$27/$BE123+$AZ123*Templates!$H$28/$BF123+$BA123*Templates!$H$29/$BG123+$BB123*Templates!$H$30/$BH123+$BC123*Templates!$H$31/$BI123)/Templates!$B$23)</f>
        <v/>
      </c>
    </row>
    <row r="124">
      <c r="A124" s="28" t="inlineStr">
        <is>
          <t>New Haven_1</t>
        </is>
      </c>
      <c r="B124" s="20" t="inlineStr">
        <is>
          <t>City of New Haven</t>
        </is>
      </c>
      <c r="C124" s="28" t="inlineStr">
        <is>
          <t>City of New Haven</t>
        </is>
      </c>
      <c r="D124" s="28" t="inlineStr"/>
      <c r="E124" s="28" t="inlineStr">
        <is>
          <t>No</t>
        </is>
      </c>
      <c r="F124" s="28" t="inlineStr">
        <is>
          <t>Active</t>
        </is>
      </c>
      <c r="G124" s="38" t="n"/>
      <c r="H124" s="29" t="n">
        <v>1</v>
      </c>
      <c r="I124" s="39" t="n"/>
      <c r="J124" s="39" t="n"/>
      <c r="K124" s="31" t="n"/>
      <c r="L124" s="31" t="n"/>
      <c r="M124" s="31" t="n"/>
      <c r="N124" s="31" t="n"/>
      <c r="O124" s="31" t="n"/>
      <c r="P124" s="31" t="n"/>
      <c r="Q124" s="23">
        <f>IF($A124="","",COUNTIFS(Assignments!$C$2:$C$769,$A124,Assignments!$G$2:$G$769,"Active"))</f>
        <v/>
      </c>
      <c r="R124" s="32">
        <f>IF($A124="","",SUMIFS(Assignments!$I$2:$I$769,Assignments!$C$2:$C$769,$A124,Assignments!$G$2:$G$769,"Active"))</f>
        <v/>
      </c>
      <c r="S124" s="20" t="inlineStr">
        <is>
          <t>WIP</t>
        </is>
      </c>
      <c r="T124" s="31" t="n"/>
      <c r="U124" s="38" t="n"/>
      <c r="V124" s="34">
        <f>IF($U124="","",IFERROR(INDEX(Templates!$K$3:$K$10,MATCH($U124,Templates!$A$3:$A$10,0)),""))</f>
        <v/>
      </c>
      <c r="W124" s="34">
        <f>IF($U124="","",IFERROR(INDEX(Templates!$L$3:$L$10,MATCH($U124,Templates!$A$3:$A$10,0)),""))</f>
        <v/>
      </c>
      <c r="X124" s="21">
        <f>IF($U124="","",IFERROR(INDEX(Templates!$J$3:$J$10,MATCH($U124,Templates!$A$3:$A$10,0)),""))</f>
        <v/>
      </c>
      <c r="Y124" s="35">
        <f>IF(OR($U124="",$I124="",$J124="",$X124=""),"",$I124+$X124*($J124-$I124))</f>
        <v/>
      </c>
      <c r="Z124" s="30" t="n">
        <v>46212</v>
      </c>
      <c r="AA124" s="40" t="n"/>
      <c r="AB124" s="41" t="n"/>
      <c r="AC124" s="41" t="n"/>
      <c r="AD124" s="19">
        <f>IF($A124="","",IF($AA124="",$H124,$AA124))</f>
        <v/>
      </c>
      <c r="AE124" s="35">
        <f>IF($A124="","",IF($AB124="",$I124,$AB124))</f>
        <v/>
      </c>
      <c r="AF124" s="35">
        <f>IF($A124="","",IF($AC124="",$J124,$AC124))</f>
        <v/>
      </c>
      <c r="AG124" s="35">
        <f>IF(OR($U124="",$AE124="",$AF124="",$X124=""),"",$AE124+$X124*($AF124-$AE124))</f>
        <v/>
      </c>
      <c r="AH124" s="38" t="n"/>
      <c r="AI124" s="38" t="n"/>
      <c r="AJ124" s="38" t="n"/>
      <c r="AK124" s="38" t="n"/>
      <c r="AL124" s="38" t="n"/>
      <c r="AM124" s="38" t="n"/>
      <c r="AN124" s="38" t="n"/>
      <c r="AO124" s="38" t="n"/>
      <c r="AP124" s="38" t="n"/>
      <c r="AQ124" s="38" t="n"/>
      <c r="AR124" s="38" t="n"/>
      <c r="AS124" s="38" t="n"/>
      <c r="AT124" s="38" t="n"/>
      <c r="AU124" s="38" t="n"/>
      <c r="AV124" s="38" t="n"/>
      <c r="AW124" s="38" t="n"/>
      <c r="AX124" s="38" t="n"/>
      <c r="AY124" s="42" t="n"/>
      <c r="AZ124" s="42" t="n"/>
      <c r="BA124" s="42" t="n"/>
      <c r="BB124" s="42" t="n"/>
      <c r="BC124" s="42" t="n"/>
      <c r="BD124" s="37">
        <f>IF($A124="","",SUM($AY124:$BC124))</f>
        <v/>
      </c>
      <c r="BE124" s="18">
        <f>IF($A124="","",IF(AND($I124&lt;&gt;"",$J124&lt;&gt;""),MAX(1,($J124-$I124)/7),Templates!$B$35))</f>
        <v/>
      </c>
      <c r="BF124" s="18">
        <f>IF($A124="","",IF(AND($I124&lt;&gt;"",$J124&lt;&gt;""),MAX(1,($J124-$I124)/7),Templates!$B$36))</f>
        <v/>
      </c>
      <c r="BG124" s="18">
        <f>IF($A124="","",IF(AND($I124&lt;&gt;"",$J124&lt;&gt;""),MAX(1,($J124-$I124)/7),Templates!$B$37))</f>
        <v/>
      </c>
      <c r="BH124" s="18">
        <f>IF($A124="","",IF(AND($I124&lt;&gt;"",$J124&lt;&gt;""),MAX(1,($J124-$I124)/7),Templates!$B$38))</f>
        <v/>
      </c>
      <c r="BI124" s="18">
        <f>IF($A124="","",IF(AND($I124&lt;&gt;"",$J124&lt;&gt;""),MAX(1,($J124-$I124)/7),Templates!$B$39))</f>
        <v/>
      </c>
      <c r="BJ124" s="18">
        <f>IF(OR($A124="",$BD124=0),0,($AY124*Templates!$B$27/$BE124+$AZ124*Templates!$B$28/$BF124+$BA124*Templates!$B$29/$BG124+$BB124*Templates!$B$30/$BH124+$BC124*Templates!$B$31/$BI124)/Templates!$B$17)</f>
        <v/>
      </c>
      <c r="BK124" s="18">
        <f>IF(OR($A124="",$BD124=0),0,($AY124*Templates!$C$27/$BE124+$AZ124*Templates!$C$28/$BF124+$BA124*Templates!$C$29/$BG124+$BB124*Templates!$C$30/$BH124+$BC124*Templates!$C$31/$BI124)/Templates!$B$18)</f>
        <v/>
      </c>
      <c r="BL124" s="18">
        <f>IF(OR($A124="",$BD124=0),0,($AY124*Templates!$D$27/$BE124+$AZ124*Templates!$D$28/$BF124+$BA124*Templates!$D$29/$BG124+$BB124*Templates!$D$30/$BH124+$BC124*Templates!$D$31/$BI124)/Templates!$B$19)</f>
        <v/>
      </c>
      <c r="BM124" s="18">
        <f>IF(OR($A124="",$BD124=0),0,($AY124*Templates!$E$27/$BE124+$AZ124*Templates!$E$28/$BF124+$BA124*Templates!$E$29/$BG124+$BB124*Templates!$E$30/$BH124+$BC124*Templates!$E$31/$BI124)/Templates!$B$20)</f>
        <v/>
      </c>
      <c r="BN124" s="18">
        <f>IF(OR($A124="",$BD124=0),0,($AY124*Templates!$F$27/$BE124+$AZ124*Templates!$F$28/$BF124+$BA124*Templates!$F$29/$BG124+$BB124*Templates!$F$30/$BH124+$BC124*Templates!$F$31/$BI124)/Templates!$B$21)</f>
        <v/>
      </c>
      <c r="BO124" s="18">
        <f>IF(OR($A124="",$BD124=0),0,($AY124*Templates!$G$27/$BE124+$AZ124*Templates!$G$28/$BF124+$BA124*Templates!$G$29/$BG124+$BB124*Templates!$G$30/$BH124+$BC124*Templates!$G$31/$BI124)/Templates!$B$22)</f>
        <v/>
      </c>
      <c r="BP124" s="18">
        <f>IF(OR($A124="",$BD124=0),0,($AY124*Templates!$H$27/$BE124+$AZ124*Templates!$H$28/$BF124+$BA124*Templates!$H$29/$BG124+$BB124*Templates!$H$30/$BH124+$BC124*Templates!$H$31/$BI124)/Templates!$B$23)</f>
        <v/>
      </c>
    </row>
    <row r="125">
      <c r="A125" s="28" t="inlineStr">
        <is>
          <t>Nexus_6</t>
        </is>
      </c>
      <c r="B125" s="20" t="inlineStr">
        <is>
          <t>Beacon Software, Inc.</t>
        </is>
      </c>
      <c r="C125" s="28" t="inlineStr">
        <is>
          <t>Beacon Software, Inc.</t>
        </is>
      </c>
      <c r="D125" s="28" t="inlineStr"/>
      <c r="E125" s="28" t="inlineStr">
        <is>
          <t>No</t>
        </is>
      </c>
      <c r="F125" s="28" t="inlineStr">
        <is>
          <t>Active</t>
        </is>
      </c>
      <c r="G125" s="38" t="n"/>
      <c r="H125" s="29" t="n">
        <v>1</v>
      </c>
      <c r="I125" s="39" t="n"/>
      <c r="J125" s="39" t="n"/>
      <c r="K125" s="31" t="n"/>
      <c r="L125" s="31" t="n"/>
      <c r="M125" s="31" t="n"/>
      <c r="N125" s="31" t="n"/>
      <c r="O125" s="31" t="n"/>
      <c r="P125" s="31" t="n"/>
      <c r="Q125" s="23">
        <f>IF($A125="","",COUNTIFS(Assignments!$C$2:$C$769,$A125,Assignments!$G$2:$G$769,"Active"))</f>
        <v/>
      </c>
      <c r="R125" s="32">
        <f>IF($A125="","",SUMIFS(Assignments!$I$2:$I$769,Assignments!$C$2:$C$769,$A125,Assignments!$G$2:$G$769,"Active"))</f>
        <v/>
      </c>
      <c r="S125" s="20" t="inlineStr">
        <is>
          <t>WIP</t>
        </is>
      </c>
      <c r="T125" s="31" t="n"/>
      <c r="U125" s="38" t="n"/>
      <c r="V125" s="34">
        <f>IF($U125="","",IFERROR(INDEX(Templates!$K$3:$K$10,MATCH($U125,Templates!$A$3:$A$10,0)),""))</f>
        <v/>
      </c>
      <c r="W125" s="34">
        <f>IF($U125="","",IFERROR(INDEX(Templates!$L$3:$L$10,MATCH($U125,Templates!$A$3:$A$10,0)),""))</f>
        <v/>
      </c>
      <c r="X125" s="21">
        <f>IF($U125="","",IFERROR(INDEX(Templates!$J$3:$J$10,MATCH($U125,Templates!$A$3:$A$10,0)),""))</f>
        <v/>
      </c>
      <c r="Y125" s="35">
        <f>IF(OR($U125="",$I125="",$J125="",$X125=""),"",$I125+$X125*($J125-$I125))</f>
        <v/>
      </c>
      <c r="Z125" s="30" t="n">
        <v>46212</v>
      </c>
      <c r="AA125" s="40" t="n"/>
      <c r="AB125" s="41" t="n"/>
      <c r="AC125" s="41" t="n"/>
      <c r="AD125" s="19">
        <f>IF($A125="","",IF($AA125="",$H125,$AA125))</f>
        <v/>
      </c>
      <c r="AE125" s="35">
        <f>IF($A125="","",IF($AB125="",$I125,$AB125))</f>
        <v/>
      </c>
      <c r="AF125" s="35">
        <f>IF($A125="","",IF($AC125="",$J125,$AC125))</f>
        <v/>
      </c>
      <c r="AG125" s="35">
        <f>IF(OR($U125="",$AE125="",$AF125="",$X125=""),"",$AE125+$X125*($AF125-$AE125))</f>
        <v/>
      </c>
      <c r="AH125" s="38" t="n"/>
      <c r="AI125" s="38" t="n"/>
      <c r="AJ125" s="38" t="n"/>
      <c r="AK125" s="38" t="n"/>
      <c r="AL125" s="38" t="n"/>
      <c r="AM125" s="38" t="n"/>
      <c r="AN125" s="38" t="n"/>
      <c r="AO125" s="38" t="n"/>
      <c r="AP125" s="38" t="n"/>
      <c r="AQ125" s="38" t="n"/>
      <c r="AR125" s="38" t="n"/>
      <c r="AS125" s="38" t="n"/>
      <c r="AT125" s="38" t="n"/>
      <c r="AU125" s="38" t="n"/>
      <c r="AV125" s="38" t="n"/>
      <c r="AW125" s="38" t="n"/>
      <c r="AX125" s="38" t="n"/>
      <c r="AY125" s="42" t="n"/>
      <c r="AZ125" s="42" t="n"/>
      <c r="BA125" s="42" t="n"/>
      <c r="BB125" s="42" t="n"/>
      <c r="BC125" s="42" t="n"/>
      <c r="BD125" s="37">
        <f>IF($A125="","",SUM($AY125:$BC125))</f>
        <v/>
      </c>
      <c r="BE125" s="18">
        <f>IF($A125="","",IF(AND($I125&lt;&gt;"",$J125&lt;&gt;""),MAX(1,($J125-$I125)/7),Templates!$B$35))</f>
        <v/>
      </c>
      <c r="BF125" s="18">
        <f>IF($A125="","",IF(AND($I125&lt;&gt;"",$J125&lt;&gt;""),MAX(1,($J125-$I125)/7),Templates!$B$36))</f>
        <v/>
      </c>
      <c r="BG125" s="18">
        <f>IF($A125="","",IF(AND($I125&lt;&gt;"",$J125&lt;&gt;""),MAX(1,($J125-$I125)/7),Templates!$B$37))</f>
        <v/>
      </c>
      <c r="BH125" s="18">
        <f>IF($A125="","",IF(AND($I125&lt;&gt;"",$J125&lt;&gt;""),MAX(1,($J125-$I125)/7),Templates!$B$38))</f>
        <v/>
      </c>
      <c r="BI125" s="18">
        <f>IF($A125="","",IF(AND($I125&lt;&gt;"",$J125&lt;&gt;""),MAX(1,($J125-$I125)/7),Templates!$B$39))</f>
        <v/>
      </c>
      <c r="BJ125" s="18">
        <f>IF(OR($A125="",$BD125=0),0,($AY125*Templates!$B$27/$BE125+$AZ125*Templates!$B$28/$BF125+$BA125*Templates!$B$29/$BG125+$BB125*Templates!$B$30/$BH125+$BC125*Templates!$B$31/$BI125)/Templates!$B$17)</f>
        <v/>
      </c>
      <c r="BK125" s="18">
        <f>IF(OR($A125="",$BD125=0),0,($AY125*Templates!$C$27/$BE125+$AZ125*Templates!$C$28/$BF125+$BA125*Templates!$C$29/$BG125+$BB125*Templates!$C$30/$BH125+$BC125*Templates!$C$31/$BI125)/Templates!$B$18)</f>
        <v/>
      </c>
      <c r="BL125" s="18">
        <f>IF(OR($A125="",$BD125=0),0,($AY125*Templates!$D$27/$BE125+$AZ125*Templates!$D$28/$BF125+$BA125*Templates!$D$29/$BG125+$BB125*Templates!$D$30/$BH125+$BC125*Templates!$D$31/$BI125)/Templates!$B$19)</f>
        <v/>
      </c>
      <c r="BM125" s="18">
        <f>IF(OR($A125="",$BD125=0),0,($AY125*Templates!$E$27/$BE125+$AZ125*Templates!$E$28/$BF125+$BA125*Templates!$E$29/$BG125+$BB125*Templates!$E$30/$BH125+$BC125*Templates!$E$31/$BI125)/Templates!$B$20)</f>
        <v/>
      </c>
      <c r="BN125" s="18">
        <f>IF(OR($A125="",$BD125=0),0,($AY125*Templates!$F$27/$BE125+$AZ125*Templates!$F$28/$BF125+$BA125*Templates!$F$29/$BG125+$BB125*Templates!$F$30/$BH125+$BC125*Templates!$F$31/$BI125)/Templates!$B$21)</f>
        <v/>
      </c>
      <c r="BO125" s="18">
        <f>IF(OR($A125="",$BD125=0),0,($AY125*Templates!$G$27/$BE125+$AZ125*Templates!$G$28/$BF125+$BA125*Templates!$G$29/$BG125+$BB125*Templates!$G$30/$BH125+$BC125*Templates!$G$31/$BI125)/Templates!$B$22)</f>
        <v/>
      </c>
      <c r="BP125" s="18">
        <f>IF(OR($A125="",$BD125=0),0,($AY125*Templates!$H$27/$BE125+$AZ125*Templates!$H$28/$BF125+$BA125*Templates!$H$29/$BG125+$BB125*Templates!$H$30/$BH125+$BC125*Templates!$H$31/$BI125)/Templates!$B$23)</f>
        <v/>
      </c>
    </row>
    <row r="126">
      <c r="A126" s="28" t="inlineStr">
        <is>
          <t>Ninedot_3</t>
        </is>
      </c>
      <c r="B126" s="20" t="inlineStr">
        <is>
          <t>The Carlyle Group : NineDot Energy</t>
        </is>
      </c>
      <c r="C126" s="28" t="inlineStr">
        <is>
          <t>The Carlyle Group</t>
        </is>
      </c>
      <c r="D126" s="28" t="inlineStr">
        <is>
          <t>NineDot Energy</t>
        </is>
      </c>
      <c r="E126" s="28" t="inlineStr">
        <is>
          <t>No</t>
        </is>
      </c>
      <c r="F126" s="28" t="inlineStr">
        <is>
          <t>Active</t>
        </is>
      </c>
      <c r="G126" s="38" t="n"/>
      <c r="H126" s="29" t="n">
        <v>1</v>
      </c>
      <c r="I126" s="39" t="n"/>
      <c r="J126" s="39" t="n"/>
      <c r="K126" s="31" t="n"/>
      <c r="L126" s="31" t="n"/>
      <c r="M126" s="31" t="n"/>
      <c r="N126" s="31" t="n"/>
      <c r="O126" s="31" t="n"/>
      <c r="P126" s="31" t="n"/>
      <c r="Q126" s="23">
        <f>IF($A126="","",COUNTIFS(Assignments!$C$2:$C$769,$A126,Assignments!$G$2:$G$769,"Active"))</f>
        <v/>
      </c>
      <c r="R126" s="32">
        <f>IF($A126="","",SUMIFS(Assignments!$I$2:$I$769,Assignments!$C$2:$C$769,$A126,Assignments!$G$2:$G$769,"Active"))</f>
        <v/>
      </c>
      <c r="S126" s="20" t="inlineStr">
        <is>
          <t>WIP</t>
        </is>
      </c>
      <c r="T126" s="31" t="n"/>
      <c r="U126" s="38" t="n"/>
      <c r="V126" s="34">
        <f>IF($U126="","",IFERROR(INDEX(Templates!$K$3:$K$10,MATCH($U126,Templates!$A$3:$A$10,0)),""))</f>
        <v/>
      </c>
      <c r="W126" s="34">
        <f>IF($U126="","",IFERROR(INDEX(Templates!$L$3:$L$10,MATCH($U126,Templates!$A$3:$A$10,0)),""))</f>
        <v/>
      </c>
      <c r="X126" s="21">
        <f>IF($U126="","",IFERROR(INDEX(Templates!$J$3:$J$10,MATCH($U126,Templates!$A$3:$A$10,0)),""))</f>
        <v/>
      </c>
      <c r="Y126" s="35">
        <f>IF(OR($U126="",$I126="",$J126="",$X126=""),"",$I126+$X126*($J126-$I126))</f>
        <v/>
      </c>
      <c r="Z126" s="30" t="n">
        <v>46212</v>
      </c>
      <c r="AA126" s="40" t="n"/>
      <c r="AB126" s="41" t="n"/>
      <c r="AC126" s="41" t="n"/>
      <c r="AD126" s="19">
        <f>IF($A126="","",IF($AA126="",$H126,$AA126))</f>
        <v/>
      </c>
      <c r="AE126" s="35">
        <f>IF($A126="","",IF($AB126="",$I126,$AB126))</f>
        <v/>
      </c>
      <c r="AF126" s="35">
        <f>IF($A126="","",IF($AC126="",$J126,$AC126))</f>
        <v/>
      </c>
      <c r="AG126" s="35">
        <f>IF(OR($U126="",$AE126="",$AF126="",$X126=""),"",$AE126+$X126*($AF126-$AE126))</f>
        <v/>
      </c>
      <c r="AH126" s="38" t="n"/>
      <c r="AI126" s="38" t="n"/>
      <c r="AJ126" s="38" t="n"/>
      <c r="AK126" s="38" t="n"/>
      <c r="AL126" s="38" t="n"/>
      <c r="AM126" s="38" t="n"/>
      <c r="AN126" s="38" t="n"/>
      <c r="AO126" s="38" t="n"/>
      <c r="AP126" s="38" t="n"/>
      <c r="AQ126" s="38" t="n"/>
      <c r="AR126" s="38" t="n"/>
      <c r="AS126" s="38" t="n"/>
      <c r="AT126" s="38" t="n"/>
      <c r="AU126" s="38" t="n"/>
      <c r="AV126" s="38" t="n"/>
      <c r="AW126" s="38" t="n"/>
      <c r="AX126" s="38" t="n"/>
      <c r="AY126" s="42" t="n"/>
      <c r="AZ126" s="42" t="n"/>
      <c r="BA126" s="42" t="n"/>
      <c r="BB126" s="42" t="n"/>
      <c r="BC126" s="42" t="n"/>
      <c r="BD126" s="37">
        <f>IF($A126="","",SUM($AY126:$BC126))</f>
        <v/>
      </c>
      <c r="BE126" s="18">
        <f>IF($A126="","",IF(AND($I126&lt;&gt;"",$J126&lt;&gt;""),MAX(1,($J126-$I126)/7),Templates!$B$35))</f>
        <v/>
      </c>
      <c r="BF126" s="18">
        <f>IF($A126="","",IF(AND($I126&lt;&gt;"",$J126&lt;&gt;""),MAX(1,($J126-$I126)/7),Templates!$B$36))</f>
        <v/>
      </c>
      <c r="BG126" s="18">
        <f>IF($A126="","",IF(AND($I126&lt;&gt;"",$J126&lt;&gt;""),MAX(1,($J126-$I126)/7),Templates!$B$37))</f>
        <v/>
      </c>
      <c r="BH126" s="18">
        <f>IF($A126="","",IF(AND($I126&lt;&gt;"",$J126&lt;&gt;""),MAX(1,($J126-$I126)/7),Templates!$B$38))</f>
        <v/>
      </c>
      <c r="BI126" s="18">
        <f>IF($A126="","",IF(AND($I126&lt;&gt;"",$J126&lt;&gt;""),MAX(1,($J126-$I126)/7),Templates!$B$39))</f>
        <v/>
      </c>
      <c r="BJ126" s="18">
        <f>IF(OR($A126="",$BD126=0),0,($AY126*Templates!$B$27/$BE126+$AZ126*Templates!$B$28/$BF126+$BA126*Templates!$B$29/$BG126+$BB126*Templates!$B$30/$BH126+$BC126*Templates!$B$31/$BI126)/Templates!$B$17)</f>
        <v/>
      </c>
      <c r="BK126" s="18">
        <f>IF(OR($A126="",$BD126=0),0,($AY126*Templates!$C$27/$BE126+$AZ126*Templates!$C$28/$BF126+$BA126*Templates!$C$29/$BG126+$BB126*Templates!$C$30/$BH126+$BC126*Templates!$C$31/$BI126)/Templates!$B$18)</f>
        <v/>
      </c>
      <c r="BL126" s="18">
        <f>IF(OR($A126="",$BD126=0),0,($AY126*Templates!$D$27/$BE126+$AZ126*Templates!$D$28/$BF126+$BA126*Templates!$D$29/$BG126+$BB126*Templates!$D$30/$BH126+$BC126*Templates!$D$31/$BI126)/Templates!$B$19)</f>
        <v/>
      </c>
      <c r="BM126" s="18">
        <f>IF(OR($A126="",$BD126=0),0,($AY126*Templates!$E$27/$BE126+$AZ126*Templates!$E$28/$BF126+$BA126*Templates!$E$29/$BG126+$BB126*Templates!$E$30/$BH126+$BC126*Templates!$E$31/$BI126)/Templates!$B$20)</f>
        <v/>
      </c>
      <c r="BN126" s="18">
        <f>IF(OR($A126="",$BD126=0),0,($AY126*Templates!$F$27/$BE126+$AZ126*Templates!$F$28/$BF126+$BA126*Templates!$F$29/$BG126+$BB126*Templates!$F$30/$BH126+$BC126*Templates!$F$31/$BI126)/Templates!$B$21)</f>
        <v/>
      </c>
      <c r="BO126" s="18">
        <f>IF(OR($A126="",$BD126=0),0,($AY126*Templates!$G$27/$BE126+$AZ126*Templates!$G$28/$BF126+$BA126*Templates!$G$29/$BG126+$BB126*Templates!$G$30/$BH126+$BC126*Templates!$G$31/$BI126)/Templates!$B$22)</f>
        <v/>
      </c>
      <c r="BP126" s="18">
        <f>IF(OR($A126="",$BD126=0),0,($AY126*Templates!$H$27/$BE126+$AZ126*Templates!$H$28/$BF126+$BA126*Templates!$H$29/$BG126+$BB126*Templates!$H$30/$BH126+$BC126*Templates!$H$31/$BI126)/Templates!$B$23)</f>
        <v/>
      </c>
    </row>
    <row r="127">
      <c r="A127" s="28" t="inlineStr">
        <is>
          <t>NXT Add_1</t>
        </is>
      </c>
      <c r="B127" s="20" t="inlineStr">
        <is>
          <t>NXT Vacation Management LLC</t>
        </is>
      </c>
      <c r="C127" s="28" t="inlineStr">
        <is>
          <t>NXT Vacation Management LLC</t>
        </is>
      </c>
      <c r="D127" s="28" t="inlineStr"/>
      <c r="E127" s="28" t="inlineStr">
        <is>
          <t>No</t>
        </is>
      </c>
      <c r="F127" s="28" t="inlineStr">
        <is>
          <t>Active</t>
        </is>
      </c>
      <c r="G127" s="38" t="n"/>
      <c r="H127" s="29" t="n">
        <v>1</v>
      </c>
      <c r="I127" s="39" t="n"/>
      <c r="J127" s="39" t="n"/>
      <c r="K127" s="31" t="n"/>
      <c r="L127" s="31" t="n"/>
      <c r="M127" s="31" t="n"/>
      <c r="N127" s="31" t="n"/>
      <c r="O127" s="31" t="n"/>
      <c r="P127" s="31" t="n"/>
      <c r="Q127" s="23">
        <f>IF($A127="","",COUNTIFS(Assignments!$C$2:$C$769,$A127,Assignments!$G$2:$G$769,"Active"))</f>
        <v/>
      </c>
      <c r="R127" s="32">
        <f>IF($A127="","",SUMIFS(Assignments!$I$2:$I$769,Assignments!$C$2:$C$769,$A127,Assignments!$G$2:$G$769,"Active"))</f>
        <v/>
      </c>
      <c r="S127" s="20" t="inlineStr">
        <is>
          <t>WIP</t>
        </is>
      </c>
      <c r="T127" s="31" t="n"/>
      <c r="U127" s="38" t="n"/>
      <c r="V127" s="34">
        <f>IF($U127="","",IFERROR(INDEX(Templates!$K$3:$K$10,MATCH($U127,Templates!$A$3:$A$10,0)),""))</f>
        <v/>
      </c>
      <c r="W127" s="34">
        <f>IF($U127="","",IFERROR(INDEX(Templates!$L$3:$L$10,MATCH($U127,Templates!$A$3:$A$10,0)),""))</f>
        <v/>
      </c>
      <c r="X127" s="21">
        <f>IF($U127="","",IFERROR(INDEX(Templates!$J$3:$J$10,MATCH($U127,Templates!$A$3:$A$10,0)),""))</f>
        <v/>
      </c>
      <c r="Y127" s="35">
        <f>IF(OR($U127="",$I127="",$J127="",$X127=""),"",$I127+$X127*($J127-$I127))</f>
        <v/>
      </c>
      <c r="Z127" s="30" t="n">
        <v>46212</v>
      </c>
      <c r="AA127" s="40" t="n"/>
      <c r="AB127" s="41" t="n"/>
      <c r="AC127" s="41" t="n"/>
      <c r="AD127" s="19">
        <f>IF($A127="","",IF($AA127="",$H127,$AA127))</f>
        <v/>
      </c>
      <c r="AE127" s="35">
        <f>IF($A127="","",IF($AB127="",$I127,$AB127))</f>
        <v/>
      </c>
      <c r="AF127" s="35">
        <f>IF($A127="","",IF($AC127="",$J127,$AC127))</f>
        <v/>
      </c>
      <c r="AG127" s="35">
        <f>IF(OR($U127="",$AE127="",$AF127="",$X127=""),"",$AE127+$X127*($AF127-$AE127))</f>
        <v/>
      </c>
      <c r="AH127" s="38" t="n"/>
      <c r="AI127" s="38" t="n"/>
      <c r="AJ127" s="38" t="n"/>
      <c r="AK127" s="38" t="n"/>
      <c r="AL127" s="38" t="n"/>
      <c r="AM127" s="38" t="n"/>
      <c r="AN127" s="38" t="n"/>
      <c r="AO127" s="38" t="n"/>
      <c r="AP127" s="38" t="n"/>
      <c r="AQ127" s="38" t="n"/>
      <c r="AR127" s="38" t="n"/>
      <c r="AS127" s="38" t="n"/>
      <c r="AT127" s="38" t="n"/>
      <c r="AU127" s="38" t="n"/>
      <c r="AV127" s="38" t="n"/>
      <c r="AW127" s="38" t="n"/>
      <c r="AX127" s="38" t="n"/>
      <c r="AY127" s="42" t="n"/>
      <c r="AZ127" s="42" t="n"/>
      <c r="BA127" s="42" t="n"/>
      <c r="BB127" s="42" t="n"/>
      <c r="BC127" s="42" t="n"/>
      <c r="BD127" s="37">
        <f>IF($A127="","",SUM($AY127:$BC127))</f>
        <v/>
      </c>
      <c r="BE127" s="18">
        <f>IF($A127="","",IF(AND($I127&lt;&gt;"",$J127&lt;&gt;""),MAX(1,($J127-$I127)/7),Templates!$B$35))</f>
        <v/>
      </c>
      <c r="BF127" s="18">
        <f>IF($A127="","",IF(AND($I127&lt;&gt;"",$J127&lt;&gt;""),MAX(1,($J127-$I127)/7),Templates!$B$36))</f>
        <v/>
      </c>
      <c r="BG127" s="18">
        <f>IF($A127="","",IF(AND($I127&lt;&gt;"",$J127&lt;&gt;""),MAX(1,($J127-$I127)/7),Templates!$B$37))</f>
        <v/>
      </c>
      <c r="BH127" s="18">
        <f>IF($A127="","",IF(AND($I127&lt;&gt;"",$J127&lt;&gt;""),MAX(1,($J127-$I127)/7),Templates!$B$38))</f>
        <v/>
      </c>
      <c r="BI127" s="18">
        <f>IF($A127="","",IF(AND($I127&lt;&gt;"",$J127&lt;&gt;""),MAX(1,($J127-$I127)/7),Templates!$B$39))</f>
        <v/>
      </c>
      <c r="BJ127" s="18">
        <f>IF(OR($A127="",$BD127=0),0,($AY127*Templates!$B$27/$BE127+$AZ127*Templates!$B$28/$BF127+$BA127*Templates!$B$29/$BG127+$BB127*Templates!$B$30/$BH127+$BC127*Templates!$B$31/$BI127)/Templates!$B$17)</f>
        <v/>
      </c>
      <c r="BK127" s="18">
        <f>IF(OR($A127="",$BD127=0),0,($AY127*Templates!$C$27/$BE127+$AZ127*Templates!$C$28/$BF127+$BA127*Templates!$C$29/$BG127+$BB127*Templates!$C$30/$BH127+$BC127*Templates!$C$31/$BI127)/Templates!$B$18)</f>
        <v/>
      </c>
      <c r="BL127" s="18">
        <f>IF(OR($A127="",$BD127=0),0,($AY127*Templates!$D$27/$BE127+$AZ127*Templates!$D$28/$BF127+$BA127*Templates!$D$29/$BG127+$BB127*Templates!$D$30/$BH127+$BC127*Templates!$D$31/$BI127)/Templates!$B$19)</f>
        <v/>
      </c>
      <c r="BM127" s="18">
        <f>IF(OR($A127="",$BD127=0),0,($AY127*Templates!$E$27/$BE127+$AZ127*Templates!$E$28/$BF127+$BA127*Templates!$E$29/$BG127+$BB127*Templates!$E$30/$BH127+$BC127*Templates!$E$31/$BI127)/Templates!$B$20)</f>
        <v/>
      </c>
      <c r="BN127" s="18">
        <f>IF(OR($A127="",$BD127=0),0,($AY127*Templates!$F$27/$BE127+$AZ127*Templates!$F$28/$BF127+$BA127*Templates!$F$29/$BG127+$BB127*Templates!$F$30/$BH127+$BC127*Templates!$F$31/$BI127)/Templates!$B$21)</f>
        <v/>
      </c>
      <c r="BO127" s="18">
        <f>IF(OR($A127="",$BD127=0),0,($AY127*Templates!$G$27/$BE127+$AZ127*Templates!$G$28/$BF127+$BA127*Templates!$G$29/$BG127+$BB127*Templates!$G$30/$BH127+$BC127*Templates!$G$31/$BI127)/Templates!$B$22)</f>
        <v/>
      </c>
      <c r="BP127" s="18">
        <f>IF(OR($A127="",$BD127=0),0,($AY127*Templates!$H$27/$BE127+$AZ127*Templates!$H$28/$BF127+$BA127*Templates!$H$29/$BG127+$BB127*Templates!$H$30/$BH127+$BC127*Templates!$H$31/$BI127)/Templates!$B$23)</f>
        <v/>
      </c>
    </row>
    <row r="128">
      <c r="A128" s="28" t="inlineStr">
        <is>
          <t>Octopus Post-close_1</t>
        </is>
      </c>
      <c r="B128" s="20" t="inlineStr">
        <is>
          <t>Octopus Energy Generation</t>
        </is>
      </c>
      <c r="C128" s="28" t="inlineStr">
        <is>
          <t>Octopus Energy Generation</t>
        </is>
      </c>
      <c r="D128" s="28" t="inlineStr"/>
      <c r="E128" s="28" t="inlineStr">
        <is>
          <t>No</t>
        </is>
      </c>
      <c r="F128" s="28" t="inlineStr">
        <is>
          <t>Active</t>
        </is>
      </c>
      <c r="G128" s="38" t="n"/>
      <c r="H128" s="29" t="n">
        <v>1</v>
      </c>
      <c r="I128" s="39" t="n"/>
      <c r="J128" s="39" t="n"/>
      <c r="K128" s="31" t="n"/>
      <c r="L128" s="31" t="n"/>
      <c r="M128" s="31" t="n"/>
      <c r="N128" s="31" t="n"/>
      <c r="O128" s="31" t="n"/>
      <c r="P128" s="31" t="n"/>
      <c r="Q128" s="23">
        <f>IF($A128="","",COUNTIFS(Assignments!$C$2:$C$769,$A128,Assignments!$G$2:$G$769,"Active"))</f>
        <v/>
      </c>
      <c r="R128" s="32">
        <f>IF($A128="","",SUMIFS(Assignments!$I$2:$I$769,Assignments!$C$2:$C$769,$A128,Assignments!$G$2:$G$769,"Active"))</f>
        <v/>
      </c>
      <c r="S128" s="20" t="inlineStr">
        <is>
          <t>WIP</t>
        </is>
      </c>
      <c r="T128" s="31" t="n"/>
      <c r="U128" s="38" t="n"/>
      <c r="V128" s="34">
        <f>IF($U128="","",IFERROR(INDEX(Templates!$K$3:$K$10,MATCH($U128,Templates!$A$3:$A$10,0)),""))</f>
        <v/>
      </c>
      <c r="W128" s="34">
        <f>IF($U128="","",IFERROR(INDEX(Templates!$L$3:$L$10,MATCH($U128,Templates!$A$3:$A$10,0)),""))</f>
        <v/>
      </c>
      <c r="X128" s="21">
        <f>IF($U128="","",IFERROR(INDEX(Templates!$J$3:$J$10,MATCH($U128,Templates!$A$3:$A$10,0)),""))</f>
        <v/>
      </c>
      <c r="Y128" s="35">
        <f>IF(OR($U128="",$I128="",$J128="",$X128=""),"",$I128+$X128*($J128-$I128))</f>
        <v/>
      </c>
      <c r="Z128" s="30" t="n">
        <v>46212</v>
      </c>
      <c r="AA128" s="40" t="n"/>
      <c r="AB128" s="41" t="n"/>
      <c r="AC128" s="41" t="n"/>
      <c r="AD128" s="19">
        <f>IF($A128="","",IF($AA128="",$H128,$AA128))</f>
        <v/>
      </c>
      <c r="AE128" s="35">
        <f>IF($A128="","",IF($AB128="",$I128,$AB128))</f>
        <v/>
      </c>
      <c r="AF128" s="35">
        <f>IF($A128="","",IF($AC128="",$J128,$AC128))</f>
        <v/>
      </c>
      <c r="AG128" s="35">
        <f>IF(OR($U128="",$AE128="",$AF128="",$X128=""),"",$AE128+$X128*($AF128-$AE128))</f>
        <v/>
      </c>
      <c r="AH128" s="38" t="n"/>
      <c r="AI128" s="38" t="n"/>
      <c r="AJ128" s="38" t="n"/>
      <c r="AK128" s="38" t="n"/>
      <c r="AL128" s="38" t="n"/>
      <c r="AM128" s="38" t="n"/>
      <c r="AN128" s="38" t="n"/>
      <c r="AO128" s="38" t="n"/>
      <c r="AP128" s="38" t="n"/>
      <c r="AQ128" s="38" t="n"/>
      <c r="AR128" s="38" t="n"/>
      <c r="AS128" s="38" t="n"/>
      <c r="AT128" s="38" t="n"/>
      <c r="AU128" s="38" t="n"/>
      <c r="AV128" s="38" t="n"/>
      <c r="AW128" s="38" t="n"/>
      <c r="AX128" s="38" t="n"/>
      <c r="AY128" s="42" t="n"/>
      <c r="AZ128" s="42" t="n"/>
      <c r="BA128" s="42" t="n"/>
      <c r="BB128" s="42" t="n"/>
      <c r="BC128" s="42" t="n"/>
      <c r="BD128" s="37">
        <f>IF($A128="","",SUM($AY128:$BC128))</f>
        <v/>
      </c>
      <c r="BE128" s="18">
        <f>IF($A128="","",IF(AND($I128&lt;&gt;"",$J128&lt;&gt;""),MAX(1,($J128-$I128)/7),Templates!$B$35))</f>
        <v/>
      </c>
      <c r="BF128" s="18">
        <f>IF($A128="","",IF(AND($I128&lt;&gt;"",$J128&lt;&gt;""),MAX(1,($J128-$I128)/7),Templates!$B$36))</f>
        <v/>
      </c>
      <c r="BG128" s="18">
        <f>IF($A128="","",IF(AND($I128&lt;&gt;"",$J128&lt;&gt;""),MAX(1,($J128-$I128)/7),Templates!$B$37))</f>
        <v/>
      </c>
      <c r="BH128" s="18">
        <f>IF($A128="","",IF(AND($I128&lt;&gt;"",$J128&lt;&gt;""),MAX(1,($J128-$I128)/7),Templates!$B$38))</f>
        <v/>
      </c>
      <c r="BI128" s="18">
        <f>IF($A128="","",IF(AND($I128&lt;&gt;"",$J128&lt;&gt;""),MAX(1,($J128-$I128)/7),Templates!$B$39))</f>
        <v/>
      </c>
      <c r="BJ128" s="18">
        <f>IF(OR($A128="",$BD128=0),0,($AY128*Templates!$B$27/$BE128+$AZ128*Templates!$B$28/$BF128+$BA128*Templates!$B$29/$BG128+$BB128*Templates!$B$30/$BH128+$BC128*Templates!$B$31/$BI128)/Templates!$B$17)</f>
        <v/>
      </c>
      <c r="BK128" s="18">
        <f>IF(OR($A128="",$BD128=0),0,($AY128*Templates!$C$27/$BE128+$AZ128*Templates!$C$28/$BF128+$BA128*Templates!$C$29/$BG128+$BB128*Templates!$C$30/$BH128+$BC128*Templates!$C$31/$BI128)/Templates!$B$18)</f>
        <v/>
      </c>
      <c r="BL128" s="18">
        <f>IF(OR($A128="",$BD128=0),0,($AY128*Templates!$D$27/$BE128+$AZ128*Templates!$D$28/$BF128+$BA128*Templates!$D$29/$BG128+$BB128*Templates!$D$30/$BH128+$BC128*Templates!$D$31/$BI128)/Templates!$B$19)</f>
        <v/>
      </c>
      <c r="BM128" s="18">
        <f>IF(OR($A128="",$BD128=0),0,($AY128*Templates!$E$27/$BE128+$AZ128*Templates!$E$28/$BF128+$BA128*Templates!$E$29/$BG128+$BB128*Templates!$E$30/$BH128+$BC128*Templates!$E$31/$BI128)/Templates!$B$20)</f>
        <v/>
      </c>
      <c r="BN128" s="18">
        <f>IF(OR($A128="",$BD128=0),0,($AY128*Templates!$F$27/$BE128+$AZ128*Templates!$F$28/$BF128+$BA128*Templates!$F$29/$BG128+$BB128*Templates!$F$30/$BH128+$BC128*Templates!$F$31/$BI128)/Templates!$B$21)</f>
        <v/>
      </c>
      <c r="BO128" s="18">
        <f>IF(OR($A128="",$BD128=0),0,($AY128*Templates!$G$27/$BE128+$AZ128*Templates!$G$28/$BF128+$BA128*Templates!$G$29/$BG128+$BB128*Templates!$G$30/$BH128+$BC128*Templates!$G$31/$BI128)/Templates!$B$22)</f>
        <v/>
      </c>
      <c r="BP128" s="18">
        <f>IF(OR($A128="",$BD128=0),0,($AY128*Templates!$H$27/$BE128+$AZ128*Templates!$H$28/$BF128+$BA128*Templates!$H$29/$BG128+$BB128*Templates!$H$30/$BH128+$BC128*Templates!$H$31/$BI128)/Templates!$B$23)</f>
        <v/>
      </c>
    </row>
    <row r="129">
      <c r="A129" s="28" t="inlineStr">
        <is>
          <t>Odysee/Atlas_2</t>
        </is>
      </c>
      <c r="B129" s="20" t="inlineStr">
        <is>
          <t>Eight Advisory</t>
        </is>
      </c>
      <c r="C129" s="28" t="inlineStr">
        <is>
          <t>Eight Advisory</t>
        </is>
      </c>
      <c r="D129" s="28" t="inlineStr"/>
      <c r="E129" s="28" t="inlineStr">
        <is>
          <t>No</t>
        </is>
      </c>
      <c r="F129" s="28" t="inlineStr">
        <is>
          <t>Active</t>
        </is>
      </c>
      <c r="G129" s="38" t="n"/>
      <c r="H129" s="29" t="n">
        <v>1</v>
      </c>
      <c r="I129" s="39" t="n"/>
      <c r="J129" s="39" t="n"/>
      <c r="K129" s="31" t="n"/>
      <c r="L129" s="31" t="n"/>
      <c r="M129" s="31" t="n"/>
      <c r="N129" s="31" t="n"/>
      <c r="O129" s="31" t="n"/>
      <c r="P129" s="31" t="n"/>
      <c r="Q129" s="23">
        <f>IF($A129="","",COUNTIFS(Assignments!$C$2:$C$769,$A129,Assignments!$G$2:$G$769,"Active"))</f>
        <v/>
      </c>
      <c r="R129" s="32">
        <f>IF($A129="","",SUMIFS(Assignments!$I$2:$I$769,Assignments!$C$2:$C$769,$A129,Assignments!$G$2:$G$769,"Active"))</f>
        <v/>
      </c>
      <c r="S129" s="20" t="inlineStr">
        <is>
          <t>WIP</t>
        </is>
      </c>
      <c r="T129" s="31" t="n"/>
      <c r="U129" s="38" t="n"/>
      <c r="V129" s="34">
        <f>IF($U129="","",IFERROR(INDEX(Templates!$K$3:$K$10,MATCH($U129,Templates!$A$3:$A$10,0)),""))</f>
        <v/>
      </c>
      <c r="W129" s="34">
        <f>IF($U129="","",IFERROR(INDEX(Templates!$L$3:$L$10,MATCH($U129,Templates!$A$3:$A$10,0)),""))</f>
        <v/>
      </c>
      <c r="X129" s="21">
        <f>IF($U129="","",IFERROR(INDEX(Templates!$J$3:$J$10,MATCH($U129,Templates!$A$3:$A$10,0)),""))</f>
        <v/>
      </c>
      <c r="Y129" s="35">
        <f>IF(OR($U129="",$I129="",$J129="",$X129=""),"",$I129+$X129*($J129-$I129))</f>
        <v/>
      </c>
      <c r="Z129" s="30" t="n">
        <v>46212</v>
      </c>
      <c r="AA129" s="40" t="n"/>
      <c r="AB129" s="41" t="n"/>
      <c r="AC129" s="41" t="n"/>
      <c r="AD129" s="19">
        <f>IF($A129="","",IF($AA129="",$H129,$AA129))</f>
        <v/>
      </c>
      <c r="AE129" s="35">
        <f>IF($A129="","",IF($AB129="",$I129,$AB129))</f>
        <v/>
      </c>
      <c r="AF129" s="35">
        <f>IF($A129="","",IF($AC129="",$J129,$AC129))</f>
        <v/>
      </c>
      <c r="AG129" s="35">
        <f>IF(OR($U129="",$AE129="",$AF129="",$X129=""),"",$AE129+$X129*($AF129-$AE129))</f>
        <v/>
      </c>
      <c r="AH129" s="38" t="n"/>
      <c r="AI129" s="38" t="n"/>
      <c r="AJ129" s="38" t="n"/>
      <c r="AK129" s="38" t="n"/>
      <c r="AL129" s="38" t="n"/>
      <c r="AM129" s="38" t="n"/>
      <c r="AN129" s="38" t="n"/>
      <c r="AO129" s="38" t="n"/>
      <c r="AP129" s="38" t="n"/>
      <c r="AQ129" s="38" t="n"/>
      <c r="AR129" s="38" t="n"/>
      <c r="AS129" s="38" t="n"/>
      <c r="AT129" s="38" t="n"/>
      <c r="AU129" s="38" t="n"/>
      <c r="AV129" s="38" t="n"/>
      <c r="AW129" s="38" t="n"/>
      <c r="AX129" s="38" t="n"/>
      <c r="AY129" s="42" t="n"/>
      <c r="AZ129" s="42" t="n"/>
      <c r="BA129" s="42" t="n"/>
      <c r="BB129" s="42" t="n"/>
      <c r="BC129" s="42" t="n"/>
      <c r="BD129" s="37">
        <f>IF($A129="","",SUM($AY129:$BC129))</f>
        <v/>
      </c>
      <c r="BE129" s="18">
        <f>IF($A129="","",IF(AND($I129&lt;&gt;"",$J129&lt;&gt;""),MAX(1,($J129-$I129)/7),Templates!$B$35))</f>
        <v/>
      </c>
      <c r="BF129" s="18">
        <f>IF($A129="","",IF(AND($I129&lt;&gt;"",$J129&lt;&gt;""),MAX(1,($J129-$I129)/7),Templates!$B$36))</f>
        <v/>
      </c>
      <c r="BG129" s="18">
        <f>IF($A129="","",IF(AND($I129&lt;&gt;"",$J129&lt;&gt;""),MAX(1,($J129-$I129)/7),Templates!$B$37))</f>
        <v/>
      </c>
      <c r="BH129" s="18">
        <f>IF($A129="","",IF(AND($I129&lt;&gt;"",$J129&lt;&gt;""),MAX(1,($J129-$I129)/7),Templates!$B$38))</f>
        <v/>
      </c>
      <c r="BI129" s="18">
        <f>IF($A129="","",IF(AND($I129&lt;&gt;"",$J129&lt;&gt;""),MAX(1,($J129-$I129)/7),Templates!$B$39))</f>
        <v/>
      </c>
      <c r="BJ129" s="18">
        <f>IF(OR($A129="",$BD129=0),0,($AY129*Templates!$B$27/$BE129+$AZ129*Templates!$B$28/$BF129+$BA129*Templates!$B$29/$BG129+$BB129*Templates!$B$30/$BH129+$BC129*Templates!$B$31/$BI129)/Templates!$B$17)</f>
        <v/>
      </c>
      <c r="BK129" s="18">
        <f>IF(OR($A129="",$BD129=0),0,($AY129*Templates!$C$27/$BE129+$AZ129*Templates!$C$28/$BF129+$BA129*Templates!$C$29/$BG129+$BB129*Templates!$C$30/$BH129+$BC129*Templates!$C$31/$BI129)/Templates!$B$18)</f>
        <v/>
      </c>
      <c r="BL129" s="18">
        <f>IF(OR($A129="",$BD129=0),0,($AY129*Templates!$D$27/$BE129+$AZ129*Templates!$D$28/$BF129+$BA129*Templates!$D$29/$BG129+$BB129*Templates!$D$30/$BH129+$BC129*Templates!$D$31/$BI129)/Templates!$B$19)</f>
        <v/>
      </c>
      <c r="BM129" s="18">
        <f>IF(OR($A129="",$BD129=0),0,($AY129*Templates!$E$27/$BE129+$AZ129*Templates!$E$28/$BF129+$BA129*Templates!$E$29/$BG129+$BB129*Templates!$E$30/$BH129+$BC129*Templates!$E$31/$BI129)/Templates!$B$20)</f>
        <v/>
      </c>
      <c r="BN129" s="18">
        <f>IF(OR($A129="",$BD129=0),0,($AY129*Templates!$F$27/$BE129+$AZ129*Templates!$F$28/$BF129+$BA129*Templates!$F$29/$BG129+$BB129*Templates!$F$30/$BH129+$BC129*Templates!$F$31/$BI129)/Templates!$B$21)</f>
        <v/>
      </c>
      <c r="BO129" s="18">
        <f>IF(OR($A129="",$BD129=0),0,($AY129*Templates!$G$27/$BE129+$AZ129*Templates!$G$28/$BF129+$BA129*Templates!$G$29/$BG129+$BB129*Templates!$G$30/$BH129+$BC129*Templates!$G$31/$BI129)/Templates!$B$22)</f>
        <v/>
      </c>
      <c r="BP129" s="18">
        <f>IF(OR($A129="",$BD129=0),0,($AY129*Templates!$H$27/$BE129+$AZ129*Templates!$H$28/$BF129+$BA129*Templates!$H$29/$BG129+$BB129*Templates!$H$30/$BH129+$BC129*Templates!$H$31/$BI129)/Templates!$B$23)</f>
        <v/>
      </c>
    </row>
    <row r="130">
      <c r="A130" s="28" t="inlineStr">
        <is>
          <t>Ontario_1</t>
        </is>
      </c>
      <c r="B130" s="20" t="inlineStr">
        <is>
          <t>Ullico Infrastructure Management Company</t>
        </is>
      </c>
      <c r="C130" s="28" t="inlineStr">
        <is>
          <t>Ullico Infrastructure Management Company</t>
        </is>
      </c>
      <c r="D130" s="28" t="inlineStr"/>
      <c r="E130" s="28" t="inlineStr">
        <is>
          <t>No</t>
        </is>
      </c>
      <c r="F130" s="28" t="inlineStr">
        <is>
          <t>Active</t>
        </is>
      </c>
      <c r="G130" s="38" t="n"/>
      <c r="H130" s="29" t="n">
        <v>1</v>
      </c>
      <c r="I130" s="39" t="n"/>
      <c r="J130" s="39" t="n"/>
      <c r="K130" s="31" t="n"/>
      <c r="L130" s="31" t="n"/>
      <c r="M130" s="31" t="n"/>
      <c r="N130" s="31" t="n"/>
      <c r="O130" s="31" t="n"/>
      <c r="P130" s="31" t="n"/>
      <c r="Q130" s="23">
        <f>IF($A130="","",COUNTIFS(Assignments!$C$2:$C$769,$A130,Assignments!$G$2:$G$769,"Active"))</f>
        <v/>
      </c>
      <c r="R130" s="32">
        <f>IF($A130="","",SUMIFS(Assignments!$I$2:$I$769,Assignments!$C$2:$C$769,$A130,Assignments!$G$2:$G$769,"Active"))</f>
        <v/>
      </c>
      <c r="S130" s="20" t="inlineStr">
        <is>
          <t>WIP</t>
        </is>
      </c>
      <c r="T130" s="31" t="n"/>
      <c r="U130" s="38" t="n"/>
      <c r="V130" s="34">
        <f>IF($U130="","",IFERROR(INDEX(Templates!$K$3:$K$10,MATCH($U130,Templates!$A$3:$A$10,0)),""))</f>
        <v/>
      </c>
      <c r="W130" s="34">
        <f>IF($U130="","",IFERROR(INDEX(Templates!$L$3:$L$10,MATCH($U130,Templates!$A$3:$A$10,0)),""))</f>
        <v/>
      </c>
      <c r="X130" s="21">
        <f>IF($U130="","",IFERROR(INDEX(Templates!$J$3:$J$10,MATCH($U130,Templates!$A$3:$A$10,0)),""))</f>
        <v/>
      </c>
      <c r="Y130" s="35">
        <f>IF(OR($U130="",$I130="",$J130="",$X130=""),"",$I130+$X130*($J130-$I130))</f>
        <v/>
      </c>
      <c r="Z130" s="30" t="n">
        <v>46212</v>
      </c>
      <c r="AA130" s="40" t="n"/>
      <c r="AB130" s="41" t="n"/>
      <c r="AC130" s="41" t="n"/>
      <c r="AD130" s="19">
        <f>IF($A130="","",IF($AA130="",$H130,$AA130))</f>
        <v/>
      </c>
      <c r="AE130" s="35">
        <f>IF($A130="","",IF($AB130="",$I130,$AB130))</f>
        <v/>
      </c>
      <c r="AF130" s="35">
        <f>IF($A130="","",IF($AC130="",$J130,$AC130))</f>
        <v/>
      </c>
      <c r="AG130" s="35">
        <f>IF(OR($U130="",$AE130="",$AF130="",$X130=""),"",$AE130+$X130*($AF130-$AE130))</f>
        <v/>
      </c>
      <c r="AH130" s="38" t="n"/>
      <c r="AI130" s="38" t="n"/>
      <c r="AJ130" s="38" t="n"/>
      <c r="AK130" s="38" t="n"/>
      <c r="AL130" s="38" t="n"/>
      <c r="AM130" s="38" t="n"/>
      <c r="AN130" s="38" t="n"/>
      <c r="AO130" s="38" t="n"/>
      <c r="AP130" s="38" t="n"/>
      <c r="AQ130" s="38" t="n"/>
      <c r="AR130" s="38" t="n"/>
      <c r="AS130" s="38" t="n"/>
      <c r="AT130" s="38" t="n"/>
      <c r="AU130" s="38" t="n"/>
      <c r="AV130" s="38" t="n"/>
      <c r="AW130" s="38" t="n"/>
      <c r="AX130" s="38" t="n"/>
      <c r="AY130" s="42" t="n"/>
      <c r="AZ130" s="42" t="n"/>
      <c r="BA130" s="42" t="n"/>
      <c r="BB130" s="42" t="n"/>
      <c r="BC130" s="42" t="n"/>
      <c r="BD130" s="37">
        <f>IF($A130="","",SUM($AY130:$BC130))</f>
        <v/>
      </c>
      <c r="BE130" s="18">
        <f>IF($A130="","",IF(AND($I130&lt;&gt;"",$J130&lt;&gt;""),MAX(1,($J130-$I130)/7),Templates!$B$35))</f>
        <v/>
      </c>
      <c r="BF130" s="18">
        <f>IF($A130="","",IF(AND($I130&lt;&gt;"",$J130&lt;&gt;""),MAX(1,($J130-$I130)/7),Templates!$B$36))</f>
        <v/>
      </c>
      <c r="BG130" s="18">
        <f>IF($A130="","",IF(AND($I130&lt;&gt;"",$J130&lt;&gt;""),MAX(1,($J130-$I130)/7),Templates!$B$37))</f>
        <v/>
      </c>
      <c r="BH130" s="18">
        <f>IF($A130="","",IF(AND($I130&lt;&gt;"",$J130&lt;&gt;""),MAX(1,($J130-$I130)/7),Templates!$B$38))</f>
        <v/>
      </c>
      <c r="BI130" s="18">
        <f>IF($A130="","",IF(AND($I130&lt;&gt;"",$J130&lt;&gt;""),MAX(1,($J130-$I130)/7),Templates!$B$39))</f>
        <v/>
      </c>
      <c r="BJ130" s="18">
        <f>IF(OR($A130="",$BD130=0),0,($AY130*Templates!$B$27/$BE130+$AZ130*Templates!$B$28/$BF130+$BA130*Templates!$B$29/$BG130+$BB130*Templates!$B$30/$BH130+$BC130*Templates!$B$31/$BI130)/Templates!$B$17)</f>
        <v/>
      </c>
      <c r="BK130" s="18">
        <f>IF(OR($A130="",$BD130=0),0,($AY130*Templates!$C$27/$BE130+$AZ130*Templates!$C$28/$BF130+$BA130*Templates!$C$29/$BG130+$BB130*Templates!$C$30/$BH130+$BC130*Templates!$C$31/$BI130)/Templates!$B$18)</f>
        <v/>
      </c>
      <c r="BL130" s="18">
        <f>IF(OR($A130="",$BD130=0),0,($AY130*Templates!$D$27/$BE130+$AZ130*Templates!$D$28/$BF130+$BA130*Templates!$D$29/$BG130+$BB130*Templates!$D$30/$BH130+$BC130*Templates!$D$31/$BI130)/Templates!$B$19)</f>
        <v/>
      </c>
      <c r="BM130" s="18">
        <f>IF(OR($A130="",$BD130=0),0,($AY130*Templates!$E$27/$BE130+$AZ130*Templates!$E$28/$BF130+$BA130*Templates!$E$29/$BG130+$BB130*Templates!$E$30/$BH130+$BC130*Templates!$E$31/$BI130)/Templates!$B$20)</f>
        <v/>
      </c>
      <c r="BN130" s="18">
        <f>IF(OR($A130="",$BD130=0),0,($AY130*Templates!$F$27/$BE130+$AZ130*Templates!$F$28/$BF130+$BA130*Templates!$F$29/$BG130+$BB130*Templates!$F$30/$BH130+$BC130*Templates!$F$31/$BI130)/Templates!$B$21)</f>
        <v/>
      </c>
      <c r="BO130" s="18">
        <f>IF(OR($A130="",$BD130=0),0,($AY130*Templates!$G$27/$BE130+$AZ130*Templates!$G$28/$BF130+$BA130*Templates!$G$29/$BG130+$BB130*Templates!$G$30/$BH130+$BC130*Templates!$G$31/$BI130)/Templates!$B$22)</f>
        <v/>
      </c>
      <c r="BP130" s="18">
        <f>IF(OR($A130="",$BD130=0),0,($AY130*Templates!$H$27/$BE130+$AZ130*Templates!$H$28/$BF130+$BA130*Templates!$H$29/$BG130+$BB130*Templates!$H$30/$BH130+$BC130*Templates!$H$31/$BI130)/Templates!$B$23)</f>
        <v/>
      </c>
    </row>
    <row r="131">
      <c r="A131" s="28" t="inlineStr">
        <is>
          <t>Orca_1</t>
        </is>
      </c>
      <c r="B131" s="20" t="inlineStr">
        <is>
          <t>CVC Capital Partners : DIF Capital Partners : Green Street Power Partners</t>
        </is>
      </c>
      <c r="C131" s="28" t="inlineStr">
        <is>
          <t>CVC Capital Partners</t>
        </is>
      </c>
      <c r="D131" s="28" t="inlineStr">
        <is>
          <t>Green Street Power Partners</t>
        </is>
      </c>
      <c r="E131" s="28" t="inlineStr">
        <is>
          <t>No</t>
        </is>
      </c>
      <c r="F131" s="28" t="inlineStr">
        <is>
          <t>Active</t>
        </is>
      </c>
      <c r="G131" s="38" t="n"/>
      <c r="H131" s="29" t="n">
        <v>1</v>
      </c>
      <c r="I131" s="39" t="n"/>
      <c r="J131" s="39" t="n"/>
      <c r="K131" s="31" t="n"/>
      <c r="L131" s="31" t="n"/>
      <c r="M131" s="31" t="n"/>
      <c r="N131" s="31" t="n"/>
      <c r="O131" s="31" t="n"/>
      <c r="P131" s="31" t="n"/>
      <c r="Q131" s="23">
        <f>IF($A131="","",COUNTIFS(Assignments!$C$2:$C$769,$A131,Assignments!$G$2:$G$769,"Active"))</f>
        <v/>
      </c>
      <c r="R131" s="32">
        <f>IF($A131="","",SUMIFS(Assignments!$I$2:$I$769,Assignments!$C$2:$C$769,$A131,Assignments!$G$2:$G$769,"Active"))</f>
        <v/>
      </c>
      <c r="S131" s="20" t="inlineStr">
        <is>
          <t>WIP</t>
        </is>
      </c>
      <c r="T131" s="31" t="n"/>
      <c r="U131" s="38" t="n"/>
      <c r="V131" s="34">
        <f>IF($U131="","",IFERROR(INDEX(Templates!$K$3:$K$10,MATCH($U131,Templates!$A$3:$A$10,0)),""))</f>
        <v/>
      </c>
      <c r="W131" s="34">
        <f>IF($U131="","",IFERROR(INDEX(Templates!$L$3:$L$10,MATCH($U131,Templates!$A$3:$A$10,0)),""))</f>
        <v/>
      </c>
      <c r="X131" s="21">
        <f>IF($U131="","",IFERROR(INDEX(Templates!$J$3:$J$10,MATCH($U131,Templates!$A$3:$A$10,0)),""))</f>
        <v/>
      </c>
      <c r="Y131" s="35">
        <f>IF(OR($U131="",$I131="",$J131="",$X131=""),"",$I131+$X131*($J131-$I131))</f>
        <v/>
      </c>
      <c r="Z131" s="30" t="n">
        <v>46212</v>
      </c>
      <c r="AA131" s="40" t="n"/>
      <c r="AB131" s="41" t="n"/>
      <c r="AC131" s="41" t="n"/>
      <c r="AD131" s="19">
        <f>IF($A131="","",IF($AA131="",$H131,$AA131))</f>
        <v/>
      </c>
      <c r="AE131" s="35">
        <f>IF($A131="","",IF($AB131="",$I131,$AB131))</f>
        <v/>
      </c>
      <c r="AF131" s="35">
        <f>IF($A131="","",IF($AC131="",$J131,$AC131))</f>
        <v/>
      </c>
      <c r="AG131" s="35">
        <f>IF(OR($U131="",$AE131="",$AF131="",$X131=""),"",$AE131+$X131*($AF131-$AE131))</f>
        <v/>
      </c>
      <c r="AH131" s="38" t="n"/>
      <c r="AI131" s="38" t="n"/>
      <c r="AJ131" s="38" t="n"/>
      <c r="AK131" s="38" t="n"/>
      <c r="AL131" s="38" t="n"/>
      <c r="AM131" s="38" t="n"/>
      <c r="AN131" s="38" t="n"/>
      <c r="AO131" s="38" t="n"/>
      <c r="AP131" s="38" t="n"/>
      <c r="AQ131" s="38" t="n"/>
      <c r="AR131" s="38" t="n"/>
      <c r="AS131" s="38" t="n"/>
      <c r="AT131" s="38" t="n"/>
      <c r="AU131" s="38" t="n"/>
      <c r="AV131" s="38" t="n"/>
      <c r="AW131" s="38" t="n"/>
      <c r="AX131" s="38" t="n"/>
      <c r="AY131" s="42" t="n"/>
      <c r="AZ131" s="42" t="n"/>
      <c r="BA131" s="42" t="n"/>
      <c r="BB131" s="42" t="n"/>
      <c r="BC131" s="42" t="n"/>
      <c r="BD131" s="37">
        <f>IF($A131="","",SUM($AY131:$BC131))</f>
        <v/>
      </c>
      <c r="BE131" s="18">
        <f>IF($A131="","",IF(AND($I131&lt;&gt;"",$J131&lt;&gt;""),MAX(1,($J131-$I131)/7),Templates!$B$35))</f>
        <v/>
      </c>
      <c r="BF131" s="18">
        <f>IF($A131="","",IF(AND($I131&lt;&gt;"",$J131&lt;&gt;""),MAX(1,($J131-$I131)/7),Templates!$B$36))</f>
        <v/>
      </c>
      <c r="BG131" s="18">
        <f>IF($A131="","",IF(AND($I131&lt;&gt;"",$J131&lt;&gt;""),MAX(1,($J131-$I131)/7),Templates!$B$37))</f>
        <v/>
      </c>
      <c r="BH131" s="18">
        <f>IF($A131="","",IF(AND($I131&lt;&gt;"",$J131&lt;&gt;""),MAX(1,($J131-$I131)/7),Templates!$B$38))</f>
        <v/>
      </c>
      <c r="BI131" s="18">
        <f>IF($A131="","",IF(AND($I131&lt;&gt;"",$J131&lt;&gt;""),MAX(1,($J131-$I131)/7),Templates!$B$39))</f>
        <v/>
      </c>
      <c r="BJ131" s="18">
        <f>IF(OR($A131="",$BD131=0),0,($AY131*Templates!$B$27/$BE131+$AZ131*Templates!$B$28/$BF131+$BA131*Templates!$B$29/$BG131+$BB131*Templates!$B$30/$BH131+$BC131*Templates!$B$31/$BI131)/Templates!$B$17)</f>
        <v/>
      </c>
      <c r="BK131" s="18">
        <f>IF(OR($A131="",$BD131=0),0,($AY131*Templates!$C$27/$BE131+$AZ131*Templates!$C$28/$BF131+$BA131*Templates!$C$29/$BG131+$BB131*Templates!$C$30/$BH131+$BC131*Templates!$C$31/$BI131)/Templates!$B$18)</f>
        <v/>
      </c>
      <c r="BL131" s="18">
        <f>IF(OR($A131="",$BD131=0),0,($AY131*Templates!$D$27/$BE131+$AZ131*Templates!$D$28/$BF131+$BA131*Templates!$D$29/$BG131+$BB131*Templates!$D$30/$BH131+$BC131*Templates!$D$31/$BI131)/Templates!$B$19)</f>
        <v/>
      </c>
      <c r="BM131" s="18">
        <f>IF(OR($A131="",$BD131=0),0,($AY131*Templates!$E$27/$BE131+$AZ131*Templates!$E$28/$BF131+$BA131*Templates!$E$29/$BG131+$BB131*Templates!$E$30/$BH131+$BC131*Templates!$E$31/$BI131)/Templates!$B$20)</f>
        <v/>
      </c>
      <c r="BN131" s="18">
        <f>IF(OR($A131="",$BD131=0),0,($AY131*Templates!$F$27/$BE131+$AZ131*Templates!$F$28/$BF131+$BA131*Templates!$F$29/$BG131+$BB131*Templates!$F$30/$BH131+$BC131*Templates!$F$31/$BI131)/Templates!$B$21)</f>
        <v/>
      </c>
      <c r="BO131" s="18">
        <f>IF(OR($A131="",$BD131=0),0,($AY131*Templates!$G$27/$BE131+$AZ131*Templates!$G$28/$BF131+$BA131*Templates!$G$29/$BG131+$BB131*Templates!$G$30/$BH131+$BC131*Templates!$G$31/$BI131)/Templates!$B$22)</f>
        <v/>
      </c>
      <c r="BP131" s="18">
        <f>IF(OR($A131="",$BD131=0),0,($AY131*Templates!$H$27/$BE131+$AZ131*Templates!$H$28/$BF131+$BA131*Templates!$H$29/$BG131+$BB131*Templates!$H$30/$BH131+$BC131*Templates!$H$31/$BI131)/Templates!$B$23)</f>
        <v/>
      </c>
    </row>
    <row r="132">
      <c r="A132" s="28" t="inlineStr">
        <is>
          <t>Orion_3</t>
        </is>
      </c>
      <c r="B132" s="20" t="inlineStr">
        <is>
          <t>Solertia MGA Ltd.</t>
        </is>
      </c>
      <c r="C132" s="28" t="inlineStr">
        <is>
          <t>Solertia MGA Ltd.</t>
        </is>
      </c>
      <c r="D132" s="28" t="inlineStr"/>
      <c r="E132" s="28" t="inlineStr">
        <is>
          <t>No</t>
        </is>
      </c>
      <c r="F132" s="28" t="inlineStr">
        <is>
          <t>Active</t>
        </is>
      </c>
      <c r="G132" s="38" t="n"/>
      <c r="H132" s="29" t="n">
        <v>1</v>
      </c>
      <c r="I132" s="39" t="n"/>
      <c r="J132" s="39" t="n"/>
      <c r="K132" s="31" t="n"/>
      <c r="L132" s="31" t="n"/>
      <c r="M132" s="31" t="n"/>
      <c r="N132" s="31" t="n"/>
      <c r="O132" s="31" t="n"/>
      <c r="P132" s="31" t="n"/>
      <c r="Q132" s="23">
        <f>IF($A132="","",COUNTIFS(Assignments!$C$2:$C$769,$A132,Assignments!$G$2:$G$769,"Active"))</f>
        <v/>
      </c>
      <c r="R132" s="32">
        <f>IF($A132="","",SUMIFS(Assignments!$I$2:$I$769,Assignments!$C$2:$C$769,$A132,Assignments!$G$2:$G$769,"Active"))</f>
        <v/>
      </c>
      <c r="S132" s="20" t="inlineStr">
        <is>
          <t>WIP</t>
        </is>
      </c>
      <c r="T132" s="31" t="n"/>
      <c r="U132" s="38" t="n"/>
      <c r="V132" s="34">
        <f>IF($U132="","",IFERROR(INDEX(Templates!$K$3:$K$10,MATCH($U132,Templates!$A$3:$A$10,0)),""))</f>
        <v/>
      </c>
      <c r="W132" s="34">
        <f>IF($U132="","",IFERROR(INDEX(Templates!$L$3:$L$10,MATCH($U132,Templates!$A$3:$A$10,0)),""))</f>
        <v/>
      </c>
      <c r="X132" s="21">
        <f>IF($U132="","",IFERROR(INDEX(Templates!$J$3:$J$10,MATCH($U132,Templates!$A$3:$A$10,0)),""))</f>
        <v/>
      </c>
      <c r="Y132" s="35">
        <f>IF(OR($U132="",$I132="",$J132="",$X132=""),"",$I132+$X132*($J132-$I132))</f>
        <v/>
      </c>
      <c r="Z132" s="30" t="n">
        <v>46212</v>
      </c>
      <c r="AA132" s="40" t="n"/>
      <c r="AB132" s="41" t="n"/>
      <c r="AC132" s="41" t="n"/>
      <c r="AD132" s="19">
        <f>IF($A132="","",IF($AA132="",$H132,$AA132))</f>
        <v/>
      </c>
      <c r="AE132" s="35">
        <f>IF($A132="","",IF($AB132="",$I132,$AB132))</f>
        <v/>
      </c>
      <c r="AF132" s="35">
        <f>IF($A132="","",IF($AC132="",$J132,$AC132))</f>
        <v/>
      </c>
      <c r="AG132" s="35">
        <f>IF(OR($U132="",$AE132="",$AF132="",$X132=""),"",$AE132+$X132*($AF132-$AE132))</f>
        <v/>
      </c>
      <c r="AH132" s="38" t="n"/>
      <c r="AI132" s="38" t="n"/>
      <c r="AJ132" s="38" t="n"/>
      <c r="AK132" s="38" t="n"/>
      <c r="AL132" s="38" t="n"/>
      <c r="AM132" s="38" t="n"/>
      <c r="AN132" s="38" t="n"/>
      <c r="AO132" s="38" t="n"/>
      <c r="AP132" s="38" t="n"/>
      <c r="AQ132" s="38" t="n"/>
      <c r="AR132" s="38" t="n"/>
      <c r="AS132" s="38" t="n"/>
      <c r="AT132" s="38" t="n"/>
      <c r="AU132" s="38" t="n"/>
      <c r="AV132" s="38" t="n"/>
      <c r="AW132" s="38" t="n"/>
      <c r="AX132" s="38" t="n"/>
      <c r="AY132" s="42" t="n"/>
      <c r="AZ132" s="42" t="n"/>
      <c r="BA132" s="42" t="n"/>
      <c r="BB132" s="42" t="n"/>
      <c r="BC132" s="42" t="n"/>
      <c r="BD132" s="37">
        <f>IF($A132="","",SUM($AY132:$BC132))</f>
        <v/>
      </c>
      <c r="BE132" s="18">
        <f>IF($A132="","",IF(AND($I132&lt;&gt;"",$J132&lt;&gt;""),MAX(1,($J132-$I132)/7),Templates!$B$35))</f>
        <v/>
      </c>
      <c r="BF132" s="18">
        <f>IF($A132="","",IF(AND($I132&lt;&gt;"",$J132&lt;&gt;""),MAX(1,($J132-$I132)/7),Templates!$B$36))</f>
        <v/>
      </c>
      <c r="BG132" s="18">
        <f>IF($A132="","",IF(AND($I132&lt;&gt;"",$J132&lt;&gt;""),MAX(1,($J132-$I132)/7),Templates!$B$37))</f>
        <v/>
      </c>
      <c r="BH132" s="18">
        <f>IF($A132="","",IF(AND($I132&lt;&gt;"",$J132&lt;&gt;""),MAX(1,($J132-$I132)/7),Templates!$B$38))</f>
        <v/>
      </c>
      <c r="BI132" s="18">
        <f>IF($A132="","",IF(AND($I132&lt;&gt;"",$J132&lt;&gt;""),MAX(1,($J132-$I132)/7),Templates!$B$39))</f>
        <v/>
      </c>
      <c r="BJ132" s="18">
        <f>IF(OR($A132="",$BD132=0),0,($AY132*Templates!$B$27/$BE132+$AZ132*Templates!$B$28/$BF132+$BA132*Templates!$B$29/$BG132+$BB132*Templates!$B$30/$BH132+$BC132*Templates!$B$31/$BI132)/Templates!$B$17)</f>
        <v/>
      </c>
      <c r="BK132" s="18">
        <f>IF(OR($A132="",$BD132=0),0,($AY132*Templates!$C$27/$BE132+$AZ132*Templates!$C$28/$BF132+$BA132*Templates!$C$29/$BG132+$BB132*Templates!$C$30/$BH132+$BC132*Templates!$C$31/$BI132)/Templates!$B$18)</f>
        <v/>
      </c>
      <c r="BL132" s="18">
        <f>IF(OR($A132="",$BD132=0),0,($AY132*Templates!$D$27/$BE132+$AZ132*Templates!$D$28/$BF132+$BA132*Templates!$D$29/$BG132+$BB132*Templates!$D$30/$BH132+$BC132*Templates!$D$31/$BI132)/Templates!$B$19)</f>
        <v/>
      </c>
      <c r="BM132" s="18">
        <f>IF(OR($A132="",$BD132=0),0,($AY132*Templates!$E$27/$BE132+$AZ132*Templates!$E$28/$BF132+$BA132*Templates!$E$29/$BG132+$BB132*Templates!$E$30/$BH132+$BC132*Templates!$E$31/$BI132)/Templates!$B$20)</f>
        <v/>
      </c>
      <c r="BN132" s="18">
        <f>IF(OR($A132="",$BD132=0),0,($AY132*Templates!$F$27/$BE132+$AZ132*Templates!$F$28/$BF132+$BA132*Templates!$F$29/$BG132+$BB132*Templates!$F$30/$BH132+$BC132*Templates!$F$31/$BI132)/Templates!$B$21)</f>
        <v/>
      </c>
      <c r="BO132" s="18">
        <f>IF(OR($A132="",$BD132=0),0,($AY132*Templates!$G$27/$BE132+$AZ132*Templates!$G$28/$BF132+$BA132*Templates!$G$29/$BG132+$BB132*Templates!$G$30/$BH132+$BC132*Templates!$G$31/$BI132)/Templates!$B$22)</f>
        <v/>
      </c>
      <c r="BP132" s="18">
        <f>IF(OR($A132="",$BD132=0),0,($AY132*Templates!$H$27/$BE132+$AZ132*Templates!$H$28/$BF132+$BA132*Templates!$H$29/$BG132+$BB132*Templates!$H$30/$BH132+$BC132*Templates!$H$31/$BI132)/Templates!$B$23)</f>
        <v/>
      </c>
    </row>
    <row r="133">
      <c r="A133" s="28" t="inlineStr">
        <is>
          <t>P2Ninedot_1</t>
        </is>
      </c>
      <c r="B133" s="20" t="inlineStr">
        <is>
          <t>Certa</t>
        </is>
      </c>
      <c r="C133" s="28" t="inlineStr">
        <is>
          <t>Certa</t>
        </is>
      </c>
      <c r="D133" s="28" t="inlineStr"/>
      <c r="E133" s="28" t="inlineStr">
        <is>
          <t>No</t>
        </is>
      </c>
      <c r="F133" s="28" t="inlineStr">
        <is>
          <t>Active</t>
        </is>
      </c>
      <c r="G133" s="38" t="n"/>
      <c r="H133" s="29" t="n">
        <v>1</v>
      </c>
      <c r="I133" s="39" t="n"/>
      <c r="J133" s="39" t="n"/>
      <c r="K133" s="31" t="n"/>
      <c r="L133" s="31" t="n"/>
      <c r="M133" s="31" t="n"/>
      <c r="N133" s="31" t="n"/>
      <c r="O133" s="31" t="n"/>
      <c r="P133" s="31" t="n"/>
      <c r="Q133" s="23">
        <f>IF($A133="","",COUNTIFS(Assignments!$C$2:$C$769,$A133,Assignments!$G$2:$G$769,"Active"))</f>
        <v/>
      </c>
      <c r="R133" s="32">
        <f>IF($A133="","",SUMIFS(Assignments!$I$2:$I$769,Assignments!$C$2:$C$769,$A133,Assignments!$G$2:$G$769,"Active"))</f>
        <v/>
      </c>
      <c r="S133" s="20" t="inlineStr">
        <is>
          <t>WIP</t>
        </is>
      </c>
      <c r="T133" s="31" t="n"/>
      <c r="U133" s="38" t="n"/>
      <c r="V133" s="34">
        <f>IF($U133="","",IFERROR(INDEX(Templates!$K$3:$K$10,MATCH($U133,Templates!$A$3:$A$10,0)),""))</f>
        <v/>
      </c>
      <c r="W133" s="34">
        <f>IF($U133="","",IFERROR(INDEX(Templates!$L$3:$L$10,MATCH($U133,Templates!$A$3:$A$10,0)),""))</f>
        <v/>
      </c>
      <c r="X133" s="21">
        <f>IF($U133="","",IFERROR(INDEX(Templates!$J$3:$J$10,MATCH($U133,Templates!$A$3:$A$10,0)),""))</f>
        <v/>
      </c>
      <c r="Y133" s="35">
        <f>IF(OR($U133="",$I133="",$J133="",$X133=""),"",$I133+$X133*($J133-$I133))</f>
        <v/>
      </c>
      <c r="Z133" s="30" t="n">
        <v>46212</v>
      </c>
      <c r="AA133" s="40" t="n"/>
      <c r="AB133" s="41" t="n"/>
      <c r="AC133" s="41" t="n"/>
      <c r="AD133" s="19">
        <f>IF($A133="","",IF($AA133="",$H133,$AA133))</f>
        <v/>
      </c>
      <c r="AE133" s="35">
        <f>IF($A133="","",IF($AB133="",$I133,$AB133))</f>
        <v/>
      </c>
      <c r="AF133" s="35">
        <f>IF($A133="","",IF($AC133="",$J133,$AC133))</f>
        <v/>
      </c>
      <c r="AG133" s="35">
        <f>IF(OR($U133="",$AE133="",$AF133="",$X133=""),"",$AE133+$X133*($AF133-$AE133))</f>
        <v/>
      </c>
      <c r="AH133" s="38" t="n"/>
      <c r="AI133" s="38" t="n"/>
      <c r="AJ133" s="38" t="n"/>
      <c r="AK133" s="38" t="n"/>
      <c r="AL133" s="38" t="n"/>
      <c r="AM133" s="38" t="n"/>
      <c r="AN133" s="38" t="n"/>
      <c r="AO133" s="38" t="n"/>
      <c r="AP133" s="38" t="n"/>
      <c r="AQ133" s="38" t="n"/>
      <c r="AR133" s="38" t="n"/>
      <c r="AS133" s="38" t="n"/>
      <c r="AT133" s="38" t="n"/>
      <c r="AU133" s="38" t="n"/>
      <c r="AV133" s="38" t="n"/>
      <c r="AW133" s="38" t="n"/>
      <c r="AX133" s="38" t="n"/>
      <c r="AY133" s="42" t="n"/>
      <c r="AZ133" s="42" t="n"/>
      <c r="BA133" s="42" t="n"/>
      <c r="BB133" s="42" t="n"/>
      <c r="BC133" s="42" t="n"/>
      <c r="BD133" s="37">
        <f>IF($A133="","",SUM($AY133:$BC133))</f>
        <v/>
      </c>
      <c r="BE133" s="18">
        <f>IF($A133="","",IF(AND($I133&lt;&gt;"",$J133&lt;&gt;""),MAX(1,($J133-$I133)/7),Templates!$B$35))</f>
        <v/>
      </c>
      <c r="BF133" s="18">
        <f>IF($A133="","",IF(AND($I133&lt;&gt;"",$J133&lt;&gt;""),MAX(1,($J133-$I133)/7),Templates!$B$36))</f>
        <v/>
      </c>
      <c r="BG133" s="18">
        <f>IF($A133="","",IF(AND($I133&lt;&gt;"",$J133&lt;&gt;""),MAX(1,($J133-$I133)/7),Templates!$B$37))</f>
        <v/>
      </c>
      <c r="BH133" s="18">
        <f>IF($A133="","",IF(AND($I133&lt;&gt;"",$J133&lt;&gt;""),MAX(1,($J133-$I133)/7),Templates!$B$38))</f>
        <v/>
      </c>
      <c r="BI133" s="18">
        <f>IF($A133="","",IF(AND($I133&lt;&gt;"",$J133&lt;&gt;""),MAX(1,($J133-$I133)/7),Templates!$B$39))</f>
        <v/>
      </c>
      <c r="BJ133" s="18">
        <f>IF(OR($A133="",$BD133=0),0,($AY133*Templates!$B$27/$BE133+$AZ133*Templates!$B$28/$BF133+$BA133*Templates!$B$29/$BG133+$BB133*Templates!$B$30/$BH133+$BC133*Templates!$B$31/$BI133)/Templates!$B$17)</f>
        <v/>
      </c>
      <c r="BK133" s="18">
        <f>IF(OR($A133="",$BD133=0),0,($AY133*Templates!$C$27/$BE133+$AZ133*Templates!$C$28/$BF133+$BA133*Templates!$C$29/$BG133+$BB133*Templates!$C$30/$BH133+$BC133*Templates!$C$31/$BI133)/Templates!$B$18)</f>
        <v/>
      </c>
      <c r="BL133" s="18">
        <f>IF(OR($A133="",$BD133=0),0,($AY133*Templates!$D$27/$BE133+$AZ133*Templates!$D$28/$BF133+$BA133*Templates!$D$29/$BG133+$BB133*Templates!$D$30/$BH133+$BC133*Templates!$D$31/$BI133)/Templates!$B$19)</f>
        <v/>
      </c>
      <c r="BM133" s="18">
        <f>IF(OR($A133="",$BD133=0),0,($AY133*Templates!$E$27/$BE133+$AZ133*Templates!$E$28/$BF133+$BA133*Templates!$E$29/$BG133+$BB133*Templates!$E$30/$BH133+$BC133*Templates!$E$31/$BI133)/Templates!$B$20)</f>
        <v/>
      </c>
      <c r="BN133" s="18">
        <f>IF(OR($A133="",$BD133=0),0,($AY133*Templates!$F$27/$BE133+$AZ133*Templates!$F$28/$BF133+$BA133*Templates!$F$29/$BG133+$BB133*Templates!$F$30/$BH133+$BC133*Templates!$F$31/$BI133)/Templates!$B$21)</f>
        <v/>
      </c>
      <c r="BO133" s="18">
        <f>IF(OR($A133="",$BD133=0),0,($AY133*Templates!$G$27/$BE133+$AZ133*Templates!$G$28/$BF133+$BA133*Templates!$G$29/$BG133+$BB133*Templates!$G$30/$BH133+$BC133*Templates!$G$31/$BI133)/Templates!$B$22)</f>
        <v/>
      </c>
      <c r="BP133" s="18">
        <f>IF(OR($A133="",$BD133=0),0,($AY133*Templates!$H$27/$BE133+$AZ133*Templates!$H$28/$BF133+$BA133*Templates!$H$29/$BG133+$BB133*Templates!$H$30/$BH133+$BC133*Templates!$H$31/$BI133)/Templates!$B$23)</f>
        <v/>
      </c>
    </row>
    <row r="134">
      <c r="A134" s="28" t="inlineStr">
        <is>
          <t>Palmetto_3</t>
        </is>
      </c>
      <c r="B134" s="20" t="inlineStr">
        <is>
          <t>Ethos Specialty Insurance Services</t>
        </is>
      </c>
      <c r="C134" s="28" t="inlineStr">
        <is>
          <t>Ethos Specialty Insurance Services</t>
        </is>
      </c>
      <c r="D134" s="28" t="inlineStr"/>
      <c r="E134" s="28" t="inlineStr">
        <is>
          <t>No</t>
        </is>
      </c>
      <c r="F134" s="28" t="inlineStr">
        <is>
          <t>Active</t>
        </is>
      </c>
      <c r="G134" s="38" t="n"/>
      <c r="H134" s="29" t="n">
        <v>1</v>
      </c>
      <c r="I134" s="39" t="n"/>
      <c r="J134" s="39" t="n"/>
      <c r="K134" s="31" t="n"/>
      <c r="L134" s="31" t="n"/>
      <c r="M134" s="31" t="n"/>
      <c r="N134" s="31" t="n"/>
      <c r="O134" s="31" t="n"/>
      <c r="P134" s="31" t="n"/>
      <c r="Q134" s="23">
        <f>IF($A134="","",COUNTIFS(Assignments!$C$2:$C$769,$A134,Assignments!$G$2:$G$769,"Active"))</f>
        <v/>
      </c>
      <c r="R134" s="32">
        <f>IF($A134="","",SUMIFS(Assignments!$I$2:$I$769,Assignments!$C$2:$C$769,$A134,Assignments!$G$2:$G$769,"Active"))</f>
        <v/>
      </c>
      <c r="S134" s="20" t="inlineStr">
        <is>
          <t>WIP</t>
        </is>
      </c>
      <c r="T134" s="31" t="n"/>
      <c r="U134" s="38" t="n"/>
      <c r="V134" s="34">
        <f>IF($U134="","",IFERROR(INDEX(Templates!$K$3:$K$10,MATCH($U134,Templates!$A$3:$A$10,0)),""))</f>
        <v/>
      </c>
      <c r="W134" s="34">
        <f>IF($U134="","",IFERROR(INDEX(Templates!$L$3:$L$10,MATCH($U134,Templates!$A$3:$A$10,0)),""))</f>
        <v/>
      </c>
      <c r="X134" s="21">
        <f>IF($U134="","",IFERROR(INDEX(Templates!$J$3:$J$10,MATCH($U134,Templates!$A$3:$A$10,0)),""))</f>
        <v/>
      </c>
      <c r="Y134" s="35">
        <f>IF(OR($U134="",$I134="",$J134="",$X134=""),"",$I134+$X134*($J134-$I134))</f>
        <v/>
      </c>
      <c r="Z134" s="30" t="n">
        <v>46212</v>
      </c>
      <c r="AA134" s="40" t="n"/>
      <c r="AB134" s="41" t="n"/>
      <c r="AC134" s="41" t="n"/>
      <c r="AD134" s="19">
        <f>IF($A134="","",IF($AA134="",$H134,$AA134))</f>
        <v/>
      </c>
      <c r="AE134" s="35">
        <f>IF($A134="","",IF($AB134="",$I134,$AB134))</f>
        <v/>
      </c>
      <c r="AF134" s="35">
        <f>IF($A134="","",IF($AC134="",$J134,$AC134))</f>
        <v/>
      </c>
      <c r="AG134" s="35">
        <f>IF(OR($U134="",$AE134="",$AF134="",$X134=""),"",$AE134+$X134*($AF134-$AE134))</f>
        <v/>
      </c>
      <c r="AH134" s="38" t="n"/>
      <c r="AI134" s="38" t="n"/>
      <c r="AJ134" s="38" t="n"/>
      <c r="AK134" s="38" t="n"/>
      <c r="AL134" s="38" t="n"/>
      <c r="AM134" s="38" t="n"/>
      <c r="AN134" s="38" t="n"/>
      <c r="AO134" s="38" t="n"/>
      <c r="AP134" s="38" t="n"/>
      <c r="AQ134" s="38" t="n"/>
      <c r="AR134" s="38" t="n"/>
      <c r="AS134" s="38" t="n"/>
      <c r="AT134" s="38" t="n"/>
      <c r="AU134" s="38" t="n"/>
      <c r="AV134" s="38" t="n"/>
      <c r="AW134" s="38" t="n"/>
      <c r="AX134" s="38" t="n"/>
      <c r="AY134" s="42" t="n"/>
      <c r="AZ134" s="42" t="n"/>
      <c r="BA134" s="42" t="n"/>
      <c r="BB134" s="42" t="n"/>
      <c r="BC134" s="42" t="n"/>
      <c r="BD134" s="37">
        <f>IF($A134="","",SUM($AY134:$BC134))</f>
        <v/>
      </c>
      <c r="BE134" s="18">
        <f>IF($A134="","",IF(AND($I134&lt;&gt;"",$J134&lt;&gt;""),MAX(1,($J134-$I134)/7),Templates!$B$35))</f>
        <v/>
      </c>
      <c r="BF134" s="18">
        <f>IF($A134="","",IF(AND($I134&lt;&gt;"",$J134&lt;&gt;""),MAX(1,($J134-$I134)/7),Templates!$B$36))</f>
        <v/>
      </c>
      <c r="BG134" s="18">
        <f>IF($A134="","",IF(AND($I134&lt;&gt;"",$J134&lt;&gt;""),MAX(1,($J134-$I134)/7),Templates!$B$37))</f>
        <v/>
      </c>
      <c r="BH134" s="18">
        <f>IF($A134="","",IF(AND($I134&lt;&gt;"",$J134&lt;&gt;""),MAX(1,($J134-$I134)/7),Templates!$B$38))</f>
        <v/>
      </c>
      <c r="BI134" s="18">
        <f>IF($A134="","",IF(AND($I134&lt;&gt;"",$J134&lt;&gt;""),MAX(1,($J134-$I134)/7),Templates!$B$39))</f>
        <v/>
      </c>
      <c r="BJ134" s="18">
        <f>IF(OR($A134="",$BD134=0),0,($AY134*Templates!$B$27/$BE134+$AZ134*Templates!$B$28/$BF134+$BA134*Templates!$B$29/$BG134+$BB134*Templates!$B$30/$BH134+$BC134*Templates!$B$31/$BI134)/Templates!$B$17)</f>
        <v/>
      </c>
      <c r="BK134" s="18">
        <f>IF(OR($A134="",$BD134=0),0,($AY134*Templates!$C$27/$BE134+$AZ134*Templates!$C$28/$BF134+$BA134*Templates!$C$29/$BG134+$BB134*Templates!$C$30/$BH134+$BC134*Templates!$C$31/$BI134)/Templates!$B$18)</f>
        <v/>
      </c>
      <c r="BL134" s="18">
        <f>IF(OR($A134="",$BD134=0),0,($AY134*Templates!$D$27/$BE134+$AZ134*Templates!$D$28/$BF134+$BA134*Templates!$D$29/$BG134+$BB134*Templates!$D$30/$BH134+$BC134*Templates!$D$31/$BI134)/Templates!$B$19)</f>
        <v/>
      </c>
      <c r="BM134" s="18">
        <f>IF(OR($A134="",$BD134=0),0,($AY134*Templates!$E$27/$BE134+$AZ134*Templates!$E$28/$BF134+$BA134*Templates!$E$29/$BG134+$BB134*Templates!$E$30/$BH134+$BC134*Templates!$E$31/$BI134)/Templates!$B$20)</f>
        <v/>
      </c>
      <c r="BN134" s="18">
        <f>IF(OR($A134="",$BD134=0),0,($AY134*Templates!$F$27/$BE134+$AZ134*Templates!$F$28/$BF134+$BA134*Templates!$F$29/$BG134+$BB134*Templates!$F$30/$BH134+$BC134*Templates!$F$31/$BI134)/Templates!$B$21)</f>
        <v/>
      </c>
      <c r="BO134" s="18">
        <f>IF(OR($A134="",$BD134=0),0,($AY134*Templates!$G$27/$BE134+$AZ134*Templates!$G$28/$BF134+$BA134*Templates!$G$29/$BG134+$BB134*Templates!$G$30/$BH134+$BC134*Templates!$G$31/$BI134)/Templates!$B$22)</f>
        <v/>
      </c>
      <c r="BP134" s="18">
        <f>IF(OR($A134="",$BD134=0),0,($AY134*Templates!$H$27/$BE134+$AZ134*Templates!$H$28/$BF134+$BA134*Templates!$H$29/$BG134+$BB134*Templates!$H$30/$BH134+$BC134*Templates!$H$31/$BI134)/Templates!$B$23)</f>
        <v/>
      </c>
    </row>
    <row r="135">
      <c r="A135" s="28" t="inlineStr">
        <is>
          <t>Palo_1</t>
        </is>
      </c>
      <c r="B135" s="20" t="inlineStr">
        <is>
          <t>Certa</t>
        </is>
      </c>
      <c r="C135" s="28" t="inlineStr">
        <is>
          <t>Certa</t>
        </is>
      </c>
      <c r="D135" s="28" t="inlineStr"/>
      <c r="E135" s="28" t="inlineStr">
        <is>
          <t>No</t>
        </is>
      </c>
      <c r="F135" s="28" t="inlineStr">
        <is>
          <t>Active</t>
        </is>
      </c>
      <c r="G135" s="38" t="n"/>
      <c r="H135" s="29" t="n">
        <v>1</v>
      </c>
      <c r="I135" s="39" t="n"/>
      <c r="J135" s="39" t="n"/>
      <c r="K135" s="31" t="n"/>
      <c r="L135" s="31" t="n"/>
      <c r="M135" s="31" t="n"/>
      <c r="N135" s="31" t="n"/>
      <c r="O135" s="31" t="n"/>
      <c r="P135" s="31" t="n"/>
      <c r="Q135" s="23">
        <f>IF($A135="","",COUNTIFS(Assignments!$C$2:$C$769,$A135,Assignments!$G$2:$G$769,"Active"))</f>
        <v/>
      </c>
      <c r="R135" s="32">
        <f>IF($A135="","",SUMIFS(Assignments!$I$2:$I$769,Assignments!$C$2:$C$769,$A135,Assignments!$G$2:$G$769,"Active"))</f>
        <v/>
      </c>
      <c r="S135" s="20" t="inlineStr">
        <is>
          <t>WIP</t>
        </is>
      </c>
      <c r="T135" s="31" t="n"/>
      <c r="U135" s="38" t="n"/>
      <c r="V135" s="34">
        <f>IF($U135="","",IFERROR(INDEX(Templates!$K$3:$K$10,MATCH($U135,Templates!$A$3:$A$10,0)),""))</f>
        <v/>
      </c>
      <c r="W135" s="34">
        <f>IF($U135="","",IFERROR(INDEX(Templates!$L$3:$L$10,MATCH($U135,Templates!$A$3:$A$10,0)),""))</f>
        <v/>
      </c>
      <c r="X135" s="21">
        <f>IF($U135="","",IFERROR(INDEX(Templates!$J$3:$J$10,MATCH($U135,Templates!$A$3:$A$10,0)),""))</f>
        <v/>
      </c>
      <c r="Y135" s="35">
        <f>IF(OR($U135="",$I135="",$J135="",$X135=""),"",$I135+$X135*($J135-$I135))</f>
        <v/>
      </c>
      <c r="Z135" s="30" t="n">
        <v>46212</v>
      </c>
      <c r="AA135" s="40" t="n"/>
      <c r="AB135" s="41" t="n"/>
      <c r="AC135" s="41" t="n"/>
      <c r="AD135" s="19">
        <f>IF($A135="","",IF($AA135="",$H135,$AA135))</f>
        <v/>
      </c>
      <c r="AE135" s="35">
        <f>IF($A135="","",IF($AB135="",$I135,$AB135))</f>
        <v/>
      </c>
      <c r="AF135" s="35">
        <f>IF($A135="","",IF($AC135="",$J135,$AC135))</f>
        <v/>
      </c>
      <c r="AG135" s="35">
        <f>IF(OR($U135="",$AE135="",$AF135="",$X135=""),"",$AE135+$X135*($AF135-$AE135))</f>
        <v/>
      </c>
      <c r="AH135" s="38" t="n"/>
      <c r="AI135" s="38" t="n"/>
      <c r="AJ135" s="38" t="n"/>
      <c r="AK135" s="38" t="n"/>
      <c r="AL135" s="38" t="n"/>
      <c r="AM135" s="38" t="n"/>
      <c r="AN135" s="38" t="n"/>
      <c r="AO135" s="38" t="n"/>
      <c r="AP135" s="38" t="n"/>
      <c r="AQ135" s="38" t="n"/>
      <c r="AR135" s="38" t="n"/>
      <c r="AS135" s="38" t="n"/>
      <c r="AT135" s="38" t="n"/>
      <c r="AU135" s="38" t="n"/>
      <c r="AV135" s="38" t="n"/>
      <c r="AW135" s="38" t="n"/>
      <c r="AX135" s="38" t="n"/>
      <c r="AY135" s="42" t="n"/>
      <c r="AZ135" s="42" t="n"/>
      <c r="BA135" s="42" t="n"/>
      <c r="BB135" s="42" t="n"/>
      <c r="BC135" s="42" t="n"/>
      <c r="BD135" s="37">
        <f>IF($A135="","",SUM($AY135:$BC135))</f>
        <v/>
      </c>
      <c r="BE135" s="18">
        <f>IF($A135="","",IF(AND($I135&lt;&gt;"",$J135&lt;&gt;""),MAX(1,($J135-$I135)/7),Templates!$B$35))</f>
        <v/>
      </c>
      <c r="BF135" s="18">
        <f>IF($A135="","",IF(AND($I135&lt;&gt;"",$J135&lt;&gt;""),MAX(1,($J135-$I135)/7),Templates!$B$36))</f>
        <v/>
      </c>
      <c r="BG135" s="18">
        <f>IF($A135="","",IF(AND($I135&lt;&gt;"",$J135&lt;&gt;""),MAX(1,($J135-$I135)/7),Templates!$B$37))</f>
        <v/>
      </c>
      <c r="BH135" s="18">
        <f>IF($A135="","",IF(AND($I135&lt;&gt;"",$J135&lt;&gt;""),MAX(1,($J135-$I135)/7),Templates!$B$38))</f>
        <v/>
      </c>
      <c r="BI135" s="18">
        <f>IF($A135="","",IF(AND($I135&lt;&gt;"",$J135&lt;&gt;""),MAX(1,($J135-$I135)/7),Templates!$B$39))</f>
        <v/>
      </c>
      <c r="BJ135" s="18">
        <f>IF(OR($A135="",$BD135=0),0,($AY135*Templates!$B$27/$BE135+$AZ135*Templates!$B$28/$BF135+$BA135*Templates!$B$29/$BG135+$BB135*Templates!$B$30/$BH135+$BC135*Templates!$B$31/$BI135)/Templates!$B$17)</f>
        <v/>
      </c>
      <c r="BK135" s="18">
        <f>IF(OR($A135="",$BD135=0),0,($AY135*Templates!$C$27/$BE135+$AZ135*Templates!$C$28/$BF135+$BA135*Templates!$C$29/$BG135+$BB135*Templates!$C$30/$BH135+$BC135*Templates!$C$31/$BI135)/Templates!$B$18)</f>
        <v/>
      </c>
      <c r="BL135" s="18">
        <f>IF(OR($A135="",$BD135=0),0,($AY135*Templates!$D$27/$BE135+$AZ135*Templates!$D$28/$BF135+$BA135*Templates!$D$29/$BG135+$BB135*Templates!$D$30/$BH135+$BC135*Templates!$D$31/$BI135)/Templates!$B$19)</f>
        <v/>
      </c>
      <c r="BM135" s="18">
        <f>IF(OR($A135="",$BD135=0),0,($AY135*Templates!$E$27/$BE135+$AZ135*Templates!$E$28/$BF135+$BA135*Templates!$E$29/$BG135+$BB135*Templates!$E$30/$BH135+$BC135*Templates!$E$31/$BI135)/Templates!$B$20)</f>
        <v/>
      </c>
      <c r="BN135" s="18">
        <f>IF(OR($A135="",$BD135=0),0,($AY135*Templates!$F$27/$BE135+$AZ135*Templates!$F$28/$BF135+$BA135*Templates!$F$29/$BG135+$BB135*Templates!$F$30/$BH135+$BC135*Templates!$F$31/$BI135)/Templates!$B$21)</f>
        <v/>
      </c>
      <c r="BO135" s="18">
        <f>IF(OR($A135="",$BD135=0),0,($AY135*Templates!$G$27/$BE135+$AZ135*Templates!$G$28/$BF135+$BA135*Templates!$G$29/$BG135+$BB135*Templates!$G$30/$BH135+$BC135*Templates!$G$31/$BI135)/Templates!$B$22)</f>
        <v/>
      </c>
      <c r="BP135" s="18">
        <f>IF(OR($A135="",$BD135=0),0,($AY135*Templates!$H$27/$BE135+$AZ135*Templates!$H$28/$BF135+$BA135*Templates!$H$29/$BG135+$BB135*Templates!$H$30/$BH135+$BC135*Templates!$H$31/$BI135)/Templates!$B$23)</f>
        <v/>
      </c>
    </row>
    <row r="136">
      <c r="A136" s="28" t="inlineStr">
        <is>
          <t>Papago_1</t>
        </is>
      </c>
      <c r="B136" s="20" t="inlineStr">
        <is>
          <t>Harbert Management Corporation</t>
        </is>
      </c>
      <c r="C136" s="28" t="inlineStr">
        <is>
          <t>Harbert Management Corporation</t>
        </is>
      </c>
      <c r="D136" s="28" t="inlineStr"/>
      <c r="E136" s="28" t="inlineStr">
        <is>
          <t>No</t>
        </is>
      </c>
      <c r="F136" s="28" t="inlineStr">
        <is>
          <t>Active</t>
        </is>
      </c>
      <c r="G136" s="38" t="n"/>
      <c r="H136" s="29" t="n">
        <v>1</v>
      </c>
      <c r="I136" s="39" t="n"/>
      <c r="J136" s="39" t="n"/>
      <c r="K136" s="31" t="n"/>
      <c r="L136" s="31" t="n"/>
      <c r="M136" s="31" t="n"/>
      <c r="N136" s="31" t="n"/>
      <c r="O136" s="31" t="n"/>
      <c r="P136" s="31" t="n"/>
      <c r="Q136" s="23">
        <f>IF($A136="","",COUNTIFS(Assignments!$C$2:$C$769,$A136,Assignments!$G$2:$G$769,"Active"))</f>
        <v/>
      </c>
      <c r="R136" s="32">
        <f>IF($A136="","",SUMIFS(Assignments!$I$2:$I$769,Assignments!$C$2:$C$769,$A136,Assignments!$G$2:$G$769,"Active"))</f>
        <v/>
      </c>
      <c r="S136" s="20" t="inlineStr">
        <is>
          <t>WIP</t>
        </is>
      </c>
      <c r="T136" s="31" t="n"/>
      <c r="U136" s="38" t="n"/>
      <c r="V136" s="34">
        <f>IF($U136="","",IFERROR(INDEX(Templates!$K$3:$K$10,MATCH($U136,Templates!$A$3:$A$10,0)),""))</f>
        <v/>
      </c>
      <c r="W136" s="34">
        <f>IF($U136="","",IFERROR(INDEX(Templates!$L$3:$L$10,MATCH($U136,Templates!$A$3:$A$10,0)),""))</f>
        <v/>
      </c>
      <c r="X136" s="21">
        <f>IF($U136="","",IFERROR(INDEX(Templates!$J$3:$J$10,MATCH($U136,Templates!$A$3:$A$10,0)),""))</f>
        <v/>
      </c>
      <c r="Y136" s="35">
        <f>IF(OR($U136="",$I136="",$J136="",$X136=""),"",$I136+$X136*($J136-$I136))</f>
        <v/>
      </c>
      <c r="Z136" s="30" t="n">
        <v>46212</v>
      </c>
      <c r="AA136" s="40" t="n"/>
      <c r="AB136" s="41" t="n"/>
      <c r="AC136" s="41" t="n"/>
      <c r="AD136" s="19">
        <f>IF($A136="","",IF($AA136="",$H136,$AA136))</f>
        <v/>
      </c>
      <c r="AE136" s="35">
        <f>IF($A136="","",IF($AB136="",$I136,$AB136))</f>
        <v/>
      </c>
      <c r="AF136" s="35">
        <f>IF($A136="","",IF($AC136="",$J136,$AC136))</f>
        <v/>
      </c>
      <c r="AG136" s="35">
        <f>IF(OR($U136="",$AE136="",$AF136="",$X136=""),"",$AE136+$X136*($AF136-$AE136))</f>
        <v/>
      </c>
      <c r="AH136" s="38" t="n"/>
      <c r="AI136" s="38" t="n"/>
      <c r="AJ136" s="38" t="n"/>
      <c r="AK136" s="38" t="n"/>
      <c r="AL136" s="38" t="n"/>
      <c r="AM136" s="38" t="n"/>
      <c r="AN136" s="38" t="n"/>
      <c r="AO136" s="38" t="n"/>
      <c r="AP136" s="38" t="n"/>
      <c r="AQ136" s="38" t="n"/>
      <c r="AR136" s="38" t="n"/>
      <c r="AS136" s="38" t="n"/>
      <c r="AT136" s="38" t="n"/>
      <c r="AU136" s="38" t="n"/>
      <c r="AV136" s="38" t="n"/>
      <c r="AW136" s="38" t="n"/>
      <c r="AX136" s="38" t="n"/>
      <c r="AY136" s="42" t="n"/>
      <c r="AZ136" s="42" t="n"/>
      <c r="BA136" s="42" t="n"/>
      <c r="BB136" s="42" t="n"/>
      <c r="BC136" s="42" t="n"/>
      <c r="BD136" s="37">
        <f>IF($A136="","",SUM($AY136:$BC136))</f>
        <v/>
      </c>
      <c r="BE136" s="18">
        <f>IF($A136="","",IF(AND($I136&lt;&gt;"",$J136&lt;&gt;""),MAX(1,($J136-$I136)/7),Templates!$B$35))</f>
        <v/>
      </c>
      <c r="BF136" s="18">
        <f>IF($A136="","",IF(AND($I136&lt;&gt;"",$J136&lt;&gt;""),MAX(1,($J136-$I136)/7),Templates!$B$36))</f>
        <v/>
      </c>
      <c r="BG136" s="18">
        <f>IF($A136="","",IF(AND($I136&lt;&gt;"",$J136&lt;&gt;""),MAX(1,($J136-$I136)/7),Templates!$B$37))</f>
        <v/>
      </c>
      <c r="BH136" s="18">
        <f>IF($A136="","",IF(AND($I136&lt;&gt;"",$J136&lt;&gt;""),MAX(1,($J136-$I136)/7),Templates!$B$38))</f>
        <v/>
      </c>
      <c r="BI136" s="18">
        <f>IF($A136="","",IF(AND($I136&lt;&gt;"",$J136&lt;&gt;""),MAX(1,($J136-$I136)/7),Templates!$B$39))</f>
        <v/>
      </c>
      <c r="BJ136" s="18">
        <f>IF(OR($A136="",$BD136=0),0,($AY136*Templates!$B$27/$BE136+$AZ136*Templates!$B$28/$BF136+$BA136*Templates!$B$29/$BG136+$BB136*Templates!$B$30/$BH136+$BC136*Templates!$B$31/$BI136)/Templates!$B$17)</f>
        <v/>
      </c>
      <c r="BK136" s="18">
        <f>IF(OR($A136="",$BD136=0),0,($AY136*Templates!$C$27/$BE136+$AZ136*Templates!$C$28/$BF136+$BA136*Templates!$C$29/$BG136+$BB136*Templates!$C$30/$BH136+$BC136*Templates!$C$31/$BI136)/Templates!$B$18)</f>
        <v/>
      </c>
      <c r="BL136" s="18">
        <f>IF(OR($A136="",$BD136=0),0,($AY136*Templates!$D$27/$BE136+$AZ136*Templates!$D$28/$BF136+$BA136*Templates!$D$29/$BG136+$BB136*Templates!$D$30/$BH136+$BC136*Templates!$D$31/$BI136)/Templates!$B$19)</f>
        <v/>
      </c>
      <c r="BM136" s="18">
        <f>IF(OR($A136="",$BD136=0),0,($AY136*Templates!$E$27/$BE136+$AZ136*Templates!$E$28/$BF136+$BA136*Templates!$E$29/$BG136+$BB136*Templates!$E$30/$BH136+$BC136*Templates!$E$31/$BI136)/Templates!$B$20)</f>
        <v/>
      </c>
      <c r="BN136" s="18">
        <f>IF(OR($A136="",$BD136=0),0,($AY136*Templates!$F$27/$BE136+$AZ136*Templates!$F$28/$BF136+$BA136*Templates!$F$29/$BG136+$BB136*Templates!$F$30/$BH136+$BC136*Templates!$F$31/$BI136)/Templates!$B$21)</f>
        <v/>
      </c>
      <c r="BO136" s="18">
        <f>IF(OR($A136="",$BD136=0),0,($AY136*Templates!$G$27/$BE136+$AZ136*Templates!$G$28/$BF136+$BA136*Templates!$G$29/$BG136+$BB136*Templates!$G$30/$BH136+$BC136*Templates!$G$31/$BI136)/Templates!$B$22)</f>
        <v/>
      </c>
      <c r="BP136" s="18">
        <f>IF(OR($A136="",$BD136=0),0,($AY136*Templates!$H$27/$BE136+$AZ136*Templates!$H$28/$BF136+$BA136*Templates!$H$29/$BG136+$BB136*Templates!$H$30/$BH136+$BC136*Templates!$H$31/$BI136)/Templates!$B$23)</f>
        <v/>
      </c>
    </row>
    <row r="137">
      <c r="A137" s="28" t="inlineStr">
        <is>
          <t>PearlX_1</t>
        </is>
      </c>
      <c r="B137" s="20" t="inlineStr">
        <is>
          <t>Sands Point Risk</t>
        </is>
      </c>
      <c r="C137" s="28" t="inlineStr">
        <is>
          <t>Sands Point Risk</t>
        </is>
      </c>
      <c r="D137" s="28" t="inlineStr"/>
      <c r="E137" s="28" t="inlineStr">
        <is>
          <t>No</t>
        </is>
      </c>
      <c r="F137" s="28" t="inlineStr">
        <is>
          <t>Active</t>
        </is>
      </c>
      <c r="G137" s="38" t="n"/>
      <c r="H137" s="29" t="n">
        <v>1</v>
      </c>
      <c r="I137" s="39" t="n"/>
      <c r="J137" s="39" t="n"/>
      <c r="K137" s="31" t="n"/>
      <c r="L137" s="31" t="n"/>
      <c r="M137" s="31" t="n"/>
      <c r="N137" s="31" t="n"/>
      <c r="O137" s="31" t="n"/>
      <c r="P137" s="31" t="n"/>
      <c r="Q137" s="23">
        <f>IF($A137="","",COUNTIFS(Assignments!$C$2:$C$769,$A137,Assignments!$G$2:$G$769,"Active"))</f>
        <v/>
      </c>
      <c r="R137" s="32">
        <f>IF($A137="","",SUMIFS(Assignments!$I$2:$I$769,Assignments!$C$2:$C$769,$A137,Assignments!$G$2:$G$769,"Active"))</f>
        <v/>
      </c>
      <c r="S137" s="20" t="inlineStr">
        <is>
          <t>WIP</t>
        </is>
      </c>
      <c r="T137" s="31" t="n"/>
      <c r="U137" s="38" t="n"/>
      <c r="V137" s="34">
        <f>IF($U137="","",IFERROR(INDEX(Templates!$K$3:$K$10,MATCH($U137,Templates!$A$3:$A$10,0)),""))</f>
        <v/>
      </c>
      <c r="W137" s="34">
        <f>IF($U137="","",IFERROR(INDEX(Templates!$L$3:$L$10,MATCH($U137,Templates!$A$3:$A$10,0)),""))</f>
        <v/>
      </c>
      <c r="X137" s="21">
        <f>IF($U137="","",IFERROR(INDEX(Templates!$J$3:$J$10,MATCH($U137,Templates!$A$3:$A$10,0)),""))</f>
        <v/>
      </c>
      <c r="Y137" s="35">
        <f>IF(OR($U137="",$I137="",$J137="",$X137=""),"",$I137+$X137*($J137-$I137))</f>
        <v/>
      </c>
      <c r="Z137" s="30" t="n">
        <v>46212</v>
      </c>
      <c r="AA137" s="40" t="n"/>
      <c r="AB137" s="41" t="n"/>
      <c r="AC137" s="41" t="n"/>
      <c r="AD137" s="19">
        <f>IF($A137="","",IF($AA137="",$H137,$AA137))</f>
        <v/>
      </c>
      <c r="AE137" s="35">
        <f>IF($A137="","",IF($AB137="",$I137,$AB137))</f>
        <v/>
      </c>
      <c r="AF137" s="35">
        <f>IF($A137="","",IF($AC137="",$J137,$AC137))</f>
        <v/>
      </c>
      <c r="AG137" s="35">
        <f>IF(OR($U137="",$AE137="",$AF137="",$X137=""),"",$AE137+$X137*($AF137-$AE137))</f>
        <v/>
      </c>
      <c r="AH137" s="38" t="n"/>
      <c r="AI137" s="38" t="n"/>
      <c r="AJ137" s="38" t="n"/>
      <c r="AK137" s="38" t="n"/>
      <c r="AL137" s="38" t="n"/>
      <c r="AM137" s="38" t="n"/>
      <c r="AN137" s="38" t="n"/>
      <c r="AO137" s="38" t="n"/>
      <c r="AP137" s="38" t="n"/>
      <c r="AQ137" s="38" t="n"/>
      <c r="AR137" s="38" t="n"/>
      <c r="AS137" s="38" t="n"/>
      <c r="AT137" s="38" t="n"/>
      <c r="AU137" s="38" t="n"/>
      <c r="AV137" s="38" t="n"/>
      <c r="AW137" s="38" t="n"/>
      <c r="AX137" s="38" t="n"/>
      <c r="AY137" s="42" t="n"/>
      <c r="AZ137" s="42" t="n"/>
      <c r="BA137" s="42" t="n"/>
      <c r="BB137" s="42" t="n"/>
      <c r="BC137" s="42" t="n"/>
      <c r="BD137" s="37">
        <f>IF($A137="","",SUM($AY137:$BC137))</f>
        <v/>
      </c>
      <c r="BE137" s="18">
        <f>IF($A137="","",IF(AND($I137&lt;&gt;"",$J137&lt;&gt;""),MAX(1,($J137-$I137)/7),Templates!$B$35))</f>
        <v/>
      </c>
      <c r="BF137" s="18">
        <f>IF($A137="","",IF(AND($I137&lt;&gt;"",$J137&lt;&gt;""),MAX(1,($J137-$I137)/7),Templates!$B$36))</f>
        <v/>
      </c>
      <c r="BG137" s="18">
        <f>IF($A137="","",IF(AND($I137&lt;&gt;"",$J137&lt;&gt;""),MAX(1,($J137-$I137)/7),Templates!$B$37))</f>
        <v/>
      </c>
      <c r="BH137" s="18">
        <f>IF($A137="","",IF(AND($I137&lt;&gt;"",$J137&lt;&gt;""),MAX(1,($J137-$I137)/7),Templates!$B$38))</f>
        <v/>
      </c>
      <c r="BI137" s="18">
        <f>IF($A137="","",IF(AND($I137&lt;&gt;"",$J137&lt;&gt;""),MAX(1,($J137-$I137)/7),Templates!$B$39))</f>
        <v/>
      </c>
      <c r="BJ137" s="18">
        <f>IF(OR($A137="",$BD137=0),0,($AY137*Templates!$B$27/$BE137+$AZ137*Templates!$B$28/$BF137+$BA137*Templates!$B$29/$BG137+$BB137*Templates!$B$30/$BH137+$BC137*Templates!$B$31/$BI137)/Templates!$B$17)</f>
        <v/>
      </c>
      <c r="BK137" s="18">
        <f>IF(OR($A137="",$BD137=0),0,($AY137*Templates!$C$27/$BE137+$AZ137*Templates!$C$28/$BF137+$BA137*Templates!$C$29/$BG137+$BB137*Templates!$C$30/$BH137+$BC137*Templates!$C$31/$BI137)/Templates!$B$18)</f>
        <v/>
      </c>
      <c r="BL137" s="18">
        <f>IF(OR($A137="",$BD137=0),0,($AY137*Templates!$D$27/$BE137+$AZ137*Templates!$D$28/$BF137+$BA137*Templates!$D$29/$BG137+$BB137*Templates!$D$30/$BH137+$BC137*Templates!$D$31/$BI137)/Templates!$B$19)</f>
        <v/>
      </c>
      <c r="BM137" s="18">
        <f>IF(OR($A137="",$BD137=0),0,($AY137*Templates!$E$27/$BE137+$AZ137*Templates!$E$28/$BF137+$BA137*Templates!$E$29/$BG137+$BB137*Templates!$E$30/$BH137+$BC137*Templates!$E$31/$BI137)/Templates!$B$20)</f>
        <v/>
      </c>
      <c r="BN137" s="18">
        <f>IF(OR($A137="",$BD137=0),0,($AY137*Templates!$F$27/$BE137+$AZ137*Templates!$F$28/$BF137+$BA137*Templates!$F$29/$BG137+$BB137*Templates!$F$30/$BH137+$BC137*Templates!$F$31/$BI137)/Templates!$B$21)</f>
        <v/>
      </c>
      <c r="BO137" s="18">
        <f>IF(OR($A137="",$BD137=0),0,($AY137*Templates!$G$27/$BE137+$AZ137*Templates!$G$28/$BF137+$BA137*Templates!$G$29/$BG137+$BB137*Templates!$G$30/$BH137+$BC137*Templates!$G$31/$BI137)/Templates!$B$22)</f>
        <v/>
      </c>
      <c r="BP137" s="18">
        <f>IF(OR($A137="",$BD137=0),0,($AY137*Templates!$H$27/$BE137+$AZ137*Templates!$H$28/$BF137+$BA137*Templates!$H$29/$BG137+$BB137*Templates!$H$30/$BH137+$BC137*Templates!$H$31/$BI137)/Templates!$B$23)</f>
        <v/>
      </c>
    </row>
    <row r="138">
      <c r="A138" s="28" t="inlineStr">
        <is>
          <t>Pet_1</t>
        </is>
      </c>
      <c r="B138" s="20" t="inlineStr">
        <is>
          <t>Gateway</t>
        </is>
      </c>
      <c r="C138" s="28" t="inlineStr">
        <is>
          <t>Gateway</t>
        </is>
      </c>
      <c r="D138" s="28" t="inlineStr"/>
      <c r="E138" s="28" t="inlineStr">
        <is>
          <t>No</t>
        </is>
      </c>
      <c r="F138" s="28" t="inlineStr">
        <is>
          <t>Active</t>
        </is>
      </c>
      <c r="G138" s="38" t="n"/>
      <c r="H138" s="29" t="n">
        <v>1</v>
      </c>
      <c r="I138" s="39" t="n"/>
      <c r="J138" s="39" t="n"/>
      <c r="K138" s="31" t="n"/>
      <c r="L138" s="31" t="n"/>
      <c r="M138" s="31" t="n"/>
      <c r="N138" s="31" t="n"/>
      <c r="O138" s="31" t="n"/>
      <c r="P138" s="31" t="n"/>
      <c r="Q138" s="23">
        <f>IF($A138="","",COUNTIFS(Assignments!$C$2:$C$769,$A138,Assignments!$G$2:$G$769,"Active"))</f>
        <v/>
      </c>
      <c r="R138" s="32">
        <f>IF($A138="","",SUMIFS(Assignments!$I$2:$I$769,Assignments!$C$2:$C$769,$A138,Assignments!$G$2:$G$769,"Active"))</f>
        <v/>
      </c>
      <c r="S138" s="20" t="inlineStr">
        <is>
          <t>WIP</t>
        </is>
      </c>
      <c r="T138" s="31" t="n"/>
      <c r="U138" s="38" t="n"/>
      <c r="V138" s="34">
        <f>IF($U138="","",IFERROR(INDEX(Templates!$K$3:$K$10,MATCH($U138,Templates!$A$3:$A$10,0)),""))</f>
        <v/>
      </c>
      <c r="W138" s="34">
        <f>IF($U138="","",IFERROR(INDEX(Templates!$L$3:$L$10,MATCH($U138,Templates!$A$3:$A$10,0)),""))</f>
        <v/>
      </c>
      <c r="X138" s="21">
        <f>IF($U138="","",IFERROR(INDEX(Templates!$J$3:$J$10,MATCH($U138,Templates!$A$3:$A$10,0)),""))</f>
        <v/>
      </c>
      <c r="Y138" s="35">
        <f>IF(OR($U138="",$I138="",$J138="",$X138=""),"",$I138+$X138*($J138-$I138))</f>
        <v/>
      </c>
      <c r="Z138" s="30" t="n">
        <v>46212</v>
      </c>
      <c r="AA138" s="40" t="n"/>
      <c r="AB138" s="41" t="n"/>
      <c r="AC138" s="41" t="n"/>
      <c r="AD138" s="19">
        <f>IF($A138="","",IF($AA138="",$H138,$AA138))</f>
        <v/>
      </c>
      <c r="AE138" s="35">
        <f>IF($A138="","",IF($AB138="",$I138,$AB138))</f>
        <v/>
      </c>
      <c r="AF138" s="35">
        <f>IF($A138="","",IF($AC138="",$J138,$AC138))</f>
        <v/>
      </c>
      <c r="AG138" s="35">
        <f>IF(OR($U138="",$AE138="",$AF138="",$X138=""),"",$AE138+$X138*($AF138-$AE138))</f>
        <v/>
      </c>
      <c r="AH138" s="38" t="n"/>
      <c r="AI138" s="38" t="n"/>
      <c r="AJ138" s="38" t="n"/>
      <c r="AK138" s="38" t="n"/>
      <c r="AL138" s="38" t="n"/>
      <c r="AM138" s="38" t="n"/>
      <c r="AN138" s="38" t="n"/>
      <c r="AO138" s="38" t="n"/>
      <c r="AP138" s="38" t="n"/>
      <c r="AQ138" s="38" t="n"/>
      <c r="AR138" s="38" t="n"/>
      <c r="AS138" s="38" t="n"/>
      <c r="AT138" s="38" t="n"/>
      <c r="AU138" s="38" t="n"/>
      <c r="AV138" s="38" t="n"/>
      <c r="AW138" s="38" t="n"/>
      <c r="AX138" s="38" t="n"/>
      <c r="AY138" s="42" t="n"/>
      <c r="AZ138" s="42" t="n"/>
      <c r="BA138" s="42" t="n"/>
      <c r="BB138" s="42" t="n"/>
      <c r="BC138" s="42" t="n"/>
      <c r="BD138" s="37">
        <f>IF($A138="","",SUM($AY138:$BC138))</f>
        <v/>
      </c>
      <c r="BE138" s="18">
        <f>IF($A138="","",IF(AND($I138&lt;&gt;"",$J138&lt;&gt;""),MAX(1,($J138-$I138)/7),Templates!$B$35))</f>
        <v/>
      </c>
      <c r="BF138" s="18">
        <f>IF($A138="","",IF(AND($I138&lt;&gt;"",$J138&lt;&gt;""),MAX(1,($J138-$I138)/7),Templates!$B$36))</f>
        <v/>
      </c>
      <c r="BG138" s="18">
        <f>IF($A138="","",IF(AND($I138&lt;&gt;"",$J138&lt;&gt;""),MAX(1,($J138-$I138)/7),Templates!$B$37))</f>
        <v/>
      </c>
      <c r="BH138" s="18">
        <f>IF($A138="","",IF(AND($I138&lt;&gt;"",$J138&lt;&gt;""),MAX(1,($J138-$I138)/7),Templates!$B$38))</f>
        <v/>
      </c>
      <c r="BI138" s="18">
        <f>IF($A138="","",IF(AND($I138&lt;&gt;"",$J138&lt;&gt;""),MAX(1,($J138-$I138)/7),Templates!$B$39))</f>
        <v/>
      </c>
      <c r="BJ138" s="18">
        <f>IF(OR($A138="",$BD138=0),0,($AY138*Templates!$B$27/$BE138+$AZ138*Templates!$B$28/$BF138+$BA138*Templates!$B$29/$BG138+$BB138*Templates!$B$30/$BH138+$BC138*Templates!$B$31/$BI138)/Templates!$B$17)</f>
        <v/>
      </c>
      <c r="BK138" s="18">
        <f>IF(OR($A138="",$BD138=0),0,($AY138*Templates!$C$27/$BE138+$AZ138*Templates!$C$28/$BF138+$BA138*Templates!$C$29/$BG138+$BB138*Templates!$C$30/$BH138+$BC138*Templates!$C$31/$BI138)/Templates!$B$18)</f>
        <v/>
      </c>
      <c r="BL138" s="18">
        <f>IF(OR($A138="",$BD138=0),0,($AY138*Templates!$D$27/$BE138+$AZ138*Templates!$D$28/$BF138+$BA138*Templates!$D$29/$BG138+$BB138*Templates!$D$30/$BH138+$BC138*Templates!$D$31/$BI138)/Templates!$B$19)</f>
        <v/>
      </c>
      <c r="BM138" s="18">
        <f>IF(OR($A138="",$BD138=0),0,($AY138*Templates!$E$27/$BE138+$AZ138*Templates!$E$28/$BF138+$BA138*Templates!$E$29/$BG138+$BB138*Templates!$E$30/$BH138+$BC138*Templates!$E$31/$BI138)/Templates!$B$20)</f>
        <v/>
      </c>
      <c r="BN138" s="18">
        <f>IF(OR($A138="",$BD138=0),0,($AY138*Templates!$F$27/$BE138+$AZ138*Templates!$F$28/$BF138+$BA138*Templates!$F$29/$BG138+$BB138*Templates!$F$30/$BH138+$BC138*Templates!$F$31/$BI138)/Templates!$B$21)</f>
        <v/>
      </c>
      <c r="BO138" s="18">
        <f>IF(OR($A138="",$BD138=0),0,($AY138*Templates!$G$27/$BE138+$AZ138*Templates!$G$28/$BF138+$BA138*Templates!$G$29/$BG138+$BB138*Templates!$G$30/$BH138+$BC138*Templates!$G$31/$BI138)/Templates!$B$22)</f>
        <v/>
      </c>
      <c r="BP138" s="18">
        <f>IF(OR($A138="",$BD138=0),0,($AY138*Templates!$H$27/$BE138+$AZ138*Templates!$H$28/$BF138+$BA138*Templates!$H$29/$BG138+$BB138*Templates!$H$30/$BH138+$BC138*Templates!$H$31/$BI138)/Templates!$B$23)</f>
        <v/>
      </c>
    </row>
    <row r="139">
      <c r="A139" s="28" t="inlineStr">
        <is>
          <t>Pine_1</t>
        </is>
      </c>
      <c r="B139" s="20" t="inlineStr">
        <is>
          <t>Euclid Transactional</t>
        </is>
      </c>
      <c r="C139" s="28" t="inlineStr">
        <is>
          <t>Euclid Transactional</t>
        </is>
      </c>
      <c r="D139" s="28" t="inlineStr"/>
      <c r="E139" s="28" t="inlineStr">
        <is>
          <t>No</t>
        </is>
      </c>
      <c r="F139" s="28" t="inlineStr">
        <is>
          <t>Active</t>
        </is>
      </c>
      <c r="G139" s="38" t="n"/>
      <c r="H139" s="29" t="n">
        <v>1</v>
      </c>
      <c r="I139" s="39" t="n"/>
      <c r="J139" s="39" t="n"/>
      <c r="K139" s="31" t="n"/>
      <c r="L139" s="31" t="n"/>
      <c r="M139" s="31" t="n"/>
      <c r="N139" s="31" t="n"/>
      <c r="O139" s="31" t="n"/>
      <c r="P139" s="31" t="n"/>
      <c r="Q139" s="23">
        <f>IF($A139="","",COUNTIFS(Assignments!$C$2:$C$769,$A139,Assignments!$G$2:$G$769,"Active"))</f>
        <v/>
      </c>
      <c r="R139" s="32">
        <f>IF($A139="","",SUMIFS(Assignments!$I$2:$I$769,Assignments!$C$2:$C$769,$A139,Assignments!$G$2:$G$769,"Active"))</f>
        <v/>
      </c>
      <c r="S139" s="20" t="inlineStr">
        <is>
          <t>WIP</t>
        </is>
      </c>
      <c r="T139" s="31" t="n"/>
      <c r="U139" s="38" t="n"/>
      <c r="V139" s="34">
        <f>IF($U139="","",IFERROR(INDEX(Templates!$K$3:$K$10,MATCH($U139,Templates!$A$3:$A$10,0)),""))</f>
        <v/>
      </c>
      <c r="W139" s="34">
        <f>IF($U139="","",IFERROR(INDEX(Templates!$L$3:$L$10,MATCH($U139,Templates!$A$3:$A$10,0)),""))</f>
        <v/>
      </c>
      <c r="X139" s="21">
        <f>IF($U139="","",IFERROR(INDEX(Templates!$J$3:$J$10,MATCH($U139,Templates!$A$3:$A$10,0)),""))</f>
        <v/>
      </c>
      <c r="Y139" s="35">
        <f>IF(OR($U139="",$I139="",$J139="",$X139=""),"",$I139+$X139*($J139-$I139))</f>
        <v/>
      </c>
      <c r="Z139" s="30" t="n">
        <v>46212</v>
      </c>
      <c r="AA139" s="40" t="n"/>
      <c r="AB139" s="41" t="n"/>
      <c r="AC139" s="41" t="n"/>
      <c r="AD139" s="19">
        <f>IF($A139="","",IF($AA139="",$H139,$AA139))</f>
        <v/>
      </c>
      <c r="AE139" s="35">
        <f>IF($A139="","",IF($AB139="",$I139,$AB139))</f>
        <v/>
      </c>
      <c r="AF139" s="35">
        <f>IF($A139="","",IF($AC139="",$J139,$AC139))</f>
        <v/>
      </c>
      <c r="AG139" s="35">
        <f>IF(OR($U139="",$AE139="",$AF139="",$X139=""),"",$AE139+$X139*($AF139-$AE139))</f>
        <v/>
      </c>
      <c r="AH139" s="38" t="n"/>
      <c r="AI139" s="38" t="n"/>
      <c r="AJ139" s="38" t="n"/>
      <c r="AK139" s="38" t="n"/>
      <c r="AL139" s="38" t="n"/>
      <c r="AM139" s="38" t="n"/>
      <c r="AN139" s="38" t="n"/>
      <c r="AO139" s="38" t="n"/>
      <c r="AP139" s="38" t="n"/>
      <c r="AQ139" s="38" t="n"/>
      <c r="AR139" s="38" t="n"/>
      <c r="AS139" s="38" t="n"/>
      <c r="AT139" s="38" t="n"/>
      <c r="AU139" s="38" t="n"/>
      <c r="AV139" s="38" t="n"/>
      <c r="AW139" s="38" t="n"/>
      <c r="AX139" s="38" t="n"/>
      <c r="AY139" s="42" t="n"/>
      <c r="AZ139" s="42" t="n"/>
      <c r="BA139" s="42" t="n"/>
      <c r="BB139" s="42" t="n"/>
      <c r="BC139" s="42" t="n"/>
      <c r="BD139" s="37">
        <f>IF($A139="","",SUM($AY139:$BC139))</f>
        <v/>
      </c>
      <c r="BE139" s="18">
        <f>IF($A139="","",IF(AND($I139&lt;&gt;"",$J139&lt;&gt;""),MAX(1,($J139-$I139)/7),Templates!$B$35))</f>
        <v/>
      </c>
      <c r="BF139" s="18">
        <f>IF($A139="","",IF(AND($I139&lt;&gt;"",$J139&lt;&gt;""),MAX(1,($J139-$I139)/7),Templates!$B$36))</f>
        <v/>
      </c>
      <c r="BG139" s="18">
        <f>IF($A139="","",IF(AND($I139&lt;&gt;"",$J139&lt;&gt;""),MAX(1,($J139-$I139)/7),Templates!$B$37))</f>
        <v/>
      </c>
      <c r="BH139" s="18">
        <f>IF($A139="","",IF(AND($I139&lt;&gt;"",$J139&lt;&gt;""),MAX(1,($J139-$I139)/7),Templates!$B$38))</f>
        <v/>
      </c>
      <c r="BI139" s="18">
        <f>IF($A139="","",IF(AND($I139&lt;&gt;"",$J139&lt;&gt;""),MAX(1,($J139-$I139)/7),Templates!$B$39))</f>
        <v/>
      </c>
      <c r="BJ139" s="18">
        <f>IF(OR($A139="",$BD139=0),0,($AY139*Templates!$B$27/$BE139+$AZ139*Templates!$B$28/$BF139+$BA139*Templates!$B$29/$BG139+$BB139*Templates!$B$30/$BH139+$BC139*Templates!$B$31/$BI139)/Templates!$B$17)</f>
        <v/>
      </c>
      <c r="BK139" s="18">
        <f>IF(OR($A139="",$BD139=0),0,($AY139*Templates!$C$27/$BE139+$AZ139*Templates!$C$28/$BF139+$BA139*Templates!$C$29/$BG139+$BB139*Templates!$C$30/$BH139+$BC139*Templates!$C$31/$BI139)/Templates!$B$18)</f>
        <v/>
      </c>
      <c r="BL139" s="18">
        <f>IF(OR($A139="",$BD139=0),0,($AY139*Templates!$D$27/$BE139+$AZ139*Templates!$D$28/$BF139+$BA139*Templates!$D$29/$BG139+$BB139*Templates!$D$30/$BH139+$BC139*Templates!$D$31/$BI139)/Templates!$B$19)</f>
        <v/>
      </c>
      <c r="BM139" s="18">
        <f>IF(OR($A139="",$BD139=0),0,($AY139*Templates!$E$27/$BE139+$AZ139*Templates!$E$28/$BF139+$BA139*Templates!$E$29/$BG139+$BB139*Templates!$E$30/$BH139+$BC139*Templates!$E$31/$BI139)/Templates!$B$20)</f>
        <v/>
      </c>
      <c r="BN139" s="18">
        <f>IF(OR($A139="",$BD139=0),0,($AY139*Templates!$F$27/$BE139+$AZ139*Templates!$F$28/$BF139+$BA139*Templates!$F$29/$BG139+$BB139*Templates!$F$30/$BH139+$BC139*Templates!$F$31/$BI139)/Templates!$B$21)</f>
        <v/>
      </c>
      <c r="BO139" s="18">
        <f>IF(OR($A139="",$BD139=0),0,($AY139*Templates!$G$27/$BE139+$AZ139*Templates!$G$28/$BF139+$BA139*Templates!$G$29/$BG139+$BB139*Templates!$G$30/$BH139+$BC139*Templates!$G$31/$BI139)/Templates!$B$22)</f>
        <v/>
      </c>
      <c r="BP139" s="18">
        <f>IF(OR($A139="",$BD139=0),0,($AY139*Templates!$H$27/$BE139+$AZ139*Templates!$H$28/$BF139+$BA139*Templates!$H$29/$BG139+$BB139*Templates!$H$30/$BH139+$BC139*Templates!$H$31/$BI139)/Templates!$B$23)</f>
        <v/>
      </c>
    </row>
    <row r="140">
      <c r="A140" s="28" t="inlineStr">
        <is>
          <t>Pinecreek_1</t>
        </is>
      </c>
      <c r="B140" s="20" t="inlineStr">
        <is>
          <t>Euclid Transactional</t>
        </is>
      </c>
      <c r="C140" s="28" t="inlineStr">
        <is>
          <t>Euclid Transactional</t>
        </is>
      </c>
      <c r="D140" s="28" t="inlineStr"/>
      <c r="E140" s="28" t="inlineStr">
        <is>
          <t>No</t>
        </is>
      </c>
      <c r="F140" s="28" t="inlineStr">
        <is>
          <t>Active</t>
        </is>
      </c>
      <c r="G140" s="38" t="n"/>
      <c r="H140" s="29" t="n">
        <v>1</v>
      </c>
      <c r="I140" s="39" t="n"/>
      <c r="J140" s="39" t="n"/>
      <c r="K140" s="31" t="n"/>
      <c r="L140" s="31" t="n"/>
      <c r="M140" s="31" t="n"/>
      <c r="N140" s="31" t="n"/>
      <c r="O140" s="31" t="n"/>
      <c r="P140" s="31" t="n"/>
      <c r="Q140" s="23">
        <f>IF($A140="","",COUNTIFS(Assignments!$C$2:$C$769,$A140,Assignments!$G$2:$G$769,"Active"))</f>
        <v/>
      </c>
      <c r="R140" s="32">
        <f>IF($A140="","",SUMIFS(Assignments!$I$2:$I$769,Assignments!$C$2:$C$769,$A140,Assignments!$G$2:$G$769,"Active"))</f>
        <v/>
      </c>
      <c r="S140" s="20" t="inlineStr">
        <is>
          <t>WIP</t>
        </is>
      </c>
      <c r="T140" s="31" t="n"/>
      <c r="U140" s="38" t="n"/>
      <c r="V140" s="34">
        <f>IF($U140="","",IFERROR(INDEX(Templates!$K$3:$K$10,MATCH($U140,Templates!$A$3:$A$10,0)),""))</f>
        <v/>
      </c>
      <c r="W140" s="34">
        <f>IF($U140="","",IFERROR(INDEX(Templates!$L$3:$L$10,MATCH($U140,Templates!$A$3:$A$10,0)),""))</f>
        <v/>
      </c>
      <c r="X140" s="21">
        <f>IF($U140="","",IFERROR(INDEX(Templates!$J$3:$J$10,MATCH($U140,Templates!$A$3:$A$10,0)),""))</f>
        <v/>
      </c>
      <c r="Y140" s="35">
        <f>IF(OR($U140="",$I140="",$J140="",$X140=""),"",$I140+$X140*($J140-$I140))</f>
        <v/>
      </c>
      <c r="Z140" s="30" t="n">
        <v>46212</v>
      </c>
      <c r="AA140" s="40" t="n"/>
      <c r="AB140" s="41" t="n"/>
      <c r="AC140" s="41" t="n"/>
      <c r="AD140" s="19">
        <f>IF($A140="","",IF($AA140="",$H140,$AA140))</f>
        <v/>
      </c>
      <c r="AE140" s="35">
        <f>IF($A140="","",IF($AB140="",$I140,$AB140))</f>
        <v/>
      </c>
      <c r="AF140" s="35">
        <f>IF($A140="","",IF($AC140="",$J140,$AC140))</f>
        <v/>
      </c>
      <c r="AG140" s="35">
        <f>IF(OR($U140="",$AE140="",$AF140="",$X140=""),"",$AE140+$X140*($AF140-$AE140))</f>
        <v/>
      </c>
      <c r="AH140" s="38" t="n"/>
      <c r="AI140" s="38" t="n"/>
      <c r="AJ140" s="38" t="n"/>
      <c r="AK140" s="38" t="n"/>
      <c r="AL140" s="38" t="n"/>
      <c r="AM140" s="38" t="n"/>
      <c r="AN140" s="38" t="n"/>
      <c r="AO140" s="38" t="n"/>
      <c r="AP140" s="38" t="n"/>
      <c r="AQ140" s="38" t="n"/>
      <c r="AR140" s="38" t="n"/>
      <c r="AS140" s="38" t="n"/>
      <c r="AT140" s="38" t="n"/>
      <c r="AU140" s="38" t="n"/>
      <c r="AV140" s="38" t="n"/>
      <c r="AW140" s="38" t="n"/>
      <c r="AX140" s="38" t="n"/>
      <c r="AY140" s="42" t="n"/>
      <c r="AZ140" s="42" t="n"/>
      <c r="BA140" s="42" t="n"/>
      <c r="BB140" s="42" t="n"/>
      <c r="BC140" s="42" t="n"/>
      <c r="BD140" s="37">
        <f>IF($A140="","",SUM($AY140:$BC140))</f>
        <v/>
      </c>
      <c r="BE140" s="18">
        <f>IF($A140="","",IF(AND($I140&lt;&gt;"",$J140&lt;&gt;""),MAX(1,($J140-$I140)/7),Templates!$B$35))</f>
        <v/>
      </c>
      <c r="BF140" s="18">
        <f>IF($A140="","",IF(AND($I140&lt;&gt;"",$J140&lt;&gt;""),MAX(1,($J140-$I140)/7),Templates!$B$36))</f>
        <v/>
      </c>
      <c r="BG140" s="18">
        <f>IF($A140="","",IF(AND($I140&lt;&gt;"",$J140&lt;&gt;""),MAX(1,($J140-$I140)/7),Templates!$B$37))</f>
        <v/>
      </c>
      <c r="BH140" s="18">
        <f>IF($A140="","",IF(AND($I140&lt;&gt;"",$J140&lt;&gt;""),MAX(1,($J140-$I140)/7),Templates!$B$38))</f>
        <v/>
      </c>
      <c r="BI140" s="18">
        <f>IF($A140="","",IF(AND($I140&lt;&gt;"",$J140&lt;&gt;""),MAX(1,($J140-$I140)/7),Templates!$B$39))</f>
        <v/>
      </c>
      <c r="BJ140" s="18">
        <f>IF(OR($A140="",$BD140=0),0,($AY140*Templates!$B$27/$BE140+$AZ140*Templates!$B$28/$BF140+$BA140*Templates!$B$29/$BG140+$BB140*Templates!$B$30/$BH140+$BC140*Templates!$B$31/$BI140)/Templates!$B$17)</f>
        <v/>
      </c>
      <c r="BK140" s="18">
        <f>IF(OR($A140="",$BD140=0),0,($AY140*Templates!$C$27/$BE140+$AZ140*Templates!$C$28/$BF140+$BA140*Templates!$C$29/$BG140+$BB140*Templates!$C$30/$BH140+$BC140*Templates!$C$31/$BI140)/Templates!$B$18)</f>
        <v/>
      </c>
      <c r="BL140" s="18">
        <f>IF(OR($A140="",$BD140=0),0,($AY140*Templates!$D$27/$BE140+$AZ140*Templates!$D$28/$BF140+$BA140*Templates!$D$29/$BG140+$BB140*Templates!$D$30/$BH140+$BC140*Templates!$D$31/$BI140)/Templates!$B$19)</f>
        <v/>
      </c>
      <c r="BM140" s="18">
        <f>IF(OR($A140="",$BD140=0),0,($AY140*Templates!$E$27/$BE140+$AZ140*Templates!$E$28/$BF140+$BA140*Templates!$E$29/$BG140+$BB140*Templates!$E$30/$BH140+$BC140*Templates!$E$31/$BI140)/Templates!$B$20)</f>
        <v/>
      </c>
      <c r="BN140" s="18">
        <f>IF(OR($A140="",$BD140=0),0,($AY140*Templates!$F$27/$BE140+$AZ140*Templates!$F$28/$BF140+$BA140*Templates!$F$29/$BG140+$BB140*Templates!$F$30/$BH140+$BC140*Templates!$F$31/$BI140)/Templates!$B$21)</f>
        <v/>
      </c>
      <c r="BO140" s="18">
        <f>IF(OR($A140="",$BD140=0),0,($AY140*Templates!$G$27/$BE140+$AZ140*Templates!$G$28/$BF140+$BA140*Templates!$G$29/$BG140+$BB140*Templates!$G$30/$BH140+$BC140*Templates!$G$31/$BI140)/Templates!$B$22)</f>
        <v/>
      </c>
      <c r="BP140" s="18">
        <f>IF(OR($A140="",$BD140=0),0,($AY140*Templates!$H$27/$BE140+$AZ140*Templates!$H$28/$BF140+$BA140*Templates!$H$29/$BG140+$BB140*Templates!$H$30/$BH140+$BC140*Templates!$H$31/$BI140)/Templates!$B$23)</f>
        <v/>
      </c>
    </row>
    <row r="141">
      <c r="A141" s="28" t="inlineStr">
        <is>
          <t>Pivot_3</t>
        </is>
      </c>
      <c r="B141" s="20" t="inlineStr">
        <is>
          <t>Liberty GTS</t>
        </is>
      </c>
      <c r="C141" s="28" t="inlineStr">
        <is>
          <t>Liberty GTS</t>
        </is>
      </c>
      <c r="D141" s="28" t="inlineStr"/>
      <c r="E141" s="28" t="inlineStr">
        <is>
          <t>No</t>
        </is>
      </c>
      <c r="F141" s="28" t="inlineStr">
        <is>
          <t>Active</t>
        </is>
      </c>
      <c r="G141" s="38" t="n"/>
      <c r="H141" s="29" t="n">
        <v>1</v>
      </c>
      <c r="I141" s="39" t="n"/>
      <c r="J141" s="39" t="n"/>
      <c r="K141" s="31" t="n"/>
      <c r="L141" s="31" t="n"/>
      <c r="M141" s="31" t="n"/>
      <c r="N141" s="31" t="n"/>
      <c r="O141" s="31" t="n"/>
      <c r="P141" s="31" t="n"/>
      <c r="Q141" s="23">
        <f>IF($A141="","",COUNTIFS(Assignments!$C$2:$C$769,$A141,Assignments!$G$2:$G$769,"Active"))</f>
        <v/>
      </c>
      <c r="R141" s="32">
        <f>IF($A141="","",SUMIFS(Assignments!$I$2:$I$769,Assignments!$C$2:$C$769,$A141,Assignments!$G$2:$G$769,"Active"))</f>
        <v/>
      </c>
      <c r="S141" s="20" t="inlineStr">
        <is>
          <t>WIP</t>
        </is>
      </c>
      <c r="T141" s="31" t="n"/>
      <c r="U141" s="38" t="n"/>
      <c r="V141" s="34">
        <f>IF($U141="","",IFERROR(INDEX(Templates!$K$3:$K$10,MATCH($U141,Templates!$A$3:$A$10,0)),""))</f>
        <v/>
      </c>
      <c r="W141" s="34">
        <f>IF($U141="","",IFERROR(INDEX(Templates!$L$3:$L$10,MATCH($U141,Templates!$A$3:$A$10,0)),""))</f>
        <v/>
      </c>
      <c r="X141" s="21">
        <f>IF($U141="","",IFERROR(INDEX(Templates!$J$3:$J$10,MATCH($U141,Templates!$A$3:$A$10,0)),""))</f>
        <v/>
      </c>
      <c r="Y141" s="35">
        <f>IF(OR($U141="",$I141="",$J141="",$X141=""),"",$I141+$X141*($J141-$I141))</f>
        <v/>
      </c>
      <c r="Z141" s="30" t="n">
        <v>46212</v>
      </c>
      <c r="AA141" s="40" t="n"/>
      <c r="AB141" s="41" t="n"/>
      <c r="AC141" s="41" t="n"/>
      <c r="AD141" s="19">
        <f>IF($A141="","",IF($AA141="",$H141,$AA141))</f>
        <v/>
      </c>
      <c r="AE141" s="35">
        <f>IF($A141="","",IF($AB141="",$I141,$AB141))</f>
        <v/>
      </c>
      <c r="AF141" s="35">
        <f>IF($A141="","",IF($AC141="",$J141,$AC141))</f>
        <v/>
      </c>
      <c r="AG141" s="35">
        <f>IF(OR($U141="",$AE141="",$AF141="",$X141=""),"",$AE141+$X141*($AF141-$AE141))</f>
        <v/>
      </c>
      <c r="AH141" s="38" t="n"/>
      <c r="AI141" s="38" t="n"/>
      <c r="AJ141" s="38" t="n"/>
      <c r="AK141" s="38" t="n"/>
      <c r="AL141" s="38" t="n"/>
      <c r="AM141" s="38" t="n"/>
      <c r="AN141" s="38" t="n"/>
      <c r="AO141" s="38" t="n"/>
      <c r="AP141" s="38" t="n"/>
      <c r="AQ141" s="38" t="n"/>
      <c r="AR141" s="38" t="n"/>
      <c r="AS141" s="38" t="n"/>
      <c r="AT141" s="38" t="n"/>
      <c r="AU141" s="38" t="n"/>
      <c r="AV141" s="38" t="n"/>
      <c r="AW141" s="38" t="n"/>
      <c r="AX141" s="38" t="n"/>
      <c r="AY141" s="42" t="n"/>
      <c r="AZ141" s="42" t="n"/>
      <c r="BA141" s="42" t="n"/>
      <c r="BB141" s="42" t="n"/>
      <c r="BC141" s="42" t="n"/>
      <c r="BD141" s="37">
        <f>IF($A141="","",SUM($AY141:$BC141))</f>
        <v/>
      </c>
      <c r="BE141" s="18">
        <f>IF($A141="","",IF(AND($I141&lt;&gt;"",$J141&lt;&gt;""),MAX(1,($J141-$I141)/7),Templates!$B$35))</f>
        <v/>
      </c>
      <c r="BF141" s="18">
        <f>IF($A141="","",IF(AND($I141&lt;&gt;"",$J141&lt;&gt;""),MAX(1,($J141-$I141)/7),Templates!$B$36))</f>
        <v/>
      </c>
      <c r="BG141" s="18">
        <f>IF($A141="","",IF(AND($I141&lt;&gt;"",$J141&lt;&gt;""),MAX(1,($J141-$I141)/7),Templates!$B$37))</f>
        <v/>
      </c>
      <c r="BH141" s="18">
        <f>IF($A141="","",IF(AND($I141&lt;&gt;"",$J141&lt;&gt;""),MAX(1,($J141-$I141)/7),Templates!$B$38))</f>
        <v/>
      </c>
      <c r="BI141" s="18">
        <f>IF($A141="","",IF(AND($I141&lt;&gt;"",$J141&lt;&gt;""),MAX(1,($J141-$I141)/7),Templates!$B$39))</f>
        <v/>
      </c>
      <c r="BJ141" s="18">
        <f>IF(OR($A141="",$BD141=0),0,($AY141*Templates!$B$27/$BE141+$AZ141*Templates!$B$28/$BF141+$BA141*Templates!$B$29/$BG141+$BB141*Templates!$B$30/$BH141+$BC141*Templates!$B$31/$BI141)/Templates!$B$17)</f>
        <v/>
      </c>
      <c r="BK141" s="18">
        <f>IF(OR($A141="",$BD141=0),0,($AY141*Templates!$C$27/$BE141+$AZ141*Templates!$C$28/$BF141+$BA141*Templates!$C$29/$BG141+$BB141*Templates!$C$30/$BH141+$BC141*Templates!$C$31/$BI141)/Templates!$B$18)</f>
        <v/>
      </c>
      <c r="BL141" s="18">
        <f>IF(OR($A141="",$BD141=0),0,($AY141*Templates!$D$27/$BE141+$AZ141*Templates!$D$28/$BF141+$BA141*Templates!$D$29/$BG141+$BB141*Templates!$D$30/$BH141+$BC141*Templates!$D$31/$BI141)/Templates!$B$19)</f>
        <v/>
      </c>
      <c r="BM141" s="18">
        <f>IF(OR($A141="",$BD141=0),0,($AY141*Templates!$E$27/$BE141+$AZ141*Templates!$E$28/$BF141+$BA141*Templates!$E$29/$BG141+$BB141*Templates!$E$30/$BH141+$BC141*Templates!$E$31/$BI141)/Templates!$B$20)</f>
        <v/>
      </c>
      <c r="BN141" s="18">
        <f>IF(OR($A141="",$BD141=0),0,($AY141*Templates!$F$27/$BE141+$AZ141*Templates!$F$28/$BF141+$BA141*Templates!$F$29/$BG141+$BB141*Templates!$F$30/$BH141+$BC141*Templates!$F$31/$BI141)/Templates!$B$21)</f>
        <v/>
      </c>
      <c r="BO141" s="18">
        <f>IF(OR($A141="",$BD141=0),0,($AY141*Templates!$G$27/$BE141+$AZ141*Templates!$G$28/$BF141+$BA141*Templates!$G$29/$BG141+$BB141*Templates!$G$30/$BH141+$BC141*Templates!$G$31/$BI141)/Templates!$B$22)</f>
        <v/>
      </c>
      <c r="BP141" s="18">
        <f>IF(OR($A141="",$BD141=0),0,($AY141*Templates!$H$27/$BE141+$AZ141*Templates!$H$28/$BF141+$BA141*Templates!$H$29/$BG141+$BB141*Templates!$H$30/$BH141+$BC141*Templates!$H$31/$BI141)/Templates!$B$23)</f>
        <v/>
      </c>
    </row>
    <row r="142">
      <c r="A142" s="28" t="inlineStr">
        <is>
          <t>Plasma_1</t>
        </is>
      </c>
      <c r="B142" s="20" t="inlineStr">
        <is>
          <t>Beacon Software, Inc.</t>
        </is>
      </c>
      <c r="C142" s="28" t="inlineStr">
        <is>
          <t>Beacon Software, Inc.</t>
        </is>
      </c>
      <c r="D142" s="28" t="inlineStr"/>
      <c r="E142" s="28" t="inlineStr">
        <is>
          <t>No</t>
        </is>
      </c>
      <c r="F142" s="28" t="inlineStr">
        <is>
          <t>Active</t>
        </is>
      </c>
      <c r="G142" s="38" t="n"/>
      <c r="H142" s="29" t="n">
        <v>1</v>
      </c>
      <c r="I142" s="39" t="n"/>
      <c r="J142" s="39" t="n"/>
      <c r="K142" s="31" t="n"/>
      <c r="L142" s="31" t="n"/>
      <c r="M142" s="31" t="n"/>
      <c r="N142" s="31" t="n"/>
      <c r="O142" s="31" t="n"/>
      <c r="P142" s="31" t="n"/>
      <c r="Q142" s="23">
        <f>IF($A142="","",COUNTIFS(Assignments!$C$2:$C$769,$A142,Assignments!$G$2:$G$769,"Active"))</f>
        <v/>
      </c>
      <c r="R142" s="32">
        <f>IF($A142="","",SUMIFS(Assignments!$I$2:$I$769,Assignments!$C$2:$C$769,$A142,Assignments!$G$2:$G$769,"Active"))</f>
        <v/>
      </c>
      <c r="S142" s="20" t="inlineStr">
        <is>
          <t>WIP</t>
        </is>
      </c>
      <c r="T142" s="31" t="n"/>
      <c r="U142" s="38" t="n"/>
      <c r="V142" s="34">
        <f>IF($U142="","",IFERROR(INDEX(Templates!$K$3:$K$10,MATCH($U142,Templates!$A$3:$A$10,0)),""))</f>
        <v/>
      </c>
      <c r="W142" s="34">
        <f>IF($U142="","",IFERROR(INDEX(Templates!$L$3:$L$10,MATCH($U142,Templates!$A$3:$A$10,0)),""))</f>
        <v/>
      </c>
      <c r="X142" s="21">
        <f>IF($U142="","",IFERROR(INDEX(Templates!$J$3:$J$10,MATCH($U142,Templates!$A$3:$A$10,0)),""))</f>
        <v/>
      </c>
      <c r="Y142" s="35">
        <f>IF(OR($U142="",$I142="",$J142="",$X142=""),"",$I142+$X142*($J142-$I142))</f>
        <v/>
      </c>
      <c r="Z142" s="30" t="n">
        <v>46212</v>
      </c>
      <c r="AA142" s="40" t="n"/>
      <c r="AB142" s="41" t="n"/>
      <c r="AC142" s="41" t="n"/>
      <c r="AD142" s="19">
        <f>IF($A142="","",IF($AA142="",$H142,$AA142))</f>
        <v/>
      </c>
      <c r="AE142" s="35">
        <f>IF($A142="","",IF($AB142="",$I142,$AB142))</f>
        <v/>
      </c>
      <c r="AF142" s="35">
        <f>IF($A142="","",IF($AC142="",$J142,$AC142))</f>
        <v/>
      </c>
      <c r="AG142" s="35">
        <f>IF(OR($U142="",$AE142="",$AF142="",$X142=""),"",$AE142+$X142*($AF142-$AE142))</f>
        <v/>
      </c>
      <c r="AH142" s="38" t="n"/>
      <c r="AI142" s="38" t="n"/>
      <c r="AJ142" s="38" t="n"/>
      <c r="AK142" s="38" t="n"/>
      <c r="AL142" s="38" t="n"/>
      <c r="AM142" s="38" t="n"/>
      <c r="AN142" s="38" t="n"/>
      <c r="AO142" s="38" t="n"/>
      <c r="AP142" s="38" t="n"/>
      <c r="AQ142" s="38" t="n"/>
      <c r="AR142" s="38" t="n"/>
      <c r="AS142" s="38" t="n"/>
      <c r="AT142" s="38" t="n"/>
      <c r="AU142" s="38" t="n"/>
      <c r="AV142" s="38" t="n"/>
      <c r="AW142" s="38" t="n"/>
      <c r="AX142" s="38" t="n"/>
      <c r="AY142" s="42" t="n"/>
      <c r="AZ142" s="42" t="n"/>
      <c r="BA142" s="42" t="n"/>
      <c r="BB142" s="42" t="n"/>
      <c r="BC142" s="42" t="n"/>
      <c r="BD142" s="37">
        <f>IF($A142="","",SUM($AY142:$BC142))</f>
        <v/>
      </c>
      <c r="BE142" s="18">
        <f>IF($A142="","",IF(AND($I142&lt;&gt;"",$J142&lt;&gt;""),MAX(1,($J142-$I142)/7),Templates!$B$35))</f>
        <v/>
      </c>
      <c r="BF142" s="18">
        <f>IF($A142="","",IF(AND($I142&lt;&gt;"",$J142&lt;&gt;""),MAX(1,($J142-$I142)/7),Templates!$B$36))</f>
        <v/>
      </c>
      <c r="BG142" s="18">
        <f>IF($A142="","",IF(AND($I142&lt;&gt;"",$J142&lt;&gt;""),MAX(1,($J142-$I142)/7),Templates!$B$37))</f>
        <v/>
      </c>
      <c r="BH142" s="18">
        <f>IF($A142="","",IF(AND($I142&lt;&gt;"",$J142&lt;&gt;""),MAX(1,($J142-$I142)/7),Templates!$B$38))</f>
        <v/>
      </c>
      <c r="BI142" s="18">
        <f>IF($A142="","",IF(AND($I142&lt;&gt;"",$J142&lt;&gt;""),MAX(1,($J142-$I142)/7),Templates!$B$39))</f>
        <v/>
      </c>
      <c r="BJ142" s="18">
        <f>IF(OR($A142="",$BD142=0),0,($AY142*Templates!$B$27/$BE142+$AZ142*Templates!$B$28/$BF142+$BA142*Templates!$B$29/$BG142+$BB142*Templates!$B$30/$BH142+$BC142*Templates!$B$31/$BI142)/Templates!$B$17)</f>
        <v/>
      </c>
      <c r="BK142" s="18">
        <f>IF(OR($A142="",$BD142=0),0,($AY142*Templates!$C$27/$BE142+$AZ142*Templates!$C$28/$BF142+$BA142*Templates!$C$29/$BG142+$BB142*Templates!$C$30/$BH142+$BC142*Templates!$C$31/$BI142)/Templates!$B$18)</f>
        <v/>
      </c>
      <c r="BL142" s="18">
        <f>IF(OR($A142="",$BD142=0),0,($AY142*Templates!$D$27/$BE142+$AZ142*Templates!$D$28/$BF142+$BA142*Templates!$D$29/$BG142+$BB142*Templates!$D$30/$BH142+$BC142*Templates!$D$31/$BI142)/Templates!$B$19)</f>
        <v/>
      </c>
      <c r="BM142" s="18">
        <f>IF(OR($A142="",$BD142=0),0,($AY142*Templates!$E$27/$BE142+$AZ142*Templates!$E$28/$BF142+$BA142*Templates!$E$29/$BG142+$BB142*Templates!$E$30/$BH142+$BC142*Templates!$E$31/$BI142)/Templates!$B$20)</f>
        <v/>
      </c>
      <c r="BN142" s="18">
        <f>IF(OR($A142="",$BD142=0),0,($AY142*Templates!$F$27/$BE142+$AZ142*Templates!$F$28/$BF142+$BA142*Templates!$F$29/$BG142+$BB142*Templates!$F$30/$BH142+$BC142*Templates!$F$31/$BI142)/Templates!$B$21)</f>
        <v/>
      </c>
      <c r="BO142" s="18">
        <f>IF(OR($A142="",$BD142=0),0,($AY142*Templates!$G$27/$BE142+$AZ142*Templates!$G$28/$BF142+$BA142*Templates!$G$29/$BG142+$BB142*Templates!$G$30/$BH142+$BC142*Templates!$G$31/$BI142)/Templates!$B$22)</f>
        <v/>
      </c>
      <c r="BP142" s="18">
        <f>IF(OR($A142="",$BD142=0),0,($AY142*Templates!$H$27/$BE142+$AZ142*Templates!$H$28/$BF142+$BA142*Templates!$H$29/$BG142+$BB142*Templates!$H$30/$BH142+$BC142*Templates!$H$31/$BI142)/Templates!$B$23)</f>
        <v/>
      </c>
    </row>
    <row r="143">
      <c r="A143" s="28" t="inlineStr">
        <is>
          <t>PMD_1</t>
        </is>
      </c>
      <c r="B143" s="20" t="inlineStr">
        <is>
          <t>DW Healthcare Partners</t>
        </is>
      </c>
      <c r="C143" s="28" t="inlineStr">
        <is>
          <t>DW Healthcare Partners</t>
        </is>
      </c>
      <c r="D143" s="28" t="inlineStr"/>
      <c r="E143" s="28" t="inlineStr">
        <is>
          <t>No</t>
        </is>
      </c>
      <c r="F143" s="28" t="inlineStr">
        <is>
          <t>Active</t>
        </is>
      </c>
      <c r="G143" s="38" t="n"/>
      <c r="H143" s="29" t="n">
        <v>1</v>
      </c>
      <c r="I143" s="39" t="n"/>
      <c r="J143" s="39" t="n"/>
      <c r="K143" s="31" t="n"/>
      <c r="L143" s="31" t="n"/>
      <c r="M143" s="31" t="n"/>
      <c r="N143" s="31" t="n"/>
      <c r="O143" s="31" t="n"/>
      <c r="P143" s="31" t="n"/>
      <c r="Q143" s="23">
        <f>IF($A143="","",COUNTIFS(Assignments!$C$2:$C$769,$A143,Assignments!$G$2:$G$769,"Active"))</f>
        <v/>
      </c>
      <c r="R143" s="32">
        <f>IF($A143="","",SUMIFS(Assignments!$I$2:$I$769,Assignments!$C$2:$C$769,$A143,Assignments!$G$2:$G$769,"Active"))</f>
        <v/>
      </c>
      <c r="S143" s="20" t="inlineStr">
        <is>
          <t>WIP</t>
        </is>
      </c>
      <c r="T143" s="31" t="n"/>
      <c r="U143" s="38" t="n"/>
      <c r="V143" s="34">
        <f>IF($U143="","",IFERROR(INDEX(Templates!$K$3:$K$10,MATCH($U143,Templates!$A$3:$A$10,0)),""))</f>
        <v/>
      </c>
      <c r="W143" s="34">
        <f>IF($U143="","",IFERROR(INDEX(Templates!$L$3:$L$10,MATCH($U143,Templates!$A$3:$A$10,0)),""))</f>
        <v/>
      </c>
      <c r="X143" s="21">
        <f>IF($U143="","",IFERROR(INDEX(Templates!$J$3:$J$10,MATCH($U143,Templates!$A$3:$A$10,0)),""))</f>
        <v/>
      </c>
      <c r="Y143" s="35">
        <f>IF(OR($U143="",$I143="",$J143="",$X143=""),"",$I143+$X143*($J143-$I143))</f>
        <v/>
      </c>
      <c r="Z143" s="30" t="n">
        <v>46212</v>
      </c>
      <c r="AA143" s="40" t="n"/>
      <c r="AB143" s="41" t="n"/>
      <c r="AC143" s="41" t="n"/>
      <c r="AD143" s="19">
        <f>IF($A143="","",IF($AA143="",$H143,$AA143))</f>
        <v/>
      </c>
      <c r="AE143" s="35">
        <f>IF($A143="","",IF($AB143="",$I143,$AB143))</f>
        <v/>
      </c>
      <c r="AF143" s="35">
        <f>IF($A143="","",IF($AC143="",$J143,$AC143))</f>
        <v/>
      </c>
      <c r="AG143" s="35">
        <f>IF(OR($U143="",$AE143="",$AF143="",$X143=""),"",$AE143+$X143*($AF143-$AE143))</f>
        <v/>
      </c>
      <c r="AH143" s="38" t="n"/>
      <c r="AI143" s="38" t="n"/>
      <c r="AJ143" s="38" t="n"/>
      <c r="AK143" s="38" t="n"/>
      <c r="AL143" s="38" t="n"/>
      <c r="AM143" s="38" t="n"/>
      <c r="AN143" s="38" t="n"/>
      <c r="AO143" s="38" t="n"/>
      <c r="AP143" s="38" t="n"/>
      <c r="AQ143" s="38" t="n"/>
      <c r="AR143" s="38" t="n"/>
      <c r="AS143" s="38" t="n"/>
      <c r="AT143" s="38" t="n"/>
      <c r="AU143" s="38" t="n"/>
      <c r="AV143" s="38" t="n"/>
      <c r="AW143" s="38" t="n"/>
      <c r="AX143" s="38" t="n"/>
      <c r="AY143" s="42" t="n"/>
      <c r="AZ143" s="42" t="n"/>
      <c r="BA143" s="42" t="n"/>
      <c r="BB143" s="42" t="n"/>
      <c r="BC143" s="42" t="n"/>
      <c r="BD143" s="37">
        <f>IF($A143="","",SUM($AY143:$BC143))</f>
        <v/>
      </c>
      <c r="BE143" s="18">
        <f>IF($A143="","",IF(AND($I143&lt;&gt;"",$J143&lt;&gt;""),MAX(1,($J143-$I143)/7),Templates!$B$35))</f>
        <v/>
      </c>
      <c r="BF143" s="18">
        <f>IF($A143="","",IF(AND($I143&lt;&gt;"",$J143&lt;&gt;""),MAX(1,($J143-$I143)/7),Templates!$B$36))</f>
        <v/>
      </c>
      <c r="BG143" s="18">
        <f>IF($A143="","",IF(AND($I143&lt;&gt;"",$J143&lt;&gt;""),MAX(1,($J143-$I143)/7),Templates!$B$37))</f>
        <v/>
      </c>
      <c r="BH143" s="18">
        <f>IF($A143="","",IF(AND($I143&lt;&gt;"",$J143&lt;&gt;""),MAX(1,($J143-$I143)/7),Templates!$B$38))</f>
        <v/>
      </c>
      <c r="BI143" s="18">
        <f>IF($A143="","",IF(AND($I143&lt;&gt;"",$J143&lt;&gt;""),MAX(1,($J143-$I143)/7),Templates!$B$39))</f>
        <v/>
      </c>
      <c r="BJ143" s="18">
        <f>IF(OR($A143="",$BD143=0),0,($AY143*Templates!$B$27/$BE143+$AZ143*Templates!$B$28/$BF143+$BA143*Templates!$B$29/$BG143+$BB143*Templates!$B$30/$BH143+$BC143*Templates!$B$31/$BI143)/Templates!$B$17)</f>
        <v/>
      </c>
      <c r="BK143" s="18">
        <f>IF(OR($A143="",$BD143=0),0,($AY143*Templates!$C$27/$BE143+$AZ143*Templates!$C$28/$BF143+$BA143*Templates!$C$29/$BG143+$BB143*Templates!$C$30/$BH143+$BC143*Templates!$C$31/$BI143)/Templates!$B$18)</f>
        <v/>
      </c>
      <c r="BL143" s="18">
        <f>IF(OR($A143="",$BD143=0),0,($AY143*Templates!$D$27/$BE143+$AZ143*Templates!$D$28/$BF143+$BA143*Templates!$D$29/$BG143+$BB143*Templates!$D$30/$BH143+$BC143*Templates!$D$31/$BI143)/Templates!$B$19)</f>
        <v/>
      </c>
      <c r="BM143" s="18">
        <f>IF(OR($A143="",$BD143=0),0,($AY143*Templates!$E$27/$BE143+$AZ143*Templates!$E$28/$BF143+$BA143*Templates!$E$29/$BG143+$BB143*Templates!$E$30/$BH143+$BC143*Templates!$E$31/$BI143)/Templates!$B$20)</f>
        <v/>
      </c>
      <c r="BN143" s="18">
        <f>IF(OR($A143="",$BD143=0),0,($AY143*Templates!$F$27/$BE143+$AZ143*Templates!$F$28/$BF143+$BA143*Templates!$F$29/$BG143+$BB143*Templates!$F$30/$BH143+$BC143*Templates!$F$31/$BI143)/Templates!$B$21)</f>
        <v/>
      </c>
      <c r="BO143" s="18">
        <f>IF(OR($A143="",$BD143=0),0,($AY143*Templates!$G$27/$BE143+$AZ143*Templates!$G$28/$BF143+$BA143*Templates!$G$29/$BG143+$BB143*Templates!$G$30/$BH143+$BC143*Templates!$G$31/$BI143)/Templates!$B$22)</f>
        <v/>
      </c>
      <c r="BP143" s="18">
        <f>IF(OR($A143="",$BD143=0),0,($AY143*Templates!$H$27/$BE143+$AZ143*Templates!$H$28/$BF143+$BA143*Templates!$H$29/$BG143+$BB143*Templates!$H$30/$BH143+$BC143*Templates!$H$31/$BI143)/Templates!$B$23)</f>
        <v/>
      </c>
    </row>
    <row r="144">
      <c r="A144" s="28" t="inlineStr">
        <is>
          <t>Pocket_1</t>
        </is>
      </c>
      <c r="B144" s="20" t="inlineStr">
        <is>
          <t>Eight Advisory</t>
        </is>
      </c>
      <c r="C144" s="28" t="inlineStr">
        <is>
          <t>Eight Advisory</t>
        </is>
      </c>
      <c r="D144" s="28" t="inlineStr"/>
      <c r="E144" s="28" t="inlineStr">
        <is>
          <t>No</t>
        </is>
      </c>
      <c r="F144" s="28" t="inlineStr">
        <is>
          <t>Active</t>
        </is>
      </c>
      <c r="G144" s="38" t="n"/>
      <c r="H144" s="29" t="n">
        <v>1</v>
      </c>
      <c r="I144" s="39" t="n"/>
      <c r="J144" s="39" t="n"/>
      <c r="K144" s="31" t="n"/>
      <c r="L144" s="31" t="n"/>
      <c r="M144" s="31" t="n"/>
      <c r="N144" s="31" t="n"/>
      <c r="O144" s="31" t="n"/>
      <c r="P144" s="31" t="n"/>
      <c r="Q144" s="23">
        <f>IF($A144="","",COUNTIFS(Assignments!$C$2:$C$769,$A144,Assignments!$G$2:$G$769,"Active"))</f>
        <v/>
      </c>
      <c r="R144" s="32">
        <f>IF($A144="","",SUMIFS(Assignments!$I$2:$I$769,Assignments!$C$2:$C$769,$A144,Assignments!$G$2:$G$769,"Active"))</f>
        <v/>
      </c>
      <c r="S144" s="20" t="inlineStr">
        <is>
          <t>WIP</t>
        </is>
      </c>
      <c r="T144" s="31" t="n"/>
      <c r="U144" s="38" t="n"/>
      <c r="V144" s="34">
        <f>IF($U144="","",IFERROR(INDEX(Templates!$K$3:$K$10,MATCH($U144,Templates!$A$3:$A$10,0)),""))</f>
        <v/>
      </c>
      <c r="W144" s="34">
        <f>IF($U144="","",IFERROR(INDEX(Templates!$L$3:$L$10,MATCH($U144,Templates!$A$3:$A$10,0)),""))</f>
        <v/>
      </c>
      <c r="X144" s="21">
        <f>IF($U144="","",IFERROR(INDEX(Templates!$J$3:$J$10,MATCH($U144,Templates!$A$3:$A$10,0)),""))</f>
        <v/>
      </c>
      <c r="Y144" s="35">
        <f>IF(OR($U144="",$I144="",$J144="",$X144=""),"",$I144+$X144*($J144-$I144))</f>
        <v/>
      </c>
      <c r="Z144" s="30" t="n">
        <v>46212</v>
      </c>
      <c r="AA144" s="40" t="n"/>
      <c r="AB144" s="41" t="n"/>
      <c r="AC144" s="41" t="n"/>
      <c r="AD144" s="19">
        <f>IF($A144="","",IF($AA144="",$H144,$AA144))</f>
        <v/>
      </c>
      <c r="AE144" s="35">
        <f>IF($A144="","",IF($AB144="",$I144,$AB144))</f>
        <v/>
      </c>
      <c r="AF144" s="35">
        <f>IF($A144="","",IF($AC144="",$J144,$AC144))</f>
        <v/>
      </c>
      <c r="AG144" s="35">
        <f>IF(OR($U144="",$AE144="",$AF144="",$X144=""),"",$AE144+$X144*($AF144-$AE144))</f>
        <v/>
      </c>
      <c r="AH144" s="38" t="n"/>
      <c r="AI144" s="38" t="n"/>
      <c r="AJ144" s="38" t="n"/>
      <c r="AK144" s="38" t="n"/>
      <c r="AL144" s="38" t="n"/>
      <c r="AM144" s="38" t="n"/>
      <c r="AN144" s="38" t="n"/>
      <c r="AO144" s="38" t="n"/>
      <c r="AP144" s="38" t="n"/>
      <c r="AQ144" s="38" t="n"/>
      <c r="AR144" s="38" t="n"/>
      <c r="AS144" s="38" t="n"/>
      <c r="AT144" s="38" t="n"/>
      <c r="AU144" s="38" t="n"/>
      <c r="AV144" s="38" t="n"/>
      <c r="AW144" s="38" t="n"/>
      <c r="AX144" s="38" t="n"/>
      <c r="AY144" s="42" t="n"/>
      <c r="AZ144" s="42" t="n"/>
      <c r="BA144" s="42" t="n"/>
      <c r="BB144" s="42" t="n"/>
      <c r="BC144" s="42" t="n"/>
      <c r="BD144" s="37">
        <f>IF($A144="","",SUM($AY144:$BC144))</f>
        <v/>
      </c>
      <c r="BE144" s="18">
        <f>IF($A144="","",IF(AND($I144&lt;&gt;"",$J144&lt;&gt;""),MAX(1,($J144-$I144)/7),Templates!$B$35))</f>
        <v/>
      </c>
      <c r="BF144" s="18">
        <f>IF($A144="","",IF(AND($I144&lt;&gt;"",$J144&lt;&gt;""),MAX(1,($J144-$I144)/7),Templates!$B$36))</f>
        <v/>
      </c>
      <c r="BG144" s="18">
        <f>IF($A144="","",IF(AND($I144&lt;&gt;"",$J144&lt;&gt;""),MAX(1,($J144-$I144)/7),Templates!$B$37))</f>
        <v/>
      </c>
      <c r="BH144" s="18">
        <f>IF($A144="","",IF(AND($I144&lt;&gt;"",$J144&lt;&gt;""),MAX(1,($J144-$I144)/7),Templates!$B$38))</f>
        <v/>
      </c>
      <c r="BI144" s="18">
        <f>IF($A144="","",IF(AND($I144&lt;&gt;"",$J144&lt;&gt;""),MAX(1,($J144-$I144)/7),Templates!$B$39))</f>
        <v/>
      </c>
      <c r="BJ144" s="18">
        <f>IF(OR($A144="",$BD144=0),0,($AY144*Templates!$B$27/$BE144+$AZ144*Templates!$B$28/$BF144+$BA144*Templates!$B$29/$BG144+$BB144*Templates!$B$30/$BH144+$BC144*Templates!$B$31/$BI144)/Templates!$B$17)</f>
        <v/>
      </c>
      <c r="BK144" s="18">
        <f>IF(OR($A144="",$BD144=0),0,($AY144*Templates!$C$27/$BE144+$AZ144*Templates!$C$28/$BF144+$BA144*Templates!$C$29/$BG144+$BB144*Templates!$C$30/$BH144+$BC144*Templates!$C$31/$BI144)/Templates!$B$18)</f>
        <v/>
      </c>
      <c r="BL144" s="18">
        <f>IF(OR($A144="",$BD144=0),0,($AY144*Templates!$D$27/$BE144+$AZ144*Templates!$D$28/$BF144+$BA144*Templates!$D$29/$BG144+$BB144*Templates!$D$30/$BH144+$BC144*Templates!$D$31/$BI144)/Templates!$B$19)</f>
        <v/>
      </c>
      <c r="BM144" s="18">
        <f>IF(OR($A144="",$BD144=0),0,($AY144*Templates!$E$27/$BE144+$AZ144*Templates!$E$28/$BF144+$BA144*Templates!$E$29/$BG144+$BB144*Templates!$E$30/$BH144+$BC144*Templates!$E$31/$BI144)/Templates!$B$20)</f>
        <v/>
      </c>
      <c r="BN144" s="18">
        <f>IF(OR($A144="",$BD144=0),0,($AY144*Templates!$F$27/$BE144+$AZ144*Templates!$F$28/$BF144+$BA144*Templates!$F$29/$BG144+$BB144*Templates!$F$30/$BH144+$BC144*Templates!$F$31/$BI144)/Templates!$B$21)</f>
        <v/>
      </c>
      <c r="BO144" s="18">
        <f>IF(OR($A144="",$BD144=0),0,($AY144*Templates!$G$27/$BE144+$AZ144*Templates!$G$28/$BF144+$BA144*Templates!$G$29/$BG144+$BB144*Templates!$G$30/$BH144+$BC144*Templates!$G$31/$BI144)/Templates!$B$22)</f>
        <v/>
      </c>
      <c r="BP144" s="18">
        <f>IF(OR($A144="",$BD144=0),0,($AY144*Templates!$H$27/$BE144+$AZ144*Templates!$H$28/$BF144+$BA144*Templates!$H$29/$BG144+$BB144*Templates!$H$30/$BH144+$BC144*Templates!$H$31/$BI144)/Templates!$B$23)</f>
        <v/>
      </c>
    </row>
    <row r="145">
      <c r="A145" s="28" t="inlineStr">
        <is>
          <t>Prince_2</t>
        </is>
      </c>
      <c r="B145" s="20" t="inlineStr">
        <is>
          <t>Euclid Transactional</t>
        </is>
      </c>
      <c r="C145" s="28" t="inlineStr">
        <is>
          <t>Euclid Transactional</t>
        </is>
      </c>
      <c r="D145" s="28" t="inlineStr"/>
      <c r="E145" s="28" t="inlineStr">
        <is>
          <t>No</t>
        </is>
      </c>
      <c r="F145" s="28" t="inlineStr">
        <is>
          <t>Active</t>
        </is>
      </c>
      <c r="G145" s="38" t="n"/>
      <c r="H145" s="29" t="n">
        <v>1</v>
      </c>
      <c r="I145" s="39" t="n"/>
      <c r="J145" s="39" t="n"/>
      <c r="K145" s="31" t="n"/>
      <c r="L145" s="31" t="n"/>
      <c r="M145" s="31" t="n"/>
      <c r="N145" s="31" t="n"/>
      <c r="O145" s="31" t="n"/>
      <c r="P145" s="31" t="n"/>
      <c r="Q145" s="23">
        <f>IF($A145="","",COUNTIFS(Assignments!$C$2:$C$769,$A145,Assignments!$G$2:$G$769,"Active"))</f>
        <v/>
      </c>
      <c r="R145" s="32">
        <f>IF($A145="","",SUMIFS(Assignments!$I$2:$I$769,Assignments!$C$2:$C$769,$A145,Assignments!$G$2:$G$769,"Active"))</f>
        <v/>
      </c>
      <c r="S145" s="20" t="inlineStr">
        <is>
          <t>WIP</t>
        </is>
      </c>
      <c r="T145" s="31" t="n"/>
      <c r="U145" s="38" t="n"/>
      <c r="V145" s="34">
        <f>IF($U145="","",IFERROR(INDEX(Templates!$K$3:$K$10,MATCH($U145,Templates!$A$3:$A$10,0)),""))</f>
        <v/>
      </c>
      <c r="W145" s="34">
        <f>IF($U145="","",IFERROR(INDEX(Templates!$L$3:$L$10,MATCH($U145,Templates!$A$3:$A$10,0)),""))</f>
        <v/>
      </c>
      <c r="X145" s="21">
        <f>IF($U145="","",IFERROR(INDEX(Templates!$J$3:$J$10,MATCH($U145,Templates!$A$3:$A$10,0)),""))</f>
        <v/>
      </c>
      <c r="Y145" s="35">
        <f>IF(OR($U145="",$I145="",$J145="",$X145=""),"",$I145+$X145*($J145-$I145))</f>
        <v/>
      </c>
      <c r="Z145" s="30" t="n">
        <v>46212</v>
      </c>
      <c r="AA145" s="40" t="n"/>
      <c r="AB145" s="41" t="n"/>
      <c r="AC145" s="41" t="n"/>
      <c r="AD145" s="19">
        <f>IF($A145="","",IF($AA145="",$H145,$AA145))</f>
        <v/>
      </c>
      <c r="AE145" s="35">
        <f>IF($A145="","",IF($AB145="",$I145,$AB145))</f>
        <v/>
      </c>
      <c r="AF145" s="35">
        <f>IF($A145="","",IF($AC145="",$J145,$AC145))</f>
        <v/>
      </c>
      <c r="AG145" s="35">
        <f>IF(OR($U145="",$AE145="",$AF145="",$X145=""),"",$AE145+$X145*($AF145-$AE145))</f>
        <v/>
      </c>
      <c r="AH145" s="38" t="n"/>
      <c r="AI145" s="38" t="n"/>
      <c r="AJ145" s="38" t="n"/>
      <c r="AK145" s="38" t="n"/>
      <c r="AL145" s="38" t="n"/>
      <c r="AM145" s="38" t="n"/>
      <c r="AN145" s="38" t="n"/>
      <c r="AO145" s="38" t="n"/>
      <c r="AP145" s="38" t="n"/>
      <c r="AQ145" s="38" t="n"/>
      <c r="AR145" s="38" t="n"/>
      <c r="AS145" s="38" t="n"/>
      <c r="AT145" s="38" t="n"/>
      <c r="AU145" s="38" t="n"/>
      <c r="AV145" s="38" t="n"/>
      <c r="AW145" s="38" t="n"/>
      <c r="AX145" s="38" t="n"/>
      <c r="AY145" s="42" t="n"/>
      <c r="AZ145" s="42" t="n"/>
      <c r="BA145" s="42" t="n"/>
      <c r="BB145" s="42" t="n"/>
      <c r="BC145" s="42" t="n"/>
      <c r="BD145" s="37">
        <f>IF($A145="","",SUM($AY145:$BC145))</f>
        <v/>
      </c>
      <c r="BE145" s="18">
        <f>IF($A145="","",IF(AND($I145&lt;&gt;"",$J145&lt;&gt;""),MAX(1,($J145-$I145)/7),Templates!$B$35))</f>
        <v/>
      </c>
      <c r="BF145" s="18">
        <f>IF($A145="","",IF(AND($I145&lt;&gt;"",$J145&lt;&gt;""),MAX(1,($J145-$I145)/7),Templates!$B$36))</f>
        <v/>
      </c>
      <c r="BG145" s="18">
        <f>IF($A145="","",IF(AND($I145&lt;&gt;"",$J145&lt;&gt;""),MAX(1,($J145-$I145)/7),Templates!$B$37))</f>
        <v/>
      </c>
      <c r="BH145" s="18">
        <f>IF($A145="","",IF(AND($I145&lt;&gt;"",$J145&lt;&gt;""),MAX(1,($J145-$I145)/7),Templates!$B$38))</f>
        <v/>
      </c>
      <c r="BI145" s="18">
        <f>IF($A145="","",IF(AND($I145&lt;&gt;"",$J145&lt;&gt;""),MAX(1,($J145-$I145)/7),Templates!$B$39))</f>
        <v/>
      </c>
      <c r="BJ145" s="18">
        <f>IF(OR($A145="",$BD145=0),0,($AY145*Templates!$B$27/$BE145+$AZ145*Templates!$B$28/$BF145+$BA145*Templates!$B$29/$BG145+$BB145*Templates!$B$30/$BH145+$BC145*Templates!$B$31/$BI145)/Templates!$B$17)</f>
        <v/>
      </c>
      <c r="BK145" s="18">
        <f>IF(OR($A145="",$BD145=0),0,($AY145*Templates!$C$27/$BE145+$AZ145*Templates!$C$28/$BF145+$BA145*Templates!$C$29/$BG145+$BB145*Templates!$C$30/$BH145+$BC145*Templates!$C$31/$BI145)/Templates!$B$18)</f>
        <v/>
      </c>
      <c r="BL145" s="18">
        <f>IF(OR($A145="",$BD145=0),0,($AY145*Templates!$D$27/$BE145+$AZ145*Templates!$D$28/$BF145+$BA145*Templates!$D$29/$BG145+$BB145*Templates!$D$30/$BH145+$BC145*Templates!$D$31/$BI145)/Templates!$B$19)</f>
        <v/>
      </c>
      <c r="BM145" s="18">
        <f>IF(OR($A145="",$BD145=0),0,($AY145*Templates!$E$27/$BE145+$AZ145*Templates!$E$28/$BF145+$BA145*Templates!$E$29/$BG145+$BB145*Templates!$E$30/$BH145+$BC145*Templates!$E$31/$BI145)/Templates!$B$20)</f>
        <v/>
      </c>
      <c r="BN145" s="18">
        <f>IF(OR($A145="",$BD145=0),0,($AY145*Templates!$F$27/$BE145+$AZ145*Templates!$F$28/$BF145+$BA145*Templates!$F$29/$BG145+$BB145*Templates!$F$30/$BH145+$BC145*Templates!$F$31/$BI145)/Templates!$B$21)</f>
        <v/>
      </c>
      <c r="BO145" s="18">
        <f>IF(OR($A145="",$BD145=0),0,($AY145*Templates!$G$27/$BE145+$AZ145*Templates!$G$28/$BF145+$BA145*Templates!$G$29/$BG145+$BB145*Templates!$G$30/$BH145+$BC145*Templates!$G$31/$BI145)/Templates!$B$22)</f>
        <v/>
      </c>
      <c r="BP145" s="18">
        <f>IF(OR($A145="",$BD145=0),0,($AY145*Templates!$H$27/$BE145+$AZ145*Templates!$H$28/$BF145+$BA145*Templates!$H$29/$BG145+$BB145*Templates!$H$30/$BH145+$BC145*Templates!$H$31/$BI145)/Templates!$B$23)</f>
        <v/>
      </c>
    </row>
    <row r="146">
      <c r="A146" s="28" t="inlineStr">
        <is>
          <t>Prince_3</t>
        </is>
      </c>
      <c r="B146" s="20" t="inlineStr">
        <is>
          <t>Northampton Capital Partners</t>
        </is>
      </c>
      <c r="C146" s="28" t="inlineStr">
        <is>
          <t>Northampton Capital Partners</t>
        </is>
      </c>
      <c r="D146" s="28" t="inlineStr"/>
      <c r="E146" s="28" t="inlineStr">
        <is>
          <t>No</t>
        </is>
      </c>
      <c r="F146" s="28" t="inlineStr">
        <is>
          <t>Active</t>
        </is>
      </c>
      <c r="G146" s="38" t="n"/>
      <c r="H146" s="29" t="n">
        <v>1</v>
      </c>
      <c r="I146" s="39" t="n"/>
      <c r="J146" s="39" t="n"/>
      <c r="K146" s="31" t="n"/>
      <c r="L146" s="31" t="n"/>
      <c r="M146" s="31" t="n"/>
      <c r="N146" s="31" t="n"/>
      <c r="O146" s="31" t="n"/>
      <c r="P146" s="31" t="n"/>
      <c r="Q146" s="23">
        <f>IF($A146="","",COUNTIFS(Assignments!$C$2:$C$769,$A146,Assignments!$G$2:$G$769,"Active"))</f>
        <v/>
      </c>
      <c r="R146" s="32">
        <f>IF($A146="","",SUMIFS(Assignments!$I$2:$I$769,Assignments!$C$2:$C$769,$A146,Assignments!$G$2:$G$769,"Active"))</f>
        <v/>
      </c>
      <c r="S146" s="20" t="inlineStr">
        <is>
          <t>WIP</t>
        </is>
      </c>
      <c r="T146" s="31" t="n"/>
      <c r="U146" s="38" t="n"/>
      <c r="V146" s="34">
        <f>IF($U146="","",IFERROR(INDEX(Templates!$K$3:$K$10,MATCH($U146,Templates!$A$3:$A$10,0)),""))</f>
        <v/>
      </c>
      <c r="W146" s="34">
        <f>IF($U146="","",IFERROR(INDEX(Templates!$L$3:$L$10,MATCH($U146,Templates!$A$3:$A$10,0)),""))</f>
        <v/>
      </c>
      <c r="X146" s="21">
        <f>IF($U146="","",IFERROR(INDEX(Templates!$J$3:$J$10,MATCH($U146,Templates!$A$3:$A$10,0)),""))</f>
        <v/>
      </c>
      <c r="Y146" s="35">
        <f>IF(OR($U146="",$I146="",$J146="",$X146=""),"",$I146+$X146*($J146-$I146))</f>
        <v/>
      </c>
      <c r="Z146" s="30" t="n">
        <v>46212</v>
      </c>
      <c r="AA146" s="40" t="n"/>
      <c r="AB146" s="41" t="n"/>
      <c r="AC146" s="41" t="n"/>
      <c r="AD146" s="19">
        <f>IF($A146="","",IF($AA146="",$H146,$AA146))</f>
        <v/>
      </c>
      <c r="AE146" s="35">
        <f>IF($A146="","",IF($AB146="",$I146,$AB146))</f>
        <v/>
      </c>
      <c r="AF146" s="35">
        <f>IF($A146="","",IF($AC146="",$J146,$AC146))</f>
        <v/>
      </c>
      <c r="AG146" s="35">
        <f>IF(OR($U146="",$AE146="",$AF146="",$X146=""),"",$AE146+$X146*($AF146-$AE146))</f>
        <v/>
      </c>
      <c r="AH146" s="38" t="n"/>
      <c r="AI146" s="38" t="n"/>
      <c r="AJ146" s="38" t="n"/>
      <c r="AK146" s="38" t="n"/>
      <c r="AL146" s="38" t="n"/>
      <c r="AM146" s="38" t="n"/>
      <c r="AN146" s="38" t="n"/>
      <c r="AO146" s="38" t="n"/>
      <c r="AP146" s="38" t="n"/>
      <c r="AQ146" s="38" t="n"/>
      <c r="AR146" s="38" t="n"/>
      <c r="AS146" s="38" t="n"/>
      <c r="AT146" s="38" t="n"/>
      <c r="AU146" s="38" t="n"/>
      <c r="AV146" s="38" t="n"/>
      <c r="AW146" s="38" t="n"/>
      <c r="AX146" s="38" t="n"/>
      <c r="AY146" s="42" t="n"/>
      <c r="AZ146" s="42" t="n"/>
      <c r="BA146" s="42" t="n"/>
      <c r="BB146" s="42" t="n"/>
      <c r="BC146" s="42" t="n"/>
      <c r="BD146" s="37">
        <f>IF($A146="","",SUM($AY146:$BC146))</f>
        <v/>
      </c>
      <c r="BE146" s="18">
        <f>IF($A146="","",IF(AND($I146&lt;&gt;"",$J146&lt;&gt;""),MAX(1,($J146-$I146)/7),Templates!$B$35))</f>
        <v/>
      </c>
      <c r="BF146" s="18">
        <f>IF($A146="","",IF(AND($I146&lt;&gt;"",$J146&lt;&gt;""),MAX(1,($J146-$I146)/7),Templates!$B$36))</f>
        <v/>
      </c>
      <c r="BG146" s="18">
        <f>IF($A146="","",IF(AND($I146&lt;&gt;"",$J146&lt;&gt;""),MAX(1,($J146-$I146)/7),Templates!$B$37))</f>
        <v/>
      </c>
      <c r="BH146" s="18">
        <f>IF($A146="","",IF(AND($I146&lt;&gt;"",$J146&lt;&gt;""),MAX(1,($J146-$I146)/7),Templates!$B$38))</f>
        <v/>
      </c>
      <c r="BI146" s="18">
        <f>IF($A146="","",IF(AND($I146&lt;&gt;"",$J146&lt;&gt;""),MAX(1,($J146-$I146)/7),Templates!$B$39))</f>
        <v/>
      </c>
      <c r="BJ146" s="18">
        <f>IF(OR($A146="",$BD146=0),0,($AY146*Templates!$B$27/$BE146+$AZ146*Templates!$B$28/$BF146+$BA146*Templates!$B$29/$BG146+$BB146*Templates!$B$30/$BH146+$BC146*Templates!$B$31/$BI146)/Templates!$B$17)</f>
        <v/>
      </c>
      <c r="BK146" s="18">
        <f>IF(OR($A146="",$BD146=0),0,($AY146*Templates!$C$27/$BE146+$AZ146*Templates!$C$28/$BF146+$BA146*Templates!$C$29/$BG146+$BB146*Templates!$C$30/$BH146+$BC146*Templates!$C$31/$BI146)/Templates!$B$18)</f>
        <v/>
      </c>
      <c r="BL146" s="18">
        <f>IF(OR($A146="",$BD146=0),0,($AY146*Templates!$D$27/$BE146+$AZ146*Templates!$D$28/$BF146+$BA146*Templates!$D$29/$BG146+$BB146*Templates!$D$30/$BH146+$BC146*Templates!$D$31/$BI146)/Templates!$B$19)</f>
        <v/>
      </c>
      <c r="BM146" s="18">
        <f>IF(OR($A146="",$BD146=0),0,($AY146*Templates!$E$27/$BE146+$AZ146*Templates!$E$28/$BF146+$BA146*Templates!$E$29/$BG146+$BB146*Templates!$E$30/$BH146+$BC146*Templates!$E$31/$BI146)/Templates!$B$20)</f>
        <v/>
      </c>
      <c r="BN146" s="18">
        <f>IF(OR($A146="",$BD146=0),0,($AY146*Templates!$F$27/$BE146+$AZ146*Templates!$F$28/$BF146+$BA146*Templates!$F$29/$BG146+$BB146*Templates!$F$30/$BH146+$BC146*Templates!$F$31/$BI146)/Templates!$B$21)</f>
        <v/>
      </c>
      <c r="BO146" s="18">
        <f>IF(OR($A146="",$BD146=0),0,($AY146*Templates!$G$27/$BE146+$AZ146*Templates!$G$28/$BF146+$BA146*Templates!$G$29/$BG146+$BB146*Templates!$G$30/$BH146+$BC146*Templates!$G$31/$BI146)/Templates!$B$22)</f>
        <v/>
      </c>
      <c r="BP146" s="18">
        <f>IF(OR($A146="",$BD146=0),0,($AY146*Templates!$H$27/$BE146+$AZ146*Templates!$H$28/$BF146+$BA146*Templates!$H$29/$BG146+$BB146*Templates!$H$30/$BH146+$BC146*Templates!$H$31/$BI146)/Templates!$B$23)</f>
        <v/>
      </c>
    </row>
    <row r="147">
      <c r="A147" s="28" t="inlineStr">
        <is>
          <t>Prolydian_1</t>
        </is>
      </c>
      <c r="B147" s="20" t="inlineStr">
        <is>
          <t>Beacon Software, Inc.</t>
        </is>
      </c>
      <c r="C147" s="28" t="inlineStr">
        <is>
          <t>Beacon Software, Inc.</t>
        </is>
      </c>
      <c r="D147" s="28" t="inlineStr"/>
      <c r="E147" s="28" t="inlineStr">
        <is>
          <t>No</t>
        </is>
      </c>
      <c r="F147" s="28" t="inlineStr">
        <is>
          <t>Active</t>
        </is>
      </c>
      <c r="G147" s="38" t="n"/>
      <c r="H147" s="29" t="n">
        <v>1</v>
      </c>
      <c r="I147" s="39" t="n"/>
      <c r="J147" s="39" t="n"/>
      <c r="K147" s="31" t="n"/>
      <c r="L147" s="31" t="n"/>
      <c r="M147" s="31" t="n"/>
      <c r="N147" s="31" t="n"/>
      <c r="O147" s="31" t="n"/>
      <c r="P147" s="31" t="n"/>
      <c r="Q147" s="23">
        <f>IF($A147="","",COUNTIFS(Assignments!$C$2:$C$769,$A147,Assignments!$G$2:$G$769,"Active"))</f>
        <v/>
      </c>
      <c r="R147" s="32">
        <f>IF($A147="","",SUMIFS(Assignments!$I$2:$I$769,Assignments!$C$2:$C$769,$A147,Assignments!$G$2:$G$769,"Active"))</f>
        <v/>
      </c>
      <c r="S147" s="20" t="inlineStr">
        <is>
          <t>WIP</t>
        </is>
      </c>
      <c r="T147" s="31" t="n"/>
      <c r="U147" s="38" t="n"/>
      <c r="V147" s="34">
        <f>IF($U147="","",IFERROR(INDEX(Templates!$K$3:$K$10,MATCH($U147,Templates!$A$3:$A$10,0)),""))</f>
        <v/>
      </c>
      <c r="W147" s="34">
        <f>IF($U147="","",IFERROR(INDEX(Templates!$L$3:$L$10,MATCH($U147,Templates!$A$3:$A$10,0)),""))</f>
        <v/>
      </c>
      <c r="X147" s="21">
        <f>IF($U147="","",IFERROR(INDEX(Templates!$J$3:$J$10,MATCH($U147,Templates!$A$3:$A$10,0)),""))</f>
        <v/>
      </c>
      <c r="Y147" s="35">
        <f>IF(OR($U147="",$I147="",$J147="",$X147=""),"",$I147+$X147*($J147-$I147))</f>
        <v/>
      </c>
      <c r="Z147" s="30" t="n">
        <v>46212</v>
      </c>
      <c r="AA147" s="40" t="n"/>
      <c r="AB147" s="41" t="n"/>
      <c r="AC147" s="41" t="n"/>
      <c r="AD147" s="19">
        <f>IF($A147="","",IF($AA147="",$H147,$AA147))</f>
        <v/>
      </c>
      <c r="AE147" s="35">
        <f>IF($A147="","",IF($AB147="",$I147,$AB147))</f>
        <v/>
      </c>
      <c r="AF147" s="35">
        <f>IF($A147="","",IF($AC147="",$J147,$AC147))</f>
        <v/>
      </c>
      <c r="AG147" s="35">
        <f>IF(OR($U147="",$AE147="",$AF147="",$X147=""),"",$AE147+$X147*($AF147-$AE147))</f>
        <v/>
      </c>
      <c r="AH147" s="38" t="n"/>
      <c r="AI147" s="38" t="n"/>
      <c r="AJ147" s="38" t="n"/>
      <c r="AK147" s="38" t="n"/>
      <c r="AL147" s="38" t="n"/>
      <c r="AM147" s="38" t="n"/>
      <c r="AN147" s="38" t="n"/>
      <c r="AO147" s="38" t="n"/>
      <c r="AP147" s="38" t="n"/>
      <c r="AQ147" s="38" t="n"/>
      <c r="AR147" s="38" t="n"/>
      <c r="AS147" s="38" t="n"/>
      <c r="AT147" s="38" t="n"/>
      <c r="AU147" s="38" t="n"/>
      <c r="AV147" s="38" t="n"/>
      <c r="AW147" s="38" t="n"/>
      <c r="AX147" s="38" t="n"/>
      <c r="AY147" s="42" t="n"/>
      <c r="AZ147" s="42" t="n"/>
      <c r="BA147" s="42" t="n"/>
      <c r="BB147" s="42" t="n"/>
      <c r="BC147" s="42" t="n"/>
      <c r="BD147" s="37">
        <f>IF($A147="","",SUM($AY147:$BC147))</f>
        <v/>
      </c>
      <c r="BE147" s="18">
        <f>IF($A147="","",IF(AND($I147&lt;&gt;"",$J147&lt;&gt;""),MAX(1,($J147-$I147)/7),Templates!$B$35))</f>
        <v/>
      </c>
      <c r="BF147" s="18">
        <f>IF($A147="","",IF(AND($I147&lt;&gt;"",$J147&lt;&gt;""),MAX(1,($J147-$I147)/7),Templates!$B$36))</f>
        <v/>
      </c>
      <c r="BG147" s="18">
        <f>IF($A147="","",IF(AND($I147&lt;&gt;"",$J147&lt;&gt;""),MAX(1,($J147-$I147)/7),Templates!$B$37))</f>
        <v/>
      </c>
      <c r="BH147" s="18">
        <f>IF($A147="","",IF(AND($I147&lt;&gt;"",$J147&lt;&gt;""),MAX(1,($J147-$I147)/7),Templates!$B$38))</f>
        <v/>
      </c>
      <c r="BI147" s="18">
        <f>IF($A147="","",IF(AND($I147&lt;&gt;"",$J147&lt;&gt;""),MAX(1,($J147-$I147)/7),Templates!$B$39))</f>
        <v/>
      </c>
      <c r="BJ147" s="18">
        <f>IF(OR($A147="",$BD147=0),0,($AY147*Templates!$B$27/$BE147+$AZ147*Templates!$B$28/$BF147+$BA147*Templates!$B$29/$BG147+$BB147*Templates!$B$30/$BH147+$BC147*Templates!$B$31/$BI147)/Templates!$B$17)</f>
        <v/>
      </c>
      <c r="BK147" s="18">
        <f>IF(OR($A147="",$BD147=0),0,($AY147*Templates!$C$27/$BE147+$AZ147*Templates!$C$28/$BF147+$BA147*Templates!$C$29/$BG147+$BB147*Templates!$C$30/$BH147+$BC147*Templates!$C$31/$BI147)/Templates!$B$18)</f>
        <v/>
      </c>
      <c r="BL147" s="18">
        <f>IF(OR($A147="",$BD147=0),0,($AY147*Templates!$D$27/$BE147+$AZ147*Templates!$D$28/$BF147+$BA147*Templates!$D$29/$BG147+$BB147*Templates!$D$30/$BH147+$BC147*Templates!$D$31/$BI147)/Templates!$B$19)</f>
        <v/>
      </c>
      <c r="BM147" s="18">
        <f>IF(OR($A147="",$BD147=0),0,($AY147*Templates!$E$27/$BE147+$AZ147*Templates!$E$28/$BF147+$BA147*Templates!$E$29/$BG147+$BB147*Templates!$E$30/$BH147+$BC147*Templates!$E$31/$BI147)/Templates!$B$20)</f>
        <v/>
      </c>
      <c r="BN147" s="18">
        <f>IF(OR($A147="",$BD147=0),0,($AY147*Templates!$F$27/$BE147+$AZ147*Templates!$F$28/$BF147+$BA147*Templates!$F$29/$BG147+$BB147*Templates!$F$30/$BH147+$BC147*Templates!$F$31/$BI147)/Templates!$B$21)</f>
        <v/>
      </c>
      <c r="BO147" s="18">
        <f>IF(OR($A147="",$BD147=0),0,($AY147*Templates!$G$27/$BE147+$AZ147*Templates!$G$28/$BF147+$BA147*Templates!$G$29/$BG147+$BB147*Templates!$G$30/$BH147+$BC147*Templates!$G$31/$BI147)/Templates!$B$22)</f>
        <v/>
      </c>
      <c r="BP147" s="18">
        <f>IF(OR($A147="",$BD147=0),0,($AY147*Templates!$H$27/$BE147+$AZ147*Templates!$H$28/$BF147+$BA147*Templates!$H$29/$BG147+$BB147*Templates!$H$30/$BH147+$BC147*Templates!$H$31/$BI147)/Templates!$B$23)</f>
        <v/>
      </c>
    </row>
    <row r="148">
      <c r="A148" s="28" t="inlineStr">
        <is>
          <t>Pythagoras_1</t>
        </is>
      </c>
      <c r="B148" s="20" t="inlineStr">
        <is>
          <t>Infrared Capital Partners</t>
        </is>
      </c>
      <c r="C148" s="28" t="inlineStr">
        <is>
          <t>Infrared Capital Partners</t>
        </is>
      </c>
      <c r="D148" s="28" t="inlineStr"/>
      <c r="E148" s="28" t="inlineStr">
        <is>
          <t>No</t>
        </is>
      </c>
      <c r="F148" s="28" t="inlineStr">
        <is>
          <t>Active</t>
        </is>
      </c>
      <c r="G148" s="38" t="n"/>
      <c r="H148" s="29" t="n">
        <v>1</v>
      </c>
      <c r="I148" s="39" t="n"/>
      <c r="J148" s="39" t="n"/>
      <c r="K148" s="31" t="n"/>
      <c r="L148" s="31" t="n"/>
      <c r="M148" s="31" t="n"/>
      <c r="N148" s="31" t="n"/>
      <c r="O148" s="31" t="n"/>
      <c r="P148" s="31" t="n"/>
      <c r="Q148" s="23">
        <f>IF($A148="","",COUNTIFS(Assignments!$C$2:$C$769,$A148,Assignments!$G$2:$G$769,"Active"))</f>
        <v/>
      </c>
      <c r="R148" s="32">
        <f>IF($A148="","",SUMIFS(Assignments!$I$2:$I$769,Assignments!$C$2:$C$769,$A148,Assignments!$G$2:$G$769,"Active"))</f>
        <v/>
      </c>
      <c r="S148" s="20" t="inlineStr">
        <is>
          <t>WIP</t>
        </is>
      </c>
      <c r="T148" s="31" t="n"/>
      <c r="U148" s="38" t="n"/>
      <c r="V148" s="34">
        <f>IF($U148="","",IFERROR(INDEX(Templates!$K$3:$K$10,MATCH($U148,Templates!$A$3:$A$10,0)),""))</f>
        <v/>
      </c>
      <c r="W148" s="34">
        <f>IF($U148="","",IFERROR(INDEX(Templates!$L$3:$L$10,MATCH($U148,Templates!$A$3:$A$10,0)),""))</f>
        <v/>
      </c>
      <c r="X148" s="21">
        <f>IF($U148="","",IFERROR(INDEX(Templates!$J$3:$J$10,MATCH($U148,Templates!$A$3:$A$10,0)),""))</f>
        <v/>
      </c>
      <c r="Y148" s="35">
        <f>IF(OR($U148="",$I148="",$J148="",$X148=""),"",$I148+$X148*($J148-$I148))</f>
        <v/>
      </c>
      <c r="Z148" s="30" t="n">
        <v>46212</v>
      </c>
      <c r="AA148" s="40" t="n"/>
      <c r="AB148" s="41" t="n"/>
      <c r="AC148" s="41" t="n"/>
      <c r="AD148" s="19">
        <f>IF($A148="","",IF($AA148="",$H148,$AA148))</f>
        <v/>
      </c>
      <c r="AE148" s="35">
        <f>IF($A148="","",IF($AB148="",$I148,$AB148))</f>
        <v/>
      </c>
      <c r="AF148" s="35">
        <f>IF($A148="","",IF($AC148="",$J148,$AC148))</f>
        <v/>
      </c>
      <c r="AG148" s="35">
        <f>IF(OR($U148="",$AE148="",$AF148="",$X148=""),"",$AE148+$X148*($AF148-$AE148))</f>
        <v/>
      </c>
      <c r="AH148" s="38" t="n"/>
      <c r="AI148" s="38" t="n"/>
      <c r="AJ148" s="38" t="n"/>
      <c r="AK148" s="38" t="n"/>
      <c r="AL148" s="38" t="n"/>
      <c r="AM148" s="38" t="n"/>
      <c r="AN148" s="38" t="n"/>
      <c r="AO148" s="38" t="n"/>
      <c r="AP148" s="38" t="n"/>
      <c r="AQ148" s="38" t="n"/>
      <c r="AR148" s="38" t="n"/>
      <c r="AS148" s="38" t="n"/>
      <c r="AT148" s="38" t="n"/>
      <c r="AU148" s="38" t="n"/>
      <c r="AV148" s="38" t="n"/>
      <c r="AW148" s="38" t="n"/>
      <c r="AX148" s="38" t="n"/>
      <c r="AY148" s="42" t="n"/>
      <c r="AZ148" s="42" t="n"/>
      <c r="BA148" s="42" t="n"/>
      <c r="BB148" s="42" t="n"/>
      <c r="BC148" s="42" t="n"/>
      <c r="BD148" s="37">
        <f>IF($A148="","",SUM($AY148:$BC148))</f>
        <v/>
      </c>
      <c r="BE148" s="18">
        <f>IF($A148="","",IF(AND($I148&lt;&gt;"",$J148&lt;&gt;""),MAX(1,($J148-$I148)/7),Templates!$B$35))</f>
        <v/>
      </c>
      <c r="BF148" s="18">
        <f>IF($A148="","",IF(AND($I148&lt;&gt;"",$J148&lt;&gt;""),MAX(1,($J148-$I148)/7),Templates!$B$36))</f>
        <v/>
      </c>
      <c r="BG148" s="18">
        <f>IF($A148="","",IF(AND($I148&lt;&gt;"",$J148&lt;&gt;""),MAX(1,($J148-$I148)/7),Templates!$B$37))</f>
        <v/>
      </c>
      <c r="BH148" s="18">
        <f>IF($A148="","",IF(AND($I148&lt;&gt;"",$J148&lt;&gt;""),MAX(1,($J148-$I148)/7),Templates!$B$38))</f>
        <v/>
      </c>
      <c r="BI148" s="18">
        <f>IF($A148="","",IF(AND($I148&lt;&gt;"",$J148&lt;&gt;""),MAX(1,($J148-$I148)/7),Templates!$B$39))</f>
        <v/>
      </c>
      <c r="BJ148" s="18">
        <f>IF(OR($A148="",$BD148=0),0,($AY148*Templates!$B$27/$BE148+$AZ148*Templates!$B$28/$BF148+$BA148*Templates!$B$29/$BG148+$BB148*Templates!$B$30/$BH148+$BC148*Templates!$B$31/$BI148)/Templates!$B$17)</f>
        <v/>
      </c>
      <c r="BK148" s="18">
        <f>IF(OR($A148="",$BD148=0),0,($AY148*Templates!$C$27/$BE148+$AZ148*Templates!$C$28/$BF148+$BA148*Templates!$C$29/$BG148+$BB148*Templates!$C$30/$BH148+$BC148*Templates!$C$31/$BI148)/Templates!$B$18)</f>
        <v/>
      </c>
      <c r="BL148" s="18">
        <f>IF(OR($A148="",$BD148=0),0,($AY148*Templates!$D$27/$BE148+$AZ148*Templates!$D$28/$BF148+$BA148*Templates!$D$29/$BG148+$BB148*Templates!$D$30/$BH148+$BC148*Templates!$D$31/$BI148)/Templates!$B$19)</f>
        <v/>
      </c>
      <c r="BM148" s="18">
        <f>IF(OR($A148="",$BD148=0),0,($AY148*Templates!$E$27/$BE148+$AZ148*Templates!$E$28/$BF148+$BA148*Templates!$E$29/$BG148+$BB148*Templates!$E$30/$BH148+$BC148*Templates!$E$31/$BI148)/Templates!$B$20)</f>
        <v/>
      </c>
      <c r="BN148" s="18">
        <f>IF(OR($A148="",$BD148=0),0,($AY148*Templates!$F$27/$BE148+$AZ148*Templates!$F$28/$BF148+$BA148*Templates!$F$29/$BG148+$BB148*Templates!$F$30/$BH148+$BC148*Templates!$F$31/$BI148)/Templates!$B$21)</f>
        <v/>
      </c>
      <c r="BO148" s="18">
        <f>IF(OR($A148="",$BD148=0),0,($AY148*Templates!$G$27/$BE148+$AZ148*Templates!$G$28/$BF148+$BA148*Templates!$G$29/$BG148+$BB148*Templates!$G$30/$BH148+$BC148*Templates!$G$31/$BI148)/Templates!$B$22)</f>
        <v/>
      </c>
      <c r="BP148" s="18">
        <f>IF(OR($A148="",$BD148=0),0,($AY148*Templates!$H$27/$BE148+$AZ148*Templates!$H$28/$BF148+$BA148*Templates!$H$29/$BG148+$BB148*Templates!$H$30/$BH148+$BC148*Templates!$H$31/$BI148)/Templates!$B$23)</f>
        <v/>
      </c>
    </row>
    <row r="149">
      <c r="A149" s="28" t="inlineStr">
        <is>
          <t>RBC Leaf_2</t>
        </is>
      </c>
      <c r="B149" s="20" t="inlineStr">
        <is>
          <t>Royal Bank of Canada : RBC Community Investments, LLC</t>
        </is>
      </c>
      <c r="C149" s="28" t="inlineStr">
        <is>
          <t>Royal Bank of Canada</t>
        </is>
      </c>
      <c r="D149" s="28" t="inlineStr">
        <is>
          <t>RBC Community Investments, LLC</t>
        </is>
      </c>
      <c r="E149" s="28" t="inlineStr">
        <is>
          <t>No</t>
        </is>
      </c>
      <c r="F149" s="28" t="inlineStr">
        <is>
          <t>Active</t>
        </is>
      </c>
      <c r="G149" s="38" t="n"/>
      <c r="H149" s="29" t="n">
        <v>1</v>
      </c>
      <c r="I149" s="39" t="n"/>
      <c r="J149" s="39" t="n"/>
      <c r="K149" s="31" t="n"/>
      <c r="L149" s="31" t="n"/>
      <c r="M149" s="31" t="n"/>
      <c r="N149" s="31" t="n"/>
      <c r="O149" s="31" t="n"/>
      <c r="P149" s="31" t="n"/>
      <c r="Q149" s="23">
        <f>IF($A149="","",COUNTIFS(Assignments!$C$2:$C$769,$A149,Assignments!$G$2:$G$769,"Active"))</f>
        <v/>
      </c>
      <c r="R149" s="32">
        <f>IF($A149="","",SUMIFS(Assignments!$I$2:$I$769,Assignments!$C$2:$C$769,$A149,Assignments!$G$2:$G$769,"Active"))</f>
        <v/>
      </c>
      <c r="S149" s="20" t="inlineStr">
        <is>
          <t>WIP</t>
        </is>
      </c>
      <c r="T149" s="31" t="n"/>
      <c r="U149" s="38" t="n"/>
      <c r="V149" s="34">
        <f>IF($U149="","",IFERROR(INDEX(Templates!$K$3:$K$10,MATCH($U149,Templates!$A$3:$A$10,0)),""))</f>
        <v/>
      </c>
      <c r="W149" s="34">
        <f>IF($U149="","",IFERROR(INDEX(Templates!$L$3:$L$10,MATCH($U149,Templates!$A$3:$A$10,0)),""))</f>
        <v/>
      </c>
      <c r="X149" s="21">
        <f>IF($U149="","",IFERROR(INDEX(Templates!$J$3:$J$10,MATCH($U149,Templates!$A$3:$A$10,0)),""))</f>
        <v/>
      </c>
      <c r="Y149" s="35">
        <f>IF(OR($U149="",$I149="",$J149="",$X149=""),"",$I149+$X149*($J149-$I149))</f>
        <v/>
      </c>
      <c r="Z149" s="30" t="n">
        <v>46212</v>
      </c>
      <c r="AA149" s="40" t="n"/>
      <c r="AB149" s="41" t="n"/>
      <c r="AC149" s="41" t="n"/>
      <c r="AD149" s="19">
        <f>IF($A149="","",IF($AA149="",$H149,$AA149))</f>
        <v/>
      </c>
      <c r="AE149" s="35">
        <f>IF($A149="","",IF($AB149="",$I149,$AB149))</f>
        <v/>
      </c>
      <c r="AF149" s="35">
        <f>IF($A149="","",IF($AC149="",$J149,$AC149))</f>
        <v/>
      </c>
      <c r="AG149" s="35">
        <f>IF(OR($U149="",$AE149="",$AF149="",$X149=""),"",$AE149+$X149*($AF149-$AE149))</f>
        <v/>
      </c>
      <c r="AH149" s="38" t="n"/>
      <c r="AI149" s="38" t="n"/>
      <c r="AJ149" s="38" t="n"/>
      <c r="AK149" s="38" t="n"/>
      <c r="AL149" s="38" t="n"/>
      <c r="AM149" s="38" t="n"/>
      <c r="AN149" s="38" t="n"/>
      <c r="AO149" s="38" t="n"/>
      <c r="AP149" s="38" t="n"/>
      <c r="AQ149" s="38" t="n"/>
      <c r="AR149" s="38" t="n"/>
      <c r="AS149" s="38" t="n"/>
      <c r="AT149" s="38" t="n"/>
      <c r="AU149" s="38" t="n"/>
      <c r="AV149" s="38" t="n"/>
      <c r="AW149" s="38" t="n"/>
      <c r="AX149" s="38" t="n"/>
      <c r="AY149" s="42" t="n"/>
      <c r="AZ149" s="42" t="n"/>
      <c r="BA149" s="42" t="n"/>
      <c r="BB149" s="42" t="n"/>
      <c r="BC149" s="42" t="n"/>
      <c r="BD149" s="37">
        <f>IF($A149="","",SUM($AY149:$BC149))</f>
        <v/>
      </c>
      <c r="BE149" s="18">
        <f>IF($A149="","",IF(AND($I149&lt;&gt;"",$J149&lt;&gt;""),MAX(1,($J149-$I149)/7),Templates!$B$35))</f>
        <v/>
      </c>
      <c r="BF149" s="18">
        <f>IF($A149="","",IF(AND($I149&lt;&gt;"",$J149&lt;&gt;""),MAX(1,($J149-$I149)/7),Templates!$B$36))</f>
        <v/>
      </c>
      <c r="BG149" s="18">
        <f>IF($A149="","",IF(AND($I149&lt;&gt;"",$J149&lt;&gt;""),MAX(1,($J149-$I149)/7),Templates!$B$37))</f>
        <v/>
      </c>
      <c r="BH149" s="18">
        <f>IF($A149="","",IF(AND($I149&lt;&gt;"",$J149&lt;&gt;""),MAX(1,($J149-$I149)/7),Templates!$B$38))</f>
        <v/>
      </c>
      <c r="BI149" s="18">
        <f>IF($A149="","",IF(AND($I149&lt;&gt;"",$J149&lt;&gt;""),MAX(1,($J149-$I149)/7),Templates!$B$39))</f>
        <v/>
      </c>
      <c r="BJ149" s="18">
        <f>IF(OR($A149="",$BD149=0),0,($AY149*Templates!$B$27/$BE149+$AZ149*Templates!$B$28/$BF149+$BA149*Templates!$B$29/$BG149+$BB149*Templates!$B$30/$BH149+$BC149*Templates!$B$31/$BI149)/Templates!$B$17)</f>
        <v/>
      </c>
      <c r="BK149" s="18">
        <f>IF(OR($A149="",$BD149=0),0,($AY149*Templates!$C$27/$BE149+$AZ149*Templates!$C$28/$BF149+$BA149*Templates!$C$29/$BG149+$BB149*Templates!$C$30/$BH149+$BC149*Templates!$C$31/$BI149)/Templates!$B$18)</f>
        <v/>
      </c>
      <c r="BL149" s="18">
        <f>IF(OR($A149="",$BD149=0),0,($AY149*Templates!$D$27/$BE149+$AZ149*Templates!$D$28/$BF149+$BA149*Templates!$D$29/$BG149+$BB149*Templates!$D$30/$BH149+$BC149*Templates!$D$31/$BI149)/Templates!$B$19)</f>
        <v/>
      </c>
      <c r="BM149" s="18">
        <f>IF(OR($A149="",$BD149=0),0,($AY149*Templates!$E$27/$BE149+$AZ149*Templates!$E$28/$BF149+$BA149*Templates!$E$29/$BG149+$BB149*Templates!$E$30/$BH149+$BC149*Templates!$E$31/$BI149)/Templates!$B$20)</f>
        <v/>
      </c>
      <c r="BN149" s="18">
        <f>IF(OR($A149="",$BD149=0),0,($AY149*Templates!$F$27/$BE149+$AZ149*Templates!$F$28/$BF149+$BA149*Templates!$F$29/$BG149+$BB149*Templates!$F$30/$BH149+$BC149*Templates!$F$31/$BI149)/Templates!$B$21)</f>
        <v/>
      </c>
      <c r="BO149" s="18">
        <f>IF(OR($A149="",$BD149=0),0,($AY149*Templates!$G$27/$BE149+$AZ149*Templates!$G$28/$BF149+$BA149*Templates!$G$29/$BG149+$BB149*Templates!$G$30/$BH149+$BC149*Templates!$G$31/$BI149)/Templates!$B$22)</f>
        <v/>
      </c>
      <c r="BP149" s="18">
        <f>IF(OR($A149="",$BD149=0),0,($AY149*Templates!$H$27/$BE149+$AZ149*Templates!$H$28/$BF149+$BA149*Templates!$H$29/$BG149+$BB149*Templates!$H$30/$BH149+$BC149*Templates!$H$31/$BI149)/Templates!$B$23)</f>
        <v/>
      </c>
    </row>
    <row r="150">
      <c r="A150" s="28" t="inlineStr">
        <is>
          <t>RBC Petal_1</t>
        </is>
      </c>
      <c r="B150" s="20" t="inlineStr">
        <is>
          <t>Royal Bank of Canada : RBC Community Investments, LLC</t>
        </is>
      </c>
      <c r="C150" s="28" t="inlineStr">
        <is>
          <t>Royal Bank of Canada</t>
        </is>
      </c>
      <c r="D150" s="28" t="inlineStr">
        <is>
          <t>RBC Community Investments, LLC</t>
        </is>
      </c>
      <c r="E150" s="28" t="inlineStr">
        <is>
          <t>No</t>
        </is>
      </c>
      <c r="F150" s="28" t="inlineStr">
        <is>
          <t>Active</t>
        </is>
      </c>
      <c r="G150" s="38" t="n"/>
      <c r="H150" s="29" t="n">
        <v>1</v>
      </c>
      <c r="I150" s="39" t="n"/>
      <c r="J150" s="39" t="n"/>
      <c r="K150" s="31" t="n"/>
      <c r="L150" s="31" t="n"/>
      <c r="M150" s="31" t="n"/>
      <c r="N150" s="31" t="n"/>
      <c r="O150" s="31" t="n"/>
      <c r="P150" s="31" t="n"/>
      <c r="Q150" s="23">
        <f>IF($A150="","",COUNTIFS(Assignments!$C$2:$C$769,$A150,Assignments!$G$2:$G$769,"Active"))</f>
        <v/>
      </c>
      <c r="R150" s="32">
        <f>IF($A150="","",SUMIFS(Assignments!$I$2:$I$769,Assignments!$C$2:$C$769,$A150,Assignments!$G$2:$G$769,"Active"))</f>
        <v/>
      </c>
      <c r="S150" s="20" t="inlineStr">
        <is>
          <t>WIP</t>
        </is>
      </c>
      <c r="T150" s="31" t="n"/>
      <c r="U150" s="38" t="n"/>
      <c r="V150" s="34">
        <f>IF($U150="","",IFERROR(INDEX(Templates!$K$3:$K$10,MATCH($U150,Templates!$A$3:$A$10,0)),""))</f>
        <v/>
      </c>
      <c r="W150" s="34">
        <f>IF($U150="","",IFERROR(INDEX(Templates!$L$3:$L$10,MATCH($U150,Templates!$A$3:$A$10,0)),""))</f>
        <v/>
      </c>
      <c r="X150" s="21">
        <f>IF($U150="","",IFERROR(INDEX(Templates!$J$3:$J$10,MATCH($U150,Templates!$A$3:$A$10,0)),""))</f>
        <v/>
      </c>
      <c r="Y150" s="35">
        <f>IF(OR($U150="",$I150="",$J150="",$X150=""),"",$I150+$X150*($J150-$I150))</f>
        <v/>
      </c>
      <c r="Z150" s="30" t="n">
        <v>46212</v>
      </c>
      <c r="AA150" s="40" t="n"/>
      <c r="AB150" s="41" t="n"/>
      <c r="AC150" s="41" t="n"/>
      <c r="AD150" s="19">
        <f>IF($A150="","",IF($AA150="",$H150,$AA150))</f>
        <v/>
      </c>
      <c r="AE150" s="35">
        <f>IF($A150="","",IF($AB150="",$I150,$AB150))</f>
        <v/>
      </c>
      <c r="AF150" s="35">
        <f>IF($A150="","",IF($AC150="",$J150,$AC150))</f>
        <v/>
      </c>
      <c r="AG150" s="35">
        <f>IF(OR($U150="",$AE150="",$AF150="",$X150=""),"",$AE150+$X150*($AF150-$AE150))</f>
        <v/>
      </c>
      <c r="AH150" s="38" t="n"/>
      <c r="AI150" s="38" t="n"/>
      <c r="AJ150" s="38" t="n"/>
      <c r="AK150" s="38" t="n"/>
      <c r="AL150" s="38" t="n"/>
      <c r="AM150" s="38" t="n"/>
      <c r="AN150" s="38" t="n"/>
      <c r="AO150" s="38" t="n"/>
      <c r="AP150" s="38" t="n"/>
      <c r="AQ150" s="38" t="n"/>
      <c r="AR150" s="38" t="n"/>
      <c r="AS150" s="38" t="n"/>
      <c r="AT150" s="38" t="n"/>
      <c r="AU150" s="38" t="n"/>
      <c r="AV150" s="38" t="n"/>
      <c r="AW150" s="38" t="n"/>
      <c r="AX150" s="38" t="n"/>
      <c r="AY150" s="42" t="n"/>
      <c r="AZ150" s="42" t="n"/>
      <c r="BA150" s="42" t="n"/>
      <c r="BB150" s="42" t="n"/>
      <c r="BC150" s="42" t="n"/>
      <c r="BD150" s="37">
        <f>IF($A150="","",SUM($AY150:$BC150))</f>
        <v/>
      </c>
      <c r="BE150" s="18">
        <f>IF($A150="","",IF(AND($I150&lt;&gt;"",$J150&lt;&gt;""),MAX(1,($J150-$I150)/7),Templates!$B$35))</f>
        <v/>
      </c>
      <c r="BF150" s="18">
        <f>IF($A150="","",IF(AND($I150&lt;&gt;"",$J150&lt;&gt;""),MAX(1,($J150-$I150)/7),Templates!$B$36))</f>
        <v/>
      </c>
      <c r="BG150" s="18">
        <f>IF($A150="","",IF(AND($I150&lt;&gt;"",$J150&lt;&gt;""),MAX(1,($J150-$I150)/7),Templates!$B$37))</f>
        <v/>
      </c>
      <c r="BH150" s="18">
        <f>IF($A150="","",IF(AND($I150&lt;&gt;"",$J150&lt;&gt;""),MAX(1,($J150-$I150)/7),Templates!$B$38))</f>
        <v/>
      </c>
      <c r="BI150" s="18">
        <f>IF($A150="","",IF(AND($I150&lt;&gt;"",$J150&lt;&gt;""),MAX(1,($J150-$I150)/7),Templates!$B$39))</f>
        <v/>
      </c>
      <c r="BJ150" s="18">
        <f>IF(OR($A150="",$BD150=0),0,($AY150*Templates!$B$27/$BE150+$AZ150*Templates!$B$28/$BF150+$BA150*Templates!$B$29/$BG150+$BB150*Templates!$B$30/$BH150+$BC150*Templates!$B$31/$BI150)/Templates!$B$17)</f>
        <v/>
      </c>
      <c r="BK150" s="18">
        <f>IF(OR($A150="",$BD150=0),0,($AY150*Templates!$C$27/$BE150+$AZ150*Templates!$C$28/$BF150+$BA150*Templates!$C$29/$BG150+$BB150*Templates!$C$30/$BH150+$BC150*Templates!$C$31/$BI150)/Templates!$B$18)</f>
        <v/>
      </c>
      <c r="BL150" s="18">
        <f>IF(OR($A150="",$BD150=0),0,($AY150*Templates!$D$27/$BE150+$AZ150*Templates!$D$28/$BF150+$BA150*Templates!$D$29/$BG150+$BB150*Templates!$D$30/$BH150+$BC150*Templates!$D$31/$BI150)/Templates!$B$19)</f>
        <v/>
      </c>
      <c r="BM150" s="18">
        <f>IF(OR($A150="",$BD150=0),0,($AY150*Templates!$E$27/$BE150+$AZ150*Templates!$E$28/$BF150+$BA150*Templates!$E$29/$BG150+$BB150*Templates!$E$30/$BH150+$BC150*Templates!$E$31/$BI150)/Templates!$B$20)</f>
        <v/>
      </c>
      <c r="BN150" s="18">
        <f>IF(OR($A150="",$BD150=0),0,($AY150*Templates!$F$27/$BE150+$AZ150*Templates!$F$28/$BF150+$BA150*Templates!$F$29/$BG150+$BB150*Templates!$F$30/$BH150+$BC150*Templates!$F$31/$BI150)/Templates!$B$21)</f>
        <v/>
      </c>
      <c r="BO150" s="18">
        <f>IF(OR($A150="",$BD150=0),0,($AY150*Templates!$G$27/$BE150+$AZ150*Templates!$G$28/$BF150+$BA150*Templates!$G$29/$BG150+$BB150*Templates!$G$30/$BH150+$BC150*Templates!$G$31/$BI150)/Templates!$B$22)</f>
        <v/>
      </c>
      <c r="BP150" s="18">
        <f>IF(OR($A150="",$BD150=0),0,($AY150*Templates!$H$27/$BE150+$AZ150*Templates!$H$28/$BF150+$BA150*Templates!$H$29/$BG150+$BB150*Templates!$H$30/$BH150+$BC150*Templates!$H$31/$BI150)/Templates!$B$23)</f>
        <v/>
      </c>
    </row>
    <row r="151">
      <c r="A151" s="28" t="inlineStr">
        <is>
          <t>Realty_1</t>
        </is>
      </c>
      <c r="B151" s="20" t="inlineStr">
        <is>
          <t>Mosaic Insurance</t>
        </is>
      </c>
      <c r="C151" s="28" t="inlineStr">
        <is>
          <t>Mosaic Insurance</t>
        </is>
      </c>
      <c r="D151" s="28" t="inlineStr"/>
      <c r="E151" s="28" t="inlineStr">
        <is>
          <t>No</t>
        </is>
      </c>
      <c r="F151" s="28" t="inlineStr">
        <is>
          <t>Active</t>
        </is>
      </c>
      <c r="G151" s="38" t="n"/>
      <c r="H151" s="29" t="n">
        <v>1</v>
      </c>
      <c r="I151" s="39" t="n"/>
      <c r="J151" s="39" t="n"/>
      <c r="K151" s="31" t="n"/>
      <c r="L151" s="31" t="n"/>
      <c r="M151" s="31" t="n"/>
      <c r="N151" s="31" t="n"/>
      <c r="O151" s="31" t="n"/>
      <c r="P151" s="31" t="n"/>
      <c r="Q151" s="23">
        <f>IF($A151="","",COUNTIFS(Assignments!$C$2:$C$769,$A151,Assignments!$G$2:$G$769,"Active"))</f>
        <v/>
      </c>
      <c r="R151" s="32">
        <f>IF($A151="","",SUMIFS(Assignments!$I$2:$I$769,Assignments!$C$2:$C$769,$A151,Assignments!$G$2:$G$769,"Active"))</f>
        <v/>
      </c>
      <c r="S151" s="20" t="inlineStr">
        <is>
          <t>WIP</t>
        </is>
      </c>
      <c r="T151" s="31" t="n"/>
      <c r="U151" s="38" t="n"/>
      <c r="V151" s="34">
        <f>IF($U151="","",IFERROR(INDEX(Templates!$K$3:$K$10,MATCH($U151,Templates!$A$3:$A$10,0)),""))</f>
        <v/>
      </c>
      <c r="W151" s="34">
        <f>IF($U151="","",IFERROR(INDEX(Templates!$L$3:$L$10,MATCH($U151,Templates!$A$3:$A$10,0)),""))</f>
        <v/>
      </c>
      <c r="X151" s="21">
        <f>IF($U151="","",IFERROR(INDEX(Templates!$J$3:$J$10,MATCH($U151,Templates!$A$3:$A$10,0)),""))</f>
        <v/>
      </c>
      <c r="Y151" s="35">
        <f>IF(OR($U151="",$I151="",$J151="",$X151=""),"",$I151+$X151*($J151-$I151))</f>
        <v/>
      </c>
      <c r="Z151" s="30" t="n">
        <v>46212</v>
      </c>
      <c r="AA151" s="40" t="n"/>
      <c r="AB151" s="41" t="n"/>
      <c r="AC151" s="41" t="n"/>
      <c r="AD151" s="19">
        <f>IF($A151="","",IF($AA151="",$H151,$AA151))</f>
        <v/>
      </c>
      <c r="AE151" s="35">
        <f>IF($A151="","",IF($AB151="",$I151,$AB151))</f>
        <v/>
      </c>
      <c r="AF151" s="35">
        <f>IF($A151="","",IF($AC151="",$J151,$AC151))</f>
        <v/>
      </c>
      <c r="AG151" s="35">
        <f>IF(OR($U151="",$AE151="",$AF151="",$X151=""),"",$AE151+$X151*($AF151-$AE151))</f>
        <v/>
      </c>
      <c r="AH151" s="38" t="n"/>
      <c r="AI151" s="38" t="n"/>
      <c r="AJ151" s="38" t="n"/>
      <c r="AK151" s="38" t="n"/>
      <c r="AL151" s="38" t="n"/>
      <c r="AM151" s="38" t="n"/>
      <c r="AN151" s="38" t="n"/>
      <c r="AO151" s="38" t="n"/>
      <c r="AP151" s="38" t="n"/>
      <c r="AQ151" s="38" t="n"/>
      <c r="AR151" s="38" t="n"/>
      <c r="AS151" s="38" t="n"/>
      <c r="AT151" s="38" t="n"/>
      <c r="AU151" s="38" t="n"/>
      <c r="AV151" s="38" t="n"/>
      <c r="AW151" s="38" t="n"/>
      <c r="AX151" s="38" t="n"/>
      <c r="AY151" s="42" t="n"/>
      <c r="AZ151" s="42" t="n"/>
      <c r="BA151" s="42" t="n"/>
      <c r="BB151" s="42" t="n"/>
      <c r="BC151" s="42" t="n"/>
      <c r="BD151" s="37">
        <f>IF($A151="","",SUM($AY151:$BC151))</f>
        <v/>
      </c>
      <c r="BE151" s="18">
        <f>IF($A151="","",IF(AND($I151&lt;&gt;"",$J151&lt;&gt;""),MAX(1,($J151-$I151)/7),Templates!$B$35))</f>
        <v/>
      </c>
      <c r="BF151" s="18">
        <f>IF($A151="","",IF(AND($I151&lt;&gt;"",$J151&lt;&gt;""),MAX(1,($J151-$I151)/7),Templates!$B$36))</f>
        <v/>
      </c>
      <c r="BG151" s="18">
        <f>IF($A151="","",IF(AND($I151&lt;&gt;"",$J151&lt;&gt;""),MAX(1,($J151-$I151)/7),Templates!$B$37))</f>
        <v/>
      </c>
      <c r="BH151" s="18">
        <f>IF($A151="","",IF(AND($I151&lt;&gt;"",$J151&lt;&gt;""),MAX(1,($J151-$I151)/7),Templates!$B$38))</f>
        <v/>
      </c>
      <c r="BI151" s="18">
        <f>IF($A151="","",IF(AND($I151&lt;&gt;"",$J151&lt;&gt;""),MAX(1,($J151-$I151)/7),Templates!$B$39))</f>
        <v/>
      </c>
      <c r="BJ151" s="18">
        <f>IF(OR($A151="",$BD151=0),0,($AY151*Templates!$B$27/$BE151+$AZ151*Templates!$B$28/$BF151+$BA151*Templates!$B$29/$BG151+$BB151*Templates!$B$30/$BH151+$BC151*Templates!$B$31/$BI151)/Templates!$B$17)</f>
        <v/>
      </c>
      <c r="BK151" s="18">
        <f>IF(OR($A151="",$BD151=0),0,($AY151*Templates!$C$27/$BE151+$AZ151*Templates!$C$28/$BF151+$BA151*Templates!$C$29/$BG151+$BB151*Templates!$C$30/$BH151+$BC151*Templates!$C$31/$BI151)/Templates!$B$18)</f>
        <v/>
      </c>
      <c r="BL151" s="18">
        <f>IF(OR($A151="",$BD151=0),0,($AY151*Templates!$D$27/$BE151+$AZ151*Templates!$D$28/$BF151+$BA151*Templates!$D$29/$BG151+$BB151*Templates!$D$30/$BH151+$BC151*Templates!$D$31/$BI151)/Templates!$B$19)</f>
        <v/>
      </c>
      <c r="BM151" s="18">
        <f>IF(OR($A151="",$BD151=0),0,($AY151*Templates!$E$27/$BE151+$AZ151*Templates!$E$28/$BF151+$BA151*Templates!$E$29/$BG151+$BB151*Templates!$E$30/$BH151+$BC151*Templates!$E$31/$BI151)/Templates!$B$20)</f>
        <v/>
      </c>
      <c r="BN151" s="18">
        <f>IF(OR($A151="",$BD151=0),0,($AY151*Templates!$F$27/$BE151+$AZ151*Templates!$F$28/$BF151+$BA151*Templates!$F$29/$BG151+$BB151*Templates!$F$30/$BH151+$BC151*Templates!$F$31/$BI151)/Templates!$B$21)</f>
        <v/>
      </c>
      <c r="BO151" s="18">
        <f>IF(OR($A151="",$BD151=0),0,($AY151*Templates!$G$27/$BE151+$AZ151*Templates!$G$28/$BF151+$BA151*Templates!$G$29/$BG151+$BB151*Templates!$G$30/$BH151+$BC151*Templates!$G$31/$BI151)/Templates!$B$22)</f>
        <v/>
      </c>
      <c r="BP151" s="18">
        <f>IF(OR($A151="",$BD151=0),0,($AY151*Templates!$H$27/$BE151+$AZ151*Templates!$H$28/$BF151+$BA151*Templates!$H$29/$BG151+$BB151*Templates!$H$30/$BH151+$BC151*Templates!$H$31/$BI151)/Templates!$B$23)</f>
        <v/>
      </c>
    </row>
    <row r="152">
      <c r="A152" s="28" t="inlineStr">
        <is>
          <t>Redball_6</t>
        </is>
      </c>
      <c r="B152" s="20" t="inlineStr">
        <is>
          <t>Ethos Specialty Insurance Services</t>
        </is>
      </c>
      <c r="C152" s="28" t="inlineStr">
        <is>
          <t>Ethos Specialty Insurance Services</t>
        </is>
      </c>
      <c r="D152" s="28" t="inlineStr"/>
      <c r="E152" s="28" t="inlineStr">
        <is>
          <t>No</t>
        </is>
      </c>
      <c r="F152" s="28" t="inlineStr">
        <is>
          <t>Active</t>
        </is>
      </c>
      <c r="G152" s="38" t="n"/>
      <c r="H152" s="29" t="n">
        <v>1</v>
      </c>
      <c r="I152" s="39" t="n"/>
      <c r="J152" s="39" t="n"/>
      <c r="K152" s="31" t="n"/>
      <c r="L152" s="31" t="n"/>
      <c r="M152" s="31" t="n"/>
      <c r="N152" s="31" t="n"/>
      <c r="O152" s="31" t="n"/>
      <c r="P152" s="31" t="n"/>
      <c r="Q152" s="23">
        <f>IF($A152="","",COUNTIFS(Assignments!$C$2:$C$769,$A152,Assignments!$G$2:$G$769,"Active"))</f>
        <v/>
      </c>
      <c r="R152" s="32">
        <f>IF($A152="","",SUMIFS(Assignments!$I$2:$I$769,Assignments!$C$2:$C$769,$A152,Assignments!$G$2:$G$769,"Active"))</f>
        <v/>
      </c>
      <c r="S152" s="20" t="inlineStr">
        <is>
          <t>WIP</t>
        </is>
      </c>
      <c r="T152" s="31" t="n"/>
      <c r="U152" s="38" t="n"/>
      <c r="V152" s="34">
        <f>IF($U152="","",IFERROR(INDEX(Templates!$K$3:$K$10,MATCH($U152,Templates!$A$3:$A$10,0)),""))</f>
        <v/>
      </c>
      <c r="W152" s="34">
        <f>IF($U152="","",IFERROR(INDEX(Templates!$L$3:$L$10,MATCH($U152,Templates!$A$3:$A$10,0)),""))</f>
        <v/>
      </c>
      <c r="X152" s="21">
        <f>IF($U152="","",IFERROR(INDEX(Templates!$J$3:$J$10,MATCH($U152,Templates!$A$3:$A$10,0)),""))</f>
        <v/>
      </c>
      <c r="Y152" s="35">
        <f>IF(OR($U152="",$I152="",$J152="",$X152=""),"",$I152+$X152*($J152-$I152))</f>
        <v/>
      </c>
      <c r="Z152" s="30" t="n">
        <v>46212</v>
      </c>
      <c r="AA152" s="40" t="n"/>
      <c r="AB152" s="41" t="n"/>
      <c r="AC152" s="41" t="n"/>
      <c r="AD152" s="19">
        <f>IF($A152="","",IF($AA152="",$H152,$AA152))</f>
        <v/>
      </c>
      <c r="AE152" s="35">
        <f>IF($A152="","",IF($AB152="",$I152,$AB152))</f>
        <v/>
      </c>
      <c r="AF152" s="35">
        <f>IF($A152="","",IF($AC152="",$J152,$AC152))</f>
        <v/>
      </c>
      <c r="AG152" s="35">
        <f>IF(OR($U152="",$AE152="",$AF152="",$X152=""),"",$AE152+$X152*($AF152-$AE152))</f>
        <v/>
      </c>
      <c r="AH152" s="38" t="n"/>
      <c r="AI152" s="38" t="n"/>
      <c r="AJ152" s="38" t="n"/>
      <c r="AK152" s="38" t="n"/>
      <c r="AL152" s="38" t="n"/>
      <c r="AM152" s="38" t="n"/>
      <c r="AN152" s="38" t="n"/>
      <c r="AO152" s="38" t="n"/>
      <c r="AP152" s="38" t="n"/>
      <c r="AQ152" s="38" t="n"/>
      <c r="AR152" s="38" t="n"/>
      <c r="AS152" s="38" t="n"/>
      <c r="AT152" s="38" t="n"/>
      <c r="AU152" s="38" t="n"/>
      <c r="AV152" s="38" t="n"/>
      <c r="AW152" s="38" t="n"/>
      <c r="AX152" s="38" t="n"/>
      <c r="AY152" s="42" t="n"/>
      <c r="AZ152" s="42" t="n"/>
      <c r="BA152" s="42" t="n"/>
      <c r="BB152" s="42" t="n"/>
      <c r="BC152" s="42" t="n"/>
      <c r="BD152" s="37">
        <f>IF($A152="","",SUM($AY152:$BC152))</f>
        <v/>
      </c>
      <c r="BE152" s="18">
        <f>IF($A152="","",IF(AND($I152&lt;&gt;"",$J152&lt;&gt;""),MAX(1,($J152-$I152)/7),Templates!$B$35))</f>
        <v/>
      </c>
      <c r="BF152" s="18">
        <f>IF($A152="","",IF(AND($I152&lt;&gt;"",$J152&lt;&gt;""),MAX(1,($J152-$I152)/7),Templates!$B$36))</f>
        <v/>
      </c>
      <c r="BG152" s="18">
        <f>IF($A152="","",IF(AND($I152&lt;&gt;"",$J152&lt;&gt;""),MAX(1,($J152-$I152)/7),Templates!$B$37))</f>
        <v/>
      </c>
      <c r="BH152" s="18">
        <f>IF($A152="","",IF(AND($I152&lt;&gt;"",$J152&lt;&gt;""),MAX(1,($J152-$I152)/7),Templates!$B$38))</f>
        <v/>
      </c>
      <c r="BI152" s="18">
        <f>IF($A152="","",IF(AND($I152&lt;&gt;"",$J152&lt;&gt;""),MAX(1,($J152-$I152)/7),Templates!$B$39))</f>
        <v/>
      </c>
      <c r="BJ152" s="18">
        <f>IF(OR($A152="",$BD152=0),0,($AY152*Templates!$B$27/$BE152+$AZ152*Templates!$B$28/$BF152+$BA152*Templates!$B$29/$BG152+$BB152*Templates!$B$30/$BH152+$BC152*Templates!$B$31/$BI152)/Templates!$B$17)</f>
        <v/>
      </c>
      <c r="BK152" s="18">
        <f>IF(OR($A152="",$BD152=0),0,($AY152*Templates!$C$27/$BE152+$AZ152*Templates!$C$28/$BF152+$BA152*Templates!$C$29/$BG152+$BB152*Templates!$C$30/$BH152+$BC152*Templates!$C$31/$BI152)/Templates!$B$18)</f>
        <v/>
      </c>
      <c r="BL152" s="18">
        <f>IF(OR($A152="",$BD152=0),0,($AY152*Templates!$D$27/$BE152+$AZ152*Templates!$D$28/$BF152+$BA152*Templates!$D$29/$BG152+$BB152*Templates!$D$30/$BH152+$BC152*Templates!$D$31/$BI152)/Templates!$B$19)</f>
        <v/>
      </c>
      <c r="BM152" s="18">
        <f>IF(OR($A152="",$BD152=0),0,($AY152*Templates!$E$27/$BE152+$AZ152*Templates!$E$28/$BF152+$BA152*Templates!$E$29/$BG152+$BB152*Templates!$E$30/$BH152+$BC152*Templates!$E$31/$BI152)/Templates!$B$20)</f>
        <v/>
      </c>
      <c r="BN152" s="18">
        <f>IF(OR($A152="",$BD152=0),0,($AY152*Templates!$F$27/$BE152+$AZ152*Templates!$F$28/$BF152+$BA152*Templates!$F$29/$BG152+$BB152*Templates!$F$30/$BH152+$BC152*Templates!$F$31/$BI152)/Templates!$B$21)</f>
        <v/>
      </c>
      <c r="BO152" s="18">
        <f>IF(OR($A152="",$BD152=0),0,($AY152*Templates!$G$27/$BE152+$AZ152*Templates!$G$28/$BF152+$BA152*Templates!$G$29/$BG152+$BB152*Templates!$G$30/$BH152+$BC152*Templates!$G$31/$BI152)/Templates!$B$22)</f>
        <v/>
      </c>
      <c r="BP152" s="18">
        <f>IF(OR($A152="",$BD152=0),0,($AY152*Templates!$H$27/$BE152+$AZ152*Templates!$H$28/$BF152+$BA152*Templates!$H$29/$BG152+$BB152*Templates!$H$30/$BH152+$BC152*Templates!$H$31/$BI152)/Templates!$B$23)</f>
        <v/>
      </c>
    </row>
    <row r="153">
      <c r="A153" s="28" t="inlineStr">
        <is>
          <t>Redwood_1</t>
        </is>
      </c>
      <c r="B153" s="20" t="inlineStr">
        <is>
          <t>Maven Advisory LLC</t>
        </is>
      </c>
      <c r="C153" s="28" t="inlineStr">
        <is>
          <t>Maven Advisory LLC</t>
        </is>
      </c>
      <c r="D153" s="28" t="inlineStr"/>
      <c r="E153" s="28" t="inlineStr">
        <is>
          <t>No</t>
        </is>
      </c>
      <c r="F153" s="28" t="inlineStr">
        <is>
          <t>Active</t>
        </is>
      </c>
      <c r="G153" s="38" t="n"/>
      <c r="H153" s="29" t="n">
        <v>1</v>
      </c>
      <c r="I153" s="39" t="n"/>
      <c r="J153" s="39" t="n"/>
      <c r="K153" s="31" t="n"/>
      <c r="L153" s="31" t="n"/>
      <c r="M153" s="31" t="n"/>
      <c r="N153" s="31" t="n"/>
      <c r="O153" s="31" t="n"/>
      <c r="P153" s="31" t="n"/>
      <c r="Q153" s="23">
        <f>IF($A153="","",COUNTIFS(Assignments!$C$2:$C$769,$A153,Assignments!$G$2:$G$769,"Active"))</f>
        <v/>
      </c>
      <c r="R153" s="32">
        <f>IF($A153="","",SUMIFS(Assignments!$I$2:$I$769,Assignments!$C$2:$C$769,$A153,Assignments!$G$2:$G$769,"Active"))</f>
        <v/>
      </c>
      <c r="S153" s="20" t="inlineStr">
        <is>
          <t>WIP</t>
        </is>
      </c>
      <c r="T153" s="31" t="n"/>
      <c r="U153" s="38" t="n"/>
      <c r="V153" s="34">
        <f>IF($U153="","",IFERROR(INDEX(Templates!$K$3:$K$10,MATCH($U153,Templates!$A$3:$A$10,0)),""))</f>
        <v/>
      </c>
      <c r="W153" s="34">
        <f>IF($U153="","",IFERROR(INDEX(Templates!$L$3:$L$10,MATCH($U153,Templates!$A$3:$A$10,0)),""))</f>
        <v/>
      </c>
      <c r="X153" s="21">
        <f>IF($U153="","",IFERROR(INDEX(Templates!$J$3:$J$10,MATCH($U153,Templates!$A$3:$A$10,0)),""))</f>
        <v/>
      </c>
      <c r="Y153" s="35">
        <f>IF(OR($U153="",$I153="",$J153="",$X153=""),"",$I153+$X153*($J153-$I153))</f>
        <v/>
      </c>
      <c r="Z153" s="30" t="n">
        <v>46212</v>
      </c>
      <c r="AA153" s="40" t="n"/>
      <c r="AB153" s="41" t="n"/>
      <c r="AC153" s="41" t="n"/>
      <c r="AD153" s="19">
        <f>IF($A153="","",IF($AA153="",$H153,$AA153))</f>
        <v/>
      </c>
      <c r="AE153" s="35">
        <f>IF($A153="","",IF($AB153="",$I153,$AB153))</f>
        <v/>
      </c>
      <c r="AF153" s="35">
        <f>IF($A153="","",IF($AC153="",$J153,$AC153))</f>
        <v/>
      </c>
      <c r="AG153" s="35">
        <f>IF(OR($U153="",$AE153="",$AF153="",$X153=""),"",$AE153+$X153*($AF153-$AE153))</f>
        <v/>
      </c>
      <c r="AH153" s="38" t="n"/>
      <c r="AI153" s="38" t="n"/>
      <c r="AJ153" s="38" t="n"/>
      <c r="AK153" s="38" t="n"/>
      <c r="AL153" s="38" t="n"/>
      <c r="AM153" s="38" t="n"/>
      <c r="AN153" s="38" t="n"/>
      <c r="AO153" s="38" t="n"/>
      <c r="AP153" s="38" t="n"/>
      <c r="AQ153" s="38" t="n"/>
      <c r="AR153" s="38" t="n"/>
      <c r="AS153" s="38" t="n"/>
      <c r="AT153" s="38" t="n"/>
      <c r="AU153" s="38" t="n"/>
      <c r="AV153" s="38" t="n"/>
      <c r="AW153" s="38" t="n"/>
      <c r="AX153" s="38" t="n"/>
      <c r="AY153" s="42" t="n"/>
      <c r="AZ153" s="42" t="n"/>
      <c r="BA153" s="42" t="n"/>
      <c r="BB153" s="42" t="n"/>
      <c r="BC153" s="42" t="n"/>
      <c r="BD153" s="37">
        <f>IF($A153="","",SUM($AY153:$BC153))</f>
        <v/>
      </c>
      <c r="BE153" s="18">
        <f>IF($A153="","",IF(AND($I153&lt;&gt;"",$J153&lt;&gt;""),MAX(1,($J153-$I153)/7),Templates!$B$35))</f>
        <v/>
      </c>
      <c r="BF153" s="18">
        <f>IF($A153="","",IF(AND($I153&lt;&gt;"",$J153&lt;&gt;""),MAX(1,($J153-$I153)/7),Templates!$B$36))</f>
        <v/>
      </c>
      <c r="BG153" s="18">
        <f>IF($A153="","",IF(AND($I153&lt;&gt;"",$J153&lt;&gt;""),MAX(1,($J153-$I153)/7),Templates!$B$37))</f>
        <v/>
      </c>
      <c r="BH153" s="18">
        <f>IF($A153="","",IF(AND($I153&lt;&gt;"",$J153&lt;&gt;""),MAX(1,($J153-$I153)/7),Templates!$B$38))</f>
        <v/>
      </c>
      <c r="BI153" s="18">
        <f>IF($A153="","",IF(AND($I153&lt;&gt;"",$J153&lt;&gt;""),MAX(1,($J153-$I153)/7),Templates!$B$39))</f>
        <v/>
      </c>
      <c r="BJ153" s="18">
        <f>IF(OR($A153="",$BD153=0),0,($AY153*Templates!$B$27/$BE153+$AZ153*Templates!$B$28/$BF153+$BA153*Templates!$B$29/$BG153+$BB153*Templates!$B$30/$BH153+$BC153*Templates!$B$31/$BI153)/Templates!$B$17)</f>
        <v/>
      </c>
      <c r="BK153" s="18">
        <f>IF(OR($A153="",$BD153=0),0,($AY153*Templates!$C$27/$BE153+$AZ153*Templates!$C$28/$BF153+$BA153*Templates!$C$29/$BG153+$BB153*Templates!$C$30/$BH153+$BC153*Templates!$C$31/$BI153)/Templates!$B$18)</f>
        <v/>
      </c>
      <c r="BL153" s="18">
        <f>IF(OR($A153="",$BD153=0),0,($AY153*Templates!$D$27/$BE153+$AZ153*Templates!$D$28/$BF153+$BA153*Templates!$D$29/$BG153+$BB153*Templates!$D$30/$BH153+$BC153*Templates!$D$31/$BI153)/Templates!$B$19)</f>
        <v/>
      </c>
      <c r="BM153" s="18">
        <f>IF(OR($A153="",$BD153=0),0,($AY153*Templates!$E$27/$BE153+$AZ153*Templates!$E$28/$BF153+$BA153*Templates!$E$29/$BG153+$BB153*Templates!$E$30/$BH153+$BC153*Templates!$E$31/$BI153)/Templates!$B$20)</f>
        <v/>
      </c>
      <c r="BN153" s="18">
        <f>IF(OR($A153="",$BD153=0),0,($AY153*Templates!$F$27/$BE153+$AZ153*Templates!$F$28/$BF153+$BA153*Templates!$F$29/$BG153+$BB153*Templates!$F$30/$BH153+$BC153*Templates!$F$31/$BI153)/Templates!$B$21)</f>
        <v/>
      </c>
      <c r="BO153" s="18">
        <f>IF(OR($A153="",$BD153=0),0,($AY153*Templates!$G$27/$BE153+$AZ153*Templates!$G$28/$BF153+$BA153*Templates!$G$29/$BG153+$BB153*Templates!$G$30/$BH153+$BC153*Templates!$G$31/$BI153)/Templates!$B$22)</f>
        <v/>
      </c>
      <c r="BP153" s="18">
        <f>IF(OR($A153="",$BD153=0),0,($AY153*Templates!$H$27/$BE153+$AZ153*Templates!$H$28/$BF153+$BA153*Templates!$H$29/$BG153+$BB153*Templates!$H$30/$BH153+$BC153*Templates!$H$31/$BI153)/Templates!$B$23)</f>
        <v/>
      </c>
    </row>
    <row r="154">
      <c r="A154" s="28" t="inlineStr">
        <is>
          <t>Redwood_2</t>
        </is>
      </c>
      <c r="B154" s="20" t="inlineStr">
        <is>
          <t>BlackRock : Global Infrastructure Partners : Clearway Energy</t>
        </is>
      </c>
      <c r="C154" s="28" t="inlineStr">
        <is>
          <t>BlackRock</t>
        </is>
      </c>
      <c r="D154" s="28" t="inlineStr">
        <is>
          <t>Clearway Energy</t>
        </is>
      </c>
      <c r="E154" s="28" t="inlineStr">
        <is>
          <t>No</t>
        </is>
      </c>
      <c r="F154" s="28" t="inlineStr">
        <is>
          <t>Active</t>
        </is>
      </c>
      <c r="G154" s="38" t="n"/>
      <c r="H154" s="29" t="n">
        <v>1</v>
      </c>
      <c r="I154" s="39" t="n"/>
      <c r="J154" s="39" t="n"/>
      <c r="K154" s="31" t="n"/>
      <c r="L154" s="31" t="n"/>
      <c r="M154" s="31" t="n"/>
      <c r="N154" s="31" t="n"/>
      <c r="O154" s="31" t="n"/>
      <c r="P154" s="31" t="n"/>
      <c r="Q154" s="23">
        <f>IF($A154="","",COUNTIFS(Assignments!$C$2:$C$769,$A154,Assignments!$G$2:$G$769,"Active"))</f>
        <v/>
      </c>
      <c r="R154" s="32">
        <f>IF($A154="","",SUMIFS(Assignments!$I$2:$I$769,Assignments!$C$2:$C$769,$A154,Assignments!$G$2:$G$769,"Active"))</f>
        <v/>
      </c>
      <c r="S154" s="20" t="inlineStr">
        <is>
          <t>WIP</t>
        </is>
      </c>
      <c r="T154" s="31" t="n"/>
      <c r="U154" s="38" t="n"/>
      <c r="V154" s="34">
        <f>IF($U154="","",IFERROR(INDEX(Templates!$K$3:$K$10,MATCH($U154,Templates!$A$3:$A$10,0)),""))</f>
        <v/>
      </c>
      <c r="W154" s="34">
        <f>IF($U154="","",IFERROR(INDEX(Templates!$L$3:$L$10,MATCH($U154,Templates!$A$3:$A$10,0)),""))</f>
        <v/>
      </c>
      <c r="X154" s="21">
        <f>IF($U154="","",IFERROR(INDEX(Templates!$J$3:$J$10,MATCH($U154,Templates!$A$3:$A$10,0)),""))</f>
        <v/>
      </c>
      <c r="Y154" s="35">
        <f>IF(OR($U154="",$I154="",$J154="",$X154=""),"",$I154+$X154*($J154-$I154))</f>
        <v/>
      </c>
      <c r="Z154" s="30" t="n">
        <v>46212</v>
      </c>
      <c r="AA154" s="40" t="n"/>
      <c r="AB154" s="41" t="n"/>
      <c r="AC154" s="41" t="n"/>
      <c r="AD154" s="19">
        <f>IF($A154="","",IF($AA154="",$H154,$AA154))</f>
        <v/>
      </c>
      <c r="AE154" s="35">
        <f>IF($A154="","",IF($AB154="",$I154,$AB154))</f>
        <v/>
      </c>
      <c r="AF154" s="35">
        <f>IF($A154="","",IF($AC154="",$J154,$AC154))</f>
        <v/>
      </c>
      <c r="AG154" s="35">
        <f>IF(OR($U154="",$AE154="",$AF154="",$X154=""),"",$AE154+$X154*($AF154-$AE154))</f>
        <v/>
      </c>
      <c r="AH154" s="38" t="n"/>
      <c r="AI154" s="38" t="n"/>
      <c r="AJ154" s="38" t="n"/>
      <c r="AK154" s="38" t="n"/>
      <c r="AL154" s="38" t="n"/>
      <c r="AM154" s="38" t="n"/>
      <c r="AN154" s="38" t="n"/>
      <c r="AO154" s="38" t="n"/>
      <c r="AP154" s="38" t="n"/>
      <c r="AQ154" s="38" t="n"/>
      <c r="AR154" s="38" t="n"/>
      <c r="AS154" s="38" t="n"/>
      <c r="AT154" s="38" t="n"/>
      <c r="AU154" s="38" t="n"/>
      <c r="AV154" s="38" t="n"/>
      <c r="AW154" s="38" t="n"/>
      <c r="AX154" s="38" t="n"/>
      <c r="AY154" s="42" t="n"/>
      <c r="AZ154" s="42" t="n"/>
      <c r="BA154" s="42" t="n"/>
      <c r="BB154" s="42" t="n"/>
      <c r="BC154" s="42" t="n"/>
      <c r="BD154" s="37">
        <f>IF($A154="","",SUM($AY154:$BC154))</f>
        <v/>
      </c>
      <c r="BE154" s="18">
        <f>IF($A154="","",IF(AND($I154&lt;&gt;"",$J154&lt;&gt;""),MAX(1,($J154-$I154)/7),Templates!$B$35))</f>
        <v/>
      </c>
      <c r="BF154" s="18">
        <f>IF($A154="","",IF(AND($I154&lt;&gt;"",$J154&lt;&gt;""),MAX(1,($J154-$I154)/7),Templates!$B$36))</f>
        <v/>
      </c>
      <c r="BG154" s="18">
        <f>IF($A154="","",IF(AND($I154&lt;&gt;"",$J154&lt;&gt;""),MAX(1,($J154-$I154)/7),Templates!$B$37))</f>
        <v/>
      </c>
      <c r="BH154" s="18">
        <f>IF($A154="","",IF(AND($I154&lt;&gt;"",$J154&lt;&gt;""),MAX(1,($J154-$I154)/7),Templates!$B$38))</f>
        <v/>
      </c>
      <c r="BI154" s="18">
        <f>IF($A154="","",IF(AND($I154&lt;&gt;"",$J154&lt;&gt;""),MAX(1,($J154-$I154)/7),Templates!$B$39))</f>
        <v/>
      </c>
      <c r="BJ154" s="18">
        <f>IF(OR($A154="",$BD154=0),0,($AY154*Templates!$B$27/$BE154+$AZ154*Templates!$B$28/$BF154+$BA154*Templates!$B$29/$BG154+$BB154*Templates!$B$30/$BH154+$BC154*Templates!$B$31/$BI154)/Templates!$B$17)</f>
        <v/>
      </c>
      <c r="BK154" s="18">
        <f>IF(OR($A154="",$BD154=0),0,($AY154*Templates!$C$27/$BE154+$AZ154*Templates!$C$28/$BF154+$BA154*Templates!$C$29/$BG154+$BB154*Templates!$C$30/$BH154+$BC154*Templates!$C$31/$BI154)/Templates!$B$18)</f>
        <v/>
      </c>
      <c r="BL154" s="18">
        <f>IF(OR($A154="",$BD154=0),0,($AY154*Templates!$D$27/$BE154+$AZ154*Templates!$D$28/$BF154+$BA154*Templates!$D$29/$BG154+$BB154*Templates!$D$30/$BH154+$BC154*Templates!$D$31/$BI154)/Templates!$B$19)</f>
        <v/>
      </c>
      <c r="BM154" s="18">
        <f>IF(OR($A154="",$BD154=0),0,($AY154*Templates!$E$27/$BE154+$AZ154*Templates!$E$28/$BF154+$BA154*Templates!$E$29/$BG154+$BB154*Templates!$E$30/$BH154+$BC154*Templates!$E$31/$BI154)/Templates!$B$20)</f>
        <v/>
      </c>
      <c r="BN154" s="18">
        <f>IF(OR($A154="",$BD154=0),0,($AY154*Templates!$F$27/$BE154+$AZ154*Templates!$F$28/$BF154+$BA154*Templates!$F$29/$BG154+$BB154*Templates!$F$30/$BH154+$BC154*Templates!$F$31/$BI154)/Templates!$B$21)</f>
        <v/>
      </c>
      <c r="BO154" s="18">
        <f>IF(OR($A154="",$BD154=0),0,($AY154*Templates!$G$27/$BE154+$AZ154*Templates!$G$28/$BF154+$BA154*Templates!$G$29/$BG154+$BB154*Templates!$G$30/$BH154+$BC154*Templates!$G$31/$BI154)/Templates!$B$22)</f>
        <v/>
      </c>
      <c r="BP154" s="18">
        <f>IF(OR($A154="",$BD154=0),0,($AY154*Templates!$H$27/$BE154+$AZ154*Templates!$H$28/$BF154+$BA154*Templates!$H$29/$BG154+$BB154*Templates!$H$30/$BH154+$BC154*Templates!$H$31/$BI154)/Templates!$B$23)</f>
        <v/>
      </c>
    </row>
    <row r="155">
      <c r="A155" s="28" t="inlineStr">
        <is>
          <t>Resenergize_1</t>
        </is>
      </c>
      <c r="B155" s="20" t="inlineStr">
        <is>
          <t>Ryan Transactional Risk : Themis Underwriting</t>
        </is>
      </c>
      <c r="C155" s="28" t="inlineStr">
        <is>
          <t>Ryan Transactional Risk</t>
        </is>
      </c>
      <c r="D155" s="28" t="inlineStr">
        <is>
          <t>Themis Underwriting</t>
        </is>
      </c>
      <c r="E155" s="28" t="inlineStr">
        <is>
          <t>No</t>
        </is>
      </c>
      <c r="F155" s="28" t="inlineStr">
        <is>
          <t>Active</t>
        </is>
      </c>
      <c r="G155" s="38" t="n"/>
      <c r="H155" s="29" t="n">
        <v>1</v>
      </c>
      <c r="I155" s="39" t="n"/>
      <c r="J155" s="39" t="n"/>
      <c r="K155" s="31" t="n"/>
      <c r="L155" s="31" t="n"/>
      <c r="M155" s="31" t="n"/>
      <c r="N155" s="31" t="n"/>
      <c r="O155" s="31" t="n"/>
      <c r="P155" s="31" t="n"/>
      <c r="Q155" s="23">
        <f>IF($A155="","",COUNTIFS(Assignments!$C$2:$C$769,$A155,Assignments!$G$2:$G$769,"Active"))</f>
        <v/>
      </c>
      <c r="R155" s="32">
        <f>IF($A155="","",SUMIFS(Assignments!$I$2:$I$769,Assignments!$C$2:$C$769,$A155,Assignments!$G$2:$G$769,"Active"))</f>
        <v/>
      </c>
      <c r="S155" s="20" t="inlineStr">
        <is>
          <t>WIP</t>
        </is>
      </c>
      <c r="T155" s="31" t="n"/>
      <c r="U155" s="38" t="n"/>
      <c r="V155" s="34">
        <f>IF($U155="","",IFERROR(INDEX(Templates!$K$3:$K$10,MATCH($U155,Templates!$A$3:$A$10,0)),""))</f>
        <v/>
      </c>
      <c r="W155" s="34">
        <f>IF($U155="","",IFERROR(INDEX(Templates!$L$3:$L$10,MATCH($U155,Templates!$A$3:$A$10,0)),""))</f>
        <v/>
      </c>
      <c r="X155" s="21">
        <f>IF($U155="","",IFERROR(INDEX(Templates!$J$3:$J$10,MATCH($U155,Templates!$A$3:$A$10,0)),""))</f>
        <v/>
      </c>
      <c r="Y155" s="35">
        <f>IF(OR($U155="",$I155="",$J155="",$X155=""),"",$I155+$X155*($J155-$I155))</f>
        <v/>
      </c>
      <c r="Z155" s="30" t="n">
        <v>46212</v>
      </c>
      <c r="AA155" s="40" t="n"/>
      <c r="AB155" s="41" t="n"/>
      <c r="AC155" s="41" t="n"/>
      <c r="AD155" s="19">
        <f>IF($A155="","",IF($AA155="",$H155,$AA155))</f>
        <v/>
      </c>
      <c r="AE155" s="35">
        <f>IF($A155="","",IF($AB155="",$I155,$AB155))</f>
        <v/>
      </c>
      <c r="AF155" s="35">
        <f>IF($A155="","",IF($AC155="",$J155,$AC155))</f>
        <v/>
      </c>
      <c r="AG155" s="35">
        <f>IF(OR($U155="",$AE155="",$AF155="",$X155=""),"",$AE155+$X155*($AF155-$AE155))</f>
        <v/>
      </c>
      <c r="AH155" s="38" t="n"/>
      <c r="AI155" s="38" t="n"/>
      <c r="AJ155" s="38" t="n"/>
      <c r="AK155" s="38" t="n"/>
      <c r="AL155" s="38" t="n"/>
      <c r="AM155" s="38" t="n"/>
      <c r="AN155" s="38" t="n"/>
      <c r="AO155" s="38" t="n"/>
      <c r="AP155" s="38" t="n"/>
      <c r="AQ155" s="38" t="n"/>
      <c r="AR155" s="38" t="n"/>
      <c r="AS155" s="38" t="n"/>
      <c r="AT155" s="38" t="n"/>
      <c r="AU155" s="38" t="n"/>
      <c r="AV155" s="38" t="n"/>
      <c r="AW155" s="38" t="n"/>
      <c r="AX155" s="38" t="n"/>
      <c r="AY155" s="42" t="n"/>
      <c r="AZ155" s="42" t="n"/>
      <c r="BA155" s="42" t="n"/>
      <c r="BB155" s="42" t="n"/>
      <c r="BC155" s="42" t="n"/>
      <c r="BD155" s="37">
        <f>IF($A155="","",SUM($AY155:$BC155))</f>
        <v/>
      </c>
      <c r="BE155" s="18">
        <f>IF($A155="","",IF(AND($I155&lt;&gt;"",$J155&lt;&gt;""),MAX(1,($J155-$I155)/7),Templates!$B$35))</f>
        <v/>
      </c>
      <c r="BF155" s="18">
        <f>IF($A155="","",IF(AND($I155&lt;&gt;"",$J155&lt;&gt;""),MAX(1,($J155-$I155)/7),Templates!$B$36))</f>
        <v/>
      </c>
      <c r="BG155" s="18">
        <f>IF($A155="","",IF(AND($I155&lt;&gt;"",$J155&lt;&gt;""),MAX(1,($J155-$I155)/7),Templates!$B$37))</f>
        <v/>
      </c>
      <c r="BH155" s="18">
        <f>IF($A155="","",IF(AND($I155&lt;&gt;"",$J155&lt;&gt;""),MAX(1,($J155-$I155)/7),Templates!$B$38))</f>
        <v/>
      </c>
      <c r="BI155" s="18">
        <f>IF($A155="","",IF(AND($I155&lt;&gt;"",$J155&lt;&gt;""),MAX(1,($J155-$I155)/7),Templates!$B$39))</f>
        <v/>
      </c>
      <c r="BJ155" s="18">
        <f>IF(OR($A155="",$BD155=0),0,($AY155*Templates!$B$27/$BE155+$AZ155*Templates!$B$28/$BF155+$BA155*Templates!$B$29/$BG155+$BB155*Templates!$B$30/$BH155+$BC155*Templates!$B$31/$BI155)/Templates!$B$17)</f>
        <v/>
      </c>
      <c r="BK155" s="18">
        <f>IF(OR($A155="",$BD155=0),0,($AY155*Templates!$C$27/$BE155+$AZ155*Templates!$C$28/$BF155+$BA155*Templates!$C$29/$BG155+$BB155*Templates!$C$30/$BH155+$BC155*Templates!$C$31/$BI155)/Templates!$B$18)</f>
        <v/>
      </c>
      <c r="BL155" s="18">
        <f>IF(OR($A155="",$BD155=0),0,($AY155*Templates!$D$27/$BE155+$AZ155*Templates!$D$28/$BF155+$BA155*Templates!$D$29/$BG155+$BB155*Templates!$D$30/$BH155+$BC155*Templates!$D$31/$BI155)/Templates!$B$19)</f>
        <v/>
      </c>
      <c r="BM155" s="18">
        <f>IF(OR($A155="",$BD155=0),0,($AY155*Templates!$E$27/$BE155+$AZ155*Templates!$E$28/$BF155+$BA155*Templates!$E$29/$BG155+$BB155*Templates!$E$30/$BH155+$BC155*Templates!$E$31/$BI155)/Templates!$B$20)</f>
        <v/>
      </c>
      <c r="BN155" s="18">
        <f>IF(OR($A155="",$BD155=0),0,($AY155*Templates!$F$27/$BE155+$AZ155*Templates!$F$28/$BF155+$BA155*Templates!$F$29/$BG155+$BB155*Templates!$F$30/$BH155+$BC155*Templates!$F$31/$BI155)/Templates!$B$21)</f>
        <v/>
      </c>
      <c r="BO155" s="18">
        <f>IF(OR($A155="",$BD155=0),0,($AY155*Templates!$G$27/$BE155+$AZ155*Templates!$G$28/$BF155+$BA155*Templates!$G$29/$BG155+$BB155*Templates!$G$30/$BH155+$BC155*Templates!$G$31/$BI155)/Templates!$B$22)</f>
        <v/>
      </c>
      <c r="BP155" s="18">
        <f>IF(OR($A155="",$BD155=0),0,($AY155*Templates!$H$27/$BE155+$AZ155*Templates!$H$28/$BF155+$BA155*Templates!$H$29/$BG155+$BB155*Templates!$H$30/$BH155+$BC155*Templates!$H$31/$BI155)/Templates!$B$23)</f>
        <v/>
      </c>
    </row>
    <row r="156">
      <c r="A156" s="28" t="inlineStr">
        <is>
          <t>Resolute_1</t>
        </is>
      </c>
      <c r="B156" s="20" t="inlineStr">
        <is>
          <t>Gavin Generation Holdco, LLC.</t>
        </is>
      </c>
      <c r="C156" s="28" t="inlineStr">
        <is>
          <t>Gavin Generation Holdco, LLC.</t>
        </is>
      </c>
      <c r="D156" s="28" t="inlineStr"/>
      <c r="E156" s="28" t="inlineStr">
        <is>
          <t>No</t>
        </is>
      </c>
      <c r="F156" s="28" t="inlineStr">
        <is>
          <t>Active</t>
        </is>
      </c>
      <c r="G156" s="38" t="n"/>
      <c r="H156" s="29" t="n">
        <v>1</v>
      </c>
      <c r="I156" s="39" t="n"/>
      <c r="J156" s="39" t="n"/>
      <c r="K156" s="31" t="n"/>
      <c r="L156" s="31" t="n"/>
      <c r="M156" s="31" t="n"/>
      <c r="N156" s="31" t="n"/>
      <c r="O156" s="31" t="n"/>
      <c r="P156" s="31" t="n"/>
      <c r="Q156" s="23">
        <f>IF($A156="","",COUNTIFS(Assignments!$C$2:$C$769,$A156,Assignments!$G$2:$G$769,"Active"))</f>
        <v/>
      </c>
      <c r="R156" s="32">
        <f>IF($A156="","",SUMIFS(Assignments!$I$2:$I$769,Assignments!$C$2:$C$769,$A156,Assignments!$G$2:$G$769,"Active"))</f>
        <v/>
      </c>
      <c r="S156" s="20" t="inlineStr">
        <is>
          <t>WIP</t>
        </is>
      </c>
      <c r="T156" s="31" t="n"/>
      <c r="U156" s="38" t="n"/>
      <c r="V156" s="34">
        <f>IF($U156="","",IFERROR(INDEX(Templates!$K$3:$K$10,MATCH($U156,Templates!$A$3:$A$10,0)),""))</f>
        <v/>
      </c>
      <c r="W156" s="34">
        <f>IF($U156="","",IFERROR(INDEX(Templates!$L$3:$L$10,MATCH($U156,Templates!$A$3:$A$10,0)),""))</f>
        <v/>
      </c>
      <c r="X156" s="21">
        <f>IF($U156="","",IFERROR(INDEX(Templates!$J$3:$J$10,MATCH($U156,Templates!$A$3:$A$10,0)),""))</f>
        <v/>
      </c>
      <c r="Y156" s="35">
        <f>IF(OR($U156="",$I156="",$J156="",$X156=""),"",$I156+$X156*($J156-$I156))</f>
        <v/>
      </c>
      <c r="Z156" s="30" t="n">
        <v>46212</v>
      </c>
      <c r="AA156" s="40" t="n"/>
      <c r="AB156" s="41" t="n"/>
      <c r="AC156" s="41" t="n"/>
      <c r="AD156" s="19">
        <f>IF($A156="","",IF($AA156="",$H156,$AA156))</f>
        <v/>
      </c>
      <c r="AE156" s="35">
        <f>IF($A156="","",IF($AB156="",$I156,$AB156))</f>
        <v/>
      </c>
      <c r="AF156" s="35">
        <f>IF($A156="","",IF($AC156="",$J156,$AC156))</f>
        <v/>
      </c>
      <c r="AG156" s="35">
        <f>IF(OR($U156="",$AE156="",$AF156="",$X156=""),"",$AE156+$X156*($AF156-$AE156))</f>
        <v/>
      </c>
      <c r="AH156" s="38" t="n"/>
      <c r="AI156" s="38" t="n"/>
      <c r="AJ156" s="38" t="n"/>
      <c r="AK156" s="38" t="n"/>
      <c r="AL156" s="38" t="n"/>
      <c r="AM156" s="38" t="n"/>
      <c r="AN156" s="38" t="n"/>
      <c r="AO156" s="38" t="n"/>
      <c r="AP156" s="38" t="n"/>
      <c r="AQ156" s="38" t="n"/>
      <c r="AR156" s="38" t="n"/>
      <c r="AS156" s="38" t="n"/>
      <c r="AT156" s="38" t="n"/>
      <c r="AU156" s="38" t="n"/>
      <c r="AV156" s="38" t="n"/>
      <c r="AW156" s="38" t="n"/>
      <c r="AX156" s="38" t="n"/>
      <c r="AY156" s="42" t="n"/>
      <c r="AZ156" s="42" t="n"/>
      <c r="BA156" s="42" t="n"/>
      <c r="BB156" s="42" t="n"/>
      <c r="BC156" s="42" t="n"/>
      <c r="BD156" s="37">
        <f>IF($A156="","",SUM($AY156:$BC156))</f>
        <v/>
      </c>
      <c r="BE156" s="18">
        <f>IF($A156="","",IF(AND($I156&lt;&gt;"",$J156&lt;&gt;""),MAX(1,($J156-$I156)/7),Templates!$B$35))</f>
        <v/>
      </c>
      <c r="BF156" s="18">
        <f>IF($A156="","",IF(AND($I156&lt;&gt;"",$J156&lt;&gt;""),MAX(1,($J156-$I156)/7),Templates!$B$36))</f>
        <v/>
      </c>
      <c r="BG156" s="18">
        <f>IF($A156="","",IF(AND($I156&lt;&gt;"",$J156&lt;&gt;""),MAX(1,($J156-$I156)/7),Templates!$B$37))</f>
        <v/>
      </c>
      <c r="BH156" s="18">
        <f>IF($A156="","",IF(AND($I156&lt;&gt;"",$J156&lt;&gt;""),MAX(1,($J156-$I156)/7),Templates!$B$38))</f>
        <v/>
      </c>
      <c r="BI156" s="18">
        <f>IF($A156="","",IF(AND($I156&lt;&gt;"",$J156&lt;&gt;""),MAX(1,($J156-$I156)/7),Templates!$B$39))</f>
        <v/>
      </c>
      <c r="BJ156" s="18">
        <f>IF(OR($A156="",$BD156=0),0,($AY156*Templates!$B$27/$BE156+$AZ156*Templates!$B$28/$BF156+$BA156*Templates!$B$29/$BG156+$BB156*Templates!$B$30/$BH156+$BC156*Templates!$B$31/$BI156)/Templates!$B$17)</f>
        <v/>
      </c>
      <c r="BK156" s="18">
        <f>IF(OR($A156="",$BD156=0),0,($AY156*Templates!$C$27/$BE156+$AZ156*Templates!$C$28/$BF156+$BA156*Templates!$C$29/$BG156+$BB156*Templates!$C$30/$BH156+$BC156*Templates!$C$31/$BI156)/Templates!$B$18)</f>
        <v/>
      </c>
      <c r="BL156" s="18">
        <f>IF(OR($A156="",$BD156=0),0,($AY156*Templates!$D$27/$BE156+$AZ156*Templates!$D$28/$BF156+$BA156*Templates!$D$29/$BG156+$BB156*Templates!$D$30/$BH156+$BC156*Templates!$D$31/$BI156)/Templates!$B$19)</f>
        <v/>
      </c>
      <c r="BM156" s="18">
        <f>IF(OR($A156="",$BD156=0),0,($AY156*Templates!$E$27/$BE156+$AZ156*Templates!$E$28/$BF156+$BA156*Templates!$E$29/$BG156+$BB156*Templates!$E$30/$BH156+$BC156*Templates!$E$31/$BI156)/Templates!$B$20)</f>
        <v/>
      </c>
      <c r="BN156" s="18">
        <f>IF(OR($A156="",$BD156=0),0,($AY156*Templates!$F$27/$BE156+$AZ156*Templates!$F$28/$BF156+$BA156*Templates!$F$29/$BG156+$BB156*Templates!$F$30/$BH156+$BC156*Templates!$F$31/$BI156)/Templates!$B$21)</f>
        <v/>
      </c>
      <c r="BO156" s="18">
        <f>IF(OR($A156="",$BD156=0),0,($AY156*Templates!$G$27/$BE156+$AZ156*Templates!$G$28/$BF156+$BA156*Templates!$G$29/$BG156+$BB156*Templates!$G$30/$BH156+$BC156*Templates!$G$31/$BI156)/Templates!$B$22)</f>
        <v/>
      </c>
      <c r="BP156" s="18">
        <f>IF(OR($A156="",$BD156=0),0,($AY156*Templates!$H$27/$BE156+$AZ156*Templates!$H$28/$BF156+$BA156*Templates!$H$29/$BG156+$BB156*Templates!$H$30/$BH156+$BC156*Templates!$H$31/$BI156)/Templates!$B$23)</f>
        <v/>
      </c>
    </row>
    <row r="157">
      <c r="A157" s="28" t="inlineStr">
        <is>
          <t>Rover_3</t>
        </is>
      </c>
      <c r="B157" s="20" t="inlineStr">
        <is>
          <t>Susan Strom</t>
        </is>
      </c>
      <c r="C157" s="28" t="inlineStr">
        <is>
          <t>Susan Strom</t>
        </is>
      </c>
      <c r="D157" s="28" t="inlineStr"/>
      <c r="E157" s="28" t="inlineStr">
        <is>
          <t>No</t>
        </is>
      </c>
      <c r="F157" s="28" t="inlineStr">
        <is>
          <t>Active</t>
        </is>
      </c>
      <c r="G157" s="38" t="n"/>
      <c r="H157" s="29" t="n">
        <v>1</v>
      </c>
      <c r="I157" s="39" t="n"/>
      <c r="J157" s="39" t="n"/>
      <c r="K157" s="31" t="n"/>
      <c r="L157" s="31" t="n"/>
      <c r="M157" s="31" t="n"/>
      <c r="N157" s="31" t="n"/>
      <c r="O157" s="31" t="n"/>
      <c r="P157" s="31" t="n"/>
      <c r="Q157" s="23">
        <f>IF($A157="","",COUNTIFS(Assignments!$C$2:$C$769,$A157,Assignments!$G$2:$G$769,"Active"))</f>
        <v/>
      </c>
      <c r="R157" s="32">
        <f>IF($A157="","",SUMIFS(Assignments!$I$2:$I$769,Assignments!$C$2:$C$769,$A157,Assignments!$G$2:$G$769,"Active"))</f>
        <v/>
      </c>
      <c r="S157" s="20" t="inlineStr">
        <is>
          <t>WIP</t>
        </is>
      </c>
      <c r="T157" s="31" t="n"/>
      <c r="U157" s="38" t="n"/>
      <c r="V157" s="34">
        <f>IF($U157="","",IFERROR(INDEX(Templates!$K$3:$K$10,MATCH($U157,Templates!$A$3:$A$10,0)),""))</f>
        <v/>
      </c>
      <c r="W157" s="34">
        <f>IF($U157="","",IFERROR(INDEX(Templates!$L$3:$L$10,MATCH($U157,Templates!$A$3:$A$10,0)),""))</f>
        <v/>
      </c>
      <c r="X157" s="21">
        <f>IF($U157="","",IFERROR(INDEX(Templates!$J$3:$J$10,MATCH($U157,Templates!$A$3:$A$10,0)),""))</f>
        <v/>
      </c>
      <c r="Y157" s="35">
        <f>IF(OR($U157="",$I157="",$J157="",$X157=""),"",$I157+$X157*($J157-$I157))</f>
        <v/>
      </c>
      <c r="Z157" s="30" t="n">
        <v>46212</v>
      </c>
      <c r="AA157" s="40" t="n"/>
      <c r="AB157" s="41" t="n"/>
      <c r="AC157" s="41" t="n"/>
      <c r="AD157" s="19">
        <f>IF($A157="","",IF($AA157="",$H157,$AA157))</f>
        <v/>
      </c>
      <c r="AE157" s="35">
        <f>IF($A157="","",IF($AB157="",$I157,$AB157))</f>
        <v/>
      </c>
      <c r="AF157" s="35">
        <f>IF($A157="","",IF($AC157="",$J157,$AC157))</f>
        <v/>
      </c>
      <c r="AG157" s="35">
        <f>IF(OR($U157="",$AE157="",$AF157="",$X157=""),"",$AE157+$X157*($AF157-$AE157))</f>
        <v/>
      </c>
      <c r="AH157" s="38" t="n"/>
      <c r="AI157" s="38" t="n"/>
      <c r="AJ157" s="38" t="n"/>
      <c r="AK157" s="38" t="n"/>
      <c r="AL157" s="38" t="n"/>
      <c r="AM157" s="38" t="n"/>
      <c r="AN157" s="38" t="n"/>
      <c r="AO157" s="38" t="n"/>
      <c r="AP157" s="38" t="n"/>
      <c r="AQ157" s="38" t="n"/>
      <c r="AR157" s="38" t="n"/>
      <c r="AS157" s="38" t="n"/>
      <c r="AT157" s="38" t="n"/>
      <c r="AU157" s="38" t="n"/>
      <c r="AV157" s="38" t="n"/>
      <c r="AW157" s="38" t="n"/>
      <c r="AX157" s="38" t="n"/>
      <c r="AY157" s="42" t="n"/>
      <c r="AZ157" s="42" t="n"/>
      <c r="BA157" s="42" t="n"/>
      <c r="BB157" s="42" t="n"/>
      <c r="BC157" s="42" t="n"/>
      <c r="BD157" s="37">
        <f>IF($A157="","",SUM($AY157:$BC157))</f>
        <v/>
      </c>
      <c r="BE157" s="18">
        <f>IF($A157="","",IF(AND($I157&lt;&gt;"",$J157&lt;&gt;""),MAX(1,($J157-$I157)/7),Templates!$B$35))</f>
        <v/>
      </c>
      <c r="BF157" s="18">
        <f>IF($A157="","",IF(AND($I157&lt;&gt;"",$J157&lt;&gt;""),MAX(1,($J157-$I157)/7),Templates!$B$36))</f>
        <v/>
      </c>
      <c r="BG157" s="18">
        <f>IF($A157="","",IF(AND($I157&lt;&gt;"",$J157&lt;&gt;""),MAX(1,($J157-$I157)/7),Templates!$B$37))</f>
        <v/>
      </c>
      <c r="BH157" s="18">
        <f>IF($A157="","",IF(AND($I157&lt;&gt;"",$J157&lt;&gt;""),MAX(1,($J157-$I157)/7),Templates!$B$38))</f>
        <v/>
      </c>
      <c r="BI157" s="18">
        <f>IF($A157="","",IF(AND($I157&lt;&gt;"",$J157&lt;&gt;""),MAX(1,($J157-$I157)/7),Templates!$B$39))</f>
        <v/>
      </c>
      <c r="BJ157" s="18">
        <f>IF(OR($A157="",$BD157=0),0,($AY157*Templates!$B$27/$BE157+$AZ157*Templates!$B$28/$BF157+$BA157*Templates!$B$29/$BG157+$BB157*Templates!$B$30/$BH157+$BC157*Templates!$B$31/$BI157)/Templates!$B$17)</f>
        <v/>
      </c>
      <c r="BK157" s="18">
        <f>IF(OR($A157="",$BD157=0),0,($AY157*Templates!$C$27/$BE157+$AZ157*Templates!$C$28/$BF157+$BA157*Templates!$C$29/$BG157+$BB157*Templates!$C$30/$BH157+$BC157*Templates!$C$31/$BI157)/Templates!$B$18)</f>
        <v/>
      </c>
      <c r="BL157" s="18">
        <f>IF(OR($A157="",$BD157=0),0,($AY157*Templates!$D$27/$BE157+$AZ157*Templates!$D$28/$BF157+$BA157*Templates!$D$29/$BG157+$BB157*Templates!$D$30/$BH157+$BC157*Templates!$D$31/$BI157)/Templates!$B$19)</f>
        <v/>
      </c>
      <c r="BM157" s="18">
        <f>IF(OR($A157="",$BD157=0),0,($AY157*Templates!$E$27/$BE157+$AZ157*Templates!$E$28/$BF157+$BA157*Templates!$E$29/$BG157+$BB157*Templates!$E$30/$BH157+$BC157*Templates!$E$31/$BI157)/Templates!$B$20)</f>
        <v/>
      </c>
      <c r="BN157" s="18">
        <f>IF(OR($A157="",$BD157=0),0,($AY157*Templates!$F$27/$BE157+$AZ157*Templates!$F$28/$BF157+$BA157*Templates!$F$29/$BG157+$BB157*Templates!$F$30/$BH157+$BC157*Templates!$F$31/$BI157)/Templates!$B$21)</f>
        <v/>
      </c>
      <c r="BO157" s="18">
        <f>IF(OR($A157="",$BD157=0),0,($AY157*Templates!$G$27/$BE157+$AZ157*Templates!$G$28/$BF157+$BA157*Templates!$G$29/$BG157+$BB157*Templates!$G$30/$BH157+$BC157*Templates!$G$31/$BI157)/Templates!$B$22)</f>
        <v/>
      </c>
      <c r="BP157" s="18">
        <f>IF(OR($A157="",$BD157=0),0,($AY157*Templates!$H$27/$BE157+$AZ157*Templates!$H$28/$BF157+$BA157*Templates!$H$29/$BG157+$BB157*Templates!$H$30/$BH157+$BC157*Templates!$H$31/$BI157)/Templates!$B$23)</f>
        <v/>
      </c>
    </row>
    <row r="158">
      <c r="A158" s="28" t="inlineStr">
        <is>
          <t>Sakura</t>
        </is>
      </c>
      <c r="B158" s="20" t="inlineStr">
        <is>
          <t>ECP</t>
        </is>
      </c>
      <c r="C158" s="28" t="inlineStr">
        <is>
          <t>ECP</t>
        </is>
      </c>
      <c r="D158" s="28" t="inlineStr"/>
      <c r="E158" s="28" t="inlineStr">
        <is>
          <t>No</t>
        </is>
      </c>
      <c r="F158" s="28" t="inlineStr">
        <is>
          <t>Active</t>
        </is>
      </c>
      <c r="G158" s="38" t="n"/>
      <c r="H158" s="29" t="n">
        <v>1</v>
      </c>
      <c r="I158" s="39" t="n"/>
      <c r="J158" s="39" t="n"/>
      <c r="K158" s="31" t="n"/>
      <c r="L158" s="31" t="n"/>
      <c r="M158" s="31" t="n"/>
      <c r="N158" s="31" t="n"/>
      <c r="O158" s="31" t="n"/>
      <c r="P158" s="31" t="n"/>
      <c r="Q158" s="23">
        <f>IF($A158="","",COUNTIFS(Assignments!$C$2:$C$769,$A158,Assignments!$G$2:$G$769,"Active"))</f>
        <v/>
      </c>
      <c r="R158" s="32">
        <f>IF($A158="","",SUMIFS(Assignments!$I$2:$I$769,Assignments!$C$2:$C$769,$A158,Assignments!$G$2:$G$769,"Active"))</f>
        <v/>
      </c>
      <c r="S158" s="20" t="inlineStr">
        <is>
          <t>WIP</t>
        </is>
      </c>
      <c r="T158" s="31" t="n"/>
      <c r="U158" s="38" t="n"/>
      <c r="V158" s="34">
        <f>IF($U158="","",IFERROR(INDEX(Templates!$K$3:$K$10,MATCH($U158,Templates!$A$3:$A$10,0)),""))</f>
        <v/>
      </c>
      <c r="W158" s="34">
        <f>IF($U158="","",IFERROR(INDEX(Templates!$L$3:$L$10,MATCH($U158,Templates!$A$3:$A$10,0)),""))</f>
        <v/>
      </c>
      <c r="X158" s="21">
        <f>IF($U158="","",IFERROR(INDEX(Templates!$J$3:$J$10,MATCH($U158,Templates!$A$3:$A$10,0)),""))</f>
        <v/>
      </c>
      <c r="Y158" s="35">
        <f>IF(OR($U158="",$I158="",$J158="",$X158=""),"",$I158+$X158*($J158-$I158))</f>
        <v/>
      </c>
      <c r="Z158" s="30" t="n">
        <v>46212</v>
      </c>
      <c r="AA158" s="40" t="n"/>
      <c r="AB158" s="41" t="n"/>
      <c r="AC158" s="41" t="n"/>
      <c r="AD158" s="19">
        <f>IF($A158="","",IF($AA158="",$H158,$AA158))</f>
        <v/>
      </c>
      <c r="AE158" s="35">
        <f>IF($A158="","",IF($AB158="",$I158,$AB158))</f>
        <v/>
      </c>
      <c r="AF158" s="35">
        <f>IF($A158="","",IF($AC158="",$J158,$AC158))</f>
        <v/>
      </c>
      <c r="AG158" s="35">
        <f>IF(OR($U158="",$AE158="",$AF158="",$X158=""),"",$AE158+$X158*($AF158-$AE158))</f>
        <v/>
      </c>
      <c r="AH158" s="38" t="n"/>
      <c r="AI158" s="38" t="n"/>
      <c r="AJ158" s="38" t="n"/>
      <c r="AK158" s="38" t="n"/>
      <c r="AL158" s="38" t="n"/>
      <c r="AM158" s="38" t="n"/>
      <c r="AN158" s="38" t="n"/>
      <c r="AO158" s="38" t="n"/>
      <c r="AP158" s="38" t="n"/>
      <c r="AQ158" s="38" t="n"/>
      <c r="AR158" s="38" t="n"/>
      <c r="AS158" s="38" t="n"/>
      <c r="AT158" s="38" t="n"/>
      <c r="AU158" s="38" t="n"/>
      <c r="AV158" s="38" t="n"/>
      <c r="AW158" s="38" t="n"/>
      <c r="AX158" s="38" t="n"/>
      <c r="AY158" s="42" t="n"/>
      <c r="AZ158" s="42" t="n"/>
      <c r="BA158" s="42" t="n"/>
      <c r="BB158" s="42" t="n"/>
      <c r="BC158" s="42" t="n"/>
      <c r="BD158" s="37">
        <f>IF($A158="","",SUM($AY158:$BC158))</f>
        <v/>
      </c>
      <c r="BE158" s="18">
        <f>IF($A158="","",IF(AND($I158&lt;&gt;"",$J158&lt;&gt;""),MAX(1,($J158-$I158)/7),Templates!$B$35))</f>
        <v/>
      </c>
      <c r="BF158" s="18">
        <f>IF($A158="","",IF(AND($I158&lt;&gt;"",$J158&lt;&gt;""),MAX(1,($J158-$I158)/7),Templates!$B$36))</f>
        <v/>
      </c>
      <c r="BG158" s="18">
        <f>IF($A158="","",IF(AND($I158&lt;&gt;"",$J158&lt;&gt;""),MAX(1,($J158-$I158)/7),Templates!$B$37))</f>
        <v/>
      </c>
      <c r="BH158" s="18">
        <f>IF($A158="","",IF(AND($I158&lt;&gt;"",$J158&lt;&gt;""),MAX(1,($J158-$I158)/7),Templates!$B$38))</f>
        <v/>
      </c>
      <c r="BI158" s="18">
        <f>IF($A158="","",IF(AND($I158&lt;&gt;"",$J158&lt;&gt;""),MAX(1,($J158-$I158)/7),Templates!$B$39))</f>
        <v/>
      </c>
      <c r="BJ158" s="18">
        <f>IF(OR($A158="",$BD158=0),0,($AY158*Templates!$B$27/$BE158+$AZ158*Templates!$B$28/$BF158+$BA158*Templates!$B$29/$BG158+$BB158*Templates!$B$30/$BH158+$BC158*Templates!$B$31/$BI158)/Templates!$B$17)</f>
        <v/>
      </c>
      <c r="BK158" s="18">
        <f>IF(OR($A158="",$BD158=0),0,($AY158*Templates!$C$27/$BE158+$AZ158*Templates!$C$28/$BF158+$BA158*Templates!$C$29/$BG158+$BB158*Templates!$C$30/$BH158+$BC158*Templates!$C$31/$BI158)/Templates!$B$18)</f>
        <v/>
      </c>
      <c r="BL158" s="18">
        <f>IF(OR($A158="",$BD158=0),0,($AY158*Templates!$D$27/$BE158+$AZ158*Templates!$D$28/$BF158+$BA158*Templates!$D$29/$BG158+$BB158*Templates!$D$30/$BH158+$BC158*Templates!$D$31/$BI158)/Templates!$B$19)</f>
        <v/>
      </c>
      <c r="BM158" s="18">
        <f>IF(OR($A158="",$BD158=0),0,($AY158*Templates!$E$27/$BE158+$AZ158*Templates!$E$28/$BF158+$BA158*Templates!$E$29/$BG158+$BB158*Templates!$E$30/$BH158+$BC158*Templates!$E$31/$BI158)/Templates!$B$20)</f>
        <v/>
      </c>
      <c r="BN158" s="18">
        <f>IF(OR($A158="",$BD158=0),0,($AY158*Templates!$F$27/$BE158+$AZ158*Templates!$F$28/$BF158+$BA158*Templates!$F$29/$BG158+$BB158*Templates!$F$30/$BH158+$BC158*Templates!$F$31/$BI158)/Templates!$B$21)</f>
        <v/>
      </c>
      <c r="BO158" s="18">
        <f>IF(OR($A158="",$BD158=0),0,($AY158*Templates!$G$27/$BE158+$AZ158*Templates!$G$28/$BF158+$BA158*Templates!$G$29/$BG158+$BB158*Templates!$G$30/$BH158+$BC158*Templates!$G$31/$BI158)/Templates!$B$22)</f>
        <v/>
      </c>
      <c r="BP158" s="18">
        <f>IF(OR($A158="",$BD158=0),0,($AY158*Templates!$H$27/$BE158+$AZ158*Templates!$H$28/$BF158+$BA158*Templates!$H$29/$BG158+$BB158*Templates!$H$30/$BH158+$BC158*Templates!$H$31/$BI158)/Templates!$B$23)</f>
        <v/>
      </c>
    </row>
    <row r="159">
      <c r="A159" s="28" t="inlineStr">
        <is>
          <t>Scale_4</t>
        </is>
      </c>
      <c r="B159" s="20" t="inlineStr">
        <is>
          <t>Mainsail Partners</t>
        </is>
      </c>
      <c r="C159" s="28" t="inlineStr">
        <is>
          <t>Mainsail Partners</t>
        </is>
      </c>
      <c r="D159" s="28" t="inlineStr"/>
      <c r="E159" s="28" t="inlineStr">
        <is>
          <t>No</t>
        </is>
      </c>
      <c r="F159" s="28" t="inlineStr">
        <is>
          <t>Active</t>
        </is>
      </c>
      <c r="G159" s="38" t="n"/>
      <c r="H159" s="29" t="n">
        <v>1</v>
      </c>
      <c r="I159" s="39" t="n"/>
      <c r="J159" s="39" t="n"/>
      <c r="K159" s="31" t="n"/>
      <c r="L159" s="31" t="n"/>
      <c r="M159" s="31" t="n"/>
      <c r="N159" s="31" t="n"/>
      <c r="O159" s="31" t="n"/>
      <c r="P159" s="31" t="n"/>
      <c r="Q159" s="23">
        <f>IF($A159="","",COUNTIFS(Assignments!$C$2:$C$769,$A159,Assignments!$G$2:$G$769,"Active"))</f>
        <v/>
      </c>
      <c r="R159" s="32">
        <f>IF($A159="","",SUMIFS(Assignments!$I$2:$I$769,Assignments!$C$2:$C$769,$A159,Assignments!$G$2:$G$769,"Active"))</f>
        <v/>
      </c>
      <c r="S159" s="20" t="inlineStr">
        <is>
          <t>WIP</t>
        </is>
      </c>
      <c r="T159" s="31" t="n"/>
      <c r="U159" s="38" t="n"/>
      <c r="V159" s="34">
        <f>IF($U159="","",IFERROR(INDEX(Templates!$K$3:$K$10,MATCH($U159,Templates!$A$3:$A$10,0)),""))</f>
        <v/>
      </c>
      <c r="W159" s="34">
        <f>IF($U159="","",IFERROR(INDEX(Templates!$L$3:$L$10,MATCH($U159,Templates!$A$3:$A$10,0)),""))</f>
        <v/>
      </c>
      <c r="X159" s="21">
        <f>IF($U159="","",IFERROR(INDEX(Templates!$J$3:$J$10,MATCH($U159,Templates!$A$3:$A$10,0)),""))</f>
        <v/>
      </c>
      <c r="Y159" s="35">
        <f>IF(OR($U159="",$I159="",$J159="",$X159=""),"",$I159+$X159*($J159-$I159))</f>
        <v/>
      </c>
      <c r="Z159" s="30" t="n">
        <v>46212</v>
      </c>
      <c r="AA159" s="40" t="n"/>
      <c r="AB159" s="41" t="n"/>
      <c r="AC159" s="41" t="n"/>
      <c r="AD159" s="19">
        <f>IF($A159="","",IF($AA159="",$H159,$AA159))</f>
        <v/>
      </c>
      <c r="AE159" s="35">
        <f>IF($A159="","",IF($AB159="",$I159,$AB159))</f>
        <v/>
      </c>
      <c r="AF159" s="35">
        <f>IF($A159="","",IF($AC159="",$J159,$AC159))</f>
        <v/>
      </c>
      <c r="AG159" s="35">
        <f>IF(OR($U159="",$AE159="",$AF159="",$X159=""),"",$AE159+$X159*($AF159-$AE159))</f>
        <v/>
      </c>
      <c r="AH159" s="38" t="n"/>
      <c r="AI159" s="38" t="n"/>
      <c r="AJ159" s="38" t="n"/>
      <c r="AK159" s="38" t="n"/>
      <c r="AL159" s="38" t="n"/>
      <c r="AM159" s="38" t="n"/>
      <c r="AN159" s="38" t="n"/>
      <c r="AO159" s="38" t="n"/>
      <c r="AP159" s="38" t="n"/>
      <c r="AQ159" s="38" t="n"/>
      <c r="AR159" s="38" t="n"/>
      <c r="AS159" s="38" t="n"/>
      <c r="AT159" s="38" t="n"/>
      <c r="AU159" s="38" t="n"/>
      <c r="AV159" s="38" t="n"/>
      <c r="AW159" s="38" t="n"/>
      <c r="AX159" s="38" t="n"/>
      <c r="AY159" s="42" t="n"/>
      <c r="AZ159" s="42" t="n"/>
      <c r="BA159" s="42" t="n"/>
      <c r="BB159" s="42" t="n"/>
      <c r="BC159" s="42" t="n"/>
      <c r="BD159" s="37">
        <f>IF($A159="","",SUM($AY159:$BC159))</f>
        <v/>
      </c>
      <c r="BE159" s="18">
        <f>IF($A159="","",IF(AND($I159&lt;&gt;"",$J159&lt;&gt;""),MAX(1,($J159-$I159)/7),Templates!$B$35))</f>
        <v/>
      </c>
      <c r="BF159" s="18">
        <f>IF($A159="","",IF(AND($I159&lt;&gt;"",$J159&lt;&gt;""),MAX(1,($J159-$I159)/7),Templates!$B$36))</f>
        <v/>
      </c>
      <c r="BG159" s="18">
        <f>IF($A159="","",IF(AND($I159&lt;&gt;"",$J159&lt;&gt;""),MAX(1,($J159-$I159)/7),Templates!$B$37))</f>
        <v/>
      </c>
      <c r="BH159" s="18">
        <f>IF($A159="","",IF(AND($I159&lt;&gt;"",$J159&lt;&gt;""),MAX(1,($J159-$I159)/7),Templates!$B$38))</f>
        <v/>
      </c>
      <c r="BI159" s="18">
        <f>IF($A159="","",IF(AND($I159&lt;&gt;"",$J159&lt;&gt;""),MAX(1,($J159-$I159)/7),Templates!$B$39))</f>
        <v/>
      </c>
      <c r="BJ159" s="18">
        <f>IF(OR($A159="",$BD159=0),0,($AY159*Templates!$B$27/$BE159+$AZ159*Templates!$B$28/$BF159+$BA159*Templates!$B$29/$BG159+$BB159*Templates!$B$30/$BH159+$BC159*Templates!$B$31/$BI159)/Templates!$B$17)</f>
        <v/>
      </c>
      <c r="BK159" s="18">
        <f>IF(OR($A159="",$BD159=0),0,($AY159*Templates!$C$27/$BE159+$AZ159*Templates!$C$28/$BF159+$BA159*Templates!$C$29/$BG159+$BB159*Templates!$C$30/$BH159+$BC159*Templates!$C$31/$BI159)/Templates!$B$18)</f>
        <v/>
      </c>
      <c r="BL159" s="18">
        <f>IF(OR($A159="",$BD159=0),0,($AY159*Templates!$D$27/$BE159+$AZ159*Templates!$D$28/$BF159+$BA159*Templates!$D$29/$BG159+$BB159*Templates!$D$30/$BH159+$BC159*Templates!$D$31/$BI159)/Templates!$B$19)</f>
        <v/>
      </c>
      <c r="BM159" s="18">
        <f>IF(OR($A159="",$BD159=0),0,($AY159*Templates!$E$27/$BE159+$AZ159*Templates!$E$28/$BF159+$BA159*Templates!$E$29/$BG159+$BB159*Templates!$E$30/$BH159+$BC159*Templates!$E$31/$BI159)/Templates!$B$20)</f>
        <v/>
      </c>
      <c r="BN159" s="18">
        <f>IF(OR($A159="",$BD159=0),0,($AY159*Templates!$F$27/$BE159+$AZ159*Templates!$F$28/$BF159+$BA159*Templates!$F$29/$BG159+$BB159*Templates!$F$30/$BH159+$BC159*Templates!$F$31/$BI159)/Templates!$B$21)</f>
        <v/>
      </c>
      <c r="BO159" s="18">
        <f>IF(OR($A159="",$BD159=0),0,($AY159*Templates!$G$27/$BE159+$AZ159*Templates!$G$28/$BF159+$BA159*Templates!$G$29/$BG159+$BB159*Templates!$G$30/$BH159+$BC159*Templates!$G$31/$BI159)/Templates!$B$22)</f>
        <v/>
      </c>
      <c r="BP159" s="18">
        <f>IF(OR($A159="",$BD159=0),0,($AY159*Templates!$H$27/$BE159+$AZ159*Templates!$H$28/$BF159+$BA159*Templates!$H$29/$BG159+$BB159*Templates!$H$30/$BH159+$BC159*Templates!$H$31/$BI159)/Templates!$B$23)</f>
        <v/>
      </c>
    </row>
    <row r="160">
      <c r="A160" s="28" t="inlineStr">
        <is>
          <t>Scan_1</t>
        </is>
      </c>
      <c r="B160" s="20" t="inlineStr">
        <is>
          <t>CFGI</t>
        </is>
      </c>
      <c r="C160" s="28" t="inlineStr">
        <is>
          <t>CFGI</t>
        </is>
      </c>
      <c r="D160" s="28" t="inlineStr"/>
      <c r="E160" s="28" t="inlineStr">
        <is>
          <t>No</t>
        </is>
      </c>
      <c r="F160" s="28" t="inlineStr">
        <is>
          <t>Active</t>
        </is>
      </c>
      <c r="G160" s="38" t="n"/>
      <c r="H160" s="29" t="n">
        <v>1</v>
      </c>
      <c r="I160" s="39" t="n"/>
      <c r="J160" s="39" t="n"/>
      <c r="K160" s="31" t="n"/>
      <c r="L160" s="31" t="n"/>
      <c r="M160" s="31" t="n"/>
      <c r="N160" s="31" t="n"/>
      <c r="O160" s="31" t="n"/>
      <c r="P160" s="31" t="n"/>
      <c r="Q160" s="23">
        <f>IF($A160="","",COUNTIFS(Assignments!$C$2:$C$769,$A160,Assignments!$G$2:$G$769,"Active"))</f>
        <v/>
      </c>
      <c r="R160" s="32">
        <f>IF($A160="","",SUMIFS(Assignments!$I$2:$I$769,Assignments!$C$2:$C$769,$A160,Assignments!$G$2:$G$769,"Active"))</f>
        <v/>
      </c>
      <c r="S160" s="20" t="inlineStr">
        <is>
          <t>WIP</t>
        </is>
      </c>
      <c r="T160" s="31" t="n"/>
      <c r="U160" s="38" t="n"/>
      <c r="V160" s="34">
        <f>IF($U160="","",IFERROR(INDEX(Templates!$K$3:$K$10,MATCH($U160,Templates!$A$3:$A$10,0)),""))</f>
        <v/>
      </c>
      <c r="W160" s="34">
        <f>IF($U160="","",IFERROR(INDEX(Templates!$L$3:$L$10,MATCH($U160,Templates!$A$3:$A$10,0)),""))</f>
        <v/>
      </c>
      <c r="X160" s="21">
        <f>IF($U160="","",IFERROR(INDEX(Templates!$J$3:$J$10,MATCH($U160,Templates!$A$3:$A$10,0)),""))</f>
        <v/>
      </c>
      <c r="Y160" s="35">
        <f>IF(OR($U160="",$I160="",$J160="",$X160=""),"",$I160+$X160*($J160-$I160))</f>
        <v/>
      </c>
      <c r="Z160" s="30" t="n">
        <v>46212</v>
      </c>
      <c r="AA160" s="40" t="n"/>
      <c r="AB160" s="41" t="n"/>
      <c r="AC160" s="41" t="n"/>
      <c r="AD160" s="19">
        <f>IF($A160="","",IF($AA160="",$H160,$AA160))</f>
        <v/>
      </c>
      <c r="AE160" s="35">
        <f>IF($A160="","",IF($AB160="",$I160,$AB160))</f>
        <v/>
      </c>
      <c r="AF160" s="35">
        <f>IF($A160="","",IF($AC160="",$J160,$AC160))</f>
        <v/>
      </c>
      <c r="AG160" s="35">
        <f>IF(OR($U160="",$AE160="",$AF160="",$X160=""),"",$AE160+$X160*($AF160-$AE160))</f>
        <v/>
      </c>
      <c r="AH160" s="38" t="n"/>
      <c r="AI160" s="38" t="n"/>
      <c r="AJ160" s="38" t="n"/>
      <c r="AK160" s="38" t="n"/>
      <c r="AL160" s="38" t="n"/>
      <c r="AM160" s="38" t="n"/>
      <c r="AN160" s="38" t="n"/>
      <c r="AO160" s="38" t="n"/>
      <c r="AP160" s="38" t="n"/>
      <c r="AQ160" s="38" t="n"/>
      <c r="AR160" s="38" t="n"/>
      <c r="AS160" s="38" t="n"/>
      <c r="AT160" s="38" t="n"/>
      <c r="AU160" s="38" t="n"/>
      <c r="AV160" s="38" t="n"/>
      <c r="AW160" s="38" t="n"/>
      <c r="AX160" s="38" t="n"/>
      <c r="AY160" s="42" t="n"/>
      <c r="AZ160" s="42" t="n"/>
      <c r="BA160" s="42" t="n"/>
      <c r="BB160" s="42" t="n"/>
      <c r="BC160" s="42" t="n"/>
      <c r="BD160" s="37">
        <f>IF($A160="","",SUM($AY160:$BC160))</f>
        <v/>
      </c>
      <c r="BE160" s="18">
        <f>IF($A160="","",IF(AND($I160&lt;&gt;"",$J160&lt;&gt;""),MAX(1,($J160-$I160)/7),Templates!$B$35))</f>
        <v/>
      </c>
      <c r="BF160" s="18">
        <f>IF($A160="","",IF(AND($I160&lt;&gt;"",$J160&lt;&gt;""),MAX(1,($J160-$I160)/7),Templates!$B$36))</f>
        <v/>
      </c>
      <c r="BG160" s="18">
        <f>IF($A160="","",IF(AND($I160&lt;&gt;"",$J160&lt;&gt;""),MAX(1,($J160-$I160)/7),Templates!$B$37))</f>
        <v/>
      </c>
      <c r="BH160" s="18">
        <f>IF($A160="","",IF(AND($I160&lt;&gt;"",$J160&lt;&gt;""),MAX(1,($J160-$I160)/7),Templates!$B$38))</f>
        <v/>
      </c>
      <c r="BI160" s="18">
        <f>IF($A160="","",IF(AND($I160&lt;&gt;"",$J160&lt;&gt;""),MAX(1,($J160-$I160)/7),Templates!$B$39))</f>
        <v/>
      </c>
      <c r="BJ160" s="18">
        <f>IF(OR($A160="",$BD160=0),0,($AY160*Templates!$B$27/$BE160+$AZ160*Templates!$B$28/$BF160+$BA160*Templates!$B$29/$BG160+$BB160*Templates!$B$30/$BH160+$BC160*Templates!$B$31/$BI160)/Templates!$B$17)</f>
        <v/>
      </c>
      <c r="BK160" s="18">
        <f>IF(OR($A160="",$BD160=0),0,($AY160*Templates!$C$27/$BE160+$AZ160*Templates!$C$28/$BF160+$BA160*Templates!$C$29/$BG160+$BB160*Templates!$C$30/$BH160+$BC160*Templates!$C$31/$BI160)/Templates!$B$18)</f>
        <v/>
      </c>
      <c r="BL160" s="18">
        <f>IF(OR($A160="",$BD160=0),0,($AY160*Templates!$D$27/$BE160+$AZ160*Templates!$D$28/$BF160+$BA160*Templates!$D$29/$BG160+$BB160*Templates!$D$30/$BH160+$BC160*Templates!$D$31/$BI160)/Templates!$B$19)</f>
        <v/>
      </c>
      <c r="BM160" s="18">
        <f>IF(OR($A160="",$BD160=0),0,($AY160*Templates!$E$27/$BE160+$AZ160*Templates!$E$28/$BF160+$BA160*Templates!$E$29/$BG160+$BB160*Templates!$E$30/$BH160+$BC160*Templates!$E$31/$BI160)/Templates!$B$20)</f>
        <v/>
      </c>
      <c r="BN160" s="18">
        <f>IF(OR($A160="",$BD160=0),0,($AY160*Templates!$F$27/$BE160+$AZ160*Templates!$F$28/$BF160+$BA160*Templates!$F$29/$BG160+$BB160*Templates!$F$30/$BH160+$BC160*Templates!$F$31/$BI160)/Templates!$B$21)</f>
        <v/>
      </c>
      <c r="BO160" s="18">
        <f>IF(OR($A160="",$BD160=0),0,($AY160*Templates!$G$27/$BE160+$AZ160*Templates!$G$28/$BF160+$BA160*Templates!$G$29/$BG160+$BB160*Templates!$G$30/$BH160+$BC160*Templates!$G$31/$BI160)/Templates!$B$22)</f>
        <v/>
      </c>
      <c r="BP160" s="18">
        <f>IF(OR($A160="",$BD160=0),0,($AY160*Templates!$H$27/$BE160+$AZ160*Templates!$H$28/$BF160+$BA160*Templates!$H$29/$BG160+$BB160*Templates!$H$30/$BH160+$BC160*Templates!$H$31/$BI160)/Templates!$B$23)</f>
        <v/>
      </c>
    </row>
    <row r="161">
      <c r="A161" s="28" t="inlineStr">
        <is>
          <t>Scion_1</t>
        </is>
      </c>
      <c r="B161" s="20" t="inlineStr">
        <is>
          <t>Eight Advisory</t>
        </is>
      </c>
      <c r="C161" s="28" t="inlineStr">
        <is>
          <t>Eight Advisory</t>
        </is>
      </c>
      <c r="D161" s="28" t="inlineStr"/>
      <c r="E161" s="28" t="inlineStr">
        <is>
          <t>No</t>
        </is>
      </c>
      <c r="F161" s="28" t="inlineStr">
        <is>
          <t>Active</t>
        </is>
      </c>
      <c r="G161" s="38" t="n"/>
      <c r="H161" s="29" t="n">
        <v>1</v>
      </c>
      <c r="I161" s="39" t="n"/>
      <c r="J161" s="39" t="n"/>
      <c r="K161" s="31" t="n"/>
      <c r="L161" s="31" t="n"/>
      <c r="M161" s="31" t="n"/>
      <c r="N161" s="31" t="n"/>
      <c r="O161" s="31" t="n"/>
      <c r="P161" s="31" t="n"/>
      <c r="Q161" s="23">
        <f>IF($A161="","",COUNTIFS(Assignments!$C$2:$C$769,$A161,Assignments!$G$2:$G$769,"Active"))</f>
        <v/>
      </c>
      <c r="R161" s="32">
        <f>IF($A161="","",SUMIFS(Assignments!$I$2:$I$769,Assignments!$C$2:$C$769,$A161,Assignments!$G$2:$G$769,"Active"))</f>
        <v/>
      </c>
      <c r="S161" s="20" t="inlineStr">
        <is>
          <t>WIP</t>
        </is>
      </c>
      <c r="T161" s="31" t="n"/>
      <c r="U161" s="38" t="n"/>
      <c r="V161" s="34">
        <f>IF($U161="","",IFERROR(INDEX(Templates!$K$3:$K$10,MATCH($U161,Templates!$A$3:$A$10,0)),""))</f>
        <v/>
      </c>
      <c r="W161" s="34">
        <f>IF($U161="","",IFERROR(INDEX(Templates!$L$3:$L$10,MATCH($U161,Templates!$A$3:$A$10,0)),""))</f>
        <v/>
      </c>
      <c r="X161" s="21">
        <f>IF($U161="","",IFERROR(INDEX(Templates!$J$3:$J$10,MATCH($U161,Templates!$A$3:$A$10,0)),""))</f>
        <v/>
      </c>
      <c r="Y161" s="35">
        <f>IF(OR($U161="",$I161="",$J161="",$X161=""),"",$I161+$X161*($J161-$I161))</f>
        <v/>
      </c>
      <c r="Z161" s="30" t="n">
        <v>46212</v>
      </c>
      <c r="AA161" s="40" t="n"/>
      <c r="AB161" s="41" t="n"/>
      <c r="AC161" s="41" t="n"/>
      <c r="AD161" s="19">
        <f>IF($A161="","",IF($AA161="",$H161,$AA161))</f>
        <v/>
      </c>
      <c r="AE161" s="35">
        <f>IF($A161="","",IF($AB161="",$I161,$AB161))</f>
        <v/>
      </c>
      <c r="AF161" s="35">
        <f>IF($A161="","",IF($AC161="",$J161,$AC161))</f>
        <v/>
      </c>
      <c r="AG161" s="35">
        <f>IF(OR($U161="",$AE161="",$AF161="",$X161=""),"",$AE161+$X161*($AF161-$AE161))</f>
        <v/>
      </c>
      <c r="AH161" s="38" t="n"/>
      <c r="AI161" s="38" t="n"/>
      <c r="AJ161" s="38" t="n"/>
      <c r="AK161" s="38" t="n"/>
      <c r="AL161" s="38" t="n"/>
      <c r="AM161" s="38" t="n"/>
      <c r="AN161" s="38" t="n"/>
      <c r="AO161" s="38" t="n"/>
      <c r="AP161" s="38" t="n"/>
      <c r="AQ161" s="38" t="n"/>
      <c r="AR161" s="38" t="n"/>
      <c r="AS161" s="38" t="n"/>
      <c r="AT161" s="38" t="n"/>
      <c r="AU161" s="38" t="n"/>
      <c r="AV161" s="38" t="n"/>
      <c r="AW161" s="38" t="n"/>
      <c r="AX161" s="38" t="n"/>
      <c r="AY161" s="42" t="n"/>
      <c r="AZ161" s="42" t="n"/>
      <c r="BA161" s="42" t="n"/>
      <c r="BB161" s="42" t="n"/>
      <c r="BC161" s="42" t="n"/>
      <c r="BD161" s="37">
        <f>IF($A161="","",SUM($AY161:$BC161))</f>
        <v/>
      </c>
      <c r="BE161" s="18">
        <f>IF($A161="","",IF(AND($I161&lt;&gt;"",$J161&lt;&gt;""),MAX(1,($J161-$I161)/7),Templates!$B$35))</f>
        <v/>
      </c>
      <c r="BF161" s="18">
        <f>IF($A161="","",IF(AND($I161&lt;&gt;"",$J161&lt;&gt;""),MAX(1,($J161-$I161)/7),Templates!$B$36))</f>
        <v/>
      </c>
      <c r="BG161" s="18">
        <f>IF($A161="","",IF(AND($I161&lt;&gt;"",$J161&lt;&gt;""),MAX(1,($J161-$I161)/7),Templates!$B$37))</f>
        <v/>
      </c>
      <c r="BH161" s="18">
        <f>IF($A161="","",IF(AND($I161&lt;&gt;"",$J161&lt;&gt;""),MAX(1,($J161-$I161)/7),Templates!$B$38))</f>
        <v/>
      </c>
      <c r="BI161" s="18">
        <f>IF($A161="","",IF(AND($I161&lt;&gt;"",$J161&lt;&gt;""),MAX(1,($J161-$I161)/7),Templates!$B$39))</f>
        <v/>
      </c>
      <c r="BJ161" s="18">
        <f>IF(OR($A161="",$BD161=0),0,($AY161*Templates!$B$27/$BE161+$AZ161*Templates!$B$28/$BF161+$BA161*Templates!$B$29/$BG161+$BB161*Templates!$B$30/$BH161+$BC161*Templates!$B$31/$BI161)/Templates!$B$17)</f>
        <v/>
      </c>
      <c r="BK161" s="18">
        <f>IF(OR($A161="",$BD161=0),0,($AY161*Templates!$C$27/$BE161+$AZ161*Templates!$C$28/$BF161+$BA161*Templates!$C$29/$BG161+$BB161*Templates!$C$30/$BH161+$BC161*Templates!$C$31/$BI161)/Templates!$B$18)</f>
        <v/>
      </c>
      <c r="BL161" s="18">
        <f>IF(OR($A161="",$BD161=0),0,($AY161*Templates!$D$27/$BE161+$AZ161*Templates!$D$28/$BF161+$BA161*Templates!$D$29/$BG161+$BB161*Templates!$D$30/$BH161+$BC161*Templates!$D$31/$BI161)/Templates!$B$19)</f>
        <v/>
      </c>
      <c r="BM161" s="18">
        <f>IF(OR($A161="",$BD161=0),0,($AY161*Templates!$E$27/$BE161+$AZ161*Templates!$E$28/$BF161+$BA161*Templates!$E$29/$BG161+$BB161*Templates!$E$30/$BH161+$BC161*Templates!$E$31/$BI161)/Templates!$B$20)</f>
        <v/>
      </c>
      <c r="BN161" s="18">
        <f>IF(OR($A161="",$BD161=0),0,($AY161*Templates!$F$27/$BE161+$AZ161*Templates!$F$28/$BF161+$BA161*Templates!$F$29/$BG161+$BB161*Templates!$F$30/$BH161+$BC161*Templates!$F$31/$BI161)/Templates!$B$21)</f>
        <v/>
      </c>
      <c r="BO161" s="18">
        <f>IF(OR($A161="",$BD161=0),0,($AY161*Templates!$G$27/$BE161+$AZ161*Templates!$G$28/$BF161+$BA161*Templates!$G$29/$BG161+$BB161*Templates!$G$30/$BH161+$BC161*Templates!$G$31/$BI161)/Templates!$B$22)</f>
        <v/>
      </c>
      <c r="BP161" s="18">
        <f>IF(OR($A161="",$BD161=0),0,($AY161*Templates!$H$27/$BE161+$AZ161*Templates!$H$28/$BF161+$BA161*Templates!$H$29/$BG161+$BB161*Templates!$H$30/$BH161+$BC161*Templates!$H$31/$BI161)/Templates!$B$23)</f>
        <v/>
      </c>
    </row>
    <row r="162">
      <c r="A162" s="28" t="inlineStr">
        <is>
          <t>Seven2 PFIC_1</t>
        </is>
      </c>
      <c r="B162" s="20" t="inlineStr">
        <is>
          <t>Arsene TaxAnd</t>
        </is>
      </c>
      <c r="C162" s="28" t="inlineStr">
        <is>
          <t>Arsene TaxAnd</t>
        </is>
      </c>
      <c r="D162" s="28" t="inlineStr"/>
      <c r="E162" s="28" t="inlineStr">
        <is>
          <t>No</t>
        </is>
      </c>
      <c r="F162" s="28" t="inlineStr">
        <is>
          <t>Active</t>
        </is>
      </c>
      <c r="G162" s="38" t="n"/>
      <c r="H162" s="29" t="n">
        <v>1</v>
      </c>
      <c r="I162" s="39" t="n"/>
      <c r="J162" s="39" t="n"/>
      <c r="K162" s="31" t="n"/>
      <c r="L162" s="31" t="n"/>
      <c r="M162" s="31" t="n"/>
      <c r="N162" s="31" t="n"/>
      <c r="O162" s="31" t="n"/>
      <c r="P162" s="31" t="n"/>
      <c r="Q162" s="23">
        <f>IF($A162="","",COUNTIFS(Assignments!$C$2:$C$769,$A162,Assignments!$G$2:$G$769,"Active"))</f>
        <v/>
      </c>
      <c r="R162" s="32">
        <f>IF($A162="","",SUMIFS(Assignments!$I$2:$I$769,Assignments!$C$2:$C$769,$A162,Assignments!$G$2:$G$769,"Active"))</f>
        <v/>
      </c>
      <c r="S162" s="20" t="inlineStr">
        <is>
          <t>WIP</t>
        </is>
      </c>
      <c r="T162" s="31" t="n"/>
      <c r="U162" s="38" t="n"/>
      <c r="V162" s="34">
        <f>IF($U162="","",IFERROR(INDEX(Templates!$K$3:$K$10,MATCH($U162,Templates!$A$3:$A$10,0)),""))</f>
        <v/>
      </c>
      <c r="W162" s="34">
        <f>IF($U162="","",IFERROR(INDEX(Templates!$L$3:$L$10,MATCH($U162,Templates!$A$3:$A$10,0)),""))</f>
        <v/>
      </c>
      <c r="X162" s="21">
        <f>IF($U162="","",IFERROR(INDEX(Templates!$J$3:$J$10,MATCH($U162,Templates!$A$3:$A$10,0)),""))</f>
        <v/>
      </c>
      <c r="Y162" s="35">
        <f>IF(OR($U162="",$I162="",$J162="",$X162=""),"",$I162+$X162*($J162-$I162))</f>
        <v/>
      </c>
      <c r="Z162" s="30" t="n">
        <v>46212</v>
      </c>
      <c r="AA162" s="40" t="n"/>
      <c r="AB162" s="41" t="n"/>
      <c r="AC162" s="41" t="n"/>
      <c r="AD162" s="19">
        <f>IF($A162="","",IF($AA162="",$H162,$AA162))</f>
        <v/>
      </c>
      <c r="AE162" s="35">
        <f>IF($A162="","",IF($AB162="",$I162,$AB162))</f>
        <v/>
      </c>
      <c r="AF162" s="35">
        <f>IF($A162="","",IF($AC162="",$J162,$AC162))</f>
        <v/>
      </c>
      <c r="AG162" s="35">
        <f>IF(OR($U162="",$AE162="",$AF162="",$X162=""),"",$AE162+$X162*($AF162-$AE162))</f>
        <v/>
      </c>
      <c r="AH162" s="38" t="n"/>
      <c r="AI162" s="38" t="n"/>
      <c r="AJ162" s="38" t="n"/>
      <c r="AK162" s="38" t="n"/>
      <c r="AL162" s="38" t="n"/>
      <c r="AM162" s="38" t="n"/>
      <c r="AN162" s="38" t="n"/>
      <c r="AO162" s="38" t="n"/>
      <c r="AP162" s="38" t="n"/>
      <c r="AQ162" s="38" t="n"/>
      <c r="AR162" s="38" t="n"/>
      <c r="AS162" s="38" t="n"/>
      <c r="AT162" s="38" t="n"/>
      <c r="AU162" s="38" t="n"/>
      <c r="AV162" s="38" t="n"/>
      <c r="AW162" s="38" t="n"/>
      <c r="AX162" s="38" t="n"/>
      <c r="AY162" s="42" t="n"/>
      <c r="AZ162" s="42" t="n"/>
      <c r="BA162" s="42" t="n"/>
      <c r="BB162" s="42" t="n"/>
      <c r="BC162" s="42" t="n"/>
      <c r="BD162" s="37">
        <f>IF($A162="","",SUM($AY162:$BC162))</f>
        <v/>
      </c>
      <c r="BE162" s="18">
        <f>IF($A162="","",IF(AND($I162&lt;&gt;"",$J162&lt;&gt;""),MAX(1,($J162-$I162)/7),Templates!$B$35))</f>
        <v/>
      </c>
      <c r="BF162" s="18">
        <f>IF($A162="","",IF(AND($I162&lt;&gt;"",$J162&lt;&gt;""),MAX(1,($J162-$I162)/7),Templates!$B$36))</f>
        <v/>
      </c>
      <c r="BG162" s="18">
        <f>IF($A162="","",IF(AND($I162&lt;&gt;"",$J162&lt;&gt;""),MAX(1,($J162-$I162)/7),Templates!$B$37))</f>
        <v/>
      </c>
      <c r="BH162" s="18">
        <f>IF($A162="","",IF(AND($I162&lt;&gt;"",$J162&lt;&gt;""),MAX(1,($J162-$I162)/7),Templates!$B$38))</f>
        <v/>
      </c>
      <c r="BI162" s="18">
        <f>IF($A162="","",IF(AND($I162&lt;&gt;"",$J162&lt;&gt;""),MAX(1,($J162-$I162)/7),Templates!$B$39))</f>
        <v/>
      </c>
      <c r="BJ162" s="18">
        <f>IF(OR($A162="",$BD162=0),0,($AY162*Templates!$B$27/$BE162+$AZ162*Templates!$B$28/$BF162+$BA162*Templates!$B$29/$BG162+$BB162*Templates!$B$30/$BH162+$BC162*Templates!$B$31/$BI162)/Templates!$B$17)</f>
        <v/>
      </c>
      <c r="BK162" s="18">
        <f>IF(OR($A162="",$BD162=0),0,($AY162*Templates!$C$27/$BE162+$AZ162*Templates!$C$28/$BF162+$BA162*Templates!$C$29/$BG162+$BB162*Templates!$C$30/$BH162+$BC162*Templates!$C$31/$BI162)/Templates!$B$18)</f>
        <v/>
      </c>
      <c r="BL162" s="18">
        <f>IF(OR($A162="",$BD162=0),0,($AY162*Templates!$D$27/$BE162+$AZ162*Templates!$D$28/$BF162+$BA162*Templates!$D$29/$BG162+$BB162*Templates!$D$30/$BH162+$BC162*Templates!$D$31/$BI162)/Templates!$B$19)</f>
        <v/>
      </c>
      <c r="BM162" s="18">
        <f>IF(OR($A162="",$BD162=0),0,($AY162*Templates!$E$27/$BE162+$AZ162*Templates!$E$28/$BF162+$BA162*Templates!$E$29/$BG162+$BB162*Templates!$E$30/$BH162+$BC162*Templates!$E$31/$BI162)/Templates!$B$20)</f>
        <v/>
      </c>
      <c r="BN162" s="18">
        <f>IF(OR($A162="",$BD162=0),0,($AY162*Templates!$F$27/$BE162+$AZ162*Templates!$F$28/$BF162+$BA162*Templates!$F$29/$BG162+$BB162*Templates!$F$30/$BH162+$BC162*Templates!$F$31/$BI162)/Templates!$B$21)</f>
        <v/>
      </c>
      <c r="BO162" s="18">
        <f>IF(OR($A162="",$BD162=0),0,($AY162*Templates!$G$27/$BE162+$AZ162*Templates!$G$28/$BF162+$BA162*Templates!$G$29/$BG162+$BB162*Templates!$G$30/$BH162+$BC162*Templates!$G$31/$BI162)/Templates!$B$22)</f>
        <v/>
      </c>
      <c r="BP162" s="18">
        <f>IF(OR($A162="",$BD162=0),0,($AY162*Templates!$H$27/$BE162+$AZ162*Templates!$H$28/$BF162+$BA162*Templates!$H$29/$BG162+$BB162*Templates!$H$30/$BH162+$BC162*Templates!$H$31/$BI162)/Templates!$B$23)</f>
        <v/>
      </c>
    </row>
    <row r="163">
      <c r="A163" s="28" t="inlineStr">
        <is>
          <t>Shika_1</t>
        </is>
      </c>
      <c r="B163" s="20" t="inlineStr">
        <is>
          <t>Riveron</t>
        </is>
      </c>
      <c r="C163" s="28" t="inlineStr">
        <is>
          <t>Riveron</t>
        </is>
      </c>
      <c r="D163" s="28" t="inlineStr"/>
      <c r="E163" s="28" t="inlineStr">
        <is>
          <t>No</t>
        </is>
      </c>
      <c r="F163" s="28" t="inlineStr">
        <is>
          <t>Active</t>
        </is>
      </c>
      <c r="G163" s="38" t="n"/>
      <c r="H163" s="29" t="n">
        <v>1</v>
      </c>
      <c r="I163" s="39" t="n"/>
      <c r="J163" s="39" t="n"/>
      <c r="K163" s="31" t="n"/>
      <c r="L163" s="31" t="n"/>
      <c r="M163" s="31" t="n"/>
      <c r="N163" s="31" t="n"/>
      <c r="O163" s="31" t="n"/>
      <c r="P163" s="31" t="n"/>
      <c r="Q163" s="23">
        <f>IF($A163="","",COUNTIFS(Assignments!$C$2:$C$769,$A163,Assignments!$G$2:$G$769,"Active"))</f>
        <v/>
      </c>
      <c r="R163" s="32">
        <f>IF($A163="","",SUMIFS(Assignments!$I$2:$I$769,Assignments!$C$2:$C$769,$A163,Assignments!$G$2:$G$769,"Active"))</f>
        <v/>
      </c>
      <c r="S163" s="20" t="inlineStr">
        <is>
          <t>WIP</t>
        </is>
      </c>
      <c r="T163" s="31" t="n"/>
      <c r="U163" s="38" t="n"/>
      <c r="V163" s="34">
        <f>IF($U163="","",IFERROR(INDEX(Templates!$K$3:$K$10,MATCH($U163,Templates!$A$3:$A$10,0)),""))</f>
        <v/>
      </c>
      <c r="W163" s="34">
        <f>IF($U163="","",IFERROR(INDEX(Templates!$L$3:$L$10,MATCH($U163,Templates!$A$3:$A$10,0)),""))</f>
        <v/>
      </c>
      <c r="X163" s="21">
        <f>IF($U163="","",IFERROR(INDEX(Templates!$J$3:$J$10,MATCH($U163,Templates!$A$3:$A$10,0)),""))</f>
        <v/>
      </c>
      <c r="Y163" s="35">
        <f>IF(OR($U163="",$I163="",$J163="",$X163=""),"",$I163+$X163*($J163-$I163))</f>
        <v/>
      </c>
      <c r="Z163" s="30" t="n">
        <v>46212</v>
      </c>
      <c r="AA163" s="40" t="n"/>
      <c r="AB163" s="41" t="n"/>
      <c r="AC163" s="41" t="n"/>
      <c r="AD163" s="19">
        <f>IF($A163="","",IF($AA163="",$H163,$AA163))</f>
        <v/>
      </c>
      <c r="AE163" s="35">
        <f>IF($A163="","",IF($AB163="",$I163,$AB163))</f>
        <v/>
      </c>
      <c r="AF163" s="35">
        <f>IF($A163="","",IF($AC163="",$J163,$AC163))</f>
        <v/>
      </c>
      <c r="AG163" s="35">
        <f>IF(OR($U163="",$AE163="",$AF163="",$X163=""),"",$AE163+$X163*($AF163-$AE163))</f>
        <v/>
      </c>
      <c r="AH163" s="38" t="n"/>
      <c r="AI163" s="38" t="n"/>
      <c r="AJ163" s="38" t="n"/>
      <c r="AK163" s="38" t="n"/>
      <c r="AL163" s="38" t="n"/>
      <c r="AM163" s="38" t="n"/>
      <c r="AN163" s="38" t="n"/>
      <c r="AO163" s="38" t="n"/>
      <c r="AP163" s="38" t="n"/>
      <c r="AQ163" s="38" t="n"/>
      <c r="AR163" s="38" t="n"/>
      <c r="AS163" s="38" t="n"/>
      <c r="AT163" s="38" t="n"/>
      <c r="AU163" s="38" t="n"/>
      <c r="AV163" s="38" t="n"/>
      <c r="AW163" s="38" t="n"/>
      <c r="AX163" s="38" t="n"/>
      <c r="AY163" s="42" t="n"/>
      <c r="AZ163" s="42" t="n"/>
      <c r="BA163" s="42" t="n"/>
      <c r="BB163" s="42" t="n"/>
      <c r="BC163" s="42" t="n"/>
      <c r="BD163" s="37">
        <f>IF($A163="","",SUM($AY163:$BC163))</f>
        <v/>
      </c>
      <c r="BE163" s="18">
        <f>IF($A163="","",IF(AND($I163&lt;&gt;"",$J163&lt;&gt;""),MAX(1,($J163-$I163)/7),Templates!$B$35))</f>
        <v/>
      </c>
      <c r="BF163" s="18">
        <f>IF($A163="","",IF(AND($I163&lt;&gt;"",$J163&lt;&gt;""),MAX(1,($J163-$I163)/7),Templates!$B$36))</f>
        <v/>
      </c>
      <c r="BG163" s="18">
        <f>IF($A163="","",IF(AND($I163&lt;&gt;"",$J163&lt;&gt;""),MAX(1,($J163-$I163)/7),Templates!$B$37))</f>
        <v/>
      </c>
      <c r="BH163" s="18">
        <f>IF($A163="","",IF(AND($I163&lt;&gt;"",$J163&lt;&gt;""),MAX(1,($J163-$I163)/7),Templates!$B$38))</f>
        <v/>
      </c>
      <c r="BI163" s="18">
        <f>IF($A163="","",IF(AND($I163&lt;&gt;"",$J163&lt;&gt;""),MAX(1,($J163-$I163)/7),Templates!$B$39))</f>
        <v/>
      </c>
      <c r="BJ163" s="18">
        <f>IF(OR($A163="",$BD163=0),0,($AY163*Templates!$B$27/$BE163+$AZ163*Templates!$B$28/$BF163+$BA163*Templates!$B$29/$BG163+$BB163*Templates!$B$30/$BH163+$BC163*Templates!$B$31/$BI163)/Templates!$B$17)</f>
        <v/>
      </c>
      <c r="BK163" s="18">
        <f>IF(OR($A163="",$BD163=0),0,($AY163*Templates!$C$27/$BE163+$AZ163*Templates!$C$28/$BF163+$BA163*Templates!$C$29/$BG163+$BB163*Templates!$C$30/$BH163+$BC163*Templates!$C$31/$BI163)/Templates!$B$18)</f>
        <v/>
      </c>
      <c r="BL163" s="18">
        <f>IF(OR($A163="",$BD163=0),0,($AY163*Templates!$D$27/$BE163+$AZ163*Templates!$D$28/$BF163+$BA163*Templates!$D$29/$BG163+$BB163*Templates!$D$30/$BH163+$BC163*Templates!$D$31/$BI163)/Templates!$B$19)</f>
        <v/>
      </c>
      <c r="BM163" s="18">
        <f>IF(OR($A163="",$BD163=0),0,($AY163*Templates!$E$27/$BE163+$AZ163*Templates!$E$28/$BF163+$BA163*Templates!$E$29/$BG163+$BB163*Templates!$E$30/$BH163+$BC163*Templates!$E$31/$BI163)/Templates!$B$20)</f>
        <v/>
      </c>
      <c r="BN163" s="18">
        <f>IF(OR($A163="",$BD163=0),0,($AY163*Templates!$F$27/$BE163+$AZ163*Templates!$F$28/$BF163+$BA163*Templates!$F$29/$BG163+$BB163*Templates!$F$30/$BH163+$BC163*Templates!$F$31/$BI163)/Templates!$B$21)</f>
        <v/>
      </c>
      <c r="BO163" s="18">
        <f>IF(OR($A163="",$BD163=0),0,($AY163*Templates!$G$27/$BE163+$AZ163*Templates!$G$28/$BF163+$BA163*Templates!$G$29/$BG163+$BB163*Templates!$G$30/$BH163+$BC163*Templates!$G$31/$BI163)/Templates!$B$22)</f>
        <v/>
      </c>
      <c r="BP163" s="18">
        <f>IF(OR($A163="",$BD163=0),0,($AY163*Templates!$H$27/$BE163+$AZ163*Templates!$H$28/$BF163+$BA163*Templates!$H$29/$BG163+$BB163*Templates!$H$30/$BH163+$BC163*Templates!$H$31/$BI163)/Templates!$B$23)</f>
        <v/>
      </c>
    </row>
    <row r="164">
      <c r="A164" s="28" t="inlineStr">
        <is>
          <t>Sierra_3</t>
        </is>
      </c>
      <c r="B164" s="20" t="inlineStr">
        <is>
          <t>ICEN Risk</t>
        </is>
      </c>
      <c r="C164" s="28" t="inlineStr">
        <is>
          <t>ICEN Risk</t>
        </is>
      </c>
      <c r="D164" s="28" t="inlineStr"/>
      <c r="E164" s="28" t="inlineStr">
        <is>
          <t>No</t>
        </is>
      </c>
      <c r="F164" s="28" t="inlineStr">
        <is>
          <t>Active</t>
        </is>
      </c>
      <c r="G164" s="38" t="n"/>
      <c r="H164" s="29" t="n">
        <v>1</v>
      </c>
      <c r="I164" s="39" t="n"/>
      <c r="J164" s="39" t="n"/>
      <c r="K164" s="31" t="n"/>
      <c r="L164" s="31" t="n"/>
      <c r="M164" s="31" t="n"/>
      <c r="N164" s="31" t="n"/>
      <c r="O164" s="31" t="n"/>
      <c r="P164" s="31" t="n"/>
      <c r="Q164" s="23">
        <f>IF($A164="","",COUNTIFS(Assignments!$C$2:$C$769,$A164,Assignments!$G$2:$G$769,"Active"))</f>
        <v/>
      </c>
      <c r="R164" s="32">
        <f>IF($A164="","",SUMIFS(Assignments!$I$2:$I$769,Assignments!$C$2:$C$769,$A164,Assignments!$G$2:$G$769,"Active"))</f>
        <v/>
      </c>
      <c r="S164" s="20" t="inlineStr">
        <is>
          <t>WIP</t>
        </is>
      </c>
      <c r="T164" s="31" t="n"/>
      <c r="U164" s="38" t="n"/>
      <c r="V164" s="34">
        <f>IF($U164="","",IFERROR(INDEX(Templates!$K$3:$K$10,MATCH($U164,Templates!$A$3:$A$10,0)),""))</f>
        <v/>
      </c>
      <c r="W164" s="34">
        <f>IF($U164="","",IFERROR(INDEX(Templates!$L$3:$L$10,MATCH($U164,Templates!$A$3:$A$10,0)),""))</f>
        <v/>
      </c>
      <c r="X164" s="21">
        <f>IF($U164="","",IFERROR(INDEX(Templates!$J$3:$J$10,MATCH($U164,Templates!$A$3:$A$10,0)),""))</f>
        <v/>
      </c>
      <c r="Y164" s="35">
        <f>IF(OR($U164="",$I164="",$J164="",$X164=""),"",$I164+$X164*($J164-$I164))</f>
        <v/>
      </c>
      <c r="Z164" s="30" t="n">
        <v>46212</v>
      </c>
      <c r="AA164" s="40" t="n"/>
      <c r="AB164" s="41" t="n"/>
      <c r="AC164" s="41" t="n"/>
      <c r="AD164" s="19">
        <f>IF($A164="","",IF($AA164="",$H164,$AA164))</f>
        <v/>
      </c>
      <c r="AE164" s="35">
        <f>IF($A164="","",IF($AB164="",$I164,$AB164))</f>
        <v/>
      </c>
      <c r="AF164" s="35">
        <f>IF($A164="","",IF($AC164="",$J164,$AC164))</f>
        <v/>
      </c>
      <c r="AG164" s="35">
        <f>IF(OR($U164="",$AE164="",$AF164="",$X164=""),"",$AE164+$X164*($AF164-$AE164))</f>
        <v/>
      </c>
      <c r="AH164" s="38" t="n"/>
      <c r="AI164" s="38" t="n"/>
      <c r="AJ164" s="38" t="n"/>
      <c r="AK164" s="38" t="n"/>
      <c r="AL164" s="38" t="n"/>
      <c r="AM164" s="38" t="n"/>
      <c r="AN164" s="38" t="n"/>
      <c r="AO164" s="38" t="n"/>
      <c r="AP164" s="38" t="n"/>
      <c r="AQ164" s="38" t="n"/>
      <c r="AR164" s="38" t="n"/>
      <c r="AS164" s="38" t="n"/>
      <c r="AT164" s="38" t="n"/>
      <c r="AU164" s="38" t="n"/>
      <c r="AV164" s="38" t="n"/>
      <c r="AW164" s="38" t="n"/>
      <c r="AX164" s="38" t="n"/>
      <c r="AY164" s="42" t="n"/>
      <c r="AZ164" s="42" t="n"/>
      <c r="BA164" s="42" t="n"/>
      <c r="BB164" s="42" t="n"/>
      <c r="BC164" s="42" t="n"/>
      <c r="BD164" s="37">
        <f>IF($A164="","",SUM($AY164:$BC164))</f>
        <v/>
      </c>
      <c r="BE164" s="18">
        <f>IF($A164="","",IF(AND($I164&lt;&gt;"",$J164&lt;&gt;""),MAX(1,($J164-$I164)/7),Templates!$B$35))</f>
        <v/>
      </c>
      <c r="BF164" s="18">
        <f>IF($A164="","",IF(AND($I164&lt;&gt;"",$J164&lt;&gt;""),MAX(1,($J164-$I164)/7),Templates!$B$36))</f>
        <v/>
      </c>
      <c r="BG164" s="18">
        <f>IF($A164="","",IF(AND($I164&lt;&gt;"",$J164&lt;&gt;""),MAX(1,($J164-$I164)/7),Templates!$B$37))</f>
        <v/>
      </c>
      <c r="BH164" s="18">
        <f>IF($A164="","",IF(AND($I164&lt;&gt;"",$J164&lt;&gt;""),MAX(1,($J164-$I164)/7),Templates!$B$38))</f>
        <v/>
      </c>
      <c r="BI164" s="18">
        <f>IF($A164="","",IF(AND($I164&lt;&gt;"",$J164&lt;&gt;""),MAX(1,($J164-$I164)/7),Templates!$B$39))</f>
        <v/>
      </c>
      <c r="BJ164" s="18">
        <f>IF(OR($A164="",$BD164=0),0,($AY164*Templates!$B$27/$BE164+$AZ164*Templates!$B$28/$BF164+$BA164*Templates!$B$29/$BG164+$BB164*Templates!$B$30/$BH164+$BC164*Templates!$B$31/$BI164)/Templates!$B$17)</f>
        <v/>
      </c>
      <c r="BK164" s="18">
        <f>IF(OR($A164="",$BD164=0),0,($AY164*Templates!$C$27/$BE164+$AZ164*Templates!$C$28/$BF164+$BA164*Templates!$C$29/$BG164+$BB164*Templates!$C$30/$BH164+$BC164*Templates!$C$31/$BI164)/Templates!$B$18)</f>
        <v/>
      </c>
      <c r="BL164" s="18">
        <f>IF(OR($A164="",$BD164=0),0,($AY164*Templates!$D$27/$BE164+$AZ164*Templates!$D$28/$BF164+$BA164*Templates!$D$29/$BG164+$BB164*Templates!$D$30/$BH164+$BC164*Templates!$D$31/$BI164)/Templates!$B$19)</f>
        <v/>
      </c>
      <c r="BM164" s="18">
        <f>IF(OR($A164="",$BD164=0),0,($AY164*Templates!$E$27/$BE164+$AZ164*Templates!$E$28/$BF164+$BA164*Templates!$E$29/$BG164+$BB164*Templates!$E$30/$BH164+$BC164*Templates!$E$31/$BI164)/Templates!$B$20)</f>
        <v/>
      </c>
      <c r="BN164" s="18">
        <f>IF(OR($A164="",$BD164=0),0,($AY164*Templates!$F$27/$BE164+$AZ164*Templates!$F$28/$BF164+$BA164*Templates!$F$29/$BG164+$BB164*Templates!$F$30/$BH164+$BC164*Templates!$F$31/$BI164)/Templates!$B$21)</f>
        <v/>
      </c>
      <c r="BO164" s="18">
        <f>IF(OR($A164="",$BD164=0),0,($AY164*Templates!$G$27/$BE164+$AZ164*Templates!$G$28/$BF164+$BA164*Templates!$G$29/$BG164+$BB164*Templates!$G$30/$BH164+$BC164*Templates!$G$31/$BI164)/Templates!$B$22)</f>
        <v/>
      </c>
      <c r="BP164" s="18">
        <f>IF(OR($A164="",$BD164=0),0,($AY164*Templates!$H$27/$BE164+$AZ164*Templates!$H$28/$BF164+$BA164*Templates!$H$29/$BG164+$BB164*Templates!$H$30/$BH164+$BC164*Templates!$H$31/$BI164)/Templates!$B$23)</f>
        <v/>
      </c>
    </row>
    <row r="165">
      <c r="A165" s="28" t="inlineStr">
        <is>
          <t>SolarEdge DC Adder_1</t>
        </is>
      </c>
      <c r="B165" s="20" t="inlineStr">
        <is>
          <t>Ethos Specialty Insurance Services</t>
        </is>
      </c>
      <c r="C165" s="28" t="inlineStr">
        <is>
          <t>Ethos Specialty Insurance Services</t>
        </is>
      </c>
      <c r="D165" s="28" t="inlineStr"/>
      <c r="E165" s="28" t="inlineStr">
        <is>
          <t>No</t>
        </is>
      </c>
      <c r="F165" s="28" t="inlineStr">
        <is>
          <t>Active</t>
        </is>
      </c>
      <c r="G165" s="38" t="n"/>
      <c r="H165" s="29" t="n">
        <v>1</v>
      </c>
      <c r="I165" s="39" t="n"/>
      <c r="J165" s="39" t="n"/>
      <c r="K165" s="31" t="n"/>
      <c r="L165" s="31" t="n"/>
      <c r="M165" s="31" t="n"/>
      <c r="N165" s="31" t="n"/>
      <c r="O165" s="31" t="n"/>
      <c r="P165" s="31" t="n"/>
      <c r="Q165" s="23">
        <f>IF($A165="","",COUNTIFS(Assignments!$C$2:$C$769,$A165,Assignments!$G$2:$G$769,"Active"))</f>
        <v/>
      </c>
      <c r="R165" s="32">
        <f>IF($A165="","",SUMIFS(Assignments!$I$2:$I$769,Assignments!$C$2:$C$769,$A165,Assignments!$G$2:$G$769,"Active"))</f>
        <v/>
      </c>
      <c r="S165" s="20" t="inlineStr">
        <is>
          <t>WIP</t>
        </is>
      </c>
      <c r="T165" s="31" t="n"/>
      <c r="U165" s="38" t="n"/>
      <c r="V165" s="34">
        <f>IF($U165="","",IFERROR(INDEX(Templates!$K$3:$K$10,MATCH($U165,Templates!$A$3:$A$10,0)),""))</f>
        <v/>
      </c>
      <c r="W165" s="34">
        <f>IF($U165="","",IFERROR(INDEX(Templates!$L$3:$L$10,MATCH($U165,Templates!$A$3:$A$10,0)),""))</f>
        <v/>
      </c>
      <c r="X165" s="21">
        <f>IF($U165="","",IFERROR(INDEX(Templates!$J$3:$J$10,MATCH($U165,Templates!$A$3:$A$10,0)),""))</f>
        <v/>
      </c>
      <c r="Y165" s="35">
        <f>IF(OR($U165="",$I165="",$J165="",$X165=""),"",$I165+$X165*($J165-$I165))</f>
        <v/>
      </c>
      <c r="Z165" s="30" t="n">
        <v>46212</v>
      </c>
      <c r="AA165" s="40" t="n"/>
      <c r="AB165" s="41" t="n"/>
      <c r="AC165" s="41" t="n"/>
      <c r="AD165" s="19">
        <f>IF($A165="","",IF($AA165="",$H165,$AA165))</f>
        <v/>
      </c>
      <c r="AE165" s="35">
        <f>IF($A165="","",IF($AB165="",$I165,$AB165))</f>
        <v/>
      </c>
      <c r="AF165" s="35">
        <f>IF($A165="","",IF($AC165="",$J165,$AC165))</f>
        <v/>
      </c>
      <c r="AG165" s="35">
        <f>IF(OR($U165="",$AE165="",$AF165="",$X165=""),"",$AE165+$X165*($AF165-$AE165))</f>
        <v/>
      </c>
      <c r="AH165" s="38" t="n"/>
      <c r="AI165" s="38" t="n"/>
      <c r="AJ165" s="38" t="n"/>
      <c r="AK165" s="38" t="n"/>
      <c r="AL165" s="38" t="n"/>
      <c r="AM165" s="38" t="n"/>
      <c r="AN165" s="38" t="n"/>
      <c r="AO165" s="38" t="n"/>
      <c r="AP165" s="38" t="n"/>
      <c r="AQ165" s="38" t="n"/>
      <c r="AR165" s="38" t="n"/>
      <c r="AS165" s="38" t="n"/>
      <c r="AT165" s="38" t="n"/>
      <c r="AU165" s="38" t="n"/>
      <c r="AV165" s="38" t="n"/>
      <c r="AW165" s="38" t="n"/>
      <c r="AX165" s="38" t="n"/>
      <c r="AY165" s="42" t="n"/>
      <c r="AZ165" s="42" t="n"/>
      <c r="BA165" s="42" t="n"/>
      <c r="BB165" s="42" t="n"/>
      <c r="BC165" s="42" t="n"/>
      <c r="BD165" s="37">
        <f>IF($A165="","",SUM($AY165:$BC165))</f>
        <v/>
      </c>
      <c r="BE165" s="18">
        <f>IF($A165="","",IF(AND($I165&lt;&gt;"",$J165&lt;&gt;""),MAX(1,($J165-$I165)/7),Templates!$B$35))</f>
        <v/>
      </c>
      <c r="BF165" s="18">
        <f>IF($A165="","",IF(AND($I165&lt;&gt;"",$J165&lt;&gt;""),MAX(1,($J165-$I165)/7),Templates!$B$36))</f>
        <v/>
      </c>
      <c r="BG165" s="18">
        <f>IF($A165="","",IF(AND($I165&lt;&gt;"",$J165&lt;&gt;""),MAX(1,($J165-$I165)/7),Templates!$B$37))</f>
        <v/>
      </c>
      <c r="BH165" s="18">
        <f>IF($A165="","",IF(AND($I165&lt;&gt;"",$J165&lt;&gt;""),MAX(1,($J165-$I165)/7),Templates!$B$38))</f>
        <v/>
      </c>
      <c r="BI165" s="18">
        <f>IF($A165="","",IF(AND($I165&lt;&gt;"",$J165&lt;&gt;""),MAX(1,($J165-$I165)/7),Templates!$B$39))</f>
        <v/>
      </c>
      <c r="BJ165" s="18">
        <f>IF(OR($A165="",$BD165=0),0,($AY165*Templates!$B$27/$BE165+$AZ165*Templates!$B$28/$BF165+$BA165*Templates!$B$29/$BG165+$BB165*Templates!$B$30/$BH165+$BC165*Templates!$B$31/$BI165)/Templates!$B$17)</f>
        <v/>
      </c>
      <c r="BK165" s="18">
        <f>IF(OR($A165="",$BD165=0),0,($AY165*Templates!$C$27/$BE165+$AZ165*Templates!$C$28/$BF165+$BA165*Templates!$C$29/$BG165+$BB165*Templates!$C$30/$BH165+$BC165*Templates!$C$31/$BI165)/Templates!$B$18)</f>
        <v/>
      </c>
      <c r="BL165" s="18">
        <f>IF(OR($A165="",$BD165=0),0,($AY165*Templates!$D$27/$BE165+$AZ165*Templates!$D$28/$BF165+$BA165*Templates!$D$29/$BG165+$BB165*Templates!$D$30/$BH165+$BC165*Templates!$D$31/$BI165)/Templates!$B$19)</f>
        <v/>
      </c>
      <c r="BM165" s="18">
        <f>IF(OR($A165="",$BD165=0),0,($AY165*Templates!$E$27/$BE165+$AZ165*Templates!$E$28/$BF165+$BA165*Templates!$E$29/$BG165+$BB165*Templates!$E$30/$BH165+$BC165*Templates!$E$31/$BI165)/Templates!$B$20)</f>
        <v/>
      </c>
      <c r="BN165" s="18">
        <f>IF(OR($A165="",$BD165=0),0,($AY165*Templates!$F$27/$BE165+$AZ165*Templates!$F$28/$BF165+$BA165*Templates!$F$29/$BG165+$BB165*Templates!$F$30/$BH165+$BC165*Templates!$F$31/$BI165)/Templates!$B$21)</f>
        <v/>
      </c>
      <c r="BO165" s="18">
        <f>IF(OR($A165="",$BD165=0),0,($AY165*Templates!$G$27/$BE165+$AZ165*Templates!$G$28/$BF165+$BA165*Templates!$G$29/$BG165+$BB165*Templates!$G$30/$BH165+$BC165*Templates!$G$31/$BI165)/Templates!$B$22)</f>
        <v/>
      </c>
      <c r="BP165" s="18">
        <f>IF(OR($A165="",$BD165=0),0,($AY165*Templates!$H$27/$BE165+$AZ165*Templates!$H$28/$BF165+$BA165*Templates!$H$29/$BG165+$BB165*Templates!$H$30/$BH165+$BC165*Templates!$H$31/$BI165)/Templates!$B$23)</f>
        <v/>
      </c>
    </row>
    <row r="166">
      <c r="A166" s="28" t="inlineStr">
        <is>
          <t>SolRite_1</t>
        </is>
      </c>
      <c r="B166" s="20" t="inlineStr">
        <is>
          <t>Ethos Specialty Insurance Services</t>
        </is>
      </c>
      <c r="C166" s="28" t="inlineStr">
        <is>
          <t>Ethos Specialty Insurance Services</t>
        </is>
      </c>
      <c r="D166" s="28" t="inlineStr"/>
      <c r="E166" s="28" t="inlineStr">
        <is>
          <t>No</t>
        </is>
      </c>
      <c r="F166" s="28" t="inlineStr">
        <is>
          <t>Active</t>
        </is>
      </c>
      <c r="G166" s="38" t="n"/>
      <c r="H166" s="29" t="n">
        <v>1</v>
      </c>
      <c r="I166" s="39" t="n"/>
      <c r="J166" s="39" t="n"/>
      <c r="K166" s="31" t="n"/>
      <c r="L166" s="31" t="n"/>
      <c r="M166" s="31" t="n"/>
      <c r="N166" s="31" t="n"/>
      <c r="O166" s="31" t="n"/>
      <c r="P166" s="31" t="n"/>
      <c r="Q166" s="23">
        <f>IF($A166="","",COUNTIFS(Assignments!$C$2:$C$769,$A166,Assignments!$G$2:$G$769,"Active"))</f>
        <v/>
      </c>
      <c r="R166" s="32">
        <f>IF($A166="","",SUMIFS(Assignments!$I$2:$I$769,Assignments!$C$2:$C$769,$A166,Assignments!$G$2:$G$769,"Active"))</f>
        <v/>
      </c>
      <c r="S166" s="20" t="inlineStr">
        <is>
          <t>WIP</t>
        </is>
      </c>
      <c r="T166" s="31" t="n"/>
      <c r="U166" s="38" t="n"/>
      <c r="V166" s="34">
        <f>IF($U166="","",IFERROR(INDEX(Templates!$K$3:$K$10,MATCH($U166,Templates!$A$3:$A$10,0)),""))</f>
        <v/>
      </c>
      <c r="W166" s="34">
        <f>IF($U166="","",IFERROR(INDEX(Templates!$L$3:$L$10,MATCH($U166,Templates!$A$3:$A$10,0)),""))</f>
        <v/>
      </c>
      <c r="X166" s="21">
        <f>IF($U166="","",IFERROR(INDEX(Templates!$J$3:$J$10,MATCH($U166,Templates!$A$3:$A$10,0)),""))</f>
        <v/>
      </c>
      <c r="Y166" s="35">
        <f>IF(OR($U166="",$I166="",$J166="",$X166=""),"",$I166+$X166*($J166-$I166))</f>
        <v/>
      </c>
      <c r="Z166" s="30" t="n">
        <v>46212</v>
      </c>
      <c r="AA166" s="40" t="n"/>
      <c r="AB166" s="41" t="n"/>
      <c r="AC166" s="41" t="n"/>
      <c r="AD166" s="19">
        <f>IF($A166="","",IF($AA166="",$H166,$AA166))</f>
        <v/>
      </c>
      <c r="AE166" s="35">
        <f>IF($A166="","",IF($AB166="",$I166,$AB166))</f>
        <v/>
      </c>
      <c r="AF166" s="35">
        <f>IF($A166="","",IF($AC166="",$J166,$AC166))</f>
        <v/>
      </c>
      <c r="AG166" s="35">
        <f>IF(OR($U166="",$AE166="",$AF166="",$X166=""),"",$AE166+$X166*($AF166-$AE166))</f>
        <v/>
      </c>
      <c r="AH166" s="38" t="n"/>
      <c r="AI166" s="38" t="n"/>
      <c r="AJ166" s="38" t="n"/>
      <c r="AK166" s="38" t="n"/>
      <c r="AL166" s="38" t="n"/>
      <c r="AM166" s="38" t="n"/>
      <c r="AN166" s="38" t="n"/>
      <c r="AO166" s="38" t="n"/>
      <c r="AP166" s="38" t="n"/>
      <c r="AQ166" s="38" t="n"/>
      <c r="AR166" s="38" t="n"/>
      <c r="AS166" s="38" t="n"/>
      <c r="AT166" s="38" t="n"/>
      <c r="AU166" s="38" t="n"/>
      <c r="AV166" s="38" t="n"/>
      <c r="AW166" s="38" t="n"/>
      <c r="AX166" s="38" t="n"/>
      <c r="AY166" s="42" t="n"/>
      <c r="AZ166" s="42" t="n"/>
      <c r="BA166" s="42" t="n"/>
      <c r="BB166" s="42" t="n"/>
      <c r="BC166" s="42" t="n"/>
      <c r="BD166" s="37">
        <f>IF($A166="","",SUM($AY166:$BC166))</f>
        <v/>
      </c>
      <c r="BE166" s="18">
        <f>IF($A166="","",IF(AND($I166&lt;&gt;"",$J166&lt;&gt;""),MAX(1,($J166-$I166)/7),Templates!$B$35))</f>
        <v/>
      </c>
      <c r="BF166" s="18">
        <f>IF($A166="","",IF(AND($I166&lt;&gt;"",$J166&lt;&gt;""),MAX(1,($J166-$I166)/7),Templates!$B$36))</f>
        <v/>
      </c>
      <c r="BG166" s="18">
        <f>IF($A166="","",IF(AND($I166&lt;&gt;"",$J166&lt;&gt;""),MAX(1,($J166-$I166)/7),Templates!$B$37))</f>
        <v/>
      </c>
      <c r="BH166" s="18">
        <f>IF($A166="","",IF(AND($I166&lt;&gt;"",$J166&lt;&gt;""),MAX(1,($J166-$I166)/7),Templates!$B$38))</f>
        <v/>
      </c>
      <c r="BI166" s="18">
        <f>IF($A166="","",IF(AND($I166&lt;&gt;"",$J166&lt;&gt;""),MAX(1,($J166-$I166)/7),Templates!$B$39))</f>
        <v/>
      </c>
      <c r="BJ166" s="18">
        <f>IF(OR($A166="",$BD166=0),0,($AY166*Templates!$B$27/$BE166+$AZ166*Templates!$B$28/$BF166+$BA166*Templates!$B$29/$BG166+$BB166*Templates!$B$30/$BH166+$BC166*Templates!$B$31/$BI166)/Templates!$B$17)</f>
        <v/>
      </c>
      <c r="BK166" s="18">
        <f>IF(OR($A166="",$BD166=0),0,($AY166*Templates!$C$27/$BE166+$AZ166*Templates!$C$28/$BF166+$BA166*Templates!$C$29/$BG166+$BB166*Templates!$C$30/$BH166+$BC166*Templates!$C$31/$BI166)/Templates!$B$18)</f>
        <v/>
      </c>
      <c r="BL166" s="18">
        <f>IF(OR($A166="",$BD166=0),0,($AY166*Templates!$D$27/$BE166+$AZ166*Templates!$D$28/$BF166+$BA166*Templates!$D$29/$BG166+$BB166*Templates!$D$30/$BH166+$BC166*Templates!$D$31/$BI166)/Templates!$B$19)</f>
        <v/>
      </c>
      <c r="BM166" s="18">
        <f>IF(OR($A166="",$BD166=0),0,($AY166*Templates!$E$27/$BE166+$AZ166*Templates!$E$28/$BF166+$BA166*Templates!$E$29/$BG166+$BB166*Templates!$E$30/$BH166+$BC166*Templates!$E$31/$BI166)/Templates!$B$20)</f>
        <v/>
      </c>
      <c r="BN166" s="18">
        <f>IF(OR($A166="",$BD166=0),0,($AY166*Templates!$F$27/$BE166+$AZ166*Templates!$F$28/$BF166+$BA166*Templates!$F$29/$BG166+$BB166*Templates!$F$30/$BH166+$BC166*Templates!$F$31/$BI166)/Templates!$B$21)</f>
        <v/>
      </c>
      <c r="BO166" s="18">
        <f>IF(OR($A166="",$BD166=0),0,($AY166*Templates!$G$27/$BE166+$AZ166*Templates!$G$28/$BF166+$BA166*Templates!$G$29/$BG166+$BB166*Templates!$G$30/$BH166+$BC166*Templates!$G$31/$BI166)/Templates!$B$22)</f>
        <v/>
      </c>
      <c r="BP166" s="18">
        <f>IF(OR($A166="",$BD166=0),0,($AY166*Templates!$H$27/$BE166+$AZ166*Templates!$H$28/$BF166+$BA166*Templates!$H$29/$BG166+$BB166*Templates!$H$30/$BH166+$BC166*Templates!$H$31/$BI166)/Templates!$B$23)</f>
        <v/>
      </c>
    </row>
    <row r="167">
      <c r="A167" s="28" t="inlineStr">
        <is>
          <t>Soltra_1</t>
        </is>
      </c>
      <c r="B167" s="20" t="inlineStr">
        <is>
          <t>Fengate</t>
        </is>
      </c>
      <c r="C167" s="28" t="inlineStr">
        <is>
          <t>Fengate</t>
        </is>
      </c>
      <c r="D167" s="28" t="inlineStr"/>
      <c r="E167" s="28" t="inlineStr">
        <is>
          <t>No</t>
        </is>
      </c>
      <c r="F167" s="28" t="inlineStr">
        <is>
          <t>Active</t>
        </is>
      </c>
      <c r="G167" s="38" t="n"/>
      <c r="H167" s="29" t="n">
        <v>1</v>
      </c>
      <c r="I167" s="39" t="n"/>
      <c r="J167" s="39" t="n"/>
      <c r="K167" s="31" t="n"/>
      <c r="L167" s="31" t="n"/>
      <c r="M167" s="31" t="n"/>
      <c r="N167" s="31" t="n"/>
      <c r="O167" s="31" t="n"/>
      <c r="P167" s="31" t="n"/>
      <c r="Q167" s="23">
        <f>IF($A167="","",COUNTIFS(Assignments!$C$2:$C$769,$A167,Assignments!$G$2:$G$769,"Active"))</f>
        <v/>
      </c>
      <c r="R167" s="32">
        <f>IF($A167="","",SUMIFS(Assignments!$I$2:$I$769,Assignments!$C$2:$C$769,$A167,Assignments!$G$2:$G$769,"Active"))</f>
        <v/>
      </c>
      <c r="S167" s="20" t="inlineStr">
        <is>
          <t>WIP</t>
        </is>
      </c>
      <c r="T167" s="31" t="n"/>
      <c r="U167" s="38" t="n"/>
      <c r="V167" s="34">
        <f>IF($U167="","",IFERROR(INDEX(Templates!$K$3:$K$10,MATCH($U167,Templates!$A$3:$A$10,0)),""))</f>
        <v/>
      </c>
      <c r="W167" s="34">
        <f>IF($U167="","",IFERROR(INDEX(Templates!$L$3:$L$10,MATCH($U167,Templates!$A$3:$A$10,0)),""))</f>
        <v/>
      </c>
      <c r="X167" s="21">
        <f>IF($U167="","",IFERROR(INDEX(Templates!$J$3:$J$10,MATCH($U167,Templates!$A$3:$A$10,0)),""))</f>
        <v/>
      </c>
      <c r="Y167" s="35">
        <f>IF(OR($U167="",$I167="",$J167="",$X167=""),"",$I167+$X167*($J167-$I167))</f>
        <v/>
      </c>
      <c r="Z167" s="30" t="n">
        <v>46212</v>
      </c>
      <c r="AA167" s="40" t="n"/>
      <c r="AB167" s="41" t="n"/>
      <c r="AC167" s="41" t="n"/>
      <c r="AD167" s="19">
        <f>IF($A167="","",IF($AA167="",$H167,$AA167))</f>
        <v/>
      </c>
      <c r="AE167" s="35">
        <f>IF($A167="","",IF($AB167="",$I167,$AB167))</f>
        <v/>
      </c>
      <c r="AF167" s="35">
        <f>IF($A167="","",IF($AC167="",$J167,$AC167))</f>
        <v/>
      </c>
      <c r="AG167" s="35">
        <f>IF(OR($U167="",$AE167="",$AF167="",$X167=""),"",$AE167+$X167*($AF167-$AE167))</f>
        <v/>
      </c>
      <c r="AH167" s="38" t="n"/>
      <c r="AI167" s="38" t="n"/>
      <c r="AJ167" s="38" t="n"/>
      <c r="AK167" s="38" t="n"/>
      <c r="AL167" s="38" t="n"/>
      <c r="AM167" s="38" t="n"/>
      <c r="AN167" s="38" t="n"/>
      <c r="AO167" s="38" t="n"/>
      <c r="AP167" s="38" t="n"/>
      <c r="AQ167" s="38" t="n"/>
      <c r="AR167" s="38" t="n"/>
      <c r="AS167" s="38" t="n"/>
      <c r="AT167" s="38" t="n"/>
      <c r="AU167" s="38" t="n"/>
      <c r="AV167" s="38" t="n"/>
      <c r="AW167" s="38" t="n"/>
      <c r="AX167" s="38" t="n"/>
      <c r="AY167" s="42" t="n"/>
      <c r="AZ167" s="42" t="n"/>
      <c r="BA167" s="42" t="n"/>
      <c r="BB167" s="42" t="n"/>
      <c r="BC167" s="42" t="n"/>
      <c r="BD167" s="37">
        <f>IF($A167="","",SUM($AY167:$BC167))</f>
        <v/>
      </c>
      <c r="BE167" s="18">
        <f>IF($A167="","",IF(AND($I167&lt;&gt;"",$J167&lt;&gt;""),MAX(1,($J167-$I167)/7),Templates!$B$35))</f>
        <v/>
      </c>
      <c r="BF167" s="18">
        <f>IF($A167="","",IF(AND($I167&lt;&gt;"",$J167&lt;&gt;""),MAX(1,($J167-$I167)/7),Templates!$B$36))</f>
        <v/>
      </c>
      <c r="BG167" s="18">
        <f>IF($A167="","",IF(AND($I167&lt;&gt;"",$J167&lt;&gt;""),MAX(1,($J167-$I167)/7),Templates!$B$37))</f>
        <v/>
      </c>
      <c r="BH167" s="18">
        <f>IF($A167="","",IF(AND($I167&lt;&gt;"",$J167&lt;&gt;""),MAX(1,($J167-$I167)/7),Templates!$B$38))</f>
        <v/>
      </c>
      <c r="BI167" s="18">
        <f>IF($A167="","",IF(AND($I167&lt;&gt;"",$J167&lt;&gt;""),MAX(1,($J167-$I167)/7),Templates!$B$39))</f>
        <v/>
      </c>
      <c r="BJ167" s="18">
        <f>IF(OR($A167="",$BD167=0),0,($AY167*Templates!$B$27/$BE167+$AZ167*Templates!$B$28/$BF167+$BA167*Templates!$B$29/$BG167+$BB167*Templates!$B$30/$BH167+$BC167*Templates!$B$31/$BI167)/Templates!$B$17)</f>
        <v/>
      </c>
      <c r="BK167" s="18">
        <f>IF(OR($A167="",$BD167=0),0,($AY167*Templates!$C$27/$BE167+$AZ167*Templates!$C$28/$BF167+$BA167*Templates!$C$29/$BG167+$BB167*Templates!$C$30/$BH167+$BC167*Templates!$C$31/$BI167)/Templates!$B$18)</f>
        <v/>
      </c>
      <c r="BL167" s="18">
        <f>IF(OR($A167="",$BD167=0),0,($AY167*Templates!$D$27/$BE167+$AZ167*Templates!$D$28/$BF167+$BA167*Templates!$D$29/$BG167+$BB167*Templates!$D$30/$BH167+$BC167*Templates!$D$31/$BI167)/Templates!$B$19)</f>
        <v/>
      </c>
      <c r="BM167" s="18">
        <f>IF(OR($A167="",$BD167=0),0,($AY167*Templates!$E$27/$BE167+$AZ167*Templates!$E$28/$BF167+$BA167*Templates!$E$29/$BG167+$BB167*Templates!$E$30/$BH167+$BC167*Templates!$E$31/$BI167)/Templates!$B$20)</f>
        <v/>
      </c>
      <c r="BN167" s="18">
        <f>IF(OR($A167="",$BD167=0),0,($AY167*Templates!$F$27/$BE167+$AZ167*Templates!$F$28/$BF167+$BA167*Templates!$F$29/$BG167+$BB167*Templates!$F$30/$BH167+$BC167*Templates!$F$31/$BI167)/Templates!$B$21)</f>
        <v/>
      </c>
      <c r="BO167" s="18">
        <f>IF(OR($A167="",$BD167=0),0,($AY167*Templates!$G$27/$BE167+$AZ167*Templates!$G$28/$BF167+$BA167*Templates!$G$29/$BG167+$BB167*Templates!$G$30/$BH167+$BC167*Templates!$G$31/$BI167)/Templates!$B$22)</f>
        <v/>
      </c>
      <c r="BP167" s="18">
        <f>IF(OR($A167="",$BD167=0),0,($AY167*Templates!$H$27/$BE167+$AZ167*Templates!$H$28/$BF167+$BA167*Templates!$H$29/$BG167+$BB167*Templates!$H$30/$BH167+$BC167*Templates!$H$31/$BI167)/Templates!$B$23)</f>
        <v/>
      </c>
    </row>
    <row r="168">
      <c r="A168" s="28" t="inlineStr">
        <is>
          <t>Spark_1</t>
        </is>
      </c>
      <c r="B168" s="20" t="inlineStr">
        <is>
          <t>Broadwind, Inc.</t>
        </is>
      </c>
      <c r="C168" s="28" t="inlineStr">
        <is>
          <t>Broadwind, Inc.</t>
        </is>
      </c>
      <c r="D168" s="28" t="inlineStr"/>
      <c r="E168" s="28" t="inlineStr">
        <is>
          <t>No</t>
        </is>
      </c>
      <c r="F168" s="28" t="inlineStr">
        <is>
          <t>Active</t>
        </is>
      </c>
      <c r="G168" s="38" t="n"/>
      <c r="H168" s="29" t="n">
        <v>1</v>
      </c>
      <c r="I168" s="39" t="n"/>
      <c r="J168" s="39" t="n"/>
      <c r="K168" s="31" t="n"/>
      <c r="L168" s="31" t="n"/>
      <c r="M168" s="31" t="n"/>
      <c r="N168" s="31" t="n"/>
      <c r="O168" s="31" t="n"/>
      <c r="P168" s="31" t="n"/>
      <c r="Q168" s="23">
        <f>IF($A168="","",COUNTIFS(Assignments!$C$2:$C$769,$A168,Assignments!$G$2:$G$769,"Active"))</f>
        <v/>
      </c>
      <c r="R168" s="32">
        <f>IF($A168="","",SUMIFS(Assignments!$I$2:$I$769,Assignments!$C$2:$C$769,$A168,Assignments!$G$2:$G$769,"Active"))</f>
        <v/>
      </c>
      <c r="S168" s="20" t="inlineStr">
        <is>
          <t>WIP</t>
        </is>
      </c>
      <c r="T168" s="31" t="n"/>
      <c r="U168" s="38" t="n"/>
      <c r="V168" s="34">
        <f>IF($U168="","",IFERROR(INDEX(Templates!$K$3:$K$10,MATCH($U168,Templates!$A$3:$A$10,0)),""))</f>
        <v/>
      </c>
      <c r="W168" s="34">
        <f>IF($U168="","",IFERROR(INDEX(Templates!$L$3:$L$10,MATCH($U168,Templates!$A$3:$A$10,0)),""))</f>
        <v/>
      </c>
      <c r="X168" s="21">
        <f>IF($U168="","",IFERROR(INDEX(Templates!$J$3:$J$10,MATCH($U168,Templates!$A$3:$A$10,0)),""))</f>
        <v/>
      </c>
      <c r="Y168" s="35">
        <f>IF(OR($U168="",$I168="",$J168="",$X168=""),"",$I168+$X168*($J168-$I168))</f>
        <v/>
      </c>
      <c r="Z168" s="30" t="n">
        <v>46212</v>
      </c>
      <c r="AA168" s="40" t="n"/>
      <c r="AB168" s="41" t="n"/>
      <c r="AC168" s="41" t="n"/>
      <c r="AD168" s="19">
        <f>IF($A168="","",IF($AA168="",$H168,$AA168))</f>
        <v/>
      </c>
      <c r="AE168" s="35">
        <f>IF($A168="","",IF($AB168="",$I168,$AB168))</f>
        <v/>
      </c>
      <c r="AF168" s="35">
        <f>IF($A168="","",IF($AC168="",$J168,$AC168))</f>
        <v/>
      </c>
      <c r="AG168" s="35">
        <f>IF(OR($U168="",$AE168="",$AF168="",$X168=""),"",$AE168+$X168*($AF168-$AE168))</f>
        <v/>
      </c>
      <c r="AH168" s="38" t="n"/>
      <c r="AI168" s="38" t="n"/>
      <c r="AJ168" s="38" t="n"/>
      <c r="AK168" s="38" t="n"/>
      <c r="AL168" s="38" t="n"/>
      <c r="AM168" s="38" t="n"/>
      <c r="AN168" s="38" t="n"/>
      <c r="AO168" s="38" t="n"/>
      <c r="AP168" s="38" t="n"/>
      <c r="AQ168" s="38" t="n"/>
      <c r="AR168" s="38" t="n"/>
      <c r="AS168" s="38" t="n"/>
      <c r="AT168" s="38" t="n"/>
      <c r="AU168" s="38" t="n"/>
      <c r="AV168" s="38" t="n"/>
      <c r="AW168" s="38" t="n"/>
      <c r="AX168" s="38" t="n"/>
      <c r="AY168" s="42" t="n"/>
      <c r="AZ168" s="42" t="n"/>
      <c r="BA168" s="42" t="n"/>
      <c r="BB168" s="42" t="n"/>
      <c r="BC168" s="42" t="n"/>
      <c r="BD168" s="37">
        <f>IF($A168="","",SUM($AY168:$BC168))</f>
        <v/>
      </c>
      <c r="BE168" s="18">
        <f>IF($A168="","",IF(AND($I168&lt;&gt;"",$J168&lt;&gt;""),MAX(1,($J168-$I168)/7),Templates!$B$35))</f>
        <v/>
      </c>
      <c r="BF168" s="18">
        <f>IF($A168="","",IF(AND($I168&lt;&gt;"",$J168&lt;&gt;""),MAX(1,($J168-$I168)/7),Templates!$B$36))</f>
        <v/>
      </c>
      <c r="BG168" s="18">
        <f>IF($A168="","",IF(AND($I168&lt;&gt;"",$J168&lt;&gt;""),MAX(1,($J168-$I168)/7),Templates!$B$37))</f>
        <v/>
      </c>
      <c r="BH168" s="18">
        <f>IF($A168="","",IF(AND($I168&lt;&gt;"",$J168&lt;&gt;""),MAX(1,($J168-$I168)/7),Templates!$B$38))</f>
        <v/>
      </c>
      <c r="BI168" s="18">
        <f>IF($A168="","",IF(AND($I168&lt;&gt;"",$J168&lt;&gt;""),MAX(1,($J168-$I168)/7),Templates!$B$39))</f>
        <v/>
      </c>
      <c r="BJ168" s="18">
        <f>IF(OR($A168="",$BD168=0),0,($AY168*Templates!$B$27/$BE168+$AZ168*Templates!$B$28/$BF168+$BA168*Templates!$B$29/$BG168+$BB168*Templates!$B$30/$BH168+$BC168*Templates!$B$31/$BI168)/Templates!$B$17)</f>
        <v/>
      </c>
      <c r="BK168" s="18">
        <f>IF(OR($A168="",$BD168=0),0,($AY168*Templates!$C$27/$BE168+$AZ168*Templates!$C$28/$BF168+$BA168*Templates!$C$29/$BG168+$BB168*Templates!$C$30/$BH168+$BC168*Templates!$C$31/$BI168)/Templates!$B$18)</f>
        <v/>
      </c>
      <c r="BL168" s="18">
        <f>IF(OR($A168="",$BD168=0),0,($AY168*Templates!$D$27/$BE168+$AZ168*Templates!$D$28/$BF168+$BA168*Templates!$D$29/$BG168+$BB168*Templates!$D$30/$BH168+$BC168*Templates!$D$31/$BI168)/Templates!$B$19)</f>
        <v/>
      </c>
      <c r="BM168" s="18">
        <f>IF(OR($A168="",$BD168=0),0,($AY168*Templates!$E$27/$BE168+$AZ168*Templates!$E$28/$BF168+$BA168*Templates!$E$29/$BG168+$BB168*Templates!$E$30/$BH168+$BC168*Templates!$E$31/$BI168)/Templates!$B$20)</f>
        <v/>
      </c>
      <c r="BN168" s="18">
        <f>IF(OR($A168="",$BD168=0),0,($AY168*Templates!$F$27/$BE168+$AZ168*Templates!$F$28/$BF168+$BA168*Templates!$F$29/$BG168+$BB168*Templates!$F$30/$BH168+$BC168*Templates!$F$31/$BI168)/Templates!$B$21)</f>
        <v/>
      </c>
      <c r="BO168" s="18">
        <f>IF(OR($A168="",$BD168=0),0,($AY168*Templates!$G$27/$BE168+$AZ168*Templates!$G$28/$BF168+$BA168*Templates!$G$29/$BG168+$BB168*Templates!$G$30/$BH168+$BC168*Templates!$G$31/$BI168)/Templates!$B$22)</f>
        <v/>
      </c>
      <c r="BP168" s="18">
        <f>IF(OR($A168="",$BD168=0),0,($AY168*Templates!$H$27/$BE168+$AZ168*Templates!$H$28/$BF168+$BA168*Templates!$H$29/$BG168+$BB168*Templates!$H$30/$BH168+$BC168*Templates!$H$31/$BI168)/Templates!$B$23)</f>
        <v/>
      </c>
    </row>
    <row r="169">
      <c r="A169" s="28" t="inlineStr">
        <is>
          <t>Spring_6</t>
        </is>
      </c>
      <c r="B169" s="20" t="inlineStr">
        <is>
          <t>Ethos Specialty Insurance Services</t>
        </is>
      </c>
      <c r="C169" s="28" t="inlineStr">
        <is>
          <t>Ethos Specialty Insurance Services</t>
        </is>
      </c>
      <c r="D169" s="28" t="inlineStr"/>
      <c r="E169" s="28" t="inlineStr">
        <is>
          <t>No</t>
        </is>
      </c>
      <c r="F169" s="28" t="inlineStr">
        <is>
          <t>Active</t>
        </is>
      </c>
      <c r="G169" s="38" t="n"/>
      <c r="H169" s="29" t="n">
        <v>1</v>
      </c>
      <c r="I169" s="39" t="n"/>
      <c r="J169" s="39" t="n"/>
      <c r="K169" s="31" t="n"/>
      <c r="L169" s="31" t="n"/>
      <c r="M169" s="31" t="n"/>
      <c r="N169" s="31" t="n"/>
      <c r="O169" s="31" t="n"/>
      <c r="P169" s="31" t="n"/>
      <c r="Q169" s="23">
        <f>IF($A169="","",COUNTIFS(Assignments!$C$2:$C$769,$A169,Assignments!$G$2:$G$769,"Active"))</f>
        <v/>
      </c>
      <c r="R169" s="32">
        <f>IF($A169="","",SUMIFS(Assignments!$I$2:$I$769,Assignments!$C$2:$C$769,$A169,Assignments!$G$2:$G$769,"Active"))</f>
        <v/>
      </c>
      <c r="S169" s="20" t="inlineStr">
        <is>
          <t>WIP</t>
        </is>
      </c>
      <c r="T169" s="31" t="n"/>
      <c r="U169" s="38" t="n"/>
      <c r="V169" s="34">
        <f>IF($U169="","",IFERROR(INDEX(Templates!$K$3:$K$10,MATCH($U169,Templates!$A$3:$A$10,0)),""))</f>
        <v/>
      </c>
      <c r="W169" s="34">
        <f>IF($U169="","",IFERROR(INDEX(Templates!$L$3:$L$10,MATCH($U169,Templates!$A$3:$A$10,0)),""))</f>
        <v/>
      </c>
      <c r="X169" s="21">
        <f>IF($U169="","",IFERROR(INDEX(Templates!$J$3:$J$10,MATCH($U169,Templates!$A$3:$A$10,0)),""))</f>
        <v/>
      </c>
      <c r="Y169" s="35">
        <f>IF(OR($U169="",$I169="",$J169="",$X169=""),"",$I169+$X169*($J169-$I169))</f>
        <v/>
      </c>
      <c r="Z169" s="30" t="n">
        <v>46212</v>
      </c>
      <c r="AA169" s="40" t="n"/>
      <c r="AB169" s="41" t="n"/>
      <c r="AC169" s="41" t="n"/>
      <c r="AD169" s="19">
        <f>IF($A169="","",IF($AA169="",$H169,$AA169))</f>
        <v/>
      </c>
      <c r="AE169" s="35">
        <f>IF($A169="","",IF($AB169="",$I169,$AB169))</f>
        <v/>
      </c>
      <c r="AF169" s="35">
        <f>IF($A169="","",IF($AC169="",$J169,$AC169))</f>
        <v/>
      </c>
      <c r="AG169" s="35">
        <f>IF(OR($U169="",$AE169="",$AF169="",$X169=""),"",$AE169+$X169*($AF169-$AE169))</f>
        <v/>
      </c>
      <c r="AH169" s="38" t="n"/>
      <c r="AI169" s="38" t="n"/>
      <c r="AJ169" s="38" t="n"/>
      <c r="AK169" s="38" t="n"/>
      <c r="AL169" s="38" t="n"/>
      <c r="AM169" s="38" t="n"/>
      <c r="AN169" s="38" t="n"/>
      <c r="AO169" s="38" t="n"/>
      <c r="AP169" s="38" t="n"/>
      <c r="AQ169" s="38" t="n"/>
      <c r="AR169" s="38" t="n"/>
      <c r="AS169" s="38" t="n"/>
      <c r="AT169" s="38" t="n"/>
      <c r="AU169" s="38" t="n"/>
      <c r="AV169" s="38" t="n"/>
      <c r="AW169" s="38" t="n"/>
      <c r="AX169" s="38" t="n"/>
      <c r="AY169" s="42" t="n"/>
      <c r="AZ169" s="42" t="n"/>
      <c r="BA169" s="42" t="n"/>
      <c r="BB169" s="42" t="n"/>
      <c r="BC169" s="42" t="n"/>
      <c r="BD169" s="37">
        <f>IF($A169="","",SUM($AY169:$BC169))</f>
        <v/>
      </c>
      <c r="BE169" s="18">
        <f>IF($A169="","",IF(AND($I169&lt;&gt;"",$J169&lt;&gt;""),MAX(1,($J169-$I169)/7),Templates!$B$35))</f>
        <v/>
      </c>
      <c r="BF169" s="18">
        <f>IF($A169="","",IF(AND($I169&lt;&gt;"",$J169&lt;&gt;""),MAX(1,($J169-$I169)/7),Templates!$B$36))</f>
        <v/>
      </c>
      <c r="BG169" s="18">
        <f>IF($A169="","",IF(AND($I169&lt;&gt;"",$J169&lt;&gt;""),MAX(1,($J169-$I169)/7),Templates!$B$37))</f>
        <v/>
      </c>
      <c r="BH169" s="18">
        <f>IF($A169="","",IF(AND($I169&lt;&gt;"",$J169&lt;&gt;""),MAX(1,($J169-$I169)/7),Templates!$B$38))</f>
        <v/>
      </c>
      <c r="BI169" s="18">
        <f>IF($A169="","",IF(AND($I169&lt;&gt;"",$J169&lt;&gt;""),MAX(1,($J169-$I169)/7),Templates!$B$39))</f>
        <v/>
      </c>
      <c r="BJ169" s="18">
        <f>IF(OR($A169="",$BD169=0),0,($AY169*Templates!$B$27/$BE169+$AZ169*Templates!$B$28/$BF169+$BA169*Templates!$B$29/$BG169+$BB169*Templates!$B$30/$BH169+$BC169*Templates!$B$31/$BI169)/Templates!$B$17)</f>
        <v/>
      </c>
      <c r="BK169" s="18">
        <f>IF(OR($A169="",$BD169=0),0,($AY169*Templates!$C$27/$BE169+$AZ169*Templates!$C$28/$BF169+$BA169*Templates!$C$29/$BG169+$BB169*Templates!$C$30/$BH169+$BC169*Templates!$C$31/$BI169)/Templates!$B$18)</f>
        <v/>
      </c>
      <c r="BL169" s="18">
        <f>IF(OR($A169="",$BD169=0),0,($AY169*Templates!$D$27/$BE169+$AZ169*Templates!$D$28/$BF169+$BA169*Templates!$D$29/$BG169+$BB169*Templates!$D$30/$BH169+$BC169*Templates!$D$31/$BI169)/Templates!$B$19)</f>
        <v/>
      </c>
      <c r="BM169" s="18">
        <f>IF(OR($A169="",$BD169=0),0,($AY169*Templates!$E$27/$BE169+$AZ169*Templates!$E$28/$BF169+$BA169*Templates!$E$29/$BG169+$BB169*Templates!$E$30/$BH169+$BC169*Templates!$E$31/$BI169)/Templates!$B$20)</f>
        <v/>
      </c>
      <c r="BN169" s="18">
        <f>IF(OR($A169="",$BD169=0),0,($AY169*Templates!$F$27/$BE169+$AZ169*Templates!$F$28/$BF169+$BA169*Templates!$F$29/$BG169+$BB169*Templates!$F$30/$BH169+$BC169*Templates!$F$31/$BI169)/Templates!$B$21)</f>
        <v/>
      </c>
      <c r="BO169" s="18">
        <f>IF(OR($A169="",$BD169=0),0,($AY169*Templates!$G$27/$BE169+$AZ169*Templates!$G$28/$BF169+$BA169*Templates!$G$29/$BG169+$BB169*Templates!$G$30/$BH169+$BC169*Templates!$G$31/$BI169)/Templates!$B$22)</f>
        <v/>
      </c>
      <c r="BP169" s="18">
        <f>IF(OR($A169="",$BD169=0),0,($AY169*Templates!$H$27/$BE169+$AZ169*Templates!$H$28/$BF169+$BA169*Templates!$H$29/$BG169+$BB169*Templates!$H$30/$BH169+$BC169*Templates!$H$31/$BI169)/Templates!$B$23)</f>
        <v/>
      </c>
    </row>
    <row r="170">
      <c r="A170" s="28" t="inlineStr">
        <is>
          <t>Starshade and Radar_1</t>
        </is>
      </c>
      <c r="B170" s="20" t="inlineStr">
        <is>
          <t>Ethos Specialty Insurance Services</t>
        </is>
      </c>
      <c r="C170" s="28" t="inlineStr">
        <is>
          <t>Ethos Specialty Insurance Services</t>
        </is>
      </c>
      <c r="D170" s="28" t="inlineStr"/>
      <c r="E170" s="28" t="inlineStr">
        <is>
          <t>No</t>
        </is>
      </c>
      <c r="F170" s="28" t="inlineStr">
        <is>
          <t>Active</t>
        </is>
      </c>
      <c r="G170" s="38" t="n"/>
      <c r="H170" s="29" t="n">
        <v>1</v>
      </c>
      <c r="I170" s="39" t="n"/>
      <c r="J170" s="39" t="n"/>
      <c r="K170" s="31" t="n"/>
      <c r="L170" s="31" t="n"/>
      <c r="M170" s="31" t="n"/>
      <c r="N170" s="31" t="n"/>
      <c r="O170" s="31" t="n"/>
      <c r="P170" s="31" t="n"/>
      <c r="Q170" s="23">
        <f>IF($A170="","",COUNTIFS(Assignments!$C$2:$C$769,$A170,Assignments!$G$2:$G$769,"Active"))</f>
        <v/>
      </c>
      <c r="R170" s="32">
        <f>IF($A170="","",SUMIFS(Assignments!$I$2:$I$769,Assignments!$C$2:$C$769,$A170,Assignments!$G$2:$G$769,"Active"))</f>
        <v/>
      </c>
      <c r="S170" s="20" t="inlineStr">
        <is>
          <t>WIP</t>
        </is>
      </c>
      <c r="T170" s="31" t="n"/>
      <c r="U170" s="38" t="n"/>
      <c r="V170" s="34">
        <f>IF($U170="","",IFERROR(INDEX(Templates!$K$3:$K$10,MATCH($U170,Templates!$A$3:$A$10,0)),""))</f>
        <v/>
      </c>
      <c r="W170" s="34">
        <f>IF($U170="","",IFERROR(INDEX(Templates!$L$3:$L$10,MATCH($U170,Templates!$A$3:$A$10,0)),""))</f>
        <v/>
      </c>
      <c r="X170" s="21">
        <f>IF($U170="","",IFERROR(INDEX(Templates!$J$3:$J$10,MATCH($U170,Templates!$A$3:$A$10,0)),""))</f>
        <v/>
      </c>
      <c r="Y170" s="35">
        <f>IF(OR($U170="",$I170="",$J170="",$X170=""),"",$I170+$X170*($J170-$I170))</f>
        <v/>
      </c>
      <c r="Z170" s="30" t="n">
        <v>46212</v>
      </c>
      <c r="AA170" s="40" t="n"/>
      <c r="AB170" s="41" t="n"/>
      <c r="AC170" s="41" t="n"/>
      <c r="AD170" s="19">
        <f>IF($A170="","",IF($AA170="",$H170,$AA170))</f>
        <v/>
      </c>
      <c r="AE170" s="35">
        <f>IF($A170="","",IF($AB170="",$I170,$AB170))</f>
        <v/>
      </c>
      <c r="AF170" s="35">
        <f>IF($A170="","",IF($AC170="",$J170,$AC170))</f>
        <v/>
      </c>
      <c r="AG170" s="35">
        <f>IF(OR($U170="",$AE170="",$AF170="",$X170=""),"",$AE170+$X170*($AF170-$AE170))</f>
        <v/>
      </c>
      <c r="AH170" s="38" t="n"/>
      <c r="AI170" s="38" t="n"/>
      <c r="AJ170" s="38" t="n"/>
      <c r="AK170" s="38" t="n"/>
      <c r="AL170" s="38" t="n"/>
      <c r="AM170" s="38" t="n"/>
      <c r="AN170" s="38" t="n"/>
      <c r="AO170" s="38" t="n"/>
      <c r="AP170" s="38" t="n"/>
      <c r="AQ170" s="38" t="n"/>
      <c r="AR170" s="38" t="n"/>
      <c r="AS170" s="38" t="n"/>
      <c r="AT170" s="38" t="n"/>
      <c r="AU170" s="38" t="n"/>
      <c r="AV170" s="38" t="n"/>
      <c r="AW170" s="38" t="n"/>
      <c r="AX170" s="38" t="n"/>
      <c r="AY170" s="42" t="n"/>
      <c r="AZ170" s="42" t="n"/>
      <c r="BA170" s="42" t="n"/>
      <c r="BB170" s="42" t="n"/>
      <c r="BC170" s="42" t="n"/>
      <c r="BD170" s="37">
        <f>IF($A170="","",SUM($AY170:$BC170))</f>
        <v/>
      </c>
      <c r="BE170" s="18">
        <f>IF($A170="","",IF(AND($I170&lt;&gt;"",$J170&lt;&gt;""),MAX(1,($J170-$I170)/7),Templates!$B$35))</f>
        <v/>
      </c>
      <c r="BF170" s="18">
        <f>IF($A170="","",IF(AND($I170&lt;&gt;"",$J170&lt;&gt;""),MAX(1,($J170-$I170)/7),Templates!$B$36))</f>
        <v/>
      </c>
      <c r="BG170" s="18">
        <f>IF($A170="","",IF(AND($I170&lt;&gt;"",$J170&lt;&gt;""),MAX(1,($J170-$I170)/7),Templates!$B$37))</f>
        <v/>
      </c>
      <c r="BH170" s="18">
        <f>IF($A170="","",IF(AND($I170&lt;&gt;"",$J170&lt;&gt;""),MAX(1,($J170-$I170)/7),Templates!$B$38))</f>
        <v/>
      </c>
      <c r="BI170" s="18">
        <f>IF($A170="","",IF(AND($I170&lt;&gt;"",$J170&lt;&gt;""),MAX(1,($J170-$I170)/7),Templates!$B$39))</f>
        <v/>
      </c>
      <c r="BJ170" s="18">
        <f>IF(OR($A170="",$BD170=0),0,($AY170*Templates!$B$27/$BE170+$AZ170*Templates!$B$28/$BF170+$BA170*Templates!$B$29/$BG170+$BB170*Templates!$B$30/$BH170+$BC170*Templates!$B$31/$BI170)/Templates!$B$17)</f>
        <v/>
      </c>
      <c r="BK170" s="18">
        <f>IF(OR($A170="",$BD170=0),0,($AY170*Templates!$C$27/$BE170+$AZ170*Templates!$C$28/$BF170+$BA170*Templates!$C$29/$BG170+$BB170*Templates!$C$30/$BH170+$BC170*Templates!$C$31/$BI170)/Templates!$B$18)</f>
        <v/>
      </c>
      <c r="BL170" s="18">
        <f>IF(OR($A170="",$BD170=0),0,($AY170*Templates!$D$27/$BE170+$AZ170*Templates!$D$28/$BF170+$BA170*Templates!$D$29/$BG170+$BB170*Templates!$D$30/$BH170+$BC170*Templates!$D$31/$BI170)/Templates!$B$19)</f>
        <v/>
      </c>
      <c r="BM170" s="18">
        <f>IF(OR($A170="",$BD170=0),0,($AY170*Templates!$E$27/$BE170+$AZ170*Templates!$E$28/$BF170+$BA170*Templates!$E$29/$BG170+$BB170*Templates!$E$30/$BH170+$BC170*Templates!$E$31/$BI170)/Templates!$B$20)</f>
        <v/>
      </c>
      <c r="BN170" s="18">
        <f>IF(OR($A170="",$BD170=0),0,($AY170*Templates!$F$27/$BE170+$AZ170*Templates!$F$28/$BF170+$BA170*Templates!$F$29/$BG170+$BB170*Templates!$F$30/$BH170+$BC170*Templates!$F$31/$BI170)/Templates!$B$21)</f>
        <v/>
      </c>
      <c r="BO170" s="18">
        <f>IF(OR($A170="",$BD170=0),0,($AY170*Templates!$G$27/$BE170+$AZ170*Templates!$G$28/$BF170+$BA170*Templates!$G$29/$BG170+$BB170*Templates!$G$30/$BH170+$BC170*Templates!$G$31/$BI170)/Templates!$B$22)</f>
        <v/>
      </c>
      <c r="BP170" s="18">
        <f>IF(OR($A170="",$BD170=0),0,($AY170*Templates!$H$27/$BE170+$AZ170*Templates!$H$28/$BF170+$BA170*Templates!$H$29/$BG170+$BB170*Templates!$H$30/$BH170+$BC170*Templates!$H$31/$BI170)/Templates!$B$23)</f>
        <v/>
      </c>
    </row>
    <row r="171">
      <c r="A171" s="28" t="inlineStr">
        <is>
          <t>Steam_2</t>
        </is>
      </c>
      <c r="B171" s="20" t="inlineStr">
        <is>
          <t>Fengate</t>
        </is>
      </c>
      <c r="C171" s="28" t="inlineStr">
        <is>
          <t>Fengate</t>
        </is>
      </c>
      <c r="D171" s="28" t="inlineStr"/>
      <c r="E171" s="28" t="inlineStr">
        <is>
          <t>No</t>
        </is>
      </c>
      <c r="F171" s="28" t="inlineStr">
        <is>
          <t>Active</t>
        </is>
      </c>
      <c r="G171" s="38" t="n"/>
      <c r="H171" s="29" t="n">
        <v>1</v>
      </c>
      <c r="I171" s="39" t="n"/>
      <c r="J171" s="39" t="n"/>
      <c r="K171" s="31" t="n"/>
      <c r="L171" s="31" t="n"/>
      <c r="M171" s="31" t="n"/>
      <c r="N171" s="31" t="n"/>
      <c r="O171" s="31" t="n"/>
      <c r="P171" s="31" t="n"/>
      <c r="Q171" s="23">
        <f>IF($A171="","",COUNTIFS(Assignments!$C$2:$C$769,$A171,Assignments!$G$2:$G$769,"Active"))</f>
        <v/>
      </c>
      <c r="R171" s="32">
        <f>IF($A171="","",SUMIFS(Assignments!$I$2:$I$769,Assignments!$C$2:$C$769,$A171,Assignments!$G$2:$G$769,"Active"))</f>
        <v/>
      </c>
      <c r="S171" s="20" t="inlineStr">
        <is>
          <t>WIP</t>
        </is>
      </c>
      <c r="T171" s="31" t="n"/>
      <c r="U171" s="38" t="n"/>
      <c r="V171" s="34">
        <f>IF($U171="","",IFERROR(INDEX(Templates!$K$3:$K$10,MATCH($U171,Templates!$A$3:$A$10,0)),""))</f>
        <v/>
      </c>
      <c r="W171" s="34">
        <f>IF($U171="","",IFERROR(INDEX(Templates!$L$3:$L$10,MATCH($U171,Templates!$A$3:$A$10,0)),""))</f>
        <v/>
      </c>
      <c r="X171" s="21">
        <f>IF($U171="","",IFERROR(INDEX(Templates!$J$3:$J$10,MATCH($U171,Templates!$A$3:$A$10,0)),""))</f>
        <v/>
      </c>
      <c r="Y171" s="35">
        <f>IF(OR($U171="",$I171="",$J171="",$X171=""),"",$I171+$X171*($J171-$I171))</f>
        <v/>
      </c>
      <c r="Z171" s="30" t="n">
        <v>46212</v>
      </c>
      <c r="AA171" s="40" t="n"/>
      <c r="AB171" s="41" t="n"/>
      <c r="AC171" s="41" t="n"/>
      <c r="AD171" s="19">
        <f>IF($A171="","",IF($AA171="",$H171,$AA171))</f>
        <v/>
      </c>
      <c r="AE171" s="35">
        <f>IF($A171="","",IF($AB171="",$I171,$AB171))</f>
        <v/>
      </c>
      <c r="AF171" s="35">
        <f>IF($A171="","",IF($AC171="",$J171,$AC171))</f>
        <v/>
      </c>
      <c r="AG171" s="35">
        <f>IF(OR($U171="",$AE171="",$AF171="",$X171=""),"",$AE171+$X171*($AF171-$AE171))</f>
        <v/>
      </c>
      <c r="AH171" s="38" t="n"/>
      <c r="AI171" s="38" t="n"/>
      <c r="AJ171" s="38" t="n"/>
      <c r="AK171" s="38" t="n"/>
      <c r="AL171" s="38" t="n"/>
      <c r="AM171" s="38" t="n"/>
      <c r="AN171" s="38" t="n"/>
      <c r="AO171" s="38" t="n"/>
      <c r="AP171" s="38" t="n"/>
      <c r="AQ171" s="38" t="n"/>
      <c r="AR171" s="38" t="n"/>
      <c r="AS171" s="38" t="n"/>
      <c r="AT171" s="38" t="n"/>
      <c r="AU171" s="38" t="n"/>
      <c r="AV171" s="38" t="n"/>
      <c r="AW171" s="38" t="n"/>
      <c r="AX171" s="38" t="n"/>
      <c r="AY171" s="42" t="n"/>
      <c r="AZ171" s="42" t="n"/>
      <c r="BA171" s="42" t="n"/>
      <c r="BB171" s="42" t="n"/>
      <c r="BC171" s="42" t="n"/>
      <c r="BD171" s="37">
        <f>IF($A171="","",SUM($AY171:$BC171))</f>
        <v/>
      </c>
      <c r="BE171" s="18">
        <f>IF($A171="","",IF(AND($I171&lt;&gt;"",$J171&lt;&gt;""),MAX(1,($J171-$I171)/7),Templates!$B$35))</f>
        <v/>
      </c>
      <c r="BF171" s="18">
        <f>IF($A171="","",IF(AND($I171&lt;&gt;"",$J171&lt;&gt;""),MAX(1,($J171-$I171)/7),Templates!$B$36))</f>
        <v/>
      </c>
      <c r="BG171" s="18">
        <f>IF($A171="","",IF(AND($I171&lt;&gt;"",$J171&lt;&gt;""),MAX(1,($J171-$I171)/7),Templates!$B$37))</f>
        <v/>
      </c>
      <c r="BH171" s="18">
        <f>IF($A171="","",IF(AND($I171&lt;&gt;"",$J171&lt;&gt;""),MAX(1,($J171-$I171)/7),Templates!$B$38))</f>
        <v/>
      </c>
      <c r="BI171" s="18">
        <f>IF($A171="","",IF(AND($I171&lt;&gt;"",$J171&lt;&gt;""),MAX(1,($J171-$I171)/7),Templates!$B$39))</f>
        <v/>
      </c>
      <c r="BJ171" s="18">
        <f>IF(OR($A171="",$BD171=0),0,($AY171*Templates!$B$27/$BE171+$AZ171*Templates!$B$28/$BF171+$BA171*Templates!$B$29/$BG171+$BB171*Templates!$B$30/$BH171+$BC171*Templates!$B$31/$BI171)/Templates!$B$17)</f>
        <v/>
      </c>
      <c r="BK171" s="18">
        <f>IF(OR($A171="",$BD171=0),0,($AY171*Templates!$C$27/$BE171+$AZ171*Templates!$C$28/$BF171+$BA171*Templates!$C$29/$BG171+$BB171*Templates!$C$30/$BH171+$BC171*Templates!$C$31/$BI171)/Templates!$B$18)</f>
        <v/>
      </c>
      <c r="BL171" s="18">
        <f>IF(OR($A171="",$BD171=0),0,($AY171*Templates!$D$27/$BE171+$AZ171*Templates!$D$28/$BF171+$BA171*Templates!$D$29/$BG171+$BB171*Templates!$D$30/$BH171+$BC171*Templates!$D$31/$BI171)/Templates!$B$19)</f>
        <v/>
      </c>
      <c r="BM171" s="18">
        <f>IF(OR($A171="",$BD171=0),0,($AY171*Templates!$E$27/$BE171+$AZ171*Templates!$E$28/$BF171+$BA171*Templates!$E$29/$BG171+$BB171*Templates!$E$30/$BH171+$BC171*Templates!$E$31/$BI171)/Templates!$B$20)</f>
        <v/>
      </c>
      <c r="BN171" s="18">
        <f>IF(OR($A171="",$BD171=0),0,($AY171*Templates!$F$27/$BE171+$AZ171*Templates!$F$28/$BF171+$BA171*Templates!$F$29/$BG171+$BB171*Templates!$F$30/$BH171+$BC171*Templates!$F$31/$BI171)/Templates!$B$21)</f>
        <v/>
      </c>
      <c r="BO171" s="18">
        <f>IF(OR($A171="",$BD171=0),0,($AY171*Templates!$G$27/$BE171+$AZ171*Templates!$G$28/$BF171+$BA171*Templates!$G$29/$BG171+$BB171*Templates!$G$30/$BH171+$BC171*Templates!$G$31/$BI171)/Templates!$B$22)</f>
        <v/>
      </c>
      <c r="BP171" s="18">
        <f>IF(OR($A171="",$BD171=0),0,($AY171*Templates!$H$27/$BE171+$AZ171*Templates!$H$28/$BF171+$BA171*Templates!$H$29/$BG171+$BB171*Templates!$H$30/$BH171+$BC171*Templates!$H$31/$BI171)/Templates!$B$23)</f>
        <v/>
      </c>
    </row>
    <row r="172">
      <c r="A172" s="28" t="inlineStr">
        <is>
          <t>Sun Pond_1</t>
        </is>
      </c>
      <c r="B172" s="20" t="inlineStr">
        <is>
          <t>Euclid Transactional</t>
        </is>
      </c>
      <c r="C172" s="28" t="inlineStr">
        <is>
          <t>Euclid Transactional</t>
        </is>
      </c>
      <c r="D172" s="28" t="inlineStr"/>
      <c r="E172" s="28" t="inlineStr">
        <is>
          <t>No</t>
        </is>
      </c>
      <c r="F172" s="28" t="inlineStr">
        <is>
          <t>Active</t>
        </is>
      </c>
      <c r="G172" s="38" t="n"/>
      <c r="H172" s="29" t="n">
        <v>1</v>
      </c>
      <c r="I172" s="39" t="n"/>
      <c r="J172" s="39" t="n"/>
      <c r="K172" s="31" t="n"/>
      <c r="L172" s="31" t="n"/>
      <c r="M172" s="31" t="n"/>
      <c r="N172" s="31" t="n"/>
      <c r="O172" s="31" t="n"/>
      <c r="P172" s="31" t="n"/>
      <c r="Q172" s="23">
        <f>IF($A172="","",COUNTIFS(Assignments!$C$2:$C$769,$A172,Assignments!$G$2:$G$769,"Active"))</f>
        <v/>
      </c>
      <c r="R172" s="32">
        <f>IF($A172="","",SUMIFS(Assignments!$I$2:$I$769,Assignments!$C$2:$C$769,$A172,Assignments!$G$2:$G$769,"Active"))</f>
        <v/>
      </c>
      <c r="S172" s="20" t="inlineStr">
        <is>
          <t>WIP</t>
        </is>
      </c>
      <c r="T172" s="31" t="n"/>
      <c r="U172" s="38" t="n"/>
      <c r="V172" s="34">
        <f>IF($U172="","",IFERROR(INDEX(Templates!$K$3:$K$10,MATCH($U172,Templates!$A$3:$A$10,0)),""))</f>
        <v/>
      </c>
      <c r="W172" s="34">
        <f>IF($U172="","",IFERROR(INDEX(Templates!$L$3:$L$10,MATCH($U172,Templates!$A$3:$A$10,0)),""))</f>
        <v/>
      </c>
      <c r="X172" s="21">
        <f>IF($U172="","",IFERROR(INDEX(Templates!$J$3:$J$10,MATCH($U172,Templates!$A$3:$A$10,0)),""))</f>
        <v/>
      </c>
      <c r="Y172" s="35">
        <f>IF(OR($U172="",$I172="",$J172="",$X172=""),"",$I172+$X172*($J172-$I172))</f>
        <v/>
      </c>
      <c r="Z172" s="30" t="n">
        <v>46212</v>
      </c>
      <c r="AA172" s="40" t="n"/>
      <c r="AB172" s="41" t="n"/>
      <c r="AC172" s="41" t="n"/>
      <c r="AD172" s="19">
        <f>IF($A172="","",IF($AA172="",$H172,$AA172))</f>
        <v/>
      </c>
      <c r="AE172" s="35">
        <f>IF($A172="","",IF($AB172="",$I172,$AB172))</f>
        <v/>
      </c>
      <c r="AF172" s="35">
        <f>IF($A172="","",IF($AC172="",$J172,$AC172))</f>
        <v/>
      </c>
      <c r="AG172" s="35">
        <f>IF(OR($U172="",$AE172="",$AF172="",$X172=""),"",$AE172+$X172*($AF172-$AE172))</f>
        <v/>
      </c>
      <c r="AH172" s="38" t="n"/>
      <c r="AI172" s="38" t="n"/>
      <c r="AJ172" s="38" t="n"/>
      <c r="AK172" s="38" t="n"/>
      <c r="AL172" s="38" t="n"/>
      <c r="AM172" s="38" t="n"/>
      <c r="AN172" s="38" t="n"/>
      <c r="AO172" s="38" t="n"/>
      <c r="AP172" s="38" t="n"/>
      <c r="AQ172" s="38" t="n"/>
      <c r="AR172" s="38" t="n"/>
      <c r="AS172" s="38" t="n"/>
      <c r="AT172" s="38" t="n"/>
      <c r="AU172" s="38" t="n"/>
      <c r="AV172" s="38" t="n"/>
      <c r="AW172" s="38" t="n"/>
      <c r="AX172" s="38" t="n"/>
      <c r="AY172" s="42" t="n"/>
      <c r="AZ172" s="42" t="n"/>
      <c r="BA172" s="42" t="n"/>
      <c r="BB172" s="42" t="n"/>
      <c r="BC172" s="42" t="n"/>
      <c r="BD172" s="37">
        <f>IF($A172="","",SUM($AY172:$BC172))</f>
        <v/>
      </c>
      <c r="BE172" s="18">
        <f>IF($A172="","",IF(AND($I172&lt;&gt;"",$J172&lt;&gt;""),MAX(1,($J172-$I172)/7),Templates!$B$35))</f>
        <v/>
      </c>
      <c r="BF172" s="18">
        <f>IF($A172="","",IF(AND($I172&lt;&gt;"",$J172&lt;&gt;""),MAX(1,($J172-$I172)/7),Templates!$B$36))</f>
        <v/>
      </c>
      <c r="BG172" s="18">
        <f>IF($A172="","",IF(AND($I172&lt;&gt;"",$J172&lt;&gt;""),MAX(1,($J172-$I172)/7),Templates!$B$37))</f>
        <v/>
      </c>
      <c r="BH172" s="18">
        <f>IF($A172="","",IF(AND($I172&lt;&gt;"",$J172&lt;&gt;""),MAX(1,($J172-$I172)/7),Templates!$B$38))</f>
        <v/>
      </c>
      <c r="BI172" s="18">
        <f>IF($A172="","",IF(AND($I172&lt;&gt;"",$J172&lt;&gt;""),MAX(1,($J172-$I172)/7),Templates!$B$39))</f>
        <v/>
      </c>
      <c r="BJ172" s="18">
        <f>IF(OR($A172="",$BD172=0),0,($AY172*Templates!$B$27/$BE172+$AZ172*Templates!$B$28/$BF172+$BA172*Templates!$B$29/$BG172+$BB172*Templates!$B$30/$BH172+$BC172*Templates!$B$31/$BI172)/Templates!$B$17)</f>
        <v/>
      </c>
      <c r="BK172" s="18">
        <f>IF(OR($A172="",$BD172=0),0,($AY172*Templates!$C$27/$BE172+$AZ172*Templates!$C$28/$BF172+$BA172*Templates!$C$29/$BG172+$BB172*Templates!$C$30/$BH172+$BC172*Templates!$C$31/$BI172)/Templates!$B$18)</f>
        <v/>
      </c>
      <c r="BL172" s="18">
        <f>IF(OR($A172="",$BD172=0),0,($AY172*Templates!$D$27/$BE172+$AZ172*Templates!$D$28/$BF172+$BA172*Templates!$D$29/$BG172+$BB172*Templates!$D$30/$BH172+$BC172*Templates!$D$31/$BI172)/Templates!$B$19)</f>
        <v/>
      </c>
      <c r="BM172" s="18">
        <f>IF(OR($A172="",$BD172=0),0,($AY172*Templates!$E$27/$BE172+$AZ172*Templates!$E$28/$BF172+$BA172*Templates!$E$29/$BG172+$BB172*Templates!$E$30/$BH172+$BC172*Templates!$E$31/$BI172)/Templates!$B$20)</f>
        <v/>
      </c>
      <c r="BN172" s="18">
        <f>IF(OR($A172="",$BD172=0),0,($AY172*Templates!$F$27/$BE172+$AZ172*Templates!$F$28/$BF172+$BA172*Templates!$F$29/$BG172+$BB172*Templates!$F$30/$BH172+$BC172*Templates!$F$31/$BI172)/Templates!$B$21)</f>
        <v/>
      </c>
      <c r="BO172" s="18">
        <f>IF(OR($A172="",$BD172=0),0,($AY172*Templates!$G$27/$BE172+$AZ172*Templates!$G$28/$BF172+$BA172*Templates!$G$29/$BG172+$BB172*Templates!$G$30/$BH172+$BC172*Templates!$G$31/$BI172)/Templates!$B$22)</f>
        <v/>
      </c>
      <c r="BP172" s="18">
        <f>IF(OR($A172="",$BD172=0),0,($AY172*Templates!$H$27/$BE172+$AZ172*Templates!$H$28/$BF172+$BA172*Templates!$H$29/$BG172+$BB172*Templates!$H$30/$BH172+$BC172*Templates!$H$31/$BI172)/Templates!$B$23)</f>
        <v/>
      </c>
    </row>
    <row r="173">
      <c r="A173" s="28" t="inlineStr">
        <is>
          <t>Sunnova - TEP 8-H_1</t>
        </is>
      </c>
      <c r="B173" s="20" t="inlineStr">
        <is>
          <t>Ryan Transactional Risk : Themis Underwriting</t>
        </is>
      </c>
      <c r="C173" s="28" t="inlineStr">
        <is>
          <t>Ryan Transactional Risk</t>
        </is>
      </c>
      <c r="D173" s="28" t="inlineStr">
        <is>
          <t>Themis Underwriting</t>
        </is>
      </c>
      <c r="E173" s="28" t="inlineStr">
        <is>
          <t>No</t>
        </is>
      </c>
      <c r="F173" s="28" t="inlineStr">
        <is>
          <t>Active</t>
        </is>
      </c>
      <c r="G173" s="38" t="n"/>
      <c r="H173" s="29" t="n">
        <v>1</v>
      </c>
      <c r="I173" s="39" t="n"/>
      <c r="J173" s="39" t="n"/>
      <c r="K173" s="31" t="n"/>
      <c r="L173" s="31" t="n"/>
      <c r="M173" s="31" t="n"/>
      <c r="N173" s="31" t="n"/>
      <c r="O173" s="31" t="n"/>
      <c r="P173" s="31" t="n"/>
      <c r="Q173" s="23">
        <f>IF($A173="","",COUNTIFS(Assignments!$C$2:$C$769,$A173,Assignments!$G$2:$G$769,"Active"))</f>
        <v/>
      </c>
      <c r="R173" s="32">
        <f>IF($A173="","",SUMIFS(Assignments!$I$2:$I$769,Assignments!$C$2:$C$769,$A173,Assignments!$G$2:$G$769,"Active"))</f>
        <v/>
      </c>
      <c r="S173" s="20" t="inlineStr">
        <is>
          <t>WIP</t>
        </is>
      </c>
      <c r="T173" s="31" t="n"/>
      <c r="U173" s="38" t="n"/>
      <c r="V173" s="34">
        <f>IF($U173="","",IFERROR(INDEX(Templates!$K$3:$K$10,MATCH($U173,Templates!$A$3:$A$10,0)),""))</f>
        <v/>
      </c>
      <c r="W173" s="34">
        <f>IF($U173="","",IFERROR(INDEX(Templates!$L$3:$L$10,MATCH($U173,Templates!$A$3:$A$10,0)),""))</f>
        <v/>
      </c>
      <c r="X173" s="21">
        <f>IF($U173="","",IFERROR(INDEX(Templates!$J$3:$J$10,MATCH($U173,Templates!$A$3:$A$10,0)),""))</f>
        <v/>
      </c>
      <c r="Y173" s="35">
        <f>IF(OR($U173="",$I173="",$J173="",$X173=""),"",$I173+$X173*($J173-$I173))</f>
        <v/>
      </c>
      <c r="Z173" s="30" t="n">
        <v>46212</v>
      </c>
      <c r="AA173" s="40" t="n"/>
      <c r="AB173" s="41" t="n"/>
      <c r="AC173" s="41" t="n"/>
      <c r="AD173" s="19">
        <f>IF($A173="","",IF($AA173="",$H173,$AA173))</f>
        <v/>
      </c>
      <c r="AE173" s="35">
        <f>IF($A173="","",IF($AB173="",$I173,$AB173))</f>
        <v/>
      </c>
      <c r="AF173" s="35">
        <f>IF($A173="","",IF($AC173="",$J173,$AC173))</f>
        <v/>
      </c>
      <c r="AG173" s="35">
        <f>IF(OR($U173="",$AE173="",$AF173="",$X173=""),"",$AE173+$X173*($AF173-$AE173))</f>
        <v/>
      </c>
      <c r="AH173" s="38" t="n"/>
      <c r="AI173" s="38" t="n"/>
      <c r="AJ173" s="38" t="n"/>
      <c r="AK173" s="38" t="n"/>
      <c r="AL173" s="38" t="n"/>
      <c r="AM173" s="38" t="n"/>
      <c r="AN173" s="38" t="n"/>
      <c r="AO173" s="38" t="n"/>
      <c r="AP173" s="38" t="n"/>
      <c r="AQ173" s="38" t="n"/>
      <c r="AR173" s="38" t="n"/>
      <c r="AS173" s="38" t="n"/>
      <c r="AT173" s="38" t="n"/>
      <c r="AU173" s="38" t="n"/>
      <c r="AV173" s="38" t="n"/>
      <c r="AW173" s="38" t="n"/>
      <c r="AX173" s="38" t="n"/>
      <c r="AY173" s="42" t="n"/>
      <c r="AZ173" s="42" t="n"/>
      <c r="BA173" s="42" t="n"/>
      <c r="BB173" s="42" t="n"/>
      <c r="BC173" s="42" t="n"/>
      <c r="BD173" s="37">
        <f>IF($A173="","",SUM($AY173:$BC173))</f>
        <v/>
      </c>
      <c r="BE173" s="18">
        <f>IF($A173="","",IF(AND($I173&lt;&gt;"",$J173&lt;&gt;""),MAX(1,($J173-$I173)/7),Templates!$B$35))</f>
        <v/>
      </c>
      <c r="BF173" s="18">
        <f>IF($A173="","",IF(AND($I173&lt;&gt;"",$J173&lt;&gt;""),MAX(1,($J173-$I173)/7),Templates!$B$36))</f>
        <v/>
      </c>
      <c r="BG173" s="18">
        <f>IF($A173="","",IF(AND($I173&lt;&gt;"",$J173&lt;&gt;""),MAX(1,($J173-$I173)/7),Templates!$B$37))</f>
        <v/>
      </c>
      <c r="BH173" s="18">
        <f>IF($A173="","",IF(AND($I173&lt;&gt;"",$J173&lt;&gt;""),MAX(1,($J173-$I173)/7),Templates!$B$38))</f>
        <v/>
      </c>
      <c r="BI173" s="18">
        <f>IF($A173="","",IF(AND($I173&lt;&gt;"",$J173&lt;&gt;""),MAX(1,($J173-$I173)/7),Templates!$B$39))</f>
        <v/>
      </c>
      <c r="BJ173" s="18">
        <f>IF(OR($A173="",$BD173=0),0,($AY173*Templates!$B$27/$BE173+$AZ173*Templates!$B$28/$BF173+$BA173*Templates!$B$29/$BG173+$BB173*Templates!$B$30/$BH173+$BC173*Templates!$B$31/$BI173)/Templates!$B$17)</f>
        <v/>
      </c>
      <c r="BK173" s="18">
        <f>IF(OR($A173="",$BD173=0),0,($AY173*Templates!$C$27/$BE173+$AZ173*Templates!$C$28/$BF173+$BA173*Templates!$C$29/$BG173+$BB173*Templates!$C$30/$BH173+$BC173*Templates!$C$31/$BI173)/Templates!$B$18)</f>
        <v/>
      </c>
      <c r="BL173" s="18">
        <f>IF(OR($A173="",$BD173=0),0,($AY173*Templates!$D$27/$BE173+$AZ173*Templates!$D$28/$BF173+$BA173*Templates!$D$29/$BG173+$BB173*Templates!$D$30/$BH173+$BC173*Templates!$D$31/$BI173)/Templates!$B$19)</f>
        <v/>
      </c>
      <c r="BM173" s="18">
        <f>IF(OR($A173="",$BD173=0),0,($AY173*Templates!$E$27/$BE173+$AZ173*Templates!$E$28/$BF173+$BA173*Templates!$E$29/$BG173+$BB173*Templates!$E$30/$BH173+$BC173*Templates!$E$31/$BI173)/Templates!$B$20)</f>
        <v/>
      </c>
      <c r="BN173" s="18">
        <f>IF(OR($A173="",$BD173=0),0,($AY173*Templates!$F$27/$BE173+$AZ173*Templates!$F$28/$BF173+$BA173*Templates!$F$29/$BG173+$BB173*Templates!$F$30/$BH173+$BC173*Templates!$F$31/$BI173)/Templates!$B$21)</f>
        <v/>
      </c>
      <c r="BO173" s="18">
        <f>IF(OR($A173="",$BD173=0),0,($AY173*Templates!$G$27/$BE173+$AZ173*Templates!$G$28/$BF173+$BA173*Templates!$G$29/$BG173+$BB173*Templates!$G$30/$BH173+$BC173*Templates!$G$31/$BI173)/Templates!$B$22)</f>
        <v/>
      </c>
      <c r="BP173" s="18">
        <f>IF(OR($A173="",$BD173=0),0,($AY173*Templates!$H$27/$BE173+$AZ173*Templates!$H$28/$BF173+$BA173*Templates!$H$29/$BG173+$BB173*Templates!$H$30/$BH173+$BC173*Templates!$H$31/$BI173)/Templates!$B$23)</f>
        <v/>
      </c>
    </row>
    <row r="174">
      <c r="A174" s="28" t="inlineStr">
        <is>
          <t>Sunnova TEP 8-I - Homebuilder_1</t>
        </is>
      </c>
      <c r="B174" s="20" t="inlineStr">
        <is>
          <t>Sunnova - TEP 8-H_1 Ryan Transactional Risk : Themis Underwriting : *Sunnova - TEP 8-H</t>
        </is>
      </c>
      <c r="C174" s="28" t="inlineStr">
        <is>
          <t>Sunnova - TEP 8-H_1 Ryan Transactional Risk</t>
        </is>
      </c>
      <c r="D174" s="28" t="inlineStr">
        <is>
          <t>*Sunnova - TEP 8-H</t>
        </is>
      </c>
      <c r="E174" s="28" t="inlineStr">
        <is>
          <t>No</t>
        </is>
      </c>
      <c r="F174" s="28" t="inlineStr">
        <is>
          <t>Active</t>
        </is>
      </c>
      <c r="G174" s="38" t="n"/>
      <c r="H174" s="29" t="n">
        <v>1</v>
      </c>
      <c r="I174" s="39" t="n"/>
      <c r="J174" s="39" t="n"/>
      <c r="K174" s="31" t="n"/>
      <c r="L174" s="31" t="n"/>
      <c r="M174" s="31" t="n"/>
      <c r="N174" s="31" t="n"/>
      <c r="O174" s="31" t="n"/>
      <c r="P174" s="31" t="n"/>
      <c r="Q174" s="23">
        <f>IF($A174="","",COUNTIFS(Assignments!$C$2:$C$769,$A174,Assignments!$G$2:$G$769,"Active"))</f>
        <v/>
      </c>
      <c r="R174" s="32">
        <f>IF($A174="","",SUMIFS(Assignments!$I$2:$I$769,Assignments!$C$2:$C$769,$A174,Assignments!$G$2:$G$769,"Active"))</f>
        <v/>
      </c>
      <c r="S174" s="20" t="inlineStr">
        <is>
          <t>WIP</t>
        </is>
      </c>
      <c r="T174" s="31" t="n"/>
      <c r="U174" s="38" t="n"/>
      <c r="V174" s="34">
        <f>IF($U174="","",IFERROR(INDEX(Templates!$K$3:$K$10,MATCH($U174,Templates!$A$3:$A$10,0)),""))</f>
        <v/>
      </c>
      <c r="W174" s="34">
        <f>IF($U174="","",IFERROR(INDEX(Templates!$L$3:$L$10,MATCH($U174,Templates!$A$3:$A$10,0)),""))</f>
        <v/>
      </c>
      <c r="X174" s="21">
        <f>IF($U174="","",IFERROR(INDEX(Templates!$J$3:$J$10,MATCH($U174,Templates!$A$3:$A$10,0)),""))</f>
        <v/>
      </c>
      <c r="Y174" s="35">
        <f>IF(OR($U174="",$I174="",$J174="",$X174=""),"",$I174+$X174*($J174-$I174))</f>
        <v/>
      </c>
      <c r="Z174" s="30" t="n">
        <v>46212</v>
      </c>
      <c r="AA174" s="40" t="n"/>
      <c r="AB174" s="41" t="n"/>
      <c r="AC174" s="41" t="n"/>
      <c r="AD174" s="19">
        <f>IF($A174="","",IF($AA174="",$H174,$AA174))</f>
        <v/>
      </c>
      <c r="AE174" s="35">
        <f>IF($A174="","",IF($AB174="",$I174,$AB174))</f>
        <v/>
      </c>
      <c r="AF174" s="35">
        <f>IF($A174="","",IF($AC174="",$J174,$AC174))</f>
        <v/>
      </c>
      <c r="AG174" s="35">
        <f>IF(OR($U174="",$AE174="",$AF174="",$X174=""),"",$AE174+$X174*($AF174-$AE174))</f>
        <v/>
      </c>
      <c r="AH174" s="38" t="n"/>
      <c r="AI174" s="38" t="n"/>
      <c r="AJ174" s="38" t="n"/>
      <c r="AK174" s="38" t="n"/>
      <c r="AL174" s="38" t="n"/>
      <c r="AM174" s="38" t="n"/>
      <c r="AN174" s="38" t="n"/>
      <c r="AO174" s="38" t="n"/>
      <c r="AP174" s="38" t="n"/>
      <c r="AQ174" s="38" t="n"/>
      <c r="AR174" s="38" t="n"/>
      <c r="AS174" s="38" t="n"/>
      <c r="AT174" s="38" t="n"/>
      <c r="AU174" s="38" t="n"/>
      <c r="AV174" s="38" t="n"/>
      <c r="AW174" s="38" t="n"/>
      <c r="AX174" s="38" t="n"/>
      <c r="AY174" s="42" t="n"/>
      <c r="AZ174" s="42" t="n"/>
      <c r="BA174" s="42" t="n"/>
      <c r="BB174" s="42" t="n"/>
      <c r="BC174" s="42" t="n"/>
      <c r="BD174" s="37">
        <f>IF($A174="","",SUM($AY174:$BC174))</f>
        <v/>
      </c>
      <c r="BE174" s="18">
        <f>IF($A174="","",IF(AND($I174&lt;&gt;"",$J174&lt;&gt;""),MAX(1,($J174-$I174)/7),Templates!$B$35))</f>
        <v/>
      </c>
      <c r="BF174" s="18">
        <f>IF($A174="","",IF(AND($I174&lt;&gt;"",$J174&lt;&gt;""),MAX(1,($J174-$I174)/7),Templates!$B$36))</f>
        <v/>
      </c>
      <c r="BG174" s="18">
        <f>IF($A174="","",IF(AND($I174&lt;&gt;"",$J174&lt;&gt;""),MAX(1,($J174-$I174)/7),Templates!$B$37))</f>
        <v/>
      </c>
      <c r="BH174" s="18">
        <f>IF($A174="","",IF(AND($I174&lt;&gt;"",$J174&lt;&gt;""),MAX(1,($J174-$I174)/7),Templates!$B$38))</f>
        <v/>
      </c>
      <c r="BI174" s="18">
        <f>IF($A174="","",IF(AND($I174&lt;&gt;"",$J174&lt;&gt;""),MAX(1,($J174-$I174)/7),Templates!$B$39))</f>
        <v/>
      </c>
      <c r="BJ174" s="18">
        <f>IF(OR($A174="",$BD174=0),0,($AY174*Templates!$B$27/$BE174+$AZ174*Templates!$B$28/$BF174+$BA174*Templates!$B$29/$BG174+$BB174*Templates!$B$30/$BH174+$BC174*Templates!$B$31/$BI174)/Templates!$B$17)</f>
        <v/>
      </c>
      <c r="BK174" s="18">
        <f>IF(OR($A174="",$BD174=0),0,($AY174*Templates!$C$27/$BE174+$AZ174*Templates!$C$28/$BF174+$BA174*Templates!$C$29/$BG174+$BB174*Templates!$C$30/$BH174+$BC174*Templates!$C$31/$BI174)/Templates!$B$18)</f>
        <v/>
      </c>
      <c r="BL174" s="18">
        <f>IF(OR($A174="",$BD174=0),0,($AY174*Templates!$D$27/$BE174+$AZ174*Templates!$D$28/$BF174+$BA174*Templates!$D$29/$BG174+$BB174*Templates!$D$30/$BH174+$BC174*Templates!$D$31/$BI174)/Templates!$B$19)</f>
        <v/>
      </c>
      <c r="BM174" s="18">
        <f>IF(OR($A174="",$BD174=0),0,($AY174*Templates!$E$27/$BE174+$AZ174*Templates!$E$28/$BF174+$BA174*Templates!$E$29/$BG174+$BB174*Templates!$E$30/$BH174+$BC174*Templates!$E$31/$BI174)/Templates!$B$20)</f>
        <v/>
      </c>
      <c r="BN174" s="18">
        <f>IF(OR($A174="",$BD174=0),0,($AY174*Templates!$F$27/$BE174+$AZ174*Templates!$F$28/$BF174+$BA174*Templates!$F$29/$BG174+$BB174*Templates!$F$30/$BH174+$BC174*Templates!$F$31/$BI174)/Templates!$B$21)</f>
        <v/>
      </c>
      <c r="BO174" s="18">
        <f>IF(OR($A174="",$BD174=0),0,($AY174*Templates!$G$27/$BE174+$AZ174*Templates!$G$28/$BF174+$BA174*Templates!$G$29/$BG174+$BB174*Templates!$G$30/$BH174+$BC174*Templates!$G$31/$BI174)/Templates!$B$22)</f>
        <v/>
      </c>
      <c r="BP174" s="18">
        <f>IF(OR($A174="",$BD174=0),0,($AY174*Templates!$H$27/$BE174+$AZ174*Templates!$H$28/$BF174+$BA174*Templates!$H$29/$BG174+$BB174*Templates!$H$30/$BH174+$BC174*Templates!$H$31/$BI174)/Templates!$B$23)</f>
        <v/>
      </c>
    </row>
    <row r="175">
      <c r="A175" s="28" t="inlineStr">
        <is>
          <t>Sunrise_5</t>
        </is>
      </c>
      <c r="B175" s="20" t="inlineStr">
        <is>
          <t>Eight Advisory</t>
        </is>
      </c>
      <c r="C175" s="28" t="inlineStr">
        <is>
          <t>Eight Advisory</t>
        </is>
      </c>
      <c r="D175" s="28" t="inlineStr"/>
      <c r="E175" s="28" t="inlineStr">
        <is>
          <t>No</t>
        </is>
      </c>
      <c r="F175" s="28" t="inlineStr">
        <is>
          <t>Active</t>
        </is>
      </c>
      <c r="G175" s="38" t="n"/>
      <c r="H175" s="29" t="n">
        <v>1</v>
      </c>
      <c r="I175" s="39" t="n"/>
      <c r="J175" s="39" t="n"/>
      <c r="K175" s="31" t="n"/>
      <c r="L175" s="31" t="n"/>
      <c r="M175" s="31" t="n"/>
      <c r="N175" s="31" t="n"/>
      <c r="O175" s="31" t="n"/>
      <c r="P175" s="31" t="n"/>
      <c r="Q175" s="23">
        <f>IF($A175="","",COUNTIFS(Assignments!$C$2:$C$769,$A175,Assignments!$G$2:$G$769,"Active"))</f>
        <v/>
      </c>
      <c r="R175" s="32">
        <f>IF($A175="","",SUMIFS(Assignments!$I$2:$I$769,Assignments!$C$2:$C$769,$A175,Assignments!$G$2:$G$769,"Active"))</f>
        <v/>
      </c>
      <c r="S175" s="20" t="inlineStr">
        <is>
          <t>WIP</t>
        </is>
      </c>
      <c r="T175" s="31" t="n"/>
      <c r="U175" s="38" t="n"/>
      <c r="V175" s="34">
        <f>IF($U175="","",IFERROR(INDEX(Templates!$K$3:$K$10,MATCH($U175,Templates!$A$3:$A$10,0)),""))</f>
        <v/>
      </c>
      <c r="W175" s="34">
        <f>IF($U175="","",IFERROR(INDEX(Templates!$L$3:$L$10,MATCH($U175,Templates!$A$3:$A$10,0)),""))</f>
        <v/>
      </c>
      <c r="X175" s="21">
        <f>IF($U175="","",IFERROR(INDEX(Templates!$J$3:$J$10,MATCH($U175,Templates!$A$3:$A$10,0)),""))</f>
        <v/>
      </c>
      <c r="Y175" s="35">
        <f>IF(OR($U175="",$I175="",$J175="",$X175=""),"",$I175+$X175*($J175-$I175))</f>
        <v/>
      </c>
      <c r="Z175" s="30" t="n">
        <v>46212</v>
      </c>
      <c r="AA175" s="40" t="n"/>
      <c r="AB175" s="41" t="n"/>
      <c r="AC175" s="41" t="n"/>
      <c r="AD175" s="19">
        <f>IF($A175="","",IF($AA175="",$H175,$AA175))</f>
        <v/>
      </c>
      <c r="AE175" s="35">
        <f>IF($A175="","",IF($AB175="",$I175,$AB175))</f>
        <v/>
      </c>
      <c r="AF175" s="35">
        <f>IF($A175="","",IF($AC175="",$J175,$AC175))</f>
        <v/>
      </c>
      <c r="AG175" s="35">
        <f>IF(OR($U175="",$AE175="",$AF175="",$X175=""),"",$AE175+$X175*($AF175-$AE175))</f>
        <v/>
      </c>
      <c r="AH175" s="38" t="n"/>
      <c r="AI175" s="38" t="n"/>
      <c r="AJ175" s="38" t="n"/>
      <c r="AK175" s="38" t="n"/>
      <c r="AL175" s="38" t="n"/>
      <c r="AM175" s="38" t="n"/>
      <c r="AN175" s="38" t="n"/>
      <c r="AO175" s="38" t="n"/>
      <c r="AP175" s="38" t="n"/>
      <c r="AQ175" s="38" t="n"/>
      <c r="AR175" s="38" t="n"/>
      <c r="AS175" s="38" t="n"/>
      <c r="AT175" s="38" t="n"/>
      <c r="AU175" s="38" t="n"/>
      <c r="AV175" s="38" t="n"/>
      <c r="AW175" s="38" t="n"/>
      <c r="AX175" s="38" t="n"/>
      <c r="AY175" s="42" t="n"/>
      <c r="AZ175" s="42" t="n"/>
      <c r="BA175" s="42" t="n"/>
      <c r="BB175" s="42" t="n"/>
      <c r="BC175" s="42" t="n"/>
      <c r="BD175" s="37">
        <f>IF($A175="","",SUM($AY175:$BC175))</f>
        <v/>
      </c>
      <c r="BE175" s="18">
        <f>IF($A175="","",IF(AND($I175&lt;&gt;"",$J175&lt;&gt;""),MAX(1,($J175-$I175)/7),Templates!$B$35))</f>
        <v/>
      </c>
      <c r="BF175" s="18">
        <f>IF($A175="","",IF(AND($I175&lt;&gt;"",$J175&lt;&gt;""),MAX(1,($J175-$I175)/7),Templates!$B$36))</f>
        <v/>
      </c>
      <c r="BG175" s="18">
        <f>IF($A175="","",IF(AND($I175&lt;&gt;"",$J175&lt;&gt;""),MAX(1,($J175-$I175)/7),Templates!$B$37))</f>
        <v/>
      </c>
      <c r="BH175" s="18">
        <f>IF($A175="","",IF(AND($I175&lt;&gt;"",$J175&lt;&gt;""),MAX(1,($J175-$I175)/7),Templates!$B$38))</f>
        <v/>
      </c>
      <c r="BI175" s="18">
        <f>IF($A175="","",IF(AND($I175&lt;&gt;"",$J175&lt;&gt;""),MAX(1,($J175-$I175)/7),Templates!$B$39))</f>
        <v/>
      </c>
      <c r="BJ175" s="18">
        <f>IF(OR($A175="",$BD175=0),0,($AY175*Templates!$B$27/$BE175+$AZ175*Templates!$B$28/$BF175+$BA175*Templates!$B$29/$BG175+$BB175*Templates!$B$30/$BH175+$BC175*Templates!$B$31/$BI175)/Templates!$B$17)</f>
        <v/>
      </c>
      <c r="BK175" s="18">
        <f>IF(OR($A175="",$BD175=0),0,($AY175*Templates!$C$27/$BE175+$AZ175*Templates!$C$28/$BF175+$BA175*Templates!$C$29/$BG175+$BB175*Templates!$C$30/$BH175+$BC175*Templates!$C$31/$BI175)/Templates!$B$18)</f>
        <v/>
      </c>
      <c r="BL175" s="18">
        <f>IF(OR($A175="",$BD175=0),0,($AY175*Templates!$D$27/$BE175+$AZ175*Templates!$D$28/$BF175+$BA175*Templates!$D$29/$BG175+$BB175*Templates!$D$30/$BH175+$BC175*Templates!$D$31/$BI175)/Templates!$B$19)</f>
        <v/>
      </c>
      <c r="BM175" s="18">
        <f>IF(OR($A175="",$BD175=0),0,($AY175*Templates!$E$27/$BE175+$AZ175*Templates!$E$28/$BF175+$BA175*Templates!$E$29/$BG175+$BB175*Templates!$E$30/$BH175+$BC175*Templates!$E$31/$BI175)/Templates!$B$20)</f>
        <v/>
      </c>
      <c r="BN175" s="18">
        <f>IF(OR($A175="",$BD175=0),0,($AY175*Templates!$F$27/$BE175+$AZ175*Templates!$F$28/$BF175+$BA175*Templates!$F$29/$BG175+$BB175*Templates!$F$30/$BH175+$BC175*Templates!$F$31/$BI175)/Templates!$B$21)</f>
        <v/>
      </c>
      <c r="BO175" s="18">
        <f>IF(OR($A175="",$BD175=0),0,($AY175*Templates!$G$27/$BE175+$AZ175*Templates!$G$28/$BF175+$BA175*Templates!$G$29/$BG175+$BB175*Templates!$G$30/$BH175+$BC175*Templates!$G$31/$BI175)/Templates!$B$22)</f>
        <v/>
      </c>
      <c r="BP175" s="18">
        <f>IF(OR($A175="",$BD175=0),0,($AY175*Templates!$H$27/$BE175+$AZ175*Templates!$H$28/$BF175+$BA175*Templates!$H$29/$BG175+$BB175*Templates!$H$30/$BH175+$BC175*Templates!$H$31/$BI175)/Templates!$B$23)</f>
        <v/>
      </c>
    </row>
    <row r="176">
      <c r="A176" s="28" t="inlineStr">
        <is>
          <t>Sunshine_4</t>
        </is>
      </c>
      <c r="B176" s="20" t="inlineStr">
        <is>
          <t>Nuveen</t>
        </is>
      </c>
      <c r="C176" s="28" t="inlineStr">
        <is>
          <t>Nuveen</t>
        </is>
      </c>
      <c r="D176" s="28" t="inlineStr"/>
      <c r="E176" s="28" t="inlineStr">
        <is>
          <t>No</t>
        </is>
      </c>
      <c r="F176" s="28" t="inlineStr">
        <is>
          <t>Active</t>
        </is>
      </c>
      <c r="G176" s="38" t="n"/>
      <c r="H176" s="29" t="n">
        <v>1</v>
      </c>
      <c r="I176" s="39" t="n"/>
      <c r="J176" s="39" t="n"/>
      <c r="K176" s="31" t="n"/>
      <c r="L176" s="31" t="n"/>
      <c r="M176" s="31" t="n"/>
      <c r="N176" s="31" t="n"/>
      <c r="O176" s="31" t="n"/>
      <c r="P176" s="31" t="n"/>
      <c r="Q176" s="23">
        <f>IF($A176="","",COUNTIFS(Assignments!$C$2:$C$769,$A176,Assignments!$G$2:$G$769,"Active"))</f>
        <v/>
      </c>
      <c r="R176" s="32">
        <f>IF($A176="","",SUMIFS(Assignments!$I$2:$I$769,Assignments!$C$2:$C$769,$A176,Assignments!$G$2:$G$769,"Active"))</f>
        <v/>
      </c>
      <c r="S176" s="20" t="inlineStr">
        <is>
          <t>WIP</t>
        </is>
      </c>
      <c r="T176" s="31" t="n"/>
      <c r="U176" s="38" t="n"/>
      <c r="V176" s="34">
        <f>IF($U176="","",IFERROR(INDEX(Templates!$K$3:$K$10,MATCH($U176,Templates!$A$3:$A$10,0)),""))</f>
        <v/>
      </c>
      <c r="W176" s="34">
        <f>IF($U176="","",IFERROR(INDEX(Templates!$L$3:$L$10,MATCH($U176,Templates!$A$3:$A$10,0)),""))</f>
        <v/>
      </c>
      <c r="X176" s="21">
        <f>IF($U176="","",IFERROR(INDEX(Templates!$J$3:$J$10,MATCH($U176,Templates!$A$3:$A$10,0)),""))</f>
        <v/>
      </c>
      <c r="Y176" s="35">
        <f>IF(OR($U176="",$I176="",$J176="",$X176=""),"",$I176+$X176*($J176-$I176))</f>
        <v/>
      </c>
      <c r="Z176" s="30" t="n">
        <v>46212</v>
      </c>
      <c r="AA176" s="40" t="n"/>
      <c r="AB176" s="41" t="n"/>
      <c r="AC176" s="41" t="n"/>
      <c r="AD176" s="19">
        <f>IF($A176="","",IF($AA176="",$H176,$AA176))</f>
        <v/>
      </c>
      <c r="AE176" s="35">
        <f>IF($A176="","",IF($AB176="",$I176,$AB176))</f>
        <v/>
      </c>
      <c r="AF176" s="35">
        <f>IF($A176="","",IF($AC176="",$J176,$AC176))</f>
        <v/>
      </c>
      <c r="AG176" s="35">
        <f>IF(OR($U176="",$AE176="",$AF176="",$X176=""),"",$AE176+$X176*($AF176-$AE176))</f>
        <v/>
      </c>
      <c r="AH176" s="38" t="n"/>
      <c r="AI176" s="38" t="n"/>
      <c r="AJ176" s="38" t="n"/>
      <c r="AK176" s="38" t="n"/>
      <c r="AL176" s="38" t="n"/>
      <c r="AM176" s="38" t="n"/>
      <c r="AN176" s="38" t="n"/>
      <c r="AO176" s="38" t="n"/>
      <c r="AP176" s="38" t="n"/>
      <c r="AQ176" s="38" t="n"/>
      <c r="AR176" s="38" t="n"/>
      <c r="AS176" s="38" t="n"/>
      <c r="AT176" s="38" t="n"/>
      <c r="AU176" s="38" t="n"/>
      <c r="AV176" s="38" t="n"/>
      <c r="AW176" s="38" t="n"/>
      <c r="AX176" s="38" t="n"/>
      <c r="AY176" s="42" t="n"/>
      <c r="AZ176" s="42" t="n"/>
      <c r="BA176" s="42" t="n"/>
      <c r="BB176" s="42" t="n"/>
      <c r="BC176" s="42" t="n"/>
      <c r="BD176" s="37">
        <f>IF($A176="","",SUM($AY176:$BC176))</f>
        <v/>
      </c>
      <c r="BE176" s="18">
        <f>IF($A176="","",IF(AND($I176&lt;&gt;"",$J176&lt;&gt;""),MAX(1,($J176-$I176)/7),Templates!$B$35))</f>
        <v/>
      </c>
      <c r="BF176" s="18">
        <f>IF($A176="","",IF(AND($I176&lt;&gt;"",$J176&lt;&gt;""),MAX(1,($J176-$I176)/7),Templates!$B$36))</f>
        <v/>
      </c>
      <c r="BG176" s="18">
        <f>IF($A176="","",IF(AND($I176&lt;&gt;"",$J176&lt;&gt;""),MAX(1,($J176-$I176)/7),Templates!$B$37))</f>
        <v/>
      </c>
      <c r="BH176" s="18">
        <f>IF($A176="","",IF(AND($I176&lt;&gt;"",$J176&lt;&gt;""),MAX(1,($J176-$I176)/7),Templates!$B$38))</f>
        <v/>
      </c>
      <c r="BI176" s="18">
        <f>IF($A176="","",IF(AND($I176&lt;&gt;"",$J176&lt;&gt;""),MAX(1,($J176-$I176)/7),Templates!$B$39))</f>
        <v/>
      </c>
      <c r="BJ176" s="18">
        <f>IF(OR($A176="",$BD176=0),0,($AY176*Templates!$B$27/$BE176+$AZ176*Templates!$B$28/$BF176+$BA176*Templates!$B$29/$BG176+$BB176*Templates!$B$30/$BH176+$BC176*Templates!$B$31/$BI176)/Templates!$B$17)</f>
        <v/>
      </c>
      <c r="BK176" s="18">
        <f>IF(OR($A176="",$BD176=0),0,($AY176*Templates!$C$27/$BE176+$AZ176*Templates!$C$28/$BF176+$BA176*Templates!$C$29/$BG176+$BB176*Templates!$C$30/$BH176+$BC176*Templates!$C$31/$BI176)/Templates!$B$18)</f>
        <v/>
      </c>
      <c r="BL176" s="18">
        <f>IF(OR($A176="",$BD176=0),0,($AY176*Templates!$D$27/$BE176+$AZ176*Templates!$D$28/$BF176+$BA176*Templates!$D$29/$BG176+$BB176*Templates!$D$30/$BH176+$BC176*Templates!$D$31/$BI176)/Templates!$B$19)</f>
        <v/>
      </c>
      <c r="BM176" s="18">
        <f>IF(OR($A176="",$BD176=0),0,($AY176*Templates!$E$27/$BE176+$AZ176*Templates!$E$28/$BF176+$BA176*Templates!$E$29/$BG176+$BB176*Templates!$E$30/$BH176+$BC176*Templates!$E$31/$BI176)/Templates!$B$20)</f>
        <v/>
      </c>
      <c r="BN176" s="18">
        <f>IF(OR($A176="",$BD176=0),0,($AY176*Templates!$F$27/$BE176+$AZ176*Templates!$F$28/$BF176+$BA176*Templates!$F$29/$BG176+$BB176*Templates!$F$30/$BH176+$BC176*Templates!$F$31/$BI176)/Templates!$B$21)</f>
        <v/>
      </c>
      <c r="BO176" s="18">
        <f>IF(OR($A176="",$BD176=0),0,($AY176*Templates!$G$27/$BE176+$AZ176*Templates!$G$28/$BF176+$BA176*Templates!$G$29/$BG176+$BB176*Templates!$G$30/$BH176+$BC176*Templates!$G$31/$BI176)/Templates!$B$22)</f>
        <v/>
      </c>
      <c r="BP176" s="18">
        <f>IF(OR($A176="",$BD176=0),0,($AY176*Templates!$H$27/$BE176+$AZ176*Templates!$H$28/$BF176+$BA176*Templates!$H$29/$BG176+$BB176*Templates!$H$30/$BH176+$BC176*Templates!$H$31/$BI176)/Templates!$B$23)</f>
        <v/>
      </c>
    </row>
    <row r="177">
      <c r="A177" s="28" t="inlineStr">
        <is>
          <t>Sunzia_3</t>
        </is>
      </c>
      <c r="B177" s="20" t="inlineStr">
        <is>
          <t>Muenchener Rueckversicherungs-Gesellschaft Aktiengesellschaft (Munich Re Group)</t>
        </is>
      </c>
      <c r="C177" s="28" t="inlineStr">
        <is>
          <t>Muenchener Rueckversicherungs-Gesellschaft Aktiengesellschaft (Munich Re Group)</t>
        </is>
      </c>
      <c r="D177" s="28" t="inlineStr"/>
      <c r="E177" s="28" t="inlineStr">
        <is>
          <t>No</t>
        </is>
      </c>
      <c r="F177" s="28" t="inlineStr">
        <is>
          <t>Active</t>
        </is>
      </c>
      <c r="G177" s="38" t="n"/>
      <c r="H177" s="29" t="n">
        <v>1</v>
      </c>
      <c r="I177" s="39" t="n"/>
      <c r="J177" s="39" t="n"/>
      <c r="K177" s="31" t="n"/>
      <c r="L177" s="31" t="n"/>
      <c r="M177" s="31" t="n"/>
      <c r="N177" s="31" t="n"/>
      <c r="O177" s="31" t="n"/>
      <c r="P177" s="31" t="n"/>
      <c r="Q177" s="23">
        <f>IF($A177="","",COUNTIFS(Assignments!$C$2:$C$769,$A177,Assignments!$G$2:$G$769,"Active"))</f>
        <v/>
      </c>
      <c r="R177" s="32">
        <f>IF($A177="","",SUMIFS(Assignments!$I$2:$I$769,Assignments!$C$2:$C$769,$A177,Assignments!$G$2:$G$769,"Active"))</f>
        <v/>
      </c>
      <c r="S177" s="20" t="inlineStr">
        <is>
          <t>WIP</t>
        </is>
      </c>
      <c r="T177" s="31" t="n"/>
      <c r="U177" s="38" t="n"/>
      <c r="V177" s="34">
        <f>IF($U177="","",IFERROR(INDEX(Templates!$K$3:$K$10,MATCH($U177,Templates!$A$3:$A$10,0)),""))</f>
        <v/>
      </c>
      <c r="W177" s="34">
        <f>IF($U177="","",IFERROR(INDEX(Templates!$L$3:$L$10,MATCH($U177,Templates!$A$3:$A$10,0)),""))</f>
        <v/>
      </c>
      <c r="X177" s="21">
        <f>IF($U177="","",IFERROR(INDEX(Templates!$J$3:$J$10,MATCH($U177,Templates!$A$3:$A$10,0)),""))</f>
        <v/>
      </c>
      <c r="Y177" s="35">
        <f>IF(OR($U177="",$I177="",$J177="",$X177=""),"",$I177+$X177*($J177-$I177))</f>
        <v/>
      </c>
      <c r="Z177" s="30" t="n">
        <v>46212</v>
      </c>
      <c r="AA177" s="40" t="n"/>
      <c r="AB177" s="41" t="n"/>
      <c r="AC177" s="41" t="n"/>
      <c r="AD177" s="19">
        <f>IF($A177="","",IF($AA177="",$H177,$AA177))</f>
        <v/>
      </c>
      <c r="AE177" s="35">
        <f>IF($A177="","",IF($AB177="",$I177,$AB177))</f>
        <v/>
      </c>
      <c r="AF177" s="35">
        <f>IF($A177="","",IF($AC177="",$J177,$AC177))</f>
        <v/>
      </c>
      <c r="AG177" s="35">
        <f>IF(OR($U177="",$AE177="",$AF177="",$X177=""),"",$AE177+$X177*($AF177-$AE177))</f>
        <v/>
      </c>
      <c r="AH177" s="38" t="n"/>
      <c r="AI177" s="38" t="n"/>
      <c r="AJ177" s="38" t="n"/>
      <c r="AK177" s="38" t="n"/>
      <c r="AL177" s="38" t="n"/>
      <c r="AM177" s="38" t="n"/>
      <c r="AN177" s="38" t="n"/>
      <c r="AO177" s="38" t="n"/>
      <c r="AP177" s="38" t="n"/>
      <c r="AQ177" s="38" t="n"/>
      <c r="AR177" s="38" t="n"/>
      <c r="AS177" s="38" t="n"/>
      <c r="AT177" s="38" t="n"/>
      <c r="AU177" s="38" t="n"/>
      <c r="AV177" s="38" t="n"/>
      <c r="AW177" s="38" t="n"/>
      <c r="AX177" s="38" t="n"/>
      <c r="AY177" s="42" t="n"/>
      <c r="AZ177" s="42" t="n"/>
      <c r="BA177" s="42" t="n"/>
      <c r="BB177" s="42" t="n"/>
      <c r="BC177" s="42" t="n"/>
      <c r="BD177" s="37">
        <f>IF($A177="","",SUM($AY177:$BC177))</f>
        <v/>
      </c>
      <c r="BE177" s="18">
        <f>IF($A177="","",IF(AND($I177&lt;&gt;"",$J177&lt;&gt;""),MAX(1,($J177-$I177)/7),Templates!$B$35))</f>
        <v/>
      </c>
      <c r="BF177" s="18">
        <f>IF($A177="","",IF(AND($I177&lt;&gt;"",$J177&lt;&gt;""),MAX(1,($J177-$I177)/7),Templates!$B$36))</f>
        <v/>
      </c>
      <c r="BG177" s="18">
        <f>IF($A177="","",IF(AND($I177&lt;&gt;"",$J177&lt;&gt;""),MAX(1,($J177-$I177)/7),Templates!$B$37))</f>
        <v/>
      </c>
      <c r="BH177" s="18">
        <f>IF($A177="","",IF(AND($I177&lt;&gt;"",$J177&lt;&gt;""),MAX(1,($J177-$I177)/7),Templates!$B$38))</f>
        <v/>
      </c>
      <c r="BI177" s="18">
        <f>IF($A177="","",IF(AND($I177&lt;&gt;"",$J177&lt;&gt;""),MAX(1,($J177-$I177)/7),Templates!$B$39))</f>
        <v/>
      </c>
      <c r="BJ177" s="18">
        <f>IF(OR($A177="",$BD177=0),0,($AY177*Templates!$B$27/$BE177+$AZ177*Templates!$B$28/$BF177+$BA177*Templates!$B$29/$BG177+$BB177*Templates!$B$30/$BH177+$BC177*Templates!$B$31/$BI177)/Templates!$B$17)</f>
        <v/>
      </c>
      <c r="BK177" s="18">
        <f>IF(OR($A177="",$BD177=0),0,($AY177*Templates!$C$27/$BE177+$AZ177*Templates!$C$28/$BF177+$BA177*Templates!$C$29/$BG177+$BB177*Templates!$C$30/$BH177+$BC177*Templates!$C$31/$BI177)/Templates!$B$18)</f>
        <v/>
      </c>
      <c r="BL177" s="18">
        <f>IF(OR($A177="",$BD177=0),0,($AY177*Templates!$D$27/$BE177+$AZ177*Templates!$D$28/$BF177+$BA177*Templates!$D$29/$BG177+$BB177*Templates!$D$30/$BH177+$BC177*Templates!$D$31/$BI177)/Templates!$B$19)</f>
        <v/>
      </c>
      <c r="BM177" s="18">
        <f>IF(OR($A177="",$BD177=0),0,($AY177*Templates!$E$27/$BE177+$AZ177*Templates!$E$28/$BF177+$BA177*Templates!$E$29/$BG177+$BB177*Templates!$E$30/$BH177+$BC177*Templates!$E$31/$BI177)/Templates!$B$20)</f>
        <v/>
      </c>
      <c r="BN177" s="18">
        <f>IF(OR($A177="",$BD177=0),0,($AY177*Templates!$F$27/$BE177+$AZ177*Templates!$F$28/$BF177+$BA177*Templates!$F$29/$BG177+$BB177*Templates!$F$30/$BH177+$BC177*Templates!$F$31/$BI177)/Templates!$B$21)</f>
        <v/>
      </c>
      <c r="BO177" s="18">
        <f>IF(OR($A177="",$BD177=0),0,($AY177*Templates!$G$27/$BE177+$AZ177*Templates!$G$28/$BF177+$BA177*Templates!$G$29/$BG177+$BB177*Templates!$G$30/$BH177+$BC177*Templates!$G$31/$BI177)/Templates!$B$22)</f>
        <v/>
      </c>
      <c r="BP177" s="18">
        <f>IF(OR($A177="",$BD177=0),0,($AY177*Templates!$H$27/$BE177+$AZ177*Templates!$H$28/$BF177+$BA177*Templates!$H$29/$BG177+$BB177*Templates!$H$30/$BH177+$BC177*Templates!$H$31/$BI177)/Templates!$B$23)</f>
        <v/>
      </c>
    </row>
    <row r="178">
      <c r="A178" s="28" t="inlineStr">
        <is>
          <t>Tailgate_1</t>
        </is>
      </c>
      <c r="B178" s="20" t="inlineStr">
        <is>
          <t>CDS</t>
        </is>
      </c>
      <c r="C178" s="28" t="inlineStr">
        <is>
          <t>CDS</t>
        </is>
      </c>
      <c r="D178" s="28" t="inlineStr"/>
      <c r="E178" s="28" t="inlineStr">
        <is>
          <t>No</t>
        </is>
      </c>
      <c r="F178" s="28" t="inlineStr">
        <is>
          <t>Active</t>
        </is>
      </c>
      <c r="G178" s="38" t="n"/>
      <c r="H178" s="29" t="n">
        <v>1</v>
      </c>
      <c r="I178" s="39" t="n"/>
      <c r="J178" s="39" t="n"/>
      <c r="K178" s="31" t="n"/>
      <c r="L178" s="31" t="n"/>
      <c r="M178" s="31" t="n"/>
      <c r="N178" s="31" t="n"/>
      <c r="O178" s="31" t="n"/>
      <c r="P178" s="31" t="n"/>
      <c r="Q178" s="23">
        <f>IF($A178="","",COUNTIFS(Assignments!$C$2:$C$769,$A178,Assignments!$G$2:$G$769,"Active"))</f>
        <v/>
      </c>
      <c r="R178" s="32">
        <f>IF($A178="","",SUMIFS(Assignments!$I$2:$I$769,Assignments!$C$2:$C$769,$A178,Assignments!$G$2:$G$769,"Active"))</f>
        <v/>
      </c>
      <c r="S178" s="20" t="inlineStr">
        <is>
          <t>WIP</t>
        </is>
      </c>
      <c r="T178" s="31" t="n"/>
      <c r="U178" s="38" t="n"/>
      <c r="V178" s="34">
        <f>IF($U178="","",IFERROR(INDEX(Templates!$K$3:$K$10,MATCH($U178,Templates!$A$3:$A$10,0)),""))</f>
        <v/>
      </c>
      <c r="W178" s="34">
        <f>IF($U178="","",IFERROR(INDEX(Templates!$L$3:$L$10,MATCH($U178,Templates!$A$3:$A$10,0)),""))</f>
        <v/>
      </c>
      <c r="X178" s="21">
        <f>IF($U178="","",IFERROR(INDEX(Templates!$J$3:$J$10,MATCH($U178,Templates!$A$3:$A$10,0)),""))</f>
        <v/>
      </c>
      <c r="Y178" s="35">
        <f>IF(OR($U178="",$I178="",$J178="",$X178=""),"",$I178+$X178*($J178-$I178))</f>
        <v/>
      </c>
      <c r="Z178" s="30" t="n">
        <v>46212</v>
      </c>
      <c r="AA178" s="40" t="n"/>
      <c r="AB178" s="41" t="n"/>
      <c r="AC178" s="41" t="n"/>
      <c r="AD178" s="19">
        <f>IF($A178="","",IF($AA178="",$H178,$AA178))</f>
        <v/>
      </c>
      <c r="AE178" s="35">
        <f>IF($A178="","",IF($AB178="",$I178,$AB178))</f>
        <v/>
      </c>
      <c r="AF178" s="35">
        <f>IF($A178="","",IF($AC178="",$J178,$AC178))</f>
        <v/>
      </c>
      <c r="AG178" s="35">
        <f>IF(OR($U178="",$AE178="",$AF178="",$X178=""),"",$AE178+$X178*($AF178-$AE178))</f>
        <v/>
      </c>
      <c r="AH178" s="38" t="n"/>
      <c r="AI178" s="38" t="n"/>
      <c r="AJ178" s="38" t="n"/>
      <c r="AK178" s="38" t="n"/>
      <c r="AL178" s="38" t="n"/>
      <c r="AM178" s="38" t="n"/>
      <c r="AN178" s="38" t="n"/>
      <c r="AO178" s="38" t="n"/>
      <c r="AP178" s="38" t="n"/>
      <c r="AQ178" s="38" t="n"/>
      <c r="AR178" s="38" t="n"/>
      <c r="AS178" s="38" t="n"/>
      <c r="AT178" s="38" t="n"/>
      <c r="AU178" s="38" t="n"/>
      <c r="AV178" s="38" t="n"/>
      <c r="AW178" s="38" t="n"/>
      <c r="AX178" s="38" t="n"/>
      <c r="AY178" s="42" t="n"/>
      <c r="AZ178" s="42" t="n"/>
      <c r="BA178" s="42" t="n"/>
      <c r="BB178" s="42" t="n"/>
      <c r="BC178" s="42" t="n"/>
      <c r="BD178" s="37">
        <f>IF($A178="","",SUM($AY178:$BC178))</f>
        <v/>
      </c>
      <c r="BE178" s="18">
        <f>IF($A178="","",IF(AND($I178&lt;&gt;"",$J178&lt;&gt;""),MAX(1,($J178-$I178)/7),Templates!$B$35))</f>
        <v/>
      </c>
      <c r="BF178" s="18">
        <f>IF($A178="","",IF(AND($I178&lt;&gt;"",$J178&lt;&gt;""),MAX(1,($J178-$I178)/7),Templates!$B$36))</f>
        <v/>
      </c>
      <c r="BG178" s="18">
        <f>IF($A178="","",IF(AND($I178&lt;&gt;"",$J178&lt;&gt;""),MAX(1,($J178-$I178)/7),Templates!$B$37))</f>
        <v/>
      </c>
      <c r="BH178" s="18">
        <f>IF($A178="","",IF(AND($I178&lt;&gt;"",$J178&lt;&gt;""),MAX(1,($J178-$I178)/7),Templates!$B$38))</f>
        <v/>
      </c>
      <c r="BI178" s="18">
        <f>IF($A178="","",IF(AND($I178&lt;&gt;"",$J178&lt;&gt;""),MAX(1,($J178-$I178)/7),Templates!$B$39))</f>
        <v/>
      </c>
      <c r="BJ178" s="18">
        <f>IF(OR($A178="",$BD178=0),0,($AY178*Templates!$B$27/$BE178+$AZ178*Templates!$B$28/$BF178+$BA178*Templates!$B$29/$BG178+$BB178*Templates!$B$30/$BH178+$BC178*Templates!$B$31/$BI178)/Templates!$B$17)</f>
        <v/>
      </c>
      <c r="BK178" s="18">
        <f>IF(OR($A178="",$BD178=0),0,($AY178*Templates!$C$27/$BE178+$AZ178*Templates!$C$28/$BF178+$BA178*Templates!$C$29/$BG178+$BB178*Templates!$C$30/$BH178+$BC178*Templates!$C$31/$BI178)/Templates!$B$18)</f>
        <v/>
      </c>
      <c r="BL178" s="18">
        <f>IF(OR($A178="",$BD178=0),0,($AY178*Templates!$D$27/$BE178+$AZ178*Templates!$D$28/$BF178+$BA178*Templates!$D$29/$BG178+$BB178*Templates!$D$30/$BH178+$BC178*Templates!$D$31/$BI178)/Templates!$B$19)</f>
        <v/>
      </c>
      <c r="BM178" s="18">
        <f>IF(OR($A178="",$BD178=0),0,($AY178*Templates!$E$27/$BE178+$AZ178*Templates!$E$28/$BF178+$BA178*Templates!$E$29/$BG178+$BB178*Templates!$E$30/$BH178+$BC178*Templates!$E$31/$BI178)/Templates!$B$20)</f>
        <v/>
      </c>
      <c r="BN178" s="18">
        <f>IF(OR($A178="",$BD178=0),0,($AY178*Templates!$F$27/$BE178+$AZ178*Templates!$F$28/$BF178+$BA178*Templates!$F$29/$BG178+$BB178*Templates!$F$30/$BH178+$BC178*Templates!$F$31/$BI178)/Templates!$B$21)</f>
        <v/>
      </c>
      <c r="BO178" s="18">
        <f>IF(OR($A178="",$BD178=0),0,($AY178*Templates!$G$27/$BE178+$AZ178*Templates!$G$28/$BF178+$BA178*Templates!$G$29/$BG178+$BB178*Templates!$G$30/$BH178+$BC178*Templates!$G$31/$BI178)/Templates!$B$22)</f>
        <v/>
      </c>
      <c r="BP178" s="18">
        <f>IF(OR($A178="",$BD178=0),0,($AY178*Templates!$H$27/$BE178+$AZ178*Templates!$H$28/$BF178+$BA178*Templates!$H$29/$BG178+$BB178*Templates!$H$30/$BH178+$BC178*Templates!$H$31/$BI178)/Templates!$B$23)</f>
        <v/>
      </c>
    </row>
    <row r="179">
      <c r="A179" s="28" t="inlineStr">
        <is>
          <t>Talon_1</t>
        </is>
      </c>
      <c r="B179" s="20" t="inlineStr">
        <is>
          <t>Twin Eagle</t>
        </is>
      </c>
      <c r="C179" s="28" t="inlineStr">
        <is>
          <t>Twin Eagle</t>
        </is>
      </c>
      <c r="D179" s="28" t="inlineStr"/>
      <c r="E179" s="28" t="inlineStr">
        <is>
          <t>No</t>
        </is>
      </c>
      <c r="F179" s="28" t="inlineStr">
        <is>
          <t>Active</t>
        </is>
      </c>
      <c r="G179" s="38" t="n"/>
      <c r="H179" s="29" t="n">
        <v>1</v>
      </c>
      <c r="I179" s="39" t="n"/>
      <c r="J179" s="39" t="n"/>
      <c r="K179" s="31" t="n"/>
      <c r="L179" s="31" t="n"/>
      <c r="M179" s="31" t="n"/>
      <c r="N179" s="31" t="n"/>
      <c r="O179" s="31" t="n"/>
      <c r="P179" s="31" t="n"/>
      <c r="Q179" s="23">
        <f>IF($A179="","",COUNTIFS(Assignments!$C$2:$C$769,$A179,Assignments!$G$2:$G$769,"Active"))</f>
        <v/>
      </c>
      <c r="R179" s="32">
        <f>IF($A179="","",SUMIFS(Assignments!$I$2:$I$769,Assignments!$C$2:$C$769,$A179,Assignments!$G$2:$G$769,"Active"))</f>
        <v/>
      </c>
      <c r="S179" s="20" t="inlineStr">
        <is>
          <t>WIP</t>
        </is>
      </c>
      <c r="T179" s="31" t="n"/>
      <c r="U179" s="38" t="n"/>
      <c r="V179" s="34">
        <f>IF($U179="","",IFERROR(INDEX(Templates!$K$3:$K$10,MATCH($U179,Templates!$A$3:$A$10,0)),""))</f>
        <v/>
      </c>
      <c r="W179" s="34">
        <f>IF($U179="","",IFERROR(INDEX(Templates!$L$3:$L$10,MATCH($U179,Templates!$A$3:$A$10,0)),""))</f>
        <v/>
      </c>
      <c r="X179" s="21">
        <f>IF($U179="","",IFERROR(INDEX(Templates!$J$3:$J$10,MATCH($U179,Templates!$A$3:$A$10,0)),""))</f>
        <v/>
      </c>
      <c r="Y179" s="35">
        <f>IF(OR($U179="",$I179="",$J179="",$X179=""),"",$I179+$X179*($J179-$I179))</f>
        <v/>
      </c>
      <c r="Z179" s="30" t="n">
        <v>46212</v>
      </c>
      <c r="AA179" s="40" t="n"/>
      <c r="AB179" s="41" t="n"/>
      <c r="AC179" s="41" t="n"/>
      <c r="AD179" s="19">
        <f>IF($A179="","",IF($AA179="",$H179,$AA179))</f>
        <v/>
      </c>
      <c r="AE179" s="35">
        <f>IF($A179="","",IF($AB179="",$I179,$AB179))</f>
        <v/>
      </c>
      <c r="AF179" s="35">
        <f>IF($A179="","",IF($AC179="",$J179,$AC179))</f>
        <v/>
      </c>
      <c r="AG179" s="35">
        <f>IF(OR($U179="",$AE179="",$AF179="",$X179=""),"",$AE179+$X179*($AF179-$AE179))</f>
        <v/>
      </c>
      <c r="AH179" s="38" t="n"/>
      <c r="AI179" s="38" t="n"/>
      <c r="AJ179" s="38" t="n"/>
      <c r="AK179" s="38" t="n"/>
      <c r="AL179" s="38" t="n"/>
      <c r="AM179" s="38" t="n"/>
      <c r="AN179" s="38" t="n"/>
      <c r="AO179" s="38" t="n"/>
      <c r="AP179" s="38" t="n"/>
      <c r="AQ179" s="38" t="n"/>
      <c r="AR179" s="38" t="n"/>
      <c r="AS179" s="38" t="n"/>
      <c r="AT179" s="38" t="n"/>
      <c r="AU179" s="38" t="n"/>
      <c r="AV179" s="38" t="n"/>
      <c r="AW179" s="38" t="n"/>
      <c r="AX179" s="38" t="n"/>
      <c r="AY179" s="42" t="n"/>
      <c r="AZ179" s="42" t="n"/>
      <c r="BA179" s="42" t="n"/>
      <c r="BB179" s="42" t="n"/>
      <c r="BC179" s="42" t="n"/>
      <c r="BD179" s="37">
        <f>IF($A179="","",SUM($AY179:$BC179))</f>
        <v/>
      </c>
      <c r="BE179" s="18">
        <f>IF($A179="","",IF(AND($I179&lt;&gt;"",$J179&lt;&gt;""),MAX(1,($J179-$I179)/7),Templates!$B$35))</f>
        <v/>
      </c>
      <c r="BF179" s="18">
        <f>IF($A179="","",IF(AND($I179&lt;&gt;"",$J179&lt;&gt;""),MAX(1,($J179-$I179)/7),Templates!$B$36))</f>
        <v/>
      </c>
      <c r="BG179" s="18">
        <f>IF($A179="","",IF(AND($I179&lt;&gt;"",$J179&lt;&gt;""),MAX(1,($J179-$I179)/7),Templates!$B$37))</f>
        <v/>
      </c>
      <c r="BH179" s="18">
        <f>IF($A179="","",IF(AND($I179&lt;&gt;"",$J179&lt;&gt;""),MAX(1,($J179-$I179)/7),Templates!$B$38))</f>
        <v/>
      </c>
      <c r="BI179" s="18">
        <f>IF($A179="","",IF(AND($I179&lt;&gt;"",$J179&lt;&gt;""),MAX(1,($J179-$I179)/7),Templates!$B$39))</f>
        <v/>
      </c>
      <c r="BJ179" s="18">
        <f>IF(OR($A179="",$BD179=0),0,($AY179*Templates!$B$27/$BE179+$AZ179*Templates!$B$28/$BF179+$BA179*Templates!$B$29/$BG179+$BB179*Templates!$B$30/$BH179+$BC179*Templates!$B$31/$BI179)/Templates!$B$17)</f>
        <v/>
      </c>
      <c r="BK179" s="18">
        <f>IF(OR($A179="",$BD179=0),0,($AY179*Templates!$C$27/$BE179+$AZ179*Templates!$C$28/$BF179+$BA179*Templates!$C$29/$BG179+$BB179*Templates!$C$30/$BH179+$BC179*Templates!$C$31/$BI179)/Templates!$B$18)</f>
        <v/>
      </c>
      <c r="BL179" s="18">
        <f>IF(OR($A179="",$BD179=0),0,($AY179*Templates!$D$27/$BE179+$AZ179*Templates!$D$28/$BF179+$BA179*Templates!$D$29/$BG179+$BB179*Templates!$D$30/$BH179+$BC179*Templates!$D$31/$BI179)/Templates!$B$19)</f>
        <v/>
      </c>
      <c r="BM179" s="18">
        <f>IF(OR($A179="",$BD179=0),0,($AY179*Templates!$E$27/$BE179+$AZ179*Templates!$E$28/$BF179+$BA179*Templates!$E$29/$BG179+$BB179*Templates!$E$30/$BH179+$BC179*Templates!$E$31/$BI179)/Templates!$B$20)</f>
        <v/>
      </c>
      <c r="BN179" s="18">
        <f>IF(OR($A179="",$BD179=0),0,($AY179*Templates!$F$27/$BE179+$AZ179*Templates!$F$28/$BF179+$BA179*Templates!$F$29/$BG179+$BB179*Templates!$F$30/$BH179+$BC179*Templates!$F$31/$BI179)/Templates!$B$21)</f>
        <v/>
      </c>
      <c r="BO179" s="18">
        <f>IF(OR($A179="",$BD179=0),0,($AY179*Templates!$G$27/$BE179+$AZ179*Templates!$G$28/$BF179+$BA179*Templates!$G$29/$BG179+$BB179*Templates!$G$30/$BH179+$BC179*Templates!$G$31/$BI179)/Templates!$B$22)</f>
        <v/>
      </c>
      <c r="BP179" s="18">
        <f>IF(OR($A179="",$BD179=0),0,($AY179*Templates!$H$27/$BE179+$AZ179*Templates!$H$28/$BF179+$BA179*Templates!$H$29/$BG179+$BB179*Templates!$H$30/$BH179+$BC179*Templates!$H$31/$BI179)/Templates!$B$23)</f>
        <v/>
      </c>
    </row>
    <row r="180">
      <c r="A180" s="28" t="inlineStr">
        <is>
          <t>Tax_7</t>
        </is>
      </c>
      <c r="B180" s="20" t="inlineStr">
        <is>
          <t>reNRG TX 8 LLC</t>
        </is>
      </c>
      <c r="C180" s="28" t="inlineStr">
        <is>
          <t>reNRG TX 8 LLC</t>
        </is>
      </c>
      <c r="D180" s="28" t="inlineStr"/>
      <c r="E180" s="28" t="inlineStr">
        <is>
          <t>No</t>
        </is>
      </c>
      <c r="F180" s="28" t="inlineStr">
        <is>
          <t>Active</t>
        </is>
      </c>
      <c r="G180" s="38" t="n"/>
      <c r="H180" s="29" t="n">
        <v>1</v>
      </c>
      <c r="I180" s="39" t="n"/>
      <c r="J180" s="39" t="n"/>
      <c r="K180" s="31" t="n"/>
      <c r="L180" s="31" t="n"/>
      <c r="M180" s="31" t="n"/>
      <c r="N180" s="31" t="n"/>
      <c r="O180" s="31" t="n"/>
      <c r="P180" s="31" t="n"/>
      <c r="Q180" s="23">
        <f>IF($A180="","",COUNTIFS(Assignments!$C$2:$C$769,$A180,Assignments!$G$2:$G$769,"Active"))</f>
        <v/>
      </c>
      <c r="R180" s="32">
        <f>IF($A180="","",SUMIFS(Assignments!$I$2:$I$769,Assignments!$C$2:$C$769,$A180,Assignments!$G$2:$G$769,"Active"))</f>
        <v/>
      </c>
      <c r="S180" s="20" t="inlineStr">
        <is>
          <t>WIP</t>
        </is>
      </c>
      <c r="T180" s="31" t="n"/>
      <c r="U180" s="38" t="n"/>
      <c r="V180" s="34">
        <f>IF($U180="","",IFERROR(INDEX(Templates!$K$3:$K$10,MATCH($U180,Templates!$A$3:$A$10,0)),""))</f>
        <v/>
      </c>
      <c r="W180" s="34">
        <f>IF($U180="","",IFERROR(INDEX(Templates!$L$3:$L$10,MATCH($U180,Templates!$A$3:$A$10,0)),""))</f>
        <v/>
      </c>
      <c r="X180" s="21">
        <f>IF($U180="","",IFERROR(INDEX(Templates!$J$3:$J$10,MATCH($U180,Templates!$A$3:$A$10,0)),""))</f>
        <v/>
      </c>
      <c r="Y180" s="35">
        <f>IF(OR($U180="",$I180="",$J180="",$X180=""),"",$I180+$X180*($J180-$I180))</f>
        <v/>
      </c>
      <c r="Z180" s="30" t="n">
        <v>46212</v>
      </c>
      <c r="AA180" s="40" t="n"/>
      <c r="AB180" s="41" t="n"/>
      <c r="AC180" s="41" t="n"/>
      <c r="AD180" s="19">
        <f>IF($A180="","",IF($AA180="",$H180,$AA180))</f>
        <v/>
      </c>
      <c r="AE180" s="35">
        <f>IF($A180="","",IF($AB180="",$I180,$AB180))</f>
        <v/>
      </c>
      <c r="AF180" s="35">
        <f>IF($A180="","",IF($AC180="",$J180,$AC180))</f>
        <v/>
      </c>
      <c r="AG180" s="35">
        <f>IF(OR($U180="",$AE180="",$AF180="",$X180=""),"",$AE180+$X180*($AF180-$AE180))</f>
        <v/>
      </c>
      <c r="AH180" s="38" t="n"/>
      <c r="AI180" s="38" t="n"/>
      <c r="AJ180" s="38" t="n"/>
      <c r="AK180" s="38" t="n"/>
      <c r="AL180" s="38" t="n"/>
      <c r="AM180" s="38" t="n"/>
      <c r="AN180" s="38" t="n"/>
      <c r="AO180" s="38" t="n"/>
      <c r="AP180" s="38" t="n"/>
      <c r="AQ180" s="38" t="n"/>
      <c r="AR180" s="38" t="n"/>
      <c r="AS180" s="38" t="n"/>
      <c r="AT180" s="38" t="n"/>
      <c r="AU180" s="38" t="n"/>
      <c r="AV180" s="38" t="n"/>
      <c r="AW180" s="38" t="n"/>
      <c r="AX180" s="38" t="n"/>
      <c r="AY180" s="42" t="n"/>
      <c r="AZ180" s="42" t="n"/>
      <c r="BA180" s="42" t="n"/>
      <c r="BB180" s="42" t="n"/>
      <c r="BC180" s="42" t="n"/>
      <c r="BD180" s="37">
        <f>IF($A180="","",SUM($AY180:$BC180))</f>
        <v/>
      </c>
      <c r="BE180" s="18">
        <f>IF($A180="","",IF(AND($I180&lt;&gt;"",$J180&lt;&gt;""),MAX(1,($J180-$I180)/7),Templates!$B$35))</f>
        <v/>
      </c>
      <c r="BF180" s="18">
        <f>IF($A180="","",IF(AND($I180&lt;&gt;"",$J180&lt;&gt;""),MAX(1,($J180-$I180)/7),Templates!$B$36))</f>
        <v/>
      </c>
      <c r="BG180" s="18">
        <f>IF($A180="","",IF(AND($I180&lt;&gt;"",$J180&lt;&gt;""),MAX(1,($J180-$I180)/7),Templates!$B$37))</f>
        <v/>
      </c>
      <c r="BH180" s="18">
        <f>IF($A180="","",IF(AND($I180&lt;&gt;"",$J180&lt;&gt;""),MAX(1,($J180-$I180)/7),Templates!$B$38))</f>
        <v/>
      </c>
      <c r="BI180" s="18">
        <f>IF($A180="","",IF(AND($I180&lt;&gt;"",$J180&lt;&gt;""),MAX(1,($J180-$I180)/7),Templates!$B$39))</f>
        <v/>
      </c>
      <c r="BJ180" s="18">
        <f>IF(OR($A180="",$BD180=0),0,($AY180*Templates!$B$27/$BE180+$AZ180*Templates!$B$28/$BF180+$BA180*Templates!$B$29/$BG180+$BB180*Templates!$B$30/$BH180+$BC180*Templates!$B$31/$BI180)/Templates!$B$17)</f>
        <v/>
      </c>
      <c r="BK180" s="18">
        <f>IF(OR($A180="",$BD180=0),0,($AY180*Templates!$C$27/$BE180+$AZ180*Templates!$C$28/$BF180+$BA180*Templates!$C$29/$BG180+$BB180*Templates!$C$30/$BH180+$BC180*Templates!$C$31/$BI180)/Templates!$B$18)</f>
        <v/>
      </c>
      <c r="BL180" s="18">
        <f>IF(OR($A180="",$BD180=0),0,($AY180*Templates!$D$27/$BE180+$AZ180*Templates!$D$28/$BF180+$BA180*Templates!$D$29/$BG180+$BB180*Templates!$D$30/$BH180+$BC180*Templates!$D$31/$BI180)/Templates!$B$19)</f>
        <v/>
      </c>
      <c r="BM180" s="18">
        <f>IF(OR($A180="",$BD180=0),0,($AY180*Templates!$E$27/$BE180+$AZ180*Templates!$E$28/$BF180+$BA180*Templates!$E$29/$BG180+$BB180*Templates!$E$30/$BH180+$BC180*Templates!$E$31/$BI180)/Templates!$B$20)</f>
        <v/>
      </c>
      <c r="BN180" s="18">
        <f>IF(OR($A180="",$BD180=0),0,($AY180*Templates!$F$27/$BE180+$AZ180*Templates!$F$28/$BF180+$BA180*Templates!$F$29/$BG180+$BB180*Templates!$F$30/$BH180+$BC180*Templates!$F$31/$BI180)/Templates!$B$21)</f>
        <v/>
      </c>
      <c r="BO180" s="18">
        <f>IF(OR($A180="",$BD180=0),0,($AY180*Templates!$G$27/$BE180+$AZ180*Templates!$G$28/$BF180+$BA180*Templates!$G$29/$BG180+$BB180*Templates!$G$30/$BH180+$BC180*Templates!$G$31/$BI180)/Templates!$B$22)</f>
        <v/>
      </c>
      <c r="BP180" s="18">
        <f>IF(OR($A180="",$BD180=0),0,($AY180*Templates!$H$27/$BE180+$AZ180*Templates!$H$28/$BF180+$BA180*Templates!$H$29/$BG180+$BB180*Templates!$H$30/$BH180+$BC180*Templates!$H$31/$BI180)/Templates!$B$23)</f>
        <v/>
      </c>
    </row>
    <row r="181">
      <c r="A181" s="28" t="inlineStr">
        <is>
          <t>Tax_8</t>
        </is>
      </c>
      <c r="B181" s="20" t="inlineStr">
        <is>
          <t>Uriel Renewables, Inc.</t>
        </is>
      </c>
      <c r="C181" s="28" t="inlineStr">
        <is>
          <t>Uriel Renewables, Inc.</t>
        </is>
      </c>
      <c r="D181" s="28" t="inlineStr"/>
      <c r="E181" s="28" t="inlineStr">
        <is>
          <t>No</t>
        </is>
      </c>
      <c r="F181" s="28" t="inlineStr">
        <is>
          <t>Active</t>
        </is>
      </c>
      <c r="G181" s="38" t="n"/>
      <c r="H181" s="29" t="n">
        <v>1</v>
      </c>
      <c r="I181" s="39" t="n"/>
      <c r="J181" s="39" t="n"/>
      <c r="K181" s="31" t="n"/>
      <c r="L181" s="31" t="n"/>
      <c r="M181" s="31" t="n"/>
      <c r="N181" s="31" t="n"/>
      <c r="O181" s="31" t="n"/>
      <c r="P181" s="31" t="n"/>
      <c r="Q181" s="23">
        <f>IF($A181="","",COUNTIFS(Assignments!$C$2:$C$769,$A181,Assignments!$G$2:$G$769,"Active"))</f>
        <v/>
      </c>
      <c r="R181" s="32">
        <f>IF($A181="","",SUMIFS(Assignments!$I$2:$I$769,Assignments!$C$2:$C$769,$A181,Assignments!$G$2:$G$769,"Active"))</f>
        <v/>
      </c>
      <c r="S181" s="20" t="inlineStr">
        <is>
          <t>WIP</t>
        </is>
      </c>
      <c r="T181" s="31" t="n"/>
      <c r="U181" s="38" t="n"/>
      <c r="V181" s="34">
        <f>IF($U181="","",IFERROR(INDEX(Templates!$K$3:$K$10,MATCH($U181,Templates!$A$3:$A$10,0)),""))</f>
        <v/>
      </c>
      <c r="W181" s="34">
        <f>IF($U181="","",IFERROR(INDEX(Templates!$L$3:$L$10,MATCH($U181,Templates!$A$3:$A$10,0)),""))</f>
        <v/>
      </c>
      <c r="X181" s="21">
        <f>IF($U181="","",IFERROR(INDEX(Templates!$J$3:$J$10,MATCH($U181,Templates!$A$3:$A$10,0)),""))</f>
        <v/>
      </c>
      <c r="Y181" s="35">
        <f>IF(OR($U181="",$I181="",$J181="",$X181=""),"",$I181+$X181*($J181-$I181))</f>
        <v/>
      </c>
      <c r="Z181" s="30" t="n">
        <v>46212</v>
      </c>
      <c r="AA181" s="40" t="n"/>
      <c r="AB181" s="41" t="n"/>
      <c r="AC181" s="41" t="n"/>
      <c r="AD181" s="19">
        <f>IF($A181="","",IF($AA181="",$H181,$AA181))</f>
        <v/>
      </c>
      <c r="AE181" s="35">
        <f>IF($A181="","",IF($AB181="",$I181,$AB181))</f>
        <v/>
      </c>
      <c r="AF181" s="35">
        <f>IF($A181="","",IF($AC181="",$J181,$AC181))</f>
        <v/>
      </c>
      <c r="AG181" s="35">
        <f>IF(OR($U181="",$AE181="",$AF181="",$X181=""),"",$AE181+$X181*($AF181-$AE181))</f>
        <v/>
      </c>
      <c r="AH181" s="38" t="n"/>
      <c r="AI181" s="38" t="n"/>
      <c r="AJ181" s="38" t="n"/>
      <c r="AK181" s="38" t="n"/>
      <c r="AL181" s="38" t="n"/>
      <c r="AM181" s="38" t="n"/>
      <c r="AN181" s="38" t="n"/>
      <c r="AO181" s="38" t="n"/>
      <c r="AP181" s="38" t="n"/>
      <c r="AQ181" s="38" t="n"/>
      <c r="AR181" s="38" t="n"/>
      <c r="AS181" s="38" t="n"/>
      <c r="AT181" s="38" t="n"/>
      <c r="AU181" s="38" t="n"/>
      <c r="AV181" s="38" t="n"/>
      <c r="AW181" s="38" t="n"/>
      <c r="AX181" s="38" t="n"/>
      <c r="AY181" s="42" t="n"/>
      <c r="AZ181" s="42" t="n"/>
      <c r="BA181" s="42" t="n"/>
      <c r="BB181" s="42" t="n"/>
      <c r="BC181" s="42" t="n"/>
      <c r="BD181" s="37">
        <f>IF($A181="","",SUM($AY181:$BC181))</f>
        <v/>
      </c>
      <c r="BE181" s="18">
        <f>IF($A181="","",IF(AND($I181&lt;&gt;"",$J181&lt;&gt;""),MAX(1,($J181-$I181)/7),Templates!$B$35))</f>
        <v/>
      </c>
      <c r="BF181" s="18">
        <f>IF($A181="","",IF(AND($I181&lt;&gt;"",$J181&lt;&gt;""),MAX(1,($J181-$I181)/7),Templates!$B$36))</f>
        <v/>
      </c>
      <c r="BG181" s="18">
        <f>IF($A181="","",IF(AND($I181&lt;&gt;"",$J181&lt;&gt;""),MAX(1,($J181-$I181)/7),Templates!$B$37))</f>
        <v/>
      </c>
      <c r="BH181" s="18">
        <f>IF($A181="","",IF(AND($I181&lt;&gt;"",$J181&lt;&gt;""),MAX(1,($J181-$I181)/7),Templates!$B$38))</f>
        <v/>
      </c>
      <c r="BI181" s="18">
        <f>IF($A181="","",IF(AND($I181&lt;&gt;"",$J181&lt;&gt;""),MAX(1,($J181-$I181)/7),Templates!$B$39))</f>
        <v/>
      </c>
      <c r="BJ181" s="18">
        <f>IF(OR($A181="",$BD181=0),0,($AY181*Templates!$B$27/$BE181+$AZ181*Templates!$B$28/$BF181+$BA181*Templates!$B$29/$BG181+$BB181*Templates!$B$30/$BH181+$BC181*Templates!$B$31/$BI181)/Templates!$B$17)</f>
        <v/>
      </c>
      <c r="BK181" s="18">
        <f>IF(OR($A181="",$BD181=0),0,($AY181*Templates!$C$27/$BE181+$AZ181*Templates!$C$28/$BF181+$BA181*Templates!$C$29/$BG181+$BB181*Templates!$C$30/$BH181+$BC181*Templates!$C$31/$BI181)/Templates!$B$18)</f>
        <v/>
      </c>
      <c r="BL181" s="18">
        <f>IF(OR($A181="",$BD181=0),0,($AY181*Templates!$D$27/$BE181+$AZ181*Templates!$D$28/$BF181+$BA181*Templates!$D$29/$BG181+$BB181*Templates!$D$30/$BH181+$BC181*Templates!$D$31/$BI181)/Templates!$B$19)</f>
        <v/>
      </c>
      <c r="BM181" s="18">
        <f>IF(OR($A181="",$BD181=0),0,($AY181*Templates!$E$27/$BE181+$AZ181*Templates!$E$28/$BF181+$BA181*Templates!$E$29/$BG181+$BB181*Templates!$E$30/$BH181+$BC181*Templates!$E$31/$BI181)/Templates!$B$20)</f>
        <v/>
      </c>
      <c r="BN181" s="18">
        <f>IF(OR($A181="",$BD181=0),0,($AY181*Templates!$F$27/$BE181+$AZ181*Templates!$F$28/$BF181+$BA181*Templates!$F$29/$BG181+$BB181*Templates!$F$30/$BH181+$BC181*Templates!$F$31/$BI181)/Templates!$B$21)</f>
        <v/>
      </c>
      <c r="BO181" s="18">
        <f>IF(OR($A181="",$BD181=0),0,($AY181*Templates!$G$27/$BE181+$AZ181*Templates!$G$28/$BF181+$BA181*Templates!$G$29/$BG181+$BB181*Templates!$G$30/$BH181+$BC181*Templates!$G$31/$BI181)/Templates!$B$22)</f>
        <v/>
      </c>
      <c r="BP181" s="18">
        <f>IF(OR($A181="",$BD181=0),0,($AY181*Templates!$H$27/$BE181+$AZ181*Templates!$H$28/$BF181+$BA181*Templates!$H$29/$BG181+$BB181*Templates!$H$30/$BH181+$BC181*Templates!$H$31/$BI181)/Templates!$B$23)</f>
        <v/>
      </c>
    </row>
    <row r="182">
      <c r="A182" s="28" t="inlineStr">
        <is>
          <t>Tennessee_1</t>
        </is>
      </c>
      <c r="B182" s="20" t="inlineStr">
        <is>
          <t>Ardian : ASTM North America</t>
        </is>
      </c>
      <c r="C182" s="28" t="inlineStr">
        <is>
          <t>Ardian</t>
        </is>
      </c>
      <c r="D182" s="28" t="inlineStr">
        <is>
          <t>ASTM North America</t>
        </is>
      </c>
      <c r="E182" s="28" t="inlineStr">
        <is>
          <t>No</t>
        </is>
      </c>
      <c r="F182" s="28" t="inlineStr">
        <is>
          <t>Active</t>
        </is>
      </c>
      <c r="G182" s="38" t="n"/>
      <c r="H182" s="29" t="n">
        <v>1</v>
      </c>
      <c r="I182" s="39" t="n"/>
      <c r="J182" s="39" t="n"/>
      <c r="K182" s="31" t="n"/>
      <c r="L182" s="31" t="n"/>
      <c r="M182" s="31" t="n"/>
      <c r="N182" s="31" t="n"/>
      <c r="O182" s="31" t="n"/>
      <c r="P182" s="31" t="n"/>
      <c r="Q182" s="23">
        <f>IF($A182="","",COUNTIFS(Assignments!$C$2:$C$769,$A182,Assignments!$G$2:$G$769,"Active"))</f>
        <v/>
      </c>
      <c r="R182" s="32">
        <f>IF($A182="","",SUMIFS(Assignments!$I$2:$I$769,Assignments!$C$2:$C$769,$A182,Assignments!$G$2:$G$769,"Active"))</f>
        <v/>
      </c>
      <c r="S182" s="20" t="inlineStr">
        <is>
          <t>WIP</t>
        </is>
      </c>
      <c r="T182" s="31" t="n"/>
      <c r="U182" s="38" t="n"/>
      <c r="V182" s="34">
        <f>IF($U182="","",IFERROR(INDEX(Templates!$K$3:$K$10,MATCH($U182,Templates!$A$3:$A$10,0)),""))</f>
        <v/>
      </c>
      <c r="W182" s="34">
        <f>IF($U182="","",IFERROR(INDEX(Templates!$L$3:$L$10,MATCH($U182,Templates!$A$3:$A$10,0)),""))</f>
        <v/>
      </c>
      <c r="X182" s="21">
        <f>IF($U182="","",IFERROR(INDEX(Templates!$J$3:$J$10,MATCH($U182,Templates!$A$3:$A$10,0)),""))</f>
        <v/>
      </c>
      <c r="Y182" s="35">
        <f>IF(OR($U182="",$I182="",$J182="",$X182=""),"",$I182+$X182*($J182-$I182))</f>
        <v/>
      </c>
      <c r="Z182" s="30" t="n">
        <v>46212</v>
      </c>
      <c r="AA182" s="40" t="n"/>
      <c r="AB182" s="41" t="n"/>
      <c r="AC182" s="41" t="n"/>
      <c r="AD182" s="19">
        <f>IF($A182="","",IF($AA182="",$H182,$AA182))</f>
        <v/>
      </c>
      <c r="AE182" s="35">
        <f>IF($A182="","",IF($AB182="",$I182,$AB182))</f>
        <v/>
      </c>
      <c r="AF182" s="35">
        <f>IF($A182="","",IF($AC182="",$J182,$AC182))</f>
        <v/>
      </c>
      <c r="AG182" s="35">
        <f>IF(OR($U182="",$AE182="",$AF182="",$X182=""),"",$AE182+$X182*($AF182-$AE182))</f>
        <v/>
      </c>
      <c r="AH182" s="38" t="n"/>
      <c r="AI182" s="38" t="n"/>
      <c r="AJ182" s="38" t="n"/>
      <c r="AK182" s="38" t="n"/>
      <c r="AL182" s="38" t="n"/>
      <c r="AM182" s="38" t="n"/>
      <c r="AN182" s="38" t="n"/>
      <c r="AO182" s="38" t="n"/>
      <c r="AP182" s="38" t="n"/>
      <c r="AQ182" s="38" t="n"/>
      <c r="AR182" s="38" t="n"/>
      <c r="AS182" s="38" t="n"/>
      <c r="AT182" s="38" t="n"/>
      <c r="AU182" s="38" t="n"/>
      <c r="AV182" s="38" t="n"/>
      <c r="AW182" s="38" t="n"/>
      <c r="AX182" s="38" t="n"/>
      <c r="AY182" s="42" t="n"/>
      <c r="AZ182" s="42" t="n"/>
      <c r="BA182" s="42" t="n"/>
      <c r="BB182" s="42" t="n"/>
      <c r="BC182" s="42" t="n"/>
      <c r="BD182" s="37">
        <f>IF($A182="","",SUM($AY182:$BC182))</f>
        <v/>
      </c>
      <c r="BE182" s="18">
        <f>IF($A182="","",IF(AND($I182&lt;&gt;"",$J182&lt;&gt;""),MAX(1,($J182-$I182)/7),Templates!$B$35))</f>
        <v/>
      </c>
      <c r="BF182" s="18">
        <f>IF($A182="","",IF(AND($I182&lt;&gt;"",$J182&lt;&gt;""),MAX(1,($J182-$I182)/7),Templates!$B$36))</f>
        <v/>
      </c>
      <c r="BG182" s="18">
        <f>IF($A182="","",IF(AND($I182&lt;&gt;"",$J182&lt;&gt;""),MAX(1,($J182-$I182)/7),Templates!$B$37))</f>
        <v/>
      </c>
      <c r="BH182" s="18">
        <f>IF($A182="","",IF(AND($I182&lt;&gt;"",$J182&lt;&gt;""),MAX(1,($J182-$I182)/7),Templates!$B$38))</f>
        <v/>
      </c>
      <c r="BI182" s="18">
        <f>IF($A182="","",IF(AND($I182&lt;&gt;"",$J182&lt;&gt;""),MAX(1,($J182-$I182)/7),Templates!$B$39))</f>
        <v/>
      </c>
      <c r="BJ182" s="18">
        <f>IF(OR($A182="",$BD182=0),0,($AY182*Templates!$B$27/$BE182+$AZ182*Templates!$B$28/$BF182+$BA182*Templates!$B$29/$BG182+$BB182*Templates!$B$30/$BH182+$BC182*Templates!$B$31/$BI182)/Templates!$B$17)</f>
        <v/>
      </c>
      <c r="BK182" s="18">
        <f>IF(OR($A182="",$BD182=0),0,($AY182*Templates!$C$27/$BE182+$AZ182*Templates!$C$28/$BF182+$BA182*Templates!$C$29/$BG182+$BB182*Templates!$C$30/$BH182+$BC182*Templates!$C$31/$BI182)/Templates!$B$18)</f>
        <v/>
      </c>
      <c r="BL182" s="18">
        <f>IF(OR($A182="",$BD182=0),0,($AY182*Templates!$D$27/$BE182+$AZ182*Templates!$D$28/$BF182+$BA182*Templates!$D$29/$BG182+$BB182*Templates!$D$30/$BH182+$BC182*Templates!$D$31/$BI182)/Templates!$B$19)</f>
        <v/>
      </c>
      <c r="BM182" s="18">
        <f>IF(OR($A182="",$BD182=0),0,($AY182*Templates!$E$27/$BE182+$AZ182*Templates!$E$28/$BF182+$BA182*Templates!$E$29/$BG182+$BB182*Templates!$E$30/$BH182+$BC182*Templates!$E$31/$BI182)/Templates!$B$20)</f>
        <v/>
      </c>
      <c r="BN182" s="18">
        <f>IF(OR($A182="",$BD182=0),0,($AY182*Templates!$F$27/$BE182+$AZ182*Templates!$F$28/$BF182+$BA182*Templates!$F$29/$BG182+$BB182*Templates!$F$30/$BH182+$BC182*Templates!$F$31/$BI182)/Templates!$B$21)</f>
        <v/>
      </c>
      <c r="BO182" s="18">
        <f>IF(OR($A182="",$BD182=0),0,($AY182*Templates!$G$27/$BE182+$AZ182*Templates!$G$28/$BF182+$BA182*Templates!$G$29/$BG182+$BB182*Templates!$G$30/$BH182+$BC182*Templates!$G$31/$BI182)/Templates!$B$22)</f>
        <v/>
      </c>
      <c r="BP182" s="18">
        <f>IF(OR($A182="",$BD182=0),0,($AY182*Templates!$H$27/$BE182+$AZ182*Templates!$H$28/$BF182+$BA182*Templates!$H$29/$BG182+$BB182*Templates!$H$30/$BH182+$BC182*Templates!$H$31/$BI182)/Templates!$B$23)</f>
        <v/>
      </c>
    </row>
    <row r="183">
      <c r="A183" s="28" t="inlineStr">
        <is>
          <t>TEP Structuring_3</t>
        </is>
      </c>
      <c r="B183" s="20" t="inlineStr">
        <is>
          <t>Trajectory Energy Partners</t>
        </is>
      </c>
      <c r="C183" s="28" t="inlineStr">
        <is>
          <t>Trajectory Energy Partners</t>
        </is>
      </c>
      <c r="D183" s="28" t="inlineStr"/>
      <c r="E183" s="28" t="inlineStr">
        <is>
          <t>No</t>
        </is>
      </c>
      <c r="F183" s="28" t="inlineStr">
        <is>
          <t>Active</t>
        </is>
      </c>
      <c r="G183" s="38" t="n"/>
      <c r="H183" s="29" t="n">
        <v>1</v>
      </c>
      <c r="I183" s="39" t="n"/>
      <c r="J183" s="39" t="n"/>
      <c r="K183" s="31" t="n"/>
      <c r="L183" s="31" t="n"/>
      <c r="M183" s="31" t="n"/>
      <c r="N183" s="31" t="n"/>
      <c r="O183" s="31" t="n"/>
      <c r="P183" s="31" t="n"/>
      <c r="Q183" s="23">
        <f>IF($A183="","",COUNTIFS(Assignments!$C$2:$C$769,$A183,Assignments!$G$2:$G$769,"Active"))</f>
        <v/>
      </c>
      <c r="R183" s="32">
        <f>IF($A183="","",SUMIFS(Assignments!$I$2:$I$769,Assignments!$C$2:$C$769,$A183,Assignments!$G$2:$G$769,"Active"))</f>
        <v/>
      </c>
      <c r="S183" s="20" t="inlineStr">
        <is>
          <t>WIP</t>
        </is>
      </c>
      <c r="T183" s="31" t="n"/>
      <c r="U183" s="38" t="n"/>
      <c r="V183" s="34">
        <f>IF($U183="","",IFERROR(INDEX(Templates!$K$3:$K$10,MATCH($U183,Templates!$A$3:$A$10,0)),""))</f>
        <v/>
      </c>
      <c r="W183" s="34">
        <f>IF($U183="","",IFERROR(INDEX(Templates!$L$3:$L$10,MATCH($U183,Templates!$A$3:$A$10,0)),""))</f>
        <v/>
      </c>
      <c r="X183" s="21">
        <f>IF($U183="","",IFERROR(INDEX(Templates!$J$3:$J$10,MATCH($U183,Templates!$A$3:$A$10,0)),""))</f>
        <v/>
      </c>
      <c r="Y183" s="35">
        <f>IF(OR($U183="",$I183="",$J183="",$X183=""),"",$I183+$X183*($J183-$I183))</f>
        <v/>
      </c>
      <c r="Z183" s="30" t="n">
        <v>46212</v>
      </c>
      <c r="AA183" s="40" t="n"/>
      <c r="AB183" s="41" t="n"/>
      <c r="AC183" s="41" t="n"/>
      <c r="AD183" s="19">
        <f>IF($A183="","",IF($AA183="",$H183,$AA183))</f>
        <v/>
      </c>
      <c r="AE183" s="35">
        <f>IF($A183="","",IF($AB183="",$I183,$AB183))</f>
        <v/>
      </c>
      <c r="AF183" s="35">
        <f>IF($A183="","",IF($AC183="",$J183,$AC183))</f>
        <v/>
      </c>
      <c r="AG183" s="35">
        <f>IF(OR($U183="",$AE183="",$AF183="",$X183=""),"",$AE183+$X183*($AF183-$AE183))</f>
        <v/>
      </c>
      <c r="AH183" s="38" t="n"/>
      <c r="AI183" s="38" t="n"/>
      <c r="AJ183" s="38" t="n"/>
      <c r="AK183" s="38" t="n"/>
      <c r="AL183" s="38" t="n"/>
      <c r="AM183" s="38" t="n"/>
      <c r="AN183" s="38" t="n"/>
      <c r="AO183" s="38" t="n"/>
      <c r="AP183" s="38" t="n"/>
      <c r="AQ183" s="38" t="n"/>
      <c r="AR183" s="38" t="n"/>
      <c r="AS183" s="38" t="n"/>
      <c r="AT183" s="38" t="n"/>
      <c r="AU183" s="38" t="n"/>
      <c r="AV183" s="38" t="n"/>
      <c r="AW183" s="38" t="n"/>
      <c r="AX183" s="38" t="n"/>
      <c r="AY183" s="42" t="n"/>
      <c r="AZ183" s="42" t="n"/>
      <c r="BA183" s="42" t="n"/>
      <c r="BB183" s="42" t="n"/>
      <c r="BC183" s="42" t="n"/>
      <c r="BD183" s="37">
        <f>IF($A183="","",SUM($AY183:$BC183))</f>
        <v/>
      </c>
      <c r="BE183" s="18">
        <f>IF($A183="","",IF(AND($I183&lt;&gt;"",$J183&lt;&gt;""),MAX(1,($J183-$I183)/7),Templates!$B$35))</f>
        <v/>
      </c>
      <c r="BF183" s="18">
        <f>IF($A183="","",IF(AND($I183&lt;&gt;"",$J183&lt;&gt;""),MAX(1,($J183-$I183)/7),Templates!$B$36))</f>
        <v/>
      </c>
      <c r="BG183" s="18">
        <f>IF($A183="","",IF(AND($I183&lt;&gt;"",$J183&lt;&gt;""),MAX(1,($J183-$I183)/7),Templates!$B$37))</f>
        <v/>
      </c>
      <c r="BH183" s="18">
        <f>IF($A183="","",IF(AND($I183&lt;&gt;"",$J183&lt;&gt;""),MAX(1,($J183-$I183)/7),Templates!$B$38))</f>
        <v/>
      </c>
      <c r="BI183" s="18">
        <f>IF($A183="","",IF(AND($I183&lt;&gt;"",$J183&lt;&gt;""),MAX(1,($J183-$I183)/7),Templates!$B$39))</f>
        <v/>
      </c>
      <c r="BJ183" s="18">
        <f>IF(OR($A183="",$BD183=0),0,($AY183*Templates!$B$27/$BE183+$AZ183*Templates!$B$28/$BF183+$BA183*Templates!$B$29/$BG183+$BB183*Templates!$B$30/$BH183+$BC183*Templates!$B$31/$BI183)/Templates!$B$17)</f>
        <v/>
      </c>
      <c r="BK183" s="18">
        <f>IF(OR($A183="",$BD183=0),0,($AY183*Templates!$C$27/$BE183+$AZ183*Templates!$C$28/$BF183+$BA183*Templates!$C$29/$BG183+$BB183*Templates!$C$30/$BH183+$BC183*Templates!$C$31/$BI183)/Templates!$B$18)</f>
        <v/>
      </c>
      <c r="BL183" s="18">
        <f>IF(OR($A183="",$BD183=0),0,($AY183*Templates!$D$27/$BE183+$AZ183*Templates!$D$28/$BF183+$BA183*Templates!$D$29/$BG183+$BB183*Templates!$D$30/$BH183+$BC183*Templates!$D$31/$BI183)/Templates!$B$19)</f>
        <v/>
      </c>
      <c r="BM183" s="18">
        <f>IF(OR($A183="",$BD183=0),0,($AY183*Templates!$E$27/$BE183+$AZ183*Templates!$E$28/$BF183+$BA183*Templates!$E$29/$BG183+$BB183*Templates!$E$30/$BH183+$BC183*Templates!$E$31/$BI183)/Templates!$B$20)</f>
        <v/>
      </c>
      <c r="BN183" s="18">
        <f>IF(OR($A183="",$BD183=0),0,($AY183*Templates!$F$27/$BE183+$AZ183*Templates!$F$28/$BF183+$BA183*Templates!$F$29/$BG183+$BB183*Templates!$F$30/$BH183+$BC183*Templates!$F$31/$BI183)/Templates!$B$21)</f>
        <v/>
      </c>
      <c r="BO183" s="18">
        <f>IF(OR($A183="",$BD183=0),0,($AY183*Templates!$G$27/$BE183+$AZ183*Templates!$G$28/$BF183+$BA183*Templates!$G$29/$BG183+$BB183*Templates!$G$30/$BH183+$BC183*Templates!$G$31/$BI183)/Templates!$B$22)</f>
        <v/>
      </c>
      <c r="BP183" s="18">
        <f>IF(OR($A183="",$BD183=0),0,($AY183*Templates!$H$27/$BE183+$AZ183*Templates!$H$28/$BF183+$BA183*Templates!$H$29/$BG183+$BB183*Templates!$H$30/$BH183+$BC183*Templates!$H$31/$BI183)/Templates!$B$23)</f>
        <v/>
      </c>
    </row>
    <row r="184">
      <c r="A184" s="28" t="inlineStr">
        <is>
          <t>TEP Tax_1</t>
        </is>
      </c>
      <c r="B184" s="20" t="inlineStr">
        <is>
          <t>TEP Tax_1</t>
        </is>
      </c>
      <c r="C184" s="28" t="inlineStr">
        <is>
          <t>TEP Tax_1</t>
        </is>
      </c>
      <c r="D184" s="28" t="inlineStr"/>
      <c r="E184" s="28" t="inlineStr">
        <is>
          <t>No</t>
        </is>
      </c>
      <c r="F184" s="28" t="inlineStr">
        <is>
          <t>Active</t>
        </is>
      </c>
      <c r="G184" s="38" t="n"/>
      <c r="H184" s="29" t="n">
        <v>1</v>
      </c>
      <c r="I184" s="39" t="n"/>
      <c r="J184" s="39" t="n"/>
      <c r="K184" s="31" t="n"/>
      <c r="L184" s="31" t="n"/>
      <c r="M184" s="31" t="n"/>
      <c r="N184" s="31" t="n"/>
      <c r="O184" s="31" t="n"/>
      <c r="P184" s="31" t="n"/>
      <c r="Q184" s="23">
        <f>IF($A184="","",COUNTIFS(Assignments!$C$2:$C$769,$A184,Assignments!$G$2:$G$769,"Active"))</f>
        <v/>
      </c>
      <c r="R184" s="32">
        <f>IF($A184="","",SUMIFS(Assignments!$I$2:$I$769,Assignments!$C$2:$C$769,$A184,Assignments!$G$2:$G$769,"Active"))</f>
        <v/>
      </c>
      <c r="S184" s="20" t="inlineStr">
        <is>
          <t>WIP</t>
        </is>
      </c>
      <c r="T184" s="31" t="n"/>
      <c r="U184" s="38" t="n"/>
      <c r="V184" s="34">
        <f>IF($U184="","",IFERROR(INDEX(Templates!$K$3:$K$10,MATCH($U184,Templates!$A$3:$A$10,0)),""))</f>
        <v/>
      </c>
      <c r="W184" s="34">
        <f>IF($U184="","",IFERROR(INDEX(Templates!$L$3:$L$10,MATCH($U184,Templates!$A$3:$A$10,0)),""))</f>
        <v/>
      </c>
      <c r="X184" s="21">
        <f>IF($U184="","",IFERROR(INDEX(Templates!$J$3:$J$10,MATCH($U184,Templates!$A$3:$A$10,0)),""))</f>
        <v/>
      </c>
      <c r="Y184" s="35">
        <f>IF(OR($U184="",$I184="",$J184="",$X184=""),"",$I184+$X184*($J184-$I184))</f>
        <v/>
      </c>
      <c r="Z184" s="30" t="n">
        <v>46212</v>
      </c>
      <c r="AA184" s="40" t="n"/>
      <c r="AB184" s="41" t="n"/>
      <c r="AC184" s="41" t="n"/>
      <c r="AD184" s="19">
        <f>IF($A184="","",IF($AA184="",$H184,$AA184))</f>
        <v/>
      </c>
      <c r="AE184" s="35">
        <f>IF($A184="","",IF($AB184="",$I184,$AB184))</f>
        <v/>
      </c>
      <c r="AF184" s="35">
        <f>IF($A184="","",IF($AC184="",$J184,$AC184))</f>
        <v/>
      </c>
      <c r="AG184" s="35">
        <f>IF(OR($U184="",$AE184="",$AF184="",$X184=""),"",$AE184+$X184*($AF184-$AE184))</f>
        <v/>
      </c>
      <c r="AH184" s="38" t="n"/>
      <c r="AI184" s="38" t="n"/>
      <c r="AJ184" s="38" t="n"/>
      <c r="AK184" s="38" t="n"/>
      <c r="AL184" s="38" t="n"/>
      <c r="AM184" s="38" t="n"/>
      <c r="AN184" s="38" t="n"/>
      <c r="AO184" s="38" t="n"/>
      <c r="AP184" s="38" t="n"/>
      <c r="AQ184" s="38" t="n"/>
      <c r="AR184" s="38" t="n"/>
      <c r="AS184" s="38" t="n"/>
      <c r="AT184" s="38" t="n"/>
      <c r="AU184" s="38" t="n"/>
      <c r="AV184" s="38" t="n"/>
      <c r="AW184" s="38" t="n"/>
      <c r="AX184" s="38" t="n"/>
      <c r="AY184" s="42" t="n"/>
      <c r="AZ184" s="42" t="n"/>
      <c r="BA184" s="42" t="n"/>
      <c r="BB184" s="42" t="n"/>
      <c r="BC184" s="42" t="n"/>
      <c r="BD184" s="37">
        <f>IF($A184="","",SUM($AY184:$BC184))</f>
        <v/>
      </c>
      <c r="BE184" s="18">
        <f>IF($A184="","",IF(AND($I184&lt;&gt;"",$J184&lt;&gt;""),MAX(1,($J184-$I184)/7),Templates!$B$35))</f>
        <v/>
      </c>
      <c r="BF184" s="18">
        <f>IF($A184="","",IF(AND($I184&lt;&gt;"",$J184&lt;&gt;""),MAX(1,($J184-$I184)/7),Templates!$B$36))</f>
        <v/>
      </c>
      <c r="BG184" s="18">
        <f>IF($A184="","",IF(AND($I184&lt;&gt;"",$J184&lt;&gt;""),MAX(1,($J184-$I184)/7),Templates!$B$37))</f>
        <v/>
      </c>
      <c r="BH184" s="18">
        <f>IF($A184="","",IF(AND($I184&lt;&gt;"",$J184&lt;&gt;""),MAX(1,($J184-$I184)/7),Templates!$B$38))</f>
        <v/>
      </c>
      <c r="BI184" s="18">
        <f>IF($A184="","",IF(AND($I184&lt;&gt;"",$J184&lt;&gt;""),MAX(1,($J184-$I184)/7),Templates!$B$39))</f>
        <v/>
      </c>
      <c r="BJ184" s="18">
        <f>IF(OR($A184="",$BD184=0),0,($AY184*Templates!$B$27/$BE184+$AZ184*Templates!$B$28/$BF184+$BA184*Templates!$B$29/$BG184+$BB184*Templates!$B$30/$BH184+$BC184*Templates!$B$31/$BI184)/Templates!$B$17)</f>
        <v/>
      </c>
      <c r="BK184" s="18">
        <f>IF(OR($A184="",$BD184=0),0,($AY184*Templates!$C$27/$BE184+$AZ184*Templates!$C$28/$BF184+$BA184*Templates!$C$29/$BG184+$BB184*Templates!$C$30/$BH184+$BC184*Templates!$C$31/$BI184)/Templates!$B$18)</f>
        <v/>
      </c>
      <c r="BL184" s="18">
        <f>IF(OR($A184="",$BD184=0),0,($AY184*Templates!$D$27/$BE184+$AZ184*Templates!$D$28/$BF184+$BA184*Templates!$D$29/$BG184+$BB184*Templates!$D$30/$BH184+$BC184*Templates!$D$31/$BI184)/Templates!$B$19)</f>
        <v/>
      </c>
      <c r="BM184" s="18">
        <f>IF(OR($A184="",$BD184=0),0,($AY184*Templates!$E$27/$BE184+$AZ184*Templates!$E$28/$BF184+$BA184*Templates!$E$29/$BG184+$BB184*Templates!$E$30/$BH184+$BC184*Templates!$E$31/$BI184)/Templates!$B$20)</f>
        <v/>
      </c>
      <c r="BN184" s="18">
        <f>IF(OR($A184="",$BD184=0),0,($AY184*Templates!$F$27/$BE184+$AZ184*Templates!$F$28/$BF184+$BA184*Templates!$F$29/$BG184+$BB184*Templates!$F$30/$BH184+$BC184*Templates!$F$31/$BI184)/Templates!$B$21)</f>
        <v/>
      </c>
      <c r="BO184" s="18">
        <f>IF(OR($A184="",$BD184=0),0,($AY184*Templates!$G$27/$BE184+$AZ184*Templates!$G$28/$BF184+$BA184*Templates!$G$29/$BG184+$BB184*Templates!$G$30/$BH184+$BC184*Templates!$G$31/$BI184)/Templates!$B$22)</f>
        <v/>
      </c>
      <c r="BP184" s="18">
        <f>IF(OR($A184="",$BD184=0),0,($AY184*Templates!$H$27/$BE184+$AZ184*Templates!$H$28/$BF184+$BA184*Templates!$H$29/$BG184+$BB184*Templates!$H$30/$BH184+$BC184*Templates!$H$31/$BI184)/Templates!$B$23)</f>
        <v/>
      </c>
    </row>
    <row r="185">
      <c r="A185" s="28" t="inlineStr">
        <is>
          <t>Theoden_1</t>
        </is>
      </c>
      <c r="B185" s="20" t="inlineStr">
        <is>
          <t>SkyKnight Capital</t>
        </is>
      </c>
      <c r="C185" s="28" t="inlineStr">
        <is>
          <t>SkyKnight Capital</t>
        </is>
      </c>
      <c r="D185" s="28" t="inlineStr"/>
      <c r="E185" s="28" t="inlineStr">
        <is>
          <t>No</t>
        </is>
      </c>
      <c r="F185" s="28" t="inlineStr">
        <is>
          <t>Active</t>
        </is>
      </c>
      <c r="G185" s="38" t="n"/>
      <c r="H185" s="29" t="n">
        <v>1</v>
      </c>
      <c r="I185" s="39" t="n"/>
      <c r="J185" s="39" t="n"/>
      <c r="K185" s="31" t="n"/>
      <c r="L185" s="31" t="n"/>
      <c r="M185" s="31" t="n"/>
      <c r="N185" s="31" t="n"/>
      <c r="O185" s="31" t="n"/>
      <c r="P185" s="31" t="n"/>
      <c r="Q185" s="23">
        <f>IF($A185="","",COUNTIFS(Assignments!$C$2:$C$769,$A185,Assignments!$G$2:$G$769,"Active"))</f>
        <v/>
      </c>
      <c r="R185" s="32">
        <f>IF($A185="","",SUMIFS(Assignments!$I$2:$I$769,Assignments!$C$2:$C$769,$A185,Assignments!$G$2:$G$769,"Active"))</f>
        <v/>
      </c>
      <c r="S185" s="20" t="inlineStr">
        <is>
          <t>WIP</t>
        </is>
      </c>
      <c r="T185" s="31" t="n"/>
      <c r="U185" s="38" t="n"/>
      <c r="V185" s="34">
        <f>IF($U185="","",IFERROR(INDEX(Templates!$K$3:$K$10,MATCH($U185,Templates!$A$3:$A$10,0)),""))</f>
        <v/>
      </c>
      <c r="W185" s="34">
        <f>IF($U185="","",IFERROR(INDEX(Templates!$L$3:$L$10,MATCH($U185,Templates!$A$3:$A$10,0)),""))</f>
        <v/>
      </c>
      <c r="X185" s="21">
        <f>IF($U185="","",IFERROR(INDEX(Templates!$J$3:$J$10,MATCH($U185,Templates!$A$3:$A$10,0)),""))</f>
        <v/>
      </c>
      <c r="Y185" s="35">
        <f>IF(OR($U185="",$I185="",$J185="",$X185=""),"",$I185+$X185*($J185-$I185))</f>
        <v/>
      </c>
      <c r="Z185" s="30" t="n">
        <v>46212</v>
      </c>
      <c r="AA185" s="40" t="n"/>
      <c r="AB185" s="41" t="n"/>
      <c r="AC185" s="41" t="n"/>
      <c r="AD185" s="19">
        <f>IF($A185="","",IF($AA185="",$H185,$AA185))</f>
        <v/>
      </c>
      <c r="AE185" s="35">
        <f>IF($A185="","",IF($AB185="",$I185,$AB185))</f>
        <v/>
      </c>
      <c r="AF185" s="35">
        <f>IF($A185="","",IF($AC185="",$J185,$AC185))</f>
        <v/>
      </c>
      <c r="AG185" s="35">
        <f>IF(OR($U185="",$AE185="",$AF185="",$X185=""),"",$AE185+$X185*($AF185-$AE185))</f>
        <v/>
      </c>
      <c r="AH185" s="38" t="n"/>
      <c r="AI185" s="38" t="n"/>
      <c r="AJ185" s="38" t="n"/>
      <c r="AK185" s="38" t="n"/>
      <c r="AL185" s="38" t="n"/>
      <c r="AM185" s="38" t="n"/>
      <c r="AN185" s="38" t="n"/>
      <c r="AO185" s="38" t="n"/>
      <c r="AP185" s="38" t="n"/>
      <c r="AQ185" s="38" t="n"/>
      <c r="AR185" s="38" t="n"/>
      <c r="AS185" s="38" t="n"/>
      <c r="AT185" s="38" t="n"/>
      <c r="AU185" s="38" t="n"/>
      <c r="AV185" s="38" t="n"/>
      <c r="AW185" s="38" t="n"/>
      <c r="AX185" s="38" t="n"/>
      <c r="AY185" s="42" t="n"/>
      <c r="AZ185" s="42" t="n"/>
      <c r="BA185" s="42" t="n"/>
      <c r="BB185" s="42" t="n"/>
      <c r="BC185" s="42" t="n"/>
      <c r="BD185" s="37">
        <f>IF($A185="","",SUM($AY185:$BC185))</f>
        <v/>
      </c>
      <c r="BE185" s="18">
        <f>IF($A185="","",IF(AND($I185&lt;&gt;"",$J185&lt;&gt;""),MAX(1,($J185-$I185)/7),Templates!$B$35))</f>
        <v/>
      </c>
      <c r="BF185" s="18">
        <f>IF($A185="","",IF(AND($I185&lt;&gt;"",$J185&lt;&gt;""),MAX(1,($J185-$I185)/7),Templates!$B$36))</f>
        <v/>
      </c>
      <c r="BG185" s="18">
        <f>IF($A185="","",IF(AND($I185&lt;&gt;"",$J185&lt;&gt;""),MAX(1,($J185-$I185)/7),Templates!$B$37))</f>
        <v/>
      </c>
      <c r="BH185" s="18">
        <f>IF($A185="","",IF(AND($I185&lt;&gt;"",$J185&lt;&gt;""),MAX(1,($J185-$I185)/7),Templates!$B$38))</f>
        <v/>
      </c>
      <c r="BI185" s="18">
        <f>IF($A185="","",IF(AND($I185&lt;&gt;"",$J185&lt;&gt;""),MAX(1,($J185-$I185)/7),Templates!$B$39))</f>
        <v/>
      </c>
      <c r="BJ185" s="18">
        <f>IF(OR($A185="",$BD185=0),0,($AY185*Templates!$B$27/$BE185+$AZ185*Templates!$B$28/$BF185+$BA185*Templates!$B$29/$BG185+$BB185*Templates!$B$30/$BH185+$BC185*Templates!$B$31/$BI185)/Templates!$B$17)</f>
        <v/>
      </c>
      <c r="BK185" s="18">
        <f>IF(OR($A185="",$BD185=0),0,($AY185*Templates!$C$27/$BE185+$AZ185*Templates!$C$28/$BF185+$BA185*Templates!$C$29/$BG185+$BB185*Templates!$C$30/$BH185+$BC185*Templates!$C$31/$BI185)/Templates!$B$18)</f>
        <v/>
      </c>
      <c r="BL185" s="18">
        <f>IF(OR($A185="",$BD185=0),0,($AY185*Templates!$D$27/$BE185+$AZ185*Templates!$D$28/$BF185+$BA185*Templates!$D$29/$BG185+$BB185*Templates!$D$30/$BH185+$BC185*Templates!$D$31/$BI185)/Templates!$B$19)</f>
        <v/>
      </c>
      <c r="BM185" s="18">
        <f>IF(OR($A185="",$BD185=0),0,($AY185*Templates!$E$27/$BE185+$AZ185*Templates!$E$28/$BF185+$BA185*Templates!$E$29/$BG185+$BB185*Templates!$E$30/$BH185+$BC185*Templates!$E$31/$BI185)/Templates!$B$20)</f>
        <v/>
      </c>
      <c r="BN185" s="18">
        <f>IF(OR($A185="",$BD185=0),0,($AY185*Templates!$F$27/$BE185+$AZ185*Templates!$F$28/$BF185+$BA185*Templates!$F$29/$BG185+$BB185*Templates!$F$30/$BH185+$BC185*Templates!$F$31/$BI185)/Templates!$B$21)</f>
        <v/>
      </c>
      <c r="BO185" s="18">
        <f>IF(OR($A185="",$BD185=0),0,($AY185*Templates!$G$27/$BE185+$AZ185*Templates!$G$28/$BF185+$BA185*Templates!$G$29/$BG185+$BB185*Templates!$G$30/$BH185+$BC185*Templates!$G$31/$BI185)/Templates!$B$22)</f>
        <v/>
      </c>
      <c r="BP185" s="18">
        <f>IF(OR($A185="",$BD185=0),0,($AY185*Templates!$H$27/$BE185+$AZ185*Templates!$H$28/$BF185+$BA185*Templates!$H$29/$BG185+$BB185*Templates!$H$30/$BH185+$BC185*Templates!$H$31/$BI185)/Templates!$B$23)</f>
        <v/>
      </c>
    </row>
    <row r="186">
      <c r="A186" s="28" t="inlineStr">
        <is>
          <t>Torch_4</t>
        </is>
      </c>
      <c r="B186" s="20" t="inlineStr">
        <is>
          <t>Morgan Stanley : Morgan Stanley Infrastructure Partners : Torch Clean Energy</t>
        </is>
      </c>
      <c r="C186" s="28" t="inlineStr">
        <is>
          <t>Morgan Stanley</t>
        </is>
      </c>
      <c r="D186" s="28" t="inlineStr">
        <is>
          <t>Torch Clean Energy</t>
        </is>
      </c>
      <c r="E186" s="28" t="inlineStr">
        <is>
          <t>No</t>
        </is>
      </c>
      <c r="F186" s="28" t="inlineStr">
        <is>
          <t>Active</t>
        </is>
      </c>
      <c r="G186" s="38" t="n"/>
      <c r="H186" s="29" t="n">
        <v>1</v>
      </c>
      <c r="I186" s="39" t="n"/>
      <c r="J186" s="39" t="n"/>
      <c r="K186" s="31" t="n"/>
      <c r="L186" s="31" t="n"/>
      <c r="M186" s="31" t="n"/>
      <c r="N186" s="31" t="n"/>
      <c r="O186" s="31" t="n"/>
      <c r="P186" s="31" t="n"/>
      <c r="Q186" s="23">
        <f>IF($A186="","",COUNTIFS(Assignments!$C$2:$C$769,$A186,Assignments!$G$2:$G$769,"Active"))</f>
        <v/>
      </c>
      <c r="R186" s="32">
        <f>IF($A186="","",SUMIFS(Assignments!$I$2:$I$769,Assignments!$C$2:$C$769,$A186,Assignments!$G$2:$G$769,"Active"))</f>
        <v/>
      </c>
      <c r="S186" s="20" t="inlineStr">
        <is>
          <t>WIP</t>
        </is>
      </c>
      <c r="T186" s="31" t="n"/>
      <c r="U186" s="38" t="n"/>
      <c r="V186" s="34">
        <f>IF($U186="","",IFERROR(INDEX(Templates!$K$3:$K$10,MATCH($U186,Templates!$A$3:$A$10,0)),""))</f>
        <v/>
      </c>
      <c r="W186" s="34">
        <f>IF($U186="","",IFERROR(INDEX(Templates!$L$3:$L$10,MATCH($U186,Templates!$A$3:$A$10,0)),""))</f>
        <v/>
      </c>
      <c r="X186" s="21">
        <f>IF($U186="","",IFERROR(INDEX(Templates!$J$3:$J$10,MATCH($U186,Templates!$A$3:$A$10,0)),""))</f>
        <v/>
      </c>
      <c r="Y186" s="35">
        <f>IF(OR($U186="",$I186="",$J186="",$X186=""),"",$I186+$X186*($J186-$I186))</f>
        <v/>
      </c>
      <c r="Z186" s="30" t="n">
        <v>46212</v>
      </c>
      <c r="AA186" s="40" t="n"/>
      <c r="AB186" s="41" t="n"/>
      <c r="AC186" s="41" t="n"/>
      <c r="AD186" s="19">
        <f>IF($A186="","",IF($AA186="",$H186,$AA186))</f>
        <v/>
      </c>
      <c r="AE186" s="35">
        <f>IF($A186="","",IF($AB186="",$I186,$AB186))</f>
        <v/>
      </c>
      <c r="AF186" s="35">
        <f>IF($A186="","",IF($AC186="",$J186,$AC186))</f>
        <v/>
      </c>
      <c r="AG186" s="35">
        <f>IF(OR($U186="",$AE186="",$AF186="",$X186=""),"",$AE186+$X186*($AF186-$AE186))</f>
        <v/>
      </c>
      <c r="AH186" s="38" t="n"/>
      <c r="AI186" s="38" t="n"/>
      <c r="AJ186" s="38" t="n"/>
      <c r="AK186" s="38" t="n"/>
      <c r="AL186" s="38" t="n"/>
      <c r="AM186" s="38" t="n"/>
      <c r="AN186" s="38" t="n"/>
      <c r="AO186" s="38" t="n"/>
      <c r="AP186" s="38" t="n"/>
      <c r="AQ186" s="38" t="n"/>
      <c r="AR186" s="38" t="n"/>
      <c r="AS186" s="38" t="n"/>
      <c r="AT186" s="38" t="n"/>
      <c r="AU186" s="38" t="n"/>
      <c r="AV186" s="38" t="n"/>
      <c r="AW186" s="38" t="n"/>
      <c r="AX186" s="38" t="n"/>
      <c r="AY186" s="42" t="n"/>
      <c r="AZ186" s="42" t="n"/>
      <c r="BA186" s="42" t="n"/>
      <c r="BB186" s="42" t="n"/>
      <c r="BC186" s="42" t="n"/>
      <c r="BD186" s="37">
        <f>IF($A186="","",SUM($AY186:$BC186))</f>
        <v/>
      </c>
      <c r="BE186" s="18">
        <f>IF($A186="","",IF(AND($I186&lt;&gt;"",$J186&lt;&gt;""),MAX(1,($J186-$I186)/7),Templates!$B$35))</f>
        <v/>
      </c>
      <c r="BF186" s="18">
        <f>IF($A186="","",IF(AND($I186&lt;&gt;"",$J186&lt;&gt;""),MAX(1,($J186-$I186)/7),Templates!$B$36))</f>
        <v/>
      </c>
      <c r="BG186" s="18">
        <f>IF($A186="","",IF(AND($I186&lt;&gt;"",$J186&lt;&gt;""),MAX(1,($J186-$I186)/7),Templates!$B$37))</f>
        <v/>
      </c>
      <c r="BH186" s="18">
        <f>IF($A186="","",IF(AND($I186&lt;&gt;"",$J186&lt;&gt;""),MAX(1,($J186-$I186)/7),Templates!$B$38))</f>
        <v/>
      </c>
      <c r="BI186" s="18">
        <f>IF($A186="","",IF(AND($I186&lt;&gt;"",$J186&lt;&gt;""),MAX(1,($J186-$I186)/7),Templates!$B$39))</f>
        <v/>
      </c>
      <c r="BJ186" s="18">
        <f>IF(OR($A186="",$BD186=0),0,($AY186*Templates!$B$27/$BE186+$AZ186*Templates!$B$28/$BF186+$BA186*Templates!$B$29/$BG186+$BB186*Templates!$B$30/$BH186+$BC186*Templates!$B$31/$BI186)/Templates!$B$17)</f>
        <v/>
      </c>
      <c r="BK186" s="18">
        <f>IF(OR($A186="",$BD186=0),0,($AY186*Templates!$C$27/$BE186+$AZ186*Templates!$C$28/$BF186+$BA186*Templates!$C$29/$BG186+$BB186*Templates!$C$30/$BH186+$BC186*Templates!$C$31/$BI186)/Templates!$B$18)</f>
        <v/>
      </c>
      <c r="BL186" s="18">
        <f>IF(OR($A186="",$BD186=0),0,($AY186*Templates!$D$27/$BE186+$AZ186*Templates!$D$28/$BF186+$BA186*Templates!$D$29/$BG186+$BB186*Templates!$D$30/$BH186+$BC186*Templates!$D$31/$BI186)/Templates!$B$19)</f>
        <v/>
      </c>
      <c r="BM186" s="18">
        <f>IF(OR($A186="",$BD186=0),0,($AY186*Templates!$E$27/$BE186+$AZ186*Templates!$E$28/$BF186+$BA186*Templates!$E$29/$BG186+$BB186*Templates!$E$30/$BH186+$BC186*Templates!$E$31/$BI186)/Templates!$B$20)</f>
        <v/>
      </c>
      <c r="BN186" s="18">
        <f>IF(OR($A186="",$BD186=0),0,($AY186*Templates!$F$27/$BE186+$AZ186*Templates!$F$28/$BF186+$BA186*Templates!$F$29/$BG186+$BB186*Templates!$F$30/$BH186+$BC186*Templates!$F$31/$BI186)/Templates!$B$21)</f>
        <v/>
      </c>
      <c r="BO186" s="18">
        <f>IF(OR($A186="",$BD186=0),0,($AY186*Templates!$G$27/$BE186+$AZ186*Templates!$G$28/$BF186+$BA186*Templates!$G$29/$BG186+$BB186*Templates!$G$30/$BH186+$BC186*Templates!$G$31/$BI186)/Templates!$B$22)</f>
        <v/>
      </c>
      <c r="BP186" s="18">
        <f>IF(OR($A186="",$BD186=0),0,($AY186*Templates!$H$27/$BE186+$AZ186*Templates!$H$28/$BF186+$BA186*Templates!$H$29/$BG186+$BB186*Templates!$H$30/$BH186+$BC186*Templates!$H$31/$BI186)/Templates!$B$23)</f>
        <v/>
      </c>
    </row>
    <row r="187">
      <c r="A187" s="28" t="inlineStr">
        <is>
          <t>Truman_1</t>
        </is>
      </c>
      <c r="B187" s="20" t="inlineStr">
        <is>
          <t>RELX Plc</t>
        </is>
      </c>
      <c r="C187" s="28" t="inlineStr">
        <is>
          <t>RELX Plc</t>
        </is>
      </c>
      <c r="D187" s="28" t="inlineStr"/>
      <c r="E187" s="28" t="inlineStr">
        <is>
          <t>No</t>
        </is>
      </c>
      <c r="F187" s="28" t="inlineStr">
        <is>
          <t>Active</t>
        </is>
      </c>
      <c r="G187" s="38" t="n"/>
      <c r="H187" s="29" t="n">
        <v>1</v>
      </c>
      <c r="I187" s="39" t="n"/>
      <c r="J187" s="39" t="n"/>
      <c r="K187" s="31" t="n"/>
      <c r="L187" s="31" t="n"/>
      <c r="M187" s="31" t="n"/>
      <c r="N187" s="31" t="n"/>
      <c r="O187" s="31" t="n"/>
      <c r="P187" s="31" t="n"/>
      <c r="Q187" s="23">
        <f>IF($A187="","",COUNTIFS(Assignments!$C$2:$C$769,$A187,Assignments!$G$2:$G$769,"Active"))</f>
        <v/>
      </c>
      <c r="R187" s="32">
        <f>IF($A187="","",SUMIFS(Assignments!$I$2:$I$769,Assignments!$C$2:$C$769,$A187,Assignments!$G$2:$G$769,"Active"))</f>
        <v/>
      </c>
      <c r="S187" s="20" t="inlineStr">
        <is>
          <t>WIP</t>
        </is>
      </c>
      <c r="T187" s="31" t="n"/>
      <c r="U187" s="38" t="n"/>
      <c r="V187" s="34">
        <f>IF($U187="","",IFERROR(INDEX(Templates!$K$3:$K$10,MATCH($U187,Templates!$A$3:$A$10,0)),""))</f>
        <v/>
      </c>
      <c r="W187" s="34">
        <f>IF($U187="","",IFERROR(INDEX(Templates!$L$3:$L$10,MATCH($U187,Templates!$A$3:$A$10,0)),""))</f>
        <v/>
      </c>
      <c r="X187" s="21">
        <f>IF($U187="","",IFERROR(INDEX(Templates!$J$3:$J$10,MATCH($U187,Templates!$A$3:$A$10,0)),""))</f>
        <v/>
      </c>
      <c r="Y187" s="35">
        <f>IF(OR($U187="",$I187="",$J187="",$X187=""),"",$I187+$X187*($J187-$I187))</f>
        <v/>
      </c>
      <c r="Z187" s="30" t="n">
        <v>46212</v>
      </c>
      <c r="AA187" s="40" t="n"/>
      <c r="AB187" s="41" t="n"/>
      <c r="AC187" s="41" t="n"/>
      <c r="AD187" s="19">
        <f>IF($A187="","",IF($AA187="",$H187,$AA187))</f>
        <v/>
      </c>
      <c r="AE187" s="35">
        <f>IF($A187="","",IF($AB187="",$I187,$AB187))</f>
        <v/>
      </c>
      <c r="AF187" s="35">
        <f>IF($A187="","",IF($AC187="",$J187,$AC187))</f>
        <v/>
      </c>
      <c r="AG187" s="35">
        <f>IF(OR($U187="",$AE187="",$AF187="",$X187=""),"",$AE187+$X187*($AF187-$AE187))</f>
        <v/>
      </c>
      <c r="AH187" s="38" t="n"/>
      <c r="AI187" s="38" t="n"/>
      <c r="AJ187" s="38" t="n"/>
      <c r="AK187" s="38" t="n"/>
      <c r="AL187" s="38" t="n"/>
      <c r="AM187" s="38" t="n"/>
      <c r="AN187" s="38" t="n"/>
      <c r="AO187" s="38" t="n"/>
      <c r="AP187" s="38" t="n"/>
      <c r="AQ187" s="38" t="n"/>
      <c r="AR187" s="38" t="n"/>
      <c r="AS187" s="38" t="n"/>
      <c r="AT187" s="38" t="n"/>
      <c r="AU187" s="38" t="n"/>
      <c r="AV187" s="38" t="n"/>
      <c r="AW187" s="38" t="n"/>
      <c r="AX187" s="38" t="n"/>
      <c r="AY187" s="42" t="n"/>
      <c r="AZ187" s="42" t="n"/>
      <c r="BA187" s="42" t="n"/>
      <c r="BB187" s="42" t="n"/>
      <c r="BC187" s="42" t="n"/>
      <c r="BD187" s="37">
        <f>IF($A187="","",SUM($AY187:$BC187))</f>
        <v/>
      </c>
      <c r="BE187" s="18">
        <f>IF($A187="","",IF(AND($I187&lt;&gt;"",$J187&lt;&gt;""),MAX(1,($J187-$I187)/7),Templates!$B$35))</f>
        <v/>
      </c>
      <c r="BF187" s="18">
        <f>IF($A187="","",IF(AND($I187&lt;&gt;"",$J187&lt;&gt;""),MAX(1,($J187-$I187)/7),Templates!$B$36))</f>
        <v/>
      </c>
      <c r="BG187" s="18">
        <f>IF($A187="","",IF(AND($I187&lt;&gt;"",$J187&lt;&gt;""),MAX(1,($J187-$I187)/7),Templates!$B$37))</f>
        <v/>
      </c>
      <c r="BH187" s="18">
        <f>IF($A187="","",IF(AND($I187&lt;&gt;"",$J187&lt;&gt;""),MAX(1,($J187-$I187)/7),Templates!$B$38))</f>
        <v/>
      </c>
      <c r="BI187" s="18">
        <f>IF($A187="","",IF(AND($I187&lt;&gt;"",$J187&lt;&gt;""),MAX(1,($J187-$I187)/7),Templates!$B$39))</f>
        <v/>
      </c>
      <c r="BJ187" s="18">
        <f>IF(OR($A187="",$BD187=0),0,($AY187*Templates!$B$27/$BE187+$AZ187*Templates!$B$28/$BF187+$BA187*Templates!$B$29/$BG187+$BB187*Templates!$B$30/$BH187+$BC187*Templates!$B$31/$BI187)/Templates!$B$17)</f>
        <v/>
      </c>
      <c r="BK187" s="18">
        <f>IF(OR($A187="",$BD187=0),0,($AY187*Templates!$C$27/$BE187+$AZ187*Templates!$C$28/$BF187+$BA187*Templates!$C$29/$BG187+$BB187*Templates!$C$30/$BH187+$BC187*Templates!$C$31/$BI187)/Templates!$B$18)</f>
        <v/>
      </c>
      <c r="BL187" s="18">
        <f>IF(OR($A187="",$BD187=0),0,($AY187*Templates!$D$27/$BE187+$AZ187*Templates!$D$28/$BF187+$BA187*Templates!$D$29/$BG187+$BB187*Templates!$D$30/$BH187+$BC187*Templates!$D$31/$BI187)/Templates!$B$19)</f>
        <v/>
      </c>
      <c r="BM187" s="18">
        <f>IF(OR($A187="",$BD187=0),0,($AY187*Templates!$E$27/$BE187+$AZ187*Templates!$E$28/$BF187+$BA187*Templates!$E$29/$BG187+$BB187*Templates!$E$30/$BH187+$BC187*Templates!$E$31/$BI187)/Templates!$B$20)</f>
        <v/>
      </c>
      <c r="BN187" s="18">
        <f>IF(OR($A187="",$BD187=0),0,($AY187*Templates!$F$27/$BE187+$AZ187*Templates!$F$28/$BF187+$BA187*Templates!$F$29/$BG187+$BB187*Templates!$F$30/$BH187+$BC187*Templates!$F$31/$BI187)/Templates!$B$21)</f>
        <v/>
      </c>
      <c r="BO187" s="18">
        <f>IF(OR($A187="",$BD187=0),0,($AY187*Templates!$G$27/$BE187+$AZ187*Templates!$G$28/$BF187+$BA187*Templates!$G$29/$BG187+$BB187*Templates!$G$30/$BH187+$BC187*Templates!$G$31/$BI187)/Templates!$B$22)</f>
        <v/>
      </c>
      <c r="BP187" s="18">
        <f>IF(OR($A187="",$BD187=0),0,($AY187*Templates!$H$27/$BE187+$AZ187*Templates!$H$28/$BF187+$BA187*Templates!$H$29/$BG187+$BB187*Templates!$H$30/$BH187+$BC187*Templates!$H$31/$BI187)/Templates!$B$23)</f>
        <v/>
      </c>
    </row>
    <row r="188">
      <c r="A188" s="28" t="inlineStr">
        <is>
          <t>Truman_2</t>
        </is>
      </c>
      <c r="B188" s="20" t="inlineStr">
        <is>
          <t>Morgan Stanley : Morgan Stanley Infrastructure Partners</t>
        </is>
      </c>
      <c r="C188" s="28" t="inlineStr">
        <is>
          <t>Morgan Stanley</t>
        </is>
      </c>
      <c r="D188" s="28" t="inlineStr">
        <is>
          <t>Morgan Stanley Infrastructure Partners</t>
        </is>
      </c>
      <c r="E188" s="28" t="inlineStr">
        <is>
          <t>No</t>
        </is>
      </c>
      <c r="F188" s="28" t="inlineStr">
        <is>
          <t>Active</t>
        </is>
      </c>
      <c r="G188" s="38" t="n"/>
      <c r="H188" s="29" t="n">
        <v>1</v>
      </c>
      <c r="I188" s="39" t="n"/>
      <c r="J188" s="39" t="n"/>
      <c r="K188" s="31" t="n"/>
      <c r="L188" s="31" t="n"/>
      <c r="M188" s="31" t="n"/>
      <c r="N188" s="31" t="n"/>
      <c r="O188" s="31" t="n"/>
      <c r="P188" s="31" t="n"/>
      <c r="Q188" s="23">
        <f>IF($A188="","",COUNTIFS(Assignments!$C$2:$C$769,$A188,Assignments!$G$2:$G$769,"Active"))</f>
        <v/>
      </c>
      <c r="R188" s="32">
        <f>IF($A188="","",SUMIFS(Assignments!$I$2:$I$769,Assignments!$C$2:$C$769,$A188,Assignments!$G$2:$G$769,"Active"))</f>
        <v/>
      </c>
      <c r="S188" s="20" t="inlineStr">
        <is>
          <t>WIP</t>
        </is>
      </c>
      <c r="T188" s="31" t="n"/>
      <c r="U188" s="38" t="n"/>
      <c r="V188" s="34">
        <f>IF($U188="","",IFERROR(INDEX(Templates!$K$3:$K$10,MATCH($U188,Templates!$A$3:$A$10,0)),""))</f>
        <v/>
      </c>
      <c r="W188" s="34">
        <f>IF($U188="","",IFERROR(INDEX(Templates!$L$3:$L$10,MATCH($U188,Templates!$A$3:$A$10,0)),""))</f>
        <v/>
      </c>
      <c r="X188" s="21">
        <f>IF($U188="","",IFERROR(INDEX(Templates!$J$3:$J$10,MATCH($U188,Templates!$A$3:$A$10,0)),""))</f>
        <v/>
      </c>
      <c r="Y188" s="35">
        <f>IF(OR($U188="",$I188="",$J188="",$X188=""),"",$I188+$X188*($J188-$I188))</f>
        <v/>
      </c>
      <c r="Z188" s="30" t="n">
        <v>46212</v>
      </c>
      <c r="AA188" s="40" t="n"/>
      <c r="AB188" s="41" t="n"/>
      <c r="AC188" s="41" t="n"/>
      <c r="AD188" s="19">
        <f>IF($A188="","",IF($AA188="",$H188,$AA188))</f>
        <v/>
      </c>
      <c r="AE188" s="35">
        <f>IF($A188="","",IF($AB188="",$I188,$AB188))</f>
        <v/>
      </c>
      <c r="AF188" s="35">
        <f>IF($A188="","",IF($AC188="",$J188,$AC188))</f>
        <v/>
      </c>
      <c r="AG188" s="35">
        <f>IF(OR($U188="",$AE188="",$AF188="",$X188=""),"",$AE188+$X188*($AF188-$AE188))</f>
        <v/>
      </c>
      <c r="AH188" s="38" t="n"/>
      <c r="AI188" s="38" t="n"/>
      <c r="AJ188" s="38" t="n"/>
      <c r="AK188" s="38" t="n"/>
      <c r="AL188" s="38" t="n"/>
      <c r="AM188" s="38" t="n"/>
      <c r="AN188" s="38" t="n"/>
      <c r="AO188" s="38" t="n"/>
      <c r="AP188" s="38" t="n"/>
      <c r="AQ188" s="38" t="n"/>
      <c r="AR188" s="38" t="n"/>
      <c r="AS188" s="38" t="n"/>
      <c r="AT188" s="38" t="n"/>
      <c r="AU188" s="38" t="n"/>
      <c r="AV188" s="38" t="n"/>
      <c r="AW188" s="38" t="n"/>
      <c r="AX188" s="38" t="n"/>
      <c r="AY188" s="42" t="n"/>
      <c r="AZ188" s="42" t="n"/>
      <c r="BA188" s="42" t="n"/>
      <c r="BB188" s="42" t="n"/>
      <c r="BC188" s="42" t="n"/>
      <c r="BD188" s="37">
        <f>IF($A188="","",SUM($AY188:$BC188))</f>
        <v/>
      </c>
      <c r="BE188" s="18">
        <f>IF($A188="","",IF(AND($I188&lt;&gt;"",$J188&lt;&gt;""),MAX(1,($J188-$I188)/7),Templates!$B$35))</f>
        <v/>
      </c>
      <c r="BF188" s="18">
        <f>IF($A188="","",IF(AND($I188&lt;&gt;"",$J188&lt;&gt;""),MAX(1,($J188-$I188)/7),Templates!$B$36))</f>
        <v/>
      </c>
      <c r="BG188" s="18">
        <f>IF($A188="","",IF(AND($I188&lt;&gt;"",$J188&lt;&gt;""),MAX(1,($J188-$I188)/7),Templates!$B$37))</f>
        <v/>
      </c>
      <c r="BH188" s="18">
        <f>IF($A188="","",IF(AND($I188&lt;&gt;"",$J188&lt;&gt;""),MAX(1,($J188-$I188)/7),Templates!$B$38))</f>
        <v/>
      </c>
      <c r="BI188" s="18">
        <f>IF($A188="","",IF(AND($I188&lt;&gt;"",$J188&lt;&gt;""),MAX(1,($J188-$I188)/7),Templates!$B$39))</f>
        <v/>
      </c>
      <c r="BJ188" s="18">
        <f>IF(OR($A188="",$BD188=0),0,($AY188*Templates!$B$27/$BE188+$AZ188*Templates!$B$28/$BF188+$BA188*Templates!$B$29/$BG188+$BB188*Templates!$B$30/$BH188+$BC188*Templates!$B$31/$BI188)/Templates!$B$17)</f>
        <v/>
      </c>
      <c r="BK188" s="18">
        <f>IF(OR($A188="",$BD188=0),0,($AY188*Templates!$C$27/$BE188+$AZ188*Templates!$C$28/$BF188+$BA188*Templates!$C$29/$BG188+$BB188*Templates!$C$30/$BH188+$BC188*Templates!$C$31/$BI188)/Templates!$B$18)</f>
        <v/>
      </c>
      <c r="BL188" s="18">
        <f>IF(OR($A188="",$BD188=0),0,($AY188*Templates!$D$27/$BE188+$AZ188*Templates!$D$28/$BF188+$BA188*Templates!$D$29/$BG188+$BB188*Templates!$D$30/$BH188+$BC188*Templates!$D$31/$BI188)/Templates!$B$19)</f>
        <v/>
      </c>
      <c r="BM188" s="18">
        <f>IF(OR($A188="",$BD188=0),0,($AY188*Templates!$E$27/$BE188+$AZ188*Templates!$E$28/$BF188+$BA188*Templates!$E$29/$BG188+$BB188*Templates!$E$30/$BH188+$BC188*Templates!$E$31/$BI188)/Templates!$B$20)</f>
        <v/>
      </c>
      <c r="BN188" s="18">
        <f>IF(OR($A188="",$BD188=0),0,($AY188*Templates!$F$27/$BE188+$AZ188*Templates!$F$28/$BF188+$BA188*Templates!$F$29/$BG188+$BB188*Templates!$F$30/$BH188+$BC188*Templates!$F$31/$BI188)/Templates!$B$21)</f>
        <v/>
      </c>
      <c r="BO188" s="18">
        <f>IF(OR($A188="",$BD188=0),0,($AY188*Templates!$G$27/$BE188+$AZ188*Templates!$G$28/$BF188+$BA188*Templates!$G$29/$BG188+$BB188*Templates!$G$30/$BH188+$BC188*Templates!$G$31/$BI188)/Templates!$B$22)</f>
        <v/>
      </c>
      <c r="BP188" s="18">
        <f>IF(OR($A188="",$BD188=0),0,($AY188*Templates!$H$27/$BE188+$AZ188*Templates!$H$28/$BF188+$BA188*Templates!$H$29/$BG188+$BB188*Templates!$H$30/$BH188+$BC188*Templates!$H$31/$BI188)/Templates!$B$23)</f>
        <v/>
      </c>
    </row>
    <row r="189">
      <c r="A189" s="28" t="inlineStr">
        <is>
          <t>Ulysses_2</t>
        </is>
      </c>
      <c r="B189" s="20" t="inlineStr">
        <is>
          <t>Ethos Specialty Insurance Services</t>
        </is>
      </c>
      <c r="C189" s="28" t="inlineStr">
        <is>
          <t>Ethos Specialty Insurance Services</t>
        </is>
      </c>
      <c r="D189" s="28" t="inlineStr"/>
      <c r="E189" s="28" t="inlineStr">
        <is>
          <t>No</t>
        </is>
      </c>
      <c r="F189" s="28" t="inlineStr">
        <is>
          <t>Active</t>
        </is>
      </c>
      <c r="G189" s="38" t="n"/>
      <c r="H189" s="29" t="n">
        <v>1</v>
      </c>
      <c r="I189" s="39" t="n"/>
      <c r="J189" s="39" t="n"/>
      <c r="K189" s="31" t="n"/>
      <c r="L189" s="31" t="n"/>
      <c r="M189" s="31" t="n"/>
      <c r="N189" s="31" t="n"/>
      <c r="O189" s="31" t="n"/>
      <c r="P189" s="31" t="n"/>
      <c r="Q189" s="23">
        <f>IF($A189="","",COUNTIFS(Assignments!$C$2:$C$769,$A189,Assignments!$G$2:$G$769,"Active"))</f>
        <v/>
      </c>
      <c r="R189" s="32">
        <f>IF($A189="","",SUMIFS(Assignments!$I$2:$I$769,Assignments!$C$2:$C$769,$A189,Assignments!$G$2:$G$769,"Active"))</f>
        <v/>
      </c>
      <c r="S189" s="20" t="inlineStr">
        <is>
          <t>WIP</t>
        </is>
      </c>
      <c r="T189" s="31" t="n"/>
      <c r="U189" s="38" t="n"/>
      <c r="V189" s="34">
        <f>IF($U189="","",IFERROR(INDEX(Templates!$K$3:$K$10,MATCH($U189,Templates!$A$3:$A$10,0)),""))</f>
        <v/>
      </c>
      <c r="W189" s="34">
        <f>IF($U189="","",IFERROR(INDEX(Templates!$L$3:$L$10,MATCH($U189,Templates!$A$3:$A$10,0)),""))</f>
        <v/>
      </c>
      <c r="X189" s="21">
        <f>IF($U189="","",IFERROR(INDEX(Templates!$J$3:$J$10,MATCH($U189,Templates!$A$3:$A$10,0)),""))</f>
        <v/>
      </c>
      <c r="Y189" s="35">
        <f>IF(OR($U189="",$I189="",$J189="",$X189=""),"",$I189+$X189*($J189-$I189))</f>
        <v/>
      </c>
      <c r="Z189" s="30" t="n">
        <v>46212</v>
      </c>
      <c r="AA189" s="40" t="n"/>
      <c r="AB189" s="41" t="n"/>
      <c r="AC189" s="41" t="n"/>
      <c r="AD189" s="19">
        <f>IF($A189="","",IF($AA189="",$H189,$AA189))</f>
        <v/>
      </c>
      <c r="AE189" s="35">
        <f>IF($A189="","",IF($AB189="",$I189,$AB189))</f>
        <v/>
      </c>
      <c r="AF189" s="35">
        <f>IF($A189="","",IF($AC189="",$J189,$AC189))</f>
        <v/>
      </c>
      <c r="AG189" s="35">
        <f>IF(OR($U189="",$AE189="",$AF189="",$X189=""),"",$AE189+$X189*($AF189-$AE189))</f>
        <v/>
      </c>
      <c r="AH189" s="38" t="n"/>
      <c r="AI189" s="38" t="n"/>
      <c r="AJ189" s="38" t="n"/>
      <c r="AK189" s="38" t="n"/>
      <c r="AL189" s="38" t="n"/>
      <c r="AM189" s="38" t="n"/>
      <c r="AN189" s="38" t="n"/>
      <c r="AO189" s="38" t="n"/>
      <c r="AP189" s="38" t="n"/>
      <c r="AQ189" s="38" t="n"/>
      <c r="AR189" s="38" t="n"/>
      <c r="AS189" s="38" t="n"/>
      <c r="AT189" s="38" t="n"/>
      <c r="AU189" s="38" t="n"/>
      <c r="AV189" s="38" t="n"/>
      <c r="AW189" s="38" t="n"/>
      <c r="AX189" s="38" t="n"/>
      <c r="AY189" s="42" t="n"/>
      <c r="AZ189" s="42" t="n"/>
      <c r="BA189" s="42" t="n"/>
      <c r="BB189" s="42" t="n"/>
      <c r="BC189" s="42" t="n"/>
      <c r="BD189" s="37">
        <f>IF($A189="","",SUM($AY189:$BC189))</f>
        <v/>
      </c>
      <c r="BE189" s="18">
        <f>IF($A189="","",IF(AND($I189&lt;&gt;"",$J189&lt;&gt;""),MAX(1,($J189-$I189)/7),Templates!$B$35))</f>
        <v/>
      </c>
      <c r="BF189" s="18">
        <f>IF($A189="","",IF(AND($I189&lt;&gt;"",$J189&lt;&gt;""),MAX(1,($J189-$I189)/7),Templates!$B$36))</f>
        <v/>
      </c>
      <c r="BG189" s="18">
        <f>IF($A189="","",IF(AND($I189&lt;&gt;"",$J189&lt;&gt;""),MAX(1,($J189-$I189)/7),Templates!$B$37))</f>
        <v/>
      </c>
      <c r="BH189" s="18">
        <f>IF($A189="","",IF(AND($I189&lt;&gt;"",$J189&lt;&gt;""),MAX(1,($J189-$I189)/7),Templates!$B$38))</f>
        <v/>
      </c>
      <c r="BI189" s="18">
        <f>IF($A189="","",IF(AND($I189&lt;&gt;"",$J189&lt;&gt;""),MAX(1,($J189-$I189)/7),Templates!$B$39))</f>
        <v/>
      </c>
      <c r="BJ189" s="18">
        <f>IF(OR($A189="",$BD189=0),0,($AY189*Templates!$B$27/$BE189+$AZ189*Templates!$B$28/$BF189+$BA189*Templates!$B$29/$BG189+$BB189*Templates!$B$30/$BH189+$BC189*Templates!$B$31/$BI189)/Templates!$B$17)</f>
        <v/>
      </c>
      <c r="BK189" s="18">
        <f>IF(OR($A189="",$BD189=0),0,($AY189*Templates!$C$27/$BE189+$AZ189*Templates!$C$28/$BF189+$BA189*Templates!$C$29/$BG189+$BB189*Templates!$C$30/$BH189+$BC189*Templates!$C$31/$BI189)/Templates!$B$18)</f>
        <v/>
      </c>
      <c r="BL189" s="18">
        <f>IF(OR($A189="",$BD189=0),0,($AY189*Templates!$D$27/$BE189+$AZ189*Templates!$D$28/$BF189+$BA189*Templates!$D$29/$BG189+$BB189*Templates!$D$30/$BH189+$BC189*Templates!$D$31/$BI189)/Templates!$B$19)</f>
        <v/>
      </c>
      <c r="BM189" s="18">
        <f>IF(OR($A189="",$BD189=0),0,($AY189*Templates!$E$27/$BE189+$AZ189*Templates!$E$28/$BF189+$BA189*Templates!$E$29/$BG189+$BB189*Templates!$E$30/$BH189+$BC189*Templates!$E$31/$BI189)/Templates!$B$20)</f>
        <v/>
      </c>
      <c r="BN189" s="18">
        <f>IF(OR($A189="",$BD189=0),0,($AY189*Templates!$F$27/$BE189+$AZ189*Templates!$F$28/$BF189+$BA189*Templates!$F$29/$BG189+$BB189*Templates!$F$30/$BH189+$BC189*Templates!$F$31/$BI189)/Templates!$B$21)</f>
        <v/>
      </c>
      <c r="BO189" s="18">
        <f>IF(OR($A189="",$BD189=0),0,($AY189*Templates!$G$27/$BE189+$AZ189*Templates!$G$28/$BF189+$BA189*Templates!$G$29/$BG189+$BB189*Templates!$G$30/$BH189+$BC189*Templates!$G$31/$BI189)/Templates!$B$22)</f>
        <v/>
      </c>
      <c r="BP189" s="18">
        <f>IF(OR($A189="",$BD189=0),0,($AY189*Templates!$H$27/$BE189+$AZ189*Templates!$H$28/$BF189+$BA189*Templates!$H$29/$BG189+$BB189*Templates!$H$30/$BH189+$BC189*Templates!$H$31/$BI189)/Templates!$B$23)</f>
        <v/>
      </c>
    </row>
    <row r="190">
      <c r="A190" s="28" t="inlineStr">
        <is>
          <t>Upstream_3</t>
        </is>
      </c>
      <c r="B190" s="20" t="inlineStr">
        <is>
          <t>Upstream LLC</t>
        </is>
      </c>
      <c r="C190" s="28" t="inlineStr">
        <is>
          <t>Upstream LLC</t>
        </is>
      </c>
      <c r="D190" s="28" t="inlineStr"/>
      <c r="E190" s="28" t="inlineStr">
        <is>
          <t>No</t>
        </is>
      </c>
      <c r="F190" s="28" t="inlineStr">
        <is>
          <t>Active</t>
        </is>
      </c>
      <c r="G190" s="38" t="n"/>
      <c r="H190" s="29" t="n">
        <v>1</v>
      </c>
      <c r="I190" s="39" t="n"/>
      <c r="J190" s="39" t="n"/>
      <c r="K190" s="31" t="n"/>
      <c r="L190" s="31" t="n"/>
      <c r="M190" s="31" t="n"/>
      <c r="N190" s="31" t="n"/>
      <c r="O190" s="31" t="n"/>
      <c r="P190" s="31" t="n"/>
      <c r="Q190" s="23">
        <f>IF($A190="","",COUNTIFS(Assignments!$C$2:$C$769,$A190,Assignments!$G$2:$G$769,"Active"))</f>
        <v/>
      </c>
      <c r="R190" s="32">
        <f>IF($A190="","",SUMIFS(Assignments!$I$2:$I$769,Assignments!$C$2:$C$769,$A190,Assignments!$G$2:$G$769,"Active"))</f>
        <v/>
      </c>
      <c r="S190" s="20" t="inlineStr">
        <is>
          <t>WIP</t>
        </is>
      </c>
      <c r="T190" s="31" t="n"/>
      <c r="U190" s="38" t="n"/>
      <c r="V190" s="34">
        <f>IF($U190="","",IFERROR(INDEX(Templates!$K$3:$K$10,MATCH($U190,Templates!$A$3:$A$10,0)),""))</f>
        <v/>
      </c>
      <c r="W190" s="34">
        <f>IF($U190="","",IFERROR(INDEX(Templates!$L$3:$L$10,MATCH($U190,Templates!$A$3:$A$10,0)),""))</f>
        <v/>
      </c>
      <c r="X190" s="21">
        <f>IF($U190="","",IFERROR(INDEX(Templates!$J$3:$J$10,MATCH($U190,Templates!$A$3:$A$10,0)),""))</f>
        <v/>
      </c>
      <c r="Y190" s="35">
        <f>IF(OR($U190="",$I190="",$J190="",$X190=""),"",$I190+$X190*($J190-$I190))</f>
        <v/>
      </c>
      <c r="Z190" s="30" t="n">
        <v>46212</v>
      </c>
      <c r="AA190" s="40" t="n"/>
      <c r="AB190" s="41" t="n"/>
      <c r="AC190" s="41" t="n"/>
      <c r="AD190" s="19">
        <f>IF($A190="","",IF($AA190="",$H190,$AA190))</f>
        <v/>
      </c>
      <c r="AE190" s="35">
        <f>IF($A190="","",IF($AB190="",$I190,$AB190))</f>
        <v/>
      </c>
      <c r="AF190" s="35">
        <f>IF($A190="","",IF($AC190="",$J190,$AC190))</f>
        <v/>
      </c>
      <c r="AG190" s="35">
        <f>IF(OR($U190="",$AE190="",$AF190="",$X190=""),"",$AE190+$X190*($AF190-$AE190))</f>
        <v/>
      </c>
      <c r="AH190" s="38" t="n"/>
      <c r="AI190" s="38" t="n"/>
      <c r="AJ190" s="38" t="n"/>
      <c r="AK190" s="38" t="n"/>
      <c r="AL190" s="38" t="n"/>
      <c r="AM190" s="38" t="n"/>
      <c r="AN190" s="38" t="n"/>
      <c r="AO190" s="38" t="n"/>
      <c r="AP190" s="38" t="n"/>
      <c r="AQ190" s="38" t="n"/>
      <c r="AR190" s="38" t="n"/>
      <c r="AS190" s="38" t="n"/>
      <c r="AT190" s="38" t="n"/>
      <c r="AU190" s="38" t="n"/>
      <c r="AV190" s="38" t="n"/>
      <c r="AW190" s="38" t="n"/>
      <c r="AX190" s="38" t="n"/>
      <c r="AY190" s="42" t="n"/>
      <c r="AZ190" s="42" t="n"/>
      <c r="BA190" s="42" t="n"/>
      <c r="BB190" s="42" t="n"/>
      <c r="BC190" s="42" t="n"/>
      <c r="BD190" s="37">
        <f>IF($A190="","",SUM($AY190:$BC190))</f>
        <v/>
      </c>
      <c r="BE190" s="18">
        <f>IF($A190="","",IF(AND($I190&lt;&gt;"",$J190&lt;&gt;""),MAX(1,($J190-$I190)/7),Templates!$B$35))</f>
        <v/>
      </c>
      <c r="BF190" s="18">
        <f>IF($A190="","",IF(AND($I190&lt;&gt;"",$J190&lt;&gt;""),MAX(1,($J190-$I190)/7),Templates!$B$36))</f>
        <v/>
      </c>
      <c r="BG190" s="18">
        <f>IF($A190="","",IF(AND($I190&lt;&gt;"",$J190&lt;&gt;""),MAX(1,($J190-$I190)/7),Templates!$B$37))</f>
        <v/>
      </c>
      <c r="BH190" s="18">
        <f>IF($A190="","",IF(AND($I190&lt;&gt;"",$J190&lt;&gt;""),MAX(1,($J190-$I190)/7),Templates!$B$38))</f>
        <v/>
      </c>
      <c r="BI190" s="18">
        <f>IF($A190="","",IF(AND($I190&lt;&gt;"",$J190&lt;&gt;""),MAX(1,($J190-$I190)/7),Templates!$B$39))</f>
        <v/>
      </c>
      <c r="BJ190" s="18">
        <f>IF(OR($A190="",$BD190=0),0,($AY190*Templates!$B$27/$BE190+$AZ190*Templates!$B$28/$BF190+$BA190*Templates!$B$29/$BG190+$BB190*Templates!$B$30/$BH190+$BC190*Templates!$B$31/$BI190)/Templates!$B$17)</f>
        <v/>
      </c>
      <c r="BK190" s="18">
        <f>IF(OR($A190="",$BD190=0),0,($AY190*Templates!$C$27/$BE190+$AZ190*Templates!$C$28/$BF190+$BA190*Templates!$C$29/$BG190+$BB190*Templates!$C$30/$BH190+$BC190*Templates!$C$31/$BI190)/Templates!$B$18)</f>
        <v/>
      </c>
      <c r="BL190" s="18">
        <f>IF(OR($A190="",$BD190=0),0,($AY190*Templates!$D$27/$BE190+$AZ190*Templates!$D$28/$BF190+$BA190*Templates!$D$29/$BG190+$BB190*Templates!$D$30/$BH190+$BC190*Templates!$D$31/$BI190)/Templates!$B$19)</f>
        <v/>
      </c>
      <c r="BM190" s="18">
        <f>IF(OR($A190="",$BD190=0),0,($AY190*Templates!$E$27/$BE190+$AZ190*Templates!$E$28/$BF190+$BA190*Templates!$E$29/$BG190+$BB190*Templates!$E$30/$BH190+$BC190*Templates!$E$31/$BI190)/Templates!$B$20)</f>
        <v/>
      </c>
      <c r="BN190" s="18">
        <f>IF(OR($A190="",$BD190=0),0,($AY190*Templates!$F$27/$BE190+$AZ190*Templates!$F$28/$BF190+$BA190*Templates!$F$29/$BG190+$BB190*Templates!$F$30/$BH190+$BC190*Templates!$F$31/$BI190)/Templates!$B$21)</f>
        <v/>
      </c>
      <c r="BO190" s="18">
        <f>IF(OR($A190="",$BD190=0),0,($AY190*Templates!$G$27/$BE190+$AZ190*Templates!$G$28/$BF190+$BA190*Templates!$G$29/$BG190+$BB190*Templates!$G$30/$BH190+$BC190*Templates!$G$31/$BI190)/Templates!$B$22)</f>
        <v/>
      </c>
      <c r="BP190" s="18">
        <f>IF(OR($A190="",$BD190=0),0,($AY190*Templates!$H$27/$BE190+$AZ190*Templates!$H$28/$BF190+$BA190*Templates!$H$29/$BG190+$BB190*Templates!$H$30/$BH190+$BC190*Templates!$H$31/$BI190)/Templates!$B$23)</f>
        <v/>
      </c>
    </row>
    <row r="191">
      <c r="A191" s="28" t="inlineStr">
        <is>
          <t>Ursa_1</t>
        </is>
      </c>
      <c r="B191" s="20" t="inlineStr">
        <is>
          <t>Ares Management Corporation</t>
        </is>
      </c>
      <c r="C191" s="28" t="inlineStr">
        <is>
          <t>Ares Management Corporation</t>
        </is>
      </c>
      <c r="D191" s="28" t="inlineStr"/>
      <c r="E191" s="28" t="inlineStr">
        <is>
          <t>No</t>
        </is>
      </c>
      <c r="F191" s="28" t="inlineStr">
        <is>
          <t>Active</t>
        </is>
      </c>
      <c r="G191" s="38" t="n"/>
      <c r="H191" s="29" t="n">
        <v>1</v>
      </c>
      <c r="I191" s="39" t="n"/>
      <c r="J191" s="39" t="n"/>
      <c r="K191" s="31" t="n"/>
      <c r="L191" s="31" t="n"/>
      <c r="M191" s="31" t="n"/>
      <c r="N191" s="31" t="n"/>
      <c r="O191" s="31" t="n"/>
      <c r="P191" s="31" t="n"/>
      <c r="Q191" s="23">
        <f>IF($A191="","",COUNTIFS(Assignments!$C$2:$C$769,$A191,Assignments!$G$2:$G$769,"Active"))</f>
        <v/>
      </c>
      <c r="R191" s="32">
        <f>IF($A191="","",SUMIFS(Assignments!$I$2:$I$769,Assignments!$C$2:$C$769,$A191,Assignments!$G$2:$G$769,"Active"))</f>
        <v/>
      </c>
      <c r="S191" s="20" t="inlineStr">
        <is>
          <t>WIP</t>
        </is>
      </c>
      <c r="T191" s="31" t="n"/>
      <c r="U191" s="38" t="n"/>
      <c r="V191" s="34">
        <f>IF($U191="","",IFERROR(INDEX(Templates!$K$3:$K$10,MATCH($U191,Templates!$A$3:$A$10,0)),""))</f>
        <v/>
      </c>
      <c r="W191" s="34">
        <f>IF($U191="","",IFERROR(INDEX(Templates!$L$3:$L$10,MATCH($U191,Templates!$A$3:$A$10,0)),""))</f>
        <v/>
      </c>
      <c r="X191" s="21">
        <f>IF($U191="","",IFERROR(INDEX(Templates!$J$3:$J$10,MATCH($U191,Templates!$A$3:$A$10,0)),""))</f>
        <v/>
      </c>
      <c r="Y191" s="35">
        <f>IF(OR($U191="",$I191="",$J191="",$X191=""),"",$I191+$X191*($J191-$I191))</f>
        <v/>
      </c>
      <c r="Z191" s="30" t="n">
        <v>46212</v>
      </c>
      <c r="AA191" s="40" t="n"/>
      <c r="AB191" s="41" t="n"/>
      <c r="AC191" s="41" t="n"/>
      <c r="AD191" s="19">
        <f>IF($A191="","",IF($AA191="",$H191,$AA191))</f>
        <v/>
      </c>
      <c r="AE191" s="35">
        <f>IF($A191="","",IF($AB191="",$I191,$AB191))</f>
        <v/>
      </c>
      <c r="AF191" s="35">
        <f>IF($A191="","",IF($AC191="",$J191,$AC191))</f>
        <v/>
      </c>
      <c r="AG191" s="35">
        <f>IF(OR($U191="",$AE191="",$AF191="",$X191=""),"",$AE191+$X191*($AF191-$AE191))</f>
        <v/>
      </c>
      <c r="AH191" s="38" t="n"/>
      <c r="AI191" s="38" t="n"/>
      <c r="AJ191" s="38" t="n"/>
      <c r="AK191" s="38" t="n"/>
      <c r="AL191" s="38" t="n"/>
      <c r="AM191" s="38" t="n"/>
      <c r="AN191" s="38" t="n"/>
      <c r="AO191" s="38" t="n"/>
      <c r="AP191" s="38" t="n"/>
      <c r="AQ191" s="38" t="n"/>
      <c r="AR191" s="38" t="n"/>
      <c r="AS191" s="38" t="n"/>
      <c r="AT191" s="38" t="n"/>
      <c r="AU191" s="38" t="n"/>
      <c r="AV191" s="38" t="n"/>
      <c r="AW191" s="38" t="n"/>
      <c r="AX191" s="38" t="n"/>
      <c r="AY191" s="42" t="n"/>
      <c r="AZ191" s="42" t="n"/>
      <c r="BA191" s="42" t="n"/>
      <c r="BB191" s="42" t="n"/>
      <c r="BC191" s="42" t="n"/>
      <c r="BD191" s="37">
        <f>IF($A191="","",SUM($AY191:$BC191))</f>
        <v/>
      </c>
      <c r="BE191" s="18">
        <f>IF($A191="","",IF(AND($I191&lt;&gt;"",$J191&lt;&gt;""),MAX(1,($J191-$I191)/7),Templates!$B$35))</f>
        <v/>
      </c>
      <c r="BF191" s="18">
        <f>IF($A191="","",IF(AND($I191&lt;&gt;"",$J191&lt;&gt;""),MAX(1,($J191-$I191)/7),Templates!$B$36))</f>
        <v/>
      </c>
      <c r="BG191" s="18">
        <f>IF($A191="","",IF(AND($I191&lt;&gt;"",$J191&lt;&gt;""),MAX(1,($J191-$I191)/7),Templates!$B$37))</f>
        <v/>
      </c>
      <c r="BH191" s="18">
        <f>IF($A191="","",IF(AND($I191&lt;&gt;"",$J191&lt;&gt;""),MAX(1,($J191-$I191)/7),Templates!$B$38))</f>
        <v/>
      </c>
      <c r="BI191" s="18">
        <f>IF($A191="","",IF(AND($I191&lt;&gt;"",$J191&lt;&gt;""),MAX(1,($J191-$I191)/7),Templates!$B$39))</f>
        <v/>
      </c>
      <c r="BJ191" s="18">
        <f>IF(OR($A191="",$BD191=0),0,($AY191*Templates!$B$27/$BE191+$AZ191*Templates!$B$28/$BF191+$BA191*Templates!$B$29/$BG191+$BB191*Templates!$B$30/$BH191+$BC191*Templates!$B$31/$BI191)/Templates!$B$17)</f>
        <v/>
      </c>
      <c r="BK191" s="18">
        <f>IF(OR($A191="",$BD191=0),0,($AY191*Templates!$C$27/$BE191+$AZ191*Templates!$C$28/$BF191+$BA191*Templates!$C$29/$BG191+$BB191*Templates!$C$30/$BH191+$BC191*Templates!$C$31/$BI191)/Templates!$B$18)</f>
        <v/>
      </c>
      <c r="BL191" s="18">
        <f>IF(OR($A191="",$BD191=0),0,($AY191*Templates!$D$27/$BE191+$AZ191*Templates!$D$28/$BF191+$BA191*Templates!$D$29/$BG191+$BB191*Templates!$D$30/$BH191+$BC191*Templates!$D$31/$BI191)/Templates!$B$19)</f>
        <v/>
      </c>
      <c r="BM191" s="18">
        <f>IF(OR($A191="",$BD191=0),0,($AY191*Templates!$E$27/$BE191+$AZ191*Templates!$E$28/$BF191+$BA191*Templates!$E$29/$BG191+$BB191*Templates!$E$30/$BH191+$BC191*Templates!$E$31/$BI191)/Templates!$B$20)</f>
        <v/>
      </c>
      <c r="BN191" s="18">
        <f>IF(OR($A191="",$BD191=0),0,($AY191*Templates!$F$27/$BE191+$AZ191*Templates!$F$28/$BF191+$BA191*Templates!$F$29/$BG191+$BB191*Templates!$F$30/$BH191+$BC191*Templates!$F$31/$BI191)/Templates!$B$21)</f>
        <v/>
      </c>
      <c r="BO191" s="18">
        <f>IF(OR($A191="",$BD191=0),0,($AY191*Templates!$G$27/$BE191+$AZ191*Templates!$G$28/$BF191+$BA191*Templates!$G$29/$BG191+$BB191*Templates!$G$30/$BH191+$BC191*Templates!$G$31/$BI191)/Templates!$B$22)</f>
        <v/>
      </c>
      <c r="BP191" s="18">
        <f>IF(OR($A191="",$BD191=0),0,($AY191*Templates!$H$27/$BE191+$AZ191*Templates!$H$28/$BF191+$BA191*Templates!$H$29/$BG191+$BB191*Templates!$H$30/$BH191+$BC191*Templates!$H$31/$BI191)/Templates!$B$23)</f>
        <v/>
      </c>
    </row>
    <row r="192">
      <c r="A192" s="28" t="inlineStr">
        <is>
          <t>ValorC3_1</t>
        </is>
      </c>
      <c r="B192" s="20" t="inlineStr">
        <is>
          <t>CVC Capital Partners : DIF Capital Partners : ValorC3</t>
        </is>
      </c>
      <c r="C192" s="28" t="inlineStr">
        <is>
          <t>CVC Capital Partners</t>
        </is>
      </c>
      <c r="D192" s="28" t="inlineStr">
        <is>
          <t>ValorC3</t>
        </is>
      </c>
      <c r="E192" s="28" t="inlineStr">
        <is>
          <t>No</t>
        </is>
      </c>
      <c r="F192" s="28" t="inlineStr">
        <is>
          <t>Active</t>
        </is>
      </c>
      <c r="G192" s="38" t="n"/>
      <c r="H192" s="29" t="n">
        <v>1</v>
      </c>
      <c r="I192" s="39" t="n"/>
      <c r="J192" s="39" t="n"/>
      <c r="K192" s="31" t="n"/>
      <c r="L192" s="31" t="n"/>
      <c r="M192" s="31" t="n"/>
      <c r="N192" s="31" t="n"/>
      <c r="O192" s="31" t="n"/>
      <c r="P192" s="31" t="n"/>
      <c r="Q192" s="23">
        <f>IF($A192="","",COUNTIFS(Assignments!$C$2:$C$769,$A192,Assignments!$G$2:$G$769,"Active"))</f>
        <v/>
      </c>
      <c r="R192" s="32">
        <f>IF($A192="","",SUMIFS(Assignments!$I$2:$I$769,Assignments!$C$2:$C$769,$A192,Assignments!$G$2:$G$769,"Active"))</f>
        <v/>
      </c>
      <c r="S192" s="20" t="inlineStr">
        <is>
          <t>WIP</t>
        </is>
      </c>
      <c r="T192" s="31" t="n"/>
      <c r="U192" s="38" t="n"/>
      <c r="V192" s="34">
        <f>IF($U192="","",IFERROR(INDEX(Templates!$K$3:$K$10,MATCH($U192,Templates!$A$3:$A$10,0)),""))</f>
        <v/>
      </c>
      <c r="W192" s="34">
        <f>IF($U192="","",IFERROR(INDEX(Templates!$L$3:$L$10,MATCH($U192,Templates!$A$3:$A$10,0)),""))</f>
        <v/>
      </c>
      <c r="X192" s="21">
        <f>IF($U192="","",IFERROR(INDEX(Templates!$J$3:$J$10,MATCH($U192,Templates!$A$3:$A$10,0)),""))</f>
        <v/>
      </c>
      <c r="Y192" s="35">
        <f>IF(OR($U192="",$I192="",$J192="",$X192=""),"",$I192+$X192*($J192-$I192))</f>
        <v/>
      </c>
      <c r="Z192" s="30" t="n">
        <v>46212</v>
      </c>
      <c r="AA192" s="40" t="n"/>
      <c r="AB192" s="41" t="n"/>
      <c r="AC192" s="41" t="n"/>
      <c r="AD192" s="19">
        <f>IF($A192="","",IF($AA192="",$H192,$AA192))</f>
        <v/>
      </c>
      <c r="AE192" s="35">
        <f>IF($A192="","",IF($AB192="",$I192,$AB192))</f>
        <v/>
      </c>
      <c r="AF192" s="35">
        <f>IF($A192="","",IF($AC192="",$J192,$AC192))</f>
        <v/>
      </c>
      <c r="AG192" s="35">
        <f>IF(OR($U192="",$AE192="",$AF192="",$X192=""),"",$AE192+$X192*($AF192-$AE192))</f>
        <v/>
      </c>
      <c r="AH192" s="38" t="n"/>
      <c r="AI192" s="38" t="n"/>
      <c r="AJ192" s="38" t="n"/>
      <c r="AK192" s="38" t="n"/>
      <c r="AL192" s="38" t="n"/>
      <c r="AM192" s="38" t="n"/>
      <c r="AN192" s="38" t="n"/>
      <c r="AO192" s="38" t="n"/>
      <c r="AP192" s="38" t="n"/>
      <c r="AQ192" s="38" t="n"/>
      <c r="AR192" s="38" t="n"/>
      <c r="AS192" s="38" t="n"/>
      <c r="AT192" s="38" t="n"/>
      <c r="AU192" s="38" t="n"/>
      <c r="AV192" s="38" t="n"/>
      <c r="AW192" s="38" t="n"/>
      <c r="AX192" s="38" t="n"/>
      <c r="AY192" s="42" t="n"/>
      <c r="AZ192" s="42" t="n"/>
      <c r="BA192" s="42" t="n"/>
      <c r="BB192" s="42" t="n"/>
      <c r="BC192" s="42" t="n"/>
      <c r="BD192" s="37">
        <f>IF($A192="","",SUM($AY192:$BC192))</f>
        <v/>
      </c>
      <c r="BE192" s="18">
        <f>IF($A192="","",IF(AND($I192&lt;&gt;"",$J192&lt;&gt;""),MAX(1,($J192-$I192)/7),Templates!$B$35))</f>
        <v/>
      </c>
      <c r="BF192" s="18">
        <f>IF($A192="","",IF(AND($I192&lt;&gt;"",$J192&lt;&gt;""),MAX(1,($J192-$I192)/7),Templates!$B$36))</f>
        <v/>
      </c>
      <c r="BG192" s="18">
        <f>IF($A192="","",IF(AND($I192&lt;&gt;"",$J192&lt;&gt;""),MAX(1,($J192-$I192)/7),Templates!$B$37))</f>
        <v/>
      </c>
      <c r="BH192" s="18">
        <f>IF($A192="","",IF(AND($I192&lt;&gt;"",$J192&lt;&gt;""),MAX(1,($J192-$I192)/7),Templates!$B$38))</f>
        <v/>
      </c>
      <c r="BI192" s="18">
        <f>IF($A192="","",IF(AND($I192&lt;&gt;"",$J192&lt;&gt;""),MAX(1,($J192-$I192)/7),Templates!$B$39))</f>
        <v/>
      </c>
      <c r="BJ192" s="18">
        <f>IF(OR($A192="",$BD192=0),0,($AY192*Templates!$B$27/$BE192+$AZ192*Templates!$B$28/$BF192+$BA192*Templates!$B$29/$BG192+$BB192*Templates!$B$30/$BH192+$BC192*Templates!$B$31/$BI192)/Templates!$B$17)</f>
        <v/>
      </c>
      <c r="BK192" s="18">
        <f>IF(OR($A192="",$BD192=0),0,($AY192*Templates!$C$27/$BE192+$AZ192*Templates!$C$28/$BF192+$BA192*Templates!$C$29/$BG192+$BB192*Templates!$C$30/$BH192+$BC192*Templates!$C$31/$BI192)/Templates!$B$18)</f>
        <v/>
      </c>
      <c r="BL192" s="18">
        <f>IF(OR($A192="",$BD192=0),0,($AY192*Templates!$D$27/$BE192+$AZ192*Templates!$D$28/$BF192+$BA192*Templates!$D$29/$BG192+$BB192*Templates!$D$30/$BH192+$BC192*Templates!$D$31/$BI192)/Templates!$B$19)</f>
        <v/>
      </c>
      <c r="BM192" s="18">
        <f>IF(OR($A192="",$BD192=0),0,($AY192*Templates!$E$27/$BE192+$AZ192*Templates!$E$28/$BF192+$BA192*Templates!$E$29/$BG192+$BB192*Templates!$E$30/$BH192+$BC192*Templates!$E$31/$BI192)/Templates!$B$20)</f>
        <v/>
      </c>
      <c r="BN192" s="18">
        <f>IF(OR($A192="",$BD192=0),0,($AY192*Templates!$F$27/$BE192+$AZ192*Templates!$F$28/$BF192+$BA192*Templates!$F$29/$BG192+$BB192*Templates!$F$30/$BH192+$BC192*Templates!$F$31/$BI192)/Templates!$B$21)</f>
        <v/>
      </c>
      <c r="BO192" s="18">
        <f>IF(OR($A192="",$BD192=0),0,($AY192*Templates!$G$27/$BE192+$AZ192*Templates!$G$28/$BF192+$BA192*Templates!$G$29/$BG192+$BB192*Templates!$G$30/$BH192+$BC192*Templates!$G$31/$BI192)/Templates!$B$22)</f>
        <v/>
      </c>
      <c r="BP192" s="18">
        <f>IF(OR($A192="",$BD192=0),0,($AY192*Templates!$H$27/$BE192+$AZ192*Templates!$H$28/$BF192+$BA192*Templates!$H$29/$BG192+$BB192*Templates!$H$30/$BH192+$BC192*Templates!$H$31/$BI192)/Templates!$B$23)</f>
        <v/>
      </c>
    </row>
    <row r="193">
      <c r="A193" s="28" t="inlineStr">
        <is>
          <t>Vega_1</t>
        </is>
      </c>
      <c r="B193" s="20" t="inlineStr">
        <is>
          <t>Vitol : VC Renewables</t>
        </is>
      </c>
      <c r="C193" s="28" t="inlineStr">
        <is>
          <t>Vitol</t>
        </is>
      </c>
      <c r="D193" s="28" t="inlineStr">
        <is>
          <t>VC Renewables</t>
        </is>
      </c>
      <c r="E193" s="28" t="inlineStr">
        <is>
          <t>No</t>
        </is>
      </c>
      <c r="F193" s="28" t="inlineStr">
        <is>
          <t>Active</t>
        </is>
      </c>
      <c r="G193" s="38" t="n"/>
      <c r="H193" s="29" t="n">
        <v>1</v>
      </c>
      <c r="I193" s="39" t="n"/>
      <c r="J193" s="39" t="n"/>
      <c r="K193" s="31" t="n"/>
      <c r="L193" s="31" t="n"/>
      <c r="M193" s="31" t="n"/>
      <c r="N193" s="31" t="n"/>
      <c r="O193" s="31" t="n"/>
      <c r="P193" s="31" t="n"/>
      <c r="Q193" s="23">
        <f>IF($A193="","",COUNTIFS(Assignments!$C$2:$C$769,$A193,Assignments!$G$2:$G$769,"Active"))</f>
        <v/>
      </c>
      <c r="R193" s="32">
        <f>IF($A193="","",SUMIFS(Assignments!$I$2:$I$769,Assignments!$C$2:$C$769,$A193,Assignments!$G$2:$G$769,"Active"))</f>
        <v/>
      </c>
      <c r="S193" s="20" t="inlineStr">
        <is>
          <t>WIP</t>
        </is>
      </c>
      <c r="T193" s="31" t="n"/>
      <c r="U193" s="38" t="n"/>
      <c r="V193" s="34">
        <f>IF($U193="","",IFERROR(INDEX(Templates!$K$3:$K$10,MATCH($U193,Templates!$A$3:$A$10,0)),""))</f>
        <v/>
      </c>
      <c r="W193" s="34">
        <f>IF($U193="","",IFERROR(INDEX(Templates!$L$3:$L$10,MATCH($U193,Templates!$A$3:$A$10,0)),""))</f>
        <v/>
      </c>
      <c r="X193" s="21">
        <f>IF($U193="","",IFERROR(INDEX(Templates!$J$3:$J$10,MATCH($U193,Templates!$A$3:$A$10,0)),""))</f>
        <v/>
      </c>
      <c r="Y193" s="35">
        <f>IF(OR($U193="",$I193="",$J193="",$X193=""),"",$I193+$X193*($J193-$I193))</f>
        <v/>
      </c>
      <c r="Z193" s="30" t="n">
        <v>46212</v>
      </c>
      <c r="AA193" s="40" t="n"/>
      <c r="AB193" s="41" t="n"/>
      <c r="AC193" s="41" t="n"/>
      <c r="AD193" s="19">
        <f>IF($A193="","",IF($AA193="",$H193,$AA193))</f>
        <v/>
      </c>
      <c r="AE193" s="35">
        <f>IF($A193="","",IF($AB193="",$I193,$AB193))</f>
        <v/>
      </c>
      <c r="AF193" s="35">
        <f>IF($A193="","",IF($AC193="",$J193,$AC193))</f>
        <v/>
      </c>
      <c r="AG193" s="35">
        <f>IF(OR($U193="",$AE193="",$AF193="",$X193=""),"",$AE193+$X193*($AF193-$AE193))</f>
        <v/>
      </c>
      <c r="AH193" s="38" t="n"/>
      <c r="AI193" s="38" t="n"/>
      <c r="AJ193" s="38" t="n"/>
      <c r="AK193" s="38" t="n"/>
      <c r="AL193" s="38" t="n"/>
      <c r="AM193" s="38" t="n"/>
      <c r="AN193" s="38" t="n"/>
      <c r="AO193" s="38" t="n"/>
      <c r="AP193" s="38" t="n"/>
      <c r="AQ193" s="38" t="n"/>
      <c r="AR193" s="38" t="n"/>
      <c r="AS193" s="38" t="n"/>
      <c r="AT193" s="38" t="n"/>
      <c r="AU193" s="38" t="n"/>
      <c r="AV193" s="38" t="n"/>
      <c r="AW193" s="38" t="n"/>
      <c r="AX193" s="38" t="n"/>
      <c r="AY193" s="42" t="n"/>
      <c r="AZ193" s="42" t="n"/>
      <c r="BA193" s="42" t="n"/>
      <c r="BB193" s="42" t="n"/>
      <c r="BC193" s="42" t="n"/>
      <c r="BD193" s="37">
        <f>IF($A193="","",SUM($AY193:$BC193))</f>
        <v/>
      </c>
      <c r="BE193" s="18">
        <f>IF($A193="","",IF(AND($I193&lt;&gt;"",$J193&lt;&gt;""),MAX(1,($J193-$I193)/7),Templates!$B$35))</f>
        <v/>
      </c>
      <c r="BF193" s="18">
        <f>IF($A193="","",IF(AND($I193&lt;&gt;"",$J193&lt;&gt;""),MAX(1,($J193-$I193)/7),Templates!$B$36))</f>
        <v/>
      </c>
      <c r="BG193" s="18">
        <f>IF($A193="","",IF(AND($I193&lt;&gt;"",$J193&lt;&gt;""),MAX(1,($J193-$I193)/7),Templates!$B$37))</f>
        <v/>
      </c>
      <c r="BH193" s="18">
        <f>IF($A193="","",IF(AND($I193&lt;&gt;"",$J193&lt;&gt;""),MAX(1,($J193-$I193)/7),Templates!$B$38))</f>
        <v/>
      </c>
      <c r="BI193" s="18">
        <f>IF($A193="","",IF(AND($I193&lt;&gt;"",$J193&lt;&gt;""),MAX(1,($J193-$I193)/7),Templates!$B$39))</f>
        <v/>
      </c>
      <c r="BJ193" s="18">
        <f>IF(OR($A193="",$BD193=0),0,($AY193*Templates!$B$27/$BE193+$AZ193*Templates!$B$28/$BF193+$BA193*Templates!$B$29/$BG193+$BB193*Templates!$B$30/$BH193+$BC193*Templates!$B$31/$BI193)/Templates!$B$17)</f>
        <v/>
      </c>
      <c r="BK193" s="18">
        <f>IF(OR($A193="",$BD193=0),0,($AY193*Templates!$C$27/$BE193+$AZ193*Templates!$C$28/$BF193+$BA193*Templates!$C$29/$BG193+$BB193*Templates!$C$30/$BH193+$BC193*Templates!$C$31/$BI193)/Templates!$B$18)</f>
        <v/>
      </c>
      <c r="BL193" s="18">
        <f>IF(OR($A193="",$BD193=0),0,($AY193*Templates!$D$27/$BE193+$AZ193*Templates!$D$28/$BF193+$BA193*Templates!$D$29/$BG193+$BB193*Templates!$D$30/$BH193+$BC193*Templates!$D$31/$BI193)/Templates!$B$19)</f>
        <v/>
      </c>
      <c r="BM193" s="18">
        <f>IF(OR($A193="",$BD193=0),0,($AY193*Templates!$E$27/$BE193+$AZ193*Templates!$E$28/$BF193+$BA193*Templates!$E$29/$BG193+$BB193*Templates!$E$30/$BH193+$BC193*Templates!$E$31/$BI193)/Templates!$B$20)</f>
        <v/>
      </c>
      <c r="BN193" s="18">
        <f>IF(OR($A193="",$BD193=0),0,($AY193*Templates!$F$27/$BE193+$AZ193*Templates!$F$28/$BF193+$BA193*Templates!$F$29/$BG193+$BB193*Templates!$F$30/$BH193+$BC193*Templates!$F$31/$BI193)/Templates!$B$21)</f>
        <v/>
      </c>
      <c r="BO193" s="18">
        <f>IF(OR($A193="",$BD193=0),0,($AY193*Templates!$G$27/$BE193+$AZ193*Templates!$G$28/$BF193+$BA193*Templates!$G$29/$BG193+$BB193*Templates!$G$30/$BH193+$BC193*Templates!$G$31/$BI193)/Templates!$B$22)</f>
        <v/>
      </c>
      <c r="BP193" s="18">
        <f>IF(OR($A193="",$BD193=0),0,($AY193*Templates!$H$27/$BE193+$AZ193*Templates!$H$28/$BF193+$BA193*Templates!$H$29/$BG193+$BB193*Templates!$H$30/$BH193+$BC193*Templates!$H$31/$BI193)/Templates!$B$23)</f>
        <v/>
      </c>
    </row>
    <row r="194">
      <c r="A194" s="28" t="inlineStr">
        <is>
          <t>Veritas_1</t>
        </is>
      </c>
      <c r="B194" s="20" t="inlineStr">
        <is>
          <t>Manulife : John Hancock</t>
        </is>
      </c>
      <c r="C194" s="28" t="inlineStr">
        <is>
          <t>Manulife</t>
        </is>
      </c>
      <c r="D194" s="28" t="inlineStr">
        <is>
          <t>John Hancock</t>
        </is>
      </c>
      <c r="E194" s="28" t="inlineStr">
        <is>
          <t>No</t>
        </is>
      </c>
      <c r="F194" s="28" t="inlineStr">
        <is>
          <t>Active</t>
        </is>
      </c>
      <c r="G194" s="38" t="n"/>
      <c r="H194" s="29" t="n">
        <v>1</v>
      </c>
      <c r="I194" s="39" t="n"/>
      <c r="J194" s="39" t="n"/>
      <c r="K194" s="31" t="n"/>
      <c r="L194" s="31" t="n"/>
      <c r="M194" s="31" t="n"/>
      <c r="N194" s="31" t="n"/>
      <c r="O194" s="31" t="n"/>
      <c r="P194" s="31" t="n"/>
      <c r="Q194" s="23">
        <f>IF($A194="","",COUNTIFS(Assignments!$C$2:$C$769,$A194,Assignments!$G$2:$G$769,"Active"))</f>
        <v/>
      </c>
      <c r="R194" s="32">
        <f>IF($A194="","",SUMIFS(Assignments!$I$2:$I$769,Assignments!$C$2:$C$769,$A194,Assignments!$G$2:$G$769,"Active"))</f>
        <v/>
      </c>
      <c r="S194" s="20" t="inlineStr">
        <is>
          <t>WIP</t>
        </is>
      </c>
      <c r="T194" s="31" t="n"/>
      <c r="U194" s="38" t="n"/>
      <c r="V194" s="34">
        <f>IF($U194="","",IFERROR(INDEX(Templates!$K$3:$K$10,MATCH($U194,Templates!$A$3:$A$10,0)),""))</f>
        <v/>
      </c>
      <c r="W194" s="34">
        <f>IF($U194="","",IFERROR(INDEX(Templates!$L$3:$L$10,MATCH($U194,Templates!$A$3:$A$10,0)),""))</f>
        <v/>
      </c>
      <c r="X194" s="21">
        <f>IF($U194="","",IFERROR(INDEX(Templates!$J$3:$J$10,MATCH($U194,Templates!$A$3:$A$10,0)),""))</f>
        <v/>
      </c>
      <c r="Y194" s="35">
        <f>IF(OR($U194="",$I194="",$J194="",$X194=""),"",$I194+$X194*($J194-$I194))</f>
        <v/>
      </c>
      <c r="Z194" s="30" t="n">
        <v>46212</v>
      </c>
      <c r="AA194" s="40" t="n"/>
      <c r="AB194" s="41" t="n"/>
      <c r="AC194" s="41" t="n"/>
      <c r="AD194" s="19">
        <f>IF($A194="","",IF($AA194="",$H194,$AA194))</f>
        <v/>
      </c>
      <c r="AE194" s="35">
        <f>IF($A194="","",IF($AB194="",$I194,$AB194))</f>
        <v/>
      </c>
      <c r="AF194" s="35">
        <f>IF($A194="","",IF($AC194="",$J194,$AC194))</f>
        <v/>
      </c>
      <c r="AG194" s="35">
        <f>IF(OR($U194="",$AE194="",$AF194="",$X194=""),"",$AE194+$X194*($AF194-$AE194))</f>
        <v/>
      </c>
      <c r="AH194" s="38" t="n"/>
      <c r="AI194" s="38" t="n"/>
      <c r="AJ194" s="38" t="n"/>
      <c r="AK194" s="38" t="n"/>
      <c r="AL194" s="38" t="n"/>
      <c r="AM194" s="38" t="n"/>
      <c r="AN194" s="38" t="n"/>
      <c r="AO194" s="38" t="n"/>
      <c r="AP194" s="38" t="n"/>
      <c r="AQ194" s="38" t="n"/>
      <c r="AR194" s="38" t="n"/>
      <c r="AS194" s="38" t="n"/>
      <c r="AT194" s="38" t="n"/>
      <c r="AU194" s="38" t="n"/>
      <c r="AV194" s="38" t="n"/>
      <c r="AW194" s="38" t="n"/>
      <c r="AX194" s="38" t="n"/>
      <c r="AY194" s="42" t="n"/>
      <c r="AZ194" s="42" t="n"/>
      <c r="BA194" s="42" t="n"/>
      <c r="BB194" s="42" t="n"/>
      <c r="BC194" s="42" t="n"/>
      <c r="BD194" s="37">
        <f>IF($A194="","",SUM($AY194:$BC194))</f>
        <v/>
      </c>
      <c r="BE194" s="18">
        <f>IF($A194="","",IF(AND($I194&lt;&gt;"",$J194&lt;&gt;""),MAX(1,($J194-$I194)/7),Templates!$B$35))</f>
        <v/>
      </c>
      <c r="BF194" s="18">
        <f>IF($A194="","",IF(AND($I194&lt;&gt;"",$J194&lt;&gt;""),MAX(1,($J194-$I194)/7),Templates!$B$36))</f>
        <v/>
      </c>
      <c r="BG194" s="18">
        <f>IF($A194="","",IF(AND($I194&lt;&gt;"",$J194&lt;&gt;""),MAX(1,($J194-$I194)/7),Templates!$B$37))</f>
        <v/>
      </c>
      <c r="BH194" s="18">
        <f>IF($A194="","",IF(AND($I194&lt;&gt;"",$J194&lt;&gt;""),MAX(1,($J194-$I194)/7),Templates!$B$38))</f>
        <v/>
      </c>
      <c r="BI194" s="18">
        <f>IF($A194="","",IF(AND($I194&lt;&gt;"",$J194&lt;&gt;""),MAX(1,($J194-$I194)/7),Templates!$B$39))</f>
        <v/>
      </c>
      <c r="BJ194" s="18">
        <f>IF(OR($A194="",$BD194=0),0,($AY194*Templates!$B$27/$BE194+$AZ194*Templates!$B$28/$BF194+$BA194*Templates!$B$29/$BG194+$BB194*Templates!$B$30/$BH194+$BC194*Templates!$B$31/$BI194)/Templates!$B$17)</f>
        <v/>
      </c>
      <c r="BK194" s="18">
        <f>IF(OR($A194="",$BD194=0),0,($AY194*Templates!$C$27/$BE194+$AZ194*Templates!$C$28/$BF194+$BA194*Templates!$C$29/$BG194+$BB194*Templates!$C$30/$BH194+$BC194*Templates!$C$31/$BI194)/Templates!$B$18)</f>
        <v/>
      </c>
      <c r="BL194" s="18">
        <f>IF(OR($A194="",$BD194=0),0,($AY194*Templates!$D$27/$BE194+$AZ194*Templates!$D$28/$BF194+$BA194*Templates!$D$29/$BG194+$BB194*Templates!$D$30/$BH194+$BC194*Templates!$D$31/$BI194)/Templates!$B$19)</f>
        <v/>
      </c>
      <c r="BM194" s="18">
        <f>IF(OR($A194="",$BD194=0),0,($AY194*Templates!$E$27/$BE194+$AZ194*Templates!$E$28/$BF194+$BA194*Templates!$E$29/$BG194+$BB194*Templates!$E$30/$BH194+$BC194*Templates!$E$31/$BI194)/Templates!$B$20)</f>
        <v/>
      </c>
      <c r="BN194" s="18">
        <f>IF(OR($A194="",$BD194=0),0,($AY194*Templates!$F$27/$BE194+$AZ194*Templates!$F$28/$BF194+$BA194*Templates!$F$29/$BG194+$BB194*Templates!$F$30/$BH194+$BC194*Templates!$F$31/$BI194)/Templates!$B$21)</f>
        <v/>
      </c>
      <c r="BO194" s="18">
        <f>IF(OR($A194="",$BD194=0),0,($AY194*Templates!$G$27/$BE194+$AZ194*Templates!$G$28/$BF194+$BA194*Templates!$G$29/$BG194+$BB194*Templates!$G$30/$BH194+$BC194*Templates!$G$31/$BI194)/Templates!$B$22)</f>
        <v/>
      </c>
      <c r="BP194" s="18">
        <f>IF(OR($A194="",$BD194=0),0,($AY194*Templates!$H$27/$BE194+$AZ194*Templates!$H$28/$BF194+$BA194*Templates!$H$29/$BG194+$BB194*Templates!$H$30/$BH194+$BC194*Templates!$H$31/$BI194)/Templates!$B$23)</f>
        <v/>
      </c>
    </row>
    <row r="195">
      <c r="A195" s="28" t="inlineStr">
        <is>
          <t>Vero_1</t>
        </is>
      </c>
      <c r="B195" s="20" t="inlineStr">
        <is>
          <t>Euclid Transactional</t>
        </is>
      </c>
      <c r="C195" s="28" t="inlineStr">
        <is>
          <t>Euclid Transactional</t>
        </is>
      </c>
      <c r="D195" s="28" t="inlineStr"/>
      <c r="E195" s="28" t="inlineStr">
        <is>
          <t>No</t>
        </is>
      </c>
      <c r="F195" s="28" t="inlineStr">
        <is>
          <t>Active</t>
        </is>
      </c>
      <c r="G195" s="38" t="n"/>
      <c r="H195" s="29" t="n">
        <v>1</v>
      </c>
      <c r="I195" s="39" t="n"/>
      <c r="J195" s="39" t="n"/>
      <c r="K195" s="31" t="n"/>
      <c r="L195" s="31" t="n"/>
      <c r="M195" s="31" t="n"/>
      <c r="N195" s="31" t="n"/>
      <c r="O195" s="31" t="n"/>
      <c r="P195" s="31" t="n"/>
      <c r="Q195" s="23">
        <f>IF($A195="","",COUNTIFS(Assignments!$C$2:$C$769,$A195,Assignments!$G$2:$G$769,"Active"))</f>
        <v/>
      </c>
      <c r="R195" s="32">
        <f>IF($A195="","",SUMIFS(Assignments!$I$2:$I$769,Assignments!$C$2:$C$769,$A195,Assignments!$G$2:$G$769,"Active"))</f>
        <v/>
      </c>
      <c r="S195" s="20" t="inlineStr">
        <is>
          <t>WIP</t>
        </is>
      </c>
      <c r="T195" s="31" t="n"/>
      <c r="U195" s="38" t="n"/>
      <c r="V195" s="34">
        <f>IF($U195="","",IFERROR(INDEX(Templates!$K$3:$K$10,MATCH($U195,Templates!$A$3:$A$10,0)),""))</f>
        <v/>
      </c>
      <c r="W195" s="34">
        <f>IF($U195="","",IFERROR(INDEX(Templates!$L$3:$L$10,MATCH($U195,Templates!$A$3:$A$10,0)),""))</f>
        <v/>
      </c>
      <c r="X195" s="21">
        <f>IF($U195="","",IFERROR(INDEX(Templates!$J$3:$J$10,MATCH($U195,Templates!$A$3:$A$10,0)),""))</f>
        <v/>
      </c>
      <c r="Y195" s="35">
        <f>IF(OR($U195="",$I195="",$J195="",$X195=""),"",$I195+$X195*($J195-$I195))</f>
        <v/>
      </c>
      <c r="Z195" s="30" t="n">
        <v>46212</v>
      </c>
      <c r="AA195" s="40" t="n"/>
      <c r="AB195" s="41" t="n"/>
      <c r="AC195" s="41" t="n"/>
      <c r="AD195" s="19">
        <f>IF($A195="","",IF($AA195="",$H195,$AA195))</f>
        <v/>
      </c>
      <c r="AE195" s="35">
        <f>IF($A195="","",IF($AB195="",$I195,$AB195))</f>
        <v/>
      </c>
      <c r="AF195" s="35">
        <f>IF($A195="","",IF($AC195="",$J195,$AC195))</f>
        <v/>
      </c>
      <c r="AG195" s="35">
        <f>IF(OR($U195="",$AE195="",$AF195="",$X195=""),"",$AE195+$X195*($AF195-$AE195))</f>
        <v/>
      </c>
      <c r="AH195" s="38" t="n"/>
      <c r="AI195" s="38" t="n"/>
      <c r="AJ195" s="38" t="n"/>
      <c r="AK195" s="38" t="n"/>
      <c r="AL195" s="38" t="n"/>
      <c r="AM195" s="38" t="n"/>
      <c r="AN195" s="38" t="n"/>
      <c r="AO195" s="38" t="n"/>
      <c r="AP195" s="38" t="n"/>
      <c r="AQ195" s="38" t="n"/>
      <c r="AR195" s="38" t="n"/>
      <c r="AS195" s="38" t="n"/>
      <c r="AT195" s="38" t="n"/>
      <c r="AU195" s="38" t="n"/>
      <c r="AV195" s="38" t="n"/>
      <c r="AW195" s="38" t="n"/>
      <c r="AX195" s="38" t="n"/>
      <c r="AY195" s="42" t="n"/>
      <c r="AZ195" s="42" t="n"/>
      <c r="BA195" s="42" t="n"/>
      <c r="BB195" s="42" t="n"/>
      <c r="BC195" s="42" t="n"/>
      <c r="BD195" s="37">
        <f>IF($A195="","",SUM($AY195:$BC195))</f>
        <v/>
      </c>
      <c r="BE195" s="18">
        <f>IF($A195="","",IF(AND($I195&lt;&gt;"",$J195&lt;&gt;""),MAX(1,($J195-$I195)/7),Templates!$B$35))</f>
        <v/>
      </c>
      <c r="BF195" s="18">
        <f>IF($A195="","",IF(AND($I195&lt;&gt;"",$J195&lt;&gt;""),MAX(1,($J195-$I195)/7),Templates!$B$36))</f>
        <v/>
      </c>
      <c r="BG195" s="18">
        <f>IF($A195="","",IF(AND($I195&lt;&gt;"",$J195&lt;&gt;""),MAX(1,($J195-$I195)/7),Templates!$B$37))</f>
        <v/>
      </c>
      <c r="BH195" s="18">
        <f>IF($A195="","",IF(AND($I195&lt;&gt;"",$J195&lt;&gt;""),MAX(1,($J195-$I195)/7),Templates!$B$38))</f>
        <v/>
      </c>
      <c r="BI195" s="18">
        <f>IF($A195="","",IF(AND($I195&lt;&gt;"",$J195&lt;&gt;""),MAX(1,($J195-$I195)/7),Templates!$B$39))</f>
        <v/>
      </c>
      <c r="BJ195" s="18">
        <f>IF(OR($A195="",$BD195=0),0,($AY195*Templates!$B$27/$BE195+$AZ195*Templates!$B$28/$BF195+$BA195*Templates!$B$29/$BG195+$BB195*Templates!$B$30/$BH195+$BC195*Templates!$B$31/$BI195)/Templates!$B$17)</f>
        <v/>
      </c>
      <c r="BK195" s="18">
        <f>IF(OR($A195="",$BD195=0),0,($AY195*Templates!$C$27/$BE195+$AZ195*Templates!$C$28/$BF195+$BA195*Templates!$C$29/$BG195+$BB195*Templates!$C$30/$BH195+$BC195*Templates!$C$31/$BI195)/Templates!$B$18)</f>
        <v/>
      </c>
      <c r="BL195" s="18">
        <f>IF(OR($A195="",$BD195=0),0,($AY195*Templates!$D$27/$BE195+$AZ195*Templates!$D$28/$BF195+$BA195*Templates!$D$29/$BG195+$BB195*Templates!$D$30/$BH195+$BC195*Templates!$D$31/$BI195)/Templates!$B$19)</f>
        <v/>
      </c>
      <c r="BM195" s="18">
        <f>IF(OR($A195="",$BD195=0),0,($AY195*Templates!$E$27/$BE195+$AZ195*Templates!$E$28/$BF195+$BA195*Templates!$E$29/$BG195+$BB195*Templates!$E$30/$BH195+$BC195*Templates!$E$31/$BI195)/Templates!$B$20)</f>
        <v/>
      </c>
      <c r="BN195" s="18">
        <f>IF(OR($A195="",$BD195=0),0,($AY195*Templates!$F$27/$BE195+$AZ195*Templates!$F$28/$BF195+$BA195*Templates!$F$29/$BG195+$BB195*Templates!$F$30/$BH195+$BC195*Templates!$F$31/$BI195)/Templates!$B$21)</f>
        <v/>
      </c>
      <c r="BO195" s="18">
        <f>IF(OR($A195="",$BD195=0),0,($AY195*Templates!$G$27/$BE195+$AZ195*Templates!$G$28/$BF195+$BA195*Templates!$G$29/$BG195+$BB195*Templates!$G$30/$BH195+$BC195*Templates!$G$31/$BI195)/Templates!$B$22)</f>
        <v/>
      </c>
      <c r="BP195" s="18">
        <f>IF(OR($A195="",$BD195=0),0,($AY195*Templates!$H$27/$BE195+$AZ195*Templates!$H$28/$BF195+$BA195*Templates!$H$29/$BG195+$BB195*Templates!$H$30/$BH195+$BC195*Templates!$H$31/$BI195)/Templates!$B$23)</f>
        <v/>
      </c>
    </row>
    <row r="196">
      <c r="A196" s="28" t="inlineStr">
        <is>
          <t>Voyager_1</t>
        </is>
      </c>
      <c r="B196" s="20" t="inlineStr">
        <is>
          <t>Ares Management Corporation</t>
        </is>
      </c>
      <c r="C196" s="28" t="inlineStr">
        <is>
          <t>Ares Management Corporation</t>
        </is>
      </c>
      <c r="D196" s="28" t="inlineStr"/>
      <c r="E196" s="28" t="inlineStr">
        <is>
          <t>No</t>
        </is>
      </c>
      <c r="F196" s="28" t="inlineStr">
        <is>
          <t>Active</t>
        </is>
      </c>
      <c r="G196" s="38" t="n"/>
      <c r="H196" s="29" t="n">
        <v>1</v>
      </c>
      <c r="I196" s="39" t="n"/>
      <c r="J196" s="39" t="n"/>
      <c r="K196" s="31" t="n"/>
      <c r="L196" s="31" t="n"/>
      <c r="M196" s="31" t="n"/>
      <c r="N196" s="31" t="n"/>
      <c r="O196" s="31" t="n"/>
      <c r="P196" s="31" t="n"/>
      <c r="Q196" s="23">
        <f>IF($A196="","",COUNTIFS(Assignments!$C$2:$C$769,$A196,Assignments!$G$2:$G$769,"Active"))</f>
        <v/>
      </c>
      <c r="R196" s="32">
        <f>IF($A196="","",SUMIFS(Assignments!$I$2:$I$769,Assignments!$C$2:$C$769,$A196,Assignments!$G$2:$G$769,"Active"))</f>
        <v/>
      </c>
      <c r="S196" s="20" t="inlineStr">
        <is>
          <t>WIP</t>
        </is>
      </c>
      <c r="T196" s="31" t="n"/>
      <c r="U196" s="38" t="n"/>
      <c r="V196" s="34">
        <f>IF($U196="","",IFERROR(INDEX(Templates!$K$3:$K$10,MATCH($U196,Templates!$A$3:$A$10,0)),""))</f>
        <v/>
      </c>
      <c r="W196" s="34">
        <f>IF($U196="","",IFERROR(INDEX(Templates!$L$3:$L$10,MATCH($U196,Templates!$A$3:$A$10,0)),""))</f>
        <v/>
      </c>
      <c r="X196" s="21">
        <f>IF($U196="","",IFERROR(INDEX(Templates!$J$3:$J$10,MATCH($U196,Templates!$A$3:$A$10,0)),""))</f>
        <v/>
      </c>
      <c r="Y196" s="35">
        <f>IF(OR($U196="",$I196="",$J196="",$X196=""),"",$I196+$X196*($J196-$I196))</f>
        <v/>
      </c>
      <c r="Z196" s="30" t="n">
        <v>46212</v>
      </c>
      <c r="AA196" s="40" t="n"/>
      <c r="AB196" s="41" t="n"/>
      <c r="AC196" s="41" t="n"/>
      <c r="AD196" s="19">
        <f>IF($A196="","",IF($AA196="",$H196,$AA196))</f>
        <v/>
      </c>
      <c r="AE196" s="35">
        <f>IF($A196="","",IF($AB196="",$I196,$AB196))</f>
        <v/>
      </c>
      <c r="AF196" s="35">
        <f>IF($A196="","",IF($AC196="",$J196,$AC196))</f>
        <v/>
      </c>
      <c r="AG196" s="35">
        <f>IF(OR($U196="",$AE196="",$AF196="",$X196=""),"",$AE196+$X196*($AF196-$AE196))</f>
        <v/>
      </c>
      <c r="AH196" s="38" t="n"/>
      <c r="AI196" s="38" t="n"/>
      <c r="AJ196" s="38" t="n"/>
      <c r="AK196" s="38" t="n"/>
      <c r="AL196" s="38" t="n"/>
      <c r="AM196" s="38" t="n"/>
      <c r="AN196" s="38" t="n"/>
      <c r="AO196" s="38" t="n"/>
      <c r="AP196" s="38" t="n"/>
      <c r="AQ196" s="38" t="n"/>
      <c r="AR196" s="38" t="n"/>
      <c r="AS196" s="38" t="n"/>
      <c r="AT196" s="38" t="n"/>
      <c r="AU196" s="38" t="n"/>
      <c r="AV196" s="38" t="n"/>
      <c r="AW196" s="38" t="n"/>
      <c r="AX196" s="38" t="n"/>
      <c r="AY196" s="42" t="n"/>
      <c r="AZ196" s="42" t="n"/>
      <c r="BA196" s="42" t="n"/>
      <c r="BB196" s="42" t="n"/>
      <c r="BC196" s="42" t="n"/>
      <c r="BD196" s="37">
        <f>IF($A196="","",SUM($AY196:$BC196))</f>
        <v/>
      </c>
      <c r="BE196" s="18">
        <f>IF($A196="","",IF(AND($I196&lt;&gt;"",$J196&lt;&gt;""),MAX(1,($J196-$I196)/7),Templates!$B$35))</f>
        <v/>
      </c>
      <c r="BF196" s="18">
        <f>IF($A196="","",IF(AND($I196&lt;&gt;"",$J196&lt;&gt;""),MAX(1,($J196-$I196)/7),Templates!$B$36))</f>
        <v/>
      </c>
      <c r="BG196" s="18">
        <f>IF($A196="","",IF(AND($I196&lt;&gt;"",$J196&lt;&gt;""),MAX(1,($J196-$I196)/7),Templates!$B$37))</f>
        <v/>
      </c>
      <c r="BH196" s="18">
        <f>IF($A196="","",IF(AND($I196&lt;&gt;"",$J196&lt;&gt;""),MAX(1,($J196-$I196)/7),Templates!$B$38))</f>
        <v/>
      </c>
      <c r="BI196" s="18">
        <f>IF($A196="","",IF(AND($I196&lt;&gt;"",$J196&lt;&gt;""),MAX(1,($J196-$I196)/7),Templates!$B$39))</f>
        <v/>
      </c>
      <c r="BJ196" s="18">
        <f>IF(OR($A196="",$BD196=0),0,($AY196*Templates!$B$27/$BE196+$AZ196*Templates!$B$28/$BF196+$BA196*Templates!$B$29/$BG196+$BB196*Templates!$B$30/$BH196+$BC196*Templates!$B$31/$BI196)/Templates!$B$17)</f>
        <v/>
      </c>
      <c r="BK196" s="18">
        <f>IF(OR($A196="",$BD196=0),0,($AY196*Templates!$C$27/$BE196+$AZ196*Templates!$C$28/$BF196+$BA196*Templates!$C$29/$BG196+$BB196*Templates!$C$30/$BH196+$BC196*Templates!$C$31/$BI196)/Templates!$B$18)</f>
        <v/>
      </c>
      <c r="BL196" s="18">
        <f>IF(OR($A196="",$BD196=0),0,($AY196*Templates!$D$27/$BE196+$AZ196*Templates!$D$28/$BF196+$BA196*Templates!$D$29/$BG196+$BB196*Templates!$D$30/$BH196+$BC196*Templates!$D$31/$BI196)/Templates!$B$19)</f>
        <v/>
      </c>
      <c r="BM196" s="18">
        <f>IF(OR($A196="",$BD196=0),0,($AY196*Templates!$E$27/$BE196+$AZ196*Templates!$E$28/$BF196+$BA196*Templates!$E$29/$BG196+$BB196*Templates!$E$30/$BH196+$BC196*Templates!$E$31/$BI196)/Templates!$B$20)</f>
        <v/>
      </c>
      <c r="BN196" s="18">
        <f>IF(OR($A196="",$BD196=0),0,($AY196*Templates!$F$27/$BE196+$AZ196*Templates!$F$28/$BF196+$BA196*Templates!$F$29/$BG196+$BB196*Templates!$F$30/$BH196+$BC196*Templates!$F$31/$BI196)/Templates!$B$21)</f>
        <v/>
      </c>
      <c r="BO196" s="18">
        <f>IF(OR($A196="",$BD196=0),0,($AY196*Templates!$G$27/$BE196+$AZ196*Templates!$G$28/$BF196+$BA196*Templates!$G$29/$BG196+$BB196*Templates!$G$30/$BH196+$BC196*Templates!$G$31/$BI196)/Templates!$B$22)</f>
        <v/>
      </c>
      <c r="BP196" s="18">
        <f>IF(OR($A196="",$BD196=0),0,($AY196*Templates!$H$27/$BE196+$AZ196*Templates!$H$28/$BF196+$BA196*Templates!$H$29/$BG196+$BB196*Templates!$H$30/$BH196+$BC196*Templates!$H$31/$BI196)/Templates!$B$23)</f>
        <v/>
      </c>
    </row>
    <row r="197">
      <c r="A197" s="28" t="inlineStr">
        <is>
          <t>VW1_1</t>
        </is>
      </c>
      <c r="B197" s="20" t="inlineStr">
        <is>
          <t>Ethos Specialty Insurance Services</t>
        </is>
      </c>
      <c r="C197" s="28" t="inlineStr">
        <is>
          <t>Ethos Specialty Insurance Services</t>
        </is>
      </c>
      <c r="D197" s="28" t="inlineStr"/>
      <c r="E197" s="28" t="inlineStr">
        <is>
          <t>No</t>
        </is>
      </c>
      <c r="F197" s="28" t="inlineStr">
        <is>
          <t>Active</t>
        </is>
      </c>
      <c r="G197" s="38" t="n"/>
      <c r="H197" s="29" t="n">
        <v>1</v>
      </c>
      <c r="I197" s="39" t="n"/>
      <c r="J197" s="39" t="n"/>
      <c r="K197" s="31" t="n"/>
      <c r="L197" s="31" t="n"/>
      <c r="M197" s="31" t="n"/>
      <c r="N197" s="31" t="n"/>
      <c r="O197" s="31" t="n"/>
      <c r="P197" s="31" t="n"/>
      <c r="Q197" s="23">
        <f>IF($A197="","",COUNTIFS(Assignments!$C$2:$C$769,$A197,Assignments!$G$2:$G$769,"Active"))</f>
        <v/>
      </c>
      <c r="R197" s="32">
        <f>IF($A197="","",SUMIFS(Assignments!$I$2:$I$769,Assignments!$C$2:$C$769,$A197,Assignments!$G$2:$G$769,"Active"))</f>
        <v/>
      </c>
      <c r="S197" s="20" t="inlineStr">
        <is>
          <t>WIP</t>
        </is>
      </c>
      <c r="T197" s="31" t="n"/>
      <c r="U197" s="38" t="n"/>
      <c r="V197" s="34">
        <f>IF($U197="","",IFERROR(INDEX(Templates!$K$3:$K$10,MATCH($U197,Templates!$A$3:$A$10,0)),""))</f>
        <v/>
      </c>
      <c r="W197" s="34">
        <f>IF($U197="","",IFERROR(INDEX(Templates!$L$3:$L$10,MATCH($U197,Templates!$A$3:$A$10,0)),""))</f>
        <v/>
      </c>
      <c r="X197" s="21">
        <f>IF($U197="","",IFERROR(INDEX(Templates!$J$3:$J$10,MATCH($U197,Templates!$A$3:$A$10,0)),""))</f>
        <v/>
      </c>
      <c r="Y197" s="35">
        <f>IF(OR($U197="",$I197="",$J197="",$X197=""),"",$I197+$X197*($J197-$I197))</f>
        <v/>
      </c>
      <c r="Z197" s="30" t="n">
        <v>46212</v>
      </c>
      <c r="AA197" s="40" t="n"/>
      <c r="AB197" s="41" t="n"/>
      <c r="AC197" s="41" t="n"/>
      <c r="AD197" s="19">
        <f>IF($A197="","",IF($AA197="",$H197,$AA197))</f>
        <v/>
      </c>
      <c r="AE197" s="35">
        <f>IF($A197="","",IF($AB197="",$I197,$AB197))</f>
        <v/>
      </c>
      <c r="AF197" s="35">
        <f>IF($A197="","",IF($AC197="",$J197,$AC197))</f>
        <v/>
      </c>
      <c r="AG197" s="35">
        <f>IF(OR($U197="",$AE197="",$AF197="",$X197=""),"",$AE197+$X197*($AF197-$AE197))</f>
        <v/>
      </c>
      <c r="AH197" s="38" t="n"/>
      <c r="AI197" s="38" t="n"/>
      <c r="AJ197" s="38" t="n"/>
      <c r="AK197" s="38" t="n"/>
      <c r="AL197" s="38" t="n"/>
      <c r="AM197" s="38" t="n"/>
      <c r="AN197" s="38" t="n"/>
      <c r="AO197" s="38" t="n"/>
      <c r="AP197" s="38" t="n"/>
      <c r="AQ197" s="38" t="n"/>
      <c r="AR197" s="38" t="n"/>
      <c r="AS197" s="38" t="n"/>
      <c r="AT197" s="38" t="n"/>
      <c r="AU197" s="38" t="n"/>
      <c r="AV197" s="38" t="n"/>
      <c r="AW197" s="38" t="n"/>
      <c r="AX197" s="38" t="n"/>
      <c r="AY197" s="42" t="n"/>
      <c r="AZ197" s="42" t="n"/>
      <c r="BA197" s="42" t="n"/>
      <c r="BB197" s="42" t="n"/>
      <c r="BC197" s="42" t="n"/>
      <c r="BD197" s="37">
        <f>IF($A197="","",SUM($AY197:$BC197))</f>
        <v/>
      </c>
      <c r="BE197" s="18">
        <f>IF($A197="","",IF(AND($I197&lt;&gt;"",$J197&lt;&gt;""),MAX(1,($J197-$I197)/7),Templates!$B$35))</f>
        <v/>
      </c>
      <c r="BF197" s="18">
        <f>IF($A197="","",IF(AND($I197&lt;&gt;"",$J197&lt;&gt;""),MAX(1,($J197-$I197)/7),Templates!$B$36))</f>
        <v/>
      </c>
      <c r="BG197" s="18">
        <f>IF($A197="","",IF(AND($I197&lt;&gt;"",$J197&lt;&gt;""),MAX(1,($J197-$I197)/7),Templates!$B$37))</f>
        <v/>
      </c>
      <c r="BH197" s="18">
        <f>IF($A197="","",IF(AND($I197&lt;&gt;"",$J197&lt;&gt;""),MAX(1,($J197-$I197)/7),Templates!$B$38))</f>
        <v/>
      </c>
      <c r="BI197" s="18">
        <f>IF($A197="","",IF(AND($I197&lt;&gt;"",$J197&lt;&gt;""),MAX(1,($J197-$I197)/7),Templates!$B$39))</f>
        <v/>
      </c>
      <c r="BJ197" s="18">
        <f>IF(OR($A197="",$BD197=0),0,($AY197*Templates!$B$27/$BE197+$AZ197*Templates!$B$28/$BF197+$BA197*Templates!$B$29/$BG197+$BB197*Templates!$B$30/$BH197+$BC197*Templates!$B$31/$BI197)/Templates!$B$17)</f>
        <v/>
      </c>
      <c r="BK197" s="18">
        <f>IF(OR($A197="",$BD197=0),0,($AY197*Templates!$C$27/$BE197+$AZ197*Templates!$C$28/$BF197+$BA197*Templates!$C$29/$BG197+$BB197*Templates!$C$30/$BH197+$BC197*Templates!$C$31/$BI197)/Templates!$B$18)</f>
        <v/>
      </c>
      <c r="BL197" s="18">
        <f>IF(OR($A197="",$BD197=0),0,($AY197*Templates!$D$27/$BE197+$AZ197*Templates!$D$28/$BF197+$BA197*Templates!$D$29/$BG197+$BB197*Templates!$D$30/$BH197+$BC197*Templates!$D$31/$BI197)/Templates!$B$19)</f>
        <v/>
      </c>
      <c r="BM197" s="18">
        <f>IF(OR($A197="",$BD197=0),0,($AY197*Templates!$E$27/$BE197+$AZ197*Templates!$E$28/$BF197+$BA197*Templates!$E$29/$BG197+$BB197*Templates!$E$30/$BH197+$BC197*Templates!$E$31/$BI197)/Templates!$B$20)</f>
        <v/>
      </c>
      <c r="BN197" s="18">
        <f>IF(OR($A197="",$BD197=0),0,($AY197*Templates!$F$27/$BE197+$AZ197*Templates!$F$28/$BF197+$BA197*Templates!$F$29/$BG197+$BB197*Templates!$F$30/$BH197+$BC197*Templates!$F$31/$BI197)/Templates!$B$21)</f>
        <v/>
      </c>
      <c r="BO197" s="18">
        <f>IF(OR($A197="",$BD197=0),0,($AY197*Templates!$G$27/$BE197+$AZ197*Templates!$G$28/$BF197+$BA197*Templates!$G$29/$BG197+$BB197*Templates!$G$30/$BH197+$BC197*Templates!$G$31/$BI197)/Templates!$B$22)</f>
        <v/>
      </c>
      <c r="BP197" s="18">
        <f>IF(OR($A197="",$BD197=0),0,($AY197*Templates!$H$27/$BE197+$AZ197*Templates!$H$28/$BF197+$BA197*Templates!$H$29/$BG197+$BB197*Templates!$H$30/$BH197+$BC197*Templates!$H$31/$BI197)/Templates!$B$23)</f>
        <v/>
      </c>
    </row>
    <row r="198">
      <c r="A198" s="28" t="inlineStr">
        <is>
          <t>WASP_2</t>
        </is>
      </c>
      <c r="B198" s="20" t="inlineStr">
        <is>
          <t>Taxand Global : Arsene TaxAnd</t>
        </is>
      </c>
      <c r="C198" s="28" t="inlineStr">
        <is>
          <t>Taxand Global</t>
        </is>
      </c>
      <c r="D198" s="28" t="inlineStr">
        <is>
          <t>Arsene TaxAnd</t>
        </is>
      </c>
      <c r="E198" s="28" t="inlineStr">
        <is>
          <t>No</t>
        </is>
      </c>
      <c r="F198" s="28" t="inlineStr">
        <is>
          <t>Active</t>
        </is>
      </c>
      <c r="G198" s="38" t="n"/>
      <c r="H198" s="29" t="n">
        <v>1</v>
      </c>
      <c r="I198" s="39" t="n"/>
      <c r="J198" s="39" t="n"/>
      <c r="K198" s="31" t="n"/>
      <c r="L198" s="31" t="n"/>
      <c r="M198" s="31" t="n"/>
      <c r="N198" s="31" t="n"/>
      <c r="O198" s="31" t="n"/>
      <c r="P198" s="31" t="n"/>
      <c r="Q198" s="23">
        <f>IF($A198="","",COUNTIFS(Assignments!$C$2:$C$769,$A198,Assignments!$G$2:$G$769,"Active"))</f>
        <v/>
      </c>
      <c r="R198" s="32">
        <f>IF($A198="","",SUMIFS(Assignments!$I$2:$I$769,Assignments!$C$2:$C$769,$A198,Assignments!$G$2:$G$769,"Active"))</f>
        <v/>
      </c>
      <c r="S198" s="20" t="inlineStr">
        <is>
          <t>WIP</t>
        </is>
      </c>
      <c r="T198" s="31" t="n"/>
      <c r="U198" s="38" t="n"/>
      <c r="V198" s="34">
        <f>IF($U198="","",IFERROR(INDEX(Templates!$K$3:$K$10,MATCH($U198,Templates!$A$3:$A$10,0)),""))</f>
        <v/>
      </c>
      <c r="W198" s="34">
        <f>IF($U198="","",IFERROR(INDEX(Templates!$L$3:$L$10,MATCH($U198,Templates!$A$3:$A$10,0)),""))</f>
        <v/>
      </c>
      <c r="X198" s="21">
        <f>IF($U198="","",IFERROR(INDEX(Templates!$J$3:$J$10,MATCH($U198,Templates!$A$3:$A$10,0)),""))</f>
        <v/>
      </c>
      <c r="Y198" s="35">
        <f>IF(OR($U198="",$I198="",$J198="",$X198=""),"",$I198+$X198*($J198-$I198))</f>
        <v/>
      </c>
      <c r="Z198" s="30" t="n">
        <v>46212</v>
      </c>
      <c r="AA198" s="40" t="n"/>
      <c r="AB198" s="41" t="n"/>
      <c r="AC198" s="41" t="n"/>
      <c r="AD198" s="19">
        <f>IF($A198="","",IF($AA198="",$H198,$AA198))</f>
        <v/>
      </c>
      <c r="AE198" s="35">
        <f>IF($A198="","",IF($AB198="",$I198,$AB198))</f>
        <v/>
      </c>
      <c r="AF198" s="35">
        <f>IF($A198="","",IF($AC198="",$J198,$AC198))</f>
        <v/>
      </c>
      <c r="AG198" s="35">
        <f>IF(OR($U198="",$AE198="",$AF198="",$X198=""),"",$AE198+$X198*($AF198-$AE198))</f>
        <v/>
      </c>
      <c r="AH198" s="38" t="n"/>
      <c r="AI198" s="38" t="n"/>
      <c r="AJ198" s="38" t="n"/>
      <c r="AK198" s="38" t="n"/>
      <c r="AL198" s="38" t="n"/>
      <c r="AM198" s="38" t="n"/>
      <c r="AN198" s="38" t="n"/>
      <c r="AO198" s="38" t="n"/>
      <c r="AP198" s="38" t="n"/>
      <c r="AQ198" s="38" t="n"/>
      <c r="AR198" s="38" t="n"/>
      <c r="AS198" s="38" t="n"/>
      <c r="AT198" s="38" t="n"/>
      <c r="AU198" s="38" t="n"/>
      <c r="AV198" s="38" t="n"/>
      <c r="AW198" s="38" t="n"/>
      <c r="AX198" s="38" t="n"/>
      <c r="AY198" s="42" t="n"/>
      <c r="AZ198" s="42" t="n"/>
      <c r="BA198" s="42" t="n"/>
      <c r="BB198" s="42" t="n"/>
      <c r="BC198" s="42" t="n"/>
      <c r="BD198" s="37">
        <f>IF($A198="","",SUM($AY198:$BC198))</f>
        <v/>
      </c>
      <c r="BE198" s="18">
        <f>IF($A198="","",IF(AND($I198&lt;&gt;"",$J198&lt;&gt;""),MAX(1,($J198-$I198)/7),Templates!$B$35))</f>
        <v/>
      </c>
      <c r="BF198" s="18">
        <f>IF($A198="","",IF(AND($I198&lt;&gt;"",$J198&lt;&gt;""),MAX(1,($J198-$I198)/7),Templates!$B$36))</f>
        <v/>
      </c>
      <c r="BG198" s="18">
        <f>IF($A198="","",IF(AND($I198&lt;&gt;"",$J198&lt;&gt;""),MAX(1,($J198-$I198)/7),Templates!$B$37))</f>
        <v/>
      </c>
      <c r="BH198" s="18">
        <f>IF($A198="","",IF(AND($I198&lt;&gt;"",$J198&lt;&gt;""),MAX(1,($J198-$I198)/7),Templates!$B$38))</f>
        <v/>
      </c>
      <c r="BI198" s="18">
        <f>IF($A198="","",IF(AND($I198&lt;&gt;"",$J198&lt;&gt;""),MAX(1,($J198-$I198)/7),Templates!$B$39))</f>
        <v/>
      </c>
      <c r="BJ198" s="18">
        <f>IF(OR($A198="",$BD198=0),0,($AY198*Templates!$B$27/$BE198+$AZ198*Templates!$B$28/$BF198+$BA198*Templates!$B$29/$BG198+$BB198*Templates!$B$30/$BH198+$BC198*Templates!$B$31/$BI198)/Templates!$B$17)</f>
        <v/>
      </c>
      <c r="BK198" s="18">
        <f>IF(OR($A198="",$BD198=0),0,($AY198*Templates!$C$27/$BE198+$AZ198*Templates!$C$28/$BF198+$BA198*Templates!$C$29/$BG198+$BB198*Templates!$C$30/$BH198+$BC198*Templates!$C$31/$BI198)/Templates!$B$18)</f>
        <v/>
      </c>
      <c r="BL198" s="18">
        <f>IF(OR($A198="",$BD198=0),0,($AY198*Templates!$D$27/$BE198+$AZ198*Templates!$D$28/$BF198+$BA198*Templates!$D$29/$BG198+$BB198*Templates!$D$30/$BH198+$BC198*Templates!$D$31/$BI198)/Templates!$B$19)</f>
        <v/>
      </c>
      <c r="BM198" s="18">
        <f>IF(OR($A198="",$BD198=0),0,($AY198*Templates!$E$27/$BE198+$AZ198*Templates!$E$28/$BF198+$BA198*Templates!$E$29/$BG198+$BB198*Templates!$E$30/$BH198+$BC198*Templates!$E$31/$BI198)/Templates!$B$20)</f>
        <v/>
      </c>
      <c r="BN198" s="18">
        <f>IF(OR($A198="",$BD198=0),0,($AY198*Templates!$F$27/$BE198+$AZ198*Templates!$F$28/$BF198+$BA198*Templates!$F$29/$BG198+$BB198*Templates!$F$30/$BH198+$BC198*Templates!$F$31/$BI198)/Templates!$B$21)</f>
        <v/>
      </c>
      <c r="BO198" s="18">
        <f>IF(OR($A198="",$BD198=0),0,($AY198*Templates!$G$27/$BE198+$AZ198*Templates!$G$28/$BF198+$BA198*Templates!$G$29/$BG198+$BB198*Templates!$G$30/$BH198+$BC198*Templates!$G$31/$BI198)/Templates!$B$22)</f>
        <v/>
      </c>
      <c r="BP198" s="18">
        <f>IF(OR($A198="",$BD198=0),0,($AY198*Templates!$H$27/$BE198+$AZ198*Templates!$H$28/$BF198+$BA198*Templates!$H$29/$BG198+$BB198*Templates!$H$30/$BH198+$BC198*Templates!$H$31/$BI198)/Templates!$B$23)</f>
        <v/>
      </c>
    </row>
    <row r="199">
      <c r="A199" s="28" t="inlineStr">
        <is>
          <t>Westfold</t>
        </is>
      </c>
      <c r="B199" s="20" t="inlineStr">
        <is>
          <t>EQT Group</t>
        </is>
      </c>
      <c r="C199" s="28" t="inlineStr">
        <is>
          <t>EQT Group</t>
        </is>
      </c>
      <c r="D199" s="28" t="inlineStr"/>
      <c r="E199" s="28" t="inlineStr">
        <is>
          <t>No</t>
        </is>
      </c>
      <c r="F199" s="28" t="inlineStr">
        <is>
          <t>Active</t>
        </is>
      </c>
      <c r="G199" s="38" t="n"/>
      <c r="H199" s="29" t="n">
        <v>1</v>
      </c>
      <c r="I199" s="39" t="n"/>
      <c r="J199" s="39" t="n"/>
      <c r="K199" s="31" t="n"/>
      <c r="L199" s="31" t="n"/>
      <c r="M199" s="31" t="n"/>
      <c r="N199" s="31" t="n"/>
      <c r="O199" s="31" t="n"/>
      <c r="P199" s="31" t="n"/>
      <c r="Q199" s="23">
        <f>IF($A199="","",COUNTIFS(Assignments!$C$2:$C$769,$A199,Assignments!$G$2:$G$769,"Active"))</f>
        <v/>
      </c>
      <c r="R199" s="32">
        <f>IF($A199="","",SUMIFS(Assignments!$I$2:$I$769,Assignments!$C$2:$C$769,$A199,Assignments!$G$2:$G$769,"Active"))</f>
        <v/>
      </c>
      <c r="S199" s="20" t="inlineStr">
        <is>
          <t>Summary tab only (WIP)</t>
        </is>
      </c>
      <c r="T199" s="31" t="n"/>
      <c r="U199" s="38" t="n"/>
      <c r="V199" s="34">
        <f>IF($U199="","",IFERROR(INDEX(Templates!$K$3:$K$10,MATCH($U199,Templates!$A$3:$A$10,0)),""))</f>
        <v/>
      </c>
      <c r="W199" s="34">
        <f>IF($U199="","",IFERROR(INDEX(Templates!$L$3:$L$10,MATCH($U199,Templates!$A$3:$A$10,0)),""))</f>
        <v/>
      </c>
      <c r="X199" s="21">
        <f>IF($U199="","",IFERROR(INDEX(Templates!$J$3:$J$10,MATCH($U199,Templates!$A$3:$A$10,0)),""))</f>
        <v/>
      </c>
      <c r="Y199" s="35">
        <f>IF(OR($U199="",$I199="",$J199="",$X199=""),"",$I199+$X199*($J199-$I199))</f>
        <v/>
      </c>
      <c r="Z199" s="30" t="n">
        <v>46212</v>
      </c>
      <c r="AA199" s="40" t="n"/>
      <c r="AB199" s="41" t="n"/>
      <c r="AC199" s="41" t="n"/>
      <c r="AD199" s="19">
        <f>IF($A199="","",IF($AA199="",$H199,$AA199))</f>
        <v/>
      </c>
      <c r="AE199" s="35">
        <f>IF($A199="","",IF($AB199="",$I199,$AB199))</f>
        <v/>
      </c>
      <c r="AF199" s="35">
        <f>IF($A199="","",IF($AC199="",$J199,$AC199))</f>
        <v/>
      </c>
      <c r="AG199" s="35">
        <f>IF(OR($U199="",$AE199="",$AF199="",$X199=""),"",$AE199+$X199*($AF199-$AE199))</f>
        <v/>
      </c>
      <c r="AH199" s="38" t="n"/>
      <c r="AI199" s="38" t="n"/>
      <c r="AJ199" s="38" t="n"/>
      <c r="AK199" s="38" t="n"/>
      <c r="AL199" s="38" t="n"/>
      <c r="AM199" s="38" t="n"/>
      <c r="AN199" s="38" t="n"/>
      <c r="AO199" s="38" t="n"/>
      <c r="AP199" s="38" t="n"/>
      <c r="AQ199" s="38" t="n"/>
      <c r="AR199" s="38" t="n"/>
      <c r="AS199" s="38" t="n"/>
      <c r="AT199" s="38" t="n"/>
      <c r="AU199" s="38" t="n"/>
      <c r="AV199" s="38" t="n"/>
      <c r="AW199" s="38" t="n"/>
      <c r="AX199" s="38" t="n"/>
      <c r="AY199" s="42" t="n"/>
      <c r="AZ199" s="42" t="n"/>
      <c r="BA199" s="42" t="n"/>
      <c r="BB199" s="42" t="n"/>
      <c r="BC199" s="42" t="n"/>
      <c r="BD199" s="37">
        <f>IF($A199="","",SUM($AY199:$BC199))</f>
        <v/>
      </c>
      <c r="BE199" s="18">
        <f>IF($A199="","",IF(AND($I199&lt;&gt;"",$J199&lt;&gt;""),MAX(1,($J199-$I199)/7),Templates!$B$35))</f>
        <v/>
      </c>
      <c r="BF199" s="18">
        <f>IF($A199="","",IF(AND($I199&lt;&gt;"",$J199&lt;&gt;""),MAX(1,($J199-$I199)/7),Templates!$B$36))</f>
        <v/>
      </c>
      <c r="BG199" s="18">
        <f>IF($A199="","",IF(AND($I199&lt;&gt;"",$J199&lt;&gt;""),MAX(1,($J199-$I199)/7),Templates!$B$37))</f>
        <v/>
      </c>
      <c r="BH199" s="18">
        <f>IF($A199="","",IF(AND($I199&lt;&gt;"",$J199&lt;&gt;""),MAX(1,($J199-$I199)/7),Templates!$B$38))</f>
        <v/>
      </c>
      <c r="BI199" s="18">
        <f>IF($A199="","",IF(AND($I199&lt;&gt;"",$J199&lt;&gt;""),MAX(1,($J199-$I199)/7),Templates!$B$39))</f>
        <v/>
      </c>
      <c r="BJ199" s="18">
        <f>IF(OR($A199="",$BD199=0),0,($AY199*Templates!$B$27/$BE199+$AZ199*Templates!$B$28/$BF199+$BA199*Templates!$B$29/$BG199+$BB199*Templates!$B$30/$BH199+$BC199*Templates!$B$31/$BI199)/Templates!$B$17)</f>
        <v/>
      </c>
      <c r="BK199" s="18">
        <f>IF(OR($A199="",$BD199=0),0,($AY199*Templates!$C$27/$BE199+$AZ199*Templates!$C$28/$BF199+$BA199*Templates!$C$29/$BG199+$BB199*Templates!$C$30/$BH199+$BC199*Templates!$C$31/$BI199)/Templates!$B$18)</f>
        <v/>
      </c>
      <c r="BL199" s="18">
        <f>IF(OR($A199="",$BD199=0),0,($AY199*Templates!$D$27/$BE199+$AZ199*Templates!$D$28/$BF199+$BA199*Templates!$D$29/$BG199+$BB199*Templates!$D$30/$BH199+$BC199*Templates!$D$31/$BI199)/Templates!$B$19)</f>
        <v/>
      </c>
      <c r="BM199" s="18">
        <f>IF(OR($A199="",$BD199=0),0,($AY199*Templates!$E$27/$BE199+$AZ199*Templates!$E$28/$BF199+$BA199*Templates!$E$29/$BG199+$BB199*Templates!$E$30/$BH199+$BC199*Templates!$E$31/$BI199)/Templates!$B$20)</f>
        <v/>
      </c>
      <c r="BN199" s="18">
        <f>IF(OR($A199="",$BD199=0),0,($AY199*Templates!$F$27/$BE199+$AZ199*Templates!$F$28/$BF199+$BA199*Templates!$F$29/$BG199+$BB199*Templates!$F$30/$BH199+$BC199*Templates!$F$31/$BI199)/Templates!$B$21)</f>
        <v/>
      </c>
      <c r="BO199" s="18">
        <f>IF(OR($A199="",$BD199=0),0,($AY199*Templates!$G$27/$BE199+$AZ199*Templates!$G$28/$BF199+$BA199*Templates!$G$29/$BG199+$BB199*Templates!$G$30/$BH199+$BC199*Templates!$G$31/$BI199)/Templates!$B$22)</f>
        <v/>
      </c>
      <c r="BP199" s="18">
        <f>IF(OR($A199="",$BD199=0),0,($AY199*Templates!$H$27/$BE199+$AZ199*Templates!$H$28/$BF199+$BA199*Templates!$H$29/$BG199+$BB199*Templates!$H$30/$BH199+$BC199*Templates!$H$31/$BI199)/Templates!$B$23)</f>
        <v/>
      </c>
    </row>
    <row r="200">
      <c r="A200" s="28" t="inlineStr">
        <is>
          <t>Whale_3</t>
        </is>
      </c>
      <c r="B200" s="20" t="inlineStr">
        <is>
          <t>Certa</t>
        </is>
      </c>
      <c r="C200" s="28" t="inlineStr">
        <is>
          <t>Certa</t>
        </is>
      </c>
      <c r="D200" s="28" t="inlineStr"/>
      <c r="E200" s="28" t="inlineStr">
        <is>
          <t>No</t>
        </is>
      </c>
      <c r="F200" s="28" t="inlineStr">
        <is>
          <t>Active</t>
        </is>
      </c>
      <c r="G200" s="38" t="n"/>
      <c r="H200" s="29" t="n">
        <v>1</v>
      </c>
      <c r="I200" s="39" t="n"/>
      <c r="J200" s="39" t="n"/>
      <c r="K200" s="31" t="n"/>
      <c r="L200" s="31" t="n"/>
      <c r="M200" s="31" t="n"/>
      <c r="N200" s="31" t="n"/>
      <c r="O200" s="31" t="n"/>
      <c r="P200" s="31" t="n"/>
      <c r="Q200" s="23">
        <f>IF($A200="","",COUNTIFS(Assignments!$C$2:$C$769,$A200,Assignments!$G$2:$G$769,"Active"))</f>
        <v/>
      </c>
      <c r="R200" s="32">
        <f>IF($A200="","",SUMIFS(Assignments!$I$2:$I$769,Assignments!$C$2:$C$769,$A200,Assignments!$G$2:$G$769,"Active"))</f>
        <v/>
      </c>
      <c r="S200" s="20" t="inlineStr">
        <is>
          <t>WIP</t>
        </is>
      </c>
      <c r="T200" s="31" t="n"/>
      <c r="U200" s="38" t="n"/>
      <c r="V200" s="34">
        <f>IF($U200="","",IFERROR(INDEX(Templates!$K$3:$K$10,MATCH($U200,Templates!$A$3:$A$10,0)),""))</f>
        <v/>
      </c>
      <c r="W200" s="34">
        <f>IF($U200="","",IFERROR(INDEX(Templates!$L$3:$L$10,MATCH($U200,Templates!$A$3:$A$10,0)),""))</f>
        <v/>
      </c>
      <c r="X200" s="21">
        <f>IF($U200="","",IFERROR(INDEX(Templates!$J$3:$J$10,MATCH($U200,Templates!$A$3:$A$10,0)),""))</f>
        <v/>
      </c>
      <c r="Y200" s="35">
        <f>IF(OR($U200="",$I200="",$J200="",$X200=""),"",$I200+$X200*($J200-$I200))</f>
        <v/>
      </c>
      <c r="Z200" s="30" t="n">
        <v>46212</v>
      </c>
      <c r="AA200" s="40" t="n"/>
      <c r="AB200" s="41" t="n"/>
      <c r="AC200" s="41" t="n"/>
      <c r="AD200" s="19">
        <f>IF($A200="","",IF($AA200="",$H200,$AA200))</f>
        <v/>
      </c>
      <c r="AE200" s="35">
        <f>IF($A200="","",IF($AB200="",$I200,$AB200))</f>
        <v/>
      </c>
      <c r="AF200" s="35">
        <f>IF($A200="","",IF($AC200="",$J200,$AC200))</f>
        <v/>
      </c>
      <c r="AG200" s="35">
        <f>IF(OR($U200="",$AE200="",$AF200="",$X200=""),"",$AE200+$X200*($AF200-$AE200))</f>
        <v/>
      </c>
      <c r="AH200" s="38" t="n"/>
      <c r="AI200" s="38" t="n"/>
      <c r="AJ200" s="38" t="n"/>
      <c r="AK200" s="38" t="n"/>
      <c r="AL200" s="38" t="n"/>
      <c r="AM200" s="38" t="n"/>
      <c r="AN200" s="38" t="n"/>
      <c r="AO200" s="38" t="n"/>
      <c r="AP200" s="38" t="n"/>
      <c r="AQ200" s="38" t="n"/>
      <c r="AR200" s="38" t="n"/>
      <c r="AS200" s="38" t="n"/>
      <c r="AT200" s="38" t="n"/>
      <c r="AU200" s="38" t="n"/>
      <c r="AV200" s="38" t="n"/>
      <c r="AW200" s="38" t="n"/>
      <c r="AX200" s="38" t="n"/>
      <c r="AY200" s="42" t="n"/>
      <c r="AZ200" s="42" t="n"/>
      <c r="BA200" s="42" t="n"/>
      <c r="BB200" s="42" t="n"/>
      <c r="BC200" s="42" t="n"/>
      <c r="BD200" s="37">
        <f>IF($A200="","",SUM($AY200:$BC200))</f>
        <v/>
      </c>
      <c r="BE200" s="18">
        <f>IF($A200="","",IF(AND($I200&lt;&gt;"",$J200&lt;&gt;""),MAX(1,($J200-$I200)/7),Templates!$B$35))</f>
        <v/>
      </c>
      <c r="BF200" s="18">
        <f>IF($A200="","",IF(AND($I200&lt;&gt;"",$J200&lt;&gt;""),MAX(1,($J200-$I200)/7),Templates!$B$36))</f>
        <v/>
      </c>
      <c r="BG200" s="18">
        <f>IF($A200="","",IF(AND($I200&lt;&gt;"",$J200&lt;&gt;""),MAX(1,($J200-$I200)/7),Templates!$B$37))</f>
        <v/>
      </c>
      <c r="BH200" s="18">
        <f>IF($A200="","",IF(AND($I200&lt;&gt;"",$J200&lt;&gt;""),MAX(1,($J200-$I200)/7),Templates!$B$38))</f>
        <v/>
      </c>
      <c r="BI200" s="18">
        <f>IF($A200="","",IF(AND($I200&lt;&gt;"",$J200&lt;&gt;""),MAX(1,($J200-$I200)/7),Templates!$B$39))</f>
        <v/>
      </c>
      <c r="BJ200" s="18">
        <f>IF(OR($A200="",$BD200=0),0,($AY200*Templates!$B$27/$BE200+$AZ200*Templates!$B$28/$BF200+$BA200*Templates!$B$29/$BG200+$BB200*Templates!$B$30/$BH200+$BC200*Templates!$B$31/$BI200)/Templates!$B$17)</f>
        <v/>
      </c>
      <c r="BK200" s="18">
        <f>IF(OR($A200="",$BD200=0),0,($AY200*Templates!$C$27/$BE200+$AZ200*Templates!$C$28/$BF200+$BA200*Templates!$C$29/$BG200+$BB200*Templates!$C$30/$BH200+$BC200*Templates!$C$31/$BI200)/Templates!$B$18)</f>
        <v/>
      </c>
      <c r="BL200" s="18">
        <f>IF(OR($A200="",$BD200=0),0,($AY200*Templates!$D$27/$BE200+$AZ200*Templates!$D$28/$BF200+$BA200*Templates!$D$29/$BG200+$BB200*Templates!$D$30/$BH200+$BC200*Templates!$D$31/$BI200)/Templates!$B$19)</f>
        <v/>
      </c>
      <c r="BM200" s="18">
        <f>IF(OR($A200="",$BD200=0),0,($AY200*Templates!$E$27/$BE200+$AZ200*Templates!$E$28/$BF200+$BA200*Templates!$E$29/$BG200+$BB200*Templates!$E$30/$BH200+$BC200*Templates!$E$31/$BI200)/Templates!$B$20)</f>
        <v/>
      </c>
      <c r="BN200" s="18">
        <f>IF(OR($A200="",$BD200=0),0,($AY200*Templates!$F$27/$BE200+$AZ200*Templates!$F$28/$BF200+$BA200*Templates!$F$29/$BG200+$BB200*Templates!$F$30/$BH200+$BC200*Templates!$F$31/$BI200)/Templates!$B$21)</f>
        <v/>
      </c>
      <c r="BO200" s="18">
        <f>IF(OR($A200="",$BD200=0),0,($AY200*Templates!$G$27/$BE200+$AZ200*Templates!$G$28/$BF200+$BA200*Templates!$G$29/$BG200+$BB200*Templates!$G$30/$BH200+$BC200*Templates!$G$31/$BI200)/Templates!$B$22)</f>
        <v/>
      </c>
      <c r="BP200" s="18">
        <f>IF(OR($A200="",$BD200=0),0,($AY200*Templates!$H$27/$BE200+$AZ200*Templates!$H$28/$BF200+$BA200*Templates!$H$29/$BG200+$BB200*Templates!$H$30/$BH200+$BC200*Templates!$H$31/$BI200)/Templates!$B$23)</f>
        <v/>
      </c>
    </row>
    <row r="201">
      <c r="A201" s="28" t="inlineStr">
        <is>
          <t>White Tail_2</t>
        </is>
      </c>
      <c r="B201" s="20" t="inlineStr">
        <is>
          <t>Ryan Transactional Risk</t>
        </is>
      </c>
      <c r="C201" s="28" t="inlineStr">
        <is>
          <t>Ryan Transactional Risk</t>
        </is>
      </c>
      <c r="D201" s="28" t="inlineStr"/>
      <c r="E201" s="28" t="inlineStr">
        <is>
          <t>No</t>
        </is>
      </c>
      <c r="F201" s="28" t="inlineStr">
        <is>
          <t>Active</t>
        </is>
      </c>
      <c r="G201" s="38" t="n"/>
      <c r="H201" s="29" t="n">
        <v>1</v>
      </c>
      <c r="I201" s="39" t="n"/>
      <c r="J201" s="39" t="n"/>
      <c r="K201" s="31" t="n"/>
      <c r="L201" s="31" t="n"/>
      <c r="M201" s="31" t="n"/>
      <c r="N201" s="31" t="n"/>
      <c r="O201" s="31" t="n"/>
      <c r="P201" s="31" t="n"/>
      <c r="Q201" s="23">
        <f>IF($A201="","",COUNTIFS(Assignments!$C$2:$C$769,$A201,Assignments!$G$2:$G$769,"Active"))</f>
        <v/>
      </c>
      <c r="R201" s="32">
        <f>IF($A201="","",SUMIFS(Assignments!$I$2:$I$769,Assignments!$C$2:$C$769,$A201,Assignments!$G$2:$G$769,"Active"))</f>
        <v/>
      </c>
      <c r="S201" s="20" t="inlineStr">
        <is>
          <t>WIP</t>
        </is>
      </c>
      <c r="T201" s="31" t="n"/>
      <c r="U201" s="38" t="n"/>
      <c r="V201" s="34">
        <f>IF($U201="","",IFERROR(INDEX(Templates!$K$3:$K$10,MATCH($U201,Templates!$A$3:$A$10,0)),""))</f>
        <v/>
      </c>
      <c r="W201" s="34">
        <f>IF($U201="","",IFERROR(INDEX(Templates!$L$3:$L$10,MATCH($U201,Templates!$A$3:$A$10,0)),""))</f>
        <v/>
      </c>
      <c r="X201" s="21">
        <f>IF($U201="","",IFERROR(INDEX(Templates!$J$3:$J$10,MATCH($U201,Templates!$A$3:$A$10,0)),""))</f>
        <v/>
      </c>
      <c r="Y201" s="35">
        <f>IF(OR($U201="",$I201="",$J201="",$X201=""),"",$I201+$X201*($J201-$I201))</f>
        <v/>
      </c>
      <c r="Z201" s="30" t="n">
        <v>46212</v>
      </c>
      <c r="AA201" s="40" t="n"/>
      <c r="AB201" s="41" t="n"/>
      <c r="AC201" s="41" t="n"/>
      <c r="AD201" s="19">
        <f>IF($A201="","",IF($AA201="",$H201,$AA201))</f>
        <v/>
      </c>
      <c r="AE201" s="35">
        <f>IF($A201="","",IF($AB201="",$I201,$AB201))</f>
        <v/>
      </c>
      <c r="AF201" s="35">
        <f>IF($A201="","",IF($AC201="",$J201,$AC201))</f>
        <v/>
      </c>
      <c r="AG201" s="35">
        <f>IF(OR($U201="",$AE201="",$AF201="",$X201=""),"",$AE201+$X201*($AF201-$AE201))</f>
        <v/>
      </c>
      <c r="AH201" s="38" t="n"/>
      <c r="AI201" s="38" t="n"/>
      <c r="AJ201" s="38" t="n"/>
      <c r="AK201" s="38" t="n"/>
      <c r="AL201" s="38" t="n"/>
      <c r="AM201" s="38" t="n"/>
      <c r="AN201" s="38" t="n"/>
      <c r="AO201" s="38" t="n"/>
      <c r="AP201" s="38" t="n"/>
      <c r="AQ201" s="38" t="n"/>
      <c r="AR201" s="38" t="n"/>
      <c r="AS201" s="38" t="n"/>
      <c r="AT201" s="38" t="n"/>
      <c r="AU201" s="38" t="n"/>
      <c r="AV201" s="38" t="n"/>
      <c r="AW201" s="38" t="n"/>
      <c r="AX201" s="38" t="n"/>
      <c r="AY201" s="42" t="n"/>
      <c r="AZ201" s="42" t="n"/>
      <c r="BA201" s="42" t="n"/>
      <c r="BB201" s="42" t="n"/>
      <c r="BC201" s="42" t="n"/>
      <c r="BD201" s="37">
        <f>IF($A201="","",SUM($AY201:$BC201))</f>
        <v/>
      </c>
      <c r="BE201" s="18">
        <f>IF($A201="","",IF(AND($I201&lt;&gt;"",$J201&lt;&gt;""),MAX(1,($J201-$I201)/7),Templates!$B$35))</f>
        <v/>
      </c>
      <c r="BF201" s="18">
        <f>IF($A201="","",IF(AND($I201&lt;&gt;"",$J201&lt;&gt;""),MAX(1,($J201-$I201)/7),Templates!$B$36))</f>
        <v/>
      </c>
      <c r="BG201" s="18">
        <f>IF($A201="","",IF(AND($I201&lt;&gt;"",$J201&lt;&gt;""),MAX(1,($J201-$I201)/7),Templates!$B$37))</f>
        <v/>
      </c>
      <c r="BH201" s="18">
        <f>IF($A201="","",IF(AND($I201&lt;&gt;"",$J201&lt;&gt;""),MAX(1,($J201-$I201)/7),Templates!$B$38))</f>
        <v/>
      </c>
      <c r="BI201" s="18">
        <f>IF($A201="","",IF(AND($I201&lt;&gt;"",$J201&lt;&gt;""),MAX(1,($J201-$I201)/7),Templates!$B$39))</f>
        <v/>
      </c>
      <c r="BJ201" s="18">
        <f>IF(OR($A201="",$BD201=0),0,($AY201*Templates!$B$27/$BE201+$AZ201*Templates!$B$28/$BF201+$BA201*Templates!$B$29/$BG201+$BB201*Templates!$B$30/$BH201+$BC201*Templates!$B$31/$BI201)/Templates!$B$17)</f>
        <v/>
      </c>
      <c r="BK201" s="18">
        <f>IF(OR($A201="",$BD201=0),0,($AY201*Templates!$C$27/$BE201+$AZ201*Templates!$C$28/$BF201+$BA201*Templates!$C$29/$BG201+$BB201*Templates!$C$30/$BH201+$BC201*Templates!$C$31/$BI201)/Templates!$B$18)</f>
        <v/>
      </c>
      <c r="BL201" s="18">
        <f>IF(OR($A201="",$BD201=0),0,($AY201*Templates!$D$27/$BE201+$AZ201*Templates!$D$28/$BF201+$BA201*Templates!$D$29/$BG201+$BB201*Templates!$D$30/$BH201+$BC201*Templates!$D$31/$BI201)/Templates!$B$19)</f>
        <v/>
      </c>
      <c r="BM201" s="18">
        <f>IF(OR($A201="",$BD201=0),0,($AY201*Templates!$E$27/$BE201+$AZ201*Templates!$E$28/$BF201+$BA201*Templates!$E$29/$BG201+$BB201*Templates!$E$30/$BH201+$BC201*Templates!$E$31/$BI201)/Templates!$B$20)</f>
        <v/>
      </c>
      <c r="BN201" s="18">
        <f>IF(OR($A201="",$BD201=0),0,($AY201*Templates!$F$27/$BE201+$AZ201*Templates!$F$28/$BF201+$BA201*Templates!$F$29/$BG201+$BB201*Templates!$F$30/$BH201+$BC201*Templates!$F$31/$BI201)/Templates!$B$21)</f>
        <v/>
      </c>
      <c r="BO201" s="18">
        <f>IF(OR($A201="",$BD201=0),0,($AY201*Templates!$G$27/$BE201+$AZ201*Templates!$G$28/$BF201+$BA201*Templates!$G$29/$BG201+$BB201*Templates!$G$30/$BH201+$BC201*Templates!$G$31/$BI201)/Templates!$B$22)</f>
        <v/>
      </c>
      <c r="BP201" s="18">
        <f>IF(OR($A201="",$BD201=0),0,($AY201*Templates!$H$27/$BE201+$AZ201*Templates!$H$28/$BF201+$BA201*Templates!$H$29/$BG201+$BB201*Templates!$H$30/$BH201+$BC201*Templates!$H$31/$BI201)/Templates!$B$23)</f>
        <v/>
      </c>
    </row>
    <row r="202">
      <c r="A202" s="28" t="inlineStr">
        <is>
          <t>Winchester_1</t>
        </is>
      </c>
      <c r="B202" s="20" t="inlineStr">
        <is>
          <t>Ethos Specialty Insurance Services</t>
        </is>
      </c>
      <c r="C202" s="28" t="inlineStr">
        <is>
          <t>Ethos Specialty Insurance Services</t>
        </is>
      </c>
      <c r="D202" s="28" t="inlineStr"/>
      <c r="E202" s="28" t="inlineStr">
        <is>
          <t>No</t>
        </is>
      </c>
      <c r="F202" s="28" t="inlineStr">
        <is>
          <t>Active</t>
        </is>
      </c>
      <c r="G202" s="38" t="n"/>
      <c r="H202" s="29" t="n">
        <v>1</v>
      </c>
      <c r="I202" s="39" t="n"/>
      <c r="J202" s="39" t="n"/>
      <c r="K202" s="31" t="n"/>
      <c r="L202" s="31" t="n"/>
      <c r="M202" s="31" t="n"/>
      <c r="N202" s="31" t="n"/>
      <c r="O202" s="31" t="n"/>
      <c r="P202" s="31" t="n"/>
      <c r="Q202" s="23">
        <f>IF($A202="","",COUNTIFS(Assignments!$C$2:$C$769,$A202,Assignments!$G$2:$G$769,"Active"))</f>
        <v/>
      </c>
      <c r="R202" s="32">
        <f>IF($A202="","",SUMIFS(Assignments!$I$2:$I$769,Assignments!$C$2:$C$769,$A202,Assignments!$G$2:$G$769,"Active"))</f>
        <v/>
      </c>
      <c r="S202" s="20" t="inlineStr">
        <is>
          <t>WIP</t>
        </is>
      </c>
      <c r="T202" s="31" t="n"/>
      <c r="U202" s="38" t="n"/>
      <c r="V202" s="34">
        <f>IF($U202="","",IFERROR(INDEX(Templates!$K$3:$K$10,MATCH($U202,Templates!$A$3:$A$10,0)),""))</f>
        <v/>
      </c>
      <c r="W202" s="34">
        <f>IF($U202="","",IFERROR(INDEX(Templates!$L$3:$L$10,MATCH($U202,Templates!$A$3:$A$10,0)),""))</f>
        <v/>
      </c>
      <c r="X202" s="21">
        <f>IF($U202="","",IFERROR(INDEX(Templates!$J$3:$J$10,MATCH($U202,Templates!$A$3:$A$10,0)),""))</f>
        <v/>
      </c>
      <c r="Y202" s="35">
        <f>IF(OR($U202="",$I202="",$J202="",$X202=""),"",$I202+$X202*($J202-$I202))</f>
        <v/>
      </c>
      <c r="Z202" s="30" t="n">
        <v>46212</v>
      </c>
      <c r="AA202" s="40" t="n"/>
      <c r="AB202" s="41" t="n"/>
      <c r="AC202" s="41" t="n"/>
      <c r="AD202" s="19">
        <f>IF($A202="","",IF($AA202="",$H202,$AA202))</f>
        <v/>
      </c>
      <c r="AE202" s="35">
        <f>IF($A202="","",IF($AB202="",$I202,$AB202))</f>
        <v/>
      </c>
      <c r="AF202" s="35">
        <f>IF($A202="","",IF($AC202="",$J202,$AC202))</f>
        <v/>
      </c>
      <c r="AG202" s="35">
        <f>IF(OR($U202="",$AE202="",$AF202="",$X202=""),"",$AE202+$X202*($AF202-$AE202))</f>
        <v/>
      </c>
      <c r="AH202" s="38" t="n"/>
      <c r="AI202" s="38" t="n"/>
      <c r="AJ202" s="38" t="n"/>
      <c r="AK202" s="38" t="n"/>
      <c r="AL202" s="38" t="n"/>
      <c r="AM202" s="38" t="n"/>
      <c r="AN202" s="38" t="n"/>
      <c r="AO202" s="38" t="n"/>
      <c r="AP202" s="38" t="n"/>
      <c r="AQ202" s="38" t="n"/>
      <c r="AR202" s="38" t="n"/>
      <c r="AS202" s="38" t="n"/>
      <c r="AT202" s="38" t="n"/>
      <c r="AU202" s="38" t="n"/>
      <c r="AV202" s="38" t="n"/>
      <c r="AW202" s="38" t="n"/>
      <c r="AX202" s="38" t="n"/>
      <c r="AY202" s="42" t="n"/>
      <c r="AZ202" s="42" t="n"/>
      <c r="BA202" s="42" t="n"/>
      <c r="BB202" s="42" t="n"/>
      <c r="BC202" s="42" t="n"/>
      <c r="BD202" s="37">
        <f>IF($A202="","",SUM($AY202:$BC202))</f>
        <v/>
      </c>
      <c r="BE202" s="18">
        <f>IF($A202="","",IF(AND($I202&lt;&gt;"",$J202&lt;&gt;""),MAX(1,($J202-$I202)/7),Templates!$B$35))</f>
        <v/>
      </c>
      <c r="BF202" s="18">
        <f>IF($A202="","",IF(AND($I202&lt;&gt;"",$J202&lt;&gt;""),MAX(1,($J202-$I202)/7),Templates!$B$36))</f>
        <v/>
      </c>
      <c r="BG202" s="18">
        <f>IF($A202="","",IF(AND($I202&lt;&gt;"",$J202&lt;&gt;""),MAX(1,($J202-$I202)/7),Templates!$B$37))</f>
        <v/>
      </c>
      <c r="BH202" s="18">
        <f>IF($A202="","",IF(AND($I202&lt;&gt;"",$J202&lt;&gt;""),MAX(1,($J202-$I202)/7),Templates!$B$38))</f>
        <v/>
      </c>
      <c r="BI202" s="18">
        <f>IF($A202="","",IF(AND($I202&lt;&gt;"",$J202&lt;&gt;""),MAX(1,($J202-$I202)/7),Templates!$B$39))</f>
        <v/>
      </c>
      <c r="BJ202" s="18">
        <f>IF(OR($A202="",$BD202=0),0,($AY202*Templates!$B$27/$BE202+$AZ202*Templates!$B$28/$BF202+$BA202*Templates!$B$29/$BG202+$BB202*Templates!$B$30/$BH202+$BC202*Templates!$B$31/$BI202)/Templates!$B$17)</f>
        <v/>
      </c>
      <c r="BK202" s="18">
        <f>IF(OR($A202="",$BD202=0),0,($AY202*Templates!$C$27/$BE202+$AZ202*Templates!$C$28/$BF202+$BA202*Templates!$C$29/$BG202+$BB202*Templates!$C$30/$BH202+$BC202*Templates!$C$31/$BI202)/Templates!$B$18)</f>
        <v/>
      </c>
      <c r="BL202" s="18">
        <f>IF(OR($A202="",$BD202=0),0,($AY202*Templates!$D$27/$BE202+$AZ202*Templates!$D$28/$BF202+$BA202*Templates!$D$29/$BG202+$BB202*Templates!$D$30/$BH202+$BC202*Templates!$D$31/$BI202)/Templates!$B$19)</f>
        <v/>
      </c>
      <c r="BM202" s="18">
        <f>IF(OR($A202="",$BD202=0),0,($AY202*Templates!$E$27/$BE202+$AZ202*Templates!$E$28/$BF202+$BA202*Templates!$E$29/$BG202+$BB202*Templates!$E$30/$BH202+$BC202*Templates!$E$31/$BI202)/Templates!$B$20)</f>
        <v/>
      </c>
      <c r="BN202" s="18">
        <f>IF(OR($A202="",$BD202=0),0,($AY202*Templates!$F$27/$BE202+$AZ202*Templates!$F$28/$BF202+$BA202*Templates!$F$29/$BG202+$BB202*Templates!$F$30/$BH202+$BC202*Templates!$F$31/$BI202)/Templates!$B$21)</f>
        <v/>
      </c>
      <c r="BO202" s="18">
        <f>IF(OR($A202="",$BD202=0),0,($AY202*Templates!$G$27/$BE202+$AZ202*Templates!$G$28/$BF202+$BA202*Templates!$G$29/$BG202+$BB202*Templates!$G$30/$BH202+$BC202*Templates!$G$31/$BI202)/Templates!$B$22)</f>
        <v/>
      </c>
      <c r="BP202" s="18">
        <f>IF(OR($A202="",$BD202=0),0,($AY202*Templates!$H$27/$BE202+$AZ202*Templates!$H$28/$BF202+$BA202*Templates!$H$29/$BG202+$BB202*Templates!$H$30/$BH202+$BC202*Templates!$H$31/$BI202)/Templates!$B$23)</f>
        <v/>
      </c>
    </row>
    <row r="203">
      <c r="A203" s="28" t="inlineStr">
        <is>
          <t>Wolverine_3</t>
        </is>
      </c>
      <c r="B203" s="20" t="inlineStr">
        <is>
          <t>Infrared Capital Partners</t>
        </is>
      </c>
      <c r="C203" s="28" t="inlineStr">
        <is>
          <t>Infrared Capital Partners</t>
        </is>
      </c>
      <c r="D203" s="28" t="inlineStr"/>
      <c r="E203" s="28" t="inlineStr">
        <is>
          <t>No</t>
        </is>
      </c>
      <c r="F203" s="28" t="inlineStr">
        <is>
          <t>Active</t>
        </is>
      </c>
      <c r="G203" s="38" t="n"/>
      <c r="H203" s="29" t="n">
        <v>1</v>
      </c>
      <c r="I203" s="39" t="n"/>
      <c r="J203" s="39" t="n"/>
      <c r="K203" s="31" t="n"/>
      <c r="L203" s="31" t="n"/>
      <c r="M203" s="31" t="n"/>
      <c r="N203" s="31" t="n"/>
      <c r="O203" s="31" t="n"/>
      <c r="P203" s="31" t="n"/>
      <c r="Q203" s="23">
        <f>IF($A203="","",COUNTIFS(Assignments!$C$2:$C$769,$A203,Assignments!$G$2:$G$769,"Active"))</f>
        <v/>
      </c>
      <c r="R203" s="32">
        <f>IF($A203="","",SUMIFS(Assignments!$I$2:$I$769,Assignments!$C$2:$C$769,$A203,Assignments!$G$2:$G$769,"Active"))</f>
        <v/>
      </c>
      <c r="S203" s="20" t="inlineStr">
        <is>
          <t>WIP</t>
        </is>
      </c>
      <c r="T203" s="31" t="n"/>
      <c r="U203" s="38" t="n"/>
      <c r="V203" s="34">
        <f>IF($U203="","",IFERROR(INDEX(Templates!$K$3:$K$10,MATCH($U203,Templates!$A$3:$A$10,0)),""))</f>
        <v/>
      </c>
      <c r="W203" s="34">
        <f>IF($U203="","",IFERROR(INDEX(Templates!$L$3:$L$10,MATCH($U203,Templates!$A$3:$A$10,0)),""))</f>
        <v/>
      </c>
      <c r="X203" s="21">
        <f>IF($U203="","",IFERROR(INDEX(Templates!$J$3:$J$10,MATCH($U203,Templates!$A$3:$A$10,0)),""))</f>
        <v/>
      </c>
      <c r="Y203" s="35">
        <f>IF(OR($U203="",$I203="",$J203="",$X203=""),"",$I203+$X203*($J203-$I203))</f>
        <v/>
      </c>
      <c r="Z203" s="30" t="n">
        <v>46212</v>
      </c>
      <c r="AA203" s="40" t="n"/>
      <c r="AB203" s="41" t="n"/>
      <c r="AC203" s="41" t="n"/>
      <c r="AD203" s="19">
        <f>IF($A203="","",IF($AA203="",$H203,$AA203))</f>
        <v/>
      </c>
      <c r="AE203" s="35">
        <f>IF($A203="","",IF($AB203="",$I203,$AB203))</f>
        <v/>
      </c>
      <c r="AF203" s="35">
        <f>IF($A203="","",IF($AC203="",$J203,$AC203))</f>
        <v/>
      </c>
      <c r="AG203" s="35">
        <f>IF(OR($U203="",$AE203="",$AF203="",$X203=""),"",$AE203+$X203*($AF203-$AE203))</f>
        <v/>
      </c>
      <c r="AH203" s="38" t="n"/>
      <c r="AI203" s="38" t="n"/>
      <c r="AJ203" s="38" t="n"/>
      <c r="AK203" s="38" t="n"/>
      <c r="AL203" s="38" t="n"/>
      <c r="AM203" s="38" t="n"/>
      <c r="AN203" s="38" t="n"/>
      <c r="AO203" s="38" t="n"/>
      <c r="AP203" s="38" t="n"/>
      <c r="AQ203" s="38" t="n"/>
      <c r="AR203" s="38" t="n"/>
      <c r="AS203" s="38" t="n"/>
      <c r="AT203" s="38" t="n"/>
      <c r="AU203" s="38" t="n"/>
      <c r="AV203" s="38" t="n"/>
      <c r="AW203" s="38" t="n"/>
      <c r="AX203" s="38" t="n"/>
      <c r="AY203" s="42" t="n"/>
      <c r="AZ203" s="42" t="n"/>
      <c r="BA203" s="42" t="n"/>
      <c r="BB203" s="42" t="n"/>
      <c r="BC203" s="42" t="n"/>
      <c r="BD203" s="37">
        <f>IF($A203="","",SUM($AY203:$BC203))</f>
        <v/>
      </c>
      <c r="BE203" s="18">
        <f>IF($A203="","",IF(AND($I203&lt;&gt;"",$J203&lt;&gt;""),MAX(1,($J203-$I203)/7),Templates!$B$35))</f>
        <v/>
      </c>
      <c r="BF203" s="18">
        <f>IF($A203="","",IF(AND($I203&lt;&gt;"",$J203&lt;&gt;""),MAX(1,($J203-$I203)/7),Templates!$B$36))</f>
        <v/>
      </c>
      <c r="BG203" s="18">
        <f>IF($A203="","",IF(AND($I203&lt;&gt;"",$J203&lt;&gt;""),MAX(1,($J203-$I203)/7),Templates!$B$37))</f>
        <v/>
      </c>
      <c r="BH203" s="18">
        <f>IF($A203="","",IF(AND($I203&lt;&gt;"",$J203&lt;&gt;""),MAX(1,($J203-$I203)/7),Templates!$B$38))</f>
        <v/>
      </c>
      <c r="BI203" s="18">
        <f>IF($A203="","",IF(AND($I203&lt;&gt;"",$J203&lt;&gt;""),MAX(1,($J203-$I203)/7),Templates!$B$39))</f>
        <v/>
      </c>
      <c r="BJ203" s="18">
        <f>IF(OR($A203="",$BD203=0),0,($AY203*Templates!$B$27/$BE203+$AZ203*Templates!$B$28/$BF203+$BA203*Templates!$B$29/$BG203+$BB203*Templates!$B$30/$BH203+$BC203*Templates!$B$31/$BI203)/Templates!$B$17)</f>
        <v/>
      </c>
      <c r="BK203" s="18">
        <f>IF(OR($A203="",$BD203=0),0,($AY203*Templates!$C$27/$BE203+$AZ203*Templates!$C$28/$BF203+$BA203*Templates!$C$29/$BG203+$BB203*Templates!$C$30/$BH203+$BC203*Templates!$C$31/$BI203)/Templates!$B$18)</f>
        <v/>
      </c>
      <c r="BL203" s="18">
        <f>IF(OR($A203="",$BD203=0),0,($AY203*Templates!$D$27/$BE203+$AZ203*Templates!$D$28/$BF203+$BA203*Templates!$D$29/$BG203+$BB203*Templates!$D$30/$BH203+$BC203*Templates!$D$31/$BI203)/Templates!$B$19)</f>
        <v/>
      </c>
      <c r="BM203" s="18">
        <f>IF(OR($A203="",$BD203=0),0,($AY203*Templates!$E$27/$BE203+$AZ203*Templates!$E$28/$BF203+$BA203*Templates!$E$29/$BG203+$BB203*Templates!$E$30/$BH203+$BC203*Templates!$E$31/$BI203)/Templates!$B$20)</f>
        <v/>
      </c>
      <c r="BN203" s="18">
        <f>IF(OR($A203="",$BD203=0),0,($AY203*Templates!$F$27/$BE203+$AZ203*Templates!$F$28/$BF203+$BA203*Templates!$F$29/$BG203+$BB203*Templates!$F$30/$BH203+$BC203*Templates!$F$31/$BI203)/Templates!$B$21)</f>
        <v/>
      </c>
      <c r="BO203" s="18">
        <f>IF(OR($A203="",$BD203=0),0,($AY203*Templates!$G$27/$BE203+$AZ203*Templates!$G$28/$BF203+$BA203*Templates!$G$29/$BG203+$BB203*Templates!$G$30/$BH203+$BC203*Templates!$G$31/$BI203)/Templates!$B$22)</f>
        <v/>
      </c>
      <c r="BP203" s="18">
        <f>IF(OR($A203="",$BD203=0),0,($AY203*Templates!$H$27/$BE203+$AZ203*Templates!$H$28/$BF203+$BA203*Templates!$H$29/$BG203+$BB203*Templates!$H$30/$BH203+$BC203*Templates!$H$31/$BI203)/Templates!$B$23)</f>
        <v/>
      </c>
    </row>
    <row r="204">
      <c r="A204" s="28" t="inlineStr">
        <is>
          <t>Zeus_2</t>
        </is>
      </c>
      <c r="B204" s="20" t="inlineStr">
        <is>
          <t>Flick Gocke Schaumburg</t>
        </is>
      </c>
      <c r="C204" s="28" t="inlineStr">
        <is>
          <t>Flick Gocke Schaumburg</t>
        </is>
      </c>
      <c r="D204" s="28" t="inlineStr"/>
      <c r="E204" s="28" t="inlineStr">
        <is>
          <t>No</t>
        </is>
      </c>
      <c r="F204" s="28" t="inlineStr">
        <is>
          <t>Active</t>
        </is>
      </c>
      <c r="G204" s="38" t="n"/>
      <c r="H204" s="29" t="n">
        <v>1</v>
      </c>
      <c r="I204" s="39" t="n"/>
      <c r="J204" s="39" t="n"/>
      <c r="K204" s="31" t="n"/>
      <c r="L204" s="31" t="n"/>
      <c r="M204" s="31" t="n"/>
      <c r="N204" s="31" t="n"/>
      <c r="O204" s="31" t="n"/>
      <c r="P204" s="31" t="n"/>
      <c r="Q204" s="23">
        <f>IF($A204="","",COUNTIFS(Assignments!$C$2:$C$769,$A204,Assignments!$G$2:$G$769,"Active"))</f>
        <v/>
      </c>
      <c r="R204" s="32">
        <f>IF($A204="","",SUMIFS(Assignments!$I$2:$I$769,Assignments!$C$2:$C$769,$A204,Assignments!$G$2:$G$769,"Active"))</f>
        <v/>
      </c>
      <c r="S204" s="20" t="inlineStr">
        <is>
          <t>WIP</t>
        </is>
      </c>
      <c r="T204" s="31" t="n"/>
      <c r="U204" s="38" t="n"/>
      <c r="V204" s="34">
        <f>IF($U204="","",IFERROR(INDEX(Templates!$K$3:$K$10,MATCH($U204,Templates!$A$3:$A$10,0)),""))</f>
        <v/>
      </c>
      <c r="W204" s="34">
        <f>IF($U204="","",IFERROR(INDEX(Templates!$L$3:$L$10,MATCH($U204,Templates!$A$3:$A$10,0)),""))</f>
        <v/>
      </c>
      <c r="X204" s="21">
        <f>IF($U204="","",IFERROR(INDEX(Templates!$J$3:$J$10,MATCH($U204,Templates!$A$3:$A$10,0)),""))</f>
        <v/>
      </c>
      <c r="Y204" s="35">
        <f>IF(OR($U204="",$I204="",$J204="",$X204=""),"",$I204+$X204*($J204-$I204))</f>
        <v/>
      </c>
      <c r="Z204" s="30" t="n">
        <v>46212</v>
      </c>
      <c r="AA204" s="40" t="n"/>
      <c r="AB204" s="41" t="n"/>
      <c r="AC204" s="41" t="n"/>
      <c r="AD204" s="19">
        <f>IF($A204="","",IF($AA204="",$H204,$AA204))</f>
        <v/>
      </c>
      <c r="AE204" s="35">
        <f>IF($A204="","",IF($AB204="",$I204,$AB204))</f>
        <v/>
      </c>
      <c r="AF204" s="35">
        <f>IF($A204="","",IF($AC204="",$J204,$AC204))</f>
        <v/>
      </c>
      <c r="AG204" s="35">
        <f>IF(OR($U204="",$AE204="",$AF204="",$X204=""),"",$AE204+$X204*($AF204-$AE204))</f>
        <v/>
      </c>
      <c r="AH204" s="38" t="n"/>
      <c r="AI204" s="38" t="n"/>
      <c r="AJ204" s="38" t="n"/>
      <c r="AK204" s="38" t="n"/>
      <c r="AL204" s="38" t="n"/>
      <c r="AM204" s="38" t="n"/>
      <c r="AN204" s="38" t="n"/>
      <c r="AO204" s="38" t="n"/>
      <c r="AP204" s="38" t="n"/>
      <c r="AQ204" s="38" t="n"/>
      <c r="AR204" s="38" t="n"/>
      <c r="AS204" s="38" t="n"/>
      <c r="AT204" s="38" t="n"/>
      <c r="AU204" s="38" t="n"/>
      <c r="AV204" s="38" t="n"/>
      <c r="AW204" s="38" t="n"/>
      <c r="AX204" s="38" t="n"/>
      <c r="AY204" s="42" t="n"/>
      <c r="AZ204" s="42" t="n"/>
      <c r="BA204" s="42" t="n"/>
      <c r="BB204" s="42" t="n"/>
      <c r="BC204" s="42" t="n"/>
      <c r="BD204" s="37">
        <f>IF($A204="","",SUM($AY204:$BC204))</f>
        <v/>
      </c>
      <c r="BE204" s="18">
        <f>IF($A204="","",IF(AND($I204&lt;&gt;"",$J204&lt;&gt;""),MAX(1,($J204-$I204)/7),Templates!$B$35))</f>
        <v/>
      </c>
      <c r="BF204" s="18">
        <f>IF($A204="","",IF(AND($I204&lt;&gt;"",$J204&lt;&gt;""),MAX(1,($J204-$I204)/7),Templates!$B$36))</f>
        <v/>
      </c>
      <c r="BG204" s="18">
        <f>IF($A204="","",IF(AND($I204&lt;&gt;"",$J204&lt;&gt;""),MAX(1,($J204-$I204)/7),Templates!$B$37))</f>
        <v/>
      </c>
      <c r="BH204" s="18">
        <f>IF($A204="","",IF(AND($I204&lt;&gt;"",$J204&lt;&gt;""),MAX(1,($J204-$I204)/7),Templates!$B$38))</f>
        <v/>
      </c>
      <c r="BI204" s="18">
        <f>IF($A204="","",IF(AND($I204&lt;&gt;"",$J204&lt;&gt;""),MAX(1,($J204-$I204)/7),Templates!$B$39))</f>
        <v/>
      </c>
      <c r="BJ204" s="18">
        <f>IF(OR($A204="",$BD204=0),0,($AY204*Templates!$B$27/$BE204+$AZ204*Templates!$B$28/$BF204+$BA204*Templates!$B$29/$BG204+$BB204*Templates!$B$30/$BH204+$BC204*Templates!$B$31/$BI204)/Templates!$B$17)</f>
        <v/>
      </c>
      <c r="BK204" s="18">
        <f>IF(OR($A204="",$BD204=0),0,($AY204*Templates!$C$27/$BE204+$AZ204*Templates!$C$28/$BF204+$BA204*Templates!$C$29/$BG204+$BB204*Templates!$C$30/$BH204+$BC204*Templates!$C$31/$BI204)/Templates!$B$18)</f>
        <v/>
      </c>
      <c r="BL204" s="18">
        <f>IF(OR($A204="",$BD204=0),0,($AY204*Templates!$D$27/$BE204+$AZ204*Templates!$D$28/$BF204+$BA204*Templates!$D$29/$BG204+$BB204*Templates!$D$30/$BH204+$BC204*Templates!$D$31/$BI204)/Templates!$B$19)</f>
        <v/>
      </c>
      <c r="BM204" s="18">
        <f>IF(OR($A204="",$BD204=0),0,($AY204*Templates!$E$27/$BE204+$AZ204*Templates!$E$28/$BF204+$BA204*Templates!$E$29/$BG204+$BB204*Templates!$E$30/$BH204+$BC204*Templates!$E$31/$BI204)/Templates!$B$20)</f>
        <v/>
      </c>
      <c r="BN204" s="18">
        <f>IF(OR($A204="",$BD204=0),0,($AY204*Templates!$F$27/$BE204+$AZ204*Templates!$F$28/$BF204+$BA204*Templates!$F$29/$BG204+$BB204*Templates!$F$30/$BH204+$BC204*Templates!$F$31/$BI204)/Templates!$B$21)</f>
        <v/>
      </c>
      <c r="BO204" s="18">
        <f>IF(OR($A204="",$BD204=0),0,($AY204*Templates!$G$27/$BE204+$AZ204*Templates!$G$28/$BF204+$BA204*Templates!$G$29/$BG204+$BB204*Templates!$G$30/$BH204+$BC204*Templates!$G$31/$BI204)/Templates!$B$22)</f>
        <v/>
      </c>
      <c r="BP204" s="18">
        <f>IF(OR($A204="",$BD204=0),0,($AY204*Templates!$H$27/$BE204+$AZ204*Templates!$H$28/$BF204+$BA204*Templates!$H$29/$BG204+$BB204*Templates!$H$30/$BH204+$BC204*Templates!$H$31/$BI204)/Templates!$B$23)</f>
        <v/>
      </c>
    </row>
    <row r="205">
      <c r="A205" s="28" t="inlineStr">
        <is>
          <t>Zircon 2_1</t>
        </is>
      </c>
      <c r="B205" s="20" t="inlineStr">
        <is>
          <t>Northleaf Capital Partners</t>
        </is>
      </c>
      <c r="C205" s="28" t="inlineStr">
        <is>
          <t>Northleaf Capital Partners</t>
        </is>
      </c>
      <c r="D205" s="28" t="inlineStr"/>
      <c r="E205" s="28" t="inlineStr">
        <is>
          <t>No</t>
        </is>
      </c>
      <c r="F205" s="28" t="inlineStr">
        <is>
          <t>Active</t>
        </is>
      </c>
      <c r="G205" s="38" t="n"/>
      <c r="H205" s="29" t="n">
        <v>1</v>
      </c>
      <c r="I205" s="39" t="n"/>
      <c r="J205" s="39" t="n"/>
      <c r="K205" s="31" t="n"/>
      <c r="L205" s="31" t="n"/>
      <c r="M205" s="31" t="n"/>
      <c r="N205" s="31" t="n"/>
      <c r="O205" s="31" t="n"/>
      <c r="P205" s="31" t="n"/>
      <c r="Q205" s="23">
        <f>IF($A205="","",COUNTIFS(Assignments!$C$2:$C$769,$A205,Assignments!$G$2:$G$769,"Active"))</f>
        <v/>
      </c>
      <c r="R205" s="32">
        <f>IF($A205="","",SUMIFS(Assignments!$I$2:$I$769,Assignments!$C$2:$C$769,$A205,Assignments!$G$2:$G$769,"Active"))</f>
        <v/>
      </c>
      <c r="S205" s="20" t="inlineStr">
        <is>
          <t>WIP</t>
        </is>
      </c>
      <c r="T205" s="31" t="n"/>
      <c r="U205" s="38" t="n"/>
      <c r="V205" s="34">
        <f>IF($U205="","",IFERROR(INDEX(Templates!$K$3:$K$10,MATCH($U205,Templates!$A$3:$A$10,0)),""))</f>
        <v/>
      </c>
      <c r="W205" s="34">
        <f>IF($U205="","",IFERROR(INDEX(Templates!$L$3:$L$10,MATCH($U205,Templates!$A$3:$A$10,0)),""))</f>
        <v/>
      </c>
      <c r="X205" s="21">
        <f>IF($U205="","",IFERROR(INDEX(Templates!$J$3:$J$10,MATCH($U205,Templates!$A$3:$A$10,0)),""))</f>
        <v/>
      </c>
      <c r="Y205" s="35">
        <f>IF(OR($U205="",$I205="",$J205="",$X205=""),"",$I205+$X205*($J205-$I205))</f>
        <v/>
      </c>
      <c r="Z205" s="30" t="n">
        <v>46212</v>
      </c>
      <c r="AA205" s="40" t="n"/>
      <c r="AB205" s="41" t="n"/>
      <c r="AC205" s="41" t="n"/>
      <c r="AD205" s="19">
        <f>IF($A205="","",IF($AA205="",$H205,$AA205))</f>
        <v/>
      </c>
      <c r="AE205" s="35">
        <f>IF($A205="","",IF($AB205="",$I205,$AB205))</f>
        <v/>
      </c>
      <c r="AF205" s="35">
        <f>IF($A205="","",IF($AC205="",$J205,$AC205))</f>
        <v/>
      </c>
      <c r="AG205" s="35">
        <f>IF(OR($U205="",$AE205="",$AF205="",$X205=""),"",$AE205+$X205*($AF205-$AE205))</f>
        <v/>
      </c>
      <c r="AH205" s="38" t="n"/>
      <c r="AI205" s="38" t="n"/>
      <c r="AJ205" s="38" t="n"/>
      <c r="AK205" s="38" t="n"/>
      <c r="AL205" s="38" t="n"/>
      <c r="AM205" s="38" t="n"/>
      <c r="AN205" s="38" t="n"/>
      <c r="AO205" s="38" t="n"/>
      <c r="AP205" s="38" t="n"/>
      <c r="AQ205" s="38" t="n"/>
      <c r="AR205" s="38" t="n"/>
      <c r="AS205" s="38" t="n"/>
      <c r="AT205" s="38" t="n"/>
      <c r="AU205" s="38" t="n"/>
      <c r="AV205" s="38" t="n"/>
      <c r="AW205" s="38" t="n"/>
      <c r="AX205" s="38" t="n"/>
      <c r="AY205" s="42" t="n"/>
      <c r="AZ205" s="42" t="n"/>
      <c r="BA205" s="42" t="n"/>
      <c r="BB205" s="42" t="n"/>
      <c r="BC205" s="42" t="n"/>
      <c r="BD205" s="37">
        <f>IF($A205="","",SUM($AY205:$BC205))</f>
        <v/>
      </c>
      <c r="BE205" s="18">
        <f>IF($A205="","",IF(AND($I205&lt;&gt;"",$J205&lt;&gt;""),MAX(1,($J205-$I205)/7),Templates!$B$35))</f>
        <v/>
      </c>
      <c r="BF205" s="18">
        <f>IF($A205="","",IF(AND($I205&lt;&gt;"",$J205&lt;&gt;""),MAX(1,($J205-$I205)/7),Templates!$B$36))</f>
        <v/>
      </c>
      <c r="BG205" s="18">
        <f>IF($A205="","",IF(AND($I205&lt;&gt;"",$J205&lt;&gt;""),MAX(1,($J205-$I205)/7),Templates!$B$37))</f>
        <v/>
      </c>
      <c r="BH205" s="18">
        <f>IF($A205="","",IF(AND($I205&lt;&gt;"",$J205&lt;&gt;""),MAX(1,($J205-$I205)/7),Templates!$B$38))</f>
        <v/>
      </c>
      <c r="BI205" s="18">
        <f>IF($A205="","",IF(AND($I205&lt;&gt;"",$J205&lt;&gt;""),MAX(1,($J205-$I205)/7),Templates!$B$39))</f>
        <v/>
      </c>
      <c r="BJ205" s="18">
        <f>IF(OR($A205="",$BD205=0),0,($AY205*Templates!$B$27/$BE205+$AZ205*Templates!$B$28/$BF205+$BA205*Templates!$B$29/$BG205+$BB205*Templates!$B$30/$BH205+$BC205*Templates!$B$31/$BI205)/Templates!$B$17)</f>
        <v/>
      </c>
      <c r="BK205" s="18">
        <f>IF(OR($A205="",$BD205=0),0,($AY205*Templates!$C$27/$BE205+$AZ205*Templates!$C$28/$BF205+$BA205*Templates!$C$29/$BG205+$BB205*Templates!$C$30/$BH205+$BC205*Templates!$C$31/$BI205)/Templates!$B$18)</f>
        <v/>
      </c>
      <c r="BL205" s="18">
        <f>IF(OR($A205="",$BD205=0),0,($AY205*Templates!$D$27/$BE205+$AZ205*Templates!$D$28/$BF205+$BA205*Templates!$D$29/$BG205+$BB205*Templates!$D$30/$BH205+$BC205*Templates!$D$31/$BI205)/Templates!$B$19)</f>
        <v/>
      </c>
      <c r="BM205" s="18">
        <f>IF(OR($A205="",$BD205=0),0,($AY205*Templates!$E$27/$BE205+$AZ205*Templates!$E$28/$BF205+$BA205*Templates!$E$29/$BG205+$BB205*Templates!$E$30/$BH205+$BC205*Templates!$E$31/$BI205)/Templates!$B$20)</f>
        <v/>
      </c>
      <c r="BN205" s="18">
        <f>IF(OR($A205="",$BD205=0),0,($AY205*Templates!$F$27/$BE205+$AZ205*Templates!$F$28/$BF205+$BA205*Templates!$F$29/$BG205+$BB205*Templates!$F$30/$BH205+$BC205*Templates!$F$31/$BI205)/Templates!$B$21)</f>
        <v/>
      </c>
      <c r="BO205" s="18">
        <f>IF(OR($A205="",$BD205=0),0,($AY205*Templates!$G$27/$BE205+$AZ205*Templates!$G$28/$BF205+$BA205*Templates!$G$29/$BG205+$BB205*Templates!$G$30/$BH205+$BC205*Templates!$G$31/$BI205)/Templates!$B$22)</f>
        <v/>
      </c>
      <c r="BP205" s="18">
        <f>IF(OR($A205="",$BD205=0),0,($AY205*Templates!$H$27/$BE205+$AZ205*Templates!$H$28/$BF205+$BA205*Templates!$H$29/$BG205+$BB205*Templates!$H$30/$BH205+$BC205*Templates!$H$31/$BI205)/Templates!$B$23)</f>
        <v/>
      </c>
    </row>
    <row r="206">
      <c r="A206" s="28" t="inlineStr">
        <is>
          <t>Zora_1</t>
        </is>
      </c>
      <c r="B206" s="20" t="inlineStr">
        <is>
          <t>MEAG MUNICH ERGO AssetManagement GmbH</t>
        </is>
      </c>
      <c r="C206" s="28" t="inlineStr">
        <is>
          <t>MEAG MUNICH ERGO AssetManagement GmbH</t>
        </is>
      </c>
      <c r="D206" s="28" t="inlineStr"/>
      <c r="E206" s="28" t="inlineStr">
        <is>
          <t>No</t>
        </is>
      </c>
      <c r="F206" s="28" t="inlineStr">
        <is>
          <t>Active</t>
        </is>
      </c>
      <c r="G206" s="38" t="n"/>
      <c r="H206" s="29" t="n">
        <v>1</v>
      </c>
      <c r="I206" s="39" t="n"/>
      <c r="J206" s="39" t="n"/>
      <c r="K206" s="31" t="n"/>
      <c r="L206" s="31" t="n"/>
      <c r="M206" s="31" t="n"/>
      <c r="N206" s="31" t="n"/>
      <c r="O206" s="31" t="n"/>
      <c r="P206" s="31" t="n"/>
      <c r="Q206" s="23">
        <f>IF($A206="","",COUNTIFS(Assignments!$C$2:$C$769,$A206,Assignments!$G$2:$G$769,"Active"))</f>
        <v/>
      </c>
      <c r="R206" s="32">
        <f>IF($A206="","",SUMIFS(Assignments!$I$2:$I$769,Assignments!$C$2:$C$769,$A206,Assignments!$G$2:$G$769,"Active"))</f>
        <v/>
      </c>
      <c r="S206" s="20" t="inlineStr">
        <is>
          <t>WIP</t>
        </is>
      </c>
      <c r="T206" s="31" t="n"/>
      <c r="U206" s="38" t="n"/>
      <c r="V206" s="34">
        <f>IF($U206="","",IFERROR(INDEX(Templates!$K$3:$K$10,MATCH($U206,Templates!$A$3:$A$10,0)),""))</f>
        <v/>
      </c>
      <c r="W206" s="34">
        <f>IF($U206="","",IFERROR(INDEX(Templates!$L$3:$L$10,MATCH($U206,Templates!$A$3:$A$10,0)),""))</f>
        <v/>
      </c>
      <c r="X206" s="21">
        <f>IF($U206="","",IFERROR(INDEX(Templates!$J$3:$J$10,MATCH($U206,Templates!$A$3:$A$10,0)),""))</f>
        <v/>
      </c>
      <c r="Y206" s="35">
        <f>IF(OR($U206="",$I206="",$J206="",$X206=""),"",$I206+$X206*($J206-$I206))</f>
        <v/>
      </c>
      <c r="Z206" s="30" t="n">
        <v>46212</v>
      </c>
      <c r="AA206" s="40" t="n"/>
      <c r="AB206" s="41" t="n"/>
      <c r="AC206" s="41" t="n"/>
      <c r="AD206" s="19">
        <f>IF($A206="","",IF($AA206="",$H206,$AA206))</f>
        <v/>
      </c>
      <c r="AE206" s="35">
        <f>IF($A206="","",IF($AB206="",$I206,$AB206))</f>
        <v/>
      </c>
      <c r="AF206" s="35">
        <f>IF($A206="","",IF($AC206="",$J206,$AC206))</f>
        <v/>
      </c>
      <c r="AG206" s="35">
        <f>IF(OR($U206="",$AE206="",$AF206="",$X206=""),"",$AE206+$X206*($AF206-$AE206))</f>
        <v/>
      </c>
      <c r="AH206" s="38" t="n"/>
      <c r="AI206" s="38" t="n"/>
      <c r="AJ206" s="38" t="n"/>
      <c r="AK206" s="38" t="n"/>
      <c r="AL206" s="38" t="n"/>
      <c r="AM206" s="38" t="n"/>
      <c r="AN206" s="38" t="n"/>
      <c r="AO206" s="38" t="n"/>
      <c r="AP206" s="38" t="n"/>
      <c r="AQ206" s="38" t="n"/>
      <c r="AR206" s="38" t="n"/>
      <c r="AS206" s="38" t="n"/>
      <c r="AT206" s="38" t="n"/>
      <c r="AU206" s="38" t="n"/>
      <c r="AV206" s="38" t="n"/>
      <c r="AW206" s="38" t="n"/>
      <c r="AX206" s="38" t="n"/>
      <c r="AY206" s="42" t="n"/>
      <c r="AZ206" s="42" t="n"/>
      <c r="BA206" s="42" t="n"/>
      <c r="BB206" s="42" t="n"/>
      <c r="BC206" s="42" t="n"/>
      <c r="BD206" s="37">
        <f>IF($A206="","",SUM($AY206:$BC206))</f>
        <v/>
      </c>
      <c r="BE206" s="18">
        <f>IF($A206="","",IF(AND($I206&lt;&gt;"",$J206&lt;&gt;""),MAX(1,($J206-$I206)/7),Templates!$B$35))</f>
        <v/>
      </c>
      <c r="BF206" s="18">
        <f>IF($A206="","",IF(AND($I206&lt;&gt;"",$J206&lt;&gt;""),MAX(1,($J206-$I206)/7),Templates!$B$36))</f>
        <v/>
      </c>
      <c r="BG206" s="18">
        <f>IF($A206="","",IF(AND($I206&lt;&gt;"",$J206&lt;&gt;""),MAX(1,($J206-$I206)/7),Templates!$B$37))</f>
        <v/>
      </c>
      <c r="BH206" s="18">
        <f>IF($A206="","",IF(AND($I206&lt;&gt;"",$J206&lt;&gt;""),MAX(1,($J206-$I206)/7),Templates!$B$38))</f>
        <v/>
      </c>
      <c r="BI206" s="18">
        <f>IF($A206="","",IF(AND($I206&lt;&gt;"",$J206&lt;&gt;""),MAX(1,($J206-$I206)/7),Templates!$B$39))</f>
        <v/>
      </c>
      <c r="BJ206" s="18">
        <f>IF(OR($A206="",$BD206=0),0,($AY206*Templates!$B$27/$BE206+$AZ206*Templates!$B$28/$BF206+$BA206*Templates!$B$29/$BG206+$BB206*Templates!$B$30/$BH206+$BC206*Templates!$B$31/$BI206)/Templates!$B$17)</f>
        <v/>
      </c>
      <c r="BK206" s="18">
        <f>IF(OR($A206="",$BD206=0),0,($AY206*Templates!$C$27/$BE206+$AZ206*Templates!$C$28/$BF206+$BA206*Templates!$C$29/$BG206+$BB206*Templates!$C$30/$BH206+$BC206*Templates!$C$31/$BI206)/Templates!$B$18)</f>
        <v/>
      </c>
      <c r="BL206" s="18">
        <f>IF(OR($A206="",$BD206=0),0,($AY206*Templates!$D$27/$BE206+$AZ206*Templates!$D$28/$BF206+$BA206*Templates!$D$29/$BG206+$BB206*Templates!$D$30/$BH206+$BC206*Templates!$D$31/$BI206)/Templates!$B$19)</f>
        <v/>
      </c>
      <c r="BM206" s="18">
        <f>IF(OR($A206="",$BD206=0),0,($AY206*Templates!$E$27/$BE206+$AZ206*Templates!$E$28/$BF206+$BA206*Templates!$E$29/$BG206+$BB206*Templates!$E$30/$BH206+$BC206*Templates!$E$31/$BI206)/Templates!$B$20)</f>
        <v/>
      </c>
      <c r="BN206" s="18">
        <f>IF(OR($A206="",$BD206=0),0,($AY206*Templates!$F$27/$BE206+$AZ206*Templates!$F$28/$BF206+$BA206*Templates!$F$29/$BG206+$BB206*Templates!$F$30/$BH206+$BC206*Templates!$F$31/$BI206)/Templates!$B$21)</f>
        <v/>
      </c>
      <c r="BO206" s="18">
        <f>IF(OR($A206="",$BD206=0),0,($AY206*Templates!$G$27/$BE206+$AZ206*Templates!$G$28/$BF206+$BA206*Templates!$G$29/$BG206+$BB206*Templates!$G$30/$BH206+$BC206*Templates!$G$31/$BI206)/Templates!$B$22)</f>
        <v/>
      </c>
      <c r="BP206" s="18">
        <f>IF(OR($A206="",$BD206=0),0,($AY206*Templates!$H$27/$BE206+$AZ206*Templates!$H$28/$BF206+$BA206*Templates!$H$29/$BG206+$BB206*Templates!$H$30/$BH206+$BC206*Templates!$H$31/$BI206)/Templates!$B$23)</f>
        <v/>
      </c>
    </row>
    <row r="207">
      <c r="A207" s="28" t="inlineStr">
        <is>
          <t>Ace_2</t>
        </is>
      </c>
      <c r="B207" s="20" t="inlineStr">
        <is>
          <t>Northampton Capital Partners</t>
        </is>
      </c>
      <c r="C207" s="28" t="inlineStr">
        <is>
          <t>Northampton Capital Partners</t>
        </is>
      </c>
      <c r="D207" s="28" t="inlineStr"/>
      <c r="E207" s="28" t="inlineStr">
        <is>
          <t>No</t>
        </is>
      </c>
      <c r="F207" s="28" t="inlineStr">
        <is>
          <t>Proposal</t>
        </is>
      </c>
      <c r="G207" s="38" t="n"/>
      <c r="H207" s="43" t="n">
        <v>0.5</v>
      </c>
      <c r="I207" s="39" t="n"/>
      <c r="J207" s="39" t="n"/>
      <c r="K207" s="31" t="n"/>
      <c r="L207" s="31" t="n"/>
      <c r="M207" s="31" t="n"/>
      <c r="N207" s="31" t="n"/>
      <c r="O207" s="31" t="n"/>
      <c r="P207" s="31" t="n"/>
      <c r="Q207" s="23">
        <f>IF($A207="","",COUNTIFS(Assignments!$C$2:$C$769,$A207,Assignments!$G$2:$G$769,"Active"))</f>
        <v/>
      </c>
      <c r="R207" s="32">
        <f>IF($A207="","",SUMIFS(Assignments!$I$2:$I$769,Assignments!$C$2:$C$769,$A207,Assignments!$G$2:$G$769,"Active"))</f>
        <v/>
      </c>
      <c r="S207" s="20" t="inlineStr">
        <is>
          <t>Proposal</t>
        </is>
      </c>
      <c r="T207" s="31" t="n"/>
      <c r="U207" s="38" t="n"/>
      <c r="V207" s="34">
        <f>IF($U207="","",IFERROR(INDEX(Templates!$K$3:$K$10,MATCH($U207,Templates!$A$3:$A$10,0)),""))</f>
        <v/>
      </c>
      <c r="W207" s="34">
        <f>IF($U207="","",IFERROR(INDEX(Templates!$L$3:$L$10,MATCH($U207,Templates!$A$3:$A$10,0)),""))</f>
        <v/>
      </c>
      <c r="X207" s="21">
        <f>IF($U207="","",IFERROR(INDEX(Templates!$J$3:$J$10,MATCH($U207,Templates!$A$3:$A$10,0)),""))</f>
        <v/>
      </c>
      <c r="Y207" s="35">
        <f>IF(OR($U207="",$I207="",$J207="",$X207=""),"",$I207+$X207*($J207-$I207))</f>
        <v/>
      </c>
      <c r="Z207" s="30" t="n">
        <v>46212</v>
      </c>
      <c r="AA207" s="40" t="n"/>
      <c r="AB207" s="41" t="n"/>
      <c r="AC207" s="41" t="n"/>
      <c r="AD207" s="19">
        <f>IF($A207="","",IF($AA207="",$H207,$AA207))</f>
        <v/>
      </c>
      <c r="AE207" s="35">
        <f>IF($A207="","",IF($AB207="",$I207,$AB207))</f>
        <v/>
      </c>
      <c r="AF207" s="35">
        <f>IF($A207="","",IF($AC207="",$J207,$AC207))</f>
        <v/>
      </c>
      <c r="AG207" s="35">
        <f>IF(OR($U207="",$AE207="",$AF207="",$X207=""),"",$AE207+$X207*($AF207-$AE207))</f>
        <v/>
      </c>
      <c r="AH207" s="38" t="n"/>
      <c r="AI207" s="38" t="n"/>
      <c r="AJ207" s="38" t="n"/>
      <c r="AK207" s="38" t="n"/>
      <c r="AL207" s="38" t="n"/>
      <c r="AM207" s="38" t="n"/>
      <c r="AN207" s="38" t="n"/>
      <c r="AO207" s="38" t="n"/>
      <c r="AP207" s="38" t="n"/>
      <c r="AQ207" s="38" t="n"/>
      <c r="AR207" s="38" t="n"/>
      <c r="AS207" s="38" t="n"/>
      <c r="AT207" s="38" t="n"/>
      <c r="AU207" s="38" t="n"/>
      <c r="AV207" s="38" t="n"/>
      <c r="AW207" s="38" t="n"/>
      <c r="AX207" s="38" t="n"/>
      <c r="AY207" s="42" t="n"/>
      <c r="AZ207" s="42" t="n"/>
      <c r="BA207" s="42" t="n"/>
      <c r="BB207" s="42" t="n"/>
      <c r="BC207" s="42" t="n"/>
      <c r="BD207" s="37">
        <f>IF($A207="","",SUM($AY207:$BC207))</f>
        <v/>
      </c>
      <c r="BE207" s="18">
        <f>IF($A207="","",IF(AND($I207&lt;&gt;"",$J207&lt;&gt;""),MAX(1,($J207-$I207)/7),Templates!$B$35))</f>
        <v/>
      </c>
      <c r="BF207" s="18">
        <f>IF($A207="","",IF(AND($I207&lt;&gt;"",$J207&lt;&gt;""),MAX(1,($J207-$I207)/7),Templates!$B$36))</f>
        <v/>
      </c>
      <c r="BG207" s="18">
        <f>IF($A207="","",IF(AND($I207&lt;&gt;"",$J207&lt;&gt;""),MAX(1,($J207-$I207)/7),Templates!$B$37))</f>
        <v/>
      </c>
      <c r="BH207" s="18">
        <f>IF($A207="","",IF(AND($I207&lt;&gt;"",$J207&lt;&gt;""),MAX(1,($J207-$I207)/7),Templates!$B$38))</f>
        <v/>
      </c>
      <c r="BI207" s="18">
        <f>IF($A207="","",IF(AND($I207&lt;&gt;"",$J207&lt;&gt;""),MAX(1,($J207-$I207)/7),Templates!$B$39))</f>
        <v/>
      </c>
      <c r="BJ207" s="18">
        <f>IF(OR($A207="",$BD207=0),0,($AY207*Templates!$B$27/$BE207+$AZ207*Templates!$B$28/$BF207+$BA207*Templates!$B$29/$BG207+$BB207*Templates!$B$30/$BH207+$BC207*Templates!$B$31/$BI207)/Templates!$B$17)</f>
        <v/>
      </c>
      <c r="BK207" s="18">
        <f>IF(OR($A207="",$BD207=0),0,($AY207*Templates!$C$27/$BE207+$AZ207*Templates!$C$28/$BF207+$BA207*Templates!$C$29/$BG207+$BB207*Templates!$C$30/$BH207+$BC207*Templates!$C$31/$BI207)/Templates!$B$18)</f>
        <v/>
      </c>
      <c r="BL207" s="18">
        <f>IF(OR($A207="",$BD207=0),0,($AY207*Templates!$D$27/$BE207+$AZ207*Templates!$D$28/$BF207+$BA207*Templates!$D$29/$BG207+$BB207*Templates!$D$30/$BH207+$BC207*Templates!$D$31/$BI207)/Templates!$B$19)</f>
        <v/>
      </c>
      <c r="BM207" s="18">
        <f>IF(OR($A207="",$BD207=0),0,($AY207*Templates!$E$27/$BE207+$AZ207*Templates!$E$28/$BF207+$BA207*Templates!$E$29/$BG207+$BB207*Templates!$E$30/$BH207+$BC207*Templates!$E$31/$BI207)/Templates!$B$20)</f>
        <v/>
      </c>
      <c r="BN207" s="18">
        <f>IF(OR($A207="",$BD207=0),0,($AY207*Templates!$F$27/$BE207+$AZ207*Templates!$F$28/$BF207+$BA207*Templates!$F$29/$BG207+$BB207*Templates!$F$30/$BH207+$BC207*Templates!$F$31/$BI207)/Templates!$B$21)</f>
        <v/>
      </c>
      <c r="BO207" s="18">
        <f>IF(OR($A207="",$BD207=0),0,($AY207*Templates!$G$27/$BE207+$AZ207*Templates!$G$28/$BF207+$BA207*Templates!$G$29/$BG207+$BB207*Templates!$G$30/$BH207+$BC207*Templates!$G$31/$BI207)/Templates!$B$22)</f>
        <v/>
      </c>
      <c r="BP207" s="18">
        <f>IF(OR($A207="",$BD207=0),0,($AY207*Templates!$H$27/$BE207+$AZ207*Templates!$H$28/$BF207+$BA207*Templates!$H$29/$BG207+$BB207*Templates!$H$30/$BH207+$BC207*Templates!$H$31/$BI207)/Templates!$B$23)</f>
        <v/>
      </c>
    </row>
    <row r="208">
      <c r="A208" s="28" t="inlineStr">
        <is>
          <t>Ad-Hoc_1</t>
        </is>
      </c>
      <c r="B208" s="20" t="inlineStr">
        <is>
          <t>Wells Fargo</t>
        </is>
      </c>
      <c r="C208" s="28" t="inlineStr">
        <is>
          <t>Wells Fargo</t>
        </is>
      </c>
      <c r="D208" s="28" t="inlineStr"/>
      <c r="E208" s="28" t="inlineStr">
        <is>
          <t>No</t>
        </is>
      </c>
      <c r="F208" s="28" t="inlineStr">
        <is>
          <t>Proposal</t>
        </is>
      </c>
      <c r="G208" s="38" t="n"/>
      <c r="H208" s="43" t="n">
        <v>0.5</v>
      </c>
      <c r="I208" s="39" t="n"/>
      <c r="J208" s="39" t="n"/>
      <c r="K208" s="31" t="n"/>
      <c r="L208" s="31" t="n"/>
      <c r="M208" s="31" t="n"/>
      <c r="N208" s="31" t="n"/>
      <c r="O208" s="31" t="n"/>
      <c r="P208" s="31" t="n"/>
      <c r="Q208" s="23">
        <f>IF($A208="","",COUNTIFS(Assignments!$C$2:$C$769,$A208,Assignments!$G$2:$G$769,"Active"))</f>
        <v/>
      </c>
      <c r="R208" s="32">
        <f>IF($A208="","",SUMIFS(Assignments!$I$2:$I$769,Assignments!$C$2:$C$769,$A208,Assignments!$G$2:$G$769,"Active"))</f>
        <v/>
      </c>
      <c r="S208" s="20" t="inlineStr">
        <is>
          <t>Proposal</t>
        </is>
      </c>
      <c r="T208" s="31" t="n"/>
      <c r="U208" s="38" t="n"/>
      <c r="V208" s="34">
        <f>IF($U208="","",IFERROR(INDEX(Templates!$K$3:$K$10,MATCH($U208,Templates!$A$3:$A$10,0)),""))</f>
        <v/>
      </c>
      <c r="W208" s="34">
        <f>IF($U208="","",IFERROR(INDEX(Templates!$L$3:$L$10,MATCH($U208,Templates!$A$3:$A$10,0)),""))</f>
        <v/>
      </c>
      <c r="X208" s="21">
        <f>IF($U208="","",IFERROR(INDEX(Templates!$J$3:$J$10,MATCH($U208,Templates!$A$3:$A$10,0)),""))</f>
        <v/>
      </c>
      <c r="Y208" s="35">
        <f>IF(OR($U208="",$I208="",$J208="",$X208=""),"",$I208+$X208*($J208-$I208))</f>
        <v/>
      </c>
      <c r="Z208" s="30" t="n">
        <v>46212</v>
      </c>
      <c r="AA208" s="40" t="n"/>
      <c r="AB208" s="41" t="n"/>
      <c r="AC208" s="41" t="n"/>
      <c r="AD208" s="19">
        <f>IF($A208="","",IF($AA208="",$H208,$AA208))</f>
        <v/>
      </c>
      <c r="AE208" s="35">
        <f>IF($A208="","",IF($AB208="",$I208,$AB208))</f>
        <v/>
      </c>
      <c r="AF208" s="35">
        <f>IF($A208="","",IF($AC208="",$J208,$AC208))</f>
        <v/>
      </c>
      <c r="AG208" s="35">
        <f>IF(OR($U208="",$AE208="",$AF208="",$X208=""),"",$AE208+$X208*($AF208-$AE208))</f>
        <v/>
      </c>
      <c r="AH208" s="38" t="n"/>
      <c r="AI208" s="38" t="n"/>
      <c r="AJ208" s="38" t="n"/>
      <c r="AK208" s="38" t="n"/>
      <c r="AL208" s="38" t="n"/>
      <c r="AM208" s="38" t="n"/>
      <c r="AN208" s="38" t="n"/>
      <c r="AO208" s="38" t="n"/>
      <c r="AP208" s="38" t="n"/>
      <c r="AQ208" s="38" t="n"/>
      <c r="AR208" s="38" t="n"/>
      <c r="AS208" s="38" t="n"/>
      <c r="AT208" s="38" t="n"/>
      <c r="AU208" s="38" t="n"/>
      <c r="AV208" s="38" t="n"/>
      <c r="AW208" s="38" t="n"/>
      <c r="AX208" s="38" t="n"/>
      <c r="AY208" s="42" t="n"/>
      <c r="AZ208" s="42" t="n"/>
      <c r="BA208" s="42" t="n"/>
      <c r="BB208" s="42" t="n"/>
      <c r="BC208" s="42" t="n"/>
      <c r="BD208" s="37">
        <f>IF($A208="","",SUM($AY208:$BC208))</f>
        <v/>
      </c>
      <c r="BE208" s="18">
        <f>IF($A208="","",IF(AND($I208&lt;&gt;"",$J208&lt;&gt;""),MAX(1,($J208-$I208)/7),Templates!$B$35))</f>
        <v/>
      </c>
      <c r="BF208" s="18">
        <f>IF($A208="","",IF(AND($I208&lt;&gt;"",$J208&lt;&gt;""),MAX(1,($J208-$I208)/7),Templates!$B$36))</f>
        <v/>
      </c>
      <c r="BG208" s="18">
        <f>IF($A208="","",IF(AND($I208&lt;&gt;"",$J208&lt;&gt;""),MAX(1,($J208-$I208)/7),Templates!$B$37))</f>
        <v/>
      </c>
      <c r="BH208" s="18">
        <f>IF($A208="","",IF(AND($I208&lt;&gt;"",$J208&lt;&gt;""),MAX(1,($J208-$I208)/7),Templates!$B$38))</f>
        <v/>
      </c>
      <c r="BI208" s="18">
        <f>IF($A208="","",IF(AND($I208&lt;&gt;"",$J208&lt;&gt;""),MAX(1,($J208-$I208)/7),Templates!$B$39))</f>
        <v/>
      </c>
      <c r="BJ208" s="18">
        <f>IF(OR($A208="",$BD208=0),0,($AY208*Templates!$B$27/$BE208+$AZ208*Templates!$B$28/$BF208+$BA208*Templates!$B$29/$BG208+$BB208*Templates!$B$30/$BH208+$BC208*Templates!$B$31/$BI208)/Templates!$B$17)</f>
        <v/>
      </c>
      <c r="BK208" s="18">
        <f>IF(OR($A208="",$BD208=0),0,($AY208*Templates!$C$27/$BE208+$AZ208*Templates!$C$28/$BF208+$BA208*Templates!$C$29/$BG208+$BB208*Templates!$C$30/$BH208+$BC208*Templates!$C$31/$BI208)/Templates!$B$18)</f>
        <v/>
      </c>
      <c r="BL208" s="18">
        <f>IF(OR($A208="",$BD208=0),0,($AY208*Templates!$D$27/$BE208+$AZ208*Templates!$D$28/$BF208+$BA208*Templates!$D$29/$BG208+$BB208*Templates!$D$30/$BH208+$BC208*Templates!$D$31/$BI208)/Templates!$B$19)</f>
        <v/>
      </c>
      <c r="BM208" s="18">
        <f>IF(OR($A208="",$BD208=0),0,($AY208*Templates!$E$27/$BE208+$AZ208*Templates!$E$28/$BF208+$BA208*Templates!$E$29/$BG208+$BB208*Templates!$E$30/$BH208+$BC208*Templates!$E$31/$BI208)/Templates!$B$20)</f>
        <v/>
      </c>
      <c r="BN208" s="18">
        <f>IF(OR($A208="",$BD208=0),0,($AY208*Templates!$F$27/$BE208+$AZ208*Templates!$F$28/$BF208+$BA208*Templates!$F$29/$BG208+$BB208*Templates!$F$30/$BH208+$BC208*Templates!$F$31/$BI208)/Templates!$B$21)</f>
        <v/>
      </c>
      <c r="BO208" s="18">
        <f>IF(OR($A208="",$BD208=0),0,($AY208*Templates!$G$27/$BE208+$AZ208*Templates!$G$28/$BF208+$BA208*Templates!$G$29/$BG208+$BB208*Templates!$G$30/$BH208+$BC208*Templates!$G$31/$BI208)/Templates!$B$22)</f>
        <v/>
      </c>
      <c r="BP208" s="18">
        <f>IF(OR($A208="",$BD208=0),0,($AY208*Templates!$H$27/$BE208+$AZ208*Templates!$H$28/$BF208+$BA208*Templates!$H$29/$BG208+$BB208*Templates!$H$30/$BH208+$BC208*Templates!$H$31/$BI208)/Templates!$B$23)</f>
        <v/>
      </c>
    </row>
    <row r="209">
      <c r="A209" s="28" t="inlineStr">
        <is>
          <t>Alliance_1</t>
        </is>
      </c>
      <c r="B209" s="20" t="inlineStr">
        <is>
          <t>Argo Group</t>
        </is>
      </c>
      <c r="C209" s="28" t="inlineStr">
        <is>
          <t>Argo Group</t>
        </is>
      </c>
      <c r="D209" s="28" t="inlineStr"/>
      <c r="E209" s="28" t="inlineStr">
        <is>
          <t>No</t>
        </is>
      </c>
      <c r="F209" s="28" t="inlineStr">
        <is>
          <t>Proposal</t>
        </is>
      </c>
      <c r="G209" s="38" t="n"/>
      <c r="H209" s="43" t="n">
        <v>0.5</v>
      </c>
      <c r="I209" s="39" t="n"/>
      <c r="J209" s="39" t="n"/>
      <c r="K209" s="31" t="n"/>
      <c r="L209" s="31" t="n"/>
      <c r="M209" s="31" t="n"/>
      <c r="N209" s="31" t="n"/>
      <c r="O209" s="31" t="n"/>
      <c r="P209" s="31" t="n"/>
      <c r="Q209" s="23">
        <f>IF($A209="","",COUNTIFS(Assignments!$C$2:$C$769,$A209,Assignments!$G$2:$G$769,"Active"))</f>
        <v/>
      </c>
      <c r="R209" s="32">
        <f>IF($A209="","",SUMIFS(Assignments!$I$2:$I$769,Assignments!$C$2:$C$769,$A209,Assignments!$G$2:$G$769,"Active"))</f>
        <v/>
      </c>
      <c r="S209" s="20" t="inlineStr">
        <is>
          <t>Proposal</t>
        </is>
      </c>
      <c r="T209" s="31" t="n"/>
      <c r="U209" s="38" t="n"/>
      <c r="V209" s="34">
        <f>IF($U209="","",IFERROR(INDEX(Templates!$K$3:$K$10,MATCH($U209,Templates!$A$3:$A$10,0)),""))</f>
        <v/>
      </c>
      <c r="W209" s="34">
        <f>IF($U209="","",IFERROR(INDEX(Templates!$L$3:$L$10,MATCH($U209,Templates!$A$3:$A$10,0)),""))</f>
        <v/>
      </c>
      <c r="X209" s="21">
        <f>IF($U209="","",IFERROR(INDEX(Templates!$J$3:$J$10,MATCH($U209,Templates!$A$3:$A$10,0)),""))</f>
        <v/>
      </c>
      <c r="Y209" s="35">
        <f>IF(OR($U209="",$I209="",$J209="",$X209=""),"",$I209+$X209*($J209-$I209))</f>
        <v/>
      </c>
      <c r="Z209" s="30" t="n">
        <v>46212</v>
      </c>
      <c r="AA209" s="40" t="n"/>
      <c r="AB209" s="41" t="n"/>
      <c r="AC209" s="41" t="n"/>
      <c r="AD209" s="19">
        <f>IF($A209="","",IF($AA209="",$H209,$AA209))</f>
        <v/>
      </c>
      <c r="AE209" s="35">
        <f>IF($A209="","",IF($AB209="",$I209,$AB209))</f>
        <v/>
      </c>
      <c r="AF209" s="35">
        <f>IF($A209="","",IF($AC209="",$J209,$AC209))</f>
        <v/>
      </c>
      <c r="AG209" s="35">
        <f>IF(OR($U209="",$AE209="",$AF209="",$X209=""),"",$AE209+$X209*($AF209-$AE209))</f>
        <v/>
      </c>
      <c r="AH209" s="38" t="n"/>
      <c r="AI209" s="38" t="n"/>
      <c r="AJ209" s="38" t="n"/>
      <c r="AK209" s="38" t="n"/>
      <c r="AL209" s="38" t="n"/>
      <c r="AM209" s="38" t="n"/>
      <c r="AN209" s="38" t="n"/>
      <c r="AO209" s="38" t="n"/>
      <c r="AP209" s="38" t="n"/>
      <c r="AQ209" s="38" t="n"/>
      <c r="AR209" s="38" t="n"/>
      <c r="AS209" s="38" t="n"/>
      <c r="AT209" s="38" t="n"/>
      <c r="AU209" s="38" t="n"/>
      <c r="AV209" s="38" t="n"/>
      <c r="AW209" s="38" t="n"/>
      <c r="AX209" s="38" t="n"/>
      <c r="AY209" s="42" t="n"/>
      <c r="AZ209" s="42" t="n"/>
      <c r="BA209" s="42" t="n"/>
      <c r="BB209" s="42" t="n"/>
      <c r="BC209" s="42" t="n"/>
      <c r="BD209" s="37">
        <f>IF($A209="","",SUM($AY209:$BC209))</f>
        <v/>
      </c>
      <c r="BE209" s="18">
        <f>IF($A209="","",IF(AND($I209&lt;&gt;"",$J209&lt;&gt;""),MAX(1,($J209-$I209)/7),Templates!$B$35))</f>
        <v/>
      </c>
      <c r="BF209" s="18">
        <f>IF($A209="","",IF(AND($I209&lt;&gt;"",$J209&lt;&gt;""),MAX(1,($J209-$I209)/7),Templates!$B$36))</f>
        <v/>
      </c>
      <c r="BG209" s="18">
        <f>IF($A209="","",IF(AND($I209&lt;&gt;"",$J209&lt;&gt;""),MAX(1,($J209-$I209)/7),Templates!$B$37))</f>
        <v/>
      </c>
      <c r="BH209" s="18">
        <f>IF($A209="","",IF(AND($I209&lt;&gt;"",$J209&lt;&gt;""),MAX(1,($J209-$I209)/7),Templates!$B$38))</f>
        <v/>
      </c>
      <c r="BI209" s="18">
        <f>IF($A209="","",IF(AND($I209&lt;&gt;"",$J209&lt;&gt;""),MAX(1,($J209-$I209)/7),Templates!$B$39))</f>
        <v/>
      </c>
      <c r="BJ209" s="18">
        <f>IF(OR($A209="",$BD209=0),0,($AY209*Templates!$B$27/$BE209+$AZ209*Templates!$B$28/$BF209+$BA209*Templates!$B$29/$BG209+$BB209*Templates!$B$30/$BH209+$BC209*Templates!$B$31/$BI209)/Templates!$B$17)</f>
        <v/>
      </c>
      <c r="BK209" s="18">
        <f>IF(OR($A209="",$BD209=0),0,($AY209*Templates!$C$27/$BE209+$AZ209*Templates!$C$28/$BF209+$BA209*Templates!$C$29/$BG209+$BB209*Templates!$C$30/$BH209+$BC209*Templates!$C$31/$BI209)/Templates!$B$18)</f>
        <v/>
      </c>
      <c r="BL209" s="18">
        <f>IF(OR($A209="",$BD209=0),0,($AY209*Templates!$D$27/$BE209+$AZ209*Templates!$D$28/$BF209+$BA209*Templates!$D$29/$BG209+$BB209*Templates!$D$30/$BH209+$BC209*Templates!$D$31/$BI209)/Templates!$B$19)</f>
        <v/>
      </c>
      <c r="BM209" s="18">
        <f>IF(OR($A209="",$BD209=0),0,($AY209*Templates!$E$27/$BE209+$AZ209*Templates!$E$28/$BF209+$BA209*Templates!$E$29/$BG209+$BB209*Templates!$E$30/$BH209+$BC209*Templates!$E$31/$BI209)/Templates!$B$20)</f>
        <v/>
      </c>
      <c r="BN209" s="18">
        <f>IF(OR($A209="",$BD209=0),0,($AY209*Templates!$F$27/$BE209+$AZ209*Templates!$F$28/$BF209+$BA209*Templates!$F$29/$BG209+$BB209*Templates!$F$30/$BH209+$BC209*Templates!$F$31/$BI209)/Templates!$B$21)</f>
        <v/>
      </c>
      <c r="BO209" s="18">
        <f>IF(OR($A209="",$BD209=0),0,($AY209*Templates!$G$27/$BE209+$AZ209*Templates!$G$28/$BF209+$BA209*Templates!$G$29/$BG209+$BB209*Templates!$G$30/$BH209+$BC209*Templates!$G$31/$BI209)/Templates!$B$22)</f>
        <v/>
      </c>
      <c r="BP209" s="18">
        <f>IF(OR($A209="",$BD209=0),0,($AY209*Templates!$H$27/$BE209+$AZ209*Templates!$H$28/$BF209+$BA209*Templates!$H$29/$BG209+$BB209*Templates!$H$30/$BH209+$BC209*Templates!$H$31/$BI209)/Templates!$B$23)</f>
        <v/>
      </c>
    </row>
    <row r="210">
      <c r="A210" s="28" t="inlineStr">
        <is>
          <t>Amp_1</t>
        </is>
      </c>
      <c r="B210" s="20" t="inlineStr">
        <is>
          <t>ICEN Risk</t>
        </is>
      </c>
      <c r="C210" s="28" t="inlineStr">
        <is>
          <t>ICEN Risk</t>
        </is>
      </c>
      <c r="D210" s="28" t="inlineStr"/>
      <c r="E210" s="28" t="inlineStr">
        <is>
          <t>No</t>
        </is>
      </c>
      <c r="F210" s="28" t="inlineStr">
        <is>
          <t>Proposal</t>
        </is>
      </c>
      <c r="G210" s="38" t="n"/>
      <c r="H210" s="43" t="n">
        <v>0.5</v>
      </c>
      <c r="I210" s="39" t="n"/>
      <c r="J210" s="39" t="n"/>
      <c r="K210" s="31" t="n"/>
      <c r="L210" s="31" t="n"/>
      <c r="M210" s="31" t="n"/>
      <c r="N210" s="31" t="n"/>
      <c r="O210" s="31" t="n"/>
      <c r="P210" s="31" t="n"/>
      <c r="Q210" s="23">
        <f>IF($A210="","",COUNTIFS(Assignments!$C$2:$C$769,$A210,Assignments!$G$2:$G$769,"Active"))</f>
        <v/>
      </c>
      <c r="R210" s="32">
        <f>IF($A210="","",SUMIFS(Assignments!$I$2:$I$769,Assignments!$C$2:$C$769,$A210,Assignments!$G$2:$G$769,"Active"))</f>
        <v/>
      </c>
      <c r="S210" s="20" t="inlineStr">
        <is>
          <t>Proposal</t>
        </is>
      </c>
      <c r="T210" s="31" t="n"/>
      <c r="U210" s="38" t="n"/>
      <c r="V210" s="34">
        <f>IF($U210="","",IFERROR(INDEX(Templates!$K$3:$K$10,MATCH($U210,Templates!$A$3:$A$10,0)),""))</f>
        <v/>
      </c>
      <c r="W210" s="34">
        <f>IF($U210="","",IFERROR(INDEX(Templates!$L$3:$L$10,MATCH($U210,Templates!$A$3:$A$10,0)),""))</f>
        <v/>
      </c>
      <c r="X210" s="21">
        <f>IF($U210="","",IFERROR(INDEX(Templates!$J$3:$J$10,MATCH($U210,Templates!$A$3:$A$10,0)),""))</f>
        <v/>
      </c>
      <c r="Y210" s="35">
        <f>IF(OR($U210="",$I210="",$J210="",$X210=""),"",$I210+$X210*($J210-$I210))</f>
        <v/>
      </c>
      <c r="Z210" s="30" t="n">
        <v>46212</v>
      </c>
      <c r="AA210" s="40" t="n"/>
      <c r="AB210" s="41" t="n"/>
      <c r="AC210" s="41" t="n"/>
      <c r="AD210" s="19">
        <f>IF($A210="","",IF($AA210="",$H210,$AA210))</f>
        <v/>
      </c>
      <c r="AE210" s="35">
        <f>IF($A210="","",IF($AB210="",$I210,$AB210))</f>
        <v/>
      </c>
      <c r="AF210" s="35">
        <f>IF($A210="","",IF($AC210="",$J210,$AC210))</f>
        <v/>
      </c>
      <c r="AG210" s="35">
        <f>IF(OR($U210="",$AE210="",$AF210="",$X210=""),"",$AE210+$X210*($AF210-$AE210))</f>
        <v/>
      </c>
      <c r="AH210" s="38" t="n"/>
      <c r="AI210" s="38" t="n"/>
      <c r="AJ210" s="38" t="n"/>
      <c r="AK210" s="38" t="n"/>
      <c r="AL210" s="38" t="n"/>
      <c r="AM210" s="38" t="n"/>
      <c r="AN210" s="38" t="n"/>
      <c r="AO210" s="38" t="n"/>
      <c r="AP210" s="38" t="n"/>
      <c r="AQ210" s="38" t="n"/>
      <c r="AR210" s="38" t="n"/>
      <c r="AS210" s="38" t="n"/>
      <c r="AT210" s="38" t="n"/>
      <c r="AU210" s="38" t="n"/>
      <c r="AV210" s="38" t="n"/>
      <c r="AW210" s="38" t="n"/>
      <c r="AX210" s="38" t="n"/>
      <c r="AY210" s="42" t="n"/>
      <c r="AZ210" s="42" t="n"/>
      <c r="BA210" s="42" t="n"/>
      <c r="BB210" s="42" t="n"/>
      <c r="BC210" s="42" t="n"/>
      <c r="BD210" s="37">
        <f>IF($A210="","",SUM($AY210:$BC210))</f>
        <v/>
      </c>
      <c r="BE210" s="18">
        <f>IF($A210="","",IF(AND($I210&lt;&gt;"",$J210&lt;&gt;""),MAX(1,($J210-$I210)/7),Templates!$B$35))</f>
        <v/>
      </c>
      <c r="BF210" s="18">
        <f>IF($A210="","",IF(AND($I210&lt;&gt;"",$J210&lt;&gt;""),MAX(1,($J210-$I210)/7),Templates!$B$36))</f>
        <v/>
      </c>
      <c r="BG210" s="18">
        <f>IF($A210="","",IF(AND($I210&lt;&gt;"",$J210&lt;&gt;""),MAX(1,($J210-$I210)/7),Templates!$B$37))</f>
        <v/>
      </c>
      <c r="BH210" s="18">
        <f>IF($A210="","",IF(AND($I210&lt;&gt;"",$J210&lt;&gt;""),MAX(1,($J210-$I210)/7),Templates!$B$38))</f>
        <v/>
      </c>
      <c r="BI210" s="18">
        <f>IF($A210="","",IF(AND($I210&lt;&gt;"",$J210&lt;&gt;""),MAX(1,($J210-$I210)/7),Templates!$B$39))</f>
        <v/>
      </c>
      <c r="BJ210" s="18">
        <f>IF(OR($A210="",$BD210=0),0,($AY210*Templates!$B$27/$BE210+$AZ210*Templates!$B$28/$BF210+$BA210*Templates!$B$29/$BG210+$BB210*Templates!$B$30/$BH210+$BC210*Templates!$B$31/$BI210)/Templates!$B$17)</f>
        <v/>
      </c>
      <c r="BK210" s="18">
        <f>IF(OR($A210="",$BD210=0),0,($AY210*Templates!$C$27/$BE210+$AZ210*Templates!$C$28/$BF210+$BA210*Templates!$C$29/$BG210+$BB210*Templates!$C$30/$BH210+$BC210*Templates!$C$31/$BI210)/Templates!$B$18)</f>
        <v/>
      </c>
      <c r="BL210" s="18">
        <f>IF(OR($A210="",$BD210=0),0,($AY210*Templates!$D$27/$BE210+$AZ210*Templates!$D$28/$BF210+$BA210*Templates!$D$29/$BG210+$BB210*Templates!$D$30/$BH210+$BC210*Templates!$D$31/$BI210)/Templates!$B$19)</f>
        <v/>
      </c>
      <c r="BM210" s="18">
        <f>IF(OR($A210="",$BD210=0),0,($AY210*Templates!$E$27/$BE210+$AZ210*Templates!$E$28/$BF210+$BA210*Templates!$E$29/$BG210+$BB210*Templates!$E$30/$BH210+$BC210*Templates!$E$31/$BI210)/Templates!$B$20)</f>
        <v/>
      </c>
      <c r="BN210" s="18">
        <f>IF(OR($A210="",$BD210=0),0,($AY210*Templates!$F$27/$BE210+$AZ210*Templates!$F$28/$BF210+$BA210*Templates!$F$29/$BG210+$BB210*Templates!$F$30/$BH210+$BC210*Templates!$F$31/$BI210)/Templates!$B$21)</f>
        <v/>
      </c>
      <c r="BO210" s="18">
        <f>IF(OR($A210="",$BD210=0),0,($AY210*Templates!$G$27/$BE210+$AZ210*Templates!$G$28/$BF210+$BA210*Templates!$G$29/$BG210+$BB210*Templates!$G$30/$BH210+$BC210*Templates!$G$31/$BI210)/Templates!$B$22)</f>
        <v/>
      </c>
      <c r="BP210" s="18">
        <f>IF(OR($A210="",$BD210=0),0,($AY210*Templates!$H$27/$BE210+$AZ210*Templates!$H$28/$BF210+$BA210*Templates!$H$29/$BG210+$BB210*Templates!$H$30/$BH210+$BC210*Templates!$H$31/$BI210)/Templates!$B$23)</f>
        <v/>
      </c>
    </row>
    <row r="211">
      <c r="A211" s="28" t="inlineStr">
        <is>
          <t>AOP Model_1</t>
        </is>
      </c>
      <c r="B211" s="20" t="inlineStr">
        <is>
          <t>Fengate</t>
        </is>
      </c>
      <c r="C211" s="28" t="inlineStr">
        <is>
          <t>Fengate</t>
        </is>
      </c>
      <c r="D211" s="28" t="inlineStr"/>
      <c r="E211" s="28" t="inlineStr">
        <is>
          <t>No</t>
        </is>
      </c>
      <c r="F211" s="28" t="inlineStr">
        <is>
          <t>Proposal</t>
        </is>
      </c>
      <c r="G211" s="38" t="n"/>
      <c r="H211" s="43" t="n">
        <v>0.5</v>
      </c>
      <c r="I211" s="39" t="n"/>
      <c r="J211" s="39" t="n"/>
      <c r="K211" s="31" t="n"/>
      <c r="L211" s="31" t="n"/>
      <c r="M211" s="31" t="n"/>
      <c r="N211" s="31" t="n"/>
      <c r="O211" s="31" t="n"/>
      <c r="P211" s="31" t="n"/>
      <c r="Q211" s="23">
        <f>IF($A211="","",COUNTIFS(Assignments!$C$2:$C$769,$A211,Assignments!$G$2:$G$769,"Active"))</f>
        <v/>
      </c>
      <c r="R211" s="32">
        <f>IF($A211="","",SUMIFS(Assignments!$I$2:$I$769,Assignments!$C$2:$C$769,$A211,Assignments!$G$2:$G$769,"Active"))</f>
        <v/>
      </c>
      <c r="S211" s="20" t="inlineStr">
        <is>
          <t>Proposal</t>
        </is>
      </c>
      <c r="T211" s="31" t="n"/>
      <c r="U211" s="38" t="n"/>
      <c r="V211" s="34">
        <f>IF($U211="","",IFERROR(INDEX(Templates!$K$3:$K$10,MATCH($U211,Templates!$A$3:$A$10,0)),""))</f>
        <v/>
      </c>
      <c r="W211" s="34">
        <f>IF($U211="","",IFERROR(INDEX(Templates!$L$3:$L$10,MATCH($U211,Templates!$A$3:$A$10,0)),""))</f>
        <v/>
      </c>
      <c r="X211" s="21">
        <f>IF($U211="","",IFERROR(INDEX(Templates!$J$3:$J$10,MATCH($U211,Templates!$A$3:$A$10,0)),""))</f>
        <v/>
      </c>
      <c r="Y211" s="35">
        <f>IF(OR($U211="",$I211="",$J211="",$X211=""),"",$I211+$X211*($J211-$I211))</f>
        <v/>
      </c>
      <c r="Z211" s="30" t="n">
        <v>46212</v>
      </c>
      <c r="AA211" s="40" t="n"/>
      <c r="AB211" s="41" t="n"/>
      <c r="AC211" s="41" t="n"/>
      <c r="AD211" s="19">
        <f>IF($A211="","",IF($AA211="",$H211,$AA211))</f>
        <v/>
      </c>
      <c r="AE211" s="35">
        <f>IF($A211="","",IF($AB211="",$I211,$AB211))</f>
        <v/>
      </c>
      <c r="AF211" s="35">
        <f>IF($A211="","",IF($AC211="",$J211,$AC211))</f>
        <v/>
      </c>
      <c r="AG211" s="35">
        <f>IF(OR($U211="",$AE211="",$AF211="",$X211=""),"",$AE211+$X211*($AF211-$AE211))</f>
        <v/>
      </c>
      <c r="AH211" s="38" t="n"/>
      <c r="AI211" s="38" t="n"/>
      <c r="AJ211" s="38" t="n"/>
      <c r="AK211" s="38" t="n"/>
      <c r="AL211" s="38" t="n"/>
      <c r="AM211" s="38" t="n"/>
      <c r="AN211" s="38" t="n"/>
      <c r="AO211" s="38" t="n"/>
      <c r="AP211" s="38" t="n"/>
      <c r="AQ211" s="38" t="n"/>
      <c r="AR211" s="38" t="n"/>
      <c r="AS211" s="38" t="n"/>
      <c r="AT211" s="38" t="n"/>
      <c r="AU211" s="38" t="n"/>
      <c r="AV211" s="38" t="n"/>
      <c r="AW211" s="38" t="n"/>
      <c r="AX211" s="38" t="n"/>
      <c r="AY211" s="42" t="n"/>
      <c r="AZ211" s="42" t="n"/>
      <c r="BA211" s="42" t="n"/>
      <c r="BB211" s="42" t="n"/>
      <c r="BC211" s="42" t="n"/>
      <c r="BD211" s="37">
        <f>IF($A211="","",SUM($AY211:$BC211))</f>
        <v/>
      </c>
      <c r="BE211" s="18">
        <f>IF($A211="","",IF(AND($I211&lt;&gt;"",$J211&lt;&gt;""),MAX(1,($J211-$I211)/7),Templates!$B$35))</f>
        <v/>
      </c>
      <c r="BF211" s="18">
        <f>IF($A211="","",IF(AND($I211&lt;&gt;"",$J211&lt;&gt;""),MAX(1,($J211-$I211)/7),Templates!$B$36))</f>
        <v/>
      </c>
      <c r="BG211" s="18">
        <f>IF($A211="","",IF(AND($I211&lt;&gt;"",$J211&lt;&gt;""),MAX(1,($J211-$I211)/7),Templates!$B$37))</f>
        <v/>
      </c>
      <c r="BH211" s="18">
        <f>IF($A211="","",IF(AND($I211&lt;&gt;"",$J211&lt;&gt;""),MAX(1,($J211-$I211)/7),Templates!$B$38))</f>
        <v/>
      </c>
      <c r="BI211" s="18">
        <f>IF($A211="","",IF(AND($I211&lt;&gt;"",$J211&lt;&gt;""),MAX(1,($J211-$I211)/7),Templates!$B$39))</f>
        <v/>
      </c>
      <c r="BJ211" s="18">
        <f>IF(OR($A211="",$BD211=0),0,($AY211*Templates!$B$27/$BE211+$AZ211*Templates!$B$28/$BF211+$BA211*Templates!$B$29/$BG211+$BB211*Templates!$B$30/$BH211+$BC211*Templates!$B$31/$BI211)/Templates!$B$17)</f>
        <v/>
      </c>
      <c r="BK211" s="18">
        <f>IF(OR($A211="",$BD211=0),0,($AY211*Templates!$C$27/$BE211+$AZ211*Templates!$C$28/$BF211+$BA211*Templates!$C$29/$BG211+$BB211*Templates!$C$30/$BH211+$BC211*Templates!$C$31/$BI211)/Templates!$B$18)</f>
        <v/>
      </c>
      <c r="BL211" s="18">
        <f>IF(OR($A211="",$BD211=0),0,($AY211*Templates!$D$27/$BE211+$AZ211*Templates!$D$28/$BF211+$BA211*Templates!$D$29/$BG211+$BB211*Templates!$D$30/$BH211+$BC211*Templates!$D$31/$BI211)/Templates!$B$19)</f>
        <v/>
      </c>
      <c r="BM211" s="18">
        <f>IF(OR($A211="",$BD211=0),0,($AY211*Templates!$E$27/$BE211+$AZ211*Templates!$E$28/$BF211+$BA211*Templates!$E$29/$BG211+$BB211*Templates!$E$30/$BH211+$BC211*Templates!$E$31/$BI211)/Templates!$B$20)</f>
        <v/>
      </c>
      <c r="BN211" s="18">
        <f>IF(OR($A211="",$BD211=0),0,($AY211*Templates!$F$27/$BE211+$AZ211*Templates!$F$28/$BF211+$BA211*Templates!$F$29/$BG211+$BB211*Templates!$F$30/$BH211+$BC211*Templates!$F$31/$BI211)/Templates!$B$21)</f>
        <v/>
      </c>
      <c r="BO211" s="18">
        <f>IF(OR($A211="",$BD211=0),0,($AY211*Templates!$G$27/$BE211+$AZ211*Templates!$G$28/$BF211+$BA211*Templates!$G$29/$BG211+$BB211*Templates!$G$30/$BH211+$BC211*Templates!$G$31/$BI211)/Templates!$B$22)</f>
        <v/>
      </c>
      <c r="BP211" s="18">
        <f>IF(OR($A211="",$BD211=0),0,($AY211*Templates!$H$27/$BE211+$AZ211*Templates!$H$28/$BF211+$BA211*Templates!$H$29/$BG211+$BB211*Templates!$H$30/$BH211+$BC211*Templates!$H$31/$BI211)/Templates!$B$23)</f>
        <v/>
      </c>
    </row>
    <row r="212">
      <c r="A212" s="28" t="inlineStr">
        <is>
          <t>Apple_2</t>
        </is>
      </c>
      <c r="B212" s="20" t="inlineStr">
        <is>
          <t>Omnes Capital</t>
        </is>
      </c>
      <c r="C212" s="28" t="inlineStr">
        <is>
          <t>Omnes Capital</t>
        </is>
      </c>
      <c r="D212" s="28" t="inlineStr"/>
      <c r="E212" s="28" t="inlineStr">
        <is>
          <t>No</t>
        </is>
      </c>
      <c r="F212" s="28" t="inlineStr">
        <is>
          <t>Proposal</t>
        </is>
      </c>
      <c r="G212" s="38" t="n"/>
      <c r="H212" s="43" t="n">
        <v>0.5</v>
      </c>
      <c r="I212" s="39" t="n"/>
      <c r="J212" s="39" t="n"/>
      <c r="K212" s="31" t="n"/>
      <c r="L212" s="31" t="n"/>
      <c r="M212" s="31" t="n"/>
      <c r="N212" s="31" t="n"/>
      <c r="O212" s="31" t="n"/>
      <c r="P212" s="31" t="n"/>
      <c r="Q212" s="23">
        <f>IF($A212="","",COUNTIFS(Assignments!$C$2:$C$769,$A212,Assignments!$G$2:$G$769,"Active"))</f>
        <v/>
      </c>
      <c r="R212" s="32">
        <f>IF($A212="","",SUMIFS(Assignments!$I$2:$I$769,Assignments!$C$2:$C$769,$A212,Assignments!$G$2:$G$769,"Active"))</f>
        <v/>
      </c>
      <c r="S212" s="20" t="inlineStr">
        <is>
          <t>Proposal</t>
        </is>
      </c>
      <c r="T212" s="31" t="n"/>
      <c r="U212" s="38" t="n"/>
      <c r="V212" s="34">
        <f>IF($U212="","",IFERROR(INDEX(Templates!$K$3:$K$10,MATCH($U212,Templates!$A$3:$A$10,0)),""))</f>
        <v/>
      </c>
      <c r="W212" s="34">
        <f>IF($U212="","",IFERROR(INDEX(Templates!$L$3:$L$10,MATCH($U212,Templates!$A$3:$A$10,0)),""))</f>
        <v/>
      </c>
      <c r="X212" s="21">
        <f>IF($U212="","",IFERROR(INDEX(Templates!$J$3:$J$10,MATCH($U212,Templates!$A$3:$A$10,0)),""))</f>
        <v/>
      </c>
      <c r="Y212" s="35">
        <f>IF(OR($U212="",$I212="",$J212="",$X212=""),"",$I212+$X212*($J212-$I212))</f>
        <v/>
      </c>
      <c r="Z212" s="30" t="n">
        <v>46212</v>
      </c>
      <c r="AA212" s="40" t="n"/>
      <c r="AB212" s="41" t="n"/>
      <c r="AC212" s="41" t="n"/>
      <c r="AD212" s="19">
        <f>IF($A212="","",IF($AA212="",$H212,$AA212))</f>
        <v/>
      </c>
      <c r="AE212" s="35">
        <f>IF($A212="","",IF($AB212="",$I212,$AB212))</f>
        <v/>
      </c>
      <c r="AF212" s="35">
        <f>IF($A212="","",IF($AC212="",$J212,$AC212))</f>
        <v/>
      </c>
      <c r="AG212" s="35">
        <f>IF(OR($U212="",$AE212="",$AF212="",$X212=""),"",$AE212+$X212*($AF212-$AE212))</f>
        <v/>
      </c>
      <c r="AH212" s="38" t="n"/>
      <c r="AI212" s="38" t="n"/>
      <c r="AJ212" s="38" t="n"/>
      <c r="AK212" s="38" t="n"/>
      <c r="AL212" s="38" t="n"/>
      <c r="AM212" s="38" t="n"/>
      <c r="AN212" s="38" t="n"/>
      <c r="AO212" s="38" t="n"/>
      <c r="AP212" s="38" t="n"/>
      <c r="AQ212" s="38" t="n"/>
      <c r="AR212" s="38" t="n"/>
      <c r="AS212" s="38" t="n"/>
      <c r="AT212" s="38" t="n"/>
      <c r="AU212" s="38" t="n"/>
      <c r="AV212" s="38" t="n"/>
      <c r="AW212" s="38" t="n"/>
      <c r="AX212" s="38" t="n"/>
      <c r="AY212" s="42" t="n"/>
      <c r="AZ212" s="42" t="n"/>
      <c r="BA212" s="42" t="n"/>
      <c r="BB212" s="42" t="n"/>
      <c r="BC212" s="42" t="n"/>
      <c r="BD212" s="37">
        <f>IF($A212="","",SUM($AY212:$BC212))</f>
        <v/>
      </c>
      <c r="BE212" s="18">
        <f>IF($A212="","",IF(AND($I212&lt;&gt;"",$J212&lt;&gt;""),MAX(1,($J212-$I212)/7),Templates!$B$35))</f>
        <v/>
      </c>
      <c r="BF212" s="18">
        <f>IF($A212="","",IF(AND($I212&lt;&gt;"",$J212&lt;&gt;""),MAX(1,($J212-$I212)/7),Templates!$B$36))</f>
        <v/>
      </c>
      <c r="BG212" s="18">
        <f>IF($A212="","",IF(AND($I212&lt;&gt;"",$J212&lt;&gt;""),MAX(1,($J212-$I212)/7),Templates!$B$37))</f>
        <v/>
      </c>
      <c r="BH212" s="18">
        <f>IF($A212="","",IF(AND($I212&lt;&gt;"",$J212&lt;&gt;""),MAX(1,($J212-$I212)/7),Templates!$B$38))</f>
        <v/>
      </c>
      <c r="BI212" s="18">
        <f>IF($A212="","",IF(AND($I212&lt;&gt;"",$J212&lt;&gt;""),MAX(1,($J212-$I212)/7),Templates!$B$39))</f>
        <v/>
      </c>
      <c r="BJ212" s="18">
        <f>IF(OR($A212="",$BD212=0),0,($AY212*Templates!$B$27/$BE212+$AZ212*Templates!$B$28/$BF212+$BA212*Templates!$B$29/$BG212+$BB212*Templates!$B$30/$BH212+$BC212*Templates!$B$31/$BI212)/Templates!$B$17)</f>
        <v/>
      </c>
      <c r="BK212" s="18">
        <f>IF(OR($A212="",$BD212=0),0,($AY212*Templates!$C$27/$BE212+$AZ212*Templates!$C$28/$BF212+$BA212*Templates!$C$29/$BG212+$BB212*Templates!$C$30/$BH212+$BC212*Templates!$C$31/$BI212)/Templates!$B$18)</f>
        <v/>
      </c>
      <c r="BL212" s="18">
        <f>IF(OR($A212="",$BD212=0),0,($AY212*Templates!$D$27/$BE212+$AZ212*Templates!$D$28/$BF212+$BA212*Templates!$D$29/$BG212+$BB212*Templates!$D$30/$BH212+$BC212*Templates!$D$31/$BI212)/Templates!$B$19)</f>
        <v/>
      </c>
      <c r="BM212" s="18">
        <f>IF(OR($A212="",$BD212=0),0,($AY212*Templates!$E$27/$BE212+$AZ212*Templates!$E$28/$BF212+$BA212*Templates!$E$29/$BG212+$BB212*Templates!$E$30/$BH212+$BC212*Templates!$E$31/$BI212)/Templates!$B$20)</f>
        <v/>
      </c>
      <c r="BN212" s="18">
        <f>IF(OR($A212="",$BD212=0),0,($AY212*Templates!$F$27/$BE212+$AZ212*Templates!$F$28/$BF212+$BA212*Templates!$F$29/$BG212+$BB212*Templates!$F$30/$BH212+$BC212*Templates!$F$31/$BI212)/Templates!$B$21)</f>
        <v/>
      </c>
      <c r="BO212" s="18">
        <f>IF(OR($A212="",$BD212=0),0,($AY212*Templates!$G$27/$BE212+$AZ212*Templates!$G$28/$BF212+$BA212*Templates!$G$29/$BG212+$BB212*Templates!$G$30/$BH212+$BC212*Templates!$G$31/$BI212)/Templates!$B$22)</f>
        <v/>
      </c>
      <c r="BP212" s="18">
        <f>IF(OR($A212="",$BD212=0),0,($AY212*Templates!$H$27/$BE212+$AZ212*Templates!$H$28/$BF212+$BA212*Templates!$H$29/$BG212+$BB212*Templates!$H$30/$BH212+$BC212*Templates!$H$31/$BI212)/Templates!$B$23)</f>
        <v/>
      </c>
    </row>
    <row r="213">
      <c r="A213" s="28" t="inlineStr">
        <is>
          <t>Arctic_2</t>
        </is>
      </c>
      <c r="B213" s="20" t="inlineStr">
        <is>
          <t>IFM Investors</t>
        </is>
      </c>
      <c r="C213" s="28" t="inlineStr">
        <is>
          <t>IFM Investors</t>
        </is>
      </c>
      <c r="D213" s="28" t="inlineStr"/>
      <c r="E213" s="28" t="inlineStr">
        <is>
          <t>No</t>
        </is>
      </c>
      <c r="F213" s="28" t="inlineStr">
        <is>
          <t>Proposal</t>
        </is>
      </c>
      <c r="G213" s="38" t="n"/>
      <c r="H213" s="43" t="n">
        <v>0.5</v>
      </c>
      <c r="I213" s="39" t="n"/>
      <c r="J213" s="39" t="n"/>
      <c r="K213" s="31" t="n"/>
      <c r="L213" s="31" t="n"/>
      <c r="M213" s="31" t="n"/>
      <c r="N213" s="31" t="n"/>
      <c r="O213" s="31" t="n"/>
      <c r="P213" s="31" t="n"/>
      <c r="Q213" s="23">
        <f>IF($A213="","",COUNTIFS(Assignments!$C$2:$C$769,$A213,Assignments!$G$2:$G$769,"Active"))</f>
        <v/>
      </c>
      <c r="R213" s="32">
        <f>IF($A213="","",SUMIFS(Assignments!$I$2:$I$769,Assignments!$C$2:$C$769,$A213,Assignments!$G$2:$G$769,"Active"))</f>
        <v/>
      </c>
      <c r="S213" s="20" t="inlineStr">
        <is>
          <t>Proposal</t>
        </is>
      </c>
      <c r="T213" s="31" t="n"/>
      <c r="U213" s="38" t="n"/>
      <c r="V213" s="34">
        <f>IF($U213="","",IFERROR(INDEX(Templates!$K$3:$K$10,MATCH($U213,Templates!$A$3:$A$10,0)),""))</f>
        <v/>
      </c>
      <c r="W213" s="34">
        <f>IF($U213="","",IFERROR(INDEX(Templates!$L$3:$L$10,MATCH($U213,Templates!$A$3:$A$10,0)),""))</f>
        <v/>
      </c>
      <c r="X213" s="21">
        <f>IF($U213="","",IFERROR(INDEX(Templates!$J$3:$J$10,MATCH($U213,Templates!$A$3:$A$10,0)),""))</f>
        <v/>
      </c>
      <c r="Y213" s="35">
        <f>IF(OR($U213="",$I213="",$J213="",$X213=""),"",$I213+$X213*($J213-$I213))</f>
        <v/>
      </c>
      <c r="Z213" s="30" t="n">
        <v>46212</v>
      </c>
      <c r="AA213" s="40" t="n"/>
      <c r="AB213" s="41" t="n"/>
      <c r="AC213" s="41" t="n"/>
      <c r="AD213" s="19">
        <f>IF($A213="","",IF($AA213="",$H213,$AA213))</f>
        <v/>
      </c>
      <c r="AE213" s="35">
        <f>IF($A213="","",IF($AB213="",$I213,$AB213))</f>
        <v/>
      </c>
      <c r="AF213" s="35">
        <f>IF($A213="","",IF($AC213="",$J213,$AC213))</f>
        <v/>
      </c>
      <c r="AG213" s="35">
        <f>IF(OR($U213="",$AE213="",$AF213="",$X213=""),"",$AE213+$X213*($AF213-$AE213))</f>
        <v/>
      </c>
      <c r="AH213" s="38" t="n"/>
      <c r="AI213" s="38" t="n"/>
      <c r="AJ213" s="38" t="n"/>
      <c r="AK213" s="38" t="n"/>
      <c r="AL213" s="38" t="n"/>
      <c r="AM213" s="38" t="n"/>
      <c r="AN213" s="38" t="n"/>
      <c r="AO213" s="38" t="n"/>
      <c r="AP213" s="38" t="n"/>
      <c r="AQ213" s="38" t="n"/>
      <c r="AR213" s="38" t="n"/>
      <c r="AS213" s="38" t="n"/>
      <c r="AT213" s="38" t="n"/>
      <c r="AU213" s="38" t="n"/>
      <c r="AV213" s="38" t="n"/>
      <c r="AW213" s="38" t="n"/>
      <c r="AX213" s="38" t="n"/>
      <c r="AY213" s="42" t="n"/>
      <c r="AZ213" s="42" t="n"/>
      <c r="BA213" s="42" t="n"/>
      <c r="BB213" s="42" t="n"/>
      <c r="BC213" s="42" t="n"/>
      <c r="BD213" s="37">
        <f>IF($A213="","",SUM($AY213:$BC213))</f>
        <v/>
      </c>
      <c r="BE213" s="18">
        <f>IF($A213="","",IF(AND($I213&lt;&gt;"",$J213&lt;&gt;""),MAX(1,($J213-$I213)/7),Templates!$B$35))</f>
        <v/>
      </c>
      <c r="BF213" s="18">
        <f>IF($A213="","",IF(AND($I213&lt;&gt;"",$J213&lt;&gt;""),MAX(1,($J213-$I213)/7),Templates!$B$36))</f>
        <v/>
      </c>
      <c r="BG213" s="18">
        <f>IF($A213="","",IF(AND($I213&lt;&gt;"",$J213&lt;&gt;""),MAX(1,($J213-$I213)/7),Templates!$B$37))</f>
        <v/>
      </c>
      <c r="BH213" s="18">
        <f>IF($A213="","",IF(AND($I213&lt;&gt;"",$J213&lt;&gt;""),MAX(1,($J213-$I213)/7),Templates!$B$38))</f>
        <v/>
      </c>
      <c r="BI213" s="18">
        <f>IF($A213="","",IF(AND($I213&lt;&gt;"",$J213&lt;&gt;""),MAX(1,($J213-$I213)/7),Templates!$B$39))</f>
        <v/>
      </c>
      <c r="BJ213" s="18">
        <f>IF(OR($A213="",$BD213=0),0,($AY213*Templates!$B$27/$BE213+$AZ213*Templates!$B$28/$BF213+$BA213*Templates!$B$29/$BG213+$BB213*Templates!$B$30/$BH213+$BC213*Templates!$B$31/$BI213)/Templates!$B$17)</f>
        <v/>
      </c>
      <c r="BK213" s="18">
        <f>IF(OR($A213="",$BD213=0),0,($AY213*Templates!$C$27/$BE213+$AZ213*Templates!$C$28/$BF213+$BA213*Templates!$C$29/$BG213+$BB213*Templates!$C$30/$BH213+$BC213*Templates!$C$31/$BI213)/Templates!$B$18)</f>
        <v/>
      </c>
      <c r="BL213" s="18">
        <f>IF(OR($A213="",$BD213=0),0,($AY213*Templates!$D$27/$BE213+$AZ213*Templates!$D$28/$BF213+$BA213*Templates!$D$29/$BG213+$BB213*Templates!$D$30/$BH213+$BC213*Templates!$D$31/$BI213)/Templates!$B$19)</f>
        <v/>
      </c>
      <c r="BM213" s="18">
        <f>IF(OR($A213="",$BD213=0),0,($AY213*Templates!$E$27/$BE213+$AZ213*Templates!$E$28/$BF213+$BA213*Templates!$E$29/$BG213+$BB213*Templates!$E$30/$BH213+$BC213*Templates!$E$31/$BI213)/Templates!$B$20)</f>
        <v/>
      </c>
      <c r="BN213" s="18">
        <f>IF(OR($A213="",$BD213=0),0,($AY213*Templates!$F$27/$BE213+$AZ213*Templates!$F$28/$BF213+$BA213*Templates!$F$29/$BG213+$BB213*Templates!$F$30/$BH213+$BC213*Templates!$F$31/$BI213)/Templates!$B$21)</f>
        <v/>
      </c>
      <c r="BO213" s="18">
        <f>IF(OR($A213="",$BD213=0),0,($AY213*Templates!$G$27/$BE213+$AZ213*Templates!$G$28/$BF213+$BA213*Templates!$G$29/$BG213+$BB213*Templates!$G$30/$BH213+$BC213*Templates!$G$31/$BI213)/Templates!$B$22)</f>
        <v/>
      </c>
      <c r="BP213" s="18">
        <f>IF(OR($A213="",$BD213=0),0,($AY213*Templates!$H$27/$BE213+$AZ213*Templates!$H$28/$BF213+$BA213*Templates!$H$29/$BG213+$BB213*Templates!$H$30/$BH213+$BC213*Templates!$H$31/$BI213)/Templates!$B$23)</f>
        <v/>
      </c>
    </row>
    <row r="214">
      <c r="A214" s="28" t="inlineStr">
        <is>
          <t>Ares FIRPTA_2</t>
        </is>
      </c>
      <c r="B214" s="20" t="inlineStr">
        <is>
          <t>Ares Management Corporation</t>
        </is>
      </c>
      <c r="C214" s="28" t="inlineStr">
        <is>
          <t>Ares Management Corporation</t>
        </is>
      </c>
      <c r="D214" s="28" t="inlineStr"/>
      <c r="E214" s="28" t="inlineStr">
        <is>
          <t>No</t>
        </is>
      </c>
      <c r="F214" s="28" t="inlineStr">
        <is>
          <t>Proposal</t>
        </is>
      </c>
      <c r="G214" s="38" t="n"/>
      <c r="H214" s="43" t="n">
        <v>0.5</v>
      </c>
      <c r="I214" s="39" t="n"/>
      <c r="J214" s="39" t="n"/>
      <c r="K214" s="31" t="n"/>
      <c r="L214" s="31" t="n"/>
      <c r="M214" s="31" t="n"/>
      <c r="N214" s="31" t="n"/>
      <c r="O214" s="31" t="n"/>
      <c r="P214" s="31" t="n"/>
      <c r="Q214" s="23">
        <f>IF($A214="","",COUNTIFS(Assignments!$C$2:$C$769,$A214,Assignments!$G$2:$G$769,"Active"))</f>
        <v/>
      </c>
      <c r="R214" s="32">
        <f>IF($A214="","",SUMIFS(Assignments!$I$2:$I$769,Assignments!$C$2:$C$769,$A214,Assignments!$G$2:$G$769,"Active"))</f>
        <v/>
      </c>
      <c r="S214" s="20" t="inlineStr">
        <is>
          <t>Proposal</t>
        </is>
      </c>
      <c r="T214" s="31" t="n"/>
      <c r="U214" s="38" t="n"/>
      <c r="V214" s="34">
        <f>IF($U214="","",IFERROR(INDEX(Templates!$K$3:$K$10,MATCH($U214,Templates!$A$3:$A$10,0)),""))</f>
        <v/>
      </c>
      <c r="W214" s="34">
        <f>IF($U214="","",IFERROR(INDEX(Templates!$L$3:$L$10,MATCH($U214,Templates!$A$3:$A$10,0)),""))</f>
        <v/>
      </c>
      <c r="X214" s="21">
        <f>IF($U214="","",IFERROR(INDEX(Templates!$J$3:$J$10,MATCH($U214,Templates!$A$3:$A$10,0)),""))</f>
        <v/>
      </c>
      <c r="Y214" s="35">
        <f>IF(OR($U214="",$I214="",$J214="",$X214=""),"",$I214+$X214*($J214-$I214))</f>
        <v/>
      </c>
      <c r="Z214" s="30" t="n">
        <v>46212</v>
      </c>
      <c r="AA214" s="40" t="n"/>
      <c r="AB214" s="41" t="n"/>
      <c r="AC214" s="41" t="n"/>
      <c r="AD214" s="19">
        <f>IF($A214="","",IF($AA214="",$H214,$AA214))</f>
        <v/>
      </c>
      <c r="AE214" s="35">
        <f>IF($A214="","",IF($AB214="",$I214,$AB214))</f>
        <v/>
      </c>
      <c r="AF214" s="35">
        <f>IF($A214="","",IF($AC214="",$J214,$AC214))</f>
        <v/>
      </c>
      <c r="AG214" s="35">
        <f>IF(OR($U214="",$AE214="",$AF214="",$X214=""),"",$AE214+$X214*($AF214-$AE214))</f>
        <v/>
      </c>
      <c r="AH214" s="38" t="n"/>
      <c r="AI214" s="38" t="n"/>
      <c r="AJ214" s="38" t="n"/>
      <c r="AK214" s="38" t="n"/>
      <c r="AL214" s="38" t="n"/>
      <c r="AM214" s="38" t="n"/>
      <c r="AN214" s="38" t="n"/>
      <c r="AO214" s="38" t="n"/>
      <c r="AP214" s="38" t="n"/>
      <c r="AQ214" s="38" t="n"/>
      <c r="AR214" s="38" t="n"/>
      <c r="AS214" s="38" t="n"/>
      <c r="AT214" s="38" t="n"/>
      <c r="AU214" s="38" t="n"/>
      <c r="AV214" s="38" t="n"/>
      <c r="AW214" s="38" t="n"/>
      <c r="AX214" s="38" t="n"/>
      <c r="AY214" s="42" t="n"/>
      <c r="AZ214" s="42" t="n"/>
      <c r="BA214" s="42" t="n"/>
      <c r="BB214" s="42" t="n"/>
      <c r="BC214" s="42" t="n"/>
      <c r="BD214" s="37">
        <f>IF($A214="","",SUM($AY214:$BC214))</f>
        <v/>
      </c>
      <c r="BE214" s="18">
        <f>IF($A214="","",IF(AND($I214&lt;&gt;"",$J214&lt;&gt;""),MAX(1,($J214-$I214)/7),Templates!$B$35))</f>
        <v/>
      </c>
      <c r="BF214" s="18">
        <f>IF($A214="","",IF(AND($I214&lt;&gt;"",$J214&lt;&gt;""),MAX(1,($J214-$I214)/7),Templates!$B$36))</f>
        <v/>
      </c>
      <c r="BG214" s="18">
        <f>IF($A214="","",IF(AND($I214&lt;&gt;"",$J214&lt;&gt;""),MAX(1,($J214-$I214)/7),Templates!$B$37))</f>
        <v/>
      </c>
      <c r="BH214" s="18">
        <f>IF($A214="","",IF(AND($I214&lt;&gt;"",$J214&lt;&gt;""),MAX(1,($J214-$I214)/7),Templates!$B$38))</f>
        <v/>
      </c>
      <c r="BI214" s="18">
        <f>IF($A214="","",IF(AND($I214&lt;&gt;"",$J214&lt;&gt;""),MAX(1,($J214-$I214)/7),Templates!$B$39))</f>
        <v/>
      </c>
      <c r="BJ214" s="18">
        <f>IF(OR($A214="",$BD214=0),0,($AY214*Templates!$B$27/$BE214+$AZ214*Templates!$B$28/$BF214+$BA214*Templates!$B$29/$BG214+$BB214*Templates!$B$30/$BH214+$BC214*Templates!$B$31/$BI214)/Templates!$B$17)</f>
        <v/>
      </c>
      <c r="BK214" s="18">
        <f>IF(OR($A214="",$BD214=0),0,($AY214*Templates!$C$27/$BE214+$AZ214*Templates!$C$28/$BF214+$BA214*Templates!$C$29/$BG214+$BB214*Templates!$C$30/$BH214+$BC214*Templates!$C$31/$BI214)/Templates!$B$18)</f>
        <v/>
      </c>
      <c r="BL214" s="18">
        <f>IF(OR($A214="",$BD214=0),0,($AY214*Templates!$D$27/$BE214+$AZ214*Templates!$D$28/$BF214+$BA214*Templates!$D$29/$BG214+$BB214*Templates!$D$30/$BH214+$BC214*Templates!$D$31/$BI214)/Templates!$B$19)</f>
        <v/>
      </c>
      <c r="BM214" s="18">
        <f>IF(OR($A214="",$BD214=0),0,($AY214*Templates!$E$27/$BE214+$AZ214*Templates!$E$28/$BF214+$BA214*Templates!$E$29/$BG214+$BB214*Templates!$E$30/$BH214+$BC214*Templates!$E$31/$BI214)/Templates!$B$20)</f>
        <v/>
      </c>
      <c r="BN214" s="18">
        <f>IF(OR($A214="",$BD214=0),0,($AY214*Templates!$F$27/$BE214+$AZ214*Templates!$F$28/$BF214+$BA214*Templates!$F$29/$BG214+$BB214*Templates!$F$30/$BH214+$BC214*Templates!$F$31/$BI214)/Templates!$B$21)</f>
        <v/>
      </c>
      <c r="BO214" s="18">
        <f>IF(OR($A214="",$BD214=0),0,($AY214*Templates!$G$27/$BE214+$AZ214*Templates!$G$28/$BF214+$BA214*Templates!$G$29/$BG214+$BB214*Templates!$G$30/$BH214+$BC214*Templates!$G$31/$BI214)/Templates!$B$22)</f>
        <v/>
      </c>
      <c r="BP214" s="18">
        <f>IF(OR($A214="",$BD214=0),0,($AY214*Templates!$H$27/$BE214+$AZ214*Templates!$H$28/$BF214+$BA214*Templates!$H$29/$BG214+$BB214*Templates!$H$30/$BH214+$BC214*Templates!$H$31/$BI214)/Templates!$B$23)</f>
        <v/>
      </c>
    </row>
    <row r="215">
      <c r="A215" s="28" t="inlineStr">
        <is>
          <t>Assys_1</t>
        </is>
      </c>
      <c r="B215" s="20" t="inlineStr">
        <is>
          <t>Leo Berwick (Referral Source)</t>
        </is>
      </c>
      <c r="C215" s="28" t="inlineStr">
        <is>
          <t>Leo Berwick</t>
        </is>
      </c>
      <c r="D215" s="28" t="inlineStr"/>
      <c r="E215" s="28" t="inlineStr">
        <is>
          <t>Yes</t>
        </is>
      </c>
      <c r="F215" s="28" t="inlineStr">
        <is>
          <t>Proposal</t>
        </is>
      </c>
      <c r="G215" s="38" t="n"/>
      <c r="H215" s="43" t="n">
        <v>0.5</v>
      </c>
      <c r="I215" s="39" t="n"/>
      <c r="J215" s="39" t="n"/>
      <c r="K215" s="31" t="n"/>
      <c r="L215" s="31" t="n"/>
      <c r="M215" s="31" t="n"/>
      <c r="N215" s="31" t="n"/>
      <c r="O215" s="31" t="n"/>
      <c r="P215" s="31" t="n"/>
      <c r="Q215" s="23">
        <f>IF($A215="","",COUNTIFS(Assignments!$C$2:$C$769,$A215,Assignments!$G$2:$G$769,"Active"))</f>
        <v/>
      </c>
      <c r="R215" s="32">
        <f>IF($A215="","",SUMIFS(Assignments!$I$2:$I$769,Assignments!$C$2:$C$769,$A215,Assignments!$G$2:$G$769,"Active"))</f>
        <v/>
      </c>
      <c r="S215" s="20" t="inlineStr">
        <is>
          <t>Proposal</t>
        </is>
      </c>
      <c r="T215" s="31" t="n"/>
      <c r="U215" s="38" t="n"/>
      <c r="V215" s="34">
        <f>IF($U215="","",IFERROR(INDEX(Templates!$K$3:$K$10,MATCH($U215,Templates!$A$3:$A$10,0)),""))</f>
        <v/>
      </c>
      <c r="W215" s="34">
        <f>IF($U215="","",IFERROR(INDEX(Templates!$L$3:$L$10,MATCH($U215,Templates!$A$3:$A$10,0)),""))</f>
        <v/>
      </c>
      <c r="X215" s="21">
        <f>IF($U215="","",IFERROR(INDEX(Templates!$J$3:$J$10,MATCH($U215,Templates!$A$3:$A$10,0)),""))</f>
        <v/>
      </c>
      <c r="Y215" s="35">
        <f>IF(OR($U215="",$I215="",$J215="",$X215=""),"",$I215+$X215*($J215-$I215))</f>
        <v/>
      </c>
      <c r="Z215" s="30" t="n">
        <v>46212</v>
      </c>
      <c r="AA215" s="40" t="n"/>
      <c r="AB215" s="41" t="n"/>
      <c r="AC215" s="41" t="n"/>
      <c r="AD215" s="19">
        <f>IF($A215="","",IF($AA215="",$H215,$AA215))</f>
        <v/>
      </c>
      <c r="AE215" s="35">
        <f>IF($A215="","",IF($AB215="",$I215,$AB215))</f>
        <v/>
      </c>
      <c r="AF215" s="35">
        <f>IF($A215="","",IF($AC215="",$J215,$AC215))</f>
        <v/>
      </c>
      <c r="AG215" s="35">
        <f>IF(OR($U215="",$AE215="",$AF215="",$X215=""),"",$AE215+$X215*($AF215-$AE215))</f>
        <v/>
      </c>
      <c r="AH215" s="38" t="n"/>
      <c r="AI215" s="38" t="n"/>
      <c r="AJ215" s="38" t="n"/>
      <c r="AK215" s="38" t="n"/>
      <c r="AL215" s="38" t="n"/>
      <c r="AM215" s="38" t="n"/>
      <c r="AN215" s="38" t="n"/>
      <c r="AO215" s="38" t="n"/>
      <c r="AP215" s="38" t="n"/>
      <c r="AQ215" s="38" t="n"/>
      <c r="AR215" s="38" t="n"/>
      <c r="AS215" s="38" t="n"/>
      <c r="AT215" s="38" t="n"/>
      <c r="AU215" s="38" t="n"/>
      <c r="AV215" s="38" t="n"/>
      <c r="AW215" s="38" t="n"/>
      <c r="AX215" s="38" t="n"/>
      <c r="AY215" s="42" t="n"/>
      <c r="AZ215" s="42" t="n"/>
      <c r="BA215" s="42" t="n"/>
      <c r="BB215" s="42" t="n"/>
      <c r="BC215" s="42" t="n"/>
      <c r="BD215" s="37">
        <f>IF($A215="","",SUM($AY215:$BC215))</f>
        <v/>
      </c>
      <c r="BE215" s="18">
        <f>IF($A215="","",IF(AND($I215&lt;&gt;"",$J215&lt;&gt;""),MAX(1,($J215-$I215)/7),Templates!$B$35))</f>
        <v/>
      </c>
      <c r="BF215" s="18">
        <f>IF($A215="","",IF(AND($I215&lt;&gt;"",$J215&lt;&gt;""),MAX(1,($J215-$I215)/7),Templates!$B$36))</f>
        <v/>
      </c>
      <c r="BG215" s="18">
        <f>IF($A215="","",IF(AND($I215&lt;&gt;"",$J215&lt;&gt;""),MAX(1,($J215-$I215)/7),Templates!$B$37))</f>
        <v/>
      </c>
      <c r="BH215" s="18">
        <f>IF($A215="","",IF(AND($I215&lt;&gt;"",$J215&lt;&gt;""),MAX(1,($J215-$I215)/7),Templates!$B$38))</f>
        <v/>
      </c>
      <c r="BI215" s="18">
        <f>IF($A215="","",IF(AND($I215&lt;&gt;"",$J215&lt;&gt;""),MAX(1,($J215-$I215)/7),Templates!$B$39))</f>
        <v/>
      </c>
      <c r="BJ215" s="18">
        <f>IF(OR($A215="",$BD215=0),0,($AY215*Templates!$B$27/$BE215+$AZ215*Templates!$B$28/$BF215+$BA215*Templates!$B$29/$BG215+$BB215*Templates!$B$30/$BH215+$BC215*Templates!$B$31/$BI215)/Templates!$B$17)</f>
        <v/>
      </c>
      <c r="BK215" s="18">
        <f>IF(OR($A215="",$BD215=0),0,($AY215*Templates!$C$27/$BE215+$AZ215*Templates!$C$28/$BF215+$BA215*Templates!$C$29/$BG215+$BB215*Templates!$C$30/$BH215+$BC215*Templates!$C$31/$BI215)/Templates!$B$18)</f>
        <v/>
      </c>
      <c r="BL215" s="18">
        <f>IF(OR($A215="",$BD215=0),0,($AY215*Templates!$D$27/$BE215+$AZ215*Templates!$D$28/$BF215+$BA215*Templates!$D$29/$BG215+$BB215*Templates!$D$30/$BH215+$BC215*Templates!$D$31/$BI215)/Templates!$B$19)</f>
        <v/>
      </c>
      <c r="BM215" s="18">
        <f>IF(OR($A215="",$BD215=0),0,($AY215*Templates!$E$27/$BE215+$AZ215*Templates!$E$28/$BF215+$BA215*Templates!$E$29/$BG215+$BB215*Templates!$E$30/$BH215+$BC215*Templates!$E$31/$BI215)/Templates!$B$20)</f>
        <v/>
      </c>
      <c r="BN215" s="18">
        <f>IF(OR($A215="",$BD215=0),0,($AY215*Templates!$F$27/$BE215+$AZ215*Templates!$F$28/$BF215+$BA215*Templates!$F$29/$BG215+$BB215*Templates!$F$30/$BH215+$BC215*Templates!$F$31/$BI215)/Templates!$B$21)</f>
        <v/>
      </c>
      <c r="BO215" s="18">
        <f>IF(OR($A215="",$BD215=0),0,($AY215*Templates!$G$27/$BE215+$AZ215*Templates!$G$28/$BF215+$BA215*Templates!$G$29/$BG215+$BB215*Templates!$G$30/$BH215+$BC215*Templates!$G$31/$BI215)/Templates!$B$22)</f>
        <v/>
      </c>
      <c r="BP215" s="18">
        <f>IF(OR($A215="",$BD215=0),0,($AY215*Templates!$H$27/$BE215+$AZ215*Templates!$H$28/$BF215+$BA215*Templates!$H$29/$BG215+$BB215*Templates!$H$30/$BH215+$BC215*Templates!$H$31/$BI215)/Templates!$B$23)</f>
        <v/>
      </c>
    </row>
    <row r="216">
      <c r="A216" s="28" t="inlineStr">
        <is>
          <t>Avengers</t>
        </is>
      </c>
      <c r="B216" s="20" t="inlineStr">
        <is>
          <t>Morrison</t>
        </is>
      </c>
      <c r="C216" s="28" t="inlineStr">
        <is>
          <t>Morrison</t>
        </is>
      </c>
      <c r="D216" s="28" t="inlineStr"/>
      <c r="E216" s="28" t="inlineStr">
        <is>
          <t>No</t>
        </is>
      </c>
      <c r="F216" s="28" t="inlineStr">
        <is>
          <t>Proposal</t>
        </is>
      </c>
      <c r="G216" s="38" t="n"/>
      <c r="H216" s="43" t="n">
        <v>0.5</v>
      </c>
      <c r="I216" s="39" t="n"/>
      <c r="J216" s="39" t="n"/>
      <c r="K216" s="31" t="n"/>
      <c r="L216" s="31" t="n"/>
      <c r="M216" s="31" t="n"/>
      <c r="N216" s="31" t="n"/>
      <c r="O216" s="31" t="n"/>
      <c r="P216" s="31" t="n"/>
      <c r="Q216" s="23">
        <f>IF($A216="","",COUNTIFS(Assignments!$C$2:$C$769,$A216,Assignments!$G$2:$G$769,"Active"))</f>
        <v/>
      </c>
      <c r="R216" s="32">
        <f>IF($A216="","",SUMIFS(Assignments!$I$2:$I$769,Assignments!$C$2:$C$769,$A216,Assignments!$G$2:$G$769,"Active"))</f>
        <v/>
      </c>
      <c r="S216" s="20" t="inlineStr">
        <is>
          <t>Proposal</t>
        </is>
      </c>
      <c r="T216" s="31" t="n"/>
      <c r="U216" s="38" t="n"/>
      <c r="V216" s="34">
        <f>IF($U216="","",IFERROR(INDEX(Templates!$K$3:$K$10,MATCH($U216,Templates!$A$3:$A$10,0)),""))</f>
        <v/>
      </c>
      <c r="W216" s="34">
        <f>IF($U216="","",IFERROR(INDEX(Templates!$L$3:$L$10,MATCH($U216,Templates!$A$3:$A$10,0)),""))</f>
        <v/>
      </c>
      <c r="X216" s="21">
        <f>IF($U216="","",IFERROR(INDEX(Templates!$J$3:$J$10,MATCH($U216,Templates!$A$3:$A$10,0)),""))</f>
        <v/>
      </c>
      <c r="Y216" s="35">
        <f>IF(OR($U216="",$I216="",$J216="",$X216=""),"",$I216+$X216*($J216-$I216))</f>
        <v/>
      </c>
      <c r="Z216" s="30" t="n">
        <v>46212</v>
      </c>
      <c r="AA216" s="40" t="n"/>
      <c r="AB216" s="41" t="n"/>
      <c r="AC216" s="41" t="n"/>
      <c r="AD216" s="19">
        <f>IF($A216="","",IF($AA216="",$H216,$AA216))</f>
        <v/>
      </c>
      <c r="AE216" s="35">
        <f>IF($A216="","",IF($AB216="",$I216,$AB216))</f>
        <v/>
      </c>
      <c r="AF216" s="35">
        <f>IF($A216="","",IF($AC216="",$J216,$AC216))</f>
        <v/>
      </c>
      <c r="AG216" s="35">
        <f>IF(OR($U216="",$AE216="",$AF216="",$X216=""),"",$AE216+$X216*($AF216-$AE216))</f>
        <v/>
      </c>
      <c r="AH216" s="38" t="n"/>
      <c r="AI216" s="38" t="n"/>
      <c r="AJ216" s="38" t="n"/>
      <c r="AK216" s="38" t="n"/>
      <c r="AL216" s="38" t="n"/>
      <c r="AM216" s="38" t="n"/>
      <c r="AN216" s="38" t="n"/>
      <c r="AO216" s="38" t="n"/>
      <c r="AP216" s="38" t="n"/>
      <c r="AQ216" s="38" t="n"/>
      <c r="AR216" s="38" t="n"/>
      <c r="AS216" s="38" t="n"/>
      <c r="AT216" s="38" t="n"/>
      <c r="AU216" s="38" t="n"/>
      <c r="AV216" s="38" t="n"/>
      <c r="AW216" s="38" t="n"/>
      <c r="AX216" s="38" t="n"/>
      <c r="AY216" s="42" t="n"/>
      <c r="AZ216" s="42" t="n"/>
      <c r="BA216" s="42" t="n"/>
      <c r="BB216" s="42" t="n"/>
      <c r="BC216" s="42" t="n"/>
      <c r="BD216" s="37">
        <f>IF($A216="","",SUM($AY216:$BC216))</f>
        <v/>
      </c>
      <c r="BE216" s="18">
        <f>IF($A216="","",IF(AND($I216&lt;&gt;"",$J216&lt;&gt;""),MAX(1,($J216-$I216)/7),Templates!$B$35))</f>
        <v/>
      </c>
      <c r="BF216" s="18">
        <f>IF($A216="","",IF(AND($I216&lt;&gt;"",$J216&lt;&gt;""),MAX(1,($J216-$I216)/7),Templates!$B$36))</f>
        <v/>
      </c>
      <c r="BG216" s="18">
        <f>IF($A216="","",IF(AND($I216&lt;&gt;"",$J216&lt;&gt;""),MAX(1,($J216-$I216)/7),Templates!$B$37))</f>
        <v/>
      </c>
      <c r="BH216" s="18">
        <f>IF($A216="","",IF(AND($I216&lt;&gt;"",$J216&lt;&gt;""),MAX(1,($J216-$I216)/7),Templates!$B$38))</f>
        <v/>
      </c>
      <c r="BI216" s="18">
        <f>IF($A216="","",IF(AND($I216&lt;&gt;"",$J216&lt;&gt;""),MAX(1,($J216-$I216)/7),Templates!$B$39))</f>
        <v/>
      </c>
      <c r="BJ216" s="18">
        <f>IF(OR($A216="",$BD216=0),0,($AY216*Templates!$B$27/$BE216+$AZ216*Templates!$B$28/$BF216+$BA216*Templates!$B$29/$BG216+$BB216*Templates!$B$30/$BH216+$BC216*Templates!$B$31/$BI216)/Templates!$B$17)</f>
        <v/>
      </c>
      <c r="BK216" s="18">
        <f>IF(OR($A216="",$BD216=0),0,($AY216*Templates!$C$27/$BE216+$AZ216*Templates!$C$28/$BF216+$BA216*Templates!$C$29/$BG216+$BB216*Templates!$C$30/$BH216+$BC216*Templates!$C$31/$BI216)/Templates!$B$18)</f>
        <v/>
      </c>
      <c r="BL216" s="18">
        <f>IF(OR($A216="",$BD216=0),0,($AY216*Templates!$D$27/$BE216+$AZ216*Templates!$D$28/$BF216+$BA216*Templates!$D$29/$BG216+$BB216*Templates!$D$30/$BH216+$BC216*Templates!$D$31/$BI216)/Templates!$B$19)</f>
        <v/>
      </c>
      <c r="BM216" s="18">
        <f>IF(OR($A216="",$BD216=0),0,($AY216*Templates!$E$27/$BE216+$AZ216*Templates!$E$28/$BF216+$BA216*Templates!$E$29/$BG216+$BB216*Templates!$E$30/$BH216+$BC216*Templates!$E$31/$BI216)/Templates!$B$20)</f>
        <v/>
      </c>
      <c r="BN216" s="18">
        <f>IF(OR($A216="",$BD216=0),0,($AY216*Templates!$F$27/$BE216+$AZ216*Templates!$F$28/$BF216+$BA216*Templates!$F$29/$BG216+$BB216*Templates!$F$30/$BH216+$BC216*Templates!$F$31/$BI216)/Templates!$B$21)</f>
        <v/>
      </c>
      <c r="BO216" s="18">
        <f>IF(OR($A216="",$BD216=0),0,($AY216*Templates!$G$27/$BE216+$AZ216*Templates!$G$28/$BF216+$BA216*Templates!$G$29/$BG216+$BB216*Templates!$G$30/$BH216+$BC216*Templates!$G$31/$BI216)/Templates!$B$22)</f>
        <v/>
      </c>
      <c r="BP216" s="18">
        <f>IF(OR($A216="",$BD216=0),0,($AY216*Templates!$H$27/$BE216+$AZ216*Templates!$H$28/$BF216+$BA216*Templates!$H$29/$BG216+$BB216*Templates!$H$30/$BH216+$BC216*Templates!$H$31/$BI216)/Templates!$B$23)</f>
        <v/>
      </c>
    </row>
    <row r="217">
      <c r="A217" s="28" t="inlineStr">
        <is>
          <t>Avlino_1</t>
        </is>
      </c>
      <c r="B217" s="20" t="inlineStr">
        <is>
          <t>Diversis Capital</t>
        </is>
      </c>
      <c r="C217" s="28" t="inlineStr">
        <is>
          <t>Diversis Capital</t>
        </is>
      </c>
      <c r="D217" s="28" t="inlineStr"/>
      <c r="E217" s="28" t="inlineStr">
        <is>
          <t>No</t>
        </is>
      </c>
      <c r="F217" s="28" t="inlineStr">
        <is>
          <t>Proposal</t>
        </is>
      </c>
      <c r="G217" s="38" t="n"/>
      <c r="H217" s="43" t="n">
        <v>0.5</v>
      </c>
      <c r="I217" s="39" t="n"/>
      <c r="J217" s="39" t="n"/>
      <c r="K217" s="31" t="n"/>
      <c r="L217" s="31" t="n"/>
      <c r="M217" s="31" t="n"/>
      <c r="N217" s="31" t="n"/>
      <c r="O217" s="31" t="n"/>
      <c r="P217" s="31" t="n"/>
      <c r="Q217" s="23">
        <f>IF($A217="","",COUNTIFS(Assignments!$C$2:$C$769,$A217,Assignments!$G$2:$G$769,"Active"))</f>
        <v/>
      </c>
      <c r="R217" s="32">
        <f>IF($A217="","",SUMIFS(Assignments!$I$2:$I$769,Assignments!$C$2:$C$769,$A217,Assignments!$G$2:$G$769,"Active"))</f>
        <v/>
      </c>
      <c r="S217" s="20" t="inlineStr">
        <is>
          <t>Summary tab only (Proposal)</t>
        </is>
      </c>
      <c r="T217" s="31" t="n"/>
      <c r="U217" s="38" t="n"/>
      <c r="V217" s="34">
        <f>IF($U217="","",IFERROR(INDEX(Templates!$K$3:$K$10,MATCH($U217,Templates!$A$3:$A$10,0)),""))</f>
        <v/>
      </c>
      <c r="W217" s="34">
        <f>IF($U217="","",IFERROR(INDEX(Templates!$L$3:$L$10,MATCH($U217,Templates!$A$3:$A$10,0)),""))</f>
        <v/>
      </c>
      <c r="X217" s="21">
        <f>IF($U217="","",IFERROR(INDEX(Templates!$J$3:$J$10,MATCH($U217,Templates!$A$3:$A$10,0)),""))</f>
        <v/>
      </c>
      <c r="Y217" s="35">
        <f>IF(OR($U217="",$I217="",$J217="",$X217=""),"",$I217+$X217*($J217-$I217))</f>
        <v/>
      </c>
      <c r="Z217" s="30" t="n">
        <v>46212</v>
      </c>
      <c r="AA217" s="40" t="n"/>
      <c r="AB217" s="41" t="n"/>
      <c r="AC217" s="41" t="n"/>
      <c r="AD217" s="19">
        <f>IF($A217="","",IF($AA217="",$H217,$AA217))</f>
        <v/>
      </c>
      <c r="AE217" s="35">
        <f>IF($A217="","",IF($AB217="",$I217,$AB217))</f>
        <v/>
      </c>
      <c r="AF217" s="35">
        <f>IF($A217="","",IF($AC217="",$J217,$AC217))</f>
        <v/>
      </c>
      <c r="AG217" s="35">
        <f>IF(OR($U217="",$AE217="",$AF217="",$X217=""),"",$AE217+$X217*($AF217-$AE217))</f>
        <v/>
      </c>
      <c r="AH217" s="38" t="n"/>
      <c r="AI217" s="38" t="n"/>
      <c r="AJ217" s="38" t="n"/>
      <c r="AK217" s="38" t="n"/>
      <c r="AL217" s="38" t="n"/>
      <c r="AM217" s="38" t="n"/>
      <c r="AN217" s="38" t="n"/>
      <c r="AO217" s="38" t="n"/>
      <c r="AP217" s="38" t="n"/>
      <c r="AQ217" s="38" t="n"/>
      <c r="AR217" s="38" t="n"/>
      <c r="AS217" s="38" t="n"/>
      <c r="AT217" s="38" t="n"/>
      <c r="AU217" s="38" t="n"/>
      <c r="AV217" s="38" t="n"/>
      <c r="AW217" s="38" t="n"/>
      <c r="AX217" s="38" t="n"/>
      <c r="AY217" s="42" t="n"/>
      <c r="AZ217" s="42" t="n"/>
      <c r="BA217" s="42" t="n"/>
      <c r="BB217" s="42" t="n"/>
      <c r="BC217" s="42" t="n"/>
      <c r="BD217" s="37">
        <f>IF($A217="","",SUM($AY217:$BC217))</f>
        <v/>
      </c>
      <c r="BE217" s="18">
        <f>IF($A217="","",IF(AND($I217&lt;&gt;"",$J217&lt;&gt;""),MAX(1,($J217-$I217)/7),Templates!$B$35))</f>
        <v/>
      </c>
      <c r="BF217" s="18">
        <f>IF($A217="","",IF(AND($I217&lt;&gt;"",$J217&lt;&gt;""),MAX(1,($J217-$I217)/7),Templates!$B$36))</f>
        <v/>
      </c>
      <c r="BG217" s="18">
        <f>IF($A217="","",IF(AND($I217&lt;&gt;"",$J217&lt;&gt;""),MAX(1,($J217-$I217)/7),Templates!$B$37))</f>
        <v/>
      </c>
      <c r="BH217" s="18">
        <f>IF($A217="","",IF(AND($I217&lt;&gt;"",$J217&lt;&gt;""),MAX(1,($J217-$I217)/7),Templates!$B$38))</f>
        <v/>
      </c>
      <c r="BI217" s="18">
        <f>IF($A217="","",IF(AND($I217&lt;&gt;"",$J217&lt;&gt;""),MAX(1,($J217-$I217)/7),Templates!$B$39))</f>
        <v/>
      </c>
      <c r="BJ217" s="18">
        <f>IF(OR($A217="",$BD217=0),0,($AY217*Templates!$B$27/$BE217+$AZ217*Templates!$B$28/$BF217+$BA217*Templates!$B$29/$BG217+$BB217*Templates!$B$30/$BH217+$BC217*Templates!$B$31/$BI217)/Templates!$B$17)</f>
        <v/>
      </c>
      <c r="BK217" s="18">
        <f>IF(OR($A217="",$BD217=0),0,($AY217*Templates!$C$27/$BE217+$AZ217*Templates!$C$28/$BF217+$BA217*Templates!$C$29/$BG217+$BB217*Templates!$C$30/$BH217+$BC217*Templates!$C$31/$BI217)/Templates!$B$18)</f>
        <v/>
      </c>
      <c r="BL217" s="18">
        <f>IF(OR($A217="",$BD217=0),0,($AY217*Templates!$D$27/$BE217+$AZ217*Templates!$D$28/$BF217+$BA217*Templates!$D$29/$BG217+$BB217*Templates!$D$30/$BH217+$BC217*Templates!$D$31/$BI217)/Templates!$B$19)</f>
        <v/>
      </c>
      <c r="BM217" s="18">
        <f>IF(OR($A217="",$BD217=0),0,($AY217*Templates!$E$27/$BE217+$AZ217*Templates!$E$28/$BF217+$BA217*Templates!$E$29/$BG217+$BB217*Templates!$E$30/$BH217+$BC217*Templates!$E$31/$BI217)/Templates!$B$20)</f>
        <v/>
      </c>
      <c r="BN217" s="18">
        <f>IF(OR($A217="",$BD217=0),0,($AY217*Templates!$F$27/$BE217+$AZ217*Templates!$F$28/$BF217+$BA217*Templates!$F$29/$BG217+$BB217*Templates!$F$30/$BH217+$BC217*Templates!$F$31/$BI217)/Templates!$B$21)</f>
        <v/>
      </c>
      <c r="BO217" s="18">
        <f>IF(OR($A217="",$BD217=0),0,($AY217*Templates!$G$27/$BE217+$AZ217*Templates!$G$28/$BF217+$BA217*Templates!$G$29/$BG217+$BB217*Templates!$G$30/$BH217+$BC217*Templates!$G$31/$BI217)/Templates!$B$22)</f>
        <v/>
      </c>
      <c r="BP217" s="18">
        <f>IF(OR($A217="",$BD217=0),0,($AY217*Templates!$H$27/$BE217+$AZ217*Templates!$H$28/$BF217+$BA217*Templates!$H$29/$BG217+$BB217*Templates!$H$30/$BH217+$BC217*Templates!$H$31/$BI217)/Templates!$B$23)</f>
        <v/>
      </c>
    </row>
    <row r="218">
      <c r="A218" s="28" t="inlineStr">
        <is>
          <t>AZ BESS_1</t>
        </is>
      </c>
      <c r="B218" s="20" t="inlineStr">
        <is>
          <t>The Blackstone Group : Aypa Power : Coval Infrastructure DevCo Holdings LP</t>
        </is>
      </c>
      <c r="C218" s="28" t="inlineStr">
        <is>
          <t>The Blackstone Group</t>
        </is>
      </c>
      <c r="D218" s="28" t="inlineStr">
        <is>
          <t>Coval Infrastructure DevCo Holdings LP</t>
        </is>
      </c>
      <c r="E218" s="28" t="inlineStr">
        <is>
          <t>No</t>
        </is>
      </c>
      <c r="F218" s="28" t="inlineStr">
        <is>
          <t>Proposal</t>
        </is>
      </c>
      <c r="G218" s="38" t="n"/>
      <c r="H218" s="43" t="n">
        <v>0.5</v>
      </c>
      <c r="I218" s="39" t="n"/>
      <c r="J218" s="39" t="n"/>
      <c r="K218" s="31" t="n"/>
      <c r="L218" s="31" t="n"/>
      <c r="M218" s="31" t="n"/>
      <c r="N218" s="31" t="n"/>
      <c r="O218" s="31" t="n"/>
      <c r="P218" s="31" t="n"/>
      <c r="Q218" s="23">
        <f>IF($A218="","",COUNTIFS(Assignments!$C$2:$C$769,$A218,Assignments!$G$2:$G$769,"Active"))</f>
        <v/>
      </c>
      <c r="R218" s="32">
        <f>IF($A218="","",SUMIFS(Assignments!$I$2:$I$769,Assignments!$C$2:$C$769,$A218,Assignments!$G$2:$G$769,"Active"))</f>
        <v/>
      </c>
      <c r="S218" s="20" t="inlineStr">
        <is>
          <t>Proposal</t>
        </is>
      </c>
      <c r="T218" s="31" t="n"/>
      <c r="U218" s="38" t="n"/>
      <c r="V218" s="34">
        <f>IF($U218="","",IFERROR(INDEX(Templates!$K$3:$K$10,MATCH($U218,Templates!$A$3:$A$10,0)),""))</f>
        <v/>
      </c>
      <c r="W218" s="34">
        <f>IF($U218="","",IFERROR(INDEX(Templates!$L$3:$L$10,MATCH($U218,Templates!$A$3:$A$10,0)),""))</f>
        <v/>
      </c>
      <c r="X218" s="21">
        <f>IF($U218="","",IFERROR(INDEX(Templates!$J$3:$J$10,MATCH($U218,Templates!$A$3:$A$10,0)),""))</f>
        <v/>
      </c>
      <c r="Y218" s="35">
        <f>IF(OR($U218="",$I218="",$J218="",$X218=""),"",$I218+$X218*($J218-$I218))</f>
        <v/>
      </c>
      <c r="Z218" s="30" t="n">
        <v>46212</v>
      </c>
      <c r="AA218" s="40" t="n"/>
      <c r="AB218" s="41" t="n"/>
      <c r="AC218" s="41" t="n"/>
      <c r="AD218" s="19">
        <f>IF($A218="","",IF($AA218="",$H218,$AA218))</f>
        <v/>
      </c>
      <c r="AE218" s="35">
        <f>IF($A218="","",IF($AB218="",$I218,$AB218))</f>
        <v/>
      </c>
      <c r="AF218" s="35">
        <f>IF($A218="","",IF($AC218="",$J218,$AC218))</f>
        <v/>
      </c>
      <c r="AG218" s="35">
        <f>IF(OR($U218="",$AE218="",$AF218="",$X218=""),"",$AE218+$X218*($AF218-$AE218))</f>
        <v/>
      </c>
      <c r="AH218" s="38" t="n"/>
      <c r="AI218" s="38" t="n"/>
      <c r="AJ218" s="38" t="n"/>
      <c r="AK218" s="38" t="n"/>
      <c r="AL218" s="38" t="n"/>
      <c r="AM218" s="38" t="n"/>
      <c r="AN218" s="38" t="n"/>
      <c r="AO218" s="38" t="n"/>
      <c r="AP218" s="38" t="n"/>
      <c r="AQ218" s="38" t="n"/>
      <c r="AR218" s="38" t="n"/>
      <c r="AS218" s="38" t="n"/>
      <c r="AT218" s="38" t="n"/>
      <c r="AU218" s="38" t="n"/>
      <c r="AV218" s="38" t="n"/>
      <c r="AW218" s="38" t="n"/>
      <c r="AX218" s="38" t="n"/>
      <c r="AY218" s="42" t="n"/>
      <c r="AZ218" s="42" t="n"/>
      <c r="BA218" s="42" t="n"/>
      <c r="BB218" s="42" t="n"/>
      <c r="BC218" s="42" t="n"/>
      <c r="BD218" s="37">
        <f>IF($A218="","",SUM($AY218:$BC218))</f>
        <v/>
      </c>
      <c r="BE218" s="18">
        <f>IF($A218="","",IF(AND($I218&lt;&gt;"",$J218&lt;&gt;""),MAX(1,($J218-$I218)/7),Templates!$B$35))</f>
        <v/>
      </c>
      <c r="BF218" s="18">
        <f>IF($A218="","",IF(AND($I218&lt;&gt;"",$J218&lt;&gt;""),MAX(1,($J218-$I218)/7),Templates!$B$36))</f>
        <v/>
      </c>
      <c r="BG218" s="18">
        <f>IF($A218="","",IF(AND($I218&lt;&gt;"",$J218&lt;&gt;""),MAX(1,($J218-$I218)/7),Templates!$B$37))</f>
        <v/>
      </c>
      <c r="BH218" s="18">
        <f>IF($A218="","",IF(AND($I218&lt;&gt;"",$J218&lt;&gt;""),MAX(1,($J218-$I218)/7),Templates!$B$38))</f>
        <v/>
      </c>
      <c r="BI218" s="18">
        <f>IF($A218="","",IF(AND($I218&lt;&gt;"",$J218&lt;&gt;""),MAX(1,($J218-$I218)/7),Templates!$B$39))</f>
        <v/>
      </c>
      <c r="BJ218" s="18">
        <f>IF(OR($A218="",$BD218=0),0,($AY218*Templates!$B$27/$BE218+$AZ218*Templates!$B$28/$BF218+$BA218*Templates!$B$29/$BG218+$BB218*Templates!$B$30/$BH218+$BC218*Templates!$B$31/$BI218)/Templates!$B$17)</f>
        <v/>
      </c>
      <c r="BK218" s="18">
        <f>IF(OR($A218="",$BD218=0),0,($AY218*Templates!$C$27/$BE218+$AZ218*Templates!$C$28/$BF218+$BA218*Templates!$C$29/$BG218+$BB218*Templates!$C$30/$BH218+$BC218*Templates!$C$31/$BI218)/Templates!$B$18)</f>
        <v/>
      </c>
      <c r="BL218" s="18">
        <f>IF(OR($A218="",$BD218=0),0,($AY218*Templates!$D$27/$BE218+$AZ218*Templates!$D$28/$BF218+$BA218*Templates!$D$29/$BG218+$BB218*Templates!$D$30/$BH218+$BC218*Templates!$D$31/$BI218)/Templates!$B$19)</f>
        <v/>
      </c>
      <c r="BM218" s="18">
        <f>IF(OR($A218="",$BD218=0),0,($AY218*Templates!$E$27/$BE218+$AZ218*Templates!$E$28/$BF218+$BA218*Templates!$E$29/$BG218+$BB218*Templates!$E$30/$BH218+$BC218*Templates!$E$31/$BI218)/Templates!$B$20)</f>
        <v/>
      </c>
      <c r="BN218" s="18">
        <f>IF(OR($A218="",$BD218=0),0,($AY218*Templates!$F$27/$BE218+$AZ218*Templates!$F$28/$BF218+$BA218*Templates!$F$29/$BG218+$BB218*Templates!$F$30/$BH218+$BC218*Templates!$F$31/$BI218)/Templates!$B$21)</f>
        <v/>
      </c>
      <c r="BO218" s="18">
        <f>IF(OR($A218="",$BD218=0),0,($AY218*Templates!$G$27/$BE218+$AZ218*Templates!$G$28/$BF218+$BA218*Templates!$G$29/$BG218+$BB218*Templates!$G$30/$BH218+$BC218*Templates!$G$31/$BI218)/Templates!$B$22)</f>
        <v/>
      </c>
      <c r="BP218" s="18">
        <f>IF(OR($A218="",$BD218=0),0,($AY218*Templates!$H$27/$BE218+$AZ218*Templates!$H$28/$BF218+$BA218*Templates!$H$29/$BG218+$BB218*Templates!$H$30/$BH218+$BC218*Templates!$H$31/$BI218)/Templates!$B$23)</f>
        <v/>
      </c>
    </row>
    <row r="219">
      <c r="A219" s="28" t="inlineStr">
        <is>
          <t>Battery_2</t>
        </is>
      </c>
      <c r="B219" s="20" t="inlineStr">
        <is>
          <t>Manulife : John Hancock</t>
        </is>
      </c>
      <c r="C219" s="28" t="inlineStr">
        <is>
          <t>Manulife</t>
        </is>
      </c>
      <c r="D219" s="28" t="inlineStr">
        <is>
          <t>John Hancock</t>
        </is>
      </c>
      <c r="E219" s="28" t="inlineStr">
        <is>
          <t>No</t>
        </is>
      </c>
      <c r="F219" s="28" t="inlineStr">
        <is>
          <t>Proposal</t>
        </is>
      </c>
      <c r="G219" s="38" t="n"/>
      <c r="H219" s="43" t="n">
        <v>0.5</v>
      </c>
      <c r="I219" s="39" t="n"/>
      <c r="J219" s="39" t="n"/>
      <c r="K219" s="31" t="n"/>
      <c r="L219" s="31" t="n"/>
      <c r="M219" s="31" t="n"/>
      <c r="N219" s="31" t="n"/>
      <c r="O219" s="31" t="n"/>
      <c r="P219" s="31" t="n"/>
      <c r="Q219" s="23">
        <f>IF($A219="","",COUNTIFS(Assignments!$C$2:$C$769,$A219,Assignments!$G$2:$G$769,"Active"))</f>
        <v/>
      </c>
      <c r="R219" s="32">
        <f>IF($A219="","",SUMIFS(Assignments!$I$2:$I$769,Assignments!$C$2:$C$769,$A219,Assignments!$G$2:$G$769,"Active"))</f>
        <v/>
      </c>
      <c r="S219" s="20" t="inlineStr">
        <is>
          <t>Proposal</t>
        </is>
      </c>
      <c r="T219" s="31" t="n"/>
      <c r="U219" s="38" t="n"/>
      <c r="V219" s="34">
        <f>IF($U219="","",IFERROR(INDEX(Templates!$K$3:$K$10,MATCH($U219,Templates!$A$3:$A$10,0)),""))</f>
        <v/>
      </c>
      <c r="W219" s="34">
        <f>IF($U219="","",IFERROR(INDEX(Templates!$L$3:$L$10,MATCH($U219,Templates!$A$3:$A$10,0)),""))</f>
        <v/>
      </c>
      <c r="X219" s="21">
        <f>IF($U219="","",IFERROR(INDEX(Templates!$J$3:$J$10,MATCH($U219,Templates!$A$3:$A$10,0)),""))</f>
        <v/>
      </c>
      <c r="Y219" s="35">
        <f>IF(OR($U219="",$I219="",$J219="",$X219=""),"",$I219+$X219*($J219-$I219))</f>
        <v/>
      </c>
      <c r="Z219" s="30" t="n">
        <v>46212</v>
      </c>
      <c r="AA219" s="40" t="n"/>
      <c r="AB219" s="41" t="n"/>
      <c r="AC219" s="41" t="n"/>
      <c r="AD219" s="19">
        <f>IF($A219="","",IF($AA219="",$H219,$AA219))</f>
        <v/>
      </c>
      <c r="AE219" s="35">
        <f>IF($A219="","",IF($AB219="",$I219,$AB219))</f>
        <v/>
      </c>
      <c r="AF219" s="35">
        <f>IF($A219="","",IF($AC219="",$J219,$AC219))</f>
        <v/>
      </c>
      <c r="AG219" s="35">
        <f>IF(OR($U219="",$AE219="",$AF219="",$X219=""),"",$AE219+$X219*($AF219-$AE219))</f>
        <v/>
      </c>
      <c r="AH219" s="38" t="n"/>
      <c r="AI219" s="38" t="n"/>
      <c r="AJ219" s="38" t="n"/>
      <c r="AK219" s="38" t="n"/>
      <c r="AL219" s="38" t="n"/>
      <c r="AM219" s="38" t="n"/>
      <c r="AN219" s="38" t="n"/>
      <c r="AO219" s="38" t="n"/>
      <c r="AP219" s="38" t="n"/>
      <c r="AQ219" s="38" t="n"/>
      <c r="AR219" s="38" t="n"/>
      <c r="AS219" s="38" t="n"/>
      <c r="AT219" s="38" t="n"/>
      <c r="AU219" s="38" t="n"/>
      <c r="AV219" s="38" t="n"/>
      <c r="AW219" s="38" t="n"/>
      <c r="AX219" s="38" t="n"/>
      <c r="AY219" s="42" t="n"/>
      <c r="AZ219" s="42" t="n"/>
      <c r="BA219" s="42" t="n"/>
      <c r="BB219" s="42" t="n"/>
      <c r="BC219" s="42" t="n"/>
      <c r="BD219" s="37">
        <f>IF($A219="","",SUM($AY219:$BC219))</f>
        <v/>
      </c>
      <c r="BE219" s="18">
        <f>IF($A219="","",IF(AND($I219&lt;&gt;"",$J219&lt;&gt;""),MAX(1,($J219-$I219)/7),Templates!$B$35))</f>
        <v/>
      </c>
      <c r="BF219" s="18">
        <f>IF($A219="","",IF(AND($I219&lt;&gt;"",$J219&lt;&gt;""),MAX(1,($J219-$I219)/7),Templates!$B$36))</f>
        <v/>
      </c>
      <c r="BG219" s="18">
        <f>IF($A219="","",IF(AND($I219&lt;&gt;"",$J219&lt;&gt;""),MAX(1,($J219-$I219)/7),Templates!$B$37))</f>
        <v/>
      </c>
      <c r="BH219" s="18">
        <f>IF($A219="","",IF(AND($I219&lt;&gt;"",$J219&lt;&gt;""),MAX(1,($J219-$I219)/7),Templates!$B$38))</f>
        <v/>
      </c>
      <c r="BI219" s="18">
        <f>IF($A219="","",IF(AND($I219&lt;&gt;"",$J219&lt;&gt;""),MAX(1,($J219-$I219)/7),Templates!$B$39))</f>
        <v/>
      </c>
      <c r="BJ219" s="18">
        <f>IF(OR($A219="",$BD219=0),0,($AY219*Templates!$B$27/$BE219+$AZ219*Templates!$B$28/$BF219+$BA219*Templates!$B$29/$BG219+$BB219*Templates!$B$30/$BH219+$BC219*Templates!$B$31/$BI219)/Templates!$B$17)</f>
        <v/>
      </c>
      <c r="BK219" s="18">
        <f>IF(OR($A219="",$BD219=0),0,($AY219*Templates!$C$27/$BE219+$AZ219*Templates!$C$28/$BF219+$BA219*Templates!$C$29/$BG219+$BB219*Templates!$C$30/$BH219+$BC219*Templates!$C$31/$BI219)/Templates!$B$18)</f>
        <v/>
      </c>
      <c r="BL219" s="18">
        <f>IF(OR($A219="",$BD219=0),0,($AY219*Templates!$D$27/$BE219+$AZ219*Templates!$D$28/$BF219+$BA219*Templates!$D$29/$BG219+$BB219*Templates!$D$30/$BH219+$BC219*Templates!$D$31/$BI219)/Templates!$B$19)</f>
        <v/>
      </c>
      <c r="BM219" s="18">
        <f>IF(OR($A219="",$BD219=0),0,($AY219*Templates!$E$27/$BE219+$AZ219*Templates!$E$28/$BF219+$BA219*Templates!$E$29/$BG219+$BB219*Templates!$E$30/$BH219+$BC219*Templates!$E$31/$BI219)/Templates!$B$20)</f>
        <v/>
      </c>
      <c r="BN219" s="18">
        <f>IF(OR($A219="",$BD219=0),0,($AY219*Templates!$F$27/$BE219+$AZ219*Templates!$F$28/$BF219+$BA219*Templates!$F$29/$BG219+$BB219*Templates!$F$30/$BH219+$BC219*Templates!$F$31/$BI219)/Templates!$B$21)</f>
        <v/>
      </c>
      <c r="BO219" s="18">
        <f>IF(OR($A219="",$BD219=0),0,($AY219*Templates!$G$27/$BE219+$AZ219*Templates!$G$28/$BF219+$BA219*Templates!$G$29/$BG219+$BB219*Templates!$G$30/$BH219+$BC219*Templates!$G$31/$BI219)/Templates!$B$22)</f>
        <v/>
      </c>
      <c r="BP219" s="18">
        <f>IF(OR($A219="",$BD219=0),0,($AY219*Templates!$H$27/$BE219+$AZ219*Templates!$H$28/$BF219+$BA219*Templates!$H$29/$BG219+$BB219*Templates!$H$30/$BH219+$BC219*Templates!$H$31/$BI219)/Templates!$B$23)</f>
        <v/>
      </c>
    </row>
    <row r="220">
      <c r="A220" s="28" t="inlineStr">
        <is>
          <t>Beauty_3</t>
        </is>
      </c>
      <c r="B220" s="20" t="inlineStr">
        <is>
          <t>Eight Advisory (Referral Source)</t>
        </is>
      </c>
      <c r="C220" s="28" t="inlineStr">
        <is>
          <t>Eight Advisory</t>
        </is>
      </c>
      <c r="D220" s="28" t="inlineStr"/>
      <c r="E220" s="28" t="inlineStr">
        <is>
          <t>Yes</t>
        </is>
      </c>
      <c r="F220" s="28" t="inlineStr">
        <is>
          <t>Proposal</t>
        </is>
      </c>
      <c r="G220" s="38" t="n"/>
      <c r="H220" s="43" t="n">
        <v>0.5</v>
      </c>
      <c r="I220" s="39" t="n"/>
      <c r="J220" s="39" t="n"/>
      <c r="K220" s="31" t="n"/>
      <c r="L220" s="31" t="n"/>
      <c r="M220" s="31" t="n"/>
      <c r="N220" s="31" t="n"/>
      <c r="O220" s="31" t="n"/>
      <c r="P220" s="31" t="n"/>
      <c r="Q220" s="23">
        <f>IF($A220="","",COUNTIFS(Assignments!$C$2:$C$769,$A220,Assignments!$G$2:$G$769,"Active"))</f>
        <v/>
      </c>
      <c r="R220" s="32">
        <f>IF($A220="","",SUMIFS(Assignments!$I$2:$I$769,Assignments!$C$2:$C$769,$A220,Assignments!$G$2:$G$769,"Active"))</f>
        <v/>
      </c>
      <c r="S220" s="20" t="inlineStr">
        <is>
          <t>Proposal</t>
        </is>
      </c>
      <c r="T220" s="31" t="n"/>
      <c r="U220" s="38" t="n"/>
      <c r="V220" s="34">
        <f>IF($U220="","",IFERROR(INDEX(Templates!$K$3:$K$10,MATCH($U220,Templates!$A$3:$A$10,0)),""))</f>
        <v/>
      </c>
      <c r="W220" s="34">
        <f>IF($U220="","",IFERROR(INDEX(Templates!$L$3:$L$10,MATCH($U220,Templates!$A$3:$A$10,0)),""))</f>
        <v/>
      </c>
      <c r="X220" s="21">
        <f>IF($U220="","",IFERROR(INDEX(Templates!$J$3:$J$10,MATCH($U220,Templates!$A$3:$A$10,0)),""))</f>
        <v/>
      </c>
      <c r="Y220" s="35">
        <f>IF(OR($U220="",$I220="",$J220="",$X220=""),"",$I220+$X220*($J220-$I220))</f>
        <v/>
      </c>
      <c r="Z220" s="30" t="n">
        <v>46212</v>
      </c>
      <c r="AA220" s="40" t="n"/>
      <c r="AB220" s="41" t="n"/>
      <c r="AC220" s="41" t="n"/>
      <c r="AD220" s="19">
        <f>IF($A220="","",IF($AA220="",$H220,$AA220))</f>
        <v/>
      </c>
      <c r="AE220" s="35">
        <f>IF($A220="","",IF($AB220="",$I220,$AB220))</f>
        <v/>
      </c>
      <c r="AF220" s="35">
        <f>IF($A220="","",IF($AC220="",$J220,$AC220))</f>
        <v/>
      </c>
      <c r="AG220" s="35">
        <f>IF(OR($U220="",$AE220="",$AF220="",$X220=""),"",$AE220+$X220*($AF220-$AE220))</f>
        <v/>
      </c>
      <c r="AH220" s="38" t="n"/>
      <c r="AI220" s="38" t="n"/>
      <c r="AJ220" s="38" t="n"/>
      <c r="AK220" s="38" t="n"/>
      <c r="AL220" s="38" t="n"/>
      <c r="AM220" s="38" t="n"/>
      <c r="AN220" s="38" t="n"/>
      <c r="AO220" s="38" t="n"/>
      <c r="AP220" s="38" t="n"/>
      <c r="AQ220" s="38" t="n"/>
      <c r="AR220" s="38" t="n"/>
      <c r="AS220" s="38" t="n"/>
      <c r="AT220" s="38" t="n"/>
      <c r="AU220" s="38" t="n"/>
      <c r="AV220" s="38" t="n"/>
      <c r="AW220" s="38" t="n"/>
      <c r="AX220" s="38" t="n"/>
      <c r="AY220" s="42" t="n"/>
      <c r="AZ220" s="42" t="n"/>
      <c r="BA220" s="42" t="n"/>
      <c r="BB220" s="42" t="n"/>
      <c r="BC220" s="42" t="n"/>
      <c r="BD220" s="37">
        <f>IF($A220="","",SUM($AY220:$BC220))</f>
        <v/>
      </c>
      <c r="BE220" s="18">
        <f>IF($A220="","",IF(AND($I220&lt;&gt;"",$J220&lt;&gt;""),MAX(1,($J220-$I220)/7),Templates!$B$35))</f>
        <v/>
      </c>
      <c r="BF220" s="18">
        <f>IF($A220="","",IF(AND($I220&lt;&gt;"",$J220&lt;&gt;""),MAX(1,($J220-$I220)/7),Templates!$B$36))</f>
        <v/>
      </c>
      <c r="BG220" s="18">
        <f>IF($A220="","",IF(AND($I220&lt;&gt;"",$J220&lt;&gt;""),MAX(1,($J220-$I220)/7),Templates!$B$37))</f>
        <v/>
      </c>
      <c r="BH220" s="18">
        <f>IF($A220="","",IF(AND($I220&lt;&gt;"",$J220&lt;&gt;""),MAX(1,($J220-$I220)/7),Templates!$B$38))</f>
        <v/>
      </c>
      <c r="BI220" s="18">
        <f>IF($A220="","",IF(AND($I220&lt;&gt;"",$J220&lt;&gt;""),MAX(1,($J220-$I220)/7),Templates!$B$39))</f>
        <v/>
      </c>
      <c r="BJ220" s="18">
        <f>IF(OR($A220="",$BD220=0),0,($AY220*Templates!$B$27/$BE220+$AZ220*Templates!$B$28/$BF220+$BA220*Templates!$B$29/$BG220+$BB220*Templates!$B$30/$BH220+$BC220*Templates!$B$31/$BI220)/Templates!$B$17)</f>
        <v/>
      </c>
      <c r="BK220" s="18">
        <f>IF(OR($A220="",$BD220=0),0,($AY220*Templates!$C$27/$BE220+$AZ220*Templates!$C$28/$BF220+$BA220*Templates!$C$29/$BG220+$BB220*Templates!$C$30/$BH220+$BC220*Templates!$C$31/$BI220)/Templates!$B$18)</f>
        <v/>
      </c>
      <c r="BL220" s="18">
        <f>IF(OR($A220="",$BD220=0),0,($AY220*Templates!$D$27/$BE220+$AZ220*Templates!$D$28/$BF220+$BA220*Templates!$D$29/$BG220+$BB220*Templates!$D$30/$BH220+$BC220*Templates!$D$31/$BI220)/Templates!$B$19)</f>
        <v/>
      </c>
      <c r="BM220" s="18">
        <f>IF(OR($A220="",$BD220=0),0,($AY220*Templates!$E$27/$BE220+$AZ220*Templates!$E$28/$BF220+$BA220*Templates!$E$29/$BG220+$BB220*Templates!$E$30/$BH220+$BC220*Templates!$E$31/$BI220)/Templates!$B$20)</f>
        <v/>
      </c>
      <c r="BN220" s="18">
        <f>IF(OR($A220="",$BD220=0),0,($AY220*Templates!$F$27/$BE220+$AZ220*Templates!$F$28/$BF220+$BA220*Templates!$F$29/$BG220+$BB220*Templates!$F$30/$BH220+$BC220*Templates!$F$31/$BI220)/Templates!$B$21)</f>
        <v/>
      </c>
      <c r="BO220" s="18">
        <f>IF(OR($A220="",$BD220=0),0,($AY220*Templates!$G$27/$BE220+$AZ220*Templates!$G$28/$BF220+$BA220*Templates!$G$29/$BG220+$BB220*Templates!$G$30/$BH220+$BC220*Templates!$G$31/$BI220)/Templates!$B$22)</f>
        <v/>
      </c>
      <c r="BP220" s="18">
        <f>IF(OR($A220="",$BD220=0),0,($AY220*Templates!$H$27/$BE220+$AZ220*Templates!$H$28/$BF220+$BA220*Templates!$H$29/$BG220+$BB220*Templates!$H$30/$BH220+$BC220*Templates!$H$31/$BI220)/Templates!$B$23)</f>
        <v/>
      </c>
    </row>
    <row r="221">
      <c r="A221" s="28" t="inlineStr">
        <is>
          <t>Biochar_1</t>
        </is>
      </c>
      <c r="B221" s="20" t="inlineStr">
        <is>
          <t>Sands Point Risk</t>
        </is>
      </c>
      <c r="C221" s="28" t="inlineStr">
        <is>
          <t>Sands Point Risk</t>
        </is>
      </c>
      <c r="D221" s="28" t="inlineStr"/>
      <c r="E221" s="28" t="inlineStr">
        <is>
          <t>No</t>
        </is>
      </c>
      <c r="F221" s="28" t="inlineStr">
        <is>
          <t>Proposal</t>
        </is>
      </c>
      <c r="G221" s="38" t="n"/>
      <c r="H221" s="43" t="n">
        <v>0.5</v>
      </c>
      <c r="I221" s="39" t="n"/>
      <c r="J221" s="39" t="n"/>
      <c r="K221" s="31" t="n"/>
      <c r="L221" s="31" t="n"/>
      <c r="M221" s="31" t="n"/>
      <c r="N221" s="31" t="n"/>
      <c r="O221" s="31" t="n"/>
      <c r="P221" s="31" t="n"/>
      <c r="Q221" s="23">
        <f>IF($A221="","",COUNTIFS(Assignments!$C$2:$C$769,$A221,Assignments!$G$2:$G$769,"Active"))</f>
        <v/>
      </c>
      <c r="R221" s="32">
        <f>IF($A221="","",SUMIFS(Assignments!$I$2:$I$769,Assignments!$C$2:$C$769,$A221,Assignments!$G$2:$G$769,"Active"))</f>
        <v/>
      </c>
      <c r="S221" s="20" t="inlineStr">
        <is>
          <t>Proposal</t>
        </is>
      </c>
      <c r="T221" s="31" t="n"/>
      <c r="U221" s="38" t="n"/>
      <c r="V221" s="34">
        <f>IF($U221="","",IFERROR(INDEX(Templates!$K$3:$K$10,MATCH($U221,Templates!$A$3:$A$10,0)),""))</f>
        <v/>
      </c>
      <c r="W221" s="34">
        <f>IF($U221="","",IFERROR(INDEX(Templates!$L$3:$L$10,MATCH($U221,Templates!$A$3:$A$10,0)),""))</f>
        <v/>
      </c>
      <c r="X221" s="21">
        <f>IF($U221="","",IFERROR(INDEX(Templates!$J$3:$J$10,MATCH($U221,Templates!$A$3:$A$10,0)),""))</f>
        <v/>
      </c>
      <c r="Y221" s="35">
        <f>IF(OR($U221="",$I221="",$J221="",$X221=""),"",$I221+$X221*($J221-$I221))</f>
        <v/>
      </c>
      <c r="Z221" s="30" t="n">
        <v>46212</v>
      </c>
      <c r="AA221" s="40" t="n"/>
      <c r="AB221" s="41" t="n"/>
      <c r="AC221" s="41" t="n"/>
      <c r="AD221" s="19">
        <f>IF($A221="","",IF($AA221="",$H221,$AA221))</f>
        <v/>
      </c>
      <c r="AE221" s="35">
        <f>IF($A221="","",IF($AB221="",$I221,$AB221))</f>
        <v/>
      </c>
      <c r="AF221" s="35">
        <f>IF($A221="","",IF($AC221="",$J221,$AC221))</f>
        <v/>
      </c>
      <c r="AG221" s="35">
        <f>IF(OR($U221="",$AE221="",$AF221="",$X221=""),"",$AE221+$X221*($AF221-$AE221))</f>
        <v/>
      </c>
      <c r="AH221" s="38" t="n"/>
      <c r="AI221" s="38" t="n"/>
      <c r="AJ221" s="38" t="n"/>
      <c r="AK221" s="38" t="n"/>
      <c r="AL221" s="38" t="n"/>
      <c r="AM221" s="38" t="n"/>
      <c r="AN221" s="38" t="n"/>
      <c r="AO221" s="38" t="n"/>
      <c r="AP221" s="38" t="n"/>
      <c r="AQ221" s="38" t="n"/>
      <c r="AR221" s="38" t="n"/>
      <c r="AS221" s="38" t="n"/>
      <c r="AT221" s="38" t="n"/>
      <c r="AU221" s="38" t="n"/>
      <c r="AV221" s="38" t="n"/>
      <c r="AW221" s="38" t="n"/>
      <c r="AX221" s="38" t="n"/>
      <c r="AY221" s="42" t="n"/>
      <c r="AZ221" s="42" t="n"/>
      <c r="BA221" s="42" t="n"/>
      <c r="BB221" s="42" t="n"/>
      <c r="BC221" s="42" t="n"/>
      <c r="BD221" s="37">
        <f>IF($A221="","",SUM($AY221:$BC221))</f>
        <v/>
      </c>
      <c r="BE221" s="18">
        <f>IF($A221="","",IF(AND($I221&lt;&gt;"",$J221&lt;&gt;""),MAX(1,($J221-$I221)/7),Templates!$B$35))</f>
        <v/>
      </c>
      <c r="BF221" s="18">
        <f>IF($A221="","",IF(AND($I221&lt;&gt;"",$J221&lt;&gt;""),MAX(1,($J221-$I221)/7),Templates!$B$36))</f>
        <v/>
      </c>
      <c r="BG221" s="18">
        <f>IF($A221="","",IF(AND($I221&lt;&gt;"",$J221&lt;&gt;""),MAX(1,($J221-$I221)/7),Templates!$B$37))</f>
        <v/>
      </c>
      <c r="BH221" s="18">
        <f>IF($A221="","",IF(AND($I221&lt;&gt;"",$J221&lt;&gt;""),MAX(1,($J221-$I221)/7),Templates!$B$38))</f>
        <v/>
      </c>
      <c r="BI221" s="18">
        <f>IF($A221="","",IF(AND($I221&lt;&gt;"",$J221&lt;&gt;""),MAX(1,($J221-$I221)/7),Templates!$B$39))</f>
        <v/>
      </c>
      <c r="BJ221" s="18">
        <f>IF(OR($A221="",$BD221=0),0,($AY221*Templates!$B$27/$BE221+$AZ221*Templates!$B$28/$BF221+$BA221*Templates!$B$29/$BG221+$BB221*Templates!$B$30/$BH221+$BC221*Templates!$B$31/$BI221)/Templates!$B$17)</f>
        <v/>
      </c>
      <c r="BK221" s="18">
        <f>IF(OR($A221="",$BD221=0),0,($AY221*Templates!$C$27/$BE221+$AZ221*Templates!$C$28/$BF221+$BA221*Templates!$C$29/$BG221+$BB221*Templates!$C$30/$BH221+$BC221*Templates!$C$31/$BI221)/Templates!$B$18)</f>
        <v/>
      </c>
      <c r="BL221" s="18">
        <f>IF(OR($A221="",$BD221=0),0,($AY221*Templates!$D$27/$BE221+$AZ221*Templates!$D$28/$BF221+$BA221*Templates!$D$29/$BG221+$BB221*Templates!$D$30/$BH221+$BC221*Templates!$D$31/$BI221)/Templates!$B$19)</f>
        <v/>
      </c>
      <c r="BM221" s="18">
        <f>IF(OR($A221="",$BD221=0),0,($AY221*Templates!$E$27/$BE221+$AZ221*Templates!$E$28/$BF221+$BA221*Templates!$E$29/$BG221+$BB221*Templates!$E$30/$BH221+$BC221*Templates!$E$31/$BI221)/Templates!$B$20)</f>
        <v/>
      </c>
      <c r="BN221" s="18">
        <f>IF(OR($A221="",$BD221=0),0,($AY221*Templates!$F$27/$BE221+$AZ221*Templates!$F$28/$BF221+$BA221*Templates!$F$29/$BG221+$BB221*Templates!$F$30/$BH221+$BC221*Templates!$F$31/$BI221)/Templates!$B$21)</f>
        <v/>
      </c>
      <c r="BO221" s="18">
        <f>IF(OR($A221="",$BD221=0),0,($AY221*Templates!$G$27/$BE221+$AZ221*Templates!$G$28/$BF221+$BA221*Templates!$G$29/$BG221+$BB221*Templates!$G$30/$BH221+$BC221*Templates!$G$31/$BI221)/Templates!$B$22)</f>
        <v/>
      </c>
      <c r="BP221" s="18">
        <f>IF(OR($A221="",$BD221=0),0,($AY221*Templates!$H$27/$BE221+$AZ221*Templates!$H$28/$BF221+$BA221*Templates!$H$29/$BG221+$BB221*Templates!$H$30/$BH221+$BC221*Templates!$H$31/$BI221)/Templates!$B$23)</f>
        <v/>
      </c>
    </row>
    <row r="222">
      <c r="A222" s="28" t="inlineStr">
        <is>
          <t>Broadway_1</t>
        </is>
      </c>
      <c r="B222" s="20" t="inlineStr">
        <is>
          <t>Manulife : John Hancock</t>
        </is>
      </c>
      <c r="C222" s="28" t="inlineStr">
        <is>
          <t>Manulife</t>
        </is>
      </c>
      <c r="D222" s="28" t="inlineStr">
        <is>
          <t>John Hancock</t>
        </is>
      </c>
      <c r="E222" s="28" t="inlineStr">
        <is>
          <t>No</t>
        </is>
      </c>
      <c r="F222" s="28" t="inlineStr">
        <is>
          <t>Proposal</t>
        </is>
      </c>
      <c r="G222" s="38" t="n"/>
      <c r="H222" s="43" t="n">
        <v>0.5</v>
      </c>
      <c r="I222" s="39" t="n"/>
      <c r="J222" s="39" t="n"/>
      <c r="K222" s="31" t="n"/>
      <c r="L222" s="31" t="n"/>
      <c r="M222" s="31" t="n"/>
      <c r="N222" s="31" t="n"/>
      <c r="O222" s="31" t="n"/>
      <c r="P222" s="31" t="n"/>
      <c r="Q222" s="23">
        <f>IF($A222="","",COUNTIFS(Assignments!$C$2:$C$769,$A222,Assignments!$G$2:$G$769,"Active"))</f>
        <v/>
      </c>
      <c r="R222" s="32">
        <f>IF($A222="","",SUMIFS(Assignments!$I$2:$I$769,Assignments!$C$2:$C$769,$A222,Assignments!$G$2:$G$769,"Active"))</f>
        <v/>
      </c>
      <c r="S222" s="20" t="inlineStr">
        <is>
          <t>Proposal</t>
        </is>
      </c>
      <c r="T222" s="31" t="n"/>
      <c r="U222" s="38" t="n"/>
      <c r="V222" s="34">
        <f>IF($U222="","",IFERROR(INDEX(Templates!$K$3:$K$10,MATCH($U222,Templates!$A$3:$A$10,0)),""))</f>
        <v/>
      </c>
      <c r="W222" s="34">
        <f>IF($U222="","",IFERROR(INDEX(Templates!$L$3:$L$10,MATCH($U222,Templates!$A$3:$A$10,0)),""))</f>
        <v/>
      </c>
      <c r="X222" s="21">
        <f>IF($U222="","",IFERROR(INDEX(Templates!$J$3:$J$10,MATCH($U222,Templates!$A$3:$A$10,0)),""))</f>
        <v/>
      </c>
      <c r="Y222" s="35">
        <f>IF(OR($U222="",$I222="",$J222="",$X222=""),"",$I222+$X222*($J222-$I222))</f>
        <v/>
      </c>
      <c r="Z222" s="30" t="n">
        <v>46212</v>
      </c>
      <c r="AA222" s="40" t="n"/>
      <c r="AB222" s="41" t="n"/>
      <c r="AC222" s="41" t="n"/>
      <c r="AD222" s="19">
        <f>IF($A222="","",IF($AA222="",$H222,$AA222))</f>
        <v/>
      </c>
      <c r="AE222" s="35">
        <f>IF($A222="","",IF($AB222="",$I222,$AB222))</f>
        <v/>
      </c>
      <c r="AF222" s="35">
        <f>IF($A222="","",IF($AC222="",$J222,$AC222))</f>
        <v/>
      </c>
      <c r="AG222" s="35">
        <f>IF(OR($U222="",$AE222="",$AF222="",$X222=""),"",$AE222+$X222*($AF222-$AE222))</f>
        <v/>
      </c>
      <c r="AH222" s="38" t="n"/>
      <c r="AI222" s="38" t="n"/>
      <c r="AJ222" s="38" t="n"/>
      <c r="AK222" s="38" t="n"/>
      <c r="AL222" s="38" t="n"/>
      <c r="AM222" s="38" t="n"/>
      <c r="AN222" s="38" t="n"/>
      <c r="AO222" s="38" t="n"/>
      <c r="AP222" s="38" t="n"/>
      <c r="AQ222" s="38" t="n"/>
      <c r="AR222" s="38" t="n"/>
      <c r="AS222" s="38" t="n"/>
      <c r="AT222" s="38" t="n"/>
      <c r="AU222" s="38" t="n"/>
      <c r="AV222" s="38" t="n"/>
      <c r="AW222" s="38" t="n"/>
      <c r="AX222" s="38" t="n"/>
      <c r="AY222" s="42" t="n"/>
      <c r="AZ222" s="42" t="n"/>
      <c r="BA222" s="42" t="n"/>
      <c r="BB222" s="42" t="n"/>
      <c r="BC222" s="42" t="n"/>
      <c r="BD222" s="37">
        <f>IF($A222="","",SUM($AY222:$BC222))</f>
        <v/>
      </c>
      <c r="BE222" s="18">
        <f>IF($A222="","",IF(AND($I222&lt;&gt;"",$J222&lt;&gt;""),MAX(1,($J222-$I222)/7),Templates!$B$35))</f>
        <v/>
      </c>
      <c r="BF222" s="18">
        <f>IF($A222="","",IF(AND($I222&lt;&gt;"",$J222&lt;&gt;""),MAX(1,($J222-$I222)/7),Templates!$B$36))</f>
        <v/>
      </c>
      <c r="BG222" s="18">
        <f>IF($A222="","",IF(AND($I222&lt;&gt;"",$J222&lt;&gt;""),MAX(1,($J222-$I222)/7),Templates!$B$37))</f>
        <v/>
      </c>
      <c r="BH222" s="18">
        <f>IF($A222="","",IF(AND($I222&lt;&gt;"",$J222&lt;&gt;""),MAX(1,($J222-$I222)/7),Templates!$B$38))</f>
        <v/>
      </c>
      <c r="BI222" s="18">
        <f>IF($A222="","",IF(AND($I222&lt;&gt;"",$J222&lt;&gt;""),MAX(1,($J222-$I222)/7),Templates!$B$39))</f>
        <v/>
      </c>
      <c r="BJ222" s="18">
        <f>IF(OR($A222="",$BD222=0),0,($AY222*Templates!$B$27/$BE222+$AZ222*Templates!$B$28/$BF222+$BA222*Templates!$B$29/$BG222+$BB222*Templates!$B$30/$BH222+$BC222*Templates!$B$31/$BI222)/Templates!$B$17)</f>
        <v/>
      </c>
      <c r="BK222" s="18">
        <f>IF(OR($A222="",$BD222=0),0,($AY222*Templates!$C$27/$BE222+$AZ222*Templates!$C$28/$BF222+$BA222*Templates!$C$29/$BG222+$BB222*Templates!$C$30/$BH222+$BC222*Templates!$C$31/$BI222)/Templates!$B$18)</f>
        <v/>
      </c>
      <c r="BL222" s="18">
        <f>IF(OR($A222="",$BD222=0),0,($AY222*Templates!$D$27/$BE222+$AZ222*Templates!$D$28/$BF222+$BA222*Templates!$D$29/$BG222+$BB222*Templates!$D$30/$BH222+$BC222*Templates!$D$31/$BI222)/Templates!$B$19)</f>
        <v/>
      </c>
      <c r="BM222" s="18">
        <f>IF(OR($A222="",$BD222=0),0,($AY222*Templates!$E$27/$BE222+$AZ222*Templates!$E$28/$BF222+$BA222*Templates!$E$29/$BG222+$BB222*Templates!$E$30/$BH222+$BC222*Templates!$E$31/$BI222)/Templates!$B$20)</f>
        <v/>
      </c>
      <c r="BN222" s="18">
        <f>IF(OR($A222="",$BD222=0),0,($AY222*Templates!$F$27/$BE222+$AZ222*Templates!$F$28/$BF222+$BA222*Templates!$F$29/$BG222+$BB222*Templates!$F$30/$BH222+$BC222*Templates!$F$31/$BI222)/Templates!$B$21)</f>
        <v/>
      </c>
      <c r="BO222" s="18">
        <f>IF(OR($A222="",$BD222=0),0,($AY222*Templates!$G$27/$BE222+$AZ222*Templates!$G$28/$BF222+$BA222*Templates!$G$29/$BG222+$BB222*Templates!$G$30/$BH222+$BC222*Templates!$G$31/$BI222)/Templates!$B$22)</f>
        <v/>
      </c>
      <c r="BP222" s="18">
        <f>IF(OR($A222="",$BD222=0),0,($AY222*Templates!$H$27/$BE222+$AZ222*Templates!$H$28/$BF222+$BA222*Templates!$H$29/$BG222+$BB222*Templates!$H$30/$BH222+$BC222*Templates!$H$31/$BI222)/Templates!$B$23)</f>
        <v/>
      </c>
    </row>
    <row r="223">
      <c r="A223" s="28" t="inlineStr">
        <is>
          <t>Cactus</t>
        </is>
      </c>
      <c r="B223" s="20" t="inlineStr">
        <is>
          <t>Morrison</t>
        </is>
      </c>
      <c r="C223" s="28" t="inlineStr">
        <is>
          <t>Morrison</t>
        </is>
      </c>
      <c r="D223" s="28" t="inlineStr"/>
      <c r="E223" s="28" t="inlineStr">
        <is>
          <t>No</t>
        </is>
      </c>
      <c r="F223" s="28" t="inlineStr">
        <is>
          <t>Proposal</t>
        </is>
      </c>
      <c r="G223" s="38" t="n"/>
      <c r="H223" s="43" t="n">
        <v>0.5</v>
      </c>
      <c r="I223" s="39" t="n"/>
      <c r="J223" s="39" t="n"/>
      <c r="K223" s="31" t="n"/>
      <c r="L223" s="31" t="n"/>
      <c r="M223" s="31" t="n"/>
      <c r="N223" s="31" t="n"/>
      <c r="O223" s="31" t="n"/>
      <c r="P223" s="31" t="n"/>
      <c r="Q223" s="23">
        <f>IF($A223="","",COUNTIFS(Assignments!$C$2:$C$769,$A223,Assignments!$G$2:$G$769,"Active"))</f>
        <v/>
      </c>
      <c r="R223" s="32">
        <f>IF($A223="","",SUMIFS(Assignments!$I$2:$I$769,Assignments!$C$2:$C$769,$A223,Assignments!$G$2:$G$769,"Active"))</f>
        <v/>
      </c>
      <c r="S223" s="20" t="inlineStr">
        <is>
          <t>Proposal</t>
        </is>
      </c>
      <c r="T223" s="31" t="n"/>
      <c r="U223" s="38" t="n"/>
      <c r="V223" s="34">
        <f>IF($U223="","",IFERROR(INDEX(Templates!$K$3:$K$10,MATCH($U223,Templates!$A$3:$A$10,0)),""))</f>
        <v/>
      </c>
      <c r="W223" s="34">
        <f>IF($U223="","",IFERROR(INDEX(Templates!$L$3:$L$10,MATCH($U223,Templates!$A$3:$A$10,0)),""))</f>
        <v/>
      </c>
      <c r="X223" s="21">
        <f>IF($U223="","",IFERROR(INDEX(Templates!$J$3:$J$10,MATCH($U223,Templates!$A$3:$A$10,0)),""))</f>
        <v/>
      </c>
      <c r="Y223" s="35">
        <f>IF(OR($U223="",$I223="",$J223="",$X223=""),"",$I223+$X223*($J223-$I223))</f>
        <v/>
      </c>
      <c r="Z223" s="30" t="n">
        <v>46212</v>
      </c>
      <c r="AA223" s="40" t="n"/>
      <c r="AB223" s="41" t="n"/>
      <c r="AC223" s="41" t="n"/>
      <c r="AD223" s="19">
        <f>IF($A223="","",IF($AA223="",$H223,$AA223))</f>
        <v/>
      </c>
      <c r="AE223" s="35">
        <f>IF($A223="","",IF($AB223="",$I223,$AB223))</f>
        <v/>
      </c>
      <c r="AF223" s="35">
        <f>IF($A223="","",IF($AC223="",$J223,$AC223))</f>
        <v/>
      </c>
      <c r="AG223" s="35">
        <f>IF(OR($U223="",$AE223="",$AF223="",$X223=""),"",$AE223+$X223*($AF223-$AE223))</f>
        <v/>
      </c>
      <c r="AH223" s="38" t="n"/>
      <c r="AI223" s="38" t="n"/>
      <c r="AJ223" s="38" t="n"/>
      <c r="AK223" s="38" t="n"/>
      <c r="AL223" s="38" t="n"/>
      <c r="AM223" s="38" t="n"/>
      <c r="AN223" s="38" t="n"/>
      <c r="AO223" s="38" t="n"/>
      <c r="AP223" s="38" t="n"/>
      <c r="AQ223" s="38" t="n"/>
      <c r="AR223" s="38" t="n"/>
      <c r="AS223" s="38" t="n"/>
      <c r="AT223" s="38" t="n"/>
      <c r="AU223" s="38" t="n"/>
      <c r="AV223" s="38" t="n"/>
      <c r="AW223" s="38" t="n"/>
      <c r="AX223" s="38" t="n"/>
      <c r="AY223" s="42" t="n"/>
      <c r="AZ223" s="42" t="n"/>
      <c r="BA223" s="42" t="n"/>
      <c r="BB223" s="42" t="n"/>
      <c r="BC223" s="42" t="n"/>
      <c r="BD223" s="37">
        <f>IF($A223="","",SUM($AY223:$BC223))</f>
        <v/>
      </c>
      <c r="BE223" s="18">
        <f>IF($A223="","",IF(AND($I223&lt;&gt;"",$J223&lt;&gt;""),MAX(1,($J223-$I223)/7),Templates!$B$35))</f>
        <v/>
      </c>
      <c r="BF223" s="18">
        <f>IF($A223="","",IF(AND($I223&lt;&gt;"",$J223&lt;&gt;""),MAX(1,($J223-$I223)/7),Templates!$B$36))</f>
        <v/>
      </c>
      <c r="BG223" s="18">
        <f>IF($A223="","",IF(AND($I223&lt;&gt;"",$J223&lt;&gt;""),MAX(1,($J223-$I223)/7),Templates!$B$37))</f>
        <v/>
      </c>
      <c r="BH223" s="18">
        <f>IF($A223="","",IF(AND($I223&lt;&gt;"",$J223&lt;&gt;""),MAX(1,($J223-$I223)/7),Templates!$B$38))</f>
        <v/>
      </c>
      <c r="BI223" s="18">
        <f>IF($A223="","",IF(AND($I223&lt;&gt;"",$J223&lt;&gt;""),MAX(1,($J223-$I223)/7),Templates!$B$39))</f>
        <v/>
      </c>
      <c r="BJ223" s="18">
        <f>IF(OR($A223="",$BD223=0),0,($AY223*Templates!$B$27/$BE223+$AZ223*Templates!$B$28/$BF223+$BA223*Templates!$B$29/$BG223+$BB223*Templates!$B$30/$BH223+$BC223*Templates!$B$31/$BI223)/Templates!$B$17)</f>
        <v/>
      </c>
      <c r="BK223" s="18">
        <f>IF(OR($A223="",$BD223=0),0,($AY223*Templates!$C$27/$BE223+$AZ223*Templates!$C$28/$BF223+$BA223*Templates!$C$29/$BG223+$BB223*Templates!$C$30/$BH223+$BC223*Templates!$C$31/$BI223)/Templates!$B$18)</f>
        <v/>
      </c>
      <c r="BL223" s="18">
        <f>IF(OR($A223="",$BD223=0),0,($AY223*Templates!$D$27/$BE223+$AZ223*Templates!$D$28/$BF223+$BA223*Templates!$D$29/$BG223+$BB223*Templates!$D$30/$BH223+$BC223*Templates!$D$31/$BI223)/Templates!$B$19)</f>
        <v/>
      </c>
      <c r="BM223" s="18">
        <f>IF(OR($A223="",$BD223=0),0,($AY223*Templates!$E$27/$BE223+$AZ223*Templates!$E$28/$BF223+$BA223*Templates!$E$29/$BG223+$BB223*Templates!$E$30/$BH223+$BC223*Templates!$E$31/$BI223)/Templates!$B$20)</f>
        <v/>
      </c>
      <c r="BN223" s="18">
        <f>IF(OR($A223="",$BD223=0),0,($AY223*Templates!$F$27/$BE223+$AZ223*Templates!$F$28/$BF223+$BA223*Templates!$F$29/$BG223+$BB223*Templates!$F$30/$BH223+$BC223*Templates!$F$31/$BI223)/Templates!$B$21)</f>
        <v/>
      </c>
      <c r="BO223" s="18">
        <f>IF(OR($A223="",$BD223=0),0,($AY223*Templates!$G$27/$BE223+$AZ223*Templates!$G$28/$BF223+$BA223*Templates!$G$29/$BG223+$BB223*Templates!$G$30/$BH223+$BC223*Templates!$G$31/$BI223)/Templates!$B$22)</f>
        <v/>
      </c>
      <c r="BP223" s="18">
        <f>IF(OR($A223="",$BD223=0),0,($AY223*Templates!$H$27/$BE223+$AZ223*Templates!$H$28/$BF223+$BA223*Templates!$H$29/$BG223+$BB223*Templates!$H$30/$BH223+$BC223*Templates!$H$31/$BI223)/Templates!$B$23)</f>
        <v/>
      </c>
    </row>
    <row r="224">
      <c r="A224" s="28" t="inlineStr">
        <is>
          <t>Calistoga_1</t>
        </is>
      </c>
      <c r="B224" s="20" t="inlineStr">
        <is>
          <t>Solertia MGA Ltd.</t>
        </is>
      </c>
      <c r="C224" s="28" t="inlineStr">
        <is>
          <t>Solertia MGA Ltd.</t>
        </is>
      </c>
      <c r="D224" s="28" t="inlineStr"/>
      <c r="E224" s="28" t="inlineStr">
        <is>
          <t>No</t>
        </is>
      </c>
      <c r="F224" s="28" t="inlineStr">
        <is>
          <t>Proposal</t>
        </is>
      </c>
      <c r="G224" s="38" t="n"/>
      <c r="H224" s="43" t="n">
        <v>0.5</v>
      </c>
      <c r="I224" s="39" t="n"/>
      <c r="J224" s="39" t="n"/>
      <c r="K224" s="31" t="n"/>
      <c r="L224" s="31" t="n"/>
      <c r="M224" s="31" t="n"/>
      <c r="N224" s="31" t="n"/>
      <c r="O224" s="31" t="n"/>
      <c r="P224" s="31" t="n"/>
      <c r="Q224" s="23">
        <f>IF($A224="","",COUNTIFS(Assignments!$C$2:$C$769,$A224,Assignments!$G$2:$G$769,"Active"))</f>
        <v/>
      </c>
      <c r="R224" s="32">
        <f>IF($A224="","",SUMIFS(Assignments!$I$2:$I$769,Assignments!$C$2:$C$769,$A224,Assignments!$G$2:$G$769,"Active"))</f>
        <v/>
      </c>
      <c r="S224" s="20" t="inlineStr">
        <is>
          <t>Proposal</t>
        </is>
      </c>
      <c r="T224" s="31" t="n"/>
      <c r="U224" s="38" t="n"/>
      <c r="V224" s="34">
        <f>IF($U224="","",IFERROR(INDEX(Templates!$K$3:$K$10,MATCH($U224,Templates!$A$3:$A$10,0)),""))</f>
        <v/>
      </c>
      <c r="W224" s="34">
        <f>IF($U224="","",IFERROR(INDEX(Templates!$L$3:$L$10,MATCH($U224,Templates!$A$3:$A$10,0)),""))</f>
        <v/>
      </c>
      <c r="X224" s="21">
        <f>IF($U224="","",IFERROR(INDEX(Templates!$J$3:$J$10,MATCH($U224,Templates!$A$3:$A$10,0)),""))</f>
        <v/>
      </c>
      <c r="Y224" s="35">
        <f>IF(OR($U224="",$I224="",$J224="",$X224=""),"",$I224+$X224*($J224-$I224))</f>
        <v/>
      </c>
      <c r="Z224" s="30" t="n">
        <v>46212</v>
      </c>
      <c r="AA224" s="40" t="n"/>
      <c r="AB224" s="41" t="n"/>
      <c r="AC224" s="41" t="n"/>
      <c r="AD224" s="19">
        <f>IF($A224="","",IF($AA224="",$H224,$AA224))</f>
        <v/>
      </c>
      <c r="AE224" s="35">
        <f>IF($A224="","",IF($AB224="",$I224,$AB224))</f>
        <v/>
      </c>
      <c r="AF224" s="35">
        <f>IF($A224="","",IF($AC224="",$J224,$AC224))</f>
        <v/>
      </c>
      <c r="AG224" s="35">
        <f>IF(OR($U224="",$AE224="",$AF224="",$X224=""),"",$AE224+$X224*($AF224-$AE224))</f>
        <v/>
      </c>
      <c r="AH224" s="38" t="n"/>
      <c r="AI224" s="38" t="n"/>
      <c r="AJ224" s="38" t="n"/>
      <c r="AK224" s="38" t="n"/>
      <c r="AL224" s="38" t="n"/>
      <c r="AM224" s="38" t="n"/>
      <c r="AN224" s="38" t="n"/>
      <c r="AO224" s="38" t="n"/>
      <c r="AP224" s="38" t="n"/>
      <c r="AQ224" s="38" t="n"/>
      <c r="AR224" s="38" t="n"/>
      <c r="AS224" s="38" t="n"/>
      <c r="AT224" s="38" t="n"/>
      <c r="AU224" s="38" t="n"/>
      <c r="AV224" s="38" t="n"/>
      <c r="AW224" s="38" t="n"/>
      <c r="AX224" s="38" t="n"/>
      <c r="AY224" s="42" t="n"/>
      <c r="AZ224" s="42" t="n"/>
      <c r="BA224" s="42" t="n"/>
      <c r="BB224" s="42" t="n"/>
      <c r="BC224" s="42" t="n"/>
      <c r="BD224" s="37">
        <f>IF($A224="","",SUM($AY224:$BC224))</f>
        <v/>
      </c>
      <c r="BE224" s="18">
        <f>IF($A224="","",IF(AND($I224&lt;&gt;"",$J224&lt;&gt;""),MAX(1,($J224-$I224)/7),Templates!$B$35))</f>
        <v/>
      </c>
      <c r="BF224" s="18">
        <f>IF($A224="","",IF(AND($I224&lt;&gt;"",$J224&lt;&gt;""),MAX(1,($J224-$I224)/7),Templates!$B$36))</f>
        <v/>
      </c>
      <c r="BG224" s="18">
        <f>IF($A224="","",IF(AND($I224&lt;&gt;"",$J224&lt;&gt;""),MAX(1,($J224-$I224)/7),Templates!$B$37))</f>
        <v/>
      </c>
      <c r="BH224" s="18">
        <f>IF($A224="","",IF(AND($I224&lt;&gt;"",$J224&lt;&gt;""),MAX(1,($J224-$I224)/7),Templates!$B$38))</f>
        <v/>
      </c>
      <c r="BI224" s="18">
        <f>IF($A224="","",IF(AND($I224&lt;&gt;"",$J224&lt;&gt;""),MAX(1,($J224-$I224)/7),Templates!$B$39))</f>
        <v/>
      </c>
      <c r="BJ224" s="18">
        <f>IF(OR($A224="",$BD224=0),0,($AY224*Templates!$B$27/$BE224+$AZ224*Templates!$B$28/$BF224+$BA224*Templates!$B$29/$BG224+$BB224*Templates!$B$30/$BH224+$BC224*Templates!$B$31/$BI224)/Templates!$B$17)</f>
        <v/>
      </c>
      <c r="BK224" s="18">
        <f>IF(OR($A224="",$BD224=0),0,($AY224*Templates!$C$27/$BE224+$AZ224*Templates!$C$28/$BF224+$BA224*Templates!$C$29/$BG224+$BB224*Templates!$C$30/$BH224+$BC224*Templates!$C$31/$BI224)/Templates!$B$18)</f>
        <v/>
      </c>
      <c r="BL224" s="18">
        <f>IF(OR($A224="",$BD224=0),0,($AY224*Templates!$D$27/$BE224+$AZ224*Templates!$D$28/$BF224+$BA224*Templates!$D$29/$BG224+$BB224*Templates!$D$30/$BH224+$BC224*Templates!$D$31/$BI224)/Templates!$B$19)</f>
        <v/>
      </c>
      <c r="BM224" s="18">
        <f>IF(OR($A224="",$BD224=0),0,($AY224*Templates!$E$27/$BE224+$AZ224*Templates!$E$28/$BF224+$BA224*Templates!$E$29/$BG224+$BB224*Templates!$E$30/$BH224+$BC224*Templates!$E$31/$BI224)/Templates!$B$20)</f>
        <v/>
      </c>
      <c r="BN224" s="18">
        <f>IF(OR($A224="",$BD224=0),0,($AY224*Templates!$F$27/$BE224+$AZ224*Templates!$F$28/$BF224+$BA224*Templates!$F$29/$BG224+$BB224*Templates!$F$30/$BH224+$BC224*Templates!$F$31/$BI224)/Templates!$B$21)</f>
        <v/>
      </c>
      <c r="BO224" s="18">
        <f>IF(OR($A224="",$BD224=0),0,($AY224*Templates!$G$27/$BE224+$AZ224*Templates!$G$28/$BF224+$BA224*Templates!$G$29/$BG224+$BB224*Templates!$G$30/$BH224+$BC224*Templates!$G$31/$BI224)/Templates!$B$22)</f>
        <v/>
      </c>
      <c r="BP224" s="18">
        <f>IF(OR($A224="",$BD224=0),0,($AY224*Templates!$H$27/$BE224+$AZ224*Templates!$H$28/$BF224+$BA224*Templates!$H$29/$BG224+$BB224*Templates!$H$30/$BH224+$BC224*Templates!$H$31/$BI224)/Templates!$B$23)</f>
        <v/>
      </c>
    </row>
    <row r="225">
      <c r="A225" s="28" t="inlineStr">
        <is>
          <t>CAN Rail_1</t>
        </is>
      </c>
      <c r="B225" s="20" t="inlineStr">
        <is>
          <t>Manulife : John Hancock</t>
        </is>
      </c>
      <c r="C225" s="28" t="inlineStr">
        <is>
          <t>Manulife</t>
        </is>
      </c>
      <c r="D225" s="28" t="inlineStr">
        <is>
          <t>John Hancock</t>
        </is>
      </c>
      <c r="E225" s="28" t="inlineStr">
        <is>
          <t>No</t>
        </is>
      </c>
      <c r="F225" s="28" t="inlineStr">
        <is>
          <t>Proposal</t>
        </is>
      </c>
      <c r="G225" s="38" t="n"/>
      <c r="H225" s="43" t="n">
        <v>0.5</v>
      </c>
      <c r="I225" s="39" t="n"/>
      <c r="J225" s="39" t="n"/>
      <c r="K225" s="31" t="n"/>
      <c r="L225" s="31" t="n"/>
      <c r="M225" s="31" t="n"/>
      <c r="N225" s="31" t="n"/>
      <c r="O225" s="31" t="n"/>
      <c r="P225" s="31" t="n"/>
      <c r="Q225" s="23">
        <f>IF($A225="","",COUNTIFS(Assignments!$C$2:$C$769,$A225,Assignments!$G$2:$G$769,"Active"))</f>
        <v/>
      </c>
      <c r="R225" s="32">
        <f>IF($A225="","",SUMIFS(Assignments!$I$2:$I$769,Assignments!$C$2:$C$769,$A225,Assignments!$G$2:$G$769,"Active"))</f>
        <v/>
      </c>
      <c r="S225" s="20" t="inlineStr">
        <is>
          <t>Proposal</t>
        </is>
      </c>
      <c r="T225" s="31" t="n"/>
      <c r="U225" s="38" t="n"/>
      <c r="V225" s="34">
        <f>IF($U225="","",IFERROR(INDEX(Templates!$K$3:$K$10,MATCH($U225,Templates!$A$3:$A$10,0)),""))</f>
        <v/>
      </c>
      <c r="W225" s="34">
        <f>IF($U225="","",IFERROR(INDEX(Templates!$L$3:$L$10,MATCH($U225,Templates!$A$3:$A$10,0)),""))</f>
        <v/>
      </c>
      <c r="X225" s="21">
        <f>IF($U225="","",IFERROR(INDEX(Templates!$J$3:$J$10,MATCH($U225,Templates!$A$3:$A$10,0)),""))</f>
        <v/>
      </c>
      <c r="Y225" s="35">
        <f>IF(OR($U225="",$I225="",$J225="",$X225=""),"",$I225+$X225*($J225-$I225))</f>
        <v/>
      </c>
      <c r="Z225" s="30" t="n">
        <v>46212</v>
      </c>
      <c r="AA225" s="40" t="n"/>
      <c r="AB225" s="41" t="n"/>
      <c r="AC225" s="41" t="n"/>
      <c r="AD225" s="19">
        <f>IF($A225="","",IF($AA225="",$H225,$AA225))</f>
        <v/>
      </c>
      <c r="AE225" s="35">
        <f>IF($A225="","",IF($AB225="",$I225,$AB225))</f>
        <v/>
      </c>
      <c r="AF225" s="35">
        <f>IF($A225="","",IF($AC225="",$J225,$AC225))</f>
        <v/>
      </c>
      <c r="AG225" s="35">
        <f>IF(OR($U225="",$AE225="",$AF225="",$X225=""),"",$AE225+$X225*($AF225-$AE225))</f>
        <v/>
      </c>
      <c r="AH225" s="38" t="n"/>
      <c r="AI225" s="38" t="n"/>
      <c r="AJ225" s="38" t="n"/>
      <c r="AK225" s="38" t="n"/>
      <c r="AL225" s="38" t="n"/>
      <c r="AM225" s="38" t="n"/>
      <c r="AN225" s="38" t="n"/>
      <c r="AO225" s="38" t="n"/>
      <c r="AP225" s="38" t="n"/>
      <c r="AQ225" s="38" t="n"/>
      <c r="AR225" s="38" t="n"/>
      <c r="AS225" s="38" t="n"/>
      <c r="AT225" s="38" t="n"/>
      <c r="AU225" s="38" t="n"/>
      <c r="AV225" s="38" t="n"/>
      <c r="AW225" s="38" t="n"/>
      <c r="AX225" s="38" t="n"/>
      <c r="AY225" s="42" t="n"/>
      <c r="AZ225" s="42" t="n"/>
      <c r="BA225" s="42" t="n"/>
      <c r="BB225" s="42" t="n"/>
      <c r="BC225" s="42" t="n"/>
      <c r="BD225" s="37">
        <f>IF($A225="","",SUM($AY225:$BC225))</f>
        <v/>
      </c>
      <c r="BE225" s="18">
        <f>IF($A225="","",IF(AND($I225&lt;&gt;"",$J225&lt;&gt;""),MAX(1,($J225-$I225)/7),Templates!$B$35))</f>
        <v/>
      </c>
      <c r="BF225" s="18">
        <f>IF($A225="","",IF(AND($I225&lt;&gt;"",$J225&lt;&gt;""),MAX(1,($J225-$I225)/7),Templates!$B$36))</f>
        <v/>
      </c>
      <c r="BG225" s="18">
        <f>IF($A225="","",IF(AND($I225&lt;&gt;"",$J225&lt;&gt;""),MAX(1,($J225-$I225)/7),Templates!$B$37))</f>
        <v/>
      </c>
      <c r="BH225" s="18">
        <f>IF($A225="","",IF(AND($I225&lt;&gt;"",$J225&lt;&gt;""),MAX(1,($J225-$I225)/7),Templates!$B$38))</f>
        <v/>
      </c>
      <c r="BI225" s="18">
        <f>IF($A225="","",IF(AND($I225&lt;&gt;"",$J225&lt;&gt;""),MAX(1,($J225-$I225)/7),Templates!$B$39))</f>
        <v/>
      </c>
      <c r="BJ225" s="18">
        <f>IF(OR($A225="",$BD225=0),0,($AY225*Templates!$B$27/$BE225+$AZ225*Templates!$B$28/$BF225+$BA225*Templates!$B$29/$BG225+$BB225*Templates!$B$30/$BH225+$BC225*Templates!$B$31/$BI225)/Templates!$B$17)</f>
        <v/>
      </c>
      <c r="BK225" s="18">
        <f>IF(OR($A225="",$BD225=0),0,($AY225*Templates!$C$27/$BE225+$AZ225*Templates!$C$28/$BF225+$BA225*Templates!$C$29/$BG225+$BB225*Templates!$C$30/$BH225+$BC225*Templates!$C$31/$BI225)/Templates!$B$18)</f>
        <v/>
      </c>
      <c r="BL225" s="18">
        <f>IF(OR($A225="",$BD225=0),0,($AY225*Templates!$D$27/$BE225+$AZ225*Templates!$D$28/$BF225+$BA225*Templates!$D$29/$BG225+$BB225*Templates!$D$30/$BH225+$BC225*Templates!$D$31/$BI225)/Templates!$B$19)</f>
        <v/>
      </c>
      <c r="BM225" s="18">
        <f>IF(OR($A225="",$BD225=0),0,($AY225*Templates!$E$27/$BE225+$AZ225*Templates!$E$28/$BF225+$BA225*Templates!$E$29/$BG225+$BB225*Templates!$E$30/$BH225+$BC225*Templates!$E$31/$BI225)/Templates!$B$20)</f>
        <v/>
      </c>
      <c r="BN225" s="18">
        <f>IF(OR($A225="",$BD225=0),0,($AY225*Templates!$F$27/$BE225+$AZ225*Templates!$F$28/$BF225+$BA225*Templates!$F$29/$BG225+$BB225*Templates!$F$30/$BH225+$BC225*Templates!$F$31/$BI225)/Templates!$B$21)</f>
        <v/>
      </c>
      <c r="BO225" s="18">
        <f>IF(OR($A225="",$BD225=0),0,($AY225*Templates!$G$27/$BE225+$AZ225*Templates!$G$28/$BF225+$BA225*Templates!$G$29/$BG225+$BB225*Templates!$G$30/$BH225+$BC225*Templates!$G$31/$BI225)/Templates!$B$22)</f>
        <v/>
      </c>
      <c r="BP225" s="18">
        <f>IF(OR($A225="",$BD225=0),0,($AY225*Templates!$H$27/$BE225+$AZ225*Templates!$H$28/$BF225+$BA225*Templates!$H$29/$BG225+$BB225*Templates!$H$30/$BH225+$BC225*Templates!$H$31/$BI225)/Templates!$B$23)</f>
        <v/>
      </c>
    </row>
    <row r="226">
      <c r="A226" s="28" t="inlineStr">
        <is>
          <t>Canoe_1</t>
        </is>
      </c>
      <c r="B226" s="20" t="inlineStr">
        <is>
          <t>Eight Advisory (Referral Source)</t>
        </is>
      </c>
      <c r="C226" s="28" t="inlineStr">
        <is>
          <t>Eight Advisory</t>
        </is>
      </c>
      <c r="D226" s="28" t="inlineStr"/>
      <c r="E226" s="28" t="inlineStr">
        <is>
          <t>Yes</t>
        </is>
      </c>
      <c r="F226" s="28" t="inlineStr">
        <is>
          <t>Proposal</t>
        </is>
      </c>
      <c r="G226" s="38" t="n"/>
      <c r="H226" s="43" t="n">
        <v>0.5</v>
      </c>
      <c r="I226" s="39" t="n"/>
      <c r="J226" s="39" t="n"/>
      <c r="K226" s="31" t="n"/>
      <c r="L226" s="31" t="n"/>
      <c r="M226" s="31" t="n"/>
      <c r="N226" s="31" t="n"/>
      <c r="O226" s="31" t="n"/>
      <c r="P226" s="31" t="n"/>
      <c r="Q226" s="23">
        <f>IF($A226="","",COUNTIFS(Assignments!$C$2:$C$769,$A226,Assignments!$G$2:$G$769,"Active"))</f>
        <v/>
      </c>
      <c r="R226" s="32">
        <f>IF($A226="","",SUMIFS(Assignments!$I$2:$I$769,Assignments!$C$2:$C$769,$A226,Assignments!$G$2:$G$769,"Active"))</f>
        <v/>
      </c>
      <c r="S226" s="20" t="inlineStr">
        <is>
          <t>Proposal</t>
        </is>
      </c>
      <c r="T226" s="31" t="n"/>
      <c r="U226" s="38" t="n"/>
      <c r="V226" s="34">
        <f>IF($U226="","",IFERROR(INDEX(Templates!$K$3:$K$10,MATCH($U226,Templates!$A$3:$A$10,0)),""))</f>
        <v/>
      </c>
      <c r="W226" s="34">
        <f>IF($U226="","",IFERROR(INDEX(Templates!$L$3:$L$10,MATCH($U226,Templates!$A$3:$A$10,0)),""))</f>
        <v/>
      </c>
      <c r="X226" s="21">
        <f>IF($U226="","",IFERROR(INDEX(Templates!$J$3:$J$10,MATCH($U226,Templates!$A$3:$A$10,0)),""))</f>
        <v/>
      </c>
      <c r="Y226" s="35">
        <f>IF(OR($U226="",$I226="",$J226="",$X226=""),"",$I226+$X226*($J226-$I226))</f>
        <v/>
      </c>
      <c r="Z226" s="30" t="n">
        <v>46212</v>
      </c>
      <c r="AA226" s="40" t="n"/>
      <c r="AB226" s="41" t="n"/>
      <c r="AC226" s="41" t="n"/>
      <c r="AD226" s="19">
        <f>IF($A226="","",IF($AA226="",$H226,$AA226))</f>
        <v/>
      </c>
      <c r="AE226" s="35">
        <f>IF($A226="","",IF($AB226="",$I226,$AB226))</f>
        <v/>
      </c>
      <c r="AF226" s="35">
        <f>IF($A226="","",IF($AC226="",$J226,$AC226))</f>
        <v/>
      </c>
      <c r="AG226" s="35">
        <f>IF(OR($U226="",$AE226="",$AF226="",$X226=""),"",$AE226+$X226*($AF226-$AE226))</f>
        <v/>
      </c>
      <c r="AH226" s="38" t="n"/>
      <c r="AI226" s="38" t="n"/>
      <c r="AJ226" s="38" t="n"/>
      <c r="AK226" s="38" t="n"/>
      <c r="AL226" s="38" t="n"/>
      <c r="AM226" s="38" t="n"/>
      <c r="AN226" s="38" t="n"/>
      <c r="AO226" s="38" t="n"/>
      <c r="AP226" s="38" t="n"/>
      <c r="AQ226" s="38" t="n"/>
      <c r="AR226" s="38" t="n"/>
      <c r="AS226" s="38" t="n"/>
      <c r="AT226" s="38" t="n"/>
      <c r="AU226" s="38" t="n"/>
      <c r="AV226" s="38" t="n"/>
      <c r="AW226" s="38" t="n"/>
      <c r="AX226" s="38" t="n"/>
      <c r="AY226" s="42" t="n"/>
      <c r="AZ226" s="42" t="n"/>
      <c r="BA226" s="42" t="n"/>
      <c r="BB226" s="42" t="n"/>
      <c r="BC226" s="42" t="n"/>
      <c r="BD226" s="37">
        <f>IF($A226="","",SUM($AY226:$BC226))</f>
        <v/>
      </c>
      <c r="BE226" s="18">
        <f>IF($A226="","",IF(AND($I226&lt;&gt;"",$J226&lt;&gt;""),MAX(1,($J226-$I226)/7),Templates!$B$35))</f>
        <v/>
      </c>
      <c r="BF226" s="18">
        <f>IF($A226="","",IF(AND($I226&lt;&gt;"",$J226&lt;&gt;""),MAX(1,($J226-$I226)/7),Templates!$B$36))</f>
        <v/>
      </c>
      <c r="BG226" s="18">
        <f>IF($A226="","",IF(AND($I226&lt;&gt;"",$J226&lt;&gt;""),MAX(1,($J226-$I226)/7),Templates!$B$37))</f>
        <v/>
      </c>
      <c r="BH226" s="18">
        <f>IF($A226="","",IF(AND($I226&lt;&gt;"",$J226&lt;&gt;""),MAX(1,($J226-$I226)/7),Templates!$B$38))</f>
        <v/>
      </c>
      <c r="BI226" s="18">
        <f>IF($A226="","",IF(AND($I226&lt;&gt;"",$J226&lt;&gt;""),MAX(1,($J226-$I226)/7),Templates!$B$39))</f>
        <v/>
      </c>
      <c r="BJ226" s="18">
        <f>IF(OR($A226="",$BD226=0),0,($AY226*Templates!$B$27/$BE226+$AZ226*Templates!$B$28/$BF226+$BA226*Templates!$B$29/$BG226+$BB226*Templates!$B$30/$BH226+$BC226*Templates!$B$31/$BI226)/Templates!$B$17)</f>
        <v/>
      </c>
      <c r="BK226" s="18">
        <f>IF(OR($A226="",$BD226=0),0,($AY226*Templates!$C$27/$BE226+$AZ226*Templates!$C$28/$BF226+$BA226*Templates!$C$29/$BG226+$BB226*Templates!$C$30/$BH226+$BC226*Templates!$C$31/$BI226)/Templates!$B$18)</f>
        <v/>
      </c>
      <c r="BL226" s="18">
        <f>IF(OR($A226="",$BD226=0),0,($AY226*Templates!$D$27/$BE226+$AZ226*Templates!$D$28/$BF226+$BA226*Templates!$D$29/$BG226+$BB226*Templates!$D$30/$BH226+$BC226*Templates!$D$31/$BI226)/Templates!$B$19)</f>
        <v/>
      </c>
      <c r="BM226" s="18">
        <f>IF(OR($A226="",$BD226=0),0,($AY226*Templates!$E$27/$BE226+$AZ226*Templates!$E$28/$BF226+$BA226*Templates!$E$29/$BG226+$BB226*Templates!$E$30/$BH226+$BC226*Templates!$E$31/$BI226)/Templates!$B$20)</f>
        <v/>
      </c>
      <c r="BN226" s="18">
        <f>IF(OR($A226="",$BD226=0),0,($AY226*Templates!$F$27/$BE226+$AZ226*Templates!$F$28/$BF226+$BA226*Templates!$F$29/$BG226+$BB226*Templates!$F$30/$BH226+$BC226*Templates!$F$31/$BI226)/Templates!$B$21)</f>
        <v/>
      </c>
      <c r="BO226" s="18">
        <f>IF(OR($A226="",$BD226=0),0,($AY226*Templates!$G$27/$BE226+$AZ226*Templates!$G$28/$BF226+$BA226*Templates!$G$29/$BG226+$BB226*Templates!$G$30/$BH226+$BC226*Templates!$G$31/$BI226)/Templates!$B$22)</f>
        <v/>
      </c>
      <c r="BP226" s="18">
        <f>IF(OR($A226="",$BD226=0),0,($AY226*Templates!$H$27/$BE226+$AZ226*Templates!$H$28/$BF226+$BA226*Templates!$H$29/$BG226+$BB226*Templates!$H$30/$BH226+$BC226*Templates!$H$31/$BI226)/Templates!$B$23)</f>
        <v/>
      </c>
    </row>
    <row r="227">
      <c r="A227" s="28" t="inlineStr">
        <is>
          <t>Catalyze_2</t>
        </is>
      </c>
      <c r="B227" s="20" t="inlineStr">
        <is>
          <t>Catalyze</t>
        </is>
      </c>
      <c r="C227" s="28" t="inlineStr">
        <is>
          <t>Catalyze</t>
        </is>
      </c>
      <c r="D227" s="28" t="inlineStr"/>
      <c r="E227" s="28" t="inlineStr">
        <is>
          <t>No</t>
        </is>
      </c>
      <c r="F227" s="28" t="inlineStr">
        <is>
          <t>Proposal</t>
        </is>
      </c>
      <c r="G227" s="38" t="n"/>
      <c r="H227" s="43" t="n">
        <v>0.5</v>
      </c>
      <c r="I227" s="39" t="n"/>
      <c r="J227" s="39" t="n"/>
      <c r="K227" s="31" t="n"/>
      <c r="L227" s="31" t="n"/>
      <c r="M227" s="31" t="n"/>
      <c r="N227" s="31" t="n"/>
      <c r="O227" s="31" t="n"/>
      <c r="P227" s="31" t="n"/>
      <c r="Q227" s="23">
        <f>IF($A227="","",COUNTIFS(Assignments!$C$2:$C$769,$A227,Assignments!$G$2:$G$769,"Active"))</f>
        <v/>
      </c>
      <c r="R227" s="32">
        <f>IF($A227="","",SUMIFS(Assignments!$I$2:$I$769,Assignments!$C$2:$C$769,$A227,Assignments!$G$2:$G$769,"Active"))</f>
        <v/>
      </c>
      <c r="S227" s="20" t="inlineStr">
        <is>
          <t>Proposal</t>
        </is>
      </c>
      <c r="T227" s="31" t="n"/>
      <c r="U227" s="38" t="n"/>
      <c r="V227" s="34">
        <f>IF($U227="","",IFERROR(INDEX(Templates!$K$3:$K$10,MATCH($U227,Templates!$A$3:$A$10,0)),""))</f>
        <v/>
      </c>
      <c r="W227" s="34">
        <f>IF($U227="","",IFERROR(INDEX(Templates!$L$3:$L$10,MATCH($U227,Templates!$A$3:$A$10,0)),""))</f>
        <v/>
      </c>
      <c r="X227" s="21">
        <f>IF($U227="","",IFERROR(INDEX(Templates!$J$3:$J$10,MATCH($U227,Templates!$A$3:$A$10,0)),""))</f>
        <v/>
      </c>
      <c r="Y227" s="35">
        <f>IF(OR($U227="",$I227="",$J227="",$X227=""),"",$I227+$X227*($J227-$I227))</f>
        <v/>
      </c>
      <c r="Z227" s="30" t="n">
        <v>46212</v>
      </c>
      <c r="AA227" s="40" t="n"/>
      <c r="AB227" s="41" t="n"/>
      <c r="AC227" s="41" t="n"/>
      <c r="AD227" s="19">
        <f>IF($A227="","",IF($AA227="",$H227,$AA227))</f>
        <v/>
      </c>
      <c r="AE227" s="35">
        <f>IF($A227="","",IF($AB227="",$I227,$AB227))</f>
        <v/>
      </c>
      <c r="AF227" s="35">
        <f>IF($A227="","",IF($AC227="",$J227,$AC227))</f>
        <v/>
      </c>
      <c r="AG227" s="35">
        <f>IF(OR($U227="",$AE227="",$AF227="",$X227=""),"",$AE227+$X227*($AF227-$AE227))</f>
        <v/>
      </c>
      <c r="AH227" s="38" t="n"/>
      <c r="AI227" s="38" t="n"/>
      <c r="AJ227" s="38" t="n"/>
      <c r="AK227" s="38" t="n"/>
      <c r="AL227" s="38" t="n"/>
      <c r="AM227" s="38" t="n"/>
      <c r="AN227" s="38" t="n"/>
      <c r="AO227" s="38" t="n"/>
      <c r="AP227" s="38" t="n"/>
      <c r="AQ227" s="38" t="n"/>
      <c r="AR227" s="38" t="n"/>
      <c r="AS227" s="38" t="n"/>
      <c r="AT227" s="38" t="n"/>
      <c r="AU227" s="38" t="n"/>
      <c r="AV227" s="38" t="n"/>
      <c r="AW227" s="38" t="n"/>
      <c r="AX227" s="38" t="n"/>
      <c r="AY227" s="42" t="n"/>
      <c r="AZ227" s="42" t="n"/>
      <c r="BA227" s="42" t="n"/>
      <c r="BB227" s="42" t="n"/>
      <c r="BC227" s="42" t="n"/>
      <c r="BD227" s="37">
        <f>IF($A227="","",SUM($AY227:$BC227))</f>
        <v/>
      </c>
      <c r="BE227" s="18">
        <f>IF($A227="","",IF(AND($I227&lt;&gt;"",$J227&lt;&gt;""),MAX(1,($J227-$I227)/7),Templates!$B$35))</f>
        <v/>
      </c>
      <c r="BF227" s="18">
        <f>IF($A227="","",IF(AND($I227&lt;&gt;"",$J227&lt;&gt;""),MAX(1,($J227-$I227)/7),Templates!$B$36))</f>
        <v/>
      </c>
      <c r="BG227" s="18">
        <f>IF($A227="","",IF(AND($I227&lt;&gt;"",$J227&lt;&gt;""),MAX(1,($J227-$I227)/7),Templates!$B$37))</f>
        <v/>
      </c>
      <c r="BH227" s="18">
        <f>IF($A227="","",IF(AND($I227&lt;&gt;"",$J227&lt;&gt;""),MAX(1,($J227-$I227)/7),Templates!$B$38))</f>
        <v/>
      </c>
      <c r="BI227" s="18">
        <f>IF($A227="","",IF(AND($I227&lt;&gt;"",$J227&lt;&gt;""),MAX(1,($J227-$I227)/7),Templates!$B$39))</f>
        <v/>
      </c>
      <c r="BJ227" s="18">
        <f>IF(OR($A227="",$BD227=0),0,($AY227*Templates!$B$27/$BE227+$AZ227*Templates!$B$28/$BF227+$BA227*Templates!$B$29/$BG227+$BB227*Templates!$B$30/$BH227+$BC227*Templates!$B$31/$BI227)/Templates!$B$17)</f>
        <v/>
      </c>
      <c r="BK227" s="18">
        <f>IF(OR($A227="",$BD227=0),0,($AY227*Templates!$C$27/$BE227+$AZ227*Templates!$C$28/$BF227+$BA227*Templates!$C$29/$BG227+$BB227*Templates!$C$30/$BH227+$BC227*Templates!$C$31/$BI227)/Templates!$B$18)</f>
        <v/>
      </c>
      <c r="BL227" s="18">
        <f>IF(OR($A227="",$BD227=0),0,($AY227*Templates!$D$27/$BE227+$AZ227*Templates!$D$28/$BF227+$BA227*Templates!$D$29/$BG227+$BB227*Templates!$D$30/$BH227+$BC227*Templates!$D$31/$BI227)/Templates!$B$19)</f>
        <v/>
      </c>
      <c r="BM227" s="18">
        <f>IF(OR($A227="",$BD227=0),0,($AY227*Templates!$E$27/$BE227+$AZ227*Templates!$E$28/$BF227+$BA227*Templates!$E$29/$BG227+$BB227*Templates!$E$30/$BH227+$BC227*Templates!$E$31/$BI227)/Templates!$B$20)</f>
        <v/>
      </c>
      <c r="BN227" s="18">
        <f>IF(OR($A227="",$BD227=0),0,($AY227*Templates!$F$27/$BE227+$AZ227*Templates!$F$28/$BF227+$BA227*Templates!$F$29/$BG227+$BB227*Templates!$F$30/$BH227+$BC227*Templates!$F$31/$BI227)/Templates!$B$21)</f>
        <v/>
      </c>
      <c r="BO227" s="18">
        <f>IF(OR($A227="",$BD227=0),0,($AY227*Templates!$G$27/$BE227+$AZ227*Templates!$G$28/$BF227+$BA227*Templates!$G$29/$BG227+$BB227*Templates!$G$30/$BH227+$BC227*Templates!$G$31/$BI227)/Templates!$B$22)</f>
        <v/>
      </c>
      <c r="BP227" s="18">
        <f>IF(OR($A227="",$BD227=0),0,($AY227*Templates!$H$27/$BE227+$AZ227*Templates!$H$28/$BF227+$BA227*Templates!$H$29/$BG227+$BB227*Templates!$H$30/$BH227+$BC227*Templates!$H$31/$BI227)/Templates!$B$23)</f>
        <v/>
      </c>
    </row>
    <row r="228">
      <c r="A228" s="28" t="inlineStr">
        <is>
          <t>Cirque</t>
        </is>
      </c>
      <c r="B228" s="20" t="inlineStr">
        <is>
          <t>Gauge</t>
        </is>
      </c>
      <c r="C228" s="28" t="inlineStr">
        <is>
          <t>Gauge</t>
        </is>
      </c>
      <c r="D228" s="28" t="inlineStr"/>
      <c r="E228" s="28" t="inlineStr">
        <is>
          <t>No</t>
        </is>
      </c>
      <c r="F228" s="28" t="inlineStr">
        <is>
          <t>Proposal</t>
        </is>
      </c>
      <c r="G228" s="38" t="n"/>
      <c r="H228" s="43" t="n">
        <v>0.5</v>
      </c>
      <c r="I228" s="39" t="n"/>
      <c r="J228" s="39" t="n"/>
      <c r="K228" s="31" t="n"/>
      <c r="L228" s="31" t="n"/>
      <c r="M228" s="31" t="n"/>
      <c r="N228" s="31" t="n"/>
      <c r="O228" s="31" t="n"/>
      <c r="P228" s="31" t="n"/>
      <c r="Q228" s="23">
        <f>IF($A228="","",COUNTIFS(Assignments!$C$2:$C$769,$A228,Assignments!$G$2:$G$769,"Active"))</f>
        <v/>
      </c>
      <c r="R228" s="32">
        <f>IF($A228="","",SUMIFS(Assignments!$I$2:$I$769,Assignments!$C$2:$C$769,$A228,Assignments!$G$2:$G$769,"Active"))</f>
        <v/>
      </c>
      <c r="S228" s="20" t="inlineStr">
        <is>
          <t>Summary tab only (Proposal)</t>
        </is>
      </c>
      <c r="T228" s="31" t="n"/>
      <c r="U228" s="38" t="n"/>
      <c r="V228" s="34">
        <f>IF($U228="","",IFERROR(INDEX(Templates!$K$3:$K$10,MATCH($U228,Templates!$A$3:$A$10,0)),""))</f>
        <v/>
      </c>
      <c r="W228" s="34">
        <f>IF($U228="","",IFERROR(INDEX(Templates!$L$3:$L$10,MATCH($U228,Templates!$A$3:$A$10,0)),""))</f>
        <v/>
      </c>
      <c r="X228" s="21">
        <f>IF($U228="","",IFERROR(INDEX(Templates!$J$3:$J$10,MATCH($U228,Templates!$A$3:$A$10,0)),""))</f>
        <v/>
      </c>
      <c r="Y228" s="35">
        <f>IF(OR($U228="",$I228="",$J228="",$X228=""),"",$I228+$X228*($J228-$I228))</f>
        <v/>
      </c>
      <c r="Z228" s="30" t="n">
        <v>46212</v>
      </c>
      <c r="AA228" s="40" t="n"/>
      <c r="AB228" s="41" t="n"/>
      <c r="AC228" s="41" t="n"/>
      <c r="AD228" s="19">
        <f>IF($A228="","",IF($AA228="",$H228,$AA228))</f>
        <v/>
      </c>
      <c r="AE228" s="35">
        <f>IF($A228="","",IF($AB228="",$I228,$AB228))</f>
        <v/>
      </c>
      <c r="AF228" s="35">
        <f>IF($A228="","",IF($AC228="",$J228,$AC228))</f>
        <v/>
      </c>
      <c r="AG228" s="35">
        <f>IF(OR($U228="",$AE228="",$AF228="",$X228=""),"",$AE228+$X228*($AF228-$AE228))</f>
        <v/>
      </c>
      <c r="AH228" s="38" t="n"/>
      <c r="AI228" s="38" t="n"/>
      <c r="AJ228" s="38" t="n"/>
      <c r="AK228" s="38" t="n"/>
      <c r="AL228" s="38" t="n"/>
      <c r="AM228" s="38" t="n"/>
      <c r="AN228" s="38" t="n"/>
      <c r="AO228" s="38" t="n"/>
      <c r="AP228" s="38" t="n"/>
      <c r="AQ228" s="38" t="n"/>
      <c r="AR228" s="38" t="n"/>
      <c r="AS228" s="38" t="n"/>
      <c r="AT228" s="38" t="n"/>
      <c r="AU228" s="38" t="n"/>
      <c r="AV228" s="38" t="n"/>
      <c r="AW228" s="38" t="n"/>
      <c r="AX228" s="38" t="n"/>
      <c r="AY228" s="42" t="n"/>
      <c r="AZ228" s="42" t="n"/>
      <c r="BA228" s="42" t="n"/>
      <c r="BB228" s="42" t="n"/>
      <c r="BC228" s="42" t="n"/>
      <c r="BD228" s="37">
        <f>IF($A228="","",SUM($AY228:$BC228))</f>
        <v/>
      </c>
      <c r="BE228" s="18">
        <f>IF($A228="","",IF(AND($I228&lt;&gt;"",$J228&lt;&gt;""),MAX(1,($J228-$I228)/7),Templates!$B$35))</f>
        <v/>
      </c>
      <c r="BF228" s="18">
        <f>IF($A228="","",IF(AND($I228&lt;&gt;"",$J228&lt;&gt;""),MAX(1,($J228-$I228)/7),Templates!$B$36))</f>
        <v/>
      </c>
      <c r="BG228" s="18">
        <f>IF($A228="","",IF(AND($I228&lt;&gt;"",$J228&lt;&gt;""),MAX(1,($J228-$I228)/7),Templates!$B$37))</f>
        <v/>
      </c>
      <c r="BH228" s="18">
        <f>IF($A228="","",IF(AND($I228&lt;&gt;"",$J228&lt;&gt;""),MAX(1,($J228-$I228)/7),Templates!$B$38))</f>
        <v/>
      </c>
      <c r="BI228" s="18">
        <f>IF($A228="","",IF(AND($I228&lt;&gt;"",$J228&lt;&gt;""),MAX(1,($J228-$I228)/7),Templates!$B$39))</f>
        <v/>
      </c>
      <c r="BJ228" s="18">
        <f>IF(OR($A228="",$BD228=0),0,($AY228*Templates!$B$27/$BE228+$AZ228*Templates!$B$28/$BF228+$BA228*Templates!$B$29/$BG228+$BB228*Templates!$B$30/$BH228+$BC228*Templates!$B$31/$BI228)/Templates!$B$17)</f>
        <v/>
      </c>
      <c r="BK228" s="18">
        <f>IF(OR($A228="",$BD228=0),0,($AY228*Templates!$C$27/$BE228+$AZ228*Templates!$C$28/$BF228+$BA228*Templates!$C$29/$BG228+$BB228*Templates!$C$30/$BH228+$BC228*Templates!$C$31/$BI228)/Templates!$B$18)</f>
        <v/>
      </c>
      <c r="BL228" s="18">
        <f>IF(OR($A228="",$BD228=0),0,($AY228*Templates!$D$27/$BE228+$AZ228*Templates!$D$28/$BF228+$BA228*Templates!$D$29/$BG228+$BB228*Templates!$D$30/$BH228+$BC228*Templates!$D$31/$BI228)/Templates!$B$19)</f>
        <v/>
      </c>
      <c r="BM228" s="18">
        <f>IF(OR($A228="",$BD228=0),0,($AY228*Templates!$E$27/$BE228+$AZ228*Templates!$E$28/$BF228+$BA228*Templates!$E$29/$BG228+$BB228*Templates!$E$30/$BH228+$BC228*Templates!$E$31/$BI228)/Templates!$B$20)</f>
        <v/>
      </c>
      <c r="BN228" s="18">
        <f>IF(OR($A228="",$BD228=0),0,($AY228*Templates!$F$27/$BE228+$AZ228*Templates!$F$28/$BF228+$BA228*Templates!$F$29/$BG228+$BB228*Templates!$F$30/$BH228+$BC228*Templates!$F$31/$BI228)/Templates!$B$21)</f>
        <v/>
      </c>
      <c r="BO228" s="18">
        <f>IF(OR($A228="",$BD228=0),0,($AY228*Templates!$G$27/$BE228+$AZ228*Templates!$G$28/$BF228+$BA228*Templates!$G$29/$BG228+$BB228*Templates!$G$30/$BH228+$BC228*Templates!$G$31/$BI228)/Templates!$B$22)</f>
        <v/>
      </c>
      <c r="BP228" s="18">
        <f>IF(OR($A228="",$BD228=0),0,($AY228*Templates!$H$27/$BE228+$AZ228*Templates!$H$28/$BF228+$BA228*Templates!$H$29/$BG228+$BB228*Templates!$H$30/$BH228+$BC228*Templates!$H$31/$BI228)/Templates!$B$23)</f>
        <v/>
      </c>
    </row>
    <row r="229">
      <c r="A229" s="28" t="inlineStr">
        <is>
          <t>Clenara_1</t>
        </is>
      </c>
      <c r="B229" s="20" t="inlineStr">
        <is>
          <t>Ryan Transactional Risk : Themis Underwriting</t>
        </is>
      </c>
      <c r="C229" s="28" t="inlineStr">
        <is>
          <t>Ryan Transactional Risk</t>
        </is>
      </c>
      <c r="D229" s="28" t="inlineStr">
        <is>
          <t>Themis Underwriting</t>
        </is>
      </c>
      <c r="E229" s="28" t="inlineStr">
        <is>
          <t>No</t>
        </is>
      </c>
      <c r="F229" s="28" t="inlineStr">
        <is>
          <t>Proposal</t>
        </is>
      </c>
      <c r="G229" s="38" t="n"/>
      <c r="H229" s="43" t="n">
        <v>0.5</v>
      </c>
      <c r="I229" s="39" t="n"/>
      <c r="J229" s="39" t="n"/>
      <c r="K229" s="31" t="n"/>
      <c r="L229" s="31" t="n"/>
      <c r="M229" s="31" t="n"/>
      <c r="N229" s="31" t="n"/>
      <c r="O229" s="31" t="n"/>
      <c r="P229" s="31" t="n"/>
      <c r="Q229" s="23">
        <f>IF($A229="","",COUNTIFS(Assignments!$C$2:$C$769,$A229,Assignments!$G$2:$G$769,"Active"))</f>
        <v/>
      </c>
      <c r="R229" s="32">
        <f>IF($A229="","",SUMIFS(Assignments!$I$2:$I$769,Assignments!$C$2:$C$769,$A229,Assignments!$G$2:$G$769,"Active"))</f>
        <v/>
      </c>
      <c r="S229" s="20" t="inlineStr">
        <is>
          <t>Proposal</t>
        </is>
      </c>
      <c r="T229" s="31" t="n"/>
      <c r="U229" s="38" t="n"/>
      <c r="V229" s="34">
        <f>IF($U229="","",IFERROR(INDEX(Templates!$K$3:$K$10,MATCH($U229,Templates!$A$3:$A$10,0)),""))</f>
        <v/>
      </c>
      <c r="W229" s="34">
        <f>IF($U229="","",IFERROR(INDEX(Templates!$L$3:$L$10,MATCH($U229,Templates!$A$3:$A$10,0)),""))</f>
        <v/>
      </c>
      <c r="X229" s="21">
        <f>IF($U229="","",IFERROR(INDEX(Templates!$J$3:$J$10,MATCH($U229,Templates!$A$3:$A$10,0)),""))</f>
        <v/>
      </c>
      <c r="Y229" s="35">
        <f>IF(OR($U229="",$I229="",$J229="",$X229=""),"",$I229+$X229*($J229-$I229))</f>
        <v/>
      </c>
      <c r="Z229" s="30" t="n">
        <v>46212</v>
      </c>
      <c r="AA229" s="40" t="n"/>
      <c r="AB229" s="41" t="n"/>
      <c r="AC229" s="41" t="n"/>
      <c r="AD229" s="19">
        <f>IF($A229="","",IF($AA229="",$H229,$AA229))</f>
        <v/>
      </c>
      <c r="AE229" s="35">
        <f>IF($A229="","",IF($AB229="",$I229,$AB229))</f>
        <v/>
      </c>
      <c r="AF229" s="35">
        <f>IF($A229="","",IF($AC229="",$J229,$AC229))</f>
        <v/>
      </c>
      <c r="AG229" s="35">
        <f>IF(OR($U229="",$AE229="",$AF229="",$X229=""),"",$AE229+$X229*($AF229-$AE229))</f>
        <v/>
      </c>
      <c r="AH229" s="38" t="n"/>
      <c r="AI229" s="38" t="n"/>
      <c r="AJ229" s="38" t="n"/>
      <c r="AK229" s="38" t="n"/>
      <c r="AL229" s="38" t="n"/>
      <c r="AM229" s="38" t="n"/>
      <c r="AN229" s="38" t="n"/>
      <c r="AO229" s="38" t="n"/>
      <c r="AP229" s="38" t="n"/>
      <c r="AQ229" s="38" t="n"/>
      <c r="AR229" s="38" t="n"/>
      <c r="AS229" s="38" t="n"/>
      <c r="AT229" s="38" t="n"/>
      <c r="AU229" s="38" t="n"/>
      <c r="AV229" s="38" t="n"/>
      <c r="AW229" s="38" t="n"/>
      <c r="AX229" s="38" t="n"/>
      <c r="AY229" s="42" t="n"/>
      <c r="AZ229" s="42" t="n"/>
      <c r="BA229" s="42" t="n"/>
      <c r="BB229" s="42" t="n"/>
      <c r="BC229" s="42" t="n"/>
      <c r="BD229" s="37">
        <f>IF($A229="","",SUM($AY229:$BC229))</f>
        <v/>
      </c>
      <c r="BE229" s="18">
        <f>IF($A229="","",IF(AND($I229&lt;&gt;"",$J229&lt;&gt;""),MAX(1,($J229-$I229)/7),Templates!$B$35))</f>
        <v/>
      </c>
      <c r="BF229" s="18">
        <f>IF($A229="","",IF(AND($I229&lt;&gt;"",$J229&lt;&gt;""),MAX(1,($J229-$I229)/7),Templates!$B$36))</f>
        <v/>
      </c>
      <c r="BG229" s="18">
        <f>IF($A229="","",IF(AND($I229&lt;&gt;"",$J229&lt;&gt;""),MAX(1,($J229-$I229)/7),Templates!$B$37))</f>
        <v/>
      </c>
      <c r="BH229" s="18">
        <f>IF($A229="","",IF(AND($I229&lt;&gt;"",$J229&lt;&gt;""),MAX(1,($J229-$I229)/7),Templates!$B$38))</f>
        <v/>
      </c>
      <c r="BI229" s="18">
        <f>IF($A229="","",IF(AND($I229&lt;&gt;"",$J229&lt;&gt;""),MAX(1,($J229-$I229)/7),Templates!$B$39))</f>
        <v/>
      </c>
      <c r="BJ229" s="18">
        <f>IF(OR($A229="",$BD229=0),0,($AY229*Templates!$B$27/$BE229+$AZ229*Templates!$B$28/$BF229+$BA229*Templates!$B$29/$BG229+$BB229*Templates!$B$30/$BH229+$BC229*Templates!$B$31/$BI229)/Templates!$B$17)</f>
        <v/>
      </c>
      <c r="BK229" s="18">
        <f>IF(OR($A229="",$BD229=0),0,($AY229*Templates!$C$27/$BE229+$AZ229*Templates!$C$28/$BF229+$BA229*Templates!$C$29/$BG229+$BB229*Templates!$C$30/$BH229+$BC229*Templates!$C$31/$BI229)/Templates!$B$18)</f>
        <v/>
      </c>
      <c r="BL229" s="18">
        <f>IF(OR($A229="",$BD229=0),0,($AY229*Templates!$D$27/$BE229+$AZ229*Templates!$D$28/$BF229+$BA229*Templates!$D$29/$BG229+$BB229*Templates!$D$30/$BH229+$BC229*Templates!$D$31/$BI229)/Templates!$B$19)</f>
        <v/>
      </c>
      <c r="BM229" s="18">
        <f>IF(OR($A229="",$BD229=0),0,($AY229*Templates!$E$27/$BE229+$AZ229*Templates!$E$28/$BF229+$BA229*Templates!$E$29/$BG229+$BB229*Templates!$E$30/$BH229+$BC229*Templates!$E$31/$BI229)/Templates!$B$20)</f>
        <v/>
      </c>
      <c r="BN229" s="18">
        <f>IF(OR($A229="",$BD229=0),0,($AY229*Templates!$F$27/$BE229+$AZ229*Templates!$F$28/$BF229+$BA229*Templates!$F$29/$BG229+$BB229*Templates!$F$30/$BH229+$BC229*Templates!$F$31/$BI229)/Templates!$B$21)</f>
        <v/>
      </c>
      <c r="BO229" s="18">
        <f>IF(OR($A229="",$BD229=0),0,($AY229*Templates!$G$27/$BE229+$AZ229*Templates!$G$28/$BF229+$BA229*Templates!$G$29/$BG229+$BB229*Templates!$G$30/$BH229+$BC229*Templates!$G$31/$BI229)/Templates!$B$22)</f>
        <v/>
      </c>
      <c r="BP229" s="18">
        <f>IF(OR($A229="",$BD229=0),0,($AY229*Templates!$H$27/$BE229+$AZ229*Templates!$H$28/$BF229+$BA229*Templates!$H$29/$BG229+$BB229*Templates!$H$30/$BH229+$BC229*Templates!$H$31/$BI229)/Templates!$B$23)</f>
        <v/>
      </c>
    </row>
    <row r="230">
      <c r="A230" s="28" t="inlineStr">
        <is>
          <t>CNX_1</t>
        </is>
      </c>
      <c r="B230" s="20" t="inlineStr">
        <is>
          <t>Solertia MGA Ltd.</t>
        </is>
      </c>
      <c r="C230" s="28" t="inlineStr">
        <is>
          <t>Solertia MGA Ltd.</t>
        </is>
      </c>
      <c r="D230" s="28" t="inlineStr"/>
      <c r="E230" s="28" t="inlineStr">
        <is>
          <t>No</t>
        </is>
      </c>
      <c r="F230" s="28" t="inlineStr">
        <is>
          <t>Proposal</t>
        </is>
      </c>
      <c r="G230" s="38" t="n"/>
      <c r="H230" s="43" t="n">
        <v>0.5</v>
      </c>
      <c r="I230" s="39" t="n"/>
      <c r="J230" s="39" t="n"/>
      <c r="K230" s="31" t="n"/>
      <c r="L230" s="31" t="n"/>
      <c r="M230" s="31" t="n"/>
      <c r="N230" s="31" t="n"/>
      <c r="O230" s="31" t="n"/>
      <c r="P230" s="31" t="n"/>
      <c r="Q230" s="23">
        <f>IF($A230="","",COUNTIFS(Assignments!$C$2:$C$769,$A230,Assignments!$G$2:$G$769,"Active"))</f>
        <v/>
      </c>
      <c r="R230" s="32">
        <f>IF($A230="","",SUMIFS(Assignments!$I$2:$I$769,Assignments!$C$2:$C$769,$A230,Assignments!$G$2:$G$769,"Active"))</f>
        <v/>
      </c>
      <c r="S230" s="20" t="inlineStr">
        <is>
          <t>Proposal</t>
        </is>
      </c>
      <c r="T230" s="31" t="n"/>
      <c r="U230" s="38" t="n"/>
      <c r="V230" s="34">
        <f>IF($U230="","",IFERROR(INDEX(Templates!$K$3:$K$10,MATCH($U230,Templates!$A$3:$A$10,0)),""))</f>
        <v/>
      </c>
      <c r="W230" s="34">
        <f>IF($U230="","",IFERROR(INDEX(Templates!$L$3:$L$10,MATCH($U230,Templates!$A$3:$A$10,0)),""))</f>
        <v/>
      </c>
      <c r="X230" s="21">
        <f>IF($U230="","",IFERROR(INDEX(Templates!$J$3:$J$10,MATCH($U230,Templates!$A$3:$A$10,0)),""))</f>
        <v/>
      </c>
      <c r="Y230" s="35">
        <f>IF(OR($U230="",$I230="",$J230="",$X230=""),"",$I230+$X230*($J230-$I230))</f>
        <v/>
      </c>
      <c r="Z230" s="30" t="n">
        <v>46212</v>
      </c>
      <c r="AA230" s="40" t="n"/>
      <c r="AB230" s="41" t="n"/>
      <c r="AC230" s="41" t="n"/>
      <c r="AD230" s="19">
        <f>IF($A230="","",IF($AA230="",$H230,$AA230))</f>
        <v/>
      </c>
      <c r="AE230" s="35">
        <f>IF($A230="","",IF($AB230="",$I230,$AB230))</f>
        <v/>
      </c>
      <c r="AF230" s="35">
        <f>IF($A230="","",IF($AC230="",$J230,$AC230))</f>
        <v/>
      </c>
      <c r="AG230" s="35">
        <f>IF(OR($U230="",$AE230="",$AF230="",$X230=""),"",$AE230+$X230*($AF230-$AE230))</f>
        <v/>
      </c>
      <c r="AH230" s="38" t="n"/>
      <c r="AI230" s="38" t="n"/>
      <c r="AJ230" s="38" t="n"/>
      <c r="AK230" s="38" t="n"/>
      <c r="AL230" s="38" t="n"/>
      <c r="AM230" s="38" t="n"/>
      <c r="AN230" s="38" t="n"/>
      <c r="AO230" s="38" t="n"/>
      <c r="AP230" s="38" t="n"/>
      <c r="AQ230" s="38" t="n"/>
      <c r="AR230" s="38" t="n"/>
      <c r="AS230" s="38" t="n"/>
      <c r="AT230" s="38" t="n"/>
      <c r="AU230" s="38" t="n"/>
      <c r="AV230" s="38" t="n"/>
      <c r="AW230" s="38" t="n"/>
      <c r="AX230" s="38" t="n"/>
      <c r="AY230" s="42" t="n"/>
      <c r="AZ230" s="42" t="n"/>
      <c r="BA230" s="42" t="n"/>
      <c r="BB230" s="42" t="n"/>
      <c r="BC230" s="42" t="n"/>
      <c r="BD230" s="37">
        <f>IF($A230="","",SUM($AY230:$BC230))</f>
        <v/>
      </c>
      <c r="BE230" s="18">
        <f>IF($A230="","",IF(AND($I230&lt;&gt;"",$J230&lt;&gt;""),MAX(1,($J230-$I230)/7),Templates!$B$35))</f>
        <v/>
      </c>
      <c r="BF230" s="18">
        <f>IF($A230="","",IF(AND($I230&lt;&gt;"",$J230&lt;&gt;""),MAX(1,($J230-$I230)/7),Templates!$B$36))</f>
        <v/>
      </c>
      <c r="BG230" s="18">
        <f>IF($A230="","",IF(AND($I230&lt;&gt;"",$J230&lt;&gt;""),MAX(1,($J230-$I230)/7),Templates!$B$37))</f>
        <v/>
      </c>
      <c r="BH230" s="18">
        <f>IF($A230="","",IF(AND($I230&lt;&gt;"",$J230&lt;&gt;""),MAX(1,($J230-$I230)/7),Templates!$B$38))</f>
        <v/>
      </c>
      <c r="BI230" s="18">
        <f>IF($A230="","",IF(AND($I230&lt;&gt;"",$J230&lt;&gt;""),MAX(1,($J230-$I230)/7),Templates!$B$39))</f>
        <v/>
      </c>
      <c r="BJ230" s="18">
        <f>IF(OR($A230="",$BD230=0),0,($AY230*Templates!$B$27/$BE230+$AZ230*Templates!$B$28/$BF230+$BA230*Templates!$B$29/$BG230+$BB230*Templates!$B$30/$BH230+$BC230*Templates!$B$31/$BI230)/Templates!$B$17)</f>
        <v/>
      </c>
      <c r="BK230" s="18">
        <f>IF(OR($A230="",$BD230=0),0,($AY230*Templates!$C$27/$BE230+$AZ230*Templates!$C$28/$BF230+$BA230*Templates!$C$29/$BG230+$BB230*Templates!$C$30/$BH230+$BC230*Templates!$C$31/$BI230)/Templates!$B$18)</f>
        <v/>
      </c>
      <c r="BL230" s="18">
        <f>IF(OR($A230="",$BD230=0),0,($AY230*Templates!$D$27/$BE230+$AZ230*Templates!$D$28/$BF230+$BA230*Templates!$D$29/$BG230+$BB230*Templates!$D$30/$BH230+$BC230*Templates!$D$31/$BI230)/Templates!$B$19)</f>
        <v/>
      </c>
      <c r="BM230" s="18">
        <f>IF(OR($A230="",$BD230=0),0,($AY230*Templates!$E$27/$BE230+$AZ230*Templates!$E$28/$BF230+$BA230*Templates!$E$29/$BG230+$BB230*Templates!$E$30/$BH230+$BC230*Templates!$E$31/$BI230)/Templates!$B$20)</f>
        <v/>
      </c>
      <c r="BN230" s="18">
        <f>IF(OR($A230="",$BD230=0),0,($AY230*Templates!$F$27/$BE230+$AZ230*Templates!$F$28/$BF230+$BA230*Templates!$F$29/$BG230+$BB230*Templates!$F$30/$BH230+$BC230*Templates!$F$31/$BI230)/Templates!$B$21)</f>
        <v/>
      </c>
      <c r="BO230" s="18">
        <f>IF(OR($A230="",$BD230=0),0,($AY230*Templates!$G$27/$BE230+$AZ230*Templates!$G$28/$BF230+$BA230*Templates!$G$29/$BG230+$BB230*Templates!$G$30/$BH230+$BC230*Templates!$G$31/$BI230)/Templates!$B$22)</f>
        <v/>
      </c>
      <c r="BP230" s="18">
        <f>IF(OR($A230="",$BD230=0),0,($AY230*Templates!$H$27/$BE230+$AZ230*Templates!$H$28/$BF230+$BA230*Templates!$H$29/$BG230+$BB230*Templates!$H$30/$BH230+$BC230*Templates!$H$31/$BI230)/Templates!$B$23)</f>
        <v/>
      </c>
    </row>
    <row r="231">
      <c r="A231" s="28" t="inlineStr">
        <is>
          <t>code not yet requested</t>
        </is>
      </c>
      <c r="B231" s="20" t="inlineStr">
        <is>
          <t>Mascarene</t>
        </is>
      </c>
      <c r="C231" s="28" t="inlineStr">
        <is>
          <t>Mascarene</t>
        </is>
      </c>
      <c r="D231" s="28" t="inlineStr"/>
      <c r="E231" s="28" t="inlineStr">
        <is>
          <t>No</t>
        </is>
      </c>
      <c r="F231" s="28" t="inlineStr">
        <is>
          <t>Proposal</t>
        </is>
      </c>
      <c r="G231" s="38" t="n"/>
      <c r="H231" s="43" t="n">
        <v>0.5</v>
      </c>
      <c r="I231" s="39" t="n"/>
      <c r="J231" s="39" t="n"/>
      <c r="K231" s="31" t="n"/>
      <c r="L231" s="31" t="n"/>
      <c r="M231" s="31" t="n"/>
      <c r="N231" s="31" t="n"/>
      <c r="O231" s="31" t="n"/>
      <c r="P231" s="31" t="n"/>
      <c r="Q231" s="23">
        <f>IF($A231="","",COUNTIFS(Assignments!$C$2:$C$769,$A231,Assignments!$G$2:$G$769,"Active"))</f>
        <v/>
      </c>
      <c r="R231" s="32">
        <f>IF($A231="","",SUMIFS(Assignments!$I$2:$I$769,Assignments!$C$2:$C$769,$A231,Assignments!$G$2:$G$769,"Active"))</f>
        <v/>
      </c>
      <c r="S231" s="20" t="inlineStr">
        <is>
          <t>Summary tab only (Proposal)</t>
        </is>
      </c>
      <c r="T231" s="31" t="n"/>
      <c r="U231" s="38" t="n"/>
      <c r="V231" s="34">
        <f>IF($U231="","",IFERROR(INDEX(Templates!$K$3:$K$10,MATCH($U231,Templates!$A$3:$A$10,0)),""))</f>
        <v/>
      </c>
      <c r="W231" s="34">
        <f>IF($U231="","",IFERROR(INDEX(Templates!$L$3:$L$10,MATCH($U231,Templates!$A$3:$A$10,0)),""))</f>
        <v/>
      </c>
      <c r="X231" s="21">
        <f>IF($U231="","",IFERROR(INDEX(Templates!$J$3:$J$10,MATCH($U231,Templates!$A$3:$A$10,0)),""))</f>
        <v/>
      </c>
      <c r="Y231" s="35">
        <f>IF(OR($U231="",$I231="",$J231="",$X231=""),"",$I231+$X231*($J231-$I231))</f>
        <v/>
      </c>
      <c r="Z231" s="30" t="n">
        <v>46212</v>
      </c>
      <c r="AA231" s="40" t="n"/>
      <c r="AB231" s="41" t="n"/>
      <c r="AC231" s="41" t="n"/>
      <c r="AD231" s="19">
        <f>IF($A231="","",IF($AA231="",$H231,$AA231))</f>
        <v/>
      </c>
      <c r="AE231" s="35">
        <f>IF($A231="","",IF($AB231="",$I231,$AB231))</f>
        <v/>
      </c>
      <c r="AF231" s="35">
        <f>IF($A231="","",IF($AC231="",$J231,$AC231))</f>
        <v/>
      </c>
      <c r="AG231" s="35">
        <f>IF(OR($U231="",$AE231="",$AF231="",$X231=""),"",$AE231+$X231*($AF231-$AE231))</f>
        <v/>
      </c>
      <c r="AH231" s="38" t="n"/>
      <c r="AI231" s="38" t="n"/>
      <c r="AJ231" s="38" t="n"/>
      <c r="AK231" s="38" t="n"/>
      <c r="AL231" s="38" t="n"/>
      <c r="AM231" s="38" t="n"/>
      <c r="AN231" s="38" t="n"/>
      <c r="AO231" s="38" t="n"/>
      <c r="AP231" s="38" t="n"/>
      <c r="AQ231" s="38" t="n"/>
      <c r="AR231" s="38" t="n"/>
      <c r="AS231" s="38" t="n"/>
      <c r="AT231" s="38" t="n"/>
      <c r="AU231" s="38" t="n"/>
      <c r="AV231" s="38" t="n"/>
      <c r="AW231" s="38" t="n"/>
      <c r="AX231" s="38" t="n"/>
      <c r="AY231" s="42" t="n"/>
      <c r="AZ231" s="42" t="n"/>
      <c r="BA231" s="42" t="n"/>
      <c r="BB231" s="42" t="n"/>
      <c r="BC231" s="42" t="n"/>
      <c r="BD231" s="37">
        <f>IF($A231="","",SUM($AY231:$BC231))</f>
        <v/>
      </c>
      <c r="BE231" s="18">
        <f>IF($A231="","",IF(AND($I231&lt;&gt;"",$J231&lt;&gt;""),MAX(1,($J231-$I231)/7),Templates!$B$35))</f>
        <v/>
      </c>
      <c r="BF231" s="18">
        <f>IF($A231="","",IF(AND($I231&lt;&gt;"",$J231&lt;&gt;""),MAX(1,($J231-$I231)/7),Templates!$B$36))</f>
        <v/>
      </c>
      <c r="BG231" s="18">
        <f>IF($A231="","",IF(AND($I231&lt;&gt;"",$J231&lt;&gt;""),MAX(1,($J231-$I231)/7),Templates!$B$37))</f>
        <v/>
      </c>
      <c r="BH231" s="18">
        <f>IF($A231="","",IF(AND($I231&lt;&gt;"",$J231&lt;&gt;""),MAX(1,($J231-$I231)/7),Templates!$B$38))</f>
        <v/>
      </c>
      <c r="BI231" s="18">
        <f>IF($A231="","",IF(AND($I231&lt;&gt;"",$J231&lt;&gt;""),MAX(1,($J231-$I231)/7),Templates!$B$39))</f>
        <v/>
      </c>
      <c r="BJ231" s="18">
        <f>IF(OR($A231="",$BD231=0),0,($AY231*Templates!$B$27/$BE231+$AZ231*Templates!$B$28/$BF231+$BA231*Templates!$B$29/$BG231+$BB231*Templates!$B$30/$BH231+$BC231*Templates!$B$31/$BI231)/Templates!$B$17)</f>
        <v/>
      </c>
      <c r="BK231" s="18">
        <f>IF(OR($A231="",$BD231=0),0,($AY231*Templates!$C$27/$BE231+$AZ231*Templates!$C$28/$BF231+$BA231*Templates!$C$29/$BG231+$BB231*Templates!$C$30/$BH231+$BC231*Templates!$C$31/$BI231)/Templates!$B$18)</f>
        <v/>
      </c>
      <c r="BL231" s="18">
        <f>IF(OR($A231="",$BD231=0),0,($AY231*Templates!$D$27/$BE231+$AZ231*Templates!$D$28/$BF231+$BA231*Templates!$D$29/$BG231+$BB231*Templates!$D$30/$BH231+$BC231*Templates!$D$31/$BI231)/Templates!$B$19)</f>
        <v/>
      </c>
      <c r="BM231" s="18">
        <f>IF(OR($A231="",$BD231=0),0,($AY231*Templates!$E$27/$BE231+$AZ231*Templates!$E$28/$BF231+$BA231*Templates!$E$29/$BG231+$BB231*Templates!$E$30/$BH231+$BC231*Templates!$E$31/$BI231)/Templates!$B$20)</f>
        <v/>
      </c>
      <c r="BN231" s="18">
        <f>IF(OR($A231="",$BD231=0),0,($AY231*Templates!$F$27/$BE231+$AZ231*Templates!$F$28/$BF231+$BA231*Templates!$F$29/$BG231+$BB231*Templates!$F$30/$BH231+$BC231*Templates!$F$31/$BI231)/Templates!$B$21)</f>
        <v/>
      </c>
      <c r="BO231" s="18">
        <f>IF(OR($A231="",$BD231=0),0,($AY231*Templates!$G$27/$BE231+$AZ231*Templates!$G$28/$BF231+$BA231*Templates!$G$29/$BG231+$BB231*Templates!$G$30/$BH231+$BC231*Templates!$G$31/$BI231)/Templates!$B$22)</f>
        <v/>
      </c>
      <c r="BP231" s="18">
        <f>IF(OR($A231="",$BD231=0),0,($AY231*Templates!$H$27/$BE231+$AZ231*Templates!$H$28/$BF231+$BA231*Templates!$H$29/$BG231+$BB231*Templates!$H$30/$BH231+$BC231*Templates!$H$31/$BI231)/Templates!$B$23)</f>
        <v/>
      </c>
    </row>
    <row r="232">
      <c r="A232" s="28" t="inlineStr">
        <is>
          <t>Contango_1</t>
        </is>
      </c>
      <c r="B232" s="20" t="inlineStr">
        <is>
          <t>Certa</t>
        </is>
      </c>
      <c r="C232" s="28" t="inlineStr">
        <is>
          <t>Certa</t>
        </is>
      </c>
      <c r="D232" s="28" t="inlineStr"/>
      <c r="E232" s="28" t="inlineStr">
        <is>
          <t>No</t>
        </is>
      </c>
      <c r="F232" s="28" t="inlineStr">
        <is>
          <t>Proposal</t>
        </is>
      </c>
      <c r="G232" s="38" t="n"/>
      <c r="H232" s="43" t="n">
        <v>0.5</v>
      </c>
      <c r="I232" s="39" t="n"/>
      <c r="J232" s="39" t="n"/>
      <c r="K232" s="31" t="n"/>
      <c r="L232" s="31" t="n"/>
      <c r="M232" s="31" t="n"/>
      <c r="N232" s="31" t="n"/>
      <c r="O232" s="31" t="n"/>
      <c r="P232" s="31" t="n"/>
      <c r="Q232" s="23">
        <f>IF($A232="","",COUNTIFS(Assignments!$C$2:$C$769,$A232,Assignments!$G$2:$G$769,"Active"))</f>
        <v/>
      </c>
      <c r="R232" s="32">
        <f>IF($A232="","",SUMIFS(Assignments!$I$2:$I$769,Assignments!$C$2:$C$769,$A232,Assignments!$G$2:$G$769,"Active"))</f>
        <v/>
      </c>
      <c r="S232" s="20" t="inlineStr">
        <is>
          <t>Proposal</t>
        </is>
      </c>
      <c r="T232" s="31" t="n"/>
      <c r="U232" s="38" t="n"/>
      <c r="V232" s="34">
        <f>IF($U232="","",IFERROR(INDEX(Templates!$K$3:$K$10,MATCH($U232,Templates!$A$3:$A$10,0)),""))</f>
        <v/>
      </c>
      <c r="W232" s="34">
        <f>IF($U232="","",IFERROR(INDEX(Templates!$L$3:$L$10,MATCH($U232,Templates!$A$3:$A$10,0)),""))</f>
        <v/>
      </c>
      <c r="X232" s="21">
        <f>IF($U232="","",IFERROR(INDEX(Templates!$J$3:$J$10,MATCH($U232,Templates!$A$3:$A$10,0)),""))</f>
        <v/>
      </c>
      <c r="Y232" s="35">
        <f>IF(OR($U232="",$I232="",$J232="",$X232=""),"",$I232+$X232*($J232-$I232))</f>
        <v/>
      </c>
      <c r="Z232" s="30" t="n">
        <v>46212</v>
      </c>
      <c r="AA232" s="40" t="n"/>
      <c r="AB232" s="41" t="n"/>
      <c r="AC232" s="41" t="n"/>
      <c r="AD232" s="19">
        <f>IF($A232="","",IF($AA232="",$H232,$AA232))</f>
        <v/>
      </c>
      <c r="AE232" s="35">
        <f>IF($A232="","",IF($AB232="",$I232,$AB232))</f>
        <v/>
      </c>
      <c r="AF232" s="35">
        <f>IF($A232="","",IF($AC232="",$J232,$AC232))</f>
        <v/>
      </c>
      <c r="AG232" s="35">
        <f>IF(OR($U232="",$AE232="",$AF232="",$X232=""),"",$AE232+$X232*($AF232-$AE232))</f>
        <v/>
      </c>
      <c r="AH232" s="38" t="n"/>
      <c r="AI232" s="38" t="n"/>
      <c r="AJ232" s="38" t="n"/>
      <c r="AK232" s="38" t="n"/>
      <c r="AL232" s="38" t="n"/>
      <c r="AM232" s="38" t="n"/>
      <c r="AN232" s="38" t="n"/>
      <c r="AO232" s="38" t="n"/>
      <c r="AP232" s="38" t="n"/>
      <c r="AQ232" s="38" t="n"/>
      <c r="AR232" s="38" t="n"/>
      <c r="AS232" s="38" t="n"/>
      <c r="AT232" s="38" t="n"/>
      <c r="AU232" s="38" t="n"/>
      <c r="AV232" s="38" t="n"/>
      <c r="AW232" s="38" t="n"/>
      <c r="AX232" s="38" t="n"/>
      <c r="AY232" s="42" t="n"/>
      <c r="AZ232" s="42" t="n"/>
      <c r="BA232" s="42" t="n"/>
      <c r="BB232" s="42" t="n"/>
      <c r="BC232" s="42" t="n"/>
      <c r="BD232" s="37">
        <f>IF($A232="","",SUM($AY232:$BC232))</f>
        <v/>
      </c>
      <c r="BE232" s="18">
        <f>IF($A232="","",IF(AND($I232&lt;&gt;"",$J232&lt;&gt;""),MAX(1,($J232-$I232)/7),Templates!$B$35))</f>
        <v/>
      </c>
      <c r="BF232" s="18">
        <f>IF($A232="","",IF(AND($I232&lt;&gt;"",$J232&lt;&gt;""),MAX(1,($J232-$I232)/7),Templates!$B$36))</f>
        <v/>
      </c>
      <c r="BG232" s="18">
        <f>IF($A232="","",IF(AND($I232&lt;&gt;"",$J232&lt;&gt;""),MAX(1,($J232-$I232)/7),Templates!$B$37))</f>
        <v/>
      </c>
      <c r="BH232" s="18">
        <f>IF($A232="","",IF(AND($I232&lt;&gt;"",$J232&lt;&gt;""),MAX(1,($J232-$I232)/7),Templates!$B$38))</f>
        <v/>
      </c>
      <c r="BI232" s="18">
        <f>IF($A232="","",IF(AND($I232&lt;&gt;"",$J232&lt;&gt;""),MAX(1,($J232-$I232)/7),Templates!$B$39))</f>
        <v/>
      </c>
      <c r="BJ232" s="18">
        <f>IF(OR($A232="",$BD232=0),0,($AY232*Templates!$B$27/$BE232+$AZ232*Templates!$B$28/$BF232+$BA232*Templates!$B$29/$BG232+$BB232*Templates!$B$30/$BH232+$BC232*Templates!$B$31/$BI232)/Templates!$B$17)</f>
        <v/>
      </c>
      <c r="BK232" s="18">
        <f>IF(OR($A232="",$BD232=0),0,($AY232*Templates!$C$27/$BE232+$AZ232*Templates!$C$28/$BF232+$BA232*Templates!$C$29/$BG232+$BB232*Templates!$C$30/$BH232+$BC232*Templates!$C$31/$BI232)/Templates!$B$18)</f>
        <v/>
      </c>
      <c r="BL232" s="18">
        <f>IF(OR($A232="",$BD232=0),0,($AY232*Templates!$D$27/$BE232+$AZ232*Templates!$D$28/$BF232+$BA232*Templates!$D$29/$BG232+$BB232*Templates!$D$30/$BH232+$BC232*Templates!$D$31/$BI232)/Templates!$B$19)</f>
        <v/>
      </c>
      <c r="BM232" s="18">
        <f>IF(OR($A232="",$BD232=0),0,($AY232*Templates!$E$27/$BE232+$AZ232*Templates!$E$28/$BF232+$BA232*Templates!$E$29/$BG232+$BB232*Templates!$E$30/$BH232+$BC232*Templates!$E$31/$BI232)/Templates!$B$20)</f>
        <v/>
      </c>
      <c r="BN232" s="18">
        <f>IF(OR($A232="",$BD232=0),0,($AY232*Templates!$F$27/$BE232+$AZ232*Templates!$F$28/$BF232+$BA232*Templates!$F$29/$BG232+$BB232*Templates!$F$30/$BH232+$BC232*Templates!$F$31/$BI232)/Templates!$B$21)</f>
        <v/>
      </c>
      <c r="BO232" s="18">
        <f>IF(OR($A232="",$BD232=0),0,($AY232*Templates!$G$27/$BE232+$AZ232*Templates!$G$28/$BF232+$BA232*Templates!$G$29/$BG232+$BB232*Templates!$G$30/$BH232+$BC232*Templates!$G$31/$BI232)/Templates!$B$22)</f>
        <v/>
      </c>
      <c r="BP232" s="18">
        <f>IF(OR($A232="",$BD232=0),0,($AY232*Templates!$H$27/$BE232+$AZ232*Templates!$H$28/$BF232+$BA232*Templates!$H$29/$BG232+$BB232*Templates!$H$30/$BH232+$BC232*Templates!$H$31/$BI232)/Templates!$B$23)</f>
        <v/>
      </c>
    </row>
    <row r="233">
      <c r="A233" s="28" t="inlineStr">
        <is>
          <t>Craft_1</t>
        </is>
      </c>
      <c r="B233" s="20" t="inlineStr">
        <is>
          <t>Eight Advisory (Referral Source)</t>
        </is>
      </c>
      <c r="C233" s="28" t="inlineStr">
        <is>
          <t>Eight Advisory</t>
        </is>
      </c>
      <c r="D233" s="28" t="inlineStr"/>
      <c r="E233" s="28" t="inlineStr">
        <is>
          <t>Yes</t>
        </is>
      </c>
      <c r="F233" s="28" t="inlineStr">
        <is>
          <t>Proposal</t>
        </is>
      </c>
      <c r="G233" s="38" t="n"/>
      <c r="H233" s="43" t="n">
        <v>0.5</v>
      </c>
      <c r="I233" s="39" t="n"/>
      <c r="J233" s="39" t="n"/>
      <c r="K233" s="31" t="n"/>
      <c r="L233" s="31" t="n"/>
      <c r="M233" s="31" t="n"/>
      <c r="N233" s="31" t="n"/>
      <c r="O233" s="31" t="n"/>
      <c r="P233" s="31" t="n"/>
      <c r="Q233" s="23">
        <f>IF($A233="","",COUNTIFS(Assignments!$C$2:$C$769,$A233,Assignments!$G$2:$G$769,"Active"))</f>
        <v/>
      </c>
      <c r="R233" s="32">
        <f>IF($A233="","",SUMIFS(Assignments!$I$2:$I$769,Assignments!$C$2:$C$769,$A233,Assignments!$G$2:$G$769,"Active"))</f>
        <v/>
      </c>
      <c r="S233" s="20" t="inlineStr">
        <is>
          <t>Proposal</t>
        </is>
      </c>
      <c r="T233" s="31" t="n"/>
      <c r="U233" s="38" t="n"/>
      <c r="V233" s="34">
        <f>IF($U233="","",IFERROR(INDEX(Templates!$K$3:$K$10,MATCH($U233,Templates!$A$3:$A$10,0)),""))</f>
        <v/>
      </c>
      <c r="W233" s="34">
        <f>IF($U233="","",IFERROR(INDEX(Templates!$L$3:$L$10,MATCH($U233,Templates!$A$3:$A$10,0)),""))</f>
        <v/>
      </c>
      <c r="X233" s="21">
        <f>IF($U233="","",IFERROR(INDEX(Templates!$J$3:$J$10,MATCH($U233,Templates!$A$3:$A$10,0)),""))</f>
        <v/>
      </c>
      <c r="Y233" s="35">
        <f>IF(OR($U233="",$I233="",$J233="",$X233=""),"",$I233+$X233*($J233-$I233))</f>
        <v/>
      </c>
      <c r="Z233" s="30" t="n">
        <v>46212</v>
      </c>
      <c r="AA233" s="40" t="n"/>
      <c r="AB233" s="41" t="n"/>
      <c r="AC233" s="41" t="n"/>
      <c r="AD233" s="19">
        <f>IF($A233="","",IF($AA233="",$H233,$AA233))</f>
        <v/>
      </c>
      <c r="AE233" s="35">
        <f>IF($A233="","",IF($AB233="",$I233,$AB233))</f>
        <v/>
      </c>
      <c r="AF233" s="35">
        <f>IF($A233="","",IF($AC233="",$J233,$AC233))</f>
        <v/>
      </c>
      <c r="AG233" s="35">
        <f>IF(OR($U233="",$AE233="",$AF233="",$X233=""),"",$AE233+$X233*($AF233-$AE233))</f>
        <v/>
      </c>
      <c r="AH233" s="38" t="n"/>
      <c r="AI233" s="38" t="n"/>
      <c r="AJ233" s="38" t="n"/>
      <c r="AK233" s="38" t="n"/>
      <c r="AL233" s="38" t="n"/>
      <c r="AM233" s="38" t="n"/>
      <c r="AN233" s="38" t="n"/>
      <c r="AO233" s="38" t="n"/>
      <c r="AP233" s="38" t="n"/>
      <c r="AQ233" s="38" t="n"/>
      <c r="AR233" s="38" t="n"/>
      <c r="AS233" s="38" t="n"/>
      <c r="AT233" s="38" t="n"/>
      <c r="AU233" s="38" t="n"/>
      <c r="AV233" s="38" t="n"/>
      <c r="AW233" s="38" t="n"/>
      <c r="AX233" s="38" t="n"/>
      <c r="AY233" s="42" t="n"/>
      <c r="AZ233" s="42" t="n"/>
      <c r="BA233" s="42" t="n"/>
      <c r="BB233" s="42" t="n"/>
      <c r="BC233" s="42" t="n"/>
      <c r="BD233" s="37">
        <f>IF($A233="","",SUM($AY233:$BC233))</f>
        <v/>
      </c>
      <c r="BE233" s="18">
        <f>IF($A233="","",IF(AND($I233&lt;&gt;"",$J233&lt;&gt;""),MAX(1,($J233-$I233)/7),Templates!$B$35))</f>
        <v/>
      </c>
      <c r="BF233" s="18">
        <f>IF($A233="","",IF(AND($I233&lt;&gt;"",$J233&lt;&gt;""),MAX(1,($J233-$I233)/7),Templates!$B$36))</f>
        <v/>
      </c>
      <c r="BG233" s="18">
        <f>IF($A233="","",IF(AND($I233&lt;&gt;"",$J233&lt;&gt;""),MAX(1,($J233-$I233)/7),Templates!$B$37))</f>
        <v/>
      </c>
      <c r="BH233" s="18">
        <f>IF($A233="","",IF(AND($I233&lt;&gt;"",$J233&lt;&gt;""),MAX(1,($J233-$I233)/7),Templates!$B$38))</f>
        <v/>
      </c>
      <c r="BI233" s="18">
        <f>IF($A233="","",IF(AND($I233&lt;&gt;"",$J233&lt;&gt;""),MAX(1,($J233-$I233)/7),Templates!$B$39))</f>
        <v/>
      </c>
      <c r="BJ233" s="18">
        <f>IF(OR($A233="",$BD233=0),0,($AY233*Templates!$B$27/$BE233+$AZ233*Templates!$B$28/$BF233+$BA233*Templates!$B$29/$BG233+$BB233*Templates!$B$30/$BH233+$BC233*Templates!$B$31/$BI233)/Templates!$B$17)</f>
        <v/>
      </c>
      <c r="BK233" s="18">
        <f>IF(OR($A233="",$BD233=0),0,($AY233*Templates!$C$27/$BE233+$AZ233*Templates!$C$28/$BF233+$BA233*Templates!$C$29/$BG233+$BB233*Templates!$C$30/$BH233+$BC233*Templates!$C$31/$BI233)/Templates!$B$18)</f>
        <v/>
      </c>
      <c r="BL233" s="18">
        <f>IF(OR($A233="",$BD233=0),0,($AY233*Templates!$D$27/$BE233+$AZ233*Templates!$D$28/$BF233+$BA233*Templates!$D$29/$BG233+$BB233*Templates!$D$30/$BH233+$BC233*Templates!$D$31/$BI233)/Templates!$B$19)</f>
        <v/>
      </c>
      <c r="BM233" s="18">
        <f>IF(OR($A233="",$BD233=0),0,($AY233*Templates!$E$27/$BE233+$AZ233*Templates!$E$28/$BF233+$BA233*Templates!$E$29/$BG233+$BB233*Templates!$E$30/$BH233+$BC233*Templates!$E$31/$BI233)/Templates!$B$20)</f>
        <v/>
      </c>
      <c r="BN233" s="18">
        <f>IF(OR($A233="",$BD233=0),0,($AY233*Templates!$F$27/$BE233+$AZ233*Templates!$F$28/$BF233+$BA233*Templates!$F$29/$BG233+$BB233*Templates!$F$30/$BH233+$BC233*Templates!$F$31/$BI233)/Templates!$B$21)</f>
        <v/>
      </c>
      <c r="BO233" s="18">
        <f>IF(OR($A233="",$BD233=0),0,($AY233*Templates!$G$27/$BE233+$AZ233*Templates!$G$28/$BF233+$BA233*Templates!$G$29/$BG233+$BB233*Templates!$G$30/$BH233+$BC233*Templates!$G$31/$BI233)/Templates!$B$22)</f>
        <v/>
      </c>
      <c r="BP233" s="18">
        <f>IF(OR($A233="",$BD233=0),0,($AY233*Templates!$H$27/$BE233+$AZ233*Templates!$H$28/$BF233+$BA233*Templates!$H$29/$BG233+$BB233*Templates!$H$30/$BH233+$BC233*Templates!$H$31/$BI233)/Templates!$B$23)</f>
        <v/>
      </c>
    </row>
    <row r="234">
      <c r="A234" s="28" t="inlineStr">
        <is>
          <t>Danone_1</t>
        </is>
      </c>
      <c r="B234" s="20" t="inlineStr">
        <is>
          <t>Danone North America</t>
        </is>
      </c>
      <c r="C234" s="28" t="inlineStr">
        <is>
          <t>Danone North America</t>
        </is>
      </c>
      <c r="D234" s="28" t="inlineStr"/>
      <c r="E234" s="28" t="inlineStr">
        <is>
          <t>No</t>
        </is>
      </c>
      <c r="F234" s="28" t="inlineStr">
        <is>
          <t>Proposal</t>
        </is>
      </c>
      <c r="G234" s="38" t="n"/>
      <c r="H234" s="43" t="n">
        <v>0.5</v>
      </c>
      <c r="I234" s="39" t="n"/>
      <c r="J234" s="39" t="n"/>
      <c r="K234" s="31" t="n"/>
      <c r="L234" s="31" t="n"/>
      <c r="M234" s="31" t="n"/>
      <c r="N234" s="31" t="n"/>
      <c r="O234" s="31" t="n"/>
      <c r="P234" s="31" t="n"/>
      <c r="Q234" s="23">
        <f>IF($A234="","",COUNTIFS(Assignments!$C$2:$C$769,$A234,Assignments!$G$2:$G$769,"Active"))</f>
        <v/>
      </c>
      <c r="R234" s="32">
        <f>IF($A234="","",SUMIFS(Assignments!$I$2:$I$769,Assignments!$C$2:$C$769,$A234,Assignments!$G$2:$G$769,"Active"))</f>
        <v/>
      </c>
      <c r="S234" s="20" t="inlineStr">
        <is>
          <t>Proposal</t>
        </is>
      </c>
      <c r="T234" s="31" t="n"/>
      <c r="U234" s="38" t="n"/>
      <c r="V234" s="34">
        <f>IF($U234="","",IFERROR(INDEX(Templates!$K$3:$K$10,MATCH($U234,Templates!$A$3:$A$10,0)),""))</f>
        <v/>
      </c>
      <c r="W234" s="34">
        <f>IF($U234="","",IFERROR(INDEX(Templates!$L$3:$L$10,MATCH($U234,Templates!$A$3:$A$10,0)),""))</f>
        <v/>
      </c>
      <c r="X234" s="21">
        <f>IF($U234="","",IFERROR(INDEX(Templates!$J$3:$J$10,MATCH($U234,Templates!$A$3:$A$10,0)),""))</f>
        <v/>
      </c>
      <c r="Y234" s="35">
        <f>IF(OR($U234="",$I234="",$J234="",$X234=""),"",$I234+$X234*($J234-$I234))</f>
        <v/>
      </c>
      <c r="Z234" s="30" t="n">
        <v>46212</v>
      </c>
      <c r="AA234" s="40" t="n"/>
      <c r="AB234" s="41" t="n"/>
      <c r="AC234" s="41" t="n"/>
      <c r="AD234" s="19">
        <f>IF($A234="","",IF($AA234="",$H234,$AA234))</f>
        <v/>
      </c>
      <c r="AE234" s="35">
        <f>IF($A234="","",IF($AB234="",$I234,$AB234))</f>
        <v/>
      </c>
      <c r="AF234" s="35">
        <f>IF($A234="","",IF($AC234="",$J234,$AC234))</f>
        <v/>
      </c>
      <c r="AG234" s="35">
        <f>IF(OR($U234="",$AE234="",$AF234="",$X234=""),"",$AE234+$X234*($AF234-$AE234))</f>
        <v/>
      </c>
      <c r="AH234" s="38" t="n"/>
      <c r="AI234" s="38" t="n"/>
      <c r="AJ234" s="38" t="n"/>
      <c r="AK234" s="38" t="n"/>
      <c r="AL234" s="38" t="n"/>
      <c r="AM234" s="38" t="n"/>
      <c r="AN234" s="38" t="n"/>
      <c r="AO234" s="38" t="n"/>
      <c r="AP234" s="38" t="n"/>
      <c r="AQ234" s="38" t="n"/>
      <c r="AR234" s="38" t="n"/>
      <c r="AS234" s="38" t="n"/>
      <c r="AT234" s="38" t="n"/>
      <c r="AU234" s="38" t="n"/>
      <c r="AV234" s="38" t="n"/>
      <c r="AW234" s="38" t="n"/>
      <c r="AX234" s="38" t="n"/>
      <c r="AY234" s="42" t="n"/>
      <c r="AZ234" s="42" t="n"/>
      <c r="BA234" s="42" t="n"/>
      <c r="BB234" s="42" t="n"/>
      <c r="BC234" s="42" t="n"/>
      <c r="BD234" s="37">
        <f>IF($A234="","",SUM($AY234:$BC234))</f>
        <v/>
      </c>
      <c r="BE234" s="18">
        <f>IF($A234="","",IF(AND($I234&lt;&gt;"",$J234&lt;&gt;""),MAX(1,($J234-$I234)/7),Templates!$B$35))</f>
        <v/>
      </c>
      <c r="BF234" s="18">
        <f>IF($A234="","",IF(AND($I234&lt;&gt;"",$J234&lt;&gt;""),MAX(1,($J234-$I234)/7),Templates!$B$36))</f>
        <v/>
      </c>
      <c r="BG234" s="18">
        <f>IF($A234="","",IF(AND($I234&lt;&gt;"",$J234&lt;&gt;""),MAX(1,($J234-$I234)/7),Templates!$B$37))</f>
        <v/>
      </c>
      <c r="BH234" s="18">
        <f>IF($A234="","",IF(AND($I234&lt;&gt;"",$J234&lt;&gt;""),MAX(1,($J234-$I234)/7),Templates!$B$38))</f>
        <v/>
      </c>
      <c r="BI234" s="18">
        <f>IF($A234="","",IF(AND($I234&lt;&gt;"",$J234&lt;&gt;""),MAX(1,($J234-$I234)/7),Templates!$B$39))</f>
        <v/>
      </c>
      <c r="BJ234" s="18">
        <f>IF(OR($A234="",$BD234=0),0,($AY234*Templates!$B$27/$BE234+$AZ234*Templates!$B$28/$BF234+$BA234*Templates!$B$29/$BG234+$BB234*Templates!$B$30/$BH234+$BC234*Templates!$B$31/$BI234)/Templates!$B$17)</f>
        <v/>
      </c>
      <c r="BK234" s="18">
        <f>IF(OR($A234="",$BD234=0),0,($AY234*Templates!$C$27/$BE234+$AZ234*Templates!$C$28/$BF234+$BA234*Templates!$C$29/$BG234+$BB234*Templates!$C$30/$BH234+$BC234*Templates!$C$31/$BI234)/Templates!$B$18)</f>
        <v/>
      </c>
      <c r="BL234" s="18">
        <f>IF(OR($A234="",$BD234=0),0,($AY234*Templates!$D$27/$BE234+$AZ234*Templates!$D$28/$BF234+$BA234*Templates!$D$29/$BG234+$BB234*Templates!$D$30/$BH234+$BC234*Templates!$D$31/$BI234)/Templates!$B$19)</f>
        <v/>
      </c>
      <c r="BM234" s="18">
        <f>IF(OR($A234="",$BD234=0),0,($AY234*Templates!$E$27/$BE234+$AZ234*Templates!$E$28/$BF234+$BA234*Templates!$E$29/$BG234+$BB234*Templates!$E$30/$BH234+$BC234*Templates!$E$31/$BI234)/Templates!$B$20)</f>
        <v/>
      </c>
      <c r="BN234" s="18">
        <f>IF(OR($A234="",$BD234=0),0,($AY234*Templates!$F$27/$BE234+$AZ234*Templates!$F$28/$BF234+$BA234*Templates!$F$29/$BG234+$BB234*Templates!$F$30/$BH234+$BC234*Templates!$F$31/$BI234)/Templates!$B$21)</f>
        <v/>
      </c>
      <c r="BO234" s="18">
        <f>IF(OR($A234="",$BD234=0),0,($AY234*Templates!$G$27/$BE234+$AZ234*Templates!$G$28/$BF234+$BA234*Templates!$G$29/$BG234+$BB234*Templates!$G$30/$BH234+$BC234*Templates!$G$31/$BI234)/Templates!$B$22)</f>
        <v/>
      </c>
      <c r="BP234" s="18">
        <f>IF(OR($A234="",$BD234=0),0,($AY234*Templates!$H$27/$BE234+$AZ234*Templates!$H$28/$BF234+$BA234*Templates!$H$29/$BG234+$BB234*Templates!$H$30/$BH234+$BC234*Templates!$H$31/$BI234)/Templates!$B$23)</f>
        <v/>
      </c>
    </row>
    <row r="235">
      <c r="A235" s="28" t="inlineStr">
        <is>
          <t>DCLI Sellside_1</t>
        </is>
      </c>
      <c r="B235" s="20" t="inlineStr">
        <is>
          <t>OMERS Infrastructure</t>
        </is>
      </c>
      <c r="C235" s="28" t="inlineStr">
        <is>
          <t>OMERS Infrastructure</t>
        </is>
      </c>
      <c r="D235" s="28" t="inlineStr"/>
      <c r="E235" s="28" t="inlineStr">
        <is>
          <t>No</t>
        </is>
      </c>
      <c r="F235" s="28" t="inlineStr">
        <is>
          <t>Proposal</t>
        </is>
      </c>
      <c r="G235" s="38" t="n"/>
      <c r="H235" s="43" t="n">
        <v>0.5</v>
      </c>
      <c r="I235" s="39" t="n"/>
      <c r="J235" s="39" t="n"/>
      <c r="K235" s="31" t="n"/>
      <c r="L235" s="31" t="n"/>
      <c r="M235" s="31" t="n"/>
      <c r="N235" s="31" t="n"/>
      <c r="O235" s="31" t="n"/>
      <c r="P235" s="31" t="n"/>
      <c r="Q235" s="23">
        <f>IF($A235="","",COUNTIFS(Assignments!$C$2:$C$769,$A235,Assignments!$G$2:$G$769,"Active"))</f>
        <v/>
      </c>
      <c r="R235" s="32">
        <f>IF($A235="","",SUMIFS(Assignments!$I$2:$I$769,Assignments!$C$2:$C$769,$A235,Assignments!$G$2:$G$769,"Active"))</f>
        <v/>
      </c>
      <c r="S235" s="20" t="inlineStr">
        <is>
          <t>Proposal</t>
        </is>
      </c>
      <c r="T235" s="31" t="n"/>
      <c r="U235" s="38" t="n"/>
      <c r="V235" s="34">
        <f>IF($U235="","",IFERROR(INDEX(Templates!$K$3:$K$10,MATCH($U235,Templates!$A$3:$A$10,0)),""))</f>
        <v/>
      </c>
      <c r="W235" s="34">
        <f>IF($U235="","",IFERROR(INDEX(Templates!$L$3:$L$10,MATCH($U235,Templates!$A$3:$A$10,0)),""))</f>
        <v/>
      </c>
      <c r="X235" s="21">
        <f>IF($U235="","",IFERROR(INDEX(Templates!$J$3:$J$10,MATCH($U235,Templates!$A$3:$A$10,0)),""))</f>
        <v/>
      </c>
      <c r="Y235" s="35">
        <f>IF(OR($U235="",$I235="",$J235="",$X235=""),"",$I235+$X235*($J235-$I235))</f>
        <v/>
      </c>
      <c r="Z235" s="30" t="n">
        <v>46212</v>
      </c>
      <c r="AA235" s="40" t="n"/>
      <c r="AB235" s="41" t="n"/>
      <c r="AC235" s="41" t="n"/>
      <c r="AD235" s="19">
        <f>IF($A235="","",IF($AA235="",$H235,$AA235))</f>
        <v/>
      </c>
      <c r="AE235" s="35">
        <f>IF($A235="","",IF($AB235="",$I235,$AB235))</f>
        <v/>
      </c>
      <c r="AF235" s="35">
        <f>IF($A235="","",IF($AC235="",$J235,$AC235))</f>
        <v/>
      </c>
      <c r="AG235" s="35">
        <f>IF(OR($U235="",$AE235="",$AF235="",$X235=""),"",$AE235+$X235*($AF235-$AE235))</f>
        <v/>
      </c>
      <c r="AH235" s="38" t="n"/>
      <c r="AI235" s="38" t="n"/>
      <c r="AJ235" s="38" t="n"/>
      <c r="AK235" s="38" t="n"/>
      <c r="AL235" s="38" t="n"/>
      <c r="AM235" s="38" t="n"/>
      <c r="AN235" s="38" t="n"/>
      <c r="AO235" s="38" t="n"/>
      <c r="AP235" s="38" t="n"/>
      <c r="AQ235" s="38" t="n"/>
      <c r="AR235" s="38" t="n"/>
      <c r="AS235" s="38" t="n"/>
      <c r="AT235" s="38" t="n"/>
      <c r="AU235" s="38" t="n"/>
      <c r="AV235" s="38" t="n"/>
      <c r="AW235" s="38" t="n"/>
      <c r="AX235" s="38" t="n"/>
      <c r="AY235" s="42" t="n"/>
      <c r="AZ235" s="42" t="n"/>
      <c r="BA235" s="42" t="n"/>
      <c r="BB235" s="42" t="n"/>
      <c r="BC235" s="42" t="n"/>
      <c r="BD235" s="37">
        <f>IF($A235="","",SUM($AY235:$BC235))</f>
        <v/>
      </c>
      <c r="BE235" s="18">
        <f>IF($A235="","",IF(AND($I235&lt;&gt;"",$J235&lt;&gt;""),MAX(1,($J235-$I235)/7),Templates!$B$35))</f>
        <v/>
      </c>
      <c r="BF235" s="18">
        <f>IF($A235="","",IF(AND($I235&lt;&gt;"",$J235&lt;&gt;""),MAX(1,($J235-$I235)/7),Templates!$B$36))</f>
        <v/>
      </c>
      <c r="BG235" s="18">
        <f>IF($A235="","",IF(AND($I235&lt;&gt;"",$J235&lt;&gt;""),MAX(1,($J235-$I235)/7),Templates!$B$37))</f>
        <v/>
      </c>
      <c r="BH235" s="18">
        <f>IF($A235="","",IF(AND($I235&lt;&gt;"",$J235&lt;&gt;""),MAX(1,($J235-$I235)/7),Templates!$B$38))</f>
        <v/>
      </c>
      <c r="BI235" s="18">
        <f>IF($A235="","",IF(AND($I235&lt;&gt;"",$J235&lt;&gt;""),MAX(1,($J235-$I235)/7),Templates!$B$39))</f>
        <v/>
      </c>
      <c r="BJ235" s="18">
        <f>IF(OR($A235="",$BD235=0),0,($AY235*Templates!$B$27/$BE235+$AZ235*Templates!$B$28/$BF235+$BA235*Templates!$B$29/$BG235+$BB235*Templates!$B$30/$BH235+$BC235*Templates!$B$31/$BI235)/Templates!$B$17)</f>
        <v/>
      </c>
      <c r="BK235" s="18">
        <f>IF(OR($A235="",$BD235=0),0,($AY235*Templates!$C$27/$BE235+$AZ235*Templates!$C$28/$BF235+$BA235*Templates!$C$29/$BG235+$BB235*Templates!$C$30/$BH235+$BC235*Templates!$C$31/$BI235)/Templates!$B$18)</f>
        <v/>
      </c>
      <c r="BL235" s="18">
        <f>IF(OR($A235="",$BD235=0),0,($AY235*Templates!$D$27/$BE235+$AZ235*Templates!$D$28/$BF235+$BA235*Templates!$D$29/$BG235+$BB235*Templates!$D$30/$BH235+$BC235*Templates!$D$31/$BI235)/Templates!$B$19)</f>
        <v/>
      </c>
      <c r="BM235" s="18">
        <f>IF(OR($A235="",$BD235=0),0,($AY235*Templates!$E$27/$BE235+$AZ235*Templates!$E$28/$BF235+$BA235*Templates!$E$29/$BG235+$BB235*Templates!$E$30/$BH235+$BC235*Templates!$E$31/$BI235)/Templates!$B$20)</f>
        <v/>
      </c>
      <c r="BN235" s="18">
        <f>IF(OR($A235="",$BD235=0),0,($AY235*Templates!$F$27/$BE235+$AZ235*Templates!$F$28/$BF235+$BA235*Templates!$F$29/$BG235+$BB235*Templates!$F$30/$BH235+$BC235*Templates!$F$31/$BI235)/Templates!$B$21)</f>
        <v/>
      </c>
      <c r="BO235" s="18">
        <f>IF(OR($A235="",$BD235=0),0,($AY235*Templates!$G$27/$BE235+$AZ235*Templates!$G$28/$BF235+$BA235*Templates!$G$29/$BG235+$BB235*Templates!$G$30/$BH235+$BC235*Templates!$G$31/$BI235)/Templates!$B$22)</f>
        <v/>
      </c>
      <c r="BP235" s="18">
        <f>IF(OR($A235="",$BD235=0),0,($AY235*Templates!$H$27/$BE235+$AZ235*Templates!$H$28/$BF235+$BA235*Templates!$H$29/$BG235+$BB235*Templates!$H$30/$BH235+$BC235*Templates!$H$31/$BI235)/Templates!$B$23)</f>
        <v/>
      </c>
    </row>
    <row r="236">
      <c r="A236" s="28" t="inlineStr">
        <is>
          <t>Dunlin_1</t>
        </is>
      </c>
      <c r="B236" s="20" t="inlineStr">
        <is>
          <t>Infrared Capital Partners</t>
        </is>
      </c>
      <c r="C236" s="28" t="inlineStr">
        <is>
          <t>Infrared Capital Partners</t>
        </is>
      </c>
      <c r="D236" s="28" t="inlineStr"/>
      <c r="E236" s="28" t="inlineStr">
        <is>
          <t>No</t>
        </is>
      </c>
      <c r="F236" s="28" t="inlineStr">
        <is>
          <t>Proposal</t>
        </is>
      </c>
      <c r="G236" s="38" t="n"/>
      <c r="H236" s="43" t="n">
        <v>0.5</v>
      </c>
      <c r="I236" s="39" t="n"/>
      <c r="J236" s="39" t="n"/>
      <c r="K236" s="31" t="n"/>
      <c r="L236" s="31" t="n"/>
      <c r="M236" s="31" t="n"/>
      <c r="N236" s="31" t="n"/>
      <c r="O236" s="31" t="n"/>
      <c r="P236" s="31" t="n"/>
      <c r="Q236" s="23">
        <f>IF($A236="","",COUNTIFS(Assignments!$C$2:$C$769,$A236,Assignments!$G$2:$G$769,"Active"))</f>
        <v/>
      </c>
      <c r="R236" s="32">
        <f>IF($A236="","",SUMIFS(Assignments!$I$2:$I$769,Assignments!$C$2:$C$769,$A236,Assignments!$G$2:$G$769,"Active"))</f>
        <v/>
      </c>
      <c r="S236" s="20" t="inlineStr">
        <is>
          <t>Proposal</t>
        </is>
      </c>
      <c r="T236" s="31" t="n"/>
      <c r="U236" s="38" t="n"/>
      <c r="V236" s="34">
        <f>IF($U236="","",IFERROR(INDEX(Templates!$K$3:$K$10,MATCH($U236,Templates!$A$3:$A$10,0)),""))</f>
        <v/>
      </c>
      <c r="W236" s="34">
        <f>IF($U236="","",IFERROR(INDEX(Templates!$L$3:$L$10,MATCH($U236,Templates!$A$3:$A$10,0)),""))</f>
        <v/>
      </c>
      <c r="X236" s="21">
        <f>IF($U236="","",IFERROR(INDEX(Templates!$J$3:$J$10,MATCH($U236,Templates!$A$3:$A$10,0)),""))</f>
        <v/>
      </c>
      <c r="Y236" s="35">
        <f>IF(OR($U236="",$I236="",$J236="",$X236=""),"",$I236+$X236*($J236-$I236))</f>
        <v/>
      </c>
      <c r="Z236" s="30" t="n">
        <v>46212</v>
      </c>
      <c r="AA236" s="40" t="n"/>
      <c r="AB236" s="41" t="n"/>
      <c r="AC236" s="41" t="n"/>
      <c r="AD236" s="19">
        <f>IF($A236="","",IF($AA236="",$H236,$AA236))</f>
        <v/>
      </c>
      <c r="AE236" s="35">
        <f>IF($A236="","",IF($AB236="",$I236,$AB236))</f>
        <v/>
      </c>
      <c r="AF236" s="35">
        <f>IF($A236="","",IF($AC236="",$J236,$AC236))</f>
        <v/>
      </c>
      <c r="AG236" s="35">
        <f>IF(OR($U236="",$AE236="",$AF236="",$X236=""),"",$AE236+$X236*($AF236-$AE236))</f>
        <v/>
      </c>
      <c r="AH236" s="38" t="n"/>
      <c r="AI236" s="38" t="n"/>
      <c r="AJ236" s="38" t="n"/>
      <c r="AK236" s="38" t="n"/>
      <c r="AL236" s="38" t="n"/>
      <c r="AM236" s="38" t="n"/>
      <c r="AN236" s="38" t="n"/>
      <c r="AO236" s="38" t="n"/>
      <c r="AP236" s="38" t="n"/>
      <c r="AQ236" s="38" t="n"/>
      <c r="AR236" s="38" t="n"/>
      <c r="AS236" s="38" t="n"/>
      <c r="AT236" s="38" t="n"/>
      <c r="AU236" s="38" t="n"/>
      <c r="AV236" s="38" t="n"/>
      <c r="AW236" s="38" t="n"/>
      <c r="AX236" s="38" t="n"/>
      <c r="AY236" s="42" t="n"/>
      <c r="AZ236" s="42" t="n"/>
      <c r="BA236" s="42" t="n"/>
      <c r="BB236" s="42" t="n"/>
      <c r="BC236" s="42" t="n"/>
      <c r="BD236" s="37">
        <f>IF($A236="","",SUM($AY236:$BC236))</f>
        <v/>
      </c>
      <c r="BE236" s="18">
        <f>IF($A236="","",IF(AND($I236&lt;&gt;"",$J236&lt;&gt;""),MAX(1,($J236-$I236)/7),Templates!$B$35))</f>
        <v/>
      </c>
      <c r="BF236" s="18">
        <f>IF($A236="","",IF(AND($I236&lt;&gt;"",$J236&lt;&gt;""),MAX(1,($J236-$I236)/7),Templates!$B$36))</f>
        <v/>
      </c>
      <c r="BG236" s="18">
        <f>IF($A236="","",IF(AND($I236&lt;&gt;"",$J236&lt;&gt;""),MAX(1,($J236-$I236)/7),Templates!$B$37))</f>
        <v/>
      </c>
      <c r="BH236" s="18">
        <f>IF($A236="","",IF(AND($I236&lt;&gt;"",$J236&lt;&gt;""),MAX(1,($J236-$I236)/7),Templates!$B$38))</f>
        <v/>
      </c>
      <c r="BI236" s="18">
        <f>IF($A236="","",IF(AND($I236&lt;&gt;"",$J236&lt;&gt;""),MAX(1,($J236-$I236)/7),Templates!$B$39))</f>
        <v/>
      </c>
      <c r="BJ236" s="18">
        <f>IF(OR($A236="",$BD236=0),0,($AY236*Templates!$B$27/$BE236+$AZ236*Templates!$B$28/$BF236+$BA236*Templates!$B$29/$BG236+$BB236*Templates!$B$30/$BH236+$BC236*Templates!$B$31/$BI236)/Templates!$B$17)</f>
        <v/>
      </c>
      <c r="BK236" s="18">
        <f>IF(OR($A236="",$BD236=0),0,($AY236*Templates!$C$27/$BE236+$AZ236*Templates!$C$28/$BF236+$BA236*Templates!$C$29/$BG236+$BB236*Templates!$C$30/$BH236+$BC236*Templates!$C$31/$BI236)/Templates!$B$18)</f>
        <v/>
      </c>
      <c r="BL236" s="18">
        <f>IF(OR($A236="",$BD236=0),0,($AY236*Templates!$D$27/$BE236+$AZ236*Templates!$D$28/$BF236+$BA236*Templates!$D$29/$BG236+$BB236*Templates!$D$30/$BH236+$BC236*Templates!$D$31/$BI236)/Templates!$B$19)</f>
        <v/>
      </c>
      <c r="BM236" s="18">
        <f>IF(OR($A236="",$BD236=0),0,($AY236*Templates!$E$27/$BE236+$AZ236*Templates!$E$28/$BF236+$BA236*Templates!$E$29/$BG236+$BB236*Templates!$E$30/$BH236+$BC236*Templates!$E$31/$BI236)/Templates!$B$20)</f>
        <v/>
      </c>
      <c r="BN236" s="18">
        <f>IF(OR($A236="",$BD236=0),0,($AY236*Templates!$F$27/$BE236+$AZ236*Templates!$F$28/$BF236+$BA236*Templates!$F$29/$BG236+$BB236*Templates!$F$30/$BH236+$BC236*Templates!$F$31/$BI236)/Templates!$B$21)</f>
        <v/>
      </c>
      <c r="BO236" s="18">
        <f>IF(OR($A236="",$BD236=0),0,($AY236*Templates!$G$27/$BE236+$AZ236*Templates!$G$28/$BF236+$BA236*Templates!$G$29/$BG236+$BB236*Templates!$G$30/$BH236+$BC236*Templates!$G$31/$BI236)/Templates!$B$22)</f>
        <v/>
      </c>
      <c r="BP236" s="18">
        <f>IF(OR($A236="",$BD236=0),0,($AY236*Templates!$H$27/$BE236+$AZ236*Templates!$H$28/$BF236+$BA236*Templates!$H$29/$BG236+$BB236*Templates!$H$30/$BH236+$BC236*Templates!$H$31/$BI236)/Templates!$B$23)</f>
        <v/>
      </c>
    </row>
    <row r="237">
      <c r="A237" s="28" t="inlineStr">
        <is>
          <t>EDFG TVDD_1</t>
        </is>
      </c>
      <c r="B237" s="20" t="inlineStr">
        <is>
          <t>Eight Advisory (Referral Source)</t>
        </is>
      </c>
      <c r="C237" s="28" t="inlineStr">
        <is>
          <t>Eight Advisory</t>
        </is>
      </c>
      <c r="D237" s="28" t="inlineStr"/>
      <c r="E237" s="28" t="inlineStr">
        <is>
          <t>Yes</t>
        </is>
      </c>
      <c r="F237" s="28" t="inlineStr">
        <is>
          <t>Proposal</t>
        </is>
      </c>
      <c r="G237" s="38" t="n"/>
      <c r="H237" s="43" t="n">
        <v>0.5</v>
      </c>
      <c r="I237" s="39" t="n"/>
      <c r="J237" s="39" t="n"/>
      <c r="K237" s="31" t="n"/>
      <c r="L237" s="31" t="n"/>
      <c r="M237" s="31" t="n"/>
      <c r="N237" s="31" t="n"/>
      <c r="O237" s="31" t="n"/>
      <c r="P237" s="31" t="n"/>
      <c r="Q237" s="23">
        <f>IF($A237="","",COUNTIFS(Assignments!$C$2:$C$769,$A237,Assignments!$G$2:$G$769,"Active"))</f>
        <v/>
      </c>
      <c r="R237" s="32">
        <f>IF($A237="","",SUMIFS(Assignments!$I$2:$I$769,Assignments!$C$2:$C$769,$A237,Assignments!$G$2:$G$769,"Active"))</f>
        <v/>
      </c>
      <c r="S237" s="20" t="inlineStr">
        <is>
          <t>Proposal</t>
        </is>
      </c>
      <c r="T237" s="31" t="n"/>
      <c r="U237" s="38" t="n"/>
      <c r="V237" s="34">
        <f>IF($U237="","",IFERROR(INDEX(Templates!$K$3:$K$10,MATCH($U237,Templates!$A$3:$A$10,0)),""))</f>
        <v/>
      </c>
      <c r="W237" s="34">
        <f>IF($U237="","",IFERROR(INDEX(Templates!$L$3:$L$10,MATCH($U237,Templates!$A$3:$A$10,0)),""))</f>
        <v/>
      </c>
      <c r="X237" s="21">
        <f>IF($U237="","",IFERROR(INDEX(Templates!$J$3:$J$10,MATCH($U237,Templates!$A$3:$A$10,0)),""))</f>
        <v/>
      </c>
      <c r="Y237" s="35">
        <f>IF(OR($U237="",$I237="",$J237="",$X237=""),"",$I237+$X237*($J237-$I237))</f>
        <v/>
      </c>
      <c r="Z237" s="30" t="n">
        <v>46212</v>
      </c>
      <c r="AA237" s="40" t="n"/>
      <c r="AB237" s="41" t="n"/>
      <c r="AC237" s="41" t="n"/>
      <c r="AD237" s="19">
        <f>IF($A237="","",IF($AA237="",$H237,$AA237))</f>
        <v/>
      </c>
      <c r="AE237" s="35">
        <f>IF($A237="","",IF($AB237="",$I237,$AB237))</f>
        <v/>
      </c>
      <c r="AF237" s="35">
        <f>IF($A237="","",IF($AC237="",$J237,$AC237))</f>
        <v/>
      </c>
      <c r="AG237" s="35">
        <f>IF(OR($U237="",$AE237="",$AF237="",$X237=""),"",$AE237+$X237*($AF237-$AE237))</f>
        <v/>
      </c>
      <c r="AH237" s="38" t="n"/>
      <c r="AI237" s="38" t="n"/>
      <c r="AJ237" s="38" t="n"/>
      <c r="AK237" s="38" t="n"/>
      <c r="AL237" s="38" t="n"/>
      <c r="AM237" s="38" t="n"/>
      <c r="AN237" s="38" t="n"/>
      <c r="AO237" s="38" t="n"/>
      <c r="AP237" s="38" t="n"/>
      <c r="AQ237" s="38" t="n"/>
      <c r="AR237" s="38" t="n"/>
      <c r="AS237" s="38" t="n"/>
      <c r="AT237" s="38" t="n"/>
      <c r="AU237" s="38" t="n"/>
      <c r="AV237" s="38" t="n"/>
      <c r="AW237" s="38" t="n"/>
      <c r="AX237" s="38" t="n"/>
      <c r="AY237" s="42" t="n"/>
      <c r="AZ237" s="42" t="n"/>
      <c r="BA237" s="42" t="n"/>
      <c r="BB237" s="42" t="n"/>
      <c r="BC237" s="42" t="n"/>
      <c r="BD237" s="37">
        <f>IF($A237="","",SUM($AY237:$BC237))</f>
        <v/>
      </c>
      <c r="BE237" s="18">
        <f>IF($A237="","",IF(AND($I237&lt;&gt;"",$J237&lt;&gt;""),MAX(1,($J237-$I237)/7),Templates!$B$35))</f>
        <v/>
      </c>
      <c r="BF237" s="18">
        <f>IF($A237="","",IF(AND($I237&lt;&gt;"",$J237&lt;&gt;""),MAX(1,($J237-$I237)/7),Templates!$B$36))</f>
        <v/>
      </c>
      <c r="BG237" s="18">
        <f>IF($A237="","",IF(AND($I237&lt;&gt;"",$J237&lt;&gt;""),MAX(1,($J237-$I237)/7),Templates!$B$37))</f>
        <v/>
      </c>
      <c r="BH237" s="18">
        <f>IF($A237="","",IF(AND($I237&lt;&gt;"",$J237&lt;&gt;""),MAX(1,($J237-$I237)/7),Templates!$B$38))</f>
        <v/>
      </c>
      <c r="BI237" s="18">
        <f>IF($A237="","",IF(AND($I237&lt;&gt;"",$J237&lt;&gt;""),MAX(1,($J237-$I237)/7),Templates!$B$39))</f>
        <v/>
      </c>
      <c r="BJ237" s="18">
        <f>IF(OR($A237="",$BD237=0),0,($AY237*Templates!$B$27/$BE237+$AZ237*Templates!$B$28/$BF237+$BA237*Templates!$B$29/$BG237+$BB237*Templates!$B$30/$BH237+$BC237*Templates!$B$31/$BI237)/Templates!$B$17)</f>
        <v/>
      </c>
      <c r="BK237" s="18">
        <f>IF(OR($A237="",$BD237=0),0,($AY237*Templates!$C$27/$BE237+$AZ237*Templates!$C$28/$BF237+$BA237*Templates!$C$29/$BG237+$BB237*Templates!$C$30/$BH237+$BC237*Templates!$C$31/$BI237)/Templates!$B$18)</f>
        <v/>
      </c>
      <c r="BL237" s="18">
        <f>IF(OR($A237="",$BD237=0),0,($AY237*Templates!$D$27/$BE237+$AZ237*Templates!$D$28/$BF237+$BA237*Templates!$D$29/$BG237+$BB237*Templates!$D$30/$BH237+$BC237*Templates!$D$31/$BI237)/Templates!$B$19)</f>
        <v/>
      </c>
      <c r="BM237" s="18">
        <f>IF(OR($A237="",$BD237=0),0,($AY237*Templates!$E$27/$BE237+$AZ237*Templates!$E$28/$BF237+$BA237*Templates!$E$29/$BG237+$BB237*Templates!$E$30/$BH237+$BC237*Templates!$E$31/$BI237)/Templates!$B$20)</f>
        <v/>
      </c>
      <c r="BN237" s="18">
        <f>IF(OR($A237="",$BD237=0),0,($AY237*Templates!$F$27/$BE237+$AZ237*Templates!$F$28/$BF237+$BA237*Templates!$F$29/$BG237+$BB237*Templates!$F$30/$BH237+$BC237*Templates!$F$31/$BI237)/Templates!$B$21)</f>
        <v/>
      </c>
      <c r="BO237" s="18">
        <f>IF(OR($A237="",$BD237=0),0,($AY237*Templates!$G$27/$BE237+$AZ237*Templates!$G$28/$BF237+$BA237*Templates!$G$29/$BG237+$BB237*Templates!$G$30/$BH237+$BC237*Templates!$G$31/$BI237)/Templates!$B$22)</f>
        <v/>
      </c>
      <c r="BP237" s="18">
        <f>IF(OR($A237="",$BD237=0),0,($AY237*Templates!$H$27/$BE237+$AZ237*Templates!$H$28/$BF237+$BA237*Templates!$H$29/$BG237+$BB237*Templates!$H$30/$BH237+$BC237*Templates!$H$31/$BI237)/Templates!$B$23)</f>
        <v/>
      </c>
    </row>
    <row r="238">
      <c r="A238" s="28" t="inlineStr">
        <is>
          <t>Ek_1</t>
        </is>
      </c>
      <c r="B238" s="20" t="inlineStr">
        <is>
          <t>Eight Advisory (Referral Source)</t>
        </is>
      </c>
      <c r="C238" s="28" t="inlineStr">
        <is>
          <t>Eight Advisory</t>
        </is>
      </c>
      <c r="D238" s="28" t="inlineStr"/>
      <c r="E238" s="28" t="inlineStr">
        <is>
          <t>Yes</t>
        </is>
      </c>
      <c r="F238" s="28" t="inlineStr">
        <is>
          <t>Proposal</t>
        </is>
      </c>
      <c r="G238" s="38" t="n"/>
      <c r="H238" s="43" t="n">
        <v>0.5</v>
      </c>
      <c r="I238" s="39" t="n"/>
      <c r="J238" s="39" t="n"/>
      <c r="K238" s="31" t="n"/>
      <c r="L238" s="31" t="n"/>
      <c r="M238" s="31" t="n"/>
      <c r="N238" s="31" t="n"/>
      <c r="O238" s="31" t="n"/>
      <c r="P238" s="31" t="n"/>
      <c r="Q238" s="23">
        <f>IF($A238="","",COUNTIFS(Assignments!$C$2:$C$769,$A238,Assignments!$G$2:$G$769,"Active"))</f>
        <v/>
      </c>
      <c r="R238" s="32">
        <f>IF($A238="","",SUMIFS(Assignments!$I$2:$I$769,Assignments!$C$2:$C$769,$A238,Assignments!$G$2:$G$769,"Active"))</f>
        <v/>
      </c>
      <c r="S238" s="20" t="inlineStr">
        <is>
          <t>Proposal</t>
        </is>
      </c>
      <c r="T238" s="31" t="n"/>
      <c r="U238" s="38" t="n"/>
      <c r="V238" s="34">
        <f>IF($U238="","",IFERROR(INDEX(Templates!$K$3:$K$10,MATCH($U238,Templates!$A$3:$A$10,0)),""))</f>
        <v/>
      </c>
      <c r="W238" s="34">
        <f>IF($U238="","",IFERROR(INDEX(Templates!$L$3:$L$10,MATCH($U238,Templates!$A$3:$A$10,0)),""))</f>
        <v/>
      </c>
      <c r="X238" s="21">
        <f>IF($U238="","",IFERROR(INDEX(Templates!$J$3:$J$10,MATCH($U238,Templates!$A$3:$A$10,0)),""))</f>
        <v/>
      </c>
      <c r="Y238" s="35">
        <f>IF(OR($U238="",$I238="",$J238="",$X238=""),"",$I238+$X238*($J238-$I238))</f>
        <v/>
      </c>
      <c r="Z238" s="30" t="n">
        <v>46212</v>
      </c>
      <c r="AA238" s="40" t="n"/>
      <c r="AB238" s="41" t="n"/>
      <c r="AC238" s="41" t="n"/>
      <c r="AD238" s="19">
        <f>IF($A238="","",IF($AA238="",$H238,$AA238))</f>
        <v/>
      </c>
      <c r="AE238" s="35">
        <f>IF($A238="","",IF($AB238="",$I238,$AB238))</f>
        <v/>
      </c>
      <c r="AF238" s="35">
        <f>IF($A238="","",IF($AC238="",$J238,$AC238))</f>
        <v/>
      </c>
      <c r="AG238" s="35">
        <f>IF(OR($U238="",$AE238="",$AF238="",$X238=""),"",$AE238+$X238*($AF238-$AE238))</f>
        <v/>
      </c>
      <c r="AH238" s="38" t="n"/>
      <c r="AI238" s="38" t="n"/>
      <c r="AJ238" s="38" t="n"/>
      <c r="AK238" s="38" t="n"/>
      <c r="AL238" s="38" t="n"/>
      <c r="AM238" s="38" t="n"/>
      <c r="AN238" s="38" t="n"/>
      <c r="AO238" s="38" t="n"/>
      <c r="AP238" s="38" t="n"/>
      <c r="AQ238" s="38" t="n"/>
      <c r="AR238" s="38" t="n"/>
      <c r="AS238" s="38" t="n"/>
      <c r="AT238" s="38" t="n"/>
      <c r="AU238" s="38" t="n"/>
      <c r="AV238" s="38" t="n"/>
      <c r="AW238" s="38" t="n"/>
      <c r="AX238" s="38" t="n"/>
      <c r="AY238" s="42" t="n"/>
      <c r="AZ238" s="42" t="n"/>
      <c r="BA238" s="42" t="n"/>
      <c r="BB238" s="42" t="n"/>
      <c r="BC238" s="42" t="n"/>
      <c r="BD238" s="37">
        <f>IF($A238="","",SUM($AY238:$BC238))</f>
        <v/>
      </c>
      <c r="BE238" s="18">
        <f>IF($A238="","",IF(AND($I238&lt;&gt;"",$J238&lt;&gt;""),MAX(1,($J238-$I238)/7),Templates!$B$35))</f>
        <v/>
      </c>
      <c r="BF238" s="18">
        <f>IF($A238="","",IF(AND($I238&lt;&gt;"",$J238&lt;&gt;""),MAX(1,($J238-$I238)/7),Templates!$B$36))</f>
        <v/>
      </c>
      <c r="BG238" s="18">
        <f>IF($A238="","",IF(AND($I238&lt;&gt;"",$J238&lt;&gt;""),MAX(1,($J238-$I238)/7),Templates!$B$37))</f>
        <v/>
      </c>
      <c r="BH238" s="18">
        <f>IF($A238="","",IF(AND($I238&lt;&gt;"",$J238&lt;&gt;""),MAX(1,($J238-$I238)/7),Templates!$B$38))</f>
        <v/>
      </c>
      <c r="BI238" s="18">
        <f>IF($A238="","",IF(AND($I238&lt;&gt;"",$J238&lt;&gt;""),MAX(1,($J238-$I238)/7),Templates!$B$39))</f>
        <v/>
      </c>
      <c r="BJ238" s="18">
        <f>IF(OR($A238="",$BD238=0),0,($AY238*Templates!$B$27/$BE238+$AZ238*Templates!$B$28/$BF238+$BA238*Templates!$B$29/$BG238+$BB238*Templates!$B$30/$BH238+$BC238*Templates!$B$31/$BI238)/Templates!$B$17)</f>
        <v/>
      </c>
      <c r="BK238" s="18">
        <f>IF(OR($A238="",$BD238=0),0,($AY238*Templates!$C$27/$BE238+$AZ238*Templates!$C$28/$BF238+$BA238*Templates!$C$29/$BG238+$BB238*Templates!$C$30/$BH238+$BC238*Templates!$C$31/$BI238)/Templates!$B$18)</f>
        <v/>
      </c>
      <c r="BL238" s="18">
        <f>IF(OR($A238="",$BD238=0),0,($AY238*Templates!$D$27/$BE238+$AZ238*Templates!$D$28/$BF238+$BA238*Templates!$D$29/$BG238+$BB238*Templates!$D$30/$BH238+$BC238*Templates!$D$31/$BI238)/Templates!$B$19)</f>
        <v/>
      </c>
      <c r="BM238" s="18">
        <f>IF(OR($A238="",$BD238=0),0,($AY238*Templates!$E$27/$BE238+$AZ238*Templates!$E$28/$BF238+$BA238*Templates!$E$29/$BG238+$BB238*Templates!$E$30/$BH238+$BC238*Templates!$E$31/$BI238)/Templates!$B$20)</f>
        <v/>
      </c>
      <c r="BN238" s="18">
        <f>IF(OR($A238="",$BD238=0),0,($AY238*Templates!$F$27/$BE238+$AZ238*Templates!$F$28/$BF238+$BA238*Templates!$F$29/$BG238+$BB238*Templates!$F$30/$BH238+$BC238*Templates!$F$31/$BI238)/Templates!$B$21)</f>
        <v/>
      </c>
      <c r="BO238" s="18">
        <f>IF(OR($A238="",$BD238=0),0,($AY238*Templates!$G$27/$BE238+$AZ238*Templates!$G$28/$BF238+$BA238*Templates!$G$29/$BG238+$BB238*Templates!$G$30/$BH238+$BC238*Templates!$G$31/$BI238)/Templates!$B$22)</f>
        <v/>
      </c>
      <c r="BP238" s="18">
        <f>IF(OR($A238="",$BD238=0),0,($AY238*Templates!$H$27/$BE238+$AZ238*Templates!$H$28/$BF238+$BA238*Templates!$H$29/$BG238+$BB238*Templates!$H$30/$BH238+$BC238*Templates!$H$31/$BI238)/Templates!$B$23)</f>
        <v/>
      </c>
    </row>
    <row r="239">
      <c r="A239" s="28" t="inlineStr">
        <is>
          <t>Elcano_1</t>
        </is>
      </c>
      <c r="B239" s="20" t="inlineStr">
        <is>
          <t>CVC Capital Partners : DIF Capital Partners</t>
        </is>
      </c>
      <c r="C239" s="28" t="inlineStr">
        <is>
          <t>CVC Capital Partners</t>
        </is>
      </c>
      <c r="D239" s="28" t="inlineStr">
        <is>
          <t>DIF Capital Partners</t>
        </is>
      </c>
      <c r="E239" s="28" t="inlineStr">
        <is>
          <t>No</t>
        </is>
      </c>
      <c r="F239" s="28" t="inlineStr">
        <is>
          <t>Proposal</t>
        </is>
      </c>
      <c r="G239" s="38" t="n"/>
      <c r="H239" s="43" t="n">
        <v>0.5</v>
      </c>
      <c r="I239" s="39" t="n"/>
      <c r="J239" s="39" t="n"/>
      <c r="K239" s="31" t="n"/>
      <c r="L239" s="31" t="n"/>
      <c r="M239" s="31" t="n"/>
      <c r="N239" s="31" t="n"/>
      <c r="O239" s="31" t="n"/>
      <c r="P239" s="31" t="n"/>
      <c r="Q239" s="23">
        <f>IF($A239="","",COUNTIFS(Assignments!$C$2:$C$769,$A239,Assignments!$G$2:$G$769,"Active"))</f>
        <v/>
      </c>
      <c r="R239" s="32">
        <f>IF($A239="","",SUMIFS(Assignments!$I$2:$I$769,Assignments!$C$2:$C$769,$A239,Assignments!$G$2:$G$769,"Active"))</f>
        <v/>
      </c>
      <c r="S239" s="20" t="inlineStr">
        <is>
          <t>Proposal</t>
        </is>
      </c>
      <c r="T239" s="31" t="n"/>
      <c r="U239" s="38" t="n"/>
      <c r="V239" s="34">
        <f>IF($U239="","",IFERROR(INDEX(Templates!$K$3:$K$10,MATCH($U239,Templates!$A$3:$A$10,0)),""))</f>
        <v/>
      </c>
      <c r="W239" s="34">
        <f>IF($U239="","",IFERROR(INDEX(Templates!$L$3:$L$10,MATCH($U239,Templates!$A$3:$A$10,0)),""))</f>
        <v/>
      </c>
      <c r="X239" s="21">
        <f>IF($U239="","",IFERROR(INDEX(Templates!$J$3:$J$10,MATCH($U239,Templates!$A$3:$A$10,0)),""))</f>
        <v/>
      </c>
      <c r="Y239" s="35">
        <f>IF(OR($U239="",$I239="",$J239="",$X239=""),"",$I239+$X239*($J239-$I239))</f>
        <v/>
      </c>
      <c r="Z239" s="30" t="n">
        <v>46212</v>
      </c>
      <c r="AA239" s="40" t="n"/>
      <c r="AB239" s="41" t="n"/>
      <c r="AC239" s="41" t="n"/>
      <c r="AD239" s="19">
        <f>IF($A239="","",IF($AA239="",$H239,$AA239))</f>
        <v/>
      </c>
      <c r="AE239" s="35">
        <f>IF($A239="","",IF($AB239="",$I239,$AB239))</f>
        <v/>
      </c>
      <c r="AF239" s="35">
        <f>IF($A239="","",IF($AC239="",$J239,$AC239))</f>
        <v/>
      </c>
      <c r="AG239" s="35">
        <f>IF(OR($U239="",$AE239="",$AF239="",$X239=""),"",$AE239+$X239*($AF239-$AE239))</f>
        <v/>
      </c>
      <c r="AH239" s="38" t="n"/>
      <c r="AI239" s="38" t="n"/>
      <c r="AJ239" s="38" t="n"/>
      <c r="AK239" s="38" t="n"/>
      <c r="AL239" s="38" t="n"/>
      <c r="AM239" s="38" t="n"/>
      <c r="AN239" s="38" t="n"/>
      <c r="AO239" s="38" t="n"/>
      <c r="AP239" s="38" t="n"/>
      <c r="AQ239" s="38" t="n"/>
      <c r="AR239" s="38" t="n"/>
      <c r="AS239" s="38" t="n"/>
      <c r="AT239" s="38" t="n"/>
      <c r="AU239" s="38" t="n"/>
      <c r="AV239" s="38" t="n"/>
      <c r="AW239" s="38" t="n"/>
      <c r="AX239" s="38" t="n"/>
      <c r="AY239" s="42" t="n"/>
      <c r="AZ239" s="42" t="n"/>
      <c r="BA239" s="42" t="n"/>
      <c r="BB239" s="42" t="n"/>
      <c r="BC239" s="42" t="n"/>
      <c r="BD239" s="37">
        <f>IF($A239="","",SUM($AY239:$BC239))</f>
        <v/>
      </c>
      <c r="BE239" s="18">
        <f>IF($A239="","",IF(AND($I239&lt;&gt;"",$J239&lt;&gt;""),MAX(1,($J239-$I239)/7),Templates!$B$35))</f>
        <v/>
      </c>
      <c r="BF239" s="18">
        <f>IF($A239="","",IF(AND($I239&lt;&gt;"",$J239&lt;&gt;""),MAX(1,($J239-$I239)/7),Templates!$B$36))</f>
        <v/>
      </c>
      <c r="BG239" s="18">
        <f>IF($A239="","",IF(AND($I239&lt;&gt;"",$J239&lt;&gt;""),MAX(1,($J239-$I239)/7),Templates!$B$37))</f>
        <v/>
      </c>
      <c r="BH239" s="18">
        <f>IF($A239="","",IF(AND($I239&lt;&gt;"",$J239&lt;&gt;""),MAX(1,($J239-$I239)/7),Templates!$B$38))</f>
        <v/>
      </c>
      <c r="BI239" s="18">
        <f>IF($A239="","",IF(AND($I239&lt;&gt;"",$J239&lt;&gt;""),MAX(1,($J239-$I239)/7),Templates!$B$39))</f>
        <v/>
      </c>
      <c r="BJ239" s="18">
        <f>IF(OR($A239="",$BD239=0),0,($AY239*Templates!$B$27/$BE239+$AZ239*Templates!$B$28/$BF239+$BA239*Templates!$B$29/$BG239+$BB239*Templates!$B$30/$BH239+$BC239*Templates!$B$31/$BI239)/Templates!$B$17)</f>
        <v/>
      </c>
      <c r="BK239" s="18">
        <f>IF(OR($A239="",$BD239=0),0,($AY239*Templates!$C$27/$BE239+$AZ239*Templates!$C$28/$BF239+$BA239*Templates!$C$29/$BG239+$BB239*Templates!$C$30/$BH239+$BC239*Templates!$C$31/$BI239)/Templates!$B$18)</f>
        <v/>
      </c>
      <c r="BL239" s="18">
        <f>IF(OR($A239="",$BD239=0),0,($AY239*Templates!$D$27/$BE239+$AZ239*Templates!$D$28/$BF239+$BA239*Templates!$D$29/$BG239+$BB239*Templates!$D$30/$BH239+$BC239*Templates!$D$31/$BI239)/Templates!$B$19)</f>
        <v/>
      </c>
      <c r="BM239" s="18">
        <f>IF(OR($A239="",$BD239=0),0,($AY239*Templates!$E$27/$BE239+$AZ239*Templates!$E$28/$BF239+$BA239*Templates!$E$29/$BG239+$BB239*Templates!$E$30/$BH239+$BC239*Templates!$E$31/$BI239)/Templates!$B$20)</f>
        <v/>
      </c>
      <c r="BN239" s="18">
        <f>IF(OR($A239="",$BD239=0),0,($AY239*Templates!$F$27/$BE239+$AZ239*Templates!$F$28/$BF239+$BA239*Templates!$F$29/$BG239+$BB239*Templates!$F$30/$BH239+$BC239*Templates!$F$31/$BI239)/Templates!$B$21)</f>
        <v/>
      </c>
      <c r="BO239" s="18">
        <f>IF(OR($A239="",$BD239=0),0,($AY239*Templates!$G$27/$BE239+$AZ239*Templates!$G$28/$BF239+$BA239*Templates!$G$29/$BG239+$BB239*Templates!$G$30/$BH239+$BC239*Templates!$G$31/$BI239)/Templates!$B$22)</f>
        <v/>
      </c>
      <c r="BP239" s="18">
        <f>IF(OR($A239="",$BD239=0),0,($AY239*Templates!$H$27/$BE239+$AZ239*Templates!$H$28/$BF239+$BA239*Templates!$H$29/$BG239+$BB239*Templates!$H$30/$BH239+$BC239*Templates!$H$31/$BI239)/Templates!$B$23)</f>
        <v/>
      </c>
    </row>
    <row r="240">
      <c r="A240" s="28" t="inlineStr">
        <is>
          <t>Elk_2</t>
        </is>
      </c>
      <c r="B240" s="20" t="inlineStr">
        <is>
          <t>Mosaic Insurance</t>
        </is>
      </c>
      <c r="C240" s="28" t="inlineStr">
        <is>
          <t>Mosaic Insurance</t>
        </is>
      </c>
      <c r="D240" s="28" t="inlineStr"/>
      <c r="E240" s="28" t="inlineStr">
        <is>
          <t>No</t>
        </is>
      </c>
      <c r="F240" s="28" t="inlineStr">
        <is>
          <t>Proposal</t>
        </is>
      </c>
      <c r="G240" s="38" t="n"/>
      <c r="H240" s="43" t="n">
        <v>0.5</v>
      </c>
      <c r="I240" s="39" t="n"/>
      <c r="J240" s="39" t="n"/>
      <c r="K240" s="31" t="n"/>
      <c r="L240" s="31" t="n"/>
      <c r="M240" s="31" t="n"/>
      <c r="N240" s="31" t="n"/>
      <c r="O240" s="31" t="n"/>
      <c r="P240" s="31" t="n"/>
      <c r="Q240" s="23">
        <f>IF($A240="","",COUNTIFS(Assignments!$C$2:$C$769,$A240,Assignments!$G$2:$G$769,"Active"))</f>
        <v/>
      </c>
      <c r="R240" s="32">
        <f>IF($A240="","",SUMIFS(Assignments!$I$2:$I$769,Assignments!$C$2:$C$769,$A240,Assignments!$G$2:$G$769,"Active"))</f>
        <v/>
      </c>
      <c r="S240" s="20" t="inlineStr">
        <is>
          <t>Proposal</t>
        </is>
      </c>
      <c r="T240" s="31" t="n"/>
      <c r="U240" s="38" t="n"/>
      <c r="V240" s="34">
        <f>IF($U240="","",IFERROR(INDEX(Templates!$K$3:$K$10,MATCH($U240,Templates!$A$3:$A$10,0)),""))</f>
        <v/>
      </c>
      <c r="W240" s="34">
        <f>IF($U240="","",IFERROR(INDEX(Templates!$L$3:$L$10,MATCH($U240,Templates!$A$3:$A$10,0)),""))</f>
        <v/>
      </c>
      <c r="X240" s="21">
        <f>IF($U240="","",IFERROR(INDEX(Templates!$J$3:$J$10,MATCH($U240,Templates!$A$3:$A$10,0)),""))</f>
        <v/>
      </c>
      <c r="Y240" s="35">
        <f>IF(OR($U240="",$I240="",$J240="",$X240=""),"",$I240+$X240*($J240-$I240))</f>
        <v/>
      </c>
      <c r="Z240" s="30" t="n">
        <v>46212</v>
      </c>
      <c r="AA240" s="40" t="n"/>
      <c r="AB240" s="41" t="n"/>
      <c r="AC240" s="41" t="n"/>
      <c r="AD240" s="19">
        <f>IF($A240="","",IF($AA240="",$H240,$AA240))</f>
        <v/>
      </c>
      <c r="AE240" s="35">
        <f>IF($A240="","",IF($AB240="",$I240,$AB240))</f>
        <v/>
      </c>
      <c r="AF240" s="35">
        <f>IF($A240="","",IF($AC240="",$J240,$AC240))</f>
        <v/>
      </c>
      <c r="AG240" s="35">
        <f>IF(OR($U240="",$AE240="",$AF240="",$X240=""),"",$AE240+$X240*($AF240-$AE240))</f>
        <v/>
      </c>
      <c r="AH240" s="38" t="n"/>
      <c r="AI240" s="38" t="n"/>
      <c r="AJ240" s="38" t="n"/>
      <c r="AK240" s="38" t="n"/>
      <c r="AL240" s="38" t="n"/>
      <c r="AM240" s="38" t="n"/>
      <c r="AN240" s="38" t="n"/>
      <c r="AO240" s="38" t="n"/>
      <c r="AP240" s="38" t="n"/>
      <c r="AQ240" s="38" t="n"/>
      <c r="AR240" s="38" t="n"/>
      <c r="AS240" s="38" t="n"/>
      <c r="AT240" s="38" t="n"/>
      <c r="AU240" s="38" t="n"/>
      <c r="AV240" s="38" t="n"/>
      <c r="AW240" s="38" t="n"/>
      <c r="AX240" s="38" t="n"/>
      <c r="AY240" s="42" t="n"/>
      <c r="AZ240" s="42" t="n"/>
      <c r="BA240" s="42" t="n"/>
      <c r="BB240" s="42" t="n"/>
      <c r="BC240" s="42" t="n"/>
      <c r="BD240" s="37">
        <f>IF($A240="","",SUM($AY240:$BC240))</f>
        <v/>
      </c>
      <c r="BE240" s="18">
        <f>IF($A240="","",IF(AND($I240&lt;&gt;"",$J240&lt;&gt;""),MAX(1,($J240-$I240)/7),Templates!$B$35))</f>
        <v/>
      </c>
      <c r="BF240" s="18">
        <f>IF($A240="","",IF(AND($I240&lt;&gt;"",$J240&lt;&gt;""),MAX(1,($J240-$I240)/7),Templates!$B$36))</f>
        <v/>
      </c>
      <c r="BG240" s="18">
        <f>IF($A240="","",IF(AND($I240&lt;&gt;"",$J240&lt;&gt;""),MAX(1,($J240-$I240)/7),Templates!$B$37))</f>
        <v/>
      </c>
      <c r="BH240" s="18">
        <f>IF($A240="","",IF(AND($I240&lt;&gt;"",$J240&lt;&gt;""),MAX(1,($J240-$I240)/7),Templates!$B$38))</f>
        <v/>
      </c>
      <c r="BI240" s="18">
        <f>IF($A240="","",IF(AND($I240&lt;&gt;"",$J240&lt;&gt;""),MAX(1,($J240-$I240)/7),Templates!$B$39))</f>
        <v/>
      </c>
      <c r="BJ240" s="18">
        <f>IF(OR($A240="",$BD240=0),0,($AY240*Templates!$B$27/$BE240+$AZ240*Templates!$B$28/$BF240+$BA240*Templates!$B$29/$BG240+$BB240*Templates!$B$30/$BH240+$BC240*Templates!$B$31/$BI240)/Templates!$B$17)</f>
        <v/>
      </c>
      <c r="BK240" s="18">
        <f>IF(OR($A240="",$BD240=0),0,($AY240*Templates!$C$27/$BE240+$AZ240*Templates!$C$28/$BF240+$BA240*Templates!$C$29/$BG240+$BB240*Templates!$C$30/$BH240+$BC240*Templates!$C$31/$BI240)/Templates!$B$18)</f>
        <v/>
      </c>
      <c r="BL240" s="18">
        <f>IF(OR($A240="",$BD240=0),0,($AY240*Templates!$D$27/$BE240+$AZ240*Templates!$D$28/$BF240+$BA240*Templates!$D$29/$BG240+$BB240*Templates!$D$30/$BH240+$BC240*Templates!$D$31/$BI240)/Templates!$B$19)</f>
        <v/>
      </c>
      <c r="BM240" s="18">
        <f>IF(OR($A240="",$BD240=0),0,($AY240*Templates!$E$27/$BE240+$AZ240*Templates!$E$28/$BF240+$BA240*Templates!$E$29/$BG240+$BB240*Templates!$E$30/$BH240+$BC240*Templates!$E$31/$BI240)/Templates!$B$20)</f>
        <v/>
      </c>
      <c r="BN240" s="18">
        <f>IF(OR($A240="",$BD240=0),0,($AY240*Templates!$F$27/$BE240+$AZ240*Templates!$F$28/$BF240+$BA240*Templates!$F$29/$BG240+$BB240*Templates!$F$30/$BH240+$BC240*Templates!$F$31/$BI240)/Templates!$B$21)</f>
        <v/>
      </c>
      <c r="BO240" s="18">
        <f>IF(OR($A240="",$BD240=0),0,($AY240*Templates!$G$27/$BE240+$AZ240*Templates!$G$28/$BF240+$BA240*Templates!$G$29/$BG240+$BB240*Templates!$G$30/$BH240+$BC240*Templates!$G$31/$BI240)/Templates!$B$22)</f>
        <v/>
      </c>
      <c r="BP240" s="18">
        <f>IF(OR($A240="",$BD240=0),0,($AY240*Templates!$H$27/$BE240+$AZ240*Templates!$H$28/$BF240+$BA240*Templates!$H$29/$BG240+$BB240*Templates!$H$30/$BH240+$BC240*Templates!$H$31/$BI240)/Templates!$B$23)</f>
        <v/>
      </c>
    </row>
    <row r="241">
      <c r="A241" s="28" t="inlineStr">
        <is>
          <t>Elm_2</t>
        </is>
      </c>
      <c r="B241" s="20" t="inlineStr">
        <is>
          <t>Lightswitch Property Management</t>
        </is>
      </c>
      <c r="C241" s="28" t="inlineStr">
        <is>
          <t>Lightswitch Property Management</t>
        </is>
      </c>
      <c r="D241" s="28" t="inlineStr"/>
      <c r="E241" s="28" t="inlineStr">
        <is>
          <t>No</t>
        </is>
      </c>
      <c r="F241" s="28" t="inlineStr">
        <is>
          <t>Proposal</t>
        </is>
      </c>
      <c r="G241" s="38" t="n"/>
      <c r="H241" s="43" t="n">
        <v>0.5</v>
      </c>
      <c r="I241" s="39" t="n"/>
      <c r="J241" s="39" t="n"/>
      <c r="K241" s="31" t="n"/>
      <c r="L241" s="31" t="n"/>
      <c r="M241" s="31" t="n"/>
      <c r="N241" s="31" t="n"/>
      <c r="O241" s="31" t="n"/>
      <c r="P241" s="31" t="n"/>
      <c r="Q241" s="23">
        <f>IF($A241="","",COUNTIFS(Assignments!$C$2:$C$769,$A241,Assignments!$G$2:$G$769,"Active"))</f>
        <v/>
      </c>
      <c r="R241" s="32">
        <f>IF($A241="","",SUMIFS(Assignments!$I$2:$I$769,Assignments!$C$2:$C$769,$A241,Assignments!$G$2:$G$769,"Active"))</f>
        <v/>
      </c>
      <c r="S241" s="20" t="inlineStr">
        <is>
          <t>Proposal</t>
        </is>
      </c>
      <c r="T241" s="31" t="n"/>
      <c r="U241" s="38" t="n"/>
      <c r="V241" s="34">
        <f>IF($U241="","",IFERROR(INDEX(Templates!$K$3:$K$10,MATCH($U241,Templates!$A$3:$A$10,0)),""))</f>
        <v/>
      </c>
      <c r="W241" s="34">
        <f>IF($U241="","",IFERROR(INDEX(Templates!$L$3:$L$10,MATCH($U241,Templates!$A$3:$A$10,0)),""))</f>
        <v/>
      </c>
      <c r="X241" s="21">
        <f>IF($U241="","",IFERROR(INDEX(Templates!$J$3:$J$10,MATCH($U241,Templates!$A$3:$A$10,0)),""))</f>
        <v/>
      </c>
      <c r="Y241" s="35">
        <f>IF(OR($U241="",$I241="",$J241="",$X241=""),"",$I241+$X241*($J241-$I241))</f>
        <v/>
      </c>
      <c r="Z241" s="30" t="n">
        <v>46212</v>
      </c>
      <c r="AA241" s="40" t="n"/>
      <c r="AB241" s="41" t="n"/>
      <c r="AC241" s="41" t="n"/>
      <c r="AD241" s="19">
        <f>IF($A241="","",IF($AA241="",$H241,$AA241))</f>
        <v/>
      </c>
      <c r="AE241" s="35">
        <f>IF($A241="","",IF($AB241="",$I241,$AB241))</f>
        <v/>
      </c>
      <c r="AF241" s="35">
        <f>IF($A241="","",IF($AC241="",$J241,$AC241))</f>
        <v/>
      </c>
      <c r="AG241" s="35">
        <f>IF(OR($U241="",$AE241="",$AF241="",$X241=""),"",$AE241+$X241*($AF241-$AE241))</f>
        <v/>
      </c>
      <c r="AH241" s="38" t="n"/>
      <c r="AI241" s="38" t="n"/>
      <c r="AJ241" s="38" t="n"/>
      <c r="AK241" s="38" t="n"/>
      <c r="AL241" s="38" t="n"/>
      <c r="AM241" s="38" t="n"/>
      <c r="AN241" s="38" t="n"/>
      <c r="AO241" s="38" t="n"/>
      <c r="AP241" s="38" t="n"/>
      <c r="AQ241" s="38" t="n"/>
      <c r="AR241" s="38" t="n"/>
      <c r="AS241" s="38" t="n"/>
      <c r="AT241" s="38" t="n"/>
      <c r="AU241" s="38" t="n"/>
      <c r="AV241" s="38" t="n"/>
      <c r="AW241" s="38" t="n"/>
      <c r="AX241" s="38" t="n"/>
      <c r="AY241" s="42" t="n"/>
      <c r="AZ241" s="42" t="n"/>
      <c r="BA241" s="42" t="n"/>
      <c r="BB241" s="42" t="n"/>
      <c r="BC241" s="42" t="n"/>
      <c r="BD241" s="37">
        <f>IF($A241="","",SUM($AY241:$BC241))</f>
        <v/>
      </c>
      <c r="BE241" s="18">
        <f>IF($A241="","",IF(AND($I241&lt;&gt;"",$J241&lt;&gt;""),MAX(1,($J241-$I241)/7),Templates!$B$35))</f>
        <v/>
      </c>
      <c r="BF241" s="18">
        <f>IF($A241="","",IF(AND($I241&lt;&gt;"",$J241&lt;&gt;""),MAX(1,($J241-$I241)/7),Templates!$B$36))</f>
        <v/>
      </c>
      <c r="BG241" s="18">
        <f>IF($A241="","",IF(AND($I241&lt;&gt;"",$J241&lt;&gt;""),MAX(1,($J241-$I241)/7),Templates!$B$37))</f>
        <v/>
      </c>
      <c r="BH241" s="18">
        <f>IF($A241="","",IF(AND($I241&lt;&gt;"",$J241&lt;&gt;""),MAX(1,($J241-$I241)/7),Templates!$B$38))</f>
        <v/>
      </c>
      <c r="BI241" s="18">
        <f>IF($A241="","",IF(AND($I241&lt;&gt;"",$J241&lt;&gt;""),MAX(1,($J241-$I241)/7),Templates!$B$39))</f>
        <v/>
      </c>
      <c r="BJ241" s="18">
        <f>IF(OR($A241="",$BD241=0),0,($AY241*Templates!$B$27/$BE241+$AZ241*Templates!$B$28/$BF241+$BA241*Templates!$B$29/$BG241+$BB241*Templates!$B$30/$BH241+$BC241*Templates!$B$31/$BI241)/Templates!$B$17)</f>
        <v/>
      </c>
      <c r="BK241" s="18">
        <f>IF(OR($A241="",$BD241=0),0,($AY241*Templates!$C$27/$BE241+$AZ241*Templates!$C$28/$BF241+$BA241*Templates!$C$29/$BG241+$BB241*Templates!$C$30/$BH241+$BC241*Templates!$C$31/$BI241)/Templates!$B$18)</f>
        <v/>
      </c>
      <c r="BL241" s="18">
        <f>IF(OR($A241="",$BD241=0),0,($AY241*Templates!$D$27/$BE241+$AZ241*Templates!$D$28/$BF241+$BA241*Templates!$D$29/$BG241+$BB241*Templates!$D$30/$BH241+$BC241*Templates!$D$31/$BI241)/Templates!$B$19)</f>
        <v/>
      </c>
      <c r="BM241" s="18">
        <f>IF(OR($A241="",$BD241=0),0,($AY241*Templates!$E$27/$BE241+$AZ241*Templates!$E$28/$BF241+$BA241*Templates!$E$29/$BG241+$BB241*Templates!$E$30/$BH241+$BC241*Templates!$E$31/$BI241)/Templates!$B$20)</f>
        <v/>
      </c>
      <c r="BN241" s="18">
        <f>IF(OR($A241="",$BD241=0),0,($AY241*Templates!$F$27/$BE241+$AZ241*Templates!$F$28/$BF241+$BA241*Templates!$F$29/$BG241+$BB241*Templates!$F$30/$BH241+$BC241*Templates!$F$31/$BI241)/Templates!$B$21)</f>
        <v/>
      </c>
      <c r="BO241" s="18">
        <f>IF(OR($A241="",$BD241=0),0,($AY241*Templates!$G$27/$BE241+$AZ241*Templates!$G$28/$BF241+$BA241*Templates!$G$29/$BG241+$BB241*Templates!$G$30/$BH241+$BC241*Templates!$G$31/$BI241)/Templates!$B$22)</f>
        <v/>
      </c>
      <c r="BP241" s="18">
        <f>IF(OR($A241="",$BD241=0),0,($AY241*Templates!$H$27/$BE241+$AZ241*Templates!$H$28/$BF241+$BA241*Templates!$H$29/$BG241+$BB241*Templates!$H$30/$BH241+$BC241*Templates!$H$31/$BI241)/Templates!$B$23)</f>
        <v/>
      </c>
    </row>
    <row r="242">
      <c r="A242" s="28" t="inlineStr">
        <is>
          <t>Engineering_1</t>
        </is>
      </c>
      <c r="B242" s="20" t="inlineStr">
        <is>
          <t>Eight Advisory (Referral Source)</t>
        </is>
      </c>
      <c r="C242" s="28" t="inlineStr">
        <is>
          <t>Eight Advisory</t>
        </is>
      </c>
      <c r="D242" s="28" t="inlineStr"/>
      <c r="E242" s="28" t="inlineStr">
        <is>
          <t>Yes</t>
        </is>
      </c>
      <c r="F242" s="28" t="inlineStr">
        <is>
          <t>Proposal</t>
        </is>
      </c>
      <c r="G242" s="38" t="n"/>
      <c r="H242" s="43" t="n">
        <v>0.5</v>
      </c>
      <c r="I242" s="39" t="n"/>
      <c r="J242" s="39" t="n"/>
      <c r="K242" s="31" t="n"/>
      <c r="L242" s="31" t="n"/>
      <c r="M242" s="31" t="n"/>
      <c r="N242" s="31" t="n"/>
      <c r="O242" s="31" t="n"/>
      <c r="P242" s="31" t="n"/>
      <c r="Q242" s="23">
        <f>IF($A242="","",COUNTIFS(Assignments!$C$2:$C$769,$A242,Assignments!$G$2:$G$769,"Active"))</f>
        <v/>
      </c>
      <c r="R242" s="32">
        <f>IF($A242="","",SUMIFS(Assignments!$I$2:$I$769,Assignments!$C$2:$C$769,$A242,Assignments!$G$2:$G$769,"Active"))</f>
        <v/>
      </c>
      <c r="S242" s="20" t="inlineStr">
        <is>
          <t>Proposal</t>
        </is>
      </c>
      <c r="T242" s="31" t="n"/>
      <c r="U242" s="38" t="n"/>
      <c r="V242" s="34">
        <f>IF($U242="","",IFERROR(INDEX(Templates!$K$3:$K$10,MATCH($U242,Templates!$A$3:$A$10,0)),""))</f>
        <v/>
      </c>
      <c r="W242" s="34">
        <f>IF($U242="","",IFERROR(INDEX(Templates!$L$3:$L$10,MATCH($U242,Templates!$A$3:$A$10,0)),""))</f>
        <v/>
      </c>
      <c r="X242" s="21">
        <f>IF($U242="","",IFERROR(INDEX(Templates!$J$3:$J$10,MATCH($U242,Templates!$A$3:$A$10,0)),""))</f>
        <v/>
      </c>
      <c r="Y242" s="35">
        <f>IF(OR($U242="",$I242="",$J242="",$X242=""),"",$I242+$X242*($J242-$I242))</f>
        <v/>
      </c>
      <c r="Z242" s="30" t="n">
        <v>46212</v>
      </c>
      <c r="AA242" s="40" t="n"/>
      <c r="AB242" s="41" t="n"/>
      <c r="AC242" s="41" t="n"/>
      <c r="AD242" s="19">
        <f>IF($A242="","",IF($AA242="",$H242,$AA242))</f>
        <v/>
      </c>
      <c r="AE242" s="35">
        <f>IF($A242="","",IF($AB242="",$I242,$AB242))</f>
        <v/>
      </c>
      <c r="AF242" s="35">
        <f>IF($A242="","",IF($AC242="",$J242,$AC242))</f>
        <v/>
      </c>
      <c r="AG242" s="35">
        <f>IF(OR($U242="",$AE242="",$AF242="",$X242=""),"",$AE242+$X242*($AF242-$AE242))</f>
        <v/>
      </c>
      <c r="AH242" s="38" t="n"/>
      <c r="AI242" s="38" t="n"/>
      <c r="AJ242" s="38" t="n"/>
      <c r="AK242" s="38" t="n"/>
      <c r="AL242" s="38" t="n"/>
      <c r="AM242" s="38" t="n"/>
      <c r="AN242" s="38" t="n"/>
      <c r="AO242" s="38" t="n"/>
      <c r="AP242" s="38" t="n"/>
      <c r="AQ242" s="38" t="n"/>
      <c r="AR242" s="38" t="n"/>
      <c r="AS242" s="38" t="n"/>
      <c r="AT242" s="38" t="n"/>
      <c r="AU242" s="38" t="n"/>
      <c r="AV242" s="38" t="n"/>
      <c r="AW242" s="38" t="n"/>
      <c r="AX242" s="38" t="n"/>
      <c r="AY242" s="42" t="n"/>
      <c r="AZ242" s="42" t="n"/>
      <c r="BA242" s="42" t="n"/>
      <c r="BB242" s="42" t="n"/>
      <c r="BC242" s="42" t="n"/>
      <c r="BD242" s="37">
        <f>IF($A242="","",SUM($AY242:$BC242))</f>
        <v/>
      </c>
      <c r="BE242" s="18">
        <f>IF($A242="","",IF(AND($I242&lt;&gt;"",$J242&lt;&gt;""),MAX(1,($J242-$I242)/7),Templates!$B$35))</f>
        <v/>
      </c>
      <c r="BF242" s="18">
        <f>IF($A242="","",IF(AND($I242&lt;&gt;"",$J242&lt;&gt;""),MAX(1,($J242-$I242)/7),Templates!$B$36))</f>
        <v/>
      </c>
      <c r="BG242" s="18">
        <f>IF($A242="","",IF(AND($I242&lt;&gt;"",$J242&lt;&gt;""),MAX(1,($J242-$I242)/7),Templates!$B$37))</f>
        <v/>
      </c>
      <c r="BH242" s="18">
        <f>IF($A242="","",IF(AND($I242&lt;&gt;"",$J242&lt;&gt;""),MAX(1,($J242-$I242)/7),Templates!$B$38))</f>
        <v/>
      </c>
      <c r="BI242" s="18">
        <f>IF($A242="","",IF(AND($I242&lt;&gt;"",$J242&lt;&gt;""),MAX(1,($J242-$I242)/7),Templates!$B$39))</f>
        <v/>
      </c>
      <c r="BJ242" s="18">
        <f>IF(OR($A242="",$BD242=0),0,($AY242*Templates!$B$27/$BE242+$AZ242*Templates!$B$28/$BF242+$BA242*Templates!$B$29/$BG242+$BB242*Templates!$B$30/$BH242+$BC242*Templates!$B$31/$BI242)/Templates!$B$17)</f>
        <v/>
      </c>
      <c r="BK242" s="18">
        <f>IF(OR($A242="",$BD242=0),0,($AY242*Templates!$C$27/$BE242+$AZ242*Templates!$C$28/$BF242+$BA242*Templates!$C$29/$BG242+$BB242*Templates!$C$30/$BH242+$BC242*Templates!$C$31/$BI242)/Templates!$B$18)</f>
        <v/>
      </c>
      <c r="BL242" s="18">
        <f>IF(OR($A242="",$BD242=0),0,($AY242*Templates!$D$27/$BE242+$AZ242*Templates!$D$28/$BF242+$BA242*Templates!$D$29/$BG242+$BB242*Templates!$D$30/$BH242+$BC242*Templates!$D$31/$BI242)/Templates!$B$19)</f>
        <v/>
      </c>
      <c r="BM242" s="18">
        <f>IF(OR($A242="",$BD242=0),0,($AY242*Templates!$E$27/$BE242+$AZ242*Templates!$E$28/$BF242+$BA242*Templates!$E$29/$BG242+$BB242*Templates!$E$30/$BH242+$BC242*Templates!$E$31/$BI242)/Templates!$B$20)</f>
        <v/>
      </c>
      <c r="BN242" s="18">
        <f>IF(OR($A242="",$BD242=0),0,($AY242*Templates!$F$27/$BE242+$AZ242*Templates!$F$28/$BF242+$BA242*Templates!$F$29/$BG242+$BB242*Templates!$F$30/$BH242+$BC242*Templates!$F$31/$BI242)/Templates!$B$21)</f>
        <v/>
      </c>
      <c r="BO242" s="18">
        <f>IF(OR($A242="",$BD242=0),0,($AY242*Templates!$G$27/$BE242+$AZ242*Templates!$G$28/$BF242+$BA242*Templates!$G$29/$BG242+$BB242*Templates!$G$30/$BH242+$BC242*Templates!$G$31/$BI242)/Templates!$B$22)</f>
        <v/>
      </c>
      <c r="BP242" s="18">
        <f>IF(OR($A242="",$BD242=0),0,($AY242*Templates!$H$27/$BE242+$AZ242*Templates!$H$28/$BF242+$BA242*Templates!$H$29/$BG242+$BB242*Templates!$H$30/$BH242+$BC242*Templates!$H$31/$BI242)/Templates!$B$23)</f>
        <v/>
      </c>
    </row>
    <row r="243">
      <c r="A243" s="28" t="inlineStr">
        <is>
          <t>EV Passport_2</t>
        </is>
      </c>
      <c r="B243" s="20" t="inlineStr">
        <is>
          <t>Northleaf Capital Partners</t>
        </is>
      </c>
      <c r="C243" s="28" t="inlineStr">
        <is>
          <t>Northleaf Capital Partners</t>
        </is>
      </c>
      <c r="D243" s="28" t="inlineStr"/>
      <c r="E243" s="28" t="inlineStr">
        <is>
          <t>No</t>
        </is>
      </c>
      <c r="F243" s="28" t="inlineStr">
        <is>
          <t>Proposal</t>
        </is>
      </c>
      <c r="G243" s="38" t="n"/>
      <c r="H243" s="43" t="n">
        <v>0.5</v>
      </c>
      <c r="I243" s="39" t="n"/>
      <c r="J243" s="39" t="n"/>
      <c r="K243" s="31" t="n"/>
      <c r="L243" s="31" t="n"/>
      <c r="M243" s="31" t="n"/>
      <c r="N243" s="31" t="n"/>
      <c r="O243" s="31" t="n"/>
      <c r="P243" s="31" t="n"/>
      <c r="Q243" s="23">
        <f>IF($A243="","",COUNTIFS(Assignments!$C$2:$C$769,$A243,Assignments!$G$2:$G$769,"Active"))</f>
        <v/>
      </c>
      <c r="R243" s="32">
        <f>IF($A243="","",SUMIFS(Assignments!$I$2:$I$769,Assignments!$C$2:$C$769,$A243,Assignments!$G$2:$G$769,"Active"))</f>
        <v/>
      </c>
      <c r="S243" s="20" t="inlineStr">
        <is>
          <t>Proposal</t>
        </is>
      </c>
      <c r="T243" s="31" t="n"/>
      <c r="U243" s="38" t="n"/>
      <c r="V243" s="34">
        <f>IF($U243="","",IFERROR(INDEX(Templates!$K$3:$K$10,MATCH($U243,Templates!$A$3:$A$10,0)),""))</f>
        <v/>
      </c>
      <c r="W243" s="34">
        <f>IF($U243="","",IFERROR(INDEX(Templates!$L$3:$L$10,MATCH($U243,Templates!$A$3:$A$10,0)),""))</f>
        <v/>
      </c>
      <c r="X243" s="21">
        <f>IF($U243="","",IFERROR(INDEX(Templates!$J$3:$J$10,MATCH($U243,Templates!$A$3:$A$10,0)),""))</f>
        <v/>
      </c>
      <c r="Y243" s="35">
        <f>IF(OR($U243="",$I243="",$J243="",$X243=""),"",$I243+$X243*($J243-$I243))</f>
        <v/>
      </c>
      <c r="Z243" s="30" t="n">
        <v>46212</v>
      </c>
      <c r="AA243" s="40" t="n"/>
      <c r="AB243" s="41" t="n"/>
      <c r="AC243" s="41" t="n"/>
      <c r="AD243" s="19">
        <f>IF($A243="","",IF($AA243="",$H243,$AA243))</f>
        <v/>
      </c>
      <c r="AE243" s="35">
        <f>IF($A243="","",IF($AB243="",$I243,$AB243))</f>
        <v/>
      </c>
      <c r="AF243" s="35">
        <f>IF($A243="","",IF($AC243="",$J243,$AC243))</f>
        <v/>
      </c>
      <c r="AG243" s="35">
        <f>IF(OR($U243="",$AE243="",$AF243="",$X243=""),"",$AE243+$X243*($AF243-$AE243))</f>
        <v/>
      </c>
      <c r="AH243" s="38" t="n"/>
      <c r="AI243" s="38" t="n"/>
      <c r="AJ243" s="38" t="n"/>
      <c r="AK243" s="38" t="n"/>
      <c r="AL243" s="38" t="n"/>
      <c r="AM243" s="38" t="n"/>
      <c r="AN243" s="38" t="n"/>
      <c r="AO243" s="38" t="n"/>
      <c r="AP243" s="38" t="n"/>
      <c r="AQ243" s="38" t="n"/>
      <c r="AR243" s="38" t="n"/>
      <c r="AS243" s="38" t="n"/>
      <c r="AT243" s="38" t="n"/>
      <c r="AU243" s="38" t="n"/>
      <c r="AV243" s="38" t="n"/>
      <c r="AW243" s="38" t="n"/>
      <c r="AX243" s="38" t="n"/>
      <c r="AY243" s="42" t="n"/>
      <c r="AZ243" s="42" t="n"/>
      <c r="BA243" s="42" t="n"/>
      <c r="BB243" s="42" t="n"/>
      <c r="BC243" s="42" t="n"/>
      <c r="BD243" s="37">
        <f>IF($A243="","",SUM($AY243:$BC243))</f>
        <v/>
      </c>
      <c r="BE243" s="18">
        <f>IF($A243="","",IF(AND($I243&lt;&gt;"",$J243&lt;&gt;""),MAX(1,($J243-$I243)/7),Templates!$B$35))</f>
        <v/>
      </c>
      <c r="BF243" s="18">
        <f>IF($A243="","",IF(AND($I243&lt;&gt;"",$J243&lt;&gt;""),MAX(1,($J243-$I243)/7),Templates!$B$36))</f>
        <v/>
      </c>
      <c r="BG243" s="18">
        <f>IF($A243="","",IF(AND($I243&lt;&gt;"",$J243&lt;&gt;""),MAX(1,($J243-$I243)/7),Templates!$B$37))</f>
        <v/>
      </c>
      <c r="BH243" s="18">
        <f>IF($A243="","",IF(AND($I243&lt;&gt;"",$J243&lt;&gt;""),MAX(1,($J243-$I243)/7),Templates!$B$38))</f>
        <v/>
      </c>
      <c r="BI243" s="18">
        <f>IF($A243="","",IF(AND($I243&lt;&gt;"",$J243&lt;&gt;""),MAX(1,($J243-$I243)/7),Templates!$B$39))</f>
        <v/>
      </c>
      <c r="BJ243" s="18">
        <f>IF(OR($A243="",$BD243=0),0,($AY243*Templates!$B$27/$BE243+$AZ243*Templates!$B$28/$BF243+$BA243*Templates!$B$29/$BG243+$BB243*Templates!$B$30/$BH243+$BC243*Templates!$B$31/$BI243)/Templates!$B$17)</f>
        <v/>
      </c>
      <c r="BK243" s="18">
        <f>IF(OR($A243="",$BD243=0),0,($AY243*Templates!$C$27/$BE243+$AZ243*Templates!$C$28/$BF243+$BA243*Templates!$C$29/$BG243+$BB243*Templates!$C$30/$BH243+$BC243*Templates!$C$31/$BI243)/Templates!$B$18)</f>
        <v/>
      </c>
      <c r="BL243" s="18">
        <f>IF(OR($A243="",$BD243=0),0,($AY243*Templates!$D$27/$BE243+$AZ243*Templates!$D$28/$BF243+$BA243*Templates!$D$29/$BG243+$BB243*Templates!$D$30/$BH243+$BC243*Templates!$D$31/$BI243)/Templates!$B$19)</f>
        <v/>
      </c>
      <c r="BM243" s="18">
        <f>IF(OR($A243="",$BD243=0),0,($AY243*Templates!$E$27/$BE243+$AZ243*Templates!$E$28/$BF243+$BA243*Templates!$E$29/$BG243+$BB243*Templates!$E$30/$BH243+$BC243*Templates!$E$31/$BI243)/Templates!$B$20)</f>
        <v/>
      </c>
      <c r="BN243" s="18">
        <f>IF(OR($A243="",$BD243=0),0,($AY243*Templates!$F$27/$BE243+$AZ243*Templates!$F$28/$BF243+$BA243*Templates!$F$29/$BG243+$BB243*Templates!$F$30/$BH243+$BC243*Templates!$F$31/$BI243)/Templates!$B$21)</f>
        <v/>
      </c>
      <c r="BO243" s="18">
        <f>IF(OR($A243="",$BD243=0),0,($AY243*Templates!$G$27/$BE243+$AZ243*Templates!$G$28/$BF243+$BA243*Templates!$G$29/$BG243+$BB243*Templates!$G$30/$BH243+$BC243*Templates!$G$31/$BI243)/Templates!$B$22)</f>
        <v/>
      </c>
      <c r="BP243" s="18">
        <f>IF(OR($A243="",$BD243=0),0,($AY243*Templates!$H$27/$BE243+$AZ243*Templates!$H$28/$BF243+$BA243*Templates!$H$29/$BG243+$BB243*Templates!$H$30/$BH243+$BC243*Templates!$H$31/$BI243)/Templates!$B$23)</f>
        <v/>
      </c>
    </row>
    <row r="244">
      <c r="A244" s="28" t="inlineStr">
        <is>
          <t>EV3</t>
        </is>
      </c>
      <c r="B244" s="20" t="inlineStr">
        <is>
          <t>Kalos LLP</t>
        </is>
      </c>
      <c r="C244" s="28" t="inlineStr">
        <is>
          <t>Kalos LLP</t>
        </is>
      </c>
      <c r="D244" s="28" t="inlineStr"/>
      <c r="E244" s="28" t="inlineStr">
        <is>
          <t>No</t>
        </is>
      </c>
      <c r="F244" s="28" t="inlineStr">
        <is>
          <t>Proposal</t>
        </is>
      </c>
      <c r="G244" s="38" t="n"/>
      <c r="H244" s="43" t="n">
        <v>0.5</v>
      </c>
      <c r="I244" s="39" t="n"/>
      <c r="J244" s="39" t="n"/>
      <c r="K244" s="31" t="n"/>
      <c r="L244" s="31" t="n"/>
      <c r="M244" s="31" t="n"/>
      <c r="N244" s="31" t="n"/>
      <c r="O244" s="31" t="n"/>
      <c r="P244" s="31" t="n"/>
      <c r="Q244" s="23">
        <f>IF($A244="","",COUNTIFS(Assignments!$C$2:$C$769,$A244,Assignments!$G$2:$G$769,"Active"))</f>
        <v/>
      </c>
      <c r="R244" s="32">
        <f>IF($A244="","",SUMIFS(Assignments!$I$2:$I$769,Assignments!$C$2:$C$769,$A244,Assignments!$G$2:$G$769,"Active"))</f>
        <v/>
      </c>
      <c r="S244" s="20" t="inlineStr">
        <is>
          <t>Summary tab only (Proposal)</t>
        </is>
      </c>
      <c r="T244" s="31" t="n"/>
      <c r="U244" s="38" t="n"/>
      <c r="V244" s="34">
        <f>IF($U244="","",IFERROR(INDEX(Templates!$K$3:$K$10,MATCH($U244,Templates!$A$3:$A$10,0)),""))</f>
        <v/>
      </c>
      <c r="W244" s="34">
        <f>IF($U244="","",IFERROR(INDEX(Templates!$L$3:$L$10,MATCH($U244,Templates!$A$3:$A$10,0)),""))</f>
        <v/>
      </c>
      <c r="X244" s="21">
        <f>IF($U244="","",IFERROR(INDEX(Templates!$J$3:$J$10,MATCH($U244,Templates!$A$3:$A$10,0)),""))</f>
        <v/>
      </c>
      <c r="Y244" s="35">
        <f>IF(OR($U244="",$I244="",$J244="",$X244=""),"",$I244+$X244*($J244-$I244))</f>
        <v/>
      </c>
      <c r="Z244" s="30" t="n">
        <v>46212</v>
      </c>
      <c r="AA244" s="40" t="n"/>
      <c r="AB244" s="41" t="n"/>
      <c r="AC244" s="41" t="n"/>
      <c r="AD244" s="19">
        <f>IF($A244="","",IF($AA244="",$H244,$AA244))</f>
        <v/>
      </c>
      <c r="AE244" s="35">
        <f>IF($A244="","",IF($AB244="",$I244,$AB244))</f>
        <v/>
      </c>
      <c r="AF244" s="35">
        <f>IF($A244="","",IF($AC244="",$J244,$AC244))</f>
        <v/>
      </c>
      <c r="AG244" s="35">
        <f>IF(OR($U244="",$AE244="",$AF244="",$X244=""),"",$AE244+$X244*($AF244-$AE244))</f>
        <v/>
      </c>
      <c r="AH244" s="38" t="n"/>
      <c r="AI244" s="38" t="n"/>
      <c r="AJ244" s="38" t="n"/>
      <c r="AK244" s="38" t="n"/>
      <c r="AL244" s="38" t="n"/>
      <c r="AM244" s="38" t="n"/>
      <c r="AN244" s="38" t="n"/>
      <c r="AO244" s="38" t="n"/>
      <c r="AP244" s="38" t="n"/>
      <c r="AQ244" s="38" t="n"/>
      <c r="AR244" s="38" t="n"/>
      <c r="AS244" s="38" t="n"/>
      <c r="AT244" s="38" t="n"/>
      <c r="AU244" s="38" t="n"/>
      <c r="AV244" s="38" t="n"/>
      <c r="AW244" s="38" t="n"/>
      <c r="AX244" s="38" t="n"/>
      <c r="AY244" s="42" t="n"/>
      <c r="AZ244" s="42" t="n"/>
      <c r="BA244" s="42" t="n"/>
      <c r="BB244" s="42" t="n"/>
      <c r="BC244" s="42" t="n"/>
      <c r="BD244" s="37">
        <f>IF($A244="","",SUM($AY244:$BC244))</f>
        <v/>
      </c>
      <c r="BE244" s="18">
        <f>IF($A244="","",IF(AND($I244&lt;&gt;"",$J244&lt;&gt;""),MAX(1,($J244-$I244)/7),Templates!$B$35))</f>
        <v/>
      </c>
      <c r="BF244" s="18">
        <f>IF($A244="","",IF(AND($I244&lt;&gt;"",$J244&lt;&gt;""),MAX(1,($J244-$I244)/7),Templates!$B$36))</f>
        <v/>
      </c>
      <c r="BG244" s="18">
        <f>IF($A244="","",IF(AND($I244&lt;&gt;"",$J244&lt;&gt;""),MAX(1,($J244-$I244)/7),Templates!$B$37))</f>
        <v/>
      </c>
      <c r="BH244" s="18">
        <f>IF($A244="","",IF(AND($I244&lt;&gt;"",$J244&lt;&gt;""),MAX(1,($J244-$I244)/7),Templates!$B$38))</f>
        <v/>
      </c>
      <c r="BI244" s="18">
        <f>IF($A244="","",IF(AND($I244&lt;&gt;"",$J244&lt;&gt;""),MAX(1,($J244-$I244)/7),Templates!$B$39))</f>
        <v/>
      </c>
      <c r="BJ244" s="18">
        <f>IF(OR($A244="",$BD244=0),0,($AY244*Templates!$B$27/$BE244+$AZ244*Templates!$B$28/$BF244+$BA244*Templates!$B$29/$BG244+$BB244*Templates!$B$30/$BH244+$BC244*Templates!$B$31/$BI244)/Templates!$B$17)</f>
        <v/>
      </c>
      <c r="BK244" s="18">
        <f>IF(OR($A244="",$BD244=0),0,($AY244*Templates!$C$27/$BE244+$AZ244*Templates!$C$28/$BF244+$BA244*Templates!$C$29/$BG244+$BB244*Templates!$C$30/$BH244+$BC244*Templates!$C$31/$BI244)/Templates!$B$18)</f>
        <v/>
      </c>
      <c r="BL244" s="18">
        <f>IF(OR($A244="",$BD244=0),0,($AY244*Templates!$D$27/$BE244+$AZ244*Templates!$D$28/$BF244+$BA244*Templates!$D$29/$BG244+$BB244*Templates!$D$30/$BH244+$BC244*Templates!$D$31/$BI244)/Templates!$B$19)</f>
        <v/>
      </c>
      <c r="BM244" s="18">
        <f>IF(OR($A244="",$BD244=0),0,($AY244*Templates!$E$27/$BE244+$AZ244*Templates!$E$28/$BF244+$BA244*Templates!$E$29/$BG244+$BB244*Templates!$E$30/$BH244+$BC244*Templates!$E$31/$BI244)/Templates!$B$20)</f>
        <v/>
      </c>
      <c r="BN244" s="18">
        <f>IF(OR($A244="",$BD244=0),0,($AY244*Templates!$F$27/$BE244+$AZ244*Templates!$F$28/$BF244+$BA244*Templates!$F$29/$BG244+$BB244*Templates!$F$30/$BH244+$BC244*Templates!$F$31/$BI244)/Templates!$B$21)</f>
        <v/>
      </c>
      <c r="BO244" s="18">
        <f>IF(OR($A244="",$BD244=0),0,($AY244*Templates!$G$27/$BE244+$AZ244*Templates!$G$28/$BF244+$BA244*Templates!$G$29/$BG244+$BB244*Templates!$G$30/$BH244+$BC244*Templates!$G$31/$BI244)/Templates!$B$22)</f>
        <v/>
      </c>
      <c r="BP244" s="18">
        <f>IF(OR($A244="",$BD244=0),0,($AY244*Templates!$H$27/$BE244+$AZ244*Templates!$H$28/$BF244+$BA244*Templates!$H$29/$BG244+$BB244*Templates!$H$30/$BH244+$BC244*Templates!$H$31/$BI244)/Templates!$B$23)</f>
        <v/>
      </c>
    </row>
    <row r="245">
      <c r="A245" s="28" t="inlineStr">
        <is>
          <t>EV3_1</t>
        </is>
      </c>
      <c r="B245" s="20" t="inlineStr">
        <is>
          <t>Eva Equity partners</t>
        </is>
      </c>
      <c r="C245" s="28" t="inlineStr">
        <is>
          <t>Eva Equity partners</t>
        </is>
      </c>
      <c r="D245" s="28" t="inlineStr"/>
      <c r="E245" s="28" t="inlineStr">
        <is>
          <t>No</t>
        </is>
      </c>
      <c r="F245" s="28" t="inlineStr">
        <is>
          <t>Proposal</t>
        </is>
      </c>
      <c r="G245" s="38" t="n"/>
      <c r="H245" s="43" t="n">
        <v>0.5</v>
      </c>
      <c r="I245" s="39" t="n"/>
      <c r="J245" s="39" t="n"/>
      <c r="K245" s="31" t="n"/>
      <c r="L245" s="31" t="n"/>
      <c r="M245" s="31" t="n"/>
      <c r="N245" s="31" t="n"/>
      <c r="O245" s="31" t="n"/>
      <c r="P245" s="31" t="n"/>
      <c r="Q245" s="23">
        <f>IF($A245="","",COUNTIFS(Assignments!$C$2:$C$769,$A245,Assignments!$G$2:$G$769,"Active"))</f>
        <v/>
      </c>
      <c r="R245" s="32">
        <f>IF($A245="","",SUMIFS(Assignments!$I$2:$I$769,Assignments!$C$2:$C$769,$A245,Assignments!$G$2:$G$769,"Active"))</f>
        <v/>
      </c>
      <c r="S245" s="20" t="inlineStr">
        <is>
          <t>Summary tab only (Proposal)</t>
        </is>
      </c>
      <c r="T245" s="31" t="n"/>
      <c r="U245" s="38" t="n"/>
      <c r="V245" s="34">
        <f>IF($U245="","",IFERROR(INDEX(Templates!$K$3:$K$10,MATCH($U245,Templates!$A$3:$A$10,0)),""))</f>
        <v/>
      </c>
      <c r="W245" s="34">
        <f>IF($U245="","",IFERROR(INDEX(Templates!$L$3:$L$10,MATCH($U245,Templates!$A$3:$A$10,0)),""))</f>
        <v/>
      </c>
      <c r="X245" s="21">
        <f>IF($U245="","",IFERROR(INDEX(Templates!$J$3:$J$10,MATCH($U245,Templates!$A$3:$A$10,0)),""))</f>
        <v/>
      </c>
      <c r="Y245" s="35">
        <f>IF(OR($U245="",$I245="",$J245="",$X245=""),"",$I245+$X245*($J245-$I245))</f>
        <v/>
      </c>
      <c r="Z245" s="30" t="n">
        <v>46212</v>
      </c>
      <c r="AA245" s="40" t="n"/>
      <c r="AB245" s="41" t="n"/>
      <c r="AC245" s="41" t="n"/>
      <c r="AD245" s="19">
        <f>IF($A245="","",IF($AA245="",$H245,$AA245))</f>
        <v/>
      </c>
      <c r="AE245" s="35">
        <f>IF($A245="","",IF($AB245="",$I245,$AB245))</f>
        <v/>
      </c>
      <c r="AF245" s="35">
        <f>IF($A245="","",IF($AC245="",$J245,$AC245))</f>
        <v/>
      </c>
      <c r="AG245" s="35">
        <f>IF(OR($U245="",$AE245="",$AF245="",$X245=""),"",$AE245+$X245*($AF245-$AE245))</f>
        <v/>
      </c>
      <c r="AH245" s="38" t="n"/>
      <c r="AI245" s="38" t="n"/>
      <c r="AJ245" s="38" t="n"/>
      <c r="AK245" s="38" t="n"/>
      <c r="AL245" s="38" t="n"/>
      <c r="AM245" s="38" t="n"/>
      <c r="AN245" s="38" t="n"/>
      <c r="AO245" s="38" t="n"/>
      <c r="AP245" s="38" t="n"/>
      <c r="AQ245" s="38" t="n"/>
      <c r="AR245" s="38" t="n"/>
      <c r="AS245" s="38" t="n"/>
      <c r="AT245" s="38" t="n"/>
      <c r="AU245" s="38" t="n"/>
      <c r="AV245" s="38" t="n"/>
      <c r="AW245" s="38" t="n"/>
      <c r="AX245" s="38" t="n"/>
      <c r="AY245" s="42" t="n"/>
      <c r="AZ245" s="42" t="n"/>
      <c r="BA245" s="42" t="n"/>
      <c r="BB245" s="42" t="n"/>
      <c r="BC245" s="42" t="n"/>
      <c r="BD245" s="37">
        <f>IF($A245="","",SUM($AY245:$BC245))</f>
        <v/>
      </c>
      <c r="BE245" s="18">
        <f>IF($A245="","",IF(AND($I245&lt;&gt;"",$J245&lt;&gt;""),MAX(1,($J245-$I245)/7),Templates!$B$35))</f>
        <v/>
      </c>
      <c r="BF245" s="18">
        <f>IF($A245="","",IF(AND($I245&lt;&gt;"",$J245&lt;&gt;""),MAX(1,($J245-$I245)/7),Templates!$B$36))</f>
        <v/>
      </c>
      <c r="BG245" s="18">
        <f>IF($A245="","",IF(AND($I245&lt;&gt;"",$J245&lt;&gt;""),MAX(1,($J245-$I245)/7),Templates!$B$37))</f>
        <v/>
      </c>
      <c r="BH245" s="18">
        <f>IF($A245="","",IF(AND($I245&lt;&gt;"",$J245&lt;&gt;""),MAX(1,($J245-$I245)/7),Templates!$B$38))</f>
        <v/>
      </c>
      <c r="BI245" s="18">
        <f>IF($A245="","",IF(AND($I245&lt;&gt;"",$J245&lt;&gt;""),MAX(1,($J245-$I245)/7),Templates!$B$39))</f>
        <v/>
      </c>
      <c r="BJ245" s="18">
        <f>IF(OR($A245="",$BD245=0),0,($AY245*Templates!$B$27/$BE245+$AZ245*Templates!$B$28/$BF245+$BA245*Templates!$B$29/$BG245+$BB245*Templates!$B$30/$BH245+$BC245*Templates!$B$31/$BI245)/Templates!$B$17)</f>
        <v/>
      </c>
      <c r="BK245" s="18">
        <f>IF(OR($A245="",$BD245=0),0,($AY245*Templates!$C$27/$BE245+$AZ245*Templates!$C$28/$BF245+$BA245*Templates!$C$29/$BG245+$BB245*Templates!$C$30/$BH245+$BC245*Templates!$C$31/$BI245)/Templates!$B$18)</f>
        <v/>
      </c>
      <c r="BL245" s="18">
        <f>IF(OR($A245="",$BD245=0),0,($AY245*Templates!$D$27/$BE245+$AZ245*Templates!$D$28/$BF245+$BA245*Templates!$D$29/$BG245+$BB245*Templates!$D$30/$BH245+$BC245*Templates!$D$31/$BI245)/Templates!$B$19)</f>
        <v/>
      </c>
      <c r="BM245" s="18">
        <f>IF(OR($A245="",$BD245=0),0,($AY245*Templates!$E$27/$BE245+$AZ245*Templates!$E$28/$BF245+$BA245*Templates!$E$29/$BG245+$BB245*Templates!$E$30/$BH245+$BC245*Templates!$E$31/$BI245)/Templates!$B$20)</f>
        <v/>
      </c>
      <c r="BN245" s="18">
        <f>IF(OR($A245="",$BD245=0),0,($AY245*Templates!$F$27/$BE245+$AZ245*Templates!$F$28/$BF245+$BA245*Templates!$F$29/$BG245+$BB245*Templates!$F$30/$BH245+$BC245*Templates!$F$31/$BI245)/Templates!$B$21)</f>
        <v/>
      </c>
      <c r="BO245" s="18">
        <f>IF(OR($A245="",$BD245=0),0,($AY245*Templates!$G$27/$BE245+$AZ245*Templates!$G$28/$BF245+$BA245*Templates!$G$29/$BG245+$BB245*Templates!$G$30/$BH245+$BC245*Templates!$G$31/$BI245)/Templates!$B$22)</f>
        <v/>
      </c>
      <c r="BP245" s="18">
        <f>IF(OR($A245="",$BD245=0),0,($AY245*Templates!$H$27/$BE245+$AZ245*Templates!$H$28/$BF245+$BA245*Templates!$H$29/$BG245+$BB245*Templates!$H$30/$BH245+$BC245*Templates!$H$31/$BI245)/Templates!$B$23)</f>
        <v/>
      </c>
    </row>
    <row r="246">
      <c r="A246" s="28" t="inlineStr">
        <is>
          <t>FAUME US Expansion_1</t>
        </is>
      </c>
      <c r="B246" s="20" t="inlineStr">
        <is>
          <t>FAUME</t>
        </is>
      </c>
      <c r="C246" s="28" t="inlineStr">
        <is>
          <t>FAUME</t>
        </is>
      </c>
      <c r="D246" s="28" t="inlineStr"/>
      <c r="E246" s="28" t="inlineStr">
        <is>
          <t>No</t>
        </is>
      </c>
      <c r="F246" s="28" t="inlineStr">
        <is>
          <t>Proposal</t>
        </is>
      </c>
      <c r="G246" s="38" t="n"/>
      <c r="H246" s="43" t="n">
        <v>0.5</v>
      </c>
      <c r="I246" s="39" t="n"/>
      <c r="J246" s="39" t="n"/>
      <c r="K246" s="31" t="n"/>
      <c r="L246" s="31" t="n"/>
      <c r="M246" s="31" t="n"/>
      <c r="N246" s="31" t="n"/>
      <c r="O246" s="31" t="n"/>
      <c r="P246" s="31" t="n"/>
      <c r="Q246" s="23">
        <f>IF($A246="","",COUNTIFS(Assignments!$C$2:$C$769,$A246,Assignments!$G$2:$G$769,"Active"))</f>
        <v/>
      </c>
      <c r="R246" s="32">
        <f>IF($A246="","",SUMIFS(Assignments!$I$2:$I$769,Assignments!$C$2:$C$769,$A246,Assignments!$G$2:$G$769,"Active"))</f>
        <v/>
      </c>
      <c r="S246" s="20" t="inlineStr">
        <is>
          <t>Proposal</t>
        </is>
      </c>
      <c r="T246" s="31" t="n"/>
      <c r="U246" s="38" t="n"/>
      <c r="V246" s="34">
        <f>IF($U246="","",IFERROR(INDEX(Templates!$K$3:$K$10,MATCH($U246,Templates!$A$3:$A$10,0)),""))</f>
        <v/>
      </c>
      <c r="W246" s="34">
        <f>IF($U246="","",IFERROR(INDEX(Templates!$L$3:$L$10,MATCH($U246,Templates!$A$3:$A$10,0)),""))</f>
        <v/>
      </c>
      <c r="X246" s="21">
        <f>IF($U246="","",IFERROR(INDEX(Templates!$J$3:$J$10,MATCH($U246,Templates!$A$3:$A$10,0)),""))</f>
        <v/>
      </c>
      <c r="Y246" s="35">
        <f>IF(OR($U246="",$I246="",$J246="",$X246=""),"",$I246+$X246*($J246-$I246))</f>
        <v/>
      </c>
      <c r="Z246" s="30" t="n">
        <v>46212</v>
      </c>
      <c r="AA246" s="40" t="n"/>
      <c r="AB246" s="41" t="n"/>
      <c r="AC246" s="41" t="n"/>
      <c r="AD246" s="19">
        <f>IF($A246="","",IF($AA246="",$H246,$AA246))</f>
        <v/>
      </c>
      <c r="AE246" s="35">
        <f>IF($A246="","",IF($AB246="",$I246,$AB246))</f>
        <v/>
      </c>
      <c r="AF246" s="35">
        <f>IF($A246="","",IF($AC246="",$J246,$AC246))</f>
        <v/>
      </c>
      <c r="AG246" s="35">
        <f>IF(OR($U246="",$AE246="",$AF246="",$X246=""),"",$AE246+$X246*($AF246-$AE246))</f>
        <v/>
      </c>
      <c r="AH246" s="38" t="n"/>
      <c r="AI246" s="38" t="n"/>
      <c r="AJ246" s="38" t="n"/>
      <c r="AK246" s="38" t="n"/>
      <c r="AL246" s="38" t="n"/>
      <c r="AM246" s="38" t="n"/>
      <c r="AN246" s="38" t="n"/>
      <c r="AO246" s="38" t="n"/>
      <c r="AP246" s="38" t="n"/>
      <c r="AQ246" s="38" t="n"/>
      <c r="AR246" s="38" t="n"/>
      <c r="AS246" s="38" t="n"/>
      <c r="AT246" s="38" t="n"/>
      <c r="AU246" s="38" t="n"/>
      <c r="AV246" s="38" t="n"/>
      <c r="AW246" s="38" t="n"/>
      <c r="AX246" s="38" t="n"/>
      <c r="AY246" s="42" t="n"/>
      <c r="AZ246" s="42" t="n"/>
      <c r="BA246" s="42" t="n"/>
      <c r="BB246" s="42" t="n"/>
      <c r="BC246" s="42" t="n"/>
      <c r="BD246" s="37">
        <f>IF($A246="","",SUM($AY246:$BC246))</f>
        <v/>
      </c>
      <c r="BE246" s="18">
        <f>IF($A246="","",IF(AND($I246&lt;&gt;"",$J246&lt;&gt;""),MAX(1,($J246-$I246)/7),Templates!$B$35))</f>
        <v/>
      </c>
      <c r="BF246" s="18">
        <f>IF($A246="","",IF(AND($I246&lt;&gt;"",$J246&lt;&gt;""),MAX(1,($J246-$I246)/7),Templates!$B$36))</f>
        <v/>
      </c>
      <c r="BG246" s="18">
        <f>IF($A246="","",IF(AND($I246&lt;&gt;"",$J246&lt;&gt;""),MAX(1,($J246-$I246)/7),Templates!$B$37))</f>
        <v/>
      </c>
      <c r="BH246" s="18">
        <f>IF($A246="","",IF(AND($I246&lt;&gt;"",$J246&lt;&gt;""),MAX(1,($J246-$I246)/7),Templates!$B$38))</f>
        <v/>
      </c>
      <c r="BI246" s="18">
        <f>IF($A246="","",IF(AND($I246&lt;&gt;"",$J246&lt;&gt;""),MAX(1,($J246-$I246)/7),Templates!$B$39))</f>
        <v/>
      </c>
      <c r="BJ246" s="18">
        <f>IF(OR($A246="",$BD246=0),0,($AY246*Templates!$B$27/$BE246+$AZ246*Templates!$B$28/$BF246+$BA246*Templates!$B$29/$BG246+$BB246*Templates!$B$30/$BH246+$BC246*Templates!$B$31/$BI246)/Templates!$B$17)</f>
        <v/>
      </c>
      <c r="BK246" s="18">
        <f>IF(OR($A246="",$BD246=0),0,($AY246*Templates!$C$27/$BE246+$AZ246*Templates!$C$28/$BF246+$BA246*Templates!$C$29/$BG246+$BB246*Templates!$C$30/$BH246+$BC246*Templates!$C$31/$BI246)/Templates!$B$18)</f>
        <v/>
      </c>
      <c r="BL246" s="18">
        <f>IF(OR($A246="",$BD246=0),0,($AY246*Templates!$D$27/$BE246+$AZ246*Templates!$D$28/$BF246+$BA246*Templates!$D$29/$BG246+$BB246*Templates!$D$30/$BH246+$BC246*Templates!$D$31/$BI246)/Templates!$B$19)</f>
        <v/>
      </c>
      <c r="BM246" s="18">
        <f>IF(OR($A246="",$BD246=0),0,($AY246*Templates!$E$27/$BE246+$AZ246*Templates!$E$28/$BF246+$BA246*Templates!$E$29/$BG246+$BB246*Templates!$E$30/$BH246+$BC246*Templates!$E$31/$BI246)/Templates!$B$20)</f>
        <v/>
      </c>
      <c r="BN246" s="18">
        <f>IF(OR($A246="",$BD246=0),0,($AY246*Templates!$F$27/$BE246+$AZ246*Templates!$F$28/$BF246+$BA246*Templates!$F$29/$BG246+$BB246*Templates!$F$30/$BH246+$BC246*Templates!$F$31/$BI246)/Templates!$B$21)</f>
        <v/>
      </c>
      <c r="BO246" s="18">
        <f>IF(OR($A246="",$BD246=0),0,($AY246*Templates!$G$27/$BE246+$AZ246*Templates!$G$28/$BF246+$BA246*Templates!$G$29/$BG246+$BB246*Templates!$G$30/$BH246+$BC246*Templates!$G$31/$BI246)/Templates!$B$22)</f>
        <v/>
      </c>
      <c r="BP246" s="18">
        <f>IF(OR($A246="",$BD246=0),0,($AY246*Templates!$H$27/$BE246+$AZ246*Templates!$H$28/$BF246+$BA246*Templates!$H$29/$BG246+$BB246*Templates!$H$30/$BH246+$BC246*Templates!$H$31/$BI246)/Templates!$B$23)</f>
        <v/>
      </c>
    </row>
    <row r="247">
      <c r="A247" s="28" t="inlineStr">
        <is>
          <t>FIRPTA_5</t>
        </is>
      </c>
      <c r="B247" s="20" t="inlineStr">
        <is>
          <t>Macquarie Group</t>
        </is>
      </c>
      <c r="C247" s="28" t="inlineStr">
        <is>
          <t>Macquarie Group</t>
        </is>
      </c>
      <c r="D247" s="28" t="inlineStr"/>
      <c r="E247" s="28" t="inlineStr">
        <is>
          <t>No</t>
        </is>
      </c>
      <c r="F247" s="28" t="inlineStr">
        <is>
          <t>Proposal</t>
        </is>
      </c>
      <c r="G247" s="38" t="n"/>
      <c r="H247" s="43" t="n">
        <v>0.5</v>
      </c>
      <c r="I247" s="39" t="n"/>
      <c r="J247" s="39" t="n"/>
      <c r="K247" s="31" t="n"/>
      <c r="L247" s="31" t="n"/>
      <c r="M247" s="31" t="n"/>
      <c r="N247" s="31" t="n"/>
      <c r="O247" s="31" t="n"/>
      <c r="P247" s="31" t="n"/>
      <c r="Q247" s="23">
        <f>IF($A247="","",COUNTIFS(Assignments!$C$2:$C$769,$A247,Assignments!$G$2:$G$769,"Active"))</f>
        <v/>
      </c>
      <c r="R247" s="32">
        <f>IF($A247="","",SUMIFS(Assignments!$I$2:$I$769,Assignments!$C$2:$C$769,$A247,Assignments!$G$2:$G$769,"Active"))</f>
        <v/>
      </c>
      <c r="S247" s="20" t="inlineStr">
        <is>
          <t>Proposal</t>
        </is>
      </c>
      <c r="T247" s="31" t="n"/>
      <c r="U247" s="38" t="n"/>
      <c r="V247" s="34">
        <f>IF($U247="","",IFERROR(INDEX(Templates!$K$3:$K$10,MATCH($U247,Templates!$A$3:$A$10,0)),""))</f>
        <v/>
      </c>
      <c r="W247" s="34">
        <f>IF($U247="","",IFERROR(INDEX(Templates!$L$3:$L$10,MATCH($U247,Templates!$A$3:$A$10,0)),""))</f>
        <v/>
      </c>
      <c r="X247" s="21">
        <f>IF($U247="","",IFERROR(INDEX(Templates!$J$3:$J$10,MATCH($U247,Templates!$A$3:$A$10,0)),""))</f>
        <v/>
      </c>
      <c r="Y247" s="35">
        <f>IF(OR($U247="",$I247="",$J247="",$X247=""),"",$I247+$X247*($J247-$I247))</f>
        <v/>
      </c>
      <c r="Z247" s="30" t="n">
        <v>46212</v>
      </c>
      <c r="AA247" s="40" t="n"/>
      <c r="AB247" s="41" t="n"/>
      <c r="AC247" s="41" t="n"/>
      <c r="AD247" s="19">
        <f>IF($A247="","",IF($AA247="",$H247,$AA247))</f>
        <v/>
      </c>
      <c r="AE247" s="35">
        <f>IF($A247="","",IF($AB247="",$I247,$AB247))</f>
        <v/>
      </c>
      <c r="AF247" s="35">
        <f>IF($A247="","",IF($AC247="",$J247,$AC247))</f>
        <v/>
      </c>
      <c r="AG247" s="35">
        <f>IF(OR($U247="",$AE247="",$AF247="",$X247=""),"",$AE247+$X247*($AF247-$AE247))</f>
        <v/>
      </c>
      <c r="AH247" s="38" t="n"/>
      <c r="AI247" s="38" t="n"/>
      <c r="AJ247" s="38" t="n"/>
      <c r="AK247" s="38" t="n"/>
      <c r="AL247" s="38" t="n"/>
      <c r="AM247" s="38" t="n"/>
      <c r="AN247" s="38" t="n"/>
      <c r="AO247" s="38" t="n"/>
      <c r="AP247" s="38" t="n"/>
      <c r="AQ247" s="38" t="n"/>
      <c r="AR247" s="38" t="n"/>
      <c r="AS247" s="38" t="n"/>
      <c r="AT247" s="38" t="n"/>
      <c r="AU247" s="38" t="n"/>
      <c r="AV247" s="38" t="n"/>
      <c r="AW247" s="38" t="n"/>
      <c r="AX247" s="38" t="n"/>
      <c r="AY247" s="42" t="n"/>
      <c r="AZ247" s="42" t="n"/>
      <c r="BA247" s="42" t="n"/>
      <c r="BB247" s="42" t="n"/>
      <c r="BC247" s="42" t="n"/>
      <c r="BD247" s="37">
        <f>IF($A247="","",SUM($AY247:$BC247))</f>
        <v/>
      </c>
      <c r="BE247" s="18">
        <f>IF($A247="","",IF(AND($I247&lt;&gt;"",$J247&lt;&gt;""),MAX(1,($J247-$I247)/7),Templates!$B$35))</f>
        <v/>
      </c>
      <c r="BF247" s="18">
        <f>IF($A247="","",IF(AND($I247&lt;&gt;"",$J247&lt;&gt;""),MAX(1,($J247-$I247)/7),Templates!$B$36))</f>
        <v/>
      </c>
      <c r="BG247" s="18">
        <f>IF($A247="","",IF(AND($I247&lt;&gt;"",$J247&lt;&gt;""),MAX(1,($J247-$I247)/7),Templates!$B$37))</f>
        <v/>
      </c>
      <c r="BH247" s="18">
        <f>IF($A247="","",IF(AND($I247&lt;&gt;"",$J247&lt;&gt;""),MAX(1,($J247-$I247)/7),Templates!$B$38))</f>
        <v/>
      </c>
      <c r="BI247" s="18">
        <f>IF($A247="","",IF(AND($I247&lt;&gt;"",$J247&lt;&gt;""),MAX(1,($J247-$I247)/7),Templates!$B$39))</f>
        <v/>
      </c>
      <c r="BJ247" s="18">
        <f>IF(OR($A247="",$BD247=0),0,($AY247*Templates!$B$27/$BE247+$AZ247*Templates!$B$28/$BF247+$BA247*Templates!$B$29/$BG247+$BB247*Templates!$B$30/$BH247+$BC247*Templates!$B$31/$BI247)/Templates!$B$17)</f>
        <v/>
      </c>
      <c r="BK247" s="18">
        <f>IF(OR($A247="",$BD247=0),0,($AY247*Templates!$C$27/$BE247+$AZ247*Templates!$C$28/$BF247+$BA247*Templates!$C$29/$BG247+$BB247*Templates!$C$30/$BH247+$BC247*Templates!$C$31/$BI247)/Templates!$B$18)</f>
        <v/>
      </c>
      <c r="BL247" s="18">
        <f>IF(OR($A247="",$BD247=0),0,($AY247*Templates!$D$27/$BE247+$AZ247*Templates!$D$28/$BF247+$BA247*Templates!$D$29/$BG247+$BB247*Templates!$D$30/$BH247+$BC247*Templates!$D$31/$BI247)/Templates!$B$19)</f>
        <v/>
      </c>
      <c r="BM247" s="18">
        <f>IF(OR($A247="",$BD247=0),0,($AY247*Templates!$E$27/$BE247+$AZ247*Templates!$E$28/$BF247+$BA247*Templates!$E$29/$BG247+$BB247*Templates!$E$30/$BH247+$BC247*Templates!$E$31/$BI247)/Templates!$B$20)</f>
        <v/>
      </c>
      <c r="BN247" s="18">
        <f>IF(OR($A247="",$BD247=0),0,($AY247*Templates!$F$27/$BE247+$AZ247*Templates!$F$28/$BF247+$BA247*Templates!$F$29/$BG247+$BB247*Templates!$F$30/$BH247+$BC247*Templates!$F$31/$BI247)/Templates!$B$21)</f>
        <v/>
      </c>
      <c r="BO247" s="18">
        <f>IF(OR($A247="",$BD247=0),0,($AY247*Templates!$G$27/$BE247+$AZ247*Templates!$G$28/$BF247+$BA247*Templates!$G$29/$BG247+$BB247*Templates!$G$30/$BH247+$BC247*Templates!$G$31/$BI247)/Templates!$B$22)</f>
        <v/>
      </c>
      <c r="BP247" s="18">
        <f>IF(OR($A247="",$BD247=0),0,($AY247*Templates!$H$27/$BE247+$AZ247*Templates!$H$28/$BF247+$BA247*Templates!$H$29/$BG247+$BB247*Templates!$H$30/$BH247+$BC247*Templates!$H$31/$BI247)/Templates!$B$23)</f>
        <v/>
      </c>
    </row>
    <row r="248">
      <c r="A248" s="28" t="inlineStr">
        <is>
          <t>Gemini</t>
        </is>
      </c>
      <c r="B248" s="20" t="inlineStr">
        <is>
          <t>Royal Bank of Canada</t>
        </is>
      </c>
      <c r="C248" s="28" t="inlineStr">
        <is>
          <t>Royal Bank of Canada</t>
        </is>
      </c>
      <c r="D248" s="28" t="inlineStr"/>
      <c r="E248" s="28" t="inlineStr">
        <is>
          <t>No</t>
        </is>
      </c>
      <c r="F248" s="28" t="inlineStr">
        <is>
          <t>Proposal</t>
        </is>
      </c>
      <c r="G248" s="38" t="n"/>
      <c r="H248" s="43" t="n">
        <v>0.5</v>
      </c>
      <c r="I248" s="39" t="n"/>
      <c r="J248" s="39" t="n"/>
      <c r="K248" s="31" t="n"/>
      <c r="L248" s="31" t="n"/>
      <c r="M248" s="31" t="n"/>
      <c r="N248" s="31" t="n"/>
      <c r="O248" s="31" t="n"/>
      <c r="P248" s="31" t="n"/>
      <c r="Q248" s="23">
        <f>IF($A248="","",COUNTIFS(Assignments!$C$2:$C$769,$A248,Assignments!$G$2:$G$769,"Active"))</f>
        <v/>
      </c>
      <c r="R248" s="32">
        <f>IF($A248="","",SUMIFS(Assignments!$I$2:$I$769,Assignments!$C$2:$C$769,$A248,Assignments!$G$2:$G$769,"Active"))</f>
        <v/>
      </c>
      <c r="S248" s="20" t="inlineStr">
        <is>
          <t>Proposal</t>
        </is>
      </c>
      <c r="T248" s="31" t="n"/>
      <c r="U248" s="38" t="n"/>
      <c r="V248" s="34">
        <f>IF($U248="","",IFERROR(INDEX(Templates!$K$3:$K$10,MATCH($U248,Templates!$A$3:$A$10,0)),""))</f>
        <v/>
      </c>
      <c r="W248" s="34">
        <f>IF($U248="","",IFERROR(INDEX(Templates!$L$3:$L$10,MATCH($U248,Templates!$A$3:$A$10,0)),""))</f>
        <v/>
      </c>
      <c r="X248" s="21">
        <f>IF($U248="","",IFERROR(INDEX(Templates!$J$3:$J$10,MATCH($U248,Templates!$A$3:$A$10,0)),""))</f>
        <v/>
      </c>
      <c r="Y248" s="35">
        <f>IF(OR($U248="",$I248="",$J248="",$X248=""),"",$I248+$X248*($J248-$I248))</f>
        <v/>
      </c>
      <c r="Z248" s="30" t="n">
        <v>46212</v>
      </c>
      <c r="AA248" s="40" t="n"/>
      <c r="AB248" s="41" t="n"/>
      <c r="AC248" s="41" t="n"/>
      <c r="AD248" s="19">
        <f>IF($A248="","",IF($AA248="",$H248,$AA248))</f>
        <v/>
      </c>
      <c r="AE248" s="35">
        <f>IF($A248="","",IF($AB248="",$I248,$AB248))</f>
        <v/>
      </c>
      <c r="AF248" s="35">
        <f>IF($A248="","",IF($AC248="",$J248,$AC248))</f>
        <v/>
      </c>
      <c r="AG248" s="35">
        <f>IF(OR($U248="",$AE248="",$AF248="",$X248=""),"",$AE248+$X248*($AF248-$AE248))</f>
        <v/>
      </c>
      <c r="AH248" s="38" t="n"/>
      <c r="AI248" s="38" t="n"/>
      <c r="AJ248" s="38" t="n"/>
      <c r="AK248" s="38" t="n"/>
      <c r="AL248" s="38" t="n"/>
      <c r="AM248" s="38" t="n"/>
      <c r="AN248" s="38" t="n"/>
      <c r="AO248" s="38" t="n"/>
      <c r="AP248" s="38" t="n"/>
      <c r="AQ248" s="38" t="n"/>
      <c r="AR248" s="38" t="n"/>
      <c r="AS248" s="38" t="n"/>
      <c r="AT248" s="38" t="n"/>
      <c r="AU248" s="38" t="n"/>
      <c r="AV248" s="38" t="n"/>
      <c r="AW248" s="38" t="n"/>
      <c r="AX248" s="38" t="n"/>
      <c r="AY248" s="42" t="n"/>
      <c r="AZ248" s="42" t="n"/>
      <c r="BA248" s="42" t="n"/>
      <c r="BB248" s="42" t="n"/>
      <c r="BC248" s="42" t="n"/>
      <c r="BD248" s="37">
        <f>IF($A248="","",SUM($AY248:$BC248))</f>
        <v/>
      </c>
      <c r="BE248" s="18">
        <f>IF($A248="","",IF(AND($I248&lt;&gt;"",$J248&lt;&gt;""),MAX(1,($J248-$I248)/7),Templates!$B$35))</f>
        <v/>
      </c>
      <c r="BF248" s="18">
        <f>IF($A248="","",IF(AND($I248&lt;&gt;"",$J248&lt;&gt;""),MAX(1,($J248-$I248)/7),Templates!$B$36))</f>
        <v/>
      </c>
      <c r="BG248" s="18">
        <f>IF($A248="","",IF(AND($I248&lt;&gt;"",$J248&lt;&gt;""),MAX(1,($J248-$I248)/7),Templates!$B$37))</f>
        <v/>
      </c>
      <c r="BH248" s="18">
        <f>IF($A248="","",IF(AND($I248&lt;&gt;"",$J248&lt;&gt;""),MAX(1,($J248-$I248)/7),Templates!$B$38))</f>
        <v/>
      </c>
      <c r="BI248" s="18">
        <f>IF($A248="","",IF(AND($I248&lt;&gt;"",$J248&lt;&gt;""),MAX(1,($J248-$I248)/7),Templates!$B$39))</f>
        <v/>
      </c>
      <c r="BJ248" s="18">
        <f>IF(OR($A248="",$BD248=0),0,($AY248*Templates!$B$27/$BE248+$AZ248*Templates!$B$28/$BF248+$BA248*Templates!$B$29/$BG248+$BB248*Templates!$B$30/$BH248+$BC248*Templates!$B$31/$BI248)/Templates!$B$17)</f>
        <v/>
      </c>
      <c r="BK248" s="18">
        <f>IF(OR($A248="",$BD248=0),0,($AY248*Templates!$C$27/$BE248+$AZ248*Templates!$C$28/$BF248+$BA248*Templates!$C$29/$BG248+$BB248*Templates!$C$30/$BH248+$BC248*Templates!$C$31/$BI248)/Templates!$B$18)</f>
        <v/>
      </c>
      <c r="BL248" s="18">
        <f>IF(OR($A248="",$BD248=0),0,($AY248*Templates!$D$27/$BE248+$AZ248*Templates!$D$28/$BF248+$BA248*Templates!$D$29/$BG248+$BB248*Templates!$D$30/$BH248+$BC248*Templates!$D$31/$BI248)/Templates!$B$19)</f>
        <v/>
      </c>
      <c r="BM248" s="18">
        <f>IF(OR($A248="",$BD248=0),0,($AY248*Templates!$E$27/$BE248+$AZ248*Templates!$E$28/$BF248+$BA248*Templates!$E$29/$BG248+$BB248*Templates!$E$30/$BH248+$BC248*Templates!$E$31/$BI248)/Templates!$B$20)</f>
        <v/>
      </c>
      <c r="BN248" s="18">
        <f>IF(OR($A248="",$BD248=0),0,($AY248*Templates!$F$27/$BE248+$AZ248*Templates!$F$28/$BF248+$BA248*Templates!$F$29/$BG248+$BB248*Templates!$F$30/$BH248+$BC248*Templates!$F$31/$BI248)/Templates!$B$21)</f>
        <v/>
      </c>
      <c r="BO248" s="18">
        <f>IF(OR($A248="",$BD248=0),0,($AY248*Templates!$G$27/$BE248+$AZ248*Templates!$G$28/$BF248+$BA248*Templates!$G$29/$BG248+$BB248*Templates!$G$30/$BH248+$BC248*Templates!$G$31/$BI248)/Templates!$B$22)</f>
        <v/>
      </c>
      <c r="BP248" s="18">
        <f>IF(OR($A248="",$BD248=0),0,($AY248*Templates!$H$27/$BE248+$AZ248*Templates!$H$28/$BF248+$BA248*Templates!$H$29/$BG248+$BB248*Templates!$H$30/$BH248+$BC248*Templates!$H$31/$BI248)/Templates!$B$23)</f>
        <v/>
      </c>
    </row>
    <row r="249">
      <c r="A249" s="28" t="inlineStr">
        <is>
          <t>Gerflor REORG</t>
        </is>
      </c>
      <c r="B249" s="20" t="inlineStr">
        <is>
          <t>Arsene TaxAnd</t>
        </is>
      </c>
      <c r="C249" s="28" t="inlineStr">
        <is>
          <t>Arsene TaxAnd</t>
        </is>
      </c>
      <c r="D249" s="28" t="inlineStr"/>
      <c r="E249" s="28" t="inlineStr">
        <is>
          <t>No</t>
        </is>
      </c>
      <c r="F249" s="28" t="inlineStr">
        <is>
          <t>Proposal</t>
        </is>
      </c>
      <c r="G249" s="38" t="n"/>
      <c r="H249" s="43" t="n">
        <v>0.5</v>
      </c>
      <c r="I249" s="39" t="n"/>
      <c r="J249" s="39" t="n"/>
      <c r="K249" s="31" t="n"/>
      <c r="L249" s="31" t="n"/>
      <c r="M249" s="31" t="n"/>
      <c r="N249" s="31" t="n"/>
      <c r="O249" s="31" t="n"/>
      <c r="P249" s="31" t="n"/>
      <c r="Q249" s="23">
        <f>IF($A249="","",COUNTIFS(Assignments!$C$2:$C$769,$A249,Assignments!$G$2:$G$769,"Active"))</f>
        <v/>
      </c>
      <c r="R249" s="32">
        <f>IF($A249="","",SUMIFS(Assignments!$I$2:$I$769,Assignments!$C$2:$C$769,$A249,Assignments!$G$2:$G$769,"Active"))</f>
        <v/>
      </c>
      <c r="S249" s="20" t="inlineStr">
        <is>
          <t>Summary tab only (Proposal)</t>
        </is>
      </c>
      <c r="T249" s="31" t="n"/>
      <c r="U249" s="38" t="n"/>
      <c r="V249" s="34">
        <f>IF($U249="","",IFERROR(INDEX(Templates!$K$3:$K$10,MATCH($U249,Templates!$A$3:$A$10,0)),""))</f>
        <v/>
      </c>
      <c r="W249" s="34">
        <f>IF($U249="","",IFERROR(INDEX(Templates!$L$3:$L$10,MATCH($U249,Templates!$A$3:$A$10,0)),""))</f>
        <v/>
      </c>
      <c r="X249" s="21">
        <f>IF($U249="","",IFERROR(INDEX(Templates!$J$3:$J$10,MATCH($U249,Templates!$A$3:$A$10,0)),""))</f>
        <v/>
      </c>
      <c r="Y249" s="35">
        <f>IF(OR($U249="",$I249="",$J249="",$X249=""),"",$I249+$X249*($J249-$I249))</f>
        <v/>
      </c>
      <c r="Z249" s="30" t="n">
        <v>46212</v>
      </c>
      <c r="AA249" s="40" t="n"/>
      <c r="AB249" s="41" t="n"/>
      <c r="AC249" s="41" t="n"/>
      <c r="AD249" s="19">
        <f>IF($A249="","",IF($AA249="",$H249,$AA249))</f>
        <v/>
      </c>
      <c r="AE249" s="35">
        <f>IF($A249="","",IF($AB249="",$I249,$AB249))</f>
        <v/>
      </c>
      <c r="AF249" s="35">
        <f>IF($A249="","",IF($AC249="",$J249,$AC249))</f>
        <v/>
      </c>
      <c r="AG249" s="35">
        <f>IF(OR($U249="",$AE249="",$AF249="",$X249=""),"",$AE249+$X249*($AF249-$AE249))</f>
        <v/>
      </c>
      <c r="AH249" s="38" t="n"/>
      <c r="AI249" s="38" t="n"/>
      <c r="AJ249" s="38" t="n"/>
      <c r="AK249" s="38" t="n"/>
      <c r="AL249" s="38" t="n"/>
      <c r="AM249" s="38" t="n"/>
      <c r="AN249" s="38" t="n"/>
      <c r="AO249" s="38" t="n"/>
      <c r="AP249" s="38" t="n"/>
      <c r="AQ249" s="38" t="n"/>
      <c r="AR249" s="38" t="n"/>
      <c r="AS249" s="38" t="n"/>
      <c r="AT249" s="38" t="n"/>
      <c r="AU249" s="38" t="n"/>
      <c r="AV249" s="38" t="n"/>
      <c r="AW249" s="38" t="n"/>
      <c r="AX249" s="38" t="n"/>
      <c r="AY249" s="42" t="n"/>
      <c r="AZ249" s="42" t="n"/>
      <c r="BA249" s="42" t="n"/>
      <c r="BB249" s="42" t="n"/>
      <c r="BC249" s="42" t="n"/>
      <c r="BD249" s="37">
        <f>IF($A249="","",SUM($AY249:$BC249))</f>
        <v/>
      </c>
      <c r="BE249" s="18">
        <f>IF($A249="","",IF(AND($I249&lt;&gt;"",$J249&lt;&gt;""),MAX(1,($J249-$I249)/7),Templates!$B$35))</f>
        <v/>
      </c>
      <c r="BF249" s="18">
        <f>IF($A249="","",IF(AND($I249&lt;&gt;"",$J249&lt;&gt;""),MAX(1,($J249-$I249)/7),Templates!$B$36))</f>
        <v/>
      </c>
      <c r="BG249" s="18">
        <f>IF($A249="","",IF(AND($I249&lt;&gt;"",$J249&lt;&gt;""),MAX(1,($J249-$I249)/7),Templates!$B$37))</f>
        <v/>
      </c>
      <c r="BH249" s="18">
        <f>IF($A249="","",IF(AND($I249&lt;&gt;"",$J249&lt;&gt;""),MAX(1,($J249-$I249)/7),Templates!$B$38))</f>
        <v/>
      </c>
      <c r="BI249" s="18">
        <f>IF($A249="","",IF(AND($I249&lt;&gt;"",$J249&lt;&gt;""),MAX(1,($J249-$I249)/7),Templates!$B$39))</f>
        <v/>
      </c>
      <c r="BJ249" s="18">
        <f>IF(OR($A249="",$BD249=0),0,($AY249*Templates!$B$27/$BE249+$AZ249*Templates!$B$28/$BF249+$BA249*Templates!$B$29/$BG249+$BB249*Templates!$B$30/$BH249+$BC249*Templates!$B$31/$BI249)/Templates!$B$17)</f>
        <v/>
      </c>
      <c r="BK249" s="18">
        <f>IF(OR($A249="",$BD249=0),0,($AY249*Templates!$C$27/$BE249+$AZ249*Templates!$C$28/$BF249+$BA249*Templates!$C$29/$BG249+$BB249*Templates!$C$30/$BH249+$BC249*Templates!$C$31/$BI249)/Templates!$B$18)</f>
        <v/>
      </c>
      <c r="BL249" s="18">
        <f>IF(OR($A249="",$BD249=0),0,($AY249*Templates!$D$27/$BE249+$AZ249*Templates!$D$28/$BF249+$BA249*Templates!$D$29/$BG249+$BB249*Templates!$D$30/$BH249+$BC249*Templates!$D$31/$BI249)/Templates!$B$19)</f>
        <v/>
      </c>
      <c r="BM249" s="18">
        <f>IF(OR($A249="",$BD249=0),0,($AY249*Templates!$E$27/$BE249+$AZ249*Templates!$E$28/$BF249+$BA249*Templates!$E$29/$BG249+$BB249*Templates!$E$30/$BH249+$BC249*Templates!$E$31/$BI249)/Templates!$B$20)</f>
        <v/>
      </c>
      <c r="BN249" s="18">
        <f>IF(OR($A249="",$BD249=0),0,($AY249*Templates!$F$27/$BE249+$AZ249*Templates!$F$28/$BF249+$BA249*Templates!$F$29/$BG249+$BB249*Templates!$F$30/$BH249+$BC249*Templates!$F$31/$BI249)/Templates!$B$21)</f>
        <v/>
      </c>
      <c r="BO249" s="18">
        <f>IF(OR($A249="",$BD249=0),0,($AY249*Templates!$G$27/$BE249+$AZ249*Templates!$G$28/$BF249+$BA249*Templates!$G$29/$BG249+$BB249*Templates!$G$30/$BH249+$BC249*Templates!$G$31/$BI249)/Templates!$B$22)</f>
        <v/>
      </c>
      <c r="BP249" s="18">
        <f>IF(OR($A249="",$BD249=0),0,($AY249*Templates!$H$27/$BE249+$AZ249*Templates!$H$28/$BF249+$BA249*Templates!$H$29/$BG249+$BB249*Templates!$H$30/$BH249+$BC249*Templates!$H$31/$BI249)/Templates!$B$23)</f>
        <v/>
      </c>
    </row>
    <row r="250">
      <c r="A250" s="28" t="inlineStr">
        <is>
          <t>GPRE_1</t>
        </is>
      </c>
      <c r="B250" s="20" t="inlineStr">
        <is>
          <t>Certa</t>
        </is>
      </c>
      <c r="C250" s="28" t="inlineStr">
        <is>
          <t>Certa</t>
        </is>
      </c>
      <c r="D250" s="28" t="inlineStr"/>
      <c r="E250" s="28" t="inlineStr">
        <is>
          <t>No</t>
        </is>
      </c>
      <c r="F250" s="28" t="inlineStr">
        <is>
          <t>Proposal</t>
        </is>
      </c>
      <c r="G250" s="38" t="n"/>
      <c r="H250" s="43" t="n">
        <v>0.5</v>
      </c>
      <c r="I250" s="39" t="n"/>
      <c r="J250" s="39" t="n"/>
      <c r="K250" s="31" t="n"/>
      <c r="L250" s="31" t="n"/>
      <c r="M250" s="31" t="n"/>
      <c r="N250" s="31" t="n"/>
      <c r="O250" s="31" t="n"/>
      <c r="P250" s="31" t="n"/>
      <c r="Q250" s="23">
        <f>IF($A250="","",COUNTIFS(Assignments!$C$2:$C$769,$A250,Assignments!$G$2:$G$769,"Active"))</f>
        <v/>
      </c>
      <c r="R250" s="32">
        <f>IF($A250="","",SUMIFS(Assignments!$I$2:$I$769,Assignments!$C$2:$C$769,$A250,Assignments!$G$2:$G$769,"Active"))</f>
        <v/>
      </c>
      <c r="S250" s="20" t="inlineStr">
        <is>
          <t>Proposal</t>
        </is>
      </c>
      <c r="T250" s="31" t="n"/>
      <c r="U250" s="38" t="n"/>
      <c r="V250" s="34">
        <f>IF($U250="","",IFERROR(INDEX(Templates!$K$3:$K$10,MATCH($U250,Templates!$A$3:$A$10,0)),""))</f>
        <v/>
      </c>
      <c r="W250" s="34">
        <f>IF($U250="","",IFERROR(INDEX(Templates!$L$3:$L$10,MATCH($U250,Templates!$A$3:$A$10,0)),""))</f>
        <v/>
      </c>
      <c r="X250" s="21">
        <f>IF($U250="","",IFERROR(INDEX(Templates!$J$3:$J$10,MATCH($U250,Templates!$A$3:$A$10,0)),""))</f>
        <v/>
      </c>
      <c r="Y250" s="35">
        <f>IF(OR($U250="",$I250="",$J250="",$X250=""),"",$I250+$X250*($J250-$I250))</f>
        <v/>
      </c>
      <c r="Z250" s="30" t="n">
        <v>46212</v>
      </c>
      <c r="AA250" s="40" t="n"/>
      <c r="AB250" s="41" t="n"/>
      <c r="AC250" s="41" t="n"/>
      <c r="AD250" s="19">
        <f>IF($A250="","",IF($AA250="",$H250,$AA250))</f>
        <v/>
      </c>
      <c r="AE250" s="35">
        <f>IF($A250="","",IF($AB250="",$I250,$AB250))</f>
        <v/>
      </c>
      <c r="AF250" s="35">
        <f>IF($A250="","",IF($AC250="",$J250,$AC250))</f>
        <v/>
      </c>
      <c r="AG250" s="35">
        <f>IF(OR($U250="",$AE250="",$AF250="",$X250=""),"",$AE250+$X250*($AF250-$AE250))</f>
        <v/>
      </c>
      <c r="AH250" s="38" t="n"/>
      <c r="AI250" s="38" t="n"/>
      <c r="AJ250" s="38" t="n"/>
      <c r="AK250" s="38" t="n"/>
      <c r="AL250" s="38" t="n"/>
      <c r="AM250" s="38" t="n"/>
      <c r="AN250" s="38" t="n"/>
      <c r="AO250" s="38" t="n"/>
      <c r="AP250" s="38" t="n"/>
      <c r="AQ250" s="38" t="n"/>
      <c r="AR250" s="38" t="n"/>
      <c r="AS250" s="38" t="n"/>
      <c r="AT250" s="38" t="n"/>
      <c r="AU250" s="38" t="n"/>
      <c r="AV250" s="38" t="n"/>
      <c r="AW250" s="38" t="n"/>
      <c r="AX250" s="38" t="n"/>
      <c r="AY250" s="42" t="n"/>
      <c r="AZ250" s="42" t="n"/>
      <c r="BA250" s="42" t="n"/>
      <c r="BB250" s="42" t="n"/>
      <c r="BC250" s="42" t="n"/>
      <c r="BD250" s="37">
        <f>IF($A250="","",SUM($AY250:$BC250))</f>
        <v/>
      </c>
      <c r="BE250" s="18">
        <f>IF($A250="","",IF(AND($I250&lt;&gt;"",$J250&lt;&gt;""),MAX(1,($J250-$I250)/7),Templates!$B$35))</f>
        <v/>
      </c>
      <c r="BF250" s="18">
        <f>IF($A250="","",IF(AND($I250&lt;&gt;"",$J250&lt;&gt;""),MAX(1,($J250-$I250)/7),Templates!$B$36))</f>
        <v/>
      </c>
      <c r="BG250" s="18">
        <f>IF($A250="","",IF(AND($I250&lt;&gt;"",$J250&lt;&gt;""),MAX(1,($J250-$I250)/7),Templates!$B$37))</f>
        <v/>
      </c>
      <c r="BH250" s="18">
        <f>IF($A250="","",IF(AND($I250&lt;&gt;"",$J250&lt;&gt;""),MAX(1,($J250-$I250)/7),Templates!$B$38))</f>
        <v/>
      </c>
      <c r="BI250" s="18">
        <f>IF($A250="","",IF(AND($I250&lt;&gt;"",$J250&lt;&gt;""),MAX(1,($J250-$I250)/7),Templates!$B$39))</f>
        <v/>
      </c>
      <c r="BJ250" s="18">
        <f>IF(OR($A250="",$BD250=0),0,($AY250*Templates!$B$27/$BE250+$AZ250*Templates!$B$28/$BF250+$BA250*Templates!$B$29/$BG250+$BB250*Templates!$B$30/$BH250+$BC250*Templates!$B$31/$BI250)/Templates!$B$17)</f>
        <v/>
      </c>
      <c r="BK250" s="18">
        <f>IF(OR($A250="",$BD250=0),0,($AY250*Templates!$C$27/$BE250+$AZ250*Templates!$C$28/$BF250+$BA250*Templates!$C$29/$BG250+$BB250*Templates!$C$30/$BH250+$BC250*Templates!$C$31/$BI250)/Templates!$B$18)</f>
        <v/>
      </c>
      <c r="BL250" s="18">
        <f>IF(OR($A250="",$BD250=0),0,($AY250*Templates!$D$27/$BE250+$AZ250*Templates!$D$28/$BF250+$BA250*Templates!$D$29/$BG250+$BB250*Templates!$D$30/$BH250+$BC250*Templates!$D$31/$BI250)/Templates!$B$19)</f>
        <v/>
      </c>
      <c r="BM250" s="18">
        <f>IF(OR($A250="",$BD250=0),0,($AY250*Templates!$E$27/$BE250+$AZ250*Templates!$E$28/$BF250+$BA250*Templates!$E$29/$BG250+$BB250*Templates!$E$30/$BH250+$BC250*Templates!$E$31/$BI250)/Templates!$B$20)</f>
        <v/>
      </c>
      <c r="BN250" s="18">
        <f>IF(OR($A250="",$BD250=0),0,($AY250*Templates!$F$27/$BE250+$AZ250*Templates!$F$28/$BF250+$BA250*Templates!$F$29/$BG250+$BB250*Templates!$F$30/$BH250+$BC250*Templates!$F$31/$BI250)/Templates!$B$21)</f>
        <v/>
      </c>
      <c r="BO250" s="18">
        <f>IF(OR($A250="",$BD250=0),0,($AY250*Templates!$G$27/$BE250+$AZ250*Templates!$G$28/$BF250+$BA250*Templates!$G$29/$BG250+$BB250*Templates!$G$30/$BH250+$BC250*Templates!$G$31/$BI250)/Templates!$B$22)</f>
        <v/>
      </c>
      <c r="BP250" s="18">
        <f>IF(OR($A250="",$BD250=0),0,($AY250*Templates!$H$27/$BE250+$AZ250*Templates!$H$28/$BF250+$BA250*Templates!$H$29/$BG250+$BB250*Templates!$H$30/$BH250+$BC250*Templates!$H$31/$BI250)/Templates!$B$23)</f>
        <v/>
      </c>
    </row>
    <row r="251">
      <c r="A251" s="28" t="inlineStr">
        <is>
          <t>Gravel_1</t>
        </is>
      </c>
      <c r="B251" s="20" t="inlineStr">
        <is>
          <t>Certa</t>
        </is>
      </c>
      <c r="C251" s="28" t="inlineStr">
        <is>
          <t>Certa</t>
        </is>
      </c>
      <c r="D251" s="28" t="inlineStr"/>
      <c r="E251" s="28" t="inlineStr">
        <is>
          <t>No</t>
        </is>
      </c>
      <c r="F251" s="28" t="inlineStr">
        <is>
          <t>Proposal</t>
        </is>
      </c>
      <c r="G251" s="38" t="n"/>
      <c r="H251" s="43" t="n">
        <v>0.5</v>
      </c>
      <c r="I251" s="39" t="n"/>
      <c r="J251" s="39" t="n"/>
      <c r="K251" s="31" t="n"/>
      <c r="L251" s="31" t="n"/>
      <c r="M251" s="31" t="n"/>
      <c r="N251" s="31" t="n"/>
      <c r="O251" s="31" t="n"/>
      <c r="P251" s="31" t="n"/>
      <c r="Q251" s="23">
        <f>IF($A251="","",COUNTIFS(Assignments!$C$2:$C$769,$A251,Assignments!$G$2:$G$769,"Active"))</f>
        <v/>
      </c>
      <c r="R251" s="32">
        <f>IF($A251="","",SUMIFS(Assignments!$I$2:$I$769,Assignments!$C$2:$C$769,$A251,Assignments!$G$2:$G$769,"Active"))</f>
        <v/>
      </c>
      <c r="S251" s="20" t="inlineStr">
        <is>
          <t>Proposal</t>
        </is>
      </c>
      <c r="T251" s="31" t="n"/>
      <c r="U251" s="38" t="n"/>
      <c r="V251" s="34">
        <f>IF($U251="","",IFERROR(INDEX(Templates!$K$3:$K$10,MATCH($U251,Templates!$A$3:$A$10,0)),""))</f>
        <v/>
      </c>
      <c r="W251" s="34">
        <f>IF($U251="","",IFERROR(INDEX(Templates!$L$3:$L$10,MATCH($U251,Templates!$A$3:$A$10,0)),""))</f>
        <v/>
      </c>
      <c r="X251" s="21">
        <f>IF($U251="","",IFERROR(INDEX(Templates!$J$3:$J$10,MATCH($U251,Templates!$A$3:$A$10,0)),""))</f>
        <v/>
      </c>
      <c r="Y251" s="35">
        <f>IF(OR($U251="",$I251="",$J251="",$X251=""),"",$I251+$X251*($J251-$I251))</f>
        <v/>
      </c>
      <c r="Z251" s="30" t="n">
        <v>46212</v>
      </c>
      <c r="AA251" s="40" t="n"/>
      <c r="AB251" s="41" t="n"/>
      <c r="AC251" s="41" t="n"/>
      <c r="AD251" s="19">
        <f>IF($A251="","",IF($AA251="",$H251,$AA251))</f>
        <v/>
      </c>
      <c r="AE251" s="35">
        <f>IF($A251="","",IF($AB251="",$I251,$AB251))</f>
        <v/>
      </c>
      <c r="AF251" s="35">
        <f>IF($A251="","",IF($AC251="",$J251,$AC251))</f>
        <v/>
      </c>
      <c r="AG251" s="35">
        <f>IF(OR($U251="",$AE251="",$AF251="",$X251=""),"",$AE251+$X251*($AF251-$AE251))</f>
        <v/>
      </c>
      <c r="AH251" s="38" t="n"/>
      <c r="AI251" s="38" t="n"/>
      <c r="AJ251" s="38" t="n"/>
      <c r="AK251" s="38" t="n"/>
      <c r="AL251" s="38" t="n"/>
      <c r="AM251" s="38" t="n"/>
      <c r="AN251" s="38" t="n"/>
      <c r="AO251" s="38" t="n"/>
      <c r="AP251" s="38" t="n"/>
      <c r="AQ251" s="38" t="n"/>
      <c r="AR251" s="38" t="n"/>
      <c r="AS251" s="38" t="n"/>
      <c r="AT251" s="38" t="n"/>
      <c r="AU251" s="38" t="n"/>
      <c r="AV251" s="38" t="n"/>
      <c r="AW251" s="38" t="n"/>
      <c r="AX251" s="38" t="n"/>
      <c r="AY251" s="42" t="n"/>
      <c r="AZ251" s="42" t="n"/>
      <c r="BA251" s="42" t="n"/>
      <c r="BB251" s="42" t="n"/>
      <c r="BC251" s="42" t="n"/>
      <c r="BD251" s="37">
        <f>IF($A251="","",SUM($AY251:$BC251))</f>
        <v/>
      </c>
      <c r="BE251" s="18">
        <f>IF($A251="","",IF(AND($I251&lt;&gt;"",$J251&lt;&gt;""),MAX(1,($J251-$I251)/7),Templates!$B$35))</f>
        <v/>
      </c>
      <c r="BF251" s="18">
        <f>IF($A251="","",IF(AND($I251&lt;&gt;"",$J251&lt;&gt;""),MAX(1,($J251-$I251)/7),Templates!$B$36))</f>
        <v/>
      </c>
      <c r="BG251" s="18">
        <f>IF($A251="","",IF(AND($I251&lt;&gt;"",$J251&lt;&gt;""),MAX(1,($J251-$I251)/7),Templates!$B$37))</f>
        <v/>
      </c>
      <c r="BH251" s="18">
        <f>IF($A251="","",IF(AND($I251&lt;&gt;"",$J251&lt;&gt;""),MAX(1,($J251-$I251)/7),Templates!$B$38))</f>
        <v/>
      </c>
      <c r="BI251" s="18">
        <f>IF($A251="","",IF(AND($I251&lt;&gt;"",$J251&lt;&gt;""),MAX(1,($J251-$I251)/7),Templates!$B$39))</f>
        <v/>
      </c>
      <c r="BJ251" s="18">
        <f>IF(OR($A251="",$BD251=0),0,($AY251*Templates!$B$27/$BE251+$AZ251*Templates!$B$28/$BF251+$BA251*Templates!$B$29/$BG251+$BB251*Templates!$B$30/$BH251+$BC251*Templates!$B$31/$BI251)/Templates!$B$17)</f>
        <v/>
      </c>
      <c r="BK251" s="18">
        <f>IF(OR($A251="",$BD251=0),0,($AY251*Templates!$C$27/$BE251+$AZ251*Templates!$C$28/$BF251+$BA251*Templates!$C$29/$BG251+$BB251*Templates!$C$30/$BH251+$BC251*Templates!$C$31/$BI251)/Templates!$B$18)</f>
        <v/>
      </c>
      <c r="BL251" s="18">
        <f>IF(OR($A251="",$BD251=0),0,($AY251*Templates!$D$27/$BE251+$AZ251*Templates!$D$28/$BF251+$BA251*Templates!$D$29/$BG251+$BB251*Templates!$D$30/$BH251+$BC251*Templates!$D$31/$BI251)/Templates!$B$19)</f>
        <v/>
      </c>
      <c r="BM251" s="18">
        <f>IF(OR($A251="",$BD251=0),0,($AY251*Templates!$E$27/$BE251+$AZ251*Templates!$E$28/$BF251+$BA251*Templates!$E$29/$BG251+$BB251*Templates!$E$30/$BH251+$BC251*Templates!$E$31/$BI251)/Templates!$B$20)</f>
        <v/>
      </c>
      <c r="BN251" s="18">
        <f>IF(OR($A251="",$BD251=0),0,($AY251*Templates!$F$27/$BE251+$AZ251*Templates!$F$28/$BF251+$BA251*Templates!$F$29/$BG251+$BB251*Templates!$F$30/$BH251+$BC251*Templates!$F$31/$BI251)/Templates!$B$21)</f>
        <v/>
      </c>
      <c r="BO251" s="18">
        <f>IF(OR($A251="",$BD251=0),0,($AY251*Templates!$G$27/$BE251+$AZ251*Templates!$G$28/$BF251+$BA251*Templates!$G$29/$BG251+$BB251*Templates!$G$30/$BH251+$BC251*Templates!$G$31/$BI251)/Templates!$B$22)</f>
        <v/>
      </c>
      <c r="BP251" s="18">
        <f>IF(OR($A251="",$BD251=0),0,($AY251*Templates!$H$27/$BE251+$AZ251*Templates!$H$28/$BF251+$BA251*Templates!$H$29/$BG251+$BB251*Templates!$H$30/$BH251+$BC251*Templates!$H$31/$BI251)/Templates!$B$23)</f>
        <v/>
      </c>
    </row>
    <row r="252">
      <c r="A252" s="28" t="inlineStr">
        <is>
          <t>Hereford_1</t>
        </is>
      </c>
      <c r="B252" s="20" t="inlineStr">
        <is>
          <t>Euclid Transactional</t>
        </is>
      </c>
      <c r="C252" s="28" t="inlineStr">
        <is>
          <t>Euclid Transactional</t>
        </is>
      </c>
      <c r="D252" s="28" t="inlineStr"/>
      <c r="E252" s="28" t="inlineStr">
        <is>
          <t>No</t>
        </is>
      </c>
      <c r="F252" s="28" t="inlineStr">
        <is>
          <t>Proposal</t>
        </is>
      </c>
      <c r="G252" s="38" t="n"/>
      <c r="H252" s="43" t="n">
        <v>0.5</v>
      </c>
      <c r="I252" s="39" t="n"/>
      <c r="J252" s="39" t="n"/>
      <c r="K252" s="31" t="n"/>
      <c r="L252" s="31" t="n"/>
      <c r="M252" s="31" t="n"/>
      <c r="N252" s="31" t="n"/>
      <c r="O252" s="31" t="n"/>
      <c r="P252" s="31" t="n"/>
      <c r="Q252" s="23">
        <f>IF($A252="","",COUNTIFS(Assignments!$C$2:$C$769,$A252,Assignments!$G$2:$G$769,"Active"))</f>
        <v/>
      </c>
      <c r="R252" s="32">
        <f>IF($A252="","",SUMIFS(Assignments!$I$2:$I$769,Assignments!$C$2:$C$769,$A252,Assignments!$G$2:$G$769,"Active"))</f>
        <v/>
      </c>
      <c r="S252" s="20" t="inlineStr">
        <is>
          <t>Proposal</t>
        </is>
      </c>
      <c r="T252" s="31" t="n"/>
      <c r="U252" s="38" t="n"/>
      <c r="V252" s="34">
        <f>IF($U252="","",IFERROR(INDEX(Templates!$K$3:$K$10,MATCH($U252,Templates!$A$3:$A$10,0)),""))</f>
        <v/>
      </c>
      <c r="W252" s="34">
        <f>IF($U252="","",IFERROR(INDEX(Templates!$L$3:$L$10,MATCH($U252,Templates!$A$3:$A$10,0)),""))</f>
        <v/>
      </c>
      <c r="X252" s="21">
        <f>IF($U252="","",IFERROR(INDEX(Templates!$J$3:$J$10,MATCH($U252,Templates!$A$3:$A$10,0)),""))</f>
        <v/>
      </c>
      <c r="Y252" s="35">
        <f>IF(OR($U252="",$I252="",$J252="",$X252=""),"",$I252+$X252*($J252-$I252))</f>
        <v/>
      </c>
      <c r="Z252" s="30" t="n">
        <v>46212</v>
      </c>
      <c r="AA252" s="40" t="n"/>
      <c r="AB252" s="41" t="n"/>
      <c r="AC252" s="41" t="n"/>
      <c r="AD252" s="19">
        <f>IF($A252="","",IF($AA252="",$H252,$AA252))</f>
        <v/>
      </c>
      <c r="AE252" s="35">
        <f>IF($A252="","",IF($AB252="",$I252,$AB252))</f>
        <v/>
      </c>
      <c r="AF252" s="35">
        <f>IF($A252="","",IF($AC252="",$J252,$AC252))</f>
        <v/>
      </c>
      <c r="AG252" s="35">
        <f>IF(OR($U252="",$AE252="",$AF252="",$X252=""),"",$AE252+$X252*($AF252-$AE252))</f>
        <v/>
      </c>
      <c r="AH252" s="38" t="n"/>
      <c r="AI252" s="38" t="n"/>
      <c r="AJ252" s="38" t="n"/>
      <c r="AK252" s="38" t="n"/>
      <c r="AL252" s="38" t="n"/>
      <c r="AM252" s="38" t="n"/>
      <c r="AN252" s="38" t="n"/>
      <c r="AO252" s="38" t="n"/>
      <c r="AP252" s="38" t="n"/>
      <c r="AQ252" s="38" t="n"/>
      <c r="AR252" s="38" t="n"/>
      <c r="AS252" s="38" t="n"/>
      <c r="AT252" s="38" t="n"/>
      <c r="AU252" s="38" t="n"/>
      <c r="AV252" s="38" t="n"/>
      <c r="AW252" s="38" t="n"/>
      <c r="AX252" s="38" t="n"/>
      <c r="AY252" s="42" t="n"/>
      <c r="AZ252" s="42" t="n"/>
      <c r="BA252" s="42" t="n"/>
      <c r="BB252" s="42" t="n"/>
      <c r="BC252" s="42" t="n"/>
      <c r="BD252" s="37">
        <f>IF($A252="","",SUM($AY252:$BC252))</f>
        <v/>
      </c>
      <c r="BE252" s="18">
        <f>IF($A252="","",IF(AND($I252&lt;&gt;"",$J252&lt;&gt;""),MAX(1,($J252-$I252)/7),Templates!$B$35))</f>
        <v/>
      </c>
      <c r="BF252" s="18">
        <f>IF($A252="","",IF(AND($I252&lt;&gt;"",$J252&lt;&gt;""),MAX(1,($J252-$I252)/7),Templates!$B$36))</f>
        <v/>
      </c>
      <c r="BG252" s="18">
        <f>IF($A252="","",IF(AND($I252&lt;&gt;"",$J252&lt;&gt;""),MAX(1,($J252-$I252)/7),Templates!$B$37))</f>
        <v/>
      </c>
      <c r="BH252" s="18">
        <f>IF($A252="","",IF(AND($I252&lt;&gt;"",$J252&lt;&gt;""),MAX(1,($J252-$I252)/7),Templates!$B$38))</f>
        <v/>
      </c>
      <c r="BI252" s="18">
        <f>IF($A252="","",IF(AND($I252&lt;&gt;"",$J252&lt;&gt;""),MAX(1,($J252-$I252)/7),Templates!$B$39))</f>
        <v/>
      </c>
      <c r="BJ252" s="18">
        <f>IF(OR($A252="",$BD252=0),0,($AY252*Templates!$B$27/$BE252+$AZ252*Templates!$B$28/$BF252+$BA252*Templates!$B$29/$BG252+$BB252*Templates!$B$30/$BH252+$BC252*Templates!$B$31/$BI252)/Templates!$B$17)</f>
        <v/>
      </c>
      <c r="BK252" s="18">
        <f>IF(OR($A252="",$BD252=0),0,($AY252*Templates!$C$27/$BE252+$AZ252*Templates!$C$28/$BF252+$BA252*Templates!$C$29/$BG252+$BB252*Templates!$C$30/$BH252+$BC252*Templates!$C$31/$BI252)/Templates!$B$18)</f>
        <v/>
      </c>
      <c r="BL252" s="18">
        <f>IF(OR($A252="",$BD252=0),0,($AY252*Templates!$D$27/$BE252+$AZ252*Templates!$D$28/$BF252+$BA252*Templates!$D$29/$BG252+$BB252*Templates!$D$30/$BH252+$BC252*Templates!$D$31/$BI252)/Templates!$B$19)</f>
        <v/>
      </c>
      <c r="BM252" s="18">
        <f>IF(OR($A252="",$BD252=0),0,($AY252*Templates!$E$27/$BE252+$AZ252*Templates!$E$28/$BF252+$BA252*Templates!$E$29/$BG252+$BB252*Templates!$E$30/$BH252+$BC252*Templates!$E$31/$BI252)/Templates!$B$20)</f>
        <v/>
      </c>
      <c r="BN252" s="18">
        <f>IF(OR($A252="",$BD252=0),0,($AY252*Templates!$F$27/$BE252+$AZ252*Templates!$F$28/$BF252+$BA252*Templates!$F$29/$BG252+$BB252*Templates!$F$30/$BH252+$BC252*Templates!$F$31/$BI252)/Templates!$B$21)</f>
        <v/>
      </c>
      <c r="BO252" s="18">
        <f>IF(OR($A252="",$BD252=0),0,($AY252*Templates!$G$27/$BE252+$AZ252*Templates!$G$28/$BF252+$BA252*Templates!$G$29/$BG252+$BB252*Templates!$G$30/$BH252+$BC252*Templates!$G$31/$BI252)/Templates!$B$22)</f>
        <v/>
      </c>
      <c r="BP252" s="18">
        <f>IF(OR($A252="",$BD252=0),0,($AY252*Templates!$H$27/$BE252+$AZ252*Templates!$H$28/$BF252+$BA252*Templates!$H$29/$BG252+$BB252*Templates!$H$30/$BH252+$BC252*Templates!$H$31/$BI252)/Templates!$B$23)</f>
        <v/>
      </c>
    </row>
    <row r="253">
      <c r="A253" s="28" t="inlineStr">
        <is>
          <t>Horizon_4</t>
        </is>
      </c>
      <c r="B253" s="20" t="inlineStr">
        <is>
          <t>Slate Asset Management</t>
        </is>
      </c>
      <c r="C253" s="28" t="inlineStr">
        <is>
          <t>Slate Asset Management</t>
        </is>
      </c>
      <c r="D253" s="28" t="inlineStr"/>
      <c r="E253" s="28" t="inlineStr">
        <is>
          <t>No</t>
        </is>
      </c>
      <c r="F253" s="28" t="inlineStr">
        <is>
          <t>Proposal</t>
        </is>
      </c>
      <c r="G253" s="38" t="n"/>
      <c r="H253" s="43" t="n">
        <v>0.5</v>
      </c>
      <c r="I253" s="39" t="n"/>
      <c r="J253" s="39" t="n"/>
      <c r="K253" s="31" t="n"/>
      <c r="L253" s="31" t="n"/>
      <c r="M253" s="31" t="n"/>
      <c r="N253" s="31" t="n"/>
      <c r="O253" s="31" t="n"/>
      <c r="P253" s="31" t="n"/>
      <c r="Q253" s="23">
        <f>IF($A253="","",COUNTIFS(Assignments!$C$2:$C$769,$A253,Assignments!$G$2:$G$769,"Active"))</f>
        <v/>
      </c>
      <c r="R253" s="32">
        <f>IF($A253="","",SUMIFS(Assignments!$I$2:$I$769,Assignments!$C$2:$C$769,$A253,Assignments!$G$2:$G$769,"Active"))</f>
        <v/>
      </c>
      <c r="S253" s="20" t="inlineStr">
        <is>
          <t>Proposal</t>
        </is>
      </c>
      <c r="T253" s="31" t="n"/>
      <c r="U253" s="38" t="n"/>
      <c r="V253" s="34">
        <f>IF($U253="","",IFERROR(INDEX(Templates!$K$3:$K$10,MATCH($U253,Templates!$A$3:$A$10,0)),""))</f>
        <v/>
      </c>
      <c r="W253" s="34">
        <f>IF($U253="","",IFERROR(INDEX(Templates!$L$3:$L$10,MATCH($U253,Templates!$A$3:$A$10,0)),""))</f>
        <v/>
      </c>
      <c r="X253" s="21">
        <f>IF($U253="","",IFERROR(INDEX(Templates!$J$3:$J$10,MATCH($U253,Templates!$A$3:$A$10,0)),""))</f>
        <v/>
      </c>
      <c r="Y253" s="35">
        <f>IF(OR($U253="",$I253="",$J253="",$X253=""),"",$I253+$X253*($J253-$I253))</f>
        <v/>
      </c>
      <c r="Z253" s="30" t="n">
        <v>46212</v>
      </c>
      <c r="AA253" s="40" t="n"/>
      <c r="AB253" s="41" t="n"/>
      <c r="AC253" s="41" t="n"/>
      <c r="AD253" s="19">
        <f>IF($A253="","",IF($AA253="",$H253,$AA253))</f>
        <v/>
      </c>
      <c r="AE253" s="35">
        <f>IF($A253="","",IF($AB253="",$I253,$AB253))</f>
        <v/>
      </c>
      <c r="AF253" s="35">
        <f>IF($A253="","",IF($AC253="",$J253,$AC253))</f>
        <v/>
      </c>
      <c r="AG253" s="35">
        <f>IF(OR($U253="",$AE253="",$AF253="",$X253=""),"",$AE253+$X253*($AF253-$AE253))</f>
        <v/>
      </c>
      <c r="AH253" s="38" t="n"/>
      <c r="AI253" s="38" t="n"/>
      <c r="AJ253" s="38" t="n"/>
      <c r="AK253" s="38" t="n"/>
      <c r="AL253" s="38" t="n"/>
      <c r="AM253" s="38" t="n"/>
      <c r="AN253" s="38" t="n"/>
      <c r="AO253" s="38" t="n"/>
      <c r="AP253" s="38" t="n"/>
      <c r="AQ253" s="38" t="n"/>
      <c r="AR253" s="38" t="n"/>
      <c r="AS253" s="38" t="n"/>
      <c r="AT253" s="38" t="n"/>
      <c r="AU253" s="38" t="n"/>
      <c r="AV253" s="38" t="n"/>
      <c r="AW253" s="38" t="n"/>
      <c r="AX253" s="38" t="n"/>
      <c r="AY253" s="42" t="n"/>
      <c r="AZ253" s="42" t="n"/>
      <c r="BA253" s="42" t="n"/>
      <c r="BB253" s="42" t="n"/>
      <c r="BC253" s="42" t="n"/>
      <c r="BD253" s="37">
        <f>IF($A253="","",SUM($AY253:$BC253))</f>
        <v/>
      </c>
      <c r="BE253" s="18">
        <f>IF($A253="","",IF(AND($I253&lt;&gt;"",$J253&lt;&gt;""),MAX(1,($J253-$I253)/7),Templates!$B$35))</f>
        <v/>
      </c>
      <c r="BF253" s="18">
        <f>IF($A253="","",IF(AND($I253&lt;&gt;"",$J253&lt;&gt;""),MAX(1,($J253-$I253)/7),Templates!$B$36))</f>
        <v/>
      </c>
      <c r="BG253" s="18">
        <f>IF($A253="","",IF(AND($I253&lt;&gt;"",$J253&lt;&gt;""),MAX(1,($J253-$I253)/7),Templates!$B$37))</f>
        <v/>
      </c>
      <c r="BH253" s="18">
        <f>IF($A253="","",IF(AND($I253&lt;&gt;"",$J253&lt;&gt;""),MAX(1,($J253-$I253)/7),Templates!$B$38))</f>
        <v/>
      </c>
      <c r="BI253" s="18">
        <f>IF($A253="","",IF(AND($I253&lt;&gt;"",$J253&lt;&gt;""),MAX(1,($J253-$I253)/7),Templates!$B$39))</f>
        <v/>
      </c>
      <c r="BJ253" s="18">
        <f>IF(OR($A253="",$BD253=0),0,($AY253*Templates!$B$27/$BE253+$AZ253*Templates!$B$28/$BF253+$BA253*Templates!$B$29/$BG253+$BB253*Templates!$B$30/$BH253+$BC253*Templates!$B$31/$BI253)/Templates!$B$17)</f>
        <v/>
      </c>
      <c r="BK253" s="18">
        <f>IF(OR($A253="",$BD253=0),0,($AY253*Templates!$C$27/$BE253+$AZ253*Templates!$C$28/$BF253+$BA253*Templates!$C$29/$BG253+$BB253*Templates!$C$30/$BH253+$BC253*Templates!$C$31/$BI253)/Templates!$B$18)</f>
        <v/>
      </c>
      <c r="BL253" s="18">
        <f>IF(OR($A253="",$BD253=0),0,($AY253*Templates!$D$27/$BE253+$AZ253*Templates!$D$28/$BF253+$BA253*Templates!$D$29/$BG253+$BB253*Templates!$D$30/$BH253+$BC253*Templates!$D$31/$BI253)/Templates!$B$19)</f>
        <v/>
      </c>
      <c r="BM253" s="18">
        <f>IF(OR($A253="",$BD253=0),0,($AY253*Templates!$E$27/$BE253+$AZ253*Templates!$E$28/$BF253+$BA253*Templates!$E$29/$BG253+$BB253*Templates!$E$30/$BH253+$BC253*Templates!$E$31/$BI253)/Templates!$B$20)</f>
        <v/>
      </c>
      <c r="BN253" s="18">
        <f>IF(OR($A253="",$BD253=0),0,($AY253*Templates!$F$27/$BE253+$AZ253*Templates!$F$28/$BF253+$BA253*Templates!$F$29/$BG253+$BB253*Templates!$F$30/$BH253+$BC253*Templates!$F$31/$BI253)/Templates!$B$21)</f>
        <v/>
      </c>
      <c r="BO253" s="18">
        <f>IF(OR($A253="",$BD253=0),0,($AY253*Templates!$G$27/$BE253+$AZ253*Templates!$G$28/$BF253+$BA253*Templates!$G$29/$BG253+$BB253*Templates!$G$30/$BH253+$BC253*Templates!$G$31/$BI253)/Templates!$B$22)</f>
        <v/>
      </c>
      <c r="BP253" s="18">
        <f>IF(OR($A253="",$BD253=0),0,($AY253*Templates!$H$27/$BE253+$AZ253*Templates!$H$28/$BF253+$BA253*Templates!$H$29/$BG253+$BB253*Templates!$H$30/$BH253+$BC253*Templates!$H$31/$BI253)/Templates!$B$23)</f>
        <v/>
      </c>
    </row>
    <row r="254">
      <c r="A254" s="28" t="inlineStr">
        <is>
          <t>Human_1</t>
        </is>
      </c>
      <c r="B254" s="20" t="inlineStr">
        <is>
          <t>Beacon Software, Inc.</t>
        </is>
      </c>
      <c r="C254" s="28" t="inlineStr">
        <is>
          <t>Beacon Software, Inc.</t>
        </is>
      </c>
      <c r="D254" s="28" t="inlineStr"/>
      <c r="E254" s="28" t="inlineStr">
        <is>
          <t>No</t>
        </is>
      </c>
      <c r="F254" s="28" t="inlineStr">
        <is>
          <t>Proposal</t>
        </is>
      </c>
      <c r="G254" s="38" t="n"/>
      <c r="H254" s="43" t="n">
        <v>0.5</v>
      </c>
      <c r="I254" s="39" t="n"/>
      <c r="J254" s="39" t="n"/>
      <c r="K254" s="31" t="n"/>
      <c r="L254" s="31" t="n"/>
      <c r="M254" s="31" t="n"/>
      <c r="N254" s="31" t="n"/>
      <c r="O254" s="31" t="n"/>
      <c r="P254" s="31" t="n"/>
      <c r="Q254" s="23">
        <f>IF($A254="","",COUNTIFS(Assignments!$C$2:$C$769,$A254,Assignments!$G$2:$G$769,"Active"))</f>
        <v/>
      </c>
      <c r="R254" s="32">
        <f>IF($A254="","",SUMIFS(Assignments!$I$2:$I$769,Assignments!$C$2:$C$769,$A254,Assignments!$G$2:$G$769,"Active"))</f>
        <v/>
      </c>
      <c r="S254" s="20" t="inlineStr">
        <is>
          <t>Proposal</t>
        </is>
      </c>
      <c r="T254" s="31" t="n"/>
      <c r="U254" s="38" t="n"/>
      <c r="V254" s="34">
        <f>IF($U254="","",IFERROR(INDEX(Templates!$K$3:$K$10,MATCH($U254,Templates!$A$3:$A$10,0)),""))</f>
        <v/>
      </c>
      <c r="W254" s="34">
        <f>IF($U254="","",IFERROR(INDEX(Templates!$L$3:$L$10,MATCH($U254,Templates!$A$3:$A$10,0)),""))</f>
        <v/>
      </c>
      <c r="X254" s="21">
        <f>IF($U254="","",IFERROR(INDEX(Templates!$J$3:$J$10,MATCH($U254,Templates!$A$3:$A$10,0)),""))</f>
        <v/>
      </c>
      <c r="Y254" s="35">
        <f>IF(OR($U254="",$I254="",$J254="",$X254=""),"",$I254+$X254*($J254-$I254))</f>
        <v/>
      </c>
      <c r="Z254" s="30" t="n">
        <v>46212</v>
      </c>
      <c r="AA254" s="40" t="n"/>
      <c r="AB254" s="41" t="n"/>
      <c r="AC254" s="41" t="n"/>
      <c r="AD254" s="19">
        <f>IF($A254="","",IF($AA254="",$H254,$AA254))</f>
        <v/>
      </c>
      <c r="AE254" s="35">
        <f>IF($A254="","",IF($AB254="",$I254,$AB254))</f>
        <v/>
      </c>
      <c r="AF254" s="35">
        <f>IF($A254="","",IF($AC254="",$J254,$AC254))</f>
        <v/>
      </c>
      <c r="AG254" s="35">
        <f>IF(OR($U254="",$AE254="",$AF254="",$X254=""),"",$AE254+$X254*($AF254-$AE254))</f>
        <v/>
      </c>
      <c r="AH254" s="38" t="n"/>
      <c r="AI254" s="38" t="n"/>
      <c r="AJ254" s="38" t="n"/>
      <c r="AK254" s="38" t="n"/>
      <c r="AL254" s="38" t="n"/>
      <c r="AM254" s="38" t="n"/>
      <c r="AN254" s="38" t="n"/>
      <c r="AO254" s="38" t="n"/>
      <c r="AP254" s="38" t="n"/>
      <c r="AQ254" s="38" t="n"/>
      <c r="AR254" s="38" t="n"/>
      <c r="AS254" s="38" t="n"/>
      <c r="AT254" s="38" t="n"/>
      <c r="AU254" s="38" t="n"/>
      <c r="AV254" s="38" t="n"/>
      <c r="AW254" s="38" t="n"/>
      <c r="AX254" s="38" t="n"/>
      <c r="AY254" s="42" t="n"/>
      <c r="AZ254" s="42" t="n"/>
      <c r="BA254" s="42" t="n"/>
      <c r="BB254" s="42" t="n"/>
      <c r="BC254" s="42" t="n"/>
      <c r="BD254" s="37">
        <f>IF($A254="","",SUM($AY254:$BC254))</f>
        <v/>
      </c>
      <c r="BE254" s="18">
        <f>IF($A254="","",IF(AND($I254&lt;&gt;"",$J254&lt;&gt;""),MAX(1,($J254-$I254)/7),Templates!$B$35))</f>
        <v/>
      </c>
      <c r="BF254" s="18">
        <f>IF($A254="","",IF(AND($I254&lt;&gt;"",$J254&lt;&gt;""),MAX(1,($J254-$I254)/7),Templates!$B$36))</f>
        <v/>
      </c>
      <c r="BG254" s="18">
        <f>IF($A254="","",IF(AND($I254&lt;&gt;"",$J254&lt;&gt;""),MAX(1,($J254-$I254)/7),Templates!$B$37))</f>
        <v/>
      </c>
      <c r="BH254" s="18">
        <f>IF($A254="","",IF(AND($I254&lt;&gt;"",$J254&lt;&gt;""),MAX(1,($J254-$I254)/7),Templates!$B$38))</f>
        <v/>
      </c>
      <c r="BI254" s="18">
        <f>IF($A254="","",IF(AND($I254&lt;&gt;"",$J254&lt;&gt;""),MAX(1,($J254-$I254)/7),Templates!$B$39))</f>
        <v/>
      </c>
      <c r="BJ254" s="18">
        <f>IF(OR($A254="",$BD254=0),0,($AY254*Templates!$B$27/$BE254+$AZ254*Templates!$B$28/$BF254+$BA254*Templates!$B$29/$BG254+$BB254*Templates!$B$30/$BH254+$BC254*Templates!$B$31/$BI254)/Templates!$B$17)</f>
        <v/>
      </c>
      <c r="BK254" s="18">
        <f>IF(OR($A254="",$BD254=0),0,($AY254*Templates!$C$27/$BE254+$AZ254*Templates!$C$28/$BF254+$BA254*Templates!$C$29/$BG254+$BB254*Templates!$C$30/$BH254+$BC254*Templates!$C$31/$BI254)/Templates!$B$18)</f>
        <v/>
      </c>
      <c r="BL254" s="18">
        <f>IF(OR($A254="",$BD254=0),0,($AY254*Templates!$D$27/$BE254+$AZ254*Templates!$D$28/$BF254+$BA254*Templates!$D$29/$BG254+$BB254*Templates!$D$30/$BH254+$BC254*Templates!$D$31/$BI254)/Templates!$B$19)</f>
        <v/>
      </c>
      <c r="BM254" s="18">
        <f>IF(OR($A254="",$BD254=0),0,($AY254*Templates!$E$27/$BE254+$AZ254*Templates!$E$28/$BF254+$BA254*Templates!$E$29/$BG254+$BB254*Templates!$E$30/$BH254+$BC254*Templates!$E$31/$BI254)/Templates!$B$20)</f>
        <v/>
      </c>
      <c r="BN254" s="18">
        <f>IF(OR($A254="",$BD254=0),0,($AY254*Templates!$F$27/$BE254+$AZ254*Templates!$F$28/$BF254+$BA254*Templates!$F$29/$BG254+$BB254*Templates!$F$30/$BH254+$BC254*Templates!$F$31/$BI254)/Templates!$B$21)</f>
        <v/>
      </c>
      <c r="BO254" s="18">
        <f>IF(OR($A254="",$BD254=0),0,($AY254*Templates!$G$27/$BE254+$AZ254*Templates!$G$28/$BF254+$BA254*Templates!$G$29/$BG254+$BB254*Templates!$G$30/$BH254+$BC254*Templates!$G$31/$BI254)/Templates!$B$22)</f>
        <v/>
      </c>
      <c r="BP254" s="18">
        <f>IF(OR($A254="",$BD254=0),0,($AY254*Templates!$H$27/$BE254+$AZ254*Templates!$H$28/$BF254+$BA254*Templates!$H$29/$BG254+$BB254*Templates!$H$30/$BH254+$BC254*Templates!$H$31/$BI254)/Templates!$B$23)</f>
        <v/>
      </c>
    </row>
    <row r="255">
      <c r="A255" s="28" t="inlineStr">
        <is>
          <t>IPX Power_1</t>
        </is>
      </c>
      <c r="B255" s="20" t="inlineStr">
        <is>
          <t>TPG Rise Climate : IPX Power, LLC</t>
        </is>
      </c>
      <c r="C255" s="28" t="inlineStr">
        <is>
          <t>TPG Rise Climate</t>
        </is>
      </c>
      <c r="D255" s="28" t="inlineStr">
        <is>
          <t>IPX Power, LLC</t>
        </is>
      </c>
      <c r="E255" s="28" t="inlineStr">
        <is>
          <t>No</t>
        </is>
      </c>
      <c r="F255" s="28" t="inlineStr">
        <is>
          <t>Proposal</t>
        </is>
      </c>
      <c r="G255" s="38" t="n"/>
      <c r="H255" s="43" t="n">
        <v>0.5</v>
      </c>
      <c r="I255" s="39" t="n"/>
      <c r="J255" s="39" t="n"/>
      <c r="K255" s="31" t="n"/>
      <c r="L255" s="31" t="n"/>
      <c r="M255" s="31" t="n"/>
      <c r="N255" s="31" t="n"/>
      <c r="O255" s="31" t="n"/>
      <c r="P255" s="31" t="n"/>
      <c r="Q255" s="23">
        <f>IF($A255="","",COUNTIFS(Assignments!$C$2:$C$769,$A255,Assignments!$G$2:$G$769,"Active"))</f>
        <v/>
      </c>
      <c r="R255" s="32">
        <f>IF($A255="","",SUMIFS(Assignments!$I$2:$I$769,Assignments!$C$2:$C$769,$A255,Assignments!$G$2:$G$769,"Active"))</f>
        <v/>
      </c>
      <c r="S255" s="20" t="inlineStr">
        <is>
          <t>Proposal</t>
        </is>
      </c>
      <c r="T255" s="31" t="n"/>
      <c r="U255" s="38" t="n"/>
      <c r="V255" s="34">
        <f>IF($U255="","",IFERROR(INDEX(Templates!$K$3:$K$10,MATCH($U255,Templates!$A$3:$A$10,0)),""))</f>
        <v/>
      </c>
      <c r="W255" s="34">
        <f>IF($U255="","",IFERROR(INDEX(Templates!$L$3:$L$10,MATCH($U255,Templates!$A$3:$A$10,0)),""))</f>
        <v/>
      </c>
      <c r="X255" s="21">
        <f>IF($U255="","",IFERROR(INDEX(Templates!$J$3:$J$10,MATCH($U255,Templates!$A$3:$A$10,0)),""))</f>
        <v/>
      </c>
      <c r="Y255" s="35">
        <f>IF(OR($U255="",$I255="",$J255="",$X255=""),"",$I255+$X255*($J255-$I255))</f>
        <v/>
      </c>
      <c r="Z255" s="30" t="n">
        <v>46212</v>
      </c>
      <c r="AA255" s="40" t="n"/>
      <c r="AB255" s="41" t="n"/>
      <c r="AC255" s="41" t="n"/>
      <c r="AD255" s="19">
        <f>IF($A255="","",IF($AA255="",$H255,$AA255))</f>
        <v/>
      </c>
      <c r="AE255" s="35">
        <f>IF($A255="","",IF($AB255="",$I255,$AB255))</f>
        <v/>
      </c>
      <c r="AF255" s="35">
        <f>IF($A255="","",IF($AC255="",$J255,$AC255))</f>
        <v/>
      </c>
      <c r="AG255" s="35">
        <f>IF(OR($U255="",$AE255="",$AF255="",$X255=""),"",$AE255+$X255*($AF255-$AE255))</f>
        <v/>
      </c>
      <c r="AH255" s="38" t="n"/>
      <c r="AI255" s="38" t="n"/>
      <c r="AJ255" s="38" t="n"/>
      <c r="AK255" s="38" t="n"/>
      <c r="AL255" s="38" t="n"/>
      <c r="AM255" s="38" t="n"/>
      <c r="AN255" s="38" t="n"/>
      <c r="AO255" s="38" t="n"/>
      <c r="AP255" s="38" t="n"/>
      <c r="AQ255" s="38" t="n"/>
      <c r="AR255" s="38" t="n"/>
      <c r="AS255" s="38" t="n"/>
      <c r="AT255" s="38" t="n"/>
      <c r="AU255" s="38" t="n"/>
      <c r="AV255" s="38" t="n"/>
      <c r="AW255" s="38" t="n"/>
      <c r="AX255" s="38" t="n"/>
      <c r="AY255" s="42" t="n"/>
      <c r="AZ255" s="42" t="n"/>
      <c r="BA255" s="42" t="n"/>
      <c r="BB255" s="42" t="n"/>
      <c r="BC255" s="42" t="n"/>
      <c r="BD255" s="37">
        <f>IF($A255="","",SUM($AY255:$BC255))</f>
        <v/>
      </c>
      <c r="BE255" s="18">
        <f>IF($A255="","",IF(AND($I255&lt;&gt;"",$J255&lt;&gt;""),MAX(1,($J255-$I255)/7),Templates!$B$35))</f>
        <v/>
      </c>
      <c r="BF255" s="18">
        <f>IF($A255="","",IF(AND($I255&lt;&gt;"",$J255&lt;&gt;""),MAX(1,($J255-$I255)/7),Templates!$B$36))</f>
        <v/>
      </c>
      <c r="BG255" s="18">
        <f>IF($A255="","",IF(AND($I255&lt;&gt;"",$J255&lt;&gt;""),MAX(1,($J255-$I255)/7),Templates!$B$37))</f>
        <v/>
      </c>
      <c r="BH255" s="18">
        <f>IF($A255="","",IF(AND($I255&lt;&gt;"",$J255&lt;&gt;""),MAX(1,($J255-$I255)/7),Templates!$B$38))</f>
        <v/>
      </c>
      <c r="BI255" s="18">
        <f>IF($A255="","",IF(AND($I255&lt;&gt;"",$J255&lt;&gt;""),MAX(1,($J255-$I255)/7),Templates!$B$39))</f>
        <v/>
      </c>
      <c r="BJ255" s="18">
        <f>IF(OR($A255="",$BD255=0),0,($AY255*Templates!$B$27/$BE255+$AZ255*Templates!$B$28/$BF255+$BA255*Templates!$B$29/$BG255+$BB255*Templates!$B$30/$BH255+$BC255*Templates!$B$31/$BI255)/Templates!$B$17)</f>
        <v/>
      </c>
      <c r="BK255" s="18">
        <f>IF(OR($A255="",$BD255=0),0,($AY255*Templates!$C$27/$BE255+$AZ255*Templates!$C$28/$BF255+$BA255*Templates!$C$29/$BG255+$BB255*Templates!$C$30/$BH255+$BC255*Templates!$C$31/$BI255)/Templates!$B$18)</f>
        <v/>
      </c>
      <c r="BL255" s="18">
        <f>IF(OR($A255="",$BD255=0),0,($AY255*Templates!$D$27/$BE255+$AZ255*Templates!$D$28/$BF255+$BA255*Templates!$D$29/$BG255+$BB255*Templates!$D$30/$BH255+$BC255*Templates!$D$31/$BI255)/Templates!$B$19)</f>
        <v/>
      </c>
      <c r="BM255" s="18">
        <f>IF(OR($A255="",$BD255=0),0,($AY255*Templates!$E$27/$BE255+$AZ255*Templates!$E$28/$BF255+$BA255*Templates!$E$29/$BG255+$BB255*Templates!$E$30/$BH255+$BC255*Templates!$E$31/$BI255)/Templates!$B$20)</f>
        <v/>
      </c>
      <c r="BN255" s="18">
        <f>IF(OR($A255="",$BD255=0),0,($AY255*Templates!$F$27/$BE255+$AZ255*Templates!$F$28/$BF255+$BA255*Templates!$F$29/$BG255+$BB255*Templates!$F$30/$BH255+$BC255*Templates!$F$31/$BI255)/Templates!$B$21)</f>
        <v/>
      </c>
      <c r="BO255" s="18">
        <f>IF(OR($A255="",$BD255=0),0,($AY255*Templates!$G$27/$BE255+$AZ255*Templates!$G$28/$BF255+$BA255*Templates!$G$29/$BG255+$BB255*Templates!$G$30/$BH255+$BC255*Templates!$G$31/$BI255)/Templates!$B$22)</f>
        <v/>
      </c>
      <c r="BP255" s="18">
        <f>IF(OR($A255="",$BD255=0),0,($AY255*Templates!$H$27/$BE255+$AZ255*Templates!$H$28/$BF255+$BA255*Templates!$H$29/$BG255+$BB255*Templates!$H$30/$BH255+$BC255*Templates!$H$31/$BI255)/Templates!$B$23)</f>
        <v/>
      </c>
    </row>
    <row r="256">
      <c r="A256" s="28" t="inlineStr">
        <is>
          <t>JHIF 2026 Restructuring_1</t>
        </is>
      </c>
      <c r="B256" s="20" t="inlineStr">
        <is>
          <t>Manulife : John Hancock</t>
        </is>
      </c>
      <c r="C256" s="28" t="inlineStr">
        <is>
          <t>Manulife</t>
        </is>
      </c>
      <c r="D256" s="28" t="inlineStr">
        <is>
          <t>John Hancock</t>
        </is>
      </c>
      <c r="E256" s="28" t="inlineStr">
        <is>
          <t>No</t>
        </is>
      </c>
      <c r="F256" s="28" t="inlineStr">
        <is>
          <t>Proposal</t>
        </is>
      </c>
      <c r="G256" s="38" t="n"/>
      <c r="H256" s="43" t="n">
        <v>0.5</v>
      </c>
      <c r="I256" s="39" t="n"/>
      <c r="J256" s="39" t="n"/>
      <c r="K256" s="31" t="n"/>
      <c r="L256" s="31" t="n"/>
      <c r="M256" s="31" t="n"/>
      <c r="N256" s="31" t="n"/>
      <c r="O256" s="31" t="n"/>
      <c r="P256" s="31" t="n"/>
      <c r="Q256" s="23">
        <f>IF($A256="","",COUNTIFS(Assignments!$C$2:$C$769,$A256,Assignments!$G$2:$G$769,"Active"))</f>
        <v/>
      </c>
      <c r="R256" s="32">
        <f>IF($A256="","",SUMIFS(Assignments!$I$2:$I$769,Assignments!$C$2:$C$769,$A256,Assignments!$G$2:$G$769,"Active"))</f>
        <v/>
      </c>
      <c r="S256" s="20" t="inlineStr">
        <is>
          <t>Proposal</t>
        </is>
      </c>
      <c r="T256" s="31" t="n"/>
      <c r="U256" s="38" t="n"/>
      <c r="V256" s="34">
        <f>IF($U256="","",IFERROR(INDEX(Templates!$K$3:$K$10,MATCH($U256,Templates!$A$3:$A$10,0)),""))</f>
        <v/>
      </c>
      <c r="W256" s="34">
        <f>IF($U256="","",IFERROR(INDEX(Templates!$L$3:$L$10,MATCH($U256,Templates!$A$3:$A$10,0)),""))</f>
        <v/>
      </c>
      <c r="X256" s="21">
        <f>IF($U256="","",IFERROR(INDEX(Templates!$J$3:$J$10,MATCH($U256,Templates!$A$3:$A$10,0)),""))</f>
        <v/>
      </c>
      <c r="Y256" s="35">
        <f>IF(OR($U256="",$I256="",$J256="",$X256=""),"",$I256+$X256*($J256-$I256))</f>
        <v/>
      </c>
      <c r="Z256" s="30" t="n">
        <v>46212</v>
      </c>
      <c r="AA256" s="40" t="n"/>
      <c r="AB256" s="41" t="n"/>
      <c r="AC256" s="41" t="n"/>
      <c r="AD256" s="19">
        <f>IF($A256="","",IF($AA256="",$H256,$AA256))</f>
        <v/>
      </c>
      <c r="AE256" s="35">
        <f>IF($A256="","",IF($AB256="",$I256,$AB256))</f>
        <v/>
      </c>
      <c r="AF256" s="35">
        <f>IF($A256="","",IF($AC256="",$J256,$AC256))</f>
        <v/>
      </c>
      <c r="AG256" s="35">
        <f>IF(OR($U256="",$AE256="",$AF256="",$X256=""),"",$AE256+$X256*($AF256-$AE256))</f>
        <v/>
      </c>
      <c r="AH256" s="38" t="n"/>
      <c r="AI256" s="38" t="n"/>
      <c r="AJ256" s="38" t="n"/>
      <c r="AK256" s="38" t="n"/>
      <c r="AL256" s="38" t="n"/>
      <c r="AM256" s="38" t="n"/>
      <c r="AN256" s="38" t="n"/>
      <c r="AO256" s="38" t="n"/>
      <c r="AP256" s="38" t="n"/>
      <c r="AQ256" s="38" t="n"/>
      <c r="AR256" s="38" t="n"/>
      <c r="AS256" s="38" t="n"/>
      <c r="AT256" s="38" t="n"/>
      <c r="AU256" s="38" t="n"/>
      <c r="AV256" s="38" t="n"/>
      <c r="AW256" s="38" t="n"/>
      <c r="AX256" s="38" t="n"/>
      <c r="AY256" s="42" t="n"/>
      <c r="AZ256" s="42" t="n"/>
      <c r="BA256" s="42" t="n"/>
      <c r="BB256" s="42" t="n"/>
      <c r="BC256" s="42" t="n"/>
      <c r="BD256" s="37">
        <f>IF($A256="","",SUM($AY256:$BC256))</f>
        <v/>
      </c>
      <c r="BE256" s="18">
        <f>IF($A256="","",IF(AND($I256&lt;&gt;"",$J256&lt;&gt;""),MAX(1,($J256-$I256)/7),Templates!$B$35))</f>
        <v/>
      </c>
      <c r="BF256" s="18">
        <f>IF($A256="","",IF(AND($I256&lt;&gt;"",$J256&lt;&gt;""),MAX(1,($J256-$I256)/7),Templates!$B$36))</f>
        <v/>
      </c>
      <c r="BG256" s="18">
        <f>IF($A256="","",IF(AND($I256&lt;&gt;"",$J256&lt;&gt;""),MAX(1,($J256-$I256)/7),Templates!$B$37))</f>
        <v/>
      </c>
      <c r="BH256" s="18">
        <f>IF($A256="","",IF(AND($I256&lt;&gt;"",$J256&lt;&gt;""),MAX(1,($J256-$I256)/7),Templates!$B$38))</f>
        <v/>
      </c>
      <c r="BI256" s="18">
        <f>IF($A256="","",IF(AND($I256&lt;&gt;"",$J256&lt;&gt;""),MAX(1,($J256-$I256)/7),Templates!$B$39))</f>
        <v/>
      </c>
      <c r="BJ256" s="18">
        <f>IF(OR($A256="",$BD256=0),0,($AY256*Templates!$B$27/$BE256+$AZ256*Templates!$B$28/$BF256+$BA256*Templates!$B$29/$BG256+$BB256*Templates!$B$30/$BH256+$BC256*Templates!$B$31/$BI256)/Templates!$B$17)</f>
        <v/>
      </c>
      <c r="BK256" s="18">
        <f>IF(OR($A256="",$BD256=0),0,($AY256*Templates!$C$27/$BE256+$AZ256*Templates!$C$28/$BF256+$BA256*Templates!$C$29/$BG256+$BB256*Templates!$C$30/$BH256+$BC256*Templates!$C$31/$BI256)/Templates!$B$18)</f>
        <v/>
      </c>
      <c r="BL256" s="18">
        <f>IF(OR($A256="",$BD256=0),0,($AY256*Templates!$D$27/$BE256+$AZ256*Templates!$D$28/$BF256+$BA256*Templates!$D$29/$BG256+$BB256*Templates!$D$30/$BH256+$BC256*Templates!$D$31/$BI256)/Templates!$B$19)</f>
        <v/>
      </c>
      <c r="BM256" s="18">
        <f>IF(OR($A256="",$BD256=0),0,($AY256*Templates!$E$27/$BE256+$AZ256*Templates!$E$28/$BF256+$BA256*Templates!$E$29/$BG256+$BB256*Templates!$E$30/$BH256+$BC256*Templates!$E$31/$BI256)/Templates!$B$20)</f>
        <v/>
      </c>
      <c r="BN256" s="18">
        <f>IF(OR($A256="",$BD256=0),0,($AY256*Templates!$F$27/$BE256+$AZ256*Templates!$F$28/$BF256+$BA256*Templates!$F$29/$BG256+$BB256*Templates!$F$30/$BH256+$BC256*Templates!$F$31/$BI256)/Templates!$B$21)</f>
        <v/>
      </c>
      <c r="BO256" s="18">
        <f>IF(OR($A256="",$BD256=0),0,($AY256*Templates!$G$27/$BE256+$AZ256*Templates!$G$28/$BF256+$BA256*Templates!$G$29/$BG256+$BB256*Templates!$G$30/$BH256+$BC256*Templates!$G$31/$BI256)/Templates!$B$22)</f>
        <v/>
      </c>
      <c r="BP256" s="18">
        <f>IF(OR($A256="",$BD256=0),0,($AY256*Templates!$H$27/$BE256+$AZ256*Templates!$H$28/$BF256+$BA256*Templates!$H$29/$BG256+$BB256*Templates!$H$30/$BH256+$BC256*Templates!$H$31/$BI256)/Templates!$B$23)</f>
        <v/>
      </c>
    </row>
    <row r="257">
      <c r="A257" s="28" t="inlineStr">
        <is>
          <t>Kering_1</t>
        </is>
      </c>
      <c r="B257" s="20" t="inlineStr">
        <is>
          <t>Kering</t>
        </is>
      </c>
      <c r="C257" s="28" t="inlineStr">
        <is>
          <t>Kering</t>
        </is>
      </c>
      <c r="D257" s="28" t="inlineStr"/>
      <c r="E257" s="28" t="inlineStr">
        <is>
          <t>No</t>
        </is>
      </c>
      <c r="F257" s="28" t="inlineStr">
        <is>
          <t>Proposal</t>
        </is>
      </c>
      <c r="G257" s="38" t="n"/>
      <c r="H257" s="43" t="n">
        <v>0.5</v>
      </c>
      <c r="I257" s="39" t="n"/>
      <c r="J257" s="39" t="n"/>
      <c r="K257" s="31" t="n"/>
      <c r="L257" s="31" t="n"/>
      <c r="M257" s="31" t="n"/>
      <c r="N257" s="31" t="n"/>
      <c r="O257" s="31" t="n"/>
      <c r="P257" s="31" t="n"/>
      <c r="Q257" s="23">
        <f>IF($A257="","",COUNTIFS(Assignments!$C$2:$C$769,$A257,Assignments!$G$2:$G$769,"Active"))</f>
        <v/>
      </c>
      <c r="R257" s="32">
        <f>IF($A257="","",SUMIFS(Assignments!$I$2:$I$769,Assignments!$C$2:$C$769,$A257,Assignments!$G$2:$G$769,"Active"))</f>
        <v/>
      </c>
      <c r="S257" s="20" t="inlineStr">
        <is>
          <t>Proposal</t>
        </is>
      </c>
      <c r="T257" s="31" t="n"/>
      <c r="U257" s="38" t="n"/>
      <c r="V257" s="34">
        <f>IF($U257="","",IFERROR(INDEX(Templates!$K$3:$K$10,MATCH($U257,Templates!$A$3:$A$10,0)),""))</f>
        <v/>
      </c>
      <c r="W257" s="34">
        <f>IF($U257="","",IFERROR(INDEX(Templates!$L$3:$L$10,MATCH($U257,Templates!$A$3:$A$10,0)),""))</f>
        <v/>
      </c>
      <c r="X257" s="21">
        <f>IF($U257="","",IFERROR(INDEX(Templates!$J$3:$J$10,MATCH($U257,Templates!$A$3:$A$10,0)),""))</f>
        <v/>
      </c>
      <c r="Y257" s="35">
        <f>IF(OR($U257="",$I257="",$J257="",$X257=""),"",$I257+$X257*($J257-$I257))</f>
        <v/>
      </c>
      <c r="Z257" s="30" t="n">
        <v>46212</v>
      </c>
      <c r="AA257" s="40" t="n"/>
      <c r="AB257" s="41" t="n"/>
      <c r="AC257" s="41" t="n"/>
      <c r="AD257" s="19">
        <f>IF($A257="","",IF($AA257="",$H257,$AA257))</f>
        <v/>
      </c>
      <c r="AE257" s="35">
        <f>IF($A257="","",IF($AB257="",$I257,$AB257))</f>
        <v/>
      </c>
      <c r="AF257" s="35">
        <f>IF($A257="","",IF($AC257="",$J257,$AC257))</f>
        <v/>
      </c>
      <c r="AG257" s="35">
        <f>IF(OR($U257="",$AE257="",$AF257="",$X257=""),"",$AE257+$X257*($AF257-$AE257))</f>
        <v/>
      </c>
      <c r="AH257" s="38" t="n"/>
      <c r="AI257" s="38" t="n"/>
      <c r="AJ257" s="38" t="n"/>
      <c r="AK257" s="38" t="n"/>
      <c r="AL257" s="38" t="n"/>
      <c r="AM257" s="38" t="n"/>
      <c r="AN257" s="38" t="n"/>
      <c r="AO257" s="38" t="n"/>
      <c r="AP257" s="38" t="n"/>
      <c r="AQ257" s="38" t="n"/>
      <c r="AR257" s="38" t="n"/>
      <c r="AS257" s="38" t="n"/>
      <c r="AT257" s="38" t="n"/>
      <c r="AU257" s="38" t="n"/>
      <c r="AV257" s="38" t="n"/>
      <c r="AW257" s="38" t="n"/>
      <c r="AX257" s="38" t="n"/>
      <c r="AY257" s="42" t="n"/>
      <c r="AZ257" s="42" t="n"/>
      <c r="BA257" s="42" t="n"/>
      <c r="BB257" s="42" t="n"/>
      <c r="BC257" s="42" t="n"/>
      <c r="BD257" s="37">
        <f>IF($A257="","",SUM($AY257:$BC257))</f>
        <v/>
      </c>
      <c r="BE257" s="18">
        <f>IF($A257="","",IF(AND($I257&lt;&gt;"",$J257&lt;&gt;""),MAX(1,($J257-$I257)/7),Templates!$B$35))</f>
        <v/>
      </c>
      <c r="BF257" s="18">
        <f>IF($A257="","",IF(AND($I257&lt;&gt;"",$J257&lt;&gt;""),MAX(1,($J257-$I257)/7),Templates!$B$36))</f>
        <v/>
      </c>
      <c r="BG257" s="18">
        <f>IF($A257="","",IF(AND($I257&lt;&gt;"",$J257&lt;&gt;""),MAX(1,($J257-$I257)/7),Templates!$B$37))</f>
        <v/>
      </c>
      <c r="BH257" s="18">
        <f>IF($A257="","",IF(AND($I257&lt;&gt;"",$J257&lt;&gt;""),MAX(1,($J257-$I257)/7),Templates!$B$38))</f>
        <v/>
      </c>
      <c r="BI257" s="18">
        <f>IF($A257="","",IF(AND($I257&lt;&gt;"",$J257&lt;&gt;""),MAX(1,($J257-$I257)/7),Templates!$B$39))</f>
        <v/>
      </c>
      <c r="BJ257" s="18">
        <f>IF(OR($A257="",$BD257=0),0,($AY257*Templates!$B$27/$BE257+$AZ257*Templates!$B$28/$BF257+$BA257*Templates!$B$29/$BG257+$BB257*Templates!$B$30/$BH257+$BC257*Templates!$B$31/$BI257)/Templates!$B$17)</f>
        <v/>
      </c>
      <c r="BK257" s="18">
        <f>IF(OR($A257="",$BD257=0),0,($AY257*Templates!$C$27/$BE257+$AZ257*Templates!$C$28/$BF257+$BA257*Templates!$C$29/$BG257+$BB257*Templates!$C$30/$BH257+$BC257*Templates!$C$31/$BI257)/Templates!$B$18)</f>
        <v/>
      </c>
      <c r="BL257" s="18">
        <f>IF(OR($A257="",$BD257=0),0,($AY257*Templates!$D$27/$BE257+$AZ257*Templates!$D$28/$BF257+$BA257*Templates!$D$29/$BG257+$BB257*Templates!$D$30/$BH257+$BC257*Templates!$D$31/$BI257)/Templates!$B$19)</f>
        <v/>
      </c>
      <c r="BM257" s="18">
        <f>IF(OR($A257="",$BD257=0),0,($AY257*Templates!$E$27/$BE257+$AZ257*Templates!$E$28/$BF257+$BA257*Templates!$E$29/$BG257+$BB257*Templates!$E$30/$BH257+$BC257*Templates!$E$31/$BI257)/Templates!$B$20)</f>
        <v/>
      </c>
      <c r="BN257" s="18">
        <f>IF(OR($A257="",$BD257=0),0,($AY257*Templates!$F$27/$BE257+$AZ257*Templates!$F$28/$BF257+$BA257*Templates!$F$29/$BG257+$BB257*Templates!$F$30/$BH257+$BC257*Templates!$F$31/$BI257)/Templates!$B$21)</f>
        <v/>
      </c>
      <c r="BO257" s="18">
        <f>IF(OR($A257="",$BD257=0),0,($AY257*Templates!$G$27/$BE257+$AZ257*Templates!$G$28/$BF257+$BA257*Templates!$G$29/$BG257+$BB257*Templates!$G$30/$BH257+$BC257*Templates!$G$31/$BI257)/Templates!$B$22)</f>
        <v/>
      </c>
      <c r="BP257" s="18">
        <f>IF(OR($A257="",$BD257=0),0,($AY257*Templates!$H$27/$BE257+$AZ257*Templates!$H$28/$BF257+$BA257*Templates!$H$29/$BG257+$BB257*Templates!$H$30/$BH257+$BC257*Templates!$H$31/$BI257)/Templates!$B$23)</f>
        <v/>
      </c>
    </row>
    <row r="258">
      <c r="A258" s="28" t="inlineStr">
        <is>
          <t>kingfisher FIRPTA</t>
        </is>
      </c>
      <c r="B258" s="20" t="inlineStr">
        <is>
          <t>CVC</t>
        </is>
      </c>
      <c r="C258" s="28" t="inlineStr">
        <is>
          <t>CVC</t>
        </is>
      </c>
      <c r="D258" s="28" t="inlineStr"/>
      <c r="E258" s="28" t="inlineStr">
        <is>
          <t>No</t>
        </is>
      </c>
      <c r="F258" s="28" t="inlineStr">
        <is>
          <t>Proposal</t>
        </is>
      </c>
      <c r="G258" s="38" t="n"/>
      <c r="H258" s="43" t="n">
        <v>0.5</v>
      </c>
      <c r="I258" s="39" t="n"/>
      <c r="J258" s="39" t="n"/>
      <c r="K258" s="31" t="n"/>
      <c r="L258" s="31" t="n"/>
      <c r="M258" s="31" t="n"/>
      <c r="N258" s="31" t="n"/>
      <c r="O258" s="31" t="n"/>
      <c r="P258" s="31" t="n"/>
      <c r="Q258" s="23">
        <f>IF($A258="","",COUNTIFS(Assignments!$C$2:$C$769,$A258,Assignments!$G$2:$G$769,"Active"))</f>
        <v/>
      </c>
      <c r="R258" s="32">
        <f>IF($A258="","",SUMIFS(Assignments!$I$2:$I$769,Assignments!$C$2:$C$769,$A258,Assignments!$G$2:$G$769,"Active"))</f>
        <v/>
      </c>
      <c r="S258" s="20" t="inlineStr">
        <is>
          <t>Summary tab only (Proposal)</t>
        </is>
      </c>
      <c r="T258" s="31" t="n"/>
      <c r="U258" s="38" t="n"/>
      <c r="V258" s="34">
        <f>IF($U258="","",IFERROR(INDEX(Templates!$K$3:$K$10,MATCH($U258,Templates!$A$3:$A$10,0)),""))</f>
        <v/>
      </c>
      <c r="W258" s="34">
        <f>IF($U258="","",IFERROR(INDEX(Templates!$L$3:$L$10,MATCH($U258,Templates!$A$3:$A$10,0)),""))</f>
        <v/>
      </c>
      <c r="X258" s="21">
        <f>IF($U258="","",IFERROR(INDEX(Templates!$J$3:$J$10,MATCH($U258,Templates!$A$3:$A$10,0)),""))</f>
        <v/>
      </c>
      <c r="Y258" s="35">
        <f>IF(OR($U258="",$I258="",$J258="",$X258=""),"",$I258+$X258*($J258-$I258))</f>
        <v/>
      </c>
      <c r="Z258" s="30" t="n">
        <v>46212</v>
      </c>
      <c r="AA258" s="40" t="n"/>
      <c r="AB258" s="41" t="n"/>
      <c r="AC258" s="41" t="n"/>
      <c r="AD258" s="19">
        <f>IF($A258="","",IF($AA258="",$H258,$AA258))</f>
        <v/>
      </c>
      <c r="AE258" s="35">
        <f>IF($A258="","",IF($AB258="",$I258,$AB258))</f>
        <v/>
      </c>
      <c r="AF258" s="35">
        <f>IF($A258="","",IF($AC258="",$J258,$AC258))</f>
        <v/>
      </c>
      <c r="AG258" s="35">
        <f>IF(OR($U258="",$AE258="",$AF258="",$X258=""),"",$AE258+$X258*($AF258-$AE258))</f>
        <v/>
      </c>
      <c r="AH258" s="38" t="n"/>
      <c r="AI258" s="38" t="n"/>
      <c r="AJ258" s="38" t="n"/>
      <c r="AK258" s="38" t="n"/>
      <c r="AL258" s="38" t="n"/>
      <c r="AM258" s="38" t="n"/>
      <c r="AN258" s="38" t="n"/>
      <c r="AO258" s="38" t="n"/>
      <c r="AP258" s="38" t="n"/>
      <c r="AQ258" s="38" t="n"/>
      <c r="AR258" s="38" t="n"/>
      <c r="AS258" s="38" t="n"/>
      <c r="AT258" s="38" t="n"/>
      <c r="AU258" s="38" t="n"/>
      <c r="AV258" s="38" t="n"/>
      <c r="AW258" s="38" t="n"/>
      <c r="AX258" s="38" t="n"/>
      <c r="AY258" s="42" t="n"/>
      <c r="AZ258" s="42" t="n"/>
      <c r="BA258" s="42" t="n"/>
      <c r="BB258" s="42" t="n"/>
      <c r="BC258" s="42" t="n"/>
      <c r="BD258" s="37">
        <f>IF($A258="","",SUM($AY258:$BC258))</f>
        <v/>
      </c>
      <c r="BE258" s="18">
        <f>IF($A258="","",IF(AND($I258&lt;&gt;"",$J258&lt;&gt;""),MAX(1,($J258-$I258)/7),Templates!$B$35))</f>
        <v/>
      </c>
      <c r="BF258" s="18">
        <f>IF($A258="","",IF(AND($I258&lt;&gt;"",$J258&lt;&gt;""),MAX(1,($J258-$I258)/7),Templates!$B$36))</f>
        <v/>
      </c>
      <c r="BG258" s="18">
        <f>IF($A258="","",IF(AND($I258&lt;&gt;"",$J258&lt;&gt;""),MAX(1,($J258-$I258)/7),Templates!$B$37))</f>
        <v/>
      </c>
      <c r="BH258" s="18">
        <f>IF($A258="","",IF(AND($I258&lt;&gt;"",$J258&lt;&gt;""),MAX(1,($J258-$I258)/7),Templates!$B$38))</f>
        <v/>
      </c>
      <c r="BI258" s="18">
        <f>IF($A258="","",IF(AND($I258&lt;&gt;"",$J258&lt;&gt;""),MAX(1,($J258-$I258)/7),Templates!$B$39))</f>
        <v/>
      </c>
      <c r="BJ258" s="18">
        <f>IF(OR($A258="",$BD258=0),0,($AY258*Templates!$B$27/$BE258+$AZ258*Templates!$B$28/$BF258+$BA258*Templates!$B$29/$BG258+$BB258*Templates!$B$30/$BH258+$BC258*Templates!$B$31/$BI258)/Templates!$B$17)</f>
        <v/>
      </c>
      <c r="BK258" s="18">
        <f>IF(OR($A258="",$BD258=0),0,($AY258*Templates!$C$27/$BE258+$AZ258*Templates!$C$28/$BF258+$BA258*Templates!$C$29/$BG258+$BB258*Templates!$C$30/$BH258+$BC258*Templates!$C$31/$BI258)/Templates!$B$18)</f>
        <v/>
      </c>
      <c r="BL258" s="18">
        <f>IF(OR($A258="",$BD258=0),0,($AY258*Templates!$D$27/$BE258+$AZ258*Templates!$D$28/$BF258+$BA258*Templates!$D$29/$BG258+$BB258*Templates!$D$30/$BH258+$BC258*Templates!$D$31/$BI258)/Templates!$B$19)</f>
        <v/>
      </c>
      <c r="BM258" s="18">
        <f>IF(OR($A258="",$BD258=0),0,($AY258*Templates!$E$27/$BE258+$AZ258*Templates!$E$28/$BF258+$BA258*Templates!$E$29/$BG258+$BB258*Templates!$E$30/$BH258+$BC258*Templates!$E$31/$BI258)/Templates!$B$20)</f>
        <v/>
      </c>
      <c r="BN258" s="18">
        <f>IF(OR($A258="",$BD258=0),0,($AY258*Templates!$F$27/$BE258+$AZ258*Templates!$F$28/$BF258+$BA258*Templates!$F$29/$BG258+$BB258*Templates!$F$30/$BH258+$BC258*Templates!$F$31/$BI258)/Templates!$B$21)</f>
        <v/>
      </c>
      <c r="BO258" s="18">
        <f>IF(OR($A258="",$BD258=0),0,($AY258*Templates!$G$27/$BE258+$AZ258*Templates!$G$28/$BF258+$BA258*Templates!$G$29/$BG258+$BB258*Templates!$G$30/$BH258+$BC258*Templates!$G$31/$BI258)/Templates!$B$22)</f>
        <v/>
      </c>
      <c r="BP258" s="18">
        <f>IF(OR($A258="",$BD258=0),0,($AY258*Templates!$H$27/$BE258+$AZ258*Templates!$H$28/$BF258+$BA258*Templates!$H$29/$BG258+$BB258*Templates!$H$30/$BH258+$BC258*Templates!$H$31/$BI258)/Templates!$B$23)</f>
        <v/>
      </c>
    </row>
    <row r="259">
      <c r="A259" s="28" t="inlineStr">
        <is>
          <t>Liquidation Henner US_1</t>
        </is>
      </c>
      <c r="B259" s="20" t="inlineStr">
        <is>
          <t>Groupe Henner Holding SAS</t>
        </is>
      </c>
      <c r="C259" s="28" t="inlineStr">
        <is>
          <t>Groupe Henner Holding SAS</t>
        </is>
      </c>
      <c r="D259" s="28" t="inlineStr"/>
      <c r="E259" s="28" t="inlineStr">
        <is>
          <t>No</t>
        </is>
      </c>
      <c r="F259" s="28" t="inlineStr">
        <is>
          <t>Proposal</t>
        </is>
      </c>
      <c r="G259" s="38" t="n"/>
      <c r="H259" s="43" t="n">
        <v>0.5</v>
      </c>
      <c r="I259" s="39" t="n"/>
      <c r="J259" s="39" t="n"/>
      <c r="K259" s="31" t="n"/>
      <c r="L259" s="31" t="n"/>
      <c r="M259" s="31" t="n"/>
      <c r="N259" s="31" t="n"/>
      <c r="O259" s="31" t="n"/>
      <c r="P259" s="31" t="n"/>
      <c r="Q259" s="23">
        <f>IF($A259="","",COUNTIFS(Assignments!$C$2:$C$769,$A259,Assignments!$G$2:$G$769,"Active"))</f>
        <v/>
      </c>
      <c r="R259" s="32">
        <f>IF($A259="","",SUMIFS(Assignments!$I$2:$I$769,Assignments!$C$2:$C$769,$A259,Assignments!$G$2:$G$769,"Active"))</f>
        <v/>
      </c>
      <c r="S259" s="20" t="inlineStr">
        <is>
          <t>Proposal</t>
        </is>
      </c>
      <c r="T259" s="31" t="n"/>
      <c r="U259" s="38" t="n"/>
      <c r="V259" s="34">
        <f>IF($U259="","",IFERROR(INDEX(Templates!$K$3:$K$10,MATCH($U259,Templates!$A$3:$A$10,0)),""))</f>
        <v/>
      </c>
      <c r="W259" s="34">
        <f>IF($U259="","",IFERROR(INDEX(Templates!$L$3:$L$10,MATCH($U259,Templates!$A$3:$A$10,0)),""))</f>
        <v/>
      </c>
      <c r="X259" s="21">
        <f>IF($U259="","",IFERROR(INDEX(Templates!$J$3:$J$10,MATCH($U259,Templates!$A$3:$A$10,0)),""))</f>
        <v/>
      </c>
      <c r="Y259" s="35">
        <f>IF(OR($U259="",$I259="",$J259="",$X259=""),"",$I259+$X259*($J259-$I259))</f>
        <v/>
      </c>
      <c r="Z259" s="30" t="n">
        <v>46212</v>
      </c>
      <c r="AA259" s="40" t="n"/>
      <c r="AB259" s="41" t="n"/>
      <c r="AC259" s="41" t="n"/>
      <c r="AD259" s="19">
        <f>IF($A259="","",IF($AA259="",$H259,$AA259))</f>
        <v/>
      </c>
      <c r="AE259" s="35">
        <f>IF($A259="","",IF($AB259="",$I259,$AB259))</f>
        <v/>
      </c>
      <c r="AF259" s="35">
        <f>IF($A259="","",IF($AC259="",$J259,$AC259))</f>
        <v/>
      </c>
      <c r="AG259" s="35">
        <f>IF(OR($U259="",$AE259="",$AF259="",$X259=""),"",$AE259+$X259*($AF259-$AE259))</f>
        <v/>
      </c>
      <c r="AH259" s="38" t="n"/>
      <c r="AI259" s="38" t="n"/>
      <c r="AJ259" s="38" t="n"/>
      <c r="AK259" s="38" t="n"/>
      <c r="AL259" s="38" t="n"/>
      <c r="AM259" s="38" t="n"/>
      <c r="AN259" s="38" t="n"/>
      <c r="AO259" s="38" t="n"/>
      <c r="AP259" s="38" t="n"/>
      <c r="AQ259" s="38" t="n"/>
      <c r="AR259" s="38" t="n"/>
      <c r="AS259" s="38" t="n"/>
      <c r="AT259" s="38" t="n"/>
      <c r="AU259" s="38" t="n"/>
      <c r="AV259" s="38" t="n"/>
      <c r="AW259" s="38" t="n"/>
      <c r="AX259" s="38" t="n"/>
      <c r="AY259" s="42" t="n"/>
      <c r="AZ259" s="42" t="n"/>
      <c r="BA259" s="42" t="n"/>
      <c r="BB259" s="42" t="n"/>
      <c r="BC259" s="42" t="n"/>
      <c r="BD259" s="37">
        <f>IF($A259="","",SUM($AY259:$BC259))</f>
        <v/>
      </c>
      <c r="BE259" s="18">
        <f>IF($A259="","",IF(AND($I259&lt;&gt;"",$J259&lt;&gt;""),MAX(1,($J259-$I259)/7),Templates!$B$35))</f>
        <v/>
      </c>
      <c r="BF259" s="18">
        <f>IF($A259="","",IF(AND($I259&lt;&gt;"",$J259&lt;&gt;""),MAX(1,($J259-$I259)/7),Templates!$B$36))</f>
        <v/>
      </c>
      <c r="BG259" s="18">
        <f>IF($A259="","",IF(AND($I259&lt;&gt;"",$J259&lt;&gt;""),MAX(1,($J259-$I259)/7),Templates!$B$37))</f>
        <v/>
      </c>
      <c r="BH259" s="18">
        <f>IF($A259="","",IF(AND($I259&lt;&gt;"",$J259&lt;&gt;""),MAX(1,($J259-$I259)/7),Templates!$B$38))</f>
        <v/>
      </c>
      <c r="BI259" s="18">
        <f>IF($A259="","",IF(AND($I259&lt;&gt;"",$J259&lt;&gt;""),MAX(1,($J259-$I259)/7),Templates!$B$39))</f>
        <v/>
      </c>
      <c r="BJ259" s="18">
        <f>IF(OR($A259="",$BD259=0),0,($AY259*Templates!$B$27/$BE259+$AZ259*Templates!$B$28/$BF259+$BA259*Templates!$B$29/$BG259+$BB259*Templates!$B$30/$BH259+$BC259*Templates!$B$31/$BI259)/Templates!$B$17)</f>
        <v/>
      </c>
      <c r="BK259" s="18">
        <f>IF(OR($A259="",$BD259=0),0,($AY259*Templates!$C$27/$BE259+$AZ259*Templates!$C$28/$BF259+$BA259*Templates!$C$29/$BG259+$BB259*Templates!$C$30/$BH259+$BC259*Templates!$C$31/$BI259)/Templates!$B$18)</f>
        <v/>
      </c>
      <c r="BL259" s="18">
        <f>IF(OR($A259="",$BD259=0),0,($AY259*Templates!$D$27/$BE259+$AZ259*Templates!$D$28/$BF259+$BA259*Templates!$D$29/$BG259+$BB259*Templates!$D$30/$BH259+$BC259*Templates!$D$31/$BI259)/Templates!$B$19)</f>
        <v/>
      </c>
      <c r="BM259" s="18">
        <f>IF(OR($A259="",$BD259=0),0,($AY259*Templates!$E$27/$BE259+$AZ259*Templates!$E$28/$BF259+$BA259*Templates!$E$29/$BG259+$BB259*Templates!$E$30/$BH259+$BC259*Templates!$E$31/$BI259)/Templates!$B$20)</f>
        <v/>
      </c>
      <c r="BN259" s="18">
        <f>IF(OR($A259="",$BD259=0),0,($AY259*Templates!$F$27/$BE259+$AZ259*Templates!$F$28/$BF259+$BA259*Templates!$F$29/$BG259+$BB259*Templates!$F$30/$BH259+$BC259*Templates!$F$31/$BI259)/Templates!$B$21)</f>
        <v/>
      </c>
      <c r="BO259" s="18">
        <f>IF(OR($A259="",$BD259=0),0,($AY259*Templates!$G$27/$BE259+$AZ259*Templates!$G$28/$BF259+$BA259*Templates!$G$29/$BG259+$BB259*Templates!$G$30/$BH259+$BC259*Templates!$G$31/$BI259)/Templates!$B$22)</f>
        <v/>
      </c>
      <c r="BP259" s="18">
        <f>IF(OR($A259="",$BD259=0),0,($AY259*Templates!$H$27/$BE259+$AZ259*Templates!$H$28/$BF259+$BA259*Templates!$H$29/$BG259+$BB259*Templates!$H$30/$BH259+$BC259*Templates!$H$31/$BI259)/Templates!$B$23)</f>
        <v/>
      </c>
    </row>
    <row r="260">
      <c r="A260" s="28" t="inlineStr">
        <is>
          <t>LMNOP_1</t>
        </is>
      </c>
      <c r="B260" s="20" t="inlineStr">
        <is>
          <t>Eight Advisory (Referral Source)</t>
        </is>
      </c>
      <c r="C260" s="28" t="inlineStr">
        <is>
          <t>Eight Advisory</t>
        </is>
      </c>
      <c r="D260" s="28" t="inlineStr"/>
      <c r="E260" s="28" t="inlineStr">
        <is>
          <t>Yes</t>
        </is>
      </c>
      <c r="F260" s="28" t="inlineStr">
        <is>
          <t>Proposal</t>
        </is>
      </c>
      <c r="G260" s="38" t="n"/>
      <c r="H260" s="43" t="n">
        <v>0.5</v>
      </c>
      <c r="I260" s="39" t="n"/>
      <c r="J260" s="39" t="n"/>
      <c r="K260" s="31" t="n"/>
      <c r="L260" s="31" t="n"/>
      <c r="M260" s="31" t="n"/>
      <c r="N260" s="31" t="n"/>
      <c r="O260" s="31" t="n"/>
      <c r="P260" s="31" t="n"/>
      <c r="Q260" s="23">
        <f>IF($A260="","",COUNTIFS(Assignments!$C$2:$C$769,$A260,Assignments!$G$2:$G$769,"Active"))</f>
        <v/>
      </c>
      <c r="R260" s="32">
        <f>IF($A260="","",SUMIFS(Assignments!$I$2:$I$769,Assignments!$C$2:$C$769,$A260,Assignments!$G$2:$G$769,"Active"))</f>
        <v/>
      </c>
      <c r="S260" s="20" t="inlineStr">
        <is>
          <t>Proposal</t>
        </is>
      </c>
      <c r="T260" s="31" t="n"/>
      <c r="U260" s="38" t="n"/>
      <c r="V260" s="34">
        <f>IF($U260="","",IFERROR(INDEX(Templates!$K$3:$K$10,MATCH($U260,Templates!$A$3:$A$10,0)),""))</f>
        <v/>
      </c>
      <c r="W260" s="34">
        <f>IF($U260="","",IFERROR(INDEX(Templates!$L$3:$L$10,MATCH($U260,Templates!$A$3:$A$10,0)),""))</f>
        <v/>
      </c>
      <c r="X260" s="21">
        <f>IF($U260="","",IFERROR(INDEX(Templates!$J$3:$J$10,MATCH($U260,Templates!$A$3:$A$10,0)),""))</f>
        <v/>
      </c>
      <c r="Y260" s="35">
        <f>IF(OR($U260="",$I260="",$J260="",$X260=""),"",$I260+$X260*($J260-$I260))</f>
        <v/>
      </c>
      <c r="Z260" s="30" t="n">
        <v>46212</v>
      </c>
      <c r="AA260" s="40" t="n"/>
      <c r="AB260" s="41" t="n"/>
      <c r="AC260" s="41" t="n"/>
      <c r="AD260" s="19">
        <f>IF($A260="","",IF($AA260="",$H260,$AA260))</f>
        <v/>
      </c>
      <c r="AE260" s="35">
        <f>IF($A260="","",IF($AB260="",$I260,$AB260))</f>
        <v/>
      </c>
      <c r="AF260" s="35">
        <f>IF($A260="","",IF($AC260="",$J260,$AC260))</f>
        <v/>
      </c>
      <c r="AG260" s="35">
        <f>IF(OR($U260="",$AE260="",$AF260="",$X260=""),"",$AE260+$X260*($AF260-$AE260))</f>
        <v/>
      </c>
      <c r="AH260" s="38" t="n"/>
      <c r="AI260" s="38" t="n"/>
      <c r="AJ260" s="38" t="n"/>
      <c r="AK260" s="38" t="n"/>
      <c r="AL260" s="38" t="n"/>
      <c r="AM260" s="38" t="n"/>
      <c r="AN260" s="38" t="n"/>
      <c r="AO260" s="38" t="n"/>
      <c r="AP260" s="38" t="n"/>
      <c r="AQ260" s="38" t="n"/>
      <c r="AR260" s="38" t="n"/>
      <c r="AS260" s="38" t="n"/>
      <c r="AT260" s="38" t="n"/>
      <c r="AU260" s="38" t="n"/>
      <c r="AV260" s="38" t="n"/>
      <c r="AW260" s="38" t="n"/>
      <c r="AX260" s="38" t="n"/>
      <c r="AY260" s="42" t="n"/>
      <c r="AZ260" s="42" t="n"/>
      <c r="BA260" s="42" t="n"/>
      <c r="BB260" s="42" t="n"/>
      <c r="BC260" s="42" t="n"/>
      <c r="BD260" s="37">
        <f>IF($A260="","",SUM($AY260:$BC260))</f>
        <v/>
      </c>
      <c r="BE260" s="18">
        <f>IF($A260="","",IF(AND($I260&lt;&gt;"",$J260&lt;&gt;""),MAX(1,($J260-$I260)/7),Templates!$B$35))</f>
        <v/>
      </c>
      <c r="BF260" s="18">
        <f>IF($A260="","",IF(AND($I260&lt;&gt;"",$J260&lt;&gt;""),MAX(1,($J260-$I260)/7),Templates!$B$36))</f>
        <v/>
      </c>
      <c r="BG260" s="18">
        <f>IF($A260="","",IF(AND($I260&lt;&gt;"",$J260&lt;&gt;""),MAX(1,($J260-$I260)/7),Templates!$B$37))</f>
        <v/>
      </c>
      <c r="BH260" s="18">
        <f>IF($A260="","",IF(AND($I260&lt;&gt;"",$J260&lt;&gt;""),MAX(1,($J260-$I260)/7),Templates!$B$38))</f>
        <v/>
      </c>
      <c r="BI260" s="18">
        <f>IF($A260="","",IF(AND($I260&lt;&gt;"",$J260&lt;&gt;""),MAX(1,($J260-$I260)/7),Templates!$B$39))</f>
        <v/>
      </c>
      <c r="BJ260" s="18">
        <f>IF(OR($A260="",$BD260=0),0,($AY260*Templates!$B$27/$BE260+$AZ260*Templates!$B$28/$BF260+$BA260*Templates!$B$29/$BG260+$BB260*Templates!$B$30/$BH260+$BC260*Templates!$B$31/$BI260)/Templates!$B$17)</f>
        <v/>
      </c>
      <c r="BK260" s="18">
        <f>IF(OR($A260="",$BD260=0),0,($AY260*Templates!$C$27/$BE260+$AZ260*Templates!$C$28/$BF260+$BA260*Templates!$C$29/$BG260+$BB260*Templates!$C$30/$BH260+$BC260*Templates!$C$31/$BI260)/Templates!$B$18)</f>
        <v/>
      </c>
      <c r="BL260" s="18">
        <f>IF(OR($A260="",$BD260=0),0,($AY260*Templates!$D$27/$BE260+$AZ260*Templates!$D$28/$BF260+$BA260*Templates!$D$29/$BG260+$BB260*Templates!$D$30/$BH260+$BC260*Templates!$D$31/$BI260)/Templates!$B$19)</f>
        <v/>
      </c>
      <c r="BM260" s="18">
        <f>IF(OR($A260="",$BD260=0),0,($AY260*Templates!$E$27/$BE260+$AZ260*Templates!$E$28/$BF260+$BA260*Templates!$E$29/$BG260+$BB260*Templates!$E$30/$BH260+$BC260*Templates!$E$31/$BI260)/Templates!$B$20)</f>
        <v/>
      </c>
      <c r="BN260" s="18">
        <f>IF(OR($A260="",$BD260=0),0,($AY260*Templates!$F$27/$BE260+$AZ260*Templates!$F$28/$BF260+$BA260*Templates!$F$29/$BG260+$BB260*Templates!$F$30/$BH260+$BC260*Templates!$F$31/$BI260)/Templates!$B$21)</f>
        <v/>
      </c>
      <c r="BO260" s="18">
        <f>IF(OR($A260="",$BD260=0),0,($AY260*Templates!$G$27/$BE260+$AZ260*Templates!$G$28/$BF260+$BA260*Templates!$G$29/$BG260+$BB260*Templates!$G$30/$BH260+$BC260*Templates!$G$31/$BI260)/Templates!$B$22)</f>
        <v/>
      </c>
      <c r="BP260" s="18">
        <f>IF(OR($A260="",$BD260=0),0,($AY260*Templates!$H$27/$BE260+$AZ260*Templates!$H$28/$BF260+$BA260*Templates!$H$29/$BG260+$BB260*Templates!$H$30/$BH260+$BC260*Templates!$H$31/$BI260)/Templates!$B$23)</f>
        <v/>
      </c>
    </row>
    <row r="261">
      <c r="A261" s="28" t="inlineStr">
        <is>
          <t>LOB Analysis_1</t>
        </is>
      </c>
      <c r="B261" s="20" t="inlineStr">
        <is>
          <t>Taxand Global : Arsene TaxAnd</t>
        </is>
      </c>
      <c r="C261" s="28" t="inlineStr">
        <is>
          <t>Taxand Global</t>
        </is>
      </c>
      <c r="D261" s="28" t="inlineStr">
        <is>
          <t>Arsene TaxAnd</t>
        </is>
      </c>
      <c r="E261" s="28" t="inlineStr">
        <is>
          <t>No</t>
        </is>
      </c>
      <c r="F261" s="28" t="inlineStr">
        <is>
          <t>Proposal</t>
        </is>
      </c>
      <c r="G261" s="38" t="n"/>
      <c r="H261" s="43" t="n">
        <v>0.5</v>
      </c>
      <c r="I261" s="39" t="n"/>
      <c r="J261" s="39" t="n"/>
      <c r="K261" s="31" t="n"/>
      <c r="L261" s="31" t="n"/>
      <c r="M261" s="31" t="n"/>
      <c r="N261" s="31" t="n"/>
      <c r="O261" s="31" t="n"/>
      <c r="P261" s="31" t="n"/>
      <c r="Q261" s="23">
        <f>IF($A261="","",COUNTIFS(Assignments!$C$2:$C$769,$A261,Assignments!$G$2:$G$769,"Active"))</f>
        <v/>
      </c>
      <c r="R261" s="32">
        <f>IF($A261="","",SUMIFS(Assignments!$I$2:$I$769,Assignments!$C$2:$C$769,$A261,Assignments!$G$2:$G$769,"Active"))</f>
        <v/>
      </c>
      <c r="S261" s="20" t="inlineStr">
        <is>
          <t>Proposal</t>
        </is>
      </c>
      <c r="T261" s="31" t="n"/>
      <c r="U261" s="38" t="n"/>
      <c r="V261" s="34">
        <f>IF($U261="","",IFERROR(INDEX(Templates!$K$3:$K$10,MATCH($U261,Templates!$A$3:$A$10,0)),""))</f>
        <v/>
      </c>
      <c r="W261" s="34">
        <f>IF($U261="","",IFERROR(INDEX(Templates!$L$3:$L$10,MATCH($U261,Templates!$A$3:$A$10,0)),""))</f>
        <v/>
      </c>
      <c r="X261" s="21">
        <f>IF($U261="","",IFERROR(INDEX(Templates!$J$3:$J$10,MATCH($U261,Templates!$A$3:$A$10,0)),""))</f>
        <v/>
      </c>
      <c r="Y261" s="35">
        <f>IF(OR($U261="",$I261="",$J261="",$X261=""),"",$I261+$X261*($J261-$I261))</f>
        <v/>
      </c>
      <c r="Z261" s="30" t="n">
        <v>46212</v>
      </c>
      <c r="AA261" s="40" t="n"/>
      <c r="AB261" s="41" t="n"/>
      <c r="AC261" s="41" t="n"/>
      <c r="AD261" s="19">
        <f>IF($A261="","",IF($AA261="",$H261,$AA261))</f>
        <v/>
      </c>
      <c r="AE261" s="35">
        <f>IF($A261="","",IF($AB261="",$I261,$AB261))</f>
        <v/>
      </c>
      <c r="AF261" s="35">
        <f>IF($A261="","",IF($AC261="",$J261,$AC261))</f>
        <v/>
      </c>
      <c r="AG261" s="35">
        <f>IF(OR($U261="",$AE261="",$AF261="",$X261=""),"",$AE261+$X261*($AF261-$AE261))</f>
        <v/>
      </c>
      <c r="AH261" s="38" t="n"/>
      <c r="AI261" s="38" t="n"/>
      <c r="AJ261" s="38" t="n"/>
      <c r="AK261" s="38" t="n"/>
      <c r="AL261" s="38" t="n"/>
      <c r="AM261" s="38" t="n"/>
      <c r="AN261" s="38" t="n"/>
      <c r="AO261" s="38" t="n"/>
      <c r="AP261" s="38" t="n"/>
      <c r="AQ261" s="38" t="n"/>
      <c r="AR261" s="38" t="n"/>
      <c r="AS261" s="38" t="n"/>
      <c r="AT261" s="38" t="n"/>
      <c r="AU261" s="38" t="n"/>
      <c r="AV261" s="38" t="n"/>
      <c r="AW261" s="38" t="n"/>
      <c r="AX261" s="38" t="n"/>
      <c r="AY261" s="42" t="n"/>
      <c r="AZ261" s="42" t="n"/>
      <c r="BA261" s="42" t="n"/>
      <c r="BB261" s="42" t="n"/>
      <c r="BC261" s="42" t="n"/>
      <c r="BD261" s="37">
        <f>IF($A261="","",SUM($AY261:$BC261))</f>
        <v/>
      </c>
      <c r="BE261" s="18">
        <f>IF($A261="","",IF(AND($I261&lt;&gt;"",$J261&lt;&gt;""),MAX(1,($J261-$I261)/7),Templates!$B$35))</f>
        <v/>
      </c>
      <c r="BF261" s="18">
        <f>IF($A261="","",IF(AND($I261&lt;&gt;"",$J261&lt;&gt;""),MAX(1,($J261-$I261)/7),Templates!$B$36))</f>
        <v/>
      </c>
      <c r="BG261" s="18">
        <f>IF($A261="","",IF(AND($I261&lt;&gt;"",$J261&lt;&gt;""),MAX(1,($J261-$I261)/7),Templates!$B$37))</f>
        <v/>
      </c>
      <c r="BH261" s="18">
        <f>IF($A261="","",IF(AND($I261&lt;&gt;"",$J261&lt;&gt;""),MAX(1,($J261-$I261)/7),Templates!$B$38))</f>
        <v/>
      </c>
      <c r="BI261" s="18">
        <f>IF($A261="","",IF(AND($I261&lt;&gt;"",$J261&lt;&gt;""),MAX(1,($J261-$I261)/7),Templates!$B$39))</f>
        <v/>
      </c>
      <c r="BJ261" s="18">
        <f>IF(OR($A261="",$BD261=0),0,($AY261*Templates!$B$27/$BE261+$AZ261*Templates!$B$28/$BF261+$BA261*Templates!$B$29/$BG261+$BB261*Templates!$B$30/$BH261+$BC261*Templates!$B$31/$BI261)/Templates!$B$17)</f>
        <v/>
      </c>
      <c r="BK261" s="18">
        <f>IF(OR($A261="",$BD261=0),0,($AY261*Templates!$C$27/$BE261+$AZ261*Templates!$C$28/$BF261+$BA261*Templates!$C$29/$BG261+$BB261*Templates!$C$30/$BH261+$BC261*Templates!$C$31/$BI261)/Templates!$B$18)</f>
        <v/>
      </c>
      <c r="BL261" s="18">
        <f>IF(OR($A261="",$BD261=0),0,($AY261*Templates!$D$27/$BE261+$AZ261*Templates!$D$28/$BF261+$BA261*Templates!$D$29/$BG261+$BB261*Templates!$D$30/$BH261+$BC261*Templates!$D$31/$BI261)/Templates!$B$19)</f>
        <v/>
      </c>
      <c r="BM261" s="18">
        <f>IF(OR($A261="",$BD261=0),0,($AY261*Templates!$E$27/$BE261+$AZ261*Templates!$E$28/$BF261+$BA261*Templates!$E$29/$BG261+$BB261*Templates!$E$30/$BH261+$BC261*Templates!$E$31/$BI261)/Templates!$B$20)</f>
        <v/>
      </c>
      <c r="BN261" s="18">
        <f>IF(OR($A261="",$BD261=0),0,($AY261*Templates!$F$27/$BE261+$AZ261*Templates!$F$28/$BF261+$BA261*Templates!$F$29/$BG261+$BB261*Templates!$F$30/$BH261+$BC261*Templates!$F$31/$BI261)/Templates!$B$21)</f>
        <v/>
      </c>
      <c r="BO261" s="18">
        <f>IF(OR($A261="",$BD261=0),0,($AY261*Templates!$G$27/$BE261+$AZ261*Templates!$G$28/$BF261+$BA261*Templates!$G$29/$BG261+$BB261*Templates!$G$30/$BH261+$BC261*Templates!$G$31/$BI261)/Templates!$B$22)</f>
        <v/>
      </c>
      <c r="BP261" s="18">
        <f>IF(OR($A261="",$BD261=0),0,($AY261*Templates!$H$27/$BE261+$AZ261*Templates!$H$28/$BF261+$BA261*Templates!$H$29/$BG261+$BB261*Templates!$H$30/$BH261+$BC261*Templates!$H$31/$BI261)/Templates!$B$23)</f>
        <v/>
      </c>
    </row>
    <row r="262">
      <c r="A262" s="28" t="inlineStr">
        <is>
          <t>Lockup</t>
        </is>
      </c>
      <c r="B262" s="20" t="inlineStr">
        <is>
          <t>Brighthill Energy</t>
        </is>
      </c>
      <c r="C262" s="28" t="inlineStr">
        <is>
          <t>Brighthill Energy</t>
        </is>
      </c>
      <c r="D262" s="28" t="inlineStr"/>
      <c r="E262" s="28" t="inlineStr">
        <is>
          <t>No</t>
        </is>
      </c>
      <c r="F262" s="28" t="inlineStr">
        <is>
          <t>Proposal</t>
        </is>
      </c>
      <c r="G262" s="38" t="n"/>
      <c r="H262" s="43" t="n">
        <v>0.5</v>
      </c>
      <c r="I262" s="39" t="n"/>
      <c r="J262" s="39" t="n"/>
      <c r="K262" s="31" t="n"/>
      <c r="L262" s="31" t="n"/>
      <c r="M262" s="31" t="n"/>
      <c r="N262" s="31" t="n"/>
      <c r="O262" s="31" t="n"/>
      <c r="P262" s="31" t="n"/>
      <c r="Q262" s="23">
        <f>IF($A262="","",COUNTIFS(Assignments!$C$2:$C$769,$A262,Assignments!$G$2:$G$769,"Active"))</f>
        <v/>
      </c>
      <c r="R262" s="32">
        <f>IF($A262="","",SUMIFS(Assignments!$I$2:$I$769,Assignments!$C$2:$C$769,$A262,Assignments!$G$2:$G$769,"Active"))</f>
        <v/>
      </c>
      <c r="S262" s="20" t="inlineStr">
        <is>
          <t>Summary tab only (Proposal)</t>
        </is>
      </c>
      <c r="T262" s="31" t="n"/>
      <c r="U262" s="38" t="n"/>
      <c r="V262" s="34">
        <f>IF($U262="","",IFERROR(INDEX(Templates!$K$3:$K$10,MATCH($U262,Templates!$A$3:$A$10,0)),""))</f>
        <v/>
      </c>
      <c r="W262" s="34">
        <f>IF($U262="","",IFERROR(INDEX(Templates!$L$3:$L$10,MATCH($U262,Templates!$A$3:$A$10,0)),""))</f>
        <v/>
      </c>
      <c r="X262" s="21">
        <f>IF($U262="","",IFERROR(INDEX(Templates!$J$3:$J$10,MATCH($U262,Templates!$A$3:$A$10,0)),""))</f>
        <v/>
      </c>
      <c r="Y262" s="35">
        <f>IF(OR($U262="",$I262="",$J262="",$X262=""),"",$I262+$X262*($J262-$I262))</f>
        <v/>
      </c>
      <c r="Z262" s="30" t="n">
        <v>46212</v>
      </c>
      <c r="AA262" s="40" t="n"/>
      <c r="AB262" s="41" t="n"/>
      <c r="AC262" s="41" t="n"/>
      <c r="AD262" s="19">
        <f>IF($A262="","",IF($AA262="",$H262,$AA262))</f>
        <v/>
      </c>
      <c r="AE262" s="35">
        <f>IF($A262="","",IF($AB262="",$I262,$AB262))</f>
        <v/>
      </c>
      <c r="AF262" s="35">
        <f>IF($A262="","",IF($AC262="",$J262,$AC262))</f>
        <v/>
      </c>
      <c r="AG262" s="35">
        <f>IF(OR($U262="",$AE262="",$AF262="",$X262=""),"",$AE262+$X262*($AF262-$AE262))</f>
        <v/>
      </c>
      <c r="AH262" s="38" t="n"/>
      <c r="AI262" s="38" t="n"/>
      <c r="AJ262" s="38" t="n"/>
      <c r="AK262" s="38" t="n"/>
      <c r="AL262" s="38" t="n"/>
      <c r="AM262" s="38" t="n"/>
      <c r="AN262" s="38" t="n"/>
      <c r="AO262" s="38" t="n"/>
      <c r="AP262" s="38" t="n"/>
      <c r="AQ262" s="38" t="n"/>
      <c r="AR262" s="38" t="n"/>
      <c r="AS262" s="38" t="n"/>
      <c r="AT262" s="38" t="n"/>
      <c r="AU262" s="38" t="n"/>
      <c r="AV262" s="38" t="n"/>
      <c r="AW262" s="38" t="n"/>
      <c r="AX262" s="38" t="n"/>
      <c r="AY262" s="42" t="n"/>
      <c r="AZ262" s="42" t="n"/>
      <c r="BA262" s="42" t="n"/>
      <c r="BB262" s="42" t="n"/>
      <c r="BC262" s="42" t="n"/>
      <c r="BD262" s="37">
        <f>IF($A262="","",SUM($AY262:$BC262))</f>
        <v/>
      </c>
      <c r="BE262" s="18">
        <f>IF($A262="","",IF(AND($I262&lt;&gt;"",$J262&lt;&gt;""),MAX(1,($J262-$I262)/7),Templates!$B$35))</f>
        <v/>
      </c>
      <c r="BF262" s="18">
        <f>IF($A262="","",IF(AND($I262&lt;&gt;"",$J262&lt;&gt;""),MAX(1,($J262-$I262)/7),Templates!$B$36))</f>
        <v/>
      </c>
      <c r="BG262" s="18">
        <f>IF($A262="","",IF(AND($I262&lt;&gt;"",$J262&lt;&gt;""),MAX(1,($J262-$I262)/7),Templates!$B$37))</f>
        <v/>
      </c>
      <c r="BH262" s="18">
        <f>IF($A262="","",IF(AND($I262&lt;&gt;"",$J262&lt;&gt;""),MAX(1,($J262-$I262)/7),Templates!$B$38))</f>
        <v/>
      </c>
      <c r="BI262" s="18">
        <f>IF($A262="","",IF(AND($I262&lt;&gt;"",$J262&lt;&gt;""),MAX(1,($J262-$I262)/7),Templates!$B$39))</f>
        <v/>
      </c>
      <c r="BJ262" s="18">
        <f>IF(OR($A262="",$BD262=0),0,($AY262*Templates!$B$27/$BE262+$AZ262*Templates!$B$28/$BF262+$BA262*Templates!$B$29/$BG262+$BB262*Templates!$B$30/$BH262+$BC262*Templates!$B$31/$BI262)/Templates!$B$17)</f>
        <v/>
      </c>
      <c r="BK262" s="18">
        <f>IF(OR($A262="",$BD262=0),0,($AY262*Templates!$C$27/$BE262+$AZ262*Templates!$C$28/$BF262+$BA262*Templates!$C$29/$BG262+$BB262*Templates!$C$30/$BH262+$BC262*Templates!$C$31/$BI262)/Templates!$B$18)</f>
        <v/>
      </c>
      <c r="BL262" s="18">
        <f>IF(OR($A262="",$BD262=0),0,($AY262*Templates!$D$27/$BE262+$AZ262*Templates!$D$28/$BF262+$BA262*Templates!$D$29/$BG262+$BB262*Templates!$D$30/$BH262+$BC262*Templates!$D$31/$BI262)/Templates!$B$19)</f>
        <v/>
      </c>
      <c r="BM262" s="18">
        <f>IF(OR($A262="",$BD262=0),0,($AY262*Templates!$E$27/$BE262+$AZ262*Templates!$E$28/$BF262+$BA262*Templates!$E$29/$BG262+$BB262*Templates!$E$30/$BH262+$BC262*Templates!$E$31/$BI262)/Templates!$B$20)</f>
        <v/>
      </c>
      <c r="BN262" s="18">
        <f>IF(OR($A262="",$BD262=0),0,($AY262*Templates!$F$27/$BE262+$AZ262*Templates!$F$28/$BF262+$BA262*Templates!$F$29/$BG262+$BB262*Templates!$F$30/$BH262+$BC262*Templates!$F$31/$BI262)/Templates!$B$21)</f>
        <v/>
      </c>
      <c r="BO262" s="18">
        <f>IF(OR($A262="",$BD262=0),0,($AY262*Templates!$G$27/$BE262+$AZ262*Templates!$G$28/$BF262+$BA262*Templates!$G$29/$BG262+$BB262*Templates!$G$30/$BH262+$BC262*Templates!$G$31/$BI262)/Templates!$B$22)</f>
        <v/>
      </c>
      <c r="BP262" s="18">
        <f>IF(OR($A262="",$BD262=0),0,($AY262*Templates!$H$27/$BE262+$AZ262*Templates!$H$28/$BF262+$BA262*Templates!$H$29/$BG262+$BB262*Templates!$H$30/$BH262+$BC262*Templates!$H$31/$BI262)/Templates!$B$23)</f>
        <v/>
      </c>
    </row>
    <row r="263">
      <c r="A263" s="28" t="inlineStr">
        <is>
          <t>Malta_1</t>
        </is>
      </c>
      <c r="B263" s="20" t="inlineStr">
        <is>
          <t>Taxand Global : Tax Partner AG</t>
        </is>
      </c>
      <c r="C263" s="28" t="inlineStr">
        <is>
          <t>Taxand Global</t>
        </is>
      </c>
      <c r="D263" s="28" t="inlineStr">
        <is>
          <t>Tax Partner AG</t>
        </is>
      </c>
      <c r="E263" s="28" t="inlineStr">
        <is>
          <t>No</t>
        </is>
      </c>
      <c r="F263" s="28" t="inlineStr">
        <is>
          <t>Proposal</t>
        </is>
      </c>
      <c r="G263" s="38" t="n"/>
      <c r="H263" s="43" t="n">
        <v>0.5</v>
      </c>
      <c r="I263" s="39" t="n"/>
      <c r="J263" s="39" t="n"/>
      <c r="K263" s="31" t="n"/>
      <c r="L263" s="31" t="n"/>
      <c r="M263" s="31" t="n"/>
      <c r="N263" s="31" t="n"/>
      <c r="O263" s="31" t="n"/>
      <c r="P263" s="31" t="n"/>
      <c r="Q263" s="23">
        <f>IF($A263="","",COUNTIFS(Assignments!$C$2:$C$769,$A263,Assignments!$G$2:$G$769,"Active"))</f>
        <v/>
      </c>
      <c r="R263" s="32">
        <f>IF($A263="","",SUMIFS(Assignments!$I$2:$I$769,Assignments!$C$2:$C$769,$A263,Assignments!$G$2:$G$769,"Active"))</f>
        <v/>
      </c>
      <c r="S263" s="20" t="inlineStr">
        <is>
          <t>Proposal</t>
        </is>
      </c>
      <c r="T263" s="31" t="n"/>
      <c r="U263" s="38" t="n"/>
      <c r="V263" s="34">
        <f>IF($U263="","",IFERROR(INDEX(Templates!$K$3:$K$10,MATCH($U263,Templates!$A$3:$A$10,0)),""))</f>
        <v/>
      </c>
      <c r="W263" s="34">
        <f>IF($U263="","",IFERROR(INDEX(Templates!$L$3:$L$10,MATCH($U263,Templates!$A$3:$A$10,0)),""))</f>
        <v/>
      </c>
      <c r="X263" s="21">
        <f>IF($U263="","",IFERROR(INDEX(Templates!$J$3:$J$10,MATCH($U263,Templates!$A$3:$A$10,0)),""))</f>
        <v/>
      </c>
      <c r="Y263" s="35">
        <f>IF(OR($U263="",$I263="",$J263="",$X263=""),"",$I263+$X263*($J263-$I263))</f>
        <v/>
      </c>
      <c r="Z263" s="30" t="n">
        <v>46212</v>
      </c>
      <c r="AA263" s="40" t="n"/>
      <c r="AB263" s="41" t="n"/>
      <c r="AC263" s="41" t="n"/>
      <c r="AD263" s="19">
        <f>IF($A263="","",IF($AA263="",$H263,$AA263))</f>
        <v/>
      </c>
      <c r="AE263" s="35">
        <f>IF($A263="","",IF($AB263="",$I263,$AB263))</f>
        <v/>
      </c>
      <c r="AF263" s="35">
        <f>IF($A263="","",IF($AC263="",$J263,$AC263))</f>
        <v/>
      </c>
      <c r="AG263" s="35">
        <f>IF(OR($U263="",$AE263="",$AF263="",$X263=""),"",$AE263+$X263*($AF263-$AE263))</f>
        <v/>
      </c>
      <c r="AH263" s="38" t="n"/>
      <c r="AI263" s="38" t="n"/>
      <c r="AJ263" s="38" t="n"/>
      <c r="AK263" s="38" t="n"/>
      <c r="AL263" s="38" t="n"/>
      <c r="AM263" s="38" t="n"/>
      <c r="AN263" s="38" t="n"/>
      <c r="AO263" s="38" t="n"/>
      <c r="AP263" s="38" t="n"/>
      <c r="AQ263" s="38" t="n"/>
      <c r="AR263" s="38" t="n"/>
      <c r="AS263" s="38" t="n"/>
      <c r="AT263" s="38" t="n"/>
      <c r="AU263" s="38" t="n"/>
      <c r="AV263" s="38" t="n"/>
      <c r="AW263" s="38" t="n"/>
      <c r="AX263" s="38" t="n"/>
      <c r="AY263" s="42" t="n"/>
      <c r="AZ263" s="42" t="n"/>
      <c r="BA263" s="42" t="n"/>
      <c r="BB263" s="42" t="n"/>
      <c r="BC263" s="42" t="n"/>
      <c r="BD263" s="37">
        <f>IF($A263="","",SUM($AY263:$BC263))</f>
        <v/>
      </c>
      <c r="BE263" s="18">
        <f>IF($A263="","",IF(AND($I263&lt;&gt;"",$J263&lt;&gt;""),MAX(1,($J263-$I263)/7),Templates!$B$35))</f>
        <v/>
      </c>
      <c r="BF263" s="18">
        <f>IF($A263="","",IF(AND($I263&lt;&gt;"",$J263&lt;&gt;""),MAX(1,($J263-$I263)/7),Templates!$B$36))</f>
        <v/>
      </c>
      <c r="BG263" s="18">
        <f>IF($A263="","",IF(AND($I263&lt;&gt;"",$J263&lt;&gt;""),MAX(1,($J263-$I263)/7),Templates!$B$37))</f>
        <v/>
      </c>
      <c r="BH263" s="18">
        <f>IF($A263="","",IF(AND($I263&lt;&gt;"",$J263&lt;&gt;""),MAX(1,($J263-$I263)/7),Templates!$B$38))</f>
        <v/>
      </c>
      <c r="BI263" s="18">
        <f>IF($A263="","",IF(AND($I263&lt;&gt;"",$J263&lt;&gt;""),MAX(1,($J263-$I263)/7),Templates!$B$39))</f>
        <v/>
      </c>
      <c r="BJ263" s="18">
        <f>IF(OR($A263="",$BD263=0),0,($AY263*Templates!$B$27/$BE263+$AZ263*Templates!$B$28/$BF263+$BA263*Templates!$B$29/$BG263+$BB263*Templates!$B$30/$BH263+$BC263*Templates!$B$31/$BI263)/Templates!$B$17)</f>
        <v/>
      </c>
      <c r="BK263" s="18">
        <f>IF(OR($A263="",$BD263=0),0,($AY263*Templates!$C$27/$BE263+$AZ263*Templates!$C$28/$BF263+$BA263*Templates!$C$29/$BG263+$BB263*Templates!$C$30/$BH263+$BC263*Templates!$C$31/$BI263)/Templates!$B$18)</f>
        <v/>
      </c>
      <c r="BL263" s="18">
        <f>IF(OR($A263="",$BD263=0),0,($AY263*Templates!$D$27/$BE263+$AZ263*Templates!$D$28/$BF263+$BA263*Templates!$D$29/$BG263+$BB263*Templates!$D$30/$BH263+$BC263*Templates!$D$31/$BI263)/Templates!$B$19)</f>
        <v/>
      </c>
      <c r="BM263" s="18">
        <f>IF(OR($A263="",$BD263=0),0,($AY263*Templates!$E$27/$BE263+$AZ263*Templates!$E$28/$BF263+$BA263*Templates!$E$29/$BG263+$BB263*Templates!$E$30/$BH263+$BC263*Templates!$E$31/$BI263)/Templates!$B$20)</f>
        <v/>
      </c>
      <c r="BN263" s="18">
        <f>IF(OR($A263="",$BD263=0),0,($AY263*Templates!$F$27/$BE263+$AZ263*Templates!$F$28/$BF263+$BA263*Templates!$F$29/$BG263+$BB263*Templates!$F$30/$BH263+$BC263*Templates!$F$31/$BI263)/Templates!$B$21)</f>
        <v/>
      </c>
      <c r="BO263" s="18">
        <f>IF(OR($A263="",$BD263=0),0,($AY263*Templates!$G$27/$BE263+$AZ263*Templates!$G$28/$BF263+$BA263*Templates!$G$29/$BG263+$BB263*Templates!$G$30/$BH263+$BC263*Templates!$G$31/$BI263)/Templates!$B$22)</f>
        <v/>
      </c>
      <c r="BP263" s="18">
        <f>IF(OR($A263="",$BD263=0),0,($AY263*Templates!$H$27/$BE263+$AZ263*Templates!$H$28/$BF263+$BA263*Templates!$H$29/$BG263+$BB263*Templates!$H$30/$BH263+$BC263*Templates!$H$31/$BI263)/Templates!$B$23)</f>
        <v/>
      </c>
    </row>
    <row r="264">
      <c r="A264" s="28" t="inlineStr">
        <is>
          <t>Marigold_2</t>
        </is>
      </c>
      <c r="B264" s="20" t="inlineStr">
        <is>
          <t>Igneo Infrastructure</t>
        </is>
      </c>
      <c r="C264" s="28" t="inlineStr">
        <is>
          <t>Igneo Infrastructure</t>
        </is>
      </c>
      <c r="D264" s="28" t="inlineStr"/>
      <c r="E264" s="28" t="inlineStr">
        <is>
          <t>No</t>
        </is>
      </c>
      <c r="F264" s="28" t="inlineStr">
        <is>
          <t>Proposal</t>
        </is>
      </c>
      <c r="G264" s="38" t="n"/>
      <c r="H264" s="43" t="n">
        <v>0.5</v>
      </c>
      <c r="I264" s="39" t="n"/>
      <c r="J264" s="39" t="n"/>
      <c r="K264" s="31" t="n"/>
      <c r="L264" s="31" t="n"/>
      <c r="M264" s="31" t="n"/>
      <c r="N264" s="31" t="n"/>
      <c r="O264" s="31" t="n"/>
      <c r="P264" s="31" t="n"/>
      <c r="Q264" s="23">
        <f>IF($A264="","",COUNTIFS(Assignments!$C$2:$C$769,$A264,Assignments!$G$2:$G$769,"Active"))</f>
        <v/>
      </c>
      <c r="R264" s="32">
        <f>IF($A264="","",SUMIFS(Assignments!$I$2:$I$769,Assignments!$C$2:$C$769,$A264,Assignments!$G$2:$G$769,"Active"))</f>
        <v/>
      </c>
      <c r="S264" s="20" t="inlineStr">
        <is>
          <t>Proposal</t>
        </is>
      </c>
      <c r="T264" s="31" t="n"/>
      <c r="U264" s="38" t="n"/>
      <c r="V264" s="34">
        <f>IF($U264="","",IFERROR(INDEX(Templates!$K$3:$K$10,MATCH($U264,Templates!$A$3:$A$10,0)),""))</f>
        <v/>
      </c>
      <c r="W264" s="34">
        <f>IF($U264="","",IFERROR(INDEX(Templates!$L$3:$L$10,MATCH($U264,Templates!$A$3:$A$10,0)),""))</f>
        <v/>
      </c>
      <c r="X264" s="21">
        <f>IF($U264="","",IFERROR(INDEX(Templates!$J$3:$J$10,MATCH($U264,Templates!$A$3:$A$10,0)),""))</f>
        <v/>
      </c>
      <c r="Y264" s="35">
        <f>IF(OR($U264="",$I264="",$J264="",$X264=""),"",$I264+$X264*($J264-$I264))</f>
        <v/>
      </c>
      <c r="Z264" s="30" t="n">
        <v>46212</v>
      </c>
      <c r="AA264" s="40" t="n"/>
      <c r="AB264" s="41" t="n"/>
      <c r="AC264" s="41" t="n"/>
      <c r="AD264" s="19">
        <f>IF($A264="","",IF($AA264="",$H264,$AA264))</f>
        <v/>
      </c>
      <c r="AE264" s="35">
        <f>IF($A264="","",IF($AB264="",$I264,$AB264))</f>
        <v/>
      </c>
      <c r="AF264" s="35">
        <f>IF($A264="","",IF($AC264="",$J264,$AC264))</f>
        <v/>
      </c>
      <c r="AG264" s="35">
        <f>IF(OR($U264="",$AE264="",$AF264="",$X264=""),"",$AE264+$X264*($AF264-$AE264))</f>
        <v/>
      </c>
      <c r="AH264" s="38" t="n"/>
      <c r="AI264" s="38" t="n"/>
      <c r="AJ264" s="38" t="n"/>
      <c r="AK264" s="38" t="n"/>
      <c r="AL264" s="38" t="n"/>
      <c r="AM264" s="38" t="n"/>
      <c r="AN264" s="38" t="n"/>
      <c r="AO264" s="38" t="n"/>
      <c r="AP264" s="38" t="n"/>
      <c r="AQ264" s="38" t="n"/>
      <c r="AR264" s="38" t="n"/>
      <c r="AS264" s="38" t="n"/>
      <c r="AT264" s="38" t="n"/>
      <c r="AU264" s="38" t="n"/>
      <c r="AV264" s="38" t="n"/>
      <c r="AW264" s="38" t="n"/>
      <c r="AX264" s="38" t="n"/>
      <c r="AY264" s="42" t="n"/>
      <c r="AZ264" s="42" t="n"/>
      <c r="BA264" s="42" t="n"/>
      <c r="BB264" s="42" t="n"/>
      <c r="BC264" s="42" t="n"/>
      <c r="BD264" s="37">
        <f>IF($A264="","",SUM($AY264:$BC264))</f>
        <v/>
      </c>
      <c r="BE264" s="18">
        <f>IF($A264="","",IF(AND($I264&lt;&gt;"",$J264&lt;&gt;""),MAX(1,($J264-$I264)/7),Templates!$B$35))</f>
        <v/>
      </c>
      <c r="BF264" s="18">
        <f>IF($A264="","",IF(AND($I264&lt;&gt;"",$J264&lt;&gt;""),MAX(1,($J264-$I264)/7),Templates!$B$36))</f>
        <v/>
      </c>
      <c r="BG264" s="18">
        <f>IF($A264="","",IF(AND($I264&lt;&gt;"",$J264&lt;&gt;""),MAX(1,($J264-$I264)/7),Templates!$B$37))</f>
        <v/>
      </c>
      <c r="BH264" s="18">
        <f>IF($A264="","",IF(AND($I264&lt;&gt;"",$J264&lt;&gt;""),MAX(1,($J264-$I264)/7),Templates!$B$38))</f>
        <v/>
      </c>
      <c r="BI264" s="18">
        <f>IF($A264="","",IF(AND($I264&lt;&gt;"",$J264&lt;&gt;""),MAX(1,($J264-$I264)/7),Templates!$B$39))</f>
        <v/>
      </c>
      <c r="BJ264" s="18">
        <f>IF(OR($A264="",$BD264=0),0,($AY264*Templates!$B$27/$BE264+$AZ264*Templates!$B$28/$BF264+$BA264*Templates!$B$29/$BG264+$BB264*Templates!$B$30/$BH264+$BC264*Templates!$B$31/$BI264)/Templates!$B$17)</f>
        <v/>
      </c>
      <c r="BK264" s="18">
        <f>IF(OR($A264="",$BD264=0),0,($AY264*Templates!$C$27/$BE264+$AZ264*Templates!$C$28/$BF264+$BA264*Templates!$C$29/$BG264+$BB264*Templates!$C$30/$BH264+$BC264*Templates!$C$31/$BI264)/Templates!$B$18)</f>
        <v/>
      </c>
      <c r="BL264" s="18">
        <f>IF(OR($A264="",$BD264=0),0,($AY264*Templates!$D$27/$BE264+$AZ264*Templates!$D$28/$BF264+$BA264*Templates!$D$29/$BG264+$BB264*Templates!$D$30/$BH264+$BC264*Templates!$D$31/$BI264)/Templates!$B$19)</f>
        <v/>
      </c>
      <c r="BM264" s="18">
        <f>IF(OR($A264="",$BD264=0),0,($AY264*Templates!$E$27/$BE264+$AZ264*Templates!$E$28/$BF264+$BA264*Templates!$E$29/$BG264+$BB264*Templates!$E$30/$BH264+$BC264*Templates!$E$31/$BI264)/Templates!$B$20)</f>
        <v/>
      </c>
      <c r="BN264" s="18">
        <f>IF(OR($A264="",$BD264=0),0,($AY264*Templates!$F$27/$BE264+$AZ264*Templates!$F$28/$BF264+$BA264*Templates!$F$29/$BG264+$BB264*Templates!$F$30/$BH264+$BC264*Templates!$F$31/$BI264)/Templates!$B$21)</f>
        <v/>
      </c>
      <c r="BO264" s="18">
        <f>IF(OR($A264="",$BD264=0),0,($AY264*Templates!$G$27/$BE264+$AZ264*Templates!$G$28/$BF264+$BA264*Templates!$G$29/$BG264+$BB264*Templates!$G$30/$BH264+$BC264*Templates!$G$31/$BI264)/Templates!$B$22)</f>
        <v/>
      </c>
      <c r="BP264" s="18">
        <f>IF(OR($A264="",$BD264=0),0,($AY264*Templates!$H$27/$BE264+$AZ264*Templates!$H$28/$BF264+$BA264*Templates!$H$29/$BG264+$BB264*Templates!$H$30/$BH264+$BC264*Templates!$H$31/$BI264)/Templates!$B$23)</f>
        <v/>
      </c>
    </row>
    <row r="265">
      <c r="A265" s="28" t="inlineStr">
        <is>
          <t>Marle_1</t>
        </is>
      </c>
      <c r="B265" s="20" t="inlineStr">
        <is>
          <t>Eight Advisory (Referral Source)</t>
        </is>
      </c>
      <c r="C265" s="28" t="inlineStr">
        <is>
          <t>Eight Advisory</t>
        </is>
      </c>
      <c r="D265" s="28" t="inlineStr"/>
      <c r="E265" s="28" t="inlineStr">
        <is>
          <t>Yes</t>
        </is>
      </c>
      <c r="F265" s="28" t="inlineStr">
        <is>
          <t>Proposal</t>
        </is>
      </c>
      <c r="G265" s="38" t="n"/>
      <c r="H265" s="43" t="n">
        <v>0.5</v>
      </c>
      <c r="I265" s="39" t="n"/>
      <c r="J265" s="39" t="n"/>
      <c r="K265" s="31" t="n"/>
      <c r="L265" s="31" t="n"/>
      <c r="M265" s="31" t="n"/>
      <c r="N265" s="31" t="n"/>
      <c r="O265" s="31" t="n"/>
      <c r="P265" s="31" t="n"/>
      <c r="Q265" s="23">
        <f>IF($A265="","",COUNTIFS(Assignments!$C$2:$C$769,$A265,Assignments!$G$2:$G$769,"Active"))</f>
        <v/>
      </c>
      <c r="R265" s="32">
        <f>IF($A265="","",SUMIFS(Assignments!$I$2:$I$769,Assignments!$C$2:$C$769,$A265,Assignments!$G$2:$G$769,"Active"))</f>
        <v/>
      </c>
      <c r="S265" s="20" t="inlineStr">
        <is>
          <t>Proposal</t>
        </is>
      </c>
      <c r="T265" s="31" t="n"/>
      <c r="U265" s="38" t="n"/>
      <c r="V265" s="34">
        <f>IF($U265="","",IFERROR(INDEX(Templates!$K$3:$K$10,MATCH($U265,Templates!$A$3:$A$10,0)),""))</f>
        <v/>
      </c>
      <c r="W265" s="34">
        <f>IF($U265="","",IFERROR(INDEX(Templates!$L$3:$L$10,MATCH($U265,Templates!$A$3:$A$10,0)),""))</f>
        <v/>
      </c>
      <c r="X265" s="21">
        <f>IF($U265="","",IFERROR(INDEX(Templates!$J$3:$J$10,MATCH($U265,Templates!$A$3:$A$10,0)),""))</f>
        <v/>
      </c>
      <c r="Y265" s="35">
        <f>IF(OR($U265="",$I265="",$J265="",$X265=""),"",$I265+$X265*($J265-$I265))</f>
        <v/>
      </c>
      <c r="Z265" s="30" t="n">
        <v>46212</v>
      </c>
      <c r="AA265" s="40" t="n"/>
      <c r="AB265" s="41" t="n"/>
      <c r="AC265" s="41" t="n"/>
      <c r="AD265" s="19">
        <f>IF($A265="","",IF($AA265="",$H265,$AA265))</f>
        <v/>
      </c>
      <c r="AE265" s="35">
        <f>IF($A265="","",IF($AB265="",$I265,$AB265))</f>
        <v/>
      </c>
      <c r="AF265" s="35">
        <f>IF($A265="","",IF($AC265="",$J265,$AC265))</f>
        <v/>
      </c>
      <c r="AG265" s="35">
        <f>IF(OR($U265="",$AE265="",$AF265="",$X265=""),"",$AE265+$X265*($AF265-$AE265))</f>
        <v/>
      </c>
      <c r="AH265" s="38" t="n"/>
      <c r="AI265" s="38" t="n"/>
      <c r="AJ265" s="38" t="n"/>
      <c r="AK265" s="38" t="n"/>
      <c r="AL265" s="38" t="n"/>
      <c r="AM265" s="38" t="n"/>
      <c r="AN265" s="38" t="n"/>
      <c r="AO265" s="38" t="n"/>
      <c r="AP265" s="38" t="n"/>
      <c r="AQ265" s="38" t="n"/>
      <c r="AR265" s="38" t="n"/>
      <c r="AS265" s="38" t="n"/>
      <c r="AT265" s="38" t="n"/>
      <c r="AU265" s="38" t="n"/>
      <c r="AV265" s="38" t="n"/>
      <c r="AW265" s="38" t="n"/>
      <c r="AX265" s="38" t="n"/>
      <c r="AY265" s="42" t="n"/>
      <c r="AZ265" s="42" t="n"/>
      <c r="BA265" s="42" t="n"/>
      <c r="BB265" s="42" t="n"/>
      <c r="BC265" s="42" t="n"/>
      <c r="BD265" s="37">
        <f>IF($A265="","",SUM($AY265:$BC265))</f>
        <v/>
      </c>
      <c r="BE265" s="18">
        <f>IF($A265="","",IF(AND($I265&lt;&gt;"",$J265&lt;&gt;""),MAX(1,($J265-$I265)/7),Templates!$B$35))</f>
        <v/>
      </c>
      <c r="BF265" s="18">
        <f>IF($A265="","",IF(AND($I265&lt;&gt;"",$J265&lt;&gt;""),MAX(1,($J265-$I265)/7),Templates!$B$36))</f>
        <v/>
      </c>
      <c r="BG265" s="18">
        <f>IF($A265="","",IF(AND($I265&lt;&gt;"",$J265&lt;&gt;""),MAX(1,($J265-$I265)/7),Templates!$B$37))</f>
        <v/>
      </c>
      <c r="BH265" s="18">
        <f>IF($A265="","",IF(AND($I265&lt;&gt;"",$J265&lt;&gt;""),MAX(1,($J265-$I265)/7),Templates!$B$38))</f>
        <v/>
      </c>
      <c r="BI265" s="18">
        <f>IF($A265="","",IF(AND($I265&lt;&gt;"",$J265&lt;&gt;""),MAX(1,($J265-$I265)/7),Templates!$B$39))</f>
        <v/>
      </c>
      <c r="BJ265" s="18">
        <f>IF(OR($A265="",$BD265=0),0,($AY265*Templates!$B$27/$BE265+$AZ265*Templates!$B$28/$BF265+$BA265*Templates!$B$29/$BG265+$BB265*Templates!$B$30/$BH265+$BC265*Templates!$B$31/$BI265)/Templates!$B$17)</f>
        <v/>
      </c>
      <c r="BK265" s="18">
        <f>IF(OR($A265="",$BD265=0),0,($AY265*Templates!$C$27/$BE265+$AZ265*Templates!$C$28/$BF265+$BA265*Templates!$C$29/$BG265+$BB265*Templates!$C$30/$BH265+$BC265*Templates!$C$31/$BI265)/Templates!$B$18)</f>
        <v/>
      </c>
      <c r="BL265" s="18">
        <f>IF(OR($A265="",$BD265=0),0,($AY265*Templates!$D$27/$BE265+$AZ265*Templates!$D$28/$BF265+$BA265*Templates!$D$29/$BG265+$BB265*Templates!$D$30/$BH265+$BC265*Templates!$D$31/$BI265)/Templates!$B$19)</f>
        <v/>
      </c>
      <c r="BM265" s="18">
        <f>IF(OR($A265="",$BD265=0),0,($AY265*Templates!$E$27/$BE265+$AZ265*Templates!$E$28/$BF265+$BA265*Templates!$E$29/$BG265+$BB265*Templates!$E$30/$BH265+$BC265*Templates!$E$31/$BI265)/Templates!$B$20)</f>
        <v/>
      </c>
      <c r="BN265" s="18">
        <f>IF(OR($A265="",$BD265=0),0,($AY265*Templates!$F$27/$BE265+$AZ265*Templates!$F$28/$BF265+$BA265*Templates!$F$29/$BG265+$BB265*Templates!$F$30/$BH265+$BC265*Templates!$F$31/$BI265)/Templates!$B$21)</f>
        <v/>
      </c>
      <c r="BO265" s="18">
        <f>IF(OR($A265="",$BD265=0),0,($AY265*Templates!$G$27/$BE265+$AZ265*Templates!$G$28/$BF265+$BA265*Templates!$G$29/$BG265+$BB265*Templates!$G$30/$BH265+$BC265*Templates!$G$31/$BI265)/Templates!$B$22)</f>
        <v/>
      </c>
      <c r="BP265" s="18">
        <f>IF(OR($A265="",$BD265=0),0,($AY265*Templates!$H$27/$BE265+$AZ265*Templates!$H$28/$BF265+$BA265*Templates!$H$29/$BG265+$BB265*Templates!$H$30/$BH265+$BC265*Templates!$H$31/$BI265)/Templates!$B$23)</f>
        <v/>
      </c>
    </row>
    <row r="266">
      <c r="A266" s="28" t="inlineStr">
        <is>
          <t>Mash_1</t>
        </is>
      </c>
      <c r="B266" s="20" t="inlineStr">
        <is>
          <t>KKR : John Laing</t>
        </is>
      </c>
      <c r="C266" s="28" t="inlineStr">
        <is>
          <t>KKR</t>
        </is>
      </c>
      <c r="D266" s="28" t="inlineStr">
        <is>
          <t>John Laing</t>
        </is>
      </c>
      <c r="E266" s="28" t="inlineStr">
        <is>
          <t>No</t>
        </is>
      </c>
      <c r="F266" s="28" t="inlineStr">
        <is>
          <t>Proposal</t>
        </is>
      </c>
      <c r="G266" s="38" t="n"/>
      <c r="H266" s="43" t="n">
        <v>0.5</v>
      </c>
      <c r="I266" s="39" t="n"/>
      <c r="J266" s="39" t="n"/>
      <c r="K266" s="31" t="n"/>
      <c r="L266" s="31" t="n"/>
      <c r="M266" s="31" t="n"/>
      <c r="N266" s="31" t="n"/>
      <c r="O266" s="31" t="n"/>
      <c r="P266" s="31" t="n"/>
      <c r="Q266" s="23">
        <f>IF($A266="","",COUNTIFS(Assignments!$C$2:$C$769,$A266,Assignments!$G$2:$G$769,"Active"))</f>
        <v/>
      </c>
      <c r="R266" s="32">
        <f>IF($A266="","",SUMIFS(Assignments!$I$2:$I$769,Assignments!$C$2:$C$769,$A266,Assignments!$G$2:$G$769,"Active"))</f>
        <v/>
      </c>
      <c r="S266" s="20" t="inlineStr">
        <is>
          <t>Proposal</t>
        </is>
      </c>
      <c r="T266" s="31" t="n"/>
      <c r="U266" s="38" t="n"/>
      <c r="V266" s="34">
        <f>IF($U266="","",IFERROR(INDEX(Templates!$K$3:$K$10,MATCH($U266,Templates!$A$3:$A$10,0)),""))</f>
        <v/>
      </c>
      <c r="W266" s="34">
        <f>IF($U266="","",IFERROR(INDEX(Templates!$L$3:$L$10,MATCH($U266,Templates!$A$3:$A$10,0)),""))</f>
        <v/>
      </c>
      <c r="X266" s="21">
        <f>IF($U266="","",IFERROR(INDEX(Templates!$J$3:$J$10,MATCH($U266,Templates!$A$3:$A$10,0)),""))</f>
        <v/>
      </c>
      <c r="Y266" s="35">
        <f>IF(OR($U266="",$I266="",$J266="",$X266=""),"",$I266+$X266*($J266-$I266))</f>
        <v/>
      </c>
      <c r="Z266" s="30" t="n">
        <v>46212</v>
      </c>
      <c r="AA266" s="40" t="n"/>
      <c r="AB266" s="41" t="n"/>
      <c r="AC266" s="41" t="n"/>
      <c r="AD266" s="19">
        <f>IF($A266="","",IF($AA266="",$H266,$AA266))</f>
        <v/>
      </c>
      <c r="AE266" s="35">
        <f>IF($A266="","",IF($AB266="",$I266,$AB266))</f>
        <v/>
      </c>
      <c r="AF266" s="35">
        <f>IF($A266="","",IF($AC266="",$J266,$AC266))</f>
        <v/>
      </c>
      <c r="AG266" s="35">
        <f>IF(OR($U266="",$AE266="",$AF266="",$X266=""),"",$AE266+$X266*($AF266-$AE266))</f>
        <v/>
      </c>
      <c r="AH266" s="38" t="n"/>
      <c r="AI266" s="38" t="n"/>
      <c r="AJ266" s="38" t="n"/>
      <c r="AK266" s="38" t="n"/>
      <c r="AL266" s="38" t="n"/>
      <c r="AM266" s="38" t="n"/>
      <c r="AN266" s="38" t="n"/>
      <c r="AO266" s="38" t="n"/>
      <c r="AP266" s="38" t="n"/>
      <c r="AQ266" s="38" t="n"/>
      <c r="AR266" s="38" t="n"/>
      <c r="AS266" s="38" t="n"/>
      <c r="AT266" s="38" t="n"/>
      <c r="AU266" s="38" t="n"/>
      <c r="AV266" s="38" t="n"/>
      <c r="AW266" s="38" t="n"/>
      <c r="AX266" s="38" t="n"/>
      <c r="AY266" s="42" t="n"/>
      <c r="AZ266" s="42" t="n"/>
      <c r="BA266" s="42" t="n"/>
      <c r="BB266" s="42" t="n"/>
      <c r="BC266" s="42" t="n"/>
      <c r="BD266" s="37">
        <f>IF($A266="","",SUM($AY266:$BC266))</f>
        <v/>
      </c>
      <c r="BE266" s="18">
        <f>IF($A266="","",IF(AND($I266&lt;&gt;"",$J266&lt;&gt;""),MAX(1,($J266-$I266)/7),Templates!$B$35))</f>
        <v/>
      </c>
      <c r="BF266" s="18">
        <f>IF($A266="","",IF(AND($I266&lt;&gt;"",$J266&lt;&gt;""),MAX(1,($J266-$I266)/7),Templates!$B$36))</f>
        <v/>
      </c>
      <c r="BG266" s="18">
        <f>IF($A266="","",IF(AND($I266&lt;&gt;"",$J266&lt;&gt;""),MAX(1,($J266-$I266)/7),Templates!$B$37))</f>
        <v/>
      </c>
      <c r="BH266" s="18">
        <f>IF($A266="","",IF(AND($I266&lt;&gt;"",$J266&lt;&gt;""),MAX(1,($J266-$I266)/7),Templates!$B$38))</f>
        <v/>
      </c>
      <c r="BI266" s="18">
        <f>IF($A266="","",IF(AND($I266&lt;&gt;"",$J266&lt;&gt;""),MAX(1,($J266-$I266)/7),Templates!$B$39))</f>
        <v/>
      </c>
      <c r="BJ266" s="18">
        <f>IF(OR($A266="",$BD266=0),0,($AY266*Templates!$B$27/$BE266+$AZ266*Templates!$B$28/$BF266+$BA266*Templates!$B$29/$BG266+$BB266*Templates!$B$30/$BH266+$BC266*Templates!$B$31/$BI266)/Templates!$B$17)</f>
        <v/>
      </c>
      <c r="BK266" s="18">
        <f>IF(OR($A266="",$BD266=0),0,($AY266*Templates!$C$27/$BE266+$AZ266*Templates!$C$28/$BF266+$BA266*Templates!$C$29/$BG266+$BB266*Templates!$C$30/$BH266+$BC266*Templates!$C$31/$BI266)/Templates!$B$18)</f>
        <v/>
      </c>
      <c r="BL266" s="18">
        <f>IF(OR($A266="",$BD266=0),0,($AY266*Templates!$D$27/$BE266+$AZ266*Templates!$D$28/$BF266+$BA266*Templates!$D$29/$BG266+$BB266*Templates!$D$30/$BH266+$BC266*Templates!$D$31/$BI266)/Templates!$B$19)</f>
        <v/>
      </c>
      <c r="BM266" s="18">
        <f>IF(OR($A266="",$BD266=0),0,($AY266*Templates!$E$27/$BE266+$AZ266*Templates!$E$28/$BF266+$BA266*Templates!$E$29/$BG266+$BB266*Templates!$E$30/$BH266+$BC266*Templates!$E$31/$BI266)/Templates!$B$20)</f>
        <v/>
      </c>
      <c r="BN266" s="18">
        <f>IF(OR($A266="",$BD266=0),0,($AY266*Templates!$F$27/$BE266+$AZ266*Templates!$F$28/$BF266+$BA266*Templates!$F$29/$BG266+$BB266*Templates!$F$30/$BH266+$BC266*Templates!$F$31/$BI266)/Templates!$B$21)</f>
        <v/>
      </c>
      <c r="BO266" s="18">
        <f>IF(OR($A266="",$BD266=0),0,($AY266*Templates!$G$27/$BE266+$AZ266*Templates!$G$28/$BF266+$BA266*Templates!$G$29/$BG266+$BB266*Templates!$G$30/$BH266+$BC266*Templates!$G$31/$BI266)/Templates!$B$22)</f>
        <v/>
      </c>
      <c r="BP266" s="18">
        <f>IF(OR($A266="",$BD266=0),0,($AY266*Templates!$H$27/$BE266+$AZ266*Templates!$H$28/$BF266+$BA266*Templates!$H$29/$BG266+$BB266*Templates!$H$30/$BH266+$BC266*Templates!$H$31/$BI266)/Templates!$B$23)</f>
        <v/>
      </c>
    </row>
    <row r="267">
      <c r="A267" s="28" t="inlineStr">
        <is>
          <t>Metro_1</t>
        </is>
      </c>
      <c r="B267" s="20" t="inlineStr">
        <is>
          <t>Scutum Group</t>
        </is>
      </c>
      <c r="C267" s="28" t="inlineStr">
        <is>
          <t>Scutum Group</t>
        </is>
      </c>
      <c r="D267" s="28" t="inlineStr"/>
      <c r="E267" s="28" t="inlineStr">
        <is>
          <t>No</t>
        </is>
      </c>
      <c r="F267" s="28" t="inlineStr">
        <is>
          <t>Proposal</t>
        </is>
      </c>
      <c r="G267" s="38" t="n"/>
      <c r="H267" s="43" t="n">
        <v>0.5</v>
      </c>
      <c r="I267" s="39" t="n"/>
      <c r="J267" s="39" t="n"/>
      <c r="K267" s="31" t="n"/>
      <c r="L267" s="31" t="n"/>
      <c r="M267" s="31" t="n"/>
      <c r="N267" s="31" t="n"/>
      <c r="O267" s="31" t="n"/>
      <c r="P267" s="31" t="n"/>
      <c r="Q267" s="23">
        <f>IF($A267="","",COUNTIFS(Assignments!$C$2:$C$769,$A267,Assignments!$G$2:$G$769,"Active"))</f>
        <v/>
      </c>
      <c r="R267" s="32">
        <f>IF($A267="","",SUMIFS(Assignments!$I$2:$I$769,Assignments!$C$2:$C$769,$A267,Assignments!$G$2:$G$769,"Active"))</f>
        <v/>
      </c>
      <c r="S267" s="20" t="inlineStr">
        <is>
          <t>Proposal</t>
        </is>
      </c>
      <c r="T267" s="31" t="n"/>
      <c r="U267" s="38" t="n"/>
      <c r="V267" s="34">
        <f>IF($U267="","",IFERROR(INDEX(Templates!$K$3:$K$10,MATCH($U267,Templates!$A$3:$A$10,0)),""))</f>
        <v/>
      </c>
      <c r="W267" s="34">
        <f>IF($U267="","",IFERROR(INDEX(Templates!$L$3:$L$10,MATCH($U267,Templates!$A$3:$A$10,0)),""))</f>
        <v/>
      </c>
      <c r="X267" s="21">
        <f>IF($U267="","",IFERROR(INDEX(Templates!$J$3:$J$10,MATCH($U267,Templates!$A$3:$A$10,0)),""))</f>
        <v/>
      </c>
      <c r="Y267" s="35">
        <f>IF(OR($U267="",$I267="",$J267="",$X267=""),"",$I267+$X267*($J267-$I267))</f>
        <v/>
      </c>
      <c r="Z267" s="30" t="n">
        <v>46212</v>
      </c>
      <c r="AA267" s="40" t="n"/>
      <c r="AB267" s="41" t="n"/>
      <c r="AC267" s="41" t="n"/>
      <c r="AD267" s="19">
        <f>IF($A267="","",IF($AA267="",$H267,$AA267))</f>
        <v/>
      </c>
      <c r="AE267" s="35">
        <f>IF($A267="","",IF($AB267="",$I267,$AB267))</f>
        <v/>
      </c>
      <c r="AF267" s="35">
        <f>IF($A267="","",IF($AC267="",$J267,$AC267))</f>
        <v/>
      </c>
      <c r="AG267" s="35">
        <f>IF(OR($U267="",$AE267="",$AF267="",$X267=""),"",$AE267+$X267*($AF267-$AE267))</f>
        <v/>
      </c>
      <c r="AH267" s="38" t="n"/>
      <c r="AI267" s="38" t="n"/>
      <c r="AJ267" s="38" t="n"/>
      <c r="AK267" s="38" t="n"/>
      <c r="AL267" s="38" t="n"/>
      <c r="AM267" s="38" t="n"/>
      <c r="AN267" s="38" t="n"/>
      <c r="AO267" s="38" t="n"/>
      <c r="AP267" s="38" t="n"/>
      <c r="AQ267" s="38" t="n"/>
      <c r="AR267" s="38" t="n"/>
      <c r="AS267" s="38" t="n"/>
      <c r="AT267" s="38" t="n"/>
      <c r="AU267" s="38" t="n"/>
      <c r="AV267" s="38" t="n"/>
      <c r="AW267" s="38" t="n"/>
      <c r="AX267" s="38" t="n"/>
      <c r="AY267" s="42" t="n"/>
      <c r="AZ267" s="42" t="n"/>
      <c r="BA267" s="42" t="n"/>
      <c r="BB267" s="42" t="n"/>
      <c r="BC267" s="42" t="n"/>
      <c r="BD267" s="37">
        <f>IF($A267="","",SUM($AY267:$BC267))</f>
        <v/>
      </c>
      <c r="BE267" s="18">
        <f>IF($A267="","",IF(AND($I267&lt;&gt;"",$J267&lt;&gt;""),MAX(1,($J267-$I267)/7),Templates!$B$35))</f>
        <v/>
      </c>
      <c r="BF267" s="18">
        <f>IF($A267="","",IF(AND($I267&lt;&gt;"",$J267&lt;&gt;""),MAX(1,($J267-$I267)/7),Templates!$B$36))</f>
        <v/>
      </c>
      <c r="BG267" s="18">
        <f>IF($A267="","",IF(AND($I267&lt;&gt;"",$J267&lt;&gt;""),MAX(1,($J267-$I267)/7),Templates!$B$37))</f>
        <v/>
      </c>
      <c r="BH267" s="18">
        <f>IF($A267="","",IF(AND($I267&lt;&gt;"",$J267&lt;&gt;""),MAX(1,($J267-$I267)/7),Templates!$B$38))</f>
        <v/>
      </c>
      <c r="BI267" s="18">
        <f>IF($A267="","",IF(AND($I267&lt;&gt;"",$J267&lt;&gt;""),MAX(1,($J267-$I267)/7),Templates!$B$39))</f>
        <v/>
      </c>
      <c r="BJ267" s="18">
        <f>IF(OR($A267="",$BD267=0),0,($AY267*Templates!$B$27/$BE267+$AZ267*Templates!$B$28/$BF267+$BA267*Templates!$B$29/$BG267+$BB267*Templates!$B$30/$BH267+$BC267*Templates!$B$31/$BI267)/Templates!$B$17)</f>
        <v/>
      </c>
      <c r="BK267" s="18">
        <f>IF(OR($A267="",$BD267=0),0,($AY267*Templates!$C$27/$BE267+$AZ267*Templates!$C$28/$BF267+$BA267*Templates!$C$29/$BG267+$BB267*Templates!$C$30/$BH267+$BC267*Templates!$C$31/$BI267)/Templates!$B$18)</f>
        <v/>
      </c>
      <c r="BL267" s="18">
        <f>IF(OR($A267="",$BD267=0),0,($AY267*Templates!$D$27/$BE267+$AZ267*Templates!$D$28/$BF267+$BA267*Templates!$D$29/$BG267+$BB267*Templates!$D$30/$BH267+$BC267*Templates!$D$31/$BI267)/Templates!$B$19)</f>
        <v/>
      </c>
      <c r="BM267" s="18">
        <f>IF(OR($A267="",$BD267=0),0,($AY267*Templates!$E$27/$BE267+$AZ267*Templates!$E$28/$BF267+$BA267*Templates!$E$29/$BG267+$BB267*Templates!$E$30/$BH267+$BC267*Templates!$E$31/$BI267)/Templates!$B$20)</f>
        <v/>
      </c>
      <c r="BN267" s="18">
        <f>IF(OR($A267="",$BD267=0),0,($AY267*Templates!$F$27/$BE267+$AZ267*Templates!$F$28/$BF267+$BA267*Templates!$F$29/$BG267+$BB267*Templates!$F$30/$BH267+$BC267*Templates!$F$31/$BI267)/Templates!$B$21)</f>
        <v/>
      </c>
      <c r="BO267" s="18">
        <f>IF(OR($A267="",$BD267=0),0,($AY267*Templates!$G$27/$BE267+$AZ267*Templates!$G$28/$BF267+$BA267*Templates!$G$29/$BG267+$BB267*Templates!$G$30/$BH267+$BC267*Templates!$G$31/$BI267)/Templates!$B$22)</f>
        <v/>
      </c>
      <c r="BP267" s="18">
        <f>IF(OR($A267="",$BD267=0),0,($AY267*Templates!$H$27/$BE267+$AZ267*Templates!$H$28/$BF267+$BA267*Templates!$H$29/$BG267+$BB267*Templates!$H$30/$BH267+$BC267*Templates!$H$31/$BI267)/Templates!$B$23)</f>
        <v/>
      </c>
    </row>
    <row r="268">
      <c r="A268" s="28" t="inlineStr">
        <is>
          <t>Model_4</t>
        </is>
      </c>
      <c r="B268" s="20" t="inlineStr">
        <is>
          <t>Macquarie Group</t>
        </is>
      </c>
      <c r="C268" s="28" t="inlineStr">
        <is>
          <t>Macquarie Group</t>
        </is>
      </c>
      <c r="D268" s="28" t="inlineStr"/>
      <c r="E268" s="28" t="inlineStr">
        <is>
          <t>No</t>
        </is>
      </c>
      <c r="F268" s="28" t="inlineStr">
        <is>
          <t>Proposal</t>
        </is>
      </c>
      <c r="G268" s="38" t="n"/>
      <c r="H268" s="43" t="n">
        <v>0.5</v>
      </c>
      <c r="I268" s="39" t="n"/>
      <c r="J268" s="39" t="n"/>
      <c r="K268" s="31" t="n"/>
      <c r="L268" s="31" t="n"/>
      <c r="M268" s="31" t="n"/>
      <c r="N268" s="31" t="n"/>
      <c r="O268" s="31" t="n"/>
      <c r="P268" s="31" t="n"/>
      <c r="Q268" s="23">
        <f>IF($A268="","",COUNTIFS(Assignments!$C$2:$C$769,$A268,Assignments!$G$2:$G$769,"Active"))</f>
        <v/>
      </c>
      <c r="R268" s="32">
        <f>IF($A268="","",SUMIFS(Assignments!$I$2:$I$769,Assignments!$C$2:$C$769,$A268,Assignments!$G$2:$G$769,"Active"))</f>
        <v/>
      </c>
      <c r="S268" s="20" t="inlineStr">
        <is>
          <t>Proposal</t>
        </is>
      </c>
      <c r="T268" s="31" t="n"/>
      <c r="U268" s="38" t="n"/>
      <c r="V268" s="34">
        <f>IF($U268="","",IFERROR(INDEX(Templates!$K$3:$K$10,MATCH($U268,Templates!$A$3:$A$10,0)),""))</f>
        <v/>
      </c>
      <c r="W268" s="34">
        <f>IF($U268="","",IFERROR(INDEX(Templates!$L$3:$L$10,MATCH($U268,Templates!$A$3:$A$10,0)),""))</f>
        <v/>
      </c>
      <c r="X268" s="21">
        <f>IF($U268="","",IFERROR(INDEX(Templates!$J$3:$J$10,MATCH($U268,Templates!$A$3:$A$10,0)),""))</f>
        <v/>
      </c>
      <c r="Y268" s="35">
        <f>IF(OR($U268="",$I268="",$J268="",$X268=""),"",$I268+$X268*($J268-$I268))</f>
        <v/>
      </c>
      <c r="Z268" s="30" t="n">
        <v>46212</v>
      </c>
      <c r="AA268" s="40" t="n"/>
      <c r="AB268" s="41" t="n"/>
      <c r="AC268" s="41" t="n"/>
      <c r="AD268" s="19">
        <f>IF($A268="","",IF($AA268="",$H268,$AA268))</f>
        <v/>
      </c>
      <c r="AE268" s="35">
        <f>IF($A268="","",IF($AB268="",$I268,$AB268))</f>
        <v/>
      </c>
      <c r="AF268" s="35">
        <f>IF($A268="","",IF($AC268="",$J268,$AC268))</f>
        <v/>
      </c>
      <c r="AG268" s="35">
        <f>IF(OR($U268="",$AE268="",$AF268="",$X268=""),"",$AE268+$X268*($AF268-$AE268))</f>
        <v/>
      </c>
      <c r="AH268" s="38" t="n"/>
      <c r="AI268" s="38" t="n"/>
      <c r="AJ268" s="38" t="n"/>
      <c r="AK268" s="38" t="n"/>
      <c r="AL268" s="38" t="n"/>
      <c r="AM268" s="38" t="n"/>
      <c r="AN268" s="38" t="n"/>
      <c r="AO268" s="38" t="n"/>
      <c r="AP268" s="38" t="n"/>
      <c r="AQ268" s="38" t="n"/>
      <c r="AR268" s="38" t="n"/>
      <c r="AS268" s="38" t="n"/>
      <c r="AT268" s="38" t="n"/>
      <c r="AU268" s="38" t="n"/>
      <c r="AV268" s="38" t="n"/>
      <c r="AW268" s="38" t="n"/>
      <c r="AX268" s="38" t="n"/>
      <c r="AY268" s="42" t="n"/>
      <c r="AZ268" s="42" t="n"/>
      <c r="BA268" s="42" t="n"/>
      <c r="BB268" s="42" t="n"/>
      <c r="BC268" s="42" t="n"/>
      <c r="BD268" s="37">
        <f>IF($A268="","",SUM($AY268:$BC268))</f>
        <v/>
      </c>
      <c r="BE268" s="18">
        <f>IF($A268="","",IF(AND($I268&lt;&gt;"",$J268&lt;&gt;""),MAX(1,($J268-$I268)/7),Templates!$B$35))</f>
        <v/>
      </c>
      <c r="BF268" s="18">
        <f>IF($A268="","",IF(AND($I268&lt;&gt;"",$J268&lt;&gt;""),MAX(1,($J268-$I268)/7),Templates!$B$36))</f>
        <v/>
      </c>
      <c r="BG268" s="18">
        <f>IF($A268="","",IF(AND($I268&lt;&gt;"",$J268&lt;&gt;""),MAX(1,($J268-$I268)/7),Templates!$B$37))</f>
        <v/>
      </c>
      <c r="BH268" s="18">
        <f>IF($A268="","",IF(AND($I268&lt;&gt;"",$J268&lt;&gt;""),MAX(1,($J268-$I268)/7),Templates!$B$38))</f>
        <v/>
      </c>
      <c r="BI268" s="18">
        <f>IF($A268="","",IF(AND($I268&lt;&gt;"",$J268&lt;&gt;""),MAX(1,($J268-$I268)/7),Templates!$B$39))</f>
        <v/>
      </c>
      <c r="BJ268" s="18">
        <f>IF(OR($A268="",$BD268=0),0,($AY268*Templates!$B$27/$BE268+$AZ268*Templates!$B$28/$BF268+$BA268*Templates!$B$29/$BG268+$BB268*Templates!$B$30/$BH268+$BC268*Templates!$B$31/$BI268)/Templates!$B$17)</f>
        <v/>
      </c>
      <c r="BK268" s="18">
        <f>IF(OR($A268="",$BD268=0),0,($AY268*Templates!$C$27/$BE268+$AZ268*Templates!$C$28/$BF268+$BA268*Templates!$C$29/$BG268+$BB268*Templates!$C$30/$BH268+$BC268*Templates!$C$31/$BI268)/Templates!$B$18)</f>
        <v/>
      </c>
      <c r="BL268" s="18">
        <f>IF(OR($A268="",$BD268=0),0,($AY268*Templates!$D$27/$BE268+$AZ268*Templates!$D$28/$BF268+$BA268*Templates!$D$29/$BG268+$BB268*Templates!$D$30/$BH268+$BC268*Templates!$D$31/$BI268)/Templates!$B$19)</f>
        <v/>
      </c>
      <c r="BM268" s="18">
        <f>IF(OR($A268="",$BD268=0),0,($AY268*Templates!$E$27/$BE268+$AZ268*Templates!$E$28/$BF268+$BA268*Templates!$E$29/$BG268+$BB268*Templates!$E$30/$BH268+$BC268*Templates!$E$31/$BI268)/Templates!$B$20)</f>
        <v/>
      </c>
      <c r="BN268" s="18">
        <f>IF(OR($A268="",$BD268=0),0,($AY268*Templates!$F$27/$BE268+$AZ268*Templates!$F$28/$BF268+$BA268*Templates!$F$29/$BG268+$BB268*Templates!$F$30/$BH268+$BC268*Templates!$F$31/$BI268)/Templates!$B$21)</f>
        <v/>
      </c>
      <c r="BO268" s="18">
        <f>IF(OR($A268="",$BD268=0),0,($AY268*Templates!$G$27/$BE268+$AZ268*Templates!$G$28/$BF268+$BA268*Templates!$G$29/$BG268+$BB268*Templates!$G$30/$BH268+$BC268*Templates!$G$31/$BI268)/Templates!$B$22)</f>
        <v/>
      </c>
      <c r="BP268" s="18">
        <f>IF(OR($A268="",$BD268=0),0,($AY268*Templates!$H$27/$BE268+$AZ268*Templates!$H$28/$BF268+$BA268*Templates!$H$29/$BG268+$BB268*Templates!$H$30/$BH268+$BC268*Templates!$H$31/$BI268)/Templates!$B$23)</f>
        <v/>
      </c>
    </row>
    <row r="269">
      <c r="A269" s="28" t="inlineStr">
        <is>
          <t>Nemrut_1</t>
        </is>
      </c>
      <c r="B269" s="20" t="inlineStr">
        <is>
          <t>Davidson Kempner Capital Management</t>
        </is>
      </c>
      <c r="C269" s="28" t="inlineStr">
        <is>
          <t>Davidson Kempner Capital Management</t>
        </is>
      </c>
      <c r="D269" s="28" t="inlineStr"/>
      <c r="E269" s="28" t="inlineStr">
        <is>
          <t>No</t>
        </is>
      </c>
      <c r="F269" s="28" t="inlineStr">
        <is>
          <t>Proposal</t>
        </is>
      </c>
      <c r="G269" s="38" t="n"/>
      <c r="H269" s="43" t="n">
        <v>0.5</v>
      </c>
      <c r="I269" s="39" t="n"/>
      <c r="J269" s="39" t="n"/>
      <c r="K269" s="31" t="n"/>
      <c r="L269" s="31" t="n"/>
      <c r="M269" s="31" t="n"/>
      <c r="N269" s="31" t="n"/>
      <c r="O269" s="31" t="n"/>
      <c r="P269" s="31" t="n"/>
      <c r="Q269" s="23">
        <f>IF($A269="","",COUNTIFS(Assignments!$C$2:$C$769,$A269,Assignments!$G$2:$G$769,"Active"))</f>
        <v/>
      </c>
      <c r="R269" s="32">
        <f>IF($A269="","",SUMIFS(Assignments!$I$2:$I$769,Assignments!$C$2:$C$769,$A269,Assignments!$G$2:$G$769,"Active"))</f>
        <v/>
      </c>
      <c r="S269" s="20" t="inlineStr">
        <is>
          <t>Proposal</t>
        </is>
      </c>
      <c r="T269" s="31" t="n"/>
      <c r="U269" s="38" t="n"/>
      <c r="V269" s="34">
        <f>IF($U269="","",IFERROR(INDEX(Templates!$K$3:$K$10,MATCH($U269,Templates!$A$3:$A$10,0)),""))</f>
        <v/>
      </c>
      <c r="W269" s="34">
        <f>IF($U269="","",IFERROR(INDEX(Templates!$L$3:$L$10,MATCH($U269,Templates!$A$3:$A$10,0)),""))</f>
        <v/>
      </c>
      <c r="X269" s="21">
        <f>IF($U269="","",IFERROR(INDEX(Templates!$J$3:$J$10,MATCH($U269,Templates!$A$3:$A$10,0)),""))</f>
        <v/>
      </c>
      <c r="Y269" s="35">
        <f>IF(OR($U269="",$I269="",$J269="",$X269=""),"",$I269+$X269*($J269-$I269))</f>
        <v/>
      </c>
      <c r="Z269" s="30" t="n">
        <v>46212</v>
      </c>
      <c r="AA269" s="40" t="n"/>
      <c r="AB269" s="41" t="n"/>
      <c r="AC269" s="41" t="n"/>
      <c r="AD269" s="19">
        <f>IF($A269="","",IF($AA269="",$H269,$AA269))</f>
        <v/>
      </c>
      <c r="AE269" s="35">
        <f>IF($A269="","",IF($AB269="",$I269,$AB269))</f>
        <v/>
      </c>
      <c r="AF269" s="35">
        <f>IF($A269="","",IF($AC269="",$J269,$AC269))</f>
        <v/>
      </c>
      <c r="AG269" s="35">
        <f>IF(OR($U269="",$AE269="",$AF269="",$X269=""),"",$AE269+$X269*($AF269-$AE269))</f>
        <v/>
      </c>
      <c r="AH269" s="38" t="n"/>
      <c r="AI269" s="38" t="n"/>
      <c r="AJ269" s="38" t="n"/>
      <c r="AK269" s="38" t="n"/>
      <c r="AL269" s="38" t="n"/>
      <c r="AM269" s="38" t="n"/>
      <c r="AN269" s="38" t="n"/>
      <c r="AO269" s="38" t="n"/>
      <c r="AP269" s="38" t="n"/>
      <c r="AQ269" s="38" t="n"/>
      <c r="AR269" s="38" t="n"/>
      <c r="AS269" s="38" t="n"/>
      <c r="AT269" s="38" t="n"/>
      <c r="AU269" s="38" t="n"/>
      <c r="AV269" s="38" t="n"/>
      <c r="AW269" s="38" t="n"/>
      <c r="AX269" s="38" t="n"/>
      <c r="AY269" s="42" t="n"/>
      <c r="AZ269" s="42" t="n"/>
      <c r="BA269" s="42" t="n"/>
      <c r="BB269" s="42" t="n"/>
      <c r="BC269" s="42" t="n"/>
      <c r="BD269" s="37">
        <f>IF($A269="","",SUM($AY269:$BC269))</f>
        <v/>
      </c>
      <c r="BE269" s="18">
        <f>IF($A269="","",IF(AND($I269&lt;&gt;"",$J269&lt;&gt;""),MAX(1,($J269-$I269)/7),Templates!$B$35))</f>
        <v/>
      </c>
      <c r="BF269" s="18">
        <f>IF($A269="","",IF(AND($I269&lt;&gt;"",$J269&lt;&gt;""),MAX(1,($J269-$I269)/7),Templates!$B$36))</f>
        <v/>
      </c>
      <c r="BG269" s="18">
        <f>IF($A269="","",IF(AND($I269&lt;&gt;"",$J269&lt;&gt;""),MAX(1,($J269-$I269)/7),Templates!$B$37))</f>
        <v/>
      </c>
      <c r="BH269" s="18">
        <f>IF($A269="","",IF(AND($I269&lt;&gt;"",$J269&lt;&gt;""),MAX(1,($J269-$I269)/7),Templates!$B$38))</f>
        <v/>
      </c>
      <c r="BI269" s="18">
        <f>IF($A269="","",IF(AND($I269&lt;&gt;"",$J269&lt;&gt;""),MAX(1,($J269-$I269)/7),Templates!$B$39))</f>
        <v/>
      </c>
      <c r="BJ269" s="18">
        <f>IF(OR($A269="",$BD269=0),0,($AY269*Templates!$B$27/$BE269+$AZ269*Templates!$B$28/$BF269+$BA269*Templates!$B$29/$BG269+$BB269*Templates!$B$30/$BH269+$BC269*Templates!$B$31/$BI269)/Templates!$B$17)</f>
        <v/>
      </c>
      <c r="BK269" s="18">
        <f>IF(OR($A269="",$BD269=0),0,($AY269*Templates!$C$27/$BE269+$AZ269*Templates!$C$28/$BF269+$BA269*Templates!$C$29/$BG269+$BB269*Templates!$C$30/$BH269+$BC269*Templates!$C$31/$BI269)/Templates!$B$18)</f>
        <v/>
      </c>
      <c r="BL269" s="18">
        <f>IF(OR($A269="",$BD269=0),0,($AY269*Templates!$D$27/$BE269+$AZ269*Templates!$D$28/$BF269+$BA269*Templates!$D$29/$BG269+$BB269*Templates!$D$30/$BH269+$BC269*Templates!$D$31/$BI269)/Templates!$B$19)</f>
        <v/>
      </c>
      <c r="BM269" s="18">
        <f>IF(OR($A269="",$BD269=0),0,($AY269*Templates!$E$27/$BE269+$AZ269*Templates!$E$28/$BF269+$BA269*Templates!$E$29/$BG269+$BB269*Templates!$E$30/$BH269+$BC269*Templates!$E$31/$BI269)/Templates!$B$20)</f>
        <v/>
      </c>
      <c r="BN269" s="18">
        <f>IF(OR($A269="",$BD269=0),0,($AY269*Templates!$F$27/$BE269+$AZ269*Templates!$F$28/$BF269+$BA269*Templates!$F$29/$BG269+$BB269*Templates!$F$30/$BH269+$BC269*Templates!$F$31/$BI269)/Templates!$B$21)</f>
        <v/>
      </c>
      <c r="BO269" s="18">
        <f>IF(OR($A269="",$BD269=0),0,($AY269*Templates!$G$27/$BE269+$AZ269*Templates!$G$28/$BF269+$BA269*Templates!$G$29/$BG269+$BB269*Templates!$G$30/$BH269+$BC269*Templates!$G$31/$BI269)/Templates!$B$22)</f>
        <v/>
      </c>
      <c r="BP269" s="18">
        <f>IF(OR($A269="",$BD269=0),0,($AY269*Templates!$H$27/$BE269+$AZ269*Templates!$H$28/$BF269+$BA269*Templates!$H$29/$BG269+$BB269*Templates!$H$30/$BH269+$BC269*Templates!$H$31/$BI269)/Templates!$B$23)</f>
        <v/>
      </c>
    </row>
    <row r="270">
      <c r="A270" s="28" t="inlineStr">
        <is>
          <t>Oasis_2</t>
        </is>
      </c>
      <c r="B270" s="20" t="inlineStr">
        <is>
          <t>Manulife : John Hancock</t>
        </is>
      </c>
      <c r="C270" s="28" t="inlineStr">
        <is>
          <t>Manulife</t>
        </is>
      </c>
      <c r="D270" s="28" t="inlineStr">
        <is>
          <t>John Hancock</t>
        </is>
      </c>
      <c r="E270" s="28" t="inlineStr">
        <is>
          <t>No</t>
        </is>
      </c>
      <c r="F270" s="28" t="inlineStr">
        <is>
          <t>Proposal</t>
        </is>
      </c>
      <c r="G270" s="38" t="n"/>
      <c r="H270" s="43" t="n">
        <v>0.5</v>
      </c>
      <c r="I270" s="39" t="n"/>
      <c r="J270" s="39" t="n"/>
      <c r="K270" s="31" t="n"/>
      <c r="L270" s="31" t="n"/>
      <c r="M270" s="31" t="n"/>
      <c r="N270" s="31" t="n"/>
      <c r="O270" s="31" t="n"/>
      <c r="P270" s="31" t="n"/>
      <c r="Q270" s="23">
        <f>IF($A270="","",COUNTIFS(Assignments!$C$2:$C$769,$A270,Assignments!$G$2:$G$769,"Active"))</f>
        <v/>
      </c>
      <c r="R270" s="32">
        <f>IF($A270="","",SUMIFS(Assignments!$I$2:$I$769,Assignments!$C$2:$C$769,$A270,Assignments!$G$2:$G$769,"Active"))</f>
        <v/>
      </c>
      <c r="S270" s="20" t="inlineStr">
        <is>
          <t>Proposal</t>
        </is>
      </c>
      <c r="T270" s="31" t="n"/>
      <c r="U270" s="38" t="n"/>
      <c r="V270" s="34">
        <f>IF($U270="","",IFERROR(INDEX(Templates!$K$3:$K$10,MATCH($U270,Templates!$A$3:$A$10,0)),""))</f>
        <v/>
      </c>
      <c r="W270" s="34">
        <f>IF($U270="","",IFERROR(INDEX(Templates!$L$3:$L$10,MATCH($U270,Templates!$A$3:$A$10,0)),""))</f>
        <v/>
      </c>
      <c r="X270" s="21">
        <f>IF($U270="","",IFERROR(INDEX(Templates!$J$3:$J$10,MATCH($U270,Templates!$A$3:$A$10,0)),""))</f>
        <v/>
      </c>
      <c r="Y270" s="35">
        <f>IF(OR($U270="",$I270="",$J270="",$X270=""),"",$I270+$X270*($J270-$I270))</f>
        <v/>
      </c>
      <c r="Z270" s="30" t="n">
        <v>46212</v>
      </c>
      <c r="AA270" s="40" t="n"/>
      <c r="AB270" s="41" t="n"/>
      <c r="AC270" s="41" t="n"/>
      <c r="AD270" s="19">
        <f>IF($A270="","",IF($AA270="",$H270,$AA270))</f>
        <v/>
      </c>
      <c r="AE270" s="35">
        <f>IF($A270="","",IF($AB270="",$I270,$AB270))</f>
        <v/>
      </c>
      <c r="AF270" s="35">
        <f>IF($A270="","",IF($AC270="",$J270,$AC270))</f>
        <v/>
      </c>
      <c r="AG270" s="35">
        <f>IF(OR($U270="",$AE270="",$AF270="",$X270=""),"",$AE270+$X270*($AF270-$AE270))</f>
        <v/>
      </c>
      <c r="AH270" s="38" t="n"/>
      <c r="AI270" s="38" t="n"/>
      <c r="AJ270" s="38" t="n"/>
      <c r="AK270" s="38" t="n"/>
      <c r="AL270" s="38" t="n"/>
      <c r="AM270" s="38" t="n"/>
      <c r="AN270" s="38" t="n"/>
      <c r="AO270" s="38" t="n"/>
      <c r="AP270" s="38" t="n"/>
      <c r="AQ270" s="38" t="n"/>
      <c r="AR270" s="38" t="n"/>
      <c r="AS270" s="38" t="n"/>
      <c r="AT270" s="38" t="n"/>
      <c r="AU270" s="38" t="n"/>
      <c r="AV270" s="38" t="n"/>
      <c r="AW270" s="38" t="n"/>
      <c r="AX270" s="38" t="n"/>
      <c r="AY270" s="42" t="n"/>
      <c r="AZ270" s="42" t="n"/>
      <c r="BA270" s="42" t="n"/>
      <c r="BB270" s="42" t="n"/>
      <c r="BC270" s="42" t="n"/>
      <c r="BD270" s="37">
        <f>IF($A270="","",SUM($AY270:$BC270))</f>
        <v/>
      </c>
      <c r="BE270" s="18">
        <f>IF($A270="","",IF(AND($I270&lt;&gt;"",$J270&lt;&gt;""),MAX(1,($J270-$I270)/7),Templates!$B$35))</f>
        <v/>
      </c>
      <c r="BF270" s="18">
        <f>IF($A270="","",IF(AND($I270&lt;&gt;"",$J270&lt;&gt;""),MAX(1,($J270-$I270)/7),Templates!$B$36))</f>
        <v/>
      </c>
      <c r="BG270" s="18">
        <f>IF($A270="","",IF(AND($I270&lt;&gt;"",$J270&lt;&gt;""),MAX(1,($J270-$I270)/7),Templates!$B$37))</f>
        <v/>
      </c>
      <c r="BH270" s="18">
        <f>IF($A270="","",IF(AND($I270&lt;&gt;"",$J270&lt;&gt;""),MAX(1,($J270-$I270)/7),Templates!$B$38))</f>
        <v/>
      </c>
      <c r="BI270" s="18">
        <f>IF($A270="","",IF(AND($I270&lt;&gt;"",$J270&lt;&gt;""),MAX(1,($J270-$I270)/7),Templates!$B$39))</f>
        <v/>
      </c>
      <c r="BJ270" s="18">
        <f>IF(OR($A270="",$BD270=0),0,($AY270*Templates!$B$27/$BE270+$AZ270*Templates!$B$28/$BF270+$BA270*Templates!$B$29/$BG270+$BB270*Templates!$B$30/$BH270+$BC270*Templates!$B$31/$BI270)/Templates!$B$17)</f>
        <v/>
      </c>
      <c r="BK270" s="18">
        <f>IF(OR($A270="",$BD270=0),0,($AY270*Templates!$C$27/$BE270+$AZ270*Templates!$C$28/$BF270+$BA270*Templates!$C$29/$BG270+$BB270*Templates!$C$30/$BH270+$BC270*Templates!$C$31/$BI270)/Templates!$B$18)</f>
        <v/>
      </c>
      <c r="BL270" s="18">
        <f>IF(OR($A270="",$BD270=0),0,($AY270*Templates!$D$27/$BE270+$AZ270*Templates!$D$28/$BF270+$BA270*Templates!$D$29/$BG270+$BB270*Templates!$D$30/$BH270+$BC270*Templates!$D$31/$BI270)/Templates!$B$19)</f>
        <v/>
      </c>
      <c r="BM270" s="18">
        <f>IF(OR($A270="",$BD270=0),0,($AY270*Templates!$E$27/$BE270+$AZ270*Templates!$E$28/$BF270+$BA270*Templates!$E$29/$BG270+$BB270*Templates!$E$30/$BH270+$BC270*Templates!$E$31/$BI270)/Templates!$B$20)</f>
        <v/>
      </c>
      <c r="BN270" s="18">
        <f>IF(OR($A270="",$BD270=0),0,($AY270*Templates!$F$27/$BE270+$AZ270*Templates!$F$28/$BF270+$BA270*Templates!$F$29/$BG270+$BB270*Templates!$F$30/$BH270+$BC270*Templates!$F$31/$BI270)/Templates!$B$21)</f>
        <v/>
      </c>
      <c r="BO270" s="18">
        <f>IF(OR($A270="",$BD270=0),0,($AY270*Templates!$G$27/$BE270+$AZ270*Templates!$G$28/$BF270+$BA270*Templates!$G$29/$BG270+$BB270*Templates!$G$30/$BH270+$BC270*Templates!$G$31/$BI270)/Templates!$B$22)</f>
        <v/>
      </c>
      <c r="BP270" s="18">
        <f>IF(OR($A270="",$BD270=0),0,($AY270*Templates!$H$27/$BE270+$AZ270*Templates!$H$28/$BF270+$BA270*Templates!$H$29/$BG270+$BB270*Templates!$H$30/$BH270+$BC270*Templates!$H$31/$BI270)/Templates!$B$23)</f>
        <v/>
      </c>
    </row>
    <row r="271">
      <c r="A271" s="28" t="inlineStr">
        <is>
          <t>Offtake_1</t>
        </is>
      </c>
      <c r="B271" s="20" t="inlineStr">
        <is>
          <t>Kalos LLP</t>
        </is>
      </c>
      <c r="C271" s="28" t="inlineStr">
        <is>
          <t>Kalos LLP</t>
        </is>
      </c>
      <c r="D271" s="28" t="inlineStr"/>
      <c r="E271" s="28" t="inlineStr">
        <is>
          <t>No</t>
        </is>
      </c>
      <c r="F271" s="28" t="inlineStr">
        <is>
          <t>Proposal</t>
        </is>
      </c>
      <c r="G271" s="38" t="n"/>
      <c r="H271" s="43" t="n">
        <v>0.5</v>
      </c>
      <c r="I271" s="39" t="n"/>
      <c r="J271" s="39" t="n"/>
      <c r="K271" s="31" t="n"/>
      <c r="L271" s="31" t="n"/>
      <c r="M271" s="31" t="n"/>
      <c r="N271" s="31" t="n"/>
      <c r="O271" s="31" t="n"/>
      <c r="P271" s="31" t="n"/>
      <c r="Q271" s="23">
        <f>IF($A271="","",COUNTIFS(Assignments!$C$2:$C$769,$A271,Assignments!$G$2:$G$769,"Active"))</f>
        <v/>
      </c>
      <c r="R271" s="32">
        <f>IF($A271="","",SUMIFS(Assignments!$I$2:$I$769,Assignments!$C$2:$C$769,$A271,Assignments!$G$2:$G$769,"Active"))</f>
        <v/>
      </c>
      <c r="S271" s="20" t="inlineStr">
        <is>
          <t>Proposal</t>
        </is>
      </c>
      <c r="T271" s="31" t="n"/>
      <c r="U271" s="38" t="n"/>
      <c r="V271" s="34">
        <f>IF($U271="","",IFERROR(INDEX(Templates!$K$3:$K$10,MATCH($U271,Templates!$A$3:$A$10,0)),""))</f>
        <v/>
      </c>
      <c r="W271" s="34">
        <f>IF($U271="","",IFERROR(INDEX(Templates!$L$3:$L$10,MATCH($U271,Templates!$A$3:$A$10,0)),""))</f>
        <v/>
      </c>
      <c r="X271" s="21">
        <f>IF($U271="","",IFERROR(INDEX(Templates!$J$3:$J$10,MATCH($U271,Templates!$A$3:$A$10,0)),""))</f>
        <v/>
      </c>
      <c r="Y271" s="35">
        <f>IF(OR($U271="",$I271="",$J271="",$X271=""),"",$I271+$X271*($J271-$I271))</f>
        <v/>
      </c>
      <c r="Z271" s="30" t="n">
        <v>46212</v>
      </c>
      <c r="AA271" s="40" t="n"/>
      <c r="AB271" s="41" t="n"/>
      <c r="AC271" s="41" t="n"/>
      <c r="AD271" s="19">
        <f>IF($A271="","",IF($AA271="",$H271,$AA271))</f>
        <v/>
      </c>
      <c r="AE271" s="35">
        <f>IF($A271="","",IF($AB271="",$I271,$AB271))</f>
        <v/>
      </c>
      <c r="AF271" s="35">
        <f>IF($A271="","",IF($AC271="",$J271,$AC271))</f>
        <v/>
      </c>
      <c r="AG271" s="35">
        <f>IF(OR($U271="",$AE271="",$AF271="",$X271=""),"",$AE271+$X271*($AF271-$AE271))</f>
        <v/>
      </c>
      <c r="AH271" s="38" t="n"/>
      <c r="AI271" s="38" t="n"/>
      <c r="AJ271" s="38" t="n"/>
      <c r="AK271" s="38" t="n"/>
      <c r="AL271" s="38" t="n"/>
      <c r="AM271" s="38" t="n"/>
      <c r="AN271" s="38" t="n"/>
      <c r="AO271" s="38" t="n"/>
      <c r="AP271" s="38" t="n"/>
      <c r="AQ271" s="38" t="n"/>
      <c r="AR271" s="38" t="n"/>
      <c r="AS271" s="38" t="n"/>
      <c r="AT271" s="38" t="n"/>
      <c r="AU271" s="38" t="n"/>
      <c r="AV271" s="38" t="n"/>
      <c r="AW271" s="38" t="n"/>
      <c r="AX271" s="38" t="n"/>
      <c r="AY271" s="42" t="n"/>
      <c r="AZ271" s="42" t="n"/>
      <c r="BA271" s="42" t="n"/>
      <c r="BB271" s="42" t="n"/>
      <c r="BC271" s="42" t="n"/>
      <c r="BD271" s="37">
        <f>IF($A271="","",SUM($AY271:$BC271))</f>
        <v/>
      </c>
      <c r="BE271" s="18">
        <f>IF($A271="","",IF(AND($I271&lt;&gt;"",$J271&lt;&gt;""),MAX(1,($J271-$I271)/7),Templates!$B$35))</f>
        <v/>
      </c>
      <c r="BF271" s="18">
        <f>IF($A271="","",IF(AND($I271&lt;&gt;"",$J271&lt;&gt;""),MAX(1,($J271-$I271)/7),Templates!$B$36))</f>
        <v/>
      </c>
      <c r="BG271" s="18">
        <f>IF($A271="","",IF(AND($I271&lt;&gt;"",$J271&lt;&gt;""),MAX(1,($J271-$I271)/7),Templates!$B$37))</f>
        <v/>
      </c>
      <c r="BH271" s="18">
        <f>IF($A271="","",IF(AND($I271&lt;&gt;"",$J271&lt;&gt;""),MAX(1,($J271-$I271)/7),Templates!$B$38))</f>
        <v/>
      </c>
      <c r="BI271" s="18">
        <f>IF($A271="","",IF(AND($I271&lt;&gt;"",$J271&lt;&gt;""),MAX(1,($J271-$I271)/7),Templates!$B$39))</f>
        <v/>
      </c>
      <c r="BJ271" s="18">
        <f>IF(OR($A271="",$BD271=0),0,($AY271*Templates!$B$27/$BE271+$AZ271*Templates!$B$28/$BF271+$BA271*Templates!$B$29/$BG271+$BB271*Templates!$B$30/$BH271+$BC271*Templates!$B$31/$BI271)/Templates!$B$17)</f>
        <v/>
      </c>
      <c r="BK271" s="18">
        <f>IF(OR($A271="",$BD271=0),0,($AY271*Templates!$C$27/$BE271+$AZ271*Templates!$C$28/$BF271+$BA271*Templates!$C$29/$BG271+$BB271*Templates!$C$30/$BH271+$BC271*Templates!$C$31/$BI271)/Templates!$B$18)</f>
        <v/>
      </c>
      <c r="BL271" s="18">
        <f>IF(OR($A271="",$BD271=0),0,($AY271*Templates!$D$27/$BE271+$AZ271*Templates!$D$28/$BF271+$BA271*Templates!$D$29/$BG271+$BB271*Templates!$D$30/$BH271+$BC271*Templates!$D$31/$BI271)/Templates!$B$19)</f>
        <v/>
      </c>
      <c r="BM271" s="18">
        <f>IF(OR($A271="",$BD271=0),0,($AY271*Templates!$E$27/$BE271+$AZ271*Templates!$E$28/$BF271+$BA271*Templates!$E$29/$BG271+$BB271*Templates!$E$30/$BH271+$BC271*Templates!$E$31/$BI271)/Templates!$B$20)</f>
        <v/>
      </c>
      <c r="BN271" s="18">
        <f>IF(OR($A271="",$BD271=0),0,($AY271*Templates!$F$27/$BE271+$AZ271*Templates!$F$28/$BF271+$BA271*Templates!$F$29/$BG271+$BB271*Templates!$F$30/$BH271+$BC271*Templates!$F$31/$BI271)/Templates!$B$21)</f>
        <v/>
      </c>
      <c r="BO271" s="18">
        <f>IF(OR($A271="",$BD271=0),0,($AY271*Templates!$G$27/$BE271+$AZ271*Templates!$G$28/$BF271+$BA271*Templates!$G$29/$BG271+$BB271*Templates!$G$30/$BH271+$BC271*Templates!$G$31/$BI271)/Templates!$B$22)</f>
        <v/>
      </c>
      <c r="BP271" s="18">
        <f>IF(OR($A271="",$BD271=0),0,($AY271*Templates!$H$27/$BE271+$AZ271*Templates!$H$28/$BF271+$BA271*Templates!$H$29/$BG271+$BB271*Templates!$H$30/$BH271+$BC271*Templates!$H$31/$BI271)/Templates!$B$23)</f>
        <v/>
      </c>
    </row>
    <row r="272">
      <c r="A272" s="28" t="inlineStr">
        <is>
          <t>Orange_4</t>
        </is>
      </c>
      <c r="B272" s="20" t="inlineStr">
        <is>
          <t>Ember Infrastructure</t>
        </is>
      </c>
      <c r="C272" s="28" t="inlineStr">
        <is>
          <t>Ember Infrastructure</t>
        </is>
      </c>
      <c r="D272" s="28" t="inlineStr"/>
      <c r="E272" s="28" t="inlineStr">
        <is>
          <t>No</t>
        </is>
      </c>
      <c r="F272" s="28" t="inlineStr">
        <is>
          <t>Proposal</t>
        </is>
      </c>
      <c r="G272" s="38" t="n"/>
      <c r="H272" s="43" t="n">
        <v>0.5</v>
      </c>
      <c r="I272" s="39" t="n"/>
      <c r="J272" s="39" t="n"/>
      <c r="K272" s="31" t="n"/>
      <c r="L272" s="31" t="n"/>
      <c r="M272" s="31" t="n"/>
      <c r="N272" s="31" t="n"/>
      <c r="O272" s="31" t="n"/>
      <c r="P272" s="31" t="n"/>
      <c r="Q272" s="23">
        <f>IF($A272="","",COUNTIFS(Assignments!$C$2:$C$769,$A272,Assignments!$G$2:$G$769,"Active"))</f>
        <v/>
      </c>
      <c r="R272" s="32">
        <f>IF($A272="","",SUMIFS(Assignments!$I$2:$I$769,Assignments!$C$2:$C$769,$A272,Assignments!$G$2:$G$769,"Active"))</f>
        <v/>
      </c>
      <c r="S272" s="20" t="inlineStr">
        <is>
          <t>Proposal</t>
        </is>
      </c>
      <c r="T272" s="31" t="n"/>
      <c r="U272" s="38" t="n"/>
      <c r="V272" s="34">
        <f>IF($U272="","",IFERROR(INDEX(Templates!$K$3:$K$10,MATCH($U272,Templates!$A$3:$A$10,0)),""))</f>
        <v/>
      </c>
      <c r="W272" s="34">
        <f>IF($U272="","",IFERROR(INDEX(Templates!$L$3:$L$10,MATCH($U272,Templates!$A$3:$A$10,0)),""))</f>
        <v/>
      </c>
      <c r="X272" s="21">
        <f>IF($U272="","",IFERROR(INDEX(Templates!$J$3:$J$10,MATCH($U272,Templates!$A$3:$A$10,0)),""))</f>
        <v/>
      </c>
      <c r="Y272" s="35">
        <f>IF(OR($U272="",$I272="",$J272="",$X272=""),"",$I272+$X272*($J272-$I272))</f>
        <v/>
      </c>
      <c r="Z272" s="30" t="n">
        <v>46212</v>
      </c>
      <c r="AA272" s="40" t="n"/>
      <c r="AB272" s="41" t="n"/>
      <c r="AC272" s="41" t="n"/>
      <c r="AD272" s="19">
        <f>IF($A272="","",IF($AA272="",$H272,$AA272))</f>
        <v/>
      </c>
      <c r="AE272" s="35">
        <f>IF($A272="","",IF($AB272="",$I272,$AB272))</f>
        <v/>
      </c>
      <c r="AF272" s="35">
        <f>IF($A272="","",IF($AC272="",$J272,$AC272))</f>
        <v/>
      </c>
      <c r="AG272" s="35">
        <f>IF(OR($U272="",$AE272="",$AF272="",$X272=""),"",$AE272+$X272*($AF272-$AE272))</f>
        <v/>
      </c>
      <c r="AH272" s="38" t="n"/>
      <c r="AI272" s="38" t="n"/>
      <c r="AJ272" s="38" t="n"/>
      <c r="AK272" s="38" t="n"/>
      <c r="AL272" s="38" t="n"/>
      <c r="AM272" s="38" t="n"/>
      <c r="AN272" s="38" t="n"/>
      <c r="AO272" s="38" t="n"/>
      <c r="AP272" s="38" t="n"/>
      <c r="AQ272" s="38" t="n"/>
      <c r="AR272" s="38" t="n"/>
      <c r="AS272" s="38" t="n"/>
      <c r="AT272" s="38" t="n"/>
      <c r="AU272" s="38" t="n"/>
      <c r="AV272" s="38" t="n"/>
      <c r="AW272" s="38" t="n"/>
      <c r="AX272" s="38" t="n"/>
      <c r="AY272" s="42" t="n"/>
      <c r="AZ272" s="42" t="n"/>
      <c r="BA272" s="42" t="n"/>
      <c r="BB272" s="42" t="n"/>
      <c r="BC272" s="42" t="n"/>
      <c r="BD272" s="37">
        <f>IF($A272="","",SUM($AY272:$BC272))</f>
        <v/>
      </c>
      <c r="BE272" s="18">
        <f>IF($A272="","",IF(AND($I272&lt;&gt;"",$J272&lt;&gt;""),MAX(1,($J272-$I272)/7),Templates!$B$35))</f>
        <v/>
      </c>
      <c r="BF272" s="18">
        <f>IF($A272="","",IF(AND($I272&lt;&gt;"",$J272&lt;&gt;""),MAX(1,($J272-$I272)/7),Templates!$B$36))</f>
        <v/>
      </c>
      <c r="BG272" s="18">
        <f>IF($A272="","",IF(AND($I272&lt;&gt;"",$J272&lt;&gt;""),MAX(1,($J272-$I272)/7),Templates!$B$37))</f>
        <v/>
      </c>
      <c r="BH272" s="18">
        <f>IF($A272="","",IF(AND($I272&lt;&gt;"",$J272&lt;&gt;""),MAX(1,($J272-$I272)/7),Templates!$B$38))</f>
        <v/>
      </c>
      <c r="BI272" s="18">
        <f>IF($A272="","",IF(AND($I272&lt;&gt;"",$J272&lt;&gt;""),MAX(1,($J272-$I272)/7),Templates!$B$39))</f>
        <v/>
      </c>
      <c r="BJ272" s="18">
        <f>IF(OR($A272="",$BD272=0),0,($AY272*Templates!$B$27/$BE272+$AZ272*Templates!$B$28/$BF272+$BA272*Templates!$B$29/$BG272+$BB272*Templates!$B$30/$BH272+$BC272*Templates!$B$31/$BI272)/Templates!$B$17)</f>
        <v/>
      </c>
      <c r="BK272" s="18">
        <f>IF(OR($A272="",$BD272=0),0,($AY272*Templates!$C$27/$BE272+$AZ272*Templates!$C$28/$BF272+$BA272*Templates!$C$29/$BG272+$BB272*Templates!$C$30/$BH272+$BC272*Templates!$C$31/$BI272)/Templates!$B$18)</f>
        <v/>
      </c>
      <c r="BL272" s="18">
        <f>IF(OR($A272="",$BD272=0),0,($AY272*Templates!$D$27/$BE272+$AZ272*Templates!$D$28/$BF272+$BA272*Templates!$D$29/$BG272+$BB272*Templates!$D$30/$BH272+$BC272*Templates!$D$31/$BI272)/Templates!$B$19)</f>
        <v/>
      </c>
      <c r="BM272" s="18">
        <f>IF(OR($A272="",$BD272=0),0,($AY272*Templates!$E$27/$BE272+$AZ272*Templates!$E$28/$BF272+$BA272*Templates!$E$29/$BG272+$BB272*Templates!$E$30/$BH272+$BC272*Templates!$E$31/$BI272)/Templates!$B$20)</f>
        <v/>
      </c>
      <c r="BN272" s="18">
        <f>IF(OR($A272="",$BD272=0),0,($AY272*Templates!$F$27/$BE272+$AZ272*Templates!$F$28/$BF272+$BA272*Templates!$F$29/$BG272+$BB272*Templates!$F$30/$BH272+$BC272*Templates!$F$31/$BI272)/Templates!$B$21)</f>
        <v/>
      </c>
      <c r="BO272" s="18">
        <f>IF(OR($A272="",$BD272=0),0,($AY272*Templates!$G$27/$BE272+$AZ272*Templates!$G$28/$BF272+$BA272*Templates!$G$29/$BG272+$BB272*Templates!$G$30/$BH272+$BC272*Templates!$G$31/$BI272)/Templates!$B$22)</f>
        <v/>
      </c>
      <c r="BP272" s="18">
        <f>IF(OR($A272="",$BD272=0),0,($AY272*Templates!$H$27/$BE272+$AZ272*Templates!$H$28/$BF272+$BA272*Templates!$H$29/$BG272+$BB272*Templates!$H$30/$BH272+$BC272*Templates!$H$31/$BI272)/Templates!$B$23)</f>
        <v/>
      </c>
    </row>
    <row r="273">
      <c r="A273" s="28" t="inlineStr">
        <is>
          <t>Palisade_1</t>
        </is>
      </c>
      <c r="B273" s="20" t="inlineStr">
        <is>
          <t>Certa</t>
        </is>
      </c>
      <c r="C273" s="28" t="inlineStr">
        <is>
          <t>Certa</t>
        </is>
      </c>
      <c r="D273" s="28" t="inlineStr"/>
      <c r="E273" s="28" t="inlineStr">
        <is>
          <t>No</t>
        </is>
      </c>
      <c r="F273" s="28" t="inlineStr">
        <is>
          <t>Proposal</t>
        </is>
      </c>
      <c r="G273" s="38" t="n"/>
      <c r="H273" s="43" t="n">
        <v>0.5</v>
      </c>
      <c r="I273" s="39" t="n"/>
      <c r="J273" s="39" t="n"/>
      <c r="K273" s="31" t="n"/>
      <c r="L273" s="31" t="n"/>
      <c r="M273" s="31" t="n"/>
      <c r="N273" s="31" t="n"/>
      <c r="O273" s="31" t="n"/>
      <c r="P273" s="31" t="n"/>
      <c r="Q273" s="23">
        <f>IF($A273="","",COUNTIFS(Assignments!$C$2:$C$769,$A273,Assignments!$G$2:$G$769,"Active"))</f>
        <v/>
      </c>
      <c r="R273" s="32">
        <f>IF($A273="","",SUMIFS(Assignments!$I$2:$I$769,Assignments!$C$2:$C$769,$A273,Assignments!$G$2:$G$769,"Active"))</f>
        <v/>
      </c>
      <c r="S273" s="20" t="inlineStr">
        <is>
          <t>Proposal</t>
        </is>
      </c>
      <c r="T273" s="31" t="n"/>
      <c r="U273" s="38" t="n"/>
      <c r="V273" s="34">
        <f>IF($U273="","",IFERROR(INDEX(Templates!$K$3:$K$10,MATCH($U273,Templates!$A$3:$A$10,0)),""))</f>
        <v/>
      </c>
      <c r="W273" s="34">
        <f>IF($U273="","",IFERROR(INDEX(Templates!$L$3:$L$10,MATCH($U273,Templates!$A$3:$A$10,0)),""))</f>
        <v/>
      </c>
      <c r="X273" s="21">
        <f>IF($U273="","",IFERROR(INDEX(Templates!$J$3:$J$10,MATCH($U273,Templates!$A$3:$A$10,0)),""))</f>
        <v/>
      </c>
      <c r="Y273" s="35">
        <f>IF(OR($U273="",$I273="",$J273="",$X273=""),"",$I273+$X273*($J273-$I273))</f>
        <v/>
      </c>
      <c r="Z273" s="30" t="n">
        <v>46212</v>
      </c>
      <c r="AA273" s="40" t="n"/>
      <c r="AB273" s="41" t="n"/>
      <c r="AC273" s="41" t="n"/>
      <c r="AD273" s="19">
        <f>IF($A273="","",IF($AA273="",$H273,$AA273))</f>
        <v/>
      </c>
      <c r="AE273" s="35">
        <f>IF($A273="","",IF($AB273="",$I273,$AB273))</f>
        <v/>
      </c>
      <c r="AF273" s="35">
        <f>IF($A273="","",IF($AC273="",$J273,$AC273))</f>
        <v/>
      </c>
      <c r="AG273" s="35">
        <f>IF(OR($U273="",$AE273="",$AF273="",$X273=""),"",$AE273+$X273*($AF273-$AE273))</f>
        <v/>
      </c>
      <c r="AH273" s="38" t="n"/>
      <c r="AI273" s="38" t="n"/>
      <c r="AJ273" s="38" t="n"/>
      <c r="AK273" s="38" t="n"/>
      <c r="AL273" s="38" t="n"/>
      <c r="AM273" s="38" t="n"/>
      <c r="AN273" s="38" t="n"/>
      <c r="AO273" s="38" t="n"/>
      <c r="AP273" s="38" t="n"/>
      <c r="AQ273" s="38" t="n"/>
      <c r="AR273" s="38" t="n"/>
      <c r="AS273" s="38" t="n"/>
      <c r="AT273" s="38" t="n"/>
      <c r="AU273" s="38" t="n"/>
      <c r="AV273" s="38" t="n"/>
      <c r="AW273" s="38" t="n"/>
      <c r="AX273" s="38" t="n"/>
      <c r="AY273" s="42" t="n"/>
      <c r="AZ273" s="42" t="n"/>
      <c r="BA273" s="42" t="n"/>
      <c r="BB273" s="42" t="n"/>
      <c r="BC273" s="42" t="n"/>
      <c r="BD273" s="37">
        <f>IF($A273="","",SUM($AY273:$BC273))</f>
        <v/>
      </c>
      <c r="BE273" s="18">
        <f>IF($A273="","",IF(AND($I273&lt;&gt;"",$J273&lt;&gt;""),MAX(1,($J273-$I273)/7),Templates!$B$35))</f>
        <v/>
      </c>
      <c r="BF273" s="18">
        <f>IF($A273="","",IF(AND($I273&lt;&gt;"",$J273&lt;&gt;""),MAX(1,($J273-$I273)/7),Templates!$B$36))</f>
        <v/>
      </c>
      <c r="BG273" s="18">
        <f>IF($A273="","",IF(AND($I273&lt;&gt;"",$J273&lt;&gt;""),MAX(1,($J273-$I273)/7),Templates!$B$37))</f>
        <v/>
      </c>
      <c r="BH273" s="18">
        <f>IF($A273="","",IF(AND($I273&lt;&gt;"",$J273&lt;&gt;""),MAX(1,($J273-$I273)/7),Templates!$B$38))</f>
        <v/>
      </c>
      <c r="BI273" s="18">
        <f>IF($A273="","",IF(AND($I273&lt;&gt;"",$J273&lt;&gt;""),MAX(1,($J273-$I273)/7),Templates!$B$39))</f>
        <v/>
      </c>
      <c r="BJ273" s="18">
        <f>IF(OR($A273="",$BD273=0),0,($AY273*Templates!$B$27/$BE273+$AZ273*Templates!$B$28/$BF273+$BA273*Templates!$B$29/$BG273+$BB273*Templates!$B$30/$BH273+$BC273*Templates!$B$31/$BI273)/Templates!$B$17)</f>
        <v/>
      </c>
      <c r="BK273" s="18">
        <f>IF(OR($A273="",$BD273=0),0,($AY273*Templates!$C$27/$BE273+$AZ273*Templates!$C$28/$BF273+$BA273*Templates!$C$29/$BG273+$BB273*Templates!$C$30/$BH273+$BC273*Templates!$C$31/$BI273)/Templates!$B$18)</f>
        <v/>
      </c>
      <c r="BL273" s="18">
        <f>IF(OR($A273="",$BD273=0),0,($AY273*Templates!$D$27/$BE273+$AZ273*Templates!$D$28/$BF273+$BA273*Templates!$D$29/$BG273+$BB273*Templates!$D$30/$BH273+$BC273*Templates!$D$31/$BI273)/Templates!$B$19)</f>
        <v/>
      </c>
      <c r="BM273" s="18">
        <f>IF(OR($A273="",$BD273=0),0,($AY273*Templates!$E$27/$BE273+$AZ273*Templates!$E$28/$BF273+$BA273*Templates!$E$29/$BG273+$BB273*Templates!$E$30/$BH273+$BC273*Templates!$E$31/$BI273)/Templates!$B$20)</f>
        <v/>
      </c>
      <c r="BN273" s="18">
        <f>IF(OR($A273="",$BD273=0),0,($AY273*Templates!$F$27/$BE273+$AZ273*Templates!$F$28/$BF273+$BA273*Templates!$F$29/$BG273+$BB273*Templates!$F$30/$BH273+$BC273*Templates!$F$31/$BI273)/Templates!$B$21)</f>
        <v/>
      </c>
      <c r="BO273" s="18">
        <f>IF(OR($A273="",$BD273=0),0,($AY273*Templates!$G$27/$BE273+$AZ273*Templates!$G$28/$BF273+$BA273*Templates!$G$29/$BG273+$BB273*Templates!$G$30/$BH273+$BC273*Templates!$G$31/$BI273)/Templates!$B$22)</f>
        <v/>
      </c>
      <c r="BP273" s="18">
        <f>IF(OR($A273="",$BD273=0),0,($AY273*Templates!$H$27/$BE273+$AZ273*Templates!$H$28/$BF273+$BA273*Templates!$H$29/$BG273+$BB273*Templates!$H$30/$BH273+$BC273*Templates!$H$31/$BI273)/Templates!$B$23)</f>
        <v/>
      </c>
    </row>
    <row r="274">
      <c r="A274" s="28" t="inlineStr">
        <is>
          <t>Pelican_1</t>
        </is>
      </c>
      <c r="B274" s="20" t="inlineStr">
        <is>
          <t>KKR : John Laing</t>
        </is>
      </c>
      <c r="C274" s="28" t="inlineStr">
        <is>
          <t>KKR</t>
        </is>
      </c>
      <c r="D274" s="28" t="inlineStr">
        <is>
          <t>John Laing</t>
        </is>
      </c>
      <c r="E274" s="28" t="inlineStr">
        <is>
          <t>No</t>
        </is>
      </c>
      <c r="F274" s="28" t="inlineStr">
        <is>
          <t>Proposal</t>
        </is>
      </c>
      <c r="G274" s="38" t="n"/>
      <c r="H274" s="43" t="n">
        <v>0.5</v>
      </c>
      <c r="I274" s="39" t="n"/>
      <c r="J274" s="39" t="n"/>
      <c r="K274" s="31" t="n"/>
      <c r="L274" s="31" t="n"/>
      <c r="M274" s="31" t="n"/>
      <c r="N274" s="31" t="n"/>
      <c r="O274" s="31" t="n"/>
      <c r="P274" s="31" t="n"/>
      <c r="Q274" s="23">
        <f>IF($A274="","",COUNTIFS(Assignments!$C$2:$C$769,$A274,Assignments!$G$2:$G$769,"Active"))</f>
        <v/>
      </c>
      <c r="R274" s="32">
        <f>IF($A274="","",SUMIFS(Assignments!$I$2:$I$769,Assignments!$C$2:$C$769,$A274,Assignments!$G$2:$G$769,"Active"))</f>
        <v/>
      </c>
      <c r="S274" s="20" t="inlineStr">
        <is>
          <t>Proposal</t>
        </is>
      </c>
      <c r="T274" s="31" t="n"/>
      <c r="U274" s="38" t="n"/>
      <c r="V274" s="34">
        <f>IF($U274="","",IFERROR(INDEX(Templates!$K$3:$K$10,MATCH($U274,Templates!$A$3:$A$10,0)),""))</f>
        <v/>
      </c>
      <c r="W274" s="34">
        <f>IF($U274="","",IFERROR(INDEX(Templates!$L$3:$L$10,MATCH($U274,Templates!$A$3:$A$10,0)),""))</f>
        <v/>
      </c>
      <c r="X274" s="21">
        <f>IF($U274="","",IFERROR(INDEX(Templates!$J$3:$J$10,MATCH($U274,Templates!$A$3:$A$10,0)),""))</f>
        <v/>
      </c>
      <c r="Y274" s="35">
        <f>IF(OR($U274="",$I274="",$J274="",$X274=""),"",$I274+$X274*($J274-$I274))</f>
        <v/>
      </c>
      <c r="Z274" s="30" t="n">
        <v>46212</v>
      </c>
      <c r="AA274" s="40" t="n"/>
      <c r="AB274" s="41" t="n"/>
      <c r="AC274" s="41" t="n"/>
      <c r="AD274" s="19">
        <f>IF($A274="","",IF($AA274="",$H274,$AA274))</f>
        <v/>
      </c>
      <c r="AE274" s="35">
        <f>IF($A274="","",IF($AB274="",$I274,$AB274))</f>
        <v/>
      </c>
      <c r="AF274" s="35">
        <f>IF($A274="","",IF($AC274="",$J274,$AC274))</f>
        <v/>
      </c>
      <c r="AG274" s="35">
        <f>IF(OR($U274="",$AE274="",$AF274="",$X274=""),"",$AE274+$X274*($AF274-$AE274))</f>
        <v/>
      </c>
      <c r="AH274" s="38" t="n"/>
      <c r="AI274" s="38" t="n"/>
      <c r="AJ274" s="38" t="n"/>
      <c r="AK274" s="38" t="n"/>
      <c r="AL274" s="38" t="n"/>
      <c r="AM274" s="38" t="n"/>
      <c r="AN274" s="38" t="n"/>
      <c r="AO274" s="38" t="n"/>
      <c r="AP274" s="38" t="n"/>
      <c r="AQ274" s="38" t="n"/>
      <c r="AR274" s="38" t="n"/>
      <c r="AS274" s="38" t="n"/>
      <c r="AT274" s="38" t="n"/>
      <c r="AU274" s="38" t="n"/>
      <c r="AV274" s="38" t="n"/>
      <c r="AW274" s="38" t="n"/>
      <c r="AX274" s="38" t="n"/>
      <c r="AY274" s="42" t="n"/>
      <c r="AZ274" s="42" t="n"/>
      <c r="BA274" s="42" t="n"/>
      <c r="BB274" s="42" t="n"/>
      <c r="BC274" s="42" t="n"/>
      <c r="BD274" s="37">
        <f>IF($A274="","",SUM($AY274:$BC274))</f>
        <v/>
      </c>
      <c r="BE274" s="18">
        <f>IF($A274="","",IF(AND($I274&lt;&gt;"",$J274&lt;&gt;""),MAX(1,($J274-$I274)/7),Templates!$B$35))</f>
        <v/>
      </c>
      <c r="BF274" s="18">
        <f>IF($A274="","",IF(AND($I274&lt;&gt;"",$J274&lt;&gt;""),MAX(1,($J274-$I274)/7),Templates!$B$36))</f>
        <v/>
      </c>
      <c r="BG274" s="18">
        <f>IF($A274="","",IF(AND($I274&lt;&gt;"",$J274&lt;&gt;""),MAX(1,($J274-$I274)/7),Templates!$B$37))</f>
        <v/>
      </c>
      <c r="BH274" s="18">
        <f>IF($A274="","",IF(AND($I274&lt;&gt;"",$J274&lt;&gt;""),MAX(1,($J274-$I274)/7),Templates!$B$38))</f>
        <v/>
      </c>
      <c r="BI274" s="18">
        <f>IF($A274="","",IF(AND($I274&lt;&gt;"",$J274&lt;&gt;""),MAX(1,($J274-$I274)/7),Templates!$B$39))</f>
        <v/>
      </c>
      <c r="BJ274" s="18">
        <f>IF(OR($A274="",$BD274=0),0,($AY274*Templates!$B$27/$BE274+$AZ274*Templates!$B$28/$BF274+$BA274*Templates!$B$29/$BG274+$BB274*Templates!$B$30/$BH274+$BC274*Templates!$B$31/$BI274)/Templates!$B$17)</f>
        <v/>
      </c>
      <c r="BK274" s="18">
        <f>IF(OR($A274="",$BD274=0),0,($AY274*Templates!$C$27/$BE274+$AZ274*Templates!$C$28/$BF274+$BA274*Templates!$C$29/$BG274+$BB274*Templates!$C$30/$BH274+$BC274*Templates!$C$31/$BI274)/Templates!$B$18)</f>
        <v/>
      </c>
      <c r="BL274" s="18">
        <f>IF(OR($A274="",$BD274=0),0,($AY274*Templates!$D$27/$BE274+$AZ274*Templates!$D$28/$BF274+$BA274*Templates!$D$29/$BG274+$BB274*Templates!$D$30/$BH274+$BC274*Templates!$D$31/$BI274)/Templates!$B$19)</f>
        <v/>
      </c>
      <c r="BM274" s="18">
        <f>IF(OR($A274="",$BD274=0),0,($AY274*Templates!$E$27/$BE274+$AZ274*Templates!$E$28/$BF274+$BA274*Templates!$E$29/$BG274+$BB274*Templates!$E$30/$BH274+$BC274*Templates!$E$31/$BI274)/Templates!$B$20)</f>
        <v/>
      </c>
      <c r="BN274" s="18">
        <f>IF(OR($A274="",$BD274=0),0,($AY274*Templates!$F$27/$BE274+$AZ274*Templates!$F$28/$BF274+$BA274*Templates!$F$29/$BG274+$BB274*Templates!$F$30/$BH274+$BC274*Templates!$F$31/$BI274)/Templates!$B$21)</f>
        <v/>
      </c>
      <c r="BO274" s="18">
        <f>IF(OR($A274="",$BD274=0),0,($AY274*Templates!$G$27/$BE274+$AZ274*Templates!$G$28/$BF274+$BA274*Templates!$G$29/$BG274+$BB274*Templates!$G$30/$BH274+$BC274*Templates!$G$31/$BI274)/Templates!$B$22)</f>
        <v/>
      </c>
      <c r="BP274" s="18">
        <f>IF(OR($A274="",$BD274=0),0,($AY274*Templates!$H$27/$BE274+$AZ274*Templates!$H$28/$BF274+$BA274*Templates!$H$29/$BG274+$BB274*Templates!$H$30/$BH274+$BC274*Templates!$H$31/$BI274)/Templates!$B$23)</f>
        <v/>
      </c>
    </row>
    <row r="275">
      <c r="A275" s="28" t="inlineStr">
        <is>
          <t>Pennsylvania_1</t>
        </is>
      </c>
      <c r="B275" s="20" t="inlineStr">
        <is>
          <t>Plenary Americas USA Ltd</t>
        </is>
      </c>
      <c r="C275" s="28" t="inlineStr">
        <is>
          <t>Plenary Americas USA Ltd</t>
        </is>
      </c>
      <c r="D275" s="28" t="inlineStr"/>
      <c r="E275" s="28" t="inlineStr">
        <is>
          <t>No</t>
        </is>
      </c>
      <c r="F275" s="28" t="inlineStr">
        <is>
          <t>Proposal</t>
        </is>
      </c>
      <c r="G275" s="38" t="n"/>
      <c r="H275" s="43" t="n">
        <v>0.5</v>
      </c>
      <c r="I275" s="39" t="n"/>
      <c r="J275" s="39" t="n"/>
      <c r="K275" s="31" t="n"/>
      <c r="L275" s="31" t="n"/>
      <c r="M275" s="31" t="n"/>
      <c r="N275" s="31" t="n"/>
      <c r="O275" s="31" t="n"/>
      <c r="P275" s="31" t="n"/>
      <c r="Q275" s="23">
        <f>IF($A275="","",COUNTIFS(Assignments!$C$2:$C$769,$A275,Assignments!$G$2:$G$769,"Active"))</f>
        <v/>
      </c>
      <c r="R275" s="32">
        <f>IF($A275="","",SUMIFS(Assignments!$I$2:$I$769,Assignments!$C$2:$C$769,$A275,Assignments!$G$2:$G$769,"Active"))</f>
        <v/>
      </c>
      <c r="S275" s="20" t="inlineStr">
        <is>
          <t>Proposal</t>
        </is>
      </c>
      <c r="T275" s="31" t="n"/>
      <c r="U275" s="38" t="n"/>
      <c r="V275" s="34">
        <f>IF($U275="","",IFERROR(INDEX(Templates!$K$3:$K$10,MATCH($U275,Templates!$A$3:$A$10,0)),""))</f>
        <v/>
      </c>
      <c r="W275" s="34">
        <f>IF($U275="","",IFERROR(INDEX(Templates!$L$3:$L$10,MATCH($U275,Templates!$A$3:$A$10,0)),""))</f>
        <v/>
      </c>
      <c r="X275" s="21">
        <f>IF($U275="","",IFERROR(INDEX(Templates!$J$3:$J$10,MATCH($U275,Templates!$A$3:$A$10,0)),""))</f>
        <v/>
      </c>
      <c r="Y275" s="35">
        <f>IF(OR($U275="",$I275="",$J275="",$X275=""),"",$I275+$X275*($J275-$I275))</f>
        <v/>
      </c>
      <c r="Z275" s="30" t="n">
        <v>46212</v>
      </c>
      <c r="AA275" s="40" t="n"/>
      <c r="AB275" s="41" t="n"/>
      <c r="AC275" s="41" t="n"/>
      <c r="AD275" s="19">
        <f>IF($A275="","",IF($AA275="",$H275,$AA275))</f>
        <v/>
      </c>
      <c r="AE275" s="35">
        <f>IF($A275="","",IF($AB275="",$I275,$AB275))</f>
        <v/>
      </c>
      <c r="AF275" s="35">
        <f>IF($A275="","",IF($AC275="",$J275,$AC275))</f>
        <v/>
      </c>
      <c r="AG275" s="35">
        <f>IF(OR($U275="",$AE275="",$AF275="",$X275=""),"",$AE275+$X275*($AF275-$AE275))</f>
        <v/>
      </c>
      <c r="AH275" s="38" t="n"/>
      <c r="AI275" s="38" t="n"/>
      <c r="AJ275" s="38" t="n"/>
      <c r="AK275" s="38" t="n"/>
      <c r="AL275" s="38" t="n"/>
      <c r="AM275" s="38" t="n"/>
      <c r="AN275" s="38" t="n"/>
      <c r="AO275" s="38" t="n"/>
      <c r="AP275" s="38" t="n"/>
      <c r="AQ275" s="38" t="n"/>
      <c r="AR275" s="38" t="n"/>
      <c r="AS275" s="38" t="n"/>
      <c r="AT275" s="38" t="n"/>
      <c r="AU275" s="38" t="n"/>
      <c r="AV275" s="38" t="n"/>
      <c r="AW275" s="38" t="n"/>
      <c r="AX275" s="38" t="n"/>
      <c r="AY275" s="42" t="n"/>
      <c r="AZ275" s="42" t="n"/>
      <c r="BA275" s="42" t="n"/>
      <c r="BB275" s="42" t="n"/>
      <c r="BC275" s="42" t="n"/>
      <c r="BD275" s="37">
        <f>IF($A275="","",SUM($AY275:$BC275))</f>
        <v/>
      </c>
      <c r="BE275" s="18">
        <f>IF($A275="","",IF(AND($I275&lt;&gt;"",$J275&lt;&gt;""),MAX(1,($J275-$I275)/7),Templates!$B$35))</f>
        <v/>
      </c>
      <c r="BF275" s="18">
        <f>IF($A275="","",IF(AND($I275&lt;&gt;"",$J275&lt;&gt;""),MAX(1,($J275-$I275)/7),Templates!$B$36))</f>
        <v/>
      </c>
      <c r="BG275" s="18">
        <f>IF($A275="","",IF(AND($I275&lt;&gt;"",$J275&lt;&gt;""),MAX(1,($J275-$I275)/7),Templates!$B$37))</f>
        <v/>
      </c>
      <c r="BH275" s="18">
        <f>IF($A275="","",IF(AND($I275&lt;&gt;"",$J275&lt;&gt;""),MAX(1,($J275-$I275)/7),Templates!$B$38))</f>
        <v/>
      </c>
      <c r="BI275" s="18">
        <f>IF($A275="","",IF(AND($I275&lt;&gt;"",$J275&lt;&gt;""),MAX(1,($J275-$I275)/7),Templates!$B$39))</f>
        <v/>
      </c>
      <c r="BJ275" s="18">
        <f>IF(OR($A275="",$BD275=0),0,($AY275*Templates!$B$27/$BE275+$AZ275*Templates!$B$28/$BF275+$BA275*Templates!$B$29/$BG275+$BB275*Templates!$B$30/$BH275+$BC275*Templates!$B$31/$BI275)/Templates!$B$17)</f>
        <v/>
      </c>
      <c r="BK275" s="18">
        <f>IF(OR($A275="",$BD275=0),0,($AY275*Templates!$C$27/$BE275+$AZ275*Templates!$C$28/$BF275+$BA275*Templates!$C$29/$BG275+$BB275*Templates!$C$30/$BH275+$BC275*Templates!$C$31/$BI275)/Templates!$B$18)</f>
        <v/>
      </c>
      <c r="BL275" s="18">
        <f>IF(OR($A275="",$BD275=0),0,($AY275*Templates!$D$27/$BE275+$AZ275*Templates!$D$28/$BF275+$BA275*Templates!$D$29/$BG275+$BB275*Templates!$D$30/$BH275+$BC275*Templates!$D$31/$BI275)/Templates!$B$19)</f>
        <v/>
      </c>
      <c r="BM275" s="18">
        <f>IF(OR($A275="",$BD275=0),0,($AY275*Templates!$E$27/$BE275+$AZ275*Templates!$E$28/$BF275+$BA275*Templates!$E$29/$BG275+$BB275*Templates!$E$30/$BH275+$BC275*Templates!$E$31/$BI275)/Templates!$B$20)</f>
        <v/>
      </c>
      <c r="BN275" s="18">
        <f>IF(OR($A275="",$BD275=0),0,($AY275*Templates!$F$27/$BE275+$AZ275*Templates!$F$28/$BF275+$BA275*Templates!$F$29/$BG275+$BB275*Templates!$F$30/$BH275+$BC275*Templates!$F$31/$BI275)/Templates!$B$21)</f>
        <v/>
      </c>
      <c r="BO275" s="18">
        <f>IF(OR($A275="",$BD275=0),0,($AY275*Templates!$G$27/$BE275+$AZ275*Templates!$G$28/$BF275+$BA275*Templates!$G$29/$BG275+$BB275*Templates!$G$30/$BH275+$BC275*Templates!$G$31/$BI275)/Templates!$B$22)</f>
        <v/>
      </c>
      <c r="BP275" s="18">
        <f>IF(OR($A275="",$BD275=0),0,($AY275*Templates!$H$27/$BE275+$AZ275*Templates!$H$28/$BF275+$BA275*Templates!$H$29/$BG275+$BB275*Templates!$H$30/$BH275+$BC275*Templates!$H$31/$BI275)/Templates!$B$23)</f>
        <v/>
      </c>
    </row>
    <row r="276">
      <c r="A276" s="28" t="inlineStr">
        <is>
          <t>Pinnacel</t>
        </is>
      </c>
      <c r="B276" s="20" t="inlineStr">
        <is>
          <t>Gauge</t>
        </is>
      </c>
      <c r="C276" s="28" t="inlineStr">
        <is>
          <t>Gauge</t>
        </is>
      </c>
      <c r="D276" s="28" t="inlineStr"/>
      <c r="E276" s="28" t="inlineStr">
        <is>
          <t>No</t>
        </is>
      </c>
      <c r="F276" s="28" t="inlineStr">
        <is>
          <t>Proposal</t>
        </is>
      </c>
      <c r="G276" s="38" t="n"/>
      <c r="H276" s="43" t="n">
        <v>0.5</v>
      </c>
      <c r="I276" s="39" t="n"/>
      <c r="J276" s="39" t="n"/>
      <c r="K276" s="31" t="n"/>
      <c r="L276" s="31" t="n"/>
      <c r="M276" s="31" t="n"/>
      <c r="N276" s="31" t="n"/>
      <c r="O276" s="31" t="n"/>
      <c r="P276" s="31" t="n"/>
      <c r="Q276" s="23">
        <f>IF($A276="","",COUNTIFS(Assignments!$C$2:$C$769,$A276,Assignments!$G$2:$G$769,"Active"))</f>
        <v/>
      </c>
      <c r="R276" s="32">
        <f>IF($A276="","",SUMIFS(Assignments!$I$2:$I$769,Assignments!$C$2:$C$769,$A276,Assignments!$G$2:$G$769,"Active"))</f>
        <v/>
      </c>
      <c r="S276" s="20" t="inlineStr">
        <is>
          <t>Summary tab only (Proposal)</t>
        </is>
      </c>
      <c r="T276" s="31" t="n"/>
      <c r="U276" s="38" t="n"/>
      <c r="V276" s="34">
        <f>IF($U276="","",IFERROR(INDEX(Templates!$K$3:$K$10,MATCH($U276,Templates!$A$3:$A$10,0)),""))</f>
        <v/>
      </c>
      <c r="W276" s="34">
        <f>IF($U276="","",IFERROR(INDEX(Templates!$L$3:$L$10,MATCH($U276,Templates!$A$3:$A$10,0)),""))</f>
        <v/>
      </c>
      <c r="X276" s="21">
        <f>IF($U276="","",IFERROR(INDEX(Templates!$J$3:$J$10,MATCH($U276,Templates!$A$3:$A$10,0)),""))</f>
        <v/>
      </c>
      <c r="Y276" s="35">
        <f>IF(OR($U276="",$I276="",$J276="",$X276=""),"",$I276+$X276*($J276-$I276))</f>
        <v/>
      </c>
      <c r="Z276" s="30" t="n">
        <v>46212</v>
      </c>
      <c r="AA276" s="40" t="n"/>
      <c r="AB276" s="41" t="n"/>
      <c r="AC276" s="41" t="n"/>
      <c r="AD276" s="19">
        <f>IF($A276="","",IF($AA276="",$H276,$AA276))</f>
        <v/>
      </c>
      <c r="AE276" s="35">
        <f>IF($A276="","",IF($AB276="",$I276,$AB276))</f>
        <v/>
      </c>
      <c r="AF276" s="35">
        <f>IF($A276="","",IF($AC276="",$J276,$AC276))</f>
        <v/>
      </c>
      <c r="AG276" s="35">
        <f>IF(OR($U276="",$AE276="",$AF276="",$X276=""),"",$AE276+$X276*($AF276-$AE276))</f>
        <v/>
      </c>
      <c r="AH276" s="38" t="n"/>
      <c r="AI276" s="38" t="n"/>
      <c r="AJ276" s="38" t="n"/>
      <c r="AK276" s="38" t="n"/>
      <c r="AL276" s="38" t="n"/>
      <c r="AM276" s="38" t="n"/>
      <c r="AN276" s="38" t="n"/>
      <c r="AO276" s="38" t="n"/>
      <c r="AP276" s="38" t="n"/>
      <c r="AQ276" s="38" t="n"/>
      <c r="AR276" s="38" t="n"/>
      <c r="AS276" s="38" t="n"/>
      <c r="AT276" s="38" t="n"/>
      <c r="AU276" s="38" t="n"/>
      <c r="AV276" s="38" t="n"/>
      <c r="AW276" s="38" t="n"/>
      <c r="AX276" s="38" t="n"/>
      <c r="AY276" s="42" t="n"/>
      <c r="AZ276" s="42" t="n"/>
      <c r="BA276" s="42" t="n"/>
      <c r="BB276" s="42" t="n"/>
      <c r="BC276" s="42" t="n"/>
      <c r="BD276" s="37">
        <f>IF($A276="","",SUM($AY276:$BC276))</f>
        <v/>
      </c>
      <c r="BE276" s="18">
        <f>IF($A276="","",IF(AND($I276&lt;&gt;"",$J276&lt;&gt;""),MAX(1,($J276-$I276)/7),Templates!$B$35))</f>
        <v/>
      </c>
      <c r="BF276" s="18">
        <f>IF($A276="","",IF(AND($I276&lt;&gt;"",$J276&lt;&gt;""),MAX(1,($J276-$I276)/7),Templates!$B$36))</f>
        <v/>
      </c>
      <c r="BG276" s="18">
        <f>IF($A276="","",IF(AND($I276&lt;&gt;"",$J276&lt;&gt;""),MAX(1,($J276-$I276)/7),Templates!$B$37))</f>
        <v/>
      </c>
      <c r="BH276" s="18">
        <f>IF($A276="","",IF(AND($I276&lt;&gt;"",$J276&lt;&gt;""),MAX(1,($J276-$I276)/7),Templates!$B$38))</f>
        <v/>
      </c>
      <c r="BI276" s="18">
        <f>IF($A276="","",IF(AND($I276&lt;&gt;"",$J276&lt;&gt;""),MAX(1,($J276-$I276)/7),Templates!$B$39))</f>
        <v/>
      </c>
      <c r="BJ276" s="18">
        <f>IF(OR($A276="",$BD276=0),0,($AY276*Templates!$B$27/$BE276+$AZ276*Templates!$B$28/$BF276+$BA276*Templates!$B$29/$BG276+$BB276*Templates!$B$30/$BH276+$BC276*Templates!$B$31/$BI276)/Templates!$B$17)</f>
        <v/>
      </c>
      <c r="BK276" s="18">
        <f>IF(OR($A276="",$BD276=0),0,($AY276*Templates!$C$27/$BE276+$AZ276*Templates!$C$28/$BF276+$BA276*Templates!$C$29/$BG276+$BB276*Templates!$C$30/$BH276+$BC276*Templates!$C$31/$BI276)/Templates!$B$18)</f>
        <v/>
      </c>
      <c r="BL276" s="18">
        <f>IF(OR($A276="",$BD276=0),0,($AY276*Templates!$D$27/$BE276+$AZ276*Templates!$D$28/$BF276+$BA276*Templates!$D$29/$BG276+$BB276*Templates!$D$30/$BH276+$BC276*Templates!$D$31/$BI276)/Templates!$B$19)</f>
        <v/>
      </c>
      <c r="BM276" s="18">
        <f>IF(OR($A276="",$BD276=0),0,($AY276*Templates!$E$27/$BE276+$AZ276*Templates!$E$28/$BF276+$BA276*Templates!$E$29/$BG276+$BB276*Templates!$E$30/$BH276+$BC276*Templates!$E$31/$BI276)/Templates!$B$20)</f>
        <v/>
      </c>
      <c r="BN276" s="18">
        <f>IF(OR($A276="",$BD276=0),0,($AY276*Templates!$F$27/$BE276+$AZ276*Templates!$F$28/$BF276+$BA276*Templates!$F$29/$BG276+$BB276*Templates!$F$30/$BH276+$BC276*Templates!$F$31/$BI276)/Templates!$B$21)</f>
        <v/>
      </c>
      <c r="BO276" s="18">
        <f>IF(OR($A276="",$BD276=0),0,($AY276*Templates!$G$27/$BE276+$AZ276*Templates!$G$28/$BF276+$BA276*Templates!$G$29/$BG276+$BB276*Templates!$G$30/$BH276+$BC276*Templates!$G$31/$BI276)/Templates!$B$22)</f>
        <v/>
      </c>
      <c r="BP276" s="18">
        <f>IF(OR($A276="",$BD276=0),0,($AY276*Templates!$H$27/$BE276+$AZ276*Templates!$H$28/$BF276+$BA276*Templates!$H$29/$BG276+$BB276*Templates!$H$30/$BH276+$BC276*Templates!$H$31/$BI276)/Templates!$B$23)</f>
        <v/>
      </c>
    </row>
    <row r="277">
      <c r="A277" s="28" t="inlineStr">
        <is>
          <t>Pisces 2_1</t>
        </is>
      </c>
      <c r="B277" s="20" t="inlineStr">
        <is>
          <t>KKR : John Laing</t>
        </is>
      </c>
      <c r="C277" s="28" t="inlineStr">
        <is>
          <t>KKR</t>
        </is>
      </c>
      <c r="D277" s="28" t="inlineStr">
        <is>
          <t>John Laing</t>
        </is>
      </c>
      <c r="E277" s="28" t="inlineStr">
        <is>
          <t>No</t>
        </is>
      </c>
      <c r="F277" s="28" t="inlineStr">
        <is>
          <t>Proposal</t>
        </is>
      </c>
      <c r="G277" s="38" t="n"/>
      <c r="H277" s="43" t="n">
        <v>0.5</v>
      </c>
      <c r="I277" s="39" t="n"/>
      <c r="J277" s="39" t="n"/>
      <c r="K277" s="31" t="n"/>
      <c r="L277" s="31" t="n"/>
      <c r="M277" s="31" t="n"/>
      <c r="N277" s="31" t="n"/>
      <c r="O277" s="31" t="n"/>
      <c r="P277" s="31" t="n"/>
      <c r="Q277" s="23">
        <f>IF($A277="","",COUNTIFS(Assignments!$C$2:$C$769,$A277,Assignments!$G$2:$G$769,"Active"))</f>
        <v/>
      </c>
      <c r="R277" s="32">
        <f>IF($A277="","",SUMIFS(Assignments!$I$2:$I$769,Assignments!$C$2:$C$769,$A277,Assignments!$G$2:$G$769,"Active"))</f>
        <v/>
      </c>
      <c r="S277" s="20" t="inlineStr">
        <is>
          <t>Proposal</t>
        </is>
      </c>
      <c r="T277" s="31" t="n"/>
      <c r="U277" s="38" t="n"/>
      <c r="V277" s="34">
        <f>IF($U277="","",IFERROR(INDEX(Templates!$K$3:$K$10,MATCH($U277,Templates!$A$3:$A$10,0)),""))</f>
        <v/>
      </c>
      <c r="W277" s="34">
        <f>IF($U277="","",IFERROR(INDEX(Templates!$L$3:$L$10,MATCH($U277,Templates!$A$3:$A$10,0)),""))</f>
        <v/>
      </c>
      <c r="X277" s="21">
        <f>IF($U277="","",IFERROR(INDEX(Templates!$J$3:$J$10,MATCH($U277,Templates!$A$3:$A$10,0)),""))</f>
        <v/>
      </c>
      <c r="Y277" s="35">
        <f>IF(OR($U277="",$I277="",$J277="",$X277=""),"",$I277+$X277*($J277-$I277))</f>
        <v/>
      </c>
      <c r="Z277" s="30" t="n">
        <v>46212</v>
      </c>
      <c r="AA277" s="40" t="n"/>
      <c r="AB277" s="41" t="n"/>
      <c r="AC277" s="41" t="n"/>
      <c r="AD277" s="19">
        <f>IF($A277="","",IF($AA277="",$H277,$AA277))</f>
        <v/>
      </c>
      <c r="AE277" s="35">
        <f>IF($A277="","",IF($AB277="",$I277,$AB277))</f>
        <v/>
      </c>
      <c r="AF277" s="35">
        <f>IF($A277="","",IF($AC277="",$J277,$AC277))</f>
        <v/>
      </c>
      <c r="AG277" s="35">
        <f>IF(OR($U277="",$AE277="",$AF277="",$X277=""),"",$AE277+$X277*($AF277-$AE277))</f>
        <v/>
      </c>
      <c r="AH277" s="38" t="n"/>
      <c r="AI277" s="38" t="n"/>
      <c r="AJ277" s="38" t="n"/>
      <c r="AK277" s="38" t="n"/>
      <c r="AL277" s="38" t="n"/>
      <c r="AM277" s="38" t="n"/>
      <c r="AN277" s="38" t="n"/>
      <c r="AO277" s="38" t="n"/>
      <c r="AP277" s="38" t="n"/>
      <c r="AQ277" s="38" t="n"/>
      <c r="AR277" s="38" t="n"/>
      <c r="AS277" s="38" t="n"/>
      <c r="AT277" s="38" t="n"/>
      <c r="AU277" s="38" t="n"/>
      <c r="AV277" s="38" t="n"/>
      <c r="AW277" s="38" t="n"/>
      <c r="AX277" s="38" t="n"/>
      <c r="AY277" s="42" t="n"/>
      <c r="AZ277" s="42" t="n"/>
      <c r="BA277" s="42" t="n"/>
      <c r="BB277" s="42" t="n"/>
      <c r="BC277" s="42" t="n"/>
      <c r="BD277" s="37">
        <f>IF($A277="","",SUM($AY277:$BC277))</f>
        <v/>
      </c>
      <c r="BE277" s="18">
        <f>IF($A277="","",IF(AND($I277&lt;&gt;"",$J277&lt;&gt;""),MAX(1,($J277-$I277)/7),Templates!$B$35))</f>
        <v/>
      </c>
      <c r="BF277" s="18">
        <f>IF($A277="","",IF(AND($I277&lt;&gt;"",$J277&lt;&gt;""),MAX(1,($J277-$I277)/7),Templates!$B$36))</f>
        <v/>
      </c>
      <c r="BG277" s="18">
        <f>IF($A277="","",IF(AND($I277&lt;&gt;"",$J277&lt;&gt;""),MAX(1,($J277-$I277)/7),Templates!$B$37))</f>
        <v/>
      </c>
      <c r="BH277" s="18">
        <f>IF($A277="","",IF(AND($I277&lt;&gt;"",$J277&lt;&gt;""),MAX(1,($J277-$I277)/7),Templates!$B$38))</f>
        <v/>
      </c>
      <c r="BI277" s="18">
        <f>IF($A277="","",IF(AND($I277&lt;&gt;"",$J277&lt;&gt;""),MAX(1,($J277-$I277)/7),Templates!$B$39))</f>
        <v/>
      </c>
      <c r="BJ277" s="18">
        <f>IF(OR($A277="",$BD277=0),0,($AY277*Templates!$B$27/$BE277+$AZ277*Templates!$B$28/$BF277+$BA277*Templates!$B$29/$BG277+$BB277*Templates!$B$30/$BH277+$BC277*Templates!$B$31/$BI277)/Templates!$B$17)</f>
        <v/>
      </c>
      <c r="BK277" s="18">
        <f>IF(OR($A277="",$BD277=0),0,($AY277*Templates!$C$27/$BE277+$AZ277*Templates!$C$28/$BF277+$BA277*Templates!$C$29/$BG277+$BB277*Templates!$C$30/$BH277+$BC277*Templates!$C$31/$BI277)/Templates!$B$18)</f>
        <v/>
      </c>
      <c r="BL277" s="18">
        <f>IF(OR($A277="",$BD277=0),0,($AY277*Templates!$D$27/$BE277+$AZ277*Templates!$D$28/$BF277+$BA277*Templates!$D$29/$BG277+$BB277*Templates!$D$30/$BH277+$BC277*Templates!$D$31/$BI277)/Templates!$B$19)</f>
        <v/>
      </c>
      <c r="BM277" s="18">
        <f>IF(OR($A277="",$BD277=0),0,($AY277*Templates!$E$27/$BE277+$AZ277*Templates!$E$28/$BF277+$BA277*Templates!$E$29/$BG277+$BB277*Templates!$E$30/$BH277+$BC277*Templates!$E$31/$BI277)/Templates!$B$20)</f>
        <v/>
      </c>
      <c r="BN277" s="18">
        <f>IF(OR($A277="",$BD277=0),0,($AY277*Templates!$F$27/$BE277+$AZ277*Templates!$F$28/$BF277+$BA277*Templates!$F$29/$BG277+$BB277*Templates!$F$30/$BH277+$BC277*Templates!$F$31/$BI277)/Templates!$B$21)</f>
        <v/>
      </c>
      <c r="BO277" s="18">
        <f>IF(OR($A277="",$BD277=0),0,($AY277*Templates!$G$27/$BE277+$AZ277*Templates!$G$28/$BF277+$BA277*Templates!$G$29/$BG277+$BB277*Templates!$G$30/$BH277+$BC277*Templates!$G$31/$BI277)/Templates!$B$22)</f>
        <v/>
      </c>
      <c r="BP277" s="18">
        <f>IF(OR($A277="",$BD277=0),0,($AY277*Templates!$H$27/$BE277+$AZ277*Templates!$H$28/$BF277+$BA277*Templates!$H$29/$BG277+$BB277*Templates!$H$30/$BH277+$BC277*Templates!$H$31/$BI277)/Templates!$B$23)</f>
        <v/>
      </c>
    </row>
    <row r="278">
      <c r="A278" s="28" t="inlineStr">
        <is>
          <t>Principal Asset Management BD_1</t>
        </is>
      </c>
      <c r="B278" s="20" t="inlineStr">
        <is>
          <t>Principal Asset Management (Europe)</t>
        </is>
      </c>
      <c r="C278" s="28" t="inlineStr">
        <is>
          <t>Principal Asset Management (Europe)</t>
        </is>
      </c>
      <c r="D278" s="28" t="inlineStr"/>
      <c r="E278" s="28" t="inlineStr">
        <is>
          <t>No</t>
        </is>
      </c>
      <c r="F278" s="28" t="inlineStr">
        <is>
          <t>Proposal</t>
        </is>
      </c>
      <c r="G278" s="38" t="n"/>
      <c r="H278" s="43" t="n">
        <v>0.5</v>
      </c>
      <c r="I278" s="39" t="n"/>
      <c r="J278" s="39" t="n"/>
      <c r="K278" s="31" t="n"/>
      <c r="L278" s="31" t="n"/>
      <c r="M278" s="31" t="n"/>
      <c r="N278" s="31" t="n"/>
      <c r="O278" s="31" t="n"/>
      <c r="P278" s="31" t="n"/>
      <c r="Q278" s="23">
        <f>IF($A278="","",COUNTIFS(Assignments!$C$2:$C$769,$A278,Assignments!$G$2:$G$769,"Active"))</f>
        <v/>
      </c>
      <c r="R278" s="32">
        <f>IF($A278="","",SUMIFS(Assignments!$I$2:$I$769,Assignments!$C$2:$C$769,$A278,Assignments!$G$2:$G$769,"Active"))</f>
        <v/>
      </c>
      <c r="S278" s="20" t="inlineStr">
        <is>
          <t>Proposal</t>
        </is>
      </c>
      <c r="T278" s="31" t="n"/>
      <c r="U278" s="38" t="n"/>
      <c r="V278" s="34">
        <f>IF($U278="","",IFERROR(INDEX(Templates!$K$3:$K$10,MATCH($U278,Templates!$A$3:$A$10,0)),""))</f>
        <v/>
      </c>
      <c r="W278" s="34">
        <f>IF($U278="","",IFERROR(INDEX(Templates!$L$3:$L$10,MATCH($U278,Templates!$A$3:$A$10,0)),""))</f>
        <v/>
      </c>
      <c r="X278" s="21">
        <f>IF($U278="","",IFERROR(INDEX(Templates!$J$3:$J$10,MATCH($U278,Templates!$A$3:$A$10,0)),""))</f>
        <v/>
      </c>
      <c r="Y278" s="35">
        <f>IF(OR($U278="",$I278="",$J278="",$X278=""),"",$I278+$X278*($J278-$I278))</f>
        <v/>
      </c>
      <c r="Z278" s="30" t="n">
        <v>46212</v>
      </c>
      <c r="AA278" s="40" t="n"/>
      <c r="AB278" s="41" t="n"/>
      <c r="AC278" s="41" t="n"/>
      <c r="AD278" s="19">
        <f>IF($A278="","",IF($AA278="",$H278,$AA278))</f>
        <v/>
      </c>
      <c r="AE278" s="35">
        <f>IF($A278="","",IF($AB278="",$I278,$AB278))</f>
        <v/>
      </c>
      <c r="AF278" s="35">
        <f>IF($A278="","",IF($AC278="",$J278,$AC278))</f>
        <v/>
      </c>
      <c r="AG278" s="35">
        <f>IF(OR($U278="",$AE278="",$AF278="",$X278=""),"",$AE278+$X278*($AF278-$AE278))</f>
        <v/>
      </c>
      <c r="AH278" s="38" t="n"/>
      <c r="AI278" s="38" t="n"/>
      <c r="AJ278" s="38" t="n"/>
      <c r="AK278" s="38" t="n"/>
      <c r="AL278" s="38" t="n"/>
      <c r="AM278" s="38" t="n"/>
      <c r="AN278" s="38" t="n"/>
      <c r="AO278" s="38" t="n"/>
      <c r="AP278" s="38" t="n"/>
      <c r="AQ278" s="38" t="n"/>
      <c r="AR278" s="38" t="n"/>
      <c r="AS278" s="38" t="n"/>
      <c r="AT278" s="38" t="n"/>
      <c r="AU278" s="38" t="n"/>
      <c r="AV278" s="38" t="n"/>
      <c r="AW278" s="38" t="n"/>
      <c r="AX278" s="38" t="n"/>
      <c r="AY278" s="42" t="n"/>
      <c r="AZ278" s="42" t="n"/>
      <c r="BA278" s="42" t="n"/>
      <c r="BB278" s="42" t="n"/>
      <c r="BC278" s="42" t="n"/>
      <c r="BD278" s="37">
        <f>IF($A278="","",SUM($AY278:$BC278))</f>
        <v/>
      </c>
      <c r="BE278" s="18">
        <f>IF($A278="","",IF(AND($I278&lt;&gt;"",$J278&lt;&gt;""),MAX(1,($J278-$I278)/7),Templates!$B$35))</f>
        <v/>
      </c>
      <c r="BF278" s="18">
        <f>IF($A278="","",IF(AND($I278&lt;&gt;"",$J278&lt;&gt;""),MAX(1,($J278-$I278)/7),Templates!$B$36))</f>
        <v/>
      </c>
      <c r="BG278" s="18">
        <f>IF($A278="","",IF(AND($I278&lt;&gt;"",$J278&lt;&gt;""),MAX(1,($J278-$I278)/7),Templates!$B$37))</f>
        <v/>
      </c>
      <c r="BH278" s="18">
        <f>IF($A278="","",IF(AND($I278&lt;&gt;"",$J278&lt;&gt;""),MAX(1,($J278-$I278)/7),Templates!$B$38))</f>
        <v/>
      </c>
      <c r="BI278" s="18">
        <f>IF($A278="","",IF(AND($I278&lt;&gt;"",$J278&lt;&gt;""),MAX(1,($J278-$I278)/7),Templates!$B$39))</f>
        <v/>
      </c>
      <c r="BJ278" s="18">
        <f>IF(OR($A278="",$BD278=0),0,($AY278*Templates!$B$27/$BE278+$AZ278*Templates!$B$28/$BF278+$BA278*Templates!$B$29/$BG278+$BB278*Templates!$B$30/$BH278+$BC278*Templates!$B$31/$BI278)/Templates!$B$17)</f>
        <v/>
      </c>
      <c r="BK278" s="18">
        <f>IF(OR($A278="",$BD278=0),0,($AY278*Templates!$C$27/$BE278+$AZ278*Templates!$C$28/$BF278+$BA278*Templates!$C$29/$BG278+$BB278*Templates!$C$30/$BH278+$BC278*Templates!$C$31/$BI278)/Templates!$B$18)</f>
        <v/>
      </c>
      <c r="BL278" s="18">
        <f>IF(OR($A278="",$BD278=0),0,($AY278*Templates!$D$27/$BE278+$AZ278*Templates!$D$28/$BF278+$BA278*Templates!$D$29/$BG278+$BB278*Templates!$D$30/$BH278+$BC278*Templates!$D$31/$BI278)/Templates!$B$19)</f>
        <v/>
      </c>
      <c r="BM278" s="18">
        <f>IF(OR($A278="",$BD278=0),0,($AY278*Templates!$E$27/$BE278+$AZ278*Templates!$E$28/$BF278+$BA278*Templates!$E$29/$BG278+$BB278*Templates!$E$30/$BH278+$BC278*Templates!$E$31/$BI278)/Templates!$B$20)</f>
        <v/>
      </c>
      <c r="BN278" s="18">
        <f>IF(OR($A278="",$BD278=0),0,($AY278*Templates!$F$27/$BE278+$AZ278*Templates!$F$28/$BF278+$BA278*Templates!$F$29/$BG278+$BB278*Templates!$F$30/$BH278+$BC278*Templates!$F$31/$BI278)/Templates!$B$21)</f>
        <v/>
      </c>
      <c r="BO278" s="18">
        <f>IF(OR($A278="",$BD278=0),0,($AY278*Templates!$G$27/$BE278+$AZ278*Templates!$G$28/$BF278+$BA278*Templates!$G$29/$BG278+$BB278*Templates!$G$30/$BH278+$BC278*Templates!$G$31/$BI278)/Templates!$B$22)</f>
        <v/>
      </c>
      <c r="BP278" s="18">
        <f>IF(OR($A278="",$BD278=0),0,($AY278*Templates!$H$27/$BE278+$AZ278*Templates!$H$28/$BF278+$BA278*Templates!$H$29/$BG278+$BB278*Templates!$H$30/$BH278+$BC278*Templates!$H$31/$BI278)/Templates!$B$23)</f>
        <v/>
      </c>
    </row>
    <row r="279">
      <c r="A279" s="28" t="inlineStr">
        <is>
          <t>Railcar_1</t>
        </is>
      </c>
      <c r="B279" s="20" t="inlineStr">
        <is>
          <t>Macquarie Group</t>
        </is>
      </c>
      <c r="C279" s="28" t="inlineStr">
        <is>
          <t>Macquarie Group</t>
        </is>
      </c>
      <c r="D279" s="28" t="inlineStr"/>
      <c r="E279" s="28" t="inlineStr">
        <is>
          <t>No</t>
        </is>
      </c>
      <c r="F279" s="28" t="inlineStr">
        <is>
          <t>Proposal</t>
        </is>
      </c>
      <c r="G279" s="38" t="n"/>
      <c r="H279" s="43" t="n">
        <v>0.5</v>
      </c>
      <c r="I279" s="39" t="n"/>
      <c r="J279" s="39" t="n"/>
      <c r="K279" s="31" t="n"/>
      <c r="L279" s="31" t="n"/>
      <c r="M279" s="31" t="n"/>
      <c r="N279" s="31" t="n"/>
      <c r="O279" s="31" t="n"/>
      <c r="P279" s="31" t="n"/>
      <c r="Q279" s="23">
        <f>IF($A279="","",COUNTIFS(Assignments!$C$2:$C$769,$A279,Assignments!$G$2:$G$769,"Active"))</f>
        <v/>
      </c>
      <c r="R279" s="32">
        <f>IF($A279="","",SUMIFS(Assignments!$I$2:$I$769,Assignments!$C$2:$C$769,$A279,Assignments!$G$2:$G$769,"Active"))</f>
        <v/>
      </c>
      <c r="S279" s="20" t="inlineStr">
        <is>
          <t>Proposal</t>
        </is>
      </c>
      <c r="T279" s="31" t="n"/>
      <c r="U279" s="38" t="n"/>
      <c r="V279" s="34">
        <f>IF($U279="","",IFERROR(INDEX(Templates!$K$3:$K$10,MATCH($U279,Templates!$A$3:$A$10,0)),""))</f>
        <v/>
      </c>
      <c r="W279" s="34">
        <f>IF($U279="","",IFERROR(INDEX(Templates!$L$3:$L$10,MATCH($U279,Templates!$A$3:$A$10,0)),""))</f>
        <v/>
      </c>
      <c r="X279" s="21">
        <f>IF($U279="","",IFERROR(INDEX(Templates!$J$3:$J$10,MATCH($U279,Templates!$A$3:$A$10,0)),""))</f>
        <v/>
      </c>
      <c r="Y279" s="35">
        <f>IF(OR($U279="",$I279="",$J279="",$X279=""),"",$I279+$X279*($J279-$I279))</f>
        <v/>
      </c>
      <c r="Z279" s="30" t="n">
        <v>46212</v>
      </c>
      <c r="AA279" s="40" t="n"/>
      <c r="AB279" s="41" t="n"/>
      <c r="AC279" s="41" t="n"/>
      <c r="AD279" s="19">
        <f>IF($A279="","",IF($AA279="",$H279,$AA279))</f>
        <v/>
      </c>
      <c r="AE279" s="35">
        <f>IF($A279="","",IF($AB279="",$I279,$AB279))</f>
        <v/>
      </c>
      <c r="AF279" s="35">
        <f>IF($A279="","",IF($AC279="",$J279,$AC279))</f>
        <v/>
      </c>
      <c r="AG279" s="35">
        <f>IF(OR($U279="",$AE279="",$AF279="",$X279=""),"",$AE279+$X279*($AF279-$AE279))</f>
        <v/>
      </c>
      <c r="AH279" s="38" t="n"/>
      <c r="AI279" s="38" t="n"/>
      <c r="AJ279" s="38" t="n"/>
      <c r="AK279" s="38" t="n"/>
      <c r="AL279" s="38" t="n"/>
      <c r="AM279" s="38" t="n"/>
      <c r="AN279" s="38" t="n"/>
      <c r="AO279" s="38" t="n"/>
      <c r="AP279" s="38" t="n"/>
      <c r="AQ279" s="38" t="n"/>
      <c r="AR279" s="38" t="n"/>
      <c r="AS279" s="38" t="n"/>
      <c r="AT279" s="38" t="n"/>
      <c r="AU279" s="38" t="n"/>
      <c r="AV279" s="38" t="n"/>
      <c r="AW279" s="38" t="n"/>
      <c r="AX279" s="38" t="n"/>
      <c r="AY279" s="42" t="n"/>
      <c r="AZ279" s="42" t="n"/>
      <c r="BA279" s="42" t="n"/>
      <c r="BB279" s="42" t="n"/>
      <c r="BC279" s="42" t="n"/>
      <c r="BD279" s="37">
        <f>IF($A279="","",SUM($AY279:$BC279))</f>
        <v/>
      </c>
      <c r="BE279" s="18">
        <f>IF($A279="","",IF(AND($I279&lt;&gt;"",$J279&lt;&gt;""),MAX(1,($J279-$I279)/7),Templates!$B$35))</f>
        <v/>
      </c>
      <c r="BF279" s="18">
        <f>IF($A279="","",IF(AND($I279&lt;&gt;"",$J279&lt;&gt;""),MAX(1,($J279-$I279)/7),Templates!$B$36))</f>
        <v/>
      </c>
      <c r="BG279" s="18">
        <f>IF($A279="","",IF(AND($I279&lt;&gt;"",$J279&lt;&gt;""),MAX(1,($J279-$I279)/7),Templates!$B$37))</f>
        <v/>
      </c>
      <c r="BH279" s="18">
        <f>IF($A279="","",IF(AND($I279&lt;&gt;"",$J279&lt;&gt;""),MAX(1,($J279-$I279)/7),Templates!$B$38))</f>
        <v/>
      </c>
      <c r="BI279" s="18">
        <f>IF($A279="","",IF(AND($I279&lt;&gt;"",$J279&lt;&gt;""),MAX(1,($J279-$I279)/7),Templates!$B$39))</f>
        <v/>
      </c>
      <c r="BJ279" s="18">
        <f>IF(OR($A279="",$BD279=0),0,($AY279*Templates!$B$27/$BE279+$AZ279*Templates!$B$28/$BF279+$BA279*Templates!$B$29/$BG279+$BB279*Templates!$B$30/$BH279+$BC279*Templates!$B$31/$BI279)/Templates!$B$17)</f>
        <v/>
      </c>
      <c r="BK279" s="18">
        <f>IF(OR($A279="",$BD279=0),0,($AY279*Templates!$C$27/$BE279+$AZ279*Templates!$C$28/$BF279+$BA279*Templates!$C$29/$BG279+$BB279*Templates!$C$30/$BH279+$BC279*Templates!$C$31/$BI279)/Templates!$B$18)</f>
        <v/>
      </c>
      <c r="BL279" s="18">
        <f>IF(OR($A279="",$BD279=0),0,($AY279*Templates!$D$27/$BE279+$AZ279*Templates!$D$28/$BF279+$BA279*Templates!$D$29/$BG279+$BB279*Templates!$D$30/$BH279+$BC279*Templates!$D$31/$BI279)/Templates!$B$19)</f>
        <v/>
      </c>
      <c r="BM279" s="18">
        <f>IF(OR($A279="",$BD279=0),0,($AY279*Templates!$E$27/$BE279+$AZ279*Templates!$E$28/$BF279+$BA279*Templates!$E$29/$BG279+$BB279*Templates!$E$30/$BH279+$BC279*Templates!$E$31/$BI279)/Templates!$B$20)</f>
        <v/>
      </c>
      <c r="BN279" s="18">
        <f>IF(OR($A279="",$BD279=0),0,($AY279*Templates!$F$27/$BE279+$AZ279*Templates!$F$28/$BF279+$BA279*Templates!$F$29/$BG279+$BB279*Templates!$F$30/$BH279+$BC279*Templates!$F$31/$BI279)/Templates!$B$21)</f>
        <v/>
      </c>
      <c r="BO279" s="18">
        <f>IF(OR($A279="",$BD279=0),0,($AY279*Templates!$G$27/$BE279+$AZ279*Templates!$G$28/$BF279+$BA279*Templates!$G$29/$BG279+$BB279*Templates!$G$30/$BH279+$BC279*Templates!$G$31/$BI279)/Templates!$B$22)</f>
        <v/>
      </c>
      <c r="BP279" s="18">
        <f>IF(OR($A279="",$BD279=0),0,($AY279*Templates!$H$27/$BE279+$AZ279*Templates!$H$28/$BF279+$BA279*Templates!$H$29/$BG279+$BB279*Templates!$H$30/$BH279+$BC279*Templates!$H$31/$BI279)/Templates!$B$23)</f>
        <v/>
      </c>
    </row>
    <row r="280">
      <c r="A280" s="28" t="inlineStr">
        <is>
          <t>Remus_1</t>
        </is>
      </c>
      <c r="B280" s="20" t="inlineStr">
        <is>
          <t>Archimed</t>
        </is>
      </c>
      <c r="C280" s="28" t="inlineStr">
        <is>
          <t>Archimed</t>
        </is>
      </c>
      <c r="D280" s="28" t="inlineStr"/>
      <c r="E280" s="28" t="inlineStr">
        <is>
          <t>No</t>
        </is>
      </c>
      <c r="F280" s="28" t="inlineStr">
        <is>
          <t>Proposal</t>
        </is>
      </c>
      <c r="G280" s="38" t="n"/>
      <c r="H280" s="43" t="n">
        <v>0.5</v>
      </c>
      <c r="I280" s="39" t="n"/>
      <c r="J280" s="39" t="n"/>
      <c r="K280" s="31" t="n"/>
      <c r="L280" s="31" t="n"/>
      <c r="M280" s="31" t="n"/>
      <c r="N280" s="31" t="n"/>
      <c r="O280" s="31" t="n"/>
      <c r="P280" s="31" t="n"/>
      <c r="Q280" s="23">
        <f>IF($A280="","",COUNTIFS(Assignments!$C$2:$C$769,$A280,Assignments!$G$2:$G$769,"Active"))</f>
        <v/>
      </c>
      <c r="R280" s="32">
        <f>IF($A280="","",SUMIFS(Assignments!$I$2:$I$769,Assignments!$C$2:$C$769,$A280,Assignments!$G$2:$G$769,"Active"))</f>
        <v/>
      </c>
      <c r="S280" s="20" t="inlineStr">
        <is>
          <t>Proposal</t>
        </is>
      </c>
      <c r="T280" s="31" t="n"/>
      <c r="U280" s="38" t="n"/>
      <c r="V280" s="34">
        <f>IF($U280="","",IFERROR(INDEX(Templates!$K$3:$K$10,MATCH($U280,Templates!$A$3:$A$10,0)),""))</f>
        <v/>
      </c>
      <c r="W280" s="34">
        <f>IF($U280="","",IFERROR(INDEX(Templates!$L$3:$L$10,MATCH($U280,Templates!$A$3:$A$10,0)),""))</f>
        <v/>
      </c>
      <c r="X280" s="21">
        <f>IF($U280="","",IFERROR(INDEX(Templates!$J$3:$J$10,MATCH($U280,Templates!$A$3:$A$10,0)),""))</f>
        <v/>
      </c>
      <c r="Y280" s="35">
        <f>IF(OR($U280="",$I280="",$J280="",$X280=""),"",$I280+$X280*($J280-$I280))</f>
        <v/>
      </c>
      <c r="Z280" s="30" t="n">
        <v>46212</v>
      </c>
      <c r="AA280" s="40" t="n"/>
      <c r="AB280" s="41" t="n"/>
      <c r="AC280" s="41" t="n"/>
      <c r="AD280" s="19">
        <f>IF($A280="","",IF($AA280="",$H280,$AA280))</f>
        <v/>
      </c>
      <c r="AE280" s="35">
        <f>IF($A280="","",IF($AB280="",$I280,$AB280))</f>
        <v/>
      </c>
      <c r="AF280" s="35">
        <f>IF($A280="","",IF($AC280="",$J280,$AC280))</f>
        <v/>
      </c>
      <c r="AG280" s="35">
        <f>IF(OR($U280="",$AE280="",$AF280="",$X280=""),"",$AE280+$X280*($AF280-$AE280))</f>
        <v/>
      </c>
      <c r="AH280" s="38" t="n"/>
      <c r="AI280" s="38" t="n"/>
      <c r="AJ280" s="38" t="n"/>
      <c r="AK280" s="38" t="n"/>
      <c r="AL280" s="38" t="n"/>
      <c r="AM280" s="38" t="n"/>
      <c r="AN280" s="38" t="n"/>
      <c r="AO280" s="38" t="n"/>
      <c r="AP280" s="38" t="n"/>
      <c r="AQ280" s="38" t="n"/>
      <c r="AR280" s="38" t="n"/>
      <c r="AS280" s="38" t="n"/>
      <c r="AT280" s="38" t="n"/>
      <c r="AU280" s="38" t="n"/>
      <c r="AV280" s="38" t="n"/>
      <c r="AW280" s="38" t="n"/>
      <c r="AX280" s="38" t="n"/>
      <c r="AY280" s="42" t="n"/>
      <c r="AZ280" s="42" t="n"/>
      <c r="BA280" s="42" t="n"/>
      <c r="BB280" s="42" t="n"/>
      <c r="BC280" s="42" t="n"/>
      <c r="BD280" s="37">
        <f>IF($A280="","",SUM($AY280:$BC280))</f>
        <v/>
      </c>
      <c r="BE280" s="18">
        <f>IF($A280="","",IF(AND($I280&lt;&gt;"",$J280&lt;&gt;""),MAX(1,($J280-$I280)/7),Templates!$B$35))</f>
        <v/>
      </c>
      <c r="BF280" s="18">
        <f>IF($A280="","",IF(AND($I280&lt;&gt;"",$J280&lt;&gt;""),MAX(1,($J280-$I280)/7),Templates!$B$36))</f>
        <v/>
      </c>
      <c r="BG280" s="18">
        <f>IF($A280="","",IF(AND($I280&lt;&gt;"",$J280&lt;&gt;""),MAX(1,($J280-$I280)/7),Templates!$B$37))</f>
        <v/>
      </c>
      <c r="BH280" s="18">
        <f>IF($A280="","",IF(AND($I280&lt;&gt;"",$J280&lt;&gt;""),MAX(1,($J280-$I280)/7),Templates!$B$38))</f>
        <v/>
      </c>
      <c r="BI280" s="18">
        <f>IF($A280="","",IF(AND($I280&lt;&gt;"",$J280&lt;&gt;""),MAX(1,($J280-$I280)/7),Templates!$B$39))</f>
        <v/>
      </c>
      <c r="BJ280" s="18">
        <f>IF(OR($A280="",$BD280=0),0,($AY280*Templates!$B$27/$BE280+$AZ280*Templates!$B$28/$BF280+$BA280*Templates!$B$29/$BG280+$BB280*Templates!$B$30/$BH280+$BC280*Templates!$B$31/$BI280)/Templates!$B$17)</f>
        <v/>
      </c>
      <c r="BK280" s="18">
        <f>IF(OR($A280="",$BD280=0),0,($AY280*Templates!$C$27/$BE280+$AZ280*Templates!$C$28/$BF280+$BA280*Templates!$C$29/$BG280+$BB280*Templates!$C$30/$BH280+$BC280*Templates!$C$31/$BI280)/Templates!$B$18)</f>
        <v/>
      </c>
      <c r="BL280" s="18">
        <f>IF(OR($A280="",$BD280=0),0,($AY280*Templates!$D$27/$BE280+$AZ280*Templates!$D$28/$BF280+$BA280*Templates!$D$29/$BG280+$BB280*Templates!$D$30/$BH280+$BC280*Templates!$D$31/$BI280)/Templates!$B$19)</f>
        <v/>
      </c>
      <c r="BM280" s="18">
        <f>IF(OR($A280="",$BD280=0),0,($AY280*Templates!$E$27/$BE280+$AZ280*Templates!$E$28/$BF280+$BA280*Templates!$E$29/$BG280+$BB280*Templates!$E$30/$BH280+$BC280*Templates!$E$31/$BI280)/Templates!$B$20)</f>
        <v/>
      </c>
      <c r="BN280" s="18">
        <f>IF(OR($A280="",$BD280=0),0,($AY280*Templates!$F$27/$BE280+$AZ280*Templates!$F$28/$BF280+$BA280*Templates!$F$29/$BG280+$BB280*Templates!$F$30/$BH280+$BC280*Templates!$F$31/$BI280)/Templates!$B$21)</f>
        <v/>
      </c>
      <c r="BO280" s="18">
        <f>IF(OR($A280="",$BD280=0),0,($AY280*Templates!$G$27/$BE280+$AZ280*Templates!$G$28/$BF280+$BA280*Templates!$G$29/$BG280+$BB280*Templates!$G$30/$BH280+$BC280*Templates!$G$31/$BI280)/Templates!$B$22)</f>
        <v/>
      </c>
      <c r="BP280" s="18">
        <f>IF(OR($A280="",$BD280=0),0,($AY280*Templates!$H$27/$BE280+$AZ280*Templates!$H$28/$BF280+$BA280*Templates!$H$29/$BG280+$BB280*Templates!$H$30/$BH280+$BC280*Templates!$H$31/$BI280)/Templates!$B$23)</f>
        <v/>
      </c>
    </row>
    <row r="281">
      <c r="A281" s="28" t="inlineStr">
        <is>
          <t>Ridgeline_2</t>
        </is>
      </c>
      <c r="B281" s="20" t="inlineStr">
        <is>
          <t>Fengate</t>
        </is>
      </c>
      <c r="C281" s="28" t="inlineStr">
        <is>
          <t>Fengate</t>
        </is>
      </c>
      <c r="D281" s="28" t="inlineStr"/>
      <c r="E281" s="28" t="inlineStr">
        <is>
          <t>No</t>
        </is>
      </c>
      <c r="F281" s="28" t="inlineStr">
        <is>
          <t>Proposal</t>
        </is>
      </c>
      <c r="G281" s="38" t="n"/>
      <c r="H281" s="43" t="n">
        <v>0.5</v>
      </c>
      <c r="I281" s="39" t="n"/>
      <c r="J281" s="39" t="n"/>
      <c r="K281" s="31" t="n"/>
      <c r="L281" s="31" t="n"/>
      <c r="M281" s="31" t="n"/>
      <c r="N281" s="31" t="n"/>
      <c r="O281" s="31" t="n"/>
      <c r="P281" s="31" t="n"/>
      <c r="Q281" s="23">
        <f>IF($A281="","",COUNTIFS(Assignments!$C$2:$C$769,$A281,Assignments!$G$2:$G$769,"Active"))</f>
        <v/>
      </c>
      <c r="R281" s="32">
        <f>IF($A281="","",SUMIFS(Assignments!$I$2:$I$769,Assignments!$C$2:$C$769,$A281,Assignments!$G$2:$G$769,"Active"))</f>
        <v/>
      </c>
      <c r="S281" s="20" t="inlineStr">
        <is>
          <t>Proposal</t>
        </is>
      </c>
      <c r="T281" s="31" t="n"/>
      <c r="U281" s="38" t="n"/>
      <c r="V281" s="34">
        <f>IF($U281="","",IFERROR(INDEX(Templates!$K$3:$K$10,MATCH($U281,Templates!$A$3:$A$10,0)),""))</f>
        <v/>
      </c>
      <c r="W281" s="34">
        <f>IF($U281="","",IFERROR(INDEX(Templates!$L$3:$L$10,MATCH($U281,Templates!$A$3:$A$10,0)),""))</f>
        <v/>
      </c>
      <c r="X281" s="21">
        <f>IF($U281="","",IFERROR(INDEX(Templates!$J$3:$J$10,MATCH($U281,Templates!$A$3:$A$10,0)),""))</f>
        <v/>
      </c>
      <c r="Y281" s="35">
        <f>IF(OR($U281="",$I281="",$J281="",$X281=""),"",$I281+$X281*($J281-$I281))</f>
        <v/>
      </c>
      <c r="Z281" s="30" t="n">
        <v>46212</v>
      </c>
      <c r="AA281" s="40" t="n"/>
      <c r="AB281" s="41" t="n"/>
      <c r="AC281" s="41" t="n"/>
      <c r="AD281" s="19">
        <f>IF($A281="","",IF($AA281="",$H281,$AA281))</f>
        <v/>
      </c>
      <c r="AE281" s="35">
        <f>IF($A281="","",IF($AB281="",$I281,$AB281))</f>
        <v/>
      </c>
      <c r="AF281" s="35">
        <f>IF($A281="","",IF($AC281="",$J281,$AC281))</f>
        <v/>
      </c>
      <c r="AG281" s="35">
        <f>IF(OR($U281="",$AE281="",$AF281="",$X281=""),"",$AE281+$X281*($AF281-$AE281))</f>
        <v/>
      </c>
      <c r="AH281" s="38" t="n"/>
      <c r="AI281" s="38" t="n"/>
      <c r="AJ281" s="38" t="n"/>
      <c r="AK281" s="38" t="n"/>
      <c r="AL281" s="38" t="n"/>
      <c r="AM281" s="38" t="n"/>
      <c r="AN281" s="38" t="n"/>
      <c r="AO281" s="38" t="n"/>
      <c r="AP281" s="38" t="n"/>
      <c r="AQ281" s="38" t="n"/>
      <c r="AR281" s="38" t="n"/>
      <c r="AS281" s="38" t="n"/>
      <c r="AT281" s="38" t="n"/>
      <c r="AU281" s="38" t="n"/>
      <c r="AV281" s="38" t="n"/>
      <c r="AW281" s="38" t="n"/>
      <c r="AX281" s="38" t="n"/>
      <c r="AY281" s="42" t="n"/>
      <c r="AZ281" s="42" t="n"/>
      <c r="BA281" s="42" t="n"/>
      <c r="BB281" s="42" t="n"/>
      <c r="BC281" s="42" t="n"/>
      <c r="BD281" s="37">
        <f>IF($A281="","",SUM($AY281:$BC281))</f>
        <v/>
      </c>
      <c r="BE281" s="18">
        <f>IF($A281="","",IF(AND($I281&lt;&gt;"",$J281&lt;&gt;""),MAX(1,($J281-$I281)/7),Templates!$B$35))</f>
        <v/>
      </c>
      <c r="BF281" s="18">
        <f>IF($A281="","",IF(AND($I281&lt;&gt;"",$J281&lt;&gt;""),MAX(1,($J281-$I281)/7),Templates!$B$36))</f>
        <v/>
      </c>
      <c r="BG281" s="18">
        <f>IF($A281="","",IF(AND($I281&lt;&gt;"",$J281&lt;&gt;""),MAX(1,($J281-$I281)/7),Templates!$B$37))</f>
        <v/>
      </c>
      <c r="BH281" s="18">
        <f>IF($A281="","",IF(AND($I281&lt;&gt;"",$J281&lt;&gt;""),MAX(1,($J281-$I281)/7),Templates!$B$38))</f>
        <v/>
      </c>
      <c r="BI281" s="18">
        <f>IF($A281="","",IF(AND($I281&lt;&gt;"",$J281&lt;&gt;""),MAX(1,($J281-$I281)/7),Templates!$B$39))</f>
        <v/>
      </c>
      <c r="BJ281" s="18">
        <f>IF(OR($A281="",$BD281=0),0,($AY281*Templates!$B$27/$BE281+$AZ281*Templates!$B$28/$BF281+$BA281*Templates!$B$29/$BG281+$BB281*Templates!$B$30/$BH281+$BC281*Templates!$B$31/$BI281)/Templates!$B$17)</f>
        <v/>
      </c>
      <c r="BK281" s="18">
        <f>IF(OR($A281="",$BD281=0),0,($AY281*Templates!$C$27/$BE281+$AZ281*Templates!$C$28/$BF281+$BA281*Templates!$C$29/$BG281+$BB281*Templates!$C$30/$BH281+$BC281*Templates!$C$31/$BI281)/Templates!$B$18)</f>
        <v/>
      </c>
      <c r="BL281" s="18">
        <f>IF(OR($A281="",$BD281=0),0,($AY281*Templates!$D$27/$BE281+$AZ281*Templates!$D$28/$BF281+$BA281*Templates!$D$29/$BG281+$BB281*Templates!$D$30/$BH281+$BC281*Templates!$D$31/$BI281)/Templates!$B$19)</f>
        <v/>
      </c>
      <c r="BM281" s="18">
        <f>IF(OR($A281="",$BD281=0),0,($AY281*Templates!$E$27/$BE281+$AZ281*Templates!$E$28/$BF281+$BA281*Templates!$E$29/$BG281+$BB281*Templates!$E$30/$BH281+$BC281*Templates!$E$31/$BI281)/Templates!$B$20)</f>
        <v/>
      </c>
      <c r="BN281" s="18">
        <f>IF(OR($A281="",$BD281=0),0,($AY281*Templates!$F$27/$BE281+$AZ281*Templates!$F$28/$BF281+$BA281*Templates!$F$29/$BG281+$BB281*Templates!$F$30/$BH281+$BC281*Templates!$F$31/$BI281)/Templates!$B$21)</f>
        <v/>
      </c>
      <c r="BO281" s="18">
        <f>IF(OR($A281="",$BD281=0),0,($AY281*Templates!$G$27/$BE281+$AZ281*Templates!$G$28/$BF281+$BA281*Templates!$G$29/$BG281+$BB281*Templates!$G$30/$BH281+$BC281*Templates!$G$31/$BI281)/Templates!$B$22)</f>
        <v/>
      </c>
      <c r="BP281" s="18">
        <f>IF(OR($A281="",$BD281=0),0,($AY281*Templates!$H$27/$BE281+$AZ281*Templates!$H$28/$BF281+$BA281*Templates!$H$29/$BG281+$BB281*Templates!$H$30/$BH281+$BC281*Templates!$H$31/$BI281)/Templates!$B$23)</f>
        <v/>
      </c>
    </row>
    <row r="282">
      <c r="A282" s="28" t="inlineStr">
        <is>
          <t>Roadrunner_1</t>
        </is>
      </c>
      <c r="B282" s="20" t="inlineStr">
        <is>
          <t>BlackRock : Global Infrastructure Partners : Clearway Energy</t>
        </is>
      </c>
      <c r="C282" s="28" t="inlineStr">
        <is>
          <t>BlackRock</t>
        </is>
      </c>
      <c r="D282" s="28" t="inlineStr">
        <is>
          <t>Clearway Energy</t>
        </is>
      </c>
      <c r="E282" s="28" t="inlineStr">
        <is>
          <t>No</t>
        </is>
      </c>
      <c r="F282" s="28" t="inlineStr">
        <is>
          <t>Proposal</t>
        </is>
      </c>
      <c r="G282" s="38" t="n"/>
      <c r="H282" s="43" t="n">
        <v>0.5</v>
      </c>
      <c r="I282" s="39" t="n"/>
      <c r="J282" s="39" t="n"/>
      <c r="K282" s="31" t="n"/>
      <c r="L282" s="31" t="n"/>
      <c r="M282" s="31" t="n"/>
      <c r="N282" s="31" t="n"/>
      <c r="O282" s="31" t="n"/>
      <c r="P282" s="31" t="n"/>
      <c r="Q282" s="23">
        <f>IF($A282="","",COUNTIFS(Assignments!$C$2:$C$769,$A282,Assignments!$G$2:$G$769,"Active"))</f>
        <v/>
      </c>
      <c r="R282" s="32">
        <f>IF($A282="","",SUMIFS(Assignments!$I$2:$I$769,Assignments!$C$2:$C$769,$A282,Assignments!$G$2:$G$769,"Active"))</f>
        <v/>
      </c>
      <c r="S282" s="20" t="inlineStr">
        <is>
          <t>Proposal</t>
        </is>
      </c>
      <c r="T282" s="31" t="n"/>
      <c r="U282" s="38" t="n"/>
      <c r="V282" s="34">
        <f>IF($U282="","",IFERROR(INDEX(Templates!$K$3:$K$10,MATCH($U282,Templates!$A$3:$A$10,0)),""))</f>
        <v/>
      </c>
      <c r="W282" s="34">
        <f>IF($U282="","",IFERROR(INDEX(Templates!$L$3:$L$10,MATCH($U282,Templates!$A$3:$A$10,0)),""))</f>
        <v/>
      </c>
      <c r="X282" s="21">
        <f>IF($U282="","",IFERROR(INDEX(Templates!$J$3:$J$10,MATCH($U282,Templates!$A$3:$A$10,0)),""))</f>
        <v/>
      </c>
      <c r="Y282" s="35">
        <f>IF(OR($U282="",$I282="",$J282="",$X282=""),"",$I282+$X282*($J282-$I282))</f>
        <v/>
      </c>
      <c r="Z282" s="30" t="n">
        <v>46212</v>
      </c>
      <c r="AA282" s="40" t="n"/>
      <c r="AB282" s="41" t="n"/>
      <c r="AC282" s="41" t="n"/>
      <c r="AD282" s="19">
        <f>IF($A282="","",IF($AA282="",$H282,$AA282))</f>
        <v/>
      </c>
      <c r="AE282" s="35">
        <f>IF($A282="","",IF($AB282="",$I282,$AB282))</f>
        <v/>
      </c>
      <c r="AF282" s="35">
        <f>IF($A282="","",IF($AC282="",$J282,$AC282))</f>
        <v/>
      </c>
      <c r="AG282" s="35">
        <f>IF(OR($U282="",$AE282="",$AF282="",$X282=""),"",$AE282+$X282*($AF282-$AE282))</f>
        <v/>
      </c>
      <c r="AH282" s="38" t="n"/>
      <c r="AI282" s="38" t="n"/>
      <c r="AJ282" s="38" t="n"/>
      <c r="AK282" s="38" t="n"/>
      <c r="AL282" s="38" t="n"/>
      <c r="AM282" s="38" t="n"/>
      <c r="AN282" s="38" t="n"/>
      <c r="AO282" s="38" t="n"/>
      <c r="AP282" s="38" t="n"/>
      <c r="AQ282" s="38" t="n"/>
      <c r="AR282" s="38" t="n"/>
      <c r="AS282" s="38" t="n"/>
      <c r="AT282" s="38" t="n"/>
      <c r="AU282" s="38" t="n"/>
      <c r="AV282" s="38" t="n"/>
      <c r="AW282" s="38" t="n"/>
      <c r="AX282" s="38" t="n"/>
      <c r="AY282" s="42" t="n"/>
      <c r="AZ282" s="42" t="n"/>
      <c r="BA282" s="42" t="n"/>
      <c r="BB282" s="42" t="n"/>
      <c r="BC282" s="42" t="n"/>
      <c r="BD282" s="37">
        <f>IF($A282="","",SUM($AY282:$BC282))</f>
        <v/>
      </c>
      <c r="BE282" s="18">
        <f>IF($A282="","",IF(AND($I282&lt;&gt;"",$J282&lt;&gt;""),MAX(1,($J282-$I282)/7),Templates!$B$35))</f>
        <v/>
      </c>
      <c r="BF282" s="18">
        <f>IF($A282="","",IF(AND($I282&lt;&gt;"",$J282&lt;&gt;""),MAX(1,($J282-$I282)/7),Templates!$B$36))</f>
        <v/>
      </c>
      <c r="BG282" s="18">
        <f>IF($A282="","",IF(AND($I282&lt;&gt;"",$J282&lt;&gt;""),MAX(1,($J282-$I282)/7),Templates!$B$37))</f>
        <v/>
      </c>
      <c r="BH282" s="18">
        <f>IF($A282="","",IF(AND($I282&lt;&gt;"",$J282&lt;&gt;""),MAX(1,($J282-$I282)/7),Templates!$B$38))</f>
        <v/>
      </c>
      <c r="BI282" s="18">
        <f>IF($A282="","",IF(AND($I282&lt;&gt;"",$J282&lt;&gt;""),MAX(1,($J282-$I282)/7),Templates!$B$39))</f>
        <v/>
      </c>
      <c r="BJ282" s="18">
        <f>IF(OR($A282="",$BD282=0),0,($AY282*Templates!$B$27/$BE282+$AZ282*Templates!$B$28/$BF282+$BA282*Templates!$B$29/$BG282+$BB282*Templates!$B$30/$BH282+$BC282*Templates!$B$31/$BI282)/Templates!$B$17)</f>
        <v/>
      </c>
      <c r="BK282" s="18">
        <f>IF(OR($A282="",$BD282=0),0,($AY282*Templates!$C$27/$BE282+$AZ282*Templates!$C$28/$BF282+$BA282*Templates!$C$29/$BG282+$BB282*Templates!$C$30/$BH282+$BC282*Templates!$C$31/$BI282)/Templates!$B$18)</f>
        <v/>
      </c>
      <c r="BL282" s="18">
        <f>IF(OR($A282="",$BD282=0),0,($AY282*Templates!$D$27/$BE282+$AZ282*Templates!$D$28/$BF282+$BA282*Templates!$D$29/$BG282+$BB282*Templates!$D$30/$BH282+$BC282*Templates!$D$31/$BI282)/Templates!$B$19)</f>
        <v/>
      </c>
      <c r="BM282" s="18">
        <f>IF(OR($A282="",$BD282=0),0,($AY282*Templates!$E$27/$BE282+$AZ282*Templates!$E$28/$BF282+$BA282*Templates!$E$29/$BG282+$BB282*Templates!$E$30/$BH282+$BC282*Templates!$E$31/$BI282)/Templates!$B$20)</f>
        <v/>
      </c>
      <c r="BN282" s="18">
        <f>IF(OR($A282="",$BD282=0),0,($AY282*Templates!$F$27/$BE282+$AZ282*Templates!$F$28/$BF282+$BA282*Templates!$F$29/$BG282+$BB282*Templates!$F$30/$BH282+$BC282*Templates!$F$31/$BI282)/Templates!$B$21)</f>
        <v/>
      </c>
      <c r="BO282" s="18">
        <f>IF(OR($A282="",$BD282=0),0,($AY282*Templates!$G$27/$BE282+$AZ282*Templates!$G$28/$BF282+$BA282*Templates!$G$29/$BG282+$BB282*Templates!$G$30/$BH282+$BC282*Templates!$G$31/$BI282)/Templates!$B$22)</f>
        <v/>
      </c>
      <c r="BP282" s="18">
        <f>IF(OR($A282="",$BD282=0),0,($AY282*Templates!$H$27/$BE282+$AZ282*Templates!$H$28/$BF282+$BA282*Templates!$H$29/$BG282+$BB282*Templates!$H$30/$BH282+$BC282*Templates!$H$31/$BI282)/Templates!$B$23)</f>
        <v/>
      </c>
    </row>
    <row r="283">
      <c r="A283" s="28" t="inlineStr">
        <is>
          <t>Rocky_1</t>
        </is>
      </c>
      <c r="B283" s="20" t="inlineStr">
        <is>
          <t>Ryan Transactional Risk</t>
        </is>
      </c>
      <c r="C283" s="28" t="inlineStr">
        <is>
          <t>Ryan Transactional Risk</t>
        </is>
      </c>
      <c r="D283" s="28" t="inlineStr"/>
      <c r="E283" s="28" t="inlineStr">
        <is>
          <t>No</t>
        </is>
      </c>
      <c r="F283" s="28" t="inlineStr">
        <is>
          <t>Proposal</t>
        </is>
      </c>
      <c r="G283" s="38" t="n"/>
      <c r="H283" s="43" t="n">
        <v>0.5</v>
      </c>
      <c r="I283" s="39" t="n"/>
      <c r="J283" s="39" t="n"/>
      <c r="K283" s="31" t="n"/>
      <c r="L283" s="31" t="n"/>
      <c r="M283" s="31" t="n"/>
      <c r="N283" s="31" t="n"/>
      <c r="O283" s="31" t="n"/>
      <c r="P283" s="31" t="n"/>
      <c r="Q283" s="23">
        <f>IF($A283="","",COUNTIFS(Assignments!$C$2:$C$769,$A283,Assignments!$G$2:$G$769,"Active"))</f>
        <v/>
      </c>
      <c r="R283" s="32">
        <f>IF($A283="","",SUMIFS(Assignments!$I$2:$I$769,Assignments!$C$2:$C$769,$A283,Assignments!$G$2:$G$769,"Active"))</f>
        <v/>
      </c>
      <c r="S283" s="20" t="inlineStr">
        <is>
          <t>Proposal</t>
        </is>
      </c>
      <c r="T283" s="31" t="n"/>
      <c r="U283" s="38" t="n"/>
      <c r="V283" s="34">
        <f>IF($U283="","",IFERROR(INDEX(Templates!$K$3:$K$10,MATCH($U283,Templates!$A$3:$A$10,0)),""))</f>
        <v/>
      </c>
      <c r="W283" s="34">
        <f>IF($U283="","",IFERROR(INDEX(Templates!$L$3:$L$10,MATCH($U283,Templates!$A$3:$A$10,0)),""))</f>
        <v/>
      </c>
      <c r="X283" s="21">
        <f>IF($U283="","",IFERROR(INDEX(Templates!$J$3:$J$10,MATCH($U283,Templates!$A$3:$A$10,0)),""))</f>
        <v/>
      </c>
      <c r="Y283" s="35">
        <f>IF(OR($U283="",$I283="",$J283="",$X283=""),"",$I283+$X283*($J283-$I283))</f>
        <v/>
      </c>
      <c r="Z283" s="30" t="n">
        <v>46212</v>
      </c>
      <c r="AA283" s="40" t="n"/>
      <c r="AB283" s="41" t="n"/>
      <c r="AC283" s="41" t="n"/>
      <c r="AD283" s="19">
        <f>IF($A283="","",IF($AA283="",$H283,$AA283))</f>
        <v/>
      </c>
      <c r="AE283" s="35">
        <f>IF($A283="","",IF($AB283="",$I283,$AB283))</f>
        <v/>
      </c>
      <c r="AF283" s="35">
        <f>IF($A283="","",IF($AC283="",$J283,$AC283))</f>
        <v/>
      </c>
      <c r="AG283" s="35">
        <f>IF(OR($U283="",$AE283="",$AF283="",$X283=""),"",$AE283+$X283*($AF283-$AE283))</f>
        <v/>
      </c>
      <c r="AH283" s="38" t="n"/>
      <c r="AI283" s="38" t="n"/>
      <c r="AJ283" s="38" t="n"/>
      <c r="AK283" s="38" t="n"/>
      <c r="AL283" s="38" t="n"/>
      <c r="AM283" s="38" t="n"/>
      <c r="AN283" s="38" t="n"/>
      <c r="AO283" s="38" t="n"/>
      <c r="AP283" s="38" t="n"/>
      <c r="AQ283" s="38" t="n"/>
      <c r="AR283" s="38" t="n"/>
      <c r="AS283" s="38" t="n"/>
      <c r="AT283" s="38" t="n"/>
      <c r="AU283" s="38" t="n"/>
      <c r="AV283" s="38" t="n"/>
      <c r="AW283" s="38" t="n"/>
      <c r="AX283" s="38" t="n"/>
      <c r="AY283" s="42" t="n"/>
      <c r="AZ283" s="42" t="n"/>
      <c r="BA283" s="42" t="n"/>
      <c r="BB283" s="42" t="n"/>
      <c r="BC283" s="42" t="n"/>
      <c r="BD283" s="37">
        <f>IF($A283="","",SUM($AY283:$BC283))</f>
        <v/>
      </c>
      <c r="BE283" s="18">
        <f>IF($A283="","",IF(AND($I283&lt;&gt;"",$J283&lt;&gt;""),MAX(1,($J283-$I283)/7),Templates!$B$35))</f>
        <v/>
      </c>
      <c r="BF283" s="18">
        <f>IF($A283="","",IF(AND($I283&lt;&gt;"",$J283&lt;&gt;""),MAX(1,($J283-$I283)/7),Templates!$B$36))</f>
        <v/>
      </c>
      <c r="BG283" s="18">
        <f>IF($A283="","",IF(AND($I283&lt;&gt;"",$J283&lt;&gt;""),MAX(1,($J283-$I283)/7),Templates!$B$37))</f>
        <v/>
      </c>
      <c r="BH283" s="18">
        <f>IF($A283="","",IF(AND($I283&lt;&gt;"",$J283&lt;&gt;""),MAX(1,($J283-$I283)/7),Templates!$B$38))</f>
        <v/>
      </c>
      <c r="BI283" s="18">
        <f>IF($A283="","",IF(AND($I283&lt;&gt;"",$J283&lt;&gt;""),MAX(1,($J283-$I283)/7),Templates!$B$39))</f>
        <v/>
      </c>
      <c r="BJ283" s="18">
        <f>IF(OR($A283="",$BD283=0),0,($AY283*Templates!$B$27/$BE283+$AZ283*Templates!$B$28/$BF283+$BA283*Templates!$B$29/$BG283+$BB283*Templates!$B$30/$BH283+$BC283*Templates!$B$31/$BI283)/Templates!$B$17)</f>
        <v/>
      </c>
      <c r="BK283" s="18">
        <f>IF(OR($A283="",$BD283=0),0,($AY283*Templates!$C$27/$BE283+$AZ283*Templates!$C$28/$BF283+$BA283*Templates!$C$29/$BG283+$BB283*Templates!$C$30/$BH283+$BC283*Templates!$C$31/$BI283)/Templates!$B$18)</f>
        <v/>
      </c>
      <c r="BL283" s="18">
        <f>IF(OR($A283="",$BD283=0),0,($AY283*Templates!$D$27/$BE283+$AZ283*Templates!$D$28/$BF283+$BA283*Templates!$D$29/$BG283+$BB283*Templates!$D$30/$BH283+$BC283*Templates!$D$31/$BI283)/Templates!$B$19)</f>
        <v/>
      </c>
      <c r="BM283" s="18">
        <f>IF(OR($A283="",$BD283=0),0,($AY283*Templates!$E$27/$BE283+$AZ283*Templates!$E$28/$BF283+$BA283*Templates!$E$29/$BG283+$BB283*Templates!$E$30/$BH283+$BC283*Templates!$E$31/$BI283)/Templates!$B$20)</f>
        <v/>
      </c>
      <c r="BN283" s="18">
        <f>IF(OR($A283="",$BD283=0),0,($AY283*Templates!$F$27/$BE283+$AZ283*Templates!$F$28/$BF283+$BA283*Templates!$F$29/$BG283+$BB283*Templates!$F$30/$BH283+$BC283*Templates!$F$31/$BI283)/Templates!$B$21)</f>
        <v/>
      </c>
      <c r="BO283" s="18">
        <f>IF(OR($A283="",$BD283=0),0,($AY283*Templates!$G$27/$BE283+$AZ283*Templates!$G$28/$BF283+$BA283*Templates!$G$29/$BG283+$BB283*Templates!$G$30/$BH283+$BC283*Templates!$G$31/$BI283)/Templates!$B$22)</f>
        <v/>
      </c>
      <c r="BP283" s="18">
        <f>IF(OR($A283="",$BD283=0),0,($AY283*Templates!$H$27/$BE283+$AZ283*Templates!$H$28/$BF283+$BA283*Templates!$H$29/$BG283+$BB283*Templates!$H$30/$BH283+$BC283*Templates!$H$31/$BI283)/Templates!$B$23)</f>
        <v/>
      </c>
    </row>
    <row r="284">
      <c r="A284" s="28" t="inlineStr">
        <is>
          <t>Rosa_1</t>
        </is>
      </c>
      <c r="B284" s="20" t="inlineStr">
        <is>
          <t>Ares Management Corporation</t>
        </is>
      </c>
      <c r="C284" s="28" t="inlineStr">
        <is>
          <t>Ares Management Corporation</t>
        </is>
      </c>
      <c r="D284" s="28" t="inlineStr"/>
      <c r="E284" s="28" t="inlineStr">
        <is>
          <t>No</t>
        </is>
      </c>
      <c r="F284" s="28" t="inlineStr">
        <is>
          <t>Proposal</t>
        </is>
      </c>
      <c r="G284" s="38" t="n"/>
      <c r="H284" s="43" t="n">
        <v>0.5</v>
      </c>
      <c r="I284" s="39" t="n"/>
      <c r="J284" s="39" t="n"/>
      <c r="K284" s="31" t="n"/>
      <c r="L284" s="31" t="n"/>
      <c r="M284" s="31" t="n"/>
      <c r="N284" s="31" t="n"/>
      <c r="O284" s="31" t="n"/>
      <c r="P284" s="31" t="n"/>
      <c r="Q284" s="23">
        <f>IF($A284="","",COUNTIFS(Assignments!$C$2:$C$769,$A284,Assignments!$G$2:$G$769,"Active"))</f>
        <v/>
      </c>
      <c r="R284" s="32">
        <f>IF($A284="","",SUMIFS(Assignments!$I$2:$I$769,Assignments!$C$2:$C$769,$A284,Assignments!$G$2:$G$769,"Active"))</f>
        <v/>
      </c>
      <c r="S284" s="20" t="inlineStr">
        <is>
          <t>Proposal</t>
        </is>
      </c>
      <c r="T284" s="31" t="n"/>
      <c r="U284" s="38" t="n"/>
      <c r="V284" s="34">
        <f>IF($U284="","",IFERROR(INDEX(Templates!$K$3:$K$10,MATCH($U284,Templates!$A$3:$A$10,0)),""))</f>
        <v/>
      </c>
      <c r="W284" s="34">
        <f>IF($U284="","",IFERROR(INDEX(Templates!$L$3:$L$10,MATCH($U284,Templates!$A$3:$A$10,0)),""))</f>
        <v/>
      </c>
      <c r="X284" s="21">
        <f>IF($U284="","",IFERROR(INDEX(Templates!$J$3:$J$10,MATCH($U284,Templates!$A$3:$A$10,0)),""))</f>
        <v/>
      </c>
      <c r="Y284" s="35">
        <f>IF(OR($U284="",$I284="",$J284="",$X284=""),"",$I284+$X284*($J284-$I284))</f>
        <v/>
      </c>
      <c r="Z284" s="30" t="n">
        <v>46212</v>
      </c>
      <c r="AA284" s="40" t="n"/>
      <c r="AB284" s="41" t="n"/>
      <c r="AC284" s="41" t="n"/>
      <c r="AD284" s="19">
        <f>IF($A284="","",IF($AA284="",$H284,$AA284))</f>
        <v/>
      </c>
      <c r="AE284" s="35">
        <f>IF($A284="","",IF($AB284="",$I284,$AB284))</f>
        <v/>
      </c>
      <c r="AF284" s="35">
        <f>IF($A284="","",IF($AC284="",$J284,$AC284))</f>
        <v/>
      </c>
      <c r="AG284" s="35">
        <f>IF(OR($U284="",$AE284="",$AF284="",$X284=""),"",$AE284+$X284*($AF284-$AE284))</f>
        <v/>
      </c>
      <c r="AH284" s="38" t="n"/>
      <c r="AI284" s="38" t="n"/>
      <c r="AJ284" s="38" t="n"/>
      <c r="AK284" s="38" t="n"/>
      <c r="AL284" s="38" t="n"/>
      <c r="AM284" s="38" t="n"/>
      <c r="AN284" s="38" t="n"/>
      <c r="AO284" s="38" t="n"/>
      <c r="AP284" s="38" t="n"/>
      <c r="AQ284" s="38" t="n"/>
      <c r="AR284" s="38" t="n"/>
      <c r="AS284" s="38" t="n"/>
      <c r="AT284" s="38" t="n"/>
      <c r="AU284" s="38" t="n"/>
      <c r="AV284" s="38" t="n"/>
      <c r="AW284" s="38" t="n"/>
      <c r="AX284" s="38" t="n"/>
      <c r="AY284" s="42" t="n"/>
      <c r="AZ284" s="42" t="n"/>
      <c r="BA284" s="42" t="n"/>
      <c r="BB284" s="42" t="n"/>
      <c r="BC284" s="42" t="n"/>
      <c r="BD284" s="37">
        <f>IF($A284="","",SUM($AY284:$BC284))</f>
        <v/>
      </c>
      <c r="BE284" s="18">
        <f>IF($A284="","",IF(AND($I284&lt;&gt;"",$J284&lt;&gt;""),MAX(1,($J284-$I284)/7),Templates!$B$35))</f>
        <v/>
      </c>
      <c r="BF284" s="18">
        <f>IF($A284="","",IF(AND($I284&lt;&gt;"",$J284&lt;&gt;""),MAX(1,($J284-$I284)/7),Templates!$B$36))</f>
        <v/>
      </c>
      <c r="BG284" s="18">
        <f>IF($A284="","",IF(AND($I284&lt;&gt;"",$J284&lt;&gt;""),MAX(1,($J284-$I284)/7),Templates!$B$37))</f>
        <v/>
      </c>
      <c r="BH284" s="18">
        <f>IF($A284="","",IF(AND($I284&lt;&gt;"",$J284&lt;&gt;""),MAX(1,($J284-$I284)/7),Templates!$B$38))</f>
        <v/>
      </c>
      <c r="BI284" s="18">
        <f>IF($A284="","",IF(AND($I284&lt;&gt;"",$J284&lt;&gt;""),MAX(1,($J284-$I284)/7),Templates!$B$39))</f>
        <v/>
      </c>
      <c r="BJ284" s="18">
        <f>IF(OR($A284="",$BD284=0),0,($AY284*Templates!$B$27/$BE284+$AZ284*Templates!$B$28/$BF284+$BA284*Templates!$B$29/$BG284+$BB284*Templates!$B$30/$BH284+$BC284*Templates!$B$31/$BI284)/Templates!$B$17)</f>
        <v/>
      </c>
      <c r="BK284" s="18">
        <f>IF(OR($A284="",$BD284=0),0,($AY284*Templates!$C$27/$BE284+$AZ284*Templates!$C$28/$BF284+$BA284*Templates!$C$29/$BG284+$BB284*Templates!$C$30/$BH284+$BC284*Templates!$C$31/$BI284)/Templates!$B$18)</f>
        <v/>
      </c>
      <c r="BL284" s="18">
        <f>IF(OR($A284="",$BD284=0),0,($AY284*Templates!$D$27/$BE284+$AZ284*Templates!$D$28/$BF284+$BA284*Templates!$D$29/$BG284+$BB284*Templates!$D$30/$BH284+$BC284*Templates!$D$31/$BI284)/Templates!$B$19)</f>
        <v/>
      </c>
      <c r="BM284" s="18">
        <f>IF(OR($A284="",$BD284=0),0,($AY284*Templates!$E$27/$BE284+$AZ284*Templates!$E$28/$BF284+$BA284*Templates!$E$29/$BG284+$BB284*Templates!$E$30/$BH284+$BC284*Templates!$E$31/$BI284)/Templates!$B$20)</f>
        <v/>
      </c>
      <c r="BN284" s="18">
        <f>IF(OR($A284="",$BD284=0),0,($AY284*Templates!$F$27/$BE284+$AZ284*Templates!$F$28/$BF284+$BA284*Templates!$F$29/$BG284+$BB284*Templates!$F$30/$BH284+$BC284*Templates!$F$31/$BI284)/Templates!$B$21)</f>
        <v/>
      </c>
      <c r="BO284" s="18">
        <f>IF(OR($A284="",$BD284=0),0,($AY284*Templates!$G$27/$BE284+$AZ284*Templates!$G$28/$BF284+$BA284*Templates!$G$29/$BG284+$BB284*Templates!$G$30/$BH284+$BC284*Templates!$G$31/$BI284)/Templates!$B$22)</f>
        <v/>
      </c>
      <c r="BP284" s="18">
        <f>IF(OR($A284="",$BD284=0),0,($AY284*Templates!$H$27/$BE284+$AZ284*Templates!$H$28/$BF284+$BA284*Templates!$H$29/$BG284+$BB284*Templates!$H$30/$BH284+$BC284*Templates!$H$31/$BI284)/Templates!$B$23)</f>
        <v/>
      </c>
    </row>
    <row r="285">
      <c r="A285" s="28" t="inlineStr">
        <is>
          <t>Scale Add On</t>
        </is>
      </c>
      <c r="B285" s="20" t="inlineStr">
        <is>
          <t>EQT Group</t>
        </is>
      </c>
      <c r="C285" s="28" t="inlineStr">
        <is>
          <t>EQT Group</t>
        </is>
      </c>
      <c r="D285" s="28" t="inlineStr"/>
      <c r="E285" s="28" t="inlineStr">
        <is>
          <t>No</t>
        </is>
      </c>
      <c r="F285" s="28" t="inlineStr">
        <is>
          <t>Proposal</t>
        </is>
      </c>
      <c r="G285" s="38" t="n"/>
      <c r="H285" s="43" t="n">
        <v>0.5</v>
      </c>
      <c r="I285" s="39" t="n"/>
      <c r="J285" s="39" t="n"/>
      <c r="K285" s="31" t="n"/>
      <c r="L285" s="31" t="n"/>
      <c r="M285" s="31" t="n"/>
      <c r="N285" s="31" t="n"/>
      <c r="O285" s="31" t="n"/>
      <c r="P285" s="31" t="n"/>
      <c r="Q285" s="23">
        <f>IF($A285="","",COUNTIFS(Assignments!$C$2:$C$769,$A285,Assignments!$G$2:$G$769,"Active"))</f>
        <v/>
      </c>
      <c r="R285" s="32">
        <f>IF($A285="","",SUMIFS(Assignments!$I$2:$I$769,Assignments!$C$2:$C$769,$A285,Assignments!$G$2:$G$769,"Active"))</f>
        <v/>
      </c>
      <c r="S285" s="20" t="inlineStr">
        <is>
          <t>Summary tab only (Proposal)</t>
        </is>
      </c>
      <c r="T285" s="31" t="n"/>
      <c r="U285" s="38" t="n"/>
      <c r="V285" s="34">
        <f>IF($U285="","",IFERROR(INDEX(Templates!$K$3:$K$10,MATCH($U285,Templates!$A$3:$A$10,0)),""))</f>
        <v/>
      </c>
      <c r="W285" s="34">
        <f>IF($U285="","",IFERROR(INDEX(Templates!$L$3:$L$10,MATCH($U285,Templates!$A$3:$A$10,0)),""))</f>
        <v/>
      </c>
      <c r="X285" s="21">
        <f>IF($U285="","",IFERROR(INDEX(Templates!$J$3:$J$10,MATCH($U285,Templates!$A$3:$A$10,0)),""))</f>
        <v/>
      </c>
      <c r="Y285" s="35">
        <f>IF(OR($U285="",$I285="",$J285="",$X285=""),"",$I285+$X285*($J285-$I285))</f>
        <v/>
      </c>
      <c r="Z285" s="30" t="n">
        <v>46212</v>
      </c>
      <c r="AA285" s="40" t="n"/>
      <c r="AB285" s="41" t="n"/>
      <c r="AC285" s="41" t="n"/>
      <c r="AD285" s="19">
        <f>IF($A285="","",IF($AA285="",$H285,$AA285))</f>
        <v/>
      </c>
      <c r="AE285" s="35">
        <f>IF($A285="","",IF($AB285="",$I285,$AB285))</f>
        <v/>
      </c>
      <c r="AF285" s="35">
        <f>IF($A285="","",IF($AC285="",$J285,$AC285))</f>
        <v/>
      </c>
      <c r="AG285" s="35">
        <f>IF(OR($U285="",$AE285="",$AF285="",$X285=""),"",$AE285+$X285*($AF285-$AE285))</f>
        <v/>
      </c>
      <c r="AH285" s="38" t="n"/>
      <c r="AI285" s="38" t="n"/>
      <c r="AJ285" s="38" t="n"/>
      <c r="AK285" s="38" t="n"/>
      <c r="AL285" s="38" t="n"/>
      <c r="AM285" s="38" t="n"/>
      <c r="AN285" s="38" t="n"/>
      <c r="AO285" s="38" t="n"/>
      <c r="AP285" s="38" t="n"/>
      <c r="AQ285" s="38" t="n"/>
      <c r="AR285" s="38" t="n"/>
      <c r="AS285" s="38" t="n"/>
      <c r="AT285" s="38" t="n"/>
      <c r="AU285" s="38" t="n"/>
      <c r="AV285" s="38" t="n"/>
      <c r="AW285" s="38" t="n"/>
      <c r="AX285" s="38" t="n"/>
      <c r="AY285" s="42" t="n"/>
      <c r="AZ285" s="42" t="n"/>
      <c r="BA285" s="42" t="n"/>
      <c r="BB285" s="42" t="n"/>
      <c r="BC285" s="42" t="n"/>
      <c r="BD285" s="37">
        <f>IF($A285="","",SUM($AY285:$BC285))</f>
        <v/>
      </c>
      <c r="BE285" s="18">
        <f>IF($A285="","",IF(AND($I285&lt;&gt;"",$J285&lt;&gt;""),MAX(1,($J285-$I285)/7),Templates!$B$35))</f>
        <v/>
      </c>
      <c r="BF285" s="18">
        <f>IF($A285="","",IF(AND($I285&lt;&gt;"",$J285&lt;&gt;""),MAX(1,($J285-$I285)/7),Templates!$B$36))</f>
        <v/>
      </c>
      <c r="BG285" s="18">
        <f>IF($A285="","",IF(AND($I285&lt;&gt;"",$J285&lt;&gt;""),MAX(1,($J285-$I285)/7),Templates!$B$37))</f>
        <v/>
      </c>
      <c r="BH285" s="18">
        <f>IF($A285="","",IF(AND($I285&lt;&gt;"",$J285&lt;&gt;""),MAX(1,($J285-$I285)/7),Templates!$B$38))</f>
        <v/>
      </c>
      <c r="BI285" s="18">
        <f>IF($A285="","",IF(AND($I285&lt;&gt;"",$J285&lt;&gt;""),MAX(1,($J285-$I285)/7),Templates!$B$39))</f>
        <v/>
      </c>
      <c r="BJ285" s="18">
        <f>IF(OR($A285="",$BD285=0),0,($AY285*Templates!$B$27/$BE285+$AZ285*Templates!$B$28/$BF285+$BA285*Templates!$B$29/$BG285+$BB285*Templates!$B$30/$BH285+$BC285*Templates!$B$31/$BI285)/Templates!$B$17)</f>
        <v/>
      </c>
      <c r="BK285" s="18">
        <f>IF(OR($A285="",$BD285=0),0,($AY285*Templates!$C$27/$BE285+$AZ285*Templates!$C$28/$BF285+$BA285*Templates!$C$29/$BG285+$BB285*Templates!$C$30/$BH285+$BC285*Templates!$C$31/$BI285)/Templates!$B$18)</f>
        <v/>
      </c>
      <c r="BL285" s="18">
        <f>IF(OR($A285="",$BD285=0),0,($AY285*Templates!$D$27/$BE285+$AZ285*Templates!$D$28/$BF285+$BA285*Templates!$D$29/$BG285+$BB285*Templates!$D$30/$BH285+$BC285*Templates!$D$31/$BI285)/Templates!$B$19)</f>
        <v/>
      </c>
      <c r="BM285" s="18">
        <f>IF(OR($A285="",$BD285=0),0,($AY285*Templates!$E$27/$BE285+$AZ285*Templates!$E$28/$BF285+$BA285*Templates!$E$29/$BG285+$BB285*Templates!$E$30/$BH285+$BC285*Templates!$E$31/$BI285)/Templates!$B$20)</f>
        <v/>
      </c>
      <c r="BN285" s="18">
        <f>IF(OR($A285="",$BD285=0),0,($AY285*Templates!$F$27/$BE285+$AZ285*Templates!$F$28/$BF285+$BA285*Templates!$F$29/$BG285+$BB285*Templates!$F$30/$BH285+$BC285*Templates!$F$31/$BI285)/Templates!$B$21)</f>
        <v/>
      </c>
      <c r="BO285" s="18">
        <f>IF(OR($A285="",$BD285=0),0,($AY285*Templates!$G$27/$BE285+$AZ285*Templates!$G$28/$BF285+$BA285*Templates!$G$29/$BG285+$BB285*Templates!$G$30/$BH285+$BC285*Templates!$G$31/$BI285)/Templates!$B$22)</f>
        <v/>
      </c>
      <c r="BP285" s="18">
        <f>IF(OR($A285="",$BD285=0),0,($AY285*Templates!$H$27/$BE285+$AZ285*Templates!$H$28/$BF285+$BA285*Templates!$H$29/$BG285+$BB285*Templates!$H$30/$BH285+$BC285*Templates!$H$31/$BI285)/Templates!$B$23)</f>
        <v/>
      </c>
    </row>
    <row r="286">
      <c r="A286" s="28" t="inlineStr">
        <is>
          <t>Sentinel_2</t>
        </is>
      </c>
      <c r="B286" s="20" t="inlineStr">
        <is>
          <t>Ethos Specialty Insurance Services</t>
        </is>
      </c>
      <c r="C286" s="28" t="inlineStr">
        <is>
          <t>Ethos Specialty Insurance Services</t>
        </is>
      </c>
      <c r="D286" s="28" t="inlineStr"/>
      <c r="E286" s="28" t="inlineStr">
        <is>
          <t>No</t>
        </is>
      </c>
      <c r="F286" s="28" t="inlineStr">
        <is>
          <t>Proposal</t>
        </is>
      </c>
      <c r="G286" s="38" t="n"/>
      <c r="H286" s="43" t="n">
        <v>0.5</v>
      </c>
      <c r="I286" s="39" t="n"/>
      <c r="J286" s="39" t="n"/>
      <c r="K286" s="31" t="n"/>
      <c r="L286" s="31" t="n"/>
      <c r="M286" s="31" t="n"/>
      <c r="N286" s="31" t="n"/>
      <c r="O286" s="31" t="n"/>
      <c r="P286" s="31" t="n"/>
      <c r="Q286" s="23">
        <f>IF($A286="","",COUNTIFS(Assignments!$C$2:$C$769,$A286,Assignments!$G$2:$G$769,"Active"))</f>
        <v/>
      </c>
      <c r="R286" s="32">
        <f>IF($A286="","",SUMIFS(Assignments!$I$2:$I$769,Assignments!$C$2:$C$769,$A286,Assignments!$G$2:$G$769,"Active"))</f>
        <v/>
      </c>
      <c r="S286" s="20" t="inlineStr">
        <is>
          <t>Proposal</t>
        </is>
      </c>
      <c r="T286" s="31" t="n"/>
      <c r="U286" s="38" t="n"/>
      <c r="V286" s="34">
        <f>IF($U286="","",IFERROR(INDEX(Templates!$K$3:$K$10,MATCH($U286,Templates!$A$3:$A$10,0)),""))</f>
        <v/>
      </c>
      <c r="W286" s="34">
        <f>IF($U286="","",IFERROR(INDEX(Templates!$L$3:$L$10,MATCH($U286,Templates!$A$3:$A$10,0)),""))</f>
        <v/>
      </c>
      <c r="X286" s="21">
        <f>IF($U286="","",IFERROR(INDEX(Templates!$J$3:$J$10,MATCH($U286,Templates!$A$3:$A$10,0)),""))</f>
        <v/>
      </c>
      <c r="Y286" s="35">
        <f>IF(OR($U286="",$I286="",$J286="",$X286=""),"",$I286+$X286*($J286-$I286))</f>
        <v/>
      </c>
      <c r="Z286" s="30" t="n">
        <v>46212</v>
      </c>
      <c r="AA286" s="40" t="n"/>
      <c r="AB286" s="41" t="n"/>
      <c r="AC286" s="41" t="n"/>
      <c r="AD286" s="19">
        <f>IF($A286="","",IF($AA286="",$H286,$AA286))</f>
        <v/>
      </c>
      <c r="AE286" s="35">
        <f>IF($A286="","",IF($AB286="",$I286,$AB286))</f>
        <v/>
      </c>
      <c r="AF286" s="35">
        <f>IF($A286="","",IF($AC286="",$J286,$AC286))</f>
        <v/>
      </c>
      <c r="AG286" s="35">
        <f>IF(OR($U286="",$AE286="",$AF286="",$X286=""),"",$AE286+$X286*($AF286-$AE286))</f>
        <v/>
      </c>
      <c r="AH286" s="38" t="n"/>
      <c r="AI286" s="38" t="n"/>
      <c r="AJ286" s="38" t="n"/>
      <c r="AK286" s="38" t="n"/>
      <c r="AL286" s="38" t="n"/>
      <c r="AM286" s="38" t="n"/>
      <c r="AN286" s="38" t="n"/>
      <c r="AO286" s="38" t="n"/>
      <c r="AP286" s="38" t="n"/>
      <c r="AQ286" s="38" t="n"/>
      <c r="AR286" s="38" t="n"/>
      <c r="AS286" s="38" t="n"/>
      <c r="AT286" s="38" t="n"/>
      <c r="AU286" s="38" t="n"/>
      <c r="AV286" s="38" t="n"/>
      <c r="AW286" s="38" t="n"/>
      <c r="AX286" s="38" t="n"/>
      <c r="AY286" s="42" t="n"/>
      <c r="AZ286" s="42" t="n"/>
      <c r="BA286" s="42" t="n"/>
      <c r="BB286" s="42" t="n"/>
      <c r="BC286" s="42" t="n"/>
      <c r="BD286" s="37">
        <f>IF($A286="","",SUM($AY286:$BC286))</f>
        <v/>
      </c>
      <c r="BE286" s="18">
        <f>IF($A286="","",IF(AND($I286&lt;&gt;"",$J286&lt;&gt;""),MAX(1,($J286-$I286)/7),Templates!$B$35))</f>
        <v/>
      </c>
      <c r="BF286" s="18">
        <f>IF($A286="","",IF(AND($I286&lt;&gt;"",$J286&lt;&gt;""),MAX(1,($J286-$I286)/7),Templates!$B$36))</f>
        <v/>
      </c>
      <c r="BG286" s="18">
        <f>IF($A286="","",IF(AND($I286&lt;&gt;"",$J286&lt;&gt;""),MAX(1,($J286-$I286)/7),Templates!$B$37))</f>
        <v/>
      </c>
      <c r="BH286" s="18">
        <f>IF($A286="","",IF(AND($I286&lt;&gt;"",$J286&lt;&gt;""),MAX(1,($J286-$I286)/7),Templates!$B$38))</f>
        <v/>
      </c>
      <c r="BI286" s="18">
        <f>IF($A286="","",IF(AND($I286&lt;&gt;"",$J286&lt;&gt;""),MAX(1,($J286-$I286)/7),Templates!$B$39))</f>
        <v/>
      </c>
      <c r="BJ286" s="18">
        <f>IF(OR($A286="",$BD286=0),0,($AY286*Templates!$B$27/$BE286+$AZ286*Templates!$B$28/$BF286+$BA286*Templates!$B$29/$BG286+$BB286*Templates!$B$30/$BH286+$BC286*Templates!$B$31/$BI286)/Templates!$B$17)</f>
        <v/>
      </c>
      <c r="BK286" s="18">
        <f>IF(OR($A286="",$BD286=0),0,($AY286*Templates!$C$27/$BE286+$AZ286*Templates!$C$28/$BF286+$BA286*Templates!$C$29/$BG286+$BB286*Templates!$C$30/$BH286+$BC286*Templates!$C$31/$BI286)/Templates!$B$18)</f>
        <v/>
      </c>
      <c r="BL286" s="18">
        <f>IF(OR($A286="",$BD286=0),0,($AY286*Templates!$D$27/$BE286+$AZ286*Templates!$D$28/$BF286+$BA286*Templates!$D$29/$BG286+$BB286*Templates!$D$30/$BH286+$BC286*Templates!$D$31/$BI286)/Templates!$B$19)</f>
        <v/>
      </c>
      <c r="BM286" s="18">
        <f>IF(OR($A286="",$BD286=0),0,($AY286*Templates!$E$27/$BE286+$AZ286*Templates!$E$28/$BF286+$BA286*Templates!$E$29/$BG286+$BB286*Templates!$E$30/$BH286+$BC286*Templates!$E$31/$BI286)/Templates!$B$20)</f>
        <v/>
      </c>
      <c r="BN286" s="18">
        <f>IF(OR($A286="",$BD286=0),0,($AY286*Templates!$F$27/$BE286+$AZ286*Templates!$F$28/$BF286+$BA286*Templates!$F$29/$BG286+$BB286*Templates!$F$30/$BH286+$BC286*Templates!$F$31/$BI286)/Templates!$B$21)</f>
        <v/>
      </c>
      <c r="BO286" s="18">
        <f>IF(OR($A286="",$BD286=0),0,($AY286*Templates!$G$27/$BE286+$AZ286*Templates!$G$28/$BF286+$BA286*Templates!$G$29/$BG286+$BB286*Templates!$G$30/$BH286+$BC286*Templates!$G$31/$BI286)/Templates!$B$22)</f>
        <v/>
      </c>
      <c r="BP286" s="18">
        <f>IF(OR($A286="",$BD286=0),0,($AY286*Templates!$H$27/$BE286+$AZ286*Templates!$H$28/$BF286+$BA286*Templates!$H$29/$BG286+$BB286*Templates!$H$30/$BH286+$BC286*Templates!$H$31/$BI286)/Templates!$B$23)</f>
        <v/>
      </c>
    </row>
    <row r="287">
      <c r="A287" s="28" t="inlineStr">
        <is>
          <t>shareplan</t>
        </is>
      </c>
      <c r="B287" s="20" t="inlineStr">
        <is>
          <t>Garrigues</t>
        </is>
      </c>
      <c r="C287" s="28" t="inlineStr">
        <is>
          <t>Garrigues</t>
        </is>
      </c>
      <c r="D287" s="28" t="inlineStr"/>
      <c r="E287" s="28" t="inlineStr">
        <is>
          <t>No</t>
        </is>
      </c>
      <c r="F287" s="28" t="inlineStr">
        <is>
          <t>Proposal</t>
        </is>
      </c>
      <c r="G287" s="38" t="n"/>
      <c r="H287" s="43" t="n">
        <v>0.5</v>
      </c>
      <c r="I287" s="39" t="n"/>
      <c r="J287" s="39" t="n"/>
      <c r="K287" s="31" t="n"/>
      <c r="L287" s="31" t="n"/>
      <c r="M287" s="31" t="n"/>
      <c r="N287" s="31" t="n"/>
      <c r="O287" s="31" t="n"/>
      <c r="P287" s="31" t="n"/>
      <c r="Q287" s="23">
        <f>IF($A287="","",COUNTIFS(Assignments!$C$2:$C$769,$A287,Assignments!$G$2:$G$769,"Active"))</f>
        <v/>
      </c>
      <c r="R287" s="32">
        <f>IF($A287="","",SUMIFS(Assignments!$I$2:$I$769,Assignments!$C$2:$C$769,$A287,Assignments!$G$2:$G$769,"Active"))</f>
        <v/>
      </c>
      <c r="S287" s="20" t="inlineStr">
        <is>
          <t>Summary tab only (Proposal)</t>
        </is>
      </c>
      <c r="T287" s="31" t="n"/>
      <c r="U287" s="38" t="n"/>
      <c r="V287" s="34">
        <f>IF($U287="","",IFERROR(INDEX(Templates!$K$3:$K$10,MATCH($U287,Templates!$A$3:$A$10,0)),""))</f>
        <v/>
      </c>
      <c r="W287" s="34">
        <f>IF($U287="","",IFERROR(INDEX(Templates!$L$3:$L$10,MATCH($U287,Templates!$A$3:$A$10,0)),""))</f>
        <v/>
      </c>
      <c r="X287" s="21">
        <f>IF($U287="","",IFERROR(INDEX(Templates!$J$3:$J$10,MATCH($U287,Templates!$A$3:$A$10,0)),""))</f>
        <v/>
      </c>
      <c r="Y287" s="35">
        <f>IF(OR($U287="",$I287="",$J287="",$X287=""),"",$I287+$X287*($J287-$I287))</f>
        <v/>
      </c>
      <c r="Z287" s="30" t="n">
        <v>46212</v>
      </c>
      <c r="AA287" s="40" t="n"/>
      <c r="AB287" s="41" t="n"/>
      <c r="AC287" s="41" t="n"/>
      <c r="AD287" s="19">
        <f>IF($A287="","",IF($AA287="",$H287,$AA287))</f>
        <v/>
      </c>
      <c r="AE287" s="35">
        <f>IF($A287="","",IF($AB287="",$I287,$AB287))</f>
        <v/>
      </c>
      <c r="AF287" s="35">
        <f>IF($A287="","",IF($AC287="",$J287,$AC287))</f>
        <v/>
      </c>
      <c r="AG287" s="35">
        <f>IF(OR($U287="",$AE287="",$AF287="",$X287=""),"",$AE287+$X287*($AF287-$AE287))</f>
        <v/>
      </c>
      <c r="AH287" s="38" t="n"/>
      <c r="AI287" s="38" t="n"/>
      <c r="AJ287" s="38" t="n"/>
      <c r="AK287" s="38" t="n"/>
      <c r="AL287" s="38" t="n"/>
      <c r="AM287" s="38" t="n"/>
      <c r="AN287" s="38" t="n"/>
      <c r="AO287" s="38" t="n"/>
      <c r="AP287" s="38" t="n"/>
      <c r="AQ287" s="38" t="n"/>
      <c r="AR287" s="38" t="n"/>
      <c r="AS287" s="38" t="n"/>
      <c r="AT287" s="38" t="n"/>
      <c r="AU287" s="38" t="n"/>
      <c r="AV287" s="38" t="n"/>
      <c r="AW287" s="38" t="n"/>
      <c r="AX287" s="38" t="n"/>
      <c r="AY287" s="42" t="n"/>
      <c r="AZ287" s="42" t="n"/>
      <c r="BA287" s="42" t="n"/>
      <c r="BB287" s="42" t="n"/>
      <c r="BC287" s="42" t="n"/>
      <c r="BD287" s="37">
        <f>IF($A287="","",SUM($AY287:$BC287))</f>
        <v/>
      </c>
      <c r="BE287" s="18">
        <f>IF($A287="","",IF(AND($I287&lt;&gt;"",$J287&lt;&gt;""),MAX(1,($J287-$I287)/7),Templates!$B$35))</f>
        <v/>
      </c>
      <c r="BF287" s="18">
        <f>IF($A287="","",IF(AND($I287&lt;&gt;"",$J287&lt;&gt;""),MAX(1,($J287-$I287)/7),Templates!$B$36))</f>
        <v/>
      </c>
      <c r="BG287" s="18">
        <f>IF($A287="","",IF(AND($I287&lt;&gt;"",$J287&lt;&gt;""),MAX(1,($J287-$I287)/7),Templates!$B$37))</f>
        <v/>
      </c>
      <c r="BH287" s="18">
        <f>IF($A287="","",IF(AND($I287&lt;&gt;"",$J287&lt;&gt;""),MAX(1,($J287-$I287)/7),Templates!$B$38))</f>
        <v/>
      </c>
      <c r="BI287" s="18">
        <f>IF($A287="","",IF(AND($I287&lt;&gt;"",$J287&lt;&gt;""),MAX(1,($J287-$I287)/7),Templates!$B$39))</f>
        <v/>
      </c>
      <c r="BJ287" s="18">
        <f>IF(OR($A287="",$BD287=0),0,($AY287*Templates!$B$27/$BE287+$AZ287*Templates!$B$28/$BF287+$BA287*Templates!$B$29/$BG287+$BB287*Templates!$B$30/$BH287+$BC287*Templates!$B$31/$BI287)/Templates!$B$17)</f>
        <v/>
      </c>
      <c r="BK287" s="18">
        <f>IF(OR($A287="",$BD287=0),0,($AY287*Templates!$C$27/$BE287+$AZ287*Templates!$C$28/$BF287+$BA287*Templates!$C$29/$BG287+$BB287*Templates!$C$30/$BH287+$BC287*Templates!$C$31/$BI287)/Templates!$B$18)</f>
        <v/>
      </c>
      <c r="BL287" s="18">
        <f>IF(OR($A287="",$BD287=0),0,($AY287*Templates!$D$27/$BE287+$AZ287*Templates!$D$28/$BF287+$BA287*Templates!$D$29/$BG287+$BB287*Templates!$D$30/$BH287+$BC287*Templates!$D$31/$BI287)/Templates!$B$19)</f>
        <v/>
      </c>
      <c r="BM287" s="18">
        <f>IF(OR($A287="",$BD287=0),0,($AY287*Templates!$E$27/$BE287+$AZ287*Templates!$E$28/$BF287+$BA287*Templates!$E$29/$BG287+$BB287*Templates!$E$30/$BH287+$BC287*Templates!$E$31/$BI287)/Templates!$B$20)</f>
        <v/>
      </c>
      <c r="BN287" s="18">
        <f>IF(OR($A287="",$BD287=0),0,($AY287*Templates!$F$27/$BE287+$AZ287*Templates!$F$28/$BF287+$BA287*Templates!$F$29/$BG287+$BB287*Templates!$F$30/$BH287+$BC287*Templates!$F$31/$BI287)/Templates!$B$21)</f>
        <v/>
      </c>
      <c r="BO287" s="18">
        <f>IF(OR($A287="",$BD287=0),0,($AY287*Templates!$G$27/$BE287+$AZ287*Templates!$G$28/$BF287+$BA287*Templates!$G$29/$BG287+$BB287*Templates!$G$30/$BH287+$BC287*Templates!$G$31/$BI287)/Templates!$B$22)</f>
        <v/>
      </c>
      <c r="BP287" s="18">
        <f>IF(OR($A287="",$BD287=0),0,($AY287*Templates!$H$27/$BE287+$AZ287*Templates!$H$28/$BF287+$BA287*Templates!$H$29/$BG287+$BB287*Templates!$H$30/$BH287+$BC287*Templates!$H$31/$BI287)/Templates!$B$23)</f>
        <v/>
      </c>
    </row>
    <row r="288">
      <c r="A288" s="28" t="inlineStr">
        <is>
          <t>Staffing_1</t>
        </is>
      </c>
      <c r="B288" s="20" t="inlineStr">
        <is>
          <t>Carmine Capital</t>
        </is>
      </c>
      <c r="C288" s="28" t="inlineStr">
        <is>
          <t>Carmine Capital</t>
        </is>
      </c>
      <c r="D288" s="28" t="inlineStr"/>
      <c r="E288" s="28" t="inlineStr">
        <is>
          <t>No</t>
        </is>
      </c>
      <c r="F288" s="28" t="inlineStr">
        <is>
          <t>Proposal</t>
        </is>
      </c>
      <c r="G288" s="38" t="n"/>
      <c r="H288" s="43" t="n">
        <v>0.5</v>
      </c>
      <c r="I288" s="39" t="n"/>
      <c r="J288" s="39" t="n"/>
      <c r="K288" s="31" t="n"/>
      <c r="L288" s="31" t="n"/>
      <c r="M288" s="31" t="n"/>
      <c r="N288" s="31" t="n"/>
      <c r="O288" s="31" t="n"/>
      <c r="P288" s="31" t="n"/>
      <c r="Q288" s="23">
        <f>IF($A288="","",COUNTIFS(Assignments!$C$2:$C$769,$A288,Assignments!$G$2:$G$769,"Active"))</f>
        <v/>
      </c>
      <c r="R288" s="32">
        <f>IF($A288="","",SUMIFS(Assignments!$I$2:$I$769,Assignments!$C$2:$C$769,$A288,Assignments!$G$2:$G$769,"Active"))</f>
        <v/>
      </c>
      <c r="S288" s="20" t="inlineStr">
        <is>
          <t>Proposal</t>
        </is>
      </c>
      <c r="T288" s="31" t="n"/>
      <c r="U288" s="38" t="n"/>
      <c r="V288" s="34">
        <f>IF($U288="","",IFERROR(INDEX(Templates!$K$3:$K$10,MATCH($U288,Templates!$A$3:$A$10,0)),""))</f>
        <v/>
      </c>
      <c r="W288" s="34">
        <f>IF($U288="","",IFERROR(INDEX(Templates!$L$3:$L$10,MATCH($U288,Templates!$A$3:$A$10,0)),""))</f>
        <v/>
      </c>
      <c r="X288" s="21">
        <f>IF($U288="","",IFERROR(INDEX(Templates!$J$3:$J$10,MATCH($U288,Templates!$A$3:$A$10,0)),""))</f>
        <v/>
      </c>
      <c r="Y288" s="35">
        <f>IF(OR($U288="",$I288="",$J288="",$X288=""),"",$I288+$X288*($J288-$I288))</f>
        <v/>
      </c>
      <c r="Z288" s="30" t="n">
        <v>46212</v>
      </c>
      <c r="AA288" s="40" t="n"/>
      <c r="AB288" s="41" t="n"/>
      <c r="AC288" s="41" t="n"/>
      <c r="AD288" s="19">
        <f>IF($A288="","",IF($AA288="",$H288,$AA288))</f>
        <v/>
      </c>
      <c r="AE288" s="35">
        <f>IF($A288="","",IF($AB288="",$I288,$AB288))</f>
        <v/>
      </c>
      <c r="AF288" s="35">
        <f>IF($A288="","",IF($AC288="",$J288,$AC288))</f>
        <v/>
      </c>
      <c r="AG288" s="35">
        <f>IF(OR($U288="",$AE288="",$AF288="",$X288=""),"",$AE288+$X288*($AF288-$AE288))</f>
        <v/>
      </c>
      <c r="AH288" s="38" t="n"/>
      <c r="AI288" s="38" t="n"/>
      <c r="AJ288" s="38" t="n"/>
      <c r="AK288" s="38" t="n"/>
      <c r="AL288" s="38" t="n"/>
      <c r="AM288" s="38" t="n"/>
      <c r="AN288" s="38" t="n"/>
      <c r="AO288" s="38" t="n"/>
      <c r="AP288" s="38" t="n"/>
      <c r="AQ288" s="38" t="n"/>
      <c r="AR288" s="38" t="n"/>
      <c r="AS288" s="38" t="n"/>
      <c r="AT288" s="38" t="n"/>
      <c r="AU288" s="38" t="n"/>
      <c r="AV288" s="38" t="n"/>
      <c r="AW288" s="38" t="n"/>
      <c r="AX288" s="38" t="n"/>
      <c r="AY288" s="42" t="n"/>
      <c r="AZ288" s="42" t="n"/>
      <c r="BA288" s="42" t="n"/>
      <c r="BB288" s="42" t="n"/>
      <c r="BC288" s="42" t="n"/>
      <c r="BD288" s="37">
        <f>IF($A288="","",SUM($AY288:$BC288))</f>
        <v/>
      </c>
      <c r="BE288" s="18">
        <f>IF($A288="","",IF(AND($I288&lt;&gt;"",$J288&lt;&gt;""),MAX(1,($J288-$I288)/7),Templates!$B$35))</f>
        <v/>
      </c>
      <c r="BF288" s="18">
        <f>IF($A288="","",IF(AND($I288&lt;&gt;"",$J288&lt;&gt;""),MAX(1,($J288-$I288)/7),Templates!$B$36))</f>
        <v/>
      </c>
      <c r="BG288" s="18">
        <f>IF($A288="","",IF(AND($I288&lt;&gt;"",$J288&lt;&gt;""),MAX(1,($J288-$I288)/7),Templates!$B$37))</f>
        <v/>
      </c>
      <c r="BH288" s="18">
        <f>IF($A288="","",IF(AND($I288&lt;&gt;"",$J288&lt;&gt;""),MAX(1,($J288-$I288)/7),Templates!$B$38))</f>
        <v/>
      </c>
      <c r="BI288" s="18">
        <f>IF($A288="","",IF(AND($I288&lt;&gt;"",$J288&lt;&gt;""),MAX(1,($J288-$I288)/7),Templates!$B$39))</f>
        <v/>
      </c>
      <c r="BJ288" s="18">
        <f>IF(OR($A288="",$BD288=0),0,($AY288*Templates!$B$27/$BE288+$AZ288*Templates!$B$28/$BF288+$BA288*Templates!$B$29/$BG288+$BB288*Templates!$B$30/$BH288+$BC288*Templates!$B$31/$BI288)/Templates!$B$17)</f>
        <v/>
      </c>
      <c r="BK288" s="18">
        <f>IF(OR($A288="",$BD288=0),0,($AY288*Templates!$C$27/$BE288+$AZ288*Templates!$C$28/$BF288+$BA288*Templates!$C$29/$BG288+$BB288*Templates!$C$30/$BH288+$BC288*Templates!$C$31/$BI288)/Templates!$B$18)</f>
        <v/>
      </c>
      <c r="BL288" s="18">
        <f>IF(OR($A288="",$BD288=0),0,($AY288*Templates!$D$27/$BE288+$AZ288*Templates!$D$28/$BF288+$BA288*Templates!$D$29/$BG288+$BB288*Templates!$D$30/$BH288+$BC288*Templates!$D$31/$BI288)/Templates!$B$19)</f>
        <v/>
      </c>
      <c r="BM288" s="18">
        <f>IF(OR($A288="",$BD288=0),0,($AY288*Templates!$E$27/$BE288+$AZ288*Templates!$E$28/$BF288+$BA288*Templates!$E$29/$BG288+$BB288*Templates!$E$30/$BH288+$BC288*Templates!$E$31/$BI288)/Templates!$B$20)</f>
        <v/>
      </c>
      <c r="BN288" s="18">
        <f>IF(OR($A288="",$BD288=0),0,($AY288*Templates!$F$27/$BE288+$AZ288*Templates!$F$28/$BF288+$BA288*Templates!$F$29/$BG288+$BB288*Templates!$F$30/$BH288+$BC288*Templates!$F$31/$BI288)/Templates!$B$21)</f>
        <v/>
      </c>
      <c r="BO288" s="18">
        <f>IF(OR($A288="",$BD288=0),0,($AY288*Templates!$G$27/$BE288+$AZ288*Templates!$G$28/$BF288+$BA288*Templates!$G$29/$BG288+$BB288*Templates!$G$30/$BH288+$BC288*Templates!$G$31/$BI288)/Templates!$B$22)</f>
        <v/>
      </c>
      <c r="BP288" s="18">
        <f>IF(OR($A288="",$BD288=0),0,($AY288*Templates!$H$27/$BE288+$AZ288*Templates!$H$28/$BF288+$BA288*Templates!$H$29/$BG288+$BB288*Templates!$H$30/$BH288+$BC288*Templates!$H$31/$BI288)/Templates!$B$23)</f>
        <v/>
      </c>
    </row>
    <row r="289">
      <c r="A289" s="28" t="inlineStr">
        <is>
          <t>Story_1</t>
        </is>
      </c>
      <c r="B289" s="20" t="inlineStr">
        <is>
          <t>Ryan, LLC : Svalner Atlas : Svalner</t>
        </is>
      </c>
      <c r="C289" s="28" t="inlineStr">
        <is>
          <t>Ryan, LLC</t>
        </is>
      </c>
      <c r="D289" s="28" t="inlineStr">
        <is>
          <t>Svalner</t>
        </is>
      </c>
      <c r="E289" s="28" t="inlineStr">
        <is>
          <t>No</t>
        </is>
      </c>
      <c r="F289" s="28" t="inlineStr">
        <is>
          <t>Proposal</t>
        </is>
      </c>
      <c r="G289" s="38" t="n"/>
      <c r="H289" s="43" t="n">
        <v>0.5</v>
      </c>
      <c r="I289" s="39" t="n"/>
      <c r="J289" s="39" t="n"/>
      <c r="K289" s="31" t="n"/>
      <c r="L289" s="31" t="n"/>
      <c r="M289" s="31" t="n"/>
      <c r="N289" s="31" t="n"/>
      <c r="O289" s="31" t="n"/>
      <c r="P289" s="31" t="n"/>
      <c r="Q289" s="23">
        <f>IF($A289="","",COUNTIFS(Assignments!$C$2:$C$769,$A289,Assignments!$G$2:$G$769,"Active"))</f>
        <v/>
      </c>
      <c r="R289" s="32">
        <f>IF($A289="","",SUMIFS(Assignments!$I$2:$I$769,Assignments!$C$2:$C$769,$A289,Assignments!$G$2:$G$769,"Active"))</f>
        <v/>
      </c>
      <c r="S289" s="20" t="inlineStr">
        <is>
          <t>Proposal</t>
        </is>
      </c>
      <c r="T289" s="31" t="n"/>
      <c r="U289" s="38" t="n"/>
      <c r="V289" s="34">
        <f>IF($U289="","",IFERROR(INDEX(Templates!$K$3:$K$10,MATCH($U289,Templates!$A$3:$A$10,0)),""))</f>
        <v/>
      </c>
      <c r="W289" s="34">
        <f>IF($U289="","",IFERROR(INDEX(Templates!$L$3:$L$10,MATCH($U289,Templates!$A$3:$A$10,0)),""))</f>
        <v/>
      </c>
      <c r="X289" s="21">
        <f>IF($U289="","",IFERROR(INDEX(Templates!$J$3:$J$10,MATCH($U289,Templates!$A$3:$A$10,0)),""))</f>
        <v/>
      </c>
      <c r="Y289" s="35">
        <f>IF(OR($U289="",$I289="",$J289="",$X289=""),"",$I289+$X289*($J289-$I289))</f>
        <v/>
      </c>
      <c r="Z289" s="30" t="n">
        <v>46212</v>
      </c>
      <c r="AA289" s="40" t="n"/>
      <c r="AB289" s="41" t="n"/>
      <c r="AC289" s="41" t="n"/>
      <c r="AD289" s="19">
        <f>IF($A289="","",IF($AA289="",$H289,$AA289))</f>
        <v/>
      </c>
      <c r="AE289" s="35">
        <f>IF($A289="","",IF($AB289="",$I289,$AB289))</f>
        <v/>
      </c>
      <c r="AF289" s="35">
        <f>IF($A289="","",IF($AC289="",$J289,$AC289))</f>
        <v/>
      </c>
      <c r="AG289" s="35">
        <f>IF(OR($U289="",$AE289="",$AF289="",$X289=""),"",$AE289+$X289*($AF289-$AE289))</f>
        <v/>
      </c>
      <c r="AH289" s="38" t="n"/>
      <c r="AI289" s="38" t="n"/>
      <c r="AJ289" s="38" t="n"/>
      <c r="AK289" s="38" t="n"/>
      <c r="AL289" s="38" t="n"/>
      <c r="AM289" s="38" t="n"/>
      <c r="AN289" s="38" t="n"/>
      <c r="AO289" s="38" t="n"/>
      <c r="AP289" s="38" t="n"/>
      <c r="AQ289" s="38" t="n"/>
      <c r="AR289" s="38" t="n"/>
      <c r="AS289" s="38" t="n"/>
      <c r="AT289" s="38" t="n"/>
      <c r="AU289" s="38" t="n"/>
      <c r="AV289" s="38" t="n"/>
      <c r="AW289" s="38" t="n"/>
      <c r="AX289" s="38" t="n"/>
      <c r="AY289" s="42" t="n"/>
      <c r="AZ289" s="42" t="n"/>
      <c r="BA289" s="42" t="n"/>
      <c r="BB289" s="42" t="n"/>
      <c r="BC289" s="42" t="n"/>
      <c r="BD289" s="37">
        <f>IF($A289="","",SUM($AY289:$BC289))</f>
        <v/>
      </c>
      <c r="BE289" s="18">
        <f>IF($A289="","",IF(AND($I289&lt;&gt;"",$J289&lt;&gt;""),MAX(1,($J289-$I289)/7),Templates!$B$35))</f>
        <v/>
      </c>
      <c r="BF289" s="18">
        <f>IF($A289="","",IF(AND($I289&lt;&gt;"",$J289&lt;&gt;""),MAX(1,($J289-$I289)/7),Templates!$B$36))</f>
        <v/>
      </c>
      <c r="BG289" s="18">
        <f>IF($A289="","",IF(AND($I289&lt;&gt;"",$J289&lt;&gt;""),MAX(1,($J289-$I289)/7),Templates!$B$37))</f>
        <v/>
      </c>
      <c r="BH289" s="18">
        <f>IF($A289="","",IF(AND($I289&lt;&gt;"",$J289&lt;&gt;""),MAX(1,($J289-$I289)/7),Templates!$B$38))</f>
        <v/>
      </c>
      <c r="BI289" s="18">
        <f>IF($A289="","",IF(AND($I289&lt;&gt;"",$J289&lt;&gt;""),MAX(1,($J289-$I289)/7),Templates!$B$39))</f>
        <v/>
      </c>
      <c r="BJ289" s="18">
        <f>IF(OR($A289="",$BD289=0),0,($AY289*Templates!$B$27/$BE289+$AZ289*Templates!$B$28/$BF289+$BA289*Templates!$B$29/$BG289+$BB289*Templates!$B$30/$BH289+$BC289*Templates!$B$31/$BI289)/Templates!$B$17)</f>
        <v/>
      </c>
      <c r="BK289" s="18">
        <f>IF(OR($A289="",$BD289=0),0,($AY289*Templates!$C$27/$BE289+$AZ289*Templates!$C$28/$BF289+$BA289*Templates!$C$29/$BG289+$BB289*Templates!$C$30/$BH289+$BC289*Templates!$C$31/$BI289)/Templates!$B$18)</f>
        <v/>
      </c>
      <c r="BL289" s="18">
        <f>IF(OR($A289="",$BD289=0),0,($AY289*Templates!$D$27/$BE289+$AZ289*Templates!$D$28/$BF289+$BA289*Templates!$D$29/$BG289+$BB289*Templates!$D$30/$BH289+$BC289*Templates!$D$31/$BI289)/Templates!$B$19)</f>
        <v/>
      </c>
      <c r="BM289" s="18">
        <f>IF(OR($A289="",$BD289=0),0,($AY289*Templates!$E$27/$BE289+$AZ289*Templates!$E$28/$BF289+$BA289*Templates!$E$29/$BG289+$BB289*Templates!$E$30/$BH289+$BC289*Templates!$E$31/$BI289)/Templates!$B$20)</f>
        <v/>
      </c>
      <c r="BN289" s="18">
        <f>IF(OR($A289="",$BD289=0),0,($AY289*Templates!$F$27/$BE289+$AZ289*Templates!$F$28/$BF289+$BA289*Templates!$F$29/$BG289+$BB289*Templates!$F$30/$BH289+$BC289*Templates!$F$31/$BI289)/Templates!$B$21)</f>
        <v/>
      </c>
      <c r="BO289" s="18">
        <f>IF(OR($A289="",$BD289=0),0,($AY289*Templates!$G$27/$BE289+$AZ289*Templates!$G$28/$BF289+$BA289*Templates!$G$29/$BG289+$BB289*Templates!$G$30/$BH289+$BC289*Templates!$G$31/$BI289)/Templates!$B$22)</f>
        <v/>
      </c>
      <c r="BP289" s="18">
        <f>IF(OR($A289="",$BD289=0),0,($AY289*Templates!$H$27/$BE289+$AZ289*Templates!$H$28/$BF289+$BA289*Templates!$H$29/$BG289+$BB289*Templates!$H$30/$BH289+$BC289*Templates!$H$31/$BI289)/Templates!$B$23)</f>
        <v/>
      </c>
    </row>
    <row r="290">
      <c r="A290" s="28" t="inlineStr">
        <is>
          <t>Sunset_1</t>
        </is>
      </c>
      <c r="B290" s="20" t="inlineStr">
        <is>
          <t>Certa</t>
        </is>
      </c>
      <c r="C290" s="28" t="inlineStr">
        <is>
          <t>Certa</t>
        </is>
      </c>
      <c r="D290" s="28" t="inlineStr"/>
      <c r="E290" s="28" t="inlineStr">
        <is>
          <t>No</t>
        </is>
      </c>
      <c r="F290" s="28" t="inlineStr">
        <is>
          <t>Proposal</t>
        </is>
      </c>
      <c r="G290" s="38" t="n"/>
      <c r="H290" s="43" t="n">
        <v>0.5</v>
      </c>
      <c r="I290" s="39" t="n"/>
      <c r="J290" s="39" t="n"/>
      <c r="K290" s="31" t="n"/>
      <c r="L290" s="31" t="n"/>
      <c r="M290" s="31" t="n"/>
      <c r="N290" s="31" t="n"/>
      <c r="O290" s="31" t="n"/>
      <c r="P290" s="31" t="n"/>
      <c r="Q290" s="23">
        <f>IF($A290="","",COUNTIFS(Assignments!$C$2:$C$769,$A290,Assignments!$G$2:$G$769,"Active"))</f>
        <v/>
      </c>
      <c r="R290" s="32">
        <f>IF($A290="","",SUMIFS(Assignments!$I$2:$I$769,Assignments!$C$2:$C$769,$A290,Assignments!$G$2:$G$769,"Active"))</f>
        <v/>
      </c>
      <c r="S290" s="20" t="inlineStr">
        <is>
          <t>Proposal</t>
        </is>
      </c>
      <c r="T290" s="31" t="n"/>
      <c r="U290" s="38" t="n"/>
      <c r="V290" s="34">
        <f>IF($U290="","",IFERROR(INDEX(Templates!$K$3:$K$10,MATCH($U290,Templates!$A$3:$A$10,0)),""))</f>
        <v/>
      </c>
      <c r="W290" s="34">
        <f>IF($U290="","",IFERROR(INDEX(Templates!$L$3:$L$10,MATCH($U290,Templates!$A$3:$A$10,0)),""))</f>
        <v/>
      </c>
      <c r="X290" s="21">
        <f>IF($U290="","",IFERROR(INDEX(Templates!$J$3:$J$10,MATCH($U290,Templates!$A$3:$A$10,0)),""))</f>
        <v/>
      </c>
      <c r="Y290" s="35">
        <f>IF(OR($U290="",$I290="",$J290="",$X290=""),"",$I290+$X290*($J290-$I290))</f>
        <v/>
      </c>
      <c r="Z290" s="30" t="n">
        <v>46212</v>
      </c>
      <c r="AA290" s="40" t="n"/>
      <c r="AB290" s="41" t="n"/>
      <c r="AC290" s="41" t="n"/>
      <c r="AD290" s="19">
        <f>IF($A290="","",IF($AA290="",$H290,$AA290))</f>
        <v/>
      </c>
      <c r="AE290" s="35">
        <f>IF($A290="","",IF($AB290="",$I290,$AB290))</f>
        <v/>
      </c>
      <c r="AF290" s="35">
        <f>IF($A290="","",IF($AC290="",$J290,$AC290))</f>
        <v/>
      </c>
      <c r="AG290" s="35">
        <f>IF(OR($U290="",$AE290="",$AF290="",$X290=""),"",$AE290+$X290*($AF290-$AE290))</f>
        <v/>
      </c>
      <c r="AH290" s="38" t="n"/>
      <c r="AI290" s="38" t="n"/>
      <c r="AJ290" s="38" t="n"/>
      <c r="AK290" s="38" t="n"/>
      <c r="AL290" s="38" t="n"/>
      <c r="AM290" s="38" t="n"/>
      <c r="AN290" s="38" t="n"/>
      <c r="AO290" s="38" t="n"/>
      <c r="AP290" s="38" t="n"/>
      <c r="AQ290" s="38" t="n"/>
      <c r="AR290" s="38" t="n"/>
      <c r="AS290" s="38" t="n"/>
      <c r="AT290" s="38" t="n"/>
      <c r="AU290" s="38" t="n"/>
      <c r="AV290" s="38" t="n"/>
      <c r="AW290" s="38" t="n"/>
      <c r="AX290" s="38" t="n"/>
      <c r="AY290" s="42" t="n"/>
      <c r="AZ290" s="42" t="n"/>
      <c r="BA290" s="42" t="n"/>
      <c r="BB290" s="42" t="n"/>
      <c r="BC290" s="42" t="n"/>
      <c r="BD290" s="37">
        <f>IF($A290="","",SUM($AY290:$BC290))</f>
        <v/>
      </c>
      <c r="BE290" s="18">
        <f>IF($A290="","",IF(AND($I290&lt;&gt;"",$J290&lt;&gt;""),MAX(1,($J290-$I290)/7),Templates!$B$35))</f>
        <v/>
      </c>
      <c r="BF290" s="18">
        <f>IF($A290="","",IF(AND($I290&lt;&gt;"",$J290&lt;&gt;""),MAX(1,($J290-$I290)/7),Templates!$B$36))</f>
        <v/>
      </c>
      <c r="BG290" s="18">
        <f>IF($A290="","",IF(AND($I290&lt;&gt;"",$J290&lt;&gt;""),MAX(1,($J290-$I290)/7),Templates!$B$37))</f>
        <v/>
      </c>
      <c r="BH290" s="18">
        <f>IF($A290="","",IF(AND($I290&lt;&gt;"",$J290&lt;&gt;""),MAX(1,($J290-$I290)/7),Templates!$B$38))</f>
        <v/>
      </c>
      <c r="BI290" s="18">
        <f>IF($A290="","",IF(AND($I290&lt;&gt;"",$J290&lt;&gt;""),MAX(1,($J290-$I290)/7),Templates!$B$39))</f>
        <v/>
      </c>
      <c r="BJ290" s="18">
        <f>IF(OR($A290="",$BD290=0),0,($AY290*Templates!$B$27/$BE290+$AZ290*Templates!$B$28/$BF290+$BA290*Templates!$B$29/$BG290+$BB290*Templates!$B$30/$BH290+$BC290*Templates!$B$31/$BI290)/Templates!$B$17)</f>
        <v/>
      </c>
      <c r="BK290" s="18">
        <f>IF(OR($A290="",$BD290=0),0,($AY290*Templates!$C$27/$BE290+$AZ290*Templates!$C$28/$BF290+$BA290*Templates!$C$29/$BG290+$BB290*Templates!$C$30/$BH290+$BC290*Templates!$C$31/$BI290)/Templates!$B$18)</f>
        <v/>
      </c>
      <c r="BL290" s="18">
        <f>IF(OR($A290="",$BD290=0),0,($AY290*Templates!$D$27/$BE290+$AZ290*Templates!$D$28/$BF290+$BA290*Templates!$D$29/$BG290+$BB290*Templates!$D$30/$BH290+$BC290*Templates!$D$31/$BI290)/Templates!$B$19)</f>
        <v/>
      </c>
      <c r="BM290" s="18">
        <f>IF(OR($A290="",$BD290=0),0,($AY290*Templates!$E$27/$BE290+$AZ290*Templates!$E$28/$BF290+$BA290*Templates!$E$29/$BG290+$BB290*Templates!$E$30/$BH290+$BC290*Templates!$E$31/$BI290)/Templates!$B$20)</f>
        <v/>
      </c>
      <c r="BN290" s="18">
        <f>IF(OR($A290="",$BD290=0),0,($AY290*Templates!$F$27/$BE290+$AZ290*Templates!$F$28/$BF290+$BA290*Templates!$F$29/$BG290+$BB290*Templates!$F$30/$BH290+$BC290*Templates!$F$31/$BI290)/Templates!$B$21)</f>
        <v/>
      </c>
      <c r="BO290" s="18">
        <f>IF(OR($A290="",$BD290=0),0,($AY290*Templates!$G$27/$BE290+$AZ290*Templates!$G$28/$BF290+$BA290*Templates!$G$29/$BG290+$BB290*Templates!$G$30/$BH290+$BC290*Templates!$G$31/$BI290)/Templates!$B$22)</f>
        <v/>
      </c>
      <c r="BP290" s="18">
        <f>IF(OR($A290="",$BD290=0),0,($AY290*Templates!$H$27/$BE290+$AZ290*Templates!$H$28/$BF290+$BA290*Templates!$H$29/$BG290+$BB290*Templates!$H$30/$BH290+$BC290*Templates!$H$31/$BI290)/Templates!$B$23)</f>
        <v/>
      </c>
    </row>
    <row r="291">
      <c r="A291" s="28" t="inlineStr">
        <is>
          <t>Takeover_1</t>
        </is>
      </c>
      <c r="B291" s="20" t="inlineStr">
        <is>
          <t>Maven Advisory LLC</t>
        </is>
      </c>
      <c r="C291" s="28" t="inlineStr">
        <is>
          <t>Maven Advisory LLC</t>
        </is>
      </c>
      <c r="D291" s="28" t="inlineStr"/>
      <c r="E291" s="28" t="inlineStr">
        <is>
          <t>No</t>
        </is>
      </c>
      <c r="F291" s="28" t="inlineStr">
        <is>
          <t>Proposal</t>
        </is>
      </c>
      <c r="G291" s="38" t="n"/>
      <c r="H291" s="43" t="n">
        <v>0.5</v>
      </c>
      <c r="I291" s="39" t="n"/>
      <c r="J291" s="39" t="n"/>
      <c r="K291" s="31" t="n"/>
      <c r="L291" s="31" t="n"/>
      <c r="M291" s="31" t="n"/>
      <c r="N291" s="31" t="n"/>
      <c r="O291" s="31" t="n"/>
      <c r="P291" s="31" t="n"/>
      <c r="Q291" s="23">
        <f>IF($A291="","",COUNTIFS(Assignments!$C$2:$C$769,$A291,Assignments!$G$2:$G$769,"Active"))</f>
        <v/>
      </c>
      <c r="R291" s="32">
        <f>IF($A291="","",SUMIFS(Assignments!$I$2:$I$769,Assignments!$C$2:$C$769,$A291,Assignments!$G$2:$G$769,"Active"))</f>
        <v/>
      </c>
      <c r="S291" s="20" t="inlineStr">
        <is>
          <t>Proposal</t>
        </is>
      </c>
      <c r="T291" s="31" t="n"/>
      <c r="U291" s="38" t="n"/>
      <c r="V291" s="34">
        <f>IF($U291="","",IFERROR(INDEX(Templates!$K$3:$K$10,MATCH($U291,Templates!$A$3:$A$10,0)),""))</f>
        <v/>
      </c>
      <c r="W291" s="34">
        <f>IF($U291="","",IFERROR(INDEX(Templates!$L$3:$L$10,MATCH($U291,Templates!$A$3:$A$10,0)),""))</f>
        <v/>
      </c>
      <c r="X291" s="21">
        <f>IF($U291="","",IFERROR(INDEX(Templates!$J$3:$J$10,MATCH($U291,Templates!$A$3:$A$10,0)),""))</f>
        <v/>
      </c>
      <c r="Y291" s="35">
        <f>IF(OR($U291="",$I291="",$J291="",$X291=""),"",$I291+$X291*($J291-$I291))</f>
        <v/>
      </c>
      <c r="Z291" s="30" t="n">
        <v>46212</v>
      </c>
      <c r="AA291" s="40" t="n"/>
      <c r="AB291" s="41" t="n"/>
      <c r="AC291" s="41" t="n"/>
      <c r="AD291" s="19">
        <f>IF($A291="","",IF($AA291="",$H291,$AA291))</f>
        <v/>
      </c>
      <c r="AE291" s="35">
        <f>IF($A291="","",IF($AB291="",$I291,$AB291))</f>
        <v/>
      </c>
      <c r="AF291" s="35">
        <f>IF($A291="","",IF($AC291="",$J291,$AC291))</f>
        <v/>
      </c>
      <c r="AG291" s="35">
        <f>IF(OR($U291="",$AE291="",$AF291="",$X291=""),"",$AE291+$X291*($AF291-$AE291))</f>
        <v/>
      </c>
      <c r="AH291" s="38" t="n"/>
      <c r="AI291" s="38" t="n"/>
      <c r="AJ291" s="38" t="n"/>
      <c r="AK291" s="38" t="n"/>
      <c r="AL291" s="38" t="n"/>
      <c r="AM291" s="38" t="n"/>
      <c r="AN291" s="38" t="n"/>
      <c r="AO291" s="38" t="n"/>
      <c r="AP291" s="38" t="n"/>
      <c r="AQ291" s="38" t="n"/>
      <c r="AR291" s="38" t="n"/>
      <c r="AS291" s="38" t="n"/>
      <c r="AT291" s="38" t="n"/>
      <c r="AU291" s="38" t="n"/>
      <c r="AV291" s="38" t="n"/>
      <c r="AW291" s="38" t="n"/>
      <c r="AX291" s="38" t="n"/>
      <c r="AY291" s="42" t="n"/>
      <c r="AZ291" s="42" t="n"/>
      <c r="BA291" s="42" t="n"/>
      <c r="BB291" s="42" t="n"/>
      <c r="BC291" s="42" t="n"/>
      <c r="BD291" s="37">
        <f>IF($A291="","",SUM($AY291:$BC291))</f>
        <v/>
      </c>
      <c r="BE291" s="18">
        <f>IF($A291="","",IF(AND($I291&lt;&gt;"",$J291&lt;&gt;""),MAX(1,($J291-$I291)/7),Templates!$B$35))</f>
        <v/>
      </c>
      <c r="BF291" s="18">
        <f>IF($A291="","",IF(AND($I291&lt;&gt;"",$J291&lt;&gt;""),MAX(1,($J291-$I291)/7),Templates!$B$36))</f>
        <v/>
      </c>
      <c r="BG291" s="18">
        <f>IF($A291="","",IF(AND($I291&lt;&gt;"",$J291&lt;&gt;""),MAX(1,($J291-$I291)/7),Templates!$B$37))</f>
        <v/>
      </c>
      <c r="BH291" s="18">
        <f>IF($A291="","",IF(AND($I291&lt;&gt;"",$J291&lt;&gt;""),MAX(1,($J291-$I291)/7),Templates!$B$38))</f>
        <v/>
      </c>
      <c r="BI291" s="18">
        <f>IF($A291="","",IF(AND($I291&lt;&gt;"",$J291&lt;&gt;""),MAX(1,($J291-$I291)/7),Templates!$B$39))</f>
        <v/>
      </c>
      <c r="BJ291" s="18">
        <f>IF(OR($A291="",$BD291=0),0,($AY291*Templates!$B$27/$BE291+$AZ291*Templates!$B$28/$BF291+$BA291*Templates!$B$29/$BG291+$BB291*Templates!$B$30/$BH291+$BC291*Templates!$B$31/$BI291)/Templates!$B$17)</f>
        <v/>
      </c>
      <c r="BK291" s="18">
        <f>IF(OR($A291="",$BD291=0),0,($AY291*Templates!$C$27/$BE291+$AZ291*Templates!$C$28/$BF291+$BA291*Templates!$C$29/$BG291+$BB291*Templates!$C$30/$BH291+$BC291*Templates!$C$31/$BI291)/Templates!$B$18)</f>
        <v/>
      </c>
      <c r="BL291" s="18">
        <f>IF(OR($A291="",$BD291=0),0,($AY291*Templates!$D$27/$BE291+$AZ291*Templates!$D$28/$BF291+$BA291*Templates!$D$29/$BG291+$BB291*Templates!$D$30/$BH291+$BC291*Templates!$D$31/$BI291)/Templates!$B$19)</f>
        <v/>
      </c>
      <c r="BM291" s="18">
        <f>IF(OR($A291="",$BD291=0),0,($AY291*Templates!$E$27/$BE291+$AZ291*Templates!$E$28/$BF291+$BA291*Templates!$E$29/$BG291+$BB291*Templates!$E$30/$BH291+$BC291*Templates!$E$31/$BI291)/Templates!$B$20)</f>
        <v/>
      </c>
      <c r="BN291" s="18">
        <f>IF(OR($A291="",$BD291=0),0,($AY291*Templates!$F$27/$BE291+$AZ291*Templates!$F$28/$BF291+$BA291*Templates!$F$29/$BG291+$BB291*Templates!$F$30/$BH291+$BC291*Templates!$F$31/$BI291)/Templates!$B$21)</f>
        <v/>
      </c>
      <c r="BO291" s="18">
        <f>IF(OR($A291="",$BD291=0),0,($AY291*Templates!$G$27/$BE291+$AZ291*Templates!$G$28/$BF291+$BA291*Templates!$G$29/$BG291+$BB291*Templates!$G$30/$BH291+$BC291*Templates!$G$31/$BI291)/Templates!$B$22)</f>
        <v/>
      </c>
      <c r="BP291" s="18">
        <f>IF(OR($A291="",$BD291=0),0,($AY291*Templates!$H$27/$BE291+$AZ291*Templates!$H$28/$BF291+$BA291*Templates!$H$29/$BG291+$BB291*Templates!$H$30/$BH291+$BC291*Templates!$H$31/$BI291)/Templates!$B$23)</f>
        <v/>
      </c>
    </row>
    <row r="292">
      <c r="A292" s="28" t="inlineStr">
        <is>
          <t>Theta_1</t>
        </is>
      </c>
      <c r="B292" s="20" t="inlineStr">
        <is>
          <t>Thetha FIRPTA</t>
        </is>
      </c>
      <c r="C292" s="28" t="inlineStr">
        <is>
          <t>Thetha FIRPTA</t>
        </is>
      </c>
      <c r="D292" s="28" t="inlineStr"/>
      <c r="E292" s="28" t="inlineStr">
        <is>
          <t>No</t>
        </is>
      </c>
      <c r="F292" s="28" t="inlineStr">
        <is>
          <t>Proposal</t>
        </is>
      </c>
      <c r="G292" s="38" t="n"/>
      <c r="H292" s="43" t="n">
        <v>0.5</v>
      </c>
      <c r="I292" s="39" t="n"/>
      <c r="J292" s="39" t="n"/>
      <c r="K292" s="31" t="n"/>
      <c r="L292" s="31" t="n"/>
      <c r="M292" s="31" t="n"/>
      <c r="N292" s="31" t="n"/>
      <c r="O292" s="31" t="n"/>
      <c r="P292" s="31" t="n"/>
      <c r="Q292" s="23">
        <f>IF($A292="","",COUNTIFS(Assignments!$C$2:$C$769,$A292,Assignments!$G$2:$G$769,"Active"))</f>
        <v/>
      </c>
      <c r="R292" s="32">
        <f>IF($A292="","",SUMIFS(Assignments!$I$2:$I$769,Assignments!$C$2:$C$769,$A292,Assignments!$G$2:$G$769,"Active"))</f>
        <v/>
      </c>
      <c r="S292" s="20" t="inlineStr">
        <is>
          <t>Summary tab only (Proposal)</t>
        </is>
      </c>
      <c r="T292" s="31" t="n"/>
      <c r="U292" s="38" t="n"/>
      <c r="V292" s="34">
        <f>IF($U292="","",IFERROR(INDEX(Templates!$K$3:$K$10,MATCH($U292,Templates!$A$3:$A$10,0)),""))</f>
        <v/>
      </c>
      <c r="W292" s="34">
        <f>IF($U292="","",IFERROR(INDEX(Templates!$L$3:$L$10,MATCH($U292,Templates!$A$3:$A$10,0)),""))</f>
        <v/>
      </c>
      <c r="X292" s="21">
        <f>IF($U292="","",IFERROR(INDEX(Templates!$J$3:$J$10,MATCH($U292,Templates!$A$3:$A$10,0)),""))</f>
        <v/>
      </c>
      <c r="Y292" s="35">
        <f>IF(OR($U292="",$I292="",$J292="",$X292=""),"",$I292+$X292*($J292-$I292))</f>
        <v/>
      </c>
      <c r="Z292" s="30" t="n">
        <v>46212</v>
      </c>
      <c r="AA292" s="40" t="n"/>
      <c r="AB292" s="41" t="n"/>
      <c r="AC292" s="41" t="n"/>
      <c r="AD292" s="19">
        <f>IF($A292="","",IF($AA292="",$H292,$AA292))</f>
        <v/>
      </c>
      <c r="AE292" s="35">
        <f>IF($A292="","",IF($AB292="",$I292,$AB292))</f>
        <v/>
      </c>
      <c r="AF292" s="35">
        <f>IF($A292="","",IF($AC292="",$J292,$AC292))</f>
        <v/>
      </c>
      <c r="AG292" s="35">
        <f>IF(OR($U292="",$AE292="",$AF292="",$X292=""),"",$AE292+$X292*($AF292-$AE292))</f>
        <v/>
      </c>
      <c r="AH292" s="38" t="n"/>
      <c r="AI292" s="38" t="n"/>
      <c r="AJ292" s="38" t="n"/>
      <c r="AK292" s="38" t="n"/>
      <c r="AL292" s="38" t="n"/>
      <c r="AM292" s="38" t="n"/>
      <c r="AN292" s="38" t="n"/>
      <c r="AO292" s="38" t="n"/>
      <c r="AP292" s="38" t="n"/>
      <c r="AQ292" s="38" t="n"/>
      <c r="AR292" s="38" t="n"/>
      <c r="AS292" s="38" t="n"/>
      <c r="AT292" s="38" t="n"/>
      <c r="AU292" s="38" t="n"/>
      <c r="AV292" s="38" t="n"/>
      <c r="AW292" s="38" t="n"/>
      <c r="AX292" s="38" t="n"/>
      <c r="AY292" s="42" t="n"/>
      <c r="AZ292" s="42" t="n"/>
      <c r="BA292" s="42" t="n"/>
      <c r="BB292" s="42" t="n"/>
      <c r="BC292" s="42" t="n"/>
      <c r="BD292" s="37">
        <f>IF($A292="","",SUM($AY292:$BC292))</f>
        <v/>
      </c>
      <c r="BE292" s="18">
        <f>IF($A292="","",IF(AND($I292&lt;&gt;"",$J292&lt;&gt;""),MAX(1,($J292-$I292)/7),Templates!$B$35))</f>
        <v/>
      </c>
      <c r="BF292" s="18">
        <f>IF($A292="","",IF(AND($I292&lt;&gt;"",$J292&lt;&gt;""),MAX(1,($J292-$I292)/7),Templates!$B$36))</f>
        <v/>
      </c>
      <c r="BG292" s="18">
        <f>IF($A292="","",IF(AND($I292&lt;&gt;"",$J292&lt;&gt;""),MAX(1,($J292-$I292)/7),Templates!$B$37))</f>
        <v/>
      </c>
      <c r="BH292" s="18">
        <f>IF($A292="","",IF(AND($I292&lt;&gt;"",$J292&lt;&gt;""),MAX(1,($J292-$I292)/7),Templates!$B$38))</f>
        <v/>
      </c>
      <c r="BI292" s="18">
        <f>IF($A292="","",IF(AND($I292&lt;&gt;"",$J292&lt;&gt;""),MAX(1,($J292-$I292)/7),Templates!$B$39))</f>
        <v/>
      </c>
      <c r="BJ292" s="18">
        <f>IF(OR($A292="",$BD292=0),0,($AY292*Templates!$B$27/$BE292+$AZ292*Templates!$B$28/$BF292+$BA292*Templates!$B$29/$BG292+$BB292*Templates!$B$30/$BH292+$BC292*Templates!$B$31/$BI292)/Templates!$B$17)</f>
        <v/>
      </c>
      <c r="BK292" s="18">
        <f>IF(OR($A292="",$BD292=0),0,($AY292*Templates!$C$27/$BE292+$AZ292*Templates!$C$28/$BF292+$BA292*Templates!$C$29/$BG292+$BB292*Templates!$C$30/$BH292+$BC292*Templates!$C$31/$BI292)/Templates!$B$18)</f>
        <v/>
      </c>
      <c r="BL292" s="18">
        <f>IF(OR($A292="",$BD292=0),0,($AY292*Templates!$D$27/$BE292+$AZ292*Templates!$D$28/$BF292+$BA292*Templates!$D$29/$BG292+$BB292*Templates!$D$30/$BH292+$BC292*Templates!$D$31/$BI292)/Templates!$B$19)</f>
        <v/>
      </c>
      <c r="BM292" s="18">
        <f>IF(OR($A292="",$BD292=0),0,($AY292*Templates!$E$27/$BE292+$AZ292*Templates!$E$28/$BF292+$BA292*Templates!$E$29/$BG292+$BB292*Templates!$E$30/$BH292+$BC292*Templates!$E$31/$BI292)/Templates!$B$20)</f>
        <v/>
      </c>
      <c r="BN292" s="18">
        <f>IF(OR($A292="",$BD292=0),0,($AY292*Templates!$F$27/$BE292+$AZ292*Templates!$F$28/$BF292+$BA292*Templates!$F$29/$BG292+$BB292*Templates!$F$30/$BH292+$BC292*Templates!$F$31/$BI292)/Templates!$B$21)</f>
        <v/>
      </c>
      <c r="BO292" s="18">
        <f>IF(OR($A292="",$BD292=0),0,($AY292*Templates!$G$27/$BE292+$AZ292*Templates!$G$28/$BF292+$BA292*Templates!$G$29/$BG292+$BB292*Templates!$G$30/$BH292+$BC292*Templates!$G$31/$BI292)/Templates!$B$22)</f>
        <v/>
      </c>
      <c r="BP292" s="18">
        <f>IF(OR($A292="",$BD292=0),0,($AY292*Templates!$H$27/$BE292+$AZ292*Templates!$H$28/$BF292+$BA292*Templates!$H$29/$BG292+$BB292*Templates!$H$30/$BH292+$BC292*Templates!$H$31/$BI292)/Templates!$B$23)</f>
        <v/>
      </c>
    </row>
    <row r="293">
      <c r="A293" s="28" t="inlineStr">
        <is>
          <t>TP Assistance_1</t>
        </is>
      </c>
      <c r="B293" s="20" t="inlineStr">
        <is>
          <t>Taxand Global : Arsene TaxAnd</t>
        </is>
      </c>
      <c r="C293" s="28" t="inlineStr">
        <is>
          <t>Taxand Global</t>
        </is>
      </c>
      <c r="D293" s="28" t="inlineStr">
        <is>
          <t>Arsene TaxAnd</t>
        </is>
      </c>
      <c r="E293" s="28" t="inlineStr">
        <is>
          <t>No</t>
        </is>
      </c>
      <c r="F293" s="28" t="inlineStr">
        <is>
          <t>Proposal</t>
        </is>
      </c>
      <c r="G293" s="38" t="n"/>
      <c r="H293" s="43" t="n">
        <v>0.5</v>
      </c>
      <c r="I293" s="39" t="n"/>
      <c r="J293" s="39" t="n"/>
      <c r="K293" s="31" t="n"/>
      <c r="L293" s="31" t="n"/>
      <c r="M293" s="31" t="n"/>
      <c r="N293" s="31" t="n"/>
      <c r="O293" s="31" t="n"/>
      <c r="P293" s="31" t="n"/>
      <c r="Q293" s="23">
        <f>IF($A293="","",COUNTIFS(Assignments!$C$2:$C$769,$A293,Assignments!$G$2:$G$769,"Active"))</f>
        <v/>
      </c>
      <c r="R293" s="32">
        <f>IF($A293="","",SUMIFS(Assignments!$I$2:$I$769,Assignments!$C$2:$C$769,$A293,Assignments!$G$2:$G$769,"Active"))</f>
        <v/>
      </c>
      <c r="S293" s="20" t="inlineStr">
        <is>
          <t>Proposal</t>
        </is>
      </c>
      <c r="T293" s="31" t="n"/>
      <c r="U293" s="38" t="n"/>
      <c r="V293" s="34">
        <f>IF($U293="","",IFERROR(INDEX(Templates!$K$3:$K$10,MATCH($U293,Templates!$A$3:$A$10,0)),""))</f>
        <v/>
      </c>
      <c r="W293" s="34">
        <f>IF($U293="","",IFERROR(INDEX(Templates!$L$3:$L$10,MATCH($U293,Templates!$A$3:$A$10,0)),""))</f>
        <v/>
      </c>
      <c r="X293" s="21">
        <f>IF($U293="","",IFERROR(INDEX(Templates!$J$3:$J$10,MATCH($U293,Templates!$A$3:$A$10,0)),""))</f>
        <v/>
      </c>
      <c r="Y293" s="35">
        <f>IF(OR($U293="",$I293="",$J293="",$X293=""),"",$I293+$X293*($J293-$I293))</f>
        <v/>
      </c>
      <c r="Z293" s="30" t="n">
        <v>46212</v>
      </c>
      <c r="AA293" s="40" t="n"/>
      <c r="AB293" s="41" t="n"/>
      <c r="AC293" s="41" t="n"/>
      <c r="AD293" s="19">
        <f>IF($A293="","",IF($AA293="",$H293,$AA293))</f>
        <v/>
      </c>
      <c r="AE293" s="35">
        <f>IF($A293="","",IF($AB293="",$I293,$AB293))</f>
        <v/>
      </c>
      <c r="AF293" s="35">
        <f>IF($A293="","",IF($AC293="",$J293,$AC293))</f>
        <v/>
      </c>
      <c r="AG293" s="35">
        <f>IF(OR($U293="",$AE293="",$AF293="",$X293=""),"",$AE293+$X293*($AF293-$AE293))</f>
        <v/>
      </c>
      <c r="AH293" s="38" t="n"/>
      <c r="AI293" s="38" t="n"/>
      <c r="AJ293" s="38" t="n"/>
      <c r="AK293" s="38" t="n"/>
      <c r="AL293" s="38" t="n"/>
      <c r="AM293" s="38" t="n"/>
      <c r="AN293" s="38" t="n"/>
      <c r="AO293" s="38" t="n"/>
      <c r="AP293" s="38" t="n"/>
      <c r="AQ293" s="38" t="n"/>
      <c r="AR293" s="38" t="n"/>
      <c r="AS293" s="38" t="n"/>
      <c r="AT293" s="38" t="n"/>
      <c r="AU293" s="38" t="n"/>
      <c r="AV293" s="38" t="n"/>
      <c r="AW293" s="38" t="n"/>
      <c r="AX293" s="38" t="n"/>
      <c r="AY293" s="42" t="n"/>
      <c r="AZ293" s="42" t="n"/>
      <c r="BA293" s="42" t="n"/>
      <c r="BB293" s="42" t="n"/>
      <c r="BC293" s="42" t="n"/>
      <c r="BD293" s="37">
        <f>IF($A293="","",SUM($AY293:$BC293))</f>
        <v/>
      </c>
      <c r="BE293" s="18">
        <f>IF($A293="","",IF(AND($I293&lt;&gt;"",$J293&lt;&gt;""),MAX(1,($J293-$I293)/7),Templates!$B$35))</f>
        <v/>
      </c>
      <c r="BF293" s="18">
        <f>IF($A293="","",IF(AND($I293&lt;&gt;"",$J293&lt;&gt;""),MAX(1,($J293-$I293)/7),Templates!$B$36))</f>
        <v/>
      </c>
      <c r="BG293" s="18">
        <f>IF($A293="","",IF(AND($I293&lt;&gt;"",$J293&lt;&gt;""),MAX(1,($J293-$I293)/7),Templates!$B$37))</f>
        <v/>
      </c>
      <c r="BH293" s="18">
        <f>IF($A293="","",IF(AND($I293&lt;&gt;"",$J293&lt;&gt;""),MAX(1,($J293-$I293)/7),Templates!$B$38))</f>
        <v/>
      </c>
      <c r="BI293" s="18">
        <f>IF($A293="","",IF(AND($I293&lt;&gt;"",$J293&lt;&gt;""),MAX(1,($J293-$I293)/7),Templates!$B$39))</f>
        <v/>
      </c>
      <c r="BJ293" s="18">
        <f>IF(OR($A293="",$BD293=0),0,($AY293*Templates!$B$27/$BE293+$AZ293*Templates!$B$28/$BF293+$BA293*Templates!$B$29/$BG293+$BB293*Templates!$B$30/$BH293+$BC293*Templates!$B$31/$BI293)/Templates!$B$17)</f>
        <v/>
      </c>
      <c r="BK293" s="18">
        <f>IF(OR($A293="",$BD293=0),0,($AY293*Templates!$C$27/$BE293+$AZ293*Templates!$C$28/$BF293+$BA293*Templates!$C$29/$BG293+$BB293*Templates!$C$30/$BH293+$BC293*Templates!$C$31/$BI293)/Templates!$B$18)</f>
        <v/>
      </c>
      <c r="BL293" s="18">
        <f>IF(OR($A293="",$BD293=0),0,($AY293*Templates!$D$27/$BE293+$AZ293*Templates!$D$28/$BF293+$BA293*Templates!$D$29/$BG293+$BB293*Templates!$D$30/$BH293+$BC293*Templates!$D$31/$BI293)/Templates!$B$19)</f>
        <v/>
      </c>
      <c r="BM293" s="18">
        <f>IF(OR($A293="",$BD293=0),0,($AY293*Templates!$E$27/$BE293+$AZ293*Templates!$E$28/$BF293+$BA293*Templates!$E$29/$BG293+$BB293*Templates!$E$30/$BH293+$BC293*Templates!$E$31/$BI293)/Templates!$B$20)</f>
        <v/>
      </c>
      <c r="BN293" s="18">
        <f>IF(OR($A293="",$BD293=0),0,($AY293*Templates!$F$27/$BE293+$AZ293*Templates!$F$28/$BF293+$BA293*Templates!$F$29/$BG293+$BB293*Templates!$F$30/$BH293+$BC293*Templates!$F$31/$BI293)/Templates!$B$21)</f>
        <v/>
      </c>
      <c r="BO293" s="18">
        <f>IF(OR($A293="",$BD293=0),0,($AY293*Templates!$G$27/$BE293+$AZ293*Templates!$G$28/$BF293+$BA293*Templates!$G$29/$BG293+$BB293*Templates!$G$30/$BH293+$BC293*Templates!$G$31/$BI293)/Templates!$B$22)</f>
        <v/>
      </c>
      <c r="BP293" s="18">
        <f>IF(OR($A293="",$BD293=0),0,($AY293*Templates!$H$27/$BE293+$AZ293*Templates!$H$28/$BF293+$BA293*Templates!$H$29/$BG293+$BB293*Templates!$H$30/$BH293+$BC293*Templates!$H$31/$BI293)/Templates!$B$23)</f>
        <v/>
      </c>
    </row>
    <row r="294">
      <c r="A294" s="28" t="inlineStr">
        <is>
          <t>Tracer II_2</t>
        </is>
      </c>
      <c r="B294" s="20" t="inlineStr">
        <is>
          <t>K1 Investment Management</t>
        </is>
      </c>
      <c r="C294" s="28" t="inlineStr">
        <is>
          <t>K1 Investment Management</t>
        </is>
      </c>
      <c r="D294" s="28" t="inlineStr"/>
      <c r="E294" s="28" t="inlineStr">
        <is>
          <t>No</t>
        </is>
      </c>
      <c r="F294" s="28" t="inlineStr">
        <is>
          <t>Proposal</t>
        </is>
      </c>
      <c r="G294" s="38" t="n"/>
      <c r="H294" s="43" t="n">
        <v>0.5</v>
      </c>
      <c r="I294" s="39" t="n"/>
      <c r="J294" s="39" t="n"/>
      <c r="K294" s="31" t="n"/>
      <c r="L294" s="31" t="n"/>
      <c r="M294" s="31" t="n"/>
      <c r="N294" s="31" t="n"/>
      <c r="O294" s="31" t="n"/>
      <c r="P294" s="31" t="n"/>
      <c r="Q294" s="23">
        <f>IF($A294="","",COUNTIFS(Assignments!$C$2:$C$769,$A294,Assignments!$G$2:$G$769,"Active"))</f>
        <v/>
      </c>
      <c r="R294" s="32">
        <f>IF($A294="","",SUMIFS(Assignments!$I$2:$I$769,Assignments!$C$2:$C$769,$A294,Assignments!$G$2:$G$769,"Active"))</f>
        <v/>
      </c>
      <c r="S294" s="20" t="inlineStr">
        <is>
          <t>Proposal</t>
        </is>
      </c>
      <c r="T294" s="31" t="n"/>
      <c r="U294" s="38" t="n"/>
      <c r="V294" s="34">
        <f>IF($U294="","",IFERROR(INDEX(Templates!$K$3:$K$10,MATCH($U294,Templates!$A$3:$A$10,0)),""))</f>
        <v/>
      </c>
      <c r="W294" s="34">
        <f>IF($U294="","",IFERROR(INDEX(Templates!$L$3:$L$10,MATCH($U294,Templates!$A$3:$A$10,0)),""))</f>
        <v/>
      </c>
      <c r="X294" s="21">
        <f>IF($U294="","",IFERROR(INDEX(Templates!$J$3:$J$10,MATCH($U294,Templates!$A$3:$A$10,0)),""))</f>
        <v/>
      </c>
      <c r="Y294" s="35">
        <f>IF(OR($U294="",$I294="",$J294="",$X294=""),"",$I294+$X294*($J294-$I294))</f>
        <v/>
      </c>
      <c r="Z294" s="30" t="n">
        <v>46212</v>
      </c>
      <c r="AA294" s="40" t="n"/>
      <c r="AB294" s="41" t="n"/>
      <c r="AC294" s="41" t="n"/>
      <c r="AD294" s="19">
        <f>IF($A294="","",IF($AA294="",$H294,$AA294))</f>
        <v/>
      </c>
      <c r="AE294" s="35">
        <f>IF($A294="","",IF($AB294="",$I294,$AB294))</f>
        <v/>
      </c>
      <c r="AF294" s="35">
        <f>IF($A294="","",IF($AC294="",$J294,$AC294))</f>
        <v/>
      </c>
      <c r="AG294" s="35">
        <f>IF(OR($U294="",$AE294="",$AF294="",$X294=""),"",$AE294+$X294*($AF294-$AE294))</f>
        <v/>
      </c>
      <c r="AH294" s="38" t="n"/>
      <c r="AI294" s="38" t="n"/>
      <c r="AJ294" s="38" t="n"/>
      <c r="AK294" s="38" t="n"/>
      <c r="AL294" s="38" t="n"/>
      <c r="AM294" s="38" t="n"/>
      <c r="AN294" s="38" t="n"/>
      <c r="AO294" s="38" t="n"/>
      <c r="AP294" s="38" t="n"/>
      <c r="AQ294" s="38" t="n"/>
      <c r="AR294" s="38" t="n"/>
      <c r="AS294" s="38" t="n"/>
      <c r="AT294" s="38" t="n"/>
      <c r="AU294" s="38" t="n"/>
      <c r="AV294" s="38" t="n"/>
      <c r="AW294" s="38" t="n"/>
      <c r="AX294" s="38" t="n"/>
      <c r="AY294" s="42" t="n"/>
      <c r="AZ294" s="42" t="n"/>
      <c r="BA294" s="42" t="n"/>
      <c r="BB294" s="42" t="n"/>
      <c r="BC294" s="42" t="n"/>
      <c r="BD294" s="37">
        <f>IF($A294="","",SUM($AY294:$BC294))</f>
        <v/>
      </c>
      <c r="BE294" s="18">
        <f>IF($A294="","",IF(AND($I294&lt;&gt;"",$J294&lt;&gt;""),MAX(1,($J294-$I294)/7),Templates!$B$35))</f>
        <v/>
      </c>
      <c r="BF294" s="18">
        <f>IF($A294="","",IF(AND($I294&lt;&gt;"",$J294&lt;&gt;""),MAX(1,($J294-$I294)/7),Templates!$B$36))</f>
        <v/>
      </c>
      <c r="BG294" s="18">
        <f>IF($A294="","",IF(AND($I294&lt;&gt;"",$J294&lt;&gt;""),MAX(1,($J294-$I294)/7),Templates!$B$37))</f>
        <v/>
      </c>
      <c r="BH294" s="18">
        <f>IF($A294="","",IF(AND($I294&lt;&gt;"",$J294&lt;&gt;""),MAX(1,($J294-$I294)/7),Templates!$B$38))</f>
        <v/>
      </c>
      <c r="BI294" s="18">
        <f>IF($A294="","",IF(AND($I294&lt;&gt;"",$J294&lt;&gt;""),MAX(1,($J294-$I294)/7),Templates!$B$39))</f>
        <v/>
      </c>
      <c r="BJ294" s="18">
        <f>IF(OR($A294="",$BD294=0),0,($AY294*Templates!$B$27/$BE294+$AZ294*Templates!$B$28/$BF294+$BA294*Templates!$B$29/$BG294+$BB294*Templates!$B$30/$BH294+$BC294*Templates!$B$31/$BI294)/Templates!$B$17)</f>
        <v/>
      </c>
      <c r="BK294" s="18">
        <f>IF(OR($A294="",$BD294=0),0,($AY294*Templates!$C$27/$BE294+$AZ294*Templates!$C$28/$BF294+$BA294*Templates!$C$29/$BG294+$BB294*Templates!$C$30/$BH294+$BC294*Templates!$C$31/$BI294)/Templates!$B$18)</f>
        <v/>
      </c>
      <c r="BL294" s="18">
        <f>IF(OR($A294="",$BD294=0),0,($AY294*Templates!$D$27/$BE294+$AZ294*Templates!$D$28/$BF294+$BA294*Templates!$D$29/$BG294+$BB294*Templates!$D$30/$BH294+$BC294*Templates!$D$31/$BI294)/Templates!$B$19)</f>
        <v/>
      </c>
      <c r="BM294" s="18">
        <f>IF(OR($A294="",$BD294=0),0,($AY294*Templates!$E$27/$BE294+$AZ294*Templates!$E$28/$BF294+$BA294*Templates!$E$29/$BG294+$BB294*Templates!$E$30/$BH294+$BC294*Templates!$E$31/$BI294)/Templates!$B$20)</f>
        <v/>
      </c>
      <c r="BN294" s="18">
        <f>IF(OR($A294="",$BD294=0),0,($AY294*Templates!$F$27/$BE294+$AZ294*Templates!$F$28/$BF294+$BA294*Templates!$F$29/$BG294+$BB294*Templates!$F$30/$BH294+$BC294*Templates!$F$31/$BI294)/Templates!$B$21)</f>
        <v/>
      </c>
      <c r="BO294" s="18">
        <f>IF(OR($A294="",$BD294=0),0,($AY294*Templates!$G$27/$BE294+$AZ294*Templates!$G$28/$BF294+$BA294*Templates!$G$29/$BG294+$BB294*Templates!$G$30/$BH294+$BC294*Templates!$G$31/$BI294)/Templates!$B$22)</f>
        <v/>
      </c>
      <c r="BP294" s="18">
        <f>IF(OR($A294="",$BD294=0),0,($AY294*Templates!$H$27/$BE294+$AZ294*Templates!$H$28/$BF294+$BA294*Templates!$H$29/$BG294+$BB294*Templates!$H$30/$BH294+$BC294*Templates!$H$31/$BI294)/Templates!$B$23)</f>
        <v/>
      </c>
    </row>
    <row r="295">
      <c r="A295" s="28" t="inlineStr">
        <is>
          <t>Turtle_1</t>
        </is>
      </c>
      <c r="B295" s="20" t="inlineStr">
        <is>
          <t>Certa</t>
        </is>
      </c>
      <c r="C295" s="28" t="inlineStr">
        <is>
          <t>Certa</t>
        </is>
      </c>
      <c r="D295" s="28" t="inlineStr"/>
      <c r="E295" s="28" t="inlineStr">
        <is>
          <t>No</t>
        </is>
      </c>
      <c r="F295" s="28" t="inlineStr">
        <is>
          <t>Proposal</t>
        </is>
      </c>
      <c r="G295" s="38" t="n"/>
      <c r="H295" s="43" t="n">
        <v>0.5</v>
      </c>
      <c r="I295" s="39" t="n"/>
      <c r="J295" s="39" t="n"/>
      <c r="K295" s="31" t="n"/>
      <c r="L295" s="31" t="n"/>
      <c r="M295" s="31" t="n"/>
      <c r="N295" s="31" t="n"/>
      <c r="O295" s="31" t="n"/>
      <c r="P295" s="31" t="n"/>
      <c r="Q295" s="23">
        <f>IF($A295="","",COUNTIFS(Assignments!$C$2:$C$769,$A295,Assignments!$G$2:$G$769,"Active"))</f>
        <v/>
      </c>
      <c r="R295" s="32">
        <f>IF($A295="","",SUMIFS(Assignments!$I$2:$I$769,Assignments!$C$2:$C$769,$A295,Assignments!$G$2:$G$769,"Active"))</f>
        <v/>
      </c>
      <c r="S295" s="20" t="inlineStr">
        <is>
          <t>Proposal</t>
        </is>
      </c>
      <c r="T295" s="31" t="n"/>
      <c r="U295" s="38" t="n"/>
      <c r="V295" s="34">
        <f>IF($U295="","",IFERROR(INDEX(Templates!$K$3:$K$10,MATCH($U295,Templates!$A$3:$A$10,0)),""))</f>
        <v/>
      </c>
      <c r="W295" s="34">
        <f>IF($U295="","",IFERROR(INDEX(Templates!$L$3:$L$10,MATCH($U295,Templates!$A$3:$A$10,0)),""))</f>
        <v/>
      </c>
      <c r="X295" s="21">
        <f>IF($U295="","",IFERROR(INDEX(Templates!$J$3:$J$10,MATCH($U295,Templates!$A$3:$A$10,0)),""))</f>
        <v/>
      </c>
      <c r="Y295" s="35">
        <f>IF(OR($U295="",$I295="",$J295="",$X295=""),"",$I295+$X295*($J295-$I295))</f>
        <v/>
      </c>
      <c r="Z295" s="30" t="n">
        <v>46212</v>
      </c>
      <c r="AA295" s="40" t="n"/>
      <c r="AB295" s="41" t="n"/>
      <c r="AC295" s="41" t="n"/>
      <c r="AD295" s="19">
        <f>IF($A295="","",IF($AA295="",$H295,$AA295))</f>
        <v/>
      </c>
      <c r="AE295" s="35">
        <f>IF($A295="","",IF($AB295="",$I295,$AB295))</f>
        <v/>
      </c>
      <c r="AF295" s="35">
        <f>IF($A295="","",IF($AC295="",$J295,$AC295))</f>
        <v/>
      </c>
      <c r="AG295" s="35">
        <f>IF(OR($U295="",$AE295="",$AF295="",$X295=""),"",$AE295+$X295*($AF295-$AE295))</f>
        <v/>
      </c>
      <c r="AH295" s="38" t="n"/>
      <c r="AI295" s="38" t="n"/>
      <c r="AJ295" s="38" t="n"/>
      <c r="AK295" s="38" t="n"/>
      <c r="AL295" s="38" t="n"/>
      <c r="AM295" s="38" t="n"/>
      <c r="AN295" s="38" t="n"/>
      <c r="AO295" s="38" t="n"/>
      <c r="AP295" s="38" t="n"/>
      <c r="AQ295" s="38" t="n"/>
      <c r="AR295" s="38" t="n"/>
      <c r="AS295" s="38" t="n"/>
      <c r="AT295" s="38" t="n"/>
      <c r="AU295" s="38" t="n"/>
      <c r="AV295" s="38" t="n"/>
      <c r="AW295" s="38" t="n"/>
      <c r="AX295" s="38" t="n"/>
      <c r="AY295" s="42" t="n"/>
      <c r="AZ295" s="42" t="n"/>
      <c r="BA295" s="42" t="n"/>
      <c r="BB295" s="42" t="n"/>
      <c r="BC295" s="42" t="n"/>
      <c r="BD295" s="37">
        <f>IF($A295="","",SUM($AY295:$BC295))</f>
        <v/>
      </c>
      <c r="BE295" s="18">
        <f>IF($A295="","",IF(AND($I295&lt;&gt;"",$J295&lt;&gt;""),MAX(1,($J295-$I295)/7),Templates!$B$35))</f>
        <v/>
      </c>
      <c r="BF295" s="18">
        <f>IF($A295="","",IF(AND($I295&lt;&gt;"",$J295&lt;&gt;""),MAX(1,($J295-$I295)/7),Templates!$B$36))</f>
        <v/>
      </c>
      <c r="BG295" s="18">
        <f>IF($A295="","",IF(AND($I295&lt;&gt;"",$J295&lt;&gt;""),MAX(1,($J295-$I295)/7),Templates!$B$37))</f>
        <v/>
      </c>
      <c r="BH295" s="18">
        <f>IF($A295="","",IF(AND($I295&lt;&gt;"",$J295&lt;&gt;""),MAX(1,($J295-$I295)/7),Templates!$B$38))</f>
        <v/>
      </c>
      <c r="BI295" s="18">
        <f>IF($A295="","",IF(AND($I295&lt;&gt;"",$J295&lt;&gt;""),MAX(1,($J295-$I295)/7),Templates!$B$39))</f>
        <v/>
      </c>
      <c r="BJ295" s="18">
        <f>IF(OR($A295="",$BD295=0),0,($AY295*Templates!$B$27/$BE295+$AZ295*Templates!$B$28/$BF295+$BA295*Templates!$B$29/$BG295+$BB295*Templates!$B$30/$BH295+$BC295*Templates!$B$31/$BI295)/Templates!$B$17)</f>
        <v/>
      </c>
      <c r="BK295" s="18">
        <f>IF(OR($A295="",$BD295=0),0,($AY295*Templates!$C$27/$BE295+$AZ295*Templates!$C$28/$BF295+$BA295*Templates!$C$29/$BG295+$BB295*Templates!$C$30/$BH295+$BC295*Templates!$C$31/$BI295)/Templates!$B$18)</f>
        <v/>
      </c>
      <c r="BL295" s="18">
        <f>IF(OR($A295="",$BD295=0),0,($AY295*Templates!$D$27/$BE295+$AZ295*Templates!$D$28/$BF295+$BA295*Templates!$D$29/$BG295+$BB295*Templates!$D$30/$BH295+$BC295*Templates!$D$31/$BI295)/Templates!$B$19)</f>
        <v/>
      </c>
      <c r="BM295" s="18">
        <f>IF(OR($A295="",$BD295=0),0,($AY295*Templates!$E$27/$BE295+$AZ295*Templates!$E$28/$BF295+$BA295*Templates!$E$29/$BG295+$BB295*Templates!$E$30/$BH295+$BC295*Templates!$E$31/$BI295)/Templates!$B$20)</f>
        <v/>
      </c>
      <c r="BN295" s="18">
        <f>IF(OR($A295="",$BD295=0),0,($AY295*Templates!$F$27/$BE295+$AZ295*Templates!$F$28/$BF295+$BA295*Templates!$F$29/$BG295+$BB295*Templates!$F$30/$BH295+$BC295*Templates!$F$31/$BI295)/Templates!$B$21)</f>
        <v/>
      </c>
      <c r="BO295" s="18">
        <f>IF(OR($A295="",$BD295=0),0,($AY295*Templates!$G$27/$BE295+$AZ295*Templates!$G$28/$BF295+$BA295*Templates!$G$29/$BG295+$BB295*Templates!$G$30/$BH295+$BC295*Templates!$G$31/$BI295)/Templates!$B$22)</f>
        <v/>
      </c>
      <c r="BP295" s="18">
        <f>IF(OR($A295="",$BD295=0),0,($AY295*Templates!$H$27/$BE295+$AZ295*Templates!$H$28/$BF295+$BA295*Templates!$H$29/$BG295+$BB295*Templates!$H$30/$BH295+$BC295*Templates!$H$31/$BI295)/Templates!$B$23)</f>
        <v/>
      </c>
    </row>
    <row r="296">
      <c r="A296" s="28" t="inlineStr">
        <is>
          <t>Twister_1</t>
        </is>
      </c>
      <c r="B296" s="20" t="inlineStr">
        <is>
          <t>LS Power</t>
        </is>
      </c>
      <c r="C296" s="28" t="inlineStr">
        <is>
          <t>LS Power</t>
        </is>
      </c>
      <c r="D296" s="28" t="inlineStr"/>
      <c r="E296" s="28" t="inlineStr">
        <is>
          <t>No</t>
        </is>
      </c>
      <c r="F296" s="28" t="inlineStr">
        <is>
          <t>Proposal</t>
        </is>
      </c>
      <c r="G296" s="38" t="n"/>
      <c r="H296" s="43" t="n">
        <v>0.5</v>
      </c>
      <c r="I296" s="39" t="n"/>
      <c r="J296" s="39" t="n"/>
      <c r="K296" s="31" t="n"/>
      <c r="L296" s="31" t="n"/>
      <c r="M296" s="31" t="n"/>
      <c r="N296" s="31" t="n"/>
      <c r="O296" s="31" t="n"/>
      <c r="P296" s="31" t="n"/>
      <c r="Q296" s="23">
        <f>IF($A296="","",COUNTIFS(Assignments!$C$2:$C$769,$A296,Assignments!$G$2:$G$769,"Active"))</f>
        <v/>
      </c>
      <c r="R296" s="32">
        <f>IF($A296="","",SUMIFS(Assignments!$I$2:$I$769,Assignments!$C$2:$C$769,$A296,Assignments!$G$2:$G$769,"Active"))</f>
        <v/>
      </c>
      <c r="S296" s="20" t="inlineStr">
        <is>
          <t>Proposal</t>
        </is>
      </c>
      <c r="T296" s="31" t="n"/>
      <c r="U296" s="38" t="n"/>
      <c r="V296" s="34">
        <f>IF($U296="","",IFERROR(INDEX(Templates!$K$3:$K$10,MATCH($U296,Templates!$A$3:$A$10,0)),""))</f>
        <v/>
      </c>
      <c r="W296" s="34">
        <f>IF($U296="","",IFERROR(INDEX(Templates!$L$3:$L$10,MATCH($U296,Templates!$A$3:$A$10,0)),""))</f>
        <v/>
      </c>
      <c r="X296" s="21">
        <f>IF($U296="","",IFERROR(INDEX(Templates!$J$3:$J$10,MATCH($U296,Templates!$A$3:$A$10,0)),""))</f>
        <v/>
      </c>
      <c r="Y296" s="35">
        <f>IF(OR($U296="",$I296="",$J296="",$X296=""),"",$I296+$X296*($J296-$I296))</f>
        <v/>
      </c>
      <c r="Z296" s="30" t="n">
        <v>46212</v>
      </c>
      <c r="AA296" s="40" t="n"/>
      <c r="AB296" s="41" t="n"/>
      <c r="AC296" s="41" t="n"/>
      <c r="AD296" s="19">
        <f>IF($A296="","",IF($AA296="",$H296,$AA296))</f>
        <v/>
      </c>
      <c r="AE296" s="35">
        <f>IF($A296="","",IF($AB296="",$I296,$AB296))</f>
        <v/>
      </c>
      <c r="AF296" s="35">
        <f>IF($A296="","",IF($AC296="",$J296,$AC296))</f>
        <v/>
      </c>
      <c r="AG296" s="35">
        <f>IF(OR($U296="",$AE296="",$AF296="",$X296=""),"",$AE296+$X296*($AF296-$AE296))</f>
        <v/>
      </c>
      <c r="AH296" s="38" t="n"/>
      <c r="AI296" s="38" t="n"/>
      <c r="AJ296" s="38" t="n"/>
      <c r="AK296" s="38" t="n"/>
      <c r="AL296" s="38" t="n"/>
      <c r="AM296" s="38" t="n"/>
      <c r="AN296" s="38" t="n"/>
      <c r="AO296" s="38" t="n"/>
      <c r="AP296" s="38" t="n"/>
      <c r="AQ296" s="38" t="n"/>
      <c r="AR296" s="38" t="n"/>
      <c r="AS296" s="38" t="n"/>
      <c r="AT296" s="38" t="n"/>
      <c r="AU296" s="38" t="n"/>
      <c r="AV296" s="38" t="n"/>
      <c r="AW296" s="38" t="n"/>
      <c r="AX296" s="38" t="n"/>
      <c r="AY296" s="42" t="n"/>
      <c r="AZ296" s="42" t="n"/>
      <c r="BA296" s="42" t="n"/>
      <c r="BB296" s="42" t="n"/>
      <c r="BC296" s="42" t="n"/>
      <c r="BD296" s="37">
        <f>IF($A296="","",SUM($AY296:$BC296))</f>
        <v/>
      </c>
      <c r="BE296" s="18">
        <f>IF($A296="","",IF(AND($I296&lt;&gt;"",$J296&lt;&gt;""),MAX(1,($J296-$I296)/7),Templates!$B$35))</f>
        <v/>
      </c>
      <c r="BF296" s="18">
        <f>IF($A296="","",IF(AND($I296&lt;&gt;"",$J296&lt;&gt;""),MAX(1,($J296-$I296)/7),Templates!$B$36))</f>
        <v/>
      </c>
      <c r="BG296" s="18">
        <f>IF($A296="","",IF(AND($I296&lt;&gt;"",$J296&lt;&gt;""),MAX(1,($J296-$I296)/7),Templates!$B$37))</f>
        <v/>
      </c>
      <c r="BH296" s="18">
        <f>IF($A296="","",IF(AND($I296&lt;&gt;"",$J296&lt;&gt;""),MAX(1,($J296-$I296)/7),Templates!$B$38))</f>
        <v/>
      </c>
      <c r="BI296" s="18">
        <f>IF($A296="","",IF(AND($I296&lt;&gt;"",$J296&lt;&gt;""),MAX(1,($J296-$I296)/7),Templates!$B$39))</f>
        <v/>
      </c>
      <c r="BJ296" s="18">
        <f>IF(OR($A296="",$BD296=0),0,($AY296*Templates!$B$27/$BE296+$AZ296*Templates!$B$28/$BF296+$BA296*Templates!$B$29/$BG296+$BB296*Templates!$B$30/$BH296+$BC296*Templates!$B$31/$BI296)/Templates!$B$17)</f>
        <v/>
      </c>
      <c r="BK296" s="18">
        <f>IF(OR($A296="",$BD296=0),0,($AY296*Templates!$C$27/$BE296+$AZ296*Templates!$C$28/$BF296+$BA296*Templates!$C$29/$BG296+$BB296*Templates!$C$30/$BH296+$BC296*Templates!$C$31/$BI296)/Templates!$B$18)</f>
        <v/>
      </c>
      <c r="BL296" s="18">
        <f>IF(OR($A296="",$BD296=0),0,($AY296*Templates!$D$27/$BE296+$AZ296*Templates!$D$28/$BF296+$BA296*Templates!$D$29/$BG296+$BB296*Templates!$D$30/$BH296+$BC296*Templates!$D$31/$BI296)/Templates!$B$19)</f>
        <v/>
      </c>
      <c r="BM296" s="18">
        <f>IF(OR($A296="",$BD296=0),0,($AY296*Templates!$E$27/$BE296+$AZ296*Templates!$E$28/$BF296+$BA296*Templates!$E$29/$BG296+$BB296*Templates!$E$30/$BH296+$BC296*Templates!$E$31/$BI296)/Templates!$B$20)</f>
        <v/>
      </c>
      <c r="BN296" s="18">
        <f>IF(OR($A296="",$BD296=0),0,($AY296*Templates!$F$27/$BE296+$AZ296*Templates!$F$28/$BF296+$BA296*Templates!$F$29/$BG296+$BB296*Templates!$F$30/$BH296+$BC296*Templates!$F$31/$BI296)/Templates!$B$21)</f>
        <v/>
      </c>
      <c r="BO296" s="18">
        <f>IF(OR($A296="",$BD296=0),0,($AY296*Templates!$G$27/$BE296+$AZ296*Templates!$G$28/$BF296+$BA296*Templates!$G$29/$BG296+$BB296*Templates!$G$30/$BH296+$BC296*Templates!$G$31/$BI296)/Templates!$B$22)</f>
        <v/>
      </c>
      <c r="BP296" s="18">
        <f>IF(OR($A296="",$BD296=0),0,($AY296*Templates!$H$27/$BE296+$AZ296*Templates!$H$28/$BF296+$BA296*Templates!$H$29/$BG296+$BB296*Templates!$H$30/$BH296+$BC296*Templates!$H$31/$BI296)/Templates!$B$23)</f>
        <v/>
      </c>
    </row>
    <row r="297">
      <c r="A297" s="28" t="inlineStr">
        <is>
          <t>UPS_1</t>
        </is>
      </c>
      <c r="B297" s="20" t="inlineStr">
        <is>
          <t>Brookfield Asset Management</t>
        </is>
      </c>
      <c r="C297" s="28" t="inlineStr">
        <is>
          <t>Brookfield Asset Management</t>
        </is>
      </c>
      <c r="D297" s="28" t="inlineStr"/>
      <c r="E297" s="28" t="inlineStr">
        <is>
          <t>No</t>
        </is>
      </c>
      <c r="F297" s="28" t="inlineStr">
        <is>
          <t>Proposal</t>
        </is>
      </c>
      <c r="G297" s="38" t="n"/>
      <c r="H297" s="43" t="n">
        <v>0.5</v>
      </c>
      <c r="I297" s="39" t="n"/>
      <c r="J297" s="39" t="n"/>
      <c r="K297" s="31" t="n"/>
      <c r="L297" s="31" t="n"/>
      <c r="M297" s="31" t="n"/>
      <c r="N297" s="31" t="n"/>
      <c r="O297" s="31" t="n"/>
      <c r="P297" s="31" t="n"/>
      <c r="Q297" s="23">
        <f>IF($A297="","",COUNTIFS(Assignments!$C$2:$C$769,$A297,Assignments!$G$2:$G$769,"Active"))</f>
        <v/>
      </c>
      <c r="R297" s="32">
        <f>IF($A297="","",SUMIFS(Assignments!$I$2:$I$769,Assignments!$C$2:$C$769,$A297,Assignments!$G$2:$G$769,"Active"))</f>
        <v/>
      </c>
      <c r="S297" s="20" t="inlineStr">
        <is>
          <t>Proposal</t>
        </is>
      </c>
      <c r="T297" s="31" t="n"/>
      <c r="U297" s="38" t="n"/>
      <c r="V297" s="34">
        <f>IF($U297="","",IFERROR(INDEX(Templates!$K$3:$K$10,MATCH($U297,Templates!$A$3:$A$10,0)),""))</f>
        <v/>
      </c>
      <c r="W297" s="34">
        <f>IF($U297="","",IFERROR(INDEX(Templates!$L$3:$L$10,MATCH($U297,Templates!$A$3:$A$10,0)),""))</f>
        <v/>
      </c>
      <c r="X297" s="21">
        <f>IF($U297="","",IFERROR(INDEX(Templates!$J$3:$J$10,MATCH($U297,Templates!$A$3:$A$10,0)),""))</f>
        <v/>
      </c>
      <c r="Y297" s="35">
        <f>IF(OR($U297="",$I297="",$J297="",$X297=""),"",$I297+$X297*($J297-$I297))</f>
        <v/>
      </c>
      <c r="Z297" s="30" t="n">
        <v>46212</v>
      </c>
      <c r="AA297" s="40" t="n"/>
      <c r="AB297" s="41" t="n"/>
      <c r="AC297" s="41" t="n"/>
      <c r="AD297" s="19">
        <f>IF($A297="","",IF($AA297="",$H297,$AA297))</f>
        <v/>
      </c>
      <c r="AE297" s="35">
        <f>IF($A297="","",IF($AB297="",$I297,$AB297))</f>
        <v/>
      </c>
      <c r="AF297" s="35">
        <f>IF($A297="","",IF($AC297="",$J297,$AC297))</f>
        <v/>
      </c>
      <c r="AG297" s="35">
        <f>IF(OR($U297="",$AE297="",$AF297="",$X297=""),"",$AE297+$X297*($AF297-$AE297))</f>
        <v/>
      </c>
      <c r="AH297" s="38" t="n"/>
      <c r="AI297" s="38" t="n"/>
      <c r="AJ297" s="38" t="n"/>
      <c r="AK297" s="38" t="n"/>
      <c r="AL297" s="38" t="n"/>
      <c r="AM297" s="38" t="n"/>
      <c r="AN297" s="38" t="n"/>
      <c r="AO297" s="38" t="n"/>
      <c r="AP297" s="38" t="n"/>
      <c r="AQ297" s="38" t="n"/>
      <c r="AR297" s="38" t="n"/>
      <c r="AS297" s="38" t="n"/>
      <c r="AT297" s="38" t="n"/>
      <c r="AU297" s="38" t="n"/>
      <c r="AV297" s="38" t="n"/>
      <c r="AW297" s="38" t="n"/>
      <c r="AX297" s="38" t="n"/>
      <c r="AY297" s="42" t="n"/>
      <c r="AZ297" s="42" t="n"/>
      <c r="BA297" s="42" t="n"/>
      <c r="BB297" s="42" t="n"/>
      <c r="BC297" s="42" t="n"/>
      <c r="BD297" s="37">
        <f>IF($A297="","",SUM($AY297:$BC297))</f>
        <v/>
      </c>
      <c r="BE297" s="18">
        <f>IF($A297="","",IF(AND($I297&lt;&gt;"",$J297&lt;&gt;""),MAX(1,($J297-$I297)/7),Templates!$B$35))</f>
        <v/>
      </c>
      <c r="BF297" s="18">
        <f>IF($A297="","",IF(AND($I297&lt;&gt;"",$J297&lt;&gt;""),MAX(1,($J297-$I297)/7),Templates!$B$36))</f>
        <v/>
      </c>
      <c r="BG297" s="18">
        <f>IF($A297="","",IF(AND($I297&lt;&gt;"",$J297&lt;&gt;""),MAX(1,($J297-$I297)/7),Templates!$B$37))</f>
        <v/>
      </c>
      <c r="BH297" s="18">
        <f>IF($A297="","",IF(AND($I297&lt;&gt;"",$J297&lt;&gt;""),MAX(1,($J297-$I297)/7),Templates!$B$38))</f>
        <v/>
      </c>
      <c r="BI297" s="18">
        <f>IF($A297="","",IF(AND($I297&lt;&gt;"",$J297&lt;&gt;""),MAX(1,($J297-$I297)/7),Templates!$B$39))</f>
        <v/>
      </c>
      <c r="BJ297" s="18">
        <f>IF(OR($A297="",$BD297=0),0,($AY297*Templates!$B$27/$BE297+$AZ297*Templates!$B$28/$BF297+$BA297*Templates!$B$29/$BG297+$BB297*Templates!$B$30/$BH297+$BC297*Templates!$B$31/$BI297)/Templates!$B$17)</f>
        <v/>
      </c>
      <c r="BK297" s="18">
        <f>IF(OR($A297="",$BD297=0),0,($AY297*Templates!$C$27/$BE297+$AZ297*Templates!$C$28/$BF297+$BA297*Templates!$C$29/$BG297+$BB297*Templates!$C$30/$BH297+$BC297*Templates!$C$31/$BI297)/Templates!$B$18)</f>
        <v/>
      </c>
      <c r="BL297" s="18">
        <f>IF(OR($A297="",$BD297=0),0,($AY297*Templates!$D$27/$BE297+$AZ297*Templates!$D$28/$BF297+$BA297*Templates!$D$29/$BG297+$BB297*Templates!$D$30/$BH297+$BC297*Templates!$D$31/$BI297)/Templates!$B$19)</f>
        <v/>
      </c>
      <c r="BM297" s="18">
        <f>IF(OR($A297="",$BD297=0),0,($AY297*Templates!$E$27/$BE297+$AZ297*Templates!$E$28/$BF297+$BA297*Templates!$E$29/$BG297+$BB297*Templates!$E$30/$BH297+$BC297*Templates!$E$31/$BI297)/Templates!$B$20)</f>
        <v/>
      </c>
      <c r="BN297" s="18">
        <f>IF(OR($A297="",$BD297=0),0,($AY297*Templates!$F$27/$BE297+$AZ297*Templates!$F$28/$BF297+$BA297*Templates!$F$29/$BG297+$BB297*Templates!$F$30/$BH297+$BC297*Templates!$F$31/$BI297)/Templates!$B$21)</f>
        <v/>
      </c>
      <c r="BO297" s="18">
        <f>IF(OR($A297="",$BD297=0),0,($AY297*Templates!$G$27/$BE297+$AZ297*Templates!$G$28/$BF297+$BA297*Templates!$G$29/$BG297+$BB297*Templates!$G$30/$BH297+$BC297*Templates!$G$31/$BI297)/Templates!$B$22)</f>
        <v/>
      </c>
      <c r="BP297" s="18">
        <f>IF(OR($A297="",$BD297=0),0,($AY297*Templates!$H$27/$BE297+$AZ297*Templates!$H$28/$BF297+$BA297*Templates!$H$29/$BG297+$BB297*Templates!$H$30/$BH297+$BC297*Templates!$H$31/$BI297)/Templates!$B$23)</f>
        <v/>
      </c>
    </row>
    <row r="298">
      <c r="A298" s="28" t="inlineStr">
        <is>
          <t>US Investment_1</t>
        </is>
      </c>
      <c r="B298" s="20" t="inlineStr">
        <is>
          <t>Taxand Global : ATOZ Tax Advisers Luxembourg</t>
        </is>
      </c>
      <c r="C298" s="28" t="inlineStr">
        <is>
          <t>Taxand Global</t>
        </is>
      </c>
      <c r="D298" s="28" t="inlineStr">
        <is>
          <t>ATOZ Tax Advisers Luxembourg</t>
        </is>
      </c>
      <c r="E298" s="28" t="inlineStr">
        <is>
          <t>No</t>
        </is>
      </c>
      <c r="F298" s="28" t="inlineStr">
        <is>
          <t>Proposal</t>
        </is>
      </c>
      <c r="G298" s="38" t="n"/>
      <c r="H298" s="43" t="n">
        <v>0.5</v>
      </c>
      <c r="I298" s="39" t="n"/>
      <c r="J298" s="39" t="n"/>
      <c r="K298" s="31" t="n"/>
      <c r="L298" s="31" t="n"/>
      <c r="M298" s="31" t="n"/>
      <c r="N298" s="31" t="n"/>
      <c r="O298" s="31" t="n"/>
      <c r="P298" s="31" t="n"/>
      <c r="Q298" s="23">
        <f>IF($A298="","",COUNTIFS(Assignments!$C$2:$C$769,$A298,Assignments!$G$2:$G$769,"Active"))</f>
        <v/>
      </c>
      <c r="R298" s="32">
        <f>IF($A298="","",SUMIFS(Assignments!$I$2:$I$769,Assignments!$C$2:$C$769,$A298,Assignments!$G$2:$G$769,"Active"))</f>
        <v/>
      </c>
      <c r="S298" s="20" t="inlineStr">
        <is>
          <t>Proposal</t>
        </is>
      </c>
      <c r="T298" s="31" t="n"/>
      <c r="U298" s="38" t="n"/>
      <c r="V298" s="34">
        <f>IF($U298="","",IFERROR(INDEX(Templates!$K$3:$K$10,MATCH($U298,Templates!$A$3:$A$10,0)),""))</f>
        <v/>
      </c>
      <c r="W298" s="34">
        <f>IF($U298="","",IFERROR(INDEX(Templates!$L$3:$L$10,MATCH($U298,Templates!$A$3:$A$10,0)),""))</f>
        <v/>
      </c>
      <c r="X298" s="21">
        <f>IF($U298="","",IFERROR(INDEX(Templates!$J$3:$J$10,MATCH($U298,Templates!$A$3:$A$10,0)),""))</f>
        <v/>
      </c>
      <c r="Y298" s="35">
        <f>IF(OR($U298="",$I298="",$J298="",$X298=""),"",$I298+$X298*($J298-$I298))</f>
        <v/>
      </c>
      <c r="Z298" s="30" t="n">
        <v>46212</v>
      </c>
      <c r="AA298" s="40" t="n"/>
      <c r="AB298" s="41" t="n"/>
      <c r="AC298" s="41" t="n"/>
      <c r="AD298" s="19">
        <f>IF($A298="","",IF($AA298="",$H298,$AA298))</f>
        <v/>
      </c>
      <c r="AE298" s="35">
        <f>IF($A298="","",IF($AB298="",$I298,$AB298))</f>
        <v/>
      </c>
      <c r="AF298" s="35">
        <f>IF($A298="","",IF($AC298="",$J298,$AC298))</f>
        <v/>
      </c>
      <c r="AG298" s="35">
        <f>IF(OR($U298="",$AE298="",$AF298="",$X298=""),"",$AE298+$X298*($AF298-$AE298))</f>
        <v/>
      </c>
      <c r="AH298" s="38" t="n"/>
      <c r="AI298" s="38" t="n"/>
      <c r="AJ298" s="38" t="n"/>
      <c r="AK298" s="38" t="n"/>
      <c r="AL298" s="38" t="n"/>
      <c r="AM298" s="38" t="n"/>
      <c r="AN298" s="38" t="n"/>
      <c r="AO298" s="38" t="n"/>
      <c r="AP298" s="38" t="n"/>
      <c r="AQ298" s="38" t="n"/>
      <c r="AR298" s="38" t="n"/>
      <c r="AS298" s="38" t="n"/>
      <c r="AT298" s="38" t="n"/>
      <c r="AU298" s="38" t="n"/>
      <c r="AV298" s="38" t="n"/>
      <c r="AW298" s="38" t="n"/>
      <c r="AX298" s="38" t="n"/>
      <c r="AY298" s="42" t="n"/>
      <c r="AZ298" s="42" t="n"/>
      <c r="BA298" s="42" t="n"/>
      <c r="BB298" s="42" t="n"/>
      <c r="BC298" s="42" t="n"/>
      <c r="BD298" s="37">
        <f>IF($A298="","",SUM($AY298:$BC298))</f>
        <v/>
      </c>
      <c r="BE298" s="18">
        <f>IF($A298="","",IF(AND($I298&lt;&gt;"",$J298&lt;&gt;""),MAX(1,($J298-$I298)/7),Templates!$B$35))</f>
        <v/>
      </c>
      <c r="BF298" s="18">
        <f>IF($A298="","",IF(AND($I298&lt;&gt;"",$J298&lt;&gt;""),MAX(1,($J298-$I298)/7),Templates!$B$36))</f>
        <v/>
      </c>
      <c r="BG298" s="18">
        <f>IF($A298="","",IF(AND($I298&lt;&gt;"",$J298&lt;&gt;""),MAX(1,($J298-$I298)/7),Templates!$B$37))</f>
        <v/>
      </c>
      <c r="BH298" s="18">
        <f>IF($A298="","",IF(AND($I298&lt;&gt;"",$J298&lt;&gt;""),MAX(1,($J298-$I298)/7),Templates!$B$38))</f>
        <v/>
      </c>
      <c r="BI298" s="18">
        <f>IF($A298="","",IF(AND($I298&lt;&gt;"",$J298&lt;&gt;""),MAX(1,($J298-$I298)/7),Templates!$B$39))</f>
        <v/>
      </c>
      <c r="BJ298" s="18">
        <f>IF(OR($A298="",$BD298=0),0,($AY298*Templates!$B$27/$BE298+$AZ298*Templates!$B$28/$BF298+$BA298*Templates!$B$29/$BG298+$BB298*Templates!$B$30/$BH298+$BC298*Templates!$B$31/$BI298)/Templates!$B$17)</f>
        <v/>
      </c>
      <c r="BK298" s="18">
        <f>IF(OR($A298="",$BD298=0),0,($AY298*Templates!$C$27/$BE298+$AZ298*Templates!$C$28/$BF298+$BA298*Templates!$C$29/$BG298+$BB298*Templates!$C$30/$BH298+$BC298*Templates!$C$31/$BI298)/Templates!$B$18)</f>
        <v/>
      </c>
      <c r="BL298" s="18">
        <f>IF(OR($A298="",$BD298=0),0,($AY298*Templates!$D$27/$BE298+$AZ298*Templates!$D$28/$BF298+$BA298*Templates!$D$29/$BG298+$BB298*Templates!$D$30/$BH298+$BC298*Templates!$D$31/$BI298)/Templates!$B$19)</f>
        <v/>
      </c>
      <c r="BM298" s="18">
        <f>IF(OR($A298="",$BD298=0),0,($AY298*Templates!$E$27/$BE298+$AZ298*Templates!$E$28/$BF298+$BA298*Templates!$E$29/$BG298+$BB298*Templates!$E$30/$BH298+$BC298*Templates!$E$31/$BI298)/Templates!$B$20)</f>
        <v/>
      </c>
      <c r="BN298" s="18">
        <f>IF(OR($A298="",$BD298=0),0,($AY298*Templates!$F$27/$BE298+$AZ298*Templates!$F$28/$BF298+$BA298*Templates!$F$29/$BG298+$BB298*Templates!$F$30/$BH298+$BC298*Templates!$F$31/$BI298)/Templates!$B$21)</f>
        <v/>
      </c>
      <c r="BO298" s="18">
        <f>IF(OR($A298="",$BD298=0),0,($AY298*Templates!$G$27/$BE298+$AZ298*Templates!$G$28/$BF298+$BA298*Templates!$G$29/$BG298+$BB298*Templates!$G$30/$BH298+$BC298*Templates!$G$31/$BI298)/Templates!$B$22)</f>
        <v/>
      </c>
      <c r="BP298" s="18">
        <f>IF(OR($A298="",$BD298=0),0,($AY298*Templates!$H$27/$BE298+$AZ298*Templates!$H$28/$BF298+$BA298*Templates!$H$29/$BG298+$BB298*Templates!$H$30/$BH298+$BC298*Templates!$H$31/$BI298)/Templates!$B$23)</f>
        <v/>
      </c>
    </row>
    <row r="299">
      <c r="A299" s="28" t="inlineStr">
        <is>
          <t>US Restructuring_1</t>
        </is>
      </c>
      <c r="B299" s="20" t="inlineStr">
        <is>
          <t>Taxand Global : ATOZ Tax Advisers Luxembourg</t>
        </is>
      </c>
      <c r="C299" s="28" t="inlineStr">
        <is>
          <t>Taxand Global</t>
        </is>
      </c>
      <c r="D299" s="28" t="inlineStr">
        <is>
          <t>ATOZ Tax Advisers Luxembourg</t>
        </is>
      </c>
      <c r="E299" s="28" t="inlineStr">
        <is>
          <t>No</t>
        </is>
      </c>
      <c r="F299" s="28" t="inlineStr">
        <is>
          <t>Proposal</t>
        </is>
      </c>
      <c r="G299" s="38" t="n"/>
      <c r="H299" s="43" t="n">
        <v>0.5</v>
      </c>
      <c r="I299" s="39" t="n"/>
      <c r="J299" s="39" t="n"/>
      <c r="K299" s="31" t="n"/>
      <c r="L299" s="31" t="n"/>
      <c r="M299" s="31" t="n"/>
      <c r="N299" s="31" t="n"/>
      <c r="O299" s="31" t="n"/>
      <c r="P299" s="31" t="n"/>
      <c r="Q299" s="23">
        <f>IF($A299="","",COUNTIFS(Assignments!$C$2:$C$769,$A299,Assignments!$G$2:$G$769,"Active"))</f>
        <v/>
      </c>
      <c r="R299" s="32">
        <f>IF($A299="","",SUMIFS(Assignments!$I$2:$I$769,Assignments!$C$2:$C$769,$A299,Assignments!$G$2:$G$769,"Active"))</f>
        <v/>
      </c>
      <c r="S299" s="20" t="inlineStr">
        <is>
          <t>Proposal</t>
        </is>
      </c>
      <c r="T299" s="31" t="n"/>
      <c r="U299" s="38" t="n"/>
      <c r="V299" s="34">
        <f>IF($U299="","",IFERROR(INDEX(Templates!$K$3:$K$10,MATCH($U299,Templates!$A$3:$A$10,0)),""))</f>
        <v/>
      </c>
      <c r="W299" s="34">
        <f>IF($U299="","",IFERROR(INDEX(Templates!$L$3:$L$10,MATCH($U299,Templates!$A$3:$A$10,0)),""))</f>
        <v/>
      </c>
      <c r="X299" s="21">
        <f>IF($U299="","",IFERROR(INDEX(Templates!$J$3:$J$10,MATCH($U299,Templates!$A$3:$A$10,0)),""))</f>
        <v/>
      </c>
      <c r="Y299" s="35">
        <f>IF(OR($U299="",$I299="",$J299="",$X299=""),"",$I299+$X299*($J299-$I299))</f>
        <v/>
      </c>
      <c r="Z299" s="30" t="n">
        <v>46212</v>
      </c>
      <c r="AA299" s="40" t="n"/>
      <c r="AB299" s="41" t="n"/>
      <c r="AC299" s="41" t="n"/>
      <c r="AD299" s="19">
        <f>IF($A299="","",IF($AA299="",$H299,$AA299))</f>
        <v/>
      </c>
      <c r="AE299" s="35">
        <f>IF($A299="","",IF($AB299="",$I299,$AB299))</f>
        <v/>
      </c>
      <c r="AF299" s="35">
        <f>IF($A299="","",IF($AC299="",$J299,$AC299))</f>
        <v/>
      </c>
      <c r="AG299" s="35">
        <f>IF(OR($U299="",$AE299="",$AF299="",$X299=""),"",$AE299+$X299*($AF299-$AE299))</f>
        <v/>
      </c>
      <c r="AH299" s="38" t="n"/>
      <c r="AI299" s="38" t="n"/>
      <c r="AJ299" s="38" t="n"/>
      <c r="AK299" s="38" t="n"/>
      <c r="AL299" s="38" t="n"/>
      <c r="AM299" s="38" t="n"/>
      <c r="AN299" s="38" t="n"/>
      <c r="AO299" s="38" t="n"/>
      <c r="AP299" s="38" t="n"/>
      <c r="AQ299" s="38" t="n"/>
      <c r="AR299" s="38" t="n"/>
      <c r="AS299" s="38" t="n"/>
      <c r="AT299" s="38" t="n"/>
      <c r="AU299" s="38" t="n"/>
      <c r="AV299" s="38" t="n"/>
      <c r="AW299" s="38" t="n"/>
      <c r="AX299" s="38" t="n"/>
      <c r="AY299" s="42" t="n"/>
      <c r="AZ299" s="42" t="n"/>
      <c r="BA299" s="42" t="n"/>
      <c r="BB299" s="42" t="n"/>
      <c r="BC299" s="42" t="n"/>
      <c r="BD299" s="37">
        <f>IF($A299="","",SUM($AY299:$BC299))</f>
        <v/>
      </c>
      <c r="BE299" s="18">
        <f>IF($A299="","",IF(AND($I299&lt;&gt;"",$J299&lt;&gt;""),MAX(1,($J299-$I299)/7),Templates!$B$35))</f>
        <v/>
      </c>
      <c r="BF299" s="18">
        <f>IF($A299="","",IF(AND($I299&lt;&gt;"",$J299&lt;&gt;""),MAX(1,($J299-$I299)/7),Templates!$B$36))</f>
        <v/>
      </c>
      <c r="BG299" s="18">
        <f>IF($A299="","",IF(AND($I299&lt;&gt;"",$J299&lt;&gt;""),MAX(1,($J299-$I299)/7),Templates!$B$37))</f>
        <v/>
      </c>
      <c r="BH299" s="18">
        <f>IF($A299="","",IF(AND($I299&lt;&gt;"",$J299&lt;&gt;""),MAX(1,($J299-$I299)/7),Templates!$B$38))</f>
        <v/>
      </c>
      <c r="BI299" s="18">
        <f>IF($A299="","",IF(AND($I299&lt;&gt;"",$J299&lt;&gt;""),MAX(1,($J299-$I299)/7),Templates!$B$39))</f>
        <v/>
      </c>
      <c r="BJ299" s="18">
        <f>IF(OR($A299="",$BD299=0),0,($AY299*Templates!$B$27/$BE299+$AZ299*Templates!$B$28/$BF299+$BA299*Templates!$B$29/$BG299+$BB299*Templates!$B$30/$BH299+$BC299*Templates!$B$31/$BI299)/Templates!$B$17)</f>
        <v/>
      </c>
      <c r="BK299" s="18">
        <f>IF(OR($A299="",$BD299=0),0,($AY299*Templates!$C$27/$BE299+$AZ299*Templates!$C$28/$BF299+$BA299*Templates!$C$29/$BG299+$BB299*Templates!$C$30/$BH299+$BC299*Templates!$C$31/$BI299)/Templates!$B$18)</f>
        <v/>
      </c>
      <c r="BL299" s="18">
        <f>IF(OR($A299="",$BD299=0),0,($AY299*Templates!$D$27/$BE299+$AZ299*Templates!$D$28/$BF299+$BA299*Templates!$D$29/$BG299+$BB299*Templates!$D$30/$BH299+$BC299*Templates!$D$31/$BI299)/Templates!$B$19)</f>
        <v/>
      </c>
      <c r="BM299" s="18">
        <f>IF(OR($A299="",$BD299=0),0,($AY299*Templates!$E$27/$BE299+$AZ299*Templates!$E$28/$BF299+$BA299*Templates!$E$29/$BG299+$BB299*Templates!$E$30/$BH299+$BC299*Templates!$E$31/$BI299)/Templates!$B$20)</f>
        <v/>
      </c>
      <c r="BN299" s="18">
        <f>IF(OR($A299="",$BD299=0),0,($AY299*Templates!$F$27/$BE299+$AZ299*Templates!$F$28/$BF299+$BA299*Templates!$F$29/$BG299+$BB299*Templates!$F$30/$BH299+$BC299*Templates!$F$31/$BI299)/Templates!$B$21)</f>
        <v/>
      </c>
      <c r="BO299" s="18">
        <f>IF(OR($A299="",$BD299=0),0,($AY299*Templates!$G$27/$BE299+$AZ299*Templates!$G$28/$BF299+$BA299*Templates!$G$29/$BG299+$BB299*Templates!$G$30/$BH299+$BC299*Templates!$G$31/$BI299)/Templates!$B$22)</f>
        <v/>
      </c>
      <c r="BP299" s="18">
        <f>IF(OR($A299="",$BD299=0),0,($AY299*Templates!$H$27/$BE299+$AZ299*Templates!$H$28/$BF299+$BA299*Templates!$H$29/$BG299+$BB299*Templates!$H$30/$BH299+$BC299*Templates!$H$31/$BI299)/Templates!$B$23)</f>
        <v/>
      </c>
    </row>
    <row r="300">
      <c r="A300" s="28" t="inlineStr">
        <is>
          <t>Victoria_2</t>
        </is>
      </c>
      <c r="B300" s="20" t="inlineStr">
        <is>
          <t>Euclid Transactional</t>
        </is>
      </c>
      <c r="C300" s="28" t="inlineStr">
        <is>
          <t>Euclid Transactional</t>
        </is>
      </c>
      <c r="D300" s="28" t="inlineStr"/>
      <c r="E300" s="28" t="inlineStr">
        <is>
          <t>No</t>
        </is>
      </c>
      <c r="F300" s="28" t="inlineStr">
        <is>
          <t>Proposal</t>
        </is>
      </c>
      <c r="G300" s="38" t="n"/>
      <c r="H300" s="43" t="n">
        <v>0.5</v>
      </c>
      <c r="I300" s="39" t="n"/>
      <c r="J300" s="39" t="n"/>
      <c r="K300" s="31" t="n"/>
      <c r="L300" s="31" t="n"/>
      <c r="M300" s="31" t="n"/>
      <c r="N300" s="31" t="n"/>
      <c r="O300" s="31" t="n"/>
      <c r="P300" s="31" t="n"/>
      <c r="Q300" s="23">
        <f>IF($A300="","",COUNTIFS(Assignments!$C$2:$C$769,$A300,Assignments!$G$2:$G$769,"Active"))</f>
        <v/>
      </c>
      <c r="R300" s="32">
        <f>IF($A300="","",SUMIFS(Assignments!$I$2:$I$769,Assignments!$C$2:$C$769,$A300,Assignments!$G$2:$G$769,"Active"))</f>
        <v/>
      </c>
      <c r="S300" s="20" t="inlineStr">
        <is>
          <t>Proposal</t>
        </is>
      </c>
      <c r="T300" s="31" t="n"/>
      <c r="U300" s="38" t="n"/>
      <c r="V300" s="34">
        <f>IF($U300="","",IFERROR(INDEX(Templates!$K$3:$K$10,MATCH($U300,Templates!$A$3:$A$10,0)),""))</f>
        <v/>
      </c>
      <c r="W300" s="34">
        <f>IF($U300="","",IFERROR(INDEX(Templates!$L$3:$L$10,MATCH($U300,Templates!$A$3:$A$10,0)),""))</f>
        <v/>
      </c>
      <c r="X300" s="21">
        <f>IF($U300="","",IFERROR(INDEX(Templates!$J$3:$J$10,MATCH($U300,Templates!$A$3:$A$10,0)),""))</f>
        <v/>
      </c>
      <c r="Y300" s="35">
        <f>IF(OR($U300="",$I300="",$J300="",$X300=""),"",$I300+$X300*($J300-$I300))</f>
        <v/>
      </c>
      <c r="Z300" s="30" t="n">
        <v>46212</v>
      </c>
      <c r="AA300" s="40" t="n"/>
      <c r="AB300" s="41" t="n"/>
      <c r="AC300" s="41" t="n"/>
      <c r="AD300" s="19">
        <f>IF($A300="","",IF($AA300="",$H300,$AA300))</f>
        <v/>
      </c>
      <c r="AE300" s="35">
        <f>IF($A300="","",IF($AB300="",$I300,$AB300))</f>
        <v/>
      </c>
      <c r="AF300" s="35">
        <f>IF($A300="","",IF($AC300="",$J300,$AC300))</f>
        <v/>
      </c>
      <c r="AG300" s="35">
        <f>IF(OR($U300="",$AE300="",$AF300="",$X300=""),"",$AE300+$X300*($AF300-$AE300))</f>
        <v/>
      </c>
      <c r="AH300" s="38" t="n"/>
      <c r="AI300" s="38" t="n"/>
      <c r="AJ300" s="38" t="n"/>
      <c r="AK300" s="38" t="n"/>
      <c r="AL300" s="38" t="n"/>
      <c r="AM300" s="38" t="n"/>
      <c r="AN300" s="38" t="n"/>
      <c r="AO300" s="38" t="n"/>
      <c r="AP300" s="38" t="n"/>
      <c r="AQ300" s="38" t="n"/>
      <c r="AR300" s="38" t="n"/>
      <c r="AS300" s="38" t="n"/>
      <c r="AT300" s="38" t="n"/>
      <c r="AU300" s="38" t="n"/>
      <c r="AV300" s="38" t="n"/>
      <c r="AW300" s="38" t="n"/>
      <c r="AX300" s="38" t="n"/>
      <c r="AY300" s="42" t="n"/>
      <c r="AZ300" s="42" t="n"/>
      <c r="BA300" s="42" t="n"/>
      <c r="BB300" s="42" t="n"/>
      <c r="BC300" s="42" t="n"/>
      <c r="BD300" s="37">
        <f>IF($A300="","",SUM($AY300:$BC300))</f>
        <v/>
      </c>
      <c r="BE300" s="18">
        <f>IF($A300="","",IF(AND($I300&lt;&gt;"",$J300&lt;&gt;""),MAX(1,($J300-$I300)/7),Templates!$B$35))</f>
        <v/>
      </c>
      <c r="BF300" s="18">
        <f>IF($A300="","",IF(AND($I300&lt;&gt;"",$J300&lt;&gt;""),MAX(1,($J300-$I300)/7),Templates!$B$36))</f>
        <v/>
      </c>
      <c r="BG300" s="18">
        <f>IF($A300="","",IF(AND($I300&lt;&gt;"",$J300&lt;&gt;""),MAX(1,($J300-$I300)/7),Templates!$B$37))</f>
        <v/>
      </c>
      <c r="BH300" s="18">
        <f>IF($A300="","",IF(AND($I300&lt;&gt;"",$J300&lt;&gt;""),MAX(1,($J300-$I300)/7),Templates!$B$38))</f>
        <v/>
      </c>
      <c r="BI300" s="18">
        <f>IF($A300="","",IF(AND($I300&lt;&gt;"",$J300&lt;&gt;""),MAX(1,($J300-$I300)/7),Templates!$B$39))</f>
        <v/>
      </c>
      <c r="BJ300" s="18">
        <f>IF(OR($A300="",$BD300=0),0,($AY300*Templates!$B$27/$BE300+$AZ300*Templates!$B$28/$BF300+$BA300*Templates!$B$29/$BG300+$BB300*Templates!$B$30/$BH300+$BC300*Templates!$B$31/$BI300)/Templates!$B$17)</f>
        <v/>
      </c>
      <c r="BK300" s="18">
        <f>IF(OR($A300="",$BD300=0),0,($AY300*Templates!$C$27/$BE300+$AZ300*Templates!$C$28/$BF300+$BA300*Templates!$C$29/$BG300+$BB300*Templates!$C$30/$BH300+$BC300*Templates!$C$31/$BI300)/Templates!$B$18)</f>
        <v/>
      </c>
      <c r="BL300" s="18">
        <f>IF(OR($A300="",$BD300=0),0,($AY300*Templates!$D$27/$BE300+$AZ300*Templates!$D$28/$BF300+$BA300*Templates!$D$29/$BG300+$BB300*Templates!$D$30/$BH300+$BC300*Templates!$D$31/$BI300)/Templates!$B$19)</f>
        <v/>
      </c>
      <c r="BM300" s="18">
        <f>IF(OR($A300="",$BD300=0),0,($AY300*Templates!$E$27/$BE300+$AZ300*Templates!$E$28/$BF300+$BA300*Templates!$E$29/$BG300+$BB300*Templates!$E$30/$BH300+$BC300*Templates!$E$31/$BI300)/Templates!$B$20)</f>
        <v/>
      </c>
      <c r="BN300" s="18">
        <f>IF(OR($A300="",$BD300=0),0,($AY300*Templates!$F$27/$BE300+$AZ300*Templates!$F$28/$BF300+$BA300*Templates!$F$29/$BG300+$BB300*Templates!$F$30/$BH300+$BC300*Templates!$F$31/$BI300)/Templates!$B$21)</f>
        <v/>
      </c>
      <c r="BO300" s="18">
        <f>IF(OR($A300="",$BD300=0),0,($AY300*Templates!$G$27/$BE300+$AZ300*Templates!$G$28/$BF300+$BA300*Templates!$G$29/$BG300+$BB300*Templates!$G$30/$BH300+$BC300*Templates!$G$31/$BI300)/Templates!$B$22)</f>
        <v/>
      </c>
      <c r="BP300" s="18">
        <f>IF(OR($A300="",$BD300=0),0,($AY300*Templates!$H$27/$BE300+$AZ300*Templates!$H$28/$BF300+$BA300*Templates!$H$29/$BG300+$BB300*Templates!$H$30/$BH300+$BC300*Templates!$H$31/$BI300)/Templates!$B$23)</f>
        <v/>
      </c>
    </row>
    <row r="301">
      <c r="A301" s="28" t="inlineStr">
        <is>
          <t>Voltaire_1</t>
        </is>
      </c>
      <c r="B301" s="20" t="inlineStr">
        <is>
          <t>Macquarie Group : DESRI</t>
        </is>
      </c>
      <c r="C301" s="28" t="inlineStr">
        <is>
          <t>Macquarie Group</t>
        </is>
      </c>
      <c r="D301" s="28" t="inlineStr">
        <is>
          <t>DESRI</t>
        </is>
      </c>
      <c r="E301" s="28" t="inlineStr">
        <is>
          <t>No</t>
        </is>
      </c>
      <c r="F301" s="28" t="inlineStr">
        <is>
          <t>Proposal</t>
        </is>
      </c>
      <c r="G301" s="38" t="n"/>
      <c r="H301" s="43" t="n">
        <v>0.5</v>
      </c>
      <c r="I301" s="39" t="n"/>
      <c r="J301" s="39" t="n"/>
      <c r="K301" s="31" t="n"/>
      <c r="L301" s="31" t="n"/>
      <c r="M301" s="31" t="n"/>
      <c r="N301" s="31" t="n"/>
      <c r="O301" s="31" t="n"/>
      <c r="P301" s="31" t="n"/>
      <c r="Q301" s="23">
        <f>IF($A301="","",COUNTIFS(Assignments!$C$2:$C$769,$A301,Assignments!$G$2:$G$769,"Active"))</f>
        <v/>
      </c>
      <c r="R301" s="32">
        <f>IF($A301="","",SUMIFS(Assignments!$I$2:$I$769,Assignments!$C$2:$C$769,$A301,Assignments!$G$2:$G$769,"Active"))</f>
        <v/>
      </c>
      <c r="S301" s="20" t="inlineStr">
        <is>
          <t>Proposal</t>
        </is>
      </c>
      <c r="T301" s="31" t="n"/>
      <c r="U301" s="38" t="n"/>
      <c r="V301" s="34">
        <f>IF($U301="","",IFERROR(INDEX(Templates!$K$3:$K$10,MATCH($U301,Templates!$A$3:$A$10,0)),""))</f>
        <v/>
      </c>
      <c r="W301" s="34">
        <f>IF($U301="","",IFERROR(INDEX(Templates!$L$3:$L$10,MATCH($U301,Templates!$A$3:$A$10,0)),""))</f>
        <v/>
      </c>
      <c r="X301" s="21">
        <f>IF($U301="","",IFERROR(INDEX(Templates!$J$3:$J$10,MATCH($U301,Templates!$A$3:$A$10,0)),""))</f>
        <v/>
      </c>
      <c r="Y301" s="35">
        <f>IF(OR($U301="",$I301="",$J301="",$X301=""),"",$I301+$X301*($J301-$I301))</f>
        <v/>
      </c>
      <c r="Z301" s="30" t="n">
        <v>46212</v>
      </c>
      <c r="AA301" s="40" t="n"/>
      <c r="AB301" s="41" t="n"/>
      <c r="AC301" s="41" t="n"/>
      <c r="AD301" s="19">
        <f>IF($A301="","",IF($AA301="",$H301,$AA301))</f>
        <v/>
      </c>
      <c r="AE301" s="35">
        <f>IF($A301="","",IF($AB301="",$I301,$AB301))</f>
        <v/>
      </c>
      <c r="AF301" s="35">
        <f>IF($A301="","",IF($AC301="",$J301,$AC301))</f>
        <v/>
      </c>
      <c r="AG301" s="35">
        <f>IF(OR($U301="",$AE301="",$AF301="",$X301=""),"",$AE301+$X301*($AF301-$AE301))</f>
        <v/>
      </c>
      <c r="AH301" s="38" t="n"/>
      <c r="AI301" s="38" t="n"/>
      <c r="AJ301" s="38" t="n"/>
      <c r="AK301" s="38" t="n"/>
      <c r="AL301" s="38" t="n"/>
      <c r="AM301" s="38" t="n"/>
      <c r="AN301" s="38" t="n"/>
      <c r="AO301" s="38" t="n"/>
      <c r="AP301" s="38" t="n"/>
      <c r="AQ301" s="38" t="n"/>
      <c r="AR301" s="38" t="n"/>
      <c r="AS301" s="38" t="n"/>
      <c r="AT301" s="38" t="n"/>
      <c r="AU301" s="38" t="n"/>
      <c r="AV301" s="38" t="n"/>
      <c r="AW301" s="38" t="n"/>
      <c r="AX301" s="38" t="n"/>
      <c r="AY301" s="42" t="n"/>
      <c r="AZ301" s="42" t="n"/>
      <c r="BA301" s="42" t="n"/>
      <c r="BB301" s="42" t="n"/>
      <c r="BC301" s="42" t="n"/>
      <c r="BD301" s="37">
        <f>IF($A301="","",SUM($AY301:$BC301))</f>
        <v/>
      </c>
      <c r="BE301" s="18">
        <f>IF($A301="","",IF(AND($I301&lt;&gt;"",$J301&lt;&gt;""),MAX(1,($J301-$I301)/7),Templates!$B$35))</f>
        <v/>
      </c>
      <c r="BF301" s="18">
        <f>IF($A301="","",IF(AND($I301&lt;&gt;"",$J301&lt;&gt;""),MAX(1,($J301-$I301)/7),Templates!$B$36))</f>
        <v/>
      </c>
      <c r="BG301" s="18">
        <f>IF($A301="","",IF(AND($I301&lt;&gt;"",$J301&lt;&gt;""),MAX(1,($J301-$I301)/7),Templates!$B$37))</f>
        <v/>
      </c>
      <c r="BH301" s="18">
        <f>IF($A301="","",IF(AND($I301&lt;&gt;"",$J301&lt;&gt;""),MAX(1,($J301-$I301)/7),Templates!$B$38))</f>
        <v/>
      </c>
      <c r="BI301" s="18">
        <f>IF($A301="","",IF(AND($I301&lt;&gt;"",$J301&lt;&gt;""),MAX(1,($J301-$I301)/7),Templates!$B$39))</f>
        <v/>
      </c>
      <c r="BJ301" s="18">
        <f>IF(OR($A301="",$BD301=0),0,($AY301*Templates!$B$27/$BE301+$AZ301*Templates!$B$28/$BF301+$BA301*Templates!$B$29/$BG301+$BB301*Templates!$B$30/$BH301+$BC301*Templates!$B$31/$BI301)/Templates!$B$17)</f>
        <v/>
      </c>
      <c r="BK301" s="18">
        <f>IF(OR($A301="",$BD301=0),0,($AY301*Templates!$C$27/$BE301+$AZ301*Templates!$C$28/$BF301+$BA301*Templates!$C$29/$BG301+$BB301*Templates!$C$30/$BH301+$BC301*Templates!$C$31/$BI301)/Templates!$B$18)</f>
        <v/>
      </c>
      <c r="BL301" s="18">
        <f>IF(OR($A301="",$BD301=0),0,($AY301*Templates!$D$27/$BE301+$AZ301*Templates!$D$28/$BF301+$BA301*Templates!$D$29/$BG301+$BB301*Templates!$D$30/$BH301+$BC301*Templates!$D$31/$BI301)/Templates!$B$19)</f>
        <v/>
      </c>
      <c r="BM301" s="18">
        <f>IF(OR($A301="",$BD301=0),0,($AY301*Templates!$E$27/$BE301+$AZ301*Templates!$E$28/$BF301+$BA301*Templates!$E$29/$BG301+$BB301*Templates!$E$30/$BH301+$BC301*Templates!$E$31/$BI301)/Templates!$B$20)</f>
        <v/>
      </c>
      <c r="BN301" s="18">
        <f>IF(OR($A301="",$BD301=0),0,($AY301*Templates!$F$27/$BE301+$AZ301*Templates!$F$28/$BF301+$BA301*Templates!$F$29/$BG301+$BB301*Templates!$F$30/$BH301+$BC301*Templates!$F$31/$BI301)/Templates!$B$21)</f>
        <v/>
      </c>
      <c r="BO301" s="18">
        <f>IF(OR($A301="",$BD301=0),0,($AY301*Templates!$G$27/$BE301+$AZ301*Templates!$G$28/$BF301+$BA301*Templates!$G$29/$BG301+$BB301*Templates!$G$30/$BH301+$BC301*Templates!$G$31/$BI301)/Templates!$B$22)</f>
        <v/>
      </c>
      <c r="BP301" s="18">
        <f>IF(OR($A301="",$BD301=0),0,($AY301*Templates!$H$27/$BE301+$AZ301*Templates!$H$28/$BF301+$BA301*Templates!$H$29/$BG301+$BB301*Templates!$H$30/$BH301+$BC301*Templates!$H$31/$BI301)/Templates!$B$23)</f>
        <v/>
      </c>
    </row>
    <row r="302">
      <c r="A302" s="28" t="inlineStr">
        <is>
          <t>Walnut_1</t>
        </is>
      </c>
      <c r="B302" s="20" t="inlineStr">
        <is>
          <t>Ryan Transactional Risk</t>
        </is>
      </c>
      <c r="C302" s="28" t="inlineStr">
        <is>
          <t>Ryan Transactional Risk</t>
        </is>
      </c>
      <c r="D302" s="28" t="inlineStr"/>
      <c r="E302" s="28" t="inlineStr">
        <is>
          <t>No</t>
        </is>
      </c>
      <c r="F302" s="28" t="inlineStr">
        <is>
          <t>Proposal</t>
        </is>
      </c>
      <c r="G302" s="38" t="n"/>
      <c r="H302" s="43" t="n">
        <v>0.5</v>
      </c>
      <c r="I302" s="39" t="n"/>
      <c r="J302" s="39" t="n"/>
      <c r="K302" s="31" t="n"/>
      <c r="L302" s="31" t="n"/>
      <c r="M302" s="31" t="n"/>
      <c r="N302" s="31" t="n"/>
      <c r="O302" s="31" t="n"/>
      <c r="P302" s="31" t="n"/>
      <c r="Q302" s="23">
        <f>IF($A302="","",COUNTIFS(Assignments!$C$2:$C$769,$A302,Assignments!$G$2:$G$769,"Active"))</f>
        <v/>
      </c>
      <c r="R302" s="32">
        <f>IF($A302="","",SUMIFS(Assignments!$I$2:$I$769,Assignments!$C$2:$C$769,$A302,Assignments!$G$2:$G$769,"Active"))</f>
        <v/>
      </c>
      <c r="S302" s="20" t="inlineStr">
        <is>
          <t>Proposal</t>
        </is>
      </c>
      <c r="T302" s="31" t="n"/>
      <c r="U302" s="38" t="n"/>
      <c r="V302" s="34">
        <f>IF($U302="","",IFERROR(INDEX(Templates!$K$3:$K$10,MATCH($U302,Templates!$A$3:$A$10,0)),""))</f>
        <v/>
      </c>
      <c r="W302" s="34">
        <f>IF($U302="","",IFERROR(INDEX(Templates!$L$3:$L$10,MATCH($U302,Templates!$A$3:$A$10,0)),""))</f>
        <v/>
      </c>
      <c r="X302" s="21">
        <f>IF($U302="","",IFERROR(INDEX(Templates!$J$3:$J$10,MATCH($U302,Templates!$A$3:$A$10,0)),""))</f>
        <v/>
      </c>
      <c r="Y302" s="35">
        <f>IF(OR($U302="",$I302="",$J302="",$X302=""),"",$I302+$X302*($J302-$I302))</f>
        <v/>
      </c>
      <c r="Z302" s="30" t="n">
        <v>46212</v>
      </c>
      <c r="AA302" s="40" t="n"/>
      <c r="AB302" s="41" t="n"/>
      <c r="AC302" s="41" t="n"/>
      <c r="AD302" s="19">
        <f>IF($A302="","",IF($AA302="",$H302,$AA302))</f>
        <v/>
      </c>
      <c r="AE302" s="35">
        <f>IF($A302="","",IF($AB302="",$I302,$AB302))</f>
        <v/>
      </c>
      <c r="AF302" s="35">
        <f>IF($A302="","",IF($AC302="",$J302,$AC302))</f>
        <v/>
      </c>
      <c r="AG302" s="35">
        <f>IF(OR($U302="",$AE302="",$AF302="",$X302=""),"",$AE302+$X302*($AF302-$AE302))</f>
        <v/>
      </c>
      <c r="AH302" s="38" t="n"/>
      <c r="AI302" s="38" t="n"/>
      <c r="AJ302" s="38" t="n"/>
      <c r="AK302" s="38" t="n"/>
      <c r="AL302" s="38" t="n"/>
      <c r="AM302" s="38" t="n"/>
      <c r="AN302" s="38" t="n"/>
      <c r="AO302" s="38" t="n"/>
      <c r="AP302" s="38" t="n"/>
      <c r="AQ302" s="38" t="n"/>
      <c r="AR302" s="38" t="n"/>
      <c r="AS302" s="38" t="n"/>
      <c r="AT302" s="38" t="n"/>
      <c r="AU302" s="38" t="n"/>
      <c r="AV302" s="38" t="n"/>
      <c r="AW302" s="38" t="n"/>
      <c r="AX302" s="38" t="n"/>
      <c r="AY302" s="42" t="n"/>
      <c r="AZ302" s="42" t="n"/>
      <c r="BA302" s="42" t="n"/>
      <c r="BB302" s="42" t="n"/>
      <c r="BC302" s="42" t="n"/>
      <c r="BD302" s="37">
        <f>IF($A302="","",SUM($AY302:$BC302))</f>
        <v/>
      </c>
      <c r="BE302" s="18">
        <f>IF($A302="","",IF(AND($I302&lt;&gt;"",$J302&lt;&gt;""),MAX(1,($J302-$I302)/7),Templates!$B$35))</f>
        <v/>
      </c>
      <c r="BF302" s="18">
        <f>IF($A302="","",IF(AND($I302&lt;&gt;"",$J302&lt;&gt;""),MAX(1,($J302-$I302)/7),Templates!$B$36))</f>
        <v/>
      </c>
      <c r="BG302" s="18">
        <f>IF($A302="","",IF(AND($I302&lt;&gt;"",$J302&lt;&gt;""),MAX(1,($J302-$I302)/7),Templates!$B$37))</f>
        <v/>
      </c>
      <c r="BH302" s="18">
        <f>IF($A302="","",IF(AND($I302&lt;&gt;"",$J302&lt;&gt;""),MAX(1,($J302-$I302)/7),Templates!$B$38))</f>
        <v/>
      </c>
      <c r="BI302" s="18">
        <f>IF($A302="","",IF(AND($I302&lt;&gt;"",$J302&lt;&gt;""),MAX(1,($J302-$I302)/7),Templates!$B$39))</f>
        <v/>
      </c>
      <c r="BJ302" s="18">
        <f>IF(OR($A302="",$BD302=0),0,($AY302*Templates!$B$27/$BE302+$AZ302*Templates!$B$28/$BF302+$BA302*Templates!$B$29/$BG302+$BB302*Templates!$B$30/$BH302+$BC302*Templates!$B$31/$BI302)/Templates!$B$17)</f>
        <v/>
      </c>
      <c r="BK302" s="18">
        <f>IF(OR($A302="",$BD302=0),0,($AY302*Templates!$C$27/$BE302+$AZ302*Templates!$C$28/$BF302+$BA302*Templates!$C$29/$BG302+$BB302*Templates!$C$30/$BH302+$BC302*Templates!$C$31/$BI302)/Templates!$B$18)</f>
        <v/>
      </c>
      <c r="BL302" s="18">
        <f>IF(OR($A302="",$BD302=0),0,($AY302*Templates!$D$27/$BE302+$AZ302*Templates!$D$28/$BF302+$BA302*Templates!$D$29/$BG302+$BB302*Templates!$D$30/$BH302+$BC302*Templates!$D$31/$BI302)/Templates!$B$19)</f>
        <v/>
      </c>
      <c r="BM302" s="18">
        <f>IF(OR($A302="",$BD302=0),0,($AY302*Templates!$E$27/$BE302+$AZ302*Templates!$E$28/$BF302+$BA302*Templates!$E$29/$BG302+$BB302*Templates!$E$30/$BH302+$BC302*Templates!$E$31/$BI302)/Templates!$B$20)</f>
        <v/>
      </c>
      <c r="BN302" s="18">
        <f>IF(OR($A302="",$BD302=0),0,($AY302*Templates!$F$27/$BE302+$AZ302*Templates!$F$28/$BF302+$BA302*Templates!$F$29/$BG302+$BB302*Templates!$F$30/$BH302+$BC302*Templates!$F$31/$BI302)/Templates!$B$21)</f>
        <v/>
      </c>
      <c r="BO302" s="18">
        <f>IF(OR($A302="",$BD302=0),0,($AY302*Templates!$G$27/$BE302+$AZ302*Templates!$G$28/$BF302+$BA302*Templates!$G$29/$BG302+$BB302*Templates!$G$30/$BH302+$BC302*Templates!$G$31/$BI302)/Templates!$B$22)</f>
        <v/>
      </c>
      <c r="BP302" s="18">
        <f>IF(OR($A302="",$BD302=0),0,($AY302*Templates!$H$27/$BE302+$AZ302*Templates!$H$28/$BF302+$BA302*Templates!$H$29/$BG302+$BB302*Templates!$H$30/$BH302+$BC302*Templates!$H$31/$BI302)/Templates!$B$23)</f>
        <v/>
      </c>
    </row>
    <row r="303">
      <c r="A303" s="28" t="inlineStr">
        <is>
          <t>West_2</t>
        </is>
      </c>
      <c r="B303" s="20" t="inlineStr">
        <is>
          <t>Fengate</t>
        </is>
      </c>
      <c r="C303" s="28" t="inlineStr">
        <is>
          <t>Fengate</t>
        </is>
      </c>
      <c r="D303" s="28" t="inlineStr"/>
      <c r="E303" s="28" t="inlineStr">
        <is>
          <t>No</t>
        </is>
      </c>
      <c r="F303" s="28" t="inlineStr">
        <is>
          <t>Proposal</t>
        </is>
      </c>
      <c r="G303" s="38" t="n"/>
      <c r="H303" s="43" t="n">
        <v>0.5</v>
      </c>
      <c r="I303" s="39" t="n"/>
      <c r="J303" s="39" t="n"/>
      <c r="K303" s="31" t="n"/>
      <c r="L303" s="31" t="n"/>
      <c r="M303" s="31" t="n"/>
      <c r="N303" s="31" t="n"/>
      <c r="O303" s="31" t="n"/>
      <c r="P303" s="31" t="n"/>
      <c r="Q303" s="23">
        <f>IF($A303="","",COUNTIFS(Assignments!$C$2:$C$769,$A303,Assignments!$G$2:$G$769,"Active"))</f>
        <v/>
      </c>
      <c r="R303" s="32">
        <f>IF($A303="","",SUMIFS(Assignments!$I$2:$I$769,Assignments!$C$2:$C$769,$A303,Assignments!$G$2:$G$769,"Active"))</f>
        <v/>
      </c>
      <c r="S303" s="20" t="inlineStr">
        <is>
          <t>Proposal</t>
        </is>
      </c>
      <c r="T303" s="31" t="n"/>
      <c r="U303" s="38" t="n"/>
      <c r="V303" s="34">
        <f>IF($U303="","",IFERROR(INDEX(Templates!$K$3:$K$10,MATCH($U303,Templates!$A$3:$A$10,0)),""))</f>
        <v/>
      </c>
      <c r="W303" s="34">
        <f>IF($U303="","",IFERROR(INDEX(Templates!$L$3:$L$10,MATCH($U303,Templates!$A$3:$A$10,0)),""))</f>
        <v/>
      </c>
      <c r="X303" s="21">
        <f>IF($U303="","",IFERROR(INDEX(Templates!$J$3:$J$10,MATCH($U303,Templates!$A$3:$A$10,0)),""))</f>
        <v/>
      </c>
      <c r="Y303" s="35">
        <f>IF(OR($U303="",$I303="",$J303="",$X303=""),"",$I303+$X303*($J303-$I303))</f>
        <v/>
      </c>
      <c r="Z303" s="30" t="n">
        <v>46212</v>
      </c>
      <c r="AA303" s="40" t="n"/>
      <c r="AB303" s="41" t="n"/>
      <c r="AC303" s="41" t="n"/>
      <c r="AD303" s="19">
        <f>IF($A303="","",IF($AA303="",$H303,$AA303))</f>
        <v/>
      </c>
      <c r="AE303" s="35">
        <f>IF($A303="","",IF($AB303="",$I303,$AB303))</f>
        <v/>
      </c>
      <c r="AF303" s="35">
        <f>IF($A303="","",IF($AC303="",$J303,$AC303))</f>
        <v/>
      </c>
      <c r="AG303" s="35">
        <f>IF(OR($U303="",$AE303="",$AF303="",$X303=""),"",$AE303+$X303*($AF303-$AE303))</f>
        <v/>
      </c>
      <c r="AH303" s="38" t="n"/>
      <c r="AI303" s="38" t="n"/>
      <c r="AJ303" s="38" t="n"/>
      <c r="AK303" s="38" t="n"/>
      <c r="AL303" s="38" t="n"/>
      <c r="AM303" s="38" t="n"/>
      <c r="AN303" s="38" t="n"/>
      <c r="AO303" s="38" t="n"/>
      <c r="AP303" s="38" t="n"/>
      <c r="AQ303" s="38" t="n"/>
      <c r="AR303" s="38" t="n"/>
      <c r="AS303" s="38" t="n"/>
      <c r="AT303" s="38" t="n"/>
      <c r="AU303" s="38" t="n"/>
      <c r="AV303" s="38" t="n"/>
      <c r="AW303" s="38" t="n"/>
      <c r="AX303" s="38" t="n"/>
      <c r="AY303" s="42" t="n"/>
      <c r="AZ303" s="42" t="n"/>
      <c r="BA303" s="42" t="n"/>
      <c r="BB303" s="42" t="n"/>
      <c r="BC303" s="42" t="n"/>
      <c r="BD303" s="37">
        <f>IF($A303="","",SUM($AY303:$BC303))</f>
        <v/>
      </c>
      <c r="BE303" s="18">
        <f>IF($A303="","",IF(AND($I303&lt;&gt;"",$J303&lt;&gt;""),MAX(1,($J303-$I303)/7),Templates!$B$35))</f>
        <v/>
      </c>
      <c r="BF303" s="18">
        <f>IF($A303="","",IF(AND($I303&lt;&gt;"",$J303&lt;&gt;""),MAX(1,($J303-$I303)/7),Templates!$B$36))</f>
        <v/>
      </c>
      <c r="BG303" s="18">
        <f>IF($A303="","",IF(AND($I303&lt;&gt;"",$J303&lt;&gt;""),MAX(1,($J303-$I303)/7),Templates!$B$37))</f>
        <v/>
      </c>
      <c r="BH303" s="18">
        <f>IF($A303="","",IF(AND($I303&lt;&gt;"",$J303&lt;&gt;""),MAX(1,($J303-$I303)/7),Templates!$B$38))</f>
        <v/>
      </c>
      <c r="BI303" s="18">
        <f>IF($A303="","",IF(AND($I303&lt;&gt;"",$J303&lt;&gt;""),MAX(1,($J303-$I303)/7),Templates!$B$39))</f>
        <v/>
      </c>
      <c r="BJ303" s="18">
        <f>IF(OR($A303="",$BD303=0),0,($AY303*Templates!$B$27/$BE303+$AZ303*Templates!$B$28/$BF303+$BA303*Templates!$B$29/$BG303+$BB303*Templates!$B$30/$BH303+$BC303*Templates!$B$31/$BI303)/Templates!$B$17)</f>
        <v/>
      </c>
      <c r="BK303" s="18">
        <f>IF(OR($A303="",$BD303=0),0,($AY303*Templates!$C$27/$BE303+$AZ303*Templates!$C$28/$BF303+$BA303*Templates!$C$29/$BG303+$BB303*Templates!$C$30/$BH303+$BC303*Templates!$C$31/$BI303)/Templates!$B$18)</f>
        <v/>
      </c>
      <c r="BL303" s="18">
        <f>IF(OR($A303="",$BD303=0),0,($AY303*Templates!$D$27/$BE303+$AZ303*Templates!$D$28/$BF303+$BA303*Templates!$D$29/$BG303+$BB303*Templates!$D$30/$BH303+$BC303*Templates!$D$31/$BI303)/Templates!$B$19)</f>
        <v/>
      </c>
      <c r="BM303" s="18">
        <f>IF(OR($A303="",$BD303=0),0,($AY303*Templates!$E$27/$BE303+$AZ303*Templates!$E$28/$BF303+$BA303*Templates!$E$29/$BG303+$BB303*Templates!$E$30/$BH303+$BC303*Templates!$E$31/$BI303)/Templates!$B$20)</f>
        <v/>
      </c>
      <c r="BN303" s="18">
        <f>IF(OR($A303="",$BD303=0),0,($AY303*Templates!$F$27/$BE303+$AZ303*Templates!$F$28/$BF303+$BA303*Templates!$F$29/$BG303+$BB303*Templates!$F$30/$BH303+$BC303*Templates!$F$31/$BI303)/Templates!$B$21)</f>
        <v/>
      </c>
      <c r="BO303" s="18">
        <f>IF(OR($A303="",$BD303=0),0,($AY303*Templates!$G$27/$BE303+$AZ303*Templates!$G$28/$BF303+$BA303*Templates!$G$29/$BG303+$BB303*Templates!$G$30/$BH303+$BC303*Templates!$G$31/$BI303)/Templates!$B$22)</f>
        <v/>
      </c>
      <c r="BP303" s="18">
        <f>IF(OR($A303="",$BD303=0),0,($AY303*Templates!$H$27/$BE303+$AZ303*Templates!$H$28/$BF303+$BA303*Templates!$H$29/$BG303+$BB303*Templates!$H$30/$BH303+$BC303*Templates!$H$31/$BI303)/Templates!$B$23)</f>
        <v/>
      </c>
    </row>
    <row r="304">
      <c r="A304" s="28" t="inlineStr">
        <is>
          <t>WIE_1</t>
        </is>
      </c>
      <c r="B304" s="20" t="inlineStr">
        <is>
          <t>Certa</t>
        </is>
      </c>
      <c r="C304" s="28" t="inlineStr">
        <is>
          <t>Certa</t>
        </is>
      </c>
      <c r="D304" s="28" t="inlineStr"/>
      <c r="E304" s="28" t="inlineStr">
        <is>
          <t>No</t>
        </is>
      </c>
      <c r="F304" s="28" t="inlineStr">
        <is>
          <t>Proposal</t>
        </is>
      </c>
      <c r="G304" s="38" t="n"/>
      <c r="H304" s="43" t="n">
        <v>0.5</v>
      </c>
      <c r="I304" s="39" t="n"/>
      <c r="J304" s="39" t="n"/>
      <c r="K304" s="31" t="n"/>
      <c r="L304" s="31" t="n"/>
      <c r="M304" s="31" t="n"/>
      <c r="N304" s="31" t="n"/>
      <c r="O304" s="31" t="n"/>
      <c r="P304" s="31" t="n"/>
      <c r="Q304" s="23">
        <f>IF($A304="","",COUNTIFS(Assignments!$C$2:$C$769,$A304,Assignments!$G$2:$G$769,"Active"))</f>
        <v/>
      </c>
      <c r="R304" s="32">
        <f>IF($A304="","",SUMIFS(Assignments!$I$2:$I$769,Assignments!$C$2:$C$769,$A304,Assignments!$G$2:$G$769,"Active"))</f>
        <v/>
      </c>
      <c r="S304" s="20" t="inlineStr">
        <is>
          <t>Proposal</t>
        </is>
      </c>
      <c r="T304" s="31" t="n"/>
      <c r="U304" s="38" t="n"/>
      <c r="V304" s="34">
        <f>IF($U304="","",IFERROR(INDEX(Templates!$K$3:$K$10,MATCH($U304,Templates!$A$3:$A$10,0)),""))</f>
        <v/>
      </c>
      <c r="W304" s="34">
        <f>IF($U304="","",IFERROR(INDEX(Templates!$L$3:$L$10,MATCH($U304,Templates!$A$3:$A$10,0)),""))</f>
        <v/>
      </c>
      <c r="X304" s="21">
        <f>IF($U304="","",IFERROR(INDEX(Templates!$J$3:$J$10,MATCH($U304,Templates!$A$3:$A$10,0)),""))</f>
        <v/>
      </c>
      <c r="Y304" s="35">
        <f>IF(OR($U304="",$I304="",$J304="",$X304=""),"",$I304+$X304*($J304-$I304))</f>
        <v/>
      </c>
      <c r="Z304" s="30" t="n">
        <v>46212</v>
      </c>
      <c r="AA304" s="40" t="n"/>
      <c r="AB304" s="41" t="n"/>
      <c r="AC304" s="41" t="n"/>
      <c r="AD304" s="19">
        <f>IF($A304="","",IF($AA304="",$H304,$AA304))</f>
        <v/>
      </c>
      <c r="AE304" s="35">
        <f>IF($A304="","",IF($AB304="",$I304,$AB304))</f>
        <v/>
      </c>
      <c r="AF304" s="35">
        <f>IF($A304="","",IF($AC304="",$J304,$AC304))</f>
        <v/>
      </c>
      <c r="AG304" s="35">
        <f>IF(OR($U304="",$AE304="",$AF304="",$X304=""),"",$AE304+$X304*($AF304-$AE304))</f>
        <v/>
      </c>
      <c r="AH304" s="38" t="n"/>
      <c r="AI304" s="38" t="n"/>
      <c r="AJ304" s="38" t="n"/>
      <c r="AK304" s="38" t="n"/>
      <c r="AL304" s="38" t="n"/>
      <c r="AM304" s="38" t="n"/>
      <c r="AN304" s="38" t="n"/>
      <c r="AO304" s="38" t="n"/>
      <c r="AP304" s="38" t="n"/>
      <c r="AQ304" s="38" t="n"/>
      <c r="AR304" s="38" t="n"/>
      <c r="AS304" s="38" t="n"/>
      <c r="AT304" s="38" t="n"/>
      <c r="AU304" s="38" t="n"/>
      <c r="AV304" s="38" t="n"/>
      <c r="AW304" s="38" t="n"/>
      <c r="AX304" s="38" t="n"/>
      <c r="AY304" s="42" t="n"/>
      <c r="AZ304" s="42" t="n"/>
      <c r="BA304" s="42" t="n"/>
      <c r="BB304" s="42" t="n"/>
      <c r="BC304" s="42" t="n"/>
      <c r="BD304" s="37">
        <f>IF($A304="","",SUM($AY304:$BC304))</f>
        <v/>
      </c>
      <c r="BE304" s="18">
        <f>IF($A304="","",IF(AND($I304&lt;&gt;"",$J304&lt;&gt;""),MAX(1,($J304-$I304)/7),Templates!$B$35))</f>
        <v/>
      </c>
      <c r="BF304" s="18">
        <f>IF($A304="","",IF(AND($I304&lt;&gt;"",$J304&lt;&gt;""),MAX(1,($J304-$I304)/7),Templates!$B$36))</f>
        <v/>
      </c>
      <c r="BG304" s="18">
        <f>IF($A304="","",IF(AND($I304&lt;&gt;"",$J304&lt;&gt;""),MAX(1,($J304-$I304)/7),Templates!$B$37))</f>
        <v/>
      </c>
      <c r="BH304" s="18">
        <f>IF($A304="","",IF(AND($I304&lt;&gt;"",$J304&lt;&gt;""),MAX(1,($J304-$I304)/7),Templates!$B$38))</f>
        <v/>
      </c>
      <c r="BI304" s="18">
        <f>IF($A304="","",IF(AND($I304&lt;&gt;"",$J304&lt;&gt;""),MAX(1,($J304-$I304)/7),Templates!$B$39))</f>
        <v/>
      </c>
      <c r="BJ304" s="18">
        <f>IF(OR($A304="",$BD304=0),0,($AY304*Templates!$B$27/$BE304+$AZ304*Templates!$B$28/$BF304+$BA304*Templates!$B$29/$BG304+$BB304*Templates!$B$30/$BH304+$BC304*Templates!$B$31/$BI304)/Templates!$B$17)</f>
        <v/>
      </c>
      <c r="BK304" s="18">
        <f>IF(OR($A304="",$BD304=0),0,($AY304*Templates!$C$27/$BE304+$AZ304*Templates!$C$28/$BF304+$BA304*Templates!$C$29/$BG304+$BB304*Templates!$C$30/$BH304+$BC304*Templates!$C$31/$BI304)/Templates!$B$18)</f>
        <v/>
      </c>
      <c r="BL304" s="18">
        <f>IF(OR($A304="",$BD304=0),0,($AY304*Templates!$D$27/$BE304+$AZ304*Templates!$D$28/$BF304+$BA304*Templates!$D$29/$BG304+$BB304*Templates!$D$30/$BH304+$BC304*Templates!$D$31/$BI304)/Templates!$B$19)</f>
        <v/>
      </c>
      <c r="BM304" s="18">
        <f>IF(OR($A304="",$BD304=0),0,($AY304*Templates!$E$27/$BE304+$AZ304*Templates!$E$28/$BF304+$BA304*Templates!$E$29/$BG304+$BB304*Templates!$E$30/$BH304+$BC304*Templates!$E$31/$BI304)/Templates!$B$20)</f>
        <v/>
      </c>
      <c r="BN304" s="18">
        <f>IF(OR($A304="",$BD304=0),0,($AY304*Templates!$F$27/$BE304+$AZ304*Templates!$F$28/$BF304+$BA304*Templates!$F$29/$BG304+$BB304*Templates!$F$30/$BH304+$BC304*Templates!$F$31/$BI304)/Templates!$B$21)</f>
        <v/>
      </c>
      <c r="BO304" s="18">
        <f>IF(OR($A304="",$BD304=0),0,($AY304*Templates!$G$27/$BE304+$AZ304*Templates!$G$28/$BF304+$BA304*Templates!$G$29/$BG304+$BB304*Templates!$G$30/$BH304+$BC304*Templates!$G$31/$BI304)/Templates!$B$22)</f>
        <v/>
      </c>
      <c r="BP304" s="18">
        <f>IF(OR($A304="",$BD304=0),0,($AY304*Templates!$H$27/$BE304+$AZ304*Templates!$H$28/$BF304+$BA304*Templates!$H$29/$BG304+$BB304*Templates!$H$30/$BH304+$BC304*Templates!$H$31/$BI304)/Templates!$B$23)</f>
        <v/>
      </c>
    </row>
    <row r="305">
      <c r="A305" s="28" t="inlineStr">
        <is>
          <t>Wind_3</t>
        </is>
      </c>
      <c r="B305" s="20" t="inlineStr">
        <is>
          <t>Transatlantic Power Holdings</t>
        </is>
      </c>
      <c r="C305" s="28" t="inlineStr">
        <is>
          <t>Transatlantic Power Holdings</t>
        </is>
      </c>
      <c r="D305" s="28" t="inlineStr"/>
      <c r="E305" s="28" t="inlineStr">
        <is>
          <t>No</t>
        </is>
      </c>
      <c r="F305" s="28" t="inlineStr">
        <is>
          <t>Proposal</t>
        </is>
      </c>
      <c r="G305" s="38" t="n"/>
      <c r="H305" s="43" t="n">
        <v>0.5</v>
      </c>
      <c r="I305" s="39" t="n"/>
      <c r="J305" s="39" t="n"/>
      <c r="K305" s="31" t="n"/>
      <c r="L305" s="31" t="n"/>
      <c r="M305" s="31" t="n"/>
      <c r="N305" s="31" t="n"/>
      <c r="O305" s="31" t="n"/>
      <c r="P305" s="31" t="n"/>
      <c r="Q305" s="23">
        <f>IF($A305="","",COUNTIFS(Assignments!$C$2:$C$769,$A305,Assignments!$G$2:$G$769,"Active"))</f>
        <v/>
      </c>
      <c r="R305" s="32">
        <f>IF($A305="","",SUMIFS(Assignments!$I$2:$I$769,Assignments!$C$2:$C$769,$A305,Assignments!$G$2:$G$769,"Active"))</f>
        <v/>
      </c>
      <c r="S305" s="20" t="inlineStr">
        <is>
          <t>Proposal</t>
        </is>
      </c>
      <c r="T305" s="31" t="n"/>
      <c r="U305" s="38" t="n"/>
      <c r="V305" s="34">
        <f>IF($U305="","",IFERROR(INDEX(Templates!$K$3:$K$10,MATCH($U305,Templates!$A$3:$A$10,0)),""))</f>
        <v/>
      </c>
      <c r="W305" s="34">
        <f>IF($U305="","",IFERROR(INDEX(Templates!$L$3:$L$10,MATCH($U305,Templates!$A$3:$A$10,0)),""))</f>
        <v/>
      </c>
      <c r="X305" s="21">
        <f>IF($U305="","",IFERROR(INDEX(Templates!$J$3:$J$10,MATCH($U305,Templates!$A$3:$A$10,0)),""))</f>
        <v/>
      </c>
      <c r="Y305" s="35">
        <f>IF(OR($U305="",$I305="",$J305="",$X305=""),"",$I305+$X305*($J305-$I305))</f>
        <v/>
      </c>
      <c r="Z305" s="30" t="n">
        <v>46212</v>
      </c>
      <c r="AA305" s="40" t="n"/>
      <c r="AB305" s="41" t="n"/>
      <c r="AC305" s="41" t="n"/>
      <c r="AD305" s="19">
        <f>IF($A305="","",IF($AA305="",$H305,$AA305))</f>
        <v/>
      </c>
      <c r="AE305" s="35">
        <f>IF($A305="","",IF($AB305="",$I305,$AB305))</f>
        <v/>
      </c>
      <c r="AF305" s="35">
        <f>IF($A305="","",IF($AC305="",$J305,$AC305))</f>
        <v/>
      </c>
      <c r="AG305" s="35">
        <f>IF(OR($U305="",$AE305="",$AF305="",$X305=""),"",$AE305+$X305*($AF305-$AE305))</f>
        <v/>
      </c>
      <c r="AH305" s="38" t="n"/>
      <c r="AI305" s="38" t="n"/>
      <c r="AJ305" s="38" t="n"/>
      <c r="AK305" s="38" t="n"/>
      <c r="AL305" s="38" t="n"/>
      <c r="AM305" s="38" t="n"/>
      <c r="AN305" s="38" t="n"/>
      <c r="AO305" s="38" t="n"/>
      <c r="AP305" s="38" t="n"/>
      <c r="AQ305" s="38" t="n"/>
      <c r="AR305" s="38" t="n"/>
      <c r="AS305" s="38" t="n"/>
      <c r="AT305" s="38" t="n"/>
      <c r="AU305" s="38" t="n"/>
      <c r="AV305" s="38" t="n"/>
      <c r="AW305" s="38" t="n"/>
      <c r="AX305" s="38" t="n"/>
      <c r="AY305" s="42" t="n"/>
      <c r="AZ305" s="42" t="n"/>
      <c r="BA305" s="42" t="n"/>
      <c r="BB305" s="42" t="n"/>
      <c r="BC305" s="42" t="n"/>
      <c r="BD305" s="37">
        <f>IF($A305="","",SUM($AY305:$BC305))</f>
        <v/>
      </c>
      <c r="BE305" s="18">
        <f>IF($A305="","",IF(AND($I305&lt;&gt;"",$J305&lt;&gt;""),MAX(1,($J305-$I305)/7),Templates!$B$35))</f>
        <v/>
      </c>
      <c r="BF305" s="18">
        <f>IF($A305="","",IF(AND($I305&lt;&gt;"",$J305&lt;&gt;""),MAX(1,($J305-$I305)/7),Templates!$B$36))</f>
        <v/>
      </c>
      <c r="BG305" s="18">
        <f>IF($A305="","",IF(AND($I305&lt;&gt;"",$J305&lt;&gt;""),MAX(1,($J305-$I305)/7),Templates!$B$37))</f>
        <v/>
      </c>
      <c r="BH305" s="18">
        <f>IF($A305="","",IF(AND($I305&lt;&gt;"",$J305&lt;&gt;""),MAX(1,($J305-$I305)/7),Templates!$B$38))</f>
        <v/>
      </c>
      <c r="BI305" s="18">
        <f>IF($A305="","",IF(AND($I305&lt;&gt;"",$J305&lt;&gt;""),MAX(1,($J305-$I305)/7),Templates!$B$39))</f>
        <v/>
      </c>
      <c r="BJ305" s="18">
        <f>IF(OR($A305="",$BD305=0),0,($AY305*Templates!$B$27/$BE305+$AZ305*Templates!$B$28/$BF305+$BA305*Templates!$B$29/$BG305+$BB305*Templates!$B$30/$BH305+$BC305*Templates!$B$31/$BI305)/Templates!$B$17)</f>
        <v/>
      </c>
      <c r="BK305" s="18">
        <f>IF(OR($A305="",$BD305=0),0,($AY305*Templates!$C$27/$BE305+$AZ305*Templates!$C$28/$BF305+$BA305*Templates!$C$29/$BG305+$BB305*Templates!$C$30/$BH305+$BC305*Templates!$C$31/$BI305)/Templates!$B$18)</f>
        <v/>
      </c>
      <c r="BL305" s="18">
        <f>IF(OR($A305="",$BD305=0),0,($AY305*Templates!$D$27/$BE305+$AZ305*Templates!$D$28/$BF305+$BA305*Templates!$D$29/$BG305+$BB305*Templates!$D$30/$BH305+$BC305*Templates!$D$31/$BI305)/Templates!$B$19)</f>
        <v/>
      </c>
      <c r="BM305" s="18">
        <f>IF(OR($A305="",$BD305=0),0,($AY305*Templates!$E$27/$BE305+$AZ305*Templates!$E$28/$BF305+$BA305*Templates!$E$29/$BG305+$BB305*Templates!$E$30/$BH305+$BC305*Templates!$E$31/$BI305)/Templates!$B$20)</f>
        <v/>
      </c>
      <c r="BN305" s="18">
        <f>IF(OR($A305="",$BD305=0),0,($AY305*Templates!$F$27/$BE305+$AZ305*Templates!$F$28/$BF305+$BA305*Templates!$F$29/$BG305+$BB305*Templates!$F$30/$BH305+$BC305*Templates!$F$31/$BI305)/Templates!$B$21)</f>
        <v/>
      </c>
      <c r="BO305" s="18">
        <f>IF(OR($A305="",$BD305=0),0,($AY305*Templates!$G$27/$BE305+$AZ305*Templates!$G$28/$BF305+$BA305*Templates!$G$29/$BG305+$BB305*Templates!$G$30/$BH305+$BC305*Templates!$G$31/$BI305)/Templates!$B$22)</f>
        <v/>
      </c>
      <c r="BP305" s="18">
        <f>IF(OR($A305="",$BD305=0),0,($AY305*Templates!$H$27/$BE305+$AZ305*Templates!$H$28/$BF305+$BA305*Templates!$H$29/$BG305+$BB305*Templates!$H$30/$BH305+$BC305*Templates!$H$31/$BI305)/Templates!$B$23)</f>
        <v/>
      </c>
    </row>
    <row r="306">
      <c r="A306" s="28" t="inlineStr">
        <is>
          <t>Wolverine_4</t>
        </is>
      </c>
      <c r="B306" s="20" t="inlineStr">
        <is>
          <t>Eight Advisory (Referral Source)</t>
        </is>
      </c>
      <c r="C306" s="28" t="inlineStr">
        <is>
          <t>Eight Advisory</t>
        </is>
      </c>
      <c r="D306" s="28" t="inlineStr"/>
      <c r="E306" s="28" t="inlineStr">
        <is>
          <t>Yes</t>
        </is>
      </c>
      <c r="F306" s="28" t="inlineStr">
        <is>
          <t>Proposal</t>
        </is>
      </c>
      <c r="G306" s="38" t="n"/>
      <c r="H306" s="43" t="n">
        <v>0.5</v>
      </c>
      <c r="I306" s="39" t="n"/>
      <c r="J306" s="39" t="n"/>
      <c r="K306" s="31" t="n"/>
      <c r="L306" s="31" t="n"/>
      <c r="M306" s="31" t="n"/>
      <c r="N306" s="31" t="n"/>
      <c r="O306" s="31" t="n"/>
      <c r="P306" s="31" t="n"/>
      <c r="Q306" s="23">
        <f>IF($A306="","",COUNTIFS(Assignments!$C$2:$C$769,$A306,Assignments!$G$2:$G$769,"Active"))</f>
        <v/>
      </c>
      <c r="R306" s="32">
        <f>IF($A306="","",SUMIFS(Assignments!$I$2:$I$769,Assignments!$C$2:$C$769,$A306,Assignments!$G$2:$G$769,"Active"))</f>
        <v/>
      </c>
      <c r="S306" s="20" t="inlineStr">
        <is>
          <t>Proposal</t>
        </is>
      </c>
      <c r="T306" s="31" t="n"/>
      <c r="U306" s="38" t="n"/>
      <c r="V306" s="34">
        <f>IF($U306="","",IFERROR(INDEX(Templates!$K$3:$K$10,MATCH($U306,Templates!$A$3:$A$10,0)),""))</f>
        <v/>
      </c>
      <c r="W306" s="34">
        <f>IF($U306="","",IFERROR(INDEX(Templates!$L$3:$L$10,MATCH($U306,Templates!$A$3:$A$10,0)),""))</f>
        <v/>
      </c>
      <c r="X306" s="21">
        <f>IF($U306="","",IFERROR(INDEX(Templates!$J$3:$J$10,MATCH($U306,Templates!$A$3:$A$10,0)),""))</f>
        <v/>
      </c>
      <c r="Y306" s="35">
        <f>IF(OR($U306="",$I306="",$J306="",$X306=""),"",$I306+$X306*($J306-$I306))</f>
        <v/>
      </c>
      <c r="Z306" s="30" t="n">
        <v>46212</v>
      </c>
      <c r="AA306" s="40" t="n"/>
      <c r="AB306" s="41" t="n"/>
      <c r="AC306" s="41" t="n"/>
      <c r="AD306" s="19">
        <f>IF($A306="","",IF($AA306="",$H306,$AA306))</f>
        <v/>
      </c>
      <c r="AE306" s="35">
        <f>IF($A306="","",IF($AB306="",$I306,$AB306))</f>
        <v/>
      </c>
      <c r="AF306" s="35">
        <f>IF($A306="","",IF($AC306="",$J306,$AC306))</f>
        <v/>
      </c>
      <c r="AG306" s="35">
        <f>IF(OR($U306="",$AE306="",$AF306="",$X306=""),"",$AE306+$X306*($AF306-$AE306))</f>
        <v/>
      </c>
      <c r="AH306" s="38" t="n"/>
      <c r="AI306" s="38" t="n"/>
      <c r="AJ306" s="38" t="n"/>
      <c r="AK306" s="38" t="n"/>
      <c r="AL306" s="38" t="n"/>
      <c r="AM306" s="38" t="n"/>
      <c r="AN306" s="38" t="n"/>
      <c r="AO306" s="38" t="n"/>
      <c r="AP306" s="38" t="n"/>
      <c r="AQ306" s="38" t="n"/>
      <c r="AR306" s="38" t="n"/>
      <c r="AS306" s="38" t="n"/>
      <c r="AT306" s="38" t="n"/>
      <c r="AU306" s="38" t="n"/>
      <c r="AV306" s="38" t="n"/>
      <c r="AW306" s="38" t="n"/>
      <c r="AX306" s="38" t="n"/>
      <c r="AY306" s="42" t="n"/>
      <c r="AZ306" s="42" t="n"/>
      <c r="BA306" s="42" t="n"/>
      <c r="BB306" s="42" t="n"/>
      <c r="BC306" s="42" t="n"/>
      <c r="BD306" s="37">
        <f>IF($A306="","",SUM($AY306:$BC306))</f>
        <v/>
      </c>
      <c r="BE306" s="18">
        <f>IF($A306="","",IF(AND($I306&lt;&gt;"",$J306&lt;&gt;""),MAX(1,($J306-$I306)/7),Templates!$B$35))</f>
        <v/>
      </c>
      <c r="BF306" s="18">
        <f>IF($A306="","",IF(AND($I306&lt;&gt;"",$J306&lt;&gt;""),MAX(1,($J306-$I306)/7),Templates!$B$36))</f>
        <v/>
      </c>
      <c r="BG306" s="18">
        <f>IF($A306="","",IF(AND($I306&lt;&gt;"",$J306&lt;&gt;""),MAX(1,($J306-$I306)/7),Templates!$B$37))</f>
        <v/>
      </c>
      <c r="BH306" s="18">
        <f>IF($A306="","",IF(AND($I306&lt;&gt;"",$J306&lt;&gt;""),MAX(1,($J306-$I306)/7),Templates!$B$38))</f>
        <v/>
      </c>
      <c r="BI306" s="18">
        <f>IF($A306="","",IF(AND($I306&lt;&gt;"",$J306&lt;&gt;""),MAX(1,($J306-$I306)/7),Templates!$B$39))</f>
        <v/>
      </c>
      <c r="BJ306" s="18">
        <f>IF(OR($A306="",$BD306=0),0,($AY306*Templates!$B$27/$BE306+$AZ306*Templates!$B$28/$BF306+$BA306*Templates!$B$29/$BG306+$BB306*Templates!$B$30/$BH306+$BC306*Templates!$B$31/$BI306)/Templates!$B$17)</f>
        <v/>
      </c>
      <c r="BK306" s="18">
        <f>IF(OR($A306="",$BD306=0),0,($AY306*Templates!$C$27/$BE306+$AZ306*Templates!$C$28/$BF306+$BA306*Templates!$C$29/$BG306+$BB306*Templates!$C$30/$BH306+$BC306*Templates!$C$31/$BI306)/Templates!$B$18)</f>
        <v/>
      </c>
      <c r="BL306" s="18">
        <f>IF(OR($A306="",$BD306=0),0,($AY306*Templates!$D$27/$BE306+$AZ306*Templates!$D$28/$BF306+$BA306*Templates!$D$29/$BG306+$BB306*Templates!$D$30/$BH306+$BC306*Templates!$D$31/$BI306)/Templates!$B$19)</f>
        <v/>
      </c>
      <c r="BM306" s="18">
        <f>IF(OR($A306="",$BD306=0),0,($AY306*Templates!$E$27/$BE306+$AZ306*Templates!$E$28/$BF306+$BA306*Templates!$E$29/$BG306+$BB306*Templates!$E$30/$BH306+$BC306*Templates!$E$31/$BI306)/Templates!$B$20)</f>
        <v/>
      </c>
      <c r="BN306" s="18">
        <f>IF(OR($A306="",$BD306=0),0,($AY306*Templates!$F$27/$BE306+$AZ306*Templates!$F$28/$BF306+$BA306*Templates!$F$29/$BG306+$BB306*Templates!$F$30/$BH306+$BC306*Templates!$F$31/$BI306)/Templates!$B$21)</f>
        <v/>
      </c>
      <c r="BO306" s="18">
        <f>IF(OR($A306="",$BD306=0),0,($AY306*Templates!$G$27/$BE306+$AZ306*Templates!$G$28/$BF306+$BA306*Templates!$G$29/$BG306+$BB306*Templates!$G$30/$BH306+$BC306*Templates!$G$31/$BI306)/Templates!$B$22)</f>
        <v/>
      </c>
      <c r="BP306" s="18">
        <f>IF(OR($A306="",$BD306=0),0,($AY306*Templates!$H$27/$BE306+$AZ306*Templates!$H$28/$BF306+$BA306*Templates!$H$29/$BG306+$BB306*Templates!$H$30/$BH306+$BC306*Templates!$H$31/$BI306)/Templates!$B$23)</f>
        <v/>
      </c>
    </row>
    <row r="307">
      <c r="A307" s="28" t="inlineStr">
        <is>
          <t>Yellowstone_2</t>
        </is>
      </c>
      <c r="B307" s="20" t="inlineStr">
        <is>
          <t>Solertia MGA Ltd.</t>
        </is>
      </c>
      <c r="C307" s="28" t="inlineStr">
        <is>
          <t>Solertia MGA Ltd.</t>
        </is>
      </c>
      <c r="D307" s="28" t="inlineStr"/>
      <c r="E307" s="28" t="inlineStr">
        <is>
          <t>No</t>
        </is>
      </c>
      <c r="F307" s="28" t="inlineStr">
        <is>
          <t>Proposal</t>
        </is>
      </c>
      <c r="G307" s="38" t="n"/>
      <c r="H307" s="43" t="n">
        <v>0.5</v>
      </c>
      <c r="I307" s="39" t="n"/>
      <c r="J307" s="39" t="n"/>
      <c r="K307" s="31" t="n"/>
      <c r="L307" s="31" t="n"/>
      <c r="M307" s="31" t="n"/>
      <c r="N307" s="31" t="n"/>
      <c r="O307" s="31" t="n"/>
      <c r="P307" s="31" t="n"/>
      <c r="Q307" s="23">
        <f>IF($A307="","",COUNTIFS(Assignments!$C$2:$C$769,$A307,Assignments!$G$2:$G$769,"Active"))</f>
        <v/>
      </c>
      <c r="R307" s="32">
        <f>IF($A307="","",SUMIFS(Assignments!$I$2:$I$769,Assignments!$C$2:$C$769,$A307,Assignments!$G$2:$G$769,"Active"))</f>
        <v/>
      </c>
      <c r="S307" s="20" t="inlineStr">
        <is>
          <t>Proposal</t>
        </is>
      </c>
      <c r="T307" s="31" t="n"/>
      <c r="U307" s="38" t="n"/>
      <c r="V307" s="34">
        <f>IF($U307="","",IFERROR(INDEX(Templates!$K$3:$K$10,MATCH($U307,Templates!$A$3:$A$10,0)),""))</f>
        <v/>
      </c>
      <c r="W307" s="34">
        <f>IF($U307="","",IFERROR(INDEX(Templates!$L$3:$L$10,MATCH($U307,Templates!$A$3:$A$10,0)),""))</f>
        <v/>
      </c>
      <c r="X307" s="21">
        <f>IF($U307="","",IFERROR(INDEX(Templates!$J$3:$J$10,MATCH($U307,Templates!$A$3:$A$10,0)),""))</f>
        <v/>
      </c>
      <c r="Y307" s="35">
        <f>IF(OR($U307="",$I307="",$J307="",$X307=""),"",$I307+$X307*($J307-$I307))</f>
        <v/>
      </c>
      <c r="Z307" s="30" t="n">
        <v>46212</v>
      </c>
      <c r="AA307" s="40" t="n"/>
      <c r="AB307" s="41" t="n"/>
      <c r="AC307" s="41" t="n"/>
      <c r="AD307" s="19">
        <f>IF($A307="","",IF($AA307="",$H307,$AA307))</f>
        <v/>
      </c>
      <c r="AE307" s="35">
        <f>IF($A307="","",IF($AB307="",$I307,$AB307))</f>
        <v/>
      </c>
      <c r="AF307" s="35">
        <f>IF($A307="","",IF($AC307="",$J307,$AC307))</f>
        <v/>
      </c>
      <c r="AG307" s="35">
        <f>IF(OR($U307="",$AE307="",$AF307="",$X307=""),"",$AE307+$X307*($AF307-$AE307))</f>
        <v/>
      </c>
      <c r="AH307" s="38" t="n"/>
      <c r="AI307" s="38" t="n"/>
      <c r="AJ307" s="38" t="n"/>
      <c r="AK307" s="38" t="n"/>
      <c r="AL307" s="38" t="n"/>
      <c r="AM307" s="38" t="n"/>
      <c r="AN307" s="38" t="n"/>
      <c r="AO307" s="38" t="n"/>
      <c r="AP307" s="38" t="n"/>
      <c r="AQ307" s="38" t="n"/>
      <c r="AR307" s="38" t="n"/>
      <c r="AS307" s="38" t="n"/>
      <c r="AT307" s="38" t="n"/>
      <c r="AU307" s="38" t="n"/>
      <c r="AV307" s="38" t="n"/>
      <c r="AW307" s="38" t="n"/>
      <c r="AX307" s="38" t="n"/>
      <c r="AY307" s="42" t="n"/>
      <c r="AZ307" s="42" t="n"/>
      <c r="BA307" s="42" t="n"/>
      <c r="BB307" s="42" t="n"/>
      <c r="BC307" s="42" t="n"/>
      <c r="BD307" s="37">
        <f>IF($A307="","",SUM($AY307:$BC307))</f>
        <v/>
      </c>
      <c r="BE307" s="18">
        <f>IF($A307="","",IF(AND($I307&lt;&gt;"",$J307&lt;&gt;""),MAX(1,($J307-$I307)/7),Templates!$B$35))</f>
        <v/>
      </c>
      <c r="BF307" s="18">
        <f>IF($A307="","",IF(AND($I307&lt;&gt;"",$J307&lt;&gt;""),MAX(1,($J307-$I307)/7),Templates!$B$36))</f>
        <v/>
      </c>
      <c r="BG307" s="18">
        <f>IF($A307="","",IF(AND($I307&lt;&gt;"",$J307&lt;&gt;""),MAX(1,($J307-$I307)/7),Templates!$B$37))</f>
        <v/>
      </c>
      <c r="BH307" s="18">
        <f>IF($A307="","",IF(AND($I307&lt;&gt;"",$J307&lt;&gt;""),MAX(1,($J307-$I307)/7),Templates!$B$38))</f>
        <v/>
      </c>
      <c r="BI307" s="18">
        <f>IF($A307="","",IF(AND($I307&lt;&gt;"",$J307&lt;&gt;""),MAX(1,($J307-$I307)/7),Templates!$B$39))</f>
        <v/>
      </c>
      <c r="BJ307" s="18">
        <f>IF(OR($A307="",$BD307=0),0,($AY307*Templates!$B$27/$BE307+$AZ307*Templates!$B$28/$BF307+$BA307*Templates!$B$29/$BG307+$BB307*Templates!$B$30/$BH307+$BC307*Templates!$B$31/$BI307)/Templates!$B$17)</f>
        <v/>
      </c>
      <c r="BK307" s="18">
        <f>IF(OR($A307="",$BD307=0),0,($AY307*Templates!$C$27/$BE307+$AZ307*Templates!$C$28/$BF307+$BA307*Templates!$C$29/$BG307+$BB307*Templates!$C$30/$BH307+$BC307*Templates!$C$31/$BI307)/Templates!$B$18)</f>
        <v/>
      </c>
      <c r="BL307" s="18">
        <f>IF(OR($A307="",$BD307=0),0,($AY307*Templates!$D$27/$BE307+$AZ307*Templates!$D$28/$BF307+$BA307*Templates!$D$29/$BG307+$BB307*Templates!$D$30/$BH307+$BC307*Templates!$D$31/$BI307)/Templates!$B$19)</f>
        <v/>
      </c>
      <c r="BM307" s="18">
        <f>IF(OR($A307="",$BD307=0),0,($AY307*Templates!$E$27/$BE307+$AZ307*Templates!$E$28/$BF307+$BA307*Templates!$E$29/$BG307+$BB307*Templates!$E$30/$BH307+$BC307*Templates!$E$31/$BI307)/Templates!$B$20)</f>
        <v/>
      </c>
      <c r="BN307" s="18">
        <f>IF(OR($A307="",$BD307=0),0,($AY307*Templates!$F$27/$BE307+$AZ307*Templates!$F$28/$BF307+$BA307*Templates!$F$29/$BG307+$BB307*Templates!$F$30/$BH307+$BC307*Templates!$F$31/$BI307)/Templates!$B$21)</f>
        <v/>
      </c>
      <c r="BO307" s="18">
        <f>IF(OR($A307="",$BD307=0),0,($AY307*Templates!$G$27/$BE307+$AZ307*Templates!$G$28/$BF307+$BA307*Templates!$G$29/$BG307+$BB307*Templates!$G$30/$BH307+$BC307*Templates!$G$31/$BI307)/Templates!$B$22)</f>
        <v/>
      </c>
      <c r="BP307" s="18">
        <f>IF(OR($A307="",$BD307=0),0,($AY307*Templates!$H$27/$BE307+$AZ307*Templates!$H$28/$BF307+$BA307*Templates!$H$29/$BG307+$BB307*Templates!$H$30/$BH307+$BC307*Templates!$H$31/$BI307)/Templates!$B$23)</f>
        <v/>
      </c>
    </row>
    <row r="308">
      <c r="A308" s="28" t="inlineStr">
        <is>
          <t>Aypa Power General PW&amp;A Advisory_1</t>
        </is>
      </c>
      <c r="B308" s="20" t="inlineStr">
        <is>
          <t>The Blackstone Group : Aypa Power</t>
        </is>
      </c>
      <c r="C308" s="28" t="inlineStr">
        <is>
          <t>The Blackstone Group</t>
        </is>
      </c>
      <c r="D308" s="28" t="inlineStr">
        <is>
          <t>Aypa Power</t>
        </is>
      </c>
      <c r="E308" s="28" t="inlineStr">
        <is>
          <t>No</t>
        </is>
      </c>
      <c r="F308" s="28" t="inlineStr">
        <is>
          <t>On hold</t>
        </is>
      </c>
      <c r="G308" s="28" t="n"/>
      <c r="H308" s="29" t="n">
        <v>0</v>
      </c>
      <c r="I308" s="30" t="n"/>
      <c r="J308" s="30" t="n"/>
      <c r="K308" s="31" t="n"/>
      <c r="L308" s="31" t="n"/>
      <c r="M308" s="31" t="n"/>
      <c r="N308" s="31" t="n"/>
      <c r="O308" s="31" t="n"/>
      <c r="P308" s="31" t="n"/>
      <c r="Q308" s="23">
        <f>IF($A308="","",COUNTIFS(Assignments!$C$2:$C$769,$A308,Assignments!$G$2:$G$769,"Active"))</f>
        <v/>
      </c>
      <c r="R308" s="32">
        <f>IF($A308="","",SUMIFS(Assignments!$I$2:$I$769,Assignments!$C$2:$C$769,$A308,Assignments!$G$2:$G$769,"Active"))</f>
        <v/>
      </c>
      <c r="S308" s="20" t="inlineStr">
        <is>
          <t>Not active</t>
        </is>
      </c>
      <c r="T308" s="31" t="n"/>
      <c r="U308" s="28" t="n"/>
      <c r="V308" s="34">
        <f>IF($U308="","",IFERROR(INDEX(Templates!$K$3:$K$10,MATCH($U308,Templates!$A$3:$A$10,0)),""))</f>
        <v/>
      </c>
      <c r="W308" s="34">
        <f>IF($U308="","",IFERROR(INDEX(Templates!$L$3:$L$10,MATCH($U308,Templates!$A$3:$A$10,0)),""))</f>
        <v/>
      </c>
      <c r="X308" s="21">
        <f>IF($U308="","",IFERROR(INDEX(Templates!$J$3:$J$10,MATCH($U308,Templates!$A$3:$A$10,0)),""))</f>
        <v/>
      </c>
      <c r="Y308" s="35">
        <f>IF(OR($U308="",$I308="",$J308="",$X308=""),"",$I308+$X308*($J308-$I308))</f>
        <v/>
      </c>
      <c r="Z308" s="30" t="n">
        <v>46212</v>
      </c>
      <c r="AA308" s="29" t="n"/>
      <c r="AB308" s="30" t="n"/>
      <c r="AC308" s="30" t="n"/>
      <c r="AD308" s="19">
        <f>IF($A308="","",IF($AA308="",$H308,$AA308))</f>
        <v/>
      </c>
      <c r="AE308" s="35">
        <f>IF($A308="","",IF($AB308="",$I308,$AB308))</f>
        <v/>
      </c>
      <c r="AF308" s="35">
        <f>IF($A308="","",IF($AC308="",$J308,$AC308))</f>
        <v/>
      </c>
      <c r="AG308" s="35">
        <f>IF(OR($U308="",$AE308="",$AF308="",$X308=""),"",$AE308+$X308*($AF308-$AE308))</f>
        <v/>
      </c>
      <c r="AH308" s="28" t="n"/>
      <c r="AI308" s="28" t="n"/>
      <c r="AJ308" s="28" t="n"/>
      <c r="AK308" s="28" t="n"/>
      <c r="AL308" s="28" t="n"/>
      <c r="AM308" s="28" t="n"/>
      <c r="AN308" s="28" t="n"/>
      <c r="AO308" s="28" t="n"/>
      <c r="AP308" s="28" t="n"/>
      <c r="AQ308" s="28" t="n"/>
      <c r="AR308" s="28" t="n"/>
      <c r="AS308" s="28" t="n"/>
      <c r="AT308" s="28" t="n"/>
      <c r="AU308" s="28" t="n"/>
      <c r="AV308" s="28" t="n"/>
      <c r="AW308" s="28" t="n"/>
      <c r="AX308" s="28" t="n"/>
      <c r="AY308" s="36" t="n"/>
      <c r="AZ308" s="36" t="n"/>
      <c r="BA308" s="36" t="n"/>
      <c r="BB308" s="36" t="n"/>
      <c r="BC308" s="36" t="n"/>
      <c r="BD308" s="37">
        <f>IF($A308="","",SUM($AY308:$BC308))</f>
        <v/>
      </c>
      <c r="BE308" s="18">
        <f>IF($A308="","",IF(AND($I308&lt;&gt;"",$J308&lt;&gt;""),MAX(1,($J308-$I308)/7),Templates!$B$35))</f>
        <v/>
      </c>
      <c r="BF308" s="18">
        <f>IF($A308="","",IF(AND($I308&lt;&gt;"",$J308&lt;&gt;""),MAX(1,($J308-$I308)/7),Templates!$B$36))</f>
        <v/>
      </c>
      <c r="BG308" s="18">
        <f>IF($A308="","",IF(AND($I308&lt;&gt;"",$J308&lt;&gt;""),MAX(1,($J308-$I308)/7),Templates!$B$37))</f>
        <v/>
      </c>
      <c r="BH308" s="18">
        <f>IF($A308="","",IF(AND($I308&lt;&gt;"",$J308&lt;&gt;""),MAX(1,($J308-$I308)/7),Templates!$B$38))</f>
        <v/>
      </c>
      <c r="BI308" s="18">
        <f>IF($A308="","",IF(AND($I308&lt;&gt;"",$J308&lt;&gt;""),MAX(1,($J308-$I308)/7),Templates!$B$39))</f>
        <v/>
      </c>
      <c r="BJ308" s="18">
        <f>IF(OR($A308="",$BD308=0),0,($AY308*Templates!$B$27/$BE308+$AZ308*Templates!$B$28/$BF308+$BA308*Templates!$B$29/$BG308+$BB308*Templates!$B$30/$BH308+$BC308*Templates!$B$31/$BI308)/Templates!$B$17)</f>
        <v/>
      </c>
      <c r="BK308" s="18">
        <f>IF(OR($A308="",$BD308=0),0,($AY308*Templates!$C$27/$BE308+$AZ308*Templates!$C$28/$BF308+$BA308*Templates!$C$29/$BG308+$BB308*Templates!$C$30/$BH308+$BC308*Templates!$C$31/$BI308)/Templates!$B$18)</f>
        <v/>
      </c>
      <c r="BL308" s="18">
        <f>IF(OR($A308="",$BD308=0),0,($AY308*Templates!$D$27/$BE308+$AZ308*Templates!$D$28/$BF308+$BA308*Templates!$D$29/$BG308+$BB308*Templates!$D$30/$BH308+$BC308*Templates!$D$31/$BI308)/Templates!$B$19)</f>
        <v/>
      </c>
      <c r="BM308" s="18">
        <f>IF(OR($A308="",$BD308=0),0,($AY308*Templates!$E$27/$BE308+$AZ308*Templates!$E$28/$BF308+$BA308*Templates!$E$29/$BG308+$BB308*Templates!$E$30/$BH308+$BC308*Templates!$E$31/$BI308)/Templates!$B$20)</f>
        <v/>
      </c>
      <c r="BN308" s="18">
        <f>IF(OR($A308="",$BD308=0),0,($AY308*Templates!$F$27/$BE308+$AZ308*Templates!$F$28/$BF308+$BA308*Templates!$F$29/$BG308+$BB308*Templates!$F$30/$BH308+$BC308*Templates!$F$31/$BI308)/Templates!$B$21)</f>
        <v/>
      </c>
      <c r="BO308" s="18">
        <f>IF(OR($A308="",$BD308=0),0,($AY308*Templates!$G$27/$BE308+$AZ308*Templates!$G$28/$BF308+$BA308*Templates!$G$29/$BG308+$BB308*Templates!$G$30/$BH308+$BC308*Templates!$G$31/$BI308)/Templates!$B$22)</f>
        <v/>
      </c>
      <c r="BP308" s="18">
        <f>IF(OR($A308="",$BD308=0),0,($AY308*Templates!$H$27/$BE308+$AZ308*Templates!$H$28/$BF308+$BA308*Templates!$H$29/$BG308+$BB308*Templates!$H$30/$BH308+$BC308*Templates!$H$31/$BI308)/Templates!$B$23)</f>
        <v/>
      </c>
    </row>
    <row r="309">
      <c r="A309" s="28" t="inlineStr">
        <is>
          <t>Edward_1</t>
        </is>
      </c>
      <c r="B309" s="20" t="inlineStr">
        <is>
          <t>Royal Bank of Canada</t>
        </is>
      </c>
      <c r="C309" s="28" t="inlineStr">
        <is>
          <t>Royal Bank of Canada</t>
        </is>
      </c>
      <c r="D309" s="28" t="inlineStr"/>
      <c r="E309" s="28" t="inlineStr">
        <is>
          <t>No</t>
        </is>
      </c>
      <c r="F309" s="28" t="inlineStr">
        <is>
          <t>Closed</t>
        </is>
      </c>
      <c r="G309" s="28" t="n"/>
      <c r="H309" s="29" t="n">
        <v>0</v>
      </c>
      <c r="I309" s="30" t="n"/>
      <c r="J309" s="30" t="n"/>
      <c r="K309" s="31" t="n"/>
      <c r="L309" s="31" t="n"/>
      <c r="M309" s="31" t="n"/>
      <c r="N309" s="31" t="n"/>
      <c r="O309" s="31" t="n"/>
      <c r="P309" s="31" t="n"/>
      <c r="Q309" s="23">
        <f>IF($A309="","",COUNTIFS(Assignments!$C$2:$C$769,$A309,Assignments!$G$2:$G$769,"Active"))</f>
        <v/>
      </c>
      <c r="R309" s="32">
        <f>IF($A309="","",SUMIFS(Assignments!$I$2:$I$769,Assignments!$C$2:$C$769,$A309,Assignments!$G$2:$G$769,"Active"))</f>
        <v/>
      </c>
      <c r="S309" s="20" t="inlineStr">
        <is>
          <t>Closed</t>
        </is>
      </c>
      <c r="T309" s="31" t="n"/>
      <c r="U309" s="28" t="n"/>
      <c r="V309" s="34">
        <f>IF($U309="","",IFERROR(INDEX(Templates!$K$3:$K$10,MATCH($U309,Templates!$A$3:$A$10,0)),""))</f>
        <v/>
      </c>
      <c r="W309" s="34">
        <f>IF($U309="","",IFERROR(INDEX(Templates!$L$3:$L$10,MATCH($U309,Templates!$A$3:$A$10,0)),""))</f>
        <v/>
      </c>
      <c r="X309" s="21">
        <f>IF($U309="","",IFERROR(INDEX(Templates!$J$3:$J$10,MATCH($U309,Templates!$A$3:$A$10,0)),""))</f>
        <v/>
      </c>
      <c r="Y309" s="35">
        <f>IF(OR($U309="",$I309="",$J309="",$X309=""),"",$I309+$X309*($J309-$I309))</f>
        <v/>
      </c>
      <c r="Z309" s="30" t="n">
        <v>46212</v>
      </c>
      <c r="AA309" s="29" t="n"/>
      <c r="AB309" s="30" t="n"/>
      <c r="AC309" s="30" t="n"/>
      <c r="AD309" s="19">
        <f>IF($A309="","",IF($AA309="",$H309,$AA309))</f>
        <v/>
      </c>
      <c r="AE309" s="35">
        <f>IF($A309="","",IF($AB309="",$I309,$AB309))</f>
        <v/>
      </c>
      <c r="AF309" s="35">
        <f>IF($A309="","",IF($AC309="",$J309,$AC309))</f>
        <v/>
      </c>
      <c r="AG309" s="35">
        <f>IF(OR($U309="",$AE309="",$AF309="",$X309=""),"",$AE309+$X309*($AF309-$AE309))</f>
        <v/>
      </c>
      <c r="AH309" s="28" t="n"/>
      <c r="AI309" s="28" t="n"/>
      <c r="AJ309" s="28" t="n"/>
      <c r="AK309" s="28" t="n"/>
      <c r="AL309" s="28" t="n"/>
      <c r="AM309" s="28" t="n"/>
      <c r="AN309" s="28" t="n"/>
      <c r="AO309" s="28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6" t="n"/>
      <c r="AZ309" s="36" t="n"/>
      <c r="BA309" s="36" t="n"/>
      <c r="BB309" s="36" t="n"/>
      <c r="BC309" s="36" t="n"/>
      <c r="BD309" s="37">
        <f>IF($A309="","",SUM($AY309:$BC309))</f>
        <v/>
      </c>
      <c r="BE309" s="18">
        <f>IF($A309="","",IF(AND($I309&lt;&gt;"",$J309&lt;&gt;""),MAX(1,($J309-$I309)/7),Templates!$B$35))</f>
        <v/>
      </c>
      <c r="BF309" s="18">
        <f>IF($A309="","",IF(AND($I309&lt;&gt;"",$J309&lt;&gt;""),MAX(1,($J309-$I309)/7),Templates!$B$36))</f>
        <v/>
      </c>
      <c r="BG309" s="18">
        <f>IF($A309="","",IF(AND($I309&lt;&gt;"",$J309&lt;&gt;""),MAX(1,($J309-$I309)/7),Templates!$B$37))</f>
        <v/>
      </c>
      <c r="BH309" s="18">
        <f>IF($A309="","",IF(AND($I309&lt;&gt;"",$J309&lt;&gt;""),MAX(1,($J309-$I309)/7),Templates!$B$38))</f>
        <v/>
      </c>
      <c r="BI309" s="18">
        <f>IF($A309="","",IF(AND($I309&lt;&gt;"",$J309&lt;&gt;""),MAX(1,($J309-$I309)/7),Templates!$B$39))</f>
        <v/>
      </c>
      <c r="BJ309" s="18">
        <f>IF(OR($A309="",$BD309=0),0,($AY309*Templates!$B$27/$BE309+$AZ309*Templates!$B$28/$BF309+$BA309*Templates!$B$29/$BG309+$BB309*Templates!$B$30/$BH309+$BC309*Templates!$B$31/$BI309)/Templates!$B$17)</f>
        <v/>
      </c>
      <c r="BK309" s="18">
        <f>IF(OR($A309="",$BD309=0),0,($AY309*Templates!$C$27/$BE309+$AZ309*Templates!$C$28/$BF309+$BA309*Templates!$C$29/$BG309+$BB309*Templates!$C$30/$BH309+$BC309*Templates!$C$31/$BI309)/Templates!$B$18)</f>
        <v/>
      </c>
      <c r="BL309" s="18">
        <f>IF(OR($A309="",$BD309=0),0,($AY309*Templates!$D$27/$BE309+$AZ309*Templates!$D$28/$BF309+$BA309*Templates!$D$29/$BG309+$BB309*Templates!$D$30/$BH309+$BC309*Templates!$D$31/$BI309)/Templates!$B$19)</f>
        <v/>
      </c>
      <c r="BM309" s="18">
        <f>IF(OR($A309="",$BD309=0),0,($AY309*Templates!$E$27/$BE309+$AZ309*Templates!$E$28/$BF309+$BA309*Templates!$E$29/$BG309+$BB309*Templates!$E$30/$BH309+$BC309*Templates!$E$31/$BI309)/Templates!$B$20)</f>
        <v/>
      </c>
      <c r="BN309" s="18">
        <f>IF(OR($A309="",$BD309=0),0,($AY309*Templates!$F$27/$BE309+$AZ309*Templates!$F$28/$BF309+$BA309*Templates!$F$29/$BG309+$BB309*Templates!$F$30/$BH309+$BC309*Templates!$F$31/$BI309)/Templates!$B$21)</f>
        <v/>
      </c>
      <c r="BO309" s="18">
        <f>IF(OR($A309="",$BD309=0),0,($AY309*Templates!$G$27/$BE309+$AZ309*Templates!$G$28/$BF309+$BA309*Templates!$G$29/$BG309+$BB309*Templates!$G$30/$BH309+$BC309*Templates!$G$31/$BI309)/Templates!$B$22)</f>
        <v/>
      </c>
      <c r="BP309" s="18">
        <f>IF(OR($A309="",$BD309=0),0,($AY309*Templates!$H$27/$BE309+$AZ309*Templates!$H$28/$BF309+$BA309*Templates!$H$29/$BG309+$BB309*Templates!$H$30/$BH309+$BC309*Templates!$H$31/$BI309)/Templates!$B$23)</f>
        <v/>
      </c>
    </row>
    <row r="310">
      <c r="A310" s="28" t="inlineStr">
        <is>
          <t>Legolas_1</t>
        </is>
      </c>
      <c r="B310" s="20" t="inlineStr">
        <is>
          <t>SkyKnight Capital</t>
        </is>
      </c>
      <c r="C310" s="28" t="inlineStr">
        <is>
          <t>SkyKnight Capital</t>
        </is>
      </c>
      <c r="D310" s="28" t="inlineStr"/>
      <c r="E310" s="28" t="inlineStr">
        <is>
          <t>No</t>
        </is>
      </c>
      <c r="F310" s="28" t="inlineStr">
        <is>
          <t>Closed</t>
        </is>
      </c>
      <c r="G310" s="28" t="n"/>
      <c r="H310" s="29" t="n">
        <v>0</v>
      </c>
      <c r="I310" s="30" t="n"/>
      <c r="J310" s="30" t="n"/>
      <c r="K310" s="31" t="n"/>
      <c r="L310" s="31" t="n"/>
      <c r="M310" s="31" t="n"/>
      <c r="N310" s="31" t="n"/>
      <c r="O310" s="31" t="n"/>
      <c r="P310" s="31" t="n"/>
      <c r="Q310" s="23">
        <f>IF($A310="","",COUNTIFS(Assignments!$C$2:$C$769,$A310,Assignments!$G$2:$G$769,"Active"))</f>
        <v/>
      </c>
      <c r="R310" s="32">
        <f>IF($A310="","",SUMIFS(Assignments!$I$2:$I$769,Assignments!$C$2:$C$769,$A310,Assignments!$G$2:$G$769,"Active"))</f>
        <v/>
      </c>
      <c r="S310" s="20" t="inlineStr">
        <is>
          <t>Summary tab only (WIP)</t>
        </is>
      </c>
      <c r="T310" s="31" t="n"/>
      <c r="U310" s="28" t="n"/>
      <c r="V310" s="34">
        <f>IF($U310="","",IFERROR(INDEX(Templates!$K$3:$K$10,MATCH($U310,Templates!$A$3:$A$10,0)),""))</f>
        <v/>
      </c>
      <c r="W310" s="34">
        <f>IF($U310="","",IFERROR(INDEX(Templates!$L$3:$L$10,MATCH($U310,Templates!$A$3:$A$10,0)),""))</f>
        <v/>
      </c>
      <c r="X310" s="21">
        <f>IF($U310="","",IFERROR(INDEX(Templates!$J$3:$J$10,MATCH($U310,Templates!$A$3:$A$10,0)),""))</f>
        <v/>
      </c>
      <c r="Y310" s="35">
        <f>IF(OR($U310="",$I310="",$J310="",$X310=""),"",$I310+$X310*($J310-$I310))</f>
        <v/>
      </c>
      <c r="Z310" s="30" t="n">
        <v>46212</v>
      </c>
      <c r="AA310" s="29" t="n"/>
      <c r="AB310" s="30" t="n"/>
      <c r="AC310" s="30" t="n"/>
      <c r="AD310" s="19">
        <f>IF($A310="","",IF($AA310="",$H310,$AA310))</f>
        <v/>
      </c>
      <c r="AE310" s="35">
        <f>IF($A310="","",IF($AB310="",$I310,$AB310))</f>
        <v/>
      </c>
      <c r="AF310" s="35">
        <f>IF($A310="","",IF($AC310="",$J310,$AC310))</f>
        <v/>
      </c>
      <c r="AG310" s="35">
        <f>IF(OR($U310="",$AE310="",$AF310="",$X310=""),"",$AE310+$X310*($AF310-$AE310))</f>
        <v/>
      </c>
      <c r="AH310" s="28" t="n"/>
      <c r="AI310" s="28" t="n"/>
      <c r="AJ310" s="28" t="n"/>
      <c r="AK310" s="28" t="n"/>
      <c r="AL310" s="28" t="n"/>
      <c r="AM310" s="28" t="n"/>
      <c r="AN310" s="28" t="n"/>
      <c r="AO310" s="28" t="n"/>
      <c r="AP310" s="28" t="n"/>
      <c r="AQ310" s="28" t="n"/>
      <c r="AR310" s="28" t="n"/>
      <c r="AS310" s="28" t="n"/>
      <c r="AT310" s="28" t="n"/>
      <c r="AU310" s="28" t="n"/>
      <c r="AV310" s="28" t="n"/>
      <c r="AW310" s="28" t="n"/>
      <c r="AX310" s="28" t="n"/>
      <c r="AY310" s="36" t="n"/>
      <c r="AZ310" s="36" t="n"/>
      <c r="BA310" s="36" t="n"/>
      <c r="BB310" s="36" t="n"/>
      <c r="BC310" s="36" t="n"/>
      <c r="BD310" s="37">
        <f>IF($A310="","",SUM($AY310:$BC310))</f>
        <v/>
      </c>
      <c r="BE310" s="18">
        <f>IF($A310="","",IF(AND($I310&lt;&gt;"",$J310&lt;&gt;""),MAX(1,($J310-$I310)/7),Templates!$B$35))</f>
        <v/>
      </c>
      <c r="BF310" s="18">
        <f>IF($A310="","",IF(AND($I310&lt;&gt;"",$J310&lt;&gt;""),MAX(1,($J310-$I310)/7),Templates!$B$36))</f>
        <v/>
      </c>
      <c r="BG310" s="18">
        <f>IF($A310="","",IF(AND($I310&lt;&gt;"",$J310&lt;&gt;""),MAX(1,($J310-$I310)/7),Templates!$B$37))</f>
        <v/>
      </c>
      <c r="BH310" s="18">
        <f>IF($A310="","",IF(AND($I310&lt;&gt;"",$J310&lt;&gt;""),MAX(1,($J310-$I310)/7),Templates!$B$38))</f>
        <v/>
      </c>
      <c r="BI310" s="18">
        <f>IF($A310="","",IF(AND($I310&lt;&gt;"",$J310&lt;&gt;""),MAX(1,($J310-$I310)/7),Templates!$B$39))</f>
        <v/>
      </c>
      <c r="BJ310" s="18">
        <f>IF(OR($A310="",$BD310=0),0,($AY310*Templates!$B$27/$BE310+$AZ310*Templates!$B$28/$BF310+$BA310*Templates!$B$29/$BG310+$BB310*Templates!$B$30/$BH310+$BC310*Templates!$B$31/$BI310)/Templates!$B$17)</f>
        <v/>
      </c>
      <c r="BK310" s="18">
        <f>IF(OR($A310="",$BD310=0),0,($AY310*Templates!$C$27/$BE310+$AZ310*Templates!$C$28/$BF310+$BA310*Templates!$C$29/$BG310+$BB310*Templates!$C$30/$BH310+$BC310*Templates!$C$31/$BI310)/Templates!$B$18)</f>
        <v/>
      </c>
      <c r="BL310" s="18">
        <f>IF(OR($A310="",$BD310=0),0,($AY310*Templates!$D$27/$BE310+$AZ310*Templates!$D$28/$BF310+$BA310*Templates!$D$29/$BG310+$BB310*Templates!$D$30/$BH310+$BC310*Templates!$D$31/$BI310)/Templates!$B$19)</f>
        <v/>
      </c>
      <c r="BM310" s="18">
        <f>IF(OR($A310="",$BD310=0),0,($AY310*Templates!$E$27/$BE310+$AZ310*Templates!$E$28/$BF310+$BA310*Templates!$E$29/$BG310+$BB310*Templates!$E$30/$BH310+$BC310*Templates!$E$31/$BI310)/Templates!$B$20)</f>
        <v/>
      </c>
      <c r="BN310" s="18">
        <f>IF(OR($A310="",$BD310=0),0,($AY310*Templates!$F$27/$BE310+$AZ310*Templates!$F$28/$BF310+$BA310*Templates!$F$29/$BG310+$BB310*Templates!$F$30/$BH310+$BC310*Templates!$F$31/$BI310)/Templates!$B$21)</f>
        <v/>
      </c>
      <c r="BO310" s="18">
        <f>IF(OR($A310="",$BD310=0),0,($AY310*Templates!$G$27/$BE310+$AZ310*Templates!$G$28/$BF310+$BA310*Templates!$G$29/$BG310+$BB310*Templates!$G$30/$BH310+$BC310*Templates!$G$31/$BI310)/Templates!$B$22)</f>
        <v/>
      </c>
      <c r="BP310" s="18">
        <f>IF(OR($A310="",$BD310=0),0,($AY310*Templates!$H$27/$BE310+$AZ310*Templates!$H$28/$BF310+$BA310*Templates!$H$29/$BG310+$BB310*Templates!$H$30/$BH310+$BC310*Templates!$H$31/$BI310)/Templates!$B$23)</f>
        <v/>
      </c>
    </row>
    <row r="311">
      <c r="A311" s="28" t="inlineStr">
        <is>
          <t>Wheelhouse_2</t>
        </is>
      </c>
      <c r="B311" s="20" t="inlineStr">
        <is>
          <t>Royal Bank of Canada</t>
        </is>
      </c>
      <c r="C311" s="28" t="inlineStr">
        <is>
          <t>Royal Bank of Canada</t>
        </is>
      </c>
      <c r="D311" s="28" t="inlineStr"/>
      <c r="E311" s="28" t="inlineStr">
        <is>
          <t>No</t>
        </is>
      </c>
      <c r="F311" s="28" t="inlineStr">
        <is>
          <t>Closed</t>
        </is>
      </c>
      <c r="G311" s="28" t="n"/>
      <c r="H311" s="29" t="n">
        <v>0</v>
      </c>
      <c r="I311" s="30" t="n"/>
      <c r="J311" s="30" t="n"/>
      <c r="K311" s="31" t="n"/>
      <c r="L311" s="31" t="n"/>
      <c r="M311" s="31" t="n"/>
      <c r="N311" s="31" t="n"/>
      <c r="O311" s="31" t="n"/>
      <c r="P311" s="31" t="n"/>
      <c r="Q311" s="23">
        <f>IF($A311="","",COUNTIFS(Assignments!$C$2:$C$769,$A311,Assignments!$G$2:$G$769,"Active"))</f>
        <v/>
      </c>
      <c r="R311" s="32">
        <f>IF($A311="","",SUMIFS(Assignments!$I$2:$I$769,Assignments!$C$2:$C$769,$A311,Assignments!$G$2:$G$769,"Active"))</f>
        <v/>
      </c>
      <c r="S311" s="20" t="inlineStr">
        <is>
          <t>Closed</t>
        </is>
      </c>
      <c r="T311" s="31" t="n"/>
      <c r="U311" s="28" t="n"/>
      <c r="V311" s="34">
        <f>IF($U311="","",IFERROR(INDEX(Templates!$K$3:$K$10,MATCH($U311,Templates!$A$3:$A$10,0)),""))</f>
        <v/>
      </c>
      <c r="W311" s="34">
        <f>IF($U311="","",IFERROR(INDEX(Templates!$L$3:$L$10,MATCH($U311,Templates!$A$3:$A$10,0)),""))</f>
        <v/>
      </c>
      <c r="X311" s="21">
        <f>IF($U311="","",IFERROR(INDEX(Templates!$J$3:$J$10,MATCH($U311,Templates!$A$3:$A$10,0)),""))</f>
        <v/>
      </c>
      <c r="Y311" s="35">
        <f>IF(OR($U311="",$I311="",$J311="",$X311=""),"",$I311+$X311*($J311-$I311))</f>
        <v/>
      </c>
      <c r="Z311" s="30" t="n">
        <v>46212</v>
      </c>
      <c r="AA311" s="29" t="n"/>
      <c r="AB311" s="30" t="n"/>
      <c r="AC311" s="30" t="n"/>
      <c r="AD311" s="19">
        <f>IF($A311="","",IF($AA311="",$H311,$AA311))</f>
        <v/>
      </c>
      <c r="AE311" s="35">
        <f>IF($A311="","",IF($AB311="",$I311,$AB311))</f>
        <v/>
      </c>
      <c r="AF311" s="35">
        <f>IF($A311="","",IF($AC311="",$J311,$AC311))</f>
        <v/>
      </c>
      <c r="AG311" s="35">
        <f>IF(OR($U311="",$AE311="",$AF311="",$X311=""),"",$AE311+$X311*($AF311-$AE311))</f>
        <v/>
      </c>
      <c r="AH311" s="28" t="n"/>
      <c r="AI311" s="28" t="n"/>
      <c r="AJ311" s="28" t="n"/>
      <c r="AK311" s="28" t="n"/>
      <c r="AL311" s="28" t="n"/>
      <c r="AM311" s="28" t="n"/>
      <c r="AN311" s="28" t="n"/>
      <c r="AO311" s="28" t="n"/>
      <c r="AP311" s="28" t="n"/>
      <c r="AQ311" s="28" t="n"/>
      <c r="AR311" s="28" t="n"/>
      <c r="AS311" s="28" t="n"/>
      <c r="AT311" s="28" t="n"/>
      <c r="AU311" s="28" t="n"/>
      <c r="AV311" s="28" t="n"/>
      <c r="AW311" s="28" t="n"/>
      <c r="AX311" s="28" t="n"/>
      <c r="AY311" s="36" t="n"/>
      <c r="AZ311" s="36" t="n"/>
      <c r="BA311" s="36" t="n"/>
      <c r="BB311" s="36" t="n"/>
      <c r="BC311" s="36" t="n"/>
      <c r="BD311" s="37">
        <f>IF($A311="","",SUM($AY311:$BC311))</f>
        <v/>
      </c>
      <c r="BE311" s="18">
        <f>IF($A311="","",IF(AND($I311&lt;&gt;"",$J311&lt;&gt;""),MAX(1,($J311-$I311)/7),Templates!$B$35))</f>
        <v/>
      </c>
      <c r="BF311" s="18">
        <f>IF($A311="","",IF(AND($I311&lt;&gt;"",$J311&lt;&gt;""),MAX(1,($J311-$I311)/7),Templates!$B$36))</f>
        <v/>
      </c>
      <c r="BG311" s="18">
        <f>IF($A311="","",IF(AND($I311&lt;&gt;"",$J311&lt;&gt;""),MAX(1,($J311-$I311)/7),Templates!$B$37))</f>
        <v/>
      </c>
      <c r="BH311" s="18">
        <f>IF($A311="","",IF(AND($I311&lt;&gt;"",$J311&lt;&gt;""),MAX(1,($J311-$I311)/7),Templates!$B$38))</f>
        <v/>
      </c>
      <c r="BI311" s="18">
        <f>IF($A311="","",IF(AND($I311&lt;&gt;"",$J311&lt;&gt;""),MAX(1,($J311-$I311)/7),Templates!$B$39))</f>
        <v/>
      </c>
      <c r="BJ311" s="18">
        <f>IF(OR($A311="",$BD311=0),0,($AY311*Templates!$B$27/$BE311+$AZ311*Templates!$B$28/$BF311+$BA311*Templates!$B$29/$BG311+$BB311*Templates!$B$30/$BH311+$BC311*Templates!$B$31/$BI311)/Templates!$B$17)</f>
        <v/>
      </c>
      <c r="BK311" s="18">
        <f>IF(OR($A311="",$BD311=0),0,($AY311*Templates!$C$27/$BE311+$AZ311*Templates!$C$28/$BF311+$BA311*Templates!$C$29/$BG311+$BB311*Templates!$C$30/$BH311+$BC311*Templates!$C$31/$BI311)/Templates!$B$18)</f>
        <v/>
      </c>
      <c r="BL311" s="18">
        <f>IF(OR($A311="",$BD311=0),0,($AY311*Templates!$D$27/$BE311+$AZ311*Templates!$D$28/$BF311+$BA311*Templates!$D$29/$BG311+$BB311*Templates!$D$30/$BH311+$BC311*Templates!$D$31/$BI311)/Templates!$B$19)</f>
        <v/>
      </c>
      <c r="BM311" s="18">
        <f>IF(OR($A311="",$BD311=0),0,($AY311*Templates!$E$27/$BE311+$AZ311*Templates!$E$28/$BF311+$BA311*Templates!$E$29/$BG311+$BB311*Templates!$E$30/$BH311+$BC311*Templates!$E$31/$BI311)/Templates!$B$20)</f>
        <v/>
      </c>
      <c r="BN311" s="18">
        <f>IF(OR($A311="",$BD311=0),0,($AY311*Templates!$F$27/$BE311+$AZ311*Templates!$F$28/$BF311+$BA311*Templates!$F$29/$BG311+$BB311*Templates!$F$30/$BH311+$BC311*Templates!$F$31/$BI311)/Templates!$B$21)</f>
        <v/>
      </c>
      <c r="BO311" s="18">
        <f>IF(OR($A311="",$BD311=0),0,($AY311*Templates!$G$27/$BE311+$AZ311*Templates!$G$28/$BF311+$BA311*Templates!$G$29/$BG311+$BB311*Templates!$G$30/$BH311+$BC311*Templates!$G$31/$BI311)/Templates!$B$22)</f>
        <v/>
      </c>
      <c r="BP311" s="18">
        <f>IF(OR($A311="",$BD311=0),0,($AY311*Templates!$H$27/$BE311+$AZ311*Templates!$H$28/$BF311+$BA311*Templates!$H$29/$BG311+$BB311*Templates!$H$30/$BH311+$BC311*Templates!$H$31/$BI311)/Templates!$B$23)</f>
        <v/>
      </c>
    </row>
    <row r="312">
      <c r="A312" s="28" t="inlineStr">
        <is>
          <t>Beacon_3</t>
        </is>
      </c>
      <c r="B312" s="20" t="inlineStr">
        <is>
          <t>Tidewater Holdings, Inc</t>
        </is>
      </c>
      <c r="C312" s="28" t="inlineStr">
        <is>
          <t>Tidewater Holdings, Inc</t>
        </is>
      </c>
      <c r="D312" s="28" t="inlineStr"/>
      <c r="E312" s="28" t="inlineStr">
        <is>
          <t>No</t>
        </is>
      </c>
      <c r="F312" s="28" t="inlineStr">
        <is>
          <t>Dead</t>
        </is>
      </c>
      <c r="G312" s="28" t="n"/>
      <c r="H312" s="29" t="n">
        <v>0</v>
      </c>
      <c r="I312" s="30" t="n"/>
      <c r="J312" s="30" t="n"/>
      <c r="K312" s="31" t="n"/>
      <c r="L312" s="31" t="n"/>
      <c r="M312" s="31" t="n"/>
      <c r="N312" s="31" t="n"/>
      <c r="O312" s="31" t="n"/>
      <c r="P312" s="31" t="n"/>
      <c r="Q312" s="23">
        <f>IF($A312="","",COUNTIFS(Assignments!$C$2:$C$769,$A312,Assignments!$G$2:$G$769,"Active"))</f>
        <v/>
      </c>
      <c r="R312" s="32">
        <f>IF($A312="","",SUMIFS(Assignments!$I$2:$I$769,Assignments!$C$2:$C$769,$A312,Assignments!$G$2:$G$769,"Active"))</f>
        <v/>
      </c>
      <c r="S312" s="20" t="inlineStr">
        <is>
          <t>Dead</t>
        </is>
      </c>
      <c r="T312" s="31" t="n"/>
      <c r="U312" s="28" t="n"/>
      <c r="V312" s="34">
        <f>IF($U312="","",IFERROR(INDEX(Templates!$K$3:$K$10,MATCH($U312,Templates!$A$3:$A$10,0)),""))</f>
        <v/>
      </c>
      <c r="W312" s="34">
        <f>IF($U312="","",IFERROR(INDEX(Templates!$L$3:$L$10,MATCH($U312,Templates!$A$3:$A$10,0)),""))</f>
        <v/>
      </c>
      <c r="X312" s="21">
        <f>IF($U312="","",IFERROR(INDEX(Templates!$J$3:$J$10,MATCH($U312,Templates!$A$3:$A$10,0)),""))</f>
        <v/>
      </c>
      <c r="Y312" s="35">
        <f>IF(OR($U312="",$I312="",$J312="",$X312=""),"",$I312+$X312*($J312-$I312))</f>
        <v/>
      </c>
      <c r="Z312" s="30" t="n">
        <v>46212</v>
      </c>
      <c r="AA312" s="29" t="n"/>
      <c r="AB312" s="30" t="n"/>
      <c r="AC312" s="30" t="n"/>
      <c r="AD312" s="19">
        <f>IF($A312="","",IF($AA312="",$H312,$AA312))</f>
        <v/>
      </c>
      <c r="AE312" s="35">
        <f>IF($A312="","",IF($AB312="",$I312,$AB312))</f>
        <v/>
      </c>
      <c r="AF312" s="35">
        <f>IF($A312="","",IF($AC312="",$J312,$AC312))</f>
        <v/>
      </c>
      <c r="AG312" s="35">
        <f>IF(OR($U312="",$AE312="",$AF312="",$X312=""),"",$AE312+$X312*($AF312-$AE312))</f>
        <v/>
      </c>
      <c r="AH312" s="28" t="n"/>
      <c r="AI312" s="28" t="n"/>
      <c r="AJ312" s="28" t="n"/>
      <c r="AK312" s="28" t="n"/>
      <c r="AL312" s="28" t="n"/>
      <c r="AM312" s="28" t="n"/>
      <c r="AN312" s="28" t="n"/>
      <c r="AO312" s="28" t="n"/>
      <c r="AP312" s="28" t="n"/>
      <c r="AQ312" s="28" t="n"/>
      <c r="AR312" s="28" t="n"/>
      <c r="AS312" s="28" t="n"/>
      <c r="AT312" s="28" t="n"/>
      <c r="AU312" s="28" t="n"/>
      <c r="AV312" s="28" t="n"/>
      <c r="AW312" s="28" t="n"/>
      <c r="AX312" s="28" t="n"/>
      <c r="AY312" s="36" t="n"/>
      <c r="AZ312" s="36" t="n"/>
      <c r="BA312" s="36" t="n"/>
      <c r="BB312" s="36" t="n"/>
      <c r="BC312" s="36" t="n"/>
      <c r="BD312" s="37">
        <f>IF($A312="","",SUM($AY312:$BC312))</f>
        <v/>
      </c>
      <c r="BE312" s="18">
        <f>IF($A312="","",IF(AND($I312&lt;&gt;"",$J312&lt;&gt;""),MAX(1,($J312-$I312)/7),Templates!$B$35))</f>
        <v/>
      </c>
      <c r="BF312" s="18">
        <f>IF($A312="","",IF(AND($I312&lt;&gt;"",$J312&lt;&gt;""),MAX(1,($J312-$I312)/7),Templates!$B$36))</f>
        <v/>
      </c>
      <c r="BG312" s="18">
        <f>IF($A312="","",IF(AND($I312&lt;&gt;"",$J312&lt;&gt;""),MAX(1,($J312-$I312)/7),Templates!$B$37))</f>
        <v/>
      </c>
      <c r="BH312" s="18">
        <f>IF($A312="","",IF(AND($I312&lt;&gt;"",$J312&lt;&gt;""),MAX(1,($J312-$I312)/7),Templates!$B$38))</f>
        <v/>
      </c>
      <c r="BI312" s="18">
        <f>IF($A312="","",IF(AND($I312&lt;&gt;"",$J312&lt;&gt;""),MAX(1,($J312-$I312)/7),Templates!$B$39))</f>
        <v/>
      </c>
      <c r="BJ312" s="18">
        <f>IF(OR($A312="",$BD312=0),0,($AY312*Templates!$B$27/$BE312+$AZ312*Templates!$B$28/$BF312+$BA312*Templates!$B$29/$BG312+$BB312*Templates!$B$30/$BH312+$BC312*Templates!$B$31/$BI312)/Templates!$B$17)</f>
        <v/>
      </c>
      <c r="BK312" s="18">
        <f>IF(OR($A312="",$BD312=0),0,($AY312*Templates!$C$27/$BE312+$AZ312*Templates!$C$28/$BF312+$BA312*Templates!$C$29/$BG312+$BB312*Templates!$C$30/$BH312+$BC312*Templates!$C$31/$BI312)/Templates!$B$18)</f>
        <v/>
      </c>
      <c r="BL312" s="18">
        <f>IF(OR($A312="",$BD312=0),0,($AY312*Templates!$D$27/$BE312+$AZ312*Templates!$D$28/$BF312+$BA312*Templates!$D$29/$BG312+$BB312*Templates!$D$30/$BH312+$BC312*Templates!$D$31/$BI312)/Templates!$B$19)</f>
        <v/>
      </c>
      <c r="BM312" s="18">
        <f>IF(OR($A312="",$BD312=0),0,($AY312*Templates!$E$27/$BE312+$AZ312*Templates!$E$28/$BF312+$BA312*Templates!$E$29/$BG312+$BB312*Templates!$E$30/$BH312+$BC312*Templates!$E$31/$BI312)/Templates!$B$20)</f>
        <v/>
      </c>
      <c r="BN312" s="18">
        <f>IF(OR($A312="",$BD312=0),0,($AY312*Templates!$F$27/$BE312+$AZ312*Templates!$F$28/$BF312+$BA312*Templates!$F$29/$BG312+$BB312*Templates!$F$30/$BH312+$BC312*Templates!$F$31/$BI312)/Templates!$B$21)</f>
        <v/>
      </c>
      <c r="BO312" s="18">
        <f>IF(OR($A312="",$BD312=0),0,($AY312*Templates!$G$27/$BE312+$AZ312*Templates!$G$28/$BF312+$BA312*Templates!$G$29/$BG312+$BB312*Templates!$G$30/$BH312+$BC312*Templates!$G$31/$BI312)/Templates!$B$22)</f>
        <v/>
      </c>
      <c r="BP312" s="18">
        <f>IF(OR($A312="",$BD312=0),0,($AY312*Templates!$H$27/$BE312+$AZ312*Templates!$H$28/$BF312+$BA312*Templates!$H$29/$BG312+$BB312*Templates!$H$30/$BH312+$BC312*Templates!$H$31/$BI312)/Templates!$B$23)</f>
        <v/>
      </c>
    </row>
    <row r="313">
      <c r="A313" s="28" t="inlineStr">
        <is>
          <t>Canyon_1</t>
        </is>
      </c>
      <c r="B313" s="20" t="inlineStr">
        <is>
          <t>ECP</t>
        </is>
      </c>
      <c r="C313" s="28" t="inlineStr">
        <is>
          <t>ECP</t>
        </is>
      </c>
      <c r="D313" s="28" t="inlineStr"/>
      <c r="E313" s="28" t="inlineStr">
        <is>
          <t>No</t>
        </is>
      </c>
      <c r="F313" s="28" t="inlineStr">
        <is>
          <t>Dead</t>
        </is>
      </c>
      <c r="G313" s="28" t="n"/>
      <c r="H313" s="29" t="n">
        <v>0</v>
      </c>
      <c r="I313" s="30" t="n"/>
      <c r="J313" s="30" t="n"/>
      <c r="K313" s="31" t="n"/>
      <c r="L313" s="31" t="n"/>
      <c r="M313" s="31" t="n"/>
      <c r="N313" s="31" t="n"/>
      <c r="O313" s="31" t="n"/>
      <c r="P313" s="31" t="n"/>
      <c r="Q313" s="23">
        <f>IF($A313="","",COUNTIFS(Assignments!$C$2:$C$769,$A313,Assignments!$G$2:$G$769,"Active"))</f>
        <v/>
      </c>
      <c r="R313" s="32">
        <f>IF($A313="","",SUMIFS(Assignments!$I$2:$I$769,Assignments!$C$2:$C$769,$A313,Assignments!$G$2:$G$769,"Active"))</f>
        <v/>
      </c>
      <c r="S313" s="20" t="inlineStr">
        <is>
          <t>Dead</t>
        </is>
      </c>
      <c r="T313" s="31" t="n"/>
      <c r="U313" s="28" t="n"/>
      <c r="V313" s="34">
        <f>IF($U313="","",IFERROR(INDEX(Templates!$K$3:$K$10,MATCH($U313,Templates!$A$3:$A$10,0)),""))</f>
        <v/>
      </c>
      <c r="W313" s="34">
        <f>IF($U313="","",IFERROR(INDEX(Templates!$L$3:$L$10,MATCH($U313,Templates!$A$3:$A$10,0)),""))</f>
        <v/>
      </c>
      <c r="X313" s="21">
        <f>IF($U313="","",IFERROR(INDEX(Templates!$J$3:$J$10,MATCH($U313,Templates!$A$3:$A$10,0)),""))</f>
        <v/>
      </c>
      <c r="Y313" s="35">
        <f>IF(OR($U313="",$I313="",$J313="",$X313=""),"",$I313+$X313*($J313-$I313))</f>
        <v/>
      </c>
      <c r="Z313" s="30" t="n">
        <v>46212</v>
      </c>
      <c r="AA313" s="29" t="n"/>
      <c r="AB313" s="30" t="n"/>
      <c r="AC313" s="30" t="n"/>
      <c r="AD313" s="19">
        <f>IF($A313="","",IF($AA313="",$H313,$AA313))</f>
        <v/>
      </c>
      <c r="AE313" s="35">
        <f>IF($A313="","",IF($AB313="",$I313,$AB313))</f>
        <v/>
      </c>
      <c r="AF313" s="35">
        <f>IF($A313="","",IF($AC313="",$J313,$AC313))</f>
        <v/>
      </c>
      <c r="AG313" s="35">
        <f>IF(OR($U313="",$AE313="",$AF313="",$X313=""),"",$AE313+$X313*($AF313-$AE313))</f>
        <v/>
      </c>
      <c r="AH313" s="28" t="n"/>
      <c r="AI313" s="28" t="n"/>
      <c r="AJ313" s="28" t="n"/>
      <c r="AK313" s="28" t="n"/>
      <c r="AL313" s="28" t="n"/>
      <c r="AM313" s="28" t="n"/>
      <c r="AN313" s="28" t="n"/>
      <c r="AO313" s="28" t="n"/>
      <c r="AP313" s="28" t="n"/>
      <c r="AQ313" s="28" t="n"/>
      <c r="AR313" s="28" t="n"/>
      <c r="AS313" s="28" t="n"/>
      <c r="AT313" s="28" t="n"/>
      <c r="AU313" s="28" t="n"/>
      <c r="AV313" s="28" t="n"/>
      <c r="AW313" s="28" t="n"/>
      <c r="AX313" s="28" t="n"/>
      <c r="AY313" s="36" t="n"/>
      <c r="AZ313" s="36" t="n"/>
      <c r="BA313" s="36" t="n"/>
      <c r="BB313" s="36" t="n"/>
      <c r="BC313" s="36" t="n"/>
      <c r="BD313" s="37">
        <f>IF($A313="","",SUM($AY313:$BC313))</f>
        <v/>
      </c>
      <c r="BE313" s="18">
        <f>IF($A313="","",IF(AND($I313&lt;&gt;"",$J313&lt;&gt;""),MAX(1,($J313-$I313)/7),Templates!$B$35))</f>
        <v/>
      </c>
      <c r="BF313" s="18">
        <f>IF($A313="","",IF(AND($I313&lt;&gt;"",$J313&lt;&gt;""),MAX(1,($J313-$I313)/7),Templates!$B$36))</f>
        <v/>
      </c>
      <c r="BG313" s="18">
        <f>IF($A313="","",IF(AND($I313&lt;&gt;"",$J313&lt;&gt;""),MAX(1,($J313-$I313)/7),Templates!$B$37))</f>
        <v/>
      </c>
      <c r="BH313" s="18">
        <f>IF($A313="","",IF(AND($I313&lt;&gt;"",$J313&lt;&gt;""),MAX(1,($J313-$I313)/7),Templates!$B$38))</f>
        <v/>
      </c>
      <c r="BI313" s="18">
        <f>IF($A313="","",IF(AND($I313&lt;&gt;"",$J313&lt;&gt;""),MAX(1,($J313-$I313)/7),Templates!$B$39))</f>
        <v/>
      </c>
      <c r="BJ313" s="18">
        <f>IF(OR($A313="",$BD313=0),0,($AY313*Templates!$B$27/$BE313+$AZ313*Templates!$B$28/$BF313+$BA313*Templates!$B$29/$BG313+$BB313*Templates!$B$30/$BH313+$BC313*Templates!$B$31/$BI313)/Templates!$B$17)</f>
        <v/>
      </c>
      <c r="BK313" s="18">
        <f>IF(OR($A313="",$BD313=0),0,($AY313*Templates!$C$27/$BE313+$AZ313*Templates!$C$28/$BF313+$BA313*Templates!$C$29/$BG313+$BB313*Templates!$C$30/$BH313+$BC313*Templates!$C$31/$BI313)/Templates!$B$18)</f>
        <v/>
      </c>
      <c r="BL313" s="18">
        <f>IF(OR($A313="",$BD313=0),0,($AY313*Templates!$D$27/$BE313+$AZ313*Templates!$D$28/$BF313+$BA313*Templates!$D$29/$BG313+$BB313*Templates!$D$30/$BH313+$BC313*Templates!$D$31/$BI313)/Templates!$B$19)</f>
        <v/>
      </c>
      <c r="BM313" s="18">
        <f>IF(OR($A313="",$BD313=0),0,($AY313*Templates!$E$27/$BE313+$AZ313*Templates!$E$28/$BF313+$BA313*Templates!$E$29/$BG313+$BB313*Templates!$E$30/$BH313+$BC313*Templates!$E$31/$BI313)/Templates!$B$20)</f>
        <v/>
      </c>
      <c r="BN313" s="18">
        <f>IF(OR($A313="",$BD313=0),0,($AY313*Templates!$F$27/$BE313+$AZ313*Templates!$F$28/$BF313+$BA313*Templates!$F$29/$BG313+$BB313*Templates!$F$30/$BH313+$BC313*Templates!$F$31/$BI313)/Templates!$B$21)</f>
        <v/>
      </c>
      <c r="BO313" s="18">
        <f>IF(OR($A313="",$BD313=0),0,($AY313*Templates!$G$27/$BE313+$AZ313*Templates!$G$28/$BF313+$BA313*Templates!$G$29/$BG313+$BB313*Templates!$G$30/$BH313+$BC313*Templates!$G$31/$BI313)/Templates!$B$22)</f>
        <v/>
      </c>
      <c r="BP313" s="18">
        <f>IF(OR($A313="",$BD313=0),0,($AY313*Templates!$H$27/$BE313+$AZ313*Templates!$H$28/$BF313+$BA313*Templates!$H$29/$BG313+$BB313*Templates!$H$30/$BH313+$BC313*Templates!$H$31/$BI313)/Templates!$B$23)</f>
        <v/>
      </c>
    </row>
    <row r="314">
      <c r="A314" s="28" t="inlineStr">
        <is>
          <t>Steam_3</t>
        </is>
      </c>
      <c r="B314" s="20" t="inlineStr">
        <is>
          <t>John Hancock</t>
        </is>
      </c>
      <c r="C314" s="28" t="inlineStr">
        <is>
          <t>John Hancock</t>
        </is>
      </c>
      <c r="D314" s="28" t="inlineStr"/>
      <c r="E314" s="28" t="inlineStr">
        <is>
          <t>No</t>
        </is>
      </c>
      <c r="F314" s="28" t="inlineStr">
        <is>
          <t>Dead</t>
        </is>
      </c>
      <c r="G314" s="28" t="n"/>
      <c r="H314" s="29" t="n">
        <v>0</v>
      </c>
      <c r="I314" s="30" t="n"/>
      <c r="J314" s="30" t="n"/>
      <c r="K314" s="31" t="n"/>
      <c r="L314" s="31" t="n"/>
      <c r="M314" s="31" t="n"/>
      <c r="N314" s="31" t="n"/>
      <c r="O314" s="31" t="n"/>
      <c r="P314" s="31" t="n"/>
      <c r="Q314" s="23">
        <f>IF($A314="","",COUNTIFS(Assignments!$C$2:$C$769,$A314,Assignments!$G$2:$G$769,"Active"))</f>
        <v/>
      </c>
      <c r="R314" s="32">
        <f>IF($A314="","",SUMIFS(Assignments!$I$2:$I$769,Assignments!$C$2:$C$769,$A314,Assignments!$G$2:$G$769,"Active"))</f>
        <v/>
      </c>
      <c r="S314" s="20" t="inlineStr">
        <is>
          <t>Dead</t>
        </is>
      </c>
      <c r="T314" s="31" t="n"/>
      <c r="U314" s="28" t="n"/>
      <c r="V314" s="34">
        <f>IF($U314="","",IFERROR(INDEX(Templates!$K$3:$K$10,MATCH($U314,Templates!$A$3:$A$10,0)),""))</f>
        <v/>
      </c>
      <c r="W314" s="34">
        <f>IF($U314="","",IFERROR(INDEX(Templates!$L$3:$L$10,MATCH($U314,Templates!$A$3:$A$10,0)),""))</f>
        <v/>
      </c>
      <c r="X314" s="21">
        <f>IF($U314="","",IFERROR(INDEX(Templates!$J$3:$J$10,MATCH($U314,Templates!$A$3:$A$10,0)),""))</f>
        <v/>
      </c>
      <c r="Y314" s="35">
        <f>IF(OR($U314="",$I314="",$J314="",$X314=""),"",$I314+$X314*($J314-$I314))</f>
        <v/>
      </c>
      <c r="Z314" s="30" t="n">
        <v>46212</v>
      </c>
      <c r="AA314" s="29" t="n"/>
      <c r="AB314" s="30" t="n"/>
      <c r="AC314" s="30" t="n"/>
      <c r="AD314" s="19">
        <f>IF($A314="","",IF($AA314="",$H314,$AA314))</f>
        <v/>
      </c>
      <c r="AE314" s="35">
        <f>IF($A314="","",IF($AB314="",$I314,$AB314))</f>
        <v/>
      </c>
      <c r="AF314" s="35">
        <f>IF($A314="","",IF($AC314="",$J314,$AC314))</f>
        <v/>
      </c>
      <c r="AG314" s="35">
        <f>IF(OR($U314="",$AE314="",$AF314="",$X314=""),"",$AE314+$X314*($AF314-$AE314))</f>
        <v/>
      </c>
      <c r="AH314" s="28" t="n"/>
      <c r="AI314" s="28" t="n"/>
      <c r="AJ314" s="28" t="n"/>
      <c r="AK314" s="28" t="n"/>
      <c r="AL314" s="28" t="n"/>
      <c r="AM314" s="28" t="n"/>
      <c r="AN314" s="28" t="n"/>
      <c r="AO314" s="28" t="n"/>
      <c r="AP314" s="28" t="n"/>
      <c r="AQ314" s="28" t="n"/>
      <c r="AR314" s="28" t="n"/>
      <c r="AS314" s="28" t="n"/>
      <c r="AT314" s="28" t="n"/>
      <c r="AU314" s="28" t="n"/>
      <c r="AV314" s="28" t="n"/>
      <c r="AW314" s="28" t="n"/>
      <c r="AX314" s="28" t="n"/>
      <c r="AY314" s="36" t="n"/>
      <c r="AZ314" s="36" t="n"/>
      <c r="BA314" s="36" t="n"/>
      <c r="BB314" s="36" t="n"/>
      <c r="BC314" s="36" t="n"/>
      <c r="BD314" s="37">
        <f>IF($A314="","",SUM($AY314:$BC314))</f>
        <v/>
      </c>
      <c r="BE314" s="18">
        <f>IF($A314="","",IF(AND($I314&lt;&gt;"",$J314&lt;&gt;""),MAX(1,($J314-$I314)/7),Templates!$B$35))</f>
        <v/>
      </c>
      <c r="BF314" s="18">
        <f>IF($A314="","",IF(AND($I314&lt;&gt;"",$J314&lt;&gt;""),MAX(1,($J314-$I314)/7),Templates!$B$36))</f>
        <v/>
      </c>
      <c r="BG314" s="18">
        <f>IF($A314="","",IF(AND($I314&lt;&gt;"",$J314&lt;&gt;""),MAX(1,($J314-$I314)/7),Templates!$B$37))</f>
        <v/>
      </c>
      <c r="BH314" s="18">
        <f>IF($A314="","",IF(AND($I314&lt;&gt;"",$J314&lt;&gt;""),MAX(1,($J314-$I314)/7),Templates!$B$38))</f>
        <v/>
      </c>
      <c r="BI314" s="18">
        <f>IF($A314="","",IF(AND($I314&lt;&gt;"",$J314&lt;&gt;""),MAX(1,($J314-$I314)/7),Templates!$B$39))</f>
        <v/>
      </c>
      <c r="BJ314" s="18">
        <f>IF(OR($A314="",$BD314=0),0,($AY314*Templates!$B$27/$BE314+$AZ314*Templates!$B$28/$BF314+$BA314*Templates!$B$29/$BG314+$BB314*Templates!$B$30/$BH314+$BC314*Templates!$B$31/$BI314)/Templates!$B$17)</f>
        <v/>
      </c>
      <c r="BK314" s="18">
        <f>IF(OR($A314="",$BD314=0),0,($AY314*Templates!$C$27/$BE314+$AZ314*Templates!$C$28/$BF314+$BA314*Templates!$C$29/$BG314+$BB314*Templates!$C$30/$BH314+$BC314*Templates!$C$31/$BI314)/Templates!$B$18)</f>
        <v/>
      </c>
      <c r="BL314" s="18">
        <f>IF(OR($A314="",$BD314=0),0,($AY314*Templates!$D$27/$BE314+$AZ314*Templates!$D$28/$BF314+$BA314*Templates!$D$29/$BG314+$BB314*Templates!$D$30/$BH314+$BC314*Templates!$D$31/$BI314)/Templates!$B$19)</f>
        <v/>
      </c>
      <c r="BM314" s="18">
        <f>IF(OR($A314="",$BD314=0),0,($AY314*Templates!$E$27/$BE314+$AZ314*Templates!$E$28/$BF314+$BA314*Templates!$E$29/$BG314+$BB314*Templates!$E$30/$BH314+$BC314*Templates!$E$31/$BI314)/Templates!$B$20)</f>
        <v/>
      </c>
      <c r="BN314" s="18">
        <f>IF(OR($A314="",$BD314=0),0,($AY314*Templates!$F$27/$BE314+$AZ314*Templates!$F$28/$BF314+$BA314*Templates!$F$29/$BG314+$BB314*Templates!$F$30/$BH314+$BC314*Templates!$F$31/$BI314)/Templates!$B$21)</f>
        <v/>
      </c>
      <c r="BO314" s="18">
        <f>IF(OR($A314="",$BD314=0),0,($AY314*Templates!$G$27/$BE314+$AZ314*Templates!$G$28/$BF314+$BA314*Templates!$G$29/$BG314+$BB314*Templates!$G$30/$BH314+$BC314*Templates!$G$31/$BI314)/Templates!$B$22)</f>
        <v/>
      </c>
      <c r="BP314" s="18">
        <f>IF(OR($A314="",$BD314=0),0,($AY314*Templates!$H$27/$BE314+$AZ314*Templates!$H$28/$BF314+$BA314*Templates!$H$29/$BG314+$BB314*Templates!$H$30/$BH314+$BC314*Templates!$H$31/$BI314)/Templates!$B$23)</f>
        <v/>
      </c>
    </row>
    <row r="315">
      <c r="A315" s="28" t="inlineStr">
        <is>
          <t>ProEnergy_3</t>
        </is>
      </c>
      <c r="B315" s="20" t="inlineStr">
        <is>
          <t>ECP : ProEnergy</t>
        </is>
      </c>
      <c r="C315" s="28" t="inlineStr">
        <is>
          <t>ECP</t>
        </is>
      </c>
      <c r="D315" s="28" t="inlineStr">
        <is>
          <t>ProEnergy</t>
        </is>
      </c>
      <c r="E315" s="28" t="inlineStr">
        <is>
          <t>No</t>
        </is>
      </c>
      <c r="F315" s="28" t="inlineStr">
        <is>
          <t>Internal</t>
        </is>
      </c>
      <c r="G315" s="28" t="n"/>
      <c r="H315" s="29" t="n">
        <v>0</v>
      </c>
      <c r="I315" s="30" t="n"/>
      <c r="J315" s="30" t="n"/>
      <c r="K315" s="31" t="n"/>
      <c r="L315" s="31" t="n"/>
      <c r="M315" s="31" t="n"/>
      <c r="N315" s="31" t="n"/>
      <c r="O315" s="31" t="n"/>
      <c r="P315" s="31" t="n"/>
      <c r="Q315" s="23">
        <f>IF($A315="","",COUNTIFS(Assignments!$C$2:$C$769,$A315,Assignments!$G$2:$G$769,"Active"))</f>
        <v/>
      </c>
      <c r="R315" s="32">
        <f>IF($A315="","",SUMIFS(Assignments!$I$2:$I$769,Assignments!$C$2:$C$769,$A315,Assignments!$G$2:$G$769,"Active"))</f>
        <v/>
      </c>
      <c r="S315" s="20" t="inlineStr">
        <is>
          <t>General Code</t>
        </is>
      </c>
      <c r="T315" s="31" t="n"/>
      <c r="U315" s="28" t="n"/>
      <c r="V315" s="34">
        <f>IF($U315="","",IFERROR(INDEX(Templates!$K$3:$K$10,MATCH($U315,Templates!$A$3:$A$10,0)),""))</f>
        <v/>
      </c>
      <c r="W315" s="34">
        <f>IF($U315="","",IFERROR(INDEX(Templates!$L$3:$L$10,MATCH($U315,Templates!$A$3:$A$10,0)),""))</f>
        <v/>
      </c>
      <c r="X315" s="21">
        <f>IF($U315="","",IFERROR(INDEX(Templates!$J$3:$J$10,MATCH($U315,Templates!$A$3:$A$10,0)),""))</f>
        <v/>
      </c>
      <c r="Y315" s="35">
        <f>IF(OR($U315="",$I315="",$J315="",$X315=""),"",$I315+$X315*($J315-$I315))</f>
        <v/>
      </c>
      <c r="Z315" s="30" t="n">
        <v>46212</v>
      </c>
      <c r="AA315" s="29" t="n"/>
      <c r="AB315" s="30" t="n"/>
      <c r="AC315" s="30" t="n"/>
      <c r="AD315" s="19">
        <f>IF($A315="","",IF($AA315="",$H315,$AA315))</f>
        <v/>
      </c>
      <c r="AE315" s="35">
        <f>IF($A315="","",IF($AB315="",$I315,$AB315))</f>
        <v/>
      </c>
      <c r="AF315" s="35">
        <f>IF($A315="","",IF($AC315="",$J315,$AC315))</f>
        <v/>
      </c>
      <c r="AG315" s="35">
        <f>IF(OR($U315="",$AE315="",$AF315="",$X315=""),"",$AE315+$X315*($AF315-$AE315))</f>
        <v/>
      </c>
      <c r="AH315" s="28" t="n"/>
      <c r="AI315" s="28" t="n"/>
      <c r="AJ315" s="28" t="n"/>
      <c r="AK315" s="28" t="n"/>
      <c r="AL315" s="28" t="n"/>
      <c r="AM315" s="28" t="n"/>
      <c r="AN315" s="28" t="n"/>
      <c r="AO315" s="28" t="n"/>
      <c r="AP315" s="28" t="n"/>
      <c r="AQ315" s="28" t="n"/>
      <c r="AR315" s="28" t="n"/>
      <c r="AS315" s="28" t="n"/>
      <c r="AT315" s="28" t="n"/>
      <c r="AU315" s="28" t="n"/>
      <c r="AV315" s="28" t="n"/>
      <c r="AW315" s="28" t="n"/>
      <c r="AX315" s="28" t="n"/>
      <c r="AY315" s="36" t="n"/>
      <c r="AZ315" s="36" t="n"/>
      <c r="BA315" s="36" t="n"/>
      <c r="BB315" s="36" t="n"/>
      <c r="BC315" s="36" t="n"/>
      <c r="BD315" s="37">
        <f>IF($A315="","",SUM($AY315:$BC315))</f>
        <v/>
      </c>
      <c r="BE315" s="18">
        <f>IF($A315="","",IF(AND($I315&lt;&gt;"",$J315&lt;&gt;""),MAX(1,($J315-$I315)/7),Templates!$B$35))</f>
        <v/>
      </c>
      <c r="BF315" s="18">
        <f>IF($A315="","",IF(AND($I315&lt;&gt;"",$J315&lt;&gt;""),MAX(1,($J315-$I315)/7),Templates!$B$36))</f>
        <v/>
      </c>
      <c r="BG315" s="18">
        <f>IF($A315="","",IF(AND($I315&lt;&gt;"",$J315&lt;&gt;""),MAX(1,($J315-$I315)/7),Templates!$B$37))</f>
        <v/>
      </c>
      <c r="BH315" s="18">
        <f>IF($A315="","",IF(AND($I315&lt;&gt;"",$J315&lt;&gt;""),MAX(1,($J315-$I315)/7),Templates!$B$38))</f>
        <v/>
      </c>
      <c r="BI315" s="18">
        <f>IF($A315="","",IF(AND($I315&lt;&gt;"",$J315&lt;&gt;""),MAX(1,($J315-$I315)/7),Templates!$B$39))</f>
        <v/>
      </c>
      <c r="BJ315" s="18">
        <f>IF(OR($A315="",$BD315=0),0,($AY315*Templates!$B$27/$BE315+$AZ315*Templates!$B$28/$BF315+$BA315*Templates!$B$29/$BG315+$BB315*Templates!$B$30/$BH315+$BC315*Templates!$B$31/$BI315)/Templates!$B$17)</f>
        <v/>
      </c>
      <c r="BK315" s="18">
        <f>IF(OR($A315="",$BD315=0),0,($AY315*Templates!$C$27/$BE315+$AZ315*Templates!$C$28/$BF315+$BA315*Templates!$C$29/$BG315+$BB315*Templates!$C$30/$BH315+$BC315*Templates!$C$31/$BI315)/Templates!$B$18)</f>
        <v/>
      </c>
      <c r="BL315" s="18">
        <f>IF(OR($A315="",$BD315=0),0,($AY315*Templates!$D$27/$BE315+$AZ315*Templates!$D$28/$BF315+$BA315*Templates!$D$29/$BG315+$BB315*Templates!$D$30/$BH315+$BC315*Templates!$D$31/$BI315)/Templates!$B$19)</f>
        <v/>
      </c>
      <c r="BM315" s="18">
        <f>IF(OR($A315="",$BD315=0),0,($AY315*Templates!$E$27/$BE315+$AZ315*Templates!$E$28/$BF315+$BA315*Templates!$E$29/$BG315+$BB315*Templates!$E$30/$BH315+$BC315*Templates!$E$31/$BI315)/Templates!$B$20)</f>
        <v/>
      </c>
      <c r="BN315" s="18">
        <f>IF(OR($A315="",$BD315=0),0,($AY315*Templates!$F$27/$BE315+$AZ315*Templates!$F$28/$BF315+$BA315*Templates!$F$29/$BG315+$BB315*Templates!$F$30/$BH315+$BC315*Templates!$F$31/$BI315)/Templates!$B$21)</f>
        <v/>
      </c>
      <c r="BO315" s="18">
        <f>IF(OR($A315="",$BD315=0),0,($AY315*Templates!$G$27/$BE315+$AZ315*Templates!$G$28/$BF315+$BA315*Templates!$G$29/$BG315+$BB315*Templates!$G$30/$BH315+$BC315*Templates!$G$31/$BI315)/Templates!$B$22)</f>
        <v/>
      </c>
      <c r="BP315" s="18">
        <f>IF(OR($A315="",$BD315=0),0,($AY315*Templates!$H$27/$BE315+$AZ315*Templates!$H$28/$BF315+$BA315*Templates!$H$29/$BG315+$BB315*Templates!$H$30/$BH315+$BC315*Templates!$H$31/$BI315)/Templates!$B$23)</f>
        <v/>
      </c>
    </row>
    <row r="316">
      <c r="A316" s="31" t="n"/>
      <c r="B316" s="44" t="n"/>
      <c r="C316" s="31" t="n"/>
      <c r="D316" s="31" t="n"/>
      <c r="E316" s="31" t="n"/>
      <c r="F316" s="31" t="n"/>
      <c r="G316" s="31" t="n"/>
      <c r="H316" s="31" t="n"/>
      <c r="I316" s="31" t="n"/>
      <c r="J316" s="31" t="n"/>
      <c r="K316" s="31" t="n"/>
      <c r="L316" s="31" t="n"/>
      <c r="M316" s="31" t="n"/>
      <c r="N316" s="31" t="n"/>
      <c r="O316" s="31" t="n"/>
      <c r="P316" s="31" t="n"/>
      <c r="Q316" s="23">
        <f>IF($A316="","",COUNTIFS(Assignments!$C$2:$C$769,$A316,Assignments!$G$2:$G$769,"Active"))</f>
        <v/>
      </c>
      <c r="R316" s="32">
        <f>IF($A316="","",SUMIFS(Assignments!$I$2:$I$769,Assignments!$C$2:$C$769,$A316,Assignments!$G$2:$G$769,"Active"))</f>
        <v/>
      </c>
      <c r="S316" s="44" t="n"/>
      <c r="T316" s="31" t="n"/>
      <c r="U316" s="31" t="n"/>
      <c r="V316" s="34">
        <f>IF($U316="","",IFERROR(INDEX(Templates!$K$3:$K$10,MATCH($U316,Templates!$A$3:$A$10,0)),""))</f>
        <v/>
      </c>
      <c r="W316" s="34">
        <f>IF($U316="","",IFERROR(INDEX(Templates!$L$3:$L$10,MATCH($U316,Templates!$A$3:$A$10,0)),""))</f>
        <v/>
      </c>
      <c r="X316" s="21">
        <f>IF($U316="","",IFERROR(INDEX(Templates!$J$3:$J$10,MATCH($U316,Templates!$A$3:$A$10,0)),""))</f>
        <v/>
      </c>
      <c r="Y316" s="35">
        <f>IF(OR($U316="",$I316="",$J316="",$X316=""),"",$I316+$X316*($J316-$I316))</f>
        <v/>
      </c>
      <c r="Z316" s="31" t="n"/>
      <c r="AA316" s="31" t="n"/>
      <c r="AB316" s="31" t="n"/>
      <c r="AC316" s="31" t="n"/>
      <c r="AD316" s="19">
        <f>IF($A316="","",IF($AA316="",$H316,$AA316))</f>
        <v/>
      </c>
      <c r="AE316" s="35">
        <f>IF($A316="","",IF($AB316="",$I316,$AB316))</f>
        <v/>
      </c>
      <c r="AF316" s="35">
        <f>IF($A316="","",IF($AC316="",$J316,$AC316))</f>
        <v/>
      </c>
      <c r="AG316" s="35">
        <f>IF(OR($U316="",$AE316="",$AF316="",$X316=""),"",$AE316+$X316*($AF316-$AE316))</f>
        <v/>
      </c>
      <c r="AH316" s="31" t="n"/>
      <c r="AI316" s="31" t="n"/>
      <c r="AJ316" s="31" t="n"/>
      <c r="AK316" s="31" t="n"/>
      <c r="AL316" s="31" t="n"/>
      <c r="AM316" s="31" t="n"/>
      <c r="AN316" s="31" t="n"/>
      <c r="AO316" s="31" t="n"/>
      <c r="AP316" s="31" t="n"/>
      <c r="AQ316" s="31" t="n"/>
      <c r="AR316" s="31" t="n"/>
      <c r="AS316" s="31" t="n"/>
      <c r="AT316" s="31" t="n"/>
      <c r="AU316" s="31" t="n"/>
      <c r="AV316" s="31" t="n"/>
      <c r="AW316" s="31" t="n"/>
      <c r="AX316" s="31" t="n"/>
      <c r="AY316" s="31" t="n"/>
      <c r="AZ316" s="31" t="n"/>
      <c r="BA316" s="31" t="n"/>
      <c r="BB316" s="31" t="n"/>
      <c r="BC316" s="31" t="n"/>
      <c r="BD316" s="37">
        <f>IF($A316="","",SUM($AY316:$BC316))</f>
        <v/>
      </c>
      <c r="BE316" s="18">
        <f>IF($A316="","",IF(AND($I316&lt;&gt;"",$J316&lt;&gt;""),MAX(1,($J316-$I316)/7),Templates!$B$35))</f>
        <v/>
      </c>
      <c r="BF316" s="18">
        <f>IF($A316="","",IF(AND($I316&lt;&gt;"",$J316&lt;&gt;""),MAX(1,($J316-$I316)/7),Templates!$B$36))</f>
        <v/>
      </c>
      <c r="BG316" s="18">
        <f>IF($A316="","",IF(AND($I316&lt;&gt;"",$J316&lt;&gt;""),MAX(1,($J316-$I316)/7),Templates!$B$37))</f>
        <v/>
      </c>
      <c r="BH316" s="18">
        <f>IF($A316="","",IF(AND($I316&lt;&gt;"",$J316&lt;&gt;""),MAX(1,($J316-$I316)/7),Templates!$B$38))</f>
        <v/>
      </c>
      <c r="BI316" s="18">
        <f>IF($A316="","",IF(AND($I316&lt;&gt;"",$J316&lt;&gt;""),MAX(1,($J316-$I316)/7),Templates!$B$39))</f>
        <v/>
      </c>
      <c r="BJ316" s="18">
        <f>IF(OR($A316="",$BD316=0),0,($AY316*Templates!$B$27/$BE316+$AZ316*Templates!$B$28/$BF316+$BA316*Templates!$B$29/$BG316+$BB316*Templates!$B$30/$BH316+$BC316*Templates!$B$31/$BI316)/Templates!$B$17)</f>
        <v/>
      </c>
      <c r="BK316" s="18">
        <f>IF(OR($A316="",$BD316=0),0,($AY316*Templates!$C$27/$BE316+$AZ316*Templates!$C$28/$BF316+$BA316*Templates!$C$29/$BG316+$BB316*Templates!$C$30/$BH316+$BC316*Templates!$C$31/$BI316)/Templates!$B$18)</f>
        <v/>
      </c>
      <c r="BL316" s="18">
        <f>IF(OR($A316="",$BD316=0),0,($AY316*Templates!$D$27/$BE316+$AZ316*Templates!$D$28/$BF316+$BA316*Templates!$D$29/$BG316+$BB316*Templates!$D$30/$BH316+$BC316*Templates!$D$31/$BI316)/Templates!$B$19)</f>
        <v/>
      </c>
      <c r="BM316" s="18">
        <f>IF(OR($A316="",$BD316=0),0,($AY316*Templates!$E$27/$BE316+$AZ316*Templates!$E$28/$BF316+$BA316*Templates!$E$29/$BG316+$BB316*Templates!$E$30/$BH316+$BC316*Templates!$E$31/$BI316)/Templates!$B$20)</f>
        <v/>
      </c>
      <c r="BN316" s="18">
        <f>IF(OR($A316="",$BD316=0),0,($AY316*Templates!$F$27/$BE316+$AZ316*Templates!$F$28/$BF316+$BA316*Templates!$F$29/$BG316+$BB316*Templates!$F$30/$BH316+$BC316*Templates!$F$31/$BI316)/Templates!$B$21)</f>
        <v/>
      </c>
      <c r="BO316" s="18">
        <f>IF(OR($A316="",$BD316=0),0,($AY316*Templates!$G$27/$BE316+$AZ316*Templates!$G$28/$BF316+$BA316*Templates!$G$29/$BG316+$BB316*Templates!$G$30/$BH316+$BC316*Templates!$G$31/$BI316)/Templates!$B$22)</f>
        <v/>
      </c>
      <c r="BP316" s="18">
        <f>IF(OR($A316="",$BD316=0),0,($AY316*Templates!$H$27/$BE316+$AZ316*Templates!$H$28/$BF316+$BA316*Templates!$H$29/$BG316+$BB316*Templates!$H$30/$BH316+$BC316*Templates!$H$31/$BI316)/Templates!$B$23)</f>
        <v/>
      </c>
    </row>
    <row r="317">
      <c r="A317" s="31" t="n"/>
      <c r="B317" s="44" t="n"/>
      <c r="C317" s="31" t="n"/>
      <c r="D317" s="31" t="n"/>
      <c r="E317" s="31" t="n"/>
      <c r="F317" s="31" t="n"/>
      <c r="G317" s="31" t="n"/>
      <c r="H317" s="31" t="n"/>
      <c r="I317" s="31" t="n"/>
      <c r="J317" s="31" t="n"/>
      <c r="K317" s="31" t="n"/>
      <c r="L317" s="31" t="n"/>
      <c r="M317" s="31" t="n"/>
      <c r="N317" s="31" t="n"/>
      <c r="O317" s="31" t="n"/>
      <c r="P317" s="31" t="n"/>
      <c r="Q317" s="23">
        <f>IF($A317="","",COUNTIFS(Assignments!$C$2:$C$769,$A317,Assignments!$G$2:$G$769,"Active"))</f>
        <v/>
      </c>
      <c r="R317" s="32">
        <f>IF($A317="","",SUMIFS(Assignments!$I$2:$I$769,Assignments!$C$2:$C$769,$A317,Assignments!$G$2:$G$769,"Active"))</f>
        <v/>
      </c>
      <c r="S317" s="44" t="n"/>
      <c r="T317" s="31" t="n"/>
      <c r="U317" s="31" t="n"/>
      <c r="V317" s="34">
        <f>IF($U317="","",IFERROR(INDEX(Templates!$K$3:$K$10,MATCH($U317,Templates!$A$3:$A$10,0)),""))</f>
        <v/>
      </c>
      <c r="W317" s="34">
        <f>IF($U317="","",IFERROR(INDEX(Templates!$L$3:$L$10,MATCH($U317,Templates!$A$3:$A$10,0)),""))</f>
        <v/>
      </c>
      <c r="X317" s="21">
        <f>IF($U317="","",IFERROR(INDEX(Templates!$J$3:$J$10,MATCH($U317,Templates!$A$3:$A$10,0)),""))</f>
        <v/>
      </c>
      <c r="Y317" s="35">
        <f>IF(OR($U317="",$I317="",$J317="",$X317=""),"",$I317+$X317*($J317-$I317))</f>
        <v/>
      </c>
      <c r="Z317" s="31" t="n"/>
      <c r="AA317" s="31" t="n"/>
      <c r="AB317" s="31" t="n"/>
      <c r="AC317" s="31" t="n"/>
      <c r="AD317" s="19">
        <f>IF($A317="","",IF($AA317="",$H317,$AA317))</f>
        <v/>
      </c>
      <c r="AE317" s="35">
        <f>IF($A317="","",IF($AB317="",$I317,$AB317))</f>
        <v/>
      </c>
      <c r="AF317" s="35">
        <f>IF($A317="","",IF($AC317="",$J317,$AC317))</f>
        <v/>
      </c>
      <c r="AG317" s="35">
        <f>IF(OR($U317="",$AE317="",$AF317="",$X317=""),"",$AE317+$X317*($AF317-$AE317))</f>
        <v/>
      </c>
      <c r="AH317" s="31" t="n"/>
      <c r="AI317" s="31" t="n"/>
      <c r="AJ317" s="31" t="n"/>
      <c r="AK317" s="31" t="n"/>
      <c r="AL317" s="31" t="n"/>
      <c r="AM317" s="31" t="n"/>
      <c r="AN317" s="31" t="n"/>
      <c r="AO317" s="31" t="n"/>
      <c r="AP317" s="31" t="n"/>
      <c r="AQ317" s="31" t="n"/>
      <c r="AR317" s="31" t="n"/>
      <c r="AS317" s="31" t="n"/>
      <c r="AT317" s="31" t="n"/>
      <c r="AU317" s="31" t="n"/>
      <c r="AV317" s="31" t="n"/>
      <c r="AW317" s="31" t="n"/>
      <c r="AX317" s="31" t="n"/>
      <c r="AY317" s="31" t="n"/>
      <c r="AZ317" s="31" t="n"/>
      <c r="BA317" s="31" t="n"/>
      <c r="BB317" s="31" t="n"/>
      <c r="BC317" s="31" t="n"/>
      <c r="BD317" s="37">
        <f>IF($A317="","",SUM($AY317:$BC317))</f>
        <v/>
      </c>
      <c r="BE317" s="18">
        <f>IF($A317="","",IF(AND($I317&lt;&gt;"",$J317&lt;&gt;""),MAX(1,($J317-$I317)/7),Templates!$B$35))</f>
        <v/>
      </c>
      <c r="BF317" s="18">
        <f>IF($A317="","",IF(AND($I317&lt;&gt;"",$J317&lt;&gt;""),MAX(1,($J317-$I317)/7),Templates!$B$36))</f>
        <v/>
      </c>
      <c r="BG317" s="18">
        <f>IF($A317="","",IF(AND($I317&lt;&gt;"",$J317&lt;&gt;""),MAX(1,($J317-$I317)/7),Templates!$B$37))</f>
        <v/>
      </c>
      <c r="BH317" s="18">
        <f>IF($A317="","",IF(AND($I317&lt;&gt;"",$J317&lt;&gt;""),MAX(1,($J317-$I317)/7),Templates!$B$38))</f>
        <v/>
      </c>
      <c r="BI317" s="18">
        <f>IF($A317="","",IF(AND($I317&lt;&gt;"",$J317&lt;&gt;""),MAX(1,($J317-$I317)/7),Templates!$B$39))</f>
        <v/>
      </c>
      <c r="BJ317" s="18">
        <f>IF(OR($A317="",$BD317=0),0,($AY317*Templates!$B$27/$BE317+$AZ317*Templates!$B$28/$BF317+$BA317*Templates!$B$29/$BG317+$BB317*Templates!$B$30/$BH317+$BC317*Templates!$B$31/$BI317)/Templates!$B$17)</f>
        <v/>
      </c>
      <c r="BK317" s="18">
        <f>IF(OR($A317="",$BD317=0),0,($AY317*Templates!$C$27/$BE317+$AZ317*Templates!$C$28/$BF317+$BA317*Templates!$C$29/$BG317+$BB317*Templates!$C$30/$BH317+$BC317*Templates!$C$31/$BI317)/Templates!$B$18)</f>
        <v/>
      </c>
      <c r="BL317" s="18">
        <f>IF(OR($A317="",$BD317=0),0,($AY317*Templates!$D$27/$BE317+$AZ317*Templates!$D$28/$BF317+$BA317*Templates!$D$29/$BG317+$BB317*Templates!$D$30/$BH317+$BC317*Templates!$D$31/$BI317)/Templates!$B$19)</f>
        <v/>
      </c>
      <c r="BM317" s="18">
        <f>IF(OR($A317="",$BD317=0),0,($AY317*Templates!$E$27/$BE317+$AZ317*Templates!$E$28/$BF317+$BA317*Templates!$E$29/$BG317+$BB317*Templates!$E$30/$BH317+$BC317*Templates!$E$31/$BI317)/Templates!$B$20)</f>
        <v/>
      </c>
      <c r="BN317" s="18">
        <f>IF(OR($A317="",$BD317=0),0,($AY317*Templates!$F$27/$BE317+$AZ317*Templates!$F$28/$BF317+$BA317*Templates!$F$29/$BG317+$BB317*Templates!$F$30/$BH317+$BC317*Templates!$F$31/$BI317)/Templates!$B$21)</f>
        <v/>
      </c>
      <c r="BO317" s="18">
        <f>IF(OR($A317="",$BD317=0),0,($AY317*Templates!$G$27/$BE317+$AZ317*Templates!$G$28/$BF317+$BA317*Templates!$G$29/$BG317+$BB317*Templates!$G$30/$BH317+$BC317*Templates!$G$31/$BI317)/Templates!$B$22)</f>
        <v/>
      </c>
      <c r="BP317" s="18">
        <f>IF(OR($A317="",$BD317=0),0,($AY317*Templates!$H$27/$BE317+$AZ317*Templates!$H$28/$BF317+$BA317*Templates!$H$29/$BG317+$BB317*Templates!$H$30/$BH317+$BC317*Templates!$H$31/$BI317)/Templates!$B$23)</f>
        <v/>
      </c>
    </row>
    <row r="318">
      <c r="A318" s="31" t="n"/>
      <c r="B318" s="44" t="n"/>
      <c r="C318" s="31" t="n"/>
      <c r="D318" s="31" t="n"/>
      <c r="E318" s="31" t="n"/>
      <c r="F318" s="31" t="n"/>
      <c r="G318" s="31" t="n"/>
      <c r="H318" s="31" t="n"/>
      <c r="I318" s="31" t="n"/>
      <c r="J318" s="31" t="n"/>
      <c r="K318" s="31" t="n"/>
      <c r="L318" s="31" t="n"/>
      <c r="M318" s="31" t="n"/>
      <c r="N318" s="31" t="n"/>
      <c r="O318" s="31" t="n"/>
      <c r="P318" s="31" t="n"/>
      <c r="Q318" s="23">
        <f>IF($A318="","",COUNTIFS(Assignments!$C$2:$C$769,$A318,Assignments!$G$2:$G$769,"Active"))</f>
        <v/>
      </c>
      <c r="R318" s="32">
        <f>IF($A318="","",SUMIFS(Assignments!$I$2:$I$769,Assignments!$C$2:$C$769,$A318,Assignments!$G$2:$G$769,"Active"))</f>
        <v/>
      </c>
      <c r="S318" s="44" t="n"/>
      <c r="T318" s="31" t="n"/>
      <c r="U318" s="31" t="n"/>
      <c r="V318" s="34">
        <f>IF($U318="","",IFERROR(INDEX(Templates!$K$3:$K$10,MATCH($U318,Templates!$A$3:$A$10,0)),""))</f>
        <v/>
      </c>
      <c r="W318" s="34">
        <f>IF($U318="","",IFERROR(INDEX(Templates!$L$3:$L$10,MATCH($U318,Templates!$A$3:$A$10,0)),""))</f>
        <v/>
      </c>
      <c r="X318" s="21">
        <f>IF($U318="","",IFERROR(INDEX(Templates!$J$3:$J$10,MATCH($U318,Templates!$A$3:$A$10,0)),""))</f>
        <v/>
      </c>
      <c r="Y318" s="35">
        <f>IF(OR($U318="",$I318="",$J318="",$X318=""),"",$I318+$X318*($J318-$I318))</f>
        <v/>
      </c>
      <c r="Z318" s="31" t="n"/>
      <c r="AA318" s="31" t="n"/>
      <c r="AB318" s="31" t="n"/>
      <c r="AC318" s="31" t="n"/>
      <c r="AD318" s="19">
        <f>IF($A318="","",IF($AA318="",$H318,$AA318))</f>
        <v/>
      </c>
      <c r="AE318" s="35">
        <f>IF($A318="","",IF($AB318="",$I318,$AB318))</f>
        <v/>
      </c>
      <c r="AF318" s="35">
        <f>IF($A318="","",IF($AC318="",$J318,$AC318))</f>
        <v/>
      </c>
      <c r="AG318" s="35">
        <f>IF(OR($U318="",$AE318="",$AF318="",$X318=""),"",$AE318+$X318*($AF318-$AE318))</f>
        <v/>
      </c>
      <c r="AH318" s="31" t="n"/>
      <c r="AI318" s="31" t="n"/>
      <c r="AJ318" s="31" t="n"/>
      <c r="AK318" s="31" t="n"/>
      <c r="AL318" s="31" t="n"/>
      <c r="AM318" s="31" t="n"/>
      <c r="AN318" s="31" t="n"/>
      <c r="AO318" s="31" t="n"/>
      <c r="AP318" s="31" t="n"/>
      <c r="AQ318" s="31" t="n"/>
      <c r="AR318" s="31" t="n"/>
      <c r="AS318" s="31" t="n"/>
      <c r="AT318" s="31" t="n"/>
      <c r="AU318" s="31" t="n"/>
      <c r="AV318" s="31" t="n"/>
      <c r="AW318" s="31" t="n"/>
      <c r="AX318" s="31" t="n"/>
      <c r="AY318" s="31" t="n"/>
      <c r="AZ318" s="31" t="n"/>
      <c r="BA318" s="31" t="n"/>
      <c r="BB318" s="31" t="n"/>
      <c r="BC318" s="31" t="n"/>
      <c r="BD318" s="37">
        <f>IF($A318="","",SUM($AY318:$BC318))</f>
        <v/>
      </c>
      <c r="BE318" s="18">
        <f>IF($A318="","",IF(AND($I318&lt;&gt;"",$J318&lt;&gt;""),MAX(1,($J318-$I318)/7),Templates!$B$35))</f>
        <v/>
      </c>
      <c r="BF318" s="18">
        <f>IF($A318="","",IF(AND($I318&lt;&gt;"",$J318&lt;&gt;""),MAX(1,($J318-$I318)/7),Templates!$B$36))</f>
        <v/>
      </c>
      <c r="BG318" s="18">
        <f>IF($A318="","",IF(AND($I318&lt;&gt;"",$J318&lt;&gt;""),MAX(1,($J318-$I318)/7),Templates!$B$37))</f>
        <v/>
      </c>
      <c r="BH318" s="18">
        <f>IF($A318="","",IF(AND($I318&lt;&gt;"",$J318&lt;&gt;""),MAX(1,($J318-$I318)/7),Templates!$B$38))</f>
        <v/>
      </c>
      <c r="BI318" s="18">
        <f>IF($A318="","",IF(AND($I318&lt;&gt;"",$J318&lt;&gt;""),MAX(1,($J318-$I318)/7),Templates!$B$39))</f>
        <v/>
      </c>
      <c r="BJ318" s="18">
        <f>IF(OR($A318="",$BD318=0),0,($AY318*Templates!$B$27/$BE318+$AZ318*Templates!$B$28/$BF318+$BA318*Templates!$B$29/$BG318+$BB318*Templates!$B$30/$BH318+$BC318*Templates!$B$31/$BI318)/Templates!$B$17)</f>
        <v/>
      </c>
      <c r="BK318" s="18">
        <f>IF(OR($A318="",$BD318=0),0,($AY318*Templates!$C$27/$BE318+$AZ318*Templates!$C$28/$BF318+$BA318*Templates!$C$29/$BG318+$BB318*Templates!$C$30/$BH318+$BC318*Templates!$C$31/$BI318)/Templates!$B$18)</f>
        <v/>
      </c>
      <c r="BL318" s="18">
        <f>IF(OR($A318="",$BD318=0),0,($AY318*Templates!$D$27/$BE318+$AZ318*Templates!$D$28/$BF318+$BA318*Templates!$D$29/$BG318+$BB318*Templates!$D$30/$BH318+$BC318*Templates!$D$31/$BI318)/Templates!$B$19)</f>
        <v/>
      </c>
      <c r="BM318" s="18">
        <f>IF(OR($A318="",$BD318=0),0,($AY318*Templates!$E$27/$BE318+$AZ318*Templates!$E$28/$BF318+$BA318*Templates!$E$29/$BG318+$BB318*Templates!$E$30/$BH318+$BC318*Templates!$E$31/$BI318)/Templates!$B$20)</f>
        <v/>
      </c>
      <c r="BN318" s="18">
        <f>IF(OR($A318="",$BD318=0),0,($AY318*Templates!$F$27/$BE318+$AZ318*Templates!$F$28/$BF318+$BA318*Templates!$F$29/$BG318+$BB318*Templates!$F$30/$BH318+$BC318*Templates!$F$31/$BI318)/Templates!$B$21)</f>
        <v/>
      </c>
      <c r="BO318" s="18">
        <f>IF(OR($A318="",$BD318=0),0,($AY318*Templates!$G$27/$BE318+$AZ318*Templates!$G$28/$BF318+$BA318*Templates!$G$29/$BG318+$BB318*Templates!$G$30/$BH318+$BC318*Templates!$G$31/$BI318)/Templates!$B$22)</f>
        <v/>
      </c>
      <c r="BP318" s="18">
        <f>IF(OR($A318="",$BD318=0),0,($AY318*Templates!$H$27/$BE318+$AZ318*Templates!$H$28/$BF318+$BA318*Templates!$H$29/$BG318+$BB318*Templates!$H$30/$BH318+$BC318*Templates!$H$31/$BI318)/Templates!$B$23)</f>
        <v/>
      </c>
    </row>
    <row r="319">
      <c r="A319" s="31" t="n"/>
      <c r="B319" s="44" t="n"/>
      <c r="C319" s="31" t="n"/>
      <c r="D319" s="31" t="n"/>
      <c r="E319" s="31" t="n"/>
      <c r="F319" s="31" t="n"/>
      <c r="G319" s="31" t="n"/>
      <c r="H319" s="31" t="n"/>
      <c r="I319" s="31" t="n"/>
      <c r="J319" s="31" t="n"/>
      <c r="K319" s="31" t="n"/>
      <c r="L319" s="31" t="n"/>
      <c r="M319" s="31" t="n"/>
      <c r="N319" s="31" t="n"/>
      <c r="O319" s="31" t="n"/>
      <c r="P319" s="31" t="n"/>
      <c r="Q319" s="23">
        <f>IF($A319="","",COUNTIFS(Assignments!$C$2:$C$769,$A319,Assignments!$G$2:$G$769,"Active"))</f>
        <v/>
      </c>
      <c r="R319" s="32">
        <f>IF($A319="","",SUMIFS(Assignments!$I$2:$I$769,Assignments!$C$2:$C$769,$A319,Assignments!$G$2:$G$769,"Active"))</f>
        <v/>
      </c>
      <c r="S319" s="44" t="n"/>
      <c r="T319" s="31" t="n"/>
      <c r="U319" s="31" t="n"/>
      <c r="V319" s="34">
        <f>IF($U319="","",IFERROR(INDEX(Templates!$K$3:$K$10,MATCH($U319,Templates!$A$3:$A$10,0)),""))</f>
        <v/>
      </c>
      <c r="W319" s="34">
        <f>IF($U319="","",IFERROR(INDEX(Templates!$L$3:$L$10,MATCH($U319,Templates!$A$3:$A$10,0)),""))</f>
        <v/>
      </c>
      <c r="X319" s="21">
        <f>IF($U319="","",IFERROR(INDEX(Templates!$J$3:$J$10,MATCH($U319,Templates!$A$3:$A$10,0)),""))</f>
        <v/>
      </c>
      <c r="Y319" s="35">
        <f>IF(OR($U319="",$I319="",$J319="",$X319=""),"",$I319+$X319*($J319-$I319))</f>
        <v/>
      </c>
      <c r="Z319" s="31" t="n"/>
      <c r="AA319" s="31" t="n"/>
      <c r="AB319" s="31" t="n"/>
      <c r="AC319" s="31" t="n"/>
      <c r="AD319" s="19">
        <f>IF($A319="","",IF($AA319="",$H319,$AA319))</f>
        <v/>
      </c>
      <c r="AE319" s="35">
        <f>IF($A319="","",IF($AB319="",$I319,$AB319))</f>
        <v/>
      </c>
      <c r="AF319" s="35">
        <f>IF($A319="","",IF($AC319="",$J319,$AC319))</f>
        <v/>
      </c>
      <c r="AG319" s="35">
        <f>IF(OR($U319="",$AE319="",$AF319="",$X319=""),"",$AE319+$X319*($AF319-$AE319))</f>
        <v/>
      </c>
      <c r="AH319" s="31" t="n"/>
      <c r="AI319" s="31" t="n"/>
      <c r="AJ319" s="31" t="n"/>
      <c r="AK319" s="31" t="n"/>
      <c r="AL319" s="31" t="n"/>
      <c r="AM319" s="31" t="n"/>
      <c r="AN319" s="31" t="n"/>
      <c r="AO319" s="31" t="n"/>
      <c r="AP319" s="31" t="n"/>
      <c r="AQ319" s="31" t="n"/>
      <c r="AR319" s="31" t="n"/>
      <c r="AS319" s="31" t="n"/>
      <c r="AT319" s="31" t="n"/>
      <c r="AU319" s="31" t="n"/>
      <c r="AV319" s="31" t="n"/>
      <c r="AW319" s="31" t="n"/>
      <c r="AX319" s="31" t="n"/>
      <c r="AY319" s="31" t="n"/>
      <c r="AZ319" s="31" t="n"/>
      <c r="BA319" s="31" t="n"/>
      <c r="BB319" s="31" t="n"/>
      <c r="BC319" s="31" t="n"/>
      <c r="BD319" s="37">
        <f>IF($A319="","",SUM($AY319:$BC319))</f>
        <v/>
      </c>
      <c r="BE319" s="18">
        <f>IF($A319="","",IF(AND($I319&lt;&gt;"",$J319&lt;&gt;""),MAX(1,($J319-$I319)/7),Templates!$B$35))</f>
        <v/>
      </c>
      <c r="BF319" s="18">
        <f>IF($A319="","",IF(AND($I319&lt;&gt;"",$J319&lt;&gt;""),MAX(1,($J319-$I319)/7),Templates!$B$36))</f>
        <v/>
      </c>
      <c r="BG319" s="18">
        <f>IF($A319="","",IF(AND($I319&lt;&gt;"",$J319&lt;&gt;""),MAX(1,($J319-$I319)/7),Templates!$B$37))</f>
        <v/>
      </c>
      <c r="BH319" s="18">
        <f>IF($A319="","",IF(AND($I319&lt;&gt;"",$J319&lt;&gt;""),MAX(1,($J319-$I319)/7),Templates!$B$38))</f>
        <v/>
      </c>
      <c r="BI319" s="18">
        <f>IF($A319="","",IF(AND($I319&lt;&gt;"",$J319&lt;&gt;""),MAX(1,($J319-$I319)/7),Templates!$B$39))</f>
        <v/>
      </c>
      <c r="BJ319" s="18">
        <f>IF(OR($A319="",$BD319=0),0,($AY319*Templates!$B$27/$BE319+$AZ319*Templates!$B$28/$BF319+$BA319*Templates!$B$29/$BG319+$BB319*Templates!$B$30/$BH319+$BC319*Templates!$B$31/$BI319)/Templates!$B$17)</f>
        <v/>
      </c>
      <c r="BK319" s="18">
        <f>IF(OR($A319="",$BD319=0),0,($AY319*Templates!$C$27/$BE319+$AZ319*Templates!$C$28/$BF319+$BA319*Templates!$C$29/$BG319+$BB319*Templates!$C$30/$BH319+$BC319*Templates!$C$31/$BI319)/Templates!$B$18)</f>
        <v/>
      </c>
      <c r="BL319" s="18">
        <f>IF(OR($A319="",$BD319=0),0,($AY319*Templates!$D$27/$BE319+$AZ319*Templates!$D$28/$BF319+$BA319*Templates!$D$29/$BG319+$BB319*Templates!$D$30/$BH319+$BC319*Templates!$D$31/$BI319)/Templates!$B$19)</f>
        <v/>
      </c>
      <c r="BM319" s="18">
        <f>IF(OR($A319="",$BD319=0),0,($AY319*Templates!$E$27/$BE319+$AZ319*Templates!$E$28/$BF319+$BA319*Templates!$E$29/$BG319+$BB319*Templates!$E$30/$BH319+$BC319*Templates!$E$31/$BI319)/Templates!$B$20)</f>
        <v/>
      </c>
      <c r="BN319" s="18">
        <f>IF(OR($A319="",$BD319=0),0,($AY319*Templates!$F$27/$BE319+$AZ319*Templates!$F$28/$BF319+$BA319*Templates!$F$29/$BG319+$BB319*Templates!$F$30/$BH319+$BC319*Templates!$F$31/$BI319)/Templates!$B$21)</f>
        <v/>
      </c>
      <c r="BO319" s="18">
        <f>IF(OR($A319="",$BD319=0),0,($AY319*Templates!$G$27/$BE319+$AZ319*Templates!$G$28/$BF319+$BA319*Templates!$G$29/$BG319+$BB319*Templates!$G$30/$BH319+$BC319*Templates!$G$31/$BI319)/Templates!$B$22)</f>
        <v/>
      </c>
      <c r="BP319" s="18">
        <f>IF(OR($A319="",$BD319=0),0,($AY319*Templates!$H$27/$BE319+$AZ319*Templates!$H$28/$BF319+$BA319*Templates!$H$29/$BG319+$BB319*Templates!$H$30/$BH319+$BC319*Templates!$H$31/$BI319)/Templates!$B$23)</f>
        <v/>
      </c>
    </row>
    <row r="320">
      <c r="A320" s="31" t="n"/>
      <c r="B320" s="44" t="n"/>
      <c r="C320" s="31" t="n"/>
      <c r="D320" s="31" t="n"/>
      <c r="E320" s="31" t="n"/>
      <c r="F320" s="31" t="n"/>
      <c r="G320" s="31" t="n"/>
      <c r="H320" s="31" t="n"/>
      <c r="I320" s="31" t="n"/>
      <c r="J320" s="31" t="n"/>
      <c r="K320" s="31" t="n"/>
      <c r="L320" s="31" t="n"/>
      <c r="M320" s="31" t="n"/>
      <c r="N320" s="31" t="n"/>
      <c r="O320" s="31" t="n"/>
      <c r="P320" s="31" t="n"/>
      <c r="Q320" s="23">
        <f>IF($A320="","",COUNTIFS(Assignments!$C$2:$C$769,$A320,Assignments!$G$2:$G$769,"Active"))</f>
        <v/>
      </c>
      <c r="R320" s="32">
        <f>IF($A320="","",SUMIFS(Assignments!$I$2:$I$769,Assignments!$C$2:$C$769,$A320,Assignments!$G$2:$G$769,"Active"))</f>
        <v/>
      </c>
      <c r="S320" s="44" t="n"/>
      <c r="T320" s="31" t="n"/>
      <c r="U320" s="31" t="n"/>
      <c r="V320" s="34">
        <f>IF($U320="","",IFERROR(INDEX(Templates!$K$3:$K$10,MATCH($U320,Templates!$A$3:$A$10,0)),""))</f>
        <v/>
      </c>
      <c r="W320" s="34">
        <f>IF($U320="","",IFERROR(INDEX(Templates!$L$3:$L$10,MATCH($U320,Templates!$A$3:$A$10,0)),""))</f>
        <v/>
      </c>
      <c r="X320" s="21">
        <f>IF($U320="","",IFERROR(INDEX(Templates!$J$3:$J$10,MATCH($U320,Templates!$A$3:$A$10,0)),""))</f>
        <v/>
      </c>
      <c r="Y320" s="35">
        <f>IF(OR($U320="",$I320="",$J320="",$X320=""),"",$I320+$X320*($J320-$I320))</f>
        <v/>
      </c>
      <c r="Z320" s="31" t="n"/>
      <c r="AA320" s="31" t="n"/>
      <c r="AB320" s="31" t="n"/>
      <c r="AC320" s="31" t="n"/>
      <c r="AD320" s="19">
        <f>IF($A320="","",IF($AA320="",$H320,$AA320))</f>
        <v/>
      </c>
      <c r="AE320" s="35">
        <f>IF($A320="","",IF($AB320="",$I320,$AB320))</f>
        <v/>
      </c>
      <c r="AF320" s="35">
        <f>IF($A320="","",IF($AC320="",$J320,$AC320))</f>
        <v/>
      </c>
      <c r="AG320" s="35">
        <f>IF(OR($U320="",$AE320="",$AF320="",$X320=""),"",$AE320+$X320*($AF320-$AE320))</f>
        <v/>
      </c>
      <c r="AH320" s="31" t="n"/>
      <c r="AI320" s="31" t="n"/>
      <c r="AJ320" s="31" t="n"/>
      <c r="AK320" s="31" t="n"/>
      <c r="AL320" s="31" t="n"/>
      <c r="AM320" s="31" t="n"/>
      <c r="AN320" s="31" t="n"/>
      <c r="AO320" s="31" t="n"/>
      <c r="AP320" s="31" t="n"/>
      <c r="AQ320" s="31" t="n"/>
      <c r="AR320" s="31" t="n"/>
      <c r="AS320" s="31" t="n"/>
      <c r="AT320" s="31" t="n"/>
      <c r="AU320" s="31" t="n"/>
      <c r="AV320" s="31" t="n"/>
      <c r="AW320" s="31" t="n"/>
      <c r="AX320" s="31" t="n"/>
      <c r="AY320" s="31" t="n"/>
      <c r="AZ320" s="31" t="n"/>
      <c r="BA320" s="31" t="n"/>
      <c r="BB320" s="31" t="n"/>
      <c r="BC320" s="31" t="n"/>
      <c r="BD320" s="37">
        <f>IF($A320="","",SUM($AY320:$BC320))</f>
        <v/>
      </c>
      <c r="BE320" s="18">
        <f>IF($A320="","",IF(AND($I320&lt;&gt;"",$J320&lt;&gt;""),MAX(1,($J320-$I320)/7),Templates!$B$35))</f>
        <v/>
      </c>
      <c r="BF320" s="18">
        <f>IF($A320="","",IF(AND($I320&lt;&gt;"",$J320&lt;&gt;""),MAX(1,($J320-$I320)/7),Templates!$B$36))</f>
        <v/>
      </c>
      <c r="BG320" s="18">
        <f>IF($A320="","",IF(AND($I320&lt;&gt;"",$J320&lt;&gt;""),MAX(1,($J320-$I320)/7),Templates!$B$37))</f>
        <v/>
      </c>
      <c r="BH320" s="18">
        <f>IF($A320="","",IF(AND($I320&lt;&gt;"",$J320&lt;&gt;""),MAX(1,($J320-$I320)/7),Templates!$B$38))</f>
        <v/>
      </c>
      <c r="BI320" s="18">
        <f>IF($A320="","",IF(AND($I320&lt;&gt;"",$J320&lt;&gt;""),MAX(1,($J320-$I320)/7),Templates!$B$39))</f>
        <v/>
      </c>
      <c r="BJ320" s="18">
        <f>IF(OR($A320="",$BD320=0),0,($AY320*Templates!$B$27/$BE320+$AZ320*Templates!$B$28/$BF320+$BA320*Templates!$B$29/$BG320+$BB320*Templates!$B$30/$BH320+$BC320*Templates!$B$31/$BI320)/Templates!$B$17)</f>
        <v/>
      </c>
      <c r="BK320" s="18">
        <f>IF(OR($A320="",$BD320=0),0,($AY320*Templates!$C$27/$BE320+$AZ320*Templates!$C$28/$BF320+$BA320*Templates!$C$29/$BG320+$BB320*Templates!$C$30/$BH320+$BC320*Templates!$C$31/$BI320)/Templates!$B$18)</f>
        <v/>
      </c>
      <c r="BL320" s="18">
        <f>IF(OR($A320="",$BD320=0),0,($AY320*Templates!$D$27/$BE320+$AZ320*Templates!$D$28/$BF320+$BA320*Templates!$D$29/$BG320+$BB320*Templates!$D$30/$BH320+$BC320*Templates!$D$31/$BI320)/Templates!$B$19)</f>
        <v/>
      </c>
      <c r="BM320" s="18">
        <f>IF(OR($A320="",$BD320=0),0,($AY320*Templates!$E$27/$BE320+$AZ320*Templates!$E$28/$BF320+$BA320*Templates!$E$29/$BG320+$BB320*Templates!$E$30/$BH320+$BC320*Templates!$E$31/$BI320)/Templates!$B$20)</f>
        <v/>
      </c>
      <c r="BN320" s="18">
        <f>IF(OR($A320="",$BD320=0),0,($AY320*Templates!$F$27/$BE320+$AZ320*Templates!$F$28/$BF320+$BA320*Templates!$F$29/$BG320+$BB320*Templates!$F$30/$BH320+$BC320*Templates!$F$31/$BI320)/Templates!$B$21)</f>
        <v/>
      </c>
      <c r="BO320" s="18">
        <f>IF(OR($A320="",$BD320=0),0,($AY320*Templates!$G$27/$BE320+$AZ320*Templates!$G$28/$BF320+$BA320*Templates!$G$29/$BG320+$BB320*Templates!$G$30/$BH320+$BC320*Templates!$G$31/$BI320)/Templates!$B$22)</f>
        <v/>
      </c>
      <c r="BP320" s="18">
        <f>IF(OR($A320="",$BD320=0),0,($AY320*Templates!$H$27/$BE320+$AZ320*Templates!$H$28/$BF320+$BA320*Templates!$H$29/$BG320+$BB320*Templates!$H$30/$BH320+$BC320*Templates!$H$31/$BI320)/Templates!$B$23)</f>
        <v/>
      </c>
    </row>
    <row r="321">
      <c r="A321" s="31" t="n"/>
      <c r="B321" s="44" t="n"/>
      <c r="C321" s="31" t="n"/>
      <c r="D321" s="31" t="n"/>
      <c r="E321" s="31" t="n"/>
      <c r="F321" s="31" t="n"/>
      <c r="G321" s="31" t="n"/>
      <c r="H321" s="31" t="n"/>
      <c r="I321" s="31" t="n"/>
      <c r="J321" s="31" t="n"/>
      <c r="K321" s="31" t="n"/>
      <c r="L321" s="31" t="n"/>
      <c r="M321" s="31" t="n"/>
      <c r="N321" s="31" t="n"/>
      <c r="O321" s="31" t="n"/>
      <c r="P321" s="31" t="n"/>
      <c r="Q321" s="23">
        <f>IF($A321="","",COUNTIFS(Assignments!$C$2:$C$769,$A321,Assignments!$G$2:$G$769,"Active"))</f>
        <v/>
      </c>
      <c r="R321" s="32">
        <f>IF($A321="","",SUMIFS(Assignments!$I$2:$I$769,Assignments!$C$2:$C$769,$A321,Assignments!$G$2:$G$769,"Active"))</f>
        <v/>
      </c>
      <c r="S321" s="44" t="n"/>
      <c r="T321" s="31" t="n"/>
      <c r="U321" s="31" t="n"/>
      <c r="V321" s="34">
        <f>IF($U321="","",IFERROR(INDEX(Templates!$K$3:$K$10,MATCH($U321,Templates!$A$3:$A$10,0)),""))</f>
        <v/>
      </c>
      <c r="W321" s="34">
        <f>IF($U321="","",IFERROR(INDEX(Templates!$L$3:$L$10,MATCH($U321,Templates!$A$3:$A$10,0)),""))</f>
        <v/>
      </c>
      <c r="X321" s="21">
        <f>IF($U321="","",IFERROR(INDEX(Templates!$J$3:$J$10,MATCH($U321,Templates!$A$3:$A$10,0)),""))</f>
        <v/>
      </c>
      <c r="Y321" s="35">
        <f>IF(OR($U321="",$I321="",$J321="",$X321=""),"",$I321+$X321*($J321-$I321))</f>
        <v/>
      </c>
      <c r="Z321" s="31" t="n"/>
      <c r="AA321" s="31" t="n"/>
      <c r="AB321" s="31" t="n"/>
      <c r="AC321" s="31" t="n"/>
      <c r="AD321" s="19">
        <f>IF($A321="","",IF($AA321="",$H321,$AA321))</f>
        <v/>
      </c>
      <c r="AE321" s="35">
        <f>IF($A321="","",IF($AB321="",$I321,$AB321))</f>
        <v/>
      </c>
      <c r="AF321" s="35">
        <f>IF($A321="","",IF($AC321="",$J321,$AC321))</f>
        <v/>
      </c>
      <c r="AG321" s="35">
        <f>IF(OR($U321="",$AE321="",$AF321="",$X321=""),"",$AE321+$X321*($AF321-$AE321))</f>
        <v/>
      </c>
      <c r="AH321" s="31" t="n"/>
      <c r="AI321" s="31" t="n"/>
      <c r="AJ321" s="31" t="n"/>
      <c r="AK321" s="31" t="n"/>
      <c r="AL321" s="31" t="n"/>
      <c r="AM321" s="31" t="n"/>
      <c r="AN321" s="31" t="n"/>
      <c r="AO321" s="31" t="n"/>
      <c r="AP321" s="31" t="n"/>
      <c r="AQ321" s="31" t="n"/>
      <c r="AR321" s="31" t="n"/>
      <c r="AS321" s="31" t="n"/>
      <c r="AT321" s="31" t="n"/>
      <c r="AU321" s="31" t="n"/>
      <c r="AV321" s="31" t="n"/>
      <c r="AW321" s="31" t="n"/>
      <c r="AX321" s="31" t="n"/>
      <c r="AY321" s="31" t="n"/>
      <c r="AZ321" s="31" t="n"/>
      <c r="BA321" s="31" t="n"/>
      <c r="BB321" s="31" t="n"/>
      <c r="BC321" s="31" t="n"/>
      <c r="BD321" s="37">
        <f>IF($A321="","",SUM($AY321:$BC321))</f>
        <v/>
      </c>
      <c r="BE321" s="18">
        <f>IF($A321="","",IF(AND($I321&lt;&gt;"",$J321&lt;&gt;""),MAX(1,($J321-$I321)/7),Templates!$B$35))</f>
        <v/>
      </c>
      <c r="BF321" s="18">
        <f>IF($A321="","",IF(AND($I321&lt;&gt;"",$J321&lt;&gt;""),MAX(1,($J321-$I321)/7),Templates!$B$36))</f>
        <v/>
      </c>
      <c r="BG321" s="18">
        <f>IF($A321="","",IF(AND($I321&lt;&gt;"",$J321&lt;&gt;""),MAX(1,($J321-$I321)/7),Templates!$B$37))</f>
        <v/>
      </c>
      <c r="BH321" s="18">
        <f>IF($A321="","",IF(AND($I321&lt;&gt;"",$J321&lt;&gt;""),MAX(1,($J321-$I321)/7),Templates!$B$38))</f>
        <v/>
      </c>
      <c r="BI321" s="18">
        <f>IF($A321="","",IF(AND($I321&lt;&gt;"",$J321&lt;&gt;""),MAX(1,($J321-$I321)/7),Templates!$B$39))</f>
        <v/>
      </c>
      <c r="BJ321" s="18">
        <f>IF(OR($A321="",$BD321=0),0,($AY321*Templates!$B$27/$BE321+$AZ321*Templates!$B$28/$BF321+$BA321*Templates!$B$29/$BG321+$BB321*Templates!$B$30/$BH321+$BC321*Templates!$B$31/$BI321)/Templates!$B$17)</f>
        <v/>
      </c>
      <c r="BK321" s="18">
        <f>IF(OR($A321="",$BD321=0),0,($AY321*Templates!$C$27/$BE321+$AZ321*Templates!$C$28/$BF321+$BA321*Templates!$C$29/$BG321+$BB321*Templates!$C$30/$BH321+$BC321*Templates!$C$31/$BI321)/Templates!$B$18)</f>
        <v/>
      </c>
      <c r="BL321" s="18">
        <f>IF(OR($A321="",$BD321=0),0,($AY321*Templates!$D$27/$BE321+$AZ321*Templates!$D$28/$BF321+$BA321*Templates!$D$29/$BG321+$BB321*Templates!$D$30/$BH321+$BC321*Templates!$D$31/$BI321)/Templates!$B$19)</f>
        <v/>
      </c>
      <c r="BM321" s="18">
        <f>IF(OR($A321="",$BD321=0),0,($AY321*Templates!$E$27/$BE321+$AZ321*Templates!$E$28/$BF321+$BA321*Templates!$E$29/$BG321+$BB321*Templates!$E$30/$BH321+$BC321*Templates!$E$31/$BI321)/Templates!$B$20)</f>
        <v/>
      </c>
      <c r="BN321" s="18">
        <f>IF(OR($A321="",$BD321=0),0,($AY321*Templates!$F$27/$BE321+$AZ321*Templates!$F$28/$BF321+$BA321*Templates!$F$29/$BG321+$BB321*Templates!$F$30/$BH321+$BC321*Templates!$F$31/$BI321)/Templates!$B$21)</f>
        <v/>
      </c>
      <c r="BO321" s="18">
        <f>IF(OR($A321="",$BD321=0),0,($AY321*Templates!$G$27/$BE321+$AZ321*Templates!$G$28/$BF321+$BA321*Templates!$G$29/$BG321+$BB321*Templates!$G$30/$BH321+$BC321*Templates!$G$31/$BI321)/Templates!$B$22)</f>
        <v/>
      </c>
      <c r="BP321" s="18">
        <f>IF(OR($A321="",$BD321=0),0,($AY321*Templates!$H$27/$BE321+$AZ321*Templates!$H$28/$BF321+$BA321*Templates!$H$29/$BG321+$BB321*Templates!$H$30/$BH321+$BC321*Templates!$H$31/$BI321)/Templates!$B$23)</f>
        <v/>
      </c>
    </row>
    <row r="322">
      <c r="A322" s="31" t="n"/>
      <c r="B322" s="44" t="n"/>
      <c r="C322" s="31" t="n"/>
      <c r="D322" s="31" t="n"/>
      <c r="E322" s="31" t="n"/>
      <c r="F322" s="31" t="n"/>
      <c r="G322" s="31" t="n"/>
      <c r="H322" s="31" t="n"/>
      <c r="I322" s="31" t="n"/>
      <c r="J322" s="31" t="n"/>
      <c r="K322" s="31" t="n"/>
      <c r="L322" s="31" t="n"/>
      <c r="M322" s="31" t="n"/>
      <c r="N322" s="31" t="n"/>
      <c r="O322" s="31" t="n"/>
      <c r="P322" s="31" t="n"/>
      <c r="Q322" s="23">
        <f>IF($A322="","",COUNTIFS(Assignments!$C$2:$C$769,$A322,Assignments!$G$2:$G$769,"Active"))</f>
        <v/>
      </c>
      <c r="R322" s="32">
        <f>IF($A322="","",SUMIFS(Assignments!$I$2:$I$769,Assignments!$C$2:$C$769,$A322,Assignments!$G$2:$G$769,"Active"))</f>
        <v/>
      </c>
      <c r="S322" s="44" t="n"/>
      <c r="T322" s="31" t="n"/>
      <c r="U322" s="31" t="n"/>
      <c r="V322" s="34">
        <f>IF($U322="","",IFERROR(INDEX(Templates!$K$3:$K$10,MATCH($U322,Templates!$A$3:$A$10,0)),""))</f>
        <v/>
      </c>
      <c r="W322" s="34">
        <f>IF($U322="","",IFERROR(INDEX(Templates!$L$3:$L$10,MATCH($U322,Templates!$A$3:$A$10,0)),""))</f>
        <v/>
      </c>
      <c r="X322" s="21">
        <f>IF($U322="","",IFERROR(INDEX(Templates!$J$3:$J$10,MATCH($U322,Templates!$A$3:$A$10,0)),""))</f>
        <v/>
      </c>
      <c r="Y322" s="35">
        <f>IF(OR($U322="",$I322="",$J322="",$X322=""),"",$I322+$X322*($J322-$I322))</f>
        <v/>
      </c>
      <c r="Z322" s="31" t="n"/>
      <c r="AA322" s="31" t="n"/>
      <c r="AB322" s="31" t="n"/>
      <c r="AC322" s="31" t="n"/>
      <c r="AD322" s="19">
        <f>IF($A322="","",IF($AA322="",$H322,$AA322))</f>
        <v/>
      </c>
      <c r="AE322" s="35">
        <f>IF($A322="","",IF($AB322="",$I322,$AB322))</f>
        <v/>
      </c>
      <c r="AF322" s="35">
        <f>IF($A322="","",IF($AC322="",$J322,$AC322))</f>
        <v/>
      </c>
      <c r="AG322" s="35">
        <f>IF(OR($U322="",$AE322="",$AF322="",$X322=""),"",$AE322+$X322*($AF322-$AE322))</f>
        <v/>
      </c>
      <c r="AH322" s="31" t="n"/>
      <c r="AI322" s="31" t="n"/>
      <c r="AJ322" s="31" t="n"/>
      <c r="AK322" s="31" t="n"/>
      <c r="AL322" s="31" t="n"/>
      <c r="AM322" s="31" t="n"/>
      <c r="AN322" s="31" t="n"/>
      <c r="AO322" s="31" t="n"/>
      <c r="AP322" s="31" t="n"/>
      <c r="AQ322" s="31" t="n"/>
      <c r="AR322" s="31" t="n"/>
      <c r="AS322" s="31" t="n"/>
      <c r="AT322" s="31" t="n"/>
      <c r="AU322" s="31" t="n"/>
      <c r="AV322" s="31" t="n"/>
      <c r="AW322" s="31" t="n"/>
      <c r="AX322" s="31" t="n"/>
      <c r="AY322" s="31" t="n"/>
      <c r="AZ322" s="31" t="n"/>
      <c r="BA322" s="31" t="n"/>
      <c r="BB322" s="31" t="n"/>
      <c r="BC322" s="31" t="n"/>
      <c r="BD322" s="37">
        <f>IF($A322="","",SUM($AY322:$BC322))</f>
        <v/>
      </c>
      <c r="BE322" s="18">
        <f>IF($A322="","",IF(AND($I322&lt;&gt;"",$J322&lt;&gt;""),MAX(1,($J322-$I322)/7),Templates!$B$35))</f>
        <v/>
      </c>
      <c r="BF322" s="18">
        <f>IF($A322="","",IF(AND($I322&lt;&gt;"",$J322&lt;&gt;""),MAX(1,($J322-$I322)/7),Templates!$B$36))</f>
        <v/>
      </c>
      <c r="BG322" s="18">
        <f>IF($A322="","",IF(AND($I322&lt;&gt;"",$J322&lt;&gt;""),MAX(1,($J322-$I322)/7),Templates!$B$37))</f>
        <v/>
      </c>
      <c r="BH322" s="18">
        <f>IF($A322="","",IF(AND($I322&lt;&gt;"",$J322&lt;&gt;""),MAX(1,($J322-$I322)/7),Templates!$B$38))</f>
        <v/>
      </c>
      <c r="BI322" s="18">
        <f>IF($A322="","",IF(AND($I322&lt;&gt;"",$J322&lt;&gt;""),MAX(1,($J322-$I322)/7),Templates!$B$39))</f>
        <v/>
      </c>
      <c r="BJ322" s="18">
        <f>IF(OR($A322="",$BD322=0),0,($AY322*Templates!$B$27/$BE322+$AZ322*Templates!$B$28/$BF322+$BA322*Templates!$B$29/$BG322+$BB322*Templates!$B$30/$BH322+$BC322*Templates!$B$31/$BI322)/Templates!$B$17)</f>
        <v/>
      </c>
      <c r="BK322" s="18">
        <f>IF(OR($A322="",$BD322=0),0,($AY322*Templates!$C$27/$BE322+$AZ322*Templates!$C$28/$BF322+$BA322*Templates!$C$29/$BG322+$BB322*Templates!$C$30/$BH322+$BC322*Templates!$C$31/$BI322)/Templates!$B$18)</f>
        <v/>
      </c>
      <c r="BL322" s="18">
        <f>IF(OR($A322="",$BD322=0),0,($AY322*Templates!$D$27/$BE322+$AZ322*Templates!$D$28/$BF322+$BA322*Templates!$D$29/$BG322+$BB322*Templates!$D$30/$BH322+$BC322*Templates!$D$31/$BI322)/Templates!$B$19)</f>
        <v/>
      </c>
      <c r="BM322" s="18">
        <f>IF(OR($A322="",$BD322=0),0,($AY322*Templates!$E$27/$BE322+$AZ322*Templates!$E$28/$BF322+$BA322*Templates!$E$29/$BG322+$BB322*Templates!$E$30/$BH322+$BC322*Templates!$E$31/$BI322)/Templates!$B$20)</f>
        <v/>
      </c>
      <c r="BN322" s="18">
        <f>IF(OR($A322="",$BD322=0),0,($AY322*Templates!$F$27/$BE322+$AZ322*Templates!$F$28/$BF322+$BA322*Templates!$F$29/$BG322+$BB322*Templates!$F$30/$BH322+$BC322*Templates!$F$31/$BI322)/Templates!$B$21)</f>
        <v/>
      </c>
      <c r="BO322" s="18">
        <f>IF(OR($A322="",$BD322=0),0,($AY322*Templates!$G$27/$BE322+$AZ322*Templates!$G$28/$BF322+$BA322*Templates!$G$29/$BG322+$BB322*Templates!$G$30/$BH322+$BC322*Templates!$G$31/$BI322)/Templates!$B$22)</f>
        <v/>
      </c>
      <c r="BP322" s="18">
        <f>IF(OR($A322="",$BD322=0),0,($AY322*Templates!$H$27/$BE322+$AZ322*Templates!$H$28/$BF322+$BA322*Templates!$H$29/$BG322+$BB322*Templates!$H$30/$BH322+$BC322*Templates!$H$31/$BI322)/Templates!$B$23)</f>
        <v/>
      </c>
    </row>
    <row r="323">
      <c r="A323" s="31" t="n"/>
      <c r="B323" s="44" t="n"/>
      <c r="C323" s="31" t="n"/>
      <c r="D323" s="31" t="n"/>
      <c r="E323" s="31" t="n"/>
      <c r="F323" s="31" t="n"/>
      <c r="G323" s="31" t="n"/>
      <c r="H323" s="31" t="n"/>
      <c r="I323" s="31" t="n"/>
      <c r="J323" s="31" t="n"/>
      <c r="K323" s="31" t="n"/>
      <c r="L323" s="31" t="n"/>
      <c r="M323" s="31" t="n"/>
      <c r="N323" s="31" t="n"/>
      <c r="O323" s="31" t="n"/>
      <c r="P323" s="31" t="n"/>
      <c r="Q323" s="23">
        <f>IF($A323="","",COUNTIFS(Assignments!$C$2:$C$769,$A323,Assignments!$G$2:$G$769,"Active"))</f>
        <v/>
      </c>
      <c r="R323" s="32">
        <f>IF($A323="","",SUMIFS(Assignments!$I$2:$I$769,Assignments!$C$2:$C$769,$A323,Assignments!$G$2:$G$769,"Active"))</f>
        <v/>
      </c>
      <c r="S323" s="44" t="n"/>
      <c r="T323" s="31" t="n"/>
      <c r="U323" s="31" t="n"/>
      <c r="V323" s="34">
        <f>IF($U323="","",IFERROR(INDEX(Templates!$K$3:$K$10,MATCH($U323,Templates!$A$3:$A$10,0)),""))</f>
        <v/>
      </c>
      <c r="W323" s="34">
        <f>IF($U323="","",IFERROR(INDEX(Templates!$L$3:$L$10,MATCH($U323,Templates!$A$3:$A$10,0)),""))</f>
        <v/>
      </c>
      <c r="X323" s="21">
        <f>IF($U323="","",IFERROR(INDEX(Templates!$J$3:$J$10,MATCH($U323,Templates!$A$3:$A$10,0)),""))</f>
        <v/>
      </c>
      <c r="Y323" s="35">
        <f>IF(OR($U323="",$I323="",$J323="",$X323=""),"",$I323+$X323*($J323-$I323))</f>
        <v/>
      </c>
      <c r="Z323" s="31" t="n"/>
      <c r="AA323" s="31" t="n"/>
      <c r="AB323" s="31" t="n"/>
      <c r="AC323" s="31" t="n"/>
      <c r="AD323" s="19">
        <f>IF($A323="","",IF($AA323="",$H323,$AA323))</f>
        <v/>
      </c>
      <c r="AE323" s="35">
        <f>IF($A323="","",IF($AB323="",$I323,$AB323))</f>
        <v/>
      </c>
      <c r="AF323" s="35">
        <f>IF($A323="","",IF($AC323="",$J323,$AC323))</f>
        <v/>
      </c>
      <c r="AG323" s="35">
        <f>IF(OR($U323="",$AE323="",$AF323="",$X323=""),"",$AE323+$X323*($AF323-$AE323))</f>
        <v/>
      </c>
      <c r="AH323" s="31" t="n"/>
      <c r="AI323" s="31" t="n"/>
      <c r="AJ323" s="31" t="n"/>
      <c r="AK323" s="31" t="n"/>
      <c r="AL323" s="31" t="n"/>
      <c r="AM323" s="31" t="n"/>
      <c r="AN323" s="31" t="n"/>
      <c r="AO323" s="31" t="n"/>
      <c r="AP323" s="31" t="n"/>
      <c r="AQ323" s="31" t="n"/>
      <c r="AR323" s="31" t="n"/>
      <c r="AS323" s="31" t="n"/>
      <c r="AT323" s="31" t="n"/>
      <c r="AU323" s="31" t="n"/>
      <c r="AV323" s="31" t="n"/>
      <c r="AW323" s="31" t="n"/>
      <c r="AX323" s="31" t="n"/>
      <c r="AY323" s="31" t="n"/>
      <c r="AZ323" s="31" t="n"/>
      <c r="BA323" s="31" t="n"/>
      <c r="BB323" s="31" t="n"/>
      <c r="BC323" s="31" t="n"/>
      <c r="BD323" s="37">
        <f>IF($A323="","",SUM($AY323:$BC323))</f>
        <v/>
      </c>
      <c r="BE323" s="18">
        <f>IF($A323="","",IF(AND($I323&lt;&gt;"",$J323&lt;&gt;""),MAX(1,($J323-$I323)/7),Templates!$B$35))</f>
        <v/>
      </c>
      <c r="BF323" s="18">
        <f>IF($A323="","",IF(AND($I323&lt;&gt;"",$J323&lt;&gt;""),MAX(1,($J323-$I323)/7),Templates!$B$36))</f>
        <v/>
      </c>
      <c r="BG323" s="18">
        <f>IF($A323="","",IF(AND($I323&lt;&gt;"",$J323&lt;&gt;""),MAX(1,($J323-$I323)/7),Templates!$B$37))</f>
        <v/>
      </c>
      <c r="BH323" s="18">
        <f>IF($A323="","",IF(AND($I323&lt;&gt;"",$J323&lt;&gt;""),MAX(1,($J323-$I323)/7),Templates!$B$38))</f>
        <v/>
      </c>
      <c r="BI323" s="18">
        <f>IF($A323="","",IF(AND($I323&lt;&gt;"",$J323&lt;&gt;""),MAX(1,($J323-$I323)/7),Templates!$B$39))</f>
        <v/>
      </c>
      <c r="BJ323" s="18">
        <f>IF(OR($A323="",$BD323=0),0,($AY323*Templates!$B$27/$BE323+$AZ323*Templates!$B$28/$BF323+$BA323*Templates!$B$29/$BG323+$BB323*Templates!$B$30/$BH323+$BC323*Templates!$B$31/$BI323)/Templates!$B$17)</f>
        <v/>
      </c>
      <c r="BK323" s="18">
        <f>IF(OR($A323="",$BD323=0),0,($AY323*Templates!$C$27/$BE323+$AZ323*Templates!$C$28/$BF323+$BA323*Templates!$C$29/$BG323+$BB323*Templates!$C$30/$BH323+$BC323*Templates!$C$31/$BI323)/Templates!$B$18)</f>
        <v/>
      </c>
      <c r="BL323" s="18">
        <f>IF(OR($A323="",$BD323=0),0,($AY323*Templates!$D$27/$BE323+$AZ323*Templates!$D$28/$BF323+$BA323*Templates!$D$29/$BG323+$BB323*Templates!$D$30/$BH323+$BC323*Templates!$D$31/$BI323)/Templates!$B$19)</f>
        <v/>
      </c>
      <c r="BM323" s="18">
        <f>IF(OR($A323="",$BD323=0),0,($AY323*Templates!$E$27/$BE323+$AZ323*Templates!$E$28/$BF323+$BA323*Templates!$E$29/$BG323+$BB323*Templates!$E$30/$BH323+$BC323*Templates!$E$31/$BI323)/Templates!$B$20)</f>
        <v/>
      </c>
      <c r="BN323" s="18">
        <f>IF(OR($A323="",$BD323=0),0,($AY323*Templates!$F$27/$BE323+$AZ323*Templates!$F$28/$BF323+$BA323*Templates!$F$29/$BG323+$BB323*Templates!$F$30/$BH323+$BC323*Templates!$F$31/$BI323)/Templates!$B$21)</f>
        <v/>
      </c>
      <c r="BO323" s="18">
        <f>IF(OR($A323="",$BD323=0),0,($AY323*Templates!$G$27/$BE323+$AZ323*Templates!$G$28/$BF323+$BA323*Templates!$G$29/$BG323+$BB323*Templates!$G$30/$BH323+$BC323*Templates!$G$31/$BI323)/Templates!$B$22)</f>
        <v/>
      </c>
      <c r="BP323" s="18">
        <f>IF(OR($A323="",$BD323=0),0,($AY323*Templates!$H$27/$BE323+$AZ323*Templates!$H$28/$BF323+$BA323*Templates!$H$29/$BG323+$BB323*Templates!$H$30/$BH323+$BC323*Templates!$H$31/$BI323)/Templates!$B$23)</f>
        <v/>
      </c>
    </row>
    <row r="324">
      <c r="A324" s="31" t="n"/>
      <c r="B324" s="44" t="n"/>
      <c r="C324" s="31" t="n"/>
      <c r="D324" s="31" t="n"/>
      <c r="E324" s="31" t="n"/>
      <c r="F324" s="31" t="n"/>
      <c r="G324" s="31" t="n"/>
      <c r="H324" s="31" t="n"/>
      <c r="I324" s="31" t="n"/>
      <c r="J324" s="31" t="n"/>
      <c r="K324" s="31" t="n"/>
      <c r="L324" s="31" t="n"/>
      <c r="M324" s="31" t="n"/>
      <c r="N324" s="31" t="n"/>
      <c r="O324" s="31" t="n"/>
      <c r="P324" s="31" t="n"/>
      <c r="Q324" s="23">
        <f>IF($A324="","",COUNTIFS(Assignments!$C$2:$C$769,$A324,Assignments!$G$2:$G$769,"Active"))</f>
        <v/>
      </c>
      <c r="R324" s="32">
        <f>IF($A324="","",SUMIFS(Assignments!$I$2:$I$769,Assignments!$C$2:$C$769,$A324,Assignments!$G$2:$G$769,"Active"))</f>
        <v/>
      </c>
      <c r="S324" s="44" t="n"/>
      <c r="T324" s="31" t="n"/>
      <c r="U324" s="31" t="n"/>
      <c r="V324" s="34">
        <f>IF($U324="","",IFERROR(INDEX(Templates!$K$3:$K$10,MATCH($U324,Templates!$A$3:$A$10,0)),""))</f>
        <v/>
      </c>
      <c r="W324" s="34">
        <f>IF($U324="","",IFERROR(INDEX(Templates!$L$3:$L$10,MATCH($U324,Templates!$A$3:$A$10,0)),""))</f>
        <v/>
      </c>
      <c r="X324" s="21">
        <f>IF($U324="","",IFERROR(INDEX(Templates!$J$3:$J$10,MATCH($U324,Templates!$A$3:$A$10,0)),""))</f>
        <v/>
      </c>
      <c r="Y324" s="35">
        <f>IF(OR($U324="",$I324="",$J324="",$X324=""),"",$I324+$X324*($J324-$I324))</f>
        <v/>
      </c>
      <c r="Z324" s="31" t="n"/>
      <c r="AA324" s="31" t="n"/>
      <c r="AB324" s="31" t="n"/>
      <c r="AC324" s="31" t="n"/>
      <c r="AD324" s="19">
        <f>IF($A324="","",IF($AA324="",$H324,$AA324))</f>
        <v/>
      </c>
      <c r="AE324" s="35">
        <f>IF($A324="","",IF($AB324="",$I324,$AB324))</f>
        <v/>
      </c>
      <c r="AF324" s="35">
        <f>IF($A324="","",IF($AC324="",$J324,$AC324))</f>
        <v/>
      </c>
      <c r="AG324" s="35">
        <f>IF(OR($U324="",$AE324="",$AF324="",$X324=""),"",$AE324+$X324*($AF324-$AE324))</f>
        <v/>
      </c>
      <c r="AH324" s="31" t="n"/>
      <c r="AI324" s="31" t="n"/>
      <c r="AJ324" s="31" t="n"/>
      <c r="AK324" s="31" t="n"/>
      <c r="AL324" s="31" t="n"/>
      <c r="AM324" s="31" t="n"/>
      <c r="AN324" s="31" t="n"/>
      <c r="AO324" s="31" t="n"/>
      <c r="AP324" s="31" t="n"/>
      <c r="AQ324" s="31" t="n"/>
      <c r="AR324" s="31" t="n"/>
      <c r="AS324" s="31" t="n"/>
      <c r="AT324" s="31" t="n"/>
      <c r="AU324" s="31" t="n"/>
      <c r="AV324" s="31" t="n"/>
      <c r="AW324" s="31" t="n"/>
      <c r="AX324" s="31" t="n"/>
      <c r="AY324" s="31" t="n"/>
      <c r="AZ324" s="31" t="n"/>
      <c r="BA324" s="31" t="n"/>
      <c r="BB324" s="31" t="n"/>
      <c r="BC324" s="31" t="n"/>
      <c r="BD324" s="37">
        <f>IF($A324="","",SUM($AY324:$BC324))</f>
        <v/>
      </c>
      <c r="BE324" s="18">
        <f>IF($A324="","",IF(AND($I324&lt;&gt;"",$J324&lt;&gt;""),MAX(1,($J324-$I324)/7),Templates!$B$35))</f>
        <v/>
      </c>
      <c r="BF324" s="18">
        <f>IF($A324="","",IF(AND($I324&lt;&gt;"",$J324&lt;&gt;""),MAX(1,($J324-$I324)/7),Templates!$B$36))</f>
        <v/>
      </c>
      <c r="BG324" s="18">
        <f>IF($A324="","",IF(AND($I324&lt;&gt;"",$J324&lt;&gt;""),MAX(1,($J324-$I324)/7),Templates!$B$37))</f>
        <v/>
      </c>
      <c r="BH324" s="18">
        <f>IF($A324="","",IF(AND($I324&lt;&gt;"",$J324&lt;&gt;""),MAX(1,($J324-$I324)/7),Templates!$B$38))</f>
        <v/>
      </c>
      <c r="BI324" s="18">
        <f>IF($A324="","",IF(AND($I324&lt;&gt;"",$J324&lt;&gt;""),MAX(1,($J324-$I324)/7),Templates!$B$39))</f>
        <v/>
      </c>
      <c r="BJ324" s="18">
        <f>IF(OR($A324="",$BD324=0),0,($AY324*Templates!$B$27/$BE324+$AZ324*Templates!$B$28/$BF324+$BA324*Templates!$B$29/$BG324+$BB324*Templates!$B$30/$BH324+$BC324*Templates!$B$31/$BI324)/Templates!$B$17)</f>
        <v/>
      </c>
      <c r="BK324" s="18">
        <f>IF(OR($A324="",$BD324=0),0,($AY324*Templates!$C$27/$BE324+$AZ324*Templates!$C$28/$BF324+$BA324*Templates!$C$29/$BG324+$BB324*Templates!$C$30/$BH324+$BC324*Templates!$C$31/$BI324)/Templates!$B$18)</f>
        <v/>
      </c>
      <c r="BL324" s="18">
        <f>IF(OR($A324="",$BD324=0),0,($AY324*Templates!$D$27/$BE324+$AZ324*Templates!$D$28/$BF324+$BA324*Templates!$D$29/$BG324+$BB324*Templates!$D$30/$BH324+$BC324*Templates!$D$31/$BI324)/Templates!$B$19)</f>
        <v/>
      </c>
      <c r="BM324" s="18">
        <f>IF(OR($A324="",$BD324=0),0,($AY324*Templates!$E$27/$BE324+$AZ324*Templates!$E$28/$BF324+$BA324*Templates!$E$29/$BG324+$BB324*Templates!$E$30/$BH324+$BC324*Templates!$E$31/$BI324)/Templates!$B$20)</f>
        <v/>
      </c>
      <c r="BN324" s="18">
        <f>IF(OR($A324="",$BD324=0),0,($AY324*Templates!$F$27/$BE324+$AZ324*Templates!$F$28/$BF324+$BA324*Templates!$F$29/$BG324+$BB324*Templates!$F$30/$BH324+$BC324*Templates!$F$31/$BI324)/Templates!$B$21)</f>
        <v/>
      </c>
      <c r="BO324" s="18">
        <f>IF(OR($A324="",$BD324=0),0,($AY324*Templates!$G$27/$BE324+$AZ324*Templates!$G$28/$BF324+$BA324*Templates!$G$29/$BG324+$BB324*Templates!$G$30/$BH324+$BC324*Templates!$G$31/$BI324)/Templates!$B$22)</f>
        <v/>
      </c>
      <c r="BP324" s="18">
        <f>IF(OR($A324="",$BD324=0),0,($AY324*Templates!$H$27/$BE324+$AZ324*Templates!$H$28/$BF324+$BA324*Templates!$H$29/$BG324+$BB324*Templates!$H$30/$BH324+$BC324*Templates!$H$31/$BI324)/Templates!$B$23)</f>
        <v/>
      </c>
    </row>
    <row r="325">
      <c r="A325" s="31" t="n"/>
      <c r="B325" s="44" t="n"/>
      <c r="C325" s="31" t="n"/>
      <c r="D325" s="31" t="n"/>
      <c r="E325" s="31" t="n"/>
      <c r="F325" s="31" t="n"/>
      <c r="G325" s="31" t="n"/>
      <c r="H325" s="31" t="n"/>
      <c r="I325" s="31" t="n"/>
      <c r="J325" s="31" t="n"/>
      <c r="K325" s="31" t="n"/>
      <c r="L325" s="31" t="n"/>
      <c r="M325" s="31" t="n"/>
      <c r="N325" s="31" t="n"/>
      <c r="O325" s="31" t="n"/>
      <c r="P325" s="31" t="n"/>
      <c r="Q325" s="23">
        <f>IF($A325="","",COUNTIFS(Assignments!$C$2:$C$769,$A325,Assignments!$G$2:$G$769,"Active"))</f>
        <v/>
      </c>
      <c r="R325" s="32">
        <f>IF($A325="","",SUMIFS(Assignments!$I$2:$I$769,Assignments!$C$2:$C$769,$A325,Assignments!$G$2:$G$769,"Active"))</f>
        <v/>
      </c>
      <c r="S325" s="44" t="n"/>
      <c r="T325" s="31" t="n"/>
      <c r="U325" s="31" t="n"/>
      <c r="V325" s="34">
        <f>IF($U325="","",IFERROR(INDEX(Templates!$K$3:$K$10,MATCH($U325,Templates!$A$3:$A$10,0)),""))</f>
        <v/>
      </c>
      <c r="W325" s="34">
        <f>IF($U325="","",IFERROR(INDEX(Templates!$L$3:$L$10,MATCH($U325,Templates!$A$3:$A$10,0)),""))</f>
        <v/>
      </c>
      <c r="X325" s="21">
        <f>IF($U325="","",IFERROR(INDEX(Templates!$J$3:$J$10,MATCH($U325,Templates!$A$3:$A$10,0)),""))</f>
        <v/>
      </c>
      <c r="Y325" s="35">
        <f>IF(OR($U325="",$I325="",$J325="",$X325=""),"",$I325+$X325*($J325-$I325))</f>
        <v/>
      </c>
      <c r="Z325" s="31" t="n"/>
      <c r="AA325" s="31" t="n"/>
      <c r="AB325" s="31" t="n"/>
      <c r="AC325" s="31" t="n"/>
      <c r="AD325" s="19">
        <f>IF($A325="","",IF($AA325="",$H325,$AA325))</f>
        <v/>
      </c>
      <c r="AE325" s="35">
        <f>IF($A325="","",IF($AB325="",$I325,$AB325))</f>
        <v/>
      </c>
      <c r="AF325" s="35">
        <f>IF($A325="","",IF($AC325="",$J325,$AC325))</f>
        <v/>
      </c>
      <c r="AG325" s="35">
        <f>IF(OR($U325="",$AE325="",$AF325="",$X325=""),"",$AE325+$X325*($AF325-$AE325))</f>
        <v/>
      </c>
      <c r="AH325" s="31" t="n"/>
      <c r="AI325" s="31" t="n"/>
      <c r="AJ325" s="31" t="n"/>
      <c r="AK325" s="31" t="n"/>
      <c r="AL325" s="31" t="n"/>
      <c r="AM325" s="31" t="n"/>
      <c r="AN325" s="31" t="n"/>
      <c r="AO325" s="31" t="n"/>
      <c r="AP325" s="31" t="n"/>
      <c r="AQ325" s="31" t="n"/>
      <c r="AR325" s="31" t="n"/>
      <c r="AS325" s="31" t="n"/>
      <c r="AT325" s="31" t="n"/>
      <c r="AU325" s="31" t="n"/>
      <c r="AV325" s="31" t="n"/>
      <c r="AW325" s="31" t="n"/>
      <c r="AX325" s="31" t="n"/>
      <c r="AY325" s="31" t="n"/>
      <c r="AZ325" s="31" t="n"/>
      <c r="BA325" s="31" t="n"/>
      <c r="BB325" s="31" t="n"/>
      <c r="BC325" s="31" t="n"/>
      <c r="BD325" s="37">
        <f>IF($A325="","",SUM($AY325:$BC325))</f>
        <v/>
      </c>
      <c r="BE325" s="18">
        <f>IF($A325="","",IF(AND($I325&lt;&gt;"",$J325&lt;&gt;""),MAX(1,($J325-$I325)/7),Templates!$B$35))</f>
        <v/>
      </c>
      <c r="BF325" s="18">
        <f>IF($A325="","",IF(AND($I325&lt;&gt;"",$J325&lt;&gt;""),MAX(1,($J325-$I325)/7),Templates!$B$36))</f>
        <v/>
      </c>
      <c r="BG325" s="18">
        <f>IF($A325="","",IF(AND($I325&lt;&gt;"",$J325&lt;&gt;""),MAX(1,($J325-$I325)/7),Templates!$B$37))</f>
        <v/>
      </c>
      <c r="BH325" s="18">
        <f>IF($A325="","",IF(AND($I325&lt;&gt;"",$J325&lt;&gt;""),MAX(1,($J325-$I325)/7),Templates!$B$38))</f>
        <v/>
      </c>
      <c r="BI325" s="18">
        <f>IF($A325="","",IF(AND($I325&lt;&gt;"",$J325&lt;&gt;""),MAX(1,($J325-$I325)/7),Templates!$B$39))</f>
        <v/>
      </c>
      <c r="BJ325" s="18">
        <f>IF(OR($A325="",$BD325=0),0,($AY325*Templates!$B$27/$BE325+$AZ325*Templates!$B$28/$BF325+$BA325*Templates!$B$29/$BG325+$BB325*Templates!$B$30/$BH325+$BC325*Templates!$B$31/$BI325)/Templates!$B$17)</f>
        <v/>
      </c>
      <c r="BK325" s="18">
        <f>IF(OR($A325="",$BD325=0),0,($AY325*Templates!$C$27/$BE325+$AZ325*Templates!$C$28/$BF325+$BA325*Templates!$C$29/$BG325+$BB325*Templates!$C$30/$BH325+$BC325*Templates!$C$31/$BI325)/Templates!$B$18)</f>
        <v/>
      </c>
      <c r="BL325" s="18">
        <f>IF(OR($A325="",$BD325=0),0,($AY325*Templates!$D$27/$BE325+$AZ325*Templates!$D$28/$BF325+$BA325*Templates!$D$29/$BG325+$BB325*Templates!$D$30/$BH325+$BC325*Templates!$D$31/$BI325)/Templates!$B$19)</f>
        <v/>
      </c>
      <c r="BM325" s="18">
        <f>IF(OR($A325="",$BD325=0),0,($AY325*Templates!$E$27/$BE325+$AZ325*Templates!$E$28/$BF325+$BA325*Templates!$E$29/$BG325+$BB325*Templates!$E$30/$BH325+$BC325*Templates!$E$31/$BI325)/Templates!$B$20)</f>
        <v/>
      </c>
      <c r="BN325" s="18">
        <f>IF(OR($A325="",$BD325=0),0,($AY325*Templates!$F$27/$BE325+$AZ325*Templates!$F$28/$BF325+$BA325*Templates!$F$29/$BG325+$BB325*Templates!$F$30/$BH325+$BC325*Templates!$F$31/$BI325)/Templates!$B$21)</f>
        <v/>
      </c>
      <c r="BO325" s="18">
        <f>IF(OR($A325="",$BD325=0),0,($AY325*Templates!$G$27/$BE325+$AZ325*Templates!$G$28/$BF325+$BA325*Templates!$G$29/$BG325+$BB325*Templates!$G$30/$BH325+$BC325*Templates!$G$31/$BI325)/Templates!$B$22)</f>
        <v/>
      </c>
      <c r="BP325" s="18">
        <f>IF(OR($A325="",$BD325=0),0,($AY325*Templates!$H$27/$BE325+$AZ325*Templates!$H$28/$BF325+$BA325*Templates!$H$29/$BG325+$BB325*Templates!$H$30/$BH325+$BC325*Templates!$H$31/$BI325)/Templates!$B$23)</f>
        <v/>
      </c>
    </row>
    <row r="326">
      <c r="A326" s="31" t="n"/>
      <c r="B326" s="44" t="n"/>
      <c r="C326" s="31" t="n"/>
      <c r="D326" s="31" t="n"/>
      <c r="E326" s="31" t="n"/>
      <c r="F326" s="31" t="n"/>
      <c r="G326" s="31" t="n"/>
      <c r="H326" s="31" t="n"/>
      <c r="I326" s="31" t="n"/>
      <c r="J326" s="31" t="n"/>
      <c r="K326" s="31" t="n"/>
      <c r="L326" s="31" t="n"/>
      <c r="M326" s="31" t="n"/>
      <c r="N326" s="31" t="n"/>
      <c r="O326" s="31" t="n"/>
      <c r="P326" s="31" t="n"/>
      <c r="Q326" s="23">
        <f>IF($A326="","",COUNTIFS(Assignments!$C$2:$C$769,$A326,Assignments!$G$2:$G$769,"Active"))</f>
        <v/>
      </c>
      <c r="R326" s="32">
        <f>IF($A326="","",SUMIFS(Assignments!$I$2:$I$769,Assignments!$C$2:$C$769,$A326,Assignments!$G$2:$G$769,"Active"))</f>
        <v/>
      </c>
      <c r="S326" s="44" t="n"/>
      <c r="T326" s="31" t="n"/>
      <c r="U326" s="31" t="n"/>
      <c r="V326" s="34">
        <f>IF($U326="","",IFERROR(INDEX(Templates!$K$3:$K$10,MATCH($U326,Templates!$A$3:$A$10,0)),""))</f>
        <v/>
      </c>
      <c r="W326" s="34">
        <f>IF($U326="","",IFERROR(INDEX(Templates!$L$3:$L$10,MATCH($U326,Templates!$A$3:$A$10,0)),""))</f>
        <v/>
      </c>
      <c r="X326" s="21">
        <f>IF($U326="","",IFERROR(INDEX(Templates!$J$3:$J$10,MATCH($U326,Templates!$A$3:$A$10,0)),""))</f>
        <v/>
      </c>
      <c r="Y326" s="35">
        <f>IF(OR($U326="",$I326="",$J326="",$X326=""),"",$I326+$X326*($J326-$I326))</f>
        <v/>
      </c>
      <c r="Z326" s="31" t="n"/>
      <c r="AA326" s="31" t="n"/>
      <c r="AB326" s="31" t="n"/>
      <c r="AC326" s="31" t="n"/>
      <c r="AD326" s="19">
        <f>IF($A326="","",IF($AA326="",$H326,$AA326))</f>
        <v/>
      </c>
      <c r="AE326" s="35">
        <f>IF($A326="","",IF($AB326="",$I326,$AB326))</f>
        <v/>
      </c>
      <c r="AF326" s="35">
        <f>IF($A326="","",IF($AC326="",$J326,$AC326))</f>
        <v/>
      </c>
      <c r="AG326" s="35">
        <f>IF(OR($U326="",$AE326="",$AF326="",$X326=""),"",$AE326+$X326*($AF326-$AE326))</f>
        <v/>
      </c>
      <c r="AH326" s="31" t="n"/>
      <c r="AI326" s="31" t="n"/>
      <c r="AJ326" s="31" t="n"/>
      <c r="AK326" s="31" t="n"/>
      <c r="AL326" s="31" t="n"/>
      <c r="AM326" s="31" t="n"/>
      <c r="AN326" s="31" t="n"/>
      <c r="AO326" s="31" t="n"/>
      <c r="AP326" s="31" t="n"/>
      <c r="AQ326" s="31" t="n"/>
      <c r="AR326" s="31" t="n"/>
      <c r="AS326" s="31" t="n"/>
      <c r="AT326" s="31" t="n"/>
      <c r="AU326" s="31" t="n"/>
      <c r="AV326" s="31" t="n"/>
      <c r="AW326" s="31" t="n"/>
      <c r="AX326" s="31" t="n"/>
      <c r="AY326" s="31" t="n"/>
      <c r="AZ326" s="31" t="n"/>
      <c r="BA326" s="31" t="n"/>
      <c r="BB326" s="31" t="n"/>
      <c r="BC326" s="31" t="n"/>
      <c r="BD326" s="37">
        <f>IF($A326="","",SUM($AY326:$BC326))</f>
        <v/>
      </c>
      <c r="BE326" s="18">
        <f>IF($A326="","",IF(AND($I326&lt;&gt;"",$J326&lt;&gt;""),MAX(1,($J326-$I326)/7),Templates!$B$35))</f>
        <v/>
      </c>
      <c r="BF326" s="18">
        <f>IF($A326="","",IF(AND($I326&lt;&gt;"",$J326&lt;&gt;""),MAX(1,($J326-$I326)/7),Templates!$B$36))</f>
        <v/>
      </c>
      <c r="BG326" s="18">
        <f>IF($A326="","",IF(AND($I326&lt;&gt;"",$J326&lt;&gt;""),MAX(1,($J326-$I326)/7),Templates!$B$37))</f>
        <v/>
      </c>
      <c r="BH326" s="18">
        <f>IF($A326="","",IF(AND($I326&lt;&gt;"",$J326&lt;&gt;""),MAX(1,($J326-$I326)/7),Templates!$B$38))</f>
        <v/>
      </c>
      <c r="BI326" s="18">
        <f>IF($A326="","",IF(AND($I326&lt;&gt;"",$J326&lt;&gt;""),MAX(1,($J326-$I326)/7),Templates!$B$39))</f>
        <v/>
      </c>
      <c r="BJ326" s="18">
        <f>IF(OR($A326="",$BD326=0),0,($AY326*Templates!$B$27/$BE326+$AZ326*Templates!$B$28/$BF326+$BA326*Templates!$B$29/$BG326+$BB326*Templates!$B$30/$BH326+$BC326*Templates!$B$31/$BI326)/Templates!$B$17)</f>
        <v/>
      </c>
      <c r="BK326" s="18">
        <f>IF(OR($A326="",$BD326=0),0,($AY326*Templates!$C$27/$BE326+$AZ326*Templates!$C$28/$BF326+$BA326*Templates!$C$29/$BG326+$BB326*Templates!$C$30/$BH326+$BC326*Templates!$C$31/$BI326)/Templates!$B$18)</f>
        <v/>
      </c>
      <c r="BL326" s="18">
        <f>IF(OR($A326="",$BD326=0),0,($AY326*Templates!$D$27/$BE326+$AZ326*Templates!$D$28/$BF326+$BA326*Templates!$D$29/$BG326+$BB326*Templates!$D$30/$BH326+$BC326*Templates!$D$31/$BI326)/Templates!$B$19)</f>
        <v/>
      </c>
      <c r="BM326" s="18">
        <f>IF(OR($A326="",$BD326=0),0,($AY326*Templates!$E$27/$BE326+$AZ326*Templates!$E$28/$BF326+$BA326*Templates!$E$29/$BG326+$BB326*Templates!$E$30/$BH326+$BC326*Templates!$E$31/$BI326)/Templates!$B$20)</f>
        <v/>
      </c>
      <c r="BN326" s="18">
        <f>IF(OR($A326="",$BD326=0),0,($AY326*Templates!$F$27/$BE326+$AZ326*Templates!$F$28/$BF326+$BA326*Templates!$F$29/$BG326+$BB326*Templates!$F$30/$BH326+$BC326*Templates!$F$31/$BI326)/Templates!$B$21)</f>
        <v/>
      </c>
      <c r="BO326" s="18">
        <f>IF(OR($A326="",$BD326=0),0,($AY326*Templates!$G$27/$BE326+$AZ326*Templates!$G$28/$BF326+$BA326*Templates!$G$29/$BG326+$BB326*Templates!$G$30/$BH326+$BC326*Templates!$G$31/$BI326)/Templates!$B$22)</f>
        <v/>
      </c>
      <c r="BP326" s="18">
        <f>IF(OR($A326="",$BD326=0),0,($AY326*Templates!$H$27/$BE326+$AZ326*Templates!$H$28/$BF326+$BA326*Templates!$H$29/$BG326+$BB326*Templates!$H$30/$BH326+$BC326*Templates!$H$31/$BI326)/Templates!$B$23)</f>
        <v/>
      </c>
    </row>
    <row r="327">
      <c r="A327" s="31" t="n"/>
      <c r="B327" s="44" t="n"/>
      <c r="C327" s="31" t="n"/>
      <c r="D327" s="31" t="n"/>
      <c r="E327" s="31" t="n"/>
      <c r="F327" s="31" t="n"/>
      <c r="G327" s="31" t="n"/>
      <c r="H327" s="31" t="n"/>
      <c r="I327" s="31" t="n"/>
      <c r="J327" s="31" t="n"/>
      <c r="K327" s="31" t="n"/>
      <c r="L327" s="31" t="n"/>
      <c r="M327" s="31" t="n"/>
      <c r="N327" s="31" t="n"/>
      <c r="O327" s="31" t="n"/>
      <c r="P327" s="31" t="n"/>
      <c r="Q327" s="23">
        <f>IF($A327="","",COUNTIFS(Assignments!$C$2:$C$769,$A327,Assignments!$G$2:$G$769,"Active"))</f>
        <v/>
      </c>
      <c r="R327" s="32">
        <f>IF($A327="","",SUMIFS(Assignments!$I$2:$I$769,Assignments!$C$2:$C$769,$A327,Assignments!$G$2:$G$769,"Active"))</f>
        <v/>
      </c>
      <c r="S327" s="44" t="n"/>
      <c r="T327" s="31" t="n"/>
      <c r="U327" s="31" t="n"/>
      <c r="V327" s="34">
        <f>IF($U327="","",IFERROR(INDEX(Templates!$K$3:$K$10,MATCH($U327,Templates!$A$3:$A$10,0)),""))</f>
        <v/>
      </c>
      <c r="W327" s="34">
        <f>IF($U327="","",IFERROR(INDEX(Templates!$L$3:$L$10,MATCH($U327,Templates!$A$3:$A$10,0)),""))</f>
        <v/>
      </c>
      <c r="X327" s="21">
        <f>IF($U327="","",IFERROR(INDEX(Templates!$J$3:$J$10,MATCH($U327,Templates!$A$3:$A$10,0)),""))</f>
        <v/>
      </c>
      <c r="Y327" s="35">
        <f>IF(OR($U327="",$I327="",$J327="",$X327=""),"",$I327+$X327*($J327-$I327))</f>
        <v/>
      </c>
      <c r="Z327" s="31" t="n"/>
      <c r="AA327" s="31" t="n"/>
      <c r="AB327" s="31" t="n"/>
      <c r="AC327" s="31" t="n"/>
      <c r="AD327" s="19">
        <f>IF($A327="","",IF($AA327="",$H327,$AA327))</f>
        <v/>
      </c>
      <c r="AE327" s="35">
        <f>IF($A327="","",IF($AB327="",$I327,$AB327))</f>
        <v/>
      </c>
      <c r="AF327" s="35">
        <f>IF($A327="","",IF($AC327="",$J327,$AC327))</f>
        <v/>
      </c>
      <c r="AG327" s="35">
        <f>IF(OR($U327="",$AE327="",$AF327="",$X327=""),"",$AE327+$X327*($AF327-$AE327))</f>
        <v/>
      </c>
      <c r="AH327" s="31" t="n"/>
      <c r="AI327" s="31" t="n"/>
      <c r="AJ327" s="31" t="n"/>
      <c r="AK327" s="31" t="n"/>
      <c r="AL327" s="31" t="n"/>
      <c r="AM327" s="31" t="n"/>
      <c r="AN327" s="31" t="n"/>
      <c r="AO327" s="31" t="n"/>
      <c r="AP327" s="31" t="n"/>
      <c r="AQ327" s="31" t="n"/>
      <c r="AR327" s="31" t="n"/>
      <c r="AS327" s="31" t="n"/>
      <c r="AT327" s="31" t="n"/>
      <c r="AU327" s="31" t="n"/>
      <c r="AV327" s="31" t="n"/>
      <c r="AW327" s="31" t="n"/>
      <c r="AX327" s="31" t="n"/>
      <c r="AY327" s="31" t="n"/>
      <c r="AZ327" s="31" t="n"/>
      <c r="BA327" s="31" t="n"/>
      <c r="BB327" s="31" t="n"/>
      <c r="BC327" s="31" t="n"/>
      <c r="BD327" s="37">
        <f>IF($A327="","",SUM($AY327:$BC327))</f>
        <v/>
      </c>
      <c r="BE327" s="18">
        <f>IF($A327="","",IF(AND($I327&lt;&gt;"",$J327&lt;&gt;""),MAX(1,($J327-$I327)/7),Templates!$B$35))</f>
        <v/>
      </c>
      <c r="BF327" s="18">
        <f>IF($A327="","",IF(AND($I327&lt;&gt;"",$J327&lt;&gt;""),MAX(1,($J327-$I327)/7),Templates!$B$36))</f>
        <v/>
      </c>
      <c r="BG327" s="18">
        <f>IF($A327="","",IF(AND($I327&lt;&gt;"",$J327&lt;&gt;""),MAX(1,($J327-$I327)/7),Templates!$B$37))</f>
        <v/>
      </c>
      <c r="BH327" s="18">
        <f>IF($A327="","",IF(AND($I327&lt;&gt;"",$J327&lt;&gt;""),MAX(1,($J327-$I327)/7),Templates!$B$38))</f>
        <v/>
      </c>
      <c r="BI327" s="18">
        <f>IF($A327="","",IF(AND($I327&lt;&gt;"",$J327&lt;&gt;""),MAX(1,($J327-$I327)/7),Templates!$B$39))</f>
        <v/>
      </c>
      <c r="BJ327" s="18">
        <f>IF(OR($A327="",$BD327=0),0,($AY327*Templates!$B$27/$BE327+$AZ327*Templates!$B$28/$BF327+$BA327*Templates!$B$29/$BG327+$BB327*Templates!$B$30/$BH327+$BC327*Templates!$B$31/$BI327)/Templates!$B$17)</f>
        <v/>
      </c>
      <c r="BK327" s="18">
        <f>IF(OR($A327="",$BD327=0),0,($AY327*Templates!$C$27/$BE327+$AZ327*Templates!$C$28/$BF327+$BA327*Templates!$C$29/$BG327+$BB327*Templates!$C$30/$BH327+$BC327*Templates!$C$31/$BI327)/Templates!$B$18)</f>
        <v/>
      </c>
      <c r="BL327" s="18">
        <f>IF(OR($A327="",$BD327=0),0,($AY327*Templates!$D$27/$BE327+$AZ327*Templates!$D$28/$BF327+$BA327*Templates!$D$29/$BG327+$BB327*Templates!$D$30/$BH327+$BC327*Templates!$D$31/$BI327)/Templates!$B$19)</f>
        <v/>
      </c>
      <c r="BM327" s="18">
        <f>IF(OR($A327="",$BD327=0),0,($AY327*Templates!$E$27/$BE327+$AZ327*Templates!$E$28/$BF327+$BA327*Templates!$E$29/$BG327+$BB327*Templates!$E$30/$BH327+$BC327*Templates!$E$31/$BI327)/Templates!$B$20)</f>
        <v/>
      </c>
      <c r="BN327" s="18">
        <f>IF(OR($A327="",$BD327=0),0,($AY327*Templates!$F$27/$BE327+$AZ327*Templates!$F$28/$BF327+$BA327*Templates!$F$29/$BG327+$BB327*Templates!$F$30/$BH327+$BC327*Templates!$F$31/$BI327)/Templates!$B$21)</f>
        <v/>
      </c>
      <c r="BO327" s="18">
        <f>IF(OR($A327="",$BD327=0),0,($AY327*Templates!$G$27/$BE327+$AZ327*Templates!$G$28/$BF327+$BA327*Templates!$G$29/$BG327+$BB327*Templates!$G$30/$BH327+$BC327*Templates!$G$31/$BI327)/Templates!$B$22)</f>
        <v/>
      </c>
      <c r="BP327" s="18">
        <f>IF(OR($A327="",$BD327=0),0,($AY327*Templates!$H$27/$BE327+$AZ327*Templates!$H$28/$BF327+$BA327*Templates!$H$29/$BG327+$BB327*Templates!$H$30/$BH327+$BC327*Templates!$H$31/$BI327)/Templates!$B$23)</f>
        <v/>
      </c>
    </row>
    <row r="328">
      <c r="A328" s="31" t="n"/>
      <c r="B328" s="44" t="n"/>
      <c r="C328" s="31" t="n"/>
      <c r="D328" s="31" t="n"/>
      <c r="E328" s="31" t="n"/>
      <c r="F328" s="31" t="n"/>
      <c r="G328" s="31" t="n"/>
      <c r="H328" s="31" t="n"/>
      <c r="I328" s="31" t="n"/>
      <c r="J328" s="31" t="n"/>
      <c r="K328" s="31" t="n"/>
      <c r="L328" s="31" t="n"/>
      <c r="M328" s="31" t="n"/>
      <c r="N328" s="31" t="n"/>
      <c r="O328" s="31" t="n"/>
      <c r="P328" s="31" t="n"/>
      <c r="Q328" s="23">
        <f>IF($A328="","",COUNTIFS(Assignments!$C$2:$C$769,$A328,Assignments!$G$2:$G$769,"Active"))</f>
        <v/>
      </c>
      <c r="R328" s="32">
        <f>IF($A328="","",SUMIFS(Assignments!$I$2:$I$769,Assignments!$C$2:$C$769,$A328,Assignments!$G$2:$G$769,"Active"))</f>
        <v/>
      </c>
      <c r="S328" s="44" t="n"/>
      <c r="T328" s="31" t="n"/>
      <c r="U328" s="31" t="n"/>
      <c r="V328" s="34">
        <f>IF($U328="","",IFERROR(INDEX(Templates!$K$3:$K$10,MATCH($U328,Templates!$A$3:$A$10,0)),""))</f>
        <v/>
      </c>
      <c r="W328" s="34">
        <f>IF($U328="","",IFERROR(INDEX(Templates!$L$3:$L$10,MATCH($U328,Templates!$A$3:$A$10,0)),""))</f>
        <v/>
      </c>
      <c r="X328" s="21">
        <f>IF($U328="","",IFERROR(INDEX(Templates!$J$3:$J$10,MATCH($U328,Templates!$A$3:$A$10,0)),""))</f>
        <v/>
      </c>
      <c r="Y328" s="35">
        <f>IF(OR($U328="",$I328="",$J328="",$X328=""),"",$I328+$X328*($J328-$I328))</f>
        <v/>
      </c>
      <c r="Z328" s="31" t="n"/>
      <c r="AA328" s="31" t="n"/>
      <c r="AB328" s="31" t="n"/>
      <c r="AC328" s="31" t="n"/>
      <c r="AD328" s="19">
        <f>IF($A328="","",IF($AA328="",$H328,$AA328))</f>
        <v/>
      </c>
      <c r="AE328" s="35">
        <f>IF($A328="","",IF($AB328="",$I328,$AB328))</f>
        <v/>
      </c>
      <c r="AF328" s="35">
        <f>IF($A328="","",IF($AC328="",$J328,$AC328))</f>
        <v/>
      </c>
      <c r="AG328" s="35">
        <f>IF(OR($U328="",$AE328="",$AF328="",$X328=""),"",$AE328+$X328*($AF328-$AE328))</f>
        <v/>
      </c>
      <c r="AH328" s="31" t="n"/>
      <c r="AI328" s="31" t="n"/>
      <c r="AJ328" s="31" t="n"/>
      <c r="AK328" s="31" t="n"/>
      <c r="AL328" s="31" t="n"/>
      <c r="AM328" s="31" t="n"/>
      <c r="AN328" s="31" t="n"/>
      <c r="AO328" s="31" t="n"/>
      <c r="AP328" s="31" t="n"/>
      <c r="AQ328" s="31" t="n"/>
      <c r="AR328" s="31" t="n"/>
      <c r="AS328" s="31" t="n"/>
      <c r="AT328" s="31" t="n"/>
      <c r="AU328" s="31" t="n"/>
      <c r="AV328" s="31" t="n"/>
      <c r="AW328" s="31" t="n"/>
      <c r="AX328" s="31" t="n"/>
      <c r="AY328" s="31" t="n"/>
      <c r="AZ328" s="31" t="n"/>
      <c r="BA328" s="31" t="n"/>
      <c r="BB328" s="31" t="n"/>
      <c r="BC328" s="31" t="n"/>
      <c r="BD328" s="37">
        <f>IF($A328="","",SUM($AY328:$BC328))</f>
        <v/>
      </c>
      <c r="BE328" s="18">
        <f>IF($A328="","",IF(AND($I328&lt;&gt;"",$J328&lt;&gt;""),MAX(1,($J328-$I328)/7),Templates!$B$35))</f>
        <v/>
      </c>
      <c r="BF328" s="18">
        <f>IF($A328="","",IF(AND($I328&lt;&gt;"",$J328&lt;&gt;""),MAX(1,($J328-$I328)/7),Templates!$B$36))</f>
        <v/>
      </c>
      <c r="BG328" s="18">
        <f>IF($A328="","",IF(AND($I328&lt;&gt;"",$J328&lt;&gt;""),MAX(1,($J328-$I328)/7),Templates!$B$37))</f>
        <v/>
      </c>
      <c r="BH328" s="18">
        <f>IF($A328="","",IF(AND($I328&lt;&gt;"",$J328&lt;&gt;""),MAX(1,($J328-$I328)/7),Templates!$B$38))</f>
        <v/>
      </c>
      <c r="BI328" s="18">
        <f>IF($A328="","",IF(AND($I328&lt;&gt;"",$J328&lt;&gt;""),MAX(1,($J328-$I328)/7),Templates!$B$39))</f>
        <v/>
      </c>
      <c r="BJ328" s="18">
        <f>IF(OR($A328="",$BD328=0),0,($AY328*Templates!$B$27/$BE328+$AZ328*Templates!$B$28/$BF328+$BA328*Templates!$B$29/$BG328+$BB328*Templates!$B$30/$BH328+$BC328*Templates!$B$31/$BI328)/Templates!$B$17)</f>
        <v/>
      </c>
      <c r="BK328" s="18">
        <f>IF(OR($A328="",$BD328=0),0,($AY328*Templates!$C$27/$BE328+$AZ328*Templates!$C$28/$BF328+$BA328*Templates!$C$29/$BG328+$BB328*Templates!$C$30/$BH328+$BC328*Templates!$C$31/$BI328)/Templates!$B$18)</f>
        <v/>
      </c>
      <c r="BL328" s="18">
        <f>IF(OR($A328="",$BD328=0),0,($AY328*Templates!$D$27/$BE328+$AZ328*Templates!$D$28/$BF328+$BA328*Templates!$D$29/$BG328+$BB328*Templates!$D$30/$BH328+$BC328*Templates!$D$31/$BI328)/Templates!$B$19)</f>
        <v/>
      </c>
      <c r="BM328" s="18">
        <f>IF(OR($A328="",$BD328=0),0,($AY328*Templates!$E$27/$BE328+$AZ328*Templates!$E$28/$BF328+$BA328*Templates!$E$29/$BG328+$BB328*Templates!$E$30/$BH328+$BC328*Templates!$E$31/$BI328)/Templates!$B$20)</f>
        <v/>
      </c>
      <c r="BN328" s="18">
        <f>IF(OR($A328="",$BD328=0),0,($AY328*Templates!$F$27/$BE328+$AZ328*Templates!$F$28/$BF328+$BA328*Templates!$F$29/$BG328+$BB328*Templates!$F$30/$BH328+$BC328*Templates!$F$31/$BI328)/Templates!$B$21)</f>
        <v/>
      </c>
      <c r="BO328" s="18">
        <f>IF(OR($A328="",$BD328=0),0,($AY328*Templates!$G$27/$BE328+$AZ328*Templates!$G$28/$BF328+$BA328*Templates!$G$29/$BG328+$BB328*Templates!$G$30/$BH328+$BC328*Templates!$G$31/$BI328)/Templates!$B$22)</f>
        <v/>
      </c>
      <c r="BP328" s="18">
        <f>IF(OR($A328="",$BD328=0),0,($AY328*Templates!$H$27/$BE328+$AZ328*Templates!$H$28/$BF328+$BA328*Templates!$H$29/$BG328+$BB328*Templates!$H$30/$BH328+$BC328*Templates!$H$31/$BI328)/Templates!$B$23)</f>
        <v/>
      </c>
    </row>
    <row r="329">
      <c r="A329" s="31" t="n"/>
      <c r="B329" s="44" t="n"/>
      <c r="C329" s="31" t="n"/>
      <c r="D329" s="31" t="n"/>
      <c r="E329" s="31" t="n"/>
      <c r="F329" s="31" t="n"/>
      <c r="G329" s="31" t="n"/>
      <c r="H329" s="31" t="n"/>
      <c r="I329" s="31" t="n"/>
      <c r="J329" s="31" t="n"/>
      <c r="K329" s="31" t="n"/>
      <c r="L329" s="31" t="n"/>
      <c r="M329" s="31" t="n"/>
      <c r="N329" s="31" t="n"/>
      <c r="O329" s="31" t="n"/>
      <c r="P329" s="31" t="n"/>
      <c r="Q329" s="23">
        <f>IF($A329="","",COUNTIFS(Assignments!$C$2:$C$769,$A329,Assignments!$G$2:$G$769,"Active"))</f>
        <v/>
      </c>
      <c r="R329" s="32">
        <f>IF($A329="","",SUMIFS(Assignments!$I$2:$I$769,Assignments!$C$2:$C$769,$A329,Assignments!$G$2:$G$769,"Active"))</f>
        <v/>
      </c>
      <c r="S329" s="44" t="n"/>
      <c r="T329" s="31" t="n"/>
      <c r="U329" s="31" t="n"/>
      <c r="V329" s="34">
        <f>IF($U329="","",IFERROR(INDEX(Templates!$K$3:$K$10,MATCH($U329,Templates!$A$3:$A$10,0)),""))</f>
        <v/>
      </c>
      <c r="W329" s="34">
        <f>IF($U329="","",IFERROR(INDEX(Templates!$L$3:$L$10,MATCH($U329,Templates!$A$3:$A$10,0)),""))</f>
        <v/>
      </c>
      <c r="X329" s="21">
        <f>IF($U329="","",IFERROR(INDEX(Templates!$J$3:$J$10,MATCH($U329,Templates!$A$3:$A$10,0)),""))</f>
        <v/>
      </c>
      <c r="Y329" s="35">
        <f>IF(OR($U329="",$I329="",$J329="",$X329=""),"",$I329+$X329*($J329-$I329))</f>
        <v/>
      </c>
      <c r="Z329" s="31" t="n"/>
      <c r="AA329" s="31" t="n"/>
      <c r="AB329" s="31" t="n"/>
      <c r="AC329" s="31" t="n"/>
      <c r="AD329" s="19">
        <f>IF($A329="","",IF($AA329="",$H329,$AA329))</f>
        <v/>
      </c>
      <c r="AE329" s="35">
        <f>IF($A329="","",IF($AB329="",$I329,$AB329))</f>
        <v/>
      </c>
      <c r="AF329" s="35">
        <f>IF($A329="","",IF($AC329="",$J329,$AC329))</f>
        <v/>
      </c>
      <c r="AG329" s="35">
        <f>IF(OR($U329="",$AE329="",$AF329="",$X329=""),"",$AE329+$X329*($AF329-$AE329))</f>
        <v/>
      </c>
      <c r="AH329" s="31" t="n"/>
      <c r="AI329" s="31" t="n"/>
      <c r="AJ329" s="31" t="n"/>
      <c r="AK329" s="31" t="n"/>
      <c r="AL329" s="31" t="n"/>
      <c r="AM329" s="31" t="n"/>
      <c r="AN329" s="31" t="n"/>
      <c r="AO329" s="31" t="n"/>
      <c r="AP329" s="31" t="n"/>
      <c r="AQ329" s="31" t="n"/>
      <c r="AR329" s="31" t="n"/>
      <c r="AS329" s="31" t="n"/>
      <c r="AT329" s="31" t="n"/>
      <c r="AU329" s="31" t="n"/>
      <c r="AV329" s="31" t="n"/>
      <c r="AW329" s="31" t="n"/>
      <c r="AX329" s="31" t="n"/>
      <c r="AY329" s="31" t="n"/>
      <c r="AZ329" s="31" t="n"/>
      <c r="BA329" s="31" t="n"/>
      <c r="BB329" s="31" t="n"/>
      <c r="BC329" s="31" t="n"/>
      <c r="BD329" s="37">
        <f>IF($A329="","",SUM($AY329:$BC329))</f>
        <v/>
      </c>
      <c r="BE329" s="18">
        <f>IF($A329="","",IF(AND($I329&lt;&gt;"",$J329&lt;&gt;""),MAX(1,($J329-$I329)/7),Templates!$B$35))</f>
        <v/>
      </c>
      <c r="BF329" s="18">
        <f>IF($A329="","",IF(AND($I329&lt;&gt;"",$J329&lt;&gt;""),MAX(1,($J329-$I329)/7),Templates!$B$36))</f>
        <v/>
      </c>
      <c r="BG329" s="18">
        <f>IF($A329="","",IF(AND($I329&lt;&gt;"",$J329&lt;&gt;""),MAX(1,($J329-$I329)/7),Templates!$B$37))</f>
        <v/>
      </c>
      <c r="BH329" s="18">
        <f>IF($A329="","",IF(AND($I329&lt;&gt;"",$J329&lt;&gt;""),MAX(1,($J329-$I329)/7),Templates!$B$38))</f>
        <v/>
      </c>
      <c r="BI329" s="18">
        <f>IF($A329="","",IF(AND($I329&lt;&gt;"",$J329&lt;&gt;""),MAX(1,($J329-$I329)/7),Templates!$B$39))</f>
        <v/>
      </c>
      <c r="BJ329" s="18">
        <f>IF(OR($A329="",$BD329=0),0,($AY329*Templates!$B$27/$BE329+$AZ329*Templates!$B$28/$BF329+$BA329*Templates!$B$29/$BG329+$BB329*Templates!$B$30/$BH329+$BC329*Templates!$B$31/$BI329)/Templates!$B$17)</f>
        <v/>
      </c>
      <c r="BK329" s="18">
        <f>IF(OR($A329="",$BD329=0),0,($AY329*Templates!$C$27/$BE329+$AZ329*Templates!$C$28/$BF329+$BA329*Templates!$C$29/$BG329+$BB329*Templates!$C$30/$BH329+$BC329*Templates!$C$31/$BI329)/Templates!$B$18)</f>
        <v/>
      </c>
      <c r="BL329" s="18">
        <f>IF(OR($A329="",$BD329=0),0,($AY329*Templates!$D$27/$BE329+$AZ329*Templates!$D$28/$BF329+$BA329*Templates!$D$29/$BG329+$BB329*Templates!$D$30/$BH329+$BC329*Templates!$D$31/$BI329)/Templates!$B$19)</f>
        <v/>
      </c>
      <c r="BM329" s="18">
        <f>IF(OR($A329="",$BD329=0),0,($AY329*Templates!$E$27/$BE329+$AZ329*Templates!$E$28/$BF329+$BA329*Templates!$E$29/$BG329+$BB329*Templates!$E$30/$BH329+$BC329*Templates!$E$31/$BI329)/Templates!$B$20)</f>
        <v/>
      </c>
      <c r="BN329" s="18">
        <f>IF(OR($A329="",$BD329=0),0,($AY329*Templates!$F$27/$BE329+$AZ329*Templates!$F$28/$BF329+$BA329*Templates!$F$29/$BG329+$BB329*Templates!$F$30/$BH329+$BC329*Templates!$F$31/$BI329)/Templates!$B$21)</f>
        <v/>
      </c>
      <c r="BO329" s="18">
        <f>IF(OR($A329="",$BD329=0),0,($AY329*Templates!$G$27/$BE329+$AZ329*Templates!$G$28/$BF329+$BA329*Templates!$G$29/$BG329+$BB329*Templates!$G$30/$BH329+$BC329*Templates!$G$31/$BI329)/Templates!$B$22)</f>
        <v/>
      </c>
      <c r="BP329" s="18">
        <f>IF(OR($A329="",$BD329=0),0,($AY329*Templates!$H$27/$BE329+$AZ329*Templates!$H$28/$BF329+$BA329*Templates!$H$29/$BG329+$BB329*Templates!$H$30/$BH329+$BC329*Templates!$H$31/$BI329)/Templates!$B$23)</f>
        <v/>
      </c>
    </row>
    <row r="330">
      <c r="A330" s="31" t="n"/>
      <c r="B330" s="44" t="n"/>
      <c r="C330" s="31" t="n"/>
      <c r="D330" s="31" t="n"/>
      <c r="E330" s="31" t="n"/>
      <c r="F330" s="31" t="n"/>
      <c r="G330" s="31" t="n"/>
      <c r="H330" s="31" t="n"/>
      <c r="I330" s="31" t="n"/>
      <c r="J330" s="31" t="n"/>
      <c r="K330" s="31" t="n"/>
      <c r="L330" s="31" t="n"/>
      <c r="M330" s="31" t="n"/>
      <c r="N330" s="31" t="n"/>
      <c r="O330" s="31" t="n"/>
      <c r="P330" s="31" t="n"/>
      <c r="Q330" s="23">
        <f>IF($A330="","",COUNTIFS(Assignments!$C$2:$C$769,$A330,Assignments!$G$2:$G$769,"Active"))</f>
        <v/>
      </c>
      <c r="R330" s="32">
        <f>IF($A330="","",SUMIFS(Assignments!$I$2:$I$769,Assignments!$C$2:$C$769,$A330,Assignments!$G$2:$G$769,"Active"))</f>
        <v/>
      </c>
      <c r="S330" s="44" t="n"/>
      <c r="T330" s="31" t="n"/>
      <c r="U330" s="31" t="n"/>
      <c r="V330" s="34">
        <f>IF($U330="","",IFERROR(INDEX(Templates!$K$3:$K$10,MATCH($U330,Templates!$A$3:$A$10,0)),""))</f>
        <v/>
      </c>
      <c r="W330" s="34">
        <f>IF($U330="","",IFERROR(INDEX(Templates!$L$3:$L$10,MATCH($U330,Templates!$A$3:$A$10,0)),""))</f>
        <v/>
      </c>
      <c r="X330" s="21">
        <f>IF($U330="","",IFERROR(INDEX(Templates!$J$3:$J$10,MATCH($U330,Templates!$A$3:$A$10,0)),""))</f>
        <v/>
      </c>
      <c r="Y330" s="35">
        <f>IF(OR($U330="",$I330="",$J330="",$X330=""),"",$I330+$X330*($J330-$I330))</f>
        <v/>
      </c>
      <c r="Z330" s="31" t="n"/>
      <c r="AA330" s="31" t="n"/>
      <c r="AB330" s="31" t="n"/>
      <c r="AC330" s="31" t="n"/>
      <c r="AD330" s="19">
        <f>IF($A330="","",IF($AA330="",$H330,$AA330))</f>
        <v/>
      </c>
      <c r="AE330" s="35">
        <f>IF($A330="","",IF($AB330="",$I330,$AB330))</f>
        <v/>
      </c>
      <c r="AF330" s="35">
        <f>IF($A330="","",IF($AC330="",$J330,$AC330))</f>
        <v/>
      </c>
      <c r="AG330" s="35">
        <f>IF(OR($U330="",$AE330="",$AF330="",$X330=""),"",$AE330+$X330*($AF330-$AE330))</f>
        <v/>
      </c>
      <c r="AH330" s="31" t="n"/>
      <c r="AI330" s="31" t="n"/>
      <c r="AJ330" s="31" t="n"/>
      <c r="AK330" s="31" t="n"/>
      <c r="AL330" s="31" t="n"/>
      <c r="AM330" s="31" t="n"/>
      <c r="AN330" s="31" t="n"/>
      <c r="AO330" s="31" t="n"/>
      <c r="AP330" s="31" t="n"/>
      <c r="AQ330" s="31" t="n"/>
      <c r="AR330" s="31" t="n"/>
      <c r="AS330" s="31" t="n"/>
      <c r="AT330" s="31" t="n"/>
      <c r="AU330" s="31" t="n"/>
      <c r="AV330" s="31" t="n"/>
      <c r="AW330" s="31" t="n"/>
      <c r="AX330" s="31" t="n"/>
      <c r="AY330" s="31" t="n"/>
      <c r="AZ330" s="31" t="n"/>
      <c r="BA330" s="31" t="n"/>
      <c r="BB330" s="31" t="n"/>
      <c r="BC330" s="31" t="n"/>
      <c r="BD330" s="37">
        <f>IF($A330="","",SUM($AY330:$BC330))</f>
        <v/>
      </c>
      <c r="BE330" s="18">
        <f>IF($A330="","",IF(AND($I330&lt;&gt;"",$J330&lt;&gt;""),MAX(1,($J330-$I330)/7),Templates!$B$35))</f>
        <v/>
      </c>
      <c r="BF330" s="18">
        <f>IF($A330="","",IF(AND($I330&lt;&gt;"",$J330&lt;&gt;""),MAX(1,($J330-$I330)/7),Templates!$B$36))</f>
        <v/>
      </c>
      <c r="BG330" s="18">
        <f>IF($A330="","",IF(AND($I330&lt;&gt;"",$J330&lt;&gt;""),MAX(1,($J330-$I330)/7),Templates!$B$37))</f>
        <v/>
      </c>
      <c r="BH330" s="18">
        <f>IF($A330="","",IF(AND($I330&lt;&gt;"",$J330&lt;&gt;""),MAX(1,($J330-$I330)/7),Templates!$B$38))</f>
        <v/>
      </c>
      <c r="BI330" s="18">
        <f>IF($A330="","",IF(AND($I330&lt;&gt;"",$J330&lt;&gt;""),MAX(1,($J330-$I330)/7),Templates!$B$39))</f>
        <v/>
      </c>
      <c r="BJ330" s="18">
        <f>IF(OR($A330="",$BD330=0),0,($AY330*Templates!$B$27/$BE330+$AZ330*Templates!$B$28/$BF330+$BA330*Templates!$B$29/$BG330+$BB330*Templates!$B$30/$BH330+$BC330*Templates!$B$31/$BI330)/Templates!$B$17)</f>
        <v/>
      </c>
      <c r="BK330" s="18">
        <f>IF(OR($A330="",$BD330=0),0,($AY330*Templates!$C$27/$BE330+$AZ330*Templates!$C$28/$BF330+$BA330*Templates!$C$29/$BG330+$BB330*Templates!$C$30/$BH330+$BC330*Templates!$C$31/$BI330)/Templates!$B$18)</f>
        <v/>
      </c>
      <c r="BL330" s="18">
        <f>IF(OR($A330="",$BD330=0),0,($AY330*Templates!$D$27/$BE330+$AZ330*Templates!$D$28/$BF330+$BA330*Templates!$D$29/$BG330+$BB330*Templates!$D$30/$BH330+$BC330*Templates!$D$31/$BI330)/Templates!$B$19)</f>
        <v/>
      </c>
      <c r="BM330" s="18">
        <f>IF(OR($A330="",$BD330=0),0,($AY330*Templates!$E$27/$BE330+$AZ330*Templates!$E$28/$BF330+$BA330*Templates!$E$29/$BG330+$BB330*Templates!$E$30/$BH330+$BC330*Templates!$E$31/$BI330)/Templates!$B$20)</f>
        <v/>
      </c>
      <c r="BN330" s="18">
        <f>IF(OR($A330="",$BD330=0),0,($AY330*Templates!$F$27/$BE330+$AZ330*Templates!$F$28/$BF330+$BA330*Templates!$F$29/$BG330+$BB330*Templates!$F$30/$BH330+$BC330*Templates!$F$31/$BI330)/Templates!$B$21)</f>
        <v/>
      </c>
      <c r="BO330" s="18">
        <f>IF(OR($A330="",$BD330=0),0,($AY330*Templates!$G$27/$BE330+$AZ330*Templates!$G$28/$BF330+$BA330*Templates!$G$29/$BG330+$BB330*Templates!$G$30/$BH330+$BC330*Templates!$G$31/$BI330)/Templates!$B$22)</f>
        <v/>
      </c>
      <c r="BP330" s="18">
        <f>IF(OR($A330="",$BD330=0),0,($AY330*Templates!$H$27/$BE330+$AZ330*Templates!$H$28/$BF330+$BA330*Templates!$H$29/$BG330+$BB330*Templates!$H$30/$BH330+$BC330*Templates!$H$31/$BI330)/Templates!$B$23)</f>
        <v/>
      </c>
    </row>
    <row r="331">
      <c r="A331" s="31" t="n"/>
      <c r="B331" s="44" t="n"/>
      <c r="C331" s="31" t="n"/>
      <c r="D331" s="31" t="n"/>
      <c r="E331" s="31" t="n"/>
      <c r="F331" s="31" t="n"/>
      <c r="G331" s="31" t="n"/>
      <c r="H331" s="31" t="n"/>
      <c r="I331" s="31" t="n"/>
      <c r="J331" s="31" t="n"/>
      <c r="K331" s="31" t="n"/>
      <c r="L331" s="31" t="n"/>
      <c r="M331" s="31" t="n"/>
      <c r="N331" s="31" t="n"/>
      <c r="O331" s="31" t="n"/>
      <c r="P331" s="31" t="n"/>
      <c r="Q331" s="23">
        <f>IF($A331="","",COUNTIFS(Assignments!$C$2:$C$769,$A331,Assignments!$G$2:$G$769,"Active"))</f>
        <v/>
      </c>
      <c r="R331" s="32">
        <f>IF($A331="","",SUMIFS(Assignments!$I$2:$I$769,Assignments!$C$2:$C$769,$A331,Assignments!$G$2:$G$769,"Active"))</f>
        <v/>
      </c>
      <c r="S331" s="44" t="n"/>
      <c r="T331" s="31" t="n"/>
      <c r="U331" s="31" t="n"/>
      <c r="V331" s="34">
        <f>IF($U331="","",IFERROR(INDEX(Templates!$K$3:$K$10,MATCH($U331,Templates!$A$3:$A$10,0)),""))</f>
        <v/>
      </c>
      <c r="W331" s="34">
        <f>IF($U331="","",IFERROR(INDEX(Templates!$L$3:$L$10,MATCH($U331,Templates!$A$3:$A$10,0)),""))</f>
        <v/>
      </c>
      <c r="X331" s="21">
        <f>IF($U331="","",IFERROR(INDEX(Templates!$J$3:$J$10,MATCH($U331,Templates!$A$3:$A$10,0)),""))</f>
        <v/>
      </c>
      <c r="Y331" s="35">
        <f>IF(OR($U331="",$I331="",$J331="",$X331=""),"",$I331+$X331*($J331-$I331))</f>
        <v/>
      </c>
      <c r="Z331" s="31" t="n"/>
      <c r="AA331" s="31" t="n"/>
      <c r="AB331" s="31" t="n"/>
      <c r="AC331" s="31" t="n"/>
      <c r="AD331" s="19">
        <f>IF($A331="","",IF($AA331="",$H331,$AA331))</f>
        <v/>
      </c>
      <c r="AE331" s="35">
        <f>IF($A331="","",IF($AB331="",$I331,$AB331))</f>
        <v/>
      </c>
      <c r="AF331" s="35">
        <f>IF($A331="","",IF($AC331="",$J331,$AC331))</f>
        <v/>
      </c>
      <c r="AG331" s="35">
        <f>IF(OR($U331="",$AE331="",$AF331="",$X331=""),"",$AE331+$X331*($AF331-$AE331))</f>
        <v/>
      </c>
      <c r="AH331" s="31" t="n"/>
      <c r="AI331" s="31" t="n"/>
      <c r="AJ331" s="31" t="n"/>
      <c r="AK331" s="31" t="n"/>
      <c r="AL331" s="31" t="n"/>
      <c r="AM331" s="31" t="n"/>
      <c r="AN331" s="31" t="n"/>
      <c r="AO331" s="31" t="n"/>
      <c r="AP331" s="31" t="n"/>
      <c r="AQ331" s="31" t="n"/>
      <c r="AR331" s="31" t="n"/>
      <c r="AS331" s="31" t="n"/>
      <c r="AT331" s="31" t="n"/>
      <c r="AU331" s="31" t="n"/>
      <c r="AV331" s="31" t="n"/>
      <c r="AW331" s="31" t="n"/>
      <c r="AX331" s="31" t="n"/>
      <c r="AY331" s="31" t="n"/>
      <c r="AZ331" s="31" t="n"/>
      <c r="BA331" s="31" t="n"/>
      <c r="BB331" s="31" t="n"/>
      <c r="BC331" s="31" t="n"/>
      <c r="BD331" s="37">
        <f>IF($A331="","",SUM($AY331:$BC331))</f>
        <v/>
      </c>
      <c r="BE331" s="18">
        <f>IF($A331="","",IF(AND($I331&lt;&gt;"",$J331&lt;&gt;""),MAX(1,($J331-$I331)/7),Templates!$B$35))</f>
        <v/>
      </c>
      <c r="BF331" s="18">
        <f>IF($A331="","",IF(AND($I331&lt;&gt;"",$J331&lt;&gt;""),MAX(1,($J331-$I331)/7),Templates!$B$36))</f>
        <v/>
      </c>
      <c r="BG331" s="18">
        <f>IF($A331="","",IF(AND($I331&lt;&gt;"",$J331&lt;&gt;""),MAX(1,($J331-$I331)/7),Templates!$B$37))</f>
        <v/>
      </c>
      <c r="BH331" s="18">
        <f>IF($A331="","",IF(AND($I331&lt;&gt;"",$J331&lt;&gt;""),MAX(1,($J331-$I331)/7),Templates!$B$38))</f>
        <v/>
      </c>
      <c r="BI331" s="18">
        <f>IF($A331="","",IF(AND($I331&lt;&gt;"",$J331&lt;&gt;""),MAX(1,($J331-$I331)/7),Templates!$B$39))</f>
        <v/>
      </c>
      <c r="BJ331" s="18">
        <f>IF(OR($A331="",$BD331=0),0,($AY331*Templates!$B$27/$BE331+$AZ331*Templates!$B$28/$BF331+$BA331*Templates!$B$29/$BG331+$BB331*Templates!$B$30/$BH331+$BC331*Templates!$B$31/$BI331)/Templates!$B$17)</f>
        <v/>
      </c>
      <c r="BK331" s="18">
        <f>IF(OR($A331="",$BD331=0),0,($AY331*Templates!$C$27/$BE331+$AZ331*Templates!$C$28/$BF331+$BA331*Templates!$C$29/$BG331+$BB331*Templates!$C$30/$BH331+$BC331*Templates!$C$31/$BI331)/Templates!$B$18)</f>
        <v/>
      </c>
      <c r="BL331" s="18">
        <f>IF(OR($A331="",$BD331=0),0,($AY331*Templates!$D$27/$BE331+$AZ331*Templates!$D$28/$BF331+$BA331*Templates!$D$29/$BG331+$BB331*Templates!$D$30/$BH331+$BC331*Templates!$D$31/$BI331)/Templates!$B$19)</f>
        <v/>
      </c>
      <c r="BM331" s="18">
        <f>IF(OR($A331="",$BD331=0),0,($AY331*Templates!$E$27/$BE331+$AZ331*Templates!$E$28/$BF331+$BA331*Templates!$E$29/$BG331+$BB331*Templates!$E$30/$BH331+$BC331*Templates!$E$31/$BI331)/Templates!$B$20)</f>
        <v/>
      </c>
      <c r="BN331" s="18">
        <f>IF(OR($A331="",$BD331=0),0,($AY331*Templates!$F$27/$BE331+$AZ331*Templates!$F$28/$BF331+$BA331*Templates!$F$29/$BG331+$BB331*Templates!$F$30/$BH331+$BC331*Templates!$F$31/$BI331)/Templates!$B$21)</f>
        <v/>
      </c>
      <c r="BO331" s="18">
        <f>IF(OR($A331="",$BD331=0),0,($AY331*Templates!$G$27/$BE331+$AZ331*Templates!$G$28/$BF331+$BA331*Templates!$G$29/$BG331+$BB331*Templates!$G$30/$BH331+$BC331*Templates!$G$31/$BI331)/Templates!$B$22)</f>
        <v/>
      </c>
      <c r="BP331" s="18">
        <f>IF(OR($A331="",$BD331=0),0,($AY331*Templates!$H$27/$BE331+$AZ331*Templates!$H$28/$BF331+$BA331*Templates!$H$29/$BG331+$BB331*Templates!$H$30/$BH331+$BC331*Templates!$H$31/$BI331)/Templates!$B$23)</f>
        <v/>
      </c>
    </row>
    <row r="332">
      <c r="A332" s="31" t="n"/>
      <c r="B332" s="44" t="n"/>
      <c r="C332" s="31" t="n"/>
      <c r="D332" s="31" t="n"/>
      <c r="E332" s="31" t="n"/>
      <c r="F332" s="31" t="n"/>
      <c r="G332" s="31" t="n"/>
      <c r="H332" s="31" t="n"/>
      <c r="I332" s="31" t="n"/>
      <c r="J332" s="31" t="n"/>
      <c r="K332" s="31" t="n"/>
      <c r="L332" s="31" t="n"/>
      <c r="M332" s="31" t="n"/>
      <c r="N332" s="31" t="n"/>
      <c r="O332" s="31" t="n"/>
      <c r="P332" s="31" t="n"/>
      <c r="Q332" s="23">
        <f>IF($A332="","",COUNTIFS(Assignments!$C$2:$C$769,$A332,Assignments!$G$2:$G$769,"Active"))</f>
        <v/>
      </c>
      <c r="R332" s="32">
        <f>IF($A332="","",SUMIFS(Assignments!$I$2:$I$769,Assignments!$C$2:$C$769,$A332,Assignments!$G$2:$G$769,"Active"))</f>
        <v/>
      </c>
      <c r="S332" s="44" t="n"/>
      <c r="T332" s="31" t="n"/>
      <c r="U332" s="31" t="n"/>
      <c r="V332" s="34">
        <f>IF($U332="","",IFERROR(INDEX(Templates!$K$3:$K$10,MATCH($U332,Templates!$A$3:$A$10,0)),""))</f>
        <v/>
      </c>
      <c r="W332" s="34">
        <f>IF($U332="","",IFERROR(INDEX(Templates!$L$3:$L$10,MATCH($U332,Templates!$A$3:$A$10,0)),""))</f>
        <v/>
      </c>
      <c r="X332" s="21">
        <f>IF($U332="","",IFERROR(INDEX(Templates!$J$3:$J$10,MATCH($U332,Templates!$A$3:$A$10,0)),""))</f>
        <v/>
      </c>
      <c r="Y332" s="35">
        <f>IF(OR($U332="",$I332="",$J332="",$X332=""),"",$I332+$X332*($J332-$I332))</f>
        <v/>
      </c>
      <c r="Z332" s="31" t="n"/>
      <c r="AA332" s="31" t="n"/>
      <c r="AB332" s="31" t="n"/>
      <c r="AC332" s="31" t="n"/>
      <c r="AD332" s="19">
        <f>IF($A332="","",IF($AA332="",$H332,$AA332))</f>
        <v/>
      </c>
      <c r="AE332" s="35">
        <f>IF($A332="","",IF($AB332="",$I332,$AB332))</f>
        <v/>
      </c>
      <c r="AF332" s="35">
        <f>IF($A332="","",IF($AC332="",$J332,$AC332))</f>
        <v/>
      </c>
      <c r="AG332" s="35">
        <f>IF(OR($U332="",$AE332="",$AF332="",$X332=""),"",$AE332+$X332*($AF332-$AE332))</f>
        <v/>
      </c>
      <c r="AH332" s="31" t="n"/>
      <c r="AI332" s="31" t="n"/>
      <c r="AJ332" s="31" t="n"/>
      <c r="AK332" s="31" t="n"/>
      <c r="AL332" s="31" t="n"/>
      <c r="AM332" s="31" t="n"/>
      <c r="AN332" s="31" t="n"/>
      <c r="AO332" s="31" t="n"/>
      <c r="AP332" s="31" t="n"/>
      <c r="AQ332" s="31" t="n"/>
      <c r="AR332" s="31" t="n"/>
      <c r="AS332" s="31" t="n"/>
      <c r="AT332" s="31" t="n"/>
      <c r="AU332" s="31" t="n"/>
      <c r="AV332" s="31" t="n"/>
      <c r="AW332" s="31" t="n"/>
      <c r="AX332" s="31" t="n"/>
      <c r="AY332" s="31" t="n"/>
      <c r="AZ332" s="31" t="n"/>
      <c r="BA332" s="31" t="n"/>
      <c r="BB332" s="31" t="n"/>
      <c r="BC332" s="31" t="n"/>
      <c r="BD332" s="37">
        <f>IF($A332="","",SUM($AY332:$BC332))</f>
        <v/>
      </c>
      <c r="BE332" s="18">
        <f>IF($A332="","",IF(AND($I332&lt;&gt;"",$J332&lt;&gt;""),MAX(1,($J332-$I332)/7),Templates!$B$35))</f>
        <v/>
      </c>
      <c r="BF332" s="18">
        <f>IF($A332="","",IF(AND($I332&lt;&gt;"",$J332&lt;&gt;""),MAX(1,($J332-$I332)/7),Templates!$B$36))</f>
        <v/>
      </c>
      <c r="BG332" s="18">
        <f>IF($A332="","",IF(AND($I332&lt;&gt;"",$J332&lt;&gt;""),MAX(1,($J332-$I332)/7),Templates!$B$37))</f>
        <v/>
      </c>
      <c r="BH332" s="18">
        <f>IF($A332="","",IF(AND($I332&lt;&gt;"",$J332&lt;&gt;""),MAX(1,($J332-$I332)/7),Templates!$B$38))</f>
        <v/>
      </c>
      <c r="BI332" s="18">
        <f>IF($A332="","",IF(AND($I332&lt;&gt;"",$J332&lt;&gt;""),MAX(1,($J332-$I332)/7),Templates!$B$39))</f>
        <v/>
      </c>
      <c r="BJ332" s="18">
        <f>IF(OR($A332="",$BD332=0),0,($AY332*Templates!$B$27/$BE332+$AZ332*Templates!$B$28/$BF332+$BA332*Templates!$B$29/$BG332+$BB332*Templates!$B$30/$BH332+$BC332*Templates!$B$31/$BI332)/Templates!$B$17)</f>
        <v/>
      </c>
      <c r="BK332" s="18">
        <f>IF(OR($A332="",$BD332=0),0,($AY332*Templates!$C$27/$BE332+$AZ332*Templates!$C$28/$BF332+$BA332*Templates!$C$29/$BG332+$BB332*Templates!$C$30/$BH332+$BC332*Templates!$C$31/$BI332)/Templates!$B$18)</f>
        <v/>
      </c>
      <c r="BL332" s="18">
        <f>IF(OR($A332="",$BD332=0),0,($AY332*Templates!$D$27/$BE332+$AZ332*Templates!$D$28/$BF332+$BA332*Templates!$D$29/$BG332+$BB332*Templates!$D$30/$BH332+$BC332*Templates!$D$31/$BI332)/Templates!$B$19)</f>
        <v/>
      </c>
      <c r="BM332" s="18">
        <f>IF(OR($A332="",$BD332=0),0,($AY332*Templates!$E$27/$BE332+$AZ332*Templates!$E$28/$BF332+$BA332*Templates!$E$29/$BG332+$BB332*Templates!$E$30/$BH332+$BC332*Templates!$E$31/$BI332)/Templates!$B$20)</f>
        <v/>
      </c>
      <c r="BN332" s="18">
        <f>IF(OR($A332="",$BD332=0),0,($AY332*Templates!$F$27/$BE332+$AZ332*Templates!$F$28/$BF332+$BA332*Templates!$F$29/$BG332+$BB332*Templates!$F$30/$BH332+$BC332*Templates!$F$31/$BI332)/Templates!$B$21)</f>
        <v/>
      </c>
      <c r="BO332" s="18">
        <f>IF(OR($A332="",$BD332=0),0,($AY332*Templates!$G$27/$BE332+$AZ332*Templates!$G$28/$BF332+$BA332*Templates!$G$29/$BG332+$BB332*Templates!$G$30/$BH332+$BC332*Templates!$G$31/$BI332)/Templates!$B$22)</f>
        <v/>
      </c>
      <c r="BP332" s="18">
        <f>IF(OR($A332="",$BD332=0),0,($AY332*Templates!$H$27/$BE332+$AZ332*Templates!$H$28/$BF332+$BA332*Templates!$H$29/$BG332+$BB332*Templates!$H$30/$BH332+$BC332*Templates!$H$31/$BI332)/Templates!$B$23)</f>
        <v/>
      </c>
    </row>
    <row r="333">
      <c r="A333" s="31" t="n"/>
      <c r="B333" s="44" t="n"/>
      <c r="C333" s="31" t="n"/>
      <c r="D333" s="31" t="n"/>
      <c r="E333" s="31" t="n"/>
      <c r="F333" s="31" t="n"/>
      <c r="G333" s="31" t="n"/>
      <c r="H333" s="31" t="n"/>
      <c r="I333" s="31" t="n"/>
      <c r="J333" s="31" t="n"/>
      <c r="K333" s="31" t="n"/>
      <c r="L333" s="31" t="n"/>
      <c r="M333" s="31" t="n"/>
      <c r="N333" s="31" t="n"/>
      <c r="O333" s="31" t="n"/>
      <c r="P333" s="31" t="n"/>
      <c r="Q333" s="23">
        <f>IF($A333="","",COUNTIFS(Assignments!$C$2:$C$769,$A333,Assignments!$G$2:$G$769,"Active"))</f>
        <v/>
      </c>
      <c r="R333" s="32">
        <f>IF($A333="","",SUMIFS(Assignments!$I$2:$I$769,Assignments!$C$2:$C$769,$A333,Assignments!$G$2:$G$769,"Active"))</f>
        <v/>
      </c>
      <c r="S333" s="44" t="n"/>
      <c r="T333" s="31" t="n"/>
      <c r="U333" s="31" t="n"/>
      <c r="V333" s="34">
        <f>IF($U333="","",IFERROR(INDEX(Templates!$K$3:$K$10,MATCH($U333,Templates!$A$3:$A$10,0)),""))</f>
        <v/>
      </c>
      <c r="W333" s="34">
        <f>IF($U333="","",IFERROR(INDEX(Templates!$L$3:$L$10,MATCH($U333,Templates!$A$3:$A$10,0)),""))</f>
        <v/>
      </c>
      <c r="X333" s="21">
        <f>IF($U333="","",IFERROR(INDEX(Templates!$J$3:$J$10,MATCH($U333,Templates!$A$3:$A$10,0)),""))</f>
        <v/>
      </c>
      <c r="Y333" s="35">
        <f>IF(OR($U333="",$I333="",$J333="",$X333=""),"",$I333+$X333*($J333-$I333))</f>
        <v/>
      </c>
      <c r="Z333" s="31" t="n"/>
      <c r="AA333" s="31" t="n"/>
      <c r="AB333" s="31" t="n"/>
      <c r="AC333" s="31" t="n"/>
      <c r="AD333" s="19">
        <f>IF($A333="","",IF($AA333="",$H333,$AA333))</f>
        <v/>
      </c>
      <c r="AE333" s="35">
        <f>IF($A333="","",IF($AB333="",$I333,$AB333))</f>
        <v/>
      </c>
      <c r="AF333" s="35">
        <f>IF($A333="","",IF($AC333="",$J333,$AC333))</f>
        <v/>
      </c>
      <c r="AG333" s="35">
        <f>IF(OR($U333="",$AE333="",$AF333="",$X333=""),"",$AE333+$X333*($AF333-$AE333))</f>
        <v/>
      </c>
      <c r="AH333" s="31" t="n"/>
      <c r="AI333" s="31" t="n"/>
      <c r="AJ333" s="31" t="n"/>
      <c r="AK333" s="31" t="n"/>
      <c r="AL333" s="31" t="n"/>
      <c r="AM333" s="31" t="n"/>
      <c r="AN333" s="31" t="n"/>
      <c r="AO333" s="31" t="n"/>
      <c r="AP333" s="31" t="n"/>
      <c r="AQ333" s="31" t="n"/>
      <c r="AR333" s="31" t="n"/>
      <c r="AS333" s="31" t="n"/>
      <c r="AT333" s="31" t="n"/>
      <c r="AU333" s="31" t="n"/>
      <c r="AV333" s="31" t="n"/>
      <c r="AW333" s="31" t="n"/>
      <c r="AX333" s="31" t="n"/>
      <c r="AY333" s="31" t="n"/>
      <c r="AZ333" s="31" t="n"/>
      <c r="BA333" s="31" t="n"/>
      <c r="BB333" s="31" t="n"/>
      <c r="BC333" s="31" t="n"/>
      <c r="BD333" s="37">
        <f>IF($A333="","",SUM($AY333:$BC333))</f>
        <v/>
      </c>
      <c r="BE333" s="18">
        <f>IF($A333="","",IF(AND($I333&lt;&gt;"",$J333&lt;&gt;""),MAX(1,($J333-$I333)/7),Templates!$B$35))</f>
        <v/>
      </c>
      <c r="BF333" s="18">
        <f>IF($A333="","",IF(AND($I333&lt;&gt;"",$J333&lt;&gt;""),MAX(1,($J333-$I333)/7),Templates!$B$36))</f>
        <v/>
      </c>
      <c r="BG333" s="18">
        <f>IF($A333="","",IF(AND($I333&lt;&gt;"",$J333&lt;&gt;""),MAX(1,($J333-$I333)/7),Templates!$B$37))</f>
        <v/>
      </c>
      <c r="BH333" s="18">
        <f>IF($A333="","",IF(AND($I333&lt;&gt;"",$J333&lt;&gt;""),MAX(1,($J333-$I333)/7),Templates!$B$38))</f>
        <v/>
      </c>
      <c r="BI333" s="18">
        <f>IF($A333="","",IF(AND($I333&lt;&gt;"",$J333&lt;&gt;""),MAX(1,($J333-$I333)/7),Templates!$B$39))</f>
        <v/>
      </c>
      <c r="BJ333" s="18">
        <f>IF(OR($A333="",$BD333=0),0,($AY333*Templates!$B$27/$BE333+$AZ333*Templates!$B$28/$BF333+$BA333*Templates!$B$29/$BG333+$BB333*Templates!$B$30/$BH333+$BC333*Templates!$B$31/$BI333)/Templates!$B$17)</f>
        <v/>
      </c>
      <c r="BK333" s="18">
        <f>IF(OR($A333="",$BD333=0),0,($AY333*Templates!$C$27/$BE333+$AZ333*Templates!$C$28/$BF333+$BA333*Templates!$C$29/$BG333+$BB333*Templates!$C$30/$BH333+$BC333*Templates!$C$31/$BI333)/Templates!$B$18)</f>
        <v/>
      </c>
      <c r="BL333" s="18">
        <f>IF(OR($A333="",$BD333=0),0,($AY333*Templates!$D$27/$BE333+$AZ333*Templates!$D$28/$BF333+$BA333*Templates!$D$29/$BG333+$BB333*Templates!$D$30/$BH333+$BC333*Templates!$D$31/$BI333)/Templates!$B$19)</f>
        <v/>
      </c>
      <c r="BM333" s="18">
        <f>IF(OR($A333="",$BD333=0),0,($AY333*Templates!$E$27/$BE333+$AZ333*Templates!$E$28/$BF333+$BA333*Templates!$E$29/$BG333+$BB333*Templates!$E$30/$BH333+$BC333*Templates!$E$31/$BI333)/Templates!$B$20)</f>
        <v/>
      </c>
      <c r="BN333" s="18">
        <f>IF(OR($A333="",$BD333=0),0,($AY333*Templates!$F$27/$BE333+$AZ333*Templates!$F$28/$BF333+$BA333*Templates!$F$29/$BG333+$BB333*Templates!$F$30/$BH333+$BC333*Templates!$F$31/$BI333)/Templates!$B$21)</f>
        <v/>
      </c>
      <c r="BO333" s="18">
        <f>IF(OR($A333="",$BD333=0),0,($AY333*Templates!$G$27/$BE333+$AZ333*Templates!$G$28/$BF333+$BA333*Templates!$G$29/$BG333+$BB333*Templates!$G$30/$BH333+$BC333*Templates!$G$31/$BI333)/Templates!$B$22)</f>
        <v/>
      </c>
      <c r="BP333" s="18">
        <f>IF(OR($A333="",$BD333=0),0,($AY333*Templates!$H$27/$BE333+$AZ333*Templates!$H$28/$BF333+$BA333*Templates!$H$29/$BG333+$BB333*Templates!$H$30/$BH333+$BC333*Templates!$H$31/$BI333)/Templates!$B$23)</f>
        <v/>
      </c>
    </row>
    <row r="334">
      <c r="A334" s="31" t="n"/>
      <c r="B334" s="44" t="n"/>
      <c r="C334" s="31" t="n"/>
      <c r="D334" s="31" t="n"/>
      <c r="E334" s="31" t="n"/>
      <c r="F334" s="31" t="n"/>
      <c r="G334" s="31" t="n"/>
      <c r="H334" s="31" t="n"/>
      <c r="I334" s="31" t="n"/>
      <c r="J334" s="31" t="n"/>
      <c r="K334" s="31" t="n"/>
      <c r="L334" s="31" t="n"/>
      <c r="M334" s="31" t="n"/>
      <c r="N334" s="31" t="n"/>
      <c r="O334" s="31" t="n"/>
      <c r="P334" s="31" t="n"/>
      <c r="Q334" s="23">
        <f>IF($A334="","",COUNTIFS(Assignments!$C$2:$C$769,$A334,Assignments!$G$2:$G$769,"Active"))</f>
        <v/>
      </c>
      <c r="R334" s="32">
        <f>IF($A334="","",SUMIFS(Assignments!$I$2:$I$769,Assignments!$C$2:$C$769,$A334,Assignments!$G$2:$G$769,"Active"))</f>
        <v/>
      </c>
      <c r="S334" s="44" t="n"/>
      <c r="T334" s="31" t="n"/>
      <c r="U334" s="31" t="n"/>
      <c r="V334" s="34">
        <f>IF($U334="","",IFERROR(INDEX(Templates!$K$3:$K$10,MATCH($U334,Templates!$A$3:$A$10,0)),""))</f>
        <v/>
      </c>
      <c r="W334" s="34">
        <f>IF($U334="","",IFERROR(INDEX(Templates!$L$3:$L$10,MATCH($U334,Templates!$A$3:$A$10,0)),""))</f>
        <v/>
      </c>
      <c r="X334" s="21">
        <f>IF($U334="","",IFERROR(INDEX(Templates!$J$3:$J$10,MATCH($U334,Templates!$A$3:$A$10,0)),""))</f>
        <v/>
      </c>
      <c r="Y334" s="35">
        <f>IF(OR($U334="",$I334="",$J334="",$X334=""),"",$I334+$X334*($J334-$I334))</f>
        <v/>
      </c>
      <c r="Z334" s="31" t="n"/>
      <c r="AA334" s="31" t="n"/>
      <c r="AB334" s="31" t="n"/>
      <c r="AC334" s="31" t="n"/>
      <c r="AD334" s="19">
        <f>IF($A334="","",IF($AA334="",$H334,$AA334))</f>
        <v/>
      </c>
      <c r="AE334" s="35">
        <f>IF($A334="","",IF($AB334="",$I334,$AB334))</f>
        <v/>
      </c>
      <c r="AF334" s="35">
        <f>IF($A334="","",IF($AC334="",$J334,$AC334))</f>
        <v/>
      </c>
      <c r="AG334" s="35">
        <f>IF(OR($U334="",$AE334="",$AF334="",$X334=""),"",$AE334+$X334*($AF334-$AE334))</f>
        <v/>
      </c>
      <c r="AH334" s="31" t="n"/>
      <c r="AI334" s="31" t="n"/>
      <c r="AJ334" s="31" t="n"/>
      <c r="AK334" s="31" t="n"/>
      <c r="AL334" s="31" t="n"/>
      <c r="AM334" s="31" t="n"/>
      <c r="AN334" s="31" t="n"/>
      <c r="AO334" s="31" t="n"/>
      <c r="AP334" s="31" t="n"/>
      <c r="AQ334" s="31" t="n"/>
      <c r="AR334" s="31" t="n"/>
      <c r="AS334" s="31" t="n"/>
      <c r="AT334" s="31" t="n"/>
      <c r="AU334" s="31" t="n"/>
      <c r="AV334" s="31" t="n"/>
      <c r="AW334" s="31" t="n"/>
      <c r="AX334" s="31" t="n"/>
      <c r="AY334" s="31" t="n"/>
      <c r="AZ334" s="31" t="n"/>
      <c r="BA334" s="31" t="n"/>
      <c r="BB334" s="31" t="n"/>
      <c r="BC334" s="31" t="n"/>
      <c r="BD334" s="37">
        <f>IF($A334="","",SUM($AY334:$BC334))</f>
        <v/>
      </c>
      <c r="BE334" s="18">
        <f>IF($A334="","",IF(AND($I334&lt;&gt;"",$J334&lt;&gt;""),MAX(1,($J334-$I334)/7),Templates!$B$35))</f>
        <v/>
      </c>
      <c r="BF334" s="18">
        <f>IF($A334="","",IF(AND($I334&lt;&gt;"",$J334&lt;&gt;""),MAX(1,($J334-$I334)/7),Templates!$B$36))</f>
        <v/>
      </c>
      <c r="BG334" s="18">
        <f>IF($A334="","",IF(AND($I334&lt;&gt;"",$J334&lt;&gt;""),MAX(1,($J334-$I334)/7),Templates!$B$37))</f>
        <v/>
      </c>
      <c r="BH334" s="18">
        <f>IF($A334="","",IF(AND($I334&lt;&gt;"",$J334&lt;&gt;""),MAX(1,($J334-$I334)/7),Templates!$B$38))</f>
        <v/>
      </c>
      <c r="BI334" s="18">
        <f>IF($A334="","",IF(AND($I334&lt;&gt;"",$J334&lt;&gt;""),MAX(1,($J334-$I334)/7),Templates!$B$39))</f>
        <v/>
      </c>
      <c r="BJ334" s="18">
        <f>IF(OR($A334="",$BD334=0),0,($AY334*Templates!$B$27/$BE334+$AZ334*Templates!$B$28/$BF334+$BA334*Templates!$B$29/$BG334+$BB334*Templates!$B$30/$BH334+$BC334*Templates!$B$31/$BI334)/Templates!$B$17)</f>
        <v/>
      </c>
      <c r="BK334" s="18">
        <f>IF(OR($A334="",$BD334=0),0,($AY334*Templates!$C$27/$BE334+$AZ334*Templates!$C$28/$BF334+$BA334*Templates!$C$29/$BG334+$BB334*Templates!$C$30/$BH334+$BC334*Templates!$C$31/$BI334)/Templates!$B$18)</f>
        <v/>
      </c>
      <c r="BL334" s="18">
        <f>IF(OR($A334="",$BD334=0),0,($AY334*Templates!$D$27/$BE334+$AZ334*Templates!$D$28/$BF334+$BA334*Templates!$D$29/$BG334+$BB334*Templates!$D$30/$BH334+$BC334*Templates!$D$31/$BI334)/Templates!$B$19)</f>
        <v/>
      </c>
      <c r="BM334" s="18">
        <f>IF(OR($A334="",$BD334=0),0,($AY334*Templates!$E$27/$BE334+$AZ334*Templates!$E$28/$BF334+$BA334*Templates!$E$29/$BG334+$BB334*Templates!$E$30/$BH334+$BC334*Templates!$E$31/$BI334)/Templates!$B$20)</f>
        <v/>
      </c>
      <c r="BN334" s="18">
        <f>IF(OR($A334="",$BD334=0),0,($AY334*Templates!$F$27/$BE334+$AZ334*Templates!$F$28/$BF334+$BA334*Templates!$F$29/$BG334+$BB334*Templates!$F$30/$BH334+$BC334*Templates!$F$31/$BI334)/Templates!$B$21)</f>
        <v/>
      </c>
      <c r="BO334" s="18">
        <f>IF(OR($A334="",$BD334=0),0,($AY334*Templates!$G$27/$BE334+$AZ334*Templates!$G$28/$BF334+$BA334*Templates!$G$29/$BG334+$BB334*Templates!$G$30/$BH334+$BC334*Templates!$G$31/$BI334)/Templates!$B$22)</f>
        <v/>
      </c>
      <c r="BP334" s="18">
        <f>IF(OR($A334="",$BD334=0),0,($AY334*Templates!$H$27/$BE334+$AZ334*Templates!$H$28/$BF334+$BA334*Templates!$H$29/$BG334+$BB334*Templates!$H$30/$BH334+$BC334*Templates!$H$31/$BI334)/Templates!$B$23)</f>
        <v/>
      </c>
    </row>
    <row r="335">
      <c r="A335" s="31" t="n"/>
      <c r="B335" s="44" t="n"/>
      <c r="C335" s="31" t="n"/>
      <c r="D335" s="31" t="n"/>
      <c r="E335" s="31" t="n"/>
      <c r="F335" s="31" t="n"/>
      <c r="G335" s="31" t="n"/>
      <c r="H335" s="31" t="n"/>
      <c r="I335" s="31" t="n"/>
      <c r="J335" s="31" t="n"/>
      <c r="K335" s="31" t="n"/>
      <c r="L335" s="31" t="n"/>
      <c r="M335" s="31" t="n"/>
      <c r="N335" s="31" t="n"/>
      <c r="O335" s="31" t="n"/>
      <c r="P335" s="31" t="n"/>
      <c r="Q335" s="23">
        <f>IF($A335="","",COUNTIFS(Assignments!$C$2:$C$769,$A335,Assignments!$G$2:$G$769,"Active"))</f>
        <v/>
      </c>
      <c r="R335" s="32">
        <f>IF($A335="","",SUMIFS(Assignments!$I$2:$I$769,Assignments!$C$2:$C$769,$A335,Assignments!$G$2:$G$769,"Active"))</f>
        <v/>
      </c>
      <c r="S335" s="44" t="n"/>
      <c r="T335" s="31" t="n"/>
      <c r="U335" s="31" t="n"/>
      <c r="V335" s="34">
        <f>IF($U335="","",IFERROR(INDEX(Templates!$K$3:$K$10,MATCH($U335,Templates!$A$3:$A$10,0)),""))</f>
        <v/>
      </c>
      <c r="W335" s="34">
        <f>IF($U335="","",IFERROR(INDEX(Templates!$L$3:$L$10,MATCH($U335,Templates!$A$3:$A$10,0)),""))</f>
        <v/>
      </c>
      <c r="X335" s="21">
        <f>IF($U335="","",IFERROR(INDEX(Templates!$J$3:$J$10,MATCH($U335,Templates!$A$3:$A$10,0)),""))</f>
        <v/>
      </c>
      <c r="Y335" s="35">
        <f>IF(OR($U335="",$I335="",$J335="",$X335=""),"",$I335+$X335*($J335-$I335))</f>
        <v/>
      </c>
      <c r="Z335" s="31" t="n"/>
      <c r="AA335" s="31" t="n"/>
      <c r="AB335" s="31" t="n"/>
      <c r="AC335" s="31" t="n"/>
      <c r="AD335" s="19">
        <f>IF($A335="","",IF($AA335="",$H335,$AA335))</f>
        <v/>
      </c>
      <c r="AE335" s="35">
        <f>IF($A335="","",IF($AB335="",$I335,$AB335))</f>
        <v/>
      </c>
      <c r="AF335" s="35">
        <f>IF($A335="","",IF($AC335="",$J335,$AC335))</f>
        <v/>
      </c>
      <c r="AG335" s="35">
        <f>IF(OR($U335="",$AE335="",$AF335="",$X335=""),"",$AE335+$X335*($AF335-$AE335))</f>
        <v/>
      </c>
      <c r="AH335" s="31" t="n"/>
      <c r="AI335" s="31" t="n"/>
      <c r="AJ335" s="31" t="n"/>
      <c r="AK335" s="31" t="n"/>
      <c r="AL335" s="31" t="n"/>
      <c r="AM335" s="31" t="n"/>
      <c r="AN335" s="31" t="n"/>
      <c r="AO335" s="31" t="n"/>
      <c r="AP335" s="31" t="n"/>
      <c r="AQ335" s="31" t="n"/>
      <c r="AR335" s="31" t="n"/>
      <c r="AS335" s="31" t="n"/>
      <c r="AT335" s="31" t="n"/>
      <c r="AU335" s="31" t="n"/>
      <c r="AV335" s="31" t="n"/>
      <c r="AW335" s="31" t="n"/>
      <c r="AX335" s="31" t="n"/>
      <c r="AY335" s="31" t="n"/>
      <c r="AZ335" s="31" t="n"/>
      <c r="BA335" s="31" t="n"/>
      <c r="BB335" s="31" t="n"/>
      <c r="BC335" s="31" t="n"/>
      <c r="BD335" s="37">
        <f>IF($A335="","",SUM($AY335:$BC335))</f>
        <v/>
      </c>
      <c r="BE335" s="18">
        <f>IF($A335="","",IF(AND($I335&lt;&gt;"",$J335&lt;&gt;""),MAX(1,($J335-$I335)/7),Templates!$B$35))</f>
        <v/>
      </c>
      <c r="BF335" s="18">
        <f>IF($A335="","",IF(AND($I335&lt;&gt;"",$J335&lt;&gt;""),MAX(1,($J335-$I335)/7),Templates!$B$36))</f>
        <v/>
      </c>
      <c r="BG335" s="18">
        <f>IF($A335="","",IF(AND($I335&lt;&gt;"",$J335&lt;&gt;""),MAX(1,($J335-$I335)/7),Templates!$B$37))</f>
        <v/>
      </c>
      <c r="BH335" s="18">
        <f>IF($A335="","",IF(AND($I335&lt;&gt;"",$J335&lt;&gt;""),MAX(1,($J335-$I335)/7),Templates!$B$38))</f>
        <v/>
      </c>
      <c r="BI335" s="18">
        <f>IF($A335="","",IF(AND($I335&lt;&gt;"",$J335&lt;&gt;""),MAX(1,($J335-$I335)/7),Templates!$B$39))</f>
        <v/>
      </c>
      <c r="BJ335" s="18">
        <f>IF(OR($A335="",$BD335=0),0,($AY335*Templates!$B$27/$BE335+$AZ335*Templates!$B$28/$BF335+$BA335*Templates!$B$29/$BG335+$BB335*Templates!$B$30/$BH335+$BC335*Templates!$B$31/$BI335)/Templates!$B$17)</f>
        <v/>
      </c>
      <c r="BK335" s="18">
        <f>IF(OR($A335="",$BD335=0),0,($AY335*Templates!$C$27/$BE335+$AZ335*Templates!$C$28/$BF335+$BA335*Templates!$C$29/$BG335+$BB335*Templates!$C$30/$BH335+$BC335*Templates!$C$31/$BI335)/Templates!$B$18)</f>
        <v/>
      </c>
      <c r="BL335" s="18">
        <f>IF(OR($A335="",$BD335=0),0,($AY335*Templates!$D$27/$BE335+$AZ335*Templates!$D$28/$BF335+$BA335*Templates!$D$29/$BG335+$BB335*Templates!$D$30/$BH335+$BC335*Templates!$D$31/$BI335)/Templates!$B$19)</f>
        <v/>
      </c>
      <c r="BM335" s="18">
        <f>IF(OR($A335="",$BD335=0),0,($AY335*Templates!$E$27/$BE335+$AZ335*Templates!$E$28/$BF335+$BA335*Templates!$E$29/$BG335+$BB335*Templates!$E$30/$BH335+$BC335*Templates!$E$31/$BI335)/Templates!$B$20)</f>
        <v/>
      </c>
      <c r="BN335" s="18">
        <f>IF(OR($A335="",$BD335=0),0,($AY335*Templates!$F$27/$BE335+$AZ335*Templates!$F$28/$BF335+$BA335*Templates!$F$29/$BG335+$BB335*Templates!$F$30/$BH335+$BC335*Templates!$F$31/$BI335)/Templates!$B$21)</f>
        <v/>
      </c>
      <c r="BO335" s="18">
        <f>IF(OR($A335="",$BD335=0),0,($AY335*Templates!$G$27/$BE335+$AZ335*Templates!$G$28/$BF335+$BA335*Templates!$G$29/$BG335+$BB335*Templates!$G$30/$BH335+$BC335*Templates!$G$31/$BI335)/Templates!$B$22)</f>
        <v/>
      </c>
      <c r="BP335" s="18">
        <f>IF(OR($A335="",$BD335=0),0,($AY335*Templates!$H$27/$BE335+$AZ335*Templates!$H$28/$BF335+$BA335*Templates!$H$29/$BG335+$BB335*Templates!$H$30/$BH335+$BC335*Templates!$H$31/$BI335)/Templates!$B$23)</f>
        <v/>
      </c>
    </row>
    <row r="336">
      <c r="A336" s="31" t="n"/>
      <c r="B336" s="44" t="n"/>
      <c r="C336" s="31" t="n"/>
      <c r="D336" s="31" t="n"/>
      <c r="E336" s="31" t="n"/>
      <c r="F336" s="31" t="n"/>
      <c r="G336" s="31" t="n"/>
      <c r="H336" s="31" t="n"/>
      <c r="I336" s="31" t="n"/>
      <c r="J336" s="31" t="n"/>
      <c r="K336" s="31" t="n"/>
      <c r="L336" s="31" t="n"/>
      <c r="M336" s="31" t="n"/>
      <c r="N336" s="31" t="n"/>
      <c r="O336" s="31" t="n"/>
      <c r="P336" s="31" t="n"/>
      <c r="Q336" s="23">
        <f>IF($A336="","",COUNTIFS(Assignments!$C$2:$C$769,$A336,Assignments!$G$2:$G$769,"Active"))</f>
        <v/>
      </c>
      <c r="R336" s="32">
        <f>IF($A336="","",SUMIFS(Assignments!$I$2:$I$769,Assignments!$C$2:$C$769,$A336,Assignments!$G$2:$G$769,"Active"))</f>
        <v/>
      </c>
      <c r="S336" s="44" t="n"/>
      <c r="T336" s="31" t="n"/>
      <c r="U336" s="31" t="n"/>
      <c r="V336" s="34">
        <f>IF($U336="","",IFERROR(INDEX(Templates!$K$3:$K$10,MATCH($U336,Templates!$A$3:$A$10,0)),""))</f>
        <v/>
      </c>
      <c r="W336" s="34">
        <f>IF($U336="","",IFERROR(INDEX(Templates!$L$3:$L$10,MATCH($U336,Templates!$A$3:$A$10,0)),""))</f>
        <v/>
      </c>
      <c r="X336" s="21">
        <f>IF($U336="","",IFERROR(INDEX(Templates!$J$3:$J$10,MATCH($U336,Templates!$A$3:$A$10,0)),""))</f>
        <v/>
      </c>
      <c r="Y336" s="35">
        <f>IF(OR($U336="",$I336="",$J336="",$X336=""),"",$I336+$X336*($J336-$I336))</f>
        <v/>
      </c>
      <c r="Z336" s="31" t="n"/>
      <c r="AA336" s="31" t="n"/>
      <c r="AB336" s="31" t="n"/>
      <c r="AC336" s="31" t="n"/>
      <c r="AD336" s="19">
        <f>IF($A336="","",IF($AA336="",$H336,$AA336))</f>
        <v/>
      </c>
      <c r="AE336" s="35">
        <f>IF($A336="","",IF($AB336="",$I336,$AB336))</f>
        <v/>
      </c>
      <c r="AF336" s="35">
        <f>IF($A336="","",IF($AC336="",$J336,$AC336))</f>
        <v/>
      </c>
      <c r="AG336" s="35">
        <f>IF(OR($U336="",$AE336="",$AF336="",$X336=""),"",$AE336+$X336*($AF336-$AE336))</f>
        <v/>
      </c>
      <c r="AH336" s="31" t="n"/>
      <c r="AI336" s="31" t="n"/>
      <c r="AJ336" s="31" t="n"/>
      <c r="AK336" s="31" t="n"/>
      <c r="AL336" s="31" t="n"/>
      <c r="AM336" s="31" t="n"/>
      <c r="AN336" s="31" t="n"/>
      <c r="AO336" s="31" t="n"/>
      <c r="AP336" s="31" t="n"/>
      <c r="AQ336" s="31" t="n"/>
      <c r="AR336" s="31" t="n"/>
      <c r="AS336" s="31" t="n"/>
      <c r="AT336" s="31" t="n"/>
      <c r="AU336" s="31" t="n"/>
      <c r="AV336" s="31" t="n"/>
      <c r="AW336" s="31" t="n"/>
      <c r="AX336" s="31" t="n"/>
      <c r="AY336" s="31" t="n"/>
      <c r="AZ336" s="31" t="n"/>
      <c r="BA336" s="31" t="n"/>
      <c r="BB336" s="31" t="n"/>
      <c r="BC336" s="31" t="n"/>
      <c r="BD336" s="37">
        <f>IF($A336="","",SUM($AY336:$BC336))</f>
        <v/>
      </c>
      <c r="BE336" s="18">
        <f>IF($A336="","",IF(AND($I336&lt;&gt;"",$J336&lt;&gt;""),MAX(1,($J336-$I336)/7),Templates!$B$35))</f>
        <v/>
      </c>
      <c r="BF336" s="18">
        <f>IF($A336="","",IF(AND($I336&lt;&gt;"",$J336&lt;&gt;""),MAX(1,($J336-$I336)/7),Templates!$B$36))</f>
        <v/>
      </c>
      <c r="BG336" s="18">
        <f>IF($A336="","",IF(AND($I336&lt;&gt;"",$J336&lt;&gt;""),MAX(1,($J336-$I336)/7),Templates!$B$37))</f>
        <v/>
      </c>
      <c r="BH336" s="18">
        <f>IF($A336="","",IF(AND($I336&lt;&gt;"",$J336&lt;&gt;""),MAX(1,($J336-$I336)/7),Templates!$B$38))</f>
        <v/>
      </c>
      <c r="BI336" s="18">
        <f>IF($A336="","",IF(AND($I336&lt;&gt;"",$J336&lt;&gt;""),MAX(1,($J336-$I336)/7),Templates!$B$39))</f>
        <v/>
      </c>
      <c r="BJ336" s="18">
        <f>IF(OR($A336="",$BD336=0),0,($AY336*Templates!$B$27/$BE336+$AZ336*Templates!$B$28/$BF336+$BA336*Templates!$B$29/$BG336+$BB336*Templates!$B$30/$BH336+$BC336*Templates!$B$31/$BI336)/Templates!$B$17)</f>
        <v/>
      </c>
      <c r="BK336" s="18">
        <f>IF(OR($A336="",$BD336=0),0,($AY336*Templates!$C$27/$BE336+$AZ336*Templates!$C$28/$BF336+$BA336*Templates!$C$29/$BG336+$BB336*Templates!$C$30/$BH336+$BC336*Templates!$C$31/$BI336)/Templates!$B$18)</f>
        <v/>
      </c>
      <c r="BL336" s="18">
        <f>IF(OR($A336="",$BD336=0),0,($AY336*Templates!$D$27/$BE336+$AZ336*Templates!$D$28/$BF336+$BA336*Templates!$D$29/$BG336+$BB336*Templates!$D$30/$BH336+$BC336*Templates!$D$31/$BI336)/Templates!$B$19)</f>
        <v/>
      </c>
      <c r="BM336" s="18">
        <f>IF(OR($A336="",$BD336=0),0,($AY336*Templates!$E$27/$BE336+$AZ336*Templates!$E$28/$BF336+$BA336*Templates!$E$29/$BG336+$BB336*Templates!$E$30/$BH336+$BC336*Templates!$E$31/$BI336)/Templates!$B$20)</f>
        <v/>
      </c>
      <c r="BN336" s="18">
        <f>IF(OR($A336="",$BD336=0),0,($AY336*Templates!$F$27/$BE336+$AZ336*Templates!$F$28/$BF336+$BA336*Templates!$F$29/$BG336+$BB336*Templates!$F$30/$BH336+$BC336*Templates!$F$31/$BI336)/Templates!$B$21)</f>
        <v/>
      </c>
      <c r="BO336" s="18">
        <f>IF(OR($A336="",$BD336=0),0,($AY336*Templates!$G$27/$BE336+$AZ336*Templates!$G$28/$BF336+$BA336*Templates!$G$29/$BG336+$BB336*Templates!$G$30/$BH336+$BC336*Templates!$G$31/$BI336)/Templates!$B$22)</f>
        <v/>
      </c>
      <c r="BP336" s="18">
        <f>IF(OR($A336="",$BD336=0),0,($AY336*Templates!$H$27/$BE336+$AZ336*Templates!$H$28/$BF336+$BA336*Templates!$H$29/$BG336+$BB336*Templates!$H$30/$BH336+$BC336*Templates!$H$31/$BI336)/Templates!$B$23)</f>
        <v/>
      </c>
    </row>
    <row r="337">
      <c r="A337" s="31" t="n"/>
      <c r="B337" s="44" t="n"/>
      <c r="C337" s="31" t="n"/>
      <c r="D337" s="31" t="n"/>
      <c r="E337" s="31" t="n"/>
      <c r="F337" s="31" t="n"/>
      <c r="G337" s="31" t="n"/>
      <c r="H337" s="31" t="n"/>
      <c r="I337" s="31" t="n"/>
      <c r="J337" s="31" t="n"/>
      <c r="K337" s="31" t="n"/>
      <c r="L337" s="31" t="n"/>
      <c r="M337" s="31" t="n"/>
      <c r="N337" s="31" t="n"/>
      <c r="O337" s="31" t="n"/>
      <c r="P337" s="31" t="n"/>
      <c r="Q337" s="23">
        <f>IF($A337="","",COUNTIFS(Assignments!$C$2:$C$769,$A337,Assignments!$G$2:$G$769,"Active"))</f>
        <v/>
      </c>
      <c r="R337" s="32">
        <f>IF($A337="","",SUMIFS(Assignments!$I$2:$I$769,Assignments!$C$2:$C$769,$A337,Assignments!$G$2:$G$769,"Active"))</f>
        <v/>
      </c>
      <c r="S337" s="44" t="n"/>
      <c r="T337" s="31" t="n"/>
      <c r="U337" s="31" t="n"/>
      <c r="V337" s="34">
        <f>IF($U337="","",IFERROR(INDEX(Templates!$K$3:$K$10,MATCH($U337,Templates!$A$3:$A$10,0)),""))</f>
        <v/>
      </c>
      <c r="W337" s="34">
        <f>IF($U337="","",IFERROR(INDEX(Templates!$L$3:$L$10,MATCH($U337,Templates!$A$3:$A$10,0)),""))</f>
        <v/>
      </c>
      <c r="X337" s="21">
        <f>IF($U337="","",IFERROR(INDEX(Templates!$J$3:$J$10,MATCH($U337,Templates!$A$3:$A$10,0)),""))</f>
        <v/>
      </c>
      <c r="Y337" s="35">
        <f>IF(OR($U337="",$I337="",$J337="",$X337=""),"",$I337+$X337*($J337-$I337))</f>
        <v/>
      </c>
      <c r="Z337" s="31" t="n"/>
      <c r="AA337" s="31" t="n"/>
      <c r="AB337" s="31" t="n"/>
      <c r="AC337" s="31" t="n"/>
      <c r="AD337" s="19">
        <f>IF($A337="","",IF($AA337="",$H337,$AA337))</f>
        <v/>
      </c>
      <c r="AE337" s="35">
        <f>IF($A337="","",IF($AB337="",$I337,$AB337))</f>
        <v/>
      </c>
      <c r="AF337" s="35">
        <f>IF($A337="","",IF($AC337="",$J337,$AC337))</f>
        <v/>
      </c>
      <c r="AG337" s="35">
        <f>IF(OR($U337="",$AE337="",$AF337="",$X337=""),"",$AE337+$X337*($AF337-$AE337))</f>
        <v/>
      </c>
      <c r="AH337" s="31" t="n"/>
      <c r="AI337" s="31" t="n"/>
      <c r="AJ337" s="31" t="n"/>
      <c r="AK337" s="31" t="n"/>
      <c r="AL337" s="31" t="n"/>
      <c r="AM337" s="31" t="n"/>
      <c r="AN337" s="31" t="n"/>
      <c r="AO337" s="31" t="n"/>
      <c r="AP337" s="31" t="n"/>
      <c r="AQ337" s="31" t="n"/>
      <c r="AR337" s="31" t="n"/>
      <c r="AS337" s="31" t="n"/>
      <c r="AT337" s="31" t="n"/>
      <c r="AU337" s="31" t="n"/>
      <c r="AV337" s="31" t="n"/>
      <c r="AW337" s="31" t="n"/>
      <c r="AX337" s="31" t="n"/>
      <c r="AY337" s="31" t="n"/>
      <c r="AZ337" s="31" t="n"/>
      <c r="BA337" s="31" t="n"/>
      <c r="BB337" s="31" t="n"/>
      <c r="BC337" s="31" t="n"/>
      <c r="BD337" s="37">
        <f>IF($A337="","",SUM($AY337:$BC337))</f>
        <v/>
      </c>
      <c r="BE337" s="18">
        <f>IF($A337="","",IF(AND($I337&lt;&gt;"",$J337&lt;&gt;""),MAX(1,($J337-$I337)/7),Templates!$B$35))</f>
        <v/>
      </c>
      <c r="BF337" s="18">
        <f>IF($A337="","",IF(AND($I337&lt;&gt;"",$J337&lt;&gt;""),MAX(1,($J337-$I337)/7),Templates!$B$36))</f>
        <v/>
      </c>
      <c r="BG337" s="18">
        <f>IF($A337="","",IF(AND($I337&lt;&gt;"",$J337&lt;&gt;""),MAX(1,($J337-$I337)/7),Templates!$B$37))</f>
        <v/>
      </c>
      <c r="BH337" s="18">
        <f>IF($A337="","",IF(AND($I337&lt;&gt;"",$J337&lt;&gt;""),MAX(1,($J337-$I337)/7),Templates!$B$38))</f>
        <v/>
      </c>
      <c r="BI337" s="18">
        <f>IF($A337="","",IF(AND($I337&lt;&gt;"",$J337&lt;&gt;""),MAX(1,($J337-$I337)/7),Templates!$B$39))</f>
        <v/>
      </c>
      <c r="BJ337" s="18">
        <f>IF(OR($A337="",$BD337=0),0,($AY337*Templates!$B$27/$BE337+$AZ337*Templates!$B$28/$BF337+$BA337*Templates!$B$29/$BG337+$BB337*Templates!$B$30/$BH337+$BC337*Templates!$B$31/$BI337)/Templates!$B$17)</f>
        <v/>
      </c>
      <c r="BK337" s="18">
        <f>IF(OR($A337="",$BD337=0),0,($AY337*Templates!$C$27/$BE337+$AZ337*Templates!$C$28/$BF337+$BA337*Templates!$C$29/$BG337+$BB337*Templates!$C$30/$BH337+$BC337*Templates!$C$31/$BI337)/Templates!$B$18)</f>
        <v/>
      </c>
      <c r="BL337" s="18">
        <f>IF(OR($A337="",$BD337=0),0,($AY337*Templates!$D$27/$BE337+$AZ337*Templates!$D$28/$BF337+$BA337*Templates!$D$29/$BG337+$BB337*Templates!$D$30/$BH337+$BC337*Templates!$D$31/$BI337)/Templates!$B$19)</f>
        <v/>
      </c>
      <c r="BM337" s="18">
        <f>IF(OR($A337="",$BD337=0),0,($AY337*Templates!$E$27/$BE337+$AZ337*Templates!$E$28/$BF337+$BA337*Templates!$E$29/$BG337+$BB337*Templates!$E$30/$BH337+$BC337*Templates!$E$31/$BI337)/Templates!$B$20)</f>
        <v/>
      </c>
      <c r="BN337" s="18">
        <f>IF(OR($A337="",$BD337=0),0,($AY337*Templates!$F$27/$BE337+$AZ337*Templates!$F$28/$BF337+$BA337*Templates!$F$29/$BG337+$BB337*Templates!$F$30/$BH337+$BC337*Templates!$F$31/$BI337)/Templates!$B$21)</f>
        <v/>
      </c>
      <c r="BO337" s="18">
        <f>IF(OR($A337="",$BD337=0),0,($AY337*Templates!$G$27/$BE337+$AZ337*Templates!$G$28/$BF337+$BA337*Templates!$G$29/$BG337+$BB337*Templates!$G$30/$BH337+$BC337*Templates!$G$31/$BI337)/Templates!$B$22)</f>
        <v/>
      </c>
      <c r="BP337" s="18">
        <f>IF(OR($A337="",$BD337=0),0,($AY337*Templates!$H$27/$BE337+$AZ337*Templates!$H$28/$BF337+$BA337*Templates!$H$29/$BG337+$BB337*Templates!$H$30/$BH337+$BC337*Templates!$H$31/$BI337)/Templates!$B$23)</f>
        <v/>
      </c>
    </row>
    <row r="338">
      <c r="A338" s="31" t="n"/>
      <c r="B338" s="44" t="n"/>
      <c r="C338" s="31" t="n"/>
      <c r="D338" s="31" t="n"/>
      <c r="E338" s="31" t="n"/>
      <c r="F338" s="31" t="n"/>
      <c r="G338" s="31" t="n"/>
      <c r="H338" s="31" t="n"/>
      <c r="I338" s="31" t="n"/>
      <c r="J338" s="31" t="n"/>
      <c r="K338" s="31" t="n"/>
      <c r="L338" s="31" t="n"/>
      <c r="M338" s="31" t="n"/>
      <c r="N338" s="31" t="n"/>
      <c r="O338" s="31" t="n"/>
      <c r="P338" s="31" t="n"/>
      <c r="Q338" s="23">
        <f>IF($A338="","",COUNTIFS(Assignments!$C$2:$C$769,$A338,Assignments!$G$2:$G$769,"Active"))</f>
        <v/>
      </c>
      <c r="R338" s="32">
        <f>IF($A338="","",SUMIFS(Assignments!$I$2:$I$769,Assignments!$C$2:$C$769,$A338,Assignments!$G$2:$G$769,"Active"))</f>
        <v/>
      </c>
      <c r="S338" s="44" t="n"/>
      <c r="T338" s="31" t="n"/>
      <c r="U338" s="31" t="n"/>
      <c r="V338" s="34">
        <f>IF($U338="","",IFERROR(INDEX(Templates!$K$3:$K$10,MATCH($U338,Templates!$A$3:$A$10,0)),""))</f>
        <v/>
      </c>
      <c r="W338" s="34">
        <f>IF($U338="","",IFERROR(INDEX(Templates!$L$3:$L$10,MATCH($U338,Templates!$A$3:$A$10,0)),""))</f>
        <v/>
      </c>
      <c r="X338" s="21">
        <f>IF($U338="","",IFERROR(INDEX(Templates!$J$3:$J$10,MATCH($U338,Templates!$A$3:$A$10,0)),""))</f>
        <v/>
      </c>
      <c r="Y338" s="35">
        <f>IF(OR($U338="",$I338="",$J338="",$X338=""),"",$I338+$X338*($J338-$I338))</f>
        <v/>
      </c>
      <c r="Z338" s="31" t="n"/>
      <c r="AA338" s="31" t="n"/>
      <c r="AB338" s="31" t="n"/>
      <c r="AC338" s="31" t="n"/>
      <c r="AD338" s="19">
        <f>IF($A338="","",IF($AA338="",$H338,$AA338))</f>
        <v/>
      </c>
      <c r="AE338" s="35">
        <f>IF($A338="","",IF($AB338="",$I338,$AB338))</f>
        <v/>
      </c>
      <c r="AF338" s="35">
        <f>IF($A338="","",IF($AC338="",$J338,$AC338))</f>
        <v/>
      </c>
      <c r="AG338" s="35">
        <f>IF(OR($U338="",$AE338="",$AF338="",$X338=""),"",$AE338+$X338*($AF338-$AE338))</f>
        <v/>
      </c>
      <c r="AH338" s="31" t="n"/>
      <c r="AI338" s="31" t="n"/>
      <c r="AJ338" s="31" t="n"/>
      <c r="AK338" s="31" t="n"/>
      <c r="AL338" s="31" t="n"/>
      <c r="AM338" s="31" t="n"/>
      <c r="AN338" s="31" t="n"/>
      <c r="AO338" s="31" t="n"/>
      <c r="AP338" s="31" t="n"/>
      <c r="AQ338" s="31" t="n"/>
      <c r="AR338" s="31" t="n"/>
      <c r="AS338" s="31" t="n"/>
      <c r="AT338" s="31" t="n"/>
      <c r="AU338" s="31" t="n"/>
      <c r="AV338" s="31" t="n"/>
      <c r="AW338" s="31" t="n"/>
      <c r="AX338" s="31" t="n"/>
      <c r="AY338" s="31" t="n"/>
      <c r="AZ338" s="31" t="n"/>
      <c r="BA338" s="31" t="n"/>
      <c r="BB338" s="31" t="n"/>
      <c r="BC338" s="31" t="n"/>
      <c r="BD338" s="37">
        <f>IF($A338="","",SUM($AY338:$BC338))</f>
        <v/>
      </c>
      <c r="BE338" s="18">
        <f>IF($A338="","",IF(AND($I338&lt;&gt;"",$J338&lt;&gt;""),MAX(1,($J338-$I338)/7),Templates!$B$35))</f>
        <v/>
      </c>
      <c r="BF338" s="18">
        <f>IF($A338="","",IF(AND($I338&lt;&gt;"",$J338&lt;&gt;""),MAX(1,($J338-$I338)/7),Templates!$B$36))</f>
        <v/>
      </c>
      <c r="BG338" s="18">
        <f>IF($A338="","",IF(AND($I338&lt;&gt;"",$J338&lt;&gt;""),MAX(1,($J338-$I338)/7),Templates!$B$37))</f>
        <v/>
      </c>
      <c r="BH338" s="18">
        <f>IF($A338="","",IF(AND($I338&lt;&gt;"",$J338&lt;&gt;""),MAX(1,($J338-$I338)/7),Templates!$B$38))</f>
        <v/>
      </c>
      <c r="BI338" s="18">
        <f>IF($A338="","",IF(AND($I338&lt;&gt;"",$J338&lt;&gt;""),MAX(1,($J338-$I338)/7),Templates!$B$39))</f>
        <v/>
      </c>
      <c r="BJ338" s="18">
        <f>IF(OR($A338="",$BD338=0),0,($AY338*Templates!$B$27/$BE338+$AZ338*Templates!$B$28/$BF338+$BA338*Templates!$B$29/$BG338+$BB338*Templates!$B$30/$BH338+$BC338*Templates!$B$31/$BI338)/Templates!$B$17)</f>
        <v/>
      </c>
      <c r="BK338" s="18">
        <f>IF(OR($A338="",$BD338=0),0,($AY338*Templates!$C$27/$BE338+$AZ338*Templates!$C$28/$BF338+$BA338*Templates!$C$29/$BG338+$BB338*Templates!$C$30/$BH338+$BC338*Templates!$C$31/$BI338)/Templates!$B$18)</f>
        <v/>
      </c>
      <c r="BL338" s="18">
        <f>IF(OR($A338="",$BD338=0),0,($AY338*Templates!$D$27/$BE338+$AZ338*Templates!$D$28/$BF338+$BA338*Templates!$D$29/$BG338+$BB338*Templates!$D$30/$BH338+$BC338*Templates!$D$31/$BI338)/Templates!$B$19)</f>
        <v/>
      </c>
      <c r="BM338" s="18">
        <f>IF(OR($A338="",$BD338=0),0,($AY338*Templates!$E$27/$BE338+$AZ338*Templates!$E$28/$BF338+$BA338*Templates!$E$29/$BG338+$BB338*Templates!$E$30/$BH338+$BC338*Templates!$E$31/$BI338)/Templates!$B$20)</f>
        <v/>
      </c>
      <c r="BN338" s="18">
        <f>IF(OR($A338="",$BD338=0),0,($AY338*Templates!$F$27/$BE338+$AZ338*Templates!$F$28/$BF338+$BA338*Templates!$F$29/$BG338+$BB338*Templates!$F$30/$BH338+$BC338*Templates!$F$31/$BI338)/Templates!$B$21)</f>
        <v/>
      </c>
      <c r="BO338" s="18">
        <f>IF(OR($A338="",$BD338=0),0,($AY338*Templates!$G$27/$BE338+$AZ338*Templates!$G$28/$BF338+$BA338*Templates!$G$29/$BG338+$BB338*Templates!$G$30/$BH338+$BC338*Templates!$G$31/$BI338)/Templates!$B$22)</f>
        <v/>
      </c>
      <c r="BP338" s="18">
        <f>IF(OR($A338="",$BD338=0),0,($AY338*Templates!$H$27/$BE338+$AZ338*Templates!$H$28/$BF338+$BA338*Templates!$H$29/$BG338+$BB338*Templates!$H$30/$BH338+$BC338*Templates!$H$31/$BI338)/Templates!$B$23)</f>
        <v/>
      </c>
    </row>
    <row r="339">
      <c r="A339" s="31" t="n"/>
      <c r="B339" s="44" t="n"/>
      <c r="C339" s="31" t="n"/>
      <c r="D339" s="31" t="n"/>
      <c r="E339" s="31" t="n"/>
      <c r="F339" s="31" t="n"/>
      <c r="G339" s="31" t="n"/>
      <c r="H339" s="31" t="n"/>
      <c r="I339" s="31" t="n"/>
      <c r="J339" s="31" t="n"/>
      <c r="K339" s="31" t="n"/>
      <c r="L339" s="31" t="n"/>
      <c r="M339" s="31" t="n"/>
      <c r="N339" s="31" t="n"/>
      <c r="O339" s="31" t="n"/>
      <c r="P339" s="31" t="n"/>
      <c r="Q339" s="23">
        <f>IF($A339="","",COUNTIFS(Assignments!$C$2:$C$769,$A339,Assignments!$G$2:$G$769,"Active"))</f>
        <v/>
      </c>
      <c r="R339" s="32">
        <f>IF($A339="","",SUMIFS(Assignments!$I$2:$I$769,Assignments!$C$2:$C$769,$A339,Assignments!$G$2:$G$769,"Active"))</f>
        <v/>
      </c>
      <c r="S339" s="44" t="n"/>
      <c r="T339" s="31" t="n"/>
      <c r="U339" s="31" t="n"/>
      <c r="V339" s="34">
        <f>IF($U339="","",IFERROR(INDEX(Templates!$K$3:$K$10,MATCH($U339,Templates!$A$3:$A$10,0)),""))</f>
        <v/>
      </c>
      <c r="W339" s="34">
        <f>IF($U339="","",IFERROR(INDEX(Templates!$L$3:$L$10,MATCH($U339,Templates!$A$3:$A$10,0)),""))</f>
        <v/>
      </c>
      <c r="X339" s="21">
        <f>IF($U339="","",IFERROR(INDEX(Templates!$J$3:$J$10,MATCH($U339,Templates!$A$3:$A$10,0)),""))</f>
        <v/>
      </c>
      <c r="Y339" s="35">
        <f>IF(OR($U339="",$I339="",$J339="",$X339=""),"",$I339+$X339*($J339-$I339))</f>
        <v/>
      </c>
      <c r="Z339" s="31" t="n"/>
      <c r="AA339" s="31" t="n"/>
      <c r="AB339" s="31" t="n"/>
      <c r="AC339" s="31" t="n"/>
      <c r="AD339" s="19">
        <f>IF($A339="","",IF($AA339="",$H339,$AA339))</f>
        <v/>
      </c>
      <c r="AE339" s="35">
        <f>IF($A339="","",IF($AB339="",$I339,$AB339))</f>
        <v/>
      </c>
      <c r="AF339" s="35">
        <f>IF($A339="","",IF($AC339="",$J339,$AC339))</f>
        <v/>
      </c>
      <c r="AG339" s="35">
        <f>IF(OR($U339="",$AE339="",$AF339="",$X339=""),"",$AE339+$X339*($AF339-$AE339))</f>
        <v/>
      </c>
      <c r="AH339" s="31" t="n"/>
      <c r="AI339" s="31" t="n"/>
      <c r="AJ339" s="31" t="n"/>
      <c r="AK339" s="31" t="n"/>
      <c r="AL339" s="31" t="n"/>
      <c r="AM339" s="31" t="n"/>
      <c r="AN339" s="31" t="n"/>
      <c r="AO339" s="31" t="n"/>
      <c r="AP339" s="31" t="n"/>
      <c r="AQ339" s="31" t="n"/>
      <c r="AR339" s="31" t="n"/>
      <c r="AS339" s="31" t="n"/>
      <c r="AT339" s="31" t="n"/>
      <c r="AU339" s="31" t="n"/>
      <c r="AV339" s="31" t="n"/>
      <c r="AW339" s="31" t="n"/>
      <c r="AX339" s="31" t="n"/>
      <c r="AY339" s="31" t="n"/>
      <c r="AZ339" s="31" t="n"/>
      <c r="BA339" s="31" t="n"/>
      <c r="BB339" s="31" t="n"/>
      <c r="BC339" s="31" t="n"/>
      <c r="BD339" s="37">
        <f>IF($A339="","",SUM($AY339:$BC339))</f>
        <v/>
      </c>
      <c r="BE339" s="18">
        <f>IF($A339="","",IF(AND($I339&lt;&gt;"",$J339&lt;&gt;""),MAX(1,($J339-$I339)/7),Templates!$B$35))</f>
        <v/>
      </c>
      <c r="BF339" s="18">
        <f>IF($A339="","",IF(AND($I339&lt;&gt;"",$J339&lt;&gt;""),MAX(1,($J339-$I339)/7),Templates!$B$36))</f>
        <v/>
      </c>
      <c r="BG339" s="18">
        <f>IF($A339="","",IF(AND($I339&lt;&gt;"",$J339&lt;&gt;""),MAX(1,($J339-$I339)/7),Templates!$B$37))</f>
        <v/>
      </c>
      <c r="BH339" s="18">
        <f>IF($A339="","",IF(AND($I339&lt;&gt;"",$J339&lt;&gt;""),MAX(1,($J339-$I339)/7),Templates!$B$38))</f>
        <v/>
      </c>
      <c r="BI339" s="18">
        <f>IF($A339="","",IF(AND($I339&lt;&gt;"",$J339&lt;&gt;""),MAX(1,($J339-$I339)/7),Templates!$B$39))</f>
        <v/>
      </c>
      <c r="BJ339" s="18">
        <f>IF(OR($A339="",$BD339=0),0,($AY339*Templates!$B$27/$BE339+$AZ339*Templates!$B$28/$BF339+$BA339*Templates!$B$29/$BG339+$BB339*Templates!$B$30/$BH339+$BC339*Templates!$B$31/$BI339)/Templates!$B$17)</f>
        <v/>
      </c>
      <c r="BK339" s="18">
        <f>IF(OR($A339="",$BD339=0),0,($AY339*Templates!$C$27/$BE339+$AZ339*Templates!$C$28/$BF339+$BA339*Templates!$C$29/$BG339+$BB339*Templates!$C$30/$BH339+$BC339*Templates!$C$31/$BI339)/Templates!$B$18)</f>
        <v/>
      </c>
      <c r="BL339" s="18">
        <f>IF(OR($A339="",$BD339=0),0,($AY339*Templates!$D$27/$BE339+$AZ339*Templates!$D$28/$BF339+$BA339*Templates!$D$29/$BG339+$BB339*Templates!$D$30/$BH339+$BC339*Templates!$D$31/$BI339)/Templates!$B$19)</f>
        <v/>
      </c>
      <c r="BM339" s="18">
        <f>IF(OR($A339="",$BD339=0),0,($AY339*Templates!$E$27/$BE339+$AZ339*Templates!$E$28/$BF339+$BA339*Templates!$E$29/$BG339+$BB339*Templates!$E$30/$BH339+$BC339*Templates!$E$31/$BI339)/Templates!$B$20)</f>
        <v/>
      </c>
      <c r="BN339" s="18">
        <f>IF(OR($A339="",$BD339=0),0,($AY339*Templates!$F$27/$BE339+$AZ339*Templates!$F$28/$BF339+$BA339*Templates!$F$29/$BG339+$BB339*Templates!$F$30/$BH339+$BC339*Templates!$F$31/$BI339)/Templates!$B$21)</f>
        <v/>
      </c>
      <c r="BO339" s="18">
        <f>IF(OR($A339="",$BD339=0),0,($AY339*Templates!$G$27/$BE339+$AZ339*Templates!$G$28/$BF339+$BA339*Templates!$G$29/$BG339+$BB339*Templates!$G$30/$BH339+$BC339*Templates!$G$31/$BI339)/Templates!$B$22)</f>
        <v/>
      </c>
      <c r="BP339" s="18">
        <f>IF(OR($A339="",$BD339=0),0,($AY339*Templates!$H$27/$BE339+$AZ339*Templates!$H$28/$BF339+$BA339*Templates!$H$29/$BG339+$BB339*Templates!$H$30/$BH339+$BC339*Templates!$H$31/$BI339)/Templates!$B$23)</f>
        <v/>
      </c>
    </row>
    <row r="340">
      <c r="A340" s="31" t="n"/>
      <c r="B340" s="44" t="n"/>
      <c r="C340" s="31" t="n"/>
      <c r="D340" s="31" t="n"/>
      <c r="E340" s="31" t="n"/>
      <c r="F340" s="31" t="n"/>
      <c r="G340" s="31" t="n"/>
      <c r="H340" s="31" t="n"/>
      <c r="I340" s="31" t="n"/>
      <c r="J340" s="31" t="n"/>
      <c r="K340" s="31" t="n"/>
      <c r="L340" s="31" t="n"/>
      <c r="M340" s="31" t="n"/>
      <c r="N340" s="31" t="n"/>
      <c r="O340" s="31" t="n"/>
      <c r="P340" s="31" t="n"/>
      <c r="Q340" s="23">
        <f>IF($A340="","",COUNTIFS(Assignments!$C$2:$C$769,$A340,Assignments!$G$2:$G$769,"Active"))</f>
        <v/>
      </c>
      <c r="R340" s="32">
        <f>IF($A340="","",SUMIFS(Assignments!$I$2:$I$769,Assignments!$C$2:$C$769,$A340,Assignments!$G$2:$G$769,"Active"))</f>
        <v/>
      </c>
      <c r="S340" s="44" t="n"/>
      <c r="T340" s="31" t="n"/>
      <c r="U340" s="31" t="n"/>
      <c r="V340" s="34">
        <f>IF($U340="","",IFERROR(INDEX(Templates!$K$3:$K$10,MATCH($U340,Templates!$A$3:$A$10,0)),""))</f>
        <v/>
      </c>
      <c r="W340" s="34">
        <f>IF($U340="","",IFERROR(INDEX(Templates!$L$3:$L$10,MATCH($U340,Templates!$A$3:$A$10,0)),""))</f>
        <v/>
      </c>
      <c r="X340" s="21">
        <f>IF($U340="","",IFERROR(INDEX(Templates!$J$3:$J$10,MATCH($U340,Templates!$A$3:$A$10,0)),""))</f>
        <v/>
      </c>
      <c r="Y340" s="35">
        <f>IF(OR($U340="",$I340="",$J340="",$X340=""),"",$I340+$X340*($J340-$I340))</f>
        <v/>
      </c>
      <c r="Z340" s="31" t="n"/>
      <c r="AA340" s="31" t="n"/>
      <c r="AB340" s="31" t="n"/>
      <c r="AC340" s="31" t="n"/>
      <c r="AD340" s="19">
        <f>IF($A340="","",IF($AA340="",$H340,$AA340))</f>
        <v/>
      </c>
      <c r="AE340" s="35">
        <f>IF($A340="","",IF($AB340="",$I340,$AB340))</f>
        <v/>
      </c>
      <c r="AF340" s="35">
        <f>IF($A340="","",IF($AC340="",$J340,$AC340))</f>
        <v/>
      </c>
      <c r="AG340" s="35">
        <f>IF(OR($U340="",$AE340="",$AF340="",$X340=""),"",$AE340+$X340*($AF340-$AE340))</f>
        <v/>
      </c>
      <c r="AH340" s="31" t="n"/>
      <c r="AI340" s="31" t="n"/>
      <c r="AJ340" s="31" t="n"/>
      <c r="AK340" s="31" t="n"/>
      <c r="AL340" s="31" t="n"/>
      <c r="AM340" s="31" t="n"/>
      <c r="AN340" s="31" t="n"/>
      <c r="AO340" s="31" t="n"/>
      <c r="AP340" s="31" t="n"/>
      <c r="AQ340" s="31" t="n"/>
      <c r="AR340" s="31" t="n"/>
      <c r="AS340" s="31" t="n"/>
      <c r="AT340" s="31" t="n"/>
      <c r="AU340" s="31" t="n"/>
      <c r="AV340" s="31" t="n"/>
      <c r="AW340" s="31" t="n"/>
      <c r="AX340" s="31" t="n"/>
      <c r="AY340" s="31" t="n"/>
      <c r="AZ340" s="31" t="n"/>
      <c r="BA340" s="31" t="n"/>
      <c r="BB340" s="31" t="n"/>
      <c r="BC340" s="31" t="n"/>
      <c r="BD340" s="37">
        <f>IF($A340="","",SUM($AY340:$BC340))</f>
        <v/>
      </c>
      <c r="BE340" s="18">
        <f>IF($A340="","",IF(AND($I340&lt;&gt;"",$J340&lt;&gt;""),MAX(1,($J340-$I340)/7),Templates!$B$35))</f>
        <v/>
      </c>
      <c r="BF340" s="18">
        <f>IF($A340="","",IF(AND($I340&lt;&gt;"",$J340&lt;&gt;""),MAX(1,($J340-$I340)/7),Templates!$B$36))</f>
        <v/>
      </c>
      <c r="BG340" s="18">
        <f>IF($A340="","",IF(AND($I340&lt;&gt;"",$J340&lt;&gt;""),MAX(1,($J340-$I340)/7),Templates!$B$37))</f>
        <v/>
      </c>
      <c r="BH340" s="18">
        <f>IF($A340="","",IF(AND($I340&lt;&gt;"",$J340&lt;&gt;""),MAX(1,($J340-$I340)/7),Templates!$B$38))</f>
        <v/>
      </c>
      <c r="BI340" s="18">
        <f>IF($A340="","",IF(AND($I340&lt;&gt;"",$J340&lt;&gt;""),MAX(1,($J340-$I340)/7),Templates!$B$39))</f>
        <v/>
      </c>
      <c r="BJ340" s="18">
        <f>IF(OR($A340="",$BD340=0),0,($AY340*Templates!$B$27/$BE340+$AZ340*Templates!$B$28/$BF340+$BA340*Templates!$B$29/$BG340+$BB340*Templates!$B$30/$BH340+$BC340*Templates!$B$31/$BI340)/Templates!$B$17)</f>
        <v/>
      </c>
      <c r="BK340" s="18">
        <f>IF(OR($A340="",$BD340=0),0,($AY340*Templates!$C$27/$BE340+$AZ340*Templates!$C$28/$BF340+$BA340*Templates!$C$29/$BG340+$BB340*Templates!$C$30/$BH340+$BC340*Templates!$C$31/$BI340)/Templates!$B$18)</f>
        <v/>
      </c>
      <c r="BL340" s="18">
        <f>IF(OR($A340="",$BD340=0),0,($AY340*Templates!$D$27/$BE340+$AZ340*Templates!$D$28/$BF340+$BA340*Templates!$D$29/$BG340+$BB340*Templates!$D$30/$BH340+$BC340*Templates!$D$31/$BI340)/Templates!$B$19)</f>
        <v/>
      </c>
      <c r="BM340" s="18">
        <f>IF(OR($A340="",$BD340=0),0,($AY340*Templates!$E$27/$BE340+$AZ340*Templates!$E$28/$BF340+$BA340*Templates!$E$29/$BG340+$BB340*Templates!$E$30/$BH340+$BC340*Templates!$E$31/$BI340)/Templates!$B$20)</f>
        <v/>
      </c>
      <c r="BN340" s="18">
        <f>IF(OR($A340="",$BD340=0),0,($AY340*Templates!$F$27/$BE340+$AZ340*Templates!$F$28/$BF340+$BA340*Templates!$F$29/$BG340+$BB340*Templates!$F$30/$BH340+$BC340*Templates!$F$31/$BI340)/Templates!$B$21)</f>
        <v/>
      </c>
      <c r="BO340" s="18">
        <f>IF(OR($A340="",$BD340=0),0,($AY340*Templates!$G$27/$BE340+$AZ340*Templates!$G$28/$BF340+$BA340*Templates!$G$29/$BG340+$BB340*Templates!$G$30/$BH340+$BC340*Templates!$G$31/$BI340)/Templates!$B$22)</f>
        <v/>
      </c>
      <c r="BP340" s="18">
        <f>IF(OR($A340="",$BD340=0),0,($AY340*Templates!$H$27/$BE340+$AZ340*Templates!$H$28/$BF340+$BA340*Templates!$H$29/$BG340+$BB340*Templates!$H$30/$BH340+$BC340*Templates!$H$31/$BI340)/Templates!$B$23)</f>
        <v/>
      </c>
    </row>
    <row r="341">
      <c r="A341" s="31" t="n"/>
      <c r="B341" s="44" t="n"/>
      <c r="C341" s="31" t="n"/>
      <c r="D341" s="31" t="n"/>
      <c r="E341" s="31" t="n"/>
      <c r="F341" s="31" t="n"/>
      <c r="G341" s="31" t="n"/>
      <c r="H341" s="31" t="n"/>
      <c r="I341" s="31" t="n"/>
      <c r="J341" s="31" t="n"/>
      <c r="K341" s="31" t="n"/>
      <c r="L341" s="31" t="n"/>
      <c r="M341" s="31" t="n"/>
      <c r="N341" s="31" t="n"/>
      <c r="O341" s="31" t="n"/>
      <c r="P341" s="31" t="n"/>
      <c r="Q341" s="23">
        <f>IF($A341="","",COUNTIFS(Assignments!$C$2:$C$769,$A341,Assignments!$G$2:$G$769,"Active"))</f>
        <v/>
      </c>
      <c r="R341" s="32">
        <f>IF($A341="","",SUMIFS(Assignments!$I$2:$I$769,Assignments!$C$2:$C$769,$A341,Assignments!$G$2:$G$769,"Active"))</f>
        <v/>
      </c>
      <c r="S341" s="44" t="n"/>
      <c r="T341" s="31" t="n"/>
      <c r="U341" s="31" t="n"/>
      <c r="V341" s="34">
        <f>IF($U341="","",IFERROR(INDEX(Templates!$K$3:$K$10,MATCH($U341,Templates!$A$3:$A$10,0)),""))</f>
        <v/>
      </c>
      <c r="W341" s="34">
        <f>IF($U341="","",IFERROR(INDEX(Templates!$L$3:$L$10,MATCH($U341,Templates!$A$3:$A$10,0)),""))</f>
        <v/>
      </c>
      <c r="X341" s="21">
        <f>IF($U341="","",IFERROR(INDEX(Templates!$J$3:$J$10,MATCH($U341,Templates!$A$3:$A$10,0)),""))</f>
        <v/>
      </c>
      <c r="Y341" s="35">
        <f>IF(OR($U341="",$I341="",$J341="",$X341=""),"",$I341+$X341*($J341-$I341))</f>
        <v/>
      </c>
      <c r="Z341" s="31" t="n"/>
      <c r="AA341" s="31" t="n"/>
      <c r="AB341" s="31" t="n"/>
      <c r="AC341" s="31" t="n"/>
      <c r="AD341" s="19">
        <f>IF($A341="","",IF($AA341="",$H341,$AA341))</f>
        <v/>
      </c>
      <c r="AE341" s="35">
        <f>IF($A341="","",IF($AB341="",$I341,$AB341))</f>
        <v/>
      </c>
      <c r="AF341" s="35">
        <f>IF($A341="","",IF($AC341="",$J341,$AC341))</f>
        <v/>
      </c>
      <c r="AG341" s="35">
        <f>IF(OR($U341="",$AE341="",$AF341="",$X341=""),"",$AE341+$X341*($AF341-$AE341))</f>
        <v/>
      </c>
      <c r="AH341" s="31" t="n"/>
      <c r="AI341" s="31" t="n"/>
      <c r="AJ341" s="31" t="n"/>
      <c r="AK341" s="31" t="n"/>
      <c r="AL341" s="31" t="n"/>
      <c r="AM341" s="31" t="n"/>
      <c r="AN341" s="31" t="n"/>
      <c r="AO341" s="31" t="n"/>
      <c r="AP341" s="31" t="n"/>
      <c r="AQ341" s="31" t="n"/>
      <c r="AR341" s="31" t="n"/>
      <c r="AS341" s="31" t="n"/>
      <c r="AT341" s="31" t="n"/>
      <c r="AU341" s="31" t="n"/>
      <c r="AV341" s="31" t="n"/>
      <c r="AW341" s="31" t="n"/>
      <c r="AX341" s="31" t="n"/>
      <c r="AY341" s="31" t="n"/>
      <c r="AZ341" s="31" t="n"/>
      <c r="BA341" s="31" t="n"/>
      <c r="BB341" s="31" t="n"/>
      <c r="BC341" s="31" t="n"/>
      <c r="BD341" s="37">
        <f>IF($A341="","",SUM($AY341:$BC341))</f>
        <v/>
      </c>
      <c r="BE341" s="18">
        <f>IF($A341="","",IF(AND($I341&lt;&gt;"",$J341&lt;&gt;""),MAX(1,($J341-$I341)/7),Templates!$B$35))</f>
        <v/>
      </c>
      <c r="BF341" s="18">
        <f>IF($A341="","",IF(AND($I341&lt;&gt;"",$J341&lt;&gt;""),MAX(1,($J341-$I341)/7),Templates!$B$36))</f>
        <v/>
      </c>
      <c r="BG341" s="18">
        <f>IF($A341="","",IF(AND($I341&lt;&gt;"",$J341&lt;&gt;""),MAX(1,($J341-$I341)/7),Templates!$B$37))</f>
        <v/>
      </c>
      <c r="BH341" s="18">
        <f>IF($A341="","",IF(AND($I341&lt;&gt;"",$J341&lt;&gt;""),MAX(1,($J341-$I341)/7),Templates!$B$38))</f>
        <v/>
      </c>
      <c r="BI341" s="18">
        <f>IF($A341="","",IF(AND($I341&lt;&gt;"",$J341&lt;&gt;""),MAX(1,($J341-$I341)/7),Templates!$B$39))</f>
        <v/>
      </c>
      <c r="BJ341" s="18">
        <f>IF(OR($A341="",$BD341=0),0,($AY341*Templates!$B$27/$BE341+$AZ341*Templates!$B$28/$BF341+$BA341*Templates!$B$29/$BG341+$BB341*Templates!$B$30/$BH341+$BC341*Templates!$B$31/$BI341)/Templates!$B$17)</f>
        <v/>
      </c>
      <c r="BK341" s="18">
        <f>IF(OR($A341="",$BD341=0),0,($AY341*Templates!$C$27/$BE341+$AZ341*Templates!$C$28/$BF341+$BA341*Templates!$C$29/$BG341+$BB341*Templates!$C$30/$BH341+$BC341*Templates!$C$31/$BI341)/Templates!$B$18)</f>
        <v/>
      </c>
      <c r="BL341" s="18">
        <f>IF(OR($A341="",$BD341=0),0,($AY341*Templates!$D$27/$BE341+$AZ341*Templates!$D$28/$BF341+$BA341*Templates!$D$29/$BG341+$BB341*Templates!$D$30/$BH341+$BC341*Templates!$D$31/$BI341)/Templates!$B$19)</f>
        <v/>
      </c>
      <c r="BM341" s="18">
        <f>IF(OR($A341="",$BD341=0),0,($AY341*Templates!$E$27/$BE341+$AZ341*Templates!$E$28/$BF341+$BA341*Templates!$E$29/$BG341+$BB341*Templates!$E$30/$BH341+$BC341*Templates!$E$31/$BI341)/Templates!$B$20)</f>
        <v/>
      </c>
      <c r="BN341" s="18">
        <f>IF(OR($A341="",$BD341=0),0,($AY341*Templates!$F$27/$BE341+$AZ341*Templates!$F$28/$BF341+$BA341*Templates!$F$29/$BG341+$BB341*Templates!$F$30/$BH341+$BC341*Templates!$F$31/$BI341)/Templates!$B$21)</f>
        <v/>
      </c>
      <c r="BO341" s="18">
        <f>IF(OR($A341="",$BD341=0),0,($AY341*Templates!$G$27/$BE341+$AZ341*Templates!$G$28/$BF341+$BA341*Templates!$G$29/$BG341+$BB341*Templates!$G$30/$BH341+$BC341*Templates!$G$31/$BI341)/Templates!$B$22)</f>
        <v/>
      </c>
      <c r="BP341" s="18">
        <f>IF(OR($A341="",$BD341=0),0,($AY341*Templates!$H$27/$BE341+$AZ341*Templates!$H$28/$BF341+$BA341*Templates!$H$29/$BG341+$BB341*Templates!$H$30/$BH341+$BC341*Templates!$H$31/$BI341)/Templates!$B$23)</f>
        <v/>
      </c>
    </row>
    <row r="342">
      <c r="A342" s="31" t="n"/>
      <c r="B342" s="44" t="n"/>
      <c r="C342" s="31" t="n"/>
      <c r="D342" s="31" t="n"/>
      <c r="E342" s="31" t="n"/>
      <c r="F342" s="31" t="n"/>
      <c r="G342" s="31" t="n"/>
      <c r="H342" s="31" t="n"/>
      <c r="I342" s="31" t="n"/>
      <c r="J342" s="31" t="n"/>
      <c r="K342" s="31" t="n"/>
      <c r="L342" s="31" t="n"/>
      <c r="M342" s="31" t="n"/>
      <c r="N342" s="31" t="n"/>
      <c r="O342" s="31" t="n"/>
      <c r="P342" s="31" t="n"/>
      <c r="Q342" s="23">
        <f>IF($A342="","",COUNTIFS(Assignments!$C$2:$C$769,$A342,Assignments!$G$2:$G$769,"Active"))</f>
        <v/>
      </c>
      <c r="R342" s="32">
        <f>IF($A342="","",SUMIFS(Assignments!$I$2:$I$769,Assignments!$C$2:$C$769,$A342,Assignments!$G$2:$G$769,"Active"))</f>
        <v/>
      </c>
      <c r="S342" s="44" t="n"/>
      <c r="T342" s="31" t="n"/>
      <c r="U342" s="31" t="n"/>
      <c r="V342" s="34">
        <f>IF($U342="","",IFERROR(INDEX(Templates!$K$3:$K$10,MATCH($U342,Templates!$A$3:$A$10,0)),""))</f>
        <v/>
      </c>
      <c r="W342" s="34">
        <f>IF($U342="","",IFERROR(INDEX(Templates!$L$3:$L$10,MATCH($U342,Templates!$A$3:$A$10,0)),""))</f>
        <v/>
      </c>
      <c r="X342" s="21">
        <f>IF($U342="","",IFERROR(INDEX(Templates!$J$3:$J$10,MATCH($U342,Templates!$A$3:$A$10,0)),""))</f>
        <v/>
      </c>
      <c r="Y342" s="35">
        <f>IF(OR($U342="",$I342="",$J342="",$X342=""),"",$I342+$X342*($J342-$I342))</f>
        <v/>
      </c>
      <c r="Z342" s="31" t="n"/>
      <c r="AA342" s="31" t="n"/>
      <c r="AB342" s="31" t="n"/>
      <c r="AC342" s="31" t="n"/>
      <c r="AD342" s="19">
        <f>IF($A342="","",IF($AA342="",$H342,$AA342))</f>
        <v/>
      </c>
      <c r="AE342" s="35">
        <f>IF($A342="","",IF($AB342="",$I342,$AB342))</f>
        <v/>
      </c>
      <c r="AF342" s="35">
        <f>IF($A342="","",IF($AC342="",$J342,$AC342))</f>
        <v/>
      </c>
      <c r="AG342" s="35">
        <f>IF(OR($U342="",$AE342="",$AF342="",$X342=""),"",$AE342+$X342*($AF342-$AE342))</f>
        <v/>
      </c>
      <c r="AH342" s="31" t="n"/>
      <c r="AI342" s="31" t="n"/>
      <c r="AJ342" s="31" t="n"/>
      <c r="AK342" s="31" t="n"/>
      <c r="AL342" s="31" t="n"/>
      <c r="AM342" s="31" t="n"/>
      <c r="AN342" s="31" t="n"/>
      <c r="AO342" s="31" t="n"/>
      <c r="AP342" s="31" t="n"/>
      <c r="AQ342" s="31" t="n"/>
      <c r="AR342" s="31" t="n"/>
      <c r="AS342" s="31" t="n"/>
      <c r="AT342" s="31" t="n"/>
      <c r="AU342" s="31" t="n"/>
      <c r="AV342" s="31" t="n"/>
      <c r="AW342" s="31" t="n"/>
      <c r="AX342" s="31" t="n"/>
      <c r="AY342" s="31" t="n"/>
      <c r="AZ342" s="31" t="n"/>
      <c r="BA342" s="31" t="n"/>
      <c r="BB342" s="31" t="n"/>
      <c r="BC342" s="31" t="n"/>
      <c r="BD342" s="37">
        <f>IF($A342="","",SUM($AY342:$BC342))</f>
        <v/>
      </c>
      <c r="BE342" s="18">
        <f>IF($A342="","",IF(AND($I342&lt;&gt;"",$J342&lt;&gt;""),MAX(1,($J342-$I342)/7),Templates!$B$35))</f>
        <v/>
      </c>
      <c r="BF342" s="18">
        <f>IF($A342="","",IF(AND($I342&lt;&gt;"",$J342&lt;&gt;""),MAX(1,($J342-$I342)/7),Templates!$B$36))</f>
        <v/>
      </c>
      <c r="BG342" s="18">
        <f>IF($A342="","",IF(AND($I342&lt;&gt;"",$J342&lt;&gt;""),MAX(1,($J342-$I342)/7),Templates!$B$37))</f>
        <v/>
      </c>
      <c r="BH342" s="18">
        <f>IF($A342="","",IF(AND($I342&lt;&gt;"",$J342&lt;&gt;""),MAX(1,($J342-$I342)/7),Templates!$B$38))</f>
        <v/>
      </c>
      <c r="BI342" s="18">
        <f>IF($A342="","",IF(AND($I342&lt;&gt;"",$J342&lt;&gt;""),MAX(1,($J342-$I342)/7),Templates!$B$39))</f>
        <v/>
      </c>
      <c r="BJ342" s="18">
        <f>IF(OR($A342="",$BD342=0),0,($AY342*Templates!$B$27/$BE342+$AZ342*Templates!$B$28/$BF342+$BA342*Templates!$B$29/$BG342+$BB342*Templates!$B$30/$BH342+$BC342*Templates!$B$31/$BI342)/Templates!$B$17)</f>
        <v/>
      </c>
      <c r="BK342" s="18">
        <f>IF(OR($A342="",$BD342=0),0,($AY342*Templates!$C$27/$BE342+$AZ342*Templates!$C$28/$BF342+$BA342*Templates!$C$29/$BG342+$BB342*Templates!$C$30/$BH342+$BC342*Templates!$C$31/$BI342)/Templates!$B$18)</f>
        <v/>
      </c>
      <c r="BL342" s="18">
        <f>IF(OR($A342="",$BD342=0),0,($AY342*Templates!$D$27/$BE342+$AZ342*Templates!$D$28/$BF342+$BA342*Templates!$D$29/$BG342+$BB342*Templates!$D$30/$BH342+$BC342*Templates!$D$31/$BI342)/Templates!$B$19)</f>
        <v/>
      </c>
      <c r="BM342" s="18">
        <f>IF(OR($A342="",$BD342=0),0,($AY342*Templates!$E$27/$BE342+$AZ342*Templates!$E$28/$BF342+$BA342*Templates!$E$29/$BG342+$BB342*Templates!$E$30/$BH342+$BC342*Templates!$E$31/$BI342)/Templates!$B$20)</f>
        <v/>
      </c>
      <c r="BN342" s="18">
        <f>IF(OR($A342="",$BD342=0),0,($AY342*Templates!$F$27/$BE342+$AZ342*Templates!$F$28/$BF342+$BA342*Templates!$F$29/$BG342+$BB342*Templates!$F$30/$BH342+$BC342*Templates!$F$31/$BI342)/Templates!$B$21)</f>
        <v/>
      </c>
      <c r="BO342" s="18">
        <f>IF(OR($A342="",$BD342=0),0,($AY342*Templates!$G$27/$BE342+$AZ342*Templates!$G$28/$BF342+$BA342*Templates!$G$29/$BG342+$BB342*Templates!$G$30/$BH342+$BC342*Templates!$G$31/$BI342)/Templates!$B$22)</f>
        <v/>
      </c>
      <c r="BP342" s="18">
        <f>IF(OR($A342="",$BD342=0),0,($AY342*Templates!$H$27/$BE342+$AZ342*Templates!$H$28/$BF342+$BA342*Templates!$H$29/$BG342+$BB342*Templates!$H$30/$BH342+$BC342*Templates!$H$31/$BI342)/Templates!$B$23)</f>
        <v/>
      </c>
    </row>
    <row r="343">
      <c r="A343" s="31" t="n"/>
      <c r="B343" s="44" t="n"/>
      <c r="C343" s="31" t="n"/>
      <c r="D343" s="31" t="n"/>
      <c r="E343" s="31" t="n"/>
      <c r="F343" s="31" t="n"/>
      <c r="G343" s="31" t="n"/>
      <c r="H343" s="31" t="n"/>
      <c r="I343" s="31" t="n"/>
      <c r="J343" s="31" t="n"/>
      <c r="K343" s="31" t="n"/>
      <c r="L343" s="31" t="n"/>
      <c r="M343" s="31" t="n"/>
      <c r="N343" s="31" t="n"/>
      <c r="O343" s="31" t="n"/>
      <c r="P343" s="31" t="n"/>
      <c r="Q343" s="23">
        <f>IF($A343="","",COUNTIFS(Assignments!$C$2:$C$769,$A343,Assignments!$G$2:$G$769,"Active"))</f>
        <v/>
      </c>
      <c r="R343" s="32">
        <f>IF($A343="","",SUMIFS(Assignments!$I$2:$I$769,Assignments!$C$2:$C$769,$A343,Assignments!$G$2:$G$769,"Active"))</f>
        <v/>
      </c>
      <c r="S343" s="44" t="n"/>
      <c r="T343" s="31" t="n"/>
      <c r="U343" s="31" t="n"/>
      <c r="V343" s="34">
        <f>IF($U343="","",IFERROR(INDEX(Templates!$K$3:$K$10,MATCH($U343,Templates!$A$3:$A$10,0)),""))</f>
        <v/>
      </c>
      <c r="W343" s="34">
        <f>IF($U343="","",IFERROR(INDEX(Templates!$L$3:$L$10,MATCH($U343,Templates!$A$3:$A$10,0)),""))</f>
        <v/>
      </c>
      <c r="X343" s="21">
        <f>IF($U343="","",IFERROR(INDEX(Templates!$J$3:$J$10,MATCH($U343,Templates!$A$3:$A$10,0)),""))</f>
        <v/>
      </c>
      <c r="Y343" s="35">
        <f>IF(OR($U343="",$I343="",$J343="",$X343=""),"",$I343+$X343*($J343-$I343))</f>
        <v/>
      </c>
      <c r="Z343" s="31" t="n"/>
      <c r="AA343" s="31" t="n"/>
      <c r="AB343" s="31" t="n"/>
      <c r="AC343" s="31" t="n"/>
      <c r="AD343" s="19">
        <f>IF($A343="","",IF($AA343="",$H343,$AA343))</f>
        <v/>
      </c>
      <c r="AE343" s="35">
        <f>IF($A343="","",IF($AB343="",$I343,$AB343))</f>
        <v/>
      </c>
      <c r="AF343" s="35">
        <f>IF($A343="","",IF($AC343="",$J343,$AC343))</f>
        <v/>
      </c>
      <c r="AG343" s="35">
        <f>IF(OR($U343="",$AE343="",$AF343="",$X343=""),"",$AE343+$X343*($AF343-$AE343))</f>
        <v/>
      </c>
      <c r="AH343" s="31" t="n"/>
      <c r="AI343" s="31" t="n"/>
      <c r="AJ343" s="31" t="n"/>
      <c r="AK343" s="31" t="n"/>
      <c r="AL343" s="31" t="n"/>
      <c r="AM343" s="31" t="n"/>
      <c r="AN343" s="31" t="n"/>
      <c r="AO343" s="31" t="n"/>
      <c r="AP343" s="31" t="n"/>
      <c r="AQ343" s="31" t="n"/>
      <c r="AR343" s="31" t="n"/>
      <c r="AS343" s="31" t="n"/>
      <c r="AT343" s="31" t="n"/>
      <c r="AU343" s="31" t="n"/>
      <c r="AV343" s="31" t="n"/>
      <c r="AW343" s="31" t="n"/>
      <c r="AX343" s="31" t="n"/>
      <c r="AY343" s="31" t="n"/>
      <c r="AZ343" s="31" t="n"/>
      <c r="BA343" s="31" t="n"/>
      <c r="BB343" s="31" t="n"/>
      <c r="BC343" s="31" t="n"/>
      <c r="BD343" s="37">
        <f>IF($A343="","",SUM($AY343:$BC343))</f>
        <v/>
      </c>
      <c r="BE343" s="18">
        <f>IF($A343="","",IF(AND($I343&lt;&gt;"",$J343&lt;&gt;""),MAX(1,($J343-$I343)/7),Templates!$B$35))</f>
        <v/>
      </c>
      <c r="BF343" s="18">
        <f>IF($A343="","",IF(AND($I343&lt;&gt;"",$J343&lt;&gt;""),MAX(1,($J343-$I343)/7),Templates!$B$36))</f>
        <v/>
      </c>
      <c r="BG343" s="18">
        <f>IF($A343="","",IF(AND($I343&lt;&gt;"",$J343&lt;&gt;""),MAX(1,($J343-$I343)/7),Templates!$B$37))</f>
        <v/>
      </c>
      <c r="BH343" s="18">
        <f>IF($A343="","",IF(AND($I343&lt;&gt;"",$J343&lt;&gt;""),MAX(1,($J343-$I343)/7),Templates!$B$38))</f>
        <v/>
      </c>
      <c r="BI343" s="18">
        <f>IF($A343="","",IF(AND($I343&lt;&gt;"",$J343&lt;&gt;""),MAX(1,($J343-$I343)/7),Templates!$B$39))</f>
        <v/>
      </c>
      <c r="BJ343" s="18">
        <f>IF(OR($A343="",$BD343=0),0,($AY343*Templates!$B$27/$BE343+$AZ343*Templates!$B$28/$BF343+$BA343*Templates!$B$29/$BG343+$BB343*Templates!$B$30/$BH343+$BC343*Templates!$B$31/$BI343)/Templates!$B$17)</f>
        <v/>
      </c>
      <c r="BK343" s="18">
        <f>IF(OR($A343="",$BD343=0),0,($AY343*Templates!$C$27/$BE343+$AZ343*Templates!$C$28/$BF343+$BA343*Templates!$C$29/$BG343+$BB343*Templates!$C$30/$BH343+$BC343*Templates!$C$31/$BI343)/Templates!$B$18)</f>
        <v/>
      </c>
      <c r="BL343" s="18">
        <f>IF(OR($A343="",$BD343=0),0,($AY343*Templates!$D$27/$BE343+$AZ343*Templates!$D$28/$BF343+$BA343*Templates!$D$29/$BG343+$BB343*Templates!$D$30/$BH343+$BC343*Templates!$D$31/$BI343)/Templates!$B$19)</f>
        <v/>
      </c>
      <c r="BM343" s="18">
        <f>IF(OR($A343="",$BD343=0),0,($AY343*Templates!$E$27/$BE343+$AZ343*Templates!$E$28/$BF343+$BA343*Templates!$E$29/$BG343+$BB343*Templates!$E$30/$BH343+$BC343*Templates!$E$31/$BI343)/Templates!$B$20)</f>
        <v/>
      </c>
      <c r="BN343" s="18">
        <f>IF(OR($A343="",$BD343=0),0,($AY343*Templates!$F$27/$BE343+$AZ343*Templates!$F$28/$BF343+$BA343*Templates!$F$29/$BG343+$BB343*Templates!$F$30/$BH343+$BC343*Templates!$F$31/$BI343)/Templates!$B$21)</f>
        <v/>
      </c>
      <c r="BO343" s="18">
        <f>IF(OR($A343="",$BD343=0),0,($AY343*Templates!$G$27/$BE343+$AZ343*Templates!$G$28/$BF343+$BA343*Templates!$G$29/$BG343+$BB343*Templates!$G$30/$BH343+$BC343*Templates!$G$31/$BI343)/Templates!$B$22)</f>
        <v/>
      </c>
      <c r="BP343" s="18">
        <f>IF(OR($A343="",$BD343=0),0,($AY343*Templates!$H$27/$BE343+$AZ343*Templates!$H$28/$BF343+$BA343*Templates!$H$29/$BG343+$BB343*Templates!$H$30/$BH343+$BC343*Templates!$H$31/$BI343)/Templates!$B$23)</f>
        <v/>
      </c>
    </row>
    <row r="344">
      <c r="A344" s="31" t="n"/>
      <c r="B344" s="44" t="n"/>
      <c r="C344" s="31" t="n"/>
      <c r="D344" s="31" t="n"/>
      <c r="E344" s="31" t="n"/>
      <c r="F344" s="31" t="n"/>
      <c r="G344" s="31" t="n"/>
      <c r="H344" s="31" t="n"/>
      <c r="I344" s="31" t="n"/>
      <c r="J344" s="31" t="n"/>
      <c r="K344" s="31" t="n"/>
      <c r="L344" s="31" t="n"/>
      <c r="M344" s="31" t="n"/>
      <c r="N344" s="31" t="n"/>
      <c r="O344" s="31" t="n"/>
      <c r="P344" s="31" t="n"/>
      <c r="Q344" s="23">
        <f>IF($A344="","",COUNTIFS(Assignments!$C$2:$C$769,$A344,Assignments!$G$2:$G$769,"Active"))</f>
        <v/>
      </c>
      <c r="R344" s="32">
        <f>IF($A344="","",SUMIFS(Assignments!$I$2:$I$769,Assignments!$C$2:$C$769,$A344,Assignments!$G$2:$G$769,"Active"))</f>
        <v/>
      </c>
      <c r="S344" s="44" t="n"/>
      <c r="T344" s="31" t="n"/>
      <c r="U344" s="31" t="n"/>
      <c r="V344" s="34">
        <f>IF($U344="","",IFERROR(INDEX(Templates!$K$3:$K$10,MATCH($U344,Templates!$A$3:$A$10,0)),""))</f>
        <v/>
      </c>
      <c r="W344" s="34">
        <f>IF($U344="","",IFERROR(INDEX(Templates!$L$3:$L$10,MATCH($U344,Templates!$A$3:$A$10,0)),""))</f>
        <v/>
      </c>
      <c r="X344" s="21">
        <f>IF($U344="","",IFERROR(INDEX(Templates!$J$3:$J$10,MATCH($U344,Templates!$A$3:$A$10,0)),""))</f>
        <v/>
      </c>
      <c r="Y344" s="35">
        <f>IF(OR($U344="",$I344="",$J344="",$X344=""),"",$I344+$X344*($J344-$I344))</f>
        <v/>
      </c>
      <c r="Z344" s="31" t="n"/>
      <c r="AA344" s="31" t="n"/>
      <c r="AB344" s="31" t="n"/>
      <c r="AC344" s="31" t="n"/>
      <c r="AD344" s="19">
        <f>IF($A344="","",IF($AA344="",$H344,$AA344))</f>
        <v/>
      </c>
      <c r="AE344" s="35">
        <f>IF($A344="","",IF($AB344="",$I344,$AB344))</f>
        <v/>
      </c>
      <c r="AF344" s="35">
        <f>IF($A344="","",IF($AC344="",$J344,$AC344))</f>
        <v/>
      </c>
      <c r="AG344" s="35">
        <f>IF(OR($U344="",$AE344="",$AF344="",$X344=""),"",$AE344+$X344*($AF344-$AE344))</f>
        <v/>
      </c>
      <c r="AH344" s="31" t="n"/>
      <c r="AI344" s="31" t="n"/>
      <c r="AJ344" s="31" t="n"/>
      <c r="AK344" s="31" t="n"/>
      <c r="AL344" s="31" t="n"/>
      <c r="AM344" s="31" t="n"/>
      <c r="AN344" s="31" t="n"/>
      <c r="AO344" s="31" t="n"/>
      <c r="AP344" s="31" t="n"/>
      <c r="AQ344" s="31" t="n"/>
      <c r="AR344" s="31" t="n"/>
      <c r="AS344" s="31" t="n"/>
      <c r="AT344" s="31" t="n"/>
      <c r="AU344" s="31" t="n"/>
      <c r="AV344" s="31" t="n"/>
      <c r="AW344" s="31" t="n"/>
      <c r="AX344" s="31" t="n"/>
      <c r="AY344" s="31" t="n"/>
      <c r="AZ344" s="31" t="n"/>
      <c r="BA344" s="31" t="n"/>
      <c r="BB344" s="31" t="n"/>
      <c r="BC344" s="31" t="n"/>
      <c r="BD344" s="37">
        <f>IF($A344="","",SUM($AY344:$BC344))</f>
        <v/>
      </c>
      <c r="BE344" s="18">
        <f>IF($A344="","",IF(AND($I344&lt;&gt;"",$J344&lt;&gt;""),MAX(1,($J344-$I344)/7),Templates!$B$35))</f>
        <v/>
      </c>
      <c r="BF344" s="18">
        <f>IF($A344="","",IF(AND($I344&lt;&gt;"",$J344&lt;&gt;""),MAX(1,($J344-$I344)/7),Templates!$B$36))</f>
        <v/>
      </c>
      <c r="BG344" s="18">
        <f>IF($A344="","",IF(AND($I344&lt;&gt;"",$J344&lt;&gt;""),MAX(1,($J344-$I344)/7),Templates!$B$37))</f>
        <v/>
      </c>
      <c r="BH344" s="18">
        <f>IF($A344="","",IF(AND($I344&lt;&gt;"",$J344&lt;&gt;""),MAX(1,($J344-$I344)/7),Templates!$B$38))</f>
        <v/>
      </c>
      <c r="BI344" s="18">
        <f>IF($A344="","",IF(AND($I344&lt;&gt;"",$J344&lt;&gt;""),MAX(1,($J344-$I344)/7),Templates!$B$39))</f>
        <v/>
      </c>
      <c r="BJ344" s="18">
        <f>IF(OR($A344="",$BD344=0),0,($AY344*Templates!$B$27/$BE344+$AZ344*Templates!$B$28/$BF344+$BA344*Templates!$B$29/$BG344+$BB344*Templates!$B$30/$BH344+$BC344*Templates!$B$31/$BI344)/Templates!$B$17)</f>
        <v/>
      </c>
      <c r="BK344" s="18">
        <f>IF(OR($A344="",$BD344=0),0,($AY344*Templates!$C$27/$BE344+$AZ344*Templates!$C$28/$BF344+$BA344*Templates!$C$29/$BG344+$BB344*Templates!$C$30/$BH344+$BC344*Templates!$C$31/$BI344)/Templates!$B$18)</f>
        <v/>
      </c>
      <c r="BL344" s="18">
        <f>IF(OR($A344="",$BD344=0),0,($AY344*Templates!$D$27/$BE344+$AZ344*Templates!$D$28/$BF344+$BA344*Templates!$D$29/$BG344+$BB344*Templates!$D$30/$BH344+$BC344*Templates!$D$31/$BI344)/Templates!$B$19)</f>
        <v/>
      </c>
      <c r="BM344" s="18">
        <f>IF(OR($A344="",$BD344=0),0,($AY344*Templates!$E$27/$BE344+$AZ344*Templates!$E$28/$BF344+$BA344*Templates!$E$29/$BG344+$BB344*Templates!$E$30/$BH344+$BC344*Templates!$E$31/$BI344)/Templates!$B$20)</f>
        <v/>
      </c>
      <c r="BN344" s="18">
        <f>IF(OR($A344="",$BD344=0),0,($AY344*Templates!$F$27/$BE344+$AZ344*Templates!$F$28/$BF344+$BA344*Templates!$F$29/$BG344+$BB344*Templates!$F$30/$BH344+$BC344*Templates!$F$31/$BI344)/Templates!$B$21)</f>
        <v/>
      </c>
      <c r="BO344" s="18">
        <f>IF(OR($A344="",$BD344=0),0,($AY344*Templates!$G$27/$BE344+$AZ344*Templates!$G$28/$BF344+$BA344*Templates!$G$29/$BG344+$BB344*Templates!$G$30/$BH344+$BC344*Templates!$G$31/$BI344)/Templates!$B$22)</f>
        <v/>
      </c>
      <c r="BP344" s="18">
        <f>IF(OR($A344="",$BD344=0),0,($AY344*Templates!$H$27/$BE344+$AZ344*Templates!$H$28/$BF344+$BA344*Templates!$H$29/$BG344+$BB344*Templates!$H$30/$BH344+$BC344*Templates!$H$31/$BI344)/Templates!$B$23)</f>
        <v/>
      </c>
    </row>
    <row r="345">
      <c r="A345" s="31" t="n"/>
      <c r="B345" s="44" t="n"/>
      <c r="C345" s="31" t="n"/>
      <c r="D345" s="31" t="n"/>
      <c r="E345" s="31" t="n"/>
      <c r="F345" s="31" t="n"/>
      <c r="G345" s="31" t="n"/>
      <c r="H345" s="31" t="n"/>
      <c r="I345" s="31" t="n"/>
      <c r="J345" s="31" t="n"/>
      <c r="K345" s="31" t="n"/>
      <c r="L345" s="31" t="n"/>
      <c r="M345" s="31" t="n"/>
      <c r="N345" s="31" t="n"/>
      <c r="O345" s="31" t="n"/>
      <c r="P345" s="31" t="n"/>
      <c r="Q345" s="23">
        <f>IF($A345="","",COUNTIFS(Assignments!$C$2:$C$769,$A345,Assignments!$G$2:$G$769,"Active"))</f>
        <v/>
      </c>
      <c r="R345" s="32">
        <f>IF($A345="","",SUMIFS(Assignments!$I$2:$I$769,Assignments!$C$2:$C$769,$A345,Assignments!$G$2:$G$769,"Active"))</f>
        <v/>
      </c>
      <c r="S345" s="44" t="n"/>
      <c r="T345" s="31" t="n"/>
      <c r="U345" s="31" t="n"/>
      <c r="V345" s="34">
        <f>IF($U345="","",IFERROR(INDEX(Templates!$K$3:$K$10,MATCH($U345,Templates!$A$3:$A$10,0)),""))</f>
        <v/>
      </c>
      <c r="W345" s="34">
        <f>IF($U345="","",IFERROR(INDEX(Templates!$L$3:$L$10,MATCH($U345,Templates!$A$3:$A$10,0)),""))</f>
        <v/>
      </c>
      <c r="X345" s="21">
        <f>IF($U345="","",IFERROR(INDEX(Templates!$J$3:$J$10,MATCH($U345,Templates!$A$3:$A$10,0)),""))</f>
        <v/>
      </c>
      <c r="Y345" s="35">
        <f>IF(OR($U345="",$I345="",$J345="",$X345=""),"",$I345+$X345*($J345-$I345))</f>
        <v/>
      </c>
      <c r="Z345" s="31" t="n"/>
      <c r="AA345" s="31" t="n"/>
      <c r="AB345" s="31" t="n"/>
      <c r="AC345" s="31" t="n"/>
      <c r="AD345" s="19">
        <f>IF($A345="","",IF($AA345="",$H345,$AA345))</f>
        <v/>
      </c>
      <c r="AE345" s="35">
        <f>IF($A345="","",IF($AB345="",$I345,$AB345))</f>
        <v/>
      </c>
      <c r="AF345" s="35">
        <f>IF($A345="","",IF($AC345="",$J345,$AC345))</f>
        <v/>
      </c>
      <c r="AG345" s="35">
        <f>IF(OR($U345="",$AE345="",$AF345="",$X345=""),"",$AE345+$X345*($AF345-$AE345))</f>
        <v/>
      </c>
      <c r="AH345" s="31" t="n"/>
      <c r="AI345" s="31" t="n"/>
      <c r="AJ345" s="31" t="n"/>
      <c r="AK345" s="31" t="n"/>
      <c r="AL345" s="31" t="n"/>
      <c r="AM345" s="31" t="n"/>
      <c r="AN345" s="31" t="n"/>
      <c r="AO345" s="31" t="n"/>
      <c r="AP345" s="31" t="n"/>
      <c r="AQ345" s="31" t="n"/>
      <c r="AR345" s="31" t="n"/>
      <c r="AS345" s="31" t="n"/>
      <c r="AT345" s="31" t="n"/>
      <c r="AU345" s="31" t="n"/>
      <c r="AV345" s="31" t="n"/>
      <c r="AW345" s="31" t="n"/>
      <c r="AX345" s="31" t="n"/>
      <c r="AY345" s="31" t="n"/>
      <c r="AZ345" s="31" t="n"/>
      <c r="BA345" s="31" t="n"/>
      <c r="BB345" s="31" t="n"/>
      <c r="BC345" s="31" t="n"/>
      <c r="BD345" s="37">
        <f>IF($A345="","",SUM($AY345:$BC345))</f>
        <v/>
      </c>
      <c r="BE345" s="18">
        <f>IF($A345="","",IF(AND($I345&lt;&gt;"",$J345&lt;&gt;""),MAX(1,($J345-$I345)/7),Templates!$B$35))</f>
        <v/>
      </c>
      <c r="BF345" s="18">
        <f>IF($A345="","",IF(AND($I345&lt;&gt;"",$J345&lt;&gt;""),MAX(1,($J345-$I345)/7),Templates!$B$36))</f>
        <v/>
      </c>
      <c r="BG345" s="18">
        <f>IF($A345="","",IF(AND($I345&lt;&gt;"",$J345&lt;&gt;""),MAX(1,($J345-$I345)/7),Templates!$B$37))</f>
        <v/>
      </c>
      <c r="BH345" s="18">
        <f>IF($A345="","",IF(AND($I345&lt;&gt;"",$J345&lt;&gt;""),MAX(1,($J345-$I345)/7),Templates!$B$38))</f>
        <v/>
      </c>
      <c r="BI345" s="18">
        <f>IF($A345="","",IF(AND($I345&lt;&gt;"",$J345&lt;&gt;""),MAX(1,($J345-$I345)/7),Templates!$B$39))</f>
        <v/>
      </c>
      <c r="BJ345" s="18">
        <f>IF(OR($A345="",$BD345=0),0,($AY345*Templates!$B$27/$BE345+$AZ345*Templates!$B$28/$BF345+$BA345*Templates!$B$29/$BG345+$BB345*Templates!$B$30/$BH345+$BC345*Templates!$B$31/$BI345)/Templates!$B$17)</f>
        <v/>
      </c>
      <c r="BK345" s="18">
        <f>IF(OR($A345="",$BD345=0),0,($AY345*Templates!$C$27/$BE345+$AZ345*Templates!$C$28/$BF345+$BA345*Templates!$C$29/$BG345+$BB345*Templates!$C$30/$BH345+$BC345*Templates!$C$31/$BI345)/Templates!$B$18)</f>
        <v/>
      </c>
      <c r="BL345" s="18">
        <f>IF(OR($A345="",$BD345=0),0,($AY345*Templates!$D$27/$BE345+$AZ345*Templates!$D$28/$BF345+$BA345*Templates!$D$29/$BG345+$BB345*Templates!$D$30/$BH345+$BC345*Templates!$D$31/$BI345)/Templates!$B$19)</f>
        <v/>
      </c>
      <c r="BM345" s="18">
        <f>IF(OR($A345="",$BD345=0),0,($AY345*Templates!$E$27/$BE345+$AZ345*Templates!$E$28/$BF345+$BA345*Templates!$E$29/$BG345+$BB345*Templates!$E$30/$BH345+$BC345*Templates!$E$31/$BI345)/Templates!$B$20)</f>
        <v/>
      </c>
      <c r="BN345" s="18">
        <f>IF(OR($A345="",$BD345=0),0,($AY345*Templates!$F$27/$BE345+$AZ345*Templates!$F$28/$BF345+$BA345*Templates!$F$29/$BG345+$BB345*Templates!$F$30/$BH345+$BC345*Templates!$F$31/$BI345)/Templates!$B$21)</f>
        <v/>
      </c>
      <c r="BO345" s="18">
        <f>IF(OR($A345="",$BD345=0),0,($AY345*Templates!$G$27/$BE345+$AZ345*Templates!$G$28/$BF345+$BA345*Templates!$G$29/$BG345+$BB345*Templates!$G$30/$BH345+$BC345*Templates!$G$31/$BI345)/Templates!$B$22)</f>
        <v/>
      </c>
      <c r="BP345" s="18">
        <f>IF(OR($A345="",$BD345=0),0,($AY345*Templates!$H$27/$BE345+$AZ345*Templates!$H$28/$BF345+$BA345*Templates!$H$29/$BG345+$BB345*Templates!$H$30/$BH345+$BC345*Templates!$H$31/$BI345)/Templates!$B$23)</f>
        <v/>
      </c>
    </row>
    <row r="346">
      <c r="A346" s="31" t="n"/>
      <c r="B346" s="44" t="n"/>
      <c r="C346" s="31" t="n"/>
      <c r="D346" s="31" t="n"/>
      <c r="E346" s="31" t="n"/>
      <c r="F346" s="31" t="n"/>
      <c r="G346" s="31" t="n"/>
      <c r="H346" s="31" t="n"/>
      <c r="I346" s="31" t="n"/>
      <c r="J346" s="31" t="n"/>
      <c r="K346" s="31" t="n"/>
      <c r="L346" s="31" t="n"/>
      <c r="M346" s="31" t="n"/>
      <c r="N346" s="31" t="n"/>
      <c r="O346" s="31" t="n"/>
      <c r="P346" s="31" t="n"/>
      <c r="Q346" s="23">
        <f>IF($A346="","",COUNTIFS(Assignments!$C$2:$C$769,$A346,Assignments!$G$2:$G$769,"Active"))</f>
        <v/>
      </c>
      <c r="R346" s="32">
        <f>IF($A346="","",SUMIFS(Assignments!$I$2:$I$769,Assignments!$C$2:$C$769,$A346,Assignments!$G$2:$G$769,"Active"))</f>
        <v/>
      </c>
      <c r="S346" s="44" t="n"/>
      <c r="T346" s="31" t="n"/>
      <c r="U346" s="31" t="n"/>
      <c r="V346" s="34">
        <f>IF($U346="","",IFERROR(INDEX(Templates!$K$3:$K$10,MATCH($U346,Templates!$A$3:$A$10,0)),""))</f>
        <v/>
      </c>
      <c r="W346" s="34">
        <f>IF($U346="","",IFERROR(INDEX(Templates!$L$3:$L$10,MATCH($U346,Templates!$A$3:$A$10,0)),""))</f>
        <v/>
      </c>
      <c r="X346" s="21">
        <f>IF($U346="","",IFERROR(INDEX(Templates!$J$3:$J$10,MATCH($U346,Templates!$A$3:$A$10,0)),""))</f>
        <v/>
      </c>
      <c r="Y346" s="35">
        <f>IF(OR($U346="",$I346="",$J346="",$X346=""),"",$I346+$X346*($J346-$I346))</f>
        <v/>
      </c>
      <c r="Z346" s="31" t="n"/>
      <c r="AA346" s="31" t="n"/>
      <c r="AB346" s="31" t="n"/>
      <c r="AC346" s="31" t="n"/>
      <c r="AD346" s="19">
        <f>IF($A346="","",IF($AA346="",$H346,$AA346))</f>
        <v/>
      </c>
      <c r="AE346" s="35">
        <f>IF($A346="","",IF($AB346="",$I346,$AB346))</f>
        <v/>
      </c>
      <c r="AF346" s="35">
        <f>IF($A346="","",IF($AC346="",$J346,$AC346))</f>
        <v/>
      </c>
      <c r="AG346" s="35">
        <f>IF(OR($U346="",$AE346="",$AF346="",$X346=""),"",$AE346+$X346*($AF346-$AE346))</f>
        <v/>
      </c>
      <c r="AH346" s="31" t="n"/>
      <c r="AI346" s="31" t="n"/>
      <c r="AJ346" s="31" t="n"/>
      <c r="AK346" s="31" t="n"/>
      <c r="AL346" s="31" t="n"/>
      <c r="AM346" s="31" t="n"/>
      <c r="AN346" s="31" t="n"/>
      <c r="AO346" s="31" t="n"/>
      <c r="AP346" s="31" t="n"/>
      <c r="AQ346" s="31" t="n"/>
      <c r="AR346" s="31" t="n"/>
      <c r="AS346" s="31" t="n"/>
      <c r="AT346" s="31" t="n"/>
      <c r="AU346" s="31" t="n"/>
      <c r="AV346" s="31" t="n"/>
      <c r="AW346" s="31" t="n"/>
      <c r="AX346" s="31" t="n"/>
      <c r="AY346" s="31" t="n"/>
      <c r="AZ346" s="31" t="n"/>
      <c r="BA346" s="31" t="n"/>
      <c r="BB346" s="31" t="n"/>
      <c r="BC346" s="31" t="n"/>
      <c r="BD346" s="37">
        <f>IF($A346="","",SUM($AY346:$BC346))</f>
        <v/>
      </c>
      <c r="BE346" s="18">
        <f>IF($A346="","",IF(AND($I346&lt;&gt;"",$J346&lt;&gt;""),MAX(1,($J346-$I346)/7),Templates!$B$35))</f>
        <v/>
      </c>
      <c r="BF346" s="18">
        <f>IF($A346="","",IF(AND($I346&lt;&gt;"",$J346&lt;&gt;""),MAX(1,($J346-$I346)/7),Templates!$B$36))</f>
        <v/>
      </c>
      <c r="BG346" s="18">
        <f>IF($A346="","",IF(AND($I346&lt;&gt;"",$J346&lt;&gt;""),MAX(1,($J346-$I346)/7),Templates!$B$37))</f>
        <v/>
      </c>
      <c r="BH346" s="18">
        <f>IF($A346="","",IF(AND($I346&lt;&gt;"",$J346&lt;&gt;""),MAX(1,($J346-$I346)/7),Templates!$B$38))</f>
        <v/>
      </c>
      <c r="BI346" s="18">
        <f>IF($A346="","",IF(AND($I346&lt;&gt;"",$J346&lt;&gt;""),MAX(1,($J346-$I346)/7),Templates!$B$39))</f>
        <v/>
      </c>
      <c r="BJ346" s="18">
        <f>IF(OR($A346="",$BD346=0),0,($AY346*Templates!$B$27/$BE346+$AZ346*Templates!$B$28/$BF346+$BA346*Templates!$B$29/$BG346+$BB346*Templates!$B$30/$BH346+$BC346*Templates!$B$31/$BI346)/Templates!$B$17)</f>
        <v/>
      </c>
      <c r="BK346" s="18">
        <f>IF(OR($A346="",$BD346=0),0,($AY346*Templates!$C$27/$BE346+$AZ346*Templates!$C$28/$BF346+$BA346*Templates!$C$29/$BG346+$BB346*Templates!$C$30/$BH346+$BC346*Templates!$C$31/$BI346)/Templates!$B$18)</f>
        <v/>
      </c>
      <c r="BL346" s="18">
        <f>IF(OR($A346="",$BD346=0),0,($AY346*Templates!$D$27/$BE346+$AZ346*Templates!$D$28/$BF346+$BA346*Templates!$D$29/$BG346+$BB346*Templates!$D$30/$BH346+$BC346*Templates!$D$31/$BI346)/Templates!$B$19)</f>
        <v/>
      </c>
      <c r="BM346" s="18">
        <f>IF(OR($A346="",$BD346=0),0,($AY346*Templates!$E$27/$BE346+$AZ346*Templates!$E$28/$BF346+$BA346*Templates!$E$29/$BG346+$BB346*Templates!$E$30/$BH346+$BC346*Templates!$E$31/$BI346)/Templates!$B$20)</f>
        <v/>
      </c>
      <c r="BN346" s="18">
        <f>IF(OR($A346="",$BD346=0),0,($AY346*Templates!$F$27/$BE346+$AZ346*Templates!$F$28/$BF346+$BA346*Templates!$F$29/$BG346+$BB346*Templates!$F$30/$BH346+$BC346*Templates!$F$31/$BI346)/Templates!$B$21)</f>
        <v/>
      </c>
      <c r="BO346" s="18">
        <f>IF(OR($A346="",$BD346=0),0,($AY346*Templates!$G$27/$BE346+$AZ346*Templates!$G$28/$BF346+$BA346*Templates!$G$29/$BG346+$BB346*Templates!$G$30/$BH346+$BC346*Templates!$G$31/$BI346)/Templates!$B$22)</f>
        <v/>
      </c>
      <c r="BP346" s="18">
        <f>IF(OR($A346="",$BD346=0),0,($AY346*Templates!$H$27/$BE346+$AZ346*Templates!$H$28/$BF346+$BA346*Templates!$H$29/$BG346+$BB346*Templates!$H$30/$BH346+$BC346*Templates!$H$31/$BI346)/Templates!$B$23)</f>
        <v/>
      </c>
    </row>
    <row r="347">
      <c r="A347" s="31" t="n"/>
      <c r="B347" s="44" t="n"/>
      <c r="C347" s="31" t="n"/>
      <c r="D347" s="31" t="n"/>
      <c r="E347" s="31" t="n"/>
      <c r="F347" s="31" t="n"/>
      <c r="G347" s="31" t="n"/>
      <c r="H347" s="31" t="n"/>
      <c r="I347" s="31" t="n"/>
      <c r="J347" s="31" t="n"/>
      <c r="K347" s="31" t="n"/>
      <c r="L347" s="31" t="n"/>
      <c r="M347" s="31" t="n"/>
      <c r="N347" s="31" t="n"/>
      <c r="O347" s="31" t="n"/>
      <c r="P347" s="31" t="n"/>
      <c r="Q347" s="23">
        <f>IF($A347="","",COUNTIFS(Assignments!$C$2:$C$769,$A347,Assignments!$G$2:$G$769,"Active"))</f>
        <v/>
      </c>
      <c r="R347" s="32">
        <f>IF($A347="","",SUMIFS(Assignments!$I$2:$I$769,Assignments!$C$2:$C$769,$A347,Assignments!$G$2:$G$769,"Active"))</f>
        <v/>
      </c>
      <c r="S347" s="44" t="n"/>
      <c r="T347" s="31" t="n"/>
      <c r="U347" s="31" t="n"/>
      <c r="V347" s="34">
        <f>IF($U347="","",IFERROR(INDEX(Templates!$K$3:$K$10,MATCH($U347,Templates!$A$3:$A$10,0)),""))</f>
        <v/>
      </c>
      <c r="W347" s="34">
        <f>IF($U347="","",IFERROR(INDEX(Templates!$L$3:$L$10,MATCH($U347,Templates!$A$3:$A$10,0)),""))</f>
        <v/>
      </c>
      <c r="X347" s="21">
        <f>IF($U347="","",IFERROR(INDEX(Templates!$J$3:$J$10,MATCH($U347,Templates!$A$3:$A$10,0)),""))</f>
        <v/>
      </c>
      <c r="Y347" s="35">
        <f>IF(OR($U347="",$I347="",$J347="",$X347=""),"",$I347+$X347*($J347-$I347))</f>
        <v/>
      </c>
      <c r="Z347" s="31" t="n"/>
      <c r="AA347" s="31" t="n"/>
      <c r="AB347" s="31" t="n"/>
      <c r="AC347" s="31" t="n"/>
      <c r="AD347" s="19">
        <f>IF($A347="","",IF($AA347="",$H347,$AA347))</f>
        <v/>
      </c>
      <c r="AE347" s="35">
        <f>IF($A347="","",IF($AB347="",$I347,$AB347))</f>
        <v/>
      </c>
      <c r="AF347" s="35">
        <f>IF($A347="","",IF($AC347="",$J347,$AC347))</f>
        <v/>
      </c>
      <c r="AG347" s="35">
        <f>IF(OR($U347="",$AE347="",$AF347="",$X347=""),"",$AE347+$X347*($AF347-$AE347))</f>
        <v/>
      </c>
      <c r="AH347" s="31" t="n"/>
      <c r="AI347" s="31" t="n"/>
      <c r="AJ347" s="31" t="n"/>
      <c r="AK347" s="31" t="n"/>
      <c r="AL347" s="31" t="n"/>
      <c r="AM347" s="31" t="n"/>
      <c r="AN347" s="31" t="n"/>
      <c r="AO347" s="31" t="n"/>
      <c r="AP347" s="31" t="n"/>
      <c r="AQ347" s="31" t="n"/>
      <c r="AR347" s="31" t="n"/>
      <c r="AS347" s="31" t="n"/>
      <c r="AT347" s="31" t="n"/>
      <c r="AU347" s="31" t="n"/>
      <c r="AV347" s="31" t="n"/>
      <c r="AW347" s="31" t="n"/>
      <c r="AX347" s="31" t="n"/>
      <c r="AY347" s="31" t="n"/>
      <c r="AZ347" s="31" t="n"/>
      <c r="BA347" s="31" t="n"/>
      <c r="BB347" s="31" t="n"/>
      <c r="BC347" s="31" t="n"/>
      <c r="BD347" s="37">
        <f>IF($A347="","",SUM($AY347:$BC347))</f>
        <v/>
      </c>
      <c r="BE347" s="18">
        <f>IF($A347="","",IF(AND($I347&lt;&gt;"",$J347&lt;&gt;""),MAX(1,($J347-$I347)/7),Templates!$B$35))</f>
        <v/>
      </c>
      <c r="BF347" s="18">
        <f>IF($A347="","",IF(AND($I347&lt;&gt;"",$J347&lt;&gt;""),MAX(1,($J347-$I347)/7),Templates!$B$36))</f>
        <v/>
      </c>
      <c r="BG347" s="18">
        <f>IF($A347="","",IF(AND($I347&lt;&gt;"",$J347&lt;&gt;""),MAX(1,($J347-$I347)/7),Templates!$B$37))</f>
        <v/>
      </c>
      <c r="BH347" s="18">
        <f>IF($A347="","",IF(AND($I347&lt;&gt;"",$J347&lt;&gt;""),MAX(1,($J347-$I347)/7),Templates!$B$38))</f>
        <v/>
      </c>
      <c r="BI347" s="18">
        <f>IF($A347="","",IF(AND($I347&lt;&gt;"",$J347&lt;&gt;""),MAX(1,($J347-$I347)/7),Templates!$B$39))</f>
        <v/>
      </c>
      <c r="BJ347" s="18">
        <f>IF(OR($A347="",$BD347=0),0,($AY347*Templates!$B$27/$BE347+$AZ347*Templates!$B$28/$BF347+$BA347*Templates!$B$29/$BG347+$BB347*Templates!$B$30/$BH347+$BC347*Templates!$B$31/$BI347)/Templates!$B$17)</f>
        <v/>
      </c>
      <c r="BK347" s="18">
        <f>IF(OR($A347="",$BD347=0),0,($AY347*Templates!$C$27/$BE347+$AZ347*Templates!$C$28/$BF347+$BA347*Templates!$C$29/$BG347+$BB347*Templates!$C$30/$BH347+$BC347*Templates!$C$31/$BI347)/Templates!$B$18)</f>
        <v/>
      </c>
      <c r="BL347" s="18">
        <f>IF(OR($A347="",$BD347=0),0,($AY347*Templates!$D$27/$BE347+$AZ347*Templates!$D$28/$BF347+$BA347*Templates!$D$29/$BG347+$BB347*Templates!$D$30/$BH347+$BC347*Templates!$D$31/$BI347)/Templates!$B$19)</f>
        <v/>
      </c>
      <c r="BM347" s="18">
        <f>IF(OR($A347="",$BD347=0),0,($AY347*Templates!$E$27/$BE347+$AZ347*Templates!$E$28/$BF347+$BA347*Templates!$E$29/$BG347+$BB347*Templates!$E$30/$BH347+$BC347*Templates!$E$31/$BI347)/Templates!$B$20)</f>
        <v/>
      </c>
      <c r="BN347" s="18">
        <f>IF(OR($A347="",$BD347=0),0,($AY347*Templates!$F$27/$BE347+$AZ347*Templates!$F$28/$BF347+$BA347*Templates!$F$29/$BG347+$BB347*Templates!$F$30/$BH347+$BC347*Templates!$F$31/$BI347)/Templates!$B$21)</f>
        <v/>
      </c>
      <c r="BO347" s="18">
        <f>IF(OR($A347="",$BD347=0),0,($AY347*Templates!$G$27/$BE347+$AZ347*Templates!$G$28/$BF347+$BA347*Templates!$G$29/$BG347+$BB347*Templates!$G$30/$BH347+$BC347*Templates!$G$31/$BI347)/Templates!$B$22)</f>
        <v/>
      </c>
      <c r="BP347" s="18">
        <f>IF(OR($A347="",$BD347=0),0,($AY347*Templates!$H$27/$BE347+$AZ347*Templates!$H$28/$BF347+$BA347*Templates!$H$29/$BG347+$BB347*Templates!$H$30/$BH347+$BC347*Templates!$H$31/$BI347)/Templates!$B$23)</f>
        <v/>
      </c>
    </row>
    <row r="348">
      <c r="A348" s="31" t="n"/>
      <c r="B348" s="44" t="n"/>
      <c r="C348" s="31" t="n"/>
      <c r="D348" s="31" t="n"/>
      <c r="E348" s="31" t="n"/>
      <c r="F348" s="31" t="n"/>
      <c r="G348" s="31" t="n"/>
      <c r="H348" s="31" t="n"/>
      <c r="I348" s="31" t="n"/>
      <c r="J348" s="31" t="n"/>
      <c r="K348" s="31" t="n"/>
      <c r="L348" s="31" t="n"/>
      <c r="M348" s="31" t="n"/>
      <c r="N348" s="31" t="n"/>
      <c r="O348" s="31" t="n"/>
      <c r="P348" s="31" t="n"/>
      <c r="Q348" s="23">
        <f>IF($A348="","",COUNTIFS(Assignments!$C$2:$C$769,$A348,Assignments!$G$2:$G$769,"Active"))</f>
        <v/>
      </c>
      <c r="R348" s="32">
        <f>IF($A348="","",SUMIFS(Assignments!$I$2:$I$769,Assignments!$C$2:$C$769,$A348,Assignments!$G$2:$G$769,"Active"))</f>
        <v/>
      </c>
      <c r="S348" s="44" t="n"/>
      <c r="T348" s="31" t="n"/>
      <c r="U348" s="31" t="n"/>
      <c r="V348" s="34">
        <f>IF($U348="","",IFERROR(INDEX(Templates!$K$3:$K$10,MATCH($U348,Templates!$A$3:$A$10,0)),""))</f>
        <v/>
      </c>
      <c r="W348" s="34">
        <f>IF($U348="","",IFERROR(INDEX(Templates!$L$3:$L$10,MATCH($U348,Templates!$A$3:$A$10,0)),""))</f>
        <v/>
      </c>
      <c r="X348" s="21">
        <f>IF($U348="","",IFERROR(INDEX(Templates!$J$3:$J$10,MATCH($U348,Templates!$A$3:$A$10,0)),""))</f>
        <v/>
      </c>
      <c r="Y348" s="35">
        <f>IF(OR($U348="",$I348="",$J348="",$X348=""),"",$I348+$X348*($J348-$I348))</f>
        <v/>
      </c>
      <c r="Z348" s="31" t="n"/>
      <c r="AA348" s="31" t="n"/>
      <c r="AB348" s="31" t="n"/>
      <c r="AC348" s="31" t="n"/>
      <c r="AD348" s="19">
        <f>IF($A348="","",IF($AA348="",$H348,$AA348))</f>
        <v/>
      </c>
      <c r="AE348" s="35">
        <f>IF($A348="","",IF($AB348="",$I348,$AB348))</f>
        <v/>
      </c>
      <c r="AF348" s="35">
        <f>IF($A348="","",IF($AC348="",$J348,$AC348))</f>
        <v/>
      </c>
      <c r="AG348" s="35">
        <f>IF(OR($U348="",$AE348="",$AF348="",$X348=""),"",$AE348+$X348*($AF348-$AE348))</f>
        <v/>
      </c>
      <c r="AH348" s="31" t="n"/>
      <c r="AI348" s="31" t="n"/>
      <c r="AJ348" s="31" t="n"/>
      <c r="AK348" s="31" t="n"/>
      <c r="AL348" s="31" t="n"/>
      <c r="AM348" s="31" t="n"/>
      <c r="AN348" s="31" t="n"/>
      <c r="AO348" s="31" t="n"/>
      <c r="AP348" s="31" t="n"/>
      <c r="AQ348" s="31" t="n"/>
      <c r="AR348" s="31" t="n"/>
      <c r="AS348" s="31" t="n"/>
      <c r="AT348" s="31" t="n"/>
      <c r="AU348" s="31" t="n"/>
      <c r="AV348" s="31" t="n"/>
      <c r="AW348" s="31" t="n"/>
      <c r="AX348" s="31" t="n"/>
      <c r="AY348" s="31" t="n"/>
      <c r="AZ348" s="31" t="n"/>
      <c r="BA348" s="31" t="n"/>
      <c r="BB348" s="31" t="n"/>
      <c r="BC348" s="31" t="n"/>
      <c r="BD348" s="37">
        <f>IF($A348="","",SUM($AY348:$BC348))</f>
        <v/>
      </c>
      <c r="BE348" s="18">
        <f>IF($A348="","",IF(AND($I348&lt;&gt;"",$J348&lt;&gt;""),MAX(1,($J348-$I348)/7),Templates!$B$35))</f>
        <v/>
      </c>
      <c r="BF348" s="18">
        <f>IF($A348="","",IF(AND($I348&lt;&gt;"",$J348&lt;&gt;""),MAX(1,($J348-$I348)/7),Templates!$B$36))</f>
        <v/>
      </c>
      <c r="BG348" s="18">
        <f>IF($A348="","",IF(AND($I348&lt;&gt;"",$J348&lt;&gt;""),MAX(1,($J348-$I348)/7),Templates!$B$37))</f>
        <v/>
      </c>
      <c r="BH348" s="18">
        <f>IF($A348="","",IF(AND($I348&lt;&gt;"",$J348&lt;&gt;""),MAX(1,($J348-$I348)/7),Templates!$B$38))</f>
        <v/>
      </c>
      <c r="BI348" s="18">
        <f>IF($A348="","",IF(AND($I348&lt;&gt;"",$J348&lt;&gt;""),MAX(1,($J348-$I348)/7),Templates!$B$39))</f>
        <v/>
      </c>
      <c r="BJ348" s="18">
        <f>IF(OR($A348="",$BD348=0),0,($AY348*Templates!$B$27/$BE348+$AZ348*Templates!$B$28/$BF348+$BA348*Templates!$B$29/$BG348+$BB348*Templates!$B$30/$BH348+$BC348*Templates!$B$31/$BI348)/Templates!$B$17)</f>
        <v/>
      </c>
      <c r="BK348" s="18">
        <f>IF(OR($A348="",$BD348=0),0,($AY348*Templates!$C$27/$BE348+$AZ348*Templates!$C$28/$BF348+$BA348*Templates!$C$29/$BG348+$BB348*Templates!$C$30/$BH348+$BC348*Templates!$C$31/$BI348)/Templates!$B$18)</f>
        <v/>
      </c>
      <c r="BL348" s="18">
        <f>IF(OR($A348="",$BD348=0),0,($AY348*Templates!$D$27/$BE348+$AZ348*Templates!$D$28/$BF348+$BA348*Templates!$D$29/$BG348+$BB348*Templates!$D$30/$BH348+$BC348*Templates!$D$31/$BI348)/Templates!$B$19)</f>
        <v/>
      </c>
      <c r="BM348" s="18">
        <f>IF(OR($A348="",$BD348=0),0,($AY348*Templates!$E$27/$BE348+$AZ348*Templates!$E$28/$BF348+$BA348*Templates!$E$29/$BG348+$BB348*Templates!$E$30/$BH348+$BC348*Templates!$E$31/$BI348)/Templates!$B$20)</f>
        <v/>
      </c>
      <c r="BN348" s="18">
        <f>IF(OR($A348="",$BD348=0),0,($AY348*Templates!$F$27/$BE348+$AZ348*Templates!$F$28/$BF348+$BA348*Templates!$F$29/$BG348+$BB348*Templates!$F$30/$BH348+$BC348*Templates!$F$31/$BI348)/Templates!$B$21)</f>
        <v/>
      </c>
      <c r="BO348" s="18">
        <f>IF(OR($A348="",$BD348=0),0,($AY348*Templates!$G$27/$BE348+$AZ348*Templates!$G$28/$BF348+$BA348*Templates!$G$29/$BG348+$BB348*Templates!$G$30/$BH348+$BC348*Templates!$G$31/$BI348)/Templates!$B$22)</f>
        <v/>
      </c>
      <c r="BP348" s="18">
        <f>IF(OR($A348="",$BD348=0),0,($AY348*Templates!$H$27/$BE348+$AZ348*Templates!$H$28/$BF348+$BA348*Templates!$H$29/$BG348+$BB348*Templates!$H$30/$BH348+$BC348*Templates!$H$31/$BI348)/Templates!$B$23)</f>
        <v/>
      </c>
    </row>
    <row r="349">
      <c r="A349" s="31" t="n"/>
      <c r="B349" s="44" t="n"/>
      <c r="C349" s="31" t="n"/>
      <c r="D349" s="31" t="n"/>
      <c r="E349" s="31" t="n"/>
      <c r="F349" s="31" t="n"/>
      <c r="G349" s="31" t="n"/>
      <c r="H349" s="31" t="n"/>
      <c r="I349" s="31" t="n"/>
      <c r="J349" s="31" t="n"/>
      <c r="K349" s="31" t="n"/>
      <c r="L349" s="31" t="n"/>
      <c r="M349" s="31" t="n"/>
      <c r="N349" s="31" t="n"/>
      <c r="O349" s="31" t="n"/>
      <c r="P349" s="31" t="n"/>
      <c r="Q349" s="23">
        <f>IF($A349="","",COUNTIFS(Assignments!$C$2:$C$769,$A349,Assignments!$G$2:$G$769,"Active"))</f>
        <v/>
      </c>
      <c r="R349" s="32">
        <f>IF($A349="","",SUMIFS(Assignments!$I$2:$I$769,Assignments!$C$2:$C$769,$A349,Assignments!$G$2:$G$769,"Active"))</f>
        <v/>
      </c>
      <c r="S349" s="44" t="n"/>
      <c r="T349" s="31" t="n"/>
      <c r="U349" s="31" t="n"/>
      <c r="V349" s="34">
        <f>IF($U349="","",IFERROR(INDEX(Templates!$K$3:$K$10,MATCH($U349,Templates!$A$3:$A$10,0)),""))</f>
        <v/>
      </c>
      <c r="W349" s="34">
        <f>IF($U349="","",IFERROR(INDEX(Templates!$L$3:$L$10,MATCH($U349,Templates!$A$3:$A$10,0)),""))</f>
        <v/>
      </c>
      <c r="X349" s="21">
        <f>IF($U349="","",IFERROR(INDEX(Templates!$J$3:$J$10,MATCH($U349,Templates!$A$3:$A$10,0)),""))</f>
        <v/>
      </c>
      <c r="Y349" s="35">
        <f>IF(OR($U349="",$I349="",$J349="",$X349=""),"",$I349+$X349*($J349-$I349))</f>
        <v/>
      </c>
      <c r="Z349" s="31" t="n"/>
      <c r="AA349" s="31" t="n"/>
      <c r="AB349" s="31" t="n"/>
      <c r="AC349" s="31" t="n"/>
      <c r="AD349" s="19">
        <f>IF($A349="","",IF($AA349="",$H349,$AA349))</f>
        <v/>
      </c>
      <c r="AE349" s="35">
        <f>IF($A349="","",IF($AB349="",$I349,$AB349))</f>
        <v/>
      </c>
      <c r="AF349" s="35">
        <f>IF($A349="","",IF($AC349="",$J349,$AC349))</f>
        <v/>
      </c>
      <c r="AG349" s="35">
        <f>IF(OR($U349="",$AE349="",$AF349="",$X349=""),"",$AE349+$X349*($AF349-$AE349))</f>
        <v/>
      </c>
      <c r="AH349" s="31" t="n"/>
      <c r="AI349" s="31" t="n"/>
      <c r="AJ349" s="31" t="n"/>
      <c r="AK349" s="31" t="n"/>
      <c r="AL349" s="31" t="n"/>
      <c r="AM349" s="31" t="n"/>
      <c r="AN349" s="31" t="n"/>
      <c r="AO349" s="31" t="n"/>
      <c r="AP349" s="31" t="n"/>
      <c r="AQ349" s="31" t="n"/>
      <c r="AR349" s="31" t="n"/>
      <c r="AS349" s="31" t="n"/>
      <c r="AT349" s="31" t="n"/>
      <c r="AU349" s="31" t="n"/>
      <c r="AV349" s="31" t="n"/>
      <c r="AW349" s="31" t="n"/>
      <c r="AX349" s="31" t="n"/>
      <c r="AY349" s="31" t="n"/>
      <c r="AZ349" s="31" t="n"/>
      <c r="BA349" s="31" t="n"/>
      <c r="BB349" s="31" t="n"/>
      <c r="BC349" s="31" t="n"/>
      <c r="BD349" s="37">
        <f>IF($A349="","",SUM($AY349:$BC349))</f>
        <v/>
      </c>
      <c r="BE349" s="18">
        <f>IF($A349="","",IF(AND($I349&lt;&gt;"",$J349&lt;&gt;""),MAX(1,($J349-$I349)/7),Templates!$B$35))</f>
        <v/>
      </c>
      <c r="BF349" s="18">
        <f>IF($A349="","",IF(AND($I349&lt;&gt;"",$J349&lt;&gt;""),MAX(1,($J349-$I349)/7),Templates!$B$36))</f>
        <v/>
      </c>
      <c r="BG349" s="18">
        <f>IF($A349="","",IF(AND($I349&lt;&gt;"",$J349&lt;&gt;""),MAX(1,($J349-$I349)/7),Templates!$B$37))</f>
        <v/>
      </c>
      <c r="BH349" s="18">
        <f>IF($A349="","",IF(AND($I349&lt;&gt;"",$J349&lt;&gt;""),MAX(1,($J349-$I349)/7),Templates!$B$38))</f>
        <v/>
      </c>
      <c r="BI349" s="18">
        <f>IF($A349="","",IF(AND($I349&lt;&gt;"",$J349&lt;&gt;""),MAX(1,($J349-$I349)/7),Templates!$B$39))</f>
        <v/>
      </c>
      <c r="BJ349" s="18">
        <f>IF(OR($A349="",$BD349=0),0,($AY349*Templates!$B$27/$BE349+$AZ349*Templates!$B$28/$BF349+$BA349*Templates!$B$29/$BG349+$BB349*Templates!$B$30/$BH349+$BC349*Templates!$B$31/$BI349)/Templates!$B$17)</f>
        <v/>
      </c>
      <c r="BK349" s="18">
        <f>IF(OR($A349="",$BD349=0),0,($AY349*Templates!$C$27/$BE349+$AZ349*Templates!$C$28/$BF349+$BA349*Templates!$C$29/$BG349+$BB349*Templates!$C$30/$BH349+$BC349*Templates!$C$31/$BI349)/Templates!$B$18)</f>
        <v/>
      </c>
      <c r="BL349" s="18">
        <f>IF(OR($A349="",$BD349=0),0,($AY349*Templates!$D$27/$BE349+$AZ349*Templates!$D$28/$BF349+$BA349*Templates!$D$29/$BG349+$BB349*Templates!$D$30/$BH349+$BC349*Templates!$D$31/$BI349)/Templates!$B$19)</f>
        <v/>
      </c>
      <c r="BM349" s="18">
        <f>IF(OR($A349="",$BD349=0),0,($AY349*Templates!$E$27/$BE349+$AZ349*Templates!$E$28/$BF349+$BA349*Templates!$E$29/$BG349+$BB349*Templates!$E$30/$BH349+$BC349*Templates!$E$31/$BI349)/Templates!$B$20)</f>
        <v/>
      </c>
      <c r="BN349" s="18">
        <f>IF(OR($A349="",$BD349=0),0,($AY349*Templates!$F$27/$BE349+$AZ349*Templates!$F$28/$BF349+$BA349*Templates!$F$29/$BG349+$BB349*Templates!$F$30/$BH349+$BC349*Templates!$F$31/$BI349)/Templates!$B$21)</f>
        <v/>
      </c>
      <c r="BO349" s="18">
        <f>IF(OR($A349="",$BD349=0),0,($AY349*Templates!$G$27/$BE349+$AZ349*Templates!$G$28/$BF349+$BA349*Templates!$G$29/$BG349+$BB349*Templates!$G$30/$BH349+$BC349*Templates!$G$31/$BI349)/Templates!$B$22)</f>
        <v/>
      </c>
      <c r="BP349" s="18">
        <f>IF(OR($A349="",$BD349=0),0,($AY349*Templates!$H$27/$BE349+$AZ349*Templates!$H$28/$BF349+$BA349*Templates!$H$29/$BG349+$BB349*Templates!$H$30/$BH349+$BC349*Templates!$H$31/$BI349)/Templates!$B$23)</f>
        <v/>
      </c>
    </row>
    <row r="350">
      <c r="A350" s="31" t="n"/>
      <c r="B350" s="44" t="n"/>
      <c r="C350" s="31" t="n"/>
      <c r="D350" s="31" t="n"/>
      <c r="E350" s="31" t="n"/>
      <c r="F350" s="31" t="n"/>
      <c r="G350" s="31" t="n"/>
      <c r="H350" s="31" t="n"/>
      <c r="I350" s="31" t="n"/>
      <c r="J350" s="31" t="n"/>
      <c r="K350" s="31" t="n"/>
      <c r="L350" s="31" t="n"/>
      <c r="M350" s="31" t="n"/>
      <c r="N350" s="31" t="n"/>
      <c r="O350" s="31" t="n"/>
      <c r="P350" s="31" t="n"/>
      <c r="Q350" s="23">
        <f>IF($A350="","",COUNTIFS(Assignments!$C$2:$C$769,$A350,Assignments!$G$2:$G$769,"Active"))</f>
        <v/>
      </c>
      <c r="R350" s="32">
        <f>IF($A350="","",SUMIFS(Assignments!$I$2:$I$769,Assignments!$C$2:$C$769,$A350,Assignments!$G$2:$G$769,"Active"))</f>
        <v/>
      </c>
      <c r="S350" s="44" t="n"/>
      <c r="T350" s="31" t="n"/>
      <c r="U350" s="31" t="n"/>
      <c r="V350" s="34">
        <f>IF($U350="","",IFERROR(INDEX(Templates!$K$3:$K$10,MATCH($U350,Templates!$A$3:$A$10,0)),""))</f>
        <v/>
      </c>
      <c r="W350" s="34">
        <f>IF($U350="","",IFERROR(INDEX(Templates!$L$3:$L$10,MATCH($U350,Templates!$A$3:$A$10,0)),""))</f>
        <v/>
      </c>
      <c r="X350" s="21">
        <f>IF($U350="","",IFERROR(INDEX(Templates!$J$3:$J$10,MATCH($U350,Templates!$A$3:$A$10,0)),""))</f>
        <v/>
      </c>
      <c r="Y350" s="35">
        <f>IF(OR($U350="",$I350="",$J350="",$X350=""),"",$I350+$X350*($J350-$I350))</f>
        <v/>
      </c>
      <c r="Z350" s="31" t="n"/>
      <c r="AA350" s="31" t="n"/>
      <c r="AB350" s="31" t="n"/>
      <c r="AC350" s="31" t="n"/>
      <c r="AD350" s="19">
        <f>IF($A350="","",IF($AA350="",$H350,$AA350))</f>
        <v/>
      </c>
      <c r="AE350" s="35">
        <f>IF($A350="","",IF($AB350="",$I350,$AB350))</f>
        <v/>
      </c>
      <c r="AF350" s="35">
        <f>IF($A350="","",IF($AC350="",$J350,$AC350))</f>
        <v/>
      </c>
      <c r="AG350" s="35">
        <f>IF(OR($U350="",$AE350="",$AF350="",$X350=""),"",$AE350+$X350*($AF350-$AE350))</f>
        <v/>
      </c>
      <c r="AH350" s="31" t="n"/>
      <c r="AI350" s="31" t="n"/>
      <c r="AJ350" s="31" t="n"/>
      <c r="AK350" s="31" t="n"/>
      <c r="AL350" s="31" t="n"/>
      <c r="AM350" s="31" t="n"/>
      <c r="AN350" s="31" t="n"/>
      <c r="AO350" s="31" t="n"/>
      <c r="AP350" s="31" t="n"/>
      <c r="AQ350" s="31" t="n"/>
      <c r="AR350" s="31" t="n"/>
      <c r="AS350" s="31" t="n"/>
      <c r="AT350" s="31" t="n"/>
      <c r="AU350" s="31" t="n"/>
      <c r="AV350" s="31" t="n"/>
      <c r="AW350" s="31" t="n"/>
      <c r="AX350" s="31" t="n"/>
      <c r="AY350" s="31" t="n"/>
      <c r="AZ350" s="31" t="n"/>
      <c r="BA350" s="31" t="n"/>
      <c r="BB350" s="31" t="n"/>
      <c r="BC350" s="31" t="n"/>
      <c r="BD350" s="37">
        <f>IF($A350="","",SUM($AY350:$BC350))</f>
        <v/>
      </c>
      <c r="BE350" s="18">
        <f>IF($A350="","",IF(AND($I350&lt;&gt;"",$J350&lt;&gt;""),MAX(1,($J350-$I350)/7),Templates!$B$35))</f>
        <v/>
      </c>
      <c r="BF350" s="18">
        <f>IF($A350="","",IF(AND($I350&lt;&gt;"",$J350&lt;&gt;""),MAX(1,($J350-$I350)/7),Templates!$B$36))</f>
        <v/>
      </c>
      <c r="BG350" s="18">
        <f>IF($A350="","",IF(AND($I350&lt;&gt;"",$J350&lt;&gt;""),MAX(1,($J350-$I350)/7),Templates!$B$37))</f>
        <v/>
      </c>
      <c r="BH350" s="18">
        <f>IF($A350="","",IF(AND($I350&lt;&gt;"",$J350&lt;&gt;""),MAX(1,($J350-$I350)/7),Templates!$B$38))</f>
        <v/>
      </c>
      <c r="BI350" s="18">
        <f>IF($A350="","",IF(AND($I350&lt;&gt;"",$J350&lt;&gt;""),MAX(1,($J350-$I350)/7),Templates!$B$39))</f>
        <v/>
      </c>
      <c r="BJ350" s="18">
        <f>IF(OR($A350="",$BD350=0),0,($AY350*Templates!$B$27/$BE350+$AZ350*Templates!$B$28/$BF350+$BA350*Templates!$B$29/$BG350+$BB350*Templates!$B$30/$BH350+$BC350*Templates!$B$31/$BI350)/Templates!$B$17)</f>
        <v/>
      </c>
      <c r="BK350" s="18">
        <f>IF(OR($A350="",$BD350=0),0,($AY350*Templates!$C$27/$BE350+$AZ350*Templates!$C$28/$BF350+$BA350*Templates!$C$29/$BG350+$BB350*Templates!$C$30/$BH350+$BC350*Templates!$C$31/$BI350)/Templates!$B$18)</f>
        <v/>
      </c>
      <c r="BL350" s="18">
        <f>IF(OR($A350="",$BD350=0),0,($AY350*Templates!$D$27/$BE350+$AZ350*Templates!$D$28/$BF350+$BA350*Templates!$D$29/$BG350+$BB350*Templates!$D$30/$BH350+$BC350*Templates!$D$31/$BI350)/Templates!$B$19)</f>
        <v/>
      </c>
      <c r="BM350" s="18">
        <f>IF(OR($A350="",$BD350=0),0,($AY350*Templates!$E$27/$BE350+$AZ350*Templates!$E$28/$BF350+$BA350*Templates!$E$29/$BG350+$BB350*Templates!$E$30/$BH350+$BC350*Templates!$E$31/$BI350)/Templates!$B$20)</f>
        <v/>
      </c>
      <c r="BN350" s="18">
        <f>IF(OR($A350="",$BD350=0),0,($AY350*Templates!$F$27/$BE350+$AZ350*Templates!$F$28/$BF350+$BA350*Templates!$F$29/$BG350+$BB350*Templates!$F$30/$BH350+$BC350*Templates!$F$31/$BI350)/Templates!$B$21)</f>
        <v/>
      </c>
      <c r="BO350" s="18">
        <f>IF(OR($A350="",$BD350=0),0,($AY350*Templates!$G$27/$BE350+$AZ350*Templates!$G$28/$BF350+$BA350*Templates!$G$29/$BG350+$BB350*Templates!$G$30/$BH350+$BC350*Templates!$G$31/$BI350)/Templates!$B$22)</f>
        <v/>
      </c>
      <c r="BP350" s="18">
        <f>IF(OR($A350="",$BD350=0),0,($AY350*Templates!$H$27/$BE350+$AZ350*Templates!$H$28/$BF350+$BA350*Templates!$H$29/$BG350+$BB350*Templates!$H$30/$BH350+$BC350*Templates!$H$31/$BI350)/Templates!$B$23)</f>
        <v/>
      </c>
    </row>
    <row r="351">
      <c r="A351" s="31" t="n"/>
      <c r="B351" s="44" t="n"/>
      <c r="C351" s="31" t="n"/>
      <c r="D351" s="31" t="n"/>
      <c r="E351" s="31" t="n"/>
      <c r="F351" s="31" t="n"/>
      <c r="G351" s="31" t="n"/>
      <c r="H351" s="31" t="n"/>
      <c r="I351" s="31" t="n"/>
      <c r="J351" s="31" t="n"/>
      <c r="K351" s="31" t="n"/>
      <c r="L351" s="31" t="n"/>
      <c r="M351" s="31" t="n"/>
      <c r="N351" s="31" t="n"/>
      <c r="O351" s="31" t="n"/>
      <c r="P351" s="31" t="n"/>
      <c r="Q351" s="23">
        <f>IF($A351="","",COUNTIFS(Assignments!$C$2:$C$769,$A351,Assignments!$G$2:$G$769,"Active"))</f>
        <v/>
      </c>
      <c r="R351" s="32">
        <f>IF($A351="","",SUMIFS(Assignments!$I$2:$I$769,Assignments!$C$2:$C$769,$A351,Assignments!$G$2:$G$769,"Active"))</f>
        <v/>
      </c>
      <c r="S351" s="44" t="n"/>
      <c r="T351" s="31" t="n"/>
      <c r="U351" s="31" t="n"/>
      <c r="V351" s="34">
        <f>IF($U351="","",IFERROR(INDEX(Templates!$K$3:$K$10,MATCH($U351,Templates!$A$3:$A$10,0)),""))</f>
        <v/>
      </c>
      <c r="W351" s="34">
        <f>IF($U351="","",IFERROR(INDEX(Templates!$L$3:$L$10,MATCH($U351,Templates!$A$3:$A$10,0)),""))</f>
        <v/>
      </c>
      <c r="X351" s="21">
        <f>IF($U351="","",IFERROR(INDEX(Templates!$J$3:$J$10,MATCH($U351,Templates!$A$3:$A$10,0)),""))</f>
        <v/>
      </c>
      <c r="Y351" s="35">
        <f>IF(OR($U351="",$I351="",$J351="",$X351=""),"",$I351+$X351*($J351-$I351))</f>
        <v/>
      </c>
      <c r="Z351" s="31" t="n"/>
      <c r="AA351" s="31" t="n"/>
      <c r="AB351" s="31" t="n"/>
      <c r="AC351" s="31" t="n"/>
      <c r="AD351" s="19">
        <f>IF($A351="","",IF($AA351="",$H351,$AA351))</f>
        <v/>
      </c>
      <c r="AE351" s="35">
        <f>IF($A351="","",IF($AB351="",$I351,$AB351))</f>
        <v/>
      </c>
      <c r="AF351" s="35">
        <f>IF($A351="","",IF($AC351="",$J351,$AC351))</f>
        <v/>
      </c>
      <c r="AG351" s="35">
        <f>IF(OR($U351="",$AE351="",$AF351="",$X351=""),"",$AE351+$X351*($AF351-$AE351))</f>
        <v/>
      </c>
      <c r="AH351" s="31" t="n"/>
      <c r="AI351" s="31" t="n"/>
      <c r="AJ351" s="31" t="n"/>
      <c r="AK351" s="31" t="n"/>
      <c r="AL351" s="31" t="n"/>
      <c r="AM351" s="31" t="n"/>
      <c r="AN351" s="31" t="n"/>
      <c r="AO351" s="31" t="n"/>
      <c r="AP351" s="31" t="n"/>
      <c r="AQ351" s="31" t="n"/>
      <c r="AR351" s="31" t="n"/>
      <c r="AS351" s="31" t="n"/>
      <c r="AT351" s="31" t="n"/>
      <c r="AU351" s="31" t="n"/>
      <c r="AV351" s="31" t="n"/>
      <c r="AW351" s="31" t="n"/>
      <c r="AX351" s="31" t="n"/>
      <c r="AY351" s="31" t="n"/>
      <c r="AZ351" s="31" t="n"/>
      <c r="BA351" s="31" t="n"/>
      <c r="BB351" s="31" t="n"/>
      <c r="BC351" s="31" t="n"/>
      <c r="BD351" s="37">
        <f>IF($A351="","",SUM($AY351:$BC351))</f>
        <v/>
      </c>
      <c r="BE351" s="18">
        <f>IF($A351="","",IF(AND($I351&lt;&gt;"",$J351&lt;&gt;""),MAX(1,($J351-$I351)/7),Templates!$B$35))</f>
        <v/>
      </c>
      <c r="BF351" s="18">
        <f>IF($A351="","",IF(AND($I351&lt;&gt;"",$J351&lt;&gt;""),MAX(1,($J351-$I351)/7),Templates!$B$36))</f>
        <v/>
      </c>
      <c r="BG351" s="18">
        <f>IF($A351="","",IF(AND($I351&lt;&gt;"",$J351&lt;&gt;""),MAX(1,($J351-$I351)/7),Templates!$B$37))</f>
        <v/>
      </c>
      <c r="BH351" s="18">
        <f>IF($A351="","",IF(AND($I351&lt;&gt;"",$J351&lt;&gt;""),MAX(1,($J351-$I351)/7),Templates!$B$38))</f>
        <v/>
      </c>
      <c r="BI351" s="18">
        <f>IF($A351="","",IF(AND($I351&lt;&gt;"",$J351&lt;&gt;""),MAX(1,($J351-$I351)/7),Templates!$B$39))</f>
        <v/>
      </c>
      <c r="BJ351" s="18">
        <f>IF(OR($A351="",$BD351=0),0,($AY351*Templates!$B$27/$BE351+$AZ351*Templates!$B$28/$BF351+$BA351*Templates!$B$29/$BG351+$BB351*Templates!$B$30/$BH351+$BC351*Templates!$B$31/$BI351)/Templates!$B$17)</f>
        <v/>
      </c>
      <c r="BK351" s="18">
        <f>IF(OR($A351="",$BD351=0),0,($AY351*Templates!$C$27/$BE351+$AZ351*Templates!$C$28/$BF351+$BA351*Templates!$C$29/$BG351+$BB351*Templates!$C$30/$BH351+$BC351*Templates!$C$31/$BI351)/Templates!$B$18)</f>
        <v/>
      </c>
      <c r="BL351" s="18">
        <f>IF(OR($A351="",$BD351=0),0,($AY351*Templates!$D$27/$BE351+$AZ351*Templates!$D$28/$BF351+$BA351*Templates!$D$29/$BG351+$BB351*Templates!$D$30/$BH351+$BC351*Templates!$D$31/$BI351)/Templates!$B$19)</f>
        <v/>
      </c>
      <c r="BM351" s="18">
        <f>IF(OR($A351="",$BD351=0),0,($AY351*Templates!$E$27/$BE351+$AZ351*Templates!$E$28/$BF351+$BA351*Templates!$E$29/$BG351+$BB351*Templates!$E$30/$BH351+$BC351*Templates!$E$31/$BI351)/Templates!$B$20)</f>
        <v/>
      </c>
      <c r="BN351" s="18">
        <f>IF(OR($A351="",$BD351=0),0,($AY351*Templates!$F$27/$BE351+$AZ351*Templates!$F$28/$BF351+$BA351*Templates!$F$29/$BG351+$BB351*Templates!$F$30/$BH351+$BC351*Templates!$F$31/$BI351)/Templates!$B$21)</f>
        <v/>
      </c>
      <c r="BO351" s="18">
        <f>IF(OR($A351="",$BD351=0),0,($AY351*Templates!$G$27/$BE351+$AZ351*Templates!$G$28/$BF351+$BA351*Templates!$G$29/$BG351+$BB351*Templates!$G$30/$BH351+$BC351*Templates!$G$31/$BI351)/Templates!$B$22)</f>
        <v/>
      </c>
      <c r="BP351" s="18">
        <f>IF(OR($A351="",$BD351=0),0,($AY351*Templates!$H$27/$BE351+$AZ351*Templates!$H$28/$BF351+$BA351*Templates!$H$29/$BG351+$BB351*Templates!$H$30/$BH351+$BC351*Templates!$H$31/$BI351)/Templates!$B$23)</f>
        <v/>
      </c>
    </row>
    <row r="352">
      <c r="A352" s="31" t="n"/>
      <c r="B352" s="44" t="n"/>
      <c r="C352" s="31" t="n"/>
      <c r="D352" s="31" t="n"/>
      <c r="E352" s="31" t="n"/>
      <c r="F352" s="31" t="n"/>
      <c r="G352" s="31" t="n"/>
      <c r="H352" s="31" t="n"/>
      <c r="I352" s="31" t="n"/>
      <c r="J352" s="31" t="n"/>
      <c r="K352" s="31" t="n"/>
      <c r="L352" s="31" t="n"/>
      <c r="M352" s="31" t="n"/>
      <c r="N352" s="31" t="n"/>
      <c r="O352" s="31" t="n"/>
      <c r="P352" s="31" t="n"/>
      <c r="Q352" s="23">
        <f>IF($A352="","",COUNTIFS(Assignments!$C$2:$C$769,$A352,Assignments!$G$2:$G$769,"Active"))</f>
        <v/>
      </c>
      <c r="R352" s="32">
        <f>IF($A352="","",SUMIFS(Assignments!$I$2:$I$769,Assignments!$C$2:$C$769,$A352,Assignments!$G$2:$G$769,"Active"))</f>
        <v/>
      </c>
      <c r="S352" s="44" t="n"/>
      <c r="T352" s="31" t="n"/>
      <c r="U352" s="31" t="n"/>
      <c r="V352" s="34">
        <f>IF($U352="","",IFERROR(INDEX(Templates!$K$3:$K$10,MATCH($U352,Templates!$A$3:$A$10,0)),""))</f>
        <v/>
      </c>
      <c r="W352" s="34">
        <f>IF($U352="","",IFERROR(INDEX(Templates!$L$3:$L$10,MATCH($U352,Templates!$A$3:$A$10,0)),""))</f>
        <v/>
      </c>
      <c r="X352" s="21">
        <f>IF($U352="","",IFERROR(INDEX(Templates!$J$3:$J$10,MATCH($U352,Templates!$A$3:$A$10,0)),""))</f>
        <v/>
      </c>
      <c r="Y352" s="35">
        <f>IF(OR($U352="",$I352="",$J352="",$X352=""),"",$I352+$X352*($J352-$I352))</f>
        <v/>
      </c>
      <c r="Z352" s="31" t="n"/>
      <c r="AA352" s="31" t="n"/>
      <c r="AB352" s="31" t="n"/>
      <c r="AC352" s="31" t="n"/>
      <c r="AD352" s="19">
        <f>IF($A352="","",IF($AA352="",$H352,$AA352))</f>
        <v/>
      </c>
      <c r="AE352" s="35">
        <f>IF($A352="","",IF($AB352="",$I352,$AB352))</f>
        <v/>
      </c>
      <c r="AF352" s="35">
        <f>IF($A352="","",IF($AC352="",$J352,$AC352))</f>
        <v/>
      </c>
      <c r="AG352" s="35">
        <f>IF(OR($U352="",$AE352="",$AF352="",$X352=""),"",$AE352+$X352*($AF352-$AE352))</f>
        <v/>
      </c>
      <c r="AH352" s="31" t="n"/>
      <c r="AI352" s="31" t="n"/>
      <c r="AJ352" s="31" t="n"/>
      <c r="AK352" s="31" t="n"/>
      <c r="AL352" s="31" t="n"/>
      <c r="AM352" s="31" t="n"/>
      <c r="AN352" s="31" t="n"/>
      <c r="AO352" s="31" t="n"/>
      <c r="AP352" s="31" t="n"/>
      <c r="AQ352" s="31" t="n"/>
      <c r="AR352" s="31" t="n"/>
      <c r="AS352" s="31" t="n"/>
      <c r="AT352" s="31" t="n"/>
      <c r="AU352" s="31" t="n"/>
      <c r="AV352" s="31" t="n"/>
      <c r="AW352" s="31" t="n"/>
      <c r="AX352" s="31" t="n"/>
      <c r="AY352" s="31" t="n"/>
      <c r="AZ352" s="31" t="n"/>
      <c r="BA352" s="31" t="n"/>
      <c r="BB352" s="31" t="n"/>
      <c r="BC352" s="31" t="n"/>
      <c r="BD352" s="37">
        <f>IF($A352="","",SUM($AY352:$BC352))</f>
        <v/>
      </c>
      <c r="BE352" s="18">
        <f>IF($A352="","",IF(AND($I352&lt;&gt;"",$J352&lt;&gt;""),MAX(1,($J352-$I352)/7),Templates!$B$35))</f>
        <v/>
      </c>
      <c r="BF352" s="18">
        <f>IF($A352="","",IF(AND($I352&lt;&gt;"",$J352&lt;&gt;""),MAX(1,($J352-$I352)/7),Templates!$B$36))</f>
        <v/>
      </c>
      <c r="BG352" s="18">
        <f>IF($A352="","",IF(AND($I352&lt;&gt;"",$J352&lt;&gt;""),MAX(1,($J352-$I352)/7),Templates!$B$37))</f>
        <v/>
      </c>
      <c r="BH352" s="18">
        <f>IF($A352="","",IF(AND($I352&lt;&gt;"",$J352&lt;&gt;""),MAX(1,($J352-$I352)/7),Templates!$B$38))</f>
        <v/>
      </c>
      <c r="BI352" s="18">
        <f>IF($A352="","",IF(AND($I352&lt;&gt;"",$J352&lt;&gt;""),MAX(1,($J352-$I352)/7),Templates!$B$39))</f>
        <v/>
      </c>
      <c r="BJ352" s="18">
        <f>IF(OR($A352="",$BD352=0),0,($AY352*Templates!$B$27/$BE352+$AZ352*Templates!$B$28/$BF352+$BA352*Templates!$B$29/$BG352+$BB352*Templates!$B$30/$BH352+$BC352*Templates!$B$31/$BI352)/Templates!$B$17)</f>
        <v/>
      </c>
      <c r="BK352" s="18">
        <f>IF(OR($A352="",$BD352=0),0,($AY352*Templates!$C$27/$BE352+$AZ352*Templates!$C$28/$BF352+$BA352*Templates!$C$29/$BG352+$BB352*Templates!$C$30/$BH352+$BC352*Templates!$C$31/$BI352)/Templates!$B$18)</f>
        <v/>
      </c>
      <c r="BL352" s="18">
        <f>IF(OR($A352="",$BD352=0),0,($AY352*Templates!$D$27/$BE352+$AZ352*Templates!$D$28/$BF352+$BA352*Templates!$D$29/$BG352+$BB352*Templates!$D$30/$BH352+$BC352*Templates!$D$31/$BI352)/Templates!$B$19)</f>
        <v/>
      </c>
      <c r="BM352" s="18">
        <f>IF(OR($A352="",$BD352=0),0,($AY352*Templates!$E$27/$BE352+$AZ352*Templates!$E$28/$BF352+$BA352*Templates!$E$29/$BG352+$BB352*Templates!$E$30/$BH352+$BC352*Templates!$E$31/$BI352)/Templates!$B$20)</f>
        <v/>
      </c>
      <c r="BN352" s="18">
        <f>IF(OR($A352="",$BD352=0),0,($AY352*Templates!$F$27/$BE352+$AZ352*Templates!$F$28/$BF352+$BA352*Templates!$F$29/$BG352+$BB352*Templates!$F$30/$BH352+$BC352*Templates!$F$31/$BI352)/Templates!$B$21)</f>
        <v/>
      </c>
      <c r="BO352" s="18">
        <f>IF(OR($A352="",$BD352=0),0,($AY352*Templates!$G$27/$BE352+$AZ352*Templates!$G$28/$BF352+$BA352*Templates!$G$29/$BG352+$BB352*Templates!$G$30/$BH352+$BC352*Templates!$G$31/$BI352)/Templates!$B$22)</f>
        <v/>
      </c>
      <c r="BP352" s="18">
        <f>IF(OR($A352="",$BD352=0),0,($AY352*Templates!$H$27/$BE352+$AZ352*Templates!$H$28/$BF352+$BA352*Templates!$H$29/$BG352+$BB352*Templates!$H$30/$BH352+$BC352*Templates!$H$31/$BI352)/Templates!$B$23)</f>
        <v/>
      </c>
    </row>
    <row r="353">
      <c r="A353" s="31" t="n"/>
      <c r="B353" s="44" t="n"/>
      <c r="C353" s="31" t="n"/>
      <c r="D353" s="31" t="n"/>
      <c r="E353" s="31" t="n"/>
      <c r="F353" s="31" t="n"/>
      <c r="G353" s="31" t="n"/>
      <c r="H353" s="31" t="n"/>
      <c r="I353" s="31" t="n"/>
      <c r="J353" s="31" t="n"/>
      <c r="K353" s="31" t="n"/>
      <c r="L353" s="31" t="n"/>
      <c r="M353" s="31" t="n"/>
      <c r="N353" s="31" t="n"/>
      <c r="O353" s="31" t="n"/>
      <c r="P353" s="31" t="n"/>
      <c r="Q353" s="23">
        <f>IF($A353="","",COUNTIFS(Assignments!$C$2:$C$769,$A353,Assignments!$G$2:$G$769,"Active"))</f>
        <v/>
      </c>
      <c r="R353" s="32">
        <f>IF($A353="","",SUMIFS(Assignments!$I$2:$I$769,Assignments!$C$2:$C$769,$A353,Assignments!$G$2:$G$769,"Active"))</f>
        <v/>
      </c>
      <c r="S353" s="44" t="n"/>
      <c r="T353" s="31" t="n"/>
      <c r="U353" s="31" t="n"/>
      <c r="V353" s="34">
        <f>IF($U353="","",IFERROR(INDEX(Templates!$K$3:$K$10,MATCH($U353,Templates!$A$3:$A$10,0)),""))</f>
        <v/>
      </c>
      <c r="W353" s="34">
        <f>IF($U353="","",IFERROR(INDEX(Templates!$L$3:$L$10,MATCH($U353,Templates!$A$3:$A$10,0)),""))</f>
        <v/>
      </c>
      <c r="X353" s="21">
        <f>IF($U353="","",IFERROR(INDEX(Templates!$J$3:$J$10,MATCH($U353,Templates!$A$3:$A$10,0)),""))</f>
        <v/>
      </c>
      <c r="Y353" s="35">
        <f>IF(OR($U353="",$I353="",$J353="",$X353=""),"",$I353+$X353*($J353-$I353))</f>
        <v/>
      </c>
      <c r="Z353" s="31" t="n"/>
      <c r="AA353" s="31" t="n"/>
      <c r="AB353" s="31" t="n"/>
      <c r="AC353" s="31" t="n"/>
      <c r="AD353" s="19">
        <f>IF($A353="","",IF($AA353="",$H353,$AA353))</f>
        <v/>
      </c>
      <c r="AE353" s="35">
        <f>IF($A353="","",IF($AB353="",$I353,$AB353))</f>
        <v/>
      </c>
      <c r="AF353" s="35">
        <f>IF($A353="","",IF($AC353="",$J353,$AC353))</f>
        <v/>
      </c>
      <c r="AG353" s="35">
        <f>IF(OR($U353="",$AE353="",$AF353="",$X353=""),"",$AE353+$X353*($AF353-$AE353))</f>
        <v/>
      </c>
      <c r="AH353" s="31" t="n"/>
      <c r="AI353" s="31" t="n"/>
      <c r="AJ353" s="31" t="n"/>
      <c r="AK353" s="31" t="n"/>
      <c r="AL353" s="31" t="n"/>
      <c r="AM353" s="31" t="n"/>
      <c r="AN353" s="31" t="n"/>
      <c r="AO353" s="31" t="n"/>
      <c r="AP353" s="31" t="n"/>
      <c r="AQ353" s="31" t="n"/>
      <c r="AR353" s="31" t="n"/>
      <c r="AS353" s="31" t="n"/>
      <c r="AT353" s="31" t="n"/>
      <c r="AU353" s="31" t="n"/>
      <c r="AV353" s="31" t="n"/>
      <c r="AW353" s="31" t="n"/>
      <c r="AX353" s="31" t="n"/>
      <c r="AY353" s="31" t="n"/>
      <c r="AZ353" s="31" t="n"/>
      <c r="BA353" s="31" t="n"/>
      <c r="BB353" s="31" t="n"/>
      <c r="BC353" s="31" t="n"/>
      <c r="BD353" s="37">
        <f>IF($A353="","",SUM($AY353:$BC353))</f>
        <v/>
      </c>
      <c r="BE353" s="18">
        <f>IF($A353="","",IF(AND($I353&lt;&gt;"",$J353&lt;&gt;""),MAX(1,($J353-$I353)/7),Templates!$B$35))</f>
        <v/>
      </c>
      <c r="BF353" s="18">
        <f>IF($A353="","",IF(AND($I353&lt;&gt;"",$J353&lt;&gt;""),MAX(1,($J353-$I353)/7),Templates!$B$36))</f>
        <v/>
      </c>
      <c r="BG353" s="18">
        <f>IF($A353="","",IF(AND($I353&lt;&gt;"",$J353&lt;&gt;""),MAX(1,($J353-$I353)/7),Templates!$B$37))</f>
        <v/>
      </c>
      <c r="BH353" s="18">
        <f>IF($A353="","",IF(AND($I353&lt;&gt;"",$J353&lt;&gt;""),MAX(1,($J353-$I353)/7),Templates!$B$38))</f>
        <v/>
      </c>
      <c r="BI353" s="18">
        <f>IF($A353="","",IF(AND($I353&lt;&gt;"",$J353&lt;&gt;""),MAX(1,($J353-$I353)/7),Templates!$B$39))</f>
        <v/>
      </c>
      <c r="BJ353" s="18">
        <f>IF(OR($A353="",$BD353=0),0,($AY353*Templates!$B$27/$BE353+$AZ353*Templates!$B$28/$BF353+$BA353*Templates!$B$29/$BG353+$BB353*Templates!$B$30/$BH353+$BC353*Templates!$B$31/$BI353)/Templates!$B$17)</f>
        <v/>
      </c>
      <c r="BK353" s="18">
        <f>IF(OR($A353="",$BD353=0),0,($AY353*Templates!$C$27/$BE353+$AZ353*Templates!$C$28/$BF353+$BA353*Templates!$C$29/$BG353+$BB353*Templates!$C$30/$BH353+$BC353*Templates!$C$31/$BI353)/Templates!$B$18)</f>
        <v/>
      </c>
      <c r="BL353" s="18">
        <f>IF(OR($A353="",$BD353=0),0,($AY353*Templates!$D$27/$BE353+$AZ353*Templates!$D$28/$BF353+$BA353*Templates!$D$29/$BG353+$BB353*Templates!$D$30/$BH353+$BC353*Templates!$D$31/$BI353)/Templates!$B$19)</f>
        <v/>
      </c>
      <c r="BM353" s="18">
        <f>IF(OR($A353="",$BD353=0),0,($AY353*Templates!$E$27/$BE353+$AZ353*Templates!$E$28/$BF353+$BA353*Templates!$E$29/$BG353+$BB353*Templates!$E$30/$BH353+$BC353*Templates!$E$31/$BI353)/Templates!$B$20)</f>
        <v/>
      </c>
      <c r="BN353" s="18">
        <f>IF(OR($A353="",$BD353=0),0,($AY353*Templates!$F$27/$BE353+$AZ353*Templates!$F$28/$BF353+$BA353*Templates!$F$29/$BG353+$BB353*Templates!$F$30/$BH353+$BC353*Templates!$F$31/$BI353)/Templates!$B$21)</f>
        <v/>
      </c>
      <c r="BO353" s="18">
        <f>IF(OR($A353="",$BD353=0),0,($AY353*Templates!$G$27/$BE353+$AZ353*Templates!$G$28/$BF353+$BA353*Templates!$G$29/$BG353+$BB353*Templates!$G$30/$BH353+$BC353*Templates!$G$31/$BI353)/Templates!$B$22)</f>
        <v/>
      </c>
      <c r="BP353" s="18">
        <f>IF(OR($A353="",$BD353=0),0,($AY353*Templates!$H$27/$BE353+$AZ353*Templates!$H$28/$BF353+$BA353*Templates!$H$29/$BG353+$BB353*Templates!$H$30/$BH353+$BC353*Templates!$H$31/$BI353)/Templates!$B$23)</f>
        <v/>
      </c>
    </row>
    <row r="354">
      <c r="A354" s="31" t="n"/>
      <c r="B354" s="44" t="n"/>
      <c r="C354" s="31" t="n"/>
      <c r="D354" s="31" t="n"/>
      <c r="E354" s="31" t="n"/>
      <c r="F354" s="31" t="n"/>
      <c r="G354" s="31" t="n"/>
      <c r="H354" s="31" t="n"/>
      <c r="I354" s="31" t="n"/>
      <c r="J354" s="31" t="n"/>
      <c r="K354" s="31" t="n"/>
      <c r="L354" s="31" t="n"/>
      <c r="M354" s="31" t="n"/>
      <c r="N354" s="31" t="n"/>
      <c r="O354" s="31" t="n"/>
      <c r="P354" s="31" t="n"/>
      <c r="Q354" s="23">
        <f>IF($A354="","",COUNTIFS(Assignments!$C$2:$C$769,$A354,Assignments!$G$2:$G$769,"Active"))</f>
        <v/>
      </c>
      <c r="R354" s="32">
        <f>IF($A354="","",SUMIFS(Assignments!$I$2:$I$769,Assignments!$C$2:$C$769,$A354,Assignments!$G$2:$G$769,"Active"))</f>
        <v/>
      </c>
      <c r="S354" s="44" t="n"/>
      <c r="T354" s="31" t="n"/>
      <c r="U354" s="31" t="n"/>
      <c r="V354" s="34">
        <f>IF($U354="","",IFERROR(INDEX(Templates!$K$3:$K$10,MATCH($U354,Templates!$A$3:$A$10,0)),""))</f>
        <v/>
      </c>
      <c r="W354" s="34">
        <f>IF($U354="","",IFERROR(INDEX(Templates!$L$3:$L$10,MATCH($U354,Templates!$A$3:$A$10,0)),""))</f>
        <v/>
      </c>
      <c r="X354" s="21">
        <f>IF($U354="","",IFERROR(INDEX(Templates!$J$3:$J$10,MATCH($U354,Templates!$A$3:$A$10,0)),""))</f>
        <v/>
      </c>
      <c r="Y354" s="35">
        <f>IF(OR($U354="",$I354="",$J354="",$X354=""),"",$I354+$X354*($J354-$I354))</f>
        <v/>
      </c>
      <c r="Z354" s="31" t="n"/>
      <c r="AA354" s="31" t="n"/>
      <c r="AB354" s="31" t="n"/>
      <c r="AC354" s="31" t="n"/>
      <c r="AD354" s="19">
        <f>IF($A354="","",IF($AA354="",$H354,$AA354))</f>
        <v/>
      </c>
      <c r="AE354" s="35">
        <f>IF($A354="","",IF($AB354="",$I354,$AB354))</f>
        <v/>
      </c>
      <c r="AF354" s="35">
        <f>IF($A354="","",IF($AC354="",$J354,$AC354))</f>
        <v/>
      </c>
      <c r="AG354" s="35">
        <f>IF(OR($U354="",$AE354="",$AF354="",$X354=""),"",$AE354+$X354*($AF354-$AE354))</f>
        <v/>
      </c>
      <c r="AH354" s="31" t="n"/>
      <c r="AI354" s="31" t="n"/>
      <c r="AJ354" s="31" t="n"/>
      <c r="AK354" s="31" t="n"/>
      <c r="AL354" s="31" t="n"/>
      <c r="AM354" s="31" t="n"/>
      <c r="AN354" s="31" t="n"/>
      <c r="AO354" s="31" t="n"/>
      <c r="AP354" s="31" t="n"/>
      <c r="AQ354" s="31" t="n"/>
      <c r="AR354" s="31" t="n"/>
      <c r="AS354" s="31" t="n"/>
      <c r="AT354" s="31" t="n"/>
      <c r="AU354" s="31" t="n"/>
      <c r="AV354" s="31" t="n"/>
      <c r="AW354" s="31" t="n"/>
      <c r="AX354" s="31" t="n"/>
      <c r="AY354" s="31" t="n"/>
      <c r="AZ354" s="31" t="n"/>
      <c r="BA354" s="31" t="n"/>
      <c r="BB354" s="31" t="n"/>
      <c r="BC354" s="31" t="n"/>
      <c r="BD354" s="37">
        <f>IF($A354="","",SUM($AY354:$BC354))</f>
        <v/>
      </c>
      <c r="BE354" s="18">
        <f>IF($A354="","",IF(AND($I354&lt;&gt;"",$J354&lt;&gt;""),MAX(1,($J354-$I354)/7),Templates!$B$35))</f>
        <v/>
      </c>
      <c r="BF354" s="18">
        <f>IF($A354="","",IF(AND($I354&lt;&gt;"",$J354&lt;&gt;""),MAX(1,($J354-$I354)/7),Templates!$B$36))</f>
        <v/>
      </c>
      <c r="BG354" s="18">
        <f>IF($A354="","",IF(AND($I354&lt;&gt;"",$J354&lt;&gt;""),MAX(1,($J354-$I354)/7),Templates!$B$37))</f>
        <v/>
      </c>
      <c r="BH354" s="18">
        <f>IF($A354="","",IF(AND($I354&lt;&gt;"",$J354&lt;&gt;""),MAX(1,($J354-$I354)/7),Templates!$B$38))</f>
        <v/>
      </c>
      <c r="BI354" s="18">
        <f>IF($A354="","",IF(AND($I354&lt;&gt;"",$J354&lt;&gt;""),MAX(1,($J354-$I354)/7),Templates!$B$39))</f>
        <v/>
      </c>
      <c r="BJ354" s="18">
        <f>IF(OR($A354="",$BD354=0),0,($AY354*Templates!$B$27/$BE354+$AZ354*Templates!$B$28/$BF354+$BA354*Templates!$B$29/$BG354+$BB354*Templates!$B$30/$BH354+$BC354*Templates!$B$31/$BI354)/Templates!$B$17)</f>
        <v/>
      </c>
      <c r="BK354" s="18">
        <f>IF(OR($A354="",$BD354=0),0,($AY354*Templates!$C$27/$BE354+$AZ354*Templates!$C$28/$BF354+$BA354*Templates!$C$29/$BG354+$BB354*Templates!$C$30/$BH354+$BC354*Templates!$C$31/$BI354)/Templates!$B$18)</f>
        <v/>
      </c>
      <c r="BL354" s="18">
        <f>IF(OR($A354="",$BD354=0),0,($AY354*Templates!$D$27/$BE354+$AZ354*Templates!$D$28/$BF354+$BA354*Templates!$D$29/$BG354+$BB354*Templates!$D$30/$BH354+$BC354*Templates!$D$31/$BI354)/Templates!$B$19)</f>
        <v/>
      </c>
      <c r="BM354" s="18">
        <f>IF(OR($A354="",$BD354=0),0,($AY354*Templates!$E$27/$BE354+$AZ354*Templates!$E$28/$BF354+$BA354*Templates!$E$29/$BG354+$BB354*Templates!$E$30/$BH354+$BC354*Templates!$E$31/$BI354)/Templates!$B$20)</f>
        <v/>
      </c>
      <c r="BN354" s="18">
        <f>IF(OR($A354="",$BD354=0),0,($AY354*Templates!$F$27/$BE354+$AZ354*Templates!$F$28/$BF354+$BA354*Templates!$F$29/$BG354+$BB354*Templates!$F$30/$BH354+$BC354*Templates!$F$31/$BI354)/Templates!$B$21)</f>
        <v/>
      </c>
      <c r="BO354" s="18">
        <f>IF(OR($A354="",$BD354=0),0,($AY354*Templates!$G$27/$BE354+$AZ354*Templates!$G$28/$BF354+$BA354*Templates!$G$29/$BG354+$BB354*Templates!$G$30/$BH354+$BC354*Templates!$G$31/$BI354)/Templates!$B$22)</f>
        <v/>
      </c>
      <c r="BP354" s="18">
        <f>IF(OR($A354="",$BD354=0),0,($AY354*Templates!$H$27/$BE354+$AZ354*Templates!$H$28/$BF354+$BA354*Templates!$H$29/$BG354+$BB354*Templates!$H$30/$BH354+$BC354*Templates!$H$31/$BI354)/Templates!$B$23)</f>
        <v/>
      </c>
    </row>
    <row r="355">
      <c r="A355" s="31" t="n"/>
      <c r="B355" s="44" t="n"/>
      <c r="C355" s="31" t="n"/>
      <c r="D355" s="31" t="n"/>
      <c r="E355" s="31" t="n"/>
      <c r="F355" s="31" t="n"/>
      <c r="G355" s="31" t="n"/>
      <c r="H355" s="31" t="n"/>
      <c r="I355" s="31" t="n"/>
      <c r="J355" s="31" t="n"/>
      <c r="K355" s="31" t="n"/>
      <c r="L355" s="31" t="n"/>
      <c r="M355" s="31" t="n"/>
      <c r="N355" s="31" t="n"/>
      <c r="O355" s="31" t="n"/>
      <c r="P355" s="31" t="n"/>
      <c r="Q355" s="23">
        <f>IF($A355="","",COUNTIFS(Assignments!$C$2:$C$769,$A355,Assignments!$G$2:$G$769,"Active"))</f>
        <v/>
      </c>
      <c r="R355" s="32">
        <f>IF($A355="","",SUMIFS(Assignments!$I$2:$I$769,Assignments!$C$2:$C$769,$A355,Assignments!$G$2:$G$769,"Active"))</f>
        <v/>
      </c>
      <c r="S355" s="44" t="n"/>
      <c r="T355" s="31" t="n"/>
      <c r="U355" s="31" t="n"/>
      <c r="V355" s="34">
        <f>IF($U355="","",IFERROR(INDEX(Templates!$K$3:$K$10,MATCH($U355,Templates!$A$3:$A$10,0)),""))</f>
        <v/>
      </c>
      <c r="W355" s="34">
        <f>IF($U355="","",IFERROR(INDEX(Templates!$L$3:$L$10,MATCH($U355,Templates!$A$3:$A$10,0)),""))</f>
        <v/>
      </c>
      <c r="X355" s="21">
        <f>IF($U355="","",IFERROR(INDEX(Templates!$J$3:$J$10,MATCH($U355,Templates!$A$3:$A$10,0)),""))</f>
        <v/>
      </c>
      <c r="Y355" s="35">
        <f>IF(OR($U355="",$I355="",$J355="",$X355=""),"",$I355+$X355*($J355-$I355))</f>
        <v/>
      </c>
      <c r="Z355" s="31" t="n"/>
      <c r="AA355" s="31" t="n"/>
      <c r="AB355" s="31" t="n"/>
      <c r="AC355" s="31" t="n"/>
      <c r="AD355" s="19">
        <f>IF($A355="","",IF($AA355="",$H355,$AA355))</f>
        <v/>
      </c>
      <c r="AE355" s="35">
        <f>IF($A355="","",IF($AB355="",$I355,$AB355))</f>
        <v/>
      </c>
      <c r="AF355" s="35">
        <f>IF($A355="","",IF($AC355="",$J355,$AC355))</f>
        <v/>
      </c>
      <c r="AG355" s="35">
        <f>IF(OR($U355="",$AE355="",$AF355="",$X355=""),"",$AE355+$X355*($AF355-$AE355))</f>
        <v/>
      </c>
      <c r="AH355" s="31" t="n"/>
      <c r="AI355" s="31" t="n"/>
      <c r="AJ355" s="31" t="n"/>
      <c r="AK355" s="31" t="n"/>
      <c r="AL355" s="31" t="n"/>
      <c r="AM355" s="31" t="n"/>
      <c r="AN355" s="31" t="n"/>
      <c r="AO355" s="31" t="n"/>
      <c r="AP355" s="31" t="n"/>
      <c r="AQ355" s="31" t="n"/>
      <c r="AR355" s="31" t="n"/>
      <c r="AS355" s="31" t="n"/>
      <c r="AT355" s="31" t="n"/>
      <c r="AU355" s="31" t="n"/>
      <c r="AV355" s="31" t="n"/>
      <c r="AW355" s="31" t="n"/>
      <c r="AX355" s="31" t="n"/>
      <c r="AY355" s="31" t="n"/>
      <c r="AZ355" s="31" t="n"/>
      <c r="BA355" s="31" t="n"/>
      <c r="BB355" s="31" t="n"/>
      <c r="BC355" s="31" t="n"/>
      <c r="BD355" s="37">
        <f>IF($A355="","",SUM($AY355:$BC355))</f>
        <v/>
      </c>
      <c r="BE355" s="18">
        <f>IF($A355="","",IF(AND($I355&lt;&gt;"",$J355&lt;&gt;""),MAX(1,($J355-$I355)/7),Templates!$B$35))</f>
        <v/>
      </c>
      <c r="BF355" s="18">
        <f>IF($A355="","",IF(AND($I355&lt;&gt;"",$J355&lt;&gt;""),MAX(1,($J355-$I355)/7),Templates!$B$36))</f>
        <v/>
      </c>
      <c r="BG355" s="18">
        <f>IF($A355="","",IF(AND($I355&lt;&gt;"",$J355&lt;&gt;""),MAX(1,($J355-$I355)/7),Templates!$B$37))</f>
        <v/>
      </c>
      <c r="BH355" s="18">
        <f>IF($A355="","",IF(AND($I355&lt;&gt;"",$J355&lt;&gt;""),MAX(1,($J355-$I355)/7),Templates!$B$38))</f>
        <v/>
      </c>
      <c r="BI355" s="18">
        <f>IF($A355="","",IF(AND($I355&lt;&gt;"",$J355&lt;&gt;""),MAX(1,($J355-$I355)/7),Templates!$B$39))</f>
        <v/>
      </c>
      <c r="BJ355" s="18">
        <f>IF(OR($A355="",$BD355=0),0,($AY355*Templates!$B$27/$BE355+$AZ355*Templates!$B$28/$BF355+$BA355*Templates!$B$29/$BG355+$BB355*Templates!$B$30/$BH355+$BC355*Templates!$B$31/$BI355)/Templates!$B$17)</f>
        <v/>
      </c>
      <c r="BK355" s="18">
        <f>IF(OR($A355="",$BD355=0),0,($AY355*Templates!$C$27/$BE355+$AZ355*Templates!$C$28/$BF355+$BA355*Templates!$C$29/$BG355+$BB355*Templates!$C$30/$BH355+$BC355*Templates!$C$31/$BI355)/Templates!$B$18)</f>
        <v/>
      </c>
      <c r="BL355" s="18">
        <f>IF(OR($A355="",$BD355=0),0,($AY355*Templates!$D$27/$BE355+$AZ355*Templates!$D$28/$BF355+$BA355*Templates!$D$29/$BG355+$BB355*Templates!$D$30/$BH355+$BC355*Templates!$D$31/$BI355)/Templates!$B$19)</f>
        <v/>
      </c>
      <c r="BM355" s="18">
        <f>IF(OR($A355="",$BD355=0),0,($AY355*Templates!$E$27/$BE355+$AZ355*Templates!$E$28/$BF355+$BA355*Templates!$E$29/$BG355+$BB355*Templates!$E$30/$BH355+$BC355*Templates!$E$31/$BI355)/Templates!$B$20)</f>
        <v/>
      </c>
      <c r="BN355" s="18">
        <f>IF(OR($A355="",$BD355=0),0,($AY355*Templates!$F$27/$BE355+$AZ355*Templates!$F$28/$BF355+$BA355*Templates!$F$29/$BG355+$BB355*Templates!$F$30/$BH355+$BC355*Templates!$F$31/$BI355)/Templates!$B$21)</f>
        <v/>
      </c>
      <c r="BO355" s="18">
        <f>IF(OR($A355="",$BD355=0),0,($AY355*Templates!$G$27/$BE355+$AZ355*Templates!$G$28/$BF355+$BA355*Templates!$G$29/$BG355+$BB355*Templates!$G$30/$BH355+$BC355*Templates!$G$31/$BI355)/Templates!$B$22)</f>
        <v/>
      </c>
      <c r="BP355" s="18">
        <f>IF(OR($A355="",$BD355=0),0,($AY355*Templates!$H$27/$BE355+$AZ355*Templates!$H$28/$BF355+$BA355*Templates!$H$29/$BG355+$BB355*Templates!$H$30/$BH355+$BC355*Templates!$H$31/$BI355)/Templates!$B$23)</f>
        <v/>
      </c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1"/>
  <conditionalFormatting sqref="A2:BP355">
    <cfRule type="expression" priority="1" dxfId="5">
      <formula>OR($F2="Dead",$F2="Closed",$F2="Invoiced")</formula>
    </cfRule>
  </conditionalFormatting>
  <dataValidations count="21">
    <dataValidation sqref="F2:F355" showDropDown="0" showInputMessage="0" showErrorMessage="0" allowBlank="1" type="list">
      <formula1>LifecycleList</formula1>
    </dataValidation>
    <dataValidation sqref="G2:G355" showDropDown="0" showInputMessage="0" showErrorMessage="0" allowBlank="1" type="list">
      <formula1>PhaseList</formula1>
    </dataValidation>
    <dataValidation sqref="E2:E355" showDropDown="0" showInputMessage="0" showErrorMessage="0" allowBlank="1" type="list">
      <formula1>YesNoList</formula1>
    </dataValidation>
    <dataValidation sqref="U2:U355" showDropDown="0" showInputMessage="0" showErrorMessage="0" allowBlank="1" type="list">
      <formula1>ArchetypeList</formula1>
    </dataValidation>
    <dataValidation sqref="AH2:AH355" showDropDown="0" showInputMessage="0" showErrorMessage="0" allowBlank="1" type="list">
      <formula1>TddTypeList</formula1>
    </dataValidation>
    <dataValidation sqref="AI2:AI355" showDropDown="0" showInputMessage="0" showErrorMessage="0" allowBlank="1" type="list">
      <formula1>YesNoList</formula1>
    </dataValidation>
    <dataValidation sqref="AJ2:AJ355" showDropDown="0" showInputMessage="0" showErrorMessage="0" allowBlank="1" type="list">
      <formula1>TddScopeList</formula1>
    </dataValidation>
    <dataValidation sqref="AK2:AK355" showDropDown="0" showInputMessage="0" showErrorMessage="0" allowBlank="1" type="list">
      <formula1>OtherTddList</formula1>
    </dataValidation>
    <dataValidation sqref="AL2:AL355" showDropDown="0" showInputMessage="0" showErrorMessage="0" allowBlank="1" type="list">
      <formula1>CorpModelList</formula1>
    </dataValidation>
    <dataValidation sqref="AM2:AM355" showDropDown="0" showInputMessage="0" showErrorMessage="0" allowBlank="1" type="list">
      <formula1>YTickList</formula1>
    </dataValidation>
    <dataValidation sqref="AN2:AN355" showDropDown="0" showInputMessage="0" showErrorMessage="0" allowBlank="1" type="list">
      <formula1>YTickList</formula1>
    </dataValidation>
    <dataValidation sqref="AO2:AO355" showDropDown="0" showInputMessage="0" showErrorMessage="0" allowBlank="1" type="list">
      <formula1>YTickList</formula1>
    </dataValidation>
    <dataValidation sqref="AP2:AP355" showDropDown="0" showInputMessage="0" showErrorMessage="0" allowBlank="1" type="list">
      <formula1>YTickList</formula1>
    </dataValidation>
    <dataValidation sqref="AQ2:AQ355" showDropDown="0" showInputMessage="0" showErrorMessage="0" allowBlank="1" type="list">
      <formula1>YTickList</formula1>
    </dataValidation>
    <dataValidation sqref="AR2:AR355" showDropDown="0" showInputMessage="0" showErrorMessage="0" allowBlank="1" type="list">
      <formula1>YTickList</formula1>
    </dataValidation>
    <dataValidation sqref="AS2:AS355" showDropDown="0" showInputMessage="0" showErrorMessage="0" allowBlank="1" type="list">
      <formula1>YTickList</formula1>
    </dataValidation>
    <dataValidation sqref="AT2:AT355" showDropDown="0" showInputMessage="0" showErrorMessage="0" allowBlank="1" type="list">
      <formula1>YTickList</formula1>
    </dataValidation>
    <dataValidation sqref="AU2:AU355" showDropDown="0" showInputMessage="0" showErrorMessage="0" allowBlank="1" type="list">
      <formula1>YTickList</formula1>
    </dataValidation>
    <dataValidation sqref="AV2:AV355" showDropDown="0" showInputMessage="0" showErrorMessage="0" allowBlank="1" type="list">
      <formula1>YTickList</formula1>
    </dataValidation>
    <dataValidation sqref="AW2:AW355" showDropDown="0" showInputMessage="0" showErrorMessage="0" allowBlank="1" type="list">
      <formula1>YTickList</formula1>
    </dataValidation>
    <dataValidation sqref="AX2:AX355" showDropDown="0" showInputMessage="0" showErrorMessage="0" allowBlank="1" type="list">
      <formula1>YTickList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AP76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6" customWidth="1" min="4" max="4"/>
    <col width="12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1" customWidth="1" min="13" max="13"/>
    <col width="11" customWidth="1" min="14" max="14"/>
    <col width="11" customWidth="1" min="15" max="15"/>
    <col width="24" customWidth="1" min="16" max="16"/>
    <col width="34" customWidth="1" min="17" max="17"/>
    <col width="16" customWidth="1" min="18" max="18"/>
    <col width="9" customWidth="1" min="19" max="19"/>
    <col width="9" customWidth="1" min="20" max="20"/>
    <col width="11" customWidth="1" min="21" max="21"/>
    <col width="11" customWidth="1" min="22" max="22"/>
    <col width="11" customWidth="1" min="23" max="23"/>
    <col width="10" customWidth="1" min="24" max="24"/>
    <col width="11" customWidth="1" min="25" max="25"/>
    <col width="11" customWidth="1" min="26" max="26"/>
    <col width="10" customWidth="1" min="27" max="27"/>
    <col width="9" customWidth="1" min="28" max="28"/>
    <col width="9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0" customWidth="1" min="37" max="37"/>
    <col width="11" customWidth="1" min="38" max="38"/>
    <col width="11" customWidth="1" min="39" max="39"/>
    <col width="10" customWidth="1" min="40" max="40"/>
    <col width="12" customWidth="1" min="41" max="41"/>
    <col width="13" customWidth="1" min="42" max="42"/>
  </cols>
  <sheetData>
    <row r="1" ht="28" customHeight="1">
      <c r="A1" s="15" t="inlineStr">
        <is>
          <t>Person</t>
        </is>
      </c>
      <c r="B1" s="15" t="inlineStr">
        <is>
          <t>Level (roster)</t>
        </is>
      </c>
      <c r="C1" s="15" t="inlineStr">
        <is>
          <t>Project ID</t>
        </is>
      </c>
      <c r="D1" s="15" t="inlineStr">
        <is>
          <t>Client</t>
        </is>
      </c>
      <c r="E1" s="15" t="inlineStr">
        <is>
          <t>Deal lifecycle</t>
        </is>
      </c>
      <c r="F1" s="15" t="inlineStr">
        <is>
          <t>Staffed as</t>
        </is>
      </c>
      <c r="G1" s="15" t="inlineStr">
        <is>
          <t>Active?</t>
        </is>
      </c>
      <c r="H1" s="15" t="inlineStr">
        <is>
          <t>Override hrs/wk</t>
        </is>
      </c>
      <c r="I1" s="15" t="inlineStr">
        <is>
          <t>Planned hrs/wk (used)</t>
        </is>
      </c>
      <c r="J1" s="15" t="inlineStr">
        <is>
          <t>Deal probability</t>
        </is>
      </c>
      <c r="K1" s="15" t="inlineStr">
        <is>
          <t>Weighted hrs/wk</t>
        </is>
      </c>
      <c r="L1" s="15" t="inlineStr">
        <is>
          <t>Deal start</t>
        </is>
      </c>
      <c r="M1" s="15" t="inlineStr">
        <is>
          <t>Deal end</t>
        </is>
      </c>
      <c r="N1" s="15" t="inlineStr">
        <is>
          <t>Eff. start (calc)</t>
        </is>
      </c>
      <c r="O1" s="15" t="inlineStr">
        <is>
          <t>Eff. end (calc)</t>
        </is>
      </c>
      <c r="P1" s="15" t="inlineStr">
        <is>
          <t>Source status (Jul 9)</t>
        </is>
      </c>
      <c r="Q1" s="15" t="inlineStr">
        <is>
          <t>Notes</t>
        </is>
      </c>
      <c r="R1" s="15" t="inlineStr">
        <is>
          <t>Archetype (calc)</t>
        </is>
      </c>
      <c r="S1" s="15" t="inlineStr">
        <is>
          <t>Front x (calc)</t>
        </is>
      </c>
      <c r="T1" s="15" t="inlineStr">
        <is>
          <t>Tail x (calc)</t>
        </is>
      </c>
      <c r="U1" s="15" t="inlineStr">
        <is>
          <t>Split date (calc)</t>
        </is>
      </c>
      <c r="V1" s="15" t="inlineStr">
        <is>
          <t>Seg1 start (calc)</t>
        </is>
      </c>
      <c r="W1" s="15" t="inlineStr">
        <is>
          <t>Seg1 end (calc)</t>
        </is>
      </c>
      <c r="X1" s="15" t="inlineStr">
        <is>
          <t>Seg1 hrs (calc)</t>
        </is>
      </c>
      <c r="Y1" s="15" t="inlineStr">
        <is>
          <t>Seg2 start (calc)</t>
        </is>
      </c>
      <c r="Z1" s="15" t="inlineStr">
        <is>
          <t>Seg2 end (calc)</t>
        </is>
      </c>
      <c r="AA1" s="15" t="inlineStr">
        <is>
          <t>Seg2 hrs (calc)</t>
        </is>
      </c>
      <c r="AB1" s="15" t="inlineStr">
        <is>
          <t>scn prob (calc)</t>
        </is>
      </c>
      <c r="AC1" s="15" t="inlineStr">
        <is>
          <t>scn wtd (calc)</t>
        </is>
      </c>
      <c r="AD1" s="15" t="inlineStr">
        <is>
          <t>scn start (calc)</t>
        </is>
      </c>
      <c r="AE1" s="15" t="inlineStr">
        <is>
          <t>scn end (calc)</t>
        </is>
      </c>
      <c r="AF1" s="15" t="inlineStr">
        <is>
          <t>scn eff start (calc)</t>
        </is>
      </c>
      <c r="AG1" s="15" t="inlineStr">
        <is>
          <t>scn eff end (calc)</t>
        </is>
      </c>
      <c r="AH1" s="15" t="inlineStr">
        <is>
          <t>scn split (calc)</t>
        </is>
      </c>
      <c r="AI1" s="15" t="inlineStr">
        <is>
          <t>scn seg1 start (calc)</t>
        </is>
      </c>
      <c r="AJ1" s="15" t="inlineStr">
        <is>
          <t>scn seg1 end (calc)</t>
        </is>
      </c>
      <c r="AK1" s="15" t="inlineStr">
        <is>
          <t>scn seg1 hrs (calc)</t>
        </is>
      </c>
      <c r="AL1" s="15" t="inlineStr">
        <is>
          <t>scn seg2 start (calc)</t>
        </is>
      </c>
      <c r="AM1" s="15" t="inlineStr">
        <is>
          <t>scn seg2 end (calc)</t>
        </is>
      </c>
      <c r="AN1" s="15" t="inlineStr">
        <is>
          <t>scn seg2 hrs (calc)</t>
        </is>
      </c>
      <c r="AO1" s="15" t="inlineStr">
        <is>
          <t>Deal fee total (calc)</t>
        </is>
      </c>
      <c r="AP1" s="15" t="inlineStr">
        <is>
          <t>Fee hrs/wk pp (calc)</t>
        </is>
      </c>
    </row>
    <row r="2">
      <c r="A2" s="28" t="inlineStr">
        <is>
          <t>Tania</t>
        </is>
      </c>
      <c r="B2" s="16">
        <f>IF($A2="","",IFERROR(INDEX(Roster!$B$2:$B$40,MATCH($A2,Roster!$A$2:$A$40,0)),"?"))</f>
        <v/>
      </c>
      <c r="C2" s="28" t="inlineStr">
        <is>
          <t>EXAMPLE_0</t>
        </is>
      </c>
      <c r="D2" s="16">
        <f>IF($C2="","",IFERROR(IF(INDEX(Deals!$C$2:$C$355,MATCH($C2,Deals!$A$2:$A$355,0))=0,"",INDEX(Deals!$C$2:$C$355,MATCH($C2,Deals!$A$2:$A$355,0))),"?"))</f>
        <v/>
      </c>
      <c r="E2" s="16">
        <f>IF($C2="","",IFERROR(INDEX(Deals!$F$2:$F$355,MATCH($C2,Deals!$A$2:$A$355,0)),"?"))</f>
        <v/>
      </c>
      <c r="F2" s="28" t="inlineStr">
        <is>
          <t>Partner</t>
        </is>
      </c>
      <c r="G2" s="28" t="inlineStr">
        <is>
          <t>Inactive</t>
        </is>
      </c>
      <c r="H2" s="45" t="n">
        <v>6</v>
      </c>
      <c r="I2" s="32">
        <f>IF(OR($A2="",$G2&lt;&gt;"Active"),0,IF($H2&lt;&gt;"",$H2,IF($AO2&gt;0,$AP2,IF(AND($R2&lt;&gt;"",IFERROR(INDEX(Templates!$B$3:$H$10,MATCH($R2,Templates!$A$3:$A$10,0),MATCH($F2,Templates!$B$2:$H$2,0)),0)&gt;0),INDEX(Templates!$B$3:$H$10,MATCH($R2,Templates!$A$3:$A$10,0),MATCH($F2,Templates!$B$2:$H$2,0)),IFERROR(INDEX(Settings!$B$8:$B$14,MATCH($F2,Settings!$A$8:$A$14,0)),0)))))</f>
        <v/>
      </c>
      <c r="J2" s="21">
        <f>IF($C2="",0,IFERROR(INDEX(Deals!$H$2:$H$355,MATCH($C2,Deals!$A$2:$A$355,0)),0))</f>
        <v/>
      </c>
      <c r="K2" s="32">
        <f>IF(Settings!$B$4="Yes",$I2*$J2,$I2)</f>
        <v/>
      </c>
      <c r="L2" s="22">
        <f>IF($C2="","",IFERROR(IF(INDEX(Deals!$I$2:$I$355,MATCH($C2,Deals!$A$2:$A$355,0))=0,"",INDEX(Deals!$I$2:$I$355,MATCH($C2,Deals!$A$2:$A$355,0))),""))</f>
        <v/>
      </c>
      <c r="M2" s="22">
        <f>IF($C2="","",IFERROR(IF(INDEX(Deals!$J$2:$J$355,MATCH($C2,Deals!$A$2:$A$355,0))=0,"",INDEX(Deals!$J$2:$J$355,MATCH($C2,Deals!$A$2:$A$355,0))),""))</f>
        <v/>
      </c>
      <c r="N2" s="35">
        <f>IF($L2="",DATE(1900,1,1),$L2)</f>
        <v/>
      </c>
      <c r="O2" s="35">
        <f>IF($M2="",DATE(2100,12,31),$M2)</f>
        <v/>
      </c>
      <c r="P2" s="20" t="inlineStr"/>
      <c r="Q2" s="33" t="inlineStr">
        <is>
          <t>EXAMPLE row - Inactive so it counts nowhere; delete any time</t>
        </is>
      </c>
      <c r="R2" s="16">
        <f>IF($C2="","",IFERROR(IF(INDEX(Deals!$U$2:$U$355,MATCH($C2,Deals!$A$2:$A$355,0))=0,"",INDEX(Deals!$U$2:$U$355,MATCH($C2,Deals!$A$2:$A$355,0))),""))</f>
        <v/>
      </c>
      <c r="S2" s="34">
        <f>IFERROR(IF($U2="",1,INDEX(Deals!$V$2:$V$355,MATCH($C2,Deals!$A$2:$A$355,0))),1)</f>
        <v/>
      </c>
      <c r="T2" s="34">
        <f>IFERROR(IF($U2="",1,INDEX(Deals!$W$2:$W$355,MATCH($C2,Deals!$A$2:$A$355,0))),1)</f>
        <v/>
      </c>
      <c r="U2" s="22">
        <f>IF($C2="","",IFERROR(IF(INDEX(Deals!$Y$2:$Y$355,MATCH($C2,Deals!$A$2:$A$355,0))=0,"",INDEX(Deals!$Y$2:$Y$355,MATCH($C2,Deals!$A$2:$A$355,0))),""))</f>
        <v/>
      </c>
      <c r="V2" s="35">
        <f>IF(OR($U2&lt;&gt;"",AND($AO2&gt;0,$L2&lt;&gt;"",$M2&lt;&gt;"")),$N2,DATE(1900,1,1))</f>
        <v/>
      </c>
      <c r="W2" s="35">
        <f>IF($U2&lt;&gt;"",$U2,IF(AND($AO2&gt;0,$L2&lt;&gt;"",$M2&lt;&gt;""),$O2,DATE(2100,12,31)))</f>
        <v/>
      </c>
      <c r="X2" s="32">
        <f>IF($U2="",$K2,$K2*$S2)</f>
        <v/>
      </c>
      <c r="Y2" s="35">
        <f>IF($U2="",DATE(2100,12,31),$U2+1)</f>
        <v/>
      </c>
      <c r="Z2" s="35">
        <f>IF($U2="",DATE(1900,1,1),$O2)</f>
        <v/>
      </c>
      <c r="AA2" s="32">
        <f>IF($U2="",0,$K2*$T2)</f>
        <v/>
      </c>
      <c r="AB2" s="21">
        <f>IF($C2="",0,IFERROR(INDEX(Deals!$AD$2:$AD$355,MATCH($C2,Deals!$A$2:$A$355,0)),0))</f>
        <v/>
      </c>
      <c r="AC2" s="32">
        <f>IF(Settings!$B$4="Yes",$I2*$AB2,$I2)</f>
        <v/>
      </c>
      <c r="AD2" s="22">
        <f>IF($C2="","",IFERROR(IF(INDEX(Deals!$AE$2:$AE$355,MATCH($C2,Deals!$A$2:$A$355,0))=0,"",INDEX(Deals!$AE$2:$AE$355,MATCH($C2,Deals!$A$2:$A$355,0))),""))</f>
        <v/>
      </c>
      <c r="AE2" s="22">
        <f>IF($C2="","",IFERROR(IF(INDEX(Deals!$AF$2:$AF$355,MATCH($C2,Deals!$A$2:$A$355,0))=0,"",INDEX(Deals!$AF$2:$AF$355,MATCH($C2,Deals!$A$2:$A$355,0))),""))</f>
        <v/>
      </c>
      <c r="AF2" s="35">
        <f>IF($AD2="",DATE(1900,1,1),$AD2)</f>
        <v/>
      </c>
      <c r="AG2" s="35">
        <f>IF($AE2="",DATE(2100,12,31),$AE2)</f>
        <v/>
      </c>
      <c r="AH2" s="22">
        <f>IF($C2="","",IFERROR(IF(INDEX(Deals!$AG$2:$AG$355,MATCH($C2,Deals!$A$2:$A$355,0))=0,"",INDEX(Deals!$AG$2:$AG$355,MATCH($C2,Deals!$A$2:$A$355,0))),""))</f>
        <v/>
      </c>
      <c r="AI2" s="35">
        <f>IF(OR($AH2&lt;&gt;"",AND($AO2&gt;0,$AD2&lt;&gt;"",$AE2&lt;&gt;"")),$AF2,DATE(1900,1,1))</f>
        <v/>
      </c>
      <c r="AJ2" s="35">
        <f>IF($AH2&lt;&gt;"",$AH2,IF(AND($AO2&gt;0,$AD2&lt;&gt;"",$AE2&lt;&gt;""),$AG2,DATE(2100,12,31)))</f>
        <v/>
      </c>
      <c r="AK2" s="32">
        <f>IF($AH2="",$AC2,$AC2*$S2)</f>
        <v/>
      </c>
      <c r="AL2" s="35">
        <f>IF($AH2="",DATE(2100,12,31),$AH2+1)</f>
        <v/>
      </c>
      <c r="AM2" s="35">
        <f>IF($AH2="",DATE(1900,1,1),$AG2)</f>
        <v/>
      </c>
      <c r="AN2" s="32">
        <f>IF($AH2="",0,$AC2*$T2)</f>
        <v/>
      </c>
      <c r="AO2" s="46">
        <f>IF($C2="",0,IFERROR(INDEX(Deals!$BD$2:$BD$355,MATCH($C2,Deals!$A$2:$A$355,0)),0))</f>
        <v/>
      </c>
      <c r="AP2" s="18">
        <f>IF($AO2=0,0,IFERROR(INDEX(Deals!$BJ$2:$BP$355,MATCH($C2,Deals!$A$2:$A$355,0),MATCH($F2,Deals!$BJ$1:$BP$1,0))/COUNTIFS(Assignments!$C$2:$C$769,$C2,Assignments!$F$2:$F$769,$F2,Assignments!$G$2:$G$769,"Active"),0))</f>
        <v/>
      </c>
    </row>
    <row r="3">
      <c r="A3" s="28" t="inlineStr">
        <is>
          <t>Tania</t>
        </is>
      </c>
      <c r="B3" s="16">
        <f>IF($A3="","",IFERROR(INDEX(Roster!$B$2:$B$40,MATCH($A3,Roster!$A$2:$A$40,0)),"?"))</f>
        <v/>
      </c>
      <c r="C3" s="28" t="inlineStr">
        <is>
          <t>360_2</t>
        </is>
      </c>
      <c r="D3" s="16">
        <f>IF($C3="","",IFERROR(IF(INDEX(Deals!$C$2:$C$355,MATCH($C3,Deals!$A$2:$A$355,0))=0,"",INDEX(Deals!$C$2:$C$355,MATCH($C3,Deals!$A$2:$A$355,0))),"?"))</f>
        <v/>
      </c>
      <c r="E3" s="16">
        <f>IF($C3="","",IFERROR(INDEX(Deals!$F$2:$F$355,MATCH($C3,Deals!$A$2:$A$355,0)),"?"))</f>
        <v/>
      </c>
      <c r="F3" s="28" t="inlineStr">
        <is>
          <t>Partner</t>
        </is>
      </c>
      <c r="G3" s="28" t="inlineStr">
        <is>
          <t>Active</t>
        </is>
      </c>
      <c r="H3" s="31" t="n"/>
      <c r="I3" s="32">
        <f>IF(OR($A3="",$G3&lt;&gt;"Active"),0,IF($H3&lt;&gt;"",$H3,IF($AO3&gt;0,$AP3,IF(AND($R3&lt;&gt;"",IFERROR(INDEX(Templates!$B$3:$H$10,MATCH($R3,Templates!$A$3:$A$10,0),MATCH($F3,Templates!$B$2:$H$2,0)),0)&gt;0),INDEX(Templates!$B$3:$H$10,MATCH($R3,Templates!$A$3:$A$10,0),MATCH($F3,Templates!$B$2:$H$2,0)),IFERROR(INDEX(Settings!$B$8:$B$14,MATCH($F3,Settings!$A$8:$A$14,0)),0)))))</f>
        <v/>
      </c>
      <c r="J3" s="21">
        <f>IF($C3="",0,IFERROR(INDEX(Deals!$H$2:$H$355,MATCH($C3,Deals!$A$2:$A$355,0)),0))</f>
        <v/>
      </c>
      <c r="K3" s="32">
        <f>IF(Settings!$B$4="Yes",$I3*$J3,$I3)</f>
        <v/>
      </c>
      <c r="L3" s="22">
        <f>IF($C3="","",IFERROR(IF(INDEX(Deals!$I$2:$I$355,MATCH($C3,Deals!$A$2:$A$355,0))=0,"",INDEX(Deals!$I$2:$I$355,MATCH($C3,Deals!$A$2:$A$355,0))),""))</f>
        <v/>
      </c>
      <c r="M3" s="22">
        <f>IF($C3="","",IFERROR(IF(INDEX(Deals!$J$2:$J$355,MATCH($C3,Deals!$A$2:$A$355,0))=0,"",INDEX(Deals!$J$2:$J$355,MATCH($C3,Deals!$A$2:$A$355,0))),""))</f>
        <v/>
      </c>
      <c r="N3" s="35">
        <f>IF($L3="",DATE(1900,1,1),$L3)</f>
        <v/>
      </c>
      <c r="O3" s="35">
        <f>IF($M3="",DATE(2100,12,31),$M3)</f>
        <v/>
      </c>
      <c r="P3" s="20" t="inlineStr"/>
      <c r="Q3" s="47" t="inlineStr"/>
      <c r="R3" s="16">
        <f>IF($C3="","",IFERROR(IF(INDEX(Deals!$U$2:$U$355,MATCH($C3,Deals!$A$2:$A$355,0))=0,"",INDEX(Deals!$U$2:$U$355,MATCH($C3,Deals!$A$2:$A$355,0))),""))</f>
        <v/>
      </c>
      <c r="S3" s="34">
        <f>IFERROR(IF($U3="",1,INDEX(Deals!$V$2:$V$355,MATCH($C3,Deals!$A$2:$A$355,0))),1)</f>
        <v/>
      </c>
      <c r="T3" s="34">
        <f>IFERROR(IF($U3="",1,INDEX(Deals!$W$2:$W$355,MATCH($C3,Deals!$A$2:$A$355,0))),1)</f>
        <v/>
      </c>
      <c r="U3" s="22">
        <f>IF($C3="","",IFERROR(IF(INDEX(Deals!$Y$2:$Y$355,MATCH($C3,Deals!$A$2:$A$355,0))=0,"",INDEX(Deals!$Y$2:$Y$355,MATCH($C3,Deals!$A$2:$A$355,0))),""))</f>
        <v/>
      </c>
      <c r="V3" s="35">
        <f>IF(OR($U3&lt;&gt;"",AND($AO3&gt;0,$L3&lt;&gt;"",$M3&lt;&gt;"")),$N3,DATE(1900,1,1))</f>
        <v/>
      </c>
      <c r="W3" s="35">
        <f>IF($U3&lt;&gt;"",$U3,IF(AND($AO3&gt;0,$L3&lt;&gt;"",$M3&lt;&gt;""),$O3,DATE(2100,12,31)))</f>
        <v/>
      </c>
      <c r="X3" s="32">
        <f>IF($U3="",$K3,$K3*$S3)</f>
        <v/>
      </c>
      <c r="Y3" s="35">
        <f>IF($U3="",DATE(2100,12,31),$U3+1)</f>
        <v/>
      </c>
      <c r="Z3" s="35">
        <f>IF($U3="",DATE(1900,1,1),$O3)</f>
        <v/>
      </c>
      <c r="AA3" s="32">
        <f>IF($U3="",0,$K3*$T3)</f>
        <v/>
      </c>
      <c r="AB3" s="21">
        <f>IF($C3="",0,IFERROR(INDEX(Deals!$AD$2:$AD$355,MATCH($C3,Deals!$A$2:$A$355,0)),0))</f>
        <v/>
      </c>
      <c r="AC3" s="32">
        <f>IF(Settings!$B$4="Yes",$I3*$AB3,$I3)</f>
        <v/>
      </c>
      <c r="AD3" s="22">
        <f>IF($C3="","",IFERROR(IF(INDEX(Deals!$AE$2:$AE$355,MATCH($C3,Deals!$A$2:$A$355,0))=0,"",INDEX(Deals!$AE$2:$AE$355,MATCH($C3,Deals!$A$2:$A$355,0))),""))</f>
        <v/>
      </c>
      <c r="AE3" s="22">
        <f>IF($C3="","",IFERROR(IF(INDEX(Deals!$AF$2:$AF$355,MATCH($C3,Deals!$A$2:$A$355,0))=0,"",INDEX(Deals!$AF$2:$AF$355,MATCH($C3,Deals!$A$2:$A$355,0))),""))</f>
        <v/>
      </c>
      <c r="AF3" s="35">
        <f>IF($AD3="",DATE(1900,1,1),$AD3)</f>
        <v/>
      </c>
      <c r="AG3" s="35">
        <f>IF($AE3="",DATE(2100,12,31),$AE3)</f>
        <v/>
      </c>
      <c r="AH3" s="22">
        <f>IF($C3="","",IFERROR(IF(INDEX(Deals!$AG$2:$AG$355,MATCH($C3,Deals!$A$2:$A$355,0))=0,"",INDEX(Deals!$AG$2:$AG$355,MATCH($C3,Deals!$A$2:$A$355,0))),""))</f>
        <v/>
      </c>
      <c r="AI3" s="35">
        <f>IF(OR($AH3&lt;&gt;"",AND($AO3&gt;0,$AD3&lt;&gt;"",$AE3&lt;&gt;"")),$AF3,DATE(1900,1,1))</f>
        <v/>
      </c>
      <c r="AJ3" s="35">
        <f>IF($AH3&lt;&gt;"",$AH3,IF(AND($AO3&gt;0,$AD3&lt;&gt;"",$AE3&lt;&gt;""),$AG3,DATE(2100,12,31)))</f>
        <v/>
      </c>
      <c r="AK3" s="32">
        <f>IF($AH3="",$AC3,$AC3*$S3)</f>
        <v/>
      </c>
      <c r="AL3" s="35">
        <f>IF($AH3="",DATE(2100,12,31),$AH3+1)</f>
        <v/>
      </c>
      <c r="AM3" s="35">
        <f>IF($AH3="",DATE(1900,1,1),$AG3)</f>
        <v/>
      </c>
      <c r="AN3" s="32">
        <f>IF($AH3="",0,$AC3*$T3)</f>
        <v/>
      </c>
      <c r="AO3" s="46">
        <f>IF($C3="",0,IFERROR(INDEX(Deals!$BD$2:$BD$355,MATCH($C3,Deals!$A$2:$A$355,0)),0))</f>
        <v/>
      </c>
      <c r="AP3" s="18">
        <f>IF($AO3=0,0,IFERROR(INDEX(Deals!$BJ$2:$BP$355,MATCH($C3,Deals!$A$2:$A$355,0),MATCH($F3,Deals!$BJ$1:$BP$1,0))/COUNTIFS(Assignments!$C$2:$C$769,$C3,Assignments!$F$2:$F$769,$F3,Assignments!$G$2:$G$769,"Active"),0))</f>
        <v/>
      </c>
    </row>
    <row r="4">
      <c r="A4" s="28" t="inlineStr">
        <is>
          <t>Tania</t>
        </is>
      </c>
      <c r="B4" s="16">
        <f>IF($A4="","",IFERROR(INDEX(Roster!$B$2:$B$40,MATCH($A4,Roster!$A$2:$A$40,0)),"?"))</f>
        <v/>
      </c>
      <c r="C4" s="28" t="inlineStr">
        <is>
          <t>AIM_5</t>
        </is>
      </c>
      <c r="D4" s="16">
        <f>IF($C4="","",IFERROR(IF(INDEX(Deals!$C$2:$C$355,MATCH($C4,Deals!$A$2:$A$355,0))=0,"",INDEX(Deals!$C$2:$C$355,MATCH($C4,Deals!$A$2:$A$355,0))),"?"))</f>
        <v/>
      </c>
      <c r="E4" s="16">
        <f>IF($C4="","",IFERROR(INDEX(Deals!$F$2:$F$355,MATCH($C4,Deals!$A$2:$A$355,0)),"?"))</f>
        <v/>
      </c>
      <c r="F4" s="28" t="inlineStr">
        <is>
          <t>Partner</t>
        </is>
      </c>
      <c r="G4" s="28" t="inlineStr">
        <is>
          <t>Active</t>
        </is>
      </c>
      <c r="H4" s="31" t="n"/>
      <c r="I4" s="32">
        <f>IF(OR($A4="",$G4&lt;&gt;"Active"),0,IF($H4&lt;&gt;"",$H4,IF($AO4&gt;0,$AP4,IF(AND($R4&lt;&gt;"",IFERROR(INDEX(Templates!$B$3:$H$10,MATCH($R4,Templates!$A$3:$A$10,0),MATCH($F4,Templates!$B$2:$H$2,0)),0)&gt;0),INDEX(Templates!$B$3:$H$10,MATCH($R4,Templates!$A$3:$A$10,0),MATCH($F4,Templates!$B$2:$H$2,0)),IFERROR(INDEX(Settings!$B$8:$B$14,MATCH($F4,Settings!$A$8:$A$14,0)),0)))))</f>
        <v/>
      </c>
      <c r="J4" s="21">
        <f>IF($C4="",0,IFERROR(INDEX(Deals!$H$2:$H$355,MATCH($C4,Deals!$A$2:$A$355,0)),0))</f>
        <v/>
      </c>
      <c r="K4" s="32">
        <f>IF(Settings!$B$4="Yes",$I4*$J4,$I4)</f>
        <v/>
      </c>
      <c r="L4" s="22">
        <f>IF($C4="","",IFERROR(IF(INDEX(Deals!$I$2:$I$355,MATCH($C4,Deals!$A$2:$A$355,0))=0,"",INDEX(Deals!$I$2:$I$355,MATCH($C4,Deals!$A$2:$A$355,0))),""))</f>
        <v/>
      </c>
      <c r="M4" s="22">
        <f>IF($C4="","",IFERROR(IF(INDEX(Deals!$J$2:$J$355,MATCH($C4,Deals!$A$2:$A$355,0))=0,"",INDEX(Deals!$J$2:$J$355,MATCH($C4,Deals!$A$2:$A$355,0))),""))</f>
        <v/>
      </c>
      <c r="N4" s="35">
        <f>IF($L4="",DATE(1900,1,1),$L4)</f>
        <v/>
      </c>
      <c r="O4" s="35">
        <f>IF($M4="",DATE(2100,12,31),$M4)</f>
        <v/>
      </c>
      <c r="P4" s="20" t="inlineStr"/>
      <c r="Q4" s="47" t="inlineStr"/>
      <c r="R4" s="16">
        <f>IF($C4="","",IFERROR(IF(INDEX(Deals!$U$2:$U$355,MATCH($C4,Deals!$A$2:$A$355,0))=0,"",INDEX(Deals!$U$2:$U$355,MATCH($C4,Deals!$A$2:$A$355,0))),""))</f>
        <v/>
      </c>
      <c r="S4" s="34">
        <f>IFERROR(IF($U4="",1,INDEX(Deals!$V$2:$V$355,MATCH($C4,Deals!$A$2:$A$355,0))),1)</f>
        <v/>
      </c>
      <c r="T4" s="34">
        <f>IFERROR(IF($U4="",1,INDEX(Deals!$W$2:$W$355,MATCH($C4,Deals!$A$2:$A$355,0))),1)</f>
        <v/>
      </c>
      <c r="U4" s="22">
        <f>IF($C4="","",IFERROR(IF(INDEX(Deals!$Y$2:$Y$355,MATCH($C4,Deals!$A$2:$A$355,0))=0,"",INDEX(Deals!$Y$2:$Y$355,MATCH($C4,Deals!$A$2:$A$355,0))),""))</f>
        <v/>
      </c>
      <c r="V4" s="35">
        <f>IF(OR($U4&lt;&gt;"",AND($AO4&gt;0,$L4&lt;&gt;"",$M4&lt;&gt;"")),$N4,DATE(1900,1,1))</f>
        <v/>
      </c>
      <c r="W4" s="35">
        <f>IF($U4&lt;&gt;"",$U4,IF(AND($AO4&gt;0,$L4&lt;&gt;"",$M4&lt;&gt;""),$O4,DATE(2100,12,31)))</f>
        <v/>
      </c>
      <c r="X4" s="32">
        <f>IF($U4="",$K4,$K4*$S4)</f>
        <v/>
      </c>
      <c r="Y4" s="35">
        <f>IF($U4="",DATE(2100,12,31),$U4+1)</f>
        <v/>
      </c>
      <c r="Z4" s="35">
        <f>IF($U4="",DATE(1900,1,1),$O4)</f>
        <v/>
      </c>
      <c r="AA4" s="32">
        <f>IF($U4="",0,$K4*$T4)</f>
        <v/>
      </c>
      <c r="AB4" s="21">
        <f>IF($C4="",0,IFERROR(INDEX(Deals!$AD$2:$AD$355,MATCH($C4,Deals!$A$2:$A$355,0)),0))</f>
        <v/>
      </c>
      <c r="AC4" s="32">
        <f>IF(Settings!$B$4="Yes",$I4*$AB4,$I4)</f>
        <v/>
      </c>
      <c r="AD4" s="22">
        <f>IF($C4="","",IFERROR(IF(INDEX(Deals!$AE$2:$AE$355,MATCH($C4,Deals!$A$2:$A$355,0))=0,"",INDEX(Deals!$AE$2:$AE$355,MATCH($C4,Deals!$A$2:$A$355,0))),""))</f>
        <v/>
      </c>
      <c r="AE4" s="22">
        <f>IF($C4="","",IFERROR(IF(INDEX(Deals!$AF$2:$AF$355,MATCH($C4,Deals!$A$2:$A$355,0))=0,"",INDEX(Deals!$AF$2:$AF$355,MATCH($C4,Deals!$A$2:$A$355,0))),""))</f>
        <v/>
      </c>
      <c r="AF4" s="35">
        <f>IF($AD4="",DATE(1900,1,1),$AD4)</f>
        <v/>
      </c>
      <c r="AG4" s="35">
        <f>IF($AE4="",DATE(2100,12,31),$AE4)</f>
        <v/>
      </c>
      <c r="AH4" s="22">
        <f>IF($C4="","",IFERROR(IF(INDEX(Deals!$AG$2:$AG$355,MATCH($C4,Deals!$A$2:$A$355,0))=0,"",INDEX(Deals!$AG$2:$AG$355,MATCH($C4,Deals!$A$2:$A$355,0))),""))</f>
        <v/>
      </c>
      <c r="AI4" s="35">
        <f>IF(OR($AH4&lt;&gt;"",AND($AO4&gt;0,$AD4&lt;&gt;"",$AE4&lt;&gt;"")),$AF4,DATE(1900,1,1))</f>
        <v/>
      </c>
      <c r="AJ4" s="35">
        <f>IF($AH4&lt;&gt;"",$AH4,IF(AND($AO4&gt;0,$AD4&lt;&gt;"",$AE4&lt;&gt;""),$AG4,DATE(2100,12,31)))</f>
        <v/>
      </c>
      <c r="AK4" s="32">
        <f>IF($AH4="",$AC4,$AC4*$S4)</f>
        <v/>
      </c>
      <c r="AL4" s="35">
        <f>IF($AH4="",DATE(2100,12,31),$AH4+1)</f>
        <v/>
      </c>
      <c r="AM4" s="35">
        <f>IF($AH4="",DATE(1900,1,1),$AG4)</f>
        <v/>
      </c>
      <c r="AN4" s="32">
        <f>IF($AH4="",0,$AC4*$T4)</f>
        <v/>
      </c>
      <c r="AO4" s="46">
        <f>IF($C4="",0,IFERROR(INDEX(Deals!$BD$2:$BD$355,MATCH($C4,Deals!$A$2:$A$355,0)),0))</f>
        <v/>
      </c>
      <c r="AP4" s="18">
        <f>IF($AO4=0,0,IFERROR(INDEX(Deals!$BJ$2:$BP$355,MATCH($C4,Deals!$A$2:$A$355,0),MATCH($F4,Deals!$BJ$1:$BP$1,0))/COUNTIFS(Assignments!$C$2:$C$769,$C4,Assignments!$F$2:$F$769,$F4,Assignments!$G$2:$G$769,"Active"),0))</f>
        <v/>
      </c>
    </row>
    <row r="5">
      <c r="A5" s="28" t="inlineStr">
        <is>
          <t>Tania</t>
        </is>
      </c>
      <c r="B5" s="16">
        <f>IF($A5="","",IFERROR(INDEX(Roster!$B$2:$B$40,MATCH($A5,Roster!$A$2:$A$40,0)),"?"))</f>
        <v/>
      </c>
      <c r="C5" s="28" t="inlineStr">
        <is>
          <t>Atlas_4</t>
        </is>
      </c>
      <c r="D5" s="16">
        <f>IF($C5="","",IFERROR(IF(INDEX(Deals!$C$2:$C$355,MATCH($C5,Deals!$A$2:$A$355,0))=0,"",INDEX(Deals!$C$2:$C$355,MATCH($C5,Deals!$A$2:$A$355,0))),"?"))</f>
        <v/>
      </c>
      <c r="E5" s="16">
        <f>IF($C5="","",IFERROR(INDEX(Deals!$F$2:$F$355,MATCH($C5,Deals!$A$2:$A$355,0)),"?"))</f>
        <v/>
      </c>
      <c r="F5" s="28" t="inlineStr">
        <is>
          <t>Partner</t>
        </is>
      </c>
      <c r="G5" s="28" t="inlineStr">
        <is>
          <t>Active</t>
        </is>
      </c>
      <c r="H5" s="31" t="n"/>
      <c r="I5" s="32">
        <f>IF(OR($A5="",$G5&lt;&gt;"Active"),0,IF($H5&lt;&gt;"",$H5,IF($AO5&gt;0,$AP5,IF(AND($R5&lt;&gt;"",IFERROR(INDEX(Templates!$B$3:$H$10,MATCH($R5,Templates!$A$3:$A$10,0),MATCH($F5,Templates!$B$2:$H$2,0)),0)&gt;0),INDEX(Templates!$B$3:$H$10,MATCH($R5,Templates!$A$3:$A$10,0),MATCH($F5,Templates!$B$2:$H$2,0)),IFERROR(INDEX(Settings!$B$8:$B$14,MATCH($F5,Settings!$A$8:$A$14,0)),0)))))</f>
        <v/>
      </c>
      <c r="J5" s="21">
        <f>IF($C5="",0,IFERROR(INDEX(Deals!$H$2:$H$355,MATCH($C5,Deals!$A$2:$A$355,0)),0))</f>
        <v/>
      </c>
      <c r="K5" s="32">
        <f>IF(Settings!$B$4="Yes",$I5*$J5,$I5)</f>
        <v/>
      </c>
      <c r="L5" s="22">
        <f>IF($C5="","",IFERROR(IF(INDEX(Deals!$I$2:$I$355,MATCH($C5,Deals!$A$2:$A$355,0))=0,"",INDEX(Deals!$I$2:$I$355,MATCH($C5,Deals!$A$2:$A$355,0))),""))</f>
        <v/>
      </c>
      <c r="M5" s="22">
        <f>IF($C5="","",IFERROR(IF(INDEX(Deals!$J$2:$J$355,MATCH($C5,Deals!$A$2:$A$355,0))=0,"",INDEX(Deals!$J$2:$J$355,MATCH($C5,Deals!$A$2:$A$355,0))),""))</f>
        <v/>
      </c>
      <c r="N5" s="35">
        <f>IF($L5="",DATE(1900,1,1),$L5)</f>
        <v/>
      </c>
      <c r="O5" s="35">
        <f>IF($M5="",DATE(2100,12,31),$M5)</f>
        <v/>
      </c>
      <c r="P5" s="20" t="inlineStr"/>
      <c r="Q5" s="47" t="inlineStr"/>
      <c r="R5" s="16">
        <f>IF($C5="","",IFERROR(IF(INDEX(Deals!$U$2:$U$355,MATCH($C5,Deals!$A$2:$A$355,0))=0,"",INDEX(Deals!$U$2:$U$355,MATCH($C5,Deals!$A$2:$A$355,0))),""))</f>
        <v/>
      </c>
      <c r="S5" s="34">
        <f>IFERROR(IF($U5="",1,INDEX(Deals!$V$2:$V$355,MATCH($C5,Deals!$A$2:$A$355,0))),1)</f>
        <v/>
      </c>
      <c r="T5" s="34">
        <f>IFERROR(IF($U5="",1,INDEX(Deals!$W$2:$W$355,MATCH($C5,Deals!$A$2:$A$355,0))),1)</f>
        <v/>
      </c>
      <c r="U5" s="22">
        <f>IF($C5="","",IFERROR(IF(INDEX(Deals!$Y$2:$Y$355,MATCH($C5,Deals!$A$2:$A$355,0))=0,"",INDEX(Deals!$Y$2:$Y$355,MATCH($C5,Deals!$A$2:$A$355,0))),""))</f>
        <v/>
      </c>
      <c r="V5" s="35">
        <f>IF(OR($U5&lt;&gt;"",AND($AO5&gt;0,$L5&lt;&gt;"",$M5&lt;&gt;"")),$N5,DATE(1900,1,1))</f>
        <v/>
      </c>
      <c r="W5" s="35">
        <f>IF($U5&lt;&gt;"",$U5,IF(AND($AO5&gt;0,$L5&lt;&gt;"",$M5&lt;&gt;""),$O5,DATE(2100,12,31)))</f>
        <v/>
      </c>
      <c r="X5" s="32">
        <f>IF($U5="",$K5,$K5*$S5)</f>
        <v/>
      </c>
      <c r="Y5" s="35">
        <f>IF($U5="",DATE(2100,12,31),$U5+1)</f>
        <v/>
      </c>
      <c r="Z5" s="35">
        <f>IF($U5="",DATE(1900,1,1),$O5)</f>
        <v/>
      </c>
      <c r="AA5" s="32">
        <f>IF($U5="",0,$K5*$T5)</f>
        <v/>
      </c>
      <c r="AB5" s="21">
        <f>IF($C5="",0,IFERROR(INDEX(Deals!$AD$2:$AD$355,MATCH($C5,Deals!$A$2:$A$355,0)),0))</f>
        <v/>
      </c>
      <c r="AC5" s="32">
        <f>IF(Settings!$B$4="Yes",$I5*$AB5,$I5)</f>
        <v/>
      </c>
      <c r="AD5" s="22">
        <f>IF($C5="","",IFERROR(IF(INDEX(Deals!$AE$2:$AE$355,MATCH($C5,Deals!$A$2:$A$355,0))=0,"",INDEX(Deals!$AE$2:$AE$355,MATCH($C5,Deals!$A$2:$A$355,0))),""))</f>
        <v/>
      </c>
      <c r="AE5" s="22">
        <f>IF($C5="","",IFERROR(IF(INDEX(Deals!$AF$2:$AF$355,MATCH($C5,Deals!$A$2:$A$355,0))=0,"",INDEX(Deals!$AF$2:$AF$355,MATCH($C5,Deals!$A$2:$A$355,0))),""))</f>
        <v/>
      </c>
      <c r="AF5" s="35">
        <f>IF($AD5="",DATE(1900,1,1),$AD5)</f>
        <v/>
      </c>
      <c r="AG5" s="35">
        <f>IF($AE5="",DATE(2100,12,31),$AE5)</f>
        <v/>
      </c>
      <c r="AH5" s="22">
        <f>IF($C5="","",IFERROR(IF(INDEX(Deals!$AG$2:$AG$355,MATCH($C5,Deals!$A$2:$A$355,0))=0,"",INDEX(Deals!$AG$2:$AG$355,MATCH($C5,Deals!$A$2:$A$355,0))),""))</f>
        <v/>
      </c>
      <c r="AI5" s="35">
        <f>IF(OR($AH5&lt;&gt;"",AND($AO5&gt;0,$AD5&lt;&gt;"",$AE5&lt;&gt;"")),$AF5,DATE(1900,1,1))</f>
        <v/>
      </c>
      <c r="AJ5" s="35">
        <f>IF($AH5&lt;&gt;"",$AH5,IF(AND($AO5&gt;0,$AD5&lt;&gt;"",$AE5&lt;&gt;""),$AG5,DATE(2100,12,31)))</f>
        <v/>
      </c>
      <c r="AK5" s="32">
        <f>IF($AH5="",$AC5,$AC5*$S5)</f>
        <v/>
      </c>
      <c r="AL5" s="35">
        <f>IF($AH5="",DATE(2100,12,31),$AH5+1)</f>
        <v/>
      </c>
      <c r="AM5" s="35">
        <f>IF($AH5="",DATE(1900,1,1),$AG5)</f>
        <v/>
      </c>
      <c r="AN5" s="32">
        <f>IF($AH5="",0,$AC5*$T5)</f>
        <v/>
      </c>
      <c r="AO5" s="46">
        <f>IF($C5="",0,IFERROR(INDEX(Deals!$BD$2:$BD$355,MATCH($C5,Deals!$A$2:$A$355,0)),0))</f>
        <v/>
      </c>
      <c r="AP5" s="18">
        <f>IF($AO5=0,0,IFERROR(INDEX(Deals!$BJ$2:$BP$355,MATCH($C5,Deals!$A$2:$A$355,0),MATCH($F5,Deals!$BJ$1:$BP$1,0))/COUNTIFS(Assignments!$C$2:$C$769,$C5,Assignments!$F$2:$F$769,$F5,Assignments!$G$2:$G$769,"Active"),0))</f>
        <v/>
      </c>
    </row>
    <row r="6">
      <c r="A6" s="28" t="inlineStr">
        <is>
          <t>Tania</t>
        </is>
      </c>
      <c r="B6" s="16">
        <f>IF($A6="","",IFERROR(INDEX(Roster!$B$2:$B$40,MATCH($A6,Roster!$A$2:$A$40,0)),"?"))</f>
        <v/>
      </c>
      <c r="C6" s="28" t="inlineStr">
        <is>
          <t>Avengers</t>
        </is>
      </c>
      <c r="D6" s="16">
        <f>IF($C6="","",IFERROR(IF(INDEX(Deals!$C$2:$C$355,MATCH($C6,Deals!$A$2:$A$355,0))=0,"",INDEX(Deals!$C$2:$C$355,MATCH($C6,Deals!$A$2:$A$355,0))),"?"))</f>
        <v/>
      </c>
      <c r="E6" s="16">
        <f>IF($C6="","",IFERROR(INDEX(Deals!$F$2:$F$355,MATCH($C6,Deals!$A$2:$A$355,0)),"?"))</f>
        <v/>
      </c>
      <c r="F6" s="28" t="inlineStr">
        <is>
          <t>Partner</t>
        </is>
      </c>
      <c r="G6" s="28" t="inlineStr">
        <is>
          <t>Active</t>
        </is>
      </c>
      <c r="H6" s="31" t="n"/>
      <c r="I6" s="32">
        <f>IF(OR($A6="",$G6&lt;&gt;"Active"),0,IF($H6&lt;&gt;"",$H6,IF($AO6&gt;0,$AP6,IF(AND($R6&lt;&gt;"",IFERROR(INDEX(Templates!$B$3:$H$10,MATCH($R6,Templates!$A$3:$A$10,0),MATCH($F6,Templates!$B$2:$H$2,0)),0)&gt;0),INDEX(Templates!$B$3:$H$10,MATCH($R6,Templates!$A$3:$A$10,0),MATCH($F6,Templates!$B$2:$H$2,0)),IFERROR(INDEX(Settings!$B$8:$B$14,MATCH($F6,Settings!$A$8:$A$14,0)),0)))))</f>
        <v/>
      </c>
      <c r="J6" s="21">
        <f>IF($C6="",0,IFERROR(INDEX(Deals!$H$2:$H$355,MATCH($C6,Deals!$A$2:$A$355,0)),0))</f>
        <v/>
      </c>
      <c r="K6" s="32">
        <f>IF(Settings!$B$4="Yes",$I6*$J6,$I6)</f>
        <v/>
      </c>
      <c r="L6" s="22">
        <f>IF($C6="","",IFERROR(IF(INDEX(Deals!$I$2:$I$355,MATCH($C6,Deals!$A$2:$A$355,0))=0,"",INDEX(Deals!$I$2:$I$355,MATCH($C6,Deals!$A$2:$A$355,0))),""))</f>
        <v/>
      </c>
      <c r="M6" s="22">
        <f>IF($C6="","",IFERROR(IF(INDEX(Deals!$J$2:$J$355,MATCH($C6,Deals!$A$2:$A$355,0))=0,"",INDEX(Deals!$J$2:$J$355,MATCH($C6,Deals!$A$2:$A$355,0))),""))</f>
        <v/>
      </c>
      <c r="N6" s="35">
        <f>IF($L6="",DATE(1900,1,1),$L6)</f>
        <v/>
      </c>
      <c r="O6" s="35">
        <f>IF($M6="",DATE(2100,12,31),$M6)</f>
        <v/>
      </c>
      <c r="P6" s="20" t="inlineStr"/>
      <c r="Q6" s="47" t="inlineStr"/>
      <c r="R6" s="16">
        <f>IF($C6="","",IFERROR(IF(INDEX(Deals!$U$2:$U$355,MATCH($C6,Deals!$A$2:$A$355,0))=0,"",INDEX(Deals!$U$2:$U$355,MATCH($C6,Deals!$A$2:$A$355,0))),""))</f>
        <v/>
      </c>
      <c r="S6" s="34">
        <f>IFERROR(IF($U6="",1,INDEX(Deals!$V$2:$V$355,MATCH($C6,Deals!$A$2:$A$355,0))),1)</f>
        <v/>
      </c>
      <c r="T6" s="34">
        <f>IFERROR(IF($U6="",1,INDEX(Deals!$W$2:$W$355,MATCH($C6,Deals!$A$2:$A$355,0))),1)</f>
        <v/>
      </c>
      <c r="U6" s="22">
        <f>IF($C6="","",IFERROR(IF(INDEX(Deals!$Y$2:$Y$355,MATCH($C6,Deals!$A$2:$A$355,0))=0,"",INDEX(Deals!$Y$2:$Y$355,MATCH($C6,Deals!$A$2:$A$355,0))),""))</f>
        <v/>
      </c>
      <c r="V6" s="35">
        <f>IF(OR($U6&lt;&gt;"",AND($AO6&gt;0,$L6&lt;&gt;"",$M6&lt;&gt;"")),$N6,DATE(1900,1,1))</f>
        <v/>
      </c>
      <c r="W6" s="35">
        <f>IF($U6&lt;&gt;"",$U6,IF(AND($AO6&gt;0,$L6&lt;&gt;"",$M6&lt;&gt;""),$O6,DATE(2100,12,31)))</f>
        <v/>
      </c>
      <c r="X6" s="32">
        <f>IF($U6="",$K6,$K6*$S6)</f>
        <v/>
      </c>
      <c r="Y6" s="35">
        <f>IF($U6="",DATE(2100,12,31),$U6+1)</f>
        <v/>
      </c>
      <c r="Z6" s="35">
        <f>IF($U6="",DATE(1900,1,1),$O6)</f>
        <v/>
      </c>
      <c r="AA6" s="32">
        <f>IF($U6="",0,$K6*$T6)</f>
        <v/>
      </c>
      <c r="AB6" s="21">
        <f>IF($C6="",0,IFERROR(INDEX(Deals!$AD$2:$AD$355,MATCH($C6,Deals!$A$2:$A$355,0)),0))</f>
        <v/>
      </c>
      <c r="AC6" s="32">
        <f>IF(Settings!$B$4="Yes",$I6*$AB6,$I6)</f>
        <v/>
      </c>
      <c r="AD6" s="22">
        <f>IF($C6="","",IFERROR(IF(INDEX(Deals!$AE$2:$AE$355,MATCH($C6,Deals!$A$2:$A$355,0))=0,"",INDEX(Deals!$AE$2:$AE$355,MATCH($C6,Deals!$A$2:$A$355,0))),""))</f>
        <v/>
      </c>
      <c r="AE6" s="22">
        <f>IF($C6="","",IFERROR(IF(INDEX(Deals!$AF$2:$AF$355,MATCH($C6,Deals!$A$2:$A$355,0))=0,"",INDEX(Deals!$AF$2:$AF$355,MATCH($C6,Deals!$A$2:$A$355,0))),""))</f>
        <v/>
      </c>
      <c r="AF6" s="35">
        <f>IF($AD6="",DATE(1900,1,1),$AD6)</f>
        <v/>
      </c>
      <c r="AG6" s="35">
        <f>IF($AE6="",DATE(2100,12,31),$AE6)</f>
        <v/>
      </c>
      <c r="AH6" s="22">
        <f>IF($C6="","",IFERROR(IF(INDEX(Deals!$AG$2:$AG$355,MATCH($C6,Deals!$A$2:$A$355,0))=0,"",INDEX(Deals!$AG$2:$AG$355,MATCH($C6,Deals!$A$2:$A$355,0))),""))</f>
        <v/>
      </c>
      <c r="AI6" s="35">
        <f>IF(OR($AH6&lt;&gt;"",AND($AO6&gt;0,$AD6&lt;&gt;"",$AE6&lt;&gt;"")),$AF6,DATE(1900,1,1))</f>
        <v/>
      </c>
      <c r="AJ6" s="35">
        <f>IF($AH6&lt;&gt;"",$AH6,IF(AND($AO6&gt;0,$AD6&lt;&gt;"",$AE6&lt;&gt;""),$AG6,DATE(2100,12,31)))</f>
        <v/>
      </c>
      <c r="AK6" s="32">
        <f>IF($AH6="",$AC6,$AC6*$S6)</f>
        <v/>
      </c>
      <c r="AL6" s="35">
        <f>IF($AH6="",DATE(2100,12,31),$AH6+1)</f>
        <v/>
      </c>
      <c r="AM6" s="35">
        <f>IF($AH6="",DATE(1900,1,1),$AG6)</f>
        <v/>
      </c>
      <c r="AN6" s="32">
        <f>IF($AH6="",0,$AC6*$T6)</f>
        <v/>
      </c>
      <c r="AO6" s="46">
        <f>IF($C6="",0,IFERROR(INDEX(Deals!$BD$2:$BD$355,MATCH($C6,Deals!$A$2:$A$355,0)),0))</f>
        <v/>
      </c>
      <c r="AP6" s="18">
        <f>IF($AO6=0,0,IFERROR(INDEX(Deals!$BJ$2:$BP$355,MATCH($C6,Deals!$A$2:$A$355,0),MATCH($F6,Deals!$BJ$1:$BP$1,0))/COUNTIFS(Assignments!$C$2:$C$769,$C6,Assignments!$F$2:$F$769,$F6,Assignments!$G$2:$G$769,"Active"),0))</f>
        <v/>
      </c>
    </row>
    <row r="7">
      <c r="A7" s="28" t="inlineStr">
        <is>
          <t>Tania</t>
        </is>
      </c>
      <c r="B7" s="16">
        <f>IF($A7="","",IFERROR(INDEX(Roster!$B$2:$B$40,MATCH($A7,Roster!$A$2:$A$40,0)),"?"))</f>
        <v/>
      </c>
      <c r="C7" s="28" t="inlineStr">
        <is>
          <t>Battery_2</t>
        </is>
      </c>
      <c r="D7" s="16">
        <f>IF($C7="","",IFERROR(IF(INDEX(Deals!$C$2:$C$355,MATCH($C7,Deals!$A$2:$A$355,0))=0,"",INDEX(Deals!$C$2:$C$355,MATCH($C7,Deals!$A$2:$A$355,0))),"?"))</f>
        <v/>
      </c>
      <c r="E7" s="16">
        <f>IF($C7="","",IFERROR(INDEX(Deals!$F$2:$F$355,MATCH($C7,Deals!$A$2:$A$355,0)),"?"))</f>
        <v/>
      </c>
      <c r="F7" s="28" t="inlineStr">
        <is>
          <t>Partner</t>
        </is>
      </c>
      <c r="G7" s="28" t="inlineStr">
        <is>
          <t>Active</t>
        </is>
      </c>
      <c r="H7" s="31" t="n"/>
      <c r="I7" s="32">
        <f>IF(OR($A7="",$G7&lt;&gt;"Active"),0,IF($H7&lt;&gt;"",$H7,IF($AO7&gt;0,$AP7,IF(AND($R7&lt;&gt;"",IFERROR(INDEX(Templates!$B$3:$H$10,MATCH($R7,Templates!$A$3:$A$10,0),MATCH($F7,Templates!$B$2:$H$2,0)),0)&gt;0),INDEX(Templates!$B$3:$H$10,MATCH($R7,Templates!$A$3:$A$10,0),MATCH($F7,Templates!$B$2:$H$2,0)),IFERROR(INDEX(Settings!$B$8:$B$14,MATCH($F7,Settings!$A$8:$A$14,0)),0)))))</f>
        <v/>
      </c>
      <c r="J7" s="21">
        <f>IF($C7="",0,IFERROR(INDEX(Deals!$H$2:$H$355,MATCH($C7,Deals!$A$2:$A$355,0)),0))</f>
        <v/>
      </c>
      <c r="K7" s="32">
        <f>IF(Settings!$B$4="Yes",$I7*$J7,$I7)</f>
        <v/>
      </c>
      <c r="L7" s="22">
        <f>IF($C7="","",IFERROR(IF(INDEX(Deals!$I$2:$I$355,MATCH($C7,Deals!$A$2:$A$355,0))=0,"",INDEX(Deals!$I$2:$I$355,MATCH($C7,Deals!$A$2:$A$355,0))),""))</f>
        <v/>
      </c>
      <c r="M7" s="22">
        <f>IF($C7="","",IFERROR(IF(INDEX(Deals!$J$2:$J$355,MATCH($C7,Deals!$A$2:$A$355,0))=0,"",INDEX(Deals!$J$2:$J$355,MATCH($C7,Deals!$A$2:$A$355,0))),""))</f>
        <v/>
      </c>
      <c r="N7" s="35">
        <f>IF($L7="",DATE(1900,1,1),$L7)</f>
        <v/>
      </c>
      <c r="O7" s="35">
        <f>IF($M7="",DATE(2100,12,31),$M7)</f>
        <v/>
      </c>
      <c r="P7" s="20" t="inlineStr"/>
      <c r="Q7" s="47" t="inlineStr"/>
      <c r="R7" s="16">
        <f>IF($C7="","",IFERROR(IF(INDEX(Deals!$U$2:$U$355,MATCH($C7,Deals!$A$2:$A$355,0))=0,"",INDEX(Deals!$U$2:$U$355,MATCH($C7,Deals!$A$2:$A$355,0))),""))</f>
        <v/>
      </c>
      <c r="S7" s="34">
        <f>IFERROR(IF($U7="",1,INDEX(Deals!$V$2:$V$355,MATCH($C7,Deals!$A$2:$A$355,0))),1)</f>
        <v/>
      </c>
      <c r="T7" s="34">
        <f>IFERROR(IF($U7="",1,INDEX(Deals!$W$2:$W$355,MATCH($C7,Deals!$A$2:$A$355,0))),1)</f>
        <v/>
      </c>
      <c r="U7" s="22">
        <f>IF($C7="","",IFERROR(IF(INDEX(Deals!$Y$2:$Y$355,MATCH($C7,Deals!$A$2:$A$355,0))=0,"",INDEX(Deals!$Y$2:$Y$355,MATCH($C7,Deals!$A$2:$A$355,0))),""))</f>
        <v/>
      </c>
      <c r="V7" s="35">
        <f>IF(OR($U7&lt;&gt;"",AND($AO7&gt;0,$L7&lt;&gt;"",$M7&lt;&gt;"")),$N7,DATE(1900,1,1))</f>
        <v/>
      </c>
      <c r="W7" s="35">
        <f>IF($U7&lt;&gt;"",$U7,IF(AND($AO7&gt;0,$L7&lt;&gt;"",$M7&lt;&gt;""),$O7,DATE(2100,12,31)))</f>
        <v/>
      </c>
      <c r="X7" s="32">
        <f>IF($U7="",$K7,$K7*$S7)</f>
        <v/>
      </c>
      <c r="Y7" s="35">
        <f>IF($U7="",DATE(2100,12,31),$U7+1)</f>
        <v/>
      </c>
      <c r="Z7" s="35">
        <f>IF($U7="",DATE(1900,1,1),$O7)</f>
        <v/>
      </c>
      <c r="AA7" s="32">
        <f>IF($U7="",0,$K7*$T7)</f>
        <v/>
      </c>
      <c r="AB7" s="21">
        <f>IF($C7="",0,IFERROR(INDEX(Deals!$AD$2:$AD$355,MATCH($C7,Deals!$A$2:$A$355,0)),0))</f>
        <v/>
      </c>
      <c r="AC7" s="32">
        <f>IF(Settings!$B$4="Yes",$I7*$AB7,$I7)</f>
        <v/>
      </c>
      <c r="AD7" s="22">
        <f>IF($C7="","",IFERROR(IF(INDEX(Deals!$AE$2:$AE$355,MATCH($C7,Deals!$A$2:$A$355,0))=0,"",INDEX(Deals!$AE$2:$AE$355,MATCH($C7,Deals!$A$2:$A$355,0))),""))</f>
        <v/>
      </c>
      <c r="AE7" s="22">
        <f>IF($C7="","",IFERROR(IF(INDEX(Deals!$AF$2:$AF$355,MATCH($C7,Deals!$A$2:$A$355,0))=0,"",INDEX(Deals!$AF$2:$AF$355,MATCH($C7,Deals!$A$2:$A$355,0))),""))</f>
        <v/>
      </c>
      <c r="AF7" s="35">
        <f>IF($AD7="",DATE(1900,1,1),$AD7)</f>
        <v/>
      </c>
      <c r="AG7" s="35">
        <f>IF($AE7="",DATE(2100,12,31),$AE7)</f>
        <v/>
      </c>
      <c r="AH7" s="22">
        <f>IF($C7="","",IFERROR(IF(INDEX(Deals!$AG$2:$AG$355,MATCH($C7,Deals!$A$2:$A$355,0))=0,"",INDEX(Deals!$AG$2:$AG$355,MATCH($C7,Deals!$A$2:$A$355,0))),""))</f>
        <v/>
      </c>
      <c r="AI7" s="35">
        <f>IF(OR($AH7&lt;&gt;"",AND($AO7&gt;0,$AD7&lt;&gt;"",$AE7&lt;&gt;"")),$AF7,DATE(1900,1,1))</f>
        <v/>
      </c>
      <c r="AJ7" s="35">
        <f>IF($AH7&lt;&gt;"",$AH7,IF(AND($AO7&gt;0,$AD7&lt;&gt;"",$AE7&lt;&gt;""),$AG7,DATE(2100,12,31)))</f>
        <v/>
      </c>
      <c r="AK7" s="32">
        <f>IF($AH7="",$AC7,$AC7*$S7)</f>
        <v/>
      </c>
      <c r="AL7" s="35">
        <f>IF($AH7="",DATE(2100,12,31),$AH7+1)</f>
        <v/>
      </c>
      <c r="AM7" s="35">
        <f>IF($AH7="",DATE(1900,1,1),$AG7)</f>
        <v/>
      </c>
      <c r="AN7" s="32">
        <f>IF($AH7="",0,$AC7*$T7)</f>
        <v/>
      </c>
      <c r="AO7" s="46">
        <f>IF($C7="",0,IFERROR(INDEX(Deals!$BD$2:$BD$355,MATCH($C7,Deals!$A$2:$A$355,0)),0))</f>
        <v/>
      </c>
      <c r="AP7" s="18">
        <f>IF($AO7=0,0,IFERROR(INDEX(Deals!$BJ$2:$BP$355,MATCH($C7,Deals!$A$2:$A$355,0),MATCH($F7,Deals!$BJ$1:$BP$1,0))/COUNTIFS(Assignments!$C$2:$C$769,$C7,Assignments!$F$2:$F$769,$F7,Assignments!$G$2:$G$769,"Active"),0))</f>
        <v/>
      </c>
    </row>
    <row r="8">
      <c r="A8" s="28" t="inlineStr">
        <is>
          <t>Tania</t>
        </is>
      </c>
      <c r="B8" s="16">
        <f>IF($A8="","",IFERROR(INDEX(Roster!$B$2:$B$40,MATCH($A8,Roster!$A$2:$A$40,0)),"?"))</f>
        <v/>
      </c>
      <c r="C8" s="28" t="inlineStr">
        <is>
          <t>Bay_2</t>
        </is>
      </c>
      <c r="D8" s="16">
        <f>IF($C8="","",IFERROR(IF(INDEX(Deals!$C$2:$C$355,MATCH($C8,Deals!$A$2:$A$355,0))=0,"",INDEX(Deals!$C$2:$C$355,MATCH($C8,Deals!$A$2:$A$355,0))),"?"))</f>
        <v/>
      </c>
      <c r="E8" s="16">
        <f>IF($C8="","",IFERROR(INDEX(Deals!$F$2:$F$355,MATCH($C8,Deals!$A$2:$A$355,0)),"?"))</f>
        <v/>
      </c>
      <c r="F8" s="28" t="inlineStr">
        <is>
          <t>Partner</t>
        </is>
      </c>
      <c r="G8" s="28" t="inlineStr">
        <is>
          <t>Active</t>
        </is>
      </c>
      <c r="H8" s="31" t="n"/>
      <c r="I8" s="32">
        <f>IF(OR($A8="",$G8&lt;&gt;"Active"),0,IF($H8&lt;&gt;"",$H8,IF($AO8&gt;0,$AP8,IF(AND($R8&lt;&gt;"",IFERROR(INDEX(Templates!$B$3:$H$10,MATCH($R8,Templates!$A$3:$A$10,0),MATCH($F8,Templates!$B$2:$H$2,0)),0)&gt;0),INDEX(Templates!$B$3:$H$10,MATCH($R8,Templates!$A$3:$A$10,0),MATCH($F8,Templates!$B$2:$H$2,0)),IFERROR(INDEX(Settings!$B$8:$B$14,MATCH($F8,Settings!$A$8:$A$14,0)),0)))))</f>
        <v/>
      </c>
      <c r="J8" s="21">
        <f>IF($C8="",0,IFERROR(INDEX(Deals!$H$2:$H$355,MATCH($C8,Deals!$A$2:$A$355,0)),0))</f>
        <v/>
      </c>
      <c r="K8" s="32">
        <f>IF(Settings!$B$4="Yes",$I8*$J8,$I8)</f>
        <v/>
      </c>
      <c r="L8" s="22">
        <f>IF($C8="","",IFERROR(IF(INDEX(Deals!$I$2:$I$355,MATCH($C8,Deals!$A$2:$A$355,0))=0,"",INDEX(Deals!$I$2:$I$355,MATCH($C8,Deals!$A$2:$A$355,0))),""))</f>
        <v/>
      </c>
      <c r="M8" s="22">
        <f>IF($C8="","",IFERROR(IF(INDEX(Deals!$J$2:$J$355,MATCH($C8,Deals!$A$2:$A$355,0))=0,"",INDEX(Deals!$J$2:$J$355,MATCH($C8,Deals!$A$2:$A$355,0))),""))</f>
        <v/>
      </c>
      <c r="N8" s="35">
        <f>IF($L8="",DATE(1900,1,1),$L8)</f>
        <v/>
      </c>
      <c r="O8" s="35">
        <f>IF($M8="",DATE(2100,12,31),$M8)</f>
        <v/>
      </c>
      <c r="P8" s="20" t="inlineStr"/>
      <c r="Q8" s="47" t="inlineStr"/>
      <c r="R8" s="16">
        <f>IF($C8="","",IFERROR(IF(INDEX(Deals!$U$2:$U$355,MATCH($C8,Deals!$A$2:$A$355,0))=0,"",INDEX(Deals!$U$2:$U$355,MATCH($C8,Deals!$A$2:$A$355,0))),""))</f>
        <v/>
      </c>
      <c r="S8" s="34">
        <f>IFERROR(IF($U8="",1,INDEX(Deals!$V$2:$V$355,MATCH($C8,Deals!$A$2:$A$355,0))),1)</f>
        <v/>
      </c>
      <c r="T8" s="34">
        <f>IFERROR(IF($U8="",1,INDEX(Deals!$W$2:$W$355,MATCH($C8,Deals!$A$2:$A$355,0))),1)</f>
        <v/>
      </c>
      <c r="U8" s="22">
        <f>IF($C8="","",IFERROR(IF(INDEX(Deals!$Y$2:$Y$355,MATCH($C8,Deals!$A$2:$A$355,0))=0,"",INDEX(Deals!$Y$2:$Y$355,MATCH($C8,Deals!$A$2:$A$355,0))),""))</f>
        <v/>
      </c>
      <c r="V8" s="35">
        <f>IF(OR($U8&lt;&gt;"",AND($AO8&gt;0,$L8&lt;&gt;"",$M8&lt;&gt;"")),$N8,DATE(1900,1,1))</f>
        <v/>
      </c>
      <c r="W8" s="35">
        <f>IF($U8&lt;&gt;"",$U8,IF(AND($AO8&gt;0,$L8&lt;&gt;"",$M8&lt;&gt;""),$O8,DATE(2100,12,31)))</f>
        <v/>
      </c>
      <c r="X8" s="32">
        <f>IF($U8="",$K8,$K8*$S8)</f>
        <v/>
      </c>
      <c r="Y8" s="35">
        <f>IF($U8="",DATE(2100,12,31),$U8+1)</f>
        <v/>
      </c>
      <c r="Z8" s="35">
        <f>IF($U8="",DATE(1900,1,1),$O8)</f>
        <v/>
      </c>
      <c r="AA8" s="32">
        <f>IF($U8="",0,$K8*$T8)</f>
        <v/>
      </c>
      <c r="AB8" s="21">
        <f>IF($C8="",0,IFERROR(INDEX(Deals!$AD$2:$AD$355,MATCH($C8,Deals!$A$2:$A$355,0)),0))</f>
        <v/>
      </c>
      <c r="AC8" s="32">
        <f>IF(Settings!$B$4="Yes",$I8*$AB8,$I8)</f>
        <v/>
      </c>
      <c r="AD8" s="22">
        <f>IF($C8="","",IFERROR(IF(INDEX(Deals!$AE$2:$AE$355,MATCH($C8,Deals!$A$2:$A$355,0))=0,"",INDEX(Deals!$AE$2:$AE$355,MATCH($C8,Deals!$A$2:$A$355,0))),""))</f>
        <v/>
      </c>
      <c r="AE8" s="22">
        <f>IF($C8="","",IFERROR(IF(INDEX(Deals!$AF$2:$AF$355,MATCH($C8,Deals!$A$2:$A$355,0))=0,"",INDEX(Deals!$AF$2:$AF$355,MATCH($C8,Deals!$A$2:$A$355,0))),""))</f>
        <v/>
      </c>
      <c r="AF8" s="35">
        <f>IF($AD8="",DATE(1900,1,1),$AD8)</f>
        <v/>
      </c>
      <c r="AG8" s="35">
        <f>IF($AE8="",DATE(2100,12,31),$AE8)</f>
        <v/>
      </c>
      <c r="AH8" s="22">
        <f>IF($C8="","",IFERROR(IF(INDEX(Deals!$AG$2:$AG$355,MATCH($C8,Deals!$A$2:$A$355,0))=0,"",INDEX(Deals!$AG$2:$AG$355,MATCH($C8,Deals!$A$2:$A$355,0))),""))</f>
        <v/>
      </c>
      <c r="AI8" s="35">
        <f>IF(OR($AH8&lt;&gt;"",AND($AO8&gt;0,$AD8&lt;&gt;"",$AE8&lt;&gt;"")),$AF8,DATE(1900,1,1))</f>
        <v/>
      </c>
      <c r="AJ8" s="35">
        <f>IF($AH8&lt;&gt;"",$AH8,IF(AND($AO8&gt;0,$AD8&lt;&gt;"",$AE8&lt;&gt;""),$AG8,DATE(2100,12,31)))</f>
        <v/>
      </c>
      <c r="AK8" s="32">
        <f>IF($AH8="",$AC8,$AC8*$S8)</f>
        <v/>
      </c>
      <c r="AL8" s="35">
        <f>IF($AH8="",DATE(2100,12,31),$AH8+1)</f>
        <v/>
      </c>
      <c r="AM8" s="35">
        <f>IF($AH8="",DATE(1900,1,1),$AG8)</f>
        <v/>
      </c>
      <c r="AN8" s="32">
        <f>IF($AH8="",0,$AC8*$T8)</f>
        <v/>
      </c>
      <c r="AO8" s="46">
        <f>IF($C8="",0,IFERROR(INDEX(Deals!$BD$2:$BD$355,MATCH($C8,Deals!$A$2:$A$355,0)),0))</f>
        <v/>
      </c>
      <c r="AP8" s="18">
        <f>IF($AO8=0,0,IFERROR(INDEX(Deals!$BJ$2:$BP$355,MATCH($C8,Deals!$A$2:$A$355,0),MATCH($F8,Deals!$BJ$1:$BP$1,0))/COUNTIFS(Assignments!$C$2:$C$769,$C8,Assignments!$F$2:$F$769,$F8,Assignments!$G$2:$G$769,"Active"),0))</f>
        <v/>
      </c>
    </row>
    <row r="9">
      <c r="A9" s="28" t="inlineStr">
        <is>
          <t>Tania</t>
        </is>
      </c>
      <c r="B9" s="16">
        <f>IF($A9="","",IFERROR(INDEX(Roster!$B$2:$B$40,MATCH($A9,Roster!$A$2:$A$40,0)),"?"))</f>
        <v/>
      </c>
      <c r="C9" s="28" t="inlineStr">
        <is>
          <t>Bledsoe_1</t>
        </is>
      </c>
      <c r="D9" s="16">
        <f>IF($C9="","",IFERROR(IF(INDEX(Deals!$C$2:$C$355,MATCH($C9,Deals!$A$2:$A$355,0))=0,"",INDEX(Deals!$C$2:$C$355,MATCH($C9,Deals!$A$2:$A$355,0))),"?"))</f>
        <v/>
      </c>
      <c r="E9" s="16">
        <f>IF($C9="","",IFERROR(INDEX(Deals!$F$2:$F$355,MATCH($C9,Deals!$A$2:$A$355,0)),"?"))</f>
        <v/>
      </c>
      <c r="F9" s="28" t="inlineStr">
        <is>
          <t>Partner</t>
        </is>
      </c>
      <c r="G9" s="28" t="inlineStr">
        <is>
          <t>Active</t>
        </is>
      </c>
      <c r="H9" s="31" t="n"/>
      <c r="I9" s="32">
        <f>IF(OR($A9="",$G9&lt;&gt;"Active"),0,IF($H9&lt;&gt;"",$H9,IF($AO9&gt;0,$AP9,IF(AND($R9&lt;&gt;"",IFERROR(INDEX(Templates!$B$3:$H$10,MATCH($R9,Templates!$A$3:$A$10,0),MATCH($F9,Templates!$B$2:$H$2,0)),0)&gt;0),INDEX(Templates!$B$3:$H$10,MATCH($R9,Templates!$A$3:$A$10,0),MATCH($F9,Templates!$B$2:$H$2,0)),IFERROR(INDEX(Settings!$B$8:$B$14,MATCH($F9,Settings!$A$8:$A$14,0)),0)))))</f>
        <v/>
      </c>
      <c r="J9" s="21">
        <f>IF($C9="",0,IFERROR(INDEX(Deals!$H$2:$H$355,MATCH($C9,Deals!$A$2:$A$355,0)),0))</f>
        <v/>
      </c>
      <c r="K9" s="32">
        <f>IF(Settings!$B$4="Yes",$I9*$J9,$I9)</f>
        <v/>
      </c>
      <c r="L9" s="22">
        <f>IF($C9="","",IFERROR(IF(INDEX(Deals!$I$2:$I$355,MATCH($C9,Deals!$A$2:$A$355,0))=0,"",INDEX(Deals!$I$2:$I$355,MATCH($C9,Deals!$A$2:$A$355,0))),""))</f>
        <v/>
      </c>
      <c r="M9" s="22">
        <f>IF($C9="","",IFERROR(IF(INDEX(Deals!$J$2:$J$355,MATCH($C9,Deals!$A$2:$A$355,0))=0,"",INDEX(Deals!$J$2:$J$355,MATCH($C9,Deals!$A$2:$A$355,0))),""))</f>
        <v/>
      </c>
      <c r="N9" s="35">
        <f>IF($L9="",DATE(1900,1,1),$L9)</f>
        <v/>
      </c>
      <c r="O9" s="35">
        <f>IF($M9="",DATE(2100,12,31),$M9)</f>
        <v/>
      </c>
      <c r="P9" s="20" t="inlineStr"/>
      <c r="Q9" s="47" t="inlineStr"/>
      <c r="R9" s="16">
        <f>IF($C9="","",IFERROR(IF(INDEX(Deals!$U$2:$U$355,MATCH($C9,Deals!$A$2:$A$355,0))=0,"",INDEX(Deals!$U$2:$U$355,MATCH($C9,Deals!$A$2:$A$355,0))),""))</f>
        <v/>
      </c>
      <c r="S9" s="34">
        <f>IFERROR(IF($U9="",1,INDEX(Deals!$V$2:$V$355,MATCH($C9,Deals!$A$2:$A$355,0))),1)</f>
        <v/>
      </c>
      <c r="T9" s="34">
        <f>IFERROR(IF($U9="",1,INDEX(Deals!$W$2:$W$355,MATCH($C9,Deals!$A$2:$A$355,0))),1)</f>
        <v/>
      </c>
      <c r="U9" s="22">
        <f>IF($C9="","",IFERROR(IF(INDEX(Deals!$Y$2:$Y$355,MATCH($C9,Deals!$A$2:$A$355,0))=0,"",INDEX(Deals!$Y$2:$Y$355,MATCH($C9,Deals!$A$2:$A$355,0))),""))</f>
        <v/>
      </c>
      <c r="V9" s="35">
        <f>IF(OR($U9&lt;&gt;"",AND($AO9&gt;0,$L9&lt;&gt;"",$M9&lt;&gt;"")),$N9,DATE(1900,1,1))</f>
        <v/>
      </c>
      <c r="W9" s="35">
        <f>IF($U9&lt;&gt;"",$U9,IF(AND($AO9&gt;0,$L9&lt;&gt;"",$M9&lt;&gt;""),$O9,DATE(2100,12,31)))</f>
        <v/>
      </c>
      <c r="X9" s="32">
        <f>IF($U9="",$K9,$K9*$S9)</f>
        <v/>
      </c>
      <c r="Y9" s="35">
        <f>IF($U9="",DATE(2100,12,31),$U9+1)</f>
        <v/>
      </c>
      <c r="Z9" s="35">
        <f>IF($U9="",DATE(1900,1,1),$O9)</f>
        <v/>
      </c>
      <c r="AA9" s="32">
        <f>IF($U9="",0,$K9*$T9)</f>
        <v/>
      </c>
      <c r="AB9" s="21">
        <f>IF($C9="",0,IFERROR(INDEX(Deals!$AD$2:$AD$355,MATCH($C9,Deals!$A$2:$A$355,0)),0))</f>
        <v/>
      </c>
      <c r="AC9" s="32">
        <f>IF(Settings!$B$4="Yes",$I9*$AB9,$I9)</f>
        <v/>
      </c>
      <c r="AD9" s="22">
        <f>IF($C9="","",IFERROR(IF(INDEX(Deals!$AE$2:$AE$355,MATCH($C9,Deals!$A$2:$A$355,0))=0,"",INDEX(Deals!$AE$2:$AE$355,MATCH($C9,Deals!$A$2:$A$355,0))),""))</f>
        <v/>
      </c>
      <c r="AE9" s="22">
        <f>IF($C9="","",IFERROR(IF(INDEX(Deals!$AF$2:$AF$355,MATCH($C9,Deals!$A$2:$A$355,0))=0,"",INDEX(Deals!$AF$2:$AF$355,MATCH($C9,Deals!$A$2:$A$355,0))),""))</f>
        <v/>
      </c>
      <c r="AF9" s="35">
        <f>IF($AD9="",DATE(1900,1,1),$AD9)</f>
        <v/>
      </c>
      <c r="AG9" s="35">
        <f>IF($AE9="",DATE(2100,12,31),$AE9)</f>
        <v/>
      </c>
      <c r="AH9" s="22">
        <f>IF($C9="","",IFERROR(IF(INDEX(Deals!$AG$2:$AG$355,MATCH($C9,Deals!$A$2:$A$355,0))=0,"",INDEX(Deals!$AG$2:$AG$355,MATCH($C9,Deals!$A$2:$A$355,0))),""))</f>
        <v/>
      </c>
      <c r="AI9" s="35">
        <f>IF(OR($AH9&lt;&gt;"",AND($AO9&gt;0,$AD9&lt;&gt;"",$AE9&lt;&gt;"")),$AF9,DATE(1900,1,1))</f>
        <v/>
      </c>
      <c r="AJ9" s="35">
        <f>IF($AH9&lt;&gt;"",$AH9,IF(AND($AO9&gt;0,$AD9&lt;&gt;"",$AE9&lt;&gt;""),$AG9,DATE(2100,12,31)))</f>
        <v/>
      </c>
      <c r="AK9" s="32">
        <f>IF($AH9="",$AC9,$AC9*$S9)</f>
        <v/>
      </c>
      <c r="AL9" s="35">
        <f>IF($AH9="",DATE(2100,12,31),$AH9+1)</f>
        <v/>
      </c>
      <c r="AM9" s="35">
        <f>IF($AH9="",DATE(1900,1,1),$AG9)</f>
        <v/>
      </c>
      <c r="AN9" s="32">
        <f>IF($AH9="",0,$AC9*$T9)</f>
        <v/>
      </c>
      <c r="AO9" s="46">
        <f>IF($C9="",0,IFERROR(INDEX(Deals!$BD$2:$BD$355,MATCH($C9,Deals!$A$2:$A$355,0)),0))</f>
        <v/>
      </c>
      <c r="AP9" s="18">
        <f>IF($AO9=0,0,IFERROR(INDEX(Deals!$BJ$2:$BP$355,MATCH($C9,Deals!$A$2:$A$355,0),MATCH($F9,Deals!$BJ$1:$BP$1,0))/COUNTIFS(Assignments!$C$2:$C$769,$C9,Assignments!$F$2:$F$769,$F9,Assignments!$G$2:$G$769,"Active"),0))</f>
        <v/>
      </c>
    </row>
    <row r="10">
      <c r="A10" s="28" t="inlineStr">
        <is>
          <t>Tania</t>
        </is>
      </c>
      <c r="B10" s="16">
        <f>IF($A10="","",IFERROR(INDEX(Roster!$B$2:$B$40,MATCH($A10,Roster!$A$2:$A$40,0)),"?"))</f>
        <v/>
      </c>
      <c r="C10" s="28" t="inlineStr">
        <is>
          <t>Broadway_1</t>
        </is>
      </c>
      <c r="D10" s="16">
        <f>IF($C10="","",IFERROR(IF(INDEX(Deals!$C$2:$C$355,MATCH($C10,Deals!$A$2:$A$355,0))=0,"",INDEX(Deals!$C$2:$C$355,MATCH($C10,Deals!$A$2:$A$355,0))),"?"))</f>
        <v/>
      </c>
      <c r="E10" s="16">
        <f>IF($C10="","",IFERROR(INDEX(Deals!$F$2:$F$355,MATCH($C10,Deals!$A$2:$A$355,0)),"?"))</f>
        <v/>
      </c>
      <c r="F10" s="28" t="inlineStr">
        <is>
          <t>Partner</t>
        </is>
      </c>
      <c r="G10" s="28" t="inlineStr">
        <is>
          <t>Active</t>
        </is>
      </c>
      <c r="H10" s="31" t="n"/>
      <c r="I10" s="32">
        <f>IF(OR($A10="",$G10&lt;&gt;"Active"),0,IF($H10&lt;&gt;"",$H10,IF($AO10&gt;0,$AP10,IF(AND($R10&lt;&gt;"",IFERROR(INDEX(Templates!$B$3:$H$10,MATCH($R10,Templates!$A$3:$A$10,0),MATCH($F10,Templates!$B$2:$H$2,0)),0)&gt;0),INDEX(Templates!$B$3:$H$10,MATCH($R10,Templates!$A$3:$A$10,0),MATCH($F10,Templates!$B$2:$H$2,0)),IFERROR(INDEX(Settings!$B$8:$B$14,MATCH($F10,Settings!$A$8:$A$14,0)),0)))))</f>
        <v/>
      </c>
      <c r="J10" s="21">
        <f>IF($C10="",0,IFERROR(INDEX(Deals!$H$2:$H$355,MATCH($C10,Deals!$A$2:$A$355,0)),0))</f>
        <v/>
      </c>
      <c r="K10" s="32">
        <f>IF(Settings!$B$4="Yes",$I10*$J10,$I10)</f>
        <v/>
      </c>
      <c r="L10" s="22">
        <f>IF($C10="","",IFERROR(IF(INDEX(Deals!$I$2:$I$355,MATCH($C10,Deals!$A$2:$A$355,0))=0,"",INDEX(Deals!$I$2:$I$355,MATCH($C10,Deals!$A$2:$A$355,0))),""))</f>
        <v/>
      </c>
      <c r="M10" s="22">
        <f>IF($C10="","",IFERROR(IF(INDEX(Deals!$J$2:$J$355,MATCH($C10,Deals!$A$2:$A$355,0))=0,"",INDEX(Deals!$J$2:$J$355,MATCH($C10,Deals!$A$2:$A$355,0))),""))</f>
        <v/>
      </c>
      <c r="N10" s="35">
        <f>IF($L10="",DATE(1900,1,1),$L10)</f>
        <v/>
      </c>
      <c r="O10" s="35">
        <f>IF($M10="",DATE(2100,12,31),$M10)</f>
        <v/>
      </c>
      <c r="P10" s="20" t="inlineStr"/>
      <c r="Q10" s="47" t="inlineStr"/>
      <c r="R10" s="16">
        <f>IF($C10="","",IFERROR(IF(INDEX(Deals!$U$2:$U$355,MATCH($C10,Deals!$A$2:$A$355,0))=0,"",INDEX(Deals!$U$2:$U$355,MATCH($C10,Deals!$A$2:$A$355,0))),""))</f>
        <v/>
      </c>
      <c r="S10" s="34">
        <f>IFERROR(IF($U10="",1,INDEX(Deals!$V$2:$V$355,MATCH($C10,Deals!$A$2:$A$355,0))),1)</f>
        <v/>
      </c>
      <c r="T10" s="34">
        <f>IFERROR(IF($U10="",1,INDEX(Deals!$W$2:$W$355,MATCH($C10,Deals!$A$2:$A$355,0))),1)</f>
        <v/>
      </c>
      <c r="U10" s="22">
        <f>IF($C10="","",IFERROR(IF(INDEX(Deals!$Y$2:$Y$355,MATCH($C10,Deals!$A$2:$A$355,0))=0,"",INDEX(Deals!$Y$2:$Y$355,MATCH($C10,Deals!$A$2:$A$355,0))),""))</f>
        <v/>
      </c>
      <c r="V10" s="35">
        <f>IF(OR($U10&lt;&gt;"",AND($AO10&gt;0,$L10&lt;&gt;"",$M10&lt;&gt;"")),$N10,DATE(1900,1,1))</f>
        <v/>
      </c>
      <c r="W10" s="35">
        <f>IF($U10&lt;&gt;"",$U10,IF(AND($AO10&gt;0,$L10&lt;&gt;"",$M10&lt;&gt;""),$O10,DATE(2100,12,31)))</f>
        <v/>
      </c>
      <c r="X10" s="32">
        <f>IF($U10="",$K10,$K10*$S10)</f>
        <v/>
      </c>
      <c r="Y10" s="35">
        <f>IF($U10="",DATE(2100,12,31),$U10+1)</f>
        <v/>
      </c>
      <c r="Z10" s="35">
        <f>IF($U10="",DATE(1900,1,1),$O10)</f>
        <v/>
      </c>
      <c r="AA10" s="32">
        <f>IF($U10="",0,$K10*$T10)</f>
        <v/>
      </c>
      <c r="AB10" s="21">
        <f>IF($C10="",0,IFERROR(INDEX(Deals!$AD$2:$AD$355,MATCH($C10,Deals!$A$2:$A$355,0)),0))</f>
        <v/>
      </c>
      <c r="AC10" s="32">
        <f>IF(Settings!$B$4="Yes",$I10*$AB10,$I10)</f>
        <v/>
      </c>
      <c r="AD10" s="22">
        <f>IF($C10="","",IFERROR(IF(INDEX(Deals!$AE$2:$AE$355,MATCH($C10,Deals!$A$2:$A$355,0))=0,"",INDEX(Deals!$AE$2:$AE$355,MATCH($C10,Deals!$A$2:$A$355,0))),""))</f>
        <v/>
      </c>
      <c r="AE10" s="22">
        <f>IF($C10="","",IFERROR(IF(INDEX(Deals!$AF$2:$AF$355,MATCH($C10,Deals!$A$2:$A$355,0))=0,"",INDEX(Deals!$AF$2:$AF$355,MATCH($C10,Deals!$A$2:$A$355,0))),""))</f>
        <v/>
      </c>
      <c r="AF10" s="35">
        <f>IF($AD10="",DATE(1900,1,1),$AD10)</f>
        <v/>
      </c>
      <c r="AG10" s="35">
        <f>IF($AE10="",DATE(2100,12,31),$AE10)</f>
        <v/>
      </c>
      <c r="AH10" s="22">
        <f>IF($C10="","",IFERROR(IF(INDEX(Deals!$AG$2:$AG$355,MATCH($C10,Deals!$A$2:$A$355,0))=0,"",INDEX(Deals!$AG$2:$AG$355,MATCH($C10,Deals!$A$2:$A$355,0))),""))</f>
        <v/>
      </c>
      <c r="AI10" s="35">
        <f>IF(OR($AH10&lt;&gt;"",AND($AO10&gt;0,$AD10&lt;&gt;"",$AE10&lt;&gt;"")),$AF10,DATE(1900,1,1))</f>
        <v/>
      </c>
      <c r="AJ10" s="35">
        <f>IF($AH10&lt;&gt;"",$AH10,IF(AND($AO10&gt;0,$AD10&lt;&gt;"",$AE10&lt;&gt;""),$AG10,DATE(2100,12,31)))</f>
        <v/>
      </c>
      <c r="AK10" s="32">
        <f>IF($AH10="",$AC10,$AC10*$S10)</f>
        <v/>
      </c>
      <c r="AL10" s="35">
        <f>IF($AH10="",DATE(2100,12,31),$AH10+1)</f>
        <v/>
      </c>
      <c r="AM10" s="35">
        <f>IF($AH10="",DATE(1900,1,1),$AG10)</f>
        <v/>
      </c>
      <c r="AN10" s="32">
        <f>IF($AH10="",0,$AC10*$T10)</f>
        <v/>
      </c>
      <c r="AO10" s="46">
        <f>IF($C10="",0,IFERROR(INDEX(Deals!$BD$2:$BD$355,MATCH($C10,Deals!$A$2:$A$355,0)),0))</f>
        <v/>
      </c>
      <c r="AP10" s="18">
        <f>IF($AO10=0,0,IFERROR(INDEX(Deals!$BJ$2:$BP$355,MATCH($C10,Deals!$A$2:$A$355,0),MATCH($F10,Deals!$BJ$1:$BP$1,0))/COUNTIFS(Assignments!$C$2:$C$769,$C10,Assignments!$F$2:$F$769,$F10,Assignments!$G$2:$G$769,"Active"),0))</f>
        <v/>
      </c>
    </row>
    <row r="11">
      <c r="A11" s="28" t="inlineStr">
        <is>
          <t>Tania</t>
        </is>
      </c>
      <c r="B11" s="16">
        <f>IF($A11="","",IFERROR(INDEX(Roster!$B$2:$B$40,MATCH($A11,Roster!$A$2:$A$40,0)),"?"))</f>
        <v/>
      </c>
      <c r="C11" s="28" t="inlineStr">
        <is>
          <t>Cactus</t>
        </is>
      </c>
      <c r="D11" s="16">
        <f>IF($C11="","",IFERROR(IF(INDEX(Deals!$C$2:$C$355,MATCH($C11,Deals!$A$2:$A$355,0))=0,"",INDEX(Deals!$C$2:$C$355,MATCH($C11,Deals!$A$2:$A$355,0))),"?"))</f>
        <v/>
      </c>
      <c r="E11" s="16">
        <f>IF($C11="","",IFERROR(INDEX(Deals!$F$2:$F$355,MATCH($C11,Deals!$A$2:$A$355,0)),"?"))</f>
        <v/>
      </c>
      <c r="F11" s="28" t="inlineStr">
        <is>
          <t>Partner</t>
        </is>
      </c>
      <c r="G11" s="28" t="inlineStr">
        <is>
          <t>Active</t>
        </is>
      </c>
      <c r="H11" s="31" t="n"/>
      <c r="I11" s="32">
        <f>IF(OR($A11="",$G11&lt;&gt;"Active"),0,IF($H11&lt;&gt;"",$H11,IF($AO11&gt;0,$AP11,IF(AND($R11&lt;&gt;"",IFERROR(INDEX(Templates!$B$3:$H$10,MATCH($R11,Templates!$A$3:$A$10,0),MATCH($F11,Templates!$B$2:$H$2,0)),0)&gt;0),INDEX(Templates!$B$3:$H$10,MATCH($R11,Templates!$A$3:$A$10,0),MATCH($F11,Templates!$B$2:$H$2,0)),IFERROR(INDEX(Settings!$B$8:$B$14,MATCH($F11,Settings!$A$8:$A$14,0)),0)))))</f>
        <v/>
      </c>
      <c r="J11" s="21">
        <f>IF($C11="",0,IFERROR(INDEX(Deals!$H$2:$H$355,MATCH($C11,Deals!$A$2:$A$355,0)),0))</f>
        <v/>
      </c>
      <c r="K11" s="32">
        <f>IF(Settings!$B$4="Yes",$I11*$J11,$I11)</f>
        <v/>
      </c>
      <c r="L11" s="22">
        <f>IF($C11="","",IFERROR(IF(INDEX(Deals!$I$2:$I$355,MATCH($C11,Deals!$A$2:$A$355,0))=0,"",INDEX(Deals!$I$2:$I$355,MATCH($C11,Deals!$A$2:$A$355,0))),""))</f>
        <v/>
      </c>
      <c r="M11" s="22">
        <f>IF($C11="","",IFERROR(IF(INDEX(Deals!$J$2:$J$355,MATCH($C11,Deals!$A$2:$A$355,0))=0,"",INDEX(Deals!$J$2:$J$355,MATCH($C11,Deals!$A$2:$A$355,0))),""))</f>
        <v/>
      </c>
      <c r="N11" s="35">
        <f>IF($L11="",DATE(1900,1,1),$L11)</f>
        <v/>
      </c>
      <c r="O11" s="35">
        <f>IF($M11="",DATE(2100,12,31),$M11)</f>
        <v/>
      </c>
      <c r="P11" s="20" t="inlineStr"/>
      <c r="Q11" s="47" t="inlineStr"/>
      <c r="R11" s="16">
        <f>IF($C11="","",IFERROR(IF(INDEX(Deals!$U$2:$U$355,MATCH($C11,Deals!$A$2:$A$355,0))=0,"",INDEX(Deals!$U$2:$U$355,MATCH($C11,Deals!$A$2:$A$355,0))),""))</f>
        <v/>
      </c>
      <c r="S11" s="34">
        <f>IFERROR(IF($U11="",1,INDEX(Deals!$V$2:$V$355,MATCH($C11,Deals!$A$2:$A$355,0))),1)</f>
        <v/>
      </c>
      <c r="T11" s="34">
        <f>IFERROR(IF($U11="",1,INDEX(Deals!$W$2:$W$355,MATCH($C11,Deals!$A$2:$A$355,0))),1)</f>
        <v/>
      </c>
      <c r="U11" s="22">
        <f>IF($C11="","",IFERROR(IF(INDEX(Deals!$Y$2:$Y$355,MATCH($C11,Deals!$A$2:$A$355,0))=0,"",INDEX(Deals!$Y$2:$Y$355,MATCH($C11,Deals!$A$2:$A$355,0))),""))</f>
        <v/>
      </c>
      <c r="V11" s="35">
        <f>IF(OR($U11&lt;&gt;"",AND($AO11&gt;0,$L11&lt;&gt;"",$M11&lt;&gt;"")),$N11,DATE(1900,1,1))</f>
        <v/>
      </c>
      <c r="W11" s="35">
        <f>IF($U11&lt;&gt;"",$U11,IF(AND($AO11&gt;0,$L11&lt;&gt;"",$M11&lt;&gt;""),$O11,DATE(2100,12,31)))</f>
        <v/>
      </c>
      <c r="X11" s="32">
        <f>IF($U11="",$K11,$K11*$S11)</f>
        <v/>
      </c>
      <c r="Y11" s="35">
        <f>IF($U11="",DATE(2100,12,31),$U11+1)</f>
        <v/>
      </c>
      <c r="Z11" s="35">
        <f>IF($U11="",DATE(1900,1,1),$O11)</f>
        <v/>
      </c>
      <c r="AA11" s="32">
        <f>IF($U11="",0,$K11*$T11)</f>
        <v/>
      </c>
      <c r="AB11" s="21">
        <f>IF($C11="",0,IFERROR(INDEX(Deals!$AD$2:$AD$355,MATCH($C11,Deals!$A$2:$A$355,0)),0))</f>
        <v/>
      </c>
      <c r="AC11" s="32">
        <f>IF(Settings!$B$4="Yes",$I11*$AB11,$I11)</f>
        <v/>
      </c>
      <c r="AD11" s="22">
        <f>IF($C11="","",IFERROR(IF(INDEX(Deals!$AE$2:$AE$355,MATCH($C11,Deals!$A$2:$A$355,0))=0,"",INDEX(Deals!$AE$2:$AE$355,MATCH($C11,Deals!$A$2:$A$355,0))),""))</f>
        <v/>
      </c>
      <c r="AE11" s="22">
        <f>IF($C11="","",IFERROR(IF(INDEX(Deals!$AF$2:$AF$355,MATCH($C11,Deals!$A$2:$A$355,0))=0,"",INDEX(Deals!$AF$2:$AF$355,MATCH($C11,Deals!$A$2:$A$355,0))),""))</f>
        <v/>
      </c>
      <c r="AF11" s="35">
        <f>IF($AD11="",DATE(1900,1,1),$AD11)</f>
        <v/>
      </c>
      <c r="AG11" s="35">
        <f>IF($AE11="",DATE(2100,12,31),$AE11)</f>
        <v/>
      </c>
      <c r="AH11" s="22">
        <f>IF($C11="","",IFERROR(IF(INDEX(Deals!$AG$2:$AG$355,MATCH($C11,Deals!$A$2:$A$355,0))=0,"",INDEX(Deals!$AG$2:$AG$355,MATCH($C11,Deals!$A$2:$A$355,0))),""))</f>
        <v/>
      </c>
      <c r="AI11" s="35">
        <f>IF(OR($AH11&lt;&gt;"",AND($AO11&gt;0,$AD11&lt;&gt;"",$AE11&lt;&gt;"")),$AF11,DATE(1900,1,1))</f>
        <v/>
      </c>
      <c r="AJ11" s="35">
        <f>IF($AH11&lt;&gt;"",$AH11,IF(AND($AO11&gt;0,$AD11&lt;&gt;"",$AE11&lt;&gt;""),$AG11,DATE(2100,12,31)))</f>
        <v/>
      </c>
      <c r="AK11" s="32">
        <f>IF($AH11="",$AC11,$AC11*$S11)</f>
        <v/>
      </c>
      <c r="AL11" s="35">
        <f>IF($AH11="",DATE(2100,12,31),$AH11+1)</f>
        <v/>
      </c>
      <c r="AM11" s="35">
        <f>IF($AH11="",DATE(1900,1,1),$AG11)</f>
        <v/>
      </c>
      <c r="AN11" s="32">
        <f>IF($AH11="",0,$AC11*$T11)</f>
        <v/>
      </c>
      <c r="AO11" s="46">
        <f>IF($C11="",0,IFERROR(INDEX(Deals!$BD$2:$BD$355,MATCH($C11,Deals!$A$2:$A$355,0)),0))</f>
        <v/>
      </c>
      <c r="AP11" s="18">
        <f>IF($AO11=0,0,IFERROR(INDEX(Deals!$BJ$2:$BP$355,MATCH($C11,Deals!$A$2:$A$355,0),MATCH($F11,Deals!$BJ$1:$BP$1,0))/COUNTIFS(Assignments!$C$2:$C$769,$C11,Assignments!$F$2:$F$769,$F11,Assignments!$G$2:$G$769,"Active"),0))</f>
        <v/>
      </c>
    </row>
    <row r="12">
      <c r="A12" s="28" t="inlineStr">
        <is>
          <t>Tania</t>
        </is>
      </c>
      <c r="B12" s="16">
        <f>IF($A12="","",IFERROR(INDEX(Roster!$B$2:$B$40,MATCH($A12,Roster!$A$2:$A$40,0)),"?"))</f>
        <v/>
      </c>
      <c r="C12" s="28" t="inlineStr">
        <is>
          <t>Canyon_2</t>
        </is>
      </c>
      <c r="D12" s="16">
        <f>IF($C12="","",IFERROR(IF(INDEX(Deals!$C$2:$C$355,MATCH($C12,Deals!$A$2:$A$355,0))=0,"",INDEX(Deals!$C$2:$C$355,MATCH($C12,Deals!$A$2:$A$355,0))),"?"))</f>
        <v/>
      </c>
      <c r="E12" s="16">
        <f>IF($C12="","",IFERROR(INDEX(Deals!$F$2:$F$355,MATCH($C12,Deals!$A$2:$A$355,0)),"?"))</f>
        <v/>
      </c>
      <c r="F12" s="28" t="inlineStr">
        <is>
          <t>Partner</t>
        </is>
      </c>
      <c r="G12" s="28" t="inlineStr">
        <is>
          <t>Active</t>
        </is>
      </c>
      <c r="H12" s="31" t="n"/>
      <c r="I12" s="32">
        <f>IF(OR($A12="",$G12&lt;&gt;"Active"),0,IF($H12&lt;&gt;"",$H12,IF($AO12&gt;0,$AP12,IF(AND($R12&lt;&gt;"",IFERROR(INDEX(Templates!$B$3:$H$10,MATCH($R12,Templates!$A$3:$A$10,0),MATCH($F12,Templates!$B$2:$H$2,0)),0)&gt;0),INDEX(Templates!$B$3:$H$10,MATCH($R12,Templates!$A$3:$A$10,0),MATCH($F12,Templates!$B$2:$H$2,0)),IFERROR(INDEX(Settings!$B$8:$B$14,MATCH($F12,Settings!$A$8:$A$14,0)),0)))))</f>
        <v/>
      </c>
      <c r="J12" s="21">
        <f>IF($C12="",0,IFERROR(INDEX(Deals!$H$2:$H$355,MATCH($C12,Deals!$A$2:$A$355,0)),0))</f>
        <v/>
      </c>
      <c r="K12" s="32">
        <f>IF(Settings!$B$4="Yes",$I12*$J12,$I12)</f>
        <v/>
      </c>
      <c r="L12" s="22">
        <f>IF($C12="","",IFERROR(IF(INDEX(Deals!$I$2:$I$355,MATCH($C12,Deals!$A$2:$A$355,0))=0,"",INDEX(Deals!$I$2:$I$355,MATCH($C12,Deals!$A$2:$A$355,0))),""))</f>
        <v/>
      </c>
      <c r="M12" s="22">
        <f>IF($C12="","",IFERROR(IF(INDEX(Deals!$J$2:$J$355,MATCH($C12,Deals!$A$2:$A$355,0))=0,"",INDEX(Deals!$J$2:$J$355,MATCH($C12,Deals!$A$2:$A$355,0))),""))</f>
        <v/>
      </c>
      <c r="N12" s="35">
        <f>IF($L12="",DATE(1900,1,1),$L12)</f>
        <v/>
      </c>
      <c r="O12" s="35">
        <f>IF($M12="",DATE(2100,12,31),$M12)</f>
        <v/>
      </c>
      <c r="P12" s="20" t="inlineStr"/>
      <c r="Q12" s="47" t="inlineStr"/>
      <c r="R12" s="16">
        <f>IF($C12="","",IFERROR(IF(INDEX(Deals!$U$2:$U$355,MATCH($C12,Deals!$A$2:$A$355,0))=0,"",INDEX(Deals!$U$2:$U$355,MATCH($C12,Deals!$A$2:$A$355,0))),""))</f>
        <v/>
      </c>
      <c r="S12" s="34">
        <f>IFERROR(IF($U12="",1,INDEX(Deals!$V$2:$V$355,MATCH($C12,Deals!$A$2:$A$355,0))),1)</f>
        <v/>
      </c>
      <c r="T12" s="34">
        <f>IFERROR(IF($U12="",1,INDEX(Deals!$W$2:$W$355,MATCH($C12,Deals!$A$2:$A$355,0))),1)</f>
        <v/>
      </c>
      <c r="U12" s="22">
        <f>IF($C12="","",IFERROR(IF(INDEX(Deals!$Y$2:$Y$355,MATCH($C12,Deals!$A$2:$A$355,0))=0,"",INDEX(Deals!$Y$2:$Y$355,MATCH($C12,Deals!$A$2:$A$355,0))),""))</f>
        <v/>
      </c>
      <c r="V12" s="35">
        <f>IF(OR($U12&lt;&gt;"",AND($AO12&gt;0,$L12&lt;&gt;"",$M12&lt;&gt;"")),$N12,DATE(1900,1,1))</f>
        <v/>
      </c>
      <c r="W12" s="35">
        <f>IF($U12&lt;&gt;"",$U12,IF(AND($AO12&gt;0,$L12&lt;&gt;"",$M12&lt;&gt;""),$O12,DATE(2100,12,31)))</f>
        <v/>
      </c>
      <c r="X12" s="32">
        <f>IF($U12="",$K12,$K12*$S12)</f>
        <v/>
      </c>
      <c r="Y12" s="35">
        <f>IF($U12="",DATE(2100,12,31),$U12+1)</f>
        <v/>
      </c>
      <c r="Z12" s="35">
        <f>IF($U12="",DATE(1900,1,1),$O12)</f>
        <v/>
      </c>
      <c r="AA12" s="32">
        <f>IF($U12="",0,$K12*$T12)</f>
        <v/>
      </c>
      <c r="AB12" s="21">
        <f>IF($C12="",0,IFERROR(INDEX(Deals!$AD$2:$AD$355,MATCH($C12,Deals!$A$2:$A$355,0)),0))</f>
        <v/>
      </c>
      <c r="AC12" s="32">
        <f>IF(Settings!$B$4="Yes",$I12*$AB12,$I12)</f>
        <v/>
      </c>
      <c r="AD12" s="22">
        <f>IF($C12="","",IFERROR(IF(INDEX(Deals!$AE$2:$AE$355,MATCH($C12,Deals!$A$2:$A$355,0))=0,"",INDEX(Deals!$AE$2:$AE$355,MATCH($C12,Deals!$A$2:$A$355,0))),""))</f>
        <v/>
      </c>
      <c r="AE12" s="22">
        <f>IF($C12="","",IFERROR(IF(INDEX(Deals!$AF$2:$AF$355,MATCH($C12,Deals!$A$2:$A$355,0))=0,"",INDEX(Deals!$AF$2:$AF$355,MATCH($C12,Deals!$A$2:$A$355,0))),""))</f>
        <v/>
      </c>
      <c r="AF12" s="35">
        <f>IF($AD12="",DATE(1900,1,1),$AD12)</f>
        <v/>
      </c>
      <c r="AG12" s="35">
        <f>IF($AE12="",DATE(2100,12,31),$AE12)</f>
        <v/>
      </c>
      <c r="AH12" s="22">
        <f>IF($C12="","",IFERROR(IF(INDEX(Deals!$AG$2:$AG$355,MATCH($C12,Deals!$A$2:$A$355,0))=0,"",INDEX(Deals!$AG$2:$AG$355,MATCH($C12,Deals!$A$2:$A$355,0))),""))</f>
        <v/>
      </c>
      <c r="AI12" s="35">
        <f>IF(OR($AH12&lt;&gt;"",AND($AO12&gt;0,$AD12&lt;&gt;"",$AE12&lt;&gt;"")),$AF12,DATE(1900,1,1))</f>
        <v/>
      </c>
      <c r="AJ12" s="35">
        <f>IF($AH12&lt;&gt;"",$AH12,IF(AND($AO12&gt;0,$AD12&lt;&gt;"",$AE12&lt;&gt;""),$AG12,DATE(2100,12,31)))</f>
        <v/>
      </c>
      <c r="AK12" s="32">
        <f>IF($AH12="",$AC12,$AC12*$S12)</f>
        <v/>
      </c>
      <c r="AL12" s="35">
        <f>IF($AH12="",DATE(2100,12,31),$AH12+1)</f>
        <v/>
      </c>
      <c r="AM12" s="35">
        <f>IF($AH12="",DATE(1900,1,1),$AG12)</f>
        <v/>
      </c>
      <c r="AN12" s="32">
        <f>IF($AH12="",0,$AC12*$T12)</f>
        <v/>
      </c>
      <c r="AO12" s="46">
        <f>IF($C12="",0,IFERROR(INDEX(Deals!$BD$2:$BD$355,MATCH($C12,Deals!$A$2:$A$355,0)),0))</f>
        <v/>
      </c>
      <c r="AP12" s="18">
        <f>IF($AO12=0,0,IFERROR(INDEX(Deals!$BJ$2:$BP$355,MATCH($C12,Deals!$A$2:$A$355,0),MATCH($F12,Deals!$BJ$1:$BP$1,0))/COUNTIFS(Assignments!$C$2:$C$769,$C12,Assignments!$F$2:$F$769,$F12,Assignments!$G$2:$G$769,"Active"),0))</f>
        <v/>
      </c>
    </row>
    <row r="13">
      <c r="A13" s="28" t="inlineStr">
        <is>
          <t>Tania</t>
        </is>
      </c>
      <c r="B13" s="16">
        <f>IF($A13="","",IFERROR(INDEX(Roster!$B$2:$B$40,MATCH($A13,Roster!$A$2:$A$40,0)),"?"))</f>
        <v/>
      </c>
      <c r="C13" s="28" t="inlineStr">
        <is>
          <t>Care_1</t>
        </is>
      </c>
      <c r="D13" s="16">
        <f>IF($C13="","",IFERROR(IF(INDEX(Deals!$C$2:$C$355,MATCH($C13,Deals!$A$2:$A$355,0))=0,"",INDEX(Deals!$C$2:$C$355,MATCH($C13,Deals!$A$2:$A$355,0))),"?"))</f>
        <v/>
      </c>
      <c r="E13" s="16">
        <f>IF($C13="","",IFERROR(INDEX(Deals!$F$2:$F$355,MATCH($C13,Deals!$A$2:$A$355,0)),"?"))</f>
        <v/>
      </c>
      <c r="F13" s="28" t="inlineStr">
        <is>
          <t>Partner</t>
        </is>
      </c>
      <c r="G13" s="28" t="inlineStr">
        <is>
          <t>Active</t>
        </is>
      </c>
      <c r="H13" s="31" t="n"/>
      <c r="I13" s="32">
        <f>IF(OR($A13="",$G13&lt;&gt;"Active"),0,IF($H13&lt;&gt;"",$H13,IF($AO13&gt;0,$AP13,IF(AND($R13&lt;&gt;"",IFERROR(INDEX(Templates!$B$3:$H$10,MATCH($R13,Templates!$A$3:$A$10,0),MATCH($F13,Templates!$B$2:$H$2,0)),0)&gt;0),INDEX(Templates!$B$3:$H$10,MATCH($R13,Templates!$A$3:$A$10,0),MATCH($F13,Templates!$B$2:$H$2,0)),IFERROR(INDEX(Settings!$B$8:$B$14,MATCH($F13,Settings!$A$8:$A$14,0)),0)))))</f>
        <v/>
      </c>
      <c r="J13" s="21">
        <f>IF($C13="",0,IFERROR(INDEX(Deals!$H$2:$H$355,MATCH($C13,Deals!$A$2:$A$355,0)),0))</f>
        <v/>
      </c>
      <c r="K13" s="32">
        <f>IF(Settings!$B$4="Yes",$I13*$J13,$I13)</f>
        <v/>
      </c>
      <c r="L13" s="22">
        <f>IF($C13="","",IFERROR(IF(INDEX(Deals!$I$2:$I$355,MATCH($C13,Deals!$A$2:$A$355,0))=0,"",INDEX(Deals!$I$2:$I$355,MATCH($C13,Deals!$A$2:$A$355,0))),""))</f>
        <v/>
      </c>
      <c r="M13" s="22">
        <f>IF($C13="","",IFERROR(IF(INDEX(Deals!$J$2:$J$355,MATCH($C13,Deals!$A$2:$A$355,0))=0,"",INDEX(Deals!$J$2:$J$355,MATCH($C13,Deals!$A$2:$A$355,0))),""))</f>
        <v/>
      </c>
      <c r="N13" s="35">
        <f>IF($L13="",DATE(1900,1,1),$L13)</f>
        <v/>
      </c>
      <c r="O13" s="35">
        <f>IF($M13="",DATE(2100,12,31),$M13)</f>
        <v/>
      </c>
      <c r="P13" s="20" t="inlineStr"/>
      <c r="Q13" s="47" t="inlineStr"/>
      <c r="R13" s="16">
        <f>IF($C13="","",IFERROR(IF(INDEX(Deals!$U$2:$U$355,MATCH($C13,Deals!$A$2:$A$355,0))=0,"",INDEX(Deals!$U$2:$U$355,MATCH($C13,Deals!$A$2:$A$355,0))),""))</f>
        <v/>
      </c>
      <c r="S13" s="34">
        <f>IFERROR(IF($U13="",1,INDEX(Deals!$V$2:$V$355,MATCH($C13,Deals!$A$2:$A$355,0))),1)</f>
        <v/>
      </c>
      <c r="T13" s="34">
        <f>IFERROR(IF($U13="",1,INDEX(Deals!$W$2:$W$355,MATCH($C13,Deals!$A$2:$A$355,0))),1)</f>
        <v/>
      </c>
      <c r="U13" s="22">
        <f>IF($C13="","",IFERROR(IF(INDEX(Deals!$Y$2:$Y$355,MATCH($C13,Deals!$A$2:$A$355,0))=0,"",INDEX(Deals!$Y$2:$Y$355,MATCH($C13,Deals!$A$2:$A$355,0))),""))</f>
        <v/>
      </c>
      <c r="V13" s="35">
        <f>IF(OR($U13&lt;&gt;"",AND($AO13&gt;0,$L13&lt;&gt;"",$M13&lt;&gt;"")),$N13,DATE(1900,1,1))</f>
        <v/>
      </c>
      <c r="W13" s="35">
        <f>IF($U13&lt;&gt;"",$U13,IF(AND($AO13&gt;0,$L13&lt;&gt;"",$M13&lt;&gt;""),$O13,DATE(2100,12,31)))</f>
        <v/>
      </c>
      <c r="X13" s="32">
        <f>IF($U13="",$K13,$K13*$S13)</f>
        <v/>
      </c>
      <c r="Y13" s="35">
        <f>IF($U13="",DATE(2100,12,31),$U13+1)</f>
        <v/>
      </c>
      <c r="Z13" s="35">
        <f>IF($U13="",DATE(1900,1,1),$O13)</f>
        <v/>
      </c>
      <c r="AA13" s="32">
        <f>IF($U13="",0,$K13*$T13)</f>
        <v/>
      </c>
      <c r="AB13" s="21">
        <f>IF($C13="",0,IFERROR(INDEX(Deals!$AD$2:$AD$355,MATCH($C13,Deals!$A$2:$A$355,0)),0))</f>
        <v/>
      </c>
      <c r="AC13" s="32">
        <f>IF(Settings!$B$4="Yes",$I13*$AB13,$I13)</f>
        <v/>
      </c>
      <c r="AD13" s="22">
        <f>IF($C13="","",IFERROR(IF(INDEX(Deals!$AE$2:$AE$355,MATCH($C13,Deals!$A$2:$A$355,0))=0,"",INDEX(Deals!$AE$2:$AE$355,MATCH($C13,Deals!$A$2:$A$355,0))),""))</f>
        <v/>
      </c>
      <c r="AE13" s="22">
        <f>IF($C13="","",IFERROR(IF(INDEX(Deals!$AF$2:$AF$355,MATCH($C13,Deals!$A$2:$A$355,0))=0,"",INDEX(Deals!$AF$2:$AF$355,MATCH($C13,Deals!$A$2:$A$355,0))),""))</f>
        <v/>
      </c>
      <c r="AF13" s="35">
        <f>IF($AD13="",DATE(1900,1,1),$AD13)</f>
        <v/>
      </c>
      <c r="AG13" s="35">
        <f>IF($AE13="",DATE(2100,12,31),$AE13)</f>
        <v/>
      </c>
      <c r="AH13" s="22">
        <f>IF($C13="","",IFERROR(IF(INDEX(Deals!$AG$2:$AG$355,MATCH($C13,Deals!$A$2:$A$355,0))=0,"",INDEX(Deals!$AG$2:$AG$355,MATCH($C13,Deals!$A$2:$A$355,0))),""))</f>
        <v/>
      </c>
      <c r="AI13" s="35">
        <f>IF(OR($AH13&lt;&gt;"",AND($AO13&gt;0,$AD13&lt;&gt;"",$AE13&lt;&gt;"")),$AF13,DATE(1900,1,1))</f>
        <v/>
      </c>
      <c r="AJ13" s="35">
        <f>IF($AH13&lt;&gt;"",$AH13,IF(AND($AO13&gt;0,$AD13&lt;&gt;"",$AE13&lt;&gt;""),$AG13,DATE(2100,12,31)))</f>
        <v/>
      </c>
      <c r="AK13" s="32">
        <f>IF($AH13="",$AC13,$AC13*$S13)</f>
        <v/>
      </c>
      <c r="AL13" s="35">
        <f>IF($AH13="",DATE(2100,12,31),$AH13+1)</f>
        <v/>
      </c>
      <c r="AM13" s="35">
        <f>IF($AH13="",DATE(1900,1,1),$AG13)</f>
        <v/>
      </c>
      <c r="AN13" s="32">
        <f>IF($AH13="",0,$AC13*$T13)</f>
        <v/>
      </c>
      <c r="AO13" s="46">
        <f>IF($C13="",0,IFERROR(INDEX(Deals!$BD$2:$BD$355,MATCH($C13,Deals!$A$2:$A$355,0)),0))</f>
        <v/>
      </c>
      <c r="AP13" s="18">
        <f>IF($AO13=0,0,IFERROR(INDEX(Deals!$BJ$2:$BP$355,MATCH($C13,Deals!$A$2:$A$355,0),MATCH($F13,Deals!$BJ$1:$BP$1,0))/COUNTIFS(Assignments!$C$2:$C$769,$C13,Assignments!$F$2:$F$769,$F13,Assignments!$G$2:$G$769,"Active"),0))</f>
        <v/>
      </c>
    </row>
    <row r="14">
      <c r="A14" s="28" t="inlineStr">
        <is>
          <t>Tania</t>
        </is>
      </c>
      <c r="B14" s="16">
        <f>IF($A14="","",IFERROR(INDEX(Roster!$B$2:$B$40,MATCH($A14,Roster!$A$2:$A$40,0)),"?"))</f>
        <v/>
      </c>
      <c r="C14" s="28" t="inlineStr">
        <is>
          <t>Celestial_1</t>
        </is>
      </c>
      <c r="D14" s="16">
        <f>IF($C14="","",IFERROR(IF(INDEX(Deals!$C$2:$C$355,MATCH($C14,Deals!$A$2:$A$355,0))=0,"",INDEX(Deals!$C$2:$C$355,MATCH($C14,Deals!$A$2:$A$355,0))),"?"))</f>
        <v/>
      </c>
      <c r="E14" s="16">
        <f>IF($C14="","",IFERROR(INDEX(Deals!$F$2:$F$355,MATCH($C14,Deals!$A$2:$A$355,0)),"?"))</f>
        <v/>
      </c>
      <c r="F14" s="28" t="inlineStr">
        <is>
          <t>Partner</t>
        </is>
      </c>
      <c r="G14" s="28" t="inlineStr">
        <is>
          <t>Active</t>
        </is>
      </c>
      <c r="H14" s="31" t="n"/>
      <c r="I14" s="32">
        <f>IF(OR($A14="",$G14&lt;&gt;"Active"),0,IF($H14&lt;&gt;"",$H14,IF($AO14&gt;0,$AP14,IF(AND($R14&lt;&gt;"",IFERROR(INDEX(Templates!$B$3:$H$10,MATCH($R14,Templates!$A$3:$A$10,0),MATCH($F14,Templates!$B$2:$H$2,0)),0)&gt;0),INDEX(Templates!$B$3:$H$10,MATCH($R14,Templates!$A$3:$A$10,0),MATCH($F14,Templates!$B$2:$H$2,0)),IFERROR(INDEX(Settings!$B$8:$B$14,MATCH($F14,Settings!$A$8:$A$14,0)),0)))))</f>
        <v/>
      </c>
      <c r="J14" s="21">
        <f>IF($C14="",0,IFERROR(INDEX(Deals!$H$2:$H$355,MATCH($C14,Deals!$A$2:$A$355,0)),0))</f>
        <v/>
      </c>
      <c r="K14" s="32">
        <f>IF(Settings!$B$4="Yes",$I14*$J14,$I14)</f>
        <v/>
      </c>
      <c r="L14" s="22">
        <f>IF($C14="","",IFERROR(IF(INDEX(Deals!$I$2:$I$355,MATCH($C14,Deals!$A$2:$A$355,0))=0,"",INDEX(Deals!$I$2:$I$355,MATCH($C14,Deals!$A$2:$A$355,0))),""))</f>
        <v/>
      </c>
      <c r="M14" s="22">
        <f>IF($C14="","",IFERROR(IF(INDEX(Deals!$J$2:$J$355,MATCH($C14,Deals!$A$2:$A$355,0))=0,"",INDEX(Deals!$J$2:$J$355,MATCH($C14,Deals!$A$2:$A$355,0))),""))</f>
        <v/>
      </c>
      <c r="N14" s="35">
        <f>IF($L14="",DATE(1900,1,1),$L14)</f>
        <v/>
      </c>
      <c r="O14" s="35">
        <f>IF($M14="",DATE(2100,12,31),$M14)</f>
        <v/>
      </c>
      <c r="P14" s="20" t="inlineStr"/>
      <c r="Q14" s="47" t="inlineStr"/>
      <c r="R14" s="16">
        <f>IF($C14="","",IFERROR(IF(INDEX(Deals!$U$2:$U$355,MATCH($C14,Deals!$A$2:$A$355,0))=0,"",INDEX(Deals!$U$2:$U$355,MATCH($C14,Deals!$A$2:$A$355,0))),""))</f>
        <v/>
      </c>
      <c r="S14" s="34">
        <f>IFERROR(IF($U14="",1,INDEX(Deals!$V$2:$V$355,MATCH($C14,Deals!$A$2:$A$355,0))),1)</f>
        <v/>
      </c>
      <c r="T14" s="34">
        <f>IFERROR(IF($U14="",1,INDEX(Deals!$W$2:$W$355,MATCH($C14,Deals!$A$2:$A$355,0))),1)</f>
        <v/>
      </c>
      <c r="U14" s="22">
        <f>IF($C14="","",IFERROR(IF(INDEX(Deals!$Y$2:$Y$355,MATCH($C14,Deals!$A$2:$A$355,0))=0,"",INDEX(Deals!$Y$2:$Y$355,MATCH($C14,Deals!$A$2:$A$355,0))),""))</f>
        <v/>
      </c>
      <c r="V14" s="35">
        <f>IF(OR($U14&lt;&gt;"",AND($AO14&gt;0,$L14&lt;&gt;"",$M14&lt;&gt;"")),$N14,DATE(1900,1,1))</f>
        <v/>
      </c>
      <c r="W14" s="35">
        <f>IF($U14&lt;&gt;"",$U14,IF(AND($AO14&gt;0,$L14&lt;&gt;"",$M14&lt;&gt;""),$O14,DATE(2100,12,31)))</f>
        <v/>
      </c>
      <c r="X14" s="32">
        <f>IF($U14="",$K14,$K14*$S14)</f>
        <v/>
      </c>
      <c r="Y14" s="35">
        <f>IF($U14="",DATE(2100,12,31),$U14+1)</f>
        <v/>
      </c>
      <c r="Z14" s="35">
        <f>IF($U14="",DATE(1900,1,1),$O14)</f>
        <v/>
      </c>
      <c r="AA14" s="32">
        <f>IF($U14="",0,$K14*$T14)</f>
        <v/>
      </c>
      <c r="AB14" s="21">
        <f>IF($C14="",0,IFERROR(INDEX(Deals!$AD$2:$AD$355,MATCH($C14,Deals!$A$2:$A$355,0)),0))</f>
        <v/>
      </c>
      <c r="AC14" s="32">
        <f>IF(Settings!$B$4="Yes",$I14*$AB14,$I14)</f>
        <v/>
      </c>
      <c r="AD14" s="22">
        <f>IF($C14="","",IFERROR(IF(INDEX(Deals!$AE$2:$AE$355,MATCH($C14,Deals!$A$2:$A$355,0))=0,"",INDEX(Deals!$AE$2:$AE$355,MATCH($C14,Deals!$A$2:$A$355,0))),""))</f>
        <v/>
      </c>
      <c r="AE14" s="22">
        <f>IF($C14="","",IFERROR(IF(INDEX(Deals!$AF$2:$AF$355,MATCH($C14,Deals!$A$2:$A$355,0))=0,"",INDEX(Deals!$AF$2:$AF$355,MATCH($C14,Deals!$A$2:$A$355,0))),""))</f>
        <v/>
      </c>
      <c r="AF14" s="35">
        <f>IF($AD14="",DATE(1900,1,1),$AD14)</f>
        <v/>
      </c>
      <c r="AG14" s="35">
        <f>IF($AE14="",DATE(2100,12,31),$AE14)</f>
        <v/>
      </c>
      <c r="AH14" s="22">
        <f>IF($C14="","",IFERROR(IF(INDEX(Deals!$AG$2:$AG$355,MATCH($C14,Deals!$A$2:$A$355,0))=0,"",INDEX(Deals!$AG$2:$AG$355,MATCH($C14,Deals!$A$2:$A$355,0))),""))</f>
        <v/>
      </c>
      <c r="AI14" s="35">
        <f>IF(OR($AH14&lt;&gt;"",AND($AO14&gt;0,$AD14&lt;&gt;"",$AE14&lt;&gt;"")),$AF14,DATE(1900,1,1))</f>
        <v/>
      </c>
      <c r="AJ14" s="35">
        <f>IF($AH14&lt;&gt;"",$AH14,IF(AND($AO14&gt;0,$AD14&lt;&gt;"",$AE14&lt;&gt;""),$AG14,DATE(2100,12,31)))</f>
        <v/>
      </c>
      <c r="AK14" s="32">
        <f>IF($AH14="",$AC14,$AC14*$S14)</f>
        <v/>
      </c>
      <c r="AL14" s="35">
        <f>IF($AH14="",DATE(2100,12,31),$AH14+1)</f>
        <v/>
      </c>
      <c r="AM14" s="35">
        <f>IF($AH14="",DATE(1900,1,1),$AG14)</f>
        <v/>
      </c>
      <c r="AN14" s="32">
        <f>IF($AH14="",0,$AC14*$T14)</f>
        <v/>
      </c>
      <c r="AO14" s="46">
        <f>IF($C14="",0,IFERROR(INDEX(Deals!$BD$2:$BD$355,MATCH($C14,Deals!$A$2:$A$355,0)),0))</f>
        <v/>
      </c>
      <c r="AP14" s="18">
        <f>IF($AO14=0,0,IFERROR(INDEX(Deals!$BJ$2:$BP$355,MATCH($C14,Deals!$A$2:$A$355,0),MATCH($F14,Deals!$BJ$1:$BP$1,0))/COUNTIFS(Assignments!$C$2:$C$769,$C14,Assignments!$F$2:$F$769,$F14,Assignments!$G$2:$G$769,"Active"),0))</f>
        <v/>
      </c>
    </row>
    <row r="15">
      <c r="A15" s="28" t="inlineStr">
        <is>
          <t>Tania</t>
        </is>
      </c>
      <c r="B15" s="16">
        <f>IF($A15="","",IFERROR(INDEX(Roster!$B$2:$B$40,MATCH($A15,Roster!$A$2:$A$40,0)),"?"))</f>
        <v/>
      </c>
      <c r="C15" s="28" t="inlineStr">
        <is>
          <t>Circuit_1</t>
        </is>
      </c>
      <c r="D15" s="16">
        <f>IF($C15="","",IFERROR(IF(INDEX(Deals!$C$2:$C$355,MATCH($C15,Deals!$A$2:$A$355,0))=0,"",INDEX(Deals!$C$2:$C$355,MATCH($C15,Deals!$A$2:$A$355,0))),"?"))</f>
        <v/>
      </c>
      <c r="E15" s="16">
        <f>IF($C15="","",IFERROR(INDEX(Deals!$F$2:$F$355,MATCH($C15,Deals!$A$2:$A$355,0)),"?"))</f>
        <v/>
      </c>
      <c r="F15" s="28" t="inlineStr">
        <is>
          <t>Partner</t>
        </is>
      </c>
      <c r="G15" s="28" t="inlineStr">
        <is>
          <t>Active</t>
        </is>
      </c>
      <c r="H15" s="31" t="n"/>
      <c r="I15" s="32">
        <f>IF(OR($A15="",$G15&lt;&gt;"Active"),0,IF($H15&lt;&gt;"",$H15,IF($AO15&gt;0,$AP15,IF(AND($R15&lt;&gt;"",IFERROR(INDEX(Templates!$B$3:$H$10,MATCH($R15,Templates!$A$3:$A$10,0),MATCH($F15,Templates!$B$2:$H$2,0)),0)&gt;0),INDEX(Templates!$B$3:$H$10,MATCH($R15,Templates!$A$3:$A$10,0),MATCH($F15,Templates!$B$2:$H$2,0)),IFERROR(INDEX(Settings!$B$8:$B$14,MATCH($F15,Settings!$A$8:$A$14,0)),0)))))</f>
        <v/>
      </c>
      <c r="J15" s="21">
        <f>IF($C15="",0,IFERROR(INDEX(Deals!$H$2:$H$355,MATCH($C15,Deals!$A$2:$A$355,0)),0))</f>
        <v/>
      </c>
      <c r="K15" s="32">
        <f>IF(Settings!$B$4="Yes",$I15*$J15,$I15)</f>
        <v/>
      </c>
      <c r="L15" s="22">
        <f>IF($C15="","",IFERROR(IF(INDEX(Deals!$I$2:$I$355,MATCH($C15,Deals!$A$2:$A$355,0))=0,"",INDEX(Deals!$I$2:$I$355,MATCH($C15,Deals!$A$2:$A$355,0))),""))</f>
        <v/>
      </c>
      <c r="M15" s="22">
        <f>IF($C15="","",IFERROR(IF(INDEX(Deals!$J$2:$J$355,MATCH($C15,Deals!$A$2:$A$355,0))=0,"",INDEX(Deals!$J$2:$J$355,MATCH($C15,Deals!$A$2:$A$355,0))),""))</f>
        <v/>
      </c>
      <c r="N15" s="35">
        <f>IF($L15="",DATE(1900,1,1),$L15)</f>
        <v/>
      </c>
      <c r="O15" s="35">
        <f>IF($M15="",DATE(2100,12,31),$M15)</f>
        <v/>
      </c>
      <c r="P15" s="20" t="inlineStr"/>
      <c r="Q15" s="47" t="inlineStr"/>
      <c r="R15" s="16">
        <f>IF($C15="","",IFERROR(IF(INDEX(Deals!$U$2:$U$355,MATCH($C15,Deals!$A$2:$A$355,0))=0,"",INDEX(Deals!$U$2:$U$355,MATCH($C15,Deals!$A$2:$A$355,0))),""))</f>
        <v/>
      </c>
      <c r="S15" s="34">
        <f>IFERROR(IF($U15="",1,INDEX(Deals!$V$2:$V$355,MATCH($C15,Deals!$A$2:$A$355,0))),1)</f>
        <v/>
      </c>
      <c r="T15" s="34">
        <f>IFERROR(IF($U15="",1,INDEX(Deals!$W$2:$W$355,MATCH($C15,Deals!$A$2:$A$355,0))),1)</f>
        <v/>
      </c>
      <c r="U15" s="22">
        <f>IF($C15="","",IFERROR(IF(INDEX(Deals!$Y$2:$Y$355,MATCH($C15,Deals!$A$2:$A$355,0))=0,"",INDEX(Deals!$Y$2:$Y$355,MATCH($C15,Deals!$A$2:$A$355,0))),""))</f>
        <v/>
      </c>
      <c r="V15" s="35">
        <f>IF(OR($U15&lt;&gt;"",AND($AO15&gt;0,$L15&lt;&gt;"",$M15&lt;&gt;"")),$N15,DATE(1900,1,1))</f>
        <v/>
      </c>
      <c r="W15" s="35">
        <f>IF($U15&lt;&gt;"",$U15,IF(AND($AO15&gt;0,$L15&lt;&gt;"",$M15&lt;&gt;""),$O15,DATE(2100,12,31)))</f>
        <v/>
      </c>
      <c r="X15" s="32">
        <f>IF($U15="",$K15,$K15*$S15)</f>
        <v/>
      </c>
      <c r="Y15" s="35">
        <f>IF($U15="",DATE(2100,12,31),$U15+1)</f>
        <v/>
      </c>
      <c r="Z15" s="35">
        <f>IF($U15="",DATE(1900,1,1),$O15)</f>
        <v/>
      </c>
      <c r="AA15" s="32">
        <f>IF($U15="",0,$K15*$T15)</f>
        <v/>
      </c>
      <c r="AB15" s="21">
        <f>IF($C15="",0,IFERROR(INDEX(Deals!$AD$2:$AD$355,MATCH($C15,Deals!$A$2:$A$355,0)),0))</f>
        <v/>
      </c>
      <c r="AC15" s="32">
        <f>IF(Settings!$B$4="Yes",$I15*$AB15,$I15)</f>
        <v/>
      </c>
      <c r="AD15" s="22">
        <f>IF($C15="","",IFERROR(IF(INDEX(Deals!$AE$2:$AE$355,MATCH($C15,Deals!$A$2:$A$355,0))=0,"",INDEX(Deals!$AE$2:$AE$355,MATCH($C15,Deals!$A$2:$A$355,0))),""))</f>
        <v/>
      </c>
      <c r="AE15" s="22">
        <f>IF($C15="","",IFERROR(IF(INDEX(Deals!$AF$2:$AF$355,MATCH($C15,Deals!$A$2:$A$355,0))=0,"",INDEX(Deals!$AF$2:$AF$355,MATCH($C15,Deals!$A$2:$A$355,0))),""))</f>
        <v/>
      </c>
      <c r="AF15" s="35">
        <f>IF($AD15="",DATE(1900,1,1),$AD15)</f>
        <v/>
      </c>
      <c r="AG15" s="35">
        <f>IF($AE15="",DATE(2100,12,31),$AE15)</f>
        <v/>
      </c>
      <c r="AH15" s="22">
        <f>IF($C15="","",IFERROR(IF(INDEX(Deals!$AG$2:$AG$355,MATCH($C15,Deals!$A$2:$A$355,0))=0,"",INDEX(Deals!$AG$2:$AG$355,MATCH($C15,Deals!$A$2:$A$355,0))),""))</f>
        <v/>
      </c>
      <c r="AI15" s="35">
        <f>IF(OR($AH15&lt;&gt;"",AND($AO15&gt;0,$AD15&lt;&gt;"",$AE15&lt;&gt;"")),$AF15,DATE(1900,1,1))</f>
        <v/>
      </c>
      <c r="AJ15" s="35">
        <f>IF($AH15&lt;&gt;"",$AH15,IF(AND($AO15&gt;0,$AD15&lt;&gt;"",$AE15&lt;&gt;""),$AG15,DATE(2100,12,31)))</f>
        <v/>
      </c>
      <c r="AK15" s="32">
        <f>IF($AH15="",$AC15,$AC15*$S15)</f>
        <v/>
      </c>
      <c r="AL15" s="35">
        <f>IF($AH15="",DATE(2100,12,31),$AH15+1)</f>
        <v/>
      </c>
      <c r="AM15" s="35">
        <f>IF($AH15="",DATE(1900,1,1),$AG15)</f>
        <v/>
      </c>
      <c r="AN15" s="32">
        <f>IF($AH15="",0,$AC15*$T15)</f>
        <v/>
      </c>
      <c r="AO15" s="46">
        <f>IF($C15="",0,IFERROR(INDEX(Deals!$BD$2:$BD$355,MATCH($C15,Deals!$A$2:$A$355,0)),0))</f>
        <v/>
      </c>
      <c r="AP15" s="18">
        <f>IF($AO15=0,0,IFERROR(INDEX(Deals!$BJ$2:$BP$355,MATCH($C15,Deals!$A$2:$A$355,0),MATCH($F15,Deals!$BJ$1:$BP$1,0))/COUNTIFS(Assignments!$C$2:$C$769,$C15,Assignments!$F$2:$F$769,$F15,Assignments!$G$2:$G$769,"Active"),0))</f>
        <v/>
      </c>
    </row>
    <row r="16">
      <c r="A16" s="28" t="inlineStr">
        <is>
          <t>Tania</t>
        </is>
      </c>
      <c r="B16" s="16">
        <f>IF($A16="","",IFERROR(INDEX(Roster!$B$2:$B$40,MATCH($A16,Roster!$A$2:$A$40,0)),"?"))</f>
        <v/>
      </c>
      <c r="C16" s="28" t="inlineStr">
        <is>
          <t>Cohost_1</t>
        </is>
      </c>
      <c r="D16" s="16">
        <f>IF($C16="","",IFERROR(IF(INDEX(Deals!$C$2:$C$355,MATCH($C16,Deals!$A$2:$A$355,0))=0,"",INDEX(Deals!$C$2:$C$355,MATCH($C16,Deals!$A$2:$A$355,0))),"?"))</f>
        <v/>
      </c>
      <c r="E16" s="16">
        <f>IF($C16="","",IFERROR(INDEX(Deals!$F$2:$F$355,MATCH($C16,Deals!$A$2:$A$355,0)),"?"))</f>
        <v/>
      </c>
      <c r="F16" s="28" t="inlineStr">
        <is>
          <t>Partner</t>
        </is>
      </c>
      <c r="G16" s="28" t="inlineStr">
        <is>
          <t>Active</t>
        </is>
      </c>
      <c r="H16" s="31" t="n"/>
      <c r="I16" s="32">
        <f>IF(OR($A16="",$G16&lt;&gt;"Active"),0,IF($H16&lt;&gt;"",$H16,IF($AO16&gt;0,$AP16,IF(AND($R16&lt;&gt;"",IFERROR(INDEX(Templates!$B$3:$H$10,MATCH($R16,Templates!$A$3:$A$10,0),MATCH($F16,Templates!$B$2:$H$2,0)),0)&gt;0),INDEX(Templates!$B$3:$H$10,MATCH($R16,Templates!$A$3:$A$10,0),MATCH($F16,Templates!$B$2:$H$2,0)),IFERROR(INDEX(Settings!$B$8:$B$14,MATCH($F16,Settings!$A$8:$A$14,0)),0)))))</f>
        <v/>
      </c>
      <c r="J16" s="21">
        <f>IF($C16="",0,IFERROR(INDEX(Deals!$H$2:$H$355,MATCH($C16,Deals!$A$2:$A$355,0)),0))</f>
        <v/>
      </c>
      <c r="K16" s="32">
        <f>IF(Settings!$B$4="Yes",$I16*$J16,$I16)</f>
        <v/>
      </c>
      <c r="L16" s="22">
        <f>IF($C16="","",IFERROR(IF(INDEX(Deals!$I$2:$I$355,MATCH($C16,Deals!$A$2:$A$355,0))=0,"",INDEX(Deals!$I$2:$I$355,MATCH($C16,Deals!$A$2:$A$355,0))),""))</f>
        <v/>
      </c>
      <c r="M16" s="22">
        <f>IF($C16="","",IFERROR(IF(INDEX(Deals!$J$2:$J$355,MATCH($C16,Deals!$A$2:$A$355,0))=0,"",INDEX(Deals!$J$2:$J$355,MATCH($C16,Deals!$A$2:$A$355,0))),""))</f>
        <v/>
      </c>
      <c r="N16" s="35">
        <f>IF($L16="",DATE(1900,1,1),$L16)</f>
        <v/>
      </c>
      <c r="O16" s="35">
        <f>IF($M16="",DATE(2100,12,31),$M16)</f>
        <v/>
      </c>
      <c r="P16" s="20" t="inlineStr"/>
      <c r="Q16" s="47" t="inlineStr"/>
      <c r="R16" s="16">
        <f>IF($C16="","",IFERROR(IF(INDEX(Deals!$U$2:$U$355,MATCH($C16,Deals!$A$2:$A$355,0))=0,"",INDEX(Deals!$U$2:$U$355,MATCH($C16,Deals!$A$2:$A$355,0))),""))</f>
        <v/>
      </c>
      <c r="S16" s="34">
        <f>IFERROR(IF($U16="",1,INDEX(Deals!$V$2:$V$355,MATCH($C16,Deals!$A$2:$A$355,0))),1)</f>
        <v/>
      </c>
      <c r="T16" s="34">
        <f>IFERROR(IF($U16="",1,INDEX(Deals!$W$2:$W$355,MATCH($C16,Deals!$A$2:$A$355,0))),1)</f>
        <v/>
      </c>
      <c r="U16" s="22">
        <f>IF($C16="","",IFERROR(IF(INDEX(Deals!$Y$2:$Y$355,MATCH($C16,Deals!$A$2:$A$355,0))=0,"",INDEX(Deals!$Y$2:$Y$355,MATCH($C16,Deals!$A$2:$A$355,0))),""))</f>
        <v/>
      </c>
      <c r="V16" s="35">
        <f>IF(OR($U16&lt;&gt;"",AND($AO16&gt;0,$L16&lt;&gt;"",$M16&lt;&gt;"")),$N16,DATE(1900,1,1))</f>
        <v/>
      </c>
      <c r="W16" s="35">
        <f>IF($U16&lt;&gt;"",$U16,IF(AND($AO16&gt;0,$L16&lt;&gt;"",$M16&lt;&gt;""),$O16,DATE(2100,12,31)))</f>
        <v/>
      </c>
      <c r="X16" s="32">
        <f>IF($U16="",$K16,$K16*$S16)</f>
        <v/>
      </c>
      <c r="Y16" s="35">
        <f>IF($U16="",DATE(2100,12,31),$U16+1)</f>
        <v/>
      </c>
      <c r="Z16" s="35">
        <f>IF($U16="",DATE(1900,1,1),$O16)</f>
        <v/>
      </c>
      <c r="AA16" s="32">
        <f>IF($U16="",0,$K16*$T16)</f>
        <v/>
      </c>
      <c r="AB16" s="21">
        <f>IF($C16="",0,IFERROR(INDEX(Deals!$AD$2:$AD$355,MATCH($C16,Deals!$A$2:$A$355,0)),0))</f>
        <v/>
      </c>
      <c r="AC16" s="32">
        <f>IF(Settings!$B$4="Yes",$I16*$AB16,$I16)</f>
        <v/>
      </c>
      <c r="AD16" s="22">
        <f>IF($C16="","",IFERROR(IF(INDEX(Deals!$AE$2:$AE$355,MATCH($C16,Deals!$A$2:$A$355,0))=0,"",INDEX(Deals!$AE$2:$AE$355,MATCH($C16,Deals!$A$2:$A$355,0))),""))</f>
        <v/>
      </c>
      <c r="AE16" s="22">
        <f>IF($C16="","",IFERROR(IF(INDEX(Deals!$AF$2:$AF$355,MATCH($C16,Deals!$A$2:$A$355,0))=0,"",INDEX(Deals!$AF$2:$AF$355,MATCH($C16,Deals!$A$2:$A$355,0))),""))</f>
        <v/>
      </c>
      <c r="AF16" s="35">
        <f>IF($AD16="",DATE(1900,1,1),$AD16)</f>
        <v/>
      </c>
      <c r="AG16" s="35">
        <f>IF($AE16="",DATE(2100,12,31),$AE16)</f>
        <v/>
      </c>
      <c r="AH16" s="22">
        <f>IF($C16="","",IFERROR(IF(INDEX(Deals!$AG$2:$AG$355,MATCH($C16,Deals!$A$2:$A$355,0))=0,"",INDEX(Deals!$AG$2:$AG$355,MATCH($C16,Deals!$A$2:$A$355,0))),""))</f>
        <v/>
      </c>
      <c r="AI16" s="35">
        <f>IF(OR($AH16&lt;&gt;"",AND($AO16&gt;0,$AD16&lt;&gt;"",$AE16&lt;&gt;"")),$AF16,DATE(1900,1,1))</f>
        <v/>
      </c>
      <c r="AJ16" s="35">
        <f>IF($AH16&lt;&gt;"",$AH16,IF(AND($AO16&gt;0,$AD16&lt;&gt;"",$AE16&lt;&gt;""),$AG16,DATE(2100,12,31)))</f>
        <v/>
      </c>
      <c r="AK16" s="32">
        <f>IF($AH16="",$AC16,$AC16*$S16)</f>
        <v/>
      </c>
      <c r="AL16" s="35">
        <f>IF($AH16="",DATE(2100,12,31),$AH16+1)</f>
        <v/>
      </c>
      <c r="AM16" s="35">
        <f>IF($AH16="",DATE(1900,1,1),$AG16)</f>
        <v/>
      </c>
      <c r="AN16" s="32">
        <f>IF($AH16="",0,$AC16*$T16)</f>
        <v/>
      </c>
      <c r="AO16" s="46">
        <f>IF($C16="",0,IFERROR(INDEX(Deals!$BD$2:$BD$355,MATCH($C16,Deals!$A$2:$A$355,0)),0))</f>
        <v/>
      </c>
      <c r="AP16" s="18">
        <f>IF($AO16=0,0,IFERROR(INDEX(Deals!$BJ$2:$BP$355,MATCH($C16,Deals!$A$2:$A$355,0),MATCH($F16,Deals!$BJ$1:$BP$1,0))/COUNTIFS(Assignments!$C$2:$C$769,$C16,Assignments!$F$2:$F$769,$F16,Assignments!$G$2:$G$769,"Active"),0))</f>
        <v/>
      </c>
    </row>
    <row r="17">
      <c r="A17" s="28" t="inlineStr">
        <is>
          <t>Tania</t>
        </is>
      </c>
      <c r="B17" s="16">
        <f>IF($A17="","",IFERROR(INDEX(Roster!$B$2:$B$40,MATCH($A17,Roster!$A$2:$A$40,0)),"?"))</f>
        <v/>
      </c>
      <c r="C17" s="28" t="inlineStr">
        <is>
          <t>Concrete_1</t>
        </is>
      </c>
      <c r="D17" s="16">
        <f>IF($C17="","",IFERROR(IF(INDEX(Deals!$C$2:$C$355,MATCH($C17,Deals!$A$2:$A$355,0))=0,"",INDEX(Deals!$C$2:$C$355,MATCH($C17,Deals!$A$2:$A$355,0))),"?"))</f>
        <v/>
      </c>
      <c r="E17" s="16">
        <f>IF($C17="","",IFERROR(INDEX(Deals!$F$2:$F$355,MATCH($C17,Deals!$A$2:$A$355,0)),"?"))</f>
        <v/>
      </c>
      <c r="F17" s="28" t="inlineStr">
        <is>
          <t>Partner</t>
        </is>
      </c>
      <c r="G17" s="28" t="inlineStr">
        <is>
          <t>Active</t>
        </is>
      </c>
      <c r="H17" s="31" t="n"/>
      <c r="I17" s="32">
        <f>IF(OR($A17="",$G17&lt;&gt;"Active"),0,IF($H17&lt;&gt;"",$H17,IF($AO17&gt;0,$AP17,IF(AND($R17&lt;&gt;"",IFERROR(INDEX(Templates!$B$3:$H$10,MATCH($R17,Templates!$A$3:$A$10,0),MATCH($F17,Templates!$B$2:$H$2,0)),0)&gt;0),INDEX(Templates!$B$3:$H$10,MATCH($R17,Templates!$A$3:$A$10,0),MATCH($F17,Templates!$B$2:$H$2,0)),IFERROR(INDEX(Settings!$B$8:$B$14,MATCH($F17,Settings!$A$8:$A$14,0)),0)))))</f>
        <v/>
      </c>
      <c r="J17" s="21">
        <f>IF($C17="",0,IFERROR(INDEX(Deals!$H$2:$H$355,MATCH($C17,Deals!$A$2:$A$355,0)),0))</f>
        <v/>
      </c>
      <c r="K17" s="32">
        <f>IF(Settings!$B$4="Yes",$I17*$J17,$I17)</f>
        <v/>
      </c>
      <c r="L17" s="22">
        <f>IF($C17="","",IFERROR(IF(INDEX(Deals!$I$2:$I$355,MATCH($C17,Deals!$A$2:$A$355,0))=0,"",INDEX(Deals!$I$2:$I$355,MATCH($C17,Deals!$A$2:$A$355,0))),""))</f>
        <v/>
      </c>
      <c r="M17" s="22">
        <f>IF($C17="","",IFERROR(IF(INDEX(Deals!$J$2:$J$355,MATCH($C17,Deals!$A$2:$A$355,0))=0,"",INDEX(Deals!$J$2:$J$355,MATCH($C17,Deals!$A$2:$A$355,0))),""))</f>
        <v/>
      </c>
      <c r="N17" s="35">
        <f>IF($L17="",DATE(1900,1,1),$L17)</f>
        <v/>
      </c>
      <c r="O17" s="35">
        <f>IF($M17="",DATE(2100,12,31),$M17)</f>
        <v/>
      </c>
      <c r="P17" s="20" t="inlineStr"/>
      <c r="Q17" s="47" t="inlineStr"/>
      <c r="R17" s="16">
        <f>IF($C17="","",IFERROR(IF(INDEX(Deals!$U$2:$U$355,MATCH($C17,Deals!$A$2:$A$355,0))=0,"",INDEX(Deals!$U$2:$U$355,MATCH($C17,Deals!$A$2:$A$355,0))),""))</f>
        <v/>
      </c>
      <c r="S17" s="34">
        <f>IFERROR(IF($U17="",1,INDEX(Deals!$V$2:$V$355,MATCH($C17,Deals!$A$2:$A$355,0))),1)</f>
        <v/>
      </c>
      <c r="T17" s="34">
        <f>IFERROR(IF($U17="",1,INDEX(Deals!$W$2:$W$355,MATCH($C17,Deals!$A$2:$A$355,0))),1)</f>
        <v/>
      </c>
      <c r="U17" s="22">
        <f>IF($C17="","",IFERROR(IF(INDEX(Deals!$Y$2:$Y$355,MATCH($C17,Deals!$A$2:$A$355,0))=0,"",INDEX(Deals!$Y$2:$Y$355,MATCH($C17,Deals!$A$2:$A$355,0))),""))</f>
        <v/>
      </c>
      <c r="V17" s="35">
        <f>IF(OR($U17&lt;&gt;"",AND($AO17&gt;0,$L17&lt;&gt;"",$M17&lt;&gt;"")),$N17,DATE(1900,1,1))</f>
        <v/>
      </c>
      <c r="W17" s="35">
        <f>IF($U17&lt;&gt;"",$U17,IF(AND($AO17&gt;0,$L17&lt;&gt;"",$M17&lt;&gt;""),$O17,DATE(2100,12,31)))</f>
        <v/>
      </c>
      <c r="X17" s="32">
        <f>IF($U17="",$K17,$K17*$S17)</f>
        <v/>
      </c>
      <c r="Y17" s="35">
        <f>IF($U17="",DATE(2100,12,31),$U17+1)</f>
        <v/>
      </c>
      <c r="Z17" s="35">
        <f>IF($U17="",DATE(1900,1,1),$O17)</f>
        <v/>
      </c>
      <c r="AA17" s="32">
        <f>IF($U17="",0,$K17*$T17)</f>
        <v/>
      </c>
      <c r="AB17" s="21">
        <f>IF($C17="",0,IFERROR(INDEX(Deals!$AD$2:$AD$355,MATCH($C17,Deals!$A$2:$A$355,0)),0))</f>
        <v/>
      </c>
      <c r="AC17" s="32">
        <f>IF(Settings!$B$4="Yes",$I17*$AB17,$I17)</f>
        <v/>
      </c>
      <c r="AD17" s="22">
        <f>IF($C17="","",IFERROR(IF(INDEX(Deals!$AE$2:$AE$355,MATCH($C17,Deals!$A$2:$A$355,0))=0,"",INDEX(Deals!$AE$2:$AE$355,MATCH($C17,Deals!$A$2:$A$355,0))),""))</f>
        <v/>
      </c>
      <c r="AE17" s="22">
        <f>IF($C17="","",IFERROR(IF(INDEX(Deals!$AF$2:$AF$355,MATCH($C17,Deals!$A$2:$A$355,0))=0,"",INDEX(Deals!$AF$2:$AF$355,MATCH($C17,Deals!$A$2:$A$355,0))),""))</f>
        <v/>
      </c>
      <c r="AF17" s="35">
        <f>IF($AD17="",DATE(1900,1,1),$AD17)</f>
        <v/>
      </c>
      <c r="AG17" s="35">
        <f>IF($AE17="",DATE(2100,12,31),$AE17)</f>
        <v/>
      </c>
      <c r="AH17" s="22">
        <f>IF($C17="","",IFERROR(IF(INDEX(Deals!$AG$2:$AG$355,MATCH($C17,Deals!$A$2:$A$355,0))=0,"",INDEX(Deals!$AG$2:$AG$355,MATCH($C17,Deals!$A$2:$A$355,0))),""))</f>
        <v/>
      </c>
      <c r="AI17" s="35">
        <f>IF(OR($AH17&lt;&gt;"",AND($AO17&gt;0,$AD17&lt;&gt;"",$AE17&lt;&gt;"")),$AF17,DATE(1900,1,1))</f>
        <v/>
      </c>
      <c r="AJ17" s="35">
        <f>IF($AH17&lt;&gt;"",$AH17,IF(AND($AO17&gt;0,$AD17&lt;&gt;"",$AE17&lt;&gt;""),$AG17,DATE(2100,12,31)))</f>
        <v/>
      </c>
      <c r="AK17" s="32">
        <f>IF($AH17="",$AC17,$AC17*$S17)</f>
        <v/>
      </c>
      <c r="AL17" s="35">
        <f>IF($AH17="",DATE(2100,12,31),$AH17+1)</f>
        <v/>
      </c>
      <c r="AM17" s="35">
        <f>IF($AH17="",DATE(1900,1,1),$AG17)</f>
        <v/>
      </c>
      <c r="AN17" s="32">
        <f>IF($AH17="",0,$AC17*$T17)</f>
        <v/>
      </c>
      <c r="AO17" s="46">
        <f>IF($C17="",0,IFERROR(INDEX(Deals!$BD$2:$BD$355,MATCH($C17,Deals!$A$2:$A$355,0)),0))</f>
        <v/>
      </c>
      <c r="AP17" s="18">
        <f>IF($AO17=0,0,IFERROR(INDEX(Deals!$BJ$2:$BP$355,MATCH($C17,Deals!$A$2:$A$355,0),MATCH($F17,Deals!$BJ$1:$BP$1,0))/COUNTIFS(Assignments!$C$2:$C$769,$C17,Assignments!$F$2:$F$769,$F17,Assignments!$G$2:$G$769,"Active"),0))</f>
        <v/>
      </c>
    </row>
    <row r="18">
      <c r="A18" s="28" t="inlineStr">
        <is>
          <t>Tania</t>
        </is>
      </c>
      <c r="B18" s="16">
        <f>IF($A18="","",IFERROR(INDEX(Roster!$B$2:$B$40,MATCH($A18,Roster!$A$2:$A$40,0)),"?"))</f>
        <v/>
      </c>
      <c r="C18" s="28" t="inlineStr">
        <is>
          <t>Coral II_1</t>
        </is>
      </c>
      <c r="D18" s="16">
        <f>IF($C18="","",IFERROR(IF(INDEX(Deals!$C$2:$C$355,MATCH($C18,Deals!$A$2:$A$355,0))=0,"",INDEX(Deals!$C$2:$C$355,MATCH($C18,Deals!$A$2:$A$355,0))),"?"))</f>
        <v/>
      </c>
      <c r="E18" s="16">
        <f>IF($C18="","",IFERROR(INDEX(Deals!$F$2:$F$355,MATCH($C18,Deals!$A$2:$A$355,0)),"?"))</f>
        <v/>
      </c>
      <c r="F18" s="28" t="inlineStr">
        <is>
          <t>Partner</t>
        </is>
      </c>
      <c r="G18" s="28" t="inlineStr">
        <is>
          <t>Active</t>
        </is>
      </c>
      <c r="H18" s="31" t="n"/>
      <c r="I18" s="32">
        <f>IF(OR($A18="",$G18&lt;&gt;"Active"),0,IF($H18&lt;&gt;"",$H18,IF($AO18&gt;0,$AP18,IF(AND($R18&lt;&gt;"",IFERROR(INDEX(Templates!$B$3:$H$10,MATCH($R18,Templates!$A$3:$A$10,0),MATCH($F18,Templates!$B$2:$H$2,0)),0)&gt;0),INDEX(Templates!$B$3:$H$10,MATCH($R18,Templates!$A$3:$A$10,0),MATCH($F18,Templates!$B$2:$H$2,0)),IFERROR(INDEX(Settings!$B$8:$B$14,MATCH($F18,Settings!$A$8:$A$14,0)),0)))))</f>
        <v/>
      </c>
      <c r="J18" s="21">
        <f>IF($C18="",0,IFERROR(INDEX(Deals!$H$2:$H$355,MATCH($C18,Deals!$A$2:$A$355,0)),0))</f>
        <v/>
      </c>
      <c r="K18" s="32">
        <f>IF(Settings!$B$4="Yes",$I18*$J18,$I18)</f>
        <v/>
      </c>
      <c r="L18" s="22">
        <f>IF($C18="","",IFERROR(IF(INDEX(Deals!$I$2:$I$355,MATCH($C18,Deals!$A$2:$A$355,0))=0,"",INDEX(Deals!$I$2:$I$355,MATCH($C18,Deals!$A$2:$A$355,0))),""))</f>
        <v/>
      </c>
      <c r="M18" s="22">
        <f>IF($C18="","",IFERROR(IF(INDEX(Deals!$J$2:$J$355,MATCH($C18,Deals!$A$2:$A$355,0))=0,"",INDEX(Deals!$J$2:$J$355,MATCH($C18,Deals!$A$2:$A$355,0))),""))</f>
        <v/>
      </c>
      <c r="N18" s="35">
        <f>IF($L18="",DATE(1900,1,1),$L18)</f>
        <v/>
      </c>
      <c r="O18" s="35">
        <f>IF($M18="",DATE(2100,12,31),$M18)</f>
        <v/>
      </c>
      <c r="P18" s="20" t="inlineStr"/>
      <c r="Q18" s="47" t="inlineStr"/>
      <c r="R18" s="16">
        <f>IF($C18="","",IFERROR(IF(INDEX(Deals!$U$2:$U$355,MATCH($C18,Deals!$A$2:$A$355,0))=0,"",INDEX(Deals!$U$2:$U$355,MATCH($C18,Deals!$A$2:$A$355,0))),""))</f>
        <v/>
      </c>
      <c r="S18" s="34">
        <f>IFERROR(IF($U18="",1,INDEX(Deals!$V$2:$V$355,MATCH($C18,Deals!$A$2:$A$355,0))),1)</f>
        <v/>
      </c>
      <c r="T18" s="34">
        <f>IFERROR(IF($U18="",1,INDEX(Deals!$W$2:$W$355,MATCH($C18,Deals!$A$2:$A$355,0))),1)</f>
        <v/>
      </c>
      <c r="U18" s="22">
        <f>IF($C18="","",IFERROR(IF(INDEX(Deals!$Y$2:$Y$355,MATCH($C18,Deals!$A$2:$A$355,0))=0,"",INDEX(Deals!$Y$2:$Y$355,MATCH($C18,Deals!$A$2:$A$355,0))),""))</f>
        <v/>
      </c>
      <c r="V18" s="35">
        <f>IF(OR($U18&lt;&gt;"",AND($AO18&gt;0,$L18&lt;&gt;"",$M18&lt;&gt;"")),$N18,DATE(1900,1,1))</f>
        <v/>
      </c>
      <c r="W18" s="35">
        <f>IF($U18&lt;&gt;"",$U18,IF(AND($AO18&gt;0,$L18&lt;&gt;"",$M18&lt;&gt;""),$O18,DATE(2100,12,31)))</f>
        <v/>
      </c>
      <c r="X18" s="32">
        <f>IF($U18="",$K18,$K18*$S18)</f>
        <v/>
      </c>
      <c r="Y18" s="35">
        <f>IF($U18="",DATE(2100,12,31),$U18+1)</f>
        <v/>
      </c>
      <c r="Z18" s="35">
        <f>IF($U18="",DATE(1900,1,1),$O18)</f>
        <v/>
      </c>
      <c r="AA18" s="32">
        <f>IF($U18="",0,$K18*$T18)</f>
        <v/>
      </c>
      <c r="AB18" s="21">
        <f>IF($C18="",0,IFERROR(INDEX(Deals!$AD$2:$AD$355,MATCH($C18,Deals!$A$2:$A$355,0)),0))</f>
        <v/>
      </c>
      <c r="AC18" s="32">
        <f>IF(Settings!$B$4="Yes",$I18*$AB18,$I18)</f>
        <v/>
      </c>
      <c r="AD18" s="22">
        <f>IF($C18="","",IFERROR(IF(INDEX(Deals!$AE$2:$AE$355,MATCH($C18,Deals!$A$2:$A$355,0))=0,"",INDEX(Deals!$AE$2:$AE$355,MATCH($C18,Deals!$A$2:$A$355,0))),""))</f>
        <v/>
      </c>
      <c r="AE18" s="22">
        <f>IF($C18="","",IFERROR(IF(INDEX(Deals!$AF$2:$AF$355,MATCH($C18,Deals!$A$2:$A$355,0))=0,"",INDEX(Deals!$AF$2:$AF$355,MATCH($C18,Deals!$A$2:$A$355,0))),""))</f>
        <v/>
      </c>
      <c r="AF18" s="35">
        <f>IF($AD18="",DATE(1900,1,1),$AD18)</f>
        <v/>
      </c>
      <c r="AG18" s="35">
        <f>IF($AE18="",DATE(2100,12,31),$AE18)</f>
        <v/>
      </c>
      <c r="AH18" s="22">
        <f>IF($C18="","",IFERROR(IF(INDEX(Deals!$AG$2:$AG$355,MATCH($C18,Deals!$A$2:$A$355,0))=0,"",INDEX(Deals!$AG$2:$AG$355,MATCH($C18,Deals!$A$2:$A$355,0))),""))</f>
        <v/>
      </c>
      <c r="AI18" s="35">
        <f>IF(OR($AH18&lt;&gt;"",AND($AO18&gt;0,$AD18&lt;&gt;"",$AE18&lt;&gt;"")),$AF18,DATE(1900,1,1))</f>
        <v/>
      </c>
      <c r="AJ18" s="35">
        <f>IF($AH18&lt;&gt;"",$AH18,IF(AND($AO18&gt;0,$AD18&lt;&gt;"",$AE18&lt;&gt;""),$AG18,DATE(2100,12,31)))</f>
        <v/>
      </c>
      <c r="AK18" s="32">
        <f>IF($AH18="",$AC18,$AC18*$S18)</f>
        <v/>
      </c>
      <c r="AL18" s="35">
        <f>IF($AH18="",DATE(2100,12,31),$AH18+1)</f>
        <v/>
      </c>
      <c r="AM18" s="35">
        <f>IF($AH18="",DATE(1900,1,1),$AG18)</f>
        <v/>
      </c>
      <c r="AN18" s="32">
        <f>IF($AH18="",0,$AC18*$T18)</f>
        <v/>
      </c>
      <c r="AO18" s="46">
        <f>IF($C18="",0,IFERROR(INDEX(Deals!$BD$2:$BD$355,MATCH($C18,Deals!$A$2:$A$355,0)),0))</f>
        <v/>
      </c>
      <c r="AP18" s="18">
        <f>IF($AO18=0,0,IFERROR(INDEX(Deals!$BJ$2:$BP$355,MATCH($C18,Deals!$A$2:$A$355,0),MATCH($F18,Deals!$BJ$1:$BP$1,0))/COUNTIFS(Assignments!$C$2:$C$769,$C18,Assignments!$F$2:$F$769,$F18,Assignments!$G$2:$G$769,"Active"),0))</f>
        <v/>
      </c>
    </row>
    <row r="19">
      <c r="A19" s="28" t="inlineStr">
        <is>
          <t>Tania</t>
        </is>
      </c>
      <c r="B19" s="16">
        <f>IF($A19="","",IFERROR(INDEX(Roster!$B$2:$B$40,MATCH($A19,Roster!$A$2:$A$40,0)),"?"))</f>
        <v/>
      </c>
      <c r="C19" s="28" t="inlineStr">
        <is>
          <t>Delaware_1</t>
        </is>
      </c>
      <c r="D19" s="16">
        <f>IF($C19="","",IFERROR(IF(INDEX(Deals!$C$2:$C$355,MATCH($C19,Deals!$A$2:$A$355,0))=0,"",INDEX(Deals!$C$2:$C$355,MATCH($C19,Deals!$A$2:$A$355,0))),"?"))</f>
        <v/>
      </c>
      <c r="E19" s="16">
        <f>IF($C19="","",IFERROR(INDEX(Deals!$F$2:$F$355,MATCH($C19,Deals!$A$2:$A$355,0)),"?"))</f>
        <v/>
      </c>
      <c r="F19" s="28" t="inlineStr">
        <is>
          <t>Partner</t>
        </is>
      </c>
      <c r="G19" s="28" t="inlineStr">
        <is>
          <t>Active</t>
        </is>
      </c>
      <c r="H19" s="31" t="n"/>
      <c r="I19" s="32">
        <f>IF(OR($A19="",$G19&lt;&gt;"Active"),0,IF($H19&lt;&gt;"",$H19,IF($AO19&gt;0,$AP19,IF(AND($R19&lt;&gt;"",IFERROR(INDEX(Templates!$B$3:$H$10,MATCH($R19,Templates!$A$3:$A$10,0),MATCH($F19,Templates!$B$2:$H$2,0)),0)&gt;0),INDEX(Templates!$B$3:$H$10,MATCH($R19,Templates!$A$3:$A$10,0),MATCH($F19,Templates!$B$2:$H$2,0)),IFERROR(INDEX(Settings!$B$8:$B$14,MATCH($F19,Settings!$A$8:$A$14,0)),0)))))</f>
        <v/>
      </c>
      <c r="J19" s="21">
        <f>IF($C19="",0,IFERROR(INDEX(Deals!$H$2:$H$355,MATCH($C19,Deals!$A$2:$A$355,0)),0))</f>
        <v/>
      </c>
      <c r="K19" s="32">
        <f>IF(Settings!$B$4="Yes",$I19*$J19,$I19)</f>
        <v/>
      </c>
      <c r="L19" s="22">
        <f>IF($C19="","",IFERROR(IF(INDEX(Deals!$I$2:$I$355,MATCH($C19,Deals!$A$2:$A$355,0))=0,"",INDEX(Deals!$I$2:$I$355,MATCH($C19,Deals!$A$2:$A$355,0))),""))</f>
        <v/>
      </c>
      <c r="M19" s="22">
        <f>IF($C19="","",IFERROR(IF(INDEX(Deals!$J$2:$J$355,MATCH($C19,Deals!$A$2:$A$355,0))=0,"",INDEX(Deals!$J$2:$J$355,MATCH($C19,Deals!$A$2:$A$355,0))),""))</f>
        <v/>
      </c>
      <c r="N19" s="35">
        <f>IF($L19="",DATE(1900,1,1),$L19)</f>
        <v/>
      </c>
      <c r="O19" s="35">
        <f>IF($M19="",DATE(2100,12,31),$M19)</f>
        <v/>
      </c>
      <c r="P19" s="20" t="inlineStr"/>
      <c r="Q19" s="47" t="inlineStr"/>
      <c r="R19" s="16">
        <f>IF($C19="","",IFERROR(IF(INDEX(Deals!$U$2:$U$355,MATCH($C19,Deals!$A$2:$A$355,0))=0,"",INDEX(Deals!$U$2:$U$355,MATCH($C19,Deals!$A$2:$A$355,0))),""))</f>
        <v/>
      </c>
      <c r="S19" s="34">
        <f>IFERROR(IF($U19="",1,INDEX(Deals!$V$2:$V$355,MATCH($C19,Deals!$A$2:$A$355,0))),1)</f>
        <v/>
      </c>
      <c r="T19" s="34">
        <f>IFERROR(IF($U19="",1,INDEX(Deals!$W$2:$W$355,MATCH($C19,Deals!$A$2:$A$355,0))),1)</f>
        <v/>
      </c>
      <c r="U19" s="22">
        <f>IF($C19="","",IFERROR(IF(INDEX(Deals!$Y$2:$Y$355,MATCH($C19,Deals!$A$2:$A$355,0))=0,"",INDEX(Deals!$Y$2:$Y$355,MATCH($C19,Deals!$A$2:$A$355,0))),""))</f>
        <v/>
      </c>
      <c r="V19" s="35">
        <f>IF(OR($U19&lt;&gt;"",AND($AO19&gt;0,$L19&lt;&gt;"",$M19&lt;&gt;"")),$N19,DATE(1900,1,1))</f>
        <v/>
      </c>
      <c r="W19" s="35">
        <f>IF($U19&lt;&gt;"",$U19,IF(AND($AO19&gt;0,$L19&lt;&gt;"",$M19&lt;&gt;""),$O19,DATE(2100,12,31)))</f>
        <v/>
      </c>
      <c r="X19" s="32">
        <f>IF($U19="",$K19,$K19*$S19)</f>
        <v/>
      </c>
      <c r="Y19" s="35">
        <f>IF($U19="",DATE(2100,12,31),$U19+1)</f>
        <v/>
      </c>
      <c r="Z19" s="35">
        <f>IF($U19="",DATE(1900,1,1),$O19)</f>
        <v/>
      </c>
      <c r="AA19" s="32">
        <f>IF($U19="",0,$K19*$T19)</f>
        <v/>
      </c>
      <c r="AB19" s="21">
        <f>IF($C19="",0,IFERROR(INDEX(Deals!$AD$2:$AD$355,MATCH($C19,Deals!$A$2:$A$355,0)),0))</f>
        <v/>
      </c>
      <c r="AC19" s="32">
        <f>IF(Settings!$B$4="Yes",$I19*$AB19,$I19)</f>
        <v/>
      </c>
      <c r="AD19" s="22">
        <f>IF($C19="","",IFERROR(IF(INDEX(Deals!$AE$2:$AE$355,MATCH($C19,Deals!$A$2:$A$355,0))=0,"",INDEX(Deals!$AE$2:$AE$355,MATCH($C19,Deals!$A$2:$A$355,0))),""))</f>
        <v/>
      </c>
      <c r="AE19" s="22">
        <f>IF($C19="","",IFERROR(IF(INDEX(Deals!$AF$2:$AF$355,MATCH($C19,Deals!$A$2:$A$355,0))=0,"",INDEX(Deals!$AF$2:$AF$355,MATCH($C19,Deals!$A$2:$A$355,0))),""))</f>
        <v/>
      </c>
      <c r="AF19" s="35">
        <f>IF($AD19="",DATE(1900,1,1),$AD19)</f>
        <v/>
      </c>
      <c r="AG19" s="35">
        <f>IF($AE19="",DATE(2100,12,31),$AE19)</f>
        <v/>
      </c>
      <c r="AH19" s="22">
        <f>IF($C19="","",IFERROR(IF(INDEX(Deals!$AG$2:$AG$355,MATCH($C19,Deals!$A$2:$A$355,0))=0,"",INDEX(Deals!$AG$2:$AG$355,MATCH($C19,Deals!$A$2:$A$355,0))),""))</f>
        <v/>
      </c>
      <c r="AI19" s="35">
        <f>IF(OR($AH19&lt;&gt;"",AND($AO19&gt;0,$AD19&lt;&gt;"",$AE19&lt;&gt;"")),$AF19,DATE(1900,1,1))</f>
        <v/>
      </c>
      <c r="AJ19" s="35">
        <f>IF($AH19&lt;&gt;"",$AH19,IF(AND($AO19&gt;0,$AD19&lt;&gt;"",$AE19&lt;&gt;""),$AG19,DATE(2100,12,31)))</f>
        <v/>
      </c>
      <c r="AK19" s="32">
        <f>IF($AH19="",$AC19,$AC19*$S19)</f>
        <v/>
      </c>
      <c r="AL19" s="35">
        <f>IF($AH19="",DATE(2100,12,31),$AH19+1)</f>
        <v/>
      </c>
      <c r="AM19" s="35">
        <f>IF($AH19="",DATE(1900,1,1),$AG19)</f>
        <v/>
      </c>
      <c r="AN19" s="32">
        <f>IF($AH19="",0,$AC19*$T19)</f>
        <v/>
      </c>
      <c r="AO19" s="46">
        <f>IF($C19="",0,IFERROR(INDEX(Deals!$BD$2:$BD$355,MATCH($C19,Deals!$A$2:$A$355,0)),0))</f>
        <v/>
      </c>
      <c r="AP19" s="18">
        <f>IF($AO19=0,0,IFERROR(INDEX(Deals!$BJ$2:$BP$355,MATCH($C19,Deals!$A$2:$A$355,0),MATCH($F19,Deals!$BJ$1:$BP$1,0))/COUNTIFS(Assignments!$C$2:$C$769,$C19,Assignments!$F$2:$F$769,$F19,Assignments!$G$2:$G$769,"Active"),0))</f>
        <v/>
      </c>
    </row>
    <row r="20">
      <c r="A20" s="28" t="inlineStr">
        <is>
          <t>Tania</t>
        </is>
      </c>
      <c r="B20" s="16">
        <f>IF($A20="","",IFERROR(INDEX(Roster!$B$2:$B$40,MATCH($A20,Roster!$A$2:$A$40,0)),"?"))</f>
        <v/>
      </c>
      <c r="C20" s="28" t="inlineStr">
        <is>
          <t>Eagle_5</t>
        </is>
      </c>
      <c r="D20" s="16">
        <f>IF($C20="","",IFERROR(IF(INDEX(Deals!$C$2:$C$355,MATCH($C20,Deals!$A$2:$A$355,0))=0,"",INDEX(Deals!$C$2:$C$355,MATCH($C20,Deals!$A$2:$A$355,0))),"?"))</f>
        <v/>
      </c>
      <c r="E20" s="16">
        <f>IF($C20="","",IFERROR(INDEX(Deals!$F$2:$F$355,MATCH($C20,Deals!$A$2:$A$355,0)),"?"))</f>
        <v/>
      </c>
      <c r="F20" s="28" t="inlineStr">
        <is>
          <t>Partner</t>
        </is>
      </c>
      <c r="G20" s="28" t="inlineStr">
        <is>
          <t>Active</t>
        </is>
      </c>
      <c r="H20" s="31" t="n"/>
      <c r="I20" s="32">
        <f>IF(OR($A20="",$G20&lt;&gt;"Active"),0,IF($H20&lt;&gt;"",$H20,IF($AO20&gt;0,$AP20,IF(AND($R20&lt;&gt;"",IFERROR(INDEX(Templates!$B$3:$H$10,MATCH($R20,Templates!$A$3:$A$10,0),MATCH($F20,Templates!$B$2:$H$2,0)),0)&gt;0),INDEX(Templates!$B$3:$H$10,MATCH($R20,Templates!$A$3:$A$10,0),MATCH($F20,Templates!$B$2:$H$2,0)),IFERROR(INDEX(Settings!$B$8:$B$14,MATCH($F20,Settings!$A$8:$A$14,0)),0)))))</f>
        <v/>
      </c>
      <c r="J20" s="21">
        <f>IF($C20="",0,IFERROR(INDEX(Deals!$H$2:$H$355,MATCH($C20,Deals!$A$2:$A$355,0)),0))</f>
        <v/>
      </c>
      <c r="K20" s="32">
        <f>IF(Settings!$B$4="Yes",$I20*$J20,$I20)</f>
        <v/>
      </c>
      <c r="L20" s="22">
        <f>IF($C20="","",IFERROR(IF(INDEX(Deals!$I$2:$I$355,MATCH($C20,Deals!$A$2:$A$355,0))=0,"",INDEX(Deals!$I$2:$I$355,MATCH($C20,Deals!$A$2:$A$355,0))),""))</f>
        <v/>
      </c>
      <c r="M20" s="22">
        <f>IF($C20="","",IFERROR(IF(INDEX(Deals!$J$2:$J$355,MATCH($C20,Deals!$A$2:$A$355,0))=0,"",INDEX(Deals!$J$2:$J$355,MATCH($C20,Deals!$A$2:$A$355,0))),""))</f>
        <v/>
      </c>
      <c r="N20" s="35">
        <f>IF($L20="",DATE(1900,1,1),$L20)</f>
        <v/>
      </c>
      <c r="O20" s="35">
        <f>IF($M20="",DATE(2100,12,31),$M20)</f>
        <v/>
      </c>
      <c r="P20" s="20" t="inlineStr"/>
      <c r="Q20" s="47" t="inlineStr"/>
      <c r="R20" s="16">
        <f>IF($C20="","",IFERROR(IF(INDEX(Deals!$U$2:$U$355,MATCH($C20,Deals!$A$2:$A$355,0))=0,"",INDEX(Deals!$U$2:$U$355,MATCH($C20,Deals!$A$2:$A$355,0))),""))</f>
        <v/>
      </c>
      <c r="S20" s="34">
        <f>IFERROR(IF($U20="",1,INDEX(Deals!$V$2:$V$355,MATCH($C20,Deals!$A$2:$A$355,0))),1)</f>
        <v/>
      </c>
      <c r="T20" s="34">
        <f>IFERROR(IF($U20="",1,INDEX(Deals!$W$2:$W$355,MATCH($C20,Deals!$A$2:$A$355,0))),1)</f>
        <v/>
      </c>
      <c r="U20" s="22">
        <f>IF($C20="","",IFERROR(IF(INDEX(Deals!$Y$2:$Y$355,MATCH($C20,Deals!$A$2:$A$355,0))=0,"",INDEX(Deals!$Y$2:$Y$355,MATCH($C20,Deals!$A$2:$A$355,0))),""))</f>
        <v/>
      </c>
      <c r="V20" s="35">
        <f>IF(OR($U20&lt;&gt;"",AND($AO20&gt;0,$L20&lt;&gt;"",$M20&lt;&gt;"")),$N20,DATE(1900,1,1))</f>
        <v/>
      </c>
      <c r="W20" s="35">
        <f>IF($U20&lt;&gt;"",$U20,IF(AND($AO20&gt;0,$L20&lt;&gt;"",$M20&lt;&gt;""),$O20,DATE(2100,12,31)))</f>
        <v/>
      </c>
      <c r="X20" s="32">
        <f>IF($U20="",$K20,$K20*$S20)</f>
        <v/>
      </c>
      <c r="Y20" s="35">
        <f>IF($U20="",DATE(2100,12,31),$U20+1)</f>
        <v/>
      </c>
      <c r="Z20" s="35">
        <f>IF($U20="",DATE(1900,1,1),$O20)</f>
        <v/>
      </c>
      <c r="AA20" s="32">
        <f>IF($U20="",0,$K20*$T20)</f>
        <v/>
      </c>
      <c r="AB20" s="21">
        <f>IF($C20="",0,IFERROR(INDEX(Deals!$AD$2:$AD$355,MATCH($C20,Deals!$A$2:$A$355,0)),0))</f>
        <v/>
      </c>
      <c r="AC20" s="32">
        <f>IF(Settings!$B$4="Yes",$I20*$AB20,$I20)</f>
        <v/>
      </c>
      <c r="AD20" s="22">
        <f>IF($C20="","",IFERROR(IF(INDEX(Deals!$AE$2:$AE$355,MATCH($C20,Deals!$A$2:$A$355,0))=0,"",INDEX(Deals!$AE$2:$AE$355,MATCH($C20,Deals!$A$2:$A$355,0))),""))</f>
        <v/>
      </c>
      <c r="AE20" s="22">
        <f>IF($C20="","",IFERROR(IF(INDEX(Deals!$AF$2:$AF$355,MATCH($C20,Deals!$A$2:$A$355,0))=0,"",INDEX(Deals!$AF$2:$AF$355,MATCH($C20,Deals!$A$2:$A$355,0))),""))</f>
        <v/>
      </c>
      <c r="AF20" s="35">
        <f>IF($AD20="",DATE(1900,1,1),$AD20)</f>
        <v/>
      </c>
      <c r="AG20" s="35">
        <f>IF($AE20="",DATE(2100,12,31),$AE20)</f>
        <v/>
      </c>
      <c r="AH20" s="22">
        <f>IF($C20="","",IFERROR(IF(INDEX(Deals!$AG$2:$AG$355,MATCH($C20,Deals!$A$2:$A$355,0))=0,"",INDEX(Deals!$AG$2:$AG$355,MATCH($C20,Deals!$A$2:$A$355,0))),""))</f>
        <v/>
      </c>
      <c r="AI20" s="35">
        <f>IF(OR($AH20&lt;&gt;"",AND($AO20&gt;0,$AD20&lt;&gt;"",$AE20&lt;&gt;"")),$AF20,DATE(1900,1,1))</f>
        <v/>
      </c>
      <c r="AJ20" s="35">
        <f>IF($AH20&lt;&gt;"",$AH20,IF(AND($AO20&gt;0,$AD20&lt;&gt;"",$AE20&lt;&gt;""),$AG20,DATE(2100,12,31)))</f>
        <v/>
      </c>
      <c r="AK20" s="32">
        <f>IF($AH20="",$AC20,$AC20*$S20)</f>
        <v/>
      </c>
      <c r="AL20" s="35">
        <f>IF($AH20="",DATE(2100,12,31),$AH20+1)</f>
        <v/>
      </c>
      <c r="AM20" s="35">
        <f>IF($AH20="",DATE(1900,1,1),$AG20)</f>
        <v/>
      </c>
      <c r="AN20" s="32">
        <f>IF($AH20="",0,$AC20*$T20)</f>
        <v/>
      </c>
      <c r="AO20" s="46">
        <f>IF($C20="",0,IFERROR(INDEX(Deals!$BD$2:$BD$355,MATCH($C20,Deals!$A$2:$A$355,0)),0))</f>
        <v/>
      </c>
      <c r="AP20" s="18">
        <f>IF($AO20=0,0,IFERROR(INDEX(Deals!$BJ$2:$BP$355,MATCH($C20,Deals!$A$2:$A$355,0),MATCH($F20,Deals!$BJ$1:$BP$1,0))/COUNTIFS(Assignments!$C$2:$C$769,$C20,Assignments!$F$2:$F$769,$F20,Assignments!$G$2:$G$769,"Active"),0))</f>
        <v/>
      </c>
    </row>
    <row r="21">
      <c r="A21" s="28" t="inlineStr">
        <is>
          <t>Tania</t>
        </is>
      </c>
      <c r="B21" s="16">
        <f>IF($A21="","",IFERROR(INDEX(Roster!$B$2:$B$40,MATCH($A21,Roster!$A$2:$A$40,0)),"?"))</f>
        <v/>
      </c>
      <c r="C21" s="28" t="inlineStr">
        <is>
          <t>Eagle_7</t>
        </is>
      </c>
      <c r="D21" s="16">
        <f>IF($C21="","",IFERROR(IF(INDEX(Deals!$C$2:$C$355,MATCH($C21,Deals!$A$2:$A$355,0))=0,"",INDEX(Deals!$C$2:$C$355,MATCH($C21,Deals!$A$2:$A$355,0))),"?"))</f>
        <v/>
      </c>
      <c r="E21" s="16">
        <f>IF($C21="","",IFERROR(INDEX(Deals!$F$2:$F$355,MATCH($C21,Deals!$A$2:$A$355,0)),"?"))</f>
        <v/>
      </c>
      <c r="F21" s="28" t="inlineStr">
        <is>
          <t>Partner</t>
        </is>
      </c>
      <c r="G21" s="28" t="inlineStr">
        <is>
          <t>Active</t>
        </is>
      </c>
      <c r="H21" s="31" t="n"/>
      <c r="I21" s="32">
        <f>IF(OR($A21="",$G21&lt;&gt;"Active"),0,IF($H21&lt;&gt;"",$H21,IF($AO21&gt;0,$AP21,IF(AND($R21&lt;&gt;"",IFERROR(INDEX(Templates!$B$3:$H$10,MATCH($R21,Templates!$A$3:$A$10,0),MATCH($F21,Templates!$B$2:$H$2,0)),0)&gt;0),INDEX(Templates!$B$3:$H$10,MATCH($R21,Templates!$A$3:$A$10,0),MATCH($F21,Templates!$B$2:$H$2,0)),IFERROR(INDEX(Settings!$B$8:$B$14,MATCH($F21,Settings!$A$8:$A$14,0)),0)))))</f>
        <v/>
      </c>
      <c r="J21" s="21">
        <f>IF($C21="",0,IFERROR(INDEX(Deals!$H$2:$H$355,MATCH($C21,Deals!$A$2:$A$355,0)),0))</f>
        <v/>
      </c>
      <c r="K21" s="32">
        <f>IF(Settings!$B$4="Yes",$I21*$J21,$I21)</f>
        <v/>
      </c>
      <c r="L21" s="22">
        <f>IF($C21="","",IFERROR(IF(INDEX(Deals!$I$2:$I$355,MATCH($C21,Deals!$A$2:$A$355,0))=0,"",INDEX(Deals!$I$2:$I$355,MATCH($C21,Deals!$A$2:$A$355,0))),""))</f>
        <v/>
      </c>
      <c r="M21" s="22">
        <f>IF($C21="","",IFERROR(IF(INDEX(Deals!$J$2:$J$355,MATCH($C21,Deals!$A$2:$A$355,0))=0,"",INDEX(Deals!$J$2:$J$355,MATCH($C21,Deals!$A$2:$A$355,0))),""))</f>
        <v/>
      </c>
      <c r="N21" s="35">
        <f>IF($L21="",DATE(1900,1,1),$L21)</f>
        <v/>
      </c>
      <c r="O21" s="35">
        <f>IF($M21="",DATE(2100,12,31),$M21)</f>
        <v/>
      </c>
      <c r="P21" s="20" t="inlineStr"/>
      <c r="Q21" s="47" t="inlineStr"/>
      <c r="R21" s="16">
        <f>IF($C21="","",IFERROR(IF(INDEX(Deals!$U$2:$U$355,MATCH($C21,Deals!$A$2:$A$355,0))=0,"",INDEX(Deals!$U$2:$U$355,MATCH($C21,Deals!$A$2:$A$355,0))),""))</f>
        <v/>
      </c>
      <c r="S21" s="34">
        <f>IFERROR(IF($U21="",1,INDEX(Deals!$V$2:$V$355,MATCH($C21,Deals!$A$2:$A$355,0))),1)</f>
        <v/>
      </c>
      <c r="T21" s="34">
        <f>IFERROR(IF($U21="",1,INDEX(Deals!$W$2:$W$355,MATCH($C21,Deals!$A$2:$A$355,0))),1)</f>
        <v/>
      </c>
      <c r="U21" s="22">
        <f>IF($C21="","",IFERROR(IF(INDEX(Deals!$Y$2:$Y$355,MATCH($C21,Deals!$A$2:$A$355,0))=0,"",INDEX(Deals!$Y$2:$Y$355,MATCH($C21,Deals!$A$2:$A$355,0))),""))</f>
        <v/>
      </c>
      <c r="V21" s="35">
        <f>IF(OR($U21&lt;&gt;"",AND($AO21&gt;0,$L21&lt;&gt;"",$M21&lt;&gt;"")),$N21,DATE(1900,1,1))</f>
        <v/>
      </c>
      <c r="W21" s="35">
        <f>IF($U21&lt;&gt;"",$U21,IF(AND($AO21&gt;0,$L21&lt;&gt;"",$M21&lt;&gt;""),$O21,DATE(2100,12,31)))</f>
        <v/>
      </c>
      <c r="X21" s="32">
        <f>IF($U21="",$K21,$K21*$S21)</f>
        <v/>
      </c>
      <c r="Y21" s="35">
        <f>IF($U21="",DATE(2100,12,31),$U21+1)</f>
        <v/>
      </c>
      <c r="Z21" s="35">
        <f>IF($U21="",DATE(1900,1,1),$O21)</f>
        <v/>
      </c>
      <c r="AA21" s="32">
        <f>IF($U21="",0,$K21*$T21)</f>
        <v/>
      </c>
      <c r="AB21" s="21">
        <f>IF($C21="",0,IFERROR(INDEX(Deals!$AD$2:$AD$355,MATCH($C21,Deals!$A$2:$A$355,0)),0))</f>
        <v/>
      </c>
      <c r="AC21" s="32">
        <f>IF(Settings!$B$4="Yes",$I21*$AB21,$I21)</f>
        <v/>
      </c>
      <c r="AD21" s="22">
        <f>IF($C21="","",IFERROR(IF(INDEX(Deals!$AE$2:$AE$355,MATCH($C21,Deals!$A$2:$A$355,0))=0,"",INDEX(Deals!$AE$2:$AE$355,MATCH($C21,Deals!$A$2:$A$355,0))),""))</f>
        <v/>
      </c>
      <c r="AE21" s="22">
        <f>IF($C21="","",IFERROR(IF(INDEX(Deals!$AF$2:$AF$355,MATCH($C21,Deals!$A$2:$A$355,0))=0,"",INDEX(Deals!$AF$2:$AF$355,MATCH($C21,Deals!$A$2:$A$355,0))),""))</f>
        <v/>
      </c>
      <c r="AF21" s="35">
        <f>IF($AD21="",DATE(1900,1,1),$AD21)</f>
        <v/>
      </c>
      <c r="AG21" s="35">
        <f>IF($AE21="",DATE(2100,12,31),$AE21)</f>
        <v/>
      </c>
      <c r="AH21" s="22">
        <f>IF($C21="","",IFERROR(IF(INDEX(Deals!$AG$2:$AG$355,MATCH($C21,Deals!$A$2:$A$355,0))=0,"",INDEX(Deals!$AG$2:$AG$355,MATCH($C21,Deals!$A$2:$A$355,0))),""))</f>
        <v/>
      </c>
      <c r="AI21" s="35">
        <f>IF(OR($AH21&lt;&gt;"",AND($AO21&gt;0,$AD21&lt;&gt;"",$AE21&lt;&gt;"")),$AF21,DATE(1900,1,1))</f>
        <v/>
      </c>
      <c r="AJ21" s="35">
        <f>IF($AH21&lt;&gt;"",$AH21,IF(AND($AO21&gt;0,$AD21&lt;&gt;"",$AE21&lt;&gt;""),$AG21,DATE(2100,12,31)))</f>
        <v/>
      </c>
      <c r="AK21" s="32">
        <f>IF($AH21="",$AC21,$AC21*$S21)</f>
        <v/>
      </c>
      <c r="AL21" s="35">
        <f>IF($AH21="",DATE(2100,12,31),$AH21+1)</f>
        <v/>
      </c>
      <c r="AM21" s="35">
        <f>IF($AH21="",DATE(1900,1,1),$AG21)</f>
        <v/>
      </c>
      <c r="AN21" s="32">
        <f>IF($AH21="",0,$AC21*$T21)</f>
        <v/>
      </c>
      <c r="AO21" s="46">
        <f>IF($C21="",0,IFERROR(INDEX(Deals!$BD$2:$BD$355,MATCH($C21,Deals!$A$2:$A$355,0)),0))</f>
        <v/>
      </c>
      <c r="AP21" s="18">
        <f>IF($AO21=0,0,IFERROR(INDEX(Deals!$BJ$2:$BP$355,MATCH($C21,Deals!$A$2:$A$355,0),MATCH($F21,Deals!$BJ$1:$BP$1,0))/COUNTIFS(Assignments!$C$2:$C$769,$C21,Assignments!$F$2:$F$769,$F21,Assignments!$G$2:$G$769,"Active"),0))</f>
        <v/>
      </c>
    </row>
    <row r="22">
      <c r="A22" s="28" t="inlineStr">
        <is>
          <t>Tania</t>
        </is>
      </c>
      <c r="B22" s="16">
        <f>IF($A22="","",IFERROR(INDEX(Roster!$B$2:$B$40,MATCH($A22,Roster!$A$2:$A$40,0)),"?"))</f>
        <v/>
      </c>
      <c r="C22" s="28" t="inlineStr">
        <is>
          <t>Edward_1</t>
        </is>
      </c>
      <c r="D22" s="16">
        <f>IF($C22="","",IFERROR(IF(INDEX(Deals!$C$2:$C$355,MATCH($C22,Deals!$A$2:$A$355,0))=0,"",INDEX(Deals!$C$2:$C$355,MATCH($C22,Deals!$A$2:$A$355,0))),"?"))</f>
        <v/>
      </c>
      <c r="E22" s="16">
        <f>IF($C22="","",IFERROR(INDEX(Deals!$F$2:$F$355,MATCH($C22,Deals!$A$2:$A$355,0)),"?"))</f>
        <v/>
      </c>
      <c r="F22" s="28" t="inlineStr">
        <is>
          <t>Partner</t>
        </is>
      </c>
      <c r="G22" s="28" t="inlineStr">
        <is>
          <t>Inactive</t>
        </is>
      </c>
      <c r="H22" s="31" t="n"/>
      <c r="I22" s="32">
        <f>IF(OR($A22="",$G22&lt;&gt;"Active"),0,IF($H22&lt;&gt;"",$H22,IF($AO22&gt;0,$AP22,IF(AND($R22&lt;&gt;"",IFERROR(INDEX(Templates!$B$3:$H$10,MATCH($R22,Templates!$A$3:$A$10,0),MATCH($F22,Templates!$B$2:$H$2,0)),0)&gt;0),INDEX(Templates!$B$3:$H$10,MATCH($R22,Templates!$A$3:$A$10,0),MATCH($F22,Templates!$B$2:$H$2,0)),IFERROR(INDEX(Settings!$B$8:$B$14,MATCH($F22,Settings!$A$8:$A$14,0)),0)))))</f>
        <v/>
      </c>
      <c r="J22" s="21">
        <f>IF($C22="",0,IFERROR(INDEX(Deals!$H$2:$H$355,MATCH($C22,Deals!$A$2:$A$355,0)),0))</f>
        <v/>
      </c>
      <c r="K22" s="32">
        <f>IF(Settings!$B$4="Yes",$I22*$J22,$I22)</f>
        <v/>
      </c>
      <c r="L22" s="22">
        <f>IF($C22="","",IFERROR(IF(INDEX(Deals!$I$2:$I$355,MATCH($C22,Deals!$A$2:$A$355,0))=0,"",INDEX(Deals!$I$2:$I$355,MATCH($C22,Deals!$A$2:$A$355,0))),""))</f>
        <v/>
      </c>
      <c r="M22" s="22">
        <f>IF($C22="","",IFERROR(IF(INDEX(Deals!$J$2:$J$355,MATCH($C22,Deals!$A$2:$A$355,0))=0,"",INDEX(Deals!$J$2:$J$355,MATCH($C22,Deals!$A$2:$A$355,0))),""))</f>
        <v/>
      </c>
      <c r="N22" s="35">
        <f>IF($L22="",DATE(1900,1,1),$L22)</f>
        <v/>
      </c>
      <c r="O22" s="35">
        <f>IF($M22="",DATE(2100,12,31),$M22)</f>
        <v/>
      </c>
      <c r="P22" s="20" t="inlineStr"/>
      <c r="Q22" s="47" t="inlineStr">
        <is>
          <t>Deal lifecycle is Closed</t>
        </is>
      </c>
      <c r="R22" s="16">
        <f>IF($C22="","",IFERROR(IF(INDEX(Deals!$U$2:$U$355,MATCH($C22,Deals!$A$2:$A$355,0))=0,"",INDEX(Deals!$U$2:$U$355,MATCH($C22,Deals!$A$2:$A$355,0))),""))</f>
        <v/>
      </c>
      <c r="S22" s="34">
        <f>IFERROR(IF($U22="",1,INDEX(Deals!$V$2:$V$355,MATCH($C22,Deals!$A$2:$A$355,0))),1)</f>
        <v/>
      </c>
      <c r="T22" s="34">
        <f>IFERROR(IF($U22="",1,INDEX(Deals!$W$2:$W$355,MATCH($C22,Deals!$A$2:$A$355,0))),1)</f>
        <v/>
      </c>
      <c r="U22" s="22">
        <f>IF($C22="","",IFERROR(IF(INDEX(Deals!$Y$2:$Y$355,MATCH($C22,Deals!$A$2:$A$355,0))=0,"",INDEX(Deals!$Y$2:$Y$355,MATCH($C22,Deals!$A$2:$A$355,0))),""))</f>
        <v/>
      </c>
      <c r="V22" s="35">
        <f>IF(OR($U22&lt;&gt;"",AND($AO22&gt;0,$L22&lt;&gt;"",$M22&lt;&gt;"")),$N22,DATE(1900,1,1))</f>
        <v/>
      </c>
      <c r="W22" s="35">
        <f>IF($U22&lt;&gt;"",$U22,IF(AND($AO22&gt;0,$L22&lt;&gt;"",$M22&lt;&gt;""),$O22,DATE(2100,12,31)))</f>
        <v/>
      </c>
      <c r="X22" s="32">
        <f>IF($U22="",$K22,$K22*$S22)</f>
        <v/>
      </c>
      <c r="Y22" s="35">
        <f>IF($U22="",DATE(2100,12,31),$U22+1)</f>
        <v/>
      </c>
      <c r="Z22" s="35">
        <f>IF($U22="",DATE(1900,1,1),$O22)</f>
        <v/>
      </c>
      <c r="AA22" s="32">
        <f>IF($U22="",0,$K22*$T22)</f>
        <v/>
      </c>
      <c r="AB22" s="21">
        <f>IF($C22="",0,IFERROR(INDEX(Deals!$AD$2:$AD$355,MATCH($C22,Deals!$A$2:$A$355,0)),0))</f>
        <v/>
      </c>
      <c r="AC22" s="32">
        <f>IF(Settings!$B$4="Yes",$I22*$AB22,$I22)</f>
        <v/>
      </c>
      <c r="AD22" s="22">
        <f>IF($C22="","",IFERROR(IF(INDEX(Deals!$AE$2:$AE$355,MATCH($C22,Deals!$A$2:$A$355,0))=0,"",INDEX(Deals!$AE$2:$AE$355,MATCH($C22,Deals!$A$2:$A$355,0))),""))</f>
        <v/>
      </c>
      <c r="AE22" s="22">
        <f>IF($C22="","",IFERROR(IF(INDEX(Deals!$AF$2:$AF$355,MATCH($C22,Deals!$A$2:$A$355,0))=0,"",INDEX(Deals!$AF$2:$AF$355,MATCH($C22,Deals!$A$2:$A$355,0))),""))</f>
        <v/>
      </c>
      <c r="AF22" s="35">
        <f>IF($AD22="",DATE(1900,1,1),$AD22)</f>
        <v/>
      </c>
      <c r="AG22" s="35">
        <f>IF($AE22="",DATE(2100,12,31),$AE22)</f>
        <v/>
      </c>
      <c r="AH22" s="22">
        <f>IF($C22="","",IFERROR(IF(INDEX(Deals!$AG$2:$AG$355,MATCH($C22,Deals!$A$2:$A$355,0))=0,"",INDEX(Deals!$AG$2:$AG$355,MATCH($C22,Deals!$A$2:$A$355,0))),""))</f>
        <v/>
      </c>
      <c r="AI22" s="35">
        <f>IF(OR($AH22&lt;&gt;"",AND($AO22&gt;0,$AD22&lt;&gt;"",$AE22&lt;&gt;"")),$AF22,DATE(1900,1,1))</f>
        <v/>
      </c>
      <c r="AJ22" s="35">
        <f>IF($AH22&lt;&gt;"",$AH22,IF(AND($AO22&gt;0,$AD22&lt;&gt;"",$AE22&lt;&gt;""),$AG22,DATE(2100,12,31)))</f>
        <v/>
      </c>
      <c r="AK22" s="32">
        <f>IF($AH22="",$AC22,$AC22*$S22)</f>
        <v/>
      </c>
      <c r="AL22" s="35">
        <f>IF($AH22="",DATE(2100,12,31),$AH22+1)</f>
        <v/>
      </c>
      <c r="AM22" s="35">
        <f>IF($AH22="",DATE(1900,1,1),$AG22)</f>
        <v/>
      </c>
      <c r="AN22" s="32">
        <f>IF($AH22="",0,$AC22*$T22)</f>
        <v/>
      </c>
      <c r="AO22" s="46">
        <f>IF($C22="",0,IFERROR(INDEX(Deals!$BD$2:$BD$355,MATCH($C22,Deals!$A$2:$A$355,0)),0))</f>
        <v/>
      </c>
      <c r="AP22" s="18">
        <f>IF($AO22=0,0,IFERROR(INDEX(Deals!$BJ$2:$BP$355,MATCH($C22,Deals!$A$2:$A$355,0),MATCH($F22,Deals!$BJ$1:$BP$1,0))/COUNTIFS(Assignments!$C$2:$C$769,$C22,Assignments!$F$2:$F$769,$F22,Assignments!$G$2:$G$769,"Active"),0))</f>
        <v/>
      </c>
    </row>
    <row r="23">
      <c r="A23" s="28" t="inlineStr">
        <is>
          <t>Tania</t>
        </is>
      </c>
      <c r="B23" s="16">
        <f>IF($A23="","",IFERROR(INDEX(Roster!$B$2:$B$40,MATCH($A23,Roster!$A$2:$A$40,0)),"?"))</f>
        <v/>
      </c>
      <c r="C23" s="28" t="inlineStr">
        <is>
          <t>FAUME US Expansion_1</t>
        </is>
      </c>
      <c r="D23" s="16">
        <f>IF($C23="","",IFERROR(IF(INDEX(Deals!$C$2:$C$355,MATCH($C23,Deals!$A$2:$A$355,0))=0,"",INDEX(Deals!$C$2:$C$355,MATCH($C23,Deals!$A$2:$A$355,0))),"?"))</f>
        <v/>
      </c>
      <c r="E23" s="16">
        <f>IF($C23="","",IFERROR(INDEX(Deals!$F$2:$F$355,MATCH($C23,Deals!$A$2:$A$355,0)),"?"))</f>
        <v/>
      </c>
      <c r="F23" s="28" t="inlineStr">
        <is>
          <t>Partner</t>
        </is>
      </c>
      <c r="G23" s="28" t="inlineStr">
        <is>
          <t>Active</t>
        </is>
      </c>
      <c r="H23" s="31" t="n"/>
      <c r="I23" s="32">
        <f>IF(OR($A23="",$G23&lt;&gt;"Active"),0,IF($H23&lt;&gt;"",$H23,IF($AO23&gt;0,$AP23,IF(AND($R23&lt;&gt;"",IFERROR(INDEX(Templates!$B$3:$H$10,MATCH($R23,Templates!$A$3:$A$10,0),MATCH($F23,Templates!$B$2:$H$2,0)),0)&gt;0),INDEX(Templates!$B$3:$H$10,MATCH($R23,Templates!$A$3:$A$10,0),MATCH($F23,Templates!$B$2:$H$2,0)),IFERROR(INDEX(Settings!$B$8:$B$14,MATCH($F23,Settings!$A$8:$A$14,0)),0)))))</f>
        <v/>
      </c>
      <c r="J23" s="21">
        <f>IF($C23="",0,IFERROR(INDEX(Deals!$H$2:$H$355,MATCH($C23,Deals!$A$2:$A$355,0)),0))</f>
        <v/>
      </c>
      <c r="K23" s="32">
        <f>IF(Settings!$B$4="Yes",$I23*$J23,$I23)</f>
        <v/>
      </c>
      <c r="L23" s="22">
        <f>IF($C23="","",IFERROR(IF(INDEX(Deals!$I$2:$I$355,MATCH($C23,Deals!$A$2:$A$355,0))=0,"",INDEX(Deals!$I$2:$I$355,MATCH($C23,Deals!$A$2:$A$355,0))),""))</f>
        <v/>
      </c>
      <c r="M23" s="22">
        <f>IF($C23="","",IFERROR(IF(INDEX(Deals!$J$2:$J$355,MATCH($C23,Deals!$A$2:$A$355,0))=0,"",INDEX(Deals!$J$2:$J$355,MATCH($C23,Deals!$A$2:$A$355,0))),""))</f>
        <v/>
      </c>
      <c r="N23" s="35">
        <f>IF($L23="",DATE(1900,1,1),$L23)</f>
        <v/>
      </c>
      <c r="O23" s="35">
        <f>IF($M23="",DATE(2100,12,31),$M23)</f>
        <v/>
      </c>
      <c r="P23" s="20" t="inlineStr"/>
      <c r="Q23" s="47" t="inlineStr"/>
      <c r="R23" s="16">
        <f>IF($C23="","",IFERROR(IF(INDEX(Deals!$U$2:$U$355,MATCH($C23,Deals!$A$2:$A$355,0))=0,"",INDEX(Deals!$U$2:$U$355,MATCH($C23,Deals!$A$2:$A$355,0))),""))</f>
        <v/>
      </c>
      <c r="S23" s="34">
        <f>IFERROR(IF($U23="",1,INDEX(Deals!$V$2:$V$355,MATCH($C23,Deals!$A$2:$A$355,0))),1)</f>
        <v/>
      </c>
      <c r="T23" s="34">
        <f>IFERROR(IF($U23="",1,INDEX(Deals!$W$2:$W$355,MATCH($C23,Deals!$A$2:$A$355,0))),1)</f>
        <v/>
      </c>
      <c r="U23" s="22">
        <f>IF($C23="","",IFERROR(IF(INDEX(Deals!$Y$2:$Y$355,MATCH($C23,Deals!$A$2:$A$355,0))=0,"",INDEX(Deals!$Y$2:$Y$355,MATCH($C23,Deals!$A$2:$A$355,0))),""))</f>
        <v/>
      </c>
      <c r="V23" s="35">
        <f>IF(OR($U23&lt;&gt;"",AND($AO23&gt;0,$L23&lt;&gt;"",$M23&lt;&gt;"")),$N23,DATE(1900,1,1))</f>
        <v/>
      </c>
      <c r="W23" s="35">
        <f>IF($U23&lt;&gt;"",$U23,IF(AND($AO23&gt;0,$L23&lt;&gt;"",$M23&lt;&gt;""),$O23,DATE(2100,12,31)))</f>
        <v/>
      </c>
      <c r="X23" s="32">
        <f>IF($U23="",$K23,$K23*$S23)</f>
        <v/>
      </c>
      <c r="Y23" s="35">
        <f>IF($U23="",DATE(2100,12,31),$U23+1)</f>
        <v/>
      </c>
      <c r="Z23" s="35">
        <f>IF($U23="",DATE(1900,1,1),$O23)</f>
        <v/>
      </c>
      <c r="AA23" s="32">
        <f>IF($U23="",0,$K23*$T23)</f>
        <v/>
      </c>
      <c r="AB23" s="21">
        <f>IF($C23="",0,IFERROR(INDEX(Deals!$AD$2:$AD$355,MATCH($C23,Deals!$A$2:$A$355,0)),0))</f>
        <v/>
      </c>
      <c r="AC23" s="32">
        <f>IF(Settings!$B$4="Yes",$I23*$AB23,$I23)</f>
        <v/>
      </c>
      <c r="AD23" s="22">
        <f>IF($C23="","",IFERROR(IF(INDEX(Deals!$AE$2:$AE$355,MATCH($C23,Deals!$A$2:$A$355,0))=0,"",INDEX(Deals!$AE$2:$AE$355,MATCH($C23,Deals!$A$2:$A$355,0))),""))</f>
        <v/>
      </c>
      <c r="AE23" s="22">
        <f>IF($C23="","",IFERROR(IF(INDEX(Deals!$AF$2:$AF$355,MATCH($C23,Deals!$A$2:$A$355,0))=0,"",INDEX(Deals!$AF$2:$AF$355,MATCH($C23,Deals!$A$2:$A$355,0))),""))</f>
        <v/>
      </c>
      <c r="AF23" s="35">
        <f>IF($AD23="",DATE(1900,1,1),$AD23)</f>
        <v/>
      </c>
      <c r="AG23" s="35">
        <f>IF($AE23="",DATE(2100,12,31),$AE23)</f>
        <v/>
      </c>
      <c r="AH23" s="22">
        <f>IF($C23="","",IFERROR(IF(INDEX(Deals!$AG$2:$AG$355,MATCH($C23,Deals!$A$2:$A$355,0))=0,"",INDEX(Deals!$AG$2:$AG$355,MATCH($C23,Deals!$A$2:$A$355,0))),""))</f>
        <v/>
      </c>
      <c r="AI23" s="35">
        <f>IF(OR($AH23&lt;&gt;"",AND($AO23&gt;0,$AD23&lt;&gt;"",$AE23&lt;&gt;"")),$AF23,DATE(1900,1,1))</f>
        <v/>
      </c>
      <c r="AJ23" s="35">
        <f>IF($AH23&lt;&gt;"",$AH23,IF(AND($AO23&gt;0,$AD23&lt;&gt;"",$AE23&lt;&gt;""),$AG23,DATE(2100,12,31)))</f>
        <v/>
      </c>
      <c r="AK23" s="32">
        <f>IF($AH23="",$AC23,$AC23*$S23)</f>
        <v/>
      </c>
      <c r="AL23" s="35">
        <f>IF($AH23="",DATE(2100,12,31),$AH23+1)</f>
        <v/>
      </c>
      <c r="AM23" s="35">
        <f>IF($AH23="",DATE(1900,1,1),$AG23)</f>
        <v/>
      </c>
      <c r="AN23" s="32">
        <f>IF($AH23="",0,$AC23*$T23)</f>
        <v/>
      </c>
      <c r="AO23" s="46">
        <f>IF($C23="",0,IFERROR(INDEX(Deals!$BD$2:$BD$355,MATCH($C23,Deals!$A$2:$A$355,0)),0))</f>
        <v/>
      </c>
      <c r="AP23" s="18">
        <f>IF($AO23=0,0,IFERROR(INDEX(Deals!$BJ$2:$BP$355,MATCH($C23,Deals!$A$2:$A$355,0),MATCH($F23,Deals!$BJ$1:$BP$1,0))/COUNTIFS(Assignments!$C$2:$C$769,$C23,Assignments!$F$2:$F$769,$F23,Assignments!$G$2:$G$769,"Active"),0))</f>
        <v/>
      </c>
    </row>
    <row r="24">
      <c r="A24" s="28" t="inlineStr">
        <is>
          <t>Tania</t>
        </is>
      </c>
      <c r="B24" s="16">
        <f>IF($A24="","",IFERROR(INDEX(Roster!$B$2:$B$40,MATCH($A24,Roster!$A$2:$A$40,0)),"?"))</f>
        <v/>
      </c>
      <c r="C24" s="28" t="inlineStr">
        <is>
          <t>Galaxy_1</t>
        </is>
      </c>
      <c r="D24" s="16">
        <f>IF($C24="","",IFERROR(IF(INDEX(Deals!$C$2:$C$355,MATCH($C24,Deals!$A$2:$A$355,0))=0,"",INDEX(Deals!$C$2:$C$355,MATCH($C24,Deals!$A$2:$A$355,0))),"?"))</f>
        <v/>
      </c>
      <c r="E24" s="16">
        <f>IF($C24="","",IFERROR(INDEX(Deals!$F$2:$F$355,MATCH($C24,Deals!$A$2:$A$355,0)),"?"))</f>
        <v/>
      </c>
      <c r="F24" s="28" t="inlineStr">
        <is>
          <t>Partner</t>
        </is>
      </c>
      <c r="G24" s="28" t="inlineStr">
        <is>
          <t>Active</t>
        </is>
      </c>
      <c r="H24" s="31" t="n"/>
      <c r="I24" s="32">
        <f>IF(OR($A24="",$G24&lt;&gt;"Active"),0,IF($H24&lt;&gt;"",$H24,IF($AO24&gt;0,$AP24,IF(AND($R24&lt;&gt;"",IFERROR(INDEX(Templates!$B$3:$H$10,MATCH($R24,Templates!$A$3:$A$10,0),MATCH($F24,Templates!$B$2:$H$2,0)),0)&gt;0),INDEX(Templates!$B$3:$H$10,MATCH($R24,Templates!$A$3:$A$10,0),MATCH($F24,Templates!$B$2:$H$2,0)),IFERROR(INDEX(Settings!$B$8:$B$14,MATCH($F24,Settings!$A$8:$A$14,0)),0)))))</f>
        <v/>
      </c>
      <c r="J24" s="21">
        <f>IF($C24="",0,IFERROR(INDEX(Deals!$H$2:$H$355,MATCH($C24,Deals!$A$2:$A$355,0)),0))</f>
        <v/>
      </c>
      <c r="K24" s="32">
        <f>IF(Settings!$B$4="Yes",$I24*$J24,$I24)</f>
        <v/>
      </c>
      <c r="L24" s="22">
        <f>IF($C24="","",IFERROR(IF(INDEX(Deals!$I$2:$I$355,MATCH($C24,Deals!$A$2:$A$355,0))=0,"",INDEX(Deals!$I$2:$I$355,MATCH($C24,Deals!$A$2:$A$355,0))),""))</f>
        <v/>
      </c>
      <c r="M24" s="22">
        <f>IF($C24="","",IFERROR(IF(INDEX(Deals!$J$2:$J$355,MATCH($C24,Deals!$A$2:$A$355,0))=0,"",INDEX(Deals!$J$2:$J$355,MATCH($C24,Deals!$A$2:$A$355,0))),""))</f>
        <v/>
      </c>
      <c r="N24" s="35">
        <f>IF($L24="",DATE(1900,1,1),$L24)</f>
        <v/>
      </c>
      <c r="O24" s="35">
        <f>IF($M24="",DATE(2100,12,31),$M24)</f>
        <v/>
      </c>
      <c r="P24" s="20" t="inlineStr"/>
      <c r="Q24" s="47" t="inlineStr"/>
      <c r="R24" s="16">
        <f>IF($C24="","",IFERROR(IF(INDEX(Deals!$U$2:$U$355,MATCH($C24,Deals!$A$2:$A$355,0))=0,"",INDEX(Deals!$U$2:$U$355,MATCH($C24,Deals!$A$2:$A$355,0))),""))</f>
        <v/>
      </c>
      <c r="S24" s="34">
        <f>IFERROR(IF($U24="",1,INDEX(Deals!$V$2:$V$355,MATCH($C24,Deals!$A$2:$A$355,0))),1)</f>
        <v/>
      </c>
      <c r="T24" s="34">
        <f>IFERROR(IF($U24="",1,INDEX(Deals!$W$2:$W$355,MATCH($C24,Deals!$A$2:$A$355,0))),1)</f>
        <v/>
      </c>
      <c r="U24" s="22">
        <f>IF($C24="","",IFERROR(IF(INDEX(Deals!$Y$2:$Y$355,MATCH($C24,Deals!$A$2:$A$355,0))=0,"",INDEX(Deals!$Y$2:$Y$355,MATCH($C24,Deals!$A$2:$A$355,0))),""))</f>
        <v/>
      </c>
      <c r="V24" s="35">
        <f>IF(OR($U24&lt;&gt;"",AND($AO24&gt;0,$L24&lt;&gt;"",$M24&lt;&gt;"")),$N24,DATE(1900,1,1))</f>
        <v/>
      </c>
      <c r="W24" s="35">
        <f>IF($U24&lt;&gt;"",$U24,IF(AND($AO24&gt;0,$L24&lt;&gt;"",$M24&lt;&gt;""),$O24,DATE(2100,12,31)))</f>
        <v/>
      </c>
      <c r="X24" s="32">
        <f>IF($U24="",$K24,$K24*$S24)</f>
        <v/>
      </c>
      <c r="Y24" s="35">
        <f>IF($U24="",DATE(2100,12,31),$U24+1)</f>
        <v/>
      </c>
      <c r="Z24" s="35">
        <f>IF($U24="",DATE(1900,1,1),$O24)</f>
        <v/>
      </c>
      <c r="AA24" s="32">
        <f>IF($U24="",0,$K24*$T24)</f>
        <v/>
      </c>
      <c r="AB24" s="21">
        <f>IF($C24="",0,IFERROR(INDEX(Deals!$AD$2:$AD$355,MATCH($C24,Deals!$A$2:$A$355,0)),0))</f>
        <v/>
      </c>
      <c r="AC24" s="32">
        <f>IF(Settings!$B$4="Yes",$I24*$AB24,$I24)</f>
        <v/>
      </c>
      <c r="AD24" s="22">
        <f>IF($C24="","",IFERROR(IF(INDEX(Deals!$AE$2:$AE$355,MATCH($C24,Deals!$A$2:$A$355,0))=0,"",INDEX(Deals!$AE$2:$AE$355,MATCH($C24,Deals!$A$2:$A$355,0))),""))</f>
        <v/>
      </c>
      <c r="AE24" s="22">
        <f>IF($C24="","",IFERROR(IF(INDEX(Deals!$AF$2:$AF$355,MATCH($C24,Deals!$A$2:$A$355,0))=0,"",INDEX(Deals!$AF$2:$AF$355,MATCH($C24,Deals!$A$2:$A$355,0))),""))</f>
        <v/>
      </c>
      <c r="AF24" s="35">
        <f>IF($AD24="",DATE(1900,1,1),$AD24)</f>
        <v/>
      </c>
      <c r="AG24" s="35">
        <f>IF($AE24="",DATE(2100,12,31),$AE24)</f>
        <v/>
      </c>
      <c r="AH24" s="22">
        <f>IF($C24="","",IFERROR(IF(INDEX(Deals!$AG$2:$AG$355,MATCH($C24,Deals!$A$2:$A$355,0))=0,"",INDEX(Deals!$AG$2:$AG$355,MATCH($C24,Deals!$A$2:$A$355,0))),""))</f>
        <v/>
      </c>
      <c r="AI24" s="35">
        <f>IF(OR($AH24&lt;&gt;"",AND($AO24&gt;0,$AD24&lt;&gt;"",$AE24&lt;&gt;"")),$AF24,DATE(1900,1,1))</f>
        <v/>
      </c>
      <c r="AJ24" s="35">
        <f>IF($AH24&lt;&gt;"",$AH24,IF(AND($AO24&gt;0,$AD24&lt;&gt;"",$AE24&lt;&gt;""),$AG24,DATE(2100,12,31)))</f>
        <v/>
      </c>
      <c r="AK24" s="32">
        <f>IF($AH24="",$AC24,$AC24*$S24)</f>
        <v/>
      </c>
      <c r="AL24" s="35">
        <f>IF($AH24="",DATE(2100,12,31),$AH24+1)</f>
        <v/>
      </c>
      <c r="AM24" s="35">
        <f>IF($AH24="",DATE(1900,1,1),$AG24)</f>
        <v/>
      </c>
      <c r="AN24" s="32">
        <f>IF($AH24="",0,$AC24*$T24)</f>
        <v/>
      </c>
      <c r="AO24" s="46">
        <f>IF($C24="",0,IFERROR(INDEX(Deals!$BD$2:$BD$355,MATCH($C24,Deals!$A$2:$A$355,0)),0))</f>
        <v/>
      </c>
      <c r="AP24" s="18">
        <f>IF($AO24=0,0,IFERROR(INDEX(Deals!$BJ$2:$BP$355,MATCH($C24,Deals!$A$2:$A$355,0),MATCH($F24,Deals!$BJ$1:$BP$1,0))/COUNTIFS(Assignments!$C$2:$C$769,$C24,Assignments!$F$2:$F$769,$F24,Assignments!$G$2:$G$769,"Active"),0))</f>
        <v/>
      </c>
    </row>
    <row r="25">
      <c r="A25" s="28" t="inlineStr">
        <is>
          <t>Tania</t>
        </is>
      </c>
      <c r="B25" s="16">
        <f>IF($A25="","",IFERROR(INDEX(Roster!$B$2:$B$40,MATCH($A25,Roster!$A$2:$A$40,0)),"?"))</f>
        <v/>
      </c>
      <c r="C25" s="28" t="inlineStr">
        <is>
          <t>Gemini</t>
        </is>
      </c>
      <c r="D25" s="16">
        <f>IF($C25="","",IFERROR(IF(INDEX(Deals!$C$2:$C$355,MATCH($C25,Deals!$A$2:$A$355,0))=0,"",INDEX(Deals!$C$2:$C$355,MATCH($C25,Deals!$A$2:$A$355,0))),"?"))</f>
        <v/>
      </c>
      <c r="E25" s="16">
        <f>IF($C25="","",IFERROR(INDEX(Deals!$F$2:$F$355,MATCH($C25,Deals!$A$2:$A$355,0)),"?"))</f>
        <v/>
      </c>
      <c r="F25" s="28" t="inlineStr">
        <is>
          <t>Partner</t>
        </is>
      </c>
      <c r="G25" s="28" t="inlineStr">
        <is>
          <t>Active</t>
        </is>
      </c>
      <c r="H25" s="31" t="n"/>
      <c r="I25" s="32">
        <f>IF(OR($A25="",$G25&lt;&gt;"Active"),0,IF($H25&lt;&gt;"",$H25,IF($AO25&gt;0,$AP25,IF(AND($R25&lt;&gt;"",IFERROR(INDEX(Templates!$B$3:$H$10,MATCH($R25,Templates!$A$3:$A$10,0),MATCH($F25,Templates!$B$2:$H$2,0)),0)&gt;0),INDEX(Templates!$B$3:$H$10,MATCH($R25,Templates!$A$3:$A$10,0),MATCH($F25,Templates!$B$2:$H$2,0)),IFERROR(INDEX(Settings!$B$8:$B$14,MATCH($F25,Settings!$A$8:$A$14,0)),0)))))</f>
        <v/>
      </c>
      <c r="J25" s="21">
        <f>IF($C25="",0,IFERROR(INDEX(Deals!$H$2:$H$355,MATCH($C25,Deals!$A$2:$A$355,0)),0))</f>
        <v/>
      </c>
      <c r="K25" s="32">
        <f>IF(Settings!$B$4="Yes",$I25*$J25,$I25)</f>
        <v/>
      </c>
      <c r="L25" s="22">
        <f>IF($C25="","",IFERROR(IF(INDEX(Deals!$I$2:$I$355,MATCH($C25,Deals!$A$2:$A$355,0))=0,"",INDEX(Deals!$I$2:$I$355,MATCH($C25,Deals!$A$2:$A$355,0))),""))</f>
        <v/>
      </c>
      <c r="M25" s="22">
        <f>IF($C25="","",IFERROR(IF(INDEX(Deals!$J$2:$J$355,MATCH($C25,Deals!$A$2:$A$355,0))=0,"",INDEX(Deals!$J$2:$J$355,MATCH($C25,Deals!$A$2:$A$355,0))),""))</f>
        <v/>
      </c>
      <c r="N25" s="35">
        <f>IF($L25="",DATE(1900,1,1),$L25)</f>
        <v/>
      </c>
      <c r="O25" s="35">
        <f>IF($M25="",DATE(2100,12,31),$M25)</f>
        <v/>
      </c>
      <c r="P25" s="20" t="inlineStr"/>
      <c r="Q25" s="47" t="inlineStr"/>
      <c r="R25" s="16">
        <f>IF($C25="","",IFERROR(IF(INDEX(Deals!$U$2:$U$355,MATCH($C25,Deals!$A$2:$A$355,0))=0,"",INDEX(Deals!$U$2:$U$355,MATCH($C25,Deals!$A$2:$A$355,0))),""))</f>
        <v/>
      </c>
      <c r="S25" s="34">
        <f>IFERROR(IF($U25="",1,INDEX(Deals!$V$2:$V$355,MATCH($C25,Deals!$A$2:$A$355,0))),1)</f>
        <v/>
      </c>
      <c r="T25" s="34">
        <f>IFERROR(IF($U25="",1,INDEX(Deals!$W$2:$W$355,MATCH($C25,Deals!$A$2:$A$355,0))),1)</f>
        <v/>
      </c>
      <c r="U25" s="22">
        <f>IF($C25="","",IFERROR(IF(INDEX(Deals!$Y$2:$Y$355,MATCH($C25,Deals!$A$2:$A$355,0))=0,"",INDEX(Deals!$Y$2:$Y$355,MATCH($C25,Deals!$A$2:$A$355,0))),""))</f>
        <v/>
      </c>
      <c r="V25" s="35">
        <f>IF(OR($U25&lt;&gt;"",AND($AO25&gt;0,$L25&lt;&gt;"",$M25&lt;&gt;"")),$N25,DATE(1900,1,1))</f>
        <v/>
      </c>
      <c r="W25" s="35">
        <f>IF($U25&lt;&gt;"",$U25,IF(AND($AO25&gt;0,$L25&lt;&gt;"",$M25&lt;&gt;""),$O25,DATE(2100,12,31)))</f>
        <v/>
      </c>
      <c r="X25" s="32">
        <f>IF($U25="",$K25,$K25*$S25)</f>
        <v/>
      </c>
      <c r="Y25" s="35">
        <f>IF($U25="",DATE(2100,12,31),$U25+1)</f>
        <v/>
      </c>
      <c r="Z25" s="35">
        <f>IF($U25="",DATE(1900,1,1),$O25)</f>
        <v/>
      </c>
      <c r="AA25" s="32">
        <f>IF($U25="",0,$K25*$T25)</f>
        <v/>
      </c>
      <c r="AB25" s="21">
        <f>IF($C25="",0,IFERROR(INDEX(Deals!$AD$2:$AD$355,MATCH($C25,Deals!$A$2:$A$355,0)),0))</f>
        <v/>
      </c>
      <c r="AC25" s="32">
        <f>IF(Settings!$B$4="Yes",$I25*$AB25,$I25)</f>
        <v/>
      </c>
      <c r="AD25" s="22">
        <f>IF($C25="","",IFERROR(IF(INDEX(Deals!$AE$2:$AE$355,MATCH($C25,Deals!$A$2:$A$355,0))=0,"",INDEX(Deals!$AE$2:$AE$355,MATCH($C25,Deals!$A$2:$A$355,0))),""))</f>
        <v/>
      </c>
      <c r="AE25" s="22">
        <f>IF($C25="","",IFERROR(IF(INDEX(Deals!$AF$2:$AF$355,MATCH($C25,Deals!$A$2:$A$355,0))=0,"",INDEX(Deals!$AF$2:$AF$355,MATCH($C25,Deals!$A$2:$A$355,0))),""))</f>
        <v/>
      </c>
      <c r="AF25" s="35">
        <f>IF($AD25="",DATE(1900,1,1),$AD25)</f>
        <v/>
      </c>
      <c r="AG25" s="35">
        <f>IF($AE25="",DATE(2100,12,31),$AE25)</f>
        <v/>
      </c>
      <c r="AH25" s="22">
        <f>IF($C25="","",IFERROR(IF(INDEX(Deals!$AG$2:$AG$355,MATCH($C25,Deals!$A$2:$A$355,0))=0,"",INDEX(Deals!$AG$2:$AG$355,MATCH($C25,Deals!$A$2:$A$355,0))),""))</f>
        <v/>
      </c>
      <c r="AI25" s="35">
        <f>IF(OR($AH25&lt;&gt;"",AND($AO25&gt;0,$AD25&lt;&gt;"",$AE25&lt;&gt;"")),$AF25,DATE(1900,1,1))</f>
        <v/>
      </c>
      <c r="AJ25" s="35">
        <f>IF($AH25&lt;&gt;"",$AH25,IF(AND($AO25&gt;0,$AD25&lt;&gt;"",$AE25&lt;&gt;""),$AG25,DATE(2100,12,31)))</f>
        <v/>
      </c>
      <c r="AK25" s="32">
        <f>IF($AH25="",$AC25,$AC25*$S25)</f>
        <v/>
      </c>
      <c r="AL25" s="35">
        <f>IF($AH25="",DATE(2100,12,31),$AH25+1)</f>
        <v/>
      </c>
      <c r="AM25" s="35">
        <f>IF($AH25="",DATE(1900,1,1),$AG25)</f>
        <v/>
      </c>
      <c r="AN25" s="32">
        <f>IF($AH25="",0,$AC25*$T25)</f>
        <v/>
      </c>
      <c r="AO25" s="46">
        <f>IF($C25="",0,IFERROR(INDEX(Deals!$BD$2:$BD$355,MATCH($C25,Deals!$A$2:$A$355,0)),0))</f>
        <v/>
      </c>
      <c r="AP25" s="18">
        <f>IF($AO25=0,0,IFERROR(INDEX(Deals!$BJ$2:$BP$355,MATCH($C25,Deals!$A$2:$A$355,0),MATCH($F25,Deals!$BJ$1:$BP$1,0))/COUNTIFS(Assignments!$C$2:$C$769,$C25,Assignments!$F$2:$F$769,$F25,Assignments!$G$2:$G$769,"Active"),0))</f>
        <v/>
      </c>
    </row>
    <row r="26">
      <c r="A26" s="28" t="inlineStr">
        <is>
          <t>Tania</t>
        </is>
      </c>
      <c r="B26" s="16">
        <f>IF($A26="","",IFERROR(INDEX(Roster!$B$2:$B$40,MATCH($A26,Roster!$A$2:$A$40,0)),"?"))</f>
        <v/>
      </c>
      <c r="C26" s="28" t="inlineStr">
        <is>
          <t>Goose_2</t>
        </is>
      </c>
      <c r="D26" s="16">
        <f>IF($C26="","",IFERROR(IF(INDEX(Deals!$C$2:$C$355,MATCH($C26,Deals!$A$2:$A$355,0))=0,"",INDEX(Deals!$C$2:$C$355,MATCH($C26,Deals!$A$2:$A$355,0))),"?"))</f>
        <v/>
      </c>
      <c r="E26" s="16">
        <f>IF($C26="","",IFERROR(INDEX(Deals!$F$2:$F$355,MATCH($C26,Deals!$A$2:$A$355,0)),"?"))</f>
        <v/>
      </c>
      <c r="F26" s="28" t="inlineStr">
        <is>
          <t>Partner</t>
        </is>
      </c>
      <c r="G26" s="28" t="inlineStr">
        <is>
          <t>Active</t>
        </is>
      </c>
      <c r="H26" s="31" t="n"/>
      <c r="I26" s="32">
        <f>IF(OR($A26="",$G26&lt;&gt;"Active"),0,IF($H26&lt;&gt;"",$H26,IF($AO26&gt;0,$AP26,IF(AND($R26&lt;&gt;"",IFERROR(INDEX(Templates!$B$3:$H$10,MATCH($R26,Templates!$A$3:$A$10,0),MATCH($F26,Templates!$B$2:$H$2,0)),0)&gt;0),INDEX(Templates!$B$3:$H$10,MATCH($R26,Templates!$A$3:$A$10,0),MATCH($F26,Templates!$B$2:$H$2,0)),IFERROR(INDEX(Settings!$B$8:$B$14,MATCH($F26,Settings!$A$8:$A$14,0)),0)))))</f>
        <v/>
      </c>
      <c r="J26" s="21">
        <f>IF($C26="",0,IFERROR(INDEX(Deals!$H$2:$H$355,MATCH($C26,Deals!$A$2:$A$355,0)),0))</f>
        <v/>
      </c>
      <c r="K26" s="32">
        <f>IF(Settings!$B$4="Yes",$I26*$J26,$I26)</f>
        <v/>
      </c>
      <c r="L26" s="22">
        <f>IF($C26="","",IFERROR(IF(INDEX(Deals!$I$2:$I$355,MATCH($C26,Deals!$A$2:$A$355,0))=0,"",INDEX(Deals!$I$2:$I$355,MATCH($C26,Deals!$A$2:$A$355,0))),""))</f>
        <v/>
      </c>
      <c r="M26" s="22">
        <f>IF($C26="","",IFERROR(IF(INDEX(Deals!$J$2:$J$355,MATCH($C26,Deals!$A$2:$A$355,0))=0,"",INDEX(Deals!$J$2:$J$355,MATCH($C26,Deals!$A$2:$A$355,0))),""))</f>
        <v/>
      </c>
      <c r="N26" s="35">
        <f>IF($L26="",DATE(1900,1,1),$L26)</f>
        <v/>
      </c>
      <c r="O26" s="35">
        <f>IF($M26="",DATE(2100,12,31),$M26)</f>
        <v/>
      </c>
      <c r="P26" s="20" t="inlineStr"/>
      <c r="Q26" s="47" t="inlineStr"/>
      <c r="R26" s="16">
        <f>IF($C26="","",IFERROR(IF(INDEX(Deals!$U$2:$U$355,MATCH($C26,Deals!$A$2:$A$355,0))=0,"",INDEX(Deals!$U$2:$U$355,MATCH($C26,Deals!$A$2:$A$355,0))),""))</f>
        <v/>
      </c>
      <c r="S26" s="34">
        <f>IFERROR(IF($U26="",1,INDEX(Deals!$V$2:$V$355,MATCH($C26,Deals!$A$2:$A$355,0))),1)</f>
        <v/>
      </c>
      <c r="T26" s="34">
        <f>IFERROR(IF($U26="",1,INDEX(Deals!$W$2:$W$355,MATCH($C26,Deals!$A$2:$A$355,0))),1)</f>
        <v/>
      </c>
      <c r="U26" s="22">
        <f>IF($C26="","",IFERROR(IF(INDEX(Deals!$Y$2:$Y$355,MATCH($C26,Deals!$A$2:$A$355,0))=0,"",INDEX(Deals!$Y$2:$Y$355,MATCH($C26,Deals!$A$2:$A$355,0))),""))</f>
        <v/>
      </c>
      <c r="V26" s="35">
        <f>IF(OR($U26&lt;&gt;"",AND($AO26&gt;0,$L26&lt;&gt;"",$M26&lt;&gt;"")),$N26,DATE(1900,1,1))</f>
        <v/>
      </c>
      <c r="W26" s="35">
        <f>IF($U26&lt;&gt;"",$U26,IF(AND($AO26&gt;0,$L26&lt;&gt;"",$M26&lt;&gt;""),$O26,DATE(2100,12,31)))</f>
        <v/>
      </c>
      <c r="X26" s="32">
        <f>IF($U26="",$K26,$K26*$S26)</f>
        <v/>
      </c>
      <c r="Y26" s="35">
        <f>IF($U26="",DATE(2100,12,31),$U26+1)</f>
        <v/>
      </c>
      <c r="Z26" s="35">
        <f>IF($U26="",DATE(1900,1,1),$O26)</f>
        <v/>
      </c>
      <c r="AA26" s="32">
        <f>IF($U26="",0,$K26*$T26)</f>
        <v/>
      </c>
      <c r="AB26" s="21">
        <f>IF($C26="",0,IFERROR(INDEX(Deals!$AD$2:$AD$355,MATCH($C26,Deals!$A$2:$A$355,0)),0))</f>
        <v/>
      </c>
      <c r="AC26" s="32">
        <f>IF(Settings!$B$4="Yes",$I26*$AB26,$I26)</f>
        <v/>
      </c>
      <c r="AD26" s="22">
        <f>IF($C26="","",IFERROR(IF(INDEX(Deals!$AE$2:$AE$355,MATCH($C26,Deals!$A$2:$A$355,0))=0,"",INDEX(Deals!$AE$2:$AE$355,MATCH($C26,Deals!$A$2:$A$355,0))),""))</f>
        <v/>
      </c>
      <c r="AE26" s="22">
        <f>IF($C26="","",IFERROR(IF(INDEX(Deals!$AF$2:$AF$355,MATCH($C26,Deals!$A$2:$A$355,0))=0,"",INDEX(Deals!$AF$2:$AF$355,MATCH($C26,Deals!$A$2:$A$355,0))),""))</f>
        <v/>
      </c>
      <c r="AF26" s="35">
        <f>IF($AD26="",DATE(1900,1,1),$AD26)</f>
        <v/>
      </c>
      <c r="AG26" s="35">
        <f>IF($AE26="",DATE(2100,12,31),$AE26)</f>
        <v/>
      </c>
      <c r="AH26" s="22">
        <f>IF($C26="","",IFERROR(IF(INDEX(Deals!$AG$2:$AG$355,MATCH($C26,Deals!$A$2:$A$355,0))=0,"",INDEX(Deals!$AG$2:$AG$355,MATCH($C26,Deals!$A$2:$A$355,0))),""))</f>
        <v/>
      </c>
      <c r="AI26" s="35">
        <f>IF(OR($AH26&lt;&gt;"",AND($AO26&gt;0,$AD26&lt;&gt;"",$AE26&lt;&gt;"")),$AF26,DATE(1900,1,1))</f>
        <v/>
      </c>
      <c r="AJ26" s="35">
        <f>IF($AH26&lt;&gt;"",$AH26,IF(AND($AO26&gt;0,$AD26&lt;&gt;"",$AE26&lt;&gt;""),$AG26,DATE(2100,12,31)))</f>
        <v/>
      </c>
      <c r="AK26" s="32">
        <f>IF($AH26="",$AC26,$AC26*$S26)</f>
        <v/>
      </c>
      <c r="AL26" s="35">
        <f>IF($AH26="",DATE(2100,12,31),$AH26+1)</f>
        <v/>
      </c>
      <c r="AM26" s="35">
        <f>IF($AH26="",DATE(1900,1,1),$AG26)</f>
        <v/>
      </c>
      <c r="AN26" s="32">
        <f>IF($AH26="",0,$AC26*$T26)</f>
        <v/>
      </c>
      <c r="AO26" s="46">
        <f>IF($C26="",0,IFERROR(INDEX(Deals!$BD$2:$BD$355,MATCH($C26,Deals!$A$2:$A$355,0)),0))</f>
        <v/>
      </c>
      <c r="AP26" s="18">
        <f>IF($AO26=0,0,IFERROR(INDEX(Deals!$BJ$2:$BP$355,MATCH($C26,Deals!$A$2:$A$355,0),MATCH($F26,Deals!$BJ$1:$BP$1,0))/COUNTIFS(Assignments!$C$2:$C$769,$C26,Assignments!$F$2:$F$769,$F26,Assignments!$G$2:$G$769,"Active"),0))</f>
        <v/>
      </c>
    </row>
    <row r="27">
      <c r="A27" s="28" t="inlineStr">
        <is>
          <t>Tania</t>
        </is>
      </c>
      <c r="B27" s="16">
        <f>IF($A27="","",IFERROR(INDEX(Roster!$B$2:$B$40,MATCH($A27,Roster!$A$2:$A$40,0)),"?"))</f>
        <v/>
      </c>
      <c r="C27" s="28" t="inlineStr">
        <is>
          <t>Maple_4</t>
        </is>
      </c>
      <c r="D27" s="16">
        <f>IF($C27="","",IFERROR(IF(INDEX(Deals!$C$2:$C$355,MATCH($C27,Deals!$A$2:$A$355,0))=0,"",INDEX(Deals!$C$2:$C$355,MATCH($C27,Deals!$A$2:$A$355,0))),"?"))</f>
        <v/>
      </c>
      <c r="E27" s="16">
        <f>IF($C27="","",IFERROR(INDEX(Deals!$F$2:$F$355,MATCH($C27,Deals!$A$2:$A$355,0)),"?"))</f>
        <v/>
      </c>
      <c r="F27" s="28" t="inlineStr">
        <is>
          <t>Partner</t>
        </is>
      </c>
      <c r="G27" s="28" t="inlineStr">
        <is>
          <t>Active</t>
        </is>
      </c>
      <c r="H27" s="31" t="n"/>
      <c r="I27" s="32">
        <f>IF(OR($A27="",$G27&lt;&gt;"Active"),0,IF($H27&lt;&gt;"",$H27,IF($AO27&gt;0,$AP27,IF(AND($R27&lt;&gt;"",IFERROR(INDEX(Templates!$B$3:$H$10,MATCH($R27,Templates!$A$3:$A$10,0),MATCH($F27,Templates!$B$2:$H$2,0)),0)&gt;0),INDEX(Templates!$B$3:$H$10,MATCH($R27,Templates!$A$3:$A$10,0),MATCH($F27,Templates!$B$2:$H$2,0)),IFERROR(INDEX(Settings!$B$8:$B$14,MATCH($F27,Settings!$A$8:$A$14,0)),0)))))</f>
        <v/>
      </c>
      <c r="J27" s="21">
        <f>IF($C27="",0,IFERROR(INDEX(Deals!$H$2:$H$355,MATCH($C27,Deals!$A$2:$A$355,0)),0))</f>
        <v/>
      </c>
      <c r="K27" s="32">
        <f>IF(Settings!$B$4="Yes",$I27*$J27,$I27)</f>
        <v/>
      </c>
      <c r="L27" s="22">
        <f>IF($C27="","",IFERROR(IF(INDEX(Deals!$I$2:$I$355,MATCH($C27,Deals!$A$2:$A$355,0))=0,"",INDEX(Deals!$I$2:$I$355,MATCH($C27,Deals!$A$2:$A$355,0))),""))</f>
        <v/>
      </c>
      <c r="M27" s="22">
        <f>IF($C27="","",IFERROR(IF(INDEX(Deals!$J$2:$J$355,MATCH($C27,Deals!$A$2:$A$355,0))=0,"",INDEX(Deals!$J$2:$J$355,MATCH($C27,Deals!$A$2:$A$355,0))),""))</f>
        <v/>
      </c>
      <c r="N27" s="35">
        <f>IF($L27="",DATE(1900,1,1),$L27)</f>
        <v/>
      </c>
      <c r="O27" s="35">
        <f>IF($M27="",DATE(2100,12,31),$M27)</f>
        <v/>
      </c>
      <c r="P27" s="20" t="inlineStr"/>
      <c r="Q27" s="47" t="inlineStr"/>
      <c r="R27" s="16">
        <f>IF($C27="","",IFERROR(IF(INDEX(Deals!$U$2:$U$355,MATCH($C27,Deals!$A$2:$A$355,0))=0,"",INDEX(Deals!$U$2:$U$355,MATCH($C27,Deals!$A$2:$A$355,0))),""))</f>
        <v/>
      </c>
      <c r="S27" s="34">
        <f>IFERROR(IF($U27="",1,INDEX(Deals!$V$2:$V$355,MATCH($C27,Deals!$A$2:$A$355,0))),1)</f>
        <v/>
      </c>
      <c r="T27" s="34">
        <f>IFERROR(IF($U27="",1,INDEX(Deals!$W$2:$W$355,MATCH($C27,Deals!$A$2:$A$355,0))),1)</f>
        <v/>
      </c>
      <c r="U27" s="22">
        <f>IF($C27="","",IFERROR(IF(INDEX(Deals!$Y$2:$Y$355,MATCH($C27,Deals!$A$2:$A$355,0))=0,"",INDEX(Deals!$Y$2:$Y$355,MATCH($C27,Deals!$A$2:$A$355,0))),""))</f>
        <v/>
      </c>
      <c r="V27" s="35">
        <f>IF(OR($U27&lt;&gt;"",AND($AO27&gt;0,$L27&lt;&gt;"",$M27&lt;&gt;"")),$N27,DATE(1900,1,1))</f>
        <v/>
      </c>
      <c r="W27" s="35">
        <f>IF($U27&lt;&gt;"",$U27,IF(AND($AO27&gt;0,$L27&lt;&gt;"",$M27&lt;&gt;""),$O27,DATE(2100,12,31)))</f>
        <v/>
      </c>
      <c r="X27" s="32">
        <f>IF($U27="",$K27,$K27*$S27)</f>
        <v/>
      </c>
      <c r="Y27" s="35">
        <f>IF($U27="",DATE(2100,12,31),$U27+1)</f>
        <v/>
      </c>
      <c r="Z27" s="35">
        <f>IF($U27="",DATE(1900,1,1),$O27)</f>
        <v/>
      </c>
      <c r="AA27" s="32">
        <f>IF($U27="",0,$K27*$T27)</f>
        <v/>
      </c>
      <c r="AB27" s="21">
        <f>IF($C27="",0,IFERROR(INDEX(Deals!$AD$2:$AD$355,MATCH($C27,Deals!$A$2:$A$355,0)),0))</f>
        <v/>
      </c>
      <c r="AC27" s="32">
        <f>IF(Settings!$B$4="Yes",$I27*$AB27,$I27)</f>
        <v/>
      </c>
      <c r="AD27" s="22">
        <f>IF($C27="","",IFERROR(IF(INDEX(Deals!$AE$2:$AE$355,MATCH($C27,Deals!$A$2:$A$355,0))=0,"",INDEX(Deals!$AE$2:$AE$355,MATCH($C27,Deals!$A$2:$A$355,0))),""))</f>
        <v/>
      </c>
      <c r="AE27" s="22">
        <f>IF($C27="","",IFERROR(IF(INDEX(Deals!$AF$2:$AF$355,MATCH($C27,Deals!$A$2:$A$355,0))=0,"",INDEX(Deals!$AF$2:$AF$355,MATCH($C27,Deals!$A$2:$A$355,0))),""))</f>
        <v/>
      </c>
      <c r="AF27" s="35">
        <f>IF($AD27="",DATE(1900,1,1),$AD27)</f>
        <v/>
      </c>
      <c r="AG27" s="35">
        <f>IF($AE27="",DATE(2100,12,31),$AE27)</f>
        <v/>
      </c>
      <c r="AH27" s="22">
        <f>IF($C27="","",IFERROR(IF(INDEX(Deals!$AG$2:$AG$355,MATCH($C27,Deals!$A$2:$A$355,0))=0,"",INDEX(Deals!$AG$2:$AG$355,MATCH($C27,Deals!$A$2:$A$355,0))),""))</f>
        <v/>
      </c>
      <c r="AI27" s="35">
        <f>IF(OR($AH27&lt;&gt;"",AND($AO27&gt;0,$AD27&lt;&gt;"",$AE27&lt;&gt;"")),$AF27,DATE(1900,1,1))</f>
        <v/>
      </c>
      <c r="AJ27" s="35">
        <f>IF($AH27&lt;&gt;"",$AH27,IF(AND($AO27&gt;0,$AD27&lt;&gt;"",$AE27&lt;&gt;""),$AG27,DATE(2100,12,31)))</f>
        <v/>
      </c>
      <c r="AK27" s="32">
        <f>IF($AH27="",$AC27,$AC27*$S27)</f>
        <v/>
      </c>
      <c r="AL27" s="35">
        <f>IF($AH27="",DATE(2100,12,31),$AH27+1)</f>
        <v/>
      </c>
      <c r="AM27" s="35">
        <f>IF($AH27="",DATE(1900,1,1),$AG27)</f>
        <v/>
      </c>
      <c r="AN27" s="32">
        <f>IF($AH27="",0,$AC27*$T27)</f>
        <v/>
      </c>
      <c r="AO27" s="46">
        <f>IF($C27="",0,IFERROR(INDEX(Deals!$BD$2:$BD$355,MATCH($C27,Deals!$A$2:$A$355,0)),0))</f>
        <v/>
      </c>
      <c r="AP27" s="18">
        <f>IF($AO27=0,0,IFERROR(INDEX(Deals!$BJ$2:$BP$355,MATCH($C27,Deals!$A$2:$A$355,0),MATCH($F27,Deals!$BJ$1:$BP$1,0))/COUNTIFS(Assignments!$C$2:$C$769,$C27,Assignments!$F$2:$F$769,$F27,Assignments!$G$2:$G$769,"Active"),0))</f>
        <v/>
      </c>
    </row>
    <row r="28">
      <c r="A28" s="28" t="inlineStr">
        <is>
          <t>Tania</t>
        </is>
      </c>
      <c r="B28" s="16">
        <f>IF($A28="","",IFERROR(INDEX(Roster!$B$2:$B$40,MATCH($A28,Roster!$A$2:$A$40,0)),"?"))</f>
        <v/>
      </c>
      <c r="C28" s="28" t="inlineStr">
        <is>
          <t>Mash_1</t>
        </is>
      </c>
      <c r="D28" s="16">
        <f>IF($C28="","",IFERROR(IF(INDEX(Deals!$C$2:$C$355,MATCH($C28,Deals!$A$2:$A$355,0))=0,"",INDEX(Deals!$C$2:$C$355,MATCH($C28,Deals!$A$2:$A$355,0))),"?"))</f>
        <v/>
      </c>
      <c r="E28" s="16">
        <f>IF($C28="","",IFERROR(INDEX(Deals!$F$2:$F$355,MATCH($C28,Deals!$A$2:$A$355,0)),"?"))</f>
        <v/>
      </c>
      <c r="F28" s="28" t="inlineStr">
        <is>
          <t>Partner</t>
        </is>
      </c>
      <c r="G28" s="28" t="inlineStr">
        <is>
          <t>Active</t>
        </is>
      </c>
      <c r="H28" s="31" t="n"/>
      <c r="I28" s="32">
        <f>IF(OR($A28="",$G28&lt;&gt;"Active"),0,IF($H28&lt;&gt;"",$H28,IF($AO28&gt;0,$AP28,IF(AND($R28&lt;&gt;"",IFERROR(INDEX(Templates!$B$3:$H$10,MATCH($R28,Templates!$A$3:$A$10,0),MATCH($F28,Templates!$B$2:$H$2,0)),0)&gt;0),INDEX(Templates!$B$3:$H$10,MATCH($R28,Templates!$A$3:$A$10,0),MATCH($F28,Templates!$B$2:$H$2,0)),IFERROR(INDEX(Settings!$B$8:$B$14,MATCH($F28,Settings!$A$8:$A$14,0)),0)))))</f>
        <v/>
      </c>
      <c r="J28" s="21">
        <f>IF($C28="",0,IFERROR(INDEX(Deals!$H$2:$H$355,MATCH($C28,Deals!$A$2:$A$355,0)),0))</f>
        <v/>
      </c>
      <c r="K28" s="32">
        <f>IF(Settings!$B$4="Yes",$I28*$J28,$I28)</f>
        <v/>
      </c>
      <c r="L28" s="22">
        <f>IF($C28="","",IFERROR(IF(INDEX(Deals!$I$2:$I$355,MATCH($C28,Deals!$A$2:$A$355,0))=0,"",INDEX(Deals!$I$2:$I$355,MATCH($C28,Deals!$A$2:$A$355,0))),""))</f>
        <v/>
      </c>
      <c r="M28" s="22">
        <f>IF($C28="","",IFERROR(IF(INDEX(Deals!$J$2:$J$355,MATCH($C28,Deals!$A$2:$A$355,0))=0,"",INDEX(Deals!$J$2:$J$355,MATCH($C28,Deals!$A$2:$A$355,0))),""))</f>
        <v/>
      </c>
      <c r="N28" s="35">
        <f>IF($L28="",DATE(1900,1,1),$L28)</f>
        <v/>
      </c>
      <c r="O28" s="35">
        <f>IF($M28="",DATE(2100,12,31),$M28)</f>
        <v/>
      </c>
      <c r="P28" s="20" t="inlineStr"/>
      <c r="Q28" s="47" t="inlineStr"/>
      <c r="R28" s="16">
        <f>IF($C28="","",IFERROR(IF(INDEX(Deals!$U$2:$U$355,MATCH($C28,Deals!$A$2:$A$355,0))=0,"",INDEX(Deals!$U$2:$U$355,MATCH($C28,Deals!$A$2:$A$355,0))),""))</f>
        <v/>
      </c>
      <c r="S28" s="34">
        <f>IFERROR(IF($U28="",1,INDEX(Deals!$V$2:$V$355,MATCH($C28,Deals!$A$2:$A$355,0))),1)</f>
        <v/>
      </c>
      <c r="T28" s="34">
        <f>IFERROR(IF($U28="",1,INDEX(Deals!$W$2:$W$355,MATCH($C28,Deals!$A$2:$A$355,0))),1)</f>
        <v/>
      </c>
      <c r="U28" s="22">
        <f>IF($C28="","",IFERROR(IF(INDEX(Deals!$Y$2:$Y$355,MATCH($C28,Deals!$A$2:$A$355,0))=0,"",INDEX(Deals!$Y$2:$Y$355,MATCH($C28,Deals!$A$2:$A$355,0))),""))</f>
        <v/>
      </c>
      <c r="V28" s="35">
        <f>IF(OR($U28&lt;&gt;"",AND($AO28&gt;0,$L28&lt;&gt;"",$M28&lt;&gt;"")),$N28,DATE(1900,1,1))</f>
        <v/>
      </c>
      <c r="W28" s="35">
        <f>IF($U28&lt;&gt;"",$U28,IF(AND($AO28&gt;0,$L28&lt;&gt;"",$M28&lt;&gt;""),$O28,DATE(2100,12,31)))</f>
        <v/>
      </c>
      <c r="X28" s="32">
        <f>IF($U28="",$K28,$K28*$S28)</f>
        <v/>
      </c>
      <c r="Y28" s="35">
        <f>IF($U28="",DATE(2100,12,31),$U28+1)</f>
        <v/>
      </c>
      <c r="Z28" s="35">
        <f>IF($U28="",DATE(1900,1,1),$O28)</f>
        <v/>
      </c>
      <c r="AA28" s="32">
        <f>IF($U28="",0,$K28*$T28)</f>
        <v/>
      </c>
      <c r="AB28" s="21">
        <f>IF($C28="",0,IFERROR(INDEX(Deals!$AD$2:$AD$355,MATCH($C28,Deals!$A$2:$A$355,0)),0))</f>
        <v/>
      </c>
      <c r="AC28" s="32">
        <f>IF(Settings!$B$4="Yes",$I28*$AB28,$I28)</f>
        <v/>
      </c>
      <c r="AD28" s="22">
        <f>IF($C28="","",IFERROR(IF(INDEX(Deals!$AE$2:$AE$355,MATCH($C28,Deals!$A$2:$A$355,0))=0,"",INDEX(Deals!$AE$2:$AE$355,MATCH($C28,Deals!$A$2:$A$355,0))),""))</f>
        <v/>
      </c>
      <c r="AE28" s="22">
        <f>IF($C28="","",IFERROR(IF(INDEX(Deals!$AF$2:$AF$355,MATCH($C28,Deals!$A$2:$A$355,0))=0,"",INDEX(Deals!$AF$2:$AF$355,MATCH($C28,Deals!$A$2:$A$355,0))),""))</f>
        <v/>
      </c>
      <c r="AF28" s="35">
        <f>IF($AD28="",DATE(1900,1,1),$AD28)</f>
        <v/>
      </c>
      <c r="AG28" s="35">
        <f>IF($AE28="",DATE(2100,12,31),$AE28)</f>
        <v/>
      </c>
      <c r="AH28" s="22">
        <f>IF($C28="","",IFERROR(IF(INDEX(Deals!$AG$2:$AG$355,MATCH($C28,Deals!$A$2:$A$355,0))=0,"",INDEX(Deals!$AG$2:$AG$355,MATCH($C28,Deals!$A$2:$A$355,0))),""))</f>
        <v/>
      </c>
      <c r="AI28" s="35">
        <f>IF(OR($AH28&lt;&gt;"",AND($AO28&gt;0,$AD28&lt;&gt;"",$AE28&lt;&gt;"")),$AF28,DATE(1900,1,1))</f>
        <v/>
      </c>
      <c r="AJ28" s="35">
        <f>IF($AH28&lt;&gt;"",$AH28,IF(AND($AO28&gt;0,$AD28&lt;&gt;"",$AE28&lt;&gt;""),$AG28,DATE(2100,12,31)))</f>
        <v/>
      </c>
      <c r="AK28" s="32">
        <f>IF($AH28="",$AC28,$AC28*$S28)</f>
        <v/>
      </c>
      <c r="AL28" s="35">
        <f>IF($AH28="",DATE(2100,12,31),$AH28+1)</f>
        <v/>
      </c>
      <c r="AM28" s="35">
        <f>IF($AH28="",DATE(1900,1,1),$AG28)</f>
        <v/>
      </c>
      <c r="AN28" s="32">
        <f>IF($AH28="",0,$AC28*$T28)</f>
        <v/>
      </c>
      <c r="AO28" s="46">
        <f>IF($C28="",0,IFERROR(INDEX(Deals!$BD$2:$BD$355,MATCH($C28,Deals!$A$2:$A$355,0)),0))</f>
        <v/>
      </c>
      <c r="AP28" s="18">
        <f>IF($AO28=0,0,IFERROR(INDEX(Deals!$BJ$2:$BP$355,MATCH($C28,Deals!$A$2:$A$355,0),MATCH($F28,Deals!$BJ$1:$BP$1,0))/COUNTIFS(Assignments!$C$2:$C$769,$C28,Assignments!$F$2:$F$769,$F28,Assignments!$G$2:$G$769,"Active"),0))</f>
        <v/>
      </c>
    </row>
    <row r="29">
      <c r="A29" s="28" t="inlineStr">
        <is>
          <t>Tania</t>
        </is>
      </c>
      <c r="B29" s="16">
        <f>IF($A29="","",IFERROR(INDEX(Roster!$B$2:$B$40,MATCH($A29,Roster!$A$2:$A$40,0)),"?"))</f>
        <v/>
      </c>
      <c r="C29" s="28" t="inlineStr">
        <is>
          <t>Mont_1</t>
        </is>
      </c>
      <c r="D29" s="16">
        <f>IF($C29="","",IFERROR(IF(INDEX(Deals!$C$2:$C$355,MATCH($C29,Deals!$A$2:$A$355,0))=0,"",INDEX(Deals!$C$2:$C$355,MATCH($C29,Deals!$A$2:$A$355,0))),"?"))</f>
        <v/>
      </c>
      <c r="E29" s="16">
        <f>IF($C29="","",IFERROR(INDEX(Deals!$F$2:$F$355,MATCH($C29,Deals!$A$2:$A$355,0)),"?"))</f>
        <v/>
      </c>
      <c r="F29" s="28" t="inlineStr">
        <is>
          <t>Partner</t>
        </is>
      </c>
      <c r="G29" s="28" t="inlineStr">
        <is>
          <t>Active</t>
        </is>
      </c>
      <c r="H29" s="31" t="n"/>
      <c r="I29" s="32">
        <f>IF(OR($A29="",$G29&lt;&gt;"Active"),0,IF($H29&lt;&gt;"",$H29,IF($AO29&gt;0,$AP29,IF(AND($R29&lt;&gt;"",IFERROR(INDEX(Templates!$B$3:$H$10,MATCH($R29,Templates!$A$3:$A$10,0),MATCH($F29,Templates!$B$2:$H$2,0)),0)&gt;0),INDEX(Templates!$B$3:$H$10,MATCH($R29,Templates!$A$3:$A$10,0),MATCH($F29,Templates!$B$2:$H$2,0)),IFERROR(INDEX(Settings!$B$8:$B$14,MATCH($F29,Settings!$A$8:$A$14,0)),0)))))</f>
        <v/>
      </c>
      <c r="J29" s="21">
        <f>IF($C29="",0,IFERROR(INDEX(Deals!$H$2:$H$355,MATCH($C29,Deals!$A$2:$A$355,0)),0))</f>
        <v/>
      </c>
      <c r="K29" s="32">
        <f>IF(Settings!$B$4="Yes",$I29*$J29,$I29)</f>
        <v/>
      </c>
      <c r="L29" s="22">
        <f>IF($C29="","",IFERROR(IF(INDEX(Deals!$I$2:$I$355,MATCH($C29,Deals!$A$2:$A$355,0))=0,"",INDEX(Deals!$I$2:$I$355,MATCH($C29,Deals!$A$2:$A$355,0))),""))</f>
        <v/>
      </c>
      <c r="M29" s="22">
        <f>IF($C29="","",IFERROR(IF(INDEX(Deals!$J$2:$J$355,MATCH($C29,Deals!$A$2:$A$355,0))=0,"",INDEX(Deals!$J$2:$J$355,MATCH($C29,Deals!$A$2:$A$355,0))),""))</f>
        <v/>
      </c>
      <c r="N29" s="35">
        <f>IF($L29="",DATE(1900,1,1),$L29)</f>
        <v/>
      </c>
      <c r="O29" s="35">
        <f>IF($M29="",DATE(2100,12,31),$M29)</f>
        <v/>
      </c>
      <c r="P29" s="20" t="inlineStr"/>
      <c r="Q29" s="47" t="inlineStr"/>
      <c r="R29" s="16">
        <f>IF($C29="","",IFERROR(IF(INDEX(Deals!$U$2:$U$355,MATCH($C29,Deals!$A$2:$A$355,0))=0,"",INDEX(Deals!$U$2:$U$355,MATCH($C29,Deals!$A$2:$A$355,0))),""))</f>
        <v/>
      </c>
      <c r="S29" s="34">
        <f>IFERROR(IF($U29="",1,INDEX(Deals!$V$2:$V$355,MATCH($C29,Deals!$A$2:$A$355,0))),1)</f>
        <v/>
      </c>
      <c r="T29" s="34">
        <f>IFERROR(IF($U29="",1,INDEX(Deals!$W$2:$W$355,MATCH($C29,Deals!$A$2:$A$355,0))),1)</f>
        <v/>
      </c>
      <c r="U29" s="22">
        <f>IF($C29="","",IFERROR(IF(INDEX(Deals!$Y$2:$Y$355,MATCH($C29,Deals!$A$2:$A$355,0))=0,"",INDEX(Deals!$Y$2:$Y$355,MATCH($C29,Deals!$A$2:$A$355,0))),""))</f>
        <v/>
      </c>
      <c r="V29" s="35">
        <f>IF(OR($U29&lt;&gt;"",AND($AO29&gt;0,$L29&lt;&gt;"",$M29&lt;&gt;"")),$N29,DATE(1900,1,1))</f>
        <v/>
      </c>
      <c r="W29" s="35">
        <f>IF($U29&lt;&gt;"",$U29,IF(AND($AO29&gt;0,$L29&lt;&gt;"",$M29&lt;&gt;""),$O29,DATE(2100,12,31)))</f>
        <v/>
      </c>
      <c r="X29" s="32">
        <f>IF($U29="",$K29,$K29*$S29)</f>
        <v/>
      </c>
      <c r="Y29" s="35">
        <f>IF($U29="",DATE(2100,12,31),$U29+1)</f>
        <v/>
      </c>
      <c r="Z29" s="35">
        <f>IF($U29="",DATE(1900,1,1),$O29)</f>
        <v/>
      </c>
      <c r="AA29" s="32">
        <f>IF($U29="",0,$K29*$T29)</f>
        <v/>
      </c>
      <c r="AB29" s="21">
        <f>IF($C29="",0,IFERROR(INDEX(Deals!$AD$2:$AD$355,MATCH($C29,Deals!$A$2:$A$355,0)),0))</f>
        <v/>
      </c>
      <c r="AC29" s="32">
        <f>IF(Settings!$B$4="Yes",$I29*$AB29,$I29)</f>
        <v/>
      </c>
      <c r="AD29" s="22">
        <f>IF($C29="","",IFERROR(IF(INDEX(Deals!$AE$2:$AE$355,MATCH($C29,Deals!$A$2:$A$355,0))=0,"",INDEX(Deals!$AE$2:$AE$355,MATCH($C29,Deals!$A$2:$A$355,0))),""))</f>
        <v/>
      </c>
      <c r="AE29" s="22">
        <f>IF($C29="","",IFERROR(IF(INDEX(Deals!$AF$2:$AF$355,MATCH($C29,Deals!$A$2:$A$355,0))=0,"",INDEX(Deals!$AF$2:$AF$355,MATCH($C29,Deals!$A$2:$A$355,0))),""))</f>
        <v/>
      </c>
      <c r="AF29" s="35">
        <f>IF($AD29="",DATE(1900,1,1),$AD29)</f>
        <v/>
      </c>
      <c r="AG29" s="35">
        <f>IF($AE29="",DATE(2100,12,31),$AE29)</f>
        <v/>
      </c>
      <c r="AH29" s="22">
        <f>IF($C29="","",IFERROR(IF(INDEX(Deals!$AG$2:$AG$355,MATCH($C29,Deals!$A$2:$A$355,0))=0,"",INDEX(Deals!$AG$2:$AG$355,MATCH($C29,Deals!$A$2:$A$355,0))),""))</f>
        <v/>
      </c>
      <c r="AI29" s="35">
        <f>IF(OR($AH29&lt;&gt;"",AND($AO29&gt;0,$AD29&lt;&gt;"",$AE29&lt;&gt;"")),$AF29,DATE(1900,1,1))</f>
        <v/>
      </c>
      <c r="AJ29" s="35">
        <f>IF($AH29&lt;&gt;"",$AH29,IF(AND($AO29&gt;0,$AD29&lt;&gt;"",$AE29&lt;&gt;""),$AG29,DATE(2100,12,31)))</f>
        <v/>
      </c>
      <c r="AK29" s="32">
        <f>IF($AH29="",$AC29,$AC29*$S29)</f>
        <v/>
      </c>
      <c r="AL29" s="35">
        <f>IF($AH29="",DATE(2100,12,31),$AH29+1)</f>
        <v/>
      </c>
      <c r="AM29" s="35">
        <f>IF($AH29="",DATE(1900,1,1),$AG29)</f>
        <v/>
      </c>
      <c r="AN29" s="32">
        <f>IF($AH29="",0,$AC29*$T29)</f>
        <v/>
      </c>
      <c r="AO29" s="46">
        <f>IF($C29="",0,IFERROR(INDEX(Deals!$BD$2:$BD$355,MATCH($C29,Deals!$A$2:$A$355,0)),0))</f>
        <v/>
      </c>
      <c r="AP29" s="18">
        <f>IF($AO29=0,0,IFERROR(INDEX(Deals!$BJ$2:$BP$355,MATCH($C29,Deals!$A$2:$A$355,0),MATCH($F29,Deals!$BJ$1:$BP$1,0))/COUNTIFS(Assignments!$C$2:$C$769,$C29,Assignments!$F$2:$F$769,$F29,Assignments!$G$2:$G$769,"Active"),0))</f>
        <v/>
      </c>
    </row>
    <row r="30">
      <c r="A30" s="28" t="inlineStr">
        <is>
          <t>Tania</t>
        </is>
      </c>
      <c r="B30" s="16">
        <f>IF($A30="","",IFERROR(INDEX(Roster!$B$2:$B$40,MATCH($A30,Roster!$A$2:$A$40,0)),"?"))</f>
        <v/>
      </c>
      <c r="C30" s="28" t="inlineStr">
        <is>
          <t>Naples_2</t>
        </is>
      </c>
      <c r="D30" s="16">
        <f>IF($C30="","",IFERROR(IF(INDEX(Deals!$C$2:$C$355,MATCH($C30,Deals!$A$2:$A$355,0))=0,"",INDEX(Deals!$C$2:$C$355,MATCH($C30,Deals!$A$2:$A$355,0))),"?"))</f>
        <v/>
      </c>
      <c r="E30" s="16">
        <f>IF($C30="","",IFERROR(INDEX(Deals!$F$2:$F$355,MATCH($C30,Deals!$A$2:$A$355,0)),"?"))</f>
        <v/>
      </c>
      <c r="F30" s="28" t="inlineStr">
        <is>
          <t>Partner</t>
        </is>
      </c>
      <c r="G30" s="28" t="inlineStr">
        <is>
          <t>Active</t>
        </is>
      </c>
      <c r="H30" s="31" t="n"/>
      <c r="I30" s="32">
        <f>IF(OR($A30="",$G30&lt;&gt;"Active"),0,IF($H30&lt;&gt;"",$H30,IF($AO30&gt;0,$AP30,IF(AND($R30&lt;&gt;"",IFERROR(INDEX(Templates!$B$3:$H$10,MATCH($R30,Templates!$A$3:$A$10,0),MATCH($F30,Templates!$B$2:$H$2,0)),0)&gt;0),INDEX(Templates!$B$3:$H$10,MATCH($R30,Templates!$A$3:$A$10,0),MATCH($F30,Templates!$B$2:$H$2,0)),IFERROR(INDEX(Settings!$B$8:$B$14,MATCH($F30,Settings!$A$8:$A$14,0)),0)))))</f>
        <v/>
      </c>
      <c r="J30" s="21">
        <f>IF($C30="",0,IFERROR(INDEX(Deals!$H$2:$H$355,MATCH($C30,Deals!$A$2:$A$355,0)),0))</f>
        <v/>
      </c>
      <c r="K30" s="32">
        <f>IF(Settings!$B$4="Yes",$I30*$J30,$I30)</f>
        <v/>
      </c>
      <c r="L30" s="22">
        <f>IF($C30="","",IFERROR(IF(INDEX(Deals!$I$2:$I$355,MATCH($C30,Deals!$A$2:$A$355,0))=0,"",INDEX(Deals!$I$2:$I$355,MATCH($C30,Deals!$A$2:$A$355,0))),""))</f>
        <v/>
      </c>
      <c r="M30" s="22">
        <f>IF($C30="","",IFERROR(IF(INDEX(Deals!$J$2:$J$355,MATCH($C30,Deals!$A$2:$A$355,0))=0,"",INDEX(Deals!$J$2:$J$355,MATCH($C30,Deals!$A$2:$A$355,0))),""))</f>
        <v/>
      </c>
      <c r="N30" s="35">
        <f>IF($L30="",DATE(1900,1,1),$L30)</f>
        <v/>
      </c>
      <c r="O30" s="35">
        <f>IF($M30="",DATE(2100,12,31),$M30)</f>
        <v/>
      </c>
      <c r="P30" s="20" t="inlineStr"/>
      <c r="Q30" s="47" t="inlineStr"/>
      <c r="R30" s="16">
        <f>IF($C30="","",IFERROR(IF(INDEX(Deals!$U$2:$U$355,MATCH($C30,Deals!$A$2:$A$355,0))=0,"",INDEX(Deals!$U$2:$U$355,MATCH($C30,Deals!$A$2:$A$355,0))),""))</f>
        <v/>
      </c>
      <c r="S30" s="34">
        <f>IFERROR(IF($U30="",1,INDEX(Deals!$V$2:$V$355,MATCH($C30,Deals!$A$2:$A$355,0))),1)</f>
        <v/>
      </c>
      <c r="T30" s="34">
        <f>IFERROR(IF($U30="",1,INDEX(Deals!$W$2:$W$355,MATCH($C30,Deals!$A$2:$A$355,0))),1)</f>
        <v/>
      </c>
      <c r="U30" s="22">
        <f>IF($C30="","",IFERROR(IF(INDEX(Deals!$Y$2:$Y$355,MATCH($C30,Deals!$A$2:$A$355,0))=0,"",INDEX(Deals!$Y$2:$Y$355,MATCH($C30,Deals!$A$2:$A$355,0))),""))</f>
        <v/>
      </c>
      <c r="V30" s="35">
        <f>IF(OR($U30&lt;&gt;"",AND($AO30&gt;0,$L30&lt;&gt;"",$M30&lt;&gt;"")),$N30,DATE(1900,1,1))</f>
        <v/>
      </c>
      <c r="W30" s="35">
        <f>IF($U30&lt;&gt;"",$U30,IF(AND($AO30&gt;0,$L30&lt;&gt;"",$M30&lt;&gt;""),$O30,DATE(2100,12,31)))</f>
        <v/>
      </c>
      <c r="X30" s="32">
        <f>IF($U30="",$K30,$K30*$S30)</f>
        <v/>
      </c>
      <c r="Y30" s="35">
        <f>IF($U30="",DATE(2100,12,31),$U30+1)</f>
        <v/>
      </c>
      <c r="Z30" s="35">
        <f>IF($U30="",DATE(1900,1,1),$O30)</f>
        <v/>
      </c>
      <c r="AA30" s="32">
        <f>IF($U30="",0,$K30*$T30)</f>
        <v/>
      </c>
      <c r="AB30" s="21">
        <f>IF($C30="",0,IFERROR(INDEX(Deals!$AD$2:$AD$355,MATCH($C30,Deals!$A$2:$A$355,0)),0))</f>
        <v/>
      </c>
      <c r="AC30" s="32">
        <f>IF(Settings!$B$4="Yes",$I30*$AB30,$I30)</f>
        <v/>
      </c>
      <c r="AD30" s="22">
        <f>IF($C30="","",IFERROR(IF(INDEX(Deals!$AE$2:$AE$355,MATCH($C30,Deals!$A$2:$A$355,0))=0,"",INDEX(Deals!$AE$2:$AE$355,MATCH($C30,Deals!$A$2:$A$355,0))),""))</f>
        <v/>
      </c>
      <c r="AE30" s="22">
        <f>IF($C30="","",IFERROR(IF(INDEX(Deals!$AF$2:$AF$355,MATCH($C30,Deals!$A$2:$A$355,0))=0,"",INDEX(Deals!$AF$2:$AF$355,MATCH($C30,Deals!$A$2:$A$355,0))),""))</f>
        <v/>
      </c>
      <c r="AF30" s="35">
        <f>IF($AD30="",DATE(1900,1,1),$AD30)</f>
        <v/>
      </c>
      <c r="AG30" s="35">
        <f>IF($AE30="",DATE(2100,12,31),$AE30)</f>
        <v/>
      </c>
      <c r="AH30" s="22">
        <f>IF($C30="","",IFERROR(IF(INDEX(Deals!$AG$2:$AG$355,MATCH($C30,Deals!$A$2:$A$355,0))=0,"",INDEX(Deals!$AG$2:$AG$355,MATCH($C30,Deals!$A$2:$A$355,0))),""))</f>
        <v/>
      </c>
      <c r="AI30" s="35">
        <f>IF(OR($AH30&lt;&gt;"",AND($AO30&gt;0,$AD30&lt;&gt;"",$AE30&lt;&gt;"")),$AF30,DATE(1900,1,1))</f>
        <v/>
      </c>
      <c r="AJ30" s="35">
        <f>IF($AH30&lt;&gt;"",$AH30,IF(AND($AO30&gt;0,$AD30&lt;&gt;"",$AE30&lt;&gt;""),$AG30,DATE(2100,12,31)))</f>
        <v/>
      </c>
      <c r="AK30" s="32">
        <f>IF($AH30="",$AC30,$AC30*$S30)</f>
        <v/>
      </c>
      <c r="AL30" s="35">
        <f>IF($AH30="",DATE(2100,12,31),$AH30+1)</f>
        <v/>
      </c>
      <c r="AM30" s="35">
        <f>IF($AH30="",DATE(1900,1,1),$AG30)</f>
        <v/>
      </c>
      <c r="AN30" s="32">
        <f>IF($AH30="",0,$AC30*$T30)</f>
        <v/>
      </c>
      <c r="AO30" s="46">
        <f>IF($C30="",0,IFERROR(INDEX(Deals!$BD$2:$BD$355,MATCH($C30,Deals!$A$2:$A$355,0)),0))</f>
        <v/>
      </c>
      <c r="AP30" s="18">
        <f>IF($AO30=0,0,IFERROR(INDEX(Deals!$BJ$2:$BP$355,MATCH($C30,Deals!$A$2:$A$355,0),MATCH($F30,Deals!$BJ$1:$BP$1,0))/COUNTIFS(Assignments!$C$2:$C$769,$C30,Assignments!$F$2:$F$769,$F30,Assignments!$G$2:$G$769,"Active"),0))</f>
        <v/>
      </c>
    </row>
    <row r="31">
      <c r="A31" s="28" t="inlineStr">
        <is>
          <t>Tania</t>
        </is>
      </c>
      <c r="B31" s="16">
        <f>IF($A31="","",IFERROR(INDEX(Roster!$B$2:$B$40,MATCH($A31,Roster!$A$2:$A$40,0)),"?"))</f>
        <v/>
      </c>
      <c r="C31" s="28" t="inlineStr">
        <is>
          <t>Nemrut_1</t>
        </is>
      </c>
      <c r="D31" s="16">
        <f>IF($C31="","",IFERROR(IF(INDEX(Deals!$C$2:$C$355,MATCH($C31,Deals!$A$2:$A$355,0))=0,"",INDEX(Deals!$C$2:$C$355,MATCH($C31,Deals!$A$2:$A$355,0))),"?"))</f>
        <v/>
      </c>
      <c r="E31" s="16">
        <f>IF($C31="","",IFERROR(INDEX(Deals!$F$2:$F$355,MATCH($C31,Deals!$A$2:$A$355,0)),"?"))</f>
        <v/>
      </c>
      <c r="F31" s="28" t="inlineStr">
        <is>
          <t>Partner</t>
        </is>
      </c>
      <c r="G31" s="28" t="inlineStr">
        <is>
          <t>Active</t>
        </is>
      </c>
      <c r="H31" s="31" t="n"/>
      <c r="I31" s="32">
        <f>IF(OR($A31="",$G31&lt;&gt;"Active"),0,IF($H31&lt;&gt;"",$H31,IF($AO31&gt;0,$AP31,IF(AND($R31&lt;&gt;"",IFERROR(INDEX(Templates!$B$3:$H$10,MATCH($R31,Templates!$A$3:$A$10,0),MATCH($F31,Templates!$B$2:$H$2,0)),0)&gt;0),INDEX(Templates!$B$3:$H$10,MATCH($R31,Templates!$A$3:$A$10,0),MATCH($F31,Templates!$B$2:$H$2,0)),IFERROR(INDEX(Settings!$B$8:$B$14,MATCH($F31,Settings!$A$8:$A$14,0)),0)))))</f>
        <v/>
      </c>
      <c r="J31" s="21">
        <f>IF($C31="",0,IFERROR(INDEX(Deals!$H$2:$H$355,MATCH($C31,Deals!$A$2:$A$355,0)),0))</f>
        <v/>
      </c>
      <c r="K31" s="32">
        <f>IF(Settings!$B$4="Yes",$I31*$J31,$I31)</f>
        <v/>
      </c>
      <c r="L31" s="22">
        <f>IF($C31="","",IFERROR(IF(INDEX(Deals!$I$2:$I$355,MATCH($C31,Deals!$A$2:$A$355,0))=0,"",INDEX(Deals!$I$2:$I$355,MATCH($C31,Deals!$A$2:$A$355,0))),""))</f>
        <v/>
      </c>
      <c r="M31" s="22">
        <f>IF($C31="","",IFERROR(IF(INDEX(Deals!$J$2:$J$355,MATCH($C31,Deals!$A$2:$A$355,0))=0,"",INDEX(Deals!$J$2:$J$355,MATCH($C31,Deals!$A$2:$A$355,0))),""))</f>
        <v/>
      </c>
      <c r="N31" s="35">
        <f>IF($L31="",DATE(1900,1,1),$L31)</f>
        <v/>
      </c>
      <c r="O31" s="35">
        <f>IF($M31="",DATE(2100,12,31),$M31)</f>
        <v/>
      </c>
      <c r="P31" s="20" t="inlineStr"/>
      <c r="Q31" s="47" t="inlineStr"/>
      <c r="R31" s="16">
        <f>IF($C31="","",IFERROR(IF(INDEX(Deals!$U$2:$U$355,MATCH($C31,Deals!$A$2:$A$355,0))=0,"",INDEX(Deals!$U$2:$U$355,MATCH($C31,Deals!$A$2:$A$355,0))),""))</f>
        <v/>
      </c>
      <c r="S31" s="34">
        <f>IFERROR(IF($U31="",1,INDEX(Deals!$V$2:$V$355,MATCH($C31,Deals!$A$2:$A$355,0))),1)</f>
        <v/>
      </c>
      <c r="T31" s="34">
        <f>IFERROR(IF($U31="",1,INDEX(Deals!$W$2:$W$355,MATCH($C31,Deals!$A$2:$A$355,0))),1)</f>
        <v/>
      </c>
      <c r="U31" s="22">
        <f>IF($C31="","",IFERROR(IF(INDEX(Deals!$Y$2:$Y$355,MATCH($C31,Deals!$A$2:$A$355,0))=0,"",INDEX(Deals!$Y$2:$Y$355,MATCH($C31,Deals!$A$2:$A$355,0))),""))</f>
        <v/>
      </c>
      <c r="V31" s="35">
        <f>IF(OR($U31&lt;&gt;"",AND($AO31&gt;0,$L31&lt;&gt;"",$M31&lt;&gt;"")),$N31,DATE(1900,1,1))</f>
        <v/>
      </c>
      <c r="W31" s="35">
        <f>IF($U31&lt;&gt;"",$U31,IF(AND($AO31&gt;0,$L31&lt;&gt;"",$M31&lt;&gt;""),$O31,DATE(2100,12,31)))</f>
        <v/>
      </c>
      <c r="X31" s="32">
        <f>IF($U31="",$K31,$K31*$S31)</f>
        <v/>
      </c>
      <c r="Y31" s="35">
        <f>IF($U31="",DATE(2100,12,31),$U31+1)</f>
        <v/>
      </c>
      <c r="Z31" s="35">
        <f>IF($U31="",DATE(1900,1,1),$O31)</f>
        <v/>
      </c>
      <c r="AA31" s="32">
        <f>IF($U31="",0,$K31*$T31)</f>
        <v/>
      </c>
      <c r="AB31" s="21">
        <f>IF($C31="",0,IFERROR(INDEX(Deals!$AD$2:$AD$355,MATCH($C31,Deals!$A$2:$A$355,0)),0))</f>
        <v/>
      </c>
      <c r="AC31" s="32">
        <f>IF(Settings!$B$4="Yes",$I31*$AB31,$I31)</f>
        <v/>
      </c>
      <c r="AD31" s="22">
        <f>IF($C31="","",IFERROR(IF(INDEX(Deals!$AE$2:$AE$355,MATCH($C31,Deals!$A$2:$A$355,0))=0,"",INDEX(Deals!$AE$2:$AE$355,MATCH($C31,Deals!$A$2:$A$355,0))),""))</f>
        <v/>
      </c>
      <c r="AE31" s="22">
        <f>IF($C31="","",IFERROR(IF(INDEX(Deals!$AF$2:$AF$355,MATCH($C31,Deals!$A$2:$A$355,0))=0,"",INDEX(Deals!$AF$2:$AF$355,MATCH($C31,Deals!$A$2:$A$355,0))),""))</f>
        <v/>
      </c>
      <c r="AF31" s="35">
        <f>IF($AD31="",DATE(1900,1,1),$AD31)</f>
        <v/>
      </c>
      <c r="AG31" s="35">
        <f>IF($AE31="",DATE(2100,12,31),$AE31)</f>
        <v/>
      </c>
      <c r="AH31" s="22">
        <f>IF($C31="","",IFERROR(IF(INDEX(Deals!$AG$2:$AG$355,MATCH($C31,Deals!$A$2:$A$355,0))=0,"",INDEX(Deals!$AG$2:$AG$355,MATCH($C31,Deals!$A$2:$A$355,0))),""))</f>
        <v/>
      </c>
      <c r="AI31" s="35">
        <f>IF(OR($AH31&lt;&gt;"",AND($AO31&gt;0,$AD31&lt;&gt;"",$AE31&lt;&gt;"")),$AF31,DATE(1900,1,1))</f>
        <v/>
      </c>
      <c r="AJ31" s="35">
        <f>IF($AH31&lt;&gt;"",$AH31,IF(AND($AO31&gt;0,$AD31&lt;&gt;"",$AE31&lt;&gt;""),$AG31,DATE(2100,12,31)))</f>
        <v/>
      </c>
      <c r="AK31" s="32">
        <f>IF($AH31="",$AC31,$AC31*$S31)</f>
        <v/>
      </c>
      <c r="AL31" s="35">
        <f>IF($AH31="",DATE(2100,12,31),$AH31+1)</f>
        <v/>
      </c>
      <c r="AM31" s="35">
        <f>IF($AH31="",DATE(1900,1,1),$AG31)</f>
        <v/>
      </c>
      <c r="AN31" s="32">
        <f>IF($AH31="",0,$AC31*$T31)</f>
        <v/>
      </c>
      <c r="AO31" s="46">
        <f>IF($C31="",0,IFERROR(INDEX(Deals!$BD$2:$BD$355,MATCH($C31,Deals!$A$2:$A$355,0)),0))</f>
        <v/>
      </c>
      <c r="AP31" s="18">
        <f>IF($AO31=0,0,IFERROR(INDEX(Deals!$BJ$2:$BP$355,MATCH($C31,Deals!$A$2:$A$355,0),MATCH($F31,Deals!$BJ$1:$BP$1,0))/COUNTIFS(Assignments!$C$2:$C$769,$C31,Assignments!$F$2:$F$769,$F31,Assignments!$G$2:$G$769,"Active"),0))</f>
        <v/>
      </c>
    </row>
    <row r="32">
      <c r="A32" s="28" t="inlineStr">
        <is>
          <t>Tania</t>
        </is>
      </c>
      <c r="B32" s="16">
        <f>IF($A32="","",IFERROR(INDEX(Roster!$B$2:$B$40,MATCH($A32,Roster!$A$2:$A$40,0)),"?"))</f>
        <v/>
      </c>
      <c r="C32" s="28" t="inlineStr">
        <is>
          <t>NXT Add_1</t>
        </is>
      </c>
      <c r="D32" s="16">
        <f>IF($C32="","",IFERROR(IF(INDEX(Deals!$C$2:$C$355,MATCH($C32,Deals!$A$2:$A$355,0))=0,"",INDEX(Deals!$C$2:$C$355,MATCH($C32,Deals!$A$2:$A$355,0))),"?"))</f>
        <v/>
      </c>
      <c r="E32" s="16">
        <f>IF($C32="","",IFERROR(INDEX(Deals!$F$2:$F$355,MATCH($C32,Deals!$A$2:$A$355,0)),"?"))</f>
        <v/>
      </c>
      <c r="F32" s="28" t="inlineStr">
        <is>
          <t>Partner</t>
        </is>
      </c>
      <c r="G32" s="28" t="inlineStr">
        <is>
          <t>Active</t>
        </is>
      </c>
      <c r="H32" s="31" t="n"/>
      <c r="I32" s="32">
        <f>IF(OR($A32="",$G32&lt;&gt;"Active"),0,IF($H32&lt;&gt;"",$H32,IF($AO32&gt;0,$AP32,IF(AND($R32&lt;&gt;"",IFERROR(INDEX(Templates!$B$3:$H$10,MATCH($R32,Templates!$A$3:$A$10,0),MATCH($F32,Templates!$B$2:$H$2,0)),0)&gt;0),INDEX(Templates!$B$3:$H$10,MATCH($R32,Templates!$A$3:$A$10,0),MATCH($F32,Templates!$B$2:$H$2,0)),IFERROR(INDEX(Settings!$B$8:$B$14,MATCH($F32,Settings!$A$8:$A$14,0)),0)))))</f>
        <v/>
      </c>
      <c r="J32" s="21">
        <f>IF($C32="",0,IFERROR(INDEX(Deals!$H$2:$H$355,MATCH($C32,Deals!$A$2:$A$355,0)),0))</f>
        <v/>
      </c>
      <c r="K32" s="32">
        <f>IF(Settings!$B$4="Yes",$I32*$J32,$I32)</f>
        <v/>
      </c>
      <c r="L32" s="22">
        <f>IF($C32="","",IFERROR(IF(INDEX(Deals!$I$2:$I$355,MATCH($C32,Deals!$A$2:$A$355,0))=0,"",INDEX(Deals!$I$2:$I$355,MATCH($C32,Deals!$A$2:$A$355,0))),""))</f>
        <v/>
      </c>
      <c r="M32" s="22">
        <f>IF($C32="","",IFERROR(IF(INDEX(Deals!$J$2:$J$355,MATCH($C32,Deals!$A$2:$A$355,0))=0,"",INDEX(Deals!$J$2:$J$355,MATCH($C32,Deals!$A$2:$A$355,0))),""))</f>
        <v/>
      </c>
      <c r="N32" s="35">
        <f>IF($L32="",DATE(1900,1,1),$L32)</f>
        <v/>
      </c>
      <c r="O32" s="35">
        <f>IF($M32="",DATE(2100,12,31),$M32)</f>
        <v/>
      </c>
      <c r="P32" s="20" t="inlineStr"/>
      <c r="Q32" s="47" t="inlineStr"/>
      <c r="R32" s="16">
        <f>IF($C32="","",IFERROR(IF(INDEX(Deals!$U$2:$U$355,MATCH($C32,Deals!$A$2:$A$355,0))=0,"",INDEX(Deals!$U$2:$U$355,MATCH($C32,Deals!$A$2:$A$355,0))),""))</f>
        <v/>
      </c>
      <c r="S32" s="34">
        <f>IFERROR(IF($U32="",1,INDEX(Deals!$V$2:$V$355,MATCH($C32,Deals!$A$2:$A$355,0))),1)</f>
        <v/>
      </c>
      <c r="T32" s="34">
        <f>IFERROR(IF($U32="",1,INDEX(Deals!$W$2:$W$355,MATCH($C32,Deals!$A$2:$A$355,0))),1)</f>
        <v/>
      </c>
      <c r="U32" s="22">
        <f>IF($C32="","",IFERROR(IF(INDEX(Deals!$Y$2:$Y$355,MATCH($C32,Deals!$A$2:$A$355,0))=0,"",INDEX(Deals!$Y$2:$Y$355,MATCH($C32,Deals!$A$2:$A$355,0))),""))</f>
        <v/>
      </c>
      <c r="V32" s="35">
        <f>IF(OR($U32&lt;&gt;"",AND($AO32&gt;0,$L32&lt;&gt;"",$M32&lt;&gt;"")),$N32,DATE(1900,1,1))</f>
        <v/>
      </c>
      <c r="W32" s="35">
        <f>IF($U32&lt;&gt;"",$U32,IF(AND($AO32&gt;0,$L32&lt;&gt;"",$M32&lt;&gt;""),$O32,DATE(2100,12,31)))</f>
        <v/>
      </c>
      <c r="X32" s="32">
        <f>IF($U32="",$K32,$K32*$S32)</f>
        <v/>
      </c>
      <c r="Y32" s="35">
        <f>IF($U32="",DATE(2100,12,31),$U32+1)</f>
        <v/>
      </c>
      <c r="Z32" s="35">
        <f>IF($U32="",DATE(1900,1,1),$O32)</f>
        <v/>
      </c>
      <c r="AA32" s="32">
        <f>IF($U32="",0,$K32*$T32)</f>
        <v/>
      </c>
      <c r="AB32" s="21">
        <f>IF($C32="",0,IFERROR(INDEX(Deals!$AD$2:$AD$355,MATCH($C32,Deals!$A$2:$A$355,0)),0))</f>
        <v/>
      </c>
      <c r="AC32" s="32">
        <f>IF(Settings!$B$4="Yes",$I32*$AB32,$I32)</f>
        <v/>
      </c>
      <c r="AD32" s="22">
        <f>IF($C32="","",IFERROR(IF(INDEX(Deals!$AE$2:$AE$355,MATCH($C32,Deals!$A$2:$A$355,0))=0,"",INDEX(Deals!$AE$2:$AE$355,MATCH($C32,Deals!$A$2:$A$355,0))),""))</f>
        <v/>
      </c>
      <c r="AE32" s="22">
        <f>IF($C32="","",IFERROR(IF(INDEX(Deals!$AF$2:$AF$355,MATCH($C32,Deals!$A$2:$A$355,0))=0,"",INDEX(Deals!$AF$2:$AF$355,MATCH($C32,Deals!$A$2:$A$355,0))),""))</f>
        <v/>
      </c>
      <c r="AF32" s="35">
        <f>IF($AD32="",DATE(1900,1,1),$AD32)</f>
        <v/>
      </c>
      <c r="AG32" s="35">
        <f>IF($AE32="",DATE(2100,12,31),$AE32)</f>
        <v/>
      </c>
      <c r="AH32" s="22">
        <f>IF($C32="","",IFERROR(IF(INDEX(Deals!$AG$2:$AG$355,MATCH($C32,Deals!$A$2:$A$355,0))=0,"",INDEX(Deals!$AG$2:$AG$355,MATCH($C32,Deals!$A$2:$A$355,0))),""))</f>
        <v/>
      </c>
      <c r="AI32" s="35">
        <f>IF(OR($AH32&lt;&gt;"",AND($AO32&gt;0,$AD32&lt;&gt;"",$AE32&lt;&gt;"")),$AF32,DATE(1900,1,1))</f>
        <v/>
      </c>
      <c r="AJ32" s="35">
        <f>IF($AH32&lt;&gt;"",$AH32,IF(AND($AO32&gt;0,$AD32&lt;&gt;"",$AE32&lt;&gt;""),$AG32,DATE(2100,12,31)))</f>
        <v/>
      </c>
      <c r="AK32" s="32">
        <f>IF($AH32="",$AC32,$AC32*$S32)</f>
        <v/>
      </c>
      <c r="AL32" s="35">
        <f>IF($AH32="",DATE(2100,12,31),$AH32+1)</f>
        <v/>
      </c>
      <c r="AM32" s="35">
        <f>IF($AH32="",DATE(1900,1,1),$AG32)</f>
        <v/>
      </c>
      <c r="AN32" s="32">
        <f>IF($AH32="",0,$AC32*$T32)</f>
        <v/>
      </c>
      <c r="AO32" s="46">
        <f>IF($C32="",0,IFERROR(INDEX(Deals!$BD$2:$BD$355,MATCH($C32,Deals!$A$2:$A$355,0)),0))</f>
        <v/>
      </c>
      <c r="AP32" s="18">
        <f>IF($AO32=0,0,IFERROR(INDEX(Deals!$BJ$2:$BP$355,MATCH($C32,Deals!$A$2:$A$355,0),MATCH($F32,Deals!$BJ$1:$BP$1,0))/COUNTIFS(Assignments!$C$2:$C$769,$C32,Assignments!$F$2:$F$769,$F32,Assignments!$G$2:$G$769,"Active"),0))</f>
        <v/>
      </c>
    </row>
    <row r="33">
      <c r="A33" s="28" t="inlineStr">
        <is>
          <t>Tania</t>
        </is>
      </c>
      <c r="B33" s="16">
        <f>IF($A33="","",IFERROR(INDEX(Roster!$B$2:$B$40,MATCH($A33,Roster!$A$2:$A$40,0)),"?"))</f>
        <v/>
      </c>
      <c r="C33" s="28" t="inlineStr">
        <is>
          <t>Papago_1</t>
        </is>
      </c>
      <c r="D33" s="16">
        <f>IF($C33="","",IFERROR(IF(INDEX(Deals!$C$2:$C$355,MATCH($C33,Deals!$A$2:$A$355,0))=0,"",INDEX(Deals!$C$2:$C$355,MATCH($C33,Deals!$A$2:$A$355,0))),"?"))</f>
        <v/>
      </c>
      <c r="E33" s="16">
        <f>IF($C33="","",IFERROR(INDEX(Deals!$F$2:$F$355,MATCH($C33,Deals!$A$2:$A$355,0)),"?"))</f>
        <v/>
      </c>
      <c r="F33" s="28" t="inlineStr">
        <is>
          <t>Partner</t>
        </is>
      </c>
      <c r="G33" s="28" t="inlineStr">
        <is>
          <t>Active</t>
        </is>
      </c>
      <c r="H33" s="31" t="n"/>
      <c r="I33" s="32">
        <f>IF(OR($A33="",$G33&lt;&gt;"Active"),0,IF($H33&lt;&gt;"",$H33,IF($AO33&gt;0,$AP33,IF(AND($R33&lt;&gt;"",IFERROR(INDEX(Templates!$B$3:$H$10,MATCH($R33,Templates!$A$3:$A$10,0),MATCH($F33,Templates!$B$2:$H$2,0)),0)&gt;0),INDEX(Templates!$B$3:$H$10,MATCH($R33,Templates!$A$3:$A$10,0),MATCH($F33,Templates!$B$2:$H$2,0)),IFERROR(INDEX(Settings!$B$8:$B$14,MATCH($F33,Settings!$A$8:$A$14,0)),0)))))</f>
        <v/>
      </c>
      <c r="J33" s="21">
        <f>IF($C33="",0,IFERROR(INDEX(Deals!$H$2:$H$355,MATCH($C33,Deals!$A$2:$A$355,0)),0))</f>
        <v/>
      </c>
      <c r="K33" s="32">
        <f>IF(Settings!$B$4="Yes",$I33*$J33,$I33)</f>
        <v/>
      </c>
      <c r="L33" s="22">
        <f>IF($C33="","",IFERROR(IF(INDEX(Deals!$I$2:$I$355,MATCH($C33,Deals!$A$2:$A$355,0))=0,"",INDEX(Deals!$I$2:$I$355,MATCH($C33,Deals!$A$2:$A$355,0))),""))</f>
        <v/>
      </c>
      <c r="M33" s="22">
        <f>IF($C33="","",IFERROR(IF(INDEX(Deals!$J$2:$J$355,MATCH($C33,Deals!$A$2:$A$355,0))=0,"",INDEX(Deals!$J$2:$J$355,MATCH($C33,Deals!$A$2:$A$355,0))),""))</f>
        <v/>
      </c>
      <c r="N33" s="35">
        <f>IF($L33="",DATE(1900,1,1),$L33)</f>
        <v/>
      </c>
      <c r="O33" s="35">
        <f>IF($M33="",DATE(2100,12,31),$M33)</f>
        <v/>
      </c>
      <c r="P33" s="20" t="inlineStr"/>
      <c r="Q33" s="47" t="inlineStr"/>
      <c r="R33" s="16">
        <f>IF($C33="","",IFERROR(IF(INDEX(Deals!$U$2:$U$355,MATCH($C33,Deals!$A$2:$A$355,0))=0,"",INDEX(Deals!$U$2:$U$355,MATCH($C33,Deals!$A$2:$A$355,0))),""))</f>
        <v/>
      </c>
      <c r="S33" s="34">
        <f>IFERROR(IF($U33="",1,INDEX(Deals!$V$2:$V$355,MATCH($C33,Deals!$A$2:$A$355,0))),1)</f>
        <v/>
      </c>
      <c r="T33" s="34">
        <f>IFERROR(IF($U33="",1,INDEX(Deals!$W$2:$W$355,MATCH($C33,Deals!$A$2:$A$355,0))),1)</f>
        <v/>
      </c>
      <c r="U33" s="22">
        <f>IF($C33="","",IFERROR(IF(INDEX(Deals!$Y$2:$Y$355,MATCH($C33,Deals!$A$2:$A$355,0))=0,"",INDEX(Deals!$Y$2:$Y$355,MATCH($C33,Deals!$A$2:$A$355,0))),""))</f>
        <v/>
      </c>
      <c r="V33" s="35">
        <f>IF(OR($U33&lt;&gt;"",AND($AO33&gt;0,$L33&lt;&gt;"",$M33&lt;&gt;"")),$N33,DATE(1900,1,1))</f>
        <v/>
      </c>
      <c r="W33" s="35">
        <f>IF($U33&lt;&gt;"",$U33,IF(AND($AO33&gt;0,$L33&lt;&gt;"",$M33&lt;&gt;""),$O33,DATE(2100,12,31)))</f>
        <v/>
      </c>
      <c r="X33" s="32">
        <f>IF($U33="",$K33,$K33*$S33)</f>
        <v/>
      </c>
      <c r="Y33" s="35">
        <f>IF($U33="",DATE(2100,12,31),$U33+1)</f>
        <v/>
      </c>
      <c r="Z33" s="35">
        <f>IF($U33="",DATE(1900,1,1),$O33)</f>
        <v/>
      </c>
      <c r="AA33" s="32">
        <f>IF($U33="",0,$K33*$T33)</f>
        <v/>
      </c>
      <c r="AB33" s="21">
        <f>IF($C33="",0,IFERROR(INDEX(Deals!$AD$2:$AD$355,MATCH($C33,Deals!$A$2:$A$355,0)),0))</f>
        <v/>
      </c>
      <c r="AC33" s="32">
        <f>IF(Settings!$B$4="Yes",$I33*$AB33,$I33)</f>
        <v/>
      </c>
      <c r="AD33" s="22">
        <f>IF($C33="","",IFERROR(IF(INDEX(Deals!$AE$2:$AE$355,MATCH($C33,Deals!$A$2:$A$355,0))=0,"",INDEX(Deals!$AE$2:$AE$355,MATCH($C33,Deals!$A$2:$A$355,0))),""))</f>
        <v/>
      </c>
      <c r="AE33" s="22">
        <f>IF($C33="","",IFERROR(IF(INDEX(Deals!$AF$2:$AF$355,MATCH($C33,Deals!$A$2:$A$355,0))=0,"",INDEX(Deals!$AF$2:$AF$355,MATCH($C33,Deals!$A$2:$A$355,0))),""))</f>
        <v/>
      </c>
      <c r="AF33" s="35">
        <f>IF($AD33="",DATE(1900,1,1),$AD33)</f>
        <v/>
      </c>
      <c r="AG33" s="35">
        <f>IF($AE33="",DATE(2100,12,31),$AE33)</f>
        <v/>
      </c>
      <c r="AH33" s="22">
        <f>IF($C33="","",IFERROR(IF(INDEX(Deals!$AG$2:$AG$355,MATCH($C33,Deals!$A$2:$A$355,0))=0,"",INDEX(Deals!$AG$2:$AG$355,MATCH($C33,Deals!$A$2:$A$355,0))),""))</f>
        <v/>
      </c>
      <c r="AI33" s="35">
        <f>IF(OR($AH33&lt;&gt;"",AND($AO33&gt;0,$AD33&lt;&gt;"",$AE33&lt;&gt;"")),$AF33,DATE(1900,1,1))</f>
        <v/>
      </c>
      <c r="AJ33" s="35">
        <f>IF($AH33&lt;&gt;"",$AH33,IF(AND($AO33&gt;0,$AD33&lt;&gt;"",$AE33&lt;&gt;""),$AG33,DATE(2100,12,31)))</f>
        <v/>
      </c>
      <c r="AK33" s="32">
        <f>IF($AH33="",$AC33,$AC33*$S33)</f>
        <v/>
      </c>
      <c r="AL33" s="35">
        <f>IF($AH33="",DATE(2100,12,31),$AH33+1)</f>
        <v/>
      </c>
      <c r="AM33" s="35">
        <f>IF($AH33="",DATE(1900,1,1),$AG33)</f>
        <v/>
      </c>
      <c r="AN33" s="32">
        <f>IF($AH33="",0,$AC33*$T33)</f>
        <v/>
      </c>
      <c r="AO33" s="46">
        <f>IF($C33="",0,IFERROR(INDEX(Deals!$BD$2:$BD$355,MATCH($C33,Deals!$A$2:$A$355,0)),0))</f>
        <v/>
      </c>
      <c r="AP33" s="18">
        <f>IF($AO33=0,0,IFERROR(INDEX(Deals!$BJ$2:$BP$355,MATCH($C33,Deals!$A$2:$A$355,0),MATCH($F33,Deals!$BJ$1:$BP$1,0))/COUNTIFS(Assignments!$C$2:$C$769,$C33,Assignments!$F$2:$F$769,$F33,Assignments!$G$2:$G$769,"Active"),0))</f>
        <v/>
      </c>
    </row>
    <row r="34">
      <c r="A34" s="28" t="inlineStr">
        <is>
          <t>Tania</t>
        </is>
      </c>
      <c r="B34" s="16">
        <f>IF($A34="","",IFERROR(INDEX(Roster!$B$2:$B$40,MATCH($A34,Roster!$A$2:$A$40,0)),"?"))</f>
        <v/>
      </c>
      <c r="C34" s="28" t="inlineStr">
        <is>
          <t>Pelican_1</t>
        </is>
      </c>
      <c r="D34" s="16">
        <f>IF($C34="","",IFERROR(IF(INDEX(Deals!$C$2:$C$355,MATCH($C34,Deals!$A$2:$A$355,0))=0,"",INDEX(Deals!$C$2:$C$355,MATCH($C34,Deals!$A$2:$A$355,0))),"?"))</f>
        <v/>
      </c>
      <c r="E34" s="16">
        <f>IF($C34="","",IFERROR(INDEX(Deals!$F$2:$F$355,MATCH($C34,Deals!$A$2:$A$355,0)),"?"))</f>
        <v/>
      </c>
      <c r="F34" s="28" t="inlineStr">
        <is>
          <t>Partner</t>
        </is>
      </c>
      <c r="G34" s="28" t="inlineStr">
        <is>
          <t>Active</t>
        </is>
      </c>
      <c r="H34" s="31" t="n"/>
      <c r="I34" s="32">
        <f>IF(OR($A34="",$G34&lt;&gt;"Active"),0,IF($H34&lt;&gt;"",$H34,IF($AO34&gt;0,$AP34,IF(AND($R34&lt;&gt;"",IFERROR(INDEX(Templates!$B$3:$H$10,MATCH($R34,Templates!$A$3:$A$10,0),MATCH($F34,Templates!$B$2:$H$2,0)),0)&gt;0),INDEX(Templates!$B$3:$H$10,MATCH($R34,Templates!$A$3:$A$10,0),MATCH($F34,Templates!$B$2:$H$2,0)),IFERROR(INDEX(Settings!$B$8:$B$14,MATCH($F34,Settings!$A$8:$A$14,0)),0)))))</f>
        <v/>
      </c>
      <c r="J34" s="21">
        <f>IF($C34="",0,IFERROR(INDEX(Deals!$H$2:$H$355,MATCH($C34,Deals!$A$2:$A$355,0)),0))</f>
        <v/>
      </c>
      <c r="K34" s="32">
        <f>IF(Settings!$B$4="Yes",$I34*$J34,$I34)</f>
        <v/>
      </c>
      <c r="L34" s="22">
        <f>IF($C34="","",IFERROR(IF(INDEX(Deals!$I$2:$I$355,MATCH($C34,Deals!$A$2:$A$355,0))=0,"",INDEX(Deals!$I$2:$I$355,MATCH($C34,Deals!$A$2:$A$355,0))),""))</f>
        <v/>
      </c>
      <c r="M34" s="22">
        <f>IF($C34="","",IFERROR(IF(INDEX(Deals!$J$2:$J$355,MATCH($C34,Deals!$A$2:$A$355,0))=0,"",INDEX(Deals!$J$2:$J$355,MATCH($C34,Deals!$A$2:$A$355,0))),""))</f>
        <v/>
      </c>
      <c r="N34" s="35">
        <f>IF($L34="",DATE(1900,1,1),$L34)</f>
        <v/>
      </c>
      <c r="O34" s="35">
        <f>IF($M34="",DATE(2100,12,31),$M34)</f>
        <v/>
      </c>
      <c r="P34" s="20" t="inlineStr"/>
      <c r="Q34" s="47" t="inlineStr"/>
      <c r="R34" s="16">
        <f>IF($C34="","",IFERROR(IF(INDEX(Deals!$U$2:$U$355,MATCH($C34,Deals!$A$2:$A$355,0))=0,"",INDEX(Deals!$U$2:$U$355,MATCH($C34,Deals!$A$2:$A$355,0))),""))</f>
        <v/>
      </c>
      <c r="S34" s="34">
        <f>IFERROR(IF($U34="",1,INDEX(Deals!$V$2:$V$355,MATCH($C34,Deals!$A$2:$A$355,0))),1)</f>
        <v/>
      </c>
      <c r="T34" s="34">
        <f>IFERROR(IF($U34="",1,INDEX(Deals!$W$2:$W$355,MATCH($C34,Deals!$A$2:$A$355,0))),1)</f>
        <v/>
      </c>
      <c r="U34" s="22">
        <f>IF($C34="","",IFERROR(IF(INDEX(Deals!$Y$2:$Y$355,MATCH($C34,Deals!$A$2:$A$355,0))=0,"",INDEX(Deals!$Y$2:$Y$355,MATCH($C34,Deals!$A$2:$A$355,0))),""))</f>
        <v/>
      </c>
      <c r="V34" s="35">
        <f>IF(OR($U34&lt;&gt;"",AND($AO34&gt;0,$L34&lt;&gt;"",$M34&lt;&gt;"")),$N34,DATE(1900,1,1))</f>
        <v/>
      </c>
      <c r="W34" s="35">
        <f>IF($U34&lt;&gt;"",$U34,IF(AND($AO34&gt;0,$L34&lt;&gt;"",$M34&lt;&gt;""),$O34,DATE(2100,12,31)))</f>
        <v/>
      </c>
      <c r="X34" s="32">
        <f>IF($U34="",$K34,$K34*$S34)</f>
        <v/>
      </c>
      <c r="Y34" s="35">
        <f>IF($U34="",DATE(2100,12,31),$U34+1)</f>
        <v/>
      </c>
      <c r="Z34" s="35">
        <f>IF($U34="",DATE(1900,1,1),$O34)</f>
        <v/>
      </c>
      <c r="AA34" s="32">
        <f>IF($U34="",0,$K34*$T34)</f>
        <v/>
      </c>
      <c r="AB34" s="21">
        <f>IF($C34="",0,IFERROR(INDEX(Deals!$AD$2:$AD$355,MATCH($C34,Deals!$A$2:$A$355,0)),0))</f>
        <v/>
      </c>
      <c r="AC34" s="32">
        <f>IF(Settings!$B$4="Yes",$I34*$AB34,$I34)</f>
        <v/>
      </c>
      <c r="AD34" s="22">
        <f>IF($C34="","",IFERROR(IF(INDEX(Deals!$AE$2:$AE$355,MATCH($C34,Deals!$A$2:$A$355,0))=0,"",INDEX(Deals!$AE$2:$AE$355,MATCH($C34,Deals!$A$2:$A$355,0))),""))</f>
        <v/>
      </c>
      <c r="AE34" s="22">
        <f>IF($C34="","",IFERROR(IF(INDEX(Deals!$AF$2:$AF$355,MATCH($C34,Deals!$A$2:$A$355,0))=0,"",INDEX(Deals!$AF$2:$AF$355,MATCH($C34,Deals!$A$2:$A$355,0))),""))</f>
        <v/>
      </c>
      <c r="AF34" s="35">
        <f>IF($AD34="",DATE(1900,1,1),$AD34)</f>
        <v/>
      </c>
      <c r="AG34" s="35">
        <f>IF($AE34="",DATE(2100,12,31),$AE34)</f>
        <v/>
      </c>
      <c r="AH34" s="22">
        <f>IF($C34="","",IFERROR(IF(INDEX(Deals!$AG$2:$AG$355,MATCH($C34,Deals!$A$2:$A$355,0))=0,"",INDEX(Deals!$AG$2:$AG$355,MATCH($C34,Deals!$A$2:$A$355,0))),""))</f>
        <v/>
      </c>
      <c r="AI34" s="35">
        <f>IF(OR($AH34&lt;&gt;"",AND($AO34&gt;0,$AD34&lt;&gt;"",$AE34&lt;&gt;"")),$AF34,DATE(1900,1,1))</f>
        <v/>
      </c>
      <c r="AJ34" s="35">
        <f>IF($AH34&lt;&gt;"",$AH34,IF(AND($AO34&gt;0,$AD34&lt;&gt;"",$AE34&lt;&gt;""),$AG34,DATE(2100,12,31)))</f>
        <v/>
      </c>
      <c r="AK34" s="32">
        <f>IF($AH34="",$AC34,$AC34*$S34)</f>
        <v/>
      </c>
      <c r="AL34" s="35">
        <f>IF($AH34="",DATE(2100,12,31),$AH34+1)</f>
        <v/>
      </c>
      <c r="AM34" s="35">
        <f>IF($AH34="",DATE(1900,1,1),$AG34)</f>
        <v/>
      </c>
      <c r="AN34" s="32">
        <f>IF($AH34="",0,$AC34*$T34)</f>
        <v/>
      </c>
      <c r="AO34" s="46">
        <f>IF($C34="",0,IFERROR(INDEX(Deals!$BD$2:$BD$355,MATCH($C34,Deals!$A$2:$A$355,0)),0))</f>
        <v/>
      </c>
      <c r="AP34" s="18">
        <f>IF($AO34=0,0,IFERROR(INDEX(Deals!$BJ$2:$BP$355,MATCH($C34,Deals!$A$2:$A$355,0),MATCH($F34,Deals!$BJ$1:$BP$1,0))/COUNTIFS(Assignments!$C$2:$C$769,$C34,Assignments!$F$2:$F$769,$F34,Assignments!$G$2:$G$769,"Active"),0))</f>
        <v/>
      </c>
    </row>
    <row r="35">
      <c r="A35" s="28" t="inlineStr">
        <is>
          <t>Tania</t>
        </is>
      </c>
      <c r="B35" s="16">
        <f>IF($A35="","",IFERROR(INDEX(Roster!$B$2:$B$40,MATCH($A35,Roster!$A$2:$A$40,0)),"?"))</f>
        <v/>
      </c>
      <c r="C35" s="28" t="inlineStr">
        <is>
          <t>Pet_1</t>
        </is>
      </c>
      <c r="D35" s="16">
        <f>IF($C35="","",IFERROR(IF(INDEX(Deals!$C$2:$C$355,MATCH($C35,Deals!$A$2:$A$355,0))=0,"",INDEX(Deals!$C$2:$C$355,MATCH($C35,Deals!$A$2:$A$355,0))),"?"))</f>
        <v/>
      </c>
      <c r="E35" s="16">
        <f>IF($C35="","",IFERROR(INDEX(Deals!$F$2:$F$355,MATCH($C35,Deals!$A$2:$A$355,0)),"?"))</f>
        <v/>
      </c>
      <c r="F35" s="28" t="inlineStr">
        <is>
          <t>Partner</t>
        </is>
      </c>
      <c r="G35" s="28" t="inlineStr">
        <is>
          <t>Active</t>
        </is>
      </c>
      <c r="H35" s="31" t="n"/>
      <c r="I35" s="32">
        <f>IF(OR($A35="",$G35&lt;&gt;"Active"),0,IF($H35&lt;&gt;"",$H35,IF($AO35&gt;0,$AP35,IF(AND($R35&lt;&gt;"",IFERROR(INDEX(Templates!$B$3:$H$10,MATCH($R35,Templates!$A$3:$A$10,0),MATCH($F35,Templates!$B$2:$H$2,0)),0)&gt;0),INDEX(Templates!$B$3:$H$10,MATCH($R35,Templates!$A$3:$A$10,0),MATCH($F35,Templates!$B$2:$H$2,0)),IFERROR(INDEX(Settings!$B$8:$B$14,MATCH($F35,Settings!$A$8:$A$14,0)),0)))))</f>
        <v/>
      </c>
      <c r="J35" s="21">
        <f>IF($C35="",0,IFERROR(INDEX(Deals!$H$2:$H$355,MATCH($C35,Deals!$A$2:$A$355,0)),0))</f>
        <v/>
      </c>
      <c r="K35" s="32">
        <f>IF(Settings!$B$4="Yes",$I35*$J35,$I35)</f>
        <v/>
      </c>
      <c r="L35" s="22">
        <f>IF($C35="","",IFERROR(IF(INDEX(Deals!$I$2:$I$355,MATCH($C35,Deals!$A$2:$A$355,0))=0,"",INDEX(Deals!$I$2:$I$355,MATCH($C35,Deals!$A$2:$A$355,0))),""))</f>
        <v/>
      </c>
      <c r="M35" s="22">
        <f>IF($C35="","",IFERROR(IF(INDEX(Deals!$J$2:$J$355,MATCH($C35,Deals!$A$2:$A$355,0))=0,"",INDEX(Deals!$J$2:$J$355,MATCH($C35,Deals!$A$2:$A$355,0))),""))</f>
        <v/>
      </c>
      <c r="N35" s="35">
        <f>IF($L35="",DATE(1900,1,1),$L35)</f>
        <v/>
      </c>
      <c r="O35" s="35">
        <f>IF($M35="",DATE(2100,12,31),$M35)</f>
        <v/>
      </c>
      <c r="P35" s="20" t="inlineStr"/>
      <c r="Q35" s="47" t="inlineStr"/>
      <c r="R35" s="16">
        <f>IF($C35="","",IFERROR(IF(INDEX(Deals!$U$2:$U$355,MATCH($C35,Deals!$A$2:$A$355,0))=0,"",INDEX(Deals!$U$2:$U$355,MATCH($C35,Deals!$A$2:$A$355,0))),""))</f>
        <v/>
      </c>
      <c r="S35" s="34">
        <f>IFERROR(IF($U35="",1,INDEX(Deals!$V$2:$V$355,MATCH($C35,Deals!$A$2:$A$355,0))),1)</f>
        <v/>
      </c>
      <c r="T35" s="34">
        <f>IFERROR(IF($U35="",1,INDEX(Deals!$W$2:$W$355,MATCH($C35,Deals!$A$2:$A$355,0))),1)</f>
        <v/>
      </c>
      <c r="U35" s="22">
        <f>IF($C35="","",IFERROR(IF(INDEX(Deals!$Y$2:$Y$355,MATCH($C35,Deals!$A$2:$A$355,0))=0,"",INDEX(Deals!$Y$2:$Y$355,MATCH($C35,Deals!$A$2:$A$355,0))),""))</f>
        <v/>
      </c>
      <c r="V35" s="35">
        <f>IF(OR($U35&lt;&gt;"",AND($AO35&gt;0,$L35&lt;&gt;"",$M35&lt;&gt;"")),$N35,DATE(1900,1,1))</f>
        <v/>
      </c>
      <c r="W35" s="35">
        <f>IF($U35&lt;&gt;"",$U35,IF(AND($AO35&gt;0,$L35&lt;&gt;"",$M35&lt;&gt;""),$O35,DATE(2100,12,31)))</f>
        <v/>
      </c>
      <c r="X35" s="32">
        <f>IF($U35="",$K35,$K35*$S35)</f>
        <v/>
      </c>
      <c r="Y35" s="35">
        <f>IF($U35="",DATE(2100,12,31),$U35+1)</f>
        <v/>
      </c>
      <c r="Z35" s="35">
        <f>IF($U35="",DATE(1900,1,1),$O35)</f>
        <v/>
      </c>
      <c r="AA35" s="32">
        <f>IF($U35="",0,$K35*$T35)</f>
        <v/>
      </c>
      <c r="AB35" s="21">
        <f>IF($C35="",0,IFERROR(INDEX(Deals!$AD$2:$AD$355,MATCH($C35,Deals!$A$2:$A$355,0)),0))</f>
        <v/>
      </c>
      <c r="AC35" s="32">
        <f>IF(Settings!$B$4="Yes",$I35*$AB35,$I35)</f>
        <v/>
      </c>
      <c r="AD35" s="22">
        <f>IF($C35="","",IFERROR(IF(INDEX(Deals!$AE$2:$AE$355,MATCH($C35,Deals!$A$2:$A$355,0))=0,"",INDEX(Deals!$AE$2:$AE$355,MATCH($C35,Deals!$A$2:$A$355,0))),""))</f>
        <v/>
      </c>
      <c r="AE35" s="22">
        <f>IF($C35="","",IFERROR(IF(INDEX(Deals!$AF$2:$AF$355,MATCH($C35,Deals!$A$2:$A$355,0))=0,"",INDEX(Deals!$AF$2:$AF$355,MATCH($C35,Deals!$A$2:$A$355,0))),""))</f>
        <v/>
      </c>
      <c r="AF35" s="35">
        <f>IF($AD35="",DATE(1900,1,1),$AD35)</f>
        <v/>
      </c>
      <c r="AG35" s="35">
        <f>IF($AE35="",DATE(2100,12,31),$AE35)</f>
        <v/>
      </c>
      <c r="AH35" s="22">
        <f>IF($C35="","",IFERROR(IF(INDEX(Deals!$AG$2:$AG$355,MATCH($C35,Deals!$A$2:$A$355,0))=0,"",INDEX(Deals!$AG$2:$AG$355,MATCH($C35,Deals!$A$2:$A$355,0))),""))</f>
        <v/>
      </c>
      <c r="AI35" s="35">
        <f>IF(OR($AH35&lt;&gt;"",AND($AO35&gt;0,$AD35&lt;&gt;"",$AE35&lt;&gt;"")),$AF35,DATE(1900,1,1))</f>
        <v/>
      </c>
      <c r="AJ35" s="35">
        <f>IF($AH35&lt;&gt;"",$AH35,IF(AND($AO35&gt;0,$AD35&lt;&gt;"",$AE35&lt;&gt;""),$AG35,DATE(2100,12,31)))</f>
        <v/>
      </c>
      <c r="AK35" s="32">
        <f>IF($AH35="",$AC35,$AC35*$S35)</f>
        <v/>
      </c>
      <c r="AL35" s="35">
        <f>IF($AH35="",DATE(2100,12,31),$AH35+1)</f>
        <v/>
      </c>
      <c r="AM35" s="35">
        <f>IF($AH35="",DATE(1900,1,1),$AG35)</f>
        <v/>
      </c>
      <c r="AN35" s="32">
        <f>IF($AH35="",0,$AC35*$T35)</f>
        <v/>
      </c>
      <c r="AO35" s="46">
        <f>IF($C35="",0,IFERROR(INDEX(Deals!$BD$2:$BD$355,MATCH($C35,Deals!$A$2:$A$355,0)),0))</f>
        <v/>
      </c>
      <c r="AP35" s="18">
        <f>IF($AO35=0,0,IFERROR(INDEX(Deals!$BJ$2:$BP$355,MATCH($C35,Deals!$A$2:$A$355,0),MATCH($F35,Deals!$BJ$1:$BP$1,0))/COUNTIFS(Assignments!$C$2:$C$769,$C35,Assignments!$F$2:$F$769,$F35,Assignments!$G$2:$G$769,"Active"),0))</f>
        <v/>
      </c>
    </row>
    <row r="36">
      <c r="A36" s="28" t="inlineStr">
        <is>
          <t>Tania</t>
        </is>
      </c>
      <c r="B36" s="16">
        <f>IF($A36="","",IFERROR(INDEX(Roster!$B$2:$B$40,MATCH($A36,Roster!$A$2:$A$40,0)),"?"))</f>
        <v/>
      </c>
      <c r="C36" s="28" t="inlineStr">
        <is>
          <t>PMD_1</t>
        </is>
      </c>
      <c r="D36" s="16">
        <f>IF($C36="","",IFERROR(IF(INDEX(Deals!$C$2:$C$355,MATCH($C36,Deals!$A$2:$A$355,0))=0,"",INDEX(Deals!$C$2:$C$355,MATCH($C36,Deals!$A$2:$A$355,0))),"?"))</f>
        <v/>
      </c>
      <c r="E36" s="16">
        <f>IF($C36="","",IFERROR(INDEX(Deals!$F$2:$F$355,MATCH($C36,Deals!$A$2:$A$355,0)),"?"))</f>
        <v/>
      </c>
      <c r="F36" s="28" t="inlineStr">
        <is>
          <t>Partner</t>
        </is>
      </c>
      <c r="G36" s="28" t="inlineStr">
        <is>
          <t>Active</t>
        </is>
      </c>
      <c r="H36" s="31" t="n"/>
      <c r="I36" s="32">
        <f>IF(OR($A36="",$G36&lt;&gt;"Active"),0,IF($H36&lt;&gt;"",$H36,IF($AO36&gt;0,$AP36,IF(AND($R36&lt;&gt;"",IFERROR(INDEX(Templates!$B$3:$H$10,MATCH($R36,Templates!$A$3:$A$10,0),MATCH($F36,Templates!$B$2:$H$2,0)),0)&gt;0),INDEX(Templates!$B$3:$H$10,MATCH($R36,Templates!$A$3:$A$10,0),MATCH($F36,Templates!$B$2:$H$2,0)),IFERROR(INDEX(Settings!$B$8:$B$14,MATCH($F36,Settings!$A$8:$A$14,0)),0)))))</f>
        <v/>
      </c>
      <c r="J36" s="21">
        <f>IF($C36="",0,IFERROR(INDEX(Deals!$H$2:$H$355,MATCH($C36,Deals!$A$2:$A$355,0)),0))</f>
        <v/>
      </c>
      <c r="K36" s="32">
        <f>IF(Settings!$B$4="Yes",$I36*$J36,$I36)</f>
        <v/>
      </c>
      <c r="L36" s="22">
        <f>IF($C36="","",IFERROR(IF(INDEX(Deals!$I$2:$I$355,MATCH($C36,Deals!$A$2:$A$355,0))=0,"",INDEX(Deals!$I$2:$I$355,MATCH($C36,Deals!$A$2:$A$355,0))),""))</f>
        <v/>
      </c>
      <c r="M36" s="22">
        <f>IF($C36="","",IFERROR(IF(INDEX(Deals!$J$2:$J$355,MATCH($C36,Deals!$A$2:$A$355,0))=0,"",INDEX(Deals!$J$2:$J$355,MATCH($C36,Deals!$A$2:$A$355,0))),""))</f>
        <v/>
      </c>
      <c r="N36" s="35">
        <f>IF($L36="",DATE(1900,1,1),$L36)</f>
        <v/>
      </c>
      <c r="O36" s="35">
        <f>IF($M36="",DATE(2100,12,31),$M36)</f>
        <v/>
      </c>
      <c r="P36" s="20" t="inlineStr"/>
      <c r="Q36" s="47" t="inlineStr"/>
      <c r="R36" s="16">
        <f>IF($C36="","",IFERROR(IF(INDEX(Deals!$U$2:$U$355,MATCH($C36,Deals!$A$2:$A$355,0))=0,"",INDEX(Deals!$U$2:$U$355,MATCH($C36,Deals!$A$2:$A$355,0))),""))</f>
        <v/>
      </c>
      <c r="S36" s="34">
        <f>IFERROR(IF($U36="",1,INDEX(Deals!$V$2:$V$355,MATCH($C36,Deals!$A$2:$A$355,0))),1)</f>
        <v/>
      </c>
      <c r="T36" s="34">
        <f>IFERROR(IF($U36="",1,INDEX(Deals!$W$2:$W$355,MATCH($C36,Deals!$A$2:$A$355,0))),1)</f>
        <v/>
      </c>
      <c r="U36" s="22">
        <f>IF($C36="","",IFERROR(IF(INDEX(Deals!$Y$2:$Y$355,MATCH($C36,Deals!$A$2:$A$355,0))=0,"",INDEX(Deals!$Y$2:$Y$355,MATCH($C36,Deals!$A$2:$A$355,0))),""))</f>
        <v/>
      </c>
      <c r="V36" s="35">
        <f>IF(OR($U36&lt;&gt;"",AND($AO36&gt;0,$L36&lt;&gt;"",$M36&lt;&gt;"")),$N36,DATE(1900,1,1))</f>
        <v/>
      </c>
      <c r="W36" s="35">
        <f>IF($U36&lt;&gt;"",$U36,IF(AND($AO36&gt;0,$L36&lt;&gt;"",$M36&lt;&gt;""),$O36,DATE(2100,12,31)))</f>
        <v/>
      </c>
      <c r="X36" s="32">
        <f>IF($U36="",$K36,$K36*$S36)</f>
        <v/>
      </c>
      <c r="Y36" s="35">
        <f>IF($U36="",DATE(2100,12,31),$U36+1)</f>
        <v/>
      </c>
      <c r="Z36" s="35">
        <f>IF($U36="",DATE(1900,1,1),$O36)</f>
        <v/>
      </c>
      <c r="AA36" s="32">
        <f>IF($U36="",0,$K36*$T36)</f>
        <v/>
      </c>
      <c r="AB36" s="21">
        <f>IF($C36="",0,IFERROR(INDEX(Deals!$AD$2:$AD$355,MATCH($C36,Deals!$A$2:$A$355,0)),0))</f>
        <v/>
      </c>
      <c r="AC36" s="32">
        <f>IF(Settings!$B$4="Yes",$I36*$AB36,$I36)</f>
        <v/>
      </c>
      <c r="AD36" s="22">
        <f>IF($C36="","",IFERROR(IF(INDEX(Deals!$AE$2:$AE$355,MATCH($C36,Deals!$A$2:$A$355,0))=0,"",INDEX(Deals!$AE$2:$AE$355,MATCH($C36,Deals!$A$2:$A$355,0))),""))</f>
        <v/>
      </c>
      <c r="AE36" s="22">
        <f>IF($C36="","",IFERROR(IF(INDEX(Deals!$AF$2:$AF$355,MATCH($C36,Deals!$A$2:$A$355,0))=0,"",INDEX(Deals!$AF$2:$AF$355,MATCH($C36,Deals!$A$2:$A$355,0))),""))</f>
        <v/>
      </c>
      <c r="AF36" s="35">
        <f>IF($AD36="",DATE(1900,1,1),$AD36)</f>
        <v/>
      </c>
      <c r="AG36" s="35">
        <f>IF($AE36="",DATE(2100,12,31),$AE36)</f>
        <v/>
      </c>
      <c r="AH36" s="22">
        <f>IF($C36="","",IFERROR(IF(INDEX(Deals!$AG$2:$AG$355,MATCH($C36,Deals!$A$2:$A$355,0))=0,"",INDEX(Deals!$AG$2:$AG$355,MATCH($C36,Deals!$A$2:$A$355,0))),""))</f>
        <v/>
      </c>
      <c r="AI36" s="35">
        <f>IF(OR($AH36&lt;&gt;"",AND($AO36&gt;0,$AD36&lt;&gt;"",$AE36&lt;&gt;"")),$AF36,DATE(1900,1,1))</f>
        <v/>
      </c>
      <c r="AJ36" s="35">
        <f>IF($AH36&lt;&gt;"",$AH36,IF(AND($AO36&gt;0,$AD36&lt;&gt;"",$AE36&lt;&gt;""),$AG36,DATE(2100,12,31)))</f>
        <v/>
      </c>
      <c r="AK36" s="32">
        <f>IF($AH36="",$AC36,$AC36*$S36)</f>
        <v/>
      </c>
      <c r="AL36" s="35">
        <f>IF($AH36="",DATE(2100,12,31),$AH36+1)</f>
        <v/>
      </c>
      <c r="AM36" s="35">
        <f>IF($AH36="",DATE(1900,1,1),$AG36)</f>
        <v/>
      </c>
      <c r="AN36" s="32">
        <f>IF($AH36="",0,$AC36*$T36)</f>
        <v/>
      </c>
      <c r="AO36" s="46">
        <f>IF($C36="",0,IFERROR(INDEX(Deals!$BD$2:$BD$355,MATCH($C36,Deals!$A$2:$A$355,0)),0))</f>
        <v/>
      </c>
      <c r="AP36" s="18">
        <f>IF($AO36=0,0,IFERROR(INDEX(Deals!$BJ$2:$BP$355,MATCH($C36,Deals!$A$2:$A$355,0),MATCH($F36,Deals!$BJ$1:$BP$1,0))/COUNTIFS(Assignments!$C$2:$C$769,$C36,Assignments!$F$2:$F$769,$F36,Assignments!$G$2:$G$769,"Active"),0))</f>
        <v/>
      </c>
    </row>
    <row r="37">
      <c r="A37" s="28" t="inlineStr">
        <is>
          <t>Tania</t>
        </is>
      </c>
      <c r="B37" s="16">
        <f>IF($A37="","",IFERROR(INDEX(Roster!$B$2:$B$40,MATCH($A37,Roster!$A$2:$A$40,0)),"?"))</f>
        <v/>
      </c>
      <c r="C37" s="28" t="inlineStr">
        <is>
          <t>Redwood_1</t>
        </is>
      </c>
      <c r="D37" s="16">
        <f>IF($C37="","",IFERROR(IF(INDEX(Deals!$C$2:$C$355,MATCH($C37,Deals!$A$2:$A$355,0))=0,"",INDEX(Deals!$C$2:$C$355,MATCH($C37,Deals!$A$2:$A$355,0))),"?"))</f>
        <v/>
      </c>
      <c r="E37" s="16">
        <f>IF($C37="","",IFERROR(INDEX(Deals!$F$2:$F$355,MATCH($C37,Deals!$A$2:$A$355,0)),"?"))</f>
        <v/>
      </c>
      <c r="F37" s="28" t="inlineStr">
        <is>
          <t>Partner</t>
        </is>
      </c>
      <c r="G37" s="28" t="inlineStr">
        <is>
          <t>Active</t>
        </is>
      </c>
      <c r="H37" s="31" t="n"/>
      <c r="I37" s="32">
        <f>IF(OR($A37="",$G37&lt;&gt;"Active"),0,IF($H37&lt;&gt;"",$H37,IF($AO37&gt;0,$AP37,IF(AND($R37&lt;&gt;"",IFERROR(INDEX(Templates!$B$3:$H$10,MATCH($R37,Templates!$A$3:$A$10,0),MATCH($F37,Templates!$B$2:$H$2,0)),0)&gt;0),INDEX(Templates!$B$3:$H$10,MATCH($R37,Templates!$A$3:$A$10,0),MATCH($F37,Templates!$B$2:$H$2,0)),IFERROR(INDEX(Settings!$B$8:$B$14,MATCH($F37,Settings!$A$8:$A$14,0)),0)))))</f>
        <v/>
      </c>
      <c r="J37" s="21">
        <f>IF($C37="",0,IFERROR(INDEX(Deals!$H$2:$H$355,MATCH($C37,Deals!$A$2:$A$355,0)),0))</f>
        <v/>
      </c>
      <c r="K37" s="32">
        <f>IF(Settings!$B$4="Yes",$I37*$J37,$I37)</f>
        <v/>
      </c>
      <c r="L37" s="22">
        <f>IF($C37="","",IFERROR(IF(INDEX(Deals!$I$2:$I$355,MATCH($C37,Deals!$A$2:$A$355,0))=0,"",INDEX(Deals!$I$2:$I$355,MATCH($C37,Deals!$A$2:$A$355,0))),""))</f>
        <v/>
      </c>
      <c r="M37" s="22">
        <f>IF($C37="","",IFERROR(IF(INDEX(Deals!$J$2:$J$355,MATCH($C37,Deals!$A$2:$A$355,0))=0,"",INDEX(Deals!$J$2:$J$355,MATCH($C37,Deals!$A$2:$A$355,0))),""))</f>
        <v/>
      </c>
      <c r="N37" s="35">
        <f>IF($L37="",DATE(1900,1,1),$L37)</f>
        <v/>
      </c>
      <c r="O37" s="35">
        <f>IF($M37="",DATE(2100,12,31),$M37)</f>
        <v/>
      </c>
      <c r="P37" s="20" t="inlineStr"/>
      <c r="Q37" s="47" t="inlineStr"/>
      <c r="R37" s="16">
        <f>IF($C37="","",IFERROR(IF(INDEX(Deals!$U$2:$U$355,MATCH($C37,Deals!$A$2:$A$355,0))=0,"",INDEX(Deals!$U$2:$U$355,MATCH($C37,Deals!$A$2:$A$355,0))),""))</f>
        <v/>
      </c>
      <c r="S37" s="34">
        <f>IFERROR(IF($U37="",1,INDEX(Deals!$V$2:$V$355,MATCH($C37,Deals!$A$2:$A$355,0))),1)</f>
        <v/>
      </c>
      <c r="T37" s="34">
        <f>IFERROR(IF($U37="",1,INDEX(Deals!$W$2:$W$355,MATCH($C37,Deals!$A$2:$A$355,0))),1)</f>
        <v/>
      </c>
      <c r="U37" s="22">
        <f>IF($C37="","",IFERROR(IF(INDEX(Deals!$Y$2:$Y$355,MATCH($C37,Deals!$A$2:$A$355,0))=0,"",INDEX(Deals!$Y$2:$Y$355,MATCH($C37,Deals!$A$2:$A$355,0))),""))</f>
        <v/>
      </c>
      <c r="V37" s="35">
        <f>IF(OR($U37&lt;&gt;"",AND($AO37&gt;0,$L37&lt;&gt;"",$M37&lt;&gt;"")),$N37,DATE(1900,1,1))</f>
        <v/>
      </c>
      <c r="W37" s="35">
        <f>IF($U37&lt;&gt;"",$U37,IF(AND($AO37&gt;0,$L37&lt;&gt;"",$M37&lt;&gt;""),$O37,DATE(2100,12,31)))</f>
        <v/>
      </c>
      <c r="X37" s="32">
        <f>IF($U37="",$K37,$K37*$S37)</f>
        <v/>
      </c>
      <c r="Y37" s="35">
        <f>IF($U37="",DATE(2100,12,31),$U37+1)</f>
        <v/>
      </c>
      <c r="Z37" s="35">
        <f>IF($U37="",DATE(1900,1,1),$O37)</f>
        <v/>
      </c>
      <c r="AA37" s="32">
        <f>IF($U37="",0,$K37*$T37)</f>
        <v/>
      </c>
      <c r="AB37" s="21">
        <f>IF($C37="",0,IFERROR(INDEX(Deals!$AD$2:$AD$355,MATCH($C37,Deals!$A$2:$A$355,0)),0))</f>
        <v/>
      </c>
      <c r="AC37" s="32">
        <f>IF(Settings!$B$4="Yes",$I37*$AB37,$I37)</f>
        <v/>
      </c>
      <c r="AD37" s="22">
        <f>IF($C37="","",IFERROR(IF(INDEX(Deals!$AE$2:$AE$355,MATCH($C37,Deals!$A$2:$A$355,0))=0,"",INDEX(Deals!$AE$2:$AE$355,MATCH($C37,Deals!$A$2:$A$355,0))),""))</f>
        <v/>
      </c>
      <c r="AE37" s="22">
        <f>IF($C37="","",IFERROR(IF(INDEX(Deals!$AF$2:$AF$355,MATCH($C37,Deals!$A$2:$A$355,0))=0,"",INDEX(Deals!$AF$2:$AF$355,MATCH($C37,Deals!$A$2:$A$355,0))),""))</f>
        <v/>
      </c>
      <c r="AF37" s="35">
        <f>IF($AD37="",DATE(1900,1,1),$AD37)</f>
        <v/>
      </c>
      <c r="AG37" s="35">
        <f>IF($AE37="",DATE(2100,12,31),$AE37)</f>
        <v/>
      </c>
      <c r="AH37" s="22">
        <f>IF($C37="","",IFERROR(IF(INDEX(Deals!$AG$2:$AG$355,MATCH($C37,Deals!$A$2:$A$355,0))=0,"",INDEX(Deals!$AG$2:$AG$355,MATCH($C37,Deals!$A$2:$A$355,0))),""))</f>
        <v/>
      </c>
      <c r="AI37" s="35">
        <f>IF(OR($AH37&lt;&gt;"",AND($AO37&gt;0,$AD37&lt;&gt;"",$AE37&lt;&gt;"")),$AF37,DATE(1900,1,1))</f>
        <v/>
      </c>
      <c r="AJ37" s="35">
        <f>IF($AH37&lt;&gt;"",$AH37,IF(AND($AO37&gt;0,$AD37&lt;&gt;"",$AE37&lt;&gt;""),$AG37,DATE(2100,12,31)))</f>
        <v/>
      </c>
      <c r="AK37" s="32">
        <f>IF($AH37="",$AC37,$AC37*$S37)</f>
        <v/>
      </c>
      <c r="AL37" s="35">
        <f>IF($AH37="",DATE(2100,12,31),$AH37+1)</f>
        <v/>
      </c>
      <c r="AM37" s="35">
        <f>IF($AH37="",DATE(1900,1,1),$AG37)</f>
        <v/>
      </c>
      <c r="AN37" s="32">
        <f>IF($AH37="",0,$AC37*$T37)</f>
        <v/>
      </c>
      <c r="AO37" s="46">
        <f>IF($C37="",0,IFERROR(INDEX(Deals!$BD$2:$BD$355,MATCH($C37,Deals!$A$2:$A$355,0)),0))</f>
        <v/>
      </c>
      <c r="AP37" s="18">
        <f>IF($AO37=0,0,IFERROR(INDEX(Deals!$BJ$2:$BP$355,MATCH($C37,Deals!$A$2:$A$355,0),MATCH($F37,Deals!$BJ$1:$BP$1,0))/COUNTIFS(Assignments!$C$2:$C$769,$C37,Assignments!$F$2:$F$769,$F37,Assignments!$G$2:$G$769,"Active"),0))</f>
        <v/>
      </c>
    </row>
    <row r="38">
      <c r="A38" s="28" t="inlineStr">
        <is>
          <t>Tania</t>
        </is>
      </c>
      <c r="B38" s="16">
        <f>IF($A38="","",IFERROR(INDEX(Roster!$B$2:$B$40,MATCH($A38,Roster!$A$2:$A$40,0)),"?"))</f>
        <v/>
      </c>
      <c r="C38" s="28" t="inlineStr">
        <is>
          <t>Remus_1</t>
        </is>
      </c>
      <c r="D38" s="16">
        <f>IF($C38="","",IFERROR(IF(INDEX(Deals!$C$2:$C$355,MATCH($C38,Deals!$A$2:$A$355,0))=0,"",INDEX(Deals!$C$2:$C$355,MATCH($C38,Deals!$A$2:$A$355,0))),"?"))</f>
        <v/>
      </c>
      <c r="E38" s="16">
        <f>IF($C38="","",IFERROR(INDEX(Deals!$F$2:$F$355,MATCH($C38,Deals!$A$2:$A$355,0)),"?"))</f>
        <v/>
      </c>
      <c r="F38" s="28" t="inlineStr">
        <is>
          <t>Partner</t>
        </is>
      </c>
      <c r="G38" s="28" t="inlineStr">
        <is>
          <t>Active</t>
        </is>
      </c>
      <c r="H38" s="31" t="n"/>
      <c r="I38" s="32">
        <f>IF(OR($A38="",$G38&lt;&gt;"Active"),0,IF($H38&lt;&gt;"",$H38,IF($AO38&gt;0,$AP38,IF(AND($R38&lt;&gt;"",IFERROR(INDEX(Templates!$B$3:$H$10,MATCH($R38,Templates!$A$3:$A$10,0),MATCH($F38,Templates!$B$2:$H$2,0)),0)&gt;0),INDEX(Templates!$B$3:$H$10,MATCH($R38,Templates!$A$3:$A$10,0),MATCH($F38,Templates!$B$2:$H$2,0)),IFERROR(INDEX(Settings!$B$8:$B$14,MATCH($F38,Settings!$A$8:$A$14,0)),0)))))</f>
        <v/>
      </c>
      <c r="J38" s="21">
        <f>IF($C38="",0,IFERROR(INDEX(Deals!$H$2:$H$355,MATCH($C38,Deals!$A$2:$A$355,0)),0))</f>
        <v/>
      </c>
      <c r="K38" s="32">
        <f>IF(Settings!$B$4="Yes",$I38*$J38,$I38)</f>
        <v/>
      </c>
      <c r="L38" s="22">
        <f>IF($C38="","",IFERROR(IF(INDEX(Deals!$I$2:$I$355,MATCH($C38,Deals!$A$2:$A$355,0))=0,"",INDEX(Deals!$I$2:$I$355,MATCH($C38,Deals!$A$2:$A$355,0))),""))</f>
        <v/>
      </c>
      <c r="M38" s="22">
        <f>IF($C38="","",IFERROR(IF(INDEX(Deals!$J$2:$J$355,MATCH($C38,Deals!$A$2:$A$355,0))=0,"",INDEX(Deals!$J$2:$J$355,MATCH($C38,Deals!$A$2:$A$355,0))),""))</f>
        <v/>
      </c>
      <c r="N38" s="35">
        <f>IF($L38="",DATE(1900,1,1),$L38)</f>
        <v/>
      </c>
      <c r="O38" s="35">
        <f>IF($M38="",DATE(2100,12,31),$M38)</f>
        <v/>
      </c>
      <c r="P38" s="20" t="inlineStr"/>
      <c r="Q38" s="47" t="inlineStr"/>
      <c r="R38" s="16">
        <f>IF($C38="","",IFERROR(IF(INDEX(Deals!$U$2:$U$355,MATCH($C38,Deals!$A$2:$A$355,0))=0,"",INDEX(Deals!$U$2:$U$355,MATCH($C38,Deals!$A$2:$A$355,0))),""))</f>
        <v/>
      </c>
      <c r="S38" s="34">
        <f>IFERROR(IF($U38="",1,INDEX(Deals!$V$2:$V$355,MATCH($C38,Deals!$A$2:$A$355,0))),1)</f>
        <v/>
      </c>
      <c r="T38" s="34">
        <f>IFERROR(IF($U38="",1,INDEX(Deals!$W$2:$W$355,MATCH($C38,Deals!$A$2:$A$355,0))),1)</f>
        <v/>
      </c>
      <c r="U38" s="22">
        <f>IF($C38="","",IFERROR(IF(INDEX(Deals!$Y$2:$Y$355,MATCH($C38,Deals!$A$2:$A$355,0))=0,"",INDEX(Deals!$Y$2:$Y$355,MATCH($C38,Deals!$A$2:$A$355,0))),""))</f>
        <v/>
      </c>
      <c r="V38" s="35">
        <f>IF(OR($U38&lt;&gt;"",AND($AO38&gt;0,$L38&lt;&gt;"",$M38&lt;&gt;"")),$N38,DATE(1900,1,1))</f>
        <v/>
      </c>
      <c r="W38" s="35">
        <f>IF($U38&lt;&gt;"",$U38,IF(AND($AO38&gt;0,$L38&lt;&gt;"",$M38&lt;&gt;""),$O38,DATE(2100,12,31)))</f>
        <v/>
      </c>
      <c r="X38" s="32">
        <f>IF($U38="",$K38,$K38*$S38)</f>
        <v/>
      </c>
      <c r="Y38" s="35">
        <f>IF($U38="",DATE(2100,12,31),$U38+1)</f>
        <v/>
      </c>
      <c r="Z38" s="35">
        <f>IF($U38="",DATE(1900,1,1),$O38)</f>
        <v/>
      </c>
      <c r="AA38" s="32">
        <f>IF($U38="",0,$K38*$T38)</f>
        <v/>
      </c>
      <c r="AB38" s="21">
        <f>IF($C38="",0,IFERROR(INDEX(Deals!$AD$2:$AD$355,MATCH($C38,Deals!$A$2:$A$355,0)),0))</f>
        <v/>
      </c>
      <c r="AC38" s="32">
        <f>IF(Settings!$B$4="Yes",$I38*$AB38,$I38)</f>
        <v/>
      </c>
      <c r="AD38" s="22">
        <f>IF($C38="","",IFERROR(IF(INDEX(Deals!$AE$2:$AE$355,MATCH($C38,Deals!$A$2:$A$355,0))=0,"",INDEX(Deals!$AE$2:$AE$355,MATCH($C38,Deals!$A$2:$A$355,0))),""))</f>
        <v/>
      </c>
      <c r="AE38" s="22">
        <f>IF($C38="","",IFERROR(IF(INDEX(Deals!$AF$2:$AF$355,MATCH($C38,Deals!$A$2:$A$355,0))=0,"",INDEX(Deals!$AF$2:$AF$355,MATCH($C38,Deals!$A$2:$A$355,0))),""))</f>
        <v/>
      </c>
      <c r="AF38" s="35">
        <f>IF($AD38="",DATE(1900,1,1),$AD38)</f>
        <v/>
      </c>
      <c r="AG38" s="35">
        <f>IF($AE38="",DATE(2100,12,31),$AE38)</f>
        <v/>
      </c>
      <c r="AH38" s="22">
        <f>IF($C38="","",IFERROR(IF(INDEX(Deals!$AG$2:$AG$355,MATCH($C38,Deals!$A$2:$A$355,0))=0,"",INDEX(Deals!$AG$2:$AG$355,MATCH($C38,Deals!$A$2:$A$355,0))),""))</f>
        <v/>
      </c>
      <c r="AI38" s="35">
        <f>IF(OR($AH38&lt;&gt;"",AND($AO38&gt;0,$AD38&lt;&gt;"",$AE38&lt;&gt;"")),$AF38,DATE(1900,1,1))</f>
        <v/>
      </c>
      <c r="AJ38" s="35">
        <f>IF($AH38&lt;&gt;"",$AH38,IF(AND($AO38&gt;0,$AD38&lt;&gt;"",$AE38&lt;&gt;""),$AG38,DATE(2100,12,31)))</f>
        <v/>
      </c>
      <c r="AK38" s="32">
        <f>IF($AH38="",$AC38,$AC38*$S38)</f>
        <v/>
      </c>
      <c r="AL38" s="35">
        <f>IF($AH38="",DATE(2100,12,31),$AH38+1)</f>
        <v/>
      </c>
      <c r="AM38" s="35">
        <f>IF($AH38="",DATE(1900,1,1),$AG38)</f>
        <v/>
      </c>
      <c r="AN38" s="32">
        <f>IF($AH38="",0,$AC38*$T38)</f>
        <v/>
      </c>
      <c r="AO38" s="46">
        <f>IF($C38="",0,IFERROR(INDEX(Deals!$BD$2:$BD$355,MATCH($C38,Deals!$A$2:$A$355,0)),0))</f>
        <v/>
      </c>
      <c r="AP38" s="18">
        <f>IF($AO38=0,0,IFERROR(INDEX(Deals!$BJ$2:$BP$355,MATCH($C38,Deals!$A$2:$A$355,0),MATCH($F38,Deals!$BJ$1:$BP$1,0))/COUNTIFS(Assignments!$C$2:$C$769,$C38,Assignments!$F$2:$F$769,$F38,Assignments!$G$2:$G$769,"Active"),0))</f>
        <v/>
      </c>
    </row>
    <row r="39">
      <c r="A39" s="28" t="inlineStr">
        <is>
          <t>Tania</t>
        </is>
      </c>
      <c r="B39" s="16">
        <f>IF($A39="","",IFERROR(INDEX(Roster!$B$2:$B$40,MATCH($A39,Roster!$A$2:$A$40,0)),"?"))</f>
        <v/>
      </c>
      <c r="C39" s="28" t="inlineStr">
        <is>
          <t>Scan_1</t>
        </is>
      </c>
      <c r="D39" s="16">
        <f>IF($C39="","",IFERROR(IF(INDEX(Deals!$C$2:$C$355,MATCH($C39,Deals!$A$2:$A$355,0))=0,"",INDEX(Deals!$C$2:$C$355,MATCH($C39,Deals!$A$2:$A$355,0))),"?"))</f>
        <v/>
      </c>
      <c r="E39" s="16">
        <f>IF($C39="","",IFERROR(INDEX(Deals!$F$2:$F$355,MATCH($C39,Deals!$A$2:$A$355,0)),"?"))</f>
        <v/>
      </c>
      <c r="F39" s="28" t="inlineStr">
        <is>
          <t>Partner</t>
        </is>
      </c>
      <c r="G39" s="28" t="inlineStr">
        <is>
          <t>Active</t>
        </is>
      </c>
      <c r="H39" s="31" t="n"/>
      <c r="I39" s="32">
        <f>IF(OR($A39="",$G39&lt;&gt;"Active"),0,IF($H39&lt;&gt;"",$H39,IF($AO39&gt;0,$AP39,IF(AND($R39&lt;&gt;"",IFERROR(INDEX(Templates!$B$3:$H$10,MATCH($R39,Templates!$A$3:$A$10,0),MATCH($F39,Templates!$B$2:$H$2,0)),0)&gt;0),INDEX(Templates!$B$3:$H$10,MATCH($R39,Templates!$A$3:$A$10,0),MATCH($F39,Templates!$B$2:$H$2,0)),IFERROR(INDEX(Settings!$B$8:$B$14,MATCH($F39,Settings!$A$8:$A$14,0)),0)))))</f>
        <v/>
      </c>
      <c r="J39" s="21">
        <f>IF($C39="",0,IFERROR(INDEX(Deals!$H$2:$H$355,MATCH($C39,Deals!$A$2:$A$355,0)),0))</f>
        <v/>
      </c>
      <c r="K39" s="32">
        <f>IF(Settings!$B$4="Yes",$I39*$J39,$I39)</f>
        <v/>
      </c>
      <c r="L39" s="22">
        <f>IF($C39="","",IFERROR(IF(INDEX(Deals!$I$2:$I$355,MATCH($C39,Deals!$A$2:$A$355,0))=0,"",INDEX(Deals!$I$2:$I$355,MATCH($C39,Deals!$A$2:$A$355,0))),""))</f>
        <v/>
      </c>
      <c r="M39" s="22">
        <f>IF($C39="","",IFERROR(IF(INDEX(Deals!$J$2:$J$355,MATCH($C39,Deals!$A$2:$A$355,0))=0,"",INDEX(Deals!$J$2:$J$355,MATCH($C39,Deals!$A$2:$A$355,0))),""))</f>
        <v/>
      </c>
      <c r="N39" s="35">
        <f>IF($L39="",DATE(1900,1,1),$L39)</f>
        <v/>
      </c>
      <c r="O39" s="35">
        <f>IF($M39="",DATE(2100,12,31),$M39)</f>
        <v/>
      </c>
      <c r="P39" s="20" t="inlineStr"/>
      <c r="Q39" s="47" t="inlineStr"/>
      <c r="R39" s="16">
        <f>IF($C39="","",IFERROR(IF(INDEX(Deals!$U$2:$U$355,MATCH($C39,Deals!$A$2:$A$355,0))=0,"",INDEX(Deals!$U$2:$U$355,MATCH($C39,Deals!$A$2:$A$355,0))),""))</f>
        <v/>
      </c>
      <c r="S39" s="34">
        <f>IFERROR(IF($U39="",1,INDEX(Deals!$V$2:$V$355,MATCH($C39,Deals!$A$2:$A$355,0))),1)</f>
        <v/>
      </c>
      <c r="T39" s="34">
        <f>IFERROR(IF($U39="",1,INDEX(Deals!$W$2:$W$355,MATCH($C39,Deals!$A$2:$A$355,0))),1)</f>
        <v/>
      </c>
      <c r="U39" s="22">
        <f>IF($C39="","",IFERROR(IF(INDEX(Deals!$Y$2:$Y$355,MATCH($C39,Deals!$A$2:$A$355,0))=0,"",INDEX(Deals!$Y$2:$Y$355,MATCH($C39,Deals!$A$2:$A$355,0))),""))</f>
        <v/>
      </c>
      <c r="V39" s="35">
        <f>IF(OR($U39&lt;&gt;"",AND($AO39&gt;0,$L39&lt;&gt;"",$M39&lt;&gt;"")),$N39,DATE(1900,1,1))</f>
        <v/>
      </c>
      <c r="W39" s="35">
        <f>IF($U39&lt;&gt;"",$U39,IF(AND($AO39&gt;0,$L39&lt;&gt;"",$M39&lt;&gt;""),$O39,DATE(2100,12,31)))</f>
        <v/>
      </c>
      <c r="X39" s="32">
        <f>IF($U39="",$K39,$K39*$S39)</f>
        <v/>
      </c>
      <c r="Y39" s="35">
        <f>IF($U39="",DATE(2100,12,31),$U39+1)</f>
        <v/>
      </c>
      <c r="Z39" s="35">
        <f>IF($U39="",DATE(1900,1,1),$O39)</f>
        <v/>
      </c>
      <c r="AA39" s="32">
        <f>IF($U39="",0,$K39*$T39)</f>
        <v/>
      </c>
      <c r="AB39" s="21">
        <f>IF($C39="",0,IFERROR(INDEX(Deals!$AD$2:$AD$355,MATCH($C39,Deals!$A$2:$A$355,0)),0))</f>
        <v/>
      </c>
      <c r="AC39" s="32">
        <f>IF(Settings!$B$4="Yes",$I39*$AB39,$I39)</f>
        <v/>
      </c>
      <c r="AD39" s="22">
        <f>IF($C39="","",IFERROR(IF(INDEX(Deals!$AE$2:$AE$355,MATCH($C39,Deals!$A$2:$A$355,0))=0,"",INDEX(Deals!$AE$2:$AE$355,MATCH($C39,Deals!$A$2:$A$355,0))),""))</f>
        <v/>
      </c>
      <c r="AE39" s="22">
        <f>IF($C39="","",IFERROR(IF(INDEX(Deals!$AF$2:$AF$355,MATCH($C39,Deals!$A$2:$A$355,0))=0,"",INDEX(Deals!$AF$2:$AF$355,MATCH($C39,Deals!$A$2:$A$355,0))),""))</f>
        <v/>
      </c>
      <c r="AF39" s="35">
        <f>IF($AD39="",DATE(1900,1,1),$AD39)</f>
        <v/>
      </c>
      <c r="AG39" s="35">
        <f>IF($AE39="",DATE(2100,12,31),$AE39)</f>
        <v/>
      </c>
      <c r="AH39" s="22">
        <f>IF($C39="","",IFERROR(IF(INDEX(Deals!$AG$2:$AG$355,MATCH($C39,Deals!$A$2:$A$355,0))=0,"",INDEX(Deals!$AG$2:$AG$355,MATCH($C39,Deals!$A$2:$A$355,0))),""))</f>
        <v/>
      </c>
      <c r="AI39" s="35">
        <f>IF(OR($AH39&lt;&gt;"",AND($AO39&gt;0,$AD39&lt;&gt;"",$AE39&lt;&gt;"")),$AF39,DATE(1900,1,1))</f>
        <v/>
      </c>
      <c r="AJ39" s="35">
        <f>IF($AH39&lt;&gt;"",$AH39,IF(AND($AO39&gt;0,$AD39&lt;&gt;"",$AE39&lt;&gt;""),$AG39,DATE(2100,12,31)))</f>
        <v/>
      </c>
      <c r="AK39" s="32">
        <f>IF($AH39="",$AC39,$AC39*$S39)</f>
        <v/>
      </c>
      <c r="AL39" s="35">
        <f>IF($AH39="",DATE(2100,12,31),$AH39+1)</f>
        <v/>
      </c>
      <c r="AM39" s="35">
        <f>IF($AH39="",DATE(1900,1,1),$AG39)</f>
        <v/>
      </c>
      <c r="AN39" s="32">
        <f>IF($AH39="",0,$AC39*$T39)</f>
        <v/>
      </c>
      <c r="AO39" s="46">
        <f>IF($C39="",0,IFERROR(INDEX(Deals!$BD$2:$BD$355,MATCH($C39,Deals!$A$2:$A$355,0)),0))</f>
        <v/>
      </c>
      <c r="AP39" s="18">
        <f>IF($AO39=0,0,IFERROR(INDEX(Deals!$BJ$2:$BP$355,MATCH($C39,Deals!$A$2:$A$355,0),MATCH($F39,Deals!$BJ$1:$BP$1,0))/COUNTIFS(Assignments!$C$2:$C$769,$C39,Assignments!$F$2:$F$769,$F39,Assignments!$G$2:$G$769,"Active"),0))</f>
        <v/>
      </c>
    </row>
    <row r="40">
      <c r="A40" s="28" t="inlineStr">
        <is>
          <t>Tania</t>
        </is>
      </c>
      <c r="B40" s="16">
        <f>IF($A40="","",IFERROR(INDEX(Roster!$B$2:$B$40,MATCH($A40,Roster!$A$2:$A$40,0)),"?"))</f>
        <v/>
      </c>
      <c r="C40" s="28" t="inlineStr">
        <is>
          <t>Seven2 PFIC_1</t>
        </is>
      </c>
      <c r="D40" s="16">
        <f>IF($C40="","",IFERROR(IF(INDEX(Deals!$C$2:$C$355,MATCH($C40,Deals!$A$2:$A$355,0))=0,"",INDEX(Deals!$C$2:$C$355,MATCH($C40,Deals!$A$2:$A$355,0))),"?"))</f>
        <v/>
      </c>
      <c r="E40" s="16">
        <f>IF($C40="","",IFERROR(INDEX(Deals!$F$2:$F$355,MATCH($C40,Deals!$A$2:$A$355,0)),"?"))</f>
        <v/>
      </c>
      <c r="F40" s="28" t="inlineStr">
        <is>
          <t>Partner</t>
        </is>
      </c>
      <c r="G40" s="28" t="inlineStr">
        <is>
          <t>Active</t>
        </is>
      </c>
      <c r="H40" s="31" t="n"/>
      <c r="I40" s="32">
        <f>IF(OR($A40="",$G40&lt;&gt;"Active"),0,IF($H40&lt;&gt;"",$H40,IF($AO40&gt;0,$AP40,IF(AND($R40&lt;&gt;"",IFERROR(INDEX(Templates!$B$3:$H$10,MATCH($R40,Templates!$A$3:$A$10,0),MATCH($F40,Templates!$B$2:$H$2,0)),0)&gt;0),INDEX(Templates!$B$3:$H$10,MATCH($R40,Templates!$A$3:$A$10,0),MATCH($F40,Templates!$B$2:$H$2,0)),IFERROR(INDEX(Settings!$B$8:$B$14,MATCH($F40,Settings!$A$8:$A$14,0)),0)))))</f>
        <v/>
      </c>
      <c r="J40" s="21">
        <f>IF($C40="",0,IFERROR(INDEX(Deals!$H$2:$H$355,MATCH($C40,Deals!$A$2:$A$355,0)),0))</f>
        <v/>
      </c>
      <c r="K40" s="32">
        <f>IF(Settings!$B$4="Yes",$I40*$J40,$I40)</f>
        <v/>
      </c>
      <c r="L40" s="22">
        <f>IF($C40="","",IFERROR(IF(INDEX(Deals!$I$2:$I$355,MATCH($C40,Deals!$A$2:$A$355,0))=0,"",INDEX(Deals!$I$2:$I$355,MATCH($C40,Deals!$A$2:$A$355,0))),""))</f>
        <v/>
      </c>
      <c r="M40" s="22">
        <f>IF($C40="","",IFERROR(IF(INDEX(Deals!$J$2:$J$355,MATCH($C40,Deals!$A$2:$A$355,0))=0,"",INDEX(Deals!$J$2:$J$355,MATCH($C40,Deals!$A$2:$A$355,0))),""))</f>
        <v/>
      </c>
      <c r="N40" s="35">
        <f>IF($L40="",DATE(1900,1,1),$L40)</f>
        <v/>
      </c>
      <c r="O40" s="35">
        <f>IF($M40="",DATE(2100,12,31),$M40)</f>
        <v/>
      </c>
      <c r="P40" s="20" t="inlineStr"/>
      <c r="Q40" s="47" t="inlineStr"/>
      <c r="R40" s="16">
        <f>IF($C40="","",IFERROR(IF(INDEX(Deals!$U$2:$U$355,MATCH($C40,Deals!$A$2:$A$355,0))=0,"",INDEX(Deals!$U$2:$U$355,MATCH($C40,Deals!$A$2:$A$355,0))),""))</f>
        <v/>
      </c>
      <c r="S40" s="34">
        <f>IFERROR(IF($U40="",1,INDEX(Deals!$V$2:$V$355,MATCH($C40,Deals!$A$2:$A$355,0))),1)</f>
        <v/>
      </c>
      <c r="T40" s="34">
        <f>IFERROR(IF($U40="",1,INDEX(Deals!$W$2:$W$355,MATCH($C40,Deals!$A$2:$A$355,0))),1)</f>
        <v/>
      </c>
      <c r="U40" s="22">
        <f>IF($C40="","",IFERROR(IF(INDEX(Deals!$Y$2:$Y$355,MATCH($C40,Deals!$A$2:$A$355,0))=0,"",INDEX(Deals!$Y$2:$Y$355,MATCH($C40,Deals!$A$2:$A$355,0))),""))</f>
        <v/>
      </c>
      <c r="V40" s="35">
        <f>IF(OR($U40&lt;&gt;"",AND($AO40&gt;0,$L40&lt;&gt;"",$M40&lt;&gt;"")),$N40,DATE(1900,1,1))</f>
        <v/>
      </c>
      <c r="W40" s="35">
        <f>IF($U40&lt;&gt;"",$U40,IF(AND($AO40&gt;0,$L40&lt;&gt;"",$M40&lt;&gt;""),$O40,DATE(2100,12,31)))</f>
        <v/>
      </c>
      <c r="X40" s="32">
        <f>IF($U40="",$K40,$K40*$S40)</f>
        <v/>
      </c>
      <c r="Y40" s="35">
        <f>IF($U40="",DATE(2100,12,31),$U40+1)</f>
        <v/>
      </c>
      <c r="Z40" s="35">
        <f>IF($U40="",DATE(1900,1,1),$O40)</f>
        <v/>
      </c>
      <c r="AA40" s="32">
        <f>IF($U40="",0,$K40*$T40)</f>
        <v/>
      </c>
      <c r="AB40" s="21">
        <f>IF($C40="",0,IFERROR(INDEX(Deals!$AD$2:$AD$355,MATCH($C40,Deals!$A$2:$A$355,0)),0))</f>
        <v/>
      </c>
      <c r="AC40" s="32">
        <f>IF(Settings!$B$4="Yes",$I40*$AB40,$I40)</f>
        <v/>
      </c>
      <c r="AD40" s="22">
        <f>IF($C40="","",IFERROR(IF(INDEX(Deals!$AE$2:$AE$355,MATCH($C40,Deals!$A$2:$A$355,0))=0,"",INDEX(Deals!$AE$2:$AE$355,MATCH($C40,Deals!$A$2:$A$355,0))),""))</f>
        <v/>
      </c>
      <c r="AE40" s="22">
        <f>IF($C40="","",IFERROR(IF(INDEX(Deals!$AF$2:$AF$355,MATCH($C40,Deals!$A$2:$A$355,0))=0,"",INDEX(Deals!$AF$2:$AF$355,MATCH($C40,Deals!$A$2:$A$355,0))),""))</f>
        <v/>
      </c>
      <c r="AF40" s="35">
        <f>IF($AD40="",DATE(1900,1,1),$AD40)</f>
        <v/>
      </c>
      <c r="AG40" s="35">
        <f>IF($AE40="",DATE(2100,12,31),$AE40)</f>
        <v/>
      </c>
      <c r="AH40" s="22">
        <f>IF($C40="","",IFERROR(IF(INDEX(Deals!$AG$2:$AG$355,MATCH($C40,Deals!$A$2:$A$355,0))=0,"",INDEX(Deals!$AG$2:$AG$355,MATCH($C40,Deals!$A$2:$A$355,0))),""))</f>
        <v/>
      </c>
      <c r="AI40" s="35">
        <f>IF(OR($AH40&lt;&gt;"",AND($AO40&gt;0,$AD40&lt;&gt;"",$AE40&lt;&gt;"")),$AF40,DATE(1900,1,1))</f>
        <v/>
      </c>
      <c r="AJ40" s="35">
        <f>IF($AH40&lt;&gt;"",$AH40,IF(AND($AO40&gt;0,$AD40&lt;&gt;"",$AE40&lt;&gt;""),$AG40,DATE(2100,12,31)))</f>
        <v/>
      </c>
      <c r="AK40" s="32">
        <f>IF($AH40="",$AC40,$AC40*$S40)</f>
        <v/>
      </c>
      <c r="AL40" s="35">
        <f>IF($AH40="",DATE(2100,12,31),$AH40+1)</f>
        <v/>
      </c>
      <c r="AM40" s="35">
        <f>IF($AH40="",DATE(1900,1,1),$AG40)</f>
        <v/>
      </c>
      <c r="AN40" s="32">
        <f>IF($AH40="",0,$AC40*$T40)</f>
        <v/>
      </c>
      <c r="AO40" s="46">
        <f>IF($C40="",0,IFERROR(INDEX(Deals!$BD$2:$BD$355,MATCH($C40,Deals!$A$2:$A$355,0)),0))</f>
        <v/>
      </c>
      <c r="AP40" s="18">
        <f>IF($AO40=0,0,IFERROR(INDEX(Deals!$BJ$2:$BP$355,MATCH($C40,Deals!$A$2:$A$355,0),MATCH($F40,Deals!$BJ$1:$BP$1,0))/COUNTIFS(Assignments!$C$2:$C$769,$C40,Assignments!$F$2:$F$769,$F40,Assignments!$G$2:$G$769,"Active"),0))</f>
        <v/>
      </c>
    </row>
    <row r="41">
      <c r="A41" s="28" t="inlineStr">
        <is>
          <t>Tania</t>
        </is>
      </c>
      <c r="B41" s="16">
        <f>IF($A41="","",IFERROR(INDEX(Roster!$B$2:$B$40,MATCH($A41,Roster!$A$2:$A$40,0)),"?"))</f>
        <v/>
      </c>
      <c r="C41" s="28" t="inlineStr">
        <is>
          <t>Steam_3</t>
        </is>
      </c>
      <c r="D41" s="16">
        <f>IF($C41="","",IFERROR(IF(INDEX(Deals!$C$2:$C$355,MATCH($C41,Deals!$A$2:$A$355,0))=0,"",INDEX(Deals!$C$2:$C$355,MATCH($C41,Deals!$A$2:$A$355,0))),"?"))</f>
        <v/>
      </c>
      <c r="E41" s="16">
        <f>IF($C41="","",IFERROR(INDEX(Deals!$F$2:$F$355,MATCH($C41,Deals!$A$2:$A$355,0)),"?"))</f>
        <v/>
      </c>
      <c r="F41" s="28" t="inlineStr">
        <is>
          <t>Partner</t>
        </is>
      </c>
      <c r="G41" s="28" t="inlineStr">
        <is>
          <t>Inactive</t>
        </is>
      </c>
      <c r="H41" s="31" t="n"/>
      <c r="I41" s="32">
        <f>IF(OR($A41="",$G41&lt;&gt;"Active"),0,IF($H41&lt;&gt;"",$H41,IF($AO41&gt;0,$AP41,IF(AND($R41&lt;&gt;"",IFERROR(INDEX(Templates!$B$3:$H$10,MATCH($R41,Templates!$A$3:$A$10,0),MATCH($F41,Templates!$B$2:$H$2,0)),0)&gt;0),INDEX(Templates!$B$3:$H$10,MATCH($R41,Templates!$A$3:$A$10,0),MATCH($F41,Templates!$B$2:$H$2,0)),IFERROR(INDEX(Settings!$B$8:$B$14,MATCH($F41,Settings!$A$8:$A$14,0)),0)))))</f>
        <v/>
      </c>
      <c r="J41" s="21">
        <f>IF($C41="",0,IFERROR(INDEX(Deals!$H$2:$H$355,MATCH($C41,Deals!$A$2:$A$355,0)),0))</f>
        <v/>
      </c>
      <c r="K41" s="32">
        <f>IF(Settings!$B$4="Yes",$I41*$J41,$I41)</f>
        <v/>
      </c>
      <c r="L41" s="22">
        <f>IF($C41="","",IFERROR(IF(INDEX(Deals!$I$2:$I$355,MATCH($C41,Deals!$A$2:$A$355,0))=0,"",INDEX(Deals!$I$2:$I$355,MATCH($C41,Deals!$A$2:$A$355,0))),""))</f>
        <v/>
      </c>
      <c r="M41" s="22">
        <f>IF($C41="","",IFERROR(IF(INDEX(Deals!$J$2:$J$355,MATCH($C41,Deals!$A$2:$A$355,0))=0,"",INDEX(Deals!$J$2:$J$355,MATCH($C41,Deals!$A$2:$A$355,0))),""))</f>
        <v/>
      </c>
      <c r="N41" s="35">
        <f>IF($L41="",DATE(1900,1,1),$L41)</f>
        <v/>
      </c>
      <c r="O41" s="35">
        <f>IF($M41="",DATE(2100,12,31),$M41)</f>
        <v/>
      </c>
      <c r="P41" s="20" t="inlineStr"/>
      <c r="Q41" s="47" t="inlineStr">
        <is>
          <t>Deal lifecycle is Dead</t>
        </is>
      </c>
      <c r="R41" s="16">
        <f>IF($C41="","",IFERROR(IF(INDEX(Deals!$U$2:$U$355,MATCH($C41,Deals!$A$2:$A$355,0))=0,"",INDEX(Deals!$U$2:$U$355,MATCH($C41,Deals!$A$2:$A$355,0))),""))</f>
        <v/>
      </c>
      <c r="S41" s="34">
        <f>IFERROR(IF($U41="",1,INDEX(Deals!$V$2:$V$355,MATCH($C41,Deals!$A$2:$A$355,0))),1)</f>
        <v/>
      </c>
      <c r="T41" s="34">
        <f>IFERROR(IF($U41="",1,INDEX(Deals!$W$2:$W$355,MATCH($C41,Deals!$A$2:$A$355,0))),1)</f>
        <v/>
      </c>
      <c r="U41" s="22">
        <f>IF($C41="","",IFERROR(IF(INDEX(Deals!$Y$2:$Y$355,MATCH($C41,Deals!$A$2:$A$355,0))=0,"",INDEX(Deals!$Y$2:$Y$355,MATCH($C41,Deals!$A$2:$A$355,0))),""))</f>
        <v/>
      </c>
      <c r="V41" s="35">
        <f>IF(OR($U41&lt;&gt;"",AND($AO41&gt;0,$L41&lt;&gt;"",$M41&lt;&gt;"")),$N41,DATE(1900,1,1))</f>
        <v/>
      </c>
      <c r="W41" s="35">
        <f>IF($U41&lt;&gt;"",$U41,IF(AND($AO41&gt;0,$L41&lt;&gt;"",$M41&lt;&gt;""),$O41,DATE(2100,12,31)))</f>
        <v/>
      </c>
      <c r="X41" s="32">
        <f>IF($U41="",$K41,$K41*$S41)</f>
        <v/>
      </c>
      <c r="Y41" s="35">
        <f>IF($U41="",DATE(2100,12,31),$U41+1)</f>
        <v/>
      </c>
      <c r="Z41" s="35">
        <f>IF($U41="",DATE(1900,1,1),$O41)</f>
        <v/>
      </c>
      <c r="AA41" s="32">
        <f>IF($U41="",0,$K41*$T41)</f>
        <v/>
      </c>
      <c r="AB41" s="21">
        <f>IF($C41="",0,IFERROR(INDEX(Deals!$AD$2:$AD$355,MATCH($C41,Deals!$A$2:$A$355,0)),0))</f>
        <v/>
      </c>
      <c r="AC41" s="32">
        <f>IF(Settings!$B$4="Yes",$I41*$AB41,$I41)</f>
        <v/>
      </c>
      <c r="AD41" s="22">
        <f>IF($C41="","",IFERROR(IF(INDEX(Deals!$AE$2:$AE$355,MATCH($C41,Deals!$A$2:$A$355,0))=0,"",INDEX(Deals!$AE$2:$AE$355,MATCH($C41,Deals!$A$2:$A$355,0))),""))</f>
        <v/>
      </c>
      <c r="AE41" s="22">
        <f>IF($C41="","",IFERROR(IF(INDEX(Deals!$AF$2:$AF$355,MATCH($C41,Deals!$A$2:$A$355,0))=0,"",INDEX(Deals!$AF$2:$AF$355,MATCH($C41,Deals!$A$2:$A$355,0))),""))</f>
        <v/>
      </c>
      <c r="AF41" s="35">
        <f>IF($AD41="",DATE(1900,1,1),$AD41)</f>
        <v/>
      </c>
      <c r="AG41" s="35">
        <f>IF($AE41="",DATE(2100,12,31),$AE41)</f>
        <v/>
      </c>
      <c r="AH41" s="22">
        <f>IF($C41="","",IFERROR(IF(INDEX(Deals!$AG$2:$AG$355,MATCH($C41,Deals!$A$2:$A$355,0))=0,"",INDEX(Deals!$AG$2:$AG$355,MATCH($C41,Deals!$A$2:$A$355,0))),""))</f>
        <v/>
      </c>
      <c r="AI41" s="35">
        <f>IF(OR($AH41&lt;&gt;"",AND($AO41&gt;0,$AD41&lt;&gt;"",$AE41&lt;&gt;"")),$AF41,DATE(1900,1,1))</f>
        <v/>
      </c>
      <c r="AJ41" s="35">
        <f>IF($AH41&lt;&gt;"",$AH41,IF(AND($AO41&gt;0,$AD41&lt;&gt;"",$AE41&lt;&gt;""),$AG41,DATE(2100,12,31)))</f>
        <v/>
      </c>
      <c r="AK41" s="32">
        <f>IF($AH41="",$AC41,$AC41*$S41)</f>
        <v/>
      </c>
      <c r="AL41" s="35">
        <f>IF($AH41="",DATE(2100,12,31),$AH41+1)</f>
        <v/>
      </c>
      <c r="AM41" s="35">
        <f>IF($AH41="",DATE(1900,1,1),$AG41)</f>
        <v/>
      </c>
      <c r="AN41" s="32">
        <f>IF($AH41="",0,$AC41*$T41)</f>
        <v/>
      </c>
      <c r="AO41" s="46">
        <f>IF($C41="",0,IFERROR(INDEX(Deals!$BD$2:$BD$355,MATCH($C41,Deals!$A$2:$A$355,0)),0))</f>
        <v/>
      </c>
      <c r="AP41" s="18">
        <f>IF($AO41=0,0,IFERROR(INDEX(Deals!$BJ$2:$BP$355,MATCH($C41,Deals!$A$2:$A$355,0),MATCH($F41,Deals!$BJ$1:$BP$1,0))/COUNTIFS(Assignments!$C$2:$C$769,$C41,Assignments!$F$2:$F$769,$F41,Assignments!$G$2:$G$769,"Active"),0))</f>
        <v/>
      </c>
    </row>
    <row r="42">
      <c r="A42" s="28" t="inlineStr">
        <is>
          <t>Tania</t>
        </is>
      </c>
      <c r="B42" s="16">
        <f>IF($A42="","",IFERROR(INDEX(Roster!$B$2:$B$40,MATCH($A42,Roster!$A$2:$A$40,0)),"?"))</f>
        <v/>
      </c>
      <c r="C42" s="28" t="inlineStr">
        <is>
          <t>Tailgate_1</t>
        </is>
      </c>
      <c r="D42" s="16">
        <f>IF($C42="","",IFERROR(IF(INDEX(Deals!$C$2:$C$355,MATCH($C42,Deals!$A$2:$A$355,0))=0,"",INDEX(Deals!$C$2:$C$355,MATCH($C42,Deals!$A$2:$A$355,0))),"?"))</f>
        <v/>
      </c>
      <c r="E42" s="16">
        <f>IF($C42="","",IFERROR(INDEX(Deals!$F$2:$F$355,MATCH($C42,Deals!$A$2:$A$355,0)),"?"))</f>
        <v/>
      </c>
      <c r="F42" s="28" t="inlineStr">
        <is>
          <t>Partner</t>
        </is>
      </c>
      <c r="G42" s="28" t="inlineStr">
        <is>
          <t>Active</t>
        </is>
      </c>
      <c r="H42" s="31" t="n"/>
      <c r="I42" s="32">
        <f>IF(OR($A42="",$G42&lt;&gt;"Active"),0,IF($H42&lt;&gt;"",$H42,IF($AO42&gt;0,$AP42,IF(AND($R42&lt;&gt;"",IFERROR(INDEX(Templates!$B$3:$H$10,MATCH($R42,Templates!$A$3:$A$10,0),MATCH($F42,Templates!$B$2:$H$2,0)),0)&gt;0),INDEX(Templates!$B$3:$H$10,MATCH($R42,Templates!$A$3:$A$10,0),MATCH($F42,Templates!$B$2:$H$2,0)),IFERROR(INDEX(Settings!$B$8:$B$14,MATCH($F42,Settings!$A$8:$A$14,0)),0)))))</f>
        <v/>
      </c>
      <c r="J42" s="21">
        <f>IF($C42="",0,IFERROR(INDEX(Deals!$H$2:$H$355,MATCH($C42,Deals!$A$2:$A$355,0)),0))</f>
        <v/>
      </c>
      <c r="K42" s="32">
        <f>IF(Settings!$B$4="Yes",$I42*$J42,$I42)</f>
        <v/>
      </c>
      <c r="L42" s="22">
        <f>IF($C42="","",IFERROR(IF(INDEX(Deals!$I$2:$I$355,MATCH($C42,Deals!$A$2:$A$355,0))=0,"",INDEX(Deals!$I$2:$I$355,MATCH($C42,Deals!$A$2:$A$355,0))),""))</f>
        <v/>
      </c>
      <c r="M42" s="22">
        <f>IF($C42="","",IFERROR(IF(INDEX(Deals!$J$2:$J$355,MATCH($C42,Deals!$A$2:$A$355,0))=0,"",INDEX(Deals!$J$2:$J$355,MATCH($C42,Deals!$A$2:$A$355,0))),""))</f>
        <v/>
      </c>
      <c r="N42" s="35">
        <f>IF($L42="",DATE(1900,1,1),$L42)</f>
        <v/>
      </c>
      <c r="O42" s="35">
        <f>IF($M42="",DATE(2100,12,31),$M42)</f>
        <v/>
      </c>
      <c r="P42" s="20" t="inlineStr"/>
      <c r="Q42" s="47" t="inlineStr"/>
      <c r="R42" s="16">
        <f>IF($C42="","",IFERROR(IF(INDEX(Deals!$U$2:$U$355,MATCH($C42,Deals!$A$2:$A$355,0))=0,"",INDEX(Deals!$U$2:$U$355,MATCH($C42,Deals!$A$2:$A$355,0))),""))</f>
        <v/>
      </c>
      <c r="S42" s="34">
        <f>IFERROR(IF($U42="",1,INDEX(Deals!$V$2:$V$355,MATCH($C42,Deals!$A$2:$A$355,0))),1)</f>
        <v/>
      </c>
      <c r="T42" s="34">
        <f>IFERROR(IF($U42="",1,INDEX(Deals!$W$2:$W$355,MATCH($C42,Deals!$A$2:$A$355,0))),1)</f>
        <v/>
      </c>
      <c r="U42" s="22">
        <f>IF($C42="","",IFERROR(IF(INDEX(Deals!$Y$2:$Y$355,MATCH($C42,Deals!$A$2:$A$355,0))=0,"",INDEX(Deals!$Y$2:$Y$355,MATCH($C42,Deals!$A$2:$A$355,0))),""))</f>
        <v/>
      </c>
      <c r="V42" s="35">
        <f>IF(OR($U42&lt;&gt;"",AND($AO42&gt;0,$L42&lt;&gt;"",$M42&lt;&gt;"")),$N42,DATE(1900,1,1))</f>
        <v/>
      </c>
      <c r="W42" s="35">
        <f>IF($U42&lt;&gt;"",$U42,IF(AND($AO42&gt;0,$L42&lt;&gt;"",$M42&lt;&gt;""),$O42,DATE(2100,12,31)))</f>
        <v/>
      </c>
      <c r="X42" s="32">
        <f>IF($U42="",$K42,$K42*$S42)</f>
        <v/>
      </c>
      <c r="Y42" s="35">
        <f>IF($U42="",DATE(2100,12,31),$U42+1)</f>
        <v/>
      </c>
      <c r="Z42" s="35">
        <f>IF($U42="",DATE(1900,1,1),$O42)</f>
        <v/>
      </c>
      <c r="AA42" s="32">
        <f>IF($U42="",0,$K42*$T42)</f>
        <v/>
      </c>
      <c r="AB42" s="21">
        <f>IF($C42="",0,IFERROR(INDEX(Deals!$AD$2:$AD$355,MATCH($C42,Deals!$A$2:$A$355,0)),0))</f>
        <v/>
      </c>
      <c r="AC42" s="32">
        <f>IF(Settings!$B$4="Yes",$I42*$AB42,$I42)</f>
        <v/>
      </c>
      <c r="AD42" s="22">
        <f>IF($C42="","",IFERROR(IF(INDEX(Deals!$AE$2:$AE$355,MATCH($C42,Deals!$A$2:$A$355,0))=0,"",INDEX(Deals!$AE$2:$AE$355,MATCH($C42,Deals!$A$2:$A$355,0))),""))</f>
        <v/>
      </c>
      <c r="AE42" s="22">
        <f>IF($C42="","",IFERROR(IF(INDEX(Deals!$AF$2:$AF$355,MATCH($C42,Deals!$A$2:$A$355,0))=0,"",INDEX(Deals!$AF$2:$AF$355,MATCH($C42,Deals!$A$2:$A$355,0))),""))</f>
        <v/>
      </c>
      <c r="AF42" s="35">
        <f>IF($AD42="",DATE(1900,1,1),$AD42)</f>
        <v/>
      </c>
      <c r="AG42" s="35">
        <f>IF($AE42="",DATE(2100,12,31),$AE42)</f>
        <v/>
      </c>
      <c r="AH42" s="22">
        <f>IF($C42="","",IFERROR(IF(INDEX(Deals!$AG$2:$AG$355,MATCH($C42,Deals!$A$2:$A$355,0))=0,"",INDEX(Deals!$AG$2:$AG$355,MATCH($C42,Deals!$A$2:$A$355,0))),""))</f>
        <v/>
      </c>
      <c r="AI42" s="35">
        <f>IF(OR($AH42&lt;&gt;"",AND($AO42&gt;0,$AD42&lt;&gt;"",$AE42&lt;&gt;"")),$AF42,DATE(1900,1,1))</f>
        <v/>
      </c>
      <c r="AJ42" s="35">
        <f>IF($AH42&lt;&gt;"",$AH42,IF(AND($AO42&gt;0,$AD42&lt;&gt;"",$AE42&lt;&gt;""),$AG42,DATE(2100,12,31)))</f>
        <v/>
      </c>
      <c r="AK42" s="32">
        <f>IF($AH42="",$AC42,$AC42*$S42)</f>
        <v/>
      </c>
      <c r="AL42" s="35">
        <f>IF($AH42="",DATE(2100,12,31),$AH42+1)</f>
        <v/>
      </c>
      <c r="AM42" s="35">
        <f>IF($AH42="",DATE(1900,1,1),$AG42)</f>
        <v/>
      </c>
      <c r="AN42" s="32">
        <f>IF($AH42="",0,$AC42*$T42)</f>
        <v/>
      </c>
      <c r="AO42" s="46">
        <f>IF($C42="",0,IFERROR(INDEX(Deals!$BD$2:$BD$355,MATCH($C42,Deals!$A$2:$A$355,0)),0))</f>
        <v/>
      </c>
      <c r="AP42" s="18">
        <f>IF($AO42=0,0,IFERROR(INDEX(Deals!$BJ$2:$BP$355,MATCH($C42,Deals!$A$2:$A$355,0),MATCH($F42,Deals!$BJ$1:$BP$1,0))/COUNTIFS(Assignments!$C$2:$C$769,$C42,Assignments!$F$2:$F$769,$F42,Assignments!$G$2:$G$769,"Active"),0))</f>
        <v/>
      </c>
    </row>
    <row r="43">
      <c r="A43" s="28" t="inlineStr">
        <is>
          <t>Tania</t>
        </is>
      </c>
      <c r="B43" s="16">
        <f>IF($A43="","",IFERROR(INDEX(Roster!$B$2:$B$40,MATCH($A43,Roster!$A$2:$A$40,0)),"?"))</f>
        <v/>
      </c>
      <c r="C43" s="28" t="inlineStr">
        <is>
          <t>Theoden_1</t>
        </is>
      </c>
      <c r="D43" s="16">
        <f>IF($C43="","",IFERROR(IF(INDEX(Deals!$C$2:$C$355,MATCH($C43,Deals!$A$2:$A$355,0))=0,"",INDEX(Deals!$C$2:$C$355,MATCH($C43,Deals!$A$2:$A$355,0))),"?"))</f>
        <v/>
      </c>
      <c r="E43" s="16">
        <f>IF($C43="","",IFERROR(INDEX(Deals!$F$2:$F$355,MATCH($C43,Deals!$A$2:$A$355,0)),"?"))</f>
        <v/>
      </c>
      <c r="F43" s="28" t="inlineStr">
        <is>
          <t>Partner</t>
        </is>
      </c>
      <c r="G43" s="28" t="inlineStr">
        <is>
          <t>Active</t>
        </is>
      </c>
      <c r="H43" s="31" t="n"/>
      <c r="I43" s="32">
        <f>IF(OR($A43="",$G43&lt;&gt;"Active"),0,IF($H43&lt;&gt;"",$H43,IF($AO43&gt;0,$AP43,IF(AND($R43&lt;&gt;"",IFERROR(INDEX(Templates!$B$3:$H$10,MATCH($R43,Templates!$A$3:$A$10,0),MATCH($F43,Templates!$B$2:$H$2,0)),0)&gt;0),INDEX(Templates!$B$3:$H$10,MATCH($R43,Templates!$A$3:$A$10,0),MATCH($F43,Templates!$B$2:$H$2,0)),IFERROR(INDEX(Settings!$B$8:$B$14,MATCH($F43,Settings!$A$8:$A$14,0)),0)))))</f>
        <v/>
      </c>
      <c r="J43" s="21">
        <f>IF($C43="",0,IFERROR(INDEX(Deals!$H$2:$H$355,MATCH($C43,Deals!$A$2:$A$355,0)),0))</f>
        <v/>
      </c>
      <c r="K43" s="32">
        <f>IF(Settings!$B$4="Yes",$I43*$J43,$I43)</f>
        <v/>
      </c>
      <c r="L43" s="22">
        <f>IF($C43="","",IFERROR(IF(INDEX(Deals!$I$2:$I$355,MATCH($C43,Deals!$A$2:$A$355,0))=0,"",INDEX(Deals!$I$2:$I$355,MATCH($C43,Deals!$A$2:$A$355,0))),""))</f>
        <v/>
      </c>
      <c r="M43" s="22">
        <f>IF($C43="","",IFERROR(IF(INDEX(Deals!$J$2:$J$355,MATCH($C43,Deals!$A$2:$A$355,0))=0,"",INDEX(Deals!$J$2:$J$355,MATCH($C43,Deals!$A$2:$A$355,0))),""))</f>
        <v/>
      </c>
      <c r="N43" s="35">
        <f>IF($L43="",DATE(1900,1,1),$L43)</f>
        <v/>
      </c>
      <c r="O43" s="35">
        <f>IF($M43="",DATE(2100,12,31),$M43)</f>
        <v/>
      </c>
      <c r="P43" s="20" t="inlineStr"/>
      <c r="Q43" s="47" t="inlineStr"/>
      <c r="R43" s="16">
        <f>IF($C43="","",IFERROR(IF(INDEX(Deals!$U$2:$U$355,MATCH($C43,Deals!$A$2:$A$355,0))=0,"",INDEX(Deals!$U$2:$U$355,MATCH($C43,Deals!$A$2:$A$355,0))),""))</f>
        <v/>
      </c>
      <c r="S43" s="34">
        <f>IFERROR(IF($U43="",1,INDEX(Deals!$V$2:$V$355,MATCH($C43,Deals!$A$2:$A$355,0))),1)</f>
        <v/>
      </c>
      <c r="T43" s="34">
        <f>IFERROR(IF($U43="",1,INDEX(Deals!$W$2:$W$355,MATCH($C43,Deals!$A$2:$A$355,0))),1)</f>
        <v/>
      </c>
      <c r="U43" s="22">
        <f>IF($C43="","",IFERROR(IF(INDEX(Deals!$Y$2:$Y$355,MATCH($C43,Deals!$A$2:$A$355,0))=0,"",INDEX(Deals!$Y$2:$Y$355,MATCH($C43,Deals!$A$2:$A$355,0))),""))</f>
        <v/>
      </c>
      <c r="V43" s="35">
        <f>IF(OR($U43&lt;&gt;"",AND($AO43&gt;0,$L43&lt;&gt;"",$M43&lt;&gt;"")),$N43,DATE(1900,1,1))</f>
        <v/>
      </c>
      <c r="W43" s="35">
        <f>IF($U43&lt;&gt;"",$U43,IF(AND($AO43&gt;0,$L43&lt;&gt;"",$M43&lt;&gt;""),$O43,DATE(2100,12,31)))</f>
        <v/>
      </c>
      <c r="X43" s="32">
        <f>IF($U43="",$K43,$K43*$S43)</f>
        <v/>
      </c>
      <c r="Y43" s="35">
        <f>IF($U43="",DATE(2100,12,31),$U43+1)</f>
        <v/>
      </c>
      <c r="Z43" s="35">
        <f>IF($U43="",DATE(1900,1,1),$O43)</f>
        <v/>
      </c>
      <c r="AA43" s="32">
        <f>IF($U43="",0,$K43*$T43)</f>
        <v/>
      </c>
      <c r="AB43" s="21">
        <f>IF($C43="",0,IFERROR(INDEX(Deals!$AD$2:$AD$355,MATCH($C43,Deals!$A$2:$A$355,0)),0))</f>
        <v/>
      </c>
      <c r="AC43" s="32">
        <f>IF(Settings!$B$4="Yes",$I43*$AB43,$I43)</f>
        <v/>
      </c>
      <c r="AD43" s="22">
        <f>IF($C43="","",IFERROR(IF(INDEX(Deals!$AE$2:$AE$355,MATCH($C43,Deals!$A$2:$A$355,0))=0,"",INDEX(Deals!$AE$2:$AE$355,MATCH($C43,Deals!$A$2:$A$355,0))),""))</f>
        <v/>
      </c>
      <c r="AE43" s="22">
        <f>IF($C43="","",IFERROR(IF(INDEX(Deals!$AF$2:$AF$355,MATCH($C43,Deals!$A$2:$A$355,0))=0,"",INDEX(Deals!$AF$2:$AF$355,MATCH($C43,Deals!$A$2:$A$355,0))),""))</f>
        <v/>
      </c>
      <c r="AF43" s="35">
        <f>IF($AD43="",DATE(1900,1,1),$AD43)</f>
        <v/>
      </c>
      <c r="AG43" s="35">
        <f>IF($AE43="",DATE(2100,12,31),$AE43)</f>
        <v/>
      </c>
      <c r="AH43" s="22">
        <f>IF($C43="","",IFERROR(IF(INDEX(Deals!$AG$2:$AG$355,MATCH($C43,Deals!$A$2:$A$355,0))=0,"",INDEX(Deals!$AG$2:$AG$355,MATCH($C43,Deals!$A$2:$A$355,0))),""))</f>
        <v/>
      </c>
      <c r="AI43" s="35">
        <f>IF(OR($AH43&lt;&gt;"",AND($AO43&gt;0,$AD43&lt;&gt;"",$AE43&lt;&gt;"")),$AF43,DATE(1900,1,1))</f>
        <v/>
      </c>
      <c r="AJ43" s="35">
        <f>IF($AH43&lt;&gt;"",$AH43,IF(AND($AO43&gt;0,$AD43&lt;&gt;"",$AE43&lt;&gt;""),$AG43,DATE(2100,12,31)))</f>
        <v/>
      </c>
      <c r="AK43" s="32">
        <f>IF($AH43="",$AC43,$AC43*$S43)</f>
        <v/>
      </c>
      <c r="AL43" s="35">
        <f>IF($AH43="",DATE(2100,12,31),$AH43+1)</f>
        <v/>
      </c>
      <c r="AM43" s="35">
        <f>IF($AH43="",DATE(1900,1,1),$AG43)</f>
        <v/>
      </c>
      <c r="AN43" s="32">
        <f>IF($AH43="",0,$AC43*$T43)</f>
        <v/>
      </c>
      <c r="AO43" s="46">
        <f>IF($C43="",0,IFERROR(INDEX(Deals!$BD$2:$BD$355,MATCH($C43,Deals!$A$2:$A$355,0)),0))</f>
        <v/>
      </c>
      <c r="AP43" s="18">
        <f>IF($AO43=0,0,IFERROR(INDEX(Deals!$BJ$2:$BP$355,MATCH($C43,Deals!$A$2:$A$355,0),MATCH($F43,Deals!$BJ$1:$BP$1,0))/COUNTIFS(Assignments!$C$2:$C$769,$C43,Assignments!$F$2:$F$769,$F43,Assignments!$G$2:$G$769,"Active"),0))</f>
        <v/>
      </c>
    </row>
    <row r="44">
      <c r="A44" s="28" t="inlineStr">
        <is>
          <t>Tania</t>
        </is>
      </c>
      <c r="B44" s="16">
        <f>IF($A44="","",IFERROR(INDEX(Roster!$B$2:$B$40,MATCH($A44,Roster!$A$2:$A$40,0)),"?"))</f>
        <v/>
      </c>
      <c r="C44" s="28" t="inlineStr">
        <is>
          <t>Truman_1</t>
        </is>
      </c>
      <c r="D44" s="16">
        <f>IF($C44="","",IFERROR(IF(INDEX(Deals!$C$2:$C$355,MATCH($C44,Deals!$A$2:$A$355,0))=0,"",INDEX(Deals!$C$2:$C$355,MATCH($C44,Deals!$A$2:$A$355,0))),"?"))</f>
        <v/>
      </c>
      <c r="E44" s="16">
        <f>IF($C44="","",IFERROR(INDEX(Deals!$F$2:$F$355,MATCH($C44,Deals!$A$2:$A$355,0)),"?"))</f>
        <v/>
      </c>
      <c r="F44" s="28" t="inlineStr">
        <is>
          <t>Partner</t>
        </is>
      </c>
      <c r="G44" s="28" t="inlineStr">
        <is>
          <t>Active</t>
        </is>
      </c>
      <c r="H44" s="31" t="n"/>
      <c r="I44" s="32">
        <f>IF(OR($A44="",$G44&lt;&gt;"Active"),0,IF($H44&lt;&gt;"",$H44,IF($AO44&gt;0,$AP44,IF(AND($R44&lt;&gt;"",IFERROR(INDEX(Templates!$B$3:$H$10,MATCH($R44,Templates!$A$3:$A$10,0),MATCH($F44,Templates!$B$2:$H$2,0)),0)&gt;0),INDEX(Templates!$B$3:$H$10,MATCH($R44,Templates!$A$3:$A$10,0),MATCH($F44,Templates!$B$2:$H$2,0)),IFERROR(INDEX(Settings!$B$8:$B$14,MATCH($F44,Settings!$A$8:$A$14,0)),0)))))</f>
        <v/>
      </c>
      <c r="J44" s="21">
        <f>IF($C44="",0,IFERROR(INDEX(Deals!$H$2:$H$355,MATCH($C44,Deals!$A$2:$A$355,0)),0))</f>
        <v/>
      </c>
      <c r="K44" s="32">
        <f>IF(Settings!$B$4="Yes",$I44*$J44,$I44)</f>
        <v/>
      </c>
      <c r="L44" s="22">
        <f>IF($C44="","",IFERROR(IF(INDEX(Deals!$I$2:$I$355,MATCH($C44,Deals!$A$2:$A$355,0))=0,"",INDEX(Deals!$I$2:$I$355,MATCH($C44,Deals!$A$2:$A$355,0))),""))</f>
        <v/>
      </c>
      <c r="M44" s="22">
        <f>IF($C44="","",IFERROR(IF(INDEX(Deals!$J$2:$J$355,MATCH($C44,Deals!$A$2:$A$355,0))=0,"",INDEX(Deals!$J$2:$J$355,MATCH($C44,Deals!$A$2:$A$355,0))),""))</f>
        <v/>
      </c>
      <c r="N44" s="35">
        <f>IF($L44="",DATE(1900,1,1),$L44)</f>
        <v/>
      </c>
      <c r="O44" s="35">
        <f>IF($M44="",DATE(2100,12,31),$M44)</f>
        <v/>
      </c>
      <c r="P44" s="20" t="inlineStr"/>
      <c r="Q44" s="47" t="inlineStr"/>
      <c r="R44" s="16">
        <f>IF($C44="","",IFERROR(IF(INDEX(Deals!$U$2:$U$355,MATCH($C44,Deals!$A$2:$A$355,0))=0,"",INDEX(Deals!$U$2:$U$355,MATCH($C44,Deals!$A$2:$A$355,0))),""))</f>
        <v/>
      </c>
      <c r="S44" s="34">
        <f>IFERROR(IF($U44="",1,INDEX(Deals!$V$2:$V$355,MATCH($C44,Deals!$A$2:$A$355,0))),1)</f>
        <v/>
      </c>
      <c r="T44" s="34">
        <f>IFERROR(IF($U44="",1,INDEX(Deals!$W$2:$W$355,MATCH($C44,Deals!$A$2:$A$355,0))),1)</f>
        <v/>
      </c>
      <c r="U44" s="22">
        <f>IF($C44="","",IFERROR(IF(INDEX(Deals!$Y$2:$Y$355,MATCH($C44,Deals!$A$2:$A$355,0))=0,"",INDEX(Deals!$Y$2:$Y$355,MATCH($C44,Deals!$A$2:$A$355,0))),""))</f>
        <v/>
      </c>
      <c r="V44" s="35">
        <f>IF(OR($U44&lt;&gt;"",AND($AO44&gt;0,$L44&lt;&gt;"",$M44&lt;&gt;"")),$N44,DATE(1900,1,1))</f>
        <v/>
      </c>
      <c r="W44" s="35">
        <f>IF($U44&lt;&gt;"",$U44,IF(AND($AO44&gt;0,$L44&lt;&gt;"",$M44&lt;&gt;""),$O44,DATE(2100,12,31)))</f>
        <v/>
      </c>
      <c r="X44" s="32">
        <f>IF($U44="",$K44,$K44*$S44)</f>
        <v/>
      </c>
      <c r="Y44" s="35">
        <f>IF($U44="",DATE(2100,12,31),$U44+1)</f>
        <v/>
      </c>
      <c r="Z44" s="35">
        <f>IF($U44="",DATE(1900,1,1),$O44)</f>
        <v/>
      </c>
      <c r="AA44" s="32">
        <f>IF($U44="",0,$K44*$T44)</f>
        <v/>
      </c>
      <c r="AB44" s="21">
        <f>IF($C44="",0,IFERROR(INDEX(Deals!$AD$2:$AD$355,MATCH($C44,Deals!$A$2:$A$355,0)),0))</f>
        <v/>
      </c>
      <c r="AC44" s="32">
        <f>IF(Settings!$B$4="Yes",$I44*$AB44,$I44)</f>
        <v/>
      </c>
      <c r="AD44" s="22">
        <f>IF($C44="","",IFERROR(IF(INDEX(Deals!$AE$2:$AE$355,MATCH($C44,Deals!$A$2:$A$355,0))=0,"",INDEX(Deals!$AE$2:$AE$355,MATCH($C44,Deals!$A$2:$A$355,0))),""))</f>
        <v/>
      </c>
      <c r="AE44" s="22">
        <f>IF($C44="","",IFERROR(IF(INDEX(Deals!$AF$2:$AF$355,MATCH($C44,Deals!$A$2:$A$355,0))=0,"",INDEX(Deals!$AF$2:$AF$355,MATCH($C44,Deals!$A$2:$A$355,0))),""))</f>
        <v/>
      </c>
      <c r="AF44" s="35">
        <f>IF($AD44="",DATE(1900,1,1),$AD44)</f>
        <v/>
      </c>
      <c r="AG44" s="35">
        <f>IF($AE44="",DATE(2100,12,31),$AE44)</f>
        <v/>
      </c>
      <c r="AH44" s="22">
        <f>IF($C44="","",IFERROR(IF(INDEX(Deals!$AG$2:$AG$355,MATCH($C44,Deals!$A$2:$A$355,0))=0,"",INDEX(Deals!$AG$2:$AG$355,MATCH($C44,Deals!$A$2:$A$355,0))),""))</f>
        <v/>
      </c>
      <c r="AI44" s="35">
        <f>IF(OR($AH44&lt;&gt;"",AND($AO44&gt;0,$AD44&lt;&gt;"",$AE44&lt;&gt;"")),$AF44,DATE(1900,1,1))</f>
        <v/>
      </c>
      <c r="AJ44" s="35">
        <f>IF($AH44&lt;&gt;"",$AH44,IF(AND($AO44&gt;0,$AD44&lt;&gt;"",$AE44&lt;&gt;""),$AG44,DATE(2100,12,31)))</f>
        <v/>
      </c>
      <c r="AK44" s="32">
        <f>IF($AH44="",$AC44,$AC44*$S44)</f>
        <v/>
      </c>
      <c r="AL44" s="35">
        <f>IF($AH44="",DATE(2100,12,31),$AH44+1)</f>
        <v/>
      </c>
      <c r="AM44" s="35">
        <f>IF($AH44="",DATE(1900,1,1),$AG44)</f>
        <v/>
      </c>
      <c r="AN44" s="32">
        <f>IF($AH44="",0,$AC44*$T44)</f>
        <v/>
      </c>
      <c r="AO44" s="46">
        <f>IF($C44="",0,IFERROR(INDEX(Deals!$BD$2:$BD$355,MATCH($C44,Deals!$A$2:$A$355,0)),0))</f>
        <v/>
      </c>
      <c r="AP44" s="18">
        <f>IF($AO44=0,0,IFERROR(INDEX(Deals!$BJ$2:$BP$355,MATCH($C44,Deals!$A$2:$A$355,0),MATCH($F44,Deals!$BJ$1:$BP$1,0))/COUNTIFS(Assignments!$C$2:$C$769,$C44,Assignments!$F$2:$F$769,$F44,Assignments!$G$2:$G$769,"Active"),0))</f>
        <v/>
      </c>
    </row>
    <row r="45">
      <c r="A45" s="28" t="inlineStr">
        <is>
          <t>Tania</t>
        </is>
      </c>
      <c r="B45" s="16">
        <f>IF($A45="","",IFERROR(INDEX(Roster!$B$2:$B$40,MATCH($A45,Roster!$A$2:$A$40,0)),"?"))</f>
        <v/>
      </c>
      <c r="C45" s="28" t="inlineStr">
        <is>
          <t>Twister_1</t>
        </is>
      </c>
      <c r="D45" s="16">
        <f>IF($C45="","",IFERROR(IF(INDEX(Deals!$C$2:$C$355,MATCH($C45,Deals!$A$2:$A$355,0))=0,"",INDEX(Deals!$C$2:$C$355,MATCH($C45,Deals!$A$2:$A$355,0))),"?"))</f>
        <v/>
      </c>
      <c r="E45" s="16">
        <f>IF($C45="","",IFERROR(INDEX(Deals!$F$2:$F$355,MATCH($C45,Deals!$A$2:$A$355,0)),"?"))</f>
        <v/>
      </c>
      <c r="F45" s="28" t="inlineStr">
        <is>
          <t>Partner</t>
        </is>
      </c>
      <c r="G45" s="28" t="inlineStr">
        <is>
          <t>Active</t>
        </is>
      </c>
      <c r="H45" s="31" t="n"/>
      <c r="I45" s="32">
        <f>IF(OR($A45="",$G45&lt;&gt;"Active"),0,IF($H45&lt;&gt;"",$H45,IF($AO45&gt;0,$AP45,IF(AND($R45&lt;&gt;"",IFERROR(INDEX(Templates!$B$3:$H$10,MATCH($R45,Templates!$A$3:$A$10,0),MATCH($F45,Templates!$B$2:$H$2,0)),0)&gt;0),INDEX(Templates!$B$3:$H$10,MATCH($R45,Templates!$A$3:$A$10,0),MATCH($F45,Templates!$B$2:$H$2,0)),IFERROR(INDEX(Settings!$B$8:$B$14,MATCH($F45,Settings!$A$8:$A$14,0)),0)))))</f>
        <v/>
      </c>
      <c r="J45" s="21">
        <f>IF($C45="",0,IFERROR(INDEX(Deals!$H$2:$H$355,MATCH($C45,Deals!$A$2:$A$355,0)),0))</f>
        <v/>
      </c>
      <c r="K45" s="32">
        <f>IF(Settings!$B$4="Yes",$I45*$J45,$I45)</f>
        <v/>
      </c>
      <c r="L45" s="22">
        <f>IF($C45="","",IFERROR(IF(INDEX(Deals!$I$2:$I$355,MATCH($C45,Deals!$A$2:$A$355,0))=0,"",INDEX(Deals!$I$2:$I$355,MATCH($C45,Deals!$A$2:$A$355,0))),""))</f>
        <v/>
      </c>
      <c r="M45" s="22">
        <f>IF($C45="","",IFERROR(IF(INDEX(Deals!$J$2:$J$355,MATCH($C45,Deals!$A$2:$A$355,0))=0,"",INDEX(Deals!$J$2:$J$355,MATCH($C45,Deals!$A$2:$A$355,0))),""))</f>
        <v/>
      </c>
      <c r="N45" s="35">
        <f>IF($L45="",DATE(1900,1,1),$L45)</f>
        <v/>
      </c>
      <c r="O45" s="35">
        <f>IF($M45="",DATE(2100,12,31),$M45)</f>
        <v/>
      </c>
      <c r="P45" s="20" t="inlineStr"/>
      <c r="Q45" s="47" t="inlineStr"/>
      <c r="R45" s="16">
        <f>IF($C45="","",IFERROR(IF(INDEX(Deals!$U$2:$U$355,MATCH($C45,Deals!$A$2:$A$355,0))=0,"",INDEX(Deals!$U$2:$U$355,MATCH($C45,Deals!$A$2:$A$355,0))),""))</f>
        <v/>
      </c>
      <c r="S45" s="34">
        <f>IFERROR(IF($U45="",1,INDEX(Deals!$V$2:$V$355,MATCH($C45,Deals!$A$2:$A$355,0))),1)</f>
        <v/>
      </c>
      <c r="T45" s="34">
        <f>IFERROR(IF($U45="",1,INDEX(Deals!$W$2:$W$355,MATCH($C45,Deals!$A$2:$A$355,0))),1)</f>
        <v/>
      </c>
      <c r="U45" s="22">
        <f>IF($C45="","",IFERROR(IF(INDEX(Deals!$Y$2:$Y$355,MATCH($C45,Deals!$A$2:$A$355,0))=0,"",INDEX(Deals!$Y$2:$Y$355,MATCH($C45,Deals!$A$2:$A$355,0))),""))</f>
        <v/>
      </c>
      <c r="V45" s="35">
        <f>IF(OR($U45&lt;&gt;"",AND($AO45&gt;0,$L45&lt;&gt;"",$M45&lt;&gt;"")),$N45,DATE(1900,1,1))</f>
        <v/>
      </c>
      <c r="W45" s="35">
        <f>IF($U45&lt;&gt;"",$U45,IF(AND($AO45&gt;0,$L45&lt;&gt;"",$M45&lt;&gt;""),$O45,DATE(2100,12,31)))</f>
        <v/>
      </c>
      <c r="X45" s="32">
        <f>IF($U45="",$K45,$K45*$S45)</f>
        <v/>
      </c>
      <c r="Y45" s="35">
        <f>IF($U45="",DATE(2100,12,31),$U45+1)</f>
        <v/>
      </c>
      <c r="Z45" s="35">
        <f>IF($U45="",DATE(1900,1,1),$O45)</f>
        <v/>
      </c>
      <c r="AA45" s="32">
        <f>IF($U45="",0,$K45*$T45)</f>
        <v/>
      </c>
      <c r="AB45" s="21">
        <f>IF($C45="",0,IFERROR(INDEX(Deals!$AD$2:$AD$355,MATCH($C45,Deals!$A$2:$A$355,0)),0))</f>
        <v/>
      </c>
      <c r="AC45" s="32">
        <f>IF(Settings!$B$4="Yes",$I45*$AB45,$I45)</f>
        <v/>
      </c>
      <c r="AD45" s="22">
        <f>IF($C45="","",IFERROR(IF(INDEX(Deals!$AE$2:$AE$355,MATCH($C45,Deals!$A$2:$A$355,0))=0,"",INDEX(Deals!$AE$2:$AE$355,MATCH($C45,Deals!$A$2:$A$355,0))),""))</f>
        <v/>
      </c>
      <c r="AE45" s="22">
        <f>IF($C45="","",IFERROR(IF(INDEX(Deals!$AF$2:$AF$355,MATCH($C45,Deals!$A$2:$A$355,0))=0,"",INDEX(Deals!$AF$2:$AF$355,MATCH($C45,Deals!$A$2:$A$355,0))),""))</f>
        <v/>
      </c>
      <c r="AF45" s="35">
        <f>IF($AD45="",DATE(1900,1,1),$AD45)</f>
        <v/>
      </c>
      <c r="AG45" s="35">
        <f>IF($AE45="",DATE(2100,12,31),$AE45)</f>
        <v/>
      </c>
      <c r="AH45" s="22">
        <f>IF($C45="","",IFERROR(IF(INDEX(Deals!$AG$2:$AG$355,MATCH($C45,Deals!$A$2:$A$355,0))=0,"",INDEX(Deals!$AG$2:$AG$355,MATCH($C45,Deals!$A$2:$A$355,0))),""))</f>
        <v/>
      </c>
      <c r="AI45" s="35">
        <f>IF(OR($AH45&lt;&gt;"",AND($AO45&gt;0,$AD45&lt;&gt;"",$AE45&lt;&gt;"")),$AF45,DATE(1900,1,1))</f>
        <v/>
      </c>
      <c r="AJ45" s="35">
        <f>IF($AH45&lt;&gt;"",$AH45,IF(AND($AO45&gt;0,$AD45&lt;&gt;"",$AE45&lt;&gt;""),$AG45,DATE(2100,12,31)))</f>
        <v/>
      </c>
      <c r="AK45" s="32">
        <f>IF($AH45="",$AC45,$AC45*$S45)</f>
        <v/>
      </c>
      <c r="AL45" s="35">
        <f>IF($AH45="",DATE(2100,12,31),$AH45+1)</f>
        <v/>
      </c>
      <c r="AM45" s="35">
        <f>IF($AH45="",DATE(1900,1,1),$AG45)</f>
        <v/>
      </c>
      <c r="AN45" s="32">
        <f>IF($AH45="",0,$AC45*$T45)</f>
        <v/>
      </c>
      <c r="AO45" s="46">
        <f>IF($C45="",0,IFERROR(INDEX(Deals!$BD$2:$BD$355,MATCH($C45,Deals!$A$2:$A$355,0)),0))</f>
        <v/>
      </c>
      <c r="AP45" s="18">
        <f>IF($AO45=0,0,IFERROR(INDEX(Deals!$BJ$2:$BP$355,MATCH($C45,Deals!$A$2:$A$355,0),MATCH($F45,Deals!$BJ$1:$BP$1,0))/COUNTIFS(Assignments!$C$2:$C$769,$C45,Assignments!$F$2:$F$769,$F45,Assignments!$G$2:$G$769,"Active"),0))</f>
        <v/>
      </c>
    </row>
    <row r="46">
      <c r="A46" s="28" t="inlineStr">
        <is>
          <t>Tania</t>
        </is>
      </c>
      <c r="B46" s="16">
        <f>IF($A46="","",IFERROR(INDEX(Roster!$B$2:$B$40,MATCH($A46,Roster!$A$2:$A$40,0)),"?"))</f>
        <v/>
      </c>
      <c r="C46" s="28" t="inlineStr">
        <is>
          <t>Wheelhouse_2</t>
        </is>
      </c>
      <c r="D46" s="16">
        <f>IF($C46="","",IFERROR(IF(INDEX(Deals!$C$2:$C$355,MATCH($C46,Deals!$A$2:$A$355,0))=0,"",INDEX(Deals!$C$2:$C$355,MATCH($C46,Deals!$A$2:$A$355,0))),"?"))</f>
        <v/>
      </c>
      <c r="E46" s="16">
        <f>IF($C46="","",IFERROR(INDEX(Deals!$F$2:$F$355,MATCH($C46,Deals!$A$2:$A$355,0)),"?"))</f>
        <v/>
      </c>
      <c r="F46" s="28" t="inlineStr">
        <is>
          <t>Partner</t>
        </is>
      </c>
      <c r="G46" s="28" t="inlineStr">
        <is>
          <t>Inactive</t>
        </is>
      </c>
      <c r="H46" s="31" t="n"/>
      <c r="I46" s="32">
        <f>IF(OR($A46="",$G46&lt;&gt;"Active"),0,IF($H46&lt;&gt;"",$H46,IF($AO46&gt;0,$AP46,IF(AND($R46&lt;&gt;"",IFERROR(INDEX(Templates!$B$3:$H$10,MATCH($R46,Templates!$A$3:$A$10,0),MATCH($F46,Templates!$B$2:$H$2,0)),0)&gt;0),INDEX(Templates!$B$3:$H$10,MATCH($R46,Templates!$A$3:$A$10,0),MATCH($F46,Templates!$B$2:$H$2,0)),IFERROR(INDEX(Settings!$B$8:$B$14,MATCH($F46,Settings!$A$8:$A$14,0)),0)))))</f>
        <v/>
      </c>
      <c r="J46" s="21">
        <f>IF($C46="",0,IFERROR(INDEX(Deals!$H$2:$H$355,MATCH($C46,Deals!$A$2:$A$355,0)),0))</f>
        <v/>
      </c>
      <c r="K46" s="32">
        <f>IF(Settings!$B$4="Yes",$I46*$J46,$I46)</f>
        <v/>
      </c>
      <c r="L46" s="22">
        <f>IF($C46="","",IFERROR(IF(INDEX(Deals!$I$2:$I$355,MATCH($C46,Deals!$A$2:$A$355,0))=0,"",INDEX(Deals!$I$2:$I$355,MATCH($C46,Deals!$A$2:$A$355,0))),""))</f>
        <v/>
      </c>
      <c r="M46" s="22">
        <f>IF($C46="","",IFERROR(IF(INDEX(Deals!$J$2:$J$355,MATCH($C46,Deals!$A$2:$A$355,0))=0,"",INDEX(Deals!$J$2:$J$355,MATCH($C46,Deals!$A$2:$A$355,0))),""))</f>
        <v/>
      </c>
      <c r="N46" s="35">
        <f>IF($L46="",DATE(1900,1,1),$L46)</f>
        <v/>
      </c>
      <c r="O46" s="35">
        <f>IF($M46="",DATE(2100,12,31),$M46)</f>
        <v/>
      </c>
      <c r="P46" s="20" t="inlineStr"/>
      <c r="Q46" s="47" t="inlineStr">
        <is>
          <t>Deal lifecycle is Closed</t>
        </is>
      </c>
      <c r="R46" s="16">
        <f>IF($C46="","",IFERROR(IF(INDEX(Deals!$U$2:$U$355,MATCH($C46,Deals!$A$2:$A$355,0))=0,"",INDEX(Deals!$U$2:$U$355,MATCH($C46,Deals!$A$2:$A$355,0))),""))</f>
        <v/>
      </c>
      <c r="S46" s="34">
        <f>IFERROR(IF($U46="",1,INDEX(Deals!$V$2:$V$355,MATCH($C46,Deals!$A$2:$A$355,0))),1)</f>
        <v/>
      </c>
      <c r="T46" s="34">
        <f>IFERROR(IF($U46="",1,INDEX(Deals!$W$2:$W$355,MATCH($C46,Deals!$A$2:$A$355,0))),1)</f>
        <v/>
      </c>
      <c r="U46" s="22">
        <f>IF($C46="","",IFERROR(IF(INDEX(Deals!$Y$2:$Y$355,MATCH($C46,Deals!$A$2:$A$355,0))=0,"",INDEX(Deals!$Y$2:$Y$355,MATCH($C46,Deals!$A$2:$A$355,0))),""))</f>
        <v/>
      </c>
      <c r="V46" s="35">
        <f>IF(OR($U46&lt;&gt;"",AND($AO46&gt;0,$L46&lt;&gt;"",$M46&lt;&gt;"")),$N46,DATE(1900,1,1))</f>
        <v/>
      </c>
      <c r="W46" s="35">
        <f>IF($U46&lt;&gt;"",$U46,IF(AND($AO46&gt;0,$L46&lt;&gt;"",$M46&lt;&gt;""),$O46,DATE(2100,12,31)))</f>
        <v/>
      </c>
      <c r="X46" s="32">
        <f>IF($U46="",$K46,$K46*$S46)</f>
        <v/>
      </c>
      <c r="Y46" s="35">
        <f>IF($U46="",DATE(2100,12,31),$U46+1)</f>
        <v/>
      </c>
      <c r="Z46" s="35">
        <f>IF($U46="",DATE(1900,1,1),$O46)</f>
        <v/>
      </c>
      <c r="AA46" s="32">
        <f>IF($U46="",0,$K46*$T46)</f>
        <v/>
      </c>
      <c r="AB46" s="21">
        <f>IF($C46="",0,IFERROR(INDEX(Deals!$AD$2:$AD$355,MATCH($C46,Deals!$A$2:$A$355,0)),0))</f>
        <v/>
      </c>
      <c r="AC46" s="32">
        <f>IF(Settings!$B$4="Yes",$I46*$AB46,$I46)</f>
        <v/>
      </c>
      <c r="AD46" s="22">
        <f>IF($C46="","",IFERROR(IF(INDEX(Deals!$AE$2:$AE$355,MATCH($C46,Deals!$A$2:$A$355,0))=0,"",INDEX(Deals!$AE$2:$AE$355,MATCH($C46,Deals!$A$2:$A$355,0))),""))</f>
        <v/>
      </c>
      <c r="AE46" s="22">
        <f>IF($C46="","",IFERROR(IF(INDEX(Deals!$AF$2:$AF$355,MATCH($C46,Deals!$A$2:$A$355,0))=0,"",INDEX(Deals!$AF$2:$AF$355,MATCH($C46,Deals!$A$2:$A$355,0))),""))</f>
        <v/>
      </c>
      <c r="AF46" s="35">
        <f>IF($AD46="",DATE(1900,1,1),$AD46)</f>
        <v/>
      </c>
      <c r="AG46" s="35">
        <f>IF($AE46="",DATE(2100,12,31),$AE46)</f>
        <v/>
      </c>
      <c r="AH46" s="22">
        <f>IF($C46="","",IFERROR(IF(INDEX(Deals!$AG$2:$AG$355,MATCH($C46,Deals!$A$2:$A$355,0))=0,"",INDEX(Deals!$AG$2:$AG$355,MATCH($C46,Deals!$A$2:$A$355,0))),""))</f>
        <v/>
      </c>
      <c r="AI46" s="35">
        <f>IF(OR($AH46&lt;&gt;"",AND($AO46&gt;0,$AD46&lt;&gt;"",$AE46&lt;&gt;"")),$AF46,DATE(1900,1,1))</f>
        <v/>
      </c>
      <c r="AJ46" s="35">
        <f>IF($AH46&lt;&gt;"",$AH46,IF(AND($AO46&gt;0,$AD46&lt;&gt;"",$AE46&lt;&gt;""),$AG46,DATE(2100,12,31)))</f>
        <v/>
      </c>
      <c r="AK46" s="32">
        <f>IF($AH46="",$AC46,$AC46*$S46)</f>
        <v/>
      </c>
      <c r="AL46" s="35">
        <f>IF($AH46="",DATE(2100,12,31),$AH46+1)</f>
        <v/>
      </c>
      <c r="AM46" s="35">
        <f>IF($AH46="",DATE(1900,1,1),$AG46)</f>
        <v/>
      </c>
      <c r="AN46" s="32">
        <f>IF($AH46="",0,$AC46*$T46)</f>
        <v/>
      </c>
      <c r="AO46" s="46">
        <f>IF($C46="",0,IFERROR(INDEX(Deals!$BD$2:$BD$355,MATCH($C46,Deals!$A$2:$A$355,0)),0))</f>
        <v/>
      </c>
      <c r="AP46" s="18">
        <f>IF($AO46=0,0,IFERROR(INDEX(Deals!$BJ$2:$BP$355,MATCH($C46,Deals!$A$2:$A$355,0),MATCH($F46,Deals!$BJ$1:$BP$1,0))/COUNTIFS(Assignments!$C$2:$C$769,$C46,Assignments!$F$2:$F$769,$F46,Assignments!$G$2:$G$769,"Active"),0))</f>
        <v/>
      </c>
    </row>
    <row r="47">
      <c r="A47" s="28" t="inlineStr">
        <is>
          <t>Tania</t>
        </is>
      </c>
      <c r="B47" s="16">
        <f>IF($A47="","",IFERROR(INDEX(Roster!$B$2:$B$40,MATCH($A47,Roster!$A$2:$A$40,0)),"?"))</f>
        <v/>
      </c>
      <c r="C47" s="28" t="inlineStr">
        <is>
          <t>Wind_3</t>
        </is>
      </c>
      <c r="D47" s="16">
        <f>IF($C47="","",IFERROR(IF(INDEX(Deals!$C$2:$C$355,MATCH($C47,Deals!$A$2:$A$355,0))=0,"",INDEX(Deals!$C$2:$C$355,MATCH($C47,Deals!$A$2:$A$355,0))),"?"))</f>
        <v/>
      </c>
      <c r="E47" s="16">
        <f>IF($C47="","",IFERROR(INDEX(Deals!$F$2:$F$355,MATCH($C47,Deals!$A$2:$A$355,0)),"?"))</f>
        <v/>
      </c>
      <c r="F47" s="28" t="inlineStr">
        <is>
          <t>Partner</t>
        </is>
      </c>
      <c r="G47" s="28" t="inlineStr">
        <is>
          <t>Active</t>
        </is>
      </c>
      <c r="H47" s="31" t="n"/>
      <c r="I47" s="32">
        <f>IF(OR($A47="",$G47&lt;&gt;"Active"),0,IF($H47&lt;&gt;"",$H47,IF($AO47&gt;0,$AP47,IF(AND($R47&lt;&gt;"",IFERROR(INDEX(Templates!$B$3:$H$10,MATCH($R47,Templates!$A$3:$A$10,0),MATCH($F47,Templates!$B$2:$H$2,0)),0)&gt;0),INDEX(Templates!$B$3:$H$10,MATCH($R47,Templates!$A$3:$A$10,0),MATCH($F47,Templates!$B$2:$H$2,0)),IFERROR(INDEX(Settings!$B$8:$B$14,MATCH($F47,Settings!$A$8:$A$14,0)),0)))))</f>
        <v/>
      </c>
      <c r="J47" s="21">
        <f>IF($C47="",0,IFERROR(INDEX(Deals!$H$2:$H$355,MATCH($C47,Deals!$A$2:$A$355,0)),0))</f>
        <v/>
      </c>
      <c r="K47" s="32">
        <f>IF(Settings!$B$4="Yes",$I47*$J47,$I47)</f>
        <v/>
      </c>
      <c r="L47" s="22">
        <f>IF($C47="","",IFERROR(IF(INDEX(Deals!$I$2:$I$355,MATCH($C47,Deals!$A$2:$A$355,0))=0,"",INDEX(Deals!$I$2:$I$355,MATCH($C47,Deals!$A$2:$A$355,0))),""))</f>
        <v/>
      </c>
      <c r="M47" s="22">
        <f>IF($C47="","",IFERROR(IF(INDEX(Deals!$J$2:$J$355,MATCH($C47,Deals!$A$2:$A$355,0))=0,"",INDEX(Deals!$J$2:$J$355,MATCH($C47,Deals!$A$2:$A$355,0))),""))</f>
        <v/>
      </c>
      <c r="N47" s="35">
        <f>IF($L47="",DATE(1900,1,1),$L47)</f>
        <v/>
      </c>
      <c r="O47" s="35">
        <f>IF($M47="",DATE(2100,12,31),$M47)</f>
        <v/>
      </c>
      <c r="P47" s="20" t="inlineStr"/>
      <c r="Q47" s="47" t="inlineStr"/>
      <c r="R47" s="16">
        <f>IF($C47="","",IFERROR(IF(INDEX(Deals!$U$2:$U$355,MATCH($C47,Deals!$A$2:$A$355,0))=0,"",INDEX(Deals!$U$2:$U$355,MATCH($C47,Deals!$A$2:$A$355,0))),""))</f>
        <v/>
      </c>
      <c r="S47" s="34">
        <f>IFERROR(IF($U47="",1,INDEX(Deals!$V$2:$V$355,MATCH($C47,Deals!$A$2:$A$355,0))),1)</f>
        <v/>
      </c>
      <c r="T47" s="34">
        <f>IFERROR(IF($U47="",1,INDEX(Deals!$W$2:$W$355,MATCH($C47,Deals!$A$2:$A$355,0))),1)</f>
        <v/>
      </c>
      <c r="U47" s="22">
        <f>IF($C47="","",IFERROR(IF(INDEX(Deals!$Y$2:$Y$355,MATCH($C47,Deals!$A$2:$A$355,0))=0,"",INDEX(Deals!$Y$2:$Y$355,MATCH($C47,Deals!$A$2:$A$355,0))),""))</f>
        <v/>
      </c>
      <c r="V47" s="35">
        <f>IF(OR($U47&lt;&gt;"",AND($AO47&gt;0,$L47&lt;&gt;"",$M47&lt;&gt;"")),$N47,DATE(1900,1,1))</f>
        <v/>
      </c>
      <c r="W47" s="35">
        <f>IF($U47&lt;&gt;"",$U47,IF(AND($AO47&gt;0,$L47&lt;&gt;"",$M47&lt;&gt;""),$O47,DATE(2100,12,31)))</f>
        <v/>
      </c>
      <c r="X47" s="32">
        <f>IF($U47="",$K47,$K47*$S47)</f>
        <v/>
      </c>
      <c r="Y47" s="35">
        <f>IF($U47="",DATE(2100,12,31),$U47+1)</f>
        <v/>
      </c>
      <c r="Z47" s="35">
        <f>IF($U47="",DATE(1900,1,1),$O47)</f>
        <v/>
      </c>
      <c r="AA47" s="32">
        <f>IF($U47="",0,$K47*$T47)</f>
        <v/>
      </c>
      <c r="AB47" s="21">
        <f>IF($C47="",0,IFERROR(INDEX(Deals!$AD$2:$AD$355,MATCH($C47,Deals!$A$2:$A$355,0)),0))</f>
        <v/>
      </c>
      <c r="AC47" s="32">
        <f>IF(Settings!$B$4="Yes",$I47*$AB47,$I47)</f>
        <v/>
      </c>
      <c r="AD47" s="22">
        <f>IF($C47="","",IFERROR(IF(INDEX(Deals!$AE$2:$AE$355,MATCH($C47,Deals!$A$2:$A$355,0))=0,"",INDEX(Deals!$AE$2:$AE$355,MATCH($C47,Deals!$A$2:$A$355,0))),""))</f>
        <v/>
      </c>
      <c r="AE47" s="22">
        <f>IF($C47="","",IFERROR(IF(INDEX(Deals!$AF$2:$AF$355,MATCH($C47,Deals!$A$2:$A$355,0))=0,"",INDEX(Deals!$AF$2:$AF$355,MATCH($C47,Deals!$A$2:$A$355,0))),""))</f>
        <v/>
      </c>
      <c r="AF47" s="35">
        <f>IF($AD47="",DATE(1900,1,1),$AD47)</f>
        <v/>
      </c>
      <c r="AG47" s="35">
        <f>IF($AE47="",DATE(2100,12,31),$AE47)</f>
        <v/>
      </c>
      <c r="AH47" s="22">
        <f>IF($C47="","",IFERROR(IF(INDEX(Deals!$AG$2:$AG$355,MATCH($C47,Deals!$A$2:$A$355,0))=0,"",INDEX(Deals!$AG$2:$AG$355,MATCH($C47,Deals!$A$2:$A$355,0))),""))</f>
        <v/>
      </c>
      <c r="AI47" s="35">
        <f>IF(OR($AH47&lt;&gt;"",AND($AO47&gt;0,$AD47&lt;&gt;"",$AE47&lt;&gt;"")),$AF47,DATE(1900,1,1))</f>
        <v/>
      </c>
      <c r="AJ47" s="35">
        <f>IF($AH47&lt;&gt;"",$AH47,IF(AND($AO47&gt;0,$AD47&lt;&gt;"",$AE47&lt;&gt;""),$AG47,DATE(2100,12,31)))</f>
        <v/>
      </c>
      <c r="AK47" s="32">
        <f>IF($AH47="",$AC47,$AC47*$S47)</f>
        <v/>
      </c>
      <c r="AL47" s="35">
        <f>IF($AH47="",DATE(2100,12,31),$AH47+1)</f>
        <v/>
      </c>
      <c r="AM47" s="35">
        <f>IF($AH47="",DATE(1900,1,1),$AG47)</f>
        <v/>
      </c>
      <c r="AN47" s="32">
        <f>IF($AH47="",0,$AC47*$T47)</f>
        <v/>
      </c>
      <c r="AO47" s="46">
        <f>IF($C47="",0,IFERROR(INDEX(Deals!$BD$2:$BD$355,MATCH($C47,Deals!$A$2:$A$355,0)),0))</f>
        <v/>
      </c>
      <c r="AP47" s="18">
        <f>IF($AO47=0,0,IFERROR(INDEX(Deals!$BJ$2:$BP$355,MATCH($C47,Deals!$A$2:$A$355,0),MATCH($F47,Deals!$BJ$1:$BP$1,0))/COUNTIFS(Assignments!$C$2:$C$769,$C47,Assignments!$F$2:$F$769,$F47,Assignments!$G$2:$G$769,"Active"),0))</f>
        <v/>
      </c>
    </row>
    <row r="48">
      <c r="A48" s="28" t="inlineStr">
        <is>
          <t>Tania</t>
        </is>
      </c>
      <c r="B48" s="16">
        <f>IF($A48="","",IFERROR(INDEX(Roster!$B$2:$B$40,MATCH($A48,Roster!$A$2:$A$40,0)),"?"))</f>
        <v/>
      </c>
      <c r="C48" s="28" t="inlineStr">
        <is>
          <t>Zeus_2</t>
        </is>
      </c>
      <c r="D48" s="16">
        <f>IF($C48="","",IFERROR(IF(INDEX(Deals!$C$2:$C$355,MATCH($C48,Deals!$A$2:$A$355,0))=0,"",INDEX(Deals!$C$2:$C$355,MATCH($C48,Deals!$A$2:$A$355,0))),"?"))</f>
        <v/>
      </c>
      <c r="E48" s="16">
        <f>IF($C48="","",IFERROR(INDEX(Deals!$F$2:$F$355,MATCH($C48,Deals!$A$2:$A$355,0)),"?"))</f>
        <v/>
      </c>
      <c r="F48" s="28" t="inlineStr">
        <is>
          <t>Partner</t>
        </is>
      </c>
      <c r="G48" s="28" t="inlineStr">
        <is>
          <t>Active</t>
        </is>
      </c>
      <c r="H48" s="31" t="n"/>
      <c r="I48" s="32">
        <f>IF(OR($A48="",$G48&lt;&gt;"Active"),0,IF($H48&lt;&gt;"",$H48,IF($AO48&gt;0,$AP48,IF(AND($R48&lt;&gt;"",IFERROR(INDEX(Templates!$B$3:$H$10,MATCH($R48,Templates!$A$3:$A$10,0),MATCH($F48,Templates!$B$2:$H$2,0)),0)&gt;0),INDEX(Templates!$B$3:$H$10,MATCH($R48,Templates!$A$3:$A$10,0),MATCH($F48,Templates!$B$2:$H$2,0)),IFERROR(INDEX(Settings!$B$8:$B$14,MATCH($F48,Settings!$A$8:$A$14,0)),0)))))</f>
        <v/>
      </c>
      <c r="J48" s="21">
        <f>IF($C48="",0,IFERROR(INDEX(Deals!$H$2:$H$355,MATCH($C48,Deals!$A$2:$A$355,0)),0))</f>
        <v/>
      </c>
      <c r="K48" s="32">
        <f>IF(Settings!$B$4="Yes",$I48*$J48,$I48)</f>
        <v/>
      </c>
      <c r="L48" s="22">
        <f>IF($C48="","",IFERROR(IF(INDEX(Deals!$I$2:$I$355,MATCH($C48,Deals!$A$2:$A$355,0))=0,"",INDEX(Deals!$I$2:$I$355,MATCH($C48,Deals!$A$2:$A$355,0))),""))</f>
        <v/>
      </c>
      <c r="M48" s="22">
        <f>IF($C48="","",IFERROR(IF(INDEX(Deals!$J$2:$J$355,MATCH($C48,Deals!$A$2:$A$355,0))=0,"",INDEX(Deals!$J$2:$J$355,MATCH($C48,Deals!$A$2:$A$355,0))),""))</f>
        <v/>
      </c>
      <c r="N48" s="35">
        <f>IF($L48="",DATE(1900,1,1),$L48)</f>
        <v/>
      </c>
      <c r="O48" s="35">
        <f>IF($M48="",DATE(2100,12,31),$M48)</f>
        <v/>
      </c>
      <c r="P48" s="20" t="inlineStr"/>
      <c r="Q48" s="47" t="inlineStr"/>
      <c r="R48" s="16">
        <f>IF($C48="","",IFERROR(IF(INDEX(Deals!$U$2:$U$355,MATCH($C48,Deals!$A$2:$A$355,0))=0,"",INDEX(Deals!$U$2:$U$355,MATCH($C48,Deals!$A$2:$A$355,0))),""))</f>
        <v/>
      </c>
      <c r="S48" s="34">
        <f>IFERROR(IF($U48="",1,INDEX(Deals!$V$2:$V$355,MATCH($C48,Deals!$A$2:$A$355,0))),1)</f>
        <v/>
      </c>
      <c r="T48" s="34">
        <f>IFERROR(IF($U48="",1,INDEX(Deals!$W$2:$W$355,MATCH($C48,Deals!$A$2:$A$355,0))),1)</f>
        <v/>
      </c>
      <c r="U48" s="22">
        <f>IF($C48="","",IFERROR(IF(INDEX(Deals!$Y$2:$Y$355,MATCH($C48,Deals!$A$2:$A$355,0))=0,"",INDEX(Deals!$Y$2:$Y$355,MATCH($C48,Deals!$A$2:$A$355,0))),""))</f>
        <v/>
      </c>
      <c r="V48" s="35">
        <f>IF(OR($U48&lt;&gt;"",AND($AO48&gt;0,$L48&lt;&gt;"",$M48&lt;&gt;"")),$N48,DATE(1900,1,1))</f>
        <v/>
      </c>
      <c r="W48" s="35">
        <f>IF($U48&lt;&gt;"",$U48,IF(AND($AO48&gt;0,$L48&lt;&gt;"",$M48&lt;&gt;""),$O48,DATE(2100,12,31)))</f>
        <v/>
      </c>
      <c r="X48" s="32">
        <f>IF($U48="",$K48,$K48*$S48)</f>
        <v/>
      </c>
      <c r="Y48" s="35">
        <f>IF($U48="",DATE(2100,12,31),$U48+1)</f>
        <v/>
      </c>
      <c r="Z48" s="35">
        <f>IF($U48="",DATE(1900,1,1),$O48)</f>
        <v/>
      </c>
      <c r="AA48" s="32">
        <f>IF($U48="",0,$K48*$T48)</f>
        <v/>
      </c>
      <c r="AB48" s="21">
        <f>IF($C48="",0,IFERROR(INDEX(Deals!$AD$2:$AD$355,MATCH($C48,Deals!$A$2:$A$355,0)),0))</f>
        <v/>
      </c>
      <c r="AC48" s="32">
        <f>IF(Settings!$B$4="Yes",$I48*$AB48,$I48)</f>
        <v/>
      </c>
      <c r="AD48" s="22">
        <f>IF($C48="","",IFERROR(IF(INDEX(Deals!$AE$2:$AE$355,MATCH($C48,Deals!$A$2:$A$355,0))=0,"",INDEX(Deals!$AE$2:$AE$355,MATCH($C48,Deals!$A$2:$A$355,0))),""))</f>
        <v/>
      </c>
      <c r="AE48" s="22">
        <f>IF($C48="","",IFERROR(IF(INDEX(Deals!$AF$2:$AF$355,MATCH($C48,Deals!$A$2:$A$355,0))=0,"",INDEX(Deals!$AF$2:$AF$355,MATCH($C48,Deals!$A$2:$A$355,0))),""))</f>
        <v/>
      </c>
      <c r="AF48" s="35">
        <f>IF($AD48="",DATE(1900,1,1),$AD48)</f>
        <v/>
      </c>
      <c r="AG48" s="35">
        <f>IF($AE48="",DATE(2100,12,31),$AE48)</f>
        <v/>
      </c>
      <c r="AH48" s="22">
        <f>IF($C48="","",IFERROR(IF(INDEX(Deals!$AG$2:$AG$355,MATCH($C48,Deals!$A$2:$A$355,0))=0,"",INDEX(Deals!$AG$2:$AG$355,MATCH($C48,Deals!$A$2:$A$355,0))),""))</f>
        <v/>
      </c>
      <c r="AI48" s="35">
        <f>IF(OR($AH48&lt;&gt;"",AND($AO48&gt;0,$AD48&lt;&gt;"",$AE48&lt;&gt;"")),$AF48,DATE(1900,1,1))</f>
        <v/>
      </c>
      <c r="AJ48" s="35">
        <f>IF($AH48&lt;&gt;"",$AH48,IF(AND($AO48&gt;0,$AD48&lt;&gt;"",$AE48&lt;&gt;""),$AG48,DATE(2100,12,31)))</f>
        <v/>
      </c>
      <c r="AK48" s="32">
        <f>IF($AH48="",$AC48,$AC48*$S48)</f>
        <v/>
      </c>
      <c r="AL48" s="35">
        <f>IF($AH48="",DATE(2100,12,31),$AH48+1)</f>
        <v/>
      </c>
      <c r="AM48" s="35">
        <f>IF($AH48="",DATE(1900,1,1),$AG48)</f>
        <v/>
      </c>
      <c r="AN48" s="32">
        <f>IF($AH48="",0,$AC48*$T48)</f>
        <v/>
      </c>
      <c r="AO48" s="46">
        <f>IF($C48="",0,IFERROR(INDEX(Deals!$BD$2:$BD$355,MATCH($C48,Deals!$A$2:$A$355,0)),0))</f>
        <v/>
      </c>
      <c r="AP48" s="18">
        <f>IF($AO48=0,0,IFERROR(INDEX(Deals!$BJ$2:$BP$355,MATCH($C48,Deals!$A$2:$A$355,0),MATCH($F48,Deals!$BJ$1:$BP$1,0))/COUNTIFS(Assignments!$C$2:$C$769,$C48,Assignments!$F$2:$F$769,$F48,Assignments!$G$2:$G$769,"Active"),0))</f>
        <v/>
      </c>
    </row>
    <row r="49">
      <c r="A49" s="28" t="inlineStr">
        <is>
          <t>John</t>
        </is>
      </c>
      <c r="B49" s="16">
        <f>IF($A49="","",IFERROR(INDEX(Roster!$B$2:$B$40,MATCH($A49,Roster!$A$2:$A$40,0)),"?"))</f>
        <v/>
      </c>
      <c r="C49" s="28" t="inlineStr">
        <is>
          <t>80/20 Assistance_1</t>
        </is>
      </c>
      <c r="D49" s="16">
        <f>IF($C49="","",IFERROR(IF(INDEX(Deals!$C$2:$C$355,MATCH($C49,Deals!$A$2:$A$355,0))=0,"",INDEX(Deals!$C$2:$C$355,MATCH($C49,Deals!$A$2:$A$355,0))),"?"))</f>
        <v/>
      </c>
      <c r="E49" s="16">
        <f>IF($C49="","",IFERROR(INDEX(Deals!$F$2:$F$355,MATCH($C49,Deals!$A$2:$A$355,0)),"?"))</f>
        <v/>
      </c>
      <c r="F49" s="28" t="inlineStr">
        <is>
          <t>Partner</t>
        </is>
      </c>
      <c r="G49" s="28" t="inlineStr">
        <is>
          <t>Active</t>
        </is>
      </c>
      <c r="H49" s="31" t="n"/>
      <c r="I49" s="32">
        <f>IF(OR($A49="",$G49&lt;&gt;"Active"),0,IF($H49&lt;&gt;"",$H49,IF($AO49&gt;0,$AP49,IF(AND($R49&lt;&gt;"",IFERROR(INDEX(Templates!$B$3:$H$10,MATCH($R49,Templates!$A$3:$A$10,0),MATCH($F49,Templates!$B$2:$H$2,0)),0)&gt;0),INDEX(Templates!$B$3:$H$10,MATCH($R49,Templates!$A$3:$A$10,0),MATCH($F49,Templates!$B$2:$H$2,0)),IFERROR(INDEX(Settings!$B$8:$B$14,MATCH($F49,Settings!$A$8:$A$14,0)),0)))))</f>
        <v/>
      </c>
      <c r="J49" s="21">
        <f>IF($C49="",0,IFERROR(INDEX(Deals!$H$2:$H$355,MATCH($C49,Deals!$A$2:$A$355,0)),0))</f>
        <v/>
      </c>
      <c r="K49" s="32">
        <f>IF(Settings!$B$4="Yes",$I49*$J49,$I49)</f>
        <v/>
      </c>
      <c r="L49" s="22">
        <f>IF($C49="","",IFERROR(IF(INDEX(Deals!$I$2:$I$355,MATCH($C49,Deals!$A$2:$A$355,0))=0,"",INDEX(Deals!$I$2:$I$355,MATCH($C49,Deals!$A$2:$A$355,0))),""))</f>
        <v/>
      </c>
      <c r="M49" s="22">
        <f>IF($C49="","",IFERROR(IF(INDEX(Deals!$J$2:$J$355,MATCH($C49,Deals!$A$2:$A$355,0))=0,"",INDEX(Deals!$J$2:$J$355,MATCH($C49,Deals!$A$2:$A$355,0))),""))</f>
        <v/>
      </c>
      <c r="N49" s="35">
        <f>IF($L49="",DATE(1900,1,1),$L49)</f>
        <v/>
      </c>
      <c r="O49" s="35">
        <f>IF($M49="",DATE(2100,12,31),$M49)</f>
        <v/>
      </c>
      <c r="P49" s="20" t="inlineStr"/>
      <c r="Q49" s="47" t="inlineStr"/>
      <c r="R49" s="16">
        <f>IF($C49="","",IFERROR(IF(INDEX(Deals!$U$2:$U$355,MATCH($C49,Deals!$A$2:$A$355,0))=0,"",INDEX(Deals!$U$2:$U$355,MATCH($C49,Deals!$A$2:$A$355,0))),""))</f>
        <v/>
      </c>
      <c r="S49" s="34">
        <f>IFERROR(IF($U49="",1,INDEX(Deals!$V$2:$V$355,MATCH($C49,Deals!$A$2:$A$355,0))),1)</f>
        <v/>
      </c>
      <c r="T49" s="34">
        <f>IFERROR(IF($U49="",1,INDEX(Deals!$W$2:$W$355,MATCH($C49,Deals!$A$2:$A$355,0))),1)</f>
        <v/>
      </c>
      <c r="U49" s="22">
        <f>IF($C49="","",IFERROR(IF(INDEX(Deals!$Y$2:$Y$355,MATCH($C49,Deals!$A$2:$A$355,0))=0,"",INDEX(Deals!$Y$2:$Y$355,MATCH($C49,Deals!$A$2:$A$355,0))),""))</f>
        <v/>
      </c>
      <c r="V49" s="35">
        <f>IF(OR($U49&lt;&gt;"",AND($AO49&gt;0,$L49&lt;&gt;"",$M49&lt;&gt;"")),$N49,DATE(1900,1,1))</f>
        <v/>
      </c>
      <c r="W49" s="35">
        <f>IF($U49&lt;&gt;"",$U49,IF(AND($AO49&gt;0,$L49&lt;&gt;"",$M49&lt;&gt;""),$O49,DATE(2100,12,31)))</f>
        <v/>
      </c>
      <c r="X49" s="32">
        <f>IF($U49="",$K49,$K49*$S49)</f>
        <v/>
      </c>
      <c r="Y49" s="35">
        <f>IF($U49="",DATE(2100,12,31),$U49+1)</f>
        <v/>
      </c>
      <c r="Z49" s="35">
        <f>IF($U49="",DATE(1900,1,1),$O49)</f>
        <v/>
      </c>
      <c r="AA49" s="32">
        <f>IF($U49="",0,$K49*$T49)</f>
        <v/>
      </c>
      <c r="AB49" s="21">
        <f>IF($C49="",0,IFERROR(INDEX(Deals!$AD$2:$AD$355,MATCH($C49,Deals!$A$2:$A$355,0)),0))</f>
        <v/>
      </c>
      <c r="AC49" s="32">
        <f>IF(Settings!$B$4="Yes",$I49*$AB49,$I49)</f>
        <v/>
      </c>
      <c r="AD49" s="22">
        <f>IF($C49="","",IFERROR(IF(INDEX(Deals!$AE$2:$AE$355,MATCH($C49,Deals!$A$2:$A$355,0))=0,"",INDEX(Deals!$AE$2:$AE$355,MATCH($C49,Deals!$A$2:$A$355,0))),""))</f>
        <v/>
      </c>
      <c r="AE49" s="22">
        <f>IF($C49="","",IFERROR(IF(INDEX(Deals!$AF$2:$AF$355,MATCH($C49,Deals!$A$2:$A$355,0))=0,"",INDEX(Deals!$AF$2:$AF$355,MATCH($C49,Deals!$A$2:$A$355,0))),""))</f>
        <v/>
      </c>
      <c r="AF49" s="35">
        <f>IF($AD49="",DATE(1900,1,1),$AD49)</f>
        <v/>
      </c>
      <c r="AG49" s="35">
        <f>IF($AE49="",DATE(2100,12,31),$AE49)</f>
        <v/>
      </c>
      <c r="AH49" s="22">
        <f>IF($C49="","",IFERROR(IF(INDEX(Deals!$AG$2:$AG$355,MATCH($C49,Deals!$A$2:$A$355,0))=0,"",INDEX(Deals!$AG$2:$AG$355,MATCH($C49,Deals!$A$2:$A$355,0))),""))</f>
        <v/>
      </c>
      <c r="AI49" s="35">
        <f>IF(OR($AH49&lt;&gt;"",AND($AO49&gt;0,$AD49&lt;&gt;"",$AE49&lt;&gt;"")),$AF49,DATE(1900,1,1))</f>
        <v/>
      </c>
      <c r="AJ49" s="35">
        <f>IF($AH49&lt;&gt;"",$AH49,IF(AND($AO49&gt;0,$AD49&lt;&gt;"",$AE49&lt;&gt;""),$AG49,DATE(2100,12,31)))</f>
        <v/>
      </c>
      <c r="AK49" s="32">
        <f>IF($AH49="",$AC49,$AC49*$S49)</f>
        <v/>
      </c>
      <c r="AL49" s="35">
        <f>IF($AH49="",DATE(2100,12,31),$AH49+1)</f>
        <v/>
      </c>
      <c r="AM49" s="35">
        <f>IF($AH49="",DATE(1900,1,1),$AG49)</f>
        <v/>
      </c>
      <c r="AN49" s="32">
        <f>IF($AH49="",0,$AC49*$T49)</f>
        <v/>
      </c>
      <c r="AO49" s="46">
        <f>IF($C49="",0,IFERROR(INDEX(Deals!$BD$2:$BD$355,MATCH($C49,Deals!$A$2:$A$355,0)),0))</f>
        <v/>
      </c>
      <c r="AP49" s="18">
        <f>IF($AO49=0,0,IFERROR(INDEX(Deals!$BJ$2:$BP$355,MATCH($C49,Deals!$A$2:$A$355,0),MATCH($F49,Deals!$BJ$1:$BP$1,0))/COUNTIFS(Assignments!$C$2:$C$769,$C49,Assignments!$F$2:$F$769,$F49,Assignments!$G$2:$G$769,"Active"),0))</f>
        <v/>
      </c>
    </row>
    <row r="50">
      <c r="A50" s="28" t="inlineStr">
        <is>
          <t>John</t>
        </is>
      </c>
      <c r="B50" s="16">
        <f>IF($A50="","",IFERROR(INDEX(Roster!$B$2:$B$40,MATCH($A50,Roster!$A$2:$A$40,0)),"?"))</f>
        <v/>
      </c>
      <c r="C50" s="28" t="inlineStr">
        <is>
          <t>AIM_5</t>
        </is>
      </c>
      <c r="D50" s="16">
        <f>IF($C50="","",IFERROR(IF(INDEX(Deals!$C$2:$C$355,MATCH($C50,Deals!$A$2:$A$355,0))=0,"",INDEX(Deals!$C$2:$C$355,MATCH($C50,Deals!$A$2:$A$355,0))),"?"))</f>
        <v/>
      </c>
      <c r="E50" s="16">
        <f>IF($C50="","",IFERROR(INDEX(Deals!$F$2:$F$355,MATCH($C50,Deals!$A$2:$A$355,0)),"?"))</f>
        <v/>
      </c>
      <c r="F50" s="28" t="inlineStr">
        <is>
          <t>Partner</t>
        </is>
      </c>
      <c r="G50" s="28" t="inlineStr">
        <is>
          <t>Active</t>
        </is>
      </c>
      <c r="H50" s="31" t="n"/>
      <c r="I50" s="32">
        <f>IF(OR($A50="",$G50&lt;&gt;"Active"),0,IF($H50&lt;&gt;"",$H50,IF($AO50&gt;0,$AP50,IF(AND($R50&lt;&gt;"",IFERROR(INDEX(Templates!$B$3:$H$10,MATCH($R50,Templates!$A$3:$A$10,0),MATCH($F50,Templates!$B$2:$H$2,0)),0)&gt;0),INDEX(Templates!$B$3:$H$10,MATCH($R50,Templates!$A$3:$A$10,0),MATCH($F50,Templates!$B$2:$H$2,0)),IFERROR(INDEX(Settings!$B$8:$B$14,MATCH($F50,Settings!$A$8:$A$14,0)),0)))))</f>
        <v/>
      </c>
      <c r="J50" s="21">
        <f>IF($C50="",0,IFERROR(INDEX(Deals!$H$2:$H$355,MATCH($C50,Deals!$A$2:$A$355,0)),0))</f>
        <v/>
      </c>
      <c r="K50" s="32">
        <f>IF(Settings!$B$4="Yes",$I50*$J50,$I50)</f>
        <v/>
      </c>
      <c r="L50" s="22">
        <f>IF($C50="","",IFERROR(IF(INDEX(Deals!$I$2:$I$355,MATCH($C50,Deals!$A$2:$A$355,0))=0,"",INDEX(Deals!$I$2:$I$355,MATCH($C50,Deals!$A$2:$A$355,0))),""))</f>
        <v/>
      </c>
      <c r="M50" s="22">
        <f>IF($C50="","",IFERROR(IF(INDEX(Deals!$J$2:$J$355,MATCH($C50,Deals!$A$2:$A$355,0))=0,"",INDEX(Deals!$J$2:$J$355,MATCH($C50,Deals!$A$2:$A$355,0))),""))</f>
        <v/>
      </c>
      <c r="N50" s="35">
        <f>IF($L50="",DATE(1900,1,1),$L50)</f>
        <v/>
      </c>
      <c r="O50" s="35">
        <f>IF($M50="",DATE(2100,12,31),$M50)</f>
        <v/>
      </c>
      <c r="P50" s="20" t="inlineStr"/>
      <c r="Q50" s="47" t="inlineStr"/>
      <c r="R50" s="16">
        <f>IF($C50="","",IFERROR(IF(INDEX(Deals!$U$2:$U$355,MATCH($C50,Deals!$A$2:$A$355,0))=0,"",INDEX(Deals!$U$2:$U$355,MATCH($C50,Deals!$A$2:$A$355,0))),""))</f>
        <v/>
      </c>
      <c r="S50" s="34">
        <f>IFERROR(IF($U50="",1,INDEX(Deals!$V$2:$V$355,MATCH($C50,Deals!$A$2:$A$355,0))),1)</f>
        <v/>
      </c>
      <c r="T50" s="34">
        <f>IFERROR(IF($U50="",1,INDEX(Deals!$W$2:$W$355,MATCH($C50,Deals!$A$2:$A$355,0))),1)</f>
        <v/>
      </c>
      <c r="U50" s="22">
        <f>IF($C50="","",IFERROR(IF(INDEX(Deals!$Y$2:$Y$355,MATCH($C50,Deals!$A$2:$A$355,0))=0,"",INDEX(Deals!$Y$2:$Y$355,MATCH($C50,Deals!$A$2:$A$355,0))),""))</f>
        <v/>
      </c>
      <c r="V50" s="35">
        <f>IF(OR($U50&lt;&gt;"",AND($AO50&gt;0,$L50&lt;&gt;"",$M50&lt;&gt;"")),$N50,DATE(1900,1,1))</f>
        <v/>
      </c>
      <c r="W50" s="35">
        <f>IF($U50&lt;&gt;"",$U50,IF(AND($AO50&gt;0,$L50&lt;&gt;"",$M50&lt;&gt;""),$O50,DATE(2100,12,31)))</f>
        <v/>
      </c>
      <c r="X50" s="32">
        <f>IF($U50="",$K50,$K50*$S50)</f>
        <v/>
      </c>
      <c r="Y50" s="35">
        <f>IF($U50="",DATE(2100,12,31),$U50+1)</f>
        <v/>
      </c>
      <c r="Z50" s="35">
        <f>IF($U50="",DATE(1900,1,1),$O50)</f>
        <v/>
      </c>
      <c r="AA50" s="32">
        <f>IF($U50="",0,$K50*$T50)</f>
        <v/>
      </c>
      <c r="AB50" s="21">
        <f>IF($C50="",0,IFERROR(INDEX(Deals!$AD$2:$AD$355,MATCH($C50,Deals!$A$2:$A$355,0)),0))</f>
        <v/>
      </c>
      <c r="AC50" s="32">
        <f>IF(Settings!$B$4="Yes",$I50*$AB50,$I50)</f>
        <v/>
      </c>
      <c r="AD50" s="22">
        <f>IF($C50="","",IFERROR(IF(INDEX(Deals!$AE$2:$AE$355,MATCH($C50,Deals!$A$2:$A$355,0))=0,"",INDEX(Deals!$AE$2:$AE$355,MATCH($C50,Deals!$A$2:$A$355,0))),""))</f>
        <v/>
      </c>
      <c r="AE50" s="22">
        <f>IF($C50="","",IFERROR(IF(INDEX(Deals!$AF$2:$AF$355,MATCH($C50,Deals!$A$2:$A$355,0))=0,"",INDEX(Deals!$AF$2:$AF$355,MATCH($C50,Deals!$A$2:$A$355,0))),""))</f>
        <v/>
      </c>
      <c r="AF50" s="35">
        <f>IF($AD50="",DATE(1900,1,1),$AD50)</f>
        <v/>
      </c>
      <c r="AG50" s="35">
        <f>IF($AE50="",DATE(2100,12,31),$AE50)</f>
        <v/>
      </c>
      <c r="AH50" s="22">
        <f>IF($C50="","",IFERROR(IF(INDEX(Deals!$AG$2:$AG$355,MATCH($C50,Deals!$A$2:$A$355,0))=0,"",INDEX(Deals!$AG$2:$AG$355,MATCH($C50,Deals!$A$2:$A$355,0))),""))</f>
        <v/>
      </c>
      <c r="AI50" s="35">
        <f>IF(OR($AH50&lt;&gt;"",AND($AO50&gt;0,$AD50&lt;&gt;"",$AE50&lt;&gt;"")),$AF50,DATE(1900,1,1))</f>
        <v/>
      </c>
      <c r="AJ50" s="35">
        <f>IF($AH50&lt;&gt;"",$AH50,IF(AND($AO50&gt;0,$AD50&lt;&gt;"",$AE50&lt;&gt;""),$AG50,DATE(2100,12,31)))</f>
        <v/>
      </c>
      <c r="AK50" s="32">
        <f>IF($AH50="",$AC50,$AC50*$S50)</f>
        <v/>
      </c>
      <c r="AL50" s="35">
        <f>IF($AH50="",DATE(2100,12,31),$AH50+1)</f>
        <v/>
      </c>
      <c r="AM50" s="35">
        <f>IF($AH50="",DATE(1900,1,1),$AG50)</f>
        <v/>
      </c>
      <c r="AN50" s="32">
        <f>IF($AH50="",0,$AC50*$T50)</f>
        <v/>
      </c>
      <c r="AO50" s="46">
        <f>IF($C50="",0,IFERROR(INDEX(Deals!$BD$2:$BD$355,MATCH($C50,Deals!$A$2:$A$355,0)),0))</f>
        <v/>
      </c>
      <c r="AP50" s="18">
        <f>IF($AO50=0,0,IFERROR(INDEX(Deals!$BJ$2:$BP$355,MATCH($C50,Deals!$A$2:$A$355,0),MATCH($F50,Deals!$BJ$1:$BP$1,0))/COUNTIFS(Assignments!$C$2:$C$769,$C50,Assignments!$F$2:$F$769,$F50,Assignments!$G$2:$G$769,"Active"),0))</f>
        <v/>
      </c>
    </row>
    <row r="51">
      <c r="A51" s="28" t="inlineStr">
        <is>
          <t>John</t>
        </is>
      </c>
      <c r="B51" s="16">
        <f>IF($A51="","",IFERROR(INDEX(Roster!$B$2:$B$40,MATCH($A51,Roster!$A$2:$A$40,0)),"?"))</f>
        <v/>
      </c>
      <c r="C51" s="28" t="inlineStr">
        <is>
          <t>Arctic_2</t>
        </is>
      </c>
      <c r="D51" s="16">
        <f>IF($C51="","",IFERROR(IF(INDEX(Deals!$C$2:$C$355,MATCH($C51,Deals!$A$2:$A$355,0))=0,"",INDEX(Deals!$C$2:$C$355,MATCH($C51,Deals!$A$2:$A$355,0))),"?"))</f>
        <v/>
      </c>
      <c r="E51" s="16">
        <f>IF($C51="","",IFERROR(INDEX(Deals!$F$2:$F$355,MATCH($C51,Deals!$A$2:$A$355,0)),"?"))</f>
        <v/>
      </c>
      <c r="F51" s="28" t="inlineStr">
        <is>
          <t>Partner</t>
        </is>
      </c>
      <c r="G51" s="28" t="inlineStr">
        <is>
          <t>Active</t>
        </is>
      </c>
      <c r="H51" s="31" t="n"/>
      <c r="I51" s="32">
        <f>IF(OR($A51="",$G51&lt;&gt;"Active"),0,IF($H51&lt;&gt;"",$H51,IF($AO51&gt;0,$AP51,IF(AND($R51&lt;&gt;"",IFERROR(INDEX(Templates!$B$3:$H$10,MATCH($R51,Templates!$A$3:$A$10,0),MATCH($F51,Templates!$B$2:$H$2,0)),0)&gt;0),INDEX(Templates!$B$3:$H$10,MATCH($R51,Templates!$A$3:$A$10,0),MATCH($F51,Templates!$B$2:$H$2,0)),IFERROR(INDEX(Settings!$B$8:$B$14,MATCH($F51,Settings!$A$8:$A$14,0)),0)))))</f>
        <v/>
      </c>
      <c r="J51" s="21">
        <f>IF($C51="",0,IFERROR(INDEX(Deals!$H$2:$H$355,MATCH($C51,Deals!$A$2:$A$355,0)),0))</f>
        <v/>
      </c>
      <c r="K51" s="32">
        <f>IF(Settings!$B$4="Yes",$I51*$J51,$I51)</f>
        <v/>
      </c>
      <c r="L51" s="22">
        <f>IF($C51="","",IFERROR(IF(INDEX(Deals!$I$2:$I$355,MATCH($C51,Deals!$A$2:$A$355,0))=0,"",INDEX(Deals!$I$2:$I$355,MATCH($C51,Deals!$A$2:$A$355,0))),""))</f>
        <v/>
      </c>
      <c r="M51" s="22">
        <f>IF($C51="","",IFERROR(IF(INDEX(Deals!$J$2:$J$355,MATCH($C51,Deals!$A$2:$A$355,0))=0,"",INDEX(Deals!$J$2:$J$355,MATCH($C51,Deals!$A$2:$A$355,0))),""))</f>
        <v/>
      </c>
      <c r="N51" s="35">
        <f>IF($L51="",DATE(1900,1,1),$L51)</f>
        <v/>
      </c>
      <c r="O51" s="35">
        <f>IF($M51="",DATE(2100,12,31),$M51)</f>
        <v/>
      </c>
      <c r="P51" s="20" t="inlineStr"/>
      <c r="Q51" s="47" t="inlineStr"/>
      <c r="R51" s="16">
        <f>IF($C51="","",IFERROR(IF(INDEX(Deals!$U$2:$U$355,MATCH($C51,Deals!$A$2:$A$355,0))=0,"",INDEX(Deals!$U$2:$U$355,MATCH($C51,Deals!$A$2:$A$355,0))),""))</f>
        <v/>
      </c>
      <c r="S51" s="34">
        <f>IFERROR(IF($U51="",1,INDEX(Deals!$V$2:$V$355,MATCH($C51,Deals!$A$2:$A$355,0))),1)</f>
        <v/>
      </c>
      <c r="T51" s="34">
        <f>IFERROR(IF($U51="",1,INDEX(Deals!$W$2:$W$355,MATCH($C51,Deals!$A$2:$A$355,0))),1)</f>
        <v/>
      </c>
      <c r="U51" s="22">
        <f>IF($C51="","",IFERROR(IF(INDEX(Deals!$Y$2:$Y$355,MATCH($C51,Deals!$A$2:$A$355,0))=0,"",INDEX(Deals!$Y$2:$Y$355,MATCH($C51,Deals!$A$2:$A$355,0))),""))</f>
        <v/>
      </c>
      <c r="V51" s="35">
        <f>IF(OR($U51&lt;&gt;"",AND($AO51&gt;0,$L51&lt;&gt;"",$M51&lt;&gt;"")),$N51,DATE(1900,1,1))</f>
        <v/>
      </c>
      <c r="W51" s="35">
        <f>IF($U51&lt;&gt;"",$U51,IF(AND($AO51&gt;0,$L51&lt;&gt;"",$M51&lt;&gt;""),$O51,DATE(2100,12,31)))</f>
        <v/>
      </c>
      <c r="X51" s="32">
        <f>IF($U51="",$K51,$K51*$S51)</f>
        <v/>
      </c>
      <c r="Y51" s="35">
        <f>IF($U51="",DATE(2100,12,31),$U51+1)</f>
        <v/>
      </c>
      <c r="Z51" s="35">
        <f>IF($U51="",DATE(1900,1,1),$O51)</f>
        <v/>
      </c>
      <c r="AA51" s="32">
        <f>IF($U51="",0,$K51*$T51)</f>
        <v/>
      </c>
      <c r="AB51" s="21">
        <f>IF($C51="",0,IFERROR(INDEX(Deals!$AD$2:$AD$355,MATCH($C51,Deals!$A$2:$A$355,0)),0))</f>
        <v/>
      </c>
      <c r="AC51" s="32">
        <f>IF(Settings!$B$4="Yes",$I51*$AB51,$I51)</f>
        <v/>
      </c>
      <c r="AD51" s="22">
        <f>IF($C51="","",IFERROR(IF(INDEX(Deals!$AE$2:$AE$355,MATCH($C51,Deals!$A$2:$A$355,0))=0,"",INDEX(Deals!$AE$2:$AE$355,MATCH($C51,Deals!$A$2:$A$355,0))),""))</f>
        <v/>
      </c>
      <c r="AE51" s="22">
        <f>IF($C51="","",IFERROR(IF(INDEX(Deals!$AF$2:$AF$355,MATCH($C51,Deals!$A$2:$A$355,0))=0,"",INDEX(Deals!$AF$2:$AF$355,MATCH($C51,Deals!$A$2:$A$355,0))),""))</f>
        <v/>
      </c>
      <c r="AF51" s="35">
        <f>IF($AD51="",DATE(1900,1,1),$AD51)</f>
        <v/>
      </c>
      <c r="AG51" s="35">
        <f>IF($AE51="",DATE(2100,12,31),$AE51)</f>
        <v/>
      </c>
      <c r="AH51" s="22">
        <f>IF($C51="","",IFERROR(IF(INDEX(Deals!$AG$2:$AG$355,MATCH($C51,Deals!$A$2:$A$355,0))=0,"",INDEX(Deals!$AG$2:$AG$355,MATCH($C51,Deals!$A$2:$A$355,0))),""))</f>
        <v/>
      </c>
      <c r="AI51" s="35">
        <f>IF(OR($AH51&lt;&gt;"",AND($AO51&gt;0,$AD51&lt;&gt;"",$AE51&lt;&gt;"")),$AF51,DATE(1900,1,1))</f>
        <v/>
      </c>
      <c r="AJ51" s="35">
        <f>IF($AH51&lt;&gt;"",$AH51,IF(AND($AO51&gt;0,$AD51&lt;&gt;"",$AE51&lt;&gt;""),$AG51,DATE(2100,12,31)))</f>
        <v/>
      </c>
      <c r="AK51" s="32">
        <f>IF($AH51="",$AC51,$AC51*$S51)</f>
        <v/>
      </c>
      <c r="AL51" s="35">
        <f>IF($AH51="",DATE(2100,12,31),$AH51+1)</f>
        <v/>
      </c>
      <c r="AM51" s="35">
        <f>IF($AH51="",DATE(1900,1,1),$AG51)</f>
        <v/>
      </c>
      <c r="AN51" s="32">
        <f>IF($AH51="",0,$AC51*$T51)</f>
        <v/>
      </c>
      <c r="AO51" s="46">
        <f>IF($C51="",0,IFERROR(INDEX(Deals!$BD$2:$BD$355,MATCH($C51,Deals!$A$2:$A$355,0)),0))</f>
        <v/>
      </c>
      <c r="AP51" s="18">
        <f>IF($AO51=0,0,IFERROR(INDEX(Deals!$BJ$2:$BP$355,MATCH($C51,Deals!$A$2:$A$355,0),MATCH($F51,Deals!$BJ$1:$BP$1,0))/COUNTIFS(Assignments!$C$2:$C$769,$C51,Assignments!$F$2:$F$769,$F51,Assignments!$G$2:$G$769,"Active"),0))</f>
        <v/>
      </c>
    </row>
    <row r="52">
      <c r="A52" s="28" t="inlineStr">
        <is>
          <t>John</t>
        </is>
      </c>
      <c r="B52" s="16">
        <f>IF($A52="","",IFERROR(INDEX(Roster!$B$2:$B$40,MATCH($A52,Roster!$A$2:$A$40,0)),"?"))</f>
        <v/>
      </c>
      <c r="C52" s="28" t="inlineStr">
        <is>
          <t>Bernhard_3</t>
        </is>
      </c>
      <c r="D52" s="16">
        <f>IF($C52="","",IFERROR(IF(INDEX(Deals!$C$2:$C$355,MATCH($C52,Deals!$A$2:$A$355,0))=0,"",INDEX(Deals!$C$2:$C$355,MATCH($C52,Deals!$A$2:$A$355,0))),"?"))</f>
        <v/>
      </c>
      <c r="E52" s="16">
        <f>IF($C52="","",IFERROR(INDEX(Deals!$F$2:$F$355,MATCH($C52,Deals!$A$2:$A$355,0)),"?"))</f>
        <v/>
      </c>
      <c r="F52" s="28" t="inlineStr">
        <is>
          <t>Partner</t>
        </is>
      </c>
      <c r="G52" s="28" t="inlineStr">
        <is>
          <t>Active</t>
        </is>
      </c>
      <c r="H52" s="31" t="n"/>
      <c r="I52" s="32">
        <f>IF(OR($A52="",$G52&lt;&gt;"Active"),0,IF($H52&lt;&gt;"",$H52,IF($AO52&gt;0,$AP52,IF(AND($R52&lt;&gt;"",IFERROR(INDEX(Templates!$B$3:$H$10,MATCH($R52,Templates!$A$3:$A$10,0),MATCH($F52,Templates!$B$2:$H$2,0)),0)&gt;0),INDEX(Templates!$B$3:$H$10,MATCH($R52,Templates!$A$3:$A$10,0),MATCH($F52,Templates!$B$2:$H$2,0)),IFERROR(INDEX(Settings!$B$8:$B$14,MATCH($F52,Settings!$A$8:$A$14,0)),0)))))</f>
        <v/>
      </c>
      <c r="J52" s="21">
        <f>IF($C52="",0,IFERROR(INDEX(Deals!$H$2:$H$355,MATCH($C52,Deals!$A$2:$A$355,0)),0))</f>
        <v/>
      </c>
      <c r="K52" s="32">
        <f>IF(Settings!$B$4="Yes",$I52*$J52,$I52)</f>
        <v/>
      </c>
      <c r="L52" s="22">
        <f>IF($C52="","",IFERROR(IF(INDEX(Deals!$I$2:$I$355,MATCH($C52,Deals!$A$2:$A$355,0))=0,"",INDEX(Deals!$I$2:$I$355,MATCH($C52,Deals!$A$2:$A$355,0))),""))</f>
        <v/>
      </c>
      <c r="M52" s="22">
        <f>IF($C52="","",IFERROR(IF(INDEX(Deals!$J$2:$J$355,MATCH($C52,Deals!$A$2:$A$355,0))=0,"",INDEX(Deals!$J$2:$J$355,MATCH($C52,Deals!$A$2:$A$355,0))),""))</f>
        <v/>
      </c>
      <c r="N52" s="35">
        <f>IF($L52="",DATE(1900,1,1),$L52)</f>
        <v/>
      </c>
      <c r="O52" s="35">
        <f>IF($M52="",DATE(2100,12,31),$M52)</f>
        <v/>
      </c>
      <c r="P52" s="20" t="inlineStr"/>
      <c r="Q52" s="47" t="inlineStr"/>
      <c r="R52" s="16">
        <f>IF($C52="","",IFERROR(IF(INDEX(Deals!$U$2:$U$355,MATCH($C52,Deals!$A$2:$A$355,0))=0,"",INDEX(Deals!$U$2:$U$355,MATCH($C52,Deals!$A$2:$A$355,0))),""))</f>
        <v/>
      </c>
      <c r="S52" s="34">
        <f>IFERROR(IF($U52="",1,INDEX(Deals!$V$2:$V$355,MATCH($C52,Deals!$A$2:$A$355,0))),1)</f>
        <v/>
      </c>
      <c r="T52" s="34">
        <f>IFERROR(IF($U52="",1,INDEX(Deals!$W$2:$W$355,MATCH($C52,Deals!$A$2:$A$355,0))),1)</f>
        <v/>
      </c>
      <c r="U52" s="22">
        <f>IF($C52="","",IFERROR(IF(INDEX(Deals!$Y$2:$Y$355,MATCH($C52,Deals!$A$2:$A$355,0))=0,"",INDEX(Deals!$Y$2:$Y$355,MATCH($C52,Deals!$A$2:$A$355,0))),""))</f>
        <v/>
      </c>
      <c r="V52" s="35">
        <f>IF(OR($U52&lt;&gt;"",AND($AO52&gt;0,$L52&lt;&gt;"",$M52&lt;&gt;"")),$N52,DATE(1900,1,1))</f>
        <v/>
      </c>
      <c r="W52" s="35">
        <f>IF($U52&lt;&gt;"",$U52,IF(AND($AO52&gt;0,$L52&lt;&gt;"",$M52&lt;&gt;""),$O52,DATE(2100,12,31)))</f>
        <v/>
      </c>
      <c r="X52" s="32">
        <f>IF($U52="",$K52,$K52*$S52)</f>
        <v/>
      </c>
      <c r="Y52" s="35">
        <f>IF($U52="",DATE(2100,12,31),$U52+1)</f>
        <v/>
      </c>
      <c r="Z52" s="35">
        <f>IF($U52="",DATE(1900,1,1),$O52)</f>
        <v/>
      </c>
      <c r="AA52" s="32">
        <f>IF($U52="",0,$K52*$T52)</f>
        <v/>
      </c>
      <c r="AB52" s="21">
        <f>IF($C52="",0,IFERROR(INDEX(Deals!$AD$2:$AD$355,MATCH($C52,Deals!$A$2:$A$355,0)),0))</f>
        <v/>
      </c>
      <c r="AC52" s="32">
        <f>IF(Settings!$B$4="Yes",$I52*$AB52,$I52)</f>
        <v/>
      </c>
      <c r="AD52" s="22">
        <f>IF($C52="","",IFERROR(IF(INDEX(Deals!$AE$2:$AE$355,MATCH($C52,Deals!$A$2:$A$355,0))=0,"",INDEX(Deals!$AE$2:$AE$355,MATCH($C52,Deals!$A$2:$A$355,0))),""))</f>
        <v/>
      </c>
      <c r="AE52" s="22">
        <f>IF($C52="","",IFERROR(IF(INDEX(Deals!$AF$2:$AF$355,MATCH($C52,Deals!$A$2:$A$355,0))=0,"",INDEX(Deals!$AF$2:$AF$355,MATCH($C52,Deals!$A$2:$A$355,0))),""))</f>
        <v/>
      </c>
      <c r="AF52" s="35">
        <f>IF($AD52="",DATE(1900,1,1),$AD52)</f>
        <v/>
      </c>
      <c r="AG52" s="35">
        <f>IF($AE52="",DATE(2100,12,31),$AE52)</f>
        <v/>
      </c>
      <c r="AH52" s="22">
        <f>IF($C52="","",IFERROR(IF(INDEX(Deals!$AG$2:$AG$355,MATCH($C52,Deals!$A$2:$A$355,0))=0,"",INDEX(Deals!$AG$2:$AG$355,MATCH($C52,Deals!$A$2:$A$355,0))),""))</f>
        <v/>
      </c>
      <c r="AI52" s="35">
        <f>IF(OR($AH52&lt;&gt;"",AND($AO52&gt;0,$AD52&lt;&gt;"",$AE52&lt;&gt;"")),$AF52,DATE(1900,1,1))</f>
        <v/>
      </c>
      <c r="AJ52" s="35">
        <f>IF($AH52&lt;&gt;"",$AH52,IF(AND($AO52&gt;0,$AD52&lt;&gt;"",$AE52&lt;&gt;""),$AG52,DATE(2100,12,31)))</f>
        <v/>
      </c>
      <c r="AK52" s="32">
        <f>IF($AH52="",$AC52,$AC52*$S52)</f>
        <v/>
      </c>
      <c r="AL52" s="35">
        <f>IF($AH52="",DATE(2100,12,31),$AH52+1)</f>
        <v/>
      </c>
      <c r="AM52" s="35">
        <f>IF($AH52="",DATE(1900,1,1),$AG52)</f>
        <v/>
      </c>
      <c r="AN52" s="32">
        <f>IF($AH52="",0,$AC52*$T52)</f>
        <v/>
      </c>
      <c r="AO52" s="46">
        <f>IF($C52="",0,IFERROR(INDEX(Deals!$BD$2:$BD$355,MATCH($C52,Deals!$A$2:$A$355,0)),0))</f>
        <v/>
      </c>
      <c r="AP52" s="18">
        <f>IF($AO52=0,0,IFERROR(INDEX(Deals!$BJ$2:$BP$355,MATCH($C52,Deals!$A$2:$A$355,0),MATCH($F52,Deals!$BJ$1:$BP$1,0))/COUNTIFS(Assignments!$C$2:$C$769,$C52,Assignments!$F$2:$F$769,$F52,Assignments!$G$2:$G$769,"Active"),0))</f>
        <v/>
      </c>
    </row>
    <row r="53">
      <c r="A53" s="28" t="inlineStr">
        <is>
          <t>John</t>
        </is>
      </c>
      <c r="B53" s="16">
        <f>IF($A53="","",IFERROR(INDEX(Roster!$B$2:$B$40,MATCH($A53,Roster!$A$2:$A$40,0)),"?"))</f>
        <v/>
      </c>
      <c r="C53" s="28" t="inlineStr">
        <is>
          <t>Blue_8</t>
        </is>
      </c>
      <c r="D53" s="16">
        <f>IF($C53="","",IFERROR(IF(INDEX(Deals!$C$2:$C$355,MATCH($C53,Deals!$A$2:$A$355,0))=0,"",INDEX(Deals!$C$2:$C$355,MATCH($C53,Deals!$A$2:$A$355,0))),"?"))</f>
        <v/>
      </c>
      <c r="E53" s="16">
        <f>IF($C53="","",IFERROR(INDEX(Deals!$F$2:$F$355,MATCH($C53,Deals!$A$2:$A$355,0)),"?"))</f>
        <v/>
      </c>
      <c r="F53" s="28" t="inlineStr">
        <is>
          <t>Partner</t>
        </is>
      </c>
      <c r="G53" s="28" t="inlineStr">
        <is>
          <t>Active</t>
        </is>
      </c>
      <c r="H53" s="31" t="n"/>
      <c r="I53" s="32">
        <f>IF(OR($A53="",$G53&lt;&gt;"Active"),0,IF($H53&lt;&gt;"",$H53,IF($AO53&gt;0,$AP53,IF(AND($R53&lt;&gt;"",IFERROR(INDEX(Templates!$B$3:$H$10,MATCH($R53,Templates!$A$3:$A$10,0),MATCH($F53,Templates!$B$2:$H$2,0)),0)&gt;0),INDEX(Templates!$B$3:$H$10,MATCH($R53,Templates!$A$3:$A$10,0),MATCH($F53,Templates!$B$2:$H$2,0)),IFERROR(INDEX(Settings!$B$8:$B$14,MATCH($F53,Settings!$A$8:$A$14,0)),0)))))</f>
        <v/>
      </c>
      <c r="J53" s="21">
        <f>IF($C53="",0,IFERROR(INDEX(Deals!$H$2:$H$355,MATCH($C53,Deals!$A$2:$A$355,0)),0))</f>
        <v/>
      </c>
      <c r="K53" s="32">
        <f>IF(Settings!$B$4="Yes",$I53*$J53,$I53)</f>
        <v/>
      </c>
      <c r="L53" s="22">
        <f>IF($C53="","",IFERROR(IF(INDEX(Deals!$I$2:$I$355,MATCH($C53,Deals!$A$2:$A$355,0))=0,"",INDEX(Deals!$I$2:$I$355,MATCH($C53,Deals!$A$2:$A$355,0))),""))</f>
        <v/>
      </c>
      <c r="M53" s="22">
        <f>IF($C53="","",IFERROR(IF(INDEX(Deals!$J$2:$J$355,MATCH($C53,Deals!$A$2:$A$355,0))=0,"",INDEX(Deals!$J$2:$J$355,MATCH($C53,Deals!$A$2:$A$355,0))),""))</f>
        <v/>
      </c>
      <c r="N53" s="35">
        <f>IF($L53="",DATE(1900,1,1),$L53)</f>
        <v/>
      </c>
      <c r="O53" s="35">
        <f>IF($M53="",DATE(2100,12,31),$M53)</f>
        <v/>
      </c>
      <c r="P53" s="20" t="inlineStr"/>
      <c r="Q53" s="47" t="inlineStr"/>
      <c r="R53" s="16">
        <f>IF($C53="","",IFERROR(IF(INDEX(Deals!$U$2:$U$355,MATCH($C53,Deals!$A$2:$A$355,0))=0,"",INDEX(Deals!$U$2:$U$355,MATCH($C53,Deals!$A$2:$A$355,0))),""))</f>
        <v/>
      </c>
      <c r="S53" s="34">
        <f>IFERROR(IF($U53="",1,INDEX(Deals!$V$2:$V$355,MATCH($C53,Deals!$A$2:$A$355,0))),1)</f>
        <v/>
      </c>
      <c r="T53" s="34">
        <f>IFERROR(IF($U53="",1,INDEX(Deals!$W$2:$W$355,MATCH($C53,Deals!$A$2:$A$355,0))),1)</f>
        <v/>
      </c>
      <c r="U53" s="22">
        <f>IF($C53="","",IFERROR(IF(INDEX(Deals!$Y$2:$Y$355,MATCH($C53,Deals!$A$2:$A$355,0))=0,"",INDEX(Deals!$Y$2:$Y$355,MATCH($C53,Deals!$A$2:$A$355,0))),""))</f>
        <v/>
      </c>
      <c r="V53" s="35">
        <f>IF(OR($U53&lt;&gt;"",AND($AO53&gt;0,$L53&lt;&gt;"",$M53&lt;&gt;"")),$N53,DATE(1900,1,1))</f>
        <v/>
      </c>
      <c r="W53" s="35">
        <f>IF($U53&lt;&gt;"",$U53,IF(AND($AO53&gt;0,$L53&lt;&gt;"",$M53&lt;&gt;""),$O53,DATE(2100,12,31)))</f>
        <v/>
      </c>
      <c r="X53" s="32">
        <f>IF($U53="",$K53,$K53*$S53)</f>
        <v/>
      </c>
      <c r="Y53" s="35">
        <f>IF($U53="",DATE(2100,12,31),$U53+1)</f>
        <v/>
      </c>
      <c r="Z53" s="35">
        <f>IF($U53="",DATE(1900,1,1),$O53)</f>
        <v/>
      </c>
      <c r="AA53" s="32">
        <f>IF($U53="",0,$K53*$T53)</f>
        <v/>
      </c>
      <c r="AB53" s="21">
        <f>IF($C53="",0,IFERROR(INDEX(Deals!$AD$2:$AD$355,MATCH($C53,Deals!$A$2:$A$355,0)),0))</f>
        <v/>
      </c>
      <c r="AC53" s="32">
        <f>IF(Settings!$B$4="Yes",$I53*$AB53,$I53)</f>
        <v/>
      </c>
      <c r="AD53" s="22">
        <f>IF($C53="","",IFERROR(IF(INDEX(Deals!$AE$2:$AE$355,MATCH($C53,Deals!$A$2:$A$355,0))=0,"",INDEX(Deals!$AE$2:$AE$355,MATCH($C53,Deals!$A$2:$A$355,0))),""))</f>
        <v/>
      </c>
      <c r="AE53" s="22">
        <f>IF($C53="","",IFERROR(IF(INDEX(Deals!$AF$2:$AF$355,MATCH($C53,Deals!$A$2:$A$355,0))=0,"",INDEX(Deals!$AF$2:$AF$355,MATCH($C53,Deals!$A$2:$A$355,0))),""))</f>
        <v/>
      </c>
      <c r="AF53" s="35">
        <f>IF($AD53="",DATE(1900,1,1),$AD53)</f>
        <v/>
      </c>
      <c r="AG53" s="35">
        <f>IF($AE53="",DATE(2100,12,31),$AE53)</f>
        <v/>
      </c>
      <c r="AH53" s="22">
        <f>IF($C53="","",IFERROR(IF(INDEX(Deals!$AG$2:$AG$355,MATCH($C53,Deals!$A$2:$A$355,0))=0,"",INDEX(Deals!$AG$2:$AG$355,MATCH($C53,Deals!$A$2:$A$355,0))),""))</f>
        <v/>
      </c>
      <c r="AI53" s="35">
        <f>IF(OR($AH53&lt;&gt;"",AND($AO53&gt;0,$AD53&lt;&gt;"",$AE53&lt;&gt;"")),$AF53,DATE(1900,1,1))</f>
        <v/>
      </c>
      <c r="AJ53" s="35">
        <f>IF($AH53&lt;&gt;"",$AH53,IF(AND($AO53&gt;0,$AD53&lt;&gt;"",$AE53&lt;&gt;""),$AG53,DATE(2100,12,31)))</f>
        <v/>
      </c>
      <c r="AK53" s="32">
        <f>IF($AH53="",$AC53,$AC53*$S53)</f>
        <v/>
      </c>
      <c r="AL53" s="35">
        <f>IF($AH53="",DATE(2100,12,31),$AH53+1)</f>
        <v/>
      </c>
      <c r="AM53" s="35">
        <f>IF($AH53="",DATE(1900,1,1),$AG53)</f>
        <v/>
      </c>
      <c r="AN53" s="32">
        <f>IF($AH53="",0,$AC53*$T53)</f>
        <v/>
      </c>
      <c r="AO53" s="46">
        <f>IF($C53="",0,IFERROR(INDEX(Deals!$BD$2:$BD$355,MATCH($C53,Deals!$A$2:$A$355,0)),0))</f>
        <v/>
      </c>
      <c r="AP53" s="18">
        <f>IF($AO53=0,0,IFERROR(INDEX(Deals!$BJ$2:$BP$355,MATCH($C53,Deals!$A$2:$A$355,0),MATCH($F53,Deals!$BJ$1:$BP$1,0))/COUNTIFS(Assignments!$C$2:$C$769,$C53,Assignments!$F$2:$F$769,$F53,Assignments!$G$2:$G$769,"Active"),0))</f>
        <v/>
      </c>
    </row>
    <row r="54">
      <c r="A54" s="28" t="inlineStr">
        <is>
          <t>John</t>
        </is>
      </c>
      <c r="B54" s="16">
        <f>IF($A54="","",IFERROR(INDEX(Roster!$B$2:$B$40,MATCH($A54,Roster!$A$2:$A$40,0)),"?"))</f>
        <v/>
      </c>
      <c r="C54" s="28" t="inlineStr">
        <is>
          <t>CAN Rail_1</t>
        </is>
      </c>
      <c r="D54" s="16">
        <f>IF($C54="","",IFERROR(IF(INDEX(Deals!$C$2:$C$355,MATCH($C54,Deals!$A$2:$A$355,0))=0,"",INDEX(Deals!$C$2:$C$355,MATCH($C54,Deals!$A$2:$A$355,0))),"?"))</f>
        <v/>
      </c>
      <c r="E54" s="16">
        <f>IF($C54="","",IFERROR(INDEX(Deals!$F$2:$F$355,MATCH($C54,Deals!$A$2:$A$355,0)),"?"))</f>
        <v/>
      </c>
      <c r="F54" s="28" t="inlineStr">
        <is>
          <t>Partner</t>
        </is>
      </c>
      <c r="G54" s="28" t="inlineStr">
        <is>
          <t>Active</t>
        </is>
      </c>
      <c r="H54" s="31" t="n"/>
      <c r="I54" s="32">
        <f>IF(OR($A54="",$G54&lt;&gt;"Active"),0,IF($H54&lt;&gt;"",$H54,IF($AO54&gt;0,$AP54,IF(AND($R54&lt;&gt;"",IFERROR(INDEX(Templates!$B$3:$H$10,MATCH($R54,Templates!$A$3:$A$10,0),MATCH($F54,Templates!$B$2:$H$2,0)),0)&gt;0),INDEX(Templates!$B$3:$H$10,MATCH($R54,Templates!$A$3:$A$10,0),MATCH($F54,Templates!$B$2:$H$2,0)),IFERROR(INDEX(Settings!$B$8:$B$14,MATCH($F54,Settings!$A$8:$A$14,0)),0)))))</f>
        <v/>
      </c>
      <c r="J54" s="21">
        <f>IF($C54="",0,IFERROR(INDEX(Deals!$H$2:$H$355,MATCH($C54,Deals!$A$2:$A$355,0)),0))</f>
        <v/>
      </c>
      <c r="K54" s="32">
        <f>IF(Settings!$B$4="Yes",$I54*$J54,$I54)</f>
        <v/>
      </c>
      <c r="L54" s="22">
        <f>IF($C54="","",IFERROR(IF(INDEX(Deals!$I$2:$I$355,MATCH($C54,Deals!$A$2:$A$355,0))=0,"",INDEX(Deals!$I$2:$I$355,MATCH($C54,Deals!$A$2:$A$355,0))),""))</f>
        <v/>
      </c>
      <c r="M54" s="22">
        <f>IF($C54="","",IFERROR(IF(INDEX(Deals!$J$2:$J$355,MATCH($C54,Deals!$A$2:$A$355,0))=0,"",INDEX(Deals!$J$2:$J$355,MATCH($C54,Deals!$A$2:$A$355,0))),""))</f>
        <v/>
      </c>
      <c r="N54" s="35">
        <f>IF($L54="",DATE(1900,1,1),$L54)</f>
        <v/>
      </c>
      <c r="O54" s="35">
        <f>IF($M54="",DATE(2100,12,31),$M54)</f>
        <v/>
      </c>
      <c r="P54" s="20" t="inlineStr"/>
      <c r="Q54" s="47" t="inlineStr"/>
      <c r="R54" s="16">
        <f>IF($C54="","",IFERROR(IF(INDEX(Deals!$U$2:$U$355,MATCH($C54,Deals!$A$2:$A$355,0))=0,"",INDEX(Deals!$U$2:$U$355,MATCH($C54,Deals!$A$2:$A$355,0))),""))</f>
        <v/>
      </c>
      <c r="S54" s="34">
        <f>IFERROR(IF($U54="",1,INDEX(Deals!$V$2:$V$355,MATCH($C54,Deals!$A$2:$A$355,0))),1)</f>
        <v/>
      </c>
      <c r="T54" s="34">
        <f>IFERROR(IF($U54="",1,INDEX(Deals!$W$2:$W$355,MATCH($C54,Deals!$A$2:$A$355,0))),1)</f>
        <v/>
      </c>
      <c r="U54" s="22">
        <f>IF($C54="","",IFERROR(IF(INDEX(Deals!$Y$2:$Y$355,MATCH($C54,Deals!$A$2:$A$355,0))=0,"",INDEX(Deals!$Y$2:$Y$355,MATCH($C54,Deals!$A$2:$A$355,0))),""))</f>
        <v/>
      </c>
      <c r="V54" s="35">
        <f>IF(OR($U54&lt;&gt;"",AND($AO54&gt;0,$L54&lt;&gt;"",$M54&lt;&gt;"")),$N54,DATE(1900,1,1))</f>
        <v/>
      </c>
      <c r="W54" s="35">
        <f>IF($U54&lt;&gt;"",$U54,IF(AND($AO54&gt;0,$L54&lt;&gt;"",$M54&lt;&gt;""),$O54,DATE(2100,12,31)))</f>
        <v/>
      </c>
      <c r="X54" s="32">
        <f>IF($U54="",$K54,$K54*$S54)</f>
        <v/>
      </c>
      <c r="Y54" s="35">
        <f>IF($U54="",DATE(2100,12,31),$U54+1)</f>
        <v/>
      </c>
      <c r="Z54" s="35">
        <f>IF($U54="",DATE(1900,1,1),$O54)</f>
        <v/>
      </c>
      <c r="AA54" s="32">
        <f>IF($U54="",0,$K54*$T54)</f>
        <v/>
      </c>
      <c r="AB54" s="21">
        <f>IF($C54="",0,IFERROR(INDEX(Deals!$AD$2:$AD$355,MATCH($C54,Deals!$A$2:$A$355,0)),0))</f>
        <v/>
      </c>
      <c r="AC54" s="32">
        <f>IF(Settings!$B$4="Yes",$I54*$AB54,$I54)</f>
        <v/>
      </c>
      <c r="AD54" s="22">
        <f>IF($C54="","",IFERROR(IF(INDEX(Deals!$AE$2:$AE$355,MATCH($C54,Deals!$A$2:$A$355,0))=0,"",INDEX(Deals!$AE$2:$AE$355,MATCH($C54,Deals!$A$2:$A$355,0))),""))</f>
        <v/>
      </c>
      <c r="AE54" s="22">
        <f>IF($C54="","",IFERROR(IF(INDEX(Deals!$AF$2:$AF$355,MATCH($C54,Deals!$A$2:$A$355,0))=0,"",INDEX(Deals!$AF$2:$AF$355,MATCH($C54,Deals!$A$2:$A$355,0))),""))</f>
        <v/>
      </c>
      <c r="AF54" s="35">
        <f>IF($AD54="",DATE(1900,1,1),$AD54)</f>
        <v/>
      </c>
      <c r="AG54" s="35">
        <f>IF($AE54="",DATE(2100,12,31),$AE54)</f>
        <v/>
      </c>
      <c r="AH54" s="22">
        <f>IF($C54="","",IFERROR(IF(INDEX(Deals!$AG$2:$AG$355,MATCH($C54,Deals!$A$2:$A$355,0))=0,"",INDEX(Deals!$AG$2:$AG$355,MATCH($C54,Deals!$A$2:$A$355,0))),""))</f>
        <v/>
      </c>
      <c r="AI54" s="35">
        <f>IF(OR($AH54&lt;&gt;"",AND($AO54&gt;0,$AD54&lt;&gt;"",$AE54&lt;&gt;"")),$AF54,DATE(1900,1,1))</f>
        <v/>
      </c>
      <c r="AJ54" s="35">
        <f>IF($AH54&lt;&gt;"",$AH54,IF(AND($AO54&gt;0,$AD54&lt;&gt;"",$AE54&lt;&gt;""),$AG54,DATE(2100,12,31)))</f>
        <v/>
      </c>
      <c r="AK54" s="32">
        <f>IF($AH54="",$AC54,$AC54*$S54)</f>
        <v/>
      </c>
      <c r="AL54" s="35">
        <f>IF($AH54="",DATE(2100,12,31),$AH54+1)</f>
        <v/>
      </c>
      <c r="AM54" s="35">
        <f>IF($AH54="",DATE(1900,1,1),$AG54)</f>
        <v/>
      </c>
      <c r="AN54" s="32">
        <f>IF($AH54="",0,$AC54*$T54)</f>
        <v/>
      </c>
      <c r="AO54" s="46">
        <f>IF($C54="",0,IFERROR(INDEX(Deals!$BD$2:$BD$355,MATCH($C54,Deals!$A$2:$A$355,0)),0))</f>
        <v/>
      </c>
      <c r="AP54" s="18">
        <f>IF($AO54=0,0,IFERROR(INDEX(Deals!$BJ$2:$BP$355,MATCH($C54,Deals!$A$2:$A$355,0),MATCH($F54,Deals!$BJ$1:$BP$1,0))/COUNTIFS(Assignments!$C$2:$C$769,$C54,Assignments!$F$2:$F$769,$F54,Assignments!$G$2:$G$769,"Active"),0))</f>
        <v/>
      </c>
    </row>
    <row r="55">
      <c r="A55" s="28" t="inlineStr">
        <is>
          <t>John</t>
        </is>
      </c>
      <c r="B55" s="16">
        <f>IF($A55="","",IFERROR(INDEX(Roster!$B$2:$B$40,MATCH($A55,Roster!$A$2:$A$40,0)),"?"))</f>
        <v/>
      </c>
      <c r="C55" s="28" t="inlineStr">
        <is>
          <t>Canyon_2</t>
        </is>
      </c>
      <c r="D55" s="16">
        <f>IF($C55="","",IFERROR(IF(INDEX(Deals!$C$2:$C$355,MATCH($C55,Deals!$A$2:$A$355,0))=0,"",INDEX(Deals!$C$2:$C$355,MATCH($C55,Deals!$A$2:$A$355,0))),"?"))</f>
        <v/>
      </c>
      <c r="E55" s="16">
        <f>IF($C55="","",IFERROR(INDEX(Deals!$F$2:$F$355,MATCH($C55,Deals!$A$2:$A$355,0)),"?"))</f>
        <v/>
      </c>
      <c r="F55" s="28" t="inlineStr">
        <is>
          <t>Partner</t>
        </is>
      </c>
      <c r="G55" s="28" t="inlineStr">
        <is>
          <t>Active</t>
        </is>
      </c>
      <c r="H55" s="31" t="n"/>
      <c r="I55" s="32">
        <f>IF(OR($A55="",$G55&lt;&gt;"Active"),0,IF($H55&lt;&gt;"",$H55,IF($AO55&gt;0,$AP55,IF(AND($R55&lt;&gt;"",IFERROR(INDEX(Templates!$B$3:$H$10,MATCH($R55,Templates!$A$3:$A$10,0),MATCH($F55,Templates!$B$2:$H$2,0)),0)&gt;0),INDEX(Templates!$B$3:$H$10,MATCH($R55,Templates!$A$3:$A$10,0),MATCH($F55,Templates!$B$2:$H$2,0)),IFERROR(INDEX(Settings!$B$8:$B$14,MATCH($F55,Settings!$A$8:$A$14,0)),0)))))</f>
        <v/>
      </c>
      <c r="J55" s="21">
        <f>IF($C55="",0,IFERROR(INDEX(Deals!$H$2:$H$355,MATCH($C55,Deals!$A$2:$A$355,0)),0))</f>
        <v/>
      </c>
      <c r="K55" s="32">
        <f>IF(Settings!$B$4="Yes",$I55*$J55,$I55)</f>
        <v/>
      </c>
      <c r="L55" s="22">
        <f>IF($C55="","",IFERROR(IF(INDEX(Deals!$I$2:$I$355,MATCH($C55,Deals!$A$2:$A$355,0))=0,"",INDEX(Deals!$I$2:$I$355,MATCH($C55,Deals!$A$2:$A$355,0))),""))</f>
        <v/>
      </c>
      <c r="M55" s="22">
        <f>IF($C55="","",IFERROR(IF(INDEX(Deals!$J$2:$J$355,MATCH($C55,Deals!$A$2:$A$355,0))=0,"",INDEX(Deals!$J$2:$J$355,MATCH($C55,Deals!$A$2:$A$355,0))),""))</f>
        <v/>
      </c>
      <c r="N55" s="35">
        <f>IF($L55="",DATE(1900,1,1),$L55)</f>
        <v/>
      </c>
      <c r="O55" s="35">
        <f>IF($M55="",DATE(2100,12,31),$M55)</f>
        <v/>
      </c>
      <c r="P55" s="20" t="inlineStr"/>
      <c r="Q55" s="47" t="inlineStr"/>
      <c r="R55" s="16">
        <f>IF($C55="","",IFERROR(IF(INDEX(Deals!$U$2:$U$355,MATCH($C55,Deals!$A$2:$A$355,0))=0,"",INDEX(Deals!$U$2:$U$355,MATCH($C55,Deals!$A$2:$A$355,0))),""))</f>
        <v/>
      </c>
      <c r="S55" s="34">
        <f>IFERROR(IF($U55="",1,INDEX(Deals!$V$2:$V$355,MATCH($C55,Deals!$A$2:$A$355,0))),1)</f>
        <v/>
      </c>
      <c r="T55" s="34">
        <f>IFERROR(IF($U55="",1,INDEX(Deals!$W$2:$W$355,MATCH($C55,Deals!$A$2:$A$355,0))),1)</f>
        <v/>
      </c>
      <c r="U55" s="22">
        <f>IF($C55="","",IFERROR(IF(INDEX(Deals!$Y$2:$Y$355,MATCH($C55,Deals!$A$2:$A$355,0))=0,"",INDEX(Deals!$Y$2:$Y$355,MATCH($C55,Deals!$A$2:$A$355,0))),""))</f>
        <v/>
      </c>
      <c r="V55" s="35">
        <f>IF(OR($U55&lt;&gt;"",AND($AO55&gt;0,$L55&lt;&gt;"",$M55&lt;&gt;"")),$N55,DATE(1900,1,1))</f>
        <v/>
      </c>
      <c r="W55" s="35">
        <f>IF($U55&lt;&gt;"",$U55,IF(AND($AO55&gt;0,$L55&lt;&gt;"",$M55&lt;&gt;""),$O55,DATE(2100,12,31)))</f>
        <v/>
      </c>
      <c r="X55" s="32">
        <f>IF($U55="",$K55,$K55*$S55)</f>
        <v/>
      </c>
      <c r="Y55" s="35">
        <f>IF($U55="",DATE(2100,12,31),$U55+1)</f>
        <v/>
      </c>
      <c r="Z55" s="35">
        <f>IF($U55="",DATE(1900,1,1),$O55)</f>
        <v/>
      </c>
      <c r="AA55" s="32">
        <f>IF($U55="",0,$K55*$T55)</f>
        <v/>
      </c>
      <c r="AB55" s="21">
        <f>IF($C55="",0,IFERROR(INDEX(Deals!$AD$2:$AD$355,MATCH($C55,Deals!$A$2:$A$355,0)),0))</f>
        <v/>
      </c>
      <c r="AC55" s="32">
        <f>IF(Settings!$B$4="Yes",$I55*$AB55,$I55)</f>
        <v/>
      </c>
      <c r="AD55" s="22">
        <f>IF($C55="","",IFERROR(IF(INDEX(Deals!$AE$2:$AE$355,MATCH($C55,Deals!$A$2:$A$355,0))=0,"",INDEX(Deals!$AE$2:$AE$355,MATCH($C55,Deals!$A$2:$A$355,0))),""))</f>
        <v/>
      </c>
      <c r="AE55" s="22">
        <f>IF($C55="","",IFERROR(IF(INDEX(Deals!$AF$2:$AF$355,MATCH($C55,Deals!$A$2:$A$355,0))=0,"",INDEX(Deals!$AF$2:$AF$355,MATCH($C55,Deals!$A$2:$A$355,0))),""))</f>
        <v/>
      </c>
      <c r="AF55" s="35">
        <f>IF($AD55="",DATE(1900,1,1),$AD55)</f>
        <v/>
      </c>
      <c r="AG55" s="35">
        <f>IF($AE55="",DATE(2100,12,31),$AE55)</f>
        <v/>
      </c>
      <c r="AH55" s="22">
        <f>IF($C55="","",IFERROR(IF(INDEX(Deals!$AG$2:$AG$355,MATCH($C55,Deals!$A$2:$A$355,0))=0,"",INDEX(Deals!$AG$2:$AG$355,MATCH($C55,Deals!$A$2:$A$355,0))),""))</f>
        <v/>
      </c>
      <c r="AI55" s="35">
        <f>IF(OR($AH55&lt;&gt;"",AND($AO55&gt;0,$AD55&lt;&gt;"",$AE55&lt;&gt;"")),$AF55,DATE(1900,1,1))</f>
        <v/>
      </c>
      <c r="AJ55" s="35">
        <f>IF($AH55&lt;&gt;"",$AH55,IF(AND($AO55&gt;0,$AD55&lt;&gt;"",$AE55&lt;&gt;""),$AG55,DATE(2100,12,31)))</f>
        <v/>
      </c>
      <c r="AK55" s="32">
        <f>IF($AH55="",$AC55,$AC55*$S55)</f>
        <v/>
      </c>
      <c r="AL55" s="35">
        <f>IF($AH55="",DATE(2100,12,31),$AH55+1)</f>
        <v/>
      </c>
      <c r="AM55" s="35">
        <f>IF($AH55="",DATE(1900,1,1),$AG55)</f>
        <v/>
      </c>
      <c r="AN55" s="32">
        <f>IF($AH55="",0,$AC55*$T55)</f>
        <v/>
      </c>
      <c r="AO55" s="46">
        <f>IF($C55="",0,IFERROR(INDEX(Deals!$BD$2:$BD$355,MATCH($C55,Deals!$A$2:$A$355,0)),0))</f>
        <v/>
      </c>
      <c r="AP55" s="18">
        <f>IF($AO55=0,0,IFERROR(INDEX(Deals!$BJ$2:$BP$355,MATCH($C55,Deals!$A$2:$A$355,0),MATCH($F55,Deals!$BJ$1:$BP$1,0))/COUNTIFS(Assignments!$C$2:$C$769,$C55,Assignments!$F$2:$F$769,$F55,Assignments!$G$2:$G$769,"Active"),0))</f>
        <v/>
      </c>
    </row>
    <row r="56">
      <c r="A56" s="28" t="inlineStr">
        <is>
          <t>John</t>
        </is>
      </c>
      <c r="B56" s="16">
        <f>IF($A56="","",IFERROR(INDEX(Roster!$B$2:$B$40,MATCH($A56,Roster!$A$2:$A$40,0)),"?"))</f>
        <v/>
      </c>
      <c r="C56" s="28" t="inlineStr">
        <is>
          <t>DCLI Sellside_1</t>
        </is>
      </c>
      <c r="D56" s="16">
        <f>IF($C56="","",IFERROR(IF(INDEX(Deals!$C$2:$C$355,MATCH($C56,Deals!$A$2:$A$355,0))=0,"",INDEX(Deals!$C$2:$C$355,MATCH($C56,Deals!$A$2:$A$355,0))),"?"))</f>
        <v/>
      </c>
      <c r="E56" s="16">
        <f>IF($C56="","",IFERROR(INDEX(Deals!$F$2:$F$355,MATCH($C56,Deals!$A$2:$A$355,0)),"?"))</f>
        <v/>
      </c>
      <c r="F56" s="28" t="inlineStr">
        <is>
          <t>Partner</t>
        </is>
      </c>
      <c r="G56" s="28" t="inlineStr">
        <is>
          <t>Active</t>
        </is>
      </c>
      <c r="H56" s="31" t="n"/>
      <c r="I56" s="32">
        <f>IF(OR($A56="",$G56&lt;&gt;"Active"),0,IF($H56&lt;&gt;"",$H56,IF($AO56&gt;0,$AP56,IF(AND($R56&lt;&gt;"",IFERROR(INDEX(Templates!$B$3:$H$10,MATCH($R56,Templates!$A$3:$A$10,0),MATCH($F56,Templates!$B$2:$H$2,0)),0)&gt;0),INDEX(Templates!$B$3:$H$10,MATCH($R56,Templates!$A$3:$A$10,0),MATCH($F56,Templates!$B$2:$H$2,0)),IFERROR(INDEX(Settings!$B$8:$B$14,MATCH($F56,Settings!$A$8:$A$14,0)),0)))))</f>
        <v/>
      </c>
      <c r="J56" s="21">
        <f>IF($C56="",0,IFERROR(INDEX(Deals!$H$2:$H$355,MATCH($C56,Deals!$A$2:$A$355,0)),0))</f>
        <v/>
      </c>
      <c r="K56" s="32">
        <f>IF(Settings!$B$4="Yes",$I56*$J56,$I56)</f>
        <v/>
      </c>
      <c r="L56" s="22">
        <f>IF($C56="","",IFERROR(IF(INDEX(Deals!$I$2:$I$355,MATCH($C56,Deals!$A$2:$A$355,0))=0,"",INDEX(Deals!$I$2:$I$355,MATCH($C56,Deals!$A$2:$A$355,0))),""))</f>
        <v/>
      </c>
      <c r="M56" s="22">
        <f>IF($C56="","",IFERROR(IF(INDEX(Deals!$J$2:$J$355,MATCH($C56,Deals!$A$2:$A$355,0))=0,"",INDEX(Deals!$J$2:$J$355,MATCH($C56,Deals!$A$2:$A$355,0))),""))</f>
        <v/>
      </c>
      <c r="N56" s="35">
        <f>IF($L56="",DATE(1900,1,1),$L56)</f>
        <v/>
      </c>
      <c r="O56" s="35">
        <f>IF($M56="",DATE(2100,12,31),$M56)</f>
        <v/>
      </c>
      <c r="P56" s="20" t="inlineStr"/>
      <c r="Q56" s="47" t="inlineStr"/>
      <c r="R56" s="16">
        <f>IF($C56="","",IFERROR(IF(INDEX(Deals!$U$2:$U$355,MATCH($C56,Deals!$A$2:$A$355,0))=0,"",INDEX(Deals!$U$2:$U$355,MATCH($C56,Deals!$A$2:$A$355,0))),""))</f>
        <v/>
      </c>
      <c r="S56" s="34">
        <f>IFERROR(IF($U56="",1,INDEX(Deals!$V$2:$V$355,MATCH($C56,Deals!$A$2:$A$355,0))),1)</f>
        <v/>
      </c>
      <c r="T56" s="34">
        <f>IFERROR(IF($U56="",1,INDEX(Deals!$W$2:$W$355,MATCH($C56,Deals!$A$2:$A$355,0))),1)</f>
        <v/>
      </c>
      <c r="U56" s="22">
        <f>IF($C56="","",IFERROR(IF(INDEX(Deals!$Y$2:$Y$355,MATCH($C56,Deals!$A$2:$A$355,0))=0,"",INDEX(Deals!$Y$2:$Y$355,MATCH($C56,Deals!$A$2:$A$355,0))),""))</f>
        <v/>
      </c>
      <c r="V56" s="35">
        <f>IF(OR($U56&lt;&gt;"",AND($AO56&gt;0,$L56&lt;&gt;"",$M56&lt;&gt;"")),$N56,DATE(1900,1,1))</f>
        <v/>
      </c>
      <c r="W56" s="35">
        <f>IF($U56&lt;&gt;"",$U56,IF(AND($AO56&gt;0,$L56&lt;&gt;"",$M56&lt;&gt;""),$O56,DATE(2100,12,31)))</f>
        <v/>
      </c>
      <c r="X56" s="32">
        <f>IF($U56="",$K56,$K56*$S56)</f>
        <v/>
      </c>
      <c r="Y56" s="35">
        <f>IF($U56="",DATE(2100,12,31),$U56+1)</f>
        <v/>
      </c>
      <c r="Z56" s="35">
        <f>IF($U56="",DATE(1900,1,1),$O56)</f>
        <v/>
      </c>
      <c r="AA56" s="32">
        <f>IF($U56="",0,$K56*$T56)</f>
        <v/>
      </c>
      <c r="AB56" s="21">
        <f>IF($C56="",0,IFERROR(INDEX(Deals!$AD$2:$AD$355,MATCH($C56,Deals!$A$2:$A$355,0)),0))</f>
        <v/>
      </c>
      <c r="AC56" s="32">
        <f>IF(Settings!$B$4="Yes",$I56*$AB56,$I56)</f>
        <v/>
      </c>
      <c r="AD56" s="22">
        <f>IF($C56="","",IFERROR(IF(INDEX(Deals!$AE$2:$AE$355,MATCH($C56,Deals!$A$2:$A$355,0))=0,"",INDEX(Deals!$AE$2:$AE$355,MATCH($C56,Deals!$A$2:$A$355,0))),""))</f>
        <v/>
      </c>
      <c r="AE56" s="22">
        <f>IF($C56="","",IFERROR(IF(INDEX(Deals!$AF$2:$AF$355,MATCH($C56,Deals!$A$2:$A$355,0))=0,"",INDEX(Deals!$AF$2:$AF$355,MATCH($C56,Deals!$A$2:$A$355,0))),""))</f>
        <v/>
      </c>
      <c r="AF56" s="35">
        <f>IF($AD56="",DATE(1900,1,1),$AD56)</f>
        <v/>
      </c>
      <c r="AG56" s="35">
        <f>IF($AE56="",DATE(2100,12,31),$AE56)</f>
        <v/>
      </c>
      <c r="AH56" s="22">
        <f>IF($C56="","",IFERROR(IF(INDEX(Deals!$AG$2:$AG$355,MATCH($C56,Deals!$A$2:$A$355,0))=0,"",INDEX(Deals!$AG$2:$AG$355,MATCH($C56,Deals!$A$2:$A$355,0))),""))</f>
        <v/>
      </c>
      <c r="AI56" s="35">
        <f>IF(OR($AH56&lt;&gt;"",AND($AO56&gt;0,$AD56&lt;&gt;"",$AE56&lt;&gt;"")),$AF56,DATE(1900,1,1))</f>
        <v/>
      </c>
      <c r="AJ56" s="35">
        <f>IF($AH56&lt;&gt;"",$AH56,IF(AND($AO56&gt;0,$AD56&lt;&gt;"",$AE56&lt;&gt;""),$AG56,DATE(2100,12,31)))</f>
        <v/>
      </c>
      <c r="AK56" s="32">
        <f>IF($AH56="",$AC56,$AC56*$S56)</f>
        <v/>
      </c>
      <c r="AL56" s="35">
        <f>IF($AH56="",DATE(2100,12,31),$AH56+1)</f>
        <v/>
      </c>
      <c r="AM56" s="35">
        <f>IF($AH56="",DATE(1900,1,1),$AG56)</f>
        <v/>
      </c>
      <c r="AN56" s="32">
        <f>IF($AH56="",0,$AC56*$T56)</f>
        <v/>
      </c>
      <c r="AO56" s="46">
        <f>IF($C56="",0,IFERROR(INDEX(Deals!$BD$2:$BD$355,MATCH($C56,Deals!$A$2:$A$355,0)),0))</f>
        <v/>
      </c>
      <c r="AP56" s="18">
        <f>IF($AO56=0,0,IFERROR(INDEX(Deals!$BJ$2:$BP$355,MATCH($C56,Deals!$A$2:$A$355,0),MATCH($F56,Deals!$BJ$1:$BP$1,0))/COUNTIFS(Assignments!$C$2:$C$769,$C56,Assignments!$F$2:$F$769,$F56,Assignments!$G$2:$G$769,"Active"),0))</f>
        <v/>
      </c>
    </row>
    <row r="57">
      <c r="A57" s="28" t="inlineStr">
        <is>
          <t>John</t>
        </is>
      </c>
      <c r="B57" s="16">
        <f>IF($A57="","",IFERROR(INDEX(Roster!$B$2:$B$40,MATCH($A57,Roster!$A$2:$A$40,0)),"?"))</f>
        <v/>
      </c>
      <c r="C57" s="28" t="inlineStr">
        <is>
          <t>DIF Brahms_1</t>
        </is>
      </c>
      <c r="D57" s="16">
        <f>IF($C57="","",IFERROR(IF(INDEX(Deals!$C$2:$C$355,MATCH($C57,Deals!$A$2:$A$355,0))=0,"",INDEX(Deals!$C$2:$C$355,MATCH($C57,Deals!$A$2:$A$355,0))),"?"))</f>
        <v/>
      </c>
      <c r="E57" s="16">
        <f>IF($C57="","",IFERROR(INDEX(Deals!$F$2:$F$355,MATCH($C57,Deals!$A$2:$A$355,0)),"?"))</f>
        <v/>
      </c>
      <c r="F57" s="28" t="inlineStr">
        <is>
          <t>Partner</t>
        </is>
      </c>
      <c r="G57" s="28" t="inlineStr">
        <is>
          <t>Active</t>
        </is>
      </c>
      <c r="H57" s="31" t="n"/>
      <c r="I57" s="32">
        <f>IF(OR($A57="",$G57&lt;&gt;"Active"),0,IF($H57&lt;&gt;"",$H57,IF($AO57&gt;0,$AP57,IF(AND($R57&lt;&gt;"",IFERROR(INDEX(Templates!$B$3:$H$10,MATCH($R57,Templates!$A$3:$A$10,0),MATCH($F57,Templates!$B$2:$H$2,0)),0)&gt;0),INDEX(Templates!$B$3:$H$10,MATCH($R57,Templates!$A$3:$A$10,0),MATCH($F57,Templates!$B$2:$H$2,0)),IFERROR(INDEX(Settings!$B$8:$B$14,MATCH($F57,Settings!$A$8:$A$14,0)),0)))))</f>
        <v/>
      </c>
      <c r="J57" s="21">
        <f>IF($C57="",0,IFERROR(INDEX(Deals!$H$2:$H$355,MATCH($C57,Deals!$A$2:$A$355,0)),0))</f>
        <v/>
      </c>
      <c r="K57" s="32">
        <f>IF(Settings!$B$4="Yes",$I57*$J57,$I57)</f>
        <v/>
      </c>
      <c r="L57" s="22">
        <f>IF($C57="","",IFERROR(IF(INDEX(Deals!$I$2:$I$355,MATCH($C57,Deals!$A$2:$A$355,0))=0,"",INDEX(Deals!$I$2:$I$355,MATCH($C57,Deals!$A$2:$A$355,0))),""))</f>
        <v/>
      </c>
      <c r="M57" s="22">
        <f>IF($C57="","",IFERROR(IF(INDEX(Deals!$J$2:$J$355,MATCH($C57,Deals!$A$2:$A$355,0))=0,"",INDEX(Deals!$J$2:$J$355,MATCH($C57,Deals!$A$2:$A$355,0))),""))</f>
        <v/>
      </c>
      <c r="N57" s="35">
        <f>IF($L57="",DATE(1900,1,1),$L57)</f>
        <v/>
      </c>
      <c r="O57" s="35">
        <f>IF($M57="",DATE(2100,12,31),$M57)</f>
        <v/>
      </c>
      <c r="P57" s="20" t="inlineStr"/>
      <c r="Q57" s="47" t="inlineStr"/>
      <c r="R57" s="16">
        <f>IF($C57="","",IFERROR(IF(INDEX(Deals!$U$2:$U$355,MATCH($C57,Deals!$A$2:$A$355,0))=0,"",INDEX(Deals!$U$2:$U$355,MATCH($C57,Deals!$A$2:$A$355,0))),""))</f>
        <v/>
      </c>
      <c r="S57" s="34">
        <f>IFERROR(IF($U57="",1,INDEX(Deals!$V$2:$V$355,MATCH($C57,Deals!$A$2:$A$355,0))),1)</f>
        <v/>
      </c>
      <c r="T57" s="34">
        <f>IFERROR(IF($U57="",1,INDEX(Deals!$W$2:$W$355,MATCH($C57,Deals!$A$2:$A$355,0))),1)</f>
        <v/>
      </c>
      <c r="U57" s="22">
        <f>IF($C57="","",IFERROR(IF(INDEX(Deals!$Y$2:$Y$355,MATCH($C57,Deals!$A$2:$A$355,0))=0,"",INDEX(Deals!$Y$2:$Y$355,MATCH($C57,Deals!$A$2:$A$355,0))),""))</f>
        <v/>
      </c>
      <c r="V57" s="35">
        <f>IF(OR($U57&lt;&gt;"",AND($AO57&gt;0,$L57&lt;&gt;"",$M57&lt;&gt;"")),$N57,DATE(1900,1,1))</f>
        <v/>
      </c>
      <c r="W57" s="35">
        <f>IF($U57&lt;&gt;"",$U57,IF(AND($AO57&gt;0,$L57&lt;&gt;"",$M57&lt;&gt;""),$O57,DATE(2100,12,31)))</f>
        <v/>
      </c>
      <c r="X57" s="32">
        <f>IF($U57="",$K57,$K57*$S57)</f>
        <v/>
      </c>
      <c r="Y57" s="35">
        <f>IF($U57="",DATE(2100,12,31),$U57+1)</f>
        <v/>
      </c>
      <c r="Z57" s="35">
        <f>IF($U57="",DATE(1900,1,1),$O57)</f>
        <v/>
      </c>
      <c r="AA57" s="32">
        <f>IF($U57="",0,$K57*$T57)</f>
        <v/>
      </c>
      <c r="AB57" s="21">
        <f>IF($C57="",0,IFERROR(INDEX(Deals!$AD$2:$AD$355,MATCH($C57,Deals!$A$2:$A$355,0)),0))</f>
        <v/>
      </c>
      <c r="AC57" s="32">
        <f>IF(Settings!$B$4="Yes",$I57*$AB57,$I57)</f>
        <v/>
      </c>
      <c r="AD57" s="22">
        <f>IF($C57="","",IFERROR(IF(INDEX(Deals!$AE$2:$AE$355,MATCH($C57,Deals!$A$2:$A$355,0))=0,"",INDEX(Deals!$AE$2:$AE$355,MATCH($C57,Deals!$A$2:$A$355,0))),""))</f>
        <v/>
      </c>
      <c r="AE57" s="22">
        <f>IF($C57="","",IFERROR(IF(INDEX(Deals!$AF$2:$AF$355,MATCH($C57,Deals!$A$2:$A$355,0))=0,"",INDEX(Deals!$AF$2:$AF$355,MATCH($C57,Deals!$A$2:$A$355,0))),""))</f>
        <v/>
      </c>
      <c r="AF57" s="35">
        <f>IF($AD57="",DATE(1900,1,1),$AD57)</f>
        <v/>
      </c>
      <c r="AG57" s="35">
        <f>IF($AE57="",DATE(2100,12,31),$AE57)</f>
        <v/>
      </c>
      <c r="AH57" s="22">
        <f>IF($C57="","",IFERROR(IF(INDEX(Deals!$AG$2:$AG$355,MATCH($C57,Deals!$A$2:$A$355,0))=0,"",INDEX(Deals!$AG$2:$AG$355,MATCH($C57,Deals!$A$2:$A$355,0))),""))</f>
        <v/>
      </c>
      <c r="AI57" s="35">
        <f>IF(OR($AH57&lt;&gt;"",AND($AO57&gt;0,$AD57&lt;&gt;"",$AE57&lt;&gt;"")),$AF57,DATE(1900,1,1))</f>
        <v/>
      </c>
      <c r="AJ57" s="35">
        <f>IF($AH57&lt;&gt;"",$AH57,IF(AND($AO57&gt;0,$AD57&lt;&gt;"",$AE57&lt;&gt;""),$AG57,DATE(2100,12,31)))</f>
        <v/>
      </c>
      <c r="AK57" s="32">
        <f>IF($AH57="",$AC57,$AC57*$S57)</f>
        <v/>
      </c>
      <c r="AL57" s="35">
        <f>IF($AH57="",DATE(2100,12,31),$AH57+1)</f>
        <v/>
      </c>
      <c r="AM57" s="35">
        <f>IF($AH57="",DATE(1900,1,1),$AG57)</f>
        <v/>
      </c>
      <c r="AN57" s="32">
        <f>IF($AH57="",0,$AC57*$T57)</f>
        <v/>
      </c>
      <c r="AO57" s="46">
        <f>IF($C57="",0,IFERROR(INDEX(Deals!$BD$2:$BD$355,MATCH($C57,Deals!$A$2:$A$355,0)),0))</f>
        <v/>
      </c>
      <c r="AP57" s="18">
        <f>IF($AO57=0,0,IFERROR(INDEX(Deals!$BJ$2:$BP$355,MATCH($C57,Deals!$A$2:$A$355,0),MATCH($F57,Deals!$BJ$1:$BP$1,0))/COUNTIFS(Assignments!$C$2:$C$769,$C57,Assignments!$F$2:$F$769,$F57,Assignments!$G$2:$G$769,"Active"),0))</f>
        <v/>
      </c>
    </row>
    <row r="58">
      <c r="A58" s="28" t="inlineStr">
        <is>
          <t>John</t>
        </is>
      </c>
      <c r="B58" s="16">
        <f>IF($A58="","",IFERROR(INDEX(Roster!$B$2:$B$40,MATCH($A58,Roster!$A$2:$A$40,0)),"?"))</f>
        <v/>
      </c>
      <c r="C58" s="28" t="inlineStr">
        <is>
          <t>DIF Twister_2</t>
        </is>
      </c>
      <c r="D58" s="16">
        <f>IF($C58="","",IFERROR(IF(INDEX(Deals!$C$2:$C$355,MATCH($C58,Deals!$A$2:$A$355,0))=0,"",INDEX(Deals!$C$2:$C$355,MATCH($C58,Deals!$A$2:$A$355,0))),"?"))</f>
        <v/>
      </c>
      <c r="E58" s="16">
        <f>IF($C58="","",IFERROR(INDEX(Deals!$F$2:$F$355,MATCH($C58,Deals!$A$2:$A$355,0)),"?"))</f>
        <v/>
      </c>
      <c r="F58" s="28" t="inlineStr">
        <is>
          <t>Partner</t>
        </is>
      </c>
      <c r="G58" s="28" t="inlineStr">
        <is>
          <t>Active</t>
        </is>
      </c>
      <c r="H58" s="31" t="n"/>
      <c r="I58" s="32">
        <f>IF(OR($A58="",$G58&lt;&gt;"Active"),0,IF($H58&lt;&gt;"",$H58,IF($AO58&gt;0,$AP58,IF(AND($R58&lt;&gt;"",IFERROR(INDEX(Templates!$B$3:$H$10,MATCH($R58,Templates!$A$3:$A$10,0),MATCH($F58,Templates!$B$2:$H$2,0)),0)&gt;0),INDEX(Templates!$B$3:$H$10,MATCH($R58,Templates!$A$3:$A$10,0),MATCH($F58,Templates!$B$2:$H$2,0)),IFERROR(INDEX(Settings!$B$8:$B$14,MATCH($F58,Settings!$A$8:$A$14,0)),0)))))</f>
        <v/>
      </c>
      <c r="J58" s="21">
        <f>IF($C58="",0,IFERROR(INDEX(Deals!$H$2:$H$355,MATCH($C58,Deals!$A$2:$A$355,0)),0))</f>
        <v/>
      </c>
      <c r="K58" s="32">
        <f>IF(Settings!$B$4="Yes",$I58*$J58,$I58)</f>
        <v/>
      </c>
      <c r="L58" s="22">
        <f>IF($C58="","",IFERROR(IF(INDEX(Deals!$I$2:$I$355,MATCH($C58,Deals!$A$2:$A$355,0))=0,"",INDEX(Deals!$I$2:$I$355,MATCH($C58,Deals!$A$2:$A$355,0))),""))</f>
        <v/>
      </c>
      <c r="M58" s="22">
        <f>IF($C58="","",IFERROR(IF(INDEX(Deals!$J$2:$J$355,MATCH($C58,Deals!$A$2:$A$355,0))=0,"",INDEX(Deals!$J$2:$J$355,MATCH($C58,Deals!$A$2:$A$355,0))),""))</f>
        <v/>
      </c>
      <c r="N58" s="35">
        <f>IF($L58="",DATE(1900,1,1),$L58)</f>
        <v/>
      </c>
      <c r="O58" s="35">
        <f>IF($M58="",DATE(2100,12,31),$M58)</f>
        <v/>
      </c>
      <c r="P58" s="20" t="inlineStr"/>
      <c r="Q58" s="47" t="inlineStr"/>
      <c r="R58" s="16">
        <f>IF($C58="","",IFERROR(IF(INDEX(Deals!$U$2:$U$355,MATCH($C58,Deals!$A$2:$A$355,0))=0,"",INDEX(Deals!$U$2:$U$355,MATCH($C58,Deals!$A$2:$A$355,0))),""))</f>
        <v/>
      </c>
      <c r="S58" s="34">
        <f>IFERROR(IF($U58="",1,INDEX(Deals!$V$2:$V$355,MATCH($C58,Deals!$A$2:$A$355,0))),1)</f>
        <v/>
      </c>
      <c r="T58" s="34">
        <f>IFERROR(IF($U58="",1,INDEX(Deals!$W$2:$W$355,MATCH($C58,Deals!$A$2:$A$355,0))),1)</f>
        <v/>
      </c>
      <c r="U58" s="22">
        <f>IF($C58="","",IFERROR(IF(INDEX(Deals!$Y$2:$Y$355,MATCH($C58,Deals!$A$2:$A$355,0))=0,"",INDEX(Deals!$Y$2:$Y$355,MATCH($C58,Deals!$A$2:$A$355,0))),""))</f>
        <v/>
      </c>
      <c r="V58" s="35">
        <f>IF(OR($U58&lt;&gt;"",AND($AO58&gt;0,$L58&lt;&gt;"",$M58&lt;&gt;"")),$N58,DATE(1900,1,1))</f>
        <v/>
      </c>
      <c r="W58" s="35">
        <f>IF($U58&lt;&gt;"",$U58,IF(AND($AO58&gt;0,$L58&lt;&gt;"",$M58&lt;&gt;""),$O58,DATE(2100,12,31)))</f>
        <v/>
      </c>
      <c r="X58" s="32">
        <f>IF($U58="",$K58,$K58*$S58)</f>
        <v/>
      </c>
      <c r="Y58" s="35">
        <f>IF($U58="",DATE(2100,12,31),$U58+1)</f>
        <v/>
      </c>
      <c r="Z58" s="35">
        <f>IF($U58="",DATE(1900,1,1),$O58)</f>
        <v/>
      </c>
      <c r="AA58" s="32">
        <f>IF($U58="",0,$K58*$T58)</f>
        <v/>
      </c>
      <c r="AB58" s="21">
        <f>IF($C58="",0,IFERROR(INDEX(Deals!$AD$2:$AD$355,MATCH($C58,Deals!$A$2:$A$355,0)),0))</f>
        <v/>
      </c>
      <c r="AC58" s="32">
        <f>IF(Settings!$B$4="Yes",$I58*$AB58,$I58)</f>
        <v/>
      </c>
      <c r="AD58" s="22">
        <f>IF($C58="","",IFERROR(IF(INDEX(Deals!$AE$2:$AE$355,MATCH($C58,Deals!$A$2:$A$355,0))=0,"",INDEX(Deals!$AE$2:$AE$355,MATCH($C58,Deals!$A$2:$A$355,0))),""))</f>
        <v/>
      </c>
      <c r="AE58" s="22">
        <f>IF($C58="","",IFERROR(IF(INDEX(Deals!$AF$2:$AF$355,MATCH($C58,Deals!$A$2:$A$355,0))=0,"",INDEX(Deals!$AF$2:$AF$355,MATCH($C58,Deals!$A$2:$A$355,0))),""))</f>
        <v/>
      </c>
      <c r="AF58" s="35">
        <f>IF($AD58="",DATE(1900,1,1),$AD58)</f>
        <v/>
      </c>
      <c r="AG58" s="35">
        <f>IF($AE58="",DATE(2100,12,31),$AE58)</f>
        <v/>
      </c>
      <c r="AH58" s="22">
        <f>IF($C58="","",IFERROR(IF(INDEX(Deals!$AG$2:$AG$355,MATCH($C58,Deals!$A$2:$A$355,0))=0,"",INDEX(Deals!$AG$2:$AG$355,MATCH($C58,Deals!$A$2:$A$355,0))),""))</f>
        <v/>
      </c>
      <c r="AI58" s="35">
        <f>IF(OR($AH58&lt;&gt;"",AND($AO58&gt;0,$AD58&lt;&gt;"",$AE58&lt;&gt;"")),$AF58,DATE(1900,1,1))</f>
        <v/>
      </c>
      <c r="AJ58" s="35">
        <f>IF($AH58&lt;&gt;"",$AH58,IF(AND($AO58&gt;0,$AD58&lt;&gt;"",$AE58&lt;&gt;""),$AG58,DATE(2100,12,31)))</f>
        <v/>
      </c>
      <c r="AK58" s="32">
        <f>IF($AH58="",$AC58,$AC58*$S58)</f>
        <v/>
      </c>
      <c r="AL58" s="35">
        <f>IF($AH58="",DATE(2100,12,31),$AH58+1)</f>
        <v/>
      </c>
      <c r="AM58" s="35">
        <f>IF($AH58="",DATE(1900,1,1),$AG58)</f>
        <v/>
      </c>
      <c r="AN58" s="32">
        <f>IF($AH58="",0,$AC58*$T58)</f>
        <v/>
      </c>
      <c r="AO58" s="46">
        <f>IF($C58="",0,IFERROR(INDEX(Deals!$BD$2:$BD$355,MATCH($C58,Deals!$A$2:$A$355,0)),0))</f>
        <v/>
      </c>
      <c r="AP58" s="18">
        <f>IF($AO58=0,0,IFERROR(INDEX(Deals!$BJ$2:$BP$355,MATCH($C58,Deals!$A$2:$A$355,0),MATCH($F58,Deals!$BJ$1:$BP$1,0))/COUNTIFS(Assignments!$C$2:$C$769,$C58,Assignments!$F$2:$F$769,$F58,Assignments!$G$2:$G$769,"Active"),0))</f>
        <v/>
      </c>
    </row>
    <row r="59">
      <c r="A59" s="28" t="inlineStr">
        <is>
          <t>John</t>
        </is>
      </c>
      <c r="B59" s="16">
        <f>IF($A59="","",IFERROR(INDEX(Roster!$B$2:$B$40,MATCH($A59,Roster!$A$2:$A$40,0)),"?"))</f>
        <v/>
      </c>
      <c r="C59" s="28" t="inlineStr">
        <is>
          <t>Dupont_1</t>
        </is>
      </c>
      <c r="D59" s="16">
        <f>IF($C59="","",IFERROR(IF(INDEX(Deals!$C$2:$C$355,MATCH($C59,Deals!$A$2:$A$355,0))=0,"",INDEX(Deals!$C$2:$C$355,MATCH($C59,Deals!$A$2:$A$355,0))),"?"))</f>
        <v/>
      </c>
      <c r="E59" s="16">
        <f>IF($C59="","",IFERROR(INDEX(Deals!$F$2:$F$355,MATCH($C59,Deals!$A$2:$A$355,0)),"?"))</f>
        <v/>
      </c>
      <c r="F59" s="28" t="inlineStr">
        <is>
          <t>Partner</t>
        </is>
      </c>
      <c r="G59" s="28" t="inlineStr">
        <is>
          <t>Active</t>
        </is>
      </c>
      <c r="H59" s="31" t="n"/>
      <c r="I59" s="32">
        <f>IF(OR($A59="",$G59&lt;&gt;"Active"),0,IF($H59&lt;&gt;"",$H59,IF($AO59&gt;0,$AP59,IF(AND($R59&lt;&gt;"",IFERROR(INDEX(Templates!$B$3:$H$10,MATCH($R59,Templates!$A$3:$A$10,0),MATCH($F59,Templates!$B$2:$H$2,0)),0)&gt;0),INDEX(Templates!$B$3:$H$10,MATCH($R59,Templates!$A$3:$A$10,0),MATCH($F59,Templates!$B$2:$H$2,0)),IFERROR(INDEX(Settings!$B$8:$B$14,MATCH($F59,Settings!$A$8:$A$14,0)),0)))))</f>
        <v/>
      </c>
      <c r="J59" s="21">
        <f>IF($C59="",0,IFERROR(INDEX(Deals!$H$2:$H$355,MATCH($C59,Deals!$A$2:$A$355,0)),0))</f>
        <v/>
      </c>
      <c r="K59" s="32">
        <f>IF(Settings!$B$4="Yes",$I59*$J59,$I59)</f>
        <v/>
      </c>
      <c r="L59" s="22">
        <f>IF($C59="","",IFERROR(IF(INDEX(Deals!$I$2:$I$355,MATCH($C59,Deals!$A$2:$A$355,0))=0,"",INDEX(Deals!$I$2:$I$355,MATCH($C59,Deals!$A$2:$A$355,0))),""))</f>
        <v/>
      </c>
      <c r="M59" s="22">
        <f>IF($C59="","",IFERROR(IF(INDEX(Deals!$J$2:$J$355,MATCH($C59,Deals!$A$2:$A$355,0))=0,"",INDEX(Deals!$J$2:$J$355,MATCH($C59,Deals!$A$2:$A$355,0))),""))</f>
        <v/>
      </c>
      <c r="N59" s="35">
        <f>IF($L59="",DATE(1900,1,1),$L59)</f>
        <v/>
      </c>
      <c r="O59" s="35">
        <f>IF($M59="",DATE(2100,12,31),$M59)</f>
        <v/>
      </c>
      <c r="P59" s="20" t="inlineStr"/>
      <c r="Q59" s="47" t="inlineStr"/>
      <c r="R59" s="16">
        <f>IF($C59="","",IFERROR(IF(INDEX(Deals!$U$2:$U$355,MATCH($C59,Deals!$A$2:$A$355,0))=0,"",INDEX(Deals!$U$2:$U$355,MATCH($C59,Deals!$A$2:$A$355,0))),""))</f>
        <v/>
      </c>
      <c r="S59" s="34">
        <f>IFERROR(IF($U59="",1,INDEX(Deals!$V$2:$V$355,MATCH($C59,Deals!$A$2:$A$355,0))),1)</f>
        <v/>
      </c>
      <c r="T59" s="34">
        <f>IFERROR(IF($U59="",1,INDEX(Deals!$W$2:$W$355,MATCH($C59,Deals!$A$2:$A$355,0))),1)</f>
        <v/>
      </c>
      <c r="U59" s="22">
        <f>IF($C59="","",IFERROR(IF(INDEX(Deals!$Y$2:$Y$355,MATCH($C59,Deals!$A$2:$A$355,0))=0,"",INDEX(Deals!$Y$2:$Y$355,MATCH($C59,Deals!$A$2:$A$355,0))),""))</f>
        <v/>
      </c>
      <c r="V59" s="35">
        <f>IF(OR($U59&lt;&gt;"",AND($AO59&gt;0,$L59&lt;&gt;"",$M59&lt;&gt;"")),$N59,DATE(1900,1,1))</f>
        <v/>
      </c>
      <c r="W59" s="35">
        <f>IF($U59&lt;&gt;"",$U59,IF(AND($AO59&gt;0,$L59&lt;&gt;"",$M59&lt;&gt;""),$O59,DATE(2100,12,31)))</f>
        <v/>
      </c>
      <c r="X59" s="32">
        <f>IF($U59="",$K59,$K59*$S59)</f>
        <v/>
      </c>
      <c r="Y59" s="35">
        <f>IF($U59="",DATE(2100,12,31),$U59+1)</f>
        <v/>
      </c>
      <c r="Z59" s="35">
        <f>IF($U59="",DATE(1900,1,1),$O59)</f>
        <v/>
      </c>
      <c r="AA59" s="32">
        <f>IF($U59="",0,$K59*$T59)</f>
        <v/>
      </c>
      <c r="AB59" s="21">
        <f>IF($C59="",0,IFERROR(INDEX(Deals!$AD$2:$AD$355,MATCH($C59,Deals!$A$2:$A$355,0)),0))</f>
        <v/>
      </c>
      <c r="AC59" s="32">
        <f>IF(Settings!$B$4="Yes",$I59*$AB59,$I59)</f>
        <v/>
      </c>
      <c r="AD59" s="22">
        <f>IF($C59="","",IFERROR(IF(INDEX(Deals!$AE$2:$AE$355,MATCH($C59,Deals!$A$2:$A$355,0))=0,"",INDEX(Deals!$AE$2:$AE$355,MATCH($C59,Deals!$A$2:$A$355,0))),""))</f>
        <v/>
      </c>
      <c r="AE59" s="22">
        <f>IF($C59="","",IFERROR(IF(INDEX(Deals!$AF$2:$AF$355,MATCH($C59,Deals!$A$2:$A$355,0))=0,"",INDEX(Deals!$AF$2:$AF$355,MATCH($C59,Deals!$A$2:$A$355,0))),""))</f>
        <v/>
      </c>
      <c r="AF59" s="35">
        <f>IF($AD59="",DATE(1900,1,1),$AD59)</f>
        <v/>
      </c>
      <c r="AG59" s="35">
        <f>IF($AE59="",DATE(2100,12,31),$AE59)</f>
        <v/>
      </c>
      <c r="AH59" s="22">
        <f>IF($C59="","",IFERROR(IF(INDEX(Deals!$AG$2:$AG$355,MATCH($C59,Deals!$A$2:$A$355,0))=0,"",INDEX(Deals!$AG$2:$AG$355,MATCH($C59,Deals!$A$2:$A$355,0))),""))</f>
        <v/>
      </c>
      <c r="AI59" s="35">
        <f>IF(OR($AH59&lt;&gt;"",AND($AO59&gt;0,$AD59&lt;&gt;"",$AE59&lt;&gt;"")),$AF59,DATE(1900,1,1))</f>
        <v/>
      </c>
      <c r="AJ59" s="35">
        <f>IF($AH59&lt;&gt;"",$AH59,IF(AND($AO59&gt;0,$AD59&lt;&gt;"",$AE59&lt;&gt;""),$AG59,DATE(2100,12,31)))</f>
        <v/>
      </c>
      <c r="AK59" s="32">
        <f>IF($AH59="",$AC59,$AC59*$S59)</f>
        <v/>
      </c>
      <c r="AL59" s="35">
        <f>IF($AH59="",DATE(2100,12,31),$AH59+1)</f>
        <v/>
      </c>
      <c r="AM59" s="35">
        <f>IF($AH59="",DATE(1900,1,1),$AG59)</f>
        <v/>
      </c>
      <c r="AN59" s="32">
        <f>IF($AH59="",0,$AC59*$T59)</f>
        <v/>
      </c>
      <c r="AO59" s="46">
        <f>IF($C59="",0,IFERROR(INDEX(Deals!$BD$2:$BD$355,MATCH($C59,Deals!$A$2:$A$355,0)),0))</f>
        <v/>
      </c>
      <c r="AP59" s="18">
        <f>IF($AO59=0,0,IFERROR(INDEX(Deals!$BJ$2:$BP$355,MATCH($C59,Deals!$A$2:$A$355,0),MATCH($F59,Deals!$BJ$1:$BP$1,0))/COUNTIFS(Assignments!$C$2:$C$769,$C59,Assignments!$F$2:$F$769,$F59,Assignments!$G$2:$G$769,"Active"),0))</f>
        <v/>
      </c>
    </row>
    <row r="60">
      <c r="A60" s="28" t="inlineStr">
        <is>
          <t>John</t>
        </is>
      </c>
      <c r="B60" s="16">
        <f>IF($A60="","",IFERROR(INDEX(Roster!$B$2:$B$40,MATCH($A60,Roster!$A$2:$A$40,0)),"?"))</f>
        <v/>
      </c>
      <c r="C60" s="28" t="inlineStr">
        <is>
          <t>Elcano_1</t>
        </is>
      </c>
      <c r="D60" s="16">
        <f>IF($C60="","",IFERROR(IF(INDEX(Deals!$C$2:$C$355,MATCH($C60,Deals!$A$2:$A$355,0))=0,"",INDEX(Deals!$C$2:$C$355,MATCH($C60,Deals!$A$2:$A$355,0))),"?"))</f>
        <v/>
      </c>
      <c r="E60" s="16">
        <f>IF($C60="","",IFERROR(INDEX(Deals!$F$2:$F$355,MATCH($C60,Deals!$A$2:$A$355,0)),"?"))</f>
        <v/>
      </c>
      <c r="F60" s="28" t="inlineStr">
        <is>
          <t>Partner</t>
        </is>
      </c>
      <c r="G60" s="28" t="inlineStr">
        <is>
          <t>Active</t>
        </is>
      </c>
      <c r="H60" s="31" t="n"/>
      <c r="I60" s="32">
        <f>IF(OR($A60="",$G60&lt;&gt;"Active"),0,IF($H60&lt;&gt;"",$H60,IF($AO60&gt;0,$AP60,IF(AND($R60&lt;&gt;"",IFERROR(INDEX(Templates!$B$3:$H$10,MATCH($R60,Templates!$A$3:$A$10,0),MATCH($F60,Templates!$B$2:$H$2,0)),0)&gt;0),INDEX(Templates!$B$3:$H$10,MATCH($R60,Templates!$A$3:$A$10,0),MATCH($F60,Templates!$B$2:$H$2,0)),IFERROR(INDEX(Settings!$B$8:$B$14,MATCH($F60,Settings!$A$8:$A$14,0)),0)))))</f>
        <v/>
      </c>
      <c r="J60" s="21">
        <f>IF($C60="",0,IFERROR(INDEX(Deals!$H$2:$H$355,MATCH($C60,Deals!$A$2:$A$355,0)),0))</f>
        <v/>
      </c>
      <c r="K60" s="32">
        <f>IF(Settings!$B$4="Yes",$I60*$J60,$I60)</f>
        <v/>
      </c>
      <c r="L60" s="22">
        <f>IF($C60="","",IFERROR(IF(INDEX(Deals!$I$2:$I$355,MATCH($C60,Deals!$A$2:$A$355,0))=0,"",INDEX(Deals!$I$2:$I$355,MATCH($C60,Deals!$A$2:$A$355,0))),""))</f>
        <v/>
      </c>
      <c r="M60" s="22">
        <f>IF($C60="","",IFERROR(IF(INDEX(Deals!$J$2:$J$355,MATCH($C60,Deals!$A$2:$A$355,0))=0,"",INDEX(Deals!$J$2:$J$355,MATCH($C60,Deals!$A$2:$A$355,0))),""))</f>
        <v/>
      </c>
      <c r="N60" s="35">
        <f>IF($L60="",DATE(1900,1,1),$L60)</f>
        <v/>
      </c>
      <c r="O60" s="35">
        <f>IF($M60="",DATE(2100,12,31),$M60)</f>
        <v/>
      </c>
      <c r="P60" s="20" t="inlineStr"/>
      <c r="Q60" s="47" t="inlineStr"/>
      <c r="R60" s="16">
        <f>IF($C60="","",IFERROR(IF(INDEX(Deals!$U$2:$U$355,MATCH($C60,Deals!$A$2:$A$355,0))=0,"",INDEX(Deals!$U$2:$U$355,MATCH($C60,Deals!$A$2:$A$355,0))),""))</f>
        <v/>
      </c>
      <c r="S60" s="34">
        <f>IFERROR(IF($U60="",1,INDEX(Deals!$V$2:$V$355,MATCH($C60,Deals!$A$2:$A$355,0))),1)</f>
        <v/>
      </c>
      <c r="T60" s="34">
        <f>IFERROR(IF($U60="",1,INDEX(Deals!$W$2:$W$355,MATCH($C60,Deals!$A$2:$A$355,0))),1)</f>
        <v/>
      </c>
      <c r="U60" s="22">
        <f>IF($C60="","",IFERROR(IF(INDEX(Deals!$Y$2:$Y$355,MATCH($C60,Deals!$A$2:$A$355,0))=0,"",INDEX(Deals!$Y$2:$Y$355,MATCH($C60,Deals!$A$2:$A$355,0))),""))</f>
        <v/>
      </c>
      <c r="V60" s="35">
        <f>IF(OR($U60&lt;&gt;"",AND($AO60&gt;0,$L60&lt;&gt;"",$M60&lt;&gt;"")),$N60,DATE(1900,1,1))</f>
        <v/>
      </c>
      <c r="W60" s="35">
        <f>IF($U60&lt;&gt;"",$U60,IF(AND($AO60&gt;0,$L60&lt;&gt;"",$M60&lt;&gt;""),$O60,DATE(2100,12,31)))</f>
        <v/>
      </c>
      <c r="X60" s="32">
        <f>IF($U60="",$K60,$K60*$S60)</f>
        <v/>
      </c>
      <c r="Y60" s="35">
        <f>IF($U60="",DATE(2100,12,31),$U60+1)</f>
        <v/>
      </c>
      <c r="Z60" s="35">
        <f>IF($U60="",DATE(1900,1,1),$O60)</f>
        <v/>
      </c>
      <c r="AA60" s="32">
        <f>IF($U60="",0,$K60*$T60)</f>
        <v/>
      </c>
      <c r="AB60" s="21">
        <f>IF($C60="",0,IFERROR(INDEX(Deals!$AD$2:$AD$355,MATCH($C60,Deals!$A$2:$A$355,0)),0))</f>
        <v/>
      </c>
      <c r="AC60" s="32">
        <f>IF(Settings!$B$4="Yes",$I60*$AB60,$I60)</f>
        <v/>
      </c>
      <c r="AD60" s="22">
        <f>IF($C60="","",IFERROR(IF(INDEX(Deals!$AE$2:$AE$355,MATCH($C60,Deals!$A$2:$A$355,0))=0,"",INDEX(Deals!$AE$2:$AE$355,MATCH($C60,Deals!$A$2:$A$355,0))),""))</f>
        <v/>
      </c>
      <c r="AE60" s="22">
        <f>IF($C60="","",IFERROR(IF(INDEX(Deals!$AF$2:$AF$355,MATCH($C60,Deals!$A$2:$A$355,0))=0,"",INDEX(Deals!$AF$2:$AF$355,MATCH($C60,Deals!$A$2:$A$355,0))),""))</f>
        <v/>
      </c>
      <c r="AF60" s="35">
        <f>IF($AD60="",DATE(1900,1,1),$AD60)</f>
        <v/>
      </c>
      <c r="AG60" s="35">
        <f>IF($AE60="",DATE(2100,12,31),$AE60)</f>
        <v/>
      </c>
      <c r="AH60" s="22">
        <f>IF($C60="","",IFERROR(IF(INDEX(Deals!$AG$2:$AG$355,MATCH($C60,Deals!$A$2:$A$355,0))=0,"",INDEX(Deals!$AG$2:$AG$355,MATCH($C60,Deals!$A$2:$A$355,0))),""))</f>
        <v/>
      </c>
      <c r="AI60" s="35">
        <f>IF(OR($AH60&lt;&gt;"",AND($AO60&gt;0,$AD60&lt;&gt;"",$AE60&lt;&gt;"")),$AF60,DATE(1900,1,1))</f>
        <v/>
      </c>
      <c r="AJ60" s="35">
        <f>IF($AH60&lt;&gt;"",$AH60,IF(AND($AO60&gt;0,$AD60&lt;&gt;"",$AE60&lt;&gt;""),$AG60,DATE(2100,12,31)))</f>
        <v/>
      </c>
      <c r="AK60" s="32">
        <f>IF($AH60="",$AC60,$AC60*$S60)</f>
        <v/>
      </c>
      <c r="AL60" s="35">
        <f>IF($AH60="",DATE(2100,12,31),$AH60+1)</f>
        <v/>
      </c>
      <c r="AM60" s="35">
        <f>IF($AH60="",DATE(1900,1,1),$AG60)</f>
        <v/>
      </c>
      <c r="AN60" s="32">
        <f>IF($AH60="",0,$AC60*$T60)</f>
        <v/>
      </c>
      <c r="AO60" s="46">
        <f>IF($C60="",0,IFERROR(INDEX(Deals!$BD$2:$BD$355,MATCH($C60,Deals!$A$2:$A$355,0)),0))</f>
        <v/>
      </c>
      <c r="AP60" s="18">
        <f>IF($AO60=0,0,IFERROR(INDEX(Deals!$BJ$2:$BP$355,MATCH($C60,Deals!$A$2:$A$355,0),MATCH($F60,Deals!$BJ$1:$BP$1,0))/COUNTIFS(Assignments!$C$2:$C$769,$C60,Assignments!$F$2:$F$769,$F60,Assignments!$G$2:$G$769,"Active"),0))</f>
        <v/>
      </c>
    </row>
    <row r="61">
      <c r="A61" s="28" t="inlineStr">
        <is>
          <t>John</t>
        </is>
      </c>
      <c r="B61" s="16">
        <f>IF($A61="","",IFERROR(INDEX(Roster!$B$2:$B$40,MATCH($A61,Roster!$A$2:$A$40,0)),"?"))</f>
        <v/>
      </c>
      <c r="C61" s="28" t="inlineStr">
        <is>
          <t>FIRPTA_5</t>
        </is>
      </c>
      <c r="D61" s="16">
        <f>IF($C61="","",IFERROR(IF(INDEX(Deals!$C$2:$C$355,MATCH($C61,Deals!$A$2:$A$355,0))=0,"",INDEX(Deals!$C$2:$C$355,MATCH($C61,Deals!$A$2:$A$355,0))),"?"))</f>
        <v/>
      </c>
      <c r="E61" s="16">
        <f>IF($C61="","",IFERROR(INDEX(Deals!$F$2:$F$355,MATCH($C61,Deals!$A$2:$A$355,0)),"?"))</f>
        <v/>
      </c>
      <c r="F61" s="28" t="inlineStr">
        <is>
          <t>Partner</t>
        </is>
      </c>
      <c r="G61" s="28" t="inlineStr">
        <is>
          <t>Active</t>
        </is>
      </c>
      <c r="H61" s="31" t="n"/>
      <c r="I61" s="32">
        <f>IF(OR($A61="",$G61&lt;&gt;"Active"),0,IF($H61&lt;&gt;"",$H61,IF($AO61&gt;0,$AP61,IF(AND($R61&lt;&gt;"",IFERROR(INDEX(Templates!$B$3:$H$10,MATCH($R61,Templates!$A$3:$A$10,0),MATCH($F61,Templates!$B$2:$H$2,0)),0)&gt;0),INDEX(Templates!$B$3:$H$10,MATCH($R61,Templates!$A$3:$A$10,0),MATCH($F61,Templates!$B$2:$H$2,0)),IFERROR(INDEX(Settings!$B$8:$B$14,MATCH($F61,Settings!$A$8:$A$14,0)),0)))))</f>
        <v/>
      </c>
      <c r="J61" s="21">
        <f>IF($C61="",0,IFERROR(INDEX(Deals!$H$2:$H$355,MATCH($C61,Deals!$A$2:$A$355,0)),0))</f>
        <v/>
      </c>
      <c r="K61" s="32">
        <f>IF(Settings!$B$4="Yes",$I61*$J61,$I61)</f>
        <v/>
      </c>
      <c r="L61" s="22">
        <f>IF($C61="","",IFERROR(IF(INDEX(Deals!$I$2:$I$355,MATCH($C61,Deals!$A$2:$A$355,0))=0,"",INDEX(Deals!$I$2:$I$355,MATCH($C61,Deals!$A$2:$A$355,0))),""))</f>
        <v/>
      </c>
      <c r="M61" s="22">
        <f>IF($C61="","",IFERROR(IF(INDEX(Deals!$J$2:$J$355,MATCH($C61,Deals!$A$2:$A$355,0))=0,"",INDEX(Deals!$J$2:$J$355,MATCH($C61,Deals!$A$2:$A$355,0))),""))</f>
        <v/>
      </c>
      <c r="N61" s="35">
        <f>IF($L61="",DATE(1900,1,1),$L61)</f>
        <v/>
      </c>
      <c r="O61" s="35">
        <f>IF($M61="",DATE(2100,12,31),$M61)</f>
        <v/>
      </c>
      <c r="P61" s="20" t="inlineStr"/>
      <c r="Q61" s="47" t="inlineStr"/>
      <c r="R61" s="16">
        <f>IF($C61="","",IFERROR(IF(INDEX(Deals!$U$2:$U$355,MATCH($C61,Deals!$A$2:$A$355,0))=0,"",INDEX(Deals!$U$2:$U$355,MATCH($C61,Deals!$A$2:$A$355,0))),""))</f>
        <v/>
      </c>
      <c r="S61" s="34">
        <f>IFERROR(IF($U61="",1,INDEX(Deals!$V$2:$V$355,MATCH($C61,Deals!$A$2:$A$355,0))),1)</f>
        <v/>
      </c>
      <c r="T61" s="34">
        <f>IFERROR(IF($U61="",1,INDEX(Deals!$W$2:$W$355,MATCH($C61,Deals!$A$2:$A$355,0))),1)</f>
        <v/>
      </c>
      <c r="U61" s="22">
        <f>IF($C61="","",IFERROR(IF(INDEX(Deals!$Y$2:$Y$355,MATCH($C61,Deals!$A$2:$A$355,0))=0,"",INDEX(Deals!$Y$2:$Y$355,MATCH($C61,Deals!$A$2:$A$355,0))),""))</f>
        <v/>
      </c>
      <c r="V61" s="35">
        <f>IF(OR($U61&lt;&gt;"",AND($AO61&gt;0,$L61&lt;&gt;"",$M61&lt;&gt;"")),$N61,DATE(1900,1,1))</f>
        <v/>
      </c>
      <c r="W61" s="35">
        <f>IF($U61&lt;&gt;"",$U61,IF(AND($AO61&gt;0,$L61&lt;&gt;"",$M61&lt;&gt;""),$O61,DATE(2100,12,31)))</f>
        <v/>
      </c>
      <c r="X61" s="32">
        <f>IF($U61="",$K61,$K61*$S61)</f>
        <v/>
      </c>
      <c r="Y61" s="35">
        <f>IF($U61="",DATE(2100,12,31),$U61+1)</f>
        <v/>
      </c>
      <c r="Z61" s="35">
        <f>IF($U61="",DATE(1900,1,1),$O61)</f>
        <v/>
      </c>
      <c r="AA61" s="32">
        <f>IF($U61="",0,$K61*$T61)</f>
        <v/>
      </c>
      <c r="AB61" s="21">
        <f>IF($C61="",0,IFERROR(INDEX(Deals!$AD$2:$AD$355,MATCH($C61,Deals!$A$2:$A$355,0)),0))</f>
        <v/>
      </c>
      <c r="AC61" s="32">
        <f>IF(Settings!$B$4="Yes",$I61*$AB61,$I61)</f>
        <v/>
      </c>
      <c r="AD61" s="22">
        <f>IF($C61="","",IFERROR(IF(INDEX(Deals!$AE$2:$AE$355,MATCH($C61,Deals!$A$2:$A$355,0))=0,"",INDEX(Deals!$AE$2:$AE$355,MATCH($C61,Deals!$A$2:$A$355,0))),""))</f>
        <v/>
      </c>
      <c r="AE61" s="22">
        <f>IF($C61="","",IFERROR(IF(INDEX(Deals!$AF$2:$AF$355,MATCH($C61,Deals!$A$2:$A$355,0))=0,"",INDEX(Deals!$AF$2:$AF$355,MATCH($C61,Deals!$A$2:$A$355,0))),""))</f>
        <v/>
      </c>
      <c r="AF61" s="35">
        <f>IF($AD61="",DATE(1900,1,1),$AD61)</f>
        <v/>
      </c>
      <c r="AG61" s="35">
        <f>IF($AE61="",DATE(2100,12,31),$AE61)</f>
        <v/>
      </c>
      <c r="AH61" s="22">
        <f>IF($C61="","",IFERROR(IF(INDEX(Deals!$AG$2:$AG$355,MATCH($C61,Deals!$A$2:$A$355,0))=0,"",INDEX(Deals!$AG$2:$AG$355,MATCH($C61,Deals!$A$2:$A$355,0))),""))</f>
        <v/>
      </c>
      <c r="AI61" s="35">
        <f>IF(OR($AH61&lt;&gt;"",AND($AO61&gt;0,$AD61&lt;&gt;"",$AE61&lt;&gt;"")),$AF61,DATE(1900,1,1))</f>
        <v/>
      </c>
      <c r="AJ61" s="35">
        <f>IF($AH61&lt;&gt;"",$AH61,IF(AND($AO61&gt;0,$AD61&lt;&gt;"",$AE61&lt;&gt;""),$AG61,DATE(2100,12,31)))</f>
        <v/>
      </c>
      <c r="AK61" s="32">
        <f>IF($AH61="",$AC61,$AC61*$S61)</f>
        <v/>
      </c>
      <c r="AL61" s="35">
        <f>IF($AH61="",DATE(2100,12,31),$AH61+1)</f>
        <v/>
      </c>
      <c r="AM61" s="35">
        <f>IF($AH61="",DATE(1900,1,1),$AG61)</f>
        <v/>
      </c>
      <c r="AN61" s="32">
        <f>IF($AH61="",0,$AC61*$T61)</f>
        <v/>
      </c>
      <c r="AO61" s="46">
        <f>IF($C61="",0,IFERROR(INDEX(Deals!$BD$2:$BD$355,MATCH($C61,Deals!$A$2:$A$355,0)),0))</f>
        <v/>
      </c>
      <c r="AP61" s="18">
        <f>IF($AO61=0,0,IFERROR(INDEX(Deals!$BJ$2:$BP$355,MATCH($C61,Deals!$A$2:$A$355,0),MATCH($F61,Deals!$BJ$1:$BP$1,0))/COUNTIFS(Assignments!$C$2:$C$769,$C61,Assignments!$F$2:$F$769,$F61,Assignments!$G$2:$G$769,"Active"),0))</f>
        <v/>
      </c>
    </row>
    <row r="62">
      <c r="A62" s="28" t="inlineStr">
        <is>
          <t>John</t>
        </is>
      </c>
      <c r="B62" s="16">
        <f>IF($A62="","",IFERROR(INDEX(Roster!$B$2:$B$40,MATCH($A62,Roster!$A$2:$A$40,0)),"?"))</f>
        <v/>
      </c>
      <c r="C62" s="28" t="inlineStr">
        <is>
          <t>Fury_1</t>
        </is>
      </c>
      <c r="D62" s="16">
        <f>IF($C62="","",IFERROR(IF(INDEX(Deals!$C$2:$C$355,MATCH($C62,Deals!$A$2:$A$355,0))=0,"",INDEX(Deals!$C$2:$C$355,MATCH($C62,Deals!$A$2:$A$355,0))),"?"))</f>
        <v/>
      </c>
      <c r="E62" s="16">
        <f>IF($C62="","",IFERROR(INDEX(Deals!$F$2:$F$355,MATCH($C62,Deals!$A$2:$A$355,0)),"?"))</f>
        <v/>
      </c>
      <c r="F62" s="28" t="inlineStr">
        <is>
          <t>Partner</t>
        </is>
      </c>
      <c r="G62" s="28" t="inlineStr">
        <is>
          <t>Active</t>
        </is>
      </c>
      <c r="H62" s="31" t="n"/>
      <c r="I62" s="32">
        <f>IF(OR($A62="",$G62&lt;&gt;"Active"),0,IF($H62&lt;&gt;"",$H62,IF($AO62&gt;0,$AP62,IF(AND($R62&lt;&gt;"",IFERROR(INDEX(Templates!$B$3:$H$10,MATCH($R62,Templates!$A$3:$A$10,0),MATCH($F62,Templates!$B$2:$H$2,0)),0)&gt;0),INDEX(Templates!$B$3:$H$10,MATCH($R62,Templates!$A$3:$A$10,0),MATCH($F62,Templates!$B$2:$H$2,0)),IFERROR(INDEX(Settings!$B$8:$B$14,MATCH($F62,Settings!$A$8:$A$14,0)),0)))))</f>
        <v/>
      </c>
      <c r="J62" s="21">
        <f>IF($C62="",0,IFERROR(INDEX(Deals!$H$2:$H$355,MATCH($C62,Deals!$A$2:$A$355,0)),0))</f>
        <v/>
      </c>
      <c r="K62" s="32">
        <f>IF(Settings!$B$4="Yes",$I62*$J62,$I62)</f>
        <v/>
      </c>
      <c r="L62" s="22">
        <f>IF($C62="","",IFERROR(IF(INDEX(Deals!$I$2:$I$355,MATCH($C62,Deals!$A$2:$A$355,0))=0,"",INDEX(Deals!$I$2:$I$355,MATCH($C62,Deals!$A$2:$A$355,0))),""))</f>
        <v/>
      </c>
      <c r="M62" s="22">
        <f>IF($C62="","",IFERROR(IF(INDEX(Deals!$J$2:$J$355,MATCH($C62,Deals!$A$2:$A$355,0))=0,"",INDEX(Deals!$J$2:$J$355,MATCH($C62,Deals!$A$2:$A$355,0))),""))</f>
        <v/>
      </c>
      <c r="N62" s="35">
        <f>IF($L62="",DATE(1900,1,1),$L62)</f>
        <v/>
      </c>
      <c r="O62" s="35">
        <f>IF($M62="",DATE(2100,12,31),$M62)</f>
        <v/>
      </c>
      <c r="P62" s="20" t="inlineStr"/>
      <c r="Q62" s="47" t="inlineStr"/>
      <c r="R62" s="16">
        <f>IF($C62="","",IFERROR(IF(INDEX(Deals!$U$2:$U$355,MATCH($C62,Deals!$A$2:$A$355,0))=0,"",INDEX(Deals!$U$2:$U$355,MATCH($C62,Deals!$A$2:$A$355,0))),""))</f>
        <v/>
      </c>
      <c r="S62" s="34">
        <f>IFERROR(IF($U62="",1,INDEX(Deals!$V$2:$V$355,MATCH($C62,Deals!$A$2:$A$355,0))),1)</f>
        <v/>
      </c>
      <c r="T62" s="34">
        <f>IFERROR(IF($U62="",1,INDEX(Deals!$W$2:$W$355,MATCH($C62,Deals!$A$2:$A$355,0))),1)</f>
        <v/>
      </c>
      <c r="U62" s="22">
        <f>IF($C62="","",IFERROR(IF(INDEX(Deals!$Y$2:$Y$355,MATCH($C62,Deals!$A$2:$A$355,0))=0,"",INDEX(Deals!$Y$2:$Y$355,MATCH($C62,Deals!$A$2:$A$355,0))),""))</f>
        <v/>
      </c>
      <c r="V62" s="35">
        <f>IF(OR($U62&lt;&gt;"",AND($AO62&gt;0,$L62&lt;&gt;"",$M62&lt;&gt;"")),$N62,DATE(1900,1,1))</f>
        <v/>
      </c>
      <c r="W62" s="35">
        <f>IF($U62&lt;&gt;"",$U62,IF(AND($AO62&gt;0,$L62&lt;&gt;"",$M62&lt;&gt;""),$O62,DATE(2100,12,31)))</f>
        <v/>
      </c>
      <c r="X62" s="32">
        <f>IF($U62="",$K62,$K62*$S62)</f>
        <v/>
      </c>
      <c r="Y62" s="35">
        <f>IF($U62="",DATE(2100,12,31),$U62+1)</f>
        <v/>
      </c>
      <c r="Z62" s="35">
        <f>IF($U62="",DATE(1900,1,1),$O62)</f>
        <v/>
      </c>
      <c r="AA62" s="32">
        <f>IF($U62="",0,$K62*$T62)</f>
        <v/>
      </c>
      <c r="AB62" s="21">
        <f>IF($C62="",0,IFERROR(INDEX(Deals!$AD$2:$AD$355,MATCH($C62,Deals!$A$2:$A$355,0)),0))</f>
        <v/>
      </c>
      <c r="AC62" s="32">
        <f>IF(Settings!$B$4="Yes",$I62*$AB62,$I62)</f>
        <v/>
      </c>
      <c r="AD62" s="22">
        <f>IF($C62="","",IFERROR(IF(INDEX(Deals!$AE$2:$AE$355,MATCH($C62,Deals!$A$2:$A$355,0))=0,"",INDEX(Deals!$AE$2:$AE$355,MATCH($C62,Deals!$A$2:$A$355,0))),""))</f>
        <v/>
      </c>
      <c r="AE62" s="22">
        <f>IF($C62="","",IFERROR(IF(INDEX(Deals!$AF$2:$AF$355,MATCH($C62,Deals!$A$2:$A$355,0))=0,"",INDEX(Deals!$AF$2:$AF$355,MATCH($C62,Deals!$A$2:$A$355,0))),""))</f>
        <v/>
      </c>
      <c r="AF62" s="35">
        <f>IF($AD62="",DATE(1900,1,1),$AD62)</f>
        <v/>
      </c>
      <c r="AG62" s="35">
        <f>IF($AE62="",DATE(2100,12,31),$AE62)</f>
        <v/>
      </c>
      <c r="AH62" s="22">
        <f>IF($C62="","",IFERROR(IF(INDEX(Deals!$AG$2:$AG$355,MATCH($C62,Deals!$A$2:$A$355,0))=0,"",INDEX(Deals!$AG$2:$AG$355,MATCH($C62,Deals!$A$2:$A$355,0))),""))</f>
        <v/>
      </c>
      <c r="AI62" s="35">
        <f>IF(OR($AH62&lt;&gt;"",AND($AO62&gt;0,$AD62&lt;&gt;"",$AE62&lt;&gt;"")),$AF62,DATE(1900,1,1))</f>
        <v/>
      </c>
      <c r="AJ62" s="35">
        <f>IF($AH62&lt;&gt;"",$AH62,IF(AND($AO62&gt;0,$AD62&lt;&gt;"",$AE62&lt;&gt;""),$AG62,DATE(2100,12,31)))</f>
        <v/>
      </c>
      <c r="AK62" s="32">
        <f>IF($AH62="",$AC62,$AC62*$S62)</f>
        <v/>
      </c>
      <c r="AL62" s="35">
        <f>IF($AH62="",DATE(2100,12,31),$AH62+1)</f>
        <v/>
      </c>
      <c r="AM62" s="35">
        <f>IF($AH62="",DATE(1900,1,1),$AG62)</f>
        <v/>
      </c>
      <c r="AN62" s="32">
        <f>IF($AH62="",0,$AC62*$T62)</f>
        <v/>
      </c>
      <c r="AO62" s="46">
        <f>IF($C62="",0,IFERROR(INDEX(Deals!$BD$2:$BD$355,MATCH($C62,Deals!$A$2:$A$355,0)),0))</f>
        <v/>
      </c>
      <c r="AP62" s="18">
        <f>IF($AO62=0,0,IFERROR(INDEX(Deals!$BJ$2:$BP$355,MATCH($C62,Deals!$A$2:$A$355,0),MATCH($F62,Deals!$BJ$1:$BP$1,0))/COUNTIFS(Assignments!$C$2:$C$769,$C62,Assignments!$F$2:$F$769,$F62,Assignments!$G$2:$G$769,"Active"),0))</f>
        <v/>
      </c>
    </row>
    <row r="63">
      <c r="A63" s="28" t="inlineStr">
        <is>
          <t>John</t>
        </is>
      </c>
      <c r="B63" s="16">
        <f>IF($A63="","",IFERROR(INDEX(Roster!$B$2:$B$40,MATCH($A63,Roster!$A$2:$A$40,0)),"?"))</f>
        <v/>
      </c>
      <c r="C63" s="28" t="inlineStr">
        <is>
          <t>Gambit_1</t>
        </is>
      </c>
      <c r="D63" s="16">
        <f>IF($C63="","",IFERROR(IF(INDEX(Deals!$C$2:$C$355,MATCH($C63,Deals!$A$2:$A$355,0))=0,"",INDEX(Deals!$C$2:$C$355,MATCH($C63,Deals!$A$2:$A$355,0))),"?"))</f>
        <v/>
      </c>
      <c r="E63" s="16">
        <f>IF($C63="","",IFERROR(INDEX(Deals!$F$2:$F$355,MATCH($C63,Deals!$A$2:$A$355,0)),"?"))</f>
        <v/>
      </c>
      <c r="F63" s="28" t="inlineStr">
        <is>
          <t>Partner</t>
        </is>
      </c>
      <c r="G63" s="28" t="inlineStr">
        <is>
          <t>Active</t>
        </is>
      </c>
      <c r="H63" s="31" t="n"/>
      <c r="I63" s="32">
        <f>IF(OR($A63="",$G63&lt;&gt;"Active"),0,IF($H63&lt;&gt;"",$H63,IF($AO63&gt;0,$AP63,IF(AND($R63&lt;&gt;"",IFERROR(INDEX(Templates!$B$3:$H$10,MATCH($R63,Templates!$A$3:$A$10,0),MATCH($F63,Templates!$B$2:$H$2,0)),0)&gt;0),INDEX(Templates!$B$3:$H$10,MATCH($R63,Templates!$A$3:$A$10,0),MATCH($F63,Templates!$B$2:$H$2,0)),IFERROR(INDEX(Settings!$B$8:$B$14,MATCH($F63,Settings!$A$8:$A$14,0)),0)))))</f>
        <v/>
      </c>
      <c r="J63" s="21">
        <f>IF($C63="",0,IFERROR(INDEX(Deals!$H$2:$H$355,MATCH($C63,Deals!$A$2:$A$355,0)),0))</f>
        <v/>
      </c>
      <c r="K63" s="32">
        <f>IF(Settings!$B$4="Yes",$I63*$J63,$I63)</f>
        <v/>
      </c>
      <c r="L63" s="22">
        <f>IF($C63="","",IFERROR(IF(INDEX(Deals!$I$2:$I$355,MATCH($C63,Deals!$A$2:$A$355,0))=0,"",INDEX(Deals!$I$2:$I$355,MATCH($C63,Deals!$A$2:$A$355,0))),""))</f>
        <v/>
      </c>
      <c r="M63" s="22">
        <f>IF($C63="","",IFERROR(IF(INDEX(Deals!$J$2:$J$355,MATCH($C63,Deals!$A$2:$A$355,0))=0,"",INDEX(Deals!$J$2:$J$355,MATCH($C63,Deals!$A$2:$A$355,0))),""))</f>
        <v/>
      </c>
      <c r="N63" s="35">
        <f>IF($L63="",DATE(1900,1,1),$L63)</f>
        <v/>
      </c>
      <c r="O63" s="35">
        <f>IF($M63="",DATE(2100,12,31),$M63)</f>
        <v/>
      </c>
      <c r="P63" s="20" t="inlineStr"/>
      <c r="Q63" s="47" t="inlineStr"/>
      <c r="R63" s="16">
        <f>IF($C63="","",IFERROR(IF(INDEX(Deals!$U$2:$U$355,MATCH($C63,Deals!$A$2:$A$355,0))=0,"",INDEX(Deals!$U$2:$U$355,MATCH($C63,Deals!$A$2:$A$355,0))),""))</f>
        <v/>
      </c>
      <c r="S63" s="34">
        <f>IFERROR(IF($U63="",1,INDEX(Deals!$V$2:$V$355,MATCH($C63,Deals!$A$2:$A$355,0))),1)</f>
        <v/>
      </c>
      <c r="T63" s="34">
        <f>IFERROR(IF($U63="",1,INDEX(Deals!$W$2:$W$355,MATCH($C63,Deals!$A$2:$A$355,0))),1)</f>
        <v/>
      </c>
      <c r="U63" s="22">
        <f>IF($C63="","",IFERROR(IF(INDEX(Deals!$Y$2:$Y$355,MATCH($C63,Deals!$A$2:$A$355,0))=0,"",INDEX(Deals!$Y$2:$Y$355,MATCH($C63,Deals!$A$2:$A$355,0))),""))</f>
        <v/>
      </c>
      <c r="V63" s="35">
        <f>IF(OR($U63&lt;&gt;"",AND($AO63&gt;0,$L63&lt;&gt;"",$M63&lt;&gt;"")),$N63,DATE(1900,1,1))</f>
        <v/>
      </c>
      <c r="W63" s="35">
        <f>IF($U63&lt;&gt;"",$U63,IF(AND($AO63&gt;0,$L63&lt;&gt;"",$M63&lt;&gt;""),$O63,DATE(2100,12,31)))</f>
        <v/>
      </c>
      <c r="X63" s="32">
        <f>IF($U63="",$K63,$K63*$S63)</f>
        <v/>
      </c>
      <c r="Y63" s="35">
        <f>IF($U63="",DATE(2100,12,31),$U63+1)</f>
        <v/>
      </c>
      <c r="Z63" s="35">
        <f>IF($U63="",DATE(1900,1,1),$O63)</f>
        <v/>
      </c>
      <c r="AA63" s="32">
        <f>IF($U63="",0,$K63*$T63)</f>
        <v/>
      </c>
      <c r="AB63" s="21">
        <f>IF($C63="",0,IFERROR(INDEX(Deals!$AD$2:$AD$355,MATCH($C63,Deals!$A$2:$A$355,0)),0))</f>
        <v/>
      </c>
      <c r="AC63" s="32">
        <f>IF(Settings!$B$4="Yes",$I63*$AB63,$I63)</f>
        <v/>
      </c>
      <c r="AD63" s="22">
        <f>IF($C63="","",IFERROR(IF(INDEX(Deals!$AE$2:$AE$355,MATCH($C63,Deals!$A$2:$A$355,0))=0,"",INDEX(Deals!$AE$2:$AE$355,MATCH($C63,Deals!$A$2:$A$355,0))),""))</f>
        <v/>
      </c>
      <c r="AE63" s="22">
        <f>IF($C63="","",IFERROR(IF(INDEX(Deals!$AF$2:$AF$355,MATCH($C63,Deals!$A$2:$A$355,0))=0,"",INDEX(Deals!$AF$2:$AF$355,MATCH($C63,Deals!$A$2:$A$355,0))),""))</f>
        <v/>
      </c>
      <c r="AF63" s="35">
        <f>IF($AD63="",DATE(1900,1,1),$AD63)</f>
        <v/>
      </c>
      <c r="AG63" s="35">
        <f>IF($AE63="",DATE(2100,12,31),$AE63)</f>
        <v/>
      </c>
      <c r="AH63" s="22">
        <f>IF($C63="","",IFERROR(IF(INDEX(Deals!$AG$2:$AG$355,MATCH($C63,Deals!$A$2:$A$355,0))=0,"",INDEX(Deals!$AG$2:$AG$355,MATCH($C63,Deals!$A$2:$A$355,0))),""))</f>
        <v/>
      </c>
      <c r="AI63" s="35">
        <f>IF(OR($AH63&lt;&gt;"",AND($AO63&gt;0,$AD63&lt;&gt;"",$AE63&lt;&gt;"")),$AF63,DATE(1900,1,1))</f>
        <v/>
      </c>
      <c r="AJ63" s="35">
        <f>IF($AH63&lt;&gt;"",$AH63,IF(AND($AO63&gt;0,$AD63&lt;&gt;"",$AE63&lt;&gt;""),$AG63,DATE(2100,12,31)))</f>
        <v/>
      </c>
      <c r="AK63" s="32">
        <f>IF($AH63="",$AC63,$AC63*$S63)</f>
        <v/>
      </c>
      <c r="AL63" s="35">
        <f>IF($AH63="",DATE(2100,12,31),$AH63+1)</f>
        <v/>
      </c>
      <c r="AM63" s="35">
        <f>IF($AH63="",DATE(1900,1,1),$AG63)</f>
        <v/>
      </c>
      <c r="AN63" s="32">
        <f>IF($AH63="",0,$AC63*$T63)</f>
        <v/>
      </c>
      <c r="AO63" s="46">
        <f>IF($C63="",0,IFERROR(INDEX(Deals!$BD$2:$BD$355,MATCH($C63,Deals!$A$2:$A$355,0)),0))</f>
        <v/>
      </c>
      <c r="AP63" s="18">
        <f>IF($AO63=0,0,IFERROR(INDEX(Deals!$BJ$2:$BP$355,MATCH($C63,Deals!$A$2:$A$355,0),MATCH($F63,Deals!$BJ$1:$BP$1,0))/COUNTIFS(Assignments!$C$2:$C$769,$C63,Assignments!$F$2:$F$769,$F63,Assignments!$G$2:$G$769,"Active"),0))</f>
        <v/>
      </c>
    </row>
    <row r="64">
      <c r="A64" s="28" t="inlineStr">
        <is>
          <t>John</t>
        </is>
      </c>
      <c r="B64" s="16">
        <f>IF($A64="","",IFERROR(INDEX(Roster!$B$2:$B$40,MATCH($A64,Roster!$A$2:$A$40,0)),"?"))</f>
        <v/>
      </c>
      <c r="C64" s="28" t="inlineStr">
        <is>
          <t>Geneseo_1</t>
        </is>
      </c>
      <c r="D64" s="16">
        <f>IF($C64="","",IFERROR(IF(INDEX(Deals!$C$2:$C$355,MATCH($C64,Deals!$A$2:$A$355,0))=0,"",INDEX(Deals!$C$2:$C$355,MATCH($C64,Deals!$A$2:$A$355,0))),"?"))</f>
        <v/>
      </c>
      <c r="E64" s="16">
        <f>IF($C64="","",IFERROR(INDEX(Deals!$F$2:$F$355,MATCH($C64,Deals!$A$2:$A$355,0)),"?"))</f>
        <v/>
      </c>
      <c r="F64" s="28" t="inlineStr">
        <is>
          <t>Partner</t>
        </is>
      </c>
      <c r="G64" s="28" t="inlineStr">
        <is>
          <t>Active</t>
        </is>
      </c>
      <c r="H64" s="31" t="n"/>
      <c r="I64" s="32">
        <f>IF(OR($A64="",$G64&lt;&gt;"Active"),0,IF($H64&lt;&gt;"",$H64,IF($AO64&gt;0,$AP64,IF(AND($R64&lt;&gt;"",IFERROR(INDEX(Templates!$B$3:$H$10,MATCH($R64,Templates!$A$3:$A$10,0),MATCH($F64,Templates!$B$2:$H$2,0)),0)&gt;0),INDEX(Templates!$B$3:$H$10,MATCH($R64,Templates!$A$3:$A$10,0),MATCH($F64,Templates!$B$2:$H$2,0)),IFERROR(INDEX(Settings!$B$8:$B$14,MATCH($F64,Settings!$A$8:$A$14,0)),0)))))</f>
        <v/>
      </c>
      <c r="J64" s="21">
        <f>IF($C64="",0,IFERROR(INDEX(Deals!$H$2:$H$355,MATCH($C64,Deals!$A$2:$A$355,0)),0))</f>
        <v/>
      </c>
      <c r="K64" s="32">
        <f>IF(Settings!$B$4="Yes",$I64*$J64,$I64)</f>
        <v/>
      </c>
      <c r="L64" s="22">
        <f>IF($C64="","",IFERROR(IF(INDEX(Deals!$I$2:$I$355,MATCH($C64,Deals!$A$2:$A$355,0))=0,"",INDEX(Deals!$I$2:$I$355,MATCH($C64,Deals!$A$2:$A$355,0))),""))</f>
        <v/>
      </c>
      <c r="M64" s="22">
        <f>IF($C64="","",IFERROR(IF(INDEX(Deals!$J$2:$J$355,MATCH($C64,Deals!$A$2:$A$355,0))=0,"",INDEX(Deals!$J$2:$J$355,MATCH($C64,Deals!$A$2:$A$355,0))),""))</f>
        <v/>
      </c>
      <c r="N64" s="35">
        <f>IF($L64="",DATE(1900,1,1),$L64)</f>
        <v/>
      </c>
      <c r="O64" s="35">
        <f>IF($M64="",DATE(2100,12,31),$M64)</f>
        <v/>
      </c>
      <c r="P64" s="20" t="inlineStr"/>
      <c r="Q64" s="47" t="inlineStr"/>
      <c r="R64" s="16">
        <f>IF($C64="","",IFERROR(IF(INDEX(Deals!$U$2:$U$355,MATCH($C64,Deals!$A$2:$A$355,0))=0,"",INDEX(Deals!$U$2:$U$355,MATCH($C64,Deals!$A$2:$A$355,0))),""))</f>
        <v/>
      </c>
      <c r="S64" s="34">
        <f>IFERROR(IF($U64="",1,INDEX(Deals!$V$2:$V$355,MATCH($C64,Deals!$A$2:$A$355,0))),1)</f>
        <v/>
      </c>
      <c r="T64" s="34">
        <f>IFERROR(IF($U64="",1,INDEX(Deals!$W$2:$W$355,MATCH($C64,Deals!$A$2:$A$355,0))),1)</f>
        <v/>
      </c>
      <c r="U64" s="22">
        <f>IF($C64="","",IFERROR(IF(INDEX(Deals!$Y$2:$Y$355,MATCH($C64,Deals!$A$2:$A$355,0))=0,"",INDEX(Deals!$Y$2:$Y$355,MATCH($C64,Deals!$A$2:$A$355,0))),""))</f>
        <v/>
      </c>
      <c r="V64" s="35">
        <f>IF(OR($U64&lt;&gt;"",AND($AO64&gt;0,$L64&lt;&gt;"",$M64&lt;&gt;"")),$N64,DATE(1900,1,1))</f>
        <v/>
      </c>
      <c r="W64" s="35">
        <f>IF($U64&lt;&gt;"",$U64,IF(AND($AO64&gt;0,$L64&lt;&gt;"",$M64&lt;&gt;""),$O64,DATE(2100,12,31)))</f>
        <v/>
      </c>
      <c r="X64" s="32">
        <f>IF($U64="",$K64,$K64*$S64)</f>
        <v/>
      </c>
      <c r="Y64" s="35">
        <f>IF($U64="",DATE(2100,12,31),$U64+1)</f>
        <v/>
      </c>
      <c r="Z64" s="35">
        <f>IF($U64="",DATE(1900,1,1),$O64)</f>
        <v/>
      </c>
      <c r="AA64" s="32">
        <f>IF($U64="",0,$K64*$T64)</f>
        <v/>
      </c>
      <c r="AB64" s="21">
        <f>IF($C64="",0,IFERROR(INDEX(Deals!$AD$2:$AD$355,MATCH($C64,Deals!$A$2:$A$355,0)),0))</f>
        <v/>
      </c>
      <c r="AC64" s="32">
        <f>IF(Settings!$B$4="Yes",$I64*$AB64,$I64)</f>
        <v/>
      </c>
      <c r="AD64" s="22">
        <f>IF($C64="","",IFERROR(IF(INDEX(Deals!$AE$2:$AE$355,MATCH($C64,Deals!$A$2:$A$355,0))=0,"",INDEX(Deals!$AE$2:$AE$355,MATCH($C64,Deals!$A$2:$A$355,0))),""))</f>
        <v/>
      </c>
      <c r="AE64" s="22">
        <f>IF($C64="","",IFERROR(IF(INDEX(Deals!$AF$2:$AF$355,MATCH($C64,Deals!$A$2:$A$355,0))=0,"",INDEX(Deals!$AF$2:$AF$355,MATCH($C64,Deals!$A$2:$A$355,0))),""))</f>
        <v/>
      </c>
      <c r="AF64" s="35">
        <f>IF($AD64="",DATE(1900,1,1),$AD64)</f>
        <v/>
      </c>
      <c r="AG64" s="35">
        <f>IF($AE64="",DATE(2100,12,31),$AE64)</f>
        <v/>
      </c>
      <c r="AH64" s="22">
        <f>IF($C64="","",IFERROR(IF(INDEX(Deals!$AG$2:$AG$355,MATCH($C64,Deals!$A$2:$A$355,0))=0,"",INDEX(Deals!$AG$2:$AG$355,MATCH($C64,Deals!$A$2:$A$355,0))),""))</f>
        <v/>
      </c>
      <c r="AI64" s="35">
        <f>IF(OR($AH64&lt;&gt;"",AND($AO64&gt;0,$AD64&lt;&gt;"",$AE64&lt;&gt;"")),$AF64,DATE(1900,1,1))</f>
        <v/>
      </c>
      <c r="AJ64" s="35">
        <f>IF($AH64&lt;&gt;"",$AH64,IF(AND($AO64&gt;0,$AD64&lt;&gt;"",$AE64&lt;&gt;""),$AG64,DATE(2100,12,31)))</f>
        <v/>
      </c>
      <c r="AK64" s="32">
        <f>IF($AH64="",$AC64,$AC64*$S64)</f>
        <v/>
      </c>
      <c r="AL64" s="35">
        <f>IF($AH64="",DATE(2100,12,31),$AH64+1)</f>
        <v/>
      </c>
      <c r="AM64" s="35">
        <f>IF($AH64="",DATE(1900,1,1),$AG64)</f>
        <v/>
      </c>
      <c r="AN64" s="32">
        <f>IF($AH64="",0,$AC64*$T64)</f>
        <v/>
      </c>
      <c r="AO64" s="46">
        <f>IF($C64="",0,IFERROR(INDEX(Deals!$BD$2:$BD$355,MATCH($C64,Deals!$A$2:$A$355,0)),0))</f>
        <v/>
      </c>
      <c r="AP64" s="18">
        <f>IF($AO64=0,0,IFERROR(INDEX(Deals!$BJ$2:$BP$355,MATCH($C64,Deals!$A$2:$A$355,0),MATCH($F64,Deals!$BJ$1:$BP$1,0))/COUNTIFS(Assignments!$C$2:$C$769,$C64,Assignments!$F$2:$F$769,$F64,Assignments!$G$2:$G$769,"Active"),0))</f>
        <v/>
      </c>
    </row>
    <row r="65">
      <c r="A65" s="28" t="inlineStr">
        <is>
          <t>John</t>
        </is>
      </c>
      <c r="B65" s="16">
        <f>IF($A65="","",IFERROR(INDEX(Roster!$B$2:$B$40,MATCH($A65,Roster!$A$2:$A$40,0)),"?"))</f>
        <v/>
      </c>
      <c r="C65" s="28" t="inlineStr">
        <is>
          <t>Genesis_6</t>
        </is>
      </c>
      <c r="D65" s="16">
        <f>IF($C65="","",IFERROR(IF(INDEX(Deals!$C$2:$C$355,MATCH($C65,Deals!$A$2:$A$355,0))=0,"",INDEX(Deals!$C$2:$C$355,MATCH($C65,Deals!$A$2:$A$355,0))),"?"))</f>
        <v/>
      </c>
      <c r="E65" s="16">
        <f>IF($C65="","",IFERROR(INDEX(Deals!$F$2:$F$355,MATCH($C65,Deals!$A$2:$A$355,0)),"?"))</f>
        <v/>
      </c>
      <c r="F65" s="28" t="inlineStr">
        <is>
          <t>Partner</t>
        </is>
      </c>
      <c r="G65" s="28" t="inlineStr">
        <is>
          <t>Active</t>
        </is>
      </c>
      <c r="H65" s="31" t="n"/>
      <c r="I65" s="32">
        <f>IF(OR($A65="",$G65&lt;&gt;"Active"),0,IF($H65&lt;&gt;"",$H65,IF($AO65&gt;0,$AP65,IF(AND($R65&lt;&gt;"",IFERROR(INDEX(Templates!$B$3:$H$10,MATCH($R65,Templates!$A$3:$A$10,0),MATCH($F65,Templates!$B$2:$H$2,0)),0)&gt;0),INDEX(Templates!$B$3:$H$10,MATCH($R65,Templates!$A$3:$A$10,0),MATCH($F65,Templates!$B$2:$H$2,0)),IFERROR(INDEX(Settings!$B$8:$B$14,MATCH($F65,Settings!$A$8:$A$14,0)),0)))))</f>
        <v/>
      </c>
      <c r="J65" s="21">
        <f>IF($C65="",0,IFERROR(INDEX(Deals!$H$2:$H$355,MATCH($C65,Deals!$A$2:$A$355,0)),0))</f>
        <v/>
      </c>
      <c r="K65" s="32">
        <f>IF(Settings!$B$4="Yes",$I65*$J65,$I65)</f>
        <v/>
      </c>
      <c r="L65" s="22">
        <f>IF($C65="","",IFERROR(IF(INDEX(Deals!$I$2:$I$355,MATCH($C65,Deals!$A$2:$A$355,0))=0,"",INDEX(Deals!$I$2:$I$355,MATCH($C65,Deals!$A$2:$A$355,0))),""))</f>
        <v/>
      </c>
      <c r="M65" s="22">
        <f>IF($C65="","",IFERROR(IF(INDEX(Deals!$J$2:$J$355,MATCH($C65,Deals!$A$2:$A$355,0))=0,"",INDEX(Deals!$J$2:$J$355,MATCH($C65,Deals!$A$2:$A$355,0))),""))</f>
        <v/>
      </c>
      <c r="N65" s="35">
        <f>IF($L65="",DATE(1900,1,1),$L65)</f>
        <v/>
      </c>
      <c r="O65" s="35">
        <f>IF($M65="",DATE(2100,12,31),$M65)</f>
        <v/>
      </c>
      <c r="P65" s="20" t="inlineStr"/>
      <c r="Q65" s="47" t="inlineStr"/>
      <c r="R65" s="16">
        <f>IF($C65="","",IFERROR(IF(INDEX(Deals!$U$2:$U$355,MATCH($C65,Deals!$A$2:$A$355,0))=0,"",INDEX(Deals!$U$2:$U$355,MATCH($C65,Deals!$A$2:$A$355,0))),""))</f>
        <v/>
      </c>
      <c r="S65" s="34">
        <f>IFERROR(IF($U65="",1,INDEX(Deals!$V$2:$V$355,MATCH($C65,Deals!$A$2:$A$355,0))),1)</f>
        <v/>
      </c>
      <c r="T65" s="34">
        <f>IFERROR(IF($U65="",1,INDEX(Deals!$W$2:$W$355,MATCH($C65,Deals!$A$2:$A$355,0))),1)</f>
        <v/>
      </c>
      <c r="U65" s="22">
        <f>IF($C65="","",IFERROR(IF(INDEX(Deals!$Y$2:$Y$355,MATCH($C65,Deals!$A$2:$A$355,0))=0,"",INDEX(Deals!$Y$2:$Y$355,MATCH($C65,Deals!$A$2:$A$355,0))),""))</f>
        <v/>
      </c>
      <c r="V65" s="35">
        <f>IF(OR($U65&lt;&gt;"",AND($AO65&gt;0,$L65&lt;&gt;"",$M65&lt;&gt;"")),$N65,DATE(1900,1,1))</f>
        <v/>
      </c>
      <c r="W65" s="35">
        <f>IF($U65&lt;&gt;"",$U65,IF(AND($AO65&gt;0,$L65&lt;&gt;"",$M65&lt;&gt;""),$O65,DATE(2100,12,31)))</f>
        <v/>
      </c>
      <c r="X65" s="32">
        <f>IF($U65="",$K65,$K65*$S65)</f>
        <v/>
      </c>
      <c r="Y65" s="35">
        <f>IF($U65="",DATE(2100,12,31),$U65+1)</f>
        <v/>
      </c>
      <c r="Z65" s="35">
        <f>IF($U65="",DATE(1900,1,1),$O65)</f>
        <v/>
      </c>
      <c r="AA65" s="32">
        <f>IF($U65="",0,$K65*$T65)</f>
        <v/>
      </c>
      <c r="AB65" s="21">
        <f>IF($C65="",0,IFERROR(INDEX(Deals!$AD$2:$AD$355,MATCH($C65,Deals!$A$2:$A$355,0)),0))</f>
        <v/>
      </c>
      <c r="AC65" s="32">
        <f>IF(Settings!$B$4="Yes",$I65*$AB65,$I65)</f>
        <v/>
      </c>
      <c r="AD65" s="22">
        <f>IF($C65="","",IFERROR(IF(INDEX(Deals!$AE$2:$AE$355,MATCH($C65,Deals!$A$2:$A$355,0))=0,"",INDEX(Deals!$AE$2:$AE$355,MATCH($C65,Deals!$A$2:$A$355,0))),""))</f>
        <v/>
      </c>
      <c r="AE65" s="22">
        <f>IF($C65="","",IFERROR(IF(INDEX(Deals!$AF$2:$AF$355,MATCH($C65,Deals!$A$2:$A$355,0))=0,"",INDEX(Deals!$AF$2:$AF$355,MATCH($C65,Deals!$A$2:$A$355,0))),""))</f>
        <v/>
      </c>
      <c r="AF65" s="35">
        <f>IF($AD65="",DATE(1900,1,1),$AD65)</f>
        <v/>
      </c>
      <c r="AG65" s="35">
        <f>IF($AE65="",DATE(2100,12,31),$AE65)</f>
        <v/>
      </c>
      <c r="AH65" s="22">
        <f>IF($C65="","",IFERROR(IF(INDEX(Deals!$AG$2:$AG$355,MATCH($C65,Deals!$A$2:$A$355,0))=0,"",INDEX(Deals!$AG$2:$AG$355,MATCH($C65,Deals!$A$2:$A$355,0))),""))</f>
        <v/>
      </c>
      <c r="AI65" s="35">
        <f>IF(OR($AH65&lt;&gt;"",AND($AO65&gt;0,$AD65&lt;&gt;"",$AE65&lt;&gt;"")),$AF65,DATE(1900,1,1))</f>
        <v/>
      </c>
      <c r="AJ65" s="35">
        <f>IF($AH65&lt;&gt;"",$AH65,IF(AND($AO65&gt;0,$AD65&lt;&gt;"",$AE65&lt;&gt;""),$AG65,DATE(2100,12,31)))</f>
        <v/>
      </c>
      <c r="AK65" s="32">
        <f>IF($AH65="",$AC65,$AC65*$S65)</f>
        <v/>
      </c>
      <c r="AL65" s="35">
        <f>IF($AH65="",DATE(2100,12,31),$AH65+1)</f>
        <v/>
      </c>
      <c r="AM65" s="35">
        <f>IF($AH65="",DATE(1900,1,1),$AG65)</f>
        <v/>
      </c>
      <c r="AN65" s="32">
        <f>IF($AH65="",0,$AC65*$T65)</f>
        <v/>
      </c>
      <c r="AO65" s="46">
        <f>IF($C65="",0,IFERROR(INDEX(Deals!$BD$2:$BD$355,MATCH($C65,Deals!$A$2:$A$355,0)),0))</f>
        <v/>
      </c>
      <c r="AP65" s="18">
        <f>IF($AO65=0,0,IFERROR(INDEX(Deals!$BJ$2:$BP$355,MATCH($C65,Deals!$A$2:$A$355,0),MATCH($F65,Deals!$BJ$1:$BP$1,0))/COUNTIFS(Assignments!$C$2:$C$769,$C65,Assignments!$F$2:$F$769,$F65,Assignments!$G$2:$G$769,"Active"),0))</f>
        <v/>
      </c>
    </row>
    <row r="66">
      <c r="A66" s="28" t="inlineStr">
        <is>
          <t>John</t>
        </is>
      </c>
      <c r="B66" s="16">
        <f>IF($A66="","",IFERROR(INDEX(Roster!$B$2:$B$40,MATCH($A66,Roster!$A$2:$A$40,0)),"?"))</f>
        <v/>
      </c>
      <c r="C66" s="28" t="inlineStr">
        <is>
          <t>Georgia_3</t>
        </is>
      </c>
      <c r="D66" s="16">
        <f>IF($C66="","",IFERROR(IF(INDEX(Deals!$C$2:$C$355,MATCH($C66,Deals!$A$2:$A$355,0))=0,"",INDEX(Deals!$C$2:$C$355,MATCH($C66,Deals!$A$2:$A$355,0))),"?"))</f>
        <v/>
      </c>
      <c r="E66" s="16">
        <f>IF($C66="","",IFERROR(INDEX(Deals!$F$2:$F$355,MATCH($C66,Deals!$A$2:$A$355,0)),"?"))</f>
        <v/>
      </c>
      <c r="F66" s="28" t="inlineStr">
        <is>
          <t>Partner</t>
        </is>
      </c>
      <c r="G66" s="28" t="inlineStr">
        <is>
          <t>Active</t>
        </is>
      </c>
      <c r="H66" s="31" t="n"/>
      <c r="I66" s="32">
        <f>IF(OR($A66="",$G66&lt;&gt;"Active"),0,IF($H66&lt;&gt;"",$H66,IF($AO66&gt;0,$AP66,IF(AND($R66&lt;&gt;"",IFERROR(INDEX(Templates!$B$3:$H$10,MATCH($R66,Templates!$A$3:$A$10,0),MATCH($F66,Templates!$B$2:$H$2,0)),0)&gt;0),INDEX(Templates!$B$3:$H$10,MATCH($R66,Templates!$A$3:$A$10,0),MATCH($F66,Templates!$B$2:$H$2,0)),IFERROR(INDEX(Settings!$B$8:$B$14,MATCH($F66,Settings!$A$8:$A$14,0)),0)))))</f>
        <v/>
      </c>
      <c r="J66" s="21">
        <f>IF($C66="",0,IFERROR(INDEX(Deals!$H$2:$H$355,MATCH($C66,Deals!$A$2:$A$355,0)),0))</f>
        <v/>
      </c>
      <c r="K66" s="32">
        <f>IF(Settings!$B$4="Yes",$I66*$J66,$I66)</f>
        <v/>
      </c>
      <c r="L66" s="22">
        <f>IF($C66="","",IFERROR(IF(INDEX(Deals!$I$2:$I$355,MATCH($C66,Deals!$A$2:$A$355,0))=0,"",INDEX(Deals!$I$2:$I$355,MATCH($C66,Deals!$A$2:$A$355,0))),""))</f>
        <v/>
      </c>
      <c r="M66" s="22">
        <f>IF($C66="","",IFERROR(IF(INDEX(Deals!$J$2:$J$355,MATCH($C66,Deals!$A$2:$A$355,0))=0,"",INDEX(Deals!$J$2:$J$355,MATCH($C66,Deals!$A$2:$A$355,0))),""))</f>
        <v/>
      </c>
      <c r="N66" s="35">
        <f>IF($L66="",DATE(1900,1,1),$L66)</f>
        <v/>
      </c>
      <c r="O66" s="35">
        <f>IF($M66="",DATE(2100,12,31),$M66)</f>
        <v/>
      </c>
      <c r="P66" s="20" t="inlineStr"/>
      <c r="Q66" s="47" t="inlineStr"/>
      <c r="R66" s="16">
        <f>IF($C66="","",IFERROR(IF(INDEX(Deals!$U$2:$U$355,MATCH($C66,Deals!$A$2:$A$355,0))=0,"",INDEX(Deals!$U$2:$U$355,MATCH($C66,Deals!$A$2:$A$355,0))),""))</f>
        <v/>
      </c>
      <c r="S66" s="34">
        <f>IFERROR(IF($U66="",1,INDEX(Deals!$V$2:$V$355,MATCH($C66,Deals!$A$2:$A$355,0))),1)</f>
        <v/>
      </c>
      <c r="T66" s="34">
        <f>IFERROR(IF($U66="",1,INDEX(Deals!$W$2:$W$355,MATCH($C66,Deals!$A$2:$A$355,0))),1)</f>
        <v/>
      </c>
      <c r="U66" s="22">
        <f>IF($C66="","",IFERROR(IF(INDEX(Deals!$Y$2:$Y$355,MATCH($C66,Deals!$A$2:$A$355,0))=0,"",INDEX(Deals!$Y$2:$Y$355,MATCH($C66,Deals!$A$2:$A$355,0))),""))</f>
        <v/>
      </c>
      <c r="V66" s="35">
        <f>IF(OR($U66&lt;&gt;"",AND($AO66&gt;0,$L66&lt;&gt;"",$M66&lt;&gt;"")),$N66,DATE(1900,1,1))</f>
        <v/>
      </c>
      <c r="W66" s="35">
        <f>IF($U66&lt;&gt;"",$U66,IF(AND($AO66&gt;0,$L66&lt;&gt;"",$M66&lt;&gt;""),$O66,DATE(2100,12,31)))</f>
        <v/>
      </c>
      <c r="X66" s="32">
        <f>IF($U66="",$K66,$K66*$S66)</f>
        <v/>
      </c>
      <c r="Y66" s="35">
        <f>IF($U66="",DATE(2100,12,31),$U66+1)</f>
        <v/>
      </c>
      <c r="Z66" s="35">
        <f>IF($U66="",DATE(1900,1,1),$O66)</f>
        <v/>
      </c>
      <c r="AA66" s="32">
        <f>IF($U66="",0,$K66*$T66)</f>
        <v/>
      </c>
      <c r="AB66" s="21">
        <f>IF($C66="",0,IFERROR(INDEX(Deals!$AD$2:$AD$355,MATCH($C66,Deals!$A$2:$A$355,0)),0))</f>
        <v/>
      </c>
      <c r="AC66" s="32">
        <f>IF(Settings!$B$4="Yes",$I66*$AB66,$I66)</f>
        <v/>
      </c>
      <c r="AD66" s="22">
        <f>IF($C66="","",IFERROR(IF(INDEX(Deals!$AE$2:$AE$355,MATCH($C66,Deals!$A$2:$A$355,0))=0,"",INDEX(Deals!$AE$2:$AE$355,MATCH($C66,Deals!$A$2:$A$355,0))),""))</f>
        <v/>
      </c>
      <c r="AE66" s="22">
        <f>IF($C66="","",IFERROR(IF(INDEX(Deals!$AF$2:$AF$355,MATCH($C66,Deals!$A$2:$A$355,0))=0,"",INDEX(Deals!$AF$2:$AF$355,MATCH($C66,Deals!$A$2:$A$355,0))),""))</f>
        <v/>
      </c>
      <c r="AF66" s="35">
        <f>IF($AD66="",DATE(1900,1,1),$AD66)</f>
        <v/>
      </c>
      <c r="AG66" s="35">
        <f>IF($AE66="",DATE(2100,12,31),$AE66)</f>
        <v/>
      </c>
      <c r="AH66" s="22">
        <f>IF($C66="","",IFERROR(IF(INDEX(Deals!$AG$2:$AG$355,MATCH($C66,Deals!$A$2:$A$355,0))=0,"",INDEX(Deals!$AG$2:$AG$355,MATCH($C66,Deals!$A$2:$A$355,0))),""))</f>
        <v/>
      </c>
      <c r="AI66" s="35">
        <f>IF(OR($AH66&lt;&gt;"",AND($AO66&gt;0,$AD66&lt;&gt;"",$AE66&lt;&gt;"")),$AF66,DATE(1900,1,1))</f>
        <v/>
      </c>
      <c r="AJ66" s="35">
        <f>IF($AH66&lt;&gt;"",$AH66,IF(AND($AO66&gt;0,$AD66&lt;&gt;"",$AE66&lt;&gt;""),$AG66,DATE(2100,12,31)))</f>
        <v/>
      </c>
      <c r="AK66" s="32">
        <f>IF($AH66="",$AC66,$AC66*$S66)</f>
        <v/>
      </c>
      <c r="AL66" s="35">
        <f>IF($AH66="",DATE(2100,12,31),$AH66+1)</f>
        <v/>
      </c>
      <c r="AM66" s="35">
        <f>IF($AH66="",DATE(1900,1,1),$AG66)</f>
        <v/>
      </c>
      <c r="AN66" s="32">
        <f>IF($AH66="",0,$AC66*$T66)</f>
        <v/>
      </c>
      <c r="AO66" s="46">
        <f>IF($C66="",0,IFERROR(INDEX(Deals!$BD$2:$BD$355,MATCH($C66,Deals!$A$2:$A$355,0)),0))</f>
        <v/>
      </c>
      <c r="AP66" s="18">
        <f>IF($AO66=0,0,IFERROR(INDEX(Deals!$BJ$2:$BP$355,MATCH($C66,Deals!$A$2:$A$355,0),MATCH($F66,Deals!$BJ$1:$BP$1,0))/COUNTIFS(Assignments!$C$2:$C$769,$C66,Assignments!$F$2:$F$769,$F66,Assignments!$G$2:$G$769,"Active"),0))</f>
        <v/>
      </c>
    </row>
    <row r="67">
      <c r="A67" s="28" t="inlineStr">
        <is>
          <t>John</t>
        </is>
      </c>
      <c r="B67" s="16">
        <f>IF($A67="","",IFERROR(INDEX(Roster!$B$2:$B$40,MATCH($A67,Roster!$A$2:$A$40,0)),"?"))</f>
        <v/>
      </c>
      <c r="C67" s="28" t="inlineStr">
        <is>
          <t>Goose_1</t>
        </is>
      </c>
      <c r="D67" s="16">
        <f>IF($C67="","",IFERROR(IF(INDEX(Deals!$C$2:$C$355,MATCH($C67,Deals!$A$2:$A$355,0))=0,"",INDEX(Deals!$C$2:$C$355,MATCH($C67,Deals!$A$2:$A$355,0))),"?"))</f>
        <v/>
      </c>
      <c r="E67" s="16">
        <f>IF($C67="","",IFERROR(INDEX(Deals!$F$2:$F$355,MATCH($C67,Deals!$A$2:$A$355,0)),"?"))</f>
        <v/>
      </c>
      <c r="F67" s="28" t="inlineStr">
        <is>
          <t>Partner</t>
        </is>
      </c>
      <c r="G67" s="28" t="inlineStr">
        <is>
          <t>Active</t>
        </is>
      </c>
      <c r="H67" s="31" t="n"/>
      <c r="I67" s="32">
        <f>IF(OR($A67="",$G67&lt;&gt;"Active"),0,IF($H67&lt;&gt;"",$H67,IF($AO67&gt;0,$AP67,IF(AND($R67&lt;&gt;"",IFERROR(INDEX(Templates!$B$3:$H$10,MATCH($R67,Templates!$A$3:$A$10,0),MATCH($F67,Templates!$B$2:$H$2,0)),0)&gt;0),INDEX(Templates!$B$3:$H$10,MATCH($R67,Templates!$A$3:$A$10,0),MATCH($F67,Templates!$B$2:$H$2,0)),IFERROR(INDEX(Settings!$B$8:$B$14,MATCH($F67,Settings!$A$8:$A$14,0)),0)))))</f>
        <v/>
      </c>
      <c r="J67" s="21">
        <f>IF($C67="",0,IFERROR(INDEX(Deals!$H$2:$H$355,MATCH($C67,Deals!$A$2:$A$355,0)),0))</f>
        <v/>
      </c>
      <c r="K67" s="32">
        <f>IF(Settings!$B$4="Yes",$I67*$J67,$I67)</f>
        <v/>
      </c>
      <c r="L67" s="22">
        <f>IF($C67="","",IFERROR(IF(INDEX(Deals!$I$2:$I$355,MATCH($C67,Deals!$A$2:$A$355,0))=0,"",INDEX(Deals!$I$2:$I$355,MATCH($C67,Deals!$A$2:$A$355,0))),""))</f>
        <v/>
      </c>
      <c r="M67" s="22">
        <f>IF($C67="","",IFERROR(IF(INDEX(Deals!$J$2:$J$355,MATCH($C67,Deals!$A$2:$A$355,0))=0,"",INDEX(Deals!$J$2:$J$355,MATCH($C67,Deals!$A$2:$A$355,0))),""))</f>
        <v/>
      </c>
      <c r="N67" s="35">
        <f>IF($L67="",DATE(1900,1,1),$L67)</f>
        <v/>
      </c>
      <c r="O67" s="35">
        <f>IF($M67="",DATE(2100,12,31),$M67)</f>
        <v/>
      </c>
      <c r="P67" s="20" t="inlineStr"/>
      <c r="Q67" s="47" t="inlineStr"/>
      <c r="R67" s="16">
        <f>IF($C67="","",IFERROR(IF(INDEX(Deals!$U$2:$U$355,MATCH($C67,Deals!$A$2:$A$355,0))=0,"",INDEX(Deals!$U$2:$U$355,MATCH($C67,Deals!$A$2:$A$355,0))),""))</f>
        <v/>
      </c>
      <c r="S67" s="34">
        <f>IFERROR(IF($U67="",1,INDEX(Deals!$V$2:$V$355,MATCH($C67,Deals!$A$2:$A$355,0))),1)</f>
        <v/>
      </c>
      <c r="T67" s="34">
        <f>IFERROR(IF($U67="",1,INDEX(Deals!$W$2:$W$355,MATCH($C67,Deals!$A$2:$A$355,0))),1)</f>
        <v/>
      </c>
      <c r="U67" s="22">
        <f>IF($C67="","",IFERROR(IF(INDEX(Deals!$Y$2:$Y$355,MATCH($C67,Deals!$A$2:$A$355,0))=0,"",INDEX(Deals!$Y$2:$Y$355,MATCH($C67,Deals!$A$2:$A$355,0))),""))</f>
        <v/>
      </c>
      <c r="V67" s="35">
        <f>IF(OR($U67&lt;&gt;"",AND($AO67&gt;0,$L67&lt;&gt;"",$M67&lt;&gt;"")),$N67,DATE(1900,1,1))</f>
        <v/>
      </c>
      <c r="W67" s="35">
        <f>IF($U67&lt;&gt;"",$U67,IF(AND($AO67&gt;0,$L67&lt;&gt;"",$M67&lt;&gt;""),$O67,DATE(2100,12,31)))</f>
        <v/>
      </c>
      <c r="X67" s="32">
        <f>IF($U67="",$K67,$K67*$S67)</f>
        <v/>
      </c>
      <c r="Y67" s="35">
        <f>IF($U67="",DATE(2100,12,31),$U67+1)</f>
        <v/>
      </c>
      <c r="Z67" s="35">
        <f>IF($U67="",DATE(1900,1,1),$O67)</f>
        <v/>
      </c>
      <c r="AA67" s="32">
        <f>IF($U67="",0,$K67*$T67)</f>
        <v/>
      </c>
      <c r="AB67" s="21">
        <f>IF($C67="",0,IFERROR(INDEX(Deals!$AD$2:$AD$355,MATCH($C67,Deals!$A$2:$A$355,0)),0))</f>
        <v/>
      </c>
      <c r="AC67" s="32">
        <f>IF(Settings!$B$4="Yes",$I67*$AB67,$I67)</f>
        <v/>
      </c>
      <c r="AD67" s="22">
        <f>IF($C67="","",IFERROR(IF(INDEX(Deals!$AE$2:$AE$355,MATCH($C67,Deals!$A$2:$A$355,0))=0,"",INDEX(Deals!$AE$2:$AE$355,MATCH($C67,Deals!$A$2:$A$355,0))),""))</f>
        <v/>
      </c>
      <c r="AE67" s="22">
        <f>IF($C67="","",IFERROR(IF(INDEX(Deals!$AF$2:$AF$355,MATCH($C67,Deals!$A$2:$A$355,0))=0,"",INDEX(Deals!$AF$2:$AF$355,MATCH($C67,Deals!$A$2:$A$355,0))),""))</f>
        <v/>
      </c>
      <c r="AF67" s="35">
        <f>IF($AD67="",DATE(1900,1,1),$AD67)</f>
        <v/>
      </c>
      <c r="AG67" s="35">
        <f>IF($AE67="",DATE(2100,12,31),$AE67)</f>
        <v/>
      </c>
      <c r="AH67" s="22">
        <f>IF($C67="","",IFERROR(IF(INDEX(Deals!$AG$2:$AG$355,MATCH($C67,Deals!$A$2:$A$355,0))=0,"",INDEX(Deals!$AG$2:$AG$355,MATCH($C67,Deals!$A$2:$A$355,0))),""))</f>
        <v/>
      </c>
      <c r="AI67" s="35">
        <f>IF(OR($AH67&lt;&gt;"",AND($AO67&gt;0,$AD67&lt;&gt;"",$AE67&lt;&gt;"")),$AF67,DATE(1900,1,1))</f>
        <v/>
      </c>
      <c r="AJ67" s="35">
        <f>IF($AH67&lt;&gt;"",$AH67,IF(AND($AO67&gt;0,$AD67&lt;&gt;"",$AE67&lt;&gt;""),$AG67,DATE(2100,12,31)))</f>
        <v/>
      </c>
      <c r="AK67" s="32">
        <f>IF($AH67="",$AC67,$AC67*$S67)</f>
        <v/>
      </c>
      <c r="AL67" s="35">
        <f>IF($AH67="",DATE(2100,12,31),$AH67+1)</f>
        <v/>
      </c>
      <c r="AM67" s="35">
        <f>IF($AH67="",DATE(1900,1,1),$AG67)</f>
        <v/>
      </c>
      <c r="AN67" s="32">
        <f>IF($AH67="",0,$AC67*$T67)</f>
        <v/>
      </c>
      <c r="AO67" s="46">
        <f>IF($C67="",0,IFERROR(INDEX(Deals!$BD$2:$BD$355,MATCH($C67,Deals!$A$2:$A$355,0)),0))</f>
        <v/>
      </c>
      <c r="AP67" s="18">
        <f>IF($AO67=0,0,IFERROR(INDEX(Deals!$BJ$2:$BP$355,MATCH($C67,Deals!$A$2:$A$355,0),MATCH($F67,Deals!$BJ$1:$BP$1,0))/COUNTIFS(Assignments!$C$2:$C$769,$C67,Assignments!$F$2:$F$769,$F67,Assignments!$G$2:$G$769,"Active"),0))</f>
        <v/>
      </c>
    </row>
    <row r="68">
      <c r="A68" s="28" t="inlineStr">
        <is>
          <t>John</t>
        </is>
      </c>
      <c r="B68" s="16">
        <f>IF($A68="","",IFERROR(INDEX(Roster!$B$2:$B$40,MATCH($A68,Roster!$A$2:$A$40,0)),"?"))</f>
        <v/>
      </c>
      <c r="C68" s="28" t="inlineStr">
        <is>
          <t>Heartland_2</t>
        </is>
      </c>
      <c r="D68" s="16">
        <f>IF($C68="","",IFERROR(IF(INDEX(Deals!$C$2:$C$355,MATCH($C68,Deals!$A$2:$A$355,0))=0,"",INDEX(Deals!$C$2:$C$355,MATCH($C68,Deals!$A$2:$A$355,0))),"?"))</f>
        <v/>
      </c>
      <c r="E68" s="16">
        <f>IF($C68="","",IFERROR(INDEX(Deals!$F$2:$F$355,MATCH($C68,Deals!$A$2:$A$355,0)),"?"))</f>
        <v/>
      </c>
      <c r="F68" s="28" t="inlineStr">
        <is>
          <t>Partner</t>
        </is>
      </c>
      <c r="G68" s="28" t="inlineStr">
        <is>
          <t>Active</t>
        </is>
      </c>
      <c r="H68" s="31" t="n"/>
      <c r="I68" s="32">
        <f>IF(OR($A68="",$G68&lt;&gt;"Active"),0,IF($H68&lt;&gt;"",$H68,IF($AO68&gt;0,$AP68,IF(AND($R68&lt;&gt;"",IFERROR(INDEX(Templates!$B$3:$H$10,MATCH($R68,Templates!$A$3:$A$10,0),MATCH($F68,Templates!$B$2:$H$2,0)),0)&gt;0),INDEX(Templates!$B$3:$H$10,MATCH($R68,Templates!$A$3:$A$10,0),MATCH($F68,Templates!$B$2:$H$2,0)),IFERROR(INDEX(Settings!$B$8:$B$14,MATCH($F68,Settings!$A$8:$A$14,0)),0)))))</f>
        <v/>
      </c>
      <c r="J68" s="21">
        <f>IF($C68="",0,IFERROR(INDEX(Deals!$H$2:$H$355,MATCH($C68,Deals!$A$2:$A$355,0)),0))</f>
        <v/>
      </c>
      <c r="K68" s="32">
        <f>IF(Settings!$B$4="Yes",$I68*$J68,$I68)</f>
        <v/>
      </c>
      <c r="L68" s="22">
        <f>IF($C68="","",IFERROR(IF(INDEX(Deals!$I$2:$I$355,MATCH($C68,Deals!$A$2:$A$355,0))=0,"",INDEX(Deals!$I$2:$I$355,MATCH($C68,Deals!$A$2:$A$355,0))),""))</f>
        <v/>
      </c>
      <c r="M68" s="22">
        <f>IF($C68="","",IFERROR(IF(INDEX(Deals!$J$2:$J$355,MATCH($C68,Deals!$A$2:$A$355,0))=0,"",INDEX(Deals!$J$2:$J$355,MATCH($C68,Deals!$A$2:$A$355,0))),""))</f>
        <v/>
      </c>
      <c r="N68" s="35">
        <f>IF($L68="",DATE(1900,1,1),$L68)</f>
        <v/>
      </c>
      <c r="O68" s="35">
        <f>IF($M68="",DATE(2100,12,31),$M68)</f>
        <v/>
      </c>
      <c r="P68" s="20" t="inlineStr"/>
      <c r="Q68" s="47" t="inlineStr"/>
      <c r="R68" s="16">
        <f>IF($C68="","",IFERROR(IF(INDEX(Deals!$U$2:$U$355,MATCH($C68,Deals!$A$2:$A$355,0))=0,"",INDEX(Deals!$U$2:$U$355,MATCH($C68,Deals!$A$2:$A$355,0))),""))</f>
        <v/>
      </c>
      <c r="S68" s="34">
        <f>IFERROR(IF($U68="",1,INDEX(Deals!$V$2:$V$355,MATCH($C68,Deals!$A$2:$A$355,0))),1)</f>
        <v/>
      </c>
      <c r="T68" s="34">
        <f>IFERROR(IF($U68="",1,INDEX(Deals!$W$2:$W$355,MATCH($C68,Deals!$A$2:$A$355,0))),1)</f>
        <v/>
      </c>
      <c r="U68" s="22">
        <f>IF($C68="","",IFERROR(IF(INDEX(Deals!$Y$2:$Y$355,MATCH($C68,Deals!$A$2:$A$355,0))=0,"",INDEX(Deals!$Y$2:$Y$355,MATCH($C68,Deals!$A$2:$A$355,0))),""))</f>
        <v/>
      </c>
      <c r="V68" s="35">
        <f>IF(OR($U68&lt;&gt;"",AND($AO68&gt;0,$L68&lt;&gt;"",$M68&lt;&gt;"")),$N68,DATE(1900,1,1))</f>
        <v/>
      </c>
      <c r="W68" s="35">
        <f>IF($U68&lt;&gt;"",$U68,IF(AND($AO68&gt;0,$L68&lt;&gt;"",$M68&lt;&gt;""),$O68,DATE(2100,12,31)))</f>
        <v/>
      </c>
      <c r="X68" s="32">
        <f>IF($U68="",$K68,$K68*$S68)</f>
        <v/>
      </c>
      <c r="Y68" s="35">
        <f>IF($U68="",DATE(2100,12,31),$U68+1)</f>
        <v/>
      </c>
      <c r="Z68" s="35">
        <f>IF($U68="",DATE(1900,1,1),$O68)</f>
        <v/>
      </c>
      <c r="AA68" s="32">
        <f>IF($U68="",0,$K68*$T68)</f>
        <v/>
      </c>
      <c r="AB68" s="21">
        <f>IF($C68="",0,IFERROR(INDEX(Deals!$AD$2:$AD$355,MATCH($C68,Deals!$A$2:$A$355,0)),0))</f>
        <v/>
      </c>
      <c r="AC68" s="32">
        <f>IF(Settings!$B$4="Yes",$I68*$AB68,$I68)</f>
        <v/>
      </c>
      <c r="AD68" s="22">
        <f>IF($C68="","",IFERROR(IF(INDEX(Deals!$AE$2:$AE$355,MATCH($C68,Deals!$A$2:$A$355,0))=0,"",INDEX(Deals!$AE$2:$AE$355,MATCH($C68,Deals!$A$2:$A$355,0))),""))</f>
        <v/>
      </c>
      <c r="AE68" s="22">
        <f>IF($C68="","",IFERROR(IF(INDEX(Deals!$AF$2:$AF$355,MATCH($C68,Deals!$A$2:$A$355,0))=0,"",INDEX(Deals!$AF$2:$AF$355,MATCH($C68,Deals!$A$2:$A$355,0))),""))</f>
        <v/>
      </c>
      <c r="AF68" s="35">
        <f>IF($AD68="",DATE(1900,1,1),$AD68)</f>
        <v/>
      </c>
      <c r="AG68" s="35">
        <f>IF($AE68="",DATE(2100,12,31),$AE68)</f>
        <v/>
      </c>
      <c r="AH68" s="22">
        <f>IF($C68="","",IFERROR(IF(INDEX(Deals!$AG$2:$AG$355,MATCH($C68,Deals!$A$2:$A$355,0))=0,"",INDEX(Deals!$AG$2:$AG$355,MATCH($C68,Deals!$A$2:$A$355,0))),""))</f>
        <v/>
      </c>
      <c r="AI68" s="35">
        <f>IF(OR($AH68&lt;&gt;"",AND($AO68&gt;0,$AD68&lt;&gt;"",$AE68&lt;&gt;"")),$AF68,DATE(1900,1,1))</f>
        <v/>
      </c>
      <c r="AJ68" s="35">
        <f>IF($AH68&lt;&gt;"",$AH68,IF(AND($AO68&gt;0,$AD68&lt;&gt;"",$AE68&lt;&gt;""),$AG68,DATE(2100,12,31)))</f>
        <v/>
      </c>
      <c r="AK68" s="32">
        <f>IF($AH68="",$AC68,$AC68*$S68)</f>
        <v/>
      </c>
      <c r="AL68" s="35">
        <f>IF($AH68="",DATE(2100,12,31),$AH68+1)</f>
        <v/>
      </c>
      <c r="AM68" s="35">
        <f>IF($AH68="",DATE(1900,1,1),$AG68)</f>
        <v/>
      </c>
      <c r="AN68" s="32">
        <f>IF($AH68="",0,$AC68*$T68)</f>
        <v/>
      </c>
      <c r="AO68" s="46">
        <f>IF($C68="",0,IFERROR(INDEX(Deals!$BD$2:$BD$355,MATCH($C68,Deals!$A$2:$A$355,0)),0))</f>
        <v/>
      </c>
      <c r="AP68" s="18">
        <f>IF($AO68=0,0,IFERROR(INDEX(Deals!$BJ$2:$BP$355,MATCH($C68,Deals!$A$2:$A$355,0),MATCH($F68,Deals!$BJ$1:$BP$1,0))/COUNTIFS(Assignments!$C$2:$C$769,$C68,Assignments!$F$2:$F$769,$F68,Assignments!$G$2:$G$769,"Active"),0))</f>
        <v/>
      </c>
    </row>
    <row r="69">
      <c r="A69" s="28" t="inlineStr">
        <is>
          <t>John</t>
        </is>
      </c>
      <c r="B69" s="16">
        <f>IF($A69="","",IFERROR(INDEX(Roster!$B$2:$B$40,MATCH($A69,Roster!$A$2:$A$40,0)),"?"))</f>
        <v/>
      </c>
      <c r="C69" s="28" t="inlineStr">
        <is>
          <t>Horizon_3</t>
        </is>
      </c>
      <c r="D69" s="16">
        <f>IF($C69="","",IFERROR(IF(INDEX(Deals!$C$2:$C$355,MATCH($C69,Deals!$A$2:$A$355,0))=0,"",INDEX(Deals!$C$2:$C$355,MATCH($C69,Deals!$A$2:$A$355,0))),"?"))</f>
        <v/>
      </c>
      <c r="E69" s="16">
        <f>IF($C69="","",IFERROR(INDEX(Deals!$F$2:$F$355,MATCH($C69,Deals!$A$2:$A$355,0)),"?"))</f>
        <v/>
      </c>
      <c r="F69" s="28" t="inlineStr">
        <is>
          <t>Partner</t>
        </is>
      </c>
      <c r="G69" s="28" t="inlineStr">
        <is>
          <t>Active</t>
        </is>
      </c>
      <c r="H69" s="31" t="n"/>
      <c r="I69" s="32">
        <f>IF(OR($A69="",$G69&lt;&gt;"Active"),0,IF($H69&lt;&gt;"",$H69,IF($AO69&gt;0,$AP69,IF(AND($R69&lt;&gt;"",IFERROR(INDEX(Templates!$B$3:$H$10,MATCH($R69,Templates!$A$3:$A$10,0),MATCH($F69,Templates!$B$2:$H$2,0)),0)&gt;0),INDEX(Templates!$B$3:$H$10,MATCH($R69,Templates!$A$3:$A$10,0),MATCH($F69,Templates!$B$2:$H$2,0)),IFERROR(INDEX(Settings!$B$8:$B$14,MATCH($F69,Settings!$A$8:$A$14,0)),0)))))</f>
        <v/>
      </c>
      <c r="J69" s="21">
        <f>IF($C69="",0,IFERROR(INDEX(Deals!$H$2:$H$355,MATCH($C69,Deals!$A$2:$A$355,0)),0))</f>
        <v/>
      </c>
      <c r="K69" s="32">
        <f>IF(Settings!$B$4="Yes",$I69*$J69,$I69)</f>
        <v/>
      </c>
      <c r="L69" s="22">
        <f>IF($C69="","",IFERROR(IF(INDEX(Deals!$I$2:$I$355,MATCH($C69,Deals!$A$2:$A$355,0))=0,"",INDEX(Deals!$I$2:$I$355,MATCH($C69,Deals!$A$2:$A$355,0))),""))</f>
        <v/>
      </c>
      <c r="M69" s="22">
        <f>IF($C69="","",IFERROR(IF(INDEX(Deals!$J$2:$J$355,MATCH($C69,Deals!$A$2:$A$355,0))=0,"",INDEX(Deals!$J$2:$J$355,MATCH($C69,Deals!$A$2:$A$355,0))),""))</f>
        <v/>
      </c>
      <c r="N69" s="35">
        <f>IF($L69="",DATE(1900,1,1),$L69)</f>
        <v/>
      </c>
      <c r="O69" s="35">
        <f>IF($M69="",DATE(2100,12,31),$M69)</f>
        <v/>
      </c>
      <c r="P69" s="20" t="inlineStr"/>
      <c r="Q69" s="47" t="inlineStr"/>
      <c r="R69" s="16">
        <f>IF($C69="","",IFERROR(IF(INDEX(Deals!$U$2:$U$355,MATCH($C69,Deals!$A$2:$A$355,0))=0,"",INDEX(Deals!$U$2:$U$355,MATCH($C69,Deals!$A$2:$A$355,0))),""))</f>
        <v/>
      </c>
      <c r="S69" s="34">
        <f>IFERROR(IF($U69="",1,INDEX(Deals!$V$2:$V$355,MATCH($C69,Deals!$A$2:$A$355,0))),1)</f>
        <v/>
      </c>
      <c r="T69" s="34">
        <f>IFERROR(IF($U69="",1,INDEX(Deals!$W$2:$W$355,MATCH($C69,Deals!$A$2:$A$355,0))),1)</f>
        <v/>
      </c>
      <c r="U69" s="22">
        <f>IF($C69="","",IFERROR(IF(INDEX(Deals!$Y$2:$Y$355,MATCH($C69,Deals!$A$2:$A$355,0))=0,"",INDEX(Deals!$Y$2:$Y$355,MATCH($C69,Deals!$A$2:$A$355,0))),""))</f>
        <v/>
      </c>
      <c r="V69" s="35">
        <f>IF(OR($U69&lt;&gt;"",AND($AO69&gt;0,$L69&lt;&gt;"",$M69&lt;&gt;"")),$N69,DATE(1900,1,1))</f>
        <v/>
      </c>
      <c r="W69" s="35">
        <f>IF($U69&lt;&gt;"",$U69,IF(AND($AO69&gt;0,$L69&lt;&gt;"",$M69&lt;&gt;""),$O69,DATE(2100,12,31)))</f>
        <v/>
      </c>
      <c r="X69" s="32">
        <f>IF($U69="",$K69,$K69*$S69)</f>
        <v/>
      </c>
      <c r="Y69" s="35">
        <f>IF($U69="",DATE(2100,12,31),$U69+1)</f>
        <v/>
      </c>
      <c r="Z69" s="35">
        <f>IF($U69="",DATE(1900,1,1),$O69)</f>
        <v/>
      </c>
      <c r="AA69" s="32">
        <f>IF($U69="",0,$K69*$T69)</f>
        <v/>
      </c>
      <c r="AB69" s="21">
        <f>IF($C69="",0,IFERROR(INDEX(Deals!$AD$2:$AD$355,MATCH($C69,Deals!$A$2:$A$355,0)),0))</f>
        <v/>
      </c>
      <c r="AC69" s="32">
        <f>IF(Settings!$B$4="Yes",$I69*$AB69,$I69)</f>
        <v/>
      </c>
      <c r="AD69" s="22">
        <f>IF($C69="","",IFERROR(IF(INDEX(Deals!$AE$2:$AE$355,MATCH($C69,Deals!$A$2:$A$355,0))=0,"",INDEX(Deals!$AE$2:$AE$355,MATCH($C69,Deals!$A$2:$A$355,0))),""))</f>
        <v/>
      </c>
      <c r="AE69" s="22">
        <f>IF($C69="","",IFERROR(IF(INDEX(Deals!$AF$2:$AF$355,MATCH($C69,Deals!$A$2:$A$355,0))=0,"",INDEX(Deals!$AF$2:$AF$355,MATCH($C69,Deals!$A$2:$A$355,0))),""))</f>
        <v/>
      </c>
      <c r="AF69" s="35">
        <f>IF($AD69="",DATE(1900,1,1),$AD69)</f>
        <v/>
      </c>
      <c r="AG69" s="35">
        <f>IF($AE69="",DATE(2100,12,31),$AE69)</f>
        <v/>
      </c>
      <c r="AH69" s="22">
        <f>IF($C69="","",IFERROR(IF(INDEX(Deals!$AG$2:$AG$355,MATCH($C69,Deals!$A$2:$A$355,0))=0,"",INDEX(Deals!$AG$2:$AG$355,MATCH($C69,Deals!$A$2:$A$355,0))),""))</f>
        <v/>
      </c>
      <c r="AI69" s="35">
        <f>IF(OR($AH69&lt;&gt;"",AND($AO69&gt;0,$AD69&lt;&gt;"",$AE69&lt;&gt;"")),$AF69,DATE(1900,1,1))</f>
        <v/>
      </c>
      <c r="AJ69" s="35">
        <f>IF($AH69&lt;&gt;"",$AH69,IF(AND($AO69&gt;0,$AD69&lt;&gt;"",$AE69&lt;&gt;""),$AG69,DATE(2100,12,31)))</f>
        <v/>
      </c>
      <c r="AK69" s="32">
        <f>IF($AH69="",$AC69,$AC69*$S69)</f>
        <v/>
      </c>
      <c r="AL69" s="35">
        <f>IF($AH69="",DATE(2100,12,31),$AH69+1)</f>
        <v/>
      </c>
      <c r="AM69" s="35">
        <f>IF($AH69="",DATE(1900,1,1),$AG69)</f>
        <v/>
      </c>
      <c r="AN69" s="32">
        <f>IF($AH69="",0,$AC69*$T69)</f>
        <v/>
      </c>
      <c r="AO69" s="46">
        <f>IF($C69="",0,IFERROR(INDEX(Deals!$BD$2:$BD$355,MATCH($C69,Deals!$A$2:$A$355,0)),0))</f>
        <v/>
      </c>
      <c r="AP69" s="18">
        <f>IF($AO69=0,0,IFERROR(INDEX(Deals!$BJ$2:$BP$355,MATCH($C69,Deals!$A$2:$A$355,0),MATCH($F69,Deals!$BJ$1:$BP$1,0))/COUNTIFS(Assignments!$C$2:$C$769,$C69,Assignments!$F$2:$F$769,$F69,Assignments!$G$2:$G$769,"Active"),0))</f>
        <v/>
      </c>
    </row>
    <row r="70">
      <c r="A70" s="28" t="inlineStr">
        <is>
          <t>John</t>
        </is>
      </c>
      <c r="B70" s="16">
        <f>IF($A70="","",IFERROR(INDEX(Roster!$B$2:$B$40,MATCH($A70,Roster!$A$2:$A$40,0)),"?"))</f>
        <v/>
      </c>
      <c r="C70" s="28" t="inlineStr">
        <is>
          <t>i3 Broadband _1</t>
        </is>
      </c>
      <c r="D70" s="16">
        <f>IF($C70="","",IFERROR(IF(INDEX(Deals!$C$2:$C$355,MATCH($C70,Deals!$A$2:$A$355,0))=0,"",INDEX(Deals!$C$2:$C$355,MATCH($C70,Deals!$A$2:$A$355,0))),"?"))</f>
        <v/>
      </c>
      <c r="E70" s="16">
        <f>IF($C70="","",IFERROR(INDEX(Deals!$F$2:$F$355,MATCH($C70,Deals!$A$2:$A$355,0)),"?"))</f>
        <v/>
      </c>
      <c r="F70" s="28" t="inlineStr">
        <is>
          <t>Partner</t>
        </is>
      </c>
      <c r="G70" s="28" t="inlineStr">
        <is>
          <t>Active</t>
        </is>
      </c>
      <c r="H70" s="31" t="n"/>
      <c r="I70" s="32">
        <f>IF(OR($A70="",$G70&lt;&gt;"Active"),0,IF($H70&lt;&gt;"",$H70,IF($AO70&gt;0,$AP70,IF(AND($R70&lt;&gt;"",IFERROR(INDEX(Templates!$B$3:$H$10,MATCH($R70,Templates!$A$3:$A$10,0),MATCH($F70,Templates!$B$2:$H$2,0)),0)&gt;0),INDEX(Templates!$B$3:$H$10,MATCH($R70,Templates!$A$3:$A$10,0),MATCH($F70,Templates!$B$2:$H$2,0)),IFERROR(INDEX(Settings!$B$8:$B$14,MATCH($F70,Settings!$A$8:$A$14,0)),0)))))</f>
        <v/>
      </c>
      <c r="J70" s="21">
        <f>IF($C70="",0,IFERROR(INDEX(Deals!$H$2:$H$355,MATCH($C70,Deals!$A$2:$A$355,0)),0))</f>
        <v/>
      </c>
      <c r="K70" s="32">
        <f>IF(Settings!$B$4="Yes",$I70*$J70,$I70)</f>
        <v/>
      </c>
      <c r="L70" s="22">
        <f>IF($C70="","",IFERROR(IF(INDEX(Deals!$I$2:$I$355,MATCH($C70,Deals!$A$2:$A$355,0))=0,"",INDEX(Deals!$I$2:$I$355,MATCH($C70,Deals!$A$2:$A$355,0))),""))</f>
        <v/>
      </c>
      <c r="M70" s="22">
        <f>IF($C70="","",IFERROR(IF(INDEX(Deals!$J$2:$J$355,MATCH($C70,Deals!$A$2:$A$355,0))=0,"",INDEX(Deals!$J$2:$J$355,MATCH($C70,Deals!$A$2:$A$355,0))),""))</f>
        <v/>
      </c>
      <c r="N70" s="35">
        <f>IF($L70="",DATE(1900,1,1),$L70)</f>
        <v/>
      </c>
      <c r="O70" s="35">
        <f>IF($M70="",DATE(2100,12,31),$M70)</f>
        <v/>
      </c>
      <c r="P70" s="20" t="inlineStr"/>
      <c r="Q70" s="47" t="inlineStr"/>
      <c r="R70" s="16">
        <f>IF($C70="","",IFERROR(IF(INDEX(Deals!$U$2:$U$355,MATCH($C70,Deals!$A$2:$A$355,0))=0,"",INDEX(Deals!$U$2:$U$355,MATCH($C70,Deals!$A$2:$A$355,0))),""))</f>
        <v/>
      </c>
      <c r="S70" s="34">
        <f>IFERROR(IF($U70="",1,INDEX(Deals!$V$2:$V$355,MATCH($C70,Deals!$A$2:$A$355,0))),1)</f>
        <v/>
      </c>
      <c r="T70" s="34">
        <f>IFERROR(IF($U70="",1,INDEX(Deals!$W$2:$W$355,MATCH($C70,Deals!$A$2:$A$355,0))),1)</f>
        <v/>
      </c>
      <c r="U70" s="22">
        <f>IF($C70="","",IFERROR(IF(INDEX(Deals!$Y$2:$Y$355,MATCH($C70,Deals!$A$2:$A$355,0))=0,"",INDEX(Deals!$Y$2:$Y$355,MATCH($C70,Deals!$A$2:$A$355,0))),""))</f>
        <v/>
      </c>
      <c r="V70" s="35">
        <f>IF(OR($U70&lt;&gt;"",AND($AO70&gt;0,$L70&lt;&gt;"",$M70&lt;&gt;"")),$N70,DATE(1900,1,1))</f>
        <v/>
      </c>
      <c r="W70" s="35">
        <f>IF($U70&lt;&gt;"",$U70,IF(AND($AO70&gt;0,$L70&lt;&gt;"",$M70&lt;&gt;""),$O70,DATE(2100,12,31)))</f>
        <v/>
      </c>
      <c r="X70" s="32">
        <f>IF($U70="",$K70,$K70*$S70)</f>
        <v/>
      </c>
      <c r="Y70" s="35">
        <f>IF($U70="",DATE(2100,12,31),$U70+1)</f>
        <v/>
      </c>
      <c r="Z70" s="35">
        <f>IF($U70="",DATE(1900,1,1),$O70)</f>
        <v/>
      </c>
      <c r="AA70" s="32">
        <f>IF($U70="",0,$K70*$T70)</f>
        <v/>
      </c>
      <c r="AB70" s="21">
        <f>IF($C70="",0,IFERROR(INDEX(Deals!$AD$2:$AD$355,MATCH($C70,Deals!$A$2:$A$355,0)),0))</f>
        <v/>
      </c>
      <c r="AC70" s="32">
        <f>IF(Settings!$B$4="Yes",$I70*$AB70,$I70)</f>
        <v/>
      </c>
      <c r="AD70" s="22">
        <f>IF($C70="","",IFERROR(IF(INDEX(Deals!$AE$2:$AE$355,MATCH($C70,Deals!$A$2:$A$355,0))=0,"",INDEX(Deals!$AE$2:$AE$355,MATCH($C70,Deals!$A$2:$A$355,0))),""))</f>
        <v/>
      </c>
      <c r="AE70" s="22">
        <f>IF($C70="","",IFERROR(IF(INDEX(Deals!$AF$2:$AF$355,MATCH($C70,Deals!$A$2:$A$355,0))=0,"",INDEX(Deals!$AF$2:$AF$355,MATCH($C70,Deals!$A$2:$A$355,0))),""))</f>
        <v/>
      </c>
      <c r="AF70" s="35">
        <f>IF($AD70="",DATE(1900,1,1),$AD70)</f>
        <v/>
      </c>
      <c r="AG70" s="35">
        <f>IF($AE70="",DATE(2100,12,31),$AE70)</f>
        <v/>
      </c>
      <c r="AH70" s="22">
        <f>IF($C70="","",IFERROR(IF(INDEX(Deals!$AG$2:$AG$355,MATCH($C70,Deals!$A$2:$A$355,0))=0,"",INDEX(Deals!$AG$2:$AG$355,MATCH($C70,Deals!$A$2:$A$355,0))),""))</f>
        <v/>
      </c>
      <c r="AI70" s="35">
        <f>IF(OR($AH70&lt;&gt;"",AND($AO70&gt;0,$AD70&lt;&gt;"",$AE70&lt;&gt;"")),$AF70,DATE(1900,1,1))</f>
        <v/>
      </c>
      <c r="AJ70" s="35">
        <f>IF($AH70&lt;&gt;"",$AH70,IF(AND($AO70&gt;0,$AD70&lt;&gt;"",$AE70&lt;&gt;""),$AG70,DATE(2100,12,31)))</f>
        <v/>
      </c>
      <c r="AK70" s="32">
        <f>IF($AH70="",$AC70,$AC70*$S70)</f>
        <v/>
      </c>
      <c r="AL70" s="35">
        <f>IF($AH70="",DATE(2100,12,31),$AH70+1)</f>
        <v/>
      </c>
      <c r="AM70" s="35">
        <f>IF($AH70="",DATE(1900,1,1),$AG70)</f>
        <v/>
      </c>
      <c r="AN70" s="32">
        <f>IF($AH70="",0,$AC70*$T70)</f>
        <v/>
      </c>
      <c r="AO70" s="46">
        <f>IF($C70="",0,IFERROR(INDEX(Deals!$BD$2:$BD$355,MATCH($C70,Deals!$A$2:$A$355,0)),0))</f>
        <v/>
      </c>
      <c r="AP70" s="18">
        <f>IF($AO70=0,0,IFERROR(INDEX(Deals!$BJ$2:$BP$355,MATCH($C70,Deals!$A$2:$A$355,0),MATCH($F70,Deals!$BJ$1:$BP$1,0))/COUNTIFS(Assignments!$C$2:$C$769,$C70,Assignments!$F$2:$F$769,$F70,Assignments!$G$2:$G$769,"Active"),0))</f>
        <v/>
      </c>
    </row>
    <row r="71">
      <c r="A71" s="28" t="inlineStr">
        <is>
          <t>John</t>
        </is>
      </c>
      <c r="B71" s="16">
        <f>IF($A71="","",IFERROR(INDEX(Roster!$B$2:$B$40,MATCH($A71,Roster!$A$2:$A$40,0)),"?"))</f>
        <v/>
      </c>
      <c r="C71" s="28" t="inlineStr">
        <is>
          <t>Lafayette_2</t>
        </is>
      </c>
      <c r="D71" s="16">
        <f>IF($C71="","",IFERROR(IF(INDEX(Deals!$C$2:$C$355,MATCH($C71,Deals!$A$2:$A$355,0))=0,"",INDEX(Deals!$C$2:$C$355,MATCH($C71,Deals!$A$2:$A$355,0))),"?"))</f>
        <v/>
      </c>
      <c r="E71" s="16">
        <f>IF($C71="","",IFERROR(INDEX(Deals!$F$2:$F$355,MATCH($C71,Deals!$A$2:$A$355,0)),"?"))</f>
        <v/>
      </c>
      <c r="F71" s="28" t="inlineStr">
        <is>
          <t>Partner</t>
        </is>
      </c>
      <c r="G71" s="28" t="inlineStr">
        <is>
          <t>Active</t>
        </is>
      </c>
      <c r="H71" s="31" t="n"/>
      <c r="I71" s="32">
        <f>IF(OR($A71="",$G71&lt;&gt;"Active"),0,IF($H71&lt;&gt;"",$H71,IF($AO71&gt;0,$AP71,IF(AND($R71&lt;&gt;"",IFERROR(INDEX(Templates!$B$3:$H$10,MATCH($R71,Templates!$A$3:$A$10,0),MATCH($F71,Templates!$B$2:$H$2,0)),0)&gt;0),INDEX(Templates!$B$3:$H$10,MATCH($R71,Templates!$A$3:$A$10,0),MATCH($F71,Templates!$B$2:$H$2,0)),IFERROR(INDEX(Settings!$B$8:$B$14,MATCH($F71,Settings!$A$8:$A$14,0)),0)))))</f>
        <v/>
      </c>
      <c r="J71" s="21">
        <f>IF($C71="",0,IFERROR(INDEX(Deals!$H$2:$H$355,MATCH($C71,Deals!$A$2:$A$355,0)),0))</f>
        <v/>
      </c>
      <c r="K71" s="32">
        <f>IF(Settings!$B$4="Yes",$I71*$J71,$I71)</f>
        <v/>
      </c>
      <c r="L71" s="22">
        <f>IF($C71="","",IFERROR(IF(INDEX(Deals!$I$2:$I$355,MATCH($C71,Deals!$A$2:$A$355,0))=0,"",INDEX(Deals!$I$2:$I$355,MATCH($C71,Deals!$A$2:$A$355,0))),""))</f>
        <v/>
      </c>
      <c r="M71" s="22">
        <f>IF($C71="","",IFERROR(IF(INDEX(Deals!$J$2:$J$355,MATCH($C71,Deals!$A$2:$A$355,0))=0,"",INDEX(Deals!$J$2:$J$355,MATCH($C71,Deals!$A$2:$A$355,0))),""))</f>
        <v/>
      </c>
      <c r="N71" s="35">
        <f>IF($L71="",DATE(1900,1,1),$L71)</f>
        <v/>
      </c>
      <c r="O71" s="35">
        <f>IF($M71="",DATE(2100,12,31),$M71)</f>
        <v/>
      </c>
      <c r="P71" s="20" t="inlineStr"/>
      <c r="Q71" s="47" t="inlineStr"/>
      <c r="R71" s="16">
        <f>IF($C71="","",IFERROR(IF(INDEX(Deals!$U$2:$U$355,MATCH($C71,Deals!$A$2:$A$355,0))=0,"",INDEX(Deals!$U$2:$U$355,MATCH($C71,Deals!$A$2:$A$355,0))),""))</f>
        <v/>
      </c>
      <c r="S71" s="34">
        <f>IFERROR(IF($U71="",1,INDEX(Deals!$V$2:$V$355,MATCH($C71,Deals!$A$2:$A$355,0))),1)</f>
        <v/>
      </c>
      <c r="T71" s="34">
        <f>IFERROR(IF($U71="",1,INDEX(Deals!$W$2:$W$355,MATCH($C71,Deals!$A$2:$A$355,0))),1)</f>
        <v/>
      </c>
      <c r="U71" s="22">
        <f>IF($C71="","",IFERROR(IF(INDEX(Deals!$Y$2:$Y$355,MATCH($C71,Deals!$A$2:$A$355,0))=0,"",INDEX(Deals!$Y$2:$Y$355,MATCH($C71,Deals!$A$2:$A$355,0))),""))</f>
        <v/>
      </c>
      <c r="V71" s="35">
        <f>IF(OR($U71&lt;&gt;"",AND($AO71&gt;0,$L71&lt;&gt;"",$M71&lt;&gt;"")),$N71,DATE(1900,1,1))</f>
        <v/>
      </c>
      <c r="W71" s="35">
        <f>IF($U71&lt;&gt;"",$U71,IF(AND($AO71&gt;0,$L71&lt;&gt;"",$M71&lt;&gt;""),$O71,DATE(2100,12,31)))</f>
        <v/>
      </c>
      <c r="X71" s="32">
        <f>IF($U71="",$K71,$K71*$S71)</f>
        <v/>
      </c>
      <c r="Y71" s="35">
        <f>IF($U71="",DATE(2100,12,31),$U71+1)</f>
        <v/>
      </c>
      <c r="Z71" s="35">
        <f>IF($U71="",DATE(1900,1,1),$O71)</f>
        <v/>
      </c>
      <c r="AA71" s="32">
        <f>IF($U71="",0,$K71*$T71)</f>
        <v/>
      </c>
      <c r="AB71" s="21">
        <f>IF($C71="",0,IFERROR(INDEX(Deals!$AD$2:$AD$355,MATCH($C71,Deals!$A$2:$A$355,0)),0))</f>
        <v/>
      </c>
      <c r="AC71" s="32">
        <f>IF(Settings!$B$4="Yes",$I71*$AB71,$I71)</f>
        <v/>
      </c>
      <c r="AD71" s="22">
        <f>IF($C71="","",IFERROR(IF(INDEX(Deals!$AE$2:$AE$355,MATCH($C71,Deals!$A$2:$A$355,0))=0,"",INDEX(Deals!$AE$2:$AE$355,MATCH($C71,Deals!$A$2:$A$355,0))),""))</f>
        <v/>
      </c>
      <c r="AE71" s="22">
        <f>IF($C71="","",IFERROR(IF(INDEX(Deals!$AF$2:$AF$355,MATCH($C71,Deals!$A$2:$A$355,0))=0,"",INDEX(Deals!$AF$2:$AF$355,MATCH($C71,Deals!$A$2:$A$355,0))),""))</f>
        <v/>
      </c>
      <c r="AF71" s="35">
        <f>IF($AD71="",DATE(1900,1,1),$AD71)</f>
        <v/>
      </c>
      <c r="AG71" s="35">
        <f>IF($AE71="",DATE(2100,12,31),$AE71)</f>
        <v/>
      </c>
      <c r="AH71" s="22">
        <f>IF($C71="","",IFERROR(IF(INDEX(Deals!$AG$2:$AG$355,MATCH($C71,Deals!$A$2:$A$355,0))=0,"",INDEX(Deals!$AG$2:$AG$355,MATCH($C71,Deals!$A$2:$A$355,0))),""))</f>
        <v/>
      </c>
      <c r="AI71" s="35">
        <f>IF(OR($AH71&lt;&gt;"",AND($AO71&gt;0,$AD71&lt;&gt;"",$AE71&lt;&gt;"")),$AF71,DATE(1900,1,1))</f>
        <v/>
      </c>
      <c r="AJ71" s="35">
        <f>IF($AH71&lt;&gt;"",$AH71,IF(AND($AO71&gt;0,$AD71&lt;&gt;"",$AE71&lt;&gt;""),$AG71,DATE(2100,12,31)))</f>
        <v/>
      </c>
      <c r="AK71" s="32">
        <f>IF($AH71="",$AC71,$AC71*$S71)</f>
        <v/>
      </c>
      <c r="AL71" s="35">
        <f>IF($AH71="",DATE(2100,12,31),$AH71+1)</f>
        <v/>
      </c>
      <c r="AM71" s="35">
        <f>IF($AH71="",DATE(1900,1,1),$AG71)</f>
        <v/>
      </c>
      <c r="AN71" s="32">
        <f>IF($AH71="",0,$AC71*$T71)</f>
        <v/>
      </c>
      <c r="AO71" s="46">
        <f>IF($C71="",0,IFERROR(INDEX(Deals!$BD$2:$BD$355,MATCH($C71,Deals!$A$2:$A$355,0)),0))</f>
        <v/>
      </c>
      <c r="AP71" s="18">
        <f>IF($AO71=0,0,IFERROR(INDEX(Deals!$BJ$2:$BP$355,MATCH($C71,Deals!$A$2:$A$355,0),MATCH($F71,Deals!$BJ$1:$BP$1,0))/COUNTIFS(Assignments!$C$2:$C$769,$C71,Assignments!$F$2:$F$769,$F71,Assignments!$G$2:$G$769,"Active"),0))</f>
        <v/>
      </c>
    </row>
    <row r="72">
      <c r="A72" s="28" t="inlineStr">
        <is>
          <t>John</t>
        </is>
      </c>
      <c r="B72" s="16">
        <f>IF($A72="","",IFERROR(INDEX(Roster!$B$2:$B$40,MATCH($A72,Roster!$A$2:$A$40,0)),"?"))</f>
        <v/>
      </c>
      <c r="C72" s="28" t="inlineStr">
        <is>
          <t>MIF_1</t>
        </is>
      </c>
      <c r="D72" s="16">
        <f>IF($C72="","",IFERROR(IF(INDEX(Deals!$C$2:$C$355,MATCH($C72,Deals!$A$2:$A$355,0))=0,"",INDEX(Deals!$C$2:$C$355,MATCH($C72,Deals!$A$2:$A$355,0))),"?"))</f>
        <v/>
      </c>
      <c r="E72" s="16">
        <f>IF($C72="","",IFERROR(INDEX(Deals!$F$2:$F$355,MATCH($C72,Deals!$A$2:$A$355,0)),"?"))</f>
        <v/>
      </c>
      <c r="F72" s="28" t="inlineStr">
        <is>
          <t>Partner</t>
        </is>
      </c>
      <c r="G72" s="28" t="inlineStr">
        <is>
          <t>Active</t>
        </is>
      </c>
      <c r="H72" s="31" t="n"/>
      <c r="I72" s="32">
        <f>IF(OR($A72="",$G72&lt;&gt;"Active"),0,IF($H72&lt;&gt;"",$H72,IF($AO72&gt;0,$AP72,IF(AND($R72&lt;&gt;"",IFERROR(INDEX(Templates!$B$3:$H$10,MATCH($R72,Templates!$A$3:$A$10,0),MATCH($F72,Templates!$B$2:$H$2,0)),0)&gt;0),INDEX(Templates!$B$3:$H$10,MATCH($R72,Templates!$A$3:$A$10,0),MATCH($F72,Templates!$B$2:$H$2,0)),IFERROR(INDEX(Settings!$B$8:$B$14,MATCH($F72,Settings!$A$8:$A$14,0)),0)))))</f>
        <v/>
      </c>
      <c r="J72" s="21">
        <f>IF($C72="",0,IFERROR(INDEX(Deals!$H$2:$H$355,MATCH($C72,Deals!$A$2:$A$355,0)),0))</f>
        <v/>
      </c>
      <c r="K72" s="32">
        <f>IF(Settings!$B$4="Yes",$I72*$J72,$I72)</f>
        <v/>
      </c>
      <c r="L72" s="22">
        <f>IF($C72="","",IFERROR(IF(INDEX(Deals!$I$2:$I$355,MATCH($C72,Deals!$A$2:$A$355,0))=0,"",INDEX(Deals!$I$2:$I$355,MATCH($C72,Deals!$A$2:$A$355,0))),""))</f>
        <v/>
      </c>
      <c r="M72" s="22">
        <f>IF($C72="","",IFERROR(IF(INDEX(Deals!$J$2:$J$355,MATCH($C72,Deals!$A$2:$A$355,0))=0,"",INDEX(Deals!$J$2:$J$355,MATCH($C72,Deals!$A$2:$A$355,0))),""))</f>
        <v/>
      </c>
      <c r="N72" s="35">
        <f>IF($L72="",DATE(1900,1,1),$L72)</f>
        <v/>
      </c>
      <c r="O72" s="35">
        <f>IF($M72="",DATE(2100,12,31),$M72)</f>
        <v/>
      </c>
      <c r="P72" s="20" t="inlineStr"/>
      <c r="Q72" s="47" t="inlineStr"/>
      <c r="R72" s="16">
        <f>IF($C72="","",IFERROR(IF(INDEX(Deals!$U$2:$U$355,MATCH($C72,Deals!$A$2:$A$355,0))=0,"",INDEX(Deals!$U$2:$U$355,MATCH($C72,Deals!$A$2:$A$355,0))),""))</f>
        <v/>
      </c>
      <c r="S72" s="34">
        <f>IFERROR(IF($U72="",1,INDEX(Deals!$V$2:$V$355,MATCH($C72,Deals!$A$2:$A$355,0))),1)</f>
        <v/>
      </c>
      <c r="T72" s="34">
        <f>IFERROR(IF($U72="",1,INDEX(Deals!$W$2:$W$355,MATCH($C72,Deals!$A$2:$A$355,0))),1)</f>
        <v/>
      </c>
      <c r="U72" s="22">
        <f>IF($C72="","",IFERROR(IF(INDEX(Deals!$Y$2:$Y$355,MATCH($C72,Deals!$A$2:$A$355,0))=0,"",INDEX(Deals!$Y$2:$Y$355,MATCH($C72,Deals!$A$2:$A$355,0))),""))</f>
        <v/>
      </c>
      <c r="V72" s="35">
        <f>IF(OR($U72&lt;&gt;"",AND($AO72&gt;0,$L72&lt;&gt;"",$M72&lt;&gt;"")),$N72,DATE(1900,1,1))</f>
        <v/>
      </c>
      <c r="W72" s="35">
        <f>IF($U72&lt;&gt;"",$U72,IF(AND($AO72&gt;0,$L72&lt;&gt;"",$M72&lt;&gt;""),$O72,DATE(2100,12,31)))</f>
        <v/>
      </c>
      <c r="X72" s="32">
        <f>IF($U72="",$K72,$K72*$S72)</f>
        <v/>
      </c>
      <c r="Y72" s="35">
        <f>IF($U72="",DATE(2100,12,31),$U72+1)</f>
        <v/>
      </c>
      <c r="Z72" s="35">
        <f>IF($U72="",DATE(1900,1,1),$O72)</f>
        <v/>
      </c>
      <c r="AA72" s="32">
        <f>IF($U72="",0,$K72*$T72)</f>
        <v/>
      </c>
      <c r="AB72" s="21">
        <f>IF($C72="",0,IFERROR(INDEX(Deals!$AD$2:$AD$355,MATCH($C72,Deals!$A$2:$A$355,0)),0))</f>
        <v/>
      </c>
      <c r="AC72" s="32">
        <f>IF(Settings!$B$4="Yes",$I72*$AB72,$I72)</f>
        <v/>
      </c>
      <c r="AD72" s="22">
        <f>IF($C72="","",IFERROR(IF(INDEX(Deals!$AE$2:$AE$355,MATCH($C72,Deals!$A$2:$A$355,0))=0,"",INDEX(Deals!$AE$2:$AE$355,MATCH($C72,Deals!$A$2:$A$355,0))),""))</f>
        <v/>
      </c>
      <c r="AE72" s="22">
        <f>IF($C72="","",IFERROR(IF(INDEX(Deals!$AF$2:$AF$355,MATCH($C72,Deals!$A$2:$A$355,0))=0,"",INDEX(Deals!$AF$2:$AF$355,MATCH($C72,Deals!$A$2:$A$355,0))),""))</f>
        <v/>
      </c>
      <c r="AF72" s="35">
        <f>IF($AD72="",DATE(1900,1,1),$AD72)</f>
        <v/>
      </c>
      <c r="AG72" s="35">
        <f>IF($AE72="",DATE(2100,12,31),$AE72)</f>
        <v/>
      </c>
      <c r="AH72" s="22">
        <f>IF($C72="","",IFERROR(IF(INDEX(Deals!$AG$2:$AG$355,MATCH($C72,Deals!$A$2:$A$355,0))=0,"",INDEX(Deals!$AG$2:$AG$355,MATCH($C72,Deals!$A$2:$A$355,0))),""))</f>
        <v/>
      </c>
      <c r="AI72" s="35">
        <f>IF(OR($AH72&lt;&gt;"",AND($AO72&gt;0,$AD72&lt;&gt;"",$AE72&lt;&gt;"")),$AF72,DATE(1900,1,1))</f>
        <v/>
      </c>
      <c r="AJ72" s="35">
        <f>IF($AH72&lt;&gt;"",$AH72,IF(AND($AO72&gt;0,$AD72&lt;&gt;"",$AE72&lt;&gt;""),$AG72,DATE(2100,12,31)))</f>
        <v/>
      </c>
      <c r="AK72" s="32">
        <f>IF($AH72="",$AC72,$AC72*$S72)</f>
        <v/>
      </c>
      <c r="AL72" s="35">
        <f>IF($AH72="",DATE(2100,12,31),$AH72+1)</f>
        <v/>
      </c>
      <c r="AM72" s="35">
        <f>IF($AH72="",DATE(1900,1,1),$AG72)</f>
        <v/>
      </c>
      <c r="AN72" s="32">
        <f>IF($AH72="",0,$AC72*$T72)</f>
        <v/>
      </c>
      <c r="AO72" s="46">
        <f>IF($C72="",0,IFERROR(INDEX(Deals!$BD$2:$BD$355,MATCH($C72,Deals!$A$2:$A$355,0)),0))</f>
        <v/>
      </c>
      <c r="AP72" s="18">
        <f>IF($AO72=0,0,IFERROR(INDEX(Deals!$BJ$2:$BP$355,MATCH($C72,Deals!$A$2:$A$355,0),MATCH($F72,Deals!$BJ$1:$BP$1,0))/COUNTIFS(Assignments!$C$2:$C$769,$C72,Assignments!$F$2:$F$769,$F72,Assignments!$G$2:$G$769,"Active"),0))</f>
        <v/>
      </c>
    </row>
    <row r="73">
      <c r="A73" s="28" t="inlineStr">
        <is>
          <t>John</t>
        </is>
      </c>
      <c r="B73" s="16">
        <f>IF($A73="","",IFERROR(INDEX(Roster!$B$2:$B$40,MATCH($A73,Roster!$A$2:$A$40,0)),"?"))</f>
        <v/>
      </c>
      <c r="C73" s="28" t="inlineStr">
        <is>
          <t>MIP_1</t>
        </is>
      </c>
      <c r="D73" s="16">
        <f>IF($C73="","",IFERROR(IF(INDEX(Deals!$C$2:$C$355,MATCH($C73,Deals!$A$2:$A$355,0))=0,"",INDEX(Deals!$C$2:$C$355,MATCH($C73,Deals!$A$2:$A$355,0))),"?"))</f>
        <v/>
      </c>
      <c r="E73" s="16">
        <f>IF($C73="","",IFERROR(INDEX(Deals!$F$2:$F$355,MATCH($C73,Deals!$A$2:$A$355,0)),"?"))</f>
        <v/>
      </c>
      <c r="F73" s="28" t="inlineStr">
        <is>
          <t>Partner</t>
        </is>
      </c>
      <c r="G73" s="28" t="inlineStr">
        <is>
          <t>Active</t>
        </is>
      </c>
      <c r="H73" s="31" t="n"/>
      <c r="I73" s="32">
        <f>IF(OR($A73="",$G73&lt;&gt;"Active"),0,IF($H73&lt;&gt;"",$H73,IF($AO73&gt;0,$AP73,IF(AND($R73&lt;&gt;"",IFERROR(INDEX(Templates!$B$3:$H$10,MATCH($R73,Templates!$A$3:$A$10,0),MATCH($F73,Templates!$B$2:$H$2,0)),0)&gt;0),INDEX(Templates!$B$3:$H$10,MATCH($R73,Templates!$A$3:$A$10,0),MATCH($F73,Templates!$B$2:$H$2,0)),IFERROR(INDEX(Settings!$B$8:$B$14,MATCH($F73,Settings!$A$8:$A$14,0)),0)))))</f>
        <v/>
      </c>
      <c r="J73" s="21">
        <f>IF($C73="",0,IFERROR(INDEX(Deals!$H$2:$H$355,MATCH($C73,Deals!$A$2:$A$355,0)),0))</f>
        <v/>
      </c>
      <c r="K73" s="32">
        <f>IF(Settings!$B$4="Yes",$I73*$J73,$I73)</f>
        <v/>
      </c>
      <c r="L73" s="22">
        <f>IF($C73="","",IFERROR(IF(INDEX(Deals!$I$2:$I$355,MATCH($C73,Deals!$A$2:$A$355,0))=0,"",INDEX(Deals!$I$2:$I$355,MATCH($C73,Deals!$A$2:$A$355,0))),""))</f>
        <v/>
      </c>
      <c r="M73" s="22">
        <f>IF($C73="","",IFERROR(IF(INDEX(Deals!$J$2:$J$355,MATCH($C73,Deals!$A$2:$A$355,0))=0,"",INDEX(Deals!$J$2:$J$355,MATCH($C73,Deals!$A$2:$A$355,0))),""))</f>
        <v/>
      </c>
      <c r="N73" s="35">
        <f>IF($L73="",DATE(1900,1,1),$L73)</f>
        <v/>
      </c>
      <c r="O73" s="35">
        <f>IF($M73="",DATE(2100,12,31),$M73)</f>
        <v/>
      </c>
      <c r="P73" s="20" t="inlineStr"/>
      <c r="Q73" s="47" t="inlineStr"/>
      <c r="R73" s="16">
        <f>IF($C73="","",IFERROR(IF(INDEX(Deals!$U$2:$U$355,MATCH($C73,Deals!$A$2:$A$355,0))=0,"",INDEX(Deals!$U$2:$U$355,MATCH($C73,Deals!$A$2:$A$355,0))),""))</f>
        <v/>
      </c>
      <c r="S73" s="34">
        <f>IFERROR(IF($U73="",1,INDEX(Deals!$V$2:$V$355,MATCH($C73,Deals!$A$2:$A$355,0))),1)</f>
        <v/>
      </c>
      <c r="T73" s="34">
        <f>IFERROR(IF($U73="",1,INDEX(Deals!$W$2:$W$355,MATCH($C73,Deals!$A$2:$A$355,0))),1)</f>
        <v/>
      </c>
      <c r="U73" s="22">
        <f>IF($C73="","",IFERROR(IF(INDEX(Deals!$Y$2:$Y$355,MATCH($C73,Deals!$A$2:$A$355,0))=0,"",INDEX(Deals!$Y$2:$Y$355,MATCH($C73,Deals!$A$2:$A$355,0))),""))</f>
        <v/>
      </c>
      <c r="V73" s="35">
        <f>IF(OR($U73&lt;&gt;"",AND($AO73&gt;0,$L73&lt;&gt;"",$M73&lt;&gt;"")),$N73,DATE(1900,1,1))</f>
        <v/>
      </c>
      <c r="W73" s="35">
        <f>IF($U73&lt;&gt;"",$U73,IF(AND($AO73&gt;0,$L73&lt;&gt;"",$M73&lt;&gt;""),$O73,DATE(2100,12,31)))</f>
        <v/>
      </c>
      <c r="X73" s="32">
        <f>IF($U73="",$K73,$K73*$S73)</f>
        <v/>
      </c>
      <c r="Y73" s="35">
        <f>IF($U73="",DATE(2100,12,31),$U73+1)</f>
        <v/>
      </c>
      <c r="Z73" s="35">
        <f>IF($U73="",DATE(1900,1,1),$O73)</f>
        <v/>
      </c>
      <c r="AA73" s="32">
        <f>IF($U73="",0,$K73*$T73)</f>
        <v/>
      </c>
      <c r="AB73" s="21">
        <f>IF($C73="",0,IFERROR(INDEX(Deals!$AD$2:$AD$355,MATCH($C73,Deals!$A$2:$A$355,0)),0))</f>
        <v/>
      </c>
      <c r="AC73" s="32">
        <f>IF(Settings!$B$4="Yes",$I73*$AB73,$I73)</f>
        <v/>
      </c>
      <c r="AD73" s="22">
        <f>IF($C73="","",IFERROR(IF(INDEX(Deals!$AE$2:$AE$355,MATCH($C73,Deals!$A$2:$A$355,0))=0,"",INDEX(Deals!$AE$2:$AE$355,MATCH($C73,Deals!$A$2:$A$355,0))),""))</f>
        <v/>
      </c>
      <c r="AE73" s="22">
        <f>IF($C73="","",IFERROR(IF(INDEX(Deals!$AF$2:$AF$355,MATCH($C73,Deals!$A$2:$A$355,0))=0,"",INDEX(Deals!$AF$2:$AF$355,MATCH($C73,Deals!$A$2:$A$355,0))),""))</f>
        <v/>
      </c>
      <c r="AF73" s="35">
        <f>IF($AD73="",DATE(1900,1,1),$AD73)</f>
        <v/>
      </c>
      <c r="AG73" s="35">
        <f>IF($AE73="",DATE(2100,12,31),$AE73)</f>
        <v/>
      </c>
      <c r="AH73" s="22">
        <f>IF($C73="","",IFERROR(IF(INDEX(Deals!$AG$2:$AG$355,MATCH($C73,Deals!$A$2:$A$355,0))=0,"",INDEX(Deals!$AG$2:$AG$355,MATCH($C73,Deals!$A$2:$A$355,0))),""))</f>
        <v/>
      </c>
      <c r="AI73" s="35">
        <f>IF(OR($AH73&lt;&gt;"",AND($AO73&gt;0,$AD73&lt;&gt;"",$AE73&lt;&gt;"")),$AF73,DATE(1900,1,1))</f>
        <v/>
      </c>
      <c r="AJ73" s="35">
        <f>IF($AH73&lt;&gt;"",$AH73,IF(AND($AO73&gt;0,$AD73&lt;&gt;"",$AE73&lt;&gt;""),$AG73,DATE(2100,12,31)))</f>
        <v/>
      </c>
      <c r="AK73" s="32">
        <f>IF($AH73="",$AC73,$AC73*$S73)</f>
        <v/>
      </c>
      <c r="AL73" s="35">
        <f>IF($AH73="",DATE(2100,12,31),$AH73+1)</f>
        <v/>
      </c>
      <c r="AM73" s="35">
        <f>IF($AH73="",DATE(1900,1,1),$AG73)</f>
        <v/>
      </c>
      <c r="AN73" s="32">
        <f>IF($AH73="",0,$AC73*$T73)</f>
        <v/>
      </c>
      <c r="AO73" s="46">
        <f>IF($C73="",0,IFERROR(INDEX(Deals!$BD$2:$BD$355,MATCH($C73,Deals!$A$2:$A$355,0)),0))</f>
        <v/>
      </c>
      <c r="AP73" s="18">
        <f>IF($AO73=0,0,IFERROR(INDEX(Deals!$BJ$2:$BP$355,MATCH($C73,Deals!$A$2:$A$355,0),MATCH($F73,Deals!$BJ$1:$BP$1,0))/COUNTIFS(Assignments!$C$2:$C$769,$C73,Assignments!$F$2:$F$769,$F73,Assignments!$G$2:$G$769,"Active"),0))</f>
        <v/>
      </c>
    </row>
    <row r="74">
      <c r="A74" s="28" t="inlineStr">
        <is>
          <t>John</t>
        </is>
      </c>
      <c r="B74" s="16">
        <f>IF($A74="","",IFERROR(INDEX(Roster!$B$2:$B$40,MATCH($A74,Roster!$A$2:$A$40,0)),"?"))</f>
        <v/>
      </c>
      <c r="C74" s="28" t="inlineStr">
        <is>
          <t>Mozart_2</t>
        </is>
      </c>
      <c r="D74" s="16">
        <f>IF($C74="","",IFERROR(IF(INDEX(Deals!$C$2:$C$355,MATCH($C74,Deals!$A$2:$A$355,0))=0,"",INDEX(Deals!$C$2:$C$355,MATCH($C74,Deals!$A$2:$A$355,0))),"?"))</f>
        <v/>
      </c>
      <c r="E74" s="16">
        <f>IF($C74="","",IFERROR(INDEX(Deals!$F$2:$F$355,MATCH($C74,Deals!$A$2:$A$355,0)),"?"))</f>
        <v/>
      </c>
      <c r="F74" s="28" t="inlineStr">
        <is>
          <t>Partner</t>
        </is>
      </c>
      <c r="G74" s="28" t="inlineStr">
        <is>
          <t>Active</t>
        </is>
      </c>
      <c r="H74" s="31" t="n"/>
      <c r="I74" s="32">
        <f>IF(OR($A74="",$G74&lt;&gt;"Active"),0,IF($H74&lt;&gt;"",$H74,IF($AO74&gt;0,$AP74,IF(AND($R74&lt;&gt;"",IFERROR(INDEX(Templates!$B$3:$H$10,MATCH($R74,Templates!$A$3:$A$10,0),MATCH($F74,Templates!$B$2:$H$2,0)),0)&gt;0),INDEX(Templates!$B$3:$H$10,MATCH($R74,Templates!$A$3:$A$10,0),MATCH($F74,Templates!$B$2:$H$2,0)),IFERROR(INDEX(Settings!$B$8:$B$14,MATCH($F74,Settings!$A$8:$A$14,0)),0)))))</f>
        <v/>
      </c>
      <c r="J74" s="21">
        <f>IF($C74="",0,IFERROR(INDEX(Deals!$H$2:$H$355,MATCH($C74,Deals!$A$2:$A$355,0)),0))</f>
        <v/>
      </c>
      <c r="K74" s="32">
        <f>IF(Settings!$B$4="Yes",$I74*$J74,$I74)</f>
        <v/>
      </c>
      <c r="L74" s="22">
        <f>IF($C74="","",IFERROR(IF(INDEX(Deals!$I$2:$I$355,MATCH($C74,Deals!$A$2:$A$355,0))=0,"",INDEX(Deals!$I$2:$I$355,MATCH($C74,Deals!$A$2:$A$355,0))),""))</f>
        <v/>
      </c>
      <c r="M74" s="22">
        <f>IF($C74="","",IFERROR(IF(INDEX(Deals!$J$2:$J$355,MATCH($C74,Deals!$A$2:$A$355,0))=0,"",INDEX(Deals!$J$2:$J$355,MATCH($C74,Deals!$A$2:$A$355,0))),""))</f>
        <v/>
      </c>
      <c r="N74" s="35">
        <f>IF($L74="",DATE(1900,1,1),$L74)</f>
        <v/>
      </c>
      <c r="O74" s="35">
        <f>IF($M74="",DATE(2100,12,31),$M74)</f>
        <v/>
      </c>
      <c r="P74" s="20" t="inlineStr"/>
      <c r="Q74" s="47" t="inlineStr"/>
      <c r="R74" s="16">
        <f>IF($C74="","",IFERROR(IF(INDEX(Deals!$U$2:$U$355,MATCH($C74,Deals!$A$2:$A$355,0))=0,"",INDEX(Deals!$U$2:$U$355,MATCH($C74,Deals!$A$2:$A$355,0))),""))</f>
        <v/>
      </c>
      <c r="S74" s="34">
        <f>IFERROR(IF($U74="",1,INDEX(Deals!$V$2:$V$355,MATCH($C74,Deals!$A$2:$A$355,0))),1)</f>
        <v/>
      </c>
      <c r="T74" s="34">
        <f>IFERROR(IF($U74="",1,INDEX(Deals!$W$2:$W$355,MATCH($C74,Deals!$A$2:$A$355,0))),1)</f>
        <v/>
      </c>
      <c r="U74" s="22">
        <f>IF($C74="","",IFERROR(IF(INDEX(Deals!$Y$2:$Y$355,MATCH($C74,Deals!$A$2:$A$355,0))=0,"",INDEX(Deals!$Y$2:$Y$355,MATCH($C74,Deals!$A$2:$A$355,0))),""))</f>
        <v/>
      </c>
      <c r="V74" s="35">
        <f>IF(OR($U74&lt;&gt;"",AND($AO74&gt;0,$L74&lt;&gt;"",$M74&lt;&gt;"")),$N74,DATE(1900,1,1))</f>
        <v/>
      </c>
      <c r="W74" s="35">
        <f>IF($U74&lt;&gt;"",$U74,IF(AND($AO74&gt;0,$L74&lt;&gt;"",$M74&lt;&gt;""),$O74,DATE(2100,12,31)))</f>
        <v/>
      </c>
      <c r="X74" s="32">
        <f>IF($U74="",$K74,$K74*$S74)</f>
        <v/>
      </c>
      <c r="Y74" s="35">
        <f>IF($U74="",DATE(2100,12,31),$U74+1)</f>
        <v/>
      </c>
      <c r="Z74" s="35">
        <f>IF($U74="",DATE(1900,1,1),$O74)</f>
        <v/>
      </c>
      <c r="AA74" s="32">
        <f>IF($U74="",0,$K74*$T74)</f>
        <v/>
      </c>
      <c r="AB74" s="21">
        <f>IF($C74="",0,IFERROR(INDEX(Deals!$AD$2:$AD$355,MATCH($C74,Deals!$A$2:$A$355,0)),0))</f>
        <v/>
      </c>
      <c r="AC74" s="32">
        <f>IF(Settings!$B$4="Yes",$I74*$AB74,$I74)</f>
        <v/>
      </c>
      <c r="AD74" s="22">
        <f>IF($C74="","",IFERROR(IF(INDEX(Deals!$AE$2:$AE$355,MATCH($C74,Deals!$A$2:$A$355,0))=0,"",INDEX(Deals!$AE$2:$AE$355,MATCH($C74,Deals!$A$2:$A$355,0))),""))</f>
        <v/>
      </c>
      <c r="AE74" s="22">
        <f>IF($C74="","",IFERROR(IF(INDEX(Deals!$AF$2:$AF$355,MATCH($C74,Deals!$A$2:$A$355,0))=0,"",INDEX(Deals!$AF$2:$AF$355,MATCH($C74,Deals!$A$2:$A$355,0))),""))</f>
        <v/>
      </c>
      <c r="AF74" s="35">
        <f>IF($AD74="",DATE(1900,1,1),$AD74)</f>
        <v/>
      </c>
      <c r="AG74" s="35">
        <f>IF($AE74="",DATE(2100,12,31),$AE74)</f>
        <v/>
      </c>
      <c r="AH74" s="22">
        <f>IF($C74="","",IFERROR(IF(INDEX(Deals!$AG$2:$AG$355,MATCH($C74,Deals!$A$2:$A$355,0))=0,"",INDEX(Deals!$AG$2:$AG$355,MATCH($C74,Deals!$A$2:$A$355,0))),""))</f>
        <v/>
      </c>
      <c r="AI74" s="35">
        <f>IF(OR($AH74&lt;&gt;"",AND($AO74&gt;0,$AD74&lt;&gt;"",$AE74&lt;&gt;"")),$AF74,DATE(1900,1,1))</f>
        <v/>
      </c>
      <c r="AJ74" s="35">
        <f>IF($AH74&lt;&gt;"",$AH74,IF(AND($AO74&gt;0,$AD74&lt;&gt;"",$AE74&lt;&gt;""),$AG74,DATE(2100,12,31)))</f>
        <v/>
      </c>
      <c r="AK74" s="32">
        <f>IF($AH74="",$AC74,$AC74*$S74)</f>
        <v/>
      </c>
      <c r="AL74" s="35">
        <f>IF($AH74="",DATE(2100,12,31),$AH74+1)</f>
        <v/>
      </c>
      <c r="AM74" s="35">
        <f>IF($AH74="",DATE(1900,1,1),$AG74)</f>
        <v/>
      </c>
      <c r="AN74" s="32">
        <f>IF($AH74="",0,$AC74*$T74)</f>
        <v/>
      </c>
      <c r="AO74" s="46">
        <f>IF($C74="",0,IFERROR(INDEX(Deals!$BD$2:$BD$355,MATCH($C74,Deals!$A$2:$A$355,0)),0))</f>
        <v/>
      </c>
      <c r="AP74" s="18">
        <f>IF($AO74=0,0,IFERROR(INDEX(Deals!$BJ$2:$BP$355,MATCH($C74,Deals!$A$2:$A$355,0),MATCH($F74,Deals!$BJ$1:$BP$1,0))/COUNTIFS(Assignments!$C$2:$C$769,$C74,Assignments!$F$2:$F$769,$F74,Assignments!$G$2:$G$769,"Active"),0))</f>
        <v/>
      </c>
    </row>
    <row r="75">
      <c r="A75" s="28" t="inlineStr">
        <is>
          <t>John</t>
        </is>
      </c>
      <c r="B75" s="16">
        <f>IF($A75="","",IFERROR(INDEX(Roster!$B$2:$B$40,MATCH($A75,Roster!$A$2:$A$40,0)),"?"))</f>
        <v/>
      </c>
      <c r="C75" s="28" t="inlineStr">
        <is>
          <t>Odysee/Atlas_2</t>
        </is>
      </c>
      <c r="D75" s="16">
        <f>IF($C75="","",IFERROR(IF(INDEX(Deals!$C$2:$C$355,MATCH($C75,Deals!$A$2:$A$355,0))=0,"",INDEX(Deals!$C$2:$C$355,MATCH($C75,Deals!$A$2:$A$355,0))),"?"))</f>
        <v/>
      </c>
      <c r="E75" s="16">
        <f>IF($C75="","",IFERROR(INDEX(Deals!$F$2:$F$355,MATCH($C75,Deals!$A$2:$A$355,0)),"?"))</f>
        <v/>
      </c>
      <c r="F75" s="28" t="inlineStr">
        <is>
          <t>Partner</t>
        </is>
      </c>
      <c r="G75" s="28" t="inlineStr">
        <is>
          <t>Active</t>
        </is>
      </c>
      <c r="H75" s="31" t="n"/>
      <c r="I75" s="32">
        <f>IF(OR($A75="",$G75&lt;&gt;"Active"),0,IF($H75&lt;&gt;"",$H75,IF($AO75&gt;0,$AP75,IF(AND($R75&lt;&gt;"",IFERROR(INDEX(Templates!$B$3:$H$10,MATCH($R75,Templates!$A$3:$A$10,0),MATCH($F75,Templates!$B$2:$H$2,0)),0)&gt;0),INDEX(Templates!$B$3:$H$10,MATCH($R75,Templates!$A$3:$A$10,0),MATCH($F75,Templates!$B$2:$H$2,0)),IFERROR(INDEX(Settings!$B$8:$B$14,MATCH($F75,Settings!$A$8:$A$14,0)),0)))))</f>
        <v/>
      </c>
      <c r="J75" s="21">
        <f>IF($C75="",0,IFERROR(INDEX(Deals!$H$2:$H$355,MATCH($C75,Deals!$A$2:$A$355,0)),0))</f>
        <v/>
      </c>
      <c r="K75" s="32">
        <f>IF(Settings!$B$4="Yes",$I75*$J75,$I75)</f>
        <v/>
      </c>
      <c r="L75" s="22">
        <f>IF($C75="","",IFERROR(IF(INDEX(Deals!$I$2:$I$355,MATCH($C75,Deals!$A$2:$A$355,0))=0,"",INDEX(Deals!$I$2:$I$355,MATCH($C75,Deals!$A$2:$A$355,0))),""))</f>
        <v/>
      </c>
      <c r="M75" s="22">
        <f>IF($C75="","",IFERROR(IF(INDEX(Deals!$J$2:$J$355,MATCH($C75,Deals!$A$2:$A$355,0))=0,"",INDEX(Deals!$J$2:$J$355,MATCH($C75,Deals!$A$2:$A$355,0))),""))</f>
        <v/>
      </c>
      <c r="N75" s="35">
        <f>IF($L75="",DATE(1900,1,1),$L75)</f>
        <v/>
      </c>
      <c r="O75" s="35">
        <f>IF($M75="",DATE(2100,12,31),$M75)</f>
        <v/>
      </c>
      <c r="P75" s="20" t="inlineStr"/>
      <c r="Q75" s="47" t="inlineStr"/>
      <c r="R75" s="16">
        <f>IF($C75="","",IFERROR(IF(INDEX(Deals!$U$2:$U$355,MATCH($C75,Deals!$A$2:$A$355,0))=0,"",INDEX(Deals!$U$2:$U$355,MATCH($C75,Deals!$A$2:$A$355,0))),""))</f>
        <v/>
      </c>
      <c r="S75" s="34">
        <f>IFERROR(IF($U75="",1,INDEX(Deals!$V$2:$V$355,MATCH($C75,Deals!$A$2:$A$355,0))),1)</f>
        <v/>
      </c>
      <c r="T75" s="34">
        <f>IFERROR(IF($U75="",1,INDEX(Deals!$W$2:$W$355,MATCH($C75,Deals!$A$2:$A$355,0))),1)</f>
        <v/>
      </c>
      <c r="U75" s="22">
        <f>IF($C75="","",IFERROR(IF(INDEX(Deals!$Y$2:$Y$355,MATCH($C75,Deals!$A$2:$A$355,0))=0,"",INDEX(Deals!$Y$2:$Y$355,MATCH($C75,Deals!$A$2:$A$355,0))),""))</f>
        <v/>
      </c>
      <c r="V75" s="35">
        <f>IF(OR($U75&lt;&gt;"",AND($AO75&gt;0,$L75&lt;&gt;"",$M75&lt;&gt;"")),$N75,DATE(1900,1,1))</f>
        <v/>
      </c>
      <c r="W75" s="35">
        <f>IF($U75&lt;&gt;"",$U75,IF(AND($AO75&gt;0,$L75&lt;&gt;"",$M75&lt;&gt;""),$O75,DATE(2100,12,31)))</f>
        <v/>
      </c>
      <c r="X75" s="32">
        <f>IF($U75="",$K75,$K75*$S75)</f>
        <v/>
      </c>
      <c r="Y75" s="35">
        <f>IF($U75="",DATE(2100,12,31),$U75+1)</f>
        <v/>
      </c>
      <c r="Z75" s="35">
        <f>IF($U75="",DATE(1900,1,1),$O75)</f>
        <v/>
      </c>
      <c r="AA75" s="32">
        <f>IF($U75="",0,$K75*$T75)</f>
        <v/>
      </c>
      <c r="AB75" s="21">
        <f>IF($C75="",0,IFERROR(INDEX(Deals!$AD$2:$AD$355,MATCH($C75,Deals!$A$2:$A$355,0)),0))</f>
        <v/>
      </c>
      <c r="AC75" s="32">
        <f>IF(Settings!$B$4="Yes",$I75*$AB75,$I75)</f>
        <v/>
      </c>
      <c r="AD75" s="22">
        <f>IF($C75="","",IFERROR(IF(INDEX(Deals!$AE$2:$AE$355,MATCH($C75,Deals!$A$2:$A$355,0))=0,"",INDEX(Deals!$AE$2:$AE$355,MATCH($C75,Deals!$A$2:$A$355,0))),""))</f>
        <v/>
      </c>
      <c r="AE75" s="22">
        <f>IF($C75="","",IFERROR(IF(INDEX(Deals!$AF$2:$AF$355,MATCH($C75,Deals!$A$2:$A$355,0))=0,"",INDEX(Deals!$AF$2:$AF$355,MATCH($C75,Deals!$A$2:$A$355,0))),""))</f>
        <v/>
      </c>
      <c r="AF75" s="35">
        <f>IF($AD75="",DATE(1900,1,1),$AD75)</f>
        <v/>
      </c>
      <c r="AG75" s="35">
        <f>IF($AE75="",DATE(2100,12,31),$AE75)</f>
        <v/>
      </c>
      <c r="AH75" s="22">
        <f>IF($C75="","",IFERROR(IF(INDEX(Deals!$AG$2:$AG$355,MATCH($C75,Deals!$A$2:$A$355,0))=0,"",INDEX(Deals!$AG$2:$AG$355,MATCH($C75,Deals!$A$2:$A$355,0))),""))</f>
        <v/>
      </c>
      <c r="AI75" s="35">
        <f>IF(OR($AH75&lt;&gt;"",AND($AO75&gt;0,$AD75&lt;&gt;"",$AE75&lt;&gt;"")),$AF75,DATE(1900,1,1))</f>
        <v/>
      </c>
      <c r="AJ75" s="35">
        <f>IF($AH75&lt;&gt;"",$AH75,IF(AND($AO75&gt;0,$AD75&lt;&gt;"",$AE75&lt;&gt;""),$AG75,DATE(2100,12,31)))</f>
        <v/>
      </c>
      <c r="AK75" s="32">
        <f>IF($AH75="",$AC75,$AC75*$S75)</f>
        <v/>
      </c>
      <c r="AL75" s="35">
        <f>IF($AH75="",DATE(2100,12,31),$AH75+1)</f>
        <v/>
      </c>
      <c r="AM75" s="35">
        <f>IF($AH75="",DATE(1900,1,1),$AG75)</f>
        <v/>
      </c>
      <c r="AN75" s="32">
        <f>IF($AH75="",0,$AC75*$T75)</f>
        <v/>
      </c>
      <c r="AO75" s="46">
        <f>IF($C75="",0,IFERROR(INDEX(Deals!$BD$2:$BD$355,MATCH($C75,Deals!$A$2:$A$355,0)),0))</f>
        <v/>
      </c>
      <c r="AP75" s="18">
        <f>IF($AO75=0,0,IFERROR(INDEX(Deals!$BJ$2:$BP$355,MATCH($C75,Deals!$A$2:$A$355,0),MATCH($F75,Deals!$BJ$1:$BP$1,0))/COUNTIFS(Assignments!$C$2:$C$769,$C75,Assignments!$F$2:$F$769,$F75,Assignments!$G$2:$G$769,"Active"),0))</f>
        <v/>
      </c>
    </row>
    <row r="76">
      <c r="A76" s="28" t="inlineStr">
        <is>
          <t>John</t>
        </is>
      </c>
      <c r="B76" s="16">
        <f>IF($A76="","",IFERROR(INDEX(Roster!$B$2:$B$40,MATCH($A76,Roster!$A$2:$A$40,0)),"?"))</f>
        <v/>
      </c>
      <c r="C76" s="28" t="inlineStr">
        <is>
          <t>Orange_4</t>
        </is>
      </c>
      <c r="D76" s="16">
        <f>IF($C76="","",IFERROR(IF(INDEX(Deals!$C$2:$C$355,MATCH($C76,Deals!$A$2:$A$355,0))=0,"",INDEX(Deals!$C$2:$C$355,MATCH($C76,Deals!$A$2:$A$355,0))),"?"))</f>
        <v/>
      </c>
      <c r="E76" s="16">
        <f>IF($C76="","",IFERROR(INDEX(Deals!$F$2:$F$355,MATCH($C76,Deals!$A$2:$A$355,0)),"?"))</f>
        <v/>
      </c>
      <c r="F76" s="28" t="inlineStr">
        <is>
          <t>Partner</t>
        </is>
      </c>
      <c r="G76" s="28" t="inlineStr">
        <is>
          <t>Active</t>
        </is>
      </c>
      <c r="H76" s="31" t="n"/>
      <c r="I76" s="32">
        <f>IF(OR($A76="",$G76&lt;&gt;"Active"),0,IF($H76&lt;&gt;"",$H76,IF($AO76&gt;0,$AP76,IF(AND($R76&lt;&gt;"",IFERROR(INDEX(Templates!$B$3:$H$10,MATCH($R76,Templates!$A$3:$A$10,0),MATCH($F76,Templates!$B$2:$H$2,0)),0)&gt;0),INDEX(Templates!$B$3:$H$10,MATCH($R76,Templates!$A$3:$A$10,0),MATCH($F76,Templates!$B$2:$H$2,0)),IFERROR(INDEX(Settings!$B$8:$B$14,MATCH($F76,Settings!$A$8:$A$14,0)),0)))))</f>
        <v/>
      </c>
      <c r="J76" s="21">
        <f>IF($C76="",0,IFERROR(INDEX(Deals!$H$2:$H$355,MATCH($C76,Deals!$A$2:$A$355,0)),0))</f>
        <v/>
      </c>
      <c r="K76" s="32">
        <f>IF(Settings!$B$4="Yes",$I76*$J76,$I76)</f>
        <v/>
      </c>
      <c r="L76" s="22">
        <f>IF($C76="","",IFERROR(IF(INDEX(Deals!$I$2:$I$355,MATCH($C76,Deals!$A$2:$A$355,0))=0,"",INDEX(Deals!$I$2:$I$355,MATCH($C76,Deals!$A$2:$A$355,0))),""))</f>
        <v/>
      </c>
      <c r="M76" s="22">
        <f>IF($C76="","",IFERROR(IF(INDEX(Deals!$J$2:$J$355,MATCH($C76,Deals!$A$2:$A$355,0))=0,"",INDEX(Deals!$J$2:$J$355,MATCH($C76,Deals!$A$2:$A$355,0))),""))</f>
        <v/>
      </c>
      <c r="N76" s="35">
        <f>IF($L76="",DATE(1900,1,1),$L76)</f>
        <v/>
      </c>
      <c r="O76" s="35">
        <f>IF($M76="",DATE(2100,12,31),$M76)</f>
        <v/>
      </c>
      <c r="P76" s="20" t="inlineStr"/>
      <c r="Q76" s="47" t="inlineStr"/>
      <c r="R76" s="16">
        <f>IF($C76="","",IFERROR(IF(INDEX(Deals!$U$2:$U$355,MATCH($C76,Deals!$A$2:$A$355,0))=0,"",INDEX(Deals!$U$2:$U$355,MATCH($C76,Deals!$A$2:$A$355,0))),""))</f>
        <v/>
      </c>
      <c r="S76" s="34">
        <f>IFERROR(IF($U76="",1,INDEX(Deals!$V$2:$V$355,MATCH($C76,Deals!$A$2:$A$355,0))),1)</f>
        <v/>
      </c>
      <c r="T76" s="34">
        <f>IFERROR(IF($U76="",1,INDEX(Deals!$W$2:$W$355,MATCH($C76,Deals!$A$2:$A$355,0))),1)</f>
        <v/>
      </c>
      <c r="U76" s="22">
        <f>IF($C76="","",IFERROR(IF(INDEX(Deals!$Y$2:$Y$355,MATCH($C76,Deals!$A$2:$A$355,0))=0,"",INDEX(Deals!$Y$2:$Y$355,MATCH($C76,Deals!$A$2:$A$355,0))),""))</f>
        <v/>
      </c>
      <c r="V76" s="35">
        <f>IF(OR($U76&lt;&gt;"",AND($AO76&gt;0,$L76&lt;&gt;"",$M76&lt;&gt;"")),$N76,DATE(1900,1,1))</f>
        <v/>
      </c>
      <c r="W76" s="35">
        <f>IF($U76&lt;&gt;"",$U76,IF(AND($AO76&gt;0,$L76&lt;&gt;"",$M76&lt;&gt;""),$O76,DATE(2100,12,31)))</f>
        <v/>
      </c>
      <c r="X76" s="32">
        <f>IF($U76="",$K76,$K76*$S76)</f>
        <v/>
      </c>
      <c r="Y76" s="35">
        <f>IF($U76="",DATE(2100,12,31),$U76+1)</f>
        <v/>
      </c>
      <c r="Z76" s="35">
        <f>IF($U76="",DATE(1900,1,1),$O76)</f>
        <v/>
      </c>
      <c r="AA76" s="32">
        <f>IF($U76="",0,$K76*$T76)</f>
        <v/>
      </c>
      <c r="AB76" s="21">
        <f>IF($C76="",0,IFERROR(INDEX(Deals!$AD$2:$AD$355,MATCH($C76,Deals!$A$2:$A$355,0)),0))</f>
        <v/>
      </c>
      <c r="AC76" s="32">
        <f>IF(Settings!$B$4="Yes",$I76*$AB76,$I76)</f>
        <v/>
      </c>
      <c r="AD76" s="22">
        <f>IF($C76="","",IFERROR(IF(INDEX(Deals!$AE$2:$AE$355,MATCH($C76,Deals!$A$2:$A$355,0))=0,"",INDEX(Deals!$AE$2:$AE$355,MATCH($C76,Deals!$A$2:$A$355,0))),""))</f>
        <v/>
      </c>
      <c r="AE76" s="22">
        <f>IF($C76="","",IFERROR(IF(INDEX(Deals!$AF$2:$AF$355,MATCH($C76,Deals!$A$2:$A$355,0))=0,"",INDEX(Deals!$AF$2:$AF$355,MATCH($C76,Deals!$A$2:$A$355,0))),""))</f>
        <v/>
      </c>
      <c r="AF76" s="35">
        <f>IF($AD76="",DATE(1900,1,1),$AD76)</f>
        <v/>
      </c>
      <c r="AG76" s="35">
        <f>IF($AE76="",DATE(2100,12,31),$AE76)</f>
        <v/>
      </c>
      <c r="AH76" s="22">
        <f>IF($C76="","",IFERROR(IF(INDEX(Deals!$AG$2:$AG$355,MATCH($C76,Deals!$A$2:$A$355,0))=0,"",INDEX(Deals!$AG$2:$AG$355,MATCH($C76,Deals!$A$2:$A$355,0))),""))</f>
        <v/>
      </c>
      <c r="AI76" s="35">
        <f>IF(OR($AH76&lt;&gt;"",AND($AO76&gt;0,$AD76&lt;&gt;"",$AE76&lt;&gt;"")),$AF76,DATE(1900,1,1))</f>
        <v/>
      </c>
      <c r="AJ76" s="35">
        <f>IF($AH76&lt;&gt;"",$AH76,IF(AND($AO76&gt;0,$AD76&lt;&gt;"",$AE76&lt;&gt;""),$AG76,DATE(2100,12,31)))</f>
        <v/>
      </c>
      <c r="AK76" s="32">
        <f>IF($AH76="",$AC76,$AC76*$S76)</f>
        <v/>
      </c>
      <c r="AL76" s="35">
        <f>IF($AH76="",DATE(2100,12,31),$AH76+1)</f>
        <v/>
      </c>
      <c r="AM76" s="35">
        <f>IF($AH76="",DATE(1900,1,1),$AG76)</f>
        <v/>
      </c>
      <c r="AN76" s="32">
        <f>IF($AH76="",0,$AC76*$T76)</f>
        <v/>
      </c>
      <c r="AO76" s="46">
        <f>IF($C76="",0,IFERROR(INDEX(Deals!$BD$2:$BD$355,MATCH($C76,Deals!$A$2:$A$355,0)),0))</f>
        <v/>
      </c>
      <c r="AP76" s="18">
        <f>IF($AO76=0,0,IFERROR(INDEX(Deals!$BJ$2:$BP$355,MATCH($C76,Deals!$A$2:$A$355,0),MATCH($F76,Deals!$BJ$1:$BP$1,0))/COUNTIFS(Assignments!$C$2:$C$769,$C76,Assignments!$F$2:$F$769,$F76,Assignments!$G$2:$G$769,"Active"),0))</f>
        <v/>
      </c>
    </row>
    <row r="77">
      <c r="A77" s="28" t="inlineStr">
        <is>
          <t>John</t>
        </is>
      </c>
      <c r="B77" s="16">
        <f>IF($A77="","",IFERROR(INDEX(Roster!$B$2:$B$40,MATCH($A77,Roster!$A$2:$A$40,0)),"?"))</f>
        <v/>
      </c>
      <c r="C77" s="28" t="inlineStr">
        <is>
          <t>Orca_1</t>
        </is>
      </c>
      <c r="D77" s="16">
        <f>IF($C77="","",IFERROR(IF(INDEX(Deals!$C$2:$C$355,MATCH($C77,Deals!$A$2:$A$355,0))=0,"",INDEX(Deals!$C$2:$C$355,MATCH($C77,Deals!$A$2:$A$355,0))),"?"))</f>
        <v/>
      </c>
      <c r="E77" s="16">
        <f>IF($C77="","",IFERROR(INDEX(Deals!$F$2:$F$355,MATCH($C77,Deals!$A$2:$A$355,0)),"?"))</f>
        <v/>
      </c>
      <c r="F77" s="28" t="inlineStr">
        <is>
          <t>Partner</t>
        </is>
      </c>
      <c r="G77" s="28" t="inlineStr">
        <is>
          <t>Active</t>
        </is>
      </c>
      <c r="H77" s="31" t="n"/>
      <c r="I77" s="32">
        <f>IF(OR($A77="",$G77&lt;&gt;"Active"),0,IF($H77&lt;&gt;"",$H77,IF($AO77&gt;0,$AP77,IF(AND($R77&lt;&gt;"",IFERROR(INDEX(Templates!$B$3:$H$10,MATCH($R77,Templates!$A$3:$A$10,0),MATCH($F77,Templates!$B$2:$H$2,0)),0)&gt;0),INDEX(Templates!$B$3:$H$10,MATCH($R77,Templates!$A$3:$A$10,0),MATCH($F77,Templates!$B$2:$H$2,0)),IFERROR(INDEX(Settings!$B$8:$B$14,MATCH($F77,Settings!$A$8:$A$14,0)),0)))))</f>
        <v/>
      </c>
      <c r="J77" s="21">
        <f>IF($C77="",0,IFERROR(INDEX(Deals!$H$2:$H$355,MATCH($C77,Deals!$A$2:$A$355,0)),0))</f>
        <v/>
      </c>
      <c r="K77" s="32">
        <f>IF(Settings!$B$4="Yes",$I77*$J77,$I77)</f>
        <v/>
      </c>
      <c r="L77" s="22">
        <f>IF($C77="","",IFERROR(IF(INDEX(Deals!$I$2:$I$355,MATCH($C77,Deals!$A$2:$A$355,0))=0,"",INDEX(Deals!$I$2:$I$355,MATCH($C77,Deals!$A$2:$A$355,0))),""))</f>
        <v/>
      </c>
      <c r="M77" s="22">
        <f>IF($C77="","",IFERROR(IF(INDEX(Deals!$J$2:$J$355,MATCH($C77,Deals!$A$2:$A$355,0))=0,"",INDEX(Deals!$J$2:$J$355,MATCH($C77,Deals!$A$2:$A$355,0))),""))</f>
        <v/>
      </c>
      <c r="N77" s="35">
        <f>IF($L77="",DATE(1900,1,1),$L77)</f>
        <v/>
      </c>
      <c r="O77" s="35">
        <f>IF($M77="",DATE(2100,12,31),$M77)</f>
        <v/>
      </c>
      <c r="P77" s="20" t="inlineStr"/>
      <c r="Q77" s="47" t="inlineStr"/>
      <c r="R77" s="16">
        <f>IF($C77="","",IFERROR(IF(INDEX(Deals!$U$2:$U$355,MATCH($C77,Deals!$A$2:$A$355,0))=0,"",INDEX(Deals!$U$2:$U$355,MATCH($C77,Deals!$A$2:$A$355,0))),""))</f>
        <v/>
      </c>
      <c r="S77" s="34">
        <f>IFERROR(IF($U77="",1,INDEX(Deals!$V$2:$V$355,MATCH($C77,Deals!$A$2:$A$355,0))),1)</f>
        <v/>
      </c>
      <c r="T77" s="34">
        <f>IFERROR(IF($U77="",1,INDEX(Deals!$W$2:$W$355,MATCH($C77,Deals!$A$2:$A$355,0))),1)</f>
        <v/>
      </c>
      <c r="U77" s="22">
        <f>IF($C77="","",IFERROR(IF(INDEX(Deals!$Y$2:$Y$355,MATCH($C77,Deals!$A$2:$A$355,0))=0,"",INDEX(Deals!$Y$2:$Y$355,MATCH($C77,Deals!$A$2:$A$355,0))),""))</f>
        <v/>
      </c>
      <c r="V77" s="35">
        <f>IF(OR($U77&lt;&gt;"",AND($AO77&gt;0,$L77&lt;&gt;"",$M77&lt;&gt;"")),$N77,DATE(1900,1,1))</f>
        <v/>
      </c>
      <c r="W77" s="35">
        <f>IF($U77&lt;&gt;"",$U77,IF(AND($AO77&gt;0,$L77&lt;&gt;"",$M77&lt;&gt;""),$O77,DATE(2100,12,31)))</f>
        <v/>
      </c>
      <c r="X77" s="32">
        <f>IF($U77="",$K77,$K77*$S77)</f>
        <v/>
      </c>
      <c r="Y77" s="35">
        <f>IF($U77="",DATE(2100,12,31),$U77+1)</f>
        <v/>
      </c>
      <c r="Z77" s="35">
        <f>IF($U77="",DATE(1900,1,1),$O77)</f>
        <v/>
      </c>
      <c r="AA77" s="32">
        <f>IF($U77="",0,$K77*$T77)</f>
        <v/>
      </c>
      <c r="AB77" s="21">
        <f>IF($C77="",0,IFERROR(INDEX(Deals!$AD$2:$AD$355,MATCH($C77,Deals!$A$2:$A$355,0)),0))</f>
        <v/>
      </c>
      <c r="AC77" s="32">
        <f>IF(Settings!$B$4="Yes",$I77*$AB77,$I77)</f>
        <v/>
      </c>
      <c r="AD77" s="22">
        <f>IF($C77="","",IFERROR(IF(INDEX(Deals!$AE$2:$AE$355,MATCH($C77,Deals!$A$2:$A$355,0))=0,"",INDEX(Deals!$AE$2:$AE$355,MATCH($C77,Deals!$A$2:$A$355,0))),""))</f>
        <v/>
      </c>
      <c r="AE77" s="22">
        <f>IF($C77="","",IFERROR(IF(INDEX(Deals!$AF$2:$AF$355,MATCH($C77,Deals!$A$2:$A$355,0))=0,"",INDEX(Deals!$AF$2:$AF$355,MATCH($C77,Deals!$A$2:$A$355,0))),""))</f>
        <v/>
      </c>
      <c r="AF77" s="35">
        <f>IF($AD77="",DATE(1900,1,1),$AD77)</f>
        <v/>
      </c>
      <c r="AG77" s="35">
        <f>IF($AE77="",DATE(2100,12,31),$AE77)</f>
        <v/>
      </c>
      <c r="AH77" s="22">
        <f>IF($C77="","",IFERROR(IF(INDEX(Deals!$AG$2:$AG$355,MATCH($C77,Deals!$A$2:$A$355,0))=0,"",INDEX(Deals!$AG$2:$AG$355,MATCH($C77,Deals!$A$2:$A$355,0))),""))</f>
        <v/>
      </c>
      <c r="AI77" s="35">
        <f>IF(OR($AH77&lt;&gt;"",AND($AO77&gt;0,$AD77&lt;&gt;"",$AE77&lt;&gt;"")),$AF77,DATE(1900,1,1))</f>
        <v/>
      </c>
      <c r="AJ77" s="35">
        <f>IF($AH77&lt;&gt;"",$AH77,IF(AND($AO77&gt;0,$AD77&lt;&gt;"",$AE77&lt;&gt;""),$AG77,DATE(2100,12,31)))</f>
        <v/>
      </c>
      <c r="AK77" s="32">
        <f>IF($AH77="",$AC77,$AC77*$S77)</f>
        <v/>
      </c>
      <c r="AL77" s="35">
        <f>IF($AH77="",DATE(2100,12,31),$AH77+1)</f>
        <v/>
      </c>
      <c r="AM77" s="35">
        <f>IF($AH77="",DATE(1900,1,1),$AG77)</f>
        <v/>
      </c>
      <c r="AN77" s="32">
        <f>IF($AH77="",0,$AC77*$T77)</f>
        <v/>
      </c>
      <c r="AO77" s="46">
        <f>IF($C77="",0,IFERROR(INDEX(Deals!$BD$2:$BD$355,MATCH($C77,Deals!$A$2:$A$355,0)),0))</f>
        <v/>
      </c>
      <c r="AP77" s="18">
        <f>IF($AO77=0,0,IFERROR(INDEX(Deals!$BJ$2:$BP$355,MATCH($C77,Deals!$A$2:$A$355,0),MATCH($F77,Deals!$BJ$1:$BP$1,0))/COUNTIFS(Assignments!$C$2:$C$769,$C77,Assignments!$F$2:$F$769,$F77,Assignments!$G$2:$G$769,"Active"),0))</f>
        <v/>
      </c>
    </row>
    <row r="78">
      <c r="A78" s="28" t="inlineStr">
        <is>
          <t>John</t>
        </is>
      </c>
      <c r="B78" s="16">
        <f>IF($A78="","",IFERROR(INDEX(Roster!$B$2:$B$40,MATCH($A78,Roster!$A$2:$A$40,0)),"?"))</f>
        <v/>
      </c>
      <c r="C78" s="28" t="inlineStr">
        <is>
          <t>Pennsylvania_1</t>
        </is>
      </c>
      <c r="D78" s="16">
        <f>IF($C78="","",IFERROR(IF(INDEX(Deals!$C$2:$C$355,MATCH($C78,Deals!$A$2:$A$355,0))=0,"",INDEX(Deals!$C$2:$C$355,MATCH($C78,Deals!$A$2:$A$355,0))),"?"))</f>
        <v/>
      </c>
      <c r="E78" s="16">
        <f>IF($C78="","",IFERROR(INDEX(Deals!$F$2:$F$355,MATCH($C78,Deals!$A$2:$A$355,0)),"?"))</f>
        <v/>
      </c>
      <c r="F78" s="28" t="inlineStr">
        <is>
          <t>Partner</t>
        </is>
      </c>
      <c r="G78" s="28" t="inlineStr">
        <is>
          <t>Active</t>
        </is>
      </c>
      <c r="H78" s="31" t="n"/>
      <c r="I78" s="32">
        <f>IF(OR($A78="",$G78&lt;&gt;"Active"),0,IF($H78&lt;&gt;"",$H78,IF($AO78&gt;0,$AP78,IF(AND($R78&lt;&gt;"",IFERROR(INDEX(Templates!$B$3:$H$10,MATCH($R78,Templates!$A$3:$A$10,0),MATCH($F78,Templates!$B$2:$H$2,0)),0)&gt;0),INDEX(Templates!$B$3:$H$10,MATCH($R78,Templates!$A$3:$A$10,0),MATCH($F78,Templates!$B$2:$H$2,0)),IFERROR(INDEX(Settings!$B$8:$B$14,MATCH($F78,Settings!$A$8:$A$14,0)),0)))))</f>
        <v/>
      </c>
      <c r="J78" s="21">
        <f>IF($C78="",0,IFERROR(INDEX(Deals!$H$2:$H$355,MATCH($C78,Deals!$A$2:$A$355,0)),0))</f>
        <v/>
      </c>
      <c r="K78" s="32">
        <f>IF(Settings!$B$4="Yes",$I78*$J78,$I78)</f>
        <v/>
      </c>
      <c r="L78" s="22">
        <f>IF($C78="","",IFERROR(IF(INDEX(Deals!$I$2:$I$355,MATCH($C78,Deals!$A$2:$A$355,0))=0,"",INDEX(Deals!$I$2:$I$355,MATCH($C78,Deals!$A$2:$A$355,0))),""))</f>
        <v/>
      </c>
      <c r="M78" s="22">
        <f>IF($C78="","",IFERROR(IF(INDEX(Deals!$J$2:$J$355,MATCH($C78,Deals!$A$2:$A$355,0))=0,"",INDEX(Deals!$J$2:$J$355,MATCH($C78,Deals!$A$2:$A$355,0))),""))</f>
        <v/>
      </c>
      <c r="N78" s="35">
        <f>IF($L78="",DATE(1900,1,1),$L78)</f>
        <v/>
      </c>
      <c r="O78" s="35">
        <f>IF($M78="",DATE(2100,12,31),$M78)</f>
        <v/>
      </c>
      <c r="P78" s="20" t="inlineStr"/>
      <c r="Q78" s="47" t="inlineStr"/>
      <c r="R78" s="16">
        <f>IF($C78="","",IFERROR(IF(INDEX(Deals!$U$2:$U$355,MATCH($C78,Deals!$A$2:$A$355,0))=0,"",INDEX(Deals!$U$2:$U$355,MATCH($C78,Deals!$A$2:$A$355,0))),""))</f>
        <v/>
      </c>
      <c r="S78" s="34">
        <f>IFERROR(IF($U78="",1,INDEX(Deals!$V$2:$V$355,MATCH($C78,Deals!$A$2:$A$355,0))),1)</f>
        <v/>
      </c>
      <c r="T78" s="34">
        <f>IFERROR(IF($U78="",1,INDEX(Deals!$W$2:$W$355,MATCH($C78,Deals!$A$2:$A$355,0))),1)</f>
        <v/>
      </c>
      <c r="U78" s="22">
        <f>IF($C78="","",IFERROR(IF(INDEX(Deals!$Y$2:$Y$355,MATCH($C78,Deals!$A$2:$A$355,0))=0,"",INDEX(Deals!$Y$2:$Y$355,MATCH($C78,Deals!$A$2:$A$355,0))),""))</f>
        <v/>
      </c>
      <c r="V78" s="35">
        <f>IF(OR($U78&lt;&gt;"",AND($AO78&gt;0,$L78&lt;&gt;"",$M78&lt;&gt;"")),$N78,DATE(1900,1,1))</f>
        <v/>
      </c>
      <c r="W78" s="35">
        <f>IF($U78&lt;&gt;"",$U78,IF(AND($AO78&gt;0,$L78&lt;&gt;"",$M78&lt;&gt;""),$O78,DATE(2100,12,31)))</f>
        <v/>
      </c>
      <c r="X78" s="32">
        <f>IF($U78="",$K78,$K78*$S78)</f>
        <v/>
      </c>
      <c r="Y78" s="35">
        <f>IF($U78="",DATE(2100,12,31),$U78+1)</f>
        <v/>
      </c>
      <c r="Z78" s="35">
        <f>IF($U78="",DATE(1900,1,1),$O78)</f>
        <v/>
      </c>
      <c r="AA78" s="32">
        <f>IF($U78="",0,$K78*$T78)</f>
        <v/>
      </c>
      <c r="AB78" s="21">
        <f>IF($C78="",0,IFERROR(INDEX(Deals!$AD$2:$AD$355,MATCH($C78,Deals!$A$2:$A$355,0)),0))</f>
        <v/>
      </c>
      <c r="AC78" s="32">
        <f>IF(Settings!$B$4="Yes",$I78*$AB78,$I78)</f>
        <v/>
      </c>
      <c r="AD78" s="22">
        <f>IF($C78="","",IFERROR(IF(INDEX(Deals!$AE$2:$AE$355,MATCH($C78,Deals!$A$2:$A$355,0))=0,"",INDEX(Deals!$AE$2:$AE$355,MATCH($C78,Deals!$A$2:$A$355,0))),""))</f>
        <v/>
      </c>
      <c r="AE78" s="22">
        <f>IF($C78="","",IFERROR(IF(INDEX(Deals!$AF$2:$AF$355,MATCH($C78,Deals!$A$2:$A$355,0))=0,"",INDEX(Deals!$AF$2:$AF$355,MATCH($C78,Deals!$A$2:$A$355,0))),""))</f>
        <v/>
      </c>
      <c r="AF78" s="35">
        <f>IF($AD78="",DATE(1900,1,1),$AD78)</f>
        <v/>
      </c>
      <c r="AG78" s="35">
        <f>IF($AE78="",DATE(2100,12,31),$AE78)</f>
        <v/>
      </c>
      <c r="AH78" s="22">
        <f>IF($C78="","",IFERROR(IF(INDEX(Deals!$AG$2:$AG$355,MATCH($C78,Deals!$A$2:$A$355,0))=0,"",INDEX(Deals!$AG$2:$AG$355,MATCH($C78,Deals!$A$2:$A$355,0))),""))</f>
        <v/>
      </c>
      <c r="AI78" s="35">
        <f>IF(OR($AH78&lt;&gt;"",AND($AO78&gt;0,$AD78&lt;&gt;"",$AE78&lt;&gt;"")),$AF78,DATE(1900,1,1))</f>
        <v/>
      </c>
      <c r="AJ78" s="35">
        <f>IF($AH78&lt;&gt;"",$AH78,IF(AND($AO78&gt;0,$AD78&lt;&gt;"",$AE78&lt;&gt;""),$AG78,DATE(2100,12,31)))</f>
        <v/>
      </c>
      <c r="AK78" s="32">
        <f>IF($AH78="",$AC78,$AC78*$S78)</f>
        <v/>
      </c>
      <c r="AL78" s="35">
        <f>IF($AH78="",DATE(2100,12,31),$AH78+1)</f>
        <v/>
      </c>
      <c r="AM78" s="35">
        <f>IF($AH78="",DATE(1900,1,1),$AG78)</f>
        <v/>
      </c>
      <c r="AN78" s="32">
        <f>IF($AH78="",0,$AC78*$T78)</f>
        <v/>
      </c>
      <c r="AO78" s="46">
        <f>IF($C78="",0,IFERROR(INDEX(Deals!$BD$2:$BD$355,MATCH($C78,Deals!$A$2:$A$355,0)),0))</f>
        <v/>
      </c>
      <c r="AP78" s="18">
        <f>IF($AO78=0,0,IFERROR(INDEX(Deals!$BJ$2:$BP$355,MATCH($C78,Deals!$A$2:$A$355,0),MATCH($F78,Deals!$BJ$1:$BP$1,0))/COUNTIFS(Assignments!$C$2:$C$769,$C78,Assignments!$F$2:$F$769,$F78,Assignments!$G$2:$G$769,"Active"),0))</f>
        <v/>
      </c>
    </row>
    <row r="79">
      <c r="A79" s="28" t="inlineStr">
        <is>
          <t>John</t>
        </is>
      </c>
      <c r="B79" s="16">
        <f>IF($A79="","",IFERROR(INDEX(Roster!$B$2:$B$40,MATCH($A79,Roster!$A$2:$A$40,0)),"?"))</f>
        <v/>
      </c>
      <c r="C79" s="28" t="inlineStr">
        <is>
          <t>Pocket_1</t>
        </is>
      </c>
      <c r="D79" s="16">
        <f>IF($C79="","",IFERROR(IF(INDEX(Deals!$C$2:$C$355,MATCH($C79,Deals!$A$2:$A$355,0))=0,"",INDEX(Deals!$C$2:$C$355,MATCH($C79,Deals!$A$2:$A$355,0))),"?"))</f>
        <v/>
      </c>
      <c r="E79" s="16">
        <f>IF($C79="","",IFERROR(INDEX(Deals!$F$2:$F$355,MATCH($C79,Deals!$A$2:$A$355,0)),"?"))</f>
        <v/>
      </c>
      <c r="F79" s="28" t="inlineStr">
        <is>
          <t>Partner</t>
        </is>
      </c>
      <c r="G79" s="28" t="inlineStr">
        <is>
          <t>Active</t>
        </is>
      </c>
      <c r="H79" s="31" t="n"/>
      <c r="I79" s="32">
        <f>IF(OR($A79="",$G79&lt;&gt;"Active"),0,IF($H79&lt;&gt;"",$H79,IF($AO79&gt;0,$AP79,IF(AND($R79&lt;&gt;"",IFERROR(INDEX(Templates!$B$3:$H$10,MATCH($R79,Templates!$A$3:$A$10,0),MATCH($F79,Templates!$B$2:$H$2,0)),0)&gt;0),INDEX(Templates!$B$3:$H$10,MATCH($R79,Templates!$A$3:$A$10,0),MATCH($F79,Templates!$B$2:$H$2,0)),IFERROR(INDEX(Settings!$B$8:$B$14,MATCH($F79,Settings!$A$8:$A$14,0)),0)))))</f>
        <v/>
      </c>
      <c r="J79" s="21">
        <f>IF($C79="",0,IFERROR(INDEX(Deals!$H$2:$H$355,MATCH($C79,Deals!$A$2:$A$355,0)),0))</f>
        <v/>
      </c>
      <c r="K79" s="32">
        <f>IF(Settings!$B$4="Yes",$I79*$J79,$I79)</f>
        <v/>
      </c>
      <c r="L79" s="22">
        <f>IF($C79="","",IFERROR(IF(INDEX(Deals!$I$2:$I$355,MATCH($C79,Deals!$A$2:$A$355,0))=0,"",INDEX(Deals!$I$2:$I$355,MATCH($C79,Deals!$A$2:$A$355,0))),""))</f>
        <v/>
      </c>
      <c r="M79" s="22">
        <f>IF($C79="","",IFERROR(IF(INDEX(Deals!$J$2:$J$355,MATCH($C79,Deals!$A$2:$A$355,0))=0,"",INDEX(Deals!$J$2:$J$355,MATCH($C79,Deals!$A$2:$A$355,0))),""))</f>
        <v/>
      </c>
      <c r="N79" s="35">
        <f>IF($L79="",DATE(1900,1,1),$L79)</f>
        <v/>
      </c>
      <c r="O79" s="35">
        <f>IF($M79="",DATE(2100,12,31),$M79)</f>
        <v/>
      </c>
      <c r="P79" s="20" t="inlineStr"/>
      <c r="Q79" s="47" t="inlineStr"/>
      <c r="R79" s="16">
        <f>IF($C79="","",IFERROR(IF(INDEX(Deals!$U$2:$U$355,MATCH($C79,Deals!$A$2:$A$355,0))=0,"",INDEX(Deals!$U$2:$U$355,MATCH($C79,Deals!$A$2:$A$355,0))),""))</f>
        <v/>
      </c>
      <c r="S79" s="34">
        <f>IFERROR(IF($U79="",1,INDEX(Deals!$V$2:$V$355,MATCH($C79,Deals!$A$2:$A$355,0))),1)</f>
        <v/>
      </c>
      <c r="T79" s="34">
        <f>IFERROR(IF($U79="",1,INDEX(Deals!$W$2:$W$355,MATCH($C79,Deals!$A$2:$A$355,0))),1)</f>
        <v/>
      </c>
      <c r="U79" s="22">
        <f>IF($C79="","",IFERROR(IF(INDEX(Deals!$Y$2:$Y$355,MATCH($C79,Deals!$A$2:$A$355,0))=0,"",INDEX(Deals!$Y$2:$Y$355,MATCH($C79,Deals!$A$2:$A$355,0))),""))</f>
        <v/>
      </c>
      <c r="V79" s="35">
        <f>IF(OR($U79&lt;&gt;"",AND($AO79&gt;0,$L79&lt;&gt;"",$M79&lt;&gt;"")),$N79,DATE(1900,1,1))</f>
        <v/>
      </c>
      <c r="W79" s="35">
        <f>IF($U79&lt;&gt;"",$U79,IF(AND($AO79&gt;0,$L79&lt;&gt;"",$M79&lt;&gt;""),$O79,DATE(2100,12,31)))</f>
        <v/>
      </c>
      <c r="X79" s="32">
        <f>IF($U79="",$K79,$K79*$S79)</f>
        <v/>
      </c>
      <c r="Y79" s="35">
        <f>IF($U79="",DATE(2100,12,31),$U79+1)</f>
        <v/>
      </c>
      <c r="Z79" s="35">
        <f>IF($U79="",DATE(1900,1,1),$O79)</f>
        <v/>
      </c>
      <c r="AA79" s="32">
        <f>IF($U79="",0,$K79*$T79)</f>
        <v/>
      </c>
      <c r="AB79" s="21">
        <f>IF($C79="",0,IFERROR(INDEX(Deals!$AD$2:$AD$355,MATCH($C79,Deals!$A$2:$A$355,0)),0))</f>
        <v/>
      </c>
      <c r="AC79" s="32">
        <f>IF(Settings!$B$4="Yes",$I79*$AB79,$I79)</f>
        <v/>
      </c>
      <c r="AD79" s="22">
        <f>IF($C79="","",IFERROR(IF(INDEX(Deals!$AE$2:$AE$355,MATCH($C79,Deals!$A$2:$A$355,0))=0,"",INDEX(Deals!$AE$2:$AE$355,MATCH($C79,Deals!$A$2:$A$355,0))),""))</f>
        <v/>
      </c>
      <c r="AE79" s="22">
        <f>IF($C79="","",IFERROR(IF(INDEX(Deals!$AF$2:$AF$355,MATCH($C79,Deals!$A$2:$A$355,0))=0,"",INDEX(Deals!$AF$2:$AF$355,MATCH($C79,Deals!$A$2:$A$355,0))),""))</f>
        <v/>
      </c>
      <c r="AF79" s="35">
        <f>IF($AD79="",DATE(1900,1,1),$AD79)</f>
        <v/>
      </c>
      <c r="AG79" s="35">
        <f>IF($AE79="",DATE(2100,12,31),$AE79)</f>
        <v/>
      </c>
      <c r="AH79" s="22">
        <f>IF($C79="","",IFERROR(IF(INDEX(Deals!$AG$2:$AG$355,MATCH($C79,Deals!$A$2:$A$355,0))=0,"",INDEX(Deals!$AG$2:$AG$355,MATCH($C79,Deals!$A$2:$A$355,0))),""))</f>
        <v/>
      </c>
      <c r="AI79" s="35">
        <f>IF(OR($AH79&lt;&gt;"",AND($AO79&gt;0,$AD79&lt;&gt;"",$AE79&lt;&gt;"")),$AF79,DATE(1900,1,1))</f>
        <v/>
      </c>
      <c r="AJ79" s="35">
        <f>IF($AH79&lt;&gt;"",$AH79,IF(AND($AO79&gt;0,$AD79&lt;&gt;"",$AE79&lt;&gt;""),$AG79,DATE(2100,12,31)))</f>
        <v/>
      </c>
      <c r="AK79" s="32">
        <f>IF($AH79="",$AC79,$AC79*$S79)</f>
        <v/>
      </c>
      <c r="AL79" s="35">
        <f>IF($AH79="",DATE(2100,12,31),$AH79+1)</f>
        <v/>
      </c>
      <c r="AM79" s="35">
        <f>IF($AH79="",DATE(1900,1,1),$AG79)</f>
        <v/>
      </c>
      <c r="AN79" s="32">
        <f>IF($AH79="",0,$AC79*$T79)</f>
        <v/>
      </c>
      <c r="AO79" s="46">
        <f>IF($C79="",0,IFERROR(INDEX(Deals!$BD$2:$BD$355,MATCH($C79,Deals!$A$2:$A$355,0)),0))</f>
        <v/>
      </c>
      <c r="AP79" s="18">
        <f>IF($AO79=0,0,IFERROR(INDEX(Deals!$BJ$2:$BP$355,MATCH($C79,Deals!$A$2:$A$355,0),MATCH($F79,Deals!$BJ$1:$BP$1,0))/COUNTIFS(Assignments!$C$2:$C$769,$C79,Assignments!$F$2:$F$769,$F79,Assignments!$G$2:$G$769,"Active"),0))</f>
        <v/>
      </c>
    </row>
    <row r="80">
      <c r="A80" s="28" t="inlineStr">
        <is>
          <t>John</t>
        </is>
      </c>
      <c r="B80" s="16">
        <f>IF($A80="","",IFERROR(INDEX(Roster!$B$2:$B$40,MATCH($A80,Roster!$A$2:$A$40,0)),"?"))</f>
        <v/>
      </c>
      <c r="C80" s="28" t="inlineStr">
        <is>
          <t>Railcar_1</t>
        </is>
      </c>
      <c r="D80" s="16">
        <f>IF($C80="","",IFERROR(IF(INDEX(Deals!$C$2:$C$355,MATCH($C80,Deals!$A$2:$A$355,0))=0,"",INDEX(Deals!$C$2:$C$355,MATCH($C80,Deals!$A$2:$A$355,0))),"?"))</f>
        <v/>
      </c>
      <c r="E80" s="16">
        <f>IF($C80="","",IFERROR(INDEX(Deals!$F$2:$F$355,MATCH($C80,Deals!$A$2:$A$355,0)),"?"))</f>
        <v/>
      </c>
      <c r="F80" s="28" t="inlineStr">
        <is>
          <t>Partner</t>
        </is>
      </c>
      <c r="G80" s="28" t="inlineStr">
        <is>
          <t>Active</t>
        </is>
      </c>
      <c r="H80" s="31" t="n"/>
      <c r="I80" s="32">
        <f>IF(OR($A80="",$G80&lt;&gt;"Active"),0,IF($H80&lt;&gt;"",$H80,IF($AO80&gt;0,$AP80,IF(AND($R80&lt;&gt;"",IFERROR(INDEX(Templates!$B$3:$H$10,MATCH($R80,Templates!$A$3:$A$10,0),MATCH($F80,Templates!$B$2:$H$2,0)),0)&gt;0),INDEX(Templates!$B$3:$H$10,MATCH($R80,Templates!$A$3:$A$10,0),MATCH($F80,Templates!$B$2:$H$2,0)),IFERROR(INDEX(Settings!$B$8:$B$14,MATCH($F80,Settings!$A$8:$A$14,0)),0)))))</f>
        <v/>
      </c>
      <c r="J80" s="21">
        <f>IF($C80="",0,IFERROR(INDEX(Deals!$H$2:$H$355,MATCH($C80,Deals!$A$2:$A$355,0)),0))</f>
        <v/>
      </c>
      <c r="K80" s="32">
        <f>IF(Settings!$B$4="Yes",$I80*$J80,$I80)</f>
        <v/>
      </c>
      <c r="L80" s="22">
        <f>IF($C80="","",IFERROR(IF(INDEX(Deals!$I$2:$I$355,MATCH($C80,Deals!$A$2:$A$355,0))=0,"",INDEX(Deals!$I$2:$I$355,MATCH($C80,Deals!$A$2:$A$355,0))),""))</f>
        <v/>
      </c>
      <c r="M80" s="22">
        <f>IF($C80="","",IFERROR(IF(INDEX(Deals!$J$2:$J$355,MATCH($C80,Deals!$A$2:$A$355,0))=0,"",INDEX(Deals!$J$2:$J$355,MATCH($C80,Deals!$A$2:$A$355,0))),""))</f>
        <v/>
      </c>
      <c r="N80" s="35">
        <f>IF($L80="",DATE(1900,1,1),$L80)</f>
        <v/>
      </c>
      <c r="O80" s="35">
        <f>IF($M80="",DATE(2100,12,31),$M80)</f>
        <v/>
      </c>
      <c r="P80" s="20" t="inlineStr"/>
      <c r="Q80" s="47" t="inlineStr"/>
      <c r="R80" s="16">
        <f>IF($C80="","",IFERROR(IF(INDEX(Deals!$U$2:$U$355,MATCH($C80,Deals!$A$2:$A$355,0))=0,"",INDEX(Deals!$U$2:$U$355,MATCH($C80,Deals!$A$2:$A$355,0))),""))</f>
        <v/>
      </c>
      <c r="S80" s="34">
        <f>IFERROR(IF($U80="",1,INDEX(Deals!$V$2:$V$355,MATCH($C80,Deals!$A$2:$A$355,0))),1)</f>
        <v/>
      </c>
      <c r="T80" s="34">
        <f>IFERROR(IF($U80="",1,INDEX(Deals!$W$2:$W$355,MATCH($C80,Deals!$A$2:$A$355,0))),1)</f>
        <v/>
      </c>
      <c r="U80" s="22">
        <f>IF($C80="","",IFERROR(IF(INDEX(Deals!$Y$2:$Y$355,MATCH($C80,Deals!$A$2:$A$355,0))=0,"",INDEX(Deals!$Y$2:$Y$355,MATCH($C80,Deals!$A$2:$A$355,0))),""))</f>
        <v/>
      </c>
      <c r="V80" s="35">
        <f>IF(OR($U80&lt;&gt;"",AND($AO80&gt;0,$L80&lt;&gt;"",$M80&lt;&gt;"")),$N80,DATE(1900,1,1))</f>
        <v/>
      </c>
      <c r="W80" s="35">
        <f>IF($U80&lt;&gt;"",$U80,IF(AND($AO80&gt;0,$L80&lt;&gt;"",$M80&lt;&gt;""),$O80,DATE(2100,12,31)))</f>
        <v/>
      </c>
      <c r="X80" s="32">
        <f>IF($U80="",$K80,$K80*$S80)</f>
        <v/>
      </c>
      <c r="Y80" s="35">
        <f>IF($U80="",DATE(2100,12,31),$U80+1)</f>
        <v/>
      </c>
      <c r="Z80" s="35">
        <f>IF($U80="",DATE(1900,1,1),$O80)</f>
        <v/>
      </c>
      <c r="AA80" s="32">
        <f>IF($U80="",0,$K80*$T80)</f>
        <v/>
      </c>
      <c r="AB80" s="21">
        <f>IF($C80="",0,IFERROR(INDEX(Deals!$AD$2:$AD$355,MATCH($C80,Deals!$A$2:$A$355,0)),0))</f>
        <v/>
      </c>
      <c r="AC80" s="32">
        <f>IF(Settings!$B$4="Yes",$I80*$AB80,$I80)</f>
        <v/>
      </c>
      <c r="AD80" s="22">
        <f>IF($C80="","",IFERROR(IF(INDEX(Deals!$AE$2:$AE$355,MATCH($C80,Deals!$A$2:$A$355,0))=0,"",INDEX(Deals!$AE$2:$AE$355,MATCH($C80,Deals!$A$2:$A$355,0))),""))</f>
        <v/>
      </c>
      <c r="AE80" s="22">
        <f>IF($C80="","",IFERROR(IF(INDEX(Deals!$AF$2:$AF$355,MATCH($C80,Deals!$A$2:$A$355,0))=0,"",INDEX(Deals!$AF$2:$AF$355,MATCH($C80,Deals!$A$2:$A$355,0))),""))</f>
        <v/>
      </c>
      <c r="AF80" s="35">
        <f>IF($AD80="",DATE(1900,1,1),$AD80)</f>
        <v/>
      </c>
      <c r="AG80" s="35">
        <f>IF($AE80="",DATE(2100,12,31),$AE80)</f>
        <v/>
      </c>
      <c r="AH80" s="22">
        <f>IF($C80="","",IFERROR(IF(INDEX(Deals!$AG$2:$AG$355,MATCH($C80,Deals!$A$2:$A$355,0))=0,"",INDEX(Deals!$AG$2:$AG$355,MATCH($C80,Deals!$A$2:$A$355,0))),""))</f>
        <v/>
      </c>
      <c r="AI80" s="35">
        <f>IF(OR($AH80&lt;&gt;"",AND($AO80&gt;0,$AD80&lt;&gt;"",$AE80&lt;&gt;"")),$AF80,DATE(1900,1,1))</f>
        <v/>
      </c>
      <c r="AJ80" s="35">
        <f>IF($AH80&lt;&gt;"",$AH80,IF(AND($AO80&gt;0,$AD80&lt;&gt;"",$AE80&lt;&gt;""),$AG80,DATE(2100,12,31)))</f>
        <v/>
      </c>
      <c r="AK80" s="32">
        <f>IF($AH80="",$AC80,$AC80*$S80)</f>
        <v/>
      </c>
      <c r="AL80" s="35">
        <f>IF($AH80="",DATE(2100,12,31),$AH80+1)</f>
        <v/>
      </c>
      <c r="AM80" s="35">
        <f>IF($AH80="",DATE(1900,1,1),$AG80)</f>
        <v/>
      </c>
      <c r="AN80" s="32">
        <f>IF($AH80="",0,$AC80*$T80)</f>
        <v/>
      </c>
      <c r="AO80" s="46">
        <f>IF($C80="",0,IFERROR(INDEX(Deals!$BD$2:$BD$355,MATCH($C80,Deals!$A$2:$A$355,0)),0))</f>
        <v/>
      </c>
      <c r="AP80" s="18">
        <f>IF($AO80=0,0,IFERROR(INDEX(Deals!$BJ$2:$BP$355,MATCH($C80,Deals!$A$2:$A$355,0),MATCH($F80,Deals!$BJ$1:$BP$1,0))/COUNTIFS(Assignments!$C$2:$C$769,$C80,Assignments!$F$2:$F$769,$F80,Assignments!$G$2:$G$769,"Active"),0))</f>
        <v/>
      </c>
    </row>
    <row r="81">
      <c r="A81" s="28" t="inlineStr">
        <is>
          <t>John</t>
        </is>
      </c>
      <c r="B81" s="16">
        <f>IF($A81="","",IFERROR(INDEX(Roster!$B$2:$B$40,MATCH($A81,Roster!$A$2:$A$40,0)),"?"))</f>
        <v/>
      </c>
      <c r="C81" s="28" t="inlineStr">
        <is>
          <t>Rosa_1</t>
        </is>
      </c>
      <c r="D81" s="16">
        <f>IF($C81="","",IFERROR(IF(INDEX(Deals!$C$2:$C$355,MATCH($C81,Deals!$A$2:$A$355,0))=0,"",INDEX(Deals!$C$2:$C$355,MATCH($C81,Deals!$A$2:$A$355,0))),"?"))</f>
        <v/>
      </c>
      <c r="E81" s="16">
        <f>IF($C81="","",IFERROR(INDEX(Deals!$F$2:$F$355,MATCH($C81,Deals!$A$2:$A$355,0)),"?"))</f>
        <v/>
      </c>
      <c r="F81" s="28" t="inlineStr">
        <is>
          <t>Partner</t>
        </is>
      </c>
      <c r="G81" s="28" t="inlineStr">
        <is>
          <t>Active</t>
        </is>
      </c>
      <c r="H81" s="31" t="n"/>
      <c r="I81" s="32">
        <f>IF(OR($A81="",$G81&lt;&gt;"Active"),0,IF($H81&lt;&gt;"",$H81,IF($AO81&gt;0,$AP81,IF(AND($R81&lt;&gt;"",IFERROR(INDEX(Templates!$B$3:$H$10,MATCH($R81,Templates!$A$3:$A$10,0),MATCH($F81,Templates!$B$2:$H$2,0)),0)&gt;0),INDEX(Templates!$B$3:$H$10,MATCH($R81,Templates!$A$3:$A$10,0),MATCH($F81,Templates!$B$2:$H$2,0)),IFERROR(INDEX(Settings!$B$8:$B$14,MATCH($F81,Settings!$A$8:$A$14,0)),0)))))</f>
        <v/>
      </c>
      <c r="J81" s="21">
        <f>IF($C81="",0,IFERROR(INDEX(Deals!$H$2:$H$355,MATCH($C81,Deals!$A$2:$A$355,0)),0))</f>
        <v/>
      </c>
      <c r="K81" s="32">
        <f>IF(Settings!$B$4="Yes",$I81*$J81,$I81)</f>
        <v/>
      </c>
      <c r="L81" s="22">
        <f>IF($C81="","",IFERROR(IF(INDEX(Deals!$I$2:$I$355,MATCH($C81,Deals!$A$2:$A$355,0))=0,"",INDEX(Deals!$I$2:$I$355,MATCH($C81,Deals!$A$2:$A$355,0))),""))</f>
        <v/>
      </c>
      <c r="M81" s="22">
        <f>IF($C81="","",IFERROR(IF(INDEX(Deals!$J$2:$J$355,MATCH($C81,Deals!$A$2:$A$355,0))=0,"",INDEX(Deals!$J$2:$J$355,MATCH($C81,Deals!$A$2:$A$355,0))),""))</f>
        <v/>
      </c>
      <c r="N81" s="35">
        <f>IF($L81="",DATE(1900,1,1),$L81)</f>
        <v/>
      </c>
      <c r="O81" s="35">
        <f>IF($M81="",DATE(2100,12,31),$M81)</f>
        <v/>
      </c>
      <c r="P81" s="20" t="inlineStr"/>
      <c r="Q81" s="47" t="inlineStr"/>
      <c r="R81" s="16">
        <f>IF($C81="","",IFERROR(IF(INDEX(Deals!$U$2:$U$355,MATCH($C81,Deals!$A$2:$A$355,0))=0,"",INDEX(Deals!$U$2:$U$355,MATCH($C81,Deals!$A$2:$A$355,0))),""))</f>
        <v/>
      </c>
      <c r="S81" s="34">
        <f>IFERROR(IF($U81="",1,INDEX(Deals!$V$2:$V$355,MATCH($C81,Deals!$A$2:$A$355,0))),1)</f>
        <v/>
      </c>
      <c r="T81" s="34">
        <f>IFERROR(IF($U81="",1,INDEX(Deals!$W$2:$W$355,MATCH($C81,Deals!$A$2:$A$355,0))),1)</f>
        <v/>
      </c>
      <c r="U81" s="22">
        <f>IF($C81="","",IFERROR(IF(INDEX(Deals!$Y$2:$Y$355,MATCH($C81,Deals!$A$2:$A$355,0))=0,"",INDEX(Deals!$Y$2:$Y$355,MATCH($C81,Deals!$A$2:$A$355,0))),""))</f>
        <v/>
      </c>
      <c r="V81" s="35">
        <f>IF(OR($U81&lt;&gt;"",AND($AO81&gt;0,$L81&lt;&gt;"",$M81&lt;&gt;"")),$N81,DATE(1900,1,1))</f>
        <v/>
      </c>
      <c r="W81" s="35">
        <f>IF($U81&lt;&gt;"",$U81,IF(AND($AO81&gt;0,$L81&lt;&gt;"",$M81&lt;&gt;""),$O81,DATE(2100,12,31)))</f>
        <v/>
      </c>
      <c r="X81" s="32">
        <f>IF($U81="",$K81,$K81*$S81)</f>
        <v/>
      </c>
      <c r="Y81" s="35">
        <f>IF($U81="",DATE(2100,12,31),$U81+1)</f>
        <v/>
      </c>
      <c r="Z81" s="35">
        <f>IF($U81="",DATE(1900,1,1),$O81)</f>
        <v/>
      </c>
      <c r="AA81" s="32">
        <f>IF($U81="",0,$K81*$T81)</f>
        <v/>
      </c>
      <c r="AB81" s="21">
        <f>IF($C81="",0,IFERROR(INDEX(Deals!$AD$2:$AD$355,MATCH($C81,Deals!$A$2:$A$355,0)),0))</f>
        <v/>
      </c>
      <c r="AC81" s="32">
        <f>IF(Settings!$B$4="Yes",$I81*$AB81,$I81)</f>
        <v/>
      </c>
      <c r="AD81" s="22">
        <f>IF($C81="","",IFERROR(IF(INDEX(Deals!$AE$2:$AE$355,MATCH($C81,Deals!$A$2:$A$355,0))=0,"",INDEX(Deals!$AE$2:$AE$355,MATCH($C81,Deals!$A$2:$A$355,0))),""))</f>
        <v/>
      </c>
      <c r="AE81" s="22">
        <f>IF($C81="","",IFERROR(IF(INDEX(Deals!$AF$2:$AF$355,MATCH($C81,Deals!$A$2:$A$355,0))=0,"",INDEX(Deals!$AF$2:$AF$355,MATCH($C81,Deals!$A$2:$A$355,0))),""))</f>
        <v/>
      </c>
      <c r="AF81" s="35">
        <f>IF($AD81="",DATE(1900,1,1),$AD81)</f>
        <v/>
      </c>
      <c r="AG81" s="35">
        <f>IF($AE81="",DATE(2100,12,31),$AE81)</f>
        <v/>
      </c>
      <c r="AH81" s="22">
        <f>IF($C81="","",IFERROR(IF(INDEX(Deals!$AG$2:$AG$355,MATCH($C81,Deals!$A$2:$A$355,0))=0,"",INDEX(Deals!$AG$2:$AG$355,MATCH($C81,Deals!$A$2:$A$355,0))),""))</f>
        <v/>
      </c>
      <c r="AI81" s="35">
        <f>IF(OR($AH81&lt;&gt;"",AND($AO81&gt;0,$AD81&lt;&gt;"",$AE81&lt;&gt;"")),$AF81,DATE(1900,1,1))</f>
        <v/>
      </c>
      <c r="AJ81" s="35">
        <f>IF($AH81&lt;&gt;"",$AH81,IF(AND($AO81&gt;0,$AD81&lt;&gt;"",$AE81&lt;&gt;""),$AG81,DATE(2100,12,31)))</f>
        <v/>
      </c>
      <c r="AK81" s="32">
        <f>IF($AH81="",$AC81,$AC81*$S81)</f>
        <v/>
      </c>
      <c r="AL81" s="35">
        <f>IF($AH81="",DATE(2100,12,31),$AH81+1)</f>
        <v/>
      </c>
      <c r="AM81" s="35">
        <f>IF($AH81="",DATE(1900,1,1),$AG81)</f>
        <v/>
      </c>
      <c r="AN81" s="32">
        <f>IF($AH81="",0,$AC81*$T81)</f>
        <v/>
      </c>
      <c r="AO81" s="46">
        <f>IF($C81="",0,IFERROR(INDEX(Deals!$BD$2:$BD$355,MATCH($C81,Deals!$A$2:$A$355,0)),0))</f>
        <v/>
      </c>
      <c r="AP81" s="18">
        <f>IF($AO81=0,0,IFERROR(INDEX(Deals!$BJ$2:$BP$355,MATCH($C81,Deals!$A$2:$A$355,0),MATCH($F81,Deals!$BJ$1:$BP$1,0))/COUNTIFS(Assignments!$C$2:$C$769,$C81,Assignments!$F$2:$F$769,$F81,Assignments!$G$2:$G$769,"Active"),0))</f>
        <v/>
      </c>
    </row>
    <row r="82">
      <c r="A82" s="28" t="inlineStr">
        <is>
          <t>John</t>
        </is>
      </c>
      <c r="B82" s="16">
        <f>IF($A82="","",IFERROR(INDEX(Roster!$B$2:$B$40,MATCH($A82,Roster!$A$2:$A$40,0)),"?"))</f>
        <v/>
      </c>
      <c r="C82" s="28" t="inlineStr">
        <is>
          <t>Rover_3</t>
        </is>
      </c>
      <c r="D82" s="16">
        <f>IF($C82="","",IFERROR(IF(INDEX(Deals!$C$2:$C$355,MATCH($C82,Deals!$A$2:$A$355,0))=0,"",INDEX(Deals!$C$2:$C$355,MATCH($C82,Deals!$A$2:$A$355,0))),"?"))</f>
        <v/>
      </c>
      <c r="E82" s="16">
        <f>IF($C82="","",IFERROR(INDEX(Deals!$F$2:$F$355,MATCH($C82,Deals!$A$2:$A$355,0)),"?"))</f>
        <v/>
      </c>
      <c r="F82" s="28" t="inlineStr">
        <is>
          <t>Partner</t>
        </is>
      </c>
      <c r="G82" s="28" t="inlineStr">
        <is>
          <t>Active</t>
        </is>
      </c>
      <c r="H82" s="31" t="n"/>
      <c r="I82" s="32">
        <f>IF(OR($A82="",$G82&lt;&gt;"Active"),0,IF($H82&lt;&gt;"",$H82,IF($AO82&gt;0,$AP82,IF(AND($R82&lt;&gt;"",IFERROR(INDEX(Templates!$B$3:$H$10,MATCH($R82,Templates!$A$3:$A$10,0),MATCH($F82,Templates!$B$2:$H$2,0)),0)&gt;0),INDEX(Templates!$B$3:$H$10,MATCH($R82,Templates!$A$3:$A$10,0),MATCH($F82,Templates!$B$2:$H$2,0)),IFERROR(INDEX(Settings!$B$8:$B$14,MATCH($F82,Settings!$A$8:$A$14,0)),0)))))</f>
        <v/>
      </c>
      <c r="J82" s="21">
        <f>IF($C82="",0,IFERROR(INDEX(Deals!$H$2:$H$355,MATCH($C82,Deals!$A$2:$A$355,0)),0))</f>
        <v/>
      </c>
      <c r="K82" s="32">
        <f>IF(Settings!$B$4="Yes",$I82*$J82,$I82)</f>
        <v/>
      </c>
      <c r="L82" s="22">
        <f>IF($C82="","",IFERROR(IF(INDEX(Deals!$I$2:$I$355,MATCH($C82,Deals!$A$2:$A$355,0))=0,"",INDEX(Deals!$I$2:$I$355,MATCH($C82,Deals!$A$2:$A$355,0))),""))</f>
        <v/>
      </c>
      <c r="M82" s="22">
        <f>IF($C82="","",IFERROR(IF(INDEX(Deals!$J$2:$J$355,MATCH($C82,Deals!$A$2:$A$355,0))=0,"",INDEX(Deals!$J$2:$J$355,MATCH($C82,Deals!$A$2:$A$355,0))),""))</f>
        <v/>
      </c>
      <c r="N82" s="35">
        <f>IF($L82="",DATE(1900,1,1),$L82)</f>
        <v/>
      </c>
      <c r="O82" s="35">
        <f>IF($M82="",DATE(2100,12,31),$M82)</f>
        <v/>
      </c>
      <c r="P82" s="20" t="inlineStr"/>
      <c r="Q82" s="47" t="inlineStr"/>
      <c r="R82" s="16">
        <f>IF($C82="","",IFERROR(IF(INDEX(Deals!$U$2:$U$355,MATCH($C82,Deals!$A$2:$A$355,0))=0,"",INDEX(Deals!$U$2:$U$355,MATCH($C82,Deals!$A$2:$A$355,0))),""))</f>
        <v/>
      </c>
      <c r="S82" s="34">
        <f>IFERROR(IF($U82="",1,INDEX(Deals!$V$2:$V$355,MATCH($C82,Deals!$A$2:$A$355,0))),1)</f>
        <v/>
      </c>
      <c r="T82" s="34">
        <f>IFERROR(IF($U82="",1,INDEX(Deals!$W$2:$W$355,MATCH($C82,Deals!$A$2:$A$355,0))),1)</f>
        <v/>
      </c>
      <c r="U82" s="22">
        <f>IF($C82="","",IFERROR(IF(INDEX(Deals!$Y$2:$Y$355,MATCH($C82,Deals!$A$2:$A$355,0))=0,"",INDEX(Deals!$Y$2:$Y$355,MATCH($C82,Deals!$A$2:$A$355,0))),""))</f>
        <v/>
      </c>
      <c r="V82" s="35">
        <f>IF(OR($U82&lt;&gt;"",AND($AO82&gt;0,$L82&lt;&gt;"",$M82&lt;&gt;"")),$N82,DATE(1900,1,1))</f>
        <v/>
      </c>
      <c r="W82" s="35">
        <f>IF($U82&lt;&gt;"",$U82,IF(AND($AO82&gt;0,$L82&lt;&gt;"",$M82&lt;&gt;""),$O82,DATE(2100,12,31)))</f>
        <v/>
      </c>
      <c r="X82" s="32">
        <f>IF($U82="",$K82,$K82*$S82)</f>
        <v/>
      </c>
      <c r="Y82" s="35">
        <f>IF($U82="",DATE(2100,12,31),$U82+1)</f>
        <v/>
      </c>
      <c r="Z82" s="35">
        <f>IF($U82="",DATE(1900,1,1),$O82)</f>
        <v/>
      </c>
      <c r="AA82" s="32">
        <f>IF($U82="",0,$K82*$T82)</f>
        <v/>
      </c>
      <c r="AB82" s="21">
        <f>IF($C82="",0,IFERROR(INDEX(Deals!$AD$2:$AD$355,MATCH($C82,Deals!$A$2:$A$355,0)),0))</f>
        <v/>
      </c>
      <c r="AC82" s="32">
        <f>IF(Settings!$B$4="Yes",$I82*$AB82,$I82)</f>
        <v/>
      </c>
      <c r="AD82" s="22">
        <f>IF($C82="","",IFERROR(IF(INDEX(Deals!$AE$2:$AE$355,MATCH($C82,Deals!$A$2:$A$355,0))=0,"",INDEX(Deals!$AE$2:$AE$355,MATCH($C82,Deals!$A$2:$A$355,0))),""))</f>
        <v/>
      </c>
      <c r="AE82" s="22">
        <f>IF($C82="","",IFERROR(IF(INDEX(Deals!$AF$2:$AF$355,MATCH($C82,Deals!$A$2:$A$355,0))=0,"",INDEX(Deals!$AF$2:$AF$355,MATCH($C82,Deals!$A$2:$A$355,0))),""))</f>
        <v/>
      </c>
      <c r="AF82" s="35">
        <f>IF($AD82="",DATE(1900,1,1),$AD82)</f>
        <v/>
      </c>
      <c r="AG82" s="35">
        <f>IF($AE82="",DATE(2100,12,31),$AE82)</f>
        <v/>
      </c>
      <c r="AH82" s="22">
        <f>IF($C82="","",IFERROR(IF(INDEX(Deals!$AG$2:$AG$355,MATCH($C82,Deals!$A$2:$A$355,0))=0,"",INDEX(Deals!$AG$2:$AG$355,MATCH($C82,Deals!$A$2:$A$355,0))),""))</f>
        <v/>
      </c>
      <c r="AI82" s="35">
        <f>IF(OR($AH82&lt;&gt;"",AND($AO82&gt;0,$AD82&lt;&gt;"",$AE82&lt;&gt;"")),$AF82,DATE(1900,1,1))</f>
        <v/>
      </c>
      <c r="AJ82" s="35">
        <f>IF($AH82&lt;&gt;"",$AH82,IF(AND($AO82&gt;0,$AD82&lt;&gt;"",$AE82&lt;&gt;""),$AG82,DATE(2100,12,31)))</f>
        <v/>
      </c>
      <c r="AK82" s="32">
        <f>IF($AH82="",$AC82,$AC82*$S82)</f>
        <v/>
      </c>
      <c r="AL82" s="35">
        <f>IF($AH82="",DATE(2100,12,31),$AH82+1)</f>
        <v/>
      </c>
      <c r="AM82" s="35">
        <f>IF($AH82="",DATE(1900,1,1),$AG82)</f>
        <v/>
      </c>
      <c r="AN82" s="32">
        <f>IF($AH82="",0,$AC82*$T82)</f>
        <v/>
      </c>
      <c r="AO82" s="46">
        <f>IF($C82="",0,IFERROR(INDEX(Deals!$BD$2:$BD$355,MATCH($C82,Deals!$A$2:$A$355,0)),0))</f>
        <v/>
      </c>
      <c r="AP82" s="18">
        <f>IF($AO82=0,0,IFERROR(INDEX(Deals!$BJ$2:$BP$355,MATCH($C82,Deals!$A$2:$A$355,0),MATCH($F82,Deals!$BJ$1:$BP$1,0))/COUNTIFS(Assignments!$C$2:$C$769,$C82,Assignments!$F$2:$F$769,$F82,Assignments!$G$2:$G$769,"Active"),0))</f>
        <v/>
      </c>
    </row>
    <row r="83">
      <c r="A83" s="28" t="inlineStr">
        <is>
          <t>John</t>
        </is>
      </c>
      <c r="B83" s="16">
        <f>IF($A83="","",IFERROR(INDEX(Roster!$B$2:$B$40,MATCH($A83,Roster!$A$2:$A$40,0)),"?"))</f>
        <v/>
      </c>
      <c r="C83" s="28" t="inlineStr">
        <is>
          <t>Scion_1</t>
        </is>
      </c>
      <c r="D83" s="16">
        <f>IF($C83="","",IFERROR(IF(INDEX(Deals!$C$2:$C$355,MATCH($C83,Deals!$A$2:$A$355,0))=0,"",INDEX(Deals!$C$2:$C$355,MATCH($C83,Deals!$A$2:$A$355,0))),"?"))</f>
        <v/>
      </c>
      <c r="E83" s="16">
        <f>IF($C83="","",IFERROR(INDEX(Deals!$F$2:$F$355,MATCH($C83,Deals!$A$2:$A$355,0)),"?"))</f>
        <v/>
      </c>
      <c r="F83" s="28" t="inlineStr">
        <is>
          <t>Partner</t>
        </is>
      </c>
      <c r="G83" s="28" t="inlineStr">
        <is>
          <t>Active</t>
        </is>
      </c>
      <c r="H83" s="31" t="n"/>
      <c r="I83" s="32">
        <f>IF(OR($A83="",$G83&lt;&gt;"Active"),0,IF($H83&lt;&gt;"",$H83,IF($AO83&gt;0,$AP83,IF(AND($R83&lt;&gt;"",IFERROR(INDEX(Templates!$B$3:$H$10,MATCH($R83,Templates!$A$3:$A$10,0),MATCH($F83,Templates!$B$2:$H$2,0)),0)&gt;0),INDEX(Templates!$B$3:$H$10,MATCH($R83,Templates!$A$3:$A$10,0),MATCH($F83,Templates!$B$2:$H$2,0)),IFERROR(INDEX(Settings!$B$8:$B$14,MATCH($F83,Settings!$A$8:$A$14,0)),0)))))</f>
        <v/>
      </c>
      <c r="J83" s="21">
        <f>IF($C83="",0,IFERROR(INDEX(Deals!$H$2:$H$355,MATCH($C83,Deals!$A$2:$A$355,0)),0))</f>
        <v/>
      </c>
      <c r="K83" s="32">
        <f>IF(Settings!$B$4="Yes",$I83*$J83,$I83)</f>
        <v/>
      </c>
      <c r="L83" s="22">
        <f>IF($C83="","",IFERROR(IF(INDEX(Deals!$I$2:$I$355,MATCH($C83,Deals!$A$2:$A$355,0))=0,"",INDEX(Deals!$I$2:$I$355,MATCH($C83,Deals!$A$2:$A$355,0))),""))</f>
        <v/>
      </c>
      <c r="M83" s="22">
        <f>IF($C83="","",IFERROR(IF(INDEX(Deals!$J$2:$J$355,MATCH($C83,Deals!$A$2:$A$355,0))=0,"",INDEX(Deals!$J$2:$J$355,MATCH($C83,Deals!$A$2:$A$355,0))),""))</f>
        <v/>
      </c>
      <c r="N83" s="35">
        <f>IF($L83="",DATE(1900,1,1),$L83)</f>
        <v/>
      </c>
      <c r="O83" s="35">
        <f>IF($M83="",DATE(2100,12,31),$M83)</f>
        <v/>
      </c>
      <c r="P83" s="20" t="inlineStr"/>
      <c r="Q83" s="47" t="inlineStr"/>
      <c r="R83" s="16">
        <f>IF($C83="","",IFERROR(IF(INDEX(Deals!$U$2:$U$355,MATCH($C83,Deals!$A$2:$A$355,0))=0,"",INDEX(Deals!$U$2:$U$355,MATCH($C83,Deals!$A$2:$A$355,0))),""))</f>
        <v/>
      </c>
      <c r="S83" s="34">
        <f>IFERROR(IF($U83="",1,INDEX(Deals!$V$2:$V$355,MATCH($C83,Deals!$A$2:$A$355,0))),1)</f>
        <v/>
      </c>
      <c r="T83" s="34">
        <f>IFERROR(IF($U83="",1,INDEX(Deals!$W$2:$W$355,MATCH($C83,Deals!$A$2:$A$355,0))),1)</f>
        <v/>
      </c>
      <c r="U83" s="22">
        <f>IF($C83="","",IFERROR(IF(INDEX(Deals!$Y$2:$Y$355,MATCH($C83,Deals!$A$2:$A$355,0))=0,"",INDEX(Deals!$Y$2:$Y$355,MATCH($C83,Deals!$A$2:$A$355,0))),""))</f>
        <v/>
      </c>
      <c r="V83" s="35">
        <f>IF(OR($U83&lt;&gt;"",AND($AO83&gt;0,$L83&lt;&gt;"",$M83&lt;&gt;"")),$N83,DATE(1900,1,1))</f>
        <v/>
      </c>
      <c r="W83" s="35">
        <f>IF($U83&lt;&gt;"",$U83,IF(AND($AO83&gt;0,$L83&lt;&gt;"",$M83&lt;&gt;""),$O83,DATE(2100,12,31)))</f>
        <v/>
      </c>
      <c r="X83" s="32">
        <f>IF($U83="",$K83,$K83*$S83)</f>
        <v/>
      </c>
      <c r="Y83" s="35">
        <f>IF($U83="",DATE(2100,12,31),$U83+1)</f>
        <v/>
      </c>
      <c r="Z83" s="35">
        <f>IF($U83="",DATE(1900,1,1),$O83)</f>
        <v/>
      </c>
      <c r="AA83" s="32">
        <f>IF($U83="",0,$K83*$T83)</f>
        <v/>
      </c>
      <c r="AB83" s="21">
        <f>IF($C83="",0,IFERROR(INDEX(Deals!$AD$2:$AD$355,MATCH($C83,Deals!$A$2:$A$355,0)),0))</f>
        <v/>
      </c>
      <c r="AC83" s="32">
        <f>IF(Settings!$B$4="Yes",$I83*$AB83,$I83)</f>
        <v/>
      </c>
      <c r="AD83" s="22">
        <f>IF($C83="","",IFERROR(IF(INDEX(Deals!$AE$2:$AE$355,MATCH($C83,Deals!$A$2:$A$355,0))=0,"",INDEX(Deals!$AE$2:$AE$355,MATCH($C83,Deals!$A$2:$A$355,0))),""))</f>
        <v/>
      </c>
      <c r="AE83" s="22">
        <f>IF($C83="","",IFERROR(IF(INDEX(Deals!$AF$2:$AF$355,MATCH($C83,Deals!$A$2:$A$355,0))=0,"",INDEX(Deals!$AF$2:$AF$355,MATCH($C83,Deals!$A$2:$A$355,0))),""))</f>
        <v/>
      </c>
      <c r="AF83" s="35">
        <f>IF($AD83="",DATE(1900,1,1),$AD83)</f>
        <v/>
      </c>
      <c r="AG83" s="35">
        <f>IF($AE83="",DATE(2100,12,31),$AE83)</f>
        <v/>
      </c>
      <c r="AH83" s="22">
        <f>IF($C83="","",IFERROR(IF(INDEX(Deals!$AG$2:$AG$355,MATCH($C83,Deals!$A$2:$A$355,0))=0,"",INDEX(Deals!$AG$2:$AG$355,MATCH($C83,Deals!$A$2:$A$355,0))),""))</f>
        <v/>
      </c>
      <c r="AI83" s="35">
        <f>IF(OR($AH83&lt;&gt;"",AND($AO83&gt;0,$AD83&lt;&gt;"",$AE83&lt;&gt;"")),$AF83,DATE(1900,1,1))</f>
        <v/>
      </c>
      <c r="AJ83" s="35">
        <f>IF($AH83&lt;&gt;"",$AH83,IF(AND($AO83&gt;0,$AD83&lt;&gt;"",$AE83&lt;&gt;""),$AG83,DATE(2100,12,31)))</f>
        <v/>
      </c>
      <c r="AK83" s="32">
        <f>IF($AH83="",$AC83,$AC83*$S83)</f>
        <v/>
      </c>
      <c r="AL83" s="35">
        <f>IF($AH83="",DATE(2100,12,31),$AH83+1)</f>
        <v/>
      </c>
      <c r="AM83" s="35">
        <f>IF($AH83="",DATE(1900,1,1),$AG83)</f>
        <v/>
      </c>
      <c r="AN83" s="32">
        <f>IF($AH83="",0,$AC83*$T83)</f>
        <v/>
      </c>
      <c r="AO83" s="46">
        <f>IF($C83="",0,IFERROR(INDEX(Deals!$BD$2:$BD$355,MATCH($C83,Deals!$A$2:$A$355,0)),0))</f>
        <v/>
      </c>
      <c r="AP83" s="18">
        <f>IF($AO83=0,0,IFERROR(INDEX(Deals!$BJ$2:$BP$355,MATCH($C83,Deals!$A$2:$A$355,0),MATCH($F83,Deals!$BJ$1:$BP$1,0))/COUNTIFS(Assignments!$C$2:$C$769,$C83,Assignments!$F$2:$F$769,$F83,Assignments!$G$2:$G$769,"Active"),0))</f>
        <v/>
      </c>
    </row>
    <row r="84">
      <c r="A84" s="28" t="inlineStr">
        <is>
          <t>John</t>
        </is>
      </c>
      <c r="B84" s="16">
        <f>IF($A84="","",IFERROR(INDEX(Roster!$B$2:$B$40,MATCH($A84,Roster!$A$2:$A$40,0)),"?"))</f>
        <v/>
      </c>
      <c r="C84" s="28" t="inlineStr">
        <is>
          <t>Sunrise_5</t>
        </is>
      </c>
      <c r="D84" s="16">
        <f>IF($C84="","",IFERROR(IF(INDEX(Deals!$C$2:$C$355,MATCH($C84,Deals!$A$2:$A$355,0))=0,"",INDEX(Deals!$C$2:$C$355,MATCH($C84,Deals!$A$2:$A$355,0))),"?"))</f>
        <v/>
      </c>
      <c r="E84" s="16">
        <f>IF($C84="","",IFERROR(INDEX(Deals!$F$2:$F$355,MATCH($C84,Deals!$A$2:$A$355,0)),"?"))</f>
        <v/>
      </c>
      <c r="F84" s="28" t="inlineStr">
        <is>
          <t>Partner</t>
        </is>
      </c>
      <c r="G84" s="28" t="inlineStr">
        <is>
          <t>Active</t>
        </is>
      </c>
      <c r="H84" s="31" t="n"/>
      <c r="I84" s="32">
        <f>IF(OR($A84="",$G84&lt;&gt;"Active"),0,IF($H84&lt;&gt;"",$H84,IF($AO84&gt;0,$AP84,IF(AND($R84&lt;&gt;"",IFERROR(INDEX(Templates!$B$3:$H$10,MATCH($R84,Templates!$A$3:$A$10,0),MATCH($F84,Templates!$B$2:$H$2,0)),0)&gt;0),INDEX(Templates!$B$3:$H$10,MATCH($R84,Templates!$A$3:$A$10,0),MATCH($F84,Templates!$B$2:$H$2,0)),IFERROR(INDEX(Settings!$B$8:$B$14,MATCH($F84,Settings!$A$8:$A$14,0)),0)))))</f>
        <v/>
      </c>
      <c r="J84" s="21">
        <f>IF($C84="",0,IFERROR(INDEX(Deals!$H$2:$H$355,MATCH($C84,Deals!$A$2:$A$355,0)),0))</f>
        <v/>
      </c>
      <c r="K84" s="32">
        <f>IF(Settings!$B$4="Yes",$I84*$J84,$I84)</f>
        <v/>
      </c>
      <c r="L84" s="22">
        <f>IF($C84="","",IFERROR(IF(INDEX(Deals!$I$2:$I$355,MATCH($C84,Deals!$A$2:$A$355,0))=0,"",INDEX(Deals!$I$2:$I$355,MATCH($C84,Deals!$A$2:$A$355,0))),""))</f>
        <v/>
      </c>
      <c r="M84" s="22">
        <f>IF($C84="","",IFERROR(IF(INDEX(Deals!$J$2:$J$355,MATCH($C84,Deals!$A$2:$A$355,0))=0,"",INDEX(Deals!$J$2:$J$355,MATCH($C84,Deals!$A$2:$A$355,0))),""))</f>
        <v/>
      </c>
      <c r="N84" s="35">
        <f>IF($L84="",DATE(1900,1,1),$L84)</f>
        <v/>
      </c>
      <c r="O84" s="35">
        <f>IF($M84="",DATE(2100,12,31),$M84)</f>
        <v/>
      </c>
      <c r="P84" s="20" t="inlineStr"/>
      <c r="Q84" s="47" t="inlineStr"/>
      <c r="R84" s="16">
        <f>IF($C84="","",IFERROR(IF(INDEX(Deals!$U$2:$U$355,MATCH($C84,Deals!$A$2:$A$355,0))=0,"",INDEX(Deals!$U$2:$U$355,MATCH($C84,Deals!$A$2:$A$355,0))),""))</f>
        <v/>
      </c>
      <c r="S84" s="34">
        <f>IFERROR(IF($U84="",1,INDEX(Deals!$V$2:$V$355,MATCH($C84,Deals!$A$2:$A$355,0))),1)</f>
        <v/>
      </c>
      <c r="T84" s="34">
        <f>IFERROR(IF($U84="",1,INDEX(Deals!$W$2:$W$355,MATCH($C84,Deals!$A$2:$A$355,0))),1)</f>
        <v/>
      </c>
      <c r="U84" s="22">
        <f>IF($C84="","",IFERROR(IF(INDEX(Deals!$Y$2:$Y$355,MATCH($C84,Deals!$A$2:$A$355,0))=0,"",INDEX(Deals!$Y$2:$Y$355,MATCH($C84,Deals!$A$2:$A$355,0))),""))</f>
        <v/>
      </c>
      <c r="V84" s="35">
        <f>IF(OR($U84&lt;&gt;"",AND($AO84&gt;0,$L84&lt;&gt;"",$M84&lt;&gt;"")),$N84,DATE(1900,1,1))</f>
        <v/>
      </c>
      <c r="W84" s="35">
        <f>IF($U84&lt;&gt;"",$U84,IF(AND($AO84&gt;0,$L84&lt;&gt;"",$M84&lt;&gt;""),$O84,DATE(2100,12,31)))</f>
        <v/>
      </c>
      <c r="X84" s="32">
        <f>IF($U84="",$K84,$K84*$S84)</f>
        <v/>
      </c>
      <c r="Y84" s="35">
        <f>IF($U84="",DATE(2100,12,31),$U84+1)</f>
        <v/>
      </c>
      <c r="Z84" s="35">
        <f>IF($U84="",DATE(1900,1,1),$O84)</f>
        <v/>
      </c>
      <c r="AA84" s="32">
        <f>IF($U84="",0,$K84*$T84)</f>
        <v/>
      </c>
      <c r="AB84" s="21">
        <f>IF($C84="",0,IFERROR(INDEX(Deals!$AD$2:$AD$355,MATCH($C84,Deals!$A$2:$A$355,0)),0))</f>
        <v/>
      </c>
      <c r="AC84" s="32">
        <f>IF(Settings!$B$4="Yes",$I84*$AB84,$I84)</f>
        <v/>
      </c>
      <c r="AD84" s="22">
        <f>IF($C84="","",IFERROR(IF(INDEX(Deals!$AE$2:$AE$355,MATCH($C84,Deals!$A$2:$A$355,0))=0,"",INDEX(Deals!$AE$2:$AE$355,MATCH($C84,Deals!$A$2:$A$355,0))),""))</f>
        <v/>
      </c>
      <c r="AE84" s="22">
        <f>IF($C84="","",IFERROR(IF(INDEX(Deals!$AF$2:$AF$355,MATCH($C84,Deals!$A$2:$A$355,0))=0,"",INDEX(Deals!$AF$2:$AF$355,MATCH($C84,Deals!$A$2:$A$355,0))),""))</f>
        <v/>
      </c>
      <c r="AF84" s="35">
        <f>IF($AD84="",DATE(1900,1,1),$AD84)</f>
        <v/>
      </c>
      <c r="AG84" s="35">
        <f>IF($AE84="",DATE(2100,12,31),$AE84)</f>
        <v/>
      </c>
      <c r="AH84" s="22">
        <f>IF($C84="","",IFERROR(IF(INDEX(Deals!$AG$2:$AG$355,MATCH($C84,Deals!$A$2:$A$355,0))=0,"",INDEX(Deals!$AG$2:$AG$355,MATCH($C84,Deals!$A$2:$A$355,0))),""))</f>
        <v/>
      </c>
      <c r="AI84" s="35">
        <f>IF(OR($AH84&lt;&gt;"",AND($AO84&gt;0,$AD84&lt;&gt;"",$AE84&lt;&gt;"")),$AF84,DATE(1900,1,1))</f>
        <v/>
      </c>
      <c r="AJ84" s="35">
        <f>IF($AH84&lt;&gt;"",$AH84,IF(AND($AO84&gt;0,$AD84&lt;&gt;"",$AE84&lt;&gt;""),$AG84,DATE(2100,12,31)))</f>
        <v/>
      </c>
      <c r="AK84" s="32">
        <f>IF($AH84="",$AC84,$AC84*$S84)</f>
        <v/>
      </c>
      <c r="AL84" s="35">
        <f>IF($AH84="",DATE(2100,12,31),$AH84+1)</f>
        <v/>
      </c>
      <c r="AM84" s="35">
        <f>IF($AH84="",DATE(1900,1,1),$AG84)</f>
        <v/>
      </c>
      <c r="AN84" s="32">
        <f>IF($AH84="",0,$AC84*$T84)</f>
        <v/>
      </c>
      <c r="AO84" s="46">
        <f>IF($C84="",0,IFERROR(INDEX(Deals!$BD$2:$BD$355,MATCH($C84,Deals!$A$2:$A$355,0)),0))</f>
        <v/>
      </c>
      <c r="AP84" s="18">
        <f>IF($AO84=0,0,IFERROR(INDEX(Deals!$BJ$2:$BP$355,MATCH($C84,Deals!$A$2:$A$355,0),MATCH($F84,Deals!$BJ$1:$BP$1,0))/COUNTIFS(Assignments!$C$2:$C$769,$C84,Assignments!$F$2:$F$769,$F84,Assignments!$G$2:$G$769,"Active"),0))</f>
        <v/>
      </c>
    </row>
    <row r="85">
      <c r="A85" s="28" t="inlineStr">
        <is>
          <t>John</t>
        </is>
      </c>
      <c r="B85" s="16">
        <f>IF($A85="","",IFERROR(INDEX(Roster!$B$2:$B$40,MATCH($A85,Roster!$A$2:$A$40,0)),"?"))</f>
        <v/>
      </c>
      <c r="C85" s="28" t="inlineStr">
        <is>
          <t>Sunshine_4</t>
        </is>
      </c>
      <c r="D85" s="16">
        <f>IF($C85="","",IFERROR(IF(INDEX(Deals!$C$2:$C$355,MATCH($C85,Deals!$A$2:$A$355,0))=0,"",INDEX(Deals!$C$2:$C$355,MATCH($C85,Deals!$A$2:$A$355,0))),"?"))</f>
        <v/>
      </c>
      <c r="E85" s="16">
        <f>IF($C85="","",IFERROR(INDEX(Deals!$F$2:$F$355,MATCH($C85,Deals!$A$2:$A$355,0)),"?"))</f>
        <v/>
      </c>
      <c r="F85" s="28" t="inlineStr">
        <is>
          <t>Partner</t>
        </is>
      </c>
      <c r="G85" s="28" t="inlineStr">
        <is>
          <t>Active</t>
        </is>
      </c>
      <c r="H85" s="31" t="n"/>
      <c r="I85" s="32">
        <f>IF(OR($A85="",$G85&lt;&gt;"Active"),0,IF($H85&lt;&gt;"",$H85,IF($AO85&gt;0,$AP85,IF(AND($R85&lt;&gt;"",IFERROR(INDEX(Templates!$B$3:$H$10,MATCH($R85,Templates!$A$3:$A$10,0),MATCH($F85,Templates!$B$2:$H$2,0)),0)&gt;0),INDEX(Templates!$B$3:$H$10,MATCH($R85,Templates!$A$3:$A$10,0),MATCH($F85,Templates!$B$2:$H$2,0)),IFERROR(INDEX(Settings!$B$8:$B$14,MATCH($F85,Settings!$A$8:$A$14,0)),0)))))</f>
        <v/>
      </c>
      <c r="J85" s="21">
        <f>IF($C85="",0,IFERROR(INDEX(Deals!$H$2:$H$355,MATCH($C85,Deals!$A$2:$A$355,0)),0))</f>
        <v/>
      </c>
      <c r="K85" s="32">
        <f>IF(Settings!$B$4="Yes",$I85*$J85,$I85)</f>
        <v/>
      </c>
      <c r="L85" s="22">
        <f>IF($C85="","",IFERROR(IF(INDEX(Deals!$I$2:$I$355,MATCH($C85,Deals!$A$2:$A$355,0))=0,"",INDEX(Deals!$I$2:$I$355,MATCH($C85,Deals!$A$2:$A$355,0))),""))</f>
        <v/>
      </c>
      <c r="M85" s="22">
        <f>IF($C85="","",IFERROR(IF(INDEX(Deals!$J$2:$J$355,MATCH($C85,Deals!$A$2:$A$355,0))=0,"",INDEX(Deals!$J$2:$J$355,MATCH($C85,Deals!$A$2:$A$355,0))),""))</f>
        <v/>
      </c>
      <c r="N85" s="35">
        <f>IF($L85="",DATE(1900,1,1),$L85)</f>
        <v/>
      </c>
      <c r="O85" s="35">
        <f>IF($M85="",DATE(2100,12,31),$M85)</f>
        <v/>
      </c>
      <c r="P85" s="20" t="inlineStr"/>
      <c r="Q85" s="47" t="inlineStr"/>
      <c r="R85" s="16">
        <f>IF($C85="","",IFERROR(IF(INDEX(Deals!$U$2:$U$355,MATCH($C85,Deals!$A$2:$A$355,0))=0,"",INDEX(Deals!$U$2:$U$355,MATCH($C85,Deals!$A$2:$A$355,0))),""))</f>
        <v/>
      </c>
      <c r="S85" s="34">
        <f>IFERROR(IF($U85="",1,INDEX(Deals!$V$2:$V$355,MATCH($C85,Deals!$A$2:$A$355,0))),1)</f>
        <v/>
      </c>
      <c r="T85" s="34">
        <f>IFERROR(IF($U85="",1,INDEX(Deals!$W$2:$W$355,MATCH($C85,Deals!$A$2:$A$355,0))),1)</f>
        <v/>
      </c>
      <c r="U85" s="22">
        <f>IF($C85="","",IFERROR(IF(INDEX(Deals!$Y$2:$Y$355,MATCH($C85,Deals!$A$2:$A$355,0))=0,"",INDEX(Deals!$Y$2:$Y$355,MATCH($C85,Deals!$A$2:$A$355,0))),""))</f>
        <v/>
      </c>
      <c r="V85" s="35">
        <f>IF(OR($U85&lt;&gt;"",AND($AO85&gt;0,$L85&lt;&gt;"",$M85&lt;&gt;"")),$N85,DATE(1900,1,1))</f>
        <v/>
      </c>
      <c r="W85" s="35">
        <f>IF($U85&lt;&gt;"",$U85,IF(AND($AO85&gt;0,$L85&lt;&gt;"",$M85&lt;&gt;""),$O85,DATE(2100,12,31)))</f>
        <v/>
      </c>
      <c r="X85" s="32">
        <f>IF($U85="",$K85,$K85*$S85)</f>
        <v/>
      </c>
      <c r="Y85" s="35">
        <f>IF($U85="",DATE(2100,12,31),$U85+1)</f>
        <v/>
      </c>
      <c r="Z85" s="35">
        <f>IF($U85="",DATE(1900,1,1),$O85)</f>
        <v/>
      </c>
      <c r="AA85" s="32">
        <f>IF($U85="",0,$K85*$T85)</f>
        <v/>
      </c>
      <c r="AB85" s="21">
        <f>IF($C85="",0,IFERROR(INDEX(Deals!$AD$2:$AD$355,MATCH($C85,Deals!$A$2:$A$355,0)),0))</f>
        <v/>
      </c>
      <c r="AC85" s="32">
        <f>IF(Settings!$B$4="Yes",$I85*$AB85,$I85)</f>
        <v/>
      </c>
      <c r="AD85" s="22">
        <f>IF($C85="","",IFERROR(IF(INDEX(Deals!$AE$2:$AE$355,MATCH($C85,Deals!$A$2:$A$355,0))=0,"",INDEX(Deals!$AE$2:$AE$355,MATCH($C85,Deals!$A$2:$A$355,0))),""))</f>
        <v/>
      </c>
      <c r="AE85" s="22">
        <f>IF($C85="","",IFERROR(IF(INDEX(Deals!$AF$2:$AF$355,MATCH($C85,Deals!$A$2:$A$355,0))=0,"",INDEX(Deals!$AF$2:$AF$355,MATCH($C85,Deals!$A$2:$A$355,0))),""))</f>
        <v/>
      </c>
      <c r="AF85" s="35">
        <f>IF($AD85="",DATE(1900,1,1),$AD85)</f>
        <v/>
      </c>
      <c r="AG85" s="35">
        <f>IF($AE85="",DATE(2100,12,31),$AE85)</f>
        <v/>
      </c>
      <c r="AH85" s="22">
        <f>IF($C85="","",IFERROR(IF(INDEX(Deals!$AG$2:$AG$355,MATCH($C85,Deals!$A$2:$A$355,0))=0,"",INDEX(Deals!$AG$2:$AG$355,MATCH($C85,Deals!$A$2:$A$355,0))),""))</f>
        <v/>
      </c>
      <c r="AI85" s="35">
        <f>IF(OR($AH85&lt;&gt;"",AND($AO85&gt;0,$AD85&lt;&gt;"",$AE85&lt;&gt;"")),$AF85,DATE(1900,1,1))</f>
        <v/>
      </c>
      <c r="AJ85" s="35">
        <f>IF($AH85&lt;&gt;"",$AH85,IF(AND($AO85&gt;0,$AD85&lt;&gt;"",$AE85&lt;&gt;""),$AG85,DATE(2100,12,31)))</f>
        <v/>
      </c>
      <c r="AK85" s="32">
        <f>IF($AH85="",$AC85,$AC85*$S85)</f>
        <v/>
      </c>
      <c r="AL85" s="35">
        <f>IF($AH85="",DATE(2100,12,31),$AH85+1)</f>
        <v/>
      </c>
      <c r="AM85" s="35">
        <f>IF($AH85="",DATE(1900,1,1),$AG85)</f>
        <v/>
      </c>
      <c r="AN85" s="32">
        <f>IF($AH85="",0,$AC85*$T85)</f>
        <v/>
      </c>
      <c r="AO85" s="46">
        <f>IF($C85="",0,IFERROR(INDEX(Deals!$BD$2:$BD$355,MATCH($C85,Deals!$A$2:$A$355,0)),0))</f>
        <v/>
      </c>
      <c r="AP85" s="18">
        <f>IF($AO85=0,0,IFERROR(INDEX(Deals!$BJ$2:$BP$355,MATCH($C85,Deals!$A$2:$A$355,0),MATCH($F85,Deals!$BJ$1:$BP$1,0))/COUNTIFS(Assignments!$C$2:$C$769,$C85,Assignments!$F$2:$F$769,$F85,Assignments!$G$2:$G$769,"Active"),0))</f>
        <v/>
      </c>
    </row>
    <row r="86">
      <c r="A86" s="28" t="inlineStr">
        <is>
          <t>John</t>
        </is>
      </c>
      <c r="B86" s="16">
        <f>IF($A86="","",IFERROR(INDEX(Roster!$B$2:$B$40,MATCH($A86,Roster!$A$2:$A$40,0)),"?"))</f>
        <v/>
      </c>
      <c r="C86" s="28" t="inlineStr">
        <is>
          <t>Ursa_1</t>
        </is>
      </c>
      <c r="D86" s="16">
        <f>IF($C86="","",IFERROR(IF(INDEX(Deals!$C$2:$C$355,MATCH($C86,Deals!$A$2:$A$355,0))=0,"",INDEX(Deals!$C$2:$C$355,MATCH($C86,Deals!$A$2:$A$355,0))),"?"))</f>
        <v/>
      </c>
      <c r="E86" s="16">
        <f>IF($C86="","",IFERROR(INDEX(Deals!$F$2:$F$355,MATCH($C86,Deals!$A$2:$A$355,0)),"?"))</f>
        <v/>
      </c>
      <c r="F86" s="28" t="inlineStr">
        <is>
          <t>Partner</t>
        </is>
      </c>
      <c r="G86" s="28" t="inlineStr">
        <is>
          <t>Active</t>
        </is>
      </c>
      <c r="H86" s="31" t="n"/>
      <c r="I86" s="32">
        <f>IF(OR($A86="",$G86&lt;&gt;"Active"),0,IF($H86&lt;&gt;"",$H86,IF($AO86&gt;0,$AP86,IF(AND($R86&lt;&gt;"",IFERROR(INDEX(Templates!$B$3:$H$10,MATCH($R86,Templates!$A$3:$A$10,0),MATCH($F86,Templates!$B$2:$H$2,0)),0)&gt;0),INDEX(Templates!$B$3:$H$10,MATCH($R86,Templates!$A$3:$A$10,0),MATCH($F86,Templates!$B$2:$H$2,0)),IFERROR(INDEX(Settings!$B$8:$B$14,MATCH($F86,Settings!$A$8:$A$14,0)),0)))))</f>
        <v/>
      </c>
      <c r="J86" s="21">
        <f>IF($C86="",0,IFERROR(INDEX(Deals!$H$2:$H$355,MATCH($C86,Deals!$A$2:$A$355,0)),0))</f>
        <v/>
      </c>
      <c r="K86" s="32">
        <f>IF(Settings!$B$4="Yes",$I86*$J86,$I86)</f>
        <v/>
      </c>
      <c r="L86" s="22">
        <f>IF($C86="","",IFERROR(IF(INDEX(Deals!$I$2:$I$355,MATCH($C86,Deals!$A$2:$A$355,0))=0,"",INDEX(Deals!$I$2:$I$355,MATCH($C86,Deals!$A$2:$A$355,0))),""))</f>
        <v/>
      </c>
      <c r="M86" s="22">
        <f>IF($C86="","",IFERROR(IF(INDEX(Deals!$J$2:$J$355,MATCH($C86,Deals!$A$2:$A$355,0))=0,"",INDEX(Deals!$J$2:$J$355,MATCH($C86,Deals!$A$2:$A$355,0))),""))</f>
        <v/>
      </c>
      <c r="N86" s="35">
        <f>IF($L86="",DATE(1900,1,1),$L86)</f>
        <v/>
      </c>
      <c r="O86" s="35">
        <f>IF($M86="",DATE(2100,12,31),$M86)</f>
        <v/>
      </c>
      <c r="P86" s="20" t="inlineStr"/>
      <c r="Q86" s="47" t="inlineStr"/>
      <c r="R86" s="16">
        <f>IF($C86="","",IFERROR(IF(INDEX(Deals!$U$2:$U$355,MATCH($C86,Deals!$A$2:$A$355,0))=0,"",INDEX(Deals!$U$2:$U$355,MATCH($C86,Deals!$A$2:$A$355,0))),""))</f>
        <v/>
      </c>
      <c r="S86" s="34">
        <f>IFERROR(IF($U86="",1,INDEX(Deals!$V$2:$V$355,MATCH($C86,Deals!$A$2:$A$355,0))),1)</f>
        <v/>
      </c>
      <c r="T86" s="34">
        <f>IFERROR(IF($U86="",1,INDEX(Deals!$W$2:$W$355,MATCH($C86,Deals!$A$2:$A$355,0))),1)</f>
        <v/>
      </c>
      <c r="U86" s="22">
        <f>IF($C86="","",IFERROR(IF(INDEX(Deals!$Y$2:$Y$355,MATCH($C86,Deals!$A$2:$A$355,0))=0,"",INDEX(Deals!$Y$2:$Y$355,MATCH($C86,Deals!$A$2:$A$355,0))),""))</f>
        <v/>
      </c>
      <c r="V86" s="35">
        <f>IF(OR($U86&lt;&gt;"",AND($AO86&gt;0,$L86&lt;&gt;"",$M86&lt;&gt;"")),$N86,DATE(1900,1,1))</f>
        <v/>
      </c>
      <c r="W86" s="35">
        <f>IF($U86&lt;&gt;"",$U86,IF(AND($AO86&gt;0,$L86&lt;&gt;"",$M86&lt;&gt;""),$O86,DATE(2100,12,31)))</f>
        <v/>
      </c>
      <c r="X86" s="32">
        <f>IF($U86="",$K86,$K86*$S86)</f>
        <v/>
      </c>
      <c r="Y86" s="35">
        <f>IF($U86="",DATE(2100,12,31),$U86+1)</f>
        <v/>
      </c>
      <c r="Z86" s="35">
        <f>IF($U86="",DATE(1900,1,1),$O86)</f>
        <v/>
      </c>
      <c r="AA86" s="32">
        <f>IF($U86="",0,$K86*$T86)</f>
        <v/>
      </c>
      <c r="AB86" s="21">
        <f>IF($C86="",0,IFERROR(INDEX(Deals!$AD$2:$AD$355,MATCH($C86,Deals!$A$2:$A$355,0)),0))</f>
        <v/>
      </c>
      <c r="AC86" s="32">
        <f>IF(Settings!$B$4="Yes",$I86*$AB86,$I86)</f>
        <v/>
      </c>
      <c r="AD86" s="22">
        <f>IF($C86="","",IFERROR(IF(INDEX(Deals!$AE$2:$AE$355,MATCH($C86,Deals!$A$2:$A$355,0))=0,"",INDEX(Deals!$AE$2:$AE$355,MATCH($C86,Deals!$A$2:$A$355,0))),""))</f>
        <v/>
      </c>
      <c r="AE86" s="22">
        <f>IF($C86="","",IFERROR(IF(INDEX(Deals!$AF$2:$AF$355,MATCH($C86,Deals!$A$2:$A$355,0))=0,"",INDEX(Deals!$AF$2:$AF$355,MATCH($C86,Deals!$A$2:$A$355,0))),""))</f>
        <v/>
      </c>
      <c r="AF86" s="35">
        <f>IF($AD86="",DATE(1900,1,1),$AD86)</f>
        <v/>
      </c>
      <c r="AG86" s="35">
        <f>IF($AE86="",DATE(2100,12,31),$AE86)</f>
        <v/>
      </c>
      <c r="AH86" s="22">
        <f>IF($C86="","",IFERROR(IF(INDEX(Deals!$AG$2:$AG$355,MATCH($C86,Deals!$A$2:$A$355,0))=0,"",INDEX(Deals!$AG$2:$AG$355,MATCH($C86,Deals!$A$2:$A$355,0))),""))</f>
        <v/>
      </c>
      <c r="AI86" s="35">
        <f>IF(OR($AH86&lt;&gt;"",AND($AO86&gt;0,$AD86&lt;&gt;"",$AE86&lt;&gt;"")),$AF86,DATE(1900,1,1))</f>
        <v/>
      </c>
      <c r="AJ86" s="35">
        <f>IF($AH86&lt;&gt;"",$AH86,IF(AND($AO86&gt;0,$AD86&lt;&gt;"",$AE86&lt;&gt;""),$AG86,DATE(2100,12,31)))</f>
        <v/>
      </c>
      <c r="AK86" s="32">
        <f>IF($AH86="",$AC86,$AC86*$S86)</f>
        <v/>
      </c>
      <c r="AL86" s="35">
        <f>IF($AH86="",DATE(2100,12,31),$AH86+1)</f>
        <v/>
      </c>
      <c r="AM86" s="35">
        <f>IF($AH86="",DATE(1900,1,1),$AG86)</f>
        <v/>
      </c>
      <c r="AN86" s="32">
        <f>IF($AH86="",0,$AC86*$T86)</f>
        <v/>
      </c>
      <c r="AO86" s="46">
        <f>IF($C86="",0,IFERROR(INDEX(Deals!$BD$2:$BD$355,MATCH($C86,Deals!$A$2:$A$355,0)),0))</f>
        <v/>
      </c>
      <c r="AP86" s="18">
        <f>IF($AO86=0,0,IFERROR(INDEX(Deals!$BJ$2:$BP$355,MATCH($C86,Deals!$A$2:$A$355,0),MATCH($F86,Deals!$BJ$1:$BP$1,0))/COUNTIFS(Assignments!$C$2:$C$769,$C86,Assignments!$F$2:$F$769,$F86,Assignments!$G$2:$G$769,"Active"),0))</f>
        <v/>
      </c>
    </row>
    <row r="87">
      <c r="A87" s="28" t="inlineStr">
        <is>
          <t>John</t>
        </is>
      </c>
      <c r="B87" s="16">
        <f>IF($A87="","",IFERROR(INDEX(Roster!$B$2:$B$40,MATCH($A87,Roster!$A$2:$A$40,0)),"?"))</f>
        <v/>
      </c>
      <c r="C87" s="28" t="inlineStr">
        <is>
          <t>ValorC3_1</t>
        </is>
      </c>
      <c r="D87" s="16">
        <f>IF($C87="","",IFERROR(IF(INDEX(Deals!$C$2:$C$355,MATCH($C87,Deals!$A$2:$A$355,0))=0,"",INDEX(Deals!$C$2:$C$355,MATCH($C87,Deals!$A$2:$A$355,0))),"?"))</f>
        <v/>
      </c>
      <c r="E87" s="16">
        <f>IF($C87="","",IFERROR(INDEX(Deals!$F$2:$F$355,MATCH($C87,Deals!$A$2:$A$355,0)),"?"))</f>
        <v/>
      </c>
      <c r="F87" s="28" t="inlineStr">
        <is>
          <t>Partner</t>
        </is>
      </c>
      <c r="G87" s="28" t="inlineStr">
        <is>
          <t>Active</t>
        </is>
      </c>
      <c r="H87" s="31" t="n"/>
      <c r="I87" s="32">
        <f>IF(OR($A87="",$G87&lt;&gt;"Active"),0,IF($H87&lt;&gt;"",$H87,IF($AO87&gt;0,$AP87,IF(AND($R87&lt;&gt;"",IFERROR(INDEX(Templates!$B$3:$H$10,MATCH($R87,Templates!$A$3:$A$10,0),MATCH($F87,Templates!$B$2:$H$2,0)),0)&gt;0),INDEX(Templates!$B$3:$H$10,MATCH($R87,Templates!$A$3:$A$10,0),MATCH($F87,Templates!$B$2:$H$2,0)),IFERROR(INDEX(Settings!$B$8:$B$14,MATCH($F87,Settings!$A$8:$A$14,0)),0)))))</f>
        <v/>
      </c>
      <c r="J87" s="21">
        <f>IF($C87="",0,IFERROR(INDEX(Deals!$H$2:$H$355,MATCH($C87,Deals!$A$2:$A$355,0)),0))</f>
        <v/>
      </c>
      <c r="K87" s="32">
        <f>IF(Settings!$B$4="Yes",$I87*$J87,$I87)</f>
        <v/>
      </c>
      <c r="L87" s="22">
        <f>IF($C87="","",IFERROR(IF(INDEX(Deals!$I$2:$I$355,MATCH($C87,Deals!$A$2:$A$355,0))=0,"",INDEX(Deals!$I$2:$I$355,MATCH($C87,Deals!$A$2:$A$355,0))),""))</f>
        <v/>
      </c>
      <c r="M87" s="22">
        <f>IF($C87="","",IFERROR(IF(INDEX(Deals!$J$2:$J$355,MATCH($C87,Deals!$A$2:$A$355,0))=0,"",INDEX(Deals!$J$2:$J$355,MATCH($C87,Deals!$A$2:$A$355,0))),""))</f>
        <v/>
      </c>
      <c r="N87" s="35">
        <f>IF($L87="",DATE(1900,1,1),$L87)</f>
        <v/>
      </c>
      <c r="O87" s="35">
        <f>IF($M87="",DATE(2100,12,31),$M87)</f>
        <v/>
      </c>
      <c r="P87" s="20" t="inlineStr"/>
      <c r="Q87" s="47" t="inlineStr"/>
      <c r="R87" s="16">
        <f>IF($C87="","",IFERROR(IF(INDEX(Deals!$U$2:$U$355,MATCH($C87,Deals!$A$2:$A$355,0))=0,"",INDEX(Deals!$U$2:$U$355,MATCH($C87,Deals!$A$2:$A$355,0))),""))</f>
        <v/>
      </c>
      <c r="S87" s="34">
        <f>IFERROR(IF($U87="",1,INDEX(Deals!$V$2:$V$355,MATCH($C87,Deals!$A$2:$A$355,0))),1)</f>
        <v/>
      </c>
      <c r="T87" s="34">
        <f>IFERROR(IF($U87="",1,INDEX(Deals!$W$2:$W$355,MATCH($C87,Deals!$A$2:$A$355,0))),1)</f>
        <v/>
      </c>
      <c r="U87" s="22">
        <f>IF($C87="","",IFERROR(IF(INDEX(Deals!$Y$2:$Y$355,MATCH($C87,Deals!$A$2:$A$355,0))=0,"",INDEX(Deals!$Y$2:$Y$355,MATCH($C87,Deals!$A$2:$A$355,0))),""))</f>
        <v/>
      </c>
      <c r="V87" s="35">
        <f>IF(OR($U87&lt;&gt;"",AND($AO87&gt;0,$L87&lt;&gt;"",$M87&lt;&gt;"")),$N87,DATE(1900,1,1))</f>
        <v/>
      </c>
      <c r="W87" s="35">
        <f>IF($U87&lt;&gt;"",$U87,IF(AND($AO87&gt;0,$L87&lt;&gt;"",$M87&lt;&gt;""),$O87,DATE(2100,12,31)))</f>
        <v/>
      </c>
      <c r="X87" s="32">
        <f>IF($U87="",$K87,$K87*$S87)</f>
        <v/>
      </c>
      <c r="Y87" s="35">
        <f>IF($U87="",DATE(2100,12,31),$U87+1)</f>
        <v/>
      </c>
      <c r="Z87" s="35">
        <f>IF($U87="",DATE(1900,1,1),$O87)</f>
        <v/>
      </c>
      <c r="AA87" s="32">
        <f>IF($U87="",0,$K87*$T87)</f>
        <v/>
      </c>
      <c r="AB87" s="21">
        <f>IF($C87="",0,IFERROR(INDEX(Deals!$AD$2:$AD$355,MATCH($C87,Deals!$A$2:$A$355,0)),0))</f>
        <v/>
      </c>
      <c r="AC87" s="32">
        <f>IF(Settings!$B$4="Yes",$I87*$AB87,$I87)</f>
        <v/>
      </c>
      <c r="AD87" s="22">
        <f>IF($C87="","",IFERROR(IF(INDEX(Deals!$AE$2:$AE$355,MATCH($C87,Deals!$A$2:$A$355,0))=0,"",INDEX(Deals!$AE$2:$AE$355,MATCH($C87,Deals!$A$2:$A$355,0))),""))</f>
        <v/>
      </c>
      <c r="AE87" s="22">
        <f>IF($C87="","",IFERROR(IF(INDEX(Deals!$AF$2:$AF$355,MATCH($C87,Deals!$A$2:$A$355,0))=0,"",INDEX(Deals!$AF$2:$AF$355,MATCH($C87,Deals!$A$2:$A$355,0))),""))</f>
        <v/>
      </c>
      <c r="AF87" s="35">
        <f>IF($AD87="",DATE(1900,1,1),$AD87)</f>
        <v/>
      </c>
      <c r="AG87" s="35">
        <f>IF($AE87="",DATE(2100,12,31),$AE87)</f>
        <v/>
      </c>
      <c r="AH87" s="22">
        <f>IF($C87="","",IFERROR(IF(INDEX(Deals!$AG$2:$AG$355,MATCH($C87,Deals!$A$2:$A$355,0))=0,"",INDEX(Deals!$AG$2:$AG$355,MATCH($C87,Deals!$A$2:$A$355,0))),""))</f>
        <v/>
      </c>
      <c r="AI87" s="35">
        <f>IF(OR($AH87&lt;&gt;"",AND($AO87&gt;0,$AD87&lt;&gt;"",$AE87&lt;&gt;"")),$AF87,DATE(1900,1,1))</f>
        <v/>
      </c>
      <c r="AJ87" s="35">
        <f>IF($AH87&lt;&gt;"",$AH87,IF(AND($AO87&gt;0,$AD87&lt;&gt;"",$AE87&lt;&gt;""),$AG87,DATE(2100,12,31)))</f>
        <v/>
      </c>
      <c r="AK87" s="32">
        <f>IF($AH87="",$AC87,$AC87*$S87)</f>
        <v/>
      </c>
      <c r="AL87" s="35">
        <f>IF($AH87="",DATE(2100,12,31),$AH87+1)</f>
        <v/>
      </c>
      <c r="AM87" s="35">
        <f>IF($AH87="",DATE(1900,1,1),$AG87)</f>
        <v/>
      </c>
      <c r="AN87" s="32">
        <f>IF($AH87="",0,$AC87*$T87)</f>
        <v/>
      </c>
      <c r="AO87" s="46">
        <f>IF($C87="",0,IFERROR(INDEX(Deals!$BD$2:$BD$355,MATCH($C87,Deals!$A$2:$A$355,0)),0))</f>
        <v/>
      </c>
      <c r="AP87" s="18">
        <f>IF($AO87=0,0,IFERROR(INDEX(Deals!$BJ$2:$BP$355,MATCH($C87,Deals!$A$2:$A$355,0),MATCH($F87,Deals!$BJ$1:$BP$1,0))/COUNTIFS(Assignments!$C$2:$C$769,$C87,Assignments!$F$2:$F$769,$F87,Assignments!$G$2:$G$769,"Active"),0))</f>
        <v/>
      </c>
    </row>
    <row r="88">
      <c r="A88" s="28" t="inlineStr">
        <is>
          <t>John</t>
        </is>
      </c>
      <c r="B88" s="16">
        <f>IF($A88="","",IFERROR(INDEX(Roster!$B$2:$B$40,MATCH($A88,Roster!$A$2:$A$40,0)),"?"))</f>
        <v/>
      </c>
      <c r="C88" s="28" t="inlineStr">
        <is>
          <t>Voyager_1</t>
        </is>
      </c>
      <c r="D88" s="16">
        <f>IF($C88="","",IFERROR(IF(INDEX(Deals!$C$2:$C$355,MATCH($C88,Deals!$A$2:$A$355,0))=0,"",INDEX(Deals!$C$2:$C$355,MATCH($C88,Deals!$A$2:$A$355,0))),"?"))</f>
        <v/>
      </c>
      <c r="E88" s="16">
        <f>IF($C88="","",IFERROR(INDEX(Deals!$F$2:$F$355,MATCH($C88,Deals!$A$2:$A$355,0)),"?"))</f>
        <v/>
      </c>
      <c r="F88" s="28" t="inlineStr">
        <is>
          <t>Partner</t>
        </is>
      </c>
      <c r="G88" s="28" t="inlineStr">
        <is>
          <t>Active</t>
        </is>
      </c>
      <c r="H88" s="31" t="n"/>
      <c r="I88" s="32">
        <f>IF(OR($A88="",$G88&lt;&gt;"Active"),0,IF($H88&lt;&gt;"",$H88,IF($AO88&gt;0,$AP88,IF(AND($R88&lt;&gt;"",IFERROR(INDEX(Templates!$B$3:$H$10,MATCH($R88,Templates!$A$3:$A$10,0),MATCH($F88,Templates!$B$2:$H$2,0)),0)&gt;0),INDEX(Templates!$B$3:$H$10,MATCH($R88,Templates!$A$3:$A$10,0),MATCH($F88,Templates!$B$2:$H$2,0)),IFERROR(INDEX(Settings!$B$8:$B$14,MATCH($F88,Settings!$A$8:$A$14,0)),0)))))</f>
        <v/>
      </c>
      <c r="J88" s="21">
        <f>IF($C88="",0,IFERROR(INDEX(Deals!$H$2:$H$355,MATCH($C88,Deals!$A$2:$A$355,0)),0))</f>
        <v/>
      </c>
      <c r="K88" s="32">
        <f>IF(Settings!$B$4="Yes",$I88*$J88,$I88)</f>
        <v/>
      </c>
      <c r="L88" s="22">
        <f>IF($C88="","",IFERROR(IF(INDEX(Deals!$I$2:$I$355,MATCH($C88,Deals!$A$2:$A$355,0))=0,"",INDEX(Deals!$I$2:$I$355,MATCH($C88,Deals!$A$2:$A$355,0))),""))</f>
        <v/>
      </c>
      <c r="M88" s="22">
        <f>IF($C88="","",IFERROR(IF(INDEX(Deals!$J$2:$J$355,MATCH($C88,Deals!$A$2:$A$355,0))=0,"",INDEX(Deals!$J$2:$J$355,MATCH($C88,Deals!$A$2:$A$355,0))),""))</f>
        <v/>
      </c>
      <c r="N88" s="35">
        <f>IF($L88="",DATE(1900,1,1),$L88)</f>
        <v/>
      </c>
      <c r="O88" s="35">
        <f>IF($M88="",DATE(2100,12,31),$M88)</f>
        <v/>
      </c>
      <c r="P88" s="20" t="inlineStr"/>
      <c r="Q88" s="47" t="inlineStr"/>
      <c r="R88" s="16">
        <f>IF($C88="","",IFERROR(IF(INDEX(Deals!$U$2:$U$355,MATCH($C88,Deals!$A$2:$A$355,0))=0,"",INDEX(Deals!$U$2:$U$355,MATCH($C88,Deals!$A$2:$A$355,0))),""))</f>
        <v/>
      </c>
      <c r="S88" s="34">
        <f>IFERROR(IF($U88="",1,INDEX(Deals!$V$2:$V$355,MATCH($C88,Deals!$A$2:$A$355,0))),1)</f>
        <v/>
      </c>
      <c r="T88" s="34">
        <f>IFERROR(IF($U88="",1,INDEX(Deals!$W$2:$W$355,MATCH($C88,Deals!$A$2:$A$355,0))),1)</f>
        <v/>
      </c>
      <c r="U88" s="22">
        <f>IF($C88="","",IFERROR(IF(INDEX(Deals!$Y$2:$Y$355,MATCH($C88,Deals!$A$2:$A$355,0))=0,"",INDEX(Deals!$Y$2:$Y$355,MATCH($C88,Deals!$A$2:$A$355,0))),""))</f>
        <v/>
      </c>
      <c r="V88" s="35">
        <f>IF(OR($U88&lt;&gt;"",AND($AO88&gt;0,$L88&lt;&gt;"",$M88&lt;&gt;"")),$N88,DATE(1900,1,1))</f>
        <v/>
      </c>
      <c r="W88" s="35">
        <f>IF($U88&lt;&gt;"",$U88,IF(AND($AO88&gt;0,$L88&lt;&gt;"",$M88&lt;&gt;""),$O88,DATE(2100,12,31)))</f>
        <v/>
      </c>
      <c r="X88" s="32">
        <f>IF($U88="",$K88,$K88*$S88)</f>
        <v/>
      </c>
      <c r="Y88" s="35">
        <f>IF($U88="",DATE(2100,12,31),$U88+1)</f>
        <v/>
      </c>
      <c r="Z88" s="35">
        <f>IF($U88="",DATE(1900,1,1),$O88)</f>
        <v/>
      </c>
      <c r="AA88" s="32">
        <f>IF($U88="",0,$K88*$T88)</f>
        <v/>
      </c>
      <c r="AB88" s="21">
        <f>IF($C88="",0,IFERROR(INDEX(Deals!$AD$2:$AD$355,MATCH($C88,Deals!$A$2:$A$355,0)),0))</f>
        <v/>
      </c>
      <c r="AC88" s="32">
        <f>IF(Settings!$B$4="Yes",$I88*$AB88,$I88)</f>
        <v/>
      </c>
      <c r="AD88" s="22">
        <f>IF($C88="","",IFERROR(IF(INDEX(Deals!$AE$2:$AE$355,MATCH($C88,Deals!$A$2:$A$355,0))=0,"",INDEX(Deals!$AE$2:$AE$355,MATCH($C88,Deals!$A$2:$A$355,0))),""))</f>
        <v/>
      </c>
      <c r="AE88" s="22">
        <f>IF($C88="","",IFERROR(IF(INDEX(Deals!$AF$2:$AF$355,MATCH($C88,Deals!$A$2:$A$355,0))=0,"",INDEX(Deals!$AF$2:$AF$355,MATCH($C88,Deals!$A$2:$A$355,0))),""))</f>
        <v/>
      </c>
      <c r="AF88" s="35">
        <f>IF($AD88="",DATE(1900,1,1),$AD88)</f>
        <v/>
      </c>
      <c r="AG88" s="35">
        <f>IF($AE88="",DATE(2100,12,31),$AE88)</f>
        <v/>
      </c>
      <c r="AH88" s="22">
        <f>IF($C88="","",IFERROR(IF(INDEX(Deals!$AG$2:$AG$355,MATCH($C88,Deals!$A$2:$A$355,0))=0,"",INDEX(Deals!$AG$2:$AG$355,MATCH($C88,Deals!$A$2:$A$355,0))),""))</f>
        <v/>
      </c>
      <c r="AI88" s="35">
        <f>IF(OR($AH88&lt;&gt;"",AND($AO88&gt;0,$AD88&lt;&gt;"",$AE88&lt;&gt;"")),$AF88,DATE(1900,1,1))</f>
        <v/>
      </c>
      <c r="AJ88" s="35">
        <f>IF($AH88&lt;&gt;"",$AH88,IF(AND($AO88&gt;0,$AD88&lt;&gt;"",$AE88&lt;&gt;""),$AG88,DATE(2100,12,31)))</f>
        <v/>
      </c>
      <c r="AK88" s="32">
        <f>IF($AH88="",$AC88,$AC88*$S88)</f>
        <v/>
      </c>
      <c r="AL88" s="35">
        <f>IF($AH88="",DATE(2100,12,31),$AH88+1)</f>
        <v/>
      </c>
      <c r="AM88" s="35">
        <f>IF($AH88="",DATE(1900,1,1),$AG88)</f>
        <v/>
      </c>
      <c r="AN88" s="32">
        <f>IF($AH88="",0,$AC88*$T88)</f>
        <v/>
      </c>
      <c r="AO88" s="46">
        <f>IF($C88="",0,IFERROR(INDEX(Deals!$BD$2:$BD$355,MATCH($C88,Deals!$A$2:$A$355,0)),0))</f>
        <v/>
      </c>
      <c r="AP88" s="18">
        <f>IF($AO88=0,0,IFERROR(INDEX(Deals!$BJ$2:$BP$355,MATCH($C88,Deals!$A$2:$A$355,0),MATCH($F88,Deals!$BJ$1:$BP$1,0))/COUNTIFS(Assignments!$C$2:$C$769,$C88,Assignments!$F$2:$F$769,$F88,Assignments!$G$2:$G$769,"Active"),0))</f>
        <v/>
      </c>
    </row>
    <row r="89">
      <c r="A89" s="28" t="inlineStr">
        <is>
          <t>John</t>
        </is>
      </c>
      <c r="B89" s="16">
        <f>IF($A89="","",IFERROR(INDEX(Roster!$B$2:$B$40,MATCH($A89,Roster!$A$2:$A$40,0)),"?"))</f>
        <v/>
      </c>
      <c r="C89" s="28" t="inlineStr">
        <is>
          <t>Zora_1</t>
        </is>
      </c>
      <c r="D89" s="16">
        <f>IF($C89="","",IFERROR(IF(INDEX(Deals!$C$2:$C$355,MATCH($C89,Deals!$A$2:$A$355,0))=0,"",INDEX(Deals!$C$2:$C$355,MATCH($C89,Deals!$A$2:$A$355,0))),"?"))</f>
        <v/>
      </c>
      <c r="E89" s="16">
        <f>IF($C89="","",IFERROR(INDEX(Deals!$F$2:$F$355,MATCH($C89,Deals!$A$2:$A$355,0)),"?"))</f>
        <v/>
      </c>
      <c r="F89" s="28" t="inlineStr">
        <is>
          <t>Partner</t>
        </is>
      </c>
      <c r="G89" s="28" t="inlineStr">
        <is>
          <t>Active</t>
        </is>
      </c>
      <c r="H89" s="31" t="n"/>
      <c r="I89" s="32">
        <f>IF(OR($A89="",$G89&lt;&gt;"Active"),0,IF($H89&lt;&gt;"",$H89,IF($AO89&gt;0,$AP89,IF(AND($R89&lt;&gt;"",IFERROR(INDEX(Templates!$B$3:$H$10,MATCH($R89,Templates!$A$3:$A$10,0),MATCH($F89,Templates!$B$2:$H$2,0)),0)&gt;0),INDEX(Templates!$B$3:$H$10,MATCH($R89,Templates!$A$3:$A$10,0),MATCH($F89,Templates!$B$2:$H$2,0)),IFERROR(INDEX(Settings!$B$8:$B$14,MATCH($F89,Settings!$A$8:$A$14,0)),0)))))</f>
        <v/>
      </c>
      <c r="J89" s="21">
        <f>IF($C89="",0,IFERROR(INDEX(Deals!$H$2:$H$355,MATCH($C89,Deals!$A$2:$A$355,0)),0))</f>
        <v/>
      </c>
      <c r="K89" s="32">
        <f>IF(Settings!$B$4="Yes",$I89*$J89,$I89)</f>
        <v/>
      </c>
      <c r="L89" s="22">
        <f>IF($C89="","",IFERROR(IF(INDEX(Deals!$I$2:$I$355,MATCH($C89,Deals!$A$2:$A$355,0))=0,"",INDEX(Deals!$I$2:$I$355,MATCH($C89,Deals!$A$2:$A$355,0))),""))</f>
        <v/>
      </c>
      <c r="M89" s="22">
        <f>IF($C89="","",IFERROR(IF(INDEX(Deals!$J$2:$J$355,MATCH($C89,Deals!$A$2:$A$355,0))=0,"",INDEX(Deals!$J$2:$J$355,MATCH($C89,Deals!$A$2:$A$355,0))),""))</f>
        <v/>
      </c>
      <c r="N89" s="35">
        <f>IF($L89="",DATE(1900,1,1),$L89)</f>
        <v/>
      </c>
      <c r="O89" s="35">
        <f>IF($M89="",DATE(2100,12,31),$M89)</f>
        <v/>
      </c>
      <c r="P89" s="20" t="inlineStr"/>
      <c r="Q89" s="47" t="inlineStr"/>
      <c r="R89" s="16">
        <f>IF($C89="","",IFERROR(IF(INDEX(Deals!$U$2:$U$355,MATCH($C89,Deals!$A$2:$A$355,0))=0,"",INDEX(Deals!$U$2:$U$355,MATCH($C89,Deals!$A$2:$A$355,0))),""))</f>
        <v/>
      </c>
      <c r="S89" s="34">
        <f>IFERROR(IF($U89="",1,INDEX(Deals!$V$2:$V$355,MATCH($C89,Deals!$A$2:$A$355,0))),1)</f>
        <v/>
      </c>
      <c r="T89" s="34">
        <f>IFERROR(IF($U89="",1,INDEX(Deals!$W$2:$W$355,MATCH($C89,Deals!$A$2:$A$355,0))),1)</f>
        <v/>
      </c>
      <c r="U89" s="22">
        <f>IF($C89="","",IFERROR(IF(INDEX(Deals!$Y$2:$Y$355,MATCH($C89,Deals!$A$2:$A$355,0))=0,"",INDEX(Deals!$Y$2:$Y$355,MATCH($C89,Deals!$A$2:$A$355,0))),""))</f>
        <v/>
      </c>
      <c r="V89" s="35">
        <f>IF(OR($U89&lt;&gt;"",AND($AO89&gt;0,$L89&lt;&gt;"",$M89&lt;&gt;"")),$N89,DATE(1900,1,1))</f>
        <v/>
      </c>
      <c r="W89" s="35">
        <f>IF($U89&lt;&gt;"",$U89,IF(AND($AO89&gt;0,$L89&lt;&gt;"",$M89&lt;&gt;""),$O89,DATE(2100,12,31)))</f>
        <v/>
      </c>
      <c r="X89" s="32">
        <f>IF($U89="",$K89,$K89*$S89)</f>
        <v/>
      </c>
      <c r="Y89" s="35">
        <f>IF($U89="",DATE(2100,12,31),$U89+1)</f>
        <v/>
      </c>
      <c r="Z89" s="35">
        <f>IF($U89="",DATE(1900,1,1),$O89)</f>
        <v/>
      </c>
      <c r="AA89" s="32">
        <f>IF($U89="",0,$K89*$T89)</f>
        <v/>
      </c>
      <c r="AB89" s="21">
        <f>IF($C89="",0,IFERROR(INDEX(Deals!$AD$2:$AD$355,MATCH($C89,Deals!$A$2:$A$355,0)),0))</f>
        <v/>
      </c>
      <c r="AC89" s="32">
        <f>IF(Settings!$B$4="Yes",$I89*$AB89,$I89)</f>
        <v/>
      </c>
      <c r="AD89" s="22">
        <f>IF($C89="","",IFERROR(IF(INDEX(Deals!$AE$2:$AE$355,MATCH($C89,Deals!$A$2:$A$355,0))=0,"",INDEX(Deals!$AE$2:$AE$355,MATCH($C89,Deals!$A$2:$A$355,0))),""))</f>
        <v/>
      </c>
      <c r="AE89" s="22">
        <f>IF($C89="","",IFERROR(IF(INDEX(Deals!$AF$2:$AF$355,MATCH($C89,Deals!$A$2:$A$355,0))=0,"",INDEX(Deals!$AF$2:$AF$355,MATCH($C89,Deals!$A$2:$A$355,0))),""))</f>
        <v/>
      </c>
      <c r="AF89" s="35">
        <f>IF($AD89="",DATE(1900,1,1),$AD89)</f>
        <v/>
      </c>
      <c r="AG89" s="35">
        <f>IF($AE89="",DATE(2100,12,31),$AE89)</f>
        <v/>
      </c>
      <c r="AH89" s="22">
        <f>IF($C89="","",IFERROR(IF(INDEX(Deals!$AG$2:$AG$355,MATCH($C89,Deals!$A$2:$A$355,0))=0,"",INDEX(Deals!$AG$2:$AG$355,MATCH($C89,Deals!$A$2:$A$355,0))),""))</f>
        <v/>
      </c>
      <c r="AI89" s="35">
        <f>IF(OR($AH89&lt;&gt;"",AND($AO89&gt;0,$AD89&lt;&gt;"",$AE89&lt;&gt;"")),$AF89,DATE(1900,1,1))</f>
        <v/>
      </c>
      <c r="AJ89" s="35">
        <f>IF($AH89&lt;&gt;"",$AH89,IF(AND($AO89&gt;0,$AD89&lt;&gt;"",$AE89&lt;&gt;""),$AG89,DATE(2100,12,31)))</f>
        <v/>
      </c>
      <c r="AK89" s="32">
        <f>IF($AH89="",$AC89,$AC89*$S89)</f>
        <v/>
      </c>
      <c r="AL89" s="35">
        <f>IF($AH89="",DATE(2100,12,31),$AH89+1)</f>
        <v/>
      </c>
      <c r="AM89" s="35">
        <f>IF($AH89="",DATE(1900,1,1),$AG89)</f>
        <v/>
      </c>
      <c r="AN89" s="32">
        <f>IF($AH89="",0,$AC89*$T89)</f>
        <v/>
      </c>
      <c r="AO89" s="46">
        <f>IF($C89="",0,IFERROR(INDEX(Deals!$BD$2:$BD$355,MATCH($C89,Deals!$A$2:$A$355,0)),0))</f>
        <v/>
      </c>
      <c r="AP89" s="18">
        <f>IF($AO89=0,0,IFERROR(INDEX(Deals!$BJ$2:$BP$355,MATCH($C89,Deals!$A$2:$A$355,0),MATCH($F89,Deals!$BJ$1:$BP$1,0))/COUNTIFS(Assignments!$C$2:$C$769,$C89,Assignments!$F$2:$F$769,$F89,Assignments!$G$2:$G$769,"Active"),0))</f>
        <v/>
      </c>
    </row>
    <row r="90">
      <c r="A90" s="28" t="inlineStr">
        <is>
          <t>Will B. W.</t>
        </is>
      </c>
      <c r="B90" s="16">
        <f>IF($A90="","",IFERROR(INDEX(Roster!$B$2:$B$40,MATCH($A90,Roster!$A$2:$A$40,0)),"?"))</f>
        <v/>
      </c>
      <c r="C90" s="28" t="inlineStr">
        <is>
          <t>Apple_2</t>
        </is>
      </c>
      <c r="D90" s="16">
        <f>IF($C90="","",IFERROR(IF(INDEX(Deals!$C$2:$C$355,MATCH($C90,Deals!$A$2:$A$355,0))=0,"",INDEX(Deals!$C$2:$C$355,MATCH($C90,Deals!$A$2:$A$355,0))),"?"))</f>
        <v/>
      </c>
      <c r="E90" s="16">
        <f>IF($C90="","",IFERROR(INDEX(Deals!$F$2:$F$355,MATCH($C90,Deals!$A$2:$A$355,0)),"?"))</f>
        <v/>
      </c>
      <c r="F90" s="28" t="inlineStr">
        <is>
          <t>Partner</t>
        </is>
      </c>
      <c r="G90" s="28" t="inlineStr">
        <is>
          <t>Active</t>
        </is>
      </c>
      <c r="H90" s="31" t="n"/>
      <c r="I90" s="32">
        <f>IF(OR($A90="",$G90&lt;&gt;"Active"),0,IF($H90&lt;&gt;"",$H90,IF($AO90&gt;0,$AP90,IF(AND($R90&lt;&gt;"",IFERROR(INDEX(Templates!$B$3:$H$10,MATCH($R90,Templates!$A$3:$A$10,0),MATCH($F90,Templates!$B$2:$H$2,0)),0)&gt;0),INDEX(Templates!$B$3:$H$10,MATCH($R90,Templates!$A$3:$A$10,0),MATCH($F90,Templates!$B$2:$H$2,0)),IFERROR(INDEX(Settings!$B$8:$B$14,MATCH($F90,Settings!$A$8:$A$14,0)),0)))))</f>
        <v/>
      </c>
      <c r="J90" s="21">
        <f>IF($C90="",0,IFERROR(INDEX(Deals!$H$2:$H$355,MATCH($C90,Deals!$A$2:$A$355,0)),0))</f>
        <v/>
      </c>
      <c r="K90" s="32">
        <f>IF(Settings!$B$4="Yes",$I90*$J90,$I90)</f>
        <v/>
      </c>
      <c r="L90" s="22">
        <f>IF($C90="","",IFERROR(IF(INDEX(Deals!$I$2:$I$355,MATCH($C90,Deals!$A$2:$A$355,0))=0,"",INDEX(Deals!$I$2:$I$355,MATCH($C90,Deals!$A$2:$A$355,0))),""))</f>
        <v/>
      </c>
      <c r="M90" s="22">
        <f>IF($C90="","",IFERROR(IF(INDEX(Deals!$J$2:$J$355,MATCH($C90,Deals!$A$2:$A$355,0))=0,"",INDEX(Deals!$J$2:$J$355,MATCH($C90,Deals!$A$2:$A$355,0))),""))</f>
        <v/>
      </c>
      <c r="N90" s="35">
        <f>IF($L90="",DATE(1900,1,1),$L90)</f>
        <v/>
      </c>
      <c r="O90" s="35">
        <f>IF($M90="",DATE(2100,12,31),$M90)</f>
        <v/>
      </c>
      <c r="P90" s="20" t="inlineStr"/>
      <c r="Q90" s="47" t="inlineStr"/>
      <c r="R90" s="16">
        <f>IF($C90="","",IFERROR(IF(INDEX(Deals!$U$2:$U$355,MATCH($C90,Deals!$A$2:$A$355,0))=0,"",INDEX(Deals!$U$2:$U$355,MATCH($C90,Deals!$A$2:$A$355,0))),""))</f>
        <v/>
      </c>
      <c r="S90" s="34">
        <f>IFERROR(IF($U90="",1,INDEX(Deals!$V$2:$V$355,MATCH($C90,Deals!$A$2:$A$355,0))),1)</f>
        <v/>
      </c>
      <c r="T90" s="34">
        <f>IFERROR(IF($U90="",1,INDEX(Deals!$W$2:$W$355,MATCH($C90,Deals!$A$2:$A$355,0))),1)</f>
        <v/>
      </c>
      <c r="U90" s="22">
        <f>IF($C90="","",IFERROR(IF(INDEX(Deals!$Y$2:$Y$355,MATCH($C90,Deals!$A$2:$A$355,0))=0,"",INDEX(Deals!$Y$2:$Y$355,MATCH($C90,Deals!$A$2:$A$355,0))),""))</f>
        <v/>
      </c>
      <c r="V90" s="35">
        <f>IF(OR($U90&lt;&gt;"",AND($AO90&gt;0,$L90&lt;&gt;"",$M90&lt;&gt;"")),$N90,DATE(1900,1,1))</f>
        <v/>
      </c>
      <c r="W90" s="35">
        <f>IF($U90&lt;&gt;"",$U90,IF(AND($AO90&gt;0,$L90&lt;&gt;"",$M90&lt;&gt;""),$O90,DATE(2100,12,31)))</f>
        <v/>
      </c>
      <c r="X90" s="32">
        <f>IF($U90="",$K90,$K90*$S90)</f>
        <v/>
      </c>
      <c r="Y90" s="35">
        <f>IF($U90="",DATE(2100,12,31),$U90+1)</f>
        <v/>
      </c>
      <c r="Z90" s="35">
        <f>IF($U90="",DATE(1900,1,1),$O90)</f>
        <v/>
      </c>
      <c r="AA90" s="32">
        <f>IF($U90="",0,$K90*$T90)</f>
        <v/>
      </c>
      <c r="AB90" s="21">
        <f>IF($C90="",0,IFERROR(INDEX(Deals!$AD$2:$AD$355,MATCH($C90,Deals!$A$2:$A$355,0)),0))</f>
        <v/>
      </c>
      <c r="AC90" s="32">
        <f>IF(Settings!$B$4="Yes",$I90*$AB90,$I90)</f>
        <v/>
      </c>
      <c r="AD90" s="22">
        <f>IF($C90="","",IFERROR(IF(INDEX(Deals!$AE$2:$AE$355,MATCH($C90,Deals!$A$2:$A$355,0))=0,"",INDEX(Deals!$AE$2:$AE$355,MATCH($C90,Deals!$A$2:$A$355,0))),""))</f>
        <v/>
      </c>
      <c r="AE90" s="22">
        <f>IF($C90="","",IFERROR(IF(INDEX(Deals!$AF$2:$AF$355,MATCH($C90,Deals!$A$2:$A$355,0))=0,"",INDEX(Deals!$AF$2:$AF$355,MATCH($C90,Deals!$A$2:$A$355,0))),""))</f>
        <v/>
      </c>
      <c r="AF90" s="35">
        <f>IF($AD90="",DATE(1900,1,1),$AD90)</f>
        <v/>
      </c>
      <c r="AG90" s="35">
        <f>IF($AE90="",DATE(2100,12,31),$AE90)</f>
        <v/>
      </c>
      <c r="AH90" s="22">
        <f>IF($C90="","",IFERROR(IF(INDEX(Deals!$AG$2:$AG$355,MATCH($C90,Deals!$A$2:$A$355,0))=0,"",INDEX(Deals!$AG$2:$AG$355,MATCH($C90,Deals!$A$2:$A$355,0))),""))</f>
        <v/>
      </c>
      <c r="AI90" s="35">
        <f>IF(OR($AH90&lt;&gt;"",AND($AO90&gt;0,$AD90&lt;&gt;"",$AE90&lt;&gt;"")),$AF90,DATE(1900,1,1))</f>
        <v/>
      </c>
      <c r="AJ90" s="35">
        <f>IF($AH90&lt;&gt;"",$AH90,IF(AND($AO90&gt;0,$AD90&lt;&gt;"",$AE90&lt;&gt;""),$AG90,DATE(2100,12,31)))</f>
        <v/>
      </c>
      <c r="AK90" s="32">
        <f>IF($AH90="",$AC90,$AC90*$S90)</f>
        <v/>
      </c>
      <c r="AL90" s="35">
        <f>IF($AH90="",DATE(2100,12,31),$AH90+1)</f>
        <v/>
      </c>
      <c r="AM90" s="35">
        <f>IF($AH90="",DATE(1900,1,1),$AG90)</f>
        <v/>
      </c>
      <c r="AN90" s="32">
        <f>IF($AH90="",0,$AC90*$T90)</f>
        <v/>
      </c>
      <c r="AO90" s="46">
        <f>IF($C90="",0,IFERROR(INDEX(Deals!$BD$2:$BD$355,MATCH($C90,Deals!$A$2:$A$355,0)),0))</f>
        <v/>
      </c>
      <c r="AP90" s="18">
        <f>IF($AO90=0,0,IFERROR(INDEX(Deals!$BJ$2:$BP$355,MATCH($C90,Deals!$A$2:$A$355,0),MATCH($F90,Deals!$BJ$1:$BP$1,0))/COUNTIFS(Assignments!$C$2:$C$769,$C90,Assignments!$F$2:$F$769,$F90,Assignments!$G$2:$G$769,"Active"),0))</f>
        <v/>
      </c>
    </row>
    <row r="91">
      <c r="A91" s="28" t="inlineStr">
        <is>
          <t>Will B. W.</t>
        </is>
      </c>
      <c r="B91" s="16">
        <f>IF($A91="","",IFERROR(INDEX(Roster!$B$2:$B$40,MATCH($A91,Roster!$A$2:$A$40,0)),"?"))</f>
        <v/>
      </c>
      <c r="C91" s="28" t="inlineStr">
        <is>
          <t>DCLI Sellside_1</t>
        </is>
      </c>
      <c r="D91" s="16">
        <f>IF($C91="","",IFERROR(IF(INDEX(Deals!$C$2:$C$355,MATCH($C91,Deals!$A$2:$A$355,0))=0,"",INDEX(Deals!$C$2:$C$355,MATCH($C91,Deals!$A$2:$A$355,0))),"?"))</f>
        <v/>
      </c>
      <c r="E91" s="16">
        <f>IF($C91="","",IFERROR(INDEX(Deals!$F$2:$F$355,MATCH($C91,Deals!$A$2:$A$355,0)),"?"))</f>
        <v/>
      </c>
      <c r="F91" s="28" t="inlineStr">
        <is>
          <t>Partner</t>
        </is>
      </c>
      <c r="G91" s="28" t="inlineStr">
        <is>
          <t>Active</t>
        </is>
      </c>
      <c r="H91" s="31" t="n"/>
      <c r="I91" s="32">
        <f>IF(OR($A91="",$G91&lt;&gt;"Active"),0,IF($H91&lt;&gt;"",$H91,IF($AO91&gt;0,$AP91,IF(AND($R91&lt;&gt;"",IFERROR(INDEX(Templates!$B$3:$H$10,MATCH($R91,Templates!$A$3:$A$10,0),MATCH($F91,Templates!$B$2:$H$2,0)),0)&gt;0),INDEX(Templates!$B$3:$H$10,MATCH($R91,Templates!$A$3:$A$10,0),MATCH($F91,Templates!$B$2:$H$2,0)),IFERROR(INDEX(Settings!$B$8:$B$14,MATCH($F91,Settings!$A$8:$A$14,0)),0)))))</f>
        <v/>
      </c>
      <c r="J91" s="21">
        <f>IF($C91="",0,IFERROR(INDEX(Deals!$H$2:$H$355,MATCH($C91,Deals!$A$2:$A$355,0)),0))</f>
        <v/>
      </c>
      <c r="K91" s="32">
        <f>IF(Settings!$B$4="Yes",$I91*$J91,$I91)</f>
        <v/>
      </c>
      <c r="L91" s="22">
        <f>IF($C91="","",IFERROR(IF(INDEX(Deals!$I$2:$I$355,MATCH($C91,Deals!$A$2:$A$355,0))=0,"",INDEX(Deals!$I$2:$I$355,MATCH($C91,Deals!$A$2:$A$355,0))),""))</f>
        <v/>
      </c>
      <c r="M91" s="22">
        <f>IF($C91="","",IFERROR(IF(INDEX(Deals!$J$2:$J$355,MATCH($C91,Deals!$A$2:$A$355,0))=0,"",INDEX(Deals!$J$2:$J$355,MATCH($C91,Deals!$A$2:$A$355,0))),""))</f>
        <v/>
      </c>
      <c r="N91" s="35">
        <f>IF($L91="",DATE(1900,1,1),$L91)</f>
        <v/>
      </c>
      <c r="O91" s="35">
        <f>IF($M91="",DATE(2100,12,31),$M91)</f>
        <v/>
      </c>
      <c r="P91" s="20" t="inlineStr"/>
      <c r="Q91" s="47" t="inlineStr"/>
      <c r="R91" s="16">
        <f>IF($C91="","",IFERROR(IF(INDEX(Deals!$U$2:$U$355,MATCH($C91,Deals!$A$2:$A$355,0))=0,"",INDEX(Deals!$U$2:$U$355,MATCH($C91,Deals!$A$2:$A$355,0))),""))</f>
        <v/>
      </c>
      <c r="S91" s="34">
        <f>IFERROR(IF($U91="",1,INDEX(Deals!$V$2:$V$355,MATCH($C91,Deals!$A$2:$A$355,0))),1)</f>
        <v/>
      </c>
      <c r="T91" s="34">
        <f>IFERROR(IF($U91="",1,INDEX(Deals!$W$2:$W$355,MATCH($C91,Deals!$A$2:$A$355,0))),1)</f>
        <v/>
      </c>
      <c r="U91" s="22">
        <f>IF($C91="","",IFERROR(IF(INDEX(Deals!$Y$2:$Y$355,MATCH($C91,Deals!$A$2:$A$355,0))=0,"",INDEX(Deals!$Y$2:$Y$355,MATCH($C91,Deals!$A$2:$A$355,0))),""))</f>
        <v/>
      </c>
      <c r="V91" s="35">
        <f>IF(OR($U91&lt;&gt;"",AND($AO91&gt;0,$L91&lt;&gt;"",$M91&lt;&gt;"")),$N91,DATE(1900,1,1))</f>
        <v/>
      </c>
      <c r="W91" s="35">
        <f>IF($U91&lt;&gt;"",$U91,IF(AND($AO91&gt;0,$L91&lt;&gt;"",$M91&lt;&gt;""),$O91,DATE(2100,12,31)))</f>
        <v/>
      </c>
      <c r="X91" s="32">
        <f>IF($U91="",$K91,$K91*$S91)</f>
        <v/>
      </c>
      <c r="Y91" s="35">
        <f>IF($U91="",DATE(2100,12,31),$U91+1)</f>
        <v/>
      </c>
      <c r="Z91" s="35">
        <f>IF($U91="",DATE(1900,1,1),$O91)</f>
        <v/>
      </c>
      <c r="AA91" s="32">
        <f>IF($U91="",0,$K91*$T91)</f>
        <v/>
      </c>
      <c r="AB91" s="21">
        <f>IF($C91="",0,IFERROR(INDEX(Deals!$AD$2:$AD$355,MATCH($C91,Deals!$A$2:$A$355,0)),0))</f>
        <v/>
      </c>
      <c r="AC91" s="32">
        <f>IF(Settings!$B$4="Yes",$I91*$AB91,$I91)</f>
        <v/>
      </c>
      <c r="AD91" s="22">
        <f>IF($C91="","",IFERROR(IF(INDEX(Deals!$AE$2:$AE$355,MATCH($C91,Deals!$A$2:$A$355,0))=0,"",INDEX(Deals!$AE$2:$AE$355,MATCH($C91,Deals!$A$2:$A$355,0))),""))</f>
        <v/>
      </c>
      <c r="AE91" s="22">
        <f>IF($C91="","",IFERROR(IF(INDEX(Deals!$AF$2:$AF$355,MATCH($C91,Deals!$A$2:$A$355,0))=0,"",INDEX(Deals!$AF$2:$AF$355,MATCH($C91,Deals!$A$2:$A$355,0))),""))</f>
        <v/>
      </c>
      <c r="AF91" s="35">
        <f>IF($AD91="",DATE(1900,1,1),$AD91)</f>
        <v/>
      </c>
      <c r="AG91" s="35">
        <f>IF($AE91="",DATE(2100,12,31),$AE91)</f>
        <v/>
      </c>
      <c r="AH91" s="22">
        <f>IF($C91="","",IFERROR(IF(INDEX(Deals!$AG$2:$AG$355,MATCH($C91,Deals!$A$2:$A$355,0))=0,"",INDEX(Deals!$AG$2:$AG$355,MATCH($C91,Deals!$A$2:$A$355,0))),""))</f>
        <v/>
      </c>
      <c r="AI91" s="35">
        <f>IF(OR($AH91&lt;&gt;"",AND($AO91&gt;0,$AD91&lt;&gt;"",$AE91&lt;&gt;"")),$AF91,DATE(1900,1,1))</f>
        <v/>
      </c>
      <c r="AJ91" s="35">
        <f>IF($AH91&lt;&gt;"",$AH91,IF(AND($AO91&gt;0,$AD91&lt;&gt;"",$AE91&lt;&gt;""),$AG91,DATE(2100,12,31)))</f>
        <v/>
      </c>
      <c r="AK91" s="32">
        <f>IF($AH91="",$AC91,$AC91*$S91)</f>
        <v/>
      </c>
      <c r="AL91" s="35">
        <f>IF($AH91="",DATE(2100,12,31),$AH91+1)</f>
        <v/>
      </c>
      <c r="AM91" s="35">
        <f>IF($AH91="",DATE(1900,1,1),$AG91)</f>
        <v/>
      </c>
      <c r="AN91" s="32">
        <f>IF($AH91="",0,$AC91*$T91)</f>
        <v/>
      </c>
      <c r="AO91" s="46">
        <f>IF($C91="",0,IFERROR(INDEX(Deals!$BD$2:$BD$355,MATCH($C91,Deals!$A$2:$A$355,0)),0))</f>
        <v/>
      </c>
      <c r="AP91" s="18">
        <f>IF($AO91=0,0,IFERROR(INDEX(Deals!$BJ$2:$BP$355,MATCH($C91,Deals!$A$2:$A$355,0),MATCH($F91,Deals!$BJ$1:$BP$1,0))/COUNTIFS(Assignments!$C$2:$C$769,$C91,Assignments!$F$2:$F$769,$F91,Assignments!$G$2:$G$769,"Active"),0))</f>
        <v/>
      </c>
    </row>
    <row r="92">
      <c r="A92" s="28" t="inlineStr">
        <is>
          <t>Will B. W.</t>
        </is>
      </c>
      <c r="B92" s="16">
        <f>IF($A92="","",IFERROR(INDEX(Roster!$B$2:$B$40,MATCH($A92,Roster!$A$2:$A$40,0)),"?"))</f>
        <v/>
      </c>
      <c r="C92" s="28" t="inlineStr">
        <is>
          <t>Gemini</t>
        </is>
      </c>
      <c r="D92" s="16">
        <f>IF($C92="","",IFERROR(IF(INDEX(Deals!$C$2:$C$355,MATCH($C92,Deals!$A$2:$A$355,0))=0,"",INDEX(Deals!$C$2:$C$355,MATCH($C92,Deals!$A$2:$A$355,0))),"?"))</f>
        <v/>
      </c>
      <c r="E92" s="16">
        <f>IF($C92="","",IFERROR(INDEX(Deals!$F$2:$F$355,MATCH($C92,Deals!$A$2:$A$355,0)),"?"))</f>
        <v/>
      </c>
      <c r="F92" s="28" t="inlineStr">
        <is>
          <t>Partner</t>
        </is>
      </c>
      <c r="G92" s="28" t="inlineStr">
        <is>
          <t>Active</t>
        </is>
      </c>
      <c r="H92" s="31" t="n"/>
      <c r="I92" s="32">
        <f>IF(OR($A92="",$G92&lt;&gt;"Active"),0,IF($H92&lt;&gt;"",$H92,IF($AO92&gt;0,$AP92,IF(AND($R92&lt;&gt;"",IFERROR(INDEX(Templates!$B$3:$H$10,MATCH($R92,Templates!$A$3:$A$10,0),MATCH($F92,Templates!$B$2:$H$2,0)),0)&gt;0),INDEX(Templates!$B$3:$H$10,MATCH($R92,Templates!$A$3:$A$10,0),MATCH($F92,Templates!$B$2:$H$2,0)),IFERROR(INDEX(Settings!$B$8:$B$14,MATCH($F92,Settings!$A$8:$A$14,0)),0)))))</f>
        <v/>
      </c>
      <c r="J92" s="21">
        <f>IF($C92="",0,IFERROR(INDEX(Deals!$H$2:$H$355,MATCH($C92,Deals!$A$2:$A$355,0)),0))</f>
        <v/>
      </c>
      <c r="K92" s="32">
        <f>IF(Settings!$B$4="Yes",$I92*$J92,$I92)</f>
        <v/>
      </c>
      <c r="L92" s="22">
        <f>IF($C92="","",IFERROR(IF(INDEX(Deals!$I$2:$I$355,MATCH($C92,Deals!$A$2:$A$355,0))=0,"",INDEX(Deals!$I$2:$I$355,MATCH($C92,Deals!$A$2:$A$355,0))),""))</f>
        <v/>
      </c>
      <c r="M92" s="22">
        <f>IF($C92="","",IFERROR(IF(INDEX(Deals!$J$2:$J$355,MATCH($C92,Deals!$A$2:$A$355,0))=0,"",INDEX(Deals!$J$2:$J$355,MATCH($C92,Deals!$A$2:$A$355,0))),""))</f>
        <v/>
      </c>
      <c r="N92" s="35">
        <f>IF($L92="",DATE(1900,1,1),$L92)</f>
        <v/>
      </c>
      <c r="O92" s="35">
        <f>IF($M92="",DATE(2100,12,31),$M92)</f>
        <v/>
      </c>
      <c r="P92" s="20" t="inlineStr"/>
      <c r="Q92" s="47" t="inlineStr"/>
      <c r="R92" s="16">
        <f>IF($C92="","",IFERROR(IF(INDEX(Deals!$U$2:$U$355,MATCH($C92,Deals!$A$2:$A$355,0))=0,"",INDEX(Deals!$U$2:$U$355,MATCH($C92,Deals!$A$2:$A$355,0))),""))</f>
        <v/>
      </c>
      <c r="S92" s="34">
        <f>IFERROR(IF($U92="",1,INDEX(Deals!$V$2:$V$355,MATCH($C92,Deals!$A$2:$A$355,0))),1)</f>
        <v/>
      </c>
      <c r="T92" s="34">
        <f>IFERROR(IF($U92="",1,INDEX(Deals!$W$2:$W$355,MATCH($C92,Deals!$A$2:$A$355,0))),1)</f>
        <v/>
      </c>
      <c r="U92" s="22">
        <f>IF($C92="","",IFERROR(IF(INDEX(Deals!$Y$2:$Y$355,MATCH($C92,Deals!$A$2:$A$355,0))=0,"",INDEX(Deals!$Y$2:$Y$355,MATCH($C92,Deals!$A$2:$A$355,0))),""))</f>
        <v/>
      </c>
      <c r="V92" s="35">
        <f>IF(OR($U92&lt;&gt;"",AND($AO92&gt;0,$L92&lt;&gt;"",$M92&lt;&gt;"")),$N92,DATE(1900,1,1))</f>
        <v/>
      </c>
      <c r="W92" s="35">
        <f>IF($U92&lt;&gt;"",$U92,IF(AND($AO92&gt;0,$L92&lt;&gt;"",$M92&lt;&gt;""),$O92,DATE(2100,12,31)))</f>
        <v/>
      </c>
      <c r="X92" s="32">
        <f>IF($U92="",$K92,$K92*$S92)</f>
        <v/>
      </c>
      <c r="Y92" s="35">
        <f>IF($U92="",DATE(2100,12,31),$U92+1)</f>
        <v/>
      </c>
      <c r="Z92" s="35">
        <f>IF($U92="",DATE(1900,1,1),$O92)</f>
        <v/>
      </c>
      <c r="AA92" s="32">
        <f>IF($U92="",0,$K92*$T92)</f>
        <v/>
      </c>
      <c r="AB92" s="21">
        <f>IF($C92="",0,IFERROR(INDEX(Deals!$AD$2:$AD$355,MATCH($C92,Deals!$A$2:$A$355,0)),0))</f>
        <v/>
      </c>
      <c r="AC92" s="32">
        <f>IF(Settings!$B$4="Yes",$I92*$AB92,$I92)</f>
        <v/>
      </c>
      <c r="AD92" s="22">
        <f>IF($C92="","",IFERROR(IF(INDEX(Deals!$AE$2:$AE$355,MATCH($C92,Deals!$A$2:$A$355,0))=0,"",INDEX(Deals!$AE$2:$AE$355,MATCH($C92,Deals!$A$2:$A$355,0))),""))</f>
        <v/>
      </c>
      <c r="AE92" s="22">
        <f>IF($C92="","",IFERROR(IF(INDEX(Deals!$AF$2:$AF$355,MATCH($C92,Deals!$A$2:$A$355,0))=0,"",INDEX(Deals!$AF$2:$AF$355,MATCH($C92,Deals!$A$2:$A$355,0))),""))</f>
        <v/>
      </c>
      <c r="AF92" s="35">
        <f>IF($AD92="",DATE(1900,1,1),$AD92)</f>
        <v/>
      </c>
      <c r="AG92" s="35">
        <f>IF($AE92="",DATE(2100,12,31),$AE92)</f>
        <v/>
      </c>
      <c r="AH92" s="22">
        <f>IF($C92="","",IFERROR(IF(INDEX(Deals!$AG$2:$AG$355,MATCH($C92,Deals!$A$2:$A$355,0))=0,"",INDEX(Deals!$AG$2:$AG$355,MATCH($C92,Deals!$A$2:$A$355,0))),""))</f>
        <v/>
      </c>
      <c r="AI92" s="35">
        <f>IF(OR($AH92&lt;&gt;"",AND($AO92&gt;0,$AD92&lt;&gt;"",$AE92&lt;&gt;"")),$AF92,DATE(1900,1,1))</f>
        <v/>
      </c>
      <c r="AJ92" s="35">
        <f>IF($AH92&lt;&gt;"",$AH92,IF(AND($AO92&gt;0,$AD92&lt;&gt;"",$AE92&lt;&gt;""),$AG92,DATE(2100,12,31)))</f>
        <v/>
      </c>
      <c r="AK92" s="32">
        <f>IF($AH92="",$AC92,$AC92*$S92)</f>
        <v/>
      </c>
      <c r="AL92" s="35">
        <f>IF($AH92="",DATE(2100,12,31),$AH92+1)</f>
        <v/>
      </c>
      <c r="AM92" s="35">
        <f>IF($AH92="",DATE(1900,1,1),$AG92)</f>
        <v/>
      </c>
      <c r="AN92" s="32">
        <f>IF($AH92="",0,$AC92*$T92)</f>
        <v/>
      </c>
      <c r="AO92" s="46">
        <f>IF($C92="",0,IFERROR(INDEX(Deals!$BD$2:$BD$355,MATCH($C92,Deals!$A$2:$A$355,0)),0))</f>
        <v/>
      </c>
      <c r="AP92" s="18">
        <f>IF($AO92=0,0,IFERROR(INDEX(Deals!$BJ$2:$BP$355,MATCH($C92,Deals!$A$2:$A$355,0),MATCH($F92,Deals!$BJ$1:$BP$1,0))/COUNTIFS(Assignments!$C$2:$C$769,$C92,Assignments!$F$2:$F$769,$F92,Assignments!$G$2:$G$769,"Active"),0))</f>
        <v/>
      </c>
    </row>
    <row r="93">
      <c r="A93" s="28" t="inlineStr">
        <is>
          <t>Will B. W.</t>
        </is>
      </c>
      <c r="B93" s="16">
        <f>IF($A93="","",IFERROR(INDEX(Roster!$B$2:$B$40,MATCH($A93,Roster!$A$2:$A$40,0)),"?"))</f>
        <v/>
      </c>
      <c r="C93" s="28" t="inlineStr">
        <is>
          <t>Graitec Reorg_2</t>
        </is>
      </c>
      <c r="D93" s="16">
        <f>IF($C93="","",IFERROR(IF(INDEX(Deals!$C$2:$C$355,MATCH($C93,Deals!$A$2:$A$355,0))=0,"",INDEX(Deals!$C$2:$C$355,MATCH($C93,Deals!$A$2:$A$355,0))),"?"))</f>
        <v/>
      </c>
      <c r="E93" s="16">
        <f>IF($C93="","",IFERROR(INDEX(Deals!$F$2:$F$355,MATCH($C93,Deals!$A$2:$A$355,0)),"?"))</f>
        <v/>
      </c>
      <c r="F93" s="28" t="inlineStr">
        <is>
          <t>Partner</t>
        </is>
      </c>
      <c r="G93" s="28" t="inlineStr">
        <is>
          <t>Active</t>
        </is>
      </c>
      <c r="H93" s="31" t="n"/>
      <c r="I93" s="32">
        <f>IF(OR($A93="",$G93&lt;&gt;"Active"),0,IF($H93&lt;&gt;"",$H93,IF($AO93&gt;0,$AP93,IF(AND($R93&lt;&gt;"",IFERROR(INDEX(Templates!$B$3:$H$10,MATCH($R93,Templates!$A$3:$A$10,0),MATCH($F93,Templates!$B$2:$H$2,0)),0)&gt;0),INDEX(Templates!$B$3:$H$10,MATCH($R93,Templates!$A$3:$A$10,0),MATCH($F93,Templates!$B$2:$H$2,0)),IFERROR(INDEX(Settings!$B$8:$B$14,MATCH($F93,Settings!$A$8:$A$14,0)),0)))))</f>
        <v/>
      </c>
      <c r="J93" s="21">
        <f>IF($C93="",0,IFERROR(INDEX(Deals!$H$2:$H$355,MATCH($C93,Deals!$A$2:$A$355,0)),0))</f>
        <v/>
      </c>
      <c r="K93" s="32">
        <f>IF(Settings!$B$4="Yes",$I93*$J93,$I93)</f>
        <v/>
      </c>
      <c r="L93" s="22">
        <f>IF($C93="","",IFERROR(IF(INDEX(Deals!$I$2:$I$355,MATCH($C93,Deals!$A$2:$A$355,0))=0,"",INDEX(Deals!$I$2:$I$355,MATCH($C93,Deals!$A$2:$A$355,0))),""))</f>
        <v/>
      </c>
      <c r="M93" s="22">
        <f>IF($C93="","",IFERROR(IF(INDEX(Deals!$J$2:$J$355,MATCH($C93,Deals!$A$2:$A$355,0))=0,"",INDEX(Deals!$J$2:$J$355,MATCH($C93,Deals!$A$2:$A$355,0))),""))</f>
        <v/>
      </c>
      <c r="N93" s="35">
        <f>IF($L93="",DATE(1900,1,1),$L93)</f>
        <v/>
      </c>
      <c r="O93" s="35">
        <f>IF($M93="",DATE(2100,12,31),$M93)</f>
        <v/>
      </c>
      <c r="P93" s="20" t="inlineStr"/>
      <c r="Q93" s="47" t="inlineStr"/>
      <c r="R93" s="16">
        <f>IF($C93="","",IFERROR(IF(INDEX(Deals!$U$2:$U$355,MATCH($C93,Deals!$A$2:$A$355,0))=0,"",INDEX(Deals!$U$2:$U$355,MATCH($C93,Deals!$A$2:$A$355,0))),""))</f>
        <v/>
      </c>
      <c r="S93" s="34">
        <f>IFERROR(IF($U93="",1,INDEX(Deals!$V$2:$V$355,MATCH($C93,Deals!$A$2:$A$355,0))),1)</f>
        <v/>
      </c>
      <c r="T93" s="34">
        <f>IFERROR(IF($U93="",1,INDEX(Deals!$W$2:$W$355,MATCH($C93,Deals!$A$2:$A$355,0))),1)</f>
        <v/>
      </c>
      <c r="U93" s="22">
        <f>IF($C93="","",IFERROR(IF(INDEX(Deals!$Y$2:$Y$355,MATCH($C93,Deals!$A$2:$A$355,0))=0,"",INDEX(Deals!$Y$2:$Y$355,MATCH($C93,Deals!$A$2:$A$355,0))),""))</f>
        <v/>
      </c>
      <c r="V93" s="35">
        <f>IF(OR($U93&lt;&gt;"",AND($AO93&gt;0,$L93&lt;&gt;"",$M93&lt;&gt;"")),$N93,DATE(1900,1,1))</f>
        <v/>
      </c>
      <c r="W93" s="35">
        <f>IF($U93&lt;&gt;"",$U93,IF(AND($AO93&gt;0,$L93&lt;&gt;"",$M93&lt;&gt;""),$O93,DATE(2100,12,31)))</f>
        <v/>
      </c>
      <c r="X93" s="32">
        <f>IF($U93="",$K93,$K93*$S93)</f>
        <v/>
      </c>
      <c r="Y93" s="35">
        <f>IF($U93="",DATE(2100,12,31),$U93+1)</f>
        <v/>
      </c>
      <c r="Z93" s="35">
        <f>IF($U93="",DATE(1900,1,1),$O93)</f>
        <v/>
      </c>
      <c r="AA93" s="32">
        <f>IF($U93="",0,$K93*$T93)</f>
        <v/>
      </c>
      <c r="AB93" s="21">
        <f>IF($C93="",0,IFERROR(INDEX(Deals!$AD$2:$AD$355,MATCH($C93,Deals!$A$2:$A$355,0)),0))</f>
        <v/>
      </c>
      <c r="AC93" s="32">
        <f>IF(Settings!$B$4="Yes",$I93*$AB93,$I93)</f>
        <v/>
      </c>
      <c r="AD93" s="22">
        <f>IF($C93="","",IFERROR(IF(INDEX(Deals!$AE$2:$AE$355,MATCH($C93,Deals!$A$2:$A$355,0))=0,"",INDEX(Deals!$AE$2:$AE$355,MATCH($C93,Deals!$A$2:$A$355,0))),""))</f>
        <v/>
      </c>
      <c r="AE93" s="22">
        <f>IF($C93="","",IFERROR(IF(INDEX(Deals!$AF$2:$AF$355,MATCH($C93,Deals!$A$2:$A$355,0))=0,"",INDEX(Deals!$AF$2:$AF$355,MATCH($C93,Deals!$A$2:$A$355,0))),""))</f>
        <v/>
      </c>
      <c r="AF93" s="35">
        <f>IF($AD93="",DATE(1900,1,1),$AD93)</f>
        <v/>
      </c>
      <c r="AG93" s="35">
        <f>IF($AE93="",DATE(2100,12,31),$AE93)</f>
        <v/>
      </c>
      <c r="AH93" s="22">
        <f>IF($C93="","",IFERROR(IF(INDEX(Deals!$AG$2:$AG$355,MATCH($C93,Deals!$A$2:$A$355,0))=0,"",INDEX(Deals!$AG$2:$AG$355,MATCH($C93,Deals!$A$2:$A$355,0))),""))</f>
        <v/>
      </c>
      <c r="AI93" s="35">
        <f>IF(OR($AH93&lt;&gt;"",AND($AO93&gt;0,$AD93&lt;&gt;"",$AE93&lt;&gt;"")),$AF93,DATE(1900,1,1))</f>
        <v/>
      </c>
      <c r="AJ93" s="35">
        <f>IF($AH93&lt;&gt;"",$AH93,IF(AND($AO93&gt;0,$AD93&lt;&gt;"",$AE93&lt;&gt;""),$AG93,DATE(2100,12,31)))</f>
        <v/>
      </c>
      <c r="AK93" s="32">
        <f>IF($AH93="",$AC93,$AC93*$S93)</f>
        <v/>
      </c>
      <c r="AL93" s="35">
        <f>IF($AH93="",DATE(2100,12,31),$AH93+1)</f>
        <v/>
      </c>
      <c r="AM93" s="35">
        <f>IF($AH93="",DATE(1900,1,1),$AG93)</f>
        <v/>
      </c>
      <c r="AN93" s="32">
        <f>IF($AH93="",0,$AC93*$T93)</f>
        <v/>
      </c>
      <c r="AO93" s="46">
        <f>IF($C93="",0,IFERROR(INDEX(Deals!$BD$2:$BD$355,MATCH($C93,Deals!$A$2:$A$355,0)),0))</f>
        <v/>
      </c>
      <c r="AP93" s="18">
        <f>IF($AO93=0,0,IFERROR(INDEX(Deals!$BJ$2:$BP$355,MATCH($C93,Deals!$A$2:$A$355,0),MATCH($F93,Deals!$BJ$1:$BP$1,0))/COUNTIFS(Assignments!$C$2:$C$769,$C93,Assignments!$F$2:$F$769,$F93,Assignments!$G$2:$G$769,"Active"),0))</f>
        <v/>
      </c>
    </row>
    <row r="94">
      <c r="A94" s="28" t="inlineStr">
        <is>
          <t>Will B. W.</t>
        </is>
      </c>
      <c r="B94" s="16">
        <f>IF($A94="","",IFERROR(INDEX(Roster!$B$2:$B$40,MATCH($A94,Roster!$A$2:$A$40,0)),"?"))</f>
        <v/>
      </c>
      <c r="C94" s="28" t="inlineStr">
        <is>
          <t>Kentucky_1</t>
        </is>
      </c>
      <c r="D94" s="16">
        <f>IF($C94="","",IFERROR(IF(INDEX(Deals!$C$2:$C$355,MATCH($C94,Deals!$A$2:$A$355,0))=0,"",INDEX(Deals!$C$2:$C$355,MATCH($C94,Deals!$A$2:$A$355,0))),"?"))</f>
        <v/>
      </c>
      <c r="E94" s="16">
        <f>IF($C94="","",IFERROR(INDEX(Deals!$F$2:$F$355,MATCH($C94,Deals!$A$2:$A$355,0)),"?"))</f>
        <v/>
      </c>
      <c r="F94" s="28" t="inlineStr">
        <is>
          <t>Partner</t>
        </is>
      </c>
      <c r="G94" s="28" t="inlineStr">
        <is>
          <t>Active</t>
        </is>
      </c>
      <c r="H94" s="31" t="n"/>
      <c r="I94" s="32">
        <f>IF(OR($A94="",$G94&lt;&gt;"Active"),0,IF($H94&lt;&gt;"",$H94,IF($AO94&gt;0,$AP94,IF(AND($R94&lt;&gt;"",IFERROR(INDEX(Templates!$B$3:$H$10,MATCH($R94,Templates!$A$3:$A$10,0),MATCH($F94,Templates!$B$2:$H$2,0)),0)&gt;0),INDEX(Templates!$B$3:$H$10,MATCH($R94,Templates!$A$3:$A$10,0),MATCH($F94,Templates!$B$2:$H$2,0)),IFERROR(INDEX(Settings!$B$8:$B$14,MATCH($F94,Settings!$A$8:$A$14,0)),0)))))</f>
        <v/>
      </c>
      <c r="J94" s="21">
        <f>IF($C94="",0,IFERROR(INDEX(Deals!$H$2:$H$355,MATCH($C94,Deals!$A$2:$A$355,0)),0))</f>
        <v/>
      </c>
      <c r="K94" s="32">
        <f>IF(Settings!$B$4="Yes",$I94*$J94,$I94)</f>
        <v/>
      </c>
      <c r="L94" s="22">
        <f>IF($C94="","",IFERROR(IF(INDEX(Deals!$I$2:$I$355,MATCH($C94,Deals!$A$2:$A$355,0))=0,"",INDEX(Deals!$I$2:$I$355,MATCH($C94,Deals!$A$2:$A$355,0))),""))</f>
        <v/>
      </c>
      <c r="M94" s="22">
        <f>IF($C94="","",IFERROR(IF(INDEX(Deals!$J$2:$J$355,MATCH($C94,Deals!$A$2:$A$355,0))=0,"",INDEX(Deals!$J$2:$J$355,MATCH($C94,Deals!$A$2:$A$355,0))),""))</f>
        <v/>
      </c>
      <c r="N94" s="35">
        <f>IF($L94="",DATE(1900,1,1),$L94)</f>
        <v/>
      </c>
      <c r="O94" s="35">
        <f>IF($M94="",DATE(2100,12,31),$M94)</f>
        <v/>
      </c>
      <c r="P94" s="20" t="inlineStr"/>
      <c r="Q94" s="47" t="inlineStr"/>
      <c r="R94" s="16">
        <f>IF($C94="","",IFERROR(IF(INDEX(Deals!$U$2:$U$355,MATCH($C94,Deals!$A$2:$A$355,0))=0,"",INDEX(Deals!$U$2:$U$355,MATCH($C94,Deals!$A$2:$A$355,0))),""))</f>
        <v/>
      </c>
      <c r="S94" s="34">
        <f>IFERROR(IF($U94="",1,INDEX(Deals!$V$2:$V$355,MATCH($C94,Deals!$A$2:$A$355,0))),1)</f>
        <v/>
      </c>
      <c r="T94" s="34">
        <f>IFERROR(IF($U94="",1,INDEX(Deals!$W$2:$W$355,MATCH($C94,Deals!$A$2:$A$355,0))),1)</f>
        <v/>
      </c>
      <c r="U94" s="22">
        <f>IF($C94="","",IFERROR(IF(INDEX(Deals!$Y$2:$Y$355,MATCH($C94,Deals!$A$2:$A$355,0))=0,"",INDEX(Deals!$Y$2:$Y$355,MATCH($C94,Deals!$A$2:$A$355,0))),""))</f>
        <v/>
      </c>
      <c r="V94" s="35">
        <f>IF(OR($U94&lt;&gt;"",AND($AO94&gt;0,$L94&lt;&gt;"",$M94&lt;&gt;"")),$N94,DATE(1900,1,1))</f>
        <v/>
      </c>
      <c r="W94" s="35">
        <f>IF($U94&lt;&gt;"",$U94,IF(AND($AO94&gt;0,$L94&lt;&gt;"",$M94&lt;&gt;""),$O94,DATE(2100,12,31)))</f>
        <v/>
      </c>
      <c r="X94" s="32">
        <f>IF($U94="",$K94,$K94*$S94)</f>
        <v/>
      </c>
      <c r="Y94" s="35">
        <f>IF($U94="",DATE(2100,12,31),$U94+1)</f>
        <v/>
      </c>
      <c r="Z94" s="35">
        <f>IF($U94="",DATE(1900,1,1),$O94)</f>
        <v/>
      </c>
      <c r="AA94" s="32">
        <f>IF($U94="",0,$K94*$T94)</f>
        <v/>
      </c>
      <c r="AB94" s="21">
        <f>IF($C94="",0,IFERROR(INDEX(Deals!$AD$2:$AD$355,MATCH($C94,Deals!$A$2:$A$355,0)),0))</f>
        <v/>
      </c>
      <c r="AC94" s="32">
        <f>IF(Settings!$B$4="Yes",$I94*$AB94,$I94)</f>
        <v/>
      </c>
      <c r="AD94" s="22">
        <f>IF($C94="","",IFERROR(IF(INDEX(Deals!$AE$2:$AE$355,MATCH($C94,Deals!$A$2:$A$355,0))=0,"",INDEX(Deals!$AE$2:$AE$355,MATCH($C94,Deals!$A$2:$A$355,0))),""))</f>
        <v/>
      </c>
      <c r="AE94" s="22">
        <f>IF($C94="","",IFERROR(IF(INDEX(Deals!$AF$2:$AF$355,MATCH($C94,Deals!$A$2:$A$355,0))=0,"",INDEX(Deals!$AF$2:$AF$355,MATCH($C94,Deals!$A$2:$A$355,0))),""))</f>
        <v/>
      </c>
      <c r="AF94" s="35">
        <f>IF($AD94="",DATE(1900,1,1),$AD94)</f>
        <v/>
      </c>
      <c r="AG94" s="35">
        <f>IF($AE94="",DATE(2100,12,31),$AE94)</f>
        <v/>
      </c>
      <c r="AH94" s="22">
        <f>IF($C94="","",IFERROR(IF(INDEX(Deals!$AG$2:$AG$355,MATCH($C94,Deals!$A$2:$A$355,0))=0,"",INDEX(Deals!$AG$2:$AG$355,MATCH($C94,Deals!$A$2:$A$355,0))),""))</f>
        <v/>
      </c>
      <c r="AI94" s="35">
        <f>IF(OR($AH94&lt;&gt;"",AND($AO94&gt;0,$AD94&lt;&gt;"",$AE94&lt;&gt;"")),$AF94,DATE(1900,1,1))</f>
        <v/>
      </c>
      <c r="AJ94" s="35">
        <f>IF($AH94&lt;&gt;"",$AH94,IF(AND($AO94&gt;0,$AD94&lt;&gt;"",$AE94&lt;&gt;""),$AG94,DATE(2100,12,31)))</f>
        <v/>
      </c>
      <c r="AK94" s="32">
        <f>IF($AH94="",$AC94,$AC94*$S94)</f>
        <v/>
      </c>
      <c r="AL94" s="35">
        <f>IF($AH94="",DATE(2100,12,31),$AH94+1)</f>
        <v/>
      </c>
      <c r="AM94" s="35">
        <f>IF($AH94="",DATE(1900,1,1),$AG94)</f>
        <v/>
      </c>
      <c r="AN94" s="32">
        <f>IF($AH94="",0,$AC94*$T94)</f>
        <v/>
      </c>
      <c r="AO94" s="46">
        <f>IF($C94="",0,IFERROR(INDEX(Deals!$BD$2:$BD$355,MATCH($C94,Deals!$A$2:$A$355,0)),0))</f>
        <v/>
      </c>
      <c r="AP94" s="18">
        <f>IF($AO94=0,0,IFERROR(INDEX(Deals!$BJ$2:$BP$355,MATCH($C94,Deals!$A$2:$A$355,0),MATCH($F94,Deals!$BJ$1:$BP$1,0))/COUNTIFS(Assignments!$C$2:$C$769,$C94,Assignments!$F$2:$F$769,$F94,Assignments!$G$2:$G$769,"Active"),0))</f>
        <v/>
      </c>
    </row>
    <row r="95">
      <c r="A95" s="28" t="inlineStr">
        <is>
          <t>Will B. W.</t>
        </is>
      </c>
      <c r="B95" s="16">
        <f>IF($A95="","",IFERROR(INDEX(Roster!$B$2:$B$40,MATCH($A95,Roster!$A$2:$A$40,0)),"?"))</f>
        <v/>
      </c>
      <c r="C95" s="28" t="inlineStr">
        <is>
          <t>Nexus_6</t>
        </is>
      </c>
      <c r="D95" s="16">
        <f>IF($C95="","",IFERROR(IF(INDEX(Deals!$C$2:$C$355,MATCH($C95,Deals!$A$2:$A$355,0))=0,"",INDEX(Deals!$C$2:$C$355,MATCH($C95,Deals!$A$2:$A$355,0))),"?"))</f>
        <v/>
      </c>
      <c r="E95" s="16">
        <f>IF($C95="","",IFERROR(INDEX(Deals!$F$2:$F$355,MATCH($C95,Deals!$A$2:$A$355,0)),"?"))</f>
        <v/>
      </c>
      <c r="F95" s="28" t="inlineStr">
        <is>
          <t>Partner</t>
        </is>
      </c>
      <c r="G95" s="28" t="inlineStr">
        <is>
          <t>Active</t>
        </is>
      </c>
      <c r="H95" s="31" t="n"/>
      <c r="I95" s="32">
        <f>IF(OR($A95="",$G95&lt;&gt;"Active"),0,IF($H95&lt;&gt;"",$H95,IF($AO95&gt;0,$AP95,IF(AND($R95&lt;&gt;"",IFERROR(INDEX(Templates!$B$3:$H$10,MATCH($R95,Templates!$A$3:$A$10,0),MATCH($F95,Templates!$B$2:$H$2,0)),0)&gt;0),INDEX(Templates!$B$3:$H$10,MATCH($R95,Templates!$A$3:$A$10,0),MATCH($F95,Templates!$B$2:$H$2,0)),IFERROR(INDEX(Settings!$B$8:$B$14,MATCH($F95,Settings!$A$8:$A$14,0)),0)))))</f>
        <v/>
      </c>
      <c r="J95" s="21">
        <f>IF($C95="",0,IFERROR(INDEX(Deals!$H$2:$H$355,MATCH($C95,Deals!$A$2:$A$355,0)),0))</f>
        <v/>
      </c>
      <c r="K95" s="32">
        <f>IF(Settings!$B$4="Yes",$I95*$J95,$I95)</f>
        <v/>
      </c>
      <c r="L95" s="22">
        <f>IF($C95="","",IFERROR(IF(INDEX(Deals!$I$2:$I$355,MATCH($C95,Deals!$A$2:$A$355,0))=0,"",INDEX(Deals!$I$2:$I$355,MATCH($C95,Deals!$A$2:$A$355,0))),""))</f>
        <v/>
      </c>
      <c r="M95" s="22">
        <f>IF($C95="","",IFERROR(IF(INDEX(Deals!$J$2:$J$355,MATCH($C95,Deals!$A$2:$A$355,0))=0,"",INDEX(Deals!$J$2:$J$355,MATCH($C95,Deals!$A$2:$A$355,0))),""))</f>
        <v/>
      </c>
      <c r="N95" s="35">
        <f>IF($L95="",DATE(1900,1,1),$L95)</f>
        <v/>
      </c>
      <c r="O95" s="35">
        <f>IF($M95="",DATE(2100,12,31),$M95)</f>
        <v/>
      </c>
      <c r="P95" s="20" t="inlineStr"/>
      <c r="Q95" s="47" t="inlineStr"/>
      <c r="R95" s="16">
        <f>IF($C95="","",IFERROR(IF(INDEX(Deals!$U$2:$U$355,MATCH($C95,Deals!$A$2:$A$355,0))=0,"",INDEX(Deals!$U$2:$U$355,MATCH($C95,Deals!$A$2:$A$355,0))),""))</f>
        <v/>
      </c>
      <c r="S95" s="34">
        <f>IFERROR(IF($U95="",1,INDEX(Deals!$V$2:$V$355,MATCH($C95,Deals!$A$2:$A$355,0))),1)</f>
        <v/>
      </c>
      <c r="T95" s="34">
        <f>IFERROR(IF($U95="",1,INDEX(Deals!$W$2:$W$355,MATCH($C95,Deals!$A$2:$A$355,0))),1)</f>
        <v/>
      </c>
      <c r="U95" s="22">
        <f>IF($C95="","",IFERROR(IF(INDEX(Deals!$Y$2:$Y$355,MATCH($C95,Deals!$A$2:$A$355,0))=0,"",INDEX(Deals!$Y$2:$Y$355,MATCH($C95,Deals!$A$2:$A$355,0))),""))</f>
        <v/>
      </c>
      <c r="V95" s="35">
        <f>IF(OR($U95&lt;&gt;"",AND($AO95&gt;0,$L95&lt;&gt;"",$M95&lt;&gt;"")),$N95,DATE(1900,1,1))</f>
        <v/>
      </c>
      <c r="W95" s="35">
        <f>IF($U95&lt;&gt;"",$U95,IF(AND($AO95&gt;0,$L95&lt;&gt;"",$M95&lt;&gt;""),$O95,DATE(2100,12,31)))</f>
        <v/>
      </c>
      <c r="X95" s="32">
        <f>IF($U95="",$K95,$K95*$S95)</f>
        <v/>
      </c>
      <c r="Y95" s="35">
        <f>IF($U95="",DATE(2100,12,31),$U95+1)</f>
        <v/>
      </c>
      <c r="Z95" s="35">
        <f>IF($U95="",DATE(1900,1,1),$O95)</f>
        <v/>
      </c>
      <c r="AA95" s="32">
        <f>IF($U95="",0,$K95*$T95)</f>
        <v/>
      </c>
      <c r="AB95" s="21">
        <f>IF($C95="",0,IFERROR(INDEX(Deals!$AD$2:$AD$355,MATCH($C95,Deals!$A$2:$A$355,0)),0))</f>
        <v/>
      </c>
      <c r="AC95" s="32">
        <f>IF(Settings!$B$4="Yes",$I95*$AB95,$I95)</f>
        <v/>
      </c>
      <c r="AD95" s="22">
        <f>IF($C95="","",IFERROR(IF(INDEX(Deals!$AE$2:$AE$355,MATCH($C95,Deals!$A$2:$A$355,0))=0,"",INDEX(Deals!$AE$2:$AE$355,MATCH($C95,Deals!$A$2:$A$355,0))),""))</f>
        <v/>
      </c>
      <c r="AE95" s="22">
        <f>IF($C95="","",IFERROR(IF(INDEX(Deals!$AF$2:$AF$355,MATCH($C95,Deals!$A$2:$A$355,0))=0,"",INDEX(Deals!$AF$2:$AF$355,MATCH($C95,Deals!$A$2:$A$355,0))),""))</f>
        <v/>
      </c>
      <c r="AF95" s="35">
        <f>IF($AD95="",DATE(1900,1,1),$AD95)</f>
        <v/>
      </c>
      <c r="AG95" s="35">
        <f>IF($AE95="",DATE(2100,12,31),$AE95)</f>
        <v/>
      </c>
      <c r="AH95" s="22">
        <f>IF($C95="","",IFERROR(IF(INDEX(Deals!$AG$2:$AG$355,MATCH($C95,Deals!$A$2:$A$355,0))=0,"",INDEX(Deals!$AG$2:$AG$355,MATCH($C95,Deals!$A$2:$A$355,0))),""))</f>
        <v/>
      </c>
      <c r="AI95" s="35">
        <f>IF(OR($AH95&lt;&gt;"",AND($AO95&gt;0,$AD95&lt;&gt;"",$AE95&lt;&gt;"")),$AF95,DATE(1900,1,1))</f>
        <v/>
      </c>
      <c r="AJ95" s="35">
        <f>IF($AH95&lt;&gt;"",$AH95,IF(AND($AO95&gt;0,$AD95&lt;&gt;"",$AE95&lt;&gt;""),$AG95,DATE(2100,12,31)))</f>
        <v/>
      </c>
      <c r="AK95" s="32">
        <f>IF($AH95="",$AC95,$AC95*$S95)</f>
        <v/>
      </c>
      <c r="AL95" s="35">
        <f>IF($AH95="",DATE(2100,12,31),$AH95+1)</f>
        <v/>
      </c>
      <c r="AM95" s="35">
        <f>IF($AH95="",DATE(1900,1,1),$AG95)</f>
        <v/>
      </c>
      <c r="AN95" s="32">
        <f>IF($AH95="",0,$AC95*$T95)</f>
        <v/>
      </c>
      <c r="AO95" s="46">
        <f>IF($C95="",0,IFERROR(INDEX(Deals!$BD$2:$BD$355,MATCH($C95,Deals!$A$2:$A$355,0)),0))</f>
        <v/>
      </c>
      <c r="AP95" s="18">
        <f>IF($AO95=0,0,IFERROR(INDEX(Deals!$BJ$2:$BP$355,MATCH($C95,Deals!$A$2:$A$355,0),MATCH($F95,Deals!$BJ$1:$BP$1,0))/COUNTIFS(Assignments!$C$2:$C$769,$C95,Assignments!$F$2:$F$769,$F95,Assignments!$G$2:$G$769,"Active"),0))</f>
        <v/>
      </c>
    </row>
    <row r="96">
      <c r="A96" s="28" t="inlineStr">
        <is>
          <t>Will B. W.</t>
        </is>
      </c>
      <c r="B96" s="16">
        <f>IF($A96="","",IFERROR(INDEX(Roster!$B$2:$B$40,MATCH($A96,Roster!$A$2:$A$40,0)),"?"))</f>
        <v/>
      </c>
      <c r="C96" s="28" t="inlineStr">
        <is>
          <t>Pisces 2_1</t>
        </is>
      </c>
      <c r="D96" s="16">
        <f>IF($C96="","",IFERROR(IF(INDEX(Deals!$C$2:$C$355,MATCH($C96,Deals!$A$2:$A$355,0))=0,"",INDEX(Deals!$C$2:$C$355,MATCH($C96,Deals!$A$2:$A$355,0))),"?"))</f>
        <v/>
      </c>
      <c r="E96" s="16">
        <f>IF($C96="","",IFERROR(INDEX(Deals!$F$2:$F$355,MATCH($C96,Deals!$A$2:$A$355,0)),"?"))</f>
        <v/>
      </c>
      <c r="F96" s="28" t="inlineStr">
        <is>
          <t>Partner</t>
        </is>
      </c>
      <c r="G96" s="28" t="inlineStr">
        <is>
          <t>Active</t>
        </is>
      </c>
      <c r="H96" s="31" t="n"/>
      <c r="I96" s="32">
        <f>IF(OR($A96="",$G96&lt;&gt;"Active"),0,IF($H96&lt;&gt;"",$H96,IF($AO96&gt;0,$AP96,IF(AND($R96&lt;&gt;"",IFERROR(INDEX(Templates!$B$3:$H$10,MATCH($R96,Templates!$A$3:$A$10,0),MATCH($F96,Templates!$B$2:$H$2,0)),0)&gt;0),INDEX(Templates!$B$3:$H$10,MATCH($R96,Templates!$A$3:$A$10,0),MATCH($F96,Templates!$B$2:$H$2,0)),IFERROR(INDEX(Settings!$B$8:$B$14,MATCH($F96,Settings!$A$8:$A$14,0)),0)))))</f>
        <v/>
      </c>
      <c r="J96" s="21">
        <f>IF($C96="",0,IFERROR(INDEX(Deals!$H$2:$H$355,MATCH($C96,Deals!$A$2:$A$355,0)),0))</f>
        <v/>
      </c>
      <c r="K96" s="32">
        <f>IF(Settings!$B$4="Yes",$I96*$J96,$I96)</f>
        <v/>
      </c>
      <c r="L96" s="22">
        <f>IF($C96="","",IFERROR(IF(INDEX(Deals!$I$2:$I$355,MATCH($C96,Deals!$A$2:$A$355,0))=0,"",INDEX(Deals!$I$2:$I$355,MATCH($C96,Deals!$A$2:$A$355,0))),""))</f>
        <v/>
      </c>
      <c r="M96" s="22">
        <f>IF($C96="","",IFERROR(IF(INDEX(Deals!$J$2:$J$355,MATCH($C96,Deals!$A$2:$A$355,0))=0,"",INDEX(Deals!$J$2:$J$355,MATCH($C96,Deals!$A$2:$A$355,0))),""))</f>
        <v/>
      </c>
      <c r="N96" s="35">
        <f>IF($L96="",DATE(1900,1,1),$L96)</f>
        <v/>
      </c>
      <c r="O96" s="35">
        <f>IF($M96="",DATE(2100,12,31),$M96)</f>
        <v/>
      </c>
      <c r="P96" s="20" t="inlineStr"/>
      <c r="Q96" s="47" t="inlineStr"/>
      <c r="R96" s="16">
        <f>IF($C96="","",IFERROR(IF(INDEX(Deals!$U$2:$U$355,MATCH($C96,Deals!$A$2:$A$355,0))=0,"",INDEX(Deals!$U$2:$U$355,MATCH($C96,Deals!$A$2:$A$355,0))),""))</f>
        <v/>
      </c>
      <c r="S96" s="34">
        <f>IFERROR(IF($U96="",1,INDEX(Deals!$V$2:$V$355,MATCH($C96,Deals!$A$2:$A$355,0))),1)</f>
        <v/>
      </c>
      <c r="T96" s="34">
        <f>IFERROR(IF($U96="",1,INDEX(Deals!$W$2:$W$355,MATCH($C96,Deals!$A$2:$A$355,0))),1)</f>
        <v/>
      </c>
      <c r="U96" s="22">
        <f>IF($C96="","",IFERROR(IF(INDEX(Deals!$Y$2:$Y$355,MATCH($C96,Deals!$A$2:$A$355,0))=0,"",INDEX(Deals!$Y$2:$Y$355,MATCH($C96,Deals!$A$2:$A$355,0))),""))</f>
        <v/>
      </c>
      <c r="V96" s="35">
        <f>IF(OR($U96&lt;&gt;"",AND($AO96&gt;0,$L96&lt;&gt;"",$M96&lt;&gt;"")),$N96,DATE(1900,1,1))</f>
        <v/>
      </c>
      <c r="W96" s="35">
        <f>IF($U96&lt;&gt;"",$U96,IF(AND($AO96&gt;0,$L96&lt;&gt;"",$M96&lt;&gt;""),$O96,DATE(2100,12,31)))</f>
        <v/>
      </c>
      <c r="X96" s="32">
        <f>IF($U96="",$K96,$K96*$S96)</f>
        <v/>
      </c>
      <c r="Y96" s="35">
        <f>IF($U96="",DATE(2100,12,31),$U96+1)</f>
        <v/>
      </c>
      <c r="Z96" s="35">
        <f>IF($U96="",DATE(1900,1,1),$O96)</f>
        <v/>
      </c>
      <c r="AA96" s="32">
        <f>IF($U96="",0,$K96*$T96)</f>
        <v/>
      </c>
      <c r="AB96" s="21">
        <f>IF($C96="",0,IFERROR(INDEX(Deals!$AD$2:$AD$355,MATCH($C96,Deals!$A$2:$A$355,0)),0))</f>
        <v/>
      </c>
      <c r="AC96" s="32">
        <f>IF(Settings!$B$4="Yes",$I96*$AB96,$I96)</f>
        <v/>
      </c>
      <c r="AD96" s="22">
        <f>IF($C96="","",IFERROR(IF(INDEX(Deals!$AE$2:$AE$355,MATCH($C96,Deals!$A$2:$A$355,0))=0,"",INDEX(Deals!$AE$2:$AE$355,MATCH($C96,Deals!$A$2:$A$355,0))),""))</f>
        <v/>
      </c>
      <c r="AE96" s="22">
        <f>IF($C96="","",IFERROR(IF(INDEX(Deals!$AF$2:$AF$355,MATCH($C96,Deals!$A$2:$A$355,0))=0,"",INDEX(Deals!$AF$2:$AF$355,MATCH($C96,Deals!$A$2:$A$355,0))),""))</f>
        <v/>
      </c>
      <c r="AF96" s="35">
        <f>IF($AD96="",DATE(1900,1,1),$AD96)</f>
        <v/>
      </c>
      <c r="AG96" s="35">
        <f>IF($AE96="",DATE(2100,12,31),$AE96)</f>
        <v/>
      </c>
      <c r="AH96" s="22">
        <f>IF($C96="","",IFERROR(IF(INDEX(Deals!$AG$2:$AG$355,MATCH($C96,Deals!$A$2:$A$355,0))=0,"",INDEX(Deals!$AG$2:$AG$355,MATCH($C96,Deals!$A$2:$A$355,0))),""))</f>
        <v/>
      </c>
      <c r="AI96" s="35">
        <f>IF(OR($AH96&lt;&gt;"",AND($AO96&gt;0,$AD96&lt;&gt;"",$AE96&lt;&gt;"")),$AF96,DATE(1900,1,1))</f>
        <v/>
      </c>
      <c r="AJ96" s="35">
        <f>IF($AH96&lt;&gt;"",$AH96,IF(AND($AO96&gt;0,$AD96&lt;&gt;"",$AE96&lt;&gt;""),$AG96,DATE(2100,12,31)))</f>
        <v/>
      </c>
      <c r="AK96" s="32">
        <f>IF($AH96="",$AC96,$AC96*$S96)</f>
        <v/>
      </c>
      <c r="AL96" s="35">
        <f>IF($AH96="",DATE(2100,12,31),$AH96+1)</f>
        <v/>
      </c>
      <c r="AM96" s="35">
        <f>IF($AH96="",DATE(1900,1,1),$AG96)</f>
        <v/>
      </c>
      <c r="AN96" s="32">
        <f>IF($AH96="",0,$AC96*$T96)</f>
        <v/>
      </c>
      <c r="AO96" s="46">
        <f>IF($C96="",0,IFERROR(INDEX(Deals!$BD$2:$BD$355,MATCH($C96,Deals!$A$2:$A$355,0)),0))</f>
        <v/>
      </c>
      <c r="AP96" s="18">
        <f>IF($AO96=0,0,IFERROR(INDEX(Deals!$BJ$2:$BP$355,MATCH($C96,Deals!$A$2:$A$355,0),MATCH($F96,Deals!$BJ$1:$BP$1,0))/COUNTIFS(Assignments!$C$2:$C$769,$C96,Assignments!$F$2:$F$769,$F96,Assignments!$G$2:$G$769,"Active"),0))</f>
        <v/>
      </c>
    </row>
    <row r="97">
      <c r="A97" s="28" t="inlineStr">
        <is>
          <t>Will B. W.</t>
        </is>
      </c>
      <c r="B97" s="16">
        <f>IF($A97="","",IFERROR(INDEX(Roster!$B$2:$B$40,MATCH($A97,Roster!$A$2:$A$40,0)),"?"))</f>
        <v/>
      </c>
      <c r="C97" s="28" t="inlineStr">
        <is>
          <t>PMD_1</t>
        </is>
      </c>
      <c r="D97" s="16">
        <f>IF($C97="","",IFERROR(IF(INDEX(Deals!$C$2:$C$355,MATCH($C97,Deals!$A$2:$A$355,0))=0,"",INDEX(Deals!$C$2:$C$355,MATCH($C97,Deals!$A$2:$A$355,0))),"?"))</f>
        <v/>
      </c>
      <c r="E97" s="16">
        <f>IF($C97="","",IFERROR(INDEX(Deals!$F$2:$F$355,MATCH($C97,Deals!$A$2:$A$355,0)),"?"))</f>
        <v/>
      </c>
      <c r="F97" s="28" t="inlineStr">
        <is>
          <t>Partner</t>
        </is>
      </c>
      <c r="G97" s="28" t="inlineStr">
        <is>
          <t>Active</t>
        </is>
      </c>
      <c r="H97" s="31" t="n"/>
      <c r="I97" s="32">
        <f>IF(OR($A97="",$G97&lt;&gt;"Active"),0,IF($H97&lt;&gt;"",$H97,IF($AO97&gt;0,$AP97,IF(AND($R97&lt;&gt;"",IFERROR(INDEX(Templates!$B$3:$H$10,MATCH($R97,Templates!$A$3:$A$10,0),MATCH($F97,Templates!$B$2:$H$2,0)),0)&gt;0),INDEX(Templates!$B$3:$H$10,MATCH($R97,Templates!$A$3:$A$10,0),MATCH($F97,Templates!$B$2:$H$2,0)),IFERROR(INDEX(Settings!$B$8:$B$14,MATCH($F97,Settings!$A$8:$A$14,0)),0)))))</f>
        <v/>
      </c>
      <c r="J97" s="21">
        <f>IF($C97="",0,IFERROR(INDEX(Deals!$H$2:$H$355,MATCH($C97,Deals!$A$2:$A$355,0)),0))</f>
        <v/>
      </c>
      <c r="K97" s="32">
        <f>IF(Settings!$B$4="Yes",$I97*$J97,$I97)</f>
        <v/>
      </c>
      <c r="L97" s="22">
        <f>IF($C97="","",IFERROR(IF(INDEX(Deals!$I$2:$I$355,MATCH($C97,Deals!$A$2:$A$355,0))=0,"",INDEX(Deals!$I$2:$I$355,MATCH($C97,Deals!$A$2:$A$355,0))),""))</f>
        <v/>
      </c>
      <c r="M97" s="22">
        <f>IF($C97="","",IFERROR(IF(INDEX(Deals!$J$2:$J$355,MATCH($C97,Deals!$A$2:$A$355,0))=0,"",INDEX(Deals!$J$2:$J$355,MATCH($C97,Deals!$A$2:$A$355,0))),""))</f>
        <v/>
      </c>
      <c r="N97" s="35">
        <f>IF($L97="",DATE(1900,1,1),$L97)</f>
        <v/>
      </c>
      <c r="O97" s="35">
        <f>IF($M97="",DATE(2100,12,31),$M97)</f>
        <v/>
      </c>
      <c r="P97" s="20" t="inlineStr"/>
      <c r="Q97" s="47" t="inlineStr"/>
      <c r="R97" s="16">
        <f>IF($C97="","",IFERROR(IF(INDEX(Deals!$U$2:$U$355,MATCH($C97,Deals!$A$2:$A$355,0))=0,"",INDEX(Deals!$U$2:$U$355,MATCH($C97,Deals!$A$2:$A$355,0))),""))</f>
        <v/>
      </c>
      <c r="S97" s="34">
        <f>IFERROR(IF($U97="",1,INDEX(Deals!$V$2:$V$355,MATCH($C97,Deals!$A$2:$A$355,0))),1)</f>
        <v/>
      </c>
      <c r="T97" s="34">
        <f>IFERROR(IF($U97="",1,INDEX(Deals!$W$2:$W$355,MATCH($C97,Deals!$A$2:$A$355,0))),1)</f>
        <v/>
      </c>
      <c r="U97" s="22">
        <f>IF($C97="","",IFERROR(IF(INDEX(Deals!$Y$2:$Y$355,MATCH($C97,Deals!$A$2:$A$355,0))=0,"",INDEX(Deals!$Y$2:$Y$355,MATCH($C97,Deals!$A$2:$A$355,0))),""))</f>
        <v/>
      </c>
      <c r="V97" s="35">
        <f>IF(OR($U97&lt;&gt;"",AND($AO97&gt;0,$L97&lt;&gt;"",$M97&lt;&gt;"")),$N97,DATE(1900,1,1))</f>
        <v/>
      </c>
      <c r="W97" s="35">
        <f>IF($U97&lt;&gt;"",$U97,IF(AND($AO97&gt;0,$L97&lt;&gt;"",$M97&lt;&gt;""),$O97,DATE(2100,12,31)))</f>
        <v/>
      </c>
      <c r="X97" s="32">
        <f>IF($U97="",$K97,$K97*$S97)</f>
        <v/>
      </c>
      <c r="Y97" s="35">
        <f>IF($U97="",DATE(2100,12,31),$U97+1)</f>
        <v/>
      </c>
      <c r="Z97" s="35">
        <f>IF($U97="",DATE(1900,1,1),$O97)</f>
        <v/>
      </c>
      <c r="AA97" s="32">
        <f>IF($U97="",0,$K97*$T97)</f>
        <v/>
      </c>
      <c r="AB97" s="21">
        <f>IF($C97="",0,IFERROR(INDEX(Deals!$AD$2:$AD$355,MATCH($C97,Deals!$A$2:$A$355,0)),0))</f>
        <v/>
      </c>
      <c r="AC97" s="32">
        <f>IF(Settings!$B$4="Yes",$I97*$AB97,$I97)</f>
        <v/>
      </c>
      <c r="AD97" s="22">
        <f>IF($C97="","",IFERROR(IF(INDEX(Deals!$AE$2:$AE$355,MATCH($C97,Deals!$A$2:$A$355,0))=0,"",INDEX(Deals!$AE$2:$AE$355,MATCH($C97,Deals!$A$2:$A$355,0))),""))</f>
        <v/>
      </c>
      <c r="AE97" s="22">
        <f>IF($C97="","",IFERROR(IF(INDEX(Deals!$AF$2:$AF$355,MATCH($C97,Deals!$A$2:$A$355,0))=0,"",INDEX(Deals!$AF$2:$AF$355,MATCH($C97,Deals!$A$2:$A$355,0))),""))</f>
        <v/>
      </c>
      <c r="AF97" s="35">
        <f>IF($AD97="",DATE(1900,1,1),$AD97)</f>
        <v/>
      </c>
      <c r="AG97" s="35">
        <f>IF($AE97="",DATE(2100,12,31),$AE97)</f>
        <v/>
      </c>
      <c r="AH97" s="22">
        <f>IF($C97="","",IFERROR(IF(INDEX(Deals!$AG$2:$AG$355,MATCH($C97,Deals!$A$2:$A$355,0))=0,"",INDEX(Deals!$AG$2:$AG$355,MATCH($C97,Deals!$A$2:$A$355,0))),""))</f>
        <v/>
      </c>
      <c r="AI97" s="35">
        <f>IF(OR($AH97&lt;&gt;"",AND($AO97&gt;0,$AD97&lt;&gt;"",$AE97&lt;&gt;"")),$AF97,DATE(1900,1,1))</f>
        <v/>
      </c>
      <c r="AJ97" s="35">
        <f>IF($AH97&lt;&gt;"",$AH97,IF(AND($AO97&gt;0,$AD97&lt;&gt;"",$AE97&lt;&gt;""),$AG97,DATE(2100,12,31)))</f>
        <v/>
      </c>
      <c r="AK97" s="32">
        <f>IF($AH97="",$AC97,$AC97*$S97)</f>
        <v/>
      </c>
      <c r="AL97" s="35">
        <f>IF($AH97="",DATE(2100,12,31),$AH97+1)</f>
        <v/>
      </c>
      <c r="AM97" s="35">
        <f>IF($AH97="",DATE(1900,1,1),$AG97)</f>
        <v/>
      </c>
      <c r="AN97" s="32">
        <f>IF($AH97="",0,$AC97*$T97)</f>
        <v/>
      </c>
      <c r="AO97" s="46">
        <f>IF($C97="",0,IFERROR(INDEX(Deals!$BD$2:$BD$355,MATCH($C97,Deals!$A$2:$A$355,0)),0))</f>
        <v/>
      </c>
      <c r="AP97" s="18">
        <f>IF($AO97=0,0,IFERROR(INDEX(Deals!$BJ$2:$BP$355,MATCH($C97,Deals!$A$2:$A$355,0),MATCH($F97,Deals!$BJ$1:$BP$1,0))/COUNTIFS(Assignments!$C$2:$C$769,$C97,Assignments!$F$2:$F$769,$F97,Assignments!$G$2:$G$769,"Active"),0))</f>
        <v/>
      </c>
    </row>
    <row r="98">
      <c r="A98" s="28" t="inlineStr">
        <is>
          <t>Will B. W.</t>
        </is>
      </c>
      <c r="B98" s="16">
        <f>IF($A98="","",IFERROR(INDEX(Roster!$B$2:$B$40,MATCH($A98,Roster!$A$2:$A$40,0)),"?"))</f>
        <v/>
      </c>
      <c r="C98" s="28" t="inlineStr">
        <is>
          <t>Prolydian_1</t>
        </is>
      </c>
      <c r="D98" s="16">
        <f>IF($C98="","",IFERROR(IF(INDEX(Deals!$C$2:$C$355,MATCH($C98,Deals!$A$2:$A$355,0))=0,"",INDEX(Deals!$C$2:$C$355,MATCH($C98,Deals!$A$2:$A$355,0))),"?"))</f>
        <v/>
      </c>
      <c r="E98" s="16">
        <f>IF($C98="","",IFERROR(INDEX(Deals!$F$2:$F$355,MATCH($C98,Deals!$A$2:$A$355,0)),"?"))</f>
        <v/>
      </c>
      <c r="F98" s="28" t="inlineStr">
        <is>
          <t>Partner</t>
        </is>
      </c>
      <c r="G98" s="28" t="inlineStr">
        <is>
          <t>Active</t>
        </is>
      </c>
      <c r="H98" s="31" t="n"/>
      <c r="I98" s="32">
        <f>IF(OR($A98="",$G98&lt;&gt;"Active"),0,IF($H98&lt;&gt;"",$H98,IF($AO98&gt;0,$AP98,IF(AND($R98&lt;&gt;"",IFERROR(INDEX(Templates!$B$3:$H$10,MATCH($R98,Templates!$A$3:$A$10,0),MATCH($F98,Templates!$B$2:$H$2,0)),0)&gt;0),INDEX(Templates!$B$3:$H$10,MATCH($R98,Templates!$A$3:$A$10,0),MATCH($F98,Templates!$B$2:$H$2,0)),IFERROR(INDEX(Settings!$B$8:$B$14,MATCH($F98,Settings!$A$8:$A$14,0)),0)))))</f>
        <v/>
      </c>
      <c r="J98" s="21">
        <f>IF($C98="",0,IFERROR(INDEX(Deals!$H$2:$H$355,MATCH($C98,Deals!$A$2:$A$355,0)),0))</f>
        <v/>
      </c>
      <c r="K98" s="32">
        <f>IF(Settings!$B$4="Yes",$I98*$J98,$I98)</f>
        <v/>
      </c>
      <c r="L98" s="22">
        <f>IF($C98="","",IFERROR(IF(INDEX(Deals!$I$2:$I$355,MATCH($C98,Deals!$A$2:$A$355,0))=0,"",INDEX(Deals!$I$2:$I$355,MATCH($C98,Deals!$A$2:$A$355,0))),""))</f>
        <v/>
      </c>
      <c r="M98" s="22">
        <f>IF($C98="","",IFERROR(IF(INDEX(Deals!$J$2:$J$355,MATCH($C98,Deals!$A$2:$A$355,0))=0,"",INDEX(Deals!$J$2:$J$355,MATCH($C98,Deals!$A$2:$A$355,0))),""))</f>
        <v/>
      </c>
      <c r="N98" s="35">
        <f>IF($L98="",DATE(1900,1,1),$L98)</f>
        <v/>
      </c>
      <c r="O98" s="35">
        <f>IF($M98="",DATE(2100,12,31),$M98)</f>
        <v/>
      </c>
      <c r="P98" s="20" t="inlineStr"/>
      <c r="Q98" s="47" t="inlineStr"/>
      <c r="R98" s="16">
        <f>IF($C98="","",IFERROR(IF(INDEX(Deals!$U$2:$U$355,MATCH($C98,Deals!$A$2:$A$355,0))=0,"",INDEX(Deals!$U$2:$U$355,MATCH($C98,Deals!$A$2:$A$355,0))),""))</f>
        <v/>
      </c>
      <c r="S98" s="34">
        <f>IFERROR(IF($U98="",1,INDEX(Deals!$V$2:$V$355,MATCH($C98,Deals!$A$2:$A$355,0))),1)</f>
        <v/>
      </c>
      <c r="T98" s="34">
        <f>IFERROR(IF($U98="",1,INDEX(Deals!$W$2:$W$355,MATCH($C98,Deals!$A$2:$A$355,0))),1)</f>
        <v/>
      </c>
      <c r="U98" s="22">
        <f>IF($C98="","",IFERROR(IF(INDEX(Deals!$Y$2:$Y$355,MATCH($C98,Deals!$A$2:$A$355,0))=0,"",INDEX(Deals!$Y$2:$Y$355,MATCH($C98,Deals!$A$2:$A$355,0))),""))</f>
        <v/>
      </c>
      <c r="V98" s="35">
        <f>IF(OR($U98&lt;&gt;"",AND($AO98&gt;0,$L98&lt;&gt;"",$M98&lt;&gt;"")),$N98,DATE(1900,1,1))</f>
        <v/>
      </c>
      <c r="W98" s="35">
        <f>IF($U98&lt;&gt;"",$U98,IF(AND($AO98&gt;0,$L98&lt;&gt;"",$M98&lt;&gt;""),$O98,DATE(2100,12,31)))</f>
        <v/>
      </c>
      <c r="X98" s="32">
        <f>IF($U98="",$K98,$K98*$S98)</f>
        <v/>
      </c>
      <c r="Y98" s="35">
        <f>IF($U98="",DATE(2100,12,31),$U98+1)</f>
        <v/>
      </c>
      <c r="Z98" s="35">
        <f>IF($U98="",DATE(1900,1,1),$O98)</f>
        <v/>
      </c>
      <c r="AA98" s="32">
        <f>IF($U98="",0,$K98*$T98)</f>
        <v/>
      </c>
      <c r="AB98" s="21">
        <f>IF($C98="",0,IFERROR(INDEX(Deals!$AD$2:$AD$355,MATCH($C98,Deals!$A$2:$A$355,0)),0))</f>
        <v/>
      </c>
      <c r="AC98" s="32">
        <f>IF(Settings!$B$4="Yes",$I98*$AB98,$I98)</f>
        <v/>
      </c>
      <c r="AD98" s="22">
        <f>IF($C98="","",IFERROR(IF(INDEX(Deals!$AE$2:$AE$355,MATCH($C98,Deals!$A$2:$A$355,0))=0,"",INDEX(Deals!$AE$2:$AE$355,MATCH($C98,Deals!$A$2:$A$355,0))),""))</f>
        <v/>
      </c>
      <c r="AE98" s="22">
        <f>IF($C98="","",IFERROR(IF(INDEX(Deals!$AF$2:$AF$355,MATCH($C98,Deals!$A$2:$A$355,0))=0,"",INDEX(Deals!$AF$2:$AF$355,MATCH($C98,Deals!$A$2:$A$355,0))),""))</f>
        <v/>
      </c>
      <c r="AF98" s="35">
        <f>IF($AD98="",DATE(1900,1,1),$AD98)</f>
        <v/>
      </c>
      <c r="AG98" s="35">
        <f>IF($AE98="",DATE(2100,12,31),$AE98)</f>
        <v/>
      </c>
      <c r="AH98" s="22">
        <f>IF($C98="","",IFERROR(IF(INDEX(Deals!$AG$2:$AG$355,MATCH($C98,Deals!$A$2:$A$355,0))=0,"",INDEX(Deals!$AG$2:$AG$355,MATCH($C98,Deals!$A$2:$A$355,0))),""))</f>
        <v/>
      </c>
      <c r="AI98" s="35">
        <f>IF(OR($AH98&lt;&gt;"",AND($AO98&gt;0,$AD98&lt;&gt;"",$AE98&lt;&gt;"")),$AF98,DATE(1900,1,1))</f>
        <v/>
      </c>
      <c r="AJ98" s="35">
        <f>IF($AH98&lt;&gt;"",$AH98,IF(AND($AO98&gt;0,$AD98&lt;&gt;"",$AE98&lt;&gt;""),$AG98,DATE(2100,12,31)))</f>
        <v/>
      </c>
      <c r="AK98" s="32">
        <f>IF($AH98="",$AC98,$AC98*$S98)</f>
        <v/>
      </c>
      <c r="AL98" s="35">
        <f>IF($AH98="",DATE(2100,12,31),$AH98+1)</f>
        <v/>
      </c>
      <c r="AM98" s="35">
        <f>IF($AH98="",DATE(1900,1,1),$AG98)</f>
        <v/>
      </c>
      <c r="AN98" s="32">
        <f>IF($AH98="",0,$AC98*$T98)</f>
        <v/>
      </c>
      <c r="AO98" s="46">
        <f>IF($C98="",0,IFERROR(INDEX(Deals!$BD$2:$BD$355,MATCH($C98,Deals!$A$2:$A$355,0)),0))</f>
        <v/>
      </c>
      <c r="AP98" s="18">
        <f>IF($AO98=0,0,IFERROR(INDEX(Deals!$BJ$2:$BP$355,MATCH($C98,Deals!$A$2:$A$355,0),MATCH($F98,Deals!$BJ$1:$BP$1,0))/COUNTIFS(Assignments!$C$2:$C$769,$C98,Assignments!$F$2:$F$769,$F98,Assignments!$G$2:$G$769,"Active"),0))</f>
        <v/>
      </c>
    </row>
    <row r="99">
      <c r="A99" s="28" t="inlineStr">
        <is>
          <t>Will B. W.</t>
        </is>
      </c>
      <c r="B99" s="16">
        <f>IF($A99="","",IFERROR(INDEX(Roster!$B$2:$B$40,MATCH($A99,Roster!$A$2:$A$40,0)),"?"))</f>
        <v/>
      </c>
      <c r="C99" s="28" t="inlineStr">
        <is>
          <t>Scale_4</t>
        </is>
      </c>
      <c r="D99" s="16">
        <f>IF($C99="","",IFERROR(IF(INDEX(Deals!$C$2:$C$355,MATCH($C99,Deals!$A$2:$A$355,0))=0,"",INDEX(Deals!$C$2:$C$355,MATCH($C99,Deals!$A$2:$A$355,0))),"?"))</f>
        <v/>
      </c>
      <c r="E99" s="16">
        <f>IF($C99="","",IFERROR(INDEX(Deals!$F$2:$F$355,MATCH($C99,Deals!$A$2:$A$355,0)),"?"))</f>
        <v/>
      </c>
      <c r="F99" s="28" t="inlineStr">
        <is>
          <t>Partner</t>
        </is>
      </c>
      <c r="G99" s="28" t="inlineStr">
        <is>
          <t>Active</t>
        </is>
      </c>
      <c r="H99" s="31" t="n"/>
      <c r="I99" s="32">
        <f>IF(OR($A99="",$G99&lt;&gt;"Active"),0,IF($H99&lt;&gt;"",$H99,IF($AO99&gt;0,$AP99,IF(AND($R99&lt;&gt;"",IFERROR(INDEX(Templates!$B$3:$H$10,MATCH($R99,Templates!$A$3:$A$10,0),MATCH($F99,Templates!$B$2:$H$2,0)),0)&gt;0),INDEX(Templates!$B$3:$H$10,MATCH($R99,Templates!$A$3:$A$10,0),MATCH($F99,Templates!$B$2:$H$2,0)),IFERROR(INDEX(Settings!$B$8:$B$14,MATCH($F99,Settings!$A$8:$A$14,0)),0)))))</f>
        <v/>
      </c>
      <c r="J99" s="21">
        <f>IF($C99="",0,IFERROR(INDEX(Deals!$H$2:$H$355,MATCH($C99,Deals!$A$2:$A$355,0)),0))</f>
        <v/>
      </c>
      <c r="K99" s="32">
        <f>IF(Settings!$B$4="Yes",$I99*$J99,$I99)</f>
        <v/>
      </c>
      <c r="L99" s="22">
        <f>IF($C99="","",IFERROR(IF(INDEX(Deals!$I$2:$I$355,MATCH($C99,Deals!$A$2:$A$355,0))=0,"",INDEX(Deals!$I$2:$I$355,MATCH($C99,Deals!$A$2:$A$355,0))),""))</f>
        <v/>
      </c>
      <c r="M99" s="22">
        <f>IF($C99="","",IFERROR(IF(INDEX(Deals!$J$2:$J$355,MATCH($C99,Deals!$A$2:$A$355,0))=0,"",INDEX(Deals!$J$2:$J$355,MATCH($C99,Deals!$A$2:$A$355,0))),""))</f>
        <v/>
      </c>
      <c r="N99" s="35">
        <f>IF($L99="",DATE(1900,1,1),$L99)</f>
        <v/>
      </c>
      <c r="O99" s="35">
        <f>IF($M99="",DATE(2100,12,31),$M99)</f>
        <v/>
      </c>
      <c r="P99" s="20" t="inlineStr"/>
      <c r="Q99" s="47" t="inlineStr"/>
      <c r="R99" s="16">
        <f>IF($C99="","",IFERROR(IF(INDEX(Deals!$U$2:$U$355,MATCH($C99,Deals!$A$2:$A$355,0))=0,"",INDEX(Deals!$U$2:$U$355,MATCH($C99,Deals!$A$2:$A$355,0))),""))</f>
        <v/>
      </c>
      <c r="S99" s="34">
        <f>IFERROR(IF($U99="",1,INDEX(Deals!$V$2:$V$355,MATCH($C99,Deals!$A$2:$A$355,0))),1)</f>
        <v/>
      </c>
      <c r="T99" s="34">
        <f>IFERROR(IF($U99="",1,INDEX(Deals!$W$2:$W$355,MATCH($C99,Deals!$A$2:$A$355,0))),1)</f>
        <v/>
      </c>
      <c r="U99" s="22">
        <f>IF($C99="","",IFERROR(IF(INDEX(Deals!$Y$2:$Y$355,MATCH($C99,Deals!$A$2:$A$355,0))=0,"",INDEX(Deals!$Y$2:$Y$355,MATCH($C99,Deals!$A$2:$A$355,0))),""))</f>
        <v/>
      </c>
      <c r="V99" s="35">
        <f>IF(OR($U99&lt;&gt;"",AND($AO99&gt;0,$L99&lt;&gt;"",$M99&lt;&gt;"")),$N99,DATE(1900,1,1))</f>
        <v/>
      </c>
      <c r="W99" s="35">
        <f>IF($U99&lt;&gt;"",$U99,IF(AND($AO99&gt;0,$L99&lt;&gt;"",$M99&lt;&gt;""),$O99,DATE(2100,12,31)))</f>
        <v/>
      </c>
      <c r="X99" s="32">
        <f>IF($U99="",$K99,$K99*$S99)</f>
        <v/>
      </c>
      <c r="Y99" s="35">
        <f>IF($U99="",DATE(2100,12,31),$U99+1)</f>
        <v/>
      </c>
      <c r="Z99" s="35">
        <f>IF($U99="",DATE(1900,1,1),$O99)</f>
        <v/>
      </c>
      <c r="AA99" s="32">
        <f>IF($U99="",0,$K99*$T99)</f>
        <v/>
      </c>
      <c r="AB99" s="21">
        <f>IF($C99="",0,IFERROR(INDEX(Deals!$AD$2:$AD$355,MATCH($C99,Deals!$A$2:$A$355,0)),0))</f>
        <v/>
      </c>
      <c r="AC99" s="32">
        <f>IF(Settings!$B$4="Yes",$I99*$AB99,$I99)</f>
        <v/>
      </c>
      <c r="AD99" s="22">
        <f>IF($C99="","",IFERROR(IF(INDEX(Deals!$AE$2:$AE$355,MATCH($C99,Deals!$A$2:$A$355,0))=0,"",INDEX(Deals!$AE$2:$AE$355,MATCH($C99,Deals!$A$2:$A$355,0))),""))</f>
        <v/>
      </c>
      <c r="AE99" s="22">
        <f>IF($C99="","",IFERROR(IF(INDEX(Deals!$AF$2:$AF$355,MATCH($C99,Deals!$A$2:$A$355,0))=0,"",INDEX(Deals!$AF$2:$AF$355,MATCH($C99,Deals!$A$2:$A$355,0))),""))</f>
        <v/>
      </c>
      <c r="AF99" s="35">
        <f>IF($AD99="",DATE(1900,1,1),$AD99)</f>
        <v/>
      </c>
      <c r="AG99" s="35">
        <f>IF($AE99="",DATE(2100,12,31),$AE99)</f>
        <v/>
      </c>
      <c r="AH99" s="22">
        <f>IF($C99="","",IFERROR(IF(INDEX(Deals!$AG$2:$AG$355,MATCH($C99,Deals!$A$2:$A$355,0))=0,"",INDEX(Deals!$AG$2:$AG$355,MATCH($C99,Deals!$A$2:$A$355,0))),""))</f>
        <v/>
      </c>
      <c r="AI99" s="35">
        <f>IF(OR($AH99&lt;&gt;"",AND($AO99&gt;0,$AD99&lt;&gt;"",$AE99&lt;&gt;"")),$AF99,DATE(1900,1,1))</f>
        <v/>
      </c>
      <c r="AJ99" s="35">
        <f>IF($AH99&lt;&gt;"",$AH99,IF(AND($AO99&gt;0,$AD99&lt;&gt;"",$AE99&lt;&gt;""),$AG99,DATE(2100,12,31)))</f>
        <v/>
      </c>
      <c r="AK99" s="32">
        <f>IF($AH99="",$AC99,$AC99*$S99)</f>
        <v/>
      </c>
      <c r="AL99" s="35">
        <f>IF($AH99="",DATE(2100,12,31),$AH99+1)</f>
        <v/>
      </c>
      <c r="AM99" s="35">
        <f>IF($AH99="",DATE(1900,1,1),$AG99)</f>
        <v/>
      </c>
      <c r="AN99" s="32">
        <f>IF($AH99="",0,$AC99*$T99)</f>
        <v/>
      </c>
      <c r="AO99" s="46">
        <f>IF($C99="",0,IFERROR(INDEX(Deals!$BD$2:$BD$355,MATCH($C99,Deals!$A$2:$A$355,0)),0))</f>
        <v/>
      </c>
      <c r="AP99" s="18">
        <f>IF($AO99=0,0,IFERROR(INDEX(Deals!$BJ$2:$BP$355,MATCH($C99,Deals!$A$2:$A$355,0),MATCH($F99,Deals!$BJ$1:$BP$1,0))/COUNTIFS(Assignments!$C$2:$C$769,$C99,Assignments!$F$2:$F$769,$F99,Assignments!$G$2:$G$769,"Active"),0))</f>
        <v/>
      </c>
    </row>
    <row r="100">
      <c r="A100" s="28" t="inlineStr">
        <is>
          <t>Will B. W.</t>
        </is>
      </c>
      <c r="B100" s="16">
        <f>IF($A100="","",IFERROR(INDEX(Roster!$B$2:$B$40,MATCH($A100,Roster!$A$2:$A$40,0)),"?"))</f>
        <v/>
      </c>
      <c r="C100" s="28" t="inlineStr">
        <is>
          <t>Scan_1</t>
        </is>
      </c>
      <c r="D100" s="16">
        <f>IF($C100="","",IFERROR(IF(INDEX(Deals!$C$2:$C$355,MATCH($C100,Deals!$A$2:$A$355,0))=0,"",INDEX(Deals!$C$2:$C$355,MATCH($C100,Deals!$A$2:$A$355,0))),"?"))</f>
        <v/>
      </c>
      <c r="E100" s="16">
        <f>IF($C100="","",IFERROR(INDEX(Deals!$F$2:$F$355,MATCH($C100,Deals!$A$2:$A$355,0)),"?"))</f>
        <v/>
      </c>
      <c r="F100" s="28" t="inlineStr">
        <is>
          <t>Partner</t>
        </is>
      </c>
      <c r="G100" s="28" t="inlineStr">
        <is>
          <t>Active</t>
        </is>
      </c>
      <c r="H100" s="31" t="n"/>
      <c r="I100" s="32">
        <f>IF(OR($A100="",$G100&lt;&gt;"Active"),0,IF($H100&lt;&gt;"",$H100,IF($AO100&gt;0,$AP100,IF(AND($R100&lt;&gt;"",IFERROR(INDEX(Templates!$B$3:$H$10,MATCH($R100,Templates!$A$3:$A$10,0),MATCH($F100,Templates!$B$2:$H$2,0)),0)&gt;0),INDEX(Templates!$B$3:$H$10,MATCH($R100,Templates!$A$3:$A$10,0),MATCH($F100,Templates!$B$2:$H$2,0)),IFERROR(INDEX(Settings!$B$8:$B$14,MATCH($F100,Settings!$A$8:$A$14,0)),0)))))</f>
        <v/>
      </c>
      <c r="J100" s="21">
        <f>IF($C100="",0,IFERROR(INDEX(Deals!$H$2:$H$355,MATCH($C100,Deals!$A$2:$A$355,0)),0))</f>
        <v/>
      </c>
      <c r="K100" s="32">
        <f>IF(Settings!$B$4="Yes",$I100*$J100,$I100)</f>
        <v/>
      </c>
      <c r="L100" s="22">
        <f>IF($C100="","",IFERROR(IF(INDEX(Deals!$I$2:$I$355,MATCH($C100,Deals!$A$2:$A$355,0))=0,"",INDEX(Deals!$I$2:$I$355,MATCH($C100,Deals!$A$2:$A$355,0))),""))</f>
        <v/>
      </c>
      <c r="M100" s="22">
        <f>IF($C100="","",IFERROR(IF(INDEX(Deals!$J$2:$J$355,MATCH($C100,Deals!$A$2:$A$355,0))=0,"",INDEX(Deals!$J$2:$J$355,MATCH($C100,Deals!$A$2:$A$355,0))),""))</f>
        <v/>
      </c>
      <c r="N100" s="35">
        <f>IF($L100="",DATE(1900,1,1),$L100)</f>
        <v/>
      </c>
      <c r="O100" s="35">
        <f>IF($M100="",DATE(2100,12,31),$M100)</f>
        <v/>
      </c>
      <c r="P100" s="20" t="inlineStr"/>
      <c r="Q100" s="47" t="inlineStr"/>
      <c r="R100" s="16">
        <f>IF($C100="","",IFERROR(IF(INDEX(Deals!$U$2:$U$355,MATCH($C100,Deals!$A$2:$A$355,0))=0,"",INDEX(Deals!$U$2:$U$355,MATCH($C100,Deals!$A$2:$A$355,0))),""))</f>
        <v/>
      </c>
      <c r="S100" s="34">
        <f>IFERROR(IF($U100="",1,INDEX(Deals!$V$2:$V$355,MATCH($C100,Deals!$A$2:$A$355,0))),1)</f>
        <v/>
      </c>
      <c r="T100" s="34">
        <f>IFERROR(IF($U100="",1,INDEX(Deals!$W$2:$W$355,MATCH($C100,Deals!$A$2:$A$355,0))),1)</f>
        <v/>
      </c>
      <c r="U100" s="22">
        <f>IF($C100="","",IFERROR(IF(INDEX(Deals!$Y$2:$Y$355,MATCH($C100,Deals!$A$2:$A$355,0))=0,"",INDEX(Deals!$Y$2:$Y$355,MATCH($C100,Deals!$A$2:$A$355,0))),""))</f>
        <v/>
      </c>
      <c r="V100" s="35">
        <f>IF(OR($U100&lt;&gt;"",AND($AO100&gt;0,$L100&lt;&gt;"",$M100&lt;&gt;"")),$N100,DATE(1900,1,1))</f>
        <v/>
      </c>
      <c r="W100" s="35">
        <f>IF($U100&lt;&gt;"",$U100,IF(AND($AO100&gt;0,$L100&lt;&gt;"",$M100&lt;&gt;""),$O100,DATE(2100,12,31)))</f>
        <v/>
      </c>
      <c r="X100" s="32">
        <f>IF($U100="",$K100,$K100*$S100)</f>
        <v/>
      </c>
      <c r="Y100" s="35">
        <f>IF($U100="",DATE(2100,12,31),$U100+1)</f>
        <v/>
      </c>
      <c r="Z100" s="35">
        <f>IF($U100="",DATE(1900,1,1),$O100)</f>
        <v/>
      </c>
      <c r="AA100" s="32">
        <f>IF($U100="",0,$K100*$T100)</f>
        <v/>
      </c>
      <c r="AB100" s="21">
        <f>IF($C100="",0,IFERROR(INDEX(Deals!$AD$2:$AD$355,MATCH($C100,Deals!$A$2:$A$355,0)),0))</f>
        <v/>
      </c>
      <c r="AC100" s="32">
        <f>IF(Settings!$B$4="Yes",$I100*$AB100,$I100)</f>
        <v/>
      </c>
      <c r="AD100" s="22">
        <f>IF($C100="","",IFERROR(IF(INDEX(Deals!$AE$2:$AE$355,MATCH($C100,Deals!$A$2:$A$355,0))=0,"",INDEX(Deals!$AE$2:$AE$355,MATCH($C100,Deals!$A$2:$A$355,0))),""))</f>
        <v/>
      </c>
      <c r="AE100" s="22">
        <f>IF($C100="","",IFERROR(IF(INDEX(Deals!$AF$2:$AF$355,MATCH($C100,Deals!$A$2:$A$355,0))=0,"",INDEX(Deals!$AF$2:$AF$355,MATCH($C100,Deals!$A$2:$A$355,0))),""))</f>
        <v/>
      </c>
      <c r="AF100" s="35">
        <f>IF($AD100="",DATE(1900,1,1),$AD100)</f>
        <v/>
      </c>
      <c r="AG100" s="35">
        <f>IF($AE100="",DATE(2100,12,31),$AE100)</f>
        <v/>
      </c>
      <c r="AH100" s="22">
        <f>IF($C100="","",IFERROR(IF(INDEX(Deals!$AG$2:$AG$355,MATCH($C100,Deals!$A$2:$A$355,0))=0,"",INDEX(Deals!$AG$2:$AG$355,MATCH($C100,Deals!$A$2:$A$355,0))),""))</f>
        <v/>
      </c>
      <c r="AI100" s="35">
        <f>IF(OR($AH100&lt;&gt;"",AND($AO100&gt;0,$AD100&lt;&gt;"",$AE100&lt;&gt;"")),$AF100,DATE(1900,1,1))</f>
        <v/>
      </c>
      <c r="AJ100" s="35">
        <f>IF($AH100&lt;&gt;"",$AH100,IF(AND($AO100&gt;0,$AD100&lt;&gt;"",$AE100&lt;&gt;""),$AG100,DATE(2100,12,31)))</f>
        <v/>
      </c>
      <c r="AK100" s="32">
        <f>IF($AH100="",$AC100,$AC100*$S100)</f>
        <v/>
      </c>
      <c r="AL100" s="35">
        <f>IF($AH100="",DATE(2100,12,31),$AH100+1)</f>
        <v/>
      </c>
      <c r="AM100" s="35">
        <f>IF($AH100="",DATE(1900,1,1),$AG100)</f>
        <v/>
      </c>
      <c r="AN100" s="32">
        <f>IF($AH100="",0,$AC100*$T100)</f>
        <v/>
      </c>
      <c r="AO100" s="46">
        <f>IF($C100="",0,IFERROR(INDEX(Deals!$BD$2:$BD$355,MATCH($C100,Deals!$A$2:$A$355,0)),0))</f>
        <v/>
      </c>
      <c r="AP100" s="18">
        <f>IF($AO100=0,0,IFERROR(INDEX(Deals!$BJ$2:$BP$355,MATCH($C100,Deals!$A$2:$A$355,0),MATCH($F100,Deals!$BJ$1:$BP$1,0))/COUNTIFS(Assignments!$C$2:$C$769,$C100,Assignments!$F$2:$F$769,$F100,Assignments!$G$2:$G$769,"Active"),0))</f>
        <v/>
      </c>
    </row>
    <row r="101">
      <c r="A101" s="28" t="inlineStr">
        <is>
          <t>Will B. W.</t>
        </is>
      </c>
      <c r="B101" s="16">
        <f>IF($A101="","",IFERROR(INDEX(Roster!$B$2:$B$40,MATCH($A101,Roster!$A$2:$A$40,0)),"?"))</f>
        <v/>
      </c>
      <c r="C101" s="28" t="inlineStr">
        <is>
          <t>Spark_1</t>
        </is>
      </c>
      <c r="D101" s="16">
        <f>IF($C101="","",IFERROR(IF(INDEX(Deals!$C$2:$C$355,MATCH($C101,Deals!$A$2:$A$355,0))=0,"",INDEX(Deals!$C$2:$C$355,MATCH($C101,Deals!$A$2:$A$355,0))),"?"))</f>
        <v/>
      </c>
      <c r="E101" s="16">
        <f>IF($C101="","",IFERROR(INDEX(Deals!$F$2:$F$355,MATCH($C101,Deals!$A$2:$A$355,0)),"?"))</f>
        <v/>
      </c>
      <c r="F101" s="28" t="inlineStr">
        <is>
          <t>Partner</t>
        </is>
      </c>
      <c r="G101" s="28" t="inlineStr">
        <is>
          <t>Active</t>
        </is>
      </c>
      <c r="H101" s="31" t="n"/>
      <c r="I101" s="32">
        <f>IF(OR($A101="",$G101&lt;&gt;"Active"),0,IF($H101&lt;&gt;"",$H101,IF($AO101&gt;0,$AP101,IF(AND($R101&lt;&gt;"",IFERROR(INDEX(Templates!$B$3:$H$10,MATCH($R101,Templates!$A$3:$A$10,0),MATCH($F101,Templates!$B$2:$H$2,0)),0)&gt;0),INDEX(Templates!$B$3:$H$10,MATCH($R101,Templates!$A$3:$A$10,0),MATCH($F101,Templates!$B$2:$H$2,0)),IFERROR(INDEX(Settings!$B$8:$B$14,MATCH($F101,Settings!$A$8:$A$14,0)),0)))))</f>
        <v/>
      </c>
      <c r="J101" s="21">
        <f>IF($C101="",0,IFERROR(INDEX(Deals!$H$2:$H$355,MATCH($C101,Deals!$A$2:$A$355,0)),0))</f>
        <v/>
      </c>
      <c r="K101" s="32">
        <f>IF(Settings!$B$4="Yes",$I101*$J101,$I101)</f>
        <v/>
      </c>
      <c r="L101" s="22">
        <f>IF($C101="","",IFERROR(IF(INDEX(Deals!$I$2:$I$355,MATCH($C101,Deals!$A$2:$A$355,0))=0,"",INDEX(Deals!$I$2:$I$355,MATCH($C101,Deals!$A$2:$A$355,0))),""))</f>
        <v/>
      </c>
      <c r="M101" s="22">
        <f>IF($C101="","",IFERROR(IF(INDEX(Deals!$J$2:$J$355,MATCH($C101,Deals!$A$2:$A$355,0))=0,"",INDEX(Deals!$J$2:$J$355,MATCH($C101,Deals!$A$2:$A$355,0))),""))</f>
        <v/>
      </c>
      <c r="N101" s="35">
        <f>IF($L101="",DATE(1900,1,1),$L101)</f>
        <v/>
      </c>
      <c r="O101" s="35">
        <f>IF($M101="",DATE(2100,12,31),$M101)</f>
        <v/>
      </c>
      <c r="P101" s="20" t="inlineStr"/>
      <c r="Q101" s="47" t="inlineStr"/>
      <c r="R101" s="16">
        <f>IF($C101="","",IFERROR(IF(INDEX(Deals!$U$2:$U$355,MATCH($C101,Deals!$A$2:$A$355,0))=0,"",INDEX(Deals!$U$2:$U$355,MATCH($C101,Deals!$A$2:$A$355,0))),""))</f>
        <v/>
      </c>
      <c r="S101" s="34">
        <f>IFERROR(IF($U101="",1,INDEX(Deals!$V$2:$V$355,MATCH($C101,Deals!$A$2:$A$355,0))),1)</f>
        <v/>
      </c>
      <c r="T101" s="34">
        <f>IFERROR(IF($U101="",1,INDEX(Deals!$W$2:$W$355,MATCH($C101,Deals!$A$2:$A$355,0))),1)</f>
        <v/>
      </c>
      <c r="U101" s="22">
        <f>IF($C101="","",IFERROR(IF(INDEX(Deals!$Y$2:$Y$355,MATCH($C101,Deals!$A$2:$A$355,0))=0,"",INDEX(Deals!$Y$2:$Y$355,MATCH($C101,Deals!$A$2:$A$355,0))),""))</f>
        <v/>
      </c>
      <c r="V101" s="35">
        <f>IF(OR($U101&lt;&gt;"",AND($AO101&gt;0,$L101&lt;&gt;"",$M101&lt;&gt;"")),$N101,DATE(1900,1,1))</f>
        <v/>
      </c>
      <c r="W101" s="35">
        <f>IF($U101&lt;&gt;"",$U101,IF(AND($AO101&gt;0,$L101&lt;&gt;"",$M101&lt;&gt;""),$O101,DATE(2100,12,31)))</f>
        <v/>
      </c>
      <c r="X101" s="32">
        <f>IF($U101="",$K101,$K101*$S101)</f>
        <v/>
      </c>
      <c r="Y101" s="35">
        <f>IF($U101="",DATE(2100,12,31),$U101+1)</f>
        <v/>
      </c>
      <c r="Z101" s="35">
        <f>IF($U101="",DATE(1900,1,1),$O101)</f>
        <v/>
      </c>
      <c r="AA101" s="32">
        <f>IF($U101="",0,$K101*$T101)</f>
        <v/>
      </c>
      <c r="AB101" s="21">
        <f>IF($C101="",0,IFERROR(INDEX(Deals!$AD$2:$AD$355,MATCH($C101,Deals!$A$2:$A$355,0)),0))</f>
        <v/>
      </c>
      <c r="AC101" s="32">
        <f>IF(Settings!$B$4="Yes",$I101*$AB101,$I101)</f>
        <v/>
      </c>
      <c r="AD101" s="22">
        <f>IF($C101="","",IFERROR(IF(INDEX(Deals!$AE$2:$AE$355,MATCH($C101,Deals!$A$2:$A$355,0))=0,"",INDEX(Deals!$AE$2:$AE$355,MATCH($C101,Deals!$A$2:$A$355,0))),""))</f>
        <v/>
      </c>
      <c r="AE101" s="22">
        <f>IF($C101="","",IFERROR(IF(INDEX(Deals!$AF$2:$AF$355,MATCH($C101,Deals!$A$2:$A$355,0))=0,"",INDEX(Deals!$AF$2:$AF$355,MATCH($C101,Deals!$A$2:$A$355,0))),""))</f>
        <v/>
      </c>
      <c r="AF101" s="35">
        <f>IF($AD101="",DATE(1900,1,1),$AD101)</f>
        <v/>
      </c>
      <c r="AG101" s="35">
        <f>IF($AE101="",DATE(2100,12,31),$AE101)</f>
        <v/>
      </c>
      <c r="AH101" s="22">
        <f>IF($C101="","",IFERROR(IF(INDEX(Deals!$AG$2:$AG$355,MATCH($C101,Deals!$A$2:$A$355,0))=0,"",INDEX(Deals!$AG$2:$AG$355,MATCH($C101,Deals!$A$2:$A$355,0))),""))</f>
        <v/>
      </c>
      <c r="AI101" s="35">
        <f>IF(OR($AH101&lt;&gt;"",AND($AO101&gt;0,$AD101&lt;&gt;"",$AE101&lt;&gt;"")),$AF101,DATE(1900,1,1))</f>
        <v/>
      </c>
      <c r="AJ101" s="35">
        <f>IF($AH101&lt;&gt;"",$AH101,IF(AND($AO101&gt;0,$AD101&lt;&gt;"",$AE101&lt;&gt;""),$AG101,DATE(2100,12,31)))</f>
        <v/>
      </c>
      <c r="AK101" s="32">
        <f>IF($AH101="",$AC101,$AC101*$S101)</f>
        <v/>
      </c>
      <c r="AL101" s="35">
        <f>IF($AH101="",DATE(2100,12,31),$AH101+1)</f>
        <v/>
      </c>
      <c r="AM101" s="35">
        <f>IF($AH101="",DATE(1900,1,1),$AG101)</f>
        <v/>
      </c>
      <c r="AN101" s="32">
        <f>IF($AH101="",0,$AC101*$T101)</f>
        <v/>
      </c>
      <c r="AO101" s="46">
        <f>IF($C101="",0,IFERROR(INDEX(Deals!$BD$2:$BD$355,MATCH($C101,Deals!$A$2:$A$355,0)),0))</f>
        <v/>
      </c>
      <c r="AP101" s="18">
        <f>IF($AO101=0,0,IFERROR(INDEX(Deals!$BJ$2:$BP$355,MATCH($C101,Deals!$A$2:$A$355,0),MATCH($F101,Deals!$BJ$1:$BP$1,0))/COUNTIFS(Assignments!$C$2:$C$769,$C101,Assignments!$F$2:$F$769,$F101,Assignments!$G$2:$G$769,"Active"),0))</f>
        <v/>
      </c>
    </row>
    <row r="102">
      <c r="A102" s="28" t="inlineStr">
        <is>
          <t>Kyle Kidd</t>
        </is>
      </c>
      <c r="B102" s="16">
        <f>IF($A102="","",IFERROR(INDEX(Roster!$B$2:$B$40,MATCH($A102,Roster!$A$2:$A$40,0)),"?"))</f>
        <v/>
      </c>
      <c r="C102" s="28" t="inlineStr">
        <is>
          <t>5C Ocean_1</t>
        </is>
      </c>
      <c r="D102" s="16">
        <f>IF($C102="","",IFERROR(IF(INDEX(Deals!$C$2:$C$355,MATCH($C102,Deals!$A$2:$A$355,0))=0,"",INDEX(Deals!$C$2:$C$355,MATCH($C102,Deals!$A$2:$A$355,0))),"?"))</f>
        <v/>
      </c>
      <c r="E102" s="16">
        <f>IF($C102="","",IFERROR(INDEX(Deals!$F$2:$F$355,MATCH($C102,Deals!$A$2:$A$355,0)),"?"))</f>
        <v/>
      </c>
      <c r="F102" s="28" t="inlineStr">
        <is>
          <t>Partner</t>
        </is>
      </c>
      <c r="G102" s="28" t="inlineStr">
        <is>
          <t>Active</t>
        </is>
      </c>
      <c r="H102" s="31" t="n"/>
      <c r="I102" s="32">
        <f>IF(OR($A102="",$G102&lt;&gt;"Active"),0,IF($H102&lt;&gt;"",$H102,IF($AO102&gt;0,$AP102,IF(AND($R102&lt;&gt;"",IFERROR(INDEX(Templates!$B$3:$H$10,MATCH($R102,Templates!$A$3:$A$10,0),MATCH($F102,Templates!$B$2:$H$2,0)),0)&gt;0),INDEX(Templates!$B$3:$H$10,MATCH($R102,Templates!$A$3:$A$10,0),MATCH($F102,Templates!$B$2:$H$2,0)),IFERROR(INDEX(Settings!$B$8:$B$14,MATCH($F102,Settings!$A$8:$A$14,0)),0)))))</f>
        <v/>
      </c>
      <c r="J102" s="21">
        <f>IF($C102="",0,IFERROR(INDEX(Deals!$H$2:$H$355,MATCH($C102,Deals!$A$2:$A$355,0)),0))</f>
        <v/>
      </c>
      <c r="K102" s="32">
        <f>IF(Settings!$B$4="Yes",$I102*$J102,$I102)</f>
        <v/>
      </c>
      <c r="L102" s="22">
        <f>IF($C102="","",IFERROR(IF(INDEX(Deals!$I$2:$I$355,MATCH($C102,Deals!$A$2:$A$355,0))=0,"",INDEX(Deals!$I$2:$I$355,MATCH($C102,Deals!$A$2:$A$355,0))),""))</f>
        <v/>
      </c>
      <c r="M102" s="22">
        <f>IF($C102="","",IFERROR(IF(INDEX(Deals!$J$2:$J$355,MATCH($C102,Deals!$A$2:$A$355,0))=0,"",INDEX(Deals!$J$2:$J$355,MATCH($C102,Deals!$A$2:$A$355,0))),""))</f>
        <v/>
      </c>
      <c r="N102" s="35">
        <f>IF($L102="",DATE(1900,1,1),$L102)</f>
        <v/>
      </c>
      <c r="O102" s="35">
        <f>IF($M102="",DATE(2100,12,31),$M102)</f>
        <v/>
      </c>
      <c r="P102" s="20" t="inlineStr"/>
      <c r="Q102" s="47" t="inlineStr"/>
      <c r="R102" s="16">
        <f>IF($C102="","",IFERROR(IF(INDEX(Deals!$U$2:$U$355,MATCH($C102,Deals!$A$2:$A$355,0))=0,"",INDEX(Deals!$U$2:$U$355,MATCH($C102,Deals!$A$2:$A$355,0))),""))</f>
        <v/>
      </c>
      <c r="S102" s="34">
        <f>IFERROR(IF($U102="",1,INDEX(Deals!$V$2:$V$355,MATCH($C102,Deals!$A$2:$A$355,0))),1)</f>
        <v/>
      </c>
      <c r="T102" s="34">
        <f>IFERROR(IF($U102="",1,INDEX(Deals!$W$2:$W$355,MATCH($C102,Deals!$A$2:$A$355,0))),1)</f>
        <v/>
      </c>
      <c r="U102" s="22">
        <f>IF($C102="","",IFERROR(IF(INDEX(Deals!$Y$2:$Y$355,MATCH($C102,Deals!$A$2:$A$355,0))=0,"",INDEX(Deals!$Y$2:$Y$355,MATCH($C102,Deals!$A$2:$A$355,0))),""))</f>
        <v/>
      </c>
      <c r="V102" s="35">
        <f>IF(OR($U102&lt;&gt;"",AND($AO102&gt;0,$L102&lt;&gt;"",$M102&lt;&gt;"")),$N102,DATE(1900,1,1))</f>
        <v/>
      </c>
      <c r="W102" s="35">
        <f>IF($U102&lt;&gt;"",$U102,IF(AND($AO102&gt;0,$L102&lt;&gt;"",$M102&lt;&gt;""),$O102,DATE(2100,12,31)))</f>
        <v/>
      </c>
      <c r="X102" s="32">
        <f>IF($U102="",$K102,$K102*$S102)</f>
        <v/>
      </c>
      <c r="Y102" s="35">
        <f>IF($U102="",DATE(2100,12,31),$U102+1)</f>
        <v/>
      </c>
      <c r="Z102" s="35">
        <f>IF($U102="",DATE(1900,1,1),$O102)</f>
        <v/>
      </c>
      <c r="AA102" s="32">
        <f>IF($U102="",0,$K102*$T102)</f>
        <v/>
      </c>
      <c r="AB102" s="21">
        <f>IF($C102="",0,IFERROR(INDEX(Deals!$AD$2:$AD$355,MATCH($C102,Deals!$A$2:$A$355,0)),0))</f>
        <v/>
      </c>
      <c r="AC102" s="32">
        <f>IF(Settings!$B$4="Yes",$I102*$AB102,$I102)</f>
        <v/>
      </c>
      <c r="AD102" s="22">
        <f>IF($C102="","",IFERROR(IF(INDEX(Deals!$AE$2:$AE$355,MATCH($C102,Deals!$A$2:$A$355,0))=0,"",INDEX(Deals!$AE$2:$AE$355,MATCH($C102,Deals!$A$2:$A$355,0))),""))</f>
        <v/>
      </c>
      <c r="AE102" s="22">
        <f>IF($C102="","",IFERROR(IF(INDEX(Deals!$AF$2:$AF$355,MATCH($C102,Deals!$A$2:$A$355,0))=0,"",INDEX(Deals!$AF$2:$AF$355,MATCH($C102,Deals!$A$2:$A$355,0))),""))</f>
        <v/>
      </c>
      <c r="AF102" s="35">
        <f>IF($AD102="",DATE(1900,1,1),$AD102)</f>
        <v/>
      </c>
      <c r="AG102" s="35">
        <f>IF($AE102="",DATE(2100,12,31),$AE102)</f>
        <v/>
      </c>
      <c r="AH102" s="22">
        <f>IF($C102="","",IFERROR(IF(INDEX(Deals!$AG$2:$AG$355,MATCH($C102,Deals!$A$2:$A$355,0))=0,"",INDEX(Deals!$AG$2:$AG$355,MATCH($C102,Deals!$A$2:$A$355,0))),""))</f>
        <v/>
      </c>
      <c r="AI102" s="35">
        <f>IF(OR($AH102&lt;&gt;"",AND($AO102&gt;0,$AD102&lt;&gt;"",$AE102&lt;&gt;"")),$AF102,DATE(1900,1,1))</f>
        <v/>
      </c>
      <c r="AJ102" s="35">
        <f>IF($AH102&lt;&gt;"",$AH102,IF(AND($AO102&gt;0,$AD102&lt;&gt;"",$AE102&lt;&gt;""),$AG102,DATE(2100,12,31)))</f>
        <v/>
      </c>
      <c r="AK102" s="32">
        <f>IF($AH102="",$AC102,$AC102*$S102)</f>
        <v/>
      </c>
      <c r="AL102" s="35">
        <f>IF($AH102="",DATE(2100,12,31),$AH102+1)</f>
        <v/>
      </c>
      <c r="AM102" s="35">
        <f>IF($AH102="",DATE(1900,1,1),$AG102)</f>
        <v/>
      </c>
      <c r="AN102" s="32">
        <f>IF($AH102="",0,$AC102*$T102)</f>
        <v/>
      </c>
      <c r="AO102" s="46">
        <f>IF($C102="",0,IFERROR(INDEX(Deals!$BD$2:$BD$355,MATCH($C102,Deals!$A$2:$A$355,0)),0))</f>
        <v/>
      </c>
      <c r="AP102" s="18">
        <f>IF($AO102=0,0,IFERROR(INDEX(Deals!$BJ$2:$BP$355,MATCH($C102,Deals!$A$2:$A$355,0),MATCH($F102,Deals!$BJ$1:$BP$1,0))/COUNTIFS(Assignments!$C$2:$C$769,$C102,Assignments!$F$2:$F$769,$F102,Assignments!$G$2:$G$769,"Active"),0))</f>
        <v/>
      </c>
    </row>
    <row r="103">
      <c r="A103" s="28" t="inlineStr">
        <is>
          <t>Kyle Kidd</t>
        </is>
      </c>
      <c r="B103" s="16">
        <f>IF($A103="","",IFERROR(INDEX(Roster!$B$2:$B$40,MATCH($A103,Roster!$A$2:$A$40,0)),"?"))</f>
        <v/>
      </c>
      <c r="C103" s="28" t="inlineStr">
        <is>
          <t>Ad-Hoc_1</t>
        </is>
      </c>
      <c r="D103" s="16">
        <f>IF($C103="","",IFERROR(IF(INDEX(Deals!$C$2:$C$355,MATCH($C103,Deals!$A$2:$A$355,0))=0,"",INDEX(Deals!$C$2:$C$355,MATCH($C103,Deals!$A$2:$A$355,0))),"?"))</f>
        <v/>
      </c>
      <c r="E103" s="16">
        <f>IF($C103="","",IFERROR(INDEX(Deals!$F$2:$F$355,MATCH($C103,Deals!$A$2:$A$355,0)),"?"))</f>
        <v/>
      </c>
      <c r="F103" s="28" t="inlineStr">
        <is>
          <t>Partner</t>
        </is>
      </c>
      <c r="G103" s="28" t="inlineStr">
        <is>
          <t>Active</t>
        </is>
      </c>
      <c r="H103" s="31" t="n"/>
      <c r="I103" s="32">
        <f>IF(OR($A103="",$G103&lt;&gt;"Active"),0,IF($H103&lt;&gt;"",$H103,IF($AO103&gt;0,$AP103,IF(AND($R103&lt;&gt;"",IFERROR(INDEX(Templates!$B$3:$H$10,MATCH($R103,Templates!$A$3:$A$10,0),MATCH($F103,Templates!$B$2:$H$2,0)),0)&gt;0),INDEX(Templates!$B$3:$H$10,MATCH($R103,Templates!$A$3:$A$10,0),MATCH($F103,Templates!$B$2:$H$2,0)),IFERROR(INDEX(Settings!$B$8:$B$14,MATCH($F103,Settings!$A$8:$A$14,0)),0)))))</f>
        <v/>
      </c>
      <c r="J103" s="21">
        <f>IF($C103="",0,IFERROR(INDEX(Deals!$H$2:$H$355,MATCH($C103,Deals!$A$2:$A$355,0)),0))</f>
        <v/>
      </c>
      <c r="K103" s="32">
        <f>IF(Settings!$B$4="Yes",$I103*$J103,$I103)</f>
        <v/>
      </c>
      <c r="L103" s="22">
        <f>IF($C103="","",IFERROR(IF(INDEX(Deals!$I$2:$I$355,MATCH($C103,Deals!$A$2:$A$355,0))=0,"",INDEX(Deals!$I$2:$I$355,MATCH($C103,Deals!$A$2:$A$355,0))),""))</f>
        <v/>
      </c>
      <c r="M103" s="22">
        <f>IF($C103="","",IFERROR(IF(INDEX(Deals!$J$2:$J$355,MATCH($C103,Deals!$A$2:$A$355,0))=0,"",INDEX(Deals!$J$2:$J$355,MATCH($C103,Deals!$A$2:$A$355,0))),""))</f>
        <v/>
      </c>
      <c r="N103" s="35">
        <f>IF($L103="",DATE(1900,1,1),$L103)</f>
        <v/>
      </c>
      <c r="O103" s="35">
        <f>IF($M103="",DATE(2100,12,31),$M103)</f>
        <v/>
      </c>
      <c r="P103" s="20" t="inlineStr"/>
      <c r="Q103" s="47" t="inlineStr"/>
      <c r="R103" s="16">
        <f>IF($C103="","",IFERROR(IF(INDEX(Deals!$U$2:$U$355,MATCH($C103,Deals!$A$2:$A$355,0))=0,"",INDEX(Deals!$U$2:$U$355,MATCH($C103,Deals!$A$2:$A$355,0))),""))</f>
        <v/>
      </c>
      <c r="S103" s="34">
        <f>IFERROR(IF($U103="",1,INDEX(Deals!$V$2:$V$355,MATCH($C103,Deals!$A$2:$A$355,0))),1)</f>
        <v/>
      </c>
      <c r="T103" s="34">
        <f>IFERROR(IF($U103="",1,INDEX(Deals!$W$2:$W$355,MATCH($C103,Deals!$A$2:$A$355,0))),1)</f>
        <v/>
      </c>
      <c r="U103" s="22">
        <f>IF($C103="","",IFERROR(IF(INDEX(Deals!$Y$2:$Y$355,MATCH($C103,Deals!$A$2:$A$355,0))=0,"",INDEX(Deals!$Y$2:$Y$355,MATCH($C103,Deals!$A$2:$A$355,0))),""))</f>
        <v/>
      </c>
      <c r="V103" s="35">
        <f>IF(OR($U103&lt;&gt;"",AND($AO103&gt;0,$L103&lt;&gt;"",$M103&lt;&gt;"")),$N103,DATE(1900,1,1))</f>
        <v/>
      </c>
      <c r="W103" s="35">
        <f>IF($U103&lt;&gt;"",$U103,IF(AND($AO103&gt;0,$L103&lt;&gt;"",$M103&lt;&gt;""),$O103,DATE(2100,12,31)))</f>
        <v/>
      </c>
      <c r="X103" s="32">
        <f>IF($U103="",$K103,$K103*$S103)</f>
        <v/>
      </c>
      <c r="Y103" s="35">
        <f>IF($U103="",DATE(2100,12,31),$U103+1)</f>
        <v/>
      </c>
      <c r="Z103" s="35">
        <f>IF($U103="",DATE(1900,1,1),$O103)</f>
        <v/>
      </c>
      <c r="AA103" s="32">
        <f>IF($U103="",0,$K103*$T103)</f>
        <v/>
      </c>
      <c r="AB103" s="21">
        <f>IF($C103="",0,IFERROR(INDEX(Deals!$AD$2:$AD$355,MATCH($C103,Deals!$A$2:$A$355,0)),0))</f>
        <v/>
      </c>
      <c r="AC103" s="32">
        <f>IF(Settings!$B$4="Yes",$I103*$AB103,$I103)</f>
        <v/>
      </c>
      <c r="AD103" s="22">
        <f>IF($C103="","",IFERROR(IF(INDEX(Deals!$AE$2:$AE$355,MATCH($C103,Deals!$A$2:$A$355,0))=0,"",INDEX(Deals!$AE$2:$AE$355,MATCH($C103,Deals!$A$2:$A$355,0))),""))</f>
        <v/>
      </c>
      <c r="AE103" s="22">
        <f>IF($C103="","",IFERROR(IF(INDEX(Deals!$AF$2:$AF$355,MATCH($C103,Deals!$A$2:$A$355,0))=0,"",INDEX(Deals!$AF$2:$AF$355,MATCH($C103,Deals!$A$2:$A$355,0))),""))</f>
        <v/>
      </c>
      <c r="AF103" s="35">
        <f>IF($AD103="",DATE(1900,1,1),$AD103)</f>
        <v/>
      </c>
      <c r="AG103" s="35">
        <f>IF($AE103="",DATE(2100,12,31),$AE103)</f>
        <v/>
      </c>
      <c r="AH103" s="22">
        <f>IF($C103="","",IFERROR(IF(INDEX(Deals!$AG$2:$AG$355,MATCH($C103,Deals!$A$2:$A$355,0))=0,"",INDEX(Deals!$AG$2:$AG$355,MATCH($C103,Deals!$A$2:$A$355,0))),""))</f>
        <v/>
      </c>
      <c r="AI103" s="35">
        <f>IF(OR($AH103&lt;&gt;"",AND($AO103&gt;0,$AD103&lt;&gt;"",$AE103&lt;&gt;"")),$AF103,DATE(1900,1,1))</f>
        <v/>
      </c>
      <c r="AJ103" s="35">
        <f>IF($AH103&lt;&gt;"",$AH103,IF(AND($AO103&gt;0,$AD103&lt;&gt;"",$AE103&lt;&gt;""),$AG103,DATE(2100,12,31)))</f>
        <v/>
      </c>
      <c r="AK103" s="32">
        <f>IF($AH103="",$AC103,$AC103*$S103)</f>
        <v/>
      </c>
      <c r="AL103" s="35">
        <f>IF($AH103="",DATE(2100,12,31),$AH103+1)</f>
        <v/>
      </c>
      <c r="AM103" s="35">
        <f>IF($AH103="",DATE(1900,1,1),$AG103)</f>
        <v/>
      </c>
      <c r="AN103" s="32">
        <f>IF($AH103="",0,$AC103*$T103)</f>
        <v/>
      </c>
      <c r="AO103" s="46">
        <f>IF($C103="",0,IFERROR(INDEX(Deals!$BD$2:$BD$355,MATCH($C103,Deals!$A$2:$A$355,0)),0))</f>
        <v/>
      </c>
      <c r="AP103" s="18">
        <f>IF($AO103=0,0,IFERROR(INDEX(Deals!$BJ$2:$BP$355,MATCH($C103,Deals!$A$2:$A$355,0),MATCH($F103,Deals!$BJ$1:$BP$1,0))/COUNTIFS(Assignments!$C$2:$C$769,$C103,Assignments!$F$2:$F$769,$F103,Assignments!$G$2:$G$769,"Active"),0))</f>
        <v/>
      </c>
    </row>
    <row r="104">
      <c r="A104" s="28" t="inlineStr">
        <is>
          <t>Kyle Kidd</t>
        </is>
      </c>
      <c r="B104" s="16">
        <f>IF($A104="","",IFERROR(INDEX(Roster!$B$2:$B$40,MATCH($A104,Roster!$A$2:$A$40,0)),"?"))</f>
        <v/>
      </c>
      <c r="C104" s="28" t="inlineStr">
        <is>
          <t>AOP Model_1</t>
        </is>
      </c>
      <c r="D104" s="16">
        <f>IF($C104="","",IFERROR(IF(INDEX(Deals!$C$2:$C$355,MATCH($C104,Deals!$A$2:$A$355,0))=0,"",INDEX(Deals!$C$2:$C$355,MATCH($C104,Deals!$A$2:$A$355,0))),"?"))</f>
        <v/>
      </c>
      <c r="E104" s="16">
        <f>IF($C104="","",IFERROR(INDEX(Deals!$F$2:$F$355,MATCH($C104,Deals!$A$2:$A$355,0)),"?"))</f>
        <v/>
      </c>
      <c r="F104" s="28" t="inlineStr">
        <is>
          <t>Partner</t>
        </is>
      </c>
      <c r="G104" s="28" t="inlineStr">
        <is>
          <t>Active</t>
        </is>
      </c>
      <c r="H104" s="31" t="n"/>
      <c r="I104" s="32">
        <f>IF(OR($A104="",$G104&lt;&gt;"Active"),0,IF($H104&lt;&gt;"",$H104,IF($AO104&gt;0,$AP104,IF(AND($R104&lt;&gt;"",IFERROR(INDEX(Templates!$B$3:$H$10,MATCH($R104,Templates!$A$3:$A$10,0),MATCH($F104,Templates!$B$2:$H$2,0)),0)&gt;0),INDEX(Templates!$B$3:$H$10,MATCH($R104,Templates!$A$3:$A$10,0),MATCH($F104,Templates!$B$2:$H$2,0)),IFERROR(INDEX(Settings!$B$8:$B$14,MATCH($F104,Settings!$A$8:$A$14,0)),0)))))</f>
        <v/>
      </c>
      <c r="J104" s="21">
        <f>IF($C104="",0,IFERROR(INDEX(Deals!$H$2:$H$355,MATCH($C104,Deals!$A$2:$A$355,0)),0))</f>
        <v/>
      </c>
      <c r="K104" s="32">
        <f>IF(Settings!$B$4="Yes",$I104*$J104,$I104)</f>
        <v/>
      </c>
      <c r="L104" s="22">
        <f>IF($C104="","",IFERROR(IF(INDEX(Deals!$I$2:$I$355,MATCH($C104,Deals!$A$2:$A$355,0))=0,"",INDEX(Deals!$I$2:$I$355,MATCH($C104,Deals!$A$2:$A$355,0))),""))</f>
        <v/>
      </c>
      <c r="M104" s="22">
        <f>IF($C104="","",IFERROR(IF(INDEX(Deals!$J$2:$J$355,MATCH($C104,Deals!$A$2:$A$355,0))=0,"",INDEX(Deals!$J$2:$J$355,MATCH($C104,Deals!$A$2:$A$355,0))),""))</f>
        <v/>
      </c>
      <c r="N104" s="35">
        <f>IF($L104="",DATE(1900,1,1),$L104)</f>
        <v/>
      </c>
      <c r="O104" s="35">
        <f>IF($M104="",DATE(2100,12,31),$M104)</f>
        <v/>
      </c>
      <c r="P104" s="20" t="inlineStr"/>
      <c r="Q104" s="47" t="inlineStr"/>
      <c r="R104" s="16">
        <f>IF($C104="","",IFERROR(IF(INDEX(Deals!$U$2:$U$355,MATCH($C104,Deals!$A$2:$A$355,0))=0,"",INDEX(Deals!$U$2:$U$355,MATCH($C104,Deals!$A$2:$A$355,0))),""))</f>
        <v/>
      </c>
      <c r="S104" s="34">
        <f>IFERROR(IF($U104="",1,INDEX(Deals!$V$2:$V$355,MATCH($C104,Deals!$A$2:$A$355,0))),1)</f>
        <v/>
      </c>
      <c r="T104" s="34">
        <f>IFERROR(IF($U104="",1,INDEX(Deals!$W$2:$W$355,MATCH($C104,Deals!$A$2:$A$355,0))),1)</f>
        <v/>
      </c>
      <c r="U104" s="22">
        <f>IF($C104="","",IFERROR(IF(INDEX(Deals!$Y$2:$Y$355,MATCH($C104,Deals!$A$2:$A$355,0))=0,"",INDEX(Deals!$Y$2:$Y$355,MATCH($C104,Deals!$A$2:$A$355,0))),""))</f>
        <v/>
      </c>
      <c r="V104" s="35">
        <f>IF(OR($U104&lt;&gt;"",AND($AO104&gt;0,$L104&lt;&gt;"",$M104&lt;&gt;"")),$N104,DATE(1900,1,1))</f>
        <v/>
      </c>
      <c r="W104" s="35">
        <f>IF($U104&lt;&gt;"",$U104,IF(AND($AO104&gt;0,$L104&lt;&gt;"",$M104&lt;&gt;""),$O104,DATE(2100,12,31)))</f>
        <v/>
      </c>
      <c r="X104" s="32">
        <f>IF($U104="",$K104,$K104*$S104)</f>
        <v/>
      </c>
      <c r="Y104" s="35">
        <f>IF($U104="",DATE(2100,12,31),$U104+1)</f>
        <v/>
      </c>
      <c r="Z104" s="35">
        <f>IF($U104="",DATE(1900,1,1),$O104)</f>
        <v/>
      </c>
      <c r="AA104" s="32">
        <f>IF($U104="",0,$K104*$T104)</f>
        <v/>
      </c>
      <c r="AB104" s="21">
        <f>IF($C104="",0,IFERROR(INDEX(Deals!$AD$2:$AD$355,MATCH($C104,Deals!$A$2:$A$355,0)),0))</f>
        <v/>
      </c>
      <c r="AC104" s="32">
        <f>IF(Settings!$B$4="Yes",$I104*$AB104,$I104)</f>
        <v/>
      </c>
      <c r="AD104" s="22">
        <f>IF($C104="","",IFERROR(IF(INDEX(Deals!$AE$2:$AE$355,MATCH($C104,Deals!$A$2:$A$355,0))=0,"",INDEX(Deals!$AE$2:$AE$355,MATCH($C104,Deals!$A$2:$A$355,0))),""))</f>
        <v/>
      </c>
      <c r="AE104" s="22">
        <f>IF($C104="","",IFERROR(IF(INDEX(Deals!$AF$2:$AF$355,MATCH($C104,Deals!$A$2:$A$355,0))=0,"",INDEX(Deals!$AF$2:$AF$355,MATCH($C104,Deals!$A$2:$A$355,0))),""))</f>
        <v/>
      </c>
      <c r="AF104" s="35">
        <f>IF($AD104="",DATE(1900,1,1),$AD104)</f>
        <v/>
      </c>
      <c r="AG104" s="35">
        <f>IF($AE104="",DATE(2100,12,31),$AE104)</f>
        <v/>
      </c>
      <c r="AH104" s="22">
        <f>IF($C104="","",IFERROR(IF(INDEX(Deals!$AG$2:$AG$355,MATCH($C104,Deals!$A$2:$A$355,0))=0,"",INDEX(Deals!$AG$2:$AG$355,MATCH($C104,Deals!$A$2:$A$355,0))),""))</f>
        <v/>
      </c>
      <c r="AI104" s="35">
        <f>IF(OR($AH104&lt;&gt;"",AND($AO104&gt;0,$AD104&lt;&gt;"",$AE104&lt;&gt;"")),$AF104,DATE(1900,1,1))</f>
        <v/>
      </c>
      <c r="AJ104" s="35">
        <f>IF($AH104&lt;&gt;"",$AH104,IF(AND($AO104&gt;0,$AD104&lt;&gt;"",$AE104&lt;&gt;""),$AG104,DATE(2100,12,31)))</f>
        <v/>
      </c>
      <c r="AK104" s="32">
        <f>IF($AH104="",$AC104,$AC104*$S104)</f>
        <v/>
      </c>
      <c r="AL104" s="35">
        <f>IF($AH104="",DATE(2100,12,31),$AH104+1)</f>
        <v/>
      </c>
      <c r="AM104" s="35">
        <f>IF($AH104="",DATE(1900,1,1),$AG104)</f>
        <v/>
      </c>
      <c r="AN104" s="32">
        <f>IF($AH104="",0,$AC104*$T104)</f>
        <v/>
      </c>
      <c r="AO104" s="46">
        <f>IF($C104="",0,IFERROR(INDEX(Deals!$BD$2:$BD$355,MATCH($C104,Deals!$A$2:$A$355,0)),0))</f>
        <v/>
      </c>
      <c r="AP104" s="18">
        <f>IF($AO104=0,0,IFERROR(INDEX(Deals!$BJ$2:$BP$355,MATCH($C104,Deals!$A$2:$A$355,0),MATCH($F104,Deals!$BJ$1:$BP$1,0))/COUNTIFS(Assignments!$C$2:$C$769,$C104,Assignments!$F$2:$F$769,$F104,Assignments!$G$2:$G$769,"Active"),0))</f>
        <v/>
      </c>
    </row>
    <row r="105">
      <c r="A105" s="28" t="inlineStr">
        <is>
          <t>Kyle Kidd</t>
        </is>
      </c>
      <c r="B105" s="16">
        <f>IF($A105="","",IFERROR(INDEX(Roster!$B$2:$B$40,MATCH($A105,Roster!$A$2:$A$40,0)),"?"))</f>
        <v/>
      </c>
      <c r="C105" s="28" t="inlineStr">
        <is>
          <t>Ares FIRPTA_2</t>
        </is>
      </c>
      <c r="D105" s="16">
        <f>IF($C105="","",IFERROR(IF(INDEX(Deals!$C$2:$C$355,MATCH($C105,Deals!$A$2:$A$355,0))=0,"",INDEX(Deals!$C$2:$C$355,MATCH($C105,Deals!$A$2:$A$355,0))),"?"))</f>
        <v/>
      </c>
      <c r="E105" s="16">
        <f>IF($C105="","",IFERROR(INDEX(Deals!$F$2:$F$355,MATCH($C105,Deals!$A$2:$A$355,0)),"?"))</f>
        <v/>
      </c>
      <c r="F105" s="28" t="inlineStr">
        <is>
          <t>Partner</t>
        </is>
      </c>
      <c r="G105" s="28" t="inlineStr">
        <is>
          <t>Active</t>
        </is>
      </c>
      <c r="H105" s="31" t="n"/>
      <c r="I105" s="32">
        <f>IF(OR($A105="",$G105&lt;&gt;"Active"),0,IF($H105&lt;&gt;"",$H105,IF($AO105&gt;0,$AP105,IF(AND($R105&lt;&gt;"",IFERROR(INDEX(Templates!$B$3:$H$10,MATCH($R105,Templates!$A$3:$A$10,0),MATCH($F105,Templates!$B$2:$H$2,0)),0)&gt;0),INDEX(Templates!$B$3:$H$10,MATCH($R105,Templates!$A$3:$A$10,0),MATCH($F105,Templates!$B$2:$H$2,0)),IFERROR(INDEX(Settings!$B$8:$B$14,MATCH($F105,Settings!$A$8:$A$14,0)),0)))))</f>
        <v/>
      </c>
      <c r="J105" s="21">
        <f>IF($C105="",0,IFERROR(INDEX(Deals!$H$2:$H$355,MATCH($C105,Deals!$A$2:$A$355,0)),0))</f>
        <v/>
      </c>
      <c r="K105" s="32">
        <f>IF(Settings!$B$4="Yes",$I105*$J105,$I105)</f>
        <v/>
      </c>
      <c r="L105" s="22">
        <f>IF($C105="","",IFERROR(IF(INDEX(Deals!$I$2:$I$355,MATCH($C105,Deals!$A$2:$A$355,0))=0,"",INDEX(Deals!$I$2:$I$355,MATCH($C105,Deals!$A$2:$A$355,0))),""))</f>
        <v/>
      </c>
      <c r="M105" s="22">
        <f>IF($C105="","",IFERROR(IF(INDEX(Deals!$J$2:$J$355,MATCH($C105,Deals!$A$2:$A$355,0))=0,"",INDEX(Deals!$J$2:$J$355,MATCH($C105,Deals!$A$2:$A$355,0))),""))</f>
        <v/>
      </c>
      <c r="N105" s="35">
        <f>IF($L105="",DATE(1900,1,1),$L105)</f>
        <v/>
      </c>
      <c r="O105" s="35">
        <f>IF($M105="",DATE(2100,12,31),$M105)</f>
        <v/>
      </c>
      <c r="P105" s="20" t="inlineStr"/>
      <c r="Q105" s="47" t="inlineStr"/>
      <c r="R105" s="16">
        <f>IF($C105="","",IFERROR(IF(INDEX(Deals!$U$2:$U$355,MATCH($C105,Deals!$A$2:$A$355,0))=0,"",INDEX(Deals!$U$2:$U$355,MATCH($C105,Deals!$A$2:$A$355,0))),""))</f>
        <v/>
      </c>
      <c r="S105" s="34">
        <f>IFERROR(IF($U105="",1,INDEX(Deals!$V$2:$V$355,MATCH($C105,Deals!$A$2:$A$355,0))),1)</f>
        <v/>
      </c>
      <c r="T105" s="34">
        <f>IFERROR(IF($U105="",1,INDEX(Deals!$W$2:$W$355,MATCH($C105,Deals!$A$2:$A$355,0))),1)</f>
        <v/>
      </c>
      <c r="U105" s="22">
        <f>IF($C105="","",IFERROR(IF(INDEX(Deals!$Y$2:$Y$355,MATCH($C105,Deals!$A$2:$A$355,0))=0,"",INDEX(Deals!$Y$2:$Y$355,MATCH($C105,Deals!$A$2:$A$355,0))),""))</f>
        <v/>
      </c>
      <c r="V105" s="35">
        <f>IF(OR($U105&lt;&gt;"",AND($AO105&gt;0,$L105&lt;&gt;"",$M105&lt;&gt;"")),$N105,DATE(1900,1,1))</f>
        <v/>
      </c>
      <c r="W105" s="35">
        <f>IF($U105&lt;&gt;"",$U105,IF(AND($AO105&gt;0,$L105&lt;&gt;"",$M105&lt;&gt;""),$O105,DATE(2100,12,31)))</f>
        <v/>
      </c>
      <c r="X105" s="32">
        <f>IF($U105="",$K105,$K105*$S105)</f>
        <v/>
      </c>
      <c r="Y105" s="35">
        <f>IF($U105="",DATE(2100,12,31),$U105+1)</f>
        <v/>
      </c>
      <c r="Z105" s="35">
        <f>IF($U105="",DATE(1900,1,1),$O105)</f>
        <v/>
      </c>
      <c r="AA105" s="32">
        <f>IF($U105="",0,$K105*$T105)</f>
        <v/>
      </c>
      <c r="AB105" s="21">
        <f>IF($C105="",0,IFERROR(INDEX(Deals!$AD$2:$AD$355,MATCH($C105,Deals!$A$2:$A$355,0)),0))</f>
        <v/>
      </c>
      <c r="AC105" s="32">
        <f>IF(Settings!$B$4="Yes",$I105*$AB105,$I105)</f>
        <v/>
      </c>
      <c r="AD105" s="22">
        <f>IF($C105="","",IFERROR(IF(INDEX(Deals!$AE$2:$AE$355,MATCH($C105,Deals!$A$2:$A$355,0))=0,"",INDEX(Deals!$AE$2:$AE$355,MATCH($C105,Deals!$A$2:$A$355,0))),""))</f>
        <v/>
      </c>
      <c r="AE105" s="22">
        <f>IF($C105="","",IFERROR(IF(INDEX(Deals!$AF$2:$AF$355,MATCH($C105,Deals!$A$2:$A$355,0))=0,"",INDEX(Deals!$AF$2:$AF$355,MATCH($C105,Deals!$A$2:$A$355,0))),""))</f>
        <v/>
      </c>
      <c r="AF105" s="35">
        <f>IF($AD105="",DATE(1900,1,1),$AD105)</f>
        <v/>
      </c>
      <c r="AG105" s="35">
        <f>IF($AE105="",DATE(2100,12,31),$AE105)</f>
        <v/>
      </c>
      <c r="AH105" s="22">
        <f>IF($C105="","",IFERROR(IF(INDEX(Deals!$AG$2:$AG$355,MATCH($C105,Deals!$A$2:$A$355,0))=0,"",INDEX(Deals!$AG$2:$AG$355,MATCH($C105,Deals!$A$2:$A$355,0))),""))</f>
        <v/>
      </c>
      <c r="AI105" s="35">
        <f>IF(OR($AH105&lt;&gt;"",AND($AO105&gt;0,$AD105&lt;&gt;"",$AE105&lt;&gt;"")),$AF105,DATE(1900,1,1))</f>
        <v/>
      </c>
      <c r="AJ105" s="35">
        <f>IF($AH105&lt;&gt;"",$AH105,IF(AND($AO105&gt;0,$AD105&lt;&gt;"",$AE105&lt;&gt;""),$AG105,DATE(2100,12,31)))</f>
        <v/>
      </c>
      <c r="AK105" s="32">
        <f>IF($AH105="",$AC105,$AC105*$S105)</f>
        <v/>
      </c>
      <c r="AL105" s="35">
        <f>IF($AH105="",DATE(2100,12,31),$AH105+1)</f>
        <v/>
      </c>
      <c r="AM105" s="35">
        <f>IF($AH105="",DATE(1900,1,1),$AG105)</f>
        <v/>
      </c>
      <c r="AN105" s="32">
        <f>IF($AH105="",0,$AC105*$T105)</f>
        <v/>
      </c>
      <c r="AO105" s="46">
        <f>IF($C105="",0,IFERROR(INDEX(Deals!$BD$2:$BD$355,MATCH($C105,Deals!$A$2:$A$355,0)),0))</f>
        <v/>
      </c>
      <c r="AP105" s="18">
        <f>IF($AO105=0,0,IFERROR(INDEX(Deals!$BJ$2:$BP$355,MATCH($C105,Deals!$A$2:$A$355,0),MATCH($F105,Deals!$BJ$1:$BP$1,0))/COUNTIFS(Assignments!$C$2:$C$769,$C105,Assignments!$F$2:$F$769,$F105,Assignments!$G$2:$G$769,"Active"),0))</f>
        <v/>
      </c>
    </row>
    <row r="106">
      <c r="A106" s="28" t="inlineStr">
        <is>
          <t>Kyle Kidd</t>
        </is>
      </c>
      <c r="B106" s="16">
        <f>IF($A106="","",IFERROR(INDEX(Roster!$B$2:$B$40,MATCH($A106,Roster!$A$2:$A$40,0)),"?"))</f>
        <v/>
      </c>
      <c r="C106" s="28" t="inlineStr">
        <is>
          <t>Beacon_3</t>
        </is>
      </c>
      <c r="D106" s="16">
        <f>IF($C106="","",IFERROR(IF(INDEX(Deals!$C$2:$C$355,MATCH($C106,Deals!$A$2:$A$355,0))=0,"",INDEX(Deals!$C$2:$C$355,MATCH($C106,Deals!$A$2:$A$355,0))),"?"))</f>
        <v/>
      </c>
      <c r="E106" s="16">
        <f>IF($C106="","",IFERROR(INDEX(Deals!$F$2:$F$355,MATCH($C106,Deals!$A$2:$A$355,0)),"?"))</f>
        <v/>
      </c>
      <c r="F106" s="28" t="inlineStr">
        <is>
          <t>Partner</t>
        </is>
      </c>
      <c r="G106" s="28" t="inlineStr">
        <is>
          <t>Inactive</t>
        </is>
      </c>
      <c r="H106" s="31" t="n"/>
      <c r="I106" s="32">
        <f>IF(OR($A106="",$G106&lt;&gt;"Active"),0,IF($H106&lt;&gt;"",$H106,IF($AO106&gt;0,$AP106,IF(AND($R106&lt;&gt;"",IFERROR(INDEX(Templates!$B$3:$H$10,MATCH($R106,Templates!$A$3:$A$10,0),MATCH($F106,Templates!$B$2:$H$2,0)),0)&gt;0),INDEX(Templates!$B$3:$H$10,MATCH($R106,Templates!$A$3:$A$10,0),MATCH($F106,Templates!$B$2:$H$2,0)),IFERROR(INDEX(Settings!$B$8:$B$14,MATCH($F106,Settings!$A$8:$A$14,0)),0)))))</f>
        <v/>
      </c>
      <c r="J106" s="21">
        <f>IF($C106="",0,IFERROR(INDEX(Deals!$H$2:$H$355,MATCH($C106,Deals!$A$2:$A$355,0)),0))</f>
        <v/>
      </c>
      <c r="K106" s="32">
        <f>IF(Settings!$B$4="Yes",$I106*$J106,$I106)</f>
        <v/>
      </c>
      <c r="L106" s="22">
        <f>IF($C106="","",IFERROR(IF(INDEX(Deals!$I$2:$I$355,MATCH($C106,Deals!$A$2:$A$355,0))=0,"",INDEX(Deals!$I$2:$I$355,MATCH($C106,Deals!$A$2:$A$355,0))),""))</f>
        <v/>
      </c>
      <c r="M106" s="22">
        <f>IF($C106="","",IFERROR(IF(INDEX(Deals!$J$2:$J$355,MATCH($C106,Deals!$A$2:$A$355,0))=0,"",INDEX(Deals!$J$2:$J$355,MATCH($C106,Deals!$A$2:$A$355,0))),""))</f>
        <v/>
      </c>
      <c r="N106" s="35">
        <f>IF($L106="",DATE(1900,1,1),$L106)</f>
        <v/>
      </c>
      <c r="O106" s="35">
        <f>IF($M106="",DATE(2100,12,31),$M106)</f>
        <v/>
      </c>
      <c r="P106" s="20" t="inlineStr"/>
      <c r="Q106" s="47" t="inlineStr">
        <is>
          <t>Deal lifecycle is Dead</t>
        </is>
      </c>
      <c r="R106" s="16">
        <f>IF($C106="","",IFERROR(IF(INDEX(Deals!$U$2:$U$355,MATCH($C106,Deals!$A$2:$A$355,0))=0,"",INDEX(Deals!$U$2:$U$355,MATCH($C106,Deals!$A$2:$A$355,0))),""))</f>
        <v/>
      </c>
      <c r="S106" s="34">
        <f>IFERROR(IF($U106="",1,INDEX(Deals!$V$2:$V$355,MATCH($C106,Deals!$A$2:$A$355,0))),1)</f>
        <v/>
      </c>
      <c r="T106" s="34">
        <f>IFERROR(IF($U106="",1,INDEX(Deals!$W$2:$W$355,MATCH($C106,Deals!$A$2:$A$355,0))),1)</f>
        <v/>
      </c>
      <c r="U106" s="22">
        <f>IF($C106="","",IFERROR(IF(INDEX(Deals!$Y$2:$Y$355,MATCH($C106,Deals!$A$2:$A$355,0))=0,"",INDEX(Deals!$Y$2:$Y$355,MATCH($C106,Deals!$A$2:$A$355,0))),""))</f>
        <v/>
      </c>
      <c r="V106" s="35">
        <f>IF(OR($U106&lt;&gt;"",AND($AO106&gt;0,$L106&lt;&gt;"",$M106&lt;&gt;"")),$N106,DATE(1900,1,1))</f>
        <v/>
      </c>
      <c r="W106" s="35">
        <f>IF($U106&lt;&gt;"",$U106,IF(AND($AO106&gt;0,$L106&lt;&gt;"",$M106&lt;&gt;""),$O106,DATE(2100,12,31)))</f>
        <v/>
      </c>
      <c r="X106" s="32">
        <f>IF($U106="",$K106,$K106*$S106)</f>
        <v/>
      </c>
      <c r="Y106" s="35">
        <f>IF($U106="",DATE(2100,12,31),$U106+1)</f>
        <v/>
      </c>
      <c r="Z106" s="35">
        <f>IF($U106="",DATE(1900,1,1),$O106)</f>
        <v/>
      </c>
      <c r="AA106" s="32">
        <f>IF($U106="",0,$K106*$T106)</f>
        <v/>
      </c>
      <c r="AB106" s="21">
        <f>IF($C106="",0,IFERROR(INDEX(Deals!$AD$2:$AD$355,MATCH($C106,Deals!$A$2:$A$355,0)),0))</f>
        <v/>
      </c>
      <c r="AC106" s="32">
        <f>IF(Settings!$B$4="Yes",$I106*$AB106,$I106)</f>
        <v/>
      </c>
      <c r="AD106" s="22">
        <f>IF($C106="","",IFERROR(IF(INDEX(Deals!$AE$2:$AE$355,MATCH($C106,Deals!$A$2:$A$355,0))=0,"",INDEX(Deals!$AE$2:$AE$355,MATCH($C106,Deals!$A$2:$A$355,0))),""))</f>
        <v/>
      </c>
      <c r="AE106" s="22">
        <f>IF($C106="","",IFERROR(IF(INDEX(Deals!$AF$2:$AF$355,MATCH($C106,Deals!$A$2:$A$355,0))=0,"",INDEX(Deals!$AF$2:$AF$355,MATCH($C106,Deals!$A$2:$A$355,0))),""))</f>
        <v/>
      </c>
      <c r="AF106" s="35">
        <f>IF($AD106="",DATE(1900,1,1),$AD106)</f>
        <v/>
      </c>
      <c r="AG106" s="35">
        <f>IF($AE106="",DATE(2100,12,31),$AE106)</f>
        <v/>
      </c>
      <c r="AH106" s="22">
        <f>IF($C106="","",IFERROR(IF(INDEX(Deals!$AG$2:$AG$355,MATCH($C106,Deals!$A$2:$A$355,0))=0,"",INDEX(Deals!$AG$2:$AG$355,MATCH($C106,Deals!$A$2:$A$355,0))),""))</f>
        <v/>
      </c>
      <c r="AI106" s="35">
        <f>IF(OR($AH106&lt;&gt;"",AND($AO106&gt;0,$AD106&lt;&gt;"",$AE106&lt;&gt;"")),$AF106,DATE(1900,1,1))</f>
        <v/>
      </c>
      <c r="AJ106" s="35">
        <f>IF($AH106&lt;&gt;"",$AH106,IF(AND($AO106&gt;0,$AD106&lt;&gt;"",$AE106&lt;&gt;""),$AG106,DATE(2100,12,31)))</f>
        <v/>
      </c>
      <c r="AK106" s="32">
        <f>IF($AH106="",$AC106,$AC106*$S106)</f>
        <v/>
      </c>
      <c r="AL106" s="35">
        <f>IF($AH106="",DATE(2100,12,31),$AH106+1)</f>
        <v/>
      </c>
      <c r="AM106" s="35">
        <f>IF($AH106="",DATE(1900,1,1),$AG106)</f>
        <v/>
      </c>
      <c r="AN106" s="32">
        <f>IF($AH106="",0,$AC106*$T106)</f>
        <v/>
      </c>
      <c r="AO106" s="46">
        <f>IF($C106="",0,IFERROR(INDEX(Deals!$BD$2:$BD$355,MATCH($C106,Deals!$A$2:$A$355,0)),0))</f>
        <v/>
      </c>
      <c r="AP106" s="18">
        <f>IF($AO106=0,0,IFERROR(INDEX(Deals!$BJ$2:$BP$355,MATCH($C106,Deals!$A$2:$A$355,0),MATCH($F106,Deals!$BJ$1:$BP$1,0))/COUNTIFS(Assignments!$C$2:$C$769,$C106,Assignments!$F$2:$F$769,$F106,Assignments!$G$2:$G$769,"Active"),0))</f>
        <v/>
      </c>
    </row>
    <row r="107">
      <c r="A107" s="28" t="inlineStr">
        <is>
          <t>Kyle Kidd</t>
        </is>
      </c>
      <c r="B107" s="16">
        <f>IF($A107="","",IFERROR(INDEX(Roster!$B$2:$B$40,MATCH($A107,Roster!$A$2:$A$40,0)),"?"))</f>
        <v/>
      </c>
      <c r="C107" s="28" t="inlineStr">
        <is>
          <t>Blue_6</t>
        </is>
      </c>
      <c r="D107" s="16">
        <f>IF($C107="","",IFERROR(IF(INDEX(Deals!$C$2:$C$355,MATCH($C107,Deals!$A$2:$A$355,0))=0,"",INDEX(Deals!$C$2:$C$355,MATCH($C107,Deals!$A$2:$A$355,0))),"?"))</f>
        <v/>
      </c>
      <c r="E107" s="16">
        <f>IF($C107="","",IFERROR(INDEX(Deals!$F$2:$F$355,MATCH($C107,Deals!$A$2:$A$355,0)),"?"))</f>
        <v/>
      </c>
      <c r="F107" s="28" t="inlineStr">
        <is>
          <t>Partner</t>
        </is>
      </c>
      <c r="G107" s="28" t="inlineStr">
        <is>
          <t>Active</t>
        </is>
      </c>
      <c r="H107" s="31" t="n"/>
      <c r="I107" s="32">
        <f>IF(OR($A107="",$G107&lt;&gt;"Active"),0,IF($H107&lt;&gt;"",$H107,IF($AO107&gt;0,$AP107,IF(AND($R107&lt;&gt;"",IFERROR(INDEX(Templates!$B$3:$H$10,MATCH($R107,Templates!$A$3:$A$10,0),MATCH($F107,Templates!$B$2:$H$2,0)),0)&gt;0),INDEX(Templates!$B$3:$H$10,MATCH($R107,Templates!$A$3:$A$10,0),MATCH($F107,Templates!$B$2:$H$2,0)),IFERROR(INDEX(Settings!$B$8:$B$14,MATCH($F107,Settings!$A$8:$A$14,0)),0)))))</f>
        <v/>
      </c>
      <c r="J107" s="21">
        <f>IF($C107="",0,IFERROR(INDEX(Deals!$H$2:$H$355,MATCH($C107,Deals!$A$2:$A$355,0)),0))</f>
        <v/>
      </c>
      <c r="K107" s="32">
        <f>IF(Settings!$B$4="Yes",$I107*$J107,$I107)</f>
        <v/>
      </c>
      <c r="L107" s="22">
        <f>IF($C107="","",IFERROR(IF(INDEX(Deals!$I$2:$I$355,MATCH($C107,Deals!$A$2:$A$355,0))=0,"",INDEX(Deals!$I$2:$I$355,MATCH($C107,Deals!$A$2:$A$355,0))),""))</f>
        <v/>
      </c>
      <c r="M107" s="22">
        <f>IF($C107="","",IFERROR(IF(INDEX(Deals!$J$2:$J$355,MATCH($C107,Deals!$A$2:$A$355,0))=0,"",INDEX(Deals!$J$2:$J$355,MATCH($C107,Deals!$A$2:$A$355,0))),""))</f>
        <v/>
      </c>
      <c r="N107" s="35">
        <f>IF($L107="",DATE(1900,1,1),$L107)</f>
        <v/>
      </c>
      <c r="O107" s="35">
        <f>IF($M107="",DATE(2100,12,31),$M107)</f>
        <v/>
      </c>
      <c r="P107" s="20" t="inlineStr"/>
      <c r="Q107" s="47" t="inlineStr"/>
      <c r="R107" s="16">
        <f>IF($C107="","",IFERROR(IF(INDEX(Deals!$U$2:$U$355,MATCH($C107,Deals!$A$2:$A$355,0))=0,"",INDEX(Deals!$U$2:$U$355,MATCH($C107,Deals!$A$2:$A$355,0))),""))</f>
        <v/>
      </c>
      <c r="S107" s="34">
        <f>IFERROR(IF($U107="",1,INDEX(Deals!$V$2:$V$355,MATCH($C107,Deals!$A$2:$A$355,0))),1)</f>
        <v/>
      </c>
      <c r="T107" s="34">
        <f>IFERROR(IF($U107="",1,INDEX(Deals!$W$2:$W$355,MATCH($C107,Deals!$A$2:$A$355,0))),1)</f>
        <v/>
      </c>
      <c r="U107" s="22">
        <f>IF($C107="","",IFERROR(IF(INDEX(Deals!$Y$2:$Y$355,MATCH($C107,Deals!$A$2:$A$355,0))=0,"",INDEX(Deals!$Y$2:$Y$355,MATCH($C107,Deals!$A$2:$A$355,0))),""))</f>
        <v/>
      </c>
      <c r="V107" s="35">
        <f>IF(OR($U107&lt;&gt;"",AND($AO107&gt;0,$L107&lt;&gt;"",$M107&lt;&gt;"")),$N107,DATE(1900,1,1))</f>
        <v/>
      </c>
      <c r="W107" s="35">
        <f>IF($U107&lt;&gt;"",$U107,IF(AND($AO107&gt;0,$L107&lt;&gt;"",$M107&lt;&gt;""),$O107,DATE(2100,12,31)))</f>
        <v/>
      </c>
      <c r="X107" s="32">
        <f>IF($U107="",$K107,$K107*$S107)</f>
        <v/>
      </c>
      <c r="Y107" s="35">
        <f>IF($U107="",DATE(2100,12,31),$U107+1)</f>
        <v/>
      </c>
      <c r="Z107" s="35">
        <f>IF($U107="",DATE(1900,1,1),$O107)</f>
        <v/>
      </c>
      <c r="AA107" s="32">
        <f>IF($U107="",0,$K107*$T107)</f>
        <v/>
      </c>
      <c r="AB107" s="21">
        <f>IF($C107="",0,IFERROR(INDEX(Deals!$AD$2:$AD$355,MATCH($C107,Deals!$A$2:$A$355,0)),0))</f>
        <v/>
      </c>
      <c r="AC107" s="32">
        <f>IF(Settings!$B$4="Yes",$I107*$AB107,$I107)</f>
        <v/>
      </c>
      <c r="AD107" s="22">
        <f>IF($C107="","",IFERROR(IF(INDEX(Deals!$AE$2:$AE$355,MATCH($C107,Deals!$A$2:$A$355,0))=0,"",INDEX(Deals!$AE$2:$AE$355,MATCH($C107,Deals!$A$2:$A$355,0))),""))</f>
        <v/>
      </c>
      <c r="AE107" s="22">
        <f>IF($C107="","",IFERROR(IF(INDEX(Deals!$AF$2:$AF$355,MATCH($C107,Deals!$A$2:$A$355,0))=0,"",INDEX(Deals!$AF$2:$AF$355,MATCH($C107,Deals!$A$2:$A$355,0))),""))</f>
        <v/>
      </c>
      <c r="AF107" s="35">
        <f>IF($AD107="",DATE(1900,1,1),$AD107)</f>
        <v/>
      </c>
      <c r="AG107" s="35">
        <f>IF($AE107="",DATE(2100,12,31),$AE107)</f>
        <v/>
      </c>
      <c r="AH107" s="22">
        <f>IF($C107="","",IFERROR(IF(INDEX(Deals!$AG$2:$AG$355,MATCH($C107,Deals!$A$2:$A$355,0))=0,"",INDEX(Deals!$AG$2:$AG$355,MATCH($C107,Deals!$A$2:$A$355,0))),""))</f>
        <v/>
      </c>
      <c r="AI107" s="35">
        <f>IF(OR($AH107&lt;&gt;"",AND($AO107&gt;0,$AD107&lt;&gt;"",$AE107&lt;&gt;"")),$AF107,DATE(1900,1,1))</f>
        <v/>
      </c>
      <c r="AJ107" s="35">
        <f>IF($AH107&lt;&gt;"",$AH107,IF(AND($AO107&gt;0,$AD107&lt;&gt;"",$AE107&lt;&gt;""),$AG107,DATE(2100,12,31)))</f>
        <v/>
      </c>
      <c r="AK107" s="32">
        <f>IF($AH107="",$AC107,$AC107*$S107)</f>
        <v/>
      </c>
      <c r="AL107" s="35">
        <f>IF($AH107="",DATE(2100,12,31),$AH107+1)</f>
        <v/>
      </c>
      <c r="AM107" s="35">
        <f>IF($AH107="",DATE(1900,1,1),$AG107)</f>
        <v/>
      </c>
      <c r="AN107" s="32">
        <f>IF($AH107="",0,$AC107*$T107)</f>
        <v/>
      </c>
      <c r="AO107" s="46">
        <f>IF($C107="",0,IFERROR(INDEX(Deals!$BD$2:$BD$355,MATCH($C107,Deals!$A$2:$A$355,0)),0))</f>
        <v/>
      </c>
      <c r="AP107" s="18">
        <f>IF($AO107=0,0,IFERROR(INDEX(Deals!$BJ$2:$BP$355,MATCH($C107,Deals!$A$2:$A$355,0),MATCH($F107,Deals!$BJ$1:$BP$1,0))/COUNTIFS(Assignments!$C$2:$C$769,$C107,Assignments!$F$2:$F$769,$F107,Assignments!$G$2:$G$769,"Active"),0))</f>
        <v/>
      </c>
    </row>
    <row r="108">
      <c r="A108" s="28" t="inlineStr">
        <is>
          <t>Kyle Kidd</t>
        </is>
      </c>
      <c r="B108" s="16">
        <f>IF($A108="","",IFERROR(INDEX(Roster!$B$2:$B$40,MATCH($A108,Roster!$A$2:$A$40,0)),"?"))</f>
        <v/>
      </c>
      <c r="C108" s="28" t="inlineStr">
        <is>
          <t>Canyon_1</t>
        </is>
      </c>
      <c r="D108" s="16">
        <f>IF($C108="","",IFERROR(IF(INDEX(Deals!$C$2:$C$355,MATCH($C108,Deals!$A$2:$A$355,0))=0,"",INDEX(Deals!$C$2:$C$355,MATCH($C108,Deals!$A$2:$A$355,0))),"?"))</f>
        <v/>
      </c>
      <c r="E108" s="16">
        <f>IF($C108="","",IFERROR(INDEX(Deals!$F$2:$F$355,MATCH($C108,Deals!$A$2:$A$355,0)),"?"))</f>
        <v/>
      </c>
      <c r="F108" s="28" t="inlineStr">
        <is>
          <t>Partner</t>
        </is>
      </c>
      <c r="G108" s="28" t="inlineStr">
        <is>
          <t>Inactive</t>
        </is>
      </c>
      <c r="H108" s="31" t="n"/>
      <c r="I108" s="32">
        <f>IF(OR($A108="",$G108&lt;&gt;"Active"),0,IF($H108&lt;&gt;"",$H108,IF($AO108&gt;0,$AP108,IF(AND($R108&lt;&gt;"",IFERROR(INDEX(Templates!$B$3:$H$10,MATCH($R108,Templates!$A$3:$A$10,0),MATCH($F108,Templates!$B$2:$H$2,0)),0)&gt;0),INDEX(Templates!$B$3:$H$10,MATCH($R108,Templates!$A$3:$A$10,0),MATCH($F108,Templates!$B$2:$H$2,0)),IFERROR(INDEX(Settings!$B$8:$B$14,MATCH($F108,Settings!$A$8:$A$14,0)),0)))))</f>
        <v/>
      </c>
      <c r="J108" s="21">
        <f>IF($C108="",0,IFERROR(INDEX(Deals!$H$2:$H$355,MATCH($C108,Deals!$A$2:$A$355,0)),0))</f>
        <v/>
      </c>
      <c r="K108" s="32">
        <f>IF(Settings!$B$4="Yes",$I108*$J108,$I108)</f>
        <v/>
      </c>
      <c r="L108" s="22">
        <f>IF($C108="","",IFERROR(IF(INDEX(Deals!$I$2:$I$355,MATCH($C108,Deals!$A$2:$A$355,0))=0,"",INDEX(Deals!$I$2:$I$355,MATCH($C108,Deals!$A$2:$A$355,0))),""))</f>
        <v/>
      </c>
      <c r="M108" s="22">
        <f>IF($C108="","",IFERROR(IF(INDEX(Deals!$J$2:$J$355,MATCH($C108,Deals!$A$2:$A$355,0))=0,"",INDEX(Deals!$J$2:$J$355,MATCH($C108,Deals!$A$2:$A$355,0))),""))</f>
        <v/>
      </c>
      <c r="N108" s="35">
        <f>IF($L108="",DATE(1900,1,1),$L108)</f>
        <v/>
      </c>
      <c r="O108" s="35">
        <f>IF($M108="",DATE(2100,12,31),$M108)</f>
        <v/>
      </c>
      <c r="P108" s="20" t="inlineStr"/>
      <c r="Q108" s="47" t="inlineStr">
        <is>
          <t>Deal lifecycle is Dead</t>
        </is>
      </c>
      <c r="R108" s="16">
        <f>IF($C108="","",IFERROR(IF(INDEX(Deals!$U$2:$U$355,MATCH($C108,Deals!$A$2:$A$355,0))=0,"",INDEX(Deals!$U$2:$U$355,MATCH($C108,Deals!$A$2:$A$355,0))),""))</f>
        <v/>
      </c>
      <c r="S108" s="34">
        <f>IFERROR(IF($U108="",1,INDEX(Deals!$V$2:$V$355,MATCH($C108,Deals!$A$2:$A$355,0))),1)</f>
        <v/>
      </c>
      <c r="T108" s="34">
        <f>IFERROR(IF($U108="",1,INDEX(Deals!$W$2:$W$355,MATCH($C108,Deals!$A$2:$A$355,0))),1)</f>
        <v/>
      </c>
      <c r="U108" s="22">
        <f>IF($C108="","",IFERROR(IF(INDEX(Deals!$Y$2:$Y$355,MATCH($C108,Deals!$A$2:$A$355,0))=0,"",INDEX(Deals!$Y$2:$Y$355,MATCH($C108,Deals!$A$2:$A$355,0))),""))</f>
        <v/>
      </c>
      <c r="V108" s="35">
        <f>IF(OR($U108&lt;&gt;"",AND($AO108&gt;0,$L108&lt;&gt;"",$M108&lt;&gt;"")),$N108,DATE(1900,1,1))</f>
        <v/>
      </c>
      <c r="W108" s="35">
        <f>IF($U108&lt;&gt;"",$U108,IF(AND($AO108&gt;0,$L108&lt;&gt;"",$M108&lt;&gt;""),$O108,DATE(2100,12,31)))</f>
        <v/>
      </c>
      <c r="X108" s="32">
        <f>IF($U108="",$K108,$K108*$S108)</f>
        <v/>
      </c>
      <c r="Y108" s="35">
        <f>IF($U108="",DATE(2100,12,31),$U108+1)</f>
        <v/>
      </c>
      <c r="Z108" s="35">
        <f>IF($U108="",DATE(1900,1,1),$O108)</f>
        <v/>
      </c>
      <c r="AA108" s="32">
        <f>IF($U108="",0,$K108*$T108)</f>
        <v/>
      </c>
      <c r="AB108" s="21">
        <f>IF($C108="",0,IFERROR(INDEX(Deals!$AD$2:$AD$355,MATCH($C108,Deals!$A$2:$A$355,0)),0))</f>
        <v/>
      </c>
      <c r="AC108" s="32">
        <f>IF(Settings!$B$4="Yes",$I108*$AB108,$I108)</f>
        <v/>
      </c>
      <c r="AD108" s="22">
        <f>IF($C108="","",IFERROR(IF(INDEX(Deals!$AE$2:$AE$355,MATCH($C108,Deals!$A$2:$A$355,0))=0,"",INDEX(Deals!$AE$2:$AE$355,MATCH($C108,Deals!$A$2:$A$355,0))),""))</f>
        <v/>
      </c>
      <c r="AE108" s="22">
        <f>IF($C108="","",IFERROR(IF(INDEX(Deals!$AF$2:$AF$355,MATCH($C108,Deals!$A$2:$A$355,0))=0,"",INDEX(Deals!$AF$2:$AF$355,MATCH($C108,Deals!$A$2:$A$355,0))),""))</f>
        <v/>
      </c>
      <c r="AF108" s="35">
        <f>IF($AD108="",DATE(1900,1,1),$AD108)</f>
        <v/>
      </c>
      <c r="AG108" s="35">
        <f>IF($AE108="",DATE(2100,12,31),$AE108)</f>
        <v/>
      </c>
      <c r="AH108" s="22">
        <f>IF($C108="","",IFERROR(IF(INDEX(Deals!$AG$2:$AG$355,MATCH($C108,Deals!$A$2:$A$355,0))=0,"",INDEX(Deals!$AG$2:$AG$355,MATCH($C108,Deals!$A$2:$A$355,0))),""))</f>
        <v/>
      </c>
      <c r="AI108" s="35">
        <f>IF(OR($AH108&lt;&gt;"",AND($AO108&gt;0,$AD108&lt;&gt;"",$AE108&lt;&gt;"")),$AF108,DATE(1900,1,1))</f>
        <v/>
      </c>
      <c r="AJ108" s="35">
        <f>IF($AH108&lt;&gt;"",$AH108,IF(AND($AO108&gt;0,$AD108&lt;&gt;"",$AE108&lt;&gt;""),$AG108,DATE(2100,12,31)))</f>
        <v/>
      </c>
      <c r="AK108" s="32">
        <f>IF($AH108="",$AC108,$AC108*$S108)</f>
        <v/>
      </c>
      <c r="AL108" s="35">
        <f>IF($AH108="",DATE(2100,12,31),$AH108+1)</f>
        <v/>
      </c>
      <c r="AM108" s="35">
        <f>IF($AH108="",DATE(1900,1,1),$AG108)</f>
        <v/>
      </c>
      <c r="AN108" s="32">
        <f>IF($AH108="",0,$AC108*$T108)</f>
        <v/>
      </c>
      <c r="AO108" s="46">
        <f>IF($C108="",0,IFERROR(INDEX(Deals!$BD$2:$BD$355,MATCH($C108,Deals!$A$2:$A$355,0)),0))</f>
        <v/>
      </c>
      <c r="AP108" s="18">
        <f>IF($AO108=0,0,IFERROR(INDEX(Deals!$BJ$2:$BP$355,MATCH($C108,Deals!$A$2:$A$355,0),MATCH($F108,Deals!$BJ$1:$BP$1,0))/COUNTIFS(Assignments!$C$2:$C$769,$C108,Assignments!$F$2:$F$769,$F108,Assignments!$G$2:$G$769,"Active"),0))</f>
        <v/>
      </c>
    </row>
    <row r="109">
      <c r="A109" s="28" t="inlineStr">
        <is>
          <t>Kyle Kidd</t>
        </is>
      </c>
      <c r="B109" s="16">
        <f>IF($A109="","",IFERROR(INDEX(Roster!$B$2:$B$40,MATCH($A109,Roster!$A$2:$A$40,0)),"?"))</f>
        <v/>
      </c>
      <c r="C109" s="28" t="inlineStr">
        <is>
          <t>Chicago RE_1</t>
        </is>
      </c>
      <c r="D109" s="16">
        <f>IF($C109="","",IFERROR(IF(INDEX(Deals!$C$2:$C$355,MATCH($C109,Deals!$A$2:$A$355,0))=0,"",INDEX(Deals!$C$2:$C$355,MATCH($C109,Deals!$A$2:$A$355,0))),"?"))</f>
        <v/>
      </c>
      <c r="E109" s="16">
        <f>IF($C109="","",IFERROR(INDEX(Deals!$F$2:$F$355,MATCH($C109,Deals!$A$2:$A$355,0)),"?"))</f>
        <v/>
      </c>
      <c r="F109" s="28" t="inlineStr">
        <is>
          <t>Partner</t>
        </is>
      </c>
      <c r="G109" s="28" t="inlineStr">
        <is>
          <t>Active</t>
        </is>
      </c>
      <c r="H109" s="31" t="n"/>
      <c r="I109" s="32">
        <f>IF(OR($A109="",$G109&lt;&gt;"Active"),0,IF($H109&lt;&gt;"",$H109,IF($AO109&gt;0,$AP109,IF(AND($R109&lt;&gt;"",IFERROR(INDEX(Templates!$B$3:$H$10,MATCH($R109,Templates!$A$3:$A$10,0),MATCH($F109,Templates!$B$2:$H$2,0)),0)&gt;0),INDEX(Templates!$B$3:$H$10,MATCH($R109,Templates!$A$3:$A$10,0),MATCH($F109,Templates!$B$2:$H$2,0)),IFERROR(INDEX(Settings!$B$8:$B$14,MATCH($F109,Settings!$A$8:$A$14,0)),0)))))</f>
        <v/>
      </c>
      <c r="J109" s="21">
        <f>IF($C109="",0,IFERROR(INDEX(Deals!$H$2:$H$355,MATCH($C109,Deals!$A$2:$A$355,0)),0))</f>
        <v/>
      </c>
      <c r="K109" s="32">
        <f>IF(Settings!$B$4="Yes",$I109*$J109,$I109)</f>
        <v/>
      </c>
      <c r="L109" s="22">
        <f>IF($C109="","",IFERROR(IF(INDEX(Deals!$I$2:$I$355,MATCH($C109,Deals!$A$2:$A$355,0))=0,"",INDEX(Deals!$I$2:$I$355,MATCH($C109,Deals!$A$2:$A$355,0))),""))</f>
        <v/>
      </c>
      <c r="M109" s="22">
        <f>IF($C109="","",IFERROR(IF(INDEX(Deals!$J$2:$J$355,MATCH($C109,Deals!$A$2:$A$355,0))=0,"",INDEX(Deals!$J$2:$J$355,MATCH($C109,Deals!$A$2:$A$355,0))),""))</f>
        <v/>
      </c>
      <c r="N109" s="35">
        <f>IF($L109="",DATE(1900,1,1),$L109)</f>
        <v/>
      </c>
      <c r="O109" s="35">
        <f>IF($M109="",DATE(2100,12,31),$M109)</f>
        <v/>
      </c>
      <c r="P109" s="20" t="inlineStr"/>
      <c r="Q109" s="47" t="inlineStr"/>
      <c r="R109" s="16">
        <f>IF($C109="","",IFERROR(IF(INDEX(Deals!$U$2:$U$355,MATCH($C109,Deals!$A$2:$A$355,0))=0,"",INDEX(Deals!$U$2:$U$355,MATCH($C109,Deals!$A$2:$A$355,0))),""))</f>
        <v/>
      </c>
      <c r="S109" s="34">
        <f>IFERROR(IF($U109="",1,INDEX(Deals!$V$2:$V$355,MATCH($C109,Deals!$A$2:$A$355,0))),1)</f>
        <v/>
      </c>
      <c r="T109" s="34">
        <f>IFERROR(IF($U109="",1,INDEX(Deals!$W$2:$W$355,MATCH($C109,Deals!$A$2:$A$355,0))),1)</f>
        <v/>
      </c>
      <c r="U109" s="22">
        <f>IF($C109="","",IFERROR(IF(INDEX(Deals!$Y$2:$Y$355,MATCH($C109,Deals!$A$2:$A$355,0))=0,"",INDEX(Deals!$Y$2:$Y$355,MATCH($C109,Deals!$A$2:$A$355,0))),""))</f>
        <v/>
      </c>
      <c r="V109" s="35">
        <f>IF(OR($U109&lt;&gt;"",AND($AO109&gt;0,$L109&lt;&gt;"",$M109&lt;&gt;"")),$N109,DATE(1900,1,1))</f>
        <v/>
      </c>
      <c r="W109" s="35">
        <f>IF($U109&lt;&gt;"",$U109,IF(AND($AO109&gt;0,$L109&lt;&gt;"",$M109&lt;&gt;""),$O109,DATE(2100,12,31)))</f>
        <v/>
      </c>
      <c r="X109" s="32">
        <f>IF($U109="",$K109,$K109*$S109)</f>
        <v/>
      </c>
      <c r="Y109" s="35">
        <f>IF($U109="",DATE(2100,12,31),$U109+1)</f>
        <v/>
      </c>
      <c r="Z109" s="35">
        <f>IF($U109="",DATE(1900,1,1),$O109)</f>
        <v/>
      </c>
      <c r="AA109" s="32">
        <f>IF($U109="",0,$K109*$T109)</f>
        <v/>
      </c>
      <c r="AB109" s="21">
        <f>IF($C109="",0,IFERROR(INDEX(Deals!$AD$2:$AD$355,MATCH($C109,Deals!$A$2:$A$355,0)),0))</f>
        <v/>
      </c>
      <c r="AC109" s="32">
        <f>IF(Settings!$B$4="Yes",$I109*$AB109,$I109)</f>
        <v/>
      </c>
      <c r="AD109" s="22">
        <f>IF($C109="","",IFERROR(IF(INDEX(Deals!$AE$2:$AE$355,MATCH($C109,Deals!$A$2:$A$355,0))=0,"",INDEX(Deals!$AE$2:$AE$355,MATCH($C109,Deals!$A$2:$A$355,0))),""))</f>
        <v/>
      </c>
      <c r="AE109" s="22">
        <f>IF($C109="","",IFERROR(IF(INDEX(Deals!$AF$2:$AF$355,MATCH($C109,Deals!$A$2:$A$355,0))=0,"",INDEX(Deals!$AF$2:$AF$355,MATCH($C109,Deals!$A$2:$A$355,0))),""))</f>
        <v/>
      </c>
      <c r="AF109" s="35">
        <f>IF($AD109="",DATE(1900,1,1),$AD109)</f>
        <v/>
      </c>
      <c r="AG109" s="35">
        <f>IF($AE109="",DATE(2100,12,31),$AE109)</f>
        <v/>
      </c>
      <c r="AH109" s="22">
        <f>IF($C109="","",IFERROR(IF(INDEX(Deals!$AG$2:$AG$355,MATCH($C109,Deals!$A$2:$A$355,0))=0,"",INDEX(Deals!$AG$2:$AG$355,MATCH($C109,Deals!$A$2:$A$355,0))),""))</f>
        <v/>
      </c>
      <c r="AI109" s="35">
        <f>IF(OR($AH109&lt;&gt;"",AND($AO109&gt;0,$AD109&lt;&gt;"",$AE109&lt;&gt;"")),$AF109,DATE(1900,1,1))</f>
        <v/>
      </c>
      <c r="AJ109" s="35">
        <f>IF($AH109&lt;&gt;"",$AH109,IF(AND($AO109&gt;0,$AD109&lt;&gt;"",$AE109&lt;&gt;""),$AG109,DATE(2100,12,31)))</f>
        <v/>
      </c>
      <c r="AK109" s="32">
        <f>IF($AH109="",$AC109,$AC109*$S109)</f>
        <v/>
      </c>
      <c r="AL109" s="35">
        <f>IF($AH109="",DATE(2100,12,31),$AH109+1)</f>
        <v/>
      </c>
      <c r="AM109" s="35">
        <f>IF($AH109="",DATE(1900,1,1),$AG109)</f>
        <v/>
      </c>
      <c r="AN109" s="32">
        <f>IF($AH109="",0,$AC109*$T109)</f>
        <v/>
      </c>
      <c r="AO109" s="46">
        <f>IF($C109="",0,IFERROR(INDEX(Deals!$BD$2:$BD$355,MATCH($C109,Deals!$A$2:$A$355,0)),0))</f>
        <v/>
      </c>
      <c r="AP109" s="18">
        <f>IF($AO109=0,0,IFERROR(INDEX(Deals!$BJ$2:$BP$355,MATCH($C109,Deals!$A$2:$A$355,0),MATCH($F109,Deals!$BJ$1:$BP$1,0))/COUNTIFS(Assignments!$C$2:$C$769,$C109,Assignments!$F$2:$F$769,$F109,Assignments!$G$2:$G$769,"Active"),0))</f>
        <v/>
      </c>
    </row>
    <row r="110">
      <c r="A110" s="28" t="inlineStr">
        <is>
          <t>Kyle Kidd</t>
        </is>
      </c>
      <c r="B110" s="16">
        <f>IF($A110="","",IFERROR(INDEX(Roster!$B$2:$B$40,MATCH($A110,Roster!$A$2:$A$40,0)),"?"))</f>
        <v/>
      </c>
      <c r="C110" s="28" t="inlineStr">
        <is>
          <t>CopiaAdHoc_1</t>
        </is>
      </c>
      <c r="D110" s="16">
        <f>IF($C110="","",IFERROR(IF(INDEX(Deals!$C$2:$C$355,MATCH($C110,Deals!$A$2:$A$355,0))=0,"",INDEX(Deals!$C$2:$C$355,MATCH($C110,Deals!$A$2:$A$355,0))),"?"))</f>
        <v/>
      </c>
      <c r="E110" s="16">
        <f>IF($C110="","",IFERROR(INDEX(Deals!$F$2:$F$355,MATCH($C110,Deals!$A$2:$A$355,0)),"?"))</f>
        <v/>
      </c>
      <c r="F110" s="28" t="inlineStr">
        <is>
          <t>Partner</t>
        </is>
      </c>
      <c r="G110" s="28" t="inlineStr">
        <is>
          <t>Active</t>
        </is>
      </c>
      <c r="H110" s="31" t="n"/>
      <c r="I110" s="32">
        <f>IF(OR($A110="",$G110&lt;&gt;"Active"),0,IF($H110&lt;&gt;"",$H110,IF($AO110&gt;0,$AP110,IF(AND($R110&lt;&gt;"",IFERROR(INDEX(Templates!$B$3:$H$10,MATCH($R110,Templates!$A$3:$A$10,0),MATCH($F110,Templates!$B$2:$H$2,0)),0)&gt;0),INDEX(Templates!$B$3:$H$10,MATCH($R110,Templates!$A$3:$A$10,0),MATCH($F110,Templates!$B$2:$H$2,0)),IFERROR(INDEX(Settings!$B$8:$B$14,MATCH($F110,Settings!$A$8:$A$14,0)),0)))))</f>
        <v/>
      </c>
      <c r="J110" s="21">
        <f>IF($C110="",0,IFERROR(INDEX(Deals!$H$2:$H$355,MATCH($C110,Deals!$A$2:$A$355,0)),0))</f>
        <v/>
      </c>
      <c r="K110" s="32">
        <f>IF(Settings!$B$4="Yes",$I110*$J110,$I110)</f>
        <v/>
      </c>
      <c r="L110" s="22">
        <f>IF($C110="","",IFERROR(IF(INDEX(Deals!$I$2:$I$355,MATCH($C110,Deals!$A$2:$A$355,0))=0,"",INDEX(Deals!$I$2:$I$355,MATCH($C110,Deals!$A$2:$A$355,0))),""))</f>
        <v/>
      </c>
      <c r="M110" s="22">
        <f>IF($C110="","",IFERROR(IF(INDEX(Deals!$J$2:$J$355,MATCH($C110,Deals!$A$2:$A$355,0))=0,"",INDEX(Deals!$J$2:$J$355,MATCH($C110,Deals!$A$2:$A$355,0))),""))</f>
        <v/>
      </c>
      <c r="N110" s="35">
        <f>IF($L110="",DATE(1900,1,1),$L110)</f>
        <v/>
      </c>
      <c r="O110" s="35">
        <f>IF($M110="",DATE(2100,12,31),$M110)</f>
        <v/>
      </c>
      <c r="P110" s="20" t="inlineStr"/>
      <c r="Q110" s="47" t="inlineStr"/>
      <c r="R110" s="16">
        <f>IF($C110="","",IFERROR(IF(INDEX(Deals!$U$2:$U$355,MATCH($C110,Deals!$A$2:$A$355,0))=0,"",INDEX(Deals!$U$2:$U$355,MATCH($C110,Deals!$A$2:$A$355,0))),""))</f>
        <v/>
      </c>
      <c r="S110" s="34">
        <f>IFERROR(IF($U110="",1,INDEX(Deals!$V$2:$V$355,MATCH($C110,Deals!$A$2:$A$355,0))),1)</f>
        <v/>
      </c>
      <c r="T110" s="34">
        <f>IFERROR(IF($U110="",1,INDEX(Deals!$W$2:$W$355,MATCH($C110,Deals!$A$2:$A$355,0))),1)</f>
        <v/>
      </c>
      <c r="U110" s="22">
        <f>IF($C110="","",IFERROR(IF(INDEX(Deals!$Y$2:$Y$355,MATCH($C110,Deals!$A$2:$A$355,0))=0,"",INDEX(Deals!$Y$2:$Y$355,MATCH($C110,Deals!$A$2:$A$355,0))),""))</f>
        <v/>
      </c>
      <c r="V110" s="35">
        <f>IF(OR($U110&lt;&gt;"",AND($AO110&gt;0,$L110&lt;&gt;"",$M110&lt;&gt;"")),$N110,DATE(1900,1,1))</f>
        <v/>
      </c>
      <c r="W110" s="35">
        <f>IF($U110&lt;&gt;"",$U110,IF(AND($AO110&gt;0,$L110&lt;&gt;"",$M110&lt;&gt;""),$O110,DATE(2100,12,31)))</f>
        <v/>
      </c>
      <c r="X110" s="32">
        <f>IF($U110="",$K110,$K110*$S110)</f>
        <v/>
      </c>
      <c r="Y110" s="35">
        <f>IF($U110="",DATE(2100,12,31),$U110+1)</f>
        <v/>
      </c>
      <c r="Z110" s="35">
        <f>IF($U110="",DATE(1900,1,1),$O110)</f>
        <v/>
      </c>
      <c r="AA110" s="32">
        <f>IF($U110="",0,$K110*$T110)</f>
        <v/>
      </c>
      <c r="AB110" s="21">
        <f>IF($C110="",0,IFERROR(INDEX(Deals!$AD$2:$AD$355,MATCH($C110,Deals!$A$2:$A$355,0)),0))</f>
        <v/>
      </c>
      <c r="AC110" s="32">
        <f>IF(Settings!$B$4="Yes",$I110*$AB110,$I110)</f>
        <v/>
      </c>
      <c r="AD110" s="22">
        <f>IF($C110="","",IFERROR(IF(INDEX(Deals!$AE$2:$AE$355,MATCH($C110,Deals!$A$2:$A$355,0))=0,"",INDEX(Deals!$AE$2:$AE$355,MATCH($C110,Deals!$A$2:$A$355,0))),""))</f>
        <v/>
      </c>
      <c r="AE110" s="22">
        <f>IF($C110="","",IFERROR(IF(INDEX(Deals!$AF$2:$AF$355,MATCH($C110,Deals!$A$2:$A$355,0))=0,"",INDEX(Deals!$AF$2:$AF$355,MATCH($C110,Deals!$A$2:$A$355,0))),""))</f>
        <v/>
      </c>
      <c r="AF110" s="35">
        <f>IF($AD110="",DATE(1900,1,1),$AD110)</f>
        <v/>
      </c>
      <c r="AG110" s="35">
        <f>IF($AE110="",DATE(2100,12,31),$AE110)</f>
        <v/>
      </c>
      <c r="AH110" s="22">
        <f>IF($C110="","",IFERROR(IF(INDEX(Deals!$AG$2:$AG$355,MATCH($C110,Deals!$A$2:$A$355,0))=0,"",INDEX(Deals!$AG$2:$AG$355,MATCH($C110,Deals!$A$2:$A$355,0))),""))</f>
        <v/>
      </c>
      <c r="AI110" s="35">
        <f>IF(OR($AH110&lt;&gt;"",AND($AO110&gt;0,$AD110&lt;&gt;"",$AE110&lt;&gt;"")),$AF110,DATE(1900,1,1))</f>
        <v/>
      </c>
      <c r="AJ110" s="35">
        <f>IF($AH110&lt;&gt;"",$AH110,IF(AND($AO110&gt;0,$AD110&lt;&gt;"",$AE110&lt;&gt;""),$AG110,DATE(2100,12,31)))</f>
        <v/>
      </c>
      <c r="AK110" s="32">
        <f>IF($AH110="",$AC110,$AC110*$S110)</f>
        <v/>
      </c>
      <c r="AL110" s="35">
        <f>IF($AH110="",DATE(2100,12,31),$AH110+1)</f>
        <v/>
      </c>
      <c r="AM110" s="35">
        <f>IF($AH110="",DATE(1900,1,1),$AG110)</f>
        <v/>
      </c>
      <c r="AN110" s="32">
        <f>IF($AH110="",0,$AC110*$T110)</f>
        <v/>
      </c>
      <c r="AO110" s="46">
        <f>IF($C110="",0,IFERROR(INDEX(Deals!$BD$2:$BD$355,MATCH($C110,Deals!$A$2:$A$355,0)),0))</f>
        <v/>
      </c>
      <c r="AP110" s="18">
        <f>IF($AO110=0,0,IFERROR(INDEX(Deals!$BJ$2:$BP$355,MATCH($C110,Deals!$A$2:$A$355,0),MATCH($F110,Deals!$BJ$1:$BP$1,0))/COUNTIFS(Assignments!$C$2:$C$769,$C110,Assignments!$F$2:$F$769,$F110,Assignments!$G$2:$G$769,"Active"),0))</f>
        <v/>
      </c>
    </row>
    <row r="111">
      <c r="A111" s="28" t="inlineStr">
        <is>
          <t>Kyle Kidd</t>
        </is>
      </c>
      <c r="B111" s="16">
        <f>IF($A111="","",IFERROR(INDEX(Roster!$B$2:$B$40,MATCH($A111,Roster!$A$2:$A$40,0)),"?"))</f>
        <v/>
      </c>
      <c r="C111" s="28" t="inlineStr">
        <is>
          <t>Dental_1</t>
        </is>
      </c>
      <c r="D111" s="16">
        <f>IF($C111="","",IFERROR(IF(INDEX(Deals!$C$2:$C$355,MATCH($C111,Deals!$A$2:$A$355,0))=0,"",INDEX(Deals!$C$2:$C$355,MATCH($C111,Deals!$A$2:$A$355,0))),"?"))</f>
        <v/>
      </c>
      <c r="E111" s="16">
        <f>IF($C111="","",IFERROR(INDEX(Deals!$F$2:$F$355,MATCH($C111,Deals!$A$2:$A$355,0)),"?"))</f>
        <v/>
      </c>
      <c r="F111" s="28" t="inlineStr">
        <is>
          <t>Partner</t>
        </is>
      </c>
      <c r="G111" s="28" t="inlineStr">
        <is>
          <t>Active</t>
        </is>
      </c>
      <c r="H111" s="31" t="n"/>
      <c r="I111" s="32">
        <f>IF(OR($A111="",$G111&lt;&gt;"Active"),0,IF($H111&lt;&gt;"",$H111,IF($AO111&gt;0,$AP111,IF(AND($R111&lt;&gt;"",IFERROR(INDEX(Templates!$B$3:$H$10,MATCH($R111,Templates!$A$3:$A$10,0),MATCH($F111,Templates!$B$2:$H$2,0)),0)&gt;0),INDEX(Templates!$B$3:$H$10,MATCH($R111,Templates!$A$3:$A$10,0),MATCH($F111,Templates!$B$2:$H$2,0)),IFERROR(INDEX(Settings!$B$8:$B$14,MATCH($F111,Settings!$A$8:$A$14,0)),0)))))</f>
        <v/>
      </c>
      <c r="J111" s="21">
        <f>IF($C111="",0,IFERROR(INDEX(Deals!$H$2:$H$355,MATCH($C111,Deals!$A$2:$A$355,0)),0))</f>
        <v/>
      </c>
      <c r="K111" s="32">
        <f>IF(Settings!$B$4="Yes",$I111*$J111,$I111)</f>
        <v/>
      </c>
      <c r="L111" s="22">
        <f>IF($C111="","",IFERROR(IF(INDEX(Deals!$I$2:$I$355,MATCH($C111,Deals!$A$2:$A$355,0))=0,"",INDEX(Deals!$I$2:$I$355,MATCH($C111,Deals!$A$2:$A$355,0))),""))</f>
        <v/>
      </c>
      <c r="M111" s="22">
        <f>IF($C111="","",IFERROR(IF(INDEX(Deals!$J$2:$J$355,MATCH($C111,Deals!$A$2:$A$355,0))=0,"",INDEX(Deals!$J$2:$J$355,MATCH($C111,Deals!$A$2:$A$355,0))),""))</f>
        <v/>
      </c>
      <c r="N111" s="35">
        <f>IF($L111="",DATE(1900,1,1),$L111)</f>
        <v/>
      </c>
      <c r="O111" s="35">
        <f>IF($M111="",DATE(2100,12,31),$M111)</f>
        <v/>
      </c>
      <c r="P111" s="20" t="inlineStr"/>
      <c r="Q111" s="47" t="inlineStr"/>
      <c r="R111" s="16">
        <f>IF($C111="","",IFERROR(IF(INDEX(Deals!$U$2:$U$355,MATCH($C111,Deals!$A$2:$A$355,0))=0,"",INDEX(Deals!$U$2:$U$355,MATCH($C111,Deals!$A$2:$A$355,0))),""))</f>
        <v/>
      </c>
      <c r="S111" s="34">
        <f>IFERROR(IF($U111="",1,INDEX(Deals!$V$2:$V$355,MATCH($C111,Deals!$A$2:$A$355,0))),1)</f>
        <v/>
      </c>
      <c r="T111" s="34">
        <f>IFERROR(IF($U111="",1,INDEX(Deals!$W$2:$W$355,MATCH($C111,Deals!$A$2:$A$355,0))),1)</f>
        <v/>
      </c>
      <c r="U111" s="22">
        <f>IF($C111="","",IFERROR(IF(INDEX(Deals!$Y$2:$Y$355,MATCH($C111,Deals!$A$2:$A$355,0))=0,"",INDEX(Deals!$Y$2:$Y$355,MATCH($C111,Deals!$A$2:$A$355,0))),""))</f>
        <v/>
      </c>
      <c r="V111" s="35">
        <f>IF(OR($U111&lt;&gt;"",AND($AO111&gt;0,$L111&lt;&gt;"",$M111&lt;&gt;"")),$N111,DATE(1900,1,1))</f>
        <v/>
      </c>
      <c r="W111" s="35">
        <f>IF($U111&lt;&gt;"",$U111,IF(AND($AO111&gt;0,$L111&lt;&gt;"",$M111&lt;&gt;""),$O111,DATE(2100,12,31)))</f>
        <v/>
      </c>
      <c r="X111" s="32">
        <f>IF($U111="",$K111,$K111*$S111)</f>
        <v/>
      </c>
      <c r="Y111" s="35">
        <f>IF($U111="",DATE(2100,12,31),$U111+1)</f>
        <v/>
      </c>
      <c r="Z111" s="35">
        <f>IF($U111="",DATE(1900,1,1),$O111)</f>
        <v/>
      </c>
      <c r="AA111" s="32">
        <f>IF($U111="",0,$K111*$T111)</f>
        <v/>
      </c>
      <c r="AB111" s="21">
        <f>IF($C111="",0,IFERROR(INDEX(Deals!$AD$2:$AD$355,MATCH($C111,Deals!$A$2:$A$355,0)),0))</f>
        <v/>
      </c>
      <c r="AC111" s="32">
        <f>IF(Settings!$B$4="Yes",$I111*$AB111,$I111)</f>
        <v/>
      </c>
      <c r="AD111" s="22">
        <f>IF($C111="","",IFERROR(IF(INDEX(Deals!$AE$2:$AE$355,MATCH($C111,Deals!$A$2:$A$355,0))=0,"",INDEX(Deals!$AE$2:$AE$355,MATCH($C111,Deals!$A$2:$A$355,0))),""))</f>
        <v/>
      </c>
      <c r="AE111" s="22">
        <f>IF($C111="","",IFERROR(IF(INDEX(Deals!$AF$2:$AF$355,MATCH($C111,Deals!$A$2:$A$355,0))=0,"",INDEX(Deals!$AF$2:$AF$355,MATCH($C111,Deals!$A$2:$A$355,0))),""))</f>
        <v/>
      </c>
      <c r="AF111" s="35">
        <f>IF($AD111="",DATE(1900,1,1),$AD111)</f>
        <v/>
      </c>
      <c r="AG111" s="35">
        <f>IF($AE111="",DATE(2100,12,31),$AE111)</f>
        <v/>
      </c>
      <c r="AH111" s="22">
        <f>IF($C111="","",IFERROR(IF(INDEX(Deals!$AG$2:$AG$355,MATCH($C111,Deals!$A$2:$A$355,0))=0,"",INDEX(Deals!$AG$2:$AG$355,MATCH($C111,Deals!$A$2:$A$355,0))),""))</f>
        <v/>
      </c>
      <c r="AI111" s="35">
        <f>IF(OR($AH111&lt;&gt;"",AND($AO111&gt;0,$AD111&lt;&gt;"",$AE111&lt;&gt;"")),$AF111,DATE(1900,1,1))</f>
        <v/>
      </c>
      <c r="AJ111" s="35">
        <f>IF($AH111&lt;&gt;"",$AH111,IF(AND($AO111&gt;0,$AD111&lt;&gt;"",$AE111&lt;&gt;""),$AG111,DATE(2100,12,31)))</f>
        <v/>
      </c>
      <c r="AK111" s="32">
        <f>IF($AH111="",$AC111,$AC111*$S111)</f>
        <v/>
      </c>
      <c r="AL111" s="35">
        <f>IF($AH111="",DATE(2100,12,31),$AH111+1)</f>
        <v/>
      </c>
      <c r="AM111" s="35">
        <f>IF($AH111="",DATE(1900,1,1),$AG111)</f>
        <v/>
      </c>
      <c r="AN111" s="32">
        <f>IF($AH111="",0,$AC111*$T111)</f>
        <v/>
      </c>
      <c r="AO111" s="46">
        <f>IF($C111="",0,IFERROR(INDEX(Deals!$BD$2:$BD$355,MATCH($C111,Deals!$A$2:$A$355,0)),0))</f>
        <v/>
      </c>
      <c r="AP111" s="18">
        <f>IF($AO111=0,0,IFERROR(INDEX(Deals!$BJ$2:$BP$355,MATCH($C111,Deals!$A$2:$A$355,0),MATCH($F111,Deals!$BJ$1:$BP$1,0))/COUNTIFS(Assignments!$C$2:$C$769,$C111,Assignments!$F$2:$F$769,$F111,Assignments!$G$2:$G$769,"Active"),0))</f>
        <v/>
      </c>
    </row>
    <row r="112">
      <c r="A112" s="28" t="inlineStr">
        <is>
          <t>Kyle Kidd</t>
        </is>
      </c>
      <c r="B112" s="16">
        <f>IF($A112="","",IFERROR(INDEX(Roster!$B$2:$B$40,MATCH($A112,Roster!$A$2:$A$40,0)),"?"))</f>
        <v/>
      </c>
      <c r="C112" s="28" t="inlineStr">
        <is>
          <t>Dorsia_1</t>
        </is>
      </c>
      <c r="D112" s="16">
        <f>IF($C112="","",IFERROR(IF(INDEX(Deals!$C$2:$C$355,MATCH($C112,Deals!$A$2:$A$355,0))=0,"",INDEX(Deals!$C$2:$C$355,MATCH($C112,Deals!$A$2:$A$355,0))),"?"))</f>
        <v/>
      </c>
      <c r="E112" s="16">
        <f>IF($C112="","",IFERROR(INDEX(Deals!$F$2:$F$355,MATCH($C112,Deals!$A$2:$A$355,0)),"?"))</f>
        <v/>
      </c>
      <c r="F112" s="28" t="inlineStr">
        <is>
          <t>Partner</t>
        </is>
      </c>
      <c r="G112" s="28" t="inlineStr">
        <is>
          <t>Active</t>
        </is>
      </c>
      <c r="H112" s="31" t="n"/>
      <c r="I112" s="32">
        <f>IF(OR($A112="",$G112&lt;&gt;"Active"),0,IF($H112&lt;&gt;"",$H112,IF($AO112&gt;0,$AP112,IF(AND($R112&lt;&gt;"",IFERROR(INDEX(Templates!$B$3:$H$10,MATCH($R112,Templates!$A$3:$A$10,0),MATCH($F112,Templates!$B$2:$H$2,0)),0)&gt;0),INDEX(Templates!$B$3:$H$10,MATCH($R112,Templates!$A$3:$A$10,0),MATCH($F112,Templates!$B$2:$H$2,0)),IFERROR(INDEX(Settings!$B$8:$B$14,MATCH($F112,Settings!$A$8:$A$14,0)),0)))))</f>
        <v/>
      </c>
      <c r="J112" s="21">
        <f>IF($C112="",0,IFERROR(INDEX(Deals!$H$2:$H$355,MATCH($C112,Deals!$A$2:$A$355,0)),0))</f>
        <v/>
      </c>
      <c r="K112" s="32">
        <f>IF(Settings!$B$4="Yes",$I112*$J112,$I112)</f>
        <v/>
      </c>
      <c r="L112" s="22">
        <f>IF($C112="","",IFERROR(IF(INDEX(Deals!$I$2:$I$355,MATCH($C112,Deals!$A$2:$A$355,0))=0,"",INDEX(Deals!$I$2:$I$355,MATCH($C112,Deals!$A$2:$A$355,0))),""))</f>
        <v/>
      </c>
      <c r="M112" s="22">
        <f>IF($C112="","",IFERROR(IF(INDEX(Deals!$J$2:$J$355,MATCH($C112,Deals!$A$2:$A$355,0))=0,"",INDEX(Deals!$J$2:$J$355,MATCH($C112,Deals!$A$2:$A$355,0))),""))</f>
        <v/>
      </c>
      <c r="N112" s="35">
        <f>IF($L112="",DATE(1900,1,1),$L112)</f>
        <v/>
      </c>
      <c r="O112" s="35">
        <f>IF($M112="",DATE(2100,12,31),$M112)</f>
        <v/>
      </c>
      <c r="P112" s="20" t="inlineStr"/>
      <c r="Q112" s="47" t="inlineStr"/>
      <c r="R112" s="16">
        <f>IF($C112="","",IFERROR(IF(INDEX(Deals!$U$2:$U$355,MATCH($C112,Deals!$A$2:$A$355,0))=0,"",INDEX(Deals!$U$2:$U$355,MATCH($C112,Deals!$A$2:$A$355,0))),""))</f>
        <v/>
      </c>
      <c r="S112" s="34">
        <f>IFERROR(IF($U112="",1,INDEX(Deals!$V$2:$V$355,MATCH($C112,Deals!$A$2:$A$355,0))),1)</f>
        <v/>
      </c>
      <c r="T112" s="34">
        <f>IFERROR(IF($U112="",1,INDEX(Deals!$W$2:$W$355,MATCH($C112,Deals!$A$2:$A$355,0))),1)</f>
        <v/>
      </c>
      <c r="U112" s="22">
        <f>IF($C112="","",IFERROR(IF(INDEX(Deals!$Y$2:$Y$355,MATCH($C112,Deals!$A$2:$A$355,0))=0,"",INDEX(Deals!$Y$2:$Y$355,MATCH($C112,Deals!$A$2:$A$355,0))),""))</f>
        <v/>
      </c>
      <c r="V112" s="35">
        <f>IF(OR($U112&lt;&gt;"",AND($AO112&gt;0,$L112&lt;&gt;"",$M112&lt;&gt;"")),$N112,DATE(1900,1,1))</f>
        <v/>
      </c>
      <c r="W112" s="35">
        <f>IF($U112&lt;&gt;"",$U112,IF(AND($AO112&gt;0,$L112&lt;&gt;"",$M112&lt;&gt;""),$O112,DATE(2100,12,31)))</f>
        <v/>
      </c>
      <c r="X112" s="32">
        <f>IF($U112="",$K112,$K112*$S112)</f>
        <v/>
      </c>
      <c r="Y112" s="35">
        <f>IF($U112="",DATE(2100,12,31),$U112+1)</f>
        <v/>
      </c>
      <c r="Z112" s="35">
        <f>IF($U112="",DATE(1900,1,1),$O112)</f>
        <v/>
      </c>
      <c r="AA112" s="32">
        <f>IF($U112="",0,$K112*$T112)</f>
        <v/>
      </c>
      <c r="AB112" s="21">
        <f>IF($C112="",0,IFERROR(INDEX(Deals!$AD$2:$AD$355,MATCH($C112,Deals!$A$2:$A$355,0)),0))</f>
        <v/>
      </c>
      <c r="AC112" s="32">
        <f>IF(Settings!$B$4="Yes",$I112*$AB112,$I112)</f>
        <v/>
      </c>
      <c r="AD112" s="22">
        <f>IF($C112="","",IFERROR(IF(INDEX(Deals!$AE$2:$AE$355,MATCH($C112,Deals!$A$2:$A$355,0))=0,"",INDEX(Deals!$AE$2:$AE$355,MATCH($C112,Deals!$A$2:$A$355,0))),""))</f>
        <v/>
      </c>
      <c r="AE112" s="22">
        <f>IF($C112="","",IFERROR(IF(INDEX(Deals!$AF$2:$AF$355,MATCH($C112,Deals!$A$2:$A$355,0))=0,"",INDEX(Deals!$AF$2:$AF$355,MATCH($C112,Deals!$A$2:$A$355,0))),""))</f>
        <v/>
      </c>
      <c r="AF112" s="35">
        <f>IF($AD112="",DATE(1900,1,1),$AD112)</f>
        <v/>
      </c>
      <c r="AG112" s="35">
        <f>IF($AE112="",DATE(2100,12,31),$AE112)</f>
        <v/>
      </c>
      <c r="AH112" s="22">
        <f>IF($C112="","",IFERROR(IF(INDEX(Deals!$AG$2:$AG$355,MATCH($C112,Deals!$A$2:$A$355,0))=0,"",INDEX(Deals!$AG$2:$AG$355,MATCH($C112,Deals!$A$2:$A$355,0))),""))</f>
        <v/>
      </c>
      <c r="AI112" s="35">
        <f>IF(OR($AH112&lt;&gt;"",AND($AO112&gt;0,$AD112&lt;&gt;"",$AE112&lt;&gt;"")),$AF112,DATE(1900,1,1))</f>
        <v/>
      </c>
      <c r="AJ112" s="35">
        <f>IF($AH112&lt;&gt;"",$AH112,IF(AND($AO112&gt;0,$AD112&lt;&gt;"",$AE112&lt;&gt;""),$AG112,DATE(2100,12,31)))</f>
        <v/>
      </c>
      <c r="AK112" s="32">
        <f>IF($AH112="",$AC112,$AC112*$S112)</f>
        <v/>
      </c>
      <c r="AL112" s="35">
        <f>IF($AH112="",DATE(2100,12,31),$AH112+1)</f>
        <v/>
      </c>
      <c r="AM112" s="35">
        <f>IF($AH112="",DATE(1900,1,1),$AG112)</f>
        <v/>
      </c>
      <c r="AN112" s="32">
        <f>IF($AH112="",0,$AC112*$T112)</f>
        <v/>
      </c>
      <c r="AO112" s="46">
        <f>IF($C112="",0,IFERROR(INDEX(Deals!$BD$2:$BD$355,MATCH($C112,Deals!$A$2:$A$355,0)),0))</f>
        <v/>
      </c>
      <c r="AP112" s="18">
        <f>IF($AO112=0,0,IFERROR(INDEX(Deals!$BJ$2:$BP$355,MATCH($C112,Deals!$A$2:$A$355,0),MATCH($F112,Deals!$BJ$1:$BP$1,0))/COUNTIFS(Assignments!$C$2:$C$769,$C112,Assignments!$F$2:$F$769,$F112,Assignments!$G$2:$G$769,"Active"),0))</f>
        <v/>
      </c>
    </row>
    <row r="113">
      <c r="A113" s="28" t="inlineStr">
        <is>
          <t>Kyle Kidd</t>
        </is>
      </c>
      <c r="B113" s="16">
        <f>IF($A113="","",IFERROR(INDEX(Roster!$B$2:$B$40,MATCH($A113,Roster!$A$2:$A$40,0)),"?"))</f>
        <v/>
      </c>
      <c r="C113" s="28" t="inlineStr">
        <is>
          <t>Eagle_7</t>
        </is>
      </c>
      <c r="D113" s="16">
        <f>IF($C113="","",IFERROR(IF(INDEX(Deals!$C$2:$C$355,MATCH($C113,Deals!$A$2:$A$355,0))=0,"",INDEX(Deals!$C$2:$C$355,MATCH($C113,Deals!$A$2:$A$355,0))),"?"))</f>
        <v/>
      </c>
      <c r="E113" s="16">
        <f>IF($C113="","",IFERROR(INDEX(Deals!$F$2:$F$355,MATCH($C113,Deals!$A$2:$A$355,0)),"?"))</f>
        <v/>
      </c>
      <c r="F113" s="28" t="inlineStr">
        <is>
          <t>Partner</t>
        </is>
      </c>
      <c r="G113" s="28" t="inlineStr">
        <is>
          <t>Active</t>
        </is>
      </c>
      <c r="H113" s="31" t="n"/>
      <c r="I113" s="32">
        <f>IF(OR($A113="",$G113&lt;&gt;"Active"),0,IF($H113&lt;&gt;"",$H113,IF($AO113&gt;0,$AP113,IF(AND($R113&lt;&gt;"",IFERROR(INDEX(Templates!$B$3:$H$10,MATCH($R113,Templates!$A$3:$A$10,0),MATCH($F113,Templates!$B$2:$H$2,0)),0)&gt;0),INDEX(Templates!$B$3:$H$10,MATCH($R113,Templates!$A$3:$A$10,0),MATCH($F113,Templates!$B$2:$H$2,0)),IFERROR(INDEX(Settings!$B$8:$B$14,MATCH($F113,Settings!$A$8:$A$14,0)),0)))))</f>
        <v/>
      </c>
      <c r="J113" s="21">
        <f>IF($C113="",0,IFERROR(INDEX(Deals!$H$2:$H$355,MATCH($C113,Deals!$A$2:$A$355,0)),0))</f>
        <v/>
      </c>
      <c r="K113" s="32">
        <f>IF(Settings!$B$4="Yes",$I113*$J113,$I113)</f>
        <v/>
      </c>
      <c r="L113" s="22">
        <f>IF($C113="","",IFERROR(IF(INDEX(Deals!$I$2:$I$355,MATCH($C113,Deals!$A$2:$A$355,0))=0,"",INDEX(Deals!$I$2:$I$355,MATCH($C113,Deals!$A$2:$A$355,0))),""))</f>
        <v/>
      </c>
      <c r="M113" s="22">
        <f>IF($C113="","",IFERROR(IF(INDEX(Deals!$J$2:$J$355,MATCH($C113,Deals!$A$2:$A$355,0))=0,"",INDEX(Deals!$J$2:$J$355,MATCH($C113,Deals!$A$2:$A$355,0))),""))</f>
        <v/>
      </c>
      <c r="N113" s="35">
        <f>IF($L113="",DATE(1900,1,1),$L113)</f>
        <v/>
      </c>
      <c r="O113" s="35">
        <f>IF($M113="",DATE(2100,12,31),$M113)</f>
        <v/>
      </c>
      <c r="P113" s="20" t="inlineStr"/>
      <c r="Q113" s="47" t="inlineStr"/>
      <c r="R113" s="16">
        <f>IF($C113="","",IFERROR(IF(INDEX(Deals!$U$2:$U$355,MATCH($C113,Deals!$A$2:$A$355,0))=0,"",INDEX(Deals!$U$2:$U$355,MATCH($C113,Deals!$A$2:$A$355,0))),""))</f>
        <v/>
      </c>
      <c r="S113" s="34">
        <f>IFERROR(IF($U113="",1,INDEX(Deals!$V$2:$V$355,MATCH($C113,Deals!$A$2:$A$355,0))),1)</f>
        <v/>
      </c>
      <c r="T113" s="34">
        <f>IFERROR(IF($U113="",1,INDEX(Deals!$W$2:$W$355,MATCH($C113,Deals!$A$2:$A$355,0))),1)</f>
        <v/>
      </c>
      <c r="U113" s="22">
        <f>IF($C113="","",IFERROR(IF(INDEX(Deals!$Y$2:$Y$355,MATCH($C113,Deals!$A$2:$A$355,0))=0,"",INDEX(Deals!$Y$2:$Y$355,MATCH($C113,Deals!$A$2:$A$355,0))),""))</f>
        <v/>
      </c>
      <c r="V113" s="35">
        <f>IF(OR($U113&lt;&gt;"",AND($AO113&gt;0,$L113&lt;&gt;"",$M113&lt;&gt;"")),$N113,DATE(1900,1,1))</f>
        <v/>
      </c>
      <c r="W113" s="35">
        <f>IF($U113&lt;&gt;"",$U113,IF(AND($AO113&gt;0,$L113&lt;&gt;"",$M113&lt;&gt;""),$O113,DATE(2100,12,31)))</f>
        <v/>
      </c>
      <c r="X113" s="32">
        <f>IF($U113="",$K113,$K113*$S113)</f>
        <v/>
      </c>
      <c r="Y113" s="35">
        <f>IF($U113="",DATE(2100,12,31),$U113+1)</f>
        <v/>
      </c>
      <c r="Z113" s="35">
        <f>IF($U113="",DATE(1900,1,1),$O113)</f>
        <v/>
      </c>
      <c r="AA113" s="32">
        <f>IF($U113="",0,$K113*$T113)</f>
        <v/>
      </c>
      <c r="AB113" s="21">
        <f>IF($C113="",0,IFERROR(INDEX(Deals!$AD$2:$AD$355,MATCH($C113,Deals!$A$2:$A$355,0)),0))</f>
        <v/>
      </c>
      <c r="AC113" s="32">
        <f>IF(Settings!$B$4="Yes",$I113*$AB113,$I113)</f>
        <v/>
      </c>
      <c r="AD113" s="22">
        <f>IF($C113="","",IFERROR(IF(INDEX(Deals!$AE$2:$AE$355,MATCH($C113,Deals!$A$2:$A$355,0))=0,"",INDEX(Deals!$AE$2:$AE$355,MATCH($C113,Deals!$A$2:$A$355,0))),""))</f>
        <v/>
      </c>
      <c r="AE113" s="22">
        <f>IF($C113="","",IFERROR(IF(INDEX(Deals!$AF$2:$AF$355,MATCH($C113,Deals!$A$2:$A$355,0))=0,"",INDEX(Deals!$AF$2:$AF$355,MATCH($C113,Deals!$A$2:$A$355,0))),""))</f>
        <v/>
      </c>
      <c r="AF113" s="35">
        <f>IF($AD113="",DATE(1900,1,1),$AD113)</f>
        <v/>
      </c>
      <c r="AG113" s="35">
        <f>IF($AE113="",DATE(2100,12,31),$AE113)</f>
        <v/>
      </c>
      <c r="AH113" s="22">
        <f>IF($C113="","",IFERROR(IF(INDEX(Deals!$AG$2:$AG$355,MATCH($C113,Deals!$A$2:$A$355,0))=0,"",INDEX(Deals!$AG$2:$AG$355,MATCH($C113,Deals!$A$2:$A$355,0))),""))</f>
        <v/>
      </c>
      <c r="AI113" s="35">
        <f>IF(OR($AH113&lt;&gt;"",AND($AO113&gt;0,$AD113&lt;&gt;"",$AE113&lt;&gt;"")),$AF113,DATE(1900,1,1))</f>
        <v/>
      </c>
      <c r="AJ113" s="35">
        <f>IF($AH113&lt;&gt;"",$AH113,IF(AND($AO113&gt;0,$AD113&lt;&gt;"",$AE113&lt;&gt;""),$AG113,DATE(2100,12,31)))</f>
        <v/>
      </c>
      <c r="AK113" s="32">
        <f>IF($AH113="",$AC113,$AC113*$S113)</f>
        <v/>
      </c>
      <c r="AL113" s="35">
        <f>IF($AH113="",DATE(2100,12,31),$AH113+1)</f>
        <v/>
      </c>
      <c r="AM113" s="35">
        <f>IF($AH113="",DATE(1900,1,1),$AG113)</f>
        <v/>
      </c>
      <c r="AN113" s="32">
        <f>IF($AH113="",0,$AC113*$T113)</f>
        <v/>
      </c>
      <c r="AO113" s="46">
        <f>IF($C113="",0,IFERROR(INDEX(Deals!$BD$2:$BD$355,MATCH($C113,Deals!$A$2:$A$355,0)),0))</f>
        <v/>
      </c>
      <c r="AP113" s="18">
        <f>IF($AO113=0,0,IFERROR(INDEX(Deals!$BJ$2:$BP$355,MATCH($C113,Deals!$A$2:$A$355,0),MATCH($F113,Deals!$BJ$1:$BP$1,0))/COUNTIFS(Assignments!$C$2:$C$769,$C113,Assignments!$F$2:$F$769,$F113,Assignments!$G$2:$G$769,"Active"),0))</f>
        <v/>
      </c>
    </row>
    <row r="114">
      <c r="A114" s="28" t="inlineStr">
        <is>
          <t>Kyle Kidd</t>
        </is>
      </c>
      <c r="B114" s="16">
        <f>IF($A114="","",IFERROR(INDEX(Roster!$B$2:$B$40,MATCH($A114,Roster!$A$2:$A$40,0)),"?"))</f>
        <v/>
      </c>
      <c r="C114" s="28" t="inlineStr">
        <is>
          <t>Emerald_6</t>
        </is>
      </c>
      <c r="D114" s="16">
        <f>IF($C114="","",IFERROR(IF(INDEX(Deals!$C$2:$C$355,MATCH($C114,Deals!$A$2:$A$355,0))=0,"",INDEX(Deals!$C$2:$C$355,MATCH($C114,Deals!$A$2:$A$355,0))),"?"))</f>
        <v/>
      </c>
      <c r="E114" s="16">
        <f>IF($C114="","",IFERROR(INDEX(Deals!$F$2:$F$355,MATCH($C114,Deals!$A$2:$A$355,0)),"?"))</f>
        <v/>
      </c>
      <c r="F114" s="28" t="inlineStr">
        <is>
          <t>Partner</t>
        </is>
      </c>
      <c r="G114" s="28" t="inlineStr">
        <is>
          <t>Active</t>
        </is>
      </c>
      <c r="H114" s="31" t="n"/>
      <c r="I114" s="32">
        <f>IF(OR($A114="",$G114&lt;&gt;"Active"),0,IF($H114&lt;&gt;"",$H114,IF($AO114&gt;0,$AP114,IF(AND($R114&lt;&gt;"",IFERROR(INDEX(Templates!$B$3:$H$10,MATCH($R114,Templates!$A$3:$A$10,0),MATCH($F114,Templates!$B$2:$H$2,0)),0)&gt;0),INDEX(Templates!$B$3:$H$10,MATCH($R114,Templates!$A$3:$A$10,0),MATCH($F114,Templates!$B$2:$H$2,0)),IFERROR(INDEX(Settings!$B$8:$B$14,MATCH($F114,Settings!$A$8:$A$14,0)),0)))))</f>
        <v/>
      </c>
      <c r="J114" s="21">
        <f>IF($C114="",0,IFERROR(INDEX(Deals!$H$2:$H$355,MATCH($C114,Deals!$A$2:$A$355,0)),0))</f>
        <v/>
      </c>
      <c r="K114" s="32">
        <f>IF(Settings!$B$4="Yes",$I114*$J114,$I114)</f>
        <v/>
      </c>
      <c r="L114" s="22">
        <f>IF($C114="","",IFERROR(IF(INDEX(Deals!$I$2:$I$355,MATCH($C114,Deals!$A$2:$A$355,0))=0,"",INDEX(Deals!$I$2:$I$355,MATCH($C114,Deals!$A$2:$A$355,0))),""))</f>
        <v/>
      </c>
      <c r="M114" s="22">
        <f>IF($C114="","",IFERROR(IF(INDEX(Deals!$J$2:$J$355,MATCH($C114,Deals!$A$2:$A$355,0))=0,"",INDEX(Deals!$J$2:$J$355,MATCH($C114,Deals!$A$2:$A$355,0))),""))</f>
        <v/>
      </c>
      <c r="N114" s="35">
        <f>IF($L114="",DATE(1900,1,1),$L114)</f>
        <v/>
      </c>
      <c r="O114" s="35">
        <f>IF($M114="",DATE(2100,12,31),$M114)</f>
        <v/>
      </c>
      <c r="P114" s="20" t="inlineStr"/>
      <c r="Q114" s="47" t="inlineStr"/>
      <c r="R114" s="16">
        <f>IF($C114="","",IFERROR(IF(INDEX(Deals!$U$2:$U$355,MATCH($C114,Deals!$A$2:$A$355,0))=0,"",INDEX(Deals!$U$2:$U$355,MATCH($C114,Deals!$A$2:$A$355,0))),""))</f>
        <v/>
      </c>
      <c r="S114" s="34">
        <f>IFERROR(IF($U114="",1,INDEX(Deals!$V$2:$V$355,MATCH($C114,Deals!$A$2:$A$355,0))),1)</f>
        <v/>
      </c>
      <c r="T114" s="34">
        <f>IFERROR(IF($U114="",1,INDEX(Deals!$W$2:$W$355,MATCH($C114,Deals!$A$2:$A$355,0))),1)</f>
        <v/>
      </c>
      <c r="U114" s="22">
        <f>IF($C114="","",IFERROR(IF(INDEX(Deals!$Y$2:$Y$355,MATCH($C114,Deals!$A$2:$A$355,0))=0,"",INDEX(Deals!$Y$2:$Y$355,MATCH($C114,Deals!$A$2:$A$355,0))),""))</f>
        <v/>
      </c>
      <c r="V114" s="35">
        <f>IF(OR($U114&lt;&gt;"",AND($AO114&gt;0,$L114&lt;&gt;"",$M114&lt;&gt;"")),$N114,DATE(1900,1,1))</f>
        <v/>
      </c>
      <c r="W114" s="35">
        <f>IF($U114&lt;&gt;"",$U114,IF(AND($AO114&gt;0,$L114&lt;&gt;"",$M114&lt;&gt;""),$O114,DATE(2100,12,31)))</f>
        <v/>
      </c>
      <c r="X114" s="32">
        <f>IF($U114="",$K114,$K114*$S114)</f>
        <v/>
      </c>
      <c r="Y114" s="35">
        <f>IF($U114="",DATE(2100,12,31),$U114+1)</f>
        <v/>
      </c>
      <c r="Z114" s="35">
        <f>IF($U114="",DATE(1900,1,1),$O114)</f>
        <v/>
      </c>
      <c r="AA114" s="32">
        <f>IF($U114="",0,$K114*$T114)</f>
        <v/>
      </c>
      <c r="AB114" s="21">
        <f>IF($C114="",0,IFERROR(INDEX(Deals!$AD$2:$AD$355,MATCH($C114,Deals!$A$2:$A$355,0)),0))</f>
        <v/>
      </c>
      <c r="AC114" s="32">
        <f>IF(Settings!$B$4="Yes",$I114*$AB114,$I114)</f>
        <v/>
      </c>
      <c r="AD114" s="22">
        <f>IF($C114="","",IFERROR(IF(INDEX(Deals!$AE$2:$AE$355,MATCH($C114,Deals!$A$2:$A$355,0))=0,"",INDEX(Deals!$AE$2:$AE$355,MATCH($C114,Deals!$A$2:$A$355,0))),""))</f>
        <v/>
      </c>
      <c r="AE114" s="22">
        <f>IF($C114="","",IFERROR(IF(INDEX(Deals!$AF$2:$AF$355,MATCH($C114,Deals!$A$2:$A$355,0))=0,"",INDEX(Deals!$AF$2:$AF$355,MATCH($C114,Deals!$A$2:$A$355,0))),""))</f>
        <v/>
      </c>
      <c r="AF114" s="35">
        <f>IF($AD114="",DATE(1900,1,1),$AD114)</f>
        <v/>
      </c>
      <c r="AG114" s="35">
        <f>IF($AE114="",DATE(2100,12,31),$AE114)</f>
        <v/>
      </c>
      <c r="AH114" s="22">
        <f>IF($C114="","",IFERROR(IF(INDEX(Deals!$AG$2:$AG$355,MATCH($C114,Deals!$A$2:$A$355,0))=0,"",INDEX(Deals!$AG$2:$AG$355,MATCH($C114,Deals!$A$2:$A$355,0))),""))</f>
        <v/>
      </c>
      <c r="AI114" s="35">
        <f>IF(OR($AH114&lt;&gt;"",AND($AO114&gt;0,$AD114&lt;&gt;"",$AE114&lt;&gt;"")),$AF114,DATE(1900,1,1))</f>
        <v/>
      </c>
      <c r="AJ114" s="35">
        <f>IF($AH114&lt;&gt;"",$AH114,IF(AND($AO114&gt;0,$AD114&lt;&gt;"",$AE114&lt;&gt;""),$AG114,DATE(2100,12,31)))</f>
        <v/>
      </c>
      <c r="AK114" s="32">
        <f>IF($AH114="",$AC114,$AC114*$S114)</f>
        <v/>
      </c>
      <c r="AL114" s="35">
        <f>IF($AH114="",DATE(2100,12,31),$AH114+1)</f>
        <v/>
      </c>
      <c r="AM114" s="35">
        <f>IF($AH114="",DATE(1900,1,1),$AG114)</f>
        <v/>
      </c>
      <c r="AN114" s="32">
        <f>IF($AH114="",0,$AC114*$T114)</f>
        <v/>
      </c>
      <c r="AO114" s="46">
        <f>IF($C114="",0,IFERROR(INDEX(Deals!$BD$2:$BD$355,MATCH($C114,Deals!$A$2:$A$355,0)),0))</f>
        <v/>
      </c>
      <c r="AP114" s="18">
        <f>IF($AO114=0,0,IFERROR(INDEX(Deals!$BJ$2:$BP$355,MATCH($C114,Deals!$A$2:$A$355,0),MATCH($F114,Deals!$BJ$1:$BP$1,0))/COUNTIFS(Assignments!$C$2:$C$769,$C114,Assignments!$F$2:$F$769,$F114,Assignments!$G$2:$G$769,"Active"),0))</f>
        <v/>
      </c>
    </row>
    <row r="115">
      <c r="A115" s="28" t="inlineStr">
        <is>
          <t>Kyle Kidd</t>
        </is>
      </c>
      <c r="B115" s="16">
        <f>IF($A115="","",IFERROR(INDEX(Roster!$B$2:$B$40,MATCH($A115,Roster!$A$2:$A$40,0)),"?"))</f>
        <v/>
      </c>
      <c r="C115" s="28" t="inlineStr">
        <is>
          <t>Fengate_4</t>
        </is>
      </c>
      <c r="D115" s="16">
        <f>IF($C115="","",IFERROR(IF(INDEX(Deals!$C$2:$C$355,MATCH($C115,Deals!$A$2:$A$355,0))=0,"",INDEX(Deals!$C$2:$C$355,MATCH($C115,Deals!$A$2:$A$355,0))),"?"))</f>
        <v/>
      </c>
      <c r="E115" s="16">
        <f>IF($C115="","",IFERROR(INDEX(Deals!$F$2:$F$355,MATCH($C115,Deals!$A$2:$A$355,0)),"?"))</f>
        <v/>
      </c>
      <c r="F115" s="28" t="inlineStr">
        <is>
          <t>Partner</t>
        </is>
      </c>
      <c r="G115" s="28" t="inlineStr">
        <is>
          <t>Active</t>
        </is>
      </c>
      <c r="H115" s="31" t="n"/>
      <c r="I115" s="32">
        <f>IF(OR($A115="",$G115&lt;&gt;"Active"),0,IF($H115&lt;&gt;"",$H115,IF($AO115&gt;0,$AP115,IF(AND($R115&lt;&gt;"",IFERROR(INDEX(Templates!$B$3:$H$10,MATCH($R115,Templates!$A$3:$A$10,0),MATCH($F115,Templates!$B$2:$H$2,0)),0)&gt;0),INDEX(Templates!$B$3:$H$10,MATCH($R115,Templates!$A$3:$A$10,0),MATCH($F115,Templates!$B$2:$H$2,0)),IFERROR(INDEX(Settings!$B$8:$B$14,MATCH($F115,Settings!$A$8:$A$14,0)),0)))))</f>
        <v/>
      </c>
      <c r="J115" s="21">
        <f>IF($C115="",0,IFERROR(INDEX(Deals!$H$2:$H$355,MATCH($C115,Deals!$A$2:$A$355,0)),0))</f>
        <v/>
      </c>
      <c r="K115" s="32">
        <f>IF(Settings!$B$4="Yes",$I115*$J115,$I115)</f>
        <v/>
      </c>
      <c r="L115" s="22">
        <f>IF($C115="","",IFERROR(IF(INDEX(Deals!$I$2:$I$355,MATCH($C115,Deals!$A$2:$A$355,0))=0,"",INDEX(Deals!$I$2:$I$355,MATCH($C115,Deals!$A$2:$A$355,0))),""))</f>
        <v/>
      </c>
      <c r="M115" s="22">
        <f>IF($C115="","",IFERROR(IF(INDEX(Deals!$J$2:$J$355,MATCH($C115,Deals!$A$2:$A$355,0))=0,"",INDEX(Deals!$J$2:$J$355,MATCH($C115,Deals!$A$2:$A$355,0))),""))</f>
        <v/>
      </c>
      <c r="N115" s="35">
        <f>IF($L115="",DATE(1900,1,1),$L115)</f>
        <v/>
      </c>
      <c r="O115" s="35">
        <f>IF($M115="",DATE(2100,12,31),$M115)</f>
        <v/>
      </c>
      <c r="P115" s="20" t="inlineStr"/>
      <c r="Q115" s="47" t="inlineStr"/>
      <c r="R115" s="16">
        <f>IF($C115="","",IFERROR(IF(INDEX(Deals!$U$2:$U$355,MATCH($C115,Deals!$A$2:$A$355,0))=0,"",INDEX(Deals!$U$2:$U$355,MATCH($C115,Deals!$A$2:$A$355,0))),""))</f>
        <v/>
      </c>
      <c r="S115" s="34">
        <f>IFERROR(IF($U115="",1,INDEX(Deals!$V$2:$V$355,MATCH($C115,Deals!$A$2:$A$355,0))),1)</f>
        <v/>
      </c>
      <c r="T115" s="34">
        <f>IFERROR(IF($U115="",1,INDEX(Deals!$W$2:$W$355,MATCH($C115,Deals!$A$2:$A$355,0))),1)</f>
        <v/>
      </c>
      <c r="U115" s="22">
        <f>IF($C115="","",IFERROR(IF(INDEX(Deals!$Y$2:$Y$355,MATCH($C115,Deals!$A$2:$A$355,0))=0,"",INDEX(Deals!$Y$2:$Y$355,MATCH($C115,Deals!$A$2:$A$355,0))),""))</f>
        <v/>
      </c>
      <c r="V115" s="35">
        <f>IF(OR($U115&lt;&gt;"",AND($AO115&gt;0,$L115&lt;&gt;"",$M115&lt;&gt;"")),$N115,DATE(1900,1,1))</f>
        <v/>
      </c>
      <c r="W115" s="35">
        <f>IF($U115&lt;&gt;"",$U115,IF(AND($AO115&gt;0,$L115&lt;&gt;"",$M115&lt;&gt;""),$O115,DATE(2100,12,31)))</f>
        <v/>
      </c>
      <c r="X115" s="32">
        <f>IF($U115="",$K115,$K115*$S115)</f>
        <v/>
      </c>
      <c r="Y115" s="35">
        <f>IF($U115="",DATE(2100,12,31),$U115+1)</f>
        <v/>
      </c>
      <c r="Z115" s="35">
        <f>IF($U115="",DATE(1900,1,1),$O115)</f>
        <v/>
      </c>
      <c r="AA115" s="32">
        <f>IF($U115="",0,$K115*$T115)</f>
        <v/>
      </c>
      <c r="AB115" s="21">
        <f>IF($C115="",0,IFERROR(INDEX(Deals!$AD$2:$AD$355,MATCH($C115,Deals!$A$2:$A$355,0)),0))</f>
        <v/>
      </c>
      <c r="AC115" s="32">
        <f>IF(Settings!$B$4="Yes",$I115*$AB115,$I115)</f>
        <v/>
      </c>
      <c r="AD115" s="22">
        <f>IF($C115="","",IFERROR(IF(INDEX(Deals!$AE$2:$AE$355,MATCH($C115,Deals!$A$2:$A$355,0))=0,"",INDEX(Deals!$AE$2:$AE$355,MATCH($C115,Deals!$A$2:$A$355,0))),""))</f>
        <v/>
      </c>
      <c r="AE115" s="22">
        <f>IF($C115="","",IFERROR(IF(INDEX(Deals!$AF$2:$AF$355,MATCH($C115,Deals!$A$2:$A$355,0))=0,"",INDEX(Deals!$AF$2:$AF$355,MATCH($C115,Deals!$A$2:$A$355,0))),""))</f>
        <v/>
      </c>
      <c r="AF115" s="35">
        <f>IF($AD115="",DATE(1900,1,1),$AD115)</f>
        <v/>
      </c>
      <c r="AG115" s="35">
        <f>IF($AE115="",DATE(2100,12,31),$AE115)</f>
        <v/>
      </c>
      <c r="AH115" s="22">
        <f>IF($C115="","",IFERROR(IF(INDEX(Deals!$AG$2:$AG$355,MATCH($C115,Deals!$A$2:$A$355,0))=0,"",INDEX(Deals!$AG$2:$AG$355,MATCH($C115,Deals!$A$2:$A$355,0))),""))</f>
        <v/>
      </c>
      <c r="AI115" s="35">
        <f>IF(OR($AH115&lt;&gt;"",AND($AO115&gt;0,$AD115&lt;&gt;"",$AE115&lt;&gt;"")),$AF115,DATE(1900,1,1))</f>
        <v/>
      </c>
      <c r="AJ115" s="35">
        <f>IF($AH115&lt;&gt;"",$AH115,IF(AND($AO115&gt;0,$AD115&lt;&gt;"",$AE115&lt;&gt;""),$AG115,DATE(2100,12,31)))</f>
        <v/>
      </c>
      <c r="AK115" s="32">
        <f>IF($AH115="",$AC115,$AC115*$S115)</f>
        <v/>
      </c>
      <c r="AL115" s="35">
        <f>IF($AH115="",DATE(2100,12,31),$AH115+1)</f>
        <v/>
      </c>
      <c r="AM115" s="35">
        <f>IF($AH115="",DATE(1900,1,1),$AG115)</f>
        <v/>
      </c>
      <c r="AN115" s="32">
        <f>IF($AH115="",0,$AC115*$T115)</f>
        <v/>
      </c>
      <c r="AO115" s="46">
        <f>IF($C115="",0,IFERROR(INDEX(Deals!$BD$2:$BD$355,MATCH($C115,Deals!$A$2:$A$355,0)),0))</f>
        <v/>
      </c>
      <c r="AP115" s="18">
        <f>IF($AO115=0,0,IFERROR(INDEX(Deals!$BJ$2:$BP$355,MATCH($C115,Deals!$A$2:$A$355,0),MATCH($F115,Deals!$BJ$1:$BP$1,0))/COUNTIFS(Assignments!$C$2:$C$769,$C115,Assignments!$F$2:$F$769,$F115,Assignments!$G$2:$G$769,"Active"),0))</f>
        <v/>
      </c>
    </row>
    <row r="116">
      <c r="A116" s="28" t="inlineStr">
        <is>
          <t>Kyle Kidd</t>
        </is>
      </c>
      <c r="B116" s="16">
        <f>IF($A116="","",IFERROR(INDEX(Roster!$B$2:$B$40,MATCH($A116,Roster!$A$2:$A$40,0)),"?"))</f>
        <v/>
      </c>
      <c r="C116" s="28" t="inlineStr">
        <is>
          <t>Gateway_3</t>
        </is>
      </c>
      <c r="D116" s="16">
        <f>IF($C116="","",IFERROR(IF(INDEX(Deals!$C$2:$C$355,MATCH($C116,Deals!$A$2:$A$355,0))=0,"",INDEX(Deals!$C$2:$C$355,MATCH($C116,Deals!$A$2:$A$355,0))),"?"))</f>
        <v/>
      </c>
      <c r="E116" s="16">
        <f>IF($C116="","",IFERROR(INDEX(Deals!$F$2:$F$355,MATCH($C116,Deals!$A$2:$A$355,0)),"?"))</f>
        <v/>
      </c>
      <c r="F116" s="28" t="inlineStr">
        <is>
          <t>Partner</t>
        </is>
      </c>
      <c r="G116" s="28" t="inlineStr">
        <is>
          <t>Active</t>
        </is>
      </c>
      <c r="H116" s="31" t="n"/>
      <c r="I116" s="32">
        <f>IF(OR($A116="",$G116&lt;&gt;"Active"),0,IF($H116&lt;&gt;"",$H116,IF($AO116&gt;0,$AP116,IF(AND($R116&lt;&gt;"",IFERROR(INDEX(Templates!$B$3:$H$10,MATCH($R116,Templates!$A$3:$A$10,0),MATCH($F116,Templates!$B$2:$H$2,0)),0)&gt;0),INDEX(Templates!$B$3:$H$10,MATCH($R116,Templates!$A$3:$A$10,0),MATCH($F116,Templates!$B$2:$H$2,0)),IFERROR(INDEX(Settings!$B$8:$B$14,MATCH($F116,Settings!$A$8:$A$14,0)),0)))))</f>
        <v/>
      </c>
      <c r="J116" s="21">
        <f>IF($C116="",0,IFERROR(INDEX(Deals!$H$2:$H$355,MATCH($C116,Deals!$A$2:$A$355,0)),0))</f>
        <v/>
      </c>
      <c r="K116" s="32">
        <f>IF(Settings!$B$4="Yes",$I116*$J116,$I116)</f>
        <v/>
      </c>
      <c r="L116" s="22">
        <f>IF($C116="","",IFERROR(IF(INDEX(Deals!$I$2:$I$355,MATCH($C116,Deals!$A$2:$A$355,0))=0,"",INDEX(Deals!$I$2:$I$355,MATCH($C116,Deals!$A$2:$A$355,0))),""))</f>
        <v/>
      </c>
      <c r="M116" s="22">
        <f>IF($C116="","",IFERROR(IF(INDEX(Deals!$J$2:$J$355,MATCH($C116,Deals!$A$2:$A$355,0))=0,"",INDEX(Deals!$J$2:$J$355,MATCH($C116,Deals!$A$2:$A$355,0))),""))</f>
        <v/>
      </c>
      <c r="N116" s="35">
        <f>IF($L116="",DATE(1900,1,1),$L116)</f>
        <v/>
      </c>
      <c r="O116" s="35">
        <f>IF($M116="",DATE(2100,12,31),$M116)</f>
        <v/>
      </c>
      <c r="P116" s="20" t="inlineStr"/>
      <c r="Q116" s="47" t="inlineStr"/>
      <c r="R116" s="16">
        <f>IF($C116="","",IFERROR(IF(INDEX(Deals!$U$2:$U$355,MATCH($C116,Deals!$A$2:$A$355,0))=0,"",INDEX(Deals!$U$2:$U$355,MATCH($C116,Deals!$A$2:$A$355,0))),""))</f>
        <v/>
      </c>
      <c r="S116" s="34">
        <f>IFERROR(IF($U116="",1,INDEX(Deals!$V$2:$V$355,MATCH($C116,Deals!$A$2:$A$355,0))),1)</f>
        <v/>
      </c>
      <c r="T116" s="34">
        <f>IFERROR(IF($U116="",1,INDEX(Deals!$W$2:$W$355,MATCH($C116,Deals!$A$2:$A$355,0))),1)</f>
        <v/>
      </c>
      <c r="U116" s="22">
        <f>IF($C116="","",IFERROR(IF(INDEX(Deals!$Y$2:$Y$355,MATCH($C116,Deals!$A$2:$A$355,0))=0,"",INDEX(Deals!$Y$2:$Y$355,MATCH($C116,Deals!$A$2:$A$355,0))),""))</f>
        <v/>
      </c>
      <c r="V116" s="35">
        <f>IF(OR($U116&lt;&gt;"",AND($AO116&gt;0,$L116&lt;&gt;"",$M116&lt;&gt;"")),$N116,DATE(1900,1,1))</f>
        <v/>
      </c>
      <c r="W116" s="35">
        <f>IF($U116&lt;&gt;"",$U116,IF(AND($AO116&gt;0,$L116&lt;&gt;"",$M116&lt;&gt;""),$O116,DATE(2100,12,31)))</f>
        <v/>
      </c>
      <c r="X116" s="32">
        <f>IF($U116="",$K116,$K116*$S116)</f>
        <v/>
      </c>
      <c r="Y116" s="35">
        <f>IF($U116="",DATE(2100,12,31),$U116+1)</f>
        <v/>
      </c>
      <c r="Z116" s="35">
        <f>IF($U116="",DATE(1900,1,1),$O116)</f>
        <v/>
      </c>
      <c r="AA116" s="32">
        <f>IF($U116="",0,$K116*$T116)</f>
        <v/>
      </c>
      <c r="AB116" s="21">
        <f>IF($C116="",0,IFERROR(INDEX(Deals!$AD$2:$AD$355,MATCH($C116,Deals!$A$2:$A$355,0)),0))</f>
        <v/>
      </c>
      <c r="AC116" s="32">
        <f>IF(Settings!$B$4="Yes",$I116*$AB116,$I116)</f>
        <v/>
      </c>
      <c r="AD116" s="22">
        <f>IF($C116="","",IFERROR(IF(INDEX(Deals!$AE$2:$AE$355,MATCH($C116,Deals!$A$2:$A$355,0))=0,"",INDEX(Deals!$AE$2:$AE$355,MATCH($C116,Deals!$A$2:$A$355,0))),""))</f>
        <v/>
      </c>
      <c r="AE116" s="22">
        <f>IF($C116="","",IFERROR(IF(INDEX(Deals!$AF$2:$AF$355,MATCH($C116,Deals!$A$2:$A$355,0))=0,"",INDEX(Deals!$AF$2:$AF$355,MATCH($C116,Deals!$A$2:$A$355,0))),""))</f>
        <v/>
      </c>
      <c r="AF116" s="35">
        <f>IF($AD116="",DATE(1900,1,1),$AD116)</f>
        <v/>
      </c>
      <c r="AG116" s="35">
        <f>IF($AE116="",DATE(2100,12,31),$AE116)</f>
        <v/>
      </c>
      <c r="AH116" s="22">
        <f>IF($C116="","",IFERROR(IF(INDEX(Deals!$AG$2:$AG$355,MATCH($C116,Deals!$A$2:$A$355,0))=0,"",INDEX(Deals!$AG$2:$AG$355,MATCH($C116,Deals!$A$2:$A$355,0))),""))</f>
        <v/>
      </c>
      <c r="AI116" s="35">
        <f>IF(OR($AH116&lt;&gt;"",AND($AO116&gt;0,$AD116&lt;&gt;"",$AE116&lt;&gt;"")),$AF116,DATE(1900,1,1))</f>
        <v/>
      </c>
      <c r="AJ116" s="35">
        <f>IF($AH116&lt;&gt;"",$AH116,IF(AND($AO116&gt;0,$AD116&lt;&gt;"",$AE116&lt;&gt;""),$AG116,DATE(2100,12,31)))</f>
        <v/>
      </c>
      <c r="AK116" s="32">
        <f>IF($AH116="",$AC116,$AC116*$S116)</f>
        <v/>
      </c>
      <c r="AL116" s="35">
        <f>IF($AH116="",DATE(2100,12,31),$AH116+1)</f>
        <v/>
      </c>
      <c r="AM116" s="35">
        <f>IF($AH116="",DATE(1900,1,1),$AG116)</f>
        <v/>
      </c>
      <c r="AN116" s="32">
        <f>IF($AH116="",0,$AC116*$T116)</f>
        <v/>
      </c>
      <c r="AO116" s="46">
        <f>IF($C116="",0,IFERROR(INDEX(Deals!$BD$2:$BD$355,MATCH($C116,Deals!$A$2:$A$355,0)),0))</f>
        <v/>
      </c>
      <c r="AP116" s="18">
        <f>IF($AO116=0,0,IFERROR(INDEX(Deals!$BJ$2:$BP$355,MATCH($C116,Deals!$A$2:$A$355,0),MATCH($F116,Deals!$BJ$1:$BP$1,0))/COUNTIFS(Assignments!$C$2:$C$769,$C116,Assignments!$F$2:$F$769,$F116,Assignments!$G$2:$G$769,"Active"),0))</f>
        <v/>
      </c>
    </row>
    <row r="117">
      <c r="A117" s="28" t="inlineStr">
        <is>
          <t>Kyle Kidd</t>
        </is>
      </c>
      <c r="B117" s="16">
        <f>IF($A117="","",IFERROR(INDEX(Roster!$B$2:$B$40,MATCH($A117,Roster!$A$2:$A$40,0)),"?"))</f>
        <v/>
      </c>
      <c r="C117" s="28" t="inlineStr">
        <is>
          <t>Guardian_3</t>
        </is>
      </c>
      <c r="D117" s="16">
        <f>IF($C117="","",IFERROR(IF(INDEX(Deals!$C$2:$C$355,MATCH($C117,Deals!$A$2:$A$355,0))=0,"",INDEX(Deals!$C$2:$C$355,MATCH($C117,Deals!$A$2:$A$355,0))),"?"))</f>
        <v/>
      </c>
      <c r="E117" s="16">
        <f>IF($C117="","",IFERROR(INDEX(Deals!$F$2:$F$355,MATCH($C117,Deals!$A$2:$A$355,0)),"?"))</f>
        <v/>
      </c>
      <c r="F117" s="28" t="inlineStr">
        <is>
          <t>Partner</t>
        </is>
      </c>
      <c r="G117" s="28" t="inlineStr">
        <is>
          <t>Active</t>
        </is>
      </c>
      <c r="H117" s="31" t="n"/>
      <c r="I117" s="32">
        <f>IF(OR($A117="",$G117&lt;&gt;"Active"),0,IF($H117&lt;&gt;"",$H117,IF($AO117&gt;0,$AP117,IF(AND($R117&lt;&gt;"",IFERROR(INDEX(Templates!$B$3:$H$10,MATCH($R117,Templates!$A$3:$A$10,0),MATCH($F117,Templates!$B$2:$H$2,0)),0)&gt;0),INDEX(Templates!$B$3:$H$10,MATCH($R117,Templates!$A$3:$A$10,0),MATCH($F117,Templates!$B$2:$H$2,0)),IFERROR(INDEX(Settings!$B$8:$B$14,MATCH($F117,Settings!$A$8:$A$14,0)),0)))))</f>
        <v/>
      </c>
      <c r="J117" s="21">
        <f>IF($C117="",0,IFERROR(INDEX(Deals!$H$2:$H$355,MATCH($C117,Deals!$A$2:$A$355,0)),0))</f>
        <v/>
      </c>
      <c r="K117" s="32">
        <f>IF(Settings!$B$4="Yes",$I117*$J117,$I117)</f>
        <v/>
      </c>
      <c r="L117" s="22">
        <f>IF($C117="","",IFERROR(IF(INDEX(Deals!$I$2:$I$355,MATCH($C117,Deals!$A$2:$A$355,0))=0,"",INDEX(Deals!$I$2:$I$355,MATCH($C117,Deals!$A$2:$A$355,0))),""))</f>
        <v/>
      </c>
      <c r="M117" s="22">
        <f>IF($C117="","",IFERROR(IF(INDEX(Deals!$J$2:$J$355,MATCH($C117,Deals!$A$2:$A$355,0))=0,"",INDEX(Deals!$J$2:$J$355,MATCH($C117,Deals!$A$2:$A$355,0))),""))</f>
        <v/>
      </c>
      <c r="N117" s="35">
        <f>IF($L117="",DATE(1900,1,1),$L117)</f>
        <v/>
      </c>
      <c r="O117" s="35">
        <f>IF($M117="",DATE(2100,12,31),$M117)</f>
        <v/>
      </c>
      <c r="P117" s="20" t="inlineStr"/>
      <c r="Q117" s="47" t="inlineStr"/>
      <c r="R117" s="16">
        <f>IF($C117="","",IFERROR(IF(INDEX(Deals!$U$2:$U$355,MATCH($C117,Deals!$A$2:$A$355,0))=0,"",INDEX(Deals!$U$2:$U$355,MATCH($C117,Deals!$A$2:$A$355,0))),""))</f>
        <v/>
      </c>
      <c r="S117" s="34">
        <f>IFERROR(IF($U117="",1,INDEX(Deals!$V$2:$V$355,MATCH($C117,Deals!$A$2:$A$355,0))),1)</f>
        <v/>
      </c>
      <c r="T117" s="34">
        <f>IFERROR(IF($U117="",1,INDEX(Deals!$W$2:$W$355,MATCH($C117,Deals!$A$2:$A$355,0))),1)</f>
        <v/>
      </c>
      <c r="U117" s="22">
        <f>IF($C117="","",IFERROR(IF(INDEX(Deals!$Y$2:$Y$355,MATCH($C117,Deals!$A$2:$A$355,0))=0,"",INDEX(Deals!$Y$2:$Y$355,MATCH($C117,Deals!$A$2:$A$355,0))),""))</f>
        <v/>
      </c>
      <c r="V117" s="35">
        <f>IF(OR($U117&lt;&gt;"",AND($AO117&gt;0,$L117&lt;&gt;"",$M117&lt;&gt;"")),$N117,DATE(1900,1,1))</f>
        <v/>
      </c>
      <c r="W117" s="35">
        <f>IF($U117&lt;&gt;"",$U117,IF(AND($AO117&gt;0,$L117&lt;&gt;"",$M117&lt;&gt;""),$O117,DATE(2100,12,31)))</f>
        <v/>
      </c>
      <c r="X117" s="32">
        <f>IF($U117="",$K117,$K117*$S117)</f>
        <v/>
      </c>
      <c r="Y117" s="35">
        <f>IF($U117="",DATE(2100,12,31),$U117+1)</f>
        <v/>
      </c>
      <c r="Z117" s="35">
        <f>IF($U117="",DATE(1900,1,1),$O117)</f>
        <v/>
      </c>
      <c r="AA117" s="32">
        <f>IF($U117="",0,$K117*$T117)</f>
        <v/>
      </c>
      <c r="AB117" s="21">
        <f>IF($C117="",0,IFERROR(INDEX(Deals!$AD$2:$AD$355,MATCH($C117,Deals!$A$2:$A$355,0)),0))</f>
        <v/>
      </c>
      <c r="AC117" s="32">
        <f>IF(Settings!$B$4="Yes",$I117*$AB117,$I117)</f>
        <v/>
      </c>
      <c r="AD117" s="22">
        <f>IF($C117="","",IFERROR(IF(INDEX(Deals!$AE$2:$AE$355,MATCH($C117,Deals!$A$2:$A$355,0))=0,"",INDEX(Deals!$AE$2:$AE$355,MATCH($C117,Deals!$A$2:$A$355,0))),""))</f>
        <v/>
      </c>
      <c r="AE117" s="22">
        <f>IF($C117="","",IFERROR(IF(INDEX(Deals!$AF$2:$AF$355,MATCH($C117,Deals!$A$2:$A$355,0))=0,"",INDEX(Deals!$AF$2:$AF$355,MATCH($C117,Deals!$A$2:$A$355,0))),""))</f>
        <v/>
      </c>
      <c r="AF117" s="35">
        <f>IF($AD117="",DATE(1900,1,1),$AD117)</f>
        <v/>
      </c>
      <c r="AG117" s="35">
        <f>IF($AE117="",DATE(2100,12,31),$AE117)</f>
        <v/>
      </c>
      <c r="AH117" s="22">
        <f>IF($C117="","",IFERROR(IF(INDEX(Deals!$AG$2:$AG$355,MATCH($C117,Deals!$A$2:$A$355,0))=0,"",INDEX(Deals!$AG$2:$AG$355,MATCH($C117,Deals!$A$2:$A$355,0))),""))</f>
        <v/>
      </c>
      <c r="AI117" s="35">
        <f>IF(OR($AH117&lt;&gt;"",AND($AO117&gt;0,$AD117&lt;&gt;"",$AE117&lt;&gt;"")),$AF117,DATE(1900,1,1))</f>
        <v/>
      </c>
      <c r="AJ117" s="35">
        <f>IF($AH117&lt;&gt;"",$AH117,IF(AND($AO117&gt;0,$AD117&lt;&gt;"",$AE117&lt;&gt;""),$AG117,DATE(2100,12,31)))</f>
        <v/>
      </c>
      <c r="AK117" s="32">
        <f>IF($AH117="",$AC117,$AC117*$S117)</f>
        <v/>
      </c>
      <c r="AL117" s="35">
        <f>IF($AH117="",DATE(2100,12,31),$AH117+1)</f>
        <v/>
      </c>
      <c r="AM117" s="35">
        <f>IF($AH117="",DATE(1900,1,1),$AG117)</f>
        <v/>
      </c>
      <c r="AN117" s="32">
        <f>IF($AH117="",0,$AC117*$T117)</f>
        <v/>
      </c>
      <c r="AO117" s="46">
        <f>IF($C117="",0,IFERROR(INDEX(Deals!$BD$2:$BD$355,MATCH($C117,Deals!$A$2:$A$355,0)),0))</f>
        <v/>
      </c>
      <c r="AP117" s="18">
        <f>IF($AO117=0,0,IFERROR(INDEX(Deals!$BJ$2:$BP$355,MATCH($C117,Deals!$A$2:$A$355,0),MATCH($F117,Deals!$BJ$1:$BP$1,0))/COUNTIFS(Assignments!$C$2:$C$769,$C117,Assignments!$F$2:$F$769,$F117,Assignments!$G$2:$G$769,"Active"),0))</f>
        <v/>
      </c>
    </row>
    <row r="118">
      <c r="A118" s="28" t="inlineStr">
        <is>
          <t>Kyle Kidd</t>
        </is>
      </c>
      <c r="B118" s="16">
        <f>IF($A118="","",IFERROR(INDEX(Roster!$B$2:$B$40,MATCH($A118,Roster!$A$2:$A$40,0)),"?"))</f>
        <v/>
      </c>
      <c r="C118" s="28" t="inlineStr">
        <is>
          <t>Kanawha_1</t>
        </is>
      </c>
      <c r="D118" s="16">
        <f>IF($C118="","",IFERROR(IF(INDEX(Deals!$C$2:$C$355,MATCH($C118,Deals!$A$2:$A$355,0))=0,"",INDEX(Deals!$C$2:$C$355,MATCH($C118,Deals!$A$2:$A$355,0))),"?"))</f>
        <v/>
      </c>
      <c r="E118" s="16">
        <f>IF($C118="","",IFERROR(INDEX(Deals!$F$2:$F$355,MATCH($C118,Deals!$A$2:$A$355,0)),"?"))</f>
        <v/>
      </c>
      <c r="F118" s="28" t="inlineStr">
        <is>
          <t>Partner</t>
        </is>
      </c>
      <c r="G118" s="28" t="inlineStr">
        <is>
          <t>Active</t>
        </is>
      </c>
      <c r="H118" s="31" t="n"/>
      <c r="I118" s="32">
        <f>IF(OR($A118="",$G118&lt;&gt;"Active"),0,IF($H118&lt;&gt;"",$H118,IF($AO118&gt;0,$AP118,IF(AND($R118&lt;&gt;"",IFERROR(INDEX(Templates!$B$3:$H$10,MATCH($R118,Templates!$A$3:$A$10,0),MATCH($F118,Templates!$B$2:$H$2,0)),0)&gt;0),INDEX(Templates!$B$3:$H$10,MATCH($R118,Templates!$A$3:$A$10,0),MATCH($F118,Templates!$B$2:$H$2,0)),IFERROR(INDEX(Settings!$B$8:$B$14,MATCH($F118,Settings!$A$8:$A$14,0)),0)))))</f>
        <v/>
      </c>
      <c r="J118" s="21">
        <f>IF($C118="",0,IFERROR(INDEX(Deals!$H$2:$H$355,MATCH($C118,Deals!$A$2:$A$355,0)),0))</f>
        <v/>
      </c>
      <c r="K118" s="32">
        <f>IF(Settings!$B$4="Yes",$I118*$J118,$I118)</f>
        <v/>
      </c>
      <c r="L118" s="22">
        <f>IF($C118="","",IFERROR(IF(INDEX(Deals!$I$2:$I$355,MATCH($C118,Deals!$A$2:$A$355,0))=0,"",INDEX(Deals!$I$2:$I$355,MATCH($C118,Deals!$A$2:$A$355,0))),""))</f>
        <v/>
      </c>
      <c r="M118" s="22">
        <f>IF($C118="","",IFERROR(IF(INDEX(Deals!$J$2:$J$355,MATCH($C118,Deals!$A$2:$A$355,0))=0,"",INDEX(Deals!$J$2:$J$355,MATCH($C118,Deals!$A$2:$A$355,0))),""))</f>
        <v/>
      </c>
      <c r="N118" s="35">
        <f>IF($L118="",DATE(1900,1,1),$L118)</f>
        <v/>
      </c>
      <c r="O118" s="35">
        <f>IF($M118="",DATE(2100,12,31),$M118)</f>
        <v/>
      </c>
      <c r="P118" s="20" t="inlineStr"/>
      <c r="Q118" s="47" t="inlineStr"/>
      <c r="R118" s="16">
        <f>IF($C118="","",IFERROR(IF(INDEX(Deals!$U$2:$U$355,MATCH($C118,Deals!$A$2:$A$355,0))=0,"",INDEX(Deals!$U$2:$U$355,MATCH($C118,Deals!$A$2:$A$355,0))),""))</f>
        <v/>
      </c>
      <c r="S118" s="34">
        <f>IFERROR(IF($U118="",1,INDEX(Deals!$V$2:$V$355,MATCH($C118,Deals!$A$2:$A$355,0))),1)</f>
        <v/>
      </c>
      <c r="T118" s="34">
        <f>IFERROR(IF($U118="",1,INDEX(Deals!$W$2:$W$355,MATCH($C118,Deals!$A$2:$A$355,0))),1)</f>
        <v/>
      </c>
      <c r="U118" s="22">
        <f>IF($C118="","",IFERROR(IF(INDEX(Deals!$Y$2:$Y$355,MATCH($C118,Deals!$A$2:$A$355,0))=0,"",INDEX(Deals!$Y$2:$Y$355,MATCH($C118,Deals!$A$2:$A$355,0))),""))</f>
        <v/>
      </c>
      <c r="V118" s="35">
        <f>IF(OR($U118&lt;&gt;"",AND($AO118&gt;0,$L118&lt;&gt;"",$M118&lt;&gt;"")),$N118,DATE(1900,1,1))</f>
        <v/>
      </c>
      <c r="W118" s="35">
        <f>IF($U118&lt;&gt;"",$U118,IF(AND($AO118&gt;0,$L118&lt;&gt;"",$M118&lt;&gt;""),$O118,DATE(2100,12,31)))</f>
        <v/>
      </c>
      <c r="X118" s="32">
        <f>IF($U118="",$K118,$K118*$S118)</f>
        <v/>
      </c>
      <c r="Y118" s="35">
        <f>IF($U118="",DATE(2100,12,31),$U118+1)</f>
        <v/>
      </c>
      <c r="Z118" s="35">
        <f>IF($U118="",DATE(1900,1,1),$O118)</f>
        <v/>
      </c>
      <c r="AA118" s="32">
        <f>IF($U118="",0,$K118*$T118)</f>
        <v/>
      </c>
      <c r="AB118" s="21">
        <f>IF($C118="",0,IFERROR(INDEX(Deals!$AD$2:$AD$355,MATCH($C118,Deals!$A$2:$A$355,0)),0))</f>
        <v/>
      </c>
      <c r="AC118" s="32">
        <f>IF(Settings!$B$4="Yes",$I118*$AB118,$I118)</f>
        <v/>
      </c>
      <c r="AD118" s="22">
        <f>IF($C118="","",IFERROR(IF(INDEX(Deals!$AE$2:$AE$355,MATCH($C118,Deals!$A$2:$A$355,0))=0,"",INDEX(Deals!$AE$2:$AE$355,MATCH($C118,Deals!$A$2:$A$355,0))),""))</f>
        <v/>
      </c>
      <c r="AE118" s="22">
        <f>IF($C118="","",IFERROR(IF(INDEX(Deals!$AF$2:$AF$355,MATCH($C118,Deals!$A$2:$A$355,0))=0,"",INDEX(Deals!$AF$2:$AF$355,MATCH($C118,Deals!$A$2:$A$355,0))),""))</f>
        <v/>
      </c>
      <c r="AF118" s="35">
        <f>IF($AD118="",DATE(1900,1,1),$AD118)</f>
        <v/>
      </c>
      <c r="AG118" s="35">
        <f>IF($AE118="",DATE(2100,12,31),$AE118)</f>
        <v/>
      </c>
      <c r="AH118" s="22">
        <f>IF($C118="","",IFERROR(IF(INDEX(Deals!$AG$2:$AG$355,MATCH($C118,Deals!$A$2:$A$355,0))=0,"",INDEX(Deals!$AG$2:$AG$355,MATCH($C118,Deals!$A$2:$A$355,0))),""))</f>
        <v/>
      </c>
      <c r="AI118" s="35">
        <f>IF(OR($AH118&lt;&gt;"",AND($AO118&gt;0,$AD118&lt;&gt;"",$AE118&lt;&gt;"")),$AF118,DATE(1900,1,1))</f>
        <v/>
      </c>
      <c r="AJ118" s="35">
        <f>IF($AH118&lt;&gt;"",$AH118,IF(AND($AO118&gt;0,$AD118&lt;&gt;"",$AE118&lt;&gt;""),$AG118,DATE(2100,12,31)))</f>
        <v/>
      </c>
      <c r="AK118" s="32">
        <f>IF($AH118="",$AC118,$AC118*$S118)</f>
        <v/>
      </c>
      <c r="AL118" s="35">
        <f>IF($AH118="",DATE(2100,12,31),$AH118+1)</f>
        <v/>
      </c>
      <c r="AM118" s="35">
        <f>IF($AH118="",DATE(1900,1,1),$AG118)</f>
        <v/>
      </c>
      <c r="AN118" s="32">
        <f>IF($AH118="",0,$AC118*$T118)</f>
        <v/>
      </c>
      <c r="AO118" s="46">
        <f>IF($C118="",0,IFERROR(INDEX(Deals!$BD$2:$BD$355,MATCH($C118,Deals!$A$2:$A$355,0)),0))</f>
        <v/>
      </c>
      <c r="AP118" s="18">
        <f>IF($AO118=0,0,IFERROR(INDEX(Deals!$BJ$2:$BP$355,MATCH($C118,Deals!$A$2:$A$355,0),MATCH($F118,Deals!$BJ$1:$BP$1,0))/COUNTIFS(Assignments!$C$2:$C$769,$C118,Assignments!$F$2:$F$769,$F118,Assignments!$G$2:$G$769,"Active"),0))</f>
        <v/>
      </c>
    </row>
    <row r="119">
      <c r="A119" s="28" t="inlineStr">
        <is>
          <t>Kyle Kidd</t>
        </is>
      </c>
      <c r="B119" s="16">
        <f>IF($A119="","",IFERROR(INDEX(Roster!$B$2:$B$40,MATCH($A119,Roster!$A$2:$A$40,0)),"?"))</f>
        <v/>
      </c>
      <c r="C119" s="28" t="inlineStr">
        <is>
          <t>Marigold_2</t>
        </is>
      </c>
      <c r="D119" s="16">
        <f>IF($C119="","",IFERROR(IF(INDEX(Deals!$C$2:$C$355,MATCH($C119,Deals!$A$2:$A$355,0))=0,"",INDEX(Deals!$C$2:$C$355,MATCH($C119,Deals!$A$2:$A$355,0))),"?"))</f>
        <v/>
      </c>
      <c r="E119" s="16">
        <f>IF($C119="","",IFERROR(INDEX(Deals!$F$2:$F$355,MATCH($C119,Deals!$A$2:$A$355,0)),"?"))</f>
        <v/>
      </c>
      <c r="F119" s="28" t="inlineStr">
        <is>
          <t>Partner</t>
        </is>
      </c>
      <c r="G119" s="28" t="inlineStr">
        <is>
          <t>Active</t>
        </is>
      </c>
      <c r="H119" s="31" t="n"/>
      <c r="I119" s="32">
        <f>IF(OR($A119="",$G119&lt;&gt;"Active"),0,IF($H119&lt;&gt;"",$H119,IF($AO119&gt;0,$AP119,IF(AND($R119&lt;&gt;"",IFERROR(INDEX(Templates!$B$3:$H$10,MATCH($R119,Templates!$A$3:$A$10,0),MATCH($F119,Templates!$B$2:$H$2,0)),0)&gt;0),INDEX(Templates!$B$3:$H$10,MATCH($R119,Templates!$A$3:$A$10,0),MATCH($F119,Templates!$B$2:$H$2,0)),IFERROR(INDEX(Settings!$B$8:$B$14,MATCH($F119,Settings!$A$8:$A$14,0)),0)))))</f>
        <v/>
      </c>
      <c r="J119" s="21">
        <f>IF($C119="",0,IFERROR(INDEX(Deals!$H$2:$H$355,MATCH($C119,Deals!$A$2:$A$355,0)),0))</f>
        <v/>
      </c>
      <c r="K119" s="32">
        <f>IF(Settings!$B$4="Yes",$I119*$J119,$I119)</f>
        <v/>
      </c>
      <c r="L119" s="22">
        <f>IF($C119="","",IFERROR(IF(INDEX(Deals!$I$2:$I$355,MATCH($C119,Deals!$A$2:$A$355,0))=0,"",INDEX(Deals!$I$2:$I$355,MATCH($C119,Deals!$A$2:$A$355,0))),""))</f>
        <v/>
      </c>
      <c r="M119" s="22">
        <f>IF($C119="","",IFERROR(IF(INDEX(Deals!$J$2:$J$355,MATCH($C119,Deals!$A$2:$A$355,0))=0,"",INDEX(Deals!$J$2:$J$355,MATCH($C119,Deals!$A$2:$A$355,0))),""))</f>
        <v/>
      </c>
      <c r="N119" s="35">
        <f>IF($L119="",DATE(1900,1,1),$L119)</f>
        <v/>
      </c>
      <c r="O119" s="35">
        <f>IF($M119="",DATE(2100,12,31),$M119)</f>
        <v/>
      </c>
      <c r="P119" s="20" t="inlineStr"/>
      <c r="Q119" s="47" t="inlineStr"/>
      <c r="R119" s="16">
        <f>IF($C119="","",IFERROR(IF(INDEX(Deals!$U$2:$U$355,MATCH($C119,Deals!$A$2:$A$355,0))=0,"",INDEX(Deals!$U$2:$U$355,MATCH($C119,Deals!$A$2:$A$355,0))),""))</f>
        <v/>
      </c>
      <c r="S119" s="34">
        <f>IFERROR(IF($U119="",1,INDEX(Deals!$V$2:$V$355,MATCH($C119,Deals!$A$2:$A$355,0))),1)</f>
        <v/>
      </c>
      <c r="T119" s="34">
        <f>IFERROR(IF($U119="",1,INDEX(Deals!$W$2:$W$355,MATCH($C119,Deals!$A$2:$A$355,0))),1)</f>
        <v/>
      </c>
      <c r="U119" s="22">
        <f>IF($C119="","",IFERROR(IF(INDEX(Deals!$Y$2:$Y$355,MATCH($C119,Deals!$A$2:$A$355,0))=0,"",INDEX(Deals!$Y$2:$Y$355,MATCH($C119,Deals!$A$2:$A$355,0))),""))</f>
        <v/>
      </c>
      <c r="V119" s="35">
        <f>IF(OR($U119&lt;&gt;"",AND($AO119&gt;0,$L119&lt;&gt;"",$M119&lt;&gt;"")),$N119,DATE(1900,1,1))</f>
        <v/>
      </c>
      <c r="W119" s="35">
        <f>IF($U119&lt;&gt;"",$U119,IF(AND($AO119&gt;0,$L119&lt;&gt;"",$M119&lt;&gt;""),$O119,DATE(2100,12,31)))</f>
        <v/>
      </c>
      <c r="X119" s="32">
        <f>IF($U119="",$K119,$K119*$S119)</f>
        <v/>
      </c>
      <c r="Y119" s="35">
        <f>IF($U119="",DATE(2100,12,31),$U119+1)</f>
        <v/>
      </c>
      <c r="Z119" s="35">
        <f>IF($U119="",DATE(1900,1,1),$O119)</f>
        <v/>
      </c>
      <c r="AA119" s="32">
        <f>IF($U119="",0,$K119*$T119)</f>
        <v/>
      </c>
      <c r="AB119" s="21">
        <f>IF($C119="",0,IFERROR(INDEX(Deals!$AD$2:$AD$355,MATCH($C119,Deals!$A$2:$A$355,0)),0))</f>
        <v/>
      </c>
      <c r="AC119" s="32">
        <f>IF(Settings!$B$4="Yes",$I119*$AB119,$I119)</f>
        <v/>
      </c>
      <c r="AD119" s="22">
        <f>IF($C119="","",IFERROR(IF(INDEX(Deals!$AE$2:$AE$355,MATCH($C119,Deals!$A$2:$A$355,0))=0,"",INDEX(Deals!$AE$2:$AE$355,MATCH($C119,Deals!$A$2:$A$355,0))),""))</f>
        <v/>
      </c>
      <c r="AE119" s="22">
        <f>IF($C119="","",IFERROR(IF(INDEX(Deals!$AF$2:$AF$355,MATCH($C119,Deals!$A$2:$A$355,0))=0,"",INDEX(Deals!$AF$2:$AF$355,MATCH($C119,Deals!$A$2:$A$355,0))),""))</f>
        <v/>
      </c>
      <c r="AF119" s="35">
        <f>IF($AD119="",DATE(1900,1,1),$AD119)</f>
        <v/>
      </c>
      <c r="AG119" s="35">
        <f>IF($AE119="",DATE(2100,12,31),$AE119)</f>
        <v/>
      </c>
      <c r="AH119" s="22">
        <f>IF($C119="","",IFERROR(IF(INDEX(Deals!$AG$2:$AG$355,MATCH($C119,Deals!$A$2:$A$355,0))=0,"",INDEX(Deals!$AG$2:$AG$355,MATCH($C119,Deals!$A$2:$A$355,0))),""))</f>
        <v/>
      </c>
      <c r="AI119" s="35">
        <f>IF(OR($AH119&lt;&gt;"",AND($AO119&gt;0,$AD119&lt;&gt;"",$AE119&lt;&gt;"")),$AF119,DATE(1900,1,1))</f>
        <v/>
      </c>
      <c r="AJ119" s="35">
        <f>IF($AH119&lt;&gt;"",$AH119,IF(AND($AO119&gt;0,$AD119&lt;&gt;"",$AE119&lt;&gt;""),$AG119,DATE(2100,12,31)))</f>
        <v/>
      </c>
      <c r="AK119" s="32">
        <f>IF($AH119="",$AC119,$AC119*$S119)</f>
        <v/>
      </c>
      <c r="AL119" s="35">
        <f>IF($AH119="",DATE(2100,12,31),$AH119+1)</f>
        <v/>
      </c>
      <c r="AM119" s="35">
        <f>IF($AH119="",DATE(1900,1,1),$AG119)</f>
        <v/>
      </c>
      <c r="AN119" s="32">
        <f>IF($AH119="",0,$AC119*$T119)</f>
        <v/>
      </c>
      <c r="AO119" s="46">
        <f>IF($C119="",0,IFERROR(INDEX(Deals!$BD$2:$BD$355,MATCH($C119,Deals!$A$2:$A$355,0)),0))</f>
        <v/>
      </c>
      <c r="AP119" s="18">
        <f>IF($AO119=0,0,IFERROR(INDEX(Deals!$BJ$2:$BP$355,MATCH($C119,Deals!$A$2:$A$355,0),MATCH($F119,Deals!$BJ$1:$BP$1,0))/COUNTIFS(Assignments!$C$2:$C$769,$C119,Assignments!$F$2:$F$769,$F119,Assignments!$G$2:$G$769,"Active"),0))</f>
        <v/>
      </c>
    </row>
    <row r="120">
      <c r="A120" s="28" t="inlineStr">
        <is>
          <t>Kyle Kidd</t>
        </is>
      </c>
      <c r="B120" s="16">
        <f>IF($A120="","",IFERROR(INDEX(Roster!$B$2:$B$40,MATCH($A120,Roster!$A$2:$A$40,0)),"?"))</f>
        <v/>
      </c>
      <c r="C120" s="28" t="inlineStr">
        <is>
          <t>Octopus Post-close_1</t>
        </is>
      </c>
      <c r="D120" s="16">
        <f>IF($C120="","",IFERROR(IF(INDEX(Deals!$C$2:$C$355,MATCH($C120,Deals!$A$2:$A$355,0))=0,"",INDEX(Deals!$C$2:$C$355,MATCH($C120,Deals!$A$2:$A$355,0))),"?"))</f>
        <v/>
      </c>
      <c r="E120" s="16">
        <f>IF($C120="","",IFERROR(INDEX(Deals!$F$2:$F$355,MATCH($C120,Deals!$A$2:$A$355,0)),"?"))</f>
        <v/>
      </c>
      <c r="F120" s="28" t="inlineStr">
        <is>
          <t>Partner</t>
        </is>
      </c>
      <c r="G120" s="28" t="inlineStr">
        <is>
          <t>Active</t>
        </is>
      </c>
      <c r="H120" s="31" t="n"/>
      <c r="I120" s="32">
        <f>IF(OR($A120="",$G120&lt;&gt;"Active"),0,IF($H120&lt;&gt;"",$H120,IF($AO120&gt;0,$AP120,IF(AND($R120&lt;&gt;"",IFERROR(INDEX(Templates!$B$3:$H$10,MATCH($R120,Templates!$A$3:$A$10,0),MATCH($F120,Templates!$B$2:$H$2,0)),0)&gt;0),INDEX(Templates!$B$3:$H$10,MATCH($R120,Templates!$A$3:$A$10,0),MATCH($F120,Templates!$B$2:$H$2,0)),IFERROR(INDEX(Settings!$B$8:$B$14,MATCH($F120,Settings!$A$8:$A$14,0)),0)))))</f>
        <v/>
      </c>
      <c r="J120" s="21">
        <f>IF($C120="",0,IFERROR(INDEX(Deals!$H$2:$H$355,MATCH($C120,Deals!$A$2:$A$355,0)),0))</f>
        <v/>
      </c>
      <c r="K120" s="32">
        <f>IF(Settings!$B$4="Yes",$I120*$J120,$I120)</f>
        <v/>
      </c>
      <c r="L120" s="22">
        <f>IF($C120="","",IFERROR(IF(INDEX(Deals!$I$2:$I$355,MATCH($C120,Deals!$A$2:$A$355,0))=0,"",INDEX(Deals!$I$2:$I$355,MATCH($C120,Deals!$A$2:$A$355,0))),""))</f>
        <v/>
      </c>
      <c r="M120" s="22">
        <f>IF($C120="","",IFERROR(IF(INDEX(Deals!$J$2:$J$355,MATCH($C120,Deals!$A$2:$A$355,0))=0,"",INDEX(Deals!$J$2:$J$355,MATCH($C120,Deals!$A$2:$A$355,0))),""))</f>
        <v/>
      </c>
      <c r="N120" s="35">
        <f>IF($L120="",DATE(1900,1,1),$L120)</f>
        <v/>
      </c>
      <c r="O120" s="35">
        <f>IF($M120="",DATE(2100,12,31),$M120)</f>
        <v/>
      </c>
      <c r="P120" s="20" t="inlineStr"/>
      <c r="Q120" s="47" t="inlineStr"/>
      <c r="R120" s="16">
        <f>IF($C120="","",IFERROR(IF(INDEX(Deals!$U$2:$U$355,MATCH($C120,Deals!$A$2:$A$355,0))=0,"",INDEX(Deals!$U$2:$U$355,MATCH($C120,Deals!$A$2:$A$355,0))),""))</f>
        <v/>
      </c>
      <c r="S120" s="34">
        <f>IFERROR(IF($U120="",1,INDEX(Deals!$V$2:$V$355,MATCH($C120,Deals!$A$2:$A$355,0))),1)</f>
        <v/>
      </c>
      <c r="T120" s="34">
        <f>IFERROR(IF($U120="",1,INDEX(Deals!$W$2:$W$355,MATCH($C120,Deals!$A$2:$A$355,0))),1)</f>
        <v/>
      </c>
      <c r="U120" s="22">
        <f>IF($C120="","",IFERROR(IF(INDEX(Deals!$Y$2:$Y$355,MATCH($C120,Deals!$A$2:$A$355,0))=0,"",INDEX(Deals!$Y$2:$Y$355,MATCH($C120,Deals!$A$2:$A$355,0))),""))</f>
        <v/>
      </c>
      <c r="V120" s="35">
        <f>IF(OR($U120&lt;&gt;"",AND($AO120&gt;0,$L120&lt;&gt;"",$M120&lt;&gt;"")),$N120,DATE(1900,1,1))</f>
        <v/>
      </c>
      <c r="W120" s="35">
        <f>IF($U120&lt;&gt;"",$U120,IF(AND($AO120&gt;0,$L120&lt;&gt;"",$M120&lt;&gt;""),$O120,DATE(2100,12,31)))</f>
        <v/>
      </c>
      <c r="X120" s="32">
        <f>IF($U120="",$K120,$K120*$S120)</f>
        <v/>
      </c>
      <c r="Y120" s="35">
        <f>IF($U120="",DATE(2100,12,31),$U120+1)</f>
        <v/>
      </c>
      <c r="Z120" s="35">
        <f>IF($U120="",DATE(1900,1,1),$O120)</f>
        <v/>
      </c>
      <c r="AA120" s="32">
        <f>IF($U120="",0,$K120*$T120)</f>
        <v/>
      </c>
      <c r="AB120" s="21">
        <f>IF($C120="",0,IFERROR(INDEX(Deals!$AD$2:$AD$355,MATCH($C120,Deals!$A$2:$A$355,0)),0))</f>
        <v/>
      </c>
      <c r="AC120" s="32">
        <f>IF(Settings!$B$4="Yes",$I120*$AB120,$I120)</f>
        <v/>
      </c>
      <c r="AD120" s="22">
        <f>IF($C120="","",IFERROR(IF(INDEX(Deals!$AE$2:$AE$355,MATCH($C120,Deals!$A$2:$A$355,0))=0,"",INDEX(Deals!$AE$2:$AE$355,MATCH($C120,Deals!$A$2:$A$355,0))),""))</f>
        <v/>
      </c>
      <c r="AE120" s="22">
        <f>IF($C120="","",IFERROR(IF(INDEX(Deals!$AF$2:$AF$355,MATCH($C120,Deals!$A$2:$A$355,0))=0,"",INDEX(Deals!$AF$2:$AF$355,MATCH($C120,Deals!$A$2:$A$355,0))),""))</f>
        <v/>
      </c>
      <c r="AF120" s="35">
        <f>IF($AD120="",DATE(1900,1,1),$AD120)</f>
        <v/>
      </c>
      <c r="AG120" s="35">
        <f>IF($AE120="",DATE(2100,12,31),$AE120)</f>
        <v/>
      </c>
      <c r="AH120" s="22">
        <f>IF($C120="","",IFERROR(IF(INDEX(Deals!$AG$2:$AG$355,MATCH($C120,Deals!$A$2:$A$355,0))=0,"",INDEX(Deals!$AG$2:$AG$355,MATCH($C120,Deals!$A$2:$A$355,0))),""))</f>
        <v/>
      </c>
      <c r="AI120" s="35">
        <f>IF(OR($AH120&lt;&gt;"",AND($AO120&gt;0,$AD120&lt;&gt;"",$AE120&lt;&gt;"")),$AF120,DATE(1900,1,1))</f>
        <v/>
      </c>
      <c r="AJ120" s="35">
        <f>IF($AH120&lt;&gt;"",$AH120,IF(AND($AO120&gt;0,$AD120&lt;&gt;"",$AE120&lt;&gt;""),$AG120,DATE(2100,12,31)))</f>
        <v/>
      </c>
      <c r="AK120" s="32">
        <f>IF($AH120="",$AC120,$AC120*$S120)</f>
        <v/>
      </c>
      <c r="AL120" s="35">
        <f>IF($AH120="",DATE(2100,12,31),$AH120+1)</f>
        <v/>
      </c>
      <c r="AM120" s="35">
        <f>IF($AH120="",DATE(1900,1,1),$AG120)</f>
        <v/>
      </c>
      <c r="AN120" s="32">
        <f>IF($AH120="",0,$AC120*$T120)</f>
        <v/>
      </c>
      <c r="AO120" s="46">
        <f>IF($C120="",0,IFERROR(INDEX(Deals!$BD$2:$BD$355,MATCH($C120,Deals!$A$2:$A$355,0)),0))</f>
        <v/>
      </c>
      <c r="AP120" s="18">
        <f>IF($AO120=0,0,IFERROR(INDEX(Deals!$BJ$2:$BP$355,MATCH($C120,Deals!$A$2:$A$355,0),MATCH($F120,Deals!$BJ$1:$BP$1,0))/COUNTIFS(Assignments!$C$2:$C$769,$C120,Assignments!$F$2:$F$769,$F120,Assignments!$G$2:$G$769,"Active"),0))</f>
        <v/>
      </c>
    </row>
    <row r="121">
      <c r="A121" s="28" t="inlineStr">
        <is>
          <t>Kyle Kidd</t>
        </is>
      </c>
      <c r="B121" s="16">
        <f>IF($A121="","",IFERROR(INDEX(Roster!$B$2:$B$40,MATCH($A121,Roster!$A$2:$A$40,0)),"?"))</f>
        <v/>
      </c>
      <c r="C121" s="28" t="inlineStr">
        <is>
          <t>Pythagoras_1</t>
        </is>
      </c>
      <c r="D121" s="16">
        <f>IF($C121="","",IFERROR(IF(INDEX(Deals!$C$2:$C$355,MATCH($C121,Deals!$A$2:$A$355,0))=0,"",INDEX(Deals!$C$2:$C$355,MATCH($C121,Deals!$A$2:$A$355,0))),"?"))</f>
        <v/>
      </c>
      <c r="E121" s="16">
        <f>IF($C121="","",IFERROR(INDEX(Deals!$F$2:$F$355,MATCH($C121,Deals!$A$2:$A$355,0)),"?"))</f>
        <v/>
      </c>
      <c r="F121" s="28" t="inlineStr">
        <is>
          <t>Partner</t>
        </is>
      </c>
      <c r="G121" s="28" t="inlineStr">
        <is>
          <t>Active</t>
        </is>
      </c>
      <c r="H121" s="31" t="n"/>
      <c r="I121" s="32">
        <f>IF(OR($A121="",$G121&lt;&gt;"Active"),0,IF($H121&lt;&gt;"",$H121,IF($AO121&gt;0,$AP121,IF(AND($R121&lt;&gt;"",IFERROR(INDEX(Templates!$B$3:$H$10,MATCH($R121,Templates!$A$3:$A$10,0),MATCH($F121,Templates!$B$2:$H$2,0)),0)&gt;0),INDEX(Templates!$B$3:$H$10,MATCH($R121,Templates!$A$3:$A$10,0),MATCH($F121,Templates!$B$2:$H$2,0)),IFERROR(INDEX(Settings!$B$8:$B$14,MATCH($F121,Settings!$A$8:$A$14,0)),0)))))</f>
        <v/>
      </c>
      <c r="J121" s="21">
        <f>IF($C121="",0,IFERROR(INDEX(Deals!$H$2:$H$355,MATCH($C121,Deals!$A$2:$A$355,0)),0))</f>
        <v/>
      </c>
      <c r="K121" s="32">
        <f>IF(Settings!$B$4="Yes",$I121*$J121,$I121)</f>
        <v/>
      </c>
      <c r="L121" s="22">
        <f>IF($C121="","",IFERROR(IF(INDEX(Deals!$I$2:$I$355,MATCH($C121,Deals!$A$2:$A$355,0))=0,"",INDEX(Deals!$I$2:$I$355,MATCH($C121,Deals!$A$2:$A$355,0))),""))</f>
        <v/>
      </c>
      <c r="M121" s="22">
        <f>IF($C121="","",IFERROR(IF(INDEX(Deals!$J$2:$J$355,MATCH($C121,Deals!$A$2:$A$355,0))=0,"",INDEX(Deals!$J$2:$J$355,MATCH($C121,Deals!$A$2:$A$355,0))),""))</f>
        <v/>
      </c>
      <c r="N121" s="35">
        <f>IF($L121="",DATE(1900,1,1),$L121)</f>
        <v/>
      </c>
      <c r="O121" s="35">
        <f>IF($M121="",DATE(2100,12,31),$M121)</f>
        <v/>
      </c>
      <c r="P121" s="20" t="inlineStr"/>
      <c r="Q121" s="47" t="inlineStr"/>
      <c r="R121" s="16">
        <f>IF($C121="","",IFERROR(IF(INDEX(Deals!$U$2:$U$355,MATCH($C121,Deals!$A$2:$A$355,0))=0,"",INDEX(Deals!$U$2:$U$355,MATCH($C121,Deals!$A$2:$A$355,0))),""))</f>
        <v/>
      </c>
      <c r="S121" s="34">
        <f>IFERROR(IF($U121="",1,INDEX(Deals!$V$2:$V$355,MATCH($C121,Deals!$A$2:$A$355,0))),1)</f>
        <v/>
      </c>
      <c r="T121" s="34">
        <f>IFERROR(IF($U121="",1,INDEX(Deals!$W$2:$W$355,MATCH($C121,Deals!$A$2:$A$355,0))),1)</f>
        <v/>
      </c>
      <c r="U121" s="22">
        <f>IF($C121="","",IFERROR(IF(INDEX(Deals!$Y$2:$Y$355,MATCH($C121,Deals!$A$2:$A$355,0))=0,"",INDEX(Deals!$Y$2:$Y$355,MATCH($C121,Deals!$A$2:$A$355,0))),""))</f>
        <v/>
      </c>
      <c r="V121" s="35">
        <f>IF(OR($U121&lt;&gt;"",AND($AO121&gt;0,$L121&lt;&gt;"",$M121&lt;&gt;"")),$N121,DATE(1900,1,1))</f>
        <v/>
      </c>
      <c r="W121" s="35">
        <f>IF($U121&lt;&gt;"",$U121,IF(AND($AO121&gt;0,$L121&lt;&gt;"",$M121&lt;&gt;""),$O121,DATE(2100,12,31)))</f>
        <v/>
      </c>
      <c r="X121" s="32">
        <f>IF($U121="",$K121,$K121*$S121)</f>
        <v/>
      </c>
      <c r="Y121" s="35">
        <f>IF($U121="",DATE(2100,12,31),$U121+1)</f>
        <v/>
      </c>
      <c r="Z121" s="35">
        <f>IF($U121="",DATE(1900,1,1),$O121)</f>
        <v/>
      </c>
      <c r="AA121" s="32">
        <f>IF($U121="",0,$K121*$T121)</f>
        <v/>
      </c>
      <c r="AB121" s="21">
        <f>IF($C121="",0,IFERROR(INDEX(Deals!$AD$2:$AD$355,MATCH($C121,Deals!$A$2:$A$355,0)),0))</f>
        <v/>
      </c>
      <c r="AC121" s="32">
        <f>IF(Settings!$B$4="Yes",$I121*$AB121,$I121)</f>
        <v/>
      </c>
      <c r="AD121" s="22">
        <f>IF($C121="","",IFERROR(IF(INDEX(Deals!$AE$2:$AE$355,MATCH($C121,Deals!$A$2:$A$355,0))=0,"",INDEX(Deals!$AE$2:$AE$355,MATCH($C121,Deals!$A$2:$A$355,0))),""))</f>
        <v/>
      </c>
      <c r="AE121" s="22">
        <f>IF($C121="","",IFERROR(IF(INDEX(Deals!$AF$2:$AF$355,MATCH($C121,Deals!$A$2:$A$355,0))=0,"",INDEX(Deals!$AF$2:$AF$355,MATCH($C121,Deals!$A$2:$A$355,0))),""))</f>
        <v/>
      </c>
      <c r="AF121" s="35">
        <f>IF($AD121="",DATE(1900,1,1),$AD121)</f>
        <v/>
      </c>
      <c r="AG121" s="35">
        <f>IF($AE121="",DATE(2100,12,31),$AE121)</f>
        <v/>
      </c>
      <c r="AH121" s="22">
        <f>IF($C121="","",IFERROR(IF(INDEX(Deals!$AG$2:$AG$355,MATCH($C121,Deals!$A$2:$A$355,0))=0,"",INDEX(Deals!$AG$2:$AG$355,MATCH($C121,Deals!$A$2:$A$355,0))),""))</f>
        <v/>
      </c>
      <c r="AI121" s="35">
        <f>IF(OR($AH121&lt;&gt;"",AND($AO121&gt;0,$AD121&lt;&gt;"",$AE121&lt;&gt;"")),$AF121,DATE(1900,1,1))</f>
        <v/>
      </c>
      <c r="AJ121" s="35">
        <f>IF($AH121&lt;&gt;"",$AH121,IF(AND($AO121&gt;0,$AD121&lt;&gt;"",$AE121&lt;&gt;""),$AG121,DATE(2100,12,31)))</f>
        <v/>
      </c>
      <c r="AK121" s="32">
        <f>IF($AH121="",$AC121,$AC121*$S121)</f>
        <v/>
      </c>
      <c r="AL121" s="35">
        <f>IF($AH121="",DATE(2100,12,31),$AH121+1)</f>
        <v/>
      </c>
      <c r="AM121" s="35">
        <f>IF($AH121="",DATE(1900,1,1),$AG121)</f>
        <v/>
      </c>
      <c r="AN121" s="32">
        <f>IF($AH121="",0,$AC121*$T121)</f>
        <v/>
      </c>
      <c r="AO121" s="46">
        <f>IF($C121="",0,IFERROR(INDEX(Deals!$BD$2:$BD$355,MATCH($C121,Deals!$A$2:$A$355,0)),0))</f>
        <v/>
      </c>
      <c r="AP121" s="18">
        <f>IF($AO121=0,0,IFERROR(INDEX(Deals!$BJ$2:$BP$355,MATCH($C121,Deals!$A$2:$A$355,0),MATCH($F121,Deals!$BJ$1:$BP$1,0))/COUNTIFS(Assignments!$C$2:$C$769,$C121,Assignments!$F$2:$F$769,$F121,Assignments!$G$2:$G$769,"Active"),0))</f>
        <v/>
      </c>
    </row>
    <row r="122">
      <c r="A122" s="28" t="inlineStr">
        <is>
          <t>Kyle Kidd</t>
        </is>
      </c>
      <c r="B122" s="16">
        <f>IF($A122="","",IFERROR(INDEX(Roster!$B$2:$B$40,MATCH($A122,Roster!$A$2:$A$40,0)),"?"))</f>
        <v/>
      </c>
      <c r="C122" s="28" t="inlineStr">
        <is>
          <t>Resolute_1</t>
        </is>
      </c>
      <c r="D122" s="16">
        <f>IF($C122="","",IFERROR(IF(INDEX(Deals!$C$2:$C$355,MATCH($C122,Deals!$A$2:$A$355,0))=0,"",INDEX(Deals!$C$2:$C$355,MATCH($C122,Deals!$A$2:$A$355,0))),"?"))</f>
        <v/>
      </c>
      <c r="E122" s="16">
        <f>IF($C122="","",IFERROR(INDEX(Deals!$F$2:$F$355,MATCH($C122,Deals!$A$2:$A$355,0)),"?"))</f>
        <v/>
      </c>
      <c r="F122" s="28" t="inlineStr">
        <is>
          <t>Partner</t>
        </is>
      </c>
      <c r="G122" s="28" t="inlineStr">
        <is>
          <t>Active</t>
        </is>
      </c>
      <c r="H122" s="31" t="n"/>
      <c r="I122" s="32">
        <f>IF(OR($A122="",$G122&lt;&gt;"Active"),0,IF($H122&lt;&gt;"",$H122,IF($AO122&gt;0,$AP122,IF(AND($R122&lt;&gt;"",IFERROR(INDEX(Templates!$B$3:$H$10,MATCH($R122,Templates!$A$3:$A$10,0),MATCH($F122,Templates!$B$2:$H$2,0)),0)&gt;0),INDEX(Templates!$B$3:$H$10,MATCH($R122,Templates!$A$3:$A$10,0),MATCH($F122,Templates!$B$2:$H$2,0)),IFERROR(INDEX(Settings!$B$8:$B$14,MATCH($F122,Settings!$A$8:$A$14,0)),0)))))</f>
        <v/>
      </c>
      <c r="J122" s="21">
        <f>IF($C122="",0,IFERROR(INDEX(Deals!$H$2:$H$355,MATCH($C122,Deals!$A$2:$A$355,0)),0))</f>
        <v/>
      </c>
      <c r="K122" s="32">
        <f>IF(Settings!$B$4="Yes",$I122*$J122,$I122)</f>
        <v/>
      </c>
      <c r="L122" s="22">
        <f>IF($C122="","",IFERROR(IF(INDEX(Deals!$I$2:$I$355,MATCH($C122,Deals!$A$2:$A$355,0))=0,"",INDEX(Deals!$I$2:$I$355,MATCH($C122,Deals!$A$2:$A$355,0))),""))</f>
        <v/>
      </c>
      <c r="M122" s="22">
        <f>IF($C122="","",IFERROR(IF(INDEX(Deals!$J$2:$J$355,MATCH($C122,Deals!$A$2:$A$355,0))=0,"",INDEX(Deals!$J$2:$J$355,MATCH($C122,Deals!$A$2:$A$355,0))),""))</f>
        <v/>
      </c>
      <c r="N122" s="35">
        <f>IF($L122="",DATE(1900,1,1),$L122)</f>
        <v/>
      </c>
      <c r="O122" s="35">
        <f>IF($M122="",DATE(2100,12,31),$M122)</f>
        <v/>
      </c>
      <c r="P122" s="20" t="inlineStr"/>
      <c r="Q122" s="47" t="inlineStr"/>
      <c r="R122" s="16">
        <f>IF($C122="","",IFERROR(IF(INDEX(Deals!$U$2:$U$355,MATCH($C122,Deals!$A$2:$A$355,0))=0,"",INDEX(Deals!$U$2:$U$355,MATCH($C122,Deals!$A$2:$A$355,0))),""))</f>
        <v/>
      </c>
      <c r="S122" s="34">
        <f>IFERROR(IF($U122="",1,INDEX(Deals!$V$2:$V$355,MATCH($C122,Deals!$A$2:$A$355,0))),1)</f>
        <v/>
      </c>
      <c r="T122" s="34">
        <f>IFERROR(IF($U122="",1,INDEX(Deals!$W$2:$W$355,MATCH($C122,Deals!$A$2:$A$355,0))),1)</f>
        <v/>
      </c>
      <c r="U122" s="22">
        <f>IF($C122="","",IFERROR(IF(INDEX(Deals!$Y$2:$Y$355,MATCH($C122,Deals!$A$2:$A$355,0))=0,"",INDEX(Deals!$Y$2:$Y$355,MATCH($C122,Deals!$A$2:$A$355,0))),""))</f>
        <v/>
      </c>
      <c r="V122" s="35">
        <f>IF(OR($U122&lt;&gt;"",AND($AO122&gt;0,$L122&lt;&gt;"",$M122&lt;&gt;"")),$N122,DATE(1900,1,1))</f>
        <v/>
      </c>
      <c r="W122" s="35">
        <f>IF($U122&lt;&gt;"",$U122,IF(AND($AO122&gt;0,$L122&lt;&gt;"",$M122&lt;&gt;""),$O122,DATE(2100,12,31)))</f>
        <v/>
      </c>
      <c r="X122" s="32">
        <f>IF($U122="",$K122,$K122*$S122)</f>
        <v/>
      </c>
      <c r="Y122" s="35">
        <f>IF($U122="",DATE(2100,12,31),$U122+1)</f>
        <v/>
      </c>
      <c r="Z122" s="35">
        <f>IF($U122="",DATE(1900,1,1),$O122)</f>
        <v/>
      </c>
      <c r="AA122" s="32">
        <f>IF($U122="",0,$K122*$T122)</f>
        <v/>
      </c>
      <c r="AB122" s="21">
        <f>IF($C122="",0,IFERROR(INDEX(Deals!$AD$2:$AD$355,MATCH($C122,Deals!$A$2:$A$355,0)),0))</f>
        <v/>
      </c>
      <c r="AC122" s="32">
        <f>IF(Settings!$B$4="Yes",$I122*$AB122,$I122)</f>
        <v/>
      </c>
      <c r="AD122" s="22">
        <f>IF($C122="","",IFERROR(IF(INDEX(Deals!$AE$2:$AE$355,MATCH($C122,Deals!$A$2:$A$355,0))=0,"",INDEX(Deals!$AE$2:$AE$355,MATCH($C122,Deals!$A$2:$A$355,0))),""))</f>
        <v/>
      </c>
      <c r="AE122" s="22">
        <f>IF($C122="","",IFERROR(IF(INDEX(Deals!$AF$2:$AF$355,MATCH($C122,Deals!$A$2:$A$355,0))=0,"",INDEX(Deals!$AF$2:$AF$355,MATCH($C122,Deals!$A$2:$A$355,0))),""))</f>
        <v/>
      </c>
      <c r="AF122" s="35">
        <f>IF($AD122="",DATE(1900,1,1),$AD122)</f>
        <v/>
      </c>
      <c r="AG122" s="35">
        <f>IF($AE122="",DATE(2100,12,31),$AE122)</f>
        <v/>
      </c>
      <c r="AH122" s="22">
        <f>IF($C122="","",IFERROR(IF(INDEX(Deals!$AG$2:$AG$355,MATCH($C122,Deals!$A$2:$A$355,0))=0,"",INDEX(Deals!$AG$2:$AG$355,MATCH($C122,Deals!$A$2:$A$355,0))),""))</f>
        <v/>
      </c>
      <c r="AI122" s="35">
        <f>IF(OR($AH122&lt;&gt;"",AND($AO122&gt;0,$AD122&lt;&gt;"",$AE122&lt;&gt;"")),$AF122,DATE(1900,1,1))</f>
        <v/>
      </c>
      <c r="AJ122" s="35">
        <f>IF($AH122&lt;&gt;"",$AH122,IF(AND($AO122&gt;0,$AD122&lt;&gt;"",$AE122&lt;&gt;""),$AG122,DATE(2100,12,31)))</f>
        <v/>
      </c>
      <c r="AK122" s="32">
        <f>IF($AH122="",$AC122,$AC122*$S122)</f>
        <v/>
      </c>
      <c r="AL122" s="35">
        <f>IF($AH122="",DATE(2100,12,31),$AH122+1)</f>
        <v/>
      </c>
      <c r="AM122" s="35">
        <f>IF($AH122="",DATE(1900,1,1),$AG122)</f>
        <v/>
      </c>
      <c r="AN122" s="32">
        <f>IF($AH122="",0,$AC122*$T122)</f>
        <v/>
      </c>
      <c r="AO122" s="46">
        <f>IF($C122="",0,IFERROR(INDEX(Deals!$BD$2:$BD$355,MATCH($C122,Deals!$A$2:$A$355,0)),0))</f>
        <v/>
      </c>
      <c r="AP122" s="18">
        <f>IF($AO122=0,0,IFERROR(INDEX(Deals!$BJ$2:$BP$355,MATCH($C122,Deals!$A$2:$A$355,0),MATCH($F122,Deals!$BJ$1:$BP$1,0))/COUNTIFS(Assignments!$C$2:$C$769,$C122,Assignments!$F$2:$F$769,$F122,Assignments!$G$2:$G$769,"Active"),0))</f>
        <v/>
      </c>
    </row>
    <row r="123">
      <c r="A123" s="28" t="inlineStr">
        <is>
          <t>Kyle Kidd</t>
        </is>
      </c>
      <c r="B123" s="16">
        <f>IF($A123="","",IFERROR(INDEX(Roster!$B$2:$B$40,MATCH($A123,Roster!$A$2:$A$40,0)),"?"))</f>
        <v/>
      </c>
      <c r="C123" s="28" t="inlineStr">
        <is>
          <t>Sakura</t>
        </is>
      </c>
      <c r="D123" s="16">
        <f>IF($C123="","",IFERROR(IF(INDEX(Deals!$C$2:$C$355,MATCH($C123,Deals!$A$2:$A$355,0))=0,"",INDEX(Deals!$C$2:$C$355,MATCH($C123,Deals!$A$2:$A$355,0))),"?"))</f>
        <v/>
      </c>
      <c r="E123" s="16">
        <f>IF($C123="","",IFERROR(INDEX(Deals!$F$2:$F$355,MATCH($C123,Deals!$A$2:$A$355,0)),"?"))</f>
        <v/>
      </c>
      <c r="F123" s="28" t="inlineStr">
        <is>
          <t>Partner</t>
        </is>
      </c>
      <c r="G123" s="28" t="inlineStr">
        <is>
          <t>Active</t>
        </is>
      </c>
      <c r="H123" s="31" t="n"/>
      <c r="I123" s="32">
        <f>IF(OR($A123="",$G123&lt;&gt;"Active"),0,IF($H123&lt;&gt;"",$H123,IF($AO123&gt;0,$AP123,IF(AND($R123&lt;&gt;"",IFERROR(INDEX(Templates!$B$3:$H$10,MATCH($R123,Templates!$A$3:$A$10,0),MATCH($F123,Templates!$B$2:$H$2,0)),0)&gt;0),INDEX(Templates!$B$3:$H$10,MATCH($R123,Templates!$A$3:$A$10,0),MATCH($F123,Templates!$B$2:$H$2,0)),IFERROR(INDEX(Settings!$B$8:$B$14,MATCH($F123,Settings!$A$8:$A$14,0)),0)))))</f>
        <v/>
      </c>
      <c r="J123" s="21">
        <f>IF($C123="",0,IFERROR(INDEX(Deals!$H$2:$H$355,MATCH($C123,Deals!$A$2:$A$355,0)),0))</f>
        <v/>
      </c>
      <c r="K123" s="32">
        <f>IF(Settings!$B$4="Yes",$I123*$J123,$I123)</f>
        <v/>
      </c>
      <c r="L123" s="22">
        <f>IF($C123="","",IFERROR(IF(INDEX(Deals!$I$2:$I$355,MATCH($C123,Deals!$A$2:$A$355,0))=0,"",INDEX(Deals!$I$2:$I$355,MATCH($C123,Deals!$A$2:$A$355,0))),""))</f>
        <v/>
      </c>
      <c r="M123" s="22">
        <f>IF($C123="","",IFERROR(IF(INDEX(Deals!$J$2:$J$355,MATCH($C123,Deals!$A$2:$A$355,0))=0,"",INDEX(Deals!$J$2:$J$355,MATCH($C123,Deals!$A$2:$A$355,0))),""))</f>
        <v/>
      </c>
      <c r="N123" s="35">
        <f>IF($L123="",DATE(1900,1,1),$L123)</f>
        <v/>
      </c>
      <c r="O123" s="35">
        <f>IF($M123="",DATE(2100,12,31),$M123)</f>
        <v/>
      </c>
      <c r="P123" s="20" t="inlineStr"/>
      <c r="Q123" s="47" t="inlineStr"/>
      <c r="R123" s="16">
        <f>IF($C123="","",IFERROR(IF(INDEX(Deals!$U$2:$U$355,MATCH($C123,Deals!$A$2:$A$355,0))=0,"",INDEX(Deals!$U$2:$U$355,MATCH($C123,Deals!$A$2:$A$355,0))),""))</f>
        <v/>
      </c>
      <c r="S123" s="34">
        <f>IFERROR(IF($U123="",1,INDEX(Deals!$V$2:$V$355,MATCH($C123,Deals!$A$2:$A$355,0))),1)</f>
        <v/>
      </c>
      <c r="T123" s="34">
        <f>IFERROR(IF($U123="",1,INDEX(Deals!$W$2:$W$355,MATCH($C123,Deals!$A$2:$A$355,0))),1)</f>
        <v/>
      </c>
      <c r="U123" s="22">
        <f>IF($C123="","",IFERROR(IF(INDEX(Deals!$Y$2:$Y$355,MATCH($C123,Deals!$A$2:$A$355,0))=0,"",INDEX(Deals!$Y$2:$Y$355,MATCH($C123,Deals!$A$2:$A$355,0))),""))</f>
        <v/>
      </c>
      <c r="V123" s="35">
        <f>IF(OR($U123&lt;&gt;"",AND($AO123&gt;0,$L123&lt;&gt;"",$M123&lt;&gt;"")),$N123,DATE(1900,1,1))</f>
        <v/>
      </c>
      <c r="W123" s="35">
        <f>IF($U123&lt;&gt;"",$U123,IF(AND($AO123&gt;0,$L123&lt;&gt;"",$M123&lt;&gt;""),$O123,DATE(2100,12,31)))</f>
        <v/>
      </c>
      <c r="X123" s="32">
        <f>IF($U123="",$K123,$K123*$S123)</f>
        <v/>
      </c>
      <c r="Y123" s="35">
        <f>IF($U123="",DATE(2100,12,31),$U123+1)</f>
        <v/>
      </c>
      <c r="Z123" s="35">
        <f>IF($U123="",DATE(1900,1,1),$O123)</f>
        <v/>
      </c>
      <c r="AA123" s="32">
        <f>IF($U123="",0,$K123*$T123)</f>
        <v/>
      </c>
      <c r="AB123" s="21">
        <f>IF($C123="",0,IFERROR(INDEX(Deals!$AD$2:$AD$355,MATCH($C123,Deals!$A$2:$A$355,0)),0))</f>
        <v/>
      </c>
      <c r="AC123" s="32">
        <f>IF(Settings!$B$4="Yes",$I123*$AB123,$I123)</f>
        <v/>
      </c>
      <c r="AD123" s="22">
        <f>IF($C123="","",IFERROR(IF(INDEX(Deals!$AE$2:$AE$355,MATCH($C123,Deals!$A$2:$A$355,0))=0,"",INDEX(Deals!$AE$2:$AE$355,MATCH($C123,Deals!$A$2:$A$355,0))),""))</f>
        <v/>
      </c>
      <c r="AE123" s="22">
        <f>IF($C123="","",IFERROR(IF(INDEX(Deals!$AF$2:$AF$355,MATCH($C123,Deals!$A$2:$A$355,0))=0,"",INDEX(Deals!$AF$2:$AF$355,MATCH($C123,Deals!$A$2:$A$355,0))),""))</f>
        <v/>
      </c>
      <c r="AF123" s="35">
        <f>IF($AD123="",DATE(1900,1,1),$AD123)</f>
        <v/>
      </c>
      <c r="AG123" s="35">
        <f>IF($AE123="",DATE(2100,12,31),$AE123)</f>
        <v/>
      </c>
      <c r="AH123" s="22">
        <f>IF($C123="","",IFERROR(IF(INDEX(Deals!$AG$2:$AG$355,MATCH($C123,Deals!$A$2:$A$355,0))=0,"",INDEX(Deals!$AG$2:$AG$355,MATCH($C123,Deals!$A$2:$A$355,0))),""))</f>
        <v/>
      </c>
      <c r="AI123" s="35">
        <f>IF(OR($AH123&lt;&gt;"",AND($AO123&gt;0,$AD123&lt;&gt;"",$AE123&lt;&gt;"")),$AF123,DATE(1900,1,1))</f>
        <v/>
      </c>
      <c r="AJ123" s="35">
        <f>IF($AH123&lt;&gt;"",$AH123,IF(AND($AO123&gt;0,$AD123&lt;&gt;"",$AE123&lt;&gt;""),$AG123,DATE(2100,12,31)))</f>
        <v/>
      </c>
      <c r="AK123" s="32">
        <f>IF($AH123="",$AC123,$AC123*$S123)</f>
        <v/>
      </c>
      <c r="AL123" s="35">
        <f>IF($AH123="",DATE(2100,12,31),$AH123+1)</f>
        <v/>
      </c>
      <c r="AM123" s="35">
        <f>IF($AH123="",DATE(1900,1,1),$AG123)</f>
        <v/>
      </c>
      <c r="AN123" s="32">
        <f>IF($AH123="",0,$AC123*$T123)</f>
        <v/>
      </c>
      <c r="AO123" s="46">
        <f>IF($C123="",0,IFERROR(INDEX(Deals!$BD$2:$BD$355,MATCH($C123,Deals!$A$2:$A$355,0)),0))</f>
        <v/>
      </c>
      <c r="AP123" s="18">
        <f>IF($AO123=0,0,IFERROR(INDEX(Deals!$BJ$2:$BP$355,MATCH($C123,Deals!$A$2:$A$355,0),MATCH($F123,Deals!$BJ$1:$BP$1,0))/COUNTIFS(Assignments!$C$2:$C$769,$C123,Assignments!$F$2:$F$769,$F123,Assignments!$G$2:$G$769,"Active"),0))</f>
        <v/>
      </c>
    </row>
    <row r="124">
      <c r="A124" s="28" t="inlineStr">
        <is>
          <t>Kyle Kidd</t>
        </is>
      </c>
      <c r="B124" s="16">
        <f>IF($A124="","",IFERROR(INDEX(Roster!$B$2:$B$40,MATCH($A124,Roster!$A$2:$A$40,0)),"?"))</f>
        <v/>
      </c>
      <c r="C124" s="28" t="inlineStr">
        <is>
          <t>Shika_1</t>
        </is>
      </c>
      <c r="D124" s="16">
        <f>IF($C124="","",IFERROR(IF(INDEX(Deals!$C$2:$C$355,MATCH($C124,Deals!$A$2:$A$355,0))=0,"",INDEX(Deals!$C$2:$C$355,MATCH($C124,Deals!$A$2:$A$355,0))),"?"))</f>
        <v/>
      </c>
      <c r="E124" s="16">
        <f>IF($C124="","",IFERROR(INDEX(Deals!$F$2:$F$355,MATCH($C124,Deals!$A$2:$A$355,0)),"?"))</f>
        <v/>
      </c>
      <c r="F124" s="28" t="inlineStr">
        <is>
          <t>Partner</t>
        </is>
      </c>
      <c r="G124" s="28" t="inlineStr">
        <is>
          <t>Active</t>
        </is>
      </c>
      <c r="H124" s="31" t="n"/>
      <c r="I124" s="32">
        <f>IF(OR($A124="",$G124&lt;&gt;"Active"),0,IF($H124&lt;&gt;"",$H124,IF($AO124&gt;0,$AP124,IF(AND($R124&lt;&gt;"",IFERROR(INDEX(Templates!$B$3:$H$10,MATCH($R124,Templates!$A$3:$A$10,0),MATCH($F124,Templates!$B$2:$H$2,0)),0)&gt;0),INDEX(Templates!$B$3:$H$10,MATCH($R124,Templates!$A$3:$A$10,0),MATCH($F124,Templates!$B$2:$H$2,0)),IFERROR(INDEX(Settings!$B$8:$B$14,MATCH($F124,Settings!$A$8:$A$14,0)),0)))))</f>
        <v/>
      </c>
      <c r="J124" s="21">
        <f>IF($C124="",0,IFERROR(INDEX(Deals!$H$2:$H$355,MATCH($C124,Deals!$A$2:$A$355,0)),0))</f>
        <v/>
      </c>
      <c r="K124" s="32">
        <f>IF(Settings!$B$4="Yes",$I124*$J124,$I124)</f>
        <v/>
      </c>
      <c r="L124" s="22">
        <f>IF($C124="","",IFERROR(IF(INDEX(Deals!$I$2:$I$355,MATCH($C124,Deals!$A$2:$A$355,0))=0,"",INDEX(Deals!$I$2:$I$355,MATCH($C124,Deals!$A$2:$A$355,0))),""))</f>
        <v/>
      </c>
      <c r="M124" s="22">
        <f>IF($C124="","",IFERROR(IF(INDEX(Deals!$J$2:$J$355,MATCH($C124,Deals!$A$2:$A$355,0))=0,"",INDEX(Deals!$J$2:$J$355,MATCH($C124,Deals!$A$2:$A$355,0))),""))</f>
        <v/>
      </c>
      <c r="N124" s="35">
        <f>IF($L124="",DATE(1900,1,1),$L124)</f>
        <v/>
      </c>
      <c r="O124" s="35">
        <f>IF($M124="",DATE(2100,12,31),$M124)</f>
        <v/>
      </c>
      <c r="P124" s="20" t="inlineStr"/>
      <c r="Q124" s="47" t="inlineStr"/>
      <c r="R124" s="16">
        <f>IF($C124="","",IFERROR(IF(INDEX(Deals!$U$2:$U$355,MATCH($C124,Deals!$A$2:$A$355,0))=0,"",INDEX(Deals!$U$2:$U$355,MATCH($C124,Deals!$A$2:$A$355,0))),""))</f>
        <v/>
      </c>
      <c r="S124" s="34">
        <f>IFERROR(IF($U124="",1,INDEX(Deals!$V$2:$V$355,MATCH($C124,Deals!$A$2:$A$355,0))),1)</f>
        <v/>
      </c>
      <c r="T124" s="34">
        <f>IFERROR(IF($U124="",1,INDEX(Deals!$W$2:$W$355,MATCH($C124,Deals!$A$2:$A$355,0))),1)</f>
        <v/>
      </c>
      <c r="U124" s="22">
        <f>IF($C124="","",IFERROR(IF(INDEX(Deals!$Y$2:$Y$355,MATCH($C124,Deals!$A$2:$A$355,0))=0,"",INDEX(Deals!$Y$2:$Y$355,MATCH($C124,Deals!$A$2:$A$355,0))),""))</f>
        <v/>
      </c>
      <c r="V124" s="35">
        <f>IF(OR($U124&lt;&gt;"",AND($AO124&gt;0,$L124&lt;&gt;"",$M124&lt;&gt;"")),$N124,DATE(1900,1,1))</f>
        <v/>
      </c>
      <c r="W124" s="35">
        <f>IF($U124&lt;&gt;"",$U124,IF(AND($AO124&gt;0,$L124&lt;&gt;"",$M124&lt;&gt;""),$O124,DATE(2100,12,31)))</f>
        <v/>
      </c>
      <c r="X124" s="32">
        <f>IF($U124="",$K124,$K124*$S124)</f>
        <v/>
      </c>
      <c r="Y124" s="35">
        <f>IF($U124="",DATE(2100,12,31),$U124+1)</f>
        <v/>
      </c>
      <c r="Z124" s="35">
        <f>IF($U124="",DATE(1900,1,1),$O124)</f>
        <v/>
      </c>
      <c r="AA124" s="32">
        <f>IF($U124="",0,$K124*$T124)</f>
        <v/>
      </c>
      <c r="AB124" s="21">
        <f>IF($C124="",0,IFERROR(INDEX(Deals!$AD$2:$AD$355,MATCH($C124,Deals!$A$2:$A$355,0)),0))</f>
        <v/>
      </c>
      <c r="AC124" s="32">
        <f>IF(Settings!$B$4="Yes",$I124*$AB124,$I124)</f>
        <v/>
      </c>
      <c r="AD124" s="22">
        <f>IF($C124="","",IFERROR(IF(INDEX(Deals!$AE$2:$AE$355,MATCH($C124,Deals!$A$2:$A$355,0))=0,"",INDEX(Deals!$AE$2:$AE$355,MATCH($C124,Deals!$A$2:$A$355,0))),""))</f>
        <v/>
      </c>
      <c r="AE124" s="22">
        <f>IF($C124="","",IFERROR(IF(INDEX(Deals!$AF$2:$AF$355,MATCH($C124,Deals!$A$2:$A$355,0))=0,"",INDEX(Deals!$AF$2:$AF$355,MATCH($C124,Deals!$A$2:$A$355,0))),""))</f>
        <v/>
      </c>
      <c r="AF124" s="35">
        <f>IF($AD124="",DATE(1900,1,1),$AD124)</f>
        <v/>
      </c>
      <c r="AG124" s="35">
        <f>IF($AE124="",DATE(2100,12,31),$AE124)</f>
        <v/>
      </c>
      <c r="AH124" s="22">
        <f>IF($C124="","",IFERROR(IF(INDEX(Deals!$AG$2:$AG$355,MATCH($C124,Deals!$A$2:$A$355,0))=0,"",INDEX(Deals!$AG$2:$AG$355,MATCH($C124,Deals!$A$2:$A$355,0))),""))</f>
        <v/>
      </c>
      <c r="AI124" s="35">
        <f>IF(OR($AH124&lt;&gt;"",AND($AO124&gt;0,$AD124&lt;&gt;"",$AE124&lt;&gt;"")),$AF124,DATE(1900,1,1))</f>
        <v/>
      </c>
      <c r="AJ124" s="35">
        <f>IF($AH124&lt;&gt;"",$AH124,IF(AND($AO124&gt;0,$AD124&lt;&gt;"",$AE124&lt;&gt;""),$AG124,DATE(2100,12,31)))</f>
        <v/>
      </c>
      <c r="AK124" s="32">
        <f>IF($AH124="",$AC124,$AC124*$S124)</f>
        <v/>
      </c>
      <c r="AL124" s="35">
        <f>IF($AH124="",DATE(2100,12,31),$AH124+1)</f>
        <v/>
      </c>
      <c r="AM124" s="35">
        <f>IF($AH124="",DATE(1900,1,1),$AG124)</f>
        <v/>
      </c>
      <c r="AN124" s="32">
        <f>IF($AH124="",0,$AC124*$T124)</f>
        <v/>
      </c>
      <c r="AO124" s="46">
        <f>IF($C124="",0,IFERROR(INDEX(Deals!$BD$2:$BD$355,MATCH($C124,Deals!$A$2:$A$355,0)),0))</f>
        <v/>
      </c>
      <c r="AP124" s="18">
        <f>IF($AO124=0,0,IFERROR(INDEX(Deals!$BJ$2:$BP$355,MATCH($C124,Deals!$A$2:$A$355,0),MATCH($F124,Deals!$BJ$1:$BP$1,0))/COUNTIFS(Assignments!$C$2:$C$769,$C124,Assignments!$F$2:$F$769,$F124,Assignments!$G$2:$G$769,"Active"),0))</f>
        <v/>
      </c>
    </row>
    <row r="125">
      <c r="A125" s="28" t="inlineStr">
        <is>
          <t>Kyle Kidd</t>
        </is>
      </c>
      <c r="B125" s="16">
        <f>IF($A125="","",IFERROR(INDEX(Roster!$B$2:$B$40,MATCH($A125,Roster!$A$2:$A$40,0)),"?"))</f>
        <v/>
      </c>
      <c r="C125" s="28" t="inlineStr">
        <is>
          <t>Steam_2</t>
        </is>
      </c>
      <c r="D125" s="16">
        <f>IF($C125="","",IFERROR(IF(INDEX(Deals!$C$2:$C$355,MATCH($C125,Deals!$A$2:$A$355,0))=0,"",INDEX(Deals!$C$2:$C$355,MATCH($C125,Deals!$A$2:$A$355,0))),"?"))</f>
        <v/>
      </c>
      <c r="E125" s="16">
        <f>IF($C125="","",IFERROR(INDEX(Deals!$F$2:$F$355,MATCH($C125,Deals!$A$2:$A$355,0)),"?"))</f>
        <v/>
      </c>
      <c r="F125" s="28" t="inlineStr">
        <is>
          <t>Partner</t>
        </is>
      </c>
      <c r="G125" s="28" t="inlineStr">
        <is>
          <t>Active</t>
        </is>
      </c>
      <c r="H125" s="31" t="n"/>
      <c r="I125" s="32">
        <f>IF(OR($A125="",$G125&lt;&gt;"Active"),0,IF($H125&lt;&gt;"",$H125,IF($AO125&gt;0,$AP125,IF(AND($R125&lt;&gt;"",IFERROR(INDEX(Templates!$B$3:$H$10,MATCH($R125,Templates!$A$3:$A$10,0),MATCH($F125,Templates!$B$2:$H$2,0)),0)&gt;0),INDEX(Templates!$B$3:$H$10,MATCH($R125,Templates!$A$3:$A$10,0),MATCH($F125,Templates!$B$2:$H$2,0)),IFERROR(INDEX(Settings!$B$8:$B$14,MATCH($F125,Settings!$A$8:$A$14,0)),0)))))</f>
        <v/>
      </c>
      <c r="J125" s="21">
        <f>IF($C125="",0,IFERROR(INDEX(Deals!$H$2:$H$355,MATCH($C125,Deals!$A$2:$A$355,0)),0))</f>
        <v/>
      </c>
      <c r="K125" s="32">
        <f>IF(Settings!$B$4="Yes",$I125*$J125,$I125)</f>
        <v/>
      </c>
      <c r="L125" s="22">
        <f>IF($C125="","",IFERROR(IF(INDEX(Deals!$I$2:$I$355,MATCH($C125,Deals!$A$2:$A$355,0))=0,"",INDEX(Deals!$I$2:$I$355,MATCH($C125,Deals!$A$2:$A$355,0))),""))</f>
        <v/>
      </c>
      <c r="M125" s="22">
        <f>IF($C125="","",IFERROR(IF(INDEX(Deals!$J$2:$J$355,MATCH($C125,Deals!$A$2:$A$355,0))=0,"",INDEX(Deals!$J$2:$J$355,MATCH($C125,Deals!$A$2:$A$355,0))),""))</f>
        <v/>
      </c>
      <c r="N125" s="35">
        <f>IF($L125="",DATE(1900,1,1),$L125)</f>
        <v/>
      </c>
      <c r="O125" s="35">
        <f>IF($M125="",DATE(2100,12,31),$M125)</f>
        <v/>
      </c>
      <c r="P125" s="20" t="inlineStr"/>
      <c r="Q125" s="47" t="inlineStr"/>
      <c r="R125" s="16">
        <f>IF($C125="","",IFERROR(IF(INDEX(Deals!$U$2:$U$355,MATCH($C125,Deals!$A$2:$A$355,0))=0,"",INDEX(Deals!$U$2:$U$355,MATCH($C125,Deals!$A$2:$A$355,0))),""))</f>
        <v/>
      </c>
      <c r="S125" s="34">
        <f>IFERROR(IF($U125="",1,INDEX(Deals!$V$2:$V$355,MATCH($C125,Deals!$A$2:$A$355,0))),1)</f>
        <v/>
      </c>
      <c r="T125" s="34">
        <f>IFERROR(IF($U125="",1,INDEX(Deals!$W$2:$W$355,MATCH($C125,Deals!$A$2:$A$355,0))),1)</f>
        <v/>
      </c>
      <c r="U125" s="22">
        <f>IF($C125="","",IFERROR(IF(INDEX(Deals!$Y$2:$Y$355,MATCH($C125,Deals!$A$2:$A$355,0))=0,"",INDEX(Deals!$Y$2:$Y$355,MATCH($C125,Deals!$A$2:$A$355,0))),""))</f>
        <v/>
      </c>
      <c r="V125" s="35">
        <f>IF(OR($U125&lt;&gt;"",AND($AO125&gt;0,$L125&lt;&gt;"",$M125&lt;&gt;"")),$N125,DATE(1900,1,1))</f>
        <v/>
      </c>
      <c r="W125" s="35">
        <f>IF($U125&lt;&gt;"",$U125,IF(AND($AO125&gt;0,$L125&lt;&gt;"",$M125&lt;&gt;""),$O125,DATE(2100,12,31)))</f>
        <v/>
      </c>
      <c r="X125" s="32">
        <f>IF($U125="",$K125,$K125*$S125)</f>
        <v/>
      </c>
      <c r="Y125" s="35">
        <f>IF($U125="",DATE(2100,12,31),$U125+1)</f>
        <v/>
      </c>
      <c r="Z125" s="35">
        <f>IF($U125="",DATE(1900,1,1),$O125)</f>
        <v/>
      </c>
      <c r="AA125" s="32">
        <f>IF($U125="",0,$K125*$T125)</f>
        <v/>
      </c>
      <c r="AB125" s="21">
        <f>IF($C125="",0,IFERROR(INDEX(Deals!$AD$2:$AD$355,MATCH($C125,Deals!$A$2:$A$355,0)),0))</f>
        <v/>
      </c>
      <c r="AC125" s="32">
        <f>IF(Settings!$B$4="Yes",$I125*$AB125,$I125)</f>
        <v/>
      </c>
      <c r="AD125" s="22">
        <f>IF($C125="","",IFERROR(IF(INDEX(Deals!$AE$2:$AE$355,MATCH($C125,Deals!$A$2:$A$355,0))=0,"",INDEX(Deals!$AE$2:$AE$355,MATCH($C125,Deals!$A$2:$A$355,0))),""))</f>
        <v/>
      </c>
      <c r="AE125" s="22">
        <f>IF($C125="","",IFERROR(IF(INDEX(Deals!$AF$2:$AF$355,MATCH($C125,Deals!$A$2:$A$355,0))=0,"",INDEX(Deals!$AF$2:$AF$355,MATCH($C125,Deals!$A$2:$A$355,0))),""))</f>
        <v/>
      </c>
      <c r="AF125" s="35">
        <f>IF($AD125="",DATE(1900,1,1),$AD125)</f>
        <v/>
      </c>
      <c r="AG125" s="35">
        <f>IF($AE125="",DATE(2100,12,31),$AE125)</f>
        <v/>
      </c>
      <c r="AH125" s="22">
        <f>IF($C125="","",IFERROR(IF(INDEX(Deals!$AG$2:$AG$355,MATCH($C125,Deals!$A$2:$A$355,0))=0,"",INDEX(Deals!$AG$2:$AG$355,MATCH($C125,Deals!$A$2:$A$355,0))),""))</f>
        <v/>
      </c>
      <c r="AI125" s="35">
        <f>IF(OR($AH125&lt;&gt;"",AND($AO125&gt;0,$AD125&lt;&gt;"",$AE125&lt;&gt;"")),$AF125,DATE(1900,1,1))</f>
        <v/>
      </c>
      <c r="AJ125" s="35">
        <f>IF($AH125&lt;&gt;"",$AH125,IF(AND($AO125&gt;0,$AD125&lt;&gt;"",$AE125&lt;&gt;""),$AG125,DATE(2100,12,31)))</f>
        <v/>
      </c>
      <c r="AK125" s="32">
        <f>IF($AH125="",$AC125,$AC125*$S125)</f>
        <v/>
      </c>
      <c r="AL125" s="35">
        <f>IF($AH125="",DATE(2100,12,31),$AH125+1)</f>
        <v/>
      </c>
      <c r="AM125" s="35">
        <f>IF($AH125="",DATE(1900,1,1),$AG125)</f>
        <v/>
      </c>
      <c r="AN125" s="32">
        <f>IF($AH125="",0,$AC125*$T125)</f>
        <v/>
      </c>
      <c r="AO125" s="46">
        <f>IF($C125="",0,IFERROR(INDEX(Deals!$BD$2:$BD$355,MATCH($C125,Deals!$A$2:$A$355,0)),0))</f>
        <v/>
      </c>
      <c r="AP125" s="18">
        <f>IF($AO125=0,0,IFERROR(INDEX(Deals!$BJ$2:$BP$355,MATCH($C125,Deals!$A$2:$A$355,0),MATCH($F125,Deals!$BJ$1:$BP$1,0))/COUNTIFS(Assignments!$C$2:$C$769,$C125,Assignments!$F$2:$F$769,$F125,Assignments!$G$2:$G$769,"Active"),0))</f>
        <v/>
      </c>
    </row>
    <row r="126">
      <c r="A126" s="28" t="inlineStr">
        <is>
          <t>Kyle Kidd</t>
        </is>
      </c>
      <c r="B126" s="16">
        <f>IF($A126="","",IFERROR(INDEX(Roster!$B$2:$B$40,MATCH($A126,Roster!$A$2:$A$40,0)),"?"))</f>
        <v/>
      </c>
      <c r="C126" s="28" t="inlineStr">
        <is>
          <t>Tax_7</t>
        </is>
      </c>
      <c r="D126" s="16">
        <f>IF($C126="","",IFERROR(IF(INDEX(Deals!$C$2:$C$355,MATCH($C126,Deals!$A$2:$A$355,0))=0,"",INDEX(Deals!$C$2:$C$355,MATCH($C126,Deals!$A$2:$A$355,0))),"?"))</f>
        <v/>
      </c>
      <c r="E126" s="16">
        <f>IF($C126="","",IFERROR(INDEX(Deals!$F$2:$F$355,MATCH($C126,Deals!$A$2:$A$355,0)),"?"))</f>
        <v/>
      </c>
      <c r="F126" s="28" t="inlineStr">
        <is>
          <t>Partner</t>
        </is>
      </c>
      <c r="G126" s="28" t="inlineStr">
        <is>
          <t>Active</t>
        </is>
      </c>
      <c r="H126" s="31" t="n"/>
      <c r="I126" s="32">
        <f>IF(OR($A126="",$G126&lt;&gt;"Active"),0,IF($H126&lt;&gt;"",$H126,IF($AO126&gt;0,$AP126,IF(AND($R126&lt;&gt;"",IFERROR(INDEX(Templates!$B$3:$H$10,MATCH($R126,Templates!$A$3:$A$10,0),MATCH($F126,Templates!$B$2:$H$2,0)),0)&gt;0),INDEX(Templates!$B$3:$H$10,MATCH($R126,Templates!$A$3:$A$10,0),MATCH($F126,Templates!$B$2:$H$2,0)),IFERROR(INDEX(Settings!$B$8:$B$14,MATCH($F126,Settings!$A$8:$A$14,0)),0)))))</f>
        <v/>
      </c>
      <c r="J126" s="21">
        <f>IF($C126="",0,IFERROR(INDEX(Deals!$H$2:$H$355,MATCH($C126,Deals!$A$2:$A$355,0)),0))</f>
        <v/>
      </c>
      <c r="K126" s="32">
        <f>IF(Settings!$B$4="Yes",$I126*$J126,$I126)</f>
        <v/>
      </c>
      <c r="L126" s="22">
        <f>IF($C126="","",IFERROR(IF(INDEX(Deals!$I$2:$I$355,MATCH($C126,Deals!$A$2:$A$355,0))=0,"",INDEX(Deals!$I$2:$I$355,MATCH($C126,Deals!$A$2:$A$355,0))),""))</f>
        <v/>
      </c>
      <c r="M126" s="22">
        <f>IF($C126="","",IFERROR(IF(INDEX(Deals!$J$2:$J$355,MATCH($C126,Deals!$A$2:$A$355,0))=0,"",INDEX(Deals!$J$2:$J$355,MATCH($C126,Deals!$A$2:$A$355,0))),""))</f>
        <v/>
      </c>
      <c r="N126" s="35">
        <f>IF($L126="",DATE(1900,1,1),$L126)</f>
        <v/>
      </c>
      <c r="O126" s="35">
        <f>IF($M126="",DATE(2100,12,31),$M126)</f>
        <v/>
      </c>
      <c r="P126" s="20" t="inlineStr"/>
      <c r="Q126" s="47" t="inlineStr"/>
      <c r="R126" s="16">
        <f>IF($C126="","",IFERROR(IF(INDEX(Deals!$U$2:$U$355,MATCH($C126,Deals!$A$2:$A$355,0))=0,"",INDEX(Deals!$U$2:$U$355,MATCH($C126,Deals!$A$2:$A$355,0))),""))</f>
        <v/>
      </c>
      <c r="S126" s="34">
        <f>IFERROR(IF($U126="",1,INDEX(Deals!$V$2:$V$355,MATCH($C126,Deals!$A$2:$A$355,0))),1)</f>
        <v/>
      </c>
      <c r="T126" s="34">
        <f>IFERROR(IF($U126="",1,INDEX(Deals!$W$2:$W$355,MATCH($C126,Deals!$A$2:$A$355,0))),1)</f>
        <v/>
      </c>
      <c r="U126" s="22">
        <f>IF($C126="","",IFERROR(IF(INDEX(Deals!$Y$2:$Y$355,MATCH($C126,Deals!$A$2:$A$355,0))=0,"",INDEX(Deals!$Y$2:$Y$355,MATCH($C126,Deals!$A$2:$A$355,0))),""))</f>
        <v/>
      </c>
      <c r="V126" s="35">
        <f>IF(OR($U126&lt;&gt;"",AND($AO126&gt;0,$L126&lt;&gt;"",$M126&lt;&gt;"")),$N126,DATE(1900,1,1))</f>
        <v/>
      </c>
      <c r="W126" s="35">
        <f>IF($U126&lt;&gt;"",$U126,IF(AND($AO126&gt;0,$L126&lt;&gt;"",$M126&lt;&gt;""),$O126,DATE(2100,12,31)))</f>
        <v/>
      </c>
      <c r="X126" s="32">
        <f>IF($U126="",$K126,$K126*$S126)</f>
        <v/>
      </c>
      <c r="Y126" s="35">
        <f>IF($U126="",DATE(2100,12,31),$U126+1)</f>
        <v/>
      </c>
      <c r="Z126" s="35">
        <f>IF($U126="",DATE(1900,1,1),$O126)</f>
        <v/>
      </c>
      <c r="AA126" s="32">
        <f>IF($U126="",0,$K126*$T126)</f>
        <v/>
      </c>
      <c r="AB126" s="21">
        <f>IF($C126="",0,IFERROR(INDEX(Deals!$AD$2:$AD$355,MATCH($C126,Deals!$A$2:$A$355,0)),0))</f>
        <v/>
      </c>
      <c r="AC126" s="32">
        <f>IF(Settings!$B$4="Yes",$I126*$AB126,$I126)</f>
        <v/>
      </c>
      <c r="AD126" s="22">
        <f>IF($C126="","",IFERROR(IF(INDEX(Deals!$AE$2:$AE$355,MATCH($C126,Deals!$A$2:$A$355,0))=0,"",INDEX(Deals!$AE$2:$AE$355,MATCH($C126,Deals!$A$2:$A$355,0))),""))</f>
        <v/>
      </c>
      <c r="AE126" s="22">
        <f>IF($C126="","",IFERROR(IF(INDEX(Deals!$AF$2:$AF$355,MATCH($C126,Deals!$A$2:$A$355,0))=0,"",INDEX(Deals!$AF$2:$AF$355,MATCH($C126,Deals!$A$2:$A$355,0))),""))</f>
        <v/>
      </c>
      <c r="AF126" s="35">
        <f>IF($AD126="",DATE(1900,1,1),$AD126)</f>
        <v/>
      </c>
      <c r="AG126" s="35">
        <f>IF($AE126="",DATE(2100,12,31),$AE126)</f>
        <v/>
      </c>
      <c r="AH126" s="22">
        <f>IF($C126="","",IFERROR(IF(INDEX(Deals!$AG$2:$AG$355,MATCH($C126,Deals!$A$2:$A$355,0))=0,"",INDEX(Deals!$AG$2:$AG$355,MATCH($C126,Deals!$A$2:$A$355,0))),""))</f>
        <v/>
      </c>
      <c r="AI126" s="35">
        <f>IF(OR($AH126&lt;&gt;"",AND($AO126&gt;0,$AD126&lt;&gt;"",$AE126&lt;&gt;"")),$AF126,DATE(1900,1,1))</f>
        <v/>
      </c>
      <c r="AJ126" s="35">
        <f>IF($AH126&lt;&gt;"",$AH126,IF(AND($AO126&gt;0,$AD126&lt;&gt;"",$AE126&lt;&gt;""),$AG126,DATE(2100,12,31)))</f>
        <v/>
      </c>
      <c r="AK126" s="32">
        <f>IF($AH126="",$AC126,$AC126*$S126)</f>
        <v/>
      </c>
      <c r="AL126" s="35">
        <f>IF($AH126="",DATE(2100,12,31),$AH126+1)</f>
        <v/>
      </c>
      <c r="AM126" s="35">
        <f>IF($AH126="",DATE(1900,1,1),$AG126)</f>
        <v/>
      </c>
      <c r="AN126" s="32">
        <f>IF($AH126="",0,$AC126*$T126)</f>
        <v/>
      </c>
      <c r="AO126" s="46">
        <f>IF($C126="",0,IFERROR(INDEX(Deals!$BD$2:$BD$355,MATCH($C126,Deals!$A$2:$A$355,0)),0))</f>
        <v/>
      </c>
      <c r="AP126" s="18">
        <f>IF($AO126=0,0,IFERROR(INDEX(Deals!$BJ$2:$BP$355,MATCH($C126,Deals!$A$2:$A$355,0),MATCH($F126,Deals!$BJ$1:$BP$1,0))/COUNTIFS(Assignments!$C$2:$C$769,$C126,Assignments!$F$2:$F$769,$F126,Assignments!$G$2:$G$769,"Active"),0))</f>
        <v/>
      </c>
    </row>
    <row r="127">
      <c r="A127" s="28" t="inlineStr">
        <is>
          <t>Kyle Kidd</t>
        </is>
      </c>
      <c r="B127" s="16">
        <f>IF($A127="","",IFERROR(INDEX(Roster!$B$2:$B$40,MATCH($A127,Roster!$A$2:$A$40,0)),"?"))</f>
        <v/>
      </c>
      <c r="C127" s="28" t="inlineStr">
        <is>
          <t>Torch_4</t>
        </is>
      </c>
      <c r="D127" s="16">
        <f>IF($C127="","",IFERROR(IF(INDEX(Deals!$C$2:$C$355,MATCH($C127,Deals!$A$2:$A$355,0))=0,"",INDEX(Deals!$C$2:$C$355,MATCH($C127,Deals!$A$2:$A$355,0))),"?"))</f>
        <v/>
      </c>
      <c r="E127" s="16">
        <f>IF($C127="","",IFERROR(INDEX(Deals!$F$2:$F$355,MATCH($C127,Deals!$A$2:$A$355,0)),"?"))</f>
        <v/>
      </c>
      <c r="F127" s="28" t="inlineStr">
        <is>
          <t>Partner</t>
        </is>
      </c>
      <c r="G127" s="28" t="inlineStr">
        <is>
          <t>Active</t>
        </is>
      </c>
      <c r="H127" s="31" t="n"/>
      <c r="I127" s="32">
        <f>IF(OR($A127="",$G127&lt;&gt;"Active"),0,IF($H127&lt;&gt;"",$H127,IF($AO127&gt;0,$AP127,IF(AND($R127&lt;&gt;"",IFERROR(INDEX(Templates!$B$3:$H$10,MATCH($R127,Templates!$A$3:$A$10,0),MATCH($F127,Templates!$B$2:$H$2,0)),0)&gt;0),INDEX(Templates!$B$3:$H$10,MATCH($R127,Templates!$A$3:$A$10,0),MATCH($F127,Templates!$B$2:$H$2,0)),IFERROR(INDEX(Settings!$B$8:$B$14,MATCH($F127,Settings!$A$8:$A$14,0)),0)))))</f>
        <v/>
      </c>
      <c r="J127" s="21">
        <f>IF($C127="",0,IFERROR(INDEX(Deals!$H$2:$H$355,MATCH($C127,Deals!$A$2:$A$355,0)),0))</f>
        <v/>
      </c>
      <c r="K127" s="32">
        <f>IF(Settings!$B$4="Yes",$I127*$J127,$I127)</f>
        <v/>
      </c>
      <c r="L127" s="22">
        <f>IF($C127="","",IFERROR(IF(INDEX(Deals!$I$2:$I$355,MATCH($C127,Deals!$A$2:$A$355,0))=0,"",INDEX(Deals!$I$2:$I$355,MATCH($C127,Deals!$A$2:$A$355,0))),""))</f>
        <v/>
      </c>
      <c r="M127" s="22">
        <f>IF($C127="","",IFERROR(IF(INDEX(Deals!$J$2:$J$355,MATCH($C127,Deals!$A$2:$A$355,0))=0,"",INDEX(Deals!$J$2:$J$355,MATCH($C127,Deals!$A$2:$A$355,0))),""))</f>
        <v/>
      </c>
      <c r="N127" s="35">
        <f>IF($L127="",DATE(1900,1,1),$L127)</f>
        <v/>
      </c>
      <c r="O127" s="35">
        <f>IF($M127="",DATE(2100,12,31),$M127)</f>
        <v/>
      </c>
      <c r="P127" s="20" t="inlineStr"/>
      <c r="Q127" s="47" t="inlineStr"/>
      <c r="R127" s="16">
        <f>IF($C127="","",IFERROR(IF(INDEX(Deals!$U$2:$U$355,MATCH($C127,Deals!$A$2:$A$355,0))=0,"",INDEX(Deals!$U$2:$U$355,MATCH($C127,Deals!$A$2:$A$355,0))),""))</f>
        <v/>
      </c>
      <c r="S127" s="34">
        <f>IFERROR(IF($U127="",1,INDEX(Deals!$V$2:$V$355,MATCH($C127,Deals!$A$2:$A$355,0))),1)</f>
        <v/>
      </c>
      <c r="T127" s="34">
        <f>IFERROR(IF($U127="",1,INDEX(Deals!$W$2:$W$355,MATCH($C127,Deals!$A$2:$A$355,0))),1)</f>
        <v/>
      </c>
      <c r="U127" s="22">
        <f>IF($C127="","",IFERROR(IF(INDEX(Deals!$Y$2:$Y$355,MATCH($C127,Deals!$A$2:$A$355,0))=0,"",INDEX(Deals!$Y$2:$Y$355,MATCH($C127,Deals!$A$2:$A$355,0))),""))</f>
        <v/>
      </c>
      <c r="V127" s="35">
        <f>IF(OR($U127&lt;&gt;"",AND($AO127&gt;0,$L127&lt;&gt;"",$M127&lt;&gt;"")),$N127,DATE(1900,1,1))</f>
        <v/>
      </c>
      <c r="W127" s="35">
        <f>IF($U127&lt;&gt;"",$U127,IF(AND($AO127&gt;0,$L127&lt;&gt;"",$M127&lt;&gt;""),$O127,DATE(2100,12,31)))</f>
        <v/>
      </c>
      <c r="X127" s="32">
        <f>IF($U127="",$K127,$K127*$S127)</f>
        <v/>
      </c>
      <c r="Y127" s="35">
        <f>IF($U127="",DATE(2100,12,31),$U127+1)</f>
        <v/>
      </c>
      <c r="Z127" s="35">
        <f>IF($U127="",DATE(1900,1,1),$O127)</f>
        <v/>
      </c>
      <c r="AA127" s="32">
        <f>IF($U127="",0,$K127*$T127)</f>
        <v/>
      </c>
      <c r="AB127" s="21">
        <f>IF($C127="",0,IFERROR(INDEX(Deals!$AD$2:$AD$355,MATCH($C127,Deals!$A$2:$A$355,0)),0))</f>
        <v/>
      </c>
      <c r="AC127" s="32">
        <f>IF(Settings!$B$4="Yes",$I127*$AB127,$I127)</f>
        <v/>
      </c>
      <c r="AD127" s="22">
        <f>IF($C127="","",IFERROR(IF(INDEX(Deals!$AE$2:$AE$355,MATCH($C127,Deals!$A$2:$A$355,0))=0,"",INDEX(Deals!$AE$2:$AE$355,MATCH($C127,Deals!$A$2:$A$355,0))),""))</f>
        <v/>
      </c>
      <c r="AE127" s="22">
        <f>IF($C127="","",IFERROR(IF(INDEX(Deals!$AF$2:$AF$355,MATCH($C127,Deals!$A$2:$A$355,0))=0,"",INDEX(Deals!$AF$2:$AF$355,MATCH($C127,Deals!$A$2:$A$355,0))),""))</f>
        <v/>
      </c>
      <c r="AF127" s="35">
        <f>IF($AD127="",DATE(1900,1,1),$AD127)</f>
        <v/>
      </c>
      <c r="AG127" s="35">
        <f>IF($AE127="",DATE(2100,12,31),$AE127)</f>
        <v/>
      </c>
      <c r="AH127" s="22">
        <f>IF($C127="","",IFERROR(IF(INDEX(Deals!$AG$2:$AG$355,MATCH($C127,Deals!$A$2:$A$355,0))=0,"",INDEX(Deals!$AG$2:$AG$355,MATCH($C127,Deals!$A$2:$A$355,0))),""))</f>
        <v/>
      </c>
      <c r="AI127" s="35">
        <f>IF(OR($AH127&lt;&gt;"",AND($AO127&gt;0,$AD127&lt;&gt;"",$AE127&lt;&gt;"")),$AF127,DATE(1900,1,1))</f>
        <v/>
      </c>
      <c r="AJ127" s="35">
        <f>IF($AH127&lt;&gt;"",$AH127,IF(AND($AO127&gt;0,$AD127&lt;&gt;"",$AE127&lt;&gt;""),$AG127,DATE(2100,12,31)))</f>
        <v/>
      </c>
      <c r="AK127" s="32">
        <f>IF($AH127="",$AC127,$AC127*$S127)</f>
        <v/>
      </c>
      <c r="AL127" s="35">
        <f>IF($AH127="",DATE(2100,12,31),$AH127+1)</f>
        <v/>
      </c>
      <c r="AM127" s="35">
        <f>IF($AH127="",DATE(1900,1,1),$AG127)</f>
        <v/>
      </c>
      <c r="AN127" s="32">
        <f>IF($AH127="",0,$AC127*$T127)</f>
        <v/>
      </c>
      <c r="AO127" s="46">
        <f>IF($C127="",0,IFERROR(INDEX(Deals!$BD$2:$BD$355,MATCH($C127,Deals!$A$2:$A$355,0)),0))</f>
        <v/>
      </c>
      <c r="AP127" s="18">
        <f>IF($AO127=0,0,IFERROR(INDEX(Deals!$BJ$2:$BP$355,MATCH($C127,Deals!$A$2:$A$355,0),MATCH($F127,Deals!$BJ$1:$BP$1,0))/COUNTIFS(Assignments!$C$2:$C$769,$C127,Assignments!$F$2:$F$769,$F127,Assignments!$G$2:$G$769,"Active"),0))</f>
        <v/>
      </c>
    </row>
    <row r="128">
      <c r="A128" s="28" t="inlineStr">
        <is>
          <t>Kyle Kidd</t>
        </is>
      </c>
      <c r="B128" s="16">
        <f>IF($A128="","",IFERROR(INDEX(Roster!$B$2:$B$40,MATCH($A128,Roster!$A$2:$A$40,0)),"?"))</f>
        <v/>
      </c>
      <c r="C128" s="28" t="inlineStr">
        <is>
          <t>Wolverine_3</t>
        </is>
      </c>
      <c r="D128" s="16">
        <f>IF($C128="","",IFERROR(IF(INDEX(Deals!$C$2:$C$355,MATCH($C128,Deals!$A$2:$A$355,0))=0,"",INDEX(Deals!$C$2:$C$355,MATCH($C128,Deals!$A$2:$A$355,0))),"?"))</f>
        <v/>
      </c>
      <c r="E128" s="16">
        <f>IF($C128="","",IFERROR(INDEX(Deals!$F$2:$F$355,MATCH($C128,Deals!$A$2:$A$355,0)),"?"))</f>
        <v/>
      </c>
      <c r="F128" s="28" t="inlineStr">
        <is>
          <t>Partner</t>
        </is>
      </c>
      <c r="G128" s="28" t="inlineStr">
        <is>
          <t>Active</t>
        </is>
      </c>
      <c r="H128" s="31" t="n"/>
      <c r="I128" s="32">
        <f>IF(OR($A128="",$G128&lt;&gt;"Active"),0,IF($H128&lt;&gt;"",$H128,IF($AO128&gt;0,$AP128,IF(AND($R128&lt;&gt;"",IFERROR(INDEX(Templates!$B$3:$H$10,MATCH($R128,Templates!$A$3:$A$10,0),MATCH($F128,Templates!$B$2:$H$2,0)),0)&gt;0),INDEX(Templates!$B$3:$H$10,MATCH($R128,Templates!$A$3:$A$10,0),MATCH($F128,Templates!$B$2:$H$2,0)),IFERROR(INDEX(Settings!$B$8:$B$14,MATCH($F128,Settings!$A$8:$A$14,0)),0)))))</f>
        <v/>
      </c>
      <c r="J128" s="21">
        <f>IF($C128="",0,IFERROR(INDEX(Deals!$H$2:$H$355,MATCH($C128,Deals!$A$2:$A$355,0)),0))</f>
        <v/>
      </c>
      <c r="K128" s="32">
        <f>IF(Settings!$B$4="Yes",$I128*$J128,$I128)</f>
        <v/>
      </c>
      <c r="L128" s="22">
        <f>IF($C128="","",IFERROR(IF(INDEX(Deals!$I$2:$I$355,MATCH($C128,Deals!$A$2:$A$355,0))=0,"",INDEX(Deals!$I$2:$I$355,MATCH($C128,Deals!$A$2:$A$355,0))),""))</f>
        <v/>
      </c>
      <c r="M128" s="22">
        <f>IF($C128="","",IFERROR(IF(INDEX(Deals!$J$2:$J$355,MATCH($C128,Deals!$A$2:$A$355,0))=0,"",INDEX(Deals!$J$2:$J$355,MATCH($C128,Deals!$A$2:$A$355,0))),""))</f>
        <v/>
      </c>
      <c r="N128" s="35">
        <f>IF($L128="",DATE(1900,1,1),$L128)</f>
        <v/>
      </c>
      <c r="O128" s="35">
        <f>IF($M128="",DATE(2100,12,31),$M128)</f>
        <v/>
      </c>
      <c r="P128" s="20" t="inlineStr"/>
      <c r="Q128" s="47" t="inlineStr"/>
      <c r="R128" s="16">
        <f>IF($C128="","",IFERROR(IF(INDEX(Deals!$U$2:$U$355,MATCH($C128,Deals!$A$2:$A$355,0))=0,"",INDEX(Deals!$U$2:$U$355,MATCH($C128,Deals!$A$2:$A$355,0))),""))</f>
        <v/>
      </c>
      <c r="S128" s="34">
        <f>IFERROR(IF($U128="",1,INDEX(Deals!$V$2:$V$355,MATCH($C128,Deals!$A$2:$A$355,0))),1)</f>
        <v/>
      </c>
      <c r="T128" s="34">
        <f>IFERROR(IF($U128="",1,INDEX(Deals!$W$2:$W$355,MATCH($C128,Deals!$A$2:$A$355,0))),1)</f>
        <v/>
      </c>
      <c r="U128" s="22">
        <f>IF($C128="","",IFERROR(IF(INDEX(Deals!$Y$2:$Y$355,MATCH($C128,Deals!$A$2:$A$355,0))=0,"",INDEX(Deals!$Y$2:$Y$355,MATCH($C128,Deals!$A$2:$A$355,0))),""))</f>
        <v/>
      </c>
      <c r="V128" s="35">
        <f>IF(OR($U128&lt;&gt;"",AND($AO128&gt;0,$L128&lt;&gt;"",$M128&lt;&gt;"")),$N128,DATE(1900,1,1))</f>
        <v/>
      </c>
      <c r="W128" s="35">
        <f>IF($U128&lt;&gt;"",$U128,IF(AND($AO128&gt;0,$L128&lt;&gt;"",$M128&lt;&gt;""),$O128,DATE(2100,12,31)))</f>
        <v/>
      </c>
      <c r="X128" s="32">
        <f>IF($U128="",$K128,$K128*$S128)</f>
        <v/>
      </c>
      <c r="Y128" s="35">
        <f>IF($U128="",DATE(2100,12,31),$U128+1)</f>
        <v/>
      </c>
      <c r="Z128" s="35">
        <f>IF($U128="",DATE(1900,1,1),$O128)</f>
        <v/>
      </c>
      <c r="AA128" s="32">
        <f>IF($U128="",0,$K128*$T128)</f>
        <v/>
      </c>
      <c r="AB128" s="21">
        <f>IF($C128="",0,IFERROR(INDEX(Deals!$AD$2:$AD$355,MATCH($C128,Deals!$A$2:$A$355,0)),0))</f>
        <v/>
      </c>
      <c r="AC128" s="32">
        <f>IF(Settings!$B$4="Yes",$I128*$AB128,$I128)</f>
        <v/>
      </c>
      <c r="AD128" s="22">
        <f>IF($C128="","",IFERROR(IF(INDEX(Deals!$AE$2:$AE$355,MATCH($C128,Deals!$A$2:$A$355,0))=0,"",INDEX(Deals!$AE$2:$AE$355,MATCH($C128,Deals!$A$2:$A$355,0))),""))</f>
        <v/>
      </c>
      <c r="AE128" s="22">
        <f>IF($C128="","",IFERROR(IF(INDEX(Deals!$AF$2:$AF$355,MATCH($C128,Deals!$A$2:$A$355,0))=0,"",INDEX(Deals!$AF$2:$AF$355,MATCH($C128,Deals!$A$2:$A$355,0))),""))</f>
        <v/>
      </c>
      <c r="AF128" s="35">
        <f>IF($AD128="",DATE(1900,1,1),$AD128)</f>
        <v/>
      </c>
      <c r="AG128" s="35">
        <f>IF($AE128="",DATE(2100,12,31),$AE128)</f>
        <v/>
      </c>
      <c r="AH128" s="22">
        <f>IF($C128="","",IFERROR(IF(INDEX(Deals!$AG$2:$AG$355,MATCH($C128,Deals!$A$2:$A$355,0))=0,"",INDEX(Deals!$AG$2:$AG$355,MATCH($C128,Deals!$A$2:$A$355,0))),""))</f>
        <v/>
      </c>
      <c r="AI128" s="35">
        <f>IF(OR($AH128&lt;&gt;"",AND($AO128&gt;0,$AD128&lt;&gt;"",$AE128&lt;&gt;"")),$AF128,DATE(1900,1,1))</f>
        <v/>
      </c>
      <c r="AJ128" s="35">
        <f>IF($AH128&lt;&gt;"",$AH128,IF(AND($AO128&gt;0,$AD128&lt;&gt;"",$AE128&lt;&gt;""),$AG128,DATE(2100,12,31)))</f>
        <v/>
      </c>
      <c r="AK128" s="32">
        <f>IF($AH128="",$AC128,$AC128*$S128)</f>
        <v/>
      </c>
      <c r="AL128" s="35">
        <f>IF($AH128="",DATE(2100,12,31),$AH128+1)</f>
        <v/>
      </c>
      <c r="AM128" s="35">
        <f>IF($AH128="",DATE(1900,1,1),$AG128)</f>
        <v/>
      </c>
      <c r="AN128" s="32">
        <f>IF($AH128="",0,$AC128*$T128)</f>
        <v/>
      </c>
      <c r="AO128" s="46">
        <f>IF($C128="",0,IFERROR(INDEX(Deals!$BD$2:$BD$355,MATCH($C128,Deals!$A$2:$A$355,0)),0))</f>
        <v/>
      </c>
      <c r="AP128" s="18">
        <f>IF($AO128=0,0,IFERROR(INDEX(Deals!$BJ$2:$BP$355,MATCH($C128,Deals!$A$2:$A$355,0),MATCH($F128,Deals!$BJ$1:$BP$1,0))/COUNTIFS(Assignments!$C$2:$C$769,$C128,Assignments!$F$2:$F$769,$F128,Assignments!$G$2:$G$769,"Active"),0))</f>
        <v/>
      </c>
    </row>
    <row r="129">
      <c r="A129" s="28" t="inlineStr">
        <is>
          <t>Zack</t>
        </is>
      </c>
      <c r="B129" s="16">
        <f>IF($A129="","",IFERROR(INDEX(Roster!$B$2:$B$40,MATCH($A129,Roster!$A$2:$A$40,0)),"?"))</f>
        <v/>
      </c>
      <c r="C129" s="28" t="inlineStr">
        <is>
          <t>5C Ocean_1</t>
        </is>
      </c>
      <c r="D129" s="16">
        <f>IF($C129="","",IFERROR(IF(INDEX(Deals!$C$2:$C$355,MATCH($C129,Deals!$A$2:$A$355,0))=0,"",INDEX(Deals!$C$2:$C$355,MATCH($C129,Deals!$A$2:$A$355,0))),"?"))</f>
        <v/>
      </c>
      <c r="E129" s="16">
        <f>IF($C129="","",IFERROR(INDEX(Deals!$F$2:$F$355,MATCH($C129,Deals!$A$2:$A$355,0)),"?"))</f>
        <v/>
      </c>
      <c r="F129" s="28" t="inlineStr">
        <is>
          <t>MD</t>
        </is>
      </c>
      <c r="G129" s="28" t="inlineStr">
        <is>
          <t>Active</t>
        </is>
      </c>
      <c r="H129" s="31" t="n"/>
      <c r="I129" s="32">
        <f>IF(OR($A129="",$G129&lt;&gt;"Active"),0,IF($H129&lt;&gt;"",$H129,IF($AO129&gt;0,$AP129,IF(AND($R129&lt;&gt;"",IFERROR(INDEX(Templates!$B$3:$H$10,MATCH($R129,Templates!$A$3:$A$10,0),MATCH($F129,Templates!$B$2:$H$2,0)),0)&gt;0),INDEX(Templates!$B$3:$H$10,MATCH($R129,Templates!$A$3:$A$10,0),MATCH($F129,Templates!$B$2:$H$2,0)),IFERROR(INDEX(Settings!$B$8:$B$14,MATCH($F129,Settings!$A$8:$A$14,0)),0)))))</f>
        <v/>
      </c>
      <c r="J129" s="21">
        <f>IF($C129="",0,IFERROR(INDEX(Deals!$H$2:$H$355,MATCH($C129,Deals!$A$2:$A$355,0)),0))</f>
        <v/>
      </c>
      <c r="K129" s="32">
        <f>IF(Settings!$B$4="Yes",$I129*$J129,$I129)</f>
        <v/>
      </c>
      <c r="L129" s="22">
        <f>IF($C129="","",IFERROR(IF(INDEX(Deals!$I$2:$I$355,MATCH($C129,Deals!$A$2:$A$355,0))=0,"",INDEX(Deals!$I$2:$I$355,MATCH($C129,Deals!$A$2:$A$355,0))),""))</f>
        <v/>
      </c>
      <c r="M129" s="22">
        <f>IF($C129="","",IFERROR(IF(INDEX(Deals!$J$2:$J$355,MATCH($C129,Deals!$A$2:$A$355,0))=0,"",INDEX(Deals!$J$2:$J$355,MATCH($C129,Deals!$A$2:$A$355,0))),""))</f>
        <v/>
      </c>
      <c r="N129" s="35">
        <f>IF($L129="",DATE(1900,1,1),$L129)</f>
        <v/>
      </c>
      <c r="O129" s="35">
        <f>IF($M129="",DATE(2100,12,31),$M129)</f>
        <v/>
      </c>
      <c r="P129" s="20" t="inlineStr"/>
      <c r="Q129" s="47" t="inlineStr"/>
      <c r="R129" s="16">
        <f>IF($C129="","",IFERROR(IF(INDEX(Deals!$U$2:$U$355,MATCH($C129,Deals!$A$2:$A$355,0))=0,"",INDEX(Deals!$U$2:$U$355,MATCH($C129,Deals!$A$2:$A$355,0))),""))</f>
        <v/>
      </c>
      <c r="S129" s="34">
        <f>IFERROR(IF($U129="",1,INDEX(Deals!$V$2:$V$355,MATCH($C129,Deals!$A$2:$A$355,0))),1)</f>
        <v/>
      </c>
      <c r="T129" s="34">
        <f>IFERROR(IF($U129="",1,INDEX(Deals!$W$2:$W$355,MATCH($C129,Deals!$A$2:$A$355,0))),1)</f>
        <v/>
      </c>
      <c r="U129" s="22">
        <f>IF($C129="","",IFERROR(IF(INDEX(Deals!$Y$2:$Y$355,MATCH($C129,Deals!$A$2:$A$355,0))=0,"",INDEX(Deals!$Y$2:$Y$355,MATCH($C129,Deals!$A$2:$A$355,0))),""))</f>
        <v/>
      </c>
      <c r="V129" s="35">
        <f>IF(OR($U129&lt;&gt;"",AND($AO129&gt;0,$L129&lt;&gt;"",$M129&lt;&gt;"")),$N129,DATE(1900,1,1))</f>
        <v/>
      </c>
      <c r="W129" s="35">
        <f>IF($U129&lt;&gt;"",$U129,IF(AND($AO129&gt;0,$L129&lt;&gt;"",$M129&lt;&gt;""),$O129,DATE(2100,12,31)))</f>
        <v/>
      </c>
      <c r="X129" s="32">
        <f>IF($U129="",$K129,$K129*$S129)</f>
        <v/>
      </c>
      <c r="Y129" s="35">
        <f>IF($U129="",DATE(2100,12,31),$U129+1)</f>
        <v/>
      </c>
      <c r="Z129" s="35">
        <f>IF($U129="",DATE(1900,1,1),$O129)</f>
        <v/>
      </c>
      <c r="AA129" s="32">
        <f>IF($U129="",0,$K129*$T129)</f>
        <v/>
      </c>
      <c r="AB129" s="21">
        <f>IF($C129="",0,IFERROR(INDEX(Deals!$AD$2:$AD$355,MATCH($C129,Deals!$A$2:$A$355,0)),0))</f>
        <v/>
      </c>
      <c r="AC129" s="32">
        <f>IF(Settings!$B$4="Yes",$I129*$AB129,$I129)</f>
        <v/>
      </c>
      <c r="AD129" s="22">
        <f>IF($C129="","",IFERROR(IF(INDEX(Deals!$AE$2:$AE$355,MATCH($C129,Deals!$A$2:$A$355,0))=0,"",INDEX(Deals!$AE$2:$AE$355,MATCH($C129,Deals!$A$2:$A$355,0))),""))</f>
        <v/>
      </c>
      <c r="AE129" s="22">
        <f>IF($C129="","",IFERROR(IF(INDEX(Deals!$AF$2:$AF$355,MATCH($C129,Deals!$A$2:$A$355,0))=0,"",INDEX(Deals!$AF$2:$AF$355,MATCH($C129,Deals!$A$2:$A$355,0))),""))</f>
        <v/>
      </c>
      <c r="AF129" s="35">
        <f>IF($AD129="",DATE(1900,1,1),$AD129)</f>
        <v/>
      </c>
      <c r="AG129" s="35">
        <f>IF($AE129="",DATE(2100,12,31),$AE129)</f>
        <v/>
      </c>
      <c r="AH129" s="22">
        <f>IF($C129="","",IFERROR(IF(INDEX(Deals!$AG$2:$AG$355,MATCH($C129,Deals!$A$2:$A$355,0))=0,"",INDEX(Deals!$AG$2:$AG$355,MATCH($C129,Deals!$A$2:$A$355,0))),""))</f>
        <v/>
      </c>
      <c r="AI129" s="35">
        <f>IF(OR($AH129&lt;&gt;"",AND($AO129&gt;0,$AD129&lt;&gt;"",$AE129&lt;&gt;"")),$AF129,DATE(1900,1,1))</f>
        <v/>
      </c>
      <c r="AJ129" s="35">
        <f>IF($AH129&lt;&gt;"",$AH129,IF(AND($AO129&gt;0,$AD129&lt;&gt;"",$AE129&lt;&gt;""),$AG129,DATE(2100,12,31)))</f>
        <v/>
      </c>
      <c r="AK129" s="32">
        <f>IF($AH129="",$AC129,$AC129*$S129)</f>
        <v/>
      </c>
      <c r="AL129" s="35">
        <f>IF($AH129="",DATE(2100,12,31),$AH129+1)</f>
        <v/>
      </c>
      <c r="AM129" s="35">
        <f>IF($AH129="",DATE(1900,1,1),$AG129)</f>
        <v/>
      </c>
      <c r="AN129" s="32">
        <f>IF($AH129="",0,$AC129*$T129)</f>
        <v/>
      </c>
      <c r="AO129" s="46">
        <f>IF($C129="",0,IFERROR(INDEX(Deals!$BD$2:$BD$355,MATCH($C129,Deals!$A$2:$A$355,0)),0))</f>
        <v/>
      </c>
      <c r="AP129" s="18">
        <f>IF($AO129=0,0,IFERROR(INDEX(Deals!$BJ$2:$BP$355,MATCH($C129,Deals!$A$2:$A$355,0),MATCH($F129,Deals!$BJ$1:$BP$1,0))/COUNTIFS(Assignments!$C$2:$C$769,$C129,Assignments!$F$2:$F$769,$F129,Assignments!$G$2:$G$769,"Active"),0))</f>
        <v/>
      </c>
    </row>
    <row r="130">
      <c r="A130" s="28" t="inlineStr">
        <is>
          <t>Zack</t>
        </is>
      </c>
      <c r="B130" s="16">
        <f>IF($A130="","",IFERROR(INDEX(Roster!$B$2:$B$40,MATCH($A130,Roster!$A$2:$A$40,0)),"?"))</f>
        <v/>
      </c>
      <c r="C130" s="28" t="inlineStr">
        <is>
          <t>Ace_2</t>
        </is>
      </c>
      <c r="D130" s="16">
        <f>IF($C130="","",IFERROR(IF(INDEX(Deals!$C$2:$C$355,MATCH($C130,Deals!$A$2:$A$355,0))=0,"",INDEX(Deals!$C$2:$C$355,MATCH($C130,Deals!$A$2:$A$355,0))),"?"))</f>
        <v/>
      </c>
      <c r="E130" s="16">
        <f>IF($C130="","",IFERROR(INDEX(Deals!$F$2:$F$355,MATCH($C130,Deals!$A$2:$A$355,0)),"?"))</f>
        <v/>
      </c>
      <c r="F130" s="28" t="inlineStr">
        <is>
          <t>MD</t>
        </is>
      </c>
      <c r="G130" s="28" t="inlineStr">
        <is>
          <t>Active</t>
        </is>
      </c>
      <c r="H130" s="31" t="n"/>
      <c r="I130" s="32">
        <f>IF(OR($A130="",$G130&lt;&gt;"Active"),0,IF($H130&lt;&gt;"",$H130,IF($AO130&gt;0,$AP130,IF(AND($R130&lt;&gt;"",IFERROR(INDEX(Templates!$B$3:$H$10,MATCH($R130,Templates!$A$3:$A$10,0),MATCH($F130,Templates!$B$2:$H$2,0)),0)&gt;0),INDEX(Templates!$B$3:$H$10,MATCH($R130,Templates!$A$3:$A$10,0),MATCH($F130,Templates!$B$2:$H$2,0)),IFERROR(INDEX(Settings!$B$8:$B$14,MATCH($F130,Settings!$A$8:$A$14,0)),0)))))</f>
        <v/>
      </c>
      <c r="J130" s="21">
        <f>IF($C130="",0,IFERROR(INDEX(Deals!$H$2:$H$355,MATCH($C130,Deals!$A$2:$A$355,0)),0))</f>
        <v/>
      </c>
      <c r="K130" s="32">
        <f>IF(Settings!$B$4="Yes",$I130*$J130,$I130)</f>
        <v/>
      </c>
      <c r="L130" s="22">
        <f>IF($C130="","",IFERROR(IF(INDEX(Deals!$I$2:$I$355,MATCH($C130,Deals!$A$2:$A$355,0))=0,"",INDEX(Deals!$I$2:$I$355,MATCH($C130,Deals!$A$2:$A$355,0))),""))</f>
        <v/>
      </c>
      <c r="M130" s="22">
        <f>IF($C130="","",IFERROR(IF(INDEX(Deals!$J$2:$J$355,MATCH($C130,Deals!$A$2:$A$355,0))=0,"",INDEX(Deals!$J$2:$J$355,MATCH($C130,Deals!$A$2:$A$355,0))),""))</f>
        <v/>
      </c>
      <c r="N130" s="35">
        <f>IF($L130="",DATE(1900,1,1),$L130)</f>
        <v/>
      </c>
      <c r="O130" s="35">
        <f>IF($M130="",DATE(2100,12,31),$M130)</f>
        <v/>
      </c>
      <c r="P130" s="20" t="inlineStr"/>
      <c r="Q130" s="47" t="inlineStr"/>
      <c r="R130" s="16">
        <f>IF($C130="","",IFERROR(IF(INDEX(Deals!$U$2:$U$355,MATCH($C130,Deals!$A$2:$A$355,0))=0,"",INDEX(Deals!$U$2:$U$355,MATCH($C130,Deals!$A$2:$A$355,0))),""))</f>
        <v/>
      </c>
      <c r="S130" s="34">
        <f>IFERROR(IF($U130="",1,INDEX(Deals!$V$2:$V$355,MATCH($C130,Deals!$A$2:$A$355,0))),1)</f>
        <v/>
      </c>
      <c r="T130" s="34">
        <f>IFERROR(IF($U130="",1,INDEX(Deals!$W$2:$W$355,MATCH($C130,Deals!$A$2:$A$355,0))),1)</f>
        <v/>
      </c>
      <c r="U130" s="22">
        <f>IF($C130="","",IFERROR(IF(INDEX(Deals!$Y$2:$Y$355,MATCH($C130,Deals!$A$2:$A$355,0))=0,"",INDEX(Deals!$Y$2:$Y$355,MATCH($C130,Deals!$A$2:$A$355,0))),""))</f>
        <v/>
      </c>
      <c r="V130" s="35">
        <f>IF(OR($U130&lt;&gt;"",AND($AO130&gt;0,$L130&lt;&gt;"",$M130&lt;&gt;"")),$N130,DATE(1900,1,1))</f>
        <v/>
      </c>
      <c r="W130" s="35">
        <f>IF($U130&lt;&gt;"",$U130,IF(AND($AO130&gt;0,$L130&lt;&gt;"",$M130&lt;&gt;""),$O130,DATE(2100,12,31)))</f>
        <v/>
      </c>
      <c r="X130" s="32">
        <f>IF($U130="",$K130,$K130*$S130)</f>
        <v/>
      </c>
      <c r="Y130" s="35">
        <f>IF($U130="",DATE(2100,12,31),$U130+1)</f>
        <v/>
      </c>
      <c r="Z130" s="35">
        <f>IF($U130="",DATE(1900,1,1),$O130)</f>
        <v/>
      </c>
      <c r="AA130" s="32">
        <f>IF($U130="",0,$K130*$T130)</f>
        <v/>
      </c>
      <c r="AB130" s="21">
        <f>IF($C130="",0,IFERROR(INDEX(Deals!$AD$2:$AD$355,MATCH($C130,Deals!$A$2:$A$355,0)),0))</f>
        <v/>
      </c>
      <c r="AC130" s="32">
        <f>IF(Settings!$B$4="Yes",$I130*$AB130,$I130)</f>
        <v/>
      </c>
      <c r="AD130" s="22">
        <f>IF($C130="","",IFERROR(IF(INDEX(Deals!$AE$2:$AE$355,MATCH($C130,Deals!$A$2:$A$355,0))=0,"",INDEX(Deals!$AE$2:$AE$355,MATCH($C130,Deals!$A$2:$A$355,0))),""))</f>
        <v/>
      </c>
      <c r="AE130" s="22">
        <f>IF($C130="","",IFERROR(IF(INDEX(Deals!$AF$2:$AF$355,MATCH($C130,Deals!$A$2:$A$355,0))=0,"",INDEX(Deals!$AF$2:$AF$355,MATCH($C130,Deals!$A$2:$A$355,0))),""))</f>
        <v/>
      </c>
      <c r="AF130" s="35">
        <f>IF($AD130="",DATE(1900,1,1),$AD130)</f>
        <v/>
      </c>
      <c r="AG130" s="35">
        <f>IF($AE130="",DATE(2100,12,31),$AE130)</f>
        <v/>
      </c>
      <c r="AH130" s="22">
        <f>IF($C130="","",IFERROR(IF(INDEX(Deals!$AG$2:$AG$355,MATCH($C130,Deals!$A$2:$A$355,0))=0,"",INDEX(Deals!$AG$2:$AG$355,MATCH($C130,Deals!$A$2:$A$355,0))),""))</f>
        <v/>
      </c>
      <c r="AI130" s="35">
        <f>IF(OR($AH130&lt;&gt;"",AND($AO130&gt;0,$AD130&lt;&gt;"",$AE130&lt;&gt;"")),$AF130,DATE(1900,1,1))</f>
        <v/>
      </c>
      <c r="AJ130" s="35">
        <f>IF($AH130&lt;&gt;"",$AH130,IF(AND($AO130&gt;0,$AD130&lt;&gt;"",$AE130&lt;&gt;""),$AG130,DATE(2100,12,31)))</f>
        <v/>
      </c>
      <c r="AK130" s="32">
        <f>IF($AH130="",$AC130,$AC130*$S130)</f>
        <v/>
      </c>
      <c r="AL130" s="35">
        <f>IF($AH130="",DATE(2100,12,31),$AH130+1)</f>
        <v/>
      </c>
      <c r="AM130" s="35">
        <f>IF($AH130="",DATE(1900,1,1),$AG130)</f>
        <v/>
      </c>
      <c r="AN130" s="32">
        <f>IF($AH130="",0,$AC130*$T130)</f>
        <v/>
      </c>
      <c r="AO130" s="46">
        <f>IF($C130="",0,IFERROR(INDEX(Deals!$BD$2:$BD$355,MATCH($C130,Deals!$A$2:$A$355,0)),0))</f>
        <v/>
      </c>
      <c r="AP130" s="18">
        <f>IF($AO130=0,0,IFERROR(INDEX(Deals!$BJ$2:$BP$355,MATCH($C130,Deals!$A$2:$A$355,0),MATCH($F130,Deals!$BJ$1:$BP$1,0))/COUNTIFS(Assignments!$C$2:$C$769,$C130,Assignments!$F$2:$F$769,$F130,Assignments!$G$2:$G$769,"Active"),0))</f>
        <v/>
      </c>
    </row>
    <row r="131">
      <c r="A131" s="28" t="inlineStr">
        <is>
          <t>Zack</t>
        </is>
      </c>
      <c r="B131" s="16">
        <f>IF($A131="","",IFERROR(INDEX(Roster!$B$2:$B$40,MATCH($A131,Roster!$A$2:$A$40,0)),"?"))</f>
        <v/>
      </c>
      <c r="C131" s="28" t="inlineStr">
        <is>
          <t>AOP Model_1</t>
        </is>
      </c>
      <c r="D131" s="16">
        <f>IF($C131="","",IFERROR(IF(INDEX(Deals!$C$2:$C$355,MATCH($C131,Deals!$A$2:$A$355,0))=0,"",INDEX(Deals!$C$2:$C$355,MATCH($C131,Deals!$A$2:$A$355,0))),"?"))</f>
        <v/>
      </c>
      <c r="E131" s="16">
        <f>IF($C131="","",IFERROR(INDEX(Deals!$F$2:$F$355,MATCH($C131,Deals!$A$2:$A$355,0)),"?"))</f>
        <v/>
      </c>
      <c r="F131" s="28" t="inlineStr">
        <is>
          <t>MD</t>
        </is>
      </c>
      <c r="G131" s="28" t="inlineStr">
        <is>
          <t>Active</t>
        </is>
      </c>
      <c r="H131" s="31" t="n"/>
      <c r="I131" s="32">
        <f>IF(OR($A131="",$G131&lt;&gt;"Active"),0,IF($H131&lt;&gt;"",$H131,IF($AO131&gt;0,$AP131,IF(AND($R131&lt;&gt;"",IFERROR(INDEX(Templates!$B$3:$H$10,MATCH($R131,Templates!$A$3:$A$10,0),MATCH($F131,Templates!$B$2:$H$2,0)),0)&gt;0),INDEX(Templates!$B$3:$H$10,MATCH($R131,Templates!$A$3:$A$10,0),MATCH($F131,Templates!$B$2:$H$2,0)),IFERROR(INDEX(Settings!$B$8:$B$14,MATCH($F131,Settings!$A$8:$A$14,0)),0)))))</f>
        <v/>
      </c>
      <c r="J131" s="21">
        <f>IF($C131="",0,IFERROR(INDEX(Deals!$H$2:$H$355,MATCH($C131,Deals!$A$2:$A$355,0)),0))</f>
        <v/>
      </c>
      <c r="K131" s="32">
        <f>IF(Settings!$B$4="Yes",$I131*$J131,$I131)</f>
        <v/>
      </c>
      <c r="L131" s="22">
        <f>IF($C131="","",IFERROR(IF(INDEX(Deals!$I$2:$I$355,MATCH($C131,Deals!$A$2:$A$355,0))=0,"",INDEX(Deals!$I$2:$I$355,MATCH($C131,Deals!$A$2:$A$355,0))),""))</f>
        <v/>
      </c>
      <c r="M131" s="22">
        <f>IF($C131="","",IFERROR(IF(INDEX(Deals!$J$2:$J$355,MATCH($C131,Deals!$A$2:$A$355,0))=0,"",INDEX(Deals!$J$2:$J$355,MATCH($C131,Deals!$A$2:$A$355,0))),""))</f>
        <v/>
      </c>
      <c r="N131" s="35">
        <f>IF($L131="",DATE(1900,1,1),$L131)</f>
        <v/>
      </c>
      <c r="O131" s="35">
        <f>IF($M131="",DATE(2100,12,31),$M131)</f>
        <v/>
      </c>
      <c r="P131" s="20" t="inlineStr"/>
      <c r="Q131" s="47" t="inlineStr"/>
      <c r="R131" s="16">
        <f>IF($C131="","",IFERROR(IF(INDEX(Deals!$U$2:$U$355,MATCH($C131,Deals!$A$2:$A$355,0))=0,"",INDEX(Deals!$U$2:$U$355,MATCH($C131,Deals!$A$2:$A$355,0))),""))</f>
        <v/>
      </c>
      <c r="S131" s="34">
        <f>IFERROR(IF($U131="",1,INDEX(Deals!$V$2:$V$355,MATCH($C131,Deals!$A$2:$A$355,0))),1)</f>
        <v/>
      </c>
      <c r="T131" s="34">
        <f>IFERROR(IF($U131="",1,INDEX(Deals!$W$2:$W$355,MATCH($C131,Deals!$A$2:$A$355,0))),1)</f>
        <v/>
      </c>
      <c r="U131" s="22">
        <f>IF($C131="","",IFERROR(IF(INDEX(Deals!$Y$2:$Y$355,MATCH($C131,Deals!$A$2:$A$355,0))=0,"",INDEX(Deals!$Y$2:$Y$355,MATCH($C131,Deals!$A$2:$A$355,0))),""))</f>
        <v/>
      </c>
      <c r="V131" s="35">
        <f>IF(OR($U131&lt;&gt;"",AND($AO131&gt;0,$L131&lt;&gt;"",$M131&lt;&gt;"")),$N131,DATE(1900,1,1))</f>
        <v/>
      </c>
      <c r="W131" s="35">
        <f>IF($U131&lt;&gt;"",$U131,IF(AND($AO131&gt;0,$L131&lt;&gt;"",$M131&lt;&gt;""),$O131,DATE(2100,12,31)))</f>
        <v/>
      </c>
      <c r="X131" s="32">
        <f>IF($U131="",$K131,$K131*$S131)</f>
        <v/>
      </c>
      <c r="Y131" s="35">
        <f>IF($U131="",DATE(2100,12,31),$U131+1)</f>
        <v/>
      </c>
      <c r="Z131" s="35">
        <f>IF($U131="",DATE(1900,1,1),$O131)</f>
        <v/>
      </c>
      <c r="AA131" s="32">
        <f>IF($U131="",0,$K131*$T131)</f>
        <v/>
      </c>
      <c r="AB131" s="21">
        <f>IF($C131="",0,IFERROR(INDEX(Deals!$AD$2:$AD$355,MATCH($C131,Deals!$A$2:$A$355,0)),0))</f>
        <v/>
      </c>
      <c r="AC131" s="32">
        <f>IF(Settings!$B$4="Yes",$I131*$AB131,$I131)</f>
        <v/>
      </c>
      <c r="AD131" s="22">
        <f>IF($C131="","",IFERROR(IF(INDEX(Deals!$AE$2:$AE$355,MATCH($C131,Deals!$A$2:$A$355,0))=0,"",INDEX(Deals!$AE$2:$AE$355,MATCH($C131,Deals!$A$2:$A$355,0))),""))</f>
        <v/>
      </c>
      <c r="AE131" s="22">
        <f>IF($C131="","",IFERROR(IF(INDEX(Deals!$AF$2:$AF$355,MATCH($C131,Deals!$A$2:$A$355,0))=0,"",INDEX(Deals!$AF$2:$AF$355,MATCH($C131,Deals!$A$2:$A$355,0))),""))</f>
        <v/>
      </c>
      <c r="AF131" s="35">
        <f>IF($AD131="",DATE(1900,1,1),$AD131)</f>
        <v/>
      </c>
      <c r="AG131" s="35">
        <f>IF($AE131="",DATE(2100,12,31),$AE131)</f>
        <v/>
      </c>
      <c r="AH131" s="22">
        <f>IF($C131="","",IFERROR(IF(INDEX(Deals!$AG$2:$AG$355,MATCH($C131,Deals!$A$2:$A$355,0))=0,"",INDEX(Deals!$AG$2:$AG$355,MATCH($C131,Deals!$A$2:$A$355,0))),""))</f>
        <v/>
      </c>
      <c r="AI131" s="35">
        <f>IF(OR($AH131&lt;&gt;"",AND($AO131&gt;0,$AD131&lt;&gt;"",$AE131&lt;&gt;"")),$AF131,DATE(1900,1,1))</f>
        <v/>
      </c>
      <c r="AJ131" s="35">
        <f>IF($AH131&lt;&gt;"",$AH131,IF(AND($AO131&gt;0,$AD131&lt;&gt;"",$AE131&lt;&gt;""),$AG131,DATE(2100,12,31)))</f>
        <v/>
      </c>
      <c r="AK131" s="32">
        <f>IF($AH131="",$AC131,$AC131*$S131)</f>
        <v/>
      </c>
      <c r="AL131" s="35">
        <f>IF($AH131="",DATE(2100,12,31),$AH131+1)</f>
        <v/>
      </c>
      <c r="AM131" s="35">
        <f>IF($AH131="",DATE(1900,1,1),$AG131)</f>
        <v/>
      </c>
      <c r="AN131" s="32">
        <f>IF($AH131="",0,$AC131*$T131)</f>
        <v/>
      </c>
      <c r="AO131" s="46">
        <f>IF($C131="",0,IFERROR(INDEX(Deals!$BD$2:$BD$355,MATCH($C131,Deals!$A$2:$A$355,0)),0))</f>
        <v/>
      </c>
      <c r="AP131" s="18">
        <f>IF($AO131=0,0,IFERROR(INDEX(Deals!$BJ$2:$BP$355,MATCH($C131,Deals!$A$2:$A$355,0),MATCH($F131,Deals!$BJ$1:$BP$1,0))/COUNTIFS(Assignments!$C$2:$C$769,$C131,Assignments!$F$2:$F$769,$F131,Assignments!$G$2:$G$769,"Active"),0))</f>
        <v/>
      </c>
    </row>
    <row r="132">
      <c r="A132" s="28" t="inlineStr">
        <is>
          <t>Zack</t>
        </is>
      </c>
      <c r="B132" s="16">
        <f>IF($A132="","",IFERROR(INDEX(Roster!$B$2:$B$40,MATCH($A132,Roster!$A$2:$A$40,0)),"?"))</f>
        <v/>
      </c>
      <c r="C132" s="28" t="inlineStr">
        <is>
          <t>Aypa_3</t>
        </is>
      </c>
      <c r="D132" s="16">
        <f>IF($C132="","",IFERROR(IF(INDEX(Deals!$C$2:$C$355,MATCH($C132,Deals!$A$2:$A$355,0))=0,"",INDEX(Deals!$C$2:$C$355,MATCH($C132,Deals!$A$2:$A$355,0))),"?"))</f>
        <v/>
      </c>
      <c r="E132" s="16">
        <f>IF($C132="","",IFERROR(INDEX(Deals!$F$2:$F$355,MATCH($C132,Deals!$A$2:$A$355,0)),"?"))</f>
        <v/>
      </c>
      <c r="F132" s="28" t="inlineStr">
        <is>
          <t>MD</t>
        </is>
      </c>
      <c r="G132" s="28" t="inlineStr">
        <is>
          <t>Active</t>
        </is>
      </c>
      <c r="H132" s="31" t="n"/>
      <c r="I132" s="32">
        <f>IF(OR($A132="",$G132&lt;&gt;"Active"),0,IF($H132&lt;&gt;"",$H132,IF($AO132&gt;0,$AP132,IF(AND($R132&lt;&gt;"",IFERROR(INDEX(Templates!$B$3:$H$10,MATCH($R132,Templates!$A$3:$A$10,0),MATCH($F132,Templates!$B$2:$H$2,0)),0)&gt;0),INDEX(Templates!$B$3:$H$10,MATCH($R132,Templates!$A$3:$A$10,0),MATCH($F132,Templates!$B$2:$H$2,0)),IFERROR(INDEX(Settings!$B$8:$B$14,MATCH($F132,Settings!$A$8:$A$14,0)),0)))))</f>
        <v/>
      </c>
      <c r="J132" s="21">
        <f>IF($C132="",0,IFERROR(INDEX(Deals!$H$2:$H$355,MATCH($C132,Deals!$A$2:$A$355,0)),0))</f>
        <v/>
      </c>
      <c r="K132" s="32">
        <f>IF(Settings!$B$4="Yes",$I132*$J132,$I132)</f>
        <v/>
      </c>
      <c r="L132" s="22">
        <f>IF($C132="","",IFERROR(IF(INDEX(Deals!$I$2:$I$355,MATCH($C132,Deals!$A$2:$A$355,0))=0,"",INDEX(Deals!$I$2:$I$355,MATCH($C132,Deals!$A$2:$A$355,0))),""))</f>
        <v/>
      </c>
      <c r="M132" s="22">
        <f>IF($C132="","",IFERROR(IF(INDEX(Deals!$J$2:$J$355,MATCH($C132,Deals!$A$2:$A$355,0))=0,"",INDEX(Deals!$J$2:$J$355,MATCH($C132,Deals!$A$2:$A$355,0))),""))</f>
        <v/>
      </c>
      <c r="N132" s="35">
        <f>IF($L132="",DATE(1900,1,1),$L132)</f>
        <v/>
      </c>
      <c r="O132" s="35">
        <f>IF($M132="",DATE(2100,12,31),$M132)</f>
        <v/>
      </c>
      <c r="P132" s="20" t="inlineStr"/>
      <c r="Q132" s="47" t="inlineStr"/>
      <c r="R132" s="16">
        <f>IF($C132="","",IFERROR(IF(INDEX(Deals!$U$2:$U$355,MATCH($C132,Deals!$A$2:$A$355,0))=0,"",INDEX(Deals!$U$2:$U$355,MATCH($C132,Deals!$A$2:$A$355,0))),""))</f>
        <v/>
      </c>
      <c r="S132" s="34">
        <f>IFERROR(IF($U132="",1,INDEX(Deals!$V$2:$V$355,MATCH($C132,Deals!$A$2:$A$355,0))),1)</f>
        <v/>
      </c>
      <c r="T132" s="34">
        <f>IFERROR(IF($U132="",1,INDEX(Deals!$W$2:$W$355,MATCH($C132,Deals!$A$2:$A$355,0))),1)</f>
        <v/>
      </c>
      <c r="U132" s="22">
        <f>IF($C132="","",IFERROR(IF(INDEX(Deals!$Y$2:$Y$355,MATCH($C132,Deals!$A$2:$A$355,0))=0,"",INDEX(Deals!$Y$2:$Y$355,MATCH($C132,Deals!$A$2:$A$355,0))),""))</f>
        <v/>
      </c>
      <c r="V132" s="35">
        <f>IF(OR($U132&lt;&gt;"",AND($AO132&gt;0,$L132&lt;&gt;"",$M132&lt;&gt;"")),$N132,DATE(1900,1,1))</f>
        <v/>
      </c>
      <c r="W132" s="35">
        <f>IF($U132&lt;&gt;"",$U132,IF(AND($AO132&gt;0,$L132&lt;&gt;"",$M132&lt;&gt;""),$O132,DATE(2100,12,31)))</f>
        <v/>
      </c>
      <c r="X132" s="32">
        <f>IF($U132="",$K132,$K132*$S132)</f>
        <v/>
      </c>
      <c r="Y132" s="35">
        <f>IF($U132="",DATE(2100,12,31),$U132+1)</f>
        <v/>
      </c>
      <c r="Z132" s="35">
        <f>IF($U132="",DATE(1900,1,1),$O132)</f>
        <v/>
      </c>
      <c r="AA132" s="32">
        <f>IF($U132="",0,$K132*$T132)</f>
        <v/>
      </c>
      <c r="AB132" s="21">
        <f>IF($C132="",0,IFERROR(INDEX(Deals!$AD$2:$AD$355,MATCH($C132,Deals!$A$2:$A$355,0)),0))</f>
        <v/>
      </c>
      <c r="AC132" s="32">
        <f>IF(Settings!$B$4="Yes",$I132*$AB132,$I132)</f>
        <v/>
      </c>
      <c r="AD132" s="22">
        <f>IF($C132="","",IFERROR(IF(INDEX(Deals!$AE$2:$AE$355,MATCH($C132,Deals!$A$2:$A$355,0))=0,"",INDEX(Deals!$AE$2:$AE$355,MATCH($C132,Deals!$A$2:$A$355,0))),""))</f>
        <v/>
      </c>
      <c r="AE132" s="22">
        <f>IF($C132="","",IFERROR(IF(INDEX(Deals!$AF$2:$AF$355,MATCH($C132,Deals!$A$2:$A$355,0))=0,"",INDEX(Deals!$AF$2:$AF$355,MATCH($C132,Deals!$A$2:$A$355,0))),""))</f>
        <v/>
      </c>
      <c r="AF132" s="35">
        <f>IF($AD132="",DATE(1900,1,1),$AD132)</f>
        <v/>
      </c>
      <c r="AG132" s="35">
        <f>IF($AE132="",DATE(2100,12,31),$AE132)</f>
        <v/>
      </c>
      <c r="AH132" s="22">
        <f>IF($C132="","",IFERROR(IF(INDEX(Deals!$AG$2:$AG$355,MATCH($C132,Deals!$A$2:$A$355,0))=0,"",INDEX(Deals!$AG$2:$AG$355,MATCH($C132,Deals!$A$2:$A$355,0))),""))</f>
        <v/>
      </c>
      <c r="AI132" s="35">
        <f>IF(OR($AH132&lt;&gt;"",AND($AO132&gt;0,$AD132&lt;&gt;"",$AE132&lt;&gt;"")),$AF132,DATE(1900,1,1))</f>
        <v/>
      </c>
      <c r="AJ132" s="35">
        <f>IF($AH132&lt;&gt;"",$AH132,IF(AND($AO132&gt;0,$AD132&lt;&gt;"",$AE132&lt;&gt;""),$AG132,DATE(2100,12,31)))</f>
        <v/>
      </c>
      <c r="AK132" s="32">
        <f>IF($AH132="",$AC132,$AC132*$S132)</f>
        <v/>
      </c>
      <c r="AL132" s="35">
        <f>IF($AH132="",DATE(2100,12,31),$AH132+1)</f>
        <v/>
      </c>
      <c r="AM132" s="35">
        <f>IF($AH132="",DATE(1900,1,1),$AG132)</f>
        <v/>
      </c>
      <c r="AN132" s="32">
        <f>IF($AH132="",0,$AC132*$T132)</f>
        <v/>
      </c>
      <c r="AO132" s="46">
        <f>IF($C132="",0,IFERROR(INDEX(Deals!$BD$2:$BD$355,MATCH($C132,Deals!$A$2:$A$355,0)),0))</f>
        <v/>
      </c>
      <c r="AP132" s="18">
        <f>IF($AO132=0,0,IFERROR(INDEX(Deals!$BJ$2:$BP$355,MATCH($C132,Deals!$A$2:$A$355,0),MATCH($F132,Deals!$BJ$1:$BP$1,0))/COUNTIFS(Assignments!$C$2:$C$769,$C132,Assignments!$F$2:$F$769,$F132,Assignments!$G$2:$G$769,"Active"),0))</f>
        <v/>
      </c>
    </row>
    <row r="133">
      <c r="A133" s="28" t="inlineStr">
        <is>
          <t>Zack</t>
        </is>
      </c>
      <c r="B133" s="16">
        <f>IF($A133="","",IFERROR(INDEX(Roster!$B$2:$B$40,MATCH($A133,Roster!$A$2:$A$40,0)),"?"))</f>
        <v/>
      </c>
      <c r="C133" s="28" t="inlineStr">
        <is>
          <t>AZ BESS_1</t>
        </is>
      </c>
      <c r="D133" s="16">
        <f>IF($C133="","",IFERROR(IF(INDEX(Deals!$C$2:$C$355,MATCH($C133,Deals!$A$2:$A$355,0))=0,"",INDEX(Deals!$C$2:$C$355,MATCH($C133,Deals!$A$2:$A$355,0))),"?"))</f>
        <v/>
      </c>
      <c r="E133" s="16">
        <f>IF($C133="","",IFERROR(INDEX(Deals!$F$2:$F$355,MATCH($C133,Deals!$A$2:$A$355,0)),"?"))</f>
        <v/>
      </c>
      <c r="F133" s="28" t="inlineStr">
        <is>
          <t>MD</t>
        </is>
      </c>
      <c r="G133" s="28" t="inlineStr">
        <is>
          <t>Active</t>
        </is>
      </c>
      <c r="H133" s="31" t="n"/>
      <c r="I133" s="32">
        <f>IF(OR($A133="",$G133&lt;&gt;"Active"),0,IF($H133&lt;&gt;"",$H133,IF($AO133&gt;0,$AP133,IF(AND($R133&lt;&gt;"",IFERROR(INDEX(Templates!$B$3:$H$10,MATCH($R133,Templates!$A$3:$A$10,0),MATCH($F133,Templates!$B$2:$H$2,0)),0)&gt;0),INDEX(Templates!$B$3:$H$10,MATCH($R133,Templates!$A$3:$A$10,0),MATCH($F133,Templates!$B$2:$H$2,0)),IFERROR(INDEX(Settings!$B$8:$B$14,MATCH($F133,Settings!$A$8:$A$14,0)),0)))))</f>
        <v/>
      </c>
      <c r="J133" s="21">
        <f>IF($C133="",0,IFERROR(INDEX(Deals!$H$2:$H$355,MATCH($C133,Deals!$A$2:$A$355,0)),0))</f>
        <v/>
      </c>
      <c r="K133" s="32">
        <f>IF(Settings!$B$4="Yes",$I133*$J133,$I133)</f>
        <v/>
      </c>
      <c r="L133" s="22">
        <f>IF($C133="","",IFERROR(IF(INDEX(Deals!$I$2:$I$355,MATCH($C133,Deals!$A$2:$A$355,0))=0,"",INDEX(Deals!$I$2:$I$355,MATCH($C133,Deals!$A$2:$A$355,0))),""))</f>
        <v/>
      </c>
      <c r="M133" s="22">
        <f>IF($C133="","",IFERROR(IF(INDEX(Deals!$J$2:$J$355,MATCH($C133,Deals!$A$2:$A$355,0))=0,"",INDEX(Deals!$J$2:$J$355,MATCH($C133,Deals!$A$2:$A$355,0))),""))</f>
        <v/>
      </c>
      <c r="N133" s="35">
        <f>IF($L133="",DATE(1900,1,1),$L133)</f>
        <v/>
      </c>
      <c r="O133" s="35">
        <f>IF($M133="",DATE(2100,12,31),$M133)</f>
        <v/>
      </c>
      <c r="P133" s="20" t="inlineStr"/>
      <c r="Q133" s="47" t="inlineStr"/>
      <c r="R133" s="16">
        <f>IF($C133="","",IFERROR(IF(INDEX(Deals!$U$2:$U$355,MATCH($C133,Deals!$A$2:$A$355,0))=0,"",INDEX(Deals!$U$2:$U$355,MATCH($C133,Deals!$A$2:$A$355,0))),""))</f>
        <v/>
      </c>
      <c r="S133" s="34">
        <f>IFERROR(IF($U133="",1,INDEX(Deals!$V$2:$V$355,MATCH($C133,Deals!$A$2:$A$355,0))),1)</f>
        <v/>
      </c>
      <c r="T133" s="34">
        <f>IFERROR(IF($U133="",1,INDEX(Deals!$W$2:$W$355,MATCH($C133,Deals!$A$2:$A$355,0))),1)</f>
        <v/>
      </c>
      <c r="U133" s="22">
        <f>IF($C133="","",IFERROR(IF(INDEX(Deals!$Y$2:$Y$355,MATCH($C133,Deals!$A$2:$A$355,0))=0,"",INDEX(Deals!$Y$2:$Y$355,MATCH($C133,Deals!$A$2:$A$355,0))),""))</f>
        <v/>
      </c>
      <c r="V133" s="35">
        <f>IF(OR($U133&lt;&gt;"",AND($AO133&gt;0,$L133&lt;&gt;"",$M133&lt;&gt;"")),$N133,DATE(1900,1,1))</f>
        <v/>
      </c>
      <c r="W133" s="35">
        <f>IF($U133&lt;&gt;"",$U133,IF(AND($AO133&gt;0,$L133&lt;&gt;"",$M133&lt;&gt;""),$O133,DATE(2100,12,31)))</f>
        <v/>
      </c>
      <c r="X133" s="32">
        <f>IF($U133="",$K133,$K133*$S133)</f>
        <v/>
      </c>
      <c r="Y133" s="35">
        <f>IF($U133="",DATE(2100,12,31),$U133+1)</f>
        <v/>
      </c>
      <c r="Z133" s="35">
        <f>IF($U133="",DATE(1900,1,1),$O133)</f>
        <v/>
      </c>
      <c r="AA133" s="32">
        <f>IF($U133="",0,$K133*$T133)</f>
        <v/>
      </c>
      <c r="AB133" s="21">
        <f>IF($C133="",0,IFERROR(INDEX(Deals!$AD$2:$AD$355,MATCH($C133,Deals!$A$2:$A$355,0)),0))</f>
        <v/>
      </c>
      <c r="AC133" s="32">
        <f>IF(Settings!$B$4="Yes",$I133*$AB133,$I133)</f>
        <v/>
      </c>
      <c r="AD133" s="22">
        <f>IF($C133="","",IFERROR(IF(INDEX(Deals!$AE$2:$AE$355,MATCH($C133,Deals!$A$2:$A$355,0))=0,"",INDEX(Deals!$AE$2:$AE$355,MATCH($C133,Deals!$A$2:$A$355,0))),""))</f>
        <v/>
      </c>
      <c r="AE133" s="22">
        <f>IF($C133="","",IFERROR(IF(INDEX(Deals!$AF$2:$AF$355,MATCH($C133,Deals!$A$2:$A$355,0))=0,"",INDEX(Deals!$AF$2:$AF$355,MATCH($C133,Deals!$A$2:$A$355,0))),""))</f>
        <v/>
      </c>
      <c r="AF133" s="35">
        <f>IF($AD133="",DATE(1900,1,1),$AD133)</f>
        <v/>
      </c>
      <c r="AG133" s="35">
        <f>IF($AE133="",DATE(2100,12,31),$AE133)</f>
        <v/>
      </c>
      <c r="AH133" s="22">
        <f>IF($C133="","",IFERROR(IF(INDEX(Deals!$AG$2:$AG$355,MATCH($C133,Deals!$A$2:$A$355,0))=0,"",INDEX(Deals!$AG$2:$AG$355,MATCH($C133,Deals!$A$2:$A$355,0))),""))</f>
        <v/>
      </c>
      <c r="AI133" s="35">
        <f>IF(OR($AH133&lt;&gt;"",AND($AO133&gt;0,$AD133&lt;&gt;"",$AE133&lt;&gt;"")),$AF133,DATE(1900,1,1))</f>
        <v/>
      </c>
      <c r="AJ133" s="35">
        <f>IF($AH133&lt;&gt;"",$AH133,IF(AND($AO133&gt;0,$AD133&lt;&gt;"",$AE133&lt;&gt;""),$AG133,DATE(2100,12,31)))</f>
        <v/>
      </c>
      <c r="AK133" s="32">
        <f>IF($AH133="",$AC133,$AC133*$S133)</f>
        <v/>
      </c>
      <c r="AL133" s="35">
        <f>IF($AH133="",DATE(2100,12,31),$AH133+1)</f>
        <v/>
      </c>
      <c r="AM133" s="35">
        <f>IF($AH133="",DATE(1900,1,1),$AG133)</f>
        <v/>
      </c>
      <c r="AN133" s="32">
        <f>IF($AH133="",0,$AC133*$T133)</f>
        <v/>
      </c>
      <c r="AO133" s="46">
        <f>IF($C133="",0,IFERROR(INDEX(Deals!$BD$2:$BD$355,MATCH($C133,Deals!$A$2:$A$355,0)),0))</f>
        <v/>
      </c>
      <c r="AP133" s="18">
        <f>IF($AO133=0,0,IFERROR(INDEX(Deals!$BJ$2:$BP$355,MATCH($C133,Deals!$A$2:$A$355,0),MATCH($F133,Deals!$BJ$1:$BP$1,0))/COUNTIFS(Assignments!$C$2:$C$769,$C133,Assignments!$F$2:$F$769,$F133,Assignments!$G$2:$G$769,"Active"),0))</f>
        <v/>
      </c>
    </row>
    <row r="134">
      <c r="A134" s="28" t="inlineStr">
        <is>
          <t>Zack</t>
        </is>
      </c>
      <c r="B134" s="16">
        <f>IF($A134="","",IFERROR(INDEX(Roster!$B$2:$B$40,MATCH($A134,Roster!$A$2:$A$40,0)),"?"))</f>
        <v/>
      </c>
      <c r="C134" s="28" t="inlineStr">
        <is>
          <t>Bledsoe_1</t>
        </is>
      </c>
      <c r="D134" s="16">
        <f>IF($C134="","",IFERROR(IF(INDEX(Deals!$C$2:$C$355,MATCH($C134,Deals!$A$2:$A$355,0))=0,"",INDEX(Deals!$C$2:$C$355,MATCH($C134,Deals!$A$2:$A$355,0))),"?"))</f>
        <v/>
      </c>
      <c r="E134" s="16">
        <f>IF($C134="","",IFERROR(INDEX(Deals!$F$2:$F$355,MATCH($C134,Deals!$A$2:$A$355,0)),"?"))</f>
        <v/>
      </c>
      <c r="F134" s="28" t="inlineStr">
        <is>
          <t>MD</t>
        </is>
      </c>
      <c r="G134" s="28" t="inlineStr">
        <is>
          <t>Active</t>
        </is>
      </c>
      <c r="H134" s="31" t="n"/>
      <c r="I134" s="32">
        <f>IF(OR($A134="",$G134&lt;&gt;"Active"),0,IF($H134&lt;&gt;"",$H134,IF($AO134&gt;0,$AP134,IF(AND($R134&lt;&gt;"",IFERROR(INDEX(Templates!$B$3:$H$10,MATCH($R134,Templates!$A$3:$A$10,0),MATCH($F134,Templates!$B$2:$H$2,0)),0)&gt;0),INDEX(Templates!$B$3:$H$10,MATCH($R134,Templates!$A$3:$A$10,0),MATCH($F134,Templates!$B$2:$H$2,0)),IFERROR(INDEX(Settings!$B$8:$B$14,MATCH($F134,Settings!$A$8:$A$14,0)),0)))))</f>
        <v/>
      </c>
      <c r="J134" s="21">
        <f>IF($C134="",0,IFERROR(INDEX(Deals!$H$2:$H$355,MATCH($C134,Deals!$A$2:$A$355,0)),0))</f>
        <v/>
      </c>
      <c r="K134" s="32">
        <f>IF(Settings!$B$4="Yes",$I134*$J134,$I134)</f>
        <v/>
      </c>
      <c r="L134" s="22">
        <f>IF($C134="","",IFERROR(IF(INDEX(Deals!$I$2:$I$355,MATCH($C134,Deals!$A$2:$A$355,0))=0,"",INDEX(Deals!$I$2:$I$355,MATCH($C134,Deals!$A$2:$A$355,0))),""))</f>
        <v/>
      </c>
      <c r="M134" s="22">
        <f>IF($C134="","",IFERROR(IF(INDEX(Deals!$J$2:$J$355,MATCH($C134,Deals!$A$2:$A$355,0))=0,"",INDEX(Deals!$J$2:$J$355,MATCH($C134,Deals!$A$2:$A$355,0))),""))</f>
        <v/>
      </c>
      <c r="N134" s="35">
        <f>IF($L134="",DATE(1900,1,1),$L134)</f>
        <v/>
      </c>
      <c r="O134" s="35">
        <f>IF($M134="",DATE(2100,12,31),$M134)</f>
        <v/>
      </c>
      <c r="P134" s="20" t="inlineStr"/>
      <c r="Q134" s="47" t="inlineStr"/>
      <c r="R134" s="16">
        <f>IF($C134="","",IFERROR(IF(INDEX(Deals!$U$2:$U$355,MATCH($C134,Deals!$A$2:$A$355,0))=0,"",INDEX(Deals!$U$2:$U$355,MATCH($C134,Deals!$A$2:$A$355,0))),""))</f>
        <v/>
      </c>
      <c r="S134" s="34">
        <f>IFERROR(IF($U134="",1,INDEX(Deals!$V$2:$V$355,MATCH($C134,Deals!$A$2:$A$355,0))),1)</f>
        <v/>
      </c>
      <c r="T134" s="34">
        <f>IFERROR(IF($U134="",1,INDEX(Deals!$W$2:$W$355,MATCH($C134,Deals!$A$2:$A$355,0))),1)</f>
        <v/>
      </c>
      <c r="U134" s="22">
        <f>IF($C134="","",IFERROR(IF(INDEX(Deals!$Y$2:$Y$355,MATCH($C134,Deals!$A$2:$A$355,0))=0,"",INDEX(Deals!$Y$2:$Y$355,MATCH($C134,Deals!$A$2:$A$355,0))),""))</f>
        <v/>
      </c>
      <c r="V134" s="35">
        <f>IF(OR($U134&lt;&gt;"",AND($AO134&gt;0,$L134&lt;&gt;"",$M134&lt;&gt;"")),$N134,DATE(1900,1,1))</f>
        <v/>
      </c>
      <c r="W134" s="35">
        <f>IF($U134&lt;&gt;"",$U134,IF(AND($AO134&gt;0,$L134&lt;&gt;"",$M134&lt;&gt;""),$O134,DATE(2100,12,31)))</f>
        <v/>
      </c>
      <c r="X134" s="32">
        <f>IF($U134="",$K134,$K134*$S134)</f>
        <v/>
      </c>
      <c r="Y134" s="35">
        <f>IF($U134="",DATE(2100,12,31),$U134+1)</f>
        <v/>
      </c>
      <c r="Z134" s="35">
        <f>IF($U134="",DATE(1900,1,1),$O134)</f>
        <v/>
      </c>
      <c r="AA134" s="32">
        <f>IF($U134="",0,$K134*$T134)</f>
        <v/>
      </c>
      <c r="AB134" s="21">
        <f>IF($C134="",0,IFERROR(INDEX(Deals!$AD$2:$AD$355,MATCH($C134,Deals!$A$2:$A$355,0)),0))</f>
        <v/>
      </c>
      <c r="AC134" s="32">
        <f>IF(Settings!$B$4="Yes",$I134*$AB134,$I134)</f>
        <v/>
      </c>
      <c r="AD134" s="22">
        <f>IF($C134="","",IFERROR(IF(INDEX(Deals!$AE$2:$AE$355,MATCH($C134,Deals!$A$2:$A$355,0))=0,"",INDEX(Deals!$AE$2:$AE$355,MATCH($C134,Deals!$A$2:$A$355,0))),""))</f>
        <v/>
      </c>
      <c r="AE134" s="22">
        <f>IF($C134="","",IFERROR(IF(INDEX(Deals!$AF$2:$AF$355,MATCH($C134,Deals!$A$2:$A$355,0))=0,"",INDEX(Deals!$AF$2:$AF$355,MATCH($C134,Deals!$A$2:$A$355,0))),""))</f>
        <v/>
      </c>
      <c r="AF134" s="35">
        <f>IF($AD134="",DATE(1900,1,1),$AD134)</f>
        <v/>
      </c>
      <c r="AG134" s="35">
        <f>IF($AE134="",DATE(2100,12,31),$AE134)</f>
        <v/>
      </c>
      <c r="AH134" s="22">
        <f>IF($C134="","",IFERROR(IF(INDEX(Deals!$AG$2:$AG$355,MATCH($C134,Deals!$A$2:$A$355,0))=0,"",INDEX(Deals!$AG$2:$AG$355,MATCH($C134,Deals!$A$2:$A$355,0))),""))</f>
        <v/>
      </c>
      <c r="AI134" s="35">
        <f>IF(OR($AH134&lt;&gt;"",AND($AO134&gt;0,$AD134&lt;&gt;"",$AE134&lt;&gt;"")),$AF134,DATE(1900,1,1))</f>
        <v/>
      </c>
      <c r="AJ134" s="35">
        <f>IF($AH134&lt;&gt;"",$AH134,IF(AND($AO134&gt;0,$AD134&lt;&gt;"",$AE134&lt;&gt;""),$AG134,DATE(2100,12,31)))</f>
        <v/>
      </c>
      <c r="AK134" s="32">
        <f>IF($AH134="",$AC134,$AC134*$S134)</f>
        <v/>
      </c>
      <c r="AL134" s="35">
        <f>IF($AH134="",DATE(2100,12,31),$AH134+1)</f>
        <v/>
      </c>
      <c r="AM134" s="35">
        <f>IF($AH134="",DATE(1900,1,1),$AG134)</f>
        <v/>
      </c>
      <c r="AN134" s="32">
        <f>IF($AH134="",0,$AC134*$T134)</f>
        <v/>
      </c>
      <c r="AO134" s="46">
        <f>IF($C134="",0,IFERROR(INDEX(Deals!$BD$2:$BD$355,MATCH($C134,Deals!$A$2:$A$355,0)),0))</f>
        <v/>
      </c>
      <c r="AP134" s="18">
        <f>IF($AO134=0,0,IFERROR(INDEX(Deals!$BJ$2:$BP$355,MATCH($C134,Deals!$A$2:$A$355,0),MATCH($F134,Deals!$BJ$1:$BP$1,0))/COUNTIFS(Assignments!$C$2:$C$769,$C134,Assignments!$F$2:$F$769,$F134,Assignments!$G$2:$G$769,"Active"),0))</f>
        <v/>
      </c>
    </row>
    <row r="135">
      <c r="A135" s="28" t="inlineStr">
        <is>
          <t>Zack</t>
        </is>
      </c>
      <c r="B135" s="16">
        <f>IF($A135="","",IFERROR(INDEX(Roster!$B$2:$B$40,MATCH($A135,Roster!$A$2:$A$40,0)),"?"))</f>
        <v/>
      </c>
      <c r="C135" s="28" t="inlineStr">
        <is>
          <t>CAN Rail_1</t>
        </is>
      </c>
      <c r="D135" s="16">
        <f>IF($C135="","",IFERROR(IF(INDEX(Deals!$C$2:$C$355,MATCH($C135,Deals!$A$2:$A$355,0))=0,"",INDEX(Deals!$C$2:$C$355,MATCH($C135,Deals!$A$2:$A$355,0))),"?"))</f>
        <v/>
      </c>
      <c r="E135" s="16">
        <f>IF($C135="","",IFERROR(INDEX(Deals!$F$2:$F$355,MATCH($C135,Deals!$A$2:$A$355,0)),"?"))</f>
        <v/>
      </c>
      <c r="F135" s="28" t="inlineStr">
        <is>
          <t>MD</t>
        </is>
      </c>
      <c r="G135" s="28" t="inlineStr">
        <is>
          <t>Active</t>
        </is>
      </c>
      <c r="H135" s="31" t="n"/>
      <c r="I135" s="32">
        <f>IF(OR($A135="",$G135&lt;&gt;"Active"),0,IF($H135&lt;&gt;"",$H135,IF($AO135&gt;0,$AP135,IF(AND($R135&lt;&gt;"",IFERROR(INDEX(Templates!$B$3:$H$10,MATCH($R135,Templates!$A$3:$A$10,0),MATCH($F135,Templates!$B$2:$H$2,0)),0)&gt;0),INDEX(Templates!$B$3:$H$10,MATCH($R135,Templates!$A$3:$A$10,0),MATCH($F135,Templates!$B$2:$H$2,0)),IFERROR(INDEX(Settings!$B$8:$B$14,MATCH($F135,Settings!$A$8:$A$14,0)),0)))))</f>
        <v/>
      </c>
      <c r="J135" s="21">
        <f>IF($C135="",0,IFERROR(INDEX(Deals!$H$2:$H$355,MATCH($C135,Deals!$A$2:$A$355,0)),0))</f>
        <v/>
      </c>
      <c r="K135" s="32">
        <f>IF(Settings!$B$4="Yes",$I135*$J135,$I135)</f>
        <v/>
      </c>
      <c r="L135" s="22">
        <f>IF($C135="","",IFERROR(IF(INDEX(Deals!$I$2:$I$355,MATCH($C135,Deals!$A$2:$A$355,0))=0,"",INDEX(Deals!$I$2:$I$355,MATCH($C135,Deals!$A$2:$A$355,0))),""))</f>
        <v/>
      </c>
      <c r="M135" s="22">
        <f>IF($C135="","",IFERROR(IF(INDEX(Deals!$J$2:$J$355,MATCH($C135,Deals!$A$2:$A$355,0))=0,"",INDEX(Deals!$J$2:$J$355,MATCH($C135,Deals!$A$2:$A$355,0))),""))</f>
        <v/>
      </c>
      <c r="N135" s="35">
        <f>IF($L135="",DATE(1900,1,1),$L135)</f>
        <v/>
      </c>
      <c r="O135" s="35">
        <f>IF($M135="",DATE(2100,12,31),$M135)</f>
        <v/>
      </c>
      <c r="P135" s="20" t="inlineStr"/>
      <c r="Q135" s="47" t="inlineStr"/>
      <c r="R135" s="16">
        <f>IF($C135="","",IFERROR(IF(INDEX(Deals!$U$2:$U$355,MATCH($C135,Deals!$A$2:$A$355,0))=0,"",INDEX(Deals!$U$2:$U$355,MATCH($C135,Deals!$A$2:$A$355,0))),""))</f>
        <v/>
      </c>
      <c r="S135" s="34">
        <f>IFERROR(IF($U135="",1,INDEX(Deals!$V$2:$V$355,MATCH($C135,Deals!$A$2:$A$355,0))),1)</f>
        <v/>
      </c>
      <c r="T135" s="34">
        <f>IFERROR(IF($U135="",1,INDEX(Deals!$W$2:$W$355,MATCH($C135,Deals!$A$2:$A$355,0))),1)</f>
        <v/>
      </c>
      <c r="U135" s="22">
        <f>IF($C135="","",IFERROR(IF(INDEX(Deals!$Y$2:$Y$355,MATCH($C135,Deals!$A$2:$A$355,0))=0,"",INDEX(Deals!$Y$2:$Y$355,MATCH($C135,Deals!$A$2:$A$355,0))),""))</f>
        <v/>
      </c>
      <c r="V135" s="35">
        <f>IF(OR($U135&lt;&gt;"",AND($AO135&gt;0,$L135&lt;&gt;"",$M135&lt;&gt;"")),$N135,DATE(1900,1,1))</f>
        <v/>
      </c>
      <c r="W135" s="35">
        <f>IF($U135&lt;&gt;"",$U135,IF(AND($AO135&gt;0,$L135&lt;&gt;"",$M135&lt;&gt;""),$O135,DATE(2100,12,31)))</f>
        <v/>
      </c>
      <c r="X135" s="32">
        <f>IF($U135="",$K135,$K135*$S135)</f>
        <v/>
      </c>
      <c r="Y135" s="35">
        <f>IF($U135="",DATE(2100,12,31),$U135+1)</f>
        <v/>
      </c>
      <c r="Z135" s="35">
        <f>IF($U135="",DATE(1900,1,1),$O135)</f>
        <v/>
      </c>
      <c r="AA135" s="32">
        <f>IF($U135="",0,$K135*$T135)</f>
        <v/>
      </c>
      <c r="AB135" s="21">
        <f>IF($C135="",0,IFERROR(INDEX(Deals!$AD$2:$AD$355,MATCH($C135,Deals!$A$2:$A$355,0)),0))</f>
        <v/>
      </c>
      <c r="AC135" s="32">
        <f>IF(Settings!$B$4="Yes",$I135*$AB135,$I135)</f>
        <v/>
      </c>
      <c r="AD135" s="22">
        <f>IF($C135="","",IFERROR(IF(INDEX(Deals!$AE$2:$AE$355,MATCH($C135,Deals!$A$2:$A$355,0))=0,"",INDEX(Deals!$AE$2:$AE$355,MATCH($C135,Deals!$A$2:$A$355,0))),""))</f>
        <v/>
      </c>
      <c r="AE135" s="22">
        <f>IF($C135="","",IFERROR(IF(INDEX(Deals!$AF$2:$AF$355,MATCH($C135,Deals!$A$2:$A$355,0))=0,"",INDEX(Deals!$AF$2:$AF$355,MATCH($C135,Deals!$A$2:$A$355,0))),""))</f>
        <v/>
      </c>
      <c r="AF135" s="35">
        <f>IF($AD135="",DATE(1900,1,1),$AD135)</f>
        <v/>
      </c>
      <c r="AG135" s="35">
        <f>IF($AE135="",DATE(2100,12,31),$AE135)</f>
        <v/>
      </c>
      <c r="AH135" s="22">
        <f>IF($C135="","",IFERROR(IF(INDEX(Deals!$AG$2:$AG$355,MATCH($C135,Deals!$A$2:$A$355,0))=0,"",INDEX(Deals!$AG$2:$AG$355,MATCH($C135,Deals!$A$2:$A$355,0))),""))</f>
        <v/>
      </c>
      <c r="AI135" s="35">
        <f>IF(OR($AH135&lt;&gt;"",AND($AO135&gt;0,$AD135&lt;&gt;"",$AE135&lt;&gt;"")),$AF135,DATE(1900,1,1))</f>
        <v/>
      </c>
      <c r="AJ135" s="35">
        <f>IF($AH135&lt;&gt;"",$AH135,IF(AND($AO135&gt;0,$AD135&lt;&gt;"",$AE135&lt;&gt;""),$AG135,DATE(2100,12,31)))</f>
        <v/>
      </c>
      <c r="AK135" s="32">
        <f>IF($AH135="",$AC135,$AC135*$S135)</f>
        <v/>
      </c>
      <c r="AL135" s="35">
        <f>IF($AH135="",DATE(2100,12,31),$AH135+1)</f>
        <v/>
      </c>
      <c r="AM135" s="35">
        <f>IF($AH135="",DATE(1900,1,1),$AG135)</f>
        <v/>
      </c>
      <c r="AN135" s="32">
        <f>IF($AH135="",0,$AC135*$T135)</f>
        <v/>
      </c>
      <c r="AO135" s="46">
        <f>IF($C135="",0,IFERROR(INDEX(Deals!$BD$2:$BD$355,MATCH($C135,Deals!$A$2:$A$355,0)),0))</f>
        <v/>
      </c>
      <c r="AP135" s="18">
        <f>IF($AO135=0,0,IFERROR(INDEX(Deals!$BJ$2:$BP$355,MATCH($C135,Deals!$A$2:$A$355,0),MATCH($F135,Deals!$BJ$1:$BP$1,0))/COUNTIFS(Assignments!$C$2:$C$769,$C135,Assignments!$F$2:$F$769,$F135,Assignments!$G$2:$G$769,"Active"),0))</f>
        <v/>
      </c>
    </row>
    <row r="136">
      <c r="A136" s="28" t="inlineStr">
        <is>
          <t>Zack</t>
        </is>
      </c>
      <c r="B136" s="16">
        <f>IF($A136="","",IFERROR(INDEX(Roster!$B$2:$B$40,MATCH($A136,Roster!$A$2:$A$40,0)),"?"))</f>
        <v/>
      </c>
      <c r="C136" s="28" t="inlineStr">
        <is>
          <t>Canyon_1</t>
        </is>
      </c>
      <c r="D136" s="16">
        <f>IF($C136="","",IFERROR(IF(INDEX(Deals!$C$2:$C$355,MATCH($C136,Deals!$A$2:$A$355,0))=0,"",INDEX(Deals!$C$2:$C$355,MATCH($C136,Deals!$A$2:$A$355,0))),"?"))</f>
        <v/>
      </c>
      <c r="E136" s="16">
        <f>IF($C136="","",IFERROR(INDEX(Deals!$F$2:$F$355,MATCH($C136,Deals!$A$2:$A$355,0)),"?"))</f>
        <v/>
      </c>
      <c r="F136" s="28" t="inlineStr">
        <is>
          <t>MD</t>
        </is>
      </c>
      <c r="G136" s="28" t="inlineStr">
        <is>
          <t>Inactive</t>
        </is>
      </c>
      <c r="H136" s="31" t="n"/>
      <c r="I136" s="32">
        <f>IF(OR($A136="",$G136&lt;&gt;"Active"),0,IF($H136&lt;&gt;"",$H136,IF($AO136&gt;0,$AP136,IF(AND($R136&lt;&gt;"",IFERROR(INDEX(Templates!$B$3:$H$10,MATCH($R136,Templates!$A$3:$A$10,0),MATCH($F136,Templates!$B$2:$H$2,0)),0)&gt;0),INDEX(Templates!$B$3:$H$10,MATCH($R136,Templates!$A$3:$A$10,0),MATCH($F136,Templates!$B$2:$H$2,0)),IFERROR(INDEX(Settings!$B$8:$B$14,MATCH($F136,Settings!$A$8:$A$14,0)),0)))))</f>
        <v/>
      </c>
      <c r="J136" s="21">
        <f>IF($C136="",0,IFERROR(INDEX(Deals!$H$2:$H$355,MATCH($C136,Deals!$A$2:$A$355,0)),0))</f>
        <v/>
      </c>
      <c r="K136" s="32">
        <f>IF(Settings!$B$4="Yes",$I136*$J136,$I136)</f>
        <v/>
      </c>
      <c r="L136" s="22">
        <f>IF($C136="","",IFERROR(IF(INDEX(Deals!$I$2:$I$355,MATCH($C136,Deals!$A$2:$A$355,0))=0,"",INDEX(Deals!$I$2:$I$355,MATCH($C136,Deals!$A$2:$A$355,0))),""))</f>
        <v/>
      </c>
      <c r="M136" s="22">
        <f>IF($C136="","",IFERROR(IF(INDEX(Deals!$J$2:$J$355,MATCH($C136,Deals!$A$2:$A$355,0))=0,"",INDEX(Deals!$J$2:$J$355,MATCH($C136,Deals!$A$2:$A$355,0))),""))</f>
        <v/>
      </c>
      <c r="N136" s="35">
        <f>IF($L136="",DATE(1900,1,1),$L136)</f>
        <v/>
      </c>
      <c r="O136" s="35">
        <f>IF($M136="",DATE(2100,12,31),$M136)</f>
        <v/>
      </c>
      <c r="P136" s="20" t="inlineStr"/>
      <c r="Q136" s="47" t="inlineStr">
        <is>
          <t>Deal lifecycle is Dead</t>
        </is>
      </c>
      <c r="R136" s="16">
        <f>IF($C136="","",IFERROR(IF(INDEX(Deals!$U$2:$U$355,MATCH($C136,Deals!$A$2:$A$355,0))=0,"",INDEX(Deals!$U$2:$U$355,MATCH($C136,Deals!$A$2:$A$355,0))),""))</f>
        <v/>
      </c>
      <c r="S136" s="34">
        <f>IFERROR(IF($U136="",1,INDEX(Deals!$V$2:$V$355,MATCH($C136,Deals!$A$2:$A$355,0))),1)</f>
        <v/>
      </c>
      <c r="T136" s="34">
        <f>IFERROR(IF($U136="",1,INDEX(Deals!$W$2:$W$355,MATCH($C136,Deals!$A$2:$A$355,0))),1)</f>
        <v/>
      </c>
      <c r="U136" s="22">
        <f>IF($C136="","",IFERROR(IF(INDEX(Deals!$Y$2:$Y$355,MATCH($C136,Deals!$A$2:$A$355,0))=0,"",INDEX(Deals!$Y$2:$Y$355,MATCH($C136,Deals!$A$2:$A$355,0))),""))</f>
        <v/>
      </c>
      <c r="V136" s="35">
        <f>IF(OR($U136&lt;&gt;"",AND($AO136&gt;0,$L136&lt;&gt;"",$M136&lt;&gt;"")),$N136,DATE(1900,1,1))</f>
        <v/>
      </c>
      <c r="W136" s="35">
        <f>IF($U136&lt;&gt;"",$U136,IF(AND($AO136&gt;0,$L136&lt;&gt;"",$M136&lt;&gt;""),$O136,DATE(2100,12,31)))</f>
        <v/>
      </c>
      <c r="X136" s="32">
        <f>IF($U136="",$K136,$K136*$S136)</f>
        <v/>
      </c>
      <c r="Y136" s="35">
        <f>IF($U136="",DATE(2100,12,31),$U136+1)</f>
        <v/>
      </c>
      <c r="Z136" s="35">
        <f>IF($U136="",DATE(1900,1,1),$O136)</f>
        <v/>
      </c>
      <c r="AA136" s="32">
        <f>IF($U136="",0,$K136*$T136)</f>
        <v/>
      </c>
      <c r="AB136" s="21">
        <f>IF($C136="",0,IFERROR(INDEX(Deals!$AD$2:$AD$355,MATCH($C136,Deals!$A$2:$A$355,0)),0))</f>
        <v/>
      </c>
      <c r="AC136" s="32">
        <f>IF(Settings!$B$4="Yes",$I136*$AB136,$I136)</f>
        <v/>
      </c>
      <c r="AD136" s="22">
        <f>IF($C136="","",IFERROR(IF(INDEX(Deals!$AE$2:$AE$355,MATCH($C136,Deals!$A$2:$A$355,0))=0,"",INDEX(Deals!$AE$2:$AE$355,MATCH($C136,Deals!$A$2:$A$355,0))),""))</f>
        <v/>
      </c>
      <c r="AE136" s="22">
        <f>IF($C136="","",IFERROR(IF(INDEX(Deals!$AF$2:$AF$355,MATCH($C136,Deals!$A$2:$A$355,0))=0,"",INDEX(Deals!$AF$2:$AF$355,MATCH($C136,Deals!$A$2:$A$355,0))),""))</f>
        <v/>
      </c>
      <c r="AF136" s="35">
        <f>IF($AD136="",DATE(1900,1,1),$AD136)</f>
        <v/>
      </c>
      <c r="AG136" s="35">
        <f>IF($AE136="",DATE(2100,12,31),$AE136)</f>
        <v/>
      </c>
      <c r="AH136" s="22">
        <f>IF($C136="","",IFERROR(IF(INDEX(Deals!$AG$2:$AG$355,MATCH($C136,Deals!$A$2:$A$355,0))=0,"",INDEX(Deals!$AG$2:$AG$355,MATCH($C136,Deals!$A$2:$A$355,0))),""))</f>
        <v/>
      </c>
      <c r="AI136" s="35">
        <f>IF(OR($AH136&lt;&gt;"",AND($AO136&gt;0,$AD136&lt;&gt;"",$AE136&lt;&gt;"")),$AF136,DATE(1900,1,1))</f>
        <v/>
      </c>
      <c r="AJ136" s="35">
        <f>IF($AH136&lt;&gt;"",$AH136,IF(AND($AO136&gt;0,$AD136&lt;&gt;"",$AE136&lt;&gt;""),$AG136,DATE(2100,12,31)))</f>
        <v/>
      </c>
      <c r="AK136" s="32">
        <f>IF($AH136="",$AC136,$AC136*$S136)</f>
        <v/>
      </c>
      <c r="AL136" s="35">
        <f>IF($AH136="",DATE(2100,12,31),$AH136+1)</f>
        <v/>
      </c>
      <c r="AM136" s="35">
        <f>IF($AH136="",DATE(1900,1,1),$AG136)</f>
        <v/>
      </c>
      <c r="AN136" s="32">
        <f>IF($AH136="",0,$AC136*$T136)</f>
        <v/>
      </c>
      <c r="AO136" s="46">
        <f>IF($C136="",0,IFERROR(INDEX(Deals!$BD$2:$BD$355,MATCH($C136,Deals!$A$2:$A$355,0)),0))</f>
        <v/>
      </c>
      <c r="AP136" s="18">
        <f>IF($AO136=0,0,IFERROR(INDEX(Deals!$BJ$2:$BP$355,MATCH($C136,Deals!$A$2:$A$355,0),MATCH($F136,Deals!$BJ$1:$BP$1,0))/COUNTIFS(Assignments!$C$2:$C$769,$C136,Assignments!$F$2:$F$769,$F136,Assignments!$G$2:$G$769,"Active"),0))</f>
        <v/>
      </c>
    </row>
    <row r="137">
      <c r="A137" s="28" t="inlineStr">
        <is>
          <t>Zack</t>
        </is>
      </c>
      <c r="B137" s="16">
        <f>IF($A137="","",IFERROR(INDEX(Roster!$B$2:$B$40,MATCH($A137,Roster!$A$2:$A$40,0)),"?"))</f>
        <v/>
      </c>
      <c r="C137" s="28" t="inlineStr">
        <is>
          <t>Challenger_1</t>
        </is>
      </c>
      <c r="D137" s="16">
        <f>IF($C137="","",IFERROR(IF(INDEX(Deals!$C$2:$C$355,MATCH($C137,Deals!$A$2:$A$355,0))=0,"",INDEX(Deals!$C$2:$C$355,MATCH($C137,Deals!$A$2:$A$355,0))),"?"))</f>
        <v/>
      </c>
      <c r="E137" s="16">
        <f>IF($C137="","",IFERROR(INDEX(Deals!$F$2:$F$355,MATCH($C137,Deals!$A$2:$A$355,0)),"?"))</f>
        <v/>
      </c>
      <c r="F137" s="28" t="inlineStr">
        <is>
          <t>MD</t>
        </is>
      </c>
      <c r="G137" s="28" t="inlineStr">
        <is>
          <t>Active</t>
        </is>
      </c>
      <c r="H137" s="31" t="n"/>
      <c r="I137" s="32">
        <f>IF(OR($A137="",$G137&lt;&gt;"Active"),0,IF($H137&lt;&gt;"",$H137,IF($AO137&gt;0,$AP137,IF(AND($R137&lt;&gt;"",IFERROR(INDEX(Templates!$B$3:$H$10,MATCH($R137,Templates!$A$3:$A$10,0),MATCH($F137,Templates!$B$2:$H$2,0)),0)&gt;0),INDEX(Templates!$B$3:$H$10,MATCH($R137,Templates!$A$3:$A$10,0),MATCH($F137,Templates!$B$2:$H$2,0)),IFERROR(INDEX(Settings!$B$8:$B$14,MATCH($F137,Settings!$A$8:$A$14,0)),0)))))</f>
        <v/>
      </c>
      <c r="J137" s="21">
        <f>IF($C137="",0,IFERROR(INDEX(Deals!$H$2:$H$355,MATCH($C137,Deals!$A$2:$A$355,0)),0))</f>
        <v/>
      </c>
      <c r="K137" s="32">
        <f>IF(Settings!$B$4="Yes",$I137*$J137,$I137)</f>
        <v/>
      </c>
      <c r="L137" s="22">
        <f>IF($C137="","",IFERROR(IF(INDEX(Deals!$I$2:$I$355,MATCH($C137,Deals!$A$2:$A$355,0))=0,"",INDEX(Deals!$I$2:$I$355,MATCH($C137,Deals!$A$2:$A$355,0))),""))</f>
        <v/>
      </c>
      <c r="M137" s="22">
        <f>IF($C137="","",IFERROR(IF(INDEX(Deals!$J$2:$J$355,MATCH($C137,Deals!$A$2:$A$355,0))=0,"",INDEX(Deals!$J$2:$J$355,MATCH($C137,Deals!$A$2:$A$355,0))),""))</f>
        <v/>
      </c>
      <c r="N137" s="35">
        <f>IF($L137="",DATE(1900,1,1),$L137)</f>
        <v/>
      </c>
      <c r="O137" s="35">
        <f>IF($M137="",DATE(2100,12,31),$M137)</f>
        <v/>
      </c>
      <c r="P137" s="20" t="inlineStr"/>
      <c r="Q137" s="47" t="inlineStr"/>
      <c r="R137" s="16">
        <f>IF($C137="","",IFERROR(IF(INDEX(Deals!$U$2:$U$355,MATCH($C137,Deals!$A$2:$A$355,0))=0,"",INDEX(Deals!$U$2:$U$355,MATCH($C137,Deals!$A$2:$A$355,0))),""))</f>
        <v/>
      </c>
      <c r="S137" s="34">
        <f>IFERROR(IF($U137="",1,INDEX(Deals!$V$2:$V$355,MATCH($C137,Deals!$A$2:$A$355,0))),1)</f>
        <v/>
      </c>
      <c r="T137" s="34">
        <f>IFERROR(IF($U137="",1,INDEX(Deals!$W$2:$W$355,MATCH($C137,Deals!$A$2:$A$355,0))),1)</f>
        <v/>
      </c>
      <c r="U137" s="22">
        <f>IF($C137="","",IFERROR(IF(INDEX(Deals!$Y$2:$Y$355,MATCH($C137,Deals!$A$2:$A$355,0))=0,"",INDEX(Deals!$Y$2:$Y$355,MATCH($C137,Deals!$A$2:$A$355,0))),""))</f>
        <v/>
      </c>
      <c r="V137" s="35">
        <f>IF(OR($U137&lt;&gt;"",AND($AO137&gt;0,$L137&lt;&gt;"",$M137&lt;&gt;"")),$N137,DATE(1900,1,1))</f>
        <v/>
      </c>
      <c r="W137" s="35">
        <f>IF($U137&lt;&gt;"",$U137,IF(AND($AO137&gt;0,$L137&lt;&gt;"",$M137&lt;&gt;""),$O137,DATE(2100,12,31)))</f>
        <v/>
      </c>
      <c r="X137" s="32">
        <f>IF($U137="",$K137,$K137*$S137)</f>
        <v/>
      </c>
      <c r="Y137" s="35">
        <f>IF($U137="",DATE(2100,12,31),$U137+1)</f>
        <v/>
      </c>
      <c r="Z137" s="35">
        <f>IF($U137="",DATE(1900,1,1),$O137)</f>
        <v/>
      </c>
      <c r="AA137" s="32">
        <f>IF($U137="",0,$K137*$T137)</f>
        <v/>
      </c>
      <c r="AB137" s="21">
        <f>IF($C137="",0,IFERROR(INDEX(Deals!$AD$2:$AD$355,MATCH($C137,Deals!$A$2:$A$355,0)),0))</f>
        <v/>
      </c>
      <c r="AC137" s="32">
        <f>IF(Settings!$B$4="Yes",$I137*$AB137,$I137)</f>
        <v/>
      </c>
      <c r="AD137" s="22">
        <f>IF($C137="","",IFERROR(IF(INDEX(Deals!$AE$2:$AE$355,MATCH($C137,Deals!$A$2:$A$355,0))=0,"",INDEX(Deals!$AE$2:$AE$355,MATCH($C137,Deals!$A$2:$A$355,0))),""))</f>
        <v/>
      </c>
      <c r="AE137" s="22">
        <f>IF($C137="","",IFERROR(IF(INDEX(Deals!$AF$2:$AF$355,MATCH($C137,Deals!$A$2:$A$355,0))=0,"",INDEX(Deals!$AF$2:$AF$355,MATCH($C137,Deals!$A$2:$A$355,0))),""))</f>
        <v/>
      </c>
      <c r="AF137" s="35">
        <f>IF($AD137="",DATE(1900,1,1),$AD137)</f>
        <v/>
      </c>
      <c r="AG137" s="35">
        <f>IF($AE137="",DATE(2100,12,31),$AE137)</f>
        <v/>
      </c>
      <c r="AH137" s="22">
        <f>IF($C137="","",IFERROR(IF(INDEX(Deals!$AG$2:$AG$355,MATCH($C137,Deals!$A$2:$A$355,0))=0,"",INDEX(Deals!$AG$2:$AG$355,MATCH($C137,Deals!$A$2:$A$355,0))),""))</f>
        <v/>
      </c>
      <c r="AI137" s="35">
        <f>IF(OR($AH137&lt;&gt;"",AND($AO137&gt;0,$AD137&lt;&gt;"",$AE137&lt;&gt;"")),$AF137,DATE(1900,1,1))</f>
        <v/>
      </c>
      <c r="AJ137" s="35">
        <f>IF($AH137&lt;&gt;"",$AH137,IF(AND($AO137&gt;0,$AD137&lt;&gt;"",$AE137&lt;&gt;""),$AG137,DATE(2100,12,31)))</f>
        <v/>
      </c>
      <c r="AK137" s="32">
        <f>IF($AH137="",$AC137,$AC137*$S137)</f>
        <v/>
      </c>
      <c r="AL137" s="35">
        <f>IF($AH137="",DATE(2100,12,31),$AH137+1)</f>
        <v/>
      </c>
      <c r="AM137" s="35">
        <f>IF($AH137="",DATE(1900,1,1),$AG137)</f>
        <v/>
      </c>
      <c r="AN137" s="32">
        <f>IF($AH137="",0,$AC137*$T137)</f>
        <v/>
      </c>
      <c r="AO137" s="46">
        <f>IF($C137="",0,IFERROR(INDEX(Deals!$BD$2:$BD$355,MATCH($C137,Deals!$A$2:$A$355,0)),0))</f>
        <v/>
      </c>
      <c r="AP137" s="18">
        <f>IF($AO137=0,0,IFERROR(INDEX(Deals!$BJ$2:$BP$355,MATCH($C137,Deals!$A$2:$A$355,0),MATCH($F137,Deals!$BJ$1:$BP$1,0))/COUNTIFS(Assignments!$C$2:$C$769,$C137,Assignments!$F$2:$F$769,$F137,Assignments!$G$2:$G$769,"Active"),0))</f>
        <v/>
      </c>
    </row>
    <row r="138">
      <c r="A138" s="28" t="inlineStr">
        <is>
          <t>Zack</t>
        </is>
      </c>
      <c r="B138" s="16">
        <f>IF($A138="","",IFERROR(INDEX(Roster!$B$2:$B$40,MATCH($A138,Roster!$A$2:$A$40,0)),"?"))</f>
        <v/>
      </c>
      <c r="C138" s="28" t="inlineStr">
        <is>
          <t>Cotton_1</t>
        </is>
      </c>
      <c r="D138" s="16">
        <f>IF($C138="","",IFERROR(IF(INDEX(Deals!$C$2:$C$355,MATCH($C138,Deals!$A$2:$A$355,0))=0,"",INDEX(Deals!$C$2:$C$355,MATCH($C138,Deals!$A$2:$A$355,0))),"?"))</f>
        <v/>
      </c>
      <c r="E138" s="16">
        <f>IF($C138="","",IFERROR(INDEX(Deals!$F$2:$F$355,MATCH($C138,Deals!$A$2:$A$355,0)),"?"))</f>
        <v/>
      </c>
      <c r="F138" s="28" t="inlineStr">
        <is>
          <t>MD</t>
        </is>
      </c>
      <c r="G138" s="28" t="inlineStr">
        <is>
          <t>Active</t>
        </is>
      </c>
      <c r="H138" s="31" t="n"/>
      <c r="I138" s="32">
        <f>IF(OR($A138="",$G138&lt;&gt;"Active"),0,IF($H138&lt;&gt;"",$H138,IF($AO138&gt;0,$AP138,IF(AND($R138&lt;&gt;"",IFERROR(INDEX(Templates!$B$3:$H$10,MATCH($R138,Templates!$A$3:$A$10,0),MATCH($F138,Templates!$B$2:$H$2,0)),0)&gt;0),INDEX(Templates!$B$3:$H$10,MATCH($R138,Templates!$A$3:$A$10,0),MATCH($F138,Templates!$B$2:$H$2,0)),IFERROR(INDEX(Settings!$B$8:$B$14,MATCH($F138,Settings!$A$8:$A$14,0)),0)))))</f>
        <v/>
      </c>
      <c r="J138" s="21">
        <f>IF($C138="",0,IFERROR(INDEX(Deals!$H$2:$H$355,MATCH($C138,Deals!$A$2:$A$355,0)),0))</f>
        <v/>
      </c>
      <c r="K138" s="32">
        <f>IF(Settings!$B$4="Yes",$I138*$J138,$I138)</f>
        <v/>
      </c>
      <c r="L138" s="22">
        <f>IF($C138="","",IFERROR(IF(INDEX(Deals!$I$2:$I$355,MATCH($C138,Deals!$A$2:$A$355,0))=0,"",INDEX(Deals!$I$2:$I$355,MATCH($C138,Deals!$A$2:$A$355,0))),""))</f>
        <v/>
      </c>
      <c r="M138" s="22">
        <f>IF($C138="","",IFERROR(IF(INDEX(Deals!$J$2:$J$355,MATCH($C138,Deals!$A$2:$A$355,0))=0,"",INDEX(Deals!$J$2:$J$355,MATCH($C138,Deals!$A$2:$A$355,0))),""))</f>
        <v/>
      </c>
      <c r="N138" s="35">
        <f>IF($L138="",DATE(1900,1,1),$L138)</f>
        <v/>
      </c>
      <c r="O138" s="35">
        <f>IF($M138="",DATE(2100,12,31),$M138)</f>
        <v/>
      </c>
      <c r="P138" s="20" t="inlineStr"/>
      <c r="Q138" s="47" t="inlineStr"/>
      <c r="R138" s="16">
        <f>IF($C138="","",IFERROR(IF(INDEX(Deals!$U$2:$U$355,MATCH($C138,Deals!$A$2:$A$355,0))=0,"",INDEX(Deals!$U$2:$U$355,MATCH($C138,Deals!$A$2:$A$355,0))),""))</f>
        <v/>
      </c>
      <c r="S138" s="34">
        <f>IFERROR(IF($U138="",1,INDEX(Deals!$V$2:$V$355,MATCH($C138,Deals!$A$2:$A$355,0))),1)</f>
        <v/>
      </c>
      <c r="T138" s="34">
        <f>IFERROR(IF($U138="",1,INDEX(Deals!$W$2:$W$355,MATCH($C138,Deals!$A$2:$A$355,0))),1)</f>
        <v/>
      </c>
      <c r="U138" s="22">
        <f>IF($C138="","",IFERROR(IF(INDEX(Deals!$Y$2:$Y$355,MATCH($C138,Deals!$A$2:$A$355,0))=0,"",INDEX(Deals!$Y$2:$Y$355,MATCH($C138,Deals!$A$2:$A$355,0))),""))</f>
        <v/>
      </c>
      <c r="V138" s="35">
        <f>IF(OR($U138&lt;&gt;"",AND($AO138&gt;0,$L138&lt;&gt;"",$M138&lt;&gt;"")),$N138,DATE(1900,1,1))</f>
        <v/>
      </c>
      <c r="W138" s="35">
        <f>IF($U138&lt;&gt;"",$U138,IF(AND($AO138&gt;0,$L138&lt;&gt;"",$M138&lt;&gt;""),$O138,DATE(2100,12,31)))</f>
        <v/>
      </c>
      <c r="X138" s="32">
        <f>IF($U138="",$K138,$K138*$S138)</f>
        <v/>
      </c>
      <c r="Y138" s="35">
        <f>IF($U138="",DATE(2100,12,31),$U138+1)</f>
        <v/>
      </c>
      <c r="Z138" s="35">
        <f>IF($U138="",DATE(1900,1,1),$O138)</f>
        <v/>
      </c>
      <c r="AA138" s="32">
        <f>IF($U138="",0,$K138*$T138)</f>
        <v/>
      </c>
      <c r="AB138" s="21">
        <f>IF($C138="",0,IFERROR(INDEX(Deals!$AD$2:$AD$355,MATCH($C138,Deals!$A$2:$A$355,0)),0))</f>
        <v/>
      </c>
      <c r="AC138" s="32">
        <f>IF(Settings!$B$4="Yes",$I138*$AB138,$I138)</f>
        <v/>
      </c>
      <c r="AD138" s="22">
        <f>IF($C138="","",IFERROR(IF(INDEX(Deals!$AE$2:$AE$355,MATCH($C138,Deals!$A$2:$A$355,0))=0,"",INDEX(Deals!$AE$2:$AE$355,MATCH($C138,Deals!$A$2:$A$355,0))),""))</f>
        <v/>
      </c>
      <c r="AE138" s="22">
        <f>IF($C138="","",IFERROR(IF(INDEX(Deals!$AF$2:$AF$355,MATCH($C138,Deals!$A$2:$A$355,0))=0,"",INDEX(Deals!$AF$2:$AF$355,MATCH($C138,Deals!$A$2:$A$355,0))),""))</f>
        <v/>
      </c>
      <c r="AF138" s="35">
        <f>IF($AD138="",DATE(1900,1,1),$AD138)</f>
        <v/>
      </c>
      <c r="AG138" s="35">
        <f>IF($AE138="",DATE(2100,12,31),$AE138)</f>
        <v/>
      </c>
      <c r="AH138" s="22">
        <f>IF($C138="","",IFERROR(IF(INDEX(Deals!$AG$2:$AG$355,MATCH($C138,Deals!$A$2:$A$355,0))=0,"",INDEX(Deals!$AG$2:$AG$355,MATCH($C138,Deals!$A$2:$A$355,0))),""))</f>
        <v/>
      </c>
      <c r="AI138" s="35">
        <f>IF(OR($AH138&lt;&gt;"",AND($AO138&gt;0,$AD138&lt;&gt;"",$AE138&lt;&gt;"")),$AF138,DATE(1900,1,1))</f>
        <v/>
      </c>
      <c r="AJ138" s="35">
        <f>IF($AH138&lt;&gt;"",$AH138,IF(AND($AO138&gt;0,$AD138&lt;&gt;"",$AE138&lt;&gt;""),$AG138,DATE(2100,12,31)))</f>
        <v/>
      </c>
      <c r="AK138" s="32">
        <f>IF($AH138="",$AC138,$AC138*$S138)</f>
        <v/>
      </c>
      <c r="AL138" s="35">
        <f>IF($AH138="",DATE(2100,12,31),$AH138+1)</f>
        <v/>
      </c>
      <c r="AM138" s="35">
        <f>IF($AH138="",DATE(1900,1,1),$AG138)</f>
        <v/>
      </c>
      <c r="AN138" s="32">
        <f>IF($AH138="",0,$AC138*$T138)</f>
        <v/>
      </c>
      <c r="AO138" s="46">
        <f>IF($C138="",0,IFERROR(INDEX(Deals!$BD$2:$BD$355,MATCH($C138,Deals!$A$2:$A$355,0)),0))</f>
        <v/>
      </c>
      <c r="AP138" s="18">
        <f>IF($AO138=0,0,IFERROR(INDEX(Deals!$BJ$2:$BP$355,MATCH($C138,Deals!$A$2:$A$355,0),MATCH($F138,Deals!$BJ$1:$BP$1,0))/COUNTIFS(Assignments!$C$2:$C$769,$C138,Assignments!$F$2:$F$769,$F138,Assignments!$G$2:$G$769,"Active"),0))</f>
        <v/>
      </c>
    </row>
    <row r="139">
      <c r="A139" s="28" t="inlineStr">
        <is>
          <t>Zack</t>
        </is>
      </c>
      <c r="B139" s="16">
        <f>IF($A139="","",IFERROR(INDEX(Roster!$B$2:$B$40,MATCH($A139,Roster!$A$2:$A$40,0)),"?"))</f>
        <v/>
      </c>
      <c r="C139" s="28" t="inlineStr">
        <is>
          <t>Denali_3</t>
        </is>
      </c>
      <c r="D139" s="16">
        <f>IF($C139="","",IFERROR(IF(INDEX(Deals!$C$2:$C$355,MATCH($C139,Deals!$A$2:$A$355,0))=0,"",INDEX(Deals!$C$2:$C$355,MATCH($C139,Deals!$A$2:$A$355,0))),"?"))</f>
        <v/>
      </c>
      <c r="E139" s="16">
        <f>IF($C139="","",IFERROR(INDEX(Deals!$F$2:$F$355,MATCH($C139,Deals!$A$2:$A$355,0)),"?"))</f>
        <v/>
      </c>
      <c r="F139" s="28" t="inlineStr">
        <is>
          <t>MD</t>
        </is>
      </c>
      <c r="G139" s="28" t="inlineStr">
        <is>
          <t>Active</t>
        </is>
      </c>
      <c r="H139" s="31" t="n"/>
      <c r="I139" s="32">
        <f>IF(OR($A139="",$G139&lt;&gt;"Active"),0,IF($H139&lt;&gt;"",$H139,IF($AO139&gt;0,$AP139,IF(AND($R139&lt;&gt;"",IFERROR(INDEX(Templates!$B$3:$H$10,MATCH($R139,Templates!$A$3:$A$10,0),MATCH($F139,Templates!$B$2:$H$2,0)),0)&gt;0),INDEX(Templates!$B$3:$H$10,MATCH($R139,Templates!$A$3:$A$10,0),MATCH($F139,Templates!$B$2:$H$2,0)),IFERROR(INDEX(Settings!$B$8:$B$14,MATCH($F139,Settings!$A$8:$A$14,0)),0)))))</f>
        <v/>
      </c>
      <c r="J139" s="21">
        <f>IF($C139="",0,IFERROR(INDEX(Deals!$H$2:$H$355,MATCH($C139,Deals!$A$2:$A$355,0)),0))</f>
        <v/>
      </c>
      <c r="K139" s="32">
        <f>IF(Settings!$B$4="Yes",$I139*$J139,$I139)</f>
        <v/>
      </c>
      <c r="L139" s="22">
        <f>IF($C139="","",IFERROR(IF(INDEX(Deals!$I$2:$I$355,MATCH($C139,Deals!$A$2:$A$355,0))=0,"",INDEX(Deals!$I$2:$I$355,MATCH($C139,Deals!$A$2:$A$355,0))),""))</f>
        <v/>
      </c>
      <c r="M139" s="22">
        <f>IF($C139="","",IFERROR(IF(INDEX(Deals!$J$2:$J$355,MATCH($C139,Deals!$A$2:$A$355,0))=0,"",INDEX(Deals!$J$2:$J$355,MATCH($C139,Deals!$A$2:$A$355,0))),""))</f>
        <v/>
      </c>
      <c r="N139" s="35">
        <f>IF($L139="",DATE(1900,1,1),$L139)</f>
        <v/>
      </c>
      <c r="O139" s="35">
        <f>IF($M139="",DATE(2100,12,31),$M139)</f>
        <v/>
      </c>
      <c r="P139" s="20" t="inlineStr"/>
      <c r="Q139" s="47" t="inlineStr"/>
      <c r="R139" s="16">
        <f>IF($C139="","",IFERROR(IF(INDEX(Deals!$U$2:$U$355,MATCH($C139,Deals!$A$2:$A$355,0))=0,"",INDEX(Deals!$U$2:$U$355,MATCH($C139,Deals!$A$2:$A$355,0))),""))</f>
        <v/>
      </c>
      <c r="S139" s="34">
        <f>IFERROR(IF($U139="",1,INDEX(Deals!$V$2:$V$355,MATCH($C139,Deals!$A$2:$A$355,0))),1)</f>
        <v/>
      </c>
      <c r="T139" s="34">
        <f>IFERROR(IF($U139="",1,INDEX(Deals!$W$2:$W$355,MATCH($C139,Deals!$A$2:$A$355,0))),1)</f>
        <v/>
      </c>
      <c r="U139" s="22">
        <f>IF($C139="","",IFERROR(IF(INDEX(Deals!$Y$2:$Y$355,MATCH($C139,Deals!$A$2:$A$355,0))=0,"",INDEX(Deals!$Y$2:$Y$355,MATCH($C139,Deals!$A$2:$A$355,0))),""))</f>
        <v/>
      </c>
      <c r="V139" s="35">
        <f>IF(OR($U139&lt;&gt;"",AND($AO139&gt;0,$L139&lt;&gt;"",$M139&lt;&gt;"")),$N139,DATE(1900,1,1))</f>
        <v/>
      </c>
      <c r="W139" s="35">
        <f>IF($U139&lt;&gt;"",$U139,IF(AND($AO139&gt;0,$L139&lt;&gt;"",$M139&lt;&gt;""),$O139,DATE(2100,12,31)))</f>
        <v/>
      </c>
      <c r="X139" s="32">
        <f>IF($U139="",$K139,$K139*$S139)</f>
        <v/>
      </c>
      <c r="Y139" s="35">
        <f>IF($U139="",DATE(2100,12,31),$U139+1)</f>
        <v/>
      </c>
      <c r="Z139" s="35">
        <f>IF($U139="",DATE(1900,1,1),$O139)</f>
        <v/>
      </c>
      <c r="AA139" s="32">
        <f>IF($U139="",0,$K139*$T139)</f>
        <v/>
      </c>
      <c r="AB139" s="21">
        <f>IF($C139="",0,IFERROR(INDEX(Deals!$AD$2:$AD$355,MATCH($C139,Deals!$A$2:$A$355,0)),0))</f>
        <v/>
      </c>
      <c r="AC139" s="32">
        <f>IF(Settings!$B$4="Yes",$I139*$AB139,$I139)</f>
        <v/>
      </c>
      <c r="AD139" s="22">
        <f>IF($C139="","",IFERROR(IF(INDEX(Deals!$AE$2:$AE$355,MATCH($C139,Deals!$A$2:$A$355,0))=0,"",INDEX(Deals!$AE$2:$AE$355,MATCH($C139,Deals!$A$2:$A$355,0))),""))</f>
        <v/>
      </c>
      <c r="AE139" s="22">
        <f>IF($C139="","",IFERROR(IF(INDEX(Deals!$AF$2:$AF$355,MATCH($C139,Deals!$A$2:$A$355,0))=0,"",INDEX(Deals!$AF$2:$AF$355,MATCH($C139,Deals!$A$2:$A$355,0))),""))</f>
        <v/>
      </c>
      <c r="AF139" s="35">
        <f>IF($AD139="",DATE(1900,1,1),$AD139)</f>
        <v/>
      </c>
      <c r="AG139" s="35">
        <f>IF($AE139="",DATE(2100,12,31),$AE139)</f>
        <v/>
      </c>
      <c r="AH139" s="22">
        <f>IF($C139="","",IFERROR(IF(INDEX(Deals!$AG$2:$AG$355,MATCH($C139,Deals!$A$2:$A$355,0))=0,"",INDEX(Deals!$AG$2:$AG$355,MATCH($C139,Deals!$A$2:$A$355,0))),""))</f>
        <v/>
      </c>
      <c r="AI139" s="35">
        <f>IF(OR($AH139&lt;&gt;"",AND($AO139&gt;0,$AD139&lt;&gt;"",$AE139&lt;&gt;"")),$AF139,DATE(1900,1,1))</f>
        <v/>
      </c>
      <c r="AJ139" s="35">
        <f>IF($AH139&lt;&gt;"",$AH139,IF(AND($AO139&gt;0,$AD139&lt;&gt;"",$AE139&lt;&gt;""),$AG139,DATE(2100,12,31)))</f>
        <v/>
      </c>
      <c r="AK139" s="32">
        <f>IF($AH139="",$AC139,$AC139*$S139)</f>
        <v/>
      </c>
      <c r="AL139" s="35">
        <f>IF($AH139="",DATE(2100,12,31),$AH139+1)</f>
        <v/>
      </c>
      <c r="AM139" s="35">
        <f>IF($AH139="",DATE(1900,1,1),$AG139)</f>
        <v/>
      </c>
      <c r="AN139" s="32">
        <f>IF($AH139="",0,$AC139*$T139)</f>
        <v/>
      </c>
      <c r="AO139" s="46">
        <f>IF($C139="",0,IFERROR(INDEX(Deals!$BD$2:$BD$355,MATCH($C139,Deals!$A$2:$A$355,0)),0))</f>
        <v/>
      </c>
      <c r="AP139" s="18">
        <f>IF($AO139=0,0,IFERROR(INDEX(Deals!$BJ$2:$BP$355,MATCH($C139,Deals!$A$2:$A$355,0),MATCH($F139,Deals!$BJ$1:$BP$1,0))/COUNTIFS(Assignments!$C$2:$C$769,$C139,Assignments!$F$2:$F$769,$F139,Assignments!$G$2:$G$769,"Active"),0))</f>
        <v/>
      </c>
    </row>
    <row r="140">
      <c r="A140" s="28" t="inlineStr">
        <is>
          <t>Zack</t>
        </is>
      </c>
      <c r="B140" s="16">
        <f>IF($A140="","",IFERROR(INDEX(Roster!$B$2:$B$40,MATCH($A140,Roster!$A$2:$A$40,0)),"?"))</f>
        <v/>
      </c>
      <c r="C140" s="28" t="inlineStr">
        <is>
          <t>Fengate_4</t>
        </is>
      </c>
      <c r="D140" s="16">
        <f>IF($C140="","",IFERROR(IF(INDEX(Deals!$C$2:$C$355,MATCH($C140,Deals!$A$2:$A$355,0))=0,"",INDEX(Deals!$C$2:$C$355,MATCH($C140,Deals!$A$2:$A$355,0))),"?"))</f>
        <v/>
      </c>
      <c r="E140" s="16">
        <f>IF($C140="","",IFERROR(INDEX(Deals!$F$2:$F$355,MATCH($C140,Deals!$A$2:$A$355,0)),"?"))</f>
        <v/>
      </c>
      <c r="F140" s="28" t="inlineStr">
        <is>
          <t>MD</t>
        </is>
      </c>
      <c r="G140" s="28" t="inlineStr">
        <is>
          <t>Active</t>
        </is>
      </c>
      <c r="H140" s="31" t="n"/>
      <c r="I140" s="32">
        <f>IF(OR($A140="",$G140&lt;&gt;"Active"),0,IF($H140&lt;&gt;"",$H140,IF($AO140&gt;0,$AP140,IF(AND($R140&lt;&gt;"",IFERROR(INDEX(Templates!$B$3:$H$10,MATCH($R140,Templates!$A$3:$A$10,0),MATCH($F140,Templates!$B$2:$H$2,0)),0)&gt;0),INDEX(Templates!$B$3:$H$10,MATCH($R140,Templates!$A$3:$A$10,0),MATCH($F140,Templates!$B$2:$H$2,0)),IFERROR(INDEX(Settings!$B$8:$B$14,MATCH($F140,Settings!$A$8:$A$14,0)),0)))))</f>
        <v/>
      </c>
      <c r="J140" s="21">
        <f>IF($C140="",0,IFERROR(INDEX(Deals!$H$2:$H$355,MATCH($C140,Deals!$A$2:$A$355,0)),0))</f>
        <v/>
      </c>
      <c r="K140" s="32">
        <f>IF(Settings!$B$4="Yes",$I140*$J140,$I140)</f>
        <v/>
      </c>
      <c r="L140" s="22">
        <f>IF($C140="","",IFERROR(IF(INDEX(Deals!$I$2:$I$355,MATCH($C140,Deals!$A$2:$A$355,0))=0,"",INDEX(Deals!$I$2:$I$355,MATCH($C140,Deals!$A$2:$A$355,0))),""))</f>
        <v/>
      </c>
      <c r="M140" s="22">
        <f>IF($C140="","",IFERROR(IF(INDEX(Deals!$J$2:$J$355,MATCH($C140,Deals!$A$2:$A$355,0))=0,"",INDEX(Deals!$J$2:$J$355,MATCH($C140,Deals!$A$2:$A$355,0))),""))</f>
        <v/>
      </c>
      <c r="N140" s="35">
        <f>IF($L140="",DATE(1900,1,1),$L140)</f>
        <v/>
      </c>
      <c r="O140" s="35">
        <f>IF($M140="",DATE(2100,12,31),$M140)</f>
        <v/>
      </c>
      <c r="P140" s="20" t="inlineStr"/>
      <c r="Q140" s="47" t="inlineStr"/>
      <c r="R140" s="16">
        <f>IF($C140="","",IFERROR(IF(INDEX(Deals!$U$2:$U$355,MATCH($C140,Deals!$A$2:$A$355,0))=0,"",INDEX(Deals!$U$2:$U$355,MATCH($C140,Deals!$A$2:$A$355,0))),""))</f>
        <v/>
      </c>
      <c r="S140" s="34">
        <f>IFERROR(IF($U140="",1,INDEX(Deals!$V$2:$V$355,MATCH($C140,Deals!$A$2:$A$355,0))),1)</f>
        <v/>
      </c>
      <c r="T140" s="34">
        <f>IFERROR(IF($U140="",1,INDEX(Deals!$W$2:$W$355,MATCH($C140,Deals!$A$2:$A$355,0))),1)</f>
        <v/>
      </c>
      <c r="U140" s="22">
        <f>IF($C140="","",IFERROR(IF(INDEX(Deals!$Y$2:$Y$355,MATCH($C140,Deals!$A$2:$A$355,0))=0,"",INDEX(Deals!$Y$2:$Y$355,MATCH($C140,Deals!$A$2:$A$355,0))),""))</f>
        <v/>
      </c>
      <c r="V140" s="35">
        <f>IF(OR($U140&lt;&gt;"",AND($AO140&gt;0,$L140&lt;&gt;"",$M140&lt;&gt;"")),$N140,DATE(1900,1,1))</f>
        <v/>
      </c>
      <c r="W140" s="35">
        <f>IF($U140&lt;&gt;"",$U140,IF(AND($AO140&gt;0,$L140&lt;&gt;"",$M140&lt;&gt;""),$O140,DATE(2100,12,31)))</f>
        <v/>
      </c>
      <c r="X140" s="32">
        <f>IF($U140="",$K140,$K140*$S140)</f>
        <v/>
      </c>
      <c r="Y140" s="35">
        <f>IF($U140="",DATE(2100,12,31),$U140+1)</f>
        <v/>
      </c>
      <c r="Z140" s="35">
        <f>IF($U140="",DATE(1900,1,1),$O140)</f>
        <v/>
      </c>
      <c r="AA140" s="32">
        <f>IF($U140="",0,$K140*$T140)</f>
        <v/>
      </c>
      <c r="AB140" s="21">
        <f>IF($C140="",0,IFERROR(INDEX(Deals!$AD$2:$AD$355,MATCH($C140,Deals!$A$2:$A$355,0)),0))</f>
        <v/>
      </c>
      <c r="AC140" s="32">
        <f>IF(Settings!$B$4="Yes",$I140*$AB140,$I140)</f>
        <v/>
      </c>
      <c r="AD140" s="22">
        <f>IF($C140="","",IFERROR(IF(INDEX(Deals!$AE$2:$AE$355,MATCH($C140,Deals!$A$2:$A$355,0))=0,"",INDEX(Deals!$AE$2:$AE$355,MATCH($C140,Deals!$A$2:$A$355,0))),""))</f>
        <v/>
      </c>
      <c r="AE140" s="22">
        <f>IF($C140="","",IFERROR(IF(INDEX(Deals!$AF$2:$AF$355,MATCH($C140,Deals!$A$2:$A$355,0))=0,"",INDEX(Deals!$AF$2:$AF$355,MATCH($C140,Deals!$A$2:$A$355,0))),""))</f>
        <v/>
      </c>
      <c r="AF140" s="35">
        <f>IF($AD140="",DATE(1900,1,1),$AD140)</f>
        <v/>
      </c>
      <c r="AG140" s="35">
        <f>IF($AE140="",DATE(2100,12,31),$AE140)</f>
        <v/>
      </c>
      <c r="AH140" s="22">
        <f>IF($C140="","",IFERROR(IF(INDEX(Deals!$AG$2:$AG$355,MATCH($C140,Deals!$A$2:$A$355,0))=0,"",INDEX(Deals!$AG$2:$AG$355,MATCH($C140,Deals!$A$2:$A$355,0))),""))</f>
        <v/>
      </c>
      <c r="AI140" s="35">
        <f>IF(OR($AH140&lt;&gt;"",AND($AO140&gt;0,$AD140&lt;&gt;"",$AE140&lt;&gt;"")),$AF140,DATE(1900,1,1))</f>
        <v/>
      </c>
      <c r="AJ140" s="35">
        <f>IF($AH140&lt;&gt;"",$AH140,IF(AND($AO140&gt;0,$AD140&lt;&gt;"",$AE140&lt;&gt;""),$AG140,DATE(2100,12,31)))</f>
        <v/>
      </c>
      <c r="AK140" s="32">
        <f>IF($AH140="",$AC140,$AC140*$S140)</f>
        <v/>
      </c>
      <c r="AL140" s="35">
        <f>IF($AH140="",DATE(2100,12,31),$AH140+1)</f>
        <v/>
      </c>
      <c r="AM140" s="35">
        <f>IF($AH140="",DATE(1900,1,1),$AG140)</f>
        <v/>
      </c>
      <c r="AN140" s="32">
        <f>IF($AH140="",0,$AC140*$T140)</f>
        <v/>
      </c>
      <c r="AO140" s="46">
        <f>IF($C140="",0,IFERROR(INDEX(Deals!$BD$2:$BD$355,MATCH($C140,Deals!$A$2:$A$355,0)),0))</f>
        <v/>
      </c>
      <c r="AP140" s="18">
        <f>IF($AO140=0,0,IFERROR(INDEX(Deals!$BJ$2:$BP$355,MATCH($C140,Deals!$A$2:$A$355,0),MATCH($F140,Deals!$BJ$1:$BP$1,0))/COUNTIFS(Assignments!$C$2:$C$769,$C140,Assignments!$F$2:$F$769,$F140,Assignments!$G$2:$G$769,"Active"),0))</f>
        <v/>
      </c>
    </row>
    <row r="141">
      <c r="A141" s="28" t="inlineStr">
        <is>
          <t>Zack</t>
        </is>
      </c>
      <c r="B141" s="16">
        <f>IF($A141="","",IFERROR(INDEX(Roster!$B$2:$B$40,MATCH($A141,Roster!$A$2:$A$40,0)),"?"))</f>
        <v/>
      </c>
      <c r="C141" s="28" t="inlineStr">
        <is>
          <t>FIRPTA_Sunraycer_1</t>
        </is>
      </c>
      <c r="D141" s="16">
        <f>IF($C141="","",IFERROR(IF(INDEX(Deals!$C$2:$C$355,MATCH($C141,Deals!$A$2:$A$355,0))=0,"",INDEX(Deals!$C$2:$C$355,MATCH($C141,Deals!$A$2:$A$355,0))),"?"))</f>
        <v/>
      </c>
      <c r="E141" s="16">
        <f>IF($C141="","",IFERROR(INDEX(Deals!$F$2:$F$355,MATCH($C141,Deals!$A$2:$A$355,0)),"?"))</f>
        <v/>
      </c>
      <c r="F141" s="28" t="inlineStr">
        <is>
          <t>MD</t>
        </is>
      </c>
      <c r="G141" s="28" t="inlineStr">
        <is>
          <t>Active</t>
        </is>
      </c>
      <c r="H141" s="31" t="n"/>
      <c r="I141" s="32">
        <f>IF(OR($A141="",$G141&lt;&gt;"Active"),0,IF($H141&lt;&gt;"",$H141,IF($AO141&gt;0,$AP141,IF(AND($R141&lt;&gt;"",IFERROR(INDEX(Templates!$B$3:$H$10,MATCH($R141,Templates!$A$3:$A$10,0),MATCH($F141,Templates!$B$2:$H$2,0)),0)&gt;0),INDEX(Templates!$B$3:$H$10,MATCH($R141,Templates!$A$3:$A$10,0),MATCH($F141,Templates!$B$2:$H$2,0)),IFERROR(INDEX(Settings!$B$8:$B$14,MATCH($F141,Settings!$A$8:$A$14,0)),0)))))</f>
        <v/>
      </c>
      <c r="J141" s="21">
        <f>IF($C141="",0,IFERROR(INDEX(Deals!$H$2:$H$355,MATCH($C141,Deals!$A$2:$A$355,0)),0))</f>
        <v/>
      </c>
      <c r="K141" s="32">
        <f>IF(Settings!$B$4="Yes",$I141*$J141,$I141)</f>
        <v/>
      </c>
      <c r="L141" s="22">
        <f>IF($C141="","",IFERROR(IF(INDEX(Deals!$I$2:$I$355,MATCH($C141,Deals!$A$2:$A$355,0))=0,"",INDEX(Deals!$I$2:$I$355,MATCH($C141,Deals!$A$2:$A$355,0))),""))</f>
        <v/>
      </c>
      <c r="M141" s="22">
        <f>IF($C141="","",IFERROR(IF(INDEX(Deals!$J$2:$J$355,MATCH($C141,Deals!$A$2:$A$355,0))=0,"",INDEX(Deals!$J$2:$J$355,MATCH($C141,Deals!$A$2:$A$355,0))),""))</f>
        <v/>
      </c>
      <c r="N141" s="35">
        <f>IF($L141="",DATE(1900,1,1),$L141)</f>
        <v/>
      </c>
      <c r="O141" s="35">
        <f>IF($M141="",DATE(2100,12,31),$M141)</f>
        <v/>
      </c>
      <c r="P141" s="20" t="inlineStr"/>
      <c r="Q141" s="47" t="inlineStr"/>
      <c r="R141" s="16">
        <f>IF($C141="","",IFERROR(IF(INDEX(Deals!$U$2:$U$355,MATCH($C141,Deals!$A$2:$A$355,0))=0,"",INDEX(Deals!$U$2:$U$355,MATCH($C141,Deals!$A$2:$A$355,0))),""))</f>
        <v/>
      </c>
      <c r="S141" s="34">
        <f>IFERROR(IF($U141="",1,INDEX(Deals!$V$2:$V$355,MATCH($C141,Deals!$A$2:$A$355,0))),1)</f>
        <v/>
      </c>
      <c r="T141" s="34">
        <f>IFERROR(IF($U141="",1,INDEX(Deals!$W$2:$W$355,MATCH($C141,Deals!$A$2:$A$355,0))),1)</f>
        <v/>
      </c>
      <c r="U141" s="22">
        <f>IF($C141="","",IFERROR(IF(INDEX(Deals!$Y$2:$Y$355,MATCH($C141,Deals!$A$2:$A$355,0))=0,"",INDEX(Deals!$Y$2:$Y$355,MATCH($C141,Deals!$A$2:$A$355,0))),""))</f>
        <v/>
      </c>
      <c r="V141" s="35">
        <f>IF(OR($U141&lt;&gt;"",AND($AO141&gt;0,$L141&lt;&gt;"",$M141&lt;&gt;"")),$N141,DATE(1900,1,1))</f>
        <v/>
      </c>
      <c r="W141" s="35">
        <f>IF($U141&lt;&gt;"",$U141,IF(AND($AO141&gt;0,$L141&lt;&gt;"",$M141&lt;&gt;""),$O141,DATE(2100,12,31)))</f>
        <v/>
      </c>
      <c r="X141" s="32">
        <f>IF($U141="",$K141,$K141*$S141)</f>
        <v/>
      </c>
      <c r="Y141" s="35">
        <f>IF($U141="",DATE(2100,12,31),$U141+1)</f>
        <v/>
      </c>
      <c r="Z141" s="35">
        <f>IF($U141="",DATE(1900,1,1),$O141)</f>
        <v/>
      </c>
      <c r="AA141" s="32">
        <f>IF($U141="",0,$K141*$T141)</f>
        <v/>
      </c>
      <c r="AB141" s="21">
        <f>IF($C141="",0,IFERROR(INDEX(Deals!$AD$2:$AD$355,MATCH($C141,Deals!$A$2:$A$355,0)),0))</f>
        <v/>
      </c>
      <c r="AC141" s="32">
        <f>IF(Settings!$B$4="Yes",$I141*$AB141,$I141)</f>
        <v/>
      </c>
      <c r="AD141" s="22">
        <f>IF($C141="","",IFERROR(IF(INDEX(Deals!$AE$2:$AE$355,MATCH($C141,Deals!$A$2:$A$355,0))=0,"",INDEX(Deals!$AE$2:$AE$355,MATCH($C141,Deals!$A$2:$A$355,0))),""))</f>
        <v/>
      </c>
      <c r="AE141" s="22">
        <f>IF($C141="","",IFERROR(IF(INDEX(Deals!$AF$2:$AF$355,MATCH($C141,Deals!$A$2:$A$355,0))=0,"",INDEX(Deals!$AF$2:$AF$355,MATCH($C141,Deals!$A$2:$A$355,0))),""))</f>
        <v/>
      </c>
      <c r="AF141" s="35">
        <f>IF($AD141="",DATE(1900,1,1),$AD141)</f>
        <v/>
      </c>
      <c r="AG141" s="35">
        <f>IF($AE141="",DATE(2100,12,31),$AE141)</f>
        <v/>
      </c>
      <c r="AH141" s="22">
        <f>IF($C141="","",IFERROR(IF(INDEX(Deals!$AG$2:$AG$355,MATCH($C141,Deals!$A$2:$A$355,0))=0,"",INDEX(Deals!$AG$2:$AG$355,MATCH($C141,Deals!$A$2:$A$355,0))),""))</f>
        <v/>
      </c>
      <c r="AI141" s="35">
        <f>IF(OR($AH141&lt;&gt;"",AND($AO141&gt;0,$AD141&lt;&gt;"",$AE141&lt;&gt;"")),$AF141,DATE(1900,1,1))</f>
        <v/>
      </c>
      <c r="AJ141" s="35">
        <f>IF($AH141&lt;&gt;"",$AH141,IF(AND($AO141&gt;0,$AD141&lt;&gt;"",$AE141&lt;&gt;""),$AG141,DATE(2100,12,31)))</f>
        <v/>
      </c>
      <c r="AK141" s="32">
        <f>IF($AH141="",$AC141,$AC141*$S141)</f>
        <v/>
      </c>
      <c r="AL141" s="35">
        <f>IF($AH141="",DATE(2100,12,31),$AH141+1)</f>
        <v/>
      </c>
      <c r="AM141" s="35">
        <f>IF($AH141="",DATE(1900,1,1),$AG141)</f>
        <v/>
      </c>
      <c r="AN141" s="32">
        <f>IF($AH141="",0,$AC141*$T141)</f>
        <v/>
      </c>
      <c r="AO141" s="46">
        <f>IF($C141="",0,IFERROR(INDEX(Deals!$BD$2:$BD$355,MATCH($C141,Deals!$A$2:$A$355,0)),0))</f>
        <v/>
      </c>
      <c r="AP141" s="18">
        <f>IF($AO141=0,0,IFERROR(INDEX(Deals!$BJ$2:$BP$355,MATCH($C141,Deals!$A$2:$A$355,0),MATCH($F141,Deals!$BJ$1:$BP$1,0))/COUNTIFS(Assignments!$C$2:$C$769,$C141,Assignments!$F$2:$F$769,$F141,Assignments!$G$2:$G$769,"Active"),0))</f>
        <v/>
      </c>
    </row>
    <row r="142">
      <c r="A142" s="28" t="inlineStr">
        <is>
          <t>Zack</t>
        </is>
      </c>
      <c r="B142" s="16">
        <f>IF($A142="","",IFERROR(INDEX(Roster!$B$2:$B$40,MATCH($A142,Roster!$A$2:$A$40,0)),"?"))</f>
        <v/>
      </c>
      <c r="C142" s="28" t="inlineStr">
        <is>
          <t>Fortress_3</t>
        </is>
      </c>
      <c r="D142" s="16">
        <f>IF($C142="","",IFERROR(IF(INDEX(Deals!$C$2:$C$355,MATCH($C142,Deals!$A$2:$A$355,0))=0,"",INDEX(Deals!$C$2:$C$355,MATCH($C142,Deals!$A$2:$A$355,0))),"?"))</f>
        <v/>
      </c>
      <c r="E142" s="16">
        <f>IF($C142="","",IFERROR(INDEX(Deals!$F$2:$F$355,MATCH($C142,Deals!$A$2:$A$355,0)),"?"))</f>
        <v/>
      </c>
      <c r="F142" s="28" t="inlineStr">
        <is>
          <t>MD</t>
        </is>
      </c>
      <c r="G142" s="28" t="inlineStr">
        <is>
          <t>Active</t>
        </is>
      </c>
      <c r="H142" s="31" t="n"/>
      <c r="I142" s="32">
        <f>IF(OR($A142="",$G142&lt;&gt;"Active"),0,IF($H142&lt;&gt;"",$H142,IF($AO142&gt;0,$AP142,IF(AND($R142&lt;&gt;"",IFERROR(INDEX(Templates!$B$3:$H$10,MATCH($R142,Templates!$A$3:$A$10,0),MATCH($F142,Templates!$B$2:$H$2,0)),0)&gt;0),INDEX(Templates!$B$3:$H$10,MATCH($R142,Templates!$A$3:$A$10,0),MATCH($F142,Templates!$B$2:$H$2,0)),IFERROR(INDEX(Settings!$B$8:$B$14,MATCH($F142,Settings!$A$8:$A$14,0)),0)))))</f>
        <v/>
      </c>
      <c r="J142" s="21">
        <f>IF($C142="",0,IFERROR(INDEX(Deals!$H$2:$H$355,MATCH($C142,Deals!$A$2:$A$355,0)),0))</f>
        <v/>
      </c>
      <c r="K142" s="32">
        <f>IF(Settings!$B$4="Yes",$I142*$J142,$I142)</f>
        <v/>
      </c>
      <c r="L142" s="22">
        <f>IF($C142="","",IFERROR(IF(INDEX(Deals!$I$2:$I$355,MATCH($C142,Deals!$A$2:$A$355,0))=0,"",INDEX(Deals!$I$2:$I$355,MATCH($C142,Deals!$A$2:$A$355,0))),""))</f>
        <v/>
      </c>
      <c r="M142" s="22">
        <f>IF($C142="","",IFERROR(IF(INDEX(Deals!$J$2:$J$355,MATCH($C142,Deals!$A$2:$A$355,0))=0,"",INDEX(Deals!$J$2:$J$355,MATCH($C142,Deals!$A$2:$A$355,0))),""))</f>
        <v/>
      </c>
      <c r="N142" s="35">
        <f>IF($L142="",DATE(1900,1,1),$L142)</f>
        <v/>
      </c>
      <c r="O142" s="35">
        <f>IF($M142="",DATE(2100,12,31),$M142)</f>
        <v/>
      </c>
      <c r="P142" s="20" t="inlineStr"/>
      <c r="Q142" s="47" t="inlineStr"/>
      <c r="R142" s="16">
        <f>IF($C142="","",IFERROR(IF(INDEX(Deals!$U$2:$U$355,MATCH($C142,Deals!$A$2:$A$355,0))=0,"",INDEX(Deals!$U$2:$U$355,MATCH($C142,Deals!$A$2:$A$355,0))),""))</f>
        <v/>
      </c>
      <c r="S142" s="34">
        <f>IFERROR(IF($U142="",1,INDEX(Deals!$V$2:$V$355,MATCH($C142,Deals!$A$2:$A$355,0))),1)</f>
        <v/>
      </c>
      <c r="T142" s="34">
        <f>IFERROR(IF($U142="",1,INDEX(Deals!$W$2:$W$355,MATCH($C142,Deals!$A$2:$A$355,0))),1)</f>
        <v/>
      </c>
      <c r="U142" s="22">
        <f>IF($C142="","",IFERROR(IF(INDEX(Deals!$Y$2:$Y$355,MATCH($C142,Deals!$A$2:$A$355,0))=0,"",INDEX(Deals!$Y$2:$Y$355,MATCH($C142,Deals!$A$2:$A$355,0))),""))</f>
        <v/>
      </c>
      <c r="V142" s="35">
        <f>IF(OR($U142&lt;&gt;"",AND($AO142&gt;0,$L142&lt;&gt;"",$M142&lt;&gt;"")),$N142,DATE(1900,1,1))</f>
        <v/>
      </c>
      <c r="W142" s="35">
        <f>IF($U142&lt;&gt;"",$U142,IF(AND($AO142&gt;0,$L142&lt;&gt;"",$M142&lt;&gt;""),$O142,DATE(2100,12,31)))</f>
        <v/>
      </c>
      <c r="X142" s="32">
        <f>IF($U142="",$K142,$K142*$S142)</f>
        <v/>
      </c>
      <c r="Y142" s="35">
        <f>IF($U142="",DATE(2100,12,31),$U142+1)</f>
        <v/>
      </c>
      <c r="Z142" s="35">
        <f>IF($U142="",DATE(1900,1,1),$O142)</f>
        <v/>
      </c>
      <c r="AA142" s="32">
        <f>IF($U142="",0,$K142*$T142)</f>
        <v/>
      </c>
      <c r="AB142" s="21">
        <f>IF($C142="",0,IFERROR(INDEX(Deals!$AD$2:$AD$355,MATCH($C142,Deals!$A$2:$A$355,0)),0))</f>
        <v/>
      </c>
      <c r="AC142" s="32">
        <f>IF(Settings!$B$4="Yes",$I142*$AB142,$I142)</f>
        <v/>
      </c>
      <c r="AD142" s="22">
        <f>IF($C142="","",IFERROR(IF(INDEX(Deals!$AE$2:$AE$355,MATCH($C142,Deals!$A$2:$A$355,0))=0,"",INDEX(Deals!$AE$2:$AE$355,MATCH($C142,Deals!$A$2:$A$355,0))),""))</f>
        <v/>
      </c>
      <c r="AE142" s="22">
        <f>IF($C142="","",IFERROR(IF(INDEX(Deals!$AF$2:$AF$355,MATCH($C142,Deals!$A$2:$A$355,0))=0,"",INDEX(Deals!$AF$2:$AF$355,MATCH($C142,Deals!$A$2:$A$355,0))),""))</f>
        <v/>
      </c>
      <c r="AF142" s="35">
        <f>IF($AD142="",DATE(1900,1,1),$AD142)</f>
        <v/>
      </c>
      <c r="AG142" s="35">
        <f>IF($AE142="",DATE(2100,12,31),$AE142)</f>
        <v/>
      </c>
      <c r="AH142" s="22">
        <f>IF($C142="","",IFERROR(IF(INDEX(Deals!$AG$2:$AG$355,MATCH($C142,Deals!$A$2:$A$355,0))=0,"",INDEX(Deals!$AG$2:$AG$355,MATCH($C142,Deals!$A$2:$A$355,0))),""))</f>
        <v/>
      </c>
      <c r="AI142" s="35">
        <f>IF(OR($AH142&lt;&gt;"",AND($AO142&gt;0,$AD142&lt;&gt;"",$AE142&lt;&gt;"")),$AF142,DATE(1900,1,1))</f>
        <v/>
      </c>
      <c r="AJ142" s="35">
        <f>IF($AH142&lt;&gt;"",$AH142,IF(AND($AO142&gt;0,$AD142&lt;&gt;"",$AE142&lt;&gt;""),$AG142,DATE(2100,12,31)))</f>
        <v/>
      </c>
      <c r="AK142" s="32">
        <f>IF($AH142="",$AC142,$AC142*$S142)</f>
        <v/>
      </c>
      <c r="AL142" s="35">
        <f>IF($AH142="",DATE(2100,12,31),$AH142+1)</f>
        <v/>
      </c>
      <c r="AM142" s="35">
        <f>IF($AH142="",DATE(1900,1,1),$AG142)</f>
        <v/>
      </c>
      <c r="AN142" s="32">
        <f>IF($AH142="",0,$AC142*$T142)</f>
        <v/>
      </c>
      <c r="AO142" s="46">
        <f>IF($C142="",0,IFERROR(INDEX(Deals!$BD$2:$BD$355,MATCH($C142,Deals!$A$2:$A$355,0)),0))</f>
        <v/>
      </c>
      <c r="AP142" s="18">
        <f>IF($AO142=0,0,IFERROR(INDEX(Deals!$BJ$2:$BP$355,MATCH($C142,Deals!$A$2:$A$355,0),MATCH($F142,Deals!$BJ$1:$BP$1,0))/COUNTIFS(Assignments!$C$2:$C$769,$C142,Assignments!$F$2:$F$769,$F142,Assignments!$G$2:$G$769,"Active"),0))</f>
        <v/>
      </c>
    </row>
    <row r="143">
      <c r="A143" s="28" t="inlineStr">
        <is>
          <t>Zack</t>
        </is>
      </c>
      <c r="B143" s="16">
        <f>IF($A143="","",IFERROR(INDEX(Roster!$B$2:$B$40,MATCH($A143,Roster!$A$2:$A$40,0)),"?"))</f>
        <v/>
      </c>
      <c r="C143" s="28" t="inlineStr">
        <is>
          <t>Fury_1</t>
        </is>
      </c>
      <c r="D143" s="16">
        <f>IF($C143="","",IFERROR(IF(INDEX(Deals!$C$2:$C$355,MATCH($C143,Deals!$A$2:$A$355,0))=0,"",INDEX(Deals!$C$2:$C$355,MATCH($C143,Deals!$A$2:$A$355,0))),"?"))</f>
        <v/>
      </c>
      <c r="E143" s="16">
        <f>IF($C143="","",IFERROR(INDEX(Deals!$F$2:$F$355,MATCH($C143,Deals!$A$2:$A$355,0)),"?"))</f>
        <v/>
      </c>
      <c r="F143" s="28" t="inlineStr">
        <is>
          <t>MD</t>
        </is>
      </c>
      <c r="G143" s="28" t="inlineStr">
        <is>
          <t>Active</t>
        </is>
      </c>
      <c r="H143" s="31" t="n"/>
      <c r="I143" s="32">
        <f>IF(OR($A143="",$G143&lt;&gt;"Active"),0,IF($H143&lt;&gt;"",$H143,IF($AO143&gt;0,$AP143,IF(AND($R143&lt;&gt;"",IFERROR(INDEX(Templates!$B$3:$H$10,MATCH($R143,Templates!$A$3:$A$10,0),MATCH($F143,Templates!$B$2:$H$2,0)),0)&gt;0),INDEX(Templates!$B$3:$H$10,MATCH($R143,Templates!$A$3:$A$10,0),MATCH($F143,Templates!$B$2:$H$2,0)),IFERROR(INDEX(Settings!$B$8:$B$14,MATCH($F143,Settings!$A$8:$A$14,0)),0)))))</f>
        <v/>
      </c>
      <c r="J143" s="21">
        <f>IF($C143="",0,IFERROR(INDEX(Deals!$H$2:$H$355,MATCH($C143,Deals!$A$2:$A$355,0)),0))</f>
        <v/>
      </c>
      <c r="K143" s="32">
        <f>IF(Settings!$B$4="Yes",$I143*$J143,$I143)</f>
        <v/>
      </c>
      <c r="L143" s="22">
        <f>IF($C143="","",IFERROR(IF(INDEX(Deals!$I$2:$I$355,MATCH($C143,Deals!$A$2:$A$355,0))=0,"",INDEX(Deals!$I$2:$I$355,MATCH($C143,Deals!$A$2:$A$355,0))),""))</f>
        <v/>
      </c>
      <c r="M143" s="22">
        <f>IF($C143="","",IFERROR(IF(INDEX(Deals!$J$2:$J$355,MATCH($C143,Deals!$A$2:$A$355,0))=0,"",INDEX(Deals!$J$2:$J$355,MATCH($C143,Deals!$A$2:$A$355,0))),""))</f>
        <v/>
      </c>
      <c r="N143" s="35">
        <f>IF($L143="",DATE(1900,1,1),$L143)</f>
        <v/>
      </c>
      <c r="O143" s="35">
        <f>IF($M143="",DATE(2100,12,31),$M143)</f>
        <v/>
      </c>
      <c r="P143" s="20" t="inlineStr"/>
      <c r="Q143" s="47" t="inlineStr"/>
      <c r="R143" s="16">
        <f>IF($C143="","",IFERROR(IF(INDEX(Deals!$U$2:$U$355,MATCH($C143,Deals!$A$2:$A$355,0))=0,"",INDEX(Deals!$U$2:$U$355,MATCH($C143,Deals!$A$2:$A$355,0))),""))</f>
        <v/>
      </c>
      <c r="S143" s="34">
        <f>IFERROR(IF($U143="",1,INDEX(Deals!$V$2:$V$355,MATCH($C143,Deals!$A$2:$A$355,0))),1)</f>
        <v/>
      </c>
      <c r="T143" s="34">
        <f>IFERROR(IF($U143="",1,INDEX(Deals!$W$2:$W$355,MATCH($C143,Deals!$A$2:$A$355,0))),1)</f>
        <v/>
      </c>
      <c r="U143" s="22">
        <f>IF($C143="","",IFERROR(IF(INDEX(Deals!$Y$2:$Y$355,MATCH($C143,Deals!$A$2:$A$355,0))=0,"",INDEX(Deals!$Y$2:$Y$355,MATCH($C143,Deals!$A$2:$A$355,0))),""))</f>
        <v/>
      </c>
      <c r="V143" s="35">
        <f>IF(OR($U143&lt;&gt;"",AND($AO143&gt;0,$L143&lt;&gt;"",$M143&lt;&gt;"")),$N143,DATE(1900,1,1))</f>
        <v/>
      </c>
      <c r="W143" s="35">
        <f>IF($U143&lt;&gt;"",$U143,IF(AND($AO143&gt;0,$L143&lt;&gt;"",$M143&lt;&gt;""),$O143,DATE(2100,12,31)))</f>
        <v/>
      </c>
      <c r="X143" s="32">
        <f>IF($U143="",$K143,$K143*$S143)</f>
        <v/>
      </c>
      <c r="Y143" s="35">
        <f>IF($U143="",DATE(2100,12,31),$U143+1)</f>
        <v/>
      </c>
      <c r="Z143" s="35">
        <f>IF($U143="",DATE(1900,1,1),$O143)</f>
        <v/>
      </c>
      <c r="AA143" s="32">
        <f>IF($U143="",0,$K143*$T143)</f>
        <v/>
      </c>
      <c r="AB143" s="21">
        <f>IF($C143="",0,IFERROR(INDEX(Deals!$AD$2:$AD$355,MATCH($C143,Deals!$A$2:$A$355,0)),0))</f>
        <v/>
      </c>
      <c r="AC143" s="32">
        <f>IF(Settings!$B$4="Yes",$I143*$AB143,$I143)</f>
        <v/>
      </c>
      <c r="AD143" s="22">
        <f>IF($C143="","",IFERROR(IF(INDEX(Deals!$AE$2:$AE$355,MATCH($C143,Deals!$A$2:$A$355,0))=0,"",INDEX(Deals!$AE$2:$AE$355,MATCH($C143,Deals!$A$2:$A$355,0))),""))</f>
        <v/>
      </c>
      <c r="AE143" s="22">
        <f>IF($C143="","",IFERROR(IF(INDEX(Deals!$AF$2:$AF$355,MATCH($C143,Deals!$A$2:$A$355,0))=0,"",INDEX(Deals!$AF$2:$AF$355,MATCH($C143,Deals!$A$2:$A$355,0))),""))</f>
        <v/>
      </c>
      <c r="AF143" s="35">
        <f>IF($AD143="",DATE(1900,1,1),$AD143)</f>
        <v/>
      </c>
      <c r="AG143" s="35">
        <f>IF($AE143="",DATE(2100,12,31),$AE143)</f>
        <v/>
      </c>
      <c r="AH143" s="22">
        <f>IF($C143="","",IFERROR(IF(INDEX(Deals!$AG$2:$AG$355,MATCH($C143,Deals!$A$2:$A$355,0))=0,"",INDEX(Deals!$AG$2:$AG$355,MATCH($C143,Deals!$A$2:$A$355,0))),""))</f>
        <v/>
      </c>
      <c r="AI143" s="35">
        <f>IF(OR($AH143&lt;&gt;"",AND($AO143&gt;0,$AD143&lt;&gt;"",$AE143&lt;&gt;"")),$AF143,DATE(1900,1,1))</f>
        <v/>
      </c>
      <c r="AJ143" s="35">
        <f>IF($AH143&lt;&gt;"",$AH143,IF(AND($AO143&gt;0,$AD143&lt;&gt;"",$AE143&lt;&gt;""),$AG143,DATE(2100,12,31)))</f>
        <v/>
      </c>
      <c r="AK143" s="32">
        <f>IF($AH143="",$AC143,$AC143*$S143)</f>
        <v/>
      </c>
      <c r="AL143" s="35">
        <f>IF($AH143="",DATE(2100,12,31),$AH143+1)</f>
        <v/>
      </c>
      <c r="AM143" s="35">
        <f>IF($AH143="",DATE(1900,1,1),$AG143)</f>
        <v/>
      </c>
      <c r="AN143" s="32">
        <f>IF($AH143="",0,$AC143*$T143)</f>
        <v/>
      </c>
      <c r="AO143" s="46">
        <f>IF($C143="",0,IFERROR(INDEX(Deals!$BD$2:$BD$355,MATCH($C143,Deals!$A$2:$A$355,0)),0))</f>
        <v/>
      </c>
      <c r="AP143" s="18">
        <f>IF($AO143=0,0,IFERROR(INDEX(Deals!$BJ$2:$BP$355,MATCH($C143,Deals!$A$2:$A$355,0),MATCH($F143,Deals!$BJ$1:$BP$1,0))/COUNTIFS(Assignments!$C$2:$C$769,$C143,Assignments!$F$2:$F$769,$F143,Assignments!$G$2:$G$769,"Active"),0))</f>
        <v/>
      </c>
    </row>
    <row r="144">
      <c r="A144" s="28" t="inlineStr">
        <is>
          <t>Zack</t>
        </is>
      </c>
      <c r="B144" s="16">
        <f>IF($A144="","",IFERROR(INDEX(Roster!$B$2:$B$40,MATCH($A144,Roster!$A$2:$A$40,0)),"?"))</f>
        <v/>
      </c>
      <c r="C144" s="28" t="inlineStr">
        <is>
          <t>Geneseo_1</t>
        </is>
      </c>
      <c r="D144" s="16">
        <f>IF($C144="","",IFERROR(IF(INDEX(Deals!$C$2:$C$355,MATCH($C144,Deals!$A$2:$A$355,0))=0,"",INDEX(Deals!$C$2:$C$355,MATCH($C144,Deals!$A$2:$A$355,0))),"?"))</f>
        <v/>
      </c>
      <c r="E144" s="16">
        <f>IF($C144="","",IFERROR(INDEX(Deals!$F$2:$F$355,MATCH($C144,Deals!$A$2:$A$355,0)),"?"))</f>
        <v/>
      </c>
      <c r="F144" s="28" t="inlineStr">
        <is>
          <t>MD</t>
        </is>
      </c>
      <c r="G144" s="28" t="inlineStr">
        <is>
          <t>Active</t>
        </is>
      </c>
      <c r="H144" s="31" t="n"/>
      <c r="I144" s="32">
        <f>IF(OR($A144="",$G144&lt;&gt;"Active"),0,IF($H144&lt;&gt;"",$H144,IF($AO144&gt;0,$AP144,IF(AND($R144&lt;&gt;"",IFERROR(INDEX(Templates!$B$3:$H$10,MATCH($R144,Templates!$A$3:$A$10,0),MATCH($F144,Templates!$B$2:$H$2,0)),0)&gt;0),INDEX(Templates!$B$3:$H$10,MATCH($R144,Templates!$A$3:$A$10,0),MATCH($F144,Templates!$B$2:$H$2,0)),IFERROR(INDEX(Settings!$B$8:$B$14,MATCH($F144,Settings!$A$8:$A$14,0)),0)))))</f>
        <v/>
      </c>
      <c r="J144" s="21">
        <f>IF($C144="",0,IFERROR(INDEX(Deals!$H$2:$H$355,MATCH($C144,Deals!$A$2:$A$355,0)),0))</f>
        <v/>
      </c>
      <c r="K144" s="32">
        <f>IF(Settings!$B$4="Yes",$I144*$J144,$I144)</f>
        <v/>
      </c>
      <c r="L144" s="22">
        <f>IF($C144="","",IFERROR(IF(INDEX(Deals!$I$2:$I$355,MATCH($C144,Deals!$A$2:$A$355,0))=0,"",INDEX(Deals!$I$2:$I$355,MATCH($C144,Deals!$A$2:$A$355,0))),""))</f>
        <v/>
      </c>
      <c r="M144" s="22">
        <f>IF($C144="","",IFERROR(IF(INDEX(Deals!$J$2:$J$355,MATCH($C144,Deals!$A$2:$A$355,0))=0,"",INDEX(Deals!$J$2:$J$355,MATCH($C144,Deals!$A$2:$A$355,0))),""))</f>
        <v/>
      </c>
      <c r="N144" s="35">
        <f>IF($L144="",DATE(1900,1,1),$L144)</f>
        <v/>
      </c>
      <c r="O144" s="35">
        <f>IF($M144="",DATE(2100,12,31),$M144)</f>
        <v/>
      </c>
      <c r="P144" s="20" t="inlineStr"/>
      <c r="Q144" s="47" t="inlineStr"/>
      <c r="R144" s="16">
        <f>IF($C144="","",IFERROR(IF(INDEX(Deals!$U$2:$U$355,MATCH($C144,Deals!$A$2:$A$355,0))=0,"",INDEX(Deals!$U$2:$U$355,MATCH($C144,Deals!$A$2:$A$355,0))),""))</f>
        <v/>
      </c>
      <c r="S144" s="34">
        <f>IFERROR(IF($U144="",1,INDEX(Deals!$V$2:$V$355,MATCH($C144,Deals!$A$2:$A$355,0))),1)</f>
        <v/>
      </c>
      <c r="T144" s="34">
        <f>IFERROR(IF($U144="",1,INDEX(Deals!$W$2:$W$355,MATCH($C144,Deals!$A$2:$A$355,0))),1)</f>
        <v/>
      </c>
      <c r="U144" s="22">
        <f>IF($C144="","",IFERROR(IF(INDEX(Deals!$Y$2:$Y$355,MATCH($C144,Deals!$A$2:$A$355,0))=0,"",INDEX(Deals!$Y$2:$Y$355,MATCH($C144,Deals!$A$2:$A$355,0))),""))</f>
        <v/>
      </c>
      <c r="V144" s="35">
        <f>IF(OR($U144&lt;&gt;"",AND($AO144&gt;0,$L144&lt;&gt;"",$M144&lt;&gt;"")),$N144,DATE(1900,1,1))</f>
        <v/>
      </c>
      <c r="W144" s="35">
        <f>IF($U144&lt;&gt;"",$U144,IF(AND($AO144&gt;0,$L144&lt;&gt;"",$M144&lt;&gt;""),$O144,DATE(2100,12,31)))</f>
        <v/>
      </c>
      <c r="X144" s="32">
        <f>IF($U144="",$K144,$K144*$S144)</f>
        <v/>
      </c>
      <c r="Y144" s="35">
        <f>IF($U144="",DATE(2100,12,31),$U144+1)</f>
        <v/>
      </c>
      <c r="Z144" s="35">
        <f>IF($U144="",DATE(1900,1,1),$O144)</f>
        <v/>
      </c>
      <c r="AA144" s="32">
        <f>IF($U144="",0,$K144*$T144)</f>
        <v/>
      </c>
      <c r="AB144" s="21">
        <f>IF($C144="",0,IFERROR(INDEX(Deals!$AD$2:$AD$355,MATCH($C144,Deals!$A$2:$A$355,0)),0))</f>
        <v/>
      </c>
      <c r="AC144" s="32">
        <f>IF(Settings!$B$4="Yes",$I144*$AB144,$I144)</f>
        <v/>
      </c>
      <c r="AD144" s="22">
        <f>IF($C144="","",IFERROR(IF(INDEX(Deals!$AE$2:$AE$355,MATCH($C144,Deals!$A$2:$A$355,0))=0,"",INDEX(Deals!$AE$2:$AE$355,MATCH($C144,Deals!$A$2:$A$355,0))),""))</f>
        <v/>
      </c>
      <c r="AE144" s="22">
        <f>IF($C144="","",IFERROR(IF(INDEX(Deals!$AF$2:$AF$355,MATCH($C144,Deals!$A$2:$A$355,0))=0,"",INDEX(Deals!$AF$2:$AF$355,MATCH($C144,Deals!$A$2:$A$355,0))),""))</f>
        <v/>
      </c>
      <c r="AF144" s="35">
        <f>IF($AD144="",DATE(1900,1,1),$AD144)</f>
        <v/>
      </c>
      <c r="AG144" s="35">
        <f>IF($AE144="",DATE(2100,12,31),$AE144)</f>
        <v/>
      </c>
      <c r="AH144" s="22">
        <f>IF($C144="","",IFERROR(IF(INDEX(Deals!$AG$2:$AG$355,MATCH($C144,Deals!$A$2:$A$355,0))=0,"",INDEX(Deals!$AG$2:$AG$355,MATCH($C144,Deals!$A$2:$A$355,0))),""))</f>
        <v/>
      </c>
      <c r="AI144" s="35">
        <f>IF(OR($AH144&lt;&gt;"",AND($AO144&gt;0,$AD144&lt;&gt;"",$AE144&lt;&gt;"")),$AF144,DATE(1900,1,1))</f>
        <v/>
      </c>
      <c r="AJ144" s="35">
        <f>IF($AH144&lt;&gt;"",$AH144,IF(AND($AO144&gt;0,$AD144&lt;&gt;"",$AE144&lt;&gt;""),$AG144,DATE(2100,12,31)))</f>
        <v/>
      </c>
      <c r="AK144" s="32">
        <f>IF($AH144="",$AC144,$AC144*$S144)</f>
        <v/>
      </c>
      <c r="AL144" s="35">
        <f>IF($AH144="",DATE(2100,12,31),$AH144+1)</f>
        <v/>
      </c>
      <c r="AM144" s="35">
        <f>IF($AH144="",DATE(1900,1,1),$AG144)</f>
        <v/>
      </c>
      <c r="AN144" s="32">
        <f>IF($AH144="",0,$AC144*$T144)</f>
        <v/>
      </c>
      <c r="AO144" s="46">
        <f>IF($C144="",0,IFERROR(INDEX(Deals!$BD$2:$BD$355,MATCH($C144,Deals!$A$2:$A$355,0)),0))</f>
        <v/>
      </c>
      <c r="AP144" s="18">
        <f>IF($AO144=0,0,IFERROR(INDEX(Deals!$BJ$2:$BP$355,MATCH($C144,Deals!$A$2:$A$355,0),MATCH($F144,Deals!$BJ$1:$BP$1,0))/COUNTIFS(Assignments!$C$2:$C$769,$C144,Assignments!$F$2:$F$769,$F144,Assignments!$G$2:$G$769,"Active"),0))</f>
        <v/>
      </c>
    </row>
    <row r="145">
      <c r="A145" s="28" t="inlineStr">
        <is>
          <t>Zack</t>
        </is>
      </c>
      <c r="B145" s="16">
        <f>IF($A145="","",IFERROR(INDEX(Roster!$B$2:$B$40,MATCH($A145,Roster!$A$2:$A$40,0)),"?"))</f>
        <v/>
      </c>
      <c r="C145" s="28" t="inlineStr">
        <is>
          <t>Horizon_4</t>
        </is>
      </c>
      <c r="D145" s="16">
        <f>IF($C145="","",IFERROR(IF(INDEX(Deals!$C$2:$C$355,MATCH($C145,Deals!$A$2:$A$355,0))=0,"",INDEX(Deals!$C$2:$C$355,MATCH($C145,Deals!$A$2:$A$355,0))),"?"))</f>
        <v/>
      </c>
      <c r="E145" s="16">
        <f>IF($C145="","",IFERROR(INDEX(Deals!$F$2:$F$355,MATCH($C145,Deals!$A$2:$A$355,0)),"?"))</f>
        <v/>
      </c>
      <c r="F145" s="28" t="inlineStr">
        <is>
          <t>MD</t>
        </is>
      </c>
      <c r="G145" s="28" t="inlineStr">
        <is>
          <t>Active</t>
        </is>
      </c>
      <c r="H145" s="31" t="n"/>
      <c r="I145" s="32">
        <f>IF(OR($A145="",$G145&lt;&gt;"Active"),0,IF($H145&lt;&gt;"",$H145,IF($AO145&gt;0,$AP145,IF(AND($R145&lt;&gt;"",IFERROR(INDEX(Templates!$B$3:$H$10,MATCH($R145,Templates!$A$3:$A$10,0),MATCH($F145,Templates!$B$2:$H$2,0)),0)&gt;0),INDEX(Templates!$B$3:$H$10,MATCH($R145,Templates!$A$3:$A$10,0),MATCH($F145,Templates!$B$2:$H$2,0)),IFERROR(INDEX(Settings!$B$8:$B$14,MATCH($F145,Settings!$A$8:$A$14,0)),0)))))</f>
        <v/>
      </c>
      <c r="J145" s="21">
        <f>IF($C145="",0,IFERROR(INDEX(Deals!$H$2:$H$355,MATCH($C145,Deals!$A$2:$A$355,0)),0))</f>
        <v/>
      </c>
      <c r="K145" s="32">
        <f>IF(Settings!$B$4="Yes",$I145*$J145,$I145)</f>
        <v/>
      </c>
      <c r="L145" s="22">
        <f>IF($C145="","",IFERROR(IF(INDEX(Deals!$I$2:$I$355,MATCH($C145,Deals!$A$2:$A$355,0))=0,"",INDEX(Deals!$I$2:$I$355,MATCH($C145,Deals!$A$2:$A$355,0))),""))</f>
        <v/>
      </c>
      <c r="M145" s="22">
        <f>IF($C145="","",IFERROR(IF(INDEX(Deals!$J$2:$J$355,MATCH($C145,Deals!$A$2:$A$355,0))=0,"",INDEX(Deals!$J$2:$J$355,MATCH($C145,Deals!$A$2:$A$355,0))),""))</f>
        <v/>
      </c>
      <c r="N145" s="35">
        <f>IF($L145="",DATE(1900,1,1),$L145)</f>
        <v/>
      </c>
      <c r="O145" s="35">
        <f>IF($M145="",DATE(2100,12,31),$M145)</f>
        <v/>
      </c>
      <c r="P145" s="20" t="inlineStr"/>
      <c r="Q145" s="47" t="inlineStr"/>
      <c r="R145" s="16">
        <f>IF($C145="","",IFERROR(IF(INDEX(Deals!$U$2:$U$355,MATCH($C145,Deals!$A$2:$A$355,0))=0,"",INDEX(Deals!$U$2:$U$355,MATCH($C145,Deals!$A$2:$A$355,0))),""))</f>
        <v/>
      </c>
      <c r="S145" s="34">
        <f>IFERROR(IF($U145="",1,INDEX(Deals!$V$2:$V$355,MATCH($C145,Deals!$A$2:$A$355,0))),1)</f>
        <v/>
      </c>
      <c r="T145" s="34">
        <f>IFERROR(IF($U145="",1,INDEX(Deals!$W$2:$W$355,MATCH($C145,Deals!$A$2:$A$355,0))),1)</f>
        <v/>
      </c>
      <c r="U145" s="22">
        <f>IF($C145="","",IFERROR(IF(INDEX(Deals!$Y$2:$Y$355,MATCH($C145,Deals!$A$2:$A$355,0))=0,"",INDEX(Deals!$Y$2:$Y$355,MATCH($C145,Deals!$A$2:$A$355,0))),""))</f>
        <v/>
      </c>
      <c r="V145" s="35">
        <f>IF(OR($U145&lt;&gt;"",AND($AO145&gt;0,$L145&lt;&gt;"",$M145&lt;&gt;"")),$N145,DATE(1900,1,1))</f>
        <v/>
      </c>
      <c r="W145" s="35">
        <f>IF($U145&lt;&gt;"",$U145,IF(AND($AO145&gt;0,$L145&lt;&gt;"",$M145&lt;&gt;""),$O145,DATE(2100,12,31)))</f>
        <v/>
      </c>
      <c r="X145" s="32">
        <f>IF($U145="",$K145,$K145*$S145)</f>
        <v/>
      </c>
      <c r="Y145" s="35">
        <f>IF($U145="",DATE(2100,12,31),$U145+1)</f>
        <v/>
      </c>
      <c r="Z145" s="35">
        <f>IF($U145="",DATE(1900,1,1),$O145)</f>
        <v/>
      </c>
      <c r="AA145" s="32">
        <f>IF($U145="",0,$K145*$T145)</f>
        <v/>
      </c>
      <c r="AB145" s="21">
        <f>IF($C145="",0,IFERROR(INDEX(Deals!$AD$2:$AD$355,MATCH($C145,Deals!$A$2:$A$355,0)),0))</f>
        <v/>
      </c>
      <c r="AC145" s="32">
        <f>IF(Settings!$B$4="Yes",$I145*$AB145,$I145)</f>
        <v/>
      </c>
      <c r="AD145" s="22">
        <f>IF($C145="","",IFERROR(IF(INDEX(Deals!$AE$2:$AE$355,MATCH($C145,Deals!$A$2:$A$355,0))=0,"",INDEX(Deals!$AE$2:$AE$355,MATCH($C145,Deals!$A$2:$A$355,0))),""))</f>
        <v/>
      </c>
      <c r="AE145" s="22">
        <f>IF($C145="","",IFERROR(IF(INDEX(Deals!$AF$2:$AF$355,MATCH($C145,Deals!$A$2:$A$355,0))=0,"",INDEX(Deals!$AF$2:$AF$355,MATCH($C145,Deals!$A$2:$A$355,0))),""))</f>
        <v/>
      </c>
      <c r="AF145" s="35">
        <f>IF($AD145="",DATE(1900,1,1),$AD145)</f>
        <v/>
      </c>
      <c r="AG145" s="35">
        <f>IF($AE145="",DATE(2100,12,31),$AE145)</f>
        <v/>
      </c>
      <c r="AH145" s="22">
        <f>IF($C145="","",IFERROR(IF(INDEX(Deals!$AG$2:$AG$355,MATCH($C145,Deals!$A$2:$A$355,0))=0,"",INDEX(Deals!$AG$2:$AG$355,MATCH($C145,Deals!$A$2:$A$355,0))),""))</f>
        <v/>
      </c>
      <c r="AI145" s="35">
        <f>IF(OR($AH145&lt;&gt;"",AND($AO145&gt;0,$AD145&lt;&gt;"",$AE145&lt;&gt;"")),$AF145,DATE(1900,1,1))</f>
        <v/>
      </c>
      <c r="AJ145" s="35">
        <f>IF($AH145&lt;&gt;"",$AH145,IF(AND($AO145&gt;0,$AD145&lt;&gt;"",$AE145&lt;&gt;""),$AG145,DATE(2100,12,31)))</f>
        <v/>
      </c>
      <c r="AK145" s="32">
        <f>IF($AH145="",$AC145,$AC145*$S145)</f>
        <v/>
      </c>
      <c r="AL145" s="35">
        <f>IF($AH145="",DATE(2100,12,31),$AH145+1)</f>
        <v/>
      </c>
      <c r="AM145" s="35">
        <f>IF($AH145="",DATE(1900,1,1),$AG145)</f>
        <v/>
      </c>
      <c r="AN145" s="32">
        <f>IF($AH145="",0,$AC145*$T145)</f>
        <v/>
      </c>
      <c r="AO145" s="46">
        <f>IF($C145="",0,IFERROR(INDEX(Deals!$BD$2:$BD$355,MATCH($C145,Deals!$A$2:$A$355,0)),0))</f>
        <v/>
      </c>
      <c r="AP145" s="18">
        <f>IF($AO145=0,0,IFERROR(INDEX(Deals!$BJ$2:$BP$355,MATCH($C145,Deals!$A$2:$A$355,0),MATCH($F145,Deals!$BJ$1:$BP$1,0))/COUNTIFS(Assignments!$C$2:$C$769,$C145,Assignments!$F$2:$F$769,$F145,Assignments!$G$2:$G$769,"Active"),0))</f>
        <v/>
      </c>
    </row>
    <row r="146">
      <c r="A146" s="28" t="inlineStr">
        <is>
          <t>Zack</t>
        </is>
      </c>
      <c r="B146" s="16">
        <f>IF($A146="","",IFERROR(INDEX(Roster!$B$2:$B$40,MATCH($A146,Roster!$A$2:$A$40,0)),"?"))</f>
        <v/>
      </c>
      <c r="C146" s="28" t="inlineStr">
        <is>
          <t>Lafayette_2</t>
        </is>
      </c>
      <c r="D146" s="16">
        <f>IF($C146="","",IFERROR(IF(INDEX(Deals!$C$2:$C$355,MATCH($C146,Deals!$A$2:$A$355,0))=0,"",INDEX(Deals!$C$2:$C$355,MATCH($C146,Deals!$A$2:$A$355,0))),"?"))</f>
        <v/>
      </c>
      <c r="E146" s="16">
        <f>IF($C146="","",IFERROR(INDEX(Deals!$F$2:$F$355,MATCH($C146,Deals!$A$2:$A$355,0)),"?"))</f>
        <v/>
      </c>
      <c r="F146" s="28" t="inlineStr">
        <is>
          <t>MD</t>
        </is>
      </c>
      <c r="G146" s="28" t="inlineStr">
        <is>
          <t>Active</t>
        </is>
      </c>
      <c r="H146" s="31" t="n"/>
      <c r="I146" s="32">
        <f>IF(OR($A146="",$G146&lt;&gt;"Active"),0,IF($H146&lt;&gt;"",$H146,IF($AO146&gt;0,$AP146,IF(AND($R146&lt;&gt;"",IFERROR(INDEX(Templates!$B$3:$H$10,MATCH($R146,Templates!$A$3:$A$10,0),MATCH($F146,Templates!$B$2:$H$2,0)),0)&gt;0),INDEX(Templates!$B$3:$H$10,MATCH($R146,Templates!$A$3:$A$10,0),MATCH($F146,Templates!$B$2:$H$2,0)),IFERROR(INDEX(Settings!$B$8:$B$14,MATCH($F146,Settings!$A$8:$A$14,0)),0)))))</f>
        <v/>
      </c>
      <c r="J146" s="21">
        <f>IF($C146="",0,IFERROR(INDEX(Deals!$H$2:$H$355,MATCH($C146,Deals!$A$2:$A$355,0)),0))</f>
        <v/>
      </c>
      <c r="K146" s="32">
        <f>IF(Settings!$B$4="Yes",$I146*$J146,$I146)</f>
        <v/>
      </c>
      <c r="L146" s="22">
        <f>IF($C146="","",IFERROR(IF(INDEX(Deals!$I$2:$I$355,MATCH($C146,Deals!$A$2:$A$355,0))=0,"",INDEX(Deals!$I$2:$I$355,MATCH($C146,Deals!$A$2:$A$355,0))),""))</f>
        <v/>
      </c>
      <c r="M146" s="22">
        <f>IF($C146="","",IFERROR(IF(INDEX(Deals!$J$2:$J$355,MATCH($C146,Deals!$A$2:$A$355,0))=0,"",INDEX(Deals!$J$2:$J$355,MATCH($C146,Deals!$A$2:$A$355,0))),""))</f>
        <v/>
      </c>
      <c r="N146" s="35">
        <f>IF($L146="",DATE(1900,1,1),$L146)</f>
        <v/>
      </c>
      <c r="O146" s="35">
        <f>IF($M146="",DATE(2100,12,31),$M146)</f>
        <v/>
      </c>
      <c r="P146" s="20" t="inlineStr"/>
      <c r="Q146" s="47" t="inlineStr"/>
      <c r="R146" s="16">
        <f>IF($C146="","",IFERROR(IF(INDEX(Deals!$U$2:$U$355,MATCH($C146,Deals!$A$2:$A$355,0))=0,"",INDEX(Deals!$U$2:$U$355,MATCH($C146,Deals!$A$2:$A$355,0))),""))</f>
        <v/>
      </c>
      <c r="S146" s="34">
        <f>IFERROR(IF($U146="",1,INDEX(Deals!$V$2:$V$355,MATCH($C146,Deals!$A$2:$A$355,0))),1)</f>
        <v/>
      </c>
      <c r="T146" s="34">
        <f>IFERROR(IF($U146="",1,INDEX(Deals!$W$2:$W$355,MATCH($C146,Deals!$A$2:$A$355,0))),1)</f>
        <v/>
      </c>
      <c r="U146" s="22">
        <f>IF($C146="","",IFERROR(IF(INDEX(Deals!$Y$2:$Y$355,MATCH($C146,Deals!$A$2:$A$355,0))=0,"",INDEX(Deals!$Y$2:$Y$355,MATCH($C146,Deals!$A$2:$A$355,0))),""))</f>
        <v/>
      </c>
      <c r="V146" s="35">
        <f>IF(OR($U146&lt;&gt;"",AND($AO146&gt;0,$L146&lt;&gt;"",$M146&lt;&gt;"")),$N146,DATE(1900,1,1))</f>
        <v/>
      </c>
      <c r="W146" s="35">
        <f>IF($U146&lt;&gt;"",$U146,IF(AND($AO146&gt;0,$L146&lt;&gt;"",$M146&lt;&gt;""),$O146,DATE(2100,12,31)))</f>
        <v/>
      </c>
      <c r="X146" s="32">
        <f>IF($U146="",$K146,$K146*$S146)</f>
        <v/>
      </c>
      <c r="Y146" s="35">
        <f>IF($U146="",DATE(2100,12,31),$U146+1)</f>
        <v/>
      </c>
      <c r="Z146" s="35">
        <f>IF($U146="",DATE(1900,1,1),$O146)</f>
        <v/>
      </c>
      <c r="AA146" s="32">
        <f>IF($U146="",0,$K146*$T146)</f>
        <v/>
      </c>
      <c r="AB146" s="21">
        <f>IF($C146="",0,IFERROR(INDEX(Deals!$AD$2:$AD$355,MATCH($C146,Deals!$A$2:$A$355,0)),0))</f>
        <v/>
      </c>
      <c r="AC146" s="32">
        <f>IF(Settings!$B$4="Yes",$I146*$AB146,$I146)</f>
        <v/>
      </c>
      <c r="AD146" s="22">
        <f>IF($C146="","",IFERROR(IF(INDEX(Deals!$AE$2:$AE$355,MATCH($C146,Deals!$A$2:$A$355,0))=0,"",INDEX(Deals!$AE$2:$AE$355,MATCH($C146,Deals!$A$2:$A$355,0))),""))</f>
        <v/>
      </c>
      <c r="AE146" s="22">
        <f>IF($C146="","",IFERROR(IF(INDEX(Deals!$AF$2:$AF$355,MATCH($C146,Deals!$A$2:$A$355,0))=0,"",INDEX(Deals!$AF$2:$AF$355,MATCH($C146,Deals!$A$2:$A$355,0))),""))</f>
        <v/>
      </c>
      <c r="AF146" s="35">
        <f>IF($AD146="",DATE(1900,1,1),$AD146)</f>
        <v/>
      </c>
      <c r="AG146" s="35">
        <f>IF($AE146="",DATE(2100,12,31),$AE146)</f>
        <v/>
      </c>
      <c r="AH146" s="22">
        <f>IF($C146="","",IFERROR(IF(INDEX(Deals!$AG$2:$AG$355,MATCH($C146,Deals!$A$2:$A$355,0))=0,"",INDEX(Deals!$AG$2:$AG$355,MATCH($C146,Deals!$A$2:$A$355,0))),""))</f>
        <v/>
      </c>
      <c r="AI146" s="35">
        <f>IF(OR($AH146&lt;&gt;"",AND($AO146&gt;0,$AD146&lt;&gt;"",$AE146&lt;&gt;"")),$AF146,DATE(1900,1,1))</f>
        <v/>
      </c>
      <c r="AJ146" s="35">
        <f>IF($AH146&lt;&gt;"",$AH146,IF(AND($AO146&gt;0,$AD146&lt;&gt;"",$AE146&lt;&gt;""),$AG146,DATE(2100,12,31)))</f>
        <v/>
      </c>
      <c r="AK146" s="32">
        <f>IF($AH146="",$AC146,$AC146*$S146)</f>
        <v/>
      </c>
      <c r="AL146" s="35">
        <f>IF($AH146="",DATE(2100,12,31),$AH146+1)</f>
        <v/>
      </c>
      <c r="AM146" s="35">
        <f>IF($AH146="",DATE(1900,1,1),$AG146)</f>
        <v/>
      </c>
      <c r="AN146" s="32">
        <f>IF($AH146="",0,$AC146*$T146)</f>
        <v/>
      </c>
      <c r="AO146" s="46">
        <f>IF($C146="",0,IFERROR(INDEX(Deals!$BD$2:$BD$355,MATCH($C146,Deals!$A$2:$A$355,0)),0))</f>
        <v/>
      </c>
      <c r="AP146" s="18">
        <f>IF($AO146=0,0,IFERROR(INDEX(Deals!$BJ$2:$BP$355,MATCH($C146,Deals!$A$2:$A$355,0),MATCH($F146,Deals!$BJ$1:$BP$1,0))/COUNTIFS(Assignments!$C$2:$C$769,$C146,Assignments!$F$2:$F$769,$F146,Assignments!$G$2:$G$769,"Active"),0))</f>
        <v/>
      </c>
    </row>
    <row r="147">
      <c r="A147" s="28" t="inlineStr">
        <is>
          <t>Zack</t>
        </is>
      </c>
      <c r="B147" s="16">
        <f>IF($A147="","",IFERROR(INDEX(Roster!$B$2:$B$40,MATCH($A147,Roster!$A$2:$A$40,0)),"?"))</f>
        <v/>
      </c>
      <c r="C147" s="28" t="inlineStr">
        <is>
          <t>MIF_1</t>
        </is>
      </c>
      <c r="D147" s="16">
        <f>IF($C147="","",IFERROR(IF(INDEX(Deals!$C$2:$C$355,MATCH($C147,Deals!$A$2:$A$355,0))=0,"",INDEX(Deals!$C$2:$C$355,MATCH($C147,Deals!$A$2:$A$355,0))),"?"))</f>
        <v/>
      </c>
      <c r="E147" s="16">
        <f>IF($C147="","",IFERROR(INDEX(Deals!$F$2:$F$355,MATCH($C147,Deals!$A$2:$A$355,0)),"?"))</f>
        <v/>
      </c>
      <c r="F147" s="28" t="inlineStr">
        <is>
          <t>MD</t>
        </is>
      </c>
      <c r="G147" s="28" t="inlineStr">
        <is>
          <t>Active</t>
        </is>
      </c>
      <c r="H147" s="31" t="n"/>
      <c r="I147" s="32">
        <f>IF(OR($A147="",$G147&lt;&gt;"Active"),0,IF($H147&lt;&gt;"",$H147,IF($AO147&gt;0,$AP147,IF(AND($R147&lt;&gt;"",IFERROR(INDEX(Templates!$B$3:$H$10,MATCH($R147,Templates!$A$3:$A$10,0),MATCH($F147,Templates!$B$2:$H$2,0)),0)&gt;0),INDEX(Templates!$B$3:$H$10,MATCH($R147,Templates!$A$3:$A$10,0),MATCH($F147,Templates!$B$2:$H$2,0)),IFERROR(INDEX(Settings!$B$8:$B$14,MATCH($F147,Settings!$A$8:$A$14,0)),0)))))</f>
        <v/>
      </c>
      <c r="J147" s="21">
        <f>IF($C147="",0,IFERROR(INDEX(Deals!$H$2:$H$355,MATCH($C147,Deals!$A$2:$A$355,0)),0))</f>
        <v/>
      </c>
      <c r="K147" s="32">
        <f>IF(Settings!$B$4="Yes",$I147*$J147,$I147)</f>
        <v/>
      </c>
      <c r="L147" s="22">
        <f>IF($C147="","",IFERROR(IF(INDEX(Deals!$I$2:$I$355,MATCH($C147,Deals!$A$2:$A$355,0))=0,"",INDEX(Deals!$I$2:$I$355,MATCH($C147,Deals!$A$2:$A$355,0))),""))</f>
        <v/>
      </c>
      <c r="M147" s="22">
        <f>IF($C147="","",IFERROR(IF(INDEX(Deals!$J$2:$J$355,MATCH($C147,Deals!$A$2:$A$355,0))=0,"",INDEX(Deals!$J$2:$J$355,MATCH($C147,Deals!$A$2:$A$355,0))),""))</f>
        <v/>
      </c>
      <c r="N147" s="35">
        <f>IF($L147="",DATE(1900,1,1),$L147)</f>
        <v/>
      </c>
      <c r="O147" s="35">
        <f>IF($M147="",DATE(2100,12,31),$M147)</f>
        <v/>
      </c>
      <c r="P147" s="20" t="inlineStr"/>
      <c r="Q147" s="47" t="inlineStr"/>
      <c r="R147" s="16">
        <f>IF($C147="","",IFERROR(IF(INDEX(Deals!$U$2:$U$355,MATCH($C147,Deals!$A$2:$A$355,0))=0,"",INDEX(Deals!$U$2:$U$355,MATCH($C147,Deals!$A$2:$A$355,0))),""))</f>
        <v/>
      </c>
      <c r="S147" s="34">
        <f>IFERROR(IF($U147="",1,INDEX(Deals!$V$2:$V$355,MATCH($C147,Deals!$A$2:$A$355,0))),1)</f>
        <v/>
      </c>
      <c r="T147" s="34">
        <f>IFERROR(IF($U147="",1,INDEX(Deals!$W$2:$W$355,MATCH($C147,Deals!$A$2:$A$355,0))),1)</f>
        <v/>
      </c>
      <c r="U147" s="22">
        <f>IF($C147="","",IFERROR(IF(INDEX(Deals!$Y$2:$Y$355,MATCH($C147,Deals!$A$2:$A$355,0))=0,"",INDEX(Deals!$Y$2:$Y$355,MATCH($C147,Deals!$A$2:$A$355,0))),""))</f>
        <v/>
      </c>
      <c r="V147" s="35">
        <f>IF(OR($U147&lt;&gt;"",AND($AO147&gt;0,$L147&lt;&gt;"",$M147&lt;&gt;"")),$N147,DATE(1900,1,1))</f>
        <v/>
      </c>
      <c r="W147" s="35">
        <f>IF($U147&lt;&gt;"",$U147,IF(AND($AO147&gt;0,$L147&lt;&gt;"",$M147&lt;&gt;""),$O147,DATE(2100,12,31)))</f>
        <v/>
      </c>
      <c r="X147" s="32">
        <f>IF($U147="",$K147,$K147*$S147)</f>
        <v/>
      </c>
      <c r="Y147" s="35">
        <f>IF($U147="",DATE(2100,12,31),$U147+1)</f>
        <v/>
      </c>
      <c r="Z147" s="35">
        <f>IF($U147="",DATE(1900,1,1),$O147)</f>
        <v/>
      </c>
      <c r="AA147" s="32">
        <f>IF($U147="",0,$K147*$T147)</f>
        <v/>
      </c>
      <c r="AB147" s="21">
        <f>IF($C147="",0,IFERROR(INDEX(Deals!$AD$2:$AD$355,MATCH($C147,Deals!$A$2:$A$355,0)),0))</f>
        <v/>
      </c>
      <c r="AC147" s="32">
        <f>IF(Settings!$B$4="Yes",$I147*$AB147,$I147)</f>
        <v/>
      </c>
      <c r="AD147" s="22">
        <f>IF($C147="","",IFERROR(IF(INDEX(Deals!$AE$2:$AE$355,MATCH($C147,Deals!$A$2:$A$355,0))=0,"",INDEX(Deals!$AE$2:$AE$355,MATCH($C147,Deals!$A$2:$A$355,0))),""))</f>
        <v/>
      </c>
      <c r="AE147" s="22">
        <f>IF($C147="","",IFERROR(IF(INDEX(Deals!$AF$2:$AF$355,MATCH($C147,Deals!$A$2:$A$355,0))=0,"",INDEX(Deals!$AF$2:$AF$355,MATCH($C147,Deals!$A$2:$A$355,0))),""))</f>
        <v/>
      </c>
      <c r="AF147" s="35">
        <f>IF($AD147="",DATE(1900,1,1),$AD147)</f>
        <v/>
      </c>
      <c r="AG147" s="35">
        <f>IF($AE147="",DATE(2100,12,31),$AE147)</f>
        <v/>
      </c>
      <c r="AH147" s="22">
        <f>IF($C147="","",IFERROR(IF(INDEX(Deals!$AG$2:$AG$355,MATCH($C147,Deals!$A$2:$A$355,0))=0,"",INDEX(Deals!$AG$2:$AG$355,MATCH($C147,Deals!$A$2:$A$355,0))),""))</f>
        <v/>
      </c>
      <c r="AI147" s="35">
        <f>IF(OR($AH147&lt;&gt;"",AND($AO147&gt;0,$AD147&lt;&gt;"",$AE147&lt;&gt;"")),$AF147,DATE(1900,1,1))</f>
        <v/>
      </c>
      <c r="AJ147" s="35">
        <f>IF($AH147&lt;&gt;"",$AH147,IF(AND($AO147&gt;0,$AD147&lt;&gt;"",$AE147&lt;&gt;""),$AG147,DATE(2100,12,31)))</f>
        <v/>
      </c>
      <c r="AK147" s="32">
        <f>IF($AH147="",$AC147,$AC147*$S147)</f>
        <v/>
      </c>
      <c r="AL147" s="35">
        <f>IF($AH147="",DATE(2100,12,31),$AH147+1)</f>
        <v/>
      </c>
      <c r="AM147" s="35">
        <f>IF($AH147="",DATE(1900,1,1),$AG147)</f>
        <v/>
      </c>
      <c r="AN147" s="32">
        <f>IF($AH147="",0,$AC147*$T147)</f>
        <v/>
      </c>
      <c r="AO147" s="46">
        <f>IF($C147="",0,IFERROR(INDEX(Deals!$BD$2:$BD$355,MATCH($C147,Deals!$A$2:$A$355,0)),0))</f>
        <v/>
      </c>
      <c r="AP147" s="18">
        <f>IF($AO147=0,0,IFERROR(INDEX(Deals!$BJ$2:$BP$355,MATCH($C147,Deals!$A$2:$A$355,0),MATCH($F147,Deals!$BJ$1:$BP$1,0))/COUNTIFS(Assignments!$C$2:$C$769,$C147,Assignments!$F$2:$F$769,$F147,Assignments!$G$2:$G$769,"Active"),0))</f>
        <v/>
      </c>
    </row>
    <row r="148">
      <c r="A148" s="28" t="inlineStr">
        <is>
          <t>Zack</t>
        </is>
      </c>
      <c r="B148" s="16">
        <f>IF($A148="","",IFERROR(INDEX(Roster!$B$2:$B$40,MATCH($A148,Roster!$A$2:$A$40,0)),"?"))</f>
        <v/>
      </c>
      <c r="C148" s="28" t="inlineStr">
        <is>
          <t>Model_4</t>
        </is>
      </c>
      <c r="D148" s="16">
        <f>IF($C148="","",IFERROR(IF(INDEX(Deals!$C$2:$C$355,MATCH($C148,Deals!$A$2:$A$355,0))=0,"",INDEX(Deals!$C$2:$C$355,MATCH($C148,Deals!$A$2:$A$355,0))),"?"))</f>
        <v/>
      </c>
      <c r="E148" s="16">
        <f>IF($C148="","",IFERROR(INDEX(Deals!$F$2:$F$355,MATCH($C148,Deals!$A$2:$A$355,0)),"?"))</f>
        <v/>
      </c>
      <c r="F148" s="28" t="inlineStr">
        <is>
          <t>MD</t>
        </is>
      </c>
      <c r="G148" s="28" t="inlineStr">
        <is>
          <t>Active</t>
        </is>
      </c>
      <c r="H148" s="31" t="n"/>
      <c r="I148" s="32">
        <f>IF(OR($A148="",$G148&lt;&gt;"Active"),0,IF($H148&lt;&gt;"",$H148,IF($AO148&gt;0,$AP148,IF(AND($R148&lt;&gt;"",IFERROR(INDEX(Templates!$B$3:$H$10,MATCH($R148,Templates!$A$3:$A$10,0),MATCH($F148,Templates!$B$2:$H$2,0)),0)&gt;0),INDEX(Templates!$B$3:$H$10,MATCH($R148,Templates!$A$3:$A$10,0),MATCH($F148,Templates!$B$2:$H$2,0)),IFERROR(INDEX(Settings!$B$8:$B$14,MATCH($F148,Settings!$A$8:$A$14,0)),0)))))</f>
        <v/>
      </c>
      <c r="J148" s="21">
        <f>IF($C148="",0,IFERROR(INDEX(Deals!$H$2:$H$355,MATCH($C148,Deals!$A$2:$A$355,0)),0))</f>
        <v/>
      </c>
      <c r="K148" s="32">
        <f>IF(Settings!$B$4="Yes",$I148*$J148,$I148)</f>
        <v/>
      </c>
      <c r="L148" s="22">
        <f>IF($C148="","",IFERROR(IF(INDEX(Deals!$I$2:$I$355,MATCH($C148,Deals!$A$2:$A$355,0))=0,"",INDEX(Deals!$I$2:$I$355,MATCH($C148,Deals!$A$2:$A$355,0))),""))</f>
        <v/>
      </c>
      <c r="M148" s="22">
        <f>IF($C148="","",IFERROR(IF(INDEX(Deals!$J$2:$J$355,MATCH($C148,Deals!$A$2:$A$355,0))=0,"",INDEX(Deals!$J$2:$J$355,MATCH($C148,Deals!$A$2:$A$355,0))),""))</f>
        <v/>
      </c>
      <c r="N148" s="35">
        <f>IF($L148="",DATE(1900,1,1),$L148)</f>
        <v/>
      </c>
      <c r="O148" s="35">
        <f>IF($M148="",DATE(2100,12,31),$M148)</f>
        <v/>
      </c>
      <c r="P148" s="20" t="inlineStr"/>
      <c r="Q148" s="47" t="inlineStr"/>
      <c r="R148" s="16">
        <f>IF($C148="","",IFERROR(IF(INDEX(Deals!$U$2:$U$355,MATCH($C148,Deals!$A$2:$A$355,0))=0,"",INDEX(Deals!$U$2:$U$355,MATCH($C148,Deals!$A$2:$A$355,0))),""))</f>
        <v/>
      </c>
      <c r="S148" s="34">
        <f>IFERROR(IF($U148="",1,INDEX(Deals!$V$2:$V$355,MATCH($C148,Deals!$A$2:$A$355,0))),1)</f>
        <v/>
      </c>
      <c r="T148" s="34">
        <f>IFERROR(IF($U148="",1,INDEX(Deals!$W$2:$W$355,MATCH($C148,Deals!$A$2:$A$355,0))),1)</f>
        <v/>
      </c>
      <c r="U148" s="22">
        <f>IF($C148="","",IFERROR(IF(INDEX(Deals!$Y$2:$Y$355,MATCH($C148,Deals!$A$2:$A$355,0))=0,"",INDEX(Deals!$Y$2:$Y$355,MATCH($C148,Deals!$A$2:$A$355,0))),""))</f>
        <v/>
      </c>
      <c r="V148" s="35">
        <f>IF(OR($U148&lt;&gt;"",AND($AO148&gt;0,$L148&lt;&gt;"",$M148&lt;&gt;"")),$N148,DATE(1900,1,1))</f>
        <v/>
      </c>
      <c r="W148" s="35">
        <f>IF($U148&lt;&gt;"",$U148,IF(AND($AO148&gt;0,$L148&lt;&gt;"",$M148&lt;&gt;""),$O148,DATE(2100,12,31)))</f>
        <v/>
      </c>
      <c r="X148" s="32">
        <f>IF($U148="",$K148,$K148*$S148)</f>
        <v/>
      </c>
      <c r="Y148" s="35">
        <f>IF($U148="",DATE(2100,12,31),$U148+1)</f>
        <v/>
      </c>
      <c r="Z148" s="35">
        <f>IF($U148="",DATE(1900,1,1),$O148)</f>
        <v/>
      </c>
      <c r="AA148" s="32">
        <f>IF($U148="",0,$K148*$T148)</f>
        <v/>
      </c>
      <c r="AB148" s="21">
        <f>IF($C148="",0,IFERROR(INDEX(Deals!$AD$2:$AD$355,MATCH($C148,Deals!$A$2:$A$355,0)),0))</f>
        <v/>
      </c>
      <c r="AC148" s="32">
        <f>IF(Settings!$B$4="Yes",$I148*$AB148,$I148)</f>
        <v/>
      </c>
      <c r="AD148" s="22">
        <f>IF($C148="","",IFERROR(IF(INDEX(Deals!$AE$2:$AE$355,MATCH($C148,Deals!$A$2:$A$355,0))=0,"",INDEX(Deals!$AE$2:$AE$355,MATCH($C148,Deals!$A$2:$A$355,0))),""))</f>
        <v/>
      </c>
      <c r="AE148" s="22">
        <f>IF($C148="","",IFERROR(IF(INDEX(Deals!$AF$2:$AF$355,MATCH($C148,Deals!$A$2:$A$355,0))=0,"",INDEX(Deals!$AF$2:$AF$355,MATCH($C148,Deals!$A$2:$A$355,0))),""))</f>
        <v/>
      </c>
      <c r="AF148" s="35">
        <f>IF($AD148="",DATE(1900,1,1),$AD148)</f>
        <v/>
      </c>
      <c r="AG148" s="35">
        <f>IF($AE148="",DATE(2100,12,31),$AE148)</f>
        <v/>
      </c>
      <c r="AH148" s="22">
        <f>IF($C148="","",IFERROR(IF(INDEX(Deals!$AG$2:$AG$355,MATCH($C148,Deals!$A$2:$A$355,0))=0,"",INDEX(Deals!$AG$2:$AG$355,MATCH($C148,Deals!$A$2:$A$355,0))),""))</f>
        <v/>
      </c>
      <c r="AI148" s="35">
        <f>IF(OR($AH148&lt;&gt;"",AND($AO148&gt;0,$AD148&lt;&gt;"",$AE148&lt;&gt;"")),$AF148,DATE(1900,1,1))</f>
        <v/>
      </c>
      <c r="AJ148" s="35">
        <f>IF($AH148&lt;&gt;"",$AH148,IF(AND($AO148&gt;0,$AD148&lt;&gt;"",$AE148&lt;&gt;""),$AG148,DATE(2100,12,31)))</f>
        <v/>
      </c>
      <c r="AK148" s="32">
        <f>IF($AH148="",$AC148,$AC148*$S148)</f>
        <v/>
      </c>
      <c r="AL148" s="35">
        <f>IF($AH148="",DATE(2100,12,31),$AH148+1)</f>
        <v/>
      </c>
      <c r="AM148" s="35">
        <f>IF($AH148="",DATE(1900,1,1),$AG148)</f>
        <v/>
      </c>
      <c r="AN148" s="32">
        <f>IF($AH148="",0,$AC148*$T148)</f>
        <v/>
      </c>
      <c r="AO148" s="46">
        <f>IF($C148="",0,IFERROR(INDEX(Deals!$BD$2:$BD$355,MATCH($C148,Deals!$A$2:$A$355,0)),0))</f>
        <v/>
      </c>
      <c r="AP148" s="18">
        <f>IF($AO148=0,0,IFERROR(INDEX(Deals!$BJ$2:$BP$355,MATCH($C148,Deals!$A$2:$A$355,0),MATCH($F148,Deals!$BJ$1:$BP$1,0))/COUNTIFS(Assignments!$C$2:$C$769,$C148,Assignments!$F$2:$F$769,$F148,Assignments!$G$2:$G$769,"Active"),0))</f>
        <v/>
      </c>
    </row>
    <row r="149">
      <c r="A149" s="28" t="inlineStr">
        <is>
          <t>Zack</t>
        </is>
      </c>
      <c r="B149" s="16">
        <f>IF($A149="","",IFERROR(INDEX(Roster!$B$2:$B$40,MATCH($A149,Roster!$A$2:$A$40,0)),"?"))</f>
        <v/>
      </c>
      <c r="C149" s="28" t="inlineStr">
        <is>
          <t>Ninedot_3</t>
        </is>
      </c>
      <c r="D149" s="16">
        <f>IF($C149="","",IFERROR(IF(INDEX(Deals!$C$2:$C$355,MATCH($C149,Deals!$A$2:$A$355,0))=0,"",INDEX(Deals!$C$2:$C$355,MATCH($C149,Deals!$A$2:$A$355,0))),"?"))</f>
        <v/>
      </c>
      <c r="E149" s="16">
        <f>IF($C149="","",IFERROR(INDEX(Deals!$F$2:$F$355,MATCH($C149,Deals!$A$2:$A$355,0)),"?"))</f>
        <v/>
      </c>
      <c r="F149" s="28" t="inlineStr">
        <is>
          <t>MD</t>
        </is>
      </c>
      <c r="G149" s="28" t="inlineStr">
        <is>
          <t>Active</t>
        </is>
      </c>
      <c r="H149" s="31" t="n"/>
      <c r="I149" s="32">
        <f>IF(OR($A149="",$G149&lt;&gt;"Active"),0,IF($H149&lt;&gt;"",$H149,IF($AO149&gt;0,$AP149,IF(AND($R149&lt;&gt;"",IFERROR(INDEX(Templates!$B$3:$H$10,MATCH($R149,Templates!$A$3:$A$10,0),MATCH($F149,Templates!$B$2:$H$2,0)),0)&gt;0),INDEX(Templates!$B$3:$H$10,MATCH($R149,Templates!$A$3:$A$10,0),MATCH($F149,Templates!$B$2:$H$2,0)),IFERROR(INDEX(Settings!$B$8:$B$14,MATCH($F149,Settings!$A$8:$A$14,0)),0)))))</f>
        <v/>
      </c>
      <c r="J149" s="21">
        <f>IF($C149="",0,IFERROR(INDEX(Deals!$H$2:$H$355,MATCH($C149,Deals!$A$2:$A$355,0)),0))</f>
        <v/>
      </c>
      <c r="K149" s="32">
        <f>IF(Settings!$B$4="Yes",$I149*$J149,$I149)</f>
        <v/>
      </c>
      <c r="L149" s="22">
        <f>IF($C149="","",IFERROR(IF(INDEX(Deals!$I$2:$I$355,MATCH($C149,Deals!$A$2:$A$355,0))=0,"",INDEX(Deals!$I$2:$I$355,MATCH($C149,Deals!$A$2:$A$355,0))),""))</f>
        <v/>
      </c>
      <c r="M149" s="22">
        <f>IF($C149="","",IFERROR(IF(INDEX(Deals!$J$2:$J$355,MATCH($C149,Deals!$A$2:$A$355,0))=0,"",INDEX(Deals!$J$2:$J$355,MATCH($C149,Deals!$A$2:$A$355,0))),""))</f>
        <v/>
      </c>
      <c r="N149" s="35">
        <f>IF($L149="",DATE(1900,1,1),$L149)</f>
        <v/>
      </c>
      <c r="O149" s="35">
        <f>IF($M149="",DATE(2100,12,31),$M149)</f>
        <v/>
      </c>
      <c r="P149" s="20" t="inlineStr"/>
      <c r="Q149" s="47" t="inlineStr"/>
      <c r="R149" s="16">
        <f>IF($C149="","",IFERROR(IF(INDEX(Deals!$U$2:$U$355,MATCH($C149,Deals!$A$2:$A$355,0))=0,"",INDEX(Deals!$U$2:$U$355,MATCH($C149,Deals!$A$2:$A$355,0))),""))</f>
        <v/>
      </c>
      <c r="S149" s="34">
        <f>IFERROR(IF($U149="",1,INDEX(Deals!$V$2:$V$355,MATCH($C149,Deals!$A$2:$A$355,0))),1)</f>
        <v/>
      </c>
      <c r="T149" s="34">
        <f>IFERROR(IF($U149="",1,INDEX(Deals!$W$2:$W$355,MATCH($C149,Deals!$A$2:$A$355,0))),1)</f>
        <v/>
      </c>
      <c r="U149" s="22">
        <f>IF($C149="","",IFERROR(IF(INDEX(Deals!$Y$2:$Y$355,MATCH($C149,Deals!$A$2:$A$355,0))=0,"",INDEX(Deals!$Y$2:$Y$355,MATCH($C149,Deals!$A$2:$A$355,0))),""))</f>
        <v/>
      </c>
      <c r="V149" s="35">
        <f>IF(OR($U149&lt;&gt;"",AND($AO149&gt;0,$L149&lt;&gt;"",$M149&lt;&gt;"")),$N149,DATE(1900,1,1))</f>
        <v/>
      </c>
      <c r="W149" s="35">
        <f>IF($U149&lt;&gt;"",$U149,IF(AND($AO149&gt;0,$L149&lt;&gt;"",$M149&lt;&gt;""),$O149,DATE(2100,12,31)))</f>
        <v/>
      </c>
      <c r="X149" s="32">
        <f>IF($U149="",$K149,$K149*$S149)</f>
        <v/>
      </c>
      <c r="Y149" s="35">
        <f>IF($U149="",DATE(2100,12,31),$U149+1)</f>
        <v/>
      </c>
      <c r="Z149" s="35">
        <f>IF($U149="",DATE(1900,1,1),$O149)</f>
        <v/>
      </c>
      <c r="AA149" s="32">
        <f>IF($U149="",0,$K149*$T149)</f>
        <v/>
      </c>
      <c r="AB149" s="21">
        <f>IF($C149="",0,IFERROR(INDEX(Deals!$AD$2:$AD$355,MATCH($C149,Deals!$A$2:$A$355,0)),0))</f>
        <v/>
      </c>
      <c r="AC149" s="32">
        <f>IF(Settings!$B$4="Yes",$I149*$AB149,$I149)</f>
        <v/>
      </c>
      <c r="AD149" s="22">
        <f>IF($C149="","",IFERROR(IF(INDEX(Deals!$AE$2:$AE$355,MATCH($C149,Deals!$A$2:$A$355,0))=0,"",INDEX(Deals!$AE$2:$AE$355,MATCH($C149,Deals!$A$2:$A$355,0))),""))</f>
        <v/>
      </c>
      <c r="AE149" s="22">
        <f>IF($C149="","",IFERROR(IF(INDEX(Deals!$AF$2:$AF$355,MATCH($C149,Deals!$A$2:$A$355,0))=0,"",INDEX(Deals!$AF$2:$AF$355,MATCH($C149,Deals!$A$2:$A$355,0))),""))</f>
        <v/>
      </c>
      <c r="AF149" s="35">
        <f>IF($AD149="",DATE(1900,1,1),$AD149)</f>
        <v/>
      </c>
      <c r="AG149" s="35">
        <f>IF($AE149="",DATE(2100,12,31),$AE149)</f>
        <v/>
      </c>
      <c r="AH149" s="22">
        <f>IF($C149="","",IFERROR(IF(INDEX(Deals!$AG$2:$AG$355,MATCH($C149,Deals!$A$2:$A$355,0))=0,"",INDEX(Deals!$AG$2:$AG$355,MATCH($C149,Deals!$A$2:$A$355,0))),""))</f>
        <v/>
      </c>
      <c r="AI149" s="35">
        <f>IF(OR($AH149&lt;&gt;"",AND($AO149&gt;0,$AD149&lt;&gt;"",$AE149&lt;&gt;"")),$AF149,DATE(1900,1,1))</f>
        <v/>
      </c>
      <c r="AJ149" s="35">
        <f>IF($AH149&lt;&gt;"",$AH149,IF(AND($AO149&gt;0,$AD149&lt;&gt;"",$AE149&lt;&gt;""),$AG149,DATE(2100,12,31)))</f>
        <v/>
      </c>
      <c r="AK149" s="32">
        <f>IF($AH149="",$AC149,$AC149*$S149)</f>
        <v/>
      </c>
      <c r="AL149" s="35">
        <f>IF($AH149="",DATE(2100,12,31),$AH149+1)</f>
        <v/>
      </c>
      <c r="AM149" s="35">
        <f>IF($AH149="",DATE(1900,1,1),$AG149)</f>
        <v/>
      </c>
      <c r="AN149" s="32">
        <f>IF($AH149="",0,$AC149*$T149)</f>
        <v/>
      </c>
      <c r="AO149" s="46">
        <f>IF($C149="",0,IFERROR(INDEX(Deals!$BD$2:$BD$355,MATCH($C149,Deals!$A$2:$A$355,0)),0))</f>
        <v/>
      </c>
      <c r="AP149" s="18">
        <f>IF($AO149=0,0,IFERROR(INDEX(Deals!$BJ$2:$BP$355,MATCH($C149,Deals!$A$2:$A$355,0),MATCH($F149,Deals!$BJ$1:$BP$1,0))/COUNTIFS(Assignments!$C$2:$C$769,$C149,Assignments!$F$2:$F$769,$F149,Assignments!$G$2:$G$769,"Active"),0))</f>
        <v/>
      </c>
    </row>
    <row r="150">
      <c r="A150" s="28" t="inlineStr">
        <is>
          <t>Zack</t>
        </is>
      </c>
      <c r="B150" s="16">
        <f>IF($A150="","",IFERROR(INDEX(Roster!$B$2:$B$40,MATCH($A150,Roster!$A$2:$A$40,0)),"?"))</f>
        <v/>
      </c>
      <c r="C150" s="28" t="inlineStr">
        <is>
          <t>Ontario_1</t>
        </is>
      </c>
      <c r="D150" s="16">
        <f>IF($C150="","",IFERROR(IF(INDEX(Deals!$C$2:$C$355,MATCH($C150,Deals!$A$2:$A$355,0))=0,"",INDEX(Deals!$C$2:$C$355,MATCH($C150,Deals!$A$2:$A$355,0))),"?"))</f>
        <v/>
      </c>
      <c r="E150" s="16">
        <f>IF($C150="","",IFERROR(INDEX(Deals!$F$2:$F$355,MATCH($C150,Deals!$A$2:$A$355,0)),"?"))</f>
        <v/>
      </c>
      <c r="F150" s="28" t="inlineStr">
        <is>
          <t>MD</t>
        </is>
      </c>
      <c r="G150" s="28" t="inlineStr">
        <is>
          <t>Active</t>
        </is>
      </c>
      <c r="H150" s="31" t="n"/>
      <c r="I150" s="32">
        <f>IF(OR($A150="",$G150&lt;&gt;"Active"),0,IF($H150&lt;&gt;"",$H150,IF($AO150&gt;0,$AP150,IF(AND($R150&lt;&gt;"",IFERROR(INDEX(Templates!$B$3:$H$10,MATCH($R150,Templates!$A$3:$A$10,0),MATCH($F150,Templates!$B$2:$H$2,0)),0)&gt;0),INDEX(Templates!$B$3:$H$10,MATCH($R150,Templates!$A$3:$A$10,0),MATCH($F150,Templates!$B$2:$H$2,0)),IFERROR(INDEX(Settings!$B$8:$B$14,MATCH($F150,Settings!$A$8:$A$14,0)),0)))))</f>
        <v/>
      </c>
      <c r="J150" s="21">
        <f>IF($C150="",0,IFERROR(INDEX(Deals!$H$2:$H$355,MATCH($C150,Deals!$A$2:$A$355,0)),0))</f>
        <v/>
      </c>
      <c r="K150" s="32">
        <f>IF(Settings!$B$4="Yes",$I150*$J150,$I150)</f>
        <v/>
      </c>
      <c r="L150" s="22">
        <f>IF($C150="","",IFERROR(IF(INDEX(Deals!$I$2:$I$355,MATCH($C150,Deals!$A$2:$A$355,0))=0,"",INDEX(Deals!$I$2:$I$355,MATCH($C150,Deals!$A$2:$A$355,0))),""))</f>
        <v/>
      </c>
      <c r="M150" s="22">
        <f>IF($C150="","",IFERROR(IF(INDEX(Deals!$J$2:$J$355,MATCH($C150,Deals!$A$2:$A$355,0))=0,"",INDEX(Deals!$J$2:$J$355,MATCH($C150,Deals!$A$2:$A$355,0))),""))</f>
        <v/>
      </c>
      <c r="N150" s="35">
        <f>IF($L150="",DATE(1900,1,1),$L150)</f>
        <v/>
      </c>
      <c r="O150" s="35">
        <f>IF($M150="",DATE(2100,12,31),$M150)</f>
        <v/>
      </c>
      <c r="P150" s="20" t="inlineStr"/>
      <c r="Q150" s="47" t="inlineStr"/>
      <c r="R150" s="16">
        <f>IF($C150="","",IFERROR(IF(INDEX(Deals!$U$2:$U$355,MATCH($C150,Deals!$A$2:$A$355,0))=0,"",INDEX(Deals!$U$2:$U$355,MATCH($C150,Deals!$A$2:$A$355,0))),""))</f>
        <v/>
      </c>
      <c r="S150" s="34">
        <f>IFERROR(IF($U150="",1,INDEX(Deals!$V$2:$V$355,MATCH($C150,Deals!$A$2:$A$355,0))),1)</f>
        <v/>
      </c>
      <c r="T150" s="34">
        <f>IFERROR(IF($U150="",1,INDEX(Deals!$W$2:$W$355,MATCH($C150,Deals!$A$2:$A$355,0))),1)</f>
        <v/>
      </c>
      <c r="U150" s="22">
        <f>IF($C150="","",IFERROR(IF(INDEX(Deals!$Y$2:$Y$355,MATCH($C150,Deals!$A$2:$A$355,0))=0,"",INDEX(Deals!$Y$2:$Y$355,MATCH($C150,Deals!$A$2:$A$355,0))),""))</f>
        <v/>
      </c>
      <c r="V150" s="35">
        <f>IF(OR($U150&lt;&gt;"",AND($AO150&gt;0,$L150&lt;&gt;"",$M150&lt;&gt;"")),$N150,DATE(1900,1,1))</f>
        <v/>
      </c>
      <c r="W150" s="35">
        <f>IF($U150&lt;&gt;"",$U150,IF(AND($AO150&gt;0,$L150&lt;&gt;"",$M150&lt;&gt;""),$O150,DATE(2100,12,31)))</f>
        <v/>
      </c>
      <c r="X150" s="32">
        <f>IF($U150="",$K150,$K150*$S150)</f>
        <v/>
      </c>
      <c r="Y150" s="35">
        <f>IF($U150="",DATE(2100,12,31),$U150+1)</f>
        <v/>
      </c>
      <c r="Z150" s="35">
        <f>IF($U150="",DATE(1900,1,1),$O150)</f>
        <v/>
      </c>
      <c r="AA150" s="32">
        <f>IF($U150="",0,$K150*$T150)</f>
        <v/>
      </c>
      <c r="AB150" s="21">
        <f>IF($C150="",0,IFERROR(INDEX(Deals!$AD$2:$AD$355,MATCH($C150,Deals!$A$2:$A$355,0)),0))</f>
        <v/>
      </c>
      <c r="AC150" s="32">
        <f>IF(Settings!$B$4="Yes",$I150*$AB150,$I150)</f>
        <v/>
      </c>
      <c r="AD150" s="22">
        <f>IF($C150="","",IFERROR(IF(INDEX(Deals!$AE$2:$AE$355,MATCH($C150,Deals!$A$2:$A$355,0))=0,"",INDEX(Deals!$AE$2:$AE$355,MATCH($C150,Deals!$A$2:$A$355,0))),""))</f>
        <v/>
      </c>
      <c r="AE150" s="22">
        <f>IF($C150="","",IFERROR(IF(INDEX(Deals!$AF$2:$AF$355,MATCH($C150,Deals!$A$2:$A$355,0))=0,"",INDEX(Deals!$AF$2:$AF$355,MATCH($C150,Deals!$A$2:$A$355,0))),""))</f>
        <v/>
      </c>
      <c r="AF150" s="35">
        <f>IF($AD150="",DATE(1900,1,1),$AD150)</f>
        <v/>
      </c>
      <c r="AG150" s="35">
        <f>IF($AE150="",DATE(2100,12,31),$AE150)</f>
        <v/>
      </c>
      <c r="AH150" s="22">
        <f>IF($C150="","",IFERROR(IF(INDEX(Deals!$AG$2:$AG$355,MATCH($C150,Deals!$A$2:$A$355,0))=0,"",INDEX(Deals!$AG$2:$AG$355,MATCH($C150,Deals!$A$2:$A$355,0))),""))</f>
        <v/>
      </c>
      <c r="AI150" s="35">
        <f>IF(OR($AH150&lt;&gt;"",AND($AO150&gt;0,$AD150&lt;&gt;"",$AE150&lt;&gt;"")),$AF150,DATE(1900,1,1))</f>
        <v/>
      </c>
      <c r="AJ150" s="35">
        <f>IF($AH150&lt;&gt;"",$AH150,IF(AND($AO150&gt;0,$AD150&lt;&gt;"",$AE150&lt;&gt;""),$AG150,DATE(2100,12,31)))</f>
        <v/>
      </c>
      <c r="AK150" s="32">
        <f>IF($AH150="",$AC150,$AC150*$S150)</f>
        <v/>
      </c>
      <c r="AL150" s="35">
        <f>IF($AH150="",DATE(2100,12,31),$AH150+1)</f>
        <v/>
      </c>
      <c r="AM150" s="35">
        <f>IF($AH150="",DATE(1900,1,1),$AG150)</f>
        <v/>
      </c>
      <c r="AN150" s="32">
        <f>IF($AH150="",0,$AC150*$T150)</f>
        <v/>
      </c>
      <c r="AO150" s="46">
        <f>IF($C150="",0,IFERROR(INDEX(Deals!$BD$2:$BD$355,MATCH($C150,Deals!$A$2:$A$355,0)),0))</f>
        <v/>
      </c>
      <c r="AP150" s="18">
        <f>IF($AO150=0,0,IFERROR(INDEX(Deals!$BJ$2:$BP$355,MATCH($C150,Deals!$A$2:$A$355,0),MATCH($F150,Deals!$BJ$1:$BP$1,0))/COUNTIFS(Assignments!$C$2:$C$769,$C150,Assignments!$F$2:$F$769,$F150,Assignments!$G$2:$G$769,"Active"),0))</f>
        <v/>
      </c>
    </row>
    <row r="151">
      <c r="A151" s="28" t="inlineStr">
        <is>
          <t>Zack</t>
        </is>
      </c>
      <c r="B151" s="16">
        <f>IF($A151="","",IFERROR(INDEX(Roster!$B$2:$B$40,MATCH($A151,Roster!$A$2:$A$40,0)),"?"))</f>
        <v/>
      </c>
      <c r="C151" s="28" t="inlineStr">
        <is>
          <t>Prince_3</t>
        </is>
      </c>
      <c r="D151" s="16">
        <f>IF($C151="","",IFERROR(IF(INDEX(Deals!$C$2:$C$355,MATCH($C151,Deals!$A$2:$A$355,0))=0,"",INDEX(Deals!$C$2:$C$355,MATCH($C151,Deals!$A$2:$A$355,0))),"?"))</f>
        <v/>
      </c>
      <c r="E151" s="16">
        <f>IF($C151="","",IFERROR(INDEX(Deals!$F$2:$F$355,MATCH($C151,Deals!$A$2:$A$355,0)),"?"))</f>
        <v/>
      </c>
      <c r="F151" s="28" t="inlineStr">
        <is>
          <t>MD</t>
        </is>
      </c>
      <c r="G151" s="28" t="inlineStr">
        <is>
          <t>Active</t>
        </is>
      </c>
      <c r="H151" s="31" t="n"/>
      <c r="I151" s="32">
        <f>IF(OR($A151="",$G151&lt;&gt;"Active"),0,IF($H151&lt;&gt;"",$H151,IF($AO151&gt;0,$AP151,IF(AND($R151&lt;&gt;"",IFERROR(INDEX(Templates!$B$3:$H$10,MATCH($R151,Templates!$A$3:$A$10,0),MATCH($F151,Templates!$B$2:$H$2,0)),0)&gt;0),INDEX(Templates!$B$3:$H$10,MATCH($R151,Templates!$A$3:$A$10,0),MATCH($F151,Templates!$B$2:$H$2,0)),IFERROR(INDEX(Settings!$B$8:$B$14,MATCH($F151,Settings!$A$8:$A$14,0)),0)))))</f>
        <v/>
      </c>
      <c r="J151" s="21">
        <f>IF($C151="",0,IFERROR(INDEX(Deals!$H$2:$H$355,MATCH($C151,Deals!$A$2:$A$355,0)),0))</f>
        <v/>
      </c>
      <c r="K151" s="32">
        <f>IF(Settings!$B$4="Yes",$I151*$J151,$I151)</f>
        <v/>
      </c>
      <c r="L151" s="22">
        <f>IF($C151="","",IFERROR(IF(INDEX(Deals!$I$2:$I$355,MATCH($C151,Deals!$A$2:$A$355,0))=0,"",INDEX(Deals!$I$2:$I$355,MATCH($C151,Deals!$A$2:$A$355,0))),""))</f>
        <v/>
      </c>
      <c r="M151" s="22">
        <f>IF($C151="","",IFERROR(IF(INDEX(Deals!$J$2:$J$355,MATCH($C151,Deals!$A$2:$A$355,0))=0,"",INDEX(Deals!$J$2:$J$355,MATCH($C151,Deals!$A$2:$A$355,0))),""))</f>
        <v/>
      </c>
      <c r="N151" s="35">
        <f>IF($L151="",DATE(1900,1,1),$L151)</f>
        <v/>
      </c>
      <c r="O151" s="35">
        <f>IF($M151="",DATE(2100,12,31),$M151)</f>
        <v/>
      </c>
      <c r="P151" s="20" t="inlineStr"/>
      <c r="Q151" s="47" t="inlineStr"/>
      <c r="R151" s="16">
        <f>IF($C151="","",IFERROR(IF(INDEX(Deals!$U$2:$U$355,MATCH($C151,Deals!$A$2:$A$355,0))=0,"",INDEX(Deals!$U$2:$U$355,MATCH($C151,Deals!$A$2:$A$355,0))),""))</f>
        <v/>
      </c>
      <c r="S151" s="34">
        <f>IFERROR(IF($U151="",1,INDEX(Deals!$V$2:$V$355,MATCH($C151,Deals!$A$2:$A$355,0))),1)</f>
        <v/>
      </c>
      <c r="T151" s="34">
        <f>IFERROR(IF($U151="",1,INDEX(Deals!$W$2:$W$355,MATCH($C151,Deals!$A$2:$A$355,0))),1)</f>
        <v/>
      </c>
      <c r="U151" s="22">
        <f>IF($C151="","",IFERROR(IF(INDEX(Deals!$Y$2:$Y$355,MATCH($C151,Deals!$A$2:$A$355,0))=0,"",INDEX(Deals!$Y$2:$Y$355,MATCH($C151,Deals!$A$2:$A$355,0))),""))</f>
        <v/>
      </c>
      <c r="V151" s="35">
        <f>IF(OR($U151&lt;&gt;"",AND($AO151&gt;0,$L151&lt;&gt;"",$M151&lt;&gt;"")),$N151,DATE(1900,1,1))</f>
        <v/>
      </c>
      <c r="W151" s="35">
        <f>IF($U151&lt;&gt;"",$U151,IF(AND($AO151&gt;0,$L151&lt;&gt;"",$M151&lt;&gt;""),$O151,DATE(2100,12,31)))</f>
        <v/>
      </c>
      <c r="X151" s="32">
        <f>IF($U151="",$K151,$K151*$S151)</f>
        <v/>
      </c>
      <c r="Y151" s="35">
        <f>IF($U151="",DATE(2100,12,31),$U151+1)</f>
        <v/>
      </c>
      <c r="Z151" s="35">
        <f>IF($U151="",DATE(1900,1,1),$O151)</f>
        <v/>
      </c>
      <c r="AA151" s="32">
        <f>IF($U151="",0,$K151*$T151)</f>
        <v/>
      </c>
      <c r="AB151" s="21">
        <f>IF($C151="",0,IFERROR(INDEX(Deals!$AD$2:$AD$355,MATCH($C151,Deals!$A$2:$A$355,0)),0))</f>
        <v/>
      </c>
      <c r="AC151" s="32">
        <f>IF(Settings!$B$4="Yes",$I151*$AB151,$I151)</f>
        <v/>
      </c>
      <c r="AD151" s="22">
        <f>IF($C151="","",IFERROR(IF(INDEX(Deals!$AE$2:$AE$355,MATCH($C151,Deals!$A$2:$A$355,0))=0,"",INDEX(Deals!$AE$2:$AE$355,MATCH($C151,Deals!$A$2:$A$355,0))),""))</f>
        <v/>
      </c>
      <c r="AE151" s="22">
        <f>IF($C151="","",IFERROR(IF(INDEX(Deals!$AF$2:$AF$355,MATCH($C151,Deals!$A$2:$A$355,0))=0,"",INDEX(Deals!$AF$2:$AF$355,MATCH($C151,Deals!$A$2:$A$355,0))),""))</f>
        <v/>
      </c>
      <c r="AF151" s="35">
        <f>IF($AD151="",DATE(1900,1,1),$AD151)</f>
        <v/>
      </c>
      <c r="AG151" s="35">
        <f>IF($AE151="",DATE(2100,12,31),$AE151)</f>
        <v/>
      </c>
      <c r="AH151" s="22">
        <f>IF($C151="","",IFERROR(IF(INDEX(Deals!$AG$2:$AG$355,MATCH($C151,Deals!$A$2:$A$355,0))=0,"",INDEX(Deals!$AG$2:$AG$355,MATCH($C151,Deals!$A$2:$A$355,0))),""))</f>
        <v/>
      </c>
      <c r="AI151" s="35">
        <f>IF(OR($AH151&lt;&gt;"",AND($AO151&gt;0,$AD151&lt;&gt;"",$AE151&lt;&gt;"")),$AF151,DATE(1900,1,1))</f>
        <v/>
      </c>
      <c r="AJ151" s="35">
        <f>IF($AH151&lt;&gt;"",$AH151,IF(AND($AO151&gt;0,$AD151&lt;&gt;"",$AE151&lt;&gt;""),$AG151,DATE(2100,12,31)))</f>
        <v/>
      </c>
      <c r="AK151" s="32">
        <f>IF($AH151="",$AC151,$AC151*$S151)</f>
        <v/>
      </c>
      <c r="AL151" s="35">
        <f>IF($AH151="",DATE(2100,12,31),$AH151+1)</f>
        <v/>
      </c>
      <c r="AM151" s="35">
        <f>IF($AH151="",DATE(1900,1,1),$AG151)</f>
        <v/>
      </c>
      <c r="AN151" s="32">
        <f>IF($AH151="",0,$AC151*$T151)</f>
        <v/>
      </c>
      <c r="AO151" s="46">
        <f>IF($C151="",0,IFERROR(INDEX(Deals!$BD$2:$BD$355,MATCH($C151,Deals!$A$2:$A$355,0)),0))</f>
        <v/>
      </c>
      <c r="AP151" s="18">
        <f>IF($AO151=0,0,IFERROR(INDEX(Deals!$BJ$2:$BP$355,MATCH($C151,Deals!$A$2:$A$355,0),MATCH($F151,Deals!$BJ$1:$BP$1,0))/COUNTIFS(Assignments!$C$2:$C$769,$C151,Assignments!$F$2:$F$769,$F151,Assignments!$G$2:$G$769,"Active"),0))</f>
        <v/>
      </c>
    </row>
    <row r="152">
      <c r="A152" s="28" t="inlineStr">
        <is>
          <t>Zack</t>
        </is>
      </c>
      <c r="B152" s="16">
        <f>IF($A152="","",IFERROR(INDEX(Roster!$B$2:$B$40,MATCH($A152,Roster!$A$2:$A$40,0)),"?"))</f>
        <v/>
      </c>
      <c r="C152" s="28" t="inlineStr">
        <is>
          <t>Pythagoras_1</t>
        </is>
      </c>
      <c r="D152" s="16">
        <f>IF($C152="","",IFERROR(IF(INDEX(Deals!$C$2:$C$355,MATCH($C152,Deals!$A$2:$A$355,0))=0,"",INDEX(Deals!$C$2:$C$355,MATCH($C152,Deals!$A$2:$A$355,0))),"?"))</f>
        <v/>
      </c>
      <c r="E152" s="16">
        <f>IF($C152="","",IFERROR(INDEX(Deals!$F$2:$F$355,MATCH($C152,Deals!$A$2:$A$355,0)),"?"))</f>
        <v/>
      </c>
      <c r="F152" s="28" t="inlineStr">
        <is>
          <t>MD</t>
        </is>
      </c>
      <c r="G152" s="28" t="inlineStr">
        <is>
          <t>Active</t>
        </is>
      </c>
      <c r="H152" s="31" t="n"/>
      <c r="I152" s="32">
        <f>IF(OR($A152="",$G152&lt;&gt;"Active"),0,IF($H152&lt;&gt;"",$H152,IF($AO152&gt;0,$AP152,IF(AND($R152&lt;&gt;"",IFERROR(INDEX(Templates!$B$3:$H$10,MATCH($R152,Templates!$A$3:$A$10,0),MATCH($F152,Templates!$B$2:$H$2,0)),0)&gt;0),INDEX(Templates!$B$3:$H$10,MATCH($R152,Templates!$A$3:$A$10,0),MATCH($F152,Templates!$B$2:$H$2,0)),IFERROR(INDEX(Settings!$B$8:$B$14,MATCH($F152,Settings!$A$8:$A$14,0)),0)))))</f>
        <v/>
      </c>
      <c r="J152" s="21">
        <f>IF($C152="",0,IFERROR(INDEX(Deals!$H$2:$H$355,MATCH($C152,Deals!$A$2:$A$355,0)),0))</f>
        <v/>
      </c>
      <c r="K152" s="32">
        <f>IF(Settings!$B$4="Yes",$I152*$J152,$I152)</f>
        <v/>
      </c>
      <c r="L152" s="22">
        <f>IF($C152="","",IFERROR(IF(INDEX(Deals!$I$2:$I$355,MATCH($C152,Deals!$A$2:$A$355,0))=0,"",INDEX(Deals!$I$2:$I$355,MATCH($C152,Deals!$A$2:$A$355,0))),""))</f>
        <v/>
      </c>
      <c r="M152" s="22">
        <f>IF($C152="","",IFERROR(IF(INDEX(Deals!$J$2:$J$355,MATCH($C152,Deals!$A$2:$A$355,0))=0,"",INDEX(Deals!$J$2:$J$355,MATCH($C152,Deals!$A$2:$A$355,0))),""))</f>
        <v/>
      </c>
      <c r="N152" s="35">
        <f>IF($L152="",DATE(1900,1,1),$L152)</f>
        <v/>
      </c>
      <c r="O152" s="35">
        <f>IF($M152="",DATE(2100,12,31),$M152)</f>
        <v/>
      </c>
      <c r="P152" s="20" t="inlineStr"/>
      <c r="Q152" s="47" t="inlineStr"/>
      <c r="R152" s="16">
        <f>IF($C152="","",IFERROR(IF(INDEX(Deals!$U$2:$U$355,MATCH($C152,Deals!$A$2:$A$355,0))=0,"",INDEX(Deals!$U$2:$U$355,MATCH($C152,Deals!$A$2:$A$355,0))),""))</f>
        <v/>
      </c>
      <c r="S152" s="34">
        <f>IFERROR(IF($U152="",1,INDEX(Deals!$V$2:$V$355,MATCH($C152,Deals!$A$2:$A$355,0))),1)</f>
        <v/>
      </c>
      <c r="T152" s="34">
        <f>IFERROR(IF($U152="",1,INDEX(Deals!$W$2:$W$355,MATCH($C152,Deals!$A$2:$A$355,0))),1)</f>
        <v/>
      </c>
      <c r="U152" s="22">
        <f>IF($C152="","",IFERROR(IF(INDEX(Deals!$Y$2:$Y$355,MATCH($C152,Deals!$A$2:$A$355,0))=0,"",INDEX(Deals!$Y$2:$Y$355,MATCH($C152,Deals!$A$2:$A$355,0))),""))</f>
        <v/>
      </c>
      <c r="V152" s="35">
        <f>IF(OR($U152&lt;&gt;"",AND($AO152&gt;0,$L152&lt;&gt;"",$M152&lt;&gt;"")),$N152,DATE(1900,1,1))</f>
        <v/>
      </c>
      <c r="W152" s="35">
        <f>IF($U152&lt;&gt;"",$U152,IF(AND($AO152&gt;0,$L152&lt;&gt;"",$M152&lt;&gt;""),$O152,DATE(2100,12,31)))</f>
        <v/>
      </c>
      <c r="X152" s="32">
        <f>IF($U152="",$K152,$K152*$S152)</f>
        <v/>
      </c>
      <c r="Y152" s="35">
        <f>IF($U152="",DATE(2100,12,31),$U152+1)</f>
        <v/>
      </c>
      <c r="Z152" s="35">
        <f>IF($U152="",DATE(1900,1,1),$O152)</f>
        <v/>
      </c>
      <c r="AA152" s="32">
        <f>IF($U152="",0,$K152*$T152)</f>
        <v/>
      </c>
      <c r="AB152" s="21">
        <f>IF($C152="",0,IFERROR(INDEX(Deals!$AD$2:$AD$355,MATCH($C152,Deals!$A$2:$A$355,0)),0))</f>
        <v/>
      </c>
      <c r="AC152" s="32">
        <f>IF(Settings!$B$4="Yes",$I152*$AB152,$I152)</f>
        <v/>
      </c>
      <c r="AD152" s="22">
        <f>IF($C152="","",IFERROR(IF(INDEX(Deals!$AE$2:$AE$355,MATCH($C152,Deals!$A$2:$A$355,0))=0,"",INDEX(Deals!$AE$2:$AE$355,MATCH($C152,Deals!$A$2:$A$355,0))),""))</f>
        <v/>
      </c>
      <c r="AE152" s="22">
        <f>IF($C152="","",IFERROR(IF(INDEX(Deals!$AF$2:$AF$355,MATCH($C152,Deals!$A$2:$A$355,0))=0,"",INDEX(Deals!$AF$2:$AF$355,MATCH($C152,Deals!$A$2:$A$355,0))),""))</f>
        <v/>
      </c>
      <c r="AF152" s="35">
        <f>IF($AD152="",DATE(1900,1,1),$AD152)</f>
        <v/>
      </c>
      <c r="AG152" s="35">
        <f>IF($AE152="",DATE(2100,12,31),$AE152)</f>
        <v/>
      </c>
      <c r="AH152" s="22">
        <f>IF($C152="","",IFERROR(IF(INDEX(Deals!$AG$2:$AG$355,MATCH($C152,Deals!$A$2:$A$355,0))=0,"",INDEX(Deals!$AG$2:$AG$355,MATCH($C152,Deals!$A$2:$A$355,0))),""))</f>
        <v/>
      </c>
      <c r="AI152" s="35">
        <f>IF(OR($AH152&lt;&gt;"",AND($AO152&gt;0,$AD152&lt;&gt;"",$AE152&lt;&gt;"")),$AF152,DATE(1900,1,1))</f>
        <v/>
      </c>
      <c r="AJ152" s="35">
        <f>IF($AH152&lt;&gt;"",$AH152,IF(AND($AO152&gt;0,$AD152&lt;&gt;"",$AE152&lt;&gt;""),$AG152,DATE(2100,12,31)))</f>
        <v/>
      </c>
      <c r="AK152" s="32">
        <f>IF($AH152="",$AC152,$AC152*$S152)</f>
        <v/>
      </c>
      <c r="AL152" s="35">
        <f>IF($AH152="",DATE(2100,12,31),$AH152+1)</f>
        <v/>
      </c>
      <c r="AM152" s="35">
        <f>IF($AH152="",DATE(1900,1,1),$AG152)</f>
        <v/>
      </c>
      <c r="AN152" s="32">
        <f>IF($AH152="",0,$AC152*$T152)</f>
        <v/>
      </c>
      <c r="AO152" s="46">
        <f>IF($C152="",0,IFERROR(INDEX(Deals!$BD$2:$BD$355,MATCH($C152,Deals!$A$2:$A$355,0)),0))</f>
        <v/>
      </c>
      <c r="AP152" s="18">
        <f>IF($AO152=0,0,IFERROR(INDEX(Deals!$BJ$2:$BP$355,MATCH($C152,Deals!$A$2:$A$355,0),MATCH($F152,Deals!$BJ$1:$BP$1,0))/COUNTIFS(Assignments!$C$2:$C$769,$C152,Assignments!$F$2:$F$769,$F152,Assignments!$G$2:$G$769,"Active"),0))</f>
        <v/>
      </c>
    </row>
    <row r="153">
      <c r="A153" s="28" t="inlineStr">
        <is>
          <t>Zack</t>
        </is>
      </c>
      <c r="B153" s="16">
        <f>IF($A153="","",IFERROR(INDEX(Roster!$B$2:$B$40,MATCH($A153,Roster!$A$2:$A$40,0)),"?"))</f>
        <v/>
      </c>
      <c r="C153" s="28" t="inlineStr">
        <is>
          <t>Railcar_1</t>
        </is>
      </c>
      <c r="D153" s="16">
        <f>IF($C153="","",IFERROR(IF(INDEX(Deals!$C$2:$C$355,MATCH($C153,Deals!$A$2:$A$355,0))=0,"",INDEX(Deals!$C$2:$C$355,MATCH($C153,Deals!$A$2:$A$355,0))),"?"))</f>
        <v/>
      </c>
      <c r="E153" s="16">
        <f>IF($C153="","",IFERROR(INDEX(Deals!$F$2:$F$355,MATCH($C153,Deals!$A$2:$A$355,0)),"?"))</f>
        <v/>
      </c>
      <c r="F153" s="28" t="inlineStr">
        <is>
          <t>MD</t>
        </is>
      </c>
      <c r="G153" s="28" t="inlineStr">
        <is>
          <t>Active</t>
        </is>
      </c>
      <c r="H153" s="31" t="n"/>
      <c r="I153" s="32">
        <f>IF(OR($A153="",$G153&lt;&gt;"Active"),0,IF($H153&lt;&gt;"",$H153,IF($AO153&gt;0,$AP153,IF(AND($R153&lt;&gt;"",IFERROR(INDEX(Templates!$B$3:$H$10,MATCH($R153,Templates!$A$3:$A$10,0),MATCH($F153,Templates!$B$2:$H$2,0)),0)&gt;0),INDEX(Templates!$B$3:$H$10,MATCH($R153,Templates!$A$3:$A$10,0),MATCH($F153,Templates!$B$2:$H$2,0)),IFERROR(INDEX(Settings!$B$8:$B$14,MATCH($F153,Settings!$A$8:$A$14,0)),0)))))</f>
        <v/>
      </c>
      <c r="J153" s="21">
        <f>IF($C153="",0,IFERROR(INDEX(Deals!$H$2:$H$355,MATCH($C153,Deals!$A$2:$A$355,0)),0))</f>
        <v/>
      </c>
      <c r="K153" s="32">
        <f>IF(Settings!$B$4="Yes",$I153*$J153,$I153)</f>
        <v/>
      </c>
      <c r="L153" s="22">
        <f>IF($C153="","",IFERROR(IF(INDEX(Deals!$I$2:$I$355,MATCH($C153,Deals!$A$2:$A$355,0))=0,"",INDEX(Deals!$I$2:$I$355,MATCH($C153,Deals!$A$2:$A$355,0))),""))</f>
        <v/>
      </c>
      <c r="M153" s="22">
        <f>IF($C153="","",IFERROR(IF(INDEX(Deals!$J$2:$J$355,MATCH($C153,Deals!$A$2:$A$355,0))=0,"",INDEX(Deals!$J$2:$J$355,MATCH($C153,Deals!$A$2:$A$355,0))),""))</f>
        <v/>
      </c>
      <c r="N153" s="35">
        <f>IF($L153="",DATE(1900,1,1),$L153)</f>
        <v/>
      </c>
      <c r="O153" s="35">
        <f>IF($M153="",DATE(2100,12,31),$M153)</f>
        <v/>
      </c>
      <c r="P153" s="20" t="inlineStr"/>
      <c r="Q153" s="47" t="inlineStr"/>
      <c r="R153" s="16">
        <f>IF($C153="","",IFERROR(IF(INDEX(Deals!$U$2:$U$355,MATCH($C153,Deals!$A$2:$A$355,0))=0,"",INDEX(Deals!$U$2:$U$355,MATCH($C153,Deals!$A$2:$A$355,0))),""))</f>
        <v/>
      </c>
      <c r="S153" s="34">
        <f>IFERROR(IF($U153="",1,INDEX(Deals!$V$2:$V$355,MATCH($C153,Deals!$A$2:$A$355,0))),1)</f>
        <v/>
      </c>
      <c r="T153" s="34">
        <f>IFERROR(IF($U153="",1,INDEX(Deals!$W$2:$W$355,MATCH($C153,Deals!$A$2:$A$355,0))),1)</f>
        <v/>
      </c>
      <c r="U153" s="22">
        <f>IF($C153="","",IFERROR(IF(INDEX(Deals!$Y$2:$Y$355,MATCH($C153,Deals!$A$2:$A$355,0))=0,"",INDEX(Deals!$Y$2:$Y$355,MATCH($C153,Deals!$A$2:$A$355,0))),""))</f>
        <v/>
      </c>
      <c r="V153" s="35">
        <f>IF(OR($U153&lt;&gt;"",AND($AO153&gt;0,$L153&lt;&gt;"",$M153&lt;&gt;"")),$N153,DATE(1900,1,1))</f>
        <v/>
      </c>
      <c r="W153" s="35">
        <f>IF($U153&lt;&gt;"",$U153,IF(AND($AO153&gt;0,$L153&lt;&gt;"",$M153&lt;&gt;""),$O153,DATE(2100,12,31)))</f>
        <v/>
      </c>
      <c r="X153" s="32">
        <f>IF($U153="",$K153,$K153*$S153)</f>
        <v/>
      </c>
      <c r="Y153" s="35">
        <f>IF($U153="",DATE(2100,12,31),$U153+1)</f>
        <v/>
      </c>
      <c r="Z153" s="35">
        <f>IF($U153="",DATE(1900,1,1),$O153)</f>
        <v/>
      </c>
      <c r="AA153" s="32">
        <f>IF($U153="",0,$K153*$T153)</f>
        <v/>
      </c>
      <c r="AB153" s="21">
        <f>IF($C153="",0,IFERROR(INDEX(Deals!$AD$2:$AD$355,MATCH($C153,Deals!$A$2:$A$355,0)),0))</f>
        <v/>
      </c>
      <c r="AC153" s="32">
        <f>IF(Settings!$B$4="Yes",$I153*$AB153,$I153)</f>
        <v/>
      </c>
      <c r="AD153" s="22">
        <f>IF($C153="","",IFERROR(IF(INDEX(Deals!$AE$2:$AE$355,MATCH($C153,Deals!$A$2:$A$355,0))=0,"",INDEX(Deals!$AE$2:$AE$355,MATCH($C153,Deals!$A$2:$A$355,0))),""))</f>
        <v/>
      </c>
      <c r="AE153" s="22">
        <f>IF($C153="","",IFERROR(IF(INDEX(Deals!$AF$2:$AF$355,MATCH($C153,Deals!$A$2:$A$355,0))=0,"",INDEX(Deals!$AF$2:$AF$355,MATCH($C153,Deals!$A$2:$A$355,0))),""))</f>
        <v/>
      </c>
      <c r="AF153" s="35">
        <f>IF($AD153="",DATE(1900,1,1),$AD153)</f>
        <v/>
      </c>
      <c r="AG153" s="35">
        <f>IF($AE153="",DATE(2100,12,31),$AE153)</f>
        <v/>
      </c>
      <c r="AH153" s="22">
        <f>IF($C153="","",IFERROR(IF(INDEX(Deals!$AG$2:$AG$355,MATCH($C153,Deals!$A$2:$A$355,0))=0,"",INDEX(Deals!$AG$2:$AG$355,MATCH($C153,Deals!$A$2:$A$355,0))),""))</f>
        <v/>
      </c>
      <c r="AI153" s="35">
        <f>IF(OR($AH153&lt;&gt;"",AND($AO153&gt;0,$AD153&lt;&gt;"",$AE153&lt;&gt;"")),$AF153,DATE(1900,1,1))</f>
        <v/>
      </c>
      <c r="AJ153" s="35">
        <f>IF($AH153&lt;&gt;"",$AH153,IF(AND($AO153&gt;0,$AD153&lt;&gt;"",$AE153&lt;&gt;""),$AG153,DATE(2100,12,31)))</f>
        <v/>
      </c>
      <c r="AK153" s="32">
        <f>IF($AH153="",$AC153,$AC153*$S153)</f>
        <v/>
      </c>
      <c r="AL153" s="35">
        <f>IF($AH153="",DATE(2100,12,31),$AH153+1)</f>
        <v/>
      </c>
      <c r="AM153" s="35">
        <f>IF($AH153="",DATE(1900,1,1),$AG153)</f>
        <v/>
      </c>
      <c r="AN153" s="32">
        <f>IF($AH153="",0,$AC153*$T153)</f>
        <v/>
      </c>
      <c r="AO153" s="46">
        <f>IF($C153="",0,IFERROR(INDEX(Deals!$BD$2:$BD$355,MATCH($C153,Deals!$A$2:$A$355,0)),0))</f>
        <v/>
      </c>
      <c r="AP153" s="18">
        <f>IF($AO153=0,0,IFERROR(INDEX(Deals!$BJ$2:$BP$355,MATCH($C153,Deals!$A$2:$A$355,0),MATCH($F153,Deals!$BJ$1:$BP$1,0))/COUNTIFS(Assignments!$C$2:$C$769,$C153,Assignments!$F$2:$F$769,$F153,Assignments!$G$2:$G$769,"Active"),0))</f>
        <v/>
      </c>
    </row>
    <row r="154">
      <c r="A154" s="28" t="inlineStr">
        <is>
          <t>Zack</t>
        </is>
      </c>
      <c r="B154" s="16">
        <f>IF($A154="","",IFERROR(INDEX(Roster!$B$2:$B$40,MATCH($A154,Roster!$A$2:$A$40,0)),"?"))</f>
        <v/>
      </c>
      <c r="C154" s="28" t="inlineStr">
        <is>
          <t>Redwood_2</t>
        </is>
      </c>
      <c r="D154" s="16">
        <f>IF($C154="","",IFERROR(IF(INDEX(Deals!$C$2:$C$355,MATCH($C154,Deals!$A$2:$A$355,0))=0,"",INDEX(Deals!$C$2:$C$355,MATCH($C154,Deals!$A$2:$A$355,0))),"?"))</f>
        <v/>
      </c>
      <c r="E154" s="16">
        <f>IF($C154="","",IFERROR(INDEX(Deals!$F$2:$F$355,MATCH($C154,Deals!$A$2:$A$355,0)),"?"))</f>
        <v/>
      </c>
      <c r="F154" s="28" t="inlineStr">
        <is>
          <t>MD</t>
        </is>
      </c>
      <c r="G154" s="28" t="inlineStr">
        <is>
          <t>Active</t>
        </is>
      </c>
      <c r="H154" s="31" t="n"/>
      <c r="I154" s="32">
        <f>IF(OR($A154="",$G154&lt;&gt;"Active"),0,IF($H154&lt;&gt;"",$H154,IF($AO154&gt;0,$AP154,IF(AND($R154&lt;&gt;"",IFERROR(INDEX(Templates!$B$3:$H$10,MATCH($R154,Templates!$A$3:$A$10,0),MATCH($F154,Templates!$B$2:$H$2,0)),0)&gt;0),INDEX(Templates!$B$3:$H$10,MATCH($R154,Templates!$A$3:$A$10,0),MATCH($F154,Templates!$B$2:$H$2,0)),IFERROR(INDEX(Settings!$B$8:$B$14,MATCH($F154,Settings!$A$8:$A$14,0)),0)))))</f>
        <v/>
      </c>
      <c r="J154" s="21">
        <f>IF($C154="",0,IFERROR(INDEX(Deals!$H$2:$H$355,MATCH($C154,Deals!$A$2:$A$355,0)),0))</f>
        <v/>
      </c>
      <c r="K154" s="32">
        <f>IF(Settings!$B$4="Yes",$I154*$J154,$I154)</f>
        <v/>
      </c>
      <c r="L154" s="22">
        <f>IF($C154="","",IFERROR(IF(INDEX(Deals!$I$2:$I$355,MATCH($C154,Deals!$A$2:$A$355,0))=0,"",INDEX(Deals!$I$2:$I$355,MATCH($C154,Deals!$A$2:$A$355,0))),""))</f>
        <v/>
      </c>
      <c r="M154" s="22">
        <f>IF($C154="","",IFERROR(IF(INDEX(Deals!$J$2:$J$355,MATCH($C154,Deals!$A$2:$A$355,0))=0,"",INDEX(Deals!$J$2:$J$355,MATCH($C154,Deals!$A$2:$A$355,0))),""))</f>
        <v/>
      </c>
      <c r="N154" s="35">
        <f>IF($L154="",DATE(1900,1,1),$L154)</f>
        <v/>
      </c>
      <c r="O154" s="35">
        <f>IF($M154="",DATE(2100,12,31),$M154)</f>
        <v/>
      </c>
      <c r="P154" s="20" t="inlineStr"/>
      <c r="Q154" s="47" t="inlineStr"/>
      <c r="R154" s="16">
        <f>IF($C154="","",IFERROR(IF(INDEX(Deals!$U$2:$U$355,MATCH($C154,Deals!$A$2:$A$355,0))=0,"",INDEX(Deals!$U$2:$U$355,MATCH($C154,Deals!$A$2:$A$355,0))),""))</f>
        <v/>
      </c>
      <c r="S154" s="34">
        <f>IFERROR(IF($U154="",1,INDEX(Deals!$V$2:$V$355,MATCH($C154,Deals!$A$2:$A$355,0))),1)</f>
        <v/>
      </c>
      <c r="T154" s="34">
        <f>IFERROR(IF($U154="",1,INDEX(Deals!$W$2:$W$355,MATCH($C154,Deals!$A$2:$A$355,0))),1)</f>
        <v/>
      </c>
      <c r="U154" s="22">
        <f>IF($C154="","",IFERROR(IF(INDEX(Deals!$Y$2:$Y$355,MATCH($C154,Deals!$A$2:$A$355,0))=0,"",INDEX(Deals!$Y$2:$Y$355,MATCH($C154,Deals!$A$2:$A$355,0))),""))</f>
        <v/>
      </c>
      <c r="V154" s="35">
        <f>IF(OR($U154&lt;&gt;"",AND($AO154&gt;0,$L154&lt;&gt;"",$M154&lt;&gt;"")),$N154,DATE(1900,1,1))</f>
        <v/>
      </c>
      <c r="W154" s="35">
        <f>IF($U154&lt;&gt;"",$U154,IF(AND($AO154&gt;0,$L154&lt;&gt;"",$M154&lt;&gt;""),$O154,DATE(2100,12,31)))</f>
        <v/>
      </c>
      <c r="X154" s="32">
        <f>IF($U154="",$K154,$K154*$S154)</f>
        <v/>
      </c>
      <c r="Y154" s="35">
        <f>IF($U154="",DATE(2100,12,31),$U154+1)</f>
        <v/>
      </c>
      <c r="Z154" s="35">
        <f>IF($U154="",DATE(1900,1,1),$O154)</f>
        <v/>
      </c>
      <c r="AA154" s="32">
        <f>IF($U154="",0,$K154*$T154)</f>
        <v/>
      </c>
      <c r="AB154" s="21">
        <f>IF($C154="",0,IFERROR(INDEX(Deals!$AD$2:$AD$355,MATCH($C154,Deals!$A$2:$A$355,0)),0))</f>
        <v/>
      </c>
      <c r="AC154" s="32">
        <f>IF(Settings!$B$4="Yes",$I154*$AB154,$I154)</f>
        <v/>
      </c>
      <c r="AD154" s="22">
        <f>IF($C154="","",IFERROR(IF(INDEX(Deals!$AE$2:$AE$355,MATCH($C154,Deals!$A$2:$A$355,0))=0,"",INDEX(Deals!$AE$2:$AE$355,MATCH($C154,Deals!$A$2:$A$355,0))),""))</f>
        <v/>
      </c>
      <c r="AE154" s="22">
        <f>IF($C154="","",IFERROR(IF(INDEX(Deals!$AF$2:$AF$355,MATCH($C154,Deals!$A$2:$A$355,0))=0,"",INDEX(Deals!$AF$2:$AF$355,MATCH($C154,Deals!$A$2:$A$355,0))),""))</f>
        <v/>
      </c>
      <c r="AF154" s="35">
        <f>IF($AD154="",DATE(1900,1,1),$AD154)</f>
        <v/>
      </c>
      <c r="AG154" s="35">
        <f>IF($AE154="",DATE(2100,12,31),$AE154)</f>
        <v/>
      </c>
      <c r="AH154" s="22">
        <f>IF($C154="","",IFERROR(IF(INDEX(Deals!$AG$2:$AG$355,MATCH($C154,Deals!$A$2:$A$355,0))=0,"",INDEX(Deals!$AG$2:$AG$355,MATCH($C154,Deals!$A$2:$A$355,0))),""))</f>
        <v/>
      </c>
      <c r="AI154" s="35">
        <f>IF(OR($AH154&lt;&gt;"",AND($AO154&gt;0,$AD154&lt;&gt;"",$AE154&lt;&gt;"")),$AF154,DATE(1900,1,1))</f>
        <v/>
      </c>
      <c r="AJ154" s="35">
        <f>IF($AH154&lt;&gt;"",$AH154,IF(AND($AO154&gt;0,$AD154&lt;&gt;"",$AE154&lt;&gt;""),$AG154,DATE(2100,12,31)))</f>
        <v/>
      </c>
      <c r="AK154" s="32">
        <f>IF($AH154="",$AC154,$AC154*$S154)</f>
        <v/>
      </c>
      <c r="AL154" s="35">
        <f>IF($AH154="",DATE(2100,12,31),$AH154+1)</f>
        <v/>
      </c>
      <c r="AM154" s="35">
        <f>IF($AH154="",DATE(1900,1,1),$AG154)</f>
        <v/>
      </c>
      <c r="AN154" s="32">
        <f>IF($AH154="",0,$AC154*$T154)</f>
        <v/>
      </c>
      <c r="AO154" s="46">
        <f>IF($C154="",0,IFERROR(INDEX(Deals!$BD$2:$BD$355,MATCH($C154,Deals!$A$2:$A$355,0)),0))</f>
        <v/>
      </c>
      <c r="AP154" s="18">
        <f>IF($AO154=0,0,IFERROR(INDEX(Deals!$BJ$2:$BP$355,MATCH($C154,Deals!$A$2:$A$355,0),MATCH($F154,Deals!$BJ$1:$BP$1,0))/COUNTIFS(Assignments!$C$2:$C$769,$C154,Assignments!$F$2:$F$769,$F154,Assignments!$G$2:$G$769,"Active"),0))</f>
        <v/>
      </c>
    </row>
    <row r="155">
      <c r="A155" s="28" t="inlineStr">
        <is>
          <t>Zack</t>
        </is>
      </c>
      <c r="B155" s="16">
        <f>IF($A155="","",IFERROR(INDEX(Roster!$B$2:$B$40,MATCH($A155,Roster!$A$2:$A$40,0)),"?"))</f>
        <v/>
      </c>
      <c r="C155" s="28" t="inlineStr">
        <is>
          <t>Ridgeline_2</t>
        </is>
      </c>
      <c r="D155" s="16">
        <f>IF($C155="","",IFERROR(IF(INDEX(Deals!$C$2:$C$355,MATCH($C155,Deals!$A$2:$A$355,0))=0,"",INDEX(Deals!$C$2:$C$355,MATCH($C155,Deals!$A$2:$A$355,0))),"?"))</f>
        <v/>
      </c>
      <c r="E155" s="16">
        <f>IF($C155="","",IFERROR(INDEX(Deals!$F$2:$F$355,MATCH($C155,Deals!$A$2:$A$355,0)),"?"))</f>
        <v/>
      </c>
      <c r="F155" s="28" t="inlineStr">
        <is>
          <t>MD</t>
        </is>
      </c>
      <c r="G155" s="28" t="inlineStr">
        <is>
          <t>Active</t>
        </is>
      </c>
      <c r="H155" s="31" t="n"/>
      <c r="I155" s="32">
        <f>IF(OR($A155="",$G155&lt;&gt;"Active"),0,IF($H155&lt;&gt;"",$H155,IF($AO155&gt;0,$AP155,IF(AND($R155&lt;&gt;"",IFERROR(INDEX(Templates!$B$3:$H$10,MATCH($R155,Templates!$A$3:$A$10,0),MATCH($F155,Templates!$B$2:$H$2,0)),0)&gt;0),INDEX(Templates!$B$3:$H$10,MATCH($R155,Templates!$A$3:$A$10,0),MATCH($F155,Templates!$B$2:$H$2,0)),IFERROR(INDEX(Settings!$B$8:$B$14,MATCH($F155,Settings!$A$8:$A$14,0)),0)))))</f>
        <v/>
      </c>
      <c r="J155" s="21">
        <f>IF($C155="",0,IFERROR(INDEX(Deals!$H$2:$H$355,MATCH($C155,Deals!$A$2:$A$355,0)),0))</f>
        <v/>
      </c>
      <c r="K155" s="32">
        <f>IF(Settings!$B$4="Yes",$I155*$J155,$I155)</f>
        <v/>
      </c>
      <c r="L155" s="22">
        <f>IF($C155="","",IFERROR(IF(INDEX(Deals!$I$2:$I$355,MATCH($C155,Deals!$A$2:$A$355,0))=0,"",INDEX(Deals!$I$2:$I$355,MATCH($C155,Deals!$A$2:$A$355,0))),""))</f>
        <v/>
      </c>
      <c r="M155" s="22">
        <f>IF($C155="","",IFERROR(IF(INDEX(Deals!$J$2:$J$355,MATCH($C155,Deals!$A$2:$A$355,0))=0,"",INDEX(Deals!$J$2:$J$355,MATCH($C155,Deals!$A$2:$A$355,0))),""))</f>
        <v/>
      </c>
      <c r="N155" s="35">
        <f>IF($L155="",DATE(1900,1,1),$L155)</f>
        <v/>
      </c>
      <c r="O155" s="35">
        <f>IF($M155="",DATE(2100,12,31),$M155)</f>
        <v/>
      </c>
      <c r="P155" s="20" t="inlineStr"/>
      <c r="Q155" s="47" t="inlineStr"/>
      <c r="R155" s="16">
        <f>IF($C155="","",IFERROR(IF(INDEX(Deals!$U$2:$U$355,MATCH($C155,Deals!$A$2:$A$355,0))=0,"",INDEX(Deals!$U$2:$U$355,MATCH($C155,Deals!$A$2:$A$355,0))),""))</f>
        <v/>
      </c>
      <c r="S155" s="34">
        <f>IFERROR(IF($U155="",1,INDEX(Deals!$V$2:$V$355,MATCH($C155,Deals!$A$2:$A$355,0))),1)</f>
        <v/>
      </c>
      <c r="T155" s="34">
        <f>IFERROR(IF($U155="",1,INDEX(Deals!$W$2:$W$355,MATCH($C155,Deals!$A$2:$A$355,0))),1)</f>
        <v/>
      </c>
      <c r="U155" s="22">
        <f>IF($C155="","",IFERROR(IF(INDEX(Deals!$Y$2:$Y$355,MATCH($C155,Deals!$A$2:$A$355,0))=0,"",INDEX(Deals!$Y$2:$Y$355,MATCH($C155,Deals!$A$2:$A$355,0))),""))</f>
        <v/>
      </c>
      <c r="V155" s="35">
        <f>IF(OR($U155&lt;&gt;"",AND($AO155&gt;0,$L155&lt;&gt;"",$M155&lt;&gt;"")),$N155,DATE(1900,1,1))</f>
        <v/>
      </c>
      <c r="W155" s="35">
        <f>IF($U155&lt;&gt;"",$U155,IF(AND($AO155&gt;0,$L155&lt;&gt;"",$M155&lt;&gt;""),$O155,DATE(2100,12,31)))</f>
        <v/>
      </c>
      <c r="X155" s="32">
        <f>IF($U155="",$K155,$K155*$S155)</f>
        <v/>
      </c>
      <c r="Y155" s="35">
        <f>IF($U155="",DATE(2100,12,31),$U155+1)</f>
        <v/>
      </c>
      <c r="Z155" s="35">
        <f>IF($U155="",DATE(1900,1,1),$O155)</f>
        <v/>
      </c>
      <c r="AA155" s="32">
        <f>IF($U155="",0,$K155*$T155)</f>
        <v/>
      </c>
      <c r="AB155" s="21">
        <f>IF($C155="",0,IFERROR(INDEX(Deals!$AD$2:$AD$355,MATCH($C155,Deals!$A$2:$A$355,0)),0))</f>
        <v/>
      </c>
      <c r="AC155" s="32">
        <f>IF(Settings!$B$4="Yes",$I155*$AB155,$I155)</f>
        <v/>
      </c>
      <c r="AD155" s="22">
        <f>IF($C155="","",IFERROR(IF(INDEX(Deals!$AE$2:$AE$355,MATCH($C155,Deals!$A$2:$A$355,0))=0,"",INDEX(Deals!$AE$2:$AE$355,MATCH($C155,Deals!$A$2:$A$355,0))),""))</f>
        <v/>
      </c>
      <c r="AE155" s="22">
        <f>IF($C155="","",IFERROR(IF(INDEX(Deals!$AF$2:$AF$355,MATCH($C155,Deals!$A$2:$A$355,0))=0,"",INDEX(Deals!$AF$2:$AF$355,MATCH($C155,Deals!$A$2:$A$355,0))),""))</f>
        <v/>
      </c>
      <c r="AF155" s="35">
        <f>IF($AD155="",DATE(1900,1,1),$AD155)</f>
        <v/>
      </c>
      <c r="AG155" s="35">
        <f>IF($AE155="",DATE(2100,12,31),$AE155)</f>
        <v/>
      </c>
      <c r="AH155" s="22">
        <f>IF($C155="","",IFERROR(IF(INDEX(Deals!$AG$2:$AG$355,MATCH($C155,Deals!$A$2:$A$355,0))=0,"",INDEX(Deals!$AG$2:$AG$355,MATCH($C155,Deals!$A$2:$A$355,0))),""))</f>
        <v/>
      </c>
      <c r="AI155" s="35">
        <f>IF(OR($AH155&lt;&gt;"",AND($AO155&gt;0,$AD155&lt;&gt;"",$AE155&lt;&gt;"")),$AF155,DATE(1900,1,1))</f>
        <v/>
      </c>
      <c r="AJ155" s="35">
        <f>IF($AH155&lt;&gt;"",$AH155,IF(AND($AO155&gt;0,$AD155&lt;&gt;"",$AE155&lt;&gt;""),$AG155,DATE(2100,12,31)))</f>
        <v/>
      </c>
      <c r="AK155" s="32">
        <f>IF($AH155="",$AC155,$AC155*$S155)</f>
        <v/>
      </c>
      <c r="AL155" s="35">
        <f>IF($AH155="",DATE(2100,12,31),$AH155+1)</f>
        <v/>
      </c>
      <c r="AM155" s="35">
        <f>IF($AH155="",DATE(1900,1,1),$AG155)</f>
        <v/>
      </c>
      <c r="AN155" s="32">
        <f>IF($AH155="",0,$AC155*$T155)</f>
        <v/>
      </c>
      <c r="AO155" s="46">
        <f>IF($C155="",0,IFERROR(INDEX(Deals!$BD$2:$BD$355,MATCH($C155,Deals!$A$2:$A$355,0)),0))</f>
        <v/>
      </c>
      <c r="AP155" s="18">
        <f>IF($AO155=0,0,IFERROR(INDEX(Deals!$BJ$2:$BP$355,MATCH($C155,Deals!$A$2:$A$355,0),MATCH($F155,Deals!$BJ$1:$BP$1,0))/COUNTIFS(Assignments!$C$2:$C$769,$C155,Assignments!$F$2:$F$769,$F155,Assignments!$G$2:$G$769,"Active"),0))</f>
        <v/>
      </c>
    </row>
    <row r="156">
      <c r="A156" s="28" t="inlineStr">
        <is>
          <t>Zack</t>
        </is>
      </c>
      <c r="B156" s="16">
        <f>IF($A156="","",IFERROR(INDEX(Roster!$B$2:$B$40,MATCH($A156,Roster!$A$2:$A$40,0)),"?"))</f>
        <v/>
      </c>
      <c r="C156" s="28" t="inlineStr">
        <is>
          <t>Roadrunner_1</t>
        </is>
      </c>
      <c r="D156" s="16">
        <f>IF($C156="","",IFERROR(IF(INDEX(Deals!$C$2:$C$355,MATCH($C156,Deals!$A$2:$A$355,0))=0,"",INDEX(Deals!$C$2:$C$355,MATCH($C156,Deals!$A$2:$A$355,0))),"?"))</f>
        <v/>
      </c>
      <c r="E156" s="16">
        <f>IF($C156="","",IFERROR(INDEX(Deals!$F$2:$F$355,MATCH($C156,Deals!$A$2:$A$355,0)),"?"))</f>
        <v/>
      </c>
      <c r="F156" s="28" t="inlineStr">
        <is>
          <t>MD</t>
        </is>
      </c>
      <c r="G156" s="28" t="inlineStr">
        <is>
          <t>Active</t>
        </is>
      </c>
      <c r="H156" s="31" t="n"/>
      <c r="I156" s="32">
        <f>IF(OR($A156="",$G156&lt;&gt;"Active"),0,IF($H156&lt;&gt;"",$H156,IF($AO156&gt;0,$AP156,IF(AND($R156&lt;&gt;"",IFERROR(INDEX(Templates!$B$3:$H$10,MATCH($R156,Templates!$A$3:$A$10,0),MATCH($F156,Templates!$B$2:$H$2,0)),0)&gt;0),INDEX(Templates!$B$3:$H$10,MATCH($R156,Templates!$A$3:$A$10,0),MATCH($F156,Templates!$B$2:$H$2,0)),IFERROR(INDEX(Settings!$B$8:$B$14,MATCH($F156,Settings!$A$8:$A$14,0)),0)))))</f>
        <v/>
      </c>
      <c r="J156" s="21">
        <f>IF($C156="",0,IFERROR(INDEX(Deals!$H$2:$H$355,MATCH($C156,Deals!$A$2:$A$355,0)),0))</f>
        <v/>
      </c>
      <c r="K156" s="32">
        <f>IF(Settings!$B$4="Yes",$I156*$J156,$I156)</f>
        <v/>
      </c>
      <c r="L156" s="22">
        <f>IF($C156="","",IFERROR(IF(INDEX(Deals!$I$2:$I$355,MATCH($C156,Deals!$A$2:$A$355,0))=0,"",INDEX(Deals!$I$2:$I$355,MATCH($C156,Deals!$A$2:$A$355,0))),""))</f>
        <v/>
      </c>
      <c r="M156" s="22">
        <f>IF($C156="","",IFERROR(IF(INDEX(Deals!$J$2:$J$355,MATCH($C156,Deals!$A$2:$A$355,0))=0,"",INDEX(Deals!$J$2:$J$355,MATCH($C156,Deals!$A$2:$A$355,0))),""))</f>
        <v/>
      </c>
      <c r="N156" s="35">
        <f>IF($L156="",DATE(1900,1,1),$L156)</f>
        <v/>
      </c>
      <c r="O156" s="35">
        <f>IF($M156="",DATE(2100,12,31),$M156)</f>
        <v/>
      </c>
      <c r="P156" s="20" t="inlineStr"/>
      <c r="Q156" s="47" t="inlineStr"/>
      <c r="R156" s="16">
        <f>IF($C156="","",IFERROR(IF(INDEX(Deals!$U$2:$U$355,MATCH($C156,Deals!$A$2:$A$355,0))=0,"",INDEX(Deals!$U$2:$U$355,MATCH($C156,Deals!$A$2:$A$355,0))),""))</f>
        <v/>
      </c>
      <c r="S156" s="34">
        <f>IFERROR(IF($U156="",1,INDEX(Deals!$V$2:$V$355,MATCH($C156,Deals!$A$2:$A$355,0))),1)</f>
        <v/>
      </c>
      <c r="T156" s="34">
        <f>IFERROR(IF($U156="",1,INDEX(Deals!$W$2:$W$355,MATCH($C156,Deals!$A$2:$A$355,0))),1)</f>
        <v/>
      </c>
      <c r="U156" s="22">
        <f>IF($C156="","",IFERROR(IF(INDEX(Deals!$Y$2:$Y$355,MATCH($C156,Deals!$A$2:$A$355,0))=0,"",INDEX(Deals!$Y$2:$Y$355,MATCH($C156,Deals!$A$2:$A$355,0))),""))</f>
        <v/>
      </c>
      <c r="V156" s="35">
        <f>IF(OR($U156&lt;&gt;"",AND($AO156&gt;0,$L156&lt;&gt;"",$M156&lt;&gt;"")),$N156,DATE(1900,1,1))</f>
        <v/>
      </c>
      <c r="W156" s="35">
        <f>IF($U156&lt;&gt;"",$U156,IF(AND($AO156&gt;0,$L156&lt;&gt;"",$M156&lt;&gt;""),$O156,DATE(2100,12,31)))</f>
        <v/>
      </c>
      <c r="X156" s="32">
        <f>IF($U156="",$K156,$K156*$S156)</f>
        <v/>
      </c>
      <c r="Y156" s="35">
        <f>IF($U156="",DATE(2100,12,31),$U156+1)</f>
        <v/>
      </c>
      <c r="Z156" s="35">
        <f>IF($U156="",DATE(1900,1,1),$O156)</f>
        <v/>
      </c>
      <c r="AA156" s="32">
        <f>IF($U156="",0,$K156*$T156)</f>
        <v/>
      </c>
      <c r="AB156" s="21">
        <f>IF($C156="",0,IFERROR(INDEX(Deals!$AD$2:$AD$355,MATCH($C156,Deals!$A$2:$A$355,0)),0))</f>
        <v/>
      </c>
      <c r="AC156" s="32">
        <f>IF(Settings!$B$4="Yes",$I156*$AB156,$I156)</f>
        <v/>
      </c>
      <c r="AD156" s="22">
        <f>IF($C156="","",IFERROR(IF(INDEX(Deals!$AE$2:$AE$355,MATCH($C156,Deals!$A$2:$A$355,0))=0,"",INDEX(Deals!$AE$2:$AE$355,MATCH($C156,Deals!$A$2:$A$355,0))),""))</f>
        <v/>
      </c>
      <c r="AE156" s="22">
        <f>IF($C156="","",IFERROR(IF(INDEX(Deals!$AF$2:$AF$355,MATCH($C156,Deals!$A$2:$A$355,0))=0,"",INDEX(Deals!$AF$2:$AF$355,MATCH($C156,Deals!$A$2:$A$355,0))),""))</f>
        <v/>
      </c>
      <c r="AF156" s="35">
        <f>IF($AD156="",DATE(1900,1,1),$AD156)</f>
        <v/>
      </c>
      <c r="AG156" s="35">
        <f>IF($AE156="",DATE(2100,12,31),$AE156)</f>
        <v/>
      </c>
      <c r="AH156" s="22">
        <f>IF($C156="","",IFERROR(IF(INDEX(Deals!$AG$2:$AG$355,MATCH($C156,Deals!$A$2:$A$355,0))=0,"",INDEX(Deals!$AG$2:$AG$355,MATCH($C156,Deals!$A$2:$A$355,0))),""))</f>
        <v/>
      </c>
      <c r="AI156" s="35">
        <f>IF(OR($AH156&lt;&gt;"",AND($AO156&gt;0,$AD156&lt;&gt;"",$AE156&lt;&gt;"")),$AF156,DATE(1900,1,1))</f>
        <v/>
      </c>
      <c r="AJ156" s="35">
        <f>IF($AH156&lt;&gt;"",$AH156,IF(AND($AO156&gt;0,$AD156&lt;&gt;"",$AE156&lt;&gt;""),$AG156,DATE(2100,12,31)))</f>
        <v/>
      </c>
      <c r="AK156" s="32">
        <f>IF($AH156="",$AC156,$AC156*$S156)</f>
        <v/>
      </c>
      <c r="AL156" s="35">
        <f>IF($AH156="",DATE(2100,12,31),$AH156+1)</f>
        <v/>
      </c>
      <c r="AM156" s="35">
        <f>IF($AH156="",DATE(1900,1,1),$AG156)</f>
        <v/>
      </c>
      <c r="AN156" s="32">
        <f>IF($AH156="",0,$AC156*$T156)</f>
        <v/>
      </c>
      <c r="AO156" s="46">
        <f>IF($C156="",0,IFERROR(INDEX(Deals!$BD$2:$BD$355,MATCH($C156,Deals!$A$2:$A$355,0)),0))</f>
        <v/>
      </c>
      <c r="AP156" s="18">
        <f>IF($AO156=0,0,IFERROR(INDEX(Deals!$BJ$2:$BP$355,MATCH($C156,Deals!$A$2:$A$355,0),MATCH($F156,Deals!$BJ$1:$BP$1,0))/COUNTIFS(Assignments!$C$2:$C$769,$C156,Assignments!$F$2:$F$769,$F156,Assignments!$G$2:$G$769,"Active"),0))</f>
        <v/>
      </c>
    </row>
    <row r="157">
      <c r="A157" s="28" t="inlineStr">
        <is>
          <t>Zack</t>
        </is>
      </c>
      <c r="B157" s="16">
        <f>IF($A157="","",IFERROR(INDEX(Roster!$B$2:$B$40,MATCH($A157,Roster!$A$2:$A$40,0)),"?"))</f>
        <v/>
      </c>
      <c r="C157" s="28" t="inlineStr">
        <is>
          <t>Soltra_1</t>
        </is>
      </c>
      <c r="D157" s="16">
        <f>IF($C157="","",IFERROR(IF(INDEX(Deals!$C$2:$C$355,MATCH($C157,Deals!$A$2:$A$355,0))=0,"",INDEX(Deals!$C$2:$C$355,MATCH($C157,Deals!$A$2:$A$355,0))),"?"))</f>
        <v/>
      </c>
      <c r="E157" s="16">
        <f>IF($C157="","",IFERROR(INDEX(Deals!$F$2:$F$355,MATCH($C157,Deals!$A$2:$A$355,0)),"?"))</f>
        <v/>
      </c>
      <c r="F157" s="28" t="inlineStr">
        <is>
          <t>MD</t>
        </is>
      </c>
      <c r="G157" s="28" t="inlineStr">
        <is>
          <t>Active</t>
        </is>
      </c>
      <c r="H157" s="31" t="n"/>
      <c r="I157" s="32">
        <f>IF(OR($A157="",$G157&lt;&gt;"Active"),0,IF($H157&lt;&gt;"",$H157,IF($AO157&gt;0,$AP157,IF(AND($R157&lt;&gt;"",IFERROR(INDEX(Templates!$B$3:$H$10,MATCH($R157,Templates!$A$3:$A$10,0),MATCH($F157,Templates!$B$2:$H$2,0)),0)&gt;0),INDEX(Templates!$B$3:$H$10,MATCH($R157,Templates!$A$3:$A$10,0),MATCH($F157,Templates!$B$2:$H$2,0)),IFERROR(INDEX(Settings!$B$8:$B$14,MATCH($F157,Settings!$A$8:$A$14,0)),0)))))</f>
        <v/>
      </c>
      <c r="J157" s="21">
        <f>IF($C157="",0,IFERROR(INDEX(Deals!$H$2:$H$355,MATCH($C157,Deals!$A$2:$A$355,0)),0))</f>
        <v/>
      </c>
      <c r="K157" s="32">
        <f>IF(Settings!$B$4="Yes",$I157*$J157,$I157)</f>
        <v/>
      </c>
      <c r="L157" s="22">
        <f>IF($C157="","",IFERROR(IF(INDEX(Deals!$I$2:$I$355,MATCH($C157,Deals!$A$2:$A$355,0))=0,"",INDEX(Deals!$I$2:$I$355,MATCH($C157,Deals!$A$2:$A$355,0))),""))</f>
        <v/>
      </c>
      <c r="M157" s="22">
        <f>IF($C157="","",IFERROR(IF(INDEX(Deals!$J$2:$J$355,MATCH($C157,Deals!$A$2:$A$355,0))=0,"",INDEX(Deals!$J$2:$J$355,MATCH($C157,Deals!$A$2:$A$355,0))),""))</f>
        <v/>
      </c>
      <c r="N157" s="35">
        <f>IF($L157="",DATE(1900,1,1),$L157)</f>
        <v/>
      </c>
      <c r="O157" s="35">
        <f>IF($M157="",DATE(2100,12,31),$M157)</f>
        <v/>
      </c>
      <c r="P157" s="20" t="inlineStr"/>
      <c r="Q157" s="47" t="inlineStr"/>
      <c r="R157" s="16">
        <f>IF($C157="","",IFERROR(IF(INDEX(Deals!$U$2:$U$355,MATCH($C157,Deals!$A$2:$A$355,0))=0,"",INDEX(Deals!$U$2:$U$355,MATCH($C157,Deals!$A$2:$A$355,0))),""))</f>
        <v/>
      </c>
      <c r="S157" s="34">
        <f>IFERROR(IF($U157="",1,INDEX(Deals!$V$2:$V$355,MATCH($C157,Deals!$A$2:$A$355,0))),1)</f>
        <v/>
      </c>
      <c r="T157" s="34">
        <f>IFERROR(IF($U157="",1,INDEX(Deals!$W$2:$W$355,MATCH($C157,Deals!$A$2:$A$355,0))),1)</f>
        <v/>
      </c>
      <c r="U157" s="22">
        <f>IF($C157="","",IFERROR(IF(INDEX(Deals!$Y$2:$Y$355,MATCH($C157,Deals!$A$2:$A$355,0))=0,"",INDEX(Deals!$Y$2:$Y$355,MATCH($C157,Deals!$A$2:$A$355,0))),""))</f>
        <v/>
      </c>
      <c r="V157" s="35">
        <f>IF(OR($U157&lt;&gt;"",AND($AO157&gt;0,$L157&lt;&gt;"",$M157&lt;&gt;"")),$N157,DATE(1900,1,1))</f>
        <v/>
      </c>
      <c r="W157" s="35">
        <f>IF($U157&lt;&gt;"",$U157,IF(AND($AO157&gt;0,$L157&lt;&gt;"",$M157&lt;&gt;""),$O157,DATE(2100,12,31)))</f>
        <v/>
      </c>
      <c r="X157" s="32">
        <f>IF($U157="",$K157,$K157*$S157)</f>
        <v/>
      </c>
      <c r="Y157" s="35">
        <f>IF($U157="",DATE(2100,12,31),$U157+1)</f>
        <v/>
      </c>
      <c r="Z157" s="35">
        <f>IF($U157="",DATE(1900,1,1),$O157)</f>
        <v/>
      </c>
      <c r="AA157" s="32">
        <f>IF($U157="",0,$K157*$T157)</f>
        <v/>
      </c>
      <c r="AB157" s="21">
        <f>IF($C157="",0,IFERROR(INDEX(Deals!$AD$2:$AD$355,MATCH($C157,Deals!$A$2:$A$355,0)),0))</f>
        <v/>
      </c>
      <c r="AC157" s="32">
        <f>IF(Settings!$B$4="Yes",$I157*$AB157,$I157)</f>
        <v/>
      </c>
      <c r="AD157" s="22">
        <f>IF($C157="","",IFERROR(IF(INDEX(Deals!$AE$2:$AE$355,MATCH($C157,Deals!$A$2:$A$355,0))=0,"",INDEX(Deals!$AE$2:$AE$355,MATCH($C157,Deals!$A$2:$A$355,0))),""))</f>
        <v/>
      </c>
      <c r="AE157" s="22">
        <f>IF($C157="","",IFERROR(IF(INDEX(Deals!$AF$2:$AF$355,MATCH($C157,Deals!$A$2:$A$355,0))=0,"",INDEX(Deals!$AF$2:$AF$355,MATCH($C157,Deals!$A$2:$A$355,0))),""))</f>
        <v/>
      </c>
      <c r="AF157" s="35">
        <f>IF($AD157="",DATE(1900,1,1),$AD157)</f>
        <v/>
      </c>
      <c r="AG157" s="35">
        <f>IF($AE157="",DATE(2100,12,31),$AE157)</f>
        <v/>
      </c>
      <c r="AH157" s="22">
        <f>IF($C157="","",IFERROR(IF(INDEX(Deals!$AG$2:$AG$355,MATCH($C157,Deals!$A$2:$A$355,0))=0,"",INDEX(Deals!$AG$2:$AG$355,MATCH($C157,Deals!$A$2:$A$355,0))),""))</f>
        <v/>
      </c>
      <c r="AI157" s="35">
        <f>IF(OR($AH157&lt;&gt;"",AND($AO157&gt;0,$AD157&lt;&gt;"",$AE157&lt;&gt;"")),$AF157,DATE(1900,1,1))</f>
        <v/>
      </c>
      <c r="AJ157" s="35">
        <f>IF($AH157&lt;&gt;"",$AH157,IF(AND($AO157&gt;0,$AD157&lt;&gt;"",$AE157&lt;&gt;""),$AG157,DATE(2100,12,31)))</f>
        <v/>
      </c>
      <c r="AK157" s="32">
        <f>IF($AH157="",$AC157,$AC157*$S157)</f>
        <v/>
      </c>
      <c r="AL157" s="35">
        <f>IF($AH157="",DATE(2100,12,31),$AH157+1)</f>
        <v/>
      </c>
      <c r="AM157" s="35">
        <f>IF($AH157="",DATE(1900,1,1),$AG157)</f>
        <v/>
      </c>
      <c r="AN157" s="32">
        <f>IF($AH157="",0,$AC157*$T157)</f>
        <v/>
      </c>
      <c r="AO157" s="46">
        <f>IF($C157="",0,IFERROR(INDEX(Deals!$BD$2:$BD$355,MATCH($C157,Deals!$A$2:$A$355,0)),0))</f>
        <v/>
      </c>
      <c r="AP157" s="18">
        <f>IF($AO157=0,0,IFERROR(INDEX(Deals!$BJ$2:$BP$355,MATCH($C157,Deals!$A$2:$A$355,0),MATCH($F157,Deals!$BJ$1:$BP$1,0))/COUNTIFS(Assignments!$C$2:$C$769,$C157,Assignments!$F$2:$F$769,$F157,Assignments!$G$2:$G$769,"Active"),0))</f>
        <v/>
      </c>
    </row>
    <row r="158">
      <c r="A158" s="28" t="inlineStr">
        <is>
          <t>Zack</t>
        </is>
      </c>
      <c r="B158" s="16">
        <f>IF($A158="","",IFERROR(INDEX(Roster!$B$2:$B$40,MATCH($A158,Roster!$A$2:$A$40,0)),"?"))</f>
        <v/>
      </c>
      <c r="C158" s="28" t="inlineStr">
        <is>
          <t>Steam_2</t>
        </is>
      </c>
      <c r="D158" s="16">
        <f>IF($C158="","",IFERROR(IF(INDEX(Deals!$C$2:$C$355,MATCH($C158,Deals!$A$2:$A$355,0))=0,"",INDEX(Deals!$C$2:$C$355,MATCH($C158,Deals!$A$2:$A$355,0))),"?"))</f>
        <v/>
      </c>
      <c r="E158" s="16">
        <f>IF($C158="","",IFERROR(INDEX(Deals!$F$2:$F$355,MATCH($C158,Deals!$A$2:$A$355,0)),"?"))</f>
        <v/>
      </c>
      <c r="F158" s="28" t="inlineStr">
        <is>
          <t>MD</t>
        </is>
      </c>
      <c r="G158" s="28" t="inlineStr">
        <is>
          <t>Active</t>
        </is>
      </c>
      <c r="H158" s="31" t="n"/>
      <c r="I158" s="32">
        <f>IF(OR($A158="",$G158&lt;&gt;"Active"),0,IF($H158&lt;&gt;"",$H158,IF($AO158&gt;0,$AP158,IF(AND($R158&lt;&gt;"",IFERROR(INDEX(Templates!$B$3:$H$10,MATCH($R158,Templates!$A$3:$A$10,0),MATCH($F158,Templates!$B$2:$H$2,0)),0)&gt;0),INDEX(Templates!$B$3:$H$10,MATCH($R158,Templates!$A$3:$A$10,0),MATCH($F158,Templates!$B$2:$H$2,0)),IFERROR(INDEX(Settings!$B$8:$B$14,MATCH($F158,Settings!$A$8:$A$14,0)),0)))))</f>
        <v/>
      </c>
      <c r="J158" s="21">
        <f>IF($C158="",0,IFERROR(INDEX(Deals!$H$2:$H$355,MATCH($C158,Deals!$A$2:$A$355,0)),0))</f>
        <v/>
      </c>
      <c r="K158" s="32">
        <f>IF(Settings!$B$4="Yes",$I158*$J158,$I158)</f>
        <v/>
      </c>
      <c r="L158" s="22">
        <f>IF($C158="","",IFERROR(IF(INDEX(Deals!$I$2:$I$355,MATCH($C158,Deals!$A$2:$A$355,0))=0,"",INDEX(Deals!$I$2:$I$355,MATCH($C158,Deals!$A$2:$A$355,0))),""))</f>
        <v/>
      </c>
      <c r="M158" s="22">
        <f>IF($C158="","",IFERROR(IF(INDEX(Deals!$J$2:$J$355,MATCH($C158,Deals!$A$2:$A$355,0))=0,"",INDEX(Deals!$J$2:$J$355,MATCH($C158,Deals!$A$2:$A$355,0))),""))</f>
        <v/>
      </c>
      <c r="N158" s="35">
        <f>IF($L158="",DATE(1900,1,1),$L158)</f>
        <v/>
      </c>
      <c r="O158" s="35">
        <f>IF($M158="",DATE(2100,12,31),$M158)</f>
        <v/>
      </c>
      <c r="P158" s="20" t="inlineStr"/>
      <c r="Q158" s="47" t="inlineStr"/>
      <c r="R158" s="16">
        <f>IF($C158="","",IFERROR(IF(INDEX(Deals!$U$2:$U$355,MATCH($C158,Deals!$A$2:$A$355,0))=0,"",INDEX(Deals!$U$2:$U$355,MATCH($C158,Deals!$A$2:$A$355,0))),""))</f>
        <v/>
      </c>
      <c r="S158" s="34">
        <f>IFERROR(IF($U158="",1,INDEX(Deals!$V$2:$V$355,MATCH($C158,Deals!$A$2:$A$355,0))),1)</f>
        <v/>
      </c>
      <c r="T158" s="34">
        <f>IFERROR(IF($U158="",1,INDEX(Deals!$W$2:$W$355,MATCH($C158,Deals!$A$2:$A$355,0))),1)</f>
        <v/>
      </c>
      <c r="U158" s="22">
        <f>IF($C158="","",IFERROR(IF(INDEX(Deals!$Y$2:$Y$355,MATCH($C158,Deals!$A$2:$A$355,0))=0,"",INDEX(Deals!$Y$2:$Y$355,MATCH($C158,Deals!$A$2:$A$355,0))),""))</f>
        <v/>
      </c>
      <c r="V158" s="35">
        <f>IF(OR($U158&lt;&gt;"",AND($AO158&gt;0,$L158&lt;&gt;"",$M158&lt;&gt;"")),$N158,DATE(1900,1,1))</f>
        <v/>
      </c>
      <c r="W158" s="35">
        <f>IF($U158&lt;&gt;"",$U158,IF(AND($AO158&gt;0,$L158&lt;&gt;"",$M158&lt;&gt;""),$O158,DATE(2100,12,31)))</f>
        <v/>
      </c>
      <c r="X158" s="32">
        <f>IF($U158="",$K158,$K158*$S158)</f>
        <v/>
      </c>
      <c r="Y158" s="35">
        <f>IF($U158="",DATE(2100,12,31),$U158+1)</f>
        <v/>
      </c>
      <c r="Z158" s="35">
        <f>IF($U158="",DATE(1900,1,1),$O158)</f>
        <v/>
      </c>
      <c r="AA158" s="32">
        <f>IF($U158="",0,$K158*$T158)</f>
        <v/>
      </c>
      <c r="AB158" s="21">
        <f>IF($C158="",0,IFERROR(INDEX(Deals!$AD$2:$AD$355,MATCH($C158,Deals!$A$2:$A$355,0)),0))</f>
        <v/>
      </c>
      <c r="AC158" s="32">
        <f>IF(Settings!$B$4="Yes",$I158*$AB158,$I158)</f>
        <v/>
      </c>
      <c r="AD158" s="22">
        <f>IF($C158="","",IFERROR(IF(INDEX(Deals!$AE$2:$AE$355,MATCH($C158,Deals!$A$2:$A$355,0))=0,"",INDEX(Deals!$AE$2:$AE$355,MATCH($C158,Deals!$A$2:$A$355,0))),""))</f>
        <v/>
      </c>
      <c r="AE158" s="22">
        <f>IF($C158="","",IFERROR(IF(INDEX(Deals!$AF$2:$AF$355,MATCH($C158,Deals!$A$2:$A$355,0))=0,"",INDEX(Deals!$AF$2:$AF$355,MATCH($C158,Deals!$A$2:$A$355,0))),""))</f>
        <v/>
      </c>
      <c r="AF158" s="35">
        <f>IF($AD158="",DATE(1900,1,1),$AD158)</f>
        <v/>
      </c>
      <c r="AG158" s="35">
        <f>IF($AE158="",DATE(2100,12,31),$AE158)</f>
        <v/>
      </c>
      <c r="AH158" s="22">
        <f>IF($C158="","",IFERROR(IF(INDEX(Deals!$AG$2:$AG$355,MATCH($C158,Deals!$A$2:$A$355,0))=0,"",INDEX(Deals!$AG$2:$AG$355,MATCH($C158,Deals!$A$2:$A$355,0))),""))</f>
        <v/>
      </c>
      <c r="AI158" s="35">
        <f>IF(OR($AH158&lt;&gt;"",AND($AO158&gt;0,$AD158&lt;&gt;"",$AE158&lt;&gt;"")),$AF158,DATE(1900,1,1))</f>
        <v/>
      </c>
      <c r="AJ158" s="35">
        <f>IF($AH158&lt;&gt;"",$AH158,IF(AND($AO158&gt;0,$AD158&lt;&gt;"",$AE158&lt;&gt;""),$AG158,DATE(2100,12,31)))</f>
        <v/>
      </c>
      <c r="AK158" s="32">
        <f>IF($AH158="",$AC158,$AC158*$S158)</f>
        <v/>
      </c>
      <c r="AL158" s="35">
        <f>IF($AH158="",DATE(2100,12,31),$AH158+1)</f>
        <v/>
      </c>
      <c r="AM158" s="35">
        <f>IF($AH158="",DATE(1900,1,1),$AG158)</f>
        <v/>
      </c>
      <c r="AN158" s="32">
        <f>IF($AH158="",0,$AC158*$T158)</f>
        <v/>
      </c>
      <c r="AO158" s="46">
        <f>IF($C158="",0,IFERROR(INDEX(Deals!$BD$2:$BD$355,MATCH($C158,Deals!$A$2:$A$355,0)),0))</f>
        <v/>
      </c>
      <c r="AP158" s="18">
        <f>IF($AO158=0,0,IFERROR(INDEX(Deals!$BJ$2:$BP$355,MATCH($C158,Deals!$A$2:$A$355,0),MATCH($F158,Deals!$BJ$1:$BP$1,0))/COUNTIFS(Assignments!$C$2:$C$769,$C158,Assignments!$F$2:$F$769,$F158,Assignments!$G$2:$G$769,"Active"),0))</f>
        <v/>
      </c>
    </row>
    <row r="159">
      <c r="A159" s="28" t="inlineStr">
        <is>
          <t>Zack</t>
        </is>
      </c>
      <c r="B159" s="16">
        <f>IF($A159="","",IFERROR(INDEX(Roster!$B$2:$B$40,MATCH($A159,Roster!$A$2:$A$40,0)),"?"))</f>
        <v/>
      </c>
      <c r="C159" s="28" t="inlineStr">
        <is>
          <t>Tracer II_2</t>
        </is>
      </c>
      <c r="D159" s="16">
        <f>IF($C159="","",IFERROR(IF(INDEX(Deals!$C$2:$C$355,MATCH($C159,Deals!$A$2:$A$355,0))=0,"",INDEX(Deals!$C$2:$C$355,MATCH($C159,Deals!$A$2:$A$355,0))),"?"))</f>
        <v/>
      </c>
      <c r="E159" s="16">
        <f>IF($C159="","",IFERROR(INDEX(Deals!$F$2:$F$355,MATCH($C159,Deals!$A$2:$A$355,0)),"?"))</f>
        <v/>
      </c>
      <c r="F159" s="28" t="inlineStr">
        <is>
          <t>MD</t>
        </is>
      </c>
      <c r="G159" s="28" t="inlineStr">
        <is>
          <t>Active</t>
        </is>
      </c>
      <c r="H159" s="31" t="n"/>
      <c r="I159" s="32">
        <f>IF(OR($A159="",$G159&lt;&gt;"Active"),0,IF($H159&lt;&gt;"",$H159,IF($AO159&gt;0,$AP159,IF(AND($R159&lt;&gt;"",IFERROR(INDEX(Templates!$B$3:$H$10,MATCH($R159,Templates!$A$3:$A$10,0),MATCH($F159,Templates!$B$2:$H$2,0)),0)&gt;0),INDEX(Templates!$B$3:$H$10,MATCH($R159,Templates!$A$3:$A$10,0),MATCH($F159,Templates!$B$2:$H$2,0)),IFERROR(INDEX(Settings!$B$8:$B$14,MATCH($F159,Settings!$A$8:$A$14,0)),0)))))</f>
        <v/>
      </c>
      <c r="J159" s="21">
        <f>IF($C159="",0,IFERROR(INDEX(Deals!$H$2:$H$355,MATCH($C159,Deals!$A$2:$A$355,0)),0))</f>
        <v/>
      </c>
      <c r="K159" s="32">
        <f>IF(Settings!$B$4="Yes",$I159*$J159,$I159)</f>
        <v/>
      </c>
      <c r="L159" s="22">
        <f>IF($C159="","",IFERROR(IF(INDEX(Deals!$I$2:$I$355,MATCH($C159,Deals!$A$2:$A$355,0))=0,"",INDEX(Deals!$I$2:$I$355,MATCH($C159,Deals!$A$2:$A$355,0))),""))</f>
        <v/>
      </c>
      <c r="M159" s="22">
        <f>IF($C159="","",IFERROR(IF(INDEX(Deals!$J$2:$J$355,MATCH($C159,Deals!$A$2:$A$355,0))=0,"",INDEX(Deals!$J$2:$J$355,MATCH($C159,Deals!$A$2:$A$355,0))),""))</f>
        <v/>
      </c>
      <c r="N159" s="35">
        <f>IF($L159="",DATE(1900,1,1),$L159)</f>
        <v/>
      </c>
      <c r="O159" s="35">
        <f>IF($M159="",DATE(2100,12,31),$M159)</f>
        <v/>
      </c>
      <c r="P159" s="20" t="inlineStr"/>
      <c r="Q159" s="47" t="inlineStr"/>
      <c r="R159" s="16">
        <f>IF($C159="","",IFERROR(IF(INDEX(Deals!$U$2:$U$355,MATCH($C159,Deals!$A$2:$A$355,0))=0,"",INDEX(Deals!$U$2:$U$355,MATCH($C159,Deals!$A$2:$A$355,0))),""))</f>
        <v/>
      </c>
      <c r="S159" s="34">
        <f>IFERROR(IF($U159="",1,INDEX(Deals!$V$2:$V$355,MATCH($C159,Deals!$A$2:$A$355,0))),1)</f>
        <v/>
      </c>
      <c r="T159" s="34">
        <f>IFERROR(IF($U159="",1,INDEX(Deals!$W$2:$W$355,MATCH($C159,Deals!$A$2:$A$355,0))),1)</f>
        <v/>
      </c>
      <c r="U159" s="22">
        <f>IF($C159="","",IFERROR(IF(INDEX(Deals!$Y$2:$Y$355,MATCH($C159,Deals!$A$2:$A$355,0))=0,"",INDEX(Deals!$Y$2:$Y$355,MATCH($C159,Deals!$A$2:$A$355,0))),""))</f>
        <v/>
      </c>
      <c r="V159" s="35">
        <f>IF(OR($U159&lt;&gt;"",AND($AO159&gt;0,$L159&lt;&gt;"",$M159&lt;&gt;"")),$N159,DATE(1900,1,1))</f>
        <v/>
      </c>
      <c r="W159" s="35">
        <f>IF($U159&lt;&gt;"",$U159,IF(AND($AO159&gt;0,$L159&lt;&gt;"",$M159&lt;&gt;""),$O159,DATE(2100,12,31)))</f>
        <v/>
      </c>
      <c r="X159" s="32">
        <f>IF($U159="",$K159,$K159*$S159)</f>
        <v/>
      </c>
      <c r="Y159" s="35">
        <f>IF($U159="",DATE(2100,12,31),$U159+1)</f>
        <v/>
      </c>
      <c r="Z159" s="35">
        <f>IF($U159="",DATE(1900,1,1),$O159)</f>
        <v/>
      </c>
      <c r="AA159" s="32">
        <f>IF($U159="",0,$K159*$T159)</f>
        <v/>
      </c>
      <c r="AB159" s="21">
        <f>IF($C159="",0,IFERROR(INDEX(Deals!$AD$2:$AD$355,MATCH($C159,Deals!$A$2:$A$355,0)),0))</f>
        <v/>
      </c>
      <c r="AC159" s="32">
        <f>IF(Settings!$B$4="Yes",$I159*$AB159,$I159)</f>
        <v/>
      </c>
      <c r="AD159" s="22">
        <f>IF($C159="","",IFERROR(IF(INDEX(Deals!$AE$2:$AE$355,MATCH($C159,Deals!$A$2:$A$355,0))=0,"",INDEX(Deals!$AE$2:$AE$355,MATCH($C159,Deals!$A$2:$A$355,0))),""))</f>
        <v/>
      </c>
      <c r="AE159" s="22">
        <f>IF($C159="","",IFERROR(IF(INDEX(Deals!$AF$2:$AF$355,MATCH($C159,Deals!$A$2:$A$355,0))=0,"",INDEX(Deals!$AF$2:$AF$355,MATCH($C159,Deals!$A$2:$A$355,0))),""))</f>
        <v/>
      </c>
      <c r="AF159" s="35">
        <f>IF($AD159="",DATE(1900,1,1),$AD159)</f>
        <v/>
      </c>
      <c r="AG159" s="35">
        <f>IF($AE159="",DATE(2100,12,31),$AE159)</f>
        <v/>
      </c>
      <c r="AH159" s="22">
        <f>IF($C159="","",IFERROR(IF(INDEX(Deals!$AG$2:$AG$355,MATCH($C159,Deals!$A$2:$A$355,0))=0,"",INDEX(Deals!$AG$2:$AG$355,MATCH($C159,Deals!$A$2:$A$355,0))),""))</f>
        <v/>
      </c>
      <c r="AI159" s="35">
        <f>IF(OR($AH159&lt;&gt;"",AND($AO159&gt;0,$AD159&lt;&gt;"",$AE159&lt;&gt;"")),$AF159,DATE(1900,1,1))</f>
        <v/>
      </c>
      <c r="AJ159" s="35">
        <f>IF($AH159&lt;&gt;"",$AH159,IF(AND($AO159&gt;0,$AD159&lt;&gt;"",$AE159&lt;&gt;""),$AG159,DATE(2100,12,31)))</f>
        <v/>
      </c>
      <c r="AK159" s="32">
        <f>IF($AH159="",$AC159,$AC159*$S159)</f>
        <v/>
      </c>
      <c r="AL159" s="35">
        <f>IF($AH159="",DATE(2100,12,31),$AH159+1)</f>
        <v/>
      </c>
      <c r="AM159" s="35">
        <f>IF($AH159="",DATE(1900,1,1),$AG159)</f>
        <v/>
      </c>
      <c r="AN159" s="32">
        <f>IF($AH159="",0,$AC159*$T159)</f>
        <v/>
      </c>
      <c r="AO159" s="46">
        <f>IF($C159="",0,IFERROR(INDEX(Deals!$BD$2:$BD$355,MATCH($C159,Deals!$A$2:$A$355,0)),0))</f>
        <v/>
      </c>
      <c r="AP159" s="18">
        <f>IF($AO159=0,0,IFERROR(INDEX(Deals!$BJ$2:$BP$355,MATCH($C159,Deals!$A$2:$A$355,0),MATCH($F159,Deals!$BJ$1:$BP$1,0))/COUNTIFS(Assignments!$C$2:$C$769,$C159,Assignments!$F$2:$F$769,$F159,Assignments!$G$2:$G$769,"Active"),0))</f>
        <v/>
      </c>
    </row>
    <row r="160">
      <c r="A160" s="28" t="inlineStr">
        <is>
          <t>Zack</t>
        </is>
      </c>
      <c r="B160" s="16">
        <f>IF($A160="","",IFERROR(INDEX(Roster!$B$2:$B$40,MATCH($A160,Roster!$A$2:$A$40,0)),"?"))</f>
        <v/>
      </c>
      <c r="C160" s="28" t="inlineStr">
        <is>
          <t>UPS_1</t>
        </is>
      </c>
      <c r="D160" s="16">
        <f>IF($C160="","",IFERROR(IF(INDEX(Deals!$C$2:$C$355,MATCH($C160,Deals!$A$2:$A$355,0))=0,"",INDEX(Deals!$C$2:$C$355,MATCH($C160,Deals!$A$2:$A$355,0))),"?"))</f>
        <v/>
      </c>
      <c r="E160" s="16">
        <f>IF($C160="","",IFERROR(INDEX(Deals!$F$2:$F$355,MATCH($C160,Deals!$A$2:$A$355,0)),"?"))</f>
        <v/>
      </c>
      <c r="F160" s="28" t="inlineStr">
        <is>
          <t>MD</t>
        </is>
      </c>
      <c r="G160" s="28" t="inlineStr">
        <is>
          <t>Active</t>
        </is>
      </c>
      <c r="H160" s="31" t="n"/>
      <c r="I160" s="32">
        <f>IF(OR($A160="",$G160&lt;&gt;"Active"),0,IF($H160&lt;&gt;"",$H160,IF($AO160&gt;0,$AP160,IF(AND($R160&lt;&gt;"",IFERROR(INDEX(Templates!$B$3:$H$10,MATCH($R160,Templates!$A$3:$A$10,0),MATCH($F160,Templates!$B$2:$H$2,0)),0)&gt;0),INDEX(Templates!$B$3:$H$10,MATCH($R160,Templates!$A$3:$A$10,0),MATCH($F160,Templates!$B$2:$H$2,0)),IFERROR(INDEX(Settings!$B$8:$B$14,MATCH($F160,Settings!$A$8:$A$14,0)),0)))))</f>
        <v/>
      </c>
      <c r="J160" s="21">
        <f>IF($C160="",0,IFERROR(INDEX(Deals!$H$2:$H$355,MATCH($C160,Deals!$A$2:$A$355,0)),0))</f>
        <v/>
      </c>
      <c r="K160" s="32">
        <f>IF(Settings!$B$4="Yes",$I160*$J160,$I160)</f>
        <v/>
      </c>
      <c r="L160" s="22">
        <f>IF($C160="","",IFERROR(IF(INDEX(Deals!$I$2:$I$355,MATCH($C160,Deals!$A$2:$A$355,0))=0,"",INDEX(Deals!$I$2:$I$355,MATCH($C160,Deals!$A$2:$A$355,0))),""))</f>
        <v/>
      </c>
      <c r="M160" s="22">
        <f>IF($C160="","",IFERROR(IF(INDEX(Deals!$J$2:$J$355,MATCH($C160,Deals!$A$2:$A$355,0))=0,"",INDEX(Deals!$J$2:$J$355,MATCH($C160,Deals!$A$2:$A$355,0))),""))</f>
        <v/>
      </c>
      <c r="N160" s="35">
        <f>IF($L160="",DATE(1900,1,1),$L160)</f>
        <v/>
      </c>
      <c r="O160" s="35">
        <f>IF($M160="",DATE(2100,12,31),$M160)</f>
        <v/>
      </c>
      <c r="P160" s="20" t="inlineStr"/>
      <c r="Q160" s="47" t="inlineStr"/>
      <c r="R160" s="16">
        <f>IF($C160="","",IFERROR(IF(INDEX(Deals!$U$2:$U$355,MATCH($C160,Deals!$A$2:$A$355,0))=0,"",INDEX(Deals!$U$2:$U$355,MATCH($C160,Deals!$A$2:$A$355,0))),""))</f>
        <v/>
      </c>
      <c r="S160" s="34">
        <f>IFERROR(IF($U160="",1,INDEX(Deals!$V$2:$V$355,MATCH($C160,Deals!$A$2:$A$355,0))),1)</f>
        <v/>
      </c>
      <c r="T160" s="34">
        <f>IFERROR(IF($U160="",1,INDEX(Deals!$W$2:$W$355,MATCH($C160,Deals!$A$2:$A$355,0))),1)</f>
        <v/>
      </c>
      <c r="U160" s="22">
        <f>IF($C160="","",IFERROR(IF(INDEX(Deals!$Y$2:$Y$355,MATCH($C160,Deals!$A$2:$A$355,0))=0,"",INDEX(Deals!$Y$2:$Y$355,MATCH($C160,Deals!$A$2:$A$355,0))),""))</f>
        <v/>
      </c>
      <c r="V160" s="35">
        <f>IF(OR($U160&lt;&gt;"",AND($AO160&gt;0,$L160&lt;&gt;"",$M160&lt;&gt;"")),$N160,DATE(1900,1,1))</f>
        <v/>
      </c>
      <c r="W160" s="35">
        <f>IF($U160&lt;&gt;"",$U160,IF(AND($AO160&gt;0,$L160&lt;&gt;"",$M160&lt;&gt;""),$O160,DATE(2100,12,31)))</f>
        <v/>
      </c>
      <c r="X160" s="32">
        <f>IF($U160="",$K160,$K160*$S160)</f>
        <v/>
      </c>
      <c r="Y160" s="35">
        <f>IF($U160="",DATE(2100,12,31),$U160+1)</f>
        <v/>
      </c>
      <c r="Z160" s="35">
        <f>IF($U160="",DATE(1900,1,1),$O160)</f>
        <v/>
      </c>
      <c r="AA160" s="32">
        <f>IF($U160="",0,$K160*$T160)</f>
        <v/>
      </c>
      <c r="AB160" s="21">
        <f>IF($C160="",0,IFERROR(INDEX(Deals!$AD$2:$AD$355,MATCH($C160,Deals!$A$2:$A$355,0)),0))</f>
        <v/>
      </c>
      <c r="AC160" s="32">
        <f>IF(Settings!$B$4="Yes",$I160*$AB160,$I160)</f>
        <v/>
      </c>
      <c r="AD160" s="22">
        <f>IF($C160="","",IFERROR(IF(INDEX(Deals!$AE$2:$AE$355,MATCH($C160,Deals!$A$2:$A$355,0))=0,"",INDEX(Deals!$AE$2:$AE$355,MATCH($C160,Deals!$A$2:$A$355,0))),""))</f>
        <v/>
      </c>
      <c r="AE160" s="22">
        <f>IF($C160="","",IFERROR(IF(INDEX(Deals!$AF$2:$AF$355,MATCH($C160,Deals!$A$2:$A$355,0))=0,"",INDEX(Deals!$AF$2:$AF$355,MATCH($C160,Deals!$A$2:$A$355,0))),""))</f>
        <v/>
      </c>
      <c r="AF160" s="35">
        <f>IF($AD160="",DATE(1900,1,1),$AD160)</f>
        <v/>
      </c>
      <c r="AG160" s="35">
        <f>IF($AE160="",DATE(2100,12,31),$AE160)</f>
        <v/>
      </c>
      <c r="AH160" s="22">
        <f>IF($C160="","",IFERROR(IF(INDEX(Deals!$AG$2:$AG$355,MATCH($C160,Deals!$A$2:$A$355,0))=0,"",INDEX(Deals!$AG$2:$AG$355,MATCH($C160,Deals!$A$2:$A$355,0))),""))</f>
        <v/>
      </c>
      <c r="AI160" s="35">
        <f>IF(OR($AH160&lt;&gt;"",AND($AO160&gt;0,$AD160&lt;&gt;"",$AE160&lt;&gt;"")),$AF160,DATE(1900,1,1))</f>
        <v/>
      </c>
      <c r="AJ160" s="35">
        <f>IF($AH160&lt;&gt;"",$AH160,IF(AND($AO160&gt;0,$AD160&lt;&gt;"",$AE160&lt;&gt;""),$AG160,DATE(2100,12,31)))</f>
        <v/>
      </c>
      <c r="AK160" s="32">
        <f>IF($AH160="",$AC160,$AC160*$S160)</f>
        <v/>
      </c>
      <c r="AL160" s="35">
        <f>IF($AH160="",DATE(2100,12,31),$AH160+1)</f>
        <v/>
      </c>
      <c r="AM160" s="35">
        <f>IF($AH160="",DATE(1900,1,1),$AG160)</f>
        <v/>
      </c>
      <c r="AN160" s="32">
        <f>IF($AH160="",0,$AC160*$T160)</f>
        <v/>
      </c>
      <c r="AO160" s="46">
        <f>IF($C160="",0,IFERROR(INDEX(Deals!$BD$2:$BD$355,MATCH($C160,Deals!$A$2:$A$355,0)),0))</f>
        <v/>
      </c>
      <c r="AP160" s="18">
        <f>IF($AO160=0,0,IFERROR(INDEX(Deals!$BJ$2:$BP$355,MATCH($C160,Deals!$A$2:$A$355,0),MATCH($F160,Deals!$BJ$1:$BP$1,0))/COUNTIFS(Assignments!$C$2:$C$769,$C160,Assignments!$F$2:$F$769,$F160,Assignments!$G$2:$G$769,"Active"),0))</f>
        <v/>
      </c>
    </row>
    <row r="161">
      <c r="A161" s="28" t="inlineStr">
        <is>
          <t>Zack</t>
        </is>
      </c>
      <c r="B161" s="16">
        <f>IF($A161="","",IFERROR(INDEX(Roster!$B$2:$B$40,MATCH($A161,Roster!$A$2:$A$40,0)),"?"))</f>
        <v/>
      </c>
      <c r="C161" s="28" t="inlineStr">
        <is>
          <t>West_2</t>
        </is>
      </c>
      <c r="D161" s="16">
        <f>IF($C161="","",IFERROR(IF(INDEX(Deals!$C$2:$C$355,MATCH($C161,Deals!$A$2:$A$355,0))=0,"",INDEX(Deals!$C$2:$C$355,MATCH($C161,Deals!$A$2:$A$355,0))),"?"))</f>
        <v/>
      </c>
      <c r="E161" s="16">
        <f>IF($C161="","",IFERROR(INDEX(Deals!$F$2:$F$355,MATCH($C161,Deals!$A$2:$A$355,0)),"?"))</f>
        <v/>
      </c>
      <c r="F161" s="28" t="inlineStr">
        <is>
          <t>MD</t>
        </is>
      </c>
      <c r="G161" s="28" t="inlineStr">
        <is>
          <t>Active</t>
        </is>
      </c>
      <c r="H161" s="31" t="n"/>
      <c r="I161" s="32">
        <f>IF(OR($A161="",$G161&lt;&gt;"Active"),0,IF($H161&lt;&gt;"",$H161,IF($AO161&gt;0,$AP161,IF(AND($R161&lt;&gt;"",IFERROR(INDEX(Templates!$B$3:$H$10,MATCH($R161,Templates!$A$3:$A$10,0),MATCH($F161,Templates!$B$2:$H$2,0)),0)&gt;0),INDEX(Templates!$B$3:$H$10,MATCH($R161,Templates!$A$3:$A$10,0),MATCH($F161,Templates!$B$2:$H$2,0)),IFERROR(INDEX(Settings!$B$8:$B$14,MATCH($F161,Settings!$A$8:$A$14,0)),0)))))</f>
        <v/>
      </c>
      <c r="J161" s="21">
        <f>IF($C161="",0,IFERROR(INDEX(Deals!$H$2:$H$355,MATCH($C161,Deals!$A$2:$A$355,0)),0))</f>
        <v/>
      </c>
      <c r="K161" s="32">
        <f>IF(Settings!$B$4="Yes",$I161*$J161,$I161)</f>
        <v/>
      </c>
      <c r="L161" s="22">
        <f>IF($C161="","",IFERROR(IF(INDEX(Deals!$I$2:$I$355,MATCH($C161,Deals!$A$2:$A$355,0))=0,"",INDEX(Deals!$I$2:$I$355,MATCH($C161,Deals!$A$2:$A$355,0))),""))</f>
        <v/>
      </c>
      <c r="M161" s="22">
        <f>IF($C161="","",IFERROR(IF(INDEX(Deals!$J$2:$J$355,MATCH($C161,Deals!$A$2:$A$355,0))=0,"",INDEX(Deals!$J$2:$J$355,MATCH($C161,Deals!$A$2:$A$355,0))),""))</f>
        <v/>
      </c>
      <c r="N161" s="35">
        <f>IF($L161="",DATE(1900,1,1),$L161)</f>
        <v/>
      </c>
      <c r="O161" s="35">
        <f>IF($M161="",DATE(2100,12,31),$M161)</f>
        <v/>
      </c>
      <c r="P161" s="20" t="inlineStr"/>
      <c r="Q161" s="47" t="inlineStr"/>
      <c r="R161" s="16">
        <f>IF($C161="","",IFERROR(IF(INDEX(Deals!$U$2:$U$355,MATCH($C161,Deals!$A$2:$A$355,0))=0,"",INDEX(Deals!$U$2:$U$355,MATCH($C161,Deals!$A$2:$A$355,0))),""))</f>
        <v/>
      </c>
      <c r="S161" s="34">
        <f>IFERROR(IF($U161="",1,INDEX(Deals!$V$2:$V$355,MATCH($C161,Deals!$A$2:$A$355,0))),1)</f>
        <v/>
      </c>
      <c r="T161" s="34">
        <f>IFERROR(IF($U161="",1,INDEX(Deals!$W$2:$W$355,MATCH($C161,Deals!$A$2:$A$355,0))),1)</f>
        <v/>
      </c>
      <c r="U161" s="22">
        <f>IF($C161="","",IFERROR(IF(INDEX(Deals!$Y$2:$Y$355,MATCH($C161,Deals!$A$2:$A$355,0))=0,"",INDEX(Deals!$Y$2:$Y$355,MATCH($C161,Deals!$A$2:$A$355,0))),""))</f>
        <v/>
      </c>
      <c r="V161" s="35">
        <f>IF(OR($U161&lt;&gt;"",AND($AO161&gt;0,$L161&lt;&gt;"",$M161&lt;&gt;"")),$N161,DATE(1900,1,1))</f>
        <v/>
      </c>
      <c r="W161" s="35">
        <f>IF($U161&lt;&gt;"",$U161,IF(AND($AO161&gt;0,$L161&lt;&gt;"",$M161&lt;&gt;""),$O161,DATE(2100,12,31)))</f>
        <v/>
      </c>
      <c r="X161" s="32">
        <f>IF($U161="",$K161,$K161*$S161)</f>
        <v/>
      </c>
      <c r="Y161" s="35">
        <f>IF($U161="",DATE(2100,12,31),$U161+1)</f>
        <v/>
      </c>
      <c r="Z161" s="35">
        <f>IF($U161="",DATE(1900,1,1),$O161)</f>
        <v/>
      </c>
      <c r="AA161" s="32">
        <f>IF($U161="",0,$K161*$T161)</f>
        <v/>
      </c>
      <c r="AB161" s="21">
        <f>IF($C161="",0,IFERROR(INDEX(Deals!$AD$2:$AD$355,MATCH($C161,Deals!$A$2:$A$355,0)),0))</f>
        <v/>
      </c>
      <c r="AC161" s="32">
        <f>IF(Settings!$B$4="Yes",$I161*$AB161,$I161)</f>
        <v/>
      </c>
      <c r="AD161" s="22">
        <f>IF($C161="","",IFERROR(IF(INDEX(Deals!$AE$2:$AE$355,MATCH($C161,Deals!$A$2:$A$355,0))=0,"",INDEX(Deals!$AE$2:$AE$355,MATCH($C161,Deals!$A$2:$A$355,0))),""))</f>
        <v/>
      </c>
      <c r="AE161" s="22">
        <f>IF($C161="","",IFERROR(IF(INDEX(Deals!$AF$2:$AF$355,MATCH($C161,Deals!$A$2:$A$355,0))=0,"",INDEX(Deals!$AF$2:$AF$355,MATCH($C161,Deals!$A$2:$A$355,0))),""))</f>
        <v/>
      </c>
      <c r="AF161" s="35">
        <f>IF($AD161="",DATE(1900,1,1),$AD161)</f>
        <v/>
      </c>
      <c r="AG161" s="35">
        <f>IF($AE161="",DATE(2100,12,31),$AE161)</f>
        <v/>
      </c>
      <c r="AH161" s="22">
        <f>IF($C161="","",IFERROR(IF(INDEX(Deals!$AG$2:$AG$355,MATCH($C161,Deals!$A$2:$A$355,0))=0,"",INDEX(Deals!$AG$2:$AG$355,MATCH($C161,Deals!$A$2:$A$355,0))),""))</f>
        <v/>
      </c>
      <c r="AI161" s="35">
        <f>IF(OR($AH161&lt;&gt;"",AND($AO161&gt;0,$AD161&lt;&gt;"",$AE161&lt;&gt;"")),$AF161,DATE(1900,1,1))</f>
        <v/>
      </c>
      <c r="AJ161" s="35">
        <f>IF($AH161&lt;&gt;"",$AH161,IF(AND($AO161&gt;0,$AD161&lt;&gt;"",$AE161&lt;&gt;""),$AG161,DATE(2100,12,31)))</f>
        <v/>
      </c>
      <c r="AK161" s="32">
        <f>IF($AH161="",$AC161,$AC161*$S161)</f>
        <v/>
      </c>
      <c r="AL161" s="35">
        <f>IF($AH161="",DATE(2100,12,31),$AH161+1)</f>
        <v/>
      </c>
      <c r="AM161" s="35">
        <f>IF($AH161="",DATE(1900,1,1),$AG161)</f>
        <v/>
      </c>
      <c r="AN161" s="32">
        <f>IF($AH161="",0,$AC161*$T161)</f>
        <v/>
      </c>
      <c r="AO161" s="46">
        <f>IF($C161="",0,IFERROR(INDEX(Deals!$BD$2:$BD$355,MATCH($C161,Deals!$A$2:$A$355,0)),0))</f>
        <v/>
      </c>
      <c r="AP161" s="18">
        <f>IF($AO161=0,0,IFERROR(INDEX(Deals!$BJ$2:$BP$355,MATCH($C161,Deals!$A$2:$A$355,0),MATCH($F161,Deals!$BJ$1:$BP$1,0))/COUNTIFS(Assignments!$C$2:$C$769,$C161,Assignments!$F$2:$F$769,$F161,Assignments!$G$2:$G$769,"Active"),0))</f>
        <v/>
      </c>
    </row>
    <row r="162">
      <c r="A162" s="28" t="inlineStr">
        <is>
          <t>Zack</t>
        </is>
      </c>
      <c r="B162" s="16">
        <f>IF($A162="","",IFERROR(INDEX(Roster!$B$2:$B$40,MATCH($A162,Roster!$A$2:$A$40,0)),"?"))</f>
        <v/>
      </c>
      <c r="C162" s="28" t="inlineStr">
        <is>
          <t>Wolverine_3</t>
        </is>
      </c>
      <c r="D162" s="16">
        <f>IF($C162="","",IFERROR(IF(INDEX(Deals!$C$2:$C$355,MATCH($C162,Deals!$A$2:$A$355,0))=0,"",INDEX(Deals!$C$2:$C$355,MATCH($C162,Deals!$A$2:$A$355,0))),"?"))</f>
        <v/>
      </c>
      <c r="E162" s="16">
        <f>IF($C162="","",IFERROR(INDEX(Deals!$F$2:$F$355,MATCH($C162,Deals!$A$2:$A$355,0)),"?"))</f>
        <v/>
      </c>
      <c r="F162" s="28" t="inlineStr">
        <is>
          <t>MD</t>
        </is>
      </c>
      <c r="G162" s="28" t="inlineStr">
        <is>
          <t>Active</t>
        </is>
      </c>
      <c r="H162" s="31" t="n"/>
      <c r="I162" s="32">
        <f>IF(OR($A162="",$G162&lt;&gt;"Active"),0,IF($H162&lt;&gt;"",$H162,IF($AO162&gt;0,$AP162,IF(AND($R162&lt;&gt;"",IFERROR(INDEX(Templates!$B$3:$H$10,MATCH($R162,Templates!$A$3:$A$10,0),MATCH($F162,Templates!$B$2:$H$2,0)),0)&gt;0),INDEX(Templates!$B$3:$H$10,MATCH($R162,Templates!$A$3:$A$10,0),MATCH($F162,Templates!$B$2:$H$2,0)),IFERROR(INDEX(Settings!$B$8:$B$14,MATCH($F162,Settings!$A$8:$A$14,0)),0)))))</f>
        <v/>
      </c>
      <c r="J162" s="21">
        <f>IF($C162="",0,IFERROR(INDEX(Deals!$H$2:$H$355,MATCH($C162,Deals!$A$2:$A$355,0)),0))</f>
        <v/>
      </c>
      <c r="K162" s="32">
        <f>IF(Settings!$B$4="Yes",$I162*$J162,$I162)</f>
        <v/>
      </c>
      <c r="L162" s="22">
        <f>IF($C162="","",IFERROR(IF(INDEX(Deals!$I$2:$I$355,MATCH($C162,Deals!$A$2:$A$355,0))=0,"",INDEX(Deals!$I$2:$I$355,MATCH($C162,Deals!$A$2:$A$355,0))),""))</f>
        <v/>
      </c>
      <c r="M162" s="22">
        <f>IF($C162="","",IFERROR(IF(INDEX(Deals!$J$2:$J$355,MATCH($C162,Deals!$A$2:$A$355,0))=0,"",INDEX(Deals!$J$2:$J$355,MATCH($C162,Deals!$A$2:$A$355,0))),""))</f>
        <v/>
      </c>
      <c r="N162" s="35">
        <f>IF($L162="",DATE(1900,1,1),$L162)</f>
        <v/>
      </c>
      <c r="O162" s="35">
        <f>IF($M162="",DATE(2100,12,31),$M162)</f>
        <v/>
      </c>
      <c r="P162" s="20" t="inlineStr"/>
      <c r="Q162" s="47" t="inlineStr"/>
      <c r="R162" s="16">
        <f>IF($C162="","",IFERROR(IF(INDEX(Deals!$U$2:$U$355,MATCH($C162,Deals!$A$2:$A$355,0))=0,"",INDEX(Deals!$U$2:$U$355,MATCH($C162,Deals!$A$2:$A$355,0))),""))</f>
        <v/>
      </c>
      <c r="S162" s="34">
        <f>IFERROR(IF($U162="",1,INDEX(Deals!$V$2:$V$355,MATCH($C162,Deals!$A$2:$A$355,0))),1)</f>
        <v/>
      </c>
      <c r="T162" s="34">
        <f>IFERROR(IF($U162="",1,INDEX(Deals!$W$2:$W$355,MATCH($C162,Deals!$A$2:$A$355,0))),1)</f>
        <v/>
      </c>
      <c r="U162" s="22">
        <f>IF($C162="","",IFERROR(IF(INDEX(Deals!$Y$2:$Y$355,MATCH($C162,Deals!$A$2:$A$355,0))=0,"",INDEX(Deals!$Y$2:$Y$355,MATCH($C162,Deals!$A$2:$A$355,0))),""))</f>
        <v/>
      </c>
      <c r="V162" s="35">
        <f>IF(OR($U162&lt;&gt;"",AND($AO162&gt;0,$L162&lt;&gt;"",$M162&lt;&gt;"")),$N162,DATE(1900,1,1))</f>
        <v/>
      </c>
      <c r="W162" s="35">
        <f>IF($U162&lt;&gt;"",$U162,IF(AND($AO162&gt;0,$L162&lt;&gt;"",$M162&lt;&gt;""),$O162,DATE(2100,12,31)))</f>
        <v/>
      </c>
      <c r="X162" s="32">
        <f>IF($U162="",$K162,$K162*$S162)</f>
        <v/>
      </c>
      <c r="Y162" s="35">
        <f>IF($U162="",DATE(2100,12,31),$U162+1)</f>
        <v/>
      </c>
      <c r="Z162" s="35">
        <f>IF($U162="",DATE(1900,1,1),$O162)</f>
        <v/>
      </c>
      <c r="AA162" s="32">
        <f>IF($U162="",0,$K162*$T162)</f>
        <v/>
      </c>
      <c r="AB162" s="21">
        <f>IF($C162="",0,IFERROR(INDEX(Deals!$AD$2:$AD$355,MATCH($C162,Deals!$A$2:$A$355,0)),0))</f>
        <v/>
      </c>
      <c r="AC162" s="32">
        <f>IF(Settings!$B$4="Yes",$I162*$AB162,$I162)</f>
        <v/>
      </c>
      <c r="AD162" s="22">
        <f>IF($C162="","",IFERROR(IF(INDEX(Deals!$AE$2:$AE$355,MATCH($C162,Deals!$A$2:$A$355,0))=0,"",INDEX(Deals!$AE$2:$AE$355,MATCH($C162,Deals!$A$2:$A$355,0))),""))</f>
        <v/>
      </c>
      <c r="AE162" s="22">
        <f>IF($C162="","",IFERROR(IF(INDEX(Deals!$AF$2:$AF$355,MATCH($C162,Deals!$A$2:$A$355,0))=0,"",INDEX(Deals!$AF$2:$AF$355,MATCH($C162,Deals!$A$2:$A$355,0))),""))</f>
        <v/>
      </c>
      <c r="AF162" s="35">
        <f>IF($AD162="",DATE(1900,1,1),$AD162)</f>
        <v/>
      </c>
      <c r="AG162" s="35">
        <f>IF($AE162="",DATE(2100,12,31),$AE162)</f>
        <v/>
      </c>
      <c r="AH162" s="22">
        <f>IF($C162="","",IFERROR(IF(INDEX(Deals!$AG$2:$AG$355,MATCH($C162,Deals!$A$2:$A$355,0))=0,"",INDEX(Deals!$AG$2:$AG$355,MATCH($C162,Deals!$A$2:$A$355,0))),""))</f>
        <v/>
      </c>
      <c r="AI162" s="35">
        <f>IF(OR($AH162&lt;&gt;"",AND($AO162&gt;0,$AD162&lt;&gt;"",$AE162&lt;&gt;"")),$AF162,DATE(1900,1,1))</f>
        <v/>
      </c>
      <c r="AJ162" s="35">
        <f>IF($AH162&lt;&gt;"",$AH162,IF(AND($AO162&gt;0,$AD162&lt;&gt;"",$AE162&lt;&gt;""),$AG162,DATE(2100,12,31)))</f>
        <v/>
      </c>
      <c r="AK162" s="32">
        <f>IF($AH162="",$AC162,$AC162*$S162)</f>
        <v/>
      </c>
      <c r="AL162" s="35">
        <f>IF($AH162="",DATE(2100,12,31),$AH162+1)</f>
        <v/>
      </c>
      <c r="AM162" s="35">
        <f>IF($AH162="",DATE(1900,1,1),$AG162)</f>
        <v/>
      </c>
      <c r="AN162" s="32">
        <f>IF($AH162="",0,$AC162*$T162)</f>
        <v/>
      </c>
      <c r="AO162" s="46">
        <f>IF($C162="",0,IFERROR(INDEX(Deals!$BD$2:$BD$355,MATCH($C162,Deals!$A$2:$A$355,0)),0))</f>
        <v/>
      </c>
      <c r="AP162" s="18">
        <f>IF($AO162=0,0,IFERROR(INDEX(Deals!$BJ$2:$BP$355,MATCH($C162,Deals!$A$2:$A$355,0),MATCH($F162,Deals!$BJ$1:$BP$1,0))/COUNTIFS(Assignments!$C$2:$C$769,$C162,Assignments!$F$2:$F$769,$F162,Assignments!$G$2:$G$769,"Active"),0))</f>
        <v/>
      </c>
    </row>
    <row r="163">
      <c r="A163" s="28" t="inlineStr">
        <is>
          <t>Zack</t>
        </is>
      </c>
      <c r="B163" s="16">
        <f>IF($A163="","",IFERROR(INDEX(Roster!$B$2:$B$40,MATCH($A163,Roster!$A$2:$A$40,0)),"?"))</f>
        <v/>
      </c>
      <c r="C163" s="28" t="inlineStr">
        <is>
          <t>Zircon 2_1</t>
        </is>
      </c>
      <c r="D163" s="16">
        <f>IF($C163="","",IFERROR(IF(INDEX(Deals!$C$2:$C$355,MATCH($C163,Deals!$A$2:$A$355,0))=0,"",INDEX(Deals!$C$2:$C$355,MATCH($C163,Deals!$A$2:$A$355,0))),"?"))</f>
        <v/>
      </c>
      <c r="E163" s="16">
        <f>IF($C163="","",IFERROR(INDEX(Deals!$F$2:$F$355,MATCH($C163,Deals!$A$2:$A$355,0)),"?"))</f>
        <v/>
      </c>
      <c r="F163" s="28" t="inlineStr">
        <is>
          <t>MD</t>
        </is>
      </c>
      <c r="G163" s="28" t="inlineStr">
        <is>
          <t>Active</t>
        </is>
      </c>
      <c r="H163" s="31" t="n"/>
      <c r="I163" s="32">
        <f>IF(OR($A163="",$G163&lt;&gt;"Active"),0,IF($H163&lt;&gt;"",$H163,IF($AO163&gt;0,$AP163,IF(AND($R163&lt;&gt;"",IFERROR(INDEX(Templates!$B$3:$H$10,MATCH($R163,Templates!$A$3:$A$10,0),MATCH($F163,Templates!$B$2:$H$2,0)),0)&gt;0),INDEX(Templates!$B$3:$H$10,MATCH($R163,Templates!$A$3:$A$10,0),MATCH($F163,Templates!$B$2:$H$2,0)),IFERROR(INDEX(Settings!$B$8:$B$14,MATCH($F163,Settings!$A$8:$A$14,0)),0)))))</f>
        <v/>
      </c>
      <c r="J163" s="21">
        <f>IF($C163="",0,IFERROR(INDEX(Deals!$H$2:$H$355,MATCH($C163,Deals!$A$2:$A$355,0)),0))</f>
        <v/>
      </c>
      <c r="K163" s="32">
        <f>IF(Settings!$B$4="Yes",$I163*$J163,$I163)</f>
        <v/>
      </c>
      <c r="L163" s="22">
        <f>IF($C163="","",IFERROR(IF(INDEX(Deals!$I$2:$I$355,MATCH($C163,Deals!$A$2:$A$355,0))=0,"",INDEX(Deals!$I$2:$I$355,MATCH($C163,Deals!$A$2:$A$355,0))),""))</f>
        <v/>
      </c>
      <c r="M163" s="22">
        <f>IF($C163="","",IFERROR(IF(INDEX(Deals!$J$2:$J$355,MATCH($C163,Deals!$A$2:$A$355,0))=0,"",INDEX(Deals!$J$2:$J$355,MATCH($C163,Deals!$A$2:$A$355,0))),""))</f>
        <v/>
      </c>
      <c r="N163" s="35">
        <f>IF($L163="",DATE(1900,1,1),$L163)</f>
        <v/>
      </c>
      <c r="O163" s="35">
        <f>IF($M163="",DATE(2100,12,31),$M163)</f>
        <v/>
      </c>
      <c r="P163" s="20" t="inlineStr"/>
      <c r="Q163" s="47" t="inlineStr"/>
      <c r="R163" s="16">
        <f>IF($C163="","",IFERROR(IF(INDEX(Deals!$U$2:$U$355,MATCH($C163,Deals!$A$2:$A$355,0))=0,"",INDEX(Deals!$U$2:$U$355,MATCH($C163,Deals!$A$2:$A$355,0))),""))</f>
        <v/>
      </c>
      <c r="S163" s="34">
        <f>IFERROR(IF($U163="",1,INDEX(Deals!$V$2:$V$355,MATCH($C163,Deals!$A$2:$A$355,0))),1)</f>
        <v/>
      </c>
      <c r="T163" s="34">
        <f>IFERROR(IF($U163="",1,INDEX(Deals!$W$2:$W$355,MATCH($C163,Deals!$A$2:$A$355,0))),1)</f>
        <v/>
      </c>
      <c r="U163" s="22">
        <f>IF($C163="","",IFERROR(IF(INDEX(Deals!$Y$2:$Y$355,MATCH($C163,Deals!$A$2:$A$355,0))=0,"",INDEX(Deals!$Y$2:$Y$355,MATCH($C163,Deals!$A$2:$A$355,0))),""))</f>
        <v/>
      </c>
      <c r="V163" s="35">
        <f>IF(OR($U163&lt;&gt;"",AND($AO163&gt;0,$L163&lt;&gt;"",$M163&lt;&gt;"")),$N163,DATE(1900,1,1))</f>
        <v/>
      </c>
      <c r="W163" s="35">
        <f>IF($U163&lt;&gt;"",$U163,IF(AND($AO163&gt;0,$L163&lt;&gt;"",$M163&lt;&gt;""),$O163,DATE(2100,12,31)))</f>
        <v/>
      </c>
      <c r="X163" s="32">
        <f>IF($U163="",$K163,$K163*$S163)</f>
        <v/>
      </c>
      <c r="Y163" s="35">
        <f>IF($U163="",DATE(2100,12,31),$U163+1)</f>
        <v/>
      </c>
      <c r="Z163" s="35">
        <f>IF($U163="",DATE(1900,1,1),$O163)</f>
        <v/>
      </c>
      <c r="AA163" s="32">
        <f>IF($U163="",0,$K163*$T163)</f>
        <v/>
      </c>
      <c r="AB163" s="21">
        <f>IF($C163="",0,IFERROR(INDEX(Deals!$AD$2:$AD$355,MATCH($C163,Deals!$A$2:$A$355,0)),0))</f>
        <v/>
      </c>
      <c r="AC163" s="32">
        <f>IF(Settings!$B$4="Yes",$I163*$AB163,$I163)</f>
        <v/>
      </c>
      <c r="AD163" s="22">
        <f>IF($C163="","",IFERROR(IF(INDEX(Deals!$AE$2:$AE$355,MATCH($C163,Deals!$A$2:$A$355,0))=0,"",INDEX(Deals!$AE$2:$AE$355,MATCH($C163,Deals!$A$2:$A$355,0))),""))</f>
        <v/>
      </c>
      <c r="AE163" s="22">
        <f>IF($C163="","",IFERROR(IF(INDEX(Deals!$AF$2:$AF$355,MATCH($C163,Deals!$A$2:$A$355,0))=0,"",INDEX(Deals!$AF$2:$AF$355,MATCH($C163,Deals!$A$2:$A$355,0))),""))</f>
        <v/>
      </c>
      <c r="AF163" s="35">
        <f>IF($AD163="",DATE(1900,1,1),$AD163)</f>
        <v/>
      </c>
      <c r="AG163" s="35">
        <f>IF($AE163="",DATE(2100,12,31),$AE163)</f>
        <v/>
      </c>
      <c r="AH163" s="22">
        <f>IF($C163="","",IFERROR(IF(INDEX(Deals!$AG$2:$AG$355,MATCH($C163,Deals!$A$2:$A$355,0))=0,"",INDEX(Deals!$AG$2:$AG$355,MATCH($C163,Deals!$A$2:$A$355,0))),""))</f>
        <v/>
      </c>
      <c r="AI163" s="35">
        <f>IF(OR($AH163&lt;&gt;"",AND($AO163&gt;0,$AD163&lt;&gt;"",$AE163&lt;&gt;"")),$AF163,DATE(1900,1,1))</f>
        <v/>
      </c>
      <c r="AJ163" s="35">
        <f>IF($AH163&lt;&gt;"",$AH163,IF(AND($AO163&gt;0,$AD163&lt;&gt;"",$AE163&lt;&gt;""),$AG163,DATE(2100,12,31)))</f>
        <v/>
      </c>
      <c r="AK163" s="32">
        <f>IF($AH163="",$AC163,$AC163*$S163)</f>
        <v/>
      </c>
      <c r="AL163" s="35">
        <f>IF($AH163="",DATE(2100,12,31),$AH163+1)</f>
        <v/>
      </c>
      <c r="AM163" s="35">
        <f>IF($AH163="",DATE(1900,1,1),$AG163)</f>
        <v/>
      </c>
      <c r="AN163" s="32">
        <f>IF($AH163="",0,$AC163*$T163)</f>
        <v/>
      </c>
      <c r="AO163" s="46">
        <f>IF($C163="",0,IFERROR(INDEX(Deals!$BD$2:$BD$355,MATCH($C163,Deals!$A$2:$A$355,0)),0))</f>
        <v/>
      </c>
      <c r="AP163" s="18">
        <f>IF($AO163=0,0,IFERROR(INDEX(Deals!$BJ$2:$BP$355,MATCH($C163,Deals!$A$2:$A$355,0),MATCH($F163,Deals!$BJ$1:$BP$1,0))/COUNTIFS(Assignments!$C$2:$C$769,$C163,Assignments!$F$2:$F$769,$F163,Assignments!$G$2:$G$769,"Active"),0))</f>
        <v/>
      </c>
    </row>
    <row r="164">
      <c r="A164" s="28" t="inlineStr">
        <is>
          <t>Ethan</t>
        </is>
      </c>
      <c r="B164" s="16">
        <f>IF($A164="","",IFERROR(INDEX(Roster!$B$2:$B$40,MATCH($A164,Roster!$A$2:$A$40,0)),"?"))</f>
        <v/>
      </c>
      <c r="C164" s="28" t="inlineStr">
        <is>
          <t>Bay_2</t>
        </is>
      </c>
      <c r="D164" s="16">
        <f>IF($C164="","",IFERROR(IF(INDEX(Deals!$C$2:$C$355,MATCH($C164,Deals!$A$2:$A$355,0))=0,"",INDEX(Deals!$C$2:$C$355,MATCH($C164,Deals!$A$2:$A$355,0))),"?"))</f>
        <v/>
      </c>
      <c r="E164" s="16">
        <f>IF($C164="","",IFERROR(INDEX(Deals!$F$2:$F$355,MATCH($C164,Deals!$A$2:$A$355,0)),"?"))</f>
        <v/>
      </c>
      <c r="F164" s="28" t="inlineStr">
        <is>
          <t>MD</t>
        </is>
      </c>
      <c r="G164" s="28" t="inlineStr">
        <is>
          <t>Active</t>
        </is>
      </c>
      <c r="H164" s="31" t="n"/>
      <c r="I164" s="32">
        <f>IF(OR($A164="",$G164&lt;&gt;"Active"),0,IF($H164&lt;&gt;"",$H164,IF($AO164&gt;0,$AP164,IF(AND($R164&lt;&gt;"",IFERROR(INDEX(Templates!$B$3:$H$10,MATCH($R164,Templates!$A$3:$A$10,0),MATCH($F164,Templates!$B$2:$H$2,0)),0)&gt;0),INDEX(Templates!$B$3:$H$10,MATCH($R164,Templates!$A$3:$A$10,0),MATCH($F164,Templates!$B$2:$H$2,0)),IFERROR(INDEX(Settings!$B$8:$B$14,MATCH($F164,Settings!$A$8:$A$14,0)),0)))))</f>
        <v/>
      </c>
      <c r="J164" s="21">
        <f>IF($C164="",0,IFERROR(INDEX(Deals!$H$2:$H$355,MATCH($C164,Deals!$A$2:$A$355,0)),0))</f>
        <v/>
      </c>
      <c r="K164" s="32">
        <f>IF(Settings!$B$4="Yes",$I164*$J164,$I164)</f>
        <v/>
      </c>
      <c r="L164" s="22">
        <f>IF($C164="","",IFERROR(IF(INDEX(Deals!$I$2:$I$355,MATCH($C164,Deals!$A$2:$A$355,0))=0,"",INDEX(Deals!$I$2:$I$355,MATCH($C164,Deals!$A$2:$A$355,0))),""))</f>
        <v/>
      </c>
      <c r="M164" s="22">
        <f>IF($C164="","",IFERROR(IF(INDEX(Deals!$J$2:$J$355,MATCH($C164,Deals!$A$2:$A$355,0))=0,"",INDEX(Deals!$J$2:$J$355,MATCH($C164,Deals!$A$2:$A$355,0))),""))</f>
        <v/>
      </c>
      <c r="N164" s="35">
        <f>IF($L164="",DATE(1900,1,1),$L164)</f>
        <v/>
      </c>
      <c r="O164" s="35">
        <f>IF($M164="",DATE(2100,12,31),$M164)</f>
        <v/>
      </c>
      <c r="P164" s="20" t="inlineStr"/>
      <c r="Q164" s="47" t="inlineStr"/>
      <c r="R164" s="16">
        <f>IF($C164="","",IFERROR(IF(INDEX(Deals!$U$2:$U$355,MATCH($C164,Deals!$A$2:$A$355,0))=0,"",INDEX(Deals!$U$2:$U$355,MATCH($C164,Deals!$A$2:$A$355,0))),""))</f>
        <v/>
      </c>
      <c r="S164" s="34">
        <f>IFERROR(IF($U164="",1,INDEX(Deals!$V$2:$V$355,MATCH($C164,Deals!$A$2:$A$355,0))),1)</f>
        <v/>
      </c>
      <c r="T164" s="34">
        <f>IFERROR(IF($U164="",1,INDEX(Deals!$W$2:$W$355,MATCH($C164,Deals!$A$2:$A$355,0))),1)</f>
        <v/>
      </c>
      <c r="U164" s="22">
        <f>IF($C164="","",IFERROR(IF(INDEX(Deals!$Y$2:$Y$355,MATCH($C164,Deals!$A$2:$A$355,0))=0,"",INDEX(Deals!$Y$2:$Y$355,MATCH($C164,Deals!$A$2:$A$355,0))),""))</f>
        <v/>
      </c>
      <c r="V164" s="35">
        <f>IF(OR($U164&lt;&gt;"",AND($AO164&gt;0,$L164&lt;&gt;"",$M164&lt;&gt;"")),$N164,DATE(1900,1,1))</f>
        <v/>
      </c>
      <c r="W164" s="35">
        <f>IF($U164&lt;&gt;"",$U164,IF(AND($AO164&gt;0,$L164&lt;&gt;"",$M164&lt;&gt;""),$O164,DATE(2100,12,31)))</f>
        <v/>
      </c>
      <c r="X164" s="32">
        <f>IF($U164="",$K164,$K164*$S164)</f>
        <v/>
      </c>
      <c r="Y164" s="35">
        <f>IF($U164="",DATE(2100,12,31),$U164+1)</f>
        <v/>
      </c>
      <c r="Z164" s="35">
        <f>IF($U164="",DATE(1900,1,1),$O164)</f>
        <v/>
      </c>
      <c r="AA164" s="32">
        <f>IF($U164="",0,$K164*$T164)</f>
        <v/>
      </c>
      <c r="AB164" s="21">
        <f>IF($C164="",0,IFERROR(INDEX(Deals!$AD$2:$AD$355,MATCH($C164,Deals!$A$2:$A$355,0)),0))</f>
        <v/>
      </c>
      <c r="AC164" s="32">
        <f>IF(Settings!$B$4="Yes",$I164*$AB164,$I164)</f>
        <v/>
      </c>
      <c r="AD164" s="22">
        <f>IF($C164="","",IFERROR(IF(INDEX(Deals!$AE$2:$AE$355,MATCH($C164,Deals!$A$2:$A$355,0))=0,"",INDEX(Deals!$AE$2:$AE$355,MATCH($C164,Deals!$A$2:$A$355,0))),""))</f>
        <v/>
      </c>
      <c r="AE164" s="22">
        <f>IF($C164="","",IFERROR(IF(INDEX(Deals!$AF$2:$AF$355,MATCH($C164,Deals!$A$2:$A$355,0))=0,"",INDEX(Deals!$AF$2:$AF$355,MATCH($C164,Deals!$A$2:$A$355,0))),""))</f>
        <v/>
      </c>
      <c r="AF164" s="35">
        <f>IF($AD164="",DATE(1900,1,1),$AD164)</f>
        <v/>
      </c>
      <c r="AG164" s="35">
        <f>IF($AE164="",DATE(2100,12,31),$AE164)</f>
        <v/>
      </c>
      <c r="AH164" s="22">
        <f>IF($C164="","",IFERROR(IF(INDEX(Deals!$AG$2:$AG$355,MATCH($C164,Deals!$A$2:$A$355,0))=0,"",INDEX(Deals!$AG$2:$AG$355,MATCH($C164,Deals!$A$2:$A$355,0))),""))</f>
        <v/>
      </c>
      <c r="AI164" s="35">
        <f>IF(OR($AH164&lt;&gt;"",AND($AO164&gt;0,$AD164&lt;&gt;"",$AE164&lt;&gt;"")),$AF164,DATE(1900,1,1))</f>
        <v/>
      </c>
      <c r="AJ164" s="35">
        <f>IF($AH164&lt;&gt;"",$AH164,IF(AND($AO164&gt;0,$AD164&lt;&gt;"",$AE164&lt;&gt;""),$AG164,DATE(2100,12,31)))</f>
        <v/>
      </c>
      <c r="AK164" s="32">
        <f>IF($AH164="",$AC164,$AC164*$S164)</f>
        <v/>
      </c>
      <c r="AL164" s="35">
        <f>IF($AH164="",DATE(2100,12,31),$AH164+1)</f>
        <v/>
      </c>
      <c r="AM164" s="35">
        <f>IF($AH164="",DATE(1900,1,1),$AG164)</f>
        <v/>
      </c>
      <c r="AN164" s="32">
        <f>IF($AH164="",0,$AC164*$T164)</f>
        <v/>
      </c>
      <c r="AO164" s="46">
        <f>IF($C164="",0,IFERROR(INDEX(Deals!$BD$2:$BD$355,MATCH($C164,Deals!$A$2:$A$355,0)),0))</f>
        <v/>
      </c>
      <c r="AP164" s="18">
        <f>IF($AO164=0,0,IFERROR(INDEX(Deals!$BJ$2:$BP$355,MATCH($C164,Deals!$A$2:$A$355,0),MATCH($F164,Deals!$BJ$1:$BP$1,0))/COUNTIFS(Assignments!$C$2:$C$769,$C164,Assignments!$F$2:$F$769,$F164,Assignments!$G$2:$G$769,"Active"),0))</f>
        <v/>
      </c>
    </row>
    <row r="165">
      <c r="A165" s="28" t="inlineStr">
        <is>
          <t>Ethan</t>
        </is>
      </c>
      <c r="B165" s="16">
        <f>IF($A165="","",IFERROR(INDEX(Roster!$B$2:$B$40,MATCH($A165,Roster!$A$2:$A$40,0)),"?"))</f>
        <v/>
      </c>
      <c r="C165" s="28" t="inlineStr">
        <is>
          <t>Bernhard_3</t>
        </is>
      </c>
      <c r="D165" s="16">
        <f>IF($C165="","",IFERROR(IF(INDEX(Deals!$C$2:$C$355,MATCH($C165,Deals!$A$2:$A$355,0))=0,"",INDEX(Deals!$C$2:$C$355,MATCH($C165,Deals!$A$2:$A$355,0))),"?"))</f>
        <v/>
      </c>
      <c r="E165" s="16">
        <f>IF($C165="","",IFERROR(INDEX(Deals!$F$2:$F$355,MATCH($C165,Deals!$A$2:$A$355,0)),"?"))</f>
        <v/>
      </c>
      <c r="F165" s="28" t="inlineStr">
        <is>
          <t>MD</t>
        </is>
      </c>
      <c r="G165" s="28" t="inlineStr">
        <is>
          <t>Active</t>
        </is>
      </c>
      <c r="H165" s="31" t="n"/>
      <c r="I165" s="32">
        <f>IF(OR($A165="",$G165&lt;&gt;"Active"),0,IF($H165&lt;&gt;"",$H165,IF($AO165&gt;0,$AP165,IF(AND($R165&lt;&gt;"",IFERROR(INDEX(Templates!$B$3:$H$10,MATCH($R165,Templates!$A$3:$A$10,0),MATCH($F165,Templates!$B$2:$H$2,0)),0)&gt;0),INDEX(Templates!$B$3:$H$10,MATCH($R165,Templates!$A$3:$A$10,0),MATCH($F165,Templates!$B$2:$H$2,0)),IFERROR(INDEX(Settings!$B$8:$B$14,MATCH($F165,Settings!$A$8:$A$14,0)),0)))))</f>
        <v/>
      </c>
      <c r="J165" s="21">
        <f>IF($C165="",0,IFERROR(INDEX(Deals!$H$2:$H$355,MATCH($C165,Deals!$A$2:$A$355,0)),0))</f>
        <v/>
      </c>
      <c r="K165" s="32">
        <f>IF(Settings!$B$4="Yes",$I165*$J165,$I165)</f>
        <v/>
      </c>
      <c r="L165" s="22">
        <f>IF($C165="","",IFERROR(IF(INDEX(Deals!$I$2:$I$355,MATCH($C165,Deals!$A$2:$A$355,0))=0,"",INDEX(Deals!$I$2:$I$355,MATCH($C165,Deals!$A$2:$A$355,0))),""))</f>
        <v/>
      </c>
      <c r="M165" s="22">
        <f>IF($C165="","",IFERROR(IF(INDEX(Deals!$J$2:$J$355,MATCH($C165,Deals!$A$2:$A$355,0))=0,"",INDEX(Deals!$J$2:$J$355,MATCH($C165,Deals!$A$2:$A$355,0))),""))</f>
        <v/>
      </c>
      <c r="N165" s="35">
        <f>IF($L165="",DATE(1900,1,1),$L165)</f>
        <v/>
      </c>
      <c r="O165" s="35">
        <f>IF($M165="",DATE(2100,12,31),$M165)</f>
        <v/>
      </c>
      <c r="P165" s="20" t="inlineStr"/>
      <c r="Q165" s="47" t="inlineStr"/>
      <c r="R165" s="16">
        <f>IF($C165="","",IFERROR(IF(INDEX(Deals!$U$2:$U$355,MATCH($C165,Deals!$A$2:$A$355,0))=0,"",INDEX(Deals!$U$2:$U$355,MATCH($C165,Deals!$A$2:$A$355,0))),""))</f>
        <v/>
      </c>
      <c r="S165" s="34">
        <f>IFERROR(IF($U165="",1,INDEX(Deals!$V$2:$V$355,MATCH($C165,Deals!$A$2:$A$355,0))),1)</f>
        <v/>
      </c>
      <c r="T165" s="34">
        <f>IFERROR(IF($U165="",1,INDEX(Deals!$W$2:$W$355,MATCH($C165,Deals!$A$2:$A$355,0))),1)</f>
        <v/>
      </c>
      <c r="U165" s="22">
        <f>IF($C165="","",IFERROR(IF(INDEX(Deals!$Y$2:$Y$355,MATCH($C165,Deals!$A$2:$A$355,0))=0,"",INDEX(Deals!$Y$2:$Y$355,MATCH($C165,Deals!$A$2:$A$355,0))),""))</f>
        <v/>
      </c>
      <c r="V165" s="35">
        <f>IF(OR($U165&lt;&gt;"",AND($AO165&gt;0,$L165&lt;&gt;"",$M165&lt;&gt;"")),$N165,DATE(1900,1,1))</f>
        <v/>
      </c>
      <c r="W165" s="35">
        <f>IF($U165&lt;&gt;"",$U165,IF(AND($AO165&gt;0,$L165&lt;&gt;"",$M165&lt;&gt;""),$O165,DATE(2100,12,31)))</f>
        <v/>
      </c>
      <c r="X165" s="32">
        <f>IF($U165="",$K165,$K165*$S165)</f>
        <v/>
      </c>
      <c r="Y165" s="35">
        <f>IF($U165="",DATE(2100,12,31),$U165+1)</f>
        <v/>
      </c>
      <c r="Z165" s="35">
        <f>IF($U165="",DATE(1900,1,1),$O165)</f>
        <v/>
      </c>
      <c r="AA165" s="32">
        <f>IF($U165="",0,$K165*$T165)</f>
        <v/>
      </c>
      <c r="AB165" s="21">
        <f>IF($C165="",0,IFERROR(INDEX(Deals!$AD$2:$AD$355,MATCH($C165,Deals!$A$2:$A$355,0)),0))</f>
        <v/>
      </c>
      <c r="AC165" s="32">
        <f>IF(Settings!$B$4="Yes",$I165*$AB165,$I165)</f>
        <v/>
      </c>
      <c r="AD165" s="22">
        <f>IF($C165="","",IFERROR(IF(INDEX(Deals!$AE$2:$AE$355,MATCH($C165,Deals!$A$2:$A$355,0))=0,"",INDEX(Deals!$AE$2:$AE$355,MATCH($C165,Deals!$A$2:$A$355,0))),""))</f>
        <v/>
      </c>
      <c r="AE165" s="22">
        <f>IF($C165="","",IFERROR(IF(INDEX(Deals!$AF$2:$AF$355,MATCH($C165,Deals!$A$2:$A$355,0))=0,"",INDEX(Deals!$AF$2:$AF$355,MATCH($C165,Deals!$A$2:$A$355,0))),""))</f>
        <v/>
      </c>
      <c r="AF165" s="35">
        <f>IF($AD165="",DATE(1900,1,1),$AD165)</f>
        <v/>
      </c>
      <c r="AG165" s="35">
        <f>IF($AE165="",DATE(2100,12,31),$AE165)</f>
        <v/>
      </c>
      <c r="AH165" s="22">
        <f>IF($C165="","",IFERROR(IF(INDEX(Deals!$AG$2:$AG$355,MATCH($C165,Deals!$A$2:$A$355,0))=0,"",INDEX(Deals!$AG$2:$AG$355,MATCH($C165,Deals!$A$2:$A$355,0))),""))</f>
        <v/>
      </c>
      <c r="AI165" s="35">
        <f>IF(OR($AH165&lt;&gt;"",AND($AO165&gt;0,$AD165&lt;&gt;"",$AE165&lt;&gt;"")),$AF165,DATE(1900,1,1))</f>
        <v/>
      </c>
      <c r="AJ165" s="35">
        <f>IF($AH165&lt;&gt;"",$AH165,IF(AND($AO165&gt;0,$AD165&lt;&gt;"",$AE165&lt;&gt;""),$AG165,DATE(2100,12,31)))</f>
        <v/>
      </c>
      <c r="AK165" s="32">
        <f>IF($AH165="",$AC165,$AC165*$S165)</f>
        <v/>
      </c>
      <c r="AL165" s="35">
        <f>IF($AH165="",DATE(2100,12,31),$AH165+1)</f>
        <v/>
      </c>
      <c r="AM165" s="35">
        <f>IF($AH165="",DATE(1900,1,1),$AG165)</f>
        <v/>
      </c>
      <c r="AN165" s="32">
        <f>IF($AH165="",0,$AC165*$T165)</f>
        <v/>
      </c>
      <c r="AO165" s="46">
        <f>IF($C165="",0,IFERROR(INDEX(Deals!$BD$2:$BD$355,MATCH($C165,Deals!$A$2:$A$355,0)),0))</f>
        <v/>
      </c>
      <c r="AP165" s="18">
        <f>IF($AO165=0,0,IFERROR(INDEX(Deals!$BJ$2:$BP$355,MATCH($C165,Deals!$A$2:$A$355,0),MATCH($F165,Deals!$BJ$1:$BP$1,0))/COUNTIFS(Assignments!$C$2:$C$769,$C165,Assignments!$F$2:$F$769,$F165,Assignments!$G$2:$G$769,"Active"),0))</f>
        <v/>
      </c>
    </row>
    <row r="166">
      <c r="A166" s="28" t="inlineStr">
        <is>
          <t>Ethan</t>
        </is>
      </c>
      <c r="B166" s="16">
        <f>IF($A166="","",IFERROR(INDEX(Roster!$B$2:$B$40,MATCH($A166,Roster!$A$2:$A$40,0)),"?"))</f>
        <v/>
      </c>
      <c r="C166" s="28" t="inlineStr">
        <is>
          <t>Bledsoe_1</t>
        </is>
      </c>
      <c r="D166" s="16">
        <f>IF($C166="","",IFERROR(IF(INDEX(Deals!$C$2:$C$355,MATCH($C166,Deals!$A$2:$A$355,0))=0,"",INDEX(Deals!$C$2:$C$355,MATCH($C166,Deals!$A$2:$A$355,0))),"?"))</f>
        <v/>
      </c>
      <c r="E166" s="16">
        <f>IF($C166="","",IFERROR(INDEX(Deals!$F$2:$F$355,MATCH($C166,Deals!$A$2:$A$355,0)),"?"))</f>
        <v/>
      </c>
      <c r="F166" s="28" t="inlineStr">
        <is>
          <t>MD</t>
        </is>
      </c>
      <c r="G166" s="28" t="inlineStr">
        <is>
          <t>Active</t>
        </is>
      </c>
      <c r="H166" s="31" t="n"/>
      <c r="I166" s="32">
        <f>IF(OR($A166="",$G166&lt;&gt;"Active"),0,IF($H166&lt;&gt;"",$H166,IF($AO166&gt;0,$AP166,IF(AND($R166&lt;&gt;"",IFERROR(INDEX(Templates!$B$3:$H$10,MATCH($R166,Templates!$A$3:$A$10,0),MATCH($F166,Templates!$B$2:$H$2,0)),0)&gt;0),INDEX(Templates!$B$3:$H$10,MATCH($R166,Templates!$A$3:$A$10,0),MATCH($F166,Templates!$B$2:$H$2,0)),IFERROR(INDEX(Settings!$B$8:$B$14,MATCH($F166,Settings!$A$8:$A$14,0)),0)))))</f>
        <v/>
      </c>
      <c r="J166" s="21">
        <f>IF($C166="",0,IFERROR(INDEX(Deals!$H$2:$H$355,MATCH($C166,Deals!$A$2:$A$355,0)),0))</f>
        <v/>
      </c>
      <c r="K166" s="32">
        <f>IF(Settings!$B$4="Yes",$I166*$J166,$I166)</f>
        <v/>
      </c>
      <c r="L166" s="22">
        <f>IF($C166="","",IFERROR(IF(INDEX(Deals!$I$2:$I$355,MATCH($C166,Deals!$A$2:$A$355,0))=0,"",INDEX(Deals!$I$2:$I$355,MATCH($C166,Deals!$A$2:$A$355,0))),""))</f>
        <v/>
      </c>
      <c r="M166" s="22">
        <f>IF($C166="","",IFERROR(IF(INDEX(Deals!$J$2:$J$355,MATCH($C166,Deals!$A$2:$A$355,0))=0,"",INDEX(Deals!$J$2:$J$355,MATCH($C166,Deals!$A$2:$A$355,0))),""))</f>
        <v/>
      </c>
      <c r="N166" s="35">
        <f>IF($L166="",DATE(1900,1,1),$L166)</f>
        <v/>
      </c>
      <c r="O166" s="35">
        <f>IF($M166="",DATE(2100,12,31),$M166)</f>
        <v/>
      </c>
      <c r="P166" s="20" t="inlineStr"/>
      <c r="Q166" s="47" t="inlineStr"/>
      <c r="R166" s="16">
        <f>IF($C166="","",IFERROR(IF(INDEX(Deals!$U$2:$U$355,MATCH($C166,Deals!$A$2:$A$355,0))=0,"",INDEX(Deals!$U$2:$U$355,MATCH($C166,Deals!$A$2:$A$355,0))),""))</f>
        <v/>
      </c>
      <c r="S166" s="34">
        <f>IFERROR(IF($U166="",1,INDEX(Deals!$V$2:$V$355,MATCH($C166,Deals!$A$2:$A$355,0))),1)</f>
        <v/>
      </c>
      <c r="T166" s="34">
        <f>IFERROR(IF($U166="",1,INDEX(Deals!$W$2:$W$355,MATCH($C166,Deals!$A$2:$A$355,0))),1)</f>
        <v/>
      </c>
      <c r="U166" s="22">
        <f>IF($C166="","",IFERROR(IF(INDEX(Deals!$Y$2:$Y$355,MATCH($C166,Deals!$A$2:$A$355,0))=0,"",INDEX(Deals!$Y$2:$Y$355,MATCH($C166,Deals!$A$2:$A$355,0))),""))</f>
        <v/>
      </c>
      <c r="V166" s="35">
        <f>IF(OR($U166&lt;&gt;"",AND($AO166&gt;0,$L166&lt;&gt;"",$M166&lt;&gt;"")),$N166,DATE(1900,1,1))</f>
        <v/>
      </c>
      <c r="W166" s="35">
        <f>IF($U166&lt;&gt;"",$U166,IF(AND($AO166&gt;0,$L166&lt;&gt;"",$M166&lt;&gt;""),$O166,DATE(2100,12,31)))</f>
        <v/>
      </c>
      <c r="X166" s="32">
        <f>IF($U166="",$K166,$K166*$S166)</f>
        <v/>
      </c>
      <c r="Y166" s="35">
        <f>IF($U166="",DATE(2100,12,31),$U166+1)</f>
        <v/>
      </c>
      <c r="Z166" s="35">
        <f>IF($U166="",DATE(1900,1,1),$O166)</f>
        <v/>
      </c>
      <c r="AA166" s="32">
        <f>IF($U166="",0,$K166*$T166)</f>
        <v/>
      </c>
      <c r="AB166" s="21">
        <f>IF($C166="",0,IFERROR(INDEX(Deals!$AD$2:$AD$355,MATCH($C166,Deals!$A$2:$A$355,0)),0))</f>
        <v/>
      </c>
      <c r="AC166" s="32">
        <f>IF(Settings!$B$4="Yes",$I166*$AB166,$I166)</f>
        <v/>
      </c>
      <c r="AD166" s="22">
        <f>IF($C166="","",IFERROR(IF(INDEX(Deals!$AE$2:$AE$355,MATCH($C166,Deals!$A$2:$A$355,0))=0,"",INDEX(Deals!$AE$2:$AE$355,MATCH($C166,Deals!$A$2:$A$355,0))),""))</f>
        <v/>
      </c>
      <c r="AE166" s="22">
        <f>IF($C166="","",IFERROR(IF(INDEX(Deals!$AF$2:$AF$355,MATCH($C166,Deals!$A$2:$A$355,0))=0,"",INDEX(Deals!$AF$2:$AF$355,MATCH($C166,Deals!$A$2:$A$355,0))),""))</f>
        <v/>
      </c>
      <c r="AF166" s="35">
        <f>IF($AD166="",DATE(1900,1,1),$AD166)</f>
        <v/>
      </c>
      <c r="AG166" s="35">
        <f>IF($AE166="",DATE(2100,12,31),$AE166)</f>
        <v/>
      </c>
      <c r="AH166" s="22">
        <f>IF($C166="","",IFERROR(IF(INDEX(Deals!$AG$2:$AG$355,MATCH($C166,Deals!$A$2:$A$355,0))=0,"",INDEX(Deals!$AG$2:$AG$355,MATCH($C166,Deals!$A$2:$A$355,0))),""))</f>
        <v/>
      </c>
      <c r="AI166" s="35">
        <f>IF(OR($AH166&lt;&gt;"",AND($AO166&gt;0,$AD166&lt;&gt;"",$AE166&lt;&gt;"")),$AF166,DATE(1900,1,1))</f>
        <v/>
      </c>
      <c r="AJ166" s="35">
        <f>IF($AH166&lt;&gt;"",$AH166,IF(AND($AO166&gt;0,$AD166&lt;&gt;"",$AE166&lt;&gt;""),$AG166,DATE(2100,12,31)))</f>
        <v/>
      </c>
      <c r="AK166" s="32">
        <f>IF($AH166="",$AC166,$AC166*$S166)</f>
        <v/>
      </c>
      <c r="AL166" s="35">
        <f>IF($AH166="",DATE(2100,12,31),$AH166+1)</f>
        <v/>
      </c>
      <c r="AM166" s="35">
        <f>IF($AH166="",DATE(1900,1,1),$AG166)</f>
        <v/>
      </c>
      <c r="AN166" s="32">
        <f>IF($AH166="",0,$AC166*$T166)</f>
        <v/>
      </c>
      <c r="AO166" s="46">
        <f>IF($C166="",0,IFERROR(INDEX(Deals!$BD$2:$BD$355,MATCH($C166,Deals!$A$2:$A$355,0)),0))</f>
        <v/>
      </c>
      <c r="AP166" s="18">
        <f>IF($AO166=0,0,IFERROR(INDEX(Deals!$BJ$2:$BP$355,MATCH($C166,Deals!$A$2:$A$355,0),MATCH($F166,Deals!$BJ$1:$BP$1,0))/COUNTIFS(Assignments!$C$2:$C$769,$C166,Assignments!$F$2:$F$769,$F166,Assignments!$G$2:$G$769,"Active"),0))</f>
        <v/>
      </c>
    </row>
    <row r="167">
      <c r="A167" s="28" t="inlineStr">
        <is>
          <t>Ethan</t>
        </is>
      </c>
      <c r="B167" s="16">
        <f>IF($A167="","",IFERROR(INDEX(Roster!$B$2:$B$40,MATCH($A167,Roster!$A$2:$A$40,0)),"?"))</f>
        <v/>
      </c>
      <c r="C167" s="28" t="inlineStr">
        <is>
          <t>Broadway_1</t>
        </is>
      </c>
      <c r="D167" s="16">
        <f>IF($C167="","",IFERROR(IF(INDEX(Deals!$C$2:$C$355,MATCH($C167,Deals!$A$2:$A$355,0))=0,"",INDEX(Deals!$C$2:$C$355,MATCH($C167,Deals!$A$2:$A$355,0))),"?"))</f>
        <v/>
      </c>
      <c r="E167" s="16">
        <f>IF($C167="","",IFERROR(INDEX(Deals!$F$2:$F$355,MATCH($C167,Deals!$A$2:$A$355,0)),"?"))</f>
        <v/>
      </c>
      <c r="F167" s="28" t="inlineStr">
        <is>
          <t>MD</t>
        </is>
      </c>
      <c r="G167" s="28" t="inlineStr">
        <is>
          <t>Active</t>
        </is>
      </c>
      <c r="H167" s="31" t="n"/>
      <c r="I167" s="32">
        <f>IF(OR($A167="",$G167&lt;&gt;"Active"),0,IF($H167&lt;&gt;"",$H167,IF($AO167&gt;0,$AP167,IF(AND($R167&lt;&gt;"",IFERROR(INDEX(Templates!$B$3:$H$10,MATCH($R167,Templates!$A$3:$A$10,0),MATCH($F167,Templates!$B$2:$H$2,0)),0)&gt;0),INDEX(Templates!$B$3:$H$10,MATCH($R167,Templates!$A$3:$A$10,0),MATCH($F167,Templates!$B$2:$H$2,0)),IFERROR(INDEX(Settings!$B$8:$B$14,MATCH($F167,Settings!$A$8:$A$14,0)),0)))))</f>
        <v/>
      </c>
      <c r="J167" s="21">
        <f>IF($C167="",0,IFERROR(INDEX(Deals!$H$2:$H$355,MATCH($C167,Deals!$A$2:$A$355,0)),0))</f>
        <v/>
      </c>
      <c r="K167" s="32">
        <f>IF(Settings!$B$4="Yes",$I167*$J167,$I167)</f>
        <v/>
      </c>
      <c r="L167" s="22">
        <f>IF($C167="","",IFERROR(IF(INDEX(Deals!$I$2:$I$355,MATCH($C167,Deals!$A$2:$A$355,0))=0,"",INDEX(Deals!$I$2:$I$355,MATCH($C167,Deals!$A$2:$A$355,0))),""))</f>
        <v/>
      </c>
      <c r="M167" s="22">
        <f>IF($C167="","",IFERROR(IF(INDEX(Deals!$J$2:$J$355,MATCH($C167,Deals!$A$2:$A$355,0))=0,"",INDEX(Deals!$J$2:$J$355,MATCH($C167,Deals!$A$2:$A$355,0))),""))</f>
        <v/>
      </c>
      <c r="N167" s="35">
        <f>IF($L167="",DATE(1900,1,1),$L167)</f>
        <v/>
      </c>
      <c r="O167" s="35">
        <f>IF($M167="",DATE(2100,12,31),$M167)</f>
        <v/>
      </c>
      <c r="P167" s="20" t="inlineStr"/>
      <c r="Q167" s="47" t="inlineStr"/>
      <c r="R167" s="16">
        <f>IF($C167="","",IFERROR(IF(INDEX(Deals!$U$2:$U$355,MATCH($C167,Deals!$A$2:$A$355,0))=0,"",INDEX(Deals!$U$2:$U$355,MATCH($C167,Deals!$A$2:$A$355,0))),""))</f>
        <v/>
      </c>
      <c r="S167" s="34">
        <f>IFERROR(IF($U167="",1,INDEX(Deals!$V$2:$V$355,MATCH($C167,Deals!$A$2:$A$355,0))),1)</f>
        <v/>
      </c>
      <c r="T167" s="34">
        <f>IFERROR(IF($U167="",1,INDEX(Deals!$W$2:$W$355,MATCH($C167,Deals!$A$2:$A$355,0))),1)</f>
        <v/>
      </c>
      <c r="U167" s="22">
        <f>IF($C167="","",IFERROR(IF(INDEX(Deals!$Y$2:$Y$355,MATCH($C167,Deals!$A$2:$A$355,0))=0,"",INDEX(Deals!$Y$2:$Y$355,MATCH($C167,Deals!$A$2:$A$355,0))),""))</f>
        <v/>
      </c>
      <c r="V167" s="35">
        <f>IF(OR($U167&lt;&gt;"",AND($AO167&gt;0,$L167&lt;&gt;"",$M167&lt;&gt;"")),$N167,DATE(1900,1,1))</f>
        <v/>
      </c>
      <c r="W167" s="35">
        <f>IF($U167&lt;&gt;"",$U167,IF(AND($AO167&gt;0,$L167&lt;&gt;"",$M167&lt;&gt;""),$O167,DATE(2100,12,31)))</f>
        <v/>
      </c>
      <c r="X167" s="32">
        <f>IF($U167="",$K167,$K167*$S167)</f>
        <v/>
      </c>
      <c r="Y167" s="35">
        <f>IF($U167="",DATE(2100,12,31),$U167+1)</f>
        <v/>
      </c>
      <c r="Z167" s="35">
        <f>IF($U167="",DATE(1900,1,1),$O167)</f>
        <v/>
      </c>
      <c r="AA167" s="32">
        <f>IF($U167="",0,$K167*$T167)</f>
        <v/>
      </c>
      <c r="AB167" s="21">
        <f>IF($C167="",0,IFERROR(INDEX(Deals!$AD$2:$AD$355,MATCH($C167,Deals!$A$2:$A$355,0)),0))</f>
        <v/>
      </c>
      <c r="AC167" s="32">
        <f>IF(Settings!$B$4="Yes",$I167*$AB167,$I167)</f>
        <v/>
      </c>
      <c r="AD167" s="22">
        <f>IF($C167="","",IFERROR(IF(INDEX(Deals!$AE$2:$AE$355,MATCH($C167,Deals!$A$2:$A$355,0))=0,"",INDEX(Deals!$AE$2:$AE$355,MATCH($C167,Deals!$A$2:$A$355,0))),""))</f>
        <v/>
      </c>
      <c r="AE167" s="22">
        <f>IF($C167="","",IFERROR(IF(INDEX(Deals!$AF$2:$AF$355,MATCH($C167,Deals!$A$2:$A$355,0))=0,"",INDEX(Deals!$AF$2:$AF$355,MATCH($C167,Deals!$A$2:$A$355,0))),""))</f>
        <v/>
      </c>
      <c r="AF167" s="35">
        <f>IF($AD167="",DATE(1900,1,1),$AD167)</f>
        <v/>
      </c>
      <c r="AG167" s="35">
        <f>IF($AE167="",DATE(2100,12,31),$AE167)</f>
        <v/>
      </c>
      <c r="AH167" s="22">
        <f>IF($C167="","",IFERROR(IF(INDEX(Deals!$AG$2:$AG$355,MATCH($C167,Deals!$A$2:$A$355,0))=0,"",INDEX(Deals!$AG$2:$AG$355,MATCH($C167,Deals!$A$2:$A$355,0))),""))</f>
        <v/>
      </c>
      <c r="AI167" s="35">
        <f>IF(OR($AH167&lt;&gt;"",AND($AO167&gt;0,$AD167&lt;&gt;"",$AE167&lt;&gt;"")),$AF167,DATE(1900,1,1))</f>
        <v/>
      </c>
      <c r="AJ167" s="35">
        <f>IF($AH167&lt;&gt;"",$AH167,IF(AND($AO167&gt;0,$AD167&lt;&gt;"",$AE167&lt;&gt;""),$AG167,DATE(2100,12,31)))</f>
        <v/>
      </c>
      <c r="AK167" s="32">
        <f>IF($AH167="",$AC167,$AC167*$S167)</f>
        <v/>
      </c>
      <c r="AL167" s="35">
        <f>IF($AH167="",DATE(2100,12,31),$AH167+1)</f>
        <v/>
      </c>
      <c r="AM167" s="35">
        <f>IF($AH167="",DATE(1900,1,1),$AG167)</f>
        <v/>
      </c>
      <c r="AN167" s="32">
        <f>IF($AH167="",0,$AC167*$T167)</f>
        <v/>
      </c>
      <c r="AO167" s="46">
        <f>IF($C167="",0,IFERROR(INDEX(Deals!$BD$2:$BD$355,MATCH($C167,Deals!$A$2:$A$355,0)),0))</f>
        <v/>
      </c>
      <c r="AP167" s="18">
        <f>IF($AO167=0,0,IFERROR(INDEX(Deals!$BJ$2:$BP$355,MATCH($C167,Deals!$A$2:$A$355,0),MATCH($F167,Deals!$BJ$1:$BP$1,0))/COUNTIFS(Assignments!$C$2:$C$769,$C167,Assignments!$F$2:$F$769,$F167,Assignments!$G$2:$G$769,"Active"),0))</f>
        <v/>
      </c>
    </row>
    <row r="168">
      <c r="A168" s="28" t="inlineStr">
        <is>
          <t>Ethan</t>
        </is>
      </c>
      <c r="B168" s="16">
        <f>IF($A168="","",IFERROR(INDEX(Roster!$B$2:$B$40,MATCH($A168,Roster!$A$2:$A$40,0)),"?"))</f>
        <v/>
      </c>
      <c r="C168" s="28" t="inlineStr">
        <is>
          <t>Camaro_1</t>
        </is>
      </c>
      <c r="D168" s="16">
        <f>IF($C168="","",IFERROR(IF(INDEX(Deals!$C$2:$C$355,MATCH($C168,Deals!$A$2:$A$355,0))=0,"",INDEX(Deals!$C$2:$C$355,MATCH($C168,Deals!$A$2:$A$355,0))),"?"))</f>
        <v/>
      </c>
      <c r="E168" s="16">
        <f>IF($C168="","",IFERROR(INDEX(Deals!$F$2:$F$355,MATCH($C168,Deals!$A$2:$A$355,0)),"?"))</f>
        <v/>
      </c>
      <c r="F168" s="28" t="inlineStr">
        <is>
          <t>MD</t>
        </is>
      </c>
      <c r="G168" s="28" t="inlineStr">
        <is>
          <t>Active</t>
        </is>
      </c>
      <c r="H168" s="31" t="n"/>
      <c r="I168" s="32">
        <f>IF(OR($A168="",$G168&lt;&gt;"Active"),0,IF($H168&lt;&gt;"",$H168,IF($AO168&gt;0,$AP168,IF(AND($R168&lt;&gt;"",IFERROR(INDEX(Templates!$B$3:$H$10,MATCH($R168,Templates!$A$3:$A$10,0),MATCH($F168,Templates!$B$2:$H$2,0)),0)&gt;0),INDEX(Templates!$B$3:$H$10,MATCH($R168,Templates!$A$3:$A$10,0),MATCH($F168,Templates!$B$2:$H$2,0)),IFERROR(INDEX(Settings!$B$8:$B$14,MATCH($F168,Settings!$A$8:$A$14,0)),0)))))</f>
        <v/>
      </c>
      <c r="J168" s="21">
        <f>IF($C168="",0,IFERROR(INDEX(Deals!$H$2:$H$355,MATCH($C168,Deals!$A$2:$A$355,0)),0))</f>
        <v/>
      </c>
      <c r="K168" s="32">
        <f>IF(Settings!$B$4="Yes",$I168*$J168,$I168)</f>
        <v/>
      </c>
      <c r="L168" s="22">
        <f>IF($C168="","",IFERROR(IF(INDEX(Deals!$I$2:$I$355,MATCH($C168,Deals!$A$2:$A$355,0))=0,"",INDEX(Deals!$I$2:$I$355,MATCH($C168,Deals!$A$2:$A$355,0))),""))</f>
        <v/>
      </c>
      <c r="M168" s="22">
        <f>IF($C168="","",IFERROR(IF(INDEX(Deals!$J$2:$J$355,MATCH($C168,Deals!$A$2:$A$355,0))=0,"",INDEX(Deals!$J$2:$J$355,MATCH($C168,Deals!$A$2:$A$355,0))),""))</f>
        <v/>
      </c>
      <c r="N168" s="35">
        <f>IF($L168="",DATE(1900,1,1),$L168)</f>
        <v/>
      </c>
      <c r="O168" s="35">
        <f>IF($M168="",DATE(2100,12,31),$M168)</f>
        <v/>
      </c>
      <c r="P168" s="20" t="inlineStr"/>
      <c r="Q168" s="47" t="inlineStr"/>
      <c r="R168" s="16">
        <f>IF($C168="","",IFERROR(IF(INDEX(Deals!$U$2:$U$355,MATCH($C168,Deals!$A$2:$A$355,0))=0,"",INDEX(Deals!$U$2:$U$355,MATCH($C168,Deals!$A$2:$A$355,0))),""))</f>
        <v/>
      </c>
      <c r="S168" s="34">
        <f>IFERROR(IF($U168="",1,INDEX(Deals!$V$2:$V$355,MATCH($C168,Deals!$A$2:$A$355,0))),1)</f>
        <v/>
      </c>
      <c r="T168" s="34">
        <f>IFERROR(IF($U168="",1,INDEX(Deals!$W$2:$W$355,MATCH($C168,Deals!$A$2:$A$355,0))),1)</f>
        <v/>
      </c>
      <c r="U168" s="22">
        <f>IF($C168="","",IFERROR(IF(INDEX(Deals!$Y$2:$Y$355,MATCH($C168,Deals!$A$2:$A$355,0))=0,"",INDEX(Deals!$Y$2:$Y$355,MATCH($C168,Deals!$A$2:$A$355,0))),""))</f>
        <v/>
      </c>
      <c r="V168" s="35">
        <f>IF(OR($U168&lt;&gt;"",AND($AO168&gt;0,$L168&lt;&gt;"",$M168&lt;&gt;"")),$N168,DATE(1900,1,1))</f>
        <v/>
      </c>
      <c r="W168" s="35">
        <f>IF($U168&lt;&gt;"",$U168,IF(AND($AO168&gt;0,$L168&lt;&gt;"",$M168&lt;&gt;""),$O168,DATE(2100,12,31)))</f>
        <v/>
      </c>
      <c r="X168" s="32">
        <f>IF($U168="",$K168,$K168*$S168)</f>
        <v/>
      </c>
      <c r="Y168" s="35">
        <f>IF($U168="",DATE(2100,12,31),$U168+1)</f>
        <v/>
      </c>
      <c r="Z168" s="35">
        <f>IF($U168="",DATE(1900,1,1),$O168)</f>
        <v/>
      </c>
      <c r="AA168" s="32">
        <f>IF($U168="",0,$K168*$T168)</f>
        <v/>
      </c>
      <c r="AB168" s="21">
        <f>IF($C168="",0,IFERROR(INDEX(Deals!$AD$2:$AD$355,MATCH($C168,Deals!$A$2:$A$355,0)),0))</f>
        <v/>
      </c>
      <c r="AC168" s="32">
        <f>IF(Settings!$B$4="Yes",$I168*$AB168,$I168)</f>
        <v/>
      </c>
      <c r="AD168" s="22">
        <f>IF($C168="","",IFERROR(IF(INDEX(Deals!$AE$2:$AE$355,MATCH($C168,Deals!$A$2:$A$355,0))=0,"",INDEX(Deals!$AE$2:$AE$355,MATCH($C168,Deals!$A$2:$A$355,0))),""))</f>
        <v/>
      </c>
      <c r="AE168" s="22">
        <f>IF($C168="","",IFERROR(IF(INDEX(Deals!$AF$2:$AF$355,MATCH($C168,Deals!$A$2:$A$355,0))=0,"",INDEX(Deals!$AF$2:$AF$355,MATCH($C168,Deals!$A$2:$A$355,0))),""))</f>
        <v/>
      </c>
      <c r="AF168" s="35">
        <f>IF($AD168="",DATE(1900,1,1),$AD168)</f>
        <v/>
      </c>
      <c r="AG168" s="35">
        <f>IF($AE168="",DATE(2100,12,31),$AE168)</f>
        <v/>
      </c>
      <c r="AH168" s="22">
        <f>IF($C168="","",IFERROR(IF(INDEX(Deals!$AG$2:$AG$355,MATCH($C168,Deals!$A$2:$A$355,0))=0,"",INDEX(Deals!$AG$2:$AG$355,MATCH($C168,Deals!$A$2:$A$355,0))),""))</f>
        <v/>
      </c>
      <c r="AI168" s="35">
        <f>IF(OR($AH168&lt;&gt;"",AND($AO168&gt;0,$AD168&lt;&gt;"",$AE168&lt;&gt;"")),$AF168,DATE(1900,1,1))</f>
        <v/>
      </c>
      <c r="AJ168" s="35">
        <f>IF($AH168&lt;&gt;"",$AH168,IF(AND($AO168&gt;0,$AD168&lt;&gt;"",$AE168&lt;&gt;""),$AG168,DATE(2100,12,31)))</f>
        <v/>
      </c>
      <c r="AK168" s="32">
        <f>IF($AH168="",$AC168,$AC168*$S168)</f>
        <v/>
      </c>
      <c r="AL168" s="35">
        <f>IF($AH168="",DATE(2100,12,31),$AH168+1)</f>
        <v/>
      </c>
      <c r="AM168" s="35">
        <f>IF($AH168="",DATE(1900,1,1),$AG168)</f>
        <v/>
      </c>
      <c r="AN168" s="32">
        <f>IF($AH168="",0,$AC168*$T168)</f>
        <v/>
      </c>
      <c r="AO168" s="46">
        <f>IF($C168="",0,IFERROR(INDEX(Deals!$BD$2:$BD$355,MATCH($C168,Deals!$A$2:$A$355,0)),0))</f>
        <v/>
      </c>
      <c r="AP168" s="18">
        <f>IF($AO168=0,0,IFERROR(INDEX(Deals!$BJ$2:$BP$355,MATCH($C168,Deals!$A$2:$A$355,0),MATCH($F168,Deals!$BJ$1:$BP$1,0))/COUNTIFS(Assignments!$C$2:$C$769,$C168,Assignments!$F$2:$F$769,$F168,Assignments!$G$2:$G$769,"Active"),0))</f>
        <v/>
      </c>
    </row>
    <row r="169">
      <c r="A169" s="28" t="inlineStr">
        <is>
          <t>Ethan</t>
        </is>
      </c>
      <c r="B169" s="16">
        <f>IF($A169="","",IFERROR(INDEX(Roster!$B$2:$B$40,MATCH($A169,Roster!$A$2:$A$40,0)),"?"))</f>
        <v/>
      </c>
      <c r="C169" s="28" t="inlineStr">
        <is>
          <t>Coral II_1</t>
        </is>
      </c>
      <c r="D169" s="16">
        <f>IF($C169="","",IFERROR(IF(INDEX(Deals!$C$2:$C$355,MATCH($C169,Deals!$A$2:$A$355,0))=0,"",INDEX(Deals!$C$2:$C$355,MATCH($C169,Deals!$A$2:$A$355,0))),"?"))</f>
        <v/>
      </c>
      <c r="E169" s="16">
        <f>IF($C169="","",IFERROR(INDEX(Deals!$F$2:$F$355,MATCH($C169,Deals!$A$2:$A$355,0)),"?"))</f>
        <v/>
      </c>
      <c r="F169" s="28" t="inlineStr">
        <is>
          <t>MD</t>
        </is>
      </c>
      <c r="G169" s="28" t="inlineStr">
        <is>
          <t>Active</t>
        </is>
      </c>
      <c r="H169" s="31" t="n"/>
      <c r="I169" s="32">
        <f>IF(OR($A169="",$G169&lt;&gt;"Active"),0,IF($H169&lt;&gt;"",$H169,IF($AO169&gt;0,$AP169,IF(AND($R169&lt;&gt;"",IFERROR(INDEX(Templates!$B$3:$H$10,MATCH($R169,Templates!$A$3:$A$10,0),MATCH($F169,Templates!$B$2:$H$2,0)),0)&gt;0),INDEX(Templates!$B$3:$H$10,MATCH($R169,Templates!$A$3:$A$10,0),MATCH($F169,Templates!$B$2:$H$2,0)),IFERROR(INDEX(Settings!$B$8:$B$14,MATCH($F169,Settings!$A$8:$A$14,0)),0)))))</f>
        <v/>
      </c>
      <c r="J169" s="21">
        <f>IF($C169="",0,IFERROR(INDEX(Deals!$H$2:$H$355,MATCH($C169,Deals!$A$2:$A$355,0)),0))</f>
        <v/>
      </c>
      <c r="K169" s="32">
        <f>IF(Settings!$B$4="Yes",$I169*$J169,$I169)</f>
        <v/>
      </c>
      <c r="L169" s="22">
        <f>IF($C169="","",IFERROR(IF(INDEX(Deals!$I$2:$I$355,MATCH($C169,Deals!$A$2:$A$355,0))=0,"",INDEX(Deals!$I$2:$I$355,MATCH($C169,Deals!$A$2:$A$355,0))),""))</f>
        <v/>
      </c>
      <c r="M169" s="22">
        <f>IF($C169="","",IFERROR(IF(INDEX(Deals!$J$2:$J$355,MATCH($C169,Deals!$A$2:$A$355,0))=0,"",INDEX(Deals!$J$2:$J$355,MATCH($C169,Deals!$A$2:$A$355,0))),""))</f>
        <v/>
      </c>
      <c r="N169" s="35">
        <f>IF($L169="",DATE(1900,1,1),$L169)</f>
        <v/>
      </c>
      <c r="O169" s="35">
        <f>IF($M169="",DATE(2100,12,31),$M169)</f>
        <v/>
      </c>
      <c r="P169" s="20" t="inlineStr"/>
      <c r="Q169" s="47" t="inlineStr"/>
      <c r="R169" s="16">
        <f>IF($C169="","",IFERROR(IF(INDEX(Deals!$U$2:$U$355,MATCH($C169,Deals!$A$2:$A$355,0))=0,"",INDEX(Deals!$U$2:$U$355,MATCH($C169,Deals!$A$2:$A$355,0))),""))</f>
        <v/>
      </c>
      <c r="S169" s="34">
        <f>IFERROR(IF($U169="",1,INDEX(Deals!$V$2:$V$355,MATCH($C169,Deals!$A$2:$A$355,0))),1)</f>
        <v/>
      </c>
      <c r="T169" s="34">
        <f>IFERROR(IF($U169="",1,INDEX(Deals!$W$2:$W$355,MATCH($C169,Deals!$A$2:$A$355,0))),1)</f>
        <v/>
      </c>
      <c r="U169" s="22">
        <f>IF($C169="","",IFERROR(IF(INDEX(Deals!$Y$2:$Y$355,MATCH($C169,Deals!$A$2:$A$355,0))=0,"",INDEX(Deals!$Y$2:$Y$355,MATCH($C169,Deals!$A$2:$A$355,0))),""))</f>
        <v/>
      </c>
      <c r="V169" s="35">
        <f>IF(OR($U169&lt;&gt;"",AND($AO169&gt;0,$L169&lt;&gt;"",$M169&lt;&gt;"")),$N169,DATE(1900,1,1))</f>
        <v/>
      </c>
      <c r="W169" s="35">
        <f>IF($U169&lt;&gt;"",$U169,IF(AND($AO169&gt;0,$L169&lt;&gt;"",$M169&lt;&gt;""),$O169,DATE(2100,12,31)))</f>
        <v/>
      </c>
      <c r="X169" s="32">
        <f>IF($U169="",$K169,$K169*$S169)</f>
        <v/>
      </c>
      <c r="Y169" s="35">
        <f>IF($U169="",DATE(2100,12,31),$U169+1)</f>
        <v/>
      </c>
      <c r="Z169" s="35">
        <f>IF($U169="",DATE(1900,1,1),$O169)</f>
        <v/>
      </c>
      <c r="AA169" s="32">
        <f>IF($U169="",0,$K169*$T169)</f>
        <v/>
      </c>
      <c r="AB169" s="21">
        <f>IF($C169="",0,IFERROR(INDEX(Deals!$AD$2:$AD$355,MATCH($C169,Deals!$A$2:$A$355,0)),0))</f>
        <v/>
      </c>
      <c r="AC169" s="32">
        <f>IF(Settings!$B$4="Yes",$I169*$AB169,$I169)</f>
        <v/>
      </c>
      <c r="AD169" s="22">
        <f>IF($C169="","",IFERROR(IF(INDEX(Deals!$AE$2:$AE$355,MATCH($C169,Deals!$A$2:$A$355,0))=0,"",INDEX(Deals!$AE$2:$AE$355,MATCH($C169,Deals!$A$2:$A$355,0))),""))</f>
        <v/>
      </c>
      <c r="AE169" s="22">
        <f>IF($C169="","",IFERROR(IF(INDEX(Deals!$AF$2:$AF$355,MATCH($C169,Deals!$A$2:$A$355,0))=0,"",INDEX(Deals!$AF$2:$AF$355,MATCH($C169,Deals!$A$2:$A$355,0))),""))</f>
        <v/>
      </c>
      <c r="AF169" s="35">
        <f>IF($AD169="",DATE(1900,1,1),$AD169)</f>
        <v/>
      </c>
      <c r="AG169" s="35">
        <f>IF($AE169="",DATE(2100,12,31),$AE169)</f>
        <v/>
      </c>
      <c r="AH169" s="22">
        <f>IF($C169="","",IFERROR(IF(INDEX(Deals!$AG$2:$AG$355,MATCH($C169,Deals!$A$2:$A$355,0))=0,"",INDEX(Deals!$AG$2:$AG$355,MATCH($C169,Deals!$A$2:$A$355,0))),""))</f>
        <v/>
      </c>
      <c r="AI169" s="35">
        <f>IF(OR($AH169&lt;&gt;"",AND($AO169&gt;0,$AD169&lt;&gt;"",$AE169&lt;&gt;"")),$AF169,DATE(1900,1,1))</f>
        <v/>
      </c>
      <c r="AJ169" s="35">
        <f>IF($AH169&lt;&gt;"",$AH169,IF(AND($AO169&gt;0,$AD169&lt;&gt;"",$AE169&lt;&gt;""),$AG169,DATE(2100,12,31)))</f>
        <v/>
      </c>
      <c r="AK169" s="32">
        <f>IF($AH169="",$AC169,$AC169*$S169)</f>
        <v/>
      </c>
      <c r="AL169" s="35">
        <f>IF($AH169="",DATE(2100,12,31),$AH169+1)</f>
        <v/>
      </c>
      <c r="AM169" s="35">
        <f>IF($AH169="",DATE(1900,1,1),$AG169)</f>
        <v/>
      </c>
      <c r="AN169" s="32">
        <f>IF($AH169="",0,$AC169*$T169)</f>
        <v/>
      </c>
      <c r="AO169" s="46">
        <f>IF($C169="",0,IFERROR(INDEX(Deals!$BD$2:$BD$355,MATCH($C169,Deals!$A$2:$A$355,0)),0))</f>
        <v/>
      </c>
      <c r="AP169" s="18">
        <f>IF($AO169=0,0,IFERROR(INDEX(Deals!$BJ$2:$BP$355,MATCH($C169,Deals!$A$2:$A$355,0),MATCH($F169,Deals!$BJ$1:$BP$1,0))/COUNTIFS(Assignments!$C$2:$C$769,$C169,Assignments!$F$2:$F$769,$F169,Assignments!$G$2:$G$769,"Active"),0))</f>
        <v/>
      </c>
    </row>
    <row r="170">
      <c r="A170" s="28" t="inlineStr">
        <is>
          <t>Ethan</t>
        </is>
      </c>
      <c r="B170" s="16">
        <f>IF($A170="","",IFERROR(INDEX(Roster!$B$2:$B$40,MATCH($A170,Roster!$A$2:$A$40,0)),"?"))</f>
        <v/>
      </c>
      <c r="C170" s="28" t="inlineStr">
        <is>
          <t>Dawn_1</t>
        </is>
      </c>
      <c r="D170" s="16">
        <f>IF($C170="","",IFERROR(IF(INDEX(Deals!$C$2:$C$355,MATCH($C170,Deals!$A$2:$A$355,0))=0,"",INDEX(Deals!$C$2:$C$355,MATCH($C170,Deals!$A$2:$A$355,0))),"?"))</f>
        <v/>
      </c>
      <c r="E170" s="16">
        <f>IF($C170="","",IFERROR(INDEX(Deals!$F$2:$F$355,MATCH($C170,Deals!$A$2:$A$355,0)),"?"))</f>
        <v/>
      </c>
      <c r="F170" s="28" t="inlineStr">
        <is>
          <t>MD</t>
        </is>
      </c>
      <c r="G170" s="28" t="inlineStr">
        <is>
          <t>Active</t>
        </is>
      </c>
      <c r="H170" s="31" t="n"/>
      <c r="I170" s="32">
        <f>IF(OR($A170="",$G170&lt;&gt;"Active"),0,IF($H170&lt;&gt;"",$H170,IF($AO170&gt;0,$AP170,IF(AND($R170&lt;&gt;"",IFERROR(INDEX(Templates!$B$3:$H$10,MATCH($R170,Templates!$A$3:$A$10,0),MATCH($F170,Templates!$B$2:$H$2,0)),0)&gt;0),INDEX(Templates!$B$3:$H$10,MATCH($R170,Templates!$A$3:$A$10,0),MATCH($F170,Templates!$B$2:$H$2,0)),IFERROR(INDEX(Settings!$B$8:$B$14,MATCH($F170,Settings!$A$8:$A$14,0)),0)))))</f>
        <v/>
      </c>
      <c r="J170" s="21">
        <f>IF($C170="",0,IFERROR(INDEX(Deals!$H$2:$H$355,MATCH($C170,Deals!$A$2:$A$355,0)),0))</f>
        <v/>
      </c>
      <c r="K170" s="32">
        <f>IF(Settings!$B$4="Yes",$I170*$J170,$I170)</f>
        <v/>
      </c>
      <c r="L170" s="22">
        <f>IF($C170="","",IFERROR(IF(INDEX(Deals!$I$2:$I$355,MATCH($C170,Deals!$A$2:$A$355,0))=0,"",INDEX(Deals!$I$2:$I$355,MATCH($C170,Deals!$A$2:$A$355,0))),""))</f>
        <v/>
      </c>
      <c r="M170" s="22">
        <f>IF($C170="","",IFERROR(IF(INDEX(Deals!$J$2:$J$355,MATCH($C170,Deals!$A$2:$A$355,0))=0,"",INDEX(Deals!$J$2:$J$355,MATCH($C170,Deals!$A$2:$A$355,0))),""))</f>
        <v/>
      </c>
      <c r="N170" s="35">
        <f>IF($L170="",DATE(1900,1,1),$L170)</f>
        <v/>
      </c>
      <c r="O170" s="35">
        <f>IF($M170="",DATE(2100,12,31),$M170)</f>
        <v/>
      </c>
      <c r="P170" s="20" t="inlineStr"/>
      <c r="Q170" s="47" t="inlineStr"/>
      <c r="R170" s="16">
        <f>IF($C170="","",IFERROR(IF(INDEX(Deals!$U$2:$U$355,MATCH($C170,Deals!$A$2:$A$355,0))=0,"",INDEX(Deals!$U$2:$U$355,MATCH($C170,Deals!$A$2:$A$355,0))),""))</f>
        <v/>
      </c>
      <c r="S170" s="34">
        <f>IFERROR(IF($U170="",1,INDEX(Deals!$V$2:$V$355,MATCH($C170,Deals!$A$2:$A$355,0))),1)</f>
        <v/>
      </c>
      <c r="T170" s="34">
        <f>IFERROR(IF($U170="",1,INDEX(Deals!$W$2:$W$355,MATCH($C170,Deals!$A$2:$A$355,0))),1)</f>
        <v/>
      </c>
      <c r="U170" s="22">
        <f>IF($C170="","",IFERROR(IF(INDEX(Deals!$Y$2:$Y$355,MATCH($C170,Deals!$A$2:$A$355,0))=0,"",INDEX(Deals!$Y$2:$Y$355,MATCH($C170,Deals!$A$2:$A$355,0))),""))</f>
        <v/>
      </c>
      <c r="V170" s="35">
        <f>IF(OR($U170&lt;&gt;"",AND($AO170&gt;0,$L170&lt;&gt;"",$M170&lt;&gt;"")),$N170,DATE(1900,1,1))</f>
        <v/>
      </c>
      <c r="W170" s="35">
        <f>IF($U170&lt;&gt;"",$U170,IF(AND($AO170&gt;0,$L170&lt;&gt;"",$M170&lt;&gt;""),$O170,DATE(2100,12,31)))</f>
        <v/>
      </c>
      <c r="X170" s="32">
        <f>IF($U170="",$K170,$K170*$S170)</f>
        <v/>
      </c>
      <c r="Y170" s="35">
        <f>IF($U170="",DATE(2100,12,31),$U170+1)</f>
        <v/>
      </c>
      <c r="Z170" s="35">
        <f>IF($U170="",DATE(1900,1,1),$O170)</f>
        <v/>
      </c>
      <c r="AA170" s="32">
        <f>IF($U170="",0,$K170*$T170)</f>
        <v/>
      </c>
      <c r="AB170" s="21">
        <f>IF($C170="",0,IFERROR(INDEX(Deals!$AD$2:$AD$355,MATCH($C170,Deals!$A$2:$A$355,0)),0))</f>
        <v/>
      </c>
      <c r="AC170" s="32">
        <f>IF(Settings!$B$4="Yes",$I170*$AB170,$I170)</f>
        <v/>
      </c>
      <c r="AD170" s="22">
        <f>IF($C170="","",IFERROR(IF(INDEX(Deals!$AE$2:$AE$355,MATCH($C170,Deals!$A$2:$A$355,0))=0,"",INDEX(Deals!$AE$2:$AE$355,MATCH($C170,Deals!$A$2:$A$355,0))),""))</f>
        <v/>
      </c>
      <c r="AE170" s="22">
        <f>IF($C170="","",IFERROR(IF(INDEX(Deals!$AF$2:$AF$355,MATCH($C170,Deals!$A$2:$A$355,0))=0,"",INDEX(Deals!$AF$2:$AF$355,MATCH($C170,Deals!$A$2:$A$355,0))),""))</f>
        <v/>
      </c>
      <c r="AF170" s="35">
        <f>IF($AD170="",DATE(1900,1,1),$AD170)</f>
        <v/>
      </c>
      <c r="AG170" s="35">
        <f>IF($AE170="",DATE(2100,12,31),$AE170)</f>
        <v/>
      </c>
      <c r="AH170" s="22">
        <f>IF($C170="","",IFERROR(IF(INDEX(Deals!$AG$2:$AG$355,MATCH($C170,Deals!$A$2:$A$355,0))=0,"",INDEX(Deals!$AG$2:$AG$355,MATCH($C170,Deals!$A$2:$A$355,0))),""))</f>
        <v/>
      </c>
      <c r="AI170" s="35">
        <f>IF(OR($AH170&lt;&gt;"",AND($AO170&gt;0,$AD170&lt;&gt;"",$AE170&lt;&gt;"")),$AF170,DATE(1900,1,1))</f>
        <v/>
      </c>
      <c r="AJ170" s="35">
        <f>IF($AH170&lt;&gt;"",$AH170,IF(AND($AO170&gt;0,$AD170&lt;&gt;"",$AE170&lt;&gt;""),$AG170,DATE(2100,12,31)))</f>
        <v/>
      </c>
      <c r="AK170" s="32">
        <f>IF($AH170="",$AC170,$AC170*$S170)</f>
        <v/>
      </c>
      <c r="AL170" s="35">
        <f>IF($AH170="",DATE(2100,12,31),$AH170+1)</f>
        <v/>
      </c>
      <c r="AM170" s="35">
        <f>IF($AH170="",DATE(1900,1,1),$AG170)</f>
        <v/>
      </c>
      <c r="AN170" s="32">
        <f>IF($AH170="",0,$AC170*$T170)</f>
        <v/>
      </c>
      <c r="AO170" s="46">
        <f>IF($C170="",0,IFERROR(INDEX(Deals!$BD$2:$BD$355,MATCH($C170,Deals!$A$2:$A$355,0)),0))</f>
        <v/>
      </c>
      <c r="AP170" s="18">
        <f>IF($AO170=0,0,IFERROR(INDEX(Deals!$BJ$2:$BP$355,MATCH($C170,Deals!$A$2:$A$355,0),MATCH($F170,Deals!$BJ$1:$BP$1,0))/COUNTIFS(Assignments!$C$2:$C$769,$C170,Assignments!$F$2:$F$769,$F170,Assignments!$G$2:$G$769,"Active"),0))</f>
        <v/>
      </c>
    </row>
    <row r="171">
      <c r="A171" s="28" t="inlineStr">
        <is>
          <t>Ethan</t>
        </is>
      </c>
      <c r="B171" s="16">
        <f>IF($A171="","",IFERROR(INDEX(Roster!$B$2:$B$40,MATCH($A171,Roster!$A$2:$A$40,0)),"?"))</f>
        <v/>
      </c>
      <c r="C171" s="28" t="inlineStr">
        <is>
          <t>Dupont_1</t>
        </is>
      </c>
      <c r="D171" s="16">
        <f>IF($C171="","",IFERROR(IF(INDEX(Deals!$C$2:$C$355,MATCH($C171,Deals!$A$2:$A$355,0))=0,"",INDEX(Deals!$C$2:$C$355,MATCH($C171,Deals!$A$2:$A$355,0))),"?"))</f>
        <v/>
      </c>
      <c r="E171" s="16">
        <f>IF($C171="","",IFERROR(INDEX(Deals!$F$2:$F$355,MATCH($C171,Deals!$A$2:$A$355,0)),"?"))</f>
        <v/>
      </c>
      <c r="F171" s="28" t="inlineStr">
        <is>
          <t>MD</t>
        </is>
      </c>
      <c r="G171" s="28" t="inlineStr">
        <is>
          <t>Active</t>
        </is>
      </c>
      <c r="H171" s="31" t="n"/>
      <c r="I171" s="32">
        <f>IF(OR($A171="",$G171&lt;&gt;"Active"),0,IF($H171&lt;&gt;"",$H171,IF($AO171&gt;0,$AP171,IF(AND($R171&lt;&gt;"",IFERROR(INDEX(Templates!$B$3:$H$10,MATCH($R171,Templates!$A$3:$A$10,0),MATCH($F171,Templates!$B$2:$H$2,0)),0)&gt;0),INDEX(Templates!$B$3:$H$10,MATCH($R171,Templates!$A$3:$A$10,0),MATCH($F171,Templates!$B$2:$H$2,0)),IFERROR(INDEX(Settings!$B$8:$B$14,MATCH($F171,Settings!$A$8:$A$14,0)),0)))))</f>
        <v/>
      </c>
      <c r="J171" s="21">
        <f>IF($C171="",0,IFERROR(INDEX(Deals!$H$2:$H$355,MATCH($C171,Deals!$A$2:$A$355,0)),0))</f>
        <v/>
      </c>
      <c r="K171" s="32">
        <f>IF(Settings!$B$4="Yes",$I171*$J171,$I171)</f>
        <v/>
      </c>
      <c r="L171" s="22">
        <f>IF($C171="","",IFERROR(IF(INDEX(Deals!$I$2:$I$355,MATCH($C171,Deals!$A$2:$A$355,0))=0,"",INDEX(Deals!$I$2:$I$355,MATCH($C171,Deals!$A$2:$A$355,0))),""))</f>
        <v/>
      </c>
      <c r="M171" s="22">
        <f>IF($C171="","",IFERROR(IF(INDEX(Deals!$J$2:$J$355,MATCH($C171,Deals!$A$2:$A$355,0))=0,"",INDEX(Deals!$J$2:$J$355,MATCH($C171,Deals!$A$2:$A$355,0))),""))</f>
        <v/>
      </c>
      <c r="N171" s="35">
        <f>IF($L171="",DATE(1900,1,1),$L171)</f>
        <v/>
      </c>
      <c r="O171" s="35">
        <f>IF($M171="",DATE(2100,12,31),$M171)</f>
        <v/>
      </c>
      <c r="P171" s="20" t="inlineStr"/>
      <c r="Q171" s="47" t="inlineStr"/>
      <c r="R171" s="16">
        <f>IF($C171="","",IFERROR(IF(INDEX(Deals!$U$2:$U$355,MATCH($C171,Deals!$A$2:$A$355,0))=0,"",INDEX(Deals!$U$2:$U$355,MATCH($C171,Deals!$A$2:$A$355,0))),""))</f>
        <v/>
      </c>
      <c r="S171" s="34">
        <f>IFERROR(IF($U171="",1,INDEX(Deals!$V$2:$V$355,MATCH($C171,Deals!$A$2:$A$355,0))),1)</f>
        <v/>
      </c>
      <c r="T171" s="34">
        <f>IFERROR(IF($U171="",1,INDEX(Deals!$W$2:$W$355,MATCH($C171,Deals!$A$2:$A$355,0))),1)</f>
        <v/>
      </c>
      <c r="U171" s="22">
        <f>IF($C171="","",IFERROR(IF(INDEX(Deals!$Y$2:$Y$355,MATCH($C171,Deals!$A$2:$A$355,0))=0,"",INDEX(Deals!$Y$2:$Y$355,MATCH($C171,Deals!$A$2:$A$355,0))),""))</f>
        <v/>
      </c>
      <c r="V171" s="35">
        <f>IF(OR($U171&lt;&gt;"",AND($AO171&gt;0,$L171&lt;&gt;"",$M171&lt;&gt;"")),$N171,DATE(1900,1,1))</f>
        <v/>
      </c>
      <c r="W171" s="35">
        <f>IF($U171&lt;&gt;"",$U171,IF(AND($AO171&gt;0,$L171&lt;&gt;"",$M171&lt;&gt;""),$O171,DATE(2100,12,31)))</f>
        <v/>
      </c>
      <c r="X171" s="32">
        <f>IF($U171="",$K171,$K171*$S171)</f>
        <v/>
      </c>
      <c r="Y171" s="35">
        <f>IF($U171="",DATE(2100,12,31),$U171+1)</f>
        <v/>
      </c>
      <c r="Z171" s="35">
        <f>IF($U171="",DATE(1900,1,1),$O171)</f>
        <v/>
      </c>
      <c r="AA171" s="32">
        <f>IF($U171="",0,$K171*$T171)</f>
        <v/>
      </c>
      <c r="AB171" s="21">
        <f>IF($C171="",0,IFERROR(INDEX(Deals!$AD$2:$AD$355,MATCH($C171,Deals!$A$2:$A$355,0)),0))</f>
        <v/>
      </c>
      <c r="AC171" s="32">
        <f>IF(Settings!$B$4="Yes",$I171*$AB171,$I171)</f>
        <v/>
      </c>
      <c r="AD171" s="22">
        <f>IF($C171="","",IFERROR(IF(INDEX(Deals!$AE$2:$AE$355,MATCH($C171,Deals!$A$2:$A$355,0))=0,"",INDEX(Deals!$AE$2:$AE$355,MATCH($C171,Deals!$A$2:$A$355,0))),""))</f>
        <v/>
      </c>
      <c r="AE171" s="22">
        <f>IF($C171="","",IFERROR(IF(INDEX(Deals!$AF$2:$AF$355,MATCH($C171,Deals!$A$2:$A$355,0))=0,"",INDEX(Deals!$AF$2:$AF$355,MATCH($C171,Deals!$A$2:$A$355,0))),""))</f>
        <v/>
      </c>
      <c r="AF171" s="35">
        <f>IF($AD171="",DATE(1900,1,1),$AD171)</f>
        <v/>
      </c>
      <c r="AG171" s="35">
        <f>IF($AE171="",DATE(2100,12,31),$AE171)</f>
        <v/>
      </c>
      <c r="AH171" s="22">
        <f>IF($C171="","",IFERROR(IF(INDEX(Deals!$AG$2:$AG$355,MATCH($C171,Deals!$A$2:$A$355,0))=0,"",INDEX(Deals!$AG$2:$AG$355,MATCH($C171,Deals!$A$2:$A$355,0))),""))</f>
        <v/>
      </c>
      <c r="AI171" s="35">
        <f>IF(OR($AH171&lt;&gt;"",AND($AO171&gt;0,$AD171&lt;&gt;"",$AE171&lt;&gt;"")),$AF171,DATE(1900,1,1))</f>
        <v/>
      </c>
      <c r="AJ171" s="35">
        <f>IF($AH171&lt;&gt;"",$AH171,IF(AND($AO171&gt;0,$AD171&lt;&gt;"",$AE171&lt;&gt;""),$AG171,DATE(2100,12,31)))</f>
        <v/>
      </c>
      <c r="AK171" s="32">
        <f>IF($AH171="",$AC171,$AC171*$S171)</f>
        <v/>
      </c>
      <c r="AL171" s="35">
        <f>IF($AH171="",DATE(2100,12,31),$AH171+1)</f>
        <v/>
      </c>
      <c r="AM171" s="35">
        <f>IF($AH171="",DATE(1900,1,1),$AG171)</f>
        <v/>
      </c>
      <c r="AN171" s="32">
        <f>IF($AH171="",0,$AC171*$T171)</f>
        <v/>
      </c>
      <c r="AO171" s="46">
        <f>IF($C171="",0,IFERROR(INDEX(Deals!$BD$2:$BD$355,MATCH($C171,Deals!$A$2:$A$355,0)),0))</f>
        <v/>
      </c>
      <c r="AP171" s="18">
        <f>IF($AO171=0,0,IFERROR(INDEX(Deals!$BJ$2:$BP$355,MATCH($C171,Deals!$A$2:$A$355,0),MATCH($F171,Deals!$BJ$1:$BP$1,0))/COUNTIFS(Assignments!$C$2:$C$769,$C171,Assignments!$F$2:$F$769,$F171,Assignments!$G$2:$G$769,"Active"),0))</f>
        <v/>
      </c>
    </row>
    <row r="172">
      <c r="A172" s="28" t="inlineStr">
        <is>
          <t>Ethan</t>
        </is>
      </c>
      <c r="B172" s="16">
        <f>IF($A172="","",IFERROR(INDEX(Roster!$B$2:$B$40,MATCH($A172,Roster!$A$2:$A$40,0)),"?"))</f>
        <v/>
      </c>
      <c r="C172" s="28" t="inlineStr">
        <is>
          <t>Gambit_1</t>
        </is>
      </c>
      <c r="D172" s="16">
        <f>IF($C172="","",IFERROR(IF(INDEX(Deals!$C$2:$C$355,MATCH($C172,Deals!$A$2:$A$355,0))=0,"",INDEX(Deals!$C$2:$C$355,MATCH($C172,Deals!$A$2:$A$355,0))),"?"))</f>
        <v/>
      </c>
      <c r="E172" s="16">
        <f>IF($C172="","",IFERROR(INDEX(Deals!$F$2:$F$355,MATCH($C172,Deals!$A$2:$A$355,0)),"?"))</f>
        <v/>
      </c>
      <c r="F172" s="28" t="inlineStr">
        <is>
          <t>MD</t>
        </is>
      </c>
      <c r="G172" s="28" t="inlineStr">
        <is>
          <t>Active</t>
        </is>
      </c>
      <c r="H172" s="31" t="n"/>
      <c r="I172" s="32">
        <f>IF(OR($A172="",$G172&lt;&gt;"Active"),0,IF($H172&lt;&gt;"",$H172,IF($AO172&gt;0,$AP172,IF(AND($R172&lt;&gt;"",IFERROR(INDEX(Templates!$B$3:$H$10,MATCH($R172,Templates!$A$3:$A$10,0),MATCH($F172,Templates!$B$2:$H$2,0)),0)&gt;0),INDEX(Templates!$B$3:$H$10,MATCH($R172,Templates!$A$3:$A$10,0),MATCH($F172,Templates!$B$2:$H$2,0)),IFERROR(INDEX(Settings!$B$8:$B$14,MATCH($F172,Settings!$A$8:$A$14,0)),0)))))</f>
        <v/>
      </c>
      <c r="J172" s="21">
        <f>IF($C172="",0,IFERROR(INDEX(Deals!$H$2:$H$355,MATCH($C172,Deals!$A$2:$A$355,0)),0))</f>
        <v/>
      </c>
      <c r="K172" s="32">
        <f>IF(Settings!$B$4="Yes",$I172*$J172,$I172)</f>
        <v/>
      </c>
      <c r="L172" s="22">
        <f>IF($C172="","",IFERROR(IF(INDEX(Deals!$I$2:$I$355,MATCH($C172,Deals!$A$2:$A$355,0))=0,"",INDEX(Deals!$I$2:$I$355,MATCH($C172,Deals!$A$2:$A$355,0))),""))</f>
        <v/>
      </c>
      <c r="M172" s="22">
        <f>IF($C172="","",IFERROR(IF(INDEX(Deals!$J$2:$J$355,MATCH($C172,Deals!$A$2:$A$355,0))=0,"",INDEX(Deals!$J$2:$J$355,MATCH($C172,Deals!$A$2:$A$355,0))),""))</f>
        <v/>
      </c>
      <c r="N172" s="35">
        <f>IF($L172="",DATE(1900,1,1),$L172)</f>
        <v/>
      </c>
      <c r="O172" s="35">
        <f>IF($M172="",DATE(2100,12,31),$M172)</f>
        <v/>
      </c>
      <c r="P172" s="20" t="inlineStr"/>
      <c r="Q172" s="47" t="inlineStr"/>
      <c r="R172" s="16">
        <f>IF($C172="","",IFERROR(IF(INDEX(Deals!$U$2:$U$355,MATCH($C172,Deals!$A$2:$A$355,0))=0,"",INDEX(Deals!$U$2:$U$355,MATCH($C172,Deals!$A$2:$A$355,0))),""))</f>
        <v/>
      </c>
      <c r="S172" s="34">
        <f>IFERROR(IF($U172="",1,INDEX(Deals!$V$2:$V$355,MATCH($C172,Deals!$A$2:$A$355,0))),1)</f>
        <v/>
      </c>
      <c r="T172" s="34">
        <f>IFERROR(IF($U172="",1,INDEX(Deals!$W$2:$W$355,MATCH($C172,Deals!$A$2:$A$355,0))),1)</f>
        <v/>
      </c>
      <c r="U172" s="22">
        <f>IF($C172="","",IFERROR(IF(INDEX(Deals!$Y$2:$Y$355,MATCH($C172,Deals!$A$2:$A$355,0))=0,"",INDEX(Deals!$Y$2:$Y$355,MATCH($C172,Deals!$A$2:$A$355,0))),""))</f>
        <v/>
      </c>
      <c r="V172" s="35">
        <f>IF(OR($U172&lt;&gt;"",AND($AO172&gt;0,$L172&lt;&gt;"",$M172&lt;&gt;"")),$N172,DATE(1900,1,1))</f>
        <v/>
      </c>
      <c r="W172" s="35">
        <f>IF($U172&lt;&gt;"",$U172,IF(AND($AO172&gt;0,$L172&lt;&gt;"",$M172&lt;&gt;""),$O172,DATE(2100,12,31)))</f>
        <v/>
      </c>
      <c r="X172" s="32">
        <f>IF($U172="",$K172,$K172*$S172)</f>
        <v/>
      </c>
      <c r="Y172" s="35">
        <f>IF($U172="",DATE(2100,12,31),$U172+1)</f>
        <v/>
      </c>
      <c r="Z172" s="35">
        <f>IF($U172="",DATE(1900,1,1),$O172)</f>
        <v/>
      </c>
      <c r="AA172" s="32">
        <f>IF($U172="",0,$K172*$T172)</f>
        <v/>
      </c>
      <c r="AB172" s="21">
        <f>IF($C172="",0,IFERROR(INDEX(Deals!$AD$2:$AD$355,MATCH($C172,Deals!$A$2:$A$355,0)),0))</f>
        <v/>
      </c>
      <c r="AC172" s="32">
        <f>IF(Settings!$B$4="Yes",$I172*$AB172,$I172)</f>
        <v/>
      </c>
      <c r="AD172" s="22">
        <f>IF($C172="","",IFERROR(IF(INDEX(Deals!$AE$2:$AE$355,MATCH($C172,Deals!$A$2:$A$355,0))=0,"",INDEX(Deals!$AE$2:$AE$355,MATCH($C172,Deals!$A$2:$A$355,0))),""))</f>
        <v/>
      </c>
      <c r="AE172" s="22">
        <f>IF($C172="","",IFERROR(IF(INDEX(Deals!$AF$2:$AF$355,MATCH($C172,Deals!$A$2:$A$355,0))=0,"",INDEX(Deals!$AF$2:$AF$355,MATCH($C172,Deals!$A$2:$A$355,0))),""))</f>
        <v/>
      </c>
      <c r="AF172" s="35">
        <f>IF($AD172="",DATE(1900,1,1),$AD172)</f>
        <v/>
      </c>
      <c r="AG172" s="35">
        <f>IF($AE172="",DATE(2100,12,31),$AE172)</f>
        <v/>
      </c>
      <c r="AH172" s="22">
        <f>IF($C172="","",IFERROR(IF(INDEX(Deals!$AG$2:$AG$355,MATCH($C172,Deals!$A$2:$A$355,0))=0,"",INDEX(Deals!$AG$2:$AG$355,MATCH($C172,Deals!$A$2:$A$355,0))),""))</f>
        <v/>
      </c>
      <c r="AI172" s="35">
        <f>IF(OR($AH172&lt;&gt;"",AND($AO172&gt;0,$AD172&lt;&gt;"",$AE172&lt;&gt;"")),$AF172,DATE(1900,1,1))</f>
        <v/>
      </c>
      <c r="AJ172" s="35">
        <f>IF($AH172&lt;&gt;"",$AH172,IF(AND($AO172&gt;0,$AD172&lt;&gt;"",$AE172&lt;&gt;""),$AG172,DATE(2100,12,31)))</f>
        <v/>
      </c>
      <c r="AK172" s="32">
        <f>IF($AH172="",$AC172,$AC172*$S172)</f>
        <v/>
      </c>
      <c r="AL172" s="35">
        <f>IF($AH172="",DATE(2100,12,31),$AH172+1)</f>
        <v/>
      </c>
      <c r="AM172" s="35">
        <f>IF($AH172="",DATE(1900,1,1),$AG172)</f>
        <v/>
      </c>
      <c r="AN172" s="32">
        <f>IF($AH172="",0,$AC172*$T172)</f>
        <v/>
      </c>
      <c r="AO172" s="46">
        <f>IF($C172="",0,IFERROR(INDEX(Deals!$BD$2:$BD$355,MATCH($C172,Deals!$A$2:$A$355,0)),0))</f>
        <v/>
      </c>
      <c r="AP172" s="18">
        <f>IF($AO172=0,0,IFERROR(INDEX(Deals!$BJ$2:$BP$355,MATCH($C172,Deals!$A$2:$A$355,0),MATCH($F172,Deals!$BJ$1:$BP$1,0))/COUNTIFS(Assignments!$C$2:$C$769,$C172,Assignments!$F$2:$F$769,$F172,Assignments!$G$2:$G$769,"Active"),0))</f>
        <v/>
      </c>
    </row>
    <row r="173">
      <c r="A173" s="28" t="inlineStr">
        <is>
          <t>Ethan</t>
        </is>
      </c>
      <c r="B173" s="16">
        <f>IF($A173="","",IFERROR(INDEX(Roster!$B$2:$B$40,MATCH($A173,Roster!$A$2:$A$40,0)),"?"))</f>
        <v/>
      </c>
      <c r="C173" s="28" t="inlineStr">
        <is>
          <t>Geneseo_1</t>
        </is>
      </c>
      <c r="D173" s="16">
        <f>IF($C173="","",IFERROR(IF(INDEX(Deals!$C$2:$C$355,MATCH($C173,Deals!$A$2:$A$355,0))=0,"",INDEX(Deals!$C$2:$C$355,MATCH($C173,Deals!$A$2:$A$355,0))),"?"))</f>
        <v/>
      </c>
      <c r="E173" s="16">
        <f>IF($C173="","",IFERROR(INDEX(Deals!$F$2:$F$355,MATCH($C173,Deals!$A$2:$A$355,0)),"?"))</f>
        <v/>
      </c>
      <c r="F173" s="28" t="inlineStr">
        <is>
          <t>MD</t>
        </is>
      </c>
      <c r="G173" s="28" t="inlineStr">
        <is>
          <t>Active</t>
        </is>
      </c>
      <c r="H173" s="31" t="n"/>
      <c r="I173" s="32">
        <f>IF(OR($A173="",$G173&lt;&gt;"Active"),0,IF($H173&lt;&gt;"",$H173,IF($AO173&gt;0,$AP173,IF(AND($R173&lt;&gt;"",IFERROR(INDEX(Templates!$B$3:$H$10,MATCH($R173,Templates!$A$3:$A$10,0),MATCH($F173,Templates!$B$2:$H$2,0)),0)&gt;0),INDEX(Templates!$B$3:$H$10,MATCH($R173,Templates!$A$3:$A$10,0),MATCH($F173,Templates!$B$2:$H$2,0)),IFERROR(INDEX(Settings!$B$8:$B$14,MATCH($F173,Settings!$A$8:$A$14,0)),0)))))</f>
        <v/>
      </c>
      <c r="J173" s="21">
        <f>IF($C173="",0,IFERROR(INDEX(Deals!$H$2:$H$355,MATCH($C173,Deals!$A$2:$A$355,0)),0))</f>
        <v/>
      </c>
      <c r="K173" s="32">
        <f>IF(Settings!$B$4="Yes",$I173*$J173,$I173)</f>
        <v/>
      </c>
      <c r="L173" s="22">
        <f>IF($C173="","",IFERROR(IF(INDEX(Deals!$I$2:$I$355,MATCH($C173,Deals!$A$2:$A$355,0))=0,"",INDEX(Deals!$I$2:$I$355,MATCH($C173,Deals!$A$2:$A$355,0))),""))</f>
        <v/>
      </c>
      <c r="M173" s="22">
        <f>IF($C173="","",IFERROR(IF(INDEX(Deals!$J$2:$J$355,MATCH($C173,Deals!$A$2:$A$355,0))=0,"",INDEX(Deals!$J$2:$J$355,MATCH($C173,Deals!$A$2:$A$355,0))),""))</f>
        <v/>
      </c>
      <c r="N173" s="35">
        <f>IF($L173="",DATE(1900,1,1),$L173)</f>
        <v/>
      </c>
      <c r="O173" s="35">
        <f>IF($M173="",DATE(2100,12,31),$M173)</f>
        <v/>
      </c>
      <c r="P173" s="20" t="inlineStr"/>
      <c r="Q173" s="47" t="inlineStr"/>
      <c r="R173" s="16">
        <f>IF($C173="","",IFERROR(IF(INDEX(Deals!$U$2:$U$355,MATCH($C173,Deals!$A$2:$A$355,0))=0,"",INDEX(Deals!$U$2:$U$355,MATCH($C173,Deals!$A$2:$A$355,0))),""))</f>
        <v/>
      </c>
      <c r="S173" s="34">
        <f>IFERROR(IF($U173="",1,INDEX(Deals!$V$2:$V$355,MATCH($C173,Deals!$A$2:$A$355,0))),1)</f>
        <v/>
      </c>
      <c r="T173" s="34">
        <f>IFERROR(IF($U173="",1,INDEX(Deals!$W$2:$W$355,MATCH($C173,Deals!$A$2:$A$355,0))),1)</f>
        <v/>
      </c>
      <c r="U173" s="22">
        <f>IF($C173="","",IFERROR(IF(INDEX(Deals!$Y$2:$Y$355,MATCH($C173,Deals!$A$2:$A$355,0))=0,"",INDEX(Deals!$Y$2:$Y$355,MATCH($C173,Deals!$A$2:$A$355,0))),""))</f>
        <v/>
      </c>
      <c r="V173" s="35">
        <f>IF(OR($U173&lt;&gt;"",AND($AO173&gt;0,$L173&lt;&gt;"",$M173&lt;&gt;"")),$N173,DATE(1900,1,1))</f>
        <v/>
      </c>
      <c r="W173" s="35">
        <f>IF($U173&lt;&gt;"",$U173,IF(AND($AO173&gt;0,$L173&lt;&gt;"",$M173&lt;&gt;""),$O173,DATE(2100,12,31)))</f>
        <v/>
      </c>
      <c r="X173" s="32">
        <f>IF($U173="",$K173,$K173*$S173)</f>
        <v/>
      </c>
      <c r="Y173" s="35">
        <f>IF($U173="",DATE(2100,12,31),$U173+1)</f>
        <v/>
      </c>
      <c r="Z173" s="35">
        <f>IF($U173="",DATE(1900,1,1),$O173)</f>
        <v/>
      </c>
      <c r="AA173" s="32">
        <f>IF($U173="",0,$K173*$T173)</f>
        <v/>
      </c>
      <c r="AB173" s="21">
        <f>IF($C173="",0,IFERROR(INDEX(Deals!$AD$2:$AD$355,MATCH($C173,Deals!$A$2:$A$355,0)),0))</f>
        <v/>
      </c>
      <c r="AC173" s="32">
        <f>IF(Settings!$B$4="Yes",$I173*$AB173,$I173)</f>
        <v/>
      </c>
      <c r="AD173" s="22">
        <f>IF($C173="","",IFERROR(IF(INDEX(Deals!$AE$2:$AE$355,MATCH($C173,Deals!$A$2:$A$355,0))=0,"",INDEX(Deals!$AE$2:$AE$355,MATCH($C173,Deals!$A$2:$A$355,0))),""))</f>
        <v/>
      </c>
      <c r="AE173" s="22">
        <f>IF($C173="","",IFERROR(IF(INDEX(Deals!$AF$2:$AF$355,MATCH($C173,Deals!$A$2:$A$355,0))=0,"",INDEX(Deals!$AF$2:$AF$355,MATCH($C173,Deals!$A$2:$A$355,0))),""))</f>
        <v/>
      </c>
      <c r="AF173" s="35">
        <f>IF($AD173="",DATE(1900,1,1),$AD173)</f>
        <v/>
      </c>
      <c r="AG173" s="35">
        <f>IF($AE173="",DATE(2100,12,31),$AE173)</f>
        <v/>
      </c>
      <c r="AH173" s="22">
        <f>IF($C173="","",IFERROR(IF(INDEX(Deals!$AG$2:$AG$355,MATCH($C173,Deals!$A$2:$A$355,0))=0,"",INDEX(Deals!$AG$2:$AG$355,MATCH($C173,Deals!$A$2:$A$355,0))),""))</f>
        <v/>
      </c>
      <c r="AI173" s="35">
        <f>IF(OR($AH173&lt;&gt;"",AND($AO173&gt;0,$AD173&lt;&gt;"",$AE173&lt;&gt;"")),$AF173,DATE(1900,1,1))</f>
        <v/>
      </c>
      <c r="AJ173" s="35">
        <f>IF($AH173&lt;&gt;"",$AH173,IF(AND($AO173&gt;0,$AD173&lt;&gt;"",$AE173&lt;&gt;""),$AG173,DATE(2100,12,31)))</f>
        <v/>
      </c>
      <c r="AK173" s="32">
        <f>IF($AH173="",$AC173,$AC173*$S173)</f>
        <v/>
      </c>
      <c r="AL173" s="35">
        <f>IF($AH173="",DATE(2100,12,31),$AH173+1)</f>
        <v/>
      </c>
      <c r="AM173" s="35">
        <f>IF($AH173="",DATE(1900,1,1),$AG173)</f>
        <v/>
      </c>
      <c r="AN173" s="32">
        <f>IF($AH173="",0,$AC173*$T173)</f>
        <v/>
      </c>
      <c r="AO173" s="46">
        <f>IF($C173="",0,IFERROR(INDEX(Deals!$BD$2:$BD$355,MATCH($C173,Deals!$A$2:$A$355,0)),0))</f>
        <v/>
      </c>
      <c r="AP173" s="18">
        <f>IF($AO173=0,0,IFERROR(INDEX(Deals!$BJ$2:$BP$355,MATCH($C173,Deals!$A$2:$A$355,0),MATCH($F173,Deals!$BJ$1:$BP$1,0))/COUNTIFS(Assignments!$C$2:$C$769,$C173,Assignments!$F$2:$F$769,$F173,Assignments!$G$2:$G$769,"Active"),0))</f>
        <v/>
      </c>
    </row>
    <row r="174">
      <c r="A174" s="28" t="inlineStr">
        <is>
          <t>Ethan</t>
        </is>
      </c>
      <c r="B174" s="16">
        <f>IF($A174="","",IFERROR(INDEX(Roster!$B$2:$B$40,MATCH($A174,Roster!$A$2:$A$40,0)),"?"))</f>
        <v/>
      </c>
      <c r="C174" s="28" t="inlineStr">
        <is>
          <t>Mash_1</t>
        </is>
      </c>
      <c r="D174" s="16">
        <f>IF($C174="","",IFERROR(IF(INDEX(Deals!$C$2:$C$355,MATCH($C174,Deals!$A$2:$A$355,0))=0,"",INDEX(Deals!$C$2:$C$355,MATCH($C174,Deals!$A$2:$A$355,0))),"?"))</f>
        <v/>
      </c>
      <c r="E174" s="16">
        <f>IF($C174="","",IFERROR(INDEX(Deals!$F$2:$F$355,MATCH($C174,Deals!$A$2:$A$355,0)),"?"))</f>
        <v/>
      </c>
      <c r="F174" s="28" t="inlineStr">
        <is>
          <t>MD</t>
        </is>
      </c>
      <c r="G174" s="28" t="inlineStr">
        <is>
          <t>Active</t>
        </is>
      </c>
      <c r="H174" s="31" t="n"/>
      <c r="I174" s="32">
        <f>IF(OR($A174="",$G174&lt;&gt;"Active"),0,IF($H174&lt;&gt;"",$H174,IF($AO174&gt;0,$AP174,IF(AND($R174&lt;&gt;"",IFERROR(INDEX(Templates!$B$3:$H$10,MATCH($R174,Templates!$A$3:$A$10,0),MATCH($F174,Templates!$B$2:$H$2,0)),0)&gt;0),INDEX(Templates!$B$3:$H$10,MATCH($R174,Templates!$A$3:$A$10,0),MATCH($F174,Templates!$B$2:$H$2,0)),IFERROR(INDEX(Settings!$B$8:$B$14,MATCH($F174,Settings!$A$8:$A$14,0)),0)))))</f>
        <v/>
      </c>
      <c r="J174" s="21">
        <f>IF($C174="",0,IFERROR(INDEX(Deals!$H$2:$H$355,MATCH($C174,Deals!$A$2:$A$355,0)),0))</f>
        <v/>
      </c>
      <c r="K174" s="32">
        <f>IF(Settings!$B$4="Yes",$I174*$J174,$I174)</f>
        <v/>
      </c>
      <c r="L174" s="22">
        <f>IF($C174="","",IFERROR(IF(INDEX(Deals!$I$2:$I$355,MATCH($C174,Deals!$A$2:$A$355,0))=0,"",INDEX(Deals!$I$2:$I$355,MATCH($C174,Deals!$A$2:$A$355,0))),""))</f>
        <v/>
      </c>
      <c r="M174" s="22">
        <f>IF($C174="","",IFERROR(IF(INDEX(Deals!$J$2:$J$355,MATCH($C174,Deals!$A$2:$A$355,0))=0,"",INDEX(Deals!$J$2:$J$355,MATCH($C174,Deals!$A$2:$A$355,0))),""))</f>
        <v/>
      </c>
      <c r="N174" s="35">
        <f>IF($L174="",DATE(1900,1,1),$L174)</f>
        <v/>
      </c>
      <c r="O174" s="35">
        <f>IF($M174="",DATE(2100,12,31),$M174)</f>
        <v/>
      </c>
      <c r="P174" s="20" t="inlineStr"/>
      <c r="Q174" s="47" t="inlineStr"/>
      <c r="R174" s="16">
        <f>IF($C174="","",IFERROR(IF(INDEX(Deals!$U$2:$U$355,MATCH($C174,Deals!$A$2:$A$355,0))=0,"",INDEX(Deals!$U$2:$U$355,MATCH($C174,Deals!$A$2:$A$355,0))),""))</f>
        <v/>
      </c>
      <c r="S174" s="34">
        <f>IFERROR(IF($U174="",1,INDEX(Deals!$V$2:$V$355,MATCH($C174,Deals!$A$2:$A$355,0))),1)</f>
        <v/>
      </c>
      <c r="T174" s="34">
        <f>IFERROR(IF($U174="",1,INDEX(Deals!$W$2:$W$355,MATCH($C174,Deals!$A$2:$A$355,0))),1)</f>
        <v/>
      </c>
      <c r="U174" s="22">
        <f>IF($C174="","",IFERROR(IF(INDEX(Deals!$Y$2:$Y$355,MATCH($C174,Deals!$A$2:$A$355,0))=0,"",INDEX(Deals!$Y$2:$Y$355,MATCH($C174,Deals!$A$2:$A$355,0))),""))</f>
        <v/>
      </c>
      <c r="V174" s="35">
        <f>IF(OR($U174&lt;&gt;"",AND($AO174&gt;0,$L174&lt;&gt;"",$M174&lt;&gt;"")),$N174,DATE(1900,1,1))</f>
        <v/>
      </c>
      <c r="W174" s="35">
        <f>IF($U174&lt;&gt;"",$U174,IF(AND($AO174&gt;0,$L174&lt;&gt;"",$M174&lt;&gt;""),$O174,DATE(2100,12,31)))</f>
        <v/>
      </c>
      <c r="X174" s="32">
        <f>IF($U174="",$K174,$K174*$S174)</f>
        <v/>
      </c>
      <c r="Y174" s="35">
        <f>IF($U174="",DATE(2100,12,31),$U174+1)</f>
        <v/>
      </c>
      <c r="Z174" s="35">
        <f>IF($U174="",DATE(1900,1,1),$O174)</f>
        <v/>
      </c>
      <c r="AA174" s="32">
        <f>IF($U174="",0,$K174*$T174)</f>
        <v/>
      </c>
      <c r="AB174" s="21">
        <f>IF($C174="",0,IFERROR(INDEX(Deals!$AD$2:$AD$355,MATCH($C174,Deals!$A$2:$A$355,0)),0))</f>
        <v/>
      </c>
      <c r="AC174" s="32">
        <f>IF(Settings!$B$4="Yes",$I174*$AB174,$I174)</f>
        <v/>
      </c>
      <c r="AD174" s="22">
        <f>IF($C174="","",IFERROR(IF(INDEX(Deals!$AE$2:$AE$355,MATCH($C174,Deals!$A$2:$A$355,0))=0,"",INDEX(Deals!$AE$2:$AE$355,MATCH($C174,Deals!$A$2:$A$355,0))),""))</f>
        <v/>
      </c>
      <c r="AE174" s="22">
        <f>IF($C174="","",IFERROR(IF(INDEX(Deals!$AF$2:$AF$355,MATCH($C174,Deals!$A$2:$A$355,0))=0,"",INDEX(Deals!$AF$2:$AF$355,MATCH($C174,Deals!$A$2:$A$355,0))),""))</f>
        <v/>
      </c>
      <c r="AF174" s="35">
        <f>IF($AD174="",DATE(1900,1,1),$AD174)</f>
        <v/>
      </c>
      <c r="AG174" s="35">
        <f>IF($AE174="",DATE(2100,12,31),$AE174)</f>
        <v/>
      </c>
      <c r="AH174" s="22">
        <f>IF($C174="","",IFERROR(IF(INDEX(Deals!$AG$2:$AG$355,MATCH($C174,Deals!$A$2:$A$355,0))=0,"",INDEX(Deals!$AG$2:$AG$355,MATCH($C174,Deals!$A$2:$A$355,0))),""))</f>
        <v/>
      </c>
      <c r="AI174" s="35">
        <f>IF(OR($AH174&lt;&gt;"",AND($AO174&gt;0,$AD174&lt;&gt;"",$AE174&lt;&gt;"")),$AF174,DATE(1900,1,1))</f>
        <v/>
      </c>
      <c r="AJ174" s="35">
        <f>IF($AH174&lt;&gt;"",$AH174,IF(AND($AO174&gt;0,$AD174&lt;&gt;"",$AE174&lt;&gt;""),$AG174,DATE(2100,12,31)))</f>
        <v/>
      </c>
      <c r="AK174" s="32">
        <f>IF($AH174="",$AC174,$AC174*$S174)</f>
        <v/>
      </c>
      <c r="AL174" s="35">
        <f>IF($AH174="",DATE(2100,12,31),$AH174+1)</f>
        <v/>
      </c>
      <c r="AM174" s="35">
        <f>IF($AH174="",DATE(1900,1,1),$AG174)</f>
        <v/>
      </c>
      <c r="AN174" s="32">
        <f>IF($AH174="",0,$AC174*$T174)</f>
        <v/>
      </c>
      <c r="AO174" s="46">
        <f>IF($C174="",0,IFERROR(INDEX(Deals!$BD$2:$BD$355,MATCH($C174,Deals!$A$2:$A$355,0)),0))</f>
        <v/>
      </c>
      <c r="AP174" s="18">
        <f>IF($AO174=0,0,IFERROR(INDEX(Deals!$BJ$2:$BP$355,MATCH($C174,Deals!$A$2:$A$355,0),MATCH($F174,Deals!$BJ$1:$BP$1,0))/COUNTIFS(Assignments!$C$2:$C$769,$C174,Assignments!$F$2:$F$769,$F174,Assignments!$G$2:$G$769,"Active"),0))</f>
        <v/>
      </c>
    </row>
    <row r="175">
      <c r="A175" s="28" t="inlineStr">
        <is>
          <t>Ethan</t>
        </is>
      </c>
      <c r="B175" s="16">
        <f>IF($A175="","",IFERROR(INDEX(Roster!$B$2:$B$40,MATCH($A175,Roster!$A$2:$A$40,0)),"?"))</f>
        <v/>
      </c>
      <c r="C175" s="28" t="inlineStr">
        <is>
          <t>Pelican_1</t>
        </is>
      </c>
      <c r="D175" s="16">
        <f>IF($C175="","",IFERROR(IF(INDEX(Deals!$C$2:$C$355,MATCH($C175,Deals!$A$2:$A$355,0))=0,"",INDEX(Deals!$C$2:$C$355,MATCH($C175,Deals!$A$2:$A$355,0))),"?"))</f>
        <v/>
      </c>
      <c r="E175" s="16">
        <f>IF($C175="","",IFERROR(INDEX(Deals!$F$2:$F$355,MATCH($C175,Deals!$A$2:$A$355,0)),"?"))</f>
        <v/>
      </c>
      <c r="F175" s="28" t="inlineStr">
        <is>
          <t>MD</t>
        </is>
      </c>
      <c r="G175" s="28" t="inlineStr">
        <is>
          <t>Active</t>
        </is>
      </c>
      <c r="H175" s="31" t="n"/>
      <c r="I175" s="32">
        <f>IF(OR($A175="",$G175&lt;&gt;"Active"),0,IF($H175&lt;&gt;"",$H175,IF($AO175&gt;0,$AP175,IF(AND($R175&lt;&gt;"",IFERROR(INDEX(Templates!$B$3:$H$10,MATCH($R175,Templates!$A$3:$A$10,0),MATCH($F175,Templates!$B$2:$H$2,0)),0)&gt;0),INDEX(Templates!$B$3:$H$10,MATCH($R175,Templates!$A$3:$A$10,0),MATCH($F175,Templates!$B$2:$H$2,0)),IFERROR(INDEX(Settings!$B$8:$B$14,MATCH($F175,Settings!$A$8:$A$14,0)),0)))))</f>
        <v/>
      </c>
      <c r="J175" s="21">
        <f>IF($C175="",0,IFERROR(INDEX(Deals!$H$2:$H$355,MATCH($C175,Deals!$A$2:$A$355,0)),0))</f>
        <v/>
      </c>
      <c r="K175" s="32">
        <f>IF(Settings!$B$4="Yes",$I175*$J175,$I175)</f>
        <v/>
      </c>
      <c r="L175" s="22">
        <f>IF($C175="","",IFERROR(IF(INDEX(Deals!$I$2:$I$355,MATCH($C175,Deals!$A$2:$A$355,0))=0,"",INDEX(Deals!$I$2:$I$355,MATCH($C175,Deals!$A$2:$A$355,0))),""))</f>
        <v/>
      </c>
      <c r="M175" s="22">
        <f>IF($C175="","",IFERROR(IF(INDEX(Deals!$J$2:$J$355,MATCH($C175,Deals!$A$2:$A$355,0))=0,"",INDEX(Deals!$J$2:$J$355,MATCH($C175,Deals!$A$2:$A$355,0))),""))</f>
        <v/>
      </c>
      <c r="N175" s="35">
        <f>IF($L175="",DATE(1900,1,1),$L175)</f>
        <v/>
      </c>
      <c r="O175" s="35">
        <f>IF($M175="",DATE(2100,12,31),$M175)</f>
        <v/>
      </c>
      <c r="P175" s="20" t="inlineStr"/>
      <c r="Q175" s="47" t="inlineStr"/>
      <c r="R175" s="16">
        <f>IF($C175="","",IFERROR(IF(INDEX(Deals!$U$2:$U$355,MATCH($C175,Deals!$A$2:$A$355,0))=0,"",INDEX(Deals!$U$2:$U$355,MATCH($C175,Deals!$A$2:$A$355,0))),""))</f>
        <v/>
      </c>
      <c r="S175" s="34">
        <f>IFERROR(IF($U175="",1,INDEX(Deals!$V$2:$V$355,MATCH($C175,Deals!$A$2:$A$355,0))),1)</f>
        <v/>
      </c>
      <c r="T175" s="34">
        <f>IFERROR(IF($U175="",1,INDEX(Deals!$W$2:$W$355,MATCH($C175,Deals!$A$2:$A$355,0))),1)</f>
        <v/>
      </c>
      <c r="U175" s="22">
        <f>IF($C175="","",IFERROR(IF(INDEX(Deals!$Y$2:$Y$355,MATCH($C175,Deals!$A$2:$A$355,0))=0,"",INDEX(Deals!$Y$2:$Y$355,MATCH($C175,Deals!$A$2:$A$355,0))),""))</f>
        <v/>
      </c>
      <c r="V175" s="35">
        <f>IF(OR($U175&lt;&gt;"",AND($AO175&gt;0,$L175&lt;&gt;"",$M175&lt;&gt;"")),$N175,DATE(1900,1,1))</f>
        <v/>
      </c>
      <c r="W175" s="35">
        <f>IF($U175&lt;&gt;"",$U175,IF(AND($AO175&gt;0,$L175&lt;&gt;"",$M175&lt;&gt;""),$O175,DATE(2100,12,31)))</f>
        <v/>
      </c>
      <c r="X175" s="32">
        <f>IF($U175="",$K175,$K175*$S175)</f>
        <v/>
      </c>
      <c r="Y175" s="35">
        <f>IF($U175="",DATE(2100,12,31),$U175+1)</f>
        <v/>
      </c>
      <c r="Z175" s="35">
        <f>IF($U175="",DATE(1900,1,1),$O175)</f>
        <v/>
      </c>
      <c r="AA175" s="32">
        <f>IF($U175="",0,$K175*$T175)</f>
        <v/>
      </c>
      <c r="AB175" s="21">
        <f>IF($C175="",0,IFERROR(INDEX(Deals!$AD$2:$AD$355,MATCH($C175,Deals!$A$2:$A$355,0)),0))</f>
        <v/>
      </c>
      <c r="AC175" s="32">
        <f>IF(Settings!$B$4="Yes",$I175*$AB175,$I175)</f>
        <v/>
      </c>
      <c r="AD175" s="22">
        <f>IF($C175="","",IFERROR(IF(INDEX(Deals!$AE$2:$AE$355,MATCH($C175,Deals!$A$2:$A$355,0))=0,"",INDEX(Deals!$AE$2:$AE$355,MATCH($C175,Deals!$A$2:$A$355,0))),""))</f>
        <v/>
      </c>
      <c r="AE175" s="22">
        <f>IF($C175="","",IFERROR(IF(INDEX(Deals!$AF$2:$AF$355,MATCH($C175,Deals!$A$2:$A$355,0))=0,"",INDEX(Deals!$AF$2:$AF$355,MATCH($C175,Deals!$A$2:$A$355,0))),""))</f>
        <v/>
      </c>
      <c r="AF175" s="35">
        <f>IF($AD175="",DATE(1900,1,1),$AD175)</f>
        <v/>
      </c>
      <c r="AG175" s="35">
        <f>IF($AE175="",DATE(2100,12,31),$AE175)</f>
        <v/>
      </c>
      <c r="AH175" s="22">
        <f>IF($C175="","",IFERROR(IF(INDEX(Deals!$AG$2:$AG$355,MATCH($C175,Deals!$A$2:$A$355,0))=0,"",INDEX(Deals!$AG$2:$AG$355,MATCH($C175,Deals!$A$2:$A$355,0))),""))</f>
        <v/>
      </c>
      <c r="AI175" s="35">
        <f>IF(OR($AH175&lt;&gt;"",AND($AO175&gt;0,$AD175&lt;&gt;"",$AE175&lt;&gt;"")),$AF175,DATE(1900,1,1))</f>
        <v/>
      </c>
      <c r="AJ175" s="35">
        <f>IF($AH175&lt;&gt;"",$AH175,IF(AND($AO175&gt;0,$AD175&lt;&gt;"",$AE175&lt;&gt;""),$AG175,DATE(2100,12,31)))</f>
        <v/>
      </c>
      <c r="AK175" s="32">
        <f>IF($AH175="",$AC175,$AC175*$S175)</f>
        <v/>
      </c>
      <c r="AL175" s="35">
        <f>IF($AH175="",DATE(2100,12,31),$AH175+1)</f>
        <v/>
      </c>
      <c r="AM175" s="35">
        <f>IF($AH175="",DATE(1900,1,1),$AG175)</f>
        <v/>
      </c>
      <c r="AN175" s="32">
        <f>IF($AH175="",0,$AC175*$T175)</f>
        <v/>
      </c>
      <c r="AO175" s="46">
        <f>IF($C175="",0,IFERROR(INDEX(Deals!$BD$2:$BD$355,MATCH($C175,Deals!$A$2:$A$355,0)),0))</f>
        <v/>
      </c>
      <c r="AP175" s="18">
        <f>IF($AO175=0,0,IFERROR(INDEX(Deals!$BJ$2:$BP$355,MATCH($C175,Deals!$A$2:$A$355,0),MATCH($F175,Deals!$BJ$1:$BP$1,0))/COUNTIFS(Assignments!$C$2:$C$769,$C175,Assignments!$F$2:$F$769,$F175,Assignments!$G$2:$G$769,"Active"),0))</f>
        <v/>
      </c>
    </row>
    <row r="176">
      <c r="A176" s="28" t="inlineStr">
        <is>
          <t>Ethan</t>
        </is>
      </c>
      <c r="B176" s="16">
        <f>IF($A176="","",IFERROR(INDEX(Roster!$B$2:$B$40,MATCH($A176,Roster!$A$2:$A$40,0)),"?"))</f>
        <v/>
      </c>
      <c r="C176" s="28" t="inlineStr">
        <is>
          <t>Pennsylvania_1</t>
        </is>
      </c>
      <c r="D176" s="16">
        <f>IF($C176="","",IFERROR(IF(INDEX(Deals!$C$2:$C$355,MATCH($C176,Deals!$A$2:$A$355,0))=0,"",INDEX(Deals!$C$2:$C$355,MATCH($C176,Deals!$A$2:$A$355,0))),"?"))</f>
        <v/>
      </c>
      <c r="E176" s="16">
        <f>IF($C176="","",IFERROR(INDEX(Deals!$F$2:$F$355,MATCH($C176,Deals!$A$2:$A$355,0)),"?"))</f>
        <v/>
      </c>
      <c r="F176" s="28" t="inlineStr">
        <is>
          <t>MD</t>
        </is>
      </c>
      <c r="G176" s="28" t="inlineStr">
        <is>
          <t>Active</t>
        </is>
      </c>
      <c r="H176" s="31" t="n"/>
      <c r="I176" s="32">
        <f>IF(OR($A176="",$G176&lt;&gt;"Active"),0,IF($H176&lt;&gt;"",$H176,IF($AO176&gt;0,$AP176,IF(AND($R176&lt;&gt;"",IFERROR(INDEX(Templates!$B$3:$H$10,MATCH($R176,Templates!$A$3:$A$10,0),MATCH($F176,Templates!$B$2:$H$2,0)),0)&gt;0),INDEX(Templates!$B$3:$H$10,MATCH($R176,Templates!$A$3:$A$10,0),MATCH($F176,Templates!$B$2:$H$2,0)),IFERROR(INDEX(Settings!$B$8:$B$14,MATCH($F176,Settings!$A$8:$A$14,0)),0)))))</f>
        <v/>
      </c>
      <c r="J176" s="21">
        <f>IF($C176="",0,IFERROR(INDEX(Deals!$H$2:$H$355,MATCH($C176,Deals!$A$2:$A$355,0)),0))</f>
        <v/>
      </c>
      <c r="K176" s="32">
        <f>IF(Settings!$B$4="Yes",$I176*$J176,$I176)</f>
        <v/>
      </c>
      <c r="L176" s="22">
        <f>IF($C176="","",IFERROR(IF(INDEX(Deals!$I$2:$I$355,MATCH($C176,Deals!$A$2:$A$355,0))=0,"",INDEX(Deals!$I$2:$I$355,MATCH($C176,Deals!$A$2:$A$355,0))),""))</f>
        <v/>
      </c>
      <c r="M176" s="22">
        <f>IF($C176="","",IFERROR(IF(INDEX(Deals!$J$2:$J$355,MATCH($C176,Deals!$A$2:$A$355,0))=0,"",INDEX(Deals!$J$2:$J$355,MATCH($C176,Deals!$A$2:$A$355,0))),""))</f>
        <v/>
      </c>
      <c r="N176" s="35">
        <f>IF($L176="",DATE(1900,1,1),$L176)</f>
        <v/>
      </c>
      <c r="O176" s="35">
        <f>IF($M176="",DATE(2100,12,31),$M176)</f>
        <v/>
      </c>
      <c r="P176" s="20" t="inlineStr"/>
      <c r="Q176" s="47" t="inlineStr"/>
      <c r="R176" s="16">
        <f>IF($C176="","",IFERROR(IF(INDEX(Deals!$U$2:$U$355,MATCH($C176,Deals!$A$2:$A$355,0))=0,"",INDEX(Deals!$U$2:$U$355,MATCH($C176,Deals!$A$2:$A$355,0))),""))</f>
        <v/>
      </c>
      <c r="S176" s="34">
        <f>IFERROR(IF($U176="",1,INDEX(Deals!$V$2:$V$355,MATCH($C176,Deals!$A$2:$A$355,0))),1)</f>
        <v/>
      </c>
      <c r="T176" s="34">
        <f>IFERROR(IF($U176="",1,INDEX(Deals!$W$2:$W$355,MATCH($C176,Deals!$A$2:$A$355,0))),1)</f>
        <v/>
      </c>
      <c r="U176" s="22">
        <f>IF($C176="","",IFERROR(IF(INDEX(Deals!$Y$2:$Y$355,MATCH($C176,Deals!$A$2:$A$355,0))=0,"",INDEX(Deals!$Y$2:$Y$355,MATCH($C176,Deals!$A$2:$A$355,0))),""))</f>
        <v/>
      </c>
      <c r="V176" s="35">
        <f>IF(OR($U176&lt;&gt;"",AND($AO176&gt;0,$L176&lt;&gt;"",$M176&lt;&gt;"")),$N176,DATE(1900,1,1))</f>
        <v/>
      </c>
      <c r="W176" s="35">
        <f>IF($U176&lt;&gt;"",$U176,IF(AND($AO176&gt;0,$L176&lt;&gt;"",$M176&lt;&gt;""),$O176,DATE(2100,12,31)))</f>
        <v/>
      </c>
      <c r="X176" s="32">
        <f>IF($U176="",$K176,$K176*$S176)</f>
        <v/>
      </c>
      <c r="Y176" s="35">
        <f>IF($U176="",DATE(2100,12,31),$U176+1)</f>
        <v/>
      </c>
      <c r="Z176" s="35">
        <f>IF($U176="",DATE(1900,1,1),$O176)</f>
        <v/>
      </c>
      <c r="AA176" s="32">
        <f>IF($U176="",0,$K176*$T176)</f>
        <v/>
      </c>
      <c r="AB176" s="21">
        <f>IF($C176="",0,IFERROR(INDEX(Deals!$AD$2:$AD$355,MATCH($C176,Deals!$A$2:$A$355,0)),0))</f>
        <v/>
      </c>
      <c r="AC176" s="32">
        <f>IF(Settings!$B$4="Yes",$I176*$AB176,$I176)</f>
        <v/>
      </c>
      <c r="AD176" s="22">
        <f>IF($C176="","",IFERROR(IF(INDEX(Deals!$AE$2:$AE$355,MATCH($C176,Deals!$A$2:$A$355,0))=0,"",INDEX(Deals!$AE$2:$AE$355,MATCH($C176,Deals!$A$2:$A$355,0))),""))</f>
        <v/>
      </c>
      <c r="AE176" s="22">
        <f>IF($C176="","",IFERROR(IF(INDEX(Deals!$AF$2:$AF$355,MATCH($C176,Deals!$A$2:$A$355,0))=0,"",INDEX(Deals!$AF$2:$AF$355,MATCH($C176,Deals!$A$2:$A$355,0))),""))</f>
        <v/>
      </c>
      <c r="AF176" s="35">
        <f>IF($AD176="",DATE(1900,1,1),$AD176)</f>
        <v/>
      </c>
      <c r="AG176" s="35">
        <f>IF($AE176="",DATE(2100,12,31),$AE176)</f>
        <v/>
      </c>
      <c r="AH176" s="22">
        <f>IF($C176="","",IFERROR(IF(INDEX(Deals!$AG$2:$AG$355,MATCH($C176,Deals!$A$2:$A$355,0))=0,"",INDEX(Deals!$AG$2:$AG$355,MATCH($C176,Deals!$A$2:$A$355,0))),""))</f>
        <v/>
      </c>
      <c r="AI176" s="35">
        <f>IF(OR($AH176&lt;&gt;"",AND($AO176&gt;0,$AD176&lt;&gt;"",$AE176&lt;&gt;"")),$AF176,DATE(1900,1,1))</f>
        <v/>
      </c>
      <c r="AJ176" s="35">
        <f>IF($AH176&lt;&gt;"",$AH176,IF(AND($AO176&gt;0,$AD176&lt;&gt;"",$AE176&lt;&gt;""),$AG176,DATE(2100,12,31)))</f>
        <v/>
      </c>
      <c r="AK176" s="32">
        <f>IF($AH176="",$AC176,$AC176*$S176)</f>
        <v/>
      </c>
      <c r="AL176" s="35">
        <f>IF($AH176="",DATE(2100,12,31),$AH176+1)</f>
        <v/>
      </c>
      <c r="AM176" s="35">
        <f>IF($AH176="",DATE(1900,1,1),$AG176)</f>
        <v/>
      </c>
      <c r="AN176" s="32">
        <f>IF($AH176="",0,$AC176*$T176)</f>
        <v/>
      </c>
      <c r="AO176" s="46">
        <f>IF($C176="",0,IFERROR(INDEX(Deals!$BD$2:$BD$355,MATCH($C176,Deals!$A$2:$A$355,0)),0))</f>
        <v/>
      </c>
      <c r="AP176" s="18">
        <f>IF($AO176=0,0,IFERROR(INDEX(Deals!$BJ$2:$BP$355,MATCH($C176,Deals!$A$2:$A$355,0),MATCH($F176,Deals!$BJ$1:$BP$1,0))/COUNTIFS(Assignments!$C$2:$C$769,$C176,Assignments!$F$2:$F$769,$F176,Assignments!$G$2:$G$769,"Active"),0))</f>
        <v/>
      </c>
    </row>
    <row r="177">
      <c r="A177" s="28" t="inlineStr">
        <is>
          <t>Ethan</t>
        </is>
      </c>
      <c r="B177" s="16">
        <f>IF($A177="","",IFERROR(INDEX(Roster!$B$2:$B$40,MATCH($A177,Roster!$A$2:$A$40,0)),"?"))</f>
        <v/>
      </c>
      <c r="C177" s="28" t="inlineStr">
        <is>
          <t>Pisces 2_1</t>
        </is>
      </c>
      <c r="D177" s="16">
        <f>IF($C177="","",IFERROR(IF(INDEX(Deals!$C$2:$C$355,MATCH($C177,Deals!$A$2:$A$355,0))=0,"",INDEX(Deals!$C$2:$C$355,MATCH($C177,Deals!$A$2:$A$355,0))),"?"))</f>
        <v/>
      </c>
      <c r="E177" s="16">
        <f>IF($C177="","",IFERROR(INDEX(Deals!$F$2:$F$355,MATCH($C177,Deals!$A$2:$A$355,0)),"?"))</f>
        <v/>
      </c>
      <c r="F177" s="28" t="inlineStr">
        <is>
          <t>MD</t>
        </is>
      </c>
      <c r="G177" s="28" t="inlineStr">
        <is>
          <t>Active</t>
        </is>
      </c>
      <c r="H177" s="31" t="n"/>
      <c r="I177" s="32">
        <f>IF(OR($A177="",$G177&lt;&gt;"Active"),0,IF($H177&lt;&gt;"",$H177,IF($AO177&gt;0,$AP177,IF(AND($R177&lt;&gt;"",IFERROR(INDEX(Templates!$B$3:$H$10,MATCH($R177,Templates!$A$3:$A$10,0),MATCH($F177,Templates!$B$2:$H$2,0)),0)&gt;0),INDEX(Templates!$B$3:$H$10,MATCH($R177,Templates!$A$3:$A$10,0),MATCH($F177,Templates!$B$2:$H$2,0)),IFERROR(INDEX(Settings!$B$8:$B$14,MATCH($F177,Settings!$A$8:$A$14,0)),0)))))</f>
        <v/>
      </c>
      <c r="J177" s="21">
        <f>IF($C177="",0,IFERROR(INDEX(Deals!$H$2:$H$355,MATCH($C177,Deals!$A$2:$A$355,0)),0))</f>
        <v/>
      </c>
      <c r="K177" s="32">
        <f>IF(Settings!$B$4="Yes",$I177*$J177,$I177)</f>
        <v/>
      </c>
      <c r="L177" s="22">
        <f>IF($C177="","",IFERROR(IF(INDEX(Deals!$I$2:$I$355,MATCH($C177,Deals!$A$2:$A$355,0))=0,"",INDEX(Deals!$I$2:$I$355,MATCH($C177,Deals!$A$2:$A$355,0))),""))</f>
        <v/>
      </c>
      <c r="M177" s="22">
        <f>IF($C177="","",IFERROR(IF(INDEX(Deals!$J$2:$J$355,MATCH($C177,Deals!$A$2:$A$355,0))=0,"",INDEX(Deals!$J$2:$J$355,MATCH($C177,Deals!$A$2:$A$355,0))),""))</f>
        <v/>
      </c>
      <c r="N177" s="35">
        <f>IF($L177="",DATE(1900,1,1),$L177)</f>
        <v/>
      </c>
      <c r="O177" s="35">
        <f>IF($M177="",DATE(2100,12,31),$M177)</f>
        <v/>
      </c>
      <c r="P177" s="20" t="inlineStr"/>
      <c r="Q177" s="47" t="inlineStr"/>
      <c r="R177" s="16">
        <f>IF($C177="","",IFERROR(IF(INDEX(Deals!$U$2:$U$355,MATCH($C177,Deals!$A$2:$A$355,0))=0,"",INDEX(Deals!$U$2:$U$355,MATCH($C177,Deals!$A$2:$A$355,0))),""))</f>
        <v/>
      </c>
      <c r="S177" s="34">
        <f>IFERROR(IF($U177="",1,INDEX(Deals!$V$2:$V$355,MATCH($C177,Deals!$A$2:$A$355,0))),1)</f>
        <v/>
      </c>
      <c r="T177" s="34">
        <f>IFERROR(IF($U177="",1,INDEX(Deals!$W$2:$W$355,MATCH($C177,Deals!$A$2:$A$355,0))),1)</f>
        <v/>
      </c>
      <c r="U177" s="22">
        <f>IF($C177="","",IFERROR(IF(INDEX(Deals!$Y$2:$Y$355,MATCH($C177,Deals!$A$2:$A$355,0))=0,"",INDEX(Deals!$Y$2:$Y$355,MATCH($C177,Deals!$A$2:$A$355,0))),""))</f>
        <v/>
      </c>
      <c r="V177" s="35">
        <f>IF(OR($U177&lt;&gt;"",AND($AO177&gt;0,$L177&lt;&gt;"",$M177&lt;&gt;"")),$N177,DATE(1900,1,1))</f>
        <v/>
      </c>
      <c r="W177" s="35">
        <f>IF($U177&lt;&gt;"",$U177,IF(AND($AO177&gt;0,$L177&lt;&gt;"",$M177&lt;&gt;""),$O177,DATE(2100,12,31)))</f>
        <v/>
      </c>
      <c r="X177" s="32">
        <f>IF($U177="",$K177,$K177*$S177)</f>
        <v/>
      </c>
      <c r="Y177" s="35">
        <f>IF($U177="",DATE(2100,12,31),$U177+1)</f>
        <v/>
      </c>
      <c r="Z177" s="35">
        <f>IF($U177="",DATE(1900,1,1),$O177)</f>
        <v/>
      </c>
      <c r="AA177" s="32">
        <f>IF($U177="",0,$K177*$T177)</f>
        <v/>
      </c>
      <c r="AB177" s="21">
        <f>IF($C177="",0,IFERROR(INDEX(Deals!$AD$2:$AD$355,MATCH($C177,Deals!$A$2:$A$355,0)),0))</f>
        <v/>
      </c>
      <c r="AC177" s="32">
        <f>IF(Settings!$B$4="Yes",$I177*$AB177,$I177)</f>
        <v/>
      </c>
      <c r="AD177" s="22">
        <f>IF($C177="","",IFERROR(IF(INDEX(Deals!$AE$2:$AE$355,MATCH($C177,Deals!$A$2:$A$355,0))=0,"",INDEX(Deals!$AE$2:$AE$355,MATCH($C177,Deals!$A$2:$A$355,0))),""))</f>
        <v/>
      </c>
      <c r="AE177" s="22">
        <f>IF($C177="","",IFERROR(IF(INDEX(Deals!$AF$2:$AF$355,MATCH($C177,Deals!$A$2:$A$355,0))=0,"",INDEX(Deals!$AF$2:$AF$355,MATCH($C177,Deals!$A$2:$A$355,0))),""))</f>
        <v/>
      </c>
      <c r="AF177" s="35">
        <f>IF($AD177="",DATE(1900,1,1),$AD177)</f>
        <v/>
      </c>
      <c r="AG177" s="35">
        <f>IF($AE177="",DATE(2100,12,31),$AE177)</f>
        <v/>
      </c>
      <c r="AH177" s="22">
        <f>IF($C177="","",IFERROR(IF(INDEX(Deals!$AG$2:$AG$355,MATCH($C177,Deals!$A$2:$A$355,0))=0,"",INDEX(Deals!$AG$2:$AG$355,MATCH($C177,Deals!$A$2:$A$355,0))),""))</f>
        <v/>
      </c>
      <c r="AI177" s="35">
        <f>IF(OR($AH177&lt;&gt;"",AND($AO177&gt;0,$AD177&lt;&gt;"",$AE177&lt;&gt;"")),$AF177,DATE(1900,1,1))</f>
        <v/>
      </c>
      <c r="AJ177" s="35">
        <f>IF($AH177&lt;&gt;"",$AH177,IF(AND($AO177&gt;0,$AD177&lt;&gt;"",$AE177&lt;&gt;""),$AG177,DATE(2100,12,31)))</f>
        <v/>
      </c>
      <c r="AK177" s="32">
        <f>IF($AH177="",$AC177,$AC177*$S177)</f>
        <v/>
      </c>
      <c r="AL177" s="35">
        <f>IF($AH177="",DATE(2100,12,31),$AH177+1)</f>
        <v/>
      </c>
      <c r="AM177" s="35">
        <f>IF($AH177="",DATE(1900,1,1),$AG177)</f>
        <v/>
      </c>
      <c r="AN177" s="32">
        <f>IF($AH177="",0,$AC177*$T177)</f>
        <v/>
      </c>
      <c r="AO177" s="46">
        <f>IF($C177="",0,IFERROR(INDEX(Deals!$BD$2:$BD$355,MATCH($C177,Deals!$A$2:$A$355,0)),0))</f>
        <v/>
      </c>
      <c r="AP177" s="18">
        <f>IF($AO177=0,0,IFERROR(INDEX(Deals!$BJ$2:$BP$355,MATCH($C177,Deals!$A$2:$A$355,0),MATCH($F177,Deals!$BJ$1:$BP$1,0))/COUNTIFS(Assignments!$C$2:$C$769,$C177,Assignments!$F$2:$F$769,$F177,Assignments!$G$2:$G$769,"Active"),0))</f>
        <v/>
      </c>
    </row>
    <row r="178">
      <c r="A178" s="28" t="inlineStr">
        <is>
          <t>Ethan</t>
        </is>
      </c>
      <c r="B178" s="16">
        <f>IF($A178="","",IFERROR(INDEX(Roster!$B$2:$B$40,MATCH($A178,Roster!$A$2:$A$40,0)),"?"))</f>
        <v/>
      </c>
      <c r="C178" s="28" t="inlineStr">
        <is>
          <t>Tennessee_1</t>
        </is>
      </c>
      <c r="D178" s="16">
        <f>IF($C178="","",IFERROR(IF(INDEX(Deals!$C$2:$C$355,MATCH($C178,Deals!$A$2:$A$355,0))=0,"",INDEX(Deals!$C$2:$C$355,MATCH($C178,Deals!$A$2:$A$355,0))),"?"))</f>
        <v/>
      </c>
      <c r="E178" s="16">
        <f>IF($C178="","",IFERROR(INDEX(Deals!$F$2:$F$355,MATCH($C178,Deals!$A$2:$A$355,0)),"?"))</f>
        <v/>
      </c>
      <c r="F178" s="28" t="inlineStr">
        <is>
          <t>MD</t>
        </is>
      </c>
      <c r="G178" s="28" t="inlineStr">
        <is>
          <t>Active</t>
        </is>
      </c>
      <c r="H178" s="31" t="n"/>
      <c r="I178" s="32">
        <f>IF(OR($A178="",$G178&lt;&gt;"Active"),0,IF($H178&lt;&gt;"",$H178,IF($AO178&gt;0,$AP178,IF(AND($R178&lt;&gt;"",IFERROR(INDEX(Templates!$B$3:$H$10,MATCH($R178,Templates!$A$3:$A$10,0),MATCH($F178,Templates!$B$2:$H$2,0)),0)&gt;0),INDEX(Templates!$B$3:$H$10,MATCH($R178,Templates!$A$3:$A$10,0),MATCH($F178,Templates!$B$2:$H$2,0)),IFERROR(INDEX(Settings!$B$8:$B$14,MATCH($F178,Settings!$A$8:$A$14,0)),0)))))</f>
        <v/>
      </c>
      <c r="J178" s="21">
        <f>IF($C178="",0,IFERROR(INDEX(Deals!$H$2:$H$355,MATCH($C178,Deals!$A$2:$A$355,0)),0))</f>
        <v/>
      </c>
      <c r="K178" s="32">
        <f>IF(Settings!$B$4="Yes",$I178*$J178,$I178)</f>
        <v/>
      </c>
      <c r="L178" s="22">
        <f>IF($C178="","",IFERROR(IF(INDEX(Deals!$I$2:$I$355,MATCH($C178,Deals!$A$2:$A$355,0))=0,"",INDEX(Deals!$I$2:$I$355,MATCH($C178,Deals!$A$2:$A$355,0))),""))</f>
        <v/>
      </c>
      <c r="M178" s="22">
        <f>IF($C178="","",IFERROR(IF(INDEX(Deals!$J$2:$J$355,MATCH($C178,Deals!$A$2:$A$355,0))=0,"",INDEX(Deals!$J$2:$J$355,MATCH($C178,Deals!$A$2:$A$355,0))),""))</f>
        <v/>
      </c>
      <c r="N178" s="35">
        <f>IF($L178="",DATE(1900,1,1),$L178)</f>
        <v/>
      </c>
      <c r="O178" s="35">
        <f>IF($M178="",DATE(2100,12,31),$M178)</f>
        <v/>
      </c>
      <c r="P178" s="20" t="inlineStr"/>
      <c r="Q178" s="47" t="inlineStr"/>
      <c r="R178" s="16">
        <f>IF($C178="","",IFERROR(IF(INDEX(Deals!$U$2:$U$355,MATCH($C178,Deals!$A$2:$A$355,0))=0,"",INDEX(Deals!$U$2:$U$355,MATCH($C178,Deals!$A$2:$A$355,0))),""))</f>
        <v/>
      </c>
      <c r="S178" s="34">
        <f>IFERROR(IF($U178="",1,INDEX(Deals!$V$2:$V$355,MATCH($C178,Deals!$A$2:$A$355,0))),1)</f>
        <v/>
      </c>
      <c r="T178" s="34">
        <f>IFERROR(IF($U178="",1,INDEX(Deals!$W$2:$W$355,MATCH($C178,Deals!$A$2:$A$355,0))),1)</f>
        <v/>
      </c>
      <c r="U178" s="22">
        <f>IF($C178="","",IFERROR(IF(INDEX(Deals!$Y$2:$Y$355,MATCH($C178,Deals!$A$2:$A$355,0))=0,"",INDEX(Deals!$Y$2:$Y$355,MATCH($C178,Deals!$A$2:$A$355,0))),""))</f>
        <v/>
      </c>
      <c r="V178" s="35">
        <f>IF(OR($U178&lt;&gt;"",AND($AO178&gt;0,$L178&lt;&gt;"",$M178&lt;&gt;"")),$N178,DATE(1900,1,1))</f>
        <v/>
      </c>
      <c r="W178" s="35">
        <f>IF($U178&lt;&gt;"",$U178,IF(AND($AO178&gt;0,$L178&lt;&gt;"",$M178&lt;&gt;""),$O178,DATE(2100,12,31)))</f>
        <v/>
      </c>
      <c r="X178" s="32">
        <f>IF($U178="",$K178,$K178*$S178)</f>
        <v/>
      </c>
      <c r="Y178" s="35">
        <f>IF($U178="",DATE(2100,12,31),$U178+1)</f>
        <v/>
      </c>
      <c r="Z178" s="35">
        <f>IF($U178="",DATE(1900,1,1),$O178)</f>
        <v/>
      </c>
      <c r="AA178" s="32">
        <f>IF($U178="",0,$K178*$T178)</f>
        <v/>
      </c>
      <c r="AB178" s="21">
        <f>IF($C178="",0,IFERROR(INDEX(Deals!$AD$2:$AD$355,MATCH($C178,Deals!$A$2:$A$355,0)),0))</f>
        <v/>
      </c>
      <c r="AC178" s="32">
        <f>IF(Settings!$B$4="Yes",$I178*$AB178,$I178)</f>
        <v/>
      </c>
      <c r="AD178" s="22">
        <f>IF($C178="","",IFERROR(IF(INDEX(Deals!$AE$2:$AE$355,MATCH($C178,Deals!$A$2:$A$355,0))=0,"",INDEX(Deals!$AE$2:$AE$355,MATCH($C178,Deals!$A$2:$A$355,0))),""))</f>
        <v/>
      </c>
      <c r="AE178" s="22">
        <f>IF($C178="","",IFERROR(IF(INDEX(Deals!$AF$2:$AF$355,MATCH($C178,Deals!$A$2:$A$355,0))=0,"",INDEX(Deals!$AF$2:$AF$355,MATCH($C178,Deals!$A$2:$A$355,0))),""))</f>
        <v/>
      </c>
      <c r="AF178" s="35">
        <f>IF($AD178="",DATE(1900,1,1),$AD178)</f>
        <v/>
      </c>
      <c r="AG178" s="35">
        <f>IF($AE178="",DATE(2100,12,31),$AE178)</f>
        <v/>
      </c>
      <c r="AH178" s="22">
        <f>IF($C178="","",IFERROR(IF(INDEX(Deals!$AG$2:$AG$355,MATCH($C178,Deals!$A$2:$A$355,0))=0,"",INDEX(Deals!$AG$2:$AG$355,MATCH($C178,Deals!$A$2:$A$355,0))),""))</f>
        <v/>
      </c>
      <c r="AI178" s="35">
        <f>IF(OR($AH178&lt;&gt;"",AND($AO178&gt;0,$AD178&lt;&gt;"",$AE178&lt;&gt;"")),$AF178,DATE(1900,1,1))</f>
        <v/>
      </c>
      <c r="AJ178" s="35">
        <f>IF($AH178&lt;&gt;"",$AH178,IF(AND($AO178&gt;0,$AD178&lt;&gt;"",$AE178&lt;&gt;""),$AG178,DATE(2100,12,31)))</f>
        <v/>
      </c>
      <c r="AK178" s="32">
        <f>IF($AH178="",$AC178,$AC178*$S178)</f>
        <v/>
      </c>
      <c r="AL178" s="35">
        <f>IF($AH178="",DATE(2100,12,31),$AH178+1)</f>
        <v/>
      </c>
      <c r="AM178" s="35">
        <f>IF($AH178="",DATE(1900,1,1),$AG178)</f>
        <v/>
      </c>
      <c r="AN178" s="32">
        <f>IF($AH178="",0,$AC178*$T178)</f>
        <v/>
      </c>
      <c r="AO178" s="46">
        <f>IF($C178="",0,IFERROR(INDEX(Deals!$BD$2:$BD$355,MATCH($C178,Deals!$A$2:$A$355,0)),0))</f>
        <v/>
      </c>
      <c r="AP178" s="18">
        <f>IF($AO178=0,0,IFERROR(INDEX(Deals!$BJ$2:$BP$355,MATCH($C178,Deals!$A$2:$A$355,0),MATCH($F178,Deals!$BJ$1:$BP$1,0))/COUNTIFS(Assignments!$C$2:$C$769,$C178,Assignments!$F$2:$F$769,$F178,Assignments!$G$2:$G$769,"Active"),0))</f>
        <v/>
      </c>
    </row>
    <row r="179">
      <c r="A179" s="28" t="inlineStr">
        <is>
          <t>Ethan</t>
        </is>
      </c>
      <c r="B179" s="16">
        <f>IF($A179="","",IFERROR(INDEX(Roster!$B$2:$B$40,MATCH($A179,Roster!$A$2:$A$40,0)),"?"))</f>
        <v/>
      </c>
      <c r="C179" s="28" t="inlineStr">
        <is>
          <t>ValorC3_1</t>
        </is>
      </c>
      <c r="D179" s="16">
        <f>IF($C179="","",IFERROR(IF(INDEX(Deals!$C$2:$C$355,MATCH($C179,Deals!$A$2:$A$355,0))=0,"",INDEX(Deals!$C$2:$C$355,MATCH($C179,Deals!$A$2:$A$355,0))),"?"))</f>
        <v/>
      </c>
      <c r="E179" s="16">
        <f>IF($C179="","",IFERROR(INDEX(Deals!$F$2:$F$355,MATCH($C179,Deals!$A$2:$A$355,0)),"?"))</f>
        <v/>
      </c>
      <c r="F179" s="28" t="inlineStr">
        <is>
          <t>MD</t>
        </is>
      </c>
      <c r="G179" s="28" t="inlineStr">
        <is>
          <t>Active</t>
        </is>
      </c>
      <c r="H179" s="31" t="n"/>
      <c r="I179" s="32">
        <f>IF(OR($A179="",$G179&lt;&gt;"Active"),0,IF($H179&lt;&gt;"",$H179,IF($AO179&gt;0,$AP179,IF(AND($R179&lt;&gt;"",IFERROR(INDEX(Templates!$B$3:$H$10,MATCH($R179,Templates!$A$3:$A$10,0),MATCH($F179,Templates!$B$2:$H$2,0)),0)&gt;0),INDEX(Templates!$B$3:$H$10,MATCH($R179,Templates!$A$3:$A$10,0),MATCH($F179,Templates!$B$2:$H$2,0)),IFERROR(INDEX(Settings!$B$8:$B$14,MATCH($F179,Settings!$A$8:$A$14,0)),0)))))</f>
        <v/>
      </c>
      <c r="J179" s="21">
        <f>IF($C179="",0,IFERROR(INDEX(Deals!$H$2:$H$355,MATCH($C179,Deals!$A$2:$A$355,0)),0))</f>
        <v/>
      </c>
      <c r="K179" s="32">
        <f>IF(Settings!$B$4="Yes",$I179*$J179,$I179)</f>
        <v/>
      </c>
      <c r="L179" s="22">
        <f>IF($C179="","",IFERROR(IF(INDEX(Deals!$I$2:$I$355,MATCH($C179,Deals!$A$2:$A$355,0))=0,"",INDEX(Deals!$I$2:$I$355,MATCH($C179,Deals!$A$2:$A$355,0))),""))</f>
        <v/>
      </c>
      <c r="M179" s="22">
        <f>IF($C179="","",IFERROR(IF(INDEX(Deals!$J$2:$J$355,MATCH($C179,Deals!$A$2:$A$355,0))=0,"",INDEX(Deals!$J$2:$J$355,MATCH($C179,Deals!$A$2:$A$355,0))),""))</f>
        <v/>
      </c>
      <c r="N179" s="35">
        <f>IF($L179="",DATE(1900,1,1),$L179)</f>
        <v/>
      </c>
      <c r="O179" s="35">
        <f>IF($M179="",DATE(2100,12,31),$M179)</f>
        <v/>
      </c>
      <c r="P179" s="20" t="inlineStr"/>
      <c r="Q179" s="47" t="inlineStr"/>
      <c r="R179" s="16">
        <f>IF($C179="","",IFERROR(IF(INDEX(Deals!$U$2:$U$355,MATCH($C179,Deals!$A$2:$A$355,0))=0,"",INDEX(Deals!$U$2:$U$355,MATCH($C179,Deals!$A$2:$A$355,0))),""))</f>
        <v/>
      </c>
      <c r="S179" s="34">
        <f>IFERROR(IF($U179="",1,INDEX(Deals!$V$2:$V$355,MATCH($C179,Deals!$A$2:$A$355,0))),1)</f>
        <v/>
      </c>
      <c r="T179" s="34">
        <f>IFERROR(IF($U179="",1,INDEX(Deals!$W$2:$W$355,MATCH($C179,Deals!$A$2:$A$355,0))),1)</f>
        <v/>
      </c>
      <c r="U179" s="22">
        <f>IF($C179="","",IFERROR(IF(INDEX(Deals!$Y$2:$Y$355,MATCH($C179,Deals!$A$2:$A$355,0))=0,"",INDEX(Deals!$Y$2:$Y$355,MATCH($C179,Deals!$A$2:$A$355,0))),""))</f>
        <v/>
      </c>
      <c r="V179" s="35">
        <f>IF(OR($U179&lt;&gt;"",AND($AO179&gt;0,$L179&lt;&gt;"",$M179&lt;&gt;"")),$N179,DATE(1900,1,1))</f>
        <v/>
      </c>
      <c r="W179" s="35">
        <f>IF($U179&lt;&gt;"",$U179,IF(AND($AO179&gt;0,$L179&lt;&gt;"",$M179&lt;&gt;""),$O179,DATE(2100,12,31)))</f>
        <v/>
      </c>
      <c r="X179" s="32">
        <f>IF($U179="",$K179,$K179*$S179)</f>
        <v/>
      </c>
      <c r="Y179" s="35">
        <f>IF($U179="",DATE(2100,12,31),$U179+1)</f>
        <v/>
      </c>
      <c r="Z179" s="35">
        <f>IF($U179="",DATE(1900,1,1),$O179)</f>
        <v/>
      </c>
      <c r="AA179" s="32">
        <f>IF($U179="",0,$K179*$T179)</f>
        <v/>
      </c>
      <c r="AB179" s="21">
        <f>IF($C179="",0,IFERROR(INDEX(Deals!$AD$2:$AD$355,MATCH($C179,Deals!$A$2:$A$355,0)),0))</f>
        <v/>
      </c>
      <c r="AC179" s="32">
        <f>IF(Settings!$B$4="Yes",$I179*$AB179,$I179)</f>
        <v/>
      </c>
      <c r="AD179" s="22">
        <f>IF($C179="","",IFERROR(IF(INDEX(Deals!$AE$2:$AE$355,MATCH($C179,Deals!$A$2:$A$355,0))=0,"",INDEX(Deals!$AE$2:$AE$355,MATCH($C179,Deals!$A$2:$A$355,0))),""))</f>
        <v/>
      </c>
      <c r="AE179" s="22">
        <f>IF($C179="","",IFERROR(IF(INDEX(Deals!$AF$2:$AF$355,MATCH($C179,Deals!$A$2:$A$355,0))=0,"",INDEX(Deals!$AF$2:$AF$355,MATCH($C179,Deals!$A$2:$A$355,0))),""))</f>
        <v/>
      </c>
      <c r="AF179" s="35">
        <f>IF($AD179="",DATE(1900,1,1),$AD179)</f>
        <v/>
      </c>
      <c r="AG179" s="35">
        <f>IF($AE179="",DATE(2100,12,31),$AE179)</f>
        <v/>
      </c>
      <c r="AH179" s="22">
        <f>IF($C179="","",IFERROR(IF(INDEX(Deals!$AG$2:$AG$355,MATCH($C179,Deals!$A$2:$A$355,0))=0,"",INDEX(Deals!$AG$2:$AG$355,MATCH($C179,Deals!$A$2:$A$355,0))),""))</f>
        <v/>
      </c>
      <c r="AI179" s="35">
        <f>IF(OR($AH179&lt;&gt;"",AND($AO179&gt;0,$AD179&lt;&gt;"",$AE179&lt;&gt;"")),$AF179,DATE(1900,1,1))</f>
        <v/>
      </c>
      <c r="AJ179" s="35">
        <f>IF($AH179&lt;&gt;"",$AH179,IF(AND($AO179&gt;0,$AD179&lt;&gt;"",$AE179&lt;&gt;""),$AG179,DATE(2100,12,31)))</f>
        <v/>
      </c>
      <c r="AK179" s="32">
        <f>IF($AH179="",$AC179,$AC179*$S179)</f>
        <v/>
      </c>
      <c r="AL179" s="35">
        <f>IF($AH179="",DATE(2100,12,31),$AH179+1)</f>
        <v/>
      </c>
      <c r="AM179" s="35">
        <f>IF($AH179="",DATE(1900,1,1),$AG179)</f>
        <v/>
      </c>
      <c r="AN179" s="32">
        <f>IF($AH179="",0,$AC179*$T179)</f>
        <v/>
      </c>
      <c r="AO179" s="46">
        <f>IF($C179="",0,IFERROR(INDEX(Deals!$BD$2:$BD$355,MATCH($C179,Deals!$A$2:$A$355,0)),0))</f>
        <v/>
      </c>
      <c r="AP179" s="18">
        <f>IF($AO179=0,0,IFERROR(INDEX(Deals!$BJ$2:$BP$355,MATCH($C179,Deals!$A$2:$A$355,0),MATCH($F179,Deals!$BJ$1:$BP$1,0))/COUNTIFS(Assignments!$C$2:$C$769,$C179,Assignments!$F$2:$F$769,$F179,Assignments!$G$2:$G$769,"Active"),0))</f>
        <v/>
      </c>
    </row>
    <row r="180">
      <c r="A180" s="28" t="inlineStr">
        <is>
          <t>Jeremy</t>
        </is>
      </c>
      <c r="B180" s="16">
        <f>IF($A180="","",IFERROR(INDEX(Roster!$B$2:$B$40,MATCH($A180,Roster!$A$2:$A$40,0)),"?"))</f>
        <v/>
      </c>
      <c r="C180" s="28" t="inlineStr">
        <is>
          <t>Blue_8</t>
        </is>
      </c>
      <c r="D180" s="16">
        <f>IF($C180="","",IFERROR(IF(INDEX(Deals!$C$2:$C$355,MATCH($C180,Deals!$A$2:$A$355,0))=0,"",INDEX(Deals!$C$2:$C$355,MATCH($C180,Deals!$A$2:$A$355,0))),"?"))</f>
        <v/>
      </c>
      <c r="E180" s="16">
        <f>IF($C180="","",IFERROR(INDEX(Deals!$F$2:$F$355,MATCH($C180,Deals!$A$2:$A$355,0)),"?"))</f>
        <v/>
      </c>
      <c r="F180" s="28" t="inlineStr">
        <is>
          <t>MD</t>
        </is>
      </c>
      <c r="G180" s="28" t="inlineStr">
        <is>
          <t>Active</t>
        </is>
      </c>
      <c r="H180" s="31" t="n"/>
      <c r="I180" s="32">
        <f>IF(OR($A180="",$G180&lt;&gt;"Active"),0,IF($H180&lt;&gt;"",$H180,IF($AO180&gt;0,$AP180,IF(AND($R180&lt;&gt;"",IFERROR(INDEX(Templates!$B$3:$H$10,MATCH($R180,Templates!$A$3:$A$10,0),MATCH($F180,Templates!$B$2:$H$2,0)),0)&gt;0),INDEX(Templates!$B$3:$H$10,MATCH($R180,Templates!$A$3:$A$10,0),MATCH($F180,Templates!$B$2:$H$2,0)),IFERROR(INDEX(Settings!$B$8:$B$14,MATCH($F180,Settings!$A$8:$A$14,0)),0)))))</f>
        <v/>
      </c>
      <c r="J180" s="21">
        <f>IF($C180="",0,IFERROR(INDEX(Deals!$H$2:$H$355,MATCH($C180,Deals!$A$2:$A$355,0)),0))</f>
        <v/>
      </c>
      <c r="K180" s="32">
        <f>IF(Settings!$B$4="Yes",$I180*$J180,$I180)</f>
        <v/>
      </c>
      <c r="L180" s="22">
        <f>IF($C180="","",IFERROR(IF(INDEX(Deals!$I$2:$I$355,MATCH($C180,Deals!$A$2:$A$355,0))=0,"",INDEX(Deals!$I$2:$I$355,MATCH($C180,Deals!$A$2:$A$355,0))),""))</f>
        <v/>
      </c>
      <c r="M180" s="22">
        <f>IF($C180="","",IFERROR(IF(INDEX(Deals!$J$2:$J$355,MATCH($C180,Deals!$A$2:$A$355,0))=0,"",INDEX(Deals!$J$2:$J$355,MATCH($C180,Deals!$A$2:$A$355,0))),""))</f>
        <v/>
      </c>
      <c r="N180" s="35">
        <f>IF($L180="",DATE(1900,1,1),$L180)</f>
        <v/>
      </c>
      <c r="O180" s="35">
        <f>IF($M180="",DATE(2100,12,31),$M180)</f>
        <v/>
      </c>
      <c r="P180" s="20" t="inlineStr"/>
      <c r="Q180" s="47" t="inlineStr"/>
      <c r="R180" s="16">
        <f>IF($C180="","",IFERROR(IF(INDEX(Deals!$U$2:$U$355,MATCH($C180,Deals!$A$2:$A$355,0))=0,"",INDEX(Deals!$U$2:$U$355,MATCH($C180,Deals!$A$2:$A$355,0))),""))</f>
        <v/>
      </c>
      <c r="S180" s="34">
        <f>IFERROR(IF($U180="",1,INDEX(Deals!$V$2:$V$355,MATCH($C180,Deals!$A$2:$A$355,0))),1)</f>
        <v/>
      </c>
      <c r="T180" s="34">
        <f>IFERROR(IF($U180="",1,INDEX(Deals!$W$2:$W$355,MATCH($C180,Deals!$A$2:$A$355,0))),1)</f>
        <v/>
      </c>
      <c r="U180" s="22">
        <f>IF($C180="","",IFERROR(IF(INDEX(Deals!$Y$2:$Y$355,MATCH($C180,Deals!$A$2:$A$355,0))=0,"",INDEX(Deals!$Y$2:$Y$355,MATCH($C180,Deals!$A$2:$A$355,0))),""))</f>
        <v/>
      </c>
      <c r="V180" s="35">
        <f>IF(OR($U180&lt;&gt;"",AND($AO180&gt;0,$L180&lt;&gt;"",$M180&lt;&gt;"")),$N180,DATE(1900,1,1))</f>
        <v/>
      </c>
      <c r="W180" s="35">
        <f>IF($U180&lt;&gt;"",$U180,IF(AND($AO180&gt;0,$L180&lt;&gt;"",$M180&lt;&gt;""),$O180,DATE(2100,12,31)))</f>
        <v/>
      </c>
      <c r="X180" s="32">
        <f>IF($U180="",$K180,$K180*$S180)</f>
        <v/>
      </c>
      <c r="Y180" s="35">
        <f>IF($U180="",DATE(2100,12,31),$U180+1)</f>
        <v/>
      </c>
      <c r="Z180" s="35">
        <f>IF($U180="",DATE(1900,1,1),$O180)</f>
        <v/>
      </c>
      <c r="AA180" s="32">
        <f>IF($U180="",0,$K180*$T180)</f>
        <v/>
      </c>
      <c r="AB180" s="21">
        <f>IF($C180="",0,IFERROR(INDEX(Deals!$AD$2:$AD$355,MATCH($C180,Deals!$A$2:$A$355,0)),0))</f>
        <v/>
      </c>
      <c r="AC180" s="32">
        <f>IF(Settings!$B$4="Yes",$I180*$AB180,$I180)</f>
        <v/>
      </c>
      <c r="AD180" s="22">
        <f>IF($C180="","",IFERROR(IF(INDEX(Deals!$AE$2:$AE$355,MATCH($C180,Deals!$A$2:$A$355,0))=0,"",INDEX(Deals!$AE$2:$AE$355,MATCH($C180,Deals!$A$2:$A$355,0))),""))</f>
        <v/>
      </c>
      <c r="AE180" s="22">
        <f>IF($C180="","",IFERROR(IF(INDEX(Deals!$AF$2:$AF$355,MATCH($C180,Deals!$A$2:$A$355,0))=0,"",INDEX(Deals!$AF$2:$AF$355,MATCH($C180,Deals!$A$2:$A$355,0))),""))</f>
        <v/>
      </c>
      <c r="AF180" s="35">
        <f>IF($AD180="",DATE(1900,1,1),$AD180)</f>
        <v/>
      </c>
      <c r="AG180" s="35">
        <f>IF($AE180="",DATE(2100,12,31),$AE180)</f>
        <v/>
      </c>
      <c r="AH180" s="22">
        <f>IF($C180="","",IFERROR(IF(INDEX(Deals!$AG$2:$AG$355,MATCH($C180,Deals!$A$2:$A$355,0))=0,"",INDEX(Deals!$AG$2:$AG$355,MATCH($C180,Deals!$A$2:$A$355,0))),""))</f>
        <v/>
      </c>
      <c r="AI180" s="35">
        <f>IF(OR($AH180&lt;&gt;"",AND($AO180&gt;0,$AD180&lt;&gt;"",$AE180&lt;&gt;"")),$AF180,DATE(1900,1,1))</f>
        <v/>
      </c>
      <c r="AJ180" s="35">
        <f>IF($AH180&lt;&gt;"",$AH180,IF(AND($AO180&gt;0,$AD180&lt;&gt;"",$AE180&lt;&gt;""),$AG180,DATE(2100,12,31)))</f>
        <v/>
      </c>
      <c r="AK180" s="32">
        <f>IF($AH180="",$AC180,$AC180*$S180)</f>
        <v/>
      </c>
      <c r="AL180" s="35">
        <f>IF($AH180="",DATE(2100,12,31),$AH180+1)</f>
        <v/>
      </c>
      <c r="AM180" s="35">
        <f>IF($AH180="",DATE(1900,1,1),$AG180)</f>
        <v/>
      </c>
      <c r="AN180" s="32">
        <f>IF($AH180="",0,$AC180*$T180)</f>
        <v/>
      </c>
      <c r="AO180" s="46">
        <f>IF($C180="",0,IFERROR(INDEX(Deals!$BD$2:$BD$355,MATCH($C180,Deals!$A$2:$A$355,0)),0))</f>
        <v/>
      </c>
      <c r="AP180" s="18">
        <f>IF($AO180=0,0,IFERROR(INDEX(Deals!$BJ$2:$BP$355,MATCH($C180,Deals!$A$2:$A$355,0),MATCH($F180,Deals!$BJ$1:$BP$1,0))/COUNTIFS(Assignments!$C$2:$C$769,$C180,Assignments!$F$2:$F$769,$F180,Assignments!$G$2:$G$769,"Active"),0))</f>
        <v/>
      </c>
    </row>
    <row r="181">
      <c r="A181" s="28" t="inlineStr">
        <is>
          <t>Jeremy</t>
        </is>
      </c>
      <c r="B181" s="16">
        <f>IF($A181="","",IFERROR(INDEX(Roster!$B$2:$B$40,MATCH($A181,Roster!$A$2:$A$40,0)),"?"))</f>
        <v/>
      </c>
      <c r="C181" s="28" t="inlineStr">
        <is>
          <t>Cohost_1</t>
        </is>
      </c>
      <c r="D181" s="16">
        <f>IF($C181="","",IFERROR(IF(INDEX(Deals!$C$2:$C$355,MATCH($C181,Deals!$A$2:$A$355,0))=0,"",INDEX(Deals!$C$2:$C$355,MATCH($C181,Deals!$A$2:$A$355,0))),"?"))</f>
        <v/>
      </c>
      <c r="E181" s="16">
        <f>IF($C181="","",IFERROR(INDEX(Deals!$F$2:$F$355,MATCH($C181,Deals!$A$2:$A$355,0)),"?"))</f>
        <v/>
      </c>
      <c r="F181" s="28" t="inlineStr">
        <is>
          <t>MD</t>
        </is>
      </c>
      <c r="G181" s="28" t="inlineStr">
        <is>
          <t>Active</t>
        </is>
      </c>
      <c r="H181" s="31" t="n"/>
      <c r="I181" s="32">
        <f>IF(OR($A181="",$G181&lt;&gt;"Active"),0,IF($H181&lt;&gt;"",$H181,IF($AO181&gt;0,$AP181,IF(AND($R181&lt;&gt;"",IFERROR(INDEX(Templates!$B$3:$H$10,MATCH($R181,Templates!$A$3:$A$10,0),MATCH($F181,Templates!$B$2:$H$2,0)),0)&gt;0),INDEX(Templates!$B$3:$H$10,MATCH($R181,Templates!$A$3:$A$10,0),MATCH($F181,Templates!$B$2:$H$2,0)),IFERROR(INDEX(Settings!$B$8:$B$14,MATCH($F181,Settings!$A$8:$A$14,0)),0)))))</f>
        <v/>
      </c>
      <c r="J181" s="21">
        <f>IF($C181="",0,IFERROR(INDEX(Deals!$H$2:$H$355,MATCH($C181,Deals!$A$2:$A$355,0)),0))</f>
        <v/>
      </c>
      <c r="K181" s="32">
        <f>IF(Settings!$B$4="Yes",$I181*$J181,$I181)</f>
        <v/>
      </c>
      <c r="L181" s="22">
        <f>IF($C181="","",IFERROR(IF(INDEX(Deals!$I$2:$I$355,MATCH($C181,Deals!$A$2:$A$355,0))=0,"",INDEX(Deals!$I$2:$I$355,MATCH($C181,Deals!$A$2:$A$355,0))),""))</f>
        <v/>
      </c>
      <c r="M181" s="22">
        <f>IF($C181="","",IFERROR(IF(INDEX(Deals!$J$2:$J$355,MATCH($C181,Deals!$A$2:$A$355,0))=0,"",INDEX(Deals!$J$2:$J$355,MATCH($C181,Deals!$A$2:$A$355,0))),""))</f>
        <v/>
      </c>
      <c r="N181" s="35">
        <f>IF($L181="",DATE(1900,1,1),$L181)</f>
        <v/>
      </c>
      <c r="O181" s="35">
        <f>IF($M181="",DATE(2100,12,31),$M181)</f>
        <v/>
      </c>
      <c r="P181" s="20" t="inlineStr"/>
      <c r="Q181" s="47" t="inlineStr"/>
      <c r="R181" s="16">
        <f>IF($C181="","",IFERROR(IF(INDEX(Deals!$U$2:$U$355,MATCH($C181,Deals!$A$2:$A$355,0))=0,"",INDEX(Deals!$U$2:$U$355,MATCH($C181,Deals!$A$2:$A$355,0))),""))</f>
        <v/>
      </c>
      <c r="S181" s="34">
        <f>IFERROR(IF($U181="",1,INDEX(Deals!$V$2:$V$355,MATCH($C181,Deals!$A$2:$A$355,0))),1)</f>
        <v/>
      </c>
      <c r="T181" s="34">
        <f>IFERROR(IF($U181="",1,INDEX(Deals!$W$2:$W$355,MATCH($C181,Deals!$A$2:$A$355,0))),1)</f>
        <v/>
      </c>
      <c r="U181" s="22">
        <f>IF($C181="","",IFERROR(IF(INDEX(Deals!$Y$2:$Y$355,MATCH($C181,Deals!$A$2:$A$355,0))=0,"",INDEX(Deals!$Y$2:$Y$355,MATCH($C181,Deals!$A$2:$A$355,0))),""))</f>
        <v/>
      </c>
      <c r="V181" s="35">
        <f>IF(OR($U181&lt;&gt;"",AND($AO181&gt;0,$L181&lt;&gt;"",$M181&lt;&gt;"")),$N181,DATE(1900,1,1))</f>
        <v/>
      </c>
      <c r="W181" s="35">
        <f>IF($U181&lt;&gt;"",$U181,IF(AND($AO181&gt;0,$L181&lt;&gt;"",$M181&lt;&gt;""),$O181,DATE(2100,12,31)))</f>
        <v/>
      </c>
      <c r="X181" s="32">
        <f>IF($U181="",$K181,$K181*$S181)</f>
        <v/>
      </c>
      <c r="Y181" s="35">
        <f>IF($U181="",DATE(2100,12,31),$U181+1)</f>
        <v/>
      </c>
      <c r="Z181" s="35">
        <f>IF($U181="",DATE(1900,1,1),$O181)</f>
        <v/>
      </c>
      <c r="AA181" s="32">
        <f>IF($U181="",0,$K181*$T181)</f>
        <v/>
      </c>
      <c r="AB181" s="21">
        <f>IF($C181="",0,IFERROR(INDEX(Deals!$AD$2:$AD$355,MATCH($C181,Deals!$A$2:$A$355,0)),0))</f>
        <v/>
      </c>
      <c r="AC181" s="32">
        <f>IF(Settings!$B$4="Yes",$I181*$AB181,$I181)</f>
        <v/>
      </c>
      <c r="AD181" s="22">
        <f>IF($C181="","",IFERROR(IF(INDEX(Deals!$AE$2:$AE$355,MATCH($C181,Deals!$A$2:$A$355,0))=0,"",INDEX(Deals!$AE$2:$AE$355,MATCH($C181,Deals!$A$2:$A$355,0))),""))</f>
        <v/>
      </c>
      <c r="AE181" s="22">
        <f>IF($C181="","",IFERROR(IF(INDEX(Deals!$AF$2:$AF$355,MATCH($C181,Deals!$A$2:$A$355,0))=0,"",INDEX(Deals!$AF$2:$AF$355,MATCH($C181,Deals!$A$2:$A$355,0))),""))</f>
        <v/>
      </c>
      <c r="AF181" s="35">
        <f>IF($AD181="",DATE(1900,1,1),$AD181)</f>
        <v/>
      </c>
      <c r="AG181" s="35">
        <f>IF($AE181="",DATE(2100,12,31),$AE181)</f>
        <v/>
      </c>
      <c r="AH181" s="22">
        <f>IF($C181="","",IFERROR(IF(INDEX(Deals!$AG$2:$AG$355,MATCH($C181,Deals!$A$2:$A$355,0))=0,"",INDEX(Deals!$AG$2:$AG$355,MATCH($C181,Deals!$A$2:$A$355,0))),""))</f>
        <v/>
      </c>
      <c r="AI181" s="35">
        <f>IF(OR($AH181&lt;&gt;"",AND($AO181&gt;0,$AD181&lt;&gt;"",$AE181&lt;&gt;"")),$AF181,DATE(1900,1,1))</f>
        <v/>
      </c>
      <c r="AJ181" s="35">
        <f>IF($AH181&lt;&gt;"",$AH181,IF(AND($AO181&gt;0,$AD181&lt;&gt;"",$AE181&lt;&gt;""),$AG181,DATE(2100,12,31)))</f>
        <v/>
      </c>
      <c r="AK181" s="32">
        <f>IF($AH181="",$AC181,$AC181*$S181)</f>
        <v/>
      </c>
      <c r="AL181" s="35">
        <f>IF($AH181="",DATE(2100,12,31),$AH181+1)</f>
        <v/>
      </c>
      <c r="AM181" s="35">
        <f>IF($AH181="",DATE(1900,1,1),$AG181)</f>
        <v/>
      </c>
      <c r="AN181" s="32">
        <f>IF($AH181="",0,$AC181*$T181)</f>
        <v/>
      </c>
      <c r="AO181" s="46">
        <f>IF($C181="",0,IFERROR(INDEX(Deals!$BD$2:$BD$355,MATCH($C181,Deals!$A$2:$A$355,0)),0))</f>
        <v/>
      </c>
      <c r="AP181" s="18">
        <f>IF($AO181=0,0,IFERROR(INDEX(Deals!$BJ$2:$BP$355,MATCH($C181,Deals!$A$2:$A$355,0),MATCH($F181,Deals!$BJ$1:$BP$1,0))/COUNTIFS(Assignments!$C$2:$C$769,$C181,Assignments!$F$2:$F$769,$F181,Assignments!$G$2:$G$769,"Active"),0))</f>
        <v/>
      </c>
    </row>
    <row r="182">
      <c r="A182" s="28" t="inlineStr">
        <is>
          <t>Jeremy</t>
        </is>
      </c>
      <c r="B182" s="16">
        <f>IF($A182="","",IFERROR(INDEX(Roster!$B$2:$B$40,MATCH($A182,Roster!$A$2:$A$40,0)),"?"))</f>
        <v/>
      </c>
      <c r="C182" s="28" t="inlineStr">
        <is>
          <t>Concrete_1</t>
        </is>
      </c>
      <c r="D182" s="16">
        <f>IF($C182="","",IFERROR(IF(INDEX(Deals!$C$2:$C$355,MATCH($C182,Deals!$A$2:$A$355,0))=0,"",INDEX(Deals!$C$2:$C$355,MATCH($C182,Deals!$A$2:$A$355,0))),"?"))</f>
        <v/>
      </c>
      <c r="E182" s="16">
        <f>IF($C182="","",IFERROR(INDEX(Deals!$F$2:$F$355,MATCH($C182,Deals!$A$2:$A$355,0)),"?"))</f>
        <v/>
      </c>
      <c r="F182" s="28" t="inlineStr">
        <is>
          <t>MD</t>
        </is>
      </c>
      <c r="G182" s="28" t="inlineStr">
        <is>
          <t>Active</t>
        </is>
      </c>
      <c r="H182" s="31" t="n"/>
      <c r="I182" s="32">
        <f>IF(OR($A182="",$G182&lt;&gt;"Active"),0,IF($H182&lt;&gt;"",$H182,IF($AO182&gt;0,$AP182,IF(AND($R182&lt;&gt;"",IFERROR(INDEX(Templates!$B$3:$H$10,MATCH($R182,Templates!$A$3:$A$10,0),MATCH($F182,Templates!$B$2:$H$2,0)),0)&gt;0),INDEX(Templates!$B$3:$H$10,MATCH($R182,Templates!$A$3:$A$10,0),MATCH($F182,Templates!$B$2:$H$2,0)),IFERROR(INDEX(Settings!$B$8:$B$14,MATCH($F182,Settings!$A$8:$A$14,0)),0)))))</f>
        <v/>
      </c>
      <c r="J182" s="21">
        <f>IF($C182="",0,IFERROR(INDEX(Deals!$H$2:$H$355,MATCH($C182,Deals!$A$2:$A$355,0)),0))</f>
        <v/>
      </c>
      <c r="K182" s="32">
        <f>IF(Settings!$B$4="Yes",$I182*$J182,$I182)</f>
        <v/>
      </c>
      <c r="L182" s="22">
        <f>IF($C182="","",IFERROR(IF(INDEX(Deals!$I$2:$I$355,MATCH($C182,Deals!$A$2:$A$355,0))=0,"",INDEX(Deals!$I$2:$I$355,MATCH($C182,Deals!$A$2:$A$355,0))),""))</f>
        <v/>
      </c>
      <c r="M182" s="22">
        <f>IF($C182="","",IFERROR(IF(INDEX(Deals!$J$2:$J$355,MATCH($C182,Deals!$A$2:$A$355,0))=0,"",INDEX(Deals!$J$2:$J$355,MATCH($C182,Deals!$A$2:$A$355,0))),""))</f>
        <v/>
      </c>
      <c r="N182" s="35">
        <f>IF($L182="",DATE(1900,1,1),$L182)</f>
        <v/>
      </c>
      <c r="O182" s="35">
        <f>IF($M182="",DATE(2100,12,31),$M182)</f>
        <v/>
      </c>
      <c r="P182" s="20" t="inlineStr"/>
      <c r="Q182" s="47" t="inlineStr"/>
      <c r="R182" s="16">
        <f>IF($C182="","",IFERROR(IF(INDEX(Deals!$U$2:$U$355,MATCH($C182,Deals!$A$2:$A$355,0))=0,"",INDEX(Deals!$U$2:$U$355,MATCH($C182,Deals!$A$2:$A$355,0))),""))</f>
        <v/>
      </c>
      <c r="S182" s="34">
        <f>IFERROR(IF($U182="",1,INDEX(Deals!$V$2:$V$355,MATCH($C182,Deals!$A$2:$A$355,0))),1)</f>
        <v/>
      </c>
      <c r="T182" s="34">
        <f>IFERROR(IF($U182="",1,INDEX(Deals!$W$2:$W$355,MATCH($C182,Deals!$A$2:$A$355,0))),1)</f>
        <v/>
      </c>
      <c r="U182" s="22">
        <f>IF($C182="","",IFERROR(IF(INDEX(Deals!$Y$2:$Y$355,MATCH($C182,Deals!$A$2:$A$355,0))=0,"",INDEX(Deals!$Y$2:$Y$355,MATCH($C182,Deals!$A$2:$A$355,0))),""))</f>
        <v/>
      </c>
      <c r="V182" s="35">
        <f>IF(OR($U182&lt;&gt;"",AND($AO182&gt;0,$L182&lt;&gt;"",$M182&lt;&gt;"")),$N182,DATE(1900,1,1))</f>
        <v/>
      </c>
      <c r="W182" s="35">
        <f>IF($U182&lt;&gt;"",$U182,IF(AND($AO182&gt;0,$L182&lt;&gt;"",$M182&lt;&gt;""),$O182,DATE(2100,12,31)))</f>
        <v/>
      </c>
      <c r="X182" s="32">
        <f>IF($U182="",$K182,$K182*$S182)</f>
        <v/>
      </c>
      <c r="Y182" s="35">
        <f>IF($U182="",DATE(2100,12,31),$U182+1)</f>
        <v/>
      </c>
      <c r="Z182" s="35">
        <f>IF($U182="",DATE(1900,1,1),$O182)</f>
        <v/>
      </c>
      <c r="AA182" s="32">
        <f>IF($U182="",0,$K182*$T182)</f>
        <v/>
      </c>
      <c r="AB182" s="21">
        <f>IF($C182="",0,IFERROR(INDEX(Deals!$AD$2:$AD$355,MATCH($C182,Deals!$A$2:$A$355,0)),0))</f>
        <v/>
      </c>
      <c r="AC182" s="32">
        <f>IF(Settings!$B$4="Yes",$I182*$AB182,$I182)</f>
        <v/>
      </c>
      <c r="AD182" s="22">
        <f>IF($C182="","",IFERROR(IF(INDEX(Deals!$AE$2:$AE$355,MATCH($C182,Deals!$A$2:$A$355,0))=0,"",INDEX(Deals!$AE$2:$AE$355,MATCH($C182,Deals!$A$2:$A$355,0))),""))</f>
        <v/>
      </c>
      <c r="AE182" s="22">
        <f>IF($C182="","",IFERROR(IF(INDEX(Deals!$AF$2:$AF$355,MATCH($C182,Deals!$A$2:$A$355,0))=0,"",INDEX(Deals!$AF$2:$AF$355,MATCH($C182,Deals!$A$2:$A$355,0))),""))</f>
        <v/>
      </c>
      <c r="AF182" s="35">
        <f>IF($AD182="",DATE(1900,1,1),$AD182)</f>
        <v/>
      </c>
      <c r="AG182" s="35">
        <f>IF($AE182="",DATE(2100,12,31),$AE182)</f>
        <v/>
      </c>
      <c r="AH182" s="22">
        <f>IF($C182="","",IFERROR(IF(INDEX(Deals!$AG$2:$AG$355,MATCH($C182,Deals!$A$2:$A$355,0))=0,"",INDEX(Deals!$AG$2:$AG$355,MATCH($C182,Deals!$A$2:$A$355,0))),""))</f>
        <v/>
      </c>
      <c r="AI182" s="35">
        <f>IF(OR($AH182&lt;&gt;"",AND($AO182&gt;0,$AD182&lt;&gt;"",$AE182&lt;&gt;"")),$AF182,DATE(1900,1,1))</f>
        <v/>
      </c>
      <c r="AJ182" s="35">
        <f>IF($AH182&lt;&gt;"",$AH182,IF(AND($AO182&gt;0,$AD182&lt;&gt;"",$AE182&lt;&gt;""),$AG182,DATE(2100,12,31)))</f>
        <v/>
      </c>
      <c r="AK182" s="32">
        <f>IF($AH182="",$AC182,$AC182*$S182)</f>
        <v/>
      </c>
      <c r="AL182" s="35">
        <f>IF($AH182="",DATE(2100,12,31),$AH182+1)</f>
        <v/>
      </c>
      <c r="AM182" s="35">
        <f>IF($AH182="",DATE(1900,1,1),$AG182)</f>
        <v/>
      </c>
      <c r="AN182" s="32">
        <f>IF($AH182="",0,$AC182*$T182)</f>
        <v/>
      </c>
      <c r="AO182" s="46">
        <f>IF($C182="",0,IFERROR(INDEX(Deals!$BD$2:$BD$355,MATCH($C182,Deals!$A$2:$A$355,0)),0))</f>
        <v/>
      </c>
      <c r="AP182" s="18">
        <f>IF($AO182=0,0,IFERROR(INDEX(Deals!$BJ$2:$BP$355,MATCH($C182,Deals!$A$2:$A$355,0),MATCH($F182,Deals!$BJ$1:$BP$1,0))/COUNTIFS(Assignments!$C$2:$C$769,$C182,Assignments!$F$2:$F$769,$F182,Assignments!$G$2:$G$769,"Active"),0))</f>
        <v/>
      </c>
    </row>
    <row r="183">
      <c r="A183" s="28" t="inlineStr">
        <is>
          <t>Jeremy</t>
        </is>
      </c>
      <c r="B183" s="16">
        <f>IF($A183="","",IFERROR(INDEX(Roster!$B$2:$B$40,MATCH($A183,Roster!$A$2:$A$40,0)),"?"))</f>
        <v/>
      </c>
      <c r="C183" s="28" t="inlineStr">
        <is>
          <t>DEBT analysis_1</t>
        </is>
      </c>
      <c r="D183" s="16">
        <f>IF($C183="","",IFERROR(IF(INDEX(Deals!$C$2:$C$355,MATCH($C183,Deals!$A$2:$A$355,0))=0,"",INDEX(Deals!$C$2:$C$355,MATCH($C183,Deals!$A$2:$A$355,0))),"?"))</f>
        <v/>
      </c>
      <c r="E183" s="16">
        <f>IF($C183="","",IFERROR(INDEX(Deals!$F$2:$F$355,MATCH($C183,Deals!$A$2:$A$355,0)),"?"))</f>
        <v/>
      </c>
      <c r="F183" s="28" t="inlineStr">
        <is>
          <t>MD</t>
        </is>
      </c>
      <c r="G183" s="28" t="inlineStr">
        <is>
          <t>Active</t>
        </is>
      </c>
      <c r="H183" s="31" t="n"/>
      <c r="I183" s="32">
        <f>IF(OR($A183="",$G183&lt;&gt;"Active"),0,IF($H183&lt;&gt;"",$H183,IF($AO183&gt;0,$AP183,IF(AND($R183&lt;&gt;"",IFERROR(INDEX(Templates!$B$3:$H$10,MATCH($R183,Templates!$A$3:$A$10,0),MATCH($F183,Templates!$B$2:$H$2,0)),0)&gt;0),INDEX(Templates!$B$3:$H$10,MATCH($R183,Templates!$A$3:$A$10,0),MATCH($F183,Templates!$B$2:$H$2,0)),IFERROR(INDEX(Settings!$B$8:$B$14,MATCH($F183,Settings!$A$8:$A$14,0)),0)))))</f>
        <v/>
      </c>
      <c r="J183" s="21">
        <f>IF($C183="",0,IFERROR(INDEX(Deals!$H$2:$H$355,MATCH($C183,Deals!$A$2:$A$355,0)),0))</f>
        <v/>
      </c>
      <c r="K183" s="32">
        <f>IF(Settings!$B$4="Yes",$I183*$J183,$I183)</f>
        <v/>
      </c>
      <c r="L183" s="22">
        <f>IF($C183="","",IFERROR(IF(INDEX(Deals!$I$2:$I$355,MATCH($C183,Deals!$A$2:$A$355,0))=0,"",INDEX(Deals!$I$2:$I$355,MATCH($C183,Deals!$A$2:$A$355,0))),""))</f>
        <v/>
      </c>
      <c r="M183" s="22">
        <f>IF($C183="","",IFERROR(IF(INDEX(Deals!$J$2:$J$355,MATCH($C183,Deals!$A$2:$A$355,0))=0,"",INDEX(Deals!$J$2:$J$355,MATCH($C183,Deals!$A$2:$A$355,0))),""))</f>
        <v/>
      </c>
      <c r="N183" s="35">
        <f>IF($L183="",DATE(1900,1,1),$L183)</f>
        <v/>
      </c>
      <c r="O183" s="35">
        <f>IF($M183="",DATE(2100,12,31),$M183)</f>
        <v/>
      </c>
      <c r="P183" s="20" t="inlineStr"/>
      <c r="Q183" s="47" t="inlineStr"/>
      <c r="R183" s="16">
        <f>IF($C183="","",IFERROR(IF(INDEX(Deals!$U$2:$U$355,MATCH($C183,Deals!$A$2:$A$355,0))=0,"",INDEX(Deals!$U$2:$U$355,MATCH($C183,Deals!$A$2:$A$355,0))),""))</f>
        <v/>
      </c>
      <c r="S183" s="34">
        <f>IFERROR(IF($U183="",1,INDEX(Deals!$V$2:$V$355,MATCH($C183,Deals!$A$2:$A$355,0))),1)</f>
        <v/>
      </c>
      <c r="T183" s="34">
        <f>IFERROR(IF($U183="",1,INDEX(Deals!$W$2:$W$355,MATCH($C183,Deals!$A$2:$A$355,0))),1)</f>
        <v/>
      </c>
      <c r="U183" s="22">
        <f>IF($C183="","",IFERROR(IF(INDEX(Deals!$Y$2:$Y$355,MATCH($C183,Deals!$A$2:$A$355,0))=0,"",INDEX(Deals!$Y$2:$Y$355,MATCH($C183,Deals!$A$2:$A$355,0))),""))</f>
        <v/>
      </c>
      <c r="V183" s="35">
        <f>IF(OR($U183&lt;&gt;"",AND($AO183&gt;0,$L183&lt;&gt;"",$M183&lt;&gt;"")),$N183,DATE(1900,1,1))</f>
        <v/>
      </c>
      <c r="W183" s="35">
        <f>IF($U183&lt;&gt;"",$U183,IF(AND($AO183&gt;0,$L183&lt;&gt;"",$M183&lt;&gt;""),$O183,DATE(2100,12,31)))</f>
        <v/>
      </c>
      <c r="X183" s="32">
        <f>IF($U183="",$K183,$K183*$S183)</f>
        <v/>
      </c>
      <c r="Y183" s="35">
        <f>IF($U183="",DATE(2100,12,31),$U183+1)</f>
        <v/>
      </c>
      <c r="Z183" s="35">
        <f>IF($U183="",DATE(1900,1,1),$O183)</f>
        <v/>
      </c>
      <c r="AA183" s="32">
        <f>IF($U183="",0,$K183*$T183)</f>
        <v/>
      </c>
      <c r="AB183" s="21">
        <f>IF($C183="",0,IFERROR(INDEX(Deals!$AD$2:$AD$355,MATCH($C183,Deals!$A$2:$A$355,0)),0))</f>
        <v/>
      </c>
      <c r="AC183" s="32">
        <f>IF(Settings!$B$4="Yes",$I183*$AB183,$I183)</f>
        <v/>
      </c>
      <c r="AD183" s="22">
        <f>IF($C183="","",IFERROR(IF(INDEX(Deals!$AE$2:$AE$355,MATCH($C183,Deals!$A$2:$A$355,0))=0,"",INDEX(Deals!$AE$2:$AE$355,MATCH($C183,Deals!$A$2:$A$355,0))),""))</f>
        <v/>
      </c>
      <c r="AE183" s="22">
        <f>IF($C183="","",IFERROR(IF(INDEX(Deals!$AF$2:$AF$355,MATCH($C183,Deals!$A$2:$A$355,0))=0,"",INDEX(Deals!$AF$2:$AF$355,MATCH($C183,Deals!$A$2:$A$355,0))),""))</f>
        <v/>
      </c>
      <c r="AF183" s="35">
        <f>IF($AD183="",DATE(1900,1,1),$AD183)</f>
        <v/>
      </c>
      <c r="AG183" s="35">
        <f>IF($AE183="",DATE(2100,12,31),$AE183)</f>
        <v/>
      </c>
      <c r="AH183" s="22">
        <f>IF($C183="","",IFERROR(IF(INDEX(Deals!$AG$2:$AG$355,MATCH($C183,Deals!$A$2:$A$355,0))=0,"",INDEX(Deals!$AG$2:$AG$355,MATCH($C183,Deals!$A$2:$A$355,0))),""))</f>
        <v/>
      </c>
      <c r="AI183" s="35">
        <f>IF(OR($AH183&lt;&gt;"",AND($AO183&gt;0,$AD183&lt;&gt;"",$AE183&lt;&gt;"")),$AF183,DATE(1900,1,1))</f>
        <v/>
      </c>
      <c r="AJ183" s="35">
        <f>IF($AH183&lt;&gt;"",$AH183,IF(AND($AO183&gt;0,$AD183&lt;&gt;"",$AE183&lt;&gt;""),$AG183,DATE(2100,12,31)))</f>
        <v/>
      </c>
      <c r="AK183" s="32">
        <f>IF($AH183="",$AC183,$AC183*$S183)</f>
        <v/>
      </c>
      <c r="AL183" s="35">
        <f>IF($AH183="",DATE(2100,12,31),$AH183+1)</f>
        <v/>
      </c>
      <c r="AM183" s="35">
        <f>IF($AH183="",DATE(1900,1,1),$AG183)</f>
        <v/>
      </c>
      <c r="AN183" s="32">
        <f>IF($AH183="",0,$AC183*$T183)</f>
        <v/>
      </c>
      <c r="AO183" s="46">
        <f>IF($C183="",0,IFERROR(INDEX(Deals!$BD$2:$BD$355,MATCH($C183,Deals!$A$2:$A$355,0)),0))</f>
        <v/>
      </c>
      <c r="AP183" s="18">
        <f>IF($AO183=0,0,IFERROR(INDEX(Deals!$BJ$2:$BP$355,MATCH($C183,Deals!$A$2:$A$355,0),MATCH($F183,Deals!$BJ$1:$BP$1,0))/COUNTIFS(Assignments!$C$2:$C$769,$C183,Assignments!$F$2:$F$769,$F183,Assignments!$G$2:$G$769,"Active"),0))</f>
        <v/>
      </c>
    </row>
    <row r="184">
      <c r="A184" s="28" t="inlineStr">
        <is>
          <t>Jeremy</t>
        </is>
      </c>
      <c r="B184" s="16">
        <f>IF($A184="","",IFERROR(INDEX(Roster!$B$2:$B$40,MATCH($A184,Roster!$A$2:$A$40,0)),"?"))</f>
        <v/>
      </c>
      <c r="C184" s="28" t="inlineStr">
        <is>
          <t>DIF Twister_2</t>
        </is>
      </c>
      <c r="D184" s="16">
        <f>IF($C184="","",IFERROR(IF(INDEX(Deals!$C$2:$C$355,MATCH($C184,Deals!$A$2:$A$355,0))=0,"",INDEX(Deals!$C$2:$C$355,MATCH($C184,Deals!$A$2:$A$355,0))),"?"))</f>
        <v/>
      </c>
      <c r="E184" s="16">
        <f>IF($C184="","",IFERROR(INDEX(Deals!$F$2:$F$355,MATCH($C184,Deals!$A$2:$A$355,0)),"?"))</f>
        <v/>
      </c>
      <c r="F184" s="28" t="inlineStr">
        <is>
          <t>MD</t>
        </is>
      </c>
      <c r="G184" s="28" t="inlineStr">
        <is>
          <t>Active</t>
        </is>
      </c>
      <c r="H184" s="31" t="n"/>
      <c r="I184" s="32">
        <f>IF(OR($A184="",$G184&lt;&gt;"Active"),0,IF($H184&lt;&gt;"",$H184,IF($AO184&gt;0,$AP184,IF(AND($R184&lt;&gt;"",IFERROR(INDEX(Templates!$B$3:$H$10,MATCH($R184,Templates!$A$3:$A$10,0),MATCH($F184,Templates!$B$2:$H$2,0)),0)&gt;0),INDEX(Templates!$B$3:$H$10,MATCH($R184,Templates!$A$3:$A$10,0),MATCH($F184,Templates!$B$2:$H$2,0)),IFERROR(INDEX(Settings!$B$8:$B$14,MATCH($F184,Settings!$A$8:$A$14,0)),0)))))</f>
        <v/>
      </c>
      <c r="J184" s="21">
        <f>IF($C184="",0,IFERROR(INDEX(Deals!$H$2:$H$355,MATCH($C184,Deals!$A$2:$A$355,0)),0))</f>
        <v/>
      </c>
      <c r="K184" s="32">
        <f>IF(Settings!$B$4="Yes",$I184*$J184,$I184)</f>
        <v/>
      </c>
      <c r="L184" s="22">
        <f>IF($C184="","",IFERROR(IF(INDEX(Deals!$I$2:$I$355,MATCH($C184,Deals!$A$2:$A$355,0))=0,"",INDEX(Deals!$I$2:$I$355,MATCH($C184,Deals!$A$2:$A$355,0))),""))</f>
        <v/>
      </c>
      <c r="M184" s="22">
        <f>IF($C184="","",IFERROR(IF(INDEX(Deals!$J$2:$J$355,MATCH($C184,Deals!$A$2:$A$355,0))=0,"",INDEX(Deals!$J$2:$J$355,MATCH($C184,Deals!$A$2:$A$355,0))),""))</f>
        <v/>
      </c>
      <c r="N184" s="35">
        <f>IF($L184="",DATE(1900,1,1),$L184)</f>
        <v/>
      </c>
      <c r="O184" s="35">
        <f>IF($M184="",DATE(2100,12,31),$M184)</f>
        <v/>
      </c>
      <c r="P184" s="20" t="inlineStr"/>
      <c r="Q184" s="47" t="inlineStr"/>
      <c r="R184" s="16">
        <f>IF($C184="","",IFERROR(IF(INDEX(Deals!$U$2:$U$355,MATCH($C184,Deals!$A$2:$A$355,0))=0,"",INDEX(Deals!$U$2:$U$355,MATCH($C184,Deals!$A$2:$A$355,0))),""))</f>
        <v/>
      </c>
      <c r="S184" s="34">
        <f>IFERROR(IF($U184="",1,INDEX(Deals!$V$2:$V$355,MATCH($C184,Deals!$A$2:$A$355,0))),1)</f>
        <v/>
      </c>
      <c r="T184" s="34">
        <f>IFERROR(IF($U184="",1,INDEX(Deals!$W$2:$W$355,MATCH($C184,Deals!$A$2:$A$355,0))),1)</f>
        <v/>
      </c>
      <c r="U184" s="22">
        <f>IF($C184="","",IFERROR(IF(INDEX(Deals!$Y$2:$Y$355,MATCH($C184,Deals!$A$2:$A$355,0))=0,"",INDEX(Deals!$Y$2:$Y$355,MATCH($C184,Deals!$A$2:$A$355,0))),""))</f>
        <v/>
      </c>
      <c r="V184" s="35">
        <f>IF(OR($U184&lt;&gt;"",AND($AO184&gt;0,$L184&lt;&gt;"",$M184&lt;&gt;"")),$N184,DATE(1900,1,1))</f>
        <v/>
      </c>
      <c r="W184" s="35">
        <f>IF($U184&lt;&gt;"",$U184,IF(AND($AO184&gt;0,$L184&lt;&gt;"",$M184&lt;&gt;""),$O184,DATE(2100,12,31)))</f>
        <v/>
      </c>
      <c r="X184" s="32">
        <f>IF($U184="",$K184,$K184*$S184)</f>
        <v/>
      </c>
      <c r="Y184" s="35">
        <f>IF($U184="",DATE(2100,12,31),$U184+1)</f>
        <v/>
      </c>
      <c r="Z184" s="35">
        <f>IF($U184="",DATE(1900,1,1),$O184)</f>
        <v/>
      </c>
      <c r="AA184" s="32">
        <f>IF($U184="",0,$K184*$T184)</f>
        <v/>
      </c>
      <c r="AB184" s="21">
        <f>IF($C184="",0,IFERROR(INDEX(Deals!$AD$2:$AD$355,MATCH($C184,Deals!$A$2:$A$355,0)),0))</f>
        <v/>
      </c>
      <c r="AC184" s="32">
        <f>IF(Settings!$B$4="Yes",$I184*$AB184,$I184)</f>
        <v/>
      </c>
      <c r="AD184" s="22">
        <f>IF($C184="","",IFERROR(IF(INDEX(Deals!$AE$2:$AE$355,MATCH($C184,Deals!$A$2:$A$355,0))=0,"",INDEX(Deals!$AE$2:$AE$355,MATCH($C184,Deals!$A$2:$A$355,0))),""))</f>
        <v/>
      </c>
      <c r="AE184" s="22">
        <f>IF($C184="","",IFERROR(IF(INDEX(Deals!$AF$2:$AF$355,MATCH($C184,Deals!$A$2:$A$355,0))=0,"",INDEX(Deals!$AF$2:$AF$355,MATCH($C184,Deals!$A$2:$A$355,0))),""))</f>
        <v/>
      </c>
      <c r="AF184" s="35">
        <f>IF($AD184="",DATE(1900,1,1),$AD184)</f>
        <v/>
      </c>
      <c r="AG184" s="35">
        <f>IF($AE184="",DATE(2100,12,31),$AE184)</f>
        <v/>
      </c>
      <c r="AH184" s="22">
        <f>IF($C184="","",IFERROR(IF(INDEX(Deals!$AG$2:$AG$355,MATCH($C184,Deals!$A$2:$A$355,0))=0,"",INDEX(Deals!$AG$2:$AG$355,MATCH($C184,Deals!$A$2:$A$355,0))),""))</f>
        <v/>
      </c>
      <c r="AI184" s="35">
        <f>IF(OR($AH184&lt;&gt;"",AND($AO184&gt;0,$AD184&lt;&gt;"",$AE184&lt;&gt;"")),$AF184,DATE(1900,1,1))</f>
        <v/>
      </c>
      <c r="AJ184" s="35">
        <f>IF($AH184&lt;&gt;"",$AH184,IF(AND($AO184&gt;0,$AD184&lt;&gt;"",$AE184&lt;&gt;""),$AG184,DATE(2100,12,31)))</f>
        <v/>
      </c>
      <c r="AK184" s="32">
        <f>IF($AH184="",$AC184,$AC184*$S184)</f>
        <v/>
      </c>
      <c r="AL184" s="35">
        <f>IF($AH184="",DATE(2100,12,31),$AH184+1)</f>
        <v/>
      </c>
      <c r="AM184" s="35">
        <f>IF($AH184="",DATE(1900,1,1),$AG184)</f>
        <v/>
      </c>
      <c r="AN184" s="32">
        <f>IF($AH184="",0,$AC184*$T184)</f>
        <v/>
      </c>
      <c r="AO184" s="46">
        <f>IF($C184="",0,IFERROR(INDEX(Deals!$BD$2:$BD$355,MATCH($C184,Deals!$A$2:$A$355,0)),0))</f>
        <v/>
      </c>
      <c r="AP184" s="18">
        <f>IF($AO184=0,0,IFERROR(INDEX(Deals!$BJ$2:$BP$355,MATCH($C184,Deals!$A$2:$A$355,0),MATCH($F184,Deals!$BJ$1:$BP$1,0))/COUNTIFS(Assignments!$C$2:$C$769,$C184,Assignments!$F$2:$F$769,$F184,Assignments!$G$2:$G$769,"Active"),0))</f>
        <v/>
      </c>
    </row>
    <row r="185">
      <c r="A185" s="28" t="inlineStr">
        <is>
          <t>Jeremy</t>
        </is>
      </c>
      <c r="B185" s="16">
        <f>IF($A185="","",IFERROR(INDEX(Roster!$B$2:$B$40,MATCH($A185,Roster!$A$2:$A$40,0)),"?"))</f>
        <v/>
      </c>
      <c r="C185" s="28" t="inlineStr">
        <is>
          <t>Dupont_1</t>
        </is>
      </c>
      <c r="D185" s="16">
        <f>IF($C185="","",IFERROR(IF(INDEX(Deals!$C$2:$C$355,MATCH($C185,Deals!$A$2:$A$355,0))=0,"",INDEX(Deals!$C$2:$C$355,MATCH($C185,Deals!$A$2:$A$355,0))),"?"))</f>
        <v/>
      </c>
      <c r="E185" s="16">
        <f>IF($C185="","",IFERROR(INDEX(Deals!$F$2:$F$355,MATCH($C185,Deals!$A$2:$A$355,0)),"?"))</f>
        <v/>
      </c>
      <c r="F185" s="28" t="inlineStr">
        <is>
          <t>MD</t>
        </is>
      </c>
      <c r="G185" s="28" t="inlineStr">
        <is>
          <t>Active</t>
        </is>
      </c>
      <c r="H185" s="31" t="n"/>
      <c r="I185" s="32">
        <f>IF(OR($A185="",$G185&lt;&gt;"Active"),0,IF($H185&lt;&gt;"",$H185,IF($AO185&gt;0,$AP185,IF(AND($R185&lt;&gt;"",IFERROR(INDEX(Templates!$B$3:$H$10,MATCH($R185,Templates!$A$3:$A$10,0),MATCH($F185,Templates!$B$2:$H$2,0)),0)&gt;0),INDEX(Templates!$B$3:$H$10,MATCH($R185,Templates!$A$3:$A$10,0),MATCH($F185,Templates!$B$2:$H$2,0)),IFERROR(INDEX(Settings!$B$8:$B$14,MATCH($F185,Settings!$A$8:$A$14,0)),0)))))</f>
        <v/>
      </c>
      <c r="J185" s="21">
        <f>IF($C185="",0,IFERROR(INDEX(Deals!$H$2:$H$355,MATCH($C185,Deals!$A$2:$A$355,0)),0))</f>
        <v/>
      </c>
      <c r="K185" s="32">
        <f>IF(Settings!$B$4="Yes",$I185*$J185,$I185)</f>
        <v/>
      </c>
      <c r="L185" s="22">
        <f>IF($C185="","",IFERROR(IF(INDEX(Deals!$I$2:$I$355,MATCH($C185,Deals!$A$2:$A$355,0))=0,"",INDEX(Deals!$I$2:$I$355,MATCH($C185,Deals!$A$2:$A$355,0))),""))</f>
        <v/>
      </c>
      <c r="M185" s="22">
        <f>IF($C185="","",IFERROR(IF(INDEX(Deals!$J$2:$J$355,MATCH($C185,Deals!$A$2:$A$355,0))=0,"",INDEX(Deals!$J$2:$J$355,MATCH($C185,Deals!$A$2:$A$355,0))),""))</f>
        <v/>
      </c>
      <c r="N185" s="35">
        <f>IF($L185="",DATE(1900,1,1),$L185)</f>
        <v/>
      </c>
      <c r="O185" s="35">
        <f>IF($M185="",DATE(2100,12,31),$M185)</f>
        <v/>
      </c>
      <c r="P185" s="20" t="inlineStr"/>
      <c r="Q185" s="47" t="inlineStr"/>
      <c r="R185" s="16">
        <f>IF($C185="","",IFERROR(IF(INDEX(Deals!$U$2:$U$355,MATCH($C185,Deals!$A$2:$A$355,0))=0,"",INDEX(Deals!$U$2:$U$355,MATCH($C185,Deals!$A$2:$A$355,0))),""))</f>
        <v/>
      </c>
      <c r="S185" s="34">
        <f>IFERROR(IF($U185="",1,INDEX(Deals!$V$2:$V$355,MATCH($C185,Deals!$A$2:$A$355,0))),1)</f>
        <v/>
      </c>
      <c r="T185" s="34">
        <f>IFERROR(IF($U185="",1,INDEX(Deals!$W$2:$W$355,MATCH($C185,Deals!$A$2:$A$355,0))),1)</f>
        <v/>
      </c>
      <c r="U185" s="22">
        <f>IF($C185="","",IFERROR(IF(INDEX(Deals!$Y$2:$Y$355,MATCH($C185,Deals!$A$2:$A$355,0))=0,"",INDEX(Deals!$Y$2:$Y$355,MATCH($C185,Deals!$A$2:$A$355,0))),""))</f>
        <v/>
      </c>
      <c r="V185" s="35">
        <f>IF(OR($U185&lt;&gt;"",AND($AO185&gt;0,$L185&lt;&gt;"",$M185&lt;&gt;"")),$N185,DATE(1900,1,1))</f>
        <v/>
      </c>
      <c r="W185" s="35">
        <f>IF($U185&lt;&gt;"",$U185,IF(AND($AO185&gt;0,$L185&lt;&gt;"",$M185&lt;&gt;""),$O185,DATE(2100,12,31)))</f>
        <v/>
      </c>
      <c r="X185" s="32">
        <f>IF($U185="",$K185,$K185*$S185)</f>
        <v/>
      </c>
      <c r="Y185" s="35">
        <f>IF($U185="",DATE(2100,12,31),$U185+1)</f>
        <v/>
      </c>
      <c r="Z185" s="35">
        <f>IF($U185="",DATE(1900,1,1),$O185)</f>
        <v/>
      </c>
      <c r="AA185" s="32">
        <f>IF($U185="",0,$K185*$T185)</f>
        <v/>
      </c>
      <c r="AB185" s="21">
        <f>IF($C185="",0,IFERROR(INDEX(Deals!$AD$2:$AD$355,MATCH($C185,Deals!$A$2:$A$355,0)),0))</f>
        <v/>
      </c>
      <c r="AC185" s="32">
        <f>IF(Settings!$B$4="Yes",$I185*$AB185,$I185)</f>
        <v/>
      </c>
      <c r="AD185" s="22">
        <f>IF($C185="","",IFERROR(IF(INDEX(Deals!$AE$2:$AE$355,MATCH($C185,Deals!$A$2:$A$355,0))=0,"",INDEX(Deals!$AE$2:$AE$355,MATCH($C185,Deals!$A$2:$A$355,0))),""))</f>
        <v/>
      </c>
      <c r="AE185" s="22">
        <f>IF($C185="","",IFERROR(IF(INDEX(Deals!$AF$2:$AF$355,MATCH($C185,Deals!$A$2:$A$355,0))=0,"",INDEX(Deals!$AF$2:$AF$355,MATCH($C185,Deals!$A$2:$A$355,0))),""))</f>
        <v/>
      </c>
      <c r="AF185" s="35">
        <f>IF($AD185="",DATE(1900,1,1),$AD185)</f>
        <v/>
      </c>
      <c r="AG185" s="35">
        <f>IF($AE185="",DATE(2100,12,31),$AE185)</f>
        <v/>
      </c>
      <c r="AH185" s="22">
        <f>IF($C185="","",IFERROR(IF(INDEX(Deals!$AG$2:$AG$355,MATCH($C185,Deals!$A$2:$A$355,0))=0,"",INDEX(Deals!$AG$2:$AG$355,MATCH($C185,Deals!$A$2:$A$355,0))),""))</f>
        <v/>
      </c>
      <c r="AI185" s="35">
        <f>IF(OR($AH185&lt;&gt;"",AND($AO185&gt;0,$AD185&lt;&gt;"",$AE185&lt;&gt;"")),$AF185,DATE(1900,1,1))</f>
        <v/>
      </c>
      <c r="AJ185" s="35">
        <f>IF($AH185&lt;&gt;"",$AH185,IF(AND($AO185&gt;0,$AD185&lt;&gt;"",$AE185&lt;&gt;""),$AG185,DATE(2100,12,31)))</f>
        <v/>
      </c>
      <c r="AK185" s="32">
        <f>IF($AH185="",$AC185,$AC185*$S185)</f>
        <v/>
      </c>
      <c r="AL185" s="35">
        <f>IF($AH185="",DATE(2100,12,31),$AH185+1)</f>
        <v/>
      </c>
      <c r="AM185" s="35">
        <f>IF($AH185="",DATE(1900,1,1),$AG185)</f>
        <v/>
      </c>
      <c r="AN185" s="32">
        <f>IF($AH185="",0,$AC185*$T185)</f>
        <v/>
      </c>
      <c r="AO185" s="46">
        <f>IF($C185="",0,IFERROR(INDEX(Deals!$BD$2:$BD$355,MATCH($C185,Deals!$A$2:$A$355,0)),0))</f>
        <v/>
      </c>
      <c r="AP185" s="18">
        <f>IF($AO185=0,0,IFERROR(INDEX(Deals!$BJ$2:$BP$355,MATCH($C185,Deals!$A$2:$A$355,0),MATCH($F185,Deals!$BJ$1:$BP$1,0))/COUNTIFS(Assignments!$C$2:$C$769,$C185,Assignments!$F$2:$F$769,$F185,Assignments!$G$2:$G$769,"Active"),0))</f>
        <v/>
      </c>
    </row>
    <row r="186">
      <c r="A186" s="28" t="inlineStr">
        <is>
          <t>Jeremy</t>
        </is>
      </c>
      <c r="B186" s="16">
        <f>IF($A186="","",IFERROR(INDEX(Roster!$B$2:$B$40,MATCH($A186,Roster!$A$2:$A$40,0)),"?"))</f>
        <v/>
      </c>
      <c r="C186" s="28" t="inlineStr">
        <is>
          <t>Eagle_7</t>
        </is>
      </c>
      <c r="D186" s="16">
        <f>IF($C186="","",IFERROR(IF(INDEX(Deals!$C$2:$C$355,MATCH($C186,Deals!$A$2:$A$355,0))=0,"",INDEX(Deals!$C$2:$C$355,MATCH($C186,Deals!$A$2:$A$355,0))),"?"))</f>
        <v/>
      </c>
      <c r="E186" s="16">
        <f>IF($C186="","",IFERROR(INDEX(Deals!$F$2:$F$355,MATCH($C186,Deals!$A$2:$A$355,0)),"?"))</f>
        <v/>
      </c>
      <c r="F186" s="28" t="inlineStr">
        <is>
          <t>MD</t>
        </is>
      </c>
      <c r="G186" s="28" t="inlineStr">
        <is>
          <t>Active</t>
        </is>
      </c>
      <c r="H186" s="31" t="n"/>
      <c r="I186" s="32">
        <f>IF(OR($A186="",$G186&lt;&gt;"Active"),0,IF($H186&lt;&gt;"",$H186,IF($AO186&gt;0,$AP186,IF(AND($R186&lt;&gt;"",IFERROR(INDEX(Templates!$B$3:$H$10,MATCH($R186,Templates!$A$3:$A$10,0),MATCH($F186,Templates!$B$2:$H$2,0)),0)&gt;0),INDEX(Templates!$B$3:$H$10,MATCH($R186,Templates!$A$3:$A$10,0),MATCH($F186,Templates!$B$2:$H$2,0)),IFERROR(INDEX(Settings!$B$8:$B$14,MATCH($F186,Settings!$A$8:$A$14,0)),0)))))</f>
        <v/>
      </c>
      <c r="J186" s="21">
        <f>IF($C186="",0,IFERROR(INDEX(Deals!$H$2:$H$355,MATCH($C186,Deals!$A$2:$A$355,0)),0))</f>
        <v/>
      </c>
      <c r="K186" s="32">
        <f>IF(Settings!$B$4="Yes",$I186*$J186,$I186)</f>
        <v/>
      </c>
      <c r="L186" s="22">
        <f>IF($C186="","",IFERROR(IF(INDEX(Deals!$I$2:$I$355,MATCH($C186,Deals!$A$2:$A$355,0))=0,"",INDEX(Deals!$I$2:$I$355,MATCH($C186,Deals!$A$2:$A$355,0))),""))</f>
        <v/>
      </c>
      <c r="M186" s="22">
        <f>IF($C186="","",IFERROR(IF(INDEX(Deals!$J$2:$J$355,MATCH($C186,Deals!$A$2:$A$355,0))=0,"",INDEX(Deals!$J$2:$J$355,MATCH($C186,Deals!$A$2:$A$355,0))),""))</f>
        <v/>
      </c>
      <c r="N186" s="35">
        <f>IF($L186="",DATE(1900,1,1),$L186)</f>
        <v/>
      </c>
      <c r="O186" s="35">
        <f>IF($M186="",DATE(2100,12,31),$M186)</f>
        <v/>
      </c>
      <c r="P186" s="20" t="inlineStr"/>
      <c r="Q186" s="47" t="inlineStr"/>
      <c r="R186" s="16">
        <f>IF($C186="","",IFERROR(IF(INDEX(Deals!$U$2:$U$355,MATCH($C186,Deals!$A$2:$A$355,0))=0,"",INDEX(Deals!$U$2:$U$355,MATCH($C186,Deals!$A$2:$A$355,0))),""))</f>
        <v/>
      </c>
      <c r="S186" s="34">
        <f>IFERROR(IF($U186="",1,INDEX(Deals!$V$2:$V$355,MATCH($C186,Deals!$A$2:$A$355,0))),1)</f>
        <v/>
      </c>
      <c r="T186" s="34">
        <f>IFERROR(IF($U186="",1,INDEX(Deals!$W$2:$W$355,MATCH($C186,Deals!$A$2:$A$355,0))),1)</f>
        <v/>
      </c>
      <c r="U186" s="22">
        <f>IF($C186="","",IFERROR(IF(INDEX(Deals!$Y$2:$Y$355,MATCH($C186,Deals!$A$2:$A$355,0))=0,"",INDEX(Deals!$Y$2:$Y$355,MATCH($C186,Deals!$A$2:$A$355,0))),""))</f>
        <v/>
      </c>
      <c r="V186" s="35">
        <f>IF(OR($U186&lt;&gt;"",AND($AO186&gt;0,$L186&lt;&gt;"",$M186&lt;&gt;"")),$N186,DATE(1900,1,1))</f>
        <v/>
      </c>
      <c r="W186" s="35">
        <f>IF($U186&lt;&gt;"",$U186,IF(AND($AO186&gt;0,$L186&lt;&gt;"",$M186&lt;&gt;""),$O186,DATE(2100,12,31)))</f>
        <v/>
      </c>
      <c r="X186" s="32">
        <f>IF($U186="",$K186,$K186*$S186)</f>
        <v/>
      </c>
      <c r="Y186" s="35">
        <f>IF($U186="",DATE(2100,12,31),$U186+1)</f>
        <v/>
      </c>
      <c r="Z186" s="35">
        <f>IF($U186="",DATE(1900,1,1),$O186)</f>
        <v/>
      </c>
      <c r="AA186" s="32">
        <f>IF($U186="",0,$K186*$T186)</f>
        <v/>
      </c>
      <c r="AB186" s="21">
        <f>IF($C186="",0,IFERROR(INDEX(Deals!$AD$2:$AD$355,MATCH($C186,Deals!$A$2:$A$355,0)),0))</f>
        <v/>
      </c>
      <c r="AC186" s="32">
        <f>IF(Settings!$B$4="Yes",$I186*$AB186,$I186)</f>
        <v/>
      </c>
      <c r="AD186" s="22">
        <f>IF($C186="","",IFERROR(IF(INDEX(Deals!$AE$2:$AE$355,MATCH($C186,Deals!$A$2:$A$355,0))=0,"",INDEX(Deals!$AE$2:$AE$355,MATCH($C186,Deals!$A$2:$A$355,0))),""))</f>
        <v/>
      </c>
      <c r="AE186" s="22">
        <f>IF($C186="","",IFERROR(IF(INDEX(Deals!$AF$2:$AF$355,MATCH($C186,Deals!$A$2:$A$355,0))=0,"",INDEX(Deals!$AF$2:$AF$355,MATCH($C186,Deals!$A$2:$A$355,0))),""))</f>
        <v/>
      </c>
      <c r="AF186" s="35">
        <f>IF($AD186="",DATE(1900,1,1),$AD186)</f>
        <v/>
      </c>
      <c r="AG186" s="35">
        <f>IF($AE186="",DATE(2100,12,31),$AE186)</f>
        <v/>
      </c>
      <c r="AH186" s="22">
        <f>IF($C186="","",IFERROR(IF(INDEX(Deals!$AG$2:$AG$355,MATCH($C186,Deals!$A$2:$A$355,0))=0,"",INDEX(Deals!$AG$2:$AG$355,MATCH($C186,Deals!$A$2:$A$355,0))),""))</f>
        <v/>
      </c>
      <c r="AI186" s="35">
        <f>IF(OR($AH186&lt;&gt;"",AND($AO186&gt;0,$AD186&lt;&gt;"",$AE186&lt;&gt;"")),$AF186,DATE(1900,1,1))</f>
        <v/>
      </c>
      <c r="AJ186" s="35">
        <f>IF($AH186&lt;&gt;"",$AH186,IF(AND($AO186&gt;0,$AD186&lt;&gt;"",$AE186&lt;&gt;""),$AG186,DATE(2100,12,31)))</f>
        <v/>
      </c>
      <c r="AK186" s="32">
        <f>IF($AH186="",$AC186,$AC186*$S186)</f>
        <v/>
      </c>
      <c r="AL186" s="35">
        <f>IF($AH186="",DATE(2100,12,31),$AH186+1)</f>
        <v/>
      </c>
      <c r="AM186" s="35">
        <f>IF($AH186="",DATE(1900,1,1),$AG186)</f>
        <v/>
      </c>
      <c r="AN186" s="32">
        <f>IF($AH186="",0,$AC186*$T186)</f>
        <v/>
      </c>
      <c r="AO186" s="46">
        <f>IF($C186="",0,IFERROR(INDEX(Deals!$BD$2:$BD$355,MATCH($C186,Deals!$A$2:$A$355,0)),0))</f>
        <v/>
      </c>
      <c r="AP186" s="18">
        <f>IF($AO186=0,0,IFERROR(INDEX(Deals!$BJ$2:$BP$355,MATCH($C186,Deals!$A$2:$A$355,0),MATCH($F186,Deals!$BJ$1:$BP$1,0))/COUNTIFS(Assignments!$C$2:$C$769,$C186,Assignments!$F$2:$F$769,$F186,Assignments!$G$2:$G$769,"Active"),0))</f>
        <v/>
      </c>
    </row>
    <row r="187">
      <c r="A187" s="28" t="inlineStr">
        <is>
          <t>Jeremy</t>
        </is>
      </c>
      <c r="B187" s="16">
        <f>IF($A187="","",IFERROR(INDEX(Roster!$B$2:$B$40,MATCH($A187,Roster!$A$2:$A$40,0)),"?"))</f>
        <v/>
      </c>
      <c r="C187" s="28" t="inlineStr">
        <is>
          <t>Elm_2</t>
        </is>
      </c>
      <c r="D187" s="16">
        <f>IF($C187="","",IFERROR(IF(INDEX(Deals!$C$2:$C$355,MATCH($C187,Deals!$A$2:$A$355,0))=0,"",INDEX(Deals!$C$2:$C$355,MATCH($C187,Deals!$A$2:$A$355,0))),"?"))</f>
        <v/>
      </c>
      <c r="E187" s="16">
        <f>IF($C187="","",IFERROR(INDEX(Deals!$F$2:$F$355,MATCH($C187,Deals!$A$2:$A$355,0)),"?"))</f>
        <v/>
      </c>
      <c r="F187" s="28" t="inlineStr">
        <is>
          <t>MD</t>
        </is>
      </c>
      <c r="G187" s="28" t="inlineStr">
        <is>
          <t>Active</t>
        </is>
      </c>
      <c r="H187" s="31" t="n"/>
      <c r="I187" s="32">
        <f>IF(OR($A187="",$G187&lt;&gt;"Active"),0,IF($H187&lt;&gt;"",$H187,IF($AO187&gt;0,$AP187,IF(AND($R187&lt;&gt;"",IFERROR(INDEX(Templates!$B$3:$H$10,MATCH($R187,Templates!$A$3:$A$10,0),MATCH($F187,Templates!$B$2:$H$2,0)),0)&gt;0),INDEX(Templates!$B$3:$H$10,MATCH($R187,Templates!$A$3:$A$10,0),MATCH($F187,Templates!$B$2:$H$2,0)),IFERROR(INDEX(Settings!$B$8:$B$14,MATCH($F187,Settings!$A$8:$A$14,0)),0)))))</f>
        <v/>
      </c>
      <c r="J187" s="21">
        <f>IF($C187="",0,IFERROR(INDEX(Deals!$H$2:$H$355,MATCH($C187,Deals!$A$2:$A$355,0)),0))</f>
        <v/>
      </c>
      <c r="K187" s="32">
        <f>IF(Settings!$B$4="Yes",$I187*$J187,$I187)</f>
        <v/>
      </c>
      <c r="L187" s="22">
        <f>IF($C187="","",IFERROR(IF(INDEX(Deals!$I$2:$I$355,MATCH($C187,Deals!$A$2:$A$355,0))=0,"",INDEX(Deals!$I$2:$I$355,MATCH($C187,Deals!$A$2:$A$355,0))),""))</f>
        <v/>
      </c>
      <c r="M187" s="22">
        <f>IF($C187="","",IFERROR(IF(INDEX(Deals!$J$2:$J$355,MATCH($C187,Deals!$A$2:$A$355,0))=0,"",INDEX(Deals!$J$2:$J$355,MATCH($C187,Deals!$A$2:$A$355,0))),""))</f>
        <v/>
      </c>
      <c r="N187" s="35">
        <f>IF($L187="",DATE(1900,1,1),$L187)</f>
        <v/>
      </c>
      <c r="O187" s="35">
        <f>IF($M187="",DATE(2100,12,31),$M187)</f>
        <v/>
      </c>
      <c r="P187" s="20" t="inlineStr"/>
      <c r="Q187" s="47" t="inlineStr"/>
      <c r="R187" s="16">
        <f>IF($C187="","",IFERROR(IF(INDEX(Deals!$U$2:$U$355,MATCH($C187,Deals!$A$2:$A$355,0))=0,"",INDEX(Deals!$U$2:$U$355,MATCH($C187,Deals!$A$2:$A$355,0))),""))</f>
        <v/>
      </c>
      <c r="S187" s="34">
        <f>IFERROR(IF($U187="",1,INDEX(Deals!$V$2:$V$355,MATCH($C187,Deals!$A$2:$A$355,0))),1)</f>
        <v/>
      </c>
      <c r="T187" s="34">
        <f>IFERROR(IF($U187="",1,INDEX(Deals!$W$2:$W$355,MATCH($C187,Deals!$A$2:$A$355,0))),1)</f>
        <v/>
      </c>
      <c r="U187" s="22">
        <f>IF($C187="","",IFERROR(IF(INDEX(Deals!$Y$2:$Y$355,MATCH($C187,Deals!$A$2:$A$355,0))=0,"",INDEX(Deals!$Y$2:$Y$355,MATCH($C187,Deals!$A$2:$A$355,0))),""))</f>
        <v/>
      </c>
      <c r="V187" s="35">
        <f>IF(OR($U187&lt;&gt;"",AND($AO187&gt;0,$L187&lt;&gt;"",$M187&lt;&gt;"")),$N187,DATE(1900,1,1))</f>
        <v/>
      </c>
      <c r="W187" s="35">
        <f>IF($U187&lt;&gt;"",$U187,IF(AND($AO187&gt;0,$L187&lt;&gt;"",$M187&lt;&gt;""),$O187,DATE(2100,12,31)))</f>
        <v/>
      </c>
      <c r="X187" s="32">
        <f>IF($U187="",$K187,$K187*$S187)</f>
        <v/>
      </c>
      <c r="Y187" s="35">
        <f>IF($U187="",DATE(2100,12,31),$U187+1)</f>
        <v/>
      </c>
      <c r="Z187" s="35">
        <f>IF($U187="",DATE(1900,1,1),$O187)</f>
        <v/>
      </c>
      <c r="AA187" s="32">
        <f>IF($U187="",0,$K187*$T187)</f>
        <v/>
      </c>
      <c r="AB187" s="21">
        <f>IF($C187="",0,IFERROR(INDEX(Deals!$AD$2:$AD$355,MATCH($C187,Deals!$A$2:$A$355,0)),0))</f>
        <v/>
      </c>
      <c r="AC187" s="32">
        <f>IF(Settings!$B$4="Yes",$I187*$AB187,$I187)</f>
        <v/>
      </c>
      <c r="AD187" s="22">
        <f>IF($C187="","",IFERROR(IF(INDEX(Deals!$AE$2:$AE$355,MATCH($C187,Deals!$A$2:$A$355,0))=0,"",INDEX(Deals!$AE$2:$AE$355,MATCH($C187,Deals!$A$2:$A$355,0))),""))</f>
        <v/>
      </c>
      <c r="AE187" s="22">
        <f>IF($C187="","",IFERROR(IF(INDEX(Deals!$AF$2:$AF$355,MATCH($C187,Deals!$A$2:$A$355,0))=0,"",INDEX(Deals!$AF$2:$AF$355,MATCH($C187,Deals!$A$2:$A$355,0))),""))</f>
        <v/>
      </c>
      <c r="AF187" s="35">
        <f>IF($AD187="",DATE(1900,1,1),$AD187)</f>
        <v/>
      </c>
      <c r="AG187" s="35">
        <f>IF($AE187="",DATE(2100,12,31),$AE187)</f>
        <v/>
      </c>
      <c r="AH187" s="22">
        <f>IF($C187="","",IFERROR(IF(INDEX(Deals!$AG$2:$AG$355,MATCH($C187,Deals!$A$2:$A$355,0))=0,"",INDEX(Deals!$AG$2:$AG$355,MATCH($C187,Deals!$A$2:$A$355,0))),""))</f>
        <v/>
      </c>
      <c r="AI187" s="35">
        <f>IF(OR($AH187&lt;&gt;"",AND($AO187&gt;0,$AD187&lt;&gt;"",$AE187&lt;&gt;"")),$AF187,DATE(1900,1,1))</f>
        <v/>
      </c>
      <c r="AJ187" s="35">
        <f>IF($AH187&lt;&gt;"",$AH187,IF(AND($AO187&gt;0,$AD187&lt;&gt;"",$AE187&lt;&gt;""),$AG187,DATE(2100,12,31)))</f>
        <v/>
      </c>
      <c r="AK187" s="32">
        <f>IF($AH187="",$AC187,$AC187*$S187)</f>
        <v/>
      </c>
      <c r="AL187" s="35">
        <f>IF($AH187="",DATE(2100,12,31),$AH187+1)</f>
        <v/>
      </c>
      <c r="AM187" s="35">
        <f>IF($AH187="",DATE(1900,1,1),$AG187)</f>
        <v/>
      </c>
      <c r="AN187" s="32">
        <f>IF($AH187="",0,$AC187*$T187)</f>
        <v/>
      </c>
      <c r="AO187" s="46">
        <f>IF($C187="",0,IFERROR(INDEX(Deals!$BD$2:$BD$355,MATCH($C187,Deals!$A$2:$A$355,0)),0))</f>
        <v/>
      </c>
      <c r="AP187" s="18">
        <f>IF($AO187=0,0,IFERROR(INDEX(Deals!$BJ$2:$BP$355,MATCH($C187,Deals!$A$2:$A$355,0),MATCH($F187,Deals!$BJ$1:$BP$1,0))/COUNTIFS(Assignments!$C$2:$C$769,$C187,Assignments!$F$2:$F$769,$F187,Assignments!$G$2:$G$769,"Active"),0))</f>
        <v/>
      </c>
    </row>
    <row r="188">
      <c r="A188" s="28" t="inlineStr">
        <is>
          <t>Jeremy</t>
        </is>
      </c>
      <c r="B188" s="16">
        <f>IF($A188="","",IFERROR(INDEX(Roster!$B$2:$B$40,MATCH($A188,Roster!$A$2:$A$40,0)),"?"))</f>
        <v/>
      </c>
      <c r="C188" s="28" t="inlineStr">
        <is>
          <t>Gambit_1</t>
        </is>
      </c>
      <c r="D188" s="16">
        <f>IF($C188="","",IFERROR(IF(INDEX(Deals!$C$2:$C$355,MATCH($C188,Deals!$A$2:$A$355,0))=0,"",INDEX(Deals!$C$2:$C$355,MATCH($C188,Deals!$A$2:$A$355,0))),"?"))</f>
        <v/>
      </c>
      <c r="E188" s="16">
        <f>IF($C188="","",IFERROR(INDEX(Deals!$F$2:$F$355,MATCH($C188,Deals!$A$2:$A$355,0)),"?"))</f>
        <v/>
      </c>
      <c r="F188" s="28" t="inlineStr">
        <is>
          <t>MD</t>
        </is>
      </c>
      <c r="G188" s="28" t="inlineStr">
        <is>
          <t>Active</t>
        </is>
      </c>
      <c r="H188" s="31" t="n"/>
      <c r="I188" s="32">
        <f>IF(OR($A188="",$G188&lt;&gt;"Active"),0,IF($H188&lt;&gt;"",$H188,IF($AO188&gt;0,$AP188,IF(AND($R188&lt;&gt;"",IFERROR(INDEX(Templates!$B$3:$H$10,MATCH($R188,Templates!$A$3:$A$10,0),MATCH($F188,Templates!$B$2:$H$2,0)),0)&gt;0),INDEX(Templates!$B$3:$H$10,MATCH($R188,Templates!$A$3:$A$10,0),MATCH($F188,Templates!$B$2:$H$2,0)),IFERROR(INDEX(Settings!$B$8:$B$14,MATCH($F188,Settings!$A$8:$A$14,0)),0)))))</f>
        <v/>
      </c>
      <c r="J188" s="21">
        <f>IF($C188="",0,IFERROR(INDEX(Deals!$H$2:$H$355,MATCH($C188,Deals!$A$2:$A$355,0)),0))</f>
        <v/>
      </c>
      <c r="K188" s="32">
        <f>IF(Settings!$B$4="Yes",$I188*$J188,$I188)</f>
        <v/>
      </c>
      <c r="L188" s="22">
        <f>IF($C188="","",IFERROR(IF(INDEX(Deals!$I$2:$I$355,MATCH($C188,Deals!$A$2:$A$355,0))=0,"",INDEX(Deals!$I$2:$I$355,MATCH($C188,Deals!$A$2:$A$355,0))),""))</f>
        <v/>
      </c>
      <c r="M188" s="22">
        <f>IF($C188="","",IFERROR(IF(INDEX(Deals!$J$2:$J$355,MATCH($C188,Deals!$A$2:$A$355,0))=0,"",INDEX(Deals!$J$2:$J$355,MATCH($C188,Deals!$A$2:$A$355,0))),""))</f>
        <v/>
      </c>
      <c r="N188" s="35">
        <f>IF($L188="",DATE(1900,1,1),$L188)</f>
        <v/>
      </c>
      <c r="O188" s="35">
        <f>IF($M188="",DATE(2100,12,31),$M188)</f>
        <v/>
      </c>
      <c r="P188" s="20" t="inlineStr"/>
      <c r="Q188" s="47" t="inlineStr"/>
      <c r="R188" s="16">
        <f>IF($C188="","",IFERROR(IF(INDEX(Deals!$U$2:$U$355,MATCH($C188,Deals!$A$2:$A$355,0))=0,"",INDEX(Deals!$U$2:$U$355,MATCH($C188,Deals!$A$2:$A$355,0))),""))</f>
        <v/>
      </c>
      <c r="S188" s="34">
        <f>IFERROR(IF($U188="",1,INDEX(Deals!$V$2:$V$355,MATCH($C188,Deals!$A$2:$A$355,0))),1)</f>
        <v/>
      </c>
      <c r="T188" s="34">
        <f>IFERROR(IF($U188="",1,INDEX(Deals!$W$2:$W$355,MATCH($C188,Deals!$A$2:$A$355,0))),1)</f>
        <v/>
      </c>
      <c r="U188" s="22">
        <f>IF($C188="","",IFERROR(IF(INDEX(Deals!$Y$2:$Y$355,MATCH($C188,Deals!$A$2:$A$355,0))=0,"",INDEX(Deals!$Y$2:$Y$355,MATCH($C188,Deals!$A$2:$A$355,0))),""))</f>
        <v/>
      </c>
      <c r="V188" s="35">
        <f>IF(OR($U188&lt;&gt;"",AND($AO188&gt;0,$L188&lt;&gt;"",$M188&lt;&gt;"")),$N188,DATE(1900,1,1))</f>
        <v/>
      </c>
      <c r="W188" s="35">
        <f>IF($U188&lt;&gt;"",$U188,IF(AND($AO188&gt;0,$L188&lt;&gt;"",$M188&lt;&gt;""),$O188,DATE(2100,12,31)))</f>
        <v/>
      </c>
      <c r="X188" s="32">
        <f>IF($U188="",$K188,$K188*$S188)</f>
        <v/>
      </c>
      <c r="Y188" s="35">
        <f>IF($U188="",DATE(2100,12,31),$U188+1)</f>
        <v/>
      </c>
      <c r="Z188" s="35">
        <f>IF($U188="",DATE(1900,1,1),$O188)</f>
        <v/>
      </c>
      <c r="AA188" s="32">
        <f>IF($U188="",0,$K188*$T188)</f>
        <v/>
      </c>
      <c r="AB188" s="21">
        <f>IF($C188="",0,IFERROR(INDEX(Deals!$AD$2:$AD$355,MATCH($C188,Deals!$A$2:$A$355,0)),0))</f>
        <v/>
      </c>
      <c r="AC188" s="32">
        <f>IF(Settings!$B$4="Yes",$I188*$AB188,$I188)</f>
        <v/>
      </c>
      <c r="AD188" s="22">
        <f>IF($C188="","",IFERROR(IF(INDEX(Deals!$AE$2:$AE$355,MATCH($C188,Deals!$A$2:$A$355,0))=0,"",INDEX(Deals!$AE$2:$AE$355,MATCH($C188,Deals!$A$2:$A$355,0))),""))</f>
        <v/>
      </c>
      <c r="AE188" s="22">
        <f>IF($C188="","",IFERROR(IF(INDEX(Deals!$AF$2:$AF$355,MATCH($C188,Deals!$A$2:$A$355,0))=0,"",INDEX(Deals!$AF$2:$AF$355,MATCH($C188,Deals!$A$2:$A$355,0))),""))</f>
        <v/>
      </c>
      <c r="AF188" s="35">
        <f>IF($AD188="",DATE(1900,1,1),$AD188)</f>
        <v/>
      </c>
      <c r="AG188" s="35">
        <f>IF($AE188="",DATE(2100,12,31),$AE188)</f>
        <v/>
      </c>
      <c r="AH188" s="22">
        <f>IF($C188="","",IFERROR(IF(INDEX(Deals!$AG$2:$AG$355,MATCH($C188,Deals!$A$2:$A$355,0))=0,"",INDEX(Deals!$AG$2:$AG$355,MATCH($C188,Deals!$A$2:$A$355,0))),""))</f>
        <v/>
      </c>
      <c r="AI188" s="35">
        <f>IF(OR($AH188&lt;&gt;"",AND($AO188&gt;0,$AD188&lt;&gt;"",$AE188&lt;&gt;"")),$AF188,DATE(1900,1,1))</f>
        <v/>
      </c>
      <c r="AJ188" s="35">
        <f>IF($AH188&lt;&gt;"",$AH188,IF(AND($AO188&gt;0,$AD188&lt;&gt;"",$AE188&lt;&gt;""),$AG188,DATE(2100,12,31)))</f>
        <v/>
      </c>
      <c r="AK188" s="32">
        <f>IF($AH188="",$AC188,$AC188*$S188)</f>
        <v/>
      </c>
      <c r="AL188" s="35">
        <f>IF($AH188="",DATE(2100,12,31),$AH188+1)</f>
        <v/>
      </c>
      <c r="AM188" s="35">
        <f>IF($AH188="",DATE(1900,1,1),$AG188)</f>
        <v/>
      </c>
      <c r="AN188" s="32">
        <f>IF($AH188="",0,$AC188*$T188)</f>
        <v/>
      </c>
      <c r="AO188" s="46">
        <f>IF($C188="",0,IFERROR(INDEX(Deals!$BD$2:$BD$355,MATCH($C188,Deals!$A$2:$A$355,0)),0))</f>
        <v/>
      </c>
      <c r="AP188" s="18">
        <f>IF($AO188=0,0,IFERROR(INDEX(Deals!$BJ$2:$BP$355,MATCH($C188,Deals!$A$2:$A$355,0),MATCH($F188,Deals!$BJ$1:$BP$1,0))/COUNTIFS(Assignments!$C$2:$C$769,$C188,Assignments!$F$2:$F$769,$F188,Assignments!$G$2:$G$769,"Active"),0))</f>
        <v/>
      </c>
    </row>
    <row r="189">
      <c r="A189" s="28" t="inlineStr">
        <is>
          <t>Jeremy</t>
        </is>
      </c>
      <c r="B189" s="16">
        <f>IF($A189="","",IFERROR(INDEX(Roster!$B$2:$B$40,MATCH($A189,Roster!$A$2:$A$40,0)),"?"))</f>
        <v/>
      </c>
      <c r="C189" s="28" t="inlineStr">
        <is>
          <t>Geneseo_1</t>
        </is>
      </c>
      <c r="D189" s="16">
        <f>IF($C189="","",IFERROR(IF(INDEX(Deals!$C$2:$C$355,MATCH($C189,Deals!$A$2:$A$355,0))=0,"",INDEX(Deals!$C$2:$C$355,MATCH($C189,Deals!$A$2:$A$355,0))),"?"))</f>
        <v/>
      </c>
      <c r="E189" s="16">
        <f>IF($C189="","",IFERROR(INDEX(Deals!$F$2:$F$355,MATCH($C189,Deals!$A$2:$A$355,0)),"?"))</f>
        <v/>
      </c>
      <c r="F189" s="28" t="inlineStr">
        <is>
          <t>MD</t>
        </is>
      </c>
      <c r="G189" s="28" t="inlineStr">
        <is>
          <t>Active</t>
        </is>
      </c>
      <c r="H189" s="31" t="n"/>
      <c r="I189" s="32">
        <f>IF(OR($A189="",$G189&lt;&gt;"Active"),0,IF($H189&lt;&gt;"",$H189,IF($AO189&gt;0,$AP189,IF(AND($R189&lt;&gt;"",IFERROR(INDEX(Templates!$B$3:$H$10,MATCH($R189,Templates!$A$3:$A$10,0),MATCH($F189,Templates!$B$2:$H$2,0)),0)&gt;0),INDEX(Templates!$B$3:$H$10,MATCH($R189,Templates!$A$3:$A$10,0),MATCH($F189,Templates!$B$2:$H$2,0)),IFERROR(INDEX(Settings!$B$8:$B$14,MATCH($F189,Settings!$A$8:$A$14,0)),0)))))</f>
        <v/>
      </c>
      <c r="J189" s="21">
        <f>IF($C189="",0,IFERROR(INDEX(Deals!$H$2:$H$355,MATCH($C189,Deals!$A$2:$A$355,0)),0))</f>
        <v/>
      </c>
      <c r="K189" s="32">
        <f>IF(Settings!$B$4="Yes",$I189*$J189,$I189)</f>
        <v/>
      </c>
      <c r="L189" s="22">
        <f>IF($C189="","",IFERROR(IF(INDEX(Deals!$I$2:$I$355,MATCH($C189,Deals!$A$2:$A$355,0))=0,"",INDEX(Deals!$I$2:$I$355,MATCH($C189,Deals!$A$2:$A$355,0))),""))</f>
        <v/>
      </c>
      <c r="M189" s="22">
        <f>IF($C189="","",IFERROR(IF(INDEX(Deals!$J$2:$J$355,MATCH($C189,Deals!$A$2:$A$355,0))=0,"",INDEX(Deals!$J$2:$J$355,MATCH($C189,Deals!$A$2:$A$355,0))),""))</f>
        <v/>
      </c>
      <c r="N189" s="35">
        <f>IF($L189="",DATE(1900,1,1),$L189)</f>
        <v/>
      </c>
      <c r="O189" s="35">
        <f>IF($M189="",DATE(2100,12,31),$M189)</f>
        <v/>
      </c>
      <c r="P189" s="20" t="inlineStr"/>
      <c r="Q189" s="47" t="inlineStr"/>
      <c r="R189" s="16">
        <f>IF($C189="","",IFERROR(IF(INDEX(Deals!$U$2:$U$355,MATCH($C189,Deals!$A$2:$A$355,0))=0,"",INDEX(Deals!$U$2:$U$355,MATCH($C189,Deals!$A$2:$A$355,0))),""))</f>
        <v/>
      </c>
      <c r="S189" s="34">
        <f>IFERROR(IF($U189="",1,INDEX(Deals!$V$2:$V$355,MATCH($C189,Deals!$A$2:$A$355,0))),1)</f>
        <v/>
      </c>
      <c r="T189" s="34">
        <f>IFERROR(IF($U189="",1,INDEX(Deals!$W$2:$W$355,MATCH($C189,Deals!$A$2:$A$355,0))),1)</f>
        <v/>
      </c>
      <c r="U189" s="22">
        <f>IF($C189="","",IFERROR(IF(INDEX(Deals!$Y$2:$Y$355,MATCH($C189,Deals!$A$2:$A$355,0))=0,"",INDEX(Deals!$Y$2:$Y$355,MATCH($C189,Deals!$A$2:$A$355,0))),""))</f>
        <v/>
      </c>
      <c r="V189" s="35">
        <f>IF(OR($U189&lt;&gt;"",AND($AO189&gt;0,$L189&lt;&gt;"",$M189&lt;&gt;"")),$N189,DATE(1900,1,1))</f>
        <v/>
      </c>
      <c r="W189" s="35">
        <f>IF($U189&lt;&gt;"",$U189,IF(AND($AO189&gt;0,$L189&lt;&gt;"",$M189&lt;&gt;""),$O189,DATE(2100,12,31)))</f>
        <v/>
      </c>
      <c r="X189" s="32">
        <f>IF($U189="",$K189,$K189*$S189)</f>
        <v/>
      </c>
      <c r="Y189" s="35">
        <f>IF($U189="",DATE(2100,12,31),$U189+1)</f>
        <v/>
      </c>
      <c r="Z189" s="35">
        <f>IF($U189="",DATE(1900,1,1),$O189)</f>
        <v/>
      </c>
      <c r="AA189" s="32">
        <f>IF($U189="",0,$K189*$T189)</f>
        <v/>
      </c>
      <c r="AB189" s="21">
        <f>IF($C189="",0,IFERROR(INDEX(Deals!$AD$2:$AD$355,MATCH($C189,Deals!$A$2:$A$355,0)),0))</f>
        <v/>
      </c>
      <c r="AC189" s="32">
        <f>IF(Settings!$B$4="Yes",$I189*$AB189,$I189)</f>
        <v/>
      </c>
      <c r="AD189" s="22">
        <f>IF($C189="","",IFERROR(IF(INDEX(Deals!$AE$2:$AE$355,MATCH($C189,Deals!$A$2:$A$355,0))=0,"",INDEX(Deals!$AE$2:$AE$355,MATCH($C189,Deals!$A$2:$A$355,0))),""))</f>
        <v/>
      </c>
      <c r="AE189" s="22">
        <f>IF($C189="","",IFERROR(IF(INDEX(Deals!$AF$2:$AF$355,MATCH($C189,Deals!$A$2:$A$355,0))=0,"",INDEX(Deals!$AF$2:$AF$355,MATCH($C189,Deals!$A$2:$A$355,0))),""))</f>
        <v/>
      </c>
      <c r="AF189" s="35">
        <f>IF($AD189="",DATE(1900,1,1),$AD189)</f>
        <v/>
      </c>
      <c r="AG189" s="35">
        <f>IF($AE189="",DATE(2100,12,31),$AE189)</f>
        <v/>
      </c>
      <c r="AH189" s="22">
        <f>IF($C189="","",IFERROR(IF(INDEX(Deals!$AG$2:$AG$355,MATCH($C189,Deals!$A$2:$A$355,0))=0,"",INDEX(Deals!$AG$2:$AG$355,MATCH($C189,Deals!$A$2:$A$355,0))),""))</f>
        <v/>
      </c>
      <c r="AI189" s="35">
        <f>IF(OR($AH189&lt;&gt;"",AND($AO189&gt;0,$AD189&lt;&gt;"",$AE189&lt;&gt;"")),$AF189,DATE(1900,1,1))</f>
        <v/>
      </c>
      <c r="AJ189" s="35">
        <f>IF($AH189&lt;&gt;"",$AH189,IF(AND($AO189&gt;0,$AD189&lt;&gt;"",$AE189&lt;&gt;""),$AG189,DATE(2100,12,31)))</f>
        <v/>
      </c>
      <c r="AK189" s="32">
        <f>IF($AH189="",$AC189,$AC189*$S189)</f>
        <v/>
      </c>
      <c r="AL189" s="35">
        <f>IF($AH189="",DATE(2100,12,31),$AH189+1)</f>
        <v/>
      </c>
      <c r="AM189" s="35">
        <f>IF($AH189="",DATE(1900,1,1),$AG189)</f>
        <v/>
      </c>
      <c r="AN189" s="32">
        <f>IF($AH189="",0,$AC189*$T189)</f>
        <v/>
      </c>
      <c r="AO189" s="46">
        <f>IF($C189="",0,IFERROR(INDEX(Deals!$BD$2:$BD$355,MATCH($C189,Deals!$A$2:$A$355,0)),0))</f>
        <v/>
      </c>
      <c r="AP189" s="18">
        <f>IF($AO189=0,0,IFERROR(INDEX(Deals!$BJ$2:$BP$355,MATCH($C189,Deals!$A$2:$A$355,0),MATCH($F189,Deals!$BJ$1:$BP$1,0))/COUNTIFS(Assignments!$C$2:$C$769,$C189,Assignments!$F$2:$F$769,$F189,Assignments!$G$2:$G$769,"Active"),0))</f>
        <v/>
      </c>
    </row>
    <row r="190">
      <c r="A190" s="28" t="inlineStr">
        <is>
          <t>Jeremy</t>
        </is>
      </c>
      <c r="B190" s="16">
        <f>IF($A190="","",IFERROR(INDEX(Roster!$B$2:$B$40,MATCH($A190,Roster!$A$2:$A$40,0)),"?"))</f>
        <v/>
      </c>
      <c r="C190" s="28" t="inlineStr">
        <is>
          <t>Georgia_3</t>
        </is>
      </c>
      <c r="D190" s="16">
        <f>IF($C190="","",IFERROR(IF(INDEX(Deals!$C$2:$C$355,MATCH($C190,Deals!$A$2:$A$355,0))=0,"",INDEX(Deals!$C$2:$C$355,MATCH($C190,Deals!$A$2:$A$355,0))),"?"))</f>
        <v/>
      </c>
      <c r="E190" s="16">
        <f>IF($C190="","",IFERROR(INDEX(Deals!$F$2:$F$355,MATCH($C190,Deals!$A$2:$A$355,0)),"?"))</f>
        <v/>
      </c>
      <c r="F190" s="28" t="inlineStr">
        <is>
          <t>MD</t>
        </is>
      </c>
      <c r="G190" s="28" t="inlineStr">
        <is>
          <t>Active</t>
        </is>
      </c>
      <c r="H190" s="31" t="n"/>
      <c r="I190" s="32">
        <f>IF(OR($A190="",$G190&lt;&gt;"Active"),0,IF($H190&lt;&gt;"",$H190,IF($AO190&gt;0,$AP190,IF(AND($R190&lt;&gt;"",IFERROR(INDEX(Templates!$B$3:$H$10,MATCH($R190,Templates!$A$3:$A$10,0),MATCH($F190,Templates!$B$2:$H$2,0)),0)&gt;0),INDEX(Templates!$B$3:$H$10,MATCH($R190,Templates!$A$3:$A$10,0),MATCH($F190,Templates!$B$2:$H$2,0)),IFERROR(INDEX(Settings!$B$8:$B$14,MATCH($F190,Settings!$A$8:$A$14,0)),0)))))</f>
        <v/>
      </c>
      <c r="J190" s="21">
        <f>IF($C190="",0,IFERROR(INDEX(Deals!$H$2:$H$355,MATCH($C190,Deals!$A$2:$A$355,0)),0))</f>
        <v/>
      </c>
      <c r="K190" s="32">
        <f>IF(Settings!$B$4="Yes",$I190*$J190,$I190)</f>
        <v/>
      </c>
      <c r="L190" s="22">
        <f>IF($C190="","",IFERROR(IF(INDEX(Deals!$I$2:$I$355,MATCH($C190,Deals!$A$2:$A$355,0))=0,"",INDEX(Deals!$I$2:$I$355,MATCH($C190,Deals!$A$2:$A$355,0))),""))</f>
        <v/>
      </c>
      <c r="M190" s="22">
        <f>IF($C190="","",IFERROR(IF(INDEX(Deals!$J$2:$J$355,MATCH($C190,Deals!$A$2:$A$355,0))=0,"",INDEX(Deals!$J$2:$J$355,MATCH($C190,Deals!$A$2:$A$355,0))),""))</f>
        <v/>
      </c>
      <c r="N190" s="35">
        <f>IF($L190="",DATE(1900,1,1),$L190)</f>
        <v/>
      </c>
      <c r="O190" s="35">
        <f>IF($M190="",DATE(2100,12,31),$M190)</f>
        <v/>
      </c>
      <c r="P190" s="20" t="inlineStr"/>
      <c r="Q190" s="47" t="inlineStr"/>
      <c r="R190" s="16">
        <f>IF($C190="","",IFERROR(IF(INDEX(Deals!$U$2:$U$355,MATCH($C190,Deals!$A$2:$A$355,0))=0,"",INDEX(Deals!$U$2:$U$355,MATCH($C190,Deals!$A$2:$A$355,0))),""))</f>
        <v/>
      </c>
      <c r="S190" s="34">
        <f>IFERROR(IF($U190="",1,INDEX(Deals!$V$2:$V$355,MATCH($C190,Deals!$A$2:$A$355,0))),1)</f>
        <v/>
      </c>
      <c r="T190" s="34">
        <f>IFERROR(IF($U190="",1,INDEX(Deals!$W$2:$W$355,MATCH($C190,Deals!$A$2:$A$355,0))),1)</f>
        <v/>
      </c>
      <c r="U190" s="22">
        <f>IF($C190="","",IFERROR(IF(INDEX(Deals!$Y$2:$Y$355,MATCH($C190,Deals!$A$2:$A$355,0))=0,"",INDEX(Deals!$Y$2:$Y$355,MATCH($C190,Deals!$A$2:$A$355,0))),""))</f>
        <v/>
      </c>
      <c r="V190" s="35">
        <f>IF(OR($U190&lt;&gt;"",AND($AO190&gt;0,$L190&lt;&gt;"",$M190&lt;&gt;"")),$N190,DATE(1900,1,1))</f>
        <v/>
      </c>
      <c r="W190" s="35">
        <f>IF($U190&lt;&gt;"",$U190,IF(AND($AO190&gt;0,$L190&lt;&gt;"",$M190&lt;&gt;""),$O190,DATE(2100,12,31)))</f>
        <v/>
      </c>
      <c r="X190" s="32">
        <f>IF($U190="",$K190,$K190*$S190)</f>
        <v/>
      </c>
      <c r="Y190" s="35">
        <f>IF($U190="",DATE(2100,12,31),$U190+1)</f>
        <v/>
      </c>
      <c r="Z190" s="35">
        <f>IF($U190="",DATE(1900,1,1),$O190)</f>
        <v/>
      </c>
      <c r="AA190" s="32">
        <f>IF($U190="",0,$K190*$T190)</f>
        <v/>
      </c>
      <c r="AB190" s="21">
        <f>IF($C190="",0,IFERROR(INDEX(Deals!$AD$2:$AD$355,MATCH($C190,Deals!$A$2:$A$355,0)),0))</f>
        <v/>
      </c>
      <c r="AC190" s="32">
        <f>IF(Settings!$B$4="Yes",$I190*$AB190,$I190)</f>
        <v/>
      </c>
      <c r="AD190" s="22">
        <f>IF($C190="","",IFERROR(IF(INDEX(Deals!$AE$2:$AE$355,MATCH($C190,Deals!$A$2:$A$355,0))=0,"",INDEX(Deals!$AE$2:$AE$355,MATCH($C190,Deals!$A$2:$A$355,0))),""))</f>
        <v/>
      </c>
      <c r="AE190" s="22">
        <f>IF($C190="","",IFERROR(IF(INDEX(Deals!$AF$2:$AF$355,MATCH($C190,Deals!$A$2:$A$355,0))=0,"",INDEX(Deals!$AF$2:$AF$355,MATCH($C190,Deals!$A$2:$A$355,0))),""))</f>
        <v/>
      </c>
      <c r="AF190" s="35">
        <f>IF($AD190="",DATE(1900,1,1),$AD190)</f>
        <v/>
      </c>
      <c r="AG190" s="35">
        <f>IF($AE190="",DATE(2100,12,31),$AE190)</f>
        <v/>
      </c>
      <c r="AH190" s="22">
        <f>IF($C190="","",IFERROR(IF(INDEX(Deals!$AG$2:$AG$355,MATCH($C190,Deals!$A$2:$A$355,0))=0,"",INDEX(Deals!$AG$2:$AG$355,MATCH($C190,Deals!$A$2:$A$355,0))),""))</f>
        <v/>
      </c>
      <c r="AI190" s="35">
        <f>IF(OR($AH190&lt;&gt;"",AND($AO190&gt;0,$AD190&lt;&gt;"",$AE190&lt;&gt;"")),$AF190,DATE(1900,1,1))</f>
        <v/>
      </c>
      <c r="AJ190" s="35">
        <f>IF($AH190&lt;&gt;"",$AH190,IF(AND($AO190&gt;0,$AD190&lt;&gt;"",$AE190&lt;&gt;""),$AG190,DATE(2100,12,31)))</f>
        <v/>
      </c>
      <c r="AK190" s="32">
        <f>IF($AH190="",$AC190,$AC190*$S190)</f>
        <v/>
      </c>
      <c r="AL190" s="35">
        <f>IF($AH190="",DATE(2100,12,31),$AH190+1)</f>
        <v/>
      </c>
      <c r="AM190" s="35">
        <f>IF($AH190="",DATE(1900,1,1),$AG190)</f>
        <v/>
      </c>
      <c r="AN190" s="32">
        <f>IF($AH190="",0,$AC190*$T190)</f>
        <v/>
      </c>
      <c r="AO190" s="46">
        <f>IF($C190="",0,IFERROR(INDEX(Deals!$BD$2:$BD$355,MATCH($C190,Deals!$A$2:$A$355,0)),0))</f>
        <v/>
      </c>
      <c r="AP190" s="18">
        <f>IF($AO190=0,0,IFERROR(INDEX(Deals!$BJ$2:$BP$355,MATCH($C190,Deals!$A$2:$A$355,0),MATCH($F190,Deals!$BJ$1:$BP$1,0))/COUNTIFS(Assignments!$C$2:$C$769,$C190,Assignments!$F$2:$F$769,$F190,Assignments!$G$2:$G$769,"Active"),0))</f>
        <v/>
      </c>
    </row>
    <row r="191">
      <c r="A191" s="28" t="inlineStr">
        <is>
          <t>Jeremy</t>
        </is>
      </c>
      <c r="B191" s="16">
        <f>IF($A191="","",IFERROR(INDEX(Roster!$B$2:$B$40,MATCH($A191,Roster!$A$2:$A$40,0)),"?"))</f>
        <v/>
      </c>
      <c r="C191" s="28" t="inlineStr">
        <is>
          <t>Goose_2</t>
        </is>
      </c>
      <c r="D191" s="16">
        <f>IF($C191="","",IFERROR(IF(INDEX(Deals!$C$2:$C$355,MATCH($C191,Deals!$A$2:$A$355,0))=0,"",INDEX(Deals!$C$2:$C$355,MATCH($C191,Deals!$A$2:$A$355,0))),"?"))</f>
        <v/>
      </c>
      <c r="E191" s="16">
        <f>IF($C191="","",IFERROR(INDEX(Deals!$F$2:$F$355,MATCH($C191,Deals!$A$2:$A$355,0)),"?"))</f>
        <v/>
      </c>
      <c r="F191" s="28" t="inlineStr">
        <is>
          <t>MD</t>
        </is>
      </c>
      <c r="G191" s="28" t="inlineStr">
        <is>
          <t>Active</t>
        </is>
      </c>
      <c r="H191" s="31" t="n"/>
      <c r="I191" s="32">
        <f>IF(OR($A191="",$G191&lt;&gt;"Active"),0,IF($H191&lt;&gt;"",$H191,IF($AO191&gt;0,$AP191,IF(AND($R191&lt;&gt;"",IFERROR(INDEX(Templates!$B$3:$H$10,MATCH($R191,Templates!$A$3:$A$10,0),MATCH($F191,Templates!$B$2:$H$2,0)),0)&gt;0),INDEX(Templates!$B$3:$H$10,MATCH($R191,Templates!$A$3:$A$10,0),MATCH($F191,Templates!$B$2:$H$2,0)),IFERROR(INDEX(Settings!$B$8:$B$14,MATCH($F191,Settings!$A$8:$A$14,0)),0)))))</f>
        <v/>
      </c>
      <c r="J191" s="21">
        <f>IF($C191="",0,IFERROR(INDEX(Deals!$H$2:$H$355,MATCH($C191,Deals!$A$2:$A$355,0)),0))</f>
        <v/>
      </c>
      <c r="K191" s="32">
        <f>IF(Settings!$B$4="Yes",$I191*$J191,$I191)</f>
        <v/>
      </c>
      <c r="L191" s="22">
        <f>IF($C191="","",IFERROR(IF(INDEX(Deals!$I$2:$I$355,MATCH($C191,Deals!$A$2:$A$355,0))=0,"",INDEX(Deals!$I$2:$I$355,MATCH($C191,Deals!$A$2:$A$355,0))),""))</f>
        <v/>
      </c>
      <c r="M191" s="22">
        <f>IF($C191="","",IFERROR(IF(INDEX(Deals!$J$2:$J$355,MATCH($C191,Deals!$A$2:$A$355,0))=0,"",INDEX(Deals!$J$2:$J$355,MATCH($C191,Deals!$A$2:$A$355,0))),""))</f>
        <v/>
      </c>
      <c r="N191" s="35">
        <f>IF($L191="",DATE(1900,1,1),$L191)</f>
        <v/>
      </c>
      <c r="O191" s="35">
        <f>IF($M191="",DATE(2100,12,31),$M191)</f>
        <v/>
      </c>
      <c r="P191" s="20" t="inlineStr"/>
      <c r="Q191" s="47" t="inlineStr"/>
      <c r="R191" s="16">
        <f>IF($C191="","",IFERROR(IF(INDEX(Deals!$U$2:$U$355,MATCH($C191,Deals!$A$2:$A$355,0))=0,"",INDEX(Deals!$U$2:$U$355,MATCH($C191,Deals!$A$2:$A$355,0))),""))</f>
        <v/>
      </c>
      <c r="S191" s="34">
        <f>IFERROR(IF($U191="",1,INDEX(Deals!$V$2:$V$355,MATCH($C191,Deals!$A$2:$A$355,0))),1)</f>
        <v/>
      </c>
      <c r="T191" s="34">
        <f>IFERROR(IF($U191="",1,INDEX(Deals!$W$2:$W$355,MATCH($C191,Deals!$A$2:$A$355,0))),1)</f>
        <v/>
      </c>
      <c r="U191" s="22">
        <f>IF($C191="","",IFERROR(IF(INDEX(Deals!$Y$2:$Y$355,MATCH($C191,Deals!$A$2:$A$355,0))=0,"",INDEX(Deals!$Y$2:$Y$355,MATCH($C191,Deals!$A$2:$A$355,0))),""))</f>
        <v/>
      </c>
      <c r="V191" s="35">
        <f>IF(OR($U191&lt;&gt;"",AND($AO191&gt;0,$L191&lt;&gt;"",$M191&lt;&gt;"")),$N191,DATE(1900,1,1))</f>
        <v/>
      </c>
      <c r="W191" s="35">
        <f>IF($U191&lt;&gt;"",$U191,IF(AND($AO191&gt;0,$L191&lt;&gt;"",$M191&lt;&gt;""),$O191,DATE(2100,12,31)))</f>
        <v/>
      </c>
      <c r="X191" s="32">
        <f>IF($U191="",$K191,$K191*$S191)</f>
        <v/>
      </c>
      <c r="Y191" s="35">
        <f>IF($U191="",DATE(2100,12,31),$U191+1)</f>
        <v/>
      </c>
      <c r="Z191" s="35">
        <f>IF($U191="",DATE(1900,1,1),$O191)</f>
        <v/>
      </c>
      <c r="AA191" s="32">
        <f>IF($U191="",0,$K191*$T191)</f>
        <v/>
      </c>
      <c r="AB191" s="21">
        <f>IF($C191="",0,IFERROR(INDEX(Deals!$AD$2:$AD$355,MATCH($C191,Deals!$A$2:$A$355,0)),0))</f>
        <v/>
      </c>
      <c r="AC191" s="32">
        <f>IF(Settings!$B$4="Yes",$I191*$AB191,$I191)</f>
        <v/>
      </c>
      <c r="AD191" s="22">
        <f>IF($C191="","",IFERROR(IF(INDEX(Deals!$AE$2:$AE$355,MATCH($C191,Deals!$A$2:$A$355,0))=0,"",INDEX(Deals!$AE$2:$AE$355,MATCH($C191,Deals!$A$2:$A$355,0))),""))</f>
        <v/>
      </c>
      <c r="AE191" s="22">
        <f>IF($C191="","",IFERROR(IF(INDEX(Deals!$AF$2:$AF$355,MATCH($C191,Deals!$A$2:$A$355,0))=0,"",INDEX(Deals!$AF$2:$AF$355,MATCH($C191,Deals!$A$2:$A$355,0))),""))</f>
        <v/>
      </c>
      <c r="AF191" s="35">
        <f>IF($AD191="",DATE(1900,1,1),$AD191)</f>
        <v/>
      </c>
      <c r="AG191" s="35">
        <f>IF($AE191="",DATE(2100,12,31),$AE191)</f>
        <v/>
      </c>
      <c r="AH191" s="22">
        <f>IF($C191="","",IFERROR(IF(INDEX(Deals!$AG$2:$AG$355,MATCH($C191,Deals!$A$2:$A$355,0))=0,"",INDEX(Deals!$AG$2:$AG$355,MATCH($C191,Deals!$A$2:$A$355,0))),""))</f>
        <v/>
      </c>
      <c r="AI191" s="35">
        <f>IF(OR($AH191&lt;&gt;"",AND($AO191&gt;0,$AD191&lt;&gt;"",$AE191&lt;&gt;"")),$AF191,DATE(1900,1,1))</f>
        <v/>
      </c>
      <c r="AJ191" s="35">
        <f>IF($AH191&lt;&gt;"",$AH191,IF(AND($AO191&gt;0,$AD191&lt;&gt;"",$AE191&lt;&gt;""),$AG191,DATE(2100,12,31)))</f>
        <v/>
      </c>
      <c r="AK191" s="32">
        <f>IF($AH191="",$AC191,$AC191*$S191)</f>
        <v/>
      </c>
      <c r="AL191" s="35">
        <f>IF($AH191="",DATE(2100,12,31),$AH191+1)</f>
        <v/>
      </c>
      <c r="AM191" s="35">
        <f>IF($AH191="",DATE(1900,1,1),$AG191)</f>
        <v/>
      </c>
      <c r="AN191" s="32">
        <f>IF($AH191="",0,$AC191*$T191)</f>
        <v/>
      </c>
      <c r="AO191" s="46">
        <f>IF($C191="",0,IFERROR(INDEX(Deals!$BD$2:$BD$355,MATCH($C191,Deals!$A$2:$A$355,0)),0))</f>
        <v/>
      </c>
      <c r="AP191" s="18">
        <f>IF($AO191=0,0,IFERROR(INDEX(Deals!$BJ$2:$BP$355,MATCH($C191,Deals!$A$2:$A$355,0),MATCH($F191,Deals!$BJ$1:$BP$1,0))/COUNTIFS(Assignments!$C$2:$C$769,$C191,Assignments!$F$2:$F$769,$F191,Assignments!$G$2:$G$769,"Active"),0))</f>
        <v/>
      </c>
    </row>
    <row r="192">
      <c r="A192" s="28" t="inlineStr">
        <is>
          <t>Jeremy</t>
        </is>
      </c>
      <c r="B192" s="16">
        <f>IF($A192="","",IFERROR(INDEX(Roster!$B$2:$B$40,MATCH($A192,Roster!$A$2:$A$40,0)),"?"))</f>
        <v/>
      </c>
      <c r="C192" s="28" t="inlineStr">
        <is>
          <t>MIP_1</t>
        </is>
      </c>
      <c r="D192" s="16">
        <f>IF($C192="","",IFERROR(IF(INDEX(Deals!$C$2:$C$355,MATCH($C192,Deals!$A$2:$A$355,0))=0,"",INDEX(Deals!$C$2:$C$355,MATCH($C192,Deals!$A$2:$A$355,0))),"?"))</f>
        <v/>
      </c>
      <c r="E192" s="16">
        <f>IF($C192="","",IFERROR(INDEX(Deals!$F$2:$F$355,MATCH($C192,Deals!$A$2:$A$355,0)),"?"))</f>
        <v/>
      </c>
      <c r="F192" s="28" t="inlineStr">
        <is>
          <t>MD</t>
        </is>
      </c>
      <c r="G192" s="28" t="inlineStr">
        <is>
          <t>Active</t>
        </is>
      </c>
      <c r="H192" s="31" t="n"/>
      <c r="I192" s="32">
        <f>IF(OR($A192="",$G192&lt;&gt;"Active"),0,IF($H192&lt;&gt;"",$H192,IF($AO192&gt;0,$AP192,IF(AND($R192&lt;&gt;"",IFERROR(INDEX(Templates!$B$3:$H$10,MATCH($R192,Templates!$A$3:$A$10,0),MATCH($F192,Templates!$B$2:$H$2,0)),0)&gt;0),INDEX(Templates!$B$3:$H$10,MATCH($R192,Templates!$A$3:$A$10,0),MATCH($F192,Templates!$B$2:$H$2,0)),IFERROR(INDEX(Settings!$B$8:$B$14,MATCH($F192,Settings!$A$8:$A$14,0)),0)))))</f>
        <v/>
      </c>
      <c r="J192" s="21">
        <f>IF($C192="",0,IFERROR(INDEX(Deals!$H$2:$H$355,MATCH($C192,Deals!$A$2:$A$355,0)),0))</f>
        <v/>
      </c>
      <c r="K192" s="32">
        <f>IF(Settings!$B$4="Yes",$I192*$J192,$I192)</f>
        <v/>
      </c>
      <c r="L192" s="22">
        <f>IF($C192="","",IFERROR(IF(INDEX(Deals!$I$2:$I$355,MATCH($C192,Deals!$A$2:$A$355,0))=0,"",INDEX(Deals!$I$2:$I$355,MATCH($C192,Deals!$A$2:$A$355,0))),""))</f>
        <v/>
      </c>
      <c r="M192" s="22">
        <f>IF($C192="","",IFERROR(IF(INDEX(Deals!$J$2:$J$355,MATCH($C192,Deals!$A$2:$A$355,0))=0,"",INDEX(Deals!$J$2:$J$355,MATCH($C192,Deals!$A$2:$A$355,0))),""))</f>
        <v/>
      </c>
      <c r="N192" s="35">
        <f>IF($L192="",DATE(1900,1,1),$L192)</f>
        <v/>
      </c>
      <c r="O192" s="35">
        <f>IF($M192="",DATE(2100,12,31),$M192)</f>
        <v/>
      </c>
      <c r="P192" s="20" t="inlineStr"/>
      <c r="Q192" s="47" t="inlineStr"/>
      <c r="R192" s="16">
        <f>IF($C192="","",IFERROR(IF(INDEX(Deals!$U$2:$U$355,MATCH($C192,Deals!$A$2:$A$355,0))=0,"",INDEX(Deals!$U$2:$U$355,MATCH($C192,Deals!$A$2:$A$355,0))),""))</f>
        <v/>
      </c>
      <c r="S192" s="34">
        <f>IFERROR(IF($U192="",1,INDEX(Deals!$V$2:$V$355,MATCH($C192,Deals!$A$2:$A$355,0))),1)</f>
        <v/>
      </c>
      <c r="T192" s="34">
        <f>IFERROR(IF($U192="",1,INDEX(Deals!$W$2:$W$355,MATCH($C192,Deals!$A$2:$A$355,0))),1)</f>
        <v/>
      </c>
      <c r="U192" s="22">
        <f>IF($C192="","",IFERROR(IF(INDEX(Deals!$Y$2:$Y$355,MATCH($C192,Deals!$A$2:$A$355,0))=0,"",INDEX(Deals!$Y$2:$Y$355,MATCH($C192,Deals!$A$2:$A$355,0))),""))</f>
        <v/>
      </c>
      <c r="V192" s="35">
        <f>IF(OR($U192&lt;&gt;"",AND($AO192&gt;0,$L192&lt;&gt;"",$M192&lt;&gt;"")),$N192,DATE(1900,1,1))</f>
        <v/>
      </c>
      <c r="W192" s="35">
        <f>IF($U192&lt;&gt;"",$U192,IF(AND($AO192&gt;0,$L192&lt;&gt;"",$M192&lt;&gt;""),$O192,DATE(2100,12,31)))</f>
        <v/>
      </c>
      <c r="X192" s="32">
        <f>IF($U192="",$K192,$K192*$S192)</f>
        <v/>
      </c>
      <c r="Y192" s="35">
        <f>IF($U192="",DATE(2100,12,31),$U192+1)</f>
        <v/>
      </c>
      <c r="Z192" s="35">
        <f>IF($U192="",DATE(1900,1,1),$O192)</f>
        <v/>
      </c>
      <c r="AA192" s="32">
        <f>IF($U192="",0,$K192*$T192)</f>
        <v/>
      </c>
      <c r="AB192" s="21">
        <f>IF($C192="",0,IFERROR(INDEX(Deals!$AD$2:$AD$355,MATCH($C192,Deals!$A$2:$A$355,0)),0))</f>
        <v/>
      </c>
      <c r="AC192" s="32">
        <f>IF(Settings!$B$4="Yes",$I192*$AB192,$I192)</f>
        <v/>
      </c>
      <c r="AD192" s="22">
        <f>IF($C192="","",IFERROR(IF(INDEX(Deals!$AE$2:$AE$355,MATCH($C192,Deals!$A$2:$A$355,0))=0,"",INDEX(Deals!$AE$2:$AE$355,MATCH($C192,Deals!$A$2:$A$355,0))),""))</f>
        <v/>
      </c>
      <c r="AE192" s="22">
        <f>IF($C192="","",IFERROR(IF(INDEX(Deals!$AF$2:$AF$355,MATCH($C192,Deals!$A$2:$A$355,0))=0,"",INDEX(Deals!$AF$2:$AF$355,MATCH($C192,Deals!$A$2:$A$355,0))),""))</f>
        <v/>
      </c>
      <c r="AF192" s="35">
        <f>IF($AD192="",DATE(1900,1,1),$AD192)</f>
        <v/>
      </c>
      <c r="AG192" s="35">
        <f>IF($AE192="",DATE(2100,12,31),$AE192)</f>
        <v/>
      </c>
      <c r="AH192" s="22">
        <f>IF($C192="","",IFERROR(IF(INDEX(Deals!$AG$2:$AG$355,MATCH($C192,Deals!$A$2:$A$355,0))=0,"",INDEX(Deals!$AG$2:$AG$355,MATCH($C192,Deals!$A$2:$A$355,0))),""))</f>
        <v/>
      </c>
      <c r="AI192" s="35">
        <f>IF(OR($AH192&lt;&gt;"",AND($AO192&gt;0,$AD192&lt;&gt;"",$AE192&lt;&gt;"")),$AF192,DATE(1900,1,1))</f>
        <v/>
      </c>
      <c r="AJ192" s="35">
        <f>IF($AH192&lt;&gt;"",$AH192,IF(AND($AO192&gt;0,$AD192&lt;&gt;"",$AE192&lt;&gt;""),$AG192,DATE(2100,12,31)))</f>
        <v/>
      </c>
      <c r="AK192" s="32">
        <f>IF($AH192="",$AC192,$AC192*$S192)</f>
        <v/>
      </c>
      <c r="AL192" s="35">
        <f>IF($AH192="",DATE(2100,12,31),$AH192+1)</f>
        <v/>
      </c>
      <c r="AM192" s="35">
        <f>IF($AH192="",DATE(1900,1,1),$AG192)</f>
        <v/>
      </c>
      <c r="AN192" s="32">
        <f>IF($AH192="",0,$AC192*$T192)</f>
        <v/>
      </c>
      <c r="AO192" s="46">
        <f>IF($C192="",0,IFERROR(INDEX(Deals!$BD$2:$BD$355,MATCH($C192,Deals!$A$2:$A$355,0)),0))</f>
        <v/>
      </c>
      <c r="AP192" s="18">
        <f>IF($AO192=0,0,IFERROR(INDEX(Deals!$BJ$2:$BP$355,MATCH($C192,Deals!$A$2:$A$355,0),MATCH($F192,Deals!$BJ$1:$BP$1,0))/COUNTIFS(Assignments!$C$2:$C$769,$C192,Assignments!$F$2:$F$769,$F192,Assignments!$G$2:$G$769,"Active"),0))</f>
        <v/>
      </c>
    </row>
    <row r="193">
      <c r="A193" s="28" t="inlineStr">
        <is>
          <t>Jeremy</t>
        </is>
      </c>
      <c r="B193" s="16">
        <f>IF($A193="","",IFERROR(INDEX(Roster!$B$2:$B$40,MATCH($A193,Roster!$A$2:$A$40,0)),"?"))</f>
        <v/>
      </c>
      <c r="C193" s="28" t="inlineStr">
        <is>
          <t>Nemrut_1</t>
        </is>
      </c>
      <c r="D193" s="16">
        <f>IF($C193="","",IFERROR(IF(INDEX(Deals!$C$2:$C$355,MATCH($C193,Deals!$A$2:$A$355,0))=0,"",INDEX(Deals!$C$2:$C$355,MATCH($C193,Deals!$A$2:$A$355,0))),"?"))</f>
        <v/>
      </c>
      <c r="E193" s="16">
        <f>IF($C193="","",IFERROR(INDEX(Deals!$F$2:$F$355,MATCH($C193,Deals!$A$2:$A$355,0)),"?"))</f>
        <v/>
      </c>
      <c r="F193" s="28" t="inlineStr">
        <is>
          <t>MD</t>
        </is>
      </c>
      <c r="G193" s="28" t="inlineStr">
        <is>
          <t>Active</t>
        </is>
      </c>
      <c r="H193" s="31" t="n"/>
      <c r="I193" s="32">
        <f>IF(OR($A193="",$G193&lt;&gt;"Active"),0,IF($H193&lt;&gt;"",$H193,IF($AO193&gt;0,$AP193,IF(AND($R193&lt;&gt;"",IFERROR(INDEX(Templates!$B$3:$H$10,MATCH($R193,Templates!$A$3:$A$10,0),MATCH($F193,Templates!$B$2:$H$2,0)),0)&gt;0),INDEX(Templates!$B$3:$H$10,MATCH($R193,Templates!$A$3:$A$10,0),MATCH($F193,Templates!$B$2:$H$2,0)),IFERROR(INDEX(Settings!$B$8:$B$14,MATCH($F193,Settings!$A$8:$A$14,0)),0)))))</f>
        <v/>
      </c>
      <c r="J193" s="21">
        <f>IF($C193="",0,IFERROR(INDEX(Deals!$H$2:$H$355,MATCH($C193,Deals!$A$2:$A$355,0)),0))</f>
        <v/>
      </c>
      <c r="K193" s="32">
        <f>IF(Settings!$B$4="Yes",$I193*$J193,$I193)</f>
        <v/>
      </c>
      <c r="L193" s="22">
        <f>IF($C193="","",IFERROR(IF(INDEX(Deals!$I$2:$I$355,MATCH($C193,Deals!$A$2:$A$355,0))=0,"",INDEX(Deals!$I$2:$I$355,MATCH($C193,Deals!$A$2:$A$355,0))),""))</f>
        <v/>
      </c>
      <c r="M193" s="22">
        <f>IF($C193="","",IFERROR(IF(INDEX(Deals!$J$2:$J$355,MATCH($C193,Deals!$A$2:$A$355,0))=0,"",INDEX(Deals!$J$2:$J$355,MATCH($C193,Deals!$A$2:$A$355,0))),""))</f>
        <v/>
      </c>
      <c r="N193" s="35">
        <f>IF($L193="",DATE(1900,1,1),$L193)</f>
        <v/>
      </c>
      <c r="O193" s="35">
        <f>IF($M193="",DATE(2100,12,31),$M193)</f>
        <v/>
      </c>
      <c r="P193" s="20" t="inlineStr"/>
      <c r="Q193" s="47" t="inlineStr"/>
      <c r="R193" s="16">
        <f>IF($C193="","",IFERROR(IF(INDEX(Deals!$U$2:$U$355,MATCH($C193,Deals!$A$2:$A$355,0))=0,"",INDEX(Deals!$U$2:$U$355,MATCH($C193,Deals!$A$2:$A$355,0))),""))</f>
        <v/>
      </c>
      <c r="S193" s="34">
        <f>IFERROR(IF($U193="",1,INDEX(Deals!$V$2:$V$355,MATCH($C193,Deals!$A$2:$A$355,0))),1)</f>
        <v/>
      </c>
      <c r="T193" s="34">
        <f>IFERROR(IF($U193="",1,INDEX(Deals!$W$2:$W$355,MATCH($C193,Deals!$A$2:$A$355,0))),1)</f>
        <v/>
      </c>
      <c r="U193" s="22">
        <f>IF($C193="","",IFERROR(IF(INDEX(Deals!$Y$2:$Y$355,MATCH($C193,Deals!$A$2:$A$355,0))=0,"",INDEX(Deals!$Y$2:$Y$355,MATCH($C193,Deals!$A$2:$A$355,0))),""))</f>
        <v/>
      </c>
      <c r="V193" s="35">
        <f>IF(OR($U193&lt;&gt;"",AND($AO193&gt;0,$L193&lt;&gt;"",$M193&lt;&gt;"")),$N193,DATE(1900,1,1))</f>
        <v/>
      </c>
      <c r="W193" s="35">
        <f>IF($U193&lt;&gt;"",$U193,IF(AND($AO193&gt;0,$L193&lt;&gt;"",$M193&lt;&gt;""),$O193,DATE(2100,12,31)))</f>
        <v/>
      </c>
      <c r="X193" s="32">
        <f>IF($U193="",$K193,$K193*$S193)</f>
        <v/>
      </c>
      <c r="Y193" s="35">
        <f>IF($U193="",DATE(2100,12,31),$U193+1)</f>
        <v/>
      </c>
      <c r="Z193" s="35">
        <f>IF($U193="",DATE(1900,1,1),$O193)</f>
        <v/>
      </c>
      <c r="AA193" s="32">
        <f>IF($U193="",0,$K193*$T193)</f>
        <v/>
      </c>
      <c r="AB193" s="21">
        <f>IF($C193="",0,IFERROR(INDEX(Deals!$AD$2:$AD$355,MATCH($C193,Deals!$A$2:$A$355,0)),0))</f>
        <v/>
      </c>
      <c r="AC193" s="32">
        <f>IF(Settings!$B$4="Yes",$I193*$AB193,$I193)</f>
        <v/>
      </c>
      <c r="AD193" s="22">
        <f>IF($C193="","",IFERROR(IF(INDEX(Deals!$AE$2:$AE$355,MATCH($C193,Deals!$A$2:$A$355,0))=0,"",INDEX(Deals!$AE$2:$AE$355,MATCH($C193,Deals!$A$2:$A$355,0))),""))</f>
        <v/>
      </c>
      <c r="AE193" s="22">
        <f>IF($C193="","",IFERROR(IF(INDEX(Deals!$AF$2:$AF$355,MATCH($C193,Deals!$A$2:$A$355,0))=0,"",INDEX(Deals!$AF$2:$AF$355,MATCH($C193,Deals!$A$2:$A$355,0))),""))</f>
        <v/>
      </c>
      <c r="AF193" s="35">
        <f>IF($AD193="",DATE(1900,1,1),$AD193)</f>
        <v/>
      </c>
      <c r="AG193" s="35">
        <f>IF($AE193="",DATE(2100,12,31),$AE193)</f>
        <v/>
      </c>
      <c r="AH193" s="22">
        <f>IF($C193="","",IFERROR(IF(INDEX(Deals!$AG$2:$AG$355,MATCH($C193,Deals!$A$2:$A$355,0))=0,"",INDEX(Deals!$AG$2:$AG$355,MATCH($C193,Deals!$A$2:$A$355,0))),""))</f>
        <v/>
      </c>
      <c r="AI193" s="35">
        <f>IF(OR($AH193&lt;&gt;"",AND($AO193&gt;0,$AD193&lt;&gt;"",$AE193&lt;&gt;"")),$AF193,DATE(1900,1,1))</f>
        <v/>
      </c>
      <c r="AJ193" s="35">
        <f>IF($AH193&lt;&gt;"",$AH193,IF(AND($AO193&gt;0,$AD193&lt;&gt;"",$AE193&lt;&gt;""),$AG193,DATE(2100,12,31)))</f>
        <v/>
      </c>
      <c r="AK193" s="32">
        <f>IF($AH193="",$AC193,$AC193*$S193)</f>
        <v/>
      </c>
      <c r="AL193" s="35">
        <f>IF($AH193="",DATE(2100,12,31),$AH193+1)</f>
        <v/>
      </c>
      <c r="AM193" s="35">
        <f>IF($AH193="",DATE(1900,1,1),$AG193)</f>
        <v/>
      </c>
      <c r="AN193" s="32">
        <f>IF($AH193="",0,$AC193*$T193)</f>
        <v/>
      </c>
      <c r="AO193" s="46">
        <f>IF($C193="",0,IFERROR(INDEX(Deals!$BD$2:$BD$355,MATCH($C193,Deals!$A$2:$A$355,0)),0))</f>
        <v/>
      </c>
      <c r="AP193" s="18">
        <f>IF($AO193=0,0,IFERROR(INDEX(Deals!$BJ$2:$BP$355,MATCH($C193,Deals!$A$2:$A$355,0),MATCH($F193,Deals!$BJ$1:$BP$1,0))/COUNTIFS(Assignments!$C$2:$C$769,$C193,Assignments!$F$2:$F$769,$F193,Assignments!$G$2:$G$769,"Active"),0))</f>
        <v/>
      </c>
    </row>
    <row r="194">
      <c r="A194" s="28" t="inlineStr">
        <is>
          <t>Jeremy</t>
        </is>
      </c>
      <c r="B194" s="16">
        <f>IF($A194="","",IFERROR(INDEX(Roster!$B$2:$B$40,MATCH($A194,Roster!$A$2:$A$40,0)),"?"))</f>
        <v/>
      </c>
      <c r="C194" s="28" t="inlineStr">
        <is>
          <t>Orca_1</t>
        </is>
      </c>
      <c r="D194" s="16">
        <f>IF($C194="","",IFERROR(IF(INDEX(Deals!$C$2:$C$355,MATCH($C194,Deals!$A$2:$A$355,0))=0,"",INDEX(Deals!$C$2:$C$355,MATCH($C194,Deals!$A$2:$A$355,0))),"?"))</f>
        <v/>
      </c>
      <c r="E194" s="16">
        <f>IF($C194="","",IFERROR(INDEX(Deals!$F$2:$F$355,MATCH($C194,Deals!$A$2:$A$355,0)),"?"))</f>
        <v/>
      </c>
      <c r="F194" s="28" t="inlineStr">
        <is>
          <t>MD</t>
        </is>
      </c>
      <c r="G194" s="28" t="inlineStr">
        <is>
          <t>Active</t>
        </is>
      </c>
      <c r="H194" s="31" t="n"/>
      <c r="I194" s="32">
        <f>IF(OR($A194="",$G194&lt;&gt;"Active"),0,IF($H194&lt;&gt;"",$H194,IF($AO194&gt;0,$AP194,IF(AND($R194&lt;&gt;"",IFERROR(INDEX(Templates!$B$3:$H$10,MATCH($R194,Templates!$A$3:$A$10,0),MATCH($F194,Templates!$B$2:$H$2,0)),0)&gt;0),INDEX(Templates!$B$3:$H$10,MATCH($R194,Templates!$A$3:$A$10,0),MATCH($F194,Templates!$B$2:$H$2,0)),IFERROR(INDEX(Settings!$B$8:$B$14,MATCH($F194,Settings!$A$8:$A$14,0)),0)))))</f>
        <v/>
      </c>
      <c r="J194" s="21">
        <f>IF($C194="",0,IFERROR(INDEX(Deals!$H$2:$H$355,MATCH($C194,Deals!$A$2:$A$355,0)),0))</f>
        <v/>
      </c>
      <c r="K194" s="32">
        <f>IF(Settings!$B$4="Yes",$I194*$J194,$I194)</f>
        <v/>
      </c>
      <c r="L194" s="22">
        <f>IF($C194="","",IFERROR(IF(INDEX(Deals!$I$2:$I$355,MATCH($C194,Deals!$A$2:$A$355,0))=0,"",INDEX(Deals!$I$2:$I$355,MATCH($C194,Deals!$A$2:$A$355,0))),""))</f>
        <v/>
      </c>
      <c r="M194" s="22">
        <f>IF($C194="","",IFERROR(IF(INDEX(Deals!$J$2:$J$355,MATCH($C194,Deals!$A$2:$A$355,0))=0,"",INDEX(Deals!$J$2:$J$355,MATCH($C194,Deals!$A$2:$A$355,0))),""))</f>
        <v/>
      </c>
      <c r="N194" s="35">
        <f>IF($L194="",DATE(1900,1,1),$L194)</f>
        <v/>
      </c>
      <c r="O194" s="35">
        <f>IF($M194="",DATE(2100,12,31),$M194)</f>
        <v/>
      </c>
      <c r="P194" s="20" t="inlineStr"/>
      <c r="Q194" s="47" t="inlineStr"/>
      <c r="R194" s="16">
        <f>IF($C194="","",IFERROR(IF(INDEX(Deals!$U$2:$U$355,MATCH($C194,Deals!$A$2:$A$355,0))=0,"",INDEX(Deals!$U$2:$U$355,MATCH($C194,Deals!$A$2:$A$355,0))),""))</f>
        <v/>
      </c>
      <c r="S194" s="34">
        <f>IFERROR(IF($U194="",1,INDEX(Deals!$V$2:$V$355,MATCH($C194,Deals!$A$2:$A$355,0))),1)</f>
        <v/>
      </c>
      <c r="T194" s="34">
        <f>IFERROR(IF($U194="",1,INDEX(Deals!$W$2:$W$355,MATCH($C194,Deals!$A$2:$A$355,0))),1)</f>
        <v/>
      </c>
      <c r="U194" s="22">
        <f>IF($C194="","",IFERROR(IF(INDEX(Deals!$Y$2:$Y$355,MATCH($C194,Deals!$A$2:$A$355,0))=0,"",INDEX(Deals!$Y$2:$Y$355,MATCH($C194,Deals!$A$2:$A$355,0))),""))</f>
        <v/>
      </c>
      <c r="V194" s="35">
        <f>IF(OR($U194&lt;&gt;"",AND($AO194&gt;0,$L194&lt;&gt;"",$M194&lt;&gt;"")),$N194,DATE(1900,1,1))</f>
        <v/>
      </c>
      <c r="W194" s="35">
        <f>IF($U194&lt;&gt;"",$U194,IF(AND($AO194&gt;0,$L194&lt;&gt;"",$M194&lt;&gt;""),$O194,DATE(2100,12,31)))</f>
        <v/>
      </c>
      <c r="X194" s="32">
        <f>IF($U194="",$K194,$K194*$S194)</f>
        <v/>
      </c>
      <c r="Y194" s="35">
        <f>IF($U194="",DATE(2100,12,31),$U194+1)</f>
        <v/>
      </c>
      <c r="Z194" s="35">
        <f>IF($U194="",DATE(1900,1,1),$O194)</f>
        <v/>
      </c>
      <c r="AA194" s="32">
        <f>IF($U194="",0,$K194*$T194)</f>
        <v/>
      </c>
      <c r="AB194" s="21">
        <f>IF($C194="",0,IFERROR(INDEX(Deals!$AD$2:$AD$355,MATCH($C194,Deals!$A$2:$A$355,0)),0))</f>
        <v/>
      </c>
      <c r="AC194" s="32">
        <f>IF(Settings!$B$4="Yes",$I194*$AB194,$I194)</f>
        <v/>
      </c>
      <c r="AD194" s="22">
        <f>IF($C194="","",IFERROR(IF(INDEX(Deals!$AE$2:$AE$355,MATCH($C194,Deals!$A$2:$A$355,0))=0,"",INDEX(Deals!$AE$2:$AE$355,MATCH($C194,Deals!$A$2:$A$355,0))),""))</f>
        <v/>
      </c>
      <c r="AE194" s="22">
        <f>IF($C194="","",IFERROR(IF(INDEX(Deals!$AF$2:$AF$355,MATCH($C194,Deals!$A$2:$A$355,0))=0,"",INDEX(Deals!$AF$2:$AF$355,MATCH($C194,Deals!$A$2:$A$355,0))),""))</f>
        <v/>
      </c>
      <c r="AF194" s="35">
        <f>IF($AD194="",DATE(1900,1,1),$AD194)</f>
        <v/>
      </c>
      <c r="AG194" s="35">
        <f>IF($AE194="",DATE(2100,12,31),$AE194)</f>
        <v/>
      </c>
      <c r="AH194" s="22">
        <f>IF($C194="","",IFERROR(IF(INDEX(Deals!$AG$2:$AG$355,MATCH($C194,Deals!$A$2:$A$355,0))=0,"",INDEX(Deals!$AG$2:$AG$355,MATCH($C194,Deals!$A$2:$A$355,0))),""))</f>
        <v/>
      </c>
      <c r="AI194" s="35">
        <f>IF(OR($AH194&lt;&gt;"",AND($AO194&gt;0,$AD194&lt;&gt;"",$AE194&lt;&gt;"")),$AF194,DATE(1900,1,1))</f>
        <v/>
      </c>
      <c r="AJ194" s="35">
        <f>IF($AH194&lt;&gt;"",$AH194,IF(AND($AO194&gt;0,$AD194&lt;&gt;"",$AE194&lt;&gt;""),$AG194,DATE(2100,12,31)))</f>
        <v/>
      </c>
      <c r="AK194" s="32">
        <f>IF($AH194="",$AC194,$AC194*$S194)</f>
        <v/>
      </c>
      <c r="AL194" s="35">
        <f>IF($AH194="",DATE(2100,12,31),$AH194+1)</f>
        <v/>
      </c>
      <c r="AM194" s="35">
        <f>IF($AH194="",DATE(1900,1,1),$AG194)</f>
        <v/>
      </c>
      <c r="AN194" s="32">
        <f>IF($AH194="",0,$AC194*$T194)</f>
        <v/>
      </c>
      <c r="AO194" s="46">
        <f>IF($C194="",0,IFERROR(INDEX(Deals!$BD$2:$BD$355,MATCH($C194,Deals!$A$2:$A$355,0)),0))</f>
        <v/>
      </c>
      <c r="AP194" s="18">
        <f>IF($AO194=0,0,IFERROR(INDEX(Deals!$BJ$2:$BP$355,MATCH($C194,Deals!$A$2:$A$355,0),MATCH($F194,Deals!$BJ$1:$BP$1,0))/COUNTIFS(Assignments!$C$2:$C$769,$C194,Assignments!$F$2:$F$769,$F194,Assignments!$G$2:$G$769,"Active"),0))</f>
        <v/>
      </c>
    </row>
    <row r="195">
      <c r="A195" s="28" t="inlineStr">
        <is>
          <t>Jeremy</t>
        </is>
      </c>
      <c r="B195" s="16">
        <f>IF($A195="","",IFERROR(INDEX(Roster!$B$2:$B$40,MATCH($A195,Roster!$A$2:$A$40,0)),"?"))</f>
        <v/>
      </c>
      <c r="C195" s="28" t="inlineStr">
        <is>
          <t>Redwood_1</t>
        </is>
      </c>
      <c r="D195" s="16">
        <f>IF($C195="","",IFERROR(IF(INDEX(Deals!$C$2:$C$355,MATCH($C195,Deals!$A$2:$A$355,0))=0,"",INDEX(Deals!$C$2:$C$355,MATCH($C195,Deals!$A$2:$A$355,0))),"?"))</f>
        <v/>
      </c>
      <c r="E195" s="16">
        <f>IF($C195="","",IFERROR(INDEX(Deals!$F$2:$F$355,MATCH($C195,Deals!$A$2:$A$355,0)),"?"))</f>
        <v/>
      </c>
      <c r="F195" s="28" t="inlineStr">
        <is>
          <t>MD</t>
        </is>
      </c>
      <c r="G195" s="28" t="inlineStr">
        <is>
          <t>Active</t>
        </is>
      </c>
      <c r="H195" s="31" t="n"/>
      <c r="I195" s="32">
        <f>IF(OR($A195="",$G195&lt;&gt;"Active"),0,IF($H195&lt;&gt;"",$H195,IF($AO195&gt;0,$AP195,IF(AND($R195&lt;&gt;"",IFERROR(INDEX(Templates!$B$3:$H$10,MATCH($R195,Templates!$A$3:$A$10,0),MATCH($F195,Templates!$B$2:$H$2,0)),0)&gt;0),INDEX(Templates!$B$3:$H$10,MATCH($R195,Templates!$A$3:$A$10,0),MATCH($F195,Templates!$B$2:$H$2,0)),IFERROR(INDEX(Settings!$B$8:$B$14,MATCH($F195,Settings!$A$8:$A$14,0)),0)))))</f>
        <v/>
      </c>
      <c r="J195" s="21">
        <f>IF($C195="",0,IFERROR(INDEX(Deals!$H$2:$H$355,MATCH($C195,Deals!$A$2:$A$355,0)),0))</f>
        <v/>
      </c>
      <c r="K195" s="32">
        <f>IF(Settings!$B$4="Yes",$I195*$J195,$I195)</f>
        <v/>
      </c>
      <c r="L195" s="22">
        <f>IF($C195="","",IFERROR(IF(INDEX(Deals!$I$2:$I$355,MATCH($C195,Deals!$A$2:$A$355,0))=0,"",INDEX(Deals!$I$2:$I$355,MATCH($C195,Deals!$A$2:$A$355,0))),""))</f>
        <v/>
      </c>
      <c r="M195" s="22">
        <f>IF($C195="","",IFERROR(IF(INDEX(Deals!$J$2:$J$355,MATCH($C195,Deals!$A$2:$A$355,0))=0,"",INDEX(Deals!$J$2:$J$355,MATCH($C195,Deals!$A$2:$A$355,0))),""))</f>
        <v/>
      </c>
      <c r="N195" s="35">
        <f>IF($L195="",DATE(1900,1,1),$L195)</f>
        <v/>
      </c>
      <c r="O195" s="35">
        <f>IF($M195="",DATE(2100,12,31),$M195)</f>
        <v/>
      </c>
      <c r="P195" s="20" t="inlineStr"/>
      <c r="Q195" s="47" t="inlineStr"/>
      <c r="R195" s="16">
        <f>IF($C195="","",IFERROR(IF(INDEX(Deals!$U$2:$U$355,MATCH($C195,Deals!$A$2:$A$355,0))=0,"",INDEX(Deals!$U$2:$U$355,MATCH($C195,Deals!$A$2:$A$355,0))),""))</f>
        <v/>
      </c>
      <c r="S195" s="34">
        <f>IFERROR(IF($U195="",1,INDEX(Deals!$V$2:$V$355,MATCH($C195,Deals!$A$2:$A$355,0))),1)</f>
        <v/>
      </c>
      <c r="T195" s="34">
        <f>IFERROR(IF($U195="",1,INDEX(Deals!$W$2:$W$355,MATCH($C195,Deals!$A$2:$A$355,0))),1)</f>
        <v/>
      </c>
      <c r="U195" s="22">
        <f>IF($C195="","",IFERROR(IF(INDEX(Deals!$Y$2:$Y$355,MATCH($C195,Deals!$A$2:$A$355,0))=0,"",INDEX(Deals!$Y$2:$Y$355,MATCH($C195,Deals!$A$2:$A$355,0))),""))</f>
        <v/>
      </c>
      <c r="V195" s="35">
        <f>IF(OR($U195&lt;&gt;"",AND($AO195&gt;0,$L195&lt;&gt;"",$M195&lt;&gt;"")),$N195,DATE(1900,1,1))</f>
        <v/>
      </c>
      <c r="W195" s="35">
        <f>IF($U195&lt;&gt;"",$U195,IF(AND($AO195&gt;0,$L195&lt;&gt;"",$M195&lt;&gt;""),$O195,DATE(2100,12,31)))</f>
        <v/>
      </c>
      <c r="X195" s="32">
        <f>IF($U195="",$K195,$K195*$S195)</f>
        <v/>
      </c>
      <c r="Y195" s="35">
        <f>IF($U195="",DATE(2100,12,31),$U195+1)</f>
        <v/>
      </c>
      <c r="Z195" s="35">
        <f>IF($U195="",DATE(1900,1,1),$O195)</f>
        <v/>
      </c>
      <c r="AA195" s="32">
        <f>IF($U195="",0,$K195*$T195)</f>
        <v/>
      </c>
      <c r="AB195" s="21">
        <f>IF($C195="",0,IFERROR(INDEX(Deals!$AD$2:$AD$355,MATCH($C195,Deals!$A$2:$A$355,0)),0))</f>
        <v/>
      </c>
      <c r="AC195" s="32">
        <f>IF(Settings!$B$4="Yes",$I195*$AB195,$I195)</f>
        <v/>
      </c>
      <c r="AD195" s="22">
        <f>IF($C195="","",IFERROR(IF(INDEX(Deals!$AE$2:$AE$355,MATCH($C195,Deals!$A$2:$A$355,0))=0,"",INDEX(Deals!$AE$2:$AE$355,MATCH($C195,Deals!$A$2:$A$355,0))),""))</f>
        <v/>
      </c>
      <c r="AE195" s="22">
        <f>IF($C195="","",IFERROR(IF(INDEX(Deals!$AF$2:$AF$355,MATCH($C195,Deals!$A$2:$A$355,0))=0,"",INDEX(Deals!$AF$2:$AF$355,MATCH($C195,Deals!$A$2:$A$355,0))),""))</f>
        <v/>
      </c>
      <c r="AF195" s="35">
        <f>IF($AD195="",DATE(1900,1,1),$AD195)</f>
        <v/>
      </c>
      <c r="AG195" s="35">
        <f>IF($AE195="",DATE(2100,12,31),$AE195)</f>
        <v/>
      </c>
      <c r="AH195" s="22">
        <f>IF($C195="","",IFERROR(IF(INDEX(Deals!$AG$2:$AG$355,MATCH($C195,Deals!$A$2:$A$355,0))=0,"",INDEX(Deals!$AG$2:$AG$355,MATCH($C195,Deals!$A$2:$A$355,0))),""))</f>
        <v/>
      </c>
      <c r="AI195" s="35">
        <f>IF(OR($AH195&lt;&gt;"",AND($AO195&gt;0,$AD195&lt;&gt;"",$AE195&lt;&gt;"")),$AF195,DATE(1900,1,1))</f>
        <v/>
      </c>
      <c r="AJ195" s="35">
        <f>IF($AH195&lt;&gt;"",$AH195,IF(AND($AO195&gt;0,$AD195&lt;&gt;"",$AE195&lt;&gt;""),$AG195,DATE(2100,12,31)))</f>
        <v/>
      </c>
      <c r="AK195" s="32">
        <f>IF($AH195="",$AC195,$AC195*$S195)</f>
        <v/>
      </c>
      <c r="AL195" s="35">
        <f>IF($AH195="",DATE(2100,12,31),$AH195+1)</f>
        <v/>
      </c>
      <c r="AM195" s="35">
        <f>IF($AH195="",DATE(1900,1,1),$AG195)</f>
        <v/>
      </c>
      <c r="AN195" s="32">
        <f>IF($AH195="",0,$AC195*$T195)</f>
        <v/>
      </c>
      <c r="AO195" s="46">
        <f>IF($C195="",0,IFERROR(INDEX(Deals!$BD$2:$BD$355,MATCH($C195,Deals!$A$2:$A$355,0)),0))</f>
        <v/>
      </c>
      <c r="AP195" s="18">
        <f>IF($AO195=0,0,IFERROR(INDEX(Deals!$BJ$2:$BP$355,MATCH($C195,Deals!$A$2:$A$355,0),MATCH($F195,Deals!$BJ$1:$BP$1,0))/COUNTIFS(Assignments!$C$2:$C$769,$C195,Assignments!$F$2:$F$769,$F195,Assignments!$G$2:$G$769,"Active"),0))</f>
        <v/>
      </c>
    </row>
    <row r="196">
      <c r="A196" s="28" t="inlineStr">
        <is>
          <t>Jeremy</t>
        </is>
      </c>
      <c r="B196" s="16">
        <f>IF($A196="","",IFERROR(INDEX(Roster!$B$2:$B$40,MATCH($A196,Roster!$A$2:$A$40,0)),"?"))</f>
        <v/>
      </c>
      <c r="C196" s="28" t="inlineStr">
        <is>
          <t>Rosa_1</t>
        </is>
      </c>
      <c r="D196" s="16">
        <f>IF($C196="","",IFERROR(IF(INDEX(Deals!$C$2:$C$355,MATCH($C196,Deals!$A$2:$A$355,0))=0,"",INDEX(Deals!$C$2:$C$355,MATCH($C196,Deals!$A$2:$A$355,0))),"?"))</f>
        <v/>
      </c>
      <c r="E196" s="16">
        <f>IF($C196="","",IFERROR(INDEX(Deals!$F$2:$F$355,MATCH($C196,Deals!$A$2:$A$355,0)),"?"))</f>
        <v/>
      </c>
      <c r="F196" s="28" t="inlineStr">
        <is>
          <t>MD</t>
        </is>
      </c>
      <c r="G196" s="28" t="inlineStr">
        <is>
          <t>Active</t>
        </is>
      </c>
      <c r="H196" s="31" t="n"/>
      <c r="I196" s="32">
        <f>IF(OR($A196="",$G196&lt;&gt;"Active"),0,IF($H196&lt;&gt;"",$H196,IF($AO196&gt;0,$AP196,IF(AND($R196&lt;&gt;"",IFERROR(INDEX(Templates!$B$3:$H$10,MATCH($R196,Templates!$A$3:$A$10,0),MATCH($F196,Templates!$B$2:$H$2,0)),0)&gt;0),INDEX(Templates!$B$3:$H$10,MATCH($R196,Templates!$A$3:$A$10,0),MATCH($F196,Templates!$B$2:$H$2,0)),IFERROR(INDEX(Settings!$B$8:$B$14,MATCH($F196,Settings!$A$8:$A$14,0)),0)))))</f>
        <v/>
      </c>
      <c r="J196" s="21">
        <f>IF($C196="",0,IFERROR(INDEX(Deals!$H$2:$H$355,MATCH($C196,Deals!$A$2:$A$355,0)),0))</f>
        <v/>
      </c>
      <c r="K196" s="32">
        <f>IF(Settings!$B$4="Yes",$I196*$J196,$I196)</f>
        <v/>
      </c>
      <c r="L196" s="22">
        <f>IF($C196="","",IFERROR(IF(INDEX(Deals!$I$2:$I$355,MATCH($C196,Deals!$A$2:$A$355,0))=0,"",INDEX(Deals!$I$2:$I$355,MATCH($C196,Deals!$A$2:$A$355,0))),""))</f>
        <v/>
      </c>
      <c r="M196" s="22">
        <f>IF($C196="","",IFERROR(IF(INDEX(Deals!$J$2:$J$355,MATCH($C196,Deals!$A$2:$A$355,0))=0,"",INDEX(Deals!$J$2:$J$355,MATCH($C196,Deals!$A$2:$A$355,0))),""))</f>
        <v/>
      </c>
      <c r="N196" s="35">
        <f>IF($L196="",DATE(1900,1,1),$L196)</f>
        <v/>
      </c>
      <c r="O196" s="35">
        <f>IF($M196="",DATE(2100,12,31),$M196)</f>
        <v/>
      </c>
      <c r="P196" s="20" t="inlineStr"/>
      <c r="Q196" s="47" t="inlineStr"/>
      <c r="R196" s="16">
        <f>IF($C196="","",IFERROR(IF(INDEX(Deals!$U$2:$U$355,MATCH($C196,Deals!$A$2:$A$355,0))=0,"",INDEX(Deals!$U$2:$U$355,MATCH($C196,Deals!$A$2:$A$355,0))),""))</f>
        <v/>
      </c>
      <c r="S196" s="34">
        <f>IFERROR(IF($U196="",1,INDEX(Deals!$V$2:$V$355,MATCH($C196,Deals!$A$2:$A$355,0))),1)</f>
        <v/>
      </c>
      <c r="T196" s="34">
        <f>IFERROR(IF($U196="",1,INDEX(Deals!$W$2:$W$355,MATCH($C196,Deals!$A$2:$A$355,0))),1)</f>
        <v/>
      </c>
      <c r="U196" s="22">
        <f>IF($C196="","",IFERROR(IF(INDEX(Deals!$Y$2:$Y$355,MATCH($C196,Deals!$A$2:$A$355,0))=0,"",INDEX(Deals!$Y$2:$Y$355,MATCH($C196,Deals!$A$2:$A$355,0))),""))</f>
        <v/>
      </c>
      <c r="V196" s="35">
        <f>IF(OR($U196&lt;&gt;"",AND($AO196&gt;0,$L196&lt;&gt;"",$M196&lt;&gt;"")),$N196,DATE(1900,1,1))</f>
        <v/>
      </c>
      <c r="W196" s="35">
        <f>IF($U196&lt;&gt;"",$U196,IF(AND($AO196&gt;0,$L196&lt;&gt;"",$M196&lt;&gt;""),$O196,DATE(2100,12,31)))</f>
        <v/>
      </c>
      <c r="X196" s="32">
        <f>IF($U196="",$K196,$K196*$S196)</f>
        <v/>
      </c>
      <c r="Y196" s="35">
        <f>IF($U196="",DATE(2100,12,31),$U196+1)</f>
        <v/>
      </c>
      <c r="Z196" s="35">
        <f>IF($U196="",DATE(1900,1,1),$O196)</f>
        <v/>
      </c>
      <c r="AA196" s="32">
        <f>IF($U196="",0,$K196*$T196)</f>
        <v/>
      </c>
      <c r="AB196" s="21">
        <f>IF($C196="",0,IFERROR(INDEX(Deals!$AD$2:$AD$355,MATCH($C196,Deals!$A$2:$A$355,0)),0))</f>
        <v/>
      </c>
      <c r="AC196" s="32">
        <f>IF(Settings!$B$4="Yes",$I196*$AB196,$I196)</f>
        <v/>
      </c>
      <c r="AD196" s="22">
        <f>IF($C196="","",IFERROR(IF(INDEX(Deals!$AE$2:$AE$355,MATCH($C196,Deals!$A$2:$A$355,0))=0,"",INDEX(Deals!$AE$2:$AE$355,MATCH($C196,Deals!$A$2:$A$355,0))),""))</f>
        <v/>
      </c>
      <c r="AE196" s="22">
        <f>IF($C196="","",IFERROR(IF(INDEX(Deals!$AF$2:$AF$355,MATCH($C196,Deals!$A$2:$A$355,0))=0,"",INDEX(Deals!$AF$2:$AF$355,MATCH($C196,Deals!$A$2:$A$355,0))),""))</f>
        <v/>
      </c>
      <c r="AF196" s="35">
        <f>IF($AD196="",DATE(1900,1,1),$AD196)</f>
        <v/>
      </c>
      <c r="AG196" s="35">
        <f>IF($AE196="",DATE(2100,12,31),$AE196)</f>
        <v/>
      </c>
      <c r="AH196" s="22">
        <f>IF($C196="","",IFERROR(IF(INDEX(Deals!$AG$2:$AG$355,MATCH($C196,Deals!$A$2:$A$355,0))=0,"",INDEX(Deals!$AG$2:$AG$355,MATCH($C196,Deals!$A$2:$A$355,0))),""))</f>
        <v/>
      </c>
      <c r="AI196" s="35">
        <f>IF(OR($AH196&lt;&gt;"",AND($AO196&gt;0,$AD196&lt;&gt;"",$AE196&lt;&gt;"")),$AF196,DATE(1900,1,1))</f>
        <v/>
      </c>
      <c r="AJ196" s="35">
        <f>IF($AH196&lt;&gt;"",$AH196,IF(AND($AO196&gt;0,$AD196&lt;&gt;"",$AE196&lt;&gt;""),$AG196,DATE(2100,12,31)))</f>
        <v/>
      </c>
      <c r="AK196" s="32">
        <f>IF($AH196="",$AC196,$AC196*$S196)</f>
        <v/>
      </c>
      <c r="AL196" s="35">
        <f>IF($AH196="",DATE(2100,12,31),$AH196+1)</f>
        <v/>
      </c>
      <c r="AM196" s="35">
        <f>IF($AH196="",DATE(1900,1,1),$AG196)</f>
        <v/>
      </c>
      <c r="AN196" s="32">
        <f>IF($AH196="",0,$AC196*$T196)</f>
        <v/>
      </c>
      <c r="AO196" s="46">
        <f>IF($C196="",0,IFERROR(INDEX(Deals!$BD$2:$BD$355,MATCH($C196,Deals!$A$2:$A$355,0)),0))</f>
        <v/>
      </c>
      <c r="AP196" s="18">
        <f>IF($AO196=0,0,IFERROR(INDEX(Deals!$BJ$2:$BP$355,MATCH($C196,Deals!$A$2:$A$355,0),MATCH($F196,Deals!$BJ$1:$BP$1,0))/COUNTIFS(Assignments!$C$2:$C$769,$C196,Assignments!$F$2:$F$769,$F196,Assignments!$G$2:$G$769,"Active"),0))</f>
        <v/>
      </c>
    </row>
    <row r="197">
      <c r="A197" s="28" t="inlineStr">
        <is>
          <t>Jeremy</t>
        </is>
      </c>
      <c r="B197" s="16">
        <f>IF($A197="","",IFERROR(INDEX(Roster!$B$2:$B$40,MATCH($A197,Roster!$A$2:$A$40,0)),"?"))</f>
        <v/>
      </c>
      <c r="C197" s="28" t="inlineStr">
        <is>
          <t>Sentinel_2</t>
        </is>
      </c>
      <c r="D197" s="16">
        <f>IF($C197="","",IFERROR(IF(INDEX(Deals!$C$2:$C$355,MATCH($C197,Deals!$A$2:$A$355,0))=0,"",INDEX(Deals!$C$2:$C$355,MATCH($C197,Deals!$A$2:$A$355,0))),"?"))</f>
        <v/>
      </c>
      <c r="E197" s="16">
        <f>IF($C197="","",IFERROR(INDEX(Deals!$F$2:$F$355,MATCH($C197,Deals!$A$2:$A$355,0)),"?"))</f>
        <v/>
      </c>
      <c r="F197" s="28" t="inlineStr">
        <is>
          <t>MD</t>
        </is>
      </c>
      <c r="G197" s="28" t="inlineStr">
        <is>
          <t>Active</t>
        </is>
      </c>
      <c r="H197" s="31" t="n"/>
      <c r="I197" s="32">
        <f>IF(OR($A197="",$G197&lt;&gt;"Active"),0,IF($H197&lt;&gt;"",$H197,IF($AO197&gt;0,$AP197,IF(AND($R197&lt;&gt;"",IFERROR(INDEX(Templates!$B$3:$H$10,MATCH($R197,Templates!$A$3:$A$10,0),MATCH($F197,Templates!$B$2:$H$2,0)),0)&gt;0),INDEX(Templates!$B$3:$H$10,MATCH($R197,Templates!$A$3:$A$10,0),MATCH($F197,Templates!$B$2:$H$2,0)),IFERROR(INDEX(Settings!$B$8:$B$14,MATCH($F197,Settings!$A$8:$A$14,0)),0)))))</f>
        <v/>
      </c>
      <c r="J197" s="21">
        <f>IF($C197="",0,IFERROR(INDEX(Deals!$H$2:$H$355,MATCH($C197,Deals!$A$2:$A$355,0)),0))</f>
        <v/>
      </c>
      <c r="K197" s="32">
        <f>IF(Settings!$B$4="Yes",$I197*$J197,$I197)</f>
        <v/>
      </c>
      <c r="L197" s="22">
        <f>IF($C197="","",IFERROR(IF(INDEX(Deals!$I$2:$I$355,MATCH($C197,Deals!$A$2:$A$355,0))=0,"",INDEX(Deals!$I$2:$I$355,MATCH($C197,Deals!$A$2:$A$355,0))),""))</f>
        <v/>
      </c>
      <c r="M197" s="22">
        <f>IF($C197="","",IFERROR(IF(INDEX(Deals!$J$2:$J$355,MATCH($C197,Deals!$A$2:$A$355,0))=0,"",INDEX(Deals!$J$2:$J$355,MATCH($C197,Deals!$A$2:$A$355,0))),""))</f>
        <v/>
      </c>
      <c r="N197" s="35">
        <f>IF($L197="",DATE(1900,1,1),$L197)</f>
        <v/>
      </c>
      <c r="O197" s="35">
        <f>IF($M197="",DATE(2100,12,31),$M197)</f>
        <v/>
      </c>
      <c r="P197" s="20" t="inlineStr"/>
      <c r="Q197" s="47" t="inlineStr"/>
      <c r="R197" s="16">
        <f>IF($C197="","",IFERROR(IF(INDEX(Deals!$U$2:$U$355,MATCH($C197,Deals!$A$2:$A$355,0))=0,"",INDEX(Deals!$U$2:$U$355,MATCH($C197,Deals!$A$2:$A$355,0))),""))</f>
        <v/>
      </c>
      <c r="S197" s="34">
        <f>IFERROR(IF($U197="",1,INDEX(Deals!$V$2:$V$355,MATCH($C197,Deals!$A$2:$A$355,0))),1)</f>
        <v/>
      </c>
      <c r="T197" s="34">
        <f>IFERROR(IF($U197="",1,INDEX(Deals!$W$2:$W$355,MATCH($C197,Deals!$A$2:$A$355,0))),1)</f>
        <v/>
      </c>
      <c r="U197" s="22">
        <f>IF($C197="","",IFERROR(IF(INDEX(Deals!$Y$2:$Y$355,MATCH($C197,Deals!$A$2:$A$355,0))=0,"",INDEX(Deals!$Y$2:$Y$355,MATCH($C197,Deals!$A$2:$A$355,0))),""))</f>
        <v/>
      </c>
      <c r="V197" s="35">
        <f>IF(OR($U197&lt;&gt;"",AND($AO197&gt;0,$L197&lt;&gt;"",$M197&lt;&gt;"")),$N197,DATE(1900,1,1))</f>
        <v/>
      </c>
      <c r="W197" s="35">
        <f>IF($U197&lt;&gt;"",$U197,IF(AND($AO197&gt;0,$L197&lt;&gt;"",$M197&lt;&gt;""),$O197,DATE(2100,12,31)))</f>
        <v/>
      </c>
      <c r="X197" s="32">
        <f>IF($U197="",$K197,$K197*$S197)</f>
        <v/>
      </c>
      <c r="Y197" s="35">
        <f>IF($U197="",DATE(2100,12,31),$U197+1)</f>
        <v/>
      </c>
      <c r="Z197" s="35">
        <f>IF($U197="",DATE(1900,1,1),$O197)</f>
        <v/>
      </c>
      <c r="AA197" s="32">
        <f>IF($U197="",0,$K197*$T197)</f>
        <v/>
      </c>
      <c r="AB197" s="21">
        <f>IF($C197="",0,IFERROR(INDEX(Deals!$AD$2:$AD$355,MATCH($C197,Deals!$A$2:$A$355,0)),0))</f>
        <v/>
      </c>
      <c r="AC197" s="32">
        <f>IF(Settings!$B$4="Yes",$I197*$AB197,$I197)</f>
        <v/>
      </c>
      <c r="AD197" s="22">
        <f>IF($C197="","",IFERROR(IF(INDEX(Deals!$AE$2:$AE$355,MATCH($C197,Deals!$A$2:$A$355,0))=0,"",INDEX(Deals!$AE$2:$AE$355,MATCH($C197,Deals!$A$2:$A$355,0))),""))</f>
        <v/>
      </c>
      <c r="AE197" s="22">
        <f>IF($C197="","",IFERROR(IF(INDEX(Deals!$AF$2:$AF$355,MATCH($C197,Deals!$A$2:$A$355,0))=0,"",INDEX(Deals!$AF$2:$AF$355,MATCH($C197,Deals!$A$2:$A$355,0))),""))</f>
        <v/>
      </c>
      <c r="AF197" s="35">
        <f>IF($AD197="",DATE(1900,1,1),$AD197)</f>
        <v/>
      </c>
      <c r="AG197" s="35">
        <f>IF($AE197="",DATE(2100,12,31),$AE197)</f>
        <v/>
      </c>
      <c r="AH197" s="22">
        <f>IF($C197="","",IFERROR(IF(INDEX(Deals!$AG$2:$AG$355,MATCH($C197,Deals!$A$2:$A$355,0))=0,"",INDEX(Deals!$AG$2:$AG$355,MATCH($C197,Deals!$A$2:$A$355,0))),""))</f>
        <v/>
      </c>
      <c r="AI197" s="35">
        <f>IF(OR($AH197&lt;&gt;"",AND($AO197&gt;0,$AD197&lt;&gt;"",$AE197&lt;&gt;"")),$AF197,DATE(1900,1,1))</f>
        <v/>
      </c>
      <c r="AJ197" s="35">
        <f>IF($AH197&lt;&gt;"",$AH197,IF(AND($AO197&gt;0,$AD197&lt;&gt;"",$AE197&lt;&gt;""),$AG197,DATE(2100,12,31)))</f>
        <v/>
      </c>
      <c r="AK197" s="32">
        <f>IF($AH197="",$AC197,$AC197*$S197)</f>
        <v/>
      </c>
      <c r="AL197" s="35">
        <f>IF($AH197="",DATE(2100,12,31),$AH197+1)</f>
        <v/>
      </c>
      <c r="AM197" s="35">
        <f>IF($AH197="",DATE(1900,1,1),$AG197)</f>
        <v/>
      </c>
      <c r="AN197" s="32">
        <f>IF($AH197="",0,$AC197*$T197)</f>
        <v/>
      </c>
      <c r="AO197" s="46">
        <f>IF($C197="",0,IFERROR(INDEX(Deals!$BD$2:$BD$355,MATCH($C197,Deals!$A$2:$A$355,0)),0))</f>
        <v/>
      </c>
      <c r="AP197" s="18">
        <f>IF($AO197=0,0,IFERROR(INDEX(Deals!$BJ$2:$BP$355,MATCH($C197,Deals!$A$2:$A$355,0),MATCH($F197,Deals!$BJ$1:$BP$1,0))/COUNTIFS(Assignments!$C$2:$C$769,$C197,Assignments!$F$2:$F$769,$F197,Assignments!$G$2:$G$769,"Active"),0))</f>
        <v/>
      </c>
    </row>
    <row r="198">
      <c r="A198" s="28" t="inlineStr">
        <is>
          <t>Jeremy</t>
        </is>
      </c>
      <c r="B198" s="16">
        <f>IF($A198="","",IFERROR(INDEX(Roster!$B$2:$B$40,MATCH($A198,Roster!$A$2:$A$40,0)),"?"))</f>
        <v/>
      </c>
      <c r="C198" s="28" t="inlineStr">
        <is>
          <t>Seven2 PFIC_1</t>
        </is>
      </c>
      <c r="D198" s="16">
        <f>IF($C198="","",IFERROR(IF(INDEX(Deals!$C$2:$C$355,MATCH($C198,Deals!$A$2:$A$355,0))=0,"",INDEX(Deals!$C$2:$C$355,MATCH($C198,Deals!$A$2:$A$355,0))),"?"))</f>
        <v/>
      </c>
      <c r="E198" s="16">
        <f>IF($C198="","",IFERROR(INDEX(Deals!$F$2:$F$355,MATCH($C198,Deals!$A$2:$A$355,0)),"?"))</f>
        <v/>
      </c>
      <c r="F198" s="28" t="inlineStr">
        <is>
          <t>MD</t>
        </is>
      </c>
      <c r="G198" s="28" t="inlineStr">
        <is>
          <t>Active</t>
        </is>
      </c>
      <c r="H198" s="31" t="n"/>
      <c r="I198" s="32">
        <f>IF(OR($A198="",$G198&lt;&gt;"Active"),0,IF($H198&lt;&gt;"",$H198,IF($AO198&gt;0,$AP198,IF(AND($R198&lt;&gt;"",IFERROR(INDEX(Templates!$B$3:$H$10,MATCH($R198,Templates!$A$3:$A$10,0),MATCH($F198,Templates!$B$2:$H$2,0)),0)&gt;0),INDEX(Templates!$B$3:$H$10,MATCH($R198,Templates!$A$3:$A$10,0),MATCH($F198,Templates!$B$2:$H$2,0)),IFERROR(INDEX(Settings!$B$8:$B$14,MATCH($F198,Settings!$A$8:$A$14,0)),0)))))</f>
        <v/>
      </c>
      <c r="J198" s="21">
        <f>IF($C198="",0,IFERROR(INDEX(Deals!$H$2:$H$355,MATCH($C198,Deals!$A$2:$A$355,0)),0))</f>
        <v/>
      </c>
      <c r="K198" s="32">
        <f>IF(Settings!$B$4="Yes",$I198*$J198,$I198)</f>
        <v/>
      </c>
      <c r="L198" s="22">
        <f>IF($C198="","",IFERROR(IF(INDEX(Deals!$I$2:$I$355,MATCH($C198,Deals!$A$2:$A$355,0))=0,"",INDEX(Deals!$I$2:$I$355,MATCH($C198,Deals!$A$2:$A$355,0))),""))</f>
        <v/>
      </c>
      <c r="M198" s="22">
        <f>IF($C198="","",IFERROR(IF(INDEX(Deals!$J$2:$J$355,MATCH($C198,Deals!$A$2:$A$355,0))=0,"",INDEX(Deals!$J$2:$J$355,MATCH($C198,Deals!$A$2:$A$355,0))),""))</f>
        <v/>
      </c>
      <c r="N198" s="35">
        <f>IF($L198="",DATE(1900,1,1),$L198)</f>
        <v/>
      </c>
      <c r="O198" s="35">
        <f>IF($M198="",DATE(2100,12,31),$M198)</f>
        <v/>
      </c>
      <c r="P198" s="20" t="inlineStr"/>
      <c r="Q198" s="47" t="inlineStr"/>
      <c r="R198" s="16">
        <f>IF($C198="","",IFERROR(IF(INDEX(Deals!$U$2:$U$355,MATCH($C198,Deals!$A$2:$A$355,0))=0,"",INDEX(Deals!$U$2:$U$355,MATCH($C198,Deals!$A$2:$A$355,0))),""))</f>
        <v/>
      </c>
      <c r="S198" s="34">
        <f>IFERROR(IF($U198="",1,INDEX(Deals!$V$2:$V$355,MATCH($C198,Deals!$A$2:$A$355,0))),1)</f>
        <v/>
      </c>
      <c r="T198" s="34">
        <f>IFERROR(IF($U198="",1,INDEX(Deals!$W$2:$W$355,MATCH($C198,Deals!$A$2:$A$355,0))),1)</f>
        <v/>
      </c>
      <c r="U198" s="22">
        <f>IF($C198="","",IFERROR(IF(INDEX(Deals!$Y$2:$Y$355,MATCH($C198,Deals!$A$2:$A$355,0))=0,"",INDEX(Deals!$Y$2:$Y$355,MATCH($C198,Deals!$A$2:$A$355,0))),""))</f>
        <v/>
      </c>
      <c r="V198" s="35">
        <f>IF(OR($U198&lt;&gt;"",AND($AO198&gt;0,$L198&lt;&gt;"",$M198&lt;&gt;"")),$N198,DATE(1900,1,1))</f>
        <v/>
      </c>
      <c r="W198" s="35">
        <f>IF($U198&lt;&gt;"",$U198,IF(AND($AO198&gt;0,$L198&lt;&gt;"",$M198&lt;&gt;""),$O198,DATE(2100,12,31)))</f>
        <v/>
      </c>
      <c r="X198" s="32">
        <f>IF($U198="",$K198,$K198*$S198)</f>
        <v/>
      </c>
      <c r="Y198" s="35">
        <f>IF($U198="",DATE(2100,12,31),$U198+1)</f>
        <v/>
      </c>
      <c r="Z198" s="35">
        <f>IF($U198="",DATE(1900,1,1),$O198)</f>
        <v/>
      </c>
      <c r="AA198" s="32">
        <f>IF($U198="",0,$K198*$T198)</f>
        <v/>
      </c>
      <c r="AB198" s="21">
        <f>IF($C198="",0,IFERROR(INDEX(Deals!$AD$2:$AD$355,MATCH($C198,Deals!$A$2:$A$355,0)),0))</f>
        <v/>
      </c>
      <c r="AC198" s="32">
        <f>IF(Settings!$B$4="Yes",$I198*$AB198,$I198)</f>
        <v/>
      </c>
      <c r="AD198" s="22">
        <f>IF($C198="","",IFERROR(IF(INDEX(Deals!$AE$2:$AE$355,MATCH($C198,Deals!$A$2:$A$355,0))=0,"",INDEX(Deals!$AE$2:$AE$355,MATCH($C198,Deals!$A$2:$A$355,0))),""))</f>
        <v/>
      </c>
      <c r="AE198" s="22">
        <f>IF($C198="","",IFERROR(IF(INDEX(Deals!$AF$2:$AF$355,MATCH($C198,Deals!$A$2:$A$355,0))=0,"",INDEX(Deals!$AF$2:$AF$355,MATCH($C198,Deals!$A$2:$A$355,0))),""))</f>
        <v/>
      </c>
      <c r="AF198" s="35">
        <f>IF($AD198="",DATE(1900,1,1),$AD198)</f>
        <v/>
      </c>
      <c r="AG198" s="35">
        <f>IF($AE198="",DATE(2100,12,31),$AE198)</f>
        <v/>
      </c>
      <c r="AH198" s="22">
        <f>IF($C198="","",IFERROR(IF(INDEX(Deals!$AG$2:$AG$355,MATCH($C198,Deals!$A$2:$A$355,0))=0,"",INDEX(Deals!$AG$2:$AG$355,MATCH($C198,Deals!$A$2:$A$355,0))),""))</f>
        <v/>
      </c>
      <c r="AI198" s="35">
        <f>IF(OR($AH198&lt;&gt;"",AND($AO198&gt;0,$AD198&lt;&gt;"",$AE198&lt;&gt;"")),$AF198,DATE(1900,1,1))</f>
        <v/>
      </c>
      <c r="AJ198" s="35">
        <f>IF($AH198&lt;&gt;"",$AH198,IF(AND($AO198&gt;0,$AD198&lt;&gt;"",$AE198&lt;&gt;""),$AG198,DATE(2100,12,31)))</f>
        <v/>
      </c>
      <c r="AK198" s="32">
        <f>IF($AH198="",$AC198,$AC198*$S198)</f>
        <v/>
      </c>
      <c r="AL198" s="35">
        <f>IF($AH198="",DATE(2100,12,31),$AH198+1)</f>
        <v/>
      </c>
      <c r="AM198" s="35">
        <f>IF($AH198="",DATE(1900,1,1),$AG198)</f>
        <v/>
      </c>
      <c r="AN198" s="32">
        <f>IF($AH198="",0,$AC198*$T198)</f>
        <v/>
      </c>
      <c r="AO198" s="46">
        <f>IF($C198="",0,IFERROR(INDEX(Deals!$BD$2:$BD$355,MATCH($C198,Deals!$A$2:$A$355,0)),0))</f>
        <v/>
      </c>
      <c r="AP198" s="18">
        <f>IF($AO198=0,0,IFERROR(INDEX(Deals!$BJ$2:$BP$355,MATCH($C198,Deals!$A$2:$A$355,0),MATCH($F198,Deals!$BJ$1:$BP$1,0))/COUNTIFS(Assignments!$C$2:$C$769,$C198,Assignments!$F$2:$F$769,$F198,Assignments!$G$2:$G$769,"Active"),0))</f>
        <v/>
      </c>
    </row>
    <row r="199">
      <c r="A199" s="28" t="inlineStr">
        <is>
          <t>Jeremy</t>
        </is>
      </c>
      <c r="B199" s="16">
        <f>IF($A199="","",IFERROR(INDEX(Roster!$B$2:$B$40,MATCH($A199,Roster!$A$2:$A$40,0)),"?"))</f>
        <v/>
      </c>
      <c r="C199" s="28" t="inlineStr">
        <is>
          <t>Theoden_1</t>
        </is>
      </c>
      <c r="D199" s="16">
        <f>IF($C199="","",IFERROR(IF(INDEX(Deals!$C$2:$C$355,MATCH($C199,Deals!$A$2:$A$355,0))=0,"",INDEX(Deals!$C$2:$C$355,MATCH($C199,Deals!$A$2:$A$355,0))),"?"))</f>
        <v/>
      </c>
      <c r="E199" s="16">
        <f>IF($C199="","",IFERROR(INDEX(Deals!$F$2:$F$355,MATCH($C199,Deals!$A$2:$A$355,0)),"?"))</f>
        <v/>
      </c>
      <c r="F199" s="28" t="inlineStr">
        <is>
          <t>MD</t>
        </is>
      </c>
      <c r="G199" s="28" t="inlineStr">
        <is>
          <t>Active</t>
        </is>
      </c>
      <c r="H199" s="31" t="n"/>
      <c r="I199" s="32">
        <f>IF(OR($A199="",$G199&lt;&gt;"Active"),0,IF($H199&lt;&gt;"",$H199,IF($AO199&gt;0,$AP199,IF(AND($R199&lt;&gt;"",IFERROR(INDEX(Templates!$B$3:$H$10,MATCH($R199,Templates!$A$3:$A$10,0),MATCH($F199,Templates!$B$2:$H$2,0)),0)&gt;0),INDEX(Templates!$B$3:$H$10,MATCH($R199,Templates!$A$3:$A$10,0),MATCH($F199,Templates!$B$2:$H$2,0)),IFERROR(INDEX(Settings!$B$8:$B$14,MATCH($F199,Settings!$A$8:$A$14,0)),0)))))</f>
        <v/>
      </c>
      <c r="J199" s="21">
        <f>IF($C199="",0,IFERROR(INDEX(Deals!$H$2:$H$355,MATCH($C199,Deals!$A$2:$A$355,0)),0))</f>
        <v/>
      </c>
      <c r="K199" s="32">
        <f>IF(Settings!$B$4="Yes",$I199*$J199,$I199)</f>
        <v/>
      </c>
      <c r="L199" s="22">
        <f>IF($C199="","",IFERROR(IF(INDEX(Deals!$I$2:$I$355,MATCH($C199,Deals!$A$2:$A$355,0))=0,"",INDEX(Deals!$I$2:$I$355,MATCH($C199,Deals!$A$2:$A$355,0))),""))</f>
        <v/>
      </c>
      <c r="M199" s="22">
        <f>IF($C199="","",IFERROR(IF(INDEX(Deals!$J$2:$J$355,MATCH($C199,Deals!$A$2:$A$355,0))=0,"",INDEX(Deals!$J$2:$J$355,MATCH($C199,Deals!$A$2:$A$355,0))),""))</f>
        <v/>
      </c>
      <c r="N199" s="35">
        <f>IF($L199="",DATE(1900,1,1),$L199)</f>
        <v/>
      </c>
      <c r="O199" s="35">
        <f>IF($M199="",DATE(2100,12,31),$M199)</f>
        <v/>
      </c>
      <c r="P199" s="20" t="inlineStr"/>
      <c r="Q199" s="47" t="inlineStr"/>
      <c r="R199" s="16">
        <f>IF($C199="","",IFERROR(IF(INDEX(Deals!$U$2:$U$355,MATCH($C199,Deals!$A$2:$A$355,0))=0,"",INDEX(Deals!$U$2:$U$355,MATCH($C199,Deals!$A$2:$A$355,0))),""))</f>
        <v/>
      </c>
      <c r="S199" s="34">
        <f>IFERROR(IF($U199="",1,INDEX(Deals!$V$2:$V$355,MATCH($C199,Deals!$A$2:$A$355,0))),1)</f>
        <v/>
      </c>
      <c r="T199" s="34">
        <f>IFERROR(IF($U199="",1,INDEX(Deals!$W$2:$W$355,MATCH($C199,Deals!$A$2:$A$355,0))),1)</f>
        <v/>
      </c>
      <c r="U199" s="22">
        <f>IF($C199="","",IFERROR(IF(INDEX(Deals!$Y$2:$Y$355,MATCH($C199,Deals!$A$2:$A$355,0))=0,"",INDEX(Deals!$Y$2:$Y$355,MATCH($C199,Deals!$A$2:$A$355,0))),""))</f>
        <v/>
      </c>
      <c r="V199" s="35">
        <f>IF(OR($U199&lt;&gt;"",AND($AO199&gt;0,$L199&lt;&gt;"",$M199&lt;&gt;"")),$N199,DATE(1900,1,1))</f>
        <v/>
      </c>
      <c r="W199" s="35">
        <f>IF($U199&lt;&gt;"",$U199,IF(AND($AO199&gt;0,$L199&lt;&gt;"",$M199&lt;&gt;""),$O199,DATE(2100,12,31)))</f>
        <v/>
      </c>
      <c r="X199" s="32">
        <f>IF($U199="",$K199,$K199*$S199)</f>
        <v/>
      </c>
      <c r="Y199" s="35">
        <f>IF($U199="",DATE(2100,12,31),$U199+1)</f>
        <v/>
      </c>
      <c r="Z199" s="35">
        <f>IF($U199="",DATE(1900,1,1),$O199)</f>
        <v/>
      </c>
      <c r="AA199" s="32">
        <f>IF($U199="",0,$K199*$T199)</f>
        <v/>
      </c>
      <c r="AB199" s="21">
        <f>IF($C199="",0,IFERROR(INDEX(Deals!$AD$2:$AD$355,MATCH($C199,Deals!$A$2:$A$355,0)),0))</f>
        <v/>
      </c>
      <c r="AC199" s="32">
        <f>IF(Settings!$B$4="Yes",$I199*$AB199,$I199)</f>
        <v/>
      </c>
      <c r="AD199" s="22">
        <f>IF($C199="","",IFERROR(IF(INDEX(Deals!$AE$2:$AE$355,MATCH($C199,Deals!$A$2:$A$355,0))=0,"",INDEX(Deals!$AE$2:$AE$355,MATCH($C199,Deals!$A$2:$A$355,0))),""))</f>
        <v/>
      </c>
      <c r="AE199" s="22">
        <f>IF($C199="","",IFERROR(IF(INDEX(Deals!$AF$2:$AF$355,MATCH($C199,Deals!$A$2:$A$355,0))=0,"",INDEX(Deals!$AF$2:$AF$355,MATCH($C199,Deals!$A$2:$A$355,0))),""))</f>
        <v/>
      </c>
      <c r="AF199" s="35">
        <f>IF($AD199="",DATE(1900,1,1),$AD199)</f>
        <v/>
      </c>
      <c r="AG199" s="35">
        <f>IF($AE199="",DATE(2100,12,31),$AE199)</f>
        <v/>
      </c>
      <c r="AH199" s="22">
        <f>IF($C199="","",IFERROR(IF(INDEX(Deals!$AG$2:$AG$355,MATCH($C199,Deals!$A$2:$A$355,0))=0,"",INDEX(Deals!$AG$2:$AG$355,MATCH($C199,Deals!$A$2:$A$355,0))),""))</f>
        <v/>
      </c>
      <c r="AI199" s="35">
        <f>IF(OR($AH199&lt;&gt;"",AND($AO199&gt;0,$AD199&lt;&gt;"",$AE199&lt;&gt;"")),$AF199,DATE(1900,1,1))</f>
        <v/>
      </c>
      <c r="AJ199" s="35">
        <f>IF($AH199&lt;&gt;"",$AH199,IF(AND($AO199&gt;0,$AD199&lt;&gt;"",$AE199&lt;&gt;""),$AG199,DATE(2100,12,31)))</f>
        <v/>
      </c>
      <c r="AK199" s="32">
        <f>IF($AH199="",$AC199,$AC199*$S199)</f>
        <v/>
      </c>
      <c r="AL199" s="35">
        <f>IF($AH199="",DATE(2100,12,31),$AH199+1)</f>
        <v/>
      </c>
      <c r="AM199" s="35">
        <f>IF($AH199="",DATE(1900,1,1),$AG199)</f>
        <v/>
      </c>
      <c r="AN199" s="32">
        <f>IF($AH199="",0,$AC199*$T199)</f>
        <v/>
      </c>
      <c r="AO199" s="46">
        <f>IF($C199="",0,IFERROR(INDEX(Deals!$BD$2:$BD$355,MATCH($C199,Deals!$A$2:$A$355,0)),0))</f>
        <v/>
      </c>
      <c r="AP199" s="18">
        <f>IF($AO199=0,0,IFERROR(INDEX(Deals!$BJ$2:$BP$355,MATCH($C199,Deals!$A$2:$A$355,0),MATCH($F199,Deals!$BJ$1:$BP$1,0))/COUNTIFS(Assignments!$C$2:$C$769,$C199,Assignments!$F$2:$F$769,$F199,Assignments!$G$2:$G$769,"Active"),0))</f>
        <v/>
      </c>
    </row>
    <row r="200">
      <c r="A200" s="28" t="inlineStr">
        <is>
          <t>Jeremy</t>
        </is>
      </c>
      <c r="B200" s="16">
        <f>IF($A200="","",IFERROR(INDEX(Roster!$B$2:$B$40,MATCH($A200,Roster!$A$2:$A$40,0)),"?"))</f>
        <v/>
      </c>
      <c r="C200" s="28" t="inlineStr">
        <is>
          <t>Ursa_1</t>
        </is>
      </c>
      <c r="D200" s="16">
        <f>IF($C200="","",IFERROR(IF(INDEX(Deals!$C$2:$C$355,MATCH($C200,Deals!$A$2:$A$355,0))=0,"",INDEX(Deals!$C$2:$C$355,MATCH($C200,Deals!$A$2:$A$355,0))),"?"))</f>
        <v/>
      </c>
      <c r="E200" s="16">
        <f>IF($C200="","",IFERROR(INDEX(Deals!$F$2:$F$355,MATCH($C200,Deals!$A$2:$A$355,0)),"?"))</f>
        <v/>
      </c>
      <c r="F200" s="28" t="inlineStr">
        <is>
          <t>MD</t>
        </is>
      </c>
      <c r="G200" s="28" t="inlineStr">
        <is>
          <t>Active</t>
        </is>
      </c>
      <c r="H200" s="31" t="n"/>
      <c r="I200" s="32">
        <f>IF(OR($A200="",$G200&lt;&gt;"Active"),0,IF($H200&lt;&gt;"",$H200,IF($AO200&gt;0,$AP200,IF(AND($R200&lt;&gt;"",IFERROR(INDEX(Templates!$B$3:$H$10,MATCH($R200,Templates!$A$3:$A$10,0),MATCH($F200,Templates!$B$2:$H$2,0)),0)&gt;0),INDEX(Templates!$B$3:$H$10,MATCH($R200,Templates!$A$3:$A$10,0),MATCH($F200,Templates!$B$2:$H$2,0)),IFERROR(INDEX(Settings!$B$8:$B$14,MATCH($F200,Settings!$A$8:$A$14,0)),0)))))</f>
        <v/>
      </c>
      <c r="J200" s="21">
        <f>IF($C200="",0,IFERROR(INDEX(Deals!$H$2:$H$355,MATCH($C200,Deals!$A$2:$A$355,0)),0))</f>
        <v/>
      </c>
      <c r="K200" s="32">
        <f>IF(Settings!$B$4="Yes",$I200*$J200,$I200)</f>
        <v/>
      </c>
      <c r="L200" s="22">
        <f>IF($C200="","",IFERROR(IF(INDEX(Deals!$I$2:$I$355,MATCH($C200,Deals!$A$2:$A$355,0))=0,"",INDEX(Deals!$I$2:$I$355,MATCH($C200,Deals!$A$2:$A$355,0))),""))</f>
        <v/>
      </c>
      <c r="M200" s="22">
        <f>IF($C200="","",IFERROR(IF(INDEX(Deals!$J$2:$J$355,MATCH($C200,Deals!$A$2:$A$355,0))=0,"",INDEX(Deals!$J$2:$J$355,MATCH($C200,Deals!$A$2:$A$355,0))),""))</f>
        <v/>
      </c>
      <c r="N200" s="35">
        <f>IF($L200="",DATE(1900,1,1),$L200)</f>
        <v/>
      </c>
      <c r="O200" s="35">
        <f>IF($M200="",DATE(2100,12,31),$M200)</f>
        <v/>
      </c>
      <c r="P200" s="20" t="inlineStr"/>
      <c r="Q200" s="47" t="inlineStr"/>
      <c r="R200" s="16">
        <f>IF($C200="","",IFERROR(IF(INDEX(Deals!$U$2:$U$355,MATCH($C200,Deals!$A$2:$A$355,0))=0,"",INDEX(Deals!$U$2:$U$355,MATCH($C200,Deals!$A$2:$A$355,0))),""))</f>
        <v/>
      </c>
      <c r="S200" s="34">
        <f>IFERROR(IF($U200="",1,INDEX(Deals!$V$2:$V$355,MATCH($C200,Deals!$A$2:$A$355,0))),1)</f>
        <v/>
      </c>
      <c r="T200" s="34">
        <f>IFERROR(IF($U200="",1,INDEX(Deals!$W$2:$W$355,MATCH($C200,Deals!$A$2:$A$355,0))),1)</f>
        <v/>
      </c>
      <c r="U200" s="22">
        <f>IF($C200="","",IFERROR(IF(INDEX(Deals!$Y$2:$Y$355,MATCH($C200,Deals!$A$2:$A$355,0))=0,"",INDEX(Deals!$Y$2:$Y$355,MATCH($C200,Deals!$A$2:$A$355,0))),""))</f>
        <v/>
      </c>
      <c r="V200" s="35">
        <f>IF(OR($U200&lt;&gt;"",AND($AO200&gt;0,$L200&lt;&gt;"",$M200&lt;&gt;"")),$N200,DATE(1900,1,1))</f>
        <v/>
      </c>
      <c r="W200" s="35">
        <f>IF($U200&lt;&gt;"",$U200,IF(AND($AO200&gt;0,$L200&lt;&gt;"",$M200&lt;&gt;""),$O200,DATE(2100,12,31)))</f>
        <v/>
      </c>
      <c r="X200" s="32">
        <f>IF($U200="",$K200,$K200*$S200)</f>
        <v/>
      </c>
      <c r="Y200" s="35">
        <f>IF($U200="",DATE(2100,12,31),$U200+1)</f>
        <v/>
      </c>
      <c r="Z200" s="35">
        <f>IF($U200="",DATE(1900,1,1),$O200)</f>
        <v/>
      </c>
      <c r="AA200" s="32">
        <f>IF($U200="",0,$K200*$T200)</f>
        <v/>
      </c>
      <c r="AB200" s="21">
        <f>IF($C200="",0,IFERROR(INDEX(Deals!$AD$2:$AD$355,MATCH($C200,Deals!$A$2:$A$355,0)),0))</f>
        <v/>
      </c>
      <c r="AC200" s="32">
        <f>IF(Settings!$B$4="Yes",$I200*$AB200,$I200)</f>
        <v/>
      </c>
      <c r="AD200" s="22">
        <f>IF($C200="","",IFERROR(IF(INDEX(Deals!$AE$2:$AE$355,MATCH($C200,Deals!$A$2:$A$355,0))=0,"",INDEX(Deals!$AE$2:$AE$355,MATCH($C200,Deals!$A$2:$A$355,0))),""))</f>
        <v/>
      </c>
      <c r="AE200" s="22">
        <f>IF($C200="","",IFERROR(IF(INDEX(Deals!$AF$2:$AF$355,MATCH($C200,Deals!$A$2:$A$355,0))=0,"",INDEX(Deals!$AF$2:$AF$355,MATCH($C200,Deals!$A$2:$A$355,0))),""))</f>
        <v/>
      </c>
      <c r="AF200" s="35">
        <f>IF($AD200="",DATE(1900,1,1),$AD200)</f>
        <v/>
      </c>
      <c r="AG200" s="35">
        <f>IF($AE200="",DATE(2100,12,31),$AE200)</f>
        <v/>
      </c>
      <c r="AH200" s="22">
        <f>IF($C200="","",IFERROR(IF(INDEX(Deals!$AG$2:$AG$355,MATCH($C200,Deals!$A$2:$A$355,0))=0,"",INDEX(Deals!$AG$2:$AG$355,MATCH($C200,Deals!$A$2:$A$355,0))),""))</f>
        <v/>
      </c>
      <c r="AI200" s="35">
        <f>IF(OR($AH200&lt;&gt;"",AND($AO200&gt;0,$AD200&lt;&gt;"",$AE200&lt;&gt;"")),$AF200,DATE(1900,1,1))</f>
        <v/>
      </c>
      <c r="AJ200" s="35">
        <f>IF($AH200&lt;&gt;"",$AH200,IF(AND($AO200&gt;0,$AD200&lt;&gt;"",$AE200&lt;&gt;""),$AG200,DATE(2100,12,31)))</f>
        <v/>
      </c>
      <c r="AK200" s="32">
        <f>IF($AH200="",$AC200,$AC200*$S200)</f>
        <v/>
      </c>
      <c r="AL200" s="35">
        <f>IF($AH200="",DATE(2100,12,31),$AH200+1)</f>
        <v/>
      </c>
      <c r="AM200" s="35">
        <f>IF($AH200="",DATE(1900,1,1),$AG200)</f>
        <v/>
      </c>
      <c r="AN200" s="32">
        <f>IF($AH200="",0,$AC200*$T200)</f>
        <v/>
      </c>
      <c r="AO200" s="46">
        <f>IF($C200="",0,IFERROR(INDEX(Deals!$BD$2:$BD$355,MATCH($C200,Deals!$A$2:$A$355,0)),0))</f>
        <v/>
      </c>
      <c r="AP200" s="18">
        <f>IF($AO200=0,0,IFERROR(INDEX(Deals!$BJ$2:$BP$355,MATCH($C200,Deals!$A$2:$A$355,0),MATCH($F200,Deals!$BJ$1:$BP$1,0))/COUNTIFS(Assignments!$C$2:$C$769,$C200,Assignments!$F$2:$F$769,$F200,Assignments!$G$2:$G$769,"Active"),0))</f>
        <v/>
      </c>
    </row>
    <row r="201">
      <c r="A201" s="28" t="inlineStr">
        <is>
          <t>Jeremy</t>
        </is>
      </c>
      <c r="B201" s="16">
        <f>IF($A201="","",IFERROR(INDEX(Roster!$B$2:$B$40,MATCH($A201,Roster!$A$2:$A$40,0)),"?"))</f>
        <v/>
      </c>
      <c r="C201" s="28" t="inlineStr">
        <is>
          <t>Voyager_1</t>
        </is>
      </c>
      <c r="D201" s="16">
        <f>IF($C201="","",IFERROR(IF(INDEX(Deals!$C$2:$C$355,MATCH($C201,Deals!$A$2:$A$355,0))=0,"",INDEX(Deals!$C$2:$C$355,MATCH($C201,Deals!$A$2:$A$355,0))),"?"))</f>
        <v/>
      </c>
      <c r="E201" s="16">
        <f>IF($C201="","",IFERROR(INDEX(Deals!$F$2:$F$355,MATCH($C201,Deals!$A$2:$A$355,0)),"?"))</f>
        <v/>
      </c>
      <c r="F201" s="28" t="inlineStr">
        <is>
          <t>MD</t>
        </is>
      </c>
      <c r="G201" s="28" t="inlineStr">
        <is>
          <t>Active</t>
        </is>
      </c>
      <c r="H201" s="31" t="n"/>
      <c r="I201" s="32">
        <f>IF(OR($A201="",$G201&lt;&gt;"Active"),0,IF($H201&lt;&gt;"",$H201,IF($AO201&gt;0,$AP201,IF(AND($R201&lt;&gt;"",IFERROR(INDEX(Templates!$B$3:$H$10,MATCH($R201,Templates!$A$3:$A$10,0),MATCH($F201,Templates!$B$2:$H$2,0)),0)&gt;0),INDEX(Templates!$B$3:$H$10,MATCH($R201,Templates!$A$3:$A$10,0),MATCH($F201,Templates!$B$2:$H$2,0)),IFERROR(INDEX(Settings!$B$8:$B$14,MATCH($F201,Settings!$A$8:$A$14,0)),0)))))</f>
        <v/>
      </c>
      <c r="J201" s="21">
        <f>IF($C201="",0,IFERROR(INDEX(Deals!$H$2:$H$355,MATCH($C201,Deals!$A$2:$A$355,0)),0))</f>
        <v/>
      </c>
      <c r="K201" s="32">
        <f>IF(Settings!$B$4="Yes",$I201*$J201,$I201)</f>
        <v/>
      </c>
      <c r="L201" s="22">
        <f>IF($C201="","",IFERROR(IF(INDEX(Deals!$I$2:$I$355,MATCH($C201,Deals!$A$2:$A$355,0))=0,"",INDEX(Deals!$I$2:$I$355,MATCH($C201,Deals!$A$2:$A$355,0))),""))</f>
        <v/>
      </c>
      <c r="M201" s="22">
        <f>IF($C201="","",IFERROR(IF(INDEX(Deals!$J$2:$J$355,MATCH($C201,Deals!$A$2:$A$355,0))=0,"",INDEX(Deals!$J$2:$J$355,MATCH($C201,Deals!$A$2:$A$355,0))),""))</f>
        <v/>
      </c>
      <c r="N201" s="35">
        <f>IF($L201="",DATE(1900,1,1),$L201)</f>
        <v/>
      </c>
      <c r="O201" s="35">
        <f>IF($M201="",DATE(2100,12,31),$M201)</f>
        <v/>
      </c>
      <c r="P201" s="20" t="inlineStr"/>
      <c r="Q201" s="47" t="inlineStr"/>
      <c r="R201" s="16">
        <f>IF($C201="","",IFERROR(IF(INDEX(Deals!$U$2:$U$355,MATCH($C201,Deals!$A$2:$A$355,0))=0,"",INDEX(Deals!$U$2:$U$355,MATCH($C201,Deals!$A$2:$A$355,0))),""))</f>
        <v/>
      </c>
      <c r="S201" s="34">
        <f>IFERROR(IF($U201="",1,INDEX(Deals!$V$2:$V$355,MATCH($C201,Deals!$A$2:$A$355,0))),1)</f>
        <v/>
      </c>
      <c r="T201" s="34">
        <f>IFERROR(IF($U201="",1,INDEX(Deals!$W$2:$W$355,MATCH($C201,Deals!$A$2:$A$355,0))),1)</f>
        <v/>
      </c>
      <c r="U201" s="22">
        <f>IF($C201="","",IFERROR(IF(INDEX(Deals!$Y$2:$Y$355,MATCH($C201,Deals!$A$2:$A$355,0))=0,"",INDEX(Deals!$Y$2:$Y$355,MATCH($C201,Deals!$A$2:$A$355,0))),""))</f>
        <v/>
      </c>
      <c r="V201" s="35">
        <f>IF(OR($U201&lt;&gt;"",AND($AO201&gt;0,$L201&lt;&gt;"",$M201&lt;&gt;"")),$N201,DATE(1900,1,1))</f>
        <v/>
      </c>
      <c r="W201" s="35">
        <f>IF($U201&lt;&gt;"",$U201,IF(AND($AO201&gt;0,$L201&lt;&gt;"",$M201&lt;&gt;""),$O201,DATE(2100,12,31)))</f>
        <v/>
      </c>
      <c r="X201" s="32">
        <f>IF($U201="",$K201,$K201*$S201)</f>
        <v/>
      </c>
      <c r="Y201" s="35">
        <f>IF($U201="",DATE(2100,12,31),$U201+1)</f>
        <v/>
      </c>
      <c r="Z201" s="35">
        <f>IF($U201="",DATE(1900,1,1),$O201)</f>
        <v/>
      </c>
      <c r="AA201" s="32">
        <f>IF($U201="",0,$K201*$T201)</f>
        <v/>
      </c>
      <c r="AB201" s="21">
        <f>IF($C201="",0,IFERROR(INDEX(Deals!$AD$2:$AD$355,MATCH($C201,Deals!$A$2:$A$355,0)),0))</f>
        <v/>
      </c>
      <c r="AC201" s="32">
        <f>IF(Settings!$B$4="Yes",$I201*$AB201,$I201)</f>
        <v/>
      </c>
      <c r="AD201" s="22">
        <f>IF($C201="","",IFERROR(IF(INDEX(Deals!$AE$2:$AE$355,MATCH($C201,Deals!$A$2:$A$355,0))=0,"",INDEX(Deals!$AE$2:$AE$355,MATCH($C201,Deals!$A$2:$A$355,0))),""))</f>
        <v/>
      </c>
      <c r="AE201" s="22">
        <f>IF($C201="","",IFERROR(IF(INDEX(Deals!$AF$2:$AF$355,MATCH($C201,Deals!$A$2:$A$355,0))=0,"",INDEX(Deals!$AF$2:$AF$355,MATCH($C201,Deals!$A$2:$A$355,0))),""))</f>
        <v/>
      </c>
      <c r="AF201" s="35">
        <f>IF($AD201="",DATE(1900,1,1),$AD201)</f>
        <v/>
      </c>
      <c r="AG201" s="35">
        <f>IF($AE201="",DATE(2100,12,31),$AE201)</f>
        <v/>
      </c>
      <c r="AH201" s="22">
        <f>IF($C201="","",IFERROR(IF(INDEX(Deals!$AG$2:$AG$355,MATCH($C201,Deals!$A$2:$A$355,0))=0,"",INDEX(Deals!$AG$2:$AG$355,MATCH($C201,Deals!$A$2:$A$355,0))),""))</f>
        <v/>
      </c>
      <c r="AI201" s="35">
        <f>IF(OR($AH201&lt;&gt;"",AND($AO201&gt;0,$AD201&lt;&gt;"",$AE201&lt;&gt;"")),$AF201,DATE(1900,1,1))</f>
        <v/>
      </c>
      <c r="AJ201" s="35">
        <f>IF($AH201&lt;&gt;"",$AH201,IF(AND($AO201&gt;0,$AD201&lt;&gt;"",$AE201&lt;&gt;""),$AG201,DATE(2100,12,31)))</f>
        <v/>
      </c>
      <c r="AK201" s="32">
        <f>IF($AH201="",$AC201,$AC201*$S201)</f>
        <v/>
      </c>
      <c r="AL201" s="35">
        <f>IF($AH201="",DATE(2100,12,31),$AH201+1)</f>
        <v/>
      </c>
      <c r="AM201" s="35">
        <f>IF($AH201="",DATE(1900,1,1),$AG201)</f>
        <v/>
      </c>
      <c r="AN201" s="32">
        <f>IF($AH201="",0,$AC201*$T201)</f>
        <v/>
      </c>
      <c r="AO201" s="46">
        <f>IF($C201="",0,IFERROR(INDEX(Deals!$BD$2:$BD$355,MATCH($C201,Deals!$A$2:$A$355,0)),0))</f>
        <v/>
      </c>
      <c r="AP201" s="18">
        <f>IF($AO201=0,0,IFERROR(INDEX(Deals!$BJ$2:$BP$355,MATCH($C201,Deals!$A$2:$A$355,0),MATCH($F201,Deals!$BJ$1:$BP$1,0))/COUNTIFS(Assignments!$C$2:$C$769,$C201,Assignments!$F$2:$F$769,$F201,Assignments!$G$2:$G$769,"Active"),0))</f>
        <v/>
      </c>
    </row>
    <row r="202">
      <c r="A202" s="28" t="inlineStr">
        <is>
          <t>Jason</t>
        </is>
      </c>
      <c r="B202" s="16">
        <f>IF($A202="","",IFERROR(INDEX(Roster!$B$2:$B$40,MATCH($A202,Roster!$A$2:$A$40,0)),"?"))</f>
        <v/>
      </c>
      <c r="C202" s="28" t="inlineStr">
        <is>
          <t>360_2</t>
        </is>
      </c>
      <c r="D202" s="16">
        <f>IF($C202="","",IFERROR(IF(INDEX(Deals!$C$2:$C$355,MATCH($C202,Deals!$A$2:$A$355,0))=0,"",INDEX(Deals!$C$2:$C$355,MATCH($C202,Deals!$A$2:$A$355,0))),"?"))</f>
        <v/>
      </c>
      <c r="E202" s="16">
        <f>IF($C202="","",IFERROR(INDEX(Deals!$F$2:$F$355,MATCH($C202,Deals!$A$2:$A$355,0)),"?"))</f>
        <v/>
      </c>
      <c r="F202" s="28" t="inlineStr">
        <is>
          <t>MD</t>
        </is>
      </c>
      <c r="G202" s="28" t="inlineStr">
        <is>
          <t>Active</t>
        </is>
      </c>
      <c r="H202" s="31" t="n"/>
      <c r="I202" s="32">
        <f>IF(OR($A202="",$G202&lt;&gt;"Active"),0,IF($H202&lt;&gt;"",$H202,IF($AO202&gt;0,$AP202,IF(AND($R202&lt;&gt;"",IFERROR(INDEX(Templates!$B$3:$H$10,MATCH($R202,Templates!$A$3:$A$10,0),MATCH($F202,Templates!$B$2:$H$2,0)),0)&gt;0),INDEX(Templates!$B$3:$H$10,MATCH($R202,Templates!$A$3:$A$10,0),MATCH($F202,Templates!$B$2:$H$2,0)),IFERROR(INDEX(Settings!$B$8:$B$14,MATCH($F202,Settings!$A$8:$A$14,0)),0)))))</f>
        <v/>
      </c>
      <c r="J202" s="21">
        <f>IF($C202="",0,IFERROR(INDEX(Deals!$H$2:$H$355,MATCH($C202,Deals!$A$2:$A$355,0)),0))</f>
        <v/>
      </c>
      <c r="K202" s="32">
        <f>IF(Settings!$B$4="Yes",$I202*$J202,$I202)</f>
        <v/>
      </c>
      <c r="L202" s="22">
        <f>IF($C202="","",IFERROR(IF(INDEX(Deals!$I$2:$I$355,MATCH($C202,Deals!$A$2:$A$355,0))=0,"",INDEX(Deals!$I$2:$I$355,MATCH($C202,Deals!$A$2:$A$355,0))),""))</f>
        <v/>
      </c>
      <c r="M202" s="22">
        <f>IF($C202="","",IFERROR(IF(INDEX(Deals!$J$2:$J$355,MATCH($C202,Deals!$A$2:$A$355,0))=0,"",INDEX(Deals!$J$2:$J$355,MATCH($C202,Deals!$A$2:$A$355,0))),""))</f>
        <v/>
      </c>
      <c r="N202" s="35">
        <f>IF($L202="",DATE(1900,1,1),$L202)</f>
        <v/>
      </c>
      <c r="O202" s="35">
        <f>IF($M202="",DATE(2100,12,31),$M202)</f>
        <v/>
      </c>
      <c r="P202" s="20" t="inlineStr"/>
      <c r="Q202" s="47" t="inlineStr"/>
      <c r="R202" s="16">
        <f>IF($C202="","",IFERROR(IF(INDEX(Deals!$U$2:$U$355,MATCH($C202,Deals!$A$2:$A$355,0))=0,"",INDEX(Deals!$U$2:$U$355,MATCH($C202,Deals!$A$2:$A$355,0))),""))</f>
        <v/>
      </c>
      <c r="S202" s="34">
        <f>IFERROR(IF($U202="",1,INDEX(Deals!$V$2:$V$355,MATCH($C202,Deals!$A$2:$A$355,0))),1)</f>
        <v/>
      </c>
      <c r="T202" s="34">
        <f>IFERROR(IF($U202="",1,INDEX(Deals!$W$2:$W$355,MATCH($C202,Deals!$A$2:$A$355,0))),1)</f>
        <v/>
      </c>
      <c r="U202" s="22">
        <f>IF($C202="","",IFERROR(IF(INDEX(Deals!$Y$2:$Y$355,MATCH($C202,Deals!$A$2:$A$355,0))=0,"",INDEX(Deals!$Y$2:$Y$355,MATCH($C202,Deals!$A$2:$A$355,0))),""))</f>
        <v/>
      </c>
      <c r="V202" s="35">
        <f>IF(OR($U202&lt;&gt;"",AND($AO202&gt;0,$L202&lt;&gt;"",$M202&lt;&gt;"")),$N202,DATE(1900,1,1))</f>
        <v/>
      </c>
      <c r="W202" s="35">
        <f>IF($U202&lt;&gt;"",$U202,IF(AND($AO202&gt;0,$L202&lt;&gt;"",$M202&lt;&gt;""),$O202,DATE(2100,12,31)))</f>
        <v/>
      </c>
      <c r="X202" s="32">
        <f>IF($U202="",$K202,$K202*$S202)</f>
        <v/>
      </c>
      <c r="Y202" s="35">
        <f>IF($U202="",DATE(2100,12,31),$U202+1)</f>
        <v/>
      </c>
      <c r="Z202" s="35">
        <f>IF($U202="",DATE(1900,1,1),$O202)</f>
        <v/>
      </c>
      <c r="AA202" s="32">
        <f>IF($U202="",0,$K202*$T202)</f>
        <v/>
      </c>
      <c r="AB202" s="21">
        <f>IF($C202="",0,IFERROR(INDEX(Deals!$AD$2:$AD$355,MATCH($C202,Deals!$A$2:$A$355,0)),0))</f>
        <v/>
      </c>
      <c r="AC202" s="32">
        <f>IF(Settings!$B$4="Yes",$I202*$AB202,$I202)</f>
        <v/>
      </c>
      <c r="AD202" s="22">
        <f>IF($C202="","",IFERROR(IF(INDEX(Deals!$AE$2:$AE$355,MATCH($C202,Deals!$A$2:$A$355,0))=0,"",INDEX(Deals!$AE$2:$AE$355,MATCH($C202,Deals!$A$2:$A$355,0))),""))</f>
        <v/>
      </c>
      <c r="AE202" s="22">
        <f>IF($C202="","",IFERROR(IF(INDEX(Deals!$AF$2:$AF$355,MATCH($C202,Deals!$A$2:$A$355,0))=0,"",INDEX(Deals!$AF$2:$AF$355,MATCH($C202,Deals!$A$2:$A$355,0))),""))</f>
        <v/>
      </c>
      <c r="AF202" s="35">
        <f>IF($AD202="",DATE(1900,1,1),$AD202)</f>
        <v/>
      </c>
      <c r="AG202" s="35">
        <f>IF($AE202="",DATE(2100,12,31),$AE202)</f>
        <v/>
      </c>
      <c r="AH202" s="22">
        <f>IF($C202="","",IFERROR(IF(INDEX(Deals!$AG$2:$AG$355,MATCH($C202,Deals!$A$2:$A$355,0))=0,"",INDEX(Deals!$AG$2:$AG$355,MATCH($C202,Deals!$A$2:$A$355,0))),""))</f>
        <v/>
      </c>
      <c r="AI202" s="35">
        <f>IF(OR($AH202&lt;&gt;"",AND($AO202&gt;0,$AD202&lt;&gt;"",$AE202&lt;&gt;"")),$AF202,DATE(1900,1,1))</f>
        <v/>
      </c>
      <c r="AJ202" s="35">
        <f>IF($AH202&lt;&gt;"",$AH202,IF(AND($AO202&gt;0,$AD202&lt;&gt;"",$AE202&lt;&gt;""),$AG202,DATE(2100,12,31)))</f>
        <v/>
      </c>
      <c r="AK202" s="32">
        <f>IF($AH202="",$AC202,$AC202*$S202)</f>
        <v/>
      </c>
      <c r="AL202" s="35">
        <f>IF($AH202="",DATE(2100,12,31),$AH202+1)</f>
        <v/>
      </c>
      <c r="AM202" s="35">
        <f>IF($AH202="",DATE(1900,1,1),$AG202)</f>
        <v/>
      </c>
      <c r="AN202" s="32">
        <f>IF($AH202="",0,$AC202*$T202)</f>
        <v/>
      </c>
      <c r="AO202" s="46">
        <f>IF($C202="",0,IFERROR(INDEX(Deals!$BD$2:$BD$355,MATCH($C202,Deals!$A$2:$A$355,0)),0))</f>
        <v/>
      </c>
      <c r="AP202" s="18">
        <f>IF($AO202=0,0,IFERROR(INDEX(Deals!$BJ$2:$BP$355,MATCH($C202,Deals!$A$2:$A$355,0),MATCH($F202,Deals!$BJ$1:$BP$1,0))/COUNTIFS(Assignments!$C$2:$C$769,$C202,Assignments!$F$2:$F$769,$F202,Assignments!$G$2:$G$769,"Active"),0))</f>
        <v/>
      </c>
    </row>
    <row r="203">
      <c r="A203" s="28" t="inlineStr">
        <is>
          <t>Jason</t>
        </is>
      </c>
      <c r="B203" s="16">
        <f>IF($A203="","",IFERROR(INDEX(Roster!$B$2:$B$40,MATCH($A203,Roster!$A$2:$A$40,0)),"?"))</f>
        <v/>
      </c>
      <c r="C203" s="28" t="inlineStr">
        <is>
          <t>Beacon_3</t>
        </is>
      </c>
      <c r="D203" s="16">
        <f>IF($C203="","",IFERROR(IF(INDEX(Deals!$C$2:$C$355,MATCH($C203,Deals!$A$2:$A$355,0))=0,"",INDEX(Deals!$C$2:$C$355,MATCH($C203,Deals!$A$2:$A$355,0))),"?"))</f>
        <v/>
      </c>
      <c r="E203" s="16">
        <f>IF($C203="","",IFERROR(INDEX(Deals!$F$2:$F$355,MATCH($C203,Deals!$A$2:$A$355,0)),"?"))</f>
        <v/>
      </c>
      <c r="F203" s="28" t="inlineStr">
        <is>
          <t>MD</t>
        </is>
      </c>
      <c r="G203" s="28" t="inlineStr">
        <is>
          <t>Inactive</t>
        </is>
      </c>
      <c r="H203" s="31" t="n"/>
      <c r="I203" s="32">
        <f>IF(OR($A203="",$G203&lt;&gt;"Active"),0,IF($H203&lt;&gt;"",$H203,IF($AO203&gt;0,$AP203,IF(AND($R203&lt;&gt;"",IFERROR(INDEX(Templates!$B$3:$H$10,MATCH($R203,Templates!$A$3:$A$10,0),MATCH($F203,Templates!$B$2:$H$2,0)),0)&gt;0),INDEX(Templates!$B$3:$H$10,MATCH($R203,Templates!$A$3:$A$10,0),MATCH($F203,Templates!$B$2:$H$2,0)),IFERROR(INDEX(Settings!$B$8:$B$14,MATCH($F203,Settings!$A$8:$A$14,0)),0)))))</f>
        <v/>
      </c>
      <c r="J203" s="21">
        <f>IF($C203="",0,IFERROR(INDEX(Deals!$H$2:$H$355,MATCH($C203,Deals!$A$2:$A$355,0)),0))</f>
        <v/>
      </c>
      <c r="K203" s="32">
        <f>IF(Settings!$B$4="Yes",$I203*$J203,$I203)</f>
        <v/>
      </c>
      <c r="L203" s="22">
        <f>IF($C203="","",IFERROR(IF(INDEX(Deals!$I$2:$I$355,MATCH($C203,Deals!$A$2:$A$355,0))=0,"",INDEX(Deals!$I$2:$I$355,MATCH($C203,Deals!$A$2:$A$355,0))),""))</f>
        <v/>
      </c>
      <c r="M203" s="22">
        <f>IF($C203="","",IFERROR(IF(INDEX(Deals!$J$2:$J$355,MATCH($C203,Deals!$A$2:$A$355,0))=0,"",INDEX(Deals!$J$2:$J$355,MATCH($C203,Deals!$A$2:$A$355,0))),""))</f>
        <v/>
      </c>
      <c r="N203" s="35">
        <f>IF($L203="",DATE(1900,1,1),$L203)</f>
        <v/>
      </c>
      <c r="O203" s="35">
        <f>IF($M203="",DATE(2100,12,31),$M203)</f>
        <v/>
      </c>
      <c r="P203" s="20" t="inlineStr"/>
      <c r="Q203" s="47" t="inlineStr">
        <is>
          <t>Deal lifecycle is Dead</t>
        </is>
      </c>
      <c r="R203" s="16">
        <f>IF($C203="","",IFERROR(IF(INDEX(Deals!$U$2:$U$355,MATCH($C203,Deals!$A$2:$A$355,0))=0,"",INDEX(Deals!$U$2:$U$355,MATCH($C203,Deals!$A$2:$A$355,0))),""))</f>
        <v/>
      </c>
      <c r="S203" s="34">
        <f>IFERROR(IF($U203="",1,INDEX(Deals!$V$2:$V$355,MATCH($C203,Deals!$A$2:$A$355,0))),1)</f>
        <v/>
      </c>
      <c r="T203" s="34">
        <f>IFERROR(IF($U203="",1,INDEX(Deals!$W$2:$W$355,MATCH($C203,Deals!$A$2:$A$355,0))),1)</f>
        <v/>
      </c>
      <c r="U203" s="22">
        <f>IF($C203="","",IFERROR(IF(INDEX(Deals!$Y$2:$Y$355,MATCH($C203,Deals!$A$2:$A$355,0))=0,"",INDEX(Deals!$Y$2:$Y$355,MATCH($C203,Deals!$A$2:$A$355,0))),""))</f>
        <v/>
      </c>
      <c r="V203" s="35">
        <f>IF(OR($U203&lt;&gt;"",AND($AO203&gt;0,$L203&lt;&gt;"",$M203&lt;&gt;"")),$N203,DATE(1900,1,1))</f>
        <v/>
      </c>
      <c r="W203" s="35">
        <f>IF($U203&lt;&gt;"",$U203,IF(AND($AO203&gt;0,$L203&lt;&gt;"",$M203&lt;&gt;""),$O203,DATE(2100,12,31)))</f>
        <v/>
      </c>
      <c r="X203" s="32">
        <f>IF($U203="",$K203,$K203*$S203)</f>
        <v/>
      </c>
      <c r="Y203" s="35">
        <f>IF($U203="",DATE(2100,12,31),$U203+1)</f>
        <v/>
      </c>
      <c r="Z203" s="35">
        <f>IF($U203="",DATE(1900,1,1),$O203)</f>
        <v/>
      </c>
      <c r="AA203" s="32">
        <f>IF($U203="",0,$K203*$T203)</f>
        <v/>
      </c>
      <c r="AB203" s="21">
        <f>IF($C203="",0,IFERROR(INDEX(Deals!$AD$2:$AD$355,MATCH($C203,Deals!$A$2:$A$355,0)),0))</f>
        <v/>
      </c>
      <c r="AC203" s="32">
        <f>IF(Settings!$B$4="Yes",$I203*$AB203,$I203)</f>
        <v/>
      </c>
      <c r="AD203" s="22">
        <f>IF($C203="","",IFERROR(IF(INDEX(Deals!$AE$2:$AE$355,MATCH($C203,Deals!$A$2:$A$355,0))=0,"",INDEX(Deals!$AE$2:$AE$355,MATCH($C203,Deals!$A$2:$A$355,0))),""))</f>
        <v/>
      </c>
      <c r="AE203" s="22">
        <f>IF($C203="","",IFERROR(IF(INDEX(Deals!$AF$2:$AF$355,MATCH($C203,Deals!$A$2:$A$355,0))=0,"",INDEX(Deals!$AF$2:$AF$355,MATCH($C203,Deals!$A$2:$A$355,0))),""))</f>
        <v/>
      </c>
      <c r="AF203" s="35">
        <f>IF($AD203="",DATE(1900,1,1),$AD203)</f>
        <v/>
      </c>
      <c r="AG203" s="35">
        <f>IF($AE203="",DATE(2100,12,31),$AE203)</f>
        <v/>
      </c>
      <c r="AH203" s="22">
        <f>IF($C203="","",IFERROR(IF(INDEX(Deals!$AG$2:$AG$355,MATCH($C203,Deals!$A$2:$A$355,0))=0,"",INDEX(Deals!$AG$2:$AG$355,MATCH($C203,Deals!$A$2:$A$355,0))),""))</f>
        <v/>
      </c>
      <c r="AI203" s="35">
        <f>IF(OR($AH203&lt;&gt;"",AND($AO203&gt;0,$AD203&lt;&gt;"",$AE203&lt;&gt;"")),$AF203,DATE(1900,1,1))</f>
        <v/>
      </c>
      <c r="AJ203" s="35">
        <f>IF($AH203&lt;&gt;"",$AH203,IF(AND($AO203&gt;0,$AD203&lt;&gt;"",$AE203&lt;&gt;""),$AG203,DATE(2100,12,31)))</f>
        <v/>
      </c>
      <c r="AK203" s="32">
        <f>IF($AH203="",$AC203,$AC203*$S203)</f>
        <v/>
      </c>
      <c r="AL203" s="35">
        <f>IF($AH203="",DATE(2100,12,31),$AH203+1)</f>
        <v/>
      </c>
      <c r="AM203" s="35">
        <f>IF($AH203="",DATE(1900,1,1),$AG203)</f>
        <v/>
      </c>
      <c r="AN203" s="32">
        <f>IF($AH203="",0,$AC203*$T203)</f>
        <v/>
      </c>
      <c r="AO203" s="46">
        <f>IF($C203="",0,IFERROR(INDEX(Deals!$BD$2:$BD$355,MATCH($C203,Deals!$A$2:$A$355,0)),0))</f>
        <v/>
      </c>
      <c r="AP203" s="18">
        <f>IF($AO203=0,0,IFERROR(INDEX(Deals!$BJ$2:$BP$355,MATCH($C203,Deals!$A$2:$A$355,0),MATCH($F203,Deals!$BJ$1:$BP$1,0))/COUNTIFS(Assignments!$C$2:$C$769,$C203,Assignments!$F$2:$F$769,$F203,Assignments!$G$2:$G$769,"Active"),0))</f>
        <v/>
      </c>
    </row>
    <row r="204">
      <c r="A204" s="28" t="inlineStr">
        <is>
          <t>Jason</t>
        </is>
      </c>
      <c r="B204" s="16">
        <f>IF($A204="","",IFERROR(INDEX(Roster!$B$2:$B$40,MATCH($A204,Roster!$A$2:$A$40,0)),"?"))</f>
        <v/>
      </c>
      <c r="C204" s="28" t="inlineStr">
        <is>
          <t>Fengate_4</t>
        </is>
      </c>
      <c r="D204" s="16">
        <f>IF($C204="","",IFERROR(IF(INDEX(Deals!$C$2:$C$355,MATCH($C204,Deals!$A$2:$A$355,0))=0,"",INDEX(Deals!$C$2:$C$355,MATCH($C204,Deals!$A$2:$A$355,0))),"?"))</f>
        <v/>
      </c>
      <c r="E204" s="16">
        <f>IF($C204="","",IFERROR(INDEX(Deals!$F$2:$F$355,MATCH($C204,Deals!$A$2:$A$355,0)),"?"))</f>
        <v/>
      </c>
      <c r="F204" s="28" t="inlineStr">
        <is>
          <t>MD</t>
        </is>
      </c>
      <c r="G204" s="28" t="inlineStr">
        <is>
          <t>Active</t>
        </is>
      </c>
      <c r="H204" s="31" t="n"/>
      <c r="I204" s="32">
        <f>IF(OR($A204="",$G204&lt;&gt;"Active"),0,IF($H204&lt;&gt;"",$H204,IF($AO204&gt;0,$AP204,IF(AND($R204&lt;&gt;"",IFERROR(INDEX(Templates!$B$3:$H$10,MATCH($R204,Templates!$A$3:$A$10,0),MATCH($F204,Templates!$B$2:$H$2,0)),0)&gt;0),INDEX(Templates!$B$3:$H$10,MATCH($R204,Templates!$A$3:$A$10,0),MATCH($F204,Templates!$B$2:$H$2,0)),IFERROR(INDEX(Settings!$B$8:$B$14,MATCH($F204,Settings!$A$8:$A$14,0)),0)))))</f>
        <v/>
      </c>
      <c r="J204" s="21">
        <f>IF($C204="",0,IFERROR(INDEX(Deals!$H$2:$H$355,MATCH($C204,Deals!$A$2:$A$355,0)),0))</f>
        <v/>
      </c>
      <c r="K204" s="32">
        <f>IF(Settings!$B$4="Yes",$I204*$J204,$I204)</f>
        <v/>
      </c>
      <c r="L204" s="22">
        <f>IF($C204="","",IFERROR(IF(INDEX(Deals!$I$2:$I$355,MATCH($C204,Deals!$A$2:$A$355,0))=0,"",INDEX(Deals!$I$2:$I$355,MATCH($C204,Deals!$A$2:$A$355,0))),""))</f>
        <v/>
      </c>
      <c r="M204" s="22">
        <f>IF($C204="","",IFERROR(IF(INDEX(Deals!$J$2:$J$355,MATCH($C204,Deals!$A$2:$A$355,0))=0,"",INDEX(Deals!$J$2:$J$355,MATCH($C204,Deals!$A$2:$A$355,0))),""))</f>
        <v/>
      </c>
      <c r="N204" s="35">
        <f>IF($L204="",DATE(1900,1,1),$L204)</f>
        <v/>
      </c>
      <c r="O204" s="35">
        <f>IF($M204="",DATE(2100,12,31),$M204)</f>
        <v/>
      </c>
      <c r="P204" s="20" t="inlineStr"/>
      <c r="Q204" s="47" t="inlineStr"/>
      <c r="R204" s="16">
        <f>IF($C204="","",IFERROR(IF(INDEX(Deals!$U$2:$U$355,MATCH($C204,Deals!$A$2:$A$355,0))=0,"",INDEX(Deals!$U$2:$U$355,MATCH($C204,Deals!$A$2:$A$355,0))),""))</f>
        <v/>
      </c>
      <c r="S204" s="34">
        <f>IFERROR(IF($U204="",1,INDEX(Deals!$V$2:$V$355,MATCH($C204,Deals!$A$2:$A$355,0))),1)</f>
        <v/>
      </c>
      <c r="T204" s="34">
        <f>IFERROR(IF($U204="",1,INDEX(Deals!$W$2:$W$355,MATCH($C204,Deals!$A$2:$A$355,0))),1)</f>
        <v/>
      </c>
      <c r="U204" s="22">
        <f>IF($C204="","",IFERROR(IF(INDEX(Deals!$Y$2:$Y$355,MATCH($C204,Deals!$A$2:$A$355,0))=0,"",INDEX(Deals!$Y$2:$Y$355,MATCH($C204,Deals!$A$2:$A$355,0))),""))</f>
        <v/>
      </c>
      <c r="V204" s="35">
        <f>IF(OR($U204&lt;&gt;"",AND($AO204&gt;0,$L204&lt;&gt;"",$M204&lt;&gt;"")),$N204,DATE(1900,1,1))</f>
        <v/>
      </c>
      <c r="W204" s="35">
        <f>IF($U204&lt;&gt;"",$U204,IF(AND($AO204&gt;0,$L204&lt;&gt;"",$M204&lt;&gt;""),$O204,DATE(2100,12,31)))</f>
        <v/>
      </c>
      <c r="X204" s="32">
        <f>IF($U204="",$K204,$K204*$S204)</f>
        <v/>
      </c>
      <c r="Y204" s="35">
        <f>IF($U204="",DATE(2100,12,31),$U204+1)</f>
        <v/>
      </c>
      <c r="Z204" s="35">
        <f>IF($U204="",DATE(1900,1,1),$O204)</f>
        <v/>
      </c>
      <c r="AA204" s="32">
        <f>IF($U204="",0,$K204*$T204)</f>
        <v/>
      </c>
      <c r="AB204" s="21">
        <f>IF($C204="",0,IFERROR(INDEX(Deals!$AD$2:$AD$355,MATCH($C204,Deals!$A$2:$A$355,0)),0))</f>
        <v/>
      </c>
      <c r="AC204" s="32">
        <f>IF(Settings!$B$4="Yes",$I204*$AB204,$I204)</f>
        <v/>
      </c>
      <c r="AD204" s="22">
        <f>IF($C204="","",IFERROR(IF(INDEX(Deals!$AE$2:$AE$355,MATCH($C204,Deals!$A$2:$A$355,0))=0,"",INDEX(Deals!$AE$2:$AE$355,MATCH($C204,Deals!$A$2:$A$355,0))),""))</f>
        <v/>
      </c>
      <c r="AE204" s="22">
        <f>IF($C204="","",IFERROR(IF(INDEX(Deals!$AF$2:$AF$355,MATCH($C204,Deals!$A$2:$A$355,0))=0,"",INDEX(Deals!$AF$2:$AF$355,MATCH($C204,Deals!$A$2:$A$355,0))),""))</f>
        <v/>
      </c>
      <c r="AF204" s="35">
        <f>IF($AD204="",DATE(1900,1,1),$AD204)</f>
        <v/>
      </c>
      <c r="AG204" s="35">
        <f>IF($AE204="",DATE(2100,12,31),$AE204)</f>
        <v/>
      </c>
      <c r="AH204" s="22">
        <f>IF($C204="","",IFERROR(IF(INDEX(Deals!$AG$2:$AG$355,MATCH($C204,Deals!$A$2:$A$355,0))=0,"",INDEX(Deals!$AG$2:$AG$355,MATCH($C204,Deals!$A$2:$A$355,0))),""))</f>
        <v/>
      </c>
      <c r="AI204" s="35">
        <f>IF(OR($AH204&lt;&gt;"",AND($AO204&gt;0,$AD204&lt;&gt;"",$AE204&lt;&gt;"")),$AF204,DATE(1900,1,1))</f>
        <v/>
      </c>
      <c r="AJ204" s="35">
        <f>IF($AH204&lt;&gt;"",$AH204,IF(AND($AO204&gt;0,$AD204&lt;&gt;"",$AE204&lt;&gt;""),$AG204,DATE(2100,12,31)))</f>
        <v/>
      </c>
      <c r="AK204" s="32">
        <f>IF($AH204="",$AC204,$AC204*$S204)</f>
        <v/>
      </c>
      <c r="AL204" s="35">
        <f>IF($AH204="",DATE(2100,12,31),$AH204+1)</f>
        <v/>
      </c>
      <c r="AM204" s="35">
        <f>IF($AH204="",DATE(1900,1,1),$AG204)</f>
        <v/>
      </c>
      <c r="AN204" s="32">
        <f>IF($AH204="",0,$AC204*$T204)</f>
        <v/>
      </c>
      <c r="AO204" s="46">
        <f>IF($C204="",0,IFERROR(INDEX(Deals!$BD$2:$BD$355,MATCH($C204,Deals!$A$2:$A$355,0)),0))</f>
        <v/>
      </c>
      <c r="AP204" s="18">
        <f>IF($AO204=0,0,IFERROR(INDEX(Deals!$BJ$2:$BP$355,MATCH($C204,Deals!$A$2:$A$355,0),MATCH($F204,Deals!$BJ$1:$BP$1,0))/COUNTIFS(Assignments!$C$2:$C$769,$C204,Assignments!$F$2:$F$769,$F204,Assignments!$G$2:$G$769,"Active"),0))</f>
        <v/>
      </c>
    </row>
    <row r="205">
      <c r="A205" s="28" t="inlineStr">
        <is>
          <t>Jason</t>
        </is>
      </c>
      <c r="B205" s="16">
        <f>IF($A205="","",IFERROR(INDEX(Roster!$B$2:$B$40,MATCH($A205,Roster!$A$2:$A$40,0)),"?"))</f>
        <v/>
      </c>
      <c r="C205" s="28" t="inlineStr">
        <is>
          <t>Fury_1</t>
        </is>
      </c>
      <c r="D205" s="16">
        <f>IF($C205="","",IFERROR(IF(INDEX(Deals!$C$2:$C$355,MATCH($C205,Deals!$A$2:$A$355,0))=0,"",INDEX(Deals!$C$2:$C$355,MATCH($C205,Deals!$A$2:$A$355,0))),"?"))</f>
        <v/>
      </c>
      <c r="E205" s="16">
        <f>IF($C205="","",IFERROR(INDEX(Deals!$F$2:$F$355,MATCH($C205,Deals!$A$2:$A$355,0)),"?"))</f>
        <v/>
      </c>
      <c r="F205" s="28" t="inlineStr">
        <is>
          <t>MD</t>
        </is>
      </c>
      <c r="G205" s="28" t="inlineStr">
        <is>
          <t>Active</t>
        </is>
      </c>
      <c r="H205" s="31" t="n"/>
      <c r="I205" s="32">
        <f>IF(OR($A205="",$G205&lt;&gt;"Active"),0,IF($H205&lt;&gt;"",$H205,IF($AO205&gt;0,$AP205,IF(AND($R205&lt;&gt;"",IFERROR(INDEX(Templates!$B$3:$H$10,MATCH($R205,Templates!$A$3:$A$10,0),MATCH($F205,Templates!$B$2:$H$2,0)),0)&gt;0),INDEX(Templates!$B$3:$H$10,MATCH($R205,Templates!$A$3:$A$10,0),MATCH($F205,Templates!$B$2:$H$2,0)),IFERROR(INDEX(Settings!$B$8:$B$14,MATCH($F205,Settings!$A$8:$A$14,0)),0)))))</f>
        <v/>
      </c>
      <c r="J205" s="21">
        <f>IF($C205="",0,IFERROR(INDEX(Deals!$H$2:$H$355,MATCH($C205,Deals!$A$2:$A$355,0)),0))</f>
        <v/>
      </c>
      <c r="K205" s="32">
        <f>IF(Settings!$B$4="Yes",$I205*$J205,$I205)</f>
        <v/>
      </c>
      <c r="L205" s="22">
        <f>IF($C205="","",IFERROR(IF(INDEX(Deals!$I$2:$I$355,MATCH($C205,Deals!$A$2:$A$355,0))=0,"",INDEX(Deals!$I$2:$I$355,MATCH($C205,Deals!$A$2:$A$355,0))),""))</f>
        <v/>
      </c>
      <c r="M205" s="22">
        <f>IF($C205="","",IFERROR(IF(INDEX(Deals!$J$2:$J$355,MATCH($C205,Deals!$A$2:$A$355,0))=0,"",INDEX(Deals!$J$2:$J$355,MATCH($C205,Deals!$A$2:$A$355,0))),""))</f>
        <v/>
      </c>
      <c r="N205" s="35">
        <f>IF($L205="",DATE(1900,1,1),$L205)</f>
        <v/>
      </c>
      <c r="O205" s="35">
        <f>IF($M205="",DATE(2100,12,31),$M205)</f>
        <v/>
      </c>
      <c r="P205" s="20" t="inlineStr"/>
      <c r="Q205" s="47" t="inlineStr"/>
      <c r="R205" s="16">
        <f>IF($C205="","",IFERROR(IF(INDEX(Deals!$U$2:$U$355,MATCH($C205,Deals!$A$2:$A$355,0))=0,"",INDEX(Deals!$U$2:$U$355,MATCH($C205,Deals!$A$2:$A$355,0))),""))</f>
        <v/>
      </c>
      <c r="S205" s="34">
        <f>IFERROR(IF($U205="",1,INDEX(Deals!$V$2:$V$355,MATCH($C205,Deals!$A$2:$A$355,0))),1)</f>
        <v/>
      </c>
      <c r="T205" s="34">
        <f>IFERROR(IF($U205="",1,INDEX(Deals!$W$2:$W$355,MATCH($C205,Deals!$A$2:$A$355,0))),1)</f>
        <v/>
      </c>
      <c r="U205" s="22">
        <f>IF($C205="","",IFERROR(IF(INDEX(Deals!$Y$2:$Y$355,MATCH($C205,Deals!$A$2:$A$355,0))=0,"",INDEX(Deals!$Y$2:$Y$355,MATCH($C205,Deals!$A$2:$A$355,0))),""))</f>
        <v/>
      </c>
      <c r="V205" s="35">
        <f>IF(OR($U205&lt;&gt;"",AND($AO205&gt;0,$L205&lt;&gt;"",$M205&lt;&gt;"")),$N205,DATE(1900,1,1))</f>
        <v/>
      </c>
      <c r="W205" s="35">
        <f>IF($U205&lt;&gt;"",$U205,IF(AND($AO205&gt;0,$L205&lt;&gt;"",$M205&lt;&gt;""),$O205,DATE(2100,12,31)))</f>
        <v/>
      </c>
      <c r="X205" s="32">
        <f>IF($U205="",$K205,$K205*$S205)</f>
        <v/>
      </c>
      <c r="Y205" s="35">
        <f>IF($U205="",DATE(2100,12,31),$U205+1)</f>
        <v/>
      </c>
      <c r="Z205" s="35">
        <f>IF($U205="",DATE(1900,1,1),$O205)</f>
        <v/>
      </c>
      <c r="AA205" s="32">
        <f>IF($U205="",0,$K205*$T205)</f>
        <v/>
      </c>
      <c r="AB205" s="21">
        <f>IF($C205="",0,IFERROR(INDEX(Deals!$AD$2:$AD$355,MATCH($C205,Deals!$A$2:$A$355,0)),0))</f>
        <v/>
      </c>
      <c r="AC205" s="32">
        <f>IF(Settings!$B$4="Yes",$I205*$AB205,$I205)</f>
        <v/>
      </c>
      <c r="AD205" s="22">
        <f>IF($C205="","",IFERROR(IF(INDEX(Deals!$AE$2:$AE$355,MATCH($C205,Deals!$A$2:$A$355,0))=0,"",INDEX(Deals!$AE$2:$AE$355,MATCH($C205,Deals!$A$2:$A$355,0))),""))</f>
        <v/>
      </c>
      <c r="AE205" s="22">
        <f>IF($C205="","",IFERROR(IF(INDEX(Deals!$AF$2:$AF$355,MATCH($C205,Deals!$A$2:$A$355,0))=0,"",INDEX(Deals!$AF$2:$AF$355,MATCH($C205,Deals!$A$2:$A$355,0))),""))</f>
        <v/>
      </c>
      <c r="AF205" s="35">
        <f>IF($AD205="",DATE(1900,1,1),$AD205)</f>
        <v/>
      </c>
      <c r="AG205" s="35">
        <f>IF($AE205="",DATE(2100,12,31),$AE205)</f>
        <v/>
      </c>
      <c r="AH205" s="22">
        <f>IF($C205="","",IFERROR(IF(INDEX(Deals!$AG$2:$AG$355,MATCH($C205,Deals!$A$2:$A$355,0))=0,"",INDEX(Deals!$AG$2:$AG$355,MATCH($C205,Deals!$A$2:$A$355,0))),""))</f>
        <v/>
      </c>
      <c r="AI205" s="35">
        <f>IF(OR($AH205&lt;&gt;"",AND($AO205&gt;0,$AD205&lt;&gt;"",$AE205&lt;&gt;"")),$AF205,DATE(1900,1,1))</f>
        <v/>
      </c>
      <c r="AJ205" s="35">
        <f>IF($AH205&lt;&gt;"",$AH205,IF(AND($AO205&gt;0,$AD205&lt;&gt;"",$AE205&lt;&gt;""),$AG205,DATE(2100,12,31)))</f>
        <v/>
      </c>
      <c r="AK205" s="32">
        <f>IF($AH205="",$AC205,$AC205*$S205)</f>
        <v/>
      </c>
      <c r="AL205" s="35">
        <f>IF($AH205="",DATE(2100,12,31),$AH205+1)</f>
        <v/>
      </c>
      <c r="AM205" s="35">
        <f>IF($AH205="",DATE(1900,1,1),$AG205)</f>
        <v/>
      </c>
      <c r="AN205" s="32">
        <f>IF($AH205="",0,$AC205*$T205)</f>
        <v/>
      </c>
      <c r="AO205" s="46">
        <f>IF($C205="",0,IFERROR(INDEX(Deals!$BD$2:$BD$355,MATCH($C205,Deals!$A$2:$A$355,0)),0))</f>
        <v/>
      </c>
      <c r="AP205" s="18">
        <f>IF($AO205=0,0,IFERROR(INDEX(Deals!$BJ$2:$BP$355,MATCH($C205,Deals!$A$2:$A$355,0),MATCH($F205,Deals!$BJ$1:$BP$1,0))/COUNTIFS(Assignments!$C$2:$C$769,$C205,Assignments!$F$2:$F$769,$F205,Assignments!$G$2:$G$769,"Active"),0))</f>
        <v/>
      </c>
    </row>
    <row r="206">
      <c r="A206" s="28" t="inlineStr">
        <is>
          <t>Jason</t>
        </is>
      </c>
      <c r="B206" s="16">
        <f>IF($A206="","",IFERROR(INDEX(Roster!$B$2:$B$40,MATCH($A206,Roster!$A$2:$A$40,0)),"?"))</f>
        <v/>
      </c>
      <c r="C206" s="28" t="inlineStr">
        <is>
          <t>Galaxy_1</t>
        </is>
      </c>
      <c r="D206" s="16">
        <f>IF($C206="","",IFERROR(IF(INDEX(Deals!$C$2:$C$355,MATCH($C206,Deals!$A$2:$A$355,0))=0,"",INDEX(Deals!$C$2:$C$355,MATCH($C206,Deals!$A$2:$A$355,0))),"?"))</f>
        <v/>
      </c>
      <c r="E206" s="16">
        <f>IF($C206="","",IFERROR(INDEX(Deals!$F$2:$F$355,MATCH($C206,Deals!$A$2:$A$355,0)),"?"))</f>
        <v/>
      </c>
      <c r="F206" s="28" t="inlineStr">
        <is>
          <t>MD</t>
        </is>
      </c>
      <c r="G206" s="28" t="inlineStr">
        <is>
          <t>Active</t>
        </is>
      </c>
      <c r="H206" s="31" t="n"/>
      <c r="I206" s="32">
        <f>IF(OR($A206="",$G206&lt;&gt;"Active"),0,IF($H206&lt;&gt;"",$H206,IF($AO206&gt;0,$AP206,IF(AND($R206&lt;&gt;"",IFERROR(INDEX(Templates!$B$3:$H$10,MATCH($R206,Templates!$A$3:$A$10,0),MATCH($F206,Templates!$B$2:$H$2,0)),0)&gt;0),INDEX(Templates!$B$3:$H$10,MATCH($R206,Templates!$A$3:$A$10,0),MATCH($F206,Templates!$B$2:$H$2,0)),IFERROR(INDEX(Settings!$B$8:$B$14,MATCH($F206,Settings!$A$8:$A$14,0)),0)))))</f>
        <v/>
      </c>
      <c r="J206" s="21">
        <f>IF($C206="",0,IFERROR(INDEX(Deals!$H$2:$H$355,MATCH($C206,Deals!$A$2:$A$355,0)),0))</f>
        <v/>
      </c>
      <c r="K206" s="32">
        <f>IF(Settings!$B$4="Yes",$I206*$J206,$I206)</f>
        <v/>
      </c>
      <c r="L206" s="22">
        <f>IF($C206="","",IFERROR(IF(INDEX(Deals!$I$2:$I$355,MATCH($C206,Deals!$A$2:$A$355,0))=0,"",INDEX(Deals!$I$2:$I$355,MATCH($C206,Deals!$A$2:$A$355,0))),""))</f>
        <v/>
      </c>
      <c r="M206" s="22">
        <f>IF($C206="","",IFERROR(IF(INDEX(Deals!$J$2:$J$355,MATCH($C206,Deals!$A$2:$A$355,0))=0,"",INDEX(Deals!$J$2:$J$355,MATCH($C206,Deals!$A$2:$A$355,0))),""))</f>
        <v/>
      </c>
      <c r="N206" s="35">
        <f>IF($L206="",DATE(1900,1,1),$L206)</f>
        <v/>
      </c>
      <c r="O206" s="35">
        <f>IF($M206="",DATE(2100,12,31),$M206)</f>
        <v/>
      </c>
      <c r="P206" s="20" t="inlineStr"/>
      <c r="Q206" s="47" t="inlineStr"/>
      <c r="R206" s="16">
        <f>IF($C206="","",IFERROR(IF(INDEX(Deals!$U$2:$U$355,MATCH($C206,Deals!$A$2:$A$355,0))=0,"",INDEX(Deals!$U$2:$U$355,MATCH($C206,Deals!$A$2:$A$355,0))),""))</f>
        <v/>
      </c>
      <c r="S206" s="34">
        <f>IFERROR(IF($U206="",1,INDEX(Deals!$V$2:$V$355,MATCH($C206,Deals!$A$2:$A$355,0))),1)</f>
        <v/>
      </c>
      <c r="T206" s="34">
        <f>IFERROR(IF($U206="",1,INDEX(Deals!$W$2:$W$355,MATCH($C206,Deals!$A$2:$A$355,0))),1)</f>
        <v/>
      </c>
      <c r="U206" s="22">
        <f>IF($C206="","",IFERROR(IF(INDEX(Deals!$Y$2:$Y$355,MATCH($C206,Deals!$A$2:$A$355,0))=0,"",INDEX(Deals!$Y$2:$Y$355,MATCH($C206,Deals!$A$2:$A$355,0))),""))</f>
        <v/>
      </c>
      <c r="V206" s="35">
        <f>IF(OR($U206&lt;&gt;"",AND($AO206&gt;0,$L206&lt;&gt;"",$M206&lt;&gt;"")),$N206,DATE(1900,1,1))</f>
        <v/>
      </c>
      <c r="W206" s="35">
        <f>IF($U206&lt;&gt;"",$U206,IF(AND($AO206&gt;0,$L206&lt;&gt;"",$M206&lt;&gt;""),$O206,DATE(2100,12,31)))</f>
        <v/>
      </c>
      <c r="X206" s="32">
        <f>IF($U206="",$K206,$K206*$S206)</f>
        <v/>
      </c>
      <c r="Y206" s="35">
        <f>IF($U206="",DATE(2100,12,31),$U206+1)</f>
        <v/>
      </c>
      <c r="Z206" s="35">
        <f>IF($U206="",DATE(1900,1,1),$O206)</f>
        <v/>
      </c>
      <c r="AA206" s="32">
        <f>IF($U206="",0,$K206*$T206)</f>
        <v/>
      </c>
      <c r="AB206" s="21">
        <f>IF($C206="",0,IFERROR(INDEX(Deals!$AD$2:$AD$355,MATCH($C206,Deals!$A$2:$A$355,0)),0))</f>
        <v/>
      </c>
      <c r="AC206" s="32">
        <f>IF(Settings!$B$4="Yes",$I206*$AB206,$I206)</f>
        <v/>
      </c>
      <c r="AD206" s="22">
        <f>IF($C206="","",IFERROR(IF(INDEX(Deals!$AE$2:$AE$355,MATCH($C206,Deals!$A$2:$A$355,0))=0,"",INDEX(Deals!$AE$2:$AE$355,MATCH($C206,Deals!$A$2:$A$355,0))),""))</f>
        <v/>
      </c>
      <c r="AE206" s="22">
        <f>IF($C206="","",IFERROR(IF(INDEX(Deals!$AF$2:$AF$355,MATCH($C206,Deals!$A$2:$A$355,0))=0,"",INDEX(Deals!$AF$2:$AF$355,MATCH($C206,Deals!$A$2:$A$355,0))),""))</f>
        <v/>
      </c>
      <c r="AF206" s="35">
        <f>IF($AD206="",DATE(1900,1,1),$AD206)</f>
        <v/>
      </c>
      <c r="AG206" s="35">
        <f>IF($AE206="",DATE(2100,12,31),$AE206)</f>
        <v/>
      </c>
      <c r="AH206" s="22">
        <f>IF($C206="","",IFERROR(IF(INDEX(Deals!$AG$2:$AG$355,MATCH($C206,Deals!$A$2:$A$355,0))=0,"",INDEX(Deals!$AG$2:$AG$355,MATCH($C206,Deals!$A$2:$A$355,0))),""))</f>
        <v/>
      </c>
      <c r="AI206" s="35">
        <f>IF(OR($AH206&lt;&gt;"",AND($AO206&gt;0,$AD206&lt;&gt;"",$AE206&lt;&gt;"")),$AF206,DATE(1900,1,1))</f>
        <v/>
      </c>
      <c r="AJ206" s="35">
        <f>IF($AH206&lt;&gt;"",$AH206,IF(AND($AO206&gt;0,$AD206&lt;&gt;"",$AE206&lt;&gt;""),$AG206,DATE(2100,12,31)))</f>
        <v/>
      </c>
      <c r="AK206" s="32">
        <f>IF($AH206="",$AC206,$AC206*$S206)</f>
        <v/>
      </c>
      <c r="AL206" s="35">
        <f>IF($AH206="",DATE(2100,12,31),$AH206+1)</f>
        <v/>
      </c>
      <c r="AM206" s="35">
        <f>IF($AH206="",DATE(1900,1,1),$AG206)</f>
        <v/>
      </c>
      <c r="AN206" s="32">
        <f>IF($AH206="",0,$AC206*$T206)</f>
        <v/>
      </c>
      <c r="AO206" s="46">
        <f>IF($C206="",0,IFERROR(INDEX(Deals!$BD$2:$BD$355,MATCH($C206,Deals!$A$2:$A$355,0)),0))</f>
        <v/>
      </c>
      <c r="AP206" s="18">
        <f>IF($AO206=0,0,IFERROR(INDEX(Deals!$BJ$2:$BP$355,MATCH($C206,Deals!$A$2:$A$355,0),MATCH($F206,Deals!$BJ$1:$BP$1,0))/COUNTIFS(Assignments!$C$2:$C$769,$C206,Assignments!$F$2:$F$769,$F206,Assignments!$G$2:$G$769,"Active"),0))</f>
        <v/>
      </c>
    </row>
    <row r="207">
      <c r="A207" s="28" t="inlineStr">
        <is>
          <t>Jason</t>
        </is>
      </c>
      <c r="B207" s="16">
        <f>IF($A207="","",IFERROR(INDEX(Roster!$B$2:$B$40,MATCH($A207,Roster!$A$2:$A$40,0)),"?"))</f>
        <v/>
      </c>
      <c r="C207" s="28" t="inlineStr">
        <is>
          <t>Mont_1</t>
        </is>
      </c>
      <c r="D207" s="16">
        <f>IF($C207="","",IFERROR(IF(INDEX(Deals!$C$2:$C$355,MATCH($C207,Deals!$A$2:$A$355,0))=0,"",INDEX(Deals!$C$2:$C$355,MATCH($C207,Deals!$A$2:$A$355,0))),"?"))</f>
        <v/>
      </c>
      <c r="E207" s="16">
        <f>IF($C207="","",IFERROR(INDEX(Deals!$F$2:$F$355,MATCH($C207,Deals!$A$2:$A$355,0)),"?"))</f>
        <v/>
      </c>
      <c r="F207" s="28" t="inlineStr">
        <is>
          <t>MD</t>
        </is>
      </c>
      <c r="G207" s="28" t="inlineStr">
        <is>
          <t>Active</t>
        </is>
      </c>
      <c r="H207" s="31" t="n"/>
      <c r="I207" s="32">
        <f>IF(OR($A207="",$G207&lt;&gt;"Active"),0,IF($H207&lt;&gt;"",$H207,IF($AO207&gt;0,$AP207,IF(AND($R207&lt;&gt;"",IFERROR(INDEX(Templates!$B$3:$H$10,MATCH($R207,Templates!$A$3:$A$10,0),MATCH($F207,Templates!$B$2:$H$2,0)),0)&gt;0),INDEX(Templates!$B$3:$H$10,MATCH($R207,Templates!$A$3:$A$10,0),MATCH($F207,Templates!$B$2:$H$2,0)),IFERROR(INDEX(Settings!$B$8:$B$14,MATCH($F207,Settings!$A$8:$A$14,0)),0)))))</f>
        <v/>
      </c>
      <c r="J207" s="21">
        <f>IF($C207="",0,IFERROR(INDEX(Deals!$H$2:$H$355,MATCH($C207,Deals!$A$2:$A$355,0)),0))</f>
        <v/>
      </c>
      <c r="K207" s="32">
        <f>IF(Settings!$B$4="Yes",$I207*$J207,$I207)</f>
        <v/>
      </c>
      <c r="L207" s="22">
        <f>IF($C207="","",IFERROR(IF(INDEX(Deals!$I$2:$I$355,MATCH($C207,Deals!$A$2:$A$355,0))=0,"",INDEX(Deals!$I$2:$I$355,MATCH($C207,Deals!$A$2:$A$355,0))),""))</f>
        <v/>
      </c>
      <c r="M207" s="22">
        <f>IF($C207="","",IFERROR(IF(INDEX(Deals!$J$2:$J$355,MATCH($C207,Deals!$A$2:$A$355,0))=0,"",INDEX(Deals!$J$2:$J$355,MATCH($C207,Deals!$A$2:$A$355,0))),""))</f>
        <v/>
      </c>
      <c r="N207" s="35">
        <f>IF($L207="",DATE(1900,1,1),$L207)</f>
        <v/>
      </c>
      <c r="O207" s="35">
        <f>IF($M207="",DATE(2100,12,31),$M207)</f>
        <v/>
      </c>
      <c r="P207" s="20" t="inlineStr"/>
      <c r="Q207" s="47" t="inlineStr"/>
      <c r="R207" s="16">
        <f>IF($C207="","",IFERROR(IF(INDEX(Deals!$U$2:$U$355,MATCH($C207,Deals!$A$2:$A$355,0))=0,"",INDEX(Deals!$U$2:$U$355,MATCH($C207,Deals!$A$2:$A$355,0))),""))</f>
        <v/>
      </c>
      <c r="S207" s="34">
        <f>IFERROR(IF($U207="",1,INDEX(Deals!$V$2:$V$355,MATCH($C207,Deals!$A$2:$A$355,0))),1)</f>
        <v/>
      </c>
      <c r="T207" s="34">
        <f>IFERROR(IF($U207="",1,INDEX(Deals!$W$2:$W$355,MATCH($C207,Deals!$A$2:$A$355,0))),1)</f>
        <v/>
      </c>
      <c r="U207" s="22">
        <f>IF($C207="","",IFERROR(IF(INDEX(Deals!$Y$2:$Y$355,MATCH($C207,Deals!$A$2:$A$355,0))=0,"",INDEX(Deals!$Y$2:$Y$355,MATCH($C207,Deals!$A$2:$A$355,0))),""))</f>
        <v/>
      </c>
      <c r="V207" s="35">
        <f>IF(OR($U207&lt;&gt;"",AND($AO207&gt;0,$L207&lt;&gt;"",$M207&lt;&gt;"")),$N207,DATE(1900,1,1))</f>
        <v/>
      </c>
      <c r="W207" s="35">
        <f>IF($U207&lt;&gt;"",$U207,IF(AND($AO207&gt;0,$L207&lt;&gt;"",$M207&lt;&gt;""),$O207,DATE(2100,12,31)))</f>
        <v/>
      </c>
      <c r="X207" s="32">
        <f>IF($U207="",$K207,$K207*$S207)</f>
        <v/>
      </c>
      <c r="Y207" s="35">
        <f>IF($U207="",DATE(2100,12,31),$U207+1)</f>
        <v/>
      </c>
      <c r="Z207" s="35">
        <f>IF($U207="",DATE(1900,1,1),$O207)</f>
        <v/>
      </c>
      <c r="AA207" s="32">
        <f>IF($U207="",0,$K207*$T207)</f>
        <v/>
      </c>
      <c r="AB207" s="21">
        <f>IF($C207="",0,IFERROR(INDEX(Deals!$AD$2:$AD$355,MATCH($C207,Deals!$A$2:$A$355,0)),0))</f>
        <v/>
      </c>
      <c r="AC207" s="32">
        <f>IF(Settings!$B$4="Yes",$I207*$AB207,$I207)</f>
        <v/>
      </c>
      <c r="AD207" s="22">
        <f>IF($C207="","",IFERROR(IF(INDEX(Deals!$AE$2:$AE$355,MATCH($C207,Deals!$A$2:$A$355,0))=0,"",INDEX(Deals!$AE$2:$AE$355,MATCH($C207,Deals!$A$2:$A$355,0))),""))</f>
        <v/>
      </c>
      <c r="AE207" s="22">
        <f>IF($C207="","",IFERROR(IF(INDEX(Deals!$AF$2:$AF$355,MATCH($C207,Deals!$A$2:$A$355,0))=0,"",INDEX(Deals!$AF$2:$AF$355,MATCH($C207,Deals!$A$2:$A$355,0))),""))</f>
        <v/>
      </c>
      <c r="AF207" s="35">
        <f>IF($AD207="",DATE(1900,1,1),$AD207)</f>
        <v/>
      </c>
      <c r="AG207" s="35">
        <f>IF($AE207="",DATE(2100,12,31),$AE207)</f>
        <v/>
      </c>
      <c r="AH207" s="22">
        <f>IF($C207="","",IFERROR(IF(INDEX(Deals!$AG$2:$AG$355,MATCH($C207,Deals!$A$2:$A$355,0))=0,"",INDEX(Deals!$AG$2:$AG$355,MATCH($C207,Deals!$A$2:$A$355,0))),""))</f>
        <v/>
      </c>
      <c r="AI207" s="35">
        <f>IF(OR($AH207&lt;&gt;"",AND($AO207&gt;0,$AD207&lt;&gt;"",$AE207&lt;&gt;"")),$AF207,DATE(1900,1,1))</f>
        <v/>
      </c>
      <c r="AJ207" s="35">
        <f>IF($AH207&lt;&gt;"",$AH207,IF(AND($AO207&gt;0,$AD207&lt;&gt;"",$AE207&lt;&gt;""),$AG207,DATE(2100,12,31)))</f>
        <v/>
      </c>
      <c r="AK207" s="32">
        <f>IF($AH207="",$AC207,$AC207*$S207)</f>
        <v/>
      </c>
      <c r="AL207" s="35">
        <f>IF($AH207="",DATE(2100,12,31),$AH207+1)</f>
        <v/>
      </c>
      <c r="AM207" s="35">
        <f>IF($AH207="",DATE(1900,1,1),$AG207)</f>
        <v/>
      </c>
      <c r="AN207" s="32">
        <f>IF($AH207="",0,$AC207*$T207)</f>
        <v/>
      </c>
      <c r="AO207" s="46">
        <f>IF($C207="",0,IFERROR(INDEX(Deals!$BD$2:$BD$355,MATCH($C207,Deals!$A$2:$A$355,0)),0))</f>
        <v/>
      </c>
      <c r="AP207" s="18">
        <f>IF($AO207=0,0,IFERROR(INDEX(Deals!$BJ$2:$BP$355,MATCH($C207,Deals!$A$2:$A$355,0),MATCH($F207,Deals!$BJ$1:$BP$1,0))/COUNTIFS(Assignments!$C$2:$C$769,$C207,Assignments!$F$2:$F$769,$F207,Assignments!$G$2:$G$769,"Active"),0))</f>
        <v/>
      </c>
    </row>
    <row r="208">
      <c r="A208" s="28" t="inlineStr">
        <is>
          <t>Jason</t>
        </is>
      </c>
      <c r="B208" s="16">
        <f>IF($A208="","",IFERROR(INDEX(Roster!$B$2:$B$40,MATCH($A208,Roster!$A$2:$A$40,0)),"?"))</f>
        <v/>
      </c>
      <c r="C208" s="28" t="inlineStr">
        <is>
          <t>Naples_2</t>
        </is>
      </c>
      <c r="D208" s="16">
        <f>IF($C208="","",IFERROR(IF(INDEX(Deals!$C$2:$C$355,MATCH($C208,Deals!$A$2:$A$355,0))=0,"",INDEX(Deals!$C$2:$C$355,MATCH($C208,Deals!$A$2:$A$355,0))),"?"))</f>
        <v/>
      </c>
      <c r="E208" s="16">
        <f>IF($C208="","",IFERROR(INDEX(Deals!$F$2:$F$355,MATCH($C208,Deals!$A$2:$A$355,0)),"?"))</f>
        <v/>
      </c>
      <c r="F208" s="28" t="inlineStr">
        <is>
          <t>MD</t>
        </is>
      </c>
      <c r="G208" s="28" t="inlineStr">
        <is>
          <t>Active</t>
        </is>
      </c>
      <c r="H208" s="31" t="n"/>
      <c r="I208" s="32">
        <f>IF(OR($A208="",$G208&lt;&gt;"Active"),0,IF($H208&lt;&gt;"",$H208,IF($AO208&gt;0,$AP208,IF(AND($R208&lt;&gt;"",IFERROR(INDEX(Templates!$B$3:$H$10,MATCH($R208,Templates!$A$3:$A$10,0),MATCH($F208,Templates!$B$2:$H$2,0)),0)&gt;0),INDEX(Templates!$B$3:$H$10,MATCH($R208,Templates!$A$3:$A$10,0),MATCH($F208,Templates!$B$2:$H$2,0)),IFERROR(INDEX(Settings!$B$8:$B$14,MATCH($F208,Settings!$A$8:$A$14,0)),0)))))</f>
        <v/>
      </c>
      <c r="J208" s="21">
        <f>IF($C208="",0,IFERROR(INDEX(Deals!$H$2:$H$355,MATCH($C208,Deals!$A$2:$A$355,0)),0))</f>
        <v/>
      </c>
      <c r="K208" s="32">
        <f>IF(Settings!$B$4="Yes",$I208*$J208,$I208)</f>
        <v/>
      </c>
      <c r="L208" s="22">
        <f>IF($C208="","",IFERROR(IF(INDEX(Deals!$I$2:$I$355,MATCH($C208,Deals!$A$2:$A$355,0))=0,"",INDEX(Deals!$I$2:$I$355,MATCH($C208,Deals!$A$2:$A$355,0))),""))</f>
        <v/>
      </c>
      <c r="M208" s="22">
        <f>IF($C208="","",IFERROR(IF(INDEX(Deals!$J$2:$J$355,MATCH($C208,Deals!$A$2:$A$355,0))=0,"",INDEX(Deals!$J$2:$J$355,MATCH($C208,Deals!$A$2:$A$355,0))),""))</f>
        <v/>
      </c>
      <c r="N208" s="35">
        <f>IF($L208="",DATE(1900,1,1),$L208)</f>
        <v/>
      </c>
      <c r="O208" s="35">
        <f>IF($M208="",DATE(2100,12,31),$M208)</f>
        <v/>
      </c>
      <c r="P208" s="20" t="inlineStr"/>
      <c r="Q208" s="47" t="inlineStr"/>
      <c r="R208" s="16">
        <f>IF($C208="","",IFERROR(IF(INDEX(Deals!$U$2:$U$355,MATCH($C208,Deals!$A$2:$A$355,0))=0,"",INDEX(Deals!$U$2:$U$355,MATCH($C208,Deals!$A$2:$A$355,0))),""))</f>
        <v/>
      </c>
      <c r="S208" s="34">
        <f>IFERROR(IF($U208="",1,INDEX(Deals!$V$2:$V$355,MATCH($C208,Deals!$A$2:$A$355,0))),1)</f>
        <v/>
      </c>
      <c r="T208" s="34">
        <f>IFERROR(IF($U208="",1,INDEX(Deals!$W$2:$W$355,MATCH($C208,Deals!$A$2:$A$355,0))),1)</f>
        <v/>
      </c>
      <c r="U208" s="22">
        <f>IF($C208="","",IFERROR(IF(INDEX(Deals!$Y$2:$Y$355,MATCH($C208,Deals!$A$2:$A$355,0))=0,"",INDEX(Deals!$Y$2:$Y$355,MATCH($C208,Deals!$A$2:$A$355,0))),""))</f>
        <v/>
      </c>
      <c r="V208" s="35">
        <f>IF(OR($U208&lt;&gt;"",AND($AO208&gt;0,$L208&lt;&gt;"",$M208&lt;&gt;"")),$N208,DATE(1900,1,1))</f>
        <v/>
      </c>
      <c r="W208" s="35">
        <f>IF($U208&lt;&gt;"",$U208,IF(AND($AO208&gt;0,$L208&lt;&gt;"",$M208&lt;&gt;""),$O208,DATE(2100,12,31)))</f>
        <v/>
      </c>
      <c r="X208" s="32">
        <f>IF($U208="",$K208,$K208*$S208)</f>
        <v/>
      </c>
      <c r="Y208" s="35">
        <f>IF($U208="",DATE(2100,12,31),$U208+1)</f>
        <v/>
      </c>
      <c r="Z208" s="35">
        <f>IF($U208="",DATE(1900,1,1),$O208)</f>
        <v/>
      </c>
      <c r="AA208" s="32">
        <f>IF($U208="",0,$K208*$T208)</f>
        <v/>
      </c>
      <c r="AB208" s="21">
        <f>IF($C208="",0,IFERROR(INDEX(Deals!$AD$2:$AD$355,MATCH($C208,Deals!$A$2:$A$355,0)),0))</f>
        <v/>
      </c>
      <c r="AC208" s="32">
        <f>IF(Settings!$B$4="Yes",$I208*$AB208,$I208)</f>
        <v/>
      </c>
      <c r="AD208" s="22">
        <f>IF($C208="","",IFERROR(IF(INDEX(Deals!$AE$2:$AE$355,MATCH($C208,Deals!$A$2:$A$355,0))=0,"",INDEX(Deals!$AE$2:$AE$355,MATCH($C208,Deals!$A$2:$A$355,0))),""))</f>
        <v/>
      </c>
      <c r="AE208" s="22">
        <f>IF($C208="","",IFERROR(IF(INDEX(Deals!$AF$2:$AF$355,MATCH($C208,Deals!$A$2:$A$355,0))=0,"",INDEX(Deals!$AF$2:$AF$355,MATCH($C208,Deals!$A$2:$A$355,0))),""))</f>
        <v/>
      </c>
      <c r="AF208" s="35">
        <f>IF($AD208="",DATE(1900,1,1),$AD208)</f>
        <v/>
      </c>
      <c r="AG208" s="35">
        <f>IF($AE208="",DATE(2100,12,31),$AE208)</f>
        <v/>
      </c>
      <c r="AH208" s="22">
        <f>IF($C208="","",IFERROR(IF(INDEX(Deals!$AG$2:$AG$355,MATCH($C208,Deals!$A$2:$A$355,0))=0,"",INDEX(Deals!$AG$2:$AG$355,MATCH($C208,Deals!$A$2:$A$355,0))),""))</f>
        <v/>
      </c>
      <c r="AI208" s="35">
        <f>IF(OR($AH208&lt;&gt;"",AND($AO208&gt;0,$AD208&lt;&gt;"",$AE208&lt;&gt;"")),$AF208,DATE(1900,1,1))</f>
        <v/>
      </c>
      <c r="AJ208" s="35">
        <f>IF($AH208&lt;&gt;"",$AH208,IF(AND($AO208&gt;0,$AD208&lt;&gt;"",$AE208&lt;&gt;""),$AG208,DATE(2100,12,31)))</f>
        <v/>
      </c>
      <c r="AK208" s="32">
        <f>IF($AH208="",$AC208,$AC208*$S208)</f>
        <v/>
      </c>
      <c r="AL208" s="35">
        <f>IF($AH208="",DATE(2100,12,31),$AH208+1)</f>
        <v/>
      </c>
      <c r="AM208" s="35">
        <f>IF($AH208="",DATE(1900,1,1),$AG208)</f>
        <v/>
      </c>
      <c r="AN208" s="32">
        <f>IF($AH208="",0,$AC208*$T208)</f>
        <v/>
      </c>
      <c r="AO208" s="46">
        <f>IF($C208="",0,IFERROR(INDEX(Deals!$BD$2:$BD$355,MATCH($C208,Deals!$A$2:$A$355,0)),0))</f>
        <v/>
      </c>
      <c r="AP208" s="18">
        <f>IF($AO208=0,0,IFERROR(INDEX(Deals!$BJ$2:$BP$355,MATCH($C208,Deals!$A$2:$A$355,0),MATCH($F208,Deals!$BJ$1:$BP$1,0))/COUNTIFS(Assignments!$C$2:$C$769,$C208,Assignments!$F$2:$F$769,$F208,Assignments!$G$2:$G$769,"Active"),0))</f>
        <v/>
      </c>
    </row>
    <row r="209">
      <c r="A209" s="28" t="inlineStr">
        <is>
          <t>Jason</t>
        </is>
      </c>
      <c r="B209" s="16">
        <f>IF($A209="","",IFERROR(INDEX(Roster!$B$2:$B$40,MATCH($A209,Roster!$A$2:$A$40,0)),"?"))</f>
        <v/>
      </c>
      <c r="C209" s="28" t="inlineStr">
        <is>
          <t>Pet_1</t>
        </is>
      </c>
      <c r="D209" s="16">
        <f>IF($C209="","",IFERROR(IF(INDEX(Deals!$C$2:$C$355,MATCH($C209,Deals!$A$2:$A$355,0))=0,"",INDEX(Deals!$C$2:$C$355,MATCH($C209,Deals!$A$2:$A$355,0))),"?"))</f>
        <v/>
      </c>
      <c r="E209" s="16">
        <f>IF($C209="","",IFERROR(INDEX(Deals!$F$2:$F$355,MATCH($C209,Deals!$A$2:$A$355,0)),"?"))</f>
        <v/>
      </c>
      <c r="F209" s="28" t="inlineStr">
        <is>
          <t>MD</t>
        </is>
      </c>
      <c r="G209" s="28" t="inlineStr">
        <is>
          <t>Active</t>
        </is>
      </c>
      <c r="H209" s="31" t="n"/>
      <c r="I209" s="32">
        <f>IF(OR($A209="",$G209&lt;&gt;"Active"),0,IF($H209&lt;&gt;"",$H209,IF($AO209&gt;0,$AP209,IF(AND($R209&lt;&gt;"",IFERROR(INDEX(Templates!$B$3:$H$10,MATCH($R209,Templates!$A$3:$A$10,0),MATCH($F209,Templates!$B$2:$H$2,0)),0)&gt;0),INDEX(Templates!$B$3:$H$10,MATCH($R209,Templates!$A$3:$A$10,0),MATCH($F209,Templates!$B$2:$H$2,0)),IFERROR(INDEX(Settings!$B$8:$B$14,MATCH($F209,Settings!$A$8:$A$14,0)),0)))))</f>
        <v/>
      </c>
      <c r="J209" s="21">
        <f>IF($C209="",0,IFERROR(INDEX(Deals!$H$2:$H$355,MATCH($C209,Deals!$A$2:$A$355,0)),0))</f>
        <v/>
      </c>
      <c r="K209" s="32">
        <f>IF(Settings!$B$4="Yes",$I209*$J209,$I209)</f>
        <v/>
      </c>
      <c r="L209" s="22">
        <f>IF($C209="","",IFERROR(IF(INDEX(Deals!$I$2:$I$355,MATCH($C209,Deals!$A$2:$A$355,0))=0,"",INDEX(Deals!$I$2:$I$355,MATCH($C209,Deals!$A$2:$A$355,0))),""))</f>
        <v/>
      </c>
      <c r="M209" s="22">
        <f>IF($C209="","",IFERROR(IF(INDEX(Deals!$J$2:$J$355,MATCH($C209,Deals!$A$2:$A$355,0))=0,"",INDEX(Deals!$J$2:$J$355,MATCH($C209,Deals!$A$2:$A$355,0))),""))</f>
        <v/>
      </c>
      <c r="N209" s="35">
        <f>IF($L209="",DATE(1900,1,1),$L209)</f>
        <v/>
      </c>
      <c r="O209" s="35">
        <f>IF($M209="",DATE(2100,12,31),$M209)</f>
        <v/>
      </c>
      <c r="P209" s="20" t="inlineStr"/>
      <c r="Q209" s="47" t="inlineStr"/>
      <c r="R209" s="16">
        <f>IF($C209="","",IFERROR(IF(INDEX(Deals!$U$2:$U$355,MATCH($C209,Deals!$A$2:$A$355,0))=0,"",INDEX(Deals!$U$2:$U$355,MATCH($C209,Deals!$A$2:$A$355,0))),""))</f>
        <v/>
      </c>
      <c r="S209" s="34">
        <f>IFERROR(IF($U209="",1,INDEX(Deals!$V$2:$V$355,MATCH($C209,Deals!$A$2:$A$355,0))),1)</f>
        <v/>
      </c>
      <c r="T209" s="34">
        <f>IFERROR(IF($U209="",1,INDEX(Deals!$W$2:$W$355,MATCH($C209,Deals!$A$2:$A$355,0))),1)</f>
        <v/>
      </c>
      <c r="U209" s="22">
        <f>IF($C209="","",IFERROR(IF(INDEX(Deals!$Y$2:$Y$355,MATCH($C209,Deals!$A$2:$A$355,0))=0,"",INDEX(Deals!$Y$2:$Y$355,MATCH($C209,Deals!$A$2:$A$355,0))),""))</f>
        <v/>
      </c>
      <c r="V209" s="35">
        <f>IF(OR($U209&lt;&gt;"",AND($AO209&gt;0,$L209&lt;&gt;"",$M209&lt;&gt;"")),$N209,DATE(1900,1,1))</f>
        <v/>
      </c>
      <c r="W209" s="35">
        <f>IF($U209&lt;&gt;"",$U209,IF(AND($AO209&gt;0,$L209&lt;&gt;"",$M209&lt;&gt;""),$O209,DATE(2100,12,31)))</f>
        <v/>
      </c>
      <c r="X209" s="32">
        <f>IF($U209="",$K209,$K209*$S209)</f>
        <v/>
      </c>
      <c r="Y209" s="35">
        <f>IF($U209="",DATE(2100,12,31),$U209+1)</f>
        <v/>
      </c>
      <c r="Z209" s="35">
        <f>IF($U209="",DATE(1900,1,1),$O209)</f>
        <v/>
      </c>
      <c r="AA209" s="32">
        <f>IF($U209="",0,$K209*$T209)</f>
        <v/>
      </c>
      <c r="AB209" s="21">
        <f>IF($C209="",0,IFERROR(INDEX(Deals!$AD$2:$AD$355,MATCH($C209,Deals!$A$2:$A$355,0)),0))</f>
        <v/>
      </c>
      <c r="AC209" s="32">
        <f>IF(Settings!$B$4="Yes",$I209*$AB209,$I209)</f>
        <v/>
      </c>
      <c r="AD209" s="22">
        <f>IF($C209="","",IFERROR(IF(INDEX(Deals!$AE$2:$AE$355,MATCH($C209,Deals!$A$2:$A$355,0))=0,"",INDEX(Deals!$AE$2:$AE$355,MATCH($C209,Deals!$A$2:$A$355,0))),""))</f>
        <v/>
      </c>
      <c r="AE209" s="22">
        <f>IF($C209="","",IFERROR(IF(INDEX(Deals!$AF$2:$AF$355,MATCH($C209,Deals!$A$2:$A$355,0))=0,"",INDEX(Deals!$AF$2:$AF$355,MATCH($C209,Deals!$A$2:$A$355,0))),""))</f>
        <v/>
      </c>
      <c r="AF209" s="35">
        <f>IF($AD209="",DATE(1900,1,1),$AD209)</f>
        <v/>
      </c>
      <c r="AG209" s="35">
        <f>IF($AE209="",DATE(2100,12,31),$AE209)</f>
        <v/>
      </c>
      <c r="AH209" s="22">
        <f>IF($C209="","",IFERROR(IF(INDEX(Deals!$AG$2:$AG$355,MATCH($C209,Deals!$A$2:$A$355,0))=0,"",INDEX(Deals!$AG$2:$AG$355,MATCH($C209,Deals!$A$2:$A$355,0))),""))</f>
        <v/>
      </c>
      <c r="AI209" s="35">
        <f>IF(OR($AH209&lt;&gt;"",AND($AO209&gt;0,$AD209&lt;&gt;"",$AE209&lt;&gt;"")),$AF209,DATE(1900,1,1))</f>
        <v/>
      </c>
      <c r="AJ209" s="35">
        <f>IF($AH209&lt;&gt;"",$AH209,IF(AND($AO209&gt;0,$AD209&lt;&gt;"",$AE209&lt;&gt;""),$AG209,DATE(2100,12,31)))</f>
        <v/>
      </c>
      <c r="AK209" s="32">
        <f>IF($AH209="",$AC209,$AC209*$S209)</f>
        <v/>
      </c>
      <c r="AL209" s="35">
        <f>IF($AH209="",DATE(2100,12,31),$AH209+1)</f>
        <v/>
      </c>
      <c r="AM209" s="35">
        <f>IF($AH209="",DATE(1900,1,1),$AG209)</f>
        <v/>
      </c>
      <c r="AN209" s="32">
        <f>IF($AH209="",0,$AC209*$T209)</f>
        <v/>
      </c>
      <c r="AO209" s="46">
        <f>IF($C209="",0,IFERROR(INDEX(Deals!$BD$2:$BD$355,MATCH($C209,Deals!$A$2:$A$355,0)),0))</f>
        <v/>
      </c>
      <c r="AP209" s="18">
        <f>IF($AO209=0,0,IFERROR(INDEX(Deals!$BJ$2:$BP$355,MATCH($C209,Deals!$A$2:$A$355,0),MATCH($F209,Deals!$BJ$1:$BP$1,0))/COUNTIFS(Assignments!$C$2:$C$769,$C209,Assignments!$F$2:$F$769,$F209,Assignments!$G$2:$G$769,"Active"),0))</f>
        <v/>
      </c>
    </row>
    <row r="210">
      <c r="A210" s="28" t="inlineStr">
        <is>
          <t>Jason</t>
        </is>
      </c>
      <c r="B210" s="16">
        <f>IF($A210="","",IFERROR(INDEX(Roster!$B$2:$B$40,MATCH($A210,Roster!$A$2:$A$40,0)),"?"))</f>
        <v/>
      </c>
      <c r="C210" s="28" t="inlineStr">
        <is>
          <t>PMD_1</t>
        </is>
      </c>
      <c r="D210" s="16">
        <f>IF($C210="","",IFERROR(IF(INDEX(Deals!$C$2:$C$355,MATCH($C210,Deals!$A$2:$A$355,0))=0,"",INDEX(Deals!$C$2:$C$355,MATCH($C210,Deals!$A$2:$A$355,0))),"?"))</f>
        <v/>
      </c>
      <c r="E210" s="16">
        <f>IF($C210="","",IFERROR(INDEX(Deals!$F$2:$F$355,MATCH($C210,Deals!$A$2:$A$355,0)),"?"))</f>
        <v/>
      </c>
      <c r="F210" s="28" t="inlineStr">
        <is>
          <t>MD</t>
        </is>
      </c>
      <c r="G210" s="28" t="inlineStr">
        <is>
          <t>Active</t>
        </is>
      </c>
      <c r="H210" s="31" t="n"/>
      <c r="I210" s="32">
        <f>IF(OR($A210="",$G210&lt;&gt;"Active"),0,IF($H210&lt;&gt;"",$H210,IF($AO210&gt;0,$AP210,IF(AND($R210&lt;&gt;"",IFERROR(INDEX(Templates!$B$3:$H$10,MATCH($R210,Templates!$A$3:$A$10,0),MATCH($F210,Templates!$B$2:$H$2,0)),0)&gt;0),INDEX(Templates!$B$3:$H$10,MATCH($R210,Templates!$A$3:$A$10,0),MATCH($F210,Templates!$B$2:$H$2,0)),IFERROR(INDEX(Settings!$B$8:$B$14,MATCH($F210,Settings!$A$8:$A$14,0)),0)))))</f>
        <v/>
      </c>
      <c r="J210" s="21">
        <f>IF($C210="",0,IFERROR(INDEX(Deals!$H$2:$H$355,MATCH($C210,Deals!$A$2:$A$355,0)),0))</f>
        <v/>
      </c>
      <c r="K210" s="32">
        <f>IF(Settings!$B$4="Yes",$I210*$J210,$I210)</f>
        <v/>
      </c>
      <c r="L210" s="22">
        <f>IF($C210="","",IFERROR(IF(INDEX(Deals!$I$2:$I$355,MATCH($C210,Deals!$A$2:$A$355,0))=0,"",INDEX(Deals!$I$2:$I$355,MATCH($C210,Deals!$A$2:$A$355,0))),""))</f>
        <v/>
      </c>
      <c r="M210" s="22">
        <f>IF($C210="","",IFERROR(IF(INDEX(Deals!$J$2:$J$355,MATCH($C210,Deals!$A$2:$A$355,0))=0,"",INDEX(Deals!$J$2:$J$355,MATCH($C210,Deals!$A$2:$A$355,0))),""))</f>
        <v/>
      </c>
      <c r="N210" s="35">
        <f>IF($L210="",DATE(1900,1,1),$L210)</f>
        <v/>
      </c>
      <c r="O210" s="35">
        <f>IF($M210="",DATE(2100,12,31),$M210)</f>
        <v/>
      </c>
      <c r="P210" s="20" t="inlineStr"/>
      <c r="Q210" s="47" t="inlineStr"/>
      <c r="R210" s="16">
        <f>IF($C210="","",IFERROR(IF(INDEX(Deals!$U$2:$U$355,MATCH($C210,Deals!$A$2:$A$355,0))=0,"",INDEX(Deals!$U$2:$U$355,MATCH($C210,Deals!$A$2:$A$355,0))),""))</f>
        <v/>
      </c>
      <c r="S210" s="34">
        <f>IFERROR(IF($U210="",1,INDEX(Deals!$V$2:$V$355,MATCH($C210,Deals!$A$2:$A$355,0))),1)</f>
        <v/>
      </c>
      <c r="T210" s="34">
        <f>IFERROR(IF($U210="",1,INDEX(Deals!$W$2:$W$355,MATCH($C210,Deals!$A$2:$A$355,0))),1)</f>
        <v/>
      </c>
      <c r="U210" s="22">
        <f>IF($C210="","",IFERROR(IF(INDEX(Deals!$Y$2:$Y$355,MATCH($C210,Deals!$A$2:$A$355,0))=0,"",INDEX(Deals!$Y$2:$Y$355,MATCH($C210,Deals!$A$2:$A$355,0))),""))</f>
        <v/>
      </c>
      <c r="V210" s="35">
        <f>IF(OR($U210&lt;&gt;"",AND($AO210&gt;0,$L210&lt;&gt;"",$M210&lt;&gt;"")),$N210,DATE(1900,1,1))</f>
        <v/>
      </c>
      <c r="W210" s="35">
        <f>IF($U210&lt;&gt;"",$U210,IF(AND($AO210&gt;0,$L210&lt;&gt;"",$M210&lt;&gt;""),$O210,DATE(2100,12,31)))</f>
        <v/>
      </c>
      <c r="X210" s="32">
        <f>IF($U210="",$K210,$K210*$S210)</f>
        <v/>
      </c>
      <c r="Y210" s="35">
        <f>IF($U210="",DATE(2100,12,31),$U210+1)</f>
        <v/>
      </c>
      <c r="Z210" s="35">
        <f>IF($U210="",DATE(1900,1,1),$O210)</f>
        <v/>
      </c>
      <c r="AA210" s="32">
        <f>IF($U210="",0,$K210*$T210)</f>
        <v/>
      </c>
      <c r="AB210" s="21">
        <f>IF($C210="",0,IFERROR(INDEX(Deals!$AD$2:$AD$355,MATCH($C210,Deals!$A$2:$A$355,0)),0))</f>
        <v/>
      </c>
      <c r="AC210" s="32">
        <f>IF(Settings!$B$4="Yes",$I210*$AB210,$I210)</f>
        <v/>
      </c>
      <c r="AD210" s="22">
        <f>IF($C210="","",IFERROR(IF(INDEX(Deals!$AE$2:$AE$355,MATCH($C210,Deals!$A$2:$A$355,0))=0,"",INDEX(Deals!$AE$2:$AE$355,MATCH($C210,Deals!$A$2:$A$355,0))),""))</f>
        <v/>
      </c>
      <c r="AE210" s="22">
        <f>IF($C210="","",IFERROR(IF(INDEX(Deals!$AF$2:$AF$355,MATCH($C210,Deals!$A$2:$A$355,0))=0,"",INDEX(Deals!$AF$2:$AF$355,MATCH($C210,Deals!$A$2:$A$355,0))),""))</f>
        <v/>
      </c>
      <c r="AF210" s="35">
        <f>IF($AD210="",DATE(1900,1,1),$AD210)</f>
        <v/>
      </c>
      <c r="AG210" s="35">
        <f>IF($AE210="",DATE(2100,12,31),$AE210)</f>
        <v/>
      </c>
      <c r="AH210" s="22">
        <f>IF($C210="","",IFERROR(IF(INDEX(Deals!$AG$2:$AG$355,MATCH($C210,Deals!$A$2:$A$355,0))=0,"",INDEX(Deals!$AG$2:$AG$355,MATCH($C210,Deals!$A$2:$A$355,0))),""))</f>
        <v/>
      </c>
      <c r="AI210" s="35">
        <f>IF(OR($AH210&lt;&gt;"",AND($AO210&gt;0,$AD210&lt;&gt;"",$AE210&lt;&gt;"")),$AF210,DATE(1900,1,1))</f>
        <v/>
      </c>
      <c r="AJ210" s="35">
        <f>IF($AH210&lt;&gt;"",$AH210,IF(AND($AO210&gt;0,$AD210&lt;&gt;"",$AE210&lt;&gt;""),$AG210,DATE(2100,12,31)))</f>
        <v/>
      </c>
      <c r="AK210" s="32">
        <f>IF($AH210="",$AC210,$AC210*$S210)</f>
        <v/>
      </c>
      <c r="AL210" s="35">
        <f>IF($AH210="",DATE(2100,12,31),$AH210+1)</f>
        <v/>
      </c>
      <c r="AM210" s="35">
        <f>IF($AH210="",DATE(1900,1,1),$AG210)</f>
        <v/>
      </c>
      <c r="AN210" s="32">
        <f>IF($AH210="",0,$AC210*$T210)</f>
        <v/>
      </c>
      <c r="AO210" s="46">
        <f>IF($C210="",0,IFERROR(INDEX(Deals!$BD$2:$BD$355,MATCH($C210,Deals!$A$2:$A$355,0)),0))</f>
        <v/>
      </c>
      <c r="AP210" s="18">
        <f>IF($AO210=0,0,IFERROR(INDEX(Deals!$BJ$2:$BP$355,MATCH($C210,Deals!$A$2:$A$355,0),MATCH($F210,Deals!$BJ$1:$BP$1,0))/COUNTIFS(Assignments!$C$2:$C$769,$C210,Assignments!$F$2:$F$769,$F210,Assignments!$G$2:$G$769,"Active"),0))</f>
        <v/>
      </c>
    </row>
    <row r="211">
      <c r="A211" s="28" t="inlineStr">
        <is>
          <t>Jason</t>
        </is>
      </c>
      <c r="B211" s="16">
        <f>IF($A211="","",IFERROR(INDEX(Roster!$B$2:$B$40,MATCH($A211,Roster!$A$2:$A$40,0)),"?"))</f>
        <v/>
      </c>
      <c r="C211" s="28" t="inlineStr">
        <is>
          <t>Pocket_1</t>
        </is>
      </c>
      <c r="D211" s="16">
        <f>IF($C211="","",IFERROR(IF(INDEX(Deals!$C$2:$C$355,MATCH($C211,Deals!$A$2:$A$355,0))=0,"",INDEX(Deals!$C$2:$C$355,MATCH($C211,Deals!$A$2:$A$355,0))),"?"))</f>
        <v/>
      </c>
      <c r="E211" s="16">
        <f>IF($C211="","",IFERROR(INDEX(Deals!$F$2:$F$355,MATCH($C211,Deals!$A$2:$A$355,0)),"?"))</f>
        <v/>
      </c>
      <c r="F211" s="28" t="inlineStr">
        <is>
          <t>MD</t>
        </is>
      </c>
      <c r="G211" s="28" t="inlineStr">
        <is>
          <t>Active</t>
        </is>
      </c>
      <c r="H211" s="31" t="n"/>
      <c r="I211" s="32">
        <f>IF(OR($A211="",$G211&lt;&gt;"Active"),0,IF($H211&lt;&gt;"",$H211,IF($AO211&gt;0,$AP211,IF(AND($R211&lt;&gt;"",IFERROR(INDEX(Templates!$B$3:$H$10,MATCH($R211,Templates!$A$3:$A$10,0),MATCH($F211,Templates!$B$2:$H$2,0)),0)&gt;0),INDEX(Templates!$B$3:$H$10,MATCH($R211,Templates!$A$3:$A$10,0),MATCH($F211,Templates!$B$2:$H$2,0)),IFERROR(INDEX(Settings!$B$8:$B$14,MATCH($F211,Settings!$A$8:$A$14,0)),0)))))</f>
        <v/>
      </c>
      <c r="J211" s="21">
        <f>IF($C211="",0,IFERROR(INDEX(Deals!$H$2:$H$355,MATCH($C211,Deals!$A$2:$A$355,0)),0))</f>
        <v/>
      </c>
      <c r="K211" s="32">
        <f>IF(Settings!$B$4="Yes",$I211*$J211,$I211)</f>
        <v/>
      </c>
      <c r="L211" s="22">
        <f>IF($C211="","",IFERROR(IF(INDEX(Deals!$I$2:$I$355,MATCH($C211,Deals!$A$2:$A$355,0))=0,"",INDEX(Deals!$I$2:$I$355,MATCH($C211,Deals!$A$2:$A$355,0))),""))</f>
        <v/>
      </c>
      <c r="M211" s="22">
        <f>IF($C211="","",IFERROR(IF(INDEX(Deals!$J$2:$J$355,MATCH($C211,Deals!$A$2:$A$355,0))=0,"",INDEX(Deals!$J$2:$J$355,MATCH($C211,Deals!$A$2:$A$355,0))),""))</f>
        <v/>
      </c>
      <c r="N211" s="35">
        <f>IF($L211="",DATE(1900,1,1),$L211)</f>
        <v/>
      </c>
      <c r="O211" s="35">
        <f>IF($M211="",DATE(2100,12,31),$M211)</f>
        <v/>
      </c>
      <c r="P211" s="20" t="inlineStr"/>
      <c r="Q211" s="47" t="inlineStr"/>
      <c r="R211" s="16">
        <f>IF($C211="","",IFERROR(IF(INDEX(Deals!$U$2:$U$355,MATCH($C211,Deals!$A$2:$A$355,0))=0,"",INDEX(Deals!$U$2:$U$355,MATCH($C211,Deals!$A$2:$A$355,0))),""))</f>
        <v/>
      </c>
      <c r="S211" s="34">
        <f>IFERROR(IF($U211="",1,INDEX(Deals!$V$2:$V$355,MATCH($C211,Deals!$A$2:$A$355,0))),1)</f>
        <v/>
      </c>
      <c r="T211" s="34">
        <f>IFERROR(IF($U211="",1,INDEX(Deals!$W$2:$W$355,MATCH($C211,Deals!$A$2:$A$355,0))),1)</f>
        <v/>
      </c>
      <c r="U211" s="22">
        <f>IF($C211="","",IFERROR(IF(INDEX(Deals!$Y$2:$Y$355,MATCH($C211,Deals!$A$2:$A$355,0))=0,"",INDEX(Deals!$Y$2:$Y$355,MATCH($C211,Deals!$A$2:$A$355,0))),""))</f>
        <v/>
      </c>
      <c r="V211" s="35">
        <f>IF(OR($U211&lt;&gt;"",AND($AO211&gt;0,$L211&lt;&gt;"",$M211&lt;&gt;"")),$N211,DATE(1900,1,1))</f>
        <v/>
      </c>
      <c r="W211" s="35">
        <f>IF($U211&lt;&gt;"",$U211,IF(AND($AO211&gt;0,$L211&lt;&gt;"",$M211&lt;&gt;""),$O211,DATE(2100,12,31)))</f>
        <v/>
      </c>
      <c r="X211" s="32">
        <f>IF($U211="",$K211,$K211*$S211)</f>
        <v/>
      </c>
      <c r="Y211" s="35">
        <f>IF($U211="",DATE(2100,12,31),$U211+1)</f>
        <v/>
      </c>
      <c r="Z211" s="35">
        <f>IF($U211="",DATE(1900,1,1),$O211)</f>
        <v/>
      </c>
      <c r="AA211" s="32">
        <f>IF($U211="",0,$K211*$T211)</f>
        <v/>
      </c>
      <c r="AB211" s="21">
        <f>IF($C211="",0,IFERROR(INDEX(Deals!$AD$2:$AD$355,MATCH($C211,Deals!$A$2:$A$355,0)),0))</f>
        <v/>
      </c>
      <c r="AC211" s="32">
        <f>IF(Settings!$B$4="Yes",$I211*$AB211,$I211)</f>
        <v/>
      </c>
      <c r="AD211" s="22">
        <f>IF($C211="","",IFERROR(IF(INDEX(Deals!$AE$2:$AE$355,MATCH($C211,Deals!$A$2:$A$355,0))=0,"",INDEX(Deals!$AE$2:$AE$355,MATCH($C211,Deals!$A$2:$A$355,0))),""))</f>
        <v/>
      </c>
      <c r="AE211" s="22">
        <f>IF($C211="","",IFERROR(IF(INDEX(Deals!$AF$2:$AF$355,MATCH($C211,Deals!$A$2:$A$355,0))=0,"",INDEX(Deals!$AF$2:$AF$355,MATCH($C211,Deals!$A$2:$A$355,0))),""))</f>
        <v/>
      </c>
      <c r="AF211" s="35">
        <f>IF($AD211="",DATE(1900,1,1),$AD211)</f>
        <v/>
      </c>
      <c r="AG211" s="35">
        <f>IF($AE211="",DATE(2100,12,31),$AE211)</f>
        <v/>
      </c>
      <c r="AH211" s="22">
        <f>IF($C211="","",IFERROR(IF(INDEX(Deals!$AG$2:$AG$355,MATCH($C211,Deals!$A$2:$A$355,0))=0,"",INDEX(Deals!$AG$2:$AG$355,MATCH($C211,Deals!$A$2:$A$355,0))),""))</f>
        <v/>
      </c>
      <c r="AI211" s="35">
        <f>IF(OR($AH211&lt;&gt;"",AND($AO211&gt;0,$AD211&lt;&gt;"",$AE211&lt;&gt;"")),$AF211,DATE(1900,1,1))</f>
        <v/>
      </c>
      <c r="AJ211" s="35">
        <f>IF($AH211&lt;&gt;"",$AH211,IF(AND($AO211&gt;0,$AD211&lt;&gt;"",$AE211&lt;&gt;""),$AG211,DATE(2100,12,31)))</f>
        <v/>
      </c>
      <c r="AK211" s="32">
        <f>IF($AH211="",$AC211,$AC211*$S211)</f>
        <v/>
      </c>
      <c r="AL211" s="35">
        <f>IF($AH211="",DATE(2100,12,31),$AH211+1)</f>
        <v/>
      </c>
      <c r="AM211" s="35">
        <f>IF($AH211="",DATE(1900,1,1),$AG211)</f>
        <v/>
      </c>
      <c r="AN211" s="32">
        <f>IF($AH211="",0,$AC211*$T211)</f>
        <v/>
      </c>
      <c r="AO211" s="46">
        <f>IF($C211="",0,IFERROR(INDEX(Deals!$BD$2:$BD$355,MATCH($C211,Deals!$A$2:$A$355,0)),0))</f>
        <v/>
      </c>
      <c r="AP211" s="18">
        <f>IF($AO211=0,0,IFERROR(INDEX(Deals!$BJ$2:$BP$355,MATCH($C211,Deals!$A$2:$A$355,0),MATCH($F211,Deals!$BJ$1:$BP$1,0))/COUNTIFS(Assignments!$C$2:$C$769,$C211,Assignments!$F$2:$F$769,$F211,Assignments!$G$2:$G$769,"Active"),0))</f>
        <v/>
      </c>
    </row>
    <row r="212">
      <c r="A212" s="28" t="inlineStr">
        <is>
          <t>Jason</t>
        </is>
      </c>
      <c r="B212" s="16">
        <f>IF($A212="","",IFERROR(INDEX(Roster!$B$2:$B$40,MATCH($A212,Roster!$A$2:$A$40,0)),"?"))</f>
        <v/>
      </c>
      <c r="C212" s="28" t="inlineStr">
        <is>
          <t>Scion_1</t>
        </is>
      </c>
      <c r="D212" s="16">
        <f>IF($C212="","",IFERROR(IF(INDEX(Deals!$C$2:$C$355,MATCH($C212,Deals!$A$2:$A$355,0))=0,"",INDEX(Deals!$C$2:$C$355,MATCH($C212,Deals!$A$2:$A$355,0))),"?"))</f>
        <v/>
      </c>
      <c r="E212" s="16">
        <f>IF($C212="","",IFERROR(INDEX(Deals!$F$2:$F$355,MATCH($C212,Deals!$A$2:$A$355,0)),"?"))</f>
        <v/>
      </c>
      <c r="F212" s="28" t="inlineStr">
        <is>
          <t>MD</t>
        </is>
      </c>
      <c r="G212" s="28" t="inlineStr">
        <is>
          <t>Active</t>
        </is>
      </c>
      <c r="H212" s="31" t="n"/>
      <c r="I212" s="32">
        <f>IF(OR($A212="",$G212&lt;&gt;"Active"),0,IF($H212&lt;&gt;"",$H212,IF($AO212&gt;0,$AP212,IF(AND($R212&lt;&gt;"",IFERROR(INDEX(Templates!$B$3:$H$10,MATCH($R212,Templates!$A$3:$A$10,0),MATCH($F212,Templates!$B$2:$H$2,0)),0)&gt;0),INDEX(Templates!$B$3:$H$10,MATCH($R212,Templates!$A$3:$A$10,0),MATCH($F212,Templates!$B$2:$H$2,0)),IFERROR(INDEX(Settings!$B$8:$B$14,MATCH($F212,Settings!$A$8:$A$14,0)),0)))))</f>
        <v/>
      </c>
      <c r="J212" s="21">
        <f>IF($C212="",0,IFERROR(INDEX(Deals!$H$2:$H$355,MATCH($C212,Deals!$A$2:$A$355,0)),0))</f>
        <v/>
      </c>
      <c r="K212" s="32">
        <f>IF(Settings!$B$4="Yes",$I212*$J212,$I212)</f>
        <v/>
      </c>
      <c r="L212" s="22">
        <f>IF($C212="","",IFERROR(IF(INDEX(Deals!$I$2:$I$355,MATCH($C212,Deals!$A$2:$A$355,0))=0,"",INDEX(Deals!$I$2:$I$355,MATCH($C212,Deals!$A$2:$A$355,0))),""))</f>
        <v/>
      </c>
      <c r="M212" s="22">
        <f>IF($C212="","",IFERROR(IF(INDEX(Deals!$J$2:$J$355,MATCH($C212,Deals!$A$2:$A$355,0))=0,"",INDEX(Deals!$J$2:$J$355,MATCH($C212,Deals!$A$2:$A$355,0))),""))</f>
        <v/>
      </c>
      <c r="N212" s="35">
        <f>IF($L212="",DATE(1900,1,1),$L212)</f>
        <v/>
      </c>
      <c r="O212" s="35">
        <f>IF($M212="",DATE(2100,12,31),$M212)</f>
        <v/>
      </c>
      <c r="P212" s="20" t="inlineStr"/>
      <c r="Q212" s="47" t="inlineStr"/>
      <c r="R212" s="16">
        <f>IF($C212="","",IFERROR(IF(INDEX(Deals!$U$2:$U$355,MATCH($C212,Deals!$A$2:$A$355,0))=0,"",INDEX(Deals!$U$2:$U$355,MATCH($C212,Deals!$A$2:$A$355,0))),""))</f>
        <v/>
      </c>
      <c r="S212" s="34">
        <f>IFERROR(IF($U212="",1,INDEX(Deals!$V$2:$V$355,MATCH($C212,Deals!$A$2:$A$355,0))),1)</f>
        <v/>
      </c>
      <c r="T212" s="34">
        <f>IFERROR(IF($U212="",1,INDEX(Deals!$W$2:$W$355,MATCH($C212,Deals!$A$2:$A$355,0))),1)</f>
        <v/>
      </c>
      <c r="U212" s="22">
        <f>IF($C212="","",IFERROR(IF(INDEX(Deals!$Y$2:$Y$355,MATCH($C212,Deals!$A$2:$A$355,0))=0,"",INDEX(Deals!$Y$2:$Y$355,MATCH($C212,Deals!$A$2:$A$355,0))),""))</f>
        <v/>
      </c>
      <c r="V212" s="35">
        <f>IF(OR($U212&lt;&gt;"",AND($AO212&gt;0,$L212&lt;&gt;"",$M212&lt;&gt;"")),$N212,DATE(1900,1,1))</f>
        <v/>
      </c>
      <c r="W212" s="35">
        <f>IF($U212&lt;&gt;"",$U212,IF(AND($AO212&gt;0,$L212&lt;&gt;"",$M212&lt;&gt;""),$O212,DATE(2100,12,31)))</f>
        <v/>
      </c>
      <c r="X212" s="32">
        <f>IF($U212="",$K212,$K212*$S212)</f>
        <v/>
      </c>
      <c r="Y212" s="35">
        <f>IF($U212="",DATE(2100,12,31),$U212+1)</f>
        <v/>
      </c>
      <c r="Z212" s="35">
        <f>IF($U212="",DATE(1900,1,1),$O212)</f>
        <v/>
      </c>
      <c r="AA212" s="32">
        <f>IF($U212="",0,$K212*$T212)</f>
        <v/>
      </c>
      <c r="AB212" s="21">
        <f>IF($C212="",0,IFERROR(INDEX(Deals!$AD$2:$AD$355,MATCH($C212,Deals!$A$2:$A$355,0)),0))</f>
        <v/>
      </c>
      <c r="AC212" s="32">
        <f>IF(Settings!$B$4="Yes",$I212*$AB212,$I212)</f>
        <v/>
      </c>
      <c r="AD212" s="22">
        <f>IF($C212="","",IFERROR(IF(INDEX(Deals!$AE$2:$AE$355,MATCH($C212,Deals!$A$2:$A$355,0))=0,"",INDEX(Deals!$AE$2:$AE$355,MATCH($C212,Deals!$A$2:$A$355,0))),""))</f>
        <v/>
      </c>
      <c r="AE212" s="22">
        <f>IF($C212="","",IFERROR(IF(INDEX(Deals!$AF$2:$AF$355,MATCH($C212,Deals!$A$2:$A$355,0))=0,"",INDEX(Deals!$AF$2:$AF$355,MATCH($C212,Deals!$A$2:$A$355,0))),""))</f>
        <v/>
      </c>
      <c r="AF212" s="35">
        <f>IF($AD212="",DATE(1900,1,1),$AD212)</f>
        <v/>
      </c>
      <c r="AG212" s="35">
        <f>IF($AE212="",DATE(2100,12,31),$AE212)</f>
        <v/>
      </c>
      <c r="AH212" s="22">
        <f>IF($C212="","",IFERROR(IF(INDEX(Deals!$AG$2:$AG$355,MATCH($C212,Deals!$A$2:$A$355,0))=0,"",INDEX(Deals!$AG$2:$AG$355,MATCH($C212,Deals!$A$2:$A$355,0))),""))</f>
        <v/>
      </c>
      <c r="AI212" s="35">
        <f>IF(OR($AH212&lt;&gt;"",AND($AO212&gt;0,$AD212&lt;&gt;"",$AE212&lt;&gt;"")),$AF212,DATE(1900,1,1))</f>
        <v/>
      </c>
      <c r="AJ212" s="35">
        <f>IF($AH212&lt;&gt;"",$AH212,IF(AND($AO212&gt;0,$AD212&lt;&gt;"",$AE212&lt;&gt;""),$AG212,DATE(2100,12,31)))</f>
        <v/>
      </c>
      <c r="AK212" s="32">
        <f>IF($AH212="",$AC212,$AC212*$S212)</f>
        <v/>
      </c>
      <c r="AL212" s="35">
        <f>IF($AH212="",DATE(2100,12,31),$AH212+1)</f>
        <v/>
      </c>
      <c r="AM212" s="35">
        <f>IF($AH212="",DATE(1900,1,1),$AG212)</f>
        <v/>
      </c>
      <c r="AN212" s="32">
        <f>IF($AH212="",0,$AC212*$T212)</f>
        <v/>
      </c>
      <c r="AO212" s="46">
        <f>IF($C212="",0,IFERROR(INDEX(Deals!$BD$2:$BD$355,MATCH($C212,Deals!$A$2:$A$355,0)),0))</f>
        <v/>
      </c>
      <c r="AP212" s="18">
        <f>IF($AO212=0,0,IFERROR(INDEX(Deals!$BJ$2:$BP$355,MATCH($C212,Deals!$A$2:$A$355,0),MATCH($F212,Deals!$BJ$1:$BP$1,0))/COUNTIFS(Assignments!$C$2:$C$769,$C212,Assignments!$F$2:$F$769,$F212,Assignments!$G$2:$G$769,"Active"),0))</f>
        <v/>
      </c>
    </row>
    <row r="213">
      <c r="A213" s="28" t="inlineStr">
        <is>
          <t>Jason</t>
        </is>
      </c>
      <c r="B213" s="16">
        <f>IF($A213="","",IFERROR(INDEX(Roster!$B$2:$B$40,MATCH($A213,Roster!$A$2:$A$40,0)),"?"))</f>
        <v/>
      </c>
      <c r="C213" s="28" t="inlineStr">
        <is>
          <t>Steam_2</t>
        </is>
      </c>
      <c r="D213" s="16">
        <f>IF($C213="","",IFERROR(IF(INDEX(Deals!$C$2:$C$355,MATCH($C213,Deals!$A$2:$A$355,0))=0,"",INDEX(Deals!$C$2:$C$355,MATCH($C213,Deals!$A$2:$A$355,0))),"?"))</f>
        <v/>
      </c>
      <c r="E213" s="16">
        <f>IF($C213="","",IFERROR(INDEX(Deals!$F$2:$F$355,MATCH($C213,Deals!$A$2:$A$355,0)),"?"))</f>
        <v/>
      </c>
      <c r="F213" s="28" t="inlineStr">
        <is>
          <t>MD</t>
        </is>
      </c>
      <c r="G213" s="28" t="inlineStr">
        <is>
          <t>Active</t>
        </is>
      </c>
      <c r="H213" s="31" t="n"/>
      <c r="I213" s="32">
        <f>IF(OR($A213="",$G213&lt;&gt;"Active"),0,IF($H213&lt;&gt;"",$H213,IF($AO213&gt;0,$AP213,IF(AND($R213&lt;&gt;"",IFERROR(INDEX(Templates!$B$3:$H$10,MATCH($R213,Templates!$A$3:$A$10,0),MATCH($F213,Templates!$B$2:$H$2,0)),0)&gt;0),INDEX(Templates!$B$3:$H$10,MATCH($R213,Templates!$A$3:$A$10,0),MATCH($F213,Templates!$B$2:$H$2,0)),IFERROR(INDEX(Settings!$B$8:$B$14,MATCH($F213,Settings!$A$8:$A$14,0)),0)))))</f>
        <v/>
      </c>
      <c r="J213" s="21">
        <f>IF($C213="",0,IFERROR(INDEX(Deals!$H$2:$H$355,MATCH($C213,Deals!$A$2:$A$355,0)),0))</f>
        <v/>
      </c>
      <c r="K213" s="32">
        <f>IF(Settings!$B$4="Yes",$I213*$J213,$I213)</f>
        <v/>
      </c>
      <c r="L213" s="22">
        <f>IF($C213="","",IFERROR(IF(INDEX(Deals!$I$2:$I$355,MATCH($C213,Deals!$A$2:$A$355,0))=0,"",INDEX(Deals!$I$2:$I$355,MATCH($C213,Deals!$A$2:$A$355,0))),""))</f>
        <v/>
      </c>
      <c r="M213" s="22">
        <f>IF($C213="","",IFERROR(IF(INDEX(Deals!$J$2:$J$355,MATCH($C213,Deals!$A$2:$A$355,0))=0,"",INDEX(Deals!$J$2:$J$355,MATCH($C213,Deals!$A$2:$A$355,0))),""))</f>
        <v/>
      </c>
      <c r="N213" s="35">
        <f>IF($L213="",DATE(1900,1,1),$L213)</f>
        <v/>
      </c>
      <c r="O213" s="35">
        <f>IF($M213="",DATE(2100,12,31),$M213)</f>
        <v/>
      </c>
      <c r="P213" s="20" t="inlineStr"/>
      <c r="Q213" s="47" t="inlineStr"/>
      <c r="R213" s="16">
        <f>IF($C213="","",IFERROR(IF(INDEX(Deals!$U$2:$U$355,MATCH($C213,Deals!$A$2:$A$355,0))=0,"",INDEX(Deals!$U$2:$U$355,MATCH($C213,Deals!$A$2:$A$355,0))),""))</f>
        <v/>
      </c>
      <c r="S213" s="34">
        <f>IFERROR(IF($U213="",1,INDEX(Deals!$V$2:$V$355,MATCH($C213,Deals!$A$2:$A$355,0))),1)</f>
        <v/>
      </c>
      <c r="T213" s="34">
        <f>IFERROR(IF($U213="",1,INDEX(Deals!$W$2:$W$355,MATCH($C213,Deals!$A$2:$A$355,0))),1)</f>
        <v/>
      </c>
      <c r="U213" s="22">
        <f>IF($C213="","",IFERROR(IF(INDEX(Deals!$Y$2:$Y$355,MATCH($C213,Deals!$A$2:$A$355,0))=0,"",INDEX(Deals!$Y$2:$Y$355,MATCH($C213,Deals!$A$2:$A$355,0))),""))</f>
        <v/>
      </c>
      <c r="V213" s="35">
        <f>IF(OR($U213&lt;&gt;"",AND($AO213&gt;0,$L213&lt;&gt;"",$M213&lt;&gt;"")),$N213,DATE(1900,1,1))</f>
        <v/>
      </c>
      <c r="W213" s="35">
        <f>IF($U213&lt;&gt;"",$U213,IF(AND($AO213&gt;0,$L213&lt;&gt;"",$M213&lt;&gt;""),$O213,DATE(2100,12,31)))</f>
        <v/>
      </c>
      <c r="X213" s="32">
        <f>IF($U213="",$K213,$K213*$S213)</f>
        <v/>
      </c>
      <c r="Y213" s="35">
        <f>IF($U213="",DATE(2100,12,31),$U213+1)</f>
        <v/>
      </c>
      <c r="Z213" s="35">
        <f>IF($U213="",DATE(1900,1,1),$O213)</f>
        <v/>
      </c>
      <c r="AA213" s="32">
        <f>IF($U213="",0,$K213*$T213)</f>
        <v/>
      </c>
      <c r="AB213" s="21">
        <f>IF($C213="",0,IFERROR(INDEX(Deals!$AD$2:$AD$355,MATCH($C213,Deals!$A$2:$A$355,0)),0))</f>
        <v/>
      </c>
      <c r="AC213" s="32">
        <f>IF(Settings!$B$4="Yes",$I213*$AB213,$I213)</f>
        <v/>
      </c>
      <c r="AD213" s="22">
        <f>IF($C213="","",IFERROR(IF(INDEX(Deals!$AE$2:$AE$355,MATCH($C213,Deals!$A$2:$A$355,0))=0,"",INDEX(Deals!$AE$2:$AE$355,MATCH($C213,Deals!$A$2:$A$355,0))),""))</f>
        <v/>
      </c>
      <c r="AE213" s="22">
        <f>IF($C213="","",IFERROR(IF(INDEX(Deals!$AF$2:$AF$355,MATCH($C213,Deals!$A$2:$A$355,0))=0,"",INDEX(Deals!$AF$2:$AF$355,MATCH($C213,Deals!$A$2:$A$355,0))),""))</f>
        <v/>
      </c>
      <c r="AF213" s="35">
        <f>IF($AD213="",DATE(1900,1,1),$AD213)</f>
        <v/>
      </c>
      <c r="AG213" s="35">
        <f>IF($AE213="",DATE(2100,12,31),$AE213)</f>
        <v/>
      </c>
      <c r="AH213" s="22">
        <f>IF($C213="","",IFERROR(IF(INDEX(Deals!$AG$2:$AG$355,MATCH($C213,Deals!$A$2:$A$355,0))=0,"",INDEX(Deals!$AG$2:$AG$355,MATCH($C213,Deals!$A$2:$A$355,0))),""))</f>
        <v/>
      </c>
      <c r="AI213" s="35">
        <f>IF(OR($AH213&lt;&gt;"",AND($AO213&gt;0,$AD213&lt;&gt;"",$AE213&lt;&gt;"")),$AF213,DATE(1900,1,1))</f>
        <v/>
      </c>
      <c r="AJ213" s="35">
        <f>IF($AH213&lt;&gt;"",$AH213,IF(AND($AO213&gt;0,$AD213&lt;&gt;"",$AE213&lt;&gt;""),$AG213,DATE(2100,12,31)))</f>
        <v/>
      </c>
      <c r="AK213" s="32">
        <f>IF($AH213="",$AC213,$AC213*$S213)</f>
        <v/>
      </c>
      <c r="AL213" s="35">
        <f>IF($AH213="",DATE(2100,12,31),$AH213+1)</f>
        <v/>
      </c>
      <c r="AM213" s="35">
        <f>IF($AH213="",DATE(1900,1,1),$AG213)</f>
        <v/>
      </c>
      <c r="AN213" s="32">
        <f>IF($AH213="",0,$AC213*$T213)</f>
        <v/>
      </c>
      <c r="AO213" s="46">
        <f>IF($C213="",0,IFERROR(INDEX(Deals!$BD$2:$BD$355,MATCH($C213,Deals!$A$2:$A$355,0)),0))</f>
        <v/>
      </c>
      <c r="AP213" s="18">
        <f>IF($AO213=0,0,IFERROR(INDEX(Deals!$BJ$2:$BP$355,MATCH($C213,Deals!$A$2:$A$355,0),MATCH($F213,Deals!$BJ$1:$BP$1,0))/COUNTIFS(Assignments!$C$2:$C$769,$C213,Assignments!$F$2:$F$769,$F213,Assignments!$G$2:$G$769,"Active"),0))</f>
        <v/>
      </c>
    </row>
    <row r="214">
      <c r="A214" s="28" t="inlineStr">
        <is>
          <t>Jason</t>
        </is>
      </c>
      <c r="B214" s="16">
        <f>IF($A214="","",IFERROR(INDEX(Roster!$B$2:$B$40,MATCH($A214,Roster!$A$2:$A$40,0)),"?"))</f>
        <v/>
      </c>
      <c r="C214" s="28" t="inlineStr">
        <is>
          <t>Sunrise_5</t>
        </is>
      </c>
      <c r="D214" s="16">
        <f>IF($C214="","",IFERROR(IF(INDEX(Deals!$C$2:$C$355,MATCH($C214,Deals!$A$2:$A$355,0))=0,"",INDEX(Deals!$C$2:$C$355,MATCH($C214,Deals!$A$2:$A$355,0))),"?"))</f>
        <v/>
      </c>
      <c r="E214" s="16">
        <f>IF($C214="","",IFERROR(INDEX(Deals!$F$2:$F$355,MATCH($C214,Deals!$A$2:$A$355,0)),"?"))</f>
        <v/>
      </c>
      <c r="F214" s="28" t="inlineStr">
        <is>
          <t>MD</t>
        </is>
      </c>
      <c r="G214" s="28" t="inlineStr">
        <is>
          <t>Active</t>
        </is>
      </c>
      <c r="H214" s="31" t="n"/>
      <c r="I214" s="32">
        <f>IF(OR($A214="",$G214&lt;&gt;"Active"),0,IF($H214&lt;&gt;"",$H214,IF($AO214&gt;0,$AP214,IF(AND($R214&lt;&gt;"",IFERROR(INDEX(Templates!$B$3:$H$10,MATCH($R214,Templates!$A$3:$A$10,0),MATCH($F214,Templates!$B$2:$H$2,0)),0)&gt;0),INDEX(Templates!$B$3:$H$10,MATCH($R214,Templates!$A$3:$A$10,0),MATCH($F214,Templates!$B$2:$H$2,0)),IFERROR(INDEX(Settings!$B$8:$B$14,MATCH($F214,Settings!$A$8:$A$14,0)),0)))))</f>
        <v/>
      </c>
      <c r="J214" s="21">
        <f>IF($C214="",0,IFERROR(INDEX(Deals!$H$2:$H$355,MATCH($C214,Deals!$A$2:$A$355,0)),0))</f>
        <v/>
      </c>
      <c r="K214" s="32">
        <f>IF(Settings!$B$4="Yes",$I214*$J214,$I214)</f>
        <v/>
      </c>
      <c r="L214" s="22">
        <f>IF($C214="","",IFERROR(IF(INDEX(Deals!$I$2:$I$355,MATCH($C214,Deals!$A$2:$A$355,0))=0,"",INDEX(Deals!$I$2:$I$355,MATCH($C214,Deals!$A$2:$A$355,0))),""))</f>
        <v/>
      </c>
      <c r="M214" s="22">
        <f>IF($C214="","",IFERROR(IF(INDEX(Deals!$J$2:$J$355,MATCH($C214,Deals!$A$2:$A$355,0))=0,"",INDEX(Deals!$J$2:$J$355,MATCH($C214,Deals!$A$2:$A$355,0))),""))</f>
        <v/>
      </c>
      <c r="N214" s="35">
        <f>IF($L214="",DATE(1900,1,1),$L214)</f>
        <v/>
      </c>
      <c r="O214" s="35">
        <f>IF($M214="",DATE(2100,12,31),$M214)</f>
        <v/>
      </c>
      <c r="P214" s="20" t="inlineStr"/>
      <c r="Q214" s="47" t="inlineStr"/>
      <c r="R214" s="16">
        <f>IF($C214="","",IFERROR(IF(INDEX(Deals!$U$2:$U$355,MATCH($C214,Deals!$A$2:$A$355,0))=0,"",INDEX(Deals!$U$2:$U$355,MATCH($C214,Deals!$A$2:$A$355,0))),""))</f>
        <v/>
      </c>
      <c r="S214" s="34">
        <f>IFERROR(IF($U214="",1,INDEX(Deals!$V$2:$V$355,MATCH($C214,Deals!$A$2:$A$355,0))),1)</f>
        <v/>
      </c>
      <c r="T214" s="34">
        <f>IFERROR(IF($U214="",1,INDEX(Deals!$W$2:$W$355,MATCH($C214,Deals!$A$2:$A$355,0))),1)</f>
        <v/>
      </c>
      <c r="U214" s="22">
        <f>IF($C214="","",IFERROR(IF(INDEX(Deals!$Y$2:$Y$355,MATCH($C214,Deals!$A$2:$A$355,0))=0,"",INDEX(Deals!$Y$2:$Y$355,MATCH($C214,Deals!$A$2:$A$355,0))),""))</f>
        <v/>
      </c>
      <c r="V214" s="35">
        <f>IF(OR($U214&lt;&gt;"",AND($AO214&gt;0,$L214&lt;&gt;"",$M214&lt;&gt;"")),$N214,DATE(1900,1,1))</f>
        <v/>
      </c>
      <c r="W214" s="35">
        <f>IF($U214&lt;&gt;"",$U214,IF(AND($AO214&gt;0,$L214&lt;&gt;"",$M214&lt;&gt;""),$O214,DATE(2100,12,31)))</f>
        <v/>
      </c>
      <c r="X214" s="32">
        <f>IF($U214="",$K214,$K214*$S214)</f>
        <v/>
      </c>
      <c r="Y214" s="35">
        <f>IF($U214="",DATE(2100,12,31),$U214+1)</f>
        <v/>
      </c>
      <c r="Z214" s="35">
        <f>IF($U214="",DATE(1900,1,1),$O214)</f>
        <v/>
      </c>
      <c r="AA214" s="32">
        <f>IF($U214="",0,$K214*$T214)</f>
        <v/>
      </c>
      <c r="AB214" s="21">
        <f>IF($C214="",0,IFERROR(INDEX(Deals!$AD$2:$AD$355,MATCH($C214,Deals!$A$2:$A$355,0)),0))</f>
        <v/>
      </c>
      <c r="AC214" s="32">
        <f>IF(Settings!$B$4="Yes",$I214*$AB214,$I214)</f>
        <v/>
      </c>
      <c r="AD214" s="22">
        <f>IF($C214="","",IFERROR(IF(INDEX(Deals!$AE$2:$AE$355,MATCH($C214,Deals!$A$2:$A$355,0))=0,"",INDEX(Deals!$AE$2:$AE$355,MATCH($C214,Deals!$A$2:$A$355,0))),""))</f>
        <v/>
      </c>
      <c r="AE214" s="22">
        <f>IF($C214="","",IFERROR(IF(INDEX(Deals!$AF$2:$AF$355,MATCH($C214,Deals!$A$2:$A$355,0))=0,"",INDEX(Deals!$AF$2:$AF$355,MATCH($C214,Deals!$A$2:$A$355,0))),""))</f>
        <v/>
      </c>
      <c r="AF214" s="35">
        <f>IF($AD214="",DATE(1900,1,1),$AD214)</f>
        <v/>
      </c>
      <c r="AG214" s="35">
        <f>IF($AE214="",DATE(2100,12,31),$AE214)</f>
        <v/>
      </c>
      <c r="AH214" s="22">
        <f>IF($C214="","",IFERROR(IF(INDEX(Deals!$AG$2:$AG$355,MATCH($C214,Deals!$A$2:$A$355,0))=0,"",INDEX(Deals!$AG$2:$AG$355,MATCH($C214,Deals!$A$2:$A$355,0))),""))</f>
        <v/>
      </c>
      <c r="AI214" s="35">
        <f>IF(OR($AH214&lt;&gt;"",AND($AO214&gt;0,$AD214&lt;&gt;"",$AE214&lt;&gt;"")),$AF214,DATE(1900,1,1))</f>
        <v/>
      </c>
      <c r="AJ214" s="35">
        <f>IF($AH214&lt;&gt;"",$AH214,IF(AND($AO214&gt;0,$AD214&lt;&gt;"",$AE214&lt;&gt;""),$AG214,DATE(2100,12,31)))</f>
        <v/>
      </c>
      <c r="AK214" s="32">
        <f>IF($AH214="",$AC214,$AC214*$S214)</f>
        <v/>
      </c>
      <c r="AL214" s="35">
        <f>IF($AH214="",DATE(2100,12,31),$AH214+1)</f>
        <v/>
      </c>
      <c r="AM214" s="35">
        <f>IF($AH214="",DATE(1900,1,1),$AG214)</f>
        <v/>
      </c>
      <c r="AN214" s="32">
        <f>IF($AH214="",0,$AC214*$T214)</f>
        <v/>
      </c>
      <c r="AO214" s="46">
        <f>IF($C214="",0,IFERROR(INDEX(Deals!$BD$2:$BD$355,MATCH($C214,Deals!$A$2:$A$355,0)),0))</f>
        <v/>
      </c>
      <c r="AP214" s="18">
        <f>IF($AO214=0,0,IFERROR(INDEX(Deals!$BJ$2:$BP$355,MATCH($C214,Deals!$A$2:$A$355,0),MATCH($F214,Deals!$BJ$1:$BP$1,0))/COUNTIFS(Assignments!$C$2:$C$769,$C214,Assignments!$F$2:$F$769,$F214,Assignments!$G$2:$G$769,"Active"),0))</f>
        <v/>
      </c>
    </row>
    <row r="215">
      <c r="A215" s="28" t="inlineStr">
        <is>
          <t>Jason</t>
        </is>
      </c>
      <c r="B215" s="16">
        <f>IF($A215="","",IFERROR(INDEX(Roster!$B$2:$B$40,MATCH($A215,Roster!$A$2:$A$40,0)),"?"))</f>
        <v/>
      </c>
      <c r="C215" s="28" t="inlineStr">
        <is>
          <t>Truman_1</t>
        </is>
      </c>
      <c r="D215" s="16">
        <f>IF($C215="","",IFERROR(IF(INDEX(Deals!$C$2:$C$355,MATCH($C215,Deals!$A$2:$A$355,0))=0,"",INDEX(Deals!$C$2:$C$355,MATCH($C215,Deals!$A$2:$A$355,0))),"?"))</f>
        <v/>
      </c>
      <c r="E215" s="16">
        <f>IF($C215="","",IFERROR(INDEX(Deals!$F$2:$F$355,MATCH($C215,Deals!$A$2:$A$355,0)),"?"))</f>
        <v/>
      </c>
      <c r="F215" s="28" t="inlineStr">
        <is>
          <t>MD</t>
        </is>
      </c>
      <c r="G215" s="28" t="inlineStr">
        <is>
          <t>Active</t>
        </is>
      </c>
      <c r="H215" s="31" t="n"/>
      <c r="I215" s="32">
        <f>IF(OR($A215="",$G215&lt;&gt;"Active"),0,IF($H215&lt;&gt;"",$H215,IF($AO215&gt;0,$AP215,IF(AND($R215&lt;&gt;"",IFERROR(INDEX(Templates!$B$3:$H$10,MATCH($R215,Templates!$A$3:$A$10,0),MATCH($F215,Templates!$B$2:$H$2,0)),0)&gt;0),INDEX(Templates!$B$3:$H$10,MATCH($R215,Templates!$A$3:$A$10,0),MATCH($F215,Templates!$B$2:$H$2,0)),IFERROR(INDEX(Settings!$B$8:$B$14,MATCH($F215,Settings!$A$8:$A$14,0)),0)))))</f>
        <v/>
      </c>
      <c r="J215" s="21">
        <f>IF($C215="",0,IFERROR(INDEX(Deals!$H$2:$H$355,MATCH($C215,Deals!$A$2:$A$355,0)),0))</f>
        <v/>
      </c>
      <c r="K215" s="32">
        <f>IF(Settings!$B$4="Yes",$I215*$J215,$I215)</f>
        <v/>
      </c>
      <c r="L215" s="22">
        <f>IF($C215="","",IFERROR(IF(INDEX(Deals!$I$2:$I$355,MATCH($C215,Deals!$A$2:$A$355,0))=0,"",INDEX(Deals!$I$2:$I$355,MATCH($C215,Deals!$A$2:$A$355,0))),""))</f>
        <v/>
      </c>
      <c r="M215" s="22">
        <f>IF($C215="","",IFERROR(IF(INDEX(Deals!$J$2:$J$355,MATCH($C215,Deals!$A$2:$A$355,0))=0,"",INDEX(Deals!$J$2:$J$355,MATCH($C215,Deals!$A$2:$A$355,0))),""))</f>
        <v/>
      </c>
      <c r="N215" s="35">
        <f>IF($L215="",DATE(1900,1,1),$L215)</f>
        <v/>
      </c>
      <c r="O215" s="35">
        <f>IF($M215="",DATE(2100,12,31),$M215)</f>
        <v/>
      </c>
      <c r="P215" s="20" t="inlineStr"/>
      <c r="Q215" s="47" t="inlineStr"/>
      <c r="R215" s="16">
        <f>IF($C215="","",IFERROR(IF(INDEX(Deals!$U$2:$U$355,MATCH($C215,Deals!$A$2:$A$355,0))=0,"",INDEX(Deals!$U$2:$U$355,MATCH($C215,Deals!$A$2:$A$355,0))),""))</f>
        <v/>
      </c>
      <c r="S215" s="34">
        <f>IFERROR(IF($U215="",1,INDEX(Deals!$V$2:$V$355,MATCH($C215,Deals!$A$2:$A$355,0))),1)</f>
        <v/>
      </c>
      <c r="T215" s="34">
        <f>IFERROR(IF($U215="",1,INDEX(Deals!$W$2:$W$355,MATCH($C215,Deals!$A$2:$A$355,0))),1)</f>
        <v/>
      </c>
      <c r="U215" s="22">
        <f>IF($C215="","",IFERROR(IF(INDEX(Deals!$Y$2:$Y$355,MATCH($C215,Deals!$A$2:$A$355,0))=0,"",INDEX(Deals!$Y$2:$Y$355,MATCH($C215,Deals!$A$2:$A$355,0))),""))</f>
        <v/>
      </c>
      <c r="V215" s="35">
        <f>IF(OR($U215&lt;&gt;"",AND($AO215&gt;0,$L215&lt;&gt;"",$M215&lt;&gt;"")),$N215,DATE(1900,1,1))</f>
        <v/>
      </c>
      <c r="W215" s="35">
        <f>IF($U215&lt;&gt;"",$U215,IF(AND($AO215&gt;0,$L215&lt;&gt;"",$M215&lt;&gt;""),$O215,DATE(2100,12,31)))</f>
        <v/>
      </c>
      <c r="X215" s="32">
        <f>IF($U215="",$K215,$K215*$S215)</f>
        <v/>
      </c>
      <c r="Y215" s="35">
        <f>IF($U215="",DATE(2100,12,31),$U215+1)</f>
        <v/>
      </c>
      <c r="Z215" s="35">
        <f>IF($U215="",DATE(1900,1,1),$O215)</f>
        <v/>
      </c>
      <c r="AA215" s="32">
        <f>IF($U215="",0,$K215*$T215)</f>
        <v/>
      </c>
      <c r="AB215" s="21">
        <f>IF($C215="",0,IFERROR(INDEX(Deals!$AD$2:$AD$355,MATCH($C215,Deals!$A$2:$A$355,0)),0))</f>
        <v/>
      </c>
      <c r="AC215" s="32">
        <f>IF(Settings!$B$4="Yes",$I215*$AB215,$I215)</f>
        <v/>
      </c>
      <c r="AD215" s="22">
        <f>IF($C215="","",IFERROR(IF(INDEX(Deals!$AE$2:$AE$355,MATCH($C215,Deals!$A$2:$A$355,0))=0,"",INDEX(Deals!$AE$2:$AE$355,MATCH($C215,Deals!$A$2:$A$355,0))),""))</f>
        <v/>
      </c>
      <c r="AE215" s="22">
        <f>IF($C215="","",IFERROR(IF(INDEX(Deals!$AF$2:$AF$355,MATCH($C215,Deals!$A$2:$A$355,0))=0,"",INDEX(Deals!$AF$2:$AF$355,MATCH($C215,Deals!$A$2:$A$355,0))),""))</f>
        <v/>
      </c>
      <c r="AF215" s="35">
        <f>IF($AD215="",DATE(1900,1,1),$AD215)</f>
        <v/>
      </c>
      <c r="AG215" s="35">
        <f>IF($AE215="",DATE(2100,12,31),$AE215)</f>
        <v/>
      </c>
      <c r="AH215" s="22">
        <f>IF($C215="","",IFERROR(IF(INDEX(Deals!$AG$2:$AG$355,MATCH($C215,Deals!$A$2:$A$355,0))=0,"",INDEX(Deals!$AG$2:$AG$355,MATCH($C215,Deals!$A$2:$A$355,0))),""))</f>
        <v/>
      </c>
      <c r="AI215" s="35">
        <f>IF(OR($AH215&lt;&gt;"",AND($AO215&gt;0,$AD215&lt;&gt;"",$AE215&lt;&gt;"")),$AF215,DATE(1900,1,1))</f>
        <v/>
      </c>
      <c r="AJ215" s="35">
        <f>IF($AH215&lt;&gt;"",$AH215,IF(AND($AO215&gt;0,$AD215&lt;&gt;"",$AE215&lt;&gt;""),$AG215,DATE(2100,12,31)))</f>
        <v/>
      </c>
      <c r="AK215" s="32">
        <f>IF($AH215="",$AC215,$AC215*$S215)</f>
        <v/>
      </c>
      <c r="AL215" s="35">
        <f>IF($AH215="",DATE(2100,12,31),$AH215+1)</f>
        <v/>
      </c>
      <c r="AM215" s="35">
        <f>IF($AH215="",DATE(1900,1,1),$AG215)</f>
        <v/>
      </c>
      <c r="AN215" s="32">
        <f>IF($AH215="",0,$AC215*$T215)</f>
        <v/>
      </c>
      <c r="AO215" s="46">
        <f>IF($C215="",0,IFERROR(INDEX(Deals!$BD$2:$BD$355,MATCH($C215,Deals!$A$2:$A$355,0)),0))</f>
        <v/>
      </c>
      <c r="AP215" s="18">
        <f>IF($AO215=0,0,IFERROR(INDEX(Deals!$BJ$2:$BP$355,MATCH($C215,Deals!$A$2:$A$355,0),MATCH($F215,Deals!$BJ$1:$BP$1,0))/COUNTIFS(Assignments!$C$2:$C$769,$C215,Assignments!$F$2:$F$769,$F215,Assignments!$G$2:$G$769,"Active"),0))</f>
        <v/>
      </c>
    </row>
    <row r="216">
      <c r="A216" s="28" t="inlineStr">
        <is>
          <t>Justine</t>
        </is>
      </c>
      <c r="B216" s="16">
        <f>IF($A216="","",IFERROR(INDEX(Roster!$B$2:$B$40,MATCH($A216,Roster!$A$2:$A$40,0)),"?"))</f>
        <v/>
      </c>
      <c r="C216" s="28" t="inlineStr">
        <is>
          <t>Advantage_1</t>
        </is>
      </c>
      <c r="D216" s="16">
        <f>IF($C216="","",IFERROR(IF(INDEX(Deals!$C$2:$C$355,MATCH($C216,Deals!$A$2:$A$355,0))=0,"",INDEX(Deals!$C$2:$C$355,MATCH($C216,Deals!$A$2:$A$355,0))),"?"))</f>
        <v/>
      </c>
      <c r="E216" s="16">
        <f>IF($C216="","",IFERROR(INDEX(Deals!$F$2:$F$355,MATCH($C216,Deals!$A$2:$A$355,0)),"?"))</f>
        <v/>
      </c>
      <c r="F216" s="28" t="inlineStr">
        <is>
          <t>Director</t>
        </is>
      </c>
      <c r="G216" s="28" t="inlineStr">
        <is>
          <t>Active</t>
        </is>
      </c>
      <c r="H216" s="31" t="n"/>
      <c r="I216" s="32">
        <f>IF(OR($A216="",$G216&lt;&gt;"Active"),0,IF($H216&lt;&gt;"",$H216,IF($AO216&gt;0,$AP216,IF(AND($R216&lt;&gt;"",IFERROR(INDEX(Templates!$B$3:$H$10,MATCH($R216,Templates!$A$3:$A$10,0),MATCH($F216,Templates!$B$2:$H$2,0)),0)&gt;0),INDEX(Templates!$B$3:$H$10,MATCH($R216,Templates!$A$3:$A$10,0),MATCH($F216,Templates!$B$2:$H$2,0)),IFERROR(INDEX(Settings!$B$8:$B$14,MATCH($F216,Settings!$A$8:$A$14,0)),0)))))</f>
        <v/>
      </c>
      <c r="J216" s="21">
        <f>IF($C216="",0,IFERROR(INDEX(Deals!$H$2:$H$355,MATCH($C216,Deals!$A$2:$A$355,0)),0))</f>
        <v/>
      </c>
      <c r="K216" s="32">
        <f>IF(Settings!$B$4="Yes",$I216*$J216,$I216)</f>
        <v/>
      </c>
      <c r="L216" s="22">
        <f>IF($C216="","",IFERROR(IF(INDEX(Deals!$I$2:$I$355,MATCH($C216,Deals!$A$2:$A$355,0))=0,"",INDEX(Deals!$I$2:$I$355,MATCH($C216,Deals!$A$2:$A$355,0))),""))</f>
        <v/>
      </c>
      <c r="M216" s="22">
        <f>IF($C216="","",IFERROR(IF(INDEX(Deals!$J$2:$J$355,MATCH($C216,Deals!$A$2:$A$355,0))=0,"",INDEX(Deals!$J$2:$J$355,MATCH($C216,Deals!$A$2:$A$355,0))),""))</f>
        <v/>
      </c>
      <c r="N216" s="35">
        <f>IF($L216="",DATE(1900,1,1),$L216)</f>
        <v/>
      </c>
      <c r="O216" s="35">
        <f>IF($M216="",DATE(2100,12,31),$M216)</f>
        <v/>
      </c>
      <c r="P216" s="20" t="inlineStr">
        <is>
          <t>Ongoing</t>
        </is>
      </c>
      <c r="Q216" s="47" t="inlineStr"/>
      <c r="R216" s="16">
        <f>IF($C216="","",IFERROR(IF(INDEX(Deals!$U$2:$U$355,MATCH($C216,Deals!$A$2:$A$355,0))=0,"",INDEX(Deals!$U$2:$U$355,MATCH($C216,Deals!$A$2:$A$355,0))),""))</f>
        <v/>
      </c>
      <c r="S216" s="34">
        <f>IFERROR(IF($U216="",1,INDEX(Deals!$V$2:$V$355,MATCH($C216,Deals!$A$2:$A$355,0))),1)</f>
        <v/>
      </c>
      <c r="T216" s="34">
        <f>IFERROR(IF($U216="",1,INDEX(Deals!$W$2:$W$355,MATCH($C216,Deals!$A$2:$A$355,0))),1)</f>
        <v/>
      </c>
      <c r="U216" s="22">
        <f>IF($C216="","",IFERROR(IF(INDEX(Deals!$Y$2:$Y$355,MATCH($C216,Deals!$A$2:$A$355,0))=0,"",INDEX(Deals!$Y$2:$Y$355,MATCH($C216,Deals!$A$2:$A$355,0))),""))</f>
        <v/>
      </c>
      <c r="V216" s="35">
        <f>IF(OR($U216&lt;&gt;"",AND($AO216&gt;0,$L216&lt;&gt;"",$M216&lt;&gt;"")),$N216,DATE(1900,1,1))</f>
        <v/>
      </c>
      <c r="W216" s="35">
        <f>IF($U216&lt;&gt;"",$U216,IF(AND($AO216&gt;0,$L216&lt;&gt;"",$M216&lt;&gt;""),$O216,DATE(2100,12,31)))</f>
        <v/>
      </c>
      <c r="X216" s="32">
        <f>IF($U216="",$K216,$K216*$S216)</f>
        <v/>
      </c>
      <c r="Y216" s="35">
        <f>IF($U216="",DATE(2100,12,31),$U216+1)</f>
        <v/>
      </c>
      <c r="Z216" s="35">
        <f>IF($U216="",DATE(1900,1,1),$O216)</f>
        <v/>
      </c>
      <c r="AA216" s="32">
        <f>IF($U216="",0,$K216*$T216)</f>
        <v/>
      </c>
      <c r="AB216" s="21">
        <f>IF($C216="",0,IFERROR(INDEX(Deals!$AD$2:$AD$355,MATCH($C216,Deals!$A$2:$A$355,0)),0))</f>
        <v/>
      </c>
      <c r="AC216" s="32">
        <f>IF(Settings!$B$4="Yes",$I216*$AB216,$I216)</f>
        <v/>
      </c>
      <c r="AD216" s="22">
        <f>IF($C216="","",IFERROR(IF(INDEX(Deals!$AE$2:$AE$355,MATCH($C216,Deals!$A$2:$A$355,0))=0,"",INDEX(Deals!$AE$2:$AE$355,MATCH($C216,Deals!$A$2:$A$355,0))),""))</f>
        <v/>
      </c>
      <c r="AE216" s="22">
        <f>IF($C216="","",IFERROR(IF(INDEX(Deals!$AF$2:$AF$355,MATCH($C216,Deals!$A$2:$A$355,0))=0,"",INDEX(Deals!$AF$2:$AF$355,MATCH($C216,Deals!$A$2:$A$355,0))),""))</f>
        <v/>
      </c>
      <c r="AF216" s="35">
        <f>IF($AD216="",DATE(1900,1,1),$AD216)</f>
        <v/>
      </c>
      <c r="AG216" s="35">
        <f>IF($AE216="",DATE(2100,12,31),$AE216)</f>
        <v/>
      </c>
      <c r="AH216" s="22">
        <f>IF($C216="","",IFERROR(IF(INDEX(Deals!$AG$2:$AG$355,MATCH($C216,Deals!$A$2:$A$355,0))=0,"",INDEX(Deals!$AG$2:$AG$355,MATCH($C216,Deals!$A$2:$A$355,0))),""))</f>
        <v/>
      </c>
      <c r="AI216" s="35">
        <f>IF(OR($AH216&lt;&gt;"",AND($AO216&gt;0,$AD216&lt;&gt;"",$AE216&lt;&gt;"")),$AF216,DATE(1900,1,1))</f>
        <v/>
      </c>
      <c r="AJ216" s="35">
        <f>IF($AH216&lt;&gt;"",$AH216,IF(AND($AO216&gt;0,$AD216&lt;&gt;"",$AE216&lt;&gt;""),$AG216,DATE(2100,12,31)))</f>
        <v/>
      </c>
      <c r="AK216" s="32">
        <f>IF($AH216="",$AC216,$AC216*$S216)</f>
        <v/>
      </c>
      <c r="AL216" s="35">
        <f>IF($AH216="",DATE(2100,12,31),$AH216+1)</f>
        <v/>
      </c>
      <c r="AM216" s="35">
        <f>IF($AH216="",DATE(1900,1,1),$AG216)</f>
        <v/>
      </c>
      <c r="AN216" s="32">
        <f>IF($AH216="",0,$AC216*$T216)</f>
        <v/>
      </c>
      <c r="AO216" s="46">
        <f>IF($C216="",0,IFERROR(INDEX(Deals!$BD$2:$BD$355,MATCH($C216,Deals!$A$2:$A$355,0)),0))</f>
        <v/>
      </c>
      <c r="AP216" s="18">
        <f>IF($AO216=0,0,IFERROR(INDEX(Deals!$BJ$2:$BP$355,MATCH($C216,Deals!$A$2:$A$355,0),MATCH($F216,Deals!$BJ$1:$BP$1,0))/COUNTIFS(Assignments!$C$2:$C$769,$C216,Assignments!$F$2:$F$769,$F216,Assignments!$G$2:$G$769,"Active"),0))</f>
        <v/>
      </c>
    </row>
    <row r="217">
      <c r="A217" s="28" t="inlineStr">
        <is>
          <t>Justine</t>
        </is>
      </c>
      <c r="B217" s="16">
        <f>IF($A217="","",IFERROR(INDEX(Roster!$B$2:$B$40,MATCH($A217,Roster!$A$2:$A$40,0)),"?"))</f>
        <v/>
      </c>
      <c r="C217" s="28" t="inlineStr">
        <is>
          <t>Alliance_1</t>
        </is>
      </c>
      <c r="D217" s="16">
        <f>IF($C217="","",IFERROR(IF(INDEX(Deals!$C$2:$C$355,MATCH($C217,Deals!$A$2:$A$355,0))=0,"",INDEX(Deals!$C$2:$C$355,MATCH($C217,Deals!$A$2:$A$355,0))),"?"))</f>
        <v/>
      </c>
      <c r="E217" s="16">
        <f>IF($C217="","",IFERROR(INDEX(Deals!$F$2:$F$355,MATCH($C217,Deals!$A$2:$A$355,0)),"?"))</f>
        <v/>
      </c>
      <c r="F217" s="28" t="inlineStr">
        <is>
          <t>Director</t>
        </is>
      </c>
      <c r="G217" s="28" t="inlineStr">
        <is>
          <t>Inactive</t>
        </is>
      </c>
      <c r="H217" s="31" t="n"/>
      <c r="I217" s="32">
        <f>IF(OR($A217="",$G217&lt;&gt;"Active"),0,IF($H217&lt;&gt;"",$H217,IF($AO217&gt;0,$AP217,IF(AND($R217&lt;&gt;"",IFERROR(INDEX(Templates!$B$3:$H$10,MATCH($R217,Templates!$A$3:$A$10,0),MATCH($F217,Templates!$B$2:$H$2,0)),0)&gt;0),INDEX(Templates!$B$3:$H$10,MATCH($R217,Templates!$A$3:$A$10,0),MATCH($F217,Templates!$B$2:$H$2,0)),IFERROR(INDEX(Settings!$B$8:$B$14,MATCH($F217,Settings!$A$8:$A$14,0)),0)))))</f>
        <v/>
      </c>
      <c r="J217" s="21">
        <f>IF($C217="",0,IFERROR(INDEX(Deals!$H$2:$H$355,MATCH($C217,Deals!$A$2:$A$355,0)),0))</f>
        <v/>
      </c>
      <c r="K217" s="32">
        <f>IF(Settings!$B$4="Yes",$I217*$J217,$I217)</f>
        <v/>
      </c>
      <c r="L217" s="22">
        <f>IF($C217="","",IFERROR(IF(INDEX(Deals!$I$2:$I$355,MATCH($C217,Deals!$A$2:$A$355,0))=0,"",INDEX(Deals!$I$2:$I$355,MATCH($C217,Deals!$A$2:$A$355,0))),""))</f>
        <v/>
      </c>
      <c r="M217" s="22">
        <f>IF($C217="","",IFERROR(IF(INDEX(Deals!$J$2:$J$355,MATCH($C217,Deals!$A$2:$A$355,0))=0,"",INDEX(Deals!$J$2:$J$355,MATCH($C217,Deals!$A$2:$A$355,0))),""))</f>
        <v/>
      </c>
      <c r="N217" s="35">
        <f>IF($L217="",DATE(1900,1,1),$L217)</f>
        <v/>
      </c>
      <c r="O217" s="35">
        <f>IF($M217="",DATE(2100,12,31),$M217)</f>
        <v/>
      </c>
      <c r="P217" s="20" t="inlineStr">
        <is>
          <t>Not involved in ongoing work</t>
        </is>
      </c>
      <c r="Q217" s="47" t="inlineStr"/>
      <c r="R217" s="16">
        <f>IF($C217="","",IFERROR(IF(INDEX(Deals!$U$2:$U$355,MATCH($C217,Deals!$A$2:$A$355,0))=0,"",INDEX(Deals!$U$2:$U$355,MATCH($C217,Deals!$A$2:$A$355,0))),""))</f>
        <v/>
      </c>
      <c r="S217" s="34">
        <f>IFERROR(IF($U217="",1,INDEX(Deals!$V$2:$V$355,MATCH($C217,Deals!$A$2:$A$355,0))),1)</f>
        <v/>
      </c>
      <c r="T217" s="34">
        <f>IFERROR(IF($U217="",1,INDEX(Deals!$W$2:$W$355,MATCH($C217,Deals!$A$2:$A$355,0))),1)</f>
        <v/>
      </c>
      <c r="U217" s="22">
        <f>IF($C217="","",IFERROR(IF(INDEX(Deals!$Y$2:$Y$355,MATCH($C217,Deals!$A$2:$A$355,0))=0,"",INDEX(Deals!$Y$2:$Y$355,MATCH($C217,Deals!$A$2:$A$355,0))),""))</f>
        <v/>
      </c>
      <c r="V217" s="35">
        <f>IF(OR($U217&lt;&gt;"",AND($AO217&gt;0,$L217&lt;&gt;"",$M217&lt;&gt;"")),$N217,DATE(1900,1,1))</f>
        <v/>
      </c>
      <c r="W217" s="35">
        <f>IF($U217&lt;&gt;"",$U217,IF(AND($AO217&gt;0,$L217&lt;&gt;"",$M217&lt;&gt;""),$O217,DATE(2100,12,31)))</f>
        <v/>
      </c>
      <c r="X217" s="32">
        <f>IF($U217="",$K217,$K217*$S217)</f>
        <v/>
      </c>
      <c r="Y217" s="35">
        <f>IF($U217="",DATE(2100,12,31),$U217+1)</f>
        <v/>
      </c>
      <c r="Z217" s="35">
        <f>IF($U217="",DATE(1900,1,1),$O217)</f>
        <v/>
      </c>
      <c r="AA217" s="32">
        <f>IF($U217="",0,$K217*$T217)</f>
        <v/>
      </c>
      <c r="AB217" s="21">
        <f>IF($C217="",0,IFERROR(INDEX(Deals!$AD$2:$AD$355,MATCH($C217,Deals!$A$2:$A$355,0)),0))</f>
        <v/>
      </c>
      <c r="AC217" s="32">
        <f>IF(Settings!$B$4="Yes",$I217*$AB217,$I217)</f>
        <v/>
      </c>
      <c r="AD217" s="22">
        <f>IF($C217="","",IFERROR(IF(INDEX(Deals!$AE$2:$AE$355,MATCH($C217,Deals!$A$2:$A$355,0))=0,"",INDEX(Deals!$AE$2:$AE$355,MATCH($C217,Deals!$A$2:$A$355,0))),""))</f>
        <v/>
      </c>
      <c r="AE217" s="22">
        <f>IF($C217="","",IFERROR(IF(INDEX(Deals!$AF$2:$AF$355,MATCH($C217,Deals!$A$2:$A$355,0))=0,"",INDEX(Deals!$AF$2:$AF$355,MATCH($C217,Deals!$A$2:$A$355,0))),""))</f>
        <v/>
      </c>
      <c r="AF217" s="35">
        <f>IF($AD217="",DATE(1900,1,1),$AD217)</f>
        <v/>
      </c>
      <c r="AG217" s="35">
        <f>IF($AE217="",DATE(2100,12,31),$AE217)</f>
        <v/>
      </c>
      <c r="AH217" s="22">
        <f>IF($C217="","",IFERROR(IF(INDEX(Deals!$AG$2:$AG$355,MATCH($C217,Deals!$A$2:$A$355,0))=0,"",INDEX(Deals!$AG$2:$AG$355,MATCH($C217,Deals!$A$2:$A$355,0))),""))</f>
        <v/>
      </c>
      <c r="AI217" s="35">
        <f>IF(OR($AH217&lt;&gt;"",AND($AO217&gt;0,$AD217&lt;&gt;"",$AE217&lt;&gt;"")),$AF217,DATE(1900,1,1))</f>
        <v/>
      </c>
      <c r="AJ217" s="35">
        <f>IF($AH217&lt;&gt;"",$AH217,IF(AND($AO217&gt;0,$AD217&lt;&gt;"",$AE217&lt;&gt;""),$AG217,DATE(2100,12,31)))</f>
        <v/>
      </c>
      <c r="AK217" s="32">
        <f>IF($AH217="",$AC217,$AC217*$S217)</f>
        <v/>
      </c>
      <c r="AL217" s="35">
        <f>IF($AH217="",DATE(2100,12,31),$AH217+1)</f>
        <v/>
      </c>
      <c r="AM217" s="35">
        <f>IF($AH217="",DATE(1900,1,1),$AG217)</f>
        <v/>
      </c>
      <c r="AN217" s="32">
        <f>IF($AH217="",0,$AC217*$T217)</f>
        <v/>
      </c>
      <c r="AO217" s="46">
        <f>IF($C217="",0,IFERROR(INDEX(Deals!$BD$2:$BD$355,MATCH($C217,Deals!$A$2:$A$355,0)),0))</f>
        <v/>
      </c>
      <c r="AP217" s="18">
        <f>IF($AO217=0,0,IFERROR(INDEX(Deals!$BJ$2:$BP$355,MATCH($C217,Deals!$A$2:$A$355,0),MATCH($F217,Deals!$BJ$1:$BP$1,0))/COUNTIFS(Assignments!$C$2:$C$769,$C217,Assignments!$F$2:$F$769,$F217,Assignments!$G$2:$G$769,"Active"),0))</f>
        <v/>
      </c>
    </row>
    <row r="218">
      <c r="A218" s="28" t="inlineStr">
        <is>
          <t>Justine</t>
        </is>
      </c>
      <c r="B218" s="16">
        <f>IF($A218="","",IFERROR(INDEX(Roster!$B$2:$B$40,MATCH($A218,Roster!$A$2:$A$40,0)),"?"))</f>
        <v/>
      </c>
      <c r="C218" s="28" t="inlineStr">
        <is>
          <t>Assys_1</t>
        </is>
      </c>
      <c r="D218" s="16">
        <f>IF($C218="","",IFERROR(IF(INDEX(Deals!$C$2:$C$355,MATCH($C218,Deals!$A$2:$A$355,0))=0,"",INDEX(Deals!$C$2:$C$355,MATCH($C218,Deals!$A$2:$A$355,0))),"?"))</f>
        <v/>
      </c>
      <c r="E218" s="16">
        <f>IF($C218="","",IFERROR(INDEX(Deals!$F$2:$F$355,MATCH($C218,Deals!$A$2:$A$355,0)),"?"))</f>
        <v/>
      </c>
      <c r="F218" s="28" t="inlineStr">
        <is>
          <t>Director</t>
        </is>
      </c>
      <c r="G218" s="28" t="inlineStr">
        <is>
          <t>Active</t>
        </is>
      </c>
      <c r="H218" s="31" t="n"/>
      <c r="I218" s="32">
        <f>IF(OR($A218="",$G218&lt;&gt;"Active"),0,IF($H218&lt;&gt;"",$H218,IF($AO218&gt;0,$AP218,IF(AND($R218&lt;&gt;"",IFERROR(INDEX(Templates!$B$3:$H$10,MATCH($R218,Templates!$A$3:$A$10,0),MATCH($F218,Templates!$B$2:$H$2,0)),0)&gt;0),INDEX(Templates!$B$3:$H$10,MATCH($R218,Templates!$A$3:$A$10,0),MATCH($F218,Templates!$B$2:$H$2,0)),IFERROR(INDEX(Settings!$B$8:$B$14,MATCH($F218,Settings!$A$8:$A$14,0)),0)))))</f>
        <v/>
      </c>
      <c r="J218" s="21">
        <f>IF($C218="",0,IFERROR(INDEX(Deals!$H$2:$H$355,MATCH($C218,Deals!$A$2:$A$355,0)),0))</f>
        <v/>
      </c>
      <c r="K218" s="32">
        <f>IF(Settings!$B$4="Yes",$I218*$J218,$I218)</f>
        <v/>
      </c>
      <c r="L218" s="22">
        <f>IF($C218="","",IFERROR(IF(INDEX(Deals!$I$2:$I$355,MATCH($C218,Deals!$A$2:$A$355,0))=0,"",INDEX(Deals!$I$2:$I$355,MATCH($C218,Deals!$A$2:$A$355,0))),""))</f>
        <v/>
      </c>
      <c r="M218" s="22">
        <f>IF($C218="","",IFERROR(IF(INDEX(Deals!$J$2:$J$355,MATCH($C218,Deals!$A$2:$A$355,0))=0,"",INDEX(Deals!$J$2:$J$355,MATCH($C218,Deals!$A$2:$A$355,0))),""))</f>
        <v/>
      </c>
      <c r="N218" s="35">
        <f>IF($L218="",DATE(1900,1,1),$L218)</f>
        <v/>
      </c>
      <c r="O218" s="35">
        <f>IF($M218="",DATE(2100,12,31),$M218)</f>
        <v/>
      </c>
      <c r="P218" s="20" t="inlineStr">
        <is>
          <t>Proposal</t>
        </is>
      </c>
      <c r="Q218" s="47" t="inlineStr"/>
      <c r="R218" s="16">
        <f>IF($C218="","",IFERROR(IF(INDEX(Deals!$U$2:$U$355,MATCH($C218,Deals!$A$2:$A$355,0))=0,"",INDEX(Deals!$U$2:$U$355,MATCH($C218,Deals!$A$2:$A$355,0))),""))</f>
        <v/>
      </c>
      <c r="S218" s="34">
        <f>IFERROR(IF($U218="",1,INDEX(Deals!$V$2:$V$355,MATCH($C218,Deals!$A$2:$A$355,0))),1)</f>
        <v/>
      </c>
      <c r="T218" s="34">
        <f>IFERROR(IF($U218="",1,INDEX(Deals!$W$2:$W$355,MATCH($C218,Deals!$A$2:$A$355,0))),1)</f>
        <v/>
      </c>
      <c r="U218" s="22">
        <f>IF($C218="","",IFERROR(IF(INDEX(Deals!$Y$2:$Y$355,MATCH($C218,Deals!$A$2:$A$355,0))=0,"",INDEX(Deals!$Y$2:$Y$355,MATCH($C218,Deals!$A$2:$A$355,0))),""))</f>
        <v/>
      </c>
      <c r="V218" s="35">
        <f>IF(OR($U218&lt;&gt;"",AND($AO218&gt;0,$L218&lt;&gt;"",$M218&lt;&gt;"")),$N218,DATE(1900,1,1))</f>
        <v/>
      </c>
      <c r="W218" s="35">
        <f>IF($U218&lt;&gt;"",$U218,IF(AND($AO218&gt;0,$L218&lt;&gt;"",$M218&lt;&gt;""),$O218,DATE(2100,12,31)))</f>
        <v/>
      </c>
      <c r="X218" s="32">
        <f>IF($U218="",$K218,$K218*$S218)</f>
        <v/>
      </c>
      <c r="Y218" s="35">
        <f>IF($U218="",DATE(2100,12,31),$U218+1)</f>
        <v/>
      </c>
      <c r="Z218" s="35">
        <f>IF($U218="",DATE(1900,1,1),$O218)</f>
        <v/>
      </c>
      <c r="AA218" s="32">
        <f>IF($U218="",0,$K218*$T218)</f>
        <v/>
      </c>
      <c r="AB218" s="21">
        <f>IF($C218="",0,IFERROR(INDEX(Deals!$AD$2:$AD$355,MATCH($C218,Deals!$A$2:$A$355,0)),0))</f>
        <v/>
      </c>
      <c r="AC218" s="32">
        <f>IF(Settings!$B$4="Yes",$I218*$AB218,$I218)</f>
        <v/>
      </c>
      <c r="AD218" s="22">
        <f>IF($C218="","",IFERROR(IF(INDEX(Deals!$AE$2:$AE$355,MATCH($C218,Deals!$A$2:$A$355,0))=0,"",INDEX(Deals!$AE$2:$AE$355,MATCH($C218,Deals!$A$2:$A$355,0))),""))</f>
        <v/>
      </c>
      <c r="AE218" s="22">
        <f>IF($C218="","",IFERROR(IF(INDEX(Deals!$AF$2:$AF$355,MATCH($C218,Deals!$A$2:$A$355,0))=0,"",INDEX(Deals!$AF$2:$AF$355,MATCH($C218,Deals!$A$2:$A$355,0))),""))</f>
        <v/>
      </c>
      <c r="AF218" s="35">
        <f>IF($AD218="",DATE(1900,1,1),$AD218)</f>
        <v/>
      </c>
      <c r="AG218" s="35">
        <f>IF($AE218="",DATE(2100,12,31),$AE218)</f>
        <v/>
      </c>
      <c r="AH218" s="22">
        <f>IF($C218="","",IFERROR(IF(INDEX(Deals!$AG$2:$AG$355,MATCH($C218,Deals!$A$2:$A$355,0))=0,"",INDEX(Deals!$AG$2:$AG$355,MATCH($C218,Deals!$A$2:$A$355,0))),""))</f>
        <v/>
      </c>
      <c r="AI218" s="35">
        <f>IF(OR($AH218&lt;&gt;"",AND($AO218&gt;0,$AD218&lt;&gt;"",$AE218&lt;&gt;"")),$AF218,DATE(1900,1,1))</f>
        <v/>
      </c>
      <c r="AJ218" s="35">
        <f>IF($AH218&lt;&gt;"",$AH218,IF(AND($AO218&gt;0,$AD218&lt;&gt;"",$AE218&lt;&gt;""),$AG218,DATE(2100,12,31)))</f>
        <v/>
      </c>
      <c r="AK218" s="32">
        <f>IF($AH218="",$AC218,$AC218*$S218)</f>
        <v/>
      </c>
      <c r="AL218" s="35">
        <f>IF($AH218="",DATE(2100,12,31),$AH218+1)</f>
        <v/>
      </c>
      <c r="AM218" s="35">
        <f>IF($AH218="",DATE(1900,1,1),$AG218)</f>
        <v/>
      </c>
      <c r="AN218" s="32">
        <f>IF($AH218="",0,$AC218*$T218)</f>
        <v/>
      </c>
      <c r="AO218" s="46">
        <f>IF($C218="",0,IFERROR(INDEX(Deals!$BD$2:$BD$355,MATCH($C218,Deals!$A$2:$A$355,0)),0))</f>
        <v/>
      </c>
      <c r="AP218" s="18">
        <f>IF($AO218=0,0,IFERROR(INDEX(Deals!$BJ$2:$BP$355,MATCH($C218,Deals!$A$2:$A$355,0),MATCH($F218,Deals!$BJ$1:$BP$1,0))/COUNTIFS(Assignments!$C$2:$C$769,$C218,Assignments!$F$2:$F$769,$F218,Assignments!$G$2:$G$769,"Active"),0))</f>
        <v/>
      </c>
    </row>
    <row r="219">
      <c r="A219" s="28" t="inlineStr">
        <is>
          <t>Justine</t>
        </is>
      </c>
      <c r="B219" s="16">
        <f>IF($A219="","",IFERROR(INDEX(Roster!$B$2:$B$40,MATCH($A219,Roster!$A$2:$A$40,0)),"?"))</f>
        <v/>
      </c>
      <c r="C219" s="28" t="inlineStr">
        <is>
          <t>Atlas_4</t>
        </is>
      </c>
      <c r="D219" s="16">
        <f>IF($C219="","",IFERROR(IF(INDEX(Deals!$C$2:$C$355,MATCH($C219,Deals!$A$2:$A$355,0))=0,"",INDEX(Deals!$C$2:$C$355,MATCH($C219,Deals!$A$2:$A$355,0))),"?"))</f>
        <v/>
      </c>
      <c r="E219" s="16">
        <f>IF($C219="","",IFERROR(INDEX(Deals!$F$2:$F$355,MATCH($C219,Deals!$A$2:$A$355,0)),"?"))</f>
        <v/>
      </c>
      <c r="F219" s="28" t="inlineStr">
        <is>
          <t>Director</t>
        </is>
      </c>
      <c r="G219" s="28" t="inlineStr">
        <is>
          <t>Inactive</t>
        </is>
      </c>
      <c r="H219" s="31" t="n"/>
      <c r="I219" s="32">
        <f>IF(OR($A219="",$G219&lt;&gt;"Active"),0,IF($H219&lt;&gt;"",$H219,IF($AO219&gt;0,$AP219,IF(AND($R219&lt;&gt;"",IFERROR(INDEX(Templates!$B$3:$H$10,MATCH($R219,Templates!$A$3:$A$10,0),MATCH($F219,Templates!$B$2:$H$2,0)),0)&gt;0),INDEX(Templates!$B$3:$H$10,MATCH($R219,Templates!$A$3:$A$10,0),MATCH($F219,Templates!$B$2:$H$2,0)),IFERROR(INDEX(Settings!$B$8:$B$14,MATCH($F219,Settings!$A$8:$A$14,0)),0)))))</f>
        <v/>
      </c>
      <c r="J219" s="21">
        <f>IF($C219="",0,IFERROR(INDEX(Deals!$H$2:$H$355,MATCH($C219,Deals!$A$2:$A$355,0)),0))</f>
        <v/>
      </c>
      <c r="K219" s="32">
        <f>IF(Settings!$B$4="Yes",$I219*$J219,$I219)</f>
        <v/>
      </c>
      <c r="L219" s="22">
        <f>IF($C219="","",IFERROR(IF(INDEX(Deals!$I$2:$I$355,MATCH($C219,Deals!$A$2:$A$355,0))=0,"",INDEX(Deals!$I$2:$I$355,MATCH($C219,Deals!$A$2:$A$355,0))),""))</f>
        <v/>
      </c>
      <c r="M219" s="22">
        <f>IF($C219="","",IFERROR(IF(INDEX(Deals!$J$2:$J$355,MATCH($C219,Deals!$A$2:$A$355,0))=0,"",INDEX(Deals!$J$2:$J$355,MATCH($C219,Deals!$A$2:$A$355,0))),""))</f>
        <v/>
      </c>
      <c r="N219" s="35">
        <f>IF($L219="",DATE(1900,1,1),$L219)</f>
        <v/>
      </c>
      <c r="O219" s="35">
        <f>IF($M219="",DATE(2100,12,31),$M219)</f>
        <v/>
      </c>
      <c r="P219" s="20" t="inlineStr">
        <is>
          <t>Closed</t>
        </is>
      </c>
      <c r="Q219" s="47" t="inlineStr"/>
      <c r="R219" s="16">
        <f>IF($C219="","",IFERROR(IF(INDEX(Deals!$U$2:$U$355,MATCH($C219,Deals!$A$2:$A$355,0))=0,"",INDEX(Deals!$U$2:$U$355,MATCH($C219,Deals!$A$2:$A$355,0))),""))</f>
        <v/>
      </c>
      <c r="S219" s="34">
        <f>IFERROR(IF($U219="",1,INDEX(Deals!$V$2:$V$355,MATCH($C219,Deals!$A$2:$A$355,0))),1)</f>
        <v/>
      </c>
      <c r="T219" s="34">
        <f>IFERROR(IF($U219="",1,INDEX(Deals!$W$2:$W$355,MATCH($C219,Deals!$A$2:$A$355,0))),1)</f>
        <v/>
      </c>
      <c r="U219" s="22">
        <f>IF($C219="","",IFERROR(IF(INDEX(Deals!$Y$2:$Y$355,MATCH($C219,Deals!$A$2:$A$355,0))=0,"",INDEX(Deals!$Y$2:$Y$355,MATCH($C219,Deals!$A$2:$A$355,0))),""))</f>
        <v/>
      </c>
      <c r="V219" s="35">
        <f>IF(OR($U219&lt;&gt;"",AND($AO219&gt;0,$L219&lt;&gt;"",$M219&lt;&gt;"")),$N219,DATE(1900,1,1))</f>
        <v/>
      </c>
      <c r="W219" s="35">
        <f>IF($U219&lt;&gt;"",$U219,IF(AND($AO219&gt;0,$L219&lt;&gt;"",$M219&lt;&gt;""),$O219,DATE(2100,12,31)))</f>
        <v/>
      </c>
      <c r="X219" s="32">
        <f>IF($U219="",$K219,$K219*$S219)</f>
        <v/>
      </c>
      <c r="Y219" s="35">
        <f>IF($U219="",DATE(2100,12,31),$U219+1)</f>
        <v/>
      </c>
      <c r="Z219" s="35">
        <f>IF($U219="",DATE(1900,1,1),$O219)</f>
        <v/>
      </c>
      <c r="AA219" s="32">
        <f>IF($U219="",0,$K219*$T219)</f>
        <v/>
      </c>
      <c r="AB219" s="21">
        <f>IF($C219="",0,IFERROR(INDEX(Deals!$AD$2:$AD$355,MATCH($C219,Deals!$A$2:$A$355,0)),0))</f>
        <v/>
      </c>
      <c r="AC219" s="32">
        <f>IF(Settings!$B$4="Yes",$I219*$AB219,$I219)</f>
        <v/>
      </c>
      <c r="AD219" s="22">
        <f>IF($C219="","",IFERROR(IF(INDEX(Deals!$AE$2:$AE$355,MATCH($C219,Deals!$A$2:$A$355,0))=0,"",INDEX(Deals!$AE$2:$AE$355,MATCH($C219,Deals!$A$2:$A$355,0))),""))</f>
        <v/>
      </c>
      <c r="AE219" s="22">
        <f>IF($C219="","",IFERROR(IF(INDEX(Deals!$AF$2:$AF$355,MATCH($C219,Deals!$A$2:$A$355,0))=0,"",INDEX(Deals!$AF$2:$AF$355,MATCH($C219,Deals!$A$2:$A$355,0))),""))</f>
        <v/>
      </c>
      <c r="AF219" s="35">
        <f>IF($AD219="",DATE(1900,1,1),$AD219)</f>
        <v/>
      </c>
      <c r="AG219" s="35">
        <f>IF($AE219="",DATE(2100,12,31),$AE219)</f>
        <v/>
      </c>
      <c r="AH219" s="22">
        <f>IF($C219="","",IFERROR(IF(INDEX(Deals!$AG$2:$AG$355,MATCH($C219,Deals!$A$2:$A$355,0))=0,"",INDEX(Deals!$AG$2:$AG$355,MATCH($C219,Deals!$A$2:$A$355,0))),""))</f>
        <v/>
      </c>
      <c r="AI219" s="35">
        <f>IF(OR($AH219&lt;&gt;"",AND($AO219&gt;0,$AD219&lt;&gt;"",$AE219&lt;&gt;"")),$AF219,DATE(1900,1,1))</f>
        <v/>
      </c>
      <c r="AJ219" s="35">
        <f>IF($AH219&lt;&gt;"",$AH219,IF(AND($AO219&gt;0,$AD219&lt;&gt;"",$AE219&lt;&gt;""),$AG219,DATE(2100,12,31)))</f>
        <v/>
      </c>
      <c r="AK219" s="32">
        <f>IF($AH219="",$AC219,$AC219*$S219)</f>
        <v/>
      </c>
      <c r="AL219" s="35">
        <f>IF($AH219="",DATE(2100,12,31),$AH219+1)</f>
        <v/>
      </c>
      <c r="AM219" s="35">
        <f>IF($AH219="",DATE(1900,1,1),$AG219)</f>
        <v/>
      </c>
      <c r="AN219" s="32">
        <f>IF($AH219="",0,$AC219*$T219)</f>
        <v/>
      </c>
      <c r="AO219" s="46">
        <f>IF($C219="",0,IFERROR(INDEX(Deals!$BD$2:$BD$355,MATCH($C219,Deals!$A$2:$A$355,0)),0))</f>
        <v/>
      </c>
      <c r="AP219" s="18">
        <f>IF($AO219=0,0,IFERROR(INDEX(Deals!$BJ$2:$BP$355,MATCH($C219,Deals!$A$2:$A$355,0),MATCH($F219,Deals!$BJ$1:$BP$1,0))/COUNTIFS(Assignments!$C$2:$C$769,$C219,Assignments!$F$2:$F$769,$F219,Assignments!$G$2:$G$769,"Active"),0))</f>
        <v/>
      </c>
    </row>
    <row r="220">
      <c r="A220" s="28" t="inlineStr">
        <is>
          <t>Justine</t>
        </is>
      </c>
      <c r="B220" s="16">
        <f>IF($A220="","",IFERROR(INDEX(Roster!$B$2:$B$40,MATCH($A220,Roster!$A$2:$A$40,0)),"?"))</f>
        <v/>
      </c>
      <c r="C220" s="28" t="inlineStr">
        <is>
          <t>Beauty_3</t>
        </is>
      </c>
      <c r="D220" s="16">
        <f>IF($C220="","",IFERROR(IF(INDEX(Deals!$C$2:$C$355,MATCH($C220,Deals!$A$2:$A$355,0))=0,"",INDEX(Deals!$C$2:$C$355,MATCH($C220,Deals!$A$2:$A$355,0))),"?"))</f>
        <v/>
      </c>
      <c r="E220" s="16">
        <f>IF($C220="","",IFERROR(INDEX(Deals!$F$2:$F$355,MATCH($C220,Deals!$A$2:$A$355,0)),"?"))</f>
        <v/>
      </c>
      <c r="F220" s="28" t="inlineStr">
        <is>
          <t>Director</t>
        </is>
      </c>
      <c r="G220" s="28" t="inlineStr">
        <is>
          <t>Active</t>
        </is>
      </c>
      <c r="H220" s="31" t="n"/>
      <c r="I220" s="32">
        <f>IF(OR($A220="",$G220&lt;&gt;"Active"),0,IF($H220&lt;&gt;"",$H220,IF($AO220&gt;0,$AP220,IF(AND($R220&lt;&gt;"",IFERROR(INDEX(Templates!$B$3:$H$10,MATCH($R220,Templates!$A$3:$A$10,0),MATCH($F220,Templates!$B$2:$H$2,0)),0)&gt;0),INDEX(Templates!$B$3:$H$10,MATCH($R220,Templates!$A$3:$A$10,0),MATCH($F220,Templates!$B$2:$H$2,0)),IFERROR(INDEX(Settings!$B$8:$B$14,MATCH($F220,Settings!$A$8:$A$14,0)),0)))))</f>
        <v/>
      </c>
      <c r="J220" s="21">
        <f>IF($C220="",0,IFERROR(INDEX(Deals!$H$2:$H$355,MATCH($C220,Deals!$A$2:$A$355,0)),0))</f>
        <v/>
      </c>
      <c r="K220" s="32">
        <f>IF(Settings!$B$4="Yes",$I220*$J220,$I220)</f>
        <v/>
      </c>
      <c r="L220" s="22">
        <f>IF($C220="","",IFERROR(IF(INDEX(Deals!$I$2:$I$355,MATCH($C220,Deals!$A$2:$A$355,0))=0,"",INDEX(Deals!$I$2:$I$355,MATCH($C220,Deals!$A$2:$A$355,0))),""))</f>
        <v/>
      </c>
      <c r="M220" s="22">
        <f>IF($C220="","",IFERROR(IF(INDEX(Deals!$J$2:$J$355,MATCH($C220,Deals!$A$2:$A$355,0))=0,"",INDEX(Deals!$J$2:$J$355,MATCH($C220,Deals!$A$2:$A$355,0))),""))</f>
        <v/>
      </c>
      <c r="N220" s="35">
        <f>IF($L220="",DATE(1900,1,1),$L220)</f>
        <v/>
      </c>
      <c r="O220" s="35">
        <f>IF($M220="",DATE(2100,12,31),$M220)</f>
        <v/>
      </c>
      <c r="P220" s="20" t="inlineStr">
        <is>
          <t>Ongoing</t>
        </is>
      </c>
      <c r="Q220" s="47" t="inlineStr"/>
      <c r="R220" s="16">
        <f>IF($C220="","",IFERROR(IF(INDEX(Deals!$U$2:$U$355,MATCH($C220,Deals!$A$2:$A$355,0))=0,"",INDEX(Deals!$U$2:$U$355,MATCH($C220,Deals!$A$2:$A$355,0))),""))</f>
        <v/>
      </c>
      <c r="S220" s="34">
        <f>IFERROR(IF($U220="",1,INDEX(Deals!$V$2:$V$355,MATCH($C220,Deals!$A$2:$A$355,0))),1)</f>
        <v/>
      </c>
      <c r="T220" s="34">
        <f>IFERROR(IF($U220="",1,INDEX(Deals!$W$2:$W$355,MATCH($C220,Deals!$A$2:$A$355,0))),1)</f>
        <v/>
      </c>
      <c r="U220" s="22">
        <f>IF($C220="","",IFERROR(IF(INDEX(Deals!$Y$2:$Y$355,MATCH($C220,Deals!$A$2:$A$355,0))=0,"",INDEX(Deals!$Y$2:$Y$355,MATCH($C220,Deals!$A$2:$A$355,0))),""))</f>
        <v/>
      </c>
      <c r="V220" s="35">
        <f>IF(OR($U220&lt;&gt;"",AND($AO220&gt;0,$L220&lt;&gt;"",$M220&lt;&gt;"")),$N220,DATE(1900,1,1))</f>
        <v/>
      </c>
      <c r="W220" s="35">
        <f>IF($U220&lt;&gt;"",$U220,IF(AND($AO220&gt;0,$L220&lt;&gt;"",$M220&lt;&gt;""),$O220,DATE(2100,12,31)))</f>
        <v/>
      </c>
      <c r="X220" s="32">
        <f>IF($U220="",$K220,$K220*$S220)</f>
        <v/>
      </c>
      <c r="Y220" s="35">
        <f>IF($U220="",DATE(2100,12,31),$U220+1)</f>
        <v/>
      </c>
      <c r="Z220" s="35">
        <f>IF($U220="",DATE(1900,1,1),$O220)</f>
        <v/>
      </c>
      <c r="AA220" s="32">
        <f>IF($U220="",0,$K220*$T220)</f>
        <v/>
      </c>
      <c r="AB220" s="21">
        <f>IF($C220="",0,IFERROR(INDEX(Deals!$AD$2:$AD$355,MATCH($C220,Deals!$A$2:$A$355,0)),0))</f>
        <v/>
      </c>
      <c r="AC220" s="32">
        <f>IF(Settings!$B$4="Yes",$I220*$AB220,$I220)</f>
        <v/>
      </c>
      <c r="AD220" s="22">
        <f>IF($C220="","",IFERROR(IF(INDEX(Deals!$AE$2:$AE$355,MATCH($C220,Deals!$A$2:$A$355,0))=0,"",INDEX(Deals!$AE$2:$AE$355,MATCH($C220,Deals!$A$2:$A$355,0))),""))</f>
        <v/>
      </c>
      <c r="AE220" s="22">
        <f>IF($C220="","",IFERROR(IF(INDEX(Deals!$AF$2:$AF$355,MATCH($C220,Deals!$A$2:$A$355,0))=0,"",INDEX(Deals!$AF$2:$AF$355,MATCH($C220,Deals!$A$2:$A$355,0))),""))</f>
        <v/>
      </c>
      <c r="AF220" s="35">
        <f>IF($AD220="",DATE(1900,1,1),$AD220)</f>
        <v/>
      </c>
      <c r="AG220" s="35">
        <f>IF($AE220="",DATE(2100,12,31),$AE220)</f>
        <v/>
      </c>
      <c r="AH220" s="22">
        <f>IF($C220="","",IFERROR(IF(INDEX(Deals!$AG$2:$AG$355,MATCH($C220,Deals!$A$2:$A$355,0))=0,"",INDEX(Deals!$AG$2:$AG$355,MATCH($C220,Deals!$A$2:$A$355,0))),""))</f>
        <v/>
      </c>
      <c r="AI220" s="35">
        <f>IF(OR($AH220&lt;&gt;"",AND($AO220&gt;0,$AD220&lt;&gt;"",$AE220&lt;&gt;"")),$AF220,DATE(1900,1,1))</f>
        <v/>
      </c>
      <c r="AJ220" s="35">
        <f>IF($AH220&lt;&gt;"",$AH220,IF(AND($AO220&gt;0,$AD220&lt;&gt;"",$AE220&lt;&gt;""),$AG220,DATE(2100,12,31)))</f>
        <v/>
      </c>
      <c r="AK220" s="32">
        <f>IF($AH220="",$AC220,$AC220*$S220)</f>
        <v/>
      </c>
      <c r="AL220" s="35">
        <f>IF($AH220="",DATE(2100,12,31),$AH220+1)</f>
        <v/>
      </c>
      <c r="AM220" s="35">
        <f>IF($AH220="",DATE(1900,1,1),$AG220)</f>
        <v/>
      </c>
      <c r="AN220" s="32">
        <f>IF($AH220="",0,$AC220*$T220)</f>
        <v/>
      </c>
      <c r="AO220" s="46">
        <f>IF($C220="",0,IFERROR(INDEX(Deals!$BD$2:$BD$355,MATCH($C220,Deals!$A$2:$A$355,0)),0))</f>
        <v/>
      </c>
      <c r="AP220" s="18">
        <f>IF($AO220=0,0,IFERROR(INDEX(Deals!$BJ$2:$BP$355,MATCH($C220,Deals!$A$2:$A$355,0),MATCH($F220,Deals!$BJ$1:$BP$1,0))/COUNTIFS(Assignments!$C$2:$C$769,$C220,Assignments!$F$2:$F$769,$F220,Assignments!$G$2:$G$769,"Active"),0))</f>
        <v/>
      </c>
    </row>
    <row r="221">
      <c r="A221" s="28" t="inlineStr">
        <is>
          <t>Justine</t>
        </is>
      </c>
      <c r="B221" s="16">
        <f>IF($A221="","",IFERROR(INDEX(Roster!$B$2:$B$40,MATCH($A221,Roster!$A$2:$A$40,0)),"?"))</f>
        <v/>
      </c>
      <c r="C221" s="28" t="inlineStr">
        <is>
          <t>Canoe_1</t>
        </is>
      </c>
      <c r="D221" s="16">
        <f>IF($C221="","",IFERROR(IF(INDEX(Deals!$C$2:$C$355,MATCH($C221,Deals!$A$2:$A$355,0))=0,"",INDEX(Deals!$C$2:$C$355,MATCH($C221,Deals!$A$2:$A$355,0))),"?"))</f>
        <v/>
      </c>
      <c r="E221" s="16">
        <f>IF($C221="","",IFERROR(INDEX(Deals!$F$2:$F$355,MATCH($C221,Deals!$A$2:$A$355,0)),"?"))</f>
        <v/>
      </c>
      <c r="F221" s="28" t="inlineStr">
        <is>
          <t>Director</t>
        </is>
      </c>
      <c r="G221" s="28" t="inlineStr">
        <is>
          <t>Active</t>
        </is>
      </c>
      <c r="H221" s="31" t="n"/>
      <c r="I221" s="32">
        <f>IF(OR($A221="",$G221&lt;&gt;"Active"),0,IF($H221&lt;&gt;"",$H221,IF($AO221&gt;0,$AP221,IF(AND($R221&lt;&gt;"",IFERROR(INDEX(Templates!$B$3:$H$10,MATCH($R221,Templates!$A$3:$A$10,0),MATCH($F221,Templates!$B$2:$H$2,0)),0)&gt;0),INDEX(Templates!$B$3:$H$10,MATCH($R221,Templates!$A$3:$A$10,0),MATCH($F221,Templates!$B$2:$H$2,0)),IFERROR(INDEX(Settings!$B$8:$B$14,MATCH($F221,Settings!$A$8:$A$14,0)),0)))))</f>
        <v/>
      </c>
      <c r="J221" s="21">
        <f>IF($C221="",0,IFERROR(INDEX(Deals!$H$2:$H$355,MATCH($C221,Deals!$A$2:$A$355,0)),0))</f>
        <v/>
      </c>
      <c r="K221" s="32">
        <f>IF(Settings!$B$4="Yes",$I221*$J221,$I221)</f>
        <v/>
      </c>
      <c r="L221" s="22">
        <f>IF($C221="","",IFERROR(IF(INDEX(Deals!$I$2:$I$355,MATCH($C221,Deals!$A$2:$A$355,0))=0,"",INDEX(Deals!$I$2:$I$355,MATCH($C221,Deals!$A$2:$A$355,0))),""))</f>
        <v/>
      </c>
      <c r="M221" s="22">
        <f>IF($C221="","",IFERROR(IF(INDEX(Deals!$J$2:$J$355,MATCH($C221,Deals!$A$2:$A$355,0))=0,"",INDEX(Deals!$J$2:$J$355,MATCH($C221,Deals!$A$2:$A$355,0))),""))</f>
        <v/>
      </c>
      <c r="N221" s="35">
        <f>IF($L221="",DATE(1900,1,1),$L221)</f>
        <v/>
      </c>
      <c r="O221" s="35">
        <f>IF($M221="",DATE(2100,12,31),$M221)</f>
        <v/>
      </c>
      <c r="P221" s="20" t="inlineStr">
        <is>
          <t>Proposal</t>
        </is>
      </c>
      <c r="Q221" s="47" t="inlineStr"/>
      <c r="R221" s="16">
        <f>IF($C221="","",IFERROR(IF(INDEX(Deals!$U$2:$U$355,MATCH($C221,Deals!$A$2:$A$355,0))=0,"",INDEX(Deals!$U$2:$U$355,MATCH($C221,Deals!$A$2:$A$355,0))),""))</f>
        <v/>
      </c>
      <c r="S221" s="34">
        <f>IFERROR(IF($U221="",1,INDEX(Deals!$V$2:$V$355,MATCH($C221,Deals!$A$2:$A$355,0))),1)</f>
        <v/>
      </c>
      <c r="T221" s="34">
        <f>IFERROR(IF($U221="",1,INDEX(Deals!$W$2:$W$355,MATCH($C221,Deals!$A$2:$A$355,0))),1)</f>
        <v/>
      </c>
      <c r="U221" s="22">
        <f>IF($C221="","",IFERROR(IF(INDEX(Deals!$Y$2:$Y$355,MATCH($C221,Deals!$A$2:$A$355,0))=0,"",INDEX(Deals!$Y$2:$Y$355,MATCH($C221,Deals!$A$2:$A$355,0))),""))</f>
        <v/>
      </c>
      <c r="V221" s="35">
        <f>IF(OR($U221&lt;&gt;"",AND($AO221&gt;0,$L221&lt;&gt;"",$M221&lt;&gt;"")),$N221,DATE(1900,1,1))</f>
        <v/>
      </c>
      <c r="W221" s="35">
        <f>IF($U221&lt;&gt;"",$U221,IF(AND($AO221&gt;0,$L221&lt;&gt;"",$M221&lt;&gt;""),$O221,DATE(2100,12,31)))</f>
        <v/>
      </c>
      <c r="X221" s="32">
        <f>IF($U221="",$K221,$K221*$S221)</f>
        <v/>
      </c>
      <c r="Y221" s="35">
        <f>IF($U221="",DATE(2100,12,31),$U221+1)</f>
        <v/>
      </c>
      <c r="Z221" s="35">
        <f>IF($U221="",DATE(1900,1,1),$O221)</f>
        <v/>
      </c>
      <c r="AA221" s="32">
        <f>IF($U221="",0,$K221*$T221)</f>
        <v/>
      </c>
      <c r="AB221" s="21">
        <f>IF($C221="",0,IFERROR(INDEX(Deals!$AD$2:$AD$355,MATCH($C221,Deals!$A$2:$A$355,0)),0))</f>
        <v/>
      </c>
      <c r="AC221" s="32">
        <f>IF(Settings!$B$4="Yes",$I221*$AB221,$I221)</f>
        <v/>
      </c>
      <c r="AD221" s="22">
        <f>IF($C221="","",IFERROR(IF(INDEX(Deals!$AE$2:$AE$355,MATCH($C221,Deals!$A$2:$A$355,0))=0,"",INDEX(Deals!$AE$2:$AE$355,MATCH($C221,Deals!$A$2:$A$355,0))),""))</f>
        <v/>
      </c>
      <c r="AE221" s="22">
        <f>IF($C221="","",IFERROR(IF(INDEX(Deals!$AF$2:$AF$355,MATCH($C221,Deals!$A$2:$A$355,0))=0,"",INDEX(Deals!$AF$2:$AF$355,MATCH($C221,Deals!$A$2:$A$355,0))),""))</f>
        <v/>
      </c>
      <c r="AF221" s="35">
        <f>IF($AD221="",DATE(1900,1,1),$AD221)</f>
        <v/>
      </c>
      <c r="AG221" s="35">
        <f>IF($AE221="",DATE(2100,12,31),$AE221)</f>
        <v/>
      </c>
      <c r="AH221" s="22">
        <f>IF($C221="","",IFERROR(IF(INDEX(Deals!$AG$2:$AG$355,MATCH($C221,Deals!$A$2:$A$355,0))=0,"",INDEX(Deals!$AG$2:$AG$355,MATCH($C221,Deals!$A$2:$A$355,0))),""))</f>
        <v/>
      </c>
      <c r="AI221" s="35">
        <f>IF(OR($AH221&lt;&gt;"",AND($AO221&gt;0,$AD221&lt;&gt;"",$AE221&lt;&gt;"")),$AF221,DATE(1900,1,1))</f>
        <v/>
      </c>
      <c r="AJ221" s="35">
        <f>IF($AH221&lt;&gt;"",$AH221,IF(AND($AO221&gt;0,$AD221&lt;&gt;"",$AE221&lt;&gt;""),$AG221,DATE(2100,12,31)))</f>
        <v/>
      </c>
      <c r="AK221" s="32">
        <f>IF($AH221="",$AC221,$AC221*$S221)</f>
        <v/>
      </c>
      <c r="AL221" s="35">
        <f>IF($AH221="",DATE(2100,12,31),$AH221+1)</f>
        <v/>
      </c>
      <c r="AM221" s="35">
        <f>IF($AH221="",DATE(1900,1,1),$AG221)</f>
        <v/>
      </c>
      <c r="AN221" s="32">
        <f>IF($AH221="",0,$AC221*$T221)</f>
        <v/>
      </c>
      <c r="AO221" s="46">
        <f>IF($C221="",0,IFERROR(INDEX(Deals!$BD$2:$BD$355,MATCH($C221,Deals!$A$2:$A$355,0)),0))</f>
        <v/>
      </c>
      <c r="AP221" s="18">
        <f>IF($AO221=0,0,IFERROR(INDEX(Deals!$BJ$2:$BP$355,MATCH($C221,Deals!$A$2:$A$355,0),MATCH($F221,Deals!$BJ$1:$BP$1,0))/COUNTIFS(Assignments!$C$2:$C$769,$C221,Assignments!$F$2:$F$769,$F221,Assignments!$G$2:$G$769,"Active"),0))</f>
        <v/>
      </c>
    </row>
    <row r="222">
      <c r="A222" s="28" t="inlineStr">
        <is>
          <t>Justine</t>
        </is>
      </c>
      <c r="B222" s="16">
        <f>IF($A222="","",IFERROR(INDEX(Roster!$B$2:$B$40,MATCH($A222,Roster!$A$2:$A$40,0)),"?"))</f>
        <v/>
      </c>
      <c r="C222" s="28" t="inlineStr">
        <is>
          <t>Canyon_2</t>
        </is>
      </c>
      <c r="D222" s="16">
        <f>IF($C222="","",IFERROR(IF(INDEX(Deals!$C$2:$C$355,MATCH($C222,Deals!$A$2:$A$355,0))=0,"",INDEX(Deals!$C$2:$C$355,MATCH($C222,Deals!$A$2:$A$355,0))),"?"))</f>
        <v/>
      </c>
      <c r="E222" s="16">
        <f>IF($C222="","",IFERROR(INDEX(Deals!$F$2:$F$355,MATCH($C222,Deals!$A$2:$A$355,0)),"?"))</f>
        <v/>
      </c>
      <c r="F222" s="28" t="inlineStr">
        <is>
          <t>Director</t>
        </is>
      </c>
      <c r="G222" s="28" t="inlineStr">
        <is>
          <t>Inactive</t>
        </is>
      </c>
      <c r="H222" s="31" t="n"/>
      <c r="I222" s="32">
        <f>IF(OR($A222="",$G222&lt;&gt;"Active"),0,IF($H222&lt;&gt;"",$H222,IF($AO222&gt;0,$AP222,IF(AND($R222&lt;&gt;"",IFERROR(INDEX(Templates!$B$3:$H$10,MATCH($R222,Templates!$A$3:$A$10,0),MATCH($F222,Templates!$B$2:$H$2,0)),0)&gt;0),INDEX(Templates!$B$3:$H$10,MATCH($R222,Templates!$A$3:$A$10,0),MATCH($F222,Templates!$B$2:$H$2,0)),IFERROR(INDEX(Settings!$B$8:$B$14,MATCH($F222,Settings!$A$8:$A$14,0)),0)))))</f>
        <v/>
      </c>
      <c r="J222" s="21">
        <f>IF($C222="",0,IFERROR(INDEX(Deals!$H$2:$H$355,MATCH($C222,Deals!$A$2:$A$355,0)),0))</f>
        <v/>
      </c>
      <c r="K222" s="32">
        <f>IF(Settings!$B$4="Yes",$I222*$J222,$I222)</f>
        <v/>
      </c>
      <c r="L222" s="22">
        <f>IF($C222="","",IFERROR(IF(INDEX(Deals!$I$2:$I$355,MATCH($C222,Deals!$A$2:$A$355,0))=0,"",INDEX(Deals!$I$2:$I$355,MATCH($C222,Deals!$A$2:$A$355,0))),""))</f>
        <v/>
      </c>
      <c r="M222" s="22">
        <f>IF($C222="","",IFERROR(IF(INDEX(Deals!$J$2:$J$355,MATCH($C222,Deals!$A$2:$A$355,0))=0,"",INDEX(Deals!$J$2:$J$355,MATCH($C222,Deals!$A$2:$A$355,0))),""))</f>
        <v/>
      </c>
      <c r="N222" s="35">
        <f>IF($L222="",DATE(1900,1,1),$L222)</f>
        <v/>
      </c>
      <c r="O222" s="35">
        <f>IF($M222="",DATE(2100,12,31),$M222)</f>
        <v/>
      </c>
      <c r="P222" s="20" t="inlineStr">
        <is>
          <t>Closed</t>
        </is>
      </c>
      <c r="Q222" s="47" t="inlineStr"/>
      <c r="R222" s="16">
        <f>IF($C222="","",IFERROR(IF(INDEX(Deals!$U$2:$U$355,MATCH($C222,Deals!$A$2:$A$355,0))=0,"",INDEX(Deals!$U$2:$U$355,MATCH($C222,Deals!$A$2:$A$355,0))),""))</f>
        <v/>
      </c>
      <c r="S222" s="34">
        <f>IFERROR(IF($U222="",1,INDEX(Deals!$V$2:$V$355,MATCH($C222,Deals!$A$2:$A$355,0))),1)</f>
        <v/>
      </c>
      <c r="T222" s="34">
        <f>IFERROR(IF($U222="",1,INDEX(Deals!$W$2:$W$355,MATCH($C222,Deals!$A$2:$A$355,0))),1)</f>
        <v/>
      </c>
      <c r="U222" s="22">
        <f>IF($C222="","",IFERROR(IF(INDEX(Deals!$Y$2:$Y$355,MATCH($C222,Deals!$A$2:$A$355,0))=0,"",INDEX(Deals!$Y$2:$Y$355,MATCH($C222,Deals!$A$2:$A$355,0))),""))</f>
        <v/>
      </c>
      <c r="V222" s="35">
        <f>IF(OR($U222&lt;&gt;"",AND($AO222&gt;0,$L222&lt;&gt;"",$M222&lt;&gt;"")),$N222,DATE(1900,1,1))</f>
        <v/>
      </c>
      <c r="W222" s="35">
        <f>IF($U222&lt;&gt;"",$U222,IF(AND($AO222&gt;0,$L222&lt;&gt;"",$M222&lt;&gt;""),$O222,DATE(2100,12,31)))</f>
        <v/>
      </c>
      <c r="X222" s="32">
        <f>IF($U222="",$K222,$K222*$S222)</f>
        <v/>
      </c>
      <c r="Y222" s="35">
        <f>IF($U222="",DATE(2100,12,31),$U222+1)</f>
        <v/>
      </c>
      <c r="Z222" s="35">
        <f>IF($U222="",DATE(1900,1,1),$O222)</f>
        <v/>
      </c>
      <c r="AA222" s="32">
        <f>IF($U222="",0,$K222*$T222)</f>
        <v/>
      </c>
      <c r="AB222" s="21">
        <f>IF($C222="",0,IFERROR(INDEX(Deals!$AD$2:$AD$355,MATCH($C222,Deals!$A$2:$A$355,0)),0))</f>
        <v/>
      </c>
      <c r="AC222" s="32">
        <f>IF(Settings!$B$4="Yes",$I222*$AB222,$I222)</f>
        <v/>
      </c>
      <c r="AD222" s="22">
        <f>IF($C222="","",IFERROR(IF(INDEX(Deals!$AE$2:$AE$355,MATCH($C222,Deals!$A$2:$A$355,0))=0,"",INDEX(Deals!$AE$2:$AE$355,MATCH($C222,Deals!$A$2:$A$355,0))),""))</f>
        <v/>
      </c>
      <c r="AE222" s="22">
        <f>IF($C222="","",IFERROR(IF(INDEX(Deals!$AF$2:$AF$355,MATCH($C222,Deals!$A$2:$A$355,0))=0,"",INDEX(Deals!$AF$2:$AF$355,MATCH($C222,Deals!$A$2:$A$355,0))),""))</f>
        <v/>
      </c>
      <c r="AF222" s="35">
        <f>IF($AD222="",DATE(1900,1,1),$AD222)</f>
        <v/>
      </c>
      <c r="AG222" s="35">
        <f>IF($AE222="",DATE(2100,12,31),$AE222)</f>
        <v/>
      </c>
      <c r="AH222" s="22">
        <f>IF($C222="","",IFERROR(IF(INDEX(Deals!$AG$2:$AG$355,MATCH($C222,Deals!$A$2:$A$355,0))=0,"",INDEX(Deals!$AG$2:$AG$355,MATCH($C222,Deals!$A$2:$A$355,0))),""))</f>
        <v/>
      </c>
      <c r="AI222" s="35">
        <f>IF(OR($AH222&lt;&gt;"",AND($AO222&gt;0,$AD222&lt;&gt;"",$AE222&lt;&gt;"")),$AF222,DATE(1900,1,1))</f>
        <v/>
      </c>
      <c r="AJ222" s="35">
        <f>IF($AH222&lt;&gt;"",$AH222,IF(AND($AO222&gt;0,$AD222&lt;&gt;"",$AE222&lt;&gt;""),$AG222,DATE(2100,12,31)))</f>
        <v/>
      </c>
      <c r="AK222" s="32">
        <f>IF($AH222="",$AC222,$AC222*$S222)</f>
        <v/>
      </c>
      <c r="AL222" s="35">
        <f>IF($AH222="",DATE(2100,12,31),$AH222+1)</f>
        <v/>
      </c>
      <c r="AM222" s="35">
        <f>IF($AH222="",DATE(1900,1,1),$AG222)</f>
        <v/>
      </c>
      <c r="AN222" s="32">
        <f>IF($AH222="",0,$AC222*$T222)</f>
        <v/>
      </c>
      <c r="AO222" s="46">
        <f>IF($C222="",0,IFERROR(INDEX(Deals!$BD$2:$BD$355,MATCH($C222,Deals!$A$2:$A$355,0)),0))</f>
        <v/>
      </c>
      <c r="AP222" s="18">
        <f>IF($AO222=0,0,IFERROR(INDEX(Deals!$BJ$2:$BP$355,MATCH($C222,Deals!$A$2:$A$355,0),MATCH($F222,Deals!$BJ$1:$BP$1,0))/COUNTIFS(Assignments!$C$2:$C$769,$C222,Assignments!$F$2:$F$769,$F222,Assignments!$G$2:$G$769,"Active"),0))</f>
        <v/>
      </c>
    </row>
    <row r="223">
      <c r="A223" s="28" t="inlineStr">
        <is>
          <t>Justine</t>
        </is>
      </c>
      <c r="B223" s="16">
        <f>IF($A223="","",IFERROR(INDEX(Roster!$B$2:$B$40,MATCH($A223,Roster!$A$2:$A$40,0)),"?"))</f>
        <v/>
      </c>
      <c r="C223" s="28" t="inlineStr">
        <is>
          <t>Celestial_1</t>
        </is>
      </c>
      <c r="D223" s="16">
        <f>IF($C223="","",IFERROR(IF(INDEX(Deals!$C$2:$C$355,MATCH($C223,Deals!$A$2:$A$355,0))=0,"",INDEX(Deals!$C$2:$C$355,MATCH($C223,Deals!$A$2:$A$355,0))),"?"))</f>
        <v/>
      </c>
      <c r="E223" s="16">
        <f>IF($C223="","",IFERROR(INDEX(Deals!$F$2:$F$355,MATCH($C223,Deals!$A$2:$A$355,0)),"?"))</f>
        <v/>
      </c>
      <c r="F223" s="28" t="inlineStr">
        <is>
          <t>Director</t>
        </is>
      </c>
      <c r="G223" s="28" t="inlineStr">
        <is>
          <t>Inactive</t>
        </is>
      </c>
      <c r="H223" s="31" t="n"/>
      <c r="I223" s="32">
        <f>IF(OR($A223="",$G223&lt;&gt;"Active"),0,IF($H223&lt;&gt;"",$H223,IF($AO223&gt;0,$AP223,IF(AND($R223&lt;&gt;"",IFERROR(INDEX(Templates!$B$3:$H$10,MATCH($R223,Templates!$A$3:$A$10,0),MATCH($F223,Templates!$B$2:$H$2,0)),0)&gt;0),INDEX(Templates!$B$3:$H$10,MATCH($R223,Templates!$A$3:$A$10,0),MATCH($F223,Templates!$B$2:$H$2,0)),IFERROR(INDEX(Settings!$B$8:$B$14,MATCH($F223,Settings!$A$8:$A$14,0)),0)))))</f>
        <v/>
      </c>
      <c r="J223" s="21">
        <f>IF($C223="",0,IFERROR(INDEX(Deals!$H$2:$H$355,MATCH($C223,Deals!$A$2:$A$355,0)),0))</f>
        <v/>
      </c>
      <c r="K223" s="32">
        <f>IF(Settings!$B$4="Yes",$I223*$J223,$I223)</f>
        <v/>
      </c>
      <c r="L223" s="22">
        <f>IF($C223="","",IFERROR(IF(INDEX(Deals!$I$2:$I$355,MATCH($C223,Deals!$A$2:$A$355,0))=0,"",INDEX(Deals!$I$2:$I$355,MATCH($C223,Deals!$A$2:$A$355,0))),""))</f>
        <v/>
      </c>
      <c r="M223" s="22">
        <f>IF($C223="","",IFERROR(IF(INDEX(Deals!$J$2:$J$355,MATCH($C223,Deals!$A$2:$A$355,0))=0,"",INDEX(Deals!$J$2:$J$355,MATCH($C223,Deals!$A$2:$A$355,0))),""))</f>
        <v/>
      </c>
      <c r="N223" s="35">
        <f>IF($L223="",DATE(1900,1,1),$L223)</f>
        <v/>
      </c>
      <c r="O223" s="35">
        <f>IF($M223="",DATE(2100,12,31),$M223)</f>
        <v/>
      </c>
      <c r="P223" s="20" t="inlineStr">
        <is>
          <t>Closed</t>
        </is>
      </c>
      <c r="Q223" s="47" t="inlineStr"/>
      <c r="R223" s="16">
        <f>IF($C223="","",IFERROR(IF(INDEX(Deals!$U$2:$U$355,MATCH($C223,Deals!$A$2:$A$355,0))=0,"",INDEX(Deals!$U$2:$U$355,MATCH($C223,Deals!$A$2:$A$355,0))),""))</f>
        <v/>
      </c>
      <c r="S223" s="34">
        <f>IFERROR(IF($U223="",1,INDEX(Deals!$V$2:$V$355,MATCH($C223,Deals!$A$2:$A$355,0))),1)</f>
        <v/>
      </c>
      <c r="T223" s="34">
        <f>IFERROR(IF($U223="",1,INDEX(Deals!$W$2:$W$355,MATCH($C223,Deals!$A$2:$A$355,0))),1)</f>
        <v/>
      </c>
      <c r="U223" s="22">
        <f>IF($C223="","",IFERROR(IF(INDEX(Deals!$Y$2:$Y$355,MATCH($C223,Deals!$A$2:$A$355,0))=0,"",INDEX(Deals!$Y$2:$Y$355,MATCH($C223,Deals!$A$2:$A$355,0))),""))</f>
        <v/>
      </c>
      <c r="V223" s="35">
        <f>IF(OR($U223&lt;&gt;"",AND($AO223&gt;0,$L223&lt;&gt;"",$M223&lt;&gt;"")),$N223,DATE(1900,1,1))</f>
        <v/>
      </c>
      <c r="W223" s="35">
        <f>IF($U223&lt;&gt;"",$U223,IF(AND($AO223&gt;0,$L223&lt;&gt;"",$M223&lt;&gt;""),$O223,DATE(2100,12,31)))</f>
        <v/>
      </c>
      <c r="X223" s="32">
        <f>IF($U223="",$K223,$K223*$S223)</f>
        <v/>
      </c>
      <c r="Y223" s="35">
        <f>IF($U223="",DATE(2100,12,31),$U223+1)</f>
        <v/>
      </c>
      <c r="Z223" s="35">
        <f>IF($U223="",DATE(1900,1,1),$O223)</f>
        <v/>
      </c>
      <c r="AA223" s="32">
        <f>IF($U223="",0,$K223*$T223)</f>
        <v/>
      </c>
      <c r="AB223" s="21">
        <f>IF($C223="",0,IFERROR(INDEX(Deals!$AD$2:$AD$355,MATCH($C223,Deals!$A$2:$A$355,0)),0))</f>
        <v/>
      </c>
      <c r="AC223" s="32">
        <f>IF(Settings!$B$4="Yes",$I223*$AB223,$I223)</f>
        <v/>
      </c>
      <c r="AD223" s="22">
        <f>IF($C223="","",IFERROR(IF(INDEX(Deals!$AE$2:$AE$355,MATCH($C223,Deals!$A$2:$A$355,0))=0,"",INDEX(Deals!$AE$2:$AE$355,MATCH($C223,Deals!$A$2:$A$355,0))),""))</f>
        <v/>
      </c>
      <c r="AE223" s="22">
        <f>IF($C223="","",IFERROR(IF(INDEX(Deals!$AF$2:$AF$355,MATCH($C223,Deals!$A$2:$A$355,0))=0,"",INDEX(Deals!$AF$2:$AF$355,MATCH($C223,Deals!$A$2:$A$355,0))),""))</f>
        <v/>
      </c>
      <c r="AF223" s="35">
        <f>IF($AD223="",DATE(1900,1,1),$AD223)</f>
        <v/>
      </c>
      <c r="AG223" s="35">
        <f>IF($AE223="",DATE(2100,12,31),$AE223)</f>
        <v/>
      </c>
      <c r="AH223" s="22">
        <f>IF($C223="","",IFERROR(IF(INDEX(Deals!$AG$2:$AG$355,MATCH($C223,Deals!$A$2:$A$355,0))=0,"",INDEX(Deals!$AG$2:$AG$355,MATCH($C223,Deals!$A$2:$A$355,0))),""))</f>
        <v/>
      </c>
      <c r="AI223" s="35">
        <f>IF(OR($AH223&lt;&gt;"",AND($AO223&gt;0,$AD223&lt;&gt;"",$AE223&lt;&gt;"")),$AF223,DATE(1900,1,1))</f>
        <v/>
      </c>
      <c r="AJ223" s="35">
        <f>IF($AH223&lt;&gt;"",$AH223,IF(AND($AO223&gt;0,$AD223&lt;&gt;"",$AE223&lt;&gt;""),$AG223,DATE(2100,12,31)))</f>
        <v/>
      </c>
      <c r="AK223" s="32">
        <f>IF($AH223="",$AC223,$AC223*$S223)</f>
        <v/>
      </c>
      <c r="AL223" s="35">
        <f>IF($AH223="",DATE(2100,12,31),$AH223+1)</f>
        <v/>
      </c>
      <c r="AM223" s="35">
        <f>IF($AH223="",DATE(1900,1,1),$AG223)</f>
        <v/>
      </c>
      <c r="AN223" s="32">
        <f>IF($AH223="",0,$AC223*$T223)</f>
        <v/>
      </c>
      <c r="AO223" s="46">
        <f>IF($C223="",0,IFERROR(INDEX(Deals!$BD$2:$BD$355,MATCH($C223,Deals!$A$2:$A$355,0)),0))</f>
        <v/>
      </c>
      <c r="AP223" s="18">
        <f>IF($AO223=0,0,IFERROR(INDEX(Deals!$BJ$2:$BP$355,MATCH($C223,Deals!$A$2:$A$355,0),MATCH($F223,Deals!$BJ$1:$BP$1,0))/COUNTIFS(Assignments!$C$2:$C$769,$C223,Assignments!$F$2:$F$769,$F223,Assignments!$G$2:$G$769,"Active"),0))</f>
        <v/>
      </c>
    </row>
    <row r="224">
      <c r="A224" s="28" t="inlineStr">
        <is>
          <t>Justine</t>
        </is>
      </c>
      <c r="B224" s="16">
        <f>IF($A224="","",IFERROR(INDEX(Roster!$B$2:$B$40,MATCH($A224,Roster!$A$2:$A$40,0)),"?"))</f>
        <v/>
      </c>
      <c r="C224" s="28" t="inlineStr">
        <is>
          <t>Colt_2</t>
        </is>
      </c>
      <c r="D224" s="16">
        <f>IF($C224="","",IFERROR(IF(INDEX(Deals!$C$2:$C$355,MATCH($C224,Deals!$A$2:$A$355,0))=0,"",INDEX(Deals!$C$2:$C$355,MATCH($C224,Deals!$A$2:$A$355,0))),"?"))</f>
        <v/>
      </c>
      <c r="E224" s="16">
        <f>IF($C224="","",IFERROR(INDEX(Deals!$F$2:$F$355,MATCH($C224,Deals!$A$2:$A$355,0)),"?"))</f>
        <v/>
      </c>
      <c r="F224" s="28" t="inlineStr">
        <is>
          <t>Director</t>
        </is>
      </c>
      <c r="G224" s="28" t="inlineStr">
        <is>
          <t>Active</t>
        </is>
      </c>
      <c r="H224" s="31" t="n"/>
      <c r="I224" s="32">
        <f>IF(OR($A224="",$G224&lt;&gt;"Active"),0,IF($H224&lt;&gt;"",$H224,IF($AO224&gt;0,$AP224,IF(AND($R224&lt;&gt;"",IFERROR(INDEX(Templates!$B$3:$H$10,MATCH($R224,Templates!$A$3:$A$10,0),MATCH($F224,Templates!$B$2:$H$2,0)),0)&gt;0),INDEX(Templates!$B$3:$H$10,MATCH($R224,Templates!$A$3:$A$10,0),MATCH($F224,Templates!$B$2:$H$2,0)),IFERROR(INDEX(Settings!$B$8:$B$14,MATCH($F224,Settings!$A$8:$A$14,0)),0)))))</f>
        <v/>
      </c>
      <c r="J224" s="21">
        <f>IF($C224="",0,IFERROR(INDEX(Deals!$H$2:$H$355,MATCH($C224,Deals!$A$2:$A$355,0)),0))</f>
        <v/>
      </c>
      <c r="K224" s="32">
        <f>IF(Settings!$B$4="Yes",$I224*$J224,$I224)</f>
        <v/>
      </c>
      <c r="L224" s="22">
        <f>IF($C224="","",IFERROR(IF(INDEX(Deals!$I$2:$I$355,MATCH($C224,Deals!$A$2:$A$355,0))=0,"",INDEX(Deals!$I$2:$I$355,MATCH($C224,Deals!$A$2:$A$355,0))),""))</f>
        <v/>
      </c>
      <c r="M224" s="22">
        <f>IF($C224="","",IFERROR(IF(INDEX(Deals!$J$2:$J$355,MATCH($C224,Deals!$A$2:$A$355,0))=0,"",INDEX(Deals!$J$2:$J$355,MATCH($C224,Deals!$A$2:$A$355,0))),""))</f>
        <v/>
      </c>
      <c r="N224" s="35">
        <f>IF($L224="",DATE(1900,1,1),$L224)</f>
        <v/>
      </c>
      <c r="O224" s="35">
        <f>IF($M224="",DATE(2100,12,31),$M224)</f>
        <v/>
      </c>
      <c r="P224" s="20" t="inlineStr">
        <is>
          <t>Proposal</t>
        </is>
      </c>
      <c r="Q224" s="47" t="inlineStr"/>
      <c r="R224" s="16">
        <f>IF($C224="","",IFERROR(IF(INDEX(Deals!$U$2:$U$355,MATCH($C224,Deals!$A$2:$A$355,0))=0,"",INDEX(Deals!$U$2:$U$355,MATCH($C224,Deals!$A$2:$A$355,0))),""))</f>
        <v/>
      </c>
      <c r="S224" s="34">
        <f>IFERROR(IF($U224="",1,INDEX(Deals!$V$2:$V$355,MATCH($C224,Deals!$A$2:$A$355,0))),1)</f>
        <v/>
      </c>
      <c r="T224" s="34">
        <f>IFERROR(IF($U224="",1,INDEX(Deals!$W$2:$W$355,MATCH($C224,Deals!$A$2:$A$355,0))),1)</f>
        <v/>
      </c>
      <c r="U224" s="22">
        <f>IF($C224="","",IFERROR(IF(INDEX(Deals!$Y$2:$Y$355,MATCH($C224,Deals!$A$2:$A$355,0))=0,"",INDEX(Deals!$Y$2:$Y$355,MATCH($C224,Deals!$A$2:$A$355,0))),""))</f>
        <v/>
      </c>
      <c r="V224" s="35">
        <f>IF(OR($U224&lt;&gt;"",AND($AO224&gt;0,$L224&lt;&gt;"",$M224&lt;&gt;"")),$N224,DATE(1900,1,1))</f>
        <v/>
      </c>
      <c r="W224" s="35">
        <f>IF($U224&lt;&gt;"",$U224,IF(AND($AO224&gt;0,$L224&lt;&gt;"",$M224&lt;&gt;""),$O224,DATE(2100,12,31)))</f>
        <v/>
      </c>
      <c r="X224" s="32">
        <f>IF($U224="",$K224,$K224*$S224)</f>
        <v/>
      </c>
      <c r="Y224" s="35">
        <f>IF($U224="",DATE(2100,12,31),$U224+1)</f>
        <v/>
      </c>
      <c r="Z224" s="35">
        <f>IF($U224="",DATE(1900,1,1),$O224)</f>
        <v/>
      </c>
      <c r="AA224" s="32">
        <f>IF($U224="",0,$K224*$T224)</f>
        <v/>
      </c>
      <c r="AB224" s="21">
        <f>IF($C224="",0,IFERROR(INDEX(Deals!$AD$2:$AD$355,MATCH($C224,Deals!$A$2:$A$355,0)),0))</f>
        <v/>
      </c>
      <c r="AC224" s="32">
        <f>IF(Settings!$B$4="Yes",$I224*$AB224,$I224)</f>
        <v/>
      </c>
      <c r="AD224" s="22">
        <f>IF($C224="","",IFERROR(IF(INDEX(Deals!$AE$2:$AE$355,MATCH($C224,Deals!$A$2:$A$355,0))=0,"",INDEX(Deals!$AE$2:$AE$355,MATCH($C224,Deals!$A$2:$A$355,0))),""))</f>
        <v/>
      </c>
      <c r="AE224" s="22">
        <f>IF($C224="","",IFERROR(IF(INDEX(Deals!$AF$2:$AF$355,MATCH($C224,Deals!$A$2:$A$355,0))=0,"",INDEX(Deals!$AF$2:$AF$355,MATCH($C224,Deals!$A$2:$A$355,0))),""))</f>
        <v/>
      </c>
      <c r="AF224" s="35">
        <f>IF($AD224="",DATE(1900,1,1),$AD224)</f>
        <v/>
      </c>
      <c r="AG224" s="35">
        <f>IF($AE224="",DATE(2100,12,31),$AE224)</f>
        <v/>
      </c>
      <c r="AH224" s="22">
        <f>IF($C224="","",IFERROR(IF(INDEX(Deals!$AG$2:$AG$355,MATCH($C224,Deals!$A$2:$A$355,0))=0,"",INDEX(Deals!$AG$2:$AG$355,MATCH($C224,Deals!$A$2:$A$355,0))),""))</f>
        <v/>
      </c>
      <c r="AI224" s="35">
        <f>IF(OR($AH224&lt;&gt;"",AND($AO224&gt;0,$AD224&lt;&gt;"",$AE224&lt;&gt;"")),$AF224,DATE(1900,1,1))</f>
        <v/>
      </c>
      <c r="AJ224" s="35">
        <f>IF($AH224&lt;&gt;"",$AH224,IF(AND($AO224&gt;0,$AD224&lt;&gt;"",$AE224&lt;&gt;""),$AG224,DATE(2100,12,31)))</f>
        <v/>
      </c>
      <c r="AK224" s="32">
        <f>IF($AH224="",$AC224,$AC224*$S224)</f>
        <v/>
      </c>
      <c r="AL224" s="35">
        <f>IF($AH224="",DATE(2100,12,31),$AH224+1)</f>
        <v/>
      </c>
      <c r="AM224" s="35">
        <f>IF($AH224="",DATE(1900,1,1),$AG224)</f>
        <v/>
      </c>
      <c r="AN224" s="32">
        <f>IF($AH224="",0,$AC224*$T224)</f>
        <v/>
      </c>
      <c r="AO224" s="46">
        <f>IF($C224="",0,IFERROR(INDEX(Deals!$BD$2:$BD$355,MATCH($C224,Deals!$A$2:$A$355,0)),0))</f>
        <v/>
      </c>
      <c r="AP224" s="18">
        <f>IF($AO224=0,0,IFERROR(INDEX(Deals!$BJ$2:$BP$355,MATCH($C224,Deals!$A$2:$A$355,0),MATCH($F224,Deals!$BJ$1:$BP$1,0))/COUNTIFS(Assignments!$C$2:$C$769,$C224,Assignments!$F$2:$F$769,$F224,Assignments!$G$2:$G$769,"Active"),0))</f>
        <v/>
      </c>
    </row>
    <row r="225">
      <c r="A225" s="28" t="inlineStr">
        <is>
          <t>Justine</t>
        </is>
      </c>
      <c r="B225" s="16">
        <f>IF($A225="","",IFERROR(INDEX(Roster!$B$2:$B$40,MATCH($A225,Roster!$A$2:$A$40,0)),"?"))</f>
        <v/>
      </c>
      <c r="C225" s="28" t="inlineStr">
        <is>
          <t>Cosmetic _1</t>
        </is>
      </c>
      <c r="D225" s="16">
        <f>IF($C225="","",IFERROR(IF(INDEX(Deals!$C$2:$C$355,MATCH($C225,Deals!$A$2:$A$355,0))=0,"",INDEX(Deals!$C$2:$C$355,MATCH($C225,Deals!$A$2:$A$355,0))),"?"))</f>
        <v/>
      </c>
      <c r="E225" s="16">
        <f>IF($C225="","",IFERROR(INDEX(Deals!$F$2:$F$355,MATCH($C225,Deals!$A$2:$A$355,0)),"?"))</f>
        <v/>
      </c>
      <c r="F225" s="28" t="inlineStr">
        <is>
          <t>Director</t>
        </is>
      </c>
      <c r="G225" s="28" t="inlineStr">
        <is>
          <t>Active</t>
        </is>
      </c>
      <c r="H225" s="31" t="n"/>
      <c r="I225" s="32">
        <f>IF(OR($A225="",$G225&lt;&gt;"Active"),0,IF($H225&lt;&gt;"",$H225,IF($AO225&gt;0,$AP225,IF(AND($R225&lt;&gt;"",IFERROR(INDEX(Templates!$B$3:$H$10,MATCH($R225,Templates!$A$3:$A$10,0),MATCH($F225,Templates!$B$2:$H$2,0)),0)&gt;0),INDEX(Templates!$B$3:$H$10,MATCH($R225,Templates!$A$3:$A$10,0),MATCH($F225,Templates!$B$2:$H$2,0)),IFERROR(INDEX(Settings!$B$8:$B$14,MATCH($F225,Settings!$A$8:$A$14,0)),0)))))</f>
        <v/>
      </c>
      <c r="J225" s="21">
        <f>IF($C225="",0,IFERROR(INDEX(Deals!$H$2:$H$355,MATCH($C225,Deals!$A$2:$A$355,0)),0))</f>
        <v/>
      </c>
      <c r="K225" s="32">
        <f>IF(Settings!$B$4="Yes",$I225*$J225,$I225)</f>
        <v/>
      </c>
      <c r="L225" s="22">
        <f>IF($C225="","",IFERROR(IF(INDEX(Deals!$I$2:$I$355,MATCH($C225,Deals!$A$2:$A$355,0))=0,"",INDEX(Deals!$I$2:$I$355,MATCH($C225,Deals!$A$2:$A$355,0))),""))</f>
        <v/>
      </c>
      <c r="M225" s="22">
        <f>IF($C225="","",IFERROR(IF(INDEX(Deals!$J$2:$J$355,MATCH($C225,Deals!$A$2:$A$355,0))=0,"",INDEX(Deals!$J$2:$J$355,MATCH($C225,Deals!$A$2:$A$355,0))),""))</f>
        <v/>
      </c>
      <c r="N225" s="35">
        <f>IF($L225="",DATE(1900,1,1),$L225)</f>
        <v/>
      </c>
      <c r="O225" s="35">
        <f>IF($M225="",DATE(2100,12,31),$M225)</f>
        <v/>
      </c>
      <c r="P225" s="20" t="inlineStr">
        <is>
          <t>Ongoing</t>
        </is>
      </c>
      <c r="Q225" s="47" t="inlineStr"/>
      <c r="R225" s="16">
        <f>IF($C225="","",IFERROR(IF(INDEX(Deals!$U$2:$U$355,MATCH($C225,Deals!$A$2:$A$355,0))=0,"",INDEX(Deals!$U$2:$U$355,MATCH($C225,Deals!$A$2:$A$355,0))),""))</f>
        <v/>
      </c>
      <c r="S225" s="34">
        <f>IFERROR(IF($U225="",1,INDEX(Deals!$V$2:$V$355,MATCH($C225,Deals!$A$2:$A$355,0))),1)</f>
        <v/>
      </c>
      <c r="T225" s="34">
        <f>IFERROR(IF($U225="",1,INDEX(Deals!$W$2:$W$355,MATCH($C225,Deals!$A$2:$A$355,0))),1)</f>
        <v/>
      </c>
      <c r="U225" s="22">
        <f>IF($C225="","",IFERROR(IF(INDEX(Deals!$Y$2:$Y$355,MATCH($C225,Deals!$A$2:$A$355,0))=0,"",INDEX(Deals!$Y$2:$Y$355,MATCH($C225,Deals!$A$2:$A$355,0))),""))</f>
        <v/>
      </c>
      <c r="V225" s="35">
        <f>IF(OR($U225&lt;&gt;"",AND($AO225&gt;0,$L225&lt;&gt;"",$M225&lt;&gt;"")),$N225,DATE(1900,1,1))</f>
        <v/>
      </c>
      <c r="W225" s="35">
        <f>IF($U225&lt;&gt;"",$U225,IF(AND($AO225&gt;0,$L225&lt;&gt;"",$M225&lt;&gt;""),$O225,DATE(2100,12,31)))</f>
        <v/>
      </c>
      <c r="X225" s="32">
        <f>IF($U225="",$K225,$K225*$S225)</f>
        <v/>
      </c>
      <c r="Y225" s="35">
        <f>IF($U225="",DATE(2100,12,31),$U225+1)</f>
        <v/>
      </c>
      <c r="Z225" s="35">
        <f>IF($U225="",DATE(1900,1,1),$O225)</f>
        <v/>
      </c>
      <c r="AA225" s="32">
        <f>IF($U225="",0,$K225*$T225)</f>
        <v/>
      </c>
      <c r="AB225" s="21">
        <f>IF($C225="",0,IFERROR(INDEX(Deals!$AD$2:$AD$355,MATCH($C225,Deals!$A$2:$A$355,0)),0))</f>
        <v/>
      </c>
      <c r="AC225" s="32">
        <f>IF(Settings!$B$4="Yes",$I225*$AB225,$I225)</f>
        <v/>
      </c>
      <c r="AD225" s="22">
        <f>IF($C225="","",IFERROR(IF(INDEX(Deals!$AE$2:$AE$355,MATCH($C225,Deals!$A$2:$A$355,0))=0,"",INDEX(Deals!$AE$2:$AE$355,MATCH($C225,Deals!$A$2:$A$355,0))),""))</f>
        <v/>
      </c>
      <c r="AE225" s="22">
        <f>IF($C225="","",IFERROR(IF(INDEX(Deals!$AF$2:$AF$355,MATCH($C225,Deals!$A$2:$A$355,0))=0,"",INDEX(Deals!$AF$2:$AF$355,MATCH($C225,Deals!$A$2:$A$355,0))),""))</f>
        <v/>
      </c>
      <c r="AF225" s="35">
        <f>IF($AD225="",DATE(1900,1,1),$AD225)</f>
        <v/>
      </c>
      <c r="AG225" s="35">
        <f>IF($AE225="",DATE(2100,12,31),$AE225)</f>
        <v/>
      </c>
      <c r="AH225" s="22">
        <f>IF($C225="","",IFERROR(IF(INDEX(Deals!$AG$2:$AG$355,MATCH($C225,Deals!$A$2:$A$355,0))=0,"",INDEX(Deals!$AG$2:$AG$355,MATCH($C225,Deals!$A$2:$A$355,0))),""))</f>
        <v/>
      </c>
      <c r="AI225" s="35">
        <f>IF(OR($AH225&lt;&gt;"",AND($AO225&gt;0,$AD225&lt;&gt;"",$AE225&lt;&gt;"")),$AF225,DATE(1900,1,1))</f>
        <v/>
      </c>
      <c r="AJ225" s="35">
        <f>IF($AH225&lt;&gt;"",$AH225,IF(AND($AO225&gt;0,$AD225&lt;&gt;"",$AE225&lt;&gt;""),$AG225,DATE(2100,12,31)))</f>
        <v/>
      </c>
      <c r="AK225" s="32">
        <f>IF($AH225="",$AC225,$AC225*$S225)</f>
        <v/>
      </c>
      <c r="AL225" s="35">
        <f>IF($AH225="",DATE(2100,12,31),$AH225+1)</f>
        <v/>
      </c>
      <c r="AM225" s="35">
        <f>IF($AH225="",DATE(1900,1,1),$AG225)</f>
        <v/>
      </c>
      <c r="AN225" s="32">
        <f>IF($AH225="",0,$AC225*$T225)</f>
        <v/>
      </c>
      <c r="AO225" s="46">
        <f>IF($C225="",0,IFERROR(INDEX(Deals!$BD$2:$BD$355,MATCH($C225,Deals!$A$2:$A$355,0)),0))</f>
        <v/>
      </c>
      <c r="AP225" s="18">
        <f>IF($AO225=0,0,IFERROR(INDEX(Deals!$BJ$2:$BP$355,MATCH($C225,Deals!$A$2:$A$355,0),MATCH($F225,Deals!$BJ$1:$BP$1,0))/COUNTIFS(Assignments!$C$2:$C$769,$C225,Assignments!$F$2:$F$769,$F225,Assignments!$G$2:$G$769,"Active"),0))</f>
        <v/>
      </c>
    </row>
    <row r="226">
      <c r="A226" s="28" t="inlineStr">
        <is>
          <t>Justine</t>
        </is>
      </c>
      <c r="B226" s="16">
        <f>IF($A226="","",IFERROR(INDEX(Roster!$B$2:$B$40,MATCH($A226,Roster!$A$2:$A$40,0)),"?"))</f>
        <v/>
      </c>
      <c r="C226" s="28" t="inlineStr">
        <is>
          <t>Danone_1</t>
        </is>
      </c>
      <c r="D226" s="16">
        <f>IF($C226="","",IFERROR(IF(INDEX(Deals!$C$2:$C$355,MATCH($C226,Deals!$A$2:$A$355,0))=0,"",INDEX(Deals!$C$2:$C$355,MATCH($C226,Deals!$A$2:$A$355,0))),"?"))</f>
        <v/>
      </c>
      <c r="E226" s="16">
        <f>IF($C226="","",IFERROR(INDEX(Deals!$F$2:$F$355,MATCH($C226,Deals!$A$2:$A$355,0)),"?"))</f>
        <v/>
      </c>
      <c r="F226" s="28" t="inlineStr">
        <is>
          <t>Director</t>
        </is>
      </c>
      <c r="G226" s="28" t="inlineStr">
        <is>
          <t>Active</t>
        </is>
      </c>
      <c r="H226" s="31" t="n"/>
      <c r="I226" s="32">
        <f>IF(OR($A226="",$G226&lt;&gt;"Active"),0,IF($H226&lt;&gt;"",$H226,IF($AO226&gt;0,$AP226,IF(AND($R226&lt;&gt;"",IFERROR(INDEX(Templates!$B$3:$H$10,MATCH($R226,Templates!$A$3:$A$10,0),MATCH($F226,Templates!$B$2:$H$2,0)),0)&gt;0),INDEX(Templates!$B$3:$H$10,MATCH($R226,Templates!$A$3:$A$10,0),MATCH($F226,Templates!$B$2:$H$2,0)),IFERROR(INDEX(Settings!$B$8:$B$14,MATCH($F226,Settings!$A$8:$A$14,0)),0)))))</f>
        <v/>
      </c>
      <c r="J226" s="21">
        <f>IF($C226="",0,IFERROR(INDEX(Deals!$H$2:$H$355,MATCH($C226,Deals!$A$2:$A$355,0)),0))</f>
        <v/>
      </c>
      <c r="K226" s="32">
        <f>IF(Settings!$B$4="Yes",$I226*$J226,$I226)</f>
        <v/>
      </c>
      <c r="L226" s="22">
        <f>IF($C226="","",IFERROR(IF(INDEX(Deals!$I$2:$I$355,MATCH($C226,Deals!$A$2:$A$355,0))=0,"",INDEX(Deals!$I$2:$I$355,MATCH($C226,Deals!$A$2:$A$355,0))),""))</f>
        <v/>
      </c>
      <c r="M226" s="22">
        <f>IF($C226="","",IFERROR(IF(INDEX(Deals!$J$2:$J$355,MATCH($C226,Deals!$A$2:$A$355,0))=0,"",INDEX(Deals!$J$2:$J$355,MATCH($C226,Deals!$A$2:$A$355,0))),""))</f>
        <v/>
      </c>
      <c r="N226" s="35">
        <f>IF($L226="",DATE(1900,1,1),$L226)</f>
        <v/>
      </c>
      <c r="O226" s="35">
        <f>IF($M226="",DATE(2100,12,31),$M226)</f>
        <v/>
      </c>
      <c r="P226" s="20" t="inlineStr">
        <is>
          <t>Proposal</t>
        </is>
      </c>
      <c r="Q226" s="47" t="inlineStr"/>
      <c r="R226" s="16">
        <f>IF($C226="","",IFERROR(IF(INDEX(Deals!$U$2:$U$355,MATCH($C226,Deals!$A$2:$A$355,0))=0,"",INDEX(Deals!$U$2:$U$355,MATCH($C226,Deals!$A$2:$A$355,0))),""))</f>
        <v/>
      </c>
      <c r="S226" s="34">
        <f>IFERROR(IF($U226="",1,INDEX(Deals!$V$2:$V$355,MATCH($C226,Deals!$A$2:$A$355,0))),1)</f>
        <v/>
      </c>
      <c r="T226" s="34">
        <f>IFERROR(IF($U226="",1,INDEX(Deals!$W$2:$W$355,MATCH($C226,Deals!$A$2:$A$355,0))),1)</f>
        <v/>
      </c>
      <c r="U226" s="22">
        <f>IF($C226="","",IFERROR(IF(INDEX(Deals!$Y$2:$Y$355,MATCH($C226,Deals!$A$2:$A$355,0))=0,"",INDEX(Deals!$Y$2:$Y$355,MATCH($C226,Deals!$A$2:$A$355,0))),""))</f>
        <v/>
      </c>
      <c r="V226" s="35">
        <f>IF(OR($U226&lt;&gt;"",AND($AO226&gt;0,$L226&lt;&gt;"",$M226&lt;&gt;"")),$N226,DATE(1900,1,1))</f>
        <v/>
      </c>
      <c r="W226" s="35">
        <f>IF($U226&lt;&gt;"",$U226,IF(AND($AO226&gt;0,$L226&lt;&gt;"",$M226&lt;&gt;""),$O226,DATE(2100,12,31)))</f>
        <v/>
      </c>
      <c r="X226" s="32">
        <f>IF($U226="",$K226,$K226*$S226)</f>
        <v/>
      </c>
      <c r="Y226" s="35">
        <f>IF($U226="",DATE(2100,12,31),$U226+1)</f>
        <v/>
      </c>
      <c r="Z226" s="35">
        <f>IF($U226="",DATE(1900,1,1),$O226)</f>
        <v/>
      </c>
      <c r="AA226" s="32">
        <f>IF($U226="",0,$K226*$T226)</f>
        <v/>
      </c>
      <c r="AB226" s="21">
        <f>IF($C226="",0,IFERROR(INDEX(Deals!$AD$2:$AD$355,MATCH($C226,Deals!$A$2:$A$355,0)),0))</f>
        <v/>
      </c>
      <c r="AC226" s="32">
        <f>IF(Settings!$B$4="Yes",$I226*$AB226,$I226)</f>
        <v/>
      </c>
      <c r="AD226" s="22">
        <f>IF($C226="","",IFERROR(IF(INDEX(Deals!$AE$2:$AE$355,MATCH($C226,Deals!$A$2:$A$355,0))=0,"",INDEX(Deals!$AE$2:$AE$355,MATCH($C226,Deals!$A$2:$A$355,0))),""))</f>
        <v/>
      </c>
      <c r="AE226" s="22">
        <f>IF($C226="","",IFERROR(IF(INDEX(Deals!$AF$2:$AF$355,MATCH($C226,Deals!$A$2:$A$355,0))=0,"",INDEX(Deals!$AF$2:$AF$355,MATCH($C226,Deals!$A$2:$A$355,0))),""))</f>
        <v/>
      </c>
      <c r="AF226" s="35">
        <f>IF($AD226="",DATE(1900,1,1),$AD226)</f>
        <v/>
      </c>
      <c r="AG226" s="35">
        <f>IF($AE226="",DATE(2100,12,31),$AE226)</f>
        <v/>
      </c>
      <c r="AH226" s="22">
        <f>IF($C226="","",IFERROR(IF(INDEX(Deals!$AG$2:$AG$355,MATCH($C226,Deals!$A$2:$A$355,0))=0,"",INDEX(Deals!$AG$2:$AG$355,MATCH($C226,Deals!$A$2:$A$355,0))),""))</f>
        <v/>
      </c>
      <c r="AI226" s="35">
        <f>IF(OR($AH226&lt;&gt;"",AND($AO226&gt;0,$AD226&lt;&gt;"",$AE226&lt;&gt;"")),$AF226,DATE(1900,1,1))</f>
        <v/>
      </c>
      <c r="AJ226" s="35">
        <f>IF($AH226&lt;&gt;"",$AH226,IF(AND($AO226&gt;0,$AD226&lt;&gt;"",$AE226&lt;&gt;""),$AG226,DATE(2100,12,31)))</f>
        <v/>
      </c>
      <c r="AK226" s="32">
        <f>IF($AH226="",$AC226,$AC226*$S226)</f>
        <v/>
      </c>
      <c r="AL226" s="35">
        <f>IF($AH226="",DATE(2100,12,31),$AH226+1)</f>
        <v/>
      </c>
      <c r="AM226" s="35">
        <f>IF($AH226="",DATE(1900,1,1),$AG226)</f>
        <v/>
      </c>
      <c r="AN226" s="32">
        <f>IF($AH226="",0,$AC226*$T226)</f>
        <v/>
      </c>
      <c r="AO226" s="46">
        <f>IF($C226="",0,IFERROR(INDEX(Deals!$BD$2:$BD$355,MATCH($C226,Deals!$A$2:$A$355,0)),0))</f>
        <v/>
      </c>
      <c r="AP226" s="18">
        <f>IF($AO226=0,0,IFERROR(INDEX(Deals!$BJ$2:$BP$355,MATCH($C226,Deals!$A$2:$A$355,0),MATCH($F226,Deals!$BJ$1:$BP$1,0))/COUNTIFS(Assignments!$C$2:$C$769,$C226,Assignments!$F$2:$F$769,$F226,Assignments!$G$2:$G$769,"Active"),0))</f>
        <v/>
      </c>
    </row>
    <row r="227">
      <c r="A227" s="28" t="inlineStr">
        <is>
          <t>Justine</t>
        </is>
      </c>
      <c r="B227" s="16">
        <f>IF($A227="","",IFERROR(INDEX(Roster!$B$2:$B$40,MATCH($A227,Roster!$A$2:$A$40,0)),"?"))</f>
        <v/>
      </c>
      <c r="C227" s="28" t="inlineStr">
        <is>
          <t>DEBT analysis_1</t>
        </is>
      </c>
      <c r="D227" s="16">
        <f>IF($C227="","",IFERROR(IF(INDEX(Deals!$C$2:$C$355,MATCH($C227,Deals!$A$2:$A$355,0))=0,"",INDEX(Deals!$C$2:$C$355,MATCH($C227,Deals!$A$2:$A$355,0))),"?"))</f>
        <v/>
      </c>
      <c r="E227" s="16">
        <f>IF($C227="","",IFERROR(INDEX(Deals!$F$2:$F$355,MATCH($C227,Deals!$A$2:$A$355,0)),"?"))</f>
        <v/>
      </c>
      <c r="F227" s="28" t="inlineStr">
        <is>
          <t>Director</t>
        </is>
      </c>
      <c r="G227" s="28" t="inlineStr">
        <is>
          <t>Active</t>
        </is>
      </c>
      <c r="H227" s="31" t="n"/>
      <c r="I227" s="32">
        <f>IF(OR($A227="",$G227&lt;&gt;"Active"),0,IF($H227&lt;&gt;"",$H227,IF($AO227&gt;0,$AP227,IF(AND($R227&lt;&gt;"",IFERROR(INDEX(Templates!$B$3:$H$10,MATCH($R227,Templates!$A$3:$A$10,0),MATCH($F227,Templates!$B$2:$H$2,0)),0)&gt;0),INDEX(Templates!$B$3:$H$10,MATCH($R227,Templates!$A$3:$A$10,0),MATCH($F227,Templates!$B$2:$H$2,0)),IFERROR(INDEX(Settings!$B$8:$B$14,MATCH($F227,Settings!$A$8:$A$14,0)),0)))))</f>
        <v/>
      </c>
      <c r="J227" s="21">
        <f>IF($C227="",0,IFERROR(INDEX(Deals!$H$2:$H$355,MATCH($C227,Deals!$A$2:$A$355,0)),0))</f>
        <v/>
      </c>
      <c r="K227" s="32">
        <f>IF(Settings!$B$4="Yes",$I227*$J227,$I227)</f>
        <v/>
      </c>
      <c r="L227" s="22">
        <f>IF($C227="","",IFERROR(IF(INDEX(Deals!$I$2:$I$355,MATCH($C227,Deals!$A$2:$A$355,0))=0,"",INDEX(Deals!$I$2:$I$355,MATCH($C227,Deals!$A$2:$A$355,0))),""))</f>
        <v/>
      </c>
      <c r="M227" s="22">
        <f>IF($C227="","",IFERROR(IF(INDEX(Deals!$J$2:$J$355,MATCH($C227,Deals!$A$2:$A$355,0))=0,"",INDEX(Deals!$J$2:$J$355,MATCH($C227,Deals!$A$2:$A$355,0))),""))</f>
        <v/>
      </c>
      <c r="N227" s="35">
        <f>IF($L227="",DATE(1900,1,1),$L227)</f>
        <v/>
      </c>
      <c r="O227" s="35">
        <f>IF($M227="",DATE(2100,12,31),$M227)</f>
        <v/>
      </c>
      <c r="P227" s="20" t="inlineStr">
        <is>
          <t>Ongoing / Jeremy</t>
        </is>
      </c>
      <c r="Q227" s="47" t="inlineStr"/>
      <c r="R227" s="16">
        <f>IF($C227="","",IFERROR(IF(INDEX(Deals!$U$2:$U$355,MATCH($C227,Deals!$A$2:$A$355,0))=0,"",INDEX(Deals!$U$2:$U$355,MATCH($C227,Deals!$A$2:$A$355,0))),""))</f>
        <v/>
      </c>
      <c r="S227" s="34">
        <f>IFERROR(IF($U227="",1,INDEX(Deals!$V$2:$V$355,MATCH($C227,Deals!$A$2:$A$355,0))),1)</f>
        <v/>
      </c>
      <c r="T227" s="34">
        <f>IFERROR(IF($U227="",1,INDEX(Deals!$W$2:$W$355,MATCH($C227,Deals!$A$2:$A$355,0))),1)</f>
        <v/>
      </c>
      <c r="U227" s="22">
        <f>IF($C227="","",IFERROR(IF(INDEX(Deals!$Y$2:$Y$355,MATCH($C227,Deals!$A$2:$A$355,0))=0,"",INDEX(Deals!$Y$2:$Y$355,MATCH($C227,Deals!$A$2:$A$355,0))),""))</f>
        <v/>
      </c>
      <c r="V227" s="35">
        <f>IF(OR($U227&lt;&gt;"",AND($AO227&gt;0,$L227&lt;&gt;"",$M227&lt;&gt;"")),$N227,DATE(1900,1,1))</f>
        <v/>
      </c>
      <c r="W227" s="35">
        <f>IF($U227&lt;&gt;"",$U227,IF(AND($AO227&gt;0,$L227&lt;&gt;"",$M227&lt;&gt;""),$O227,DATE(2100,12,31)))</f>
        <v/>
      </c>
      <c r="X227" s="32">
        <f>IF($U227="",$K227,$K227*$S227)</f>
        <v/>
      </c>
      <c r="Y227" s="35">
        <f>IF($U227="",DATE(2100,12,31),$U227+1)</f>
        <v/>
      </c>
      <c r="Z227" s="35">
        <f>IF($U227="",DATE(1900,1,1),$O227)</f>
        <v/>
      </c>
      <c r="AA227" s="32">
        <f>IF($U227="",0,$K227*$T227)</f>
        <v/>
      </c>
      <c r="AB227" s="21">
        <f>IF($C227="",0,IFERROR(INDEX(Deals!$AD$2:$AD$355,MATCH($C227,Deals!$A$2:$A$355,0)),0))</f>
        <v/>
      </c>
      <c r="AC227" s="32">
        <f>IF(Settings!$B$4="Yes",$I227*$AB227,$I227)</f>
        <v/>
      </c>
      <c r="AD227" s="22">
        <f>IF($C227="","",IFERROR(IF(INDEX(Deals!$AE$2:$AE$355,MATCH($C227,Deals!$A$2:$A$355,0))=0,"",INDEX(Deals!$AE$2:$AE$355,MATCH($C227,Deals!$A$2:$A$355,0))),""))</f>
        <v/>
      </c>
      <c r="AE227" s="22">
        <f>IF($C227="","",IFERROR(IF(INDEX(Deals!$AF$2:$AF$355,MATCH($C227,Deals!$A$2:$A$355,0))=0,"",INDEX(Deals!$AF$2:$AF$355,MATCH($C227,Deals!$A$2:$A$355,0))),""))</f>
        <v/>
      </c>
      <c r="AF227" s="35">
        <f>IF($AD227="",DATE(1900,1,1),$AD227)</f>
        <v/>
      </c>
      <c r="AG227" s="35">
        <f>IF($AE227="",DATE(2100,12,31),$AE227)</f>
        <v/>
      </c>
      <c r="AH227" s="22">
        <f>IF($C227="","",IFERROR(IF(INDEX(Deals!$AG$2:$AG$355,MATCH($C227,Deals!$A$2:$A$355,0))=0,"",INDEX(Deals!$AG$2:$AG$355,MATCH($C227,Deals!$A$2:$A$355,0))),""))</f>
        <v/>
      </c>
      <c r="AI227" s="35">
        <f>IF(OR($AH227&lt;&gt;"",AND($AO227&gt;0,$AD227&lt;&gt;"",$AE227&lt;&gt;"")),$AF227,DATE(1900,1,1))</f>
        <v/>
      </c>
      <c r="AJ227" s="35">
        <f>IF($AH227&lt;&gt;"",$AH227,IF(AND($AO227&gt;0,$AD227&lt;&gt;"",$AE227&lt;&gt;""),$AG227,DATE(2100,12,31)))</f>
        <v/>
      </c>
      <c r="AK227" s="32">
        <f>IF($AH227="",$AC227,$AC227*$S227)</f>
        <v/>
      </c>
      <c r="AL227" s="35">
        <f>IF($AH227="",DATE(2100,12,31),$AH227+1)</f>
        <v/>
      </c>
      <c r="AM227" s="35">
        <f>IF($AH227="",DATE(1900,1,1),$AG227)</f>
        <v/>
      </c>
      <c r="AN227" s="32">
        <f>IF($AH227="",0,$AC227*$T227)</f>
        <v/>
      </c>
      <c r="AO227" s="46">
        <f>IF($C227="",0,IFERROR(INDEX(Deals!$BD$2:$BD$355,MATCH($C227,Deals!$A$2:$A$355,0)),0))</f>
        <v/>
      </c>
      <c r="AP227" s="18">
        <f>IF($AO227=0,0,IFERROR(INDEX(Deals!$BJ$2:$BP$355,MATCH($C227,Deals!$A$2:$A$355,0),MATCH($F227,Deals!$BJ$1:$BP$1,0))/COUNTIFS(Assignments!$C$2:$C$769,$C227,Assignments!$F$2:$F$769,$F227,Assignments!$G$2:$G$769,"Active"),0))</f>
        <v/>
      </c>
    </row>
    <row r="228">
      <c r="A228" s="28" t="inlineStr">
        <is>
          <t>Justine</t>
        </is>
      </c>
      <c r="B228" s="16">
        <f>IF($A228="","",IFERROR(INDEX(Roster!$B$2:$B$40,MATCH($A228,Roster!$A$2:$A$40,0)),"?"))</f>
        <v/>
      </c>
      <c r="C228" s="28" t="inlineStr">
        <is>
          <t>EDFG TVDD_1</t>
        </is>
      </c>
      <c r="D228" s="16">
        <f>IF($C228="","",IFERROR(IF(INDEX(Deals!$C$2:$C$355,MATCH($C228,Deals!$A$2:$A$355,0))=0,"",INDEX(Deals!$C$2:$C$355,MATCH($C228,Deals!$A$2:$A$355,0))),"?"))</f>
        <v/>
      </c>
      <c r="E228" s="16">
        <f>IF($C228="","",IFERROR(INDEX(Deals!$F$2:$F$355,MATCH($C228,Deals!$A$2:$A$355,0)),"?"))</f>
        <v/>
      </c>
      <c r="F228" s="28" t="inlineStr">
        <is>
          <t>Director</t>
        </is>
      </c>
      <c r="G228" s="28" t="inlineStr">
        <is>
          <t>Active</t>
        </is>
      </c>
      <c r="H228" s="31" t="n"/>
      <c r="I228" s="32">
        <f>IF(OR($A228="",$G228&lt;&gt;"Active"),0,IF($H228&lt;&gt;"",$H228,IF($AO228&gt;0,$AP228,IF(AND($R228&lt;&gt;"",IFERROR(INDEX(Templates!$B$3:$H$10,MATCH($R228,Templates!$A$3:$A$10,0),MATCH($F228,Templates!$B$2:$H$2,0)),0)&gt;0),INDEX(Templates!$B$3:$H$10,MATCH($R228,Templates!$A$3:$A$10,0),MATCH($F228,Templates!$B$2:$H$2,0)),IFERROR(INDEX(Settings!$B$8:$B$14,MATCH($F228,Settings!$A$8:$A$14,0)),0)))))</f>
        <v/>
      </c>
      <c r="J228" s="21">
        <f>IF($C228="",0,IFERROR(INDEX(Deals!$H$2:$H$355,MATCH($C228,Deals!$A$2:$A$355,0)),0))</f>
        <v/>
      </c>
      <c r="K228" s="32">
        <f>IF(Settings!$B$4="Yes",$I228*$J228,$I228)</f>
        <v/>
      </c>
      <c r="L228" s="22">
        <f>IF($C228="","",IFERROR(IF(INDEX(Deals!$I$2:$I$355,MATCH($C228,Deals!$A$2:$A$355,0))=0,"",INDEX(Deals!$I$2:$I$355,MATCH($C228,Deals!$A$2:$A$355,0))),""))</f>
        <v/>
      </c>
      <c r="M228" s="22">
        <f>IF($C228="","",IFERROR(IF(INDEX(Deals!$J$2:$J$355,MATCH($C228,Deals!$A$2:$A$355,0))=0,"",INDEX(Deals!$J$2:$J$355,MATCH($C228,Deals!$A$2:$A$355,0))),""))</f>
        <v/>
      </c>
      <c r="N228" s="35">
        <f>IF($L228="",DATE(1900,1,1),$L228)</f>
        <v/>
      </c>
      <c r="O228" s="35">
        <f>IF($M228="",DATE(2100,12,31),$M228)</f>
        <v/>
      </c>
      <c r="P228" s="20" t="inlineStr">
        <is>
          <t>Proposal</t>
        </is>
      </c>
      <c r="Q228" s="47" t="inlineStr"/>
      <c r="R228" s="16">
        <f>IF($C228="","",IFERROR(IF(INDEX(Deals!$U$2:$U$355,MATCH($C228,Deals!$A$2:$A$355,0))=0,"",INDEX(Deals!$U$2:$U$355,MATCH($C228,Deals!$A$2:$A$355,0))),""))</f>
        <v/>
      </c>
      <c r="S228" s="34">
        <f>IFERROR(IF($U228="",1,INDEX(Deals!$V$2:$V$355,MATCH($C228,Deals!$A$2:$A$355,0))),1)</f>
        <v/>
      </c>
      <c r="T228" s="34">
        <f>IFERROR(IF($U228="",1,INDEX(Deals!$W$2:$W$355,MATCH($C228,Deals!$A$2:$A$355,0))),1)</f>
        <v/>
      </c>
      <c r="U228" s="22">
        <f>IF($C228="","",IFERROR(IF(INDEX(Deals!$Y$2:$Y$355,MATCH($C228,Deals!$A$2:$A$355,0))=0,"",INDEX(Deals!$Y$2:$Y$355,MATCH($C228,Deals!$A$2:$A$355,0))),""))</f>
        <v/>
      </c>
      <c r="V228" s="35">
        <f>IF(OR($U228&lt;&gt;"",AND($AO228&gt;0,$L228&lt;&gt;"",$M228&lt;&gt;"")),$N228,DATE(1900,1,1))</f>
        <v/>
      </c>
      <c r="W228" s="35">
        <f>IF($U228&lt;&gt;"",$U228,IF(AND($AO228&gt;0,$L228&lt;&gt;"",$M228&lt;&gt;""),$O228,DATE(2100,12,31)))</f>
        <v/>
      </c>
      <c r="X228" s="32">
        <f>IF($U228="",$K228,$K228*$S228)</f>
        <v/>
      </c>
      <c r="Y228" s="35">
        <f>IF($U228="",DATE(2100,12,31),$U228+1)</f>
        <v/>
      </c>
      <c r="Z228" s="35">
        <f>IF($U228="",DATE(1900,1,1),$O228)</f>
        <v/>
      </c>
      <c r="AA228" s="32">
        <f>IF($U228="",0,$K228*$T228)</f>
        <v/>
      </c>
      <c r="AB228" s="21">
        <f>IF($C228="",0,IFERROR(INDEX(Deals!$AD$2:$AD$355,MATCH($C228,Deals!$A$2:$A$355,0)),0))</f>
        <v/>
      </c>
      <c r="AC228" s="32">
        <f>IF(Settings!$B$4="Yes",$I228*$AB228,$I228)</f>
        <v/>
      </c>
      <c r="AD228" s="22">
        <f>IF($C228="","",IFERROR(IF(INDEX(Deals!$AE$2:$AE$355,MATCH($C228,Deals!$A$2:$A$355,0))=0,"",INDEX(Deals!$AE$2:$AE$355,MATCH($C228,Deals!$A$2:$A$355,0))),""))</f>
        <v/>
      </c>
      <c r="AE228" s="22">
        <f>IF($C228="","",IFERROR(IF(INDEX(Deals!$AF$2:$AF$355,MATCH($C228,Deals!$A$2:$A$355,0))=0,"",INDEX(Deals!$AF$2:$AF$355,MATCH($C228,Deals!$A$2:$A$355,0))),""))</f>
        <v/>
      </c>
      <c r="AF228" s="35">
        <f>IF($AD228="",DATE(1900,1,1),$AD228)</f>
        <v/>
      </c>
      <c r="AG228" s="35">
        <f>IF($AE228="",DATE(2100,12,31),$AE228)</f>
        <v/>
      </c>
      <c r="AH228" s="22">
        <f>IF($C228="","",IFERROR(IF(INDEX(Deals!$AG$2:$AG$355,MATCH($C228,Deals!$A$2:$A$355,0))=0,"",INDEX(Deals!$AG$2:$AG$355,MATCH($C228,Deals!$A$2:$A$355,0))),""))</f>
        <v/>
      </c>
      <c r="AI228" s="35">
        <f>IF(OR($AH228&lt;&gt;"",AND($AO228&gt;0,$AD228&lt;&gt;"",$AE228&lt;&gt;"")),$AF228,DATE(1900,1,1))</f>
        <v/>
      </c>
      <c r="AJ228" s="35">
        <f>IF($AH228&lt;&gt;"",$AH228,IF(AND($AO228&gt;0,$AD228&lt;&gt;"",$AE228&lt;&gt;""),$AG228,DATE(2100,12,31)))</f>
        <v/>
      </c>
      <c r="AK228" s="32">
        <f>IF($AH228="",$AC228,$AC228*$S228)</f>
        <v/>
      </c>
      <c r="AL228" s="35">
        <f>IF($AH228="",DATE(2100,12,31),$AH228+1)</f>
        <v/>
      </c>
      <c r="AM228" s="35">
        <f>IF($AH228="",DATE(1900,1,1),$AG228)</f>
        <v/>
      </c>
      <c r="AN228" s="32">
        <f>IF($AH228="",0,$AC228*$T228)</f>
        <v/>
      </c>
      <c r="AO228" s="46">
        <f>IF($C228="",0,IFERROR(INDEX(Deals!$BD$2:$BD$355,MATCH($C228,Deals!$A$2:$A$355,0)),0))</f>
        <v/>
      </c>
      <c r="AP228" s="18">
        <f>IF($AO228=0,0,IFERROR(INDEX(Deals!$BJ$2:$BP$355,MATCH($C228,Deals!$A$2:$A$355,0),MATCH($F228,Deals!$BJ$1:$BP$1,0))/COUNTIFS(Assignments!$C$2:$C$769,$C228,Assignments!$F$2:$F$769,$F228,Assignments!$G$2:$G$769,"Active"),0))</f>
        <v/>
      </c>
    </row>
    <row r="229">
      <c r="A229" s="28" t="inlineStr">
        <is>
          <t>Justine</t>
        </is>
      </c>
      <c r="B229" s="16">
        <f>IF($A229="","",IFERROR(INDEX(Roster!$B$2:$B$40,MATCH($A229,Roster!$A$2:$A$40,0)),"?"))</f>
        <v/>
      </c>
      <c r="C229" s="28" t="inlineStr">
        <is>
          <t>Ek_1</t>
        </is>
      </c>
      <c r="D229" s="16">
        <f>IF($C229="","",IFERROR(IF(INDEX(Deals!$C$2:$C$355,MATCH($C229,Deals!$A$2:$A$355,0))=0,"",INDEX(Deals!$C$2:$C$355,MATCH($C229,Deals!$A$2:$A$355,0))),"?"))</f>
        <v/>
      </c>
      <c r="E229" s="16">
        <f>IF($C229="","",IFERROR(INDEX(Deals!$F$2:$F$355,MATCH($C229,Deals!$A$2:$A$355,0)),"?"))</f>
        <v/>
      </c>
      <c r="F229" s="28" t="inlineStr">
        <is>
          <t>Director</t>
        </is>
      </c>
      <c r="G229" s="28" t="inlineStr">
        <is>
          <t>Active</t>
        </is>
      </c>
      <c r="H229" s="31" t="n"/>
      <c r="I229" s="32">
        <f>IF(OR($A229="",$G229&lt;&gt;"Active"),0,IF($H229&lt;&gt;"",$H229,IF($AO229&gt;0,$AP229,IF(AND($R229&lt;&gt;"",IFERROR(INDEX(Templates!$B$3:$H$10,MATCH($R229,Templates!$A$3:$A$10,0),MATCH($F229,Templates!$B$2:$H$2,0)),0)&gt;0),INDEX(Templates!$B$3:$H$10,MATCH($R229,Templates!$A$3:$A$10,0),MATCH($F229,Templates!$B$2:$H$2,0)),IFERROR(INDEX(Settings!$B$8:$B$14,MATCH($F229,Settings!$A$8:$A$14,0)),0)))))</f>
        <v/>
      </c>
      <c r="J229" s="21">
        <f>IF($C229="",0,IFERROR(INDEX(Deals!$H$2:$H$355,MATCH($C229,Deals!$A$2:$A$355,0)),0))</f>
        <v/>
      </c>
      <c r="K229" s="32">
        <f>IF(Settings!$B$4="Yes",$I229*$J229,$I229)</f>
        <v/>
      </c>
      <c r="L229" s="22">
        <f>IF($C229="","",IFERROR(IF(INDEX(Deals!$I$2:$I$355,MATCH($C229,Deals!$A$2:$A$355,0))=0,"",INDEX(Deals!$I$2:$I$355,MATCH($C229,Deals!$A$2:$A$355,0))),""))</f>
        <v/>
      </c>
      <c r="M229" s="22">
        <f>IF($C229="","",IFERROR(IF(INDEX(Deals!$J$2:$J$355,MATCH($C229,Deals!$A$2:$A$355,0))=0,"",INDEX(Deals!$J$2:$J$355,MATCH($C229,Deals!$A$2:$A$355,0))),""))</f>
        <v/>
      </c>
      <c r="N229" s="35">
        <f>IF($L229="",DATE(1900,1,1),$L229)</f>
        <v/>
      </c>
      <c r="O229" s="35">
        <f>IF($M229="",DATE(2100,12,31),$M229)</f>
        <v/>
      </c>
      <c r="P229" s="20" t="inlineStr">
        <is>
          <t>Proposal</t>
        </is>
      </c>
      <c r="Q229" s="47" t="inlineStr"/>
      <c r="R229" s="16">
        <f>IF($C229="","",IFERROR(IF(INDEX(Deals!$U$2:$U$355,MATCH($C229,Deals!$A$2:$A$355,0))=0,"",INDEX(Deals!$U$2:$U$355,MATCH($C229,Deals!$A$2:$A$355,0))),""))</f>
        <v/>
      </c>
      <c r="S229" s="34">
        <f>IFERROR(IF($U229="",1,INDEX(Deals!$V$2:$V$355,MATCH($C229,Deals!$A$2:$A$355,0))),1)</f>
        <v/>
      </c>
      <c r="T229" s="34">
        <f>IFERROR(IF($U229="",1,INDEX(Deals!$W$2:$W$355,MATCH($C229,Deals!$A$2:$A$355,0))),1)</f>
        <v/>
      </c>
      <c r="U229" s="22">
        <f>IF($C229="","",IFERROR(IF(INDEX(Deals!$Y$2:$Y$355,MATCH($C229,Deals!$A$2:$A$355,0))=0,"",INDEX(Deals!$Y$2:$Y$355,MATCH($C229,Deals!$A$2:$A$355,0))),""))</f>
        <v/>
      </c>
      <c r="V229" s="35">
        <f>IF(OR($U229&lt;&gt;"",AND($AO229&gt;0,$L229&lt;&gt;"",$M229&lt;&gt;"")),$N229,DATE(1900,1,1))</f>
        <v/>
      </c>
      <c r="W229" s="35">
        <f>IF($U229&lt;&gt;"",$U229,IF(AND($AO229&gt;0,$L229&lt;&gt;"",$M229&lt;&gt;""),$O229,DATE(2100,12,31)))</f>
        <v/>
      </c>
      <c r="X229" s="32">
        <f>IF($U229="",$K229,$K229*$S229)</f>
        <v/>
      </c>
      <c r="Y229" s="35">
        <f>IF($U229="",DATE(2100,12,31),$U229+1)</f>
        <v/>
      </c>
      <c r="Z229" s="35">
        <f>IF($U229="",DATE(1900,1,1),$O229)</f>
        <v/>
      </c>
      <c r="AA229" s="32">
        <f>IF($U229="",0,$K229*$T229)</f>
        <v/>
      </c>
      <c r="AB229" s="21">
        <f>IF($C229="",0,IFERROR(INDEX(Deals!$AD$2:$AD$355,MATCH($C229,Deals!$A$2:$A$355,0)),0))</f>
        <v/>
      </c>
      <c r="AC229" s="32">
        <f>IF(Settings!$B$4="Yes",$I229*$AB229,$I229)</f>
        <v/>
      </c>
      <c r="AD229" s="22">
        <f>IF($C229="","",IFERROR(IF(INDEX(Deals!$AE$2:$AE$355,MATCH($C229,Deals!$A$2:$A$355,0))=0,"",INDEX(Deals!$AE$2:$AE$355,MATCH($C229,Deals!$A$2:$A$355,0))),""))</f>
        <v/>
      </c>
      <c r="AE229" s="22">
        <f>IF($C229="","",IFERROR(IF(INDEX(Deals!$AF$2:$AF$355,MATCH($C229,Deals!$A$2:$A$355,0))=0,"",INDEX(Deals!$AF$2:$AF$355,MATCH($C229,Deals!$A$2:$A$355,0))),""))</f>
        <v/>
      </c>
      <c r="AF229" s="35">
        <f>IF($AD229="",DATE(1900,1,1),$AD229)</f>
        <v/>
      </c>
      <c r="AG229" s="35">
        <f>IF($AE229="",DATE(2100,12,31),$AE229)</f>
        <v/>
      </c>
      <c r="AH229" s="22">
        <f>IF($C229="","",IFERROR(IF(INDEX(Deals!$AG$2:$AG$355,MATCH($C229,Deals!$A$2:$A$355,0))=0,"",INDEX(Deals!$AG$2:$AG$355,MATCH($C229,Deals!$A$2:$A$355,0))),""))</f>
        <v/>
      </c>
      <c r="AI229" s="35">
        <f>IF(OR($AH229&lt;&gt;"",AND($AO229&gt;0,$AD229&lt;&gt;"",$AE229&lt;&gt;"")),$AF229,DATE(1900,1,1))</f>
        <v/>
      </c>
      <c r="AJ229" s="35">
        <f>IF($AH229&lt;&gt;"",$AH229,IF(AND($AO229&gt;0,$AD229&lt;&gt;"",$AE229&lt;&gt;""),$AG229,DATE(2100,12,31)))</f>
        <v/>
      </c>
      <c r="AK229" s="32">
        <f>IF($AH229="",$AC229,$AC229*$S229)</f>
        <v/>
      </c>
      <c r="AL229" s="35">
        <f>IF($AH229="",DATE(2100,12,31),$AH229+1)</f>
        <v/>
      </c>
      <c r="AM229" s="35">
        <f>IF($AH229="",DATE(1900,1,1),$AG229)</f>
        <v/>
      </c>
      <c r="AN229" s="32">
        <f>IF($AH229="",0,$AC229*$T229)</f>
        <v/>
      </c>
      <c r="AO229" s="46">
        <f>IF($C229="",0,IFERROR(INDEX(Deals!$BD$2:$BD$355,MATCH($C229,Deals!$A$2:$A$355,0)),0))</f>
        <v/>
      </c>
      <c r="AP229" s="18">
        <f>IF($AO229=0,0,IFERROR(INDEX(Deals!$BJ$2:$BP$355,MATCH($C229,Deals!$A$2:$A$355,0),MATCH($F229,Deals!$BJ$1:$BP$1,0))/COUNTIFS(Assignments!$C$2:$C$769,$C229,Assignments!$F$2:$F$769,$F229,Assignments!$G$2:$G$769,"Active"),0))</f>
        <v/>
      </c>
    </row>
    <row r="230">
      <c r="A230" s="28" t="inlineStr">
        <is>
          <t>Justine</t>
        </is>
      </c>
      <c r="B230" s="16">
        <f>IF($A230="","",IFERROR(INDEX(Roster!$B$2:$B$40,MATCH($A230,Roster!$A$2:$A$40,0)),"?"))</f>
        <v/>
      </c>
      <c r="C230" s="28" t="inlineStr">
        <is>
          <t>Engineering_1</t>
        </is>
      </c>
      <c r="D230" s="16">
        <f>IF($C230="","",IFERROR(IF(INDEX(Deals!$C$2:$C$355,MATCH($C230,Deals!$A$2:$A$355,0))=0,"",INDEX(Deals!$C$2:$C$355,MATCH($C230,Deals!$A$2:$A$355,0))),"?"))</f>
        <v/>
      </c>
      <c r="E230" s="16">
        <f>IF($C230="","",IFERROR(INDEX(Deals!$F$2:$F$355,MATCH($C230,Deals!$A$2:$A$355,0)),"?"))</f>
        <v/>
      </c>
      <c r="F230" s="28" t="inlineStr">
        <is>
          <t>Director</t>
        </is>
      </c>
      <c r="G230" s="28" t="inlineStr">
        <is>
          <t>Active</t>
        </is>
      </c>
      <c r="H230" s="31" t="n"/>
      <c r="I230" s="32">
        <f>IF(OR($A230="",$G230&lt;&gt;"Active"),0,IF($H230&lt;&gt;"",$H230,IF($AO230&gt;0,$AP230,IF(AND($R230&lt;&gt;"",IFERROR(INDEX(Templates!$B$3:$H$10,MATCH($R230,Templates!$A$3:$A$10,0),MATCH($F230,Templates!$B$2:$H$2,0)),0)&gt;0),INDEX(Templates!$B$3:$H$10,MATCH($R230,Templates!$A$3:$A$10,0),MATCH($F230,Templates!$B$2:$H$2,0)),IFERROR(INDEX(Settings!$B$8:$B$14,MATCH($F230,Settings!$A$8:$A$14,0)),0)))))</f>
        <v/>
      </c>
      <c r="J230" s="21">
        <f>IF($C230="",0,IFERROR(INDEX(Deals!$H$2:$H$355,MATCH($C230,Deals!$A$2:$A$355,0)),0))</f>
        <v/>
      </c>
      <c r="K230" s="32">
        <f>IF(Settings!$B$4="Yes",$I230*$J230,$I230)</f>
        <v/>
      </c>
      <c r="L230" s="22">
        <f>IF($C230="","",IFERROR(IF(INDEX(Deals!$I$2:$I$355,MATCH($C230,Deals!$A$2:$A$355,0))=0,"",INDEX(Deals!$I$2:$I$355,MATCH($C230,Deals!$A$2:$A$355,0))),""))</f>
        <v/>
      </c>
      <c r="M230" s="22">
        <f>IF($C230="","",IFERROR(IF(INDEX(Deals!$J$2:$J$355,MATCH($C230,Deals!$A$2:$A$355,0))=0,"",INDEX(Deals!$J$2:$J$355,MATCH($C230,Deals!$A$2:$A$355,0))),""))</f>
        <v/>
      </c>
      <c r="N230" s="35">
        <f>IF($L230="",DATE(1900,1,1),$L230)</f>
        <v/>
      </c>
      <c r="O230" s="35">
        <f>IF($M230="",DATE(2100,12,31),$M230)</f>
        <v/>
      </c>
      <c r="P230" s="20" t="inlineStr">
        <is>
          <t>Proposal</t>
        </is>
      </c>
      <c r="Q230" s="47" t="inlineStr"/>
      <c r="R230" s="16">
        <f>IF($C230="","",IFERROR(IF(INDEX(Deals!$U$2:$U$355,MATCH($C230,Deals!$A$2:$A$355,0))=0,"",INDEX(Deals!$U$2:$U$355,MATCH($C230,Deals!$A$2:$A$355,0))),""))</f>
        <v/>
      </c>
      <c r="S230" s="34">
        <f>IFERROR(IF($U230="",1,INDEX(Deals!$V$2:$V$355,MATCH($C230,Deals!$A$2:$A$355,0))),1)</f>
        <v/>
      </c>
      <c r="T230" s="34">
        <f>IFERROR(IF($U230="",1,INDEX(Deals!$W$2:$W$355,MATCH($C230,Deals!$A$2:$A$355,0))),1)</f>
        <v/>
      </c>
      <c r="U230" s="22">
        <f>IF($C230="","",IFERROR(IF(INDEX(Deals!$Y$2:$Y$355,MATCH($C230,Deals!$A$2:$A$355,0))=0,"",INDEX(Deals!$Y$2:$Y$355,MATCH($C230,Deals!$A$2:$A$355,0))),""))</f>
        <v/>
      </c>
      <c r="V230" s="35">
        <f>IF(OR($U230&lt;&gt;"",AND($AO230&gt;0,$L230&lt;&gt;"",$M230&lt;&gt;"")),$N230,DATE(1900,1,1))</f>
        <v/>
      </c>
      <c r="W230" s="35">
        <f>IF($U230&lt;&gt;"",$U230,IF(AND($AO230&gt;0,$L230&lt;&gt;"",$M230&lt;&gt;""),$O230,DATE(2100,12,31)))</f>
        <v/>
      </c>
      <c r="X230" s="32">
        <f>IF($U230="",$K230,$K230*$S230)</f>
        <v/>
      </c>
      <c r="Y230" s="35">
        <f>IF($U230="",DATE(2100,12,31),$U230+1)</f>
        <v/>
      </c>
      <c r="Z230" s="35">
        <f>IF($U230="",DATE(1900,1,1),$O230)</f>
        <v/>
      </c>
      <c r="AA230" s="32">
        <f>IF($U230="",0,$K230*$T230)</f>
        <v/>
      </c>
      <c r="AB230" s="21">
        <f>IF($C230="",0,IFERROR(INDEX(Deals!$AD$2:$AD$355,MATCH($C230,Deals!$A$2:$A$355,0)),0))</f>
        <v/>
      </c>
      <c r="AC230" s="32">
        <f>IF(Settings!$B$4="Yes",$I230*$AB230,$I230)</f>
        <v/>
      </c>
      <c r="AD230" s="22">
        <f>IF($C230="","",IFERROR(IF(INDEX(Deals!$AE$2:$AE$355,MATCH($C230,Deals!$A$2:$A$355,0))=0,"",INDEX(Deals!$AE$2:$AE$355,MATCH($C230,Deals!$A$2:$A$355,0))),""))</f>
        <v/>
      </c>
      <c r="AE230" s="22">
        <f>IF($C230="","",IFERROR(IF(INDEX(Deals!$AF$2:$AF$355,MATCH($C230,Deals!$A$2:$A$355,0))=0,"",INDEX(Deals!$AF$2:$AF$355,MATCH($C230,Deals!$A$2:$A$355,0))),""))</f>
        <v/>
      </c>
      <c r="AF230" s="35">
        <f>IF($AD230="",DATE(1900,1,1),$AD230)</f>
        <v/>
      </c>
      <c r="AG230" s="35">
        <f>IF($AE230="",DATE(2100,12,31),$AE230)</f>
        <v/>
      </c>
      <c r="AH230" s="22">
        <f>IF($C230="","",IFERROR(IF(INDEX(Deals!$AG$2:$AG$355,MATCH($C230,Deals!$A$2:$A$355,0))=0,"",INDEX(Deals!$AG$2:$AG$355,MATCH($C230,Deals!$A$2:$A$355,0))),""))</f>
        <v/>
      </c>
      <c r="AI230" s="35">
        <f>IF(OR($AH230&lt;&gt;"",AND($AO230&gt;0,$AD230&lt;&gt;"",$AE230&lt;&gt;"")),$AF230,DATE(1900,1,1))</f>
        <v/>
      </c>
      <c r="AJ230" s="35">
        <f>IF($AH230&lt;&gt;"",$AH230,IF(AND($AO230&gt;0,$AD230&lt;&gt;"",$AE230&lt;&gt;""),$AG230,DATE(2100,12,31)))</f>
        <v/>
      </c>
      <c r="AK230" s="32">
        <f>IF($AH230="",$AC230,$AC230*$S230)</f>
        <v/>
      </c>
      <c r="AL230" s="35">
        <f>IF($AH230="",DATE(2100,12,31),$AH230+1)</f>
        <v/>
      </c>
      <c r="AM230" s="35">
        <f>IF($AH230="",DATE(1900,1,1),$AG230)</f>
        <v/>
      </c>
      <c r="AN230" s="32">
        <f>IF($AH230="",0,$AC230*$T230)</f>
        <v/>
      </c>
      <c r="AO230" s="46">
        <f>IF($C230="",0,IFERROR(INDEX(Deals!$BD$2:$BD$355,MATCH($C230,Deals!$A$2:$A$355,0)),0))</f>
        <v/>
      </c>
      <c r="AP230" s="18">
        <f>IF($AO230=0,0,IFERROR(INDEX(Deals!$BJ$2:$BP$355,MATCH($C230,Deals!$A$2:$A$355,0),MATCH($F230,Deals!$BJ$1:$BP$1,0))/COUNTIFS(Assignments!$C$2:$C$769,$C230,Assignments!$F$2:$F$769,$F230,Assignments!$G$2:$G$769,"Active"),0))</f>
        <v/>
      </c>
    </row>
    <row r="231">
      <c r="A231" s="28" t="inlineStr">
        <is>
          <t>Justine</t>
        </is>
      </c>
      <c r="B231" s="16">
        <f>IF($A231="","",IFERROR(INDEX(Roster!$B$2:$B$40,MATCH($A231,Roster!$A$2:$A$40,0)),"?"))</f>
        <v/>
      </c>
      <c r="C231" s="28" t="inlineStr">
        <is>
          <t>EOS</t>
        </is>
      </c>
      <c r="D231" s="16">
        <f>IF($C231="","",IFERROR(IF(INDEX(Deals!$C$2:$C$355,MATCH($C231,Deals!$A$2:$A$355,0))=0,"",INDEX(Deals!$C$2:$C$355,MATCH($C231,Deals!$A$2:$A$355,0))),"?"))</f>
        <v/>
      </c>
      <c r="E231" s="16">
        <f>IF($C231="","",IFERROR(INDEX(Deals!$F$2:$F$355,MATCH($C231,Deals!$A$2:$A$355,0)),"?"))</f>
        <v/>
      </c>
      <c r="F231" s="28" t="inlineStr">
        <is>
          <t>Director</t>
        </is>
      </c>
      <c r="G231" s="28" t="inlineStr">
        <is>
          <t>Active</t>
        </is>
      </c>
      <c r="H231" s="31" t="n"/>
      <c r="I231" s="32">
        <f>IF(OR($A231="",$G231&lt;&gt;"Active"),0,IF($H231&lt;&gt;"",$H231,IF($AO231&gt;0,$AP231,IF(AND($R231&lt;&gt;"",IFERROR(INDEX(Templates!$B$3:$H$10,MATCH($R231,Templates!$A$3:$A$10,0),MATCH($F231,Templates!$B$2:$H$2,0)),0)&gt;0),INDEX(Templates!$B$3:$H$10,MATCH($R231,Templates!$A$3:$A$10,0),MATCH($F231,Templates!$B$2:$H$2,0)),IFERROR(INDEX(Settings!$B$8:$B$14,MATCH($F231,Settings!$A$8:$A$14,0)),0)))))</f>
        <v/>
      </c>
      <c r="J231" s="21">
        <f>IF($C231="",0,IFERROR(INDEX(Deals!$H$2:$H$355,MATCH($C231,Deals!$A$2:$A$355,0)),0))</f>
        <v/>
      </c>
      <c r="K231" s="32">
        <f>IF(Settings!$B$4="Yes",$I231*$J231,$I231)</f>
        <v/>
      </c>
      <c r="L231" s="22">
        <f>IF($C231="","",IFERROR(IF(INDEX(Deals!$I$2:$I$355,MATCH($C231,Deals!$A$2:$A$355,0))=0,"",INDEX(Deals!$I$2:$I$355,MATCH($C231,Deals!$A$2:$A$355,0))),""))</f>
        <v/>
      </c>
      <c r="M231" s="22">
        <f>IF($C231="","",IFERROR(IF(INDEX(Deals!$J$2:$J$355,MATCH($C231,Deals!$A$2:$A$355,0))=0,"",INDEX(Deals!$J$2:$J$355,MATCH($C231,Deals!$A$2:$A$355,0))),""))</f>
        <v/>
      </c>
      <c r="N231" s="35">
        <f>IF($L231="",DATE(1900,1,1),$L231)</f>
        <v/>
      </c>
      <c r="O231" s="35">
        <f>IF($M231="",DATE(2100,12,31),$M231)</f>
        <v/>
      </c>
      <c r="P231" s="20" t="inlineStr">
        <is>
          <t>Ongoing</t>
        </is>
      </c>
      <c r="Q231" s="47" t="inlineStr">
        <is>
          <t>Added from Summary tab</t>
        </is>
      </c>
      <c r="R231" s="16">
        <f>IF($C231="","",IFERROR(IF(INDEX(Deals!$U$2:$U$355,MATCH($C231,Deals!$A$2:$A$355,0))=0,"",INDEX(Deals!$U$2:$U$355,MATCH($C231,Deals!$A$2:$A$355,0))),""))</f>
        <v/>
      </c>
      <c r="S231" s="34">
        <f>IFERROR(IF($U231="",1,INDEX(Deals!$V$2:$V$355,MATCH($C231,Deals!$A$2:$A$355,0))),1)</f>
        <v/>
      </c>
      <c r="T231" s="34">
        <f>IFERROR(IF($U231="",1,INDEX(Deals!$W$2:$W$355,MATCH($C231,Deals!$A$2:$A$355,0))),1)</f>
        <v/>
      </c>
      <c r="U231" s="22">
        <f>IF($C231="","",IFERROR(IF(INDEX(Deals!$Y$2:$Y$355,MATCH($C231,Deals!$A$2:$A$355,0))=0,"",INDEX(Deals!$Y$2:$Y$355,MATCH($C231,Deals!$A$2:$A$355,0))),""))</f>
        <v/>
      </c>
      <c r="V231" s="35">
        <f>IF(OR($U231&lt;&gt;"",AND($AO231&gt;0,$L231&lt;&gt;"",$M231&lt;&gt;"")),$N231,DATE(1900,1,1))</f>
        <v/>
      </c>
      <c r="W231" s="35">
        <f>IF($U231&lt;&gt;"",$U231,IF(AND($AO231&gt;0,$L231&lt;&gt;"",$M231&lt;&gt;""),$O231,DATE(2100,12,31)))</f>
        <v/>
      </c>
      <c r="X231" s="32">
        <f>IF($U231="",$K231,$K231*$S231)</f>
        <v/>
      </c>
      <c r="Y231" s="35">
        <f>IF($U231="",DATE(2100,12,31),$U231+1)</f>
        <v/>
      </c>
      <c r="Z231" s="35">
        <f>IF($U231="",DATE(1900,1,1),$O231)</f>
        <v/>
      </c>
      <c r="AA231" s="32">
        <f>IF($U231="",0,$K231*$T231)</f>
        <v/>
      </c>
      <c r="AB231" s="21">
        <f>IF($C231="",0,IFERROR(INDEX(Deals!$AD$2:$AD$355,MATCH($C231,Deals!$A$2:$A$355,0)),0))</f>
        <v/>
      </c>
      <c r="AC231" s="32">
        <f>IF(Settings!$B$4="Yes",$I231*$AB231,$I231)</f>
        <v/>
      </c>
      <c r="AD231" s="22">
        <f>IF($C231="","",IFERROR(IF(INDEX(Deals!$AE$2:$AE$355,MATCH($C231,Deals!$A$2:$A$355,0))=0,"",INDEX(Deals!$AE$2:$AE$355,MATCH($C231,Deals!$A$2:$A$355,0))),""))</f>
        <v/>
      </c>
      <c r="AE231" s="22">
        <f>IF($C231="","",IFERROR(IF(INDEX(Deals!$AF$2:$AF$355,MATCH($C231,Deals!$A$2:$A$355,0))=0,"",INDEX(Deals!$AF$2:$AF$355,MATCH($C231,Deals!$A$2:$A$355,0))),""))</f>
        <v/>
      </c>
      <c r="AF231" s="35">
        <f>IF($AD231="",DATE(1900,1,1),$AD231)</f>
        <v/>
      </c>
      <c r="AG231" s="35">
        <f>IF($AE231="",DATE(2100,12,31),$AE231)</f>
        <v/>
      </c>
      <c r="AH231" s="22">
        <f>IF($C231="","",IFERROR(IF(INDEX(Deals!$AG$2:$AG$355,MATCH($C231,Deals!$A$2:$A$355,0))=0,"",INDEX(Deals!$AG$2:$AG$355,MATCH($C231,Deals!$A$2:$A$355,0))),""))</f>
        <v/>
      </c>
      <c r="AI231" s="35">
        <f>IF(OR($AH231&lt;&gt;"",AND($AO231&gt;0,$AD231&lt;&gt;"",$AE231&lt;&gt;"")),$AF231,DATE(1900,1,1))</f>
        <v/>
      </c>
      <c r="AJ231" s="35">
        <f>IF($AH231&lt;&gt;"",$AH231,IF(AND($AO231&gt;0,$AD231&lt;&gt;"",$AE231&lt;&gt;""),$AG231,DATE(2100,12,31)))</f>
        <v/>
      </c>
      <c r="AK231" s="32">
        <f>IF($AH231="",$AC231,$AC231*$S231)</f>
        <v/>
      </c>
      <c r="AL231" s="35">
        <f>IF($AH231="",DATE(2100,12,31),$AH231+1)</f>
        <v/>
      </c>
      <c r="AM231" s="35">
        <f>IF($AH231="",DATE(1900,1,1),$AG231)</f>
        <v/>
      </c>
      <c r="AN231" s="32">
        <f>IF($AH231="",0,$AC231*$T231)</f>
        <v/>
      </c>
      <c r="AO231" s="46">
        <f>IF($C231="",0,IFERROR(INDEX(Deals!$BD$2:$BD$355,MATCH($C231,Deals!$A$2:$A$355,0)),0))</f>
        <v/>
      </c>
      <c r="AP231" s="18">
        <f>IF($AO231=0,0,IFERROR(INDEX(Deals!$BJ$2:$BP$355,MATCH($C231,Deals!$A$2:$A$355,0),MATCH($F231,Deals!$BJ$1:$BP$1,0))/COUNTIFS(Assignments!$C$2:$C$769,$C231,Assignments!$F$2:$F$769,$F231,Assignments!$G$2:$G$769,"Active"),0))</f>
        <v/>
      </c>
    </row>
    <row r="232">
      <c r="A232" s="28" t="inlineStr">
        <is>
          <t>Justine</t>
        </is>
      </c>
      <c r="B232" s="16">
        <f>IF($A232="","",IFERROR(INDEX(Roster!$B$2:$B$40,MATCH($A232,Roster!$A$2:$A$40,0)),"?"))</f>
        <v/>
      </c>
      <c r="C232" s="28" t="inlineStr">
        <is>
          <t>EV3</t>
        </is>
      </c>
      <c r="D232" s="16">
        <f>IF($C232="","",IFERROR(IF(INDEX(Deals!$C$2:$C$355,MATCH($C232,Deals!$A$2:$A$355,0))=0,"",INDEX(Deals!$C$2:$C$355,MATCH($C232,Deals!$A$2:$A$355,0))),"?"))</f>
        <v/>
      </c>
      <c r="E232" s="16">
        <f>IF($C232="","",IFERROR(INDEX(Deals!$F$2:$F$355,MATCH($C232,Deals!$A$2:$A$355,0)),"?"))</f>
        <v/>
      </c>
      <c r="F232" s="28" t="inlineStr">
        <is>
          <t>Director</t>
        </is>
      </c>
      <c r="G232" s="28" t="inlineStr">
        <is>
          <t>Active</t>
        </is>
      </c>
      <c r="H232" s="31" t="n"/>
      <c r="I232" s="32">
        <f>IF(OR($A232="",$G232&lt;&gt;"Active"),0,IF($H232&lt;&gt;"",$H232,IF($AO232&gt;0,$AP232,IF(AND($R232&lt;&gt;"",IFERROR(INDEX(Templates!$B$3:$H$10,MATCH($R232,Templates!$A$3:$A$10,0),MATCH($F232,Templates!$B$2:$H$2,0)),0)&gt;0),INDEX(Templates!$B$3:$H$10,MATCH($R232,Templates!$A$3:$A$10,0),MATCH($F232,Templates!$B$2:$H$2,0)),IFERROR(INDEX(Settings!$B$8:$B$14,MATCH($F232,Settings!$A$8:$A$14,0)),0)))))</f>
        <v/>
      </c>
      <c r="J232" s="21">
        <f>IF($C232="",0,IFERROR(INDEX(Deals!$H$2:$H$355,MATCH($C232,Deals!$A$2:$A$355,0)),0))</f>
        <v/>
      </c>
      <c r="K232" s="32">
        <f>IF(Settings!$B$4="Yes",$I232*$J232,$I232)</f>
        <v/>
      </c>
      <c r="L232" s="22">
        <f>IF($C232="","",IFERROR(IF(INDEX(Deals!$I$2:$I$355,MATCH($C232,Deals!$A$2:$A$355,0))=0,"",INDEX(Deals!$I$2:$I$355,MATCH($C232,Deals!$A$2:$A$355,0))),""))</f>
        <v/>
      </c>
      <c r="M232" s="22">
        <f>IF($C232="","",IFERROR(IF(INDEX(Deals!$J$2:$J$355,MATCH($C232,Deals!$A$2:$A$355,0))=0,"",INDEX(Deals!$J$2:$J$355,MATCH($C232,Deals!$A$2:$A$355,0))),""))</f>
        <v/>
      </c>
      <c r="N232" s="35">
        <f>IF($L232="",DATE(1900,1,1),$L232)</f>
        <v/>
      </c>
      <c r="O232" s="35">
        <f>IF($M232="",DATE(2100,12,31),$M232)</f>
        <v/>
      </c>
      <c r="P232" s="20" t="inlineStr">
        <is>
          <t>Proposal</t>
        </is>
      </c>
      <c r="Q232" s="47" t="inlineStr">
        <is>
          <t>Added from Summary tab</t>
        </is>
      </c>
      <c r="R232" s="16">
        <f>IF($C232="","",IFERROR(IF(INDEX(Deals!$U$2:$U$355,MATCH($C232,Deals!$A$2:$A$355,0))=0,"",INDEX(Deals!$U$2:$U$355,MATCH($C232,Deals!$A$2:$A$355,0))),""))</f>
        <v/>
      </c>
      <c r="S232" s="34">
        <f>IFERROR(IF($U232="",1,INDEX(Deals!$V$2:$V$355,MATCH($C232,Deals!$A$2:$A$355,0))),1)</f>
        <v/>
      </c>
      <c r="T232" s="34">
        <f>IFERROR(IF($U232="",1,INDEX(Deals!$W$2:$W$355,MATCH($C232,Deals!$A$2:$A$355,0))),1)</f>
        <v/>
      </c>
      <c r="U232" s="22">
        <f>IF($C232="","",IFERROR(IF(INDEX(Deals!$Y$2:$Y$355,MATCH($C232,Deals!$A$2:$A$355,0))=0,"",INDEX(Deals!$Y$2:$Y$355,MATCH($C232,Deals!$A$2:$A$355,0))),""))</f>
        <v/>
      </c>
      <c r="V232" s="35">
        <f>IF(OR($U232&lt;&gt;"",AND($AO232&gt;0,$L232&lt;&gt;"",$M232&lt;&gt;"")),$N232,DATE(1900,1,1))</f>
        <v/>
      </c>
      <c r="W232" s="35">
        <f>IF($U232&lt;&gt;"",$U232,IF(AND($AO232&gt;0,$L232&lt;&gt;"",$M232&lt;&gt;""),$O232,DATE(2100,12,31)))</f>
        <v/>
      </c>
      <c r="X232" s="32">
        <f>IF($U232="",$K232,$K232*$S232)</f>
        <v/>
      </c>
      <c r="Y232" s="35">
        <f>IF($U232="",DATE(2100,12,31),$U232+1)</f>
        <v/>
      </c>
      <c r="Z232" s="35">
        <f>IF($U232="",DATE(1900,1,1),$O232)</f>
        <v/>
      </c>
      <c r="AA232" s="32">
        <f>IF($U232="",0,$K232*$T232)</f>
        <v/>
      </c>
      <c r="AB232" s="21">
        <f>IF($C232="",0,IFERROR(INDEX(Deals!$AD$2:$AD$355,MATCH($C232,Deals!$A$2:$A$355,0)),0))</f>
        <v/>
      </c>
      <c r="AC232" s="32">
        <f>IF(Settings!$B$4="Yes",$I232*$AB232,$I232)</f>
        <v/>
      </c>
      <c r="AD232" s="22">
        <f>IF($C232="","",IFERROR(IF(INDEX(Deals!$AE$2:$AE$355,MATCH($C232,Deals!$A$2:$A$355,0))=0,"",INDEX(Deals!$AE$2:$AE$355,MATCH($C232,Deals!$A$2:$A$355,0))),""))</f>
        <v/>
      </c>
      <c r="AE232" s="22">
        <f>IF($C232="","",IFERROR(IF(INDEX(Deals!$AF$2:$AF$355,MATCH($C232,Deals!$A$2:$A$355,0))=0,"",INDEX(Deals!$AF$2:$AF$355,MATCH($C232,Deals!$A$2:$A$355,0))),""))</f>
        <v/>
      </c>
      <c r="AF232" s="35">
        <f>IF($AD232="",DATE(1900,1,1),$AD232)</f>
        <v/>
      </c>
      <c r="AG232" s="35">
        <f>IF($AE232="",DATE(2100,12,31),$AE232)</f>
        <v/>
      </c>
      <c r="AH232" s="22">
        <f>IF($C232="","",IFERROR(IF(INDEX(Deals!$AG$2:$AG$355,MATCH($C232,Deals!$A$2:$A$355,0))=0,"",INDEX(Deals!$AG$2:$AG$355,MATCH($C232,Deals!$A$2:$A$355,0))),""))</f>
        <v/>
      </c>
      <c r="AI232" s="35">
        <f>IF(OR($AH232&lt;&gt;"",AND($AO232&gt;0,$AD232&lt;&gt;"",$AE232&lt;&gt;"")),$AF232,DATE(1900,1,1))</f>
        <v/>
      </c>
      <c r="AJ232" s="35">
        <f>IF($AH232&lt;&gt;"",$AH232,IF(AND($AO232&gt;0,$AD232&lt;&gt;"",$AE232&lt;&gt;""),$AG232,DATE(2100,12,31)))</f>
        <v/>
      </c>
      <c r="AK232" s="32">
        <f>IF($AH232="",$AC232,$AC232*$S232)</f>
        <v/>
      </c>
      <c r="AL232" s="35">
        <f>IF($AH232="",DATE(2100,12,31),$AH232+1)</f>
        <v/>
      </c>
      <c r="AM232" s="35">
        <f>IF($AH232="",DATE(1900,1,1),$AG232)</f>
        <v/>
      </c>
      <c r="AN232" s="32">
        <f>IF($AH232="",0,$AC232*$T232)</f>
        <v/>
      </c>
      <c r="AO232" s="46">
        <f>IF($C232="",0,IFERROR(INDEX(Deals!$BD$2:$BD$355,MATCH($C232,Deals!$A$2:$A$355,0)),0))</f>
        <v/>
      </c>
      <c r="AP232" s="18">
        <f>IF($AO232=0,0,IFERROR(INDEX(Deals!$BJ$2:$BP$355,MATCH($C232,Deals!$A$2:$A$355,0),MATCH($F232,Deals!$BJ$1:$BP$1,0))/COUNTIFS(Assignments!$C$2:$C$769,$C232,Assignments!$F$2:$F$769,$F232,Assignments!$G$2:$G$769,"Active"),0))</f>
        <v/>
      </c>
    </row>
    <row r="233">
      <c r="A233" s="28" t="inlineStr">
        <is>
          <t>Justine</t>
        </is>
      </c>
      <c r="B233" s="16">
        <f>IF($A233="","",IFERROR(INDEX(Roster!$B$2:$B$40,MATCH($A233,Roster!$A$2:$A$40,0)),"?"))</f>
        <v/>
      </c>
      <c r="C233" s="28" t="inlineStr">
        <is>
          <t>FAUME US Expansion_1</t>
        </is>
      </c>
      <c r="D233" s="16">
        <f>IF($C233="","",IFERROR(IF(INDEX(Deals!$C$2:$C$355,MATCH($C233,Deals!$A$2:$A$355,0))=0,"",INDEX(Deals!$C$2:$C$355,MATCH($C233,Deals!$A$2:$A$355,0))),"?"))</f>
        <v/>
      </c>
      <c r="E233" s="16">
        <f>IF($C233="","",IFERROR(INDEX(Deals!$F$2:$F$355,MATCH($C233,Deals!$A$2:$A$355,0)),"?"))</f>
        <v/>
      </c>
      <c r="F233" s="28" t="inlineStr">
        <is>
          <t>Director</t>
        </is>
      </c>
      <c r="G233" s="28" t="inlineStr">
        <is>
          <t>Active</t>
        </is>
      </c>
      <c r="H233" s="31" t="n"/>
      <c r="I233" s="32">
        <f>IF(OR($A233="",$G233&lt;&gt;"Active"),0,IF($H233&lt;&gt;"",$H233,IF($AO233&gt;0,$AP233,IF(AND($R233&lt;&gt;"",IFERROR(INDEX(Templates!$B$3:$H$10,MATCH($R233,Templates!$A$3:$A$10,0),MATCH($F233,Templates!$B$2:$H$2,0)),0)&gt;0),INDEX(Templates!$B$3:$H$10,MATCH($R233,Templates!$A$3:$A$10,0),MATCH($F233,Templates!$B$2:$H$2,0)),IFERROR(INDEX(Settings!$B$8:$B$14,MATCH($F233,Settings!$A$8:$A$14,0)),0)))))</f>
        <v/>
      </c>
      <c r="J233" s="21">
        <f>IF($C233="",0,IFERROR(INDEX(Deals!$H$2:$H$355,MATCH($C233,Deals!$A$2:$A$355,0)),0))</f>
        <v/>
      </c>
      <c r="K233" s="32">
        <f>IF(Settings!$B$4="Yes",$I233*$J233,$I233)</f>
        <v/>
      </c>
      <c r="L233" s="22">
        <f>IF($C233="","",IFERROR(IF(INDEX(Deals!$I$2:$I$355,MATCH($C233,Deals!$A$2:$A$355,0))=0,"",INDEX(Deals!$I$2:$I$355,MATCH($C233,Deals!$A$2:$A$355,0))),""))</f>
        <v/>
      </c>
      <c r="M233" s="22">
        <f>IF($C233="","",IFERROR(IF(INDEX(Deals!$J$2:$J$355,MATCH($C233,Deals!$A$2:$A$355,0))=0,"",INDEX(Deals!$J$2:$J$355,MATCH($C233,Deals!$A$2:$A$355,0))),""))</f>
        <v/>
      </c>
      <c r="N233" s="35">
        <f>IF($L233="",DATE(1900,1,1),$L233)</f>
        <v/>
      </c>
      <c r="O233" s="35">
        <f>IF($M233="",DATE(2100,12,31),$M233)</f>
        <v/>
      </c>
      <c r="P233" s="20" t="inlineStr">
        <is>
          <t>Proposal</t>
        </is>
      </c>
      <c r="Q233" s="47" t="inlineStr"/>
      <c r="R233" s="16">
        <f>IF($C233="","",IFERROR(IF(INDEX(Deals!$U$2:$U$355,MATCH($C233,Deals!$A$2:$A$355,0))=0,"",INDEX(Deals!$U$2:$U$355,MATCH($C233,Deals!$A$2:$A$355,0))),""))</f>
        <v/>
      </c>
      <c r="S233" s="34">
        <f>IFERROR(IF($U233="",1,INDEX(Deals!$V$2:$V$355,MATCH($C233,Deals!$A$2:$A$355,0))),1)</f>
        <v/>
      </c>
      <c r="T233" s="34">
        <f>IFERROR(IF($U233="",1,INDEX(Deals!$W$2:$W$355,MATCH($C233,Deals!$A$2:$A$355,0))),1)</f>
        <v/>
      </c>
      <c r="U233" s="22">
        <f>IF($C233="","",IFERROR(IF(INDEX(Deals!$Y$2:$Y$355,MATCH($C233,Deals!$A$2:$A$355,0))=0,"",INDEX(Deals!$Y$2:$Y$355,MATCH($C233,Deals!$A$2:$A$355,0))),""))</f>
        <v/>
      </c>
      <c r="V233" s="35">
        <f>IF(OR($U233&lt;&gt;"",AND($AO233&gt;0,$L233&lt;&gt;"",$M233&lt;&gt;"")),$N233,DATE(1900,1,1))</f>
        <v/>
      </c>
      <c r="W233" s="35">
        <f>IF($U233&lt;&gt;"",$U233,IF(AND($AO233&gt;0,$L233&lt;&gt;"",$M233&lt;&gt;""),$O233,DATE(2100,12,31)))</f>
        <v/>
      </c>
      <c r="X233" s="32">
        <f>IF($U233="",$K233,$K233*$S233)</f>
        <v/>
      </c>
      <c r="Y233" s="35">
        <f>IF($U233="",DATE(2100,12,31),$U233+1)</f>
        <v/>
      </c>
      <c r="Z233" s="35">
        <f>IF($U233="",DATE(1900,1,1),$O233)</f>
        <v/>
      </c>
      <c r="AA233" s="32">
        <f>IF($U233="",0,$K233*$T233)</f>
        <v/>
      </c>
      <c r="AB233" s="21">
        <f>IF($C233="",0,IFERROR(INDEX(Deals!$AD$2:$AD$355,MATCH($C233,Deals!$A$2:$A$355,0)),0))</f>
        <v/>
      </c>
      <c r="AC233" s="32">
        <f>IF(Settings!$B$4="Yes",$I233*$AB233,$I233)</f>
        <v/>
      </c>
      <c r="AD233" s="22">
        <f>IF($C233="","",IFERROR(IF(INDEX(Deals!$AE$2:$AE$355,MATCH($C233,Deals!$A$2:$A$355,0))=0,"",INDEX(Deals!$AE$2:$AE$355,MATCH($C233,Deals!$A$2:$A$355,0))),""))</f>
        <v/>
      </c>
      <c r="AE233" s="22">
        <f>IF($C233="","",IFERROR(IF(INDEX(Deals!$AF$2:$AF$355,MATCH($C233,Deals!$A$2:$A$355,0))=0,"",INDEX(Deals!$AF$2:$AF$355,MATCH($C233,Deals!$A$2:$A$355,0))),""))</f>
        <v/>
      </c>
      <c r="AF233" s="35">
        <f>IF($AD233="",DATE(1900,1,1),$AD233)</f>
        <v/>
      </c>
      <c r="AG233" s="35">
        <f>IF($AE233="",DATE(2100,12,31),$AE233)</f>
        <v/>
      </c>
      <c r="AH233" s="22">
        <f>IF($C233="","",IFERROR(IF(INDEX(Deals!$AG$2:$AG$355,MATCH($C233,Deals!$A$2:$A$355,0))=0,"",INDEX(Deals!$AG$2:$AG$355,MATCH($C233,Deals!$A$2:$A$355,0))),""))</f>
        <v/>
      </c>
      <c r="AI233" s="35">
        <f>IF(OR($AH233&lt;&gt;"",AND($AO233&gt;0,$AD233&lt;&gt;"",$AE233&lt;&gt;"")),$AF233,DATE(1900,1,1))</f>
        <v/>
      </c>
      <c r="AJ233" s="35">
        <f>IF($AH233&lt;&gt;"",$AH233,IF(AND($AO233&gt;0,$AD233&lt;&gt;"",$AE233&lt;&gt;""),$AG233,DATE(2100,12,31)))</f>
        <v/>
      </c>
      <c r="AK233" s="32">
        <f>IF($AH233="",$AC233,$AC233*$S233)</f>
        <v/>
      </c>
      <c r="AL233" s="35">
        <f>IF($AH233="",DATE(2100,12,31),$AH233+1)</f>
        <v/>
      </c>
      <c r="AM233" s="35">
        <f>IF($AH233="",DATE(1900,1,1),$AG233)</f>
        <v/>
      </c>
      <c r="AN233" s="32">
        <f>IF($AH233="",0,$AC233*$T233)</f>
        <v/>
      </c>
      <c r="AO233" s="46">
        <f>IF($C233="",0,IFERROR(INDEX(Deals!$BD$2:$BD$355,MATCH($C233,Deals!$A$2:$A$355,0)),0))</f>
        <v/>
      </c>
      <c r="AP233" s="18">
        <f>IF($AO233=0,0,IFERROR(INDEX(Deals!$BJ$2:$BP$355,MATCH($C233,Deals!$A$2:$A$355,0),MATCH($F233,Deals!$BJ$1:$BP$1,0))/COUNTIFS(Assignments!$C$2:$C$769,$C233,Assignments!$F$2:$F$769,$F233,Assignments!$G$2:$G$769,"Active"),0))</f>
        <v/>
      </c>
    </row>
    <row r="234">
      <c r="A234" s="28" t="inlineStr">
        <is>
          <t>Justine</t>
        </is>
      </c>
      <c r="B234" s="16">
        <f>IF($A234="","",IFERROR(INDEX(Roster!$B$2:$B$40,MATCH($A234,Roster!$A$2:$A$40,0)),"?"))</f>
        <v/>
      </c>
      <c r="C234" s="28" t="inlineStr">
        <is>
          <t>Geneseo_1</t>
        </is>
      </c>
      <c r="D234" s="16">
        <f>IF($C234="","",IFERROR(IF(INDEX(Deals!$C$2:$C$355,MATCH($C234,Deals!$A$2:$A$355,0))=0,"",INDEX(Deals!$C$2:$C$355,MATCH($C234,Deals!$A$2:$A$355,0))),"?"))</f>
        <v/>
      </c>
      <c r="E234" s="16">
        <f>IF($C234="","",IFERROR(INDEX(Deals!$F$2:$F$355,MATCH($C234,Deals!$A$2:$A$355,0)),"?"))</f>
        <v/>
      </c>
      <c r="F234" s="28" t="inlineStr">
        <is>
          <t>Director</t>
        </is>
      </c>
      <c r="G234" s="28" t="inlineStr">
        <is>
          <t>Active</t>
        </is>
      </c>
      <c r="H234" s="31" t="n"/>
      <c r="I234" s="32">
        <f>IF(OR($A234="",$G234&lt;&gt;"Active"),0,IF($H234&lt;&gt;"",$H234,IF($AO234&gt;0,$AP234,IF(AND($R234&lt;&gt;"",IFERROR(INDEX(Templates!$B$3:$H$10,MATCH($R234,Templates!$A$3:$A$10,0),MATCH($F234,Templates!$B$2:$H$2,0)),0)&gt;0),INDEX(Templates!$B$3:$H$10,MATCH($R234,Templates!$A$3:$A$10,0),MATCH($F234,Templates!$B$2:$H$2,0)),IFERROR(INDEX(Settings!$B$8:$B$14,MATCH($F234,Settings!$A$8:$A$14,0)),0)))))</f>
        <v/>
      </c>
      <c r="J234" s="21">
        <f>IF($C234="",0,IFERROR(INDEX(Deals!$H$2:$H$355,MATCH($C234,Deals!$A$2:$A$355,0)),0))</f>
        <v/>
      </c>
      <c r="K234" s="32">
        <f>IF(Settings!$B$4="Yes",$I234*$J234,$I234)</f>
        <v/>
      </c>
      <c r="L234" s="22">
        <f>IF($C234="","",IFERROR(IF(INDEX(Deals!$I$2:$I$355,MATCH($C234,Deals!$A$2:$A$355,0))=0,"",INDEX(Deals!$I$2:$I$355,MATCH($C234,Deals!$A$2:$A$355,0))),""))</f>
        <v/>
      </c>
      <c r="M234" s="22">
        <f>IF($C234="","",IFERROR(IF(INDEX(Deals!$J$2:$J$355,MATCH($C234,Deals!$A$2:$A$355,0))=0,"",INDEX(Deals!$J$2:$J$355,MATCH($C234,Deals!$A$2:$A$355,0))),""))</f>
        <v/>
      </c>
      <c r="N234" s="35">
        <f>IF($L234="",DATE(1900,1,1),$L234)</f>
        <v/>
      </c>
      <c r="O234" s="35">
        <f>IF($M234="",DATE(2100,12,31),$M234)</f>
        <v/>
      </c>
      <c r="P234" s="20" t="inlineStr">
        <is>
          <t>Ongoing</t>
        </is>
      </c>
      <c r="Q234" s="47" t="inlineStr"/>
      <c r="R234" s="16">
        <f>IF($C234="","",IFERROR(IF(INDEX(Deals!$U$2:$U$355,MATCH($C234,Deals!$A$2:$A$355,0))=0,"",INDEX(Deals!$U$2:$U$355,MATCH($C234,Deals!$A$2:$A$355,0))),""))</f>
        <v/>
      </c>
      <c r="S234" s="34">
        <f>IFERROR(IF($U234="",1,INDEX(Deals!$V$2:$V$355,MATCH($C234,Deals!$A$2:$A$355,0))),1)</f>
        <v/>
      </c>
      <c r="T234" s="34">
        <f>IFERROR(IF($U234="",1,INDEX(Deals!$W$2:$W$355,MATCH($C234,Deals!$A$2:$A$355,0))),1)</f>
        <v/>
      </c>
      <c r="U234" s="22">
        <f>IF($C234="","",IFERROR(IF(INDEX(Deals!$Y$2:$Y$355,MATCH($C234,Deals!$A$2:$A$355,0))=0,"",INDEX(Deals!$Y$2:$Y$355,MATCH($C234,Deals!$A$2:$A$355,0))),""))</f>
        <v/>
      </c>
      <c r="V234" s="35">
        <f>IF(OR($U234&lt;&gt;"",AND($AO234&gt;0,$L234&lt;&gt;"",$M234&lt;&gt;"")),$N234,DATE(1900,1,1))</f>
        <v/>
      </c>
      <c r="W234" s="35">
        <f>IF($U234&lt;&gt;"",$U234,IF(AND($AO234&gt;0,$L234&lt;&gt;"",$M234&lt;&gt;""),$O234,DATE(2100,12,31)))</f>
        <v/>
      </c>
      <c r="X234" s="32">
        <f>IF($U234="",$K234,$K234*$S234)</f>
        <v/>
      </c>
      <c r="Y234" s="35">
        <f>IF($U234="",DATE(2100,12,31),$U234+1)</f>
        <v/>
      </c>
      <c r="Z234" s="35">
        <f>IF($U234="",DATE(1900,1,1),$O234)</f>
        <v/>
      </c>
      <c r="AA234" s="32">
        <f>IF($U234="",0,$K234*$T234)</f>
        <v/>
      </c>
      <c r="AB234" s="21">
        <f>IF($C234="",0,IFERROR(INDEX(Deals!$AD$2:$AD$355,MATCH($C234,Deals!$A$2:$A$355,0)),0))</f>
        <v/>
      </c>
      <c r="AC234" s="32">
        <f>IF(Settings!$B$4="Yes",$I234*$AB234,$I234)</f>
        <v/>
      </c>
      <c r="AD234" s="22">
        <f>IF($C234="","",IFERROR(IF(INDEX(Deals!$AE$2:$AE$355,MATCH($C234,Deals!$A$2:$A$355,0))=0,"",INDEX(Deals!$AE$2:$AE$355,MATCH($C234,Deals!$A$2:$A$355,0))),""))</f>
        <v/>
      </c>
      <c r="AE234" s="22">
        <f>IF($C234="","",IFERROR(IF(INDEX(Deals!$AF$2:$AF$355,MATCH($C234,Deals!$A$2:$A$355,0))=0,"",INDEX(Deals!$AF$2:$AF$355,MATCH($C234,Deals!$A$2:$A$355,0))),""))</f>
        <v/>
      </c>
      <c r="AF234" s="35">
        <f>IF($AD234="",DATE(1900,1,1),$AD234)</f>
        <v/>
      </c>
      <c r="AG234" s="35">
        <f>IF($AE234="",DATE(2100,12,31),$AE234)</f>
        <v/>
      </c>
      <c r="AH234" s="22">
        <f>IF($C234="","",IFERROR(IF(INDEX(Deals!$AG$2:$AG$355,MATCH($C234,Deals!$A$2:$A$355,0))=0,"",INDEX(Deals!$AG$2:$AG$355,MATCH($C234,Deals!$A$2:$A$355,0))),""))</f>
        <v/>
      </c>
      <c r="AI234" s="35">
        <f>IF(OR($AH234&lt;&gt;"",AND($AO234&gt;0,$AD234&lt;&gt;"",$AE234&lt;&gt;"")),$AF234,DATE(1900,1,1))</f>
        <v/>
      </c>
      <c r="AJ234" s="35">
        <f>IF($AH234&lt;&gt;"",$AH234,IF(AND($AO234&gt;0,$AD234&lt;&gt;"",$AE234&lt;&gt;""),$AG234,DATE(2100,12,31)))</f>
        <v/>
      </c>
      <c r="AK234" s="32">
        <f>IF($AH234="",$AC234,$AC234*$S234)</f>
        <v/>
      </c>
      <c r="AL234" s="35">
        <f>IF($AH234="",DATE(2100,12,31),$AH234+1)</f>
        <v/>
      </c>
      <c r="AM234" s="35">
        <f>IF($AH234="",DATE(1900,1,1),$AG234)</f>
        <v/>
      </c>
      <c r="AN234" s="32">
        <f>IF($AH234="",0,$AC234*$T234)</f>
        <v/>
      </c>
      <c r="AO234" s="46">
        <f>IF($C234="",0,IFERROR(INDEX(Deals!$BD$2:$BD$355,MATCH($C234,Deals!$A$2:$A$355,0)),0))</f>
        <v/>
      </c>
      <c r="AP234" s="18">
        <f>IF($AO234=0,0,IFERROR(INDEX(Deals!$BJ$2:$BP$355,MATCH($C234,Deals!$A$2:$A$355,0),MATCH($F234,Deals!$BJ$1:$BP$1,0))/COUNTIFS(Assignments!$C$2:$C$769,$C234,Assignments!$F$2:$F$769,$F234,Assignments!$G$2:$G$769,"Active"),0))</f>
        <v/>
      </c>
    </row>
    <row r="235">
      <c r="A235" s="28" t="inlineStr">
        <is>
          <t>Justine</t>
        </is>
      </c>
      <c r="B235" s="16">
        <f>IF($A235="","",IFERROR(INDEX(Roster!$B$2:$B$40,MATCH($A235,Roster!$A$2:$A$40,0)),"?"))</f>
        <v/>
      </c>
      <c r="C235" s="28" t="inlineStr">
        <is>
          <t>Gerflor REORG</t>
        </is>
      </c>
      <c r="D235" s="16">
        <f>IF($C235="","",IFERROR(IF(INDEX(Deals!$C$2:$C$355,MATCH($C235,Deals!$A$2:$A$355,0))=0,"",INDEX(Deals!$C$2:$C$355,MATCH($C235,Deals!$A$2:$A$355,0))),"?"))</f>
        <v/>
      </c>
      <c r="E235" s="16">
        <f>IF($C235="","",IFERROR(INDEX(Deals!$F$2:$F$355,MATCH($C235,Deals!$A$2:$A$355,0)),"?"))</f>
        <v/>
      </c>
      <c r="F235" s="28" t="inlineStr">
        <is>
          <t>Director</t>
        </is>
      </c>
      <c r="G235" s="28" t="inlineStr">
        <is>
          <t>Active</t>
        </is>
      </c>
      <c r="H235" s="31" t="n"/>
      <c r="I235" s="32">
        <f>IF(OR($A235="",$G235&lt;&gt;"Active"),0,IF($H235&lt;&gt;"",$H235,IF($AO235&gt;0,$AP235,IF(AND($R235&lt;&gt;"",IFERROR(INDEX(Templates!$B$3:$H$10,MATCH($R235,Templates!$A$3:$A$10,0),MATCH($F235,Templates!$B$2:$H$2,0)),0)&gt;0),INDEX(Templates!$B$3:$H$10,MATCH($R235,Templates!$A$3:$A$10,0),MATCH($F235,Templates!$B$2:$H$2,0)),IFERROR(INDEX(Settings!$B$8:$B$14,MATCH($F235,Settings!$A$8:$A$14,0)),0)))))</f>
        <v/>
      </c>
      <c r="J235" s="21">
        <f>IF($C235="",0,IFERROR(INDEX(Deals!$H$2:$H$355,MATCH($C235,Deals!$A$2:$A$355,0)),0))</f>
        <v/>
      </c>
      <c r="K235" s="32">
        <f>IF(Settings!$B$4="Yes",$I235*$J235,$I235)</f>
        <v/>
      </c>
      <c r="L235" s="22">
        <f>IF($C235="","",IFERROR(IF(INDEX(Deals!$I$2:$I$355,MATCH($C235,Deals!$A$2:$A$355,0))=0,"",INDEX(Deals!$I$2:$I$355,MATCH($C235,Deals!$A$2:$A$355,0))),""))</f>
        <v/>
      </c>
      <c r="M235" s="22">
        <f>IF($C235="","",IFERROR(IF(INDEX(Deals!$J$2:$J$355,MATCH($C235,Deals!$A$2:$A$355,0))=0,"",INDEX(Deals!$J$2:$J$355,MATCH($C235,Deals!$A$2:$A$355,0))),""))</f>
        <v/>
      </c>
      <c r="N235" s="35">
        <f>IF($L235="",DATE(1900,1,1),$L235)</f>
        <v/>
      </c>
      <c r="O235" s="35">
        <f>IF($M235="",DATE(2100,12,31),$M235)</f>
        <v/>
      </c>
      <c r="P235" s="20" t="inlineStr">
        <is>
          <t>Proposal</t>
        </is>
      </c>
      <c r="Q235" s="47" t="inlineStr">
        <is>
          <t>Added from Summary tab</t>
        </is>
      </c>
      <c r="R235" s="16">
        <f>IF($C235="","",IFERROR(IF(INDEX(Deals!$U$2:$U$355,MATCH($C235,Deals!$A$2:$A$355,0))=0,"",INDEX(Deals!$U$2:$U$355,MATCH($C235,Deals!$A$2:$A$355,0))),""))</f>
        <v/>
      </c>
      <c r="S235" s="34">
        <f>IFERROR(IF($U235="",1,INDEX(Deals!$V$2:$V$355,MATCH($C235,Deals!$A$2:$A$355,0))),1)</f>
        <v/>
      </c>
      <c r="T235" s="34">
        <f>IFERROR(IF($U235="",1,INDEX(Deals!$W$2:$W$355,MATCH($C235,Deals!$A$2:$A$355,0))),1)</f>
        <v/>
      </c>
      <c r="U235" s="22">
        <f>IF($C235="","",IFERROR(IF(INDEX(Deals!$Y$2:$Y$355,MATCH($C235,Deals!$A$2:$A$355,0))=0,"",INDEX(Deals!$Y$2:$Y$355,MATCH($C235,Deals!$A$2:$A$355,0))),""))</f>
        <v/>
      </c>
      <c r="V235" s="35">
        <f>IF(OR($U235&lt;&gt;"",AND($AO235&gt;0,$L235&lt;&gt;"",$M235&lt;&gt;"")),$N235,DATE(1900,1,1))</f>
        <v/>
      </c>
      <c r="W235" s="35">
        <f>IF($U235&lt;&gt;"",$U235,IF(AND($AO235&gt;0,$L235&lt;&gt;"",$M235&lt;&gt;""),$O235,DATE(2100,12,31)))</f>
        <v/>
      </c>
      <c r="X235" s="32">
        <f>IF($U235="",$K235,$K235*$S235)</f>
        <v/>
      </c>
      <c r="Y235" s="35">
        <f>IF($U235="",DATE(2100,12,31),$U235+1)</f>
        <v/>
      </c>
      <c r="Z235" s="35">
        <f>IF($U235="",DATE(1900,1,1),$O235)</f>
        <v/>
      </c>
      <c r="AA235" s="32">
        <f>IF($U235="",0,$K235*$T235)</f>
        <v/>
      </c>
      <c r="AB235" s="21">
        <f>IF($C235="",0,IFERROR(INDEX(Deals!$AD$2:$AD$355,MATCH($C235,Deals!$A$2:$A$355,0)),0))</f>
        <v/>
      </c>
      <c r="AC235" s="32">
        <f>IF(Settings!$B$4="Yes",$I235*$AB235,$I235)</f>
        <v/>
      </c>
      <c r="AD235" s="22">
        <f>IF($C235="","",IFERROR(IF(INDEX(Deals!$AE$2:$AE$355,MATCH($C235,Deals!$A$2:$A$355,0))=0,"",INDEX(Deals!$AE$2:$AE$355,MATCH($C235,Deals!$A$2:$A$355,0))),""))</f>
        <v/>
      </c>
      <c r="AE235" s="22">
        <f>IF($C235="","",IFERROR(IF(INDEX(Deals!$AF$2:$AF$355,MATCH($C235,Deals!$A$2:$A$355,0))=0,"",INDEX(Deals!$AF$2:$AF$355,MATCH($C235,Deals!$A$2:$A$355,0))),""))</f>
        <v/>
      </c>
      <c r="AF235" s="35">
        <f>IF($AD235="",DATE(1900,1,1),$AD235)</f>
        <v/>
      </c>
      <c r="AG235" s="35">
        <f>IF($AE235="",DATE(2100,12,31),$AE235)</f>
        <v/>
      </c>
      <c r="AH235" s="22">
        <f>IF($C235="","",IFERROR(IF(INDEX(Deals!$AG$2:$AG$355,MATCH($C235,Deals!$A$2:$A$355,0))=0,"",INDEX(Deals!$AG$2:$AG$355,MATCH($C235,Deals!$A$2:$A$355,0))),""))</f>
        <v/>
      </c>
      <c r="AI235" s="35">
        <f>IF(OR($AH235&lt;&gt;"",AND($AO235&gt;0,$AD235&lt;&gt;"",$AE235&lt;&gt;"")),$AF235,DATE(1900,1,1))</f>
        <v/>
      </c>
      <c r="AJ235" s="35">
        <f>IF($AH235&lt;&gt;"",$AH235,IF(AND($AO235&gt;0,$AD235&lt;&gt;"",$AE235&lt;&gt;""),$AG235,DATE(2100,12,31)))</f>
        <v/>
      </c>
      <c r="AK235" s="32">
        <f>IF($AH235="",$AC235,$AC235*$S235)</f>
        <v/>
      </c>
      <c r="AL235" s="35">
        <f>IF($AH235="",DATE(2100,12,31),$AH235+1)</f>
        <v/>
      </c>
      <c r="AM235" s="35">
        <f>IF($AH235="",DATE(1900,1,1),$AG235)</f>
        <v/>
      </c>
      <c r="AN235" s="32">
        <f>IF($AH235="",0,$AC235*$T235)</f>
        <v/>
      </c>
      <c r="AO235" s="46">
        <f>IF($C235="",0,IFERROR(INDEX(Deals!$BD$2:$BD$355,MATCH($C235,Deals!$A$2:$A$355,0)),0))</f>
        <v/>
      </c>
      <c r="AP235" s="18">
        <f>IF($AO235=0,0,IFERROR(INDEX(Deals!$BJ$2:$BP$355,MATCH($C235,Deals!$A$2:$A$355,0),MATCH($F235,Deals!$BJ$1:$BP$1,0))/COUNTIFS(Assignments!$C$2:$C$769,$C235,Assignments!$F$2:$F$769,$F235,Assignments!$G$2:$G$769,"Active"),0))</f>
        <v/>
      </c>
    </row>
    <row r="236">
      <c r="A236" s="28" t="inlineStr">
        <is>
          <t>Justine</t>
        </is>
      </c>
      <c r="B236" s="16">
        <f>IF($A236="","",IFERROR(INDEX(Roster!$B$2:$B$40,MATCH($A236,Roster!$A$2:$A$40,0)),"?"))</f>
        <v/>
      </c>
      <c r="C236" s="28" t="inlineStr">
        <is>
          <t>Graitec Reorg_2</t>
        </is>
      </c>
      <c r="D236" s="16">
        <f>IF($C236="","",IFERROR(IF(INDEX(Deals!$C$2:$C$355,MATCH($C236,Deals!$A$2:$A$355,0))=0,"",INDEX(Deals!$C$2:$C$355,MATCH($C236,Deals!$A$2:$A$355,0))),"?"))</f>
        <v/>
      </c>
      <c r="E236" s="16">
        <f>IF($C236="","",IFERROR(INDEX(Deals!$F$2:$F$355,MATCH($C236,Deals!$A$2:$A$355,0)),"?"))</f>
        <v/>
      </c>
      <c r="F236" s="28" t="inlineStr">
        <is>
          <t>Director</t>
        </is>
      </c>
      <c r="G236" s="28" t="inlineStr">
        <is>
          <t>Active</t>
        </is>
      </c>
      <c r="H236" s="31" t="n"/>
      <c r="I236" s="32">
        <f>IF(OR($A236="",$G236&lt;&gt;"Active"),0,IF($H236&lt;&gt;"",$H236,IF($AO236&gt;0,$AP236,IF(AND($R236&lt;&gt;"",IFERROR(INDEX(Templates!$B$3:$H$10,MATCH($R236,Templates!$A$3:$A$10,0),MATCH($F236,Templates!$B$2:$H$2,0)),0)&gt;0),INDEX(Templates!$B$3:$H$10,MATCH($R236,Templates!$A$3:$A$10,0),MATCH($F236,Templates!$B$2:$H$2,0)),IFERROR(INDEX(Settings!$B$8:$B$14,MATCH($F236,Settings!$A$8:$A$14,0)),0)))))</f>
        <v/>
      </c>
      <c r="J236" s="21">
        <f>IF($C236="",0,IFERROR(INDEX(Deals!$H$2:$H$355,MATCH($C236,Deals!$A$2:$A$355,0)),0))</f>
        <v/>
      </c>
      <c r="K236" s="32">
        <f>IF(Settings!$B$4="Yes",$I236*$J236,$I236)</f>
        <v/>
      </c>
      <c r="L236" s="22">
        <f>IF($C236="","",IFERROR(IF(INDEX(Deals!$I$2:$I$355,MATCH($C236,Deals!$A$2:$A$355,0))=0,"",INDEX(Deals!$I$2:$I$355,MATCH($C236,Deals!$A$2:$A$355,0))),""))</f>
        <v/>
      </c>
      <c r="M236" s="22">
        <f>IF($C236="","",IFERROR(IF(INDEX(Deals!$J$2:$J$355,MATCH($C236,Deals!$A$2:$A$355,0))=0,"",INDEX(Deals!$J$2:$J$355,MATCH($C236,Deals!$A$2:$A$355,0))),""))</f>
        <v/>
      </c>
      <c r="N236" s="35">
        <f>IF($L236="",DATE(1900,1,1),$L236)</f>
        <v/>
      </c>
      <c r="O236" s="35">
        <f>IF($M236="",DATE(2100,12,31),$M236)</f>
        <v/>
      </c>
      <c r="P236" s="20" t="inlineStr">
        <is>
          <t>Ongoing</t>
        </is>
      </c>
      <c r="Q236" s="47" t="inlineStr"/>
      <c r="R236" s="16">
        <f>IF($C236="","",IFERROR(IF(INDEX(Deals!$U$2:$U$355,MATCH($C236,Deals!$A$2:$A$355,0))=0,"",INDEX(Deals!$U$2:$U$355,MATCH($C236,Deals!$A$2:$A$355,0))),""))</f>
        <v/>
      </c>
      <c r="S236" s="34">
        <f>IFERROR(IF($U236="",1,INDEX(Deals!$V$2:$V$355,MATCH($C236,Deals!$A$2:$A$355,0))),1)</f>
        <v/>
      </c>
      <c r="T236" s="34">
        <f>IFERROR(IF($U236="",1,INDEX(Deals!$W$2:$W$355,MATCH($C236,Deals!$A$2:$A$355,0))),1)</f>
        <v/>
      </c>
      <c r="U236" s="22">
        <f>IF($C236="","",IFERROR(IF(INDEX(Deals!$Y$2:$Y$355,MATCH($C236,Deals!$A$2:$A$355,0))=0,"",INDEX(Deals!$Y$2:$Y$355,MATCH($C236,Deals!$A$2:$A$355,0))),""))</f>
        <v/>
      </c>
      <c r="V236" s="35">
        <f>IF(OR($U236&lt;&gt;"",AND($AO236&gt;0,$L236&lt;&gt;"",$M236&lt;&gt;"")),$N236,DATE(1900,1,1))</f>
        <v/>
      </c>
      <c r="W236" s="35">
        <f>IF($U236&lt;&gt;"",$U236,IF(AND($AO236&gt;0,$L236&lt;&gt;"",$M236&lt;&gt;""),$O236,DATE(2100,12,31)))</f>
        <v/>
      </c>
      <c r="X236" s="32">
        <f>IF($U236="",$K236,$K236*$S236)</f>
        <v/>
      </c>
      <c r="Y236" s="35">
        <f>IF($U236="",DATE(2100,12,31),$U236+1)</f>
        <v/>
      </c>
      <c r="Z236" s="35">
        <f>IF($U236="",DATE(1900,1,1),$O236)</f>
        <v/>
      </c>
      <c r="AA236" s="32">
        <f>IF($U236="",0,$K236*$T236)</f>
        <v/>
      </c>
      <c r="AB236" s="21">
        <f>IF($C236="",0,IFERROR(INDEX(Deals!$AD$2:$AD$355,MATCH($C236,Deals!$A$2:$A$355,0)),0))</f>
        <v/>
      </c>
      <c r="AC236" s="32">
        <f>IF(Settings!$B$4="Yes",$I236*$AB236,$I236)</f>
        <v/>
      </c>
      <c r="AD236" s="22">
        <f>IF($C236="","",IFERROR(IF(INDEX(Deals!$AE$2:$AE$355,MATCH($C236,Deals!$A$2:$A$355,0))=0,"",INDEX(Deals!$AE$2:$AE$355,MATCH($C236,Deals!$A$2:$A$355,0))),""))</f>
        <v/>
      </c>
      <c r="AE236" s="22">
        <f>IF($C236="","",IFERROR(IF(INDEX(Deals!$AF$2:$AF$355,MATCH($C236,Deals!$A$2:$A$355,0))=0,"",INDEX(Deals!$AF$2:$AF$355,MATCH($C236,Deals!$A$2:$A$355,0))),""))</f>
        <v/>
      </c>
      <c r="AF236" s="35">
        <f>IF($AD236="",DATE(1900,1,1),$AD236)</f>
        <v/>
      </c>
      <c r="AG236" s="35">
        <f>IF($AE236="",DATE(2100,12,31),$AE236)</f>
        <v/>
      </c>
      <c r="AH236" s="22">
        <f>IF($C236="","",IFERROR(IF(INDEX(Deals!$AG$2:$AG$355,MATCH($C236,Deals!$A$2:$A$355,0))=0,"",INDEX(Deals!$AG$2:$AG$355,MATCH($C236,Deals!$A$2:$A$355,0))),""))</f>
        <v/>
      </c>
      <c r="AI236" s="35">
        <f>IF(OR($AH236&lt;&gt;"",AND($AO236&gt;0,$AD236&lt;&gt;"",$AE236&lt;&gt;"")),$AF236,DATE(1900,1,1))</f>
        <v/>
      </c>
      <c r="AJ236" s="35">
        <f>IF($AH236&lt;&gt;"",$AH236,IF(AND($AO236&gt;0,$AD236&lt;&gt;"",$AE236&lt;&gt;""),$AG236,DATE(2100,12,31)))</f>
        <v/>
      </c>
      <c r="AK236" s="32">
        <f>IF($AH236="",$AC236,$AC236*$S236)</f>
        <v/>
      </c>
      <c r="AL236" s="35">
        <f>IF($AH236="",DATE(2100,12,31),$AH236+1)</f>
        <v/>
      </c>
      <c r="AM236" s="35">
        <f>IF($AH236="",DATE(1900,1,1),$AG236)</f>
        <v/>
      </c>
      <c r="AN236" s="32">
        <f>IF($AH236="",0,$AC236*$T236)</f>
        <v/>
      </c>
      <c r="AO236" s="46">
        <f>IF($C236="",0,IFERROR(INDEX(Deals!$BD$2:$BD$355,MATCH($C236,Deals!$A$2:$A$355,0)),0))</f>
        <v/>
      </c>
      <c r="AP236" s="18">
        <f>IF($AO236=0,0,IFERROR(INDEX(Deals!$BJ$2:$BP$355,MATCH($C236,Deals!$A$2:$A$355,0),MATCH($F236,Deals!$BJ$1:$BP$1,0))/COUNTIFS(Assignments!$C$2:$C$769,$C236,Assignments!$F$2:$F$769,$F236,Assignments!$G$2:$G$769,"Active"),0))</f>
        <v/>
      </c>
    </row>
    <row r="237">
      <c r="A237" s="28" t="inlineStr">
        <is>
          <t>Justine</t>
        </is>
      </c>
      <c r="B237" s="16">
        <f>IF($A237="","",IFERROR(INDEX(Roster!$B$2:$B$40,MATCH($A237,Roster!$A$2:$A$40,0)),"?"))</f>
        <v/>
      </c>
      <c r="C237" s="28" t="inlineStr">
        <is>
          <t>Horizon_3</t>
        </is>
      </c>
      <c r="D237" s="16">
        <f>IF($C237="","",IFERROR(IF(INDEX(Deals!$C$2:$C$355,MATCH($C237,Deals!$A$2:$A$355,0))=0,"",INDEX(Deals!$C$2:$C$355,MATCH($C237,Deals!$A$2:$A$355,0))),"?"))</f>
        <v/>
      </c>
      <c r="E237" s="16">
        <f>IF($C237="","",IFERROR(INDEX(Deals!$F$2:$F$355,MATCH($C237,Deals!$A$2:$A$355,0)),"?"))</f>
        <v/>
      </c>
      <c r="F237" s="28" t="inlineStr">
        <is>
          <t>Director</t>
        </is>
      </c>
      <c r="G237" s="28" t="inlineStr">
        <is>
          <t>Inactive</t>
        </is>
      </c>
      <c r="H237" s="31" t="n"/>
      <c r="I237" s="32">
        <f>IF(OR($A237="",$G237&lt;&gt;"Active"),0,IF($H237&lt;&gt;"",$H237,IF($AO237&gt;0,$AP237,IF(AND($R237&lt;&gt;"",IFERROR(INDEX(Templates!$B$3:$H$10,MATCH($R237,Templates!$A$3:$A$10,0),MATCH($F237,Templates!$B$2:$H$2,0)),0)&gt;0),INDEX(Templates!$B$3:$H$10,MATCH($R237,Templates!$A$3:$A$10,0),MATCH($F237,Templates!$B$2:$H$2,0)),IFERROR(INDEX(Settings!$B$8:$B$14,MATCH($F237,Settings!$A$8:$A$14,0)),0)))))</f>
        <v/>
      </c>
      <c r="J237" s="21">
        <f>IF($C237="",0,IFERROR(INDEX(Deals!$H$2:$H$355,MATCH($C237,Deals!$A$2:$A$355,0)),0))</f>
        <v/>
      </c>
      <c r="K237" s="32">
        <f>IF(Settings!$B$4="Yes",$I237*$J237,$I237)</f>
        <v/>
      </c>
      <c r="L237" s="22">
        <f>IF($C237="","",IFERROR(IF(INDEX(Deals!$I$2:$I$355,MATCH($C237,Deals!$A$2:$A$355,0))=0,"",INDEX(Deals!$I$2:$I$355,MATCH($C237,Deals!$A$2:$A$355,0))),""))</f>
        <v/>
      </c>
      <c r="M237" s="22">
        <f>IF($C237="","",IFERROR(IF(INDEX(Deals!$J$2:$J$355,MATCH($C237,Deals!$A$2:$A$355,0))=0,"",INDEX(Deals!$J$2:$J$355,MATCH($C237,Deals!$A$2:$A$355,0))),""))</f>
        <v/>
      </c>
      <c r="N237" s="35">
        <f>IF($L237="",DATE(1900,1,1),$L237)</f>
        <v/>
      </c>
      <c r="O237" s="35">
        <f>IF($M237="",DATE(2100,12,31),$M237)</f>
        <v/>
      </c>
      <c r="P237" s="20" t="inlineStr">
        <is>
          <t>Dead</t>
        </is>
      </c>
      <c r="Q237" s="47" t="inlineStr"/>
      <c r="R237" s="16">
        <f>IF($C237="","",IFERROR(IF(INDEX(Deals!$U$2:$U$355,MATCH($C237,Deals!$A$2:$A$355,0))=0,"",INDEX(Deals!$U$2:$U$355,MATCH($C237,Deals!$A$2:$A$355,0))),""))</f>
        <v/>
      </c>
      <c r="S237" s="34">
        <f>IFERROR(IF($U237="",1,INDEX(Deals!$V$2:$V$355,MATCH($C237,Deals!$A$2:$A$355,0))),1)</f>
        <v/>
      </c>
      <c r="T237" s="34">
        <f>IFERROR(IF($U237="",1,INDEX(Deals!$W$2:$W$355,MATCH($C237,Deals!$A$2:$A$355,0))),1)</f>
        <v/>
      </c>
      <c r="U237" s="22">
        <f>IF($C237="","",IFERROR(IF(INDEX(Deals!$Y$2:$Y$355,MATCH($C237,Deals!$A$2:$A$355,0))=0,"",INDEX(Deals!$Y$2:$Y$355,MATCH($C237,Deals!$A$2:$A$355,0))),""))</f>
        <v/>
      </c>
      <c r="V237" s="35">
        <f>IF(OR($U237&lt;&gt;"",AND($AO237&gt;0,$L237&lt;&gt;"",$M237&lt;&gt;"")),$N237,DATE(1900,1,1))</f>
        <v/>
      </c>
      <c r="W237" s="35">
        <f>IF($U237&lt;&gt;"",$U237,IF(AND($AO237&gt;0,$L237&lt;&gt;"",$M237&lt;&gt;""),$O237,DATE(2100,12,31)))</f>
        <v/>
      </c>
      <c r="X237" s="32">
        <f>IF($U237="",$K237,$K237*$S237)</f>
        <v/>
      </c>
      <c r="Y237" s="35">
        <f>IF($U237="",DATE(2100,12,31),$U237+1)</f>
        <v/>
      </c>
      <c r="Z237" s="35">
        <f>IF($U237="",DATE(1900,1,1),$O237)</f>
        <v/>
      </c>
      <c r="AA237" s="32">
        <f>IF($U237="",0,$K237*$T237)</f>
        <v/>
      </c>
      <c r="AB237" s="21">
        <f>IF($C237="",0,IFERROR(INDEX(Deals!$AD$2:$AD$355,MATCH($C237,Deals!$A$2:$A$355,0)),0))</f>
        <v/>
      </c>
      <c r="AC237" s="32">
        <f>IF(Settings!$B$4="Yes",$I237*$AB237,$I237)</f>
        <v/>
      </c>
      <c r="AD237" s="22">
        <f>IF($C237="","",IFERROR(IF(INDEX(Deals!$AE$2:$AE$355,MATCH($C237,Deals!$A$2:$A$355,0))=0,"",INDEX(Deals!$AE$2:$AE$355,MATCH($C237,Deals!$A$2:$A$355,0))),""))</f>
        <v/>
      </c>
      <c r="AE237" s="22">
        <f>IF($C237="","",IFERROR(IF(INDEX(Deals!$AF$2:$AF$355,MATCH($C237,Deals!$A$2:$A$355,0))=0,"",INDEX(Deals!$AF$2:$AF$355,MATCH($C237,Deals!$A$2:$A$355,0))),""))</f>
        <v/>
      </c>
      <c r="AF237" s="35">
        <f>IF($AD237="",DATE(1900,1,1),$AD237)</f>
        <v/>
      </c>
      <c r="AG237" s="35">
        <f>IF($AE237="",DATE(2100,12,31),$AE237)</f>
        <v/>
      </c>
      <c r="AH237" s="22">
        <f>IF($C237="","",IFERROR(IF(INDEX(Deals!$AG$2:$AG$355,MATCH($C237,Deals!$A$2:$A$355,0))=0,"",INDEX(Deals!$AG$2:$AG$355,MATCH($C237,Deals!$A$2:$A$355,0))),""))</f>
        <v/>
      </c>
      <c r="AI237" s="35">
        <f>IF(OR($AH237&lt;&gt;"",AND($AO237&gt;0,$AD237&lt;&gt;"",$AE237&lt;&gt;"")),$AF237,DATE(1900,1,1))</f>
        <v/>
      </c>
      <c r="AJ237" s="35">
        <f>IF($AH237&lt;&gt;"",$AH237,IF(AND($AO237&gt;0,$AD237&lt;&gt;"",$AE237&lt;&gt;""),$AG237,DATE(2100,12,31)))</f>
        <v/>
      </c>
      <c r="AK237" s="32">
        <f>IF($AH237="",$AC237,$AC237*$S237)</f>
        <v/>
      </c>
      <c r="AL237" s="35">
        <f>IF($AH237="",DATE(2100,12,31),$AH237+1)</f>
        <v/>
      </c>
      <c r="AM237" s="35">
        <f>IF($AH237="",DATE(1900,1,1),$AG237)</f>
        <v/>
      </c>
      <c r="AN237" s="32">
        <f>IF($AH237="",0,$AC237*$T237)</f>
        <v/>
      </c>
      <c r="AO237" s="46">
        <f>IF($C237="",0,IFERROR(INDEX(Deals!$BD$2:$BD$355,MATCH($C237,Deals!$A$2:$A$355,0)),0))</f>
        <v/>
      </c>
      <c r="AP237" s="18">
        <f>IF($AO237=0,0,IFERROR(INDEX(Deals!$BJ$2:$BP$355,MATCH($C237,Deals!$A$2:$A$355,0),MATCH($F237,Deals!$BJ$1:$BP$1,0))/COUNTIFS(Assignments!$C$2:$C$769,$C237,Assignments!$F$2:$F$769,$F237,Assignments!$G$2:$G$769,"Active"),0))</f>
        <v/>
      </c>
    </row>
    <row r="238">
      <c r="A238" s="28" t="inlineStr">
        <is>
          <t>Justine</t>
        </is>
      </c>
      <c r="B238" s="16">
        <f>IF($A238="","",IFERROR(INDEX(Roster!$B$2:$B$40,MATCH($A238,Roster!$A$2:$A$40,0)),"?"))</f>
        <v/>
      </c>
      <c r="C238" s="28" t="inlineStr">
        <is>
          <t>Javelina Gain_1</t>
        </is>
      </c>
      <c r="D238" s="16">
        <f>IF($C238="","",IFERROR(IF(INDEX(Deals!$C$2:$C$355,MATCH($C238,Deals!$A$2:$A$355,0))=0,"",INDEX(Deals!$C$2:$C$355,MATCH($C238,Deals!$A$2:$A$355,0))),"?"))</f>
        <v/>
      </c>
      <c r="E238" s="16">
        <f>IF($C238="","",IFERROR(INDEX(Deals!$F$2:$F$355,MATCH($C238,Deals!$A$2:$A$355,0)),"?"))</f>
        <v/>
      </c>
      <c r="F238" s="28" t="inlineStr">
        <is>
          <t>Director</t>
        </is>
      </c>
      <c r="G238" s="28" t="inlineStr">
        <is>
          <t>Active</t>
        </is>
      </c>
      <c r="H238" s="31" t="n"/>
      <c r="I238" s="32">
        <f>IF(OR($A238="",$G238&lt;&gt;"Active"),0,IF($H238&lt;&gt;"",$H238,IF($AO238&gt;0,$AP238,IF(AND($R238&lt;&gt;"",IFERROR(INDEX(Templates!$B$3:$H$10,MATCH($R238,Templates!$A$3:$A$10,0),MATCH($F238,Templates!$B$2:$H$2,0)),0)&gt;0),INDEX(Templates!$B$3:$H$10,MATCH($R238,Templates!$A$3:$A$10,0),MATCH($F238,Templates!$B$2:$H$2,0)),IFERROR(INDEX(Settings!$B$8:$B$14,MATCH($F238,Settings!$A$8:$A$14,0)),0)))))</f>
        <v/>
      </c>
      <c r="J238" s="21">
        <f>IF($C238="",0,IFERROR(INDEX(Deals!$H$2:$H$355,MATCH($C238,Deals!$A$2:$A$355,0)),0))</f>
        <v/>
      </c>
      <c r="K238" s="32">
        <f>IF(Settings!$B$4="Yes",$I238*$J238,$I238)</f>
        <v/>
      </c>
      <c r="L238" s="22">
        <f>IF($C238="","",IFERROR(IF(INDEX(Deals!$I$2:$I$355,MATCH($C238,Deals!$A$2:$A$355,0))=0,"",INDEX(Deals!$I$2:$I$355,MATCH($C238,Deals!$A$2:$A$355,0))),""))</f>
        <v/>
      </c>
      <c r="M238" s="22">
        <f>IF($C238="","",IFERROR(IF(INDEX(Deals!$J$2:$J$355,MATCH($C238,Deals!$A$2:$A$355,0))=0,"",INDEX(Deals!$J$2:$J$355,MATCH($C238,Deals!$A$2:$A$355,0))),""))</f>
        <v/>
      </c>
      <c r="N238" s="35">
        <f>IF($L238="",DATE(1900,1,1),$L238)</f>
        <v/>
      </c>
      <c r="O238" s="35">
        <f>IF($M238="",DATE(2100,12,31),$M238)</f>
        <v/>
      </c>
      <c r="P238" s="20" t="inlineStr">
        <is>
          <t>Ongoing</t>
        </is>
      </c>
      <c r="Q238" s="47" t="inlineStr"/>
      <c r="R238" s="16">
        <f>IF($C238="","",IFERROR(IF(INDEX(Deals!$U$2:$U$355,MATCH($C238,Deals!$A$2:$A$355,0))=0,"",INDEX(Deals!$U$2:$U$355,MATCH($C238,Deals!$A$2:$A$355,0))),""))</f>
        <v/>
      </c>
      <c r="S238" s="34">
        <f>IFERROR(IF($U238="",1,INDEX(Deals!$V$2:$V$355,MATCH($C238,Deals!$A$2:$A$355,0))),1)</f>
        <v/>
      </c>
      <c r="T238" s="34">
        <f>IFERROR(IF($U238="",1,INDEX(Deals!$W$2:$W$355,MATCH($C238,Deals!$A$2:$A$355,0))),1)</f>
        <v/>
      </c>
      <c r="U238" s="22">
        <f>IF($C238="","",IFERROR(IF(INDEX(Deals!$Y$2:$Y$355,MATCH($C238,Deals!$A$2:$A$355,0))=0,"",INDEX(Deals!$Y$2:$Y$355,MATCH($C238,Deals!$A$2:$A$355,0))),""))</f>
        <v/>
      </c>
      <c r="V238" s="35">
        <f>IF(OR($U238&lt;&gt;"",AND($AO238&gt;0,$L238&lt;&gt;"",$M238&lt;&gt;"")),$N238,DATE(1900,1,1))</f>
        <v/>
      </c>
      <c r="W238" s="35">
        <f>IF($U238&lt;&gt;"",$U238,IF(AND($AO238&gt;0,$L238&lt;&gt;"",$M238&lt;&gt;""),$O238,DATE(2100,12,31)))</f>
        <v/>
      </c>
      <c r="X238" s="32">
        <f>IF($U238="",$K238,$K238*$S238)</f>
        <v/>
      </c>
      <c r="Y238" s="35">
        <f>IF($U238="",DATE(2100,12,31),$U238+1)</f>
        <v/>
      </c>
      <c r="Z238" s="35">
        <f>IF($U238="",DATE(1900,1,1),$O238)</f>
        <v/>
      </c>
      <c r="AA238" s="32">
        <f>IF($U238="",0,$K238*$T238)</f>
        <v/>
      </c>
      <c r="AB238" s="21">
        <f>IF($C238="",0,IFERROR(INDEX(Deals!$AD$2:$AD$355,MATCH($C238,Deals!$A$2:$A$355,0)),0))</f>
        <v/>
      </c>
      <c r="AC238" s="32">
        <f>IF(Settings!$B$4="Yes",$I238*$AB238,$I238)</f>
        <v/>
      </c>
      <c r="AD238" s="22">
        <f>IF($C238="","",IFERROR(IF(INDEX(Deals!$AE$2:$AE$355,MATCH($C238,Deals!$A$2:$A$355,0))=0,"",INDEX(Deals!$AE$2:$AE$355,MATCH($C238,Deals!$A$2:$A$355,0))),""))</f>
        <v/>
      </c>
      <c r="AE238" s="22">
        <f>IF($C238="","",IFERROR(IF(INDEX(Deals!$AF$2:$AF$355,MATCH($C238,Deals!$A$2:$A$355,0))=0,"",INDEX(Deals!$AF$2:$AF$355,MATCH($C238,Deals!$A$2:$A$355,0))),""))</f>
        <v/>
      </c>
      <c r="AF238" s="35">
        <f>IF($AD238="",DATE(1900,1,1),$AD238)</f>
        <v/>
      </c>
      <c r="AG238" s="35">
        <f>IF($AE238="",DATE(2100,12,31),$AE238)</f>
        <v/>
      </c>
      <c r="AH238" s="22">
        <f>IF($C238="","",IFERROR(IF(INDEX(Deals!$AG$2:$AG$355,MATCH($C238,Deals!$A$2:$A$355,0))=0,"",INDEX(Deals!$AG$2:$AG$355,MATCH($C238,Deals!$A$2:$A$355,0))),""))</f>
        <v/>
      </c>
      <c r="AI238" s="35">
        <f>IF(OR($AH238&lt;&gt;"",AND($AO238&gt;0,$AD238&lt;&gt;"",$AE238&lt;&gt;"")),$AF238,DATE(1900,1,1))</f>
        <v/>
      </c>
      <c r="AJ238" s="35">
        <f>IF($AH238&lt;&gt;"",$AH238,IF(AND($AO238&gt;0,$AD238&lt;&gt;"",$AE238&lt;&gt;""),$AG238,DATE(2100,12,31)))</f>
        <v/>
      </c>
      <c r="AK238" s="32">
        <f>IF($AH238="",$AC238,$AC238*$S238)</f>
        <v/>
      </c>
      <c r="AL238" s="35">
        <f>IF($AH238="",DATE(2100,12,31),$AH238+1)</f>
        <v/>
      </c>
      <c r="AM238" s="35">
        <f>IF($AH238="",DATE(1900,1,1),$AG238)</f>
        <v/>
      </c>
      <c r="AN238" s="32">
        <f>IF($AH238="",0,$AC238*$T238)</f>
        <v/>
      </c>
      <c r="AO238" s="46">
        <f>IF($C238="",0,IFERROR(INDEX(Deals!$BD$2:$BD$355,MATCH($C238,Deals!$A$2:$A$355,0)),0))</f>
        <v/>
      </c>
      <c r="AP238" s="18">
        <f>IF($AO238=0,0,IFERROR(INDEX(Deals!$BJ$2:$BP$355,MATCH($C238,Deals!$A$2:$A$355,0),MATCH($F238,Deals!$BJ$1:$BP$1,0))/COUNTIFS(Assignments!$C$2:$C$769,$C238,Assignments!$F$2:$F$769,$F238,Assignments!$G$2:$G$769,"Active"),0))</f>
        <v/>
      </c>
    </row>
    <row r="239">
      <c r="A239" s="28" t="inlineStr">
        <is>
          <t>Justine</t>
        </is>
      </c>
      <c r="B239" s="16">
        <f>IF($A239="","",IFERROR(INDEX(Roster!$B$2:$B$40,MATCH($A239,Roster!$A$2:$A$40,0)),"?"))</f>
        <v/>
      </c>
      <c r="C239" s="28" t="inlineStr">
        <is>
          <t>Kering_1</t>
        </is>
      </c>
      <c r="D239" s="16">
        <f>IF($C239="","",IFERROR(IF(INDEX(Deals!$C$2:$C$355,MATCH($C239,Deals!$A$2:$A$355,0))=0,"",INDEX(Deals!$C$2:$C$355,MATCH($C239,Deals!$A$2:$A$355,0))),"?"))</f>
        <v/>
      </c>
      <c r="E239" s="16">
        <f>IF($C239="","",IFERROR(INDEX(Deals!$F$2:$F$355,MATCH($C239,Deals!$A$2:$A$355,0)),"?"))</f>
        <v/>
      </c>
      <c r="F239" s="28" t="inlineStr">
        <is>
          <t>Director</t>
        </is>
      </c>
      <c r="G239" s="28" t="inlineStr">
        <is>
          <t>Active</t>
        </is>
      </c>
      <c r="H239" s="31" t="n"/>
      <c r="I239" s="32">
        <f>IF(OR($A239="",$G239&lt;&gt;"Active"),0,IF($H239&lt;&gt;"",$H239,IF($AO239&gt;0,$AP239,IF(AND($R239&lt;&gt;"",IFERROR(INDEX(Templates!$B$3:$H$10,MATCH($R239,Templates!$A$3:$A$10,0),MATCH($F239,Templates!$B$2:$H$2,0)),0)&gt;0),INDEX(Templates!$B$3:$H$10,MATCH($R239,Templates!$A$3:$A$10,0),MATCH($F239,Templates!$B$2:$H$2,0)),IFERROR(INDEX(Settings!$B$8:$B$14,MATCH($F239,Settings!$A$8:$A$14,0)),0)))))</f>
        <v/>
      </c>
      <c r="J239" s="21">
        <f>IF($C239="",0,IFERROR(INDEX(Deals!$H$2:$H$355,MATCH($C239,Deals!$A$2:$A$355,0)),0))</f>
        <v/>
      </c>
      <c r="K239" s="32">
        <f>IF(Settings!$B$4="Yes",$I239*$J239,$I239)</f>
        <v/>
      </c>
      <c r="L239" s="22">
        <f>IF($C239="","",IFERROR(IF(INDEX(Deals!$I$2:$I$355,MATCH($C239,Deals!$A$2:$A$355,0))=0,"",INDEX(Deals!$I$2:$I$355,MATCH($C239,Deals!$A$2:$A$355,0))),""))</f>
        <v/>
      </c>
      <c r="M239" s="22">
        <f>IF($C239="","",IFERROR(IF(INDEX(Deals!$J$2:$J$355,MATCH($C239,Deals!$A$2:$A$355,0))=0,"",INDEX(Deals!$J$2:$J$355,MATCH($C239,Deals!$A$2:$A$355,0))),""))</f>
        <v/>
      </c>
      <c r="N239" s="35">
        <f>IF($L239="",DATE(1900,1,1),$L239)</f>
        <v/>
      </c>
      <c r="O239" s="35">
        <f>IF($M239="",DATE(2100,12,31),$M239)</f>
        <v/>
      </c>
      <c r="P239" s="20" t="inlineStr">
        <is>
          <t>Proposal</t>
        </is>
      </c>
      <c r="Q239" s="47" t="inlineStr"/>
      <c r="R239" s="16">
        <f>IF($C239="","",IFERROR(IF(INDEX(Deals!$U$2:$U$355,MATCH($C239,Deals!$A$2:$A$355,0))=0,"",INDEX(Deals!$U$2:$U$355,MATCH($C239,Deals!$A$2:$A$355,0))),""))</f>
        <v/>
      </c>
      <c r="S239" s="34">
        <f>IFERROR(IF($U239="",1,INDEX(Deals!$V$2:$V$355,MATCH($C239,Deals!$A$2:$A$355,0))),1)</f>
        <v/>
      </c>
      <c r="T239" s="34">
        <f>IFERROR(IF($U239="",1,INDEX(Deals!$W$2:$W$355,MATCH($C239,Deals!$A$2:$A$355,0))),1)</f>
        <v/>
      </c>
      <c r="U239" s="22">
        <f>IF($C239="","",IFERROR(IF(INDEX(Deals!$Y$2:$Y$355,MATCH($C239,Deals!$A$2:$A$355,0))=0,"",INDEX(Deals!$Y$2:$Y$355,MATCH($C239,Deals!$A$2:$A$355,0))),""))</f>
        <v/>
      </c>
      <c r="V239" s="35">
        <f>IF(OR($U239&lt;&gt;"",AND($AO239&gt;0,$L239&lt;&gt;"",$M239&lt;&gt;"")),$N239,DATE(1900,1,1))</f>
        <v/>
      </c>
      <c r="W239" s="35">
        <f>IF($U239&lt;&gt;"",$U239,IF(AND($AO239&gt;0,$L239&lt;&gt;"",$M239&lt;&gt;""),$O239,DATE(2100,12,31)))</f>
        <v/>
      </c>
      <c r="X239" s="32">
        <f>IF($U239="",$K239,$K239*$S239)</f>
        <v/>
      </c>
      <c r="Y239" s="35">
        <f>IF($U239="",DATE(2100,12,31),$U239+1)</f>
        <v/>
      </c>
      <c r="Z239" s="35">
        <f>IF($U239="",DATE(1900,1,1),$O239)</f>
        <v/>
      </c>
      <c r="AA239" s="32">
        <f>IF($U239="",0,$K239*$T239)</f>
        <v/>
      </c>
      <c r="AB239" s="21">
        <f>IF($C239="",0,IFERROR(INDEX(Deals!$AD$2:$AD$355,MATCH($C239,Deals!$A$2:$A$355,0)),0))</f>
        <v/>
      </c>
      <c r="AC239" s="32">
        <f>IF(Settings!$B$4="Yes",$I239*$AB239,$I239)</f>
        <v/>
      </c>
      <c r="AD239" s="22">
        <f>IF($C239="","",IFERROR(IF(INDEX(Deals!$AE$2:$AE$355,MATCH($C239,Deals!$A$2:$A$355,0))=0,"",INDEX(Deals!$AE$2:$AE$355,MATCH($C239,Deals!$A$2:$A$355,0))),""))</f>
        <v/>
      </c>
      <c r="AE239" s="22">
        <f>IF($C239="","",IFERROR(IF(INDEX(Deals!$AF$2:$AF$355,MATCH($C239,Deals!$A$2:$A$355,0))=0,"",INDEX(Deals!$AF$2:$AF$355,MATCH($C239,Deals!$A$2:$A$355,0))),""))</f>
        <v/>
      </c>
      <c r="AF239" s="35">
        <f>IF($AD239="",DATE(1900,1,1),$AD239)</f>
        <v/>
      </c>
      <c r="AG239" s="35">
        <f>IF($AE239="",DATE(2100,12,31),$AE239)</f>
        <v/>
      </c>
      <c r="AH239" s="22">
        <f>IF($C239="","",IFERROR(IF(INDEX(Deals!$AG$2:$AG$355,MATCH($C239,Deals!$A$2:$A$355,0))=0,"",INDEX(Deals!$AG$2:$AG$355,MATCH($C239,Deals!$A$2:$A$355,0))),""))</f>
        <v/>
      </c>
      <c r="AI239" s="35">
        <f>IF(OR($AH239&lt;&gt;"",AND($AO239&gt;0,$AD239&lt;&gt;"",$AE239&lt;&gt;"")),$AF239,DATE(1900,1,1))</f>
        <v/>
      </c>
      <c r="AJ239" s="35">
        <f>IF($AH239&lt;&gt;"",$AH239,IF(AND($AO239&gt;0,$AD239&lt;&gt;"",$AE239&lt;&gt;""),$AG239,DATE(2100,12,31)))</f>
        <v/>
      </c>
      <c r="AK239" s="32">
        <f>IF($AH239="",$AC239,$AC239*$S239)</f>
        <v/>
      </c>
      <c r="AL239" s="35">
        <f>IF($AH239="",DATE(2100,12,31),$AH239+1)</f>
        <v/>
      </c>
      <c r="AM239" s="35">
        <f>IF($AH239="",DATE(1900,1,1),$AG239)</f>
        <v/>
      </c>
      <c r="AN239" s="32">
        <f>IF($AH239="",0,$AC239*$T239)</f>
        <v/>
      </c>
      <c r="AO239" s="46">
        <f>IF($C239="",0,IFERROR(INDEX(Deals!$BD$2:$BD$355,MATCH($C239,Deals!$A$2:$A$355,0)),0))</f>
        <v/>
      </c>
      <c r="AP239" s="18">
        <f>IF($AO239=0,0,IFERROR(INDEX(Deals!$BJ$2:$BP$355,MATCH($C239,Deals!$A$2:$A$355,0),MATCH($F239,Deals!$BJ$1:$BP$1,0))/COUNTIFS(Assignments!$C$2:$C$769,$C239,Assignments!$F$2:$F$769,$F239,Assignments!$G$2:$G$769,"Active"),0))</f>
        <v/>
      </c>
    </row>
    <row r="240">
      <c r="A240" s="28" t="inlineStr">
        <is>
          <t>Justine</t>
        </is>
      </c>
      <c r="B240" s="16">
        <f>IF($A240="","",IFERROR(INDEX(Roster!$B$2:$B$40,MATCH($A240,Roster!$A$2:$A$40,0)),"?"))</f>
        <v/>
      </c>
      <c r="C240" s="28" t="inlineStr">
        <is>
          <t>Liquidation Henner US_1</t>
        </is>
      </c>
      <c r="D240" s="16">
        <f>IF($C240="","",IFERROR(IF(INDEX(Deals!$C$2:$C$355,MATCH($C240,Deals!$A$2:$A$355,0))=0,"",INDEX(Deals!$C$2:$C$355,MATCH($C240,Deals!$A$2:$A$355,0))),"?"))</f>
        <v/>
      </c>
      <c r="E240" s="16">
        <f>IF($C240="","",IFERROR(INDEX(Deals!$F$2:$F$355,MATCH($C240,Deals!$A$2:$A$355,0)),"?"))</f>
        <v/>
      </c>
      <c r="F240" s="28" t="inlineStr">
        <is>
          <t>Director</t>
        </is>
      </c>
      <c r="G240" s="28" t="inlineStr">
        <is>
          <t>Active</t>
        </is>
      </c>
      <c r="H240" s="31" t="n"/>
      <c r="I240" s="32">
        <f>IF(OR($A240="",$G240&lt;&gt;"Active"),0,IF($H240&lt;&gt;"",$H240,IF($AO240&gt;0,$AP240,IF(AND($R240&lt;&gt;"",IFERROR(INDEX(Templates!$B$3:$H$10,MATCH($R240,Templates!$A$3:$A$10,0),MATCH($F240,Templates!$B$2:$H$2,0)),0)&gt;0),INDEX(Templates!$B$3:$H$10,MATCH($R240,Templates!$A$3:$A$10,0),MATCH($F240,Templates!$B$2:$H$2,0)),IFERROR(INDEX(Settings!$B$8:$B$14,MATCH($F240,Settings!$A$8:$A$14,0)),0)))))</f>
        <v/>
      </c>
      <c r="J240" s="21">
        <f>IF($C240="",0,IFERROR(INDEX(Deals!$H$2:$H$355,MATCH($C240,Deals!$A$2:$A$355,0)),0))</f>
        <v/>
      </c>
      <c r="K240" s="32">
        <f>IF(Settings!$B$4="Yes",$I240*$J240,$I240)</f>
        <v/>
      </c>
      <c r="L240" s="22">
        <f>IF($C240="","",IFERROR(IF(INDEX(Deals!$I$2:$I$355,MATCH($C240,Deals!$A$2:$A$355,0))=0,"",INDEX(Deals!$I$2:$I$355,MATCH($C240,Deals!$A$2:$A$355,0))),""))</f>
        <v/>
      </c>
      <c r="M240" s="22">
        <f>IF($C240="","",IFERROR(IF(INDEX(Deals!$J$2:$J$355,MATCH($C240,Deals!$A$2:$A$355,0))=0,"",INDEX(Deals!$J$2:$J$355,MATCH($C240,Deals!$A$2:$A$355,0))),""))</f>
        <v/>
      </c>
      <c r="N240" s="35">
        <f>IF($L240="",DATE(1900,1,1),$L240)</f>
        <v/>
      </c>
      <c r="O240" s="35">
        <f>IF($M240="",DATE(2100,12,31),$M240)</f>
        <v/>
      </c>
      <c r="P240" s="20" t="inlineStr">
        <is>
          <t>Proposal</t>
        </is>
      </c>
      <c r="Q240" s="47" t="inlineStr"/>
      <c r="R240" s="16">
        <f>IF($C240="","",IFERROR(IF(INDEX(Deals!$U$2:$U$355,MATCH($C240,Deals!$A$2:$A$355,0))=0,"",INDEX(Deals!$U$2:$U$355,MATCH($C240,Deals!$A$2:$A$355,0))),""))</f>
        <v/>
      </c>
      <c r="S240" s="34">
        <f>IFERROR(IF($U240="",1,INDEX(Deals!$V$2:$V$355,MATCH($C240,Deals!$A$2:$A$355,0))),1)</f>
        <v/>
      </c>
      <c r="T240" s="34">
        <f>IFERROR(IF($U240="",1,INDEX(Deals!$W$2:$W$355,MATCH($C240,Deals!$A$2:$A$355,0))),1)</f>
        <v/>
      </c>
      <c r="U240" s="22">
        <f>IF($C240="","",IFERROR(IF(INDEX(Deals!$Y$2:$Y$355,MATCH($C240,Deals!$A$2:$A$355,0))=0,"",INDEX(Deals!$Y$2:$Y$355,MATCH($C240,Deals!$A$2:$A$355,0))),""))</f>
        <v/>
      </c>
      <c r="V240" s="35">
        <f>IF(OR($U240&lt;&gt;"",AND($AO240&gt;0,$L240&lt;&gt;"",$M240&lt;&gt;"")),$N240,DATE(1900,1,1))</f>
        <v/>
      </c>
      <c r="W240" s="35">
        <f>IF($U240&lt;&gt;"",$U240,IF(AND($AO240&gt;0,$L240&lt;&gt;"",$M240&lt;&gt;""),$O240,DATE(2100,12,31)))</f>
        <v/>
      </c>
      <c r="X240" s="32">
        <f>IF($U240="",$K240,$K240*$S240)</f>
        <v/>
      </c>
      <c r="Y240" s="35">
        <f>IF($U240="",DATE(2100,12,31),$U240+1)</f>
        <v/>
      </c>
      <c r="Z240" s="35">
        <f>IF($U240="",DATE(1900,1,1),$O240)</f>
        <v/>
      </c>
      <c r="AA240" s="32">
        <f>IF($U240="",0,$K240*$T240)</f>
        <v/>
      </c>
      <c r="AB240" s="21">
        <f>IF($C240="",0,IFERROR(INDEX(Deals!$AD$2:$AD$355,MATCH($C240,Deals!$A$2:$A$355,0)),0))</f>
        <v/>
      </c>
      <c r="AC240" s="32">
        <f>IF(Settings!$B$4="Yes",$I240*$AB240,$I240)</f>
        <v/>
      </c>
      <c r="AD240" s="22">
        <f>IF($C240="","",IFERROR(IF(INDEX(Deals!$AE$2:$AE$355,MATCH($C240,Deals!$A$2:$A$355,0))=0,"",INDEX(Deals!$AE$2:$AE$355,MATCH($C240,Deals!$A$2:$A$355,0))),""))</f>
        <v/>
      </c>
      <c r="AE240" s="22">
        <f>IF($C240="","",IFERROR(IF(INDEX(Deals!$AF$2:$AF$355,MATCH($C240,Deals!$A$2:$A$355,0))=0,"",INDEX(Deals!$AF$2:$AF$355,MATCH($C240,Deals!$A$2:$A$355,0))),""))</f>
        <v/>
      </c>
      <c r="AF240" s="35">
        <f>IF($AD240="",DATE(1900,1,1),$AD240)</f>
        <v/>
      </c>
      <c r="AG240" s="35">
        <f>IF($AE240="",DATE(2100,12,31),$AE240)</f>
        <v/>
      </c>
      <c r="AH240" s="22">
        <f>IF($C240="","",IFERROR(IF(INDEX(Deals!$AG$2:$AG$355,MATCH($C240,Deals!$A$2:$A$355,0))=0,"",INDEX(Deals!$AG$2:$AG$355,MATCH($C240,Deals!$A$2:$A$355,0))),""))</f>
        <v/>
      </c>
      <c r="AI240" s="35">
        <f>IF(OR($AH240&lt;&gt;"",AND($AO240&gt;0,$AD240&lt;&gt;"",$AE240&lt;&gt;"")),$AF240,DATE(1900,1,1))</f>
        <v/>
      </c>
      <c r="AJ240" s="35">
        <f>IF($AH240&lt;&gt;"",$AH240,IF(AND($AO240&gt;0,$AD240&lt;&gt;"",$AE240&lt;&gt;""),$AG240,DATE(2100,12,31)))</f>
        <v/>
      </c>
      <c r="AK240" s="32">
        <f>IF($AH240="",$AC240,$AC240*$S240)</f>
        <v/>
      </c>
      <c r="AL240" s="35">
        <f>IF($AH240="",DATE(2100,12,31),$AH240+1)</f>
        <v/>
      </c>
      <c r="AM240" s="35">
        <f>IF($AH240="",DATE(1900,1,1),$AG240)</f>
        <v/>
      </c>
      <c r="AN240" s="32">
        <f>IF($AH240="",0,$AC240*$T240)</f>
        <v/>
      </c>
      <c r="AO240" s="46">
        <f>IF($C240="",0,IFERROR(INDEX(Deals!$BD$2:$BD$355,MATCH($C240,Deals!$A$2:$A$355,0)),0))</f>
        <v/>
      </c>
      <c r="AP240" s="18">
        <f>IF($AO240=0,0,IFERROR(INDEX(Deals!$BJ$2:$BP$355,MATCH($C240,Deals!$A$2:$A$355,0),MATCH($F240,Deals!$BJ$1:$BP$1,0))/COUNTIFS(Assignments!$C$2:$C$769,$C240,Assignments!$F$2:$F$769,$F240,Assignments!$G$2:$G$769,"Active"),0))</f>
        <v/>
      </c>
    </row>
    <row r="241">
      <c r="A241" s="28" t="inlineStr">
        <is>
          <t>Justine</t>
        </is>
      </c>
      <c r="B241" s="16">
        <f>IF($A241="","",IFERROR(INDEX(Roster!$B$2:$B$40,MATCH($A241,Roster!$A$2:$A$40,0)),"?"))</f>
        <v/>
      </c>
      <c r="C241" s="28" t="inlineStr">
        <is>
          <t>LMNOP_1</t>
        </is>
      </c>
      <c r="D241" s="16">
        <f>IF($C241="","",IFERROR(IF(INDEX(Deals!$C$2:$C$355,MATCH($C241,Deals!$A$2:$A$355,0))=0,"",INDEX(Deals!$C$2:$C$355,MATCH($C241,Deals!$A$2:$A$355,0))),"?"))</f>
        <v/>
      </c>
      <c r="E241" s="16">
        <f>IF($C241="","",IFERROR(INDEX(Deals!$F$2:$F$355,MATCH($C241,Deals!$A$2:$A$355,0)),"?"))</f>
        <v/>
      </c>
      <c r="F241" s="28" t="inlineStr">
        <is>
          <t>Director</t>
        </is>
      </c>
      <c r="G241" s="28" t="inlineStr">
        <is>
          <t>Active</t>
        </is>
      </c>
      <c r="H241" s="31" t="n"/>
      <c r="I241" s="32">
        <f>IF(OR($A241="",$G241&lt;&gt;"Active"),0,IF($H241&lt;&gt;"",$H241,IF($AO241&gt;0,$AP241,IF(AND($R241&lt;&gt;"",IFERROR(INDEX(Templates!$B$3:$H$10,MATCH($R241,Templates!$A$3:$A$10,0),MATCH($F241,Templates!$B$2:$H$2,0)),0)&gt;0),INDEX(Templates!$B$3:$H$10,MATCH($R241,Templates!$A$3:$A$10,0),MATCH($F241,Templates!$B$2:$H$2,0)),IFERROR(INDEX(Settings!$B$8:$B$14,MATCH($F241,Settings!$A$8:$A$14,0)),0)))))</f>
        <v/>
      </c>
      <c r="J241" s="21">
        <f>IF($C241="",0,IFERROR(INDEX(Deals!$H$2:$H$355,MATCH($C241,Deals!$A$2:$A$355,0)),0))</f>
        <v/>
      </c>
      <c r="K241" s="32">
        <f>IF(Settings!$B$4="Yes",$I241*$J241,$I241)</f>
        <v/>
      </c>
      <c r="L241" s="22">
        <f>IF($C241="","",IFERROR(IF(INDEX(Deals!$I$2:$I$355,MATCH($C241,Deals!$A$2:$A$355,0))=0,"",INDEX(Deals!$I$2:$I$355,MATCH($C241,Deals!$A$2:$A$355,0))),""))</f>
        <v/>
      </c>
      <c r="M241" s="22">
        <f>IF($C241="","",IFERROR(IF(INDEX(Deals!$J$2:$J$355,MATCH($C241,Deals!$A$2:$A$355,0))=0,"",INDEX(Deals!$J$2:$J$355,MATCH($C241,Deals!$A$2:$A$355,0))),""))</f>
        <v/>
      </c>
      <c r="N241" s="35">
        <f>IF($L241="",DATE(1900,1,1),$L241)</f>
        <v/>
      </c>
      <c r="O241" s="35">
        <f>IF($M241="",DATE(2100,12,31),$M241)</f>
        <v/>
      </c>
      <c r="P241" s="20" t="inlineStr">
        <is>
          <t>Proposal</t>
        </is>
      </c>
      <c r="Q241" s="47" t="inlineStr"/>
      <c r="R241" s="16">
        <f>IF($C241="","",IFERROR(IF(INDEX(Deals!$U$2:$U$355,MATCH($C241,Deals!$A$2:$A$355,0))=0,"",INDEX(Deals!$U$2:$U$355,MATCH($C241,Deals!$A$2:$A$355,0))),""))</f>
        <v/>
      </c>
      <c r="S241" s="34">
        <f>IFERROR(IF($U241="",1,INDEX(Deals!$V$2:$V$355,MATCH($C241,Deals!$A$2:$A$355,0))),1)</f>
        <v/>
      </c>
      <c r="T241" s="34">
        <f>IFERROR(IF($U241="",1,INDEX(Deals!$W$2:$W$355,MATCH($C241,Deals!$A$2:$A$355,0))),1)</f>
        <v/>
      </c>
      <c r="U241" s="22">
        <f>IF($C241="","",IFERROR(IF(INDEX(Deals!$Y$2:$Y$355,MATCH($C241,Deals!$A$2:$A$355,0))=0,"",INDEX(Deals!$Y$2:$Y$355,MATCH($C241,Deals!$A$2:$A$355,0))),""))</f>
        <v/>
      </c>
      <c r="V241" s="35">
        <f>IF(OR($U241&lt;&gt;"",AND($AO241&gt;0,$L241&lt;&gt;"",$M241&lt;&gt;"")),$N241,DATE(1900,1,1))</f>
        <v/>
      </c>
      <c r="W241" s="35">
        <f>IF($U241&lt;&gt;"",$U241,IF(AND($AO241&gt;0,$L241&lt;&gt;"",$M241&lt;&gt;""),$O241,DATE(2100,12,31)))</f>
        <v/>
      </c>
      <c r="X241" s="32">
        <f>IF($U241="",$K241,$K241*$S241)</f>
        <v/>
      </c>
      <c r="Y241" s="35">
        <f>IF($U241="",DATE(2100,12,31),$U241+1)</f>
        <v/>
      </c>
      <c r="Z241" s="35">
        <f>IF($U241="",DATE(1900,1,1),$O241)</f>
        <v/>
      </c>
      <c r="AA241" s="32">
        <f>IF($U241="",0,$K241*$T241)</f>
        <v/>
      </c>
      <c r="AB241" s="21">
        <f>IF($C241="",0,IFERROR(INDEX(Deals!$AD$2:$AD$355,MATCH($C241,Deals!$A$2:$A$355,0)),0))</f>
        <v/>
      </c>
      <c r="AC241" s="32">
        <f>IF(Settings!$B$4="Yes",$I241*$AB241,$I241)</f>
        <v/>
      </c>
      <c r="AD241" s="22">
        <f>IF($C241="","",IFERROR(IF(INDEX(Deals!$AE$2:$AE$355,MATCH($C241,Deals!$A$2:$A$355,0))=0,"",INDEX(Deals!$AE$2:$AE$355,MATCH($C241,Deals!$A$2:$A$355,0))),""))</f>
        <v/>
      </c>
      <c r="AE241" s="22">
        <f>IF($C241="","",IFERROR(IF(INDEX(Deals!$AF$2:$AF$355,MATCH($C241,Deals!$A$2:$A$355,0))=0,"",INDEX(Deals!$AF$2:$AF$355,MATCH($C241,Deals!$A$2:$A$355,0))),""))</f>
        <v/>
      </c>
      <c r="AF241" s="35">
        <f>IF($AD241="",DATE(1900,1,1),$AD241)</f>
        <v/>
      </c>
      <c r="AG241" s="35">
        <f>IF($AE241="",DATE(2100,12,31),$AE241)</f>
        <v/>
      </c>
      <c r="AH241" s="22">
        <f>IF($C241="","",IFERROR(IF(INDEX(Deals!$AG$2:$AG$355,MATCH($C241,Deals!$A$2:$A$355,0))=0,"",INDEX(Deals!$AG$2:$AG$355,MATCH($C241,Deals!$A$2:$A$355,0))),""))</f>
        <v/>
      </c>
      <c r="AI241" s="35">
        <f>IF(OR($AH241&lt;&gt;"",AND($AO241&gt;0,$AD241&lt;&gt;"",$AE241&lt;&gt;"")),$AF241,DATE(1900,1,1))</f>
        <v/>
      </c>
      <c r="AJ241" s="35">
        <f>IF($AH241&lt;&gt;"",$AH241,IF(AND($AO241&gt;0,$AD241&lt;&gt;"",$AE241&lt;&gt;""),$AG241,DATE(2100,12,31)))</f>
        <v/>
      </c>
      <c r="AK241" s="32">
        <f>IF($AH241="",$AC241,$AC241*$S241)</f>
        <v/>
      </c>
      <c r="AL241" s="35">
        <f>IF($AH241="",DATE(2100,12,31),$AH241+1)</f>
        <v/>
      </c>
      <c r="AM241" s="35">
        <f>IF($AH241="",DATE(1900,1,1),$AG241)</f>
        <v/>
      </c>
      <c r="AN241" s="32">
        <f>IF($AH241="",0,$AC241*$T241)</f>
        <v/>
      </c>
      <c r="AO241" s="46">
        <f>IF($C241="",0,IFERROR(INDEX(Deals!$BD$2:$BD$355,MATCH($C241,Deals!$A$2:$A$355,0)),0))</f>
        <v/>
      </c>
      <c r="AP241" s="18">
        <f>IF($AO241=0,0,IFERROR(INDEX(Deals!$BJ$2:$BP$355,MATCH($C241,Deals!$A$2:$A$355,0),MATCH($F241,Deals!$BJ$1:$BP$1,0))/COUNTIFS(Assignments!$C$2:$C$769,$C241,Assignments!$F$2:$F$769,$F241,Assignments!$G$2:$G$769,"Active"),0))</f>
        <v/>
      </c>
    </row>
    <row r="242">
      <c r="A242" s="28" t="inlineStr">
        <is>
          <t>Justine</t>
        </is>
      </c>
      <c r="B242" s="16">
        <f>IF($A242="","",IFERROR(INDEX(Roster!$B$2:$B$40,MATCH($A242,Roster!$A$2:$A$40,0)),"?"))</f>
        <v/>
      </c>
      <c r="C242" s="28" t="inlineStr">
        <is>
          <t>LOB Analysis_1</t>
        </is>
      </c>
      <c r="D242" s="16">
        <f>IF($C242="","",IFERROR(IF(INDEX(Deals!$C$2:$C$355,MATCH($C242,Deals!$A$2:$A$355,0))=0,"",INDEX(Deals!$C$2:$C$355,MATCH($C242,Deals!$A$2:$A$355,0))),"?"))</f>
        <v/>
      </c>
      <c r="E242" s="16">
        <f>IF($C242="","",IFERROR(INDEX(Deals!$F$2:$F$355,MATCH($C242,Deals!$A$2:$A$355,0)),"?"))</f>
        <v/>
      </c>
      <c r="F242" s="28" t="inlineStr">
        <is>
          <t>Director</t>
        </is>
      </c>
      <c r="G242" s="28" t="inlineStr">
        <is>
          <t>Inactive</t>
        </is>
      </c>
      <c r="H242" s="31" t="n"/>
      <c r="I242" s="32">
        <f>IF(OR($A242="",$G242&lt;&gt;"Active"),0,IF($H242&lt;&gt;"",$H242,IF($AO242&gt;0,$AP242,IF(AND($R242&lt;&gt;"",IFERROR(INDEX(Templates!$B$3:$H$10,MATCH($R242,Templates!$A$3:$A$10,0),MATCH($F242,Templates!$B$2:$H$2,0)),0)&gt;0),INDEX(Templates!$B$3:$H$10,MATCH($R242,Templates!$A$3:$A$10,0),MATCH($F242,Templates!$B$2:$H$2,0)),IFERROR(INDEX(Settings!$B$8:$B$14,MATCH($F242,Settings!$A$8:$A$14,0)),0)))))</f>
        <v/>
      </c>
      <c r="J242" s="21">
        <f>IF($C242="",0,IFERROR(INDEX(Deals!$H$2:$H$355,MATCH($C242,Deals!$A$2:$A$355,0)),0))</f>
        <v/>
      </c>
      <c r="K242" s="32">
        <f>IF(Settings!$B$4="Yes",$I242*$J242,$I242)</f>
        <v/>
      </c>
      <c r="L242" s="22">
        <f>IF($C242="","",IFERROR(IF(INDEX(Deals!$I$2:$I$355,MATCH($C242,Deals!$A$2:$A$355,0))=0,"",INDEX(Deals!$I$2:$I$355,MATCH($C242,Deals!$A$2:$A$355,0))),""))</f>
        <v/>
      </c>
      <c r="M242" s="22">
        <f>IF($C242="","",IFERROR(IF(INDEX(Deals!$J$2:$J$355,MATCH($C242,Deals!$A$2:$A$355,0))=0,"",INDEX(Deals!$J$2:$J$355,MATCH($C242,Deals!$A$2:$A$355,0))),""))</f>
        <v/>
      </c>
      <c r="N242" s="35">
        <f>IF($L242="",DATE(1900,1,1),$L242)</f>
        <v/>
      </c>
      <c r="O242" s="35">
        <f>IF($M242="",DATE(2100,12,31),$M242)</f>
        <v/>
      </c>
      <c r="P242" s="20" t="inlineStr">
        <is>
          <t>Dead</t>
        </is>
      </c>
      <c r="Q242" s="47" t="inlineStr"/>
      <c r="R242" s="16">
        <f>IF($C242="","",IFERROR(IF(INDEX(Deals!$U$2:$U$355,MATCH($C242,Deals!$A$2:$A$355,0))=0,"",INDEX(Deals!$U$2:$U$355,MATCH($C242,Deals!$A$2:$A$355,0))),""))</f>
        <v/>
      </c>
      <c r="S242" s="34">
        <f>IFERROR(IF($U242="",1,INDEX(Deals!$V$2:$V$355,MATCH($C242,Deals!$A$2:$A$355,0))),1)</f>
        <v/>
      </c>
      <c r="T242" s="34">
        <f>IFERROR(IF($U242="",1,INDEX(Deals!$W$2:$W$355,MATCH($C242,Deals!$A$2:$A$355,0))),1)</f>
        <v/>
      </c>
      <c r="U242" s="22">
        <f>IF($C242="","",IFERROR(IF(INDEX(Deals!$Y$2:$Y$355,MATCH($C242,Deals!$A$2:$A$355,0))=0,"",INDEX(Deals!$Y$2:$Y$355,MATCH($C242,Deals!$A$2:$A$355,0))),""))</f>
        <v/>
      </c>
      <c r="V242" s="35">
        <f>IF(OR($U242&lt;&gt;"",AND($AO242&gt;0,$L242&lt;&gt;"",$M242&lt;&gt;"")),$N242,DATE(1900,1,1))</f>
        <v/>
      </c>
      <c r="W242" s="35">
        <f>IF($U242&lt;&gt;"",$U242,IF(AND($AO242&gt;0,$L242&lt;&gt;"",$M242&lt;&gt;""),$O242,DATE(2100,12,31)))</f>
        <v/>
      </c>
      <c r="X242" s="32">
        <f>IF($U242="",$K242,$K242*$S242)</f>
        <v/>
      </c>
      <c r="Y242" s="35">
        <f>IF($U242="",DATE(2100,12,31),$U242+1)</f>
        <v/>
      </c>
      <c r="Z242" s="35">
        <f>IF($U242="",DATE(1900,1,1),$O242)</f>
        <v/>
      </c>
      <c r="AA242" s="32">
        <f>IF($U242="",0,$K242*$T242)</f>
        <v/>
      </c>
      <c r="AB242" s="21">
        <f>IF($C242="",0,IFERROR(INDEX(Deals!$AD$2:$AD$355,MATCH($C242,Deals!$A$2:$A$355,0)),0))</f>
        <v/>
      </c>
      <c r="AC242" s="32">
        <f>IF(Settings!$B$4="Yes",$I242*$AB242,$I242)</f>
        <v/>
      </c>
      <c r="AD242" s="22">
        <f>IF($C242="","",IFERROR(IF(INDEX(Deals!$AE$2:$AE$355,MATCH($C242,Deals!$A$2:$A$355,0))=0,"",INDEX(Deals!$AE$2:$AE$355,MATCH($C242,Deals!$A$2:$A$355,0))),""))</f>
        <v/>
      </c>
      <c r="AE242" s="22">
        <f>IF($C242="","",IFERROR(IF(INDEX(Deals!$AF$2:$AF$355,MATCH($C242,Deals!$A$2:$A$355,0))=0,"",INDEX(Deals!$AF$2:$AF$355,MATCH($C242,Deals!$A$2:$A$355,0))),""))</f>
        <v/>
      </c>
      <c r="AF242" s="35">
        <f>IF($AD242="",DATE(1900,1,1),$AD242)</f>
        <v/>
      </c>
      <c r="AG242" s="35">
        <f>IF($AE242="",DATE(2100,12,31),$AE242)</f>
        <v/>
      </c>
      <c r="AH242" s="22">
        <f>IF($C242="","",IFERROR(IF(INDEX(Deals!$AG$2:$AG$355,MATCH($C242,Deals!$A$2:$A$355,0))=0,"",INDEX(Deals!$AG$2:$AG$355,MATCH($C242,Deals!$A$2:$A$355,0))),""))</f>
        <v/>
      </c>
      <c r="AI242" s="35">
        <f>IF(OR($AH242&lt;&gt;"",AND($AO242&gt;0,$AD242&lt;&gt;"",$AE242&lt;&gt;"")),$AF242,DATE(1900,1,1))</f>
        <v/>
      </c>
      <c r="AJ242" s="35">
        <f>IF($AH242&lt;&gt;"",$AH242,IF(AND($AO242&gt;0,$AD242&lt;&gt;"",$AE242&lt;&gt;""),$AG242,DATE(2100,12,31)))</f>
        <v/>
      </c>
      <c r="AK242" s="32">
        <f>IF($AH242="",$AC242,$AC242*$S242)</f>
        <v/>
      </c>
      <c r="AL242" s="35">
        <f>IF($AH242="",DATE(2100,12,31),$AH242+1)</f>
        <v/>
      </c>
      <c r="AM242" s="35">
        <f>IF($AH242="",DATE(1900,1,1),$AG242)</f>
        <v/>
      </c>
      <c r="AN242" s="32">
        <f>IF($AH242="",0,$AC242*$T242)</f>
        <v/>
      </c>
      <c r="AO242" s="46">
        <f>IF($C242="",0,IFERROR(INDEX(Deals!$BD$2:$BD$355,MATCH($C242,Deals!$A$2:$A$355,0)),0))</f>
        <v/>
      </c>
      <c r="AP242" s="18">
        <f>IF($AO242=0,0,IFERROR(INDEX(Deals!$BJ$2:$BP$355,MATCH($C242,Deals!$A$2:$A$355,0),MATCH($F242,Deals!$BJ$1:$BP$1,0))/COUNTIFS(Assignments!$C$2:$C$769,$C242,Assignments!$F$2:$F$769,$F242,Assignments!$G$2:$G$769,"Active"),0))</f>
        <v/>
      </c>
    </row>
    <row r="243">
      <c r="A243" s="28" t="inlineStr">
        <is>
          <t>Justine</t>
        </is>
      </c>
      <c r="B243" s="16">
        <f>IF($A243="","",IFERROR(INDEX(Roster!$B$2:$B$40,MATCH($A243,Roster!$A$2:$A$40,0)),"?"))</f>
        <v/>
      </c>
      <c r="C243" s="28" t="inlineStr">
        <is>
          <t>Malta_1</t>
        </is>
      </c>
      <c r="D243" s="16">
        <f>IF($C243="","",IFERROR(IF(INDEX(Deals!$C$2:$C$355,MATCH($C243,Deals!$A$2:$A$355,0))=0,"",INDEX(Deals!$C$2:$C$355,MATCH($C243,Deals!$A$2:$A$355,0))),"?"))</f>
        <v/>
      </c>
      <c r="E243" s="16">
        <f>IF($C243="","",IFERROR(INDEX(Deals!$F$2:$F$355,MATCH($C243,Deals!$A$2:$A$355,0)),"?"))</f>
        <v/>
      </c>
      <c r="F243" s="28" t="inlineStr">
        <is>
          <t>Director</t>
        </is>
      </c>
      <c r="G243" s="28" t="inlineStr">
        <is>
          <t>Inactive</t>
        </is>
      </c>
      <c r="H243" s="31" t="n"/>
      <c r="I243" s="32">
        <f>IF(OR($A243="",$G243&lt;&gt;"Active"),0,IF($H243&lt;&gt;"",$H243,IF($AO243&gt;0,$AP243,IF(AND($R243&lt;&gt;"",IFERROR(INDEX(Templates!$B$3:$H$10,MATCH($R243,Templates!$A$3:$A$10,0),MATCH($F243,Templates!$B$2:$H$2,0)),0)&gt;0),INDEX(Templates!$B$3:$H$10,MATCH($R243,Templates!$A$3:$A$10,0),MATCH($F243,Templates!$B$2:$H$2,0)),IFERROR(INDEX(Settings!$B$8:$B$14,MATCH($F243,Settings!$A$8:$A$14,0)),0)))))</f>
        <v/>
      </c>
      <c r="J243" s="21">
        <f>IF($C243="",0,IFERROR(INDEX(Deals!$H$2:$H$355,MATCH($C243,Deals!$A$2:$A$355,0)),0))</f>
        <v/>
      </c>
      <c r="K243" s="32">
        <f>IF(Settings!$B$4="Yes",$I243*$J243,$I243)</f>
        <v/>
      </c>
      <c r="L243" s="22">
        <f>IF($C243="","",IFERROR(IF(INDEX(Deals!$I$2:$I$355,MATCH($C243,Deals!$A$2:$A$355,0))=0,"",INDEX(Deals!$I$2:$I$355,MATCH($C243,Deals!$A$2:$A$355,0))),""))</f>
        <v/>
      </c>
      <c r="M243" s="22">
        <f>IF($C243="","",IFERROR(IF(INDEX(Deals!$J$2:$J$355,MATCH($C243,Deals!$A$2:$A$355,0))=0,"",INDEX(Deals!$J$2:$J$355,MATCH($C243,Deals!$A$2:$A$355,0))),""))</f>
        <v/>
      </c>
      <c r="N243" s="35">
        <f>IF($L243="",DATE(1900,1,1),$L243)</f>
        <v/>
      </c>
      <c r="O243" s="35">
        <f>IF($M243="",DATE(2100,12,31),$M243)</f>
        <v/>
      </c>
      <c r="P243" s="20" t="inlineStr">
        <is>
          <t>Dead</t>
        </is>
      </c>
      <c r="Q243" s="47" t="inlineStr"/>
      <c r="R243" s="16">
        <f>IF($C243="","",IFERROR(IF(INDEX(Deals!$U$2:$U$355,MATCH($C243,Deals!$A$2:$A$355,0))=0,"",INDEX(Deals!$U$2:$U$355,MATCH($C243,Deals!$A$2:$A$355,0))),""))</f>
        <v/>
      </c>
      <c r="S243" s="34">
        <f>IFERROR(IF($U243="",1,INDEX(Deals!$V$2:$V$355,MATCH($C243,Deals!$A$2:$A$355,0))),1)</f>
        <v/>
      </c>
      <c r="T243" s="34">
        <f>IFERROR(IF($U243="",1,INDEX(Deals!$W$2:$W$355,MATCH($C243,Deals!$A$2:$A$355,0))),1)</f>
        <v/>
      </c>
      <c r="U243" s="22">
        <f>IF($C243="","",IFERROR(IF(INDEX(Deals!$Y$2:$Y$355,MATCH($C243,Deals!$A$2:$A$355,0))=0,"",INDEX(Deals!$Y$2:$Y$355,MATCH($C243,Deals!$A$2:$A$355,0))),""))</f>
        <v/>
      </c>
      <c r="V243" s="35">
        <f>IF(OR($U243&lt;&gt;"",AND($AO243&gt;0,$L243&lt;&gt;"",$M243&lt;&gt;"")),$N243,DATE(1900,1,1))</f>
        <v/>
      </c>
      <c r="W243" s="35">
        <f>IF($U243&lt;&gt;"",$U243,IF(AND($AO243&gt;0,$L243&lt;&gt;"",$M243&lt;&gt;""),$O243,DATE(2100,12,31)))</f>
        <v/>
      </c>
      <c r="X243" s="32">
        <f>IF($U243="",$K243,$K243*$S243)</f>
        <v/>
      </c>
      <c r="Y243" s="35">
        <f>IF($U243="",DATE(2100,12,31),$U243+1)</f>
        <v/>
      </c>
      <c r="Z243" s="35">
        <f>IF($U243="",DATE(1900,1,1),$O243)</f>
        <v/>
      </c>
      <c r="AA243" s="32">
        <f>IF($U243="",0,$K243*$T243)</f>
        <v/>
      </c>
      <c r="AB243" s="21">
        <f>IF($C243="",0,IFERROR(INDEX(Deals!$AD$2:$AD$355,MATCH($C243,Deals!$A$2:$A$355,0)),0))</f>
        <v/>
      </c>
      <c r="AC243" s="32">
        <f>IF(Settings!$B$4="Yes",$I243*$AB243,$I243)</f>
        <v/>
      </c>
      <c r="AD243" s="22">
        <f>IF($C243="","",IFERROR(IF(INDEX(Deals!$AE$2:$AE$355,MATCH($C243,Deals!$A$2:$A$355,0))=0,"",INDEX(Deals!$AE$2:$AE$355,MATCH($C243,Deals!$A$2:$A$355,0))),""))</f>
        <v/>
      </c>
      <c r="AE243" s="22">
        <f>IF($C243="","",IFERROR(IF(INDEX(Deals!$AF$2:$AF$355,MATCH($C243,Deals!$A$2:$A$355,0))=0,"",INDEX(Deals!$AF$2:$AF$355,MATCH($C243,Deals!$A$2:$A$355,0))),""))</f>
        <v/>
      </c>
      <c r="AF243" s="35">
        <f>IF($AD243="",DATE(1900,1,1),$AD243)</f>
        <v/>
      </c>
      <c r="AG243" s="35">
        <f>IF($AE243="",DATE(2100,12,31),$AE243)</f>
        <v/>
      </c>
      <c r="AH243" s="22">
        <f>IF($C243="","",IFERROR(IF(INDEX(Deals!$AG$2:$AG$355,MATCH($C243,Deals!$A$2:$A$355,0))=0,"",INDEX(Deals!$AG$2:$AG$355,MATCH($C243,Deals!$A$2:$A$355,0))),""))</f>
        <v/>
      </c>
      <c r="AI243" s="35">
        <f>IF(OR($AH243&lt;&gt;"",AND($AO243&gt;0,$AD243&lt;&gt;"",$AE243&lt;&gt;"")),$AF243,DATE(1900,1,1))</f>
        <v/>
      </c>
      <c r="AJ243" s="35">
        <f>IF($AH243&lt;&gt;"",$AH243,IF(AND($AO243&gt;0,$AD243&lt;&gt;"",$AE243&lt;&gt;""),$AG243,DATE(2100,12,31)))</f>
        <v/>
      </c>
      <c r="AK243" s="32">
        <f>IF($AH243="",$AC243,$AC243*$S243)</f>
        <v/>
      </c>
      <c r="AL243" s="35">
        <f>IF($AH243="",DATE(2100,12,31),$AH243+1)</f>
        <v/>
      </c>
      <c r="AM243" s="35">
        <f>IF($AH243="",DATE(1900,1,1),$AG243)</f>
        <v/>
      </c>
      <c r="AN243" s="32">
        <f>IF($AH243="",0,$AC243*$T243)</f>
        <v/>
      </c>
      <c r="AO243" s="46">
        <f>IF($C243="",0,IFERROR(INDEX(Deals!$BD$2:$BD$355,MATCH($C243,Deals!$A$2:$A$355,0)),0))</f>
        <v/>
      </c>
      <c r="AP243" s="18">
        <f>IF($AO243=0,0,IFERROR(INDEX(Deals!$BJ$2:$BP$355,MATCH($C243,Deals!$A$2:$A$355,0),MATCH($F243,Deals!$BJ$1:$BP$1,0))/COUNTIFS(Assignments!$C$2:$C$769,$C243,Assignments!$F$2:$F$769,$F243,Assignments!$G$2:$G$769,"Active"),0))</f>
        <v/>
      </c>
    </row>
    <row r="244">
      <c r="A244" s="28" t="inlineStr">
        <is>
          <t>Justine</t>
        </is>
      </c>
      <c r="B244" s="16">
        <f>IF($A244="","",IFERROR(INDEX(Roster!$B$2:$B$40,MATCH($A244,Roster!$A$2:$A$40,0)),"?"))</f>
        <v/>
      </c>
      <c r="C244" s="28" t="inlineStr">
        <is>
          <t>Marle_1</t>
        </is>
      </c>
      <c r="D244" s="16">
        <f>IF($C244="","",IFERROR(IF(INDEX(Deals!$C$2:$C$355,MATCH($C244,Deals!$A$2:$A$355,0))=0,"",INDEX(Deals!$C$2:$C$355,MATCH($C244,Deals!$A$2:$A$355,0))),"?"))</f>
        <v/>
      </c>
      <c r="E244" s="16">
        <f>IF($C244="","",IFERROR(INDEX(Deals!$F$2:$F$355,MATCH($C244,Deals!$A$2:$A$355,0)),"?"))</f>
        <v/>
      </c>
      <c r="F244" s="28" t="inlineStr">
        <is>
          <t>Director</t>
        </is>
      </c>
      <c r="G244" s="28" t="inlineStr">
        <is>
          <t>Inactive</t>
        </is>
      </c>
      <c r="H244" s="31" t="n"/>
      <c r="I244" s="32">
        <f>IF(OR($A244="",$G244&lt;&gt;"Active"),0,IF($H244&lt;&gt;"",$H244,IF($AO244&gt;0,$AP244,IF(AND($R244&lt;&gt;"",IFERROR(INDEX(Templates!$B$3:$H$10,MATCH($R244,Templates!$A$3:$A$10,0),MATCH($F244,Templates!$B$2:$H$2,0)),0)&gt;0),INDEX(Templates!$B$3:$H$10,MATCH($R244,Templates!$A$3:$A$10,0),MATCH($F244,Templates!$B$2:$H$2,0)),IFERROR(INDEX(Settings!$B$8:$B$14,MATCH($F244,Settings!$A$8:$A$14,0)),0)))))</f>
        <v/>
      </c>
      <c r="J244" s="21">
        <f>IF($C244="",0,IFERROR(INDEX(Deals!$H$2:$H$355,MATCH($C244,Deals!$A$2:$A$355,0)),0))</f>
        <v/>
      </c>
      <c r="K244" s="32">
        <f>IF(Settings!$B$4="Yes",$I244*$J244,$I244)</f>
        <v/>
      </c>
      <c r="L244" s="22">
        <f>IF($C244="","",IFERROR(IF(INDEX(Deals!$I$2:$I$355,MATCH($C244,Deals!$A$2:$A$355,0))=0,"",INDEX(Deals!$I$2:$I$355,MATCH($C244,Deals!$A$2:$A$355,0))),""))</f>
        <v/>
      </c>
      <c r="M244" s="22">
        <f>IF($C244="","",IFERROR(IF(INDEX(Deals!$J$2:$J$355,MATCH($C244,Deals!$A$2:$A$355,0))=0,"",INDEX(Deals!$J$2:$J$355,MATCH($C244,Deals!$A$2:$A$355,0))),""))</f>
        <v/>
      </c>
      <c r="N244" s="35">
        <f>IF($L244="",DATE(1900,1,1),$L244)</f>
        <v/>
      </c>
      <c r="O244" s="35">
        <f>IF($M244="",DATE(2100,12,31),$M244)</f>
        <v/>
      </c>
      <c r="P244" s="20" t="inlineStr">
        <is>
          <t>Closed</t>
        </is>
      </c>
      <c r="Q244" s="47" t="inlineStr"/>
      <c r="R244" s="16">
        <f>IF($C244="","",IFERROR(IF(INDEX(Deals!$U$2:$U$355,MATCH($C244,Deals!$A$2:$A$355,0))=0,"",INDEX(Deals!$U$2:$U$355,MATCH($C244,Deals!$A$2:$A$355,0))),""))</f>
        <v/>
      </c>
      <c r="S244" s="34">
        <f>IFERROR(IF($U244="",1,INDEX(Deals!$V$2:$V$355,MATCH($C244,Deals!$A$2:$A$355,0))),1)</f>
        <v/>
      </c>
      <c r="T244" s="34">
        <f>IFERROR(IF($U244="",1,INDEX(Deals!$W$2:$W$355,MATCH($C244,Deals!$A$2:$A$355,0))),1)</f>
        <v/>
      </c>
      <c r="U244" s="22">
        <f>IF($C244="","",IFERROR(IF(INDEX(Deals!$Y$2:$Y$355,MATCH($C244,Deals!$A$2:$A$355,0))=0,"",INDEX(Deals!$Y$2:$Y$355,MATCH($C244,Deals!$A$2:$A$355,0))),""))</f>
        <v/>
      </c>
      <c r="V244" s="35">
        <f>IF(OR($U244&lt;&gt;"",AND($AO244&gt;0,$L244&lt;&gt;"",$M244&lt;&gt;"")),$N244,DATE(1900,1,1))</f>
        <v/>
      </c>
      <c r="W244" s="35">
        <f>IF($U244&lt;&gt;"",$U244,IF(AND($AO244&gt;0,$L244&lt;&gt;"",$M244&lt;&gt;""),$O244,DATE(2100,12,31)))</f>
        <v/>
      </c>
      <c r="X244" s="32">
        <f>IF($U244="",$K244,$K244*$S244)</f>
        <v/>
      </c>
      <c r="Y244" s="35">
        <f>IF($U244="",DATE(2100,12,31),$U244+1)</f>
        <v/>
      </c>
      <c r="Z244" s="35">
        <f>IF($U244="",DATE(1900,1,1),$O244)</f>
        <v/>
      </c>
      <c r="AA244" s="32">
        <f>IF($U244="",0,$K244*$T244)</f>
        <v/>
      </c>
      <c r="AB244" s="21">
        <f>IF($C244="",0,IFERROR(INDEX(Deals!$AD$2:$AD$355,MATCH($C244,Deals!$A$2:$A$355,0)),0))</f>
        <v/>
      </c>
      <c r="AC244" s="32">
        <f>IF(Settings!$B$4="Yes",$I244*$AB244,$I244)</f>
        <v/>
      </c>
      <c r="AD244" s="22">
        <f>IF($C244="","",IFERROR(IF(INDEX(Deals!$AE$2:$AE$355,MATCH($C244,Deals!$A$2:$A$355,0))=0,"",INDEX(Deals!$AE$2:$AE$355,MATCH($C244,Deals!$A$2:$A$355,0))),""))</f>
        <v/>
      </c>
      <c r="AE244" s="22">
        <f>IF($C244="","",IFERROR(IF(INDEX(Deals!$AF$2:$AF$355,MATCH($C244,Deals!$A$2:$A$355,0))=0,"",INDEX(Deals!$AF$2:$AF$355,MATCH($C244,Deals!$A$2:$A$355,0))),""))</f>
        <v/>
      </c>
      <c r="AF244" s="35">
        <f>IF($AD244="",DATE(1900,1,1),$AD244)</f>
        <v/>
      </c>
      <c r="AG244" s="35">
        <f>IF($AE244="",DATE(2100,12,31),$AE244)</f>
        <v/>
      </c>
      <c r="AH244" s="22">
        <f>IF($C244="","",IFERROR(IF(INDEX(Deals!$AG$2:$AG$355,MATCH($C244,Deals!$A$2:$A$355,0))=0,"",INDEX(Deals!$AG$2:$AG$355,MATCH($C244,Deals!$A$2:$A$355,0))),""))</f>
        <v/>
      </c>
      <c r="AI244" s="35">
        <f>IF(OR($AH244&lt;&gt;"",AND($AO244&gt;0,$AD244&lt;&gt;"",$AE244&lt;&gt;"")),$AF244,DATE(1900,1,1))</f>
        <v/>
      </c>
      <c r="AJ244" s="35">
        <f>IF($AH244&lt;&gt;"",$AH244,IF(AND($AO244&gt;0,$AD244&lt;&gt;"",$AE244&lt;&gt;""),$AG244,DATE(2100,12,31)))</f>
        <v/>
      </c>
      <c r="AK244" s="32">
        <f>IF($AH244="",$AC244,$AC244*$S244)</f>
        <v/>
      </c>
      <c r="AL244" s="35">
        <f>IF($AH244="",DATE(2100,12,31),$AH244+1)</f>
        <v/>
      </c>
      <c r="AM244" s="35">
        <f>IF($AH244="",DATE(1900,1,1),$AG244)</f>
        <v/>
      </c>
      <c r="AN244" s="32">
        <f>IF($AH244="",0,$AC244*$T244)</f>
        <v/>
      </c>
      <c r="AO244" s="46">
        <f>IF($C244="",0,IFERROR(INDEX(Deals!$BD$2:$BD$355,MATCH($C244,Deals!$A$2:$A$355,0)),0))</f>
        <v/>
      </c>
      <c r="AP244" s="18">
        <f>IF($AO244=0,0,IFERROR(INDEX(Deals!$BJ$2:$BP$355,MATCH($C244,Deals!$A$2:$A$355,0),MATCH($F244,Deals!$BJ$1:$BP$1,0))/COUNTIFS(Assignments!$C$2:$C$769,$C244,Assignments!$F$2:$F$769,$F244,Assignments!$G$2:$G$769,"Active"),0))</f>
        <v/>
      </c>
    </row>
    <row r="245">
      <c r="A245" s="28" t="inlineStr">
        <is>
          <t>Justine</t>
        </is>
      </c>
      <c r="B245" s="16">
        <f>IF($A245="","",IFERROR(INDEX(Roster!$B$2:$B$40,MATCH($A245,Roster!$A$2:$A$40,0)),"?"))</f>
        <v/>
      </c>
      <c r="C245" s="28" t="inlineStr">
        <is>
          <t>Medicis_1</t>
        </is>
      </c>
      <c r="D245" s="16">
        <f>IF($C245="","",IFERROR(IF(INDEX(Deals!$C$2:$C$355,MATCH($C245,Deals!$A$2:$A$355,0))=0,"",INDEX(Deals!$C$2:$C$355,MATCH($C245,Deals!$A$2:$A$355,0))),"?"))</f>
        <v/>
      </c>
      <c r="E245" s="16">
        <f>IF($C245="","",IFERROR(INDEX(Deals!$F$2:$F$355,MATCH($C245,Deals!$A$2:$A$355,0)),"?"))</f>
        <v/>
      </c>
      <c r="F245" s="28" t="inlineStr">
        <is>
          <t>Director</t>
        </is>
      </c>
      <c r="G245" s="28" t="inlineStr">
        <is>
          <t>Inactive</t>
        </is>
      </c>
      <c r="H245" s="31" t="n"/>
      <c r="I245" s="32">
        <f>IF(OR($A245="",$G245&lt;&gt;"Active"),0,IF($H245&lt;&gt;"",$H245,IF($AO245&gt;0,$AP245,IF(AND($R245&lt;&gt;"",IFERROR(INDEX(Templates!$B$3:$H$10,MATCH($R245,Templates!$A$3:$A$10,0),MATCH($F245,Templates!$B$2:$H$2,0)),0)&gt;0),INDEX(Templates!$B$3:$H$10,MATCH($R245,Templates!$A$3:$A$10,0),MATCH($F245,Templates!$B$2:$H$2,0)),IFERROR(INDEX(Settings!$B$8:$B$14,MATCH($F245,Settings!$A$8:$A$14,0)),0)))))</f>
        <v/>
      </c>
      <c r="J245" s="21">
        <f>IF($C245="",0,IFERROR(INDEX(Deals!$H$2:$H$355,MATCH($C245,Deals!$A$2:$A$355,0)),0))</f>
        <v/>
      </c>
      <c r="K245" s="32">
        <f>IF(Settings!$B$4="Yes",$I245*$J245,$I245)</f>
        <v/>
      </c>
      <c r="L245" s="22">
        <f>IF($C245="","",IFERROR(IF(INDEX(Deals!$I$2:$I$355,MATCH($C245,Deals!$A$2:$A$355,0))=0,"",INDEX(Deals!$I$2:$I$355,MATCH($C245,Deals!$A$2:$A$355,0))),""))</f>
        <v/>
      </c>
      <c r="M245" s="22">
        <f>IF($C245="","",IFERROR(IF(INDEX(Deals!$J$2:$J$355,MATCH($C245,Deals!$A$2:$A$355,0))=0,"",INDEX(Deals!$J$2:$J$355,MATCH($C245,Deals!$A$2:$A$355,0))),""))</f>
        <v/>
      </c>
      <c r="N245" s="35">
        <f>IF($L245="",DATE(1900,1,1),$L245)</f>
        <v/>
      </c>
      <c r="O245" s="35">
        <f>IF($M245="",DATE(2100,12,31),$M245)</f>
        <v/>
      </c>
      <c r="P245" s="20" t="inlineStr">
        <is>
          <t>Pens down</t>
        </is>
      </c>
      <c r="Q245" s="47" t="inlineStr"/>
      <c r="R245" s="16">
        <f>IF($C245="","",IFERROR(IF(INDEX(Deals!$U$2:$U$355,MATCH($C245,Deals!$A$2:$A$355,0))=0,"",INDEX(Deals!$U$2:$U$355,MATCH($C245,Deals!$A$2:$A$355,0))),""))</f>
        <v/>
      </c>
      <c r="S245" s="34">
        <f>IFERROR(IF($U245="",1,INDEX(Deals!$V$2:$V$355,MATCH($C245,Deals!$A$2:$A$355,0))),1)</f>
        <v/>
      </c>
      <c r="T245" s="34">
        <f>IFERROR(IF($U245="",1,INDEX(Deals!$W$2:$W$355,MATCH($C245,Deals!$A$2:$A$355,0))),1)</f>
        <v/>
      </c>
      <c r="U245" s="22">
        <f>IF($C245="","",IFERROR(IF(INDEX(Deals!$Y$2:$Y$355,MATCH($C245,Deals!$A$2:$A$355,0))=0,"",INDEX(Deals!$Y$2:$Y$355,MATCH($C245,Deals!$A$2:$A$355,0))),""))</f>
        <v/>
      </c>
      <c r="V245" s="35">
        <f>IF(OR($U245&lt;&gt;"",AND($AO245&gt;0,$L245&lt;&gt;"",$M245&lt;&gt;"")),$N245,DATE(1900,1,1))</f>
        <v/>
      </c>
      <c r="W245" s="35">
        <f>IF($U245&lt;&gt;"",$U245,IF(AND($AO245&gt;0,$L245&lt;&gt;"",$M245&lt;&gt;""),$O245,DATE(2100,12,31)))</f>
        <v/>
      </c>
      <c r="X245" s="32">
        <f>IF($U245="",$K245,$K245*$S245)</f>
        <v/>
      </c>
      <c r="Y245" s="35">
        <f>IF($U245="",DATE(2100,12,31),$U245+1)</f>
        <v/>
      </c>
      <c r="Z245" s="35">
        <f>IF($U245="",DATE(1900,1,1),$O245)</f>
        <v/>
      </c>
      <c r="AA245" s="32">
        <f>IF($U245="",0,$K245*$T245)</f>
        <v/>
      </c>
      <c r="AB245" s="21">
        <f>IF($C245="",0,IFERROR(INDEX(Deals!$AD$2:$AD$355,MATCH($C245,Deals!$A$2:$A$355,0)),0))</f>
        <v/>
      </c>
      <c r="AC245" s="32">
        <f>IF(Settings!$B$4="Yes",$I245*$AB245,$I245)</f>
        <v/>
      </c>
      <c r="AD245" s="22">
        <f>IF($C245="","",IFERROR(IF(INDEX(Deals!$AE$2:$AE$355,MATCH($C245,Deals!$A$2:$A$355,0))=0,"",INDEX(Deals!$AE$2:$AE$355,MATCH($C245,Deals!$A$2:$A$355,0))),""))</f>
        <v/>
      </c>
      <c r="AE245" s="22">
        <f>IF($C245="","",IFERROR(IF(INDEX(Deals!$AF$2:$AF$355,MATCH($C245,Deals!$A$2:$A$355,0))=0,"",INDEX(Deals!$AF$2:$AF$355,MATCH($C245,Deals!$A$2:$A$355,0))),""))</f>
        <v/>
      </c>
      <c r="AF245" s="35">
        <f>IF($AD245="",DATE(1900,1,1),$AD245)</f>
        <v/>
      </c>
      <c r="AG245" s="35">
        <f>IF($AE245="",DATE(2100,12,31),$AE245)</f>
        <v/>
      </c>
      <c r="AH245" s="22">
        <f>IF($C245="","",IFERROR(IF(INDEX(Deals!$AG$2:$AG$355,MATCH($C245,Deals!$A$2:$A$355,0))=0,"",INDEX(Deals!$AG$2:$AG$355,MATCH($C245,Deals!$A$2:$A$355,0))),""))</f>
        <v/>
      </c>
      <c r="AI245" s="35">
        <f>IF(OR($AH245&lt;&gt;"",AND($AO245&gt;0,$AD245&lt;&gt;"",$AE245&lt;&gt;"")),$AF245,DATE(1900,1,1))</f>
        <v/>
      </c>
      <c r="AJ245" s="35">
        <f>IF($AH245&lt;&gt;"",$AH245,IF(AND($AO245&gt;0,$AD245&lt;&gt;"",$AE245&lt;&gt;""),$AG245,DATE(2100,12,31)))</f>
        <v/>
      </c>
      <c r="AK245" s="32">
        <f>IF($AH245="",$AC245,$AC245*$S245)</f>
        <v/>
      </c>
      <c r="AL245" s="35">
        <f>IF($AH245="",DATE(2100,12,31),$AH245+1)</f>
        <v/>
      </c>
      <c r="AM245" s="35">
        <f>IF($AH245="",DATE(1900,1,1),$AG245)</f>
        <v/>
      </c>
      <c r="AN245" s="32">
        <f>IF($AH245="",0,$AC245*$T245)</f>
        <v/>
      </c>
      <c r="AO245" s="46">
        <f>IF($C245="",0,IFERROR(INDEX(Deals!$BD$2:$BD$355,MATCH($C245,Deals!$A$2:$A$355,0)),0))</f>
        <v/>
      </c>
      <c r="AP245" s="18">
        <f>IF($AO245=0,0,IFERROR(INDEX(Deals!$BJ$2:$BP$355,MATCH($C245,Deals!$A$2:$A$355,0),MATCH($F245,Deals!$BJ$1:$BP$1,0))/COUNTIFS(Assignments!$C$2:$C$769,$C245,Assignments!$F$2:$F$769,$F245,Assignments!$G$2:$G$769,"Active"),0))</f>
        <v/>
      </c>
    </row>
    <row r="246">
      <c r="A246" s="28" t="inlineStr">
        <is>
          <t>Justine</t>
        </is>
      </c>
      <c r="B246" s="16">
        <f>IF($A246="","",IFERROR(INDEX(Roster!$B$2:$B$40,MATCH($A246,Roster!$A$2:$A$40,0)),"?"))</f>
        <v/>
      </c>
      <c r="C246" s="28" t="inlineStr">
        <is>
          <t>Metro_1</t>
        </is>
      </c>
      <c r="D246" s="16">
        <f>IF($C246="","",IFERROR(IF(INDEX(Deals!$C$2:$C$355,MATCH($C246,Deals!$A$2:$A$355,0))=0,"",INDEX(Deals!$C$2:$C$355,MATCH($C246,Deals!$A$2:$A$355,0))),"?"))</f>
        <v/>
      </c>
      <c r="E246" s="16">
        <f>IF($C246="","",IFERROR(INDEX(Deals!$F$2:$F$355,MATCH($C246,Deals!$A$2:$A$355,0)),"?"))</f>
        <v/>
      </c>
      <c r="F246" s="28" t="inlineStr">
        <is>
          <t>Director</t>
        </is>
      </c>
      <c r="G246" s="28" t="inlineStr">
        <is>
          <t>Inactive</t>
        </is>
      </c>
      <c r="H246" s="31" t="n"/>
      <c r="I246" s="32">
        <f>IF(OR($A246="",$G246&lt;&gt;"Active"),0,IF($H246&lt;&gt;"",$H246,IF($AO246&gt;0,$AP246,IF(AND($R246&lt;&gt;"",IFERROR(INDEX(Templates!$B$3:$H$10,MATCH($R246,Templates!$A$3:$A$10,0),MATCH($F246,Templates!$B$2:$H$2,0)),0)&gt;0),INDEX(Templates!$B$3:$H$10,MATCH($R246,Templates!$A$3:$A$10,0),MATCH($F246,Templates!$B$2:$H$2,0)),IFERROR(INDEX(Settings!$B$8:$B$14,MATCH($F246,Settings!$A$8:$A$14,0)),0)))))</f>
        <v/>
      </c>
      <c r="J246" s="21">
        <f>IF($C246="",0,IFERROR(INDEX(Deals!$H$2:$H$355,MATCH($C246,Deals!$A$2:$A$355,0)),0))</f>
        <v/>
      </c>
      <c r="K246" s="32">
        <f>IF(Settings!$B$4="Yes",$I246*$J246,$I246)</f>
        <v/>
      </c>
      <c r="L246" s="22">
        <f>IF($C246="","",IFERROR(IF(INDEX(Deals!$I$2:$I$355,MATCH($C246,Deals!$A$2:$A$355,0))=0,"",INDEX(Deals!$I$2:$I$355,MATCH($C246,Deals!$A$2:$A$355,0))),""))</f>
        <v/>
      </c>
      <c r="M246" s="22">
        <f>IF($C246="","",IFERROR(IF(INDEX(Deals!$J$2:$J$355,MATCH($C246,Deals!$A$2:$A$355,0))=0,"",INDEX(Deals!$J$2:$J$355,MATCH($C246,Deals!$A$2:$A$355,0))),""))</f>
        <v/>
      </c>
      <c r="N246" s="35">
        <f>IF($L246="",DATE(1900,1,1),$L246)</f>
        <v/>
      </c>
      <c r="O246" s="35">
        <f>IF($M246="",DATE(2100,12,31),$M246)</f>
        <v/>
      </c>
      <c r="P246" s="20" t="inlineStr">
        <is>
          <t>Closed</t>
        </is>
      </c>
      <c r="Q246" s="47" t="inlineStr"/>
      <c r="R246" s="16">
        <f>IF($C246="","",IFERROR(IF(INDEX(Deals!$U$2:$U$355,MATCH($C246,Deals!$A$2:$A$355,0))=0,"",INDEX(Deals!$U$2:$U$355,MATCH($C246,Deals!$A$2:$A$355,0))),""))</f>
        <v/>
      </c>
      <c r="S246" s="34">
        <f>IFERROR(IF($U246="",1,INDEX(Deals!$V$2:$V$355,MATCH($C246,Deals!$A$2:$A$355,0))),1)</f>
        <v/>
      </c>
      <c r="T246" s="34">
        <f>IFERROR(IF($U246="",1,INDEX(Deals!$W$2:$W$355,MATCH($C246,Deals!$A$2:$A$355,0))),1)</f>
        <v/>
      </c>
      <c r="U246" s="22">
        <f>IF($C246="","",IFERROR(IF(INDEX(Deals!$Y$2:$Y$355,MATCH($C246,Deals!$A$2:$A$355,0))=0,"",INDEX(Deals!$Y$2:$Y$355,MATCH($C246,Deals!$A$2:$A$355,0))),""))</f>
        <v/>
      </c>
      <c r="V246" s="35">
        <f>IF(OR($U246&lt;&gt;"",AND($AO246&gt;0,$L246&lt;&gt;"",$M246&lt;&gt;"")),$N246,DATE(1900,1,1))</f>
        <v/>
      </c>
      <c r="W246" s="35">
        <f>IF($U246&lt;&gt;"",$U246,IF(AND($AO246&gt;0,$L246&lt;&gt;"",$M246&lt;&gt;""),$O246,DATE(2100,12,31)))</f>
        <v/>
      </c>
      <c r="X246" s="32">
        <f>IF($U246="",$K246,$K246*$S246)</f>
        <v/>
      </c>
      <c r="Y246" s="35">
        <f>IF($U246="",DATE(2100,12,31),$U246+1)</f>
        <v/>
      </c>
      <c r="Z246" s="35">
        <f>IF($U246="",DATE(1900,1,1),$O246)</f>
        <v/>
      </c>
      <c r="AA246" s="32">
        <f>IF($U246="",0,$K246*$T246)</f>
        <v/>
      </c>
      <c r="AB246" s="21">
        <f>IF($C246="",0,IFERROR(INDEX(Deals!$AD$2:$AD$355,MATCH($C246,Deals!$A$2:$A$355,0)),0))</f>
        <v/>
      </c>
      <c r="AC246" s="32">
        <f>IF(Settings!$B$4="Yes",$I246*$AB246,$I246)</f>
        <v/>
      </c>
      <c r="AD246" s="22">
        <f>IF($C246="","",IFERROR(IF(INDEX(Deals!$AE$2:$AE$355,MATCH($C246,Deals!$A$2:$A$355,0))=0,"",INDEX(Deals!$AE$2:$AE$355,MATCH($C246,Deals!$A$2:$A$355,0))),""))</f>
        <v/>
      </c>
      <c r="AE246" s="22">
        <f>IF($C246="","",IFERROR(IF(INDEX(Deals!$AF$2:$AF$355,MATCH($C246,Deals!$A$2:$A$355,0))=0,"",INDEX(Deals!$AF$2:$AF$355,MATCH($C246,Deals!$A$2:$A$355,0))),""))</f>
        <v/>
      </c>
      <c r="AF246" s="35">
        <f>IF($AD246="",DATE(1900,1,1),$AD246)</f>
        <v/>
      </c>
      <c r="AG246" s="35">
        <f>IF($AE246="",DATE(2100,12,31),$AE246)</f>
        <v/>
      </c>
      <c r="AH246" s="22">
        <f>IF($C246="","",IFERROR(IF(INDEX(Deals!$AG$2:$AG$355,MATCH($C246,Deals!$A$2:$A$355,0))=0,"",INDEX(Deals!$AG$2:$AG$355,MATCH($C246,Deals!$A$2:$A$355,0))),""))</f>
        <v/>
      </c>
      <c r="AI246" s="35">
        <f>IF(OR($AH246&lt;&gt;"",AND($AO246&gt;0,$AD246&lt;&gt;"",$AE246&lt;&gt;"")),$AF246,DATE(1900,1,1))</f>
        <v/>
      </c>
      <c r="AJ246" s="35">
        <f>IF($AH246&lt;&gt;"",$AH246,IF(AND($AO246&gt;0,$AD246&lt;&gt;"",$AE246&lt;&gt;""),$AG246,DATE(2100,12,31)))</f>
        <v/>
      </c>
      <c r="AK246" s="32">
        <f>IF($AH246="",$AC246,$AC246*$S246)</f>
        <v/>
      </c>
      <c r="AL246" s="35">
        <f>IF($AH246="",DATE(2100,12,31),$AH246+1)</f>
        <v/>
      </c>
      <c r="AM246" s="35">
        <f>IF($AH246="",DATE(1900,1,1),$AG246)</f>
        <v/>
      </c>
      <c r="AN246" s="32">
        <f>IF($AH246="",0,$AC246*$T246)</f>
        <v/>
      </c>
      <c r="AO246" s="46">
        <f>IF($C246="",0,IFERROR(INDEX(Deals!$BD$2:$BD$355,MATCH($C246,Deals!$A$2:$A$355,0)),0))</f>
        <v/>
      </c>
      <c r="AP246" s="18">
        <f>IF($AO246=0,0,IFERROR(INDEX(Deals!$BJ$2:$BP$355,MATCH($C246,Deals!$A$2:$A$355,0),MATCH($F246,Deals!$BJ$1:$BP$1,0))/COUNTIFS(Assignments!$C$2:$C$769,$C246,Assignments!$F$2:$F$769,$F246,Assignments!$G$2:$G$769,"Active"),0))</f>
        <v/>
      </c>
    </row>
    <row r="247">
      <c r="A247" s="28" t="inlineStr">
        <is>
          <t>Justine</t>
        </is>
      </c>
      <c r="B247" s="16">
        <f>IF($A247="","",IFERROR(INDEX(Roster!$B$2:$B$40,MATCH($A247,Roster!$A$2:$A$40,0)),"?"))</f>
        <v/>
      </c>
      <c r="C247" s="28" t="inlineStr">
        <is>
          <t>Mozart_2</t>
        </is>
      </c>
      <c r="D247" s="16">
        <f>IF($C247="","",IFERROR(IF(INDEX(Deals!$C$2:$C$355,MATCH($C247,Deals!$A$2:$A$355,0))=0,"",INDEX(Deals!$C$2:$C$355,MATCH($C247,Deals!$A$2:$A$355,0))),"?"))</f>
        <v/>
      </c>
      <c r="E247" s="16">
        <f>IF($C247="","",IFERROR(INDEX(Deals!$F$2:$F$355,MATCH($C247,Deals!$A$2:$A$355,0)),"?"))</f>
        <v/>
      </c>
      <c r="F247" s="28" t="inlineStr">
        <is>
          <t>Director</t>
        </is>
      </c>
      <c r="G247" s="28" t="inlineStr">
        <is>
          <t>Inactive</t>
        </is>
      </c>
      <c r="H247" s="31" t="n"/>
      <c r="I247" s="32">
        <f>IF(OR($A247="",$G247&lt;&gt;"Active"),0,IF($H247&lt;&gt;"",$H247,IF($AO247&gt;0,$AP247,IF(AND($R247&lt;&gt;"",IFERROR(INDEX(Templates!$B$3:$H$10,MATCH($R247,Templates!$A$3:$A$10,0),MATCH($F247,Templates!$B$2:$H$2,0)),0)&gt;0),INDEX(Templates!$B$3:$H$10,MATCH($R247,Templates!$A$3:$A$10,0),MATCH($F247,Templates!$B$2:$H$2,0)),IFERROR(INDEX(Settings!$B$8:$B$14,MATCH($F247,Settings!$A$8:$A$14,0)),0)))))</f>
        <v/>
      </c>
      <c r="J247" s="21">
        <f>IF($C247="",0,IFERROR(INDEX(Deals!$H$2:$H$355,MATCH($C247,Deals!$A$2:$A$355,0)),0))</f>
        <v/>
      </c>
      <c r="K247" s="32">
        <f>IF(Settings!$B$4="Yes",$I247*$J247,$I247)</f>
        <v/>
      </c>
      <c r="L247" s="22">
        <f>IF($C247="","",IFERROR(IF(INDEX(Deals!$I$2:$I$355,MATCH($C247,Deals!$A$2:$A$355,0))=0,"",INDEX(Deals!$I$2:$I$355,MATCH($C247,Deals!$A$2:$A$355,0))),""))</f>
        <v/>
      </c>
      <c r="M247" s="22">
        <f>IF($C247="","",IFERROR(IF(INDEX(Deals!$J$2:$J$355,MATCH($C247,Deals!$A$2:$A$355,0))=0,"",INDEX(Deals!$J$2:$J$355,MATCH($C247,Deals!$A$2:$A$355,0))),""))</f>
        <v/>
      </c>
      <c r="N247" s="35">
        <f>IF($L247="",DATE(1900,1,1),$L247)</f>
        <v/>
      </c>
      <c r="O247" s="35">
        <f>IF($M247="",DATE(2100,12,31),$M247)</f>
        <v/>
      </c>
      <c r="P247" s="20" t="inlineStr">
        <is>
          <t>Closed</t>
        </is>
      </c>
      <c r="Q247" s="47" t="inlineStr"/>
      <c r="R247" s="16">
        <f>IF($C247="","",IFERROR(IF(INDEX(Deals!$U$2:$U$355,MATCH($C247,Deals!$A$2:$A$355,0))=0,"",INDEX(Deals!$U$2:$U$355,MATCH($C247,Deals!$A$2:$A$355,0))),""))</f>
        <v/>
      </c>
      <c r="S247" s="34">
        <f>IFERROR(IF($U247="",1,INDEX(Deals!$V$2:$V$355,MATCH($C247,Deals!$A$2:$A$355,0))),1)</f>
        <v/>
      </c>
      <c r="T247" s="34">
        <f>IFERROR(IF($U247="",1,INDEX(Deals!$W$2:$W$355,MATCH($C247,Deals!$A$2:$A$355,0))),1)</f>
        <v/>
      </c>
      <c r="U247" s="22">
        <f>IF($C247="","",IFERROR(IF(INDEX(Deals!$Y$2:$Y$355,MATCH($C247,Deals!$A$2:$A$355,0))=0,"",INDEX(Deals!$Y$2:$Y$355,MATCH($C247,Deals!$A$2:$A$355,0))),""))</f>
        <v/>
      </c>
      <c r="V247" s="35">
        <f>IF(OR($U247&lt;&gt;"",AND($AO247&gt;0,$L247&lt;&gt;"",$M247&lt;&gt;"")),$N247,DATE(1900,1,1))</f>
        <v/>
      </c>
      <c r="W247" s="35">
        <f>IF($U247&lt;&gt;"",$U247,IF(AND($AO247&gt;0,$L247&lt;&gt;"",$M247&lt;&gt;""),$O247,DATE(2100,12,31)))</f>
        <v/>
      </c>
      <c r="X247" s="32">
        <f>IF($U247="",$K247,$K247*$S247)</f>
        <v/>
      </c>
      <c r="Y247" s="35">
        <f>IF($U247="",DATE(2100,12,31),$U247+1)</f>
        <v/>
      </c>
      <c r="Z247" s="35">
        <f>IF($U247="",DATE(1900,1,1),$O247)</f>
        <v/>
      </c>
      <c r="AA247" s="32">
        <f>IF($U247="",0,$K247*$T247)</f>
        <v/>
      </c>
      <c r="AB247" s="21">
        <f>IF($C247="",0,IFERROR(INDEX(Deals!$AD$2:$AD$355,MATCH($C247,Deals!$A$2:$A$355,0)),0))</f>
        <v/>
      </c>
      <c r="AC247" s="32">
        <f>IF(Settings!$B$4="Yes",$I247*$AB247,$I247)</f>
        <v/>
      </c>
      <c r="AD247" s="22">
        <f>IF($C247="","",IFERROR(IF(INDEX(Deals!$AE$2:$AE$355,MATCH($C247,Deals!$A$2:$A$355,0))=0,"",INDEX(Deals!$AE$2:$AE$355,MATCH($C247,Deals!$A$2:$A$355,0))),""))</f>
        <v/>
      </c>
      <c r="AE247" s="22">
        <f>IF($C247="","",IFERROR(IF(INDEX(Deals!$AF$2:$AF$355,MATCH($C247,Deals!$A$2:$A$355,0))=0,"",INDEX(Deals!$AF$2:$AF$355,MATCH($C247,Deals!$A$2:$A$355,0))),""))</f>
        <v/>
      </c>
      <c r="AF247" s="35">
        <f>IF($AD247="",DATE(1900,1,1),$AD247)</f>
        <v/>
      </c>
      <c r="AG247" s="35">
        <f>IF($AE247="",DATE(2100,12,31),$AE247)</f>
        <v/>
      </c>
      <c r="AH247" s="22">
        <f>IF($C247="","",IFERROR(IF(INDEX(Deals!$AG$2:$AG$355,MATCH($C247,Deals!$A$2:$A$355,0))=0,"",INDEX(Deals!$AG$2:$AG$355,MATCH($C247,Deals!$A$2:$A$355,0))),""))</f>
        <v/>
      </c>
      <c r="AI247" s="35">
        <f>IF(OR($AH247&lt;&gt;"",AND($AO247&gt;0,$AD247&lt;&gt;"",$AE247&lt;&gt;"")),$AF247,DATE(1900,1,1))</f>
        <v/>
      </c>
      <c r="AJ247" s="35">
        <f>IF($AH247&lt;&gt;"",$AH247,IF(AND($AO247&gt;0,$AD247&lt;&gt;"",$AE247&lt;&gt;""),$AG247,DATE(2100,12,31)))</f>
        <v/>
      </c>
      <c r="AK247" s="32">
        <f>IF($AH247="",$AC247,$AC247*$S247)</f>
        <v/>
      </c>
      <c r="AL247" s="35">
        <f>IF($AH247="",DATE(2100,12,31),$AH247+1)</f>
        <v/>
      </c>
      <c r="AM247" s="35">
        <f>IF($AH247="",DATE(1900,1,1),$AG247)</f>
        <v/>
      </c>
      <c r="AN247" s="32">
        <f>IF($AH247="",0,$AC247*$T247)</f>
        <v/>
      </c>
      <c r="AO247" s="46">
        <f>IF($C247="",0,IFERROR(INDEX(Deals!$BD$2:$BD$355,MATCH($C247,Deals!$A$2:$A$355,0)),0))</f>
        <v/>
      </c>
      <c r="AP247" s="18">
        <f>IF($AO247=0,0,IFERROR(INDEX(Deals!$BJ$2:$BP$355,MATCH($C247,Deals!$A$2:$A$355,0),MATCH($F247,Deals!$BJ$1:$BP$1,0))/COUNTIFS(Assignments!$C$2:$C$769,$C247,Assignments!$F$2:$F$769,$F247,Assignments!$G$2:$G$769,"Active"),0))</f>
        <v/>
      </c>
    </row>
    <row r="248">
      <c r="A248" s="28" t="inlineStr">
        <is>
          <t>Justine</t>
        </is>
      </c>
      <c r="B248" s="16">
        <f>IF($A248="","",IFERROR(INDEX(Roster!$B$2:$B$40,MATCH($A248,Roster!$A$2:$A$40,0)),"?"))</f>
        <v/>
      </c>
      <c r="C248" s="28" t="inlineStr">
        <is>
          <t>Odysee/Atlas_2</t>
        </is>
      </c>
      <c r="D248" s="16">
        <f>IF($C248="","",IFERROR(IF(INDEX(Deals!$C$2:$C$355,MATCH($C248,Deals!$A$2:$A$355,0))=0,"",INDEX(Deals!$C$2:$C$355,MATCH($C248,Deals!$A$2:$A$355,0))),"?"))</f>
        <v/>
      </c>
      <c r="E248" s="16">
        <f>IF($C248="","",IFERROR(INDEX(Deals!$F$2:$F$355,MATCH($C248,Deals!$A$2:$A$355,0)),"?"))</f>
        <v/>
      </c>
      <c r="F248" s="28" t="inlineStr">
        <is>
          <t>Director</t>
        </is>
      </c>
      <c r="G248" s="28" t="inlineStr">
        <is>
          <t>Inactive</t>
        </is>
      </c>
      <c r="H248" s="31" t="n"/>
      <c r="I248" s="32">
        <f>IF(OR($A248="",$G248&lt;&gt;"Active"),0,IF($H248&lt;&gt;"",$H248,IF($AO248&gt;0,$AP248,IF(AND($R248&lt;&gt;"",IFERROR(INDEX(Templates!$B$3:$H$10,MATCH($R248,Templates!$A$3:$A$10,0),MATCH($F248,Templates!$B$2:$H$2,0)),0)&gt;0),INDEX(Templates!$B$3:$H$10,MATCH($R248,Templates!$A$3:$A$10,0),MATCH($F248,Templates!$B$2:$H$2,0)),IFERROR(INDEX(Settings!$B$8:$B$14,MATCH($F248,Settings!$A$8:$A$14,0)),0)))))</f>
        <v/>
      </c>
      <c r="J248" s="21">
        <f>IF($C248="",0,IFERROR(INDEX(Deals!$H$2:$H$355,MATCH($C248,Deals!$A$2:$A$355,0)),0))</f>
        <v/>
      </c>
      <c r="K248" s="32">
        <f>IF(Settings!$B$4="Yes",$I248*$J248,$I248)</f>
        <v/>
      </c>
      <c r="L248" s="22">
        <f>IF($C248="","",IFERROR(IF(INDEX(Deals!$I$2:$I$355,MATCH($C248,Deals!$A$2:$A$355,0))=0,"",INDEX(Deals!$I$2:$I$355,MATCH($C248,Deals!$A$2:$A$355,0))),""))</f>
        <v/>
      </c>
      <c r="M248" s="22">
        <f>IF($C248="","",IFERROR(IF(INDEX(Deals!$J$2:$J$355,MATCH($C248,Deals!$A$2:$A$355,0))=0,"",INDEX(Deals!$J$2:$J$355,MATCH($C248,Deals!$A$2:$A$355,0))),""))</f>
        <v/>
      </c>
      <c r="N248" s="35">
        <f>IF($L248="",DATE(1900,1,1),$L248)</f>
        <v/>
      </c>
      <c r="O248" s="35">
        <f>IF($M248="",DATE(2100,12,31),$M248)</f>
        <v/>
      </c>
      <c r="P248" s="20" t="inlineStr">
        <is>
          <t>Closed</t>
        </is>
      </c>
      <c r="Q248" s="47" t="inlineStr"/>
      <c r="R248" s="16">
        <f>IF($C248="","",IFERROR(IF(INDEX(Deals!$U$2:$U$355,MATCH($C248,Deals!$A$2:$A$355,0))=0,"",INDEX(Deals!$U$2:$U$355,MATCH($C248,Deals!$A$2:$A$355,0))),""))</f>
        <v/>
      </c>
      <c r="S248" s="34">
        <f>IFERROR(IF($U248="",1,INDEX(Deals!$V$2:$V$355,MATCH($C248,Deals!$A$2:$A$355,0))),1)</f>
        <v/>
      </c>
      <c r="T248" s="34">
        <f>IFERROR(IF($U248="",1,INDEX(Deals!$W$2:$W$355,MATCH($C248,Deals!$A$2:$A$355,0))),1)</f>
        <v/>
      </c>
      <c r="U248" s="22">
        <f>IF($C248="","",IFERROR(IF(INDEX(Deals!$Y$2:$Y$355,MATCH($C248,Deals!$A$2:$A$355,0))=0,"",INDEX(Deals!$Y$2:$Y$355,MATCH($C248,Deals!$A$2:$A$355,0))),""))</f>
        <v/>
      </c>
      <c r="V248" s="35">
        <f>IF(OR($U248&lt;&gt;"",AND($AO248&gt;0,$L248&lt;&gt;"",$M248&lt;&gt;"")),$N248,DATE(1900,1,1))</f>
        <v/>
      </c>
      <c r="W248" s="35">
        <f>IF($U248&lt;&gt;"",$U248,IF(AND($AO248&gt;0,$L248&lt;&gt;"",$M248&lt;&gt;""),$O248,DATE(2100,12,31)))</f>
        <v/>
      </c>
      <c r="X248" s="32">
        <f>IF($U248="",$K248,$K248*$S248)</f>
        <v/>
      </c>
      <c r="Y248" s="35">
        <f>IF($U248="",DATE(2100,12,31),$U248+1)</f>
        <v/>
      </c>
      <c r="Z248" s="35">
        <f>IF($U248="",DATE(1900,1,1),$O248)</f>
        <v/>
      </c>
      <c r="AA248" s="32">
        <f>IF($U248="",0,$K248*$T248)</f>
        <v/>
      </c>
      <c r="AB248" s="21">
        <f>IF($C248="",0,IFERROR(INDEX(Deals!$AD$2:$AD$355,MATCH($C248,Deals!$A$2:$A$355,0)),0))</f>
        <v/>
      </c>
      <c r="AC248" s="32">
        <f>IF(Settings!$B$4="Yes",$I248*$AB248,$I248)</f>
        <v/>
      </c>
      <c r="AD248" s="22">
        <f>IF($C248="","",IFERROR(IF(INDEX(Deals!$AE$2:$AE$355,MATCH($C248,Deals!$A$2:$A$355,0))=0,"",INDEX(Deals!$AE$2:$AE$355,MATCH($C248,Deals!$A$2:$A$355,0))),""))</f>
        <v/>
      </c>
      <c r="AE248" s="22">
        <f>IF($C248="","",IFERROR(IF(INDEX(Deals!$AF$2:$AF$355,MATCH($C248,Deals!$A$2:$A$355,0))=0,"",INDEX(Deals!$AF$2:$AF$355,MATCH($C248,Deals!$A$2:$A$355,0))),""))</f>
        <v/>
      </c>
      <c r="AF248" s="35">
        <f>IF($AD248="",DATE(1900,1,1),$AD248)</f>
        <v/>
      </c>
      <c r="AG248" s="35">
        <f>IF($AE248="",DATE(2100,12,31),$AE248)</f>
        <v/>
      </c>
      <c r="AH248" s="22">
        <f>IF($C248="","",IFERROR(IF(INDEX(Deals!$AG$2:$AG$355,MATCH($C248,Deals!$A$2:$A$355,0))=0,"",INDEX(Deals!$AG$2:$AG$355,MATCH($C248,Deals!$A$2:$A$355,0))),""))</f>
        <v/>
      </c>
      <c r="AI248" s="35">
        <f>IF(OR($AH248&lt;&gt;"",AND($AO248&gt;0,$AD248&lt;&gt;"",$AE248&lt;&gt;"")),$AF248,DATE(1900,1,1))</f>
        <v/>
      </c>
      <c r="AJ248" s="35">
        <f>IF($AH248&lt;&gt;"",$AH248,IF(AND($AO248&gt;0,$AD248&lt;&gt;"",$AE248&lt;&gt;""),$AG248,DATE(2100,12,31)))</f>
        <v/>
      </c>
      <c r="AK248" s="32">
        <f>IF($AH248="",$AC248,$AC248*$S248)</f>
        <v/>
      </c>
      <c r="AL248" s="35">
        <f>IF($AH248="",DATE(2100,12,31),$AH248+1)</f>
        <v/>
      </c>
      <c r="AM248" s="35">
        <f>IF($AH248="",DATE(1900,1,1),$AG248)</f>
        <v/>
      </c>
      <c r="AN248" s="32">
        <f>IF($AH248="",0,$AC248*$T248)</f>
        <v/>
      </c>
      <c r="AO248" s="46">
        <f>IF($C248="",0,IFERROR(INDEX(Deals!$BD$2:$BD$355,MATCH($C248,Deals!$A$2:$A$355,0)),0))</f>
        <v/>
      </c>
      <c r="AP248" s="18">
        <f>IF($AO248=0,0,IFERROR(INDEX(Deals!$BJ$2:$BP$355,MATCH($C248,Deals!$A$2:$A$355,0),MATCH($F248,Deals!$BJ$1:$BP$1,0))/COUNTIFS(Assignments!$C$2:$C$769,$C248,Assignments!$F$2:$F$769,$F248,Assignments!$G$2:$G$769,"Active"),0))</f>
        <v/>
      </c>
    </row>
    <row r="249">
      <c r="A249" s="28" t="inlineStr">
        <is>
          <t>Justine</t>
        </is>
      </c>
      <c r="B249" s="16">
        <f>IF($A249="","",IFERROR(INDEX(Roster!$B$2:$B$40,MATCH($A249,Roster!$A$2:$A$40,0)),"?"))</f>
        <v/>
      </c>
      <c r="C249" s="28" t="inlineStr">
        <is>
          <t>Offtake_1</t>
        </is>
      </c>
      <c r="D249" s="16">
        <f>IF($C249="","",IFERROR(IF(INDEX(Deals!$C$2:$C$355,MATCH($C249,Deals!$A$2:$A$355,0))=0,"",INDEX(Deals!$C$2:$C$355,MATCH($C249,Deals!$A$2:$A$355,0))),"?"))</f>
        <v/>
      </c>
      <c r="E249" s="16">
        <f>IF($C249="","",IFERROR(INDEX(Deals!$F$2:$F$355,MATCH($C249,Deals!$A$2:$A$355,0)),"?"))</f>
        <v/>
      </c>
      <c r="F249" s="28" t="inlineStr">
        <is>
          <t>Director</t>
        </is>
      </c>
      <c r="G249" s="28" t="inlineStr">
        <is>
          <t>Active</t>
        </is>
      </c>
      <c r="H249" s="31" t="n"/>
      <c r="I249" s="32">
        <f>IF(OR($A249="",$G249&lt;&gt;"Active"),0,IF($H249&lt;&gt;"",$H249,IF($AO249&gt;0,$AP249,IF(AND($R249&lt;&gt;"",IFERROR(INDEX(Templates!$B$3:$H$10,MATCH($R249,Templates!$A$3:$A$10,0),MATCH($F249,Templates!$B$2:$H$2,0)),0)&gt;0),INDEX(Templates!$B$3:$H$10,MATCH($R249,Templates!$A$3:$A$10,0),MATCH($F249,Templates!$B$2:$H$2,0)),IFERROR(INDEX(Settings!$B$8:$B$14,MATCH($F249,Settings!$A$8:$A$14,0)),0)))))</f>
        <v/>
      </c>
      <c r="J249" s="21">
        <f>IF($C249="",0,IFERROR(INDEX(Deals!$H$2:$H$355,MATCH($C249,Deals!$A$2:$A$355,0)),0))</f>
        <v/>
      </c>
      <c r="K249" s="32">
        <f>IF(Settings!$B$4="Yes",$I249*$J249,$I249)</f>
        <v/>
      </c>
      <c r="L249" s="22">
        <f>IF($C249="","",IFERROR(IF(INDEX(Deals!$I$2:$I$355,MATCH($C249,Deals!$A$2:$A$355,0))=0,"",INDEX(Deals!$I$2:$I$355,MATCH($C249,Deals!$A$2:$A$355,0))),""))</f>
        <v/>
      </c>
      <c r="M249" s="22">
        <f>IF($C249="","",IFERROR(IF(INDEX(Deals!$J$2:$J$355,MATCH($C249,Deals!$A$2:$A$355,0))=0,"",INDEX(Deals!$J$2:$J$355,MATCH($C249,Deals!$A$2:$A$355,0))),""))</f>
        <v/>
      </c>
      <c r="N249" s="35">
        <f>IF($L249="",DATE(1900,1,1),$L249)</f>
        <v/>
      </c>
      <c r="O249" s="35">
        <f>IF($M249="",DATE(2100,12,31),$M249)</f>
        <v/>
      </c>
      <c r="P249" s="20" t="inlineStr">
        <is>
          <t>Proposal</t>
        </is>
      </c>
      <c r="Q249" s="47" t="inlineStr"/>
      <c r="R249" s="16">
        <f>IF($C249="","",IFERROR(IF(INDEX(Deals!$U$2:$U$355,MATCH($C249,Deals!$A$2:$A$355,0))=0,"",INDEX(Deals!$U$2:$U$355,MATCH($C249,Deals!$A$2:$A$355,0))),""))</f>
        <v/>
      </c>
      <c r="S249" s="34">
        <f>IFERROR(IF($U249="",1,INDEX(Deals!$V$2:$V$355,MATCH($C249,Deals!$A$2:$A$355,0))),1)</f>
        <v/>
      </c>
      <c r="T249" s="34">
        <f>IFERROR(IF($U249="",1,INDEX(Deals!$W$2:$W$355,MATCH($C249,Deals!$A$2:$A$355,0))),1)</f>
        <v/>
      </c>
      <c r="U249" s="22">
        <f>IF($C249="","",IFERROR(IF(INDEX(Deals!$Y$2:$Y$355,MATCH($C249,Deals!$A$2:$A$355,0))=0,"",INDEX(Deals!$Y$2:$Y$355,MATCH($C249,Deals!$A$2:$A$355,0))),""))</f>
        <v/>
      </c>
      <c r="V249" s="35">
        <f>IF(OR($U249&lt;&gt;"",AND($AO249&gt;0,$L249&lt;&gt;"",$M249&lt;&gt;"")),$N249,DATE(1900,1,1))</f>
        <v/>
      </c>
      <c r="W249" s="35">
        <f>IF($U249&lt;&gt;"",$U249,IF(AND($AO249&gt;0,$L249&lt;&gt;"",$M249&lt;&gt;""),$O249,DATE(2100,12,31)))</f>
        <v/>
      </c>
      <c r="X249" s="32">
        <f>IF($U249="",$K249,$K249*$S249)</f>
        <v/>
      </c>
      <c r="Y249" s="35">
        <f>IF($U249="",DATE(2100,12,31),$U249+1)</f>
        <v/>
      </c>
      <c r="Z249" s="35">
        <f>IF($U249="",DATE(1900,1,1),$O249)</f>
        <v/>
      </c>
      <c r="AA249" s="32">
        <f>IF($U249="",0,$K249*$T249)</f>
        <v/>
      </c>
      <c r="AB249" s="21">
        <f>IF($C249="",0,IFERROR(INDEX(Deals!$AD$2:$AD$355,MATCH($C249,Deals!$A$2:$A$355,0)),0))</f>
        <v/>
      </c>
      <c r="AC249" s="32">
        <f>IF(Settings!$B$4="Yes",$I249*$AB249,$I249)</f>
        <v/>
      </c>
      <c r="AD249" s="22">
        <f>IF($C249="","",IFERROR(IF(INDEX(Deals!$AE$2:$AE$355,MATCH($C249,Deals!$A$2:$A$355,0))=0,"",INDEX(Deals!$AE$2:$AE$355,MATCH($C249,Deals!$A$2:$A$355,0))),""))</f>
        <v/>
      </c>
      <c r="AE249" s="22">
        <f>IF($C249="","",IFERROR(IF(INDEX(Deals!$AF$2:$AF$355,MATCH($C249,Deals!$A$2:$A$355,0))=0,"",INDEX(Deals!$AF$2:$AF$355,MATCH($C249,Deals!$A$2:$A$355,0))),""))</f>
        <v/>
      </c>
      <c r="AF249" s="35">
        <f>IF($AD249="",DATE(1900,1,1),$AD249)</f>
        <v/>
      </c>
      <c r="AG249" s="35">
        <f>IF($AE249="",DATE(2100,12,31),$AE249)</f>
        <v/>
      </c>
      <c r="AH249" s="22">
        <f>IF($C249="","",IFERROR(IF(INDEX(Deals!$AG$2:$AG$355,MATCH($C249,Deals!$A$2:$A$355,0))=0,"",INDEX(Deals!$AG$2:$AG$355,MATCH($C249,Deals!$A$2:$A$355,0))),""))</f>
        <v/>
      </c>
      <c r="AI249" s="35">
        <f>IF(OR($AH249&lt;&gt;"",AND($AO249&gt;0,$AD249&lt;&gt;"",$AE249&lt;&gt;"")),$AF249,DATE(1900,1,1))</f>
        <v/>
      </c>
      <c r="AJ249" s="35">
        <f>IF($AH249&lt;&gt;"",$AH249,IF(AND($AO249&gt;0,$AD249&lt;&gt;"",$AE249&lt;&gt;""),$AG249,DATE(2100,12,31)))</f>
        <v/>
      </c>
      <c r="AK249" s="32">
        <f>IF($AH249="",$AC249,$AC249*$S249)</f>
        <v/>
      </c>
      <c r="AL249" s="35">
        <f>IF($AH249="",DATE(2100,12,31),$AH249+1)</f>
        <v/>
      </c>
      <c r="AM249" s="35">
        <f>IF($AH249="",DATE(1900,1,1),$AG249)</f>
        <v/>
      </c>
      <c r="AN249" s="32">
        <f>IF($AH249="",0,$AC249*$T249)</f>
        <v/>
      </c>
      <c r="AO249" s="46">
        <f>IF($C249="",0,IFERROR(INDEX(Deals!$BD$2:$BD$355,MATCH($C249,Deals!$A$2:$A$355,0)),0))</f>
        <v/>
      </c>
      <c r="AP249" s="18">
        <f>IF($AO249=0,0,IFERROR(INDEX(Deals!$BJ$2:$BP$355,MATCH($C249,Deals!$A$2:$A$355,0),MATCH($F249,Deals!$BJ$1:$BP$1,0))/COUNTIFS(Assignments!$C$2:$C$769,$C249,Assignments!$F$2:$F$769,$F249,Assignments!$G$2:$G$769,"Active"),0))</f>
        <v/>
      </c>
    </row>
    <row r="250">
      <c r="A250" s="28" t="inlineStr">
        <is>
          <t>Justine</t>
        </is>
      </c>
      <c r="B250" s="16">
        <f>IF($A250="","",IFERROR(INDEX(Roster!$B$2:$B$40,MATCH($A250,Roster!$A$2:$A$40,0)),"?"))</f>
        <v/>
      </c>
      <c r="C250" s="28" t="inlineStr">
        <is>
          <t>Orange_4</t>
        </is>
      </c>
      <c r="D250" s="16">
        <f>IF($C250="","",IFERROR(IF(INDEX(Deals!$C$2:$C$355,MATCH($C250,Deals!$A$2:$A$355,0))=0,"",INDEX(Deals!$C$2:$C$355,MATCH($C250,Deals!$A$2:$A$355,0))),"?"))</f>
        <v/>
      </c>
      <c r="E250" s="16">
        <f>IF($C250="","",IFERROR(INDEX(Deals!$F$2:$F$355,MATCH($C250,Deals!$A$2:$A$355,0)),"?"))</f>
        <v/>
      </c>
      <c r="F250" s="28" t="inlineStr">
        <is>
          <t>Director</t>
        </is>
      </c>
      <c r="G250" s="28" t="inlineStr">
        <is>
          <t>Active</t>
        </is>
      </c>
      <c r="H250" s="31" t="n"/>
      <c r="I250" s="32">
        <f>IF(OR($A250="",$G250&lt;&gt;"Active"),0,IF($H250&lt;&gt;"",$H250,IF($AO250&gt;0,$AP250,IF(AND($R250&lt;&gt;"",IFERROR(INDEX(Templates!$B$3:$H$10,MATCH($R250,Templates!$A$3:$A$10,0),MATCH($F250,Templates!$B$2:$H$2,0)),0)&gt;0),INDEX(Templates!$B$3:$H$10,MATCH($R250,Templates!$A$3:$A$10,0),MATCH($F250,Templates!$B$2:$H$2,0)),IFERROR(INDEX(Settings!$B$8:$B$14,MATCH($F250,Settings!$A$8:$A$14,0)),0)))))</f>
        <v/>
      </c>
      <c r="J250" s="21">
        <f>IF($C250="",0,IFERROR(INDEX(Deals!$H$2:$H$355,MATCH($C250,Deals!$A$2:$A$355,0)),0))</f>
        <v/>
      </c>
      <c r="K250" s="32">
        <f>IF(Settings!$B$4="Yes",$I250*$J250,$I250)</f>
        <v/>
      </c>
      <c r="L250" s="22">
        <f>IF($C250="","",IFERROR(IF(INDEX(Deals!$I$2:$I$355,MATCH($C250,Deals!$A$2:$A$355,0))=0,"",INDEX(Deals!$I$2:$I$355,MATCH($C250,Deals!$A$2:$A$355,0))),""))</f>
        <v/>
      </c>
      <c r="M250" s="22">
        <f>IF($C250="","",IFERROR(IF(INDEX(Deals!$J$2:$J$355,MATCH($C250,Deals!$A$2:$A$355,0))=0,"",INDEX(Deals!$J$2:$J$355,MATCH($C250,Deals!$A$2:$A$355,0))),""))</f>
        <v/>
      </c>
      <c r="N250" s="35">
        <f>IF($L250="",DATE(1900,1,1),$L250)</f>
        <v/>
      </c>
      <c r="O250" s="35">
        <f>IF($M250="",DATE(2100,12,31),$M250)</f>
        <v/>
      </c>
      <c r="P250" s="20" t="inlineStr">
        <is>
          <t>Ongoing</t>
        </is>
      </c>
      <c r="Q250" s="47" t="inlineStr"/>
      <c r="R250" s="16">
        <f>IF($C250="","",IFERROR(IF(INDEX(Deals!$U$2:$U$355,MATCH($C250,Deals!$A$2:$A$355,0))=0,"",INDEX(Deals!$U$2:$U$355,MATCH($C250,Deals!$A$2:$A$355,0))),""))</f>
        <v/>
      </c>
      <c r="S250" s="34">
        <f>IFERROR(IF($U250="",1,INDEX(Deals!$V$2:$V$355,MATCH($C250,Deals!$A$2:$A$355,0))),1)</f>
        <v/>
      </c>
      <c r="T250" s="34">
        <f>IFERROR(IF($U250="",1,INDEX(Deals!$W$2:$W$355,MATCH($C250,Deals!$A$2:$A$355,0))),1)</f>
        <v/>
      </c>
      <c r="U250" s="22">
        <f>IF($C250="","",IFERROR(IF(INDEX(Deals!$Y$2:$Y$355,MATCH($C250,Deals!$A$2:$A$355,0))=0,"",INDEX(Deals!$Y$2:$Y$355,MATCH($C250,Deals!$A$2:$A$355,0))),""))</f>
        <v/>
      </c>
      <c r="V250" s="35">
        <f>IF(OR($U250&lt;&gt;"",AND($AO250&gt;0,$L250&lt;&gt;"",$M250&lt;&gt;"")),$N250,DATE(1900,1,1))</f>
        <v/>
      </c>
      <c r="W250" s="35">
        <f>IF($U250&lt;&gt;"",$U250,IF(AND($AO250&gt;0,$L250&lt;&gt;"",$M250&lt;&gt;""),$O250,DATE(2100,12,31)))</f>
        <v/>
      </c>
      <c r="X250" s="32">
        <f>IF($U250="",$K250,$K250*$S250)</f>
        <v/>
      </c>
      <c r="Y250" s="35">
        <f>IF($U250="",DATE(2100,12,31),$U250+1)</f>
        <v/>
      </c>
      <c r="Z250" s="35">
        <f>IF($U250="",DATE(1900,1,1),$O250)</f>
        <v/>
      </c>
      <c r="AA250" s="32">
        <f>IF($U250="",0,$K250*$T250)</f>
        <v/>
      </c>
      <c r="AB250" s="21">
        <f>IF($C250="",0,IFERROR(INDEX(Deals!$AD$2:$AD$355,MATCH($C250,Deals!$A$2:$A$355,0)),0))</f>
        <v/>
      </c>
      <c r="AC250" s="32">
        <f>IF(Settings!$B$4="Yes",$I250*$AB250,$I250)</f>
        <v/>
      </c>
      <c r="AD250" s="22">
        <f>IF($C250="","",IFERROR(IF(INDEX(Deals!$AE$2:$AE$355,MATCH($C250,Deals!$A$2:$A$355,0))=0,"",INDEX(Deals!$AE$2:$AE$355,MATCH($C250,Deals!$A$2:$A$355,0))),""))</f>
        <v/>
      </c>
      <c r="AE250" s="22">
        <f>IF($C250="","",IFERROR(IF(INDEX(Deals!$AF$2:$AF$355,MATCH($C250,Deals!$A$2:$A$355,0))=0,"",INDEX(Deals!$AF$2:$AF$355,MATCH($C250,Deals!$A$2:$A$355,0))),""))</f>
        <v/>
      </c>
      <c r="AF250" s="35">
        <f>IF($AD250="",DATE(1900,1,1),$AD250)</f>
        <v/>
      </c>
      <c r="AG250" s="35">
        <f>IF($AE250="",DATE(2100,12,31),$AE250)</f>
        <v/>
      </c>
      <c r="AH250" s="22">
        <f>IF($C250="","",IFERROR(IF(INDEX(Deals!$AG$2:$AG$355,MATCH($C250,Deals!$A$2:$A$355,0))=0,"",INDEX(Deals!$AG$2:$AG$355,MATCH($C250,Deals!$A$2:$A$355,0))),""))</f>
        <v/>
      </c>
      <c r="AI250" s="35">
        <f>IF(OR($AH250&lt;&gt;"",AND($AO250&gt;0,$AD250&lt;&gt;"",$AE250&lt;&gt;"")),$AF250,DATE(1900,1,1))</f>
        <v/>
      </c>
      <c r="AJ250" s="35">
        <f>IF($AH250&lt;&gt;"",$AH250,IF(AND($AO250&gt;0,$AD250&lt;&gt;"",$AE250&lt;&gt;""),$AG250,DATE(2100,12,31)))</f>
        <v/>
      </c>
      <c r="AK250" s="32">
        <f>IF($AH250="",$AC250,$AC250*$S250)</f>
        <v/>
      </c>
      <c r="AL250" s="35">
        <f>IF($AH250="",DATE(2100,12,31),$AH250+1)</f>
        <v/>
      </c>
      <c r="AM250" s="35">
        <f>IF($AH250="",DATE(1900,1,1),$AG250)</f>
        <v/>
      </c>
      <c r="AN250" s="32">
        <f>IF($AH250="",0,$AC250*$T250)</f>
        <v/>
      </c>
      <c r="AO250" s="46">
        <f>IF($C250="",0,IFERROR(INDEX(Deals!$BD$2:$BD$355,MATCH($C250,Deals!$A$2:$A$355,0)),0))</f>
        <v/>
      </c>
      <c r="AP250" s="18">
        <f>IF($AO250=0,0,IFERROR(INDEX(Deals!$BJ$2:$BP$355,MATCH($C250,Deals!$A$2:$A$355,0),MATCH($F250,Deals!$BJ$1:$BP$1,0))/COUNTIFS(Assignments!$C$2:$C$769,$C250,Assignments!$F$2:$F$769,$F250,Assignments!$G$2:$G$769,"Active"),0))</f>
        <v/>
      </c>
    </row>
    <row r="251">
      <c r="A251" s="28" t="inlineStr">
        <is>
          <t>Justine</t>
        </is>
      </c>
      <c r="B251" s="16">
        <f>IF($A251="","",IFERROR(INDEX(Roster!$B$2:$B$40,MATCH($A251,Roster!$A$2:$A$40,0)),"?"))</f>
        <v/>
      </c>
      <c r="C251" s="28" t="inlineStr">
        <is>
          <t>Principal Asset Management BD_1</t>
        </is>
      </c>
      <c r="D251" s="16">
        <f>IF($C251="","",IFERROR(IF(INDEX(Deals!$C$2:$C$355,MATCH($C251,Deals!$A$2:$A$355,0))=0,"",INDEX(Deals!$C$2:$C$355,MATCH($C251,Deals!$A$2:$A$355,0))),"?"))</f>
        <v/>
      </c>
      <c r="E251" s="16">
        <f>IF($C251="","",IFERROR(INDEX(Deals!$F$2:$F$355,MATCH($C251,Deals!$A$2:$A$355,0)),"?"))</f>
        <v/>
      </c>
      <c r="F251" s="28" t="inlineStr">
        <is>
          <t>Director</t>
        </is>
      </c>
      <c r="G251" s="28" t="inlineStr">
        <is>
          <t>Active</t>
        </is>
      </c>
      <c r="H251" s="31" t="n"/>
      <c r="I251" s="32">
        <f>IF(OR($A251="",$G251&lt;&gt;"Active"),0,IF($H251&lt;&gt;"",$H251,IF($AO251&gt;0,$AP251,IF(AND($R251&lt;&gt;"",IFERROR(INDEX(Templates!$B$3:$H$10,MATCH($R251,Templates!$A$3:$A$10,0),MATCH($F251,Templates!$B$2:$H$2,0)),0)&gt;0),INDEX(Templates!$B$3:$H$10,MATCH($R251,Templates!$A$3:$A$10,0),MATCH($F251,Templates!$B$2:$H$2,0)),IFERROR(INDEX(Settings!$B$8:$B$14,MATCH($F251,Settings!$A$8:$A$14,0)),0)))))</f>
        <v/>
      </c>
      <c r="J251" s="21">
        <f>IF($C251="",0,IFERROR(INDEX(Deals!$H$2:$H$355,MATCH($C251,Deals!$A$2:$A$355,0)),0))</f>
        <v/>
      </c>
      <c r="K251" s="32">
        <f>IF(Settings!$B$4="Yes",$I251*$J251,$I251)</f>
        <v/>
      </c>
      <c r="L251" s="22">
        <f>IF($C251="","",IFERROR(IF(INDEX(Deals!$I$2:$I$355,MATCH($C251,Deals!$A$2:$A$355,0))=0,"",INDEX(Deals!$I$2:$I$355,MATCH($C251,Deals!$A$2:$A$355,0))),""))</f>
        <v/>
      </c>
      <c r="M251" s="22">
        <f>IF($C251="","",IFERROR(IF(INDEX(Deals!$J$2:$J$355,MATCH($C251,Deals!$A$2:$A$355,0))=0,"",INDEX(Deals!$J$2:$J$355,MATCH($C251,Deals!$A$2:$A$355,0))),""))</f>
        <v/>
      </c>
      <c r="N251" s="35">
        <f>IF($L251="",DATE(1900,1,1),$L251)</f>
        <v/>
      </c>
      <c r="O251" s="35">
        <f>IF($M251="",DATE(2100,12,31),$M251)</f>
        <v/>
      </c>
      <c r="P251" s="20" t="inlineStr">
        <is>
          <t>Proposal</t>
        </is>
      </c>
      <c r="Q251" s="47" t="inlineStr"/>
      <c r="R251" s="16">
        <f>IF($C251="","",IFERROR(IF(INDEX(Deals!$U$2:$U$355,MATCH($C251,Deals!$A$2:$A$355,0))=0,"",INDEX(Deals!$U$2:$U$355,MATCH($C251,Deals!$A$2:$A$355,0))),""))</f>
        <v/>
      </c>
      <c r="S251" s="34">
        <f>IFERROR(IF($U251="",1,INDEX(Deals!$V$2:$V$355,MATCH($C251,Deals!$A$2:$A$355,0))),1)</f>
        <v/>
      </c>
      <c r="T251" s="34">
        <f>IFERROR(IF($U251="",1,INDEX(Deals!$W$2:$W$355,MATCH($C251,Deals!$A$2:$A$355,0))),1)</f>
        <v/>
      </c>
      <c r="U251" s="22">
        <f>IF($C251="","",IFERROR(IF(INDEX(Deals!$Y$2:$Y$355,MATCH($C251,Deals!$A$2:$A$355,0))=0,"",INDEX(Deals!$Y$2:$Y$355,MATCH($C251,Deals!$A$2:$A$355,0))),""))</f>
        <v/>
      </c>
      <c r="V251" s="35">
        <f>IF(OR($U251&lt;&gt;"",AND($AO251&gt;0,$L251&lt;&gt;"",$M251&lt;&gt;"")),$N251,DATE(1900,1,1))</f>
        <v/>
      </c>
      <c r="W251" s="35">
        <f>IF($U251&lt;&gt;"",$U251,IF(AND($AO251&gt;0,$L251&lt;&gt;"",$M251&lt;&gt;""),$O251,DATE(2100,12,31)))</f>
        <v/>
      </c>
      <c r="X251" s="32">
        <f>IF($U251="",$K251,$K251*$S251)</f>
        <v/>
      </c>
      <c r="Y251" s="35">
        <f>IF($U251="",DATE(2100,12,31),$U251+1)</f>
        <v/>
      </c>
      <c r="Z251" s="35">
        <f>IF($U251="",DATE(1900,1,1),$O251)</f>
        <v/>
      </c>
      <c r="AA251" s="32">
        <f>IF($U251="",0,$K251*$T251)</f>
        <v/>
      </c>
      <c r="AB251" s="21">
        <f>IF($C251="",0,IFERROR(INDEX(Deals!$AD$2:$AD$355,MATCH($C251,Deals!$A$2:$A$355,0)),0))</f>
        <v/>
      </c>
      <c r="AC251" s="32">
        <f>IF(Settings!$B$4="Yes",$I251*$AB251,$I251)</f>
        <v/>
      </c>
      <c r="AD251" s="22">
        <f>IF($C251="","",IFERROR(IF(INDEX(Deals!$AE$2:$AE$355,MATCH($C251,Deals!$A$2:$A$355,0))=0,"",INDEX(Deals!$AE$2:$AE$355,MATCH($C251,Deals!$A$2:$A$355,0))),""))</f>
        <v/>
      </c>
      <c r="AE251" s="22">
        <f>IF($C251="","",IFERROR(IF(INDEX(Deals!$AF$2:$AF$355,MATCH($C251,Deals!$A$2:$A$355,0))=0,"",INDEX(Deals!$AF$2:$AF$355,MATCH($C251,Deals!$A$2:$A$355,0))),""))</f>
        <v/>
      </c>
      <c r="AF251" s="35">
        <f>IF($AD251="",DATE(1900,1,1),$AD251)</f>
        <v/>
      </c>
      <c r="AG251" s="35">
        <f>IF($AE251="",DATE(2100,12,31),$AE251)</f>
        <v/>
      </c>
      <c r="AH251" s="22">
        <f>IF($C251="","",IFERROR(IF(INDEX(Deals!$AG$2:$AG$355,MATCH($C251,Deals!$A$2:$A$355,0))=0,"",INDEX(Deals!$AG$2:$AG$355,MATCH($C251,Deals!$A$2:$A$355,0))),""))</f>
        <v/>
      </c>
      <c r="AI251" s="35">
        <f>IF(OR($AH251&lt;&gt;"",AND($AO251&gt;0,$AD251&lt;&gt;"",$AE251&lt;&gt;"")),$AF251,DATE(1900,1,1))</f>
        <v/>
      </c>
      <c r="AJ251" s="35">
        <f>IF($AH251&lt;&gt;"",$AH251,IF(AND($AO251&gt;0,$AD251&lt;&gt;"",$AE251&lt;&gt;""),$AG251,DATE(2100,12,31)))</f>
        <v/>
      </c>
      <c r="AK251" s="32">
        <f>IF($AH251="",$AC251,$AC251*$S251)</f>
        <v/>
      </c>
      <c r="AL251" s="35">
        <f>IF($AH251="",DATE(2100,12,31),$AH251+1)</f>
        <v/>
      </c>
      <c r="AM251" s="35">
        <f>IF($AH251="",DATE(1900,1,1),$AG251)</f>
        <v/>
      </c>
      <c r="AN251" s="32">
        <f>IF($AH251="",0,$AC251*$T251)</f>
        <v/>
      </c>
      <c r="AO251" s="46">
        <f>IF($C251="",0,IFERROR(INDEX(Deals!$BD$2:$BD$355,MATCH($C251,Deals!$A$2:$A$355,0)),0))</f>
        <v/>
      </c>
      <c r="AP251" s="18">
        <f>IF($AO251=0,0,IFERROR(INDEX(Deals!$BJ$2:$BP$355,MATCH($C251,Deals!$A$2:$A$355,0),MATCH($F251,Deals!$BJ$1:$BP$1,0))/COUNTIFS(Assignments!$C$2:$C$769,$C251,Assignments!$F$2:$F$769,$F251,Assignments!$G$2:$G$769,"Active"),0))</f>
        <v/>
      </c>
    </row>
    <row r="252">
      <c r="A252" s="28" t="inlineStr">
        <is>
          <t>Justine</t>
        </is>
      </c>
      <c r="B252" s="16">
        <f>IF($A252="","",IFERROR(INDEX(Roster!$B$2:$B$40,MATCH($A252,Roster!$A$2:$A$40,0)),"?"))</f>
        <v/>
      </c>
      <c r="C252" s="28" t="inlineStr">
        <is>
          <t>Scale Add On</t>
        </is>
      </c>
      <c r="D252" s="16">
        <f>IF($C252="","",IFERROR(IF(INDEX(Deals!$C$2:$C$355,MATCH($C252,Deals!$A$2:$A$355,0))=0,"",INDEX(Deals!$C$2:$C$355,MATCH($C252,Deals!$A$2:$A$355,0))),"?"))</f>
        <v/>
      </c>
      <c r="E252" s="16">
        <f>IF($C252="","",IFERROR(INDEX(Deals!$F$2:$F$355,MATCH($C252,Deals!$A$2:$A$355,0)),"?"))</f>
        <v/>
      </c>
      <c r="F252" s="28" t="inlineStr">
        <is>
          <t>Director</t>
        </is>
      </c>
      <c r="G252" s="28" t="inlineStr">
        <is>
          <t>Active</t>
        </is>
      </c>
      <c r="H252" s="31" t="n"/>
      <c r="I252" s="32">
        <f>IF(OR($A252="",$G252&lt;&gt;"Active"),0,IF($H252&lt;&gt;"",$H252,IF($AO252&gt;0,$AP252,IF(AND($R252&lt;&gt;"",IFERROR(INDEX(Templates!$B$3:$H$10,MATCH($R252,Templates!$A$3:$A$10,0),MATCH($F252,Templates!$B$2:$H$2,0)),0)&gt;0),INDEX(Templates!$B$3:$H$10,MATCH($R252,Templates!$A$3:$A$10,0),MATCH($F252,Templates!$B$2:$H$2,0)),IFERROR(INDEX(Settings!$B$8:$B$14,MATCH($F252,Settings!$A$8:$A$14,0)),0)))))</f>
        <v/>
      </c>
      <c r="J252" s="21">
        <f>IF($C252="",0,IFERROR(INDEX(Deals!$H$2:$H$355,MATCH($C252,Deals!$A$2:$A$355,0)),0))</f>
        <v/>
      </c>
      <c r="K252" s="32">
        <f>IF(Settings!$B$4="Yes",$I252*$J252,$I252)</f>
        <v/>
      </c>
      <c r="L252" s="22">
        <f>IF($C252="","",IFERROR(IF(INDEX(Deals!$I$2:$I$355,MATCH($C252,Deals!$A$2:$A$355,0))=0,"",INDEX(Deals!$I$2:$I$355,MATCH($C252,Deals!$A$2:$A$355,0))),""))</f>
        <v/>
      </c>
      <c r="M252" s="22">
        <f>IF($C252="","",IFERROR(IF(INDEX(Deals!$J$2:$J$355,MATCH($C252,Deals!$A$2:$A$355,0))=0,"",INDEX(Deals!$J$2:$J$355,MATCH($C252,Deals!$A$2:$A$355,0))),""))</f>
        <v/>
      </c>
      <c r="N252" s="35">
        <f>IF($L252="",DATE(1900,1,1),$L252)</f>
        <v/>
      </c>
      <c r="O252" s="35">
        <f>IF($M252="",DATE(2100,12,31),$M252)</f>
        <v/>
      </c>
      <c r="P252" s="20" t="inlineStr">
        <is>
          <t>Proposal - to be coming soon</t>
        </is>
      </c>
      <c r="Q252" s="47" t="inlineStr">
        <is>
          <t>Added from Summary tab</t>
        </is>
      </c>
      <c r="R252" s="16">
        <f>IF($C252="","",IFERROR(IF(INDEX(Deals!$U$2:$U$355,MATCH($C252,Deals!$A$2:$A$355,0))=0,"",INDEX(Deals!$U$2:$U$355,MATCH($C252,Deals!$A$2:$A$355,0))),""))</f>
        <v/>
      </c>
      <c r="S252" s="34">
        <f>IFERROR(IF($U252="",1,INDEX(Deals!$V$2:$V$355,MATCH($C252,Deals!$A$2:$A$355,0))),1)</f>
        <v/>
      </c>
      <c r="T252" s="34">
        <f>IFERROR(IF($U252="",1,INDEX(Deals!$W$2:$W$355,MATCH($C252,Deals!$A$2:$A$355,0))),1)</f>
        <v/>
      </c>
      <c r="U252" s="22">
        <f>IF($C252="","",IFERROR(IF(INDEX(Deals!$Y$2:$Y$355,MATCH($C252,Deals!$A$2:$A$355,0))=0,"",INDEX(Deals!$Y$2:$Y$355,MATCH($C252,Deals!$A$2:$A$355,0))),""))</f>
        <v/>
      </c>
      <c r="V252" s="35">
        <f>IF(OR($U252&lt;&gt;"",AND($AO252&gt;0,$L252&lt;&gt;"",$M252&lt;&gt;"")),$N252,DATE(1900,1,1))</f>
        <v/>
      </c>
      <c r="W252" s="35">
        <f>IF($U252&lt;&gt;"",$U252,IF(AND($AO252&gt;0,$L252&lt;&gt;"",$M252&lt;&gt;""),$O252,DATE(2100,12,31)))</f>
        <v/>
      </c>
      <c r="X252" s="32">
        <f>IF($U252="",$K252,$K252*$S252)</f>
        <v/>
      </c>
      <c r="Y252" s="35">
        <f>IF($U252="",DATE(2100,12,31),$U252+1)</f>
        <v/>
      </c>
      <c r="Z252" s="35">
        <f>IF($U252="",DATE(1900,1,1),$O252)</f>
        <v/>
      </c>
      <c r="AA252" s="32">
        <f>IF($U252="",0,$K252*$T252)</f>
        <v/>
      </c>
      <c r="AB252" s="21">
        <f>IF($C252="",0,IFERROR(INDEX(Deals!$AD$2:$AD$355,MATCH($C252,Deals!$A$2:$A$355,0)),0))</f>
        <v/>
      </c>
      <c r="AC252" s="32">
        <f>IF(Settings!$B$4="Yes",$I252*$AB252,$I252)</f>
        <v/>
      </c>
      <c r="AD252" s="22">
        <f>IF($C252="","",IFERROR(IF(INDEX(Deals!$AE$2:$AE$355,MATCH($C252,Deals!$A$2:$A$355,0))=0,"",INDEX(Deals!$AE$2:$AE$355,MATCH($C252,Deals!$A$2:$A$355,0))),""))</f>
        <v/>
      </c>
      <c r="AE252" s="22">
        <f>IF($C252="","",IFERROR(IF(INDEX(Deals!$AF$2:$AF$355,MATCH($C252,Deals!$A$2:$A$355,0))=0,"",INDEX(Deals!$AF$2:$AF$355,MATCH($C252,Deals!$A$2:$A$355,0))),""))</f>
        <v/>
      </c>
      <c r="AF252" s="35">
        <f>IF($AD252="",DATE(1900,1,1),$AD252)</f>
        <v/>
      </c>
      <c r="AG252" s="35">
        <f>IF($AE252="",DATE(2100,12,31),$AE252)</f>
        <v/>
      </c>
      <c r="AH252" s="22">
        <f>IF($C252="","",IFERROR(IF(INDEX(Deals!$AG$2:$AG$355,MATCH($C252,Deals!$A$2:$A$355,0))=0,"",INDEX(Deals!$AG$2:$AG$355,MATCH($C252,Deals!$A$2:$A$355,0))),""))</f>
        <v/>
      </c>
      <c r="AI252" s="35">
        <f>IF(OR($AH252&lt;&gt;"",AND($AO252&gt;0,$AD252&lt;&gt;"",$AE252&lt;&gt;"")),$AF252,DATE(1900,1,1))</f>
        <v/>
      </c>
      <c r="AJ252" s="35">
        <f>IF($AH252&lt;&gt;"",$AH252,IF(AND($AO252&gt;0,$AD252&lt;&gt;"",$AE252&lt;&gt;""),$AG252,DATE(2100,12,31)))</f>
        <v/>
      </c>
      <c r="AK252" s="32">
        <f>IF($AH252="",$AC252,$AC252*$S252)</f>
        <v/>
      </c>
      <c r="AL252" s="35">
        <f>IF($AH252="",DATE(2100,12,31),$AH252+1)</f>
        <v/>
      </c>
      <c r="AM252" s="35">
        <f>IF($AH252="",DATE(1900,1,1),$AG252)</f>
        <v/>
      </c>
      <c r="AN252" s="32">
        <f>IF($AH252="",0,$AC252*$T252)</f>
        <v/>
      </c>
      <c r="AO252" s="46">
        <f>IF($C252="",0,IFERROR(INDEX(Deals!$BD$2:$BD$355,MATCH($C252,Deals!$A$2:$A$355,0)),0))</f>
        <v/>
      </c>
      <c r="AP252" s="18">
        <f>IF($AO252=0,0,IFERROR(INDEX(Deals!$BJ$2:$BP$355,MATCH($C252,Deals!$A$2:$A$355,0),MATCH($F252,Deals!$BJ$1:$BP$1,0))/COUNTIFS(Assignments!$C$2:$C$769,$C252,Assignments!$F$2:$F$769,$F252,Assignments!$G$2:$G$769,"Active"),0))</f>
        <v/>
      </c>
    </row>
    <row r="253">
      <c r="A253" s="28" t="inlineStr">
        <is>
          <t>Justine</t>
        </is>
      </c>
      <c r="B253" s="16">
        <f>IF($A253="","",IFERROR(INDEX(Roster!$B$2:$B$40,MATCH($A253,Roster!$A$2:$A$40,0)),"?"))</f>
        <v/>
      </c>
      <c r="C253" s="28" t="inlineStr">
        <is>
          <t>Scion_1</t>
        </is>
      </c>
      <c r="D253" s="16">
        <f>IF($C253="","",IFERROR(IF(INDEX(Deals!$C$2:$C$355,MATCH($C253,Deals!$A$2:$A$355,0))=0,"",INDEX(Deals!$C$2:$C$355,MATCH($C253,Deals!$A$2:$A$355,0))),"?"))</f>
        <v/>
      </c>
      <c r="E253" s="16">
        <f>IF($C253="","",IFERROR(INDEX(Deals!$F$2:$F$355,MATCH($C253,Deals!$A$2:$A$355,0)),"?"))</f>
        <v/>
      </c>
      <c r="F253" s="28" t="inlineStr">
        <is>
          <t>Director</t>
        </is>
      </c>
      <c r="G253" s="28" t="inlineStr">
        <is>
          <t>Inactive</t>
        </is>
      </c>
      <c r="H253" s="31" t="n"/>
      <c r="I253" s="32">
        <f>IF(OR($A253="",$G253&lt;&gt;"Active"),0,IF($H253&lt;&gt;"",$H253,IF($AO253&gt;0,$AP253,IF(AND($R253&lt;&gt;"",IFERROR(INDEX(Templates!$B$3:$H$10,MATCH($R253,Templates!$A$3:$A$10,0),MATCH($F253,Templates!$B$2:$H$2,0)),0)&gt;0),INDEX(Templates!$B$3:$H$10,MATCH($R253,Templates!$A$3:$A$10,0),MATCH($F253,Templates!$B$2:$H$2,0)),IFERROR(INDEX(Settings!$B$8:$B$14,MATCH($F253,Settings!$A$8:$A$14,0)),0)))))</f>
        <v/>
      </c>
      <c r="J253" s="21">
        <f>IF($C253="",0,IFERROR(INDEX(Deals!$H$2:$H$355,MATCH($C253,Deals!$A$2:$A$355,0)),0))</f>
        <v/>
      </c>
      <c r="K253" s="32">
        <f>IF(Settings!$B$4="Yes",$I253*$J253,$I253)</f>
        <v/>
      </c>
      <c r="L253" s="22">
        <f>IF($C253="","",IFERROR(IF(INDEX(Deals!$I$2:$I$355,MATCH($C253,Deals!$A$2:$A$355,0))=0,"",INDEX(Deals!$I$2:$I$355,MATCH($C253,Deals!$A$2:$A$355,0))),""))</f>
        <v/>
      </c>
      <c r="M253" s="22">
        <f>IF($C253="","",IFERROR(IF(INDEX(Deals!$J$2:$J$355,MATCH($C253,Deals!$A$2:$A$355,0))=0,"",INDEX(Deals!$J$2:$J$355,MATCH($C253,Deals!$A$2:$A$355,0))),""))</f>
        <v/>
      </c>
      <c r="N253" s="35">
        <f>IF($L253="",DATE(1900,1,1),$L253)</f>
        <v/>
      </c>
      <c r="O253" s="35">
        <f>IF($M253="",DATE(2100,12,31),$M253)</f>
        <v/>
      </c>
      <c r="P253" s="20" t="inlineStr">
        <is>
          <t>Closed to be invoiced</t>
        </is>
      </c>
      <c r="Q253" s="47" t="inlineStr"/>
      <c r="R253" s="16">
        <f>IF($C253="","",IFERROR(IF(INDEX(Deals!$U$2:$U$355,MATCH($C253,Deals!$A$2:$A$355,0))=0,"",INDEX(Deals!$U$2:$U$355,MATCH($C253,Deals!$A$2:$A$355,0))),""))</f>
        <v/>
      </c>
      <c r="S253" s="34">
        <f>IFERROR(IF($U253="",1,INDEX(Deals!$V$2:$V$355,MATCH($C253,Deals!$A$2:$A$355,0))),1)</f>
        <v/>
      </c>
      <c r="T253" s="34">
        <f>IFERROR(IF($U253="",1,INDEX(Deals!$W$2:$W$355,MATCH($C253,Deals!$A$2:$A$355,0))),1)</f>
        <v/>
      </c>
      <c r="U253" s="22">
        <f>IF($C253="","",IFERROR(IF(INDEX(Deals!$Y$2:$Y$355,MATCH($C253,Deals!$A$2:$A$355,0))=0,"",INDEX(Deals!$Y$2:$Y$355,MATCH($C253,Deals!$A$2:$A$355,0))),""))</f>
        <v/>
      </c>
      <c r="V253" s="35">
        <f>IF(OR($U253&lt;&gt;"",AND($AO253&gt;0,$L253&lt;&gt;"",$M253&lt;&gt;"")),$N253,DATE(1900,1,1))</f>
        <v/>
      </c>
      <c r="W253" s="35">
        <f>IF($U253&lt;&gt;"",$U253,IF(AND($AO253&gt;0,$L253&lt;&gt;"",$M253&lt;&gt;""),$O253,DATE(2100,12,31)))</f>
        <v/>
      </c>
      <c r="X253" s="32">
        <f>IF($U253="",$K253,$K253*$S253)</f>
        <v/>
      </c>
      <c r="Y253" s="35">
        <f>IF($U253="",DATE(2100,12,31),$U253+1)</f>
        <v/>
      </c>
      <c r="Z253" s="35">
        <f>IF($U253="",DATE(1900,1,1),$O253)</f>
        <v/>
      </c>
      <c r="AA253" s="32">
        <f>IF($U253="",0,$K253*$T253)</f>
        <v/>
      </c>
      <c r="AB253" s="21">
        <f>IF($C253="",0,IFERROR(INDEX(Deals!$AD$2:$AD$355,MATCH($C253,Deals!$A$2:$A$355,0)),0))</f>
        <v/>
      </c>
      <c r="AC253" s="32">
        <f>IF(Settings!$B$4="Yes",$I253*$AB253,$I253)</f>
        <v/>
      </c>
      <c r="AD253" s="22">
        <f>IF($C253="","",IFERROR(IF(INDEX(Deals!$AE$2:$AE$355,MATCH($C253,Deals!$A$2:$A$355,0))=0,"",INDEX(Deals!$AE$2:$AE$355,MATCH($C253,Deals!$A$2:$A$355,0))),""))</f>
        <v/>
      </c>
      <c r="AE253" s="22">
        <f>IF($C253="","",IFERROR(IF(INDEX(Deals!$AF$2:$AF$355,MATCH($C253,Deals!$A$2:$A$355,0))=0,"",INDEX(Deals!$AF$2:$AF$355,MATCH($C253,Deals!$A$2:$A$355,0))),""))</f>
        <v/>
      </c>
      <c r="AF253" s="35">
        <f>IF($AD253="",DATE(1900,1,1),$AD253)</f>
        <v/>
      </c>
      <c r="AG253" s="35">
        <f>IF($AE253="",DATE(2100,12,31),$AE253)</f>
        <v/>
      </c>
      <c r="AH253" s="22">
        <f>IF($C253="","",IFERROR(IF(INDEX(Deals!$AG$2:$AG$355,MATCH($C253,Deals!$A$2:$A$355,0))=0,"",INDEX(Deals!$AG$2:$AG$355,MATCH($C253,Deals!$A$2:$A$355,0))),""))</f>
        <v/>
      </c>
      <c r="AI253" s="35">
        <f>IF(OR($AH253&lt;&gt;"",AND($AO253&gt;0,$AD253&lt;&gt;"",$AE253&lt;&gt;"")),$AF253,DATE(1900,1,1))</f>
        <v/>
      </c>
      <c r="AJ253" s="35">
        <f>IF($AH253&lt;&gt;"",$AH253,IF(AND($AO253&gt;0,$AD253&lt;&gt;"",$AE253&lt;&gt;""),$AG253,DATE(2100,12,31)))</f>
        <v/>
      </c>
      <c r="AK253" s="32">
        <f>IF($AH253="",$AC253,$AC253*$S253)</f>
        <v/>
      </c>
      <c r="AL253" s="35">
        <f>IF($AH253="",DATE(2100,12,31),$AH253+1)</f>
        <v/>
      </c>
      <c r="AM253" s="35">
        <f>IF($AH253="",DATE(1900,1,1),$AG253)</f>
        <v/>
      </c>
      <c r="AN253" s="32">
        <f>IF($AH253="",0,$AC253*$T253)</f>
        <v/>
      </c>
      <c r="AO253" s="46">
        <f>IF($C253="",0,IFERROR(INDEX(Deals!$BD$2:$BD$355,MATCH($C253,Deals!$A$2:$A$355,0)),0))</f>
        <v/>
      </c>
      <c r="AP253" s="18">
        <f>IF($AO253=0,0,IFERROR(INDEX(Deals!$BJ$2:$BP$355,MATCH($C253,Deals!$A$2:$A$355,0),MATCH($F253,Deals!$BJ$1:$BP$1,0))/COUNTIFS(Assignments!$C$2:$C$769,$C253,Assignments!$F$2:$F$769,$F253,Assignments!$G$2:$G$769,"Active"),0))</f>
        <v/>
      </c>
    </row>
    <row r="254">
      <c r="A254" s="28" t="inlineStr">
        <is>
          <t>Justine</t>
        </is>
      </c>
      <c r="B254" s="16">
        <f>IF($A254="","",IFERROR(INDEX(Roster!$B$2:$B$40,MATCH($A254,Roster!$A$2:$A$40,0)),"?"))</f>
        <v/>
      </c>
      <c r="C254" s="28" t="inlineStr">
        <is>
          <t>Seven2 PFIC_1</t>
        </is>
      </c>
      <c r="D254" s="16">
        <f>IF($C254="","",IFERROR(IF(INDEX(Deals!$C$2:$C$355,MATCH($C254,Deals!$A$2:$A$355,0))=0,"",INDEX(Deals!$C$2:$C$355,MATCH($C254,Deals!$A$2:$A$355,0))),"?"))</f>
        <v/>
      </c>
      <c r="E254" s="16">
        <f>IF($C254="","",IFERROR(INDEX(Deals!$F$2:$F$355,MATCH($C254,Deals!$A$2:$A$355,0)),"?"))</f>
        <v/>
      </c>
      <c r="F254" s="28" t="inlineStr">
        <is>
          <t>Director</t>
        </is>
      </c>
      <c r="G254" s="28" t="inlineStr">
        <is>
          <t>Inactive</t>
        </is>
      </c>
      <c r="H254" s="31" t="n"/>
      <c r="I254" s="32">
        <f>IF(OR($A254="",$G254&lt;&gt;"Active"),0,IF($H254&lt;&gt;"",$H254,IF($AO254&gt;0,$AP254,IF(AND($R254&lt;&gt;"",IFERROR(INDEX(Templates!$B$3:$H$10,MATCH($R254,Templates!$A$3:$A$10,0),MATCH($F254,Templates!$B$2:$H$2,0)),0)&gt;0),INDEX(Templates!$B$3:$H$10,MATCH($R254,Templates!$A$3:$A$10,0),MATCH($F254,Templates!$B$2:$H$2,0)),IFERROR(INDEX(Settings!$B$8:$B$14,MATCH($F254,Settings!$A$8:$A$14,0)),0)))))</f>
        <v/>
      </c>
      <c r="J254" s="21">
        <f>IF($C254="",0,IFERROR(INDEX(Deals!$H$2:$H$355,MATCH($C254,Deals!$A$2:$A$355,0)),0))</f>
        <v/>
      </c>
      <c r="K254" s="32">
        <f>IF(Settings!$B$4="Yes",$I254*$J254,$I254)</f>
        <v/>
      </c>
      <c r="L254" s="22">
        <f>IF($C254="","",IFERROR(IF(INDEX(Deals!$I$2:$I$355,MATCH($C254,Deals!$A$2:$A$355,0))=0,"",INDEX(Deals!$I$2:$I$355,MATCH($C254,Deals!$A$2:$A$355,0))),""))</f>
        <v/>
      </c>
      <c r="M254" s="22">
        <f>IF($C254="","",IFERROR(IF(INDEX(Deals!$J$2:$J$355,MATCH($C254,Deals!$A$2:$A$355,0))=0,"",INDEX(Deals!$J$2:$J$355,MATCH($C254,Deals!$A$2:$A$355,0))),""))</f>
        <v/>
      </c>
      <c r="N254" s="35">
        <f>IF($L254="",DATE(1900,1,1),$L254)</f>
        <v/>
      </c>
      <c r="O254" s="35">
        <f>IF($M254="",DATE(2100,12,31),$M254)</f>
        <v/>
      </c>
      <c r="P254" s="20" t="inlineStr">
        <is>
          <t>Closed</t>
        </is>
      </c>
      <c r="Q254" s="47" t="inlineStr"/>
      <c r="R254" s="16">
        <f>IF($C254="","",IFERROR(IF(INDEX(Deals!$U$2:$U$355,MATCH($C254,Deals!$A$2:$A$355,0))=0,"",INDEX(Deals!$U$2:$U$355,MATCH($C254,Deals!$A$2:$A$355,0))),""))</f>
        <v/>
      </c>
      <c r="S254" s="34">
        <f>IFERROR(IF($U254="",1,INDEX(Deals!$V$2:$V$355,MATCH($C254,Deals!$A$2:$A$355,0))),1)</f>
        <v/>
      </c>
      <c r="T254" s="34">
        <f>IFERROR(IF($U254="",1,INDEX(Deals!$W$2:$W$355,MATCH($C254,Deals!$A$2:$A$355,0))),1)</f>
        <v/>
      </c>
      <c r="U254" s="22">
        <f>IF($C254="","",IFERROR(IF(INDEX(Deals!$Y$2:$Y$355,MATCH($C254,Deals!$A$2:$A$355,0))=0,"",INDEX(Deals!$Y$2:$Y$355,MATCH($C254,Deals!$A$2:$A$355,0))),""))</f>
        <v/>
      </c>
      <c r="V254" s="35">
        <f>IF(OR($U254&lt;&gt;"",AND($AO254&gt;0,$L254&lt;&gt;"",$M254&lt;&gt;"")),$N254,DATE(1900,1,1))</f>
        <v/>
      </c>
      <c r="W254" s="35">
        <f>IF($U254&lt;&gt;"",$U254,IF(AND($AO254&gt;0,$L254&lt;&gt;"",$M254&lt;&gt;""),$O254,DATE(2100,12,31)))</f>
        <v/>
      </c>
      <c r="X254" s="32">
        <f>IF($U254="",$K254,$K254*$S254)</f>
        <v/>
      </c>
      <c r="Y254" s="35">
        <f>IF($U254="",DATE(2100,12,31),$U254+1)</f>
        <v/>
      </c>
      <c r="Z254" s="35">
        <f>IF($U254="",DATE(1900,1,1),$O254)</f>
        <v/>
      </c>
      <c r="AA254" s="32">
        <f>IF($U254="",0,$K254*$T254)</f>
        <v/>
      </c>
      <c r="AB254" s="21">
        <f>IF($C254="",0,IFERROR(INDEX(Deals!$AD$2:$AD$355,MATCH($C254,Deals!$A$2:$A$355,0)),0))</f>
        <v/>
      </c>
      <c r="AC254" s="32">
        <f>IF(Settings!$B$4="Yes",$I254*$AB254,$I254)</f>
        <v/>
      </c>
      <c r="AD254" s="22">
        <f>IF($C254="","",IFERROR(IF(INDEX(Deals!$AE$2:$AE$355,MATCH($C254,Deals!$A$2:$A$355,0))=0,"",INDEX(Deals!$AE$2:$AE$355,MATCH($C254,Deals!$A$2:$A$355,0))),""))</f>
        <v/>
      </c>
      <c r="AE254" s="22">
        <f>IF($C254="","",IFERROR(IF(INDEX(Deals!$AF$2:$AF$355,MATCH($C254,Deals!$A$2:$A$355,0))=0,"",INDEX(Deals!$AF$2:$AF$355,MATCH($C254,Deals!$A$2:$A$355,0))),""))</f>
        <v/>
      </c>
      <c r="AF254" s="35">
        <f>IF($AD254="",DATE(1900,1,1),$AD254)</f>
        <v/>
      </c>
      <c r="AG254" s="35">
        <f>IF($AE254="",DATE(2100,12,31),$AE254)</f>
        <v/>
      </c>
      <c r="AH254" s="22">
        <f>IF($C254="","",IFERROR(IF(INDEX(Deals!$AG$2:$AG$355,MATCH($C254,Deals!$A$2:$A$355,0))=0,"",INDEX(Deals!$AG$2:$AG$355,MATCH($C254,Deals!$A$2:$A$355,0))),""))</f>
        <v/>
      </c>
      <c r="AI254" s="35">
        <f>IF(OR($AH254&lt;&gt;"",AND($AO254&gt;0,$AD254&lt;&gt;"",$AE254&lt;&gt;"")),$AF254,DATE(1900,1,1))</f>
        <v/>
      </c>
      <c r="AJ254" s="35">
        <f>IF($AH254&lt;&gt;"",$AH254,IF(AND($AO254&gt;0,$AD254&lt;&gt;"",$AE254&lt;&gt;""),$AG254,DATE(2100,12,31)))</f>
        <v/>
      </c>
      <c r="AK254" s="32">
        <f>IF($AH254="",$AC254,$AC254*$S254)</f>
        <v/>
      </c>
      <c r="AL254" s="35">
        <f>IF($AH254="",DATE(2100,12,31),$AH254+1)</f>
        <v/>
      </c>
      <c r="AM254" s="35">
        <f>IF($AH254="",DATE(1900,1,1),$AG254)</f>
        <v/>
      </c>
      <c r="AN254" s="32">
        <f>IF($AH254="",0,$AC254*$T254)</f>
        <v/>
      </c>
      <c r="AO254" s="46">
        <f>IF($C254="",0,IFERROR(INDEX(Deals!$BD$2:$BD$355,MATCH($C254,Deals!$A$2:$A$355,0)),0))</f>
        <v/>
      </c>
      <c r="AP254" s="18">
        <f>IF($AO254=0,0,IFERROR(INDEX(Deals!$BJ$2:$BP$355,MATCH($C254,Deals!$A$2:$A$355,0),MATCH($F254,Deals!$BJ$1:$BP$1,0))/COUNTIFS(Assignments!$C$2:$C$769,$C254,Assignments!$F$2:$F$769,$F254,Assignments!$G$2:$G$769,"Active"),0))</f>
        <v/>
      </c>
    </row>
    <row r="255">
      <c r="A255" s="28" t="inlineStr">
        <is>
          <t>Justine</t>
        </is>
      </c>
      <c r="B255" s="16">
        <f>IF($A255="","",IFERROR(INDEX(Roster!$B$2:$B$40,MATCH($A255,Roster!$A$2:$A$40,0)),"?"))</f>
        <v/>
      </c>
      <c r="C255" s="28" t="inlineStr">
        <is>
          <t>Staffing_1</t>
        </is>
      </c>
      <c r="D255" s="16">
        <f>IF($C255="","",IFERROR(IF(INDEX(Deals!$C$2:$C$355,MATCH($C255,Deals!$A$2:$A$355,0))=0,"",INDEX(Deals!$C$2:$C$355,MATCH($C255,Deals!$A$2:$A$355,0))),"?"))</f>
        <v/>
      </c>
      <c r="E255" s="16">
        <f>IF($C255="","",IFERROR(INDEX(Deals!$F$2:$F$355,MATCH($C255,Deals!$A$2:$A$355,0)),"?"))</f>
        <v/>
      </c>
      <c r="F255" s="28" t="inlineStr">
        <is>
          <t>Director</t>
        </is>
      </c>
      <c r="G255" s="28" t="inlineStr">
        <is>
          <t>Inactive</t>
        </is>
      </c>
      <c r="H255" s="31" t="n"/>
      <c r="I255" s="32">
        <f>IF(OR($A255="",$G255&lt;&gt;"Active"),0,IF($H255&lt;&gt;"",$H255,IF($AO255&gt;0,$AP255,IF(AND($R255&lt;&gt;"",IFERROR(INDEX(Templates!$B$3:$H$10,MATCH($R255,Templates!$A$3:$A$10,0),MATCH($F255,Templates!$B$2:$H$2,0)),0)&gt;0),INDEX(Templates!$B$3:$H$10,MATCH($R255,Templates!$A$3:$A$10,0),MATCH($F255,Templates!$B$2:$H$2,0)),IFERROR(INDEX(Settings!$B$8:$B$14,MATCH($F255,Settings!$A$8:$A$14,0)),0)))))</f>
        <v/>
      </c>
      <c r="J255" s="21">
        <f>IF($C255="",0,IFERROR(INDEX(Deals!$H$2:$H$355,MATCH($C255,Deals!$A$2:$A$355,0)),0))</f>
        <v/>
      </c>
      <c r="K255" s="32">
        <f>IF(Settings!$B$4="Yes",$I255*$J255,$I255)</f>
        <v/>
      </c>
      <c r="L255" s="22">
        <f>IF($C255="","",IFERROR(IF(INDEX(Deals!$I$2:$I$355,MATCH($C255,Deals!$A$2:$A$355,0))=0,"",INDEX(Deals!$I$2:$I$355,MATCH($C255,Deals!$A$2:$A$355,0))),""))</f>
        <v/>
      </c>
      <c r="M255" s="22">
        <f>IF($C255="","",IFERROR(IF(INDEX(Deals!$J$2:$J$355,MATCH($C255,Deals!$A$2:$A$355,0))=0,"",INDEX(Deals!$J$2:$J$355,MATCH($C255,Deals!$A$2:$A$355,0))),""))</f>
        <v/>
      </c>
      <c r="N255" s="35">
        <f>IF($L255="",DATE(1900,1,1),$L255)</f>
        <v/>
      </c>
      <c r="O255" s="35">
        <f>IF($M255="",DATE(2100,12,31),$M255)</f>
        <v/>
      </c>
      <c r="P255" s="20" t="inlineStr">
        <is>
          <t>Dead</t>
        </is>
      </c>
      <c r="Q255" s="47" t="inlineStr"/>
      <c r="R255" s="16">
        <f>IF($C255="","",IFERROR(IF(INDEX(Deals!$U$2:$U$355,MATCH($C255,Deals!$A$2:$A$355,0))=0,"",INDEX(Deals!$U$2:$U$355,MATCH($C255,Deals!$A$2:$A$355,0))),""))</f>
        <v/>
      </c>
      <c r="S255" s="34">
        <f>IFERROR(IF($U255="",1,INDEX(Deals!$V$2:$V$355,MATCH($C255,Deals!$A$2:$A$355,0))),1)</f>
        <v/>
      </c>
      <c r="T255" s="34">
        <f>IFERROR(IF($U255="",1,INDEX(Deals!$W$2:$W$355,MATCH($C255,Deals!$A$2:$A$355,0))),1)</f>
        <v/>
      </c>
      <c r="U255" s="22">
        <f>IF($C255="","",IFERROR(IF(INDEX(Deals!$Y$2:$Y$355,MATCH($C255,Deals!$A$2:$A$355,0))=0,"",INDEX(Deals!$Y$2:$Y$355,MATCH($C255,Deals!$A$2:$A$355,0))),""))</f>
        <v/>
      </c>
      <c r="V255" s="35">
        <f>IF(OR($U255&lt;&gt;"",AND($AO255&gt;0,$L255&lt;&gt;"",$M255&lt;&gt;"")),$N255,DATE(1900,1,1))</f>
        <v/>
      </c>
      <c r="W255" s="35">
        <f>IF($U255&lt;&gt;"",$U255,IF(AND($AO255&gt;0,$L255&lt;&gt;"",$M255&lt;&gt;""),$O255,DATE(2100,12,31)))</f>
        <v/>
      </c>
      <c r="X255" s="32">
        <f>IF($U255="",$K255,$K255*$S255)</f>
        <v/>
      </c>
      <c r="Y255" s="35">
        <f>IF($U255="",DATE(2100,12,31),$U255+1)</f>
        <v/>
      </c>
      <c r="Z255" s="35">
        <f>IF($U255="",DATE(1900,1,1),$O255)</f>
        <v/>
      </c>
      <c r="AA255" s="32">
        <f>IF($U255="",0,$K255*$T255)</f>
        <v/>
      </c>
      <c r="AB255" s="21">
        <f>IF($C255="",0,IFERROR(INDEX(Deals!$AD$2:$AD$355,MATCH($C255,Deals!$A$2:$A$355,0)),0))</f>
        <v/>
      </c>
      <c r="AC255" s="32">
        <f>IF(Settings!$B$4="Yes",$I255*$AB255,$I255)</f>
        <v/>
      </c>
      <c r="AD255" s="22">
        <f>IF($C255="","",IFERROR(IF(INDEX(Deals!$AE$2:$AE$355,MATCH($C255,Deals!$A$2:$A$355,0))=0,"",INDEX(Deals!$AE$2:$AE$355,MATCH($C255,Deals!$A$2:$A$355,0))),""))</f>
        <v/>
      </c>
      <c r="AE255" s="22">
        <f>IF($C255="","",IFERROR(IF(INDEX(Deals!$AF$2:$AF$355,MATCH($C255,Deals!$A$2:$A$355,0))=0,"",INDEX(Deals!$AF$2:$AF$355,MATCH($C255,Deals!$A$2:$A$355,0))),""))</f>
        <v/>
      </c>
      <c r="AF255" s="35">
        <f>IF($AD255="",DATE(1900,1,1),$AD255)</f>
        <v/>
      </c>
      <c r="AG255" s="35">
        <f>IF($AE255="",DATE(2100,12,31),$AE255)</f>
        <v/>
      </c>
      <c r="AH255" s="22">
        <f>IF($C255="","",IFERROR(IF(INDEX(Deals!$AG$2:$AG$355,MATCH($C255,Deals!$A$2:$A$355,0))=0,"",INDEX(Deals!$AG$2:$AG$355,MATCH($C255,Deals!$A$2:$A$355,0))),""))</f>
        <v/>
      </c>
      <c r="AI255" s="35">
        <f>IF(OR($AH255&lt;&gt;"",AND($AO255&gt;0,$AD255&lt;&gt;"",$AE255&lt;&gt;"")),$AF255,DATE(1900,1,1))</f>
        <v/>
      </c>
      <c r="AJ255" s="35">
        <f>IF($AH255&lt;&gt;"",$AH255,IF(AND($AO255&gt;0,$AD255&lt;&gt;"",$AE255&lt;&gt;""),$AG255,DATE(2100,12,31)))</f>
        <v/>
      </c>
      <c r="AK255" s="32">
        <f>IF($AH255="",$AC255,$AC255*$S255)</f>
        <v/>
      </c>
      <c r="AL255" s="35">
        <f>IF($AH255="",DATE(2100,12,31),$AH255+1)</f>
        <v/>
      </c>
      <c r="AM255" s="35">
        <f>IF($AH255="",DATE(1900,1,1),$AG255)</f>
        <v/>
      </c>
      <c r="AN255" s="32">
        <f>IF($AH255="",0,$AC255*$T255)</f>
        <v/>
      </c>
      <c r="AO255" s="46">
        <f>IF($C255="",0,IFERROR(INDEX(Deals!$BD$2:$BD$355,MATCH($C255,Deals!$A$2:$A$355,0)),0))</f>
        <v/>
      </c>
      <c r="AP255" s="18">
        <f>IF($AO255=0,0,IFERROR(INDEX(Deals!$BJ$2:$BP$355,MATCH($C255,Deals!$A$2:$A$355,0),MATCH($F255,Deals!$BJ$1:$BP$1,0))/COUNTIFS(Assignments!$C$2:$C$769,$C255,Assignments!$F$2:$F$769,$F255,Assignments!$G$2:$G$769,"Active"),0))</f>
        <v/>
      </c>
    </row>
    <row r="256">
      <c r="A256" s="28" t="inlineStr">
        <is>
          <t>Justine</t>
        </is>
      </c>
      <c r="B256" s="16">
        <f>IF($A256="","",IFERROR(INDEX(Roster!$B$2:$B$40,MATCH($A256,Roster!$A$2:$A$40,0)),"?"))</f>
        <v/>
      </c>
      <c r="C256" s="28" t="inlineStr">
        <is>
          <t>Sunrise_5</t>
        </is>
      </c>
      <c r="D256" s="16">
        <f>IF($C256="","",IFERROR(IF(INDEX(Deals!$C$2:$C$355,MATCH($C256,Deals!$A$2:$A$355,0))=0,"",INDEX(Deals!$C$2:$C$355,MATCH($C256,Deals!$A$2:$A$355,0))),"?"))</f>
        <v/>
      </c>
      <c r="E256" s="16">
        <f>IF($C256="","",IFERROR(INDEX(Deals!$F$2:$F$355,MATCH($C256,Deals!$A$2:$A$355,0)),"?"))</f>
        <v/>
      </c>
      <c r="F256" s="28" t="inlineStr">
        <is>
          <t>Director</t>
        </is>
      </c>
      <c r="G256" s="28" t="inlineStr">
        <is>
          <t>Inactive</t>
        </is>
      </c>
      <c r="H256" s="31" t="n"/>
      <c r="I256" s="32">
        <f>IF(OR($A256="",$G256&lt;&gt;"Active"),0,IF($H256&lt;&gt;"",$H256,IF($AO256&gt;0,$AP256,IF(AND($R256&lt;&gt;"",IFERROR(INDEX(Templates!$B$3:$H$10,MATCH($R256,Templates!$A$3:$A$10,0),MATCH($F256,Templates!$B$2:$H$2,0)),0)&gt;0),INDEX(Templates!$B$3:$H$10,MATCH($R256,Templates!$A$3:$A$10,0),MATCH($F256,Templates!$B$2:$H$2,0)),IFERROR(INDEX(Settings!$B$8:$B$14,MATCH($F256,Settings!$A$8:$A$14,0)),0)))))</f>
        <v/>
      </c>
      <c r="J256" s="21">
        <f>IF($C256="",0,IFERROR(INDEX(Deals!$H$2:$H$355,MATCH($C256,Deals!$A$2:$A$355,0)),0))</f>
        <v/>
      </c>
      <c r="K256" s="32">
        <f>IF(Settings!$B$4="Yes",$I256*$J256,$I256)</f>
        <v/>
      </c>
      <c r="L256" s="22">
        <f>IF($C256="","",IFERROR(IF(INDEX(Deals!$I$2:$I$355,MATCH($C256,Deals!$A$2:$A$355,0))=0,"",INDEX(Deals!$I$2:$I$355,MATCH($C256,Deals!$A$2:$A$355,0))),""))</f>
        <v/>
      </c>
      <c r="M256" s="22">
        <f>IF($C256="","",IFERROR(IF(INDEX(Deals!$J$2:$J$355,MATCH($C256,Deals!$A$2:$A$355,0))=0,"",INDEX(Deals!$J$2:$J$355,MATCH($C256,Deals!$A$2:$A$355,0))),""))</f>
        <v/>
      </c>
      <c r="N256" s="35">
        <f>IF($L256="",DATE(1900,1,1),$L256)</f>
        <v/>
      </c>
      <c r="O256" s="35">
        <f>IF($M256="",DATE(2100,12,31),$M256)</f>
        <v/>
      </c>
      <c r="P256" s="20" t="inlineStr">
        <is>
          <t>Dead</t>
        </is>
      </c>
      <c r="Q256" s="47" t="inlineStr"/>
      <c r="R256" s="16">
        <f>IF($C256="","",IFERROR(IF(INDEX(Deals!$U$2:$U$355,MATCH($C256,Deals!$A$2:$A$355,0))=0,"",INDEX(Deals!$U$2:$U$355,MATCH($C256,Deals!$A$2:$A$355,0))),""))</f>
        <v/>
      </c>
      <c r="S256" s="34">
        <f>IFERROR(IF($U256="",1,INDEX(Deals!$V$2:$V$355,MATCH($C256,Deals!$A$2:$A$355,0))),1)</f>
        <v/>
      </c>
      <c r="T256" s="34">
        <f>IFERROR(IF($U256="",1,INDEX(Deals!$W$2:$W$355,MATCH($C256,Deals!$A$2:$A$355,0))),1)</f>
        <v/>
      </c>
      <c r="U256" s="22">
        <f>IF($C256="","",IFERROR(IF(INDEX(Deals!$Y$2:$Y$355,MATCH($C256,Deals!$A$2:$A$355,0))=0,"",INDEX(Deals!$Y$2:$Y$355,MATCH($C256,Deals!$A$2:$A$355,0))),""))</f>
        <v/>
      </c>
      <c r="V256" s="35">
        <f>IF(OR($U256&lt;&gt;"",AND($AO256&gt;0,$L256&lt;&gt;"",$M256&lt;&gt;"")),$N256,DATE(1900,1,1))</f>
        <v/>
      </c>
      <c r="W256" s="35">
        <f>IF($U256&lt;&gt;"",$U256,IF(AND($AO256&gt;0,$L256&lt;&gt;"",$M256&lt;&gt;""),$O256,DATE(2100,12,31)))</f>
        <v/>
      </c>
      <c r="X256" s="32">
        <f>IF($U256="",$K256,$K256*$S256)</f>
        <v/>
      </c>
      <c r="Y256" s="35">
        <f>IF($U256="",DATE(2100,12,31),$U256+1)</f>
        <v/>
      </c>
      <c r="Z256" s="35">
        <f>IF($U256="",DATE(1900,1,1),$O256)</f>
        <v/>
      </c>
      <c r="AA256" s="32">
        <f>IF($U256="",0,$K256*$T256)</f>
        <v/>
      </c>
      <c r="AB256" s="21">
        <f>IF($C256="",0,IFERROR(INDEX(Deals!$AD$2:$AD$355,MATCH($C256,Deals!$A$2:$A$355,0)),0))</f>
        <v/>
      </c>
      <c r="AC256" s="32">
        <f>IF(Settings!$B$4="Yes",$I256*$AB256,$I256)</f>
        <v/>
      </c>
      <c r="AD256" s="22">
        <f>IF($C256="","",IFERROR(IF(INDEX(Deals!$AE$2:$AE$355,MATCH($C256,Deals!$A$2:$A$355,0))=0,"",INDEX(Deals!$AE$2:$AE$355,MATCH($C256,Deals!$A$2:$A$355,0))),""))</f>
        <v/>
      </c>
      <c r="AE256" s="22">
        <f>IF($C256="","",IFERROR(IF(INDEX(Deals!$AF$2:$AF$355,MATCH($C256,Deals!$A$2:$A$355,0))=0,"",INDEX(Deals!$AF$2:$AF$355,MATCH($C256,Deals!$A$2:$A$355,0))),""))</f>
        <v/>
      </c>
      <c r="AF256" s="35">
        <f>IF($AD256="",DATE(1900,1,1),$AD256)</f>
        <v/>
      </c>
      <c r="AG256" s="35">
        <f>IF($AE256="",DATE(2100,12,31),$AE256)</f>
        <v/>
      </c>
      <c r="AH256" s="22">
        <f>IF($C256="","",IFERROR(IF(INDEX(Deals!$AG$2:$AG$355,MATCH($C256,Deals!$A$2:$A$355,0))=0,"",INDEX(Deals!$AG$2:$AG$355,MATCH($C256,Deals!$A$2:$A$355,0))),""))</f>
        <v/>
      </c>
      <c r="AI256" s="35">
        <f>IF(OR($AH256&lt;&gt;"",AND($AO256&gt;0,$AD256&lt;&gt;"",$AE256&lt;&gt;"")),$AF256,DATE(1900,1,1))</f>
        <v/>
      </c>
      <c r="AJ256" s="35">
        <f>IF($AH256&lt;&gt;"",$AH256,IF(AND($AO256&gt;0,$AD256&lt;&gt;"",$AE256&lt;&gt;""),$AG256,DATE(2100,12,31)))</f>
        <v/>
      </c>
      <c r="AK256" s="32">
        <f>IF($AH256="",$AC256,$AC256*$S256)</f>
        <v/>
      </c>
      <c r="AL256" s="35">
        <f>IF($AH256="",DATE(2100,12,31),$AH256+1)</f>
        <v/>
      </c>
      <c r="AM256" s="35">
        <f>IF($AH256="",DATE(1900,1,1),$AG256)</f>
        <v/>
      </c>
      <c r="AN256" s="32">
        <f>IF($AH256="",0,$AC256*$T256)</f>
        <v/>
      </c>
      <c r="AO256" s="46">
        <f>IF($C256="",0,IFERROR(INDEX(Deals!$BD$2:$BD$355,MATCH($C256,Deals!$A$2:$A$355,0)),0))</f>
        <v/>
      </c>
      <c r="AP256" s="18">
        <f>IF($AO256=0,0,IFERROR(INDEX(Deals!$BJ$2:$BP$355,MATCH($C256,Deals!$A$2:$A$355,0),MATCH($F256,Deals!$BJ$1:$BP$1,0))/COUNTIFS(Assignments!$C$2:$C$769,$C256,Assignments!$F$2:$F$769,$F256,Assignments!$G$2:$G$769,"Active"),0))</f>
        <v/>
      </c>
    </row>
    <row r="257">
      <c r="A257" s="28" t="inlineStr">
        <is>
          <t>Justine</t>
        </is>
      </c>
      <c r="B257" s="16">
        <f>IF($A257="","",IFERROR(INDEX(Roster!$B$2:$B$40,MATCH($A257,Roster!$A$2:$A$40,0)),"?"))</f>
        <v/>
      </c>
      <c r="C257" s="28" t="inlineStr">
        <is>
          <t>TEP Structuring_3</t>
        </is>
      </c>
      <c r="D257" s="16">
        <f>IF($C257="","",IFERROR(IF(INDEX(Deals!$C$2:$C$355,MATCH($C257,Deals!$A$2:$A$355,0))=0,"",INDEX(Deals!$C$2:$C$355,MATCH($C257,Deals!$A$2:$A$355,0))),"?"))</f>
        <v/>
      </c>
      <c r="E257" s="16">
        <f>IF($C257="","",IFERROR(INDEX(Deals!$F$2:$F$355,MATCH($C257,Deals!$A$2:$A$355,0)),"?"))</f>
        <v/>
      </c>
      <c r="F257" s="28" t="inlineStr">
        <is>
          <t>Director</t>
        </is>
      </c>
      <c r="G257" s="28" t="inlineStr">
        <is>
          <t>Active</t>
        </is>
      </c>
      <c r="H257" s="31" t="n"/>
      <c r="I257" s="32">
        <f>IF(OR($A257="",$G257&lt;&gt;"Active"),0,IF($H257&lt;&gt;"",$H257,IF($AO257&gt;0,$AP257,IF(AND($R257&lt;&gt;"",IFERROR(INDEX(Templates!$B$3:$H$10,MATCH($R257,Templates!$A$3:$A$10,0),MATCH($F257,Templates!$B$2:$H$2,0)),0)&gt;0),INDEX(Templates!$B$3:$H$10,MATCH($R257,Templates!$A$3:$A$10,0),MATCH($F257,Templates!$B$2:$H$2,0)),IFERROR(INDEX(Settings!$B$8:$B$14,MATCH($F257,Settings!$A$8:$A$14,0)),0)))))</f>
        <v/>
      </c>
      <c r="J257" s="21">
        <f>IF($C257="",0,IFERROR(INDEX(Deals!$H$2:$H$355,MATCH($C257,Deals!$A$2:$A$355,0)),0))</f>
        <v/>
      </c>
      <c r="K257" s="32">
        <f>IF(Settings!$B$4="Yes",$I257*$J257,$I257)</f>
        <v/>
      </c>
      <c r="L257" s="22">
        <f>IF($C257="","",IFERROR(IF(INDEX(Deals!$I$2:$I$355,MATCH($C257,Deals!$A$2:$A$355,0))=0,"",INDEX(Deals!$I$2:$I$355,MATCH($C257,Deals!$A$2:$A$355,0))),""))</f>
        <v/>
      </c>
      <c r="M257" s="22">
        <f>IF($C257="","",IFERROR(IF(INDEX(Deals!$J$2:$J$355,MATCH($C257,Deals!$A$2:$A$355,0))=0,"",INDEX(Deals!$J$2:$J$355,MATCH($C257,Deals!$A$2:$A$355,0))),""))</f>
        <v/>
      </c>
      <c r="N257" s="35">
        <f>IF($L257="",DATE(1900,1,1),$L257)</f>
        <v/>
      </c>
      <c r="O257" s="35">
        <f>IF($M257="",DATE(2100,12,31),$M257)</f>
        <v/>
      </c>
      <c r="P257" s="20" t="inlineStr">
        <is>
          <t>Ongoing ad-hod</t>
        </is>
      </c>
      <c r="Q257" s="47" t="inlineStr"/>
      <c r="R257" s="16">
        <f>IF($C257="","",IFERROR(IF(INDEX(Deals!$U$2:$U$355,MATCH($C257,Deals!$A$2:$A$355,0))=0,"",INDEX(Deals!$U$2:$U$355,MATCH($C257,Deals!$A$2:$A$355,0))),""))</f>
        <v/>
      </c>
      <c r="S257" s="34">
        <f>IFERROR(IF($U257="",1,INDEX(Deals!$V$2:$V$355,MATCH($C257,Deals!$A$2:$A$355,0))),1)</f>
        <v/>
      </c>
      <c r="T257" s="34">
        <f>IFERROR(IF($U257="",1,INDEX(Deals!$W$2:$W$355,MATCH($C257,Deals!$A$2:$A$355,0))),1)</f>
        <v/>
      </c>
      <c r="U257" s="22">
        <f>IF($C257="","",IFERROR(IF(INDEX(Deals!$Y$2:$Y$355,MATCH($C257,Deals!$A$2:$A$355,0))=0,"",INDEX(Deals!$Y$2:$Y$355,MATCH($C257,Deals!$A$2:$A$355,0))),""))</f>
        <v/>
      </c>
      <c r="V257" s="35">
        <f>IF(OR($U257&lt;&gt;"",AND($AO257&gt;0,$L257&lt;&gt;"",$M257&lt;&gt;"")),$N257,DATE(1900,1,1))</f>
        <v/>
      </c>
      <c r="W257" s="35">
        <f>IF($U257&lt;&gt;"",$U257,IF(AND($AO257&gt;0,$L257&lt;&gt;"",$M257&lt;&gt;""),$O257,DATE(2100,12,31)))</f>
        <v/>
      </c>
      <c r="X257" s="32">
        <f>IF($U257="",$K257,$K257*$S257)</f>
        <v/>
      </c>
      <c r="Y257" s="35">
        <f>IF($U257="",DATE(2100,12,31),$U257+1)</f>
        <v/>
      </c>
      <c r="Z257" s="35">
        <f>IF($U257="",DATE(1900,1,1),$O257)</f>
        <v/>
      </c>
      <c r="AA257" s="32">
        <f>IF($U257="",0,$K257*$T257)</f>
        <v/>
      </c>
      <c r="AB257" s="21">
        <f>IF($C257="",0,IFERROR(INDEX(Deals!$AD$2:$AD$355,MATCH($C257,Deals!$A$2:$A$355,0)),0))</f>
        <v/>
      </c>
      <c r="AC257" s="32">
        <f>IF(Settings!$B$4="Yes",$I257*$AB257,$I257)</f>
        <v/>
      </c>
      <c r="AD257" s="22">
        <f>IF($C257="","",IFERROR(IF(INDEX(Deals!$AE$2:$AE$355,MATCH($C257,Deals!$A$2:$A$355,0))=0,"",INDEX(Deals!$AE$2:$AE$355,MATCH($C257,Deals!$A$2:$A$355,0))),""))</f>
        <v/>
      </c>
      <c r="AE257" s="22">
        <f>IF($C257="","",IFERROR(IF(INDEX(Deals!$AF$2:$AF$355,MATCH($C257,Deals!$A$2:$A$355,0))=0,"",INDEX(Deals!$AF$2:$AF$355,MATCH($C257,Deals!$A$2:$A$355,0))),""))</f>
        <v/>
      </c>
      <c r="AF257" s="35">
        <f>IF($AD257="",DATE(1900,1,1),$AD257)</f>
        <v/>
      </c>
      <c r="AG257" s="35">
        <f>IF($AE257="",DATE(2100,12,31),$AE257)</f>
        <v/>
      </c>
      <c r="AH257" s="22">
        <f>IF($C257="","",IFERROR(IF(INDEX(Deals!$AG$2:$AG$355,MATCH($C257,Deals!$A$2:$A$355,0))=0,"",INDEX(Deals!$AG$2:$AG$355,MATCH($C257,Deals!$A$2:$A$355,0))),""))</f>
        <v/>
      </c>
      <c r="AI257" s="35">
        <f>IF(OR($AH257&lt;&gt;"",AND($AO257&gt;0,$AD257&lt;&gt;"",$AE257&lt;&gt;"")),$AF257,DATE(1900,1,1))</f>
        <v/>
      </c>
      <c r="AJ257" s="35">
        <f>IF($AH257&lt;&gt;"",$AH257,IF(AND($AO257&gt;0,$AD257&lt;&gt;"",$AE257&lt;&gt;""),$AG257,DATE(2100,12,31)))</f>
        <v/>
      </c>
      <c r="AK257" s="32">
        <f>IF($AH257="",$AC257,$AC257*$S257)</f>
        <v/>
      </c>
      <c r="AL257" s="35">
        <f>IF($AH257="",DATE(2100,12,31),$AH257+1)</f>
        <v/>
      </c>
      <c r="AM257" s="35">
        <f>IF($AH257="",DATE(1900,1,1),$AG257)</f>
        <v/>
      </c>
      <c r="AN257" s="32">
        <f>IF($AH257="",0,$AC257*$T257)</f>
        <v/>
      </c>
      <c r="AO257" s="46">
        <f>IF($C257="",0,IFERROR(INDEX(Deals!$BD$2:$BD$355,MATCH($C257,Deals!$A$2:$A$355,0)),0))</f>
        <v/>
      </c>
      <c r="AP257" s="18">
        <f>IF($AO257=0,0,IFERROR(INDEX(Deals!$BJ$2:$BP$355,MATCH($C257,Deals!$A$2:$A$355,0),MATCH($F257,Deals!$BJ$1:$BP$1,0))/COUNTIFS(Assignments!$C$2:$C$769,$C257,Assignments!$F$2:$F$769,$F257,Assignments!$G$2:$G$769,"Active"),0))</f>
        <v/>
      </c>
    </row>
    <row r="258">
      <c r="A258" s="28" t="inlineStr">
        <is>
          <t>Justine</t>
        </is>
      </c>
      <c r="B258" s="16">
        <f>IF($A258="","",IFERROR(INDEX(Roster!$B$2:$B$40,MATCH($A258,Roster!$A$2:$A$40,0)),"?"))</f>
        <v/>
      </c>
      <c r="C258" s="28" t="inlineStr">
        <is>
          <t>Theta_1</t>
        </is>
      </c>
      <c r="D258" s="16">
        <f>IF($C258="","",IFERROR(IF(INDEX(Deals!$C$2:$C$355,MATCH($C258,Deals!$A$2:$A$355,0))=0,"",INDEX(Deals!$C$2:$C$355,MATCH($C258,Deals!$A$2:$A$355,0))),"?"))</f>
        <v/>
      </c>
      <c r="E258" s="16">
        <f>IF($C258="","",IFERROR(INDEX(Deals!$F$2:$F$355,MATCH($C258,Deals!$A$2:$A$355,0)),"?"))</f>
        <v/>
      </c>
      <c r="F258" s="28" t="inlineStr">
        <is>
          <t>Director</t>
        </is>
      </c>
      <c r="G258" s="28" t="inlineStr">
        <is>
          <t>Active</t>
        </is>
      </c>
      <c r="H258" s="31" t="n"/>
      <c r="I258" s="32">
        <f>IF(OR($A258="",$G258&lt;&gt;"Active"),0,IF($H258&lt;&gt;"",$H258,IF($AO258&gt;0,$AP258,IF(AND($R258&lt;&gt;"",IFERROR(INDEX(Templates!$B$3:$H$10,MATCH($R258,Templates!$A$3:$A$10,0),MATCH($F258,Templates!$B$2:$H$2,0)),0)&gt;0),INDEX(Templates!$B$3:$H$10,MATCH($R258,Templates!$A$3:$A$10,0),MATCH($F258,Templates!$B$2:$H$2,0)),IFERROR(INDEX(Settings!$B$8:$B$14,MATCH($F258,Settings!$A$8:$A$14,0)),0)))))</f>
        <v/>
      </c>
      <c r="J258" s="21">
        <f>IF($C258="",0,IFERROR(INDEX(Deals!$H$2:$H$355,MATCH($C258,Deals!$A$2:$A$355,0)),0))</f>
        <v/>
      </c>
      <c r="K258" s="32">
        <f>IF(Settings!$B$4="Yes",$I258*$J258,$I258)</f>
        <v/>
      </c>
      <c r="L258" s="22">
        <f>IF($C258="","",IFERROR(IF(INDEX(Deals!$I$2:$I$355,MATCH($C258,Deals!$A$2:$A$355,0))=0,"",INDEX(Deals!$I$2:$I$355,MATCH($C258,Deals!$A$2:$A$355,0))),""))</f>
        <v/>
      </c>
      <c r="M258" s="22">
        <f>IF($C258="","",IFERROR(IF(INDEX(Deals!$J$2:$J$355,MATCH($C258,Deals!$A$2:$A$355,0))=0,"",INDEX(Deals!$J$2:$J$355,MATCH($C258,Deals!$A$2:$A$355,0))),""))</f>
        <v/>
      </c>
      <c r="N258" s="35">
        <f>IF($L258="",DATE(1900,1,1),$L258)</f>
        <v/>
      </c>
      <c r="O258" s="35">
        <f>IF($M258="",DATE(2100,12,31),$M258)</f>
        <v/>
      </c>
      <c r="P258" s="20" t="inlineStr">
        <is>
          <t>Proposal</t>
        </is>
      </c>
      <c r="Q258" s="47" t="inlineStr">
        <is>
          <t>Added from Summary tab</t>
        </is>
      </c>
      <c r="R258" s="16">
        <f>IF($C258="","",IFERROR(IF(INDEX(Deals!$U$2:$U$355,MATCH($C258,Deals!$A$2:$A$355,0))=0,"",INDEX(Deals!$U$2:$U$355,MATCH($C258,Deals!$A$2:$A$355,0))),""))</f>
        <v/>
      </c>
      <c r="S258" s="34">
        <f>IFERROR(IF($U258="",1,INDEX(Deals!$V$2:$V$355,MATCH($C258,Deals!$A$2:$A$355,0))),1)</f>
        <v/>
      </c>
      <c r="T258" s="34">
        <f>IFERROR(IF($U258="",1,INDEX(Deals!$W$2:$W$355,MATCH($C258,Deals!$A$2:$A$355,0))),1)</f>
        <v/>
      </c>
      <c r="U258" s="22">
        <f>IF($C258="","",IFERROR(IF(INDEX(Deals!$Y$2:$Y$355,MATCH($C258,Deals!$A$2:$A$355,0))=0,"",INDEX(Deals!$Y$2:$Y$355,MATCH($C258,Deals!$A$2:$A$355,0))),""))</f>
        <v/>
      </c>
      <c r="V258" s="35">
        <f>IF(OR($U258&lt;&gt;"",AND($AO258&gt;0,$L258&lt;&gt;"",$M258&lt;&gt;"")),$N258,DATE(1900,1,1))</f>
        <v/>
      </c>
      <c r="W258" s="35">
        <f>IF($U258&lt;&gt;"",$U258,IF(AND($AO258&gt;0,$L258&lt;&gt;"",$M258&lt;&gt;""),$O258,DATE(2100,12,31)))</f>
        <v/>
      </c>
      <c r="X258" s="32">
        <f>IF($U258="",$K258,$K258*$S258)</f>
        <v/>
      </c>
      <c r="Y258" s="35">
        <f>IF($U258="",DATE(2100,12,31),$U258+1)</f>
        <v/>
      </c>
      <c r="Z258" s="35">
        <f>IF($U258="",DATE(1900,1,1),$O258)</f>
        <v/>
      </c>
      <c r="AA258" s="32">
        <f>IF($U258="",0,$K258*$T258)</f>
        <v/>
      </c>
      <c r="AB258" s="21">
        <f>IF($C258="",0,IFERROR(INDEX(Deals!$AD$2:$AD$355,MATCH($C258,Deals!$A$2:$A$355,0)),0))</f>
        <v/>
      </c>
      <c r="AC258" s="32">
        <f>IF(Settings!$B$4="Yes",$I258*$AB258,$I258)</f>
        <v/>
      </c>
      <c r="AD258" s="22">
        <f>IF($C258="","",IFERROR(IF(INDEX(Deals!$AE$2:$AE$355,MATCH($C258,Deals!$A$2:$A$355,0))=0,"",INDEX(Deals!$AE$2:$AE$355,MATCH($C258,Deals!$A$2:$A$355,0))),""))</f>
        <v/>
      </c>
      <c r="AE258" s="22">
        <f>IF($C258="","",IFERROR(IF(INDEX(Deals!$AF$2:$AF$355,MATCH($C258,Deals!$A$2:$A$355,0))=0,"",INDEX(Deals!$AF$2:$AF$355,MATCH($C258,Deals!$A$2:$A$355,0))),""))</f>
        <v/>
      </c>
      <c r="AF258" s="35">
        <f>IF($AD258="",DATE(1900,1,1),$AD258)</f>
        <v/>
      </c>
      <c r="AG258" s="35">
        <f>IF($AE258="",DATE(2100,12,31),$AE258)</f>
        <v/>
      </c>
      <c r="AH258" s="22">
        <f>IF($C258="","",IFERROR(IF(INDEX(Deals!$AG$2:$AG$355,MATCH($C258,Deals!$A$2:$A$355,0))=0,"",INDEX(Deals!$AG$2:$AG$355,MATCH($C258,Deals!$A$2:$A$355,0))),""))</f>
        <v/>
      </c>
      <c r="AI258" s="35">
        <f>IF(OR($AH258&lt;&gt;"",AND($AO258&gt;0,$AD258&lt;&gt;"",$AE258&lt;&gt;"")),$AF258,DATE(1900,1,1))</f>
        <v/>
      </c>
      <c r="AJ258" s="35">
        <f>IF($AH258&lt;&gt;"",$AH258,IF(AND($AO258&gt;0,$AD258&lt;&gt;"",$AE258&lt;&gt;""),$AG258,DATE(2100,12,31)))</f>
        <v/>
      </c>
      <c r="AK258" s="32">
        <f>IF($AH258="",$AC258,$AC258*$S258)</f>
        <v/>
      </c>
      <c r="AL258" s="35">
        <f>IF($AH258="",DATE(2100,12,31),$AH258+1)</f>
        <v/>
      </c>
      <c r="AM258" s="35">
        <f>IF($AH258="",DATE(1900,1,1),$AG258)</f>
        <v/>
      </c>
      <c r="AN258" s="32">
        <f>IF($AH258="",0,$AC258*$T258)</f>
        <v/>
      </c>
      <c r="AO258" s="46">
        <f>IF($C258="",0,IFERROR(INDEX(Deals!$BD$2:$BD$355,MATCH($C258,Deals!$A$2:$A$355,0)),0))</f>
        <v/>
      </c>
      <c r="AP258" s="18">
        <f>IF($AO258=0,0,IFERROR(INDEX(Deals!$BJ$2:$BP$355,MATCH($C258,Deals!$A$2:$A$355,0),MATCH($F258,Deals!$BJ$1:$BP$1,0))/COUNTIFS(Assignments!$C$2:$C$769,$C258,Assignments!$F$2:$F$769,$F258,Assignments!$G$2:$G$769,"Active"),0))</f>
        <v/>
      </c>
    </row>
    <row r="259">
      <c r="A259" s="28" t="inlineStr">
        <is>
          <t>Justine</t>
        </is>
      </c>
      <c r="B259" s="16">
        <f>IF($A259="","",IFERROR(INDEX(Roster!$B$2:$B$40,MATCH($A259,Roster!$A$2:$A$40,0)),"?"))</f>
        <v/>
      </c>
      <c r="C259" s="28" t="inlineStr">
        <is>
          <t>TP Assistance_1</t>
        </is>
      </c>
      <c r="D259" s="16">
        <f>IF($C259="","",IFERROR(IF(INDEX(Deals!$C$2:$C$355,MATCH($C259,Deals!$A$2:$A$355,0))=0,"",INDEX(Deals!$C$2:$C$355,MATCH($C259,Deals!$A$2:$A$355,0))),"?"))</f>
        <v/>
      </c>
      <c r="E259" s="16">
        <f>IF($C259="","",IFERROR(INDEX(Deals!$F$2:$F$355,MATCH($C259,Deals!$A$2:$A$355,0)),"?"))</f>
        <v/>
      </c>
      <c r="F259" s="28" t="inlineStr">
        <is>
          <t>Director</t>
        </is>
      </c>
      <c r="G259" s="28" t="inlineStr">
        <is>
          <t>Active</t>
        </is>
      </c>
      <c r="H259" s="31" t="n"/>
      <c r="I259" s="32">
        <f>IF(OR($A259="",$G259&lt;&gt;"Active"),0,IF($H259&lt;&gt;"",$H259,IF($AO259&gt;0,$AP259,IF(AND($R259&lt;&gt;"",IFERROR(INDEX(Templates!$B$3:$H$10,MATCH($R259,Templates!$A$3:$A$10,0),MATCH($F259,Templates!$B$2:$H$2,0)),0)&gt;0),INDEX(Templates!$B$3:$H$10,MATCH($R259,Templates!$A$3:$A$10,0),MATCH($F259,Templates!$B$2:$H$2,0)),IFERROR(INDEX(Settings!$B$8:$B$14,MATCH($F259,Settings!$A$8:$A$14,0)),0)))))</f>
        <v/>
      </c>
      <c r="J259" s="21">
        <f>IF($C259="",0,IFERROR(INDEX(Deals!$H$2:$H$355,MATCH($C259,Deals!$A$2:$A$355,0)),0))</f>
        <v/>
      </c>
      <c r="K259" s="32">
        <f>IF(Settings!$B$4="Yes",$I259*$J259,$I259)</f>
        <v/>
      </c>
      <c r="L259" s="22">
        <f>IF($C259="","",IFERROR(IF(INDEX(Deals!$I$2:$I$355,MATCH($C259,Deals!$A$2:$A$355,0))=0,"",INDEX(Deals!$I$2:$I$355,MATCH($C259,Deals!$A$2:$A$355,0))),""))</f>
        <v/>
      </c>
      <c r="M259" s="22">
        <f>IF($C259="","",IFERROR(IF(INDEX(Deals!$J$2:$J$355,MATCH($C259,Deals!$A$2:$A$355,0))=0,"",INDEX(Deals!$J$2:$J$355,MATCH($C259,Deals!$A$2:$A$355,0))),""))</f>
        <v/>
      </c>
      <c r="N259" s="35">
        <f>IF($L259="",DATE(1900,1,1),$L259)</f>
        <v/>
      </c>
      <c r="O259" s="35">
        <f>IF($M259="",DATE(2100,12,31),$M259)</f>
        <v/>
      </c>
      <c r="P259" s="20" t="inlineStr">
        <is>
          <t>Proposal</t>
        </is>
      </c>
      <c r="Q259" s="47" t="inlineStr"/>
      <c r="R259" s="16">
        <f>IF($C259="","",IFERROR(IF(INDEX(Deals!$U$2:$U$355,MATCH($C259,Deals!$A$2:$A$355,0))=0,"",INDEX(Deals!$U$2:$U$355,MATCH($C259,Deals!$A$2:$A$355,0))),""))</f>
        <v/>
      </c>
      <c r="S259" s="34">
        <f>IFERROR(IF($U259="",1,INDEX(Deals!$V$2:$V$355,MATCH($C259,Deals!$A$2:$A$355,0))),1)</f>
        <v/>
      </c>
      <c r="T259" s="34">
        <f>IFERROR(IF($U259="",1,INDEX(Deals!$W$2:$W$355,MATCH($C259,Deals!$A$2:$A$355,0))),1)</f>
        <v/>
      </c>
      <c r="U259" s="22">
        <f>IF($C259="","",IFERROR(IF(INDEX(Deals!$Y$2:$Y$355,MATCH($C259,Deals!$A$2:$A$355,0))=0,"",INDEX(Deals!$Y$2:$Y$355,MATCH($C259,Deals!$A$2:$A$355,0))),""))</f>
        <v/>
      </c>
      <c r="V259" s="35">
        <f>IF(OR($U259&lt;&gt;"",AND($AO259&gt;0,$L259&lt;&gt;"",$M259&lt;&gt;"")),$N259,DATE(1900,1,1))</f>
        <v/>
      </c>
      <c r="W259" s="35">
        <f>IF($U259&lt;&gt;"",$U259,IF(AND($AO259&gt;0,$L259&lt;&gt;"",$M259&lt;&gt;""),$O259,DATE(2100,12,31)))</f>
        <v/>
      </c>
      <c r="X259" s="32">
        <f>IF($U259="",$K259,$K259*$S259)</f>
        <v/>
      </c>
      <c r="Y259" s="35">
        <f>IF($U259="",DATE(2100,12,31),$U259+1)</f>
        <v/>
      </c>
      <c r="Z259" s="35">
        <f>IF($U259="",DATE(1900,1,1),$O259)</f>
        <v/>
      </c>
      <c r="AA259" s="32">
        <f>IF($U259="",0,$K259*$T259)</f>
        <v/>
      </c>
      <c r="AB259" s="21">
        <f>IF($C259="",0,IFERROR(INDEX(Deals!$AD$2:$AD$355,MATCH($C259,Deals!$A$2:$A$355,0)),0))</f>
        <v/>
      </c>
      <c r="AC259" s="32">
        <f>IF(Settings!$B$4="Yes",$I259*$AB259,$I259)</f>
        <v/>
      </c>
      <c r="AD259" s="22">
        <f>IF($C259="","",IFERROR(IF(INDEX(Deals!$AE$2:$AE$355,MATCH($C259,Deals!$A$2:$A$355,0))=0,"",INDEX(Deals!$AE$2:$AE$355,MATCH($C259,Deals!$A$2:$A$355,0))),""))</f>
        <v/>
      </c>
      <c r="AE259" s="22">
        <f>IF($C259="","",IFERROR(IF(INDEX(Deals!$AF$2:$AF$355,MATCH($C259,Deals!$A$2:$A$355,0))=0,"",INDEX(Deals!$AF$2:$AF$355,MATCH($C259,Deals!$A$2:$A$355,0))),""))</f>
        <v/>
      </c>
      <c r="AF259" s="35">
        <f>IF($AD259="",DATE(1900,1,1),$AD259)</f>
        <v/>
      </c>
      <c r="AG259" s="35">
        <f>IF($AE259="",DATE(2100,12,31),$AE259)</f>
        <v/>
      </c>
      <c r="AH259" s="22">
        <f>IF($C259="","",IFERROR(IF(INDEX(Deals!$AG$2:$AG$355,MATCH($C259,Deals!$A$2:$A$355,0))=0,"",INDEX(Deals!$AG$2:$AG$355,MATCH($C259,Deals!$A$2:$A$355,0))),""))</f>
        <v/>
      </c>
      <c r="AI259" s="35">
        <f>IF(OR($AH259&lt;&gt;"",AND($AO259&gt;0,$AD259&lt;&gt;"",$AE259&lt;&gt;"")),$AF259,DATE(1900,1,1))</f>
        <v/>
      </c>
      <c r="AJ259" s="35">
        <f>IF($AH259&lt;&gt;"",$AH259,IF(AND($AO259&gt;0,$AD259&lt;&gt;"",$AE259&lt;&gt;""),$AG259,DATE(2100,12,31)))</f>
        <v/>
      </c>
      <c r="AK259" s="32">
        <f>IF($AH259="",$AC259,$AC259*$S259)</f>
        <v/>
      </c>
      <c r="AL259" s="35">
        <f>IF($AH259="",DATE(2100,12,31),$AH259+1)</f>
        <v/>
      </c>
      <c r="AM259" s="35">
        <f>IF($AH259="",DATE(1900,1,1),$AG259)</f>
        <v/>
      </c>
      <c r="AN259" s="32">
        <f>IF($AH259="",0,$AC259*$T259)</f>
        <v/>
      </c>
      <c r="AO259" s="46">
        <f>IF($C259="",0,IFERROR(INDEX(Deals!$BD$2:$BD$355,MATCH($C259,Deals!$A$2:$A$355,0)),0))</f>
        <v/>
      </c>
      <c r="AP259" s="18">
        <f>IF($AO259=0,0,IFERROR(INDEX(Deals!$BJ$2:$BP$355,MATCH($C259,Deals!$A$2:$A$355,0),MATCH($F259,Deals!$BJ$1:$BP$1,0))/COUNTIFS(Assignments!$C$2:$C$769,$C259,Assignments!$F$2:$F$769,$F259,Assignments!$G$2:$G$769,"Active"),0))</f>
        <v/>
      </c>
    </row>
    <row r="260">
      <c r="A260" s="28" t="inlineStr">
        <is>
          <t>Justine</t>
        </is>
      </c>
      <c r="B260" s="16">
        <f>IF($A260="","",IFERROR(INDEX(Roster!$B$2:$B$40,MATCH($A260,Roster!$A$2:$A$40,0)),"?"))</f>
        <v/>
      </c>
      <c r="C260" s="28" t="inlineStr">
        <is>
          <t>US Investment_1</t>
        </is>
      </c>
      <c r="D260" s="16">
        <f>IF($C260="","",IFERROR(IF(INDEX(Deals!$C$2:$C$355,MATCH($C260,Deals!$A$2:$A$355,0))=0,"",INDEX(Deals!$C$2:$C$355,MATCH($C260,Deals!$A$2:$A$355,0))),"?"))</f>
        <v/>
      </c>
      <c r="E260" s="16">
        <f>IF($C260="","",IFERROR(INDEX(Deals!$F$2:$F$355,MATCH($C260,Deals!$A$2:$A$355,0)),"?"))</f>
        <v/>
      </c>
      <c r="F260" s="28" t="inlineStr">
        <is>
          <t>Director</t>
        </is>
      </c>
      <c r="G260" s="28" t="inlineStr">
        <is>
          <t>Active</t>
        </is>
      </c>
      <c r="H260" s="31" t="n"/>
      <c r="I260" s="32">
        <f>IF(OR($A260="",$G260&lt;&gt;"Active"),0,IF($H260&lt;&gt;"",$H260,IF($AO260&gt;0,$AP260,IF(AND($R260&lt;&gt;"",IFERROR(INDEX(Templates!$B$3:$H$10,MATCH($R260,Templates!$A$3:$A$10,0),MATCH($F260,Templates!$B$2:$H$2,0)),0)&gt;0),INDEX(Templates!$B$3:$H$10,MATCH($R260,Templates!$A$3:$A$10,0),MATCH($F260,Templates!$B$2:$H$2,0)),IFERROR(INDEX(Settings!$B$8:$B$14,MATCH($F260,Settings!$A$8:$A$14,0)),0)))))</f>
        <v/>
      </c>
      <c r="J260" s="21">
        <f>IF($C260="",0,IFERROR(INDEX(Deals!$H$2:$H$355,MATCH($C260,Deals!$A$2:$A$355,0)),0))</f>
        <v/>
      </c>
      <c r="K260" s="32">
        <f>IF(Settings!$B$4="Yes",$I260*$J260,$I260)</f>
        <v/>
      </c>
      <c r="L260" s="22">
        <f>IF($C260="","",IFERROR(IF(INDEX(Deals!$I$2:$I$355,MATCH($C260,Deals!$A$2:$A$355,0))=0,"",INDEX(Deals!$I$2:$I$355,MATCH($C260,Deals!$A$2:$A$355,0))),""))</f>
        <v/>
      </c>
      <c r="M260" s="22">
        <f>IF($C260="","",IFERROR(IF(INDEX(Deals!$J$2:$J$355,MATCH($C260,Deals!$A$2:$A$355,0))=0,"",INDEX(Deals!$J$2:$J$355,MATCH($C260,Deals!$A$2:$A$355,0))),""))</f>
        <v/>
      </c>
      <c r="N260" s="35">
        <f>IF($L260="",DATE(1900,1,1),$L260)</f>
        <v/>
      </c>
      <c r="O260" s="35">
        <f>IF($M260="",DATE(2100,12,31),$M260)</f>
        <v/>
      </c>
      <c r="P260" s="20" t="inlineStr">
        <is>
          <t>Proposal</t>
        </is>
      </c>
      <c r="Q260" s="47" t="inlineStr"/>
      <c r="R260" s="16">
        <f>IF($C260="","",IFERROR(IF(INDEX(Deals!$U$2:$U$355,MATCH($C260,Deals!$A$2:$A$355,0))=0,"",INDEX(Deals!$U$2:$U$355,MATCH($C260,Deals!$A$2:$A$355,0))),""))</f>
        <v/>
      </c>
      <c r="S260" s="34">
        <f>IFERROR(IF($U260="",1,INDEX(Deals!$V$2:$V$355,MATCH($C260,Deals!$A$2:$A$355,0))),1)</f>
        <v/>
      </c>
      <c r="T260" s="34">
        <f>IFERROR(IF($U260="",1,INDEX(Deals!$W$2:$W$355,MATCH($C260,Deals!$A$2:$A$355,0))),1)</f>
        <v/>
      </c>
      <c r="U260" s="22">
        <f>IF($C260="","",IFERROR(IF(INDEX(Deals!$Y$2:$Y$355,MATCH($C260,Deals!$A$2:$A$355,0))=0,"",INDEX(Deals!$Y$2:$Y$355,MATCH($C260,Deals!$A$2:$A$355,0))),""))</f>
        <v/>
      </c>
      <c r="V260" s="35">
        <f>IF(OR($U260&lt;&gt;"",AND($AO260&gt;0,$L260&lt;&gt;"",$M260&lt;&gt;"")),$N260,DATE(1900,1,1))</f>
        <v/>
      </c>
      <c r="W260" s="35">
        <f>IF($U260&lt;&gt;"",$U260,IF(AND($AO260&gt;0,$L260&lt;&gt;"",$M260&lt;&gt;""),$O260,DATE(2100,12,31)))</f>
        <v/>
      </c>
      <c r="X260" s="32">
        <f>IF($U260="",$K260,$K260*$S260)</f>
        <v/>
      </c>
      <c r="Y260" s="35">
        <f>IF($U260="",DATE(2100,12,31),$U260+1)</f>
        <v/>
      </c>
      <c r="Z260" s="35">
        <f>IF($U260="",DATE(1900,1,1),$O260)</f>
        <v/>
      </c>
      <c r="AA260" s="32">
        <f>IF($U260="",0,$K260*$T260)</f>
        <v/>
      </c>
      <c r="AB260" s="21">
        <f>IF($C260="",0,IFERROR(INDEX(Deals!$AD$2:$AD$355,MATCH($C260,Deals!$A$2:$A$355,0)),0))</f>
        <v/>
      </c>
      <c r="AC260" s="32">
        <f>IF(Settings!$B$4="Yes",$I260*$AB260,$I260)</f>
        <v/>
      </c>
      <c r="AD260" s="22">
        <f>IF($C260="","",IFERROR(IF(INDEX(Deals!$AE$2:$AE$355,MATCH($C260,Deals!$A$2:$A$355,0))=0,"",INDEX(Deals!$AE$2:$AE$355,MATCH($C260,Deals!$A$2:$A$355,0))),""))</f>
        <v/>
      </c>
      <c r="AE260" s="22">
        <f>IF($C260="","",IFERROR(IF(INDEX(Deals!$AF$2:$AF$355,MATCH($C260,Deals!$A$2:$A$355,0))=0,"",INDEX(Deals!$AF$2:$AF$355,MATCH($C260,Deals!$A$2:$A$355,0))),""))</f>
        <v/>
      </c>
      <c r="AF260" s="35">
        <f>IF($AD260="",DATE(1900,1,1),$AD260)</f>
        <v/>
      </c>
      <c r="AG260" s="35">
        <f>IF($AE260="",DATE(2100,12,31),$AE260)</f>
        <v/>
      </c>
      <c r="AH260" s="22">
        <f>IF($C260="","",IFERROR(IF(INDEX(Deals!$AG$2:$AG$355,MATCH($C260,Deals!$A$2:$A$355,0))=0,"",INDEX(Deals!$AG$2:$AG$355,MATCH($C260,Deals!$A$2:$A$355,0))),""))</f>
        <v/>
      </c>
      <c r="AI260" s="35">
        <f>IF(OR($AH260&lt;&gt;"",AND($AO260&gt;0,$AD260&lt;&gt;"",$AE260&lt;&gt;"")),$AF260,DATE(1900,1,1))</f>
        <v/>
      </c>
      <c r="AJ260" s="35">
        <f>IF($AH260&lt;&gt;"",$AH260,IF(AND($AO260&gt;0,$AD260&lt;&gt;"",$AE260&lt;&gt;""),$AG260,DATE(2100,12,31)))</f>
        <v/>
      </c>
      <c r="AK260" s="32">
        <f>IF($AH260="",$AC260,$AC260*$S260)</f>
        <v/>
      </c>
      <c r="AL260" s="35">
        <f>IF($AH260="",DATE(2100,12,31),$AH260+1)</f>
        <v/>
      </c>
      <c r="AM260" s="35">
        <f>IF($AH260="",DATE(1900,1,1),$AG260)</f>
        <v/>
      </c>
      <c r="AN260" s="32">
        <f>IF($AH260="",0,$AC260*$T260)</f>
        <v/>
      </c>
      <c r="AO260" s="46">
        <f>IF($C260="",0,IFERROR(INDEX(Deals!$BD$2:$BD$355,MATCH($C260,Deals!$A$2:$A$355,0)),0))</f>
        <v/>
      </c>
      <c r="AP260" s="18">
        <f>IF($AO260=0,0,IFERROR(INDEX(Deals!$BJ$2:$BP$355,MATCH($C260,Deals!$A$2:$A$355,0),MATCH($F260,Deals!$BJ$1:$BP$1,0))/COUNTIFS(Assignments!$C$2:$C$769,$C260,Assignments!$F$2:$F$769,$F260,Assignments!$G$2:$G$769,"Active"),0))</f>
        <v/>
      </c>
    </row>
    <row r="261">
      <c r="A261" s="28" t="inlineStr">
        <is>
          <t>Justine</t>
        </is>
      </c>
      <c r="B261" s="16">
        <f>IF($A261="","",IFERROR(INDEX(Roster!$B$2:$B$40,MATCH($A261,Roster!$A$2:$A$40,0)),"?"))</f>
        <v/>
      </c>
      <c r="C261" s="28" t="inlineStr">
        <is>
          <t>US Restructuring_1</t>
        </is>
      </c>
      <c r="D261" s="16">
        <f>IF($C261="","",IFERROR(IF(INDEX(Deals!$C$2:$C$355,MATCH($C261,Deals!$A$2:$A$355,0))=0,"",INDEX(Deals!$C$2:$C$355,MATCH($C261,Deals!$A$2:$A$355,0))),"?"))</f>
        <v/>
      </c>
      <c r="E261" s="16">
        <f>IF($C261="","",IFERROR(INDEX(Deals!$F$2:$F$355,MATCH($C261,Deals!$A$2:$A$355,0)),"?"))</f>
        <v/>
      </c>
      <c r="F261" s="28" t="inlineStr">
        <is>
          <t>Director</t>
        </is>
      </c>
      <c r="G261" s="28" t="inlineStr">
        <is>
          <t>Inactive</t>
        </is>
      </c>
      <c r="H261" s="31" t="n"/>
      <c r="I261" s="32">
        <f>IF(OR($A261="",$G261&lt;&gt;"Active"),0,IF($H261&lt;&gt;"",$H261,IF($AO261&gt;0,$AP261,IF(AND($R261&lt;&gt;"",IFERROR(INDEX(Templates!$B$3:$H$10,MATCH($R261,Templates!$A$3:$A$10,0),MATCH($F261,Templates!$B$2:$H$2,0)),0)&gt;0),INDEX(Templates!$B$3:$H$10,MATCH($R261,Templates!$A$3:$A$10,0),MATCH($F261,Templates!$B$2:$H$2,0)),IFERROR(INDEX(Settings!$B$8:$B$14,MATCH($F261,Settings!$A$8:$A$14,0)),0)))))</f>
        <v/>
      </c>
      <c r="J261" s="21">
        <f>IF($C261="",0,IFERROR(INDEX(Deals!$H$2:$H$355,MATCH($C261,Deals!$A$2:$A$355,0)),0))</f>
        <v/>
      </c>
      <c r="K261" s="32">
        <f>IF(Settings!$B$4="Yes",$I261*$J261,$I261)</f>
        <v/>
      </c>
      <c r="L261" s="22">
        <f>IF($C261="","",IFERROR(IF(INDEX(Deals!$I$2:$I$355,MATCH($C261,Deals!$A$2:$A$355,0))=0,"",INDEX(Deals!$I$2:$I$355,MATCH($C261,Deals!$A$2:$A$355,0))),""))</f>
        <v/>
      </c>
      <c r="M261" s="22">
        <f>IF($C261="","",IFERROR(IF(INDEX(Deals!$J$2:$J$355,MATCH($C261,Deals!$A$2:$A$355,0))=0,"",INDEX(Deals!$J$2:$J$355,MATCH($C261,Deals!$A$2:$A$355,0))),""))</f>
        <v/>
      </c>
      <c r="N261" s="35">
        <f>IF($L261="",DATE(1900,1,1),$L261)</f>
        <v/>
      </c>
      <c r="O261" s="35">
        <f>IF($M261="",DATE(2100,12,31),$M261)</f>
        <v/>
      </c>
      <c r="P261" s="20" t="inlineStr">
        <is>
          <t>Closed</t>
        </is>
      </c>
      <c r="Q261" s="47" t="inlineStr"/>
      <c r="R261" s="16">
        <f>IF($C261="","",IFERROR(IF(INDEX(Deals!$U$2:$U$355,MATCH($C261,Deals!$A$2:$A$355,0))=0,"",INDEX(Deals!$U$2:$U$355,MATCH($C261,Deals!$A$2:$A$355,0))),""))</f>
        <v/>
      </c>
      <c r="S261" s="34">
        <f>IFERROR(IF($U261="",1,INDEX(Deals!$V$2:$V$355,MATCH($C261,Deals!$A$2:$A$355,0))),1)</f>
        <v/>
      </c>
      <c r="T261" s="34">
        <f>IFERROR(IF($U261="",1,INDEX(Deals!$W$2:$W$355,MATCH($C261,Deals!$A$2:$A$355,0))),1)</f>
        <v/>
      </c>
      <c r="U261" s="22">
        <f>IF($C261="","",IFERROR(IF(INDEX(Deals!$Y$2:$Y$355,MATCH($C261,Deals!$A$2:$A$355,0))=0,"",INDEX(Deals!$Y$2:$Y$355,MATCH($C261,Deals!$A$2:$A$355,0))),""))</f>
        <v/>
      </c>
      <c r="V261" s="35">
        <f>IF(OR($U261&lt;&gt;"",AND($AO261&gt;0,$L261&lt;&gt;"",$M261&lt;&gt;"")),$N261,DATE(1900,1,1))</f>
        <v/>
      </c>
      <c r="W261" s="35">
        <f>IF($U261&lt;&gt;"",$U261,IF(AND($AO261&gt;0,$L261&lt;&gt;"",$M261&lt;&gt;""),$O261,DATE(2100,12,31)))</f>
        <v/>
      </c>
      <c r="X261" s="32">
        <f>IF($U261="",$K261,$K261*$S261)</f>
        <v/>
      </c>
      <c r="Y261" s="35">
        <f>IF($U261="",DATE(2100,12,31),$U261+1)</f>
        <v/>
      </c>
      <c r="Z261" s="35">
        <f>IF($U261="",DATE(1900,1,1),$O261)</f>
        <v/>
      </c>
      <c r="AA261" s="32">
        <f>IF($U261="",0,$K261*$T261)</f>
        <v/>
      </c>
      <c r="AB261" s="21">
        <f>IF($C261="",0,IFERROR(INDEX(Deals!$AD$2:$AD$355,MATCH($C261,Deals!$A$2:$A$355,0)),0))</f>
        <v/>
      </c>
      <c r="AC261" s="32">
        <f>IF(Settings!$B$4="Yes",$I261*$AB261,$I261)</f>
        <v/>
      </c>
      <c r="AD261" s="22">
        <f>IF($C261="","",IFERROR(IF(INDEX(Deals!$AE$2:$AE$355,MATCH($C261,Deals!$A$2:$A$355,0))=0,"",INDEX(Deals!$AE$2:$AE$355,MATCH($C261,Deals!$A$2:$A$355,0))),""))</f>
        <v/>
      </c>
      <c r="AE261" s="22">
        <f>IF($C261="","",IFERROR(IF(INDEX(Deals!$AF$2:$AF$355,MATCH($C261,Deals!$A$2:$A$355,0))=0,"",INDEX(Deals!$AF$2:$AF$355,MATCH($C261,Deals!$A$2:$A$355,0))),""))</f>
        <v/>
      </c>
      <c r="AF261" s="35">
        <f>IF($AD261="",DATE(1900,1,1),$AD261)</f>
        <v/>
      </c>
      <c r="AG261" s="35">
        <f>IF($AE261="",DATE(2100,12,31),$AE261)</f>
        <v/>
      </c>
      <c r="AH261" s="22">
        <f>IF($C261="","",IFERROR(IF(INDEX(Deals!$AG$2:$AG$355,MATCH($C261,Deals!$A$2:$A$355,0))=0,"",INDEX(Deals!$AG$2:$AG$355,MATCH($C261,Deals!$A$2:$A$355,0))),""))</f>
        <v/>
      </c>
      <c r="AI261" s="35">
        <f>IF(OR($AH261&lt;&gt;"",AND($AO261&gt;0,$AD261&lt;&gt;"",$AE261&lt;&gt;"")),$AF261,DATE(1900,1,1))</f>
        <v/>
      </c>
      <c r="AJ261" s="35">
        <f>IF($AH261&lt;&gt;"",$AH261,IF(AND($AO261&gt;0,$AD261&lt;&gt;"",$AE261&lt;&gt;""),$AG261,DATE(2100,12,31)))</f>
        <v/>
      </c>
      <c r="AK261" s="32">
        <f>IF($AH261="",$AC261,$AC261*$S261)</f>
        <v/>
      </c>
      <c r="AL261" s="35">
        <f>IF($AH261="",DATE(2100,12,31),$AH261+1)</f>
        <v/>
      </c>
      <c r="AM261" s="35">
        <f>IF($AH261="",DATE(1900,1,1),$AG261)</f>
        <v/>
      </c>
      <c r="AN261" s="32">
        <f>IF($AH261="",0,$AC261*$T261)</f>
        <v/>
      </c>
      <c r="AO261" s="46">
        <f>IF($C261="",0,IFERROR(INDEX(Deals!$BD$2:$BD$355,MATCH($C261,Deals!$A$2:$A$355,0)),0))</f>
        <v/>
      </c>
      <c r="AP261" s="18">
        <f>IF($AO261=0,0,IFERROR(INDEX(Deals!$BJ$2:$BP$355,MATCH($C261,Deals!$A$2:$A$355,0),MATCH($F261,Deals!$BJ$1:$BP$1,0))/COUNTIFS(Assignments!$C$2:$C$769,$C261,Assignments!$F$2:$F$769,$F261,Assignments!$G$2:$G$769,"Active"),0))</f>
        <v/>
      </c>
    </row>
    <row r="262">
      <c r="A262" s="28" t="inlineStr">
        <is>
          <t>Justine</t>
        </is>
      </c>
      <c r="B262" s="16">
        <f>IF($A262="","",IFERROR(INDEX(Roster!$B$2:$B$40,MATCH($A262,Roster!$A$2:$A$40,0)),"?"))</f>
        <v/>
      </c>
      <c r="C262" s="28" t="inlineStr">
        <is>
          <t>WASP_2</t>
        </is>
      </c>
      <c r="D262" s="16">
        <f>IF($C262="","",IFERROR(IF(INDEX(Deals!$C$2:$C$355,MATCH($C262,Deals!$A$2:$A$355,0))=0,"",INDEX(Deals!$C$2:$C$355,MATCH($C262,Deals!$A$2:$A$355,0))),"?"))</f>
        <v/>
      </c>
      <c r="E262" s="16">
        <f>IF($C262="","",IFERROR(INDEX(Deals!$F$2:$F$355,MATCH($C262,Deals!$A$2:$A$355,0)),"?"))</f>
        <v/>
      </c>
      <c r="F262" s="28" t="inlineStr">
        <is>
          <t>Director</t>
        </is>
      </c>
      <c r="G262" s="28" t="inlineStr">
        <is>
          <t>Active</t>
        </is>
      </c>
      <c r="H262" s="31" t="n"/>
      <c r="I262" s="32">
        <f>IF(OR($A262="",$G262&lt;&gt;"Active"),0,IF($H262&lt;&gt;"",$H262,IF($AO262&gt;0,$AP262,IF(AND($R262&lt;&gt;"",IFERROR(INDEX(Templates!$B$3:$H$10,MATCH($R262,Templates!$A$3:$A$10,0),MATCH($F262,Templates!$B$2:$H$2,0)),0)&gt;0),INDEX(Templates!$B$3:$H$10,MATCH($R262,Templates!$A$3:$A$10,0),MATCH($F262,Templates!$B$2:$H$2,0)),IFERROR(INDEX(Settings!$B$8:$B$14,MATCH($F262,Settings!$A$8:$A$14,0)),0)))))</f>
        <v/>
      </c>
      <c r="J262" s="21">
        <f>IF($C262="",0,IFERROR(INDEX(Deals!$H$2:$H$355,MATCH($C262,Deals!$A$2:$A$355,0)),0))</f>
        <v/>
      </c>
      <c r="K262" s="32">
        <f>IF(Settings!$B$4="Yes",$I262*$J262,$I262)</f>
        <v/>
      </c>
      <c r="L262" s="22">
        <f>IF($C262="","",IFERROR(IF(INDEX(Deals!$I$2:$I$355,MATCH($C262,Deals!$A$2:$A$355,0))=0,"",INDEX(Deals!$I$2:$I$355,MATCH($C262,Deals!$A$2:$A$355,0))),""))</f>
        <v/>
      </c>
      <c r="M262" s="22">
        <f>IF($C262="","",IFERROR(IF(INDEX(Deals!$J$2:$J$355,MATCH($C262,Deals!$A$2:$A$355,0))=0,"",INDEX(Deals!$J$2:$J$355,MATCH($C262,Deals!$A$2:$A$355,0))),""))</f>
        <v/>
      </c>
      <c r="N262" s="35">
        <f>IF($L262="",DATE(1900,1,1),$L262)</f>
        <v/>
      </c>
      <c r="O262" s="35">
        <f>IF($M262="",DATE(2100,12,31),$M262)</f>
        <v/>
      </c>
      <c r="P262" s="20" t="inlineStr">
        <is>
          <t>Ongoing</t>
        </is>
      </c>
      <c r="Q262" s="47" t="inlineStr"/>
      <c r="R262" s="16">
        <f>IF($C262="","",IFERROR(IF(INDEX(Deals!$U$2:$U$355,MATCH($C262,Deals!$A$2:$A$355,0))=0,"",INDEX(Deals!$U$2:$U$355,MATCH($C262,Deals!$A$2:$A$355,0))),""))</f>
        <v/>
      </c>
      <c r="S262" s="34">
        <f>IFERROR(IF($U262="",1,INDEX(Deals!$V$2:$V$355,MATCH($C262,Deals!$A$2:$A$355,0))),1)</f>
        <v/>
      </c>
      <c r="T262" s="34">
        <f>IFERROR(IF($U262="",1,INDEX(Deals!$W$2:$W$355,MATCH($C262,Deals!$A$2:$A$355,0))),1)</f>
        <v/>
      </c>
      <c r="U262" s="22">
        <f>IF($C262="","",IFERROR(IF(INDEX(Deals!$Y$2:$Y$355,MATCH($C262,Deals!$A$2:$A$355,0))=0,"",INDEX(Deals!$Y$2:$Y$355,MATCH($C262,Deals!$A$2:$A$355,0))),""))</f>
        <v/>
      </c>
      <c r="V262" s="35">
        <f>IF(OR($U262&lt;&gt;"",AND($AO262&gt;0,$L262&lt;&gt;"",$M262&lt;&gt;"")),$N262,DATE(1900,1,1))</f>
        <v/>
      </c>
      <c r="W262" s="35">
        <f>IF($U262&lt;&gt;"",$U262,IF(AND($AO262&gt;0,$L262&lt;&gt;"",$M262&lt;&gt;""),$O262,DATE(2100,12,31)))</f>
        <v/>
      </c>
      <c r="X262" s="32">
        <f>IF($U262="",$K262,$K262*$S262)</f>
        <v/>
      </c>
      <c r="Y262" s="35">
        <f>IF($U262="",DATE(2100,12,31),$U262+1)</f>
        <v/>
      </c>
      <c r="Z262" s="35">
        <f>IF($U262="",DATE(1900,1,1),$O262)</f>
        <v/>
      </c>
      <c r="AA262" s="32">
        <f>IF($U262="",0,$K262*$T262)</f>
        <v/>
      </c>
      <c r="AB262" s="21">
        <f>IF($C262="",0,IFERROR(INDEX(Deals!$AD$2:$AD$355,MATCH($C262,Deals!$A$2:$A$355,0)),0))</f>
        <v/>
      </c>
      <c r="AC262" s="32">
        <f>IF(Settings!$B$4="Yes",$I262*$AB262,$I262)</f>
        <v/>
      </c>
      <c r="AD262" s="22">
        <f>IF($C262="","",IFERROR(IF(INDEX(Deals!$AE$2:$AE$355,MATCH($C262,Deals!$A$2:$A$355,0))=0,"",INDEX(Deals!$AE$2:$AE$355,MATCH($C262,Deals!$A$2:$A$355,0))),""))</f>
        <v/>
      </c>
      <c r="AE262" s="22">
        <f>IF($C262="","",IFERROR(IF(INDEX(Deals!$AF$2:$AF$355,MATCH($C262,Deals!$A$2:$A$355,0))=0,"",INDEX(Deals!$AF$2:$AF$355,MATCH($C262,Deals!$A$2:$A$355,0))),""))</f>
        <v/>
      </c>
      <c r="AF262" s="35">
        <f>IF($AD262="",DATE(1900,1,1),$AD262)</f>
        <v/>
      </c>
      <c r="AG262" s="35">
        <f>IF($AE262="",DATE(2100,12,31),$AE262)</f>
        <v/>
      </c>
      <c r="AH262" s="22">
        <f>IF($C262="","",IFERROR(IF(INDEX(Deals!$AG$2:$AG$355,MATCH($C262,Deals!$A$2:$A$355,0))=0,"",INDEX(Deals!$AG$2:$AG$355,MATCH($C262,Deals!$A$2:$A$355,0))),""))</f>
        <v/>
      </c>
      <c r="AI262" s="35">
        <f>IF(OR($AH262&lt;&gt;"",AND($AO262&gt;0,$AD262&lt;&gt;"",$AE262&lt;&gt;"")),$AF262,DATE(1900,1,1))</f>
        <v/>
      </c>
      <c r="AJ262" s="35">
        <f>IF($AH262&lt;&gt;"",$AH262,IF(AND($AO262&gt;0,$AD262&lt;&gt;"",$AE262&lt;&gt;""),$AG262,DATE(2100,12,31)))</f>
        <v/>
      </c>
      <c r="AK262" s="32">
        <f>IF($AH262="",$AC262,$AC262*$S262)</f>
        <v/>
      </c>
      <c r="AL262" s="35">
        <f>IF($AH262="",DATE(2100,12,31),$AH262+1)</f>
        <v/>
      </c>
      <c r="AM262" s="35">
        <f>IF($AH262="",DATE(1900,1,1),$AG262)</f>
        <v/>
      </c>
      <c r="AN262" s="32">
        <f>IF($AH262="",0,$AC262*$T262)</f>
        <v/>
      </c>
      <c r="AO262" s="46">
        <f>IF($C262="",0,IFERROR(INDEX(Deals!$BD$2:$BD$355,MATCH($C262,Deals!$A$2:$A$355,0)),0))</f>
        <v/>
      </c>
      <c r="AP262" s="18">
        <f>IF($AO262=0,0,IFERROR(INDEX(Deals!$BJ$2:$BP$355,MATCH($C262,Deals!$A$2:$A$355,0),MATCH($F262,Deals!$BJ$1:$BP$1,0))/COUNTIFS(Assignments!$C$2:$C$769,$C262,Assignments!$F$2:$F$769,$F262,Assignments!$G$2:$G$769,"Active"),0))</f>
        <v/>
      </c>
    </row>
    <row r="263">
      <c r="A263" s="28" t="inlineStr">
        <is>
          <t>Justine</t>
        </is>
      </c>
      <c r="B263" s="16">
        <f>IF($A263="","",IFERROR(INDEX(Roster!$B$2:$B$40,MATCH($A263,Roster!$A$2:$A$40,0)),"?"))</f>
        <v/>
      </c>
      <c r="C263" s="28" t="inlineStr">
        <is>
          <t>Westfold</t>
        </is>
      </c>
      <c r="D263" s="16">
        <f>IF($C263="","",IFERROR(IF(INDEX(Deals!$C$2:$C$355,MATCH($C263,Deals!$A$2:$A$355,0))=0,"",INDEX(Deals!$C$2:$C$355,MATCH($C263,Deals!$A$2:$A$355,0))),"?"))</f>
        <v/>
      </c>
      <c r="E263" s="16">
        <f>IF($C263="","",IFERROR(INDEX(Deals!$F$2:$F$355,MATCH($C263,Deals!$A$2:$A$355,0)),"?"))</f>
        <v/>
      </c>
      <c r="F263" s="28" t="inlineStr">
        <is>
          <t>Director</t>
        </is>
      </c>
      <c r="G263" s="28" t="inlineStr">
        <is>
          <t>Active</t>
        </is>
      </c>
      <c r="H263" s="31" t="n"/>
      <c r="I263" s="32">
        <f>IF(OR($A263="",$G263&lt;&gt;"Active"),0,IF($H263&lt;&gt;"",$H263,IF($AO263&gt;0,$AP263,IF(AND($R263&lt;&gt;"",IFERROR(INDEX(Templates!$B$3:$H$10,MATCH($R263,Templates!$A$3:$A$10,0),MATCH($F263,Templates!$B$2:$H$2,0)),0)&gt;0),INDEX(Templates!$B$3:$H$10,MATCH($R263,Templates!$A$3:$A$10,0),MATCH($F263,Templates!$B$2:$H$2,0)),IFERROR(INDEX(Settings!$B$8:$B$14,MATCH($F263,Settings!$A$8:$A$14,0)),0)))))</f>
        <v/>
      </c>
      <c r="J263" s="21">
        <f>IF($C263="",0,IFERROR(INDEX(Deals!$H$2:$H$355,MATCH($C263,Deals!$A$2:$A$355,0)),0))</f>
        <v/>
      </c>
      <c r="K263" s="32">
        <f>IF(Settings!$B$4="Yes",$I263*$J263,$I263)</f>
        <v/>
      </c>
      <c r="L263" s="22">
        <f>IF($C263="","",IFERROR(IF(INDEX(Deals!$I$2:$I$355,MATCH($C263,Deals!$A$2:$A$355,0))=0,"",INDEX(Deals!$I$2:$I$355,MATCH($C263,Deals!$A$2:$A$355,0))),""))</f>
        <v/>
      </c>
      <c r="M263" s="22">
        <f>IF($C263="","",IFERROR(IF(INDEX(Deals!$J$2:$J$355,MATCH($C263,Deals!$A$2:$A$355,0))=0,"",INDEX(Deals!$J$2:$J$355,MATCH($C263,Deals!$A$2:$A$355,0))),""))</f>
        <v/>
      </c>
      <c r="N263" s="35">
        <f>IF($L263="",DATE(1900,1,1),$L263)</f>
        <v/>
      </c>
      <c r="O263" s="35">
        <f>IF($M263="",DATE(2100,12,31),$M263)</f>
        <v/>
      </c>
      <c r="P263" s="20" t="inlineStr">
        <is>
          <t>Ongoing</t>
        </is>
      </c>
      <c r="Q263" s="47" t="inlineStr">
        <is>
          <t>Added from Summary tab</t>
        </is>
      </c>
      <c r="R263" s="16">
        <f>IF($C263="","",IFERROR(IF(INDEX(Deals!$U$2:$U$355,MATCH($C263,Deals!$A$2:$A$355,0))=0,"",INDEX(Deals!$U$2:$U$355,MATCH($C263,Deals!$A$2:$A$355,0))),""))</f>
        <v/>
      </c>
      <c r="S263" s="34">
        <f>IFERROR(IF($U263="",1,INDEX(Deals!$V$2:$V$355,MATCH($C263,Deals!$A$2:$A$355,0))),1)</f>
        <v/>
      </c>
      <c r="T263" s="34">
        <f>IFERROR(IF($U263="",1,INDEX(Deals!$W$2:$W$355,MATCH($C263,Deals!$A$2:$A$355,0))),1)</f>
        <v/>
      </c>
      <c r="U263" s="22">
        <f>IF($C263="","",IFERROR(IF(INDEX(Deals!$Y$2:$Y$355,MATCH($C263,Deals!$A$2:$A$355,0))=0,"",INDEX(Deals!$Y$2:$Y$355,MATCH($C263,Deals!$A$2:$A$355,0))),""))</f>
        <v/>
      </c>
      <c r="V263" s="35">
        <f>IF(OR($U263&lt;&gt;"",AND($AO263&gt;0,$L263&lt;&gt;"",$M263&lt;&gt;"")),$N263,DATE(1900,1,1))</f>
        <v/>
      </c>
      <c r="W263" s="35">
        <f>IF($U263&lt;&gt;"",$U263,IF(AND($AO263&gt;0,$L263&lt;&gt;"",$M263&lt;&gt;""),$O263,DATE(2100,12,31)))</f>
        <v/>
      </c>
      <c r="X263" s="32">
        <f>IF($U263="",$K263,$K263*$S263)</f>
        <v/>
      </c>
      <c r="Y263" s="35">
        <f>IF($U263="",DATE(2100,12,31),$U263+1)</f>
        <v/>
      </c>
      <c r="Z263" s="35">
        <f>IF($U263="",DATE(1900,1,1),$O263)</f>
        <v/>
      </c>
      <c r="AA263" s="32">
        <f>IF($U263="",0,$K263*$T263)</f>
        <v/>
      </c>
      <c r="AB263" s="21">
        <f>IF($C263="",0,IFERROR(INDEX(Deals!$AD$2:$AD$355,MATCH($C263,Deals!$A$2:$A$355,0)),0))</f>
        <v/>
      </c>
      <c r="AC263" s="32">
        <f>IF(Settings!$B$4="Yes",$I263*$AB263,$I263)</f>
        <v/>
      </c>
      <c r="AD263" s="22">
        <f>IF($C263="","",IFERROR(IF(INDEX(Deals!$AE$2:$AE$355,MATCH($C263,Deals!$A$2:$A$355,0))=0,"",INDEX(Deals!$AE$2:$AE$355,MATCH($C263,Deals!$A$2:$A$355,0))),""))</f>
        <v/>
      </c>
      <c r="AE263" s="22">
        <f>IF($C263="","",IFERROR(IF(INDEX(Deals!$AF$2:$AF$355,MATCH($C263,Deals!$A$2:$A$355,0))=0,"",INDEX(Deals!$AF$2:$AF$355,MATCH($C263,Deals!$A$2:$A$355,0))),""))</f>
        <v/>
      </c>
      <c r="AF263" s="35">
        <f>IF($AD263="",DATE(1900,1,1),$AD263)</f>
        <v/>
      </c>
      <c r="AG263" s="35">
        <f>IF($AE263="",DATE(2100,12,31),$AE263)</f>
        <v/>
      </c>
      <c r="AH263" s="22">
        <f>IF($C263="","",IFERROR(IF(INDEX(Deals!$AG$2:$AG$355,MATCH($C263,Deals!$A$2:$A$355,0))=0,"",INDEX(Deals!$AG$2:$AG$355,MATCH($C263,Deals!$A$2:$A$355,0))),""))</f>
        <v/>
      </c>
      <c r="AI263" s="35">
        <f>IF(OR($AH263&lt;&gt;"",AND($AO263&gt;0,$AD263&lt;&gt;"",$AE263&lt;&gt;"")),$AF263,DATE(1900,1,1))</f>
        <v/>
      </c>
      <c r="AJ263" s="35">
        <f>IF($AH263&lt;&gt;"",$AH263,IF(AND($AO263&gt;0,$AD263&lt;&gt;"",$AE263&lt;&gt;""),$AG263,DATE(2100,12,31)))</f>
        <v/>
      </c>
      <c r="AK263" s="32">
        <f>IF($AH263="",$AC263,$AC263*$S263)</f>
        <v/>
      </c>
      <c r="AL263" s="35">
        <f>IF($AH263="",DATE(2100,12,31),$AH263+1)</f>
        <v/>
      </c>
      <c r="AM263" s="35">
        <f>IF($AH263="",DATE(1900,1,1),$AG263)</f>
        <v/>
      </c>
      <c r="AN263" s="32">
        <f>IF($AH263="",0,$AC263*$T263)</f>
        <v/>
      </c>
      <c r="AO263" s="46">
        <f>IF($C263="",0,IFERROR(INDEX(Deals!$BD$2:$BD$355,MATCH($C263,Deals!$A$2:$A$355,0)),0))</f>
        <v/>
      </c>
      <c r="AP263" s="18">
        <f>IF($AO263=0,0,IFERROR(INDEX(Deals!$BJ$2:$BP$355,MATCH($C263,Deals!$A$2:$A$355,0),MATCH($F263,Deals!$BJ$1:$BP$1,0))/COUNTIFS(Assignments!$C$2:$C$769,$C263,Assignments!$F$2:$F$769,$F263,Assignments!$G$2:$G$769,"Active"),0))</f>
        <v/>
      </c>
    </row>
    <row r="264">
      <c r="A264" s="28" t="inlineStr">
        <is>
          <t>Justine</t>
        </is>
      </c>
      <c r="B264" s="16">
        <f>IF($A264="","",IFERROR(INDEX(Roster!$B$2:$B$40,MATCH($A264,Roster!$A$2:$A$40,0)),"?"))</f>
        <v/>
      </c>
      <c r="C264" s="28" t="inlineStr">
        <is>
          <t>Wolverine_4</t>
        </is>
      </c>
      <c r="D264" s="16">
        <f>IF($C264="","",IFERROR(IF(INDEX(Deals!$C$2:$C$355,MATCH($C264,Deals!$A$2:$A$355,0))=0,"",INDEX(Deals!$C$2:$C$355,MATCH($C264,Deals!$A$2:$A$355,0))),"?"))</f>
        <v/>
      </c>
      <c r="E264" s="16">
        <f>IF($C264="","",IFERROR(INDEX(Deals!$F$2:$F$355,MATCH($C264,Deals!$A$2:$A$355,0)),"?"))</f>
        <v/>
      </c>
      <c r="F264" s="28" t="inlineStr">
        <is>
          <t>Director</t>
        </is>
      </c>
      <c r="G264" s="28" t="inlineStr">
        <is>
          <t>Active</t>
        </is>
      </c>
      <c r="H264" s="31" t="n"/>
      <c r="I264" s="32">
        <f>IF(OR($A264="",$G264&lt;&gt;"Active"),0,IF($H264&lt;&gt;"",$H264,IF($AO264&gt;0,$AP264,IF(AND($R264&lt;&gt;"",IFERROR(INDEX(Templates!$B$3:$H$10,MATCH($R264,Templates!$A$3:$A$10,0),MATCH($F264,Templates!$B$2:$H$2,0)),0)&gt;0),INDEX(Templates!$B$3:$H$10,MATCH($R264,Templates!$A$3:$A$10,0),MATCH($F264,Templates!$B$2:$H$2,0)),IFERROR(INDEX(Settings!$B$8:$B$14,MATCH($F264,Settings!$A$8:$A$14,0)),0)))))</f>
        <v/>
      </c>
      <c r="J264" s="21">
        <f>IF($C264="",0,IFERROR(INDEX(Deals!$H$2:$H$355,MATCH($C264,Deals!$A$2:$A$355,0)),0))</f>
        <v/>
      </c>
      <c r="K264" s="32">
        <f>IF(Settings!$B$4="Yes",$I264*$J264,$I264)</f>
        <v/>
      </c>
      <c r="L264" s="22">
        <f>IF($C264="","",IFERROR(IF(INDEX(Deals!$I$2:$I$355,MATCH($C264,Deals!$A$2:$A$355,0))=0,"",INDEX(Deals!$I$2:$I$355,MATCH($C264,Deals!$A$2:$A$355,0))),""))</f>
        <v/>
      </c>
      <c r="M264" s="22">
        <f>IF($C264="","",IFERROR(IF(INDEX(Deals!$J$2:$J$355,MATCH($C264,Deals!$A$2:$A$355,0))=0,"",INDEX(Deals!$J$2:$J$355,MATCH($C264,Deals!$A$2:$A$355,0))),""))</f>
        <v/>
      </c>
      <c r="N264" s="35">
        <f>IF($L264="",DATE(1900,1,1),$L264)</f>
        <v/>
      </c>
      <c r="O264" s="35">
        <f>IF($M264="",DATE(2100,12,31),$M264)</f>
        <v/>
      </c>
      <c r="P264" s="20" t="inlineStr">
        <is>
          <t>Proposal</t>
        </is>
      </c>
      <c r="Q264" s="47" t="inlineStr"/>
      <c r="R264" s="16">
        <f>IF($C264="","",IFERROR(IF(INDEX(Deals!$U$2:$U$355,MATCH($C264,Deals!$A$2:$A$355,0))=0,"",INDEX(Deals!$U$2:$U$355,MATCH($C264,Deals!$A$2:$A$355,0))),""))</f>
        <v/>
      </c>
      <c r="S264" s="34">
        <f>IFERROR(IF($U264="",1,INDEX(Deals!$V$2:$V$355,MATCH($C264,Deals!$A$2:$A$355,0))),1)</f>
        <v/>
      </c>
      <c r="T264" s="34">
        <f>IFERROR(IF($U264="",1,INDEX(Deals!$W$2:$W$355,MATCH($C264,Deals!$A$2:$A$355,0))),1)</f>
        <v/>
      </c>
      <c r="U264" s="22">
        <f>IF($C264="","",IFERROR(IF(INDEX(Deals!$Y$2:$Y$355,MATCH($C264,Deals!$A$2:$A$355,0))=0,"",INDEX(Deals!$Y$2:$Y$355,MATCH($C264,Deals!$A$2:$A$355,0))),""))</f>
        <v/>
      </c>
      <c r="V264" s="35">
        <f>IF(OR($U264&lt;&gt;"",AND($AO264&gt;0,$L264&lt;&gt;"",$M264&lt;&gt;"")),$N264,DATE(1900,1,1))</f>
        <v/>
      </c>
      <c r="W264" s="35">
        <f>IF($U264&lt;&gt;"",$U264,IF(AND($AO264&gt;0,$L264&lt;&gt;"",$M264&lt;&gt;""),$O264,DATE(2100,12,31)))</f>
        <v/>
      </c>
      <c r="X264" s="32">
        <f>IF($U264="",$K264,$K264*$S264)</f>
        <v/>
      </c>
      <c r="Y264" s="35">
        <f>IF($U264="",DATE(2100,12,31),$U264+1)</f>
        <v/>
      </c>
      <c r="Z264" s="35">
        <f>IF($U264="",DATE(1900,1,1),$O264)</f>
        <v/>
      </c>
      <c r="AA264" s="32">
        <f>IF($U264="",0,$K264*$T264)</f>
        <v/>
      </c>
      <c r="AB264" s="21">
        <f>IF($C264="",0,IFERROR(INDEX(Deals!$AD$2:$AD$355,MATCH($C264,Deals!$A$2:$A$355,0)),0))</f>
        <v/>
      </c>
      <c r="AC264" s="32">
        <f>IF(Settings!$B$4="Yes",$I264*$AB264,$I264)</f>
        <v/>
      </c>
      <c r="AD264" s="22">
        <f>IF($C264="","",IFERROR(IF(INDEX(Deals!$AE$2:$AE$355,MATCH($C264,Deals!$A$2:$A$355,0))=0,"",INDEX(Deals!$AE$2:$AE$355,MATCH($C264,Deals!$A$2:$A$355,0))),""))</f>
        <v/>
      </c>
      <c r="AE264" s="22">
        <f>IF($C264="","",IFERROR(IF(INDEX(Deals!$AF$2:$AF$355,MATCH($C264,Deals!$A$2:$A$355,0))=0,"",INDEX(Deals!$AF$2:$AF$355,MATCH($C264,Deals!$A$2:$A$355,0))),""))</f>
        <v/>
      </c>
      <c r="AF264" s="35">
        <f>IF($AD264="",DATE(1900,1,1),$AD264)</f>
        <v/>
      </c>
      <c r="AG264" s="35">
        <f>IF($AE264="",DATE(2100,12,31),$AE264)</f>
        <v/>
      </c>
      <c r="AH264" s="22">
        <f>IF($C264="","",IFERROR(IF(INDEX(Deals!$AG$2:$AG$355,MATCH($C264,Deals!$A$2:$A$355,0))=0,"",INDEX(Deals!$AG$2:$AG$355,MATCH($C264,Deals!$A$2:$A$355,0))),""))</f>
        <v/>
      </c>
      <c r="AI264" s="35">
        <f>IF(OR($AH264&lt;&gt;"",AND($AO264&gt;0,$AD264&lt;&gt;"",$AE264&lt;&gt;"")),$AF264,DATE(1900,1,1))</f>
        <v/>
      </c>
      <c r="AJ264" s="35">
        <f>IF($AH264&lt;&gt;"",$AH264,IF(AND($AO264&gt;0,$AD264&lt;&gt;"",$AE264&lt;&gt;""),$AG264,DATE(2100,12,31)))</f>
        <v/>
      </c>
      <c r="AK264" s="32">
        <f>IF($AH264="",$AC264,$AC264*$S264)</f>
        <v/>
      </c>
      <c r="AL264" s="35">
        <f>IF($AH264="",DATE(2100,12,31),$AH264+1)</f>
        <v/>
      </c>
      <c r="AM264" s="35">
        <f>IF($AH264="",DATE(1900,1,1),$AG264)</f>
        <v/>
      </c>
      <c r="AN264" s="32">
        <f>IF($AH264="",0,$AC264*$T264)</f>
        <v/>
      </c>
      <c r="AO264" s="46">
        <f>IF($C264="",0,IFERROR(INDEX(Deals!$BD$2:$BD$355,MATCH($C264,Deals!$A$2:$A$355,0)),0))</f>
        <v/>
      </c>
      <c r="AP264" s="18">
        <f>IF($AO264=0,0,IFERROR(INDEX(Deals!$BJ$2:$BP$355,MATCH($C264,Deals!$A$2:$A$355,0),MATCH($F264,Deals!$BJ$1:$BP$1,0))/COUNTIFS(Assignments!$C$2:$C$769,$C264,Assignments!$F$2:$F$769,$F264,Assignments!$G$2:$G$769,"Active"),0))</f>
        <v/>
      </c>
    </row>
    <row r="265">
      <c r="A265" s="28" t="inlineStr">
        <is>
          <t>Justine</t>
        </is>
      </c>
      <c r="B265" s="16">
        <f>IF($A265="","",IFERROR(INDEX(Roster!$B$2:$B$40,MATCH($A265,Roster!$A$2:$A$40,0)),"?"))</f>
        <v/>
      </c>
      <c r="C265" s="28" t="inlineStr">
        <is>
          <t>Zeus_2</t>
        </is>
      </c>
      <c r="D265" s="16">
        <f>IF($C265="","",IFERROR(IF(INDEX(Deals!$C$2:$C$355,MATCH($C265,Deals!$A$2:$A$355,0))=0,"",INDEX(Deals!$C$2:$C$355,MATCH($C265,Deals!$A$2:$A$355,0))),"?"))</f>
        <v/>
      </c>
      <c r="E265" s="16">
        <f>IF($C265="","",IFERROR(INDEX(Deals!$F$2:$F$355,MATCH($C265,Deals!$A$2:$A$355,0)),"?"))</f>
        <v/>
      </c>
      <c r="F265" s="28" t="inlineStr">
        <is>
          <t>Director</t>
        </is>
      </c>
      <c r="G265" s="28" t="inlineStr">
        <is>
          <t>Inactive</t>
        </is>
      </c>
      <c r="H265" s="31" t="n"/>
      <c r="I265" s="32">
        <f>IF(OR($A265="",$G265&lt;&gt;"Active"),0,IF($H265&lt;&gt;"",$H265,IF($AO265&gt;0,$AP265,IF(AND($R265&lt;&gt;"",IFERROR(INDEX(Templates!$B$3:$H$10,MATCH($R265,Templates!$A$3:$A$10,0),MATCH($F265,Templates!$B$2:$H$2,0)),0)&gt;0),INDEX(Templates!$B$3:$H$10,MATCH($R265,Templates!$A$3:$A$10,0),MATCH($F265,Templates!$B$2:$H$2,0)),IFERROR(INDEX(Settings!$B$8:$B$14,MATCH($F265,Settings!$A$8:$A$14,0)),0)))))</f>
        <v/>
      </c>
      <c r="J265" s="21">
        <f>IF($C265="",0,IFERROR(INDEX(Deals!$H$2:$H$355,MATCH($C265,Deals!$A$2:$A$355,0)),0))</f>
        <v/>
      </c>
      <c r="K265" s="32">
        <f>IF(Settings!$B$4="Yes",$I265*$J265,$I265)</f>
        <v/>
      </c>
      <c r="L265" s="22">
        <f>IF($C265="","",IFERROR(IF(INDEX(Deals!$I$2:$I$355,MATCH($C265,Deals!$A$2:$A$355,0))=0,"",INDEX(Deals!$I$2:$I$355,MATCH($C265,Deals!$A$2:$A$355,0))),""))</f>
        <v/>
      </c>
      <c r="M265" s="22">
        <f>IF($C265="","",IFERROR(IF(INDEX(Deals!$J$2:$J$355,MATCH($C265,Deals!$A$2:$A$355,0))=0,"",INDEX(Deals!$J$2:$J$355,MATCH($C265,Deals!$A$2:$A$355,0))),""))</f>
        <v/>
      </c>
      <c r="N265" s="35">
        <f>IF($L265="",DATE(1900,1,1),$L265)</f>
        <v/>
      </c>
      <c r="O265" s="35">
        <f>IF($M265="",DATE(2100,12,31),$M265)</f>
        <v/>
      </c>
      <c r="P265" s="20" t="inlineStr">
        <is>
          <t>Pens dowm</t>
        </is>
      </c>
      <c r="Q265" s="47" t="inlineStr"/>
      <c r="R265" s="16">
        <f>IF($C265="","",IFERROR(IF(INDEX(Deals!$U$2:$U$355,MATCH($C265,Deals!$A$2:$A$355,0))=0,"",INDEX(Deals!$U$2:$U$355,MATCH($C265,Deals!$A$2:$A$355,0))),""))</f>
        <v/>
      </c>
      <c r="S265" s="34">
        <f>IFERROR(IF($U265="",1,INDEX(Deals!$V$2:$V$355,MATCH($C265,Deals!$A$2:$A$355,0))),1)</f>
        <v/>
      </c>
      <c r="T265" s="34">
        <f>IFERROR(IF($U265="",1,INDEX(Deals!$W$2:$W$355,MATCH($C265,Deals!$A$2:$A$355,0))),1)</f>
        <v/>
      </c>
      <c r="U265" s="22">
        <f>IF($C265="","",IFERROR(IF(INDEX(Deals!$Y$2:$Y$355,MATCH($C265,Deals!$A$2:$A$355,0))=0,"",INDEX(Deals!$Y$2:$Y$355,MATCH($C265,Deals!$A$2:$A$355,0))),""))</f>
        <v/>
      </c>
      <c r="V265" s="35">
        <f>IF(OR($U265&lt;&gt;"",AND($AO265&gt;0,$L265&lt;&gt;"",$M265&lt;&gt;"")),$N265,DATE(1900,1,1))</f>
        <v/>
      </c>
      <c r="W265" s="35">
        <f>IF($U265&lt;&gt;"",$U265,IF(AND($AO265&gt;0,$L265&lt;&gt;"",$M265&lt;&gt;""),$O265,DATE(2100,12,31)))</f>
        <v/>
      </c>
      <c r="X265" s="32">
        <f>IF($U265="",$K265,$K265*$S265)</f>
        <v/>
      </c>
      <c r="Y265" s="35">
        <f>IF($U265="",DATE(2100,12,31),$U265+1)</f>
        <v/>
      </c>
      <c r="Z265" s="35">
        <f>IF($U265="",DATE(1900,1,1),$O265)</f>
        <v/>
      </c>
      <c r="AA265" s="32">
        <f>IF($U265="",0,$K265*$T265)</f>
        <v/>
      </c>
      <c r="AB265" s="21">
        <f>IF($C265="",0,IFERROR(INDEX(Deals!$AD$2:$AD$355,MATCH($C265,Deals!$A$2:$A$355,0)),0))</f>
        <v/>
      </c>
      <c r="AC265" s="32">
        <f>IF(Settings!$B$4="Yes",$I265*$AB265,$I265)</f>
        <v/>
      </c>
      <c r="AD265" s="22">
        <f>IF($C265="","",IFERROR(IF(INDEX(Deals!$AE$2:$AE$355,MATCH($C265,Deals!$A$2:$A$355,0))=0,"",INDEX(Deals!$AE$2:$AE$355,MATCH($C265,Deals!$A$2:$A$355,0))),""))</f>
        <v/>
      </c>
      <c r="AE265" s="22">
        <f>IF($C265="","",IFERROR(IF(INDEX(Deals!$AF$2:$AF$355,MATCH($C265,Deals!$A$2:$A$355,0))=0,"",INDEX(Deals!$AF$2:$AF$355,MATCH($C265,Deals!$A$2:$A$355,0))),""))</f>
        <v/>
      </c>
      <c r="AF265" s="35">
        <f>IF($AD265="",DATE(1900,1,1),$AD265)</f>
        <v/>
      </c>
      <c r="AG265" s="35">
        <f>IF($AE265="",DATE(2100,12,31),$AE265)</f>
        <v/>
      </c>
      <c r="AH265" s="22">
        <f>IF($C265="","",IFERROR(IF(INDEX(Deals!$AG$2:$AG$355,MATCH($C265,Deals!$A$2:$A$355,0))=0,"",INDEX(Deals!$AG$2:$AG$355,MATCH($C265,Deals!$A$2:$A$355,0))),""))</f>
        <v/>
      </c>
      <c r="AI265" s="35">
        <f>IF(OR($AH265&lt;&gt;"",AND($AO265&gt;0,$AD265&lt;&gt;"",$AE265&lt;&gt;"")),$AF265,DATE(1900,1,1))</f>
        <v/>
      </c>
      <c r="AJ265" s="35">
        <f>IF($AH265&lt;&gt;"",$AH265,IF(AND($AO265&gt;0,$AD265&lt;&gt;"",$AE265&lt;&gt;""),$AG265,DATE(2100,12,31)))</f>
        <v/>
      </c>
      <c r="AK265" s="32">
        <f>IF($AH265="",$AC265,$AC265*$S265)</f>
        <v/>
      </c>
      <c r="AL265" s="35">
        <f>IF($AH265="",DATE(2100,12,31),$AH265+1)</f>
        <v/>
      </c>
      <c r="AM265" s="35">
        <f>IF($AH265="",DATE(1900,1,1),$AG265)</f>
        <v/>
      </c>
      <c r="AN265" s="32">
        <f>IF($AH265="",0,$AC265*$T265)</f>
        <v/>
      </c>
      <c r="AO265" s="46">
        <f>IF($C265="",0,IFERROR(INDEX(Deals!$BD$2:$BD$355,MATCH($C265,Deals!$A$2:$A$355,0)),0))</f>
        <v/>
      </c>
      <c r="AP265" s="18">
        <f>IF($AO265=0,0,IFERROR(INDEX(Deals!$BJ$2:$BP$355,MATCH($C265,Deals!$A$2:$A$355,0),MATCH($F265,Deals!$BJ$1:$BP$1,0))/COUNTIFS(Assignments!$C$2:$C$769,$C265,Assignments!$F$2:$F$769,$F265,Assignments!$G$2:$G$769,"Active"),0))</f>
        <v/>
      </c>
    </row>
    <row r="266">
      <c r="A266" s="28" t="inlineStr">
        <is>
          <t>Justine</t>
        </is>
      </c>
      <c r="B266" s="16">
        <f>IF($A266="","",IFERROR(INDEX(Roster!$B$2:$B$40,MATCH($A266,Roster!$A$2:$A$40,0)),"?"))</f>
        <v/>
      </c>
      <c r="C266" s="28" t="inlineStr">
        <is>
          <t>Zora_1</t>
        </is>
      </c>
      <c r="D266" s="16">
        <f>IF($C266="","",IFERROR(IF(INDEX(Deals!$C$2:$C$355,MATCH($C266,Deals!$A$2:$A$355,0))=0,"",INDEX(Deals!$C$2:$C$355,MATCH($C266,Deals!$A$2:$A$355,0))),"?"))</f>
        <v/>
      </c>
      <c r="E266" s="16">
        <f>IF($C266="","",IFERROR(INDEX(Deals!$F$2:$F$355,MATCH($C266,Deals!$A$2:$A$355,0)),"?"))</f>
        <v/>
      </c>
      <c r="F266" s="28" t="inlineStr">
        <is>
          <t>Director</t>
        </is>
      </c>
      <c r="G266" s="28" t="inlineStr">
        <is>
          <t>Inactive</t>
        </is>
      </c>
      <c r="H266" s="31" t="n"/>
      <c r="I266" s="32">
        <f>IF(OR($A266="",$G266&lt;&gt;"Active"),0,IF($H266&lt;&gt;"",$H266,IF($AO266&gt;0,$AP266,IF(AND($R266&lt;&gt;"",IFERROR(INDEX(Templates!$B$3:$H$10,MATCH($R266,Templates!$A$3:$A$10,0),MATCH($F266,Templates!$B$2:$H$2,0)),0)&gt;0),INDEX(Templates!$B$3:$H$10,MATCH($R266,Templates!$A$3:$A$10,0),MATCH($F266,Templates!$B$2:$H$2,0)),IFERROR(INDEX(Settings!$B$8:$B$14,MATCH($F266,Settings!$A$8:$A$14,0)),0)))))</f>
        <v/>
      </c>
      <c r="J266" s="21">
        <f>IF($C266="",0,IFERROR(INDEX(Deals!$H$2:$H$355,MATCH($C266,Deals!$A$2:$A$355,0)),0))</f>
        <v/>
      </c>
      <c r="K266" s="32">
        <f>IF(Settings!$B$4="Yes",$I266*$J266,$I266)</f>
        <v/>
      </c>
      <c r="L266" s="22">
        <f>IF($C266="","",IFERROR(IF(INDEX(Deals!$I$2:$I$355,MATCH($C266,Deals!$A$2:$A$355,0))=0,"",INDEX(Deals!$I$2:$I$355,MATCH($C266,Deals!$A$2:$A$355,0))),""))</f>
        <v/>
      </c>
      <c r="M266" s="22">
        <f>IF($C266="","",IFERROR(IF(INDEX(Deals!$J$2:$J$355,MATCH($C266,Deals!$A$2:$A$355,0))=0,"",INDEX(Deals!$J$2:$J$355,MATCH($C266,Deals!$A$2:$A$355,0))),""))</f>
        <v/>
      </c>
      <c r="N266" s="35">
        <f>IF($L266="",DATE(1900,1,1),$L266)</f>
        <v/>
      </c>
      <c r="O266" s="35">
        <f>IF($M266="",DATE(2100,12,31),$M266)</f>
        <v/>
      </c>
      <c r="P266" s="20" t="inlineStr">
        <is>
          <t>Dead</t>
        </is>
      </c>
      <c r="Q266" s="47" t="inlineStr"/>
      <c r="R266" s="16">
        <f>IF($C266="","",IFERROR(IF(INDEX(Deals!$U$2:$U$355,MATCH($C266,Deals!$A$2:$A$355,0))=0,"",INDEX(Deals!$U$2:$U$355,MATCH($C266,Deals!$A$2:$A$355,0))),""))</f>
        <v/>
      </c>
      <c r="S266" s="34">
        <f>IFERROR(IF($U266="",1,INDEX(Deals!$V$2:$V$355,MATCH($C266,Deals!$A$2:$A$355,0))),1)</f>
        <v/>
      </c>
      <c r="T266" s="34">
        <f>IFERROR(IF($U266="",1,INDEX(Deals!$W$2:$W$355,MATCH($C266,Deals!$A$2:$A$355,0))),1)</f>
        <v/>
      </c>
      <c r="U266" s="22">
        <f>IF($C266="","",IFERROR(IF(INDEX(Deals!$Y$2:$Y$355,MATCH($C266,Deals!$A$2:$A$355,0))=0,"",INDEX(Deals!$Y$2:$Y$355,MATCH($C266,Deals!$A$2:$A$355,0))),""))</f>
        <v/>
      </c>
      <c r="V266" s="35">
        <f>IF(OR($U266&lt;&gt;"",AND($AO266&gt;0,$L266&lt;&gt;"",$M266&lt;&gt;"")),$N266,DATE(1900,1,1))</f>
        <v/>
      </c>
      <c r="W266" s="35">
        <f>IF($U266&lt;&gt;"",$U266,IF(AND($AO266&gt;0,$L266&lt;&gt;"",$M266&lt;&gt;""),$O266,DATE(2100,12,31)))</f>
        <v/>
      </c>
      <c r="X266" s="32">
        <f>IF($U266="",$K266,$K266*$S266)</f>
        <v/>
      </c>
      <c r="Y266" s="35">
        <f>IF($U266="",DATE(2100,12,31),$U266+1)</f>
        <v/>
      </c>
      <c r="Z266" s="35">
        <f>IF($U266="",DATE(1900,1,1),$O266)</f>
        <v/>
      </c>
      <c r="AA266" s="32">
        <f>IF($U266="",0,$K266*$T266)</f>
        <v/>
      </c>
      <c r="AB266" s="21">
        <f>IF($C266="",0,IFERROR(INDEX(Deals!$AD$2:$AD$355,MATCH($C266,Deals!$A$2:$A$355,0)),0))</f>
        <v/>
      </c>
      <c r="AC266" s="32">
        <f>IF(Settings!$B$4="Yes",$I266*$AB266,$I266)</f>
        <v/>
      </c>
      <c r="AD266" s="22">
        <f>IF($C266="","",IFERROR(IF(INDEX(Deals!$AE$2:$AE$355,MATCH($C266,Deals!$A$2:$A$355,0))=0,"",INDEX(Deals!$AE$2:$AE$355,MATCH($C266,Deals!$A$2:$A$355,0))),""))</f>
        <v/>
      </c>
      <c r="AE266" s="22">
        <f>IF($C266="","",IFERROR(IF(INDEX(Deals!$AF$2:$AF$355,MATCH($C266,Deals!$A$2:$A$355,0))=0,"",INDEX(Deals!$AF$2:$AF$355,MATCH($C266,Deals!$A$2:$A$355,0))),""))</f>
        <v/>
      </c>
      <c r="AF266" s="35">
        <f>IF($AD266="",DATE(1900,1,1),$AD266)</f>
        <v/>
      </c>
      <c r="AG266" s="35">
        <f>IF($AE266="",DATE(2100,12,31),$AE266)</f>
        <v/>
      </c>
      <c r="AH266" s="22">
        <f>IF($C266="","",IFERROR(IF(INDEX(Deals!$AG$2:$AG$355,MATCH($C266,Deals!$A$2:$A$355,0))=0,"",INDEX(Deals!$AG$2:$AG$355,MATCH($C266,Deals!$A$2:$A$355,0))),""))</f>
        <v/>
      </c>
      <c r="AI266" s="35">
        <f>IF(OR($AH266&lt;&gt;"",AND($AO266&gt;0,$AD266&lt;&gt;"",$AE266&lt;&gt;"")),$AF266,DATE(1900,1,1))</f>
        <v/>
      </c>
      <c r="AJ266" s="35">
        <f>IF($AH266&lt;&gt;"",$AH266,IF(AND($AO266&gt;0,$AD266&lt;&gt;"",$AE266&lt;&gt;""),$AG266,DATE(2100,12,31)))</f>
        <v/>
      </c>
      <c r="AK266" s="32">
        <f>IF($AH266="",$AC266,$AC266*$S266)</f>
        <v/>
      </c>
      <c r="AL266" s="35">
        <f>IF($AH266="",DATE(2100,12,31),$AH266+1)</f>
        <v/>
      </c>
      <c r="AM266" s="35">
        <f>IF($AH266="",DATE(1900,1,1),$AG266)</f>
        <v/>
      </c>
      <c r="AN266" s="32">
        <f>IF($AH266="",0,$AC266*$T266)</f>
        <v/>
      </c>
      <c r="AO266" s="46">
        <f>IF($C266="",0,IFERROR(INDEX(Deals!$BD$2:$BD$355,MATCH($C266,Deals!$A$2:$A$355,0)),0))</f>
        <v/>
      </c>
      <c r="AP266" s="18">
        <f>IF($AO266=0,0,IFERROR(INDEX(Deals!$BJ$2:$BP$355,MATCH($C266,Deals!$A$2:$A$355,0),MATCH($F266,Deals!$BJ$1:$BP$1,0))/COUNTIFS(Assignments!$C$2:$C$769,$C266,Assignments!$F$2:$F$769,$F266,Assignments!$G$2:$G$769,"Active"),0))</f>
        <v/>
      </c>
    </row>
    <row r="267">
      <c r="A267" s="28" t="inlineStr">
        <is>
          <t>Kyle Risser</t>
        </is>
      </c>
      <c r="B267" s="16">
        <f>IF($A267="","",IFERROR(INDEX(Roster!$B$2:$B$40,MATCH($A267,Roster!$A$2:$A$40,0)),"?"))</f>
        <v/>
      </c>
      <c r="C267" s="28" t="inlineStr">
        <is>
          <t>Ace_2</t>
        </is>
      </c>
      <c r="D267" s="16">
        <f>IF($C267="","",IFERROR(IF(INDEX(Deals!$C$2:$C$355,MATCH($C267,Deals!$A$2:$A$355,0))=0,"",INDEX(Deals!$C$2:$C$355,MATCH($C267,Deals!$A$2:$A$355,0))),"?"))</f>
        <v/>
      </c>
      <c r="E267" s="16">
        <f>IF($C267="","",IFERROR(INDEX(Deals!$F$2:$F$355,MATCH($C267,Deals!$A$2:$A$355,0)),"?"))</f>
        <v/>
      </c>
      <c r="F267" s="28" t="inlineStr">
        <is>
          <t>Director</t>
        </is>
      </c>
      <c r="G267" s="28" t="inlineStr">
        <is>
          <t>Active</t>
        </is>
      </c>
      <c r="H267" s="31" t="n"/>
      <c r="I267" s="32">
        <f>IF(OR($A267="",$G267&lt;&gt;"Active"),0,IF($H267&lt;&gt;"",$H267,IF($AO267&gt;0,$AP267,IF(AND($R267&lt;&gt;"",IFERROR(INDEX(Templates!$B$3:$H$10,MATCH($R267,Templates!$A$3:$A$10,0),MATCH($F267,Templates!$B$2:$H$2,0)),0)&gt;0),INDEX(Templates!$B$3:$H$10,MATCH($R267,Templates!$A$3:$A$10,0),MATCH($F267,Templates!$B$2:$H$2,0)),IFERROR(INDEX(Settings!$B$8:$B$14,MATCH($F267,Settings!$A$8:$A$14,0)),0)))))</f>
        <v/>
      </c>
      <c r="J267" s="21">
        <f>IF($C267="",0,IFERROR(INDEX(Deals!$H$2:$H$355,MATCH($C267,Deals!$A$2:$A$355,0)),0))</f>
        <v/>
      </c>
      <c r="K267" s="32">
        <f>IF(Settings!$B$4="Yes",$I267*$J267,$I267)</f>
        <v/>
      </c>
      <c r="L267" s="22">
        <f>IF($C267="","",IFERROR(IF(INDEX(Deals!$I$2:$I$355,MATCH($C267,Deals!$A$2:$A$355,0))=0,"",INDEX(Deals!$I$2:$I$355,MATCH($C267,Deals!$A$2:$A$355,0))),""))</f>
        <v/>
      </c>
      <c r="M267" s="22">
        <f>IF($C267="","",IFERROR(IF(INDEX(Deals!$J$2:$J$355,MATCH($C267,Deals!$A$2:$A$355,0))=0,"",INDEX(Deals!$J$2:$J$355,MATCH($C267,Deals!$A$2:$A$355,0))),""))</f>
        <v/>
      </c>
      <c r="N267" s="35">
        <f>IF($L267="",DATE(1900,1,1),$L267)</f>
        <v/>
      </c>
      <c r="O267" s="35">
        <f>IF($M267="",DATE(2100,12,31),$M267)</f>
        <v/>
      </c>
      <c r="P267" s="20" t="inlineStr"/>
      <c r="Q267" s="47" t="inlineStr"/>
      <c r="R267" s="16">
        <f>IF($C267="","",IFERROR(IF(INDEX(Deals!$U$2:$U$355,MATCH($C267,Deals!$A$2:$A$355,0))=0,"",INDEX(Deals!$U$2:$U$355,MATCH($C267,Deals!$A$2:$A$355,0))),""))</f>
        <v/>
      </c>
      <c r="S267" s="34">
        <f>IFERROR(IF($U267="",1,INDEX(Deals!$V$2:$V$355,MATCH($C267,Deals!$A$2:$A$355,0))),1)</f>
        <v/>
      </c>
      <c r="T267" s="34">
        <f>IFERROR(IF($U267="",1,INDEX(Deals!$W$2:$W$355,MATCH($C267,Deals!$A$2:$A$355,0))),1)</f>
        <v/>
      </c>
      <c r="U267" s="22">
        <f>IF($C267="","",IFERROR(IF(INDEX(Deals!$Y$2:$Y$355,MATCH($C267,Deals!$A$2:$A$355,0))=0,"",INDEX(Deals!$Y$2:$Y$355,MATCH($C267,Deals!$A$2:$A$355,0))),""))</f>
        <v/>
      </c>
      <c r="V267" s="35">
        <f>IF(OR($U267&lt;&gt;"",AND($AO267&gt;0,$L267&lt;&gt;"",$M267&lt;&gt;"")),$N267,DATE(1900,1,1))</f>
        <v/>
      </c>
      <c r="W267" s="35">
        <f>IF($U267&lt;&gt;"",$U267,IF(AND($AO267&gt;0,$L267&lt;&gt;"",$M267&lt;&gt;""),$O267,DATE(2100,12,31)))</f>
        <v/>
      </c>
      <c r="X267" s="32">
        <f>IF($U267="",$K267,$K267*$S267)</f>
        <v/>
      </c>
      <c r="Y267" s="35">
        <f>IF($U267="",DATE(2100,12,31),$U267+1)</f>
        <v/>
      </c>
      <c r="Z267" s="35">
        <f>IF($U267="",DATE(1900,1,1),$O267)</f>
        <v/>
      </c>
      <c r="AA267" s="32">
        <f>IF($U267="",0,$K267*$T267)</f>
        <v/>
      </c>
      <c r="AB267" s="21">
        <f>IF($C267="",0,IFERROR(INDEX(Deals!$AD$2:$AD$355,MATCH($C267,Deals!$A$2:$A$355,0)),0))</f>
        <v/>
      </c>
      <c r="AC267" s="32">
        <f>IF(Settings!$B$4="Yes",$I267*$AB267,$I267)</f>
        <v/>
      </c>
      <c r="AD267" s="22">
        <f>IF($C267="","",IFERROR(IF(INDEX(Deals!$AE$2:$AE$355,MATCH($C267,Deals!$A$2:$A$355,0))=0,"",INDEX(Deals!$AE$2:$AE$355,MATCH($C267,Deals!$A$2:$A$355,0))),""))</f>
        <v/>
      </c>
      <c r="AE267" s="22">
        <f>IF($C267="","",IFERROR(IF(INDEX(Deals!$AF$2:$AF$355,MATCH($C267,Deals!$A$2:$A$355,0))=0,"",INDEX(Deals!$AF$2:$AF$355,MATCH($C267,Deals!$A$2:$A$355,0))),""))</f>
        <v/>
      </c>
      <c r="AF267" s="35">
        <f>IF($AD267="",DATE(1900,1,1),$AD267)</f>
        <v/>
      </c>
      <c r="AG267" s="35">
        <f>IF($AE267="",DATE(2100,12,31),$AE267)</f>
        <v/>
      </c>
      <c r="AH267" s="22">
        <f>IF($C267="","",IFERROR(IF(INDEX(Deals!$AG$2:$AG$355,MATCH($C267,Deals!$A$2:$A$355,0))=0,"",INDEX(Deals!$AG$2:$AG$355,MATCH($C267,Deals!$A$2:$A$355,0))),""))</f>
        <v/>
      </c>
      <c r="AI267" s="35">
        <f>IF(OR($AH267&lt;&gt;"",AND($AO267&gt;0,$AD267&lt;&gt;"",$AE267&lt;&gt;"")),$AF267,DATE(1900,1,1))</f>
        <v/>
      </c>
      <c r="AJ267" s="35">
        <f>IF($AH267&lt;&gt;"",$AH267,IF(AND($AO267&gt;0,$AD267&lt;&gt;"",$AE267&lt;&gt;""),$AG267,DATE(2100,12,31)))</f>
        <v/>
      </c>
      <c r="AK267" s="32">
        <f>IF($AH267="",$AC267,$AC267*$S267)</f>
        <v/>
      </c>
      <c r="AL267" s="35">
        <f>IF($AH267="",DATE(2100,12,31),$AH267+1)</f>
        <v/>
      </c>
      <c r="AM267" s="35">
        <f>IF($AH267="",DATE(1900,1,1),$AG267)</f>
        <v/>
      </c>
      <c r="AN267" s="32">
        <f>IF($AH267="",0,$AC267*$T267)</f>
        <v/>
      </c>
      <c r="AO267" s="46">
        <f>IF($C267="",0,IFERROR(INDEX(Deals!$BD$2:$BD$355,MATCH($C267,Deals!$A$2:$A$355,0)),0))</f>
        <v/>
      </c>
      <c r="AP267" s="18">
        <f>IF($AO267=0,0,IFERROR(INDEX(Deals!$BJ$2:$BP$355,MATCH($C267,Deals!$A$2:$A$355,0),MATCH($F267,Deals!$BJ$1:$BP$1,0))/COUNTIFS(Assignments!$C$2:$C$769,$C267,Assignments!$F$2:$F$769,$F267,Assignments!$G$2:$G$769,"Active"),0))</f>
        <v/>
      </c>
    </row>
    <row r="268">
      <c r="A268" s="28" t="inlineStr">
        <is>
          <t>Kyle Risser</t>
        </is>
      </c>
      <c r="B268" s="16">
        <f>IF($A268="","",IFERROR(INDEX(Roster!$B$2:$B$40,MATCH($A268,Roster!$A$2:$A$40,0)),"?"))</f>
        <v/>
      </c>
      <c r="C268" s="28" t="inlineStr">
        <is>
          <t>Copia_3</t>
        </is>
      </c>
      <c r="D268" s="16">
        <f>IF($C268="","",IFERROR(IF(INDEX(Deals!$C$2:$C$355,MATCH($C268,Deals!$A$2:$A$355,0))=0,"",INDEX(Deals!$C$2:$C$355,MATCH($C268,Deals!$A$2:$A$355,0))),"?"))</f>
        <v/>
      </c>
      <c r="E268" s="16">
        <f>IF($C268="","",IFERROR(INDEX(Deals!$F$2:$F$355,MATCH($C268,Deals!$A$2:$A$355,0)),"?"))</f>
        <v/>
      </c>
      <c r="F268" s="28" t="inlineStr">
        <is>
          <t>Director</t>
        </is>
      </c>
      <c r="G268" s="28" t="inlineStr">
        <is>
          <t>Active</t>
        </is>
      </c>
      <c r="H268" s="31" t="n"/>
      <c r="I268" s="32">
        <f>IF(OR($A268="",$G268&lt;&gt;"Active"),0,IF($H268&lt;&gt;"",$H268,IF($AO268&gt;0,$AP268,IF(AND($R268&lt;&gt;"",IFERROR(INDEX(Templates!$B$3:$H$10,MATCH($R268,Templates!$A$3:$A$10,0),MATCH($F268,Templates!$B$2:$H$2,0)),0)&gt;0),INDEX(Templates!$B$3:$H$10,MATCH($R268,Templates!$A$3:$A$10,0),MATCH($F268,Templates!$B$2:$H$2,0)),IFERROR(INDEX(Settings!$B$8:$B$14,MATCH($F268,Settings!$A$8:$A$14,0)),0)))))</f>
        <v/>
      </c>
      <c r="J268" s="21">
        <f>IF($C268="",0,IFERROR(INDEX(Deals!$H$2:$H$355,MATCH($C268,Deals!$A$2:$A$355,0)),0))</f>
        <v/>
      </c>
      <c r="K268" s="32">
        <f>IF(Settings!$B$4="Yes",$I268*$J268,$I268)</f>
        <v/>
      </c>
      <c r="L268" s="22">
        <f>IF($C268="","",IFERROR(IF(INDEX(Deals!$I$2:$I$355,MATCH($C268,Deals!$A$2:$A$355,0))=0,"",INDEX(Deals!$I$2:$I$355,MATCH($C268,Deals!$A$2:$A$355,0))),""))</f>
        <v/>
      </c>
      <c r="M268" s="22">
        <f>IF($C268="","",IFERROR(IF(INDEX(Deals!$J$2:$J$355,MATCH($C268,Deals!$A$2:$A$355,0))=0,"",INDEX(Deals!$J$2:$J$355,MATCH($C268,Deals!$A$2:$A$355,0))),""))</f>
        <v/>
      </c>
      <c r="N268" s="35">
        <f>IF($L268="",DATE(1900,1,1),$L268)</f>
        <v/>
      </c>
      <c r="O268" s="35">
        <f>IF($M268="",DATE(2100,12,31),$M268)</f>
        <v/>
      </c>
      <c r="P268" s="20" t="inlineStr"/>
      <c r="Q268" s="47" t="inlineStr"/>
      <c r="R268" s="16">
        <f>IF($C268="","",IFERROR(IF(INDEX(Deals!$U$2:$U$355,MATCH($C268,Deals!$A$2:$A$355,0))=0,"",INDEX(Deals!$U$2:$U$355,MATCH($C268,Deals!$A$2:$A$355,0))),""))</f>
        <v/>
      </c>
      <c r="S268" s="34">
        <f>IFERROR(IF($U268="",1,INDEX(Deals!$V$2:$V$355,MATCH($C268,Deals!$A$2:$A$355,0))),1)</f>
        <v/>
      </c>
      <c r="T268" s="34">
        <f>IFERROR(IF($U268="",1,INDEX(Deals!$W$2:$W$355,MATCH($C268,Deals!$A$2:$A$355,0))),1)</f>
        <v/>
      </c>
      <c r="U268" s="22">
        <f>IF($C268="","",IFERROR(IF(INDEX(Deals!$Y$2:$Y$355,MATCH($C268,Deals!$A$2:$A$355,0))=0,"",INDEX(Deals!$Y$2:$Y$355,MATCH($C268,Deals!$A$2:$A$355,0))),""))</f>
        <v/>
      </c>
      <c r="V268" s="35">
        <f>IF(OR($U268&lt;&gt;"",AND($AO268&gt;0,$L268&lt;&gt;"",$M268&lt;&gt;"")),$N268,DATE(1900,1,1))</f>
        <v/>
      </c>
      <c r="W268" s="35">
        <f>IF($U268&lt;&gt;"",$U268,IF(AND($AO268&gt;0,$L268&lt;&gt;"",$M268&lt;&gt;""),$O268,DATE(2100,12,31)))</f>
        <v/>
      </c>
      <c r="X268" s="32">
        <f>IF($U268="",$K268,$K268*$S268)</f>
        <v/>
      </c>
      <c r="Y268" s="35">
        <f>IF($U268="",DATE(2100,12,31),$U268+1)</f>
        <v/>
      </c>
      <c r="Z268" s="35">
        <f>IF($U268="",DATE(1900,1,1),$O268)</f>
        <v/>
      </c>
      <c r="AA268" s="32">
        <f>IF($U268="",0,$K268*$T268)</f>
        <v/>
      </c>
      <c r="AB268" s="21">
        <f>IF($C268="",0,IFERROR(INDEX(Deals!$AD$2:$AD$355,MATCH($C268,Deals!$A$2:$A$355,0)),0))</f>
        <v/>
      </c>
      <c r="AC268" s="32">
        <f>IF(Settings!$B$4="Yes",$I268*$AB268,$I268)</f>
        <v/>
      </c>
      <c r="AD268" s="22">
        <f>IF($C268="","",IFERROR(IF(INDEX(Deals!$AE$2:$AE$355,MATCH($C268,Deals!$A$2:$A$355,0))=0,"",INDEX(Deals!$AE$2:$AE$355,MATCH($C268,Deals!$A$2:$A$355,0))),""))</f>
        <v/>
      </c>
      <c r="AE268" s="22">
        <f>IF($C268="","",IFERROR(IF(INDEX(Deals!$AF$2:$AF$355,MATCH($C268,Deals!$A$2:$A$355,0))=0,"",INDEX(Deals!$AF$2:$AF$355,MATCH($C268,Deals!$A$2:$A$355,0))),""))</f>
        <v/>
      </c>
      <c r="AF268" s="35">
        <f>IF($AD268="",DATE(1900,1,1),$AD268)</f>
        <v/>
      </c>
      <c r="AG268" s="35">
        <f>IF($AE268="",DATE(2100,12,31),$AE268)</f>
        <v/>
      </c>
      <c r="AH268" s="22">
        <f>IF($C268="","",IFERROR(IF(INDEX(Deals!$AG$2:$AG$355,MATCH($C268,Deals!$A$2:$A$355,0))=0,"",INDEX(Deals!$AG$2:$AG$355,MATCH($C268,Deals!$A$2:$A$355,0))),""))</f>
        <v/>
      </c>
      <c r="AI268" s="35">
        <f>IF(OR($AH268&lt;&gt;"",AND($AO268&gt;0,$AD268&lt;&gt;"",$AE268&lt;&gt;"")),$AF268,DATE(1900,1,1))</f>
        <v/>
      </c>
      <c r="AJ268" s="35">
        <f>IF($AH268&lt;&gt;"",$AH268,IF(AND($AO268&gt;0,$AD268&lt;&gt;"",$AE268&lt;&gt;""),$AG268,DATE(2100,12,31)))</f>
        <v/>
      </c>
      <c r="AK268" s="32">
        <f>IF($AH268="",$AC268,$AC268*$S268)</f>
        <v/>
      </c>
      <c r="AL268" s="35">
        <f>IF($AH268="",DATE(2100,12,31),$AH268+1)</f>
        <v/>
      </c>
      <c r="AM268" s="35">
        <f>IF($AH268="",DATE(1900,1,1),$AG268)</f>
        <v/>
      </c>
      <c r="AN268" s="32">
        <f>IF($AH268="",0,$AC268*$T268)</f>
        <v/>
      </c>
      <c r="AO268" s="46">
        <f>IF($C268="",0,IFERROR(INDEX(Deals!$BD$2:$BD$355,MATCH($C268,Deals!$A$2:$A$355,0)),0))</f>
        <v/>
      </c>
      <c r="AP268" s="18">
        <f>IF($AO268=0,0,IFERROR(INDEX(Deals!$BJ$2:$BP$355,MATCH($C268,Deals!$A$2:$A$355,0),MATCH($F268,Deals!$BJ$1:$BP$1,0))/COUNTIFS(Assignments!$C$2:$C$769,$C268,Assignments!$F$2:$F$769,$F268,Assignments!$G$2:$G$769,"Active"),0))</f>
        <v/>
      </c>
    </row>
    <row r="269">
      <c r="A269" s="28" t="inlineStr">
        <is>
          <t>Kyle Risser</t>
        </is>
      </c>
      <c r="B269" s="16">
        <f>IF($A269="","",IFERROR(INDEX(Roster!$B$2:$B$40,MATCH($A269,Roster!$A$2:$A$40,0)),"?"))</f>
        <v/>
      </c>
      <c r="C269" s="28" t="inlineStr">
        <is>
          <t>CopiaAdHoc_1</t>
        </is>
      </c>
      <c r="D269" s="16">
        <f>IF($C269="","",IFERROR(IF(INDEX(Deals!$C$2:$C$355,MATCH($C269,Deals!$A$2:$A$355,0))=0,"",INDEX(Deals!$C$2:$C$355,MATCH($C269,Deals!$A$2:$A$355,0))),"?"))</f>
        <v/>
      </c>
      <c r="E269" s="16">
        <f>IF($C269="","",IFERROR(INDEX(Deals!$F$2:$F$355,MATCH($C269,Deals!$A$2:$A$355,0)),"?"))</f>
        <v/>
      </c>
      <c r="F269" s="28" t="inlineStr">
        <is>
          <t>Director</t>
        </is>
      </c>
      <c r="G269" s="28" t="inlineStr">
        <is>
          <t>Active</t>
        </is>
      </c>
      <c r="H269" s="31" t="n"/>
      <c r="I269" s="32">
        <f>IF(OR($A269="",$G269&lt;&gt;"Active"),0,IF($H269&lt;&gt;"",$H269,IF($AO269&gt;0,$AP269,IF(AND($R269&lt;&gt;"",IFERROR(INDEX(Templates!$B$3:$H$10,MATCH($R269,Templates!$A$3:$A$10,0),MATCH($F269,Templates!$B$2:$H$2,0)),0)&gt;0),INDEX(Templates!$B$3:$H$10,MATCH($R269,Templates!$A$3:$A$10,0),MATCH($F269,Templates!$B$2:$H$2,0)),IFERROR(INDEX(Settings!$B$8:$B$14,MATCH($F269,Settings!$A$8:$A$14,0)),0)))))</f>
        <v/>
      </c>
      <c r="J269" s="21">
        <f>IF($C269="",0,IFERROR(INDEX(Deals!$H$2:$H$355,MATCH($C269,Deals!$A$2:$A$355,0)),0))</f>
        <v/>
      </c>
      <c r="K269" s="32">
        <f>IF(Settings!$B$4="Yes",$I269*$J269,$I269)</f>
        <v/>
      </c>
      <c r="L269" s="22">
        <f>IF($C269="","",IFERROR(IF(INDEX(Deals!$I$2:$I$355,MATCH($C269,Deals!$A$2:$A$355,0))=0,"",INDEX(Deals!$I$2:$I$355,MATCH($C269,Deals!$A$2:$A$355,0))),""))</f>
        <v/>
      </c>
      <c r="M269" s="22">
        <f>IF($C269="","",IFERROR(IF(INDEX(Deals!$J$2:$J$355,MATCH($C269,Deals!$A$2:$A$355,0))=0,"",INDEX(Deals!$J$2:$J$355,MATCH($C269,Deals!$A$2:$A$355,0))),""))</f>
        <v/>
      </c>
      <c r="N269" s="35">
        <f>IF($L269="",DATE(1900,1,1),$L269)</f>
        <v/>
      </c>
      <c r="O269" s="35">
        <f>IF($M269="",DATE(2100,12,31),$M269)</f>
        <v/>
      </c>
      <c r="P269" s="20" t="inlineStr"/>
      <c r="Q269" s="47" t="inlineStr"/>
      <c r="R269" s="16">
        <f>IF($C269="","",IFERROR(IF(INDEX(Deals!$U$2:$U$355,MATCH($C269,Deals!$A$2:$A$355,0))=0,"",INDEX(Deals!$U$2:$U$355,MATCH($C269,Deals!$A$2:$A$355,0))),""))</f>
        <v/>
      </c>
      <c r="S269" s="34">
        <f>IFERROR(IF($U269="",1,INDEX(Deals!$V$2:$V$355,MATCH($C269,Deals!$A$2:$A$355,0))),1)</f>
        <v/>
      </c>
      <c r="T269" s="34">
        <f>IFERROR(IF($U269="",1,INDEX(Deals!$W$2:$W$355,MATCH($C269,Deals!$A$2:$A$355,0))),1)</f>
        <v/>
      </c>
      <c r="U269" s="22">
        <f>IF($C269="","",IFERROR(IF(INDEX(Deals!$Y$2:$Y$355,MATCH($C269,Deals!$A$2:$A$355,0))=0,"",INDEX(Deals!$Y$2:$Y$355,MATCH($C269,Deals!$A$2:$A$355,0))),""))</f>
        <v/>
      </c>
      <c r="V269" s="35">
        <f>IF(OR($U269&lt;&gt;"",AND($AO269&gt;0,$L269&lt;&gt;"",$M269&lt;&gt;"")),$N269,DATE(1900,1,1))</f>
        <v/>
      </c>
      <c r="W269" s="35">
        <f>IF($U269&lt;&gt;"",$U269,IF(AND($AO269&gt;0,$L269&lt;&gt;"",$M269&lt;&gt;""),$O269,DATE(2100,12,31)))</f>
        <v/>
      </c>
      <c r="X269" s="32">
        <f>IF($U269="",$K269,$K269*$S269)</f>
        <v/>
      </c>
      <c r="Y269" s="35">
        <f>IF($U269="",DATE(2100,12,31),$U269+1)</f>
        <v/>
      </c>
      <c r="Z269" s="35">
        <f>IF($U269="",DATE(1900,1,1),$O269)</f>
        <v/>
      </c>
      <c r="AA269" s="32">
        <f>IF($U269="",0,$K269*$T269)</f>
        <v/>
      </c>
      <c r="AB269" s="21">
        <f>IF($C269="",0,IFERROR(INDEX(Deals!$AD$2:$AD$355,MATCH($C269,Deals!$A$2:$A$355,0)),0))</f>
        <v/>
      </c>
      <c r="AC269" s="32">
        <f>IF(Settings!$B$4="Yes",$I269*$AB269,$I269)</f>
        <v/>
      </c>
      <c r="AD269" s="22">
        <f>IF($C269="","",IFERROR(IF(INDEX(Deals!$AE$2:$AE$355,MATCH($C269,Deals!$A$2:$A$355,0))=0,"",INDEX(Deals!$AE$2:$AE$355,MATCH($C269,Deals!$A$2:$A$355,0))),""))</f>
        <v/>
      </c>
      <c r="AE269" s="22">
        <f>IF($C269="","",IFERROR(IF(INDEX(Deals!$AF$2:$AF$355,MATCH($C269,Deals!$A$2:$A$355,0))=0,"",INDEX(Deals!$AF$2:$AF$355,MATCH($C269,Deals!$A$2:$A$355,0))),""))</f>
        <v/>
      </c>
      <c r="AF269" s="35">
        <f>IF($AD269="",DATE(1900,1,1),$AD269)</f>
        <v/>
      </c>
      <c r="AG269" s="35">
        <f>IF($AE269="",DATE(2100,12,31),$AE269)</f>
        <v/>
      </c>
      <c r="AH269" s="22">
        <f>IF($C269="","",IFERROR(IF(INDEX(Deals!$AG$2:$AG$355,MATCH($C269,Deals!$A$2:$A$355,0))=0,"",INDEX(Deals!$AG$2:$AG$355,MATCH($C269,Deals!$A$2:$A$355,0))),""))</f>
        <v/>
      </c>
      <c r="AI269" s="35">
        <f>IF(OR($AH269&lt;&gt;"",AND($AO269&gt;0,$AD269&lt;&gt;"",$AE269&lt;&gt;"")),$AF269,DATE(1900,1,1))</f>
        <v/>
      </c>
      <c r="AJ269" s="35">
        <f>IF($AH269&lt;&gt;"",$AH269,IF(AND($AO269&gt;0,$AD269&lt;&gt;"",$AE269&lt;&gt;""),$AG269,DATE(2100,12,31)))</f>
        <v/>
      </c>
      <c r="AK269" s="32">
        <f>IF($AH269="",$AC269,$AC269*$S269)</f>
        <v/>
      </c>
      <c r="AL269" s="35">
        <f>IF($AH269="",DATE(2100,12,31),$AH269+1)</f>
        <v/>
      </c>
      <c r="AM269" s="35">
        <f>IF($AH269="",DATE(1900,1,1),$AG269)</f>
        <v/>
      </c>
      <c r="AN269" s="32">
        <f>IF($AH269="",0,$AC269*$T269)</f>
        <v/>
      </c>
      <c r="AO269" s="46">
        <f>IF($C269="",0,IFERROR(INDEX(Deals!$BD$2:$BD$355,MATCH($C269,Deals!$A$2:$A$355,0)),0))</f>
        <v/>
      </c>
      <c r="AP269" s="18">
        <f>IF($AO269=0,0,IFERROR(INDEX(Deals!$BJ$2:$BP$355,MATCH($C269,Deals!$A$2:$A$355,0),MATCH($F269,Deals!$BJ$1:$BP$1,0))/COUNTIFS(Assignments!$C$2:$C$769,$C269,Assignments!$F$2:$F$769,$F269,Assignments!$G$2:$G$769,"Active"),0))</f>
        <v/>
      </c>
    </row>
    <row r="270">
      <c r="A270" s="28" t="inlineStr">
        <is>
          <t>Kyle Risser</t>
        </is>
      </c>
      <c r="B270" s="16">
        <f>IF($A270="","",IFERROR(INDEX(Roster!$B$2:$B$40,MATCH($A270,Roster!$A$2:$A$40,0)),"?"))</f>
        <v/>
      </c>
      <c r="C270" s="28" t="inlineStr">
        <is>
          <t>Denali_3</t>
        </is>
      </c>
      <c r="D270" s="16">
        <f>IF($C270="","",IFERROR(IF(INDEX(Deals!$C$2:$C$355,MATCH($C270,Deals!$A$2:$A$355,0))=0,"",INDEX(Deals!$C$2:$C$355,MATCH($C270,Deals!$A$2:$A$355,0))),"?"))</f>
        <v/>
      </c>
      <c r="E270" s="16">
        <f>IF($C270="","",IFERROR(INDEX(Deals!$F$2:$F$355,MATCH($C270,Deals!$A$2:$A$355,0)),"?"))</f>
        <v/>
      </c>
      <c r="F270" s="28" t="inlineStr">
        <is>
          <t>Director</t>
        </is>
      </c>
      <c r="G270" s="28" t="inlineStr">
        <is>
          <t>Active</t>
        </is>
      </c>
      <c r="H270" s="31" t="n"/>
      <c r="I270" s="32">
        <f>IF(OR($A270="",$G270&lt;&gt;"Active"),0,IF($H270&lt;&gt;"",$H270,IF($AO270&gt;0,$AP270,IF(AND($R270&lt;&gt;"",IFERROR(INDEX(Templates!$B$3:$H$10,MATCH($R270,Templates!$A$3:$A$10,0),MATCH($F270,Templates!$B$2:$H$2,0)),0)&gt;0),INDEX(Templates!$B$3:$H$10,MATCH($R270,Templates!$A$3:$A$10,0),MATCH($F270,Templates!$B$2:$H$2,0)),IFERROR(INDEX(Settings!$B$8:$B$14,MATCH($F270,Settings!$A$8:$A$14,0)),0)))))</f>
        <v/>
      </c>
      <c r="J270" s="21">
        <f>IF($C270="",0,IFERROR(INDEX(Deals!$H$2:$H$355,MATCH($C270,Deals!$A$2:$A$355,0)),0))</f>
        <v/>
      </c>
      <c r="K270" s="32">
        <f>IF(Settings!$B$4="Yes",$I270*$J270,$I270)</f>
        <v/>
      </c>
      <c r="L270" s="22">
        <f>IF($C270="","",IFERROR(IF(INDEX(Deals!$I$2:$I$355,MATCH($C270,Deals!$A$2:$A$355,0))=0,"",INDEX(Deals!$I$2:$I$355,MATCH($C270,Deals!$A$2:$A$355,0))),""))</f>
        <v/>
      </c>
      <c r="M270" s="22">
        <f>IF($C270="","",IFERROR(IF(INDEX(Deals!$J$2:$J$355,MATCH($C270,Deals!$A$2:$A$355,0))=0,"",INDEX(Deals!$J$2:$J$355,MATCH($C270,Deals!$A$2:$A$355,0))),""))</f>
        <v/>
      </c>
      <c r="N270" s="35">
        <f>IF($L270="",DATE(1900,1,1),$L270)</f>
        <v/>
      </c>
      <c r="O270" s="35">
        <f>IF($M270="",DATE(2100,12,31),$M270)</f>
        <v/>
      </c>
      <c r="P270" s="20" t="inlineStr"/>
      <c r="Q270" s="47" t="inlineStr"/>
      <c r="R270" s="16">
        <f>IF($C270="","",IFERROR(IF(INDEX(Deals!$U$2:$U$355,MATCH($C270,Deals!$A$2:$A$355,0))=0,"",INDEX(Deals!$U$2:$U$355,MATCH($C270,Deals!$A$2:$A$355,0))),""))</f>
        <v/>
      </c>
      <c r="S270" s="34">
        <f>IFERROR(IF($U270="",1,INDEX(Deals!$V$2:$V$355,MATCH($C270,Deals!$A$2:$A$355,0))),1)</f>
        <v/>
      </c>
      <c r="T270" s="34">
        <f>IFERROR(IF($U270="",1,INDEX(Deals!$W$2:$W$355,MATCH($C270,Deals!$A$2:$A$355,0))),1)</f>
        <v/>
      </c>
      <c r="U270" s="22">
        <f>IF($C270="","",IFERROR(IF(INDEX(Deals!$Y$2:$Y$355,MATCH($C270,Deals!$A$2:$A$355,0))=0,"",INDEX(Deals!$Y$2:$Y$355,MATCH($C270,Deals!$A$2:$A$355,0))),""))</f>
        <v/>
      </c>
      <c r="V270" s="35">
        <f>IF(OR($U270&lt;&gt;"",AND($AO270&gt;0,$L270&lt;&gt;"",$M270&lt;&gt;"")),$N270,DATE(1900,1,1))</f>
        <v/>
      </c>
      <c r="W270" s="35">
        <f>IF($U270&lt;&gt;"",$U270,IF(AND($AO270&gt;0,$L270&lt;&gt;"",$M270&lt;&gt;""),$O270,DATE(2100,12,31)))</f>
        <v/>
      </c>
      <c r="X270" s="32">
        <f>IF($U270="",$K270,$K270*$S270)</f>
        <v/>
      </c>
      <c r="Y270" s="35">
        <f>IF($U270="",DATE(2100,12,31),$U270+1)</f>
        <v/>
      </c>
      <c r="Z270" s="35">
        <f>IF($U270="",DATE(1900,1,1),$O270)</f>
        <v/>
      </c>
      <c r="AA270" s="32">
        <f>IF($U270="",0,$K270*$T270)</f>
        <v/>
      </c>
      <c r="AB270" s="21">
        <f>IF($C270="",0,IFERROR(INDEX(Deals!$AD$2:$AD$355,MATCH($C270,Deals!$A$2:$A$355,0)),0))</f>
        <v/>
      </c>
      <c r="AC270" s="32">
        <f>IF(Settings!$B$4="Yes",$I270*$AB270,$I270)</f>
        <v/>
      </c>
      <c r="AD270" s="22">
        <f>IF($C270="","",IFERROR(IF(INDEX(Deals!$AE$2:$AE$355,MATCH($C270,Deals!$A$2:$A$355,0))=0,"",INDEX(Deals!$AE$2:$AE$355,MATCH($C270,Deals!$A$2:$A$355,0))),""))</f>
        <v/>
      </c>
      <c r="AE270" s="22">
        <f>IF($C270="","",IFERROR(IF(INDEX(Deals!$AF$2:$AF$355,MATCH($C270,Deals!$A$2:$A$355,0))=0,"",INDEX(Deals!$AF$2:$AF$355,MATCH($C270,Deals!$A$2:$A$355,0))),""))</f>
        <v/>
      </c>
      <c r="AF270" s="35">
        <f>IF($AD270="",DATE(1900,1,1),$AD270)</f>
        <v/>
      </c>
      <c r="AG270" s="35">
        <f>IF($AE270="",DATE(2100,12,31),$AE270)</f>
        <v/>
      </c>
      <c r="AH270" s="22">
        <f>IF($C270="","",IFERROR(IF(INDEX(Deals!$AG$2:$AG$355,MATCH($C270,Deals!$A$2:$A$355,0))=0,"",INDEX(Deals!$AG$2:$AG$355,MATCH($C270,Deals!$A$2:$A$355,0))),""))</f>
        <v/>
      </c>
      <c r="AI270" s="35">
        <f>IF(OR($AH270&lt;&gt;"",AND($AO270&gt;0,$AD270&lt;&gt;"",$AE270&lt;&gt;"")),$AF270,DATE(1900,1,1))</f>
        <v/>
      </c>
      <c r="AJ270" s="35">
        <f>IF($AH270&lt;&gt;"",$AH270,IF(AND($AO270&gt;0,$AD270&lt;&gt;"",$AE270&lt;&gt;""),$AG270,DATE(2100,12,31)))</f>
        <v/>
      </c>
      <c r="AK270" s="32">
        <f>IF($AH270="",$AC270,$AC270*$S270)</f>
        <v/>
      </c>
      <c r="AL270" s="35">
        <f>IF($AH270="",DATE(2100,12,31),$AH270+1)</f>
        <v/>
      </c>
      <c r="AM270" s="35">
        <f>IF($AH270="",DATE(1900,1,1),$AG270)</f>
        <v/>
      </c>
      <c r="AN270" s="32">
        <f>IF($AH270="",0,$AC270*$T270)</f>
        <v/>
      </c>
      <c r="AO270" s="46">
        <f>IF($C270="",0,IFERROR(INDEX(Deals!$BD$2:$BD$355,MATCH($C270,Deals!$A$2:$A$355,0)),0))</f>
        <v/>
      </c>
      <c r="AP270" s="18">
        <f>IF($AO270=0,0,IFERROR(INDEX(Deals!$BJ$2:$BP$355,MATCH($C270,Deals!$A$2:$A$355,0),MATCH($F270,Deals!$BJ$1:$BP$1,0))/COUNTIFS(Assignments!$C$2:$C$769,$C270,Assignments!$F$2:$F$769,$F270,Assignments!$G$2:$G$769,"Active"),0))</f>
        <v/>
      </c>
    </row>
    <row r="271">
      <c r="A271" s="28" t="inlineStr">
        <is>
          <t>Kyle Risser</t>
        </is>
      </c>
      <c r="B271" s="16">
        <f>IF($A271="","",IFERROR(INDEX(Roster!$B$2:$B$40,MATCH($A271,Roster!$A$2:$A$40,0)),"?"))</f>
        <v/>
      </c>
      <c r="C271" s="28" t="inlineStr">
        <is>
          <t>Dorsia_1</t>
        </is>
      </c>
      <c r="D271" s="16">
        <f>IF($C271="","",IFERROR(IF(INDEX(Deals!$C$2:$C$355,MATCH($C271,Deals!$A$2:$A$355,0))=0,"",INDEX(Deals!$C$2:$C$355,MATCH($C271,Deals!$A$2:$A$355,0))),"?"))</f>
        <v/>
      </c>
      <c r="E271" s="16">
        <f>IF($C271="","",IFERROR(INDEX(Deals!$F$2:$F$355,MATCH($C271,Deals!$A$2:$A$355,0)),"?"))</f>
        <v/>
      </c>
      <c r="F271" s="28" t="inlineStr">
        <is>
          <t>Director</t>
        </is>
      </c>
      <c r="G271" s="28" t="inlineStr">
        <is>
          <t>Active</t>
        </is>
      </c>
      <c r="H271" s="31" t="n"/>
      <c r="I271" s="32">
        <f>IF(OR($A271="",$G271&lt;&gt;"Active"),0,IF($H271&lt;&gt;"",$H271,IF($AO271&gt;0,$AP271,IF(AND($R271&lt;&gt;"",IFERROR(INDEX(Templates!$B$3:$H$10,MATCH($R271,Templates!$A$3:$A$10,0),MATCH($F271,Templates!$B$2:$H$2,0)),0)&gt;0),INDEX(Templates!$B$3:$H$10,MATCH($R271,Templates!$A$3:$A$10,0),MATCH($F271,Templates!$B$2:$H$2,0)),IFERROR(INDEX(Settings!$B$8:$B$14,MATCH($F271,Settings!$A$8:$A$14,0)),0)))))</f>
        <v/>
      </c>
      <c r="J271" s="21">
        <f>IF($C271="",0,IFERROR(INDEX(Deals!$H$2:$H$355,MATCH($C271,Deals!$A$2:$A$355,0)),0))</f>
        <v/>
      </c>
      <c r="K271" s="32">
        <f>IF(Settings!$B$4="Yes",$I271*$J271,$I271)</f>
        <v/>
      </c>
      <c r="L271" s="22">
        <f>IF($C271="","",IFERROR(IF(INDEX(Deals!$I$2:$I$355,MATCH($C271,Deals!$A$2:$A$355,0))=0,"",INDEX(Deals!$I$2:$I$355,MATCH($C271,Deals!$A$2:$A$355,0))),""))</f>
        <v/>
      </c>
      <c r="M271" s="22">
        <f>IF($C271="","",IFERROR(IF(INDEX(Deals!$J$2:$J$355,MATCH($C271,Deals!$A$2:$A$355,0))=0,"",INDEX(Deals!$J$2:$J$355,MATCH($C271,Deals!$A$2:$A$355,0))),""))</f>
        <v/>
      </c>
      <c r="N271" s="35">
        <f>IF($L271="",DATE(1900,1,1),$L271)</f>
        <v/>
      </c>
      <c r="O271" s="35">
        <f>IF($M271="",DATE(2100,12,31),$M271)</f>
        <v/>
      </c>
      <c r="P271" s="20" t="inlineStr"/>
      <c r="Q271" s="47" t="inlineStr"/>
      <c r="R271" s="16">
        <f>IF($C271="","",IFERROR(IF(INDEX(Deals!$U$2:$U$355,MATCH($C271,Deals!$A$2:$A$355,0))=0,"",INDEX(Deals!$U$2:$U$355,MATCH($C271,Deals!$A$2:$A$355,0))),""))</f>
        <v/>
      </c>
      <c r="S271" s="34">
        <f>IFERROR(IF($U271="",1,INDEX(Deals!$V$2:$V$355,MATCH($C271,Deals!$A$2:$A$355,0))),1)</f>
        <v/>
      </c>
      <c r="T271" s="34">
        <f>IFERROR(IF($U271="",1,INDEX(Deals!$W$2:$W$355,MATCH($C271,Deals!$A$2:$A$355,0))),1)</f>
        <v/>
      </c>
      <c r="U271" s="22">
        <f>IF($C271="","",IFERROR(IF(INDEX(Deals!$Y$2:$Y$355,MATCH($C271,Deals!$A$2:$A$355,0))=0,"",INDEX(Deals!$Y$2:$Y$355,MATCH($C271,Deals!$A$2:$A$355,0))),""))</f>
        <v/>
      </c>
      <c r="V271" s="35">
        <f>IF(OR($U271&lt;&gt;"",AND($AO271&gt;0,$L271&lt;&gt;"",$M271&lt;&gt;"")),$N271,DATE(1900,1,1))</f>
        <v/>
      </c>
      <c r="W271" s="35">
        <f>IF($U271&lt;&gt;"",$U271,IF(AND($AO271&gt;0,$L271&lt;&gt;"",$M271&lt;&gt;""),$O271,DATE(2100,12,31)))</f>
        <v/>
      </c>
      <c r="X271" s="32">
        <f>IF($U271="",$K271,$K271*$S271)</f>
        <v/>
      </c>
      <c r="Y271" s="35">
        <f>IF($U271="",DATE(2100,12,31),$U271+1)</f>
        <v/>
      </c>
      <c r="Z271" s="35">
        <f>IF($U271="",DATE(1900,1,1),$O271)</f>
        <v/>
      </c>
      <c r="AA271" s="32">
        <f>IF($U271="",0,$K271*$T271)</f>
        <v/>
      </c>
      <c r="AB271" s="21">
        <f>IF($C271="",0,IFERROR(INDEX(Deals!$AD$2:$AD$355,MATCH($C271,Deals!$A$2:$A$355,0)),0))</f>
        <v/>
      </c>
      <c r="AC271" s="32">
        <f>IF(Settings!$B$4="Yes",$I271*$AB271,$I271)</f>
        <v/>
      </c>
      <c r="AD271" s="22">
        <f>IF($C271="","",IFERROR(IF(INDEX(Deals!$AE$2:$AE$355,MATCH($C271,Deals!$A$2:$A$355,0))=0,"",INDEX(Deals!$AE$2:$AE$355,MATCH($C271,Deals!$A$2:$A$355,0))),""))</f>
        <v/>
      </c>
      <c r="AE271" s="22">
        <f>IF($C271="","",IFERROR(IF(INDEX(Deals!$AF$2:$AF$355,MATCH($C271,Deals!$A$2:$A$355,0))=0,"",INDEX(Deals!$AF$2:$AF$355,MATCH($C271,Deals!$A$2:$A$355,0))),""))</f>
        <v/>
      </c>
      <c r="AF271" s="35">
        <f>IF($AD271="",DATE(1900,1,1),$AD271)</f>
        <v/>
      </c>
      <c r="AG271" s="35">
        <f>IF($AE271="",DATE(2100,12,31),$AE271)</f>
        <v/>
      </c>
      <c r="AH271" s="22">
        <f>IF($C271="","",IFERROR(IF(INDEX(Deals!$AG$2:$AG$355,MATCH($C271,Deals!$A$2:$A$355,0))=0,"",INDEX(Deals!$AG$2:$AG$355,MATCH($C271,Deals!$A$2:$A$355,0))),""))</f>
        <v/>
      </c>
      <c r="AI271" s="35">
        <f>IF(OR($AH271&lt;&gt;"",AND($AO271&gt;0,$AD271&lt;&gt;"",$AE271&lt;&gt;"")),$AF271,DATE(1900,1,1))</f>
        <v/>
      </c>
      <c r="AJ271" s="35">
        <f>IF($AH271&lt;&gt;"",$AH271,IF(AND($AO271&gt;0,$AD271&lt;&gt;"",$AE271&lt;&gt;""),$AG271,DATE(2100,12,31)))</f>
        <v/>
      </c>
      <c r="AK271" s="32">
        <f>IF($AH271="",$AC271,$AC271*$S271)</f>
        <v/>
      </c>
      <c r="AL271" s="35">
        <f>IF($AH271="",DATE(2100,12,31),$AH271+1)</f>
        <v/>
      </c>
      <c r="AM271" s="35">
        <f>IF($AH271="",DATE(1900,1,1),$AG271)</f>
        <v/>
      </c>
      <c r="AN271" s="32">
        <f>IF($AH271="",0,$AC271*$T271)</f>
        <v/>
      </c>
      <c r="AO271" s="46">
        <f>IF($C271="",0,IFERROR(INDEX(Deals!$BD$2:$BD$355,MATCH($C271,Deals!$A$2:$A$355,0)),0))</f>
        <v/>
      </c>
      <c r="AP271" s="18">
        <f>IF($AO271=0,0,IFERROR(INDEX(Deals!$BJ$2:$BP$355,MATCH($C271,Deals!$A$2:$A$355,0),MATCH($F271,Deals!$BJ$1:$BP$1,0))/COUNTIFS(Assignments!$C$2:$C$769,$C271,Assignments!$F$2:$F$769,$F271,Assignments!$G$2:$G$769,"Active"),0))</f>
        <v/>
      </c>
    </row>
    <row r="272">
      <c r="A272" s="28" t="inlineStr">
        <is>
          <t>Kyle Risser</t>
        </is>
      </c>
      <c r="B272" s="16">
        <f>IF($A272="","",IFERROR(INDEX(Roster!$B$2:$B$40,MATCH($A272,Roster!$A$2:$A$40,0)),"?"))</f>
        <v/>
      </c>
      <c r="C272" s="28" t="inlineStr">
        <is>
          <t>EV Passport_2</t>
        </is>
      </c>
      <c r="D272" s="16">
        <f>IF($C272="","",IFERROR(IF(INDEX(Deals!$C$2:$C$355,MATCH($C272,Deals!$A$2:$A$355,0))=0,"",INDEX(Deals!$C$2:$C$355,MATCH($C272,Deals!$A$2:$A$355,0))),"?"))</f>
        <v/>
      </c>
      <c r="E272" s="16">
        <f>IF($C272="","",IFERROR(INDEX(Deals!$F$2:$F$355,MATCH($C272,Deals!$A$2:$A$355,0)),"?"))</f>
        <v/>
      </c>
      <c r="F272" s="28" t="inlineStr">
        <is>
          <t>Director</t>
        </is>
      </c>
      <c r="G272" s="28" t="inlineStr">
        <is>
          <t>Active</t>
        </is>
      </c>
      <c r="H272" s="31" t="n"/>
      <c r="I272" s="32">
        <f>IF(OR($A272="",$G272&lt;&gt;"Active"),0,IF($H272&lt;&gt;"",$H272,IF($AO272&gt;0,$AP272,IF(AND($R272&lt;&gt;"",IFERROR(INDEX(Templates!$B$3:$H$10,MATCH($R272,Templates!$A$3:$A$10,0),MATCH($F272,Templates!$B$2:$H$2,0)),0)&gt;0),INDEX(Templates!$B$3:$H$10,MATCH($R272,Templates!$A$3:$A$10,0),MATCH($F272,Templates!$B$2:$H$2,0)),IFERROR(INDEX(Settings!$B$8:$B$14,MATCH($F272,Settings!$A$8:$A$14,0)),0)))))</f>
        <v/>
      </c>
      <c r="J272" s="21">
        <f>IF($C272="",0,IFERROR(INDEX(Deals!$H$2:$H$355,MATCH($C272,Deals!$A$2:$A$355,0)),0))</f>
        <v/>
      </c>
      <c r="K272" s="32">
        <f>IF(Settings!$B$4="Yes",$I272*$J272,$I272)</f>
        <v/>
      </c>
      <c r="L272" s="22">
        <f>IF($C272="","",IFERROR(IF(INDEX(Deals!$I$2:$I$355,MATCH($C272,Deals!$A$2:$A$355,0))=0,"",INDEX(Deals!$I$2:$I$355,MATCH($C272,Deals!$A$2:$A$355,0))),""))</f>
        <v/>
      </c>
      <c r="M272" s="22">
        <f>IF($C272="","",IFERROR(IF(INDEX(Deals!$J$2:$J$355,MATCH($C272,Deals!$A$2:$A$355,0))=0,"",INDEX(Deals!$J$2:$J$355,MATCH($C272,Deals!$A$2:$A$355,0))),""))</f>
        <v/>
      </c>
      <c r="N272" s="35">
        <f>IF($L272="",DATE(1900,1,1),$L272)</f>
        <v/>
      </c>
      <c r="O272" s="35">
        <f>IF($M272="",DATE(2100,12,31),$M272)</f>
        <v/>
      </c>
      <c r="P272" s="20" t="inlineStr"/>
      <c r="Q272" s="47" t="inlineStr"/>
      <c r="R272" s="16">
        <f>IF($C272="","",IFERROR(IF(INDEX(Deals!$U$2:$U$355,MATCH($C272,Deals!$A$2:$A$355,0))=0,"",INDEX(Deals!$U$2:$U$355,MATCH($C272,Deals!$A$2:$A$355,0))),""))</f>
        <v/>
      </c>
      <c r="S272" s="34">
        <f>IFERROR(IF($U272="",1,INDEX(Deals!$V$2:$V$355,MATCH($C272,Deals!$A$2:$A$355,0))),1)</f>
        <v/>
      </c>
      <c r="T272" s="34">
        <f>IFERROR(IF($U272="",1,INDEX(Deals!$W$2:$W$355,MATCH($C272,Deals!$A$2:$A$355,0))),1)</f>
        <v/>
      </c>
      <c r="U272" s="22">
        <f>IF($C272="","",IFERROR(IF(INDEX(Deals!$Y$2:$Y$355,MATCH($C272,Deals!$A$2:$A$355,0))=0,"",INDEX(Deals!$Y$2:$Y$355,MATCH($C272,Deals!$A$2:$A$355,0))),""))</f>
        <v/>
      </c>
      <c r="V272" s="35">
        <f>IF(OR($U272&lt;&gt;"",AND($AO272&gt;0,$L272&lt;&gt;"",$M272&lt;&gt;"")),$N272,DATE(1900,1,1))</f>
        <v/>
      </c>
      <c r="W272" s="35">
        <f>IF($U272&lt;&gt;"",$U272,IF(AND($AO272&gt;0,$L272&lt;&gt;"",$M272&lt;&gt;""),$O272,DATE(2100,12,31)))</f>
        <v/>
      </c>
      <c r="X272" s="32">
        <f>IF($U272="",$K272,$K272*$S272)</f>
        <v/>
      </c>
      <c r="Y272" s="35">
        <f>IF($U272="",DATE(2100,12,31),$U272+1)</f>
        <v/>
      </c>
      <c r="Z272" s="35">
        <f>IF($U272="",DATE(1900,1,1),$O272)</f>
        <v/>
      </c>
      <c r="AA272" s="32">
        <f>IF($U272="",0,$K272*$T272)</f>
        <v/>
      </c>
      <c r="AB272" s="21">
        <f>IF($C272="",0,IFERROR(INDEX(Deals!$AD$2:$AD$355,MATCH($C272,Deals!$A$2:$A$355,0)),0))</f>
        <v/>
      </c>
      <c r="AC272" s="32">
        <f>IF(Settings!$B$4="Yes",$I272*$AB272,$I272)</f>
        <v/>
      </c>
      <c r="AD272" s="22">
        <f>IF($C272="","",IFERROR(IF(INDEX(Deals!$AE$2:$AE$355,MATCH($C272,Deals!$A$2:$A$355,0))=0,"",INDEX(Deals!$AE$2:$AE$355,MATCH($C272,Deals!$A$2:$A$355,0))),""))</f>
        <v/>
      </c>
      <c r="AE272" s="22">
        <f>IF($C272="","",IFERROR(IF(INDEX(Deals!$AF$2:$AF$355,MATCH($C272,Deals!$A$2:$A$355,0))=0,"",INDEX(Deals!$AF$2:$AF$355,MATCH($C272,Deals!$A$2:$A$355,0))),""))</f>
        <v/>
      </c>
      <c r="AF272" s="35">
        <f>IF($AD272="",DATE(1900,1,1),$AD272)</f>
        <v/>
      </c>
      <c r="AG272" s="35">
        <f>IF($AE272="",DATE(2100,12,31),$AE272)</f>
        <v/>
      </c>
      <c r="AH272" s="22">
        <f>IF($C272="","",IFERROR(IF(INDEX(Deals!$AG$2:$AG$355,MATCH($C272,Deals!$A$2:$A$355,0))=0,"",INDEX(Deals!$AG$2:$AG$355,MATCH($C272,Deals!$A$2:$A$355,0))),""))</f>
        <v/>
      </c>
      <c r="AI272" s="35">
        <f>IF(OR($AH272&lt;&gt;"",AND($AO272&gt;0,$AD272&lt;&gt;"",$AE272&lt;&gt;"")),$AF272,DATE(1900,1,1))</f>
        <v/>
      </c>
      <c r="AJ272" s="35">
        <f>IF($AH272&lt;&gt;"",$AH272,IF(AND($AO272&gt;0,$AD272&lt;&gt;"",$AE272&lt;&gt;""),$AG272,DATE(2100,12,31)))</f>
        <v/>
      </c>
      <c r="AK272" s="32">
        <f>IF($AH272="",$AC272,$AC272*$S272)</f>
        <v/>
      </c>
      <c r="AL272" s="35">
        <f>IF($AH272="",DATE(2100,12,31),$AH272+1)</f>
        <v/>
      </c>
      <c r="AM272" s="35">
        <f>IF($AH272="",DATE(1900,1,1),$AG272)</f>
        <v/>
      </c>
      <c r="AN272" s="32">
        <f>IF($AH272="",0,$AC272*$T272)</f>
        <v/>
      </c>
      <c r="AO272" s="46">
        <f>IF($C272="",0,IFERROR(INDEX(Deals!$BD$2:$BD$355,MATCH($C272,Deals!$A$2:$A$355,0)),0))</f>
        <v/>
      </c>
      <c r="AP272" s="18">
        <f>IF($AO272=0,0,IFERROR(INDEX(Deals!$BJ$2:$BP$355,MATCH($C272,Deals!$A$2:$A$355,0),MATCH($F272,Deals!$BJ$1:$BP$1,0))/COUNTIFS(Assignments!$C$2:$C$769,$C272,Assignments!$F$2:$F$769,$F272,Assignments!$G$2:$G$769,"Active"),0))</f>
        <v/>
      </c>
    </row>
    <row r="273">
      <c r="A273" s="28" t="inlineStr">
        <is>
          <t>Kyle Risser</t>
        </is>
      </c>
      <c r="B273" s="16">
        <f>IF($A273="","",IFERROR(INDEX(Roster!$B$2:$B$40,MATCH($A273,Roster!$A$2:$A$40,0)),"?"))</f>
        <v/>
      </c>
      <c r="C273" s="28" t="inlineStr">
        <is>
          <t>Gateway_3</t>
        </is>
      </c>
      <c r="D273" s="16">
        <f>IF($C273="","",IFERROR(IF(INDEX(Deals!$C$2:$C$355,MATCH($C273,Deals!$A$2:$A$355,0))=0,"",INDEX(Deals!$C$2:$C$355,MATCH($C273,Deals!$A$2:$A$355,0))),"?"))</f>
        <v/>
      </c>
      <c r="E273" s="16">
        <f>IF($C273="","",IFERROR(INDEX(Deals!$F$2:$F$355,MATCH($C273,Deals!$A$2:$A$355,0)),"?"))</f>
        <v/>
      </c>
      <c r="F273" s="28" t="inlineStr">
        <is>
          <t>Director</t>
        </is>
      </c>
      <c r="G273" s="28" t="inlineStr">
        <is>
          <t>Active</t>
        </is>
      </c>
      <c r="H273" s="31" t="n"/>
      <c r="I273" s="32">
        <f>IF(OR($A273="",$G273&lt;&gt;"Active"),0,IF($H273&lt;&gt;"",$H273,IF($AO273&gt;0,$AP273,IF(AND($R273&lt;&gt;"",IFERROR(INDEX(Templates!$B$3:$H$10,MATCH($R273,Templates!$A$3:$A$10,0),MATCH($F273,Templates!$B$2:$H$2,0)),0)&gt;0),INDEX(Templates!$B$3:$H$10,MATCH($R273,Templates!$A$3:$A$10,0),MATCH($F273,Templates!$B$2:$H$2,0)),IFERROR(INDEX(Settings!$B$8:$B$14,MATCH($F273,Settings!$A$8:$A$14,0)),0)))))</f>
        <v/>
      </c>
      <c r="J273" s="21">
        <f>IF($C273="",0,IFERROR(INDEX(Deals!$H$2:$H$355,MATCH($C273,Deals!$A$2:$A$355,0)),0))</f>
        <v/>
      </c>
      <c r="K273" s="32">
        <f>IF(Settings!$B$4="Yes",$I273*$J273,$I273)</f>
        <v/>
      </c>
      <c r="L273" s="22">
        <f>IF($C273="","",IFERROR(IF(INDEX(Deals!$I$2:$I$355,MATCH($C273,Deals!$A$2:$A$355,0))=0,"",INDEX(Deals!$I$2:$I$355,MATCH($C273,Deals!$A$2:$A$355,0))),""))</f>
        <v/>
      </c>
      <c r="M273" s="22">
        <f>IF($C273="","",IFERROR(IF(INDEX(Deals!$J$2:$J$355,MATCH($C273,Deals!$A$2:$A$355,0))=0,"",INDEX(Deals!$J$2:$J$355,MATCH($C273,Deals!$A$2:$A$355,0))),""))</f>
        <v/>
      </c>
      <c r="N273" s="35">
        <f>IF($L273="",DATE(1900,1,1),$L273)</f>
        <v/>
      </c>
      <c r="O273" s="35">
        <f>IF($M273="",DATE(2100,12,31),$M273)</f>
        <v/>
      </c>
      <c r="P273" s="20" t="inlineStr"/>
      <c r="Q273" s="47" t="inlineStr"/>
      <c r="R273" s="16">
        <f>IF($C273="","",IFERROR(IF(INDEX(Deals!$U$2:$U$355,MATCH($C273,Deals!$A$2:$A$355,0))=0,"",INDEX(Deals!$U$2:$U$355,MATCH($C273,Deals!$A$2:$A$355,0))),""))</f>
        <v/>
      </c>
      <c r="S273" s="34">
        <f>IFERROR(IF($U273="",1,INDEX(Deals!$V$2:$V$355,MATCH($C273,Deals!$A$2:$A$355,0))),1)</f>
        <v/>
      </c>
      <c r="T273" s="34">
        <f>IFERROR(IF($U273="",1,INDEX(Deals!$W$2:$W$355,MATCH($C273,Deals!$A$2:$A$355,0))),1)</f>
        <v/>
      </c>
      <c r="U273" s="22">
        <f>IF($C273="","",IFERROR(IF(INDEX(Deals!$Y$2:$Y$355,MATCH($C273,Deals!$A$2:$A$355,0))=0,"",INDEX(Deals!$Y$2:$Y$355,MATCH($C273,Deals!$A$2:$A$355,0))),""))</f>
        <v/>
      </c>
      <c r="V273" s="35">
        <f>IF(OR($U273&lt;&gt;"",AND($AO273&gt;0,$L273&lt;&gt;"",$M273&lt;&gt;"")),$N273,DATE(1900,1,1))</f>
        <v/>
      </c>
      <c r="W273" s="35">
        <f>IF($U273&lt;&gt;"",$U273,IF(AND($AO273&gt;0,$L273&lt;&gt;"",$M273&lt;&gt;""),$O273,DATE(2100,12,31)))</f>
        <v/>
      </c>
      <c r="X273" s="32">
        <f>IF($U273="",$K273,$K273*$S273)</f>
        <v/>
      </c>
      <c r="Y273" s="35">
        <f>IF($U273="",DATE(2100,12,31),$U273+1)</f>
        <v/>
      </c>
      <c r="Z273" s="35">
        <f>IF($U273="",DATE(1900,1,1),$O273)</f>
        <v/>
      </c>
      <c r="AA273" s="32">
        <f>IF($U273="",0,$K273*$T273)</f>
        <v/>
      </c>
      <c r="AB273" s="21">
        <f>IF($C273="",0,IFERROR(INDEX(Deals!$AD$2:$AD$355,MATCH($C273,Deals!$A$2:$A$355,0)),0))</f>
        <v/>
      </c>
      <c r="AC273" s="32">
        <f>IF(Settings!$B$4="Yes",$I273*$AB273,$I273)</f>
        <v/>
      </c>
      <c r="AD273" s="22">
        <f>IF($C273="","",IFERROR(IF(INDEX(Deals!$AE$2:$AE$355,MATCH($C273,Deals!$A$2:$A$355,0))=0,"",INDEX(Deals!$AE$2:$AE$355,MATCH($C273,Deals!$A$2:$A$355,0))),""))</f>
        <v/>
      </c>
      <c r="AE273" s="22">
        <f>IF($C273="","",IFERROR(IF(INDEX(Deals!$AF$2:$AF$355,MATCH($C273,Deals!$A$2:$A$355,0))=0,"",INDEX(Deals!$AF$2:$AF$355,MATCH($C273,Deals!$A$2:$A$355,0))),""))</f>
        <v/>
      </c>
      <c r="AF273" s="35">
        <f>IF($AD273="",DATE(1900,1,1),$AD273)</f>
        <v/>
      </c>
      <c r="AG273" s="35">
        <f>IF($AE273="",DATE(2100,12,31),$AE273)</f>
        <v/>
      </c>
      <c r="AH273" s="22">
        <f>IF($C273="","",IFERROR(IF(INDEX(Deals!$AG$2:$AG$355,MATCH($C273,Deals!$A$2:$A$355,0))=0,"",INDEX(Deals!$AG$2:$AG$355,MATCH($C273,Deals!$A$2:$A$355,0))),""))</f>
        <v/>
      </c>
      <c r="AI273" s="35">
        <f>IF(OR($AH273&lt;&gt;"",AND($AO273&gt;0,$AD273&lt;&gt;"",$AE273&lt;&gt;"")),$AF273,DATE(1900,1,1))</f>
        <v/>
      </c>
      <c r="AJ273" s="35">
        <f>IF($AH273&lt;&gt;"",$AH273,IF(AND($AO273&gt;0,$AD273&lt;&gt;"",$AE273&lt;&gt;""),$AG273,DATE(2100,12,31)))</f>
        <v/>
      </c>
      <c r="AK273" s="32">
        <f>IF($AH273="",$AC273,$AC273*$S273)</f>
        <v/>
      </c>
      <c r="AL273" s="35">
        <f>IF($AH273="",DATE(2100,12,31),$AH273+1)</f>
        <v/>
      </c>
      <c r="AM273" s="35">
        <f>IF($AH273="",DATE(1900,1,1),$AG273)</f>
        <v/>
      </c>
      <c r="AN273" s="32">
        <f>IF($AH273="",0,$AC273*$T273)</f>
        <v/>
      </c>
      <c r="AO273" s="46">
        <f>IF($C273="",0,IFERROR(INDEX(Deals!$BD$2:$BD$355,MATCH($C273,Deals!$A$2:$A$355,0)),0))</f>
        <v/>
      </c>
      <c r="AP273" s="18">
        <f>IF($AO273=0,0,IFERROR(INDEX(Deals!$BJ$2:$BP$355,MATCH($C273,Deals!$A$2:$A$355,0),MATCH($F273,Deals!$BJ$1:$BP$1,0))/COUNTIFS(Assignments!$C$2:$C$769,$C273,Assignments!$F$2:$F$769,$F273,Assignments!$G$2:$G$769,"Active"),0))</f>
        <v/>
      </c>
    </row>
    <row r="274">
      <c r="A274" s="28" t="inlineStr">
        <is>
          <t>Kyle Risser</t>
        </is>
      </c>
      <c r="B274" s="16">
        <f>IF($A274="","",IFERROR(INDEX(Roster!$B$2:$B$40,MATCH($A274,Roster!$A$2:$A$40,0)),"?"))</f>
        <v/>
      </c>
      <c r="C274" s="28" t="inlineStr">
        <is>
          <t>Guardian_3</t>
        </is>
      </c>
      <c r="D274" s="16">
        <f>IF($C274="","",IFERROR(IF(INDEX(Deals!$C$2:$C$355,MATCH($C274,Deals!$A$2:$A$355,0))=0,"",INDEX(Deals!$C$2:$C$355,MATCH($C274,Deals!$A$2:$A$355,0))),"?"))</f>
        <v/>
      </c>
      <c r="E274" s="16">
        <f>IF($C274="","",IFERROR(INDEX(Deals!$F$2:$F$355,MATCH($C274,Deals!$A$2:$A$355,0)),"?"))</f>
        <v/>
      </c>
      <c r="F274" s="28" t="inlineStr">
        <is>
          <t>Director</t>
        </is>
      </c>
      <c r="G274" s="28" t="inlineStr">
        <is>
          <t>Active</t>
        </is>
      </c>
      <c r="H274" s="31" t="n"/>
      <c r="I274" s="32">
        <f>IF(OR($A274="",$G274&lt;&gt;"Active"),0,IF($H274&lt;&gt;"",$H274,IF($AO274&gt;0,$AP274,IF(AND($R274&lt;&gt;"",IFERROR(INDEX(Templates!$B$3:$H$10,MATCH($R274,Templates!$A$3:$A$10,0),MATCH($F274,Templates!$B$2:$H$2,0)),0)&gt;0),INDEX(Templates!$B$3:$H$10,MATCH($R274,Templates!$A$3:$A$10,0),MATCH($F274,Templates!$B$2:$H$2,0)),IFERROR(INDEX(Settings!$B$8:$B$14,MATCH($F274,Settings!$A$8:$A$14,0)),0)))))</f>
        <v/>
      </c>
      <c r="J274" s="21">
        <f>IF($C274="",0,IFERROR(INDEX(Deals!$H$2:$H$355,MATCH($C274,Deals!$A$2:$A$355,0)),0))</f>
        <v/>
      </c>
      <c r="K274" s="32">
        <f>IF(Settings!$B$4="Yes",$I274*$J274,$I274)</f>
        <v/>
      </c>
      <c r="L274" s="22">
        <f>IF($C274="","",IFERROR(IF(INDEX(Deals!$I$2:$I$355,MATCH($C274,Deals!$A$2:$A$355,0))=0,"",INDEX(Deals!$I$2:$I$355,MATCH($C274,Deals!$A$2:$A$355,0))),""))</f>
        <v/>
      </c>
      <c r="M274" s="22">
        <f>IF($C274="","",IFERROR(IF(INDEX(Deals!$J$2:$J$355,MATCH($C274,Deals!$A$2:$A$355,0))=0,"",INDEX(Deals!$J$2:$J$355,MATCH($C274,Deals!$A$2:$A$355,0))),""))</f>
        <v/>
      </c>
      <c r="N274" s="35">
        <f>IF($L274="",DATE(1900,1,1),$L274)</f>
        <v/>
      </c>
      <c r="O274" s="35">
        <f>IF($M274="",DATE(2100,12,31),$M274)</f>
        <v/>
      </c>
      <c r="P274" s="20" t="inlineStr"/>
      <c r="Q274" s="47" t="inlineStr"/>
      <c r="R274" s="16">
        <f>IF($C274="","",IFERROR(IF(INDEX(Deals!$U$2:$U$355,MATCH($C274,Deals!$A$2:$A$355,0))=0,"",INDEX(Deals!$U$2:$U$355,MATCH($C274,Deals!$A$2:$A$355,0))),""))</f>
        <v/>
      </c>
      <c r="S274" s="34">
        <f>IFERROR(IF($U274="",1,INDEX(Deals!$V$2:$V$355,MATCH($C274,Deals!$A$2:$A$355,0))),1)</f>
        <v/>
      </c>
      <c r="T274" s="34">
        <f>IFERROR(IF($U274="",1,INDEX(Deals!$W$2:$W$355,MATCH($C274,Deals!$A$2:$A$355,0))),1)</f>
        <v/>
      </c>
      <c r="U274" s="22">
        <f>IF($C274="","",IFERROR(IF(INDEX(Deals!$Y$2:$Y$355,MATCH($C274,Deals!$A$2:$A$355,0))=0,"",INDEX(Deals!$Y$2:$Y$355,MATCH($C274,Deals!$A$2:$A$355,0))),""))</f>
        <v/>
      </c>
      <c r="V274" s="35">
        <f>IF(OR($U274&lt;&gt;"",AND($AO274&gt;0,$L274&lt;&gt;"",$M274&lt;&gt;"")),$N274,DATE(1900,1,1))</f>
        <v/>
      </c>
      <c r="W274" s="35">
        <f>IF($U274&lt;&gt;"",$U274,IF(AND($AO274&gt;0,$L274&lt;&gt;"",$M274&lt;&gt;""),$O274,DATE(2100,12,31)))</f>
        <v/>
      </c>
      <c r="X274" s="32">
        <f>IF($U274="",$K274,$K274*$S274)</f>
        <v/>
      </c>
      <c r="Y274" s="35">
        <f>IF($U274="",DATE(2100,12,31),$U274+1)</f>
        <v/>
      </c>
      <c r="Z274" s="35">
        <f>IF($U274="",DATE(1900,1,1),$O274)</f>
        <v/>
      </c>
      <c r="AA274" s="32">
        <f>IF($U274="",0,$K274*$T274)</f>
        <v/>
      </c>
      <c r="AB274" s="21">
        <f>IF($C274="",0,IFERROR(INDEX(Deals!$AD$2:$AD$355,MATCH($C274,Deals!$A$2:$A$355,0)),0))</f>
        <v/>
      </c>
      <c r="AC274" s="32">
        <f>IF(Settings!$B$4="Yes",$I274*$AB274,$I274)</f>
        <v/>
      </c>
      <c r="AD274" s="22">
        <f>IF($C274="","",IFERROR(IF(INDEX(Deals!$AE$2:$AE$355,MATCH($C274,Deals!$A$2:$A$355,0))=0,"",INDEX(Deals!$AE$2:$AE$355,MATCH($C274,Deals!$A$2:$A$355,0))),""))</f>
        <v/>
      </c>
      <c r="AE274" s="22">
        <f>IF($C274="","",IFERROR(IF(INDEX(Deals!$AF$2:$AF$355,MATCH($C274,Deals!$A$2:$A$355,0))=0,"",INDEX(Deals!$AF$2:$AF$355,MATCH($C274,Deals!$A$2:$A$355,0))),""))</f>
        <v/>
      </c>
      <c r="AF274" s="35">
        <f>IF($AD274="",DATE(1900,1,1),$AD274)</f>
        <v/>
      </c>
      <c r="AG274" s="35">
        <f>IF($AE274="",DATE(2100,12,31),$AE274)</f>
        <v/>
      </c>
      <c r="AH274" s="22">
        <f>IF($C274="","",IFERROR(IF(INDEX(Deals!$AG$2:$AG$355,MATCH($C274,Deals!$A$2:$A$355,0))=0,"",INDEX(Deals!$AG$2:$AG$355,MATCH($C274,Deals!$A$2:$A$355,0))),""))</f>
        <v/>
      </c>
      <c r="AI274" s="35">
        <f>IF(OR($AH274&lt;&gt;"",AND($AO274&gt;0,$AD274&lt;&gt;"",$AE274&lt;&gt;"")),$AF274,DATE(1900,1,1))</f>
        <v/>
      </c>
      <c r="AJ274" s="35">
        <f>IF($AH274&lt;&gt;"",$AH274,IF(AND($AO274&gt;0,$AD274&lt;&gt;"",$AE274&lt;&gt;""),$AG274,DATE(2100,12,31)))</f>
        <v/>
      </c>
      <c r="AK274" s="32">
        <f>IF($AH274="",$AC274,$AC274*$S274)</f>
        <v/>
      </c>
      <c r="AL274" s="35">
        <f>IF($AH274="",DATE(2100,12,31),$AH274+1)</f>
        <v/>
      </c>
      <c r="AM274" s="35">
        <f>IF($AH274="",DATE(1900,1,1),$AG274)</f>
        <v/>
      </c>
      <c r="AN274" s="32">
        <f>IF($AH274="",0,$AC274*$T274)</f>
        <v/>
      </c>
      <c r="AO274" s="46">
        <f>IF($C274="",0,IFERROR(INDEX(Deals!$BD$2:$BD$355,MATCH($C274,Deals!$A$2:$A$355,0)),0))</f>
        <v/>
      </c>
      <c r="AP274" s="18">
        <f>IF($AO274=0,0,IFERROR(INDEX(Deals!$BJ$2:$BP$355,MATCH($C274,Deals!$A$2:$A$355,0),MATCH($F274,Deals!$BJ$1:$BP$1,0))/COUNTIFS(Assignments!$C$2:$C$769,$C274,Assignments!$F$2:$F$769,$F274,Assignments!$G$2:$G$769,"Active"),0))</f>
        <v/>
      </c>
    </row>
    <row r="275">
      <c r="A275" s="28" t="inlineStr">
        <is>
          <t>Kyle Risser</t>
        </is>
      </c>
      <c r="B275" s="16">
        <f>IF($A275="","",IFERROR(INDEX(Roster!$B$2:$B$40,MATCH($A275,Roster!$A$2:$A$40,0)),"?"))</f>
        <v/>
      </c>
      <c r="C275" s="28" t="inlineStr">
        <is>
          <t>Heartland_2</t>
        </is>
      </c>
      <c r="D275" s="16">
        <f>IF($C275="","",IFERROR(IF(INDEX(Deals!$C$2:$C$355,MATCH($C275,Deals!$A$2:$A$355,0))=0,"",INDEX(Deals!$C$2:$C$355,MATCH($C275,Deals!$A$2:$A$355,0))),"?"))</f>
        <v/>
      </c>
      <c r="E275" s="16">
        <f>IF($C275="","",IFERROR(INDEX(Deals!$F$2:$F$355,MATCH($C275,Deals!$A$2:$A$355,0)),"?"))</f>
        <v/>
      </c>
      <c r="F275" s="28" t="inlineStr">
        <is>
          <t>Director</t>
        </is>
      </c>
      <c r="G275" s="28" t="inlineStr">
        <is>
          <t>Active</t>
        </is>
      </c>
      <c r="H275" s="31" t="n"/>
      <c r="I275" s="32">
        <f>IF(OR($A275="",$G275&lt;&gt;"Active"),0,IF($H275&lt;&gt;"",$H275,IF($AO275&gt;0,$AP275,IF(AND($R275&lt;&gt;"",IFERROR(INDEX(Templates!$B$3:$H$10,MATCH($R275,Templates!$A$3:$A$10,0),MATCH($F275,Templates!$B$2:$H$2,0)),0)&gt;0),INDEX(Templates!$B$3:$H$10,MATCH($R275,Templates!$A$3:$A$10,0),MATCH($F275,Templates!$B$2:$H$2,0)),IFERROR(INDEX(Settings!$B$8:$B$14,MATCH($F275,Settings!$A$8:$A$14,0)),0)))))</f>
        <v/>
      </c>
      <c r="J275" s="21">
        <f>IF($C275="",0,IFERROR(INDEX(Deals!$H$2:$H$355,MATCH($C275,Deals!$A$2:$A$355,0)),0))</f>
        <v/>
      </c>
      <c r="K275" s="32">
        <f>IF(Settings!$B$4="Yes",$I275*$J275,$I275)</f>
        <v/>
      </c>
      <c r="L275" s="22">
        <f>IF($C275="","",IFERROR(IF(INDEX(Deals!$I$2:$I$355,MATCH($C275,Deals!$A$2:$A$355,0))=0,"",INDEX(Deals!$I$2:$I$355,MATCH($C275,Deals!$A$2:$A$355,0))),""))</f>
        <v/>
      </c>
      <c r="M275" s="22">
        <f>IF($C275="","",IFERROR(IF(INDEX(Deals!$J$2:$J$355,MATCH($C275,Deals!$A$2:$A$355,0))=0,"",INDEX(Deals!$J$2:$J$355,MATCH($C275,Deals!$A$2:$A$355,0))),""))</f>
        <v/>
      </c>
      <c r="N275" s="35">
        <f>IF($L275="",DATE(1900,1,1),$L275)</f>
        <v/>
      </c>
      <c r="O275" s="35">
        <f>IF($M275="",DATE(2100,12,31),$M275)</f>
        <v/>
      </c>
      <c r="P275" s="20" t="inlineStr"/>
      <c r="Q275" s="47" t="inlineStr"/>
      <c r="R275" s="16">
        <f>IF($C275="","",IFERROR(IF(INDEX(Deals!$U$2:$U$355,MATCH($C275,Deals!$A$2:$A$355,0))=0,"",INDEX(Deals!$U$2:$U$355,MATCH($C275,Deals!$A$2:$A$355,0))),""))</f>
        <v/>
      </c>
      <c r="S275" s="34">
        <f>IFERROR(IF($U275="",1,INDEX(Deals!$V$2:$V$355,MATCH($C275,Deals!$A$2:$A$355,0))),1)</f>
        <v/>
      </c>
      <c r="T275" s="34">
        <f>IFERROR(IF($U275="",1,INDEX(Deals!$W$2:$W$355,MATCH($C275,Deals!$A$2:$A$355,0))),1)</f>
        <v/>
      </c>
      <c r="U275" s="22">
        <f>IF($C275="","",IFERROR(IF(INDEX(Deals!$Y$2:$Y$355,MATCH($C275,Deals!$A$2:$A$355,0))=0,"",INDEX(Deals!$Y$2:$Y$355,MATCH($C275,Deals!$A$2:$A$355,0))),""))</f>
        <v/>
      </c>
      <c r="V275" s="35">
        <f>IF(OR($U275&lt;&gt;"",AND($AO275&gt;0,$L275&lt;&gt;"",$M275&lt;&gt;"")),$N275,DATE(1900,1,1))</f>
        <v/>
      </c>
      <c r="W275" s="35">
        <f>IF($U275&lt;&gt;"",$U275,IF(AND($AO275&gt;0,$L275&lt;&gt;"",$M275&lt;&gt;""),$O275,DATE(2100,12,31)))</f>
        <v/>
      </c>
      <c r="X275" s="32">
        <f>IF($U275="",$K275,$K275*$S275)</f>
        <v/>
      </c>
      <c r="Y275" s="35">
        <f>IF($U275="",DATE(2100,12,31),$U275+1)</f>
        <v/>
      </c>
      <c r="Z275" s="35">
        <f>IF($U275="",DATE(1900,1,1),$O275)</f>
        <v/>
      </c>
      <c r="AA275" s="32">
        <f>IF($U275="",0,$K275*$T275)</f>
        <v/>
      </c>
      <c r="AB275" s="21">
        <f>IF($C275="",0,IFERROR(INDEX(Deals!$AD$2:$AD$355,MATCH($C275,Deals!$A$2:$A$355,0)),0))</f>
        <v/>
      </c>
      <c r="AC275" s="32">
        <f>IF(Settings!$B$4="Yes",$I275*$AB275,$I275)</f>
        <v/>
      </c>
      <c r="AD275" s="22">
        <f>IF($C275="","",IFERROR(IF(INDEX(Deals!$AE$2:$AE$355,MATCH($C275,Deals!$A$2:$A$355,0))=0,"",INDEX(Deals!$AE$2:$AE$355,MATCH($C275,Deals!$A$2:$A$355,0))),""))</f>
        <v/>
      </c>
      <c r="AE275" s="22">
        <f>IF($C275="","",IFERROR(IF(INDEX(Deals!$AF$2:$AF$355,MATCH($C275,Deals!$A$2:$A$355,0))=0,"",INDEX(Deals!$AF$2:$AF$355,MATCH($C275,Deals!$A$2:$A$355,0))),""))</f>
        <v/>
      </c>
      <c r="AF275" s="35">
        <f>IF($AD275="",DATE(1900,1,1),$AD275)</f>
        <v/>
      </c>
      <c r="AG275" s="35">
        <f>IF($AE275="",DATE(2100,12,31),$AE275)</f>
        <v/>
      </c>
      <c r="AH275" s="22">
        <f>IF($C275="","",IFERROR(IF(INDEX(Deals!$AG$2:$AG$355,MATCH($C275,Deals!$A$2:$A$355,0))=0,"",INDEX(Deals!$AG$2:$AG$355,MATCH($C275,Deals!$A$2:$A$355,0))),""))</f>
        <v/>
      </c>
      <c r="AI275" s="35">
        <f>IF(OR($AH275&lt;&gt;"",AND($AO275&gt;0,$AD275&lt;&gt;"",$AE275&lt;&gt;"")),$AF275,DATE(1900,1,1))</f>
        <v/>
      </c>
      <c r="AJ275" s="35">
        <f>IF($AH275&lt;&gt;"",$AH275,IF(AND($AO275&gt;0,$AD275&lt;&gt;"",$AE275&lt;&gt;""),$AG275,DATE(2100,12,31)))</f>
        <v/>
      </c>
      <c r="AK275" s="32">
        <f>IF($AH275="",$AC275,$AC275*$S275)</f>
        <v/>
      </c>
      <c r="AL275" s="35">
        <f>IF($AH275="",DATE(2100,12,31),$AH275+1)</f>
        <v/>
      </c>
      <c r="AM275" s="35">
        <f>IF($AH275="",DATE(1900,1,1),$AG275)</f>
        <v/>
      </c>
      <c r="AN275" s="32">
        <f>IF($AH275="",0,$AC275*$T275)</f>
        <v/>
      </c>
      <c r="AO275" s="46">
        <f>IF($C275="",0,IFERROR(INDEX(Deals!$BD$2:$BD$355,MATCH($C275,Deals!$A$2:$A$355,0)),0))</f>
        <v/>
      </c>
      <c r="AP275" s="18">
        <f>IF($AO275=0,0,IFERROR(INDEX(Deals!$BJ$2:$BP$355,MATCH($C275,Deals!$A$2:$A$355,0),MATCH($F275,Deals!$BJ$1:$BP$1,0))/COUNTIFS(Assignments!$C$2:$C$769,$C275,Assignments!$F$2:$F$769,$F275,Assignments!$G$2:$G$769,"Active"),0))</f>
        <v/>
      </c>
    </row>
    <row r="276">
      <c r="A276" s="28" t="inlineStr">
        <is>
          <t>Kyle Risser</t>
        </is>
      </c>
      <c r="B276" s="16">
        <f>IF($A276="","",IFERROR(INDEX(Roster!$B$2:$B$40,MATCH($A276,Roster!$A$2:$A$40,0)),"?"))</f>
        <v/>
      </c>
      <c r="C276" s="28" t="inlineStr">
        <is>
          <t>IPX Power_1</t>
        </is>
      </c>
      <c r="D276" s="16">
        <f>IF($C276="","",IFERROR(IF(INDEX(Deals!$C$2:$C$355,MATCH($C276,Deals!$A$2:$A$355,0))=0,"",INDEX(Deals!$C$2:$C$355,MATCH($C276,Deals!$A$2:$A$355,0))),"?"))</f>
        <v/>
      </c>
      <c r="E276" s="16">
        <f>IF($C276="","",IFERROR(INDEX(Deals!$F$2:$F$355,MATCH($C276,Deals!$A$2:$A$355,0)),"?"))</f>
        <v/>
      </c>
      <c r="F276" s="28" t="inlineStr">
        <is>
          <t>Director</t>
        </is>
      </c>
      <c r="G276" s="28" t="inlineStr">
        <is>
          <t>Active</t>
        </is>
      </c>
      <c r="H276" s="31" t="n"/>
      <c r="I276" s="32">
        <f>IF(OR($A276="",$G276&lt;&gt;"Active"),0,IF($H276&lt;&gt;"",$H276,IF($AO276&gt;0,$AP276,IF(AND($R276&lt;&gt;"",IFERROR(INDEX(Templates!$B$3:$H$10,MATCH($R276,Templates!$A$3:$A$10,0),MATCH($F276,Templates!$B$2:$H$2,0)),0)&gt;0),INDEX(Templates!$B$3:$H$10,MATCH($R276,Templates!$A$3:$A$10,0),MATCH($F276,Templates!$B$2:$H$2,0)),IFERROR(INDEX(Settings!$B$8:$B$14,MATCH($F276,Settings!$A$8:$A$14,0)),0)))))</f>
        <v/>
      </c>
      <c r="J276" s="21">
        <f>IF($C276="",0,IFERROR(INDEX(Deals!$H$2:$H$355,MATCH($C276,Deals!$A$2:$A$355,0)),0))</f>
        <v/>
      </c>
      <c r="K276" s="32">
        <f>IF(Settings!$B$4="Yes",$I276*$J276,$I276)</f>
        <v/>
      </c>
      <c r="L276" s="22">
        <f>IF($C276="","",IFERROR(IF(INDEX(Deals!$I$2:$I$355,MATCH($C276,Deals!$A$2:$A$355,0))=0,"",INDEX(Deals!$I$2:$I$355,MATCH($C276,Deals!$A$2:$A$355,0))),""))</f>
        <v/>
      </c>
      <c r="M276" s="22">
        <f>IF($C276="","",IFERROR(IF(INDEX(Deals!$J$2:$J$355,MATCH($C276,Deals!$A$2:$A$355,0))=0,"",INDEX(Deals!$J$2:$J$355,MATCH($C276,Deals!$A$2:$A$355,0))),""))</f>
        <v/>
      </c>
      <c r="N276" s="35">
        <f>IF($L276="",DATE(1900,1,1),$L276)</f>
        <v/>
      </c>
      <c r="O276" s="35">
        <f>IF($M276="",DATE(2100,12,31),$M276)</f>
        <v/>
      </c>
      <c r="P276" s="20" t="inlineStr"/>
      <c r="Q276" s="47" t="inlineStr"/>
      <c r="R276" s="16">
        <f>IF($C276="","",IFERROR(IF(INDEX(Deals!$U$2:$U$355,MATCH($C276,Deals!$A$2:$A$355,0))=0,"",INDEX(Deals!$U$2:$U$355,MATCH($C276,Deals!$A$2:$A$355,0))),""))</f>
        <v/>
      </c>
      <c r="S276" s="34">
        <f>IFERROR(IF($U276="",1,INDEX(Deals!$V$2:$V$355,MATCH($C276,Deals!$A$2:$A$355,0))),1)</f>
        <v/>
      </c>
      <c r="T276" s="34">
        <f>IFERROR(IF($U276="",1,INDEX(Deals!$W$2:$W$355,MATCH($C276,Deals!$A$2:$A$355,0))),1)</f>
        <v/>
      </c>
      <c r="U276" s="22">
        <f>IF($C276="","",IFERROR(IF(INDEX(Deals!$Y$2:$Y$355,MATCH($C276,Deals!$A$2:$A$355,0))=0,"",INDEX(Deals!$Y$2:$Y$355,MATCH($C276,Deals!$A$2:$A$355,0))),""))</f>
        <v/>
      </c>
      <c r="V276" s="35">
        <f>IF(OR($U276&lt;&gt;"",AND($AO276&gt;0,$L276&lt;&gt;"",$M276&lt;&gt;"")),$N276,DATE(1900,1,1))</f>
        <v/>
      </c>
      <c r="W276" s="35">
        <f>IF($U276&lt;&gt;"",$U276,IF(AND($AO276&gt;0,$L276&lt;&gt;"",$M276&lt;&gt;""),$O276,DATE(2100,12,31)))</f>
        <v/>
      </c>
      <c r="X276" s="32">
        <f>IF($U276="",$K276,$K276*$S276)</f>
        <v/>
      </c>
      <c r="Y276" s="35">
        <f>IF($U276="",DATE(2100,12,31),$U276+1)</f>
        <v/>
      </c>
      <c r="Z276" s="35">
        <f>IF($U276="",DATE(1900,1,1),$O276)</f>
        <v/>
      </c>
      <c r="AA276" s="32">
        <f>IF($U276="",0,$K276*$T276)</f>
        <v/>
      </c>
      <c r="AB276" s="21">
        <f>IF($C276="",0,IFERROR(INDEX(Deals!$AD$2:$AD$355,MATCH($C276,Deals!$A$2:$A$355,0)),0))</f>
        <v/>
      </c>
      <c r="AC276" s="32">
        <f>IF(Settings!$B$4="Yes",$I276*$AB276,$I276)</f>
        <v/>
      </c>
      <c r="AD276" s="22">
        <f>IF($C276="","",IFERROR(IF(INDEX(Deals!$AE$2:$AE$355,MATCH($C276,Deals!$A$2:$A$355,0))=0,"",INDEX(Deals!$AE$2:$AE$355,MATCH($C276,Deals!$A$2:$A$355,0))),""))</f>
        <v/>
      </c>
      <c r="AE276" s="22">
        <f>IF($C276="","",IFERROR(IF(INDEX(Deals!$AF$2:$AF$355,MATCH($C276,Deals!$A$2:$A$355,0))=0,"",INDEX(Deals!$AF$2:$AF$355,MATCH($C276,Deals!$A$2:$A$355,0))),""))</f>
        <v/>
      </c>
      <c r="AF276" s="35">
        <f>IF($AD276="",DATE(1900,1,1),$AD276)</f>
        <v/>
      </c>
      <c r="AG276" s="35">
        <f>IF($AE276="",DATE(2100,12,31),$AE276)</f>
        <v/>
      </c>
      <c r="AH276" s="22">
        <f>IF($C276="","",IFERROR(IF(INDEX(Deals!$AG$2:$AG$355,MATCH($C276,Deals!$A$2:$A$355,0))=0,"",INDEX(Deals!$AG$2:$AG$355,MATCH($C276,Deals!$A$2:$A$355,0))),""))</f>
        <v/>
      </c>
      <c r="AI276" s="35">
        <f>IF(OR($AH276&lt;&gt;"",AND($AO276&gt;0,$AD276&lt;&gt;"",$AE276&lt;&gt;"")),$AF276,DATE(1900,1,1))</f>
        <v/>
      </c>
      <c r="AJ276" s="35">
        <f>IF($AH276&lt;&gt;"",$AH276,IF(AND($AO276&gt;0,$AD276&lt;&gt;"",$AE276&lt;&gt;""),$AG276,DATE(2100,12,31)))</f>
        <v/>
      </c>
      <c r="AK276" s="32">
        <f>IF($AH276="",$AC276,$AC276*$S276)</f>
        <v/>
      </c>
      <c r="AL276" s="35">
        <f>IF($AH276="",DATE(2100,12,31),$AH276+1)</f>
        <v/>
      </c>
      <c r="AM276" s="35">
        <f>IF($AH276="",DATE(1900,1,1),$AG276)</f>
        <v/>
      </c>
      <c r="AN276" s="32">
        <f>IF($AH276="",0,$AC276*$T276)</f>
        <v/>
      </c>
      <c r="AO276" s="46">
        <f>IF($C276="",0,IFERROR(INDEX(Deals!$BD$2:$BD$355,MATCH($C276,Deals!$A$2:$A$355,0)),0))</f>
        <v/>
      </c>
      <c r="AP276" s="18">
        <f>IF($AO276=0,0,IFERROR(INDEX(Deals!$BJ$2:$BP$355,MATCH($C276,Deals!$A$2:$A$355,0),MATCH($F276,Deals!$BJ$1:$BP$1,0))/COUNTIFS(Assignments!$C$2:$C$769,$C276,Assignments!$F$2:$F$769,$F276,Assignments!$G$2:$G$769,"Active"),0))</f>
        <v/>
      </c>
    </row>
    <row r="277">
      <c r="A277" s="28" t="inlineStr">
        <is>
          <t>Kyle Risser</t>
        </is>
      </c>
      <c r="B277" s="16">
        <f>IF($A277="","",IFERROR(INDEX(Roster!$B$2:$B$40,MATCH($A277,Roster!$A$2:$A$40,0)),"?"))</f>
        <v/>
      </c>
      <c r="C277" s="28" t="inlineStr">
        <is>
          <t>Prince_3</t>
        </is>
      </c>
      <c r="D277" s="16">
        <f>IF($C277="","",IFERROR(IF(INDEX(Deals!$C$2:$C$355,MATCH($C277,Deals!$A$2:$A$355,0))=0,"",INDEX(Deals!$C$2:$C$355,MATCH($C277,Deals!$A$2:$A$355,0))),"?"))</f>
        <v/>
      </c>
      <c r="E277" s="16">
        <f>IF($C277="","",IFERROR(INDEX(Deals!$F$2:$F$355,MATCH($C277,Deals!$A$2:$A$355,0)),"?"))</f>
        <v/>
      </c>
      <c r="F277" s="28" t="inlineStr">
        <is>
          <t>Director</t>
        </is>
      </c>
      <c r="G277" s="28" t="inlineStr">
        <is>
          <t>Active</t>
        </is>
      </c>
      <c r="H277" s="31" t="n"/>
      <c r="I277" s="32">
        <f>IF(OR($A277="",$G277&lt;&gt;"Active"),0,IF($H277&lt;&gt;"",$H277,IF($AO277&gt;0,$AP277,IF(AND($R277&lt;&gt;"",IFERROR(INDEX(Templates!$B$3:$H$10,MATCH($R277,Templates!$A$3:$A$10,0),MATCH($F277,Templates!$B$2:$H$2,0)),0)&gt;0),INDEX(Templates!$B$3:$H$10,MATCH($R277,Templates!$A$3:$A$10,0),MATCH($F277,Templates!$B$2:$H$2,0)),IFERROR(INDEX(Settings!$B$8:$B$14,MATCH($F277,Settings!$A$8:$A$14,0)),0)))))</f>
        <v/>
      </c>
      <c r="J277" s="21">
        <f>IF($C277="",0,IFERROR(INDEX(Deals!$H$2:$H$355,MATCH($C277,Deals!$A$2:$A$355,0)),0))</f>
        <v/>
      </c>
      <c r="K277" s="32">
        <f>IF(Settings!$B$4="Yes",$I277*$J277,$I277)</f>
        <v/>
      </c>
      <c r="L277" s="22">
        <f>IF($C277="","",IFERROR(IF(INDEX(Deals!$I$2:$I$355,MATCH($C277,Deals!$A$2:$A$355,0))=0,"",INDEX(Deals!$I$2:$I$355,MATCH($C277,Deals!$A$2:$A$355,0))),""))</f>
        <v/>
      </c>
      <c r="M277" s="22">
        <f>IF($C277="","",IFERROR(IF(INDEX(Deals!$J$2:$J$355,MATCH($C277,Deals!$A$2:$A$355,0))=0,"",INDEX(Deals!$J$2:$J$355,MATCH($C277,Deals!$A$2:$A$355,0))),""))</f>
        <v/>
      </c>
      <c r="N277" s="35">
        <f>IF($L277="",DATE(1900,1,1),$L277)</f>
        <v/>
      </c>
      <c r="O277" s="35">
        <f>IF($M277="",DATE(2100,12,31),$M277)</f>
        <v/>
      </c>
      <c r="P277" s="20" t="inlineStr"/>
      <c r="Q277" s="47" t="inlineStr"/>
      <c r="R277" s="16">
        <f>IF($C277="","",IFERROR(IF(INDEX(Deals!$U$2:$U$355,MATCH($C277,Deals!$A$2:$A$355,0))=0,"",INDEX(Deals!$U$2:$U$355,MATCH($C277,Deals!$A$2:$A$355,0))),""))</f>
        <v/>
      </c>
      <c r="S277" s="34">
        <f>IFERROR(IF($U277="",1,INDEX(Deals!$V$2:$V$355,MATCH($C277,Deals!$A$2:$A$355,0))),1)</f>
        <v/>
      </c>
      <c r="T277" s="34">
        <f>IFERROR(IF($U277="",1,INDEX(Deals!$W$2:$W$355,MATCH($C277,Deals!$A$2:$A$355,0))),1)</f>
        <v/>
      </c>
      <c r="U277" s="22">
        <f>IF($C277="","",IFERROR(IF(INDEX(Deals!$Y$2:$Y$355,MATCH($C277,Deals!$A$2:$A$355,0))=0,"",INDEX(Deals!$Y$2:$Y$355,MATCH($C277,Deals!$A$2:$A$355,0))),""))</f>
        <v/>
      </c>
      <c r="V277" s="35">
        <f>IF(OR($U277&lt;&gt;"",AND($AO277&gt;0,$L277&lt;&gt;"",$M277&lt;&gt;"")),$N277,DATE(1900,1,1))</f>
        <v/>
      </c>
      <c r="W277" s="35">
        <f>IF($U277&lt;&gt;"",$U277,IF(AND($AO277&gt;0,$L277&lt;&gt;"",$M277&lt;&gt;""),$O277,DATE(2100,12,31)))</f>
        <v/>
      </c>
      <c r="X277" s="32">
        <f>IF($U277="",$K277,$K277*$S277)</f>
        <v/>
      </c>
      <c r="Y277" s="35">
        <f>IF($U277="",DATE(2100,12,31),$U277+1)</f>
        <v/>
      </c>
      <c r="Z277" s="35">
        <f>IF($U277="",DATE(1900,1,1),$O277)</f>
        <v/>
      </c>
      <c r="AA277" s="32">
        <f>IF($U277="",0,$K277*$T277)</f>
        <v/>
      </c>
      <c r="AB277" s="21">
        <f>IF($C277="",0,IFERROR(INDEX(Deals!$AD$2:$AD$355,MATCH($C277,Deals!$A$2:$A$355,0)),0))</f>
        <v/>
      </c>
      <c r="AC277" s="32">
        <f>IF(Settings!$B$4="Yes",$I277*$AB277,$I277)</f>
        <v/>
      </c>
      <c r="AD277" s="22">
        <f>IF($C277="","",IFERROR(IF(INDEX(Deals!$AE$2:$AE$355,MATCH($C277,Deals!$A$2:$A$355,0))=0,"",INDEX(Deals!$AE$2:$AE$355,MATCH($C277,Deals!$A$2:$A$355,0))),""))</f>
        <v/>
      </c>
      <c r="AE277" s="22">
        <f>IF($C277="","",IFERROR(IF(INDEX(Deals!$AF$2:$AF$355,MATCH($C277,Deals!$A$2:$A$355,0))=0,"",INDEX(Deals!$AF$2:$AF$355,MATCH($C277,Deals!$A$2:$A$355,0))),""))</f>
        <v/>
      </c>
      <c r="AF277" s="35">
        <f>IF($AD277="",DATE(1900,1,1),$AD277)</f>
        <v/>
      </c>
      <c r="AG277" s="35">
        <f>IF($AE277="",DATE(2100,12,31),$AE277)</f>
        <v/>
      </c>
      <c r="AH277" s="22">
        <f>IF($C277="","",IFERROR(IF(INDEX(Deals!$AG$2:$AG$355,MATCH($C277,Deals!$A$2:$A$355,0))=0,"",INDEX(Deals!$AG$2:$AG$355,MATCH($C277,Deals!$A$2:$A$355,0))),""))</f>
        <v/>
      </c>
      <c r="AI277" s="35">
        <f>IF(OR($AH277&lt;&gt;"",AND($AO277&gt;0,$AD277&lt;&gt;"",$AE277&lt;&gt;"")),$AF277,DATE(1900,1,1))</f>
        <v/>
      </c>
      <c r="AJ277" s="35">
        <f>IF($AH277&lt;&gt;"",$AH277,IF(AND($AO277&gt;0,$AD277&lt;&gt;"",$AE277&lt;&gt;""),$AG277,DATE(2100,12,31)))</f>
        <v/>
      </c>
      <c r="AK277" s="32">
        <f>IF($AH277="",$AC277,$AC277*$S277)</f>
        <v/>
      </c>
      <c r="AL277" s="35">
        <f>IF($AH277="",DATE(2100,12,31),$AH277+1)</f>
        <v/>
      </c>
      <c r="AM277" s="35">
        <f>IF($AH277="",DATE(1900,1,1),$AG277)</f>
        <v/>
      </c>
      <c r="AN277" s="32">
        <f>IF($AH277="",0,$AC277*$T277)</f>
        <v/>
      </c>
      <c r="AO277" s="46">
        <f>IF($C277="",0,IFERROR(INDEX(Deals!$BD$2:$BD$355,MATCH($C277,Deals!$A$2:$A$355,0)),0))</f>
        <v/>
      </c>
      <c r="AP277" s="18">
        <f>IF($AO277=0,0,IFERROR(INDEX(Deals!$BJ$2:$BP$355,MATCH($C277,Deals!$A$2:$A$355,0),MATCH($F277,Deals!$BJ$1:$BP$1,0))/COUNTIFS(Assignments!$C$2:$C$769,$C277,Assignments!$F$2:$F$769,$F277,Assignments!$G$2:$G$769,"Active"),0))</f>
        <v/>
      </c>
    </row>
    <row r="278">
      <c r="A278" s="28" t="inlineStr">
        <is>
          <t>Kyle Risser</t>
        </is>
      </c>
      <c r="B278" s="16">
        <f>IF($A278="","",IFERROR(INDEX(Roster!$B$2:$B$40,MATCH($A278,Roster!$A$2:$A$40,0)),"?"))</f>
        <v/>
      </c>
      <c r="C278" s="28" t="inlineStr">
        <is>
          <t>Shika_1</t>
        </is>
      </c>
      <c r="D278" s="16">
        <f>IF($C278="","",IFERROR(IF(INDEX(Deals!$C$2:$C$355,MATCH($C278,Deals!$A$2:$A$355,0))=0,"",INDEX(Deals!$C$2:$C$355,MATCH($C278,Deals!$A$2:$A$355,0))),"?"))</f>
        <v/>
      </c>
      <c r="E278" s="16">
        <f>IF($C278="","",IFERROR(INDEX(Deals!$F$2:$F$355,MATCH($C278,Deals!$A$2:$A$355,0)),"?"))</f>
        <v/>
      </c>
      <c r="F278" s="28" t="inlineStr">
        <is>
          <t>Director</t>
        </is>
      </c>
      <c r="G278" s="28" t="inlineStr">
        <is>
          <t>Active</t>
        </is>
      </c>
      <c r="H278" s="31" t="n"/>
      <c r="I278" s="32">
        <f>IF(OR($A278="",$G278&lt;&gt;"Active"),0,IF($H278&lt;&gt;"",$H278,IF($AO278&gt;0,$AP278,IF(AND($R278&lt;&gt;"",IFERROR(INDEX(Templates!$B$3:$H$10,MATCH($R278,Templates!$A$3:$A$10,0),MATCH($F278,Templates!$B$2:$H$2,0)),0)&gt;0),INDEX(Templates!$B$3:$H$10,MATCH($R278,Templates!$A$3:$A$10,0),MATCH($F278,Templates!$B$2:$H$2,0)),IFERROR(INDEX(Settings!$B$8:$B$14,MATCH($F278,Settings!$A$8:$A$14,0)),0)))))</f>
        <v/>
      </c>
      <c r="J278" s="21">
        <f>IF($C278="",0,IFERROR(INDEX(Deals!$H$2:$H$355,MATCH($C278,Deals!$A$2:$A$355,0)),0))</f>
        <v/>
      </c>
      <c r="K278" s="32">
        <f>IF(Settings!$B$4="Yes",$I278*$J278,$I278)</f>
        <v/>
      </c>
      <c r="L278" s="22">
        <f>IF($C278="","",IFERROR(IF(INDEX(Deals!$I$2:$I$355,MATCH($C278,Deals!$A$2:$A$355,0))=0,"",INDEX(Deals!$I$2:$I$355,MATCH($C278,Deals!$A$2:$A$355,0))),""))</f>
        <v/>
      </c>
      <c r="M278" s="22">
        <f>IF($C278="","",IFERROR(IF(INDEX(Deals!$J$2:$J$355,MATCH($C278,Deals!$A$2:$A$355,0))=0,"",INDEX(Deals!$J$2:$J$355,MATCH($C278,Deals!$A$2:$A$355,0))),""))</f>
        <v/>
      </c>
      <c r="N278" s="35">
        <f>IF($L278="",DATE(1900,1,1),$L278)</f>
        <v/>
      </c>
      <c r="O278" s="35">
        <f>IF($M278="",DATE(2100,12,31),$M278)</f>
        <v/>
      </c>
      <c r="P278" s="20" t="inlineStr"/>
      <c r="Q278" s="47" t="inlineStr"/>
      <c r="R278" s="16">
        <f>IF($C278="","",IFERROR(IF(INDEX(Deals!$U$2:$U$355,MATCH($C278,Deals!$A$2:$A$355,0))=0,"",INDEX(Deals!$U$2:$U$355,MATCH($C278,Deals!$A$2:$A$355,0))),""))</f>
        <v/>
      </c>
      <c r="S278" s="34">
        <f>IFERROR(IF($U278="",1,INDEX(Deals!$V$2:$V$355,MATCH($C278,Deals!$A$2:$A$355,0))),1)</f>
        <v/>
      </c>
      <c r="T278" s="34">
        <f>IFERROR(IF($U278="",1,INDEX(Deals!$W$2:$W$355,MATCH($C278,Deals!$A$2:$A$355,0))),1)</f>
        <v/>
      </c>
      <c r="U278" s="22">
        <f>IF($C278="","",IFERROR(IF(INDEX(Deals!$Y$2:$Y$355,MATCH($C278,Deals!$A$2:$A$355,0))=0,"",INDEX(Deals!$Y$2:$Y$355,MATCH($C278,Deals!$A$2:$A$355,0))),""))</f>
        <v/>
      </c>
      <c r="V278" s="35">
        <f>IF(OR($U278&lt;&gt;"",AND($AO278&gt;0,$L278&lt;&gt;"",$M278&lt;&gt;"")),$N278,DATE(1900,1,1))</f>
        <v/>
      </c>
      <c r="W278" s="35">
        <f>IF($U278&lt;&gt;"",$U278,IF(AND($AO278&gt;0,$L278&lt;&gt;"",$M278&lt;&gt;""),$O278,DATE(2100,12,31)))</f>
        <v/>
      </c>
      <c r="X278" s="32">
        <f>IF($U278="",$K278,$K278*$S278)</f>
        <v/>
      </c>
      <c r="Y278" s="35">
        <f>IF($U278="",DATE(2100,12,31),$U278+1)</f>
        <v/>
      </c>
      <c r="Z278" s="35">
        <f>IF($U278="",DATE(1900,1,1),$O278)</f>
        <v/>
      </c>
      <c r="AA278" s="32">
        <f>IF($U278="",0,$K278*$T278)</f>
        <v/>
      </c>
      <c r="AB278" s="21">
        <f>IF($C278="",0,IFERROR(INDEX(Deals!$AD$2:$AD$355,MATCH($C278,Deals!$A$2:$A$355,0)),0))</f>
        <v/>
      </c>
      <c r="AC278" s="32">
        <f>IF(Settings!$B$4="Yes",$I278*$AB278,$I278)</f>
        <v/>
      </c>
      <c r="AD278" s="22">
        <f>IF($C278="","",IFERROR(IF(INDEX(Deals!$AE$2:$AE$355,MATCH($C278,Deals!$A$2:$A$355,0))=0,"",INDEX(Deals!$AE$2:$AE$355,MATCH($C278,Deals!$A$2:$A$355,0))),""))</f>
        <v/>
      </c>
      <c r="AE278" s="22">
        <f>IF($C278="","",IFERROR(IF(INDEX(Deals!$AF$2:$AF$355,MATCH($C278,Deals!$A$2:$A$355,0))=0,"",INDEX(Deals!$AF$2:$AF$355,MATCH($C278,Deals!$A$2:$A$355,0))),""))</f>
        <v/>
      </c>
      <c r="AF278" s="35">
        <f>IF($AD278="",DATE(1900,1,1),$AD278)</f>
        <v/>
      </c>
      <c r="AG278" s="35">
        <f>IF($AE278="",DATE(2100,12,31),$AE278)</f>
        <v/>
      </c>
      <c r="AH278" s="22">
        <f>IF($C278="","",IFERROR(IF(INDEX(Deals!$AG$2:$AG$355,MATCH($C278,Deals!$A$2:$A$355,0))=0,"",INDEX(Deals!$AG$2:$AG$355,MATCH($C278,Deals!$A$2:$A$355,0))),""))</f>
        <v/>
      </c>
      <c r="AI278" s="35">
        <f>IF(OR($AH278&lt;&gt;"",AND($AO278&gt;0,$AD278&lt;&gt;"",$AE278&lt;&gt;"")),$AF278,DATE(1900,1,1))</f>
        <v/>
      </c>
      <c r="AJ278" s="35">
        <f>IF($AH278&lt;&gt;"",$AH278,IF(AND($AO278&gt;0,$AD278&lt;&gt;"",$AE278&lt;&gt;""),$AG278,DATE(2100,12,31)))</f>
        <v/>
      </c>
      <c r="AK278" s="32">
        <f>IF($AH278="",$AC278,$AC278*$S278)</f>
        <v/>
      </c>
      <c r="AL278" s="35">
        <f>IF($AH278="",DATE(2100,12,31),$AH278+1)</f>
        <v/>
      </c>
      <c r="AM278" s="35">
        <f>IF($AH278="",DATE(1900,1,1),$AG278)</f>
        <v/>
      </c>
      <c r="AN278" s="32">
        <f>IF($AH278="",0,$AC278*$T278)</f>
        <v/>
      </c>
      <c r="AO278" s="46">
        <f>IF($C278="",0,IFERROR(INDEX(Deals!$BD$2:$BD$355,MATCH($C278,Deals!$A$2:$A$355,0)),0))</f>
        <v/>
      </c>
      <c r="AP278" s="18">
        <f>IF($AO278=0,0,IFERROR(INDEX(Deals!$BJ$2:$BP$355,MATCH($C278,Deals!$A$2:$A$355,0),MATCH($F278,Deals!$BJ$1:$BP$1,0))/COUNTIFS(Assignments!$C$2:$C$769,$C278,Assignments!$F$2:$F$769,$F278,Assignments!$G$2:$G$769,"Active"),0))</f>
        <v/>
      </c>
    </row>
    <row r="279">
      <c r="A279" s="28" t="inlineStr">
        <is>
          <t>Kyle Risser</t>
        </is>
      </c>
      <c r="B279" s="16">
        <f>IF($A279="","",IFERROR(INDEX(Roster!$B$2:$B$40,MATCH($A279,Roster!$A$2:$A$40,0)),"?"))</f>
        <v/>
      </c>
      <c r="C279" s="28" t="inlineStr">
        <is>
          <t>Truman_1</t>
        </is>
      </c>
      <c r="D279" s="16">
        <f>IF($C279="","",IFERROR(IF(INDEX(Deals!$C$2:$C$355,MATCH($C279,Deals!$A$2:$A$355,0))=0,"",INDEX(Deals!$C$2:$C$355,MATCH($C279,Deals!$A$2:$A$355,0))),"?"))</f>
        <v/>
      </c>
      <c r="E279" s="16">
        <f>IF($C279="","",IFERROR(INDEX(Deals!$F$2:$F$355,MATCH($C279,Deals!$A$2:$A$355,0)),"?"))</f>
        <v/>
      </c>
      <c r="F279" s="28" t="inlineStr">
        <is>
          <t>Director</t>
        </is>
      </c>
      <c r="G279" s="28" t="inlineStr">
        <is>
          <t>Active</t>
        </is>
      </c>
      <c r="H279" s="31" t="n"/>
      <c r="I279" s="32">
        <f>IF(OR($A279="",$G279&lt;&gt;"Active"),0,IF($H279&lt;&gt;"",$H279,IF($AO279&gt;0,$AP279,IF(AND($R279&lt;&gt;"",IFERROR(INDEX(Templates!$B$3:$H$10,MATCH($R279,Templates!$A$3:$A$10,0),MATCH($F279,Templates!$B$2:$H$2,0)),0)&gt;0),INDEX(Templates!$B$3:$H$10,MATCH($R279,Templates!$A$3:$A$10,0),MATCH($F279,Templates!$B$2:$H$2,0)),IFERROR(INDEX(Settings!$B$8:$B$14,MATCH($F279,Settings!$A$8:$A$14,0)),0)))))</f>
        <v/>
      </c>
      <c r="J279" s="21">
        <f>IF($C279="",0,IFERROR(INDEX(Deals!$H$2:$H$355,MATCH($C279,Deals!$A$2:$A$355,0)),0))</f>
        <v/>
      </c>
      <c r="K279" s="32">
        <f>IF(Settings!$B$4="Yes",$I279*$J279,$I279)</f>
        <v/>
      </c>
      <c r="L279" s="22">
        <f>IF($C279="","",IFERROR(IF(INDEX(Deals!$I$2:$I$355,MATCH($C279,Deals!$A$2:$A$355,0))=0,"",INDEX(Deals!$I$2:$I$355,MATCH($C279,Deals!$A$2:$A$355,0))),""))</f>
        <v/>
      </c>
      <c r="M279" s="22">
        <f>IF($C279="","",IFERROR(IF(INDEX(Deals!$J$2:$J$355,MATCH($C279,Deals!$A$2:$A$355,0))=0,"",INDEX(Deals!$J$2:$J$355,MATCH($C279,Deals!$A$2:$A$355,0))),""))</f>
        <v/>
      </c>
      <c r="N279" s="35">
        <f>IF($L279="",DATE(1900,1,1),$L279)</f>
        <v/>
      </c>
      <c r="O279" s="35">
        <f>IF($M279="",DATE(2100,12,31),$M279)</f>
        <v/>
      </c>
      <c r="P279" s="20" t="inlineStr"/>
      <c r="Q279" s="47" t="inlineStr"/>
      <c r="R279" s="16">
        <f>IF($C279="","",IFERROR(IF(INDEX(Deals!$U$2:$U$355,MATCH($C279,Deals!$A$2:$A$355,0))=0,"",INDEX(Deals!$U$2:$U$355,MATCH($C279,Deals!$A$2:$A$355,0))),""))</f>
        <v/>
      </c>
      <c r="S279" s="34">
        <f>IFERROR(IF($U279="",1,INDEX(Deals!$V$2:$V$355,MATCH($C279,Deals!$A$2:$A$355,0))),1)</f>
        <v/>
      </c>
      <c r="T279" s="34">
        <f>IFERROR(IF($U279="",1,INDEX(Deals!$W$2:$W$355,MATCH($C279,Deals!$A$2:$A$355,0))),1)</f>
        <v/>
      </c>
      <c r="U279" s="22">
        <f>IF($C279="","",IFERROR(IF(INDEX(Deals!$Y$2:$Y$355,MATCH($C279,Deals!$A$2:$A$355,0))=0,"",INDEX(Deals!$Y$2:$Y$355,MATCH($C279,Deals!$A$2:$A$355,0))),""))</f>
        <v/>
      </c>
      <c r="V279" s="35">
        <f>IF(OR($U279&lt;&gt;"",AND($AO279&gt;0,$L279&lt;&gt;"",$M279&lt;&gt;"")),$N279,DATE(1900,1,1))</f>
        <v/>
      </c>
      <c r="W279" s="35">
        <f>IF($U279&lt;&gt;"",$U279,IF(AND($AO279&gt;0,$L279&lt;&gt;"",$M279&lt;&gt;""),$O279,DATE(2100,12,31)))</f>
        <v/>
      </c>
      <c r="X279" s="32">
        <f>IF($U279="",$K279,$K279*$S279)</f>
        <v/>
      </c>
      <c r="Y279" s="35">
        <f>IF($U279="",DATE(2100,12,31),$U279+1)</f>
        <v/>
      </c>
      <c r="Z279" s="35">
        <f>IF($U279="",DATE(1900,1,1),$O279)</f>
        <v/>
      </c>
      <c r="AA279" s="32">
        <f>IF($U279="",0,$K279*$T279)</f>
        <v/>
      </c>
      <c r="AB279" s="21">
        <f>IF($C279="",0,IFERROR(INDEX(Deals!$AD$2:$AD$355,MATCH($C279,Deals!$A$2:$A$355,0)),0))</f>
        <v/>
      </c>
      <c r="AC279" s="32">
        <f>IF(Settings!$B$4="Yes",$I279*$AB279,$I279)</f>
        <v/>
      </c>
      <c r="AD279" s="22">
        <f>IF($C279="","",IFERROR(IF(INDEX(Deals!$AE$2:$AE$355,MATCH($C279,Deals!$A$2:$A$355,0))=0,"",INDEX(Deals!$AE$2:$AE$355,MATCH($C279,Deals!$A$2:$A$355,0))),""))</f>
        <v/>
      </c>
      <c r="AE279" s="22">
        <f>IF($C279="","",IFERROR(IF(INDEX(Deals!$AF$2:$AF$355,MATCH($C279,Deals!$A$2:$A$355,0))=0,"",INDEX(Deals!$AF$2:$AF$355,MATCH($C279,Deals!$A$2:$A$355,0))),""))</f>
        <v/>
      </c>
      <c r="AF279" s="35">
        <f>IF($AD279="",DATE(1900,1,1),$AD279)</f>
        <v/>
      </c>
      <c r="AG279" s="35">
        <f>IF($AE279="",DATE(2100,12,31),$AE279)</f>
        <v/>
      </c>
      <c r="AH279" s="22">
        <f>IF($C279="","",IFERROR(IF(INDEX(Deals!$AG$2:$AG$355,MATCH($C279,Deals!$A$2:$A$355,0))=0,"",INDEX(Deals!$AG$2:$AG$355,MATCH($C279,Deals!$A$2:$A$355,0))),""))</f>
        <v/>
      </c>
      <c r="AI279" s="35">
        <f>IF(OR($AH279&lt;&gt;"",AND($AO279&gt;0,$AD279&lt;&gt;"",$AE279&lt;&gt;"")),$AF279,DATE(1900,1,1))</f>
        <v/>
      </c>
      <c r="AJ279" s="35">
        <f>IF($AH279&lt;&gt;"",$AH279,IF(AND($AO279&gt;0,$AD279&lt;&gt;"",$AE279&lt;&gt;""),$AG279,DATE(2100,12,31)))</f>
        <v/>
      </c>
      <c r="AK279" s="32">
        <f>IF($AH279="",$AC279,$AC279*$S279)</f>
        <v/>
      </c>
      <c r="AL279" s="35">
        <f>IF($AH279="",DATE(2100,12,31),$AH279+1)</f>
        <v/>
      </c>
      <c r="AM279" s="35">
        <f>IF($AH279="",DATE(1900,1,1),$AG279)</f>
        <v/>
      </c>
      <c r="AN279" s="32">
        <f>IF($AH279="",0,$AC279*$T279)</f>
        <v/>
      </c>
      <c r="AO279" s="46">
        <f>IF($C279="",0,IFERROR(INDEX(Deals!$BD$2:$BD$355,MATCH($C279,Deals!$A$2:$A$355,0)),0))</f>
        <v/>
      </c>
      <c r="AP279" s="18">
        <f>IF($AO279=0,0,IFERROR(INDEX(Deals!$BJ$2:$BP$355,MATCH($C279,Deals!$A$2:$A$355,0),MATCH($F279,Deals!$BJ$1:$BP$1,0))/COUNTIFS(Assignments!$C$2:$C$769,$C279,Assignments!$F$2:$F$769,$F279,Assignments!$G$2:$G$769,"Active"),0))</f>
        <v/>
      </c>
    </row>
    <row r="280">
      <c r="A280" s="28" t="inlineStr">
        <is>
          <t>Kyle Risser</t>
        </is>
      </c>
      <c r="B280" s="16">
        <f>IF($A280="","",IFERROR(INDEX(Roster!$B$2:$B$40,MATCH($A280,Roster!$A$2:$A$40,0)),"?"))</f>
        <v/>
      </c>
      <c r="C280" s="28" t="inlineStr">
        <is>
          <t>Truman_2</t>
        </is>
      </c>
      <c r="D280" s="16">
        <f>IF($C280="","",IFERROR(IF(INDEX(Deals!$C$2:$C$355,MATCH($C280,Deals!$A$2:$A$355,0))=0,"",INDEX(Deals!$C$2:$C$355,MATCH($C280,Deals!$A$2:$A$355,0))),"?"))</f>
        <v/>
      </c>
      <c r="E280" s="16">
        <f>IF($C280="","",IFERROR(INDEX(Deals!$F$2:$F$355,MATCH($C280,Deals!$A$2:$A$355,0)),"?"))</f>
        <v/>
      </c>
      <c r="F280" s="28" t="inlineStr">
        <is>
          <t>Director</t>
        </is>
      </c>
      <c r="G280" s="28" t="inlineStr">
        <is>
          <t>Active</t>
        </is>
      </c>
      <c r="H280" s="31" t="n"/>
      <c r="I280" s="32">
        <f>IF(OR($A280="",$G280&lt;&gt;"Active"),0,IF($H280&lt;&gt;"",$H280,IF($AO280&gt;0,$AP280,IF(AND($R280&lt;&gt;"",IFERROR(INDEX(Templates!$B$3:$H$10,MATCH($R280,Templates!$A$3:$A$10,0),MATCH($F280,Templates!$B$2:$H$2,0)),0)&gt;0),INDEX(Templates!$B$3:$H$10,MATCH($R280,Templates!$A$3:$A$10,0),MATCH($F280,Templates!$B$2:$H$2,0)),IFERROR(INDEX(Settings!$B$8:$B$14,MATCH($F280,Settings!$A$8:$A$14,0)),0)))))</f>
        <v/>
      </c>
      <c r="J280" s="21">
        <f>IF($C280="",0,IFERROR(INDEX(Deals!$H$2:$H$355,MATCH($C280,Deals!$A$2:$A$355,0)),0))</f>
        <v/>
      </c>
      <c r="K280" s="32">
        <f>IF(Settings!$B$4="Yes",$I280*$J280,$I280)</f>
        <v/>
      </c>
      <c r="L280" s="22">
        <f>IF($C280="","",IFERROR(IF(INDEX(Deals!$I$2:$I$355,MATCH($C280,Deals!$A$2:$A$355,0))=0,"",INDEX(Deals!$I$2:$I$355,MATCH($C280,Deals!$A$2:$A$355,0))),""))</f>
        <v/>
      </c>
      <c r="M280" s="22">
        <f>IF($C280="","",IFERROR(IF(INDEX(Deals!$J$2:$J$355,MATCH($C280,Deals!$A$2:$A$355,0))=0,"",INDEX(Deals!$J$2:$J$355,MATCH($C280,Deals!$A$2:$A$355,0))),""))</f>
        <v/>
      </c>
      <c r="N280" s="35">
        <f>IF($L280="",DATE(1900,1,1),$L280)</f>
        <v/>
      </c>
      <c r="O280" s="35">
        <f>IF($M280="",DATE(2100,12,31),$M280)</f>
        <v/>
      </c>
      <c r="P280" s="20" t="inlineStr"/>
      <c r="Q280" s="47" t="inlineStr"/>
      <c r="R280" s="16">
        <f>IF($C280="","",IFERROR(IF(INDEX(Deals!$U$2:$U$355,MATCH($C280,Deals!$A$2:$A$355,0))=0,"",INDEX(Deals!$U$2:$U$355,MATCH($C280,Deals!$A$2:$A$355,0))),""))</f>
        <v/>
      </c>
      <c r="S280" s="34">
        <f>IFERROR(IF($U280="",1,INDEX(Deals!$V$2:$V$355,MATCH($C280,Deals!$A$2:$A$355,0))),1)</f>
        <v/>
      </c>
      <c r="T280" s="34">
        <f>IFERROR(IF($U280="",1,INDEX(Deals!$W$2:$W$355,MATCH($C280,Deals!$A$2:$A$355,0))),1)</f>
        <v/>
      </c>
      <c r="U280" s="22">
        <f>IF($C280="","",IFERROR(IF(INDEX(Deals!$Y$2:$Y$355,MATCH($C280,Deals!$A$2:$A$355,0))=0,"",INDEX(Deals!$Y$2:$Y$355,MATCH($C280,Deals!$A$2:$A$355,0))),""))</f>
        <v/>
      </c>
      <c r="V280" s="35">
        <f>IF(OR($U280&lt;&gt;"",AND($AO280&gt;0,$L280&lt;&gt;"",$M280&lt;&gt;"")),$N280,DATE(1900,1,1))</f>
        <v/>
      </c>
      <c r="W280" s="35">
        <f>IF($U280&lt;&gt;"",$U280,IF(AND($AO280&gt;0,$L280&lt;&gt;"",$M280&lt;&gt;""),$O280,DATE(2100,12,31)))</f>
        <v/>
      </c>
      <c r="X280" s="32">
        <f>IF($U280="",$K280,$K280*$S280)</f>
        <v/>
      </c>
      <c r="Y280" s="35">
        <f>IF($U280="",DATE(2100,12,31),$U280+1)</f>
        <v/>
      </c>
      <c r="Z280" s="35">
        <f>IF($U280="",DATE(1900,1,1),$O280)</f>
        <v/>
      </c>
      <c r="AA280" s="32">
        <f>IF($U280="",0,$K280*$T280)</f>
        <v/>
      </c>
      <c r="AB280" s="21">
        <f>IF($C280="",0,IFERROR(INDEX(Deals!$AD$2:$AD$355,MATCH($C280,Deals!$A$2:$A$355,0)),0))</f>
        <v/>
      </c>
      <c r="AC280" s="32">
        <f>IF(Settings!$B$4="Yes",$I280*$AB280,$I280)</f>
        <v/>
      </c>
      <c r="AD280" s="22">
        <f>IF($C280="","",IFERROR(IF(INDEX(Deals!$AE$2:$AE$355,MATCH($C280,Deals!$A$2:$A$355,0))=0,"",INDEX(Deals!$AE$2:$AE$355,MATCH($C280,Deals!$A$2:$A$355,0))),""))</f>
        <v/>
      </c>
      <c r="AE280" s="22">
        <f>IF($C280="","",IFERROR(IF(INDEX(Deals!$AF$2:$AF$355,MATCH($C280,Deals!$A$2:$A$355,0))=0,"",INDEX(Deals!$AF$2:$AF$355,MATCH($C280,Deals!$A$2:$A$355,0))),""))</f>
        <v/>
      </c>
      <c r="AF280" s="35">
        <f>IF($AD280="",DATE(1900,1,1),$AD280)</f>
        <v/>
      </c>
      <c r="AG280" s="35">
        <f>IF($AE280="",DATE(2100,12,31),$AE280)</f>
        <v/>
      </c>
      <c r="AH280" s="22">
        <f>IF($C280="","",IFERROR(IF(INDEX(Deals!$AG$2:$AG$355,MATCH($C280,Deals!$A$2:$A$355,0))=0,"",INDEX(Deals!$AG$2:$AG$355,MATCH($C280,Deals!$A$2:$A$355,0))),""))</f>
        <v/>
      </c>
      <c r="AI280" s="35">
        <f>IF(OR($AH280&lt;&gt;"",AND($AO280&gt;0,$AD280&lt;&gt;"",$AE280&lt;&gt;"")),$AF280,DATE(1900,1,1))</f>
        <v/>
      </c>
      <c r="AJ280" s="35">
        <f>IF($AH280&lt;&gt;"",$AH280,IF(AND($AO280&gt;0,$AD280&lt;&gt;"",$AE280&lt;&gt;""),$AG280,DATE(2100,12,31)))</f>
        <v/>
      </c>
      <c r="AK280" s="32">
        <f>IF($AH280="",$AC280,$AC280*$S280)</f>
        <v/>
      </c>
      <c r="AL280" s="35">
        <f>IF($AH280="",DATE(2100,12,31),$AH280+1)</f>
        <v/>
      </c>
      <c r="AM280" s="35">
        <f>IF($AH280="",DATE(1900,1,1),$AG280)</f>
        <v/>
      </c>
      <c r="AN280" s="32">
        <f>IF($AH280="",0,$AC280*$T280)</f>
        <v/>
      </c>
      <c r="AO280" s="46">
        <f>IF($C280="",0,IFERROR(INDEX(Deals!$BD$2:$BD$355,MATCH($C280,Deals!$A$2:$A$355,0)),0))</f>
        <v/>
      </c>
      <c r="AP280" s="18">
        <f>IF($AO280=0,0,IFERROR(INDEX(Deals!$BJ$2:$BP$355,MATCH($C280,Deals!$A$2:$A$355,0),MATCH($F280,Deals!$BJ$1:$BP$1,0))/COUNTIFS(Assignments!$C$2:$C$769,$C280,Assignments!$F$2:$F$769,$F280,Assignments!$G$2:$G$769,"Active"),0))</f>
        <v/>
      </c>
    </row>
    <row r="281">
      <c r="A281" s="28" t="inlineStr">
        <is>
          <t>Will Covalt</t>
        </is>
      </c>
      <c r="B281" s="16">
        <f>IF($A281="","",IFERROR(INDEX(Roster!$B$2:$B$40,MATCH($A281,Roster!$A$2:$A$40,0)),"?"))</f>
        <v/>
      </c>
      <c r="C281" s="28" t="inlineStr">
        <is>
          <t>Blue_6</t>
        </is>
      </c>
      <c r="D281" s="16">
        <f>IF($C281="","",IFERROR(IF(INDEX(Deals!$C$2:$C$355,MATCH($C281,Deals!$A$2:$A$355,0))=0,"",INDEX(Deals!$C$2:$C$355,MATCH($C281,Deals!$A$2:$A$355,0))),"?"))</f>
        <v/>
      </c>
      <c r="E281" s="16">
        <f>IF($C281="","",IFERROR(INDEX(Deals!$F$2:$F$355,MATCH($C281,Deals!$A$2:$A$355,0)),"?"))</f>
        <v/>
      </c>
      <c r="F281" s="28" t="inlineStr">
        <is>
          <t>Director</t>
        </is>
      </c>
      <c r="G281" s="28" t="inlineStr">
        <is>
          <t>Active</t>
        </is>
      </c>
      <c r="H281" s="31" t="n"/>
      <c r="I281" s="32">
        <f>IF(OR($A281="",$G281&lt;&gt;"Active"),0,IF($H281&lt;&gt;"",$H281,IF($AO281&gt;0,$AP281,IF(AND($R281&lt;&gt;"",IFERROR(INDEX(Templates!$B$3:$H$10,MATCH($R281,Templates!$A$3:$A$10,0),MATCH($F281,Templates!$B$2:$H$2,0)),0)&gt;0),INDEX(Templates!$B$3:$H$10,MATCH($R281,Templates!$A$3:$A$10,0),MATCH($F281,Templates!$B$2:$H$2,0)),IFERROR(INDEX(Settings!$B$8:$B$14,MATCH($F281,Settings!$A$8:$A$14,0)),0)))))</f>
        <v/>
      </c>
      <c r="J281" s="21">
        <f>IF($C281="",0,IFERROR(INDEX(Deals!$H$2:$H$355,MATCH($C281,Deals!$A$2:$A$355,0)),0))</f>
        <v/>
      </c>
      <c r="K281" s="32">
        <f>IF(Settings!$B$4="Yes",$I281*$J281,$I281)</f>
        <v/>
      </c>
      <c r="L281" s="22">
        <f>IF($C281="","",IFERROR(IF(INDEX(Deals!$I$2:$I$355,MATCH($C281,Deals!$A$2:$A$355,0))=0,"",INDEX(Deals!$I$2:$I$355,MATCH($C281,Deals!$A$2:$A$355,0))),""))</f>
        <v/>
      </c>
      <c r="M281" s="22">
        <f>IF($C281="","",IFERROR(IF(INDEX(Deals!$J$2:$J$355,MATCH($C281,Deals!$A$2:$A$355,0))=0,"",INDEX(Deals!$J$2:$J$355,MATCH($C281,Deals!$A$2:$A$355,0))),""))</f>
        <v/>
      </c>
      <c r="N281" s="35">
        <f>IF($L281="",DATE(1900,1,1),$L281)</f>
        <v/>
      </c>
      <c r="O281" s="35">
        <f>IF($M281="",DATE(2100,12,31),$M281)</f>
        <v/>
      </c>
      <c r="P281" s="20" t="inlineStr"/>
      <c r="Q281" s="47" t="inlineStr"/>
      <c r="R281" s="16">
        <f>IF($C281="","",IFERROR(IF(INDEX(Deals!$U$2:$U$355,MATCH($C281,Deals!$A$2:$A$355,0))=0,"",INDEX(Deals!$U$2:$U$355,MATCH($C281,Deals!$A$2:$A$355,0))),""))</f>
        <v/>
      </c>
      <c r="S281" s="34">
        <f>IFERROR(IF($U281="",1,INDEX(Deals!$V$2:$V$355,MATCH($C281,Deals!$A$2:$A$355,0))),1)</f>
        <v/>
      </c>
      <c r="T281" s="34">
        <f>IFERROR(IF($U281="",1,INDEX(Deals!$W$2:$W$355,MATCH($C281,Deals!$A$2:$A$355,0))),1)</f>
        <v/>
      </c>
      <c r="U281" s="22">
        <f>IF($C281="","",IFERROR(IF(INDEX(Deals!$Y$2:$Y$355,MATCH($C281,Deals!$A$2:$A$355,0))=0,"",INDEX(Deals!$Y$2:$Y$355,MATCH($C281,Deals!$A$2:$A$355,0))),""))</f>
        <v/>
      </c>
      <c r="V281" s="35">
        <f>IF(OR($U281&lt;&gt;"",AND($AO281&gt;0,$L281&lt;&gt;"",$M281&lt;&gt;"")),$N281,DATE(1900,1,1))</f>
        <v/>
      </c>
      <c r="W281" s="35">
        <f>IF($U281&lt;&gt;"",$U281,IF(AND($AO281&gt;0,$L281&lt;&gt;"",$M281&lt;&gt;""),$O281,DATE(2100,12,31)))</f>
        <v/>
      </c>
      <c r="X281" s="32">
        <f>IF($U281="",$K281,$K281*$S281)</f>
        <v/>
      </c>
      <c r="Y281" s="35">
        <f>IF($U281="",DATE(2100,12,31),$U281+1)</f>
        <v/>
      </c>
      <c r="Z281" s="35">
        <f>IF($U281="",DATE(1900,1,1),$O281)</f>
        <v/>
      </c>
      <c r="AA281" s="32">
        <f>IF($U281="",0,$K281*$T281)</f>
        <v/>
      </c>
      <c r="AB281" s="21">
        <f>IF($C281="",0,IFERROR(INDEX(Deals!$AD$2:$AD$355,MATCH($C281,Deals!$A$2:$A$355,0)),0))</f>
        <v/>
      </c>
      <c r="AC281" s="32">
        <f>IF(Settings!$B$4="Yes",$I281*$AB281,$I281)</f>
        <v/>
      </c>
      <c r="AD281" s="22">
        <f>IF($C281="","",IFERROR(IF(INDEX(Deals!$AE$2:$AE$355,MATCH($C281,Deals!$A$2:$A$355,0))=0,"",INDEX(Deals!$AE$2:$AE$355,MATCH($C281,Deals!$A$2:$A$355,0))),""))</f>
        <v/>
      </c>
      <c r="AE281" s="22">
        <f>IF($C281="","",IFERROR(IF(INDEX(Deals!$AF$2:$AF$355,MATCH($C281,Deals!$A$2:$A$355,0))=0,"",INDEX(Deals!$AF$2:$AF$355,MATCH($C281,Deals!$A$2:$A$355,0))),""))</f>
        <v/>
      </c>
      <c r="AF281" s="35">
        <f>IF($AD281="",DATE(1900,1,1),$AD281)</f>
        <v/>
      </c>
      <c r="AG281" s="35">
        <f>IF($AE281="",DATE(2100,12,31),$AE281)</f>
        <v/>
      </c>
      <c r="AH281" s="22">
        <f>IF($C281="","",IFERROR(IF(INDEX(Deals!$AG$2:$AG$355,MATCH($C281,Deals!$A$2:$A$355,0))=0,"",INDEX(Deals!$AG$2:$AG$355,MATCH($C281,Deals!$A$2:$A$355,0))),""))</f>
        <v/>
      </c>
      <c r="AI281" s="35">
        <f>IF(OR($AH281&lt;&gt;"",AND($AO281&gt;0,$AD281&lt;&gt;"",$AE281&lt;&gt;"")),$AF281,DATE(1900,1,1))</f>
        <v/>
      </c>
      <c r="AJ281" s="35">
        <f>IF($AH281&lt;&gt;"",$AH281,IF(AND($AO281&gt;0,$AD281&lt;&gt;"",$AE281&lt;&gt;""),$AG281,DATE(2100,12,31)))</f>
        <v/>
      </c>
      <c r="AK281" s="32">
        <f>IF($AH281="",$AC281,$AC281*$S281)</f>
        <v/>
      </c>
      <c r="AL281" s="35">
        <f>IF($AH281="",DATE(2100,12,31),$AH281+1)</f>
        <v/>
      </c>
      <c r="AM281" s="35">
        <f>IF($AH281="",DATE(1900,1,1),$AG281)</f>
        <v/>
      </c>
      <c r="AN281" s="32">
        <f>IF($AH281="",0,$AC281*$T281)</f>
        <v/>
      </c>
      <c r="AO281" s="46">
        <f>IF($C281="",0,IFERROR(INDEX(Deals!$BD$2:$BD$355,MATCH($C281,Deals!$A$2:$A$355,0)),0))</f>
        <v/>
      </c>
      <c r="AP281" s="18">
        <f>IF($AO281=0,0,IFERROR(INDEX(Deals!$BJ$2:$BP$355,MATCH($C281,Deals!$A$2:$A$355,0),MATCH($F281,Deals!$BJ$1:$BP$1,0))/COUNTIFS(Assignments!$C$2:$C$769,$C281,Assignments!$F$2:$F$769,$F281,Assignments!$G$2:$G$769,"Active"),0))</f>
        <v/>
      </c>
    </row>
    <row r="282">
      <c r="A282" s="28" t="inlineStr">
        <is>
          <t>Will Covalt</t>
        </is>
      </c>
      <c r="B282" s="16">
        <f>IF($A282="","",IFERROR(INDEX(Roster!$B$2:$B$40,MATCH($A282,Roster!$A$2:$A$40,0)),"?"))</f>
        <v/>
      </c>
      <c r="C282" s="28" t="inlineStr">
        <is>
          <t>Dental_1</t>
        </is>
      </c>
      <c r="D282" s="16">
        <f>IF($C282="","",IFERROR(IF(INDEX(Deals!$C$2:$C$355,MATCH($C282,Deals!$A$2:$A$355,0))=0,"",INDEX(Deals!$C$2:$C$355,MATCH($C282,Deals!$A$2:$A$355,0))),"?"))</f>
        <v/>
      </c>
      <c r="E282" s="16">
        <f>IF($C282="","",IFERROR(INDEX(Deals!$F$2:$F$355,MATCH($C282,Deals!$A$2:$A$355,0)),"?"))</f>
        <v/>
      </c>
      <c r="F282" s="28" t="inlineStr">
        <is>
          <t>Director</t>
        </is>
      </c>
      <c r="G282" s="28" t="inlineStr">
        <is>
          <t>Active</t>
        </is>
      </c>
      <c r="H282" s="31" t="n"/>
      <c r="I282" s="32">
        <f>IF(OR($A282="",$G282&lt;&gt;"Active"),0,IF($H282&lt;&gt;"",$H282,IF($AO282&gt;0,$AP282,IF(AND($R282&lt;&gt;"",IFERROR(INDEX(Templates!$B$3:$H$10,MATCH($R282,Templates!$A$3:$A$10,0),MATCH($F282,Templates!$B$2:$H$2,0)),0)&gt;0),INDEX(Templates!$B$3:$H$10,MATCH($R282,Templates!$A$3:$A$10,0),MATCH($F282,Templates!$B$2:$H$2,0)),IFERROR(INDEX(Settings!$B$8:$B$14,MATCH($F282,Settings!$A$8:$A$14,0)),0)))))</f>
        <v/>
      </c>
      <c r="J282" s="21">
        <f>IF($C282="",0,IFERROR(INDEX(Deals!$H$2:$H$355,MATCH($C282,Deals!$A$2:$A$355,0)),0))</f>
        <v/>
      </c>
      <c r="K282" s="32">
        <f>IF(Settings!$B$4="Yes",$I282*$J282,$I282)</f>
        <v/>
      </c>
      <c r="L282" s="22">
        <f>IF($C282="","",IFERROR(IF(INDEX(Deals!$I$2:$I$355,MATCH($C282,Deals!$A$2:$A$355,0))=0,"",INDEX(Deals!$I$2:$I$355,MATCH($C282,Deals!$A$2:$A$355,0))),""))</f>
        <v/>
      </c>
      <c r="M282" s="22">
        <f>IF($C282="","",IFERROR(IF(INDEX(Deals!$J$2:$J$355,MATCH($C282,Deals!$A$2:$A$355,0))=0,"",INDEX(Deals!$J$2:$J$355,MATCH($C282,Deals!$A$2:$A$355,0))),""))</f>
        <v/>
      </c>
      <c r="N282" s="35">
        <f>IF($L282="",DATE(1900,1,1),$L282)</f>
        <v/>
      </c>
      <c r="O282" s="35">
        <f>IF($M282="",DATE(2100,12,31),$M282)</f>
        <v/>
      </c>
      <c r="P282" s="20" t="inlineStr"/>
      <c r="Q282" s="47" t="inlineStr"/>
      <c r="R282" s="16">
        <f>IF($C282="","",IFERROR(IF(INDEX(Deals!$U$2:$U$355,MATCH($C282,Deals!$A$2:$A$355,0))=0,"",INDEX(Deals!$U$2:$U$355,MATCH($C282,Deals!$A$2:$A$355,0))),""))</f>
        <v/>
      </c>
      <c r="S282" s="34">
        <f>IFERROR(IF($U282="",1,INDEX(Deals!$V$2:$V$355,MATCH($C282,Deals!$A$2:$A$355,0))),1)</f>
        <v/>
      </c>
      <c r="T282" s="34">
        <f>IFERROR(IF($U282="",1,INDEX(Deals!$W$2:$W$355,MATCH($C282,Deals!$A$2:$A$355,0))),1)</f>
        <v/>
      </c>
      <c r="U282" s="22">
        <f>IF($C282="","",IFERROR(IF(INDEX(Deals!$Y$2:$Y$355,MATCH($C282,Deals!$A$2:$A$355,0))=0,"",INDEX(Deals!$Y$2:$Y$355,MATCH($C282,Deals!$A$2:$A$355,0))),""))</f>
        <v/>
      </c>
      <c r="V282" s="35">
        <f>IF(OR($U282&lt;&gt;"",AND($AO282&gt;0,$L282&lt;&gt;"",$M282&lt;&gt;"")),$N282,DATE(1900,1,1))</f>
        <v/>
      </c>
      <c r="W282" s="35">
        <f>IF($U282&lt;&gt;"",$U282,IF(AND($AO282&gt;0,$L282&lt;&gt;"",$M282&lt;&gt;""),$O282,DATE(2100,12,31)))</f>
        <v/>
      </c>
      <c r="X282" s="32">
        <f>IF($U282="",$K282,$K282*$S282)</f>
        <v/>
      </c>
      <c r="Y282" s="35">
        <f>IF($U282="",DATE(2100,12,31),$U282+1)</f>
        <v/>
      </c>
      <c r="Z282" s="35">
        <f>IF($U282="",DATE(1900,1,1),$O282)</f>
        <v/>
      </c>
      <c r="AA282" s="32">
        <f>IF($U282="",0,$K282*$T282)</f>
        <v/>
      </c>
      <c r="AB282" s="21">
        <f>IF($C282="",0,IFERROR(INDEX(Deals!$AD$2:$AD$355,MATCH($C282,Deals!$A$2:$A$355,0)),0))</f>
        <v/>
      </c>
      <c r="AC282" s="32">
        <f>IF(Settings!$B$4="Yes",$I282*$AB282,$I282)</f>
        <v/>
      </c>
      <c r="AD282" s="22">
        <f>IF($C282="","",IFERROR(IF(INDEX(Deals!$AE$2:$AE$355,MATCH($C282,Deals!$A$2:$A$355,0))=0,"",INDEX(Deals!$AE$2:$AE$355,MATCH($C282,Deals!$A$2:$A$355,0))),""))</f>
        <v/>
      </c>
      <c r="AE282" s="22">
        <f>IF($C282="","",IFERROR(IF(INDEX(Deals!$AF$2:$AF$355,MATCH($C282,Deals!$A$2:$A$355,0))=0,"",INDEX(Deals!$AF$2:$AF$355,MATCH($C282,Deals!$A$2:$A$355,0))),""))</f>
        <v/>
      </c>
      <c r="AF282" s="35">
        <f>IF($AD282="",DATE(1900,1,1),$AD282)</f>
        <v/>
      </c>
      <c r="AG282" s="35">
        <f>IF($AE282="",DATE(2100,12,31),$AE282)</f>
        <v/>
      </c>
      <c r="AH282" s="22">
        <f>IF($C282="","",IFERROR(IF(INDEX(Deals!$AG$2:$AG$355,MATCH($C282,Deals!$A$2:$A$355,0))=0,"",INDEX(Deals!$AG$2:$AG$355,MATCH($C282,Deals!$A$2:$A$355,0))),""))</f>
        <v/>
      </c>
      <c r="AI282" s="35">
        <f>IF(OR($AH282&lt;&gt;"",AND($AO282&gt;0,$AD282&lt;&gt;"",$AE282&lt;&gt;"")),$AF282,DATE(1900,1,1))</f>
        <v/>
      </c>
      <c r="AJ282" s="35">
        <f>IF($AH282&lt;&gt;"",$AH282,IF(AND($AO282&gt;0,$AD282&lt;&gt;"",$AE282&lt;&gt;""),$AG282,DATE(2100,12,31)))</f>
        <v/>
      </c>
      <c r="AK282" s="32">
        <f>IF($AH282="",$AC282,$AC282*$S282)</f>
        <v/>
      </c>
      <c r="AL282" s="35">
        <f>IF($AH282="",DATE(2100,12,31),$AH282+1)</f>
        <v/>
      </c>
      <c r="AM282" s="35">
        <f>IF($AH282="",DATE(1900,1,1),$AG282)</f>
        <v/>
      </c>
      <c r="AN282" s="32">
        <f>IF($AH282="",0,$AC282*$T282)</f>
        <v/>
      </c>
      <c r="AO282" s="46">
        <f>IF($C282="",0,IFERROR(INDEX(Deals!$BD$2:$BD$355,MATCH($C282,Deals!$A$2:$A$355,0)),0))</f>
        <v/>
      </c>
      <c r="AP282" s="18">
        <f>IF($AO282=0,0,IFERROR(INDEX(Deals!$BJ$2:$BP$355,MATCH($C282,Deals!$A$2:$A$355,0),MATCH($F282,Deals!$BJ$1:$BP$1,0))/COUNTIFS(Assignments!$C$2:$C$769,$C282,Assignments!$F$2:$F$769,$F282,Assignments!$G$2:$G$769,"Active"),0))</f>
        <v/>
      </c>
    </row>
    <row r="283">
      <c r="A283" s="28" t="inlineStr">
        <is>
          <t>Will Covalt</t>
        </is>
      </c>
      <c r="B283" s="16">
        <f>IF($A283="","",IFERROR(INDEX(Roster!$B$2:$B$40,MATCH($A283,Roster!$A$2:$A$40,0)),"?"))</f>
        <v/>
      </c>
      <c r="C283" s="28" t="inlineStr">
        <is>
          <t>Emerald_6</t>
        </is>
      </c>
      <c r="D283" s="16">
        <f>IF($C283="","",IFERROR(IF(INDEX(Deals!$C$2:$C$355,MATCH($C283,Deals!$A$2:$A$355,0))=0,"",INDEX(Deals!$C$2:$C$355,MATCH($C283,Deals!$A$2:$A$355,0))),"?"))</f>
        <v/>
      </c>
      <c r="E283" s="16">
        <f>IF($C283="","",IFERROR(INDEX(Deals!$F$2:$F$355,MATCH($C283,Deals!$A$2:$A$355,0)),"?"))</f>
        <v/>
      </c>
      <c r="F283" s="28" t="inlineStr">
        <is>
          <t>Director</t>
        </is>
      </c>
      <c r="G283" s="28" t="inlineStr">
        <is>
          <t>Active</t>
        </is>
      </c>
      <c r="H283" s="31" t="n"/>
      <c r="I283" s="32">
        <f>IF(OR($A283="",$G283&lt;&gt;"Active"),0,IF($H283&lt;&gt;"",$H283,IF($AO283&gt;0,$AP283,IF(AND($R283&lt;&gt;"",IFERROR(INDEX(Templates!$B$3:$H$10,MATCH($R283,Templates!$A$3:$A$10,0),MATCH($F283,Templates!$B$2:$H$2,0)),0)&gt;0),INDEX(Templates!$B$3:$H$10,MATCH($R283,Templates!$A$3:$A$10,0),MATCH($F283,Templates!$B$2:$H$2,0)),IFERROR(INDEX(Settings!$B$8:$B$14,MATCH($F283,Settings!$A$8:$A$14,0)),0)))))</f>
        <v/>
      </c>
      <c r="J283" s="21">
        <f>IF($C283="",0,IFERROR(INDEX(Deals!$H$2:$H$355,MATCH($C283,Deals!$A$2:$A$355,0)),0))</f>
        <v/>
      </c>
      <c r="K283" s="32">
        <f>IF(Settings!$B$4="Yes",$I283*$J283,$I283)</f>
        <v/>
      </c>
      <c r="L283" s="22">
        <f>IF($C283="","",IFERROR(IF(INDEX(Deals!$I$2:$I$355,MATCH($C283,Deals!$A$2:$A$355,0))=0,"",INDEX(Deals!$I$2:$I$355,MATCH($C283,Deals!$A$2:$A$355,0))),""))</f>
        <v/>
      </c>
      <c r="M283" s="22">
        <f>IF($C283="","",IFERROR(IF(INDEX(Deals!$J$2:$J$355,MATCH($C283,Deals!$A$2:$A$355,0))=0,"",INDEX(Deals!$J$2:$J$355,MATCH($C283,Deals!$A$2:$A$355,0))),""))</f>
        <v/>
      </c>
      <c r="N283" s="35">
        <f>IF($L283="",DATE(1900,1,1),$L283)</f>
        <v/>
      </c>
      <c r="O283" s="35">
        <f>IF($M283="",DATE(2100,12,31),$M283)</f>
        <v/>
      </c>
      <c r="P283" s="20" t="inlineStr"/>
      <c r="Q283" s="47" t="inlineStr"/>
      <c r="R283" s="16">
        <f>IF($C283="","",IFERROR(IF(INDEX(Deals!$U$2:$U$355,MATCH($C283,Deals!$A$2:$A$355,0))=0,"",INDEX(Deals!$U$2:$U$355,MATCH($C283,Deals!$A$2:$A$355,0))),""))</f>
        <v/>
      </c>
      <c r="S283" s="34">
        <f>IFERROR(IF($U283="",1,INDEX(Deals!$V$2:$V$355,MATCH($C283,Deals!$A$2:$A$355,0))),1)</f>
        <v/>
      </c>
      <c r="T283" s="34">
        <f>IFERROR(IF($U283="",1,INDEX(Deals!$W$2:$W$355,MATCH($C283,Deals!$A$2:$A$355,0))),1)</f>
        <v/>
      </c>
      <c r="U283" s="22">
        <f>IF($C283="","",IFERROR(IF(INDEX(Deals!$Y$2:$Y$355,MATCH($C283,Deals!$A$2:$A$355,0))=0,"",INDEX(Deals!$Y$2:$Y$355,MATCH($C283,Deals!$A$2:$A$355,0))),""))</f>
        <v/>
      </c>
      <c r="V283" s="35">
        <f>IF(OR($U283&lt;&gt;"",AND($AO283&gt;0,$L283&lt;&gt;"",$M283&lt;&gt;"")),$N283,DATE(1900,1,1))</f>
        <v/>
      </c>
      <c r="W283" s="35">
        <f>IF($U283&lt;&gt;"",$U283,IF(AND($AO283&gt;0,$L283&lt;&gt;"",$M283&lt;&gt;""),$O283,DATE(2100,12,31)))</f>
        <v/>
      </c>
      <c r="X283" s="32">
        <f>IF($U283="",$K283,$K283*$S283)</f>
        <v/>
      </c>
      <c r="Y283" s="35">
        <f>IF($U283="",DATE(2100,12,31),$U283+1)</f>
        <v/>
      </c>
      <c r="Z283" s="35">
        <f>IF($U283="",DATE(1900,1,1),$O283)</f>
        <v/>
      </c>
      <c r="AA283" s="32">
        <f>IF($U283="",0,$K283*$T283)</f>
        <v/>
      </c>
      <c r="AB283" s="21">
        <f>IF($C283="",0,IFERROR(INDEX(Deals!$AD$2:$AD$355,MATCH($C283,Deals!$A$2:$A$355,0)),0))</f>
        <v/>
      </c>
      <c r="AC283" s="32">
        <f>IF(Settings!$B$4="Yes",$I283*$AB283,$I283)</f>
        <v/>
      </c>
      <c r="AD283" s="22">
        <f>IF($C283="","",IFERROR(IF(INDEX(Deals!$AE$2:$AE$355,MATCH($C283,Deals!$A$2:$A$355,0))=0,"",INDEX(Deals!$AE$2:$AE$355,MATCH($C283,Deals!$A$2:$A$355,0))),""))</f>
        <v/>
      </c>
      <c r="AE283" s="22">
        <f>IF($C283="","",IFERROR(IF(INDEX(Deals!$AF$2:$AF$355,MATCH($C283,Deals!$A$2:$A$355,0))=0,"",INDEX(Deals!$AF$2:$AF$355,MATCH($C283,Deals!$A$2:$A$355,0))),""))</f>
        <v/>
      </c>
      <c r="AF283" s="35">
        <f>IF($AD283="",DATE(1900,1,1),$AD283)</f>
        <v/>
      </c>
      <c r="AG283" s="35">
        <f>IF($AE283="",DATE(2100,12,31),$AE283)</f>
        <v/>
      </c>
      <c r="AH283" s="22">
        <f>IF($C283="","",IFERROR(IF(INDEX(Deals!$AG$2:$AG$355,MATCH($C283,Deals!$A$2:$A$355,0))=0,"",INDEX(Deals!$AG$2:$AG$355,MATCH($C283,Deals!$A$2:$A$355,0))),""))</f>
        <v/>
      </c>
      <c r="AI283" s="35">
        <f>IF(OR($AH283&lt;&gt;"",AND($AO283&gt;0,$AD283&lt;&gt;"",$AE283&lt;&gt;"")),$AF283,DATE(1900,1,1))</f>
        <v/>
      </c>
      <c r="AJ283" s="35">
        <f>IF($AH283&lt;&gt;"",$AH283,IF(AND($AO283&gt;0,$AD283&lt;&gt;"",$AE283&lt;&gt;""),$AG283,DATE(2100,12,31)))</f>
        <v/>
      </c>
      <c r="AK283" s="32">
        <f>IF($AH283="",$AC283,$AC283*$S283)</f>
        <v/>
      </c>
      <c r="AL283" s="35">
        <f>IF($AH283="",DATE(2100,12,31),$AH283+1)</f>
        <v/>
      </c>
      <c r="AM283" s="35">
        <f>IF($AH283="",DATE(1900,1,1),$AG283)</f>
        <v/>
      </c>
      <c r="AN283" s="32">
        <f>IF($AH283="",0,$AC283*$T283)</f>
        <v/>
      </c>
      <c r="AO283" s="46">
        <f>IF($C283="",0,IFERROR(INDEX(Deals!$BD$2:$BD$355,MATCH($C283,Deals!$A$2:$A$355,0)),0))</f>
        <v/>
      </c>
      <c r="AP283" s="18">
        <f>IF($AO283=0,0,IFERROR(INDEX(Deals!$BJ$2:$BP$355,MATCH($C283,Deals!$A$2:$A$355,0),MATCH($F283,Deals!$BJ$1:$BP$1,0))/COUNTIFS(Assignments!$C$2:$C$769,$C283,Assignments!$F$2:$F$769,$F283,Assignments!$G$2:$G$769,"Active"),0))</f>
        <v/>
      </c>
    </row>
    <row r="284">
      <c r="A284" s="28" t="inlineStr">
        <is>
          <t>Will Covalt</t>
        </is>
      </c>
      <c r="B284" s="16">
        <f>IF($A284="","",IFERROR(INDEX(Roster!$B$2:$B$40,MATCH($A284,Roster!$A$2:$A$40,0)),"?"))</f>
        <v/>
      </c>
      <c r="C284" s="28" t="inlineStr">
        <is>
          <t>Gateway_3</t>
        </is>
      </c>
      <c r="D284" s="16">
        <f>IF($C284="","",IFERROR(IF(INDEX(Deals!$C$2:$C$355,MATCH($C284,Deals!$A$2:$A$355,0))=0,"",INDEX(Deals!$C$2:$C$355,MATCH($C284,Deals!$A$2:$A$355,0))),"?"))</f>
        <v/>
      </c>
      <c r="E284" s="16">
        <f>IF($C284="","",IFERROR(INDEX(Deals!$F$2:$F$355,MATCH($C284,Deals!$A$2:$A$355,0)),"?"))</f>
        <v/>
      </c>
      <c r="F284" s="28" t="inlineStr">
        <is>
          <t>Director</t>
        </is>
      </c>
      <c r="G284" s="28" t="inlineStr">
        <is>
          <t>Active</t>
        </is>
      </c>
      <c r="H284" s="31" t="n"/>
      <c r="I284" s="32">
        <f>IF(OR($A284="",$G284&lt;&gt;"Active"),0,IF($H284&lt;&gt;"",$H284,IF($AO284&gt;0,$AP284,IF(AND($R284&lt;&gt;"",IFERROR(INDEX(Templates!$B$3:$H$10,MATCH($R284,Templates!$A$3:$A$10,0),MATCH($F284,Templates!$B$2:$H$2,0)),0)&gt;0),INDEX(Templates!$B$3:$H$10,MATCH($R284,Templates!$A$3:$A$10,0),MATCH($F284,Templates!$B$2:$H$2,0)),IFERROR(INDEX(Settings!$B$8:$B$14,MATCH($F284,Settings!$A$8:$A$14,0)),0)))))</f>
        <v/>
      </c>
      <c r="J284" s="21">
        <f>IF($C284="",0,IFERROR(INDEX(Deals!$H$2:$H$355,MATCH($C284,Deals!$A$2:$A$355,0)),0))</f>
        <v/>
      </c>
      <c r="K284" s="32">
        <f>IF(Settings!$B$4="Yes",$I284*$J284,$I284)</f>
        <v/>
      </c>
      <c r="L284" s="22">
        <f>IF($C284="","",IFERROR(IF(INDEX(Deals!$I$2:$I$355,MATCH($C284,Deals!$A$2:$A$355,0))=0,"",INDEX(Deals!$I$2:$I$355,MATCH($C284,Deals!$A$2:$A$355,0))),""))</f>
        <v/>
      </c>
      <c r="M284" s="22">
        <f>IF($C284="","",IFERROR(IF(INDEX(Deals!$J$2:$J$355,MATCH($C284,Deals!$A$2:$A$355,0))=0,"",INDEX(Deals!$J$2:$J$355,MATCH($C284,Deals!$A$2:$A$355,0))),""))</f>
        <v/>
      </c>
      <c r="N284" s="35">
        <f>IF($L284="",DATE(1900,1,1),$L284)</f>
        <v/>
      </c>
      <c r="O284" s="35">
        <f>IF($M284="",DATE(2100,12,31),$M284)</f>
        <v/>
      </c>
      <c r="P284" s="20" t="inlineStr"/>
      <c r="Q284" s="47" t="inlineStr"/>
      <c r="R284" s="16">
        <f>IF($C284="","",IFERROR(IF(INDEX(Deals!$U$2:$U$355,MATCH($C284,Deals!$A$2:$A$355,0))=0,"",INDEX(Deals!$U$2:$U$355,MATCH($C284,Deals!$A$2:$A$355,0))),""))</f>
        <v/>
      </c>
      <c r="S284" s="34">
        <f>IFERROR(IF($U284="",1,INDEX(Deals!$V$2:$V$355,MATCH($C284,Deals!$A$2:$A$355,0))),1)</f>
        <v/>
      </c>
      <c r="T284" s="34">
        <f>IFERROR(IF($U284="",1,INDEX(Deals!$W$2:$W$355,MATCH($C284,Deals!$A$2:$A$355,0))),1)</f>
        <v/>
      </c>
      <c r="U284" s="22">
        <f>IF($C284="","",IFERROR(IF(INDEX(Deals!$Y$2:$Y$355,MATCH($C284,Deals!$A$2:$A$355,0))=0,"",INDEX(Deals!$Y$2:$Y$355,MATCH($C284,Deals!$A$2:$A$355,0))),""))</f>
        <v/>
      </c>
      <c r="V284" s="35">
        <f>IF(OR($U284&lt;&gt;"",AND($AO284&gt;0,$L284&lt;&gt;"",$M284&lt;&gt;"")),$N284,DATE(1900,1,1))</f>
        <v/>
      </c>
      <c r="W284" s="35">
        <f>IF($U284&lt;&gt;"",$U284,IF(AND($AO284&gt;0,$L284&lt;&gt;"",$M284&lt;&gt;""),$O284,DATE(2100,12,31)))</f>
        <v/>
      </c>
      <c r="X284" s="32">
        <f>IF($U284="",$K284,$K284*$S284)</f>
        <v/>
      </c>
      <c r="Y284" s="35">
        <f>IF($U284="",DATE(2100,12,31),$U284+1)</f>
        <v/>
      </c>
      <c r="Z284" s="35">
        <f>IF($U284="",DATE(1900,1,1),$O284)</f>
        <v/>
      </c>
      <c r="AA284" s="32">
        <f>IF($U284="",0,$K284*$T284)</f>
        <v/>
      </c>
      <c r="AB284" s="21">
        <f>IF($C284="",0,IFERROR(INDEX(Deals!$AD$2:$AD$355,MATCH($C284,Deals!$A$2:$A$355,0)),0))</f>
        <v/>
      </c>
      <c r="AC284" s="32">
        <f>IF(Settings!$B$4="Yes",$I284*$AB284,$I284)</f>
        <v/>
      </c>
      <c r="AD284" s="22">
        <f>IF($C284="","",IFERROR(IF(INDEX(Deals!$AE$2:$AE$355,MATCH($C284,Deals!$A$2:$A$355,0))=0,"",INDEX(Deals!$AE$2:$AE$355,MATCH($C284,Deals!$A$2:$A$355,0))),""))</f>
        <v/>
      </c>
      <c r="AE284" s="22">
        <f>IF($C284="","",IFERROR(IF(INDEX(Deals!$AF$2:$AF$355,MATCH($C284,Deals!$A$2:$A$355,0))=0,"",INDEX(Deals!$AF$2:$AF$355,MATCH($C284,Deals!$A$2:$A$355,0))),""))</f>
        <v/>
      </c>
      <c r="AF284" s="35">
        <f>IF($AD284="",DATE(1900,1,1),$AD284)</f>
        <v/>
      </c>
      <c r="AG284" s="35">
        <f>IF($AE284="",DATE(2100,12,31),$AE284)</f>
        <v/>
      </c>
      <c r="AH284" s="22">
        <f>IF($C284="","",IFERROR(IF(INDEX(Deals!$AG$2:$AG$355,MATCH($C284,Deals!$A$2:$A$355,0))=0,"",INDEX(Deals!$AG$2:$AG$355,MATCH($C284,Deals!$A$2:$A$355,0))),""))</f>
        <v/>
      </c>
      <c r="AI284" s="35">
        <f>IF(OR($AH284&lt;&gt;"",AND($AO284&gt;0,$AD284&lt;&gt;"",$AE284&lt;&gt;"")),$AF284,DATE(1900,1,1))</f>
        <v/>
      </c>
      <c r="AJ284" s="35">
        <f>IF($AH284&lt;&gt;"",$AH284,IF(AND($AO284&gt;0,$AD284&lt;&gt;"",$AE284&lt;&gt;""),$AG284,DATE(2100,12,31)))</f>
        <v/>
      </c>
      <c r="AK284" s="32">
        <f>IF($AH284="",$AC284,$AC284*$S284)</f>
        <v/>
      </c>
      <c r="AL284" s="35">
        <f>IF($AH284="",DATE(2100,12,31),$AH284+1)</f>
        <v/>
      </c>
      <c r="AM284" s="35">
        <f>IF($AH284="",DATE(1900,1,1),$AG284)</f>
        <v/>
      </c>
      <c r="AN284" s="32">
        <f>IF($AH284="",0,$AC284*$T284)</f>
        <v/>
      </c>
      <c r="AO284" s="46">
        <f>IF($C284="",0,IFERROR(INDEX(Deals!$BD$2:$BD$355,MATCH($C284,Deals!$A$2:$A$355,0)),0))</f>
        <v/>
      </c>
      <c r="AP284" s="18">
        <f>IF($AO284=0,0,IFERROR(INDEX(Deals!$BJ$2:$BP$355,MATCH($C284,Deals!$A$2:$A$355,0),MATCH($F284,Deals!$BJ$1:$BP$1,0))/COUNTIFS(Assignments!$C$2:$C$769,$C284,Assignments!$F$2:$F$769,$F284,Assignments!$G$2:$G$769,"Active"),0))</f>
        <v/>
      </c>
    </row>
    <row r="285">
      <c r="A285" s="28" t="inlineStr">
        <is>
          <t>Will Covalt</t>
        </is>
      </c>
      <c r="B285" s="16">
        <f>IF($A285="","",IFERROR(INDEX(Roster!$B$2:$B$40,MATCH($A285,Roster!$A$2:$A$40,0)),"?"))</f>
        <v/>
      </c>
      <c r="C285" s="28" t="inlineStr">
        <is>
          <t>Heartland_2</t>
        </is>
      </c>
      <c r="D285" s="16">
        <f>IF($C285="","",IFERROR(IF(INDEX(Deals!$C$2:$C$355,MATCH($C285,Deals!$A$2:$A$355,0))=0,"",INDEX(Deals!$C$2:$C$355,MATCH($C285,Deals!$A$2:$A$355,0))),"?"))</f>
        <v/>
      </c>
      <c r="E285" s="16">
        <f>IF($C285="","",IFERROR(INDEX(Deals!$F$2:$F$355,MATCH($C285,Deals!$A$2:$A$355,0)),"?"))</f>
        <v/>
      </c>
      <c r="F285" s="28" t="inlineStr">
        <is>
          <t>Director</t>
        </is>
      </c>
      <c r="G285" s="28" t="inlineStr">
        <is>
          <t>Active</t>
        </is>
      </c>
      <c r="H285" s="31" t="n"/>
      <c r="I285" s="32">
        <f>IF(OR($A285="",$G285&lt;&gt;"Active"),0,IF($H285&lt;&gt;"",$H285,IF($AO285&gt;0,$AP285,IF(AND($R285&lt;&gt;"",IFERROR(INDEX(Templates!$B$3:$H$10,MATCH($R285,Templates!$A$3:$A$10,0),MATCH($F285,Templates!$B$2:$H$2,0)),0)&gt;0),INDEX(Templates!$B$3:$H$10,MATCH($R285,Templates!$A$3:$A$10,0),MATCH($F285,Templates!$B$2:$H$2,0)),IFERROR(INDEX(Settings!$B$8:$B$14,MATCH($F285,Settings!$A$8:$A$14,0)),0)))))</f>
        <v/>
      </c>
      <c r="J285" s="21">
        <f>IF($C285="",0,IFERROR(INDEX(Deals!$H$2:$H$355,MATCH($C285,Deals!$A$2:$A$355,0)),0))</f>
        <v/>
      </c>
      <c r="K285" s="32">
        <f>IF(Settings!$B$4="Yes",$I285*$J285,$I285)</f>
        <v/>
      </c>
      <c r="L285" s="22">
        <f>IF($C285="","",IFERROR(IF(INDEX(Deals!$I$2:$I$355,MATCH($C285,Deals!$A$2:$A$355,0))=0,"",INDEX(Deals!$I$2:$I$355,MATCH($C285,Deals!$A$2:$A$355,0))),""))</f>
        <v/>
      </c>
      <c r="M285" s="22">
        <f>IF($C285="","",IFERROR(IF(INDEX(Deals!$J$2:$J$355,MATCH($C285,Deals!$A$2:$A$355,0))=0,"",INDEX(Deals!$J$2:$J$355,MATCH($C285,Deals!$A$2:$A$355,0))),""))</f>
        <v/>
      </c>
      <c r="N285" s="35">
        <f>IF($L285="",DATE(1900,1,1),$L285)</f>
        <v/>
      </c>
      <c r="O285" s="35">
        <f>IF($M285="",DATE(2100,12,31),$M285)</f>
        <v/>
      </c>
      <c r="P285" s="20" t="inlineStr"/>
      <c r="Q285" s="47" t="inlineStr"/>
      <c r="R285" s="16">
        <f>IF($C285="","",IFERROR(IF(INDEX(Deals!$U$2:$U$355,MATCH($C285,Deals!$A$2:$A$355,0))=0,"",INDEX(Deals!$U$2:$U$355,MATCH($C285,Deals!$A$2:$A$355,0))),""))</f>
        <v/>
      </c>
      <c r="S285" s="34">
        <f>IFERROR(IF($U285="",1,INDEX(Deals!$V$2:$V$355,MATCH($C285,Deals!$A$2:$A$355,0))),1)</f>
        <v/>
      </c>
      <c r="T285" s="34">
        <f>IFERROR(IF($U285="",1,INDEX(Deals!$W$2:$W$355,MATCH($C285,Deals!$A$2:$A$355,0))),1)</f>
        <v/>
      </c>
      <c r="U285" s="22">
        <f>IF($C285="","",IFERROR(IF(INDEX(Deals!$Y$2:$Y$355,MATCH($C285,Deals!$A$2:$A$355,0))=0,"",INDEX(Deals!$Y$2:$Y$355,MATCH($C285,Deals!$A$2:$A$355,0))),""))</f>
        <v/>
      </c>
      <c r="V285" s="35">
        <f>IF(OR($U285&lt;&gt;"",AND($AO285&gt;0,$L285&lt;&gt;"",$M285&lt;&gt;"")),$N285,DATE(1900,1,1))</f>
        <v/>
      </c>
      <c r="W285" s="35">
        <f>IF($U285&lt;&gt;"",$U285,IF(AND($AO285&gt;0,$L285&lt;&gt;"",$M285&lt;&gt;""),$O285,DATE(2100,12,31)))</f>
        <v/>
      </c>
      <c r="X285" s="32">
        <f>IF($U285="",$K285,$K285*$S285)</f>
        <v/>
      </c>
      <c r="Y285" s="35">
        <f>IF($U285="",DATE(2100,12,31),$U285+1)</f>
        <v/>
      </c>
      <c r="Z285" s="35">
        <f>IF($U285="",DATE(1900,1,1),$O285)</f>
        <v/>
      </c>
      <c r="AA285" s="32">
        <f>IF($U285="",0,$K285*$T285)</f>
        <v/>
      </c>
      <c r="AB285" s="21">
        <f>IF($C285="",0,IFERROR(INDEX(Deals!$AD$2:$AD$355,MATCH($C285,Deals!$A$2:$A$355,0)),0))</f>
        <v/>
      </c>
      <c r="AC285" s="32">
        <f>IF(Settings!$B$4="Yes",$I285*$AB285,$I285)</f>
        <v/>
      </c>
      <c r="AD285" s="22">
        <f>IF($C285="","",IFERROR(IF(INDEX(Deals!$AE$2:$AE$355,MATCH($C285,Deals!$A$2:$A$355,0))=0,"",INDEX(Deals!$AE$2:$AE$355,MATCH($C285,Deals!$A$2:$A$355,0))),""))</f>
        <v/>
      </c>
      <c r="AE285" s="22">
        <f>IF($C285="","",IFERROR(IF(INDEX(Deals!$AF$2:$AF$355,MATCH($C285,Deals!$A$2:$A$355,0))=0,"",INDEX(Deals!$AF$2:$AF$355,MATCH($C285,Deals!$A$2:$A$355,0))),""))</f>
        <v/>
      </c>
      <c r="AF285" s="35">
        <f>IF($AD285="",DATE(1900,1,1),$AD285)</f>
        <v/>
      </c>
      <c r="AG285" s="35">
        <f>IF($AE285="",DATE(2100,12,31),$AE285)</f>
        <v/>
      </c>
      <c r="AH285" s="22">
        <f>IF($C285="","",IFERROR(IF(INDEX(Deals!$AG$2:$AG$355,MATCH($C285,Deals!$A$2:$A$355,0))=0,"",INDEX(Deals!$AG$2:$AG$355,MATCH($C285,Deals!$A$2:$A$355,0))),""))</f>
        <v/>
      </c>
      <c r="AI285" s="35">
        <f>IF(OR($AH285&lt;&gt;"",AND($AO285&gt;0,$AD285&lt;&gt;"",$AE285&lt;&gt;"")),$AF285,DATE(1900,1,1))</f>
        <v/>
      </c>
      <c r="AJ285" s="35">
        <f>IF($AH285&lt;&gt;"",$AH285,IF(AND($AO285&gt;0,$AD285&lt;&gt;"",$AE285&lt;&gt;""),$AG285,DATE(2100,12,31)))</f>
        <v/>
      </c>
      <c r="AK285" s="32">
        <f>IF($AH285="",$AC285,$AC285*$S285)</f>
        <v/>
      </c>
      <c r="AL285" s="35">
        <f>IF($AH285="",DATE(2100,12,31),$AH285+1)</f>
        <v/>
      </c>
      <c r="AM285" s="35">
        <f>IF($AH285="",DATE(1900,1,1),$AG285)</f>
        <v/>
      </c>
      <c r="AN285" s="32">
        <f>IF($AH285="",0,$AC285*$T285)</f>
        <v/>
      </c>
      <c r="AO285" s="46">
        <f>IF($C285="",0,IFERROR(INDEX(Deals!$BD$2:$BD$355,MATCH($C285,Deals!$A$2:$A$355,0)),0))</f>
        <v/>
      </c>
      <c r="AP285" s="18">
        <f>IF($AO285=0,0,IFERROR(INDEX(Deals!$BJ$2:$BP$355,MATCH($C285,Deals!$A$2:$A$355,0),MATCH($F285,Deals!$BJ$1:$BP$1,0))/COUNTIFS(Assignments!$C$2:$C$769,$C285,Assignments!$F$2:$F$769,$F285,Assignments!$G$2:$G$769,"Active"),0))</f>
        <v/>
      </c>
    </row>
    <row r="286">
      <c r="A286" s="28" t="inlineStr">
        <is>
          <t>Will Covalt</t>
        </is>
      </c>
      <c r="B286" s="16">
        <f>IF($A286="","",IFERROR(INDEX(Roster!$B$2:$B$40,MATCH($A286,Roster!$A$2:$A$40,0)),"?"))</f>
        <v/>
      </c>
      <c r="C286" s="28" t="inlineStr">
        <is>
          <t>i3 Broadband _1</t>
        </is>
      </c>
      <c r="D286" s="16">
        <f>IF($C286="","",IFERROR(IF(INDEX(Deals!$C$2:$C$355,MATCH($C286,Deals!$A$2:$A$355,0))=0,"",INDEX(Deals!$C$2:$C$355,MATCH($C286,Deals!$A$2:$A$355,0))),"?"))</f>
        <v/>
      </c>
      <c r="E286" s="16">
        <f>IF($C286="","",IFERROR(INDEX(Deals!$F$2:$F$355,MATCH($C286,Deals!$A$2:$A$355,0)),"?"))</f>
        <v/>
      </c>
      <c r="F286" s="28" t="inlineStr">
        <is>
          <t>Director</t>
        </is>
      </c>
      <c r="G286" s="28" t="inlineStr">
        <is>
          <t>Active</t>
        </is>
      </c>
      <c r="H286" s="31" t="n"/>
      <c r="I286" s="32">
        <f>IF(OR($A286="",$G286&lt;&gt;"Active"),0,IF($H286&lt;&gt;"",$H286,IF($AO286&gt;0,$AP286,IF(AND($R286&lt;&gt;"",IFERROR(INDEX(Templates!$B$3:$H$10,MATCH($R286,Templates!$A$3:$A$10,0),MATCH($F286,Templates!$B$2:$H$2,0)),0)&gt;0),INDEX(Templates!$B$3:$H$10,MATCH($R286,Templates!$A$3:$A$10,0),MATCH($F286,Templates!$B$2:$H$2,0)),IFERROR(INDEX(Settings!$B$8:$B$14,MATCH($F286,Settings!$A$8:$A$14,0)),0)))))</f>
        <v/>
      </c>
      <c r="J286" s="21">
        <f>IF($C286="",0,IFERROR(INDEX(Deals!$H$2:$H$355,MATCH($C286,Deals!$A$2:$A$355,0)),0))</f>
        <v/>
      </c>
      <c r="K286" s="32">
        <f>IF(Settings!$B$4="Yes",$I286*$J286,$I286)</f>
        <v/>
      </c>
      <c r="L286" s="22">
        <f>IF($C286="","",IFERROR(IF(INDEX(Deals!$I$2:$I$355,MATCH($C286,Deals!$A$2:$A$355,0))=0,"",INDEX(Deals!$I$2:$I$355,MATCH($C286,Deals!$A$2:$A$355,0))),""))</f>
        <v/>
      </c>
      <c r="M286" s="22">
        <f>IF($C286="","",IFERROR(IF(INDEX(Deals!$J$2:$J$355,MATCH($C286,Deals!$A$2:$A$355,0))=0,"",INDEX(Deals!$J$2:$J$355,MATCH($C286,Deals!$A$2:$A$355,0))),""))</f>
        <v/>
      </c>
      <c r="N286" s="35">
        <f>IF($L286="",DATE(1900,1,1),$L286)</f>
        <v/>
      </c>
      <c r="O286" s="35">
        <f>IF($M286="",DATE(2100,12,31),$M286)</f>
        <v/>
      </c>
      <c r="P286" s="20" t="inlineStr"/>
      <c r="Q286" s="47" t="inlineStr"/>
      <c r="R286" s="16">
        <f>IF($C286="","",IFERROR(IF(INDEX(Deals!$U$2:$U$355,MATCH($C286,Deals!$A$2:$A$355,0))=0,"",INDEX(Deals!$U$2:$U$355,MATCH($C286,Deals!$A$2:$A$355,0))),""))</f>
        <v/>
      </c>
      <c r="S286" s="34">
        <f>IFERROR(IF($U286="",1,INDEX(Deals!$V$2:$V$355,MATCH($C286,Deals!$A$2:$A$355,0))),1)</f>
        <v/>
      </c>
      <c r="T286" s="34">
        <f>IFERROR(IF($U286="",1,INDEX(Deals!$W$2:$W$355,MATCH($C286,Deals!$A$2:$A$355,0))),1)</f>
        <v/>
      </c>
      <c r="U286" s="22">
        <f>IF($C286="","",IFERROR(IF(INDEX(Deals!$Y$2:$Y$355,MATCH($C286,Deals!$A$2:$A$355,0))=0,"",INDEX(Deals!$Y$2:$Y$355,MATCH($C286,Deals!$A$2:$A$355,0))),""))</f>
        <v/>
      </c>
      <c r="V286" s="35">
        <f>IF(OR($U286&lt;&gt;"",AND($AO286&gt;0,$L286&lt;&gt;"",$M286&lt;&gt;"")),$N286,DATE(1900,1,1))</f>
        <v/>
      </c>
      <c r="W286" s="35">
        <f>IF($U286&lt;&gt;"",$U286,IF(AND($AO286&gt;0,$L286&lt;&gt;"",$M286&lt;&gt;""),$O286,DATE(2100,12,31)))</f>
        <v/>
      </c>
      <c r="X286" s="32">
        <f>IF($U286="",$K286,$K286*$S286)</f>
        <v/>
      </c>
      <c r="Y286" s="35">
        <f>IF($U286="",DATE(2100,12,31),$U286+1)</f>
        <v/>
      </c>
      <c r="Z286" s="35">
        <f>IF($U286="",DATE(1900,1,1),$O286)</f>
        <v/>
      </c>
      <c r="AA286" s="32">
        <f>IF($U286="",0,$K286*$T286)</f>
        <v/>
      </c>
      <c r="AB286" s="21">
        <f>IF($C286="",0,IFERROR(INDEX(Deals!$AD$2:$AD$355,MATCH($C286,Deals!$A$2:$A$355,0)),0))</f>
        <v/>
      </c>
      <c r="AC286" s="32">
        <f>IF(Settings!$B$4="Yes",$I286*$AB286,$I286)</f>
        <v/>
      </c>
      <c r="AD286" s="22">
        <f>IF($C286="","",IFERROR(IF(INDEX(Deals!$AE$2:$AE$355,MATCH($C286,Deals!$A$2:$A$355,0))=0,"",INDEX(Deals!$AE$2:$AE$355,MATCH($C286,Deals!$A$2:$A$355,0))),""))</f>
        <v/>
      </c>
      <c r="AE286" s="22">
        <f>IF($C286="","",IFERROR(IF(INDEX(Deals!$AF$2:$AF$355,MATCH($C286,Deals!$A$2:$A$355,0))=0,"",INDEX(Deals!$AF$2:$AF$355,MATCH($C286,Deals!$A$2:$A$355,0))),""))</f>
        <v/>
      </c>
      <c r="AF286" s="35">
        <f>IF($AD286="",DATE(1900,1,1),$AD286)</f>
        <v/>
      </c>
      <c r="AG286" s="35">
        <f>IF($AE286="",DATE(2100,12,31),$AE286)</f>
        <v/>
      </c>
      <c r="AH286" s="22">
        <f>IF($C286="","",IFERROR(IF(INDEX(Deals!$AG$2:$AG$355,MATCH($C286,Deals!$A$2:$A$355,0))=0,"",INDEX(Deals!$AG$2:$AG$355,MATCH($C286,Deals!$A$2:$A$355,0))),""))</f>
        <v/>
      </c>
      <c r="AI286" s="35">
        <f>IF(OR($AH286&lt;&gt;"",AND($AO286&gt;0,$AD286&lt;&gt;"",$AE286&lt;&gt;"")),$AF286,DATE(1900,1,1))</f>
        <v/>
      </c>
      <c r="AJ286" s="35">
        <f>IF($AH286&lt;&gt;"",$AH286,IF(AND($AO286&gt;0,$AD286&lt;&gt;"",$AE286&lt;&gt;""),$AG286,DATE(2100,12,31)))</f>
        <v/>
      </c>
      <c r="AK286" s="32">
        <f>IF($AH286="",$AC286,$AC286*$S286)</f>
        <v/>
      </c>
      <c r="AL286" s="35">
        <f>IF($AH286="",DATE(2100,12,31),$AH286+1)</f>
        <v/>
      </c>
      <c r="AM286" s="35">
        <f>IF($AH286="",DATE(1900,1,1),$AG286)</f>
        <v/>
      </c>
      <c r="AN286" s="32">
        <f>IF($AH286="",0,$AC286*$T286)</f>
        <v/>
      </c>
      <c r="AO286" s="46">
        <f>IF($C286="",0,IFERROR(INDEX(Deals!$BD$2:$BD$355,MATCH($C286,Deals!$A$2:$A$355,0)),0))</f>
        <v/>
      </c>
      <c r="AP286" s="18">
        <f>IF($AO286=0,0,IFERROR(INDEX(Deals!$BJ$2:$BP$355,MATCH($C286,Deals!$A$2:$A$355,0),MATCH($F286,Deals!$BJ$1:$BP$1,0))/COUNTIFS(Assignments!$C$2:$C$769,$C286,Assignments!$F$2:$F$769,$F286,Assignments!$G$2:$G$769,"Active"),0))</f>
        <v/>
      </c>
    </row>
    <row r="287">
      <c r="A287" s="28" t="inlineStr">
        <is>
          <t>Will Covalt</t>
        </is>
      </c>
      <c r="B287" s="16">
        <f>IF($A287="","",IFERROR(INDEX(Roster!$B$2:$B$40,MATCH($A287,Roster!$A$2:$A$40,0)),"?"))</f>
        <v/>
      </c>
      <c r="C287" s="28" t="inlineStr">
        <is>
          <t>Javelina Gain_1</t>
        </is>
      </c>
      <c r="D287" s="16">
        <f>IF($C287="","",IFERROR(IF(INDEX(Deals!$C$2:$C$355,MATCH($C287,Deals!$A$2:$A$355,0))=0,"",INDEX(Deals!$C$2:$C$355,MATCH($C287,Deals!$A$2:$A$355,0))),"?"))</f>
        <v/>
      </c>
      <c r="E287" s="16">
        <f>IF($C287="","",IFERROR(INDEX(Deals!$F$2:$F$355,MATCH($C287,Deals!$A$2:$A$355,0)),"?"))</f>
        <v/>
      </c>
      <c r="F287" s="28" t="inlineStr">
        <is>
          <t>Director</t>
        </is>
      </c>
      <c r="G287" s="28" t="inlineStr">
        <is>
          <t>Active</t>
        </is>
      </c>
      <c r="H287" s="31" t="n"/>
      <c r="I287" s="32">
        <f>IF(OR($A287="",$G287&lt;&gt;"Active"),0,IF($H287&lt;&gt;"",$H287,IF($AO287&gt;0,$AP287,IF(AND($R287&lt;&gt;"",IFERROR(INDEX(Templates!$B$3:$H$10,MATCH($R287,Templates!$A$3:$A$10,0),MATCH($F287,Templates!$B$2:$H$2,0)),0)&gt;0),INDEX(Templates!$B$3:$H$10,MATCH($R287,Templates!$A$3:$A$10,0),MATCH($F287,Templates!$B$2:$H$2,0)),IFERROR(INDEX(Settings!$B$8:$B$14,MATCH($F287,Settings!$A$8:$A$14,0)),0)))))</f>
        <v/>
      </c>
      <c r="J287" s="21">
        <f>IF($C287="",0,IFERROR(INDEX(Deals!$H$2:$H$355,MATCH($C287,Deals!$A$2:$A$355,0)),0))</f>
        <v/>
      </c>
      <c r="K287" s="32">
        <f>IF(Settings!$B$4="Yes",$I287*$J287,$I287)</f>
        <v/>
      </c>
      <c r="L287" s="22">
        <f>IF($C287="","",IFERROR(IF(INDEX(Deals!$I$2:$I$355,MATCH($C287,Deals!$A$2:$A$355,0))=0,"",INDEX(Deals!$I$2:$I$355,MATCH($C287,Deals!$A$2:$A$355,0))),""))</f>
        <v/>
      </c>
      <c r="M287" s="22">
        <f>IF($C287="","",IFERROR(IF(INDEX(Deals!$J$2:$J$355,MATCH($C287,Deals!$A$2:$A$355,0))=0,"",INDEX(Deals!$J$2:$J$355,MATCH($C287,Deals!$A$2:$A$355,0))),""))</f>
        <v/>
      </c>
      <c r="N287" s="35">
        <f>IF($L287="",DATE(1900,1,1),$L287)</f>
        <v/>
      </c>
      <c r="O287" s="35">
        <f>IF($M287="",DATE(2100,12,31),$M287)</f>
        <v/>
      </c>
      <c r="P287" s="20" t="inlineStr"/>
      <c r="Q287" s="47" t="inlineStr"/>
      <c r="R287" s="16">
        <f>IF($C287="","",IFERROR(IF(INDEX(Deals!$U$2:$U$355,MATCH($C287,Deals!$A$2:$A$355,0))=0,"",INDEX(Deals!$U$2:$U$355,MATCH($C287,Deals!$A$2:$A$355,0))),""))</f>
        <v/>
      </c>
      <c r="S287" s="34">
        <f>IFERROR(IF($U287="",1,INDEX(Deals!$V$2:$V$355,MATCH($C287,Deals!$A$2:$A$355,0))),1)</f>
        <v/>
      </c>
      <c r="T287" s="34">
        <f>IFERROR(IF($U287="",1,INDEX(Deals!$W$2:$W$355,MATCH($C287,Deals!$A$2:$A$355,0))),1)</f>
        <v/>
      </c>
      <c r="U287" s="22">
        <f>IF($C287="","",IFERROR(IF(INDEX(Deals!$Y$2:$Y$355,MATCH($C287,Deals!$A$2:$A$355,0))=0,"",INDEX(Deals!$Y$2:$Y$355,MATCH($C287,Deals!$A$2:$A$355,0))),""))</f>
        <v/>
      </c>
      <c r="V287" s="35">
        <f>IF(OR($U287&lt;&gt;"",AND($AO287&gt;0,$L287&lt;&gt;"",$M287&lt;&gt;"")),$N287,DATE(1900,1,1))</f>
        <v/>
      </c>
      <c r="W287" s="35">
        <f>IF($U287&lt;&gt;"",$U287,IF(AND($AO287&gt;0,$L287&lt;&gt;"",$M287&lt;&gt;""),$O287,DATE(2100,12,31)))</f>
        <v/>
      </c>
      <c r="X287" s="32">
        <f>IF($U287="",$K287,$K287*$S287)</f>
        <v/>
      </c>
      <c r="Y287" s="35">
        <f>IF($U287="",DATE(2100,12,31),$U287+1)</f>
        <v/>
      </c>
      <c r="Z287" s="35">
        <f>IF($U287="",DATE(1900,1,1),$O287)</f>
        <v/>
      </c>
      <c r="AA287" s="32">
        <f>IF($U287="",0,$K287*$T287)</f>
        <v/>
      </c>
      <c r="AB287" s="21">
        <f>IF($C287="",0,IFERROR(INDEX(Deals!$AD$2:$AD$355,MATCH($C287,Deals!$A$2:$A$355,0)),0))</f>
        <v/>
      </c>
      <c r="AC287" s="32">
        <f>IF(Settings!$B$4="Yes",$I287*$AB287,$I287)</f>
        <v/>
      </c>
      <c r="AD287" s="22">
        <f>IF($C287="","",IFERROR(IF(INDEX(Deals!$AE$2:$AE$355,MATCH($C287,Deals!$A$2:$A$355,0))=0,"",INDEX(Deals!$AE$2:$AE$355,MATCH($C287,Deals!$A$2:$A$355,0))),""))</f>
        <v/>
      </c>
      <c r="AE287" s="22">
        <f>IF($C287="","",IFERROR(IF(INDEX(Deals!$AF$2:$AF$355,MATCH($C287,Deals!$A$2:$A$355,0))=0,"",INDEX(Deals!$AF$2:$AF$355,MATCH($C287,Deals!$A$2:$A$355,0))),""))</f>
        <v/>
      </c>
      <c r="AF287" s="35">
        <f>IF($AD287="",DATE(1900,1,1),$AD287)</f>
        <v/>
      </c>
      <c r="AG287" s="35">
        <f>IF($AE287="",DATE(2100,12,31),$AE287)</f>
        <v/>
      </c>
      <c r="AH287" s="22">
        <f>IF($C287="","",IFERROR(IF(INDEX(Deals!$AG$2:$AG$355,MATCH($C287,Deals!$A$2:$A$355,0))=0,"",INDEX(Deals!$AG$2:$AG$355,MATCH($C287,Deals!$A$2:$A$355,0))),""))</f>
        <v/>
      </c>
      <c r="AI287" s="35">
        <f>IF(OR($AH287&lt;&gt;"",AND($AO287&gt;0,$AD287&lt;&gt;"",$AE287&lt;&gt;"")),$AF287,DATE(1900,1,1))</f>
        <v/>
      </c>
      <c r="AJ287" s="35">
        <f>IF($AH287&lt;&gt;"",$AH287,IF(AND($AO287&gt;0,$AD287&lt;&gt;"",$AE287&lt;&gt;""),$AG287,DATE(2100,12,31)))</f>
        <v/>
      </c>
      <c r="AK287" s="32">
        <f>IF($AH287="",$AC287,$AC287*$S287)</f>
        <v/>
      </c>
      <c r="AL287" s="35">
        <f>IF($AH287="",DATE(2100,12,31),$AH287+1)</f>
        <v/>
      </c>
      <c r="AM287" s="35">
        <f>IF($AH287="",DATE(1900,1,1),$AG287)</f>
        <v/>
      </c>
      <c r="AN287" s="32">
        <f>IF($AH287="",0,$AC287*$T287)</f>
        <v/>
      </c>
      <c r="AO287" s="46">
        <f>IF($C287="",0,IFERROR(INDEX(Deals!$BD$2:$BD$355,MATCH($C287,Deals!$A$2:$A$355,0)),0))</f>
        <v/>
      </c>
      <c r="AP287" s="18">
        <f>IF($AO287=0,0,IFERROR(INDEX(Deals!$BJ$2:$BP$355,MATCH($C287,Deals!$A$2:$A$355,0),MATCH($F287,Deals!$BJ$1:$BP$1,0))/COUNTIFS(Assignments!$C$2:$C$769,$C287,Assignments!$F$2:$F$769,$F287,Assignments!$G$2:$G$769,"Active"),0))</f>
        <v/>
      </c>
    </row>
    <row r="288">
      <c r="A288" s="28" t="inlineStr">
        <is>
          <t>Will Covalt</t>
        </is>
      </c>
      <c r="B288" s="16">
        <f>IF($A288="","",IFERROR(INDEX(Roster!$B$2:$B$40,MATCH($A288,Roster!$A$2:$A$40,0)),"?"))</f>
        <v/>
      </c>
      <c r="C288" s="28" t="inlineStr">
        <is>
          <t>JHIF 2026 Restructuring_1</t>
        </is>
      </c>
      <c r="D288" s="16">
        <f>IF($C288="","",IFERROR(IF(INDEX(Deals!$C$2:$C$355,MATCH($C288,Deals!$A$2:$A$355,0))=0,"",INDEX(Deals!$C$2:$C$355,MATCH($C288,Deals!$A$2:$A$355,0))),"?"))</f>
        <v/>
      </c>
      <c r="E288" s="16">
        <f>IF($C288="","",IFERROR(INDEX(Deals!$F$2:$F$355,MATCH($C288,Deals!$A$2:$A$355,0)),"?"))</f>
        <v/>
      </c>
      <c r="F288" s="28" t="inlineStr">
        <is>
          <t>Director</t>
        </is>
      </c>
      <c r="G288" s="28" t="inlineStr">
        <is>
          <t>Active</t>
        </is>
      </c>
      <c r="H288" s="31" t="n"/>
      <c r="I288" s="32">
        <f>IF(OR($A288="",$G288&lt;&gt;"Active"),0,IF($H288&lt;&gt;"",$H288,IF($AO288&gt;0,$AP288,IF(AND($R288&lt;&gt;"",IFERROR(INDEX(Templates!$B$3:$H$10,MATCH($R288,Templates!$A$3:$A$10,0),MATCH($F288,Templates!$B$2:$H$2,0)),0)&gt;0),INDEX(Templates!$B$3:$H$10,MATCH($R288,Templates!$A$3:$A$10,0),MATCH($F288,Templates!$B$2:$H$2,0)),IFERROR(INDEX(Settings!$B$8:$B$14,MATCH($F288,Settings!$A$8:$A$14,0)),0)))))</f>
        <v/>
      </c>
      <c r="J288" s="21">
        <f>IF($C288="",0,IFERROR(INDEX(Deals!$H$2:$H$355,MATCH($C288,Deals!$A$2:$A$355,0)),0))</f>
        <v/>
      </c>
      <c r="K288" s="32">
        <f>IF(Settings!$B$4="Yes",$I288*$J288,$I288)</f>
        <v/>
      </c>
      <c r="L288" s="22">
        <f>IF($C288="","",IFERROR(IF(INDEX(Deals!$I$2:$I$355,MATCH($C288,Deals!$A$2:$A$355,0))=0,"",INDEX(Deals!$I$2:$I$355,MATCH($C288,Deals!$A$2:$A$355,0))),""))</f>
        <v/>
      </c>
      <c r="M288" s="22">
        <f>IF($C288="","",IFERROR(IF(INDEX(Deals!$J$2:$J$355,MATCH($C288,Deals!$A$2:$A$355,0))=0,"",INDEX(Deals!$J$2:$J$355,MATCH($C288,Deals!$A$2:$A$355,0))),""))</f>
        <v/>
      </c>
      <c r="N288" s="35">
        <f>IF($L288="",DATE(1900,1,1),$L288)</f>
        <v/>
      </c>
      <c r="O288" s="35">
        <f>IF($M288="",DATE(2100,12,31),$M288)</f>
        <v/>
      </c>
      <c r="P288" s="20" t="inlineStr"/>
      <c r="Q288" s="47" t="inlineStr"/>
      <c r="R288" s="16">
        <f>IF($C288="","",IFERROR(IF(INDEX(Deals!$U$2:$U$355,MATCH($C288,Deals!$A$2:$A$355,0))=0,"",INDEX(Deals!$U$2:$U$355,MATCH($C288,Deals!$A$2:$A$355,0))),""))</f>
        <v/>
      </c>
      <c r="S288" s="34">
        <f>IFERROR(IF($U288="",1,INDEX(Deals!$V$2:$V$355,MATCH($C288,Deals!$A$2:$A$355,0))),1)</f>
        <v/>
      </c>
      <c r="T288" s="34">
        <f>IFERROR(IF($U288="",1,INDEX(Deals!$W$2:$W$355,MATCH($C288,Deals!$A$2:$A$355,0))),1)</f>
        <v/>
      </c>
      <c r="U288" s="22">
        <f>IF($C288="","",IFERROR(IF(INDEX(Deals!$Y$2:$Y$355,MATCH($C288,Deals!$A$2:$A$355,0))=0,"",INDEX(Deals!$Y$2:$Y$355,MATCH($C288,Deals!$A$2:$A$355,0))),""))</f>
        <v/>
      </c>
      <c r="V288" s="35">
        <f>IF(OR($U288&lt;&gt;"",AND($AO288&gt;0,$L288&lt;&gt;"",$M288&lt;&gt;"")),$N288,DATE(1900,1,1))</f>
        <v/>
      </c>
      <c r="W288" s="35">
        <f>IF($U288&lt;&gt;"",$U288,IF(AND($AO288&gt;0,$L288&lt;&gt;"",$M288&lt;&gt;""),$O288,DATE(2100,12,31)))</f>
        <v/>
      </c>
      <c r="X288" s="32">
        <f>IF($U288="",$K288,$K288*$S288)</f>
        <v/>
      </c>
      <c r="Y288" s="35">
        <f>IF($U288="",DATE(2100,12,31),$U288+1)</f>
        <v/>
      </c>
      <c r="Z288" s="35">
        <f>IF($U288="",DATE(1900,1,1),$O288)</f>
        <v/>
      </c>
      <c r="AA288" s="32">
        <f>IF($U288="",0,$K288*$T288)</f>
        <v/>
      </c>
      <c r="AB288" s="21">
        <f>IF($C288="",0,IFERROR(INDEX(Deals!$AD$2:$AD$355,MATCH($C288,Deals!$A$2:$A$355,0)),0))</f>
        <v/>
      </c>
      <c r="AC288" s="32">
        <f>IF(Settings!$B$4="Yes",$I288*$AB288,$I288)</f>
        <v/>
      </c>
      <c r="AD288" s="22">
        <f>IF($C288="","",IFERROR(IF(INDEX(Deals!$AE$2:$AE$355,MATCH($C288,Deals!$A$2:$A$355,0))=0,"",INDEX(Deals!$AE$2:$AE$355,MATCH($C288,Deals!$A$2:$A$355,0))),""))</f>
        <v/>
      </c>
      <c r="AE288" s="22">
        <f>IF($C288="","",IFERROR(IF(INDEX(Deals!$AF$2:$AF$355,MATCH($C288,Deals!$A$2:$A$355,0))=0,"",INDEX(Deals!$AF$2:$AF$355,MATCH($C288,Deals!$A$2:$A$355,0))),""))</f>
        <v/>
      </c>
      <c r="AF288" s="35">
        <f>IF($AD288="",DATE(1900,1,1),$AD288)</f>
        <v/>
      </c>
      <c r="AG288" s="35">
        <f>IF($AE288="",DATE(2100,12,31),$AE288)</f>
        <v/>
      </c>
      <c r="AH288" s="22">
        <f>IF($C288="","",IFERROR(IF(INDEX(Deals!$AG$2:$AG$355,MATCH($C288,Deals!$A$2:$A$355,0))=0,"",INDEX(Deals!$AG$2:$AG$355,MATCH($C288,Deals!$A$2:$A$355,0))),""))</f>
        <v/>
      </c>
      <c r="AI288" s="35">
        <f>IF(OR($AH288&lt;&gt;"",AND($AO288&gt;0,$AD288&lt;&gt;"",$AE288&lt;&gt;"")),$AF288,DATE(1900,1,1))</f>
        <v/>
      </c>
      <c r="AJ288" s="35">
        <f>IF($AH288&lt;&gt;"",$AH288,IF(AND($AO288&gt;0,$AD288&lt;&gt;"",$AE288&lt;&gt;""),$AG288,DATE(2100,12,31)))</f>
        <v/>
      </c>
      <c r="AK288" s="32">
        <f>IF($AH288="",$AC288,$AC288*$S288)</f>
        <v/>
      </c>
      <c r="AL288" s="35">
        <f>IF($AH288="",DATE(2100,12,31),$AH288+1)</f>
        <v/>
      </c>
      <c r="AM288" s="35">
        <f>IF($AH288="",DATE(1900,1,1),$AG288)</f>
        <v/>
      </c>
      <c r="AN288" s="32">
        <f>IF($AH288="",0,$AC288*$T288)</f>
        <v/>
      </c>
      <c r="AO288" s="46">
        <f>IF($C288="",0,IFERROR(INDEX(Deals!$BD$2:$BD$355,MATCH($C288,Deals!$A$2:$A$355,0)),0))</f>
        <v/>
      </c>
      <c r="AP288" s="18">
        <f>IF($AO288=0,0,IFERROR(INDEX(Deals!$BJ$2:$BP$355,MATCH($C288,Deals!$A$2:$A$355,0),MATCH($F288,Deals!$BJ$1:$BP$1,0))/COUNTIFS(Assignments!$C$2:$C$769,$C288,Assignments!$F$2:$F$769,$F288,Assignments!$G$2:$G$769,"Active"),0))</f>
        <v/>
      </c>
    </row>
    <row r="289">
      <c r="A289" s="28" t="inlineStr">
        <is>
          <t>Will Covalt</t>
        </is>
      </c>
      <c r="B289" s="16">
        <f>IF($A289="","",IFERROR(INDEX(Roster!$B$2:$B$40,MATCH($A289,Roster!$A$2:$A$40,0)),"?"))</f>
        <v/>
      </c>
      <c r="C289" s="28" t="inlineStr">
        <is>
          <t>Octopus Post-close_1</t>
        </is>
      </c>
      <c r="D289" s="16">
        <f>IF($C289="","",IFERROR(IF(INDEX(Deals!$C$2:$C$355,MATCH($C289,Deals!$A$2:$A$355,0))=0,"",INDEX(Deals!$C$2:$C$355,MATCH($C289,Deals!$A$2:$A$355,0))),"?"))</f>
        <v/>
      </c>
      <c r="E289" s="16">
        <f>IF($C289="","",IFERROR(INDEX(Deals!$F$2:$F$355,MATCH($C289,Deals!$A$2:$A$355,0)),"?"))</f>
        <v/>
      </c>
      <c r="F289" s="28" t="inlineStr">
        <is>
          <t>Director</t>
        </is>
      </c>
      <c r="G289" s="28" t="inlineStr">
        <is>
          <t>Active</t>
        </is>
      </c>
      <c r="H289" s="31" t="n"/>
      <c r="I289" s="32">
        <f>IF(OR($A289="",$G289&lt;&gt;"Active"),0,IF($H289&lt;&gt;"",$H289,IF($AO289&gt;0,$AP289,IF(AND($R289&lt;&gt;"",IFERROR(INDEX(Templates!$B$3:$H$10,MATCH($R289,Templates!$A$3:$A$10,0),MATCH($F289,Templates!$B$2:$H$2,0)),0)&gt;0),INDEX(Templates!$B$3:$H$10,MATCH($R289,Templates!$A$3:$A$10,0),MATCH($F289,Templates!$B$2:$H$2,0)),IFERROR(INDEX(Settings!$B$8:$B$14,MATCH($F289,Settings!$A$8:$A$14,0)),0)))))</f>
        <v/>
      </c>
      <c r="J289" s="21">
        <f>IF($C289="",0,IFERROR(INDEX(Deals!$H$2:$H$355,MATCH($C289,Deals!$A$2:$A$355,0)),0))</f>
        <v/>
      </c>
      <c r="K289" s="32">
        <f>IF(Settings!$B$4="Yes",$I289*$J289,$I289)</f>
        <v/>
      </c>
      <c r="L289" s="22">
        <f>IF($C289="","",IFERROR(IF(INDEX(Deals!$I$2:$I$355,MATCH($C289,Deals!$A$2:$A$355,0))=0,"",INDEX(Deals!$I$2:$I$355,MATCH($C289,Deals!$A$2:$A$355,0))),""))</f>
        <v/>
      </c>
      <c r="M289" s="22">
        <f>IF($C289="","",IFERROR(IF(INDEX(Deals!$J$2:$J$355,MATCH($C289,Deals!$A$2:$A$355,0))=0,"",INDEX(Deals!$J$2:$J$355,MATCH($C289,Deals!$A$2:$A$355,0))),""))</f>
        <v/>
      </c>
      <c r="N289" s="35">
        <f>IF($L289="",DATE(1900,1,1),$L289)</f>
        <v/>
      </c>
      <c r="O289" s="35">
        <f>IF($M289="",DATE(2100,12,31),$M289)</f>
        <v/>
      </c>
      <c r="P289" s="20" t="inlineStr"/>
      <c r="Q289" s="47" t="inlineStr"/>
      <c r="R289" s="16">
        <f>IF($C289="","",IFERROR(IF(INDEX(Deals!$U$2:$U$355,MATCH($C289,Deals!$A$2:$A$355,0))=0,"",INDEX(Deals!$U$2:$U$355,MATCH($C289,Deals!$A$2:$A$355,0))),""))</f>
        <v/>
      </c>
      <c r="S289" s="34">
        <f>IFERROR(IF($U289="",1,INDEX(Deals!$V$2:$V$355,MATCH($C289,Deals!$A$2:$A$355,0))),1)</f>
        <v/>
      </c>
      <c r="T289" s="34">
        <f>IFERROR(IF($U289="",1,INDEX(Deals!$W$2:$W$355,MATCH($C289,Deals!$A$2:$A$355,0))),1)</f>
        <v/>
      </c>
      <c r="U289" s="22">
        <f>IF($C289="","",IFERROR(IF(INDEX(Deals!$Y$2:$Y$355,MATCH($C289,Deals!$A$2:$A$355,0))=0,"",INDEX(Deals!$Y$2:$Y$355,MATCH($C289,Deals!$A$2:$A$355,0))),""))</f>
        <v/>
      </c>
      <c r="V289" s="35">
        <f>IF(OR($U289&lt;&gt;"",AND($AO289&gt;0,$L289&lt;&gt;"",$M289&lt;&gt;"")),$N289,DATE(1900,1,1))</f>
        <v/>
      </c>
      <c r="W289" s="35">
        <f>IF($U289&lt;&gt;"",$U289,IF(AND($AO289&gt;0,$L289&lt;&gt;"",$M289&lt;&gt;""),$O289,DATE(2100,12,31)))</f>
        <v/>
      </c>
      <c r="X289" s="32">
        <f>IF($U289="",$K289,$K289*$S289)</f>
        <v/>
      </c>
      <c r="Y289" s="35">
        <f>IF($U289="",DATE(2100,12,31),$U289+1)</f>
        <v/>
      </c>
      <c r="Z289" s="35">
        <f>IF($U289="",DATE(1900,1,1),$O289)</f>
        <v/>
      </c>
      <c r="AA289" s="32">
        <f>IF($U289="",0,$K289*$T289)</f>
        <v/>
      </c>
      <c r="AB289" s="21">
        <f>IF($C289="",0,IFERROR(INDEX(Deals!$AD$2:$AD$355,MATCH($C289,Deals!$A$2:$A$355,0)),0))</f>
        <v/>
      </c>
      <c r="AC289" s="32">
        <f>IF(Settings!$B$4="Yes",$I289*$AB289,$I289)</f>
        <v/>
      </c>
      <c r="AD289" s="22">
        <f>IF($C289="","",IFERROR(IF(INDEX(Deals!$AE$2:$AE$355,MATCH($C289,Deals!$A$2:$A$355,0))=0,"",INDEX(Deals!$AE$2:$AE$355,MATCH($C289,Deals!$A$2:$A$355,0))),""))</f>
        <v/>
      </c>
      <c r="AE289" s="22">
        <f>IF($C289="","",IFERROR(IF(INDEX(Deals!$AF$2:$AF$355,MATCH($C289,Deals!$A$2:$A$355,0))=0,"",INDEX(Deals!$AF$2:$AF$355,MATCH($C289,Deals!$A$2:$A$355,0))),""))</f>
        <v/>
      </c>
      <c r="AF289" s="35">
        <f>IF($AD289="",DATE(1900,1,1),$AD289)</f>
        <v/>
      </c>
      <c r="AG289" s="35">
        <f>IF($AE289="",DATE(2100,12,31),$AE289)</f>
        <v/>
      </c>
      <c r="AH289" s="22">
        <f>IF($C289="","",IFERROR(IF(INDEX(Deals!$AG$2:$AG$355,MATCH($C289,Deals!$A$2:$A$355,0))=0,"",INDEX(Deals!$AG$2:$AG$355,MATCH($C289,Deals!$A$2:$A$355,0))),""))</f>
        <v/>
      </c>
      <c r="AI289" s="35">
        <f>IF(OR($AH289&lt;&gt;"",AND($AO289&gt;0,$AD289&lt;&gt;"",$AE289&lt;&gt;"")),$AF289,DATE(1900,1,1))</f>
        <v/>
      </c>
      <c r="AJ289" s="35">
        <f>IF($AH289&lt;&gt;"",$AH289,IF(AND($AO289&gt;0,$AD289&lt;&gt;"",$AE289&lt;&gt;""),$AG289,DATE(2100,12,31)))</f>
        <v/>
      </c>
      <c r="AK289" s="32">
        <f>IF($AH289="",$AC289,$AC289*$S289)</f>
        <v/>
      </c>
      <c r="AL289" s="35">
        <f>IF($AH289="",DATE(2100,12,31),$AH289+1)</f>
        <v/>
      </c>
      <c r="AM289" s="35">
        <f>IF($AH289="",DATE(1900,1,1),$AG289)</f>
        <v/>
      </c>
      <c r="AN289" s="32">
        <f>IF($AH289="",0,$AC289*$T289)</f>
        <v/>
      </c>
      <c r="AO289" s="46">
        <f>IF($C289="",0,IFERROR(INDEX(Deals!$BD$2:$BD$355,MATCH($C289,Deals!$A$2:$A$355,0)),0))</f>
        <v/>
      </c>
      <c r="AP289" s="18">
        <f>IF($AO289=0,0,IFERROR(INDEX(Deals!$BJ$2:$BP$355,MATCH($C289,Deals!$A$2:$A$355,0),MATCH($F289,Deals!$BJ$1:$BP$1,0))/COUNTIFS(Assignments!$C$2:$C$769,$C289,Assignments!$F$2:$F$769,$F289,Assignments!$G$2:$G$769,"Active"),0))</f>
        <v/>
      </c>
    </row>
    <row r="290">
      <c r="A290" s="28" t="inlineStr">
        <is>
          <t>Will Covalt</t>
        </is>
      </c>
      <c r="B290" s="16">
        <f>IF($A290="","",IFERROR(INDEX(Roster!$B$2:$B$40,MATCH($A290,Roster!$A$2:$A$40,0)),"?"))</f>
        <v/>
      </c>
      <c r="C290" s="28" t="inlineStr">
        <is>
          <t>Torch_4</t>
        </is>
      </c>
      <c r="D290" s="16">
        <f>IF($C290="","",IFERROR(IF(INDEX(Deals!$C$2:$C$355,MATCH($C290,Deals!$A$2:$A$355,0))=0,"",INDEX(Deals!$C$2:$C$355,MATCH($C290,Deals!$A$2:$A$355,0))),"?"))</f>
        <v/>
      </c>
      <c r="E290" s="16">
        <f>IF($C290="","",IFERROR(INDEX(Deals!$F$2:$F$355,MATCH($C290,Deals!$A$2:$A$355,0)),"?"))</f>
        <v/>
      </c>
      <c r="F290" s="28" t="inlineStr">
        <is>
          <t>Director</t>
        </is>
      </c>
      <c r="G290" s="28" t="inlineStr">
        <is>
          <t>Active</t>
        </is>
      </c>
      <c r="H290" s="31" t="n"/>
      <c r="I290" s="32">
        <f>IF(OR($A290="",$G290&lt;&gt;"Active"),0,IF($H290&lt;&gt;"",$H290,IF($AO290&gt;0,$AP290,IF(AND($R290&lt;&gt;"",IFERROR(INDEX(Templates!$B$3:$H$10,MATCH($R290,Templates!$A$3:$A$10,0),MATCH($F290,Templates!$B$2:$H$2,0)),0)&gt;0),INDEX(Templates!$B$3:$H$10,MATCH($R290,Templates!$A$3:$A$10,0),MATCH($F290,Templates!$B$2:$H$2,0)),IFERROR(INDEX(Settings!$B$8:$B$14,MATCH($F290,Settings!$A$8:$A$14,0)),0)))))</f>
        <v/>
      </c>
      <c r="J290" s="21">
        <f>IF($C290="",0,IFERROR(INDEX(Deals!$H$2:$H$355,MATCH($C290,Deals!$A$2:$A$355,0)),0))</f>
        <v/>
      </c>
      <c r="K290" s="32">
        <f>IF(Settings!$B$4="Yes",$I290*$J290,$I290)</f>
        <v/>
      </c>
      <c r="L290" s="22">
        <f>IF($C290="","",IFERROR(IF(INDEX(Deals!$I$2:$I$355,MATCH($C290,Deals!$A$2:$A$355,0))=0,"",INDEX(Deals!$I$2:$I$355,MATCH($C290,Deals!$A$2:$A$355,0))),""))</f>
        <v/>
      </c>
      <c r="M290" s="22">
        <f>IF($C290="","",IFERROR(IF(INDEX(Deals!$J$2:$J$355,MATCH($C290,Deals!$A$2:$A$355,0))=0,"",INDEX(Deals!$J$2:$J$355,MATCH($C290,Deals!$A$2:$A$355,0))),""))</f>
        <v/>
      </c>
      <c r="N290" s="35">
        <f>IF($L290="",DATE(1900,1,1),$L290)</f>
        <v/>
      </c>
      <c r="O290" s="35">
        <f>IF($M290="",DATE(2100,12,31),$M290)</f>
        <v/>
      </c>
      <c r="P290" s="20" t="inlineStr"/>
      <c r="Q290" s="47" t="inlineStr"/>
      <c r="R290" s="16">
        <f>IF($C290="","",IFERROR(IF(INDEX(Deals!$U$2:$U$355,MATCH($C290,Deals!$A$2:$A$355,0))=0,"",INDEX(Deals!$U$2:$U$355,MATCH($C290,Deals!$A$2:$A$355,0))),""))</f>
        <v/>
      </c>
      <c r="S290" s="34">
        <f>IFERROR(IF($U290="",1,INDEX(Deals!$V$2:$V$355,MATCH($C290,Deals!$A$2:$A$355,0))),1)</f>
        <v/>
      </c>
      <c r="T290" s="34">
        <f>IFERROR(IF($U290="",1,INDEX(Deals!$W$2:$W$355,MATCH($C290,Deals!$A$2:$A$355,0))),1)</f>
        <v/>
      </c>
      <c r="U290" s="22">
        <f>IF($C290="","",IFERROR(IF(INDEX(Deals!$Y$2:$Y$355,MATCH($C290,Deals!$A$2:$A$355,0))=0,"",INDEX(Deals!$Y$2:$Y$355,MATCH($C290,Deals!$A$2:$A$355,0))),""))</f>
        <v/>
      </c>
      <c r="V290" s="35">
        <f>IF(OR($U290&lt;&gt;"",AND($AO290&gt;0,$L290&lt;&gt;"",$M290&lt;&gt;"")),$N290,DATE(1900,1,1))</f>
        <v/>
      </c>
      <c r="W290" s="35">
        <f>IF($U290&lt;&gt;"",$U290,IF(AND($AO290&gt;0,$L290&lt;&gt;"",$M290&lt;&gt;""),$O290,DATE(2100,12,31)))</f>
        <v/>
      </c>
      <c r="X290" s="32">
        <f>IF($U290="",$K290,$K290*$S290)</f>
        <v/>
      </c>
      <c r="Y290" s="35">
        <f>IF($U290="",DATE(2100,12,31),$U290+1)</f>
        <v/>
      </c>
      <c r="Z290" s="35">
        <f>IF($U290="",DATE(1900,1,1),$O290)</f>
        <v/>
      </c>
      <c r="AA290" s="32">
        <f>IF($U290="",0,$K290*$T290)</f>
        <v/>
      </c>
      <c r="AB290" s="21">
        <f>IF($C290="",0,IFERROR(INDEX(Deals!$AD$2:$AD$355,MATCH($C290,Deals!$A$2:$A$355,0)),0))</f>
        <v/>
      </c>
      <c r="AC290" s="32">
        <f>IF(Settings!$B$4="Yes",$I290*$AB290,$I290)</f>
        <v/>
      </c>
      <c r="AD290" s="22">
        <f>IF($C290="","",IFERROR(IF(INDEX(Deals!$AE$2:$AE$355,MATCH($C290,Deals!$A$2:$A$355,0))=0,"",INDEX(Deals!$AE$2:$AE$355,MATCH($C290,Deals!$A$2:$A$355,0))),""))</f>
        <v/>
      </c>
      <c r="AE290" s="22">
        <f>IF($C290="","",IFERROR(IF(INDEX(Deals!$AF$2:$AF$355,MATCH($C290,Deals!$A$2:$A$355,0))=0,"",INDEX(Deals!$AF$2:$AF$355,MATCH($C290,Deals!$A$2:$A$355,0))),""))</f>
        <v/>
      </c>
      <c r="AF290" s="35">
        <f>IF($AD290="",DATE(1900,1,1),$AD290)</f>
        <v/>
      </c>
      <c r="AG290" s="35">
        <f>IF($AE290="",DATE(2100,12,31),$AE290)</f>
        <v/>
      </c>
      <c r="AH290" s="22">
        <f>IF($C290="","",IFERROR(IF(INDEX(Deals!$AG$2:$AG$355,MATCH($C290,Deals!$A$2:$A$355,0))=0,"",INDEX(Deals!$AG$2:$AG$355,MATCH($C290,Deals!$A$2:$A$355,0))),""))</f>
        <v/>
      </c>
      <c r="AI290" s="35">
        <f>IF(OR($AH290&lt;&gt;"",AND($AO290&gt;0,$AD290&lt;&gt;"",$AE290&lt;&gt;"")),$AF290,DATE(1900,1,1))</f>
        <v/>
      </c>
      <c r="AJ290" s="35">
        <f>IF($AH290&lt;&gt;"",$AH290,IF(AND($AO290&gt;0,$AD290&lt;&gt;"",$AE290&lt;&gt;""),$AG290,DATE(2100,12,31)))</f>
        <v/>
      </c>
      <c r="AK290" s="32">
        <f>IF($AH290="",$AC290,$AC290*$S290)</f>
        <v/>
      </c>
      <c r="AL290" s="35">
        <f>IF($AH290="",DATE(2100,12,31),$AH290+1)</f>
        <v/>
      </c>
      <c r="AM290" s="35">
        <f>IF($AH290="",DATE(1900,1,1),$AG290)</f>
        <v/>
      </c>
      <c r="AN290" s="32">
        <f>IF($AH290="",0,$AC290*$T290)</f>
        <v/>
      </c>
      <c r="AO290" s="46">
        <f>IF($C290="",0,IFERROR(INDEX(Deals!$BD$2:$BD$355,MATCH($C290,Deals!$A$2:$A$355,0)),0))</f>
        <v/>
      </c>
      <c r="AP290" s="18">
        <f>IF($AO290=0,0,IFERROR(INDEX(Deals!$BJ$2:$BP$355,MATCH($C290,Deals!$A$2:$A$355,0),MATCH($F290,Deals!$BJ$1:$BP$1,0))/COUNTIFS(Assignments!$C$2:$C$769,$C290,Assignments!$F$2:$F$769,$F290,Assignments!$G$2:$G$769,"Active"),0))</f>
        <v/>
      </c>
    </row>
    <row r="291">
      <c r="A291" s="28" t="inlineStr">
        <is>
          <t>Lauren</t>
        </is>
      </c>
      <c r="B291" s="16">
        <f>IF($A291="","",IFERROR(INDEX(Roster!$B$2:$B$40,MATCH($A291,Roster!$A$2:$A$40,0)),"?"))</f>
        <v/>
      </c>
      <c r="C291" s="28" t="inlineStr">
        <is>
          <t>Avengers</t>
        </is>
      </c>
      <c r="D291" s="16">
        <f>IF($C291="","",IFERROR(IF(INDEX(Deals!$C$2:$C$355,MATCH($C291,Deals!$A$2:$A$355,0))=0,"",INDEX(Deals!$C$2:$C$355,MATCH($C291,Deals!$A$2:$A$355,0))),"?"))</f>
        <v/>
      </c>
      <c r="E291" s="16">
        <f>IF($C291="","",IFERROR(INDEX(Deals!$F$2:$F$355,MATCH($C291,Deals!$A$2:$A$355,0)),"?"))</f>
        <v/>
      </c>
      <c r="F291" s="28" t="inlineStr">
        <is>
          <t>Director</t>
        </is>
      </c>
      <c r="G291" s="28" t="inlineStr">
        <is>
          <t>Active</t>
        </is>
      </c>
      <c r="H291" s="31" t="n"/>
      <c r="I291" s="32">
        <f>IF(OR($A291="",$G291&lt;&gt;"Active"),0,IF($H291&lt;&gt;"",$H291,IF($AO291&gt;0,$AP291,IF(AND($R291&lt;&gt;"",IFERROR(INDEX(Templates!$B$3:$H$10,MATCH($R291,Templates!$A$3:$A$10,0),MATCH($F291,Templates!$B$2:$H$2,0)),0)&gt;0),INDEX(Templates!$B$3:$H$10,MATCH($R291,Templates!$A$3:$A$10,0),MATCH($F291,Templates!$B$2:$H$2,0)),IFERROR(INDEX(Settings!$B$8:$B$14,MATCH($F291,Settings!$A$8:$A$14,0)),0)))))</f>
        <v/>
      </c>
      <c r="J291" s="21">
        <f>IF($C291="",0,IFERROR(INDEX(Deals!$H$2:$H$355,MATCH($C291,Deals!$A$2:$A$355,0)),0))</f>
        <v/>
      </c>
      <c r="K291" s="32">
        <f>IF(Settings!$B$4="Yes",$I291*$J291,$I291)</f>
        <v/>
      </c>
      <c r="L291" s="22">
        <f>IF($C291="","",IFERROR(IF(INDEX(Deals!$I$2:$I$355,MATCH($C291,Deals!$A$2:$A$355,0))=0,"",INDEX(Deals!$I$2:$I$355,MATCH($C291,Deals!$A$2:$A$355,0))),""))</f>
        <v/>
      </c>
      <c r="M291" s="22">
        <f>IF($C291="","",IFERROR(IF(INDEX(Deals!$J$2:$J$355,MATCH($C291,Deals!$A$2:$A$355,0))=0,"",INDEX(Deals!$J$2:$J$355,MATCH($C291,Deals!$A$2:$A$355,0))),""))</f>
        <v/>
      </c>
      <c r="N291" s="35">
        <f>IF($L291="",DATE(1900,1,1),$L291)</f>
        <v/>
      </c>
      <c r="O291" s="35">
        <f>IF($M291="",DATE(2100,12,31),$M291)</f>
        <v/>
      </c>
      <c r="P291" s="20" t="inlineStr"/>
      <c r="Q291" s="47" t="inlineStr"/>
      <c r="R291" s="16">
        <f>IF($C291="","",IFERROR(IF(INDEX(Deals!$U$2:$U$355,MATCH($C291,Deals!$A$2:$A$355,0))=0,"",INDEX(Deals!$U$2:$U$355,MATCH($C291,Deals!$A$2:$A$355,0))),""))</f>
        <v/>
      </c>
      <c r="S291" s="34">
        <f>IFERROR(IF($U291="",1,INDEX(Deals!$V$2:$V$355,MATCH($C291,Deals!$A$2:$A$355,0))),1)</f>
        <v/>
      </c>
      <c r="T291" s="34">
        <f>IFERROR(IF($U291="",1,INDEX(Deals!$W$2:$W$355,MATCH($C291,Deals!$A$2:$A$355,0))),1)</f>
        <v/>
      </c>
      <c r="U291" s="22">
        <f>IF($C291="","",IFERROR(IF(INDEX(Deals!$Y$2:$Y$355,MATCH($C291,Deals!$A$2:$A$355,0))=0,"",INDEX(Deals!$Y$2:$Y$355,MATCH($C291,Deals!$A$2:$A$355,0))),""))</f>
        <v/>
      </c>
      <c r="V291" s="35">
        <f>IF(OR($U291&lt;&gt;"",AND($AO291&gt;0,$L291&lt;&gt;"",$M291&lt;&gt;"")),$N291,DATE(1900,1,1))</f>
        <v/>
      </c>
      <c r="W291" s="35">
        <f>IF($U291&lt;&gt;"",$U291,IF(AND($AO291&gt;0,$L291&lt;&gt;"",$M291&lt;&gt;""),$O291,DATE(2100,12,31)))</f>
        <v/>
      </c>
      <c r="X291" s="32">
        <f>IF($U291="",$K291,$K291*$S291)</f>
        <v/>
      </c>
      <c r="Y291" s="35">
        <f>IF($U291="",DATE(2100,12,31),$U291+1)</f>
        <v/>
      </c>
      <c r="Z291" s="35">
        <f>IF($U291="",DATE(1900,1,1),$O291)</f>
        <v/>
      </c>
      <c r="AA291" s="32">
        <f>IF($U291="",0,$K291*$T291)</f>
        <v/>
      </c>
      <c r="AB291" s="21">
        <f>IF($C291="",0,IFERROR(INDEX(Deals!$AD$2:$AD$355,MATCH($C291,Deals!$A$2:$A$355,0)),0))</f>
        <v/>
      </c>
      <c r="AC291" s="32">
        <f>IF(Settings!$B$4="Yes",$I291*$AB291,$I291)</f>
        <v/>
      </c>
      <c r="AD291" s="22">
        <f>IF($C291="","",IFERROR(IF(INDEX(Deals!$AE$2:$AE$355,MATCH($C291,Deals!$A$2:$A$355,0))=0,"",INDEX(Deals!$AE$2:$AE$355,MATCH($C291,Deals!$A$2:$A$355,0))),""))</f>
        <v/>
      </c>
      <c r="AE291" s="22">
        <f>IF($C291="","",IFERROR(IF(INDEX(Deals!$AF$2:$AF$355,MATCH($C291,Deals!$A$2:$A$355,0))=0,"",INDEX(Deals!$AF$2:$AF$355,MATCH($C291,Deals!$A$2:$A$355,0))),""))</f>
        <v/>
      </c>
      <c r="AF291" s="35">
        <f>IF($AD291="",DATE(1900,1,1),$AD291)</f>
        <v/>
      </c>
      <c r="AG291" s="35">
        <f>IF($AE291="",DATE(2100,12,31),$AE291)</f>
        <v/>
      </c>
      <c r="AH291" s="22">
        <f>IF($C291="","",IFERROR(IF(INDEX(Deals!$AG$2:$AG$355,MATCH($C291,Deals!$A$2:$A$355,0))=0,"",INDEX(Deals!$AG$2:$AG$355,MATCH($C291,Deals!$A$2:$A$355,0))),""))</f>
        <v/>
      </c>
      <c r="AI291" s="35">
        <f>IF(OR($AH291&lt;&gt;"",AND($AO291&gt;0,$AD291&lt;&gt;"",$AE291&lt;&gt;"")),$AF291,DATE(1900,1,1))</f>
        <v/>
      </c>
      <c r="AJ291" s="35">
        <f>IF($AH291&lt;&gt;"",$AH291,IF(AND($AO291&gt;0,$AD291&lt;&gt;"",$AE291&lt;&gt;""),$AG291,DATE(2100,12,31)))</f>
        <v/>
      </c>
      <c r="AK291" s="32">
        <f>IF($AH291="",$AC291,$AC291*$S291)</f>
        <v/>
      </c>
      <c r="AL291" s="35">
        <f>IF($AH291="",DATE(2100,12,31),$AH291+1)</f>
        <v/>
      </c>
      <c r="AM291" s="35">
        <f>IF($AH291="",DATE(1900,1,1),$AG291)</f>
        <v/>
      </c>
      <c r="AN291" s="32">
        <f>IF($AH291="",0,$AC291*$T291)</f>
        <v/>
      </c>
      <c r="AO291" s="46">
        <f>IF($C291="",0,IFERROR(INDEX(Deals!$BD$2:$BD$355,MATCH($C291,Deals!$A$2:$A$355,0)),0))</f>
        <v/>
      </c>
      <c r="AP291" s="18">
        <f>IF($AO291=0,0,IFERROR(INDEX(Deals!$BJ$2:$BP$355,MATCH($C291,Deals!$A$2:$A$355,0),MATCH($F291,Deals!$BJ$1:$BP$1,0))/COUNTIFS(Assignments!$C$2:$C$769,$C291,Assignments!$F$2:$F$769,$F291,Assignments!$G$2:$G$769,"Active"),0))</f>
        <v/>
      </c>
    </row>
    <row r="292">
      <c r="A292" s="28" t="inlineStr">
        <is>
          <t>Lauren</t>
        </is>
      </c>
      <c r="B292" s="16">
        <f>IF($A292="","",IFERROR(INDEX(Roster!$B$2:$B$40,MATCH($A292,Roster!$A$2:$A$40,0)),"?"))</f>
        <v/>
      </c>
      <c r="C292" s="28" t="inlineStr">
        <is>
          <t>Aypa Power General PW&amp;A Advisory_1</t>
        </is>
      </c>
      <c r="D292" s="16">
        <f>IF($C292="","",IFERROR(IF(INDEX(Deals!$C$2:$C$355,MATCH($C292,Deals!$A$2:$A$355,0))=0,"",INDEX(Deals!$C$2:$C$355,MATCH($C292,Deals!$A$2:$A$355,0))),"?"))</f>
        <v/>
      </c>
      <c r="E292" s="16">
        <f>IF($C292="","",IFERROR(INDEX(Deals!$F$2:$F$355,MATCH($C292,Deals!$A$2:$A$355,0)),"?"))</f>
        <v/>
      </c>
      <c r="F292" s="28" t="inlineStr">
        <is>
          <t>Director</t>
        </is>
      </c>
      <c r="G292" s="28" t="inlineStr">
        <is>
          <t>Inactive</t>
        </is>
      </c>
      <c r="H292" s="31" t="n"/>
      <c r="I292" s="32">
        <f>IF(OR($A292="",$G292&lt;&gt;"Active"),0,IF($H292&lt;&gt;"",$H292,IF($AO292&gt;0,$AP292,IF(AND($R292&lt;&gt;"",IFERROR(INDEX(Templates!$B$3:$H$10,MATCH($R292,Templates!$A$3:$A$10,0),MATCH($F292,Templates!$B$2:$H$2,0)),0)&gt;0),INDEX(Templates!$B$3:$H$10,MATCH($R292,Templates!$A$3:$A$10,0),MATCH($F292,Templates!$B$2:$H$2,0)),IFERROR(INDEX(Settings!$B$8:$B$14,MATCH($F292,Settings!$A$8:$A$14,0)),0)))))</f>
        <v/>
      </c>
      <c r="J292" s="21">
        <f>IF($C292="",0,IFERROR(INDEX(Deals!$H$2:$H$355,MATCH($C292,Deals!$A$2:$A$355,0)),0))</f>
        <v/>
      </c>
      <c r="K292" s="32">
        <f>IF(Settings!$B$4="Yes",$I292*$J292,$I292)</f>
        <v/>
      </c>
      <c r="L292" s="22">
        <f>IF($C292="","",IFERROR(IF(INDEX(Deals!$I$2:$I$355,MATCH($C292,Deals!$A$2:$A$355,0))=0,"",INDEX(Deals!$I$2:$I$355,MATCH($C292,Deals!$A$2:$A$355,0))),""))</f>
        <v/>
      </c>
      <c r="M292" s="22">
        <f>IF($C292="","",IFERROR(IF(INDEX(Deals!$J$2:$J$355,MATCH($C292,Deals!$A$2:$A$355,0))=0,"",INDEX(Deals!$J$2:$J$355,MATCH($C292,Deals!$A$2:$A$355,0))),""))</f>
        <v/>
      </c>
      <c r="N292" s="35">
        <f>IF($L292="",DATE(1900,1,1),$L292)</f>
        <v/>
      </c>
      <c r="O292" s="35">
        <f>IF($M292="",DATE(2100,12,31),$M292)</f>
        <v/>
      </c>
      <c r="P292" s="20" t="inlineStr"/>
      <c r="Q292" s="47" t="inlineStr">
        <is>
          <t>Deal lifecycle is On hold</t>
        </is>
      </c>
      <c r="R292" s="16">
        <f>IF($C292="","",IFERROR(IF(INDEX(Deals!$U$2:$U$355,MATCH($C292,Deals!$A$2:$A$355,0))=0,"",INDEX(Deals!$U$2:$U$355,MATCH($C292,Deals!$A$2:$A$355,0))),""))</f>
        <v/>
      </c>
      <c r="S292" s="34">
        <f>IFERROR(IF($U292="",1,INDEX(Deals!$V$2:$V$355,MATCH($C292,Deals!$A$2:$A$355,0))),1)</f>
        <v/>
      </c>
      <c r="T292" s="34">
        <f>IFERROR(IF($U292="",1,INDEX(Deals!$W$2:$W$355,MATCH($C292,Deals!$A$2:$A$355,0))),1)</f>
        <v/>
      </c>
      <c r="U292" s="22">
        <f>IF($C292="","",IFERROR(IF(INDEX(Deals!$Y$2:$Y$355,MATCH($C292,Deals!$A$2:$A$355,0))=0,"",INDEX(Deals!$Y$2:$Y$355,MATCH($C292,Deals!$A$2:$A$355,0))),""))</f>
        <v/>
      </c>
      <c r="V292" s="35">
        <f>IF(OR($U292&lt;&gt;"",AND($AO292&gt;0,$L292&lt;&gt;"",$M292&lt;&gt;"")),$N292,DATE(1900,1,1))</f>
        <v/>
      </c>
      <c r="W292" s="35">
        <f>IF($U292&lt;&gt;"",$U292,IF(AND($AO292&gt;0,$L292&lt;&gt;"",$M292&lt;&gt;""),$O292,DATE(2100,12,31)))</f>
        <v/>
      </c>
      <c r="X292" s="32">
        <f>IF($U292="",$K292,$K292*$S292)</f>
        <v/>
      </c>
      <c r="Y292" s="35">
        <f>IF($U292="",DATE(2100,12,31),$U292+1)</f>
        <v/>
      </c>
      <c r="Z292" s="35">
        <f>IF($U292="",DATE(1900,1,1),$O292)</f>
        <v/>
      </c>
      <c r="AA292" s="32">
        <f>IF($U292="",0,$K292*$T292)</f>
        <v/>
      </c>
      <c r="AB292" s="21">
        <f>IF($C292="",0,IFERROR(INDEX(Deals!$AD$2:$AD$355,MATCH($C292,Deals!$A$2:$A$355,0)),0))</f>
        <v/>
      </c>
      <c r="AC292" s="32">
        <f>IF(Settings!$B$4="Yes",$I292*$AB292,$I292)</f>
        <v/>
      </c>
      <c r="AD292" s="22">
        <f>IF($C292="","",IFERROR(IF(INDEX(Deals!$AE$2:$AE$355,MATCH($C292,Deals!$A$2:$A$355,0))=0,"",INDEX(Deals!$AE$2:$AE$355,MATCH($C292,Deals!$A$2:$A$355,0))),""))</f>
        <v/>
      </c>
      <c r="AE292" s="22">
        <f>IF($C292="","",IFERROR(IF(INDEX(Deals!$AF$2:$AF$355,MATCH($C292,Deals!$A$2:$A$355,0))=0,"",INDEX(Deals!$AF$2:$AF$355,MATCH($C292,Deals!$A$2:$A$355,0))),""))</f>
        <v/>
      </c>
      <c r="AF292" s="35">
        <f>IF($AD292="",DATE(1900,1,1),$AD292)</f>
        <v/>
      </c>
      <c r="AG292" s="35">
        <f>IF($AE292="",DATE(2100,12,31),$AE292)</f>
        <v/>
      </c>
      <c r="AH292" s="22">
        <f>IF($C292="","",IFERROR(IF(INDEX(Deals!$AG$2:$AG$355,MATCH($C292,Deals!$A$2:$A$355,0))=0,"",INDEX(Deals!$AG$2:$AG$355,MATCH($C292,Deals!$A$2:$A$355,0))),""))</f>
        <v/>
      </c>
      <c r="AI292" s="35">
        <f>IF(OR($AH292&lt;&gt;"",AND($AO292&gt;0,$AD292&lt;&gt;"",$AE292&lt;&gt;"")),$AF292,DATE(1900,1,1))</f>
        <v/>
      </c>
      <c r="AJ292" s="35">
        <f>IF($AH292&lt;&gt;"",$AH292,IF(AND($AO292&gt;0,$AD292&lt;&gt;"",$AE292&lt;&gt;""),$AG292,DATE(2100,12,31)))</f>
        <v/>
      </c>
      <c r="AK292" s="32">
        <f>IF($AH292="",$AC292,$AC292*$S292)</f>
        <v/>
      </c>
      <c r="AL292" s="35">
        <f>IF($AH292="",DATE(2100,12,31),$AH292+1)</f>
        <v/>
      </c>
      <c r="AM292" s="35">
        <f>IF($AH292="",DATE(1900,1,1),$AG292)</f>
        <v/>
      </c>
      <c r="AN292" s="32">
        <f>IF($AH292="",0,$AC292*$T292)</f>
        <v/>
      </c>
      <c r="AO292" s="46">
        <f>IF($C292="",0,IFERROR(INDEX(Deals!$BD$2:$BD$355,MATCH($C292,Deals!$A$2:$A$355,0)),0))</f>
        <v/>
      </c>
      <c r="AP292" s="18">
        <f>IF($AO292=0,0,IFERROR(INDEX(Deals!$BJ$2:$BP$355,MATCH($C292,Deals!$A$2:$A$355,0),MATCH($F292,Deals!$BJ$1:$BP$1,0))/COUNTIFS(Assignments!$C$2:$C$769,$C292,Assignments!$F$2:$F$769,$F292,Assignments!$G$2:$G$769,"Active"),0))</f>
        <v/>
      </c>
    </row>
    <row r="293">
      <c r="A293" s="28" t="inlineStr">
        <is>
          <t>Lauren</t>
        </is>
      </c>
      <c r="B293" s="16">
        <f>IF($A293="","",IFERROR(INDEX(Roster!$B$2:$B$40,MATCH($A293,Roster!$A$2:$A$40,0)),"?"))</f>
        <v/>
      </c>
      <c r="C293" s="28" t="inlineStr">
        <is>
          <t>B2V_1</t>
        </is>
      </c>
      <c r="D293" s="16">
        <f>IF($C293="","",IFERROR(IF(INDEX(Deals!$C$2:$C$355,MATCH($C293,Deals!$A$2:$A$355,0))=0,"",INDEX(Deals!$C$2:$C$355,MATCH($C293,Deals!$A$2:$A$355,0))),"?"))</f>
        <v/>
      </c>
      <c r="E293" s="16">
        <f>IF($C293="","",IFERROR(INDEX(Deals!$F$2:$F$355,MATCH($C293,Deals!$A$2:$A$355,0)),"?"))</f>
        <v/>
      </c>
      <c r="F293" s="28" t="inlineStr">
        <is>
          <t>Director</t>
        </is>
      </c>
      <c r="G293" s="28" t="inlineStr">
        <is>
          <t>Active</t>
        </is>
      </c>
      <c r="H293" s="31" t="n"/>
      <c r="I293" s="32">
        <f>IF(OR($A293="",$G293&lt;&gt;"Active"),0,IF($H293&lt;&gt;"",$H293,IF($AO293&gt;0,$AP293,IF(AND($R293&lt;&gt;"",IFERROR(INDEX(Templates!$B$3:$H$10,MATCH($R293,Templates!$A$3:$A$10,0),MATCH($F293,Templates!$B$2:$H$2,0)),0)&gt;0),INDEX(Templates!$B$3:$H$10,MATCH($R293,Templates!$A$3:$A$10,0),MATCH($F293,Templates!$B$2:$H$2,0)),IFERROR(INDEX(Settings!$B$8:$B$14,MATCH($F293,Settings!$A$8:$A$14,0)),0)))))</f>
        <v/>
      </c>
      <c r="J293" s="21">
        <f>IF($C293="",0,IFERROR(INDEX(Deals!$H$2:$H$355,MATCH($C293,Deals!$A$2:$A$355,0)),0))</f>
        <v/>
      </c>
      <c r="K293" s="32">
        <f>IF(Settings!$B$4="Yes",$I293*$J293,$I293)</f>
        <v/>
      </c>
      <c r="L293" s="22">
        <f>IF($C293="","",IFERROR(IF(INDEX(Deals!$I$2:$I$355,MATCH($C293,Deals!$A$2:$A$355,0))=0,"",INDEX(Deals!$I$2:$I$355,MATCH($C293,Deals!$A$2:$A$355,0))),""))</f>
        <v/>
      </c>
      <c r="M293" s="22">
        <f>IF($C293="","",IFERROR(IF(INDEX(Deals!$J$2:$J$355,MATCH($C293,Deals!$A$2:$A$355,0))=0,"",INDEX(Deals!$J$2:$J$355,MATCH($C293,Deals!$A$2:$A$355,0))),""))</f>
        <v/>
      </c>
      <c r="N293" s="35">
        <f>IF($L293="",DATE(1900,1,1),$L293)</f>
        <v/>
      </c>
      <c r="O293" s="35">
        <f>IF($M293="",DATE(2100,12,31),$M293)</f>
        <v/>
      </c>
      <c r="P293" s="20" t="inlineStr"/>
      <c r="Q293" s="47" t="inlineStr"/>
      <c r="R293" s="16">
        <f>IF($C293="","",IFERROR(IF(INDEX(Deals!$U$2:$U$355,MATCH($C293,Deals!$A$2:$A$355,0))=0,"",INDEX(Deals!$U$2:$U$355,MATCH($C293,Deals!$A$2:$A$355,0))),""))</f>
        <v/>
      </c>
      <c r="S293" s="34">
        <f>IFERROR(IF($U293="",1,INDEX(Deals!$V$2:$V$355,MATCH($C293,Deals!$A$2:$A$355,0))),1)</f>
        <v/>
      </c>
      <c r="T293" s="34">
        <f>IFERROR(IF($U293="",1,INDEX(Deals!$W$2:$W$355,MATCH($C293,Deals!$A$2:$A$355,0))),1)</f>
        <v/>
      </c>
      <c r="U293" s="22">
        <f>IF($C293="","",IFERROR(IF(INDEX(Deals!$Y$2:$Y$355,MATCH($C293,Deals!$A$2:$A$355,0))=0,"",INDEX(Deals!$Y$2:$Y$355,MATCH($C293,Deals!$A$2:$A$355,0))),""))</f>
        <v/>
      </c>
      <c r="V293" s="35">
        <f>IF(OR($U293&lt;&gt;"",AND($AO293&gt;0,$L293&lt;&gt;"",$M293&lt;&gt;"")),$N293,DATE(1900,1,1))</f>
        <v/>
      </c>
      <c r="W293" s="35">
        <f>IF($U293&lt;&gt;"",$U293,IF(AND($AO293&gt;0,$L293&lt;&gt;"",$M293&lt;&gt;""),$O293,DATE(2100,12,31)))</f>
        <v/>
      </c>
      <c r="X293" s="32">
        <f>IF($U293="",$K293,$K293*$S293)</f>
        <v/>
      </c>
      <c r="Y293" s="35">
        <f>IF($U293="",DATE(2100,12,31),$U293+1)</f>
        <v/>
      </c>
      <c r="Z293" s="35">
        <f>IF($U293="",DATE(1900,1,1),$O293)</f>
        <v/>
      </c>
      <c r="AA293" s="32">
        <f>IF($U293="",0,$K293*$T293)</f>
        <v/>
      </c>
      <c r="AB293" s="21">
        <f>IF($C293="",0,IFERROR(INDEX(Deals!$AD$2:$AD$355,MATCH($C293,Deals!$A$2:$A$355,0)),0))</f>
        <v/>
      </c>
      <c r="AC293" s="32">
        <f>IF(Settings!$B$4="Yes",$I293*$AB293,$I293)</f>
        <v/>
      </c>
      <c r="AD293" s="22">
        <f>IF($C293="","",IFERROR(IF(INDEX(Deals!$AE$2:$AE$355,MATCH($C293,Deals!$A$2:$A$355,0))=0,"",INDEX(Deals!$AE$2:$AE$355,MATCH($C293,Deals!$A$2:$A$355,0))),""))</f>
        <v/>
      </c>
      <c r="AE293" s="22">
        <f>IF($C293="","",IFERROR(IF(INDEX(Deals!$AF$2:$AF$355,MATCH($C293,Deals!$A$2:$A$355,0))=0,"",INDEX(Deals!$AF$2:$AF$355,MATCH($C293,Deals!$A$2:$A$355,0))),""))</f>
        <v/>
      </c>
      <c r="AF293" s="35">
        <f>IF($AD293="",DATE(1900,1,1),$AD293)</f>
        <v/>
      </c>
      <c r="AG293" s="35">
        <f>IF($AE293="",DATE(2100,12,31),$AE293)</f>
        <v/>
      </c>
      <c r="AH293" s="22">
        <f>IF($C293="","",IFERROR(IF(INDEX(Deals!$AG$2:$AG$355,MATCH($C293,Deals!$A$2:$A$355,0))=0,"",INDEX(Deals!$AG$2:$AG$355,MATCH($C293,Deals!$A$2:$A$355,0))),""))</f>
        <v/>
      </c>
      <c r="AI293" s="35">
        <f>IF(OR($AH293&lt;&gt;"",AND($AO293&gt;0,$AD293&lt;&gt;"",$AE293&lt;&gt;"")),$AF293,DATE(1900,1,1))</f>
        <v/>
      </c>
      <c r="AJ293" s="35">
        <f>IF($AH293&lt;&gt;"",$AH293,IF(AND($AO293&gt;0,$AD293&lt;&gt;"",$AE293&lt;&gt;""),$AG293,DATE(2100,12,31)))</f>
        <v/>
      </c>
      <c r="AK293" s="32">
        <f>IF($AH293="",$AC293,$AC293*$S293)</f>
        <v/>
      </c>
      <c r="AL293" s="35">
        <f>IF($AH293="",DATE(2100,12,31),$AH293+1)</f>
        <v/>
      </c>
      <c r="AM293" s="35">
        <f>IF($AH293="",DATE(1900,1,1),$AG293)</f>
        <v/>
      </c>
      <c r="AN293" s="32">
        <f>IF($AH293="",0,$AC293*$T293)</f>
        <v/>
      </c>
      <c r="AO293" s="46">
        <f>IF($C293="",0,IFERROR(INDEX(Deals!$BD$2:$BD$355,MATCH($C293,Deals!$A$2:$A$355,0)),0))</f>
        <v/>
      </c>
      <c r="AP293" s="18">
        <f>IF($AO293=0,0,IFERROR(INDEX(Deals!$BJ$2:$BP$355,MATCH($C293,Deals!$A$2:$A$355,0),MATCH($F293,Deals!$BJ$1:$BP$1,0))/COUNTIFS(Assignments!$C$2:$C$769,$C293,Assignments!$F$2:$F$769,$F293,Assignments!$G$2:$G$769,"Active"),0))</f>
        <v/>
      </c>
    </row>
    <row r="294">
      <c r="A294" s="28" t="inlineStr">
        <is>
          <t>Lauren</t>
        </is>
      </c>
      <c r="B294" s="16">
        <f>IF($A294="","",IFERROR(INDEX(Roster!$B$2:$B$40,MATCH($A294,Roster!$A$2:$A$40,0)),"?"))</f>
        <v/>
      </c>
      <c r="C294" s="28" t="inlineStr">
        <is>
          <t>Bay_2</t>
        </is>
      </c>
      <c r="D294" s="16">
        <f>IF($C294="","",IFERROR(IF(INDEX(Deals!$C$2:$C$355,MATCH($C294,Deals!$A$2:$A$355,0))=0,"",INDEX(Deals!$C$2:$C$355,MATCH($C294,Deals!$A$2:$A$355,0))),"?"))</f>
        <v/>
      </c>
      <c r="E294" s="16">
        <f>IF($C294="","",IFERROR(INDEX(Deals!$F$2:$F$355,MATCH($C294,Deals!$A$2:$A$355,0)),"?"))</f>
        <v/>
      </c>
      <c r="F294" s="28" t="inlineStr">
        <is>
          <t>Director</t>
        </is>
      </c>
      <c r="G294" s="28" t="inlineStr">
        <is>
          <t>Active</t>
        </is>
      </c>
      <c r="H294" s="31" t="n"/>
      <c r="I294" s="32">
        <f>IF(OR($A294="",$G294&lt;&gt;"Active"),0,IF($H294&lt;&gt;"",$H294,IF($AO294&gt;0,$AP294,IF(AND($R294&lt;&gt;"",IFERROR(INDEX(Templates!$B$3:$H$10,MATCH($R294,Templates!$A$3:$A$10,0),MATCH($F294,Templates!$B$2:$H$2,0)),0)&gt;0),INDEX(Templates!$B$3:$H$10,MATCH($R294,Templates!$A$3:$A$10,0),MATCH($F294,Templates!$B$2:$H$2,0)),IFERROR(INDEX(Settings!$B$8:$B$14,MATCH($F294,Settings!$A$8:$A$14,0)),0)))))</f>
        <v/>
      </c>
      <c r="J294" s="21">
        <f>IF($C294="",0,IFERROR(INDEX(Deals!$H$2:$H$355,MATCH($C294,Deals!$A$2:$A$355,0)),0))</f>
        <v/>
      </c>
      <c r="K294" s="32">
        <f>IF(Settings!$B$4="Yes",$I294*$J294,$I294)</f>
        <v/>
      </c>
      <c r="L294" s="22">
        <f>IF($C294="","",IFERROR(IF(INDEX(Deals!$I$2:$I$355,MATCH($C294,Deals!$A$2:$A$355,0))=0,"",INDEX(Deals!$I$2:$I$355,MATCH($C294,Deals!$A$2:$A$355,0))),""))</f>
        <v/>
      </c>
      <c r="M294" s="22">
        <f>IF($C294="","",IFERROR(IF(INDEX(Deals!$J$2:$J$355,MATCH($C294,Deals!$A$2:$A$355,0))=0,"",INDEX(Deals!$J$2:$J$355,MATCH($C294,Deals!$A$2:$A$355,0))),""))</f>
        <v/>
      </c>
      <c r="N294" s="35">
        <f>IF($L294="",DATE(1900,1,1),$L294)</f>
        <v/>
      </c>
      <c r="O294" s="35">
        <f>IF($M294="",DATE(2100,12,31),$M294)</f>
        <v/>
      </c>
      <c r="P294" s="20" t="inlineStr"/>
      <c r="Q294" s="47" t="inlineStr"/>
      <c r="R294" s="16">
        <f>IF($C294="","",IFERROR(IF(INDEX(Deals!$U$2:$U$355,MATCH($C294,Deals!$A$2:$A$355,0))=0,"",INDEX(Deals!$U$2:$U$355,MATCH($C294,Deals!$A$2:$A$355,0))),""))</f>
        <v/>
      </c>
      <c r="S294" s="34">
        <f>IFERROR(IF($U294="",1,INDEX(Deals!$V$2:$V$355,MATCH($C294,Deals!$A$2:$A$355,0))),1)</f>
        <v/>
      </c>
      <c r="T294" s="34">
        <f>IFERROR(IF($U294="",1,INDEX(Deals!$W$2:$W$355,MATCH($C294,Deals!$A$2:$A$355,0))),1)</f>
        <v/>
      </c>
      <c r="U294" s="22">
        <f>IF($C294="","",IFERROR(IF(INDEX(Deals!$Y$2:$Y$355,MATCH($C294,Deals!$A$2:$A$355,0))=0,"",INDEX(Deals!$Y$2:$Y$355,MATCH($C294,Deals!$A$2:$A$355,0))),""))</f>
        <v/>
      </c>
      <c r="V294" s="35">
        <f>IF(OR($U294&lt;&gt;"",AND($AO294&gt;0,$L294&lt;&gt;"",$M294&lt;&gt;"")),$N294,DATE(1900,1,1))</f>
        <v/>
      </c>
      <c r="W294" s="35">
        <f>IF($U294&lt;&gt;"",$U294,IF(AND($AO294&gt;0,$L294&lt;&gt;"",$M294&lt;&gt;""),$O294,DATE(2100,12,31)))</f>
        <v/>
      </c>
      <c r="X294" s="32">
        <f>IF($U294="",$K294,$K294*$S294)</f>
        <v/>
      </c>
      <c r="Y294" s="35">
        <f>IF($U294="",DATE(2100,12,31),$U294+1)</f>
        <v/>
      </c>
      <c r="Z294" s="35">
        <f>IF($U294="",DATE(1900,1,1),$O294)</f>
        <v/>
      </c>
      <c r="AA294" s="32">
        <f>IF($U294="",0,$K294*$T294)</f>
        <v/>
      </c>
      <c r="AB294" s="21">
        <f>IF($C294="",0,IFERROR(INDEX(Deals!$AD$2:$AD$355,MATCH($C294,Deals!$A$2:$A$355,0)),0))</f>
        <v/>
      </c>
      <c r="AC294" s="32">
        <f>IF(Settings!$B$4="Yes",$I294*$AB294,$I294)</f>
        <v/>
      </c>
      <c r="AD294" s="22">
        <f>IF($C294="","",IFERROR(IF(INDEX(Deals!$AE$2:$AE$355,MATCH($C294,Deals!$A$2:$A$355,0))=0,"",INDEX(Deals!$AE$2:$AE$355,MATCH($C294,Deals!$A$2:$A$355,0))),""))</f>
        <v/>
      </c>
      <c r="AE294" s="22">
        <f>IF($C294="","",IFERROR(IF(INDEX(Deals!$AF$2:$AF$355,MATCH($C294,Deals!$A$2:$A$355,0))=0,"",INDEX(Deals!$AF$2:$AF$355,MATCH($C294,Deals!$A$2:$A$355,0))),""))</f>
        <v/>
      </c>
      <c r="AF294" s="35">
        <f>IF($AD294="",DATE(1900,1,1),$AD294)</f>
        <v/>
      </c>
      <c r="AG294" s="35">
        <f>IF($AE294="",DATE(2100,12,31),$AE294)</f>
        <v/>
      </c>
      <c r="AH294" s="22">
        <f>IF($C294="","",IFERROR(IF(INDEX(Deals!$AG$2:$AG$355,MATCH($C294,Deals!$A$2:$A$355,0))=0,"",INDEX(Deals!$AG$2:$AG$355,MATCH($C294,Deals!$A$2:$A$355,0))),""))</f>
        <v/>
      </c>
      <c r="AI294" s="35">
        <f>IF(OR($AH294&lt;&gt;"",AND($AO294&gt;0,$AD294&lt;&gt;"",$AE294&lt;&gt;"")),$AF294,DATE(1900,1,1))</f>
        <v/>
      </c>
      <c r="AJ294" s="35">
        <f>IF($AH294&lt;&gt;"",$AH294,IF(AND($AO294&gt;0,$AD294&lt;&gt;"",$AE294&lt;&gt;""),$AG294,DATE(2100,12,31)))</f>
        <v/>
      </c>
      <c r="AK294" s="32">
        <f>IF($AH294="",$AC294,$AC294*$S294)</f>
        <v/>
      </c>
      <c r="AL294" s="35">
        <f>IF($AH294="",DATE(2100,12,31),$AH294+1)</f>
        <v/>
      </c>
      <c r="AM294" s="35">
        <f>IF($AH294="",DATE(1900,1,1),$AG294)</f>
        <v/>
      </c>
      <c r="AN294" s="32">
        <f>IF($AH294="",0,$AC294*$T294)</f>
        <v/>
      </c>
      <c r="AO294" s="46">
        <f>IF($C294="",0,IFERROR(INDEX(Deals!$BD$2:$BD$355,MATCH($C294,Deals!$A$2:$A$355,0)),0))</f>
        <v/>
      </c>
      <c r="AP294" s="18">
        <f>IF($AO294=0,0,IFERROR(INDEX(Deals!$BJ$2:$BP$355,MATCH($C294,Deals!$A$2:$A$355,0),MATCH($F294,Deals!$BJ$1:$BP$1,0))/COUNTIFS(Assignments!$C$2:$C$769,$C294,Assignments!$F$2:$F$769,$F294,Assignments!$G$2:$G$769,"Active"),0))</f>
        <v/>
      </c>
    </row>
    <row r="295">
      <c r="A295" s="28" t="inlineStr">
        <is>
          <t>Lauren</t>
        </is>
      </c>
      <c r="B295" s="16">
        <f>IF($A295="","",IFERROR(INDEX(Roster!$B$2:$B$40,MATCH($A295,Roster!$A$2:$A$40,0)),"?"))</f>
        <v/>
      </c>
      <c r="C295" s="28" t="inlineStr">
        <is>
          <t>Beacon_3</t>
        </is>
      </c>
      <c r="D295" s="16">
        <f>IF($C295="","",IFERROR(IF(INDEX(Deals!$C$2:$C$355,MATCH($C295,Deals!$A$2:$A$355,0))=0,"",INDEX(Deals!$C$2:$C$355,MATCH($C295,Deals!$A$2:$A$355,0))),"?"))</f>
        <v/>
      </c>
      <c r="E295" s="16">
        <f>IF($C295="","",IFERROR(INDEX(Deals!$F$2:$F$355,MATCH($C295,Deals!$A$2:$A$355,0)),"?"))</f>
        <v/>
      </c>
      <c r="F295" s="28" t="inlineStr">
        <is>
          <t>Director</t>
        </is>
      </c>
      <c r="G295" s="28" t="inlineStr">
        <is>
          <t>Inactive</t>
        </is>
      </c>
      <c r="H295" s="31" t="n"/>
      <c r="I295" s="32">
        <f>IF(OR($A295="",$G295&lt;&gt;"Active"),0,IF($H295&lt;&gt;"",$H295,IF($AO295&gt;0,$AP295,IF(AND($R295&lt;&gt;"",IFERROR(INDEX(Templates!$B$3:$H$10,MATCH($R295,Templates!$A$3:$A$10,0),MATCH($F295,Templates!$B$2:$H$2,0)),0)&gt;0),INDEX(Templates!$B$3:$H$10,MATCH($R295,Templates!$A$3:$A$10,0),MATCH($F295,Templates!$B$2:$H$2,0)),IFERROR(INDEX(Settings!$B$8:$B$14,MATCH($F295,Settings!$A$8:$A$14,0)),0)))))</f>
        <v/>
      </c>
      <c r="J295" s="21">
        <f>IF($C295="",0,IFERROR(INDEX(Deals!$H$2:$H$355,MATCH($C295,Deals!$A$2:$A$355,0)),0))</f>
        <v/>
      </c>
      <c r="K295" s="32">
        <f>IF(Settings!$B$4="Yes",$I295*$J295,$I295)</f>
        <v/>
      </c>
      <c r="L295" s="22">
        <f>IF($C295="","",IFERROR(IF(INDEX(Deals!$I$2:$I$355,MATCH($C295,Deals!$A$2:$A$355,0))=0,"",INDEX(Deals!$I$2:$I$355,MATCH($C295,Deals!$A$2:$A$355,0))),""))</f>
        <v/>
      </c>
      <c r="M295" s="22">
        <f>IF($C295="","",IFERROR(IF(INDEX(Deals!$J$2:$J$355,MATCH($C295,Deals!$A$2:$A$355,0))=0,"",INDEX(Deals!$J$2:$J$355,MATCH($C295,Deals!$A$2:$A$355,0))),""))</f>
        <v/>
      </c>
      <c r="N295" s="35">
        <f>IF($L295="",DATE(1900,1,1),$L295)</f>
        <v/>
      </c>
      <c r="O295" s="35">
        <f>IF($M295="",DATE(2100,12,31),$M295)</f>
        <v/>
      </c>
      <c r="P295" s="20" t="inlineStr"/>
      <c r="Q295" s="47" t="inlineStr">
        <is>
          <t>Deal lifecycle is Dead</t>
        </is>
      </c>
      <c r="R295" s="16">
        <f>IF($C295="","",IFERROR(IF(INDEX(Deals!$U$2:$U$355,MATCH($C295,Deals!$A$2:$A$355,0))=0,"",INDEX(Deals!$U$2:$U$355,MATCH($C295,Deals!$A$2:$A$355,0))),""))</f>
        <v/>
      </c>
      <c r="S295" s="34">
        <f>IFERROR(IF($U295="",1,INDEX(Deals!$V$2:$V$355,MATCH($C295,Deals!$A$2:$A$355,0))),1)</f>
        <v/>
      </c>
      <c r="T295" s="34">
        <f>IFERROR(IF($U295="",1,INDEX(Deals!$W$2:$W$355,MATCH($C295,Deals!$A$2:$A$355,0))),1)</f>
        <v/>
      </c>
      <c r="U295" s="22">
        <f>IF($C295="","",IFERROR(IF(INDEX(Deals!$Y$2:$Y$355,MATCH($C295,Deals!$A$2:$A$355,0))=0,"",INDEX(Deals!$Y$2:$Y$355,MATCH($C295,Deals!$A$2:$A$355,0))),""))</f>
        <v/>
      </c>
      <c r="V295" s="35">
        <f>IF(OR($U295&lt;&gt;"",AND($AO295&gt;0,$L295&lt;&gt;"",$M295&lt;&gt;"")),$N295,DATE(1900,1,1))</f>
        <v/>
      </c>
      <c r="W295" s="35">
        <f>IF($U295&lt;&gt;"",$U295,IF(AND($AO295&gt;0,$L295&lt;&gt;"",$M295&lt;&gt;""),$O295,DATE(2100,12,31)))</f>
        <v/>
      </c>
      <c r="X295" s="32">
        <f>IF($U295="",$K295,$K295*$S295)</f>
        <v/>
      </c>
      <c r="Y295" s="35">
        <f>IF($U295="",DATE(2100,12,31),$U295+1)</f>
        <v/>
      </c>
      <c r="Z295" s="35">
        <f>IF($U295="",DATE(1900,1,1),$O295)</f>
        <v/>
      </c>
      <c r="AA295" s="32">
        <f>IF($U295="",0,$K295*$T295)</f>
        <v/>
      </c>
      <c r="AB295" s="21">
        <f>IF($C295="",0,IFERROR(INDEX(Deals!$AD$2:$AD$355,MATCH($C295,Deals!$A$2:$A$355,0)),0))</f>
        <v/>
      </c>
      <c r="AC295" s="32">
        <f>IF(Settings!$B$4="Yes",$I295*$AB295,$I295)</f>
        <v/>
      </c>
      <c r="AD295" s="22">
        <f>IF($C295="","",IFERROR(IF(INDEX(Deals!$AE$2:$AE$355,MATCH($C295,Deals!$A$2:$A$355,0))=0,"",INDEX(Deals!$AE$2:$AE$355,MATCH($C295,Deals!$A$2:$A$355,0))),""))</f>
        <v/>
      </c>
      <c r="AE295" s="22">
        <f>IF($C295="","",IFERROR(IF(INDEX(Deals!$AF$2:$AF$355,MATCH($C295,Deals!$A$2:$A$355,0))=0,"",INDEX(Deals!$AF$2:$AF$355,MATCH($C295,Deals!$A$2:$A$355,0))),""))</f>
        <v/>
      </c>
      <c r="AF295" s="35">
        <f>IF($AD295="",DATE(1900,1,1),$AD295)</f>
        <v/>
      </c>
      <c r="AG295" s="35">
        <f>IF($AE295="",DATE(2100,12,31),$AE295)</f>
        <v/>
      </c>
      <c r="AH295" s="22">
        <f>IF($C295="","",IFERROR(IF(INDEX(Deals!$AG$2:$AG$355,MATCH($C295,Deals!$A$2:$A$355,0))=0,"",INDEX(Deals!$AG$2:$AG$355,MATCH($C295,Deals!$A$2:$A$355,0))),""))</f>
        <v/>
      </c>
      <c r="AI295" s="35">
        <f>IF(OR($AH295&lt;&gt;"",AND($AO295&gt;0,$AD295&lt;&gt;"",$AE295&lt;&gt;"")),$AF295,DATE(1900,1,1))</f>
        <v/>
      </c>
      <c r="AJ295" s="35">
        <f>IF($AH295&lt;&gt;"",$AH295,IF(AND($AO295&gt;0,$AD295&lt;&gt;"",$AE295&lt;&gt;""),$AG295,DATE(2100,12,31)))</f>
        <v/>
      </c>
      <c r="AK295" s="32">
        <f>IF($AH295="",$AC295,$AC295*$S295)</f>
        <v/>
      </c>
      <c r="AL295" s="35">
        <f>IF($AH295="",DATE(2100,12,31),$AH295+1)</f>
        <v/>
      </c>
      <c r="AM295" s="35">
        <f>IF($AH295="",DATE(1900,1,1),$AG295)</f>
        <v/>
      </c>
      <c r="AN295" s="32">
        <f>IF($AH295="",0,$AC295*$T295)</f>
        <v/>
      </c>
      <c r="AO295" s="46">
        <f>IF($C295="",0,IFERROR(INDEX(Deals!$BD$2:$BD$355,MATCH($C295,Deals!$A$2:$A$355,0)),0))</f>
        <v/>
      </c>
      <c r="AP295" s="18">
        <f>IF($AO295=0,0,IFERROR(INDEX(Deals!$BJ$2:$BP$355,MATCH($C295,Deals!$A$2:$A$355,0),MATCH($F295,Deals!$BJ$1:$BP$1,0))/COUNTIFS(Assignments!$C$2:$C$769,$C295,Assignments!$F$2:$F$769,$F295,Assignments!$G$2:$G$769,"Active"),0))</f>
        <v/>
      </c>
    </row>
    <row r="296">
      <c r="A296" s="28" t="inlineStr">
        <is>
          <t>Lauren</t>
        </is>
      </c>
      <c r="B296" s="16">
        <f>IF($A296="","",IFERROR(INDEX(Roster!$B$2:$B$40,MATCH($A296,Roster!$A$2:$A$40,0)),"?"))</f>
        <v/>
      </c>
      <c r="C296" s="28" t="inlineStr">
        <is>
          <t>Bernhard_3</t>
        </is>
      </c>
      <c r="D296" s="16">
        <f>IF($C296="","",IFERROR(IF(INDEX(Deals!$C$2:$C$355,MATCH($C296,Deals!$A$2:$A$355,0))=0,"",INDEX(Deals!$C$2:$C$355,MATCH($C296,Deals!$A$2:$A$355,0))),"?"))</f>
        <v/>
      </c>
      <c r="E296" s="16">
        <f>IF($C296="","",IFERROR(INDEX(Deals!$F$2:$F$355,MATCH($C296,Deals!$A$2:$A$355,0)),"?"))</f>
        <v/>
      </c>
      <c r="F296" s="28" t="inlineStr">
        <is>
          <t>Director</t>
        </is>
      </c>
      <c r="G296" s="28" t="inlineStr">
        <is>
          <t>Active</t>
        </is>
      </c>
      <c r="H296" s="31" t="n"/>
      <c r="I296" s="32">
        <f>IF(OR($A296="",$G296&lt;&gt;"Active"),0,IF($H296&lt;&gt;"",$H296,IF($AO296&gt;0,$AP296,IF(AND($R296&lt;&gt;"",IFERROR(INDEX(Templates!$B$3:$H$10,MATCH($R296,Templates!$A$3:$A$10,0),MATCH($F296,Templates!$B$2:$H$2,0)),0)&gt;0),INDEX(Templates!$B$3:$H$10,MATCH($R296,Templates!$A$3:$A$10,0),MATCH($F296,Templates!$B$2:$H$2,0)),IFERROR(INDEX(Settings!$B$8:$B$14,MATCH($F296,Settings!$A$8:$A$14,0)),0)))))</f>
        <v/>
      </c>
      <c r="J296" s="21">
        <f>IF($C296="",0,IFERROR(INDEX(Deals!$H$2:$H$355,MATCH($C296,Deals!$A$2:$A$355,0)),0))</f>
        <v/>
      </c>
      <c r="K296" s="32">
        <f>IF(Settings!$B$4="Yes",$I296*$J296,$I296)</f>
        <v/>
      </c>
      <c r="L296" s="22">
        <f>IF($C296="","",IFERROR(IF(INDEX(Deals!$I$2:$I$355,MATCH($C296,Deals!$A$2:$A$355,0))=0,"",INDEX(Deals!$I$2:$I$355,MATCH($C296,Deals!$A$2:$A$355,0))),""))</f>
        <v/>
      </c>
      <c r="M296" s="22">
        <f>IF($C296="","",IFERROR(IF(INDEX(Deals!$J$2:$J$355,MATCH($C296,Deals!$A$2:$A$355,0))=0,"",INDEX(Deals!$J$2:$J$355,MATCH($C296,Deals!$A$2:$A$355,0))),""))</f>
        <v/>
      </c>
      <c r="N296" s="35">
        <f>IF($L296="",DATE(1900,1,1),$L296)</f>
        <v/>
      </c>
      <c r="O296" s="35">
        <f>IF($M296="",DATE(2100,12,31),$M296)</f>
        <v/>
      </c>
      <c r="P296" s="20" t="inlineStr"/>
      <c r="Q296" s="47" t="inlineStr"/>
      <c r="R296" s="16">
        <f>IF($C296="","",IFERROR(IF(INDEX(Deals!$U$2:$U$355,MATCH($C296,Deals!$A$2:$A$355,0))=0,"",INDEX(Deals!$U$2:$U$355,MATCH($C296,Deals!$A$2:$A$355,0))),""))</f>
        <v/>
      </c>
      <c r="S296" s="34">
        <f>IFERROR(IF($U296="",1,INDEX(Deals!$V$2:$V$355,MATCH($C296,Deals!$A$2:$A$355,0))),1)</f>
        <v/>
      </c>
      <c r="T296" s="34">
        <f>IFERROR(IF($U296="",1,INDEX(Deals!$W$2:$W$355,MATCH($C296,Deals!$A$2:$A$355,0))),1)</f>
        <v/>
      </c>
      <c r="U296" s="22">
        <f>IF($C296="","",IFERROR(IF(INDEX(Deals!$Y$2:$Y$355,MATCH($C296,Deals!$A$2:$A$355,0))=0,"",INDEX(Deals!$Y$2:$Y$355,MATCH($C296,Deals!$A$2:$A$355,0))),""))</f>
        <v/>
      </c>
      <c r="V296" s="35">
        <f>IF(OR($U296&lt;&gt;"",AND($AO296&gt;0,$L296&lt;&gt;"",$M296&lt;&gt;"")),$N296,DATE(1900,1,1))</f>
        <v/>
      </c>
      <c r="W296" s="35">
        <f>IF($U296&lt;&gt;"",$U296,IF(AND($AO296&gt;0,$L296&lt;&gt;"",$M296&lt;&gt;""),$O296,DATE(2100,12,31)))</f>
        <v/>
      </c>
      <c r="X296" s="32">
        <f>IF($U296="",$K296,$K296*$S296)</f>
        <v/>
      </c>
      <c r="Y296" s="35">
        <f>IF($U296="",DATE(2100,12,31),$U296+1)</f>
        <v/>
      </c>
      <c r="Z296" s="35">
        <f>IF($U296="",DATE(1900,1,1),$O296)</f>
        <v/>
      </c>
      <c r="AA296" s="32">
        <f>IF($U296="",0,$K296*$T296)</f>
        <v/>
      </c>
      <c r="AB296" s="21">
        <f>IF($C296="",0,IFERROR(INDEX(Deals!$AD$2:$AD$355,MATCH($C296,Deals!$A$2:$A$355,0)),0))</f>
        <v/>
      </c>
      <c r="AC296" s="32">
        <f>IF(Settings!$B$4="Yes",$I296*$AB296,$I296)</f>
        <v/>
      </c>
      <c r="AD296" s="22">
        <f>IF($C296="","",IFERROR(IF(INDEX(Deals!$AE$2:$AE$355,MATCH($C296,Deals!$A$2:$A$355,0))=0,"",INDEX(Deals!$AE$2:$AE$355,MATCH($C296,Deals!$A$2:$A$355,0))),""))</f>
        <v/>
      </c>
      <c r="AE296" s="22">
        <f>IF($C296="","",IFERROR(IF(INDEX(Deals!$AF$2:$AF$355,MATCH($C296,Deals!$A$2:$A$355,0))=0,"",INDEX(Deals!$AF$2:$AF$355,MATCH($C296,Deals!$A$2:$A$355,0))),""))</f>
        <v/>
      </c>
      <c r="AF296" s="35">
        <f>IF($AD296="",DATE(1900,1,1),$AD296)</f>
        <v/>
      </c>
      <c r="AG296" s="35">
        <f>IF($AE296="",DATE(2100,12,31),$AE296)</f>
        <v/>
      </c>
      <c r="AH296" s="22">
        <f>IF($C296="","",IFERROR(IF(INDEX(Deals!$AG$2:$AG$355,MATCH($C296,Deals!$A$2:$A$355,0))=0,"",INDEX(Deals!$AG$2:$AG$355,MATCH($C296,Deals!$A$2:$A$355,0))),""))</f>
        <v/>
      </c>
      <c r="AI296" s="35">
        <f>IF(OR($AH296&lt;&gt;"",AND($AO296&gt;0,$AD296&lt;&gt;"",$AE296&lt;&gt;"")),$AF296,DATE(1900,1,1))</f>
        <v/>
      </c>
      <c r="AJ296" s="35">
        <f>IF($AH296&lt;&gt;"",$AH296,IF(AND($AO296&gt;0,$AD296&lt;&gt;"",$AE296&lt;&gt;""),$AG296,DATE(2100,12,31)))</f>
        <v/>
      </c>
      <c r="AK296" s="32">
        <f>IF($AH296="",$AC296,$AC296*$S296)</f>
        <v/>
      </c>
      <c r="AL296" s="35">
        <f>IF($AH296="",DATE(2100,12,31),$AH296+1)</f>
        <v/>
      </c>
      <c r="AM296" s="35">
        <f>IF($AH296="",DATE(1900,1,1),$AG296)</f>
        <v/>
      </c>
      <c r="AN296" s="32">
        <f>IF($AH296="",0,$AC296*$T296)</f>
        <v/>
      </c>
      <c r="AO296" s="46">
        <f>IF($C296="",0,IFERROR(INDEX(Deals!$BD$2:$BD$355,MATCH($C296,Deals!$A$2:$A$355,0)),0))</f>
        <v/>
      </c>
      <c r="AP296" s="18">
        <f>IF($AO296=0,0,IFERROR(INDEX(Deals!$BJ$2:$BP$355,MATCH($C296,Deals!$A$2:$A$355,0),MATCH($F296,Deals!$BJ$1:$BP$1,0))/COUNTIFS(Assignments!$C$2:$C$769,$C296,Assignments!$F$2:$F$769,$F296,Assignments!$G$2:$G$769,"Active"),0))</f>
        <v/>
      </c>
    </row>
    <row r="297">
      <c r="A297" s="28" t="inlineStr">
        <is>
          <t>Lauren</t>
        </is>
      </c>
      <c r="B297" s="16">
        <f>IF($A297="","",IFERROR(INDEX(Roster!$B$2:$B$40,MATCH($A297,Roster!$A$2:$A$40,0)),"?"))</f>
        <v/>
      </c>
      <c r="C297" s="28" t="inlineStr">
        <is>
          <t>Bledsoe_1</t>
        </is>
      </c>
      <c r="D297" s="16">
        <f>IF($C297="","",IFERROR(IF(INDEX(Deals!$C$2:$C$355,MATCH($C297,Deals!$A$2:$A$355,0))=0,"",INDEX(Deals!$C$2:$C$355,MATCH($C297,Deals!$A$2:$A$355,0))),"?"))</f>
        <v/>
      </c>
      <c r="E297" s="16">
        <f>IF($C297="","",IFERROR(INDEX(Deals!$F$2:$F$355,MATCH($C297,Deals!$A$2:$A$355,0)),"?"))</f>
        <v/>
      </c>
      <c r="F297" s="28" t="inlineStr">
        <is>
          <t>Director</t>
        </is>
      </c>
      <c r="G297" s="28" t="inlineStr">
        <is>
          <t>Active</t>
        </is>
      </c>
      <c r="H297" s="31" t="n"/>
      <c r="I297" s="32">
        <f>IF(OR($A297="",$G297&lt;&gt;"Active"),0,IF($H297&lt;&gt;"",$H297,IF($AO297&gt;0,$AP297,IF(AND($R297&lt;&gt;"",IFERROR(INDEX(Templates!$B$3:$H$10,MATCH($R297,Templates!$A$3:$A$10,0),MATCH($F297,Templates!$B$2:$H$2,0)),0)&gt;0),INDEX(Templates!$B$3:$H$10,MATCH($R297,Templates!$A$3:$A$10,0),MATCH($F297,Templates!$B$2:$H$2,0)),IFERROR(INDEX(Settings!$B$8:$B$14,MATCH($F297,Settings!$A$8:$A$14,0)),0)))))</f>
        <v/>
      </c>
      <c r="J297" s="21">
        <f>IF($C297="",0,IFERROR(INDEX(Deals!$H$2:$H$355,MATCH($C297,Deals!$A$2:$A$355,0)),0))</f>
        <v/>
      </c>
      <c r="K297" s="32">
        <f>IF(Settings!$B$4="Yes",$I297*$J297,$I297)</f>
        <v/>
      </c>
      <c r="L297" s="22">
        <f>IF($C297="","",IFERROR(IF(INDEX(Deals!$I$2:$I$355,MATCH($C297,Deals!$A$2:$A$355,0))=0,"",INDEX(Deals!$I$2:$I$355,MATCH($C297,Deals!$A$2:$A$355,0))),""))</f>
        <v/>
      </c>
      <c r="M297" s="22">
        <f>IF($C297="","",IFERROR(IF(INDEX(Deals!$J$2:$J$355,MATCH($C297,Deals!$A$2:$A$355,0))=0,"",INDEX(Deals!$J$2:$J$355,MATCH($C297,Deals!$A$2:$A$355,0))),""))</f>
        <v/>
      </c>
      <c r="N297" s="35">
        <f>IF($L297="",DATE(1900,1,1),$L297)</f>
        <v/>
      </c>
      <c r="O297" s="35">
        <f>IF($M297="",DATE(2100,12,31),$M297)</f>
        <v/>
      </c>
      <c r="P297" s="20" t="inlineStr"/>
      <c r="Q297" s="47" t="inlineStr"/>
      <c r="R297" s="16">
        <f>IF($C297="","",IFERROR(IF(INDEX(Deals!$U$2:$U$355,MATCH($C297,Deals!$A$2:$A$355,0))=0,"",INDEX(Deals!$U$2:$U$355,MATCH($C297,Deals!$A$2:$A$355,0))),""))</f>
        <v/>
      </c>
      <c r="S297" s="34">
        <f>IFERROR(IF($U297="",1,INDEX(Deals!$V$2:$V$355,MATCH($C297,Deals!$A$2:$A$355,0))),1)</f>
        <v/>
      </c>
      <c r="T297" s="34">
        <f>IFERROR(IF($U297="",1,INDEX(Deals!$W$2:$W$355,MATCH($C297,Deals!$A$2:$A$355,0))),1)</f>
        <v/>
      </c>
      <c r="U297" s="22">
        <f>IF($C297="","",IFERROR(IF(INDEX(Deals!$Y$2:$Y$355,MATCH($C297,Deals!$A$2:$A$355,0))=0,"",INDEX(Deals!$Y$2:$Y$355,MATCH($C297,Deals!$A$2:$A$355,0))),""))</f>
        <v/>
      </c>
      <c r="V297" s="35">
        <f>IF(OR($U297&lt;&gt;"",AND($AO297&gt;0,$L297&lt;&gt;"",$M297&lt;&gt;"")),$N297,DATE(1900,1,1))</f>
        <v/>
      </c>
      <c r="W297" s="35">
        <f>IF($U297&lt;&gt;"",$U297,IF(AND($AO297&gt;0,$L297&lt;&gt;"",$M297&lt;&gt;""),$O297,DATE(2100,12,31)))</f>
        <v/>
      </c>
      <c r="X297" s="32">
        <f>IF($U297="",$K297,$K297*$S297)</f>
        <v/>
      </c>
      <c r="Y297" s="35">
        <f>IF($U297="",DATE(2100,12,31),$U297+1)</f>
        <v/>
      </c>
      <c r="Z297" s="35">
        <f>IF($U297="",DATE(1900,1,1),$O297)</f>
        <v/>
      </c>
      <c r="AA297" s="32">
        <f>IF($U297="",0,$K297*$T297)</f>
        <v/>
      </c>
      <c r="AB297" s="21">
        <f>IF($C297="",0,IFERROR(INDEX(Deals!$AD$2:$AD$355,MATCH($C297,Deals!$A$2:$A$355,0)),0))</f>
        <v/>
      </c>
      <c r="AC297" s="32">
        <f>IF(Settings!$B$4="Yes",$I297*$AB297,$I297)</f>
        <v/>
      </c>
      <c r="AD297" s="22">
        <f>IF($C297="","",IFERROR(IF(INDEX(Deals!$AE$2:$AE$355,MATCH($C297,Deals!$A$2:$A$355,0))=0,"",INDEX(Deals!$AE$2:$AE$355,MATCH($C297,Deals!$A$2:$A$355,0))),""))</f>
        <v/>
      </c>
      <c r="AE297" s="22">
        <f>IF($C297="","",IFERROR(IF(INDEX(Deals!$AF$2:$AF$355,MATCH($C297,Deals!$A$2:$A$355,0))=0,"",INDEX(Deals!$AF$2:$AF$355,MATCH($C297,Deals!$A$2:$A$355,0))),""))</f>
        <v/>
      </c>
      <c r="AF297" s="35">
        <f>IF($AD297="",DATE(1900,1,1),$AD297)</f>
        <v/>
      </c>
      <c r="AG297" s="35">
        <f>IF($AE297="",DATE(2100,12,31),$AE297)</f>
        <v/>
      </c>
      <c r="AH297" s="22">
        <f>IF($C297="","",IFERROR(IF(INDEX(Deals!$AG$2:$AG$355,MATCH($C297,Deals!$A$2:$A$355,0))=0,"",INDEX(Deals!$AG$2:$AG$355,MATCH($C297,Deals!$A$2:$A$355,0))),""))</f>
        <v/>
      </c>
      <c r="AI297" s="35">
        <f>IF(OR($AH297&lt;&gt;"",AND($AO297&gt;0,$AD297&lt;&gt;"",$AE297&lt;&gt;"")),$AF297,DATE(1900,1,1))</f>
        <v/>
      </c>
      <c r="AJ297" s="35">
        <f>IF($AH297&lt;&gt;"",$AH297,IF(AND($AO297&gt;0,$AD297&lt;&gt;"",$AE297&lt;&gt;""),$AG297,DATE(2100,12,31)))</f>
        <v/>
      </c>
      <c r="AK297" s="32">
        <f>IF($AH297="",$AC297,$AC297*$S297)</f>
        <v/>
      </c>
      <c r="AL297" s="35">
        <f>IF($AH297="",DATE(2100,12,31),$AH297+1)</f>
        <v/>
      </c>
      <c r="AM297" s="35">
        <f>IF($AH297="",DATE(1900,1,1),$AG297)</f>
        <v/>
      </c>
      <c r="AN297" s="32">
        <f>IF($AH297="",0,$AC297*$T297)</f>
        <v/>
      </c>
      <c r="AO297" s="46">
        <f>IF($C297="",0,IFERROR(INDEX(Deals!$BD$2:$BD$355,MATCH($C297,Deals!$A$2:$A$355,0)),0))</f>
        <v/>
      </c>
      <c r="AP297" s="18">
        <f>IF($AO297=0,0,IFERROR(INDEX(Deals!$BJ$2:$BP$355,MATCH($C297,Deals!$A$2:$A$355,0),MATCH($F297,Deals!$BJ$1:$BP$1,0))/COUNTIFS(Assignments!$C$2:$C$769,$C297,Assignments!$F$2:$F$769,$F297,Assignments!$G$2:$G$769,"Active"),0))</f>
        <v/>
      </c>
    </row>
    <row r="298">
      <c r="A298" s="28" t="inlineStr">
        <is>
          <t>Lauren</t>
        </is>
      </c>
      <c r="B298" s="16">
        <f>IF($A298="","",IFERROR(INDEX(Roster!$B$2:$B$40,MATCH($A298,Roster!$A$2:$A$40,0)),"?"))</f>
        <v/>
      </c>
      <c r="C298" s="28" t="inlineStr">
        <is>
          <t>Breakaway_1</t>
        </is>
      </c>
      <c r="D298" s="16">
        <f>IF($C298="","",IFERROR(IF(INDEX(Deals!$C$2:$C$355,MATCH($C298,Deals!$A$2:$A$355,0))=0,"",INDEX(Deals!$C$2:$C$355,MATCH($C298,Deals!$A$2:$A$355,0))),"?"))</f>
        <v/>
      </c>
      <c r="E298" s="16">
        <f>IF($C298="","",IFERROR(INDEX(Deals!$F$2:$F$355,MATCH($C298,Deals!$A$2:$A$355,0)),"?"))</f>
        <v/>
      </c>
      <c r="F298" s="28" t="inlineStr">
        <is>
          <t>Director</t>
        </is>
      </c>
      <c r="G298" s="28" t="inlineStr">
        <is>
          <t>Active</t>
        </is>
      </c>
      <c r="H298" s="31" t="n"/>
      <c r="I298" s="32">
        <f>IF(OR($A298="",$G298&lt;&gt;"Active"),0,IF($H298&lt;&gt;"",$H298,IF($AO298&gt;0,$AP298,IF(AND($R298&lt;&gt;"",IFERROR(INDEX(Templates!$B$3:$H$10,MATCH($R298,Templates!$A$3:$A$10,0),MATCH($F298,Templates!$B$2:$H$2,0)),0)&gt;0),INDEX(Templates!$B$3:$H$10,MATCH($R298,Templates!$A$3:$A$10,0),MATCH($F298,Templates!$B$2:$H$2,0)),IFERROR(INDEX(Settings!$B$8:$B$14,MATCH($F298,Settings!$A$8:$A$14,0)),0)))))</f>
        <v/>
      </c>
      <c r="J298" s="21">
        <f>IF($C298="",0,IFERROR(INDEX(Deals!$H$2:$H$355,MATCH($C298,Deals!$A$2:$A$355,0)),0))</f>
        <v/>
      </c>
      <c r="K298" s="32">
        <f>IF(Settings!$B$4="Yes",$I298*$J298,$I298)</f>
        <v/>
      </c>
      <c r="L298" s="22">
        <f>IF($C298="","",IFERROR(IF(INDEX(Deals!$I$2:$I$355,MATCH($C298,Deals!$A$2:$A$355,0))=0,"",INDEX(Deals!$I$2:$I$355,MATCH($C298,Deals!$A$2:$A$355,0))),""))</f>
        <v/>
      </c>
      <c r="M298" s="22">
        <f>IF($C298="","",IFERROR(IF(INDEX(Deals!$J$2:$J$355,MATCH($C298,Deals!$A$2:$A$355,0))=0,"",INDEX(Deals!$J$2:$J$355,MATCH($C298,Deals!$A$2:$A$355,0))),""))</f>
        <v/>
      </c>
      <c r="N298" s="35">
        <f>IF($L298="",DATE(1900,1,1),$L298)</f>
        <v/>
      </c>
      <c r="O298" s="35">
        <f>IF($M298="",DATE(2100,12,31),$M298)</f>
        <v/>
      </c>
      <c r="P298" s="20" t="inlineStr"/>
      <c r="Q298" s="47" t="inlineStr"/>
      <c r="R298" s="16">
        <f>IF($C298="","",IFERROR(IF(INDEX(Deals!$U$2:$U$355,MATCH($C298,Deals!$A$2:$A$355,0))=0,"",INDEX(Deals!$U$2:$U$355,MATCH($C298,Deals!$A$2:$A$355,0))),""))</f>
        <v/>
      </c>
      <c r="S298" s="34">
        <f>IFERROR(IF($U298="",1,INDEX(Deals!$V$2:$V$355,MATCH($C298,Deals!$A$2:$A$355,0))),1)</f>
        <v/>
      </c>
      <c r="T298" s="34">
        <f>IFERROR(IF($U298="",1,INDEX(Deals!$W$2:$W$355,MATCH($C298,Deals!$A$2:$A$355,0))),1)</f>
        <v/>
      </c>
      <c r="U298" s="22">
        <f>IF($C298="","",IFERROR(IF(INDEX(Deals!$Y$2:$Y$355,MATCH($C298,Deals!$A$2:$A$355,0))=0,"",INDEX(Deals!$Y$2:$Y$355,MATCH($C298,Deals!$A$2:$A$355,0))),""))</f>
        <v/>
      </c>
      <c r="V298" s="35">
        <f>IF(OR($U298&lt;&gt;"",AND($AO298&gt;0,$L298&lt;&gt;"",$M298&lt;&gt;"")),$N298,DATE(1900,1,1))</f>
        <v/>
      </c>
      <c r="W298" s="35">
        <f>IF($U298&lt;&gt;"",$U298,IF(AND($AO298&gt;0,$L298&lt;&gt;"",$M298&lt;&gt;""),$O298,DATE(2100,12,31)))</f>
        <v/>
      </c>
      <c r="X298" s="32">
        <f>IF($U298="",$K298,$K298*$S298)</f>
        <v/>
      </c>
      <c r="Y298" s="35">
        <f>IF($U298="",DATE(2100,12,31),$U298+1)</f>
        <v/>
      </c>
      <c r="Z298" s="35">
        <f>IF($U298="",DATE(1900,1,1),$O298)</f>
        <v/>
      </c>
      <c r="AA298" s="32">
        <f>IF($U298="",0,$K298*$T298)</f>
        <v/>
      </c>
      <c r="AB298" s="21">
        <f>IF($C298="",0,IFERROR(INDEX(Deals!$AD$2:$AD$355,MATCH($C298,Deals!$A$2:$A$355,0)),0))</f>
        <v/>
      </c>
      <c r="AC298" s="32">
        <f>IF(Settings!$B$4="Yes",$I298*$AB298,$I298)</f>
        <v/>
      </c>
      <c r="AD298" s="22">
        <f>IF($C298="","",IFERROR(IF(INDEX(Deals!$AE$2:$AE$355,MATCH($C298,Deals!$A$2:$A$355,0))=0,"",INDEX(Deals!$AE$2:$AE$355,MATCH($C298,Deals!$A$2:$A$355,0))),""))</f>
        <v/>
      </c>
      <c r="AE298" s="22">
        <f>IF($C298="","",IFERROR(IF(INDEX(Deals!$AF$2:$AF$355,MATCH($C298,Deals!$A$2:$A$355,0))=0,"",INDEX(Deals!$AF$2:$AF$355,MATCH($C298,Deals!$A$2:$A$355,0))),""))</f>
        <v/>
      </c>
      <c r="AF298" s="35">
        <f>IF($AD298="",DATE(1900,1,1),$AD298)</f>
        <v/>
      </c>
      <c r="AG298" s="35">
        <f>IF($AE298="",DATE(2100,12,31),$AE298)</f>
        <v/>
      </c>
      <c r="AH298" s="22">
        <f>IF($C298="","",IFERROR(IF(INDEX(Deals!$AG$2:$AG$355,MATCH($C298,Deals!$A$2:$A$355,0))=0,"",INDEX(Deals!$AG$2:$AG$355,MATCH($C298,Deals!$A$2:$A$355,0))),""))</f>
        <v/>
      </c>
      <c r="AI298" s="35">
        <f>IF(OR($AH298&lt;&gt;"",AND($AO298&gt;0,$AD298&lt;&gt;"",$AE298&lt;&gt;"")),$AF298,DATE(1900,1,1))</f>
        <v/>
      </c>
      <c r="AJ298" s="35">
        <f>IF($AH298&lt;&gt;"",$AH298,IF(AND($AO298&gt;0,$AD298&lt;&gt;"",$AE298&lt;&gt;""),$AG298,DATE(2100,12,31)))</f>
        <v/>
      </c>
      <c r="AK298" s="32">
        <f>IF($AH298="",$AC298,$AC298*$S298)</f>
        <v/>
      </c>
      <c r="AL298" s="35">
        <f>IF($AH298="",DATE(2100,12,31),$AH298+1)</f>
        <v/>
      </c>
      <c r="AM298" s="35">
        <f>IF($AH298="",DATE(1900,1,1),$AG298)</f>
        <v/>
      </c>
      <c r="AN298" s="32">
        <f>IF($AH298="",0,$AC298*$T298)</f>
        <v/>
      </c>
      <c r="AO298" s="46">
        <f>IF($C298="",0,IFERROR(INDEX(Deals!$BD$2:$BD$355,MATCH($C298,Deals!$A$2:$A$355,0)),0))</f>
        <v/>
      </c>
      <c r="AP298" s="18">
        <f>IF($AO298=0,0,IFERROR(INDEX(Deals!$BJ$2:$BP$355,MATCH($C298,Deals!$A$2:$A$355,0),MATCH($F298,Deals!$BJ$1:$BP$1,0))/COUNTIFS(Assignments!$C$2:$C$769,$C298,Assignments!$F$2:$F$769,$F298,Assignments!$G$2:$G$769,"Active"),0))</f>
        <v/>
      </c>
    </row>
    <row r="299">
      <c r="A299" s="28" t="inlineStr">
        <is>
          <t>Lauren</t>
        </is>
      </c>
      <c r="B299" s="16">
        <f>IF($A299="","",IFERROR(INDEX(Roster!$B$2:$B$40,MATCH($A299,Roster!$A$2:$A$40,0)),"?"))</f>
        <v/>
      </c>
      <c r="C299" s="28" t="inlineStr">
        <is>
          <t>Broadway_1</t>
        </is>
      </c>
      <c r="D299" s="16">
        <f>IF($C299="","",IFERROR(IF(INDEX(Deals!$C$2:$C$355,MATCH($C299,Deals!$A$2:$A$355,0))=0,"",INDEX(Deals!$C$2:$C$355,MATCH($C299,Deals!$A$2:$A$355,0))),"?"))</f>
        <v/>
      </c>
      <c r="E299" s="16">
        <f>IF($C299="","",IFERROR(INDEX(Deals!$F$2:$F$355,MATCH($C299,Deals!$A$2:$A$355,0)),"?"))</f>
        <v/>
      </c>
      <c r="F299" s="28" t="inlineStr">
        <is>
          <t>Director</t>
        </is>
      </c>
      <c r="G299" s="28" t="inlineStr">
        <is>
          <t>Active</t>
        </is>
      </c>
      <c r="H299" s="31" t="n"/>
      <c r="I299" s="32">
        <f>IF(OR($A299="",$G299&lt;&gt;"Active"),0,IF($H299&lt;&gt;"",$H299,IF($AO299&gt;0,$AP299,IF(AND($R299&lt;&gt;"",IFERROR(INDEX(Templates!$B$3:$H$10,MATCH($R299,Templates!$A$3:$A$10,0),MATCH($F299,Templates!$B$2:$H$2,0)),0)&gt;0),INDEX(Templates!$B$3:$H$10,MATCH($R299,Templates!$A$3:$A$10,0),MATCH($F299,Templates!$B$2:$H$2,0)),IFERROR(INDEX(Settings!$B$8:$B$14,MATCH($F299,Settings!$A$8:$A$14,0)),0)))))</f>
        <v/>
      </c>
      <c r="J299" s="21">
        <f>IF($C299="",0,IFERROR(INDEX(Deals!$H$2:$H$355,MATCH($C299,Deals!$A$2:$A$355,0)),0))</f>
        <v/>
      </c>
      <c r="K299" s="32">
        <f>IF(Settings!$B$4="Yes",$I299*$J299,$I299)</f>
        <v/>
      </c>
      <c r="L299" s="22">
        <f>IF($C299="","",IFERROR(IF(INDEX(Deals!$I$2:$I$355,MATCH($C299,Deals!$A$2:$A$355,0))=0,"",INDEX(Deals!$I$2:$I$355,MATCH($C299,Deals!$A$2:$A$355,0))),""))</f>
        <v/>
      </c>
      <c r="M299" s="22">
        <f>IF($C299="","",IFERROR(IF(INDEX(Deals!$J$2:$J$355,MATCH($C299,Deals!$A$2:$A$355,0))=0,"",INDEX(Deals!$J$2:$J$355,MATCH($C299,Deals!$A$2:$A$355,0))),""))</f>
        <v/>
      </c>
      <c r="N299" s="35">
        <f>IF($L299="",DATE(1900,1,1),$L299)</f>
        <v/>
      </c>
      <c r="O299" s="35">
        <f>IF($M299="",DATE(2100,12,31),$M299)</f>
        <v/>
      </c>
      <c r="P299" s="20" t="inlineStr"/>
      <c r="Q299" s="47" t="inlineStr"/>
      <c r="R299" s="16">
        <f>IF($C299="","",IFERROR(IF(INDEX(Deals!$U$2:$U$355,MATCH($C299,Deals!$A$2:$A$355,0))=0,"",INDEX(Deals!$U$2:$U$355,MATCH($C299,Deals!$A$2:$A$355,0))),""))</f>
        <v/>
      </c>
      <c r="S299" s="34">
        <f>IFERROR(IF($U299="",1,INDEX(Deals!$V$2:$V$355,MATCH($C299,Deals!$A$2:$A$355,0))),1)</f>
        <v/>
      </c>
      <c r="T299" s="34">
        <f>IFERROR(IF($U299="",1,INDEX(Deals!$W$2:$W$355,MATCH($C299,Deals!$A$2:$A$355,0))),1)</f>
        <v/>
      </c>
      <c r="U299" s="22">
        <f>IF($C299="","",IFERROR(IF(INDEX(Deals!$Y$2:$Y$355,MATCH($C299,Deals!$A$2:$A$355,0))=0,"",INDEX(Deals!$Y$2:$Y$355,MATCH($C299,Deals!$A$2:$A$355,0))),""))</f>
        <v/>
      </c>
      <c r="V299" s="35">
        <f>IF(OR($U299&lt;&gt;"",AND($AO299&gt;0,$L299&lt;&gt;"",$M299&lt;&gt;"")),$N299,DATE(1900,1,1))</f>
        <v/>
      </c>
      <c r="W299" s="35">
        <f>IF($U299&lt;&gt;"",$U299,IF(AND($AO299&gt;0,$L299&lt;&gt;"",$M299&lt;&gt;""),$O299,DATE(2100,12,31)))</f>
        <v/>
      </c>
      <c r="X299" s="32">
        <f>IF($U299="",$K299,$K299*$S299)</f>
        <v/>
      </c>
      <c r="Y299" s="35">
        <f>IF($U299="",DATE(2100,12,31),$U299+1)</f>
        <v/>
      </c>
      <c r="Z299" s="35">
        <f>IF($U299="",DATE(1900,1,1),$O299)</f>
        <v/>
      </c>
      <c r="AA299" s="32">
        <f>IF($U299="",0,$K299*$T299)</f>
        <v/>
      </c>
      <c r="AB299" s="21">
        <f>IF($C299="",0,IFERROR(INDEX(Deals!$AD$2:$AD$355,MATCH($C299,Deals!$A$2:$A$355,0)),0))</f>
        <v/>
      </c>
      <c r="AC299" s="32">
        <f>IF(Settings!$B$4="Yes",$I299*$AB299,$I299)</f>
        <v/>
      </c>
      <c r="AD299" s="22">
        <f>IF($C299="","",IFERROR(IF(INDEX(Deals!$AE$2:$AE$355,MATCH($C299,Deals!$A$2:$A$355,0))=0,"",INDEX(Deals!$AE$2:$AE$355,MATCH($C299,Deals!$A$2:$A$355,0))),""))</f>
        <v/>
      </c>
      <c r="AE299" s="22">
        <f>IF($C299="","",IFERROR(IF(INDEX(Deals!$AF$2:$AF$355,MATCH($C299,Deals!$A$2:$A$355,0))=0,"",INDEX(Deals!$AF$2:$AF$355,MATCH($C299,Deals!$A$2:$A$355,0))),""))</f>
        <v/>
      </c>
      <c r="AF299" s="35">
        <f>IF($AD299="",DATE(1900,1,1),$AD299)</f>
        <v/>
      </c>
      <c r="AG299" s="35">
        <f>IF($AE299="",DATE(2100,12,31),$AE299)</f>
        <v/>
      </c>
      <c r="AH299" s="22">
        <f>IF($C299="","",IFERROR(IF(INDEX(Deals!$AG$2:$AG$355,MATCH($C299,Deals!$A$2:$A$355,0))=0,"",INDEX(Deals!$AG$2:$AG$355,MATCH($C299,Deals!$A$2:$A$355,0))),""))</f>
        <v/>
      </c>
      <c r="AI299" s="35">
        <f>IF(OR($AH299&lt;&gt;"",AND($AO299&gt;0,$AD299&lt;&gt;"",$AE299&lt;&gt;"")),$AF299,DATE(1900,1,1))</f>
        <v/>
      </c>
      <c r="AJ299" s="35">
        <f>IF($AH299&lt;&gt;"",$AH299,IF(AND($AO299&gt;0,$AD299&lt;&gt;"",$AE299&lt;&gt;""),$AG299,DATE(2100,12,31)))</f>
        <v/>
      </c>
      <c r="AK299" s="32">
        <f>IF($AH299="",$AC299,$AC299*$S299)</f>
        <v/>
      </c>
      <c r="AL299" s="35">
        <f>IF($AH299="",DATE(2100,12,31),$AH299+1)</f>
        <v/>
      </c>
      <c r="AM299" s="35">
        <f>IF($AH299="",DATE(1900,1,1),$AG299)</f>
        <v/>
      </c>
      <c r="AN299" s="32">
        <f>IF($AH299="",0,$AC299*$T299)</f>
        <v/>
      </c>
      <c r="AO299" s="46">
        <f>IF($C299="",0,IFERROR(INDEX(Deals!$BD$2:$BD$355,MATCH($C299,Deals!$A$2:$A$355,0)),0))</f>
        <v/>
      </c>
      <c r="AP299" s="18">
        <f>IF($AO299=0,0,IFERROR(INDEX(Deals!$BJ$2:$BP$355,MATCH($C299,Deals!$A$2:$A$355,0),MATCH($F299,Deals!$BJ$1:$BP$1,0))/COUNTIFS(Assignments!$C$2:$C$769,$C299,Assignments!$F$2:$F$769,$F299,Assignments!$G$2:$G$769,"Active"),0))</f>
        <v/>
      </c>
    </row>
    <row r="300">
      <c r="A300" s="28" t="inlineStr">
        <is>
          <t>Lauren</t>
        </is>
      </c>
      <c r="B300" s="16">
        <f>IF($A300="","",IFERROR(INDEX(Roster!$B$2:$B$40,MATCH($A300,Roster!$A$2:$A$40,0)),"?"))</f>
        <v/>
      </c>
      <c r="C300" s="28" t="inlineStr">
        <is>
          <t>Cactus</t>
        </is>
      </c>
      <c r="D300" s="16">
        <f>IF($C300="","",IFERROR(IF(INDEX(Deals!$C$2:$C$355,MATCH($C300,Deals!$A$2:$A$355,0))=0,"",INDEX(Deals!$C$2:$C$355,MATCH($C300,Deals!$A$2:$A$355,0))),"?"))</f>
        <v/>
      </c>
      <c r="E300" s="16">
        <f>IF($C300="","",IFERROR(INDEX(Deals!$F$2:$F$355,MATCH($C300,Deals!$A$2:$A$355,0)),"?"))</f>
        <v/>
      </c>
      <c r="F300" s="28" t="inlineStr">
        <is>
          <t>Director</t>
        </is>
      </c>
      <c r="G300" s="28" t="inlineStr">
        <is>
          <t>Active</t>
        </is>
      </c>
      <c r="H300" s="31" t="n"/>
      <c r="I300" s="32">
        <f>IF(OR($A300="",$G300&lt;&gt;"Active"),0,IF($H300&lt;&gt;"",$H300,IF($AO300&gt;0,$AP300,IF(AND($R300&lt;&gt;"",IFERROR(INDEX(Templates!$B$3:$H$10,MATCH($R300,Templates!$A$3:$A$10,0),MATCH($F300,Templates!$B$2:$H$2,0)),0)&gt;0),INDEX(Templates!$B$3:$H$10,MATCH($R300,Templates!$A$3:$A$10,0),MATCH($F300,Templates!$B$2:$H$2,0)),IFERROR(INDEX(Settings!$B$8:$B$14,MATCH($F300,Settings!$A$8:$A$14,0)),0)))))</f>
        <v/>
      </c>
      <c r="J300" s="21">
        <f>IF($C300="",0,IFERROR(INDEX(Deals!$H$2:$H$355,MATCH($C300,Deals!$A$2:$A$355,0)),0))</f>
        <v/>
      </c>
      <c r="K300" s="32">
        <f>IF(Settings!$B$4="Yes",$I300*$J300,$I300)</f>
        <v/>
      </c>
      <c r="L300" s="22">
        <f>IF($C300="","",IFERROR(IF(INDEX(Deals!$I$2:$I$355,MATCH($C300,Deals!$A$2:$A$355,0))=0,"",INDEX(Deals!$I$2:$I$355,MATCH($C300,Deals!$A$2:$A$355,0))),""))</f>
        <v/>
      </c>
      <c r="M300" s="22">
        <f>IF($C300="","",IFERROR(IF(INDEX(Deals!$J$2:$J$355,MATCH($C300,Deals!$A$2:$A$355,0))=0,"",INDEX(Deals!$J$2:$J$355,MATCH($C300,Deals!$A$2:$A$355,0))),""))</f>
        <v/>
      </c>
      <c r="N300" s="35">
        <f>IF($L300="",DATE(1900,1,1),$L300)</f>
        <v/>
      </c>
      <c r="O300" s="35">
        <f>IF($M300="",DATE(2100,12,31),$M300)</f>
        <v/>
      </c>
      <c r="P300" s="20" t="inlineStr"/>
      <c r="Q300" s="47" t="inlineStr"/>
      <c r="R300" s="16">
        <f>IF($C300="","",IFERROR(IF(INDEX(Deals!$U$2:$U$355,MATCH($C300,Deals!$A$2:$A$355,0))=0,"",INDEX(Deals!$U$2:$U$355,MATCH($C300,Deals!$A$2:$A$355,0))),""))</f>
        <v/>
      </c>
      <c r="S300" s="34">
        <f>IFERROR(IF($U300="",1,INDEX(Deals!$V$2:$V$355,MATCH($C300,Deals!$A$2:$A$355,0))),1)</f>
        <v/>
      </c>
      <c r="T300" s="34">
        <f>IFERROR(IF($U300="",1,INDEX(Deals!$W$2:$W$355,MATCH($C300,Deals!$A$2:$A$355,0))),1)</f>
        <v/>
      </c>
      <c r="U300" s="22">
        <f>IF($C300="","",IFERROR(IF(INDEX(Deals!$Y$2:$Y$355,MATCH($C300,Deals!$A$2:$A$355,0))=0,"",INDEX(Deals!$Y$2:$Y$355,MATCH($C300,Deals!$A$2:$A$355,0))),""))</f>
        <v/>
      </c>
      <c r="V300" s="35">
        <f>IF(OR($U300&lt;&gt;"",AND($AO300&gt;0,$L300&lt;&gt;"",$M300&lt;&gt;"")),$N300,DATE(1900,1,1))</f>
        <v/>
      </c>
      <c r="W300" s="35">
        <f>IF($U300&lt;&gt;"",$U300,IF(AND($AO300&gt;0,$L300&lt;&gt;"",$M300&lt;&gt;""),$O300,DATE(2100,12,31)))</f>
        <v/>
      </c>
      <c r="X300" s="32">
        <f>IF($U300="",$K300,$K300*$S300)</f>
        <v/>
      </c>
      <c r="Y300" s="35">
        <f>IF($U300="",DATE(2100,12,31),$U300+1)</f>
        <v/>
      </c>
      <c r="Z300" s="35">
        <f>IF($U300="",DATE(1900,1,1),$O300)</f>
        <v/>
      </c>
      <c r="AA300" s="32">
        <f>IF($U300="",0,$K300*$T300)</f>
        <v/>
      </c>
      <c r="AB300" s="21">
        <f>IF($C300="",0,IFERROR(INDEX(Deals!$AD$2:$AD$355,MATCH($C300,Deals!$A$2:$A$355,0)),0))</f>
        <v/>
      </c>
      <c r="AC300" s="32">
        <f>IF(Settings!$B$4="Yes",$I300*$AB300,$I300)</f>
        <v/>
      </c>
      <c r="AD300" s="22">
        <f>IF($C300="","",IFERROR(IF(INDEX(Deals!$AE$2:$AE$355,MATCH($C300,Deals!$A$2:$A$355,0))=0,"",INDEX(Deals!$AE$2:$AE$355,MATCH($C300,Deals!$A$2:$A$355,0))),""))</f>
        <v/>
      </c>
      <c r="AE300" s="22">
        <f>IF($C300="","",IFERROR(IF(INDEX(Deals!$AF$2:$AF$355,MATCH($C300,Deals!$A$2:$A$355,0))=0,"",INDEX(Deals!$AF$2:$AF$355,MATCH($C300,Deals!$A$2:$A$355,0))),""))</f>
        <v/>
      </c>
      <c r="AF300" s="35">
        <f>IF($AD300="",DATE(1900,1,1),$AD300)</f>
        <v/>
      </c>
      <c r="AG300" s="35">
        <f>IF($AE300="",DATE(2100,12,31),$AE300)</f>
        <v/>
      </c>
      <c r="AH300" s="22">
        <f>IF($C300="","",IFERROR(IF(INDEX(Deals!$AG$2:$AG$355,MATCH($C300,Deals!$A$2:$A$355,0))=0,"",INDEX(Deals!$AG$2:$AG$355,MATCH($C300,Deals!$A$2:$A$355,0))),""))</f>
        <v/>
      </c>
      <c r="AI300" s="35">
        <f>IF(OR($AH300&lt;&gt;"",AND($AO300&gt;0,$AD300&lt;&gt;"",$AE300&lt;&gt;"")),$AF300,DATE(1900,1,1))</f>
        <v/>
      </c>
      <c r="AJ300" s="35">
        <f>IF($AH300&lt;&gt;"",$AH300,IF(AND($AO300&gt;0,$AD300&lt;&gt;"",$AE300&lt;&gt;""),$AG300,DATE(2100,12,31)))</f>
        <v/>
      </c>
      <c r="AK300" s="32">
        <f>IF($AH300="",$AC300,$AC300*$S300)</f>
        <v/>
      </c>
      <c r="AL300" s="35">
        <f>IF($AH300="",DATE(2100,12,31),$AH300+1)</f>
        <v/>
      </c>
      <c r="AM300" s="35">
        <f>IF($AH300="",DATE(1900,1,1),$AG300)</f>
        <v/>
      </c>
      <c r="AN300" s="32">
        <f>IF($AH300="",0,$AC300*$T300)</f>
        <v/>
      </c>
      <c r="AO300" s="46">
        <f>IF($C300="",0,IFERROR(INDEX(Deals!$BD$2:$BD$355,MATCH($C300,Deals!$A$2:$A$355,0)),0))</f>
        <v/>
      </c>
      <c r="AP300" s="18">
        <f>IF($AO300=0,0,IFERROR(INDEX(Deals!$BJ$2:$BP$355,MATCH($C300,Deals!$A$2:$A$355,0),MATCH($F300,Deals!$BJ$1:$BP$1,0))/COUNTIFS(Assignments!$C$2:$C$769,$C300,Assignments!$F$2:$F$769,$F300,Assignments!$G$2:$G$769,"Active"),0))</f>
        <v/>
      </c>
    </row>
    <row r="301">
      <c r="A301" s="28" t="inlineStr">
        <is>
          <t>Lauren</t>
        </is>
      </c>
      <c r="B301" s="16">
        <f>IF($A301="","",IFERROR(INDEX(Roster!$B$2:$B$40,MATCH($A301,Roster!$A$2:$A$40,0)),"?"))</f>
        <v/>
      </c>
      <c r="C301" s="28" t="inlineStr">
        <is>
          <t>Canyon_1</t>
        </is>
      </c>
      <c r="D301" s="16">
        <f>IF($C301="","",IFERROR(IF(INDEX(Deals!$C$2:$C$355,MATCH($C301,Deals!$A$2:$A$355,0))=0,"",INDEX(Deals!$C$2:$C$355,MATCH($C301,Deals!$A$2:$A$355,0))),"?"))</f>
        <v/>
      </c>
      <c r="E301" s="16">
        <f>IF($C301="","",IFERROR(INDEX(Deals!$F$2:$F$355,MATCH($C301,Deals!$A$2:$A$355,0)),"?"))</f>
        <v/>
      </c>
      <c r="F301" s="28" t="inlineStr">
        <is>
          <t>Director</t>
        </is>
      </c>
      <c r="G301" s="28" t="inlineStr">
        <is>
          <t>Inactive</t>
        </is>
      </c>
      <c r="H301" s="31" t="n"/>
      <c r="I301" s="32">
        <f>IF(OR($A301="",$G301&lt;&gt;"Active"),0,IF($H301&lt;&gt;"",$H301,IF($AO301&gt;0,$AP301,IF(AND($R301&lt;&gt;"",IFERROR(INDEX(Templates!$B$3:$H$10,MATCH($R301,Templates!$A$3:$A$10,0),MATCH($F301,Templates!$B$2:$H$2,0)),0)&gt;0),INDEX(Templates!$B$3:$H$10,MATCH($R301,Templates!$A$3:$A$10,0),MATCH($F301,Templates!$B$2:$H$2,0)),IFERROR(INDEX(Settings!$B$8:$B$14,MATCH($F301,Settings!$A$8:$A$14,0)),0)))))</f>
        <v/>
      </c>
      <c r="J301" s="21">
        <f>IF($C301="",0,IFERROR(INDEX(Deals!$H$2:$H$355,MATCH($C301,Deals!$A$2:$A$355,0)),0))</f>
        <v/>
      </c>
      <c r="K301" s="32">
        <f>IF(Settings!$B$4="Yes",$I301*$J301,$I301)</f>
        <v/>
      </c>
      <c r="L301" s="22">
        <f>IF($C301="","",IFERROR(IF(INDEX(Deals!$I$2:$I$355,MATCH($C301,Deals!$A$2:$A$355,0))=0,"",INDEX(Deals!$I$2:$I$355,MATCH($C301,Deals!$A$2:$A$355,0))),""))</f>
        <v/>
      </c>
      <c r="M301" s="22">
        <f>IF($C301="","",IFERROR(IF(INDEX(Deals!$J$2:$J$355,MATCH($C301,Deals!$A$2:$A$355,0))=0,"",INDEX(Deals!$J$2:$J$355,MATCH($C301,Deals!$A$2:$A$355,0))),""))</f>
        <v/>
      </c>
      <c r="N301" s="35">
        <f>IF($L301="",DATE(1900,1,1),$L301)</f>
        <v/>
      </c>
      <c r="O301" s="35">
        <f>IF($M301="",DATE(2100,12,31),$M301)</f>
        <v/>
      </c>
      <c r="P301" s="20" t="inlineStr">
        <is>
          <t>Closed</t>
        </is>
      </c>
      <c r="Q301" s="47" t="inlineStr"/>
      <c r="R301" s="16">
        <f>IF($C301="","",IFERROR(IF(INDEX(Deals!$U$2:$U$355,MATCH($C301,Deals!$A$2:$A$355,0))=0,"",INDEX(Deals!$U$2:$U$355,MATCH($C301,Deals!$A$2:$A$355,0))),""))</f>
        <v/>
      </c>
      <c r="S301" s="34">
        <f>IFERROR(IF($U301="",1,INDEX(Deals!$V$2:$V$355,MATCH($C301,Deals!$A$2:$A$355,0))),1)</f>
        <v/>
      </c>
      <c r="T301" s="34">
        <f>IFERROR(IF($U301="",1,INDEX(Deals!$W$2:$W$355,MATCH($C301,Deals!$A$2:$A$355,0))),1)</f>
        <v/>
      </c>
      <c r="U301" s="22">
        <f>IF($C301="","",IFERROR(IF(INDEX(Deals!$Y$2:$Y$355,MATCH($C301,Deals!$A$2:$A$355,0))=0,"",INDEX(Deals!$Y$2:$Y$355,MATCH($C301,Deals!$A$2:$A$355,0))),""))</f>
        <v/>
      </c>
      <c r="V301" s="35">
        <f>IF(OR($U301&lt;&gt;"",AND($AO301&gt;0,$L301&lt;&gt;"",$M301&lt;&gt;"")),$N301,DATE(1900,1,1))</f>
        <v/>
      </c>
      <c r="W301" s="35">
        <f>IF($U301&lt;&gt;"",$U301,IF(AND($AO301&gt;0,$L301&lt;&gt;"",$M301&lt;&gt;""),$O301,DATE(2100,12,31)))</f>
        <v/>
      </c>
      <c r="X301" s="32">
        <f>IF($U301="",$K301,$K301*$S301)</f>
        <v/>
      </c>
      <c r="Y301" s="35">
        <f>IF($U301="",DATE(2100,12,31),$U301+1)</f>
        <v/>
      </c>
      <c r="Z301" s="35">
        <f>IF($U301="",DATE(1900,1,1),$O301)</f>
        <v/>
      </c>
      <c r="AA301" s="32">
        <f>IF($U301="",0,$K301*$T301)</f>
        <v/>
      </c>
      <c r="AB301" s="21">
        <f>IF($C301="",0,IFERROR(INDEX(Deals!$AD$2:$AD$355,MATCH($C301,Deals!$A$2:$A$355,0)),0))</f>
        <v/>
      </c>
      <c r="AC301" s="32">
        <f>IF(Settings!$B$4="Yes",$I301*$AB301,$I301)</f>
        <v/>
      </c>
      <c r="AD301" s="22">
        <f>IF($C301="","",IFERROR(IF(INDEX(Deals!$AE$2:$AE$355,MATCH($C301,Deals!$A$2:$A$355,0))=0,"",INDEX(Deals!$AE$2:$AE$355,MATCH($C301,Deals!$A$2:$A$355,0))),""))</f>
        <v/>
      </c>
      <c r="AE301" s="22">
        <f>IF($C301="","",IFERROR(IF(INDEX(Deals!$AF$2:$AF$355,MATCH($C301,Deals!$A$2:$A$355,0))=0,"",INDEX(Deals!$AF$2:$AF$355,MATCH($C301,Deals!$A$2:$A$355,0))),""))</f>
        <v/>
      </c>
      <c r="AF301" s="35">
        <f>IF($AD301="",DATE(1900,1,1),$AD301)</f>
        <v/>
      </c>
      <c r="AG301" s="35">
        <f>IF($AE301="",DATE(2100,12,31),$AE301)</f>
        <v/>
      </c>
      <c r="AH301" s="22">
        <f>IF($C301="","",IFERROR(IF(INDEX(Deals!$AG$2:$AG$355,MATCH($C301,Deals!$A$2:$A$355,0))=0,"",INDEX(Deals!$AG$2:$AG$355,MATCH($C301,Deals!$A$2:$A$355,0))),""))</f>
        <v/>
      </c>
      <c r="AI301" s="35">
        <f>IF(OR($AH301&lt;&gt;"",AND($AO301&gt;0,$AD301&lt;&gt;"",$AE301&lt;&gt;"")),$AF301,DATE(1900,1,1))</f>
        <v/>
      </c>
      <c r="AJ301" s="35">
        <f>IF($AH301&lt;&gt;"",$AH301,IF(AND($AO301&gt;0,$AD301&lt;&gt;"",$AE301&lt;&gt;""),$AG301,DATE(2100,12,31)))</f>
        <v/>
      </c>
      <c r="AK301" s="32">
        <f>IF($AH301="",$AC301,$AC301*$S301)</f>
        <v/>
      </c>
      <c r="AL301" s="35">
        <f>IF($AH301="",DATE(2100,12,31),$AH301+1)</f>
        <v/>
      </c>
      <c r="AM301" s="35">
        <f>IF($AH301="",DATE(1900,1,1),$AG301)</f>
        <v/>
      </c>
      <c r="AN301" s="32">
        <f>IF($AH301="",0,$AC301*$T301)</f>
        <v/>
      </c>
      <c r="AO301" s="46">
        <f>IF($C301="",0,IFERROR(INDEX(Deals!$BD$2:$BD$355,MATCH($C301,Deals!$A$2:$A$355,0)),0))</f>
        <v/>
      </c>
      <c r="AP301" s="18">
        <f>IF($AO301=0,0,IFERROR(INDEX(Deals!$BJ$2:$BP$355,MATCH($C301,Deals!$A$2:$A$355,0),MATCH($F301,Deals!$BJ$1:$BP$1,0))/COUNTIFS(Assignments!$C$2:$C$769,$C301,Assignments!$F$2:$F$769,$F301,Assignments!$G$2:$G$769,"Active"),0))</f>
        <v/>
      </c>
    </row>
    <row r="302">
      <c r="A302" s="28" t="inlineStr">
        <is>
          <t>Lauren</t>
        </is>
      </c>
      <c r="B302" s="16">
        <f>IF($A302="","",IFERROR(INDEX(Roster!$B$2:$B$40,MATCH($A302,Roster!$A$2:$A$40,0)),"?"))</f>
        <v/>
      </c>
      <c r="C302" s="28" t="inlineStr">
        <is>
          <t>Cohost_1</t>
        </is>
      </c>
      <c r="D302" s="16">
        <f>IF($C302="","",IFERROR(IF(INDEX(Deals!$C$2:$C$355,MATCH($C302,Deals!$A$2:$A$355,0))=0,"",INDEX(Deals!$C$2:$C$355,MATCH($C302,Deals!$A$2:$A$355,0))),"?"))</f>
        <v/>
      </c>
      <c r="E302" s="16">
        <f>IF($C302="","",IFERROR(INDEX(Deals!$F$2:$F$355,MATCH($C302,Deals!$A$2:$A$355,0)),"?"))</f>
        <v/>
      </c>
      <c r="F302" s="28" t="inlineStr">
        <is>
          <t>Director</t>
        </is>
      </c>
      <c r="G302" s="28" t="inlineStr">
        <is>
          <t>Active</t>
        </is>
      </c>
      <c r="H302" s="31" t="n"/>
      <c r="I302" s="32">
        <f>IF(OR($A302="",$G302&lt;&gt;"Active"),0,IF($H302&lt;&gt;"",$H302,IF($AO302&gt;0,$AP302,IF(AND($R302&lt;&gt;"",IFERROR(INDEX(Templates!$B$3:$H$10,MATCH($R302,Templates!$A$3:$A$10,0),MATCH($F302,Templates!$B$2:$H$2,0)),0)&gt;0),INDEX(Templates!$B$3:$H$10,MATCH($R302,Templates!$A$3:$A$10,0),MATCH($F302,Templates!$B$2:$H$2,0)),IFERROR(INDEX(Settings!$B$8:$B$14,MATCH($F302,Settings!$A$8:$A$14,0)),0)))))</f>
        <v/>
      </c>
      <c r="J302" s="21">
        <f>IF($C302="",0,IFERROR(INDEX(Deals!$H$2:$H$355,MATCH($C302,Deals!$A$2:$A$355,0)),0))</f>
        <v/>
      </c>
      <c r="K302" s="32">
        <f>IF(Settings!$B$4="Yes",$I302*$J302,$I302)</f>
        <v/>
      </c>
      <c r="L302" s="22">
        <f>IF($C302="","",IFERROR(IF(INDEX(Deals!$I$2:$I$355,MATCH($C302,Deals!$A$2:$A$355,0))=0,"",INDEX(Deals!$I$2:$I$355,MATCH($C302,Deals!$A$2:$A$355,0))),""))</f>
        <v/>
      </c>
      <c r="M302" s="22">
        <f>IF($C302="","",IFERROR(IF(INDEX(Deals!$J$2:$J$355,MATCH($C302,Deals!$A$2:$A$355,0))=0,"",INDEX(Deals!$J$2:$J$355,MATCH($C302,Deals!$A$2:$A$355,0))),""))</f>
        <v/>
      </c>
      <c r="N302" s="35">
        <f>IF($L302="",DATE(1900,1,1),$L302)</f>
        <v/>
      </c>
      <c r="O302" s="35">
        <f>IF($M302="",DATE(2100,12,31),$M302)</f>
        <v/>
      </c>
      <c r="P302" s="20" t="inlineStr"/>
      <c r="Q302" s="47" t="inlineStr"/>
      <c r="R302" s="16">
        <f>IF($C302="","",IFERROR(IF(INDEX(Deals!$U$2:$U$355,MATCH($C302,Deals!$A$2:$A$355,0))=0,"",INDEX(Deals!$U$2:$U$355,MATCH($C302,Deals!$A$2:$A$355,0))),""))</f>
        <v/>
      </c>
      <c r="S302" s="34">
        <f>IFERROR(IF($U302="",1,INDEX(Deals!$V$2:$V$355,MATCH($C302,Deals!$A$2:$A$355,0))),1)</f>
        <v/>
      </c>
      <c r="T302" s="34">
        <f>IFERROR(IF($U302="",1,INDEX(Deals!$W$2:$W$355,MATCH($C302,Deals!$A$2:$A$355,0))),1)</f>
        <v/>
      </c>
      <c r="U302" s="22">
        <f>IF($C302="","",IFERROR(IF(INDEX(Deals!$Y$2:$Y$355,MATCH($C302,Deals!$A$2:$A$355,0))=0,"",INDEX(Deals!$Y$2:$Y$355,MATCH($C302,Deals!$A$2:$A$355,0))),""))</f>
        <v/>
      </c>
      <c r="V302" s="35">
        <f>IF(OR($U302&lt;&gt;"",AND($AO302&gt;0,$L302&lt;&gt;"",$M302&lt;&gt;"")),$N302,DATE(1900,1,1))</f>
        <v/>
      </c>
      <c r="W302" s="35">
        <f>IF($U302&lt;&gt;"",$U302,IF(AND($AO302&gt;0,$L302&lt;&gt;"",$M302&lt;&gt;""),$O302,DATE(2100,12,31)))</f>
        <v/>
      </c>
      <c r="X302" s="32">
        <f>IF($U302="",$K302,$K302*$S302)</f>
        <v/>
      </c>
      <c r="Y302" s="35">
        <f>IF($U302="",DATE(2100,12,31),$U302+1)</f>
        <v/>
      </c>
      <c r="Z302" s="35">
        <f>IF($U302="",DATE(1900,1,1),$O302)</f>
        <v/>
      </c>
      <c r="AA302" s="32">
        <f>IF($U302="",0,$K302*$T302)</f>
        <v/>
      </c>
      <c r="AB302" s="21">
        <f>IF($C302="",0,IFERROR(INDEX(Deals!$AD$2:$AD$355,MATCH($C302,Deals!$A$2:$A$355,0)),0))</f>
        <v/>
      </c>
      <c r="AC302" s="32">
        <f>IF(Settings!$B$4="Yes",$I302*$AB302,$I302)</f>
        <v/>
      </c>
      <c r="AD302" s="22">
        <f>IF($C302="","",IFERROR(IF(INDEX(Deals!$AE$2:$AE$355,MATCH($C302,Deals!$A$2:$A$355,0))=0,"",INDEX(Deals!$AE$2:$AE$355,MATCH($C302,Deals!$A$2:$A$355,0))),""))</f>
        <v/>
      </c>
      <c r="AE302" s="22">
        <f>IF($C302="","",IFERROR(IF(INDEX(Deals!$AF$2:$AF$355,MATCH($C302,Deals!$A$2:$A$355,0))=0,"",INDEX(Deals!$AF$2:$AF$355,MATCH($C302,Deals!$A$2:$A$355,0))),""))</f>
        <v/>
      </c>
      <c r="AF302" s="35">
        <f>IF($AD302="",DATE(1900,1,1),$AD302)</f>
        <v/>
      </c>
      <c r="AG302" s="35">
        <f>IF($AE302="",DATE(2100,12,31),$AE302)</f>
        <v/>
      </c>
      <c r="AH302" s="22">
        <f>IF($C302="","",IFERROR(IF(INDEX(Deals!$AG$2:$AG$355,MATCH($C302,Deals!$A$2:$A$355,0))=0,"",INDEX(Deals!$AG$2:$AG$355,MATCH($C302,Deals!$A$2:$A$355,0))),""))</f>
        <v/>
      </c>
      <c r="AI302" s="35">
        <f>IF(OR($AH302&lt;&gt;"",AND($AO302&gt;0,$AD302&lt;&gt;"",$AE302&lt;&gt;"")),$AF302,DATE(1900,1,1))</f>
        <v/>
      </c>
      <c r="AJ302" s="35">
        <f>IF($AH302&lt;&gt;"",$AH302,IF(AND($AO302&gt;0,$AD302&lt;&gt;"",$AE302&lt;&gt;""),$AG302,DATE(2100,12,31)))</f>
        <v/>
      </c>
      <c r="AK302" s="32">
        <f>IF($AH302="",$AC302,$AC302*$S302)</f>
        <v/>
      </c>
      <c r="AL302" s="35">
        <f>IF($AH302="",DATE(2100,12,31),$AH302+1)</f>
        <v/>
      </c>
      <c r="AM302" s="35">
        <f>IF($AH302="",DATE(1900,1,1),$AG302)</f>
        <v/>
      </c>
      <c r="AN302" s="32">
        <f>IF($AH302="",0,$AC302*$T302)</f>
        <v/>
      </c>
      <c r="AO302" s="46">
        <f>IF($C302="",0,IFERROR(INDEX(Deals!$BD$2:$BD$355,MATCH($C302,Deals!$A$2:$A$355,0)),0))</f>
        <v/>
      </c>
      <c r="AP302" s="18">
        <f>IF($AO302=0,0,IFERROR(INDEX(Deals!$BJ$2:$BP$355,MATCH($C302,Deals!$A$2:$A$355,0),MATCH($F302,Deals!$BJ$1:$BP$1,0))/COUNTIFS(Assignments!$C$2:$C$769,$C302,Assignments!$F$2:$F$769,$F302,Assignments!$G$2:$G$769,"Active"),0))</f>
        <v/>
      </c>
    </row>
    <row r="303">
      <c r="A303" s="28" t="inlineStr">
        <is>
          <t>Lauren</t>
        </is>
      </c>
      <c r="B303" s="16">
        <f>IF($A303="","",IFERROR(INDEX(Roster!$B$2:$B$40,MATCH($A303,Roster!$A$2:$A$40,0)),"?"))</f>
        <v/>
      </c>
      <c r="C303" s="28" t="inlineStr">
        <is>
          <t>Denali_3</t>
        </is>
      </c>
      <c r="D303" s="16">
        <f>IF($C303="","",IFERROR(IF(INDEX(Deals!$C$2:$C$355,MATCH($C303,Deals!$A$2:$A$355,0))=0,"",INDEX(Deals!$C$2:$C$355,MATCH($C303,Deals!$A$2:$A$355,0))),"?"))</f>
        <v/>
      </c>
      <c r="E303" s="16">
        <f>IF($C303="","",IFERROR(INDEX(Deals!$F$2:$F$355,MATCH($C303,Deals!$A$2:$A$355,0)),"?"))</f>
        <v/>
      </c>
      <c r="F303" s="28" t="inlineStr">
        <is>
          <t>Director</t>
        </is>
      </c>
      <c r="G303" s="28" t="inlineStr">
        <is>
          <t>Active</t>
        </is>
      </c>
      <c r="H303" s="31" t="n"/>
      <c r="I303" s="32">
        <f>IF(OR($A303="",$G303&lt;&gt;"Active"),0,IF($H303&lt;&gt;"",$H303,IF($AO303&gt;0,$AP303,IF(AND($R303&lt;&gt;"",IFERROR(INDEX(Templates!$B$3:$H$10,MATCH($R303,Templates!$A$3:$A$10,0),MATCH($F303,Templates!$B$2:$H$2,0)),0)&gt;0),INDEX(Templates!$B$3:$H$10,MATCH($R303,Templates!$A$3:$A$10,0),MATCH($F303,Templates!$B$2:$H$2,0)),IFERROR(INDEX(Settings!$B$8:$B$14,MATCH($F303,Settings!$A$8:$A$14,0)),0)))))</f>
        <v/>
      </c>
      <c r="J303" s="21">
        <f>IF($C303="",0,IFERROR(INDEX(Deals!$H$2:$H$355,MATCH($C303,Deals!$A$2:$A$355,0)),0))</f>
        <v/>
      </c>
      <c r="K303" s="32">
        <f>IF(Settings!$B$4="Yes",$I303*$J303,$I303)</f>
        <v/>
      </c>
      <c r="L303" s="22">
        <f>IF($C303="","",IFERROR(IF(INDEX(Deals!$I$2:$I$355,MATCH($C303,Deals!$A$2:$A$355,0))=0,"",INDEX(Deals!$I$2:$I$355,MATCH($C303,Deals!$A$2:$A$355,0))),""))</f>
        <v/>
      </c>
      <c r="M303" s="22">
        <f>IF($C303="","",IFERROR(IF(INDEX(Deals!$J$2:$J$355,MATCH($C303,Deals!$A$2:$A$355,0))=0,"",INDEX(Deals!$J$2:$J$355,MATCH($C303,Deals!$A$2:$A$355,0))),""))</f>
        <v/>
      </c>
      <c r="N303" s="35">
        <f>IF($L303="",DATE(1900,1,1),$L303)</f>
        <v/>
      </c>
      <c r="O303" s="35">
        <f>IF($M303="",DATE(2100,12,31),$M303)</f>
        <v/>
      </c>
      <c r="P303" s="20" t="inlineStr"/>
      <c r="Q303" s="47" t="inlineStr"/>
      <c r="R303" s="16">
        <f>IF($C303="","",IFERROR(IF(INDEX(Deals!$U$2:$U$355,MATCH($C303,Deals!$A$2:$A$355,0))=0,"",INDEX(Deals!$U$2:$U$355,MATCH($C303,Deals!$A$2:$A$355,0))),""))</f>
        <v/>
      </c>
      <c r="S303" s="34">
        <f>IFERROR(IF($U303="",1,INDEX(Deals!$V$2:$V$355,MATCH($C303,Deals!$A$2:$A$355,0))),1)</f>
        <v/>
      </c>
      <c r="T303" s="34">
        <f>IFERROR(IF($U303="",1,INDEX(Deals!$W$2:$W$355,MATCH($C303,Deals!$A$2:$A$355,0))),1)</f>
        <v/>
      </c>
      <c r="U303" s="22">
        <f>IF($C303="","",IFERROR(IF(INDEX(Deals!$Y$2:$Y$355,MATCH($C303,Deals!$A$2:$A$355,0))=0,"",INDEX(Deals!$Y$2:$Y$355,MATCH($C303,Deals!$A$2:$A$355,0))),""))</f>
        <v/>
      </c>
      <c r="V303" s="35">
        <f>IF(OR($U303&lt;&gt;"",AND($AO303&gt;0,$L303&lt;&gt;"",$M303&lt;&gt;"")),$N303,DATE(1900,1,1))</f>
        <v/>
      </c>
      <c r="W303" s="35">
        <f>IF($U303&lt;&gt;"",$U303,IF(AND($AO303&gt;0,$L303&lt;&gt;"",$M303&lt;&gt;""),$O303,DATE(2100,12,31)))</f>
        <v/>
      </c>
      <c r="X303" s="32">
        <f>IF($U303="",$K303,$K303*$S303)</f>
        <v/>
      </c>
      <c r="Y303" s="35">
        <f>IF($U303="",DATE(2100,12,31),$U303+1)</f>
        <v/>
      </c>
      <c r="Z303" s="35">
        <f>IF($U303="",DATE(1900,1,1),$O303)</f>
        <v/>
      </c>
      <c r="AA303" s="32">
        <f>IF($U303="",0,$K303*$T303)</f>
        <v/>
      </c>
      <c r="AB303" s="21">
        <f>IF($C303="",0,IFERROR(INDEX(Deals!$AD$2:$AD$355,MATCH($C303,Deals!$A$2:$A$355,0)),0))</f>
        <v/>
      </c>
      <c r="AC303" s="32">
        <f>IF(Settings!$B$4="Yes",$I303*$AB303,$I303)</f>
        <v/>
      </c>
      <c r="AD303" s="22">
        <f>IF($C303="","",IFERROR(IF(INDEX(Deals!$AE$2:$AE$355,MATCH($C303,Deals!$A$2:$A$355,0))=0,"",INDEX(Deals!$AE$2:$AE$355,MATCH($C303,Deals!$A$2:$A$355,0))),""))</f>
        <v/>
      </c>
      <c r="AE303" s="22">
        <f>IF($C303="","",IFERROR(IF(INDEX(Deals!$AF$2:$AF$355,MATCH($C303,Deals!$A$2:$A$355,0))=0,"",INDEX(Deals!$AF$2:$AF$355,MATCH($C303,Deals!$A$2:$A$355,0))),""))</f>
        <v/>
      </c>
      <c r="AF303" s="35">
        <f>IF($AD303="",DATE(1900,1,1),$AD303)</f>
        <v/>
      </c>
      <c r="AG303" s="35">
        <f>IF($AE303="",DATE(2100,12,31),$AE303)</f>
        <v/>
      </c>
      <c r="AH303" s="22">
        <f>IF($C303="","",IFERROR(IF(INDEX(Deals!$AG$2:$AG$355,MATCH($C303,Deals!$A$2:$A$355,0))=0,"",INDEX(Deals!$AG$2:$AG$355,MATCH($C303,Deals!$A$2:$A$355,0))),""))</f>
        <v/>
      </c>
      <c r="AI303" s="35">
        <f>IF(OR($AH303&lt;&gt;"",AND($AO303&gt;0,$AD303&lt;&gt;"",$AE303&lt;&gt;"")),$AF303,DATE(1900,1,1))</f>
        <v/>
      </c>
      <c r="AJ303" s="35">
        <f>IF($AH303&lt;&gt;"",$AH303,IF(AND($AO303&gt;0,$AD303&lt;&gt;"",$AE303&lt;&gt;""),$AG303,DATE(2100,12,31)))</f>
        <v/>
      </c>
      <c r="AK303" s="32">
        <f>IF($AH303="",$AC303,$AC303*$S303)</f>
        <v/>
      </c>
      <c r="AL303" s="35">
        <f>IF($AH303="",DATE(2100,12,31),$AH303+1)</f>
        <v/>
      </c>
      <c r="AM303" s="35">
        <f>IF($AH303="",DATE(1900,1,1),$AG303)</f>
        <v/>
      </c>
      <c r="AN303" s="32">
        <f>IF($AH303="",0,$AC303*$T303)</f>
        <v/>
      </c>
      <c r="AO303" s="46">
        <f>IF($C303="",0,IFERROR(INDEX(Deals!$BD$2:$BD$355,MATCH($C303,Deals!$A$2:$A$355,0)),0))</f>
        <v/>
      </c>
      <c r="AP303" s="18">
        <f>IF($AO303=0,0,IFERROR(INDEX(Deals!$BJ$2:$BP$355,MATCH($C303,Deals!$A$2:$A$355,0),MATCH($F303,Deals!$BJ$1:$BP$1,0))/COUNTIFS(Assignments!$C$2:$C$769,$C303,Assignments!$F$2:$F$769,$F303,Assignments!$G$2:$G$769,"Active"),0))</f>
        <v/>
      </c>
    </row>
    <row r="304">
      <c r="A304" s="28" t="inlineStr">
        <is>
          <t>Lauren</t>
        </is>
      </c>
      <c r="B304" s="16">
        <f>IF($A304="","",IFERROR(INDEX(Roster!$B$2:$B$40,MATCH($A304,Roster!$A$2:$A$40,0)),"?"))</f>
        <v/>
      </c>
      <c r="C304" s="28" t="inlineStr">
        <is>
          <t>DIF Twister_2</t>
        </is>
      </c>
      <c r="D304" s="16">
        <f>IF($C304="","",IFERROR(IF(INDEX(Deals!$C$2:$C$355,MATCH($C304,Deals!$A$2:$A$355,0))=0,"",INDEX(Deals!$C$2:$C$355,MATCH($C304,Deals!$A$2:$A$355,0))),"?"))</f>
        <v/>
      </c>
      <c r="E304" s="16">
        <f>IF($C304="","",IFERROR(INDEX(Deals!$F$2:$F$355,MATCH($C304,Deals!$A$2:$A$355,0)),"?"))</f>
        <v/>
      </c>
      <c r="F304" s="28" t="inlineStr">
        <is>
          <t>Director</t>
        </is>
      </c>
      <c r="G304" s="28" t="inlineStr">
        <is>
          <t>Active</t>
        </is>
      </c>
      <c r="H304" s="31" t="n"/>
      <c r="I304" s="32">
        <f>IF(OR($A304="",$G304&lt;&gt;"Active"),0,IF($H304&lt;&gt;"",$H304,IF($AO304&gt;0,$AP304,IF(AND($R304&lt;&gt;"",IFERROR(INDEX(Templates!$B$3:$H$10,MATCH($R304,Templates!$A$3:$A$10,0),MATCH($F304,Templates!$B$2:$H$2,0)),0)&gt;0),INDEX(Templates!$B$3:$H$10,MATCH($R304,Templates!$A$3:$A$10,0),MATCH($F304,Templates!$B$2:$H$2,0)),IFERROR(INDEX(Settings!$B$8:$B$14,MATCH($F304,Settings!$A$8:$A$14,0)),0)))))</f>
        <v/>
      </c>
      <c r="J304" s="21">
        <f>IF($C304="",0,IFERROR(INDEX(Deals!$H$2:$H$355,MATCH($C304,Deals!$A$2:$A$355,0)),0))</f>
        <v/>
      </c>
      <c r="K304" s="32">
        <f>IF(Settings!$B$4="Yes",$I304*$J304,$I304)</f>
        <v/>
      </c>
      <c r="L304" s="22">
        <f>IF($C304="","",IFERROR(IF(INDEX(Deals!$I$2:$I$355,MATCH($C304,Deals!$A$2:$A$355,0))=0,"",INDEX(Deals!$I$2:$I$355,MATCH($C304,Deals!$A$2:$A$355,0))),""))</f>
        <v/>
      </c>
      <c r="M304" s="22">
        <f>IF($C304="","",IFERROR(IF(INDEX(Deals!$J$2:$J$355,MATCH($C304,Deals!$A$2:$A$355,0))=0,"",INDEX(Deals!$J$2:$J$355,MATCH($C304,Deals!$A$2:$A$355,0))),""))</f>
        <v/>
      </c>
      <c r="N304" s="35">
        <f>IF($L304="",DATE(1900,1,1),$L304)</f>
        <v/>
      </c>
      <c r="O304" s="35">
        <f>IF($M304="",DATE(2100,12,31),$M304)</f>
        <v/>
      </c>
      <c r="P304" s="20" t="inlineStr"/>
      <c r="Q304" s="47" t="inlineStr"/>
      <c r="R304" s="16">
        <f>IF($C304="","",IFERROR(IF(INDEX(Deals!$U$2:$U$355,MATCH($C304,Deals!$A$2:$A$355,0))=0,"",INDEX(Deals!$U$2:$U$355,MATCH($C304,Deals!$A$2:$A$355,0))),""))</f>
        <v/>
      </c>
      <c r="S304" s="34">
        <f>IFERROR(IF($U304="",1,INDEX(Deals!$V$2:$V$355,MATCH($C304,Deals!$A$2:$A$355,0))),1)</f>
        <v/>
      </c>
      <c r="T304" s="34">
        <f>IFERROR(IF($U304="",1,INDEX(Deals!$W$2:$W$355,MATCH($C304,Deals!$A$2:$A$355,0))),1)</f>
        <v/>
      </c>
      <c r="U304" s="22">
        <f>IF($C304="","",IFERROR(IF(INDEX(Deals!$Y$2:$Y$355,MATCH($C304,Deals!$A$2:$A$355,0))=0,"",INDEX(Deals!$Y$2:$Y$355,MATCH($C304,Deals!$A$2:$A$355,0))),""))</f>
        <v/>
      </c>
      <c r="V304" s="35">
        <f>IF(OR($U304&lt;&gt;"",AND($AO304&gt;0,$L304&lt;&gt;"",$M304&lt;&gt;"")),$N304,DATE(1900,1,1))</f>
        <v/>
      </c>
      <c r="W304" s="35">
        <f>IF($U304&lt;&gt;"",$U304,IF(AND($AO304&gt;0,$L304&lt;&gt;"",$M304&lt;&gt;""),$O304,DATE(2100,12,31)))</f>
        <v/>
      </c>
      <c r="X304" s="32">
        <f>IF($U304="",$K304,$K304*$S304)</f>
        <v/>
      </c>
      <c r="Y304" s="35">
        <f>IF($U304="",DATE(2100,12,31),$U304+1)</f>
        <v/>
      </c>
      <c r="Z304" s="35">
        <f>IF($U304="",DATE(1900,1,1),$O304)</f>
        <v/>
      </c>
      <c r="AA304" s="32">
        <f>IF($U304="",0,$K304*$T304)</f>
        <v/>
      </c>
      <c r="AB304" s="21">
        <f>IF($C304="",0,IFERROR(INDEX(Deals!$AD$2:$AD$355,MATCH($C304,Deals!$A$2:$A$355,0)),0))</f>
        <v/>
      </c>
      <c r="AC304" s="32">
        <f>IF(Settings!$B$4="Yes",$I304*$AB304,$I304)</f>
        <v/>
      </c>
      <c r="AD304" s="22">
        <f>IF($C304="","",IFERROR(IF(INDEX(Deals!$AE$2:$AE$355,MATCH($C304,Deals!$A$2:$A$355,0))=0,"",INDEX(Deals!$AE$2:$AE$355,MATCH($C304,Deals!$A$2:$A$355,0))),""))</f>
        <v/>
      </c>
      <c r="AE304" s="22">
        <f>IF($C304="","",IFERROR(IF(INDEX(Deals!$AF$2:$AF$355,MATCH($C304,Deals!$A$2:$A$355,0))=0,"",INDEX(Deals!$AF$2:$AF$355,MATCH($C304,Deals!$A$2:$A$355,0))),""))</f>
        <v/>
      </c>
      <c r="AF304" s="35">
        <f>IF($AD304="",DATE(1900,1,1),$AD304)</f>
        <v/>
      </c>
      <c r="AG304" s="35">
        <f>IF($AE304="",DATE(2100,12,31),$AE304)</f>
        <v/>
      </c>
      <c r="AH304" s="22">
        <f>IF($C304="","",IFERROR(IF(INDEX(Deals!$AG$2:$AG$355,MATCH($C304,Deals!$A$2:$A$355,0))=0,"",INDEX(Deals!$AG$2:$AG$355,MATCH($C304,Deals!$A$2:$A$355,0))),""))</f>
        <v/>
      </c>
      <c r="AI304" s="35">
        <f>IF(OR($AH304&lt;&gt;"",AND($AO304&gt;0,$AD304&lt;&gt;"",$AE304&lt;&gt;"")),$AF304,DATE(1900,1,1))</f>
        <v/>
      </c>
      <c r="AJ304" s="35">
        <f>IF($AH304&lt;&gt;"",$AH304,IF(AND($AO304&gt;0,$AD304&lt;&gt;"",$AE304&lt;&gt;""),$AG304,DATE(2100,12,31)))</f>
        <v/>
      </c>
      <c r="AK304" s="32">
        <f>IF($AH304="",$AC304,$AC304*$S304)</f>
        <v/>
      </c>
      <c r="AL304" s="35">
        <f>IF($AH304="",DATE(2100,12,31),$AH304+1)</f>
        <v/>
      </c>
      <c r="AM304" s="35">
        <f>IF($AH304="",DATE(1900,1,1),$AG304)</f>
        <v/>
      </c>
      <c r="AN304" s="32">
        <f>IF($AH304="",0,$AC304*$T304)</f>
        <v/>
      </c>
      <c r="AO304" s="46">
        <f>IF($C304="",0,IFERROR(INDEX(Deals!$BD$2:$BD$355,MATCH($C304,Deals!$A$2:$A$355,0)),0))</f>
        <v/>
      </c>
      <c r="AP304" s="18">
        <f>IF($AO304=0,0,IFERROR(INDEX(Deals!$BJ$2:$BP$355,MATCH($C304,Deals!$A$2:$A$355,0),MATCH($F304,Deals!$BJ$1:$BP$1,0))/COUNTIFS(Assignments!$C$2:$C$769,$C304,Assignments!$F$2:$F$769,$F304,Assignments!$G$2:$G$769,"Active"),0))</f>
        <v/>
      </c>
    </row>
    <row r="305">
      <c r="A305" s="28" t="inlineStr">
        <is>
          <t>Lauren</t>
        </is>
      </c>
      <c r="B305" s="16">
        <f>IF($A305="","",IFERROR(INDEX(Roster!$B$2:$B$40,MATCH($A305,Roster!$A$2:$A$40,0)),"?"))</f>
        <v/>
      </c>
      <c r="C305" s="28" t="inlineStr">
        <is>
          <t>Edward_1</t>
        </is>
      </c>
      <c r="D305" s="16">
        <f>IF($C305="","",IFERROR(IF(INDEX(Deals!$C$2:$C$355,MATCH($C305,Deals!$A$2:$A$355,0))=0,"",INDEX(Deals!$C$2:$C$355,MATCH($C305,Deals!$A$2:$A$355,0))),"?"))</f>
        <v/>
      </c>
      <c r="E305" s="16">
        <f>IF($C305="","",IFERROR(INDEX(Deals!$F$2:$F$355,MATCH($C305,Deals!$A$2:$A$355,0)),"?"))</f>
        <v/>
      </c>
      <c r="F305" s="28" t="inlineStr">
        <is>
          <t>Director</t>
        </is>
      </c>
      <c r="G305" s="28" t="inlineStr">
        <is>
          <t>Inactive</t>
        </is>
      </c>
      <c r="H305" s="31" t="n"/>
      <c r="I305" s="32">
        <f>IF(OR($A305="",$G305&lt;&gt;"Active"),0,IF($H305&lt;&gt;"",$H305,IF($AO305&gt;0,$AP305,IF(AND($R305&lt;&gt;"",IFERROR(INDEX(Templates!$B$3:$H$10,MATCH($R305,Templates!$A$3:$A$10,0),MATCH($F305,Templates!$B$2:$H$2,0)),0)&gt;0),INDEX(Templates!$B$3:$H$10,MATCH($R305,Templates!$A$3:$A$10,0),MATCH($F305,Templates!$B$2:$H$2,0)),IFERROR(INDEX(Settings!$B$8:$B$14,MATCH($F305,Settings!$A$8:$A$14,0)),0)))))</f>
        <v/>
      </c>
      <c r="J305" s="21">
        <f>IF($C305="",0,IFERROR(INDEX(Deals!$H$2:$H$355,MATCH($C305,Deals!$A$2:$A$355,0)),0))</f>
        <v/>
      </c>
      <c r="K305" s="32">
        <f>IF(Settings!$B$4="Yes",$I305*$J305,$I305)</f>
        <v/>
      </c>
      <c r="L305" s="22">
        <f>IF($C305="","",IFERROR(IF(INDEX(Deals!$I$2:$I$355,MATCH($C305,Deals!$A$2:$A$355,0))=0,"",INDEX(Deals!$I$2:$I$355,MATCH($C305,Deals!$A$2:$A$355,0))),""))</f>
        <v/>
      </c>
      <c r="M305" s="22">
        <f>IF($C305="","",IFERROR(IF(INDEX(Deals!$J$2:$J$355,MATCH($C305,Deals!$A$2:$A$355,0))=0,"",INDEX(Deals!$J$2:$J$355,MATCH($C305,Deals!$A$2:$A$355,0))),""))</f>
        <v/>
      </c>
      <c r="N305" s="35">
        <f>IF($L305="",DATE(1900,1,1),$L305)</f>
        <v/>
      </c>
      <c r="O305" s="35">
        <f>IF($M305="",DATE(2100,12,31),$M305)</f>
        <v/>
      </c>
      <c r="P305" s="20" t="inlineStr"/>
      <c r="Q305" s="47" t="inlineStr">
        <is>
          <t>Deal lifecycle is Closed</t>
        </is>
      </c>
      <c r="R305" s="16">
        <f>IF($C305="","",IFERROR(IF(INDEX(Deals!$U$2:$U$355,MATCH($C305,Deals!$A$2:$A$355,0))=0,"",INDEX(Deals!$U$2:$U$355,MATCH($C305,Deals!$A$2:$A$355,0))),""))</f>
        <v/>
      </c>
      <c r="S305" s="34">
        <f>IFERROR(IF($U305="",1,INDEX(Deals!$V$2:$V$355,MATCH($C305,Deals!$A$2:$A$355,0))),1)</f>
        <v/>
      </c>
      <c r="T305" s="34">
        <f>IFERROR(IF($U305="",1,INDEX(Deals!$W$2:$W$355,MATCH($C305,Deals!$A$2:$A$355,0))),1)</f>
        <v/>
      </c>
      <c r="U305" s="22">
        <f>IF($C305="","",IFERROR(IF(INDEX(Deals!$Y$2:$Y$355,MATCH($C305,Deals!$A$2:$A$355,0))=0,"",INDEX(Deals!$Y$2:$Y$355,MATCH($C305,Deals!$A$2:$A$355,0))),""))</f>
        <v/>
      </c>
      <c r="V305" s="35">
        <f>IF(OR($U305&lt;&gt;"",AND($AO305&gt;0,$L305&lt;&gt;"",$M305&lt;&gt;"")),$N305,DATE(1900,1,1))</f>
        <v/>
      </c>
      <c r="W305" s="35">
        <f>IF($U305&lt;&gt;"",$U305,IF(AND($AO305&gt;0,$L305&lt;&gt;"",$M305&lt;&gt;""),$O305,DATE(2100,12,31)))</f>
        <v/>
      </c>
      <c r="X305" s="32">
        <f>IF($U305="",$K305,$K305*$S305)</f>
        <v/>
      </c>
      <c r="Y305" s="35">
        <f>IF($U305="",DATE(2100,12,31),$U305+1)</f>
        <v/>
      </c>
      <c r="Z305" s="35">
        <f>IF($U305="",DATE(1900,1,1),$O305)</f>
        <v/>
      </c>
      <c r="AA305" s="32">
        <f>IF($U305="",0,$K305*$T305)</f>
        <v/>
      </c>
      <c r="AB305" s="21">
        <f>IF($C305="",0,IFERROR(INDEX(Deals!$AD$2:$AD$355,MATCH($C305,Deals!$A$2:$A$355,0)),0))</f>
        <v/>
      </c>
      <c r="AC305" s="32">
        <f>IF(Settings!$B$4="Yes",$I305*$AB305,$I305)</f>
        <v/>
      </c>
      <c r="AD305" s="22">
        <f>IF($C305="","",IFERROR(IF(INDEX(Deals!$AE$2:$AE$355,MATCH($C305,Deals!$A$2:$A$355,0))=0,"",INDEX(Deals!$AE$2:$AE$355,MATCH($C305,Deals!$A$2:$A$355,0))),""))</f>
        <v/>
      </c>
      <c r="AE305" s="22">
        <f>IF($C305="","",IFERROR(IF(INDEX(Deals!$AF$2:$AF$355,MATCH($C305,Deals!$A$2:$A$355,0))=0,"",INDEX(Deals!$AF$2:$AF$355,MATCH($C305,Deals!$A$2:$A$355,0))),""))</f>
        <v/>
      </c>
      <c r="AF305" s="35">
        <f>IF($AD305="",DATE(1900,1,1),$AD305)</f>
        <v/>
      </c>
      <c r="AG305" s="35">
        <f>IF($AE305="",DATE(2100,12,31),$AE305)</f>
        <v/>
      </c>
      <c r="AH305" s="22">
        <f>IF($C305="","",IFERROR(IF(INDEX(Deals!$AG$2:$AG$355,MATCH($C305,Deals!$A$2:$A$355,0))=0,"",INDEX(Deals!$AG$2:$AG$355,MATCH($C305,Deals!$A$2:$A$355,0))),""))</f>
        <v/>
      </c>
      <c r="AI305" s="35">
        <f>IF(OR($AH305&lt;&gt;"",AND($AO305&gt;0,$AD305&lt;&gt;"",$AE305&lt;&gt;"")),$AF305,DATE(1900,1,1))</f>
        <v/>
      </c>
      <c r="AJ305" s="35">
        <f>IF($AH305&lt;&gt;"",$AH305,IF(AND($AO305&gt;0,$AD305&lt;&gt;"",$AE305&lt;&gt;""),$AG305,DATE(2100,12,31)))</f>
        <v/>
      </c>
      <c r="AK305" s="32">
        <f>IF($AH305="",$AC305,$AC305*$S305)</f>
        <v/>
      </c>
      <c r="AL305" s="35">
        <f>IF($AH305="",DATE(2100,12,31),$AH305+1)</f>
        <v/>
      </c>
      <c r="AM305" s="35">
        <f>IF($AH305="",DATE(1900,1,1),$AG305)</f>
        <v/>
      </c>
      <c r="AN305" s="32">
        <f>IF($AH305="",0,$AC305*$T305)</f>
        <v/>
      </c>
      <c r="AO305" s="46">
        <f>IF($C305="",0,IFERROR(INDEX(Deals!$BD$2:$BD$355,MATCH($C305,Deals!$A$2:$A$355,0)),0))</f>
        <v/>
      </c>
      <c r="AP305" s="18">
        <f>IF($AO305=0,0,IFERROR(INDEX(Deals!$BJ$2:$BP$355,MATCH($C305,Deals!$A$2:$A$355,0),MATCH($F305,Deals!$BJ$1:$BP$1,0))/COUNTIFS(Assignments!$C$2:$C$769,$C305,Assignments!$F$2:$F$769,$F305,Assignments!$G$2:$G$769,"Active"),0))</f>
        <v/>
      </c>
    </row>
    <row r="306">
      <c r="A306" s="28" t="inlineStr">
        <is>
          <t>Lauren</t>
        </is>
      </c>
      <c r="B306" s="16">
        <f>IF($A306="","",IFERROR(INDEX(Roster!$B$2:$B$40,MATCH($A306,Roster!$A$2:$A$40,0)),"?"))</f>
        <v/>
      </c>
      <c r="C306" s="28" t="inlineStr">
        <is>
          <t>Gemini</t>
        </is>
      </c>
      <c r="D306" s="16">
        <f>IF($C306="","",IFERROR(IF(INDEX(Deals!$C$2:$C$355,MATCH($C306,Deals!$A$2:$A$355,0))=0,"",INDEX(Deals!$C$2:$C$355,MATCH($C306,Deals!$A$2:$A$355,0))),"?"))</f>
        <v/>
      </c>
      <c r="E306" s="16">
        <f>IF($C306="","",IFERROR(INDEX(Deals!$F$2:$F$355,MATCH($C306,Deals!$A$2:$A$355,0)),"?"))</f>
        <v/>
      </c>
      <c r="F306" s="28" t="inlineStr">
        <is>
          <t>Director</t>
        </is>
      </c>
      <c r="G306" s="28" t="inlineStr">
        <is>
          <t>Active</t>
        </is>
      </c>
      <c r="H306" s="31" t="n"/>
      <c r="I306" s="32">
        <f>IF(OR($A306="",$G306&lt;&gt;"Active"),0,IF($H306&lt;&gt;"",$H306,IF($AO306&gt;0,$AP306,IF(AND($R306&lt;&gt;"",IFERROR(INDEX(Templates!$B$3:$H$10,MATCH($R306,Templates!$A$3:$A$10,0),MATCH($F306,Templates!$B$2:$H$2,0)),0)&gt;0),INDEX(Templates!$B$3:$H$10,MATCH($R306,Templates!$A$3:$A$10,0),MATCH($F306,Templates!$B$2:$H$2,0)),IFERROR(INDEX(Settings!$B$8:$B$14,MATCH($F306,Settings!$A$8:$A$14,0)),0)))))</f>
        <v/>
      </c>
      <c r="J306" s="21">
        <f>IF($C306="",0,IFERROR(INDEX(Deals!$H$2:$H$355,MATCH($C306,Deals!$A$2:$A$355,0)),0))</f>
        <v/>
      </c>
      <c r="K306" s="32">
        <f>IF(Settings!$B$4="Yes",$I306*$J306,$I306)</f>
        <v/>
      </c>
      <c r="L306" s="22">
        <f>IF($C306="","",IFERROR(IF(INDEX(Deals!$I$2:$I$355,MATCH($C306,Deals!$A$2:$A$355,0))=0,"",INDEX(Deals!$I$2:$I$355,MATCH($C306,Deals!$A$2:$A$355,0))),""))</f>
        <v/>
      </c>
      <c r="M306" s="22">
        <f>IF($C306="","",IFERROR(IF(INDEX(Deals!$J$2:$J$355,MATCH($C306,Deals!$A$2:$A$355,0))=0,"",INDEX(Deals!$J$2:$J$355,MATCH($C306,Deals!$A$2:$A$355,0))),""))</f>
        <v/>
      </c>
      <c r="N306" s="35">
        <f>IF($L306="",DATE(1900,1,1),$L306)</f>
        <v/>
      </c>
      <c r="O306" s="35">
        <f>IF($M306="",DATE(2100,12,31),$M306)</f>
        <v/>
      </c>
      <c r="P306" s="20" t="inlineStr"/>
      <c r="Q306" s="47" t="inlineStr"/>
      <c r="R306" s="16">
        <f>IF($C306="","",IFERROR(IF(INDEX(Deals!$U$2:$U$355,MATCH($C306,Deals!$A$2:$A$355,0))=0,"",INDEX(Deals!$U$2:$U$355,MATCH($C306,Deals!$A$2:$A$355,0))),""))</f>
        <v/>
      </c>
      <c r="S306" s="34">
        <f>IFERROR(IF($U306="",1,INDEX(Deals!$V$2:$V$355,MATCH($C306,Deals!$A$2:$A$355,0))),1)</f>
        <v/>
      </c>
      <c r="T306" s="34">
        <f>IFERROR(IF($U306="",1,INDEX(Deals!$W$2:$W$355,MATCH($C306,Deals!$A$2:$A$355,0))),1)</f>
        <v/>
      </c>
      <c r="U306" s="22">
        <f>IF($C306="","",IFERROR(IF(INDEX(Deals!$Y$2:$Y$355,MATCH($C306,Deals!$A$2:$A$355,0))=0,"",INDEX(Deals!$Y$2:$Y$355,MATCH($C306,Deals!$A$2:$A$355,0))),""))</f>
        <v/>
      </c>
      <c r="V306" s="35">
        <f>IF(OR($U306&lt;&gt;"",AND($AO306&gt;0,$L306&lt;&gt;"",$M306&lt;&gt;"")),$N306,DATE(1900,1,1))</f>
        <v/>
      </c>
      <c r="W306" s="35">
        <f>IF($U306&lt;&gt;"",$U306,IF(AND($AO306&gt;0,$L306&lt;&gt;"",$M306&lt;&gt;""),$O306,DATE(2100,12,31)))</f>
        <v/>
      </c>
      <c r="X306" s="32">
        <f>IF($U306="",$K306,$K306*$S306)</f>
        <v/>
      </c>
      <c r="Y306" s="35">
        <f>IF($U306="",DATE(2100,12,31),$U306+1)</f>
        <v/>
      </c>
      <c r="Z306" s="35">
        <f>IF($U306="",DATE(1900,1,1),$O306)</f>
        <v/>
      </c>
      <c r="AA306" s="32">
        <f>IF($U306="",0,$K306*$T306)</f>
        <v/>
      </c>
      <c r="AB306" s="21">
        <f>IF($C306="",0,IFERROR(INDEX(Deals!$AD$2:$AD$355,MATCH($C306,Deals!$A$2:$A$355,0)),0))</f>
        <v/>
      </c>
      <c r="AC306" s="32">
        <f>IF(Settings!$B$4="Yes",$I306*$AB306,$I306)</f>
        <v/>
      </c>
      <c r="AD306" s="22">
        <f>IF($C306="","",IFERROR(IF(INDEX(Deals!$AE$2:$AE$355,MATCH($C306,Deals!$A$2:$A$355,0))=0,"",INDEX(Deals!$AE$2:$AE$355,MATCH($C306,Deals!$A$2:$A$355,0))),""))</f>
        <v/>
      </c>
      <c r="AE306" s="22">
        <f>IF($C306="","",IFERROR(IF(INDEX(Deals!$AF$2:$AF$355,MATCH($C306,Deals!$A$2:$A$355,0))=0,"",INDEX(Deals!$AF$2:$AF$355,MATCH($C306,Deals!$A$2:$A$355,0))),""))</f>
        <v/>
      </c>
      <c r="AF306" s="35">
        <f>IF($AD306="",DATE(1900,1,1),$AD306)</f>
        <v/>
      </c>
      <c r="AG306" s="35">
        <f>IF($AE306="",DATE(2100,12,31),$AE306)</f>
        <v/>
      </c>
      <c r="AH306" s="22">
        <f>IF($C306="","",IFERROR(IF(INDEX(Deals!$AG$2:$AG$355,MATCH($C306,Deals!$A$2:$A$355,0))=0,"",INDEX(Deals!$AG$2:$AG$355,MATCH($C306,Deals!$A$2:$A$355,0))),""))</f>
        <v/>
      </c>
      <c r="AI306" s="35">
        <f>IF(OR($AH306&lt;&gt;"",AND($AO306&gt;0,$AD306&lt;&gt;"",$AE306&lt;&gt;"")),$AF306,DATE(1900,1,1))</f>
        <v/>
      </c>
      <c r="AJ306" s="35">
        <f>IF($AH306&lt;&gt;"",$AH306,IF(AND($AO306&gt;0,$AD306&lt;&gt;"",$AE306&lt;&gt;""),$AG306,DATE(2100,12,31)))</f>
        <v/>
      </c>
      <c r="AK306" s="32">
        <f>IF($AH306="",$AC306,$AC306*$S306)</f>
        <v/>
      </c>
      <c r="AL306" s="35">
        <f>IF($AH306="",DATE(2100,12,31),$AH306+1)</f>
        <v/>
      </c>
      <c r="AM306" s="35">
        <f>IF($AH306="",DATE(1900,1,1),$AG306)</f>
        <v/>
      </c>
      <c r="AN306" s="32">
        <f>IF($AH306="",0,$AC306*$T306)</f>
        <v/>
      </c>
      <c r="AO306" s="46">
        <f>IF($C306="",0,IFERROR(INDEX(Deals!$BD$2:$BD$355,MATCH($C306,Deals!$A$2:$A$355,0)),0))</f>
        <v/>
      </c>
      <c r="AP306" s="18">
        <f>IF($AO306=0,0,IFERROR(INDEX(Deals!$BJ$2:$BP$355,MATCH($C306,Deals!$A$2:$A$355,0),MATCH($F306,Deals!$BJ$1:$BP$1,0))/COUNTIFS(Assignments!$C$2:$C$769,$C306,Assignments!$F$2:$F$769,$F306,Assignments!$G$2:$G$769,"Active"),0))</f>
        <v/>
      </c>
    </row>
    <row r="307">
      <c r="A307" s="28" t="inlineStr">
        <is>
          <t>Lauren</t>
        </is>
      </c>
      <c r="B307" s="16">
        <f>IF($A307="","",IFERROR(INDEX(Roster!$B$2:$B$40,MATCH($A307,Roster!$A$2:$A$40,0)),"?"))</f>
        <v/>
      </c>
      <c r="C307" s="28" t="inlineStr">
        <is>
          <t>Maple_4</t>
        </is>
      </c>
      <c r="D307" s="16">
        <f>IF($C307="","",IFERROR(IF(INDEX(Deals!$C$2:$C$355,MATCH($C307,Deals!$A$2:$A$355,0))=0,"",INDEX(Deals!$C$2:$C$355,MATCH($C307,Deals!$A$2:$A$355,0))),"?"))</f>
        <v/>
      </c>
      <c r="E307" s="16">
        <f>IF($C307="","",IFERROR(INDEX(Deals!$F$2:$F$355,MATCH($C307,Deals!$A$2:$A$355,0)),"?"))</f>
        <v/>
      </c>
      <c r="F307" s="28" t="inlineStr">
        <is>
          <t>Director</t>
        </is>
      </c>
      <c r="G307" s="28" t="inlineStr">
        <is>
          <t>Active</t>
        </is>
      </c>
      <c r="H307" s="31" t="n"/>
      <c r="I307" s="32">
        <f>IF(OR($A307="",$G307&lt;&gt;"Active"),0,IF($H307&lt;&gt;"",$H307,IF($AO307&gt;0,$AP307,IF(AND($R307&lt;&gt;"",IFERROR(INDEX(Templates!$B$3:$H$10,MATCH($R307,Templates!$A$3:$A$10,0),MATCH($F307,Templates!$B$2:$H$2,0)),0)&gt;0),INDEX(Templates!$B$3:$H$10,MATCH($R307,Templates!$A$3:$A$10,0),MATCH($F307,Templates!$B$2:$H$2,0)),IFERROR(INDEX(Settings!$B$8:$B$14,MATCH($F307,Settings!$A$8:$A$14,0)),0)))))</f>
        <v/>
      </c>
      <c r="J307" s="21">
        <f>IF($C307="",0,IFERROR(INDEX(Deals!$H$2:$H$355,MATCH($C307,Deals!$A$2:$A$355,0)),0))</f>
        <v/>
      </c>
      <c r="K307" s="32">
        <f>IF(Settings!$B$4="Yes",$I307*$J307,$I307)</f>
        <v/>
      </c>
      <c r="L307" s="22">
        <f>IF($C307="","",IFERROR(IF(INDEX(Deals!$I$2:$I$355,MATCH($C307,Deals!$A$2:$A$355,0))=0,"",INDEX(Deals!$I$2:$I$355,MATCH($C307,Deals!$A$2:$A$355,0))),""))</f>
        <v/>
      </c>
      <c r="M307" s="22">
        <f>IF($C307="","",IFERROR(IF(INDEX(Deals!$J$2:$J$355,MATCH($C307,Deals!$A$2:$A$355,0))=0,"",INDEX(Deals!$J$2:$J$355,MATCH($C307,Deals!$A$2:$A$355,0))),""))</f>
        <v/>
      </c>
      <c r="N307" s="35">
        <f>IF($L307="",DATE(1900,1,1),$L307)</f>
        <v/>
      </c>
      <c r="O307" s="35">
        <f>IF($M307="",DATE(2100,12,31),$M307)</f>
        <v/>
      </c>
      <c r="P307" s="20" t="inlineStr"/>
      <c r="Q307" s="47" t="inlineStr"/>
      <c r="R307" s="16">
        <f>IF($C307="","",IFERROR(IF(INDEX(Deals!$U$2:$U$355,MATCH($C307,Deals!$A$2:$A$355,0))=0,"",INDEX(Deals!$U$2:$U$355,MATCH($C307,Deals!$A$2:$A$355,0))),""))</f>
        <v/>
      </c>
      <c r="S307" s="34">
        <f>IFERROR(IF($U307="",1,INDEX(Deals!$V$2:$V$355,MATCH($C307,Deals!$A$2:$A$355,0))),1)</f>
        <v/>
      </c>
      <c r="T307" s="34">
        <f>IFERROR(IF($U307="",1,INDEX(Deals!$W$2:$W$355,MATCH($C307,Deals!$A$2:$A$355,0))),1)</f>
        <v/>
      </c>
      <c r="U307" s="22">
        <f>IF($C307="","",IFERROR(IF(INDEX(Deals!$Y$2:$Y$355,MATCH($C307,Deals!$A$2:$A$355,0))=0,"",INDEX(Deals!$Y$2:$Y$355,MATCH($C307,Deals!$A$2:$A$355,0))),""))</f>
        <v/>
      </c>
      <c r="V307" s="35">
        <f>IF(OR($U307&lt;&gt;"",AND($AO307&gt;0,$L307&lt;&gt;"",$M307&lt;&gt;"")),$N307,DATE(1900,1,1))</f>
        <v/>
      </c>
      <c r="W307" s="35">
        <f>IF($U307&lt;&gt;"",$U307,IF(AND($AO307&gt;0,$L307&lt;&gt;"",$M307&lt;&gt;""),$O307,DATE(2100,12,31)))</f>
        <v/>
      </c>
      <c r="X307" s="32">
        <f>IF($U307="",$K307,$K307*$S307)</f>
        <v/>
      </c>
      <c r="Y307" s="35">
        <f>IF($U307="",DATE(2100,12,31),$U307+1)</f>
        <v/>
      </c>
      <c r="Z307" s="35">
        <f>IF($U307="",DATE(1900,1,1),$O307)</f>
        <v/>
      </c>
      <c r="AA307" s="32">
        <f>IF($U307="",0,$K307*$T307)</f>
        <v/>
      </c>
      <c r="AB307" s="21">
        <f>IF($C307="",0,IFERROR(INDEX(Deals!$AD$2:$AD$355,MATCH($C307,Deals!$A$2:$A$355,0)),0))</f>
        <v/>
      </c>
      <c r="AC307" s="32">
        <f>IF(Settings!$B$4="Yes",$I307*$AB307,$I307)</f>
        <v/>
      </c>
      <c r="AD307" s="22">
        <f>IF($C307="","",IFERROR(IF(INDEX(Deals!$AE$2:$AE$355,MATCH($C307,Deals!$A$2:$A$355,0))=0,"",INDEX(Deals!$AE$2:$AE$355,MATCH($C307,Deals!$A$2:$A$355,0))),""))</f>
        <v/>
      </c>
      <c r="AE307" s="22">
        <f>IF($C307="","",IFERROR(IF(INDEX(Deals!$AF$2:$AF$355,MATCH($C307,Deals!$A$2:$A$355,0))=0,"",INDEX(Deals!$AF$2:$AF$355,MATCH($C307,Deals!$A$2:$A$355,0))),""))</f>
        <v/>
      </c>
      <c r="AF307" s="35">
        <f>IF($AD307="",DATE(1900,1,1),$AD307)</f>
        <v/>
      </c>
      <c r="AG307" s="35">
        <f>IF($AE307="",DATE(2100,12,31),$AE307)</f>
        <v/>
      </c>
      <c r="AH307" s="22">
        <f>IF($C307="","",IFERROR(IF(INDEX(Deals!$AG$2:$AG$355,MATCH($C307,Deals!$A$2:$A$355,0))=0,"",INDEX(Deals!$AG$2:$AG$355,MATCH($C307,Deals!$A$2:$A$355,0))),""))</f>
        <v/>
      </c>
      <c r="AI307" s="35">
        <f>IF(OR($AH307&lt;&gt;"",AND($AO307&gt;0,$AD307&lt;&gt;"",$AE307&lt;&gt;"")),$AF307,DATE(1900,1,1))</f>
        <v/>
      </c>
      <c r="AJ307" s="35">
        <f>IF($AH307&lt;&gt;"",$AH307,IF(AND($AO307&gt;0,$AD307&lt;&gt;"",$AE307&lt;&gt;""),$AG307,DATE(2100,12,31)))</f>
        <v/>
      </c>
      <c r="AK307" s="32">
        <f>IF($AH307="",$AC307,$AC307*$S307)</f>
        <v/>
      </c>
      <c r="AL307" s="35">
        <f>IF($AH307="",DATE(2100,12,31),$AH307+1)</f>
        <v/>
      </c>
      <c r="AM307" s="35">
        <f>IF($AH307="",DATE(1900,1,1),$AG307)</f>
        <v/>
      </c>
      <c r="AN307" s="32">
        <f>IF($AH307="",0,$AC307*$T307)</f>
        <v/>
      </c>
      <c r="AO307" s="46">
        <f>IF($C307="",0,IFERROR(INDEX(Deals!$BD$2:$BD$355,MATCH($C307,Deals!$A$2:$A$355,0)),0))</f>
        <v/>
      </c>
      <c r="AP307" s="18">
        <f>IF($AO307=0,0,IFERROR(INDEX(Deals!$BJ$2:$BP$355,MATCH($C307,Deals!$A$2:$A$355,0),MATCH($F307,Deals!$BJ$1:$BP$1,0))/COUNTIFS(Assignments!$C$2:$C$769,$C307,Assignments!$F$2:$F$769,$F307,Assignments!$G$2:$G$769,"Active"),0))</f>
        <v/>
      </c>
    </row>
    <row r="308">
      <c r="A308" s="28" t="inlineStr">
        <is>
          <t>Lauren</t>
        </is>
      </c>
      <c r="B308" s="16">
        <f>IF($A308="","",IFERROR(INDEX(Roster!$B$2:$B$40,MATCH($A308,Roster!$A$2:$A$40,0)),"?"))</f>
        <v/>
      </c>
      <c r="C308" s="28" t="inlineStr">
        <is>
          <t>Marigold_2</t>
        </is>
      </c>
      <c r="D308" s="16">
        <f>IF($C308="","",IFERROR(IF(INDEX(Deals!$C$2:$C$355,MATCH($C308,Deals!$A$2:$A$355,0))=0,"",INDEX(Deals!$C$2:$C$355,MATCH($C308,Deals!$A$2:$A$355,0))),"?"))</f>
        <v/>
      </c>
      <c r="E308" s="16">
        <f>IF($C308="","",IFERROR(INDEX(Deals!$F$2:$F$355,MATCH($C308,Deals!$A$2:$A$355,0)),"?"))</f>
        <v/>
      </c>
      <c r="F308" s="28" t="inlineStr">
        <is>
          <t>Director</t>
        </is>
      </c>
      <c r="G308" s="28" t="inlineStr">
        <is>
          <t>Active</t>
        </is>
      </c>
      <c r="H308" s="31" t="n"/>
      <c r="I308" s="32">
        <f>IF(OR($A308="",$G308&lt;&gt;"Active"),0,IF($H308&lt;&gt;"",$H308,IF($AO308&gt;0,$AP308,IF(AND($R308&lt;&gt;"",IFERROR(INDEX(Templates!$B$3:$H$10,MATCH($R308,Templates!$A$3:$A$10,0),MATCH($F308,Templates!$B$2:$H$2,0)),0)&gt;0),INDEX(Templates!$B$3:$H$10,MATCH($R308,Templates!$A$3:$A$10,0),MATCH($F308,Templates!$B$2:$H$2,0)),IFERROR(INDEX(Settings!$B$8:$B$14,MATCH($F308,Settings!$A$8:$A$14,0)),0)))))</f>
        <v/>
      </c>
      <c r="J308" s="21">
        <f>IF($C308="",0,IFERROR(INDEX(Deals!$H$2:$H$355,MATCH($C308,Deals!$A$2:$A$355,0)),0))</f>
        <v/>
      </c>
      <c r="K308" s="32">
        <f>IF(Settings!$B$4="Yes",$I308*$J308,$I308)</f>
        <v/>
      </c>
      <c r="L308" s="22">
        <f>IF($C308="","",IFERROR(IF(INDEX(Deals!$I$2:$I$355,MATCH($C308,Deals!$A$2:$A$355,0))=0,"",INDEX(Deals!$I$2:$I$355,MATCH($C308,Deals!$A$2:$A$355,0))),""))</f>
        <v/>
      </c>
      <c r="M308" s="22">
        <f>IF($C308="","",IFERROR(IF(INDEX(Deals!$J$2:$J$355,MATCH($C308,Deals!$A$2:$A$355,0))=0,"",INDEX(Deals!$J$2:$J$355,MATCH($C308,Deals!$A$2:$A$355,0))),""))</f>
        <v/>
      </c>
      <c r="N308" s="35">
        <f>IF($L308="",DATE(1900,1,1),$L308)</f>
        <v/>
      </c>
      <c r="O308" s="35">
        <f>IF($M308="",DATE(2100,12,31),$M308)</f>
        <v/>
      </c>
      <c r="P308" s="20" t="inlineStr"/>
      <c r="Q308" s="47" t="inlineStr"/>
      <c r="R308" s="16">
        <f>IF($C308="","",IFERROR(IF(INDEX(Deals!$U$2:$U$355,MATCH($C308,Deals!$A$2:$A$355,0))=0,"",INDEX(Deals!$U$2:$U$355,MATCH($C308,Deals!$A$2:$A$355,0))),""))</f>
        <v/>
      </c>
      <c r="S308" s="34">
        <f>IFERROR(IF($U308="",1,INDEX(Deals!$V$2:$V$355,MATCH($C308,Deals!$A$2:$A$355,0))),1)</f>
        <v/>
      </c>
      <c r="T308" s="34">
        <f>IFERROR(IF($U308="",1,INDEX(Deals!$W$2:$W$355,MATCH($C308,Deals!$A$2:$A$355,0))),1)</f>
        <v/>
      </c>
      <c r="U308" s="22">
        <f>IF($C308="","",IFERROR(IF(INDEX(Deals!$Y$2:$Y$355,MATCH($C308,Deals!$A$2:$A$355,0))=0,"",INDEX(Deals!$Y$2:$Y$355,MATCH($C308,Deals!$A$2:$A$355,0))),""))</f>
        <v/>
      </c>
      <c r="V308" s="35">
        <f>IF(OR($U308&lt;&gt;"",AND($AO308&gt;0,$L308&lt;&gt;"",$M308&lt;&gt;"")),$N308,DATE(1900,1,1))</f>
        <v/>
      </c>
      <c r="W308" s="35">
        <f>IF($U308&lt;&gt;"",$U308,IF(AND($AO308&gt;0,$L308&lt;&gt;"",$M308&lt;&gt;""),$O308,DATE(2100,12,31)))</f>
        <v/>
      </c>
      <c r="X308" s="32">
        <f>IF($U308="",$K308,$K308*$S308)</f>
        <v/>
      </c>
      <c r="Y308" s="35">
        <f>IF($U308="",DATE(2100,12,31),$U308+1)</f>
        <v/>
      </c>
      <c r="Z308" s="35">
        <f>IF($U308="",DATE(1900,1,1),$O308)</f>
        <v/>
      </c>
      <c r="AA308" s="32">
        <f>IF($U308="",0,$K308*$T308)</f>
        <v/>
      </c>
      <c r="AB308" s="21">
        <f>IF($C308="",0,IFERROR(INDEX(Deals!$AD$2:$AD$355,MATCH($C308,Deals!$A$2:$A$355,0)),0))</f>
        <v/>
      </c>
      <c r="AC308" s="32">
        <f>IF(Settings!$B$4="Yes",$I308*$AB308,$I308)</f>
        <v/>
      </c>
      <c r="AD308" s="22">
        <f>IF($C308="","",IFERROR(IF(INDEX(Deals!$AE$2:$AE$355,MATCH($C308,Deals!$A$2:$A$355,0))=0,"",INDEX(Deals!$AE$2:$AE$355,MATCH($C308,Deals!$A$2:$A$355,0))),""))</f>
        <v/>
      </c>
      <c r="AE308" s="22">
        <f>IF($C308="","",IFERROR(IF(INDEX(Deals!$AF$2:$AF$355,MATCH($C308,Deals!$A$2:$A$355,0))=0,"",INDEX(Deals!$AF$2:$AF$355,MATCH($C308,Deals!$A$2:$A$355,0))),""))</f>
        <v/>
      </c>
      <c r="AF308" s="35">
        <f>IF($AD308="",DATE(1900,1,1),$AD308)</f>
        <v/>
      </c>
      <c r="AG308" s="35">
        <f>IF($AE308="",DATE(2100,12,31),$AE308)</f>
        <v/>
      </c>
      <c r="AH308" s="22">
        <f>IF($C308="","",IFERROR(IF(INDEX(Deals!$AG$2:$AG$355,MATCH($C308,Deals!$A$2:$A$355,0))=0,"",INDEX(Deals!$AG$2:$AG$355,MATCH($C308,Deals!$A$2:$A$355,0))),""))</f>
        <v/>
      </c>
      <c r="AI308" s="35">
        <f>IF(OR($AH308&lt;&gt;"",AND($AO308&gt;0,$AD308&lt;&gt;"",$AE308&lt;&gt;"")),$AF308,DATE(1900,1,1))</f>
        <v/>
      </c>
      <c r="AJ308" s="35">
        <f>IF($AH308&lt;&gt;"",$AH308,IF(AND($AO308&gt;0,$AD308&lt;&gt;"",$AE308&lt;&gt;""),$AG308,DATE(2100,12,31)))</f>
        <v/>
      </c>
      <c r="AK308" s="32">
        <f>IF($AH308="",$AC308,$AC308*$S308)</f>
        <v/>
      </c>
      <c r="AL308" s="35">
        <f>IF($AH308="",DATE(2100,12,31),$AH308+1)</f>
        <v/>
      </c>
      <c r="AM308" s="35">
        <f>IF($AH308="",DATE(1900,1,1),$AG308)</f>
        <v/>
      </c>
      <c r="AN308" s="32">
        <f>IF($AH308="",0,$AC308*$T308)</f>
        <v/>
      </c>
      <c r="AO308" s="46">
        <f>IF($C308="",0,IFERROR(INDEX(Deals!$BD$2:$BD$355,MATCH($C308,Deals!$A$2:$A$355,0)),0))</f>
        <v/>
      </c>
      <c r="AP308" s="18">
        <f>IF($AO308=0,0,IFERROR(INDEX(Deals!$BJ$2:$BP$355,MATCH($C308,Deals!$A$2:$A$355,0),MATCH($F308,Deals!$BJ$1:$BP$1,0))/COUNTIFS(Assignments!$C$2:$C$769,$C308,Assignments!$F$2:$F$769,$F308,Assignments!$G$2:$G$769,"Active"),0))</f>
        <v/>
      </c>
    </row>
    <row r="309">
      <c r="A309" s="28" t="inlineStr">
        <is>
          <t>Lauren</t>
        </is>
      </c>
      <c r="B309" s="16">
        <f>IF($A309="","",IFERROR(INDEX(Roster!$B$2:$B$40,MATCH($A309,Roster!$A$2:$A$40,0)),"?"))</f>
        <v/>
      </c>
      <c r="C309" s="28" t="inlineStr">
        <is>
          <t>NXT Add_1</t>
        </is>
      </c>
      <c r="D309" s="16">
        <f>IF($C309="","",IFERROR(IF(INDEX(Deals!$C$2:$C$355,MATCH($C309,Deals!$A$2:$A$355,0))=0,"",INDEX(Deals!$C$2:$C$355,MATCH($C309,Deals!$A$2:$A$355,0))),"?"))</f>
        <v/>
      </c>
      <c r="E309" s="16">
        <f>IF($C309="","",IFERROR(INDEX(Deals!$F$2:$F$355,MATCH($C309,Deals!$A$2:$A$355,0)),"?"))</f>
        <v/>
      </c>
      <c r="F309" s="28" t="inlineStr">
        <is>
          <t>Director</t>
        </is>
      </c>
      <c r="G309" s="28" t="inlineStr">
        <is>
          <t>Active</t>
        </is>
      </c>
      <c r="H309" s="31" t="n"/>
      <c r="I309" s="32">
        <f>IF(OR($A309="",$G309&lt;&gt;"Active"),0,IF($H309&lt;&gt;"",$H309,IF($AO309&gt;0,$AP309,IF(AND($R309&lt;&gt;"",IFERROR(INDEX(Templates!$B$3:$H$10,MATCH($R309,Templates!$A$3:$A$10,0),MATCH($F309,Templates!$B$2:$H$2,0)),0)&gt;0),INDEX(Templates!$B$3:$H$10,MATCH($R309,Templates!$A$3:$A$10,0),MATCH($F309,Templates!$B$2:$H$2,0)),IFERROR(INDEX(Settings!$B$8:$B$14,MATCH($F309,Settings!$A$8:$A$14,0)),0)))))</f>
        <v/>
      </c>
      <c r="J309" s="21">
        <f>IF($C309="",0,IFERROR(INDEX(Deals!$H$2:$H$355,MATCH($C309,Deals!$A$2:$A$355,0)),0))</f>
        <v/>
      </c>
      <c r="K309" s="32">
        <f>IF(Settings!$B$4="Yes",$I309*$J309,$I309)</f>
        <v/>
      </c>
      <c r="L309" s="22">
        <f>IF($C309="","",IFERROR(IF(INDEX(Deals!$I$2:$I$355,MATCH($C309,Deals!$A$2:$A$355,0))=0,"",INDEX(Deals!$I$2:$I$355,MATCH($C309,Deals!$A$2:$A$355,0))),""))</f>
        <v/>
      </c>
      <c r="M309" s="22">
        <f>IF($C309="","",IFERROR(IF(INDEX(Deals!$J$2:$J$355,MATCH($C309,Deals!$A$2:$A$355,0))=0,"",INDEX(Deals!$J$2:$J$355,MATCH($C309,Deals!$A$2:$A$355,0))),""))</f>
        <v/>
      </c>
      <c r="N309" s="35">
        <f>IF($L309="",DATE(1900,1,1),$L309)</f>
        <v/>
      </c>
      <c r="O309" s="35">
        <f>IF($M309="",DATE(2100,12,31),$M309)</f>
        <v/>
      </c>
      <c r="P309" s="20" t="inlineStr"/>
      <c r="Q309" s="47" t="inlineStr"/>
      <c r="R309" s="16">
        <f>IF($C309="","",IFERROR(IF(INDEX(Deals!$U$2:$U$355,MATCH($C309,Deals!$A$2:$A$355,0))=0,"",INDEX(Deals!$U$2:$U$355,MATCH($C309,Deals!$A$2:$A$355,0))),""))</f>
        <v/>
      </c>
      <c r="S309" s="34">
        <f>IFERROR(IF($U309="",1,INDEX(Deals!$V$2:$V$355,MATCH($C309,Deals!$A$2:$A$355,0))),1)</f>
        <v/>
      </c>
      <c r="T309" s="34">
        <f>IFERROR(IF($U309="",1,INDEX(Deals!$W$2:$W$355,MATCH($C309,Deals!$A$2:$A$355,0))),1)</f>
        <v/>
      </c>
      <c r="U309" s="22">
        <f>IF($C309="","",IFERROR(IF(INDEX(Deals!$Y$2:$Y$355,MATCH($C309,Deals!$A$2:$A$355,0))=0,"",INDEX(Deals!$Y$2:$Y$355,MATCH($C309,Deals!$A$2:$A$355,0))),""))</f>
        <v/>
      </c>
      <c r="V309" s="35">
        <f>IF(OR($U309&lt;&gt;"",AND($AO309&gt;0,$L309&lt;&gt;"",$M309&lt;&gt;"")),$N309,DATE(1900,1,1))</f>
        <v/>
      </c>
      <c r="W309" s="35">
        <f>IF($U309&lt;&gt;"",$U309,IF(AND($AO309&gt;0,$L309&lt;&gt;"",$M309&lt;&gt;""),$O309,DATE(2100,12,31)))</f>
        <v/>
      </c>
      <c r="X309" s="32">
        <f>IF($U309="",$K309,$K309*$S309)</f>
        <v/>
      </c>
      <c r="Y309" s="35">
        <f>IF($U309="",DATE(2100,12,31),$U309+1)</f>
        <v/>
      </c>
      <c r="Z309" s="35">
        <f>IF($U309="",DATE(1900,1,1),$O309)</f>
        <v/>
      </c>
      <c r="AA309" s="32">
        <f>IF($U309="",0,$K309*$T309)</f>
        <v/>
      </c>
      <c r="AB309" s="21">
        <f>IF($C309="",0,IFERROR(INDEX(Deals!$AD$2:$AD$355,MATCH($C309,Deals!$A$2:$A$355,0)),0))</f>
        <v/>
      </c>
      <c r="AC309" s="32">
        <f>IF(Settings!$B$4="Yes",$I309*$AB309,$I309)</f>
        <v/>
      </c>
      <c r="AD309" s="22">
        <f>IF($C309="","",IFERROR(IF(INDEX(Deals!$AE$2:$AE$355,MATCH($C309,Deals!$A$2:$A$355,0))=0,"",INDEX(Deals!$AE$2:$AE$355,MATCH($C309,Deals!$A$2:$A$355,0))),""))</f>
        <v/>
      </c>
      <c r="AE309" s="22">
        <f>IF($C309="","",IFERROR(IF(INDEX(Deals!$AF$2:$AF$355,MATCH($C309,Deals!$A$2:$A$355,0))=0,"",INDEX(Deals!$AF$2:$AF$355,MATCH($C309,Deals!$A$2:$A$355,0))),""))</f>
        <v/>
      </c>
      <c r="AF309" s="35">
        <f>IF($AD309="",DATE(1900,1,1),$AD309)</f>
        <v/>
      </c>
      <c r="AG309" s="35">
        <f>IF($AE309="",DATE(2100,12,31),$AE309)</f>
        <v/>
      </c>
      <c r="AH309" s="22">
        <f>IF($C309="","",IFERROR(IF(INDEX(Deals!$AG$2:$AG$355,MATCH($C309,Deals!$A$2:$A$355,0))=0,"",INDEX(Deals!$AG$2:$AG$355,MATCH($C309,Deals!$A$2:$A$355,0))),""))</f>
        <v/>
      </c>
      <c r="AI309" s="35">
        <f>IF(OR($AH309&lt;&gt;"",AND($AO309&gt;0,$AD309&lt;&gt;"",$AE309&lt;&gt;"")),$AF309,DATE(1900,1,1))</f>
        <v/>
      </c>
      <c r="AJ309" s="35">
        <f>IF($AH309&lt;&gt;"",$AH309,IF(AND($AO309&gt;0,$AD309&lt;&gt;"",$AE309&lt;&gt;""),$AG309,DATE(2100,12,31)))</f>
        <v/>
      </c>
      <c r="AK309" s="32">
        <f>IF($AH309="",$AC309,$AC309*$S309)</f>
        <v/>
      </c>
      <c r="AL309" s="35">
        <f>IF($AH309="",DATE(2100,12,31),$AH309+1)</f>
        <v/>
      </c>
      <c r="AM309" s="35">
        <f>IF($AH309="",DATE(1900,1,1),$AG309)</f>
        <v/>
      </c>
      <c r="AN309" s="32">
        <f>IF($AH309="",0,$AC309*$T309)</f>
        <v/>
      </c>
      <c r="AO309" s="46">
        <f>IF($C309="",0,IFERROR(INDEX(Deals!$BD$2:$BD$355,MATCH($C309,Deals!$A$2:$A$355,0)),0))</f>
        <v/>
      </c>
      <c r="AP309" s="18">
        <f>IF($AO309=0,0,IFERROR(INDEX(Deals!$BJ$2:$BP$355,MATCH($C309,Deals!$A$2:$A$355,0),MATCH($F309,Deals!$BJ$1:$BP$1,0))/COUNTIFS(Assignments!$C$2:$C$769,$C309,Assignments!$F$2:$F$769,$F309,Assignments!$G$2:$G$769,"Active"),0))</f>
        <v/>
      </c>
    </row>
    <row r="310">
      <c r="A310" s="28" t="inlineStr">
        <is>
          <t>Lauren</t>
        </is>
      </c>
      <c r="B310" s="16">
        <f>IF($A310="","",IFERROR(INDEX(Roster!$B$2:$B$40,MATCH($A310,Roster!$A$2:$A$40,0)),"?"))</f>
        <v/>
      </c>
      <c r="C310" s="28" t="inlineStr">
        <is>
          <t>Oasis_2</t>
        </is>
      </c>
      <c r="D310" s="16">
        <f>IF($C310="","",IFERROR(IF(INDEX(Deals!$C$2:$C$355,MATCH($C310,Deals!$A$2:$A$355,0))=0,"",INDEX(Deals!$C$2:$C$355,MATCH($C310,Deals!$A$2:$A$355,0))),"?"))</f>
        <v/>
      </c>
      <c r="E310" s="16">
        <f>IF($C310="","",IFERROR(INDEX(Deals!$F$2:$F$355,MATCH($C310,Deals!$A$2:$A$355,0)),"?"))</f>
        <v/>
      </c>
      <c r="F310" s="28" t="inlineStr">
        <is>
          <t>Director</t>
        </is>
      </c>
      <c r="G310" s="28" t="inlineStr">
        <is>
          <t>Active</t>
        </is>
      </c>
      <c r="H310" s="31" t="n"/>
      <c r="I310" s="32">
        <f>IF(OR($A310="",$G310&lt;&gt;"Active"),0,IF($H310&lt;&gt;"",$H310,IF($AO310&gt;0,$AP310,IF(AND($R310&lt;&gt;"",IFERROR(INDEX(Templates!$B$3:$H$10,MATCH($R310,Templates!$A$3:$A$10,0),MATCH($F310,Templates!$B$2:$H$2,0)),0)&gt;0),INDEX(Templates!$B$3:$H$10,MATCH($R310,Templates!$A$3:$A$10,0),MATCH($F310,Templates!$B$2:$H$2,0)),IFERROR(INDEX(Settings!$B$8:$B$14,MATCH($F310,Settings!$A$8:$A$14,0)),0)))))</f>
        <v/>
      </c>
      <c r="J310" s="21">
        <f>IF($C310="",0,IFERROR(INDEX(Deals!$H$2:$H$355,MATCH($C310,Deals!$A$2:$A$355,0)),0))</f>
        <v/>
      </c>
      <c r="K310" s="32">
        <f>IF(Settings!$B$4="Yes",$I310*$J310,$I310)</f>
        <v/>
      </c>
      <c r="L310" s="22">
        <f>IF($C310="","",IFERROR(IF(INDEX(Deals!$I$2:$I$355,MATCH($C310,Deals!$A$2:$A$355,0))=0,"",INDEX(Deals!$I$2:$I$355,MATCH($C310,Deals!$A$2:$A$355,0))),""))</f>
        <v/>
      </c>
      <c r="M310" s="22">
        <f>IF($C310="","",IFERROR(IF(INDEX(Deals!$J$2:$J$355,MATCH($C310,Deals!$A$2:$A$355,0))=0,"",INDEX(Deals!$J$2:$J$355,MATCH($C310,Deals!$A$2:$A$355,0))),""))</f>
        <v/>
      </c>
      <c r="N310" s="35">
        <f>IF($L310="",DATE(1900,1,1),$L310)</f>
        <v/>
      </c>
      <c r="O310" s="35">
        <f>IF($M310="",DATE(2100,12,31),$M310)</f>
        <v/>
      </c>
      <c r="P310" s="20" t="inlineStr"/>
      <c r="Q310" s="47" t="inlineStr"/>
      <c r="R310" s="16">
        <f>IF($C310="","",IFERROR(IF(INDEX(Deals!$U$2:$U$355,MATCH($C310,Deals!$A$2:$A$355,0))=0,"",INDEX(Deals!$U$2:$U$355,MATCH($C310,Deals!$A$2:$A$355,0))),""))</f>
        <v/>
      </c>
      <c r="S310" s="34">
        <f>IFERROR(IF($U310="",1,INDEX(Deals!$V$2:$V$355,MATCH($C310,Deals!$A$2:$A$355,0))),1)</f>
        <v/>
      </c>
      <c r="T310" s="34">
        <f>IFERROR(IF($U310="",1,INDEX(Deals!$W$2:$W$355,MATCH($C310,Deals!$A$2:$A$355,0))),1)</f>
        <v/>
      </c>
      <c r="U310" s="22">
        <f>IF($C310="","",IFERROR(IF(INDEX(Deals!$Y$2:$Y$355,MATCH($C310,Deals!$A$2:$A$355,0))=0,"",INDEX(Deals!$Y$2:$Y$355,MATCH($C310,Deals!$A$2:$A$355,0))),""))</f>
        <v/>
      </c>
      <c r="V310" s="35">
        <f>IF(OR($U310&lt;&gt;"",AND($AO310&gt;0,$L310&lt;&gt;"",$M310&lt;&gt;"")),$N310,DATE(1900,1,1))</f>
        <v/>
      </c>
      <c r="W310" s="35">
        <f>IF($U310&lt;&gt;"",$U310,IF(AND($AO310&gt;0,$L310&lt;&gt;"",$M310&lt;&gt;""),$O310,DATE(2100,12,31)))</f>
        <v/>
      </c>
      <c r="X310" s="32">
        <f>IF($U310="",$K310,$K310*$S310)</f>
        <v/>
      </c>
      <c r="Y310" s="35">
        <f>IF($U310="",DATE(2100,12,31),$U310+1)</f>
        <v/>
      </c>
      <c r="Z310" s="35">
        <f>IF($U310="",DATE(1900,1,1),$O310)</f>
        <v/>
      </c>
      <c r="AA310" s="32">
        <f>IF($U310="",0,$K310*$T310)</f>
        <v/>
      </c>
      <c r="AB310" s="21">
        <f>IF($C310="",0,IFERROR(INDEX(Deals!$AD$2:$AD$355,MATCH($C310,Deals!$A$2:$A$355,0)),0))</f>
        <v/>
      </c>
      <c r="AC310" s="32">
        <f>IF(Settings!$B$4="Yes",$I310*$AB310,$I310)</f>
        <v/>
      </c>
      <c r="AD310" s="22">
        <f>IF($C310="","",IFERROR(IF(INDEX(Deals!$AE$2:$AE$355,MATCH($C310,Deals!$A$2:$A$355,0))=0,"",INDEX(Deals!$AE$2:$AE$355,MATCH($C310,Deals!$A$2:$A$355,0))),""))</f>
        <v/>
      </c>
      <c r="AE310" s="22">
        <f>IF($C310="","",IFERROR(IF(INDEX(Deals!$AF$2:$AF$355,MATCH($C310,Deals!$A$2:$A$355,0))=0,"",INDEX(Deals!$AF$2:$AF$355,MATCH($C310,Deals!$A$2:$A$355,0))),""))</f>
        <v/>
      </c>
      <c r="AF310" s="35">
        <f>IF($AD310="",DATE(1900,1,1),$AD310)</f>
        <v/>
      </c>
      <c r="AG310" s="35">
        <f>IF($AE310="",DATE(2100,12,31),$AE310)</f>
        <v/>
      </c>
      <c r="AH310" s="22">
        <f>IF($C310="","",IFERROR(IF(INDEX(Deals!$AG$2:$AG$355,MATCH($C310,Deals!$A$2:$A$355,0))=0,"",INDEX(Deals!$AG$2:$AG$355,MATCH($C310,Deals!$A$2:$A$355,0))),""))</f>
        <v/>
      </c>
      <c r="AI310" s="35">
        <f>IF(OR($AH310&lt;&gt;"",AND($AO310&gt;0,$AD310&lt;&gt;"",$AE310&lt;&gt;"")),$AF310,DATE(1900,1,1))</f>
        <v/>
      </c>
      <c r="AJ310" s="35">
        <f>IF($AH310&lt;&gt;"",$AH310,IF(AND($AO310&gt;0,$AD310&lt;&gt;"",$AE310&lt;&gt;""),$AG310,DATE(2100,12,31)))</f>
        <v/>
      </c>
      <c r="AK310" s="32">
        <f>IF($AH310="",$AC310,$AC310*$S310)</f>
        <v/>
      </c>
      <c r="AL310" s="35">
        <f>IF($AH310="",DATE(2100,12,31),$AH310+1)</f>
        <v/>
      </c>
      <c r="AM310" s="35">
        <f>IF($AH310="",DATE(1900,1,1),$AG310)</f>
        <v/>
      </c>
      <c r="AN310" s="32">
        <f>IF($AH310="",0,$AC310*$T310)</f>
        <v/>
      </c>
      <c r="AO310" s="46">
        <f>IF($C310="",0,IFERROR(INDEX(Deals!$BD$2:$BD$355,MATCH($C310,Deals!$A$2:$A$355,0)),0))</f>
        <v/>
      </c>
      <c r="AP310" s="18">
        <f>IF($AO310=0,0,IFERROR(INDEX(Deals!$BJ$2:$BP$355,MATCH($C310,Deals!$A$2:$A$355,0),MATCH($F310,Deals!$BJ$1:$BP$1,0))/COUNTIFS(Assignments!$C$2:$C$769,$C310,Assignments!$F$2:$F$769,$F310,Assignments!$G$2:$G$769,"Active"),0))</f>
        <v/>
      </c>
    </row>
    <row r="311">
      <c r="A311" s="28" t="inlineStr">
        <is>
          <t>Lauren</t>
        </is>
      </c>
      <c r="B311" s="16">
        <f>IF($A311="","",IFERROR(INDEX(Roster!$B$2:$B$40,MATCH($A311,Roster!$A$2:$A$40,0)),"?"))</f>
        <v/>
      </c>
      <c r="C311" s="28" t="inlineStr">
        <is>
          <t>ProEnergy_3</t>
        </is>
      </c>
      <c r="D311" s="16">
        <f>IF($C311="","",IFERROR(IF(INDEX(Deals!$C$2:$C$355,MATCH($C311,Deals!$A$2:$A$355,0))=0,"",INDEX(Deals!$C$2:$C$355,MATCH($C311,Deals!$A$2:$A$355,0))),"?"))</f>
        <v/>
      </c>
      <c r="E311" s="16">
        <f>IF($C311="","",IFERROR(INDEX(Deals!$F$2:$F$355,MATCH($C311,Deals!$A$2:$A$355,0)),"?"))</f>
        <v/>
      </c>
      <c r="F311" s="28" t="inlineStr">
        <is>
          <t>Director</t>
        </is>
      </c>
      <c r="G311" s="28" t="inlineStr">
        <is>
          <t>Inactive</t>
        </is>
      </c>
      <c r="H311" s="31" t="n"/>
      <c r="I311" s="32">
        <f>IF(OR($A311="",$G311&lt;&gt;"Active"),0,IF($H311&lt;&gt;"",$H311,IF($AO311&gt;0,$AP311,IF(AND($R311&lt;&gt;"",IFERROR(INDEX(Templates!$B$3:$H$10,MATCH($R311,Templates!$A$3:$A$10,0),MATCH($F311,Templates!$B$2:$H$2,0)),0)&gt;0),INDEX(Templates!$B$3:$H$10,MATCH($R311,Templates!$A$3:$A$10,0),MATCH($F311,Templates!$B$2:$H$2,0)),IFERROR(INDEX(Settings!$B$8:$B$14,MATCH($F311,Settings!$A$8:$A$14,0)),0)))))</f>
        <v/>
      </c>
      <c r="J311" s="21">
        <f>IF($C311="",0,IFERROR(INDEX(Deals!$H$2:$H$355,MATCH($C311,Deals!$A$2:$A$355,0)),0))</f>
        <v/>
      </c>
      <c r="K311" s="32">
        <f>IF(Settings!$B$4="Yes",$I311*$J311,$I311)</f>
        <v/>
      </c>
      <c r="L311" s="22">
        <f>IF($C311="","",IFERROR(IF(INDEX(Deals!$I$2:$I$355,MATCH($C311,Deals!$A$2:$A$355,0))=0,"",INDEX(Deals!$I$2:$I$355,MATCH($C311,Deals!$A$2:$A$355,0))),""))</f>
        <v/>
      </c>
      <c r="M311" s="22">
        <f>IF($C311="","",IFERROR(IF(INDEX(Deals!$J$2:$J$355,MATCH($C311,Deals!$A$2:$A$355,0))=0,"",INDEX(Deals!$J$2:$J$355,MATCH($C311,Deals!$A$2:$A$355,0))),""))</f>
        <v/>
      </c>
      <c r="N311" s="35">
        <f>IF($L311="",DATE(1900,1,1),$L311)</f>
        <v/>
      </c>
      <c r="O311" s="35">
        <f>IF($M311="",DATE(2100,12,31),$M311)</f>
        <v/>
      </c>
      <c r="P311" s="20" t="inlineStr"/>
      <c r="Q311" s="47" t="inlineStr">
        <is>
          <t>Deal lifecycle is Internal</t>
        </is>
      </c>
      <c r="R311" s="16">
        <f>IF($C311="","",IFERROR(IF(INDEX(Deals!$U$2:$U$355,MATCH($C311,Deals!$A$2:$A$355,0))=0,"",INDEX(Deals!$U$2:$U$355,MATCH($C311,Deals!$A$2:$A$355,0))),""))</f>
        <v/>
      </c>
      <c r="S311" s="34">
        <f>IFERROR(IF($U311="",1,INDEX(Deals!$V$2:$V$355,MATCH($C311,Deals!$A$2:$A$355,0))),1)</f>
        <v/>
      </c>
      <c r="T311" s="34">
        <f>IFERROR(IF($U311="",1,INDEX(Deals!$W$2:$W$355,MATCH($C311,Deals!$A$2:$A$355,0))),1)</f>
        <v/>
      </c>
      <c r="U311" s="22">
        <f>IF($C311="","",IFERROR(IF(INDEX(Deals!$Y$2:$Y$355,MATCH($C311,Deals!$A$2:$A$355,0))=0,"",INDEX(Deals!$Y$2:$Y$355,MATCH($C311,Deals!$A$2:$A$355,0))),""))</f>
        <v/>
      </c>
      <c r="V311" s="35">
        <f>IF(OR($U311&lt;&gt;"",AND($AO311&gt;0,$L311&lt;&gt;"",$M311&lt;&gt;"")),$N311,DATE(1900,1,1))</f>
        <v/>
      </c>
      <c r="W311" s="35">
        <f>IF($U311&lt;&gt;"",$U311,IF(AND($AO311&gt;0,$L311&lt;&gt;"",$M311&lt;&gt;""),$O311,DATE(2100,12,31)))</f>
        <v/>
      </c>
      <c r="X311" s="32">
        <f>IF($U311="",$K311,$K311*$S311)</f>
        <v/>
      </c>
      <c r="Y311" s="35">
        <f>IF($U311="",DATE(2100,12,31),$U311+1)</f>
        <v/>
      </c>
      <c r="Z311" s="35">
        <f>IF($U311="",DATE(1900,1,1),$O311)</f>
        <v/>
      </c>
      <c r="AA311" s="32">
        <f>IF($U311="",0,$K311*$T311)</f>
        <v/>
      </c>
      <c r="AB311" s="21">
        <f>IF($C311="",0,IFERROR(INDEX(Deals!$AD$2:$AD$355,MATCH($C311,Deals!$A$2:$A$355,0)),0))</f>
        <v/>
      </c>
      <c r="AC311" s="32">
        <f>IF(Settings!$B$4="Yes",$I311*$AB311,$I311)</f>
        <v/>
      </c>
      <c r="AD311" s="22">
        <f>IF($C311="","",IFERROR(IF(INDEX(Deals!$AE$2:$AE$355,MATCH($C311,Deals!$A$2:$A$355,0))=0,"",INDEX(Deals!$AE$2:$AE$355,MATCH($C311,Deals!$A$2:$A$355,0))),""))</f>
        <v/>
      </c>
      <c r="AE311" s="22">
        <f>IF($C311="","",IFERROR(IF(INDEX(Deals!$AF$2:$AF$355,MATCH($C311,Deals!$A$2:$A$355,0))=0,"",INDEX(Deals!$AF$2:$AF$355,MATCH($C311,Deals!$A$2:$A$355,0))),""))</f>
        <v/>
      </c>
      <c r="AF311" s="35">
        <f>IF($AD311="",DATE(1900,1,1),$AD311)</f>
        <v/>
      </c>
      <c r="AG311" s="35">
        <f>IF($AE311="",DATE(2100,12,31),$AE311)</f>
        <v/>
      </c>
      <c r="AH311" s="22">
        <f>IF($C311="","",IFERROR(IF(INDEX(Deals!$AG$2:$AG$355,MATCH($C311,Deals!$A$2:$A$355,0))=0,"",INDEX(Deals!$AG$2:$AG$355,MATCH($C311,Deals!$A$2:$A$355,0))),""))</f>
        <v/>
      </c>
      <c r="AI311" s="35">
        <f>IF(OR($AH311&lt;&gt;"",AND($AO311&gt;0,$AD311&lt;&gt;"",$AE311&lt;&gt;"")),$AF311,DATE(1900,1,1))</f>
        <v/>
      </c>
      <c r="AJ311" s="35">
        <f>IF($AH311&lt;&gt;"",$AH311,IF(AND($AO311&gt;0,$AD311&lt;&gt;"",$AE311&lt;&gt;""),$AG311,DATE(2100,12,31)))</f>
        <v/>
      </c>
      <c r="AK311" s="32">
        <f>IF($AH311="",$AC311,$AC311*$S311)</f>
        <v/>
      </c>
      <c r="AL311" s="35">
        <f>IF($AH311="",DATE(2100,12,31),$AH311+1)</f>
        <v/>
      </c>
      <c r="AM311" s="35">
        <f>IF($AH311="",DATE(1900,1,1),$AG311)</f>
        <v/>
      </c>
      <c r="AN311" s="32">
        <f>IF($AH311="",0,$AC311*$T311)</f>
        <v/>
      </c>
      <c r="AO311" s="46">
        <f>IF($C311="",0,IFERROR(INDEX(Deals!$BD$2:$BD$355,MATCH($C311,Deals!$A$2:$A$355,0)),0))</f>
        <v/>
      </c>
      <c r="AP311" s="18">
        <f>IF($AO311=0,0,IFERROR(INDEX(Deals!$BJ$2:$BP$355,MATCH($C311,Deals!$A$2:$A$355,0),MATCH($F311,Deals!$BJ$1:$BP$1,0))/COUNTIFS(Assignments!$C$2:$C$769,$C311,Assignments!$F$2:$F$769,$F311,Assignments!$G$2:$G$769,"Active"),0))</f>
        <v/>
      </c>
    </row>
    <row r="312">
      <c r="A312" s="28" t="inlineStr">
        <is>
          <t>Lauren</t>
        </is>
      </c>
      <c r="B312" s="16">
        <f>IF($A312="","",IFERROR(INDEX(Roster!$B$2:$B$40,MATCH($A312,Roster!$A$2:$A$40,0)),"?"))</f>
        <v/>
      </c>
      <c r="C312" s="28" t="inlineStr">
        <is>
          <t>Resolute_1</t>
        </is>
      </c>
      <c r="D312" s="16">
        <f>IF($C312="","",IFERROR(IF(INDEX(Deals!$C$2:$C$355,MATCH($C312,Deals!$A$2:$A$355,0))=0,"",INDEX(Deals!$C$2:$C$355,MATCH($C312,Deals!$A$2:$A$355,0))),"?"))</f>
        <v/>
      </c>
      <c r="E312" s="16">
        <f>IF($C312="","",IFERROR(INDEX(Deals!$F$2:$F$355,MATCH($C312,Deals!$A$2:$A$355,0)),"?"))</f>
        <v/>
      </c>
      <c r="F312" s="28" t="inlineStr">
        <is>
          <t>Director</t>
        </is>
      </c>
      <c r="G312" s="28" t="inlineStr">
        <is>
          <t>Active</t>
        </is>
      </c>
      <c r="H312" s="31" t="n"/>
      <c r="I312" s="32">
        <f>IF(OR($A312="",$G312&lt;&gt;"Active"),0,IF($H312&lt;&gt;"",$H312,IF($AO312&gt;0,$AP312,IF(AND($R312&lt;&gt;"",IFERROR(INDEX(Templates!$B$3:$H$10,MATCH($R312,Templates!$A$3:$A$10,0),MATCH($F312,Templates!$B$2:$H$2,0)),0)&gt;0),INDEX(Templates!$B$3:$H$10,MATCH($R312,Templates!$A$3:$A$10,0),MATCH($F312,Templates!$B$2:$H$2,0)),IFERROR(INDEX(Settings!$B$8:$B$14,MATCH($F312,Settings!$A$8:$A$14,0)),0)))))</f>
        <v/>
      </c>
      <c r="J312" s="21">
        <f>IF($C312="",0,IFERROR(INDEX(Deals!$H$2:$H$355,MATCH($C312,Deals!$A$2:$A$355,0)),0))</f>
        <v/>
      </c>
      <c r="K312" s="32">
        <f>IF(Settings!$B$4="Yes",$I312*$J312,$I312)</f>
        <v/>
      </c>
      <c r="L312" s="22">
        <f>IF($C312="","",IFERROR(IF(INDEX(Deals!$I$2:$I$355,MATCH($C312,Deals!$A$2:$A$355,0))=0,"",INDEX(Deals!$I$2:$I$355,MATCH($C312,Deals!$A$2:$A$355,0))),""))</f>
        <v/>
      </c>
      <c r="M312" s="22">
        <f>IF($C312="","",IFERROR(IF(INDEX(Deals!$J$2:$J$355,MATCH($C312,Deals!$A$2:$A$355,0))=0,"",INDEX(Deals!$J$2:$J$355,MATCH($C312,Deals!$A$2:$A$355,0))),""))</f>
        <v/>
      </c>
      <c r="N312" s="35">
        <f>IF($L312="",DATE(1900,1,1),$L312)</f>
        <v/>
      </c>
      <c r="O312" s="35">
        <f>IF($M312="",DATE(2100,12,31),$M312)</f>
        <v/>
      </c>
      <c r="P312" s="20" t="inlineStr"/>
      <c r="Q312" s="47" t="inlineStr"/>
      <c r="R312" s="16">
        <f>IF($C312="","",IFERROR(IF(INDEX(Deals!$U$2:$U$355,MATCH($C312,Deals!$A$2:$A$355,0))=0,"",INDEX(Deals!$U$2:$U$355,MATCH($C312,Deals!$A$2:$A$355,0))),""))</f>
        <v/>
      </c>
      <c r="S312" s="34">
        <f>IFERROR(IF($U312="",1,INDEX(Deals!$V$2:$V$355,MATCH($C312,Deals!$A$2:$A$355,0))),1)</f>
        <v/>
      </c>
      <c r="T312" s="34">
        <f>IFERROR(IF($U312="",1,INDEX(Deals!$W$2:$W$355,MATCH($C312,Deals!$A$2:$A$355,0))),1)</f>
        <v/>
      </c>
      <c r="U312" s="22">
        <f>IF($C312="","",IFERROR(IF(INDEX(Deals!$Y$2:$Y$355,MATCH($C312,Deals!$A$2:$A$355,0))=0,"",INDEX(Deals!$Y$2:$Y$355,MATCH($C312,Deals!$A$2:$A$355,0))),""))</f>
        <v/>
      </c>
      <c r="V312" s="35">
        <f>IF(OR($U312&lt;&gt;"",AND($AO312&gt;0,$L312&lt;&gt;"",$M312&lt;&gt;"")),$N312,DATE(1900,1,1))</f>
        <v/>
      </c>
      <c r="W312" s="35">
        <f>IF($U312&lt;&gt;"",$U312,IF(AND($AO312&gt;0,$L312&lt;&gt;"",$M312&lt;&gt;""),$O312,DATE(2100,12,31)))</f>
        <v/>
      </c>
      <c r="X312" s="32">
        <f>IF($U312="",$K312,$K312*$S312)</f>
        <v/>
      </c>
      <c r="Y312" s="35">
        <f>IF($U312="",DATE(2100,12,31),$U312+1)</f>
        <v/>
      </c>
      <c r="Z312" s="35">
        <f>IF($U312="",DATE(1900,1,1),$O312)</f>
        <v/>
      </c>
      <c r="AA312" s="32">
        <f>IF($U312="",0,$K312*$T312)</f>
        <v/>
      </c>
      <c r="AB312" s="21">
        <f>IF($C312="",0,IFERROR(INDEX(Deals!$AD$2:$AD$355,MATCH($C312,Deals!$A$2:$A$355,0)),0))</f>
        <v/>
      </c>
      <c r="AC312" s="32">
        <f>IF(Settings!$B$4="Yes",$I312*$AB312,$I312)</f>
        <v/>
      </c>
      <c r="AD312" s="22">
        <f>IF($C312="","",IFERROR(IF(INDEX(Deals!$AE$2:$AE$355,MATCH($C312,Deals!$A$2:$A$355,0))=0,"",INDEX(Deals!$AE$2:$AE$355,MATCH($C312,Deals!$A$2:$A$355,0))),""))</f>
        <v/>
      </c>
      <c r="AE312" s="22">
        <f>IF($C312="","",IFERROR(IF(INDEX(Deals!$AF$2:$AF$355,MATCH($C312,Deals!$A$2:$A$355,0))=0,"",INDEX(Deals!$AF$2:$AF$355,MATCH($C312,Deals!$A$2:$A$355,0))),""))</f>
        <v/>
      </c>
      <c r="AF312" s="35">
        <f>IF($AD312="",DATE(1900,1,1),$AD312)</f>
        <v/>
      </c>
      <c r="AG312" s="35">
        <f>IF($AE312="",DATE(2100,12,31),$AE312)</f>
        <v/>
      </c>
      <c r="AH312" s="22">
        <f>IF($C312="","",IFERROR(IF(INDEX(Deals!$AG$2:$AG$355,MATCH($C312,Deals!$A$2:$A$355,0))=0,"",INDEX(Deals!$AG$2:$AG$355,MATCH($C312,Deals!$A$2:$A$355,0))),""))</f>
        <v/>
      </c>
      <c r="AI312" s="35">
        <f>IF(OR($AH312&lt;&gt;"",AND($AO312&gt;0,$AD312&lt;&gt;"",$AE312&lt;&gt;"")),$AF312,DATE(1900,1,1))</f>
        <v/>
      </c>
      <c r="AJ312" s="35">
        <f>IF($AH312&lt;&gt;"",$AH312,IF(AND($AO312&gt;0,$AD312&lt;&gt;"",$AE312&lt;&gt;""),$AG312,DATE(2100,12,31)))</f>
        <v/>
      </c>
      <c r="AK312" s="32">
        <f>IF($AH312="",$AC312,$AC312*$S312)</f>
        <v/>
      </c>
      <c r="AL312" s="35">
        <f>IF($AH312="",DATE(2100,12,31),$AH312+1)</f>
        <v/>
      </c>
      <c r="AM312" s="35">
        <f>IF($AH312="",DATE(1900,1,1),$AG312)</f>
        <v/>
      </c>
      <c r="AN312" s="32">
        <f>IF($AH312="",0,$AC312*$T312)</f>
        <v/>
      </c>
      <c r="AO312" s="46">
        <f>IF($C312="",0,IFERROR(INDEX(Deals!$BD$2:$BD$355,MATCH($C312,Deals!$A$2:$A$355,0)),0))</f>
        <v/>
      </c>
      <c r="AP312" s="18">
        <f>IF($AO312=0,0,IFERROR(INDEX(Deals!$BJ$2:$BP$355,MATCH($C312,Deals!$A$2:$A$355,0),MATCH($F312,Deals!$BJ$1:$BP$1,0))/COUNTIFS(Assignments!$C$2:$C$769,$C312,Assignments!$F$2:$F$769,$F312,Assignments!$G$2:$G$769,"Active"),0))</f>
        <v/>
      </c>
    </row>
    <row r="313">
      <c r="A313" s="28" t="inlineStr">
        <is>
          <t>Lauren</t>
        </is>
      </c>
      <c r="B313" s="16">
        <f>IF($A313="","",IFERROR(INDEX(Roster!$B$2:$B$40,MATCH($A313,Roster!$A$2:$A$40,0)),"?"))</f>
        <v/>
      </c>
      <c r="C313" s="28" t="inlineStr">
        <is>
          <t>Sakura</t>
        </is>
      </c>
      <c r="D313" s="16">
        <f>IF($C313="","",IFERROR(IF(INDEX(Deals!$C$2:$C$355,MATCH($C313,Deals!$A$2:$A$355,0))=0,"",INDEX(Deals!$C$2:$C$355,MATCH($C313,Deals!$A$2:$A$355,0))),"?"))</f>
        <v/>
      </c>
      <c r="E313" s="16">
        <f>IF($C313="","",IFERROR(INDEX(Deals!$F$2:$F$355,MATCH($C313,Deals!$A$2:$A$355,0)),"?"))</f>
        <v/>
      </c>
      <c r="F313" s="28" t="inlineStr">
        <is>
          <t>Director</t>
        </is>
      </c>
      <c r="G313" s="28" t="inlineStr">
        <is>
          <t>Active</t>
        </is>
      </c>
      <c r="H313" s="31" t="n"/>
      <c r="I313" s="32">
        <f>IF(OR($A313="",$G313&lt;&gt;"Active"),0,IF($H313&lt;&gt;"",$H313,IF($AO313&gt;0,$AP313,IF(AND($R313&lt;&gt;"",IFERROR(INDEX(Templates!$B$3:$H$10,MATCH($R313,Templates!$A$3:$A$10,0),MATCH($F313,Templates!$B$2:$H$2,0)),0)&gt;0),INDEX(Templates!$B$3:$H$10,MATCH($R313,Templates!$A$3:$A$10,0),MATCH($F313,Templates!$B$2:$H$2,0)),IFERROR(INDEX(Settings!$B$8:$B$14,MATCH($F313,Settings!$A$8:$A$14,0)),0)))))</f>
        <v/>
      </c>
      <c r="J313" s="21">
        <f>IF($C313="",0,IFERROR(INDEX(Deals!$H$2:$H$355,MATCH($C313,Deals!$A$2:$A$355,0)),0))</f>
        <v/>
      </c>
      <c r="K313" s="32">
        <f>IF(Settings!$B$4="Yes",$I313*$J313,$I313)</f>
        <v/>
      </c>
      <c r="L313" s="22">
        <f>IF($C313="","",IFERROR(IF(INDEX(Deals!$I$2:$I$355,MATCH($C313,Deals!$A$2:$A$355,0))=0,"",INDEX(Deals!$I$2:$I$355,MATCH($C313,Deals!$A$2:$A$355,0))),""))</f>
        <v/>
      </c>
      <c r="M313" s="22">
        <f>IF($C313="","",IFERROR(IF(INDEX(Deals!$J$2:$J$355,MATCH($C313,Deals!$A$2:$A$355,0))=0,"",INDEX(Deals!$J$2:$J$355,MATCH($C313,Deals!$A$2:$A$355,0))),""))</f>
        <v/>
      </c>
      <c r="N313" s="35">
        <f>IF($L313="",DATE(1900,1,1),$L313)</f>
        <v/>
      </c>
      <c r="O313" s="35">
        <f>IF($M313="",DATE(2100,12,31),$M313)</f>
        <v/>
      </c>
      <c r="P313" s="20" t="inlineStr"/>
      <c r="Q313" s="47" t="inlineStr"/>
      <c r="R313" s="16">
        <f>IF($C313="","",IFERROR(IF(INDEX(Deals!$U$2:$U$355,MATCH($C313,Deals!$A$2:$A$355,0))=0,"",INDEX(Deals!$U$2:$U$355,MATCH($C313,Deals!$A$2:$A$355,0))),""))</f>
        <v/>
      </c>
      <c r="S313" s="34">
        <f>IFERROR(IF($U313="",1,INDEX(Deals!$V$2:$V$355,MATCH($C313,Deals!$A$2:$A$355,0))),1)</f>
        <v/>
      </c>
      <c r="T313" s="34">
        <f>IFERROR(IF($U313="",1,INDEX(Deals!$W$2:$W$355,MATCH($C313,Deals!$A$2:$A$355,0))),1)</f>
        <v/>
      </c>
      <c r="U313" s="22">
        <f>IF($C313="","",IFERROR(IF(INDEX(Deals!$Y$2:$Y$355,MATCH($C313,Deals!$A$2:$A$355,0))=0,"",INDEX(Deals!$Y$2:$Y$355,MATCH($C313,Deals!$A$2:$A$355,0))),""))</f>
        <v/>
      </c>
      <c r="V313" s="35">
        <f>IF(OR($U313&lt;&gt;"",AND($AO313&gt;0,$L313&lt;&gt;"",$M313&lt;&gt;"")),$N313,DATE(1900,1,1))</f>
        <v/>
      </c>
      <c r="W313" s="35">
        <f>IF($U313&lt;&gt;"",$U313,IF(AND($AO313&gt;0,$L313&lt;&gt;"",$M313&lt;&gt;""),$O313,DATE(2100,12,31)))</f>
        <v/>
      </c>
      <c r="X313" s="32">
        <f>IF($U313="",$K313,$K313*$S313)</f>
        <v/>
      </c>
      <c r="Y313" s="35">
        <f>IF($U313="",DATE(2100,12,31),$U313+1)</f>
        <v/>
      </c>
      <c r="Z313" s="35">
        <f>IF($U313="",DATE(1900,1,1),$O313)</f>
        <v/>
      </c>
      <c r="AA313" s="32">
        <f>IF($U313="",0,$K313*$T313)</f>
        <v/>
      </c>
      <c r="AB313" s="21">
        <f>IF($C313="",0,IFERROR(INDEX(Deals!$AD$2:$AD$355,MATCH($C313,Deals!$A$2:$A$355,0)),0))</f>
        <v/>
      </c>
      <c r="AC313" s="32">
        <f>IF(Settings!$B$4="Yes",$I313*$AB313,$I313)</f>
        <v/>
      </c>
      <c r="AD313" s="22">
        <f>IF($C313="","",IFERROR(IF(INDEX(Deals!$AE$2:$AE$355,MATCH($C313,Deals!$A$2:$A$355,0))=0,"",INDEX(Deals!$AE$2:$AE$355,MATCH($C313,Deals!$A$2:$A$355,0))),""))</f>
        <v/>
      </c>
      <c r="AE313" s="22">
        <f>IF($C313="","",IFERROR(IF(INDEX(Deals!$AF$2:$AF$355,MATCH($C313,Deals!$A$2:$A$355,0))=0,"",INDEX(Deals!$AF$2:$AF$355,MATCH($C313,Deals!$A$2:$A$355,0))),""))</f>
        <v/>
      </c>
      <c r="AF313" s="35">
        <f>IF($AD313="",DATE(1900,1,1),$AD313)</f>
        <v/>
      </c>
      <c r="AG313" s="35">
        <f>IF($AE313="",DATE(2100,12,31),$AE313)</f>
        <v/>
      </c>
      <c r="AH313" s="22">
        <f>IF($C313="","",IFERROR(IF(INDEX(Deals!$AG$2:$AG$355,MATCH($C313,Deals!$A$2:$A$355,0))=0,"",INDEX(Deals!$AG$2:$AG$355,MATCH($C313,Deals!$A$2:$A$355,0))),""))</f>
        <v/>
      </c>
      <c r="AI313" s="35">
        <f>IF(OR($AH313&lt;&gt;"",AND($AO313&gt;0,$AD313&lt;&gt;"",$AE313&lt;&gt;"")),$AF313,DATE(1900,1,1))</f>
        <v/>
      </c>
      <c r="AJ313" s="35">
        <f>IF($AH313&lt;&gt;"",$AH313,IF(AND($AO313&gt;0,$AD313&lt;&gt;"",$AE313&lt;&gt;""),$AG313,DATE(2100,12,31)))</f>
        <v/>
      </c>
      <c r="AK313" s="32">
        <f>IF($AH313="",$AC313,$AC313*$S313)</f>
        <v/>
      </c>
      <c r="AL313" s="35">
        <f>IF($AH313="",DATE(2100,12,31),$AH313+1)</f>
        <v/>
      </c>
      <c r="AM313" s="35">
        <f>IF($AH313="",DATE(1900,1,1),$AG313)</f>
        <v/>
      </c>
      <c r="AN313" s="32">
        <f>IF($AH313="",0,$AC313*$T313)</f>
        <v/>
      </c>
      <c r="AO313" s="46">
        <f>IF($C313="",0,IFERROR(INDEX(Deals!$BD$2:$BD$355,MATCH($C313,Deals!$A$2:$A$355,0)),0))</f>
        <v/>
      </c>
      <c r="AP313" s="18">
        <f>IF($AO313=0,0,IFERROR(INDEX(Deals!$BJ$2:$BP$355,MATCH($C313,Deals!$A$2:$A$355,0),MATCH($F313,Deals!$BJ$1:$BP$1,0))/COUNTIFS(Assignments!$C$2:$C$769,$C313,Assignments!$F$2:$F$769,$F313,Assignments!$G$2:$G$769,"Active"),0))</f>
        <v/>
      </c>
    </row>
    <row r="314">
      <c r="A314" s="28" t="inlineStr">
        <is>
          <t>Lauren</t>
        </is>
      </c>
      <c r="B314" s="16">
        <f>IF($A314="","",IFERROR(INDEX(Roster!$B$2:$B$40,MATCH($A314,Roster!$A$2:$A$40,0)),"?"))</f>
        <v/>
      </c>
      <c r="C314" s="28" t="inlineStr">
        <is>
          <t>Steam_3</t>
        </is>
      </c>
      <c r="D314" s="16">
        <f>IF($C314="","",IFERROR(IF(INDEX(Deals!$C$2:$C$355,MATCH($C314,Deals!$A$2:$A$355,0))=0,"",INDEX(Deals!$C$2:$C$355,MATCH($C314,Deals!$A$2:$A$355,0))),"?"))</f>
        <v/>
      </c>
      <c r="E314" s="16">
        <f>IF($C314="","",IFERROR(INDEX(Deals!$F$2:$F$355,MATCH($C314,Deals!$A$2:$A$355,0)),"?"))</f>
        <v/>
      </c>
      <c r="F314" s="28" t="inlineStr">
        <is>
          <t>Director</t>
        </is>
      </c>
      <c r="G314" s="28" t="inlineStr">
        <is>
          <t>Inactive</t>
        </is>
      </c>
      <c r="H314" s="31" t="n"/>
      <c r="I314" s="32">
        <f>IF(OR($A314="",$G314&lt;&gt;"Active"),0,IF($H314&lt;&gt;"",$H314,IF($AO314&gt;0,$AP314,IF(AND($R314&lt;&gt;"",IFERROR(INDEX(Templates!$B$3:$H$10,MATCH($R314,Templates!$A$3:$A$10,0),MATCH($F314,Templates!$B$2:$H$2,0)),0)&gt;0),INDEX(Templates!$B$3:$H$10,MATCH($R314,Templates!$A$3:$A$10,0),MATCH($F314,Templates!$B$2:$H$2,0)),IFERROR(INDEX(Settings!$B$8:$B$14,MATCH($F314,Settings!$A$8:$A$14,0)),0)))))</f>
        <v/>
      </c>
      <c r="J314" s="21">
        <f>IF($C314="",0,IFERROR(INDEX(Deals!$H$2:$H$355,MATCH($C314,Deals!$A$2:$A$355,0)),0))</f>
        <v/>
      </c>
      <c r="K314" s="32">
        <f>IF(Settings!$B$4="Yes",$I314*$J314,$I314)</f>
        <v/>
      </c>
      <c r="L314" s="22">
        <f>IF($C314="","",IFERROR(IF(INDEX(Deals!$I$2:$I$355,MATCH($C314,Deals!$A$2:$A$355,0))=0,"",INDEX(Deals!$I$2:$I$355,MATCH($C314,Deals!$A$2:$A$355,0))),""))</f>
        <v/>
      </c>
      <c r="M314" s="22">
        <f>IF($C314="","",IFERROR(IF(INDEX(Deals!$J$2:$J$355,MATCH($C314,Deals!$A$2:$A$355,0))=0,"",INDEX(Deals!$J$2:$J$355,MATCH($C314,Deals!$A$2:$A$355,0))),""))</f>
        <v/>
      </c>
      <c r="N314" s="35">
        <f>IF($L314="",DATE(1900,1,1),$L314)</f>
        <v/>
      </c>
      <c r="O314" s="35">
        <f>IF($M314="",DATE(2100,12,31),$M314)</f>
        <v/>
      </c>
      <c r="P314" s="20" t="inlineStr"/>
      <c r="Q314" s="47" t="inlineStr">
        <is>
          <t>Deal lifecycle is Dead</t>
        </is>
      </c>
      <c r="R314" s="16">
        <f>IF($C314="","",IFERROR(IF(INDEX(Deals!$U$2:$U$355,MATCH($C314,Deals!$A$2:$A$355,0))=0,"",INDEX(Deals!$U$2:$U$355,MATCH($C314,Deals!$A$2:$A$355,0))),""))</f>
        <v/>
      </c>
      <c r="S314" s="34">
        <f>IFERROR(IF($U314="",1,INDEX(Deals!$V$2:$V$355,MATCH($C314,Deals!$A$2:$A$355,0))),1)</f>
        <v/>
      </c>
      <c r="T314" s="34">
        <f>IFERROR(IF($U314="",1,INDEX(Deals!$W$2:$W$355,MATCH($C314,Deals!$A$2:$A$355,0))),1)</f>
        <v/>
      </c>
      <c r="U314" s="22">
        <f>IF($C314="","",IFERROR(IF(INDEX(Deals!$Y$2:$Y$355,MATCH($C314,Deals!$A$2:$A$355,0))=0,"",INDEX(Deals!$Y$2:$Y$355,MATCH($C314,Deals!$A$2:$A$355,0))),""))</f>
        <v/>
      </c>
      <c r="V314" s="35">
        <f>IF(OR($U314&lt;&gt;"",AND($AO314&gt;0,$L314&lt;&gt;"",$M314&lt;&gt;"")),$N314,DATE(1900,1,1))</f>
        <v/>
      </c>
      <c r="W314" s="35">
        <f>IF($U314&lt;&gt;"",$U314,IF(AND($AO314&gt;0,$L314&lt;&gt;"",$M314&lt;&gt;""),$O314,DATE(2100,12,31)))</f>
        <v/>
      </c>
      <c r="X314" s="32">
        <f>IF($U314="",$K314,$K314*$S314)</f>
        <v/>
      </c>
      <c r="Y314" s="35">
        <f>IF($U314="",DATE(2100,12,31),$U314+1)</f>
        <v/>
      </c>
      <c r="Z314" s="35">
        <f>IF($U314="",DATE(1900,1,1),$O314)</f>
        <v/>
      </c>
      <c r="AA314" s="32">
        <f>IF($U314="",0,$K314*$T314)</f>
        <v/>
      </c>
      <c r="AB314" s="21">
        <f>IF($C314="",0,IFERROR(INDEX(Deals!$AD$2:$AD$355,MATCH($C314,Deals!$A$2:$A$355,0)),0))</f>
        <v/>
      </c>
      <c r="AC314" s="32">
        <f>IF(Settings!$B$4="Yes",$I314*$AB314,$I314)</f>
        <v/>
      </c>
      <c r="AD314" s="22">
        <f>IF($C314="","",IFERROR(IF(INDEX(Deals!$AE$2:$AE$355,MATCH($C314,Deals!$A$2:$A$355,0))=0,"",INDEX(Deals!$AE$2:$AE$355,MATCH($C314,Deals!$A$2:$A$355,0))),""))</f>
        <v/>
      </c>
      <c r="AE314" s="22">
        <f>IF($C314="","",IFERROR(IF(INDEX(Deals!$AF$2:$AF$355,MATCH($C314,Deals!$A$2:$A$355,0))=0,"",INDEX(Deals!$AF$2:$AF$355,MATCH($C314,Deals!$A$2:$A$355,0))),""))</f>
        <v/>
      </c>
      <c r="AF314" s="35">
        <f>IF($AD314="",DATE(1900,1,1),$AD314)</f>
        <v/>
      </c>
      <c r="AG314" s="35">
        <f>IF($AE314="",DATE(2100,12,31),$AE314)</f>
        <v/>
      </c>
      <c r="AH314" s="22">
        <f>IF($C314="","",IFERROR(IF(INDEX(Deals!$AG$2:$AG$355,MATCH($C314,Deals!$A$2:$A$355,0))=0,"",INDEX(Deals!$AG$2:$AG$355,MATCH($C314,Deals!$A$2:$A$355,0))),""))</f>
        <v/>
      </c>
      <c r="AI314" s="35">
        <f>IF(OR($AH314&lt;&gt;"",AND($AO314&gt;0,$AD314&lt;&gt;"",$AE314&lt;&gt;"")),$AF314,DATE(1900,1,1))</f>
        <v/>
      </c>
      <c r="AJ314" s="35">
        <f>IF($AH314&lt;&gt;"",$AH314,IF(AND($AO314&gt;0,$AD314&lt;&gt;"",$AE314&lt;&gt;""),$AG314,DATE(2100,12,31)))</f>
        <v/>
      </c>
      <c r="AK314" s="32">
        <f>IF($AH314="",$AC314,$AC314*$S314)</f>
        <v/>
      </c>
      <c r="AL314" s="35">
        <f>IF($AH314="",DATE(2100,12,31),$AH314+1)</f>
        <v/>
      </c>
      <c r="AM314" s="35">
        <f>IF($AH314="",DATE(1900,1,1),$AG314)</f>
        <v/>
      </c>
      <c r="AN314" s="32">
        <f>IF($AH314="",0,$AC314*$T314)</f>
        <v/>
      </c>
      <c r="AO314" s="46">
        <f>IF($C314="",0,IFERROR(INDEX(Deals!$BD$2:$BD$355,MATCH($C314,Deals!$A$2:$A$355,0)),0))</f>
        <v/>
      </c>
      <c r="AP314" s="18">
        <f>IF($AO314=0,0,IFERROR(INDEX(Deals!$BJ$2:$BP$355,MATCH($C314,Deals!$A$2:$A$355,0),MATCH($F314,Deals!$BJ$1:$BP$1,0))/COUNTIFS(Assignments!$C$2:$C$769,$C314,Assignments!$F$2:$F$769,$F314,Assignments!$G$2:$G$769,"Active"),0))</f>
        <v/>
      </c>
    </row>
    <row r="315">
      <c r="A315" s="28" t="inlineStr">
        <is>
          <t>Lauren</t>
        </is>
      </c>
      <c r="B315" s="16">
        <f>IF($A315="","",IFERROR(INDEX(Roster!$B$2:$B$40,MATCH($A315,Roster!$A$2:$A$40,0)),"?"))</f>
        <v/>
      </c>
      <c r="C315" s="28" t="inlineStr">
        <is>
          <t>Talon_1</t>
        </is>
      </c>
      <c r="D315" s="16">
        <f>IF($C315="","",IFERROR(IF(INDEX(Deals!$C$2:$C$355,MATCH($C315,Deals!$A$2:$A$355,0))=0,"",INDEX(Deals!$C$2:$C$355,MATCH($C315,Deals!$A$2:$A$355,0))),"?"))</f>
        <v/>
      </c>
      <c r="E315" s="16">
        <f>IF($C315="","",IFERROR(INDEX(Deals!$F$2:$F$355,MATCH($C315,Deals!$A$2:$A$355,0)),"?"))</f>
        <v/>
      </c>
      <c r="F315" s="28" t="inlineStr">
        <is>
          <t>Director</t>
        </is>
      </c>
      <c r="G315" s="28" t="inlineStr">
        <is>
          <t>Active</t>
        </is>
      </c>
      <c r="H315" s="31" t="n"/>
      <c r="I315" s="32">
        <f>IF(OR($A315="",$G315&lt;&gt;"Active"),0,IF($H315&lt;&gt;"",$H315,IF($AO315&gt;0,$AP315,IF(AND($R315&lt;&gt;"",IFERROR(INDEX(Templates!$B$3:$H$10,MATCH($R315,Templates!$A$3:$A$10,0),MATCH($F315,Templates!$B$2:$H$2,0)),0)&gt;0),INDEX(Templates!$B$3:$H$10,MATCH($R315,Templates!$A$3:$A$10,0),MATCH($F315,Templates!$B$2:$H$2,0)),IFERROR(INDEX(Settings!$B$8:$B$14,MATCH($F315,Settings!$A$8:$A$14,0)),0)))))</f>
        <v/>
      </c>
      <c r="J315" s="21">
        <f>IF($C315="",0,IFERROR(INDEX(Deals!$H$2:$H$355,MATCH($C315,Deals!$A$2:$A$355,0)),0))</f>
        <v/>
      </c>
      <c r="K315" s="32">
        <f>IF(Settings!$B$4="Yes",$I315*$J315,$I315)</f>
        <v/>
      </c>
      <c r="L315" s="22">
        <f>IF($C315="","",IFERROR(IF(INDEX(Deals!$I$2:$I$355,MATCH($C315,Deals!$A$2:$A$355,0))=0,"",INDEX(Deals!$I$2:$I$355,MATCH($C315,Deals!$A$2:$A$355,0))),""))</f>
        <v/>
      </c>
      <c r="M315" s="22">
        <f>IF($C315="","",IFERROR(IF(INDEX(Deals!$J$2:$J$355,MATCH($C315,Deals!$A$2:$A$355,0))=0,"",INDEX(Deals!$J$2:$J$355,MATCH($C315,Deals!$A$2:$A$355,0))),""))</f>
        <v/>
      </c>
      <c r="N315" s="35">
        <f>IF($L315="",DATE(1900,1,1),$L315)</f>
        <v/>
      </c>
      <c r="O315" s="35">
        <f>IF($M315="",DATE(2100,12,31),$M315)</f>
        <v/>
      </c>
      <c r="P315" s="20" t="inlineStr"/>
      <c r="Q315" s="47" t="inlineStr"/>
      <c r="R315" s="16">
        <f>IF($C315="","",IFERROR(IF(INDEX(Deals!$U$2:$U$355,MATCH($C315,Deals!$A$2:$A$355,0))=0,"",INDEX(Deals!$U$2:$U$355,MATCH($C315,Deals!$A$2:$A$355,0))),""))</f>
        <v/>
      </c>
      <c r="S315" s="34">
        <f>IFERROR(IF($U315="",1,INDEX(Deals!$V$2:$V$355,MATCH($C315,Deals!$A$2:$A$355,0))),1)</f>
        <v/>
      </c>
      <c r="T315" s="34">
        <f>IFERROR(IF($U315="",1,INDEX(Deals!$W$2:$W$355,MATCH($C315,Deals!$A$2:$A$355,0))),1)</f>
        <v/>
      </c>
      <c r="U315" s="22">
        <f>IF($C315="","",IFERROR(IF(INDEX(Deals!$Y$2:$Y$355,MATCH($C315,Deals!$A$2:$A$355,0))=0,"",INDEX(Deals!$Y$2:$Y$355,MATCH($C315,Deals!$A$2:$A$355,0))),""))</f>
        <v/>
      </c>
      <c r="V315" s="35">
        <f>IF(OR($U315&lt;&gt;"",AND($AO315&gt;0,$L315&lt;&gt;"",$M315&lt;&gt;"")),$N315,DATE(1900,1,1))</f>
        <v/>
      </c>
      <c r="W315" s="35">
        <f>IF($U315&lt;&gt;"",$U315,IF(AND($AO315&gt;0,$L315&lt;&gt;"",$M315&lt;&gt;""),$O315,DATE(2100,12,31)))</f>
        <v/>
      </c>
      <c r="X315" s="32">
        <f>IF($U315="",$K315,$K315*$S315)</f>
        <v/>
      </c>
      <c r="Y315" s="35">
        <f>IF($U315="",DATE(2100,12,31),$U315+1)</f>
        <v/>
      </c>
      <c r="Z315" s="35">
        <f>IF($U315="",DATE(1900,1,1),$O315)</f>
        <v/>
      </c>
      <c r="AA315" s="32">
        <f>IF($U315="",0,$K315*$T315)</f>
        <v/>
      </c>
      <c r="AB315" s="21">
        <f>IF($C315="",0,IFERROR(INDEX(Deals!$AD$2:$AD$355,MATCH($C315,Deals!$A$2:$A$355,0)),0))</f>
        <v/>
      </c>
      <c r="AC315" s="32">
        <f>IF(Settings!$B$4="Yes",$I315*$AB315,$I315)</f>
        <v/>
      </c>
      <c r="AD315" s="22">
        <f>IF($C315="","",IFERROR(IF(INDEX(Deals!$AE$2:$AE$355,MATCH($C315,Deals!$A$2:$A$355,0))=0,"",INDEX(Deals!$AE$2:$AE$355,MATCH($C315,Deals!$A$2:$A$355,0))),""))</f>
        <v/>
      </c>
      <c r="AE315" s="22">
        <f>IF($C315="","",IFERROR(IF(INDEX(Deals!$AF$2:$AF$355,MATCH($C315,Deals!$A$2:$A$355,0))=0,"",INDEX(Deals!$AF$2:$AF$355,MATCH($C315,Deals!$A$2:$A$355,0))),""))</f>
        <v/>
      </c>
      <c r="AF315" s="35">
        <f>IF($AD315="",DATE(1900,1,1),$AD315)</f>
        <v/>
      </c>
      <c r="AG315" s="35">
        <f>IF($AE315="",DATE(2100,12,31),$AE315)</f>
        <v/>
      </c>
      <c r="AH315" s="22">
        <f>IF($C315="","",IFERROR(IF(INDEX(Deals!$AG$2:$AG$355,MATCH($C315,Deals!$A$2:$A$355,0))=0,"",INDEX(Deals!$AG$2:$AG$355,MATCH($C315,Deals!$A$2:$A$355,0))),""))</f>
        <v/>
      </c>
      <c r="AI315" s="35">
        <f>IF(OR($AH315&lt;&gt;"",AND($AO315&gt;0,$AD315&lt;&gt;"",$AE315&lt;&gt;"")),$AF315,DATE(1900,1,1))</f>
        <v/>
      </c>
      <c r="AJ315" s="35">
        <f>IF($AH315&lt;&gt;"",$AH315,IF(AND($AO315&gt;0,$AD315&lt;&gt;"",$AE315&lt;&gt;""),$AG315,DATE(2100,12,31)))</f>
        <v/>
      </c>
      <c r="AK315" s="32">
        <f>IF($AH315="",$AC315,$AC315*$S315)</f>
        <v/>
      </c>
      <c r="AL315" s="35">
        <f>IF($AH315="",DATE(2100,12,31),$AH315+1)</f>
        <v/>
      </c>
      <c r="AM315" s="35">
        <f>IF($AH315="",DATE(1900,1,1),$AG315)</f>
        <v/>
      </c>
      <c r="AN315" s="32">
        <f>IF($AH315="",0,$AC315*$T315)</f>
        <v/>
      </c>
      <c r="AO315" s="46">
        <f>IF($C315="",0,IFERROR(INDEX(Deals!$BD$2:$BD$355,MATCH($C315,Deals!$A$2:$A$355,0)),0))</f>
        <v/>
      </c>
      <c r="AP315" s="18">
        <f>IF($AO315=0,0,IFERROR(INDEX(Deals!$BJ$2:$BP$355,MATCH($C315,Deals!$A$2:$A$355,0),MATCH($F315,Deals!$BJ$1:$BP$1,0))/COUNTIFS(Assignments!$C$2:$C$769,$C315,Assignments!$F$2:$F$769,$F315,Assignments!$G$2:$G$769,"Active"),0))</f>
        <v/>
      </c>
    </row>
    <row r="316">
      <c r="A316" s="28" t="inlineStr">
        <is>
          <t>Lauren</t>
        </is>
      </c>
      <c r="B316" s="16">
        <f>IF($A316="","",IFERROR(INDEX(Roster!$B$2:$B$40,MATCH($A316,Roster!$A$2:$A$40,0)),"?"))</f>
        <v/>
      </c>
      <c r="C316" s="28" t="inlineStr">
        <is>
          <t>Twister_1</t>
        </is>
      </c>
      <c r="D316" s="16">
        <f>IF($C316="","",IFERROR(IF(INDEX(Deals!$C$2:$C$355,MATCH($C316,Deals!$A$2:$A$355,0))=0,"",INDEX(Deals!$C$2:$C$355,MATCH($C316,Deals!$A$2:$A$355,0))),"?"))</f>
        <v/>
      </c>
      <c r="E316" s="16">
        <f>IF($C316="","",IFERROR(INDEX(Deals!$F$2:$F$355,MATCH($C316,Deals!$A$2:$A$355,0)),"?"))</f>
        <v/>
      </c>
      <c r="F316" s="28" t="inlineStr">
        <is>
          <t>Director</t>
        </is>
      </c>
      <c r="G316" s="28" t="inlineStr">
        <is>
          <t>Active</t>
        </is>
      </c>
      <c r="H316" s="31" t="n"/>
      <c r="I316" s="32">
        <f>IF(OR($A316="",$G316&lt;&gt;"Active"),0,IF($H316&lt;&gt;"",$H316,IF($AO316&gt;0,$AP316,IF(AND($R316&lt;&gt;"",IFERROR(INDEX(Templates!$B$3:$H$10,MATCH($R316,Templates!$A$3:$A$10,0),MATCH($F316,Templates!$B$2:$H$2,0)),0)&gt;0),INDEX(Templates!$B$3:$H$10,MATCH($R316,Templates!$A$3:$A$10,0),MATCH($F316,Templates!$B$2:$H$2,0)),IFERROR(INDEX(Settings!$B$8:$B$14,MATCH($F316,Settings!$A$8:$A$14,0)),0)))))</f>
        <v/>
      </c>
      <c r="J316" s="21">
        <f>IF($C316="",0,IFERROR(INDEX(Deals!$H$2:$H$355,MATCH($C316,Deals!$A$2:$A$355,0)),0))</f>
        <v/>
      </c>
      <c r="K316" s="32">
        <f>IF(Settings!$B$4="Yes",$I316*$J316,$I316)</f>
        <v/>
      </c>
      <c r="L316" s="22">
        <f>IF($C316="","",IFERROR(IF(INDEX(Deals!$I$2:$I$355,MATCH($C316,Deals!$A$2:$A$355,0))=0,"",INDEX(Deals!$I$2:$I$355,MATCH($C316,Deals!$A$2:$A$355,0))),""))</f>
        <v/>
      </c>
      <c r="M316" s="22">
        <f>IF($C316="","",IFERROR(IF(INDEX(Deals!$J$2:$J$355,MATCH($C316,Deals!$A$2:$A$355,0))=0,"",INDEX(Deals!$J$2:$J$355,MATCH($C316,Deals!$A$2:$A$355,0))),""))</f>
        <v/>
      </c>
      <c r="N316" s="35">
        <f>IF($L316="",DATE(1900,1,1),$L316)</f>
        <v/>
      </c>
      <c r="O316" s="35">
        <f>IF($M316="",DATE(2100,12,31),$M316)</f>
        <v/>
      </c>
      <c r="P316" s="20" t="inlineStr"/>
      <c r="Q316" s="47" t="inlineStr"/>
      <c r="R316" s="16">
        <f>IF($C316="","",IFERROR(IF(INDEX(Deals!$U$2:$U$355,MATCH($C316,Deals!$A$2:$A$355,0))=0,"",INDEX(Deals!$U$2:$U$355,MATCH($C316,Deals!$A$2:$A$355,0))),""))</f>
        <v/>
      </c>
      <c r="S316" s="34">
        <f>IFERROR(IF($U316="",1,INDEX(Deals!$V$2:$V$355,MATCH($C316,Deals!$A$2:$A$355,0))),1)</f>
        <v/>
      </c>
      <c r="T316" s="34">
        <f>IFERROR(IF($U316="",1,INDEX(Deals!$W$2:$W$355,MATCH($C316,Deals!$A$2:$A$355,0))),1)</f>
        <v/>
      </c>
      <c r="U316" s="22">
        <f>IF($C316="","",IFERROR(IF(INDEX(Deals!$Y$2:$Y$355,MATCH($C316,Deals!$A$2:$A$355,0))=0,"",INDEX(Deals!$Y$2:$Y$355,MATCH($C316,Deals!$A$2:$A$355,0))),""))</f>
        <v/>
      </c>
      <c r="V316" s="35">
        <f>IF(OR($U316&lt;&gt;"",AND($AO316&gt;0,$L316&lt;&gt;"",$M316&lt;&gt;"")),$N316,DATE(1900,1,1))</f>
        <v/>
      </c>
      <c r="W316" s="35">
        <f>IF($U316&lt;&gt;"",$U316,IF(AND($AO316&gt;0,$L316&lt;&gt;"",$M316&lt;&gt;""),$O316,DATE(2100,12,31)))</f>
        <v/>
      </c>
      <c r="X316" s="32">
        <f>IF($U316="",$K316,$K316*$S316)</f>
        <v/>
      </c>
      <c r="Y316" s="35">
        <f>IF($U316="",DATE(2100,12,31),$U316+1)</f>
        <v/>
      </c>
      <c r="Z316" s="35">
        <f>IF($U316="",DATE(1900,1,1),$O316)</f>
        <v/>
      </c>
      <c r="AA316" s="32">
        <f>IF($U316="",0,$K316*$T316)</f>
        <v/>
      </c>
      <c r="AB316" s="21">
        <f>IF($C316="",0,IFERROR(INDEX(Deals!$AD$2:$AD$355,MATCH($C316,Deals!$A$2:$A$355,0)),0))</f>
        <v/>
      </c>
      <c r="AC316" s="32">
        <f>IF(Settings!$B$4="Yes",$I316*$AB316,$I316)</f>
        <v/>
      </c>
      <c r="AD316" s="22">
        <f>IF($C316="","",IFERROR(IF(INDEX(Deals!$AE$2:$AE$355,MATCH($C316,Deals!$A$2:$A$355,0))=0,"",INDEX(Deals!$AE$2:$AE$355,MATCH($C316,Deals!$A$2:$A$355,0))),""))</f>
        <v/>
      </c>
      <c r="AE316" s="22">
        <f>IF($C316="","",IFERROR(IF(INDEX(Deals!$AF$2:$AF$355,MATCH($C316,Deals!$A$2:$A$355,0))=0,"",INDEX(Deals!$AF$2:$AF$355,MATCH($C316,Deals!$A$2:$A$355,0))),""))</f>
        <v/>
      </c>
      <c r="AF316" s="35">
        <f>IF($AD316="",DATE(1900,1,1),$AD316)</f>
        <v/>
      </c>
      <c r="AG316" s="35">
        <f>IF($AE316="",DATE(2100,12,31),$AE316)</f>
        <v/>
      </c>
      <c r="AH316" s="22">
        <f>IF($C316="","",IFERROR(IF(INDEX(Deals!$AG$2:$AG$355,MATCH($C316,Deals!$A$2:$A$355,0))=0,"",INDEX(Deals!$AG$2:$AG$355,MATCH($C316,Deals!$A$2:$A$355,0))),""))</f>
        <v/>
      </c>
      <c r="AI316" s="35">
        <f>IF(OR($AH316&lt;&gt;"",AND($AO316&gt;0,$AD316&lt;&gt;"",$AE316&lt;&gt;"")),$AF316,DATE(1900,1,1))</f>
        <v/>
      </c>
      <c r="AJ316" s="35">
        <f>IF($AH316&lt;&gt;"",$AH316,IF(AND($AO316&gt;0,$AD316&lt;&gt;"",$AE316&lt;&gt;""),$AG316,DATE(2100,12,31)))</f>
        <v/>
      </c>
      <c r="AK316" s="32">
        <f>IF($AH316="",$AC316,$AC316*$S316)</f>
        <v/>
      </c>
      <c r="AL316" s="35">
        <f>IF($AH316="",DATE(2100,12,31),$AH316+1)</f>
        <v/>
      </c>
      <c r="AM316" s="35">
        <f>IF($AH316="",DATE(1900,1,1),$AG316)</f>
        <v/>
      </c>
      <c r="AN316" s="32">
        <f>IF($AH316="",0,$AC316*$T316)</f>
        <v/>
      </c>
      <c r="AO316" s="46">
        <f>IF($C316="",0,IFERROR(INDEX(Deals!$BD$2:$BD$355,MATCH($C316,Deals!$A$2:$A$355,0)),0))</f>
        <v/>
      </c>
      <c r="AP316" s="18">
        <f>IF($AO316=0,0,IFERROR(INDEX(Deals!$BJ$2:$BP$355,MATCH($C316,Deals!$A$2:$A$355,0),MATCH($F316,Deals!$BJ$1:$BP$1,0))/COUNTIFS(Assignments!$C$2:$C$769,$C316,Assignments!$F$2:$F$769,$F316,Assignments!$G$2:$G$769,"Active"),0))</f>
        <v/>
      </c>
    </row>
    <row r="317">
      <c r="A317" s="28" t="inlineStr">
        <is>
          <t>Lauren</t>
        </is>
      </c>
      <c r="B317" s="16">
        <f>IF($A317="","",IFERROR(INDEX(Roster!$B$2:$B$40,MATCH($A317,Roster!$A$2:$A$40,0)),"?"))</f>
        <v/>
      </c>
      <c r="C317" s="28" t="inlineStr">
        <is>
          <t>Wheelhouse_2</t>
        </is>
      </c>
      <c r="D317" s="16">
        <f>IF($C317="","",IFERROR(IF(INDEX(Deals!$C$2:$C$355,MATCH($C317,Deals!$A$2:$A$355,0))=0,"",INDEX(Deals!$C$2:$C$355,MATCH($C317,Deals!$A$2:$A$355,0))),"?"))</f>
        <v/>
      </c>
      <c r="E317" s="16">
        <f>IF($C317="","",IFERROR(INDEX(Deals!$F$2:$F$355,MATCH($C317,Deals!$A$2:$A$355,0)),"?"))</f>
        <v/>
      </c>
      <c r="F317" s="28" t="inlineStr">
        <is>
          <t>Director</t>
        </is>
      </c>
      <c r="G317" s="28" t="inlineStr">
        <is>
          <t>Inactive</t>
        </is>
      </c>
      <c r="H317" s="31" t="n"/>
      <c r="I317" s="32">
        <f>IF(OR($A317="",$G317&lt;&gt;"Active"),0,IF($H317&lt;&gt;"",$H317,IF($AO317&gt;0,$AP317,IF(AND($R317&lt;&gt;"",IFERROR(INDEX(Templates!$B$3:$H$10,MATCH($R317,Templates!$A$3:$A$10,0),MATCH($F317,Templates!$B$2:$H$2,0)),0)&gt;0),INDEX(Templates!$B$3:$H$10,MATCH($R317,Templates!$A$3:$A$10,0),MATCH($F317,Templates!$B$2:$H$2,0)),IFERROR(INDEX(Settings!$B$8:$B$14,MATCH($F317,Settings!$A$8:$A$14,0)),0)))))</f>
        <v/>
      </c>
      <c r="J317" s="21">
        <f>IF($C317="",0,IFERROR(INDEX(Deals!$H$2:$H$355,MATCH($C317,Deals!$A$2:$A$355,0)),0))</f>
        <v/>
      </c>
      <c r="K317" s="32">
        <f>IF(Settings!$B$4="Yes",$I317*$J317,$I317)</f>
        <v/>
      </c>
      <c r="L317" s="22">
        <f>IF($C317="","",IFERROR(IF(INDEX(Deals!$I$2:$I$355,MATCH($C317,Deals!$A$2:$A$355,0))=0,"",INDEX(Deals!$I$2:$I$355,MATCH($C317,Deals!$A$2:$A$355,0))),""))</f>
        <v/>
      </c>
      <c r="M317" s="22">
        <f>IF($C317="","",IFERROR(IF(INDEX(Deals!$J$2:$J$355,MATCH($C317,Deals!$A$2:$A$355,0))=0,"",INDEX(Deals!$J$2:$J$355,MATCH($C317,Deals!$A$2:$A$355,0))),""))</f>
        <v/>
      </c>
      <c r="N317" s="35">
        <f>IF($L317="",DATE(1900,1,1),$L317)</f>
        <v/>
      </c>
      <c r="O317" s="35">
        <f>IF($M317="",DATE(2100,12,31),$M317)</f>
        <v/>
      </c>
      <c r="P317" s="20" t="inlineStr"/>
      <c r="Q317" s="47" t="inlineStr">
        <is>
          <t>Deal lifecycle is Closed</t>
        </is>
      </c>
      <c r="R317" s="16">
        <f>IF($C317="","",IFERROR(IF(INDEX(Deals!$U$2:$U$355,MATCH($C317,Deals!$A$2:$A$355,0))=0,"",INDEX(Deals!$U$2:$U$355,MATCH($C317,Deals!$A$2:$A$355,0))),""))</f>
        <v/>
      </c>
      <c r="S317" s="34">
        <f>IFERROR(IF($U317="",1,INDEX(Deals!$V$2:$V$355,MATCH($C317,Deals!$A$2:$A$355,0))),1)</f>
        <v/>
      </c>
      <c r="T317" s="34">
        <f>IFERROR(IF($U317="",1,INDEX(Deals!$W$2:$W$355,MATCH($C317,Deals!$A$2:$A$355,0))),1)</f>
        <v/>
      </c>
      <c r="U317" s="22">
        <f>IF($C317="","",IFERROR(IF(INDEX(Deals!$Y$2:$Y$355,MATCH($C317,Deals!$A$2:$A$355,0))=0,"",INDEX(Deals!$Y$2:$Y$355,MATCH($C317,Deals!$A$2:$A$355,0))),""))</f>
        <v/>
      </c>
      <c r="V317" s="35">
        <f>IF(OR($U317&lt;&gt;"",AND($AO317&gt;0,$L317&lt;&gt;"",$M317&lt;&gt;"")),$N317,DATE(1900,1,1))</f>
        <v/>
      </c>
      <c r="W317" s="35">
        <f>IF($U317&lt;&gt;"",$U317,IF(AND($AO317&gt;0,$L317&lt;&gt;"",$M317&lt;&gt;""),$O317,DATE(2100,12,31)))</f>
        <v/>
      </c>
      <c r="X317" s="32">
        <f>IF($U317="",$K317,$K317*$S317)</f>
        <v/>
      </c>
      <c r="Y317" s="35">
        <f>IF($U317="",DATE(2100,12,31),$U317+1)</f>
        <v/>
      </c>
      <c r="Z317" s="35">
        <f>IF($U317="",DATE(1900,1,1),$O317)</f>
        <v/>
      </c>
      <c r="AA317" s="32">
        <f>IF($U317="",0,$K317*$T317)</f>
        <v/>
      </c>
      <c r="AB317" s="21">
        <f>IF($C317="",0,IFERROR(INDEX(Deals!$AD$2:$AD$355,MATCH($C317,Deals!$A$2:$A$355,0)),0))</f>
        <v/>
      </c>
      <c r="AC317" s="32">
        <f>IF(Settings!$B$4="Yes",$I317*$AB317,$I317)</f>
        <v/>
      </c>
      <c r="AD317" s="22">
        <f>IF($C317="","",IFERROR(IF(INDEX(Deals!$AE$2:$AE$355,MATCH($C317,Deals!$A$2:$A$355,0))=0,"",INDEX(Deals!$AE$2:$AE$355,MATCH($C317,Deals!$A$2:$A$355,0))),""))</f>
        <v/>
      </c>
      <c r="AE317" s="22">
        <f>IF($C317="","",IFERROR(IF(INDEX(Deals!$AF$2:$AF$355,MATCH($C317,Deals!$A$2:$A$355,0))=0,"",INDEX(Deals!$AF$2:$AF$355,MATCH($C317,Deals!$A$2:$A$355,0))),""))</f>
        <v/>
      </c>
      <c r="AF317" s="35">
        <f>IF($AD317="",DATE(1900,1,1),$AD317)</f>
        <v/>
      </c>
      <c r="AG317" s="35">
        <f>IF($AE317="",DATE(2100,12,31),$AE317)</f>
        <v/>
      </c>
      <c r="AH317" s="22">
        <f>IF($C317="","",IFERROR(IF(INDEX(Deals!$AG$2:$AG$355,MATCH($C317,Deals!$A$2:$A$355,0))=0,"",INDEX(Deals!$AG$2:$AG$355,MATCH($C317,Deals!$A$2:$A$355,0))),""))</f>
        <v/>
      </c>
      <c r="AI317" s="35">
        <f>IF(OR($AH317&lt;&gt;"",AND($AO317&gt;0,$AD317&lt;&gt;"",$AE317&lt;&gt;"")),$AF317,DATE(1900,1,1))</f>
        <v/>
      </c>
      <c r="AJ317" s="35">
        <f>IF($AH317&lt;&gt;"",$AH317,IF(AND($AO317&gt;0,$AD317&lt;&gt;"",$AE317&lt;&gt;""),$AG317,DATE(2100,12,31)))</f>
        <v/>
      </c>
      <c r="AK317" s="32">
        <f>IF($AH317="",$AC317,$AC317*$S317)</f>
        <v/>
      </c>
      <c r="AL317" s="35">
        <f>IF($AH317="",DATE(2100,12,31),$AH317+1)</f>
        <v/>
      </c>
      <c r="AM317" s="35">
        <f>IF($AH317="",DATE(1900,1,1),$AG317)</f>
        <v/>
      </c>
      <c r="AN317" s="32">
        <f>IF($AH317="",0,$AC317*$T317)</f>
        <v/>
      </c>
      <c r="AO317" s="46">
        <f>IF($C317="",0,IFERROR(INDEX(Deals!$BD$2:$BD$355,MATCH($C317,Deals!$A$2:$A$355,0)),0))</f>
        <v/>
      </c>
      <c r="AP317" s="18">
        <f>IF($AO317=0,0,IFERROR(INDEX(Deals!$BJ$2:$BP$355,MATCH($C317,Deals!$A$2:$A$355,0),MATCH($F317,Deals!$BJ$1:$BP$1,0))/COUNTIFS(Assignments!$C$2:$C$769,$C317,Assignments!$F$2:$F$769,$F317,Assignments!$G$2:$G$769,"Active"),0))</f>
        <v/>
      </c>
    </row>
    <row r="318">
      <c r="A318" s="28" t="inlineStr">
        <is>
          <t>George</t>
        </is>
      </c>
      <c r="B318" s="16">
        <f>IF($A318="","",IFERROR(INDEX(Roster!$B$2:$B$40,MATCH($A318,Roster!$A$2:$A$40,0)),"?"))</f>
        <v/>
      </c>
      <c r="C318" s="28" t="inlineStr">
        <is>
          <t>5C Ocean_1</t>
        </is>
      </c>
      <c r="D318" s="16">
        <f>IF($C318="","",IFERROR(IF(INDEX(Deals!$C$2:$C$355,MATCH($C318,Deals!$A$2:$A$355,0))=0,"",INDEX(Deals!$C$2:$C$355,MATCH($C318,Deals!$A$2:$A$355,0))),"?"))</f>
        <v/>
      </c>
      <c r="E318" s="16">
        <f>IF($C318="","",IFERROR(INDEX(Deals!$F$2:$F$355,MATCH($C318,Deals!$A$2:$A$355,0)),"?"))</f>
        <v/>
      </c>
      <c r="F318" s="28" t="inlineStr">
        <is>
          <t>VP</t>
        </is>
      </c>
      <c r="G318" s="28" t="inlineStr">
        <is>
          <t>Inactive</t>
        </is>
      </c>
      <c r="H318" s="31" t="n"/>
      <c r="I318" s="32">
        <f>IF(OR($A318="",$G318&lt;&gt;"Active"),0,IF($H318&lt;&gt;"",$H318,IF($AO318&gt;0,$AP318,IF(AND($R318&lt;&gt;"",IFERROR(INDEX(Templates!$B$3:$H$10,MATCH($R318,Templates!$A$3:$A$10,0),MATCH($F318,Templates!$B$2:$H$2,0)),0)&gt;0),INDEX(Templates!$B$3:$H$10,MATCH($R318,Templates!$A$3:$A$10,0),MATCH($F318,Templates!$B$2:$H$2,0)),IFERROR(INDEX(Settings!$B$8:$B$14,MATCH($F318,Settings!$A$8:$A$14,0)),0)))))</f>
        <v/>
      </c>
      <c r="J318" s="21">
        <f>IF($C318="",0,IFERROR(INDEX(Deals!$H$2:$H$355,MATCH($C318,Deals!$A$2:$A$355,0)),0))</f>
        <v/>
      </c>
      <c r="K318" s="32">
        <f>IF(Settings!$B$4="Yes",$I318*$J318,$I318)</f>
        <v/>
      </c>
      <c r="L318" s="22">
        <f>IF($C318="","",IFERROR(IF(INDEX(Deals!$I$2:$I$355,MATCH($C318,Deals!$A$2:$A$355,0))=0,"",INDEX(Deals!$I$2:$I$355,MATCH($C318,Deals!$A$2:$A$355,0))),""))</f>
        <v/>
      </c>
      <c r="M318" s="22">
        <f>IF($C318="","",IFERROR(IF(INDEX(Deals!$J$2:$J$355,MATCH($C318,Deals!$A$2:$A$355,0))=0,"",INDEX(Deals!$J$2:$J$355,MATCH($C318,Deals!$A$2:$A$355,0))),""))</f>
        <v/>
      </c>
      <c r="N318" s="35">
        <f>IF($L318="",DATE(1900,1,1),$L318)</f>
        <v/>
      </c>
      <c r="O318" s="35">
        <f>IF($M318="",DATE(2100,12,31),$M318)</f>
        <v/>
      </c>
      <c r="P318" s="20" t="inlineStr">
        <is>
          <t>Closed</t>
        </is>
      </c>
      <c r="Q318" s="47" t="inlineStr"/>
      <c r="R318" s="16">
        <f>IF($C318="","",IFERROR(IF(INDEX(Deals!$U$2:$U$355,MATCH($C318,Deals!$A$2:$A$355,0))=0,"",INDEX(Deals!$U$2:$U$355,MATCH($C318,Deals!$A$2:$A$355,0))),""))</f>
        <v/>
      </c>
      <c r="S318" s="34">
        <f>IFERROR(IF($U318="",1,INDEX(Deals!$V$2:$V$355,MATCH($C318,Deals!$A$2:$A$355,0))),1)</f>
        <v/>
      </c>
      <c r="T318" s="34">
        <f>IFERROR(IF($U318="",1,INDEX(Deals!$W$2:$W$355,MATCH($C318,Deals!$A$2:$A$355,0))),1)</f>
        <v/>
      </c>
      <c r="U318" s="22">
        <f>IF($C318="","",IFERROR(IF(INDEX(Deals!$Y$2:$Y$355,MATCH($C318,Deals!$A$2:$A$355,0))=0,"",INDEX(Deals!$Y$2:$Y$355,MATCH($C318,Deals!$A$2:$A$355,0))),""))</f>
        <v/>
      </c>
      <c r="V318" s="35">
        <f>IF(OR($U318&lt;&gt;"",AND($AO318&gt;0,$L318&lt;&gt;"",$M318&lt;&gt;"")),$N318,DATE(1900,1,1))</f>
        <v/>
      </c>
      <c r="W318" s="35">
        <f>IF($U318&lt;&gt;"",$U318,IF(AND($AO318&gt;0,$L318&lt;&gt;"",$M318&lt;&gt;""),$O318,DATE(2100,12,31)))</f>
        <v/>
      </c>
      <c r="X318" s="32">
        <f>IF($U318="",$K318,$K318*$S318)</f>
        <v/>
      </c>
      <c r="Y318" s="35">
        <f>IF($U318="",DATE(2100,12,31),$U318+1)</f>
        <v/>
      </c>
      <c r="Z318" s="35">
        <f>IF($U318="",DATE(1900,1,1),$O318)</f>
        <v/>
      </c>
      <c r="AA318" s="32">
        <f>IF($U318="",0,$K318*$T318)</f>
        <v/>
      </c>
      <c r="AB318" s="21">
        <f>IF($C318="",0,IFERROR(INDEX(Deals!$AD$2:$AD$355,MATCH($C318,Deals!$A$2:$A$355,0)),0))</f>
        <v/>
      </c>
      <c r="AC318" s="32">
        <f>IF(Settings!$B$4="Yes",$I318*$AB318,$I318)</f>
        <v/>
      </c>
      <c r="AD318" s="22">
        <f>IF($C318="","",IFERROR(IF(INDEX(Deals!$AE$2:$AE$355,MATCH($C318,Deals!$A$2:$A$355,0))=0,"",INDEX(Deals!$AE$2:$AE$355,MATCH($C318,Deals!$A$2:$A$355,0))),""))</f>
        <v/>
      </c>
      <c r="AE318" s="22">
        <f>IF($C318="","",IFERROR(IF(INDEX(Deals!$AF$2:$AF$355,MATCH($C318,Deals!$A$2:$A$355,0))=0,"",INDEX(Deals!$AF$2:$AF$355,MATCH($C318,Deals!$A$2:$A$355,0))),""))</f>
        <v/>
      </c>
      <c r="AF318" s="35">
        <f>IF($AD318="",DATE(1900,1,1),$AD318)</f>
        <v/>
      </c>
      <c r="AG318" s="35">
        <f>IF($AE318="",DATE(2100,12,31),$AE318)</f>
        <v/>
      </c>
      <c r="AH318" s="22">
        <f>IF($C318="","",IFERROR(IF(INDEX(Deals!$AG$2:$AG$355,MATCH($C318,Deals!$A$2:$A$355,0))=0,"",INDEX(Deals!$AG$2:$AG$355,MATCH($C318,Deals!$A$2:$A$355,0))),""))</f>
        <v/>
      </c>
      <c r="AI318" s="35">
        <f>IF(OR($AH318&lt;&gt;"",AND($AO318&gt;0,$AD318&lt;&gt;"",$AE318&lt;&gt;"")),$AF318,DATE(1900,1,1))</f>
        <v/>
      </c>
      <c r="AJ318" s="35">
        <f>IF($AH318&lt;&gt;"",$AH318,IF(AND($AO318&gt;0,$AD318&lt;&gt;"",$AE318&lt;&gt;""),$AG318,DATE(2100,12,31)))</f>
        <v/>
      </c>
      <c r="AK318" s="32">
        <f>IF($AH318="",$AC318,$AC318*$S318)</f>
        <v/>
      </c>
      <c r="AL318" s="35">
        <f>IF($AH318="",DATE(2100,12,31),$AH318+1)</f>
        <v/>
      </c>
      <c r="AM318" s="35">
        <f>IF($AH318="",DATE(1900,1,1),$AG318)</f>
        <v/>
      </c>
      <c r="AN318" s="32">
        <f>IF($AH318="",0,$AC318*$T318)</f>
        <v/>
      </c>
      <c r="AO318" s="46">
        <f>IF($C318="",0,IFERROR(INDEX(Deals!$BD$2:$BD$355,MATCH($C318,Deals!$A$2:$A$355,0)),0))</f>
        <v/>
      </c>
      <c r="AP318" s="18">
        <f>IF($AO318=0,0,IFERROR(INDEX(Deals!$BJ$2:$BP$355,MATCH($C318,Deals!$A$2:$A$355,0),MATCH($F318,Deals!$BJ$1:$BP$1,0))/COUNTIFS(Assignments!$C$2:$C$769,$C318,Assignments!$F$2:$F$769,$F318,Assignments!$G$2:$G$769,"Active"),0))</f>
        <v/>
      </c>
    </row>
    <row r="319">
      <c r="A319" s="28" t="inlineStr">
        <is>
          <t>George</t>
        </is>
      </c>
      <c r="B319" s="16">
        <f>IF($A319="","",IFERROR(INDEX(Roster!$B$2:$B$40,MATCH($A319,Roster!$A$2:$A$40,0)),"?"))</f>
        <v/>
      </c>
      <c r="C319" s="28" t="inlineStr">
        <is>
          <t>Advantage_1</t>
        </is>
      </c>
      <c r="D319" s="16">
        <f>IF($C319="","",IFERROR(IF(INDEX(Deals!$C$2:$C$355,MATCH($C319,Deals!$A$2:$A$355,0))=0,"",INDEX(Deals!$C$2:$C$355,MATCH($C319,Deals!$A$2:$A$355,0))),"?"))</f>
        <v/>
      </c>
      <c r="E319" s="16">
        <f>IF($C319="","",IFERROR(INDEX(Deals!$F$2:$F$355,MATCH($C319,Deals!$A$2:$A$355,0)),"?"))</f>
        <v/>
      </c>
      <c r="F319" s="28" t="inlineStr">
        <is>
          <t>VP</t>
        </is>
      </c>
      <c r="G319" s="28" t="inlineStr">
        <is>
          <t>Active</t>
        </is>
      </c>
      <c r="H319" s="31" t="n"/>
      <c r="I319" s="32">
        <f>IF(OR($A319="",$G319&lt;&gt;"Active"),0,IF($H319&lt;&gt;"",$H319,IF($AO319&gt;0,$AP319,IF(AND($R319&lt;&gt;"",IFERROR(INDEX(Templates!$B$3:$H$10,MATCH($R319,Templates!$A$3:$A$10,0),MATCH($F319,Templates!$B$2:$H$2,0)),0)&gt;0),INDEX(Templates!$B$3:$H$10,MATCH($R319,Templates!$A$3:$A$10,0),MATCH($F319,Templates!$B$2:$H$2,0)),IFERROR(INDEX(Settings!$B$8:$B$14,MATCH($F319,Settings!$A$8:$A$14,0)),0)))))</f>
        <v/>
      </c>
      <c r="J319" s="21">
        <f>IF($C319="",0,IFERROR(INDEX(Deals!$H$2:$H$355,MATCH($C319,Deals!$A$2:$A$355,0)),0))</f>
        <v/>
      </c>
      <c r="K319" s="32">
        <f>IF(Settings!$B$4="Yes",$I319*$J319,$I319)</f>
        <v/>
      </c>
      <c r="L319" s="22">
        <f>IF($C319="","",IFERROR(IF(INDEX(Deals!$I$2:$I$355,MATCH($C319,Deals!$A$2:$A$355,0))=0,"",INDEX(Deals!$I$2:$I$355,MATCH($C319,Deals!$A$2:$A$355,0))),""))</f>
        <v/>
      </c>
      <c r="M319" s="22">
        <f>IF($C319="","",IFERROR(IF(INDEX(Deals!$J$2:$J$355,MATCH($C319,Deals!$A$2:$A$355,0))=0,"",INDEX(Deals!$J$2:$J$355,MATCH($C319,Deals!$A$2:$A$355,0))),""))</f>
        <v/>
      </c>
      <c r="N319" s="35">
        <f>IF($L319="",DATE(1900,1,1),$L319)</f>
        <v/>
      </c>
      <c r="O319" s="35">
        <f>IF($M319="",DATE(2100,12,31),$M319)</f>
        <v/>
      </c>
      <c r="P319" s="20" t="inlineStr">
        <is>
          <t>Ongoing</t>
        </is>
      </c>
      <c r="Q319" s="47" t="inlineStr"/>
      <c r="R319" s="16">
        <f>IF($C319="","",IFERROR(IF(INDEX(Deals!$U$2:$U$355,MATCH($C319,Deals!$A$2:$A$355,0))=0,"",INDEX(Deals!$U$2:$U$355,MATCH($C319,Deals!$A$2:$A$355,0))),""))</f>
        <v/>
      </c>
      <c r="S319" s="34">
        <f>IFERROR(IF($U319="",1,INDEX(Deals!$V$2:$V$355,MATCH($C319,Deals!$A$2:$A$355,0))),1)</f>
        <v/>
      </c>
      <c r="T319" s="34">
        <f>IFERROR(IF($U319="",1,INDEX(Deals!$W$2:$W$355,MATCH($C319,Deals!$A$2:$A$355,0))),1)</f>
        <v/>
      </c>
      <c r="U319" s="22">
        <f>IF($C319="","",IFERROR(IF(INDEX(Deals!$Y$2:$Y$355,MATCH($C319,Deals!$A$2:$A$355,0))=0,"",INDEX(Deals!$Y$2:$Y$355,MATCH($C319,Deals!$A$2:$A$355,0))),""))</f>
        <v/>
      </c>
      <c r="V319" s="35">
        <f>IF(OR($U319&lt;&gt;"",AND($AO319&gt;0,$L319&lt;&gt;"",$M319&lt;&gt;"")),$N319,DATE(1900,1,1))</f>
        <v/>
      </c>
      <c r="W319" s="35">
        <f>IF($U319&lt;&gt;"",$U319,IF(AND($AO319&gt;0,$L319&lt;&gt;"",$M319&lt;&gt;""),$O319,DATE(2100,12,31)))</f>
        <v/>
      </c>
      <c r="X319" s="32">
        <f>IF($U319="",$K319,$K319*$S319)</f>
        <v/>
      </c>
      <c r="Y319" s="35">
        <f>IF($U319="",DATE(2100,12,31),$U319+1)</f>
        <v/>
      </c>
      <c r="Z319" s="35">
        <f>IF($U319="",DATE(1900,1,1),$O319)</f>
        <v/>
      </c>
      <c r="AA319" s="32">
        <f>IF($U319="",0,$K319*$T319)</f>
        <v/>
      </c>
      <c r="AB319" s="21">
        <f>IF($C319="",0,IFERROR(INDEX(Deals!$AD$2:$AD$355,MATCH($C319,Deals!$A$2:$A$355,0)),0))</f>
        <v/>
      </c>
      <c r="AC319" s="32">
        <f>IF(Settings!$B$4="Yes",$I319*$AB319,$I319)</f>
        <v/>
      </c>
      <c r="AD319" s="22">
        <f>IF($C319="","",IFERROR(IF(INDEX(Deals!$AE$2:$AE$355,MATCH($C319,Deals!$A$2:$A$355,0))=0,"",INDEX(Deals!$AE$2:$AE$355,MATCH($C319,Deals!$A$2:$A$355,0))),""))</f>
        <v/>
      </c>
      <c r="AE319" s="22">
        <f>IF($C319="","",IFERROR(IF(INDEX(Deals!$AF$2:$AF$355,MATCH($C319,Deals!$A$2:$A$355,0))=0,"",INDEX(Deals!$AF$2:$AF$355,MATCH($C319,Deals!$A$2:$A$355,0))),""))</f>
        <v/>
      </c>
      <c r="AF319" s="35">
        <f>IF($AD319="",DATE(1900,1,1),$AD319)</f>
        <v/>
      </c>
      <c r="AG319" s="35">
        <f>IF($AE319="",DATE(2100,12,31),$AE319)</f>
        <v/>
      </c>
      <c r="AH319" s="22">
        <f>IF($C319="","",IFERROR(IF(INDEX(Deals!$AG$2:$AG$355,MATCH($C319,Deals!$A$2:$A$355,0))=0,"",INDEX(Deals!$AG$2:$AG$355,MATCH($C319,Deals!$A$2:$A$355,0))),""))</f>
        <v/>
      </c>
      <c r="AI319" s="35">
        <f>IF(OR($AH319&lt;&gt;"",AND($AO319&gt;0,$AD319&lt;&gt;"",$AE319&lt;&gt;"")),$AF319,DATE(1900,1,1))</f>
        <v/>
      </c>
      <c r="AJ319" s="35">
        <f>IF($AH319&lt;&gt;"",$AH319,IF(AND($AO319&gt;0,$AD319&lt;&gt;"",$AE319&lt;&gt;""),$AG319,DATE(2100,12,31)))</f>
        <v/>
      </c>
      <c r="AK319" s="32">
        <f>IF($AH319="",$AC319,$AC319*$S319)</f>
        <v/>
      </c>
      <c r="AL319" s="35">
        <f>IF($AH319="",DATE(2100,12,31),$AH319+1)</f>
        <v/>
      </c>
      <c r="AM319" s="35">
        <f>IF($AH319="",DATE(1900,1,1),$AG319)</f>
        <v/>
      </c>
      <c r="AN319" s="32">
        <f>IF($AH319="",0,$AC319*$T319)</f>
        <v/>
      </c>
      <c r="AO319" s="46">
        <f>IF($C319="",0,IFERROR(INDEX(Deals!$BD$2:$BD$355,MATCH($C319,Deals!$A$2:$A$355,0)),0))</f>
        <v/>
      </c>
      <c r="AP319" s="18">
        <f>IF($AO319=0,0,IFERROR(INDEX(Deals!$BJ$2:$BP$355,MATCH($C319,Deals!$A$2:$A$355,0),MATCH($F319,Deals!$BJ$1:$BP$1,0))/COUNTIFS(Assignments!$C$2:$C$769,$C319,Assignments!$F$2:$F$769,$F319,Assignments!$G$2:$G$769,"Active"),0))</f>
        <v/>
      </c>
    </row>
    <row r="320">
      <c r="A320" s="28" t="inlineStr">
        <is>
          <t>George</t>
        </is>
      </c>
      <c r="B320" s="16">
        <f>IF($A320="","",IFERROR(INDEX(Roster!$B$2:$B$40,MATCH($A320,Roster!$A$2:$A$40,0)),"?"))</f>
        <v/>
      </c>
      <c r="C320" s="28" t="inlineStr">
        <is>
          <t>AOP Model_1</t>
        </is>
      </c>
      <c r="D320" s="16">
        <f>IF($C320="","",IFERROR(IF(INDEX(Deals!$C$2:$C$355,MATCH($C320,Deals!$A$2:$A$355,0))=0,"",INDEX(Deals!$C$2:$C$355,MATCH($C320,Deals!$A$2:$A$355,0))),"?"))</f>
        <v/>
      </c>
      <c r="E320" s="16">
        <f>IF($C320="","",IFERROR(INDEX(Deals!$F$2:$F$355,MATCH($C320,Deals!$A$2:$A$355,0)),"?"))</f>
        <v/>
      </c>
      <c r="F320" s="28" t="inlineStr">
        <is>
          <t>VP</t>
        </is>
      </c>
      <c r="G320" s="28" t="inlineStr">
        <is>
          <t>Active</t>
        </is>
      </c>
      <c r="H320" s="31" t="n"/>
      <c r="I320" s="32">
        <f>IF(OR($A320="",$G320&lt;&gt;"Active"),0,IF($H320&lt;&gt;"",$H320,IF($AO320&gt;0,$AP320,IF(AND($R320&lt;&gt;"",IFERROR(INDEX(Templates!$B$3:$H$10,MATCH($R320,Templates!$A$3:$A$10,0),MATCH($F320,Templates!$B$2:$H$2,0)),0)&gt;0),INDEX(Templates!$B$3:$H$10,MATCH($R320,Templates!$A$3:$A$10,0),MATCH($F320,Templates!$B$2:$H$2,0)),IFERROR(INDEX(Settings!$B$8:$B$14,MATCH($F320,Settings!$A$8:$A$14,0)),0)))))</f>
        <v/>
      </c>
      <c r="J320" s="21">
        <f>IF($C320="",0,IFERROR(INDEX(Deals!$H$2:$H$355,MATCH($C320,Deals!$A$2:$A$355,0)),0))</f>
        <v/>
      </c>
      <c r="K320" s="32">
        <f>IF(Settings!$B$4="Yes",$I320*$J320,$I320)</f>
        <v/>
      </c>
      <c r="L320" s="22">
        <f>IF($C320="","",IFERROR(IF(INDEX(Deals!$I$2:$I$355,MATCH($C320,Deals!$A$2:$A$355,0))=0,"",INDEX(Deals!$I$2:$I$355,MATCH($C320,Deals!$A$2:$A$355,0))),""))</f>
        <v/>
      </c>
      <c r="M320" s="22">
        <f>IF($C320="","",IFERROR(IF(INDEX(Deals!$J$2:$J$355,MATCH($C320,Deals!$A$2:$A$355,0))=0,"",INDEX(Deals!$J$2:$J$355,MATCH($C320,Deals!$A$2:$A$355,0))),""))</f>
        <v/>
      </c>
      <c r="N320" s="35">
        <f>IF($L320="",DATE(1900,1,1),$L320)</f>
        <v/>
      </c>
      <c r="O320" s="35">
        <f>IF($M320="",DATE(2100,12,31),$M320)</f>
        <v/>
      </c>
      <c r="P320" s="20" t="inlineStr">
        <is>
          <t>Ongoing</t>
        </is>
      </c>
      <c r="Q320" s="47" t="inlineStr"/>
      <c r="R320" s="16">
        <f>IF($C320="","",IFERROR(IF(INDEX(Deals!$U$2:$U$355,MATCH($C320,Deals!$A$2:$A$355,0))=0,"",INDEX(Deals!$U$2:$U$355,MATCH($C320,Deals!$A$2:$A$355,0))),""))</f>
        <v/>
      </c>
      <c r="S320" s="34">
        <f>IFERROR(IF($U320="",1,INDEX(Deals!$V$2:$V$355,MATCH($C320,Deals!$A$2:$A$355,0))),1)</f>
        <v/>
      </c>
      <c r="T320" s="34">
        <f>IFERROR(IF($U320="",1,INDEX(Deals!$W$2:$W$355,MATCH($C320,Deals!$A$2:$A$355,0))),1)</f>
        <v/>
      </c>
      <c r="U320" s="22">
        <f>IF($C320="","",IFERROR(IF(INDEX(Deals!$Y$2:$Y$355,MATCH($C320,Deals!$A$2:$A$355,0))=0,"",INDEX(Deals!$Y$2:$Y$355,MATCH($C320,Deals!$A$2:$A$355,0))),""))</f>
        <v/>
      </c>
      <c r="V320" s="35">
        <f>IF(OR($U320&lt;&gt;"",AND($AO320&gt;0,$L320&lt;&gt;"",$M320&lt;&gt;"")),$N320,DATE(1900,1,1))</f>
        <v/>
      </c>
      <c r="W320" s="35">
        <f>IF($U320&lt;&gt;"",$U320,IF(AND($AO320&gt;0,$L320&lt;&gt;"",$M320&lt;&gt;""),$O320,DATE(2100,12,31)))</f>
        <v/>
      </c>
      <c r="X320" s="32">
        <f>IF($U320="",$K320,$K320*$S320)</f>
        <v/>
      </c>
      <c r="Y320" s="35">
        <f>IF($U320="",DATE(2100,12,31),$U320+1)</f>
        <v/>
      </c>
      <c r="Z320" s="35">
        <f>IF($U320="",DATE(1900,1,1),$O320)</f>
        <v/>
      </c>
      <c r="AA320" s="32">
        <f>IF($U320="",0,$K320*$T320)</f>
        <v/>
      </c>
      <c r="AB320" s="21">
        <f>IF($C320="",0,IFERROR(INDEX(Deals!$AD$2:$AD$355,MATCH($C320,Deals!$A$2:$A$355,0)),0))</f>
        <v/>
      </c>
      <c r="AC320" s="32">
        <f>IF(Settings!$B$4="Yes",$I320*$AB320,$I320)</f>
        <v/>
      </c>
      <c r="AD320" s="22">
        <f>IF($C320="","",IFERROR(IF(INDEX(Deals!$AE$2:$AE$355,MATCH($C320,Deals!$A$2:$A$355,0))=0,"",INDEX(Deals!$AE$2:$AE$355,MATCH($C320,Deals!$A$2:$A$355,0))),""))</f>
        <v/>
      </c>
      <c r="AE320" s="22">
        <f>IF($C320="","",IFERROR(IF(INDEX(Deals!$AF$2:$AF$355,MATCH($C320,Deals!$A$2:$A$355,0))=0,"",INDEX(Deals!$AF$2:$AF$355,MATCH($C320,Deals!$A$2:$A$355,0))),""))</f>
        <v/>
      </c>
      <c r="AF320" s="35">
        <f>IF($AD320="",DATE(1900,1,1),$AD320)</f>
        <v/>
      </c>
      <c r="AG320" s="35">
        <f>IF($AE320="",DATE(2100,12,31),$AE320)</f>
        <v/>
      </c>
      <c r="AH320" s="22">
        <f>IF($C320="","",IFERROR(IF(INDEX(Deals!$AG$2:$AG$355,MATCH($C320,Deals!$A$2:$A$355,0))=0,"",INDEX(Deals!$AG$2:$AG$355,MATCH($C320,Deals!$A$2:$A$355,0))),""))</f>
        <v/>
      </c>
      <c r="AI320" s="35">
        <f>IF(OR($AH320&lt;&gt;"",AND($AO320&gt;0,$AD320&lt;&gt;"",$AE320&lt;&gt;"")),$AF320,DATE(1900,1,1))</f>
        <v/>
      </c>
      <c r="AJ320" s="35">
        <f>IF($AH320&lt;&gt;"",$AH320,IF(AND($AO320&gt;0,$AD320&lt;&gt;"",$AE320&lt;&gt;""),$AG320,DATE(2100,12,31)))</f>
        <v/>
      </c>
      <c r="AK320" s="32">
        <f>IF($AH320="",$AC320,$AC320*$S320)</f>
        <v/>
      </c>
      <c r="AL320" s="35">
        <f>IF($AH320="",DATE(2100,12,31),$AH320+1)</f>
        <v/>
      </c>
      <c r="AM320" s="35">
        <f>IF($AH320="",DATE(1900,1,1),$AG320)</f>
        <v/>
      </c>
      <c r="AN320" s="32">
        <f>IF($AH320="",0,$AC320*$T320)</f>
        <v/>
      </c>
      <c r="AO320" s="46">
        <f>IF($C320="",0,IFERROR(INDEX(Deals!$BD$2:$BD$355,MATCH($C320,Deals!$A$2:$A$355,0)),0))</f>
        <v/>
      </c>
      <c r="AP320" s="18">
        <f>IF($AO320=0,0,IFERROR(INDEX(Deals!$BJ$2:$BP$355,MATCH($C320,Deals!$A$2:$A$355,0),MATCH($F320,Deals!$BJ$1:$BP$1,0))/COUNTIFS(Assignments!$C$2:$C$769,$C320,Assignments!$F$2:$F$769,$F320,Assignments!$G$2:$G$769,"Active"),0))</f>
        <v/>
      </c>
    </row>
    <row r="321">
      <c r="A321" s="28" t="inlineStr">
        <is>
          <t>George</t>
        </is>
      </c>
      <c r="B321" s="16">
        <f>IF($A321="","",IFERROR(INDEX(Roster!$B$2:$B$40,MATCH($A321,Roster!$A$2:$A$40,0)),"?"))</f>
        <v/>
      </c>
      <c r="C321" s="28" t="inlineStr">
        <is>
          <t>Bolt_2</t>
        </is>
      </c>
      <c r="D321" s="16">
        <f>IF($C321="","",IFERROR(IF(INDEX(Deals!$C$2:$C$355,MATCH($C321,Deals!$A$2:$A$355,0))=0,"",INDEX(Deals!$C$2:$C$355,MATCH($C321,Deals!$A$2:$A$355,0))),"?"))</f>
        <v/>
      </c>
      <c r="E321" s="16">
        <f>IF($C321="","",IFERROR(INDEX(Deals!$F$2:$F$355,MATCH($C321,Deals!$A$2:$A$355,0)),"?"))</f>
        <v/>
      </c>
      <c r="F321" s="28" t="inlineStr">
        <is>
          <t>VP</t>
        </is>
      </c>
      <c r="G321" s="28" t="inlineStr">
        <is>
          <t>Active</t>
        </is>
      </c>
      <c r="H321" s="31" t="n"/>
      <c r="I321" s="32">
        <f>IF(OR($A321="",$G321&lt;&gt;"Active"),0,IF($H321&lt;&gt;"",$H321,IF($AO321&gt;0,$AP321,IF(AND($R321&lt;&gt;"",IFERROR(INDEX(Templates!$B$3:$H$10,MATCH($R321,Templates!$A$3:$A$10,0),MATCH($F321,Templates!$B$2:$H$2,0)),0)&gt;0),INDEX(Templates!$B$3:$H$10,MATCH($R321,Templates!$A$3:$A$10,0),MATCH($F321,Templates!$B$2:$H$2,0)),IFERROR(INDEX(Settings!$B$8:$B$14,MATCH($F321,Settings!$A$8:$A$14,0)),0)))))</f>
        <v/>
      </c>
      <c r="J321" s="21">
        <f>IF($C321="",0,IFERROR(INDEX(Deals!$H$2:$H$355,MATCH($C321,Deals!$A$2:$A$355,0)),0))</f>
        <v/>
      </c>
      <c r="K321" s="32">
        <f>IF(Settings!$B$4="Yes",$I321*$J321,$I321)</f>
        <v/>
      </c>
      <c r="L321" s="22">
        <f>IF($C321="","",IFERROR(IF(INDEX(Deals!$I$2:$I$355,MATCH($C321,Deals!$A$2:$A$355,0))=0,"",INDEX(Deals!$I$2:$I$355,MATCH($C321,Deals!$A$2:$A$355,0))),""))</f>
        <v/>
      </c>
      <c r="M321" s="22">
        <f>IF($C321="","",IFERROR(IF(INDEX(Deals!$J$2:$J$355,MATCH($C321,Deals!$A$2:$A$355,0))=0,"",INDEX(Deals!$J$2:$J$355,MATCH($C321,Deals!$A$2:$A$355,0))),""))</f>
        <v/>
      </c>
      <c r="N321" s="35">
        <f>IF($L321="",DATE(1900,1,1),$L321)</f>
        <v/>
      </c>
      <c r="O321" s="35">
        <f>IF($M321="",DATE(2100,12,31),$M321)</f>
        <v/>
      </c>
      <c r="P321" s="20" t="inlineStr">
        <is>
          <t>Ongoing</t>
        </is>
      </c>
      <c r="Q321" s="47" t="inlineStr">
        <is>
          <t>Added from Summary tab</t>
        </is>
      </c>
      <c r="R321" s="16">
        <f>IF($C321="","",IFERROR(IF(INDEX(Deals!$U$2:$U$355,MATCH($C321,Deals!$A$2:$A$355,0))=0,"",INDEX(Deals!$U$2:$U$355,MATCH($C321,Deals!$A$2:$A$355,0))),""))</f>
        <v/>
      </c>
      <c r="S321" s="34">
        <f>IFERROR(IF($U321="",1,INDEX(Deals!$V$2:$V$355,MATCH($C321,Deals!$A$2:$A$355,0))),1)</f>
        <v/>
      </c>
      <c r="T321" s="34">
        <f>IFERROR(IF($U321="",1,INDEX(Deals!$W$2:$W$355,MATCH($C321,Deals!$A$2:$A$355,0))),1)</f>
        <v/>
      </c>
      <c r="U321" s="22">
        <f>IF($C321="","",IFERROR(IF(INDEX(Deals!$Y$2:$Y$355,MATCH($C321,Deals!$A$2:$A$355,0))=0,"",INDEX(Deals!$Y$2:$Y$355,MATCH($C321,Deals!$A$2:$A$355,0))),""))</f>
        <v/>
      </c>
      <c r="V321" s="35">
        <f>IF(OR($U321&lt;&gt;"",AND($AO321&gt;0,$L321&lt;&gt;"",$M321&lt;&gt;"")),$N321,DATE(1900,1,1))</f>
        <v/>
      </c>
      <c r="W321" s="35">
        <f>IF($U321&lt;&gt;"",$U321,IF(AND($AO321&gt;0,$L321&lt;&gt;"",$M321&lt;&gt;""),$O321,DATE(2100,12,31)))</f>
        <v/>
      </c>
      <c r="X321" s="32">
        <f>IF($U321="",$K321,$K321*$S321)</f>
        <v/>
      </c>
      <c r="Y321" s="35">
        <f>IF($U321="",DATE(2100,12,31),$U321+1)</f>
        <v/>
      </c>
      <c r="Z321" s="35">
        <f>IF($U321="",DATE(1900,1,1),$O321)</f>
        <v/>
      </c>
      <c r="AA321" s="32">
        <f>IF($U321="",0,$K321*$T321)</f>
        <v/>
      </c>
      <c r="AB321" s="21">
        <f>IF($C321="",0,IFERROR(INDEX(Deals!$AD$2:$AD$355,MATCH($C321,Deals!$A$2:$A$355,0)),0))</f>
        <v/>
      </c>
      <c r="AC321" s="32">
        <f>IF(Settings!$B$4="Yes",$I321*$AB321,$I321)</f>
        <v/>
      </c>
      <c r="AD321" s="22">
        <f>IF($C321="","",IFERROR(IF(INDEX(Deals!$AE$2:$AE$355,MATCH($C321,Deals!$A$2:$A$355,0))=0,"",INDEX(Deals!$AE$2:$AE$355,MATCH($C321,Deals!$A$2:$A$355,0))),""))</f>
        <v/>
      </c>
      <c r="AE321" s="22">
        <f>IF($C321="","",IFERROR(IF(INDEX(Deals!$AF$2:$AF$355,MATCH($C321,Deals!$A$2:$A$355,0))=0,"",INDEX(Deals!$AF$2:$AF$355,MATCH($C321,Deals!$A$2:$A$355,0))),""))</f>
        <v/>
      </c>
      <c r="AF321" s="35">
        <f>IF($AD321="",DATE(1900,1,1),$AD321)</f>
        <v/>
      </c>
      <c r="AG321" s="35">
        <f>IF($AE321="",DATE(2100,12,31),$AE321)</f>
        <v/>
      </c>
      <c r="AH321" s="22">
        <f>IF($C321="","",IFERROR(IF(INDEX(Deals!$AG$2:$AG$355,MATCH($C321,Deals!$A$2:$A$355,0))=0,"",INDEX(Deals!$AG$2:$AG$355,MATCH($C321,Deals!$A$2:$A$355,0))),""))</f>
        <v/>
      </c>
      <c r="AI321" s="35">
        <f>IF(OR($AH321&lt;&gt;"",AND($AO321&gt;0,$AD321&lt;&gt;"",$AE321&lt;&gt;"")),$AF321,DATE(1900,1,1))</f>
        <v/>
      </c>
      <c r="AJ321" s="35">
        <f>IF($AH321&lt;&gt;"",$AH321,IF(AND($AO321&gt;0,$AD321&lt;&gt;"",$AE321&lt;&gt;""),$AG321,DATE(2100,12,31)))</f>
        <v/>
      </c>
      <c r="AK321" s="32">
        <f>IF($AH321="",$AC321,$AC321*$S321)</f>
        <v/>
      </c>
      <c r="AL321" s="35">
        <f>IF($AH321="",DATE(2100,12,31),$AH321+1)</f>
        <v/>
      </c>
      <c r="AM321" s="35">
        <f>IF($AH321="",DATE(1900,1,1),$AG321)</f>
        <v/>
      </c>
      <c r="AN321" s="32">
        <f>IF($AH321="",0,$AC321*$T321)</f>
        <v/>
      </c>
      <c r="AO321" s="46">
        <f>IF($C321="",0,IFERROR(INDEX(Deals!$BD$2:$BD$355,MATCH($C321,Deals!$A$2:$A$355,0)),0))</f>
        <v/>
      </c>
      <c r="AP321" s="18">
        <f>IF($AO321=0,0,IFERROR(INDEX(Deals!$BJ$2:$BP$355,MATCH($C321,Deals!$A$2:$A$355,0),MATCH($F321,Deals!$BJ$1:$BP$1,0))/COUNTIFS(Assignments!$C$2:$C$769,$C321,Assignments!$F$2:$F$769,$F321,Assignments!$G$2:$G$769,"Active"),0))</f>
        <v/>
      </c>
    </row>
    <row r="322">
      <c r="A322" s="28" t="inlineStr">
        <is>
          <t>George</t>
        </is>
      </c>
      <c r="B322" s="16">
        <f>IF($A322="","",IFERROR(INDEX(Roster!$B$2:$B$40,MATCH($A322,Roster!$A$2:$A$40,0)),"?"))</f>
        <v/>
      </c>
      <c r="C322" s="28" t="inlineStr">
        <is>
          <t>Brick_1</t>
        </is>
      </c>
      <c r="D322" s="16">
        <f>IF($C322="","",IFERROR(IF(INDEX(Deals!$C$2:$C$355,MATCH($C322,Deals!$A$2:$A$355,0))=0,"",INDEX(Deals!$C$2:$C$355,MATCH($C322,Deals!$A$2:$A$355,0))),"?"))</f>
        <v/>
      </c>
      <c r="E322" s="16">
        <f>IF($C322="","",IFERROR(INDEX(Deals!$F$2:$F$355,MATCH($C322,Deals!$A$2:$A$355,0)),"?"))</f>
        <v/>
      </c>
      <c r="F322" s="28" t="inlineStr">
        <is>
          <t>VP</t>
        </is>
      </c>
      <c r="G322" s="28" t="inlineStr">
        <is>
          <t>Active</t>
        </is>
      </c>
      <c r="H322" s="31" t="n"/>
      <c r="I322" s="32">
        <f>IF(OR($A322="",$G322&lt;&gt;"Active"),0,IF($H322&lt;&gt;"",$H322,IF($AO322&gt;0,$AP322,IF(AND($R322&lt;&gt;"",IFERROR(INDEX(Templates!$B$3:$H$10,MATCH($R322,Templates!$A$3:$A$10,0),MATCH($F322,Templates!$B$2:$H$2,0)),0)&gt;0),INDEX(Templates!$B$3:$H$10,MATCH($R322,Templates!$A$3:$A$10,0),MATCH($F322,Templates!$B$2:$H$2,0)),IFERROR(INDEX(Settings!$B$8:$B$14,MATCH($F322,Settings!$A$8:$A$14,0)),0)))))</f>
        <v/>
      </c>
      <c r="J322" s="21">
        <f>IF($C322="",0,IFERROR(INDEX(Deals!$H$2:$H$355,MATCH($C322,Deals!$A$2:$A$355,0)),0))</f>
        <v/>
      </c>
      <c r="K322" s="32">
        <f>IF(Settings!$B$4="Yes",$I322*$J322,$I322)</f>
        <v/>
      </c>
      <c r="L322" s="22">
        <f>IF($C322="","",IFERROR(IF(INDEX(Deals!$I$2:$I$355,MATCH($C322,Deals!$A$2:$A$355,0))=0,"",INDEX(Deals!$I$2:$I$355,MATCH($C322,Deals!$A$2:$A$355,0))),""))</f>
        <v/>
      </c>
      <c r="M322" s="22">
        <f>IF($C322="","",IFERROR(IF(INDEX(Deals!$J$2:$J$355,MATCH($C322,Deals!$A$2:$A$355,0))=0,"",INDEX(Deals!$J$2:$J$355,MATCH($C322,Deals!$A$2:$A$355,0))),""))</f>
        <v/>
      </c>
      <c r="N322" s="35">
        <f>IF($L322="",DATE(1900,1,1),$L322)</f>
        <v/>
      </c>
      <c r="O322" s="35">
        <f>IF($M322="",DATE(2100,12,31),$M322)</f>
        <v/>
      </c>
      <c r="P322" s="20" t="inlineStr">
        <is>
          <t>Ongoing</t>
        </is>
      </c>
      <c r="Q322" s="47" t="inlineStr">
        <is>
          <t>Added from Summary tab</t>
        </is>
      </c>
      <c r="R322" s="16">
        <f>IF($C322="","",IFERROR(IF(INDEX(Deals!$U$2:$U$355,MATCH($C322,Deals!$A$2:$A$355,0))=0,"",INDEX(Deals!$U$2:$U$355,MATCH($C322,Deals!$A$2:$A$355,0))),""))</f>
        <v/>
      </c>
      <c r="S322" s="34">
        <f>IFERROR(IF($U322="",1,INDEX(Deals!$V$2:$V$355,MATCH($C322,Deals!$A$2:$A$355,0))),1)</f>
        <v/>
      </c>
      <c r="T322" s="34">
        <f>IFERROR(IF($U322="",1,INDEX(Deals!$W$2:$W$355,MATCH($C322,Deals!$A$2:$A$355,0))),1)</f>
        <v/>
      </c>
      <c r="U322" s="22">
        <f>IF($C322="","",IFERROR(IF(INDEX(Deals!$Y$2:$Y$355,MATCH($C322,Deals!$A$2:$A$355,0))=0,"",INDEX(Deals!$Y$2:$Y$355,MATCH($C322,Deals!$A$2:$A$355,0))),""))</f>
        <v/>
      </c>
      <c r="V322" s="35">
        <f>IF(OR($U322&lt;&gt;"",AND($AO322&gt;0,$L322&lt;&gt;"",$M322&lt;&gt;"")),$N322,DATE(1900,1,1))</f>
        <v/>
      </c>
      <c r="W322" s="35">
        <f>IF($U322&lt;&gt;"",$U322,IF(AND($AO322&gt;0,$L322&lt;&gt;"",$M322&lt;&gt;""),$O322,DATE(2100,12,31)))</f>
        <v/>
      </c>
      <c r="X322" s="32">
        <f>IF($U322="",$K322,$K322*$S322)</f>
        <v/>
      </c>
      <c r="Y322" s="35">
        <f>IF($U322="",DATE(2100,12,31),$U322+1)</f>
        <v/>
      </c>
      <c r="Z322" s="35">
        <f>IF($U322="",DATE(1900,1,1),$O322)</f>
        <v/>
      </c>
      <c r="AA322" s="32">
        <f>IF($U322="",0,$K322*$T322)</f>
        <v/>
      </c>
      <c r="AB322" s="21">
        <f>IF($C322="",0,IFERROR(INDEX(Deals!$AD$2:$AD$355,MATCH($C322,Deals!$A$2:$A$355,0)),0))</f>
        <v/>
      </c>
      <c r="AC322" s="32">
        <f>IF(Settings!$B$4="Yes",$I322*$AB322,$I322)</f>
        <v/>
      </c>
      <c r="AD322" s="22">
        <f>IF($C322="","",IFERROR(IF(INDEX(Deals!$AE$2:$AE$355,MATCH($C322,Deals!$A$2:$A$355,0))=0,"",INDEX(Deals!$AE$2:$AE$355,MATCH($C322,Deals!$A$2:$A$355,0))),""))</f>
        <v/>
      </c>
      <c r="AE322" s="22">
        <f>IF($C322="","",IFERROR(IF(INDEX(Deals!$AF$2:$AF$355,MATCH($C322,Deals!$A$2:$A$355,0))=0,"",INDEX(Deals!$AF$2:$AF$355,MATCH($C322,Deals!$A$2:$A$355,0))),""))</f>
        <v/>
      </c>
      <c r="AF322" s="35">
        <f>IF($AD322="",DATE(1900,1,1),$AD322)</f>
        <v/>
      </c>
      <c r="AG322" s="35">
        <f>IF($AE322="",DATE(2100,12,31),$AE322)</f>
        <v/>
      </c>
      <c r="AH322" s="22">
        <f>IF($C322="","",IFERROR(IF(INDEX(Deals!$AG$2:$AG$355,MATCH($C322,Deals!$A$2:$A$355,0))=0,"",INDEX(Deals!$AG$2:$AG$355,MATCH($C322,Deals!$A$2:$A$355,0))),""))</f>
        <v/>
      </c>
      <c r="AI322" s="35">
        <f>IF(OR($AH322&lt;&gt;"",AND($AO322&gt;0,$AD322&lt;&gt;"",$AE322&lt;&gt;"")),$AF322,DATE(1900,1,1))</f>
        <v/>
      </c>
      <c r="AJ322" s="35">
        <f>IF($AH322&lt;&gt;"",$AH322,IF(AND($AO322&gt;0,$AD322&lt;&gt;"",$AE322&lt;&gt;""),$AG322,DATE(2100,12,31)))</f>
        <v/>
      </c>
      <c r="AK322" s="32">
        <f>IF($AH322="",$AC322,$AC322*$S322)</f>
        <v/>
      </c>
      <c r="AL322" s="35">
        <f>IF($AH322="",DATE(2100,12,31),$AH322+1)</f>
        <v/>
      </c>
      <c r="AM322" s="35">
        <f>IF($AH322="",DATE(1900,1,1),$AG322)</f>
        <v/>
      </c>
      <c r="AN322" s="32">
        <f>IF($AH322="",0,$AC322*$T322)</f>
        <v/>
      </c>
      <c r="AO322" s="46">
        <f>IF($C322="",0,IFERROR(INDEX(Deals!$BD$2:$BD$355,MATCH($C322,Deals!$A$2:$A$355,0)),0))</f>
        <v/>
      </c>
      <c r="AP322" s="18">
        <f>IF($AO322=0,0,IFERROR(INDEX(Deals!$BJ$2:$BP$355,MATCH($C322,Deals!$A$2:$A$355,0),MATCH($F322,Deals!$BJ$1:$BP$1,0))/COUNTIFS(Assignments!$C$2:$C$769,$C322,Assignments!$F$2:$F$769,$F322,Assignments!$G$2:$G$769,"Active"),0))</f>
        <v/>
      </c>
    </row>
    <row r="323">
      <c r="A323" s="28" t="inlineStr">
        <is>
          <t>George</t>
        </is>
      </c>
      <c r="B323" s="16">
        <f>IF($A323="","",IFERROR(INDEX(Roster!$B$2:$B$40,MATCH($A323,Roster!$A$2:$A$40,0)),"?"))</f>
        <v/>
      </c>
      <c r="C323" s="28" t="inlineStr">
        <is>
          <t>Camaro_1</t>
        </is>
      </c>
      <c r="D323" s="16">
        <f>IF($C323="","",IFERROR(IF(INDEX(Deals!$C$2:$C$355,MATCH($C323,Deals!$A$2:$A$355,0))=0,"",INDEX(Deals!$C$2:$C$355,MATCH($C323,Deals!$A$2:$A$355,0))),"?"))</f>
        <v/>
      </c>
      <c r="E323" s="16">
        <f>IF($C323="","",IFERROR(INDEX(Deals!$F$2:$F$355,MATCH($C323,Deals!$A$2:$A$355,0)),"?"))</f>
        <v/>
      </c>
      <c r="F323" s="28" t="inlineStr">
        <is>
          <t>VP</t>
        </is>
      </c>
      <c r="G323" s="28" t="inlineStr">
        <is>
          <t>Inactive</t>
        </is>
      </c>
      <c r="H323" s="31" t="n"/>
      <c r="I323" s="32">
        <f>IF(OR($A323="",$G323&lt;&gt;"Active"),0,IF($H323&lt;&gt;"",$H323,IF($AO323&gt;0,$AP323,IF(AND($R323&lt;&gt;"",IFERROR(INDEX(Templates!$B$3:$H$10,MATCH($R323,Templates!$A$3:$A$10,0),MATCH($F323,Templates!$B$2:$H$2,0)),0)&gt;0),INDEX(Templates!$B$3:$H$10,MATCH($R323,Templates!$A$3:$A$10,0),MATCH($F323,Templates!$B$2:$H$2,0)),IFERROR(INDEX(Settings!$B$8:$B$14,MATCH($F323,Settings!$A$8:$A$14,0)),0)))))</f>
        <v/>
      </c>
      <c r="J323" s="21">
        <f>IF($C323="",0,IFERROR(INDEX(Deals!$H$2:$H$355,MATCH($C323,Deals!$A$2:$A$355,0)),0))</f>
        <v/>
      </c>
      <c r="K323" s="32">
        <f>IF(Settings!$B$4="Yes",$I323*$J323,$I323)</f>
        <v/>
      </c>
      <c r="L323" s="22">
        <f>IF($C323="","",IFERROR(IF(INDEX(Deals!$I$2:$I$355,MATCH($C323,Deals!$A$2:$A$355,0))=0,"",INDEX(Deals!$I$2:$I$355,MATCH($C323,Deals!$A$2:$A$355,0))),""))</f>
        <v/>
      </c>
      <c r="M323" s="22">
        <f>IF($C323="","",IFERROR(IF(INDEX(Deals!$J$2:$J$355,MATCH($C323,Deals!$A$2:$A$355,0))=0,"",INDEX(Deals!$J$2:$J$355,MATCH($C323,Deals!$A$2:$A$355,0))),""))</f>
        <v/>
      </c>
      <c r="N323" s="35">
        <f>IF($L323="",DATE(1900,1,1),$L323)</f>
        <v/>
      </c>
      <c r="O323" s="35">
        <f>IF($M323="",DATE(2100,12,31),$M323)</f>
        <v/>
      </c>
      <c r="P323" s="20" t="inlineStr">
        <is>
          <t>Closed</t>
        </is>
      </c>
      <c r="Q323" s="47" t="inlineStr"/>
      <c r="R323" s="16">
        <f>IF($C323="","",IFERROR(IF(INDEX(Deals!$U$2:$U$355,MATCH($C323,Deals!$A$2:$A$355,0))=0,"",INDEX(Deals!$U$2:$U$355,MATCH($C323,Deals!$A$2:$A$355,0))),""))</f>
        <v/>
      </c>
      <c r="S323" s="34">
        <f>IFERROR(IF($U323="",1,INDEX(Deals!$V$2:$V$355,MATCH($C323,Deals!$A$2:$A$355,0))),1)</f>
        <v/>
      </c>
      <c r="T323" s="34">
        <f>IFERROR(IF($U323="",1,INDEX(Deals!$W$2:$W$355,MATCH($C323,Deals!$A$2:$A$355,0))),1)</f>
        <v/>
      </c>
      <c r="U323" s="22">
        <f>IF($C323="","",IFERROR(IF(INDEX(Deals!$Y$2:$Y$355,MATCH($C323,Deals!$A$2:$A$355,0))=0,"",INDEX(Deals!$Y$2:$Y$355,MATCH($C323,Deals!$A$2:$A$355,0))),""))</f>
        <v/>
      </c>
      <c r="V323" s="35">
        <f>IF(OR($U323&lt;&gt;"",AND($AO323&gt;0,$L323&lt;&gt;"",$M323&lt;&gt;"")),$N323,DATE(1900,1,1))</f>
        <v/>
      </c>
      <c r="W323" s="35">
        <f>IF($U323&lt;&gt;"",$U323,IF(AND($AO323&gt;0,$L323&lt;&gt;"",$M323&lt;&gt;""),$O323,DATE(2100,12,31)))</f>
        <v/>
      </c>
      <c r="X323" s="32">
        <f>IF($U323="",$K323,$K323*$S323)</f>
        <v/>
      </c>
      <c r="Y323" s="35">
        <f>IF($U323="",DATE(2100,12,31),$U323+1)</f>
        <v/>
      </c>
      <c r="Z323" s="35">
        <f>IF($U323="",DATE(1900,1,1),$O323)</f>
        <v/>
      </c>
      <c r="AA323" s="32">
        <f>IF($U323="",0,$K323*$T323)</f>
        <v/>
      </c>
      <c r="AB323" s="21">
        <f>IF($C323="",0,IFERROR(INDEX(Deals!$AD$2:$AD$355,MATCH($C323,Deals!$A$2:$A$355,0)),0))</f>
        <v/>
      </c>
      <c r="AC323" s="32">
        <f>IF(Settings!$B$4="Yes",$I323*$AB323,$I323)</f>
        <v/>
      </c>
      <c r="AD323" s="22">
        <f>IF($C323="","",IFERROR(IF(INDEX(Deals!$AE$2:$AE$355,MATCH($C323,Deals!$A$2:$A$355,0))=0,"",INDEX(Deals!$AE$2:$AE$355,MATCH($C323,Deals!$A$2:$A$355,0))),""))</f>
        <v/>
      </c>
      <c r="AE323" s="22">
        <f>IF($C323="","",IFERROR(IF(INDEX(Deals!$AF$2:$AF$355,MATCH($C323,Deals!$A$2:$A$355,0))=0,"",INDEX(Deals!$AF$2:$AF$355,MATCH($C323,Deals!$A$2:$A$355,0))),""))</f>
        <v/>
      </c>
      <c r="AF323" s="35">
        <f>IF($AD323="",DATE(1900,1,1),$AD323)</f>
        <v/>
      </c>
      <c r="AG323" s="35">
        <f>IF($AE323="",DATE(2100,12,31),$AE323)</f>
        <v/>
      </c>
      <c r="AH323" s="22">
        <f>IF($C323="","",IFERROR(IF(INDEX(Deals!$AG$2:$AG$355,MATCH($C323,Deals!$A$2:$A$355,0))=0,"",INDEX(Deals!$AG$2:$AG$355,MATCH($C323,Deals!$A$2:$A$355,0))),""))</f>
        <v/>
      </c>
      <c r="AI323" s="35">
        <f>IF(OR($AH323&lt;&gt;"",AND($AO323&gt;0,$AD323&lt;&gt;"",$AE323&lt;&gt;"")),$AF323,DATE(1900,1,1))</f>
        <v/>
      </c>
      <c r="AJ323" s="35">
        <f>IF($AH323&lt;&gt;"",$AH323,IF(AND($AO323&gt;0,$AD323&lt;&gt;"",$AE323&lt;&gt;""),$AG323,DATE(2100,12,31)))</f>
        <v/>
      </c>
      <c r="AK323" s="32">
        <f>IF($AH323="",$AC323,$AC323*$S323)</f>
        <v/>
      </c>
      <c r="AL323" s="35">
        <f>IF($AH323="",DATE(2100,12,31),$AH323+1)</f>
        <v/>
      </c>
      <c r="AM323" s="35">
        <f>IF($AH323="",DATE(1900,1,1),$AG323)</f>
        <v/>
      </c>
      <c r="AN323" s="32">
        <f>IF($AH323="",0,$AC323*$T323)</f>
        <v/>
      </c>
      <c r="AO323" s="46">
        <f>IF($C323="",0,IFERROR(INDEX(Deals!$BD$2:$BD$355,MATCH($C323,Deals!$A$2:$A$355,0)),0))</f>
        <v/>
      </c>
      <c r="AP323" s="18">
        <f>IF($AO323=0,0,IFERROR(INDEX(Deals!$BJ$2:$BP$355,MATCH($C323,Deals!$A$2:$A$355,0),MATCH($F323,Deals!$BJ$1:$BP$1,0))/COUNTIFS(Assignments!$C$2:$C$769,$C323,Assignments!$F$2:$F$769,$F323,Assignments!$G$2:$G$769,"Active"),0))</f>
        <v/>
      </c>
    </row>
    <row r="324">
      <c r="A324" s="28" t="inlineStr">
        <is>
          <t>George</t>
        </is>
      </c>
      <c r="B324" s="16">
        <f>IF($A324="","",IFERROR(INDEX(Roster!$B$2:$B$40,MATCH($A324,Roster!$A$2:$A$40,0)),"?"))</f>
        <v/>
      </c>
      <c r="C324" s="28" t="inlineStr">
        <is>
          <t>Canyon_2</t>
        </is>
      </c>
      <c r="D324" s="16">
        <f>IF($C324="","",IFERROR(IF(INDEX(Deals!$C$2:$C$355,MATCH($C324,Deals!$A$2:$A$355,0))=0,"",INDEX(Deals!$C$2:$C$355,MATCH($C324,Deals!$A$2:$A$355,0))),"?"))</f>
        <v/>
      </c>
      <c r="E324" s="16">
        <f>IF($C324="","",IFERROR(INDEX(Deals!$F$2:$F$355,MATCH($C324,Deals!$A$2:$A$355,0)),"?"))</f>
        <v/>
      </c>
      <c r="F324" s="28" t="inlineStr">
        <is>
          <t>VP</t>
        </is>
      </c>
      <c r="G324" s="28" t="inlineStr">
        <is>
          <t>Active</t>
        </is>
      </c>
      <c r="H324" s="31" t="n"/>
      <c r="I324" s="32">
        <f>IF(OR($A324="",$G324&lt;&gt;"Active"),0,IF($H324&lt;&gt;"",$H324,IF($AO324&gt;0,$AP324,IF(AND($R324&lt;&gt;"",IFERROR(INDEX(Templates!$B$3:$H$10,MATCH($R324,Templates!$A$3:$A$10,0),MATCH($F324,Templates!$B$2:$H$2,0)),0)&gt;0),INDEX(Templates!$B$3:$H$10,MATCH($R324,Templates!$A$3:$A$10,0),MATCH($F324,Templates!$B$2:$H$2,0)),IFERROR(INDEX(Settings!$B$8:$B$14,MATCH($F324,Settings!$A$8:$A$14,0)),0)))))</f>
        <v/>
      </c>
      <c r="J324" s="21">
        <f>IF($C324="",0,IFERROR(INDEX(Deals!$H$2:$H$355,MATCH($C324,Deals!$A$2:$A$355,0)),0))</f>
        <v/>
      </c>
      <c r="K324" s="32">
        <f>IF(Settings!$B$4="Yes",$I324*$J324,$I324)</f>
        <v/>
      </c>
      <c r="L324" s="22">
        <f>IF($C324="","",IFERROR(IF(INDEX(Deals!$I$2:$I$355,MATCH($C324,Deals!$A$2:$A$355,0))=0,"",INDEX(Deals!$I$2:$I$355,MATCH($C324,Deals!$A$2:$A$355,0))),""))</f>
        <v/>
      </c>
      <c r="M324" s="22">
        <f>IF($C324="","",IFERROR(IF(INDEX(Deals!$J$2:$J$355,MATCH($C324,Deals!$A$2:$A$355,0))=0,"",INDEX(Deals!$J$2:$J$355,MATCH($C324,Deals!$A$2:$A$355,0))),""))</f>
        <v/>
      </c>
      <c r="N324" s="35">
        <f>IF($L324="",DATE(1900,1,1),$L324)</f>
        <v/>
      </c>
      <c r="O324" s="35">
        <f>IF($M324="",DATE(2100,12,31),$M324)</f>
        <v/>
      </c>
      <c r="P324" s="20" t="inlineStr">
        <is>
          <t>Ongoing</t>
        </is>
      </c>
      <c r="Q324" s="47" t="inlineStr"/>
      <c r="R324" s="16">
        <f>IF($C324="","",IFERROR(IF(INDEX(Deals!$U$2:$U$355,MATCH($C324,Deals!$A$2:$A$355,0))=0,"",INDEX(Deals!$U$2:$U$355,MATCH($C324,Deals!$A$2:$A$355,0))),""))</f>
        <v/>
      </c>
      <c r="S324" s="34">
        <f>IFERROR(IF($U324="",1,INDEX(Deals!$V$2:$V$355,MATCH($C324,Deals!$A$2:$A$355,0))),1)</f>
        <v/>
      </c>
      <c r="T324" s="34">
        <f>IFERROR(IF($U324="",1,INDEX(Deals!$W$2:$W$355,MATCH($C324,Deals!$A$2:$A$355,0))),1)</f>
        <v/>
      </c>
      <c r="U324" s="22">
        <f>IF($C324="","",IFERROR(IF(INDEX(Deals!$Y$2:$Y$355,MATCH($C324,Deals!$A$2:$A$355,0))=0,"",INDEX(Deals!$Y$2:$Y$355,MATCH($C324,Deals!$A$2:$A$355,0))),""))</f>
        <v/>
      </c>
      <c r="V324" s="35">
        <f>IF(OR($U324&lt;&gt;"",AND($AO324&gt;0,$L324&lt;&gt;"",$M324&lt;&gt;"")),$N324,DATE(1900,1,1))</f>
        <v/>
      </c>
      <c r="W324" s="35">
        <f>IF($U324&lt;&gt;"",$U324,IF(AND($AO324&gt;0,$L324&lt;&gt;"",$M324&lt;&gt;""),$O324,DATE(2100,12,31)))</f>
        <v/>
      </c>
      <c r="X324" s="32">
        <f>IF($U324="",$K324,$K324*$S324)</f>
        <v/>
      </c>
      <c r="Y324" s="35">
        <f>IF($U324="",DATE(2100,12,31),$U324+1)</f>
        <v/>
      </c>
      <c r="Z324" s="35">
        <f>IF($U324="",DATE(1900,1,1),$O324)</f>
        <v/>
      </c>
      <c r="AA324" s="32">
        <f>IF($U324="",0,$K324*$T324)</f>
        <v/>
      </c>
      <c r="AB324" s="21">
        <f>IF($C324="",0,IFERROR(INDEX(Deals!$AD$2:$AD$355,MATCH($C324,Deals!$A$2:$A$355,0)),0))</f>
        <v/>
      </c>
      <c r="AC324" s="32">
        <f>IF(Settings!$B$4="Yes",$I324*$AB324,$I324)</f>
        <v/>
      </c>
      <c r="AD324" s="22">
        <f>IF($C324="","",IFERROR(IF(INDEX(Deals!$AE$2:$AE$355,MATCH($C324,Deals!$A$2:$A$355,0))=0,"",INDEX(Deals!$AE$2:$AE$355,MATCH($C324,Deals!$A$2:$A$355,0))),""))</f>
        <v/>
      </c>
      <c r="AE324" s="22">
        <f>IF($C324="","",IFERROR(IF(INDEX(Deals!$AF$2:$AF$355,MATCH($C324,Deals!$A$2:$A$355,0))=0,"",INDEX(Deals!$AF$2:$AF$355,MATCH($C324,Deals!$A$2:$A$355,0))),""))</f>
        <v/>
      </c>
      <c r="AF324" s="35">
        <f>IF($AD324="",DATE(1900,1,1),$AD324)</f>
        <v/>
      </c>
      <c r="AG324" s="35">
        <f>IF($AE324="",DATE(2100,12,31),$AE324)</f>
        <v/>
      </c>
      <c r="AH324" s="22">
        <f>IF($C324="","",IFERROR(IF(INDEX(Deals!$AG$2:$AG$355,MATCH($C324,Deals!$A$2:$A$355,0))=0,"",INDEX(Deals!$AG$2:$AG$355,MATCH($C324,Deals!$A$2:$A$355,0))),""))</f>
        <v/>
      </c>
      <c r="AI324" s="35">
        <f>IF(OR($AH324&lt;&gt;"",AND($AO324&gt;0,$AD324&lt;&gt;"",$AE324&lt;&gt;"")),$AF324,DATE(1900,1,1))</f>
        <v/>
      </c>
      <c r="AJ324" s="35">
        <f>IF($AH324&lt;&gt;"",$AH324,IF(AND($AO324&gt;0,$AD324&lt;&gt;"",$AE324&lt;&gt;""),$AG324,DATE(2100,12,31)))</f>
        <v/>
      </c>
      <c r="AK324" s="32">
        <f>IF($AH324="",$AC324,$AC324*$S324)</f>
        <v/>
      </c>
      <c r="AL324" s="35">
        <f>IF($AH324="",DATE(2100,12,31),$AH324+1)</f>
        <v/>
      </c>
      <c r="AM324" s="35">
        <f>IF($AH324="",DATE(1900,1,1),$AG324)</f>
        <v/>
      </c>
      <c r="AN324" s="32">
        <f>IF($AH324="",0,$AC324*$T324)</f>
        <v/>
      </c>
      <c r="AO324" s="46">
        <f>IF($C324="",0,IFERROR(INDEX(Deals!$BD$2:$BD$355,MATCH($C324,Deals!$A$2:$A$355,0)),0))</f>
        <v/>
      </c>
      <c r="AP324" s="18">
        <f>IF($AO324=0,0,IFERROR(INDEX(Deals!$BJ$2:$BP$355,MATCH($C324,Deals!$A$2:$A$355,0),MATCH($F324,Deals!$BJ$1:$BP$1,0))/COUNTIFS(Assignments!$C$2:$C$769,$C324,Assignments!$F$2:$F$769,$F324,Assignments!$G$2:$G$769,"Active"),0))</f>
        <v/>
      </c>
    </row>
    <row r="325">
      <c r="A325" s="28" t="inlineStr">
        <is>
          <t>George</t>
        </is>
      </c>
      <c r="B325" s="16">
        <f>IF($A325="","",IFERROR(INDEX(Roster!$B$2:$B$40,MATCH($A325,Roster!$A$2:$A$40,0)),"?"))</f>
        <v/>
      </c>
      <c r="C325" s="28" t="inlineStr">
        <is>
          <t>Chicago RE_1</t>
        </is>
      </c>
      <c r="D325" s="16">
        <f>IF($C325="","",IFERROR(IF(INDEX(Deals!$C$2:$C$355,MATCH($C325,Deals!$A$2:$A$355,0))=0,"",INDEX(Deals!$C$2:$C$355,MATCH($C325,Deals!$A$2:$A$355,0))),"?"))</f>
        <v/>
      </c>
      <c r="E325" s="16">
        <f>IF($C325="","",IFERROR(INDEX(Deals!$F$2:$F$355,MATCH($C325,Deals!$A$2:$A$355,0)),"?"))</f>
        <v/>
      </c>
      <c r="F325" s="28" t="inlineStr">
        <is>
          <t>VP</t>
        </is>
      </c>
      <c r="G325" s="28" t="inlineStr">
        <is>
          <t>Active</t>
        </is>
      </c>
      <c r="H325" s="31" t="n"/>
      <c r="I325" s="32">
        <f>IF(OR($A325="",$G325&lt;&gt;"Active"),0,IF($H325&lt;&gt;"",$H325,IF($AO325&gt;0,$AP325,IF(AND($R325&lt;&gt;"",IFERROR(INDEX(Templates!$B$3:$H$10,MATCH($R325,Templates!$A$3:$A$10,0),MATCH($F325,Templates!$B$2:$H$2,0)),0)&gt;0),INDEX(Templates!$B$3:$H$10,MATCH($R325,Templates!$A$3:$A$10,0),MATCH($F325,Templates!$B$2:$H$2,0)),IFERROR(INDEX(Settings!$B$8:$B$14,MATCH($F325,Settings!$A$8:$A$14,0)),0)))))</f>
        <v/>
      </c>
      <c r="J325" s="21">
        <f>IF($C325="",0,IFERROR(INDEX(Deals!$H$2:$H$355,MATCH($C325,Deals!$A$2:$A$355,0)),0))</f>
        <v/>
      </c>
      <c r="K325" s="32">
        <f>IF(Settings!$B$4="Yes",$I325*$J325,$I325)</f>
        <v/>
      </c>
      <c r="L325" s="22">
        <f>IF($C325="","",IFERROR(IF(INDEX(Deals!$I$2:$I$355,MATCH($C325,Deals!$A$2:$A$355,0))=0,"",INDEX(Deals!$I$2:$I$355,MATCH($C325,Deals!$A$2:$A$355,0))),""))</f>
        <v/>
      </c>
      <c r="M325" s="22">
        <f>IF($C325="","",IFERROR(IF(INDEX(Deals!$J$2:$J$355,MATCH($C325,Deals!$A$2:$A$355,0))=0,"",INDEX(Deals!$J$2:$J$355,MATCH($C325,Deals!$A$2:$A$355,0))),""))</f>
        <v/>
      </c>
      <c r="N325" s="35">
        <f>IF($L325="",DATE(1900,1,1),$L325)</f>
        <v/>
      </c>
      <c r="O325" s="35">
        <f>IF($M325="",DATE(2100,12,31),$M325)</f>
        <v/>
      </c>
      <c r="P325" s="20" t="inlineStr">
        <is>
          <t>Ongoing</t>
        </is>
      </c>
      <c r="Q325" s="47" t="inlineStr"/>
      <c r="R325" s="16">
        <f>IF($C325="","",IFERROR(IF(INDEX(Deals!$U$2:$U$355,MATCH($C325,Deals!$A$2:$A$355,0))=0,"",INDEX(Deals!$U$2:$U$355,MATCH($C325,Deals!$A$2:$A$355,0))),""))</f>
        <v/>
      </c>
      <c r="S325" s="34">
        <f>IFERROR(IF($U325="",1,INDEX(Deals!$V$2:$V$355,MATCH($C325,Deals!$A$2:$A$355,0))),1)</f>
        <v/>
      </c>
      <c r="T325" s="34">
        <f>IFERROR(IF($U325="",1,INDEX(Deals!$W$2:$W$355,MATCH($C325,Deals!$A$2:$A$355,0))),1)</f>
        <v/>
      </c>
      <c r="U325" s="22">
        <f>IF($C325="","",IFERROR(IF(INDEX(Deals!$Y$2:$Y$355,MATCH($C325,Deals!$A$2:$A$355,0))=0,"",INDEX(Deals!$Y$2:$Y$355,MATCH($C325,Deals!$A$2:$A$355,0))),""))</f>
        <v/>
      </c>
      <c r="V325" s="35">
        <f>IF(OR($U325&lt;&gt;"",AND($AO325&gt;0,$L325&lt;&gt;"",$M325&lt;&gt;"")),$N325,DATE(1900,1,1))</f>
        <v/>
      </c>
      <c r="W325" s="35">
        <f>IF($U325&lt;&gt;"",$U325,IF(AND($AO325&gt;0,$L325&lt;&gt;"",$M325&lt;&gt;""),$O325,DATE(2100,12,31)))</f>
        <v/>
      </c>
      <c r="X325" s="32">
        <f>IF($U325="",$K325,$K325*$S325)</f>
        <v/>
      </c>
      <c r="Y325" s="35">
        <f>IF($U325="",DATE(2100,12,31),$U325+1)</f>
        <v/>
      </c>
      <c r="Z325" s="35">
        <f>IF($U325="",DATE(1900,1,1),$O325)</f>
        <v/>
      </c>
      <c r="AA325" s="32">
        <f>IF($U325="",0,$K325*$T325)</f>
        <v/>
      </c>
      <c r="AB325" s="21">
        <f>IF($C325="",0,IFERROR(INDEX(Deals!$AD$2:$AD$355,MATCH($C325,Deals!$A$2:$A$355,0)),0))</f>
        <v/>
      </c>
      <c r="AC325" s="32">
        <f>IF(Settings!$B$4="Yes",$I325*$AB325,$I325)</f>
        <v/>
      </c>
      <c r="AD325" s="22">
        <f>IF($C325="","",IFERROR(IF(INDEX(Deals!$AE$2:$AE$355,MATCH($C325,Deals!$A$2:$A$355,0))=0,"",INDEX(Deals!$AE$2:$AE$355,MATCH($C325,Deals!$A$2:$A$355,0))),""))</f>
        <v/>
      </c>
      <c r="AE325" s="22">
        <f>IF($C325="","",IFERROR(IF(INDEX(Deals!$AF$2:$AF$355,MATCH($C325,Deals!$A$2:$A$355,0))=0,"",INDEX(Deals!$AF$2:$AF$355,MATCH($C325,Deals!$A$2:$A$355,0))),""))</f>
        <v/>
      </c>
      <c r="AF325" s="35">
        <f>IF($AD325="",DATE(1900,1,1),$AD325)</f>
        <v/>
      </c>
      <c r="AG325" s="35">
        <f>IF($AE325="",DATE(2100,12,31),$AE325)</f>
        <v/>
      </c>
      <c r="AH325" s="22">
        <f>IF($C325="","",IFERROR(IF(INDEX(Deals!$AG$2:$AG$355,MATCH($C325,Deals!$A$2:$A$355,0))=0,"",INDEX(Deals!$AG$2:$AG$355,MATCH($C325,Deals!$A$2:$A$355,0))),""))</f>
        <v/>
      </c>
      <c r="AI325" s="35">
        <f>IF(OR($AH325&lt;&gt;"",AND($AO325&gt;0,$AD325&lt;&gt;"",$AE325&lt;&gt;"")),$AF325,DATE(1900,1,1))</f>
        <v/>
      </c>
      <c r="AJ325" s="35">
        <f>IF($AH325&lt;&gt;"",$AH325,IF(AND($AO325&gt;0,$AD325&lt;&gt;"",$AE325&lt;&gt;""),$AG325,DATE(2100,12,31)))</f>
        <v/>
      </c>
      <c r="AK325" s="32">
        <f>IF($AH325="",$AC325,$AC325*$S325)</f>
        <v/>
      </c>
      <c r="AL325" s="35">
        <f>IF($AH325="",DATE(2100,12,31),$AH325+1)</f>
        <v/>
      </c>
      <c r="AM325" s="35">
        <f>IF($AH325="",DATE(1900,1,1),$AG325)</f>
        <v/>
      </c>
      <c r="AN325" s="32">
        <f>IF($AH325="",0,$AC325*$T325)</f>
        <v/>
      </c>
      <c r="AO325" s="46">
        <f>IF($C325="",0,IFERROR(INDEX(Deals!$BD$2:$BD$355,MATCH($C325,Deals!$A$2:$A$355,0)),0))</f>
        <v/>
      </c>
      <c r="AP325" s="18">
        <f>IF($AO325=0,0,IFERROR(INDEX(Deals!$BJ$2:$BP$355,MATCH($C325,Deals!$A$2:$A$355,0),MATCH($F325,Deals!$BJ$1:$BP$1,0))/COUNTIFS(Assignments!$C$2:$C$769,$C325,Assignments!$F$2:$F$769,$F325,Assignments!$G$2:$G$769,"Active"),0))</f>
        <v/>
      </c>
    </row>
    <row r="326">
      <c r="A326" s="28" t="inlineStr">
        <is>
          <t>George</t>
        </is>
      </c>
      <c r="B326" s="16">
        <f>IF($A326="","",IFERROR(INDEX(Roster!$B$2:$B$40,MATCH($A326,Roster!$A$2:$A$40,0)),"?"))</f>
        <v/>
      </c>
      <c r="C326" s="28" t="inlineStr">
        <is>
          <t>Circuit_1</t>
        </is>
      </c>
      <c r="D326" s="16">
        <f>IF($C326="","",IFERROR(IF(INDEX(Deals!$C$2:$C$355,MATCH($C326,Deals!$A$2:$A$355,0))=0,"",INDEX(Deals!$C$2:$C$355,MATCH($C326,Deals!$A$2:$A$355,0))),"?"))</f>
        <v/>
      </c>
      <c r="E326" s="16">
        <f>IF($C326="","",IFERROR(INDEX(Deals!$F$2:$F$355,MATCH($C326,Deals!$A$2:$A$355,0)),"?"))</f>
        <v/>
      </c>
      <c r="F326" s="28" t="inlineStr">
        <is>
          <t>VP</t>
        </is>
      </c>
      <c r="G326" s="28" t="inlineStr">
        <is>
          <t>Inactive</t>
        </is>
      </c>
      <c r="H326" s="31" t="n"/>
      <c r="I326" s="32">
        <f>IF(OR($A326="",$G326&lt;&gt;"Active"),0,IF($H326&lt;&gt;"",$H326,IF($AO326&gt;0,$AP326,IF(AND($R326&lt;&gt;"",IFERROR(INDEX(Templates!$B$3:$H$10,MATCH($R326,Templates!$A$3:$A$10,0),MATCH($F326,Templates!$B$2:$H$2,0)),0)&gt;0),INDEX(Templates!$B$3:$H$10,MATCH($R326,Templates!$A$3:$A$10,0),MATCH($F326,Templates!$B$2:$H$2,0)),IFERROR(INDEX(Settings!$B$8:$B$14,MATCH($F326,Settings!$A$8:$A$14,0)),0)))))</f>
        <v/>
      </c>
      <c r="J326" s="21">
        <f>IF($C326="",0,IFERROR(INDEX(Deals!$H$2:$H$355,MATCH($C326,Deals!$A$2:$A$355,0)),0))</f>
        <v/>
      </c>
      <c r="K326" s="32">
        <f>IF(Settings!$B$4="Yes",$I326*$J326,$I326)</f>
        <v/>
      </c>
      <c r="L326" s="22">
        <f>IF($C326="","",IFERROR(IF(INDEX(Deals!$I$2:$I$355,MATCH($C326,Deals!$A$2:$A$355,0))=0,"",INDEX(Deals!$I$2:$I$355,MATCH($C326,Deals!$A$2:$A$355,0))),""))</f>
        <v/>
      </c>
      <c r="M326" s="22">
        <f>IF($C326="","",IFERROR(IF(INDEX(Deals!$J$2:$J$355,MATCH($C326,Deals!$A$2:$A$355,0))=0,"",INDEX(Deals!$J$2:$J$355,MATCH($C326,Deals!$A$2:$A$355,0))),""))</f>
        <v/>
      </c>
      <c r="N326" s="35">
        <f>IF($L326="",DATE(1900,1,1),$L326)</f>
        <v/>
      </c>
      <c r="O326" s="35">
        <f>IF($M326="",DATE(2100,12,31),$M326)</f>
        <v/>
      </c>
      <c r="P326" s="20" t="inlineStr">
        <is>
          <t>Closed</t>
        </is>
      </c>
      <c r="Q326" s="47" t="inlineStr"/>
      <c r="R326" s="16">
        <f>IF($C326="","",IFERROR(IF(INDEX(Deals!$U$2:$U$355,MATCH($C326,Deals!$A$2:$A$355,0))=0,"",INDEX(Deals!$U$2:$U$355,MATCH($C326,Deals!$A$2:$A$355,0))),""))</f>
        <v/>
      </c>
      <c r="S326" s="34">
        <f>IFERROR(IF($U326="",1,INDEX(Deals!$V$2:$V$355,MATCH($C326,Deals!$A$2:$A$355,0))),1)</f>
        <v/>
      </c>
      <c r="T326" s="34">
        <f>IFERROR(IF($U326="",1,INDEX(Deals!$W$2:$W$355,MATCH($C326,Deals!$A$2:$A$355,0))),1)</f>
        <v/>
      </c>
      <c r="U326" s="22">
        <f>IF($C326="","",IFERROR(IF(INDEX(Deals!$Y$2:$Y$355,MATCH($C326,Deals!$A$2:$A$355,0))=0,"",INDEX(Deals!$Y$2:$Y$355,MATCH($C326,Deals!$A$2:$A$355,0))),""))</f>
        <v/>
      </c>
      <c r="V326" s="35">
        <f>IF(OR($U326&lt;&gt;"",AND($AO326&gt;0,$L326&lt;&gt;"",$M326&lt;&gt;"")),$N326,DATE(1900,1,1))</f>
        <v/>
      </c>
      <c r="W326" s="35">
        <f>IF($U326&lt;&gt;"",$U326,IF(AND($AO326&gt;0,$L326&lt;&gt;"",$M326&lt;&gt;""),$O326,DATE(2100,12,31)))</f>
        <v/>
      </c>
      <c r="X326" s="32">
        <f>IF($U326="",$K326,$K326*$S326)</f>
        <v/>
      </c>
      <c r="Y326" s="35">
        <f>IF($U326="",DATE(2100,12,31),$U326+1)</f>
        <v/>
      </c>
      <c r="Z326" s="35">
        <f>IF($U326="",DATE(1900,1,1),$O326)</f>
        <v/>
      </c>
      <c r="AA326" s="32">
        <f>IF($U326="",0,$K326*$T326)</f>
        <v/>
      </c>
      <c r="AB326" s="21">
        <f>IF($C326="",0,IFERROR(INDEX(Deals!$AD$2:$AD$355,MATCH($C326,Deals!$A$2:$A$355,0)),0))</f>
        <v/>
      </c>
      <c r="AC326" s="32">
        <f>IF(Settings!$B$4="Yes",$I326*$AB326,$I326)</f>
        <v/>
      </c>
      <c r="AD326" s="22">
        <f>IF($C326="","",IFERROR(IF(INDEX(Deals!$AE$2:$AE$355,MATCH($C326,Deals!$A$2:$A$355,0))=0,"",INDEX(Deals!$AE$2:$AE$355,MATCH($C326,Deals!$A$2:$A$355,0))),""))</f>
        <v/>
      </c>
      <c r="AE326" s="22">
        <f>IF($C326="","",IFERROR(IF(INDEX(Deals!$AF$2:$AF$355,MATCH($C326,Deals!$A$2:$A$355,0))=0,"",INDEX(Deals!$AF$2:$AF$355,MATCH($C326,Deals!$A$2:$A$355,0))),""))</f>
        <v/>
      </c>
      <c r="AF326" s="35">
        <f>IF($AD326="",DATE(1900,1,1),$AD326)</f>
        <v/>
      </c>
      <c r="AG326" s="35">
        <f>IF($AE326="",DATE(2100,12,31),$AE326)</f>
        <v/>
      </c>
      <c r="AH326" s="22">
        <f>IF($C326="","",IFERROR(IF(INDEX(Deals!$AG$2:$AG$355,MATCH($C326,Deals!$A$2:$A$355,0))=0,"",INDEX(Deals!$AG$2:$AG$355,MATCH($C326,Deals!$A$2:$A$355,0))),""))</f>
        <v/>
      </c>
      <c r="AI326" s="35">
        <f>IF(OR($AH326&lt;&gt;"",AND($AO326&gt;0,$AD326&lt;&gt;"",$AE326&lt;&gt;"")),$AF326,DATE(1900,1,1))</f>
        <v/>
      </c>
      <c r="AJ326" s="35">
        <f>IF($AH326&lt;&gt;"",$AH326,IF(AND($AO326&gt;0,$AD326&lt;&gt;"",$AE326&lt;&gt;""),$AG326,DATE(2100,12,31)))</f>
        <v/>
      </c>
      <c r="AK326" s="32">
        <f>IF($AH326="",$AC326,$AC326*$S326)</f>
        <v/>
      </c>
      <c r="AL326" s="35">
        <f>IF($AH326="",DATE(2100,12,31),$AH326+1)</f>
        <v/>
      </c>
      <c r="AM326" s="35">
        <f>IF($AH326="",DATE(1900,1,1),$AG326)</f>
        <v/>
      </c>
      <c r="AN326" s="32">
        <f>IF($AH326="",0,$AC326*$T326)</f>
        <v/>
      </c>
      <c r="AO326" s="46">
        <f>IF($C326="",0,IFERROR(INDEX(Deals!$BD$2:$BD$355,MATCH($C326,Deals!$A$2:$A$355,0)),0))</f>
        <v/>
      </c>
      <c r="AP326" s="18">
        <f>IF($AO326=0,0,IFERROR(INDEX(Deals!$BJ$2:$BP$355,MATCH($C326,Deals!$A$2:$A$355,0),MATCH($F326,Deals!$BJ$1:$BP$1,0))/COUNTIFS(Assignments!$C$2:$C$769,$C326,Assignments!$F$2:$F$769,$F326,Assignments!$G$2:$G$769,"Active"),0))</f>
        <v/>
      </c>
    </row>
    <row r="327">
      <c r="A327" s="28" t="inlineStr">
        <is>
          <t>George</t>
        </is>
      </c>
      <c r="B327" s="16">
        <f>IF($A327="","",IFERROR(INDEX(Roster!$B$2:$B$40,MATCH($A327,Roster!$A$2:$A$40,0)),"?"))</f>
        <v/>
      </c>
      <c r="C327" s="28" t="inlineStr">
        <is>
          <t>Dental_1</t>
        </is>
      </c>
      <c r="D327" s="16">
        <f>IF($C327="","",IFERROR(IF(INDEX(Deals!$C$2:$C$355,MATCH($C327,Deals!$A$2:$A$355,0))=0,"",INDEX(Deals!$C$2:$C$355,MATCH($C327,Deals!$A$2:$A$355,0))),"?"))</f>
        <v/>
      </c>
      <c r="E327" s="16">
        <f>IF($C327="","",IFERROR(INDEX(Deals!$F$2:$F$355,MATCH($C327,Deals!$A$2:$A$355,0)),"?"))</f>
        <v/>
      </c>
      <c r="F327" s="28" t="inlineStr">
        <is>
          <t>VP</t>
        </is>
      </c>
      <c r="G327" s="28" t="inlineStr">
        <is>
          <t>Inactive</t>
        </is>
      </c>
      <c r="H327" s="31" t="n"/>
      <c r="I327" s="32">
        <f>IF(OR($A327="",$G327&lt;&gt;"Active"),0,IF($H327&lt;&gt;"",$H327,IF($AO327&gt;0,$AP327,IF(AND($R327&lt;&gt;"",IFERROR(INDEX(Templates!$B$3:$H$10,MATCH($R327,Templates!$A$3:$A$10,0),MATCH($F327,Templates!$B$2:$H$2,0)),0)&gt;0),INDEX(Templates!$B$3:$H$10,MATCH($R327,Templates!$A$3:$A$10,0),MATCH($F327,Templates!$B$2:$H$2,0)),IFERROR(INDEX(Settings!$B$8:$B$14,MATCH($F327,Settings!$A$8:$A$14,0)),0)))))</f>
        <v/>
      </c>
      <c r="J327" s="21">
        <f>IF($C327="",0,IFERROR(INDEX(Deals!$H$2:$H$355,MATCH($C327,Deals!$A$2:$A$355,0)),0))</f>
        <v/>
      </c>
      <c r="K327" s="32">
        <f>IF(Settings!$B$4="Yes",$I327*$J327,$I327)</f>
        <v/>
      </c>
      <c r="L327" s="22">
        <f>IF($C327="","",IFERROR(IF(INDEX(Deals!$I$2:$I$355,MATCH($C327,Deals!$A$2:$A$355,0))=0,"",INDEX(Deals!$I$2:$I$355,MATCH($C327,Deals!$A$2:$A$355,0))),""))</f>
        <v/>
      </c>
      <c r="M327" s="22">
        <f>IF($C327="","",IFERROR(IF(INDEX(Deals!$J$2:$J$355,MATCH($C327,Deals!$A$2:$A$355,0))=0,"",INDEX(Deals!$J$2:$J$355,MATCH($C327,Deals!$A$2:$A$355,0))),""))</f>
        <v/>
      </c>
      <c r="N327" s="35">
        <f>IF($L327="",DATE(1900,1,1),$L327)</f>
        <v/>
      </c>
      <c r="O327" s="35">
        <f>IF($M327="",DATE(2100,12,31),$M327)</f>
        <v/>
      </c>
      <c r="P327" s="20" t="inlineStr">
        <is>
          <t>Closed</t>
        </is>
      </c>
      <c r="Q327" s="47" t="inlineStr"/>
      <c r="R327" s="16">
        <f>IF($C327="","",IFERROR(IF(INDEX(Deals!$U$2:$U$355,MATCH($C327,Deals!$A$2:$A$355,0))=0,"",INDEX(Deals!$U$2:$U$355,MATCH($C327,Deals!$A$2:$A$355,0))),""))</f>
        <v/>
      </c>
      <c r="S327" s="34">
        <f>IFERROR(IF($U327="",1,INDEX(Deals!$V$2:$V$355,MATCH($C327,Deals!$A$2:$A$355,0))),1)</f>
        <v/>
      </c>
      <c r="T327" s="34">
        <f>IFERROR(IF($U327="",1,INDEX(Deals!$W$2:$W$355,MATCH($C327,Deals!$A$2:$A$355,0))),1)</f>
        <v/>
      </c>
      <c r="U327" s="22">
        <f>IF($C327="","",IFERROR(IF(INDEX(Deals!$Y$2:$Y$355,MATCH($C327,Deals!$A$2:$A$355,0))=0,"",INDEX(Deals!$Y$2:$Y$355,MATCH($C327,Deals!$A$2:$A$355,0))),""))</f>
        <v/>
      </c>
      <c r="V327" s="35">
        <f>IF(OR($U327&lt;&gt;"",AND($AO327&gt;0,$L327&lt;&gt;"",$M327&lt;&gt;"")),$N327,DATE(1900,1,1))</f>
        <v/>
      </c>
      <c r="W327" s="35">
        <f>IF($U327&lt;&gt;"",$U327,IF(AND($AO327&gt;0,$L327&lt;&gt;"",$M327&lt;&gt;""),$O327,DATE(2100,12,31)))</f>
        <v/>
      </c>
      <c r="X327" s="32">
        <f>IF($U327="",$K327,$K327*$S327)</f>
        <v/>
      </c>
      <c r="Y327" s="35">
        <f>IF($U327="",DATE(2100,12,31),$U327+1)</f>
        <v/>
      </c>
      <c r="Z327" s="35">
        <f>IF($U327="",DATE(1900,1,1),$O327)</f>
        <v/>
      </c>
      <c r="AA327" s="32">
        <f>IF($U327="",0,$K327*$T327)</f>
        <v/>
      </c>
      <c r="AB327" s="21">
        <f>IF($C327="",0,IFERROR(INDEX(Deals!$AD$2:$AD$355,MATCH($C327,Deals!$A$2:$A$355,0)),0))</f>
        <v/>
      </c>
      <c r="AC327" s="32">
        <f>IF(Settings!$B$4="Yes",$I327*$AB327,$I327)</f>
        <v/>
      </c>
      <c r="AD327" s="22">
        <f>IF($C327="","",IFERROR(IF(INDEX(Deals!$AE$2:$AE$355,MATCH($C327,Deals!$A$2:$A$355,0))=0,"",INDEX(Deals!$AE$2:$AE$355,MATCH($C327,Deals!$A$2:$A$355,0))),""))</f>
        <v/>
      </c>
      <c r="AE327" s="22">
        <f>IF($C327="","",IFERROR(IF(INDEX(Deals!$AF$2:$AF$355,MATCH($C327,Deals!$A$2:$A$355,0))=0,"",INDEX(Deals!$AF$2:$AF$355,MATCH($C327,Deals!$A$2:$A$355,0))),""))</f>
        <v/>
      </c>
      <c r="AF327" s="35">
        <f>IF($AD327="",DATE(1900,1,1),$AD327)</f>
        <v/>
      </c>
      <c r="AG327" s="35">
        <f>IF($AE327="",DATE(2100,12,31),$AE327)</f>
        <v/>
      </c>
      <c r="AH327" s="22">
        <f>IF($C327="","",IFERROR(IF(INDEX(Deals!$AG$2:$AG$355,MATCH($C327,Deals!$A$2:$A$355,0))=0,"",INDEX(Deals!$AG$2:$AG$355,MATCH($C327,Deals!$A$2:$A$355,0))),""))</f>
        <v/>
      </c>
      <c r="AI327" s="35">
        <f>IF(OR($AH327&lt;&gt;"",AND($AO327&gt;0,$AD327&lt;&gt;"",$AE327&lt;&gt;"")),$AF327,DATE(1900,1,1))</f>
        <v/>
      </c>
      <c r="AJ327" s="35">
        <f>IF($AH327&lt;&gt;"",$AH327,IF(AND($AO327&gt;0,$AD327&lt;&gt;"",$AE327&lt;&gt;""),$AG327,DATE(2100,12,31)))</f>
        <v/>
      </c>
      <c r="AK327" s="32">
        <f>IF($AH327="",$AC327,$AC327*$S327)</f>
        <v/>
      </c>
      <c r="AL327" s="35">
        <f>IF($AH327="",DATE(2100,12,31),$AH327+1)</f>
        <v/>
      </c>
      <c r="AM327" s="35">
        <f>IF($AH327="",DATE(1900,1,1),$AG327)</f>
        <v/>
      </c>
      <c r="AN327" s="32">
        <f>IF($AH327="",0,$AC327*$T327)</f>
        <v/>
      </c>
      <c r="AO327" s="46">
        <f>IF($C327="",0,IFERROR(INDEX(Deals!$BD$2:$BD$355,MATCH($C327,Deals!$A$2:$A$355,0)),0))</f>
        <v/>
      </c>
      <c r="AP327" s="18">
        <f>IF($AO327=0,0,IFERROR(INDEX(Deals!$BJ$2:$BP$355,MATCH($C327,Deals!$A$2:$A$355,0),MATCH($F327,Deals!$BJ$1:$BP$1,0))/COUNTIFS(Assignments!$C$2:$C$769,$C327,Assignments!$F$2:$F$769,$F327,Assignments!$G$2:$G$769,"Active"),0))</f>
        <v/>
      </c>
    </row>
    <row r="328">
      <c r="A328" s="28" t="inlineStr">
        <is>
          <t>George</t>
        </is>
      </c>
      <c r="B328" s="16">
        <f>IF($A328="","",IFERROR(INDEX(Roster!$B$2:$B$40,MATCH($A328,Roster!$A$2:$A$40,0)),"?"))</f>
        <v/>
      </c>
      <c r="C328" s="28" t="inlineStr">
        <is>
          <t>Dunlin_1</t>
        </is>
      </c>
      <c r="D328" s="16">
        <f>IF($C328="","",IFERROR(IF(INDEX(Deals!$C$2:$C$355,MATCH($C328,Deals!$A$2:$A$355,0))=0,"",INDEX(Deals!$C$2:$C$355,MATCH($C328,Deals!$A$2:$A$355,0))),"?"))</f>
        <v/>
      </c>
      <c r="E328" s="16">
        <f>IF($C328="","",IFERROR(INDEX(Deals!$F$2:$F$355,MATCH($C328,Deals!$A$2:$A$355,0)),"?"))</f>
        <v/>
      </c>
      <c r="F328" s="28" t="inlineStr">
        <is>
          <t>VP</t>
        </is>
      </c>
      <c r="G328" s="28" t="inlineStr">
        <is>
          <t>Inactive</t>
        </is>
      </c>
      <c r="H328" s="31" t="n"/>
      <c r="I328" s="32">
        <f>IF(OR($A328="",$G328&lt;&gt;"Active"),0,IF($H328&lt;&gt;"",$H328,IF($AO328&gt;0,$AP328,IF(AND($R328&lt;&gt;"",IFERROR(INDEX(Templates!$B$3:$H$10,MATCH($R328,Templates!$A$3:$A$10,0),MATCH($F328,Templates!$B$2:$H$2,0)),0)&gt;0),INDEX(Templates!$B$3:$H$10,MATCH($R328,Templates!$A$3:$A$10,0),MATCH($F328,Templates!$B$2:$H$2,0)),IFERROR(INDEX(Settings!$B$8:$B$14,MATCH($F328,Settings!$A$8:$A$14,0)),0)))))</f>
        <v/>
      </c>
      <c r="J328" s="21">
        <f>IF($C328="",0,IFERROR(INDEX(Deals!$H$2:$H$355,MATCH($C328,Deals!$A$2:$A$355,0)),0))</f>
        <v/>
      </c>
      <c r="K328" s="32">
        <f>IF(Settings!$B$4="Yes",$I328*$J328,$I328)</f>
        <v/>
      </c>
      <c r="L328" s="22">
        <f>IF($C328="","",IFERROR(IF(INDEX(Deals!$I$2:$I$355,MATCH($C328,Deals!$A$2:$A$355,0))=0,"",INDEX(Deals!$I$2:$I$355,MATCH($C328,Deals!$A$2:$A$355,0))),""))</f>
        <v/>
      </c>
      <c r="M328" s="22">
        <f>IF($C328="","",IFERROR(IF(INDEX(Deals!$J$2:$J$355,MATCH($C328,Deals!$A$2:$A$355,0))=0,"",INDEX(Deals!$J$2:$J$355,MATCH($C328,Deals!$A$2:$A$355,0))),""))</f>
        <v/>
      </c>
      <c r="N328" s="35">
        <f>IF($L328="",DATE(1900,1,1),$L328)</f>
        <v/>
      </c>
      <c r="O328" s="35">
        <f>IF($M328="",DATE(2100,12,31),$M328)</f>
        <v/>
      </c>
      <c r="P328" s="20" t="inlineStr">
        <is>
          <t>Closed</t>
        </is>
      </c>
      <c r="Q328" s="47" t="inlineStr"/>
      <c r="R328" s="16">
        <f>IF($C328="","",IFERROR(IF(INDEX(Deals!$U$2:$U$355,MATCH($C328,Deals!$A$2:$A$355,0))=0,"",INDEX(Deals!$U$2:$U$355,MATCH($C328,Deals!$A$2:$A$355,0))),""))</f>
        <v/>
      </c>
      <c r="S328" s="34">
        <f>IFERROR(IF($U328="",1,INDEX(Deals!$V$2:$V$355,MATCH($C328,Deals!$A$2:$A$355,0))),1)</f>
        <v/>
      </c>
      <c r="T328" s="34">
        <f>IFERROR(IF($U328="",1,INDEX(Deals!$W$2:$W$355,MATCH($C328,Deals!$A$2:$A$355,0))),1)</f>
        <v/>
      </c>
      <c r="U328" s="22">
        <f>IF($C328="","",IFERROR(IF(INDEX(Deals!$Y$2:$Y$355,MATCH($C328,Deals!$A$2:$A$355,0))=0,"",INDEX(Deals!$Y$2:$Y$355,MATCH($C328,Deals!$A$2:$A$355,0))),""))</f>
        <v/>
      </c>
      <c r="V328" s="35">
        <f>IF(OR($U328&lt;&gt;"",AND($AO328&gt;0,$L328&lt;&gt;"",$M328&lt;&gt;"")),$N328,DATE(1900,1,1))</f>
        <v/>
      </c>
      <c r="W328" s="35">
        <f>IF($U328&lt;&gt;"",$U328,IF(AND($AO328&gt;0,$L328&lt;&gt;"",$M328&lt;&gt;""),$O328,DATE(2100,12,31)))</f>
        <v/>
      </c>
      <c r="X328" s="32">
        <f>IF($U328="",$K328,$K328*$S328)</f>
        <v/>
      </c>
      <c r="Y328" s="35">
        <f>IF($U328="",DATE(2100,12,31),$U328+1)</f>
        <v/>
      </c>
      <c r="Z328" s="35">
        <f>IF($U328="",DATE(1900,1,1),$O328)</f>
        <v/>
      </c>
      <c r="AA328" s="32">
        <f>IF($U328="",0,$K328*$T328)</f>
        <v/>
      </c>
      <c r="AB328" s="21">
        <f>IF($C328="",0,IFERROR(INDEX(Deals!$AD$2:$AD$355,MATCH($C328,Deals!$A$2:$A$355,0)),0))</f>
        <v/>
      </c>
      <c r="AC328" s="32">
        <f>IF(Settings!$B$4="Yes",$I328*$AB328,$I328)</f>
        <v/>
      </c>
      <c r="AD328" s="22">
        <f>IF($C328="","",IFERROR(IF(INDEX(Deals!$AE$2:$AE$355,MATCH($C328,Deals!$A$2:$A$355,0))=0,"",INDEX(Deals!$AE$2:$AE$355,MATCH($C328,Deals!$A$2:$A$355,0))),""))</f>
        <v/>
      </c>
      <c r="AE328" s="22">
        <f>IF($C328="","",IFERROR(IF(INDEX(Deals!$AF$2:$AF$355,MATCH($C328,Deals!$A$2:$A$355,0))=0,"",INDEX(Deals!$AF$2:$AF$355,MATCH($C328,Deals!$A$2:$A$355,0))),""))</f>
        <v/>
      </c>
      <c r="AF328" s="35">
        <f>IF($AD328="",DATE(1900,1,1),$AD328)</f>
        <v/>
      </c>
      <c r="AG328" s="35">
        <f>IF($AE328="",DATE(2100,12,31),$AE328)</f>
        <v/>
      </c>
      <c r="AH328" s="22">
        <f>IF($C328="","",IFERROR(IF(INDEX(Deals!$AG$2:$AG$355,MATCH($C328,Deals!$A$2:$A$355,0))=0,"",INDEX(Deals!$AG$2:$AG$355,MATCH($C328,Deals!$A$2:$A$355,0))),""))</f>
        <v/>
      </c>
      <c r="AI328" s="35">
        <f>IF(OR($AH328&lt;&gt;"",AND($AO328&gt;0,$AD328&lt;&gt;"",$AE328&lt;&gt;"")),$AF328,DATE(1900,1,1))</f>
        <v/>
      </c>
      <c r="AJ328" s="35">
        <f>IF($AH328&lt;&gt;"",$AH328,IF(AND($AO328&gt;0,$AD328&lt;&gt;"",$AE328&lt;&gt;""),$AG328,DATE(2100,12,31)))</f>
        <v/>
      </c>
      <c r="AK328" s="32">
        <f>IF($AH328="",$AC328,$AC328*$S328)</f>
        <v/>
      </c>
      <c r="AL328" s="35">
        <f>IF($AH328="",DATE(2100,12,31),$AH328+1)</f>
        <v/>
      </c>
      <c r="AM328" s="35">
        <f>IF($AH328="",DATE(1900,1,1),$AG328)</f>
        <v/>
      </c>
      <c r="AN328" s="32">
        <f>IF($AH328="",0,$AC328*$T328)</f>
        <v/>
      </c>
      <c r="AO328" s="46">
        <f>IF($C328="",0,IFERROR(INDEX(Deals!$BD$2:$BD$355,MATCH($C328,Deals!$A$2:$A$355,0)),0))</f>
        <v/>
      </c>
      <c r="AP328" s="18">
        <f>IF($AO328=0,0,IFERROR(INDEX(Deals!$BJ$2:$BP$355,MATCH($C328,Deals!$A$2:$A$355,0),MATCH($F328,Deals!$BJ$1:$BP$1,0))/COUNTIFS(Assignments!$C$2:$C$769,$C328,Assignments!$F$2:$F$769,$F328,Assignments!$G$2:$G$769,"Active"),0))</f>
        <v/>
      </c>
    </row>
    <row r="329">
      <c r="A329" s="28" t="inlineStr">
        <is>
          <t>George</t>
        </is>
      </c>
      <c r="B329" s="16">
        <f>IF($A329="","",IFERROR(INDEX(Roster!$B$2:$B$40,MATCH($A329,Roster!$A$2:$A$40,0)),"?"))</f>
        <v/>
      </c>
      <c r="C329" s="28" t="inlineStr">
        <is>
          <t>Eagle_5</t>
        </is>
      </c>
      <c r="D329" s="16">
        <f>IF($C329="","",IFERROR(IF(INDEX(Deals!$C$2:$C$355,MATCH($C329,Deals!$A$2:$A$355,0))=0,"",INDEX(Deals!$C$2:$C$355,MATCH($C329,Deals!$A$2:$A$355,0))),"?"))</f>
        <v/>
      </c>
      <c r="E329" s="16">
        <f>IF($C329="","",IFERROR(INDEX(Deals!$F$2:$F$355,MATCH($C329,Deals!$A$2:$A$355,0)),"?"))</f>
        <v/>
      </c>
      <c r="F329" s="28" t="inlineStr">
        <is>
          <t>VP</t>
        </is>
      </c>
      <c r="G329" s="28" t="inlineStr">
        <is>
          <t>Active</t>
        </is>
      </c>
      <c r="H329" s="31" t="n"/>
      <c r="I329" s="32">
        <f>IF(OR($A329="",$G329&lt;&gt;"Active"),0,IF($H329&lt;&gt;"",$H329,IF($AO329&gt;0,$AP329,IF(AND($R329&lt;&gt;"",IFERROR(INDEX(Templates!$B$3:$H$10,MATCH($R329,Templates!$A$3:$A$10,0),MATCH($F329,Templates!$B$2:$H$2,0)),0)&gt;0),INDEX(Templates!$B$3:$H$10,MATCH($R329,Templates!$A$3:$A$10,0),MATCH($F329,Templates!$B$2:$H$2,0)),IFERROR(INDEX(Settings!$B$8:$B$14,MATCH($F329,Settings!$A$8:$A$14,0)),0)))))</f>
        <v/>
      </c>
      <c r="J329" s="21">
        <f>IF($C329="",0,IFERROR(INDEX(Deals!$H$2:$H$355,MATCH($C329,Deals!$A$2:$A$355,0)),0))</f>
        <v/>
      </c>
      <c r="K329" s="32">
        <f>IF(Settings!$B$4="Yes",$I329*$J329,$I329)</f>
        <v/>
      </c>
      <c r="L329" s="22">
        <f>IF($C329="","",IFERROR(IF(INDEX(Deals!$I$2:$I$355,MATCH($C329,Deals!$A$2:$A$355,0))=0,"",INDEX(Deals!$I$2:$I$355,MATCH($C329,Deals!$A$2:$A$355,0))),""))</f>
        <v/>
      </c>
      <c r="M329" s="22">
        <f>IF($C329="","",IFERROR(IF(INDEX(Deals!$J$2:$J$355,MATCH($C329,Deals!$A$2:$A$355,0))=0,"",INDEX(Deals!$J$2:$J$355,MATCH($C329,Deals!$A$2:$A$355,0))),""))</f>
        <v/>
      </c>
      <c r="N329" s="35">
        <f>IF($L329="",DATE(1900,1,1),$L329)</f>
        <v/>
      </c>
      <c r="O329" s="35">
        <f>IF($M329="",DATE(2100,12,31),$M329)</f>
        <v/>
      </c>
      <c r="P329" s="20" t="inlineStr">
        <is>
          <t>Ongoing</t>
        </is>
      </c>
      <c r="Q329" s="47" t="inlineStr"/>
      <c r="R329" s="16">
        <f>IF($C329="","",IFERROR(IF(INDEX(Deals!$U$2:$U$355,MATCH($C329,Deals!$A$2:$A$355,0))=0,"",INDEX(Deals!$U$2:$U$355,MATCH($C329,Deals!$A$2:$A$355,0))),""))</f>
        <v/>
      </c>
      <c r="S329" s="34">
        <f>IFERROR(IF($U329="",1,INDEX(Deals!$V$2:$V$355,MATCH($C329,Deals!$A$2:$A$355,0))),1)</f>
        <v/>
      </c>
      <c r="T329" s="34">
        <f>IFERROR(IF($U329="",1,INDEX(Deals!$W$2:$W$355,MATCH($C329,Deals!$A$2:$A$355,0))),1)</f>
        <v/>
      </c>
      <c r="U329" s="22">
        <f>IF($C329="","",IFERROR(IF(INDEX(Deals!$Y$2:$Y$355,MATCH($C329,Deals!$A$2:$A$355,0))=0,"",INDEX(Deals!$Y$2:$Y$355,MATCH($C329,Deals!$A$2:$A$355,0))),""))</f>
        <v/>
      </c>
      <c r="V329" s="35">
        <f>IF(OR($U329&lt;&gt;"",AND($AO329&gt;0,$L329&lt;&gt;"",$M329&lt;&gt;"")),$N329,DATE(1900,1,1))</f>
        <v/>
      </c>
      <c r="W329" s="35">
        <f>IF($U329&lt;&gt;"",$U329,IF(AND($AO329&gt;0,$L329&lt;&gt;"",$M329&lt;&gt;""),$O329,DATE(2100,12,31)))</f>
        <v/>
      </c>
      <c r="X329" s="32">
        <f>IF($U329="",$K329,$K329*$S329)</f>
        <v/>
      </c>
      <c r="Y329" s="35">
        <f>IF($U329="",DATE(2100,12,31),$U329+1)</f>
        <v/>
      </c>
      <c r="Z329" s="35">
        <f>IF($U329="",DATE(1900,1,1),$O329)</f>
        <v/>
      </c>
      <c r="AA329" s="32">
        <f>IF($U329="",0,$K329*$T329)</f>
        <v/>
      </c>
      <c r="AB329" s="21">
        <f>IF($C329="",0,IFERROR(INDEX(Deals!$AD$2:$AD$355,MATCH($C329,Deals!$A$2:$A$355,0)),0))</f>
        <v/>
      </c>
      <c r="AC329" s="32">
        <f>IF(Settings!$B$4="Yes",$I329*$AB329,$I329)</f>
        <v/>
      </c>
      <c r="AD329" s="22">
        <f>IF($C329="","",IFERROR(IF(INDEX(Deals!$AE$2:$AE$355,MATCH($C329,Deals!$A$2:$A$355,0))=0,"",INDEX(Deals!$AE$2:$AE$355,MATCH($C329,Deals!$A$2:$A$355,0))),""))</f>
        <v/>
      </c>
      <c r="AE329" s="22">
        <f>IF($C329="","",IFERROR(IF(INDEX(Deals!$AF$2:$AF$355,MATCH($C329,Deals!$A$2:$A$355,0))=0,"",INDEX(Deals!$AF$2:$AF$355,MATCH($C329,Deals!$A$2:$A$355,0))),""))</f>
        <v/>
      </c>
      <c r="AF329" s="35">
        <f>IF($AD329="",DATE(1900,1,1),$AD329)</f>
        <v/>
      </c>
      <c r="AG329" s="35">
        <f>IF($AE329="",DATE(2100,12,31),$AE329)</f>
        <v/>
      </c>
      <c r="AH329" s="22">
        <f>IF($C329="","",IFERROR(IF(INDEX(Deals!$AG$2:$AG$355,MATCH($C329,Deals!$A$2:$A$355,0))=0,"",INDEX(Deals!$AG$2:$AG$355,MATCH($C329,Deals!$A$2:$A$355,0))),""))</f>
        <v/>
      </c>
      <c r="AI329" s="35">
        <f>IF(OR($AH329&lt;&gt;"",AND($AO329&gt;0,$AD329&lt;&gt;"",$AE329&lt;&gt;"")),$AF329,DATE(1900,1,1))</f>
        <v/>
      </c>
      <c r="AJ329" s="35">
        <f>IF($AH329&lt;&gt;"",$AH329,IF(AND($AO329&gt;0,$AD329&lt;&gt;"",$AE329&lt;&gt;""),$AG329,DATE(2100,12,31)))</f>
        <v/>
      </c>
      <c r="AK329" s="32">
        <f>IF($AH329="",$AC329,$AC329*$S329)</f>
        <v/>
      </c>
      <c r="AL329" s="35">
        <f>IF($AH329="",DATE(2100,12,31),$AH329+1)</f>
        <v/>
      </c>
      <c r="AM329" s="35">
        <f>IF($AH329="",DATE(1900,1,1),$AG329)</f>
        <v/>
      </c>
      <c r="AN329" s="32">
        <f>IF($AH329="",0,$AC329*$T329)</f>
        <v/>
      </c>
      <c r="AO329" s="46">
        <f>IF($C329="",0,IFERROR(INDEX(Deals!$BD$2:$BD$355,MATCH($C329,Deals!$A$2:$A$355,0)),0))</f>
        <v/>
      </c>
      <c r="AP329" s="18">
        <f>IF($AO329=0,0,IFERROR(INDEX(Deals!$BJ$2:$BP$355,MATCH($C329,Deals!$A$2:$A$355,0),MATCH($F329,Deals!$BJ$1:$BP$1,0))/COUNTIFS(Assignments!$C$2:$C$769,$C329,Assignments!$F$2:$F$769,$F329,Assignments!$G$2:$G$769,"Active"),0))</f>
        <v/>
      </c>
    </row>
    <row r="330">
      <c r="A330" s="28" t="inlineStr">
        <is>
          <t>George</t>
        </is>
      </c>
      <c r="B330" s="16">
        <f>IF($A330="","",IFERROR(INDEX(Roster!$B$2:$B$40,MATCH($A330,Roster!$A$2:$A$40,0)),"?"))</f>
        <v/>
      </c>
      <c r="C330" s="28" t="inlineStr">
        <is>
          <t>Eagle_7</t>
        </is>
      </c>
      <c r="D330" s="16">
        <f>IF($C330="","",IFERROR(IF(INDEX(Deals!$C$2:$C$355,MATCH($C330,Deals!$A$2:$A$355,0))=0,"",INDEX(Deals!$C$2:$C$355,MATCH($C330,Deals!$A$2:$A$355,0))),"?"))</f>
        <v/>
      </c>
      <c r="E330" s="16">
        <f>IF($C330="","",IFERROR(INDEX(Deals!$F$2:$F$355,MATCH($C330,Deals!$A$2:$A$355,0)),"?"))</f>
        <v/>
      </c>
      <c r="F330" s="28" t="inlineStr">
        <is>
          <t>VP</t>
        </is>
      </c>
      <c r="G330" s="28" t="inlineStr">
        <is>
          <t>Inactive</t>
        </is>
      </c>
      <c r="H330" s="31" t="n"/>
      <c r="I330" s="32">
        <f>IF(OR($A330="",$G330&lt;&gt;"Active"),0,IF($H330&lt;&gt;"",$H330,IF($AO330&gt;0,$AP330,IF(AND($R330&lt;&gt;"",IFERROR(INDEX(Templates!$B$3:$H$10,MATCH($R330,Templates!$A$3:$A$10,0),MATCH($F330,Templates!$B$2:$H$2,0)),0)&gt;0),INDEX(Templates!$B$3:$H$10,MATCH($R330,Templates!$A$3:$A$10,0),MATCH($F330,Templates!$B$2:$H$2,0)),IFERROR(INDEX(Settings!$B$8:$B$14,MATCH($F330,Settings!$A$8:$A$14,0)),0)))))</f>
        <v/>
      </c>
      <c r="J330" s="21">
        <f>IF($C330="",0,IFERROR(INDEX(Deals!$H$2:$H$355,MATCH($C330,Deals!$A$2:$A$355,0)),0))</f>
        <v/>
      </c>
      <c r="K330" s="32">
        <f>IF(Settings!$B$4="Yes",$I330*$J330,$I330)</f>
        <v/>
      </c>
      <c r="L330" s="22">
        <f>IF($C330="","",IFERROR(IF(INDEX(Deals!$I$2:$I$355,MATCH($C330,Deals!$A$2:$A$355,0))=0,"",INDEX(Deals!$I$2:$I$355,MATCH($C330,Deals!$A$2:$A$355,0))),""))</f>
        <v/>
      </c>
      <c r="M330" s="22">
        <f>IF($C330="","",IFERROR(IF(INDEX(Deals!$J$2:$J$355,MATCH($C330,Deals!$A$2:$A$355,0))=0,"",INDEX(Deals!$J$2:$J$355,MATCH($C330,Deals!$A$2:$A$355,0))),""))</f>
        <v/>
      </c>
      <c r="N330" s="35">
        <f>IF($L330="",DATE(1900,1,1),$L330)</f>
        <v/>
      </c>
      <c r="O330" s="35">
        <f>IF($M330="",DATE(2100,12,31),$M330)</f>
        <v/>
      </c>
      <c r="P330" s="20" t="inlineStr">
        <is>
          <t>Pens Down</t>
        </is>
      </c>
      <c r="Q330" s="47" t="inlineStr"/>
      <c r="R330" s="16">
        <f>IF($C330="","",IFERROR(IF(INDEX(Deals!$U$2:$U$355,MATCH($C330,Deals!$A$2:$A$355,0))=0,"",INDEX(Deals!$U$2:$U$355,MATCH($C330,Deals!$A$2:$A$355,0))),""))</f>
        <v/>
      </c>
      <c r="S330" s="34">
        <f>IFERROR(IF($U330="",1,INDEX(Deals!$V$2:$V$355,MATCH($C330,Deals!$A$2:$A$355,0))),1)</f>
        <v/>
      </c>
      <c r="T330" s="34">
        <f>IFERROR(IF($U330="",1,INDEX(Deals!$W$2:$W$355,MATCH($C330,Deals!$A$2:$A$355,0))),1)</f>
        <v/>
      </c>
      <c r="U330" s="22">
        <f>IF($C330="","",IFERROR(IF(INDEX(Deals!$Y$2:$Y$355,MATCH($C330,Deals!$A$2:$A$355,0))=0,"",INDEX(Deals!$Y$2:$Y$355,MATCH($C330,Deals!$A$2:$A$355,0))),""))</f>
        <v/>
      </c>
      <c r="V330" s="35">
        <f>IF(OR($U330&lt;&gt;"",AND($AO330&gt;0,$L330&lt;&gt;"",$M330&lt;&gt;"")),$N330,DATE(1900,1,1))</f>
        <v/>
      </c>
      <c r="W330" s="35">
        <f>IF($U330&lt;&gt;"",$U330,IF(AND($AO330&gt;0,$L330&lt;&gt;"",$M330&lt;&gt;""),$O330,DATE(2100,12,31)))</f>
        <v/>
      </c>
      <c r="X330" s="32">
        <f>IF($U330="",$K330,$K330*$S330)</f>
        <v/>
      </c>
      <c r="Y330" s="35">
        <f>IF($U330="",DATE(2100,12,31),$U330+1)</f>
        <v/>
      </c>
      <c r="Z330" s="35">
        <f>IF($U330="",DATE(1900,1,1),$O330)</f>
        <v/>
      </c>
      <c r="AA330" s="32">
        <f>IF($U330="",0,$K330*$T330)</f>
        <v/>
      </c>
      <c r="AB330" s="21">
        <f>IF($C330="",0,IFERROR(INDEX(Deals!$AD$2:$AD$355,MATCH($C330,Deals!$A$2:$A$355,0)),0))</f>
        <v/>
      </c>
      <c r="AC330" s="32">
        <f>IF(Settings!$B$4="Yes",$I330*$AB330,$I330)</f>
        <v/>
      </c>
      <c r="AD330" s="22">
        <f>IF($C330="","",IFERROR(IF(INDEX(Deals!$AE$2:$AE$355,MATCH($C330,Deals!$A$2:$A$355,0))=0,"",INDEX(Deals!$AE$2:$AE$355,MATCH($C330,Deals!$A$2:$A$355,0))),""))</f>
        <v/>
      </c>
      <c r="AE330" s="22">
        <f>IF($C330="","",IFERROR(IF(INDEX(Deals!$AF$2:$AF$355,MATCH($C330,Deals!$A$2:$A$355,0))=0,"",INDEX(Deals!$AF$2:$AF$355,MATCH($C330,Deals!$A$2:$A$355,0))),""))</f>
        <v/>
      </c>
      <c r="AF330" s="35">
        <f>IF($AD330="",DATE(1900,1,1),$AD330)</f>
        <v/>
      </c>
      <c r="AG330" s="35">
        <f>IF($AE330="",DATE(2100,12,31),$AE330)</f>
        <v/>
      </c>
      <c r="AH330" s="22">
        <f>IF($C330="","",IFERROR(IF(INDEX(Deals!$AG$2:$AG$355,MATCH($C330,Deals!$A$2:$A$355,0))=0,"",INDEX(Deals!$AG$2:$AG$355,MATCH($C330,Deals!$A$2:$A$355,0))),""))</f>
        <v/>
      </c>
      <c r="AI330" s="35">
        <f>IF(OR($AH330&lt;&gt;"",AND($AO330&gt;0,$AD330&lt;&gt;"",$AE330&lt;&gt;"")),$AF330,DATE(1900,1,1))</f>
        <v/>
      </c>
      <c r="AJ330" s="35">
        <f>IF($AH330&lt;&gt;"",$AH330,IF(AND($AO330&gt;0,$AD330&lt;&gt;"",$AE330&lt;&gt;""),$AG330,DATE(2100,12,31)))</f>
        <v/>
      </c>
      <c r="AK330" s="32">
        <f>IF($AH330="",$AC330,$AC330*$S330)</f>
        <v/>
      </c>
      <c r="AL330" s="35">
        <f>IF($AH330="",DATE(2100,12,31),$AH330+1)</f>
        <v/>
      </c>
      <c r="AM330" s="35">
        <f>IF($AH330="",DATE(1900,1,1),$AG330)</f>
        <v/>
      </c>
      <c r="AN330" s="32">
        <f>IF($AH330="",0,$AC330*$T330)</f>
        <v/>
      </c>
      <c r="AO330" s="46">
        <f>IF($C330="",0,IFERROR(INDEX(Deals!$BD$2:$BD$355,MATCH($C330,Deals!$A$2:$A$355,0)),0))</f>
        <v/>
      </c>
      <c r="AP330" s="18">
        <f>IF($AO330=0,0,IFERROR(INDEX(Deals!$BJ$2:$BP$355,MATCH($C330,Deals!$A$2:$A$355,0),MATCH($F330,Deals!$BJ$1:$BP$1,0))/COUNTIFS(Assignments!$C$2:$C$769,$C330,Assignments!$F$2:$F$769,$F330,Assignments!$G$2:$G$769,"Active"),0))</f>
        <v/>
      </c>
    </row>
    <row r="331">
      <c r="A331" s="28" t="inlineStr">
        <is>
          <t>George</t>
        </is>
      </c>
      <c r="B331" s="16">
        <f>IF($A331="","",IFERROR(INDEX(Roster!$B$2:$B$40,MATCH($A331,Roster!$A$2:$A$40,0)),"?"))</f>
        <v/>
      </c>
      <c r="C331" s="28" t="inlineStr">
        <is>
          <t>FIRPTA_5</t>
        </is>
      </c>
      <c r="D331" s="16">
        <f>IF($C331="","",IFERROR(IF(INDEX(Deals!$C$2:$C$355,MATCH($C331,Deals!$A$2:$A$355,0))=0,"",INDEX(Deals!$C$2:$C$355,MATCH($C331,Deals!$A$2:$A$355,0))),"?"))</f>
        <v/>
      </c>
      <c r="E331" s="16">
        <f>IF($C331="","",IFERROR(INDEX(Deals!$F$2:$F$355,MATCH($C331,Deals!$A$2:$A$355,0)),"?"))</f>
        <v/>
      </c>
      <c r="F331" s="28" t="inlineStr">
        <is>
          <t>VP</t>
        </is>
      </c>
      <c r="G331" s="28" t="inlineStr">
        <is>
          <t>Active</t>
        </is>
      </c>
      <c r="H331" s="31" t="n"/>
      <c r="I331" s="32">
        <f>IF(OR($A331="",$G331&lt;&gt;"Active"),0,IF($H331&lt;&gt;"",$H331,IF($AO331&gt;0,$AP331,IF(AND($R331&lt;&gt;"",IFERROR(INDEX(Templates!$B$3:$H$10,MATCH($R331,Templates!$A$3:$A$10,0),MATCH($F331,Templates!$B$2:$H$2,0)),0)&gt;0),INDEX(Templates!$B$3:$H$10,MATCH($R331,Templates!$A$3:$A$10,0),MATCH($F331,Templates!$B$2:$H$2,0)),IFERROR(INDEX(Settings!$B$8:$B$14,MATCH($F331,Settings!$A$8:$A$14,0)),0)))))</f>
        <v/>
      </c>
      <c r="J331" s="21">
        <f>IF($C331="",0,IFERROR(INDEX(Deals!$H$2:$H$355,MATCH($C331,Deals!$A$2:$A$355,0)),0))</f>
        <v/>
      </c>
      <c r="K331" s="32">
        <f>IF(Settings!$B$4="Yes",$I331*$J331,$I331)</f>
        <v/>
      </c>
      <c r="L331" s="22">
        <f>IF($C331="","",IFERROR(IF(INDEX(Deals!$I$2:$I$355,MATCH($C331,Deals!$A$2:$A$355,0))=0,"",INDEX(Deals!$I$2:$I$355,MATCH($C331,Deals!$A$2:$A$355,0))),""))</f>
        <v/>
      </c>
      <c r="M331" s="22">
        <f>IF($C331="","",IFERROR(IF(INDEX(Deals!$J$2:$J$355,MATCH($C331,Deals!$A$2:$A$355,0))=0,"",INDEX(Deals!$J$2:$J$355,MATCH($C331,Deals!$A$2:$A$355,0))),""))</f>
        <v/>
      </c>
      <c r="N331" s="35">
        <f>IF($L331="",DATE(1900,1,1),$L331)</f>
        <v/>
      </c>
      <c r="O331" s="35">
        <f>IF($M331="",DATE(2100,12,31),$M331)</f>
        <v/>
      </c>
      <c r="P331" s="20" t="inlineStr">
        <is>
          <t>Ongoing</t>
        </is>
      </c>
      <c r="Q331" s="47" t="inlineStr"/>
      <c r="R331" s="16">
        <f>IF($C331="","",IFERROR(IF(INDEX(Deals!$U$2:$U$355,MATCH($C331,Deals!$A$2:$A$355,0))=0,"",INDEX(Deals!$U$2:$U$355,MATCH($C331,Deals!$A$2:$A$355,0))),""))</f>
        <v/>
      </c>
      <c r="S331" s="34">
        <f>IFERROR(IF($U331="",1,INDEX(Deals!$V$2:$V$355,MATCH($C331,Deals!$A$2:$A$355,0))),1)</f>
        <v/>
      </c>
      <c r="T331" s="34">
        <f>IFERROR(IF($U331="",1,INDEX(Deals!$W$2:$W$355,MATCH($C331,Deals!$A$2:$A$355,0))),1)</f>
        <v/>
      </c>
      <c r="U331" s="22">
        <f>IF($C331="","",IFERROR(IF(INDEX(Deals!$Y$2:$Y$355,MATCH($C331,Deals!$A$2:$A$355,0))=0,"",INDEX(Deals!$Y$2:$Y$355,MATCH($C331,Deals!$A$2:$A$355,0))),""))</f>
        <v/>
      </c>
      <c r="V331" s="35">
        <f>IF(OR($U331&lt;&gt;"",AND($AO331&gt;0,$L331&lt;&gt;"",$M331&lt;&gt;"")),$N331,DATE(1900,1,1))</f>
        <v/>
      </c>
      <c r="W331" s="35">
        <f>IF($U331&lt;&gt;"",$U331,IF(AND($AO331&gt;0,$L331&lt;&gt;"",$M331&lt;&gt;""),$O331,DATE(2100,12,31)))</f>
        <v/>
      </c>
      <c r="X331" s="32">
        <f>IF($U331="",$K331,$K331*$S331)</f>
        <v/>
      </c>
      <c r="Y331" s="35">
        <f>IF($U331="",DATE(2100,12,31),$U331+1)</f>
        <v/>
      </c>
      <c r="Z331" s="35">
        <f>IF($U331="",DATE(1900,1,1),$O331)</f>
        <v/>
      </c>
      <c r="AA331" s="32">
        <f>IF($U331="",0,$K331*$T331)</f>
        <v/>
      </c>
      <c r="AB331" s="21">
        <f>IF($C331="",0,IFERROR(INDEX(Deals!$AD$2:$AD$355,MATCH($C331,Deals!$A$2:$A$355,0)),0))</f>
        <v/>
      </c>
      <c r="AC331" s="32">
        <f>IF(Settings!$B$4="Yes",$I331*$AB331,$I331)</f>
        <v/>
      </c>
      <c r="AD331" s="22">
        <f>IF($C331="","",IFERROR(IF(INDEX(Deals!$AE$2:$AE$355,MATCH($C331,Deals!$A$2:$A$355,0))=0,"",INDEX(Deals!$AE$2:$AE$355,MATCH($C331,Deals!$A$2:$A$355,0))),""))</f>
        <v/>
      </c>
      <c r="AE331" s="22">
        <f>IF($C331="","",IFERROR(IF(INDEX(Deals!$AF$2:$AF$355,MATCH($C331,Deals!$A$2:$A$355,0))=0,"",INDEX(Deals!$AF$2:$AF$355,MATCH($C331,Deals!$A$2:$A$355,0))),""))</f>
        <v/>
      </c>
      <c r="AF331" s="35">
        <f>IF($AD331="",DATE(1900,1,1),$AD331)</f>
        <v/>
      </c>
      <c r="AG331" s="35">
        <f>IF($AE331="",DATE(2100,12,31),$AE331)</f>
        <v/>
      </c>
      <c r="AH331" s="22">
        <f>IF($C331="","",IFERROR(IF(INDEX(Deals!$AG$2:$AG$355,MATCH($C331,Deals!$A$2:$A$355,0))=0,"",INDEX(Deals!$AG$2:$AG$355,MATCH($C331,Deals!$A$2:$A$355,0))),""))</f>
        <v/>
      </c>
      <c r="AI331" s="35">
        <f>IF(OR($AH331&lt;&gt;"",AND($AO331&gt;0,$AD331&lt;&gt;"",$AE331&lt;&gt;"")),$AF331,DATE(1900,1,1))</f>
        <v/>
      </c>
      <c r="AJ331" s="35">
        <f>IF($AH331&lt;&gt;"",$AH331,IF(AND($AO331&gt;0,$AD331&lt;&gt;"",$AE331&lt;&gt;""),$AG331,DATE(2100,12,31)))</f>
        <v/>
      </c>
      <c r="AK331" s="32">
        <f>IF($AH331="",$AC331,$AC331*$S331)</f>
        <v/>
      </c>
      <c r="AL331" s="35">
        <f>IF($AH331="",DATE(2100,12,31),$AH331+1)</f>
        <v/>
      </c>
      <c r="AM331" s="35">
        <f>IF($AH331="",DATE(1900,1,1),$AG331)</f>
        <v/>
      </c>
      <c r="AN331" s="32">
        <f>IF($AH331="",0,$AC331*$T331)</f>
        <v/>
      </c>
      <c r="AO331" s="46">
        <f>IF($C331="",0,IFERROR(INDEX(Deals!$BD$2:$BD$355,MATCH($C331,Deals!$A$2:$A$355,0)),0))</f>
        <v/>
      </c>
      <c r="AP331" s="18">
        <f>IF($AO331=0,0,IFERROR(INDEX(Deals!$BJ$2:$BP$355,MATCH($C331,Deals!$A$2:$A$355,0),MATCH($F331,Deals!$BJ$1:$BP$1,0))/COUNTIFS(Assignments!$C$2:$C$769,$C331,Assignments!$F$2:$F$769,$F331,Assignments!$G$2:$G$769,"Active"),0))</f>
        <v/>
      </c>
    </row>
    <row r="332">
      <c r="A332" s="28" t="inlineStr">
        <is>
          <t>George</t>
        </is>
      </c>
      <c r="B332" s="16">
        <f>IF($A332="","",IFERROR(INDEX(Roster!$B$2:$B$40,MATCH($A332,Roster!$A$2:$A$40,0)),"?"))</f>
        <v/>
      </c>
      <c r="C332" s="28" t="inlineStr">
        <is>
          <t>Fury_1</t>
        </is>
      </c>
      <c r="D332" s="16">
        <f>IF($C332="","",IFERROR(IF(INDEX(Deals!$C$2:$C$355,MATCH($C332,Deals!$A$2:$A$355,0))=0,"",INDEX(Deals!$C$2:$C$355,MATCH($C332,Deals!$A$2:$A$355,0))),"?"))</f>
        <v/>
      </c>
      <c r="E332" s="16">
        <f>IF($C332="","",IFERROR(INDEX(Deals!$F$2:$F$355,MATCH($C332,Deals!$A$2:$A$355,0)),"?"))</f>
        <v/>
      </c>
      <c r="F332" s="28" t="inlineStr">
        <is>
          <t>VP</t>
        </is>
      </c>
      <c r="G332" s="28" t="inlineStr">
        <is>
          <t>Inactive</t>
        </is>
      </c>
      <c r="H332" s="31" t="n"/>
      <c r="I332" s="32">
        <f>IF(OR($A332="",$G332&lt;&gt;"Active"),0,IF($H332&lt;&gt;"",$H332,IF($AO332&gt;0,$AP332,IF(AND($R332&lt;&gt;"",IFERROR(INDEX(Templates!$B$3:$H$10,MATCH($R332,Templates!$A$3:$A$10,0),MATCH($F332,Templates!$B$2:$H$2,0)),0)&gt;0),INDEX(Templates!$B$3:$H$10,MATCH($R332,Templates!$A$3:$A$10,0),MATCH($F332,Templates!$B$2:$H$2,0)),IFERROR(INDEX(Settings!$B$8:$B$14,MATCH($F332,Settings!$A$8:$A$14,0)),0)))))</f>
        <v/>
      </c>
      <c r="J332" s="21">
        <f>IF($C332="",0,IFERROR(INDEX(Deals!$H$2:$H$355,MATCH($C332,Deals!$A$2:$A$355,0)),0))</f>
        <v/>
      </c>
      <c r="K332" s="32">
        <f>IF(Settings!$B$4="Yes",$I332*$J332,$I332)</f>
        <v/>
      </c>
      <c r="L332" s="22">
        <f>IF($C332="","",IFERROR(IF(INDEX(Deals!$I$2:$I$355,MATCH($C332,Deals!$A$2:$A$355,0))=0,"",INDEX(Deals!$I$2:$I$355,MATCH($C332,Deals!$A$2:$A$355,0))),""))</f>
        <v/>
      </c>
      <c r="M332" s="22">
        <f>IF($C332="","",IFERROR(IF(INDEX(Deals!$J$2:$J$355,MATCH($C332,Deals!$A$2:$A$355,0))=0,"",INDEX(Deals!$J$2:$J$355,MATCH($C332,Deals!$A$2:$A$355,0))),""))</f>
        <v/>
      </c>
      <c r="N332" s="35">
        <f>IF($L332="",DATE(1900,1,1),$L332)</f>
        <v/>
      </c>
      <c r="O332" s="35">
        <f>IF($M332="",DATE(2100,12,31),$M332)</f>
        <v/>
      </c>
      <c r="P332" s="20" t="inlineStr">
        <is>
          <t>Closed</t>
        </is>
      </c>
      <c r="Q332" s="47" t="inlineStr"/>
      <c r="R332" s="16">
        <f>IF($C332="","",IFERROR(IF(INDEX(Deals!$U$2:$U$355,MATCH($C332,Deals!$A$2:$A$355,0))=0,"",INDEX(Deals!$U$2:$U$355,MATCH($C332,Deals!$A$2:$A$355,0))),""))</f>
        <v/>
      </c>
      <c r="S332" s="34">
        <f>IFERROR(IF($U332="",1,INDEX(Deals!$V$2:$V$355,MATCH($C332,Deals!$A$2:$A$355,0))),1)</f>
        <v/>
      </c>
      <c r="T332" s="34">
        <f>IFERROR(IF($U332="",1,INDEX(Deals!$W$2:$W$355,MATCH($C332,Deals!$A$2:$A$355,0))),1)</f>
        <v/>
      </c>
      <c r="U332" s="22">
        <f>IF($C332="","",IFERROR(IF(INDEX(Deals!$Y$2:$Y$355,MATCH($C332,Deals!$A$2:$A$355,0))=0,"",INDEX(Deals!$Y$2:$Y$355,MATCH($C332,Deals!$A$2:$A$355,0))),""))</f>
        <v/>
      </c>
      <c r="V332" s="35">
        <f>IF(OR($U332&lt;&gt;"",AND($AO332&gt;0,$L332&lt;&gt;"",$M332&lt;&gt;"")),$N332,DATE(1900,1,1))</f>
        <v/>
      </c>
      <c r="W332" s="35">
        <f>IF($U332&lt;&gt;"",$U332,IF(AND($AO332&gt;0,$L332&lt;&gt;"",$M332&lt;&gt;""),$O332,DATE(2100,12,31)))</f>
        <v/>
      </c>
      <c r="X332" s="32">
        <f>IF($U332="",$K332,$K332*$S332)</f>
        <v/>
      </c>
      <c r="Y332" s="35">
        <f>IF($U332="",DATE(2100,12,31),$U332+1)</f>
        <v/>
      </c>
      <c r="Z332" s="35">
        <f>IF($U332="",DATE(1900,1,1),$O332)</f>
        <v/>
      </c>
      <c r="AA332" s="32">
        <f>IF($U332="",0,$K332*$T332)</f>
        <v/>
      </c>
      <c r="AB332" s="21">
        <f>IF($C332="",0,IFERROR(INDEX(Deals!$AD$2:$AD$355,MATCH($C332,Deals!$A$2:$A$355,0)),0))</f>
        <v/>
      </c>
      <c r="AC332" s="32">
        <f>IF(Settings!$B$4="Yes",$I332*$AB332,$I332)</f>
        <v/>
      </c>
      <c r="AD332" s="22">
        <f>IF($C332="","",IFERROR(IF(INDEX(Deals!$AE$2:$AE$355,MATCH($C332,Deals!$A$2:$A$355,0))=0,"",INDEX(Deals!$AE$2:$AE$355,MATCH($C332,Deals!$A$2:$A$355,0))),""))</f>
        <v/>
      </c>
      <c r="AE332" s="22">
        <f>IF($C332="","",IFERROR(IF(INDEX(Deals!$AF$2:$AF$355,MATCH($C332,Deals!$A$2:$A$355,0))=0,"",INDEX(Deals!$AF$2:$AF$355,MATCH($C332,Deals!$A$2:$A$355,0))),""))</f>
        <v/>
      </c>
      <c r="AF332" s="35">
        <f>IF($AD332="",DATE(1900,1,1),$AD332)</f>
        <v/>
      </c>
      <c r="AG332" s="35">
        <f>IF($AE332="",DATE(2100,12,31),$AE332)</f>
        <v/>
      </c>
      <c r="AH332" s="22">
        <f>IF($C332="","",IFERROR(IF(INDEX(Deals!$AG$2:$AG$355,MATCH($C332,Deals!$A$2:$A$355,0))=0,"",INDEX(Deals!$AG$2:$AG$355,MATCH($C332,Deals!$A$2:$A$355,0))),""))</f>
        <v/>
      </c>
      <c r="AI332" s="35">
        <f>IF(OR($AH332&lt;&gt;"",AND($AO332&gt;0,$AD332&lt;&gt;"",$AE332&lt;&gt;"")),$AF332,DATE(1900,1,1))</f>
        <v/>
      </c>
      <c r="AJ332" s="35">
        <f>IF($AH332&lt;&gt;"",$AH332,IF(AND($AO332&gt;0,$AD332&lt;&gt;"",$AE332&lt;&gt;""),$AG332,DATE(2100,12,31)))</f>
        <v/>
      </c>
      <c r="AK332" s="32">
        <f>IF($AH332="",$AC332,$AC332*$S332)</f>
        <v/>
      </c>
      <c r="AL332" s="35">
        <f>IF($AH332="",DATE(2100,12,31),$AH332+1)</f>
        <v/>
      </c>
      <c r="AM332" s="35">
        <f>IF($AH332="",DATE(1900,1,1),$AG332)</f>
        <v/>
      </c>
      <c r="AN332" s="32">
        <f>IF($AH332="",0,$AC332*$T332)</f>
        <v/>
      </c>
      <c r="AO332" s="46">
        <f>IF($C332="",0,IFERROR(INDEX(Deals!$BD$2:$BD$355,MATCH($C332,Deals!$A$2:$A$355,0)),0))</f>
        <v/>
      </c>
      <c r="AP332" s="18">
        <f>IF($AO332=0,0,IFERROR(INDEX(Deals!$BJ$2:$BP$355,MATCH($C332,Deals!$A$2:$A$355,0),MATCH($F332,Deals!$BJ$1:$BP$1,0))/COUNTIFS(Assignments!$C$2:$C$769,$C332,Assignments!$F$2:$F$769,$F332,Assignments!$G$2:$G$769,"Active"),0))</f>
        <v/>
      </c>
    </row>
    <row r="333">
      <c r="A333" s="28" t="inlineStr">
        <is>
          <t>George</t>
        </is>
      </c>
      <c r="B333" s="16">
        <f>IF($A333="","",IFERROR(INDEX(Roster!$B$2:$B$40,MATCH($A333,Roster!$A$2:$A$40,0)),"?"))</f>
        <v/>
      </c>
      <c r="C333" s="28" t="inlineStr">
        <is>
          <t>Geneseo_1</t>
        </is>
      </c>
      <c r="D333" s="16">
        <f>IF($C333="","",IFERROR(IF(INDEX(Deals!$C$2:$C$355,MATCH($C333,Deals!$A$2:$A$355,0))=0,"",INDEX(Deals!$C$2:$C$355,MATCH($C333,Deals!$A$2:$A$355,0))),"?"))</f>
        <v/>
      </c>
      <c r="E333" s="16">
        <f>IF($C333="","",IFERROR(INDEX(Deals!$F$2:$F$355,MATCH($C333,Deals!$A$2:$A$355,0)),"?"))</f>
        <v/>
      </c>
      <c r="F333" s="28" t="inlineStr">
        <is>
          <t>VP</t>
        </is>
      </c>
      <c r="G333" s="28" t="inlineStr">
        <is>
          <t>Active</t>
        </is>
      </c>
      <c r="H333" s="31" t="n"/>
      <c r="I333" s="32">
        <f>IF(OR($A333="",$G333&lt;&gt;"Active"),0,IF($H333&lt;&gt;"",$H333,IF($AO333&gt;0,$AP333,IF(AND($R333&lt;&gt;"",IFERROR(INDEX(Templates!$B$3:$H$10,MATCH($R333,Templates!$A$3:$A$10,0),MATCH($F333,Templates!$B$2:$H$2,0)),0)&gt;0),INDEX(Templates!$B$3:$H$10,MATCH($R333,Templates!$A$3:$A$10,0),MATCH($F333,Templates!$B$2:$H$2,0)),IFERROR(INDEX(Settings!$B$8:$B$14,MATCH($F333,Settings!$A$8:$A$14,0)),0)))))</f>
        <v/>
      </c>
      <c r="J333" s="21">
        <f>IF($C333="",0,IFERROR(INDEX(Deals!$H$2:$H$355,MATCH($C333,Deals!$A$2:$A$355,0)),0))</f>
        <v/>
      </c>
      <c r="K333" s="32">
        <f>IF(Settings!$B$4="Yes",$I333*$J333,$I333)</f>
        <v/>
      </c>
      <c r="L333" s="22">
        <f>IF($C333="","",IFERROR(IF(INDEX(Deals!$I$2:$I$355,MATCH($C333,Deals!$A$2:$A$355,0))=0,"",INDEX(Deals!$I$2:$I$355,MATCH($C333,Deals!$A$2:$A$355,0))),""))</f>
        <v/>
      </c>
      <c r="M333" s="22">
        <f>IF($C333="","",IFERROR(IF(INDEX(Deals!$J$2:$J$355,MATCH($C333,Deals!$A$2:$A$355,0))=0,"",INDEX(Deals!$J$2:$J$355,MATCH($C333,Deals!$A$2:$A$355,0))),""))</f>
        <v/>
      </c>
      <c r="N333" s="35">
        <f>IF($L333="",DATE(1900,1,1),$L333)</f>
        <v/>
      </c>
      <c r="O333" s="35">
        <f>IF($M333="",DATE(2100,12,31),$M333)</f>
        <v/>
      </c>
      <c r="P333" s="20" t="inlineStr">
        <is>
          <t>TDD done / Structuring Ongoing</t>
        </is>
      </c>
      <c r="Q333" s="47" t="inlineStr"/>
      <c r="R333" s="16">
        <f>IF($C333="","",IFERROR(IF(INDEX(Deals!$U$2:$U$355,MATCH($C333,Deals!$A$2:$A$355,0))=0,"",INDEX(Deals!$U$2:$U$355,MATCH($C333,Deals!$A$2:$A$355,0))),""))</f>
        <v/>
      </c>
      <c r="S333" s="34">
        <f>IFERROR(IF($U333="",1,INDEX(Deals!$V$2:$V$355,MATCH($C333,Deals!$A$2:$A$355,0))),1)</f>
        <v/>
      </c>
      <c r="T333" s="34">
        <f>IFERROR(IF($U333="",1,INDEX(Deals!$W$2:$W$355,MATCH($C333,Deals!$A$2:$A$355,0))),1)</f>
        <v/>
      </c>
      <c r="U333" s="22">
        <f>IF($C333="","",IFERROR(IF(INDEX(Deals!$Y$2:$Y$355,MATCH($C333,Deals!$A$2:$A$355,0))=0,"",INDEX(Deals!$Y$2:$Y$355,MATCH($C333,Deals!$A$2:$A$355,0))),""))</f>
        <v/>
      </c>
      <c r="V333" s="35">
        <f>IF(OR($U333&lt;&gt;"",AND($AO333&gt;0,$L333&lt;&gt;"",$M333&lt;&gt;"")),$N333,DATE(1900,1,1))</f>
        <v/>
      </c>
      <c r="W333" s="35">
        <f>IF($U333&lt;&gt;"",$U333,IF(AND($AO333&gt;0,$L333&lt;&gt;"",$M333&lt;&gt;""),$O333,DATE(2100,12,31)))</f>
        <v/>
      </c>
      <c r="X333" s="32">
        <f>IF($U333="",$K333,$K333*$S333)</f>
        <v/>
      </c>
      <c r="Y333" s="35">
        <f>IF($U333="",DATE(2100,12,31),$U333+1)</f>
        <v/>
      </c>
      <c r="Z333" s="35">
        <f>IF($U333="",DATE(1900,1,1),$O333)</f>
        <v/>
      </c>
      <c r="AA333" s="32">
        <f>IF($U333="",0,$K333*$T333)</f>
        <v/>
      </c>
      <c r="AB333" s="21">
        <f>IF($C333="",0,IFERROR(INDEX(Deals!$AD$2:$AD$355,MATCH($C333,Deals!$A$2:$A$355,0)),0))</f>
        <v/>
      </c>
      <c r="AC333" s="32">
        <f>IF(Settings!$B$4="Yes",$I333*$AB333,$I333)</f>
        <v/>
      </c>
      <c r="AD333" s="22">
        <f>IF($C333="","",IFERROR(IF(INDEX(Deals!$AE$2:$AE$355,MATCH($C333,Deals!$A$2:$A$355,0))=0,"",INDEX(Deals!$AE$2:$AE$355,MATCH($C333,Deals!$A$2:$A$355,0))),""))</f>
        <v/>
      </c>
      <c r="AE333" s="22">
        <f>IF($C333="","",IFERROR(IF(INDEX(Deals!$AF$2:$AF$355,MATCH($C333,Deals!$A$2:$A$355,0))=0,"",INDEX(Deals!$AF$2:$AF$355,MATCH($C333,Deals!$A$2:$A$355,0))),""))</f>
        <v/>
      </c>
      <c r="AF333" s="35">
        <f>IF($AD333="",DATE(1900,1,1),$AD333)</f>
        <v/>
      </c>
      <c r="AG333" s="35">
        <f>IF($AE333="",DATE(2100,12,31),$AE333)</f>
        <v/>
      </c>
      <c r="AH333" s="22">
        <f>IF($C333="","",IFERROR(IF(INDEX(Deals!$AG$2:$AG$355,MATCH($C333,Deals!$A$2:$A$355,0))=0,"",INDEX(Deals!$AG$2:$AG$355,MATCH($C333,Deals!$A$2:$A$355,0))),""))</f>
        <v/>
      </c>
      <c r="AI333" s="35">
        <f>IF(OR($AH333&lt;&gt;"",AND($AO333&gt;0,$AD333&lt;&gt;"",$AE333&lt;&gt;"")),$AF333,DATE(1900,1,1))</f>
        <v/>
      </c>
      <c r="AJ333" s="35">
        <f>IF($AH333&lt;&gt;"",$AH333,IF(AND($AO333&gt;0,$AD333&lt;&gt;"",$AE333&lt;&gt;""),$AG333,DATE(2100,12,31)))</f>
        <v/>
      </c>
      <c r="AK333" s="32">
        <f>IF($AH333="",$AC333,$AC333*$S333)</f>
        <v/>
      </c>
      <c r="AL333" s="35">
        <f>IF($AH333="",DATE(2100,12,31),$AH333+1)</f>
        <v/>
      </c>
      <c r="AM333" s="35">
        <f>IF($AH333="",DATE(1900,1,1),$AG333)</f>
        <v/>
      </c>
      <c r="AN333" s="32">
        <f>IF($AH333="",0,$AC333*$T333)</f>
        <v/>
      </c>
      <c r="AO333" s="46">
        <f>IF($C333="",0,IFERROR(INDEX(Deals!$BD$2:$BD$355,MATCH($C333,Deals!$A$2:$A$355,0)),0))</f>
        <v/>
      </c>
      <c r="AP333" s="18">
        <f>IF($AO333=0,0,IFERROR(INDEX(Deals!$BJ$2:$BP$355,MATCH($C333,Deals!$A$2:$A$355,0),MATCH($F333,Deals!$BJ$1:$BP$1,0))/COUNTIFS(Assignments!$C$2:$C$769,$C333,Assignments!$F$2:$F$769,$F333,Assignments!$G$2:$G$769,"Active"),0))</f>
        <v/>
      </c>
    </row>
    <row r="334">
      <c r="A334" s="28" t="inlineStr">
        <is>
          <t>George</t>
        </is>
      </c>
      <c r="B334" s="16">
        <f>IF($A334="","",IFERROR(INDEX(Roster!$B$2:$B$40,MATCH($A334,Roster!$A$2:$A$40,0)),"?"))</f>
        <v/>
      </c>
      <c r="C334" s="28" t="inlineStr">
        <is>
          <t>Horizon_3</t>
        </is>
      </c>
      <c r="D334" s="16">
        <f>IF($C334="","",IFERROR(IF(INDEX(Deals!$C$2:$C$355,MATCH($C334,Deals!$A$2:$A$355,0))=0,"",INDEX(Deals!$C$2:$C$355,MATCH($C334,Deals!$A$2:$A$355,0))),"?"))</f>
        <v/>
      </c>
      <c r="E334" s="16">
        <f>IF($C334="","",IFERROR(INDEX(Deals!$F$2:$F$355,MATCH($C334,Deals!$A$2:$A$355,0)),"?"))</f>
        <v/>
      </c>
      <c r="F334" s="28" t="inlineStr">
        <is>
          <t>VP</t>
        </is>
      </c>
      <c r="G334" s="28" t="inlineStr">
        <is>
          <t>Inactive</t>
        </is>
      </c>
      <c r="H334" s="31" t="n"/>
      <c r="I334" s="32">
        <f>IF(OR($A334="",$G334&lt;&gt;"Active"),0,IF($H334&lt;&gt;"",$H334,IF($AO334&gt;0,$AP334,IF(AND($R334&lt;&gt;"",IFERROR(INDEX(Templates!$B$3:$H$10,MATCH($R334,Templates!$A$3:$A$10,0),MATCH($F334,Templates!$B$2:$H$2,0)),0)&gt;0),INDEX(Templates!$B$3:$H$10,MATCH($R334,Templates!$A$3:$A$10,0),MATCH($F334,Templates!$B$2:$H$2,0)),IFERROR(INDEX(Settings!$B$8:$B$14,MATCH($F334,Settings!$A$8:$A$14,0)),0)))))</f>
        <v/>
      </c>
      <c r="J334" s="21">
        <f>IF($C334="",0,IFERROR(INDEX(Deals!$H$2:$H$355,MATCH($C334,Deals!$A$2:$A$355,0)),0))</f>
        <v/>
      </c>
      <c r="K334" s="32">
        <f>IF(Settings!$B$4="Yes",$I334*$J334,$I334)</f>
        <v/>
      </c>
      <c r="L334" s="22">
        <f>IF($C334="","",IFERROR(IF(INDEX(Deals!$I$2:$I$355,MATCH($C334,Deals!$A$2:$A$355,0))=0,"",INDEX(Deals!$I$2:$I$355,MATCH($C334,Deals!$A$2:$A$355,0))),""))</f>
        <v/>
      </c>
      <c r="M334" s="22">
        <f>IF($C334="","",IFERROR(IF(INDEX(Deals!$J$2:$J$355,MATCH($C334,Deals!$A$2:$A$355,0))=0,"",INDEX(Deals!$J$2:$J$355,MATCH($C334,Deals!$A$2:$A$355,0))),""))</f>
        <v/>
      </c>
      <c r="N334" s="35">
        <f>IF($L334="",DATE(1900,1,1),$L334)</f>
        <v/>
      </c>
      <c r="O334" s="35">
        <f>IF($M334="",DATE(2100,12,31),$M334)</f>
        <v/>
      </c>
      <c r="P334" s="20" t="inlineStr">
        <is>
          <t>Dead</t>
        </is>
      </c>
      <c r="Q334" s="47" t="inlineStr"/>
      <c r="R334" s="16">
        <f>IF($C334="","",IFERROR(IF(INDEX(Deals!$U$2:$U$355,MATCH($C334,Deals!$A$2:$A$355,0))=0,"",INDEX(Deals!$U$2:$U$355,MATCH($C334,Deals!$A$2:$A$355,0))),""))</f>
        <v/>
      </c>
      <c r="S334" s="34">
        <f>IFERROR(IF($U334="",1,INDEX(Deals!$V$2:$V$355,MATCH($C334,Deals!$A$2:$A$355,0))),1)</f>
        <v/>
      </c>
      <c r="T334" s="34">
        <f>IFERROR(IF($U334="",1,INDEX(Deals!$W$2:$W$355,MATCH($C334,Deals!$A$2:$A$355,0))),1)</f>
        <v/>
      </c>
      <c r="U334" s="22">
        <f>IF($C334="","",IFERROR(IF(INDEX(Deals!$Y$2:$Y$355,MATCH($C334,Deals!$A$2:$A$355,0))=0,"",INDEX(Deals!$Y$2:$Y$355,MATCH($C334,Deals!$A$2:$A$355,0))),""))</f>
        <v/>
      </c>
      <c r="V334" s="35">
        <f>IF(OR($U334&lt;&gt;"",AND($AO334&gt;0,$L334&lt;&gt;"",$M334&lt;&gt;"")),$N334,DATE(1900,1,1))</f>
        <v/>
      </c>
      <c r="W334" s="35">
        <f>IF($U334&lt;&gt;"",$U334,IF(AND($AO334&gt;0,$L334&lt;&gt;"",$M334&lt;&gt;""),$O334,DATE(2100,12,31)))</f>
        <v/>
      </c>
      <c r="X334" s="32">
        <f>IF($U334="",$K334,$K334*$S334)</f>
        <v/>
      </c>
      <c r="Y334" s="35">
        <f>IF($U334="",DATE(2100,12,31),$U334+1)</f>
        <v/>
      </c>
      <c r="Z334" s="35">
        <f>IF($U334="",DATE(1900,1,1),$O334)</f>
        <v/>
      </c>
      <c r="AA334" s="32">
        <f>IF($U334="",0,$K334*$T334)</f>
        <v/>
      </c>
      <c r="AB334" s="21">
        <f>IF($C334="",0,IFERROR(INDEX(Deals!$AD$2:$AD$355,MATCH($C334,Deals!$A$2:$A$355,0)),0))</f>
        <v/>
      </c>
      <c r="AC334" s="32">
        <f>IF(Settings!$B$4="Yes",$I334*$AB334,$I334)</f>
        <v/>
      </c>
      <c r="AD334" s="22">
        <f>IF($C334="","",IFERROR(IF(INDEX(Deals!$AE$2:$AE$355,MATCH($C334,Deals!$A$2:$A$355,0))=0,"",INDEX(Deals!$AE$2:$AE$355,MATCH($C334,Deals!$A$2:$A$355,0))),""))</f>
        <v/>
      </c>
      <c r="AE334" s="22">
        <f>IF($C334="","",IFERROR(IF(INDEX(Deals!$AF$2:$AF$355,MATCH($C334,Deals!$A$2:$A$355,0))=0,"",INDEX(Deals!$AF$2:$AF$355,MATCH($C334,Deals!$A$2:$A$355,0))),""))</f>
        <v/>
      </c>
      <c r="AF334" s="35">
        <f>IF($AD334="",DATE(1900,1,1),$AD334)</f>
        <v/>
      </c>
      <c r="AG334" s="35">
        <f>IF($AE334="",DATE(2100,12,31),$AE334)</f>
        <v/>
      </c>
      <c r="AH334" s="22">
        <f>IF($C334="","",IFERROR(IF(INDEX(Deals!$AG$2:$AG$355,MATCH($C334,Deals!$A$2:$A$355,0))=0,"",INDEX(Deals!$AG$2:$AG$355,MATCH($C334,Deals!$A$2:$A$355,0))),""))</f>
        <v/>
      </c>
      <c r="AI334" s="35">
        <f>IF(OR($AH334&lt;&gt;"",AND($AO334&gt;0,$AD334&lt;&gt;"",$AE334&lt;&gt;"")),$AF334,DATE(1900,1,1))</f>
        <v/>
      </c>
      <c r="AJ334" s="35">
        <f>IF($AH334&lt;&gt;"",$AH334,IF(AND($AO334&gt;0,$AD334&lt;&gt;"",$AE334&lt;&gt;""),$AG334,DATE(2100,12,31)))</f>
        <v/>
      </c>
      <c r="AK334" s="32">
        <f>IF($AH334="",$AC334,$AC334*$S334)</f>
        <v/>
      </c>
      <c r="AL334" s="35">
        <f>IF($AH334="",DATE(2100,12,31),$AH334+1)</f>
        <v/>
      </c>
      <c r="AM334" s="35">
        <f>IF($AH334="",DATE(1900,1,1),$AG334)</f>
        <v/>
      </c>
      <c r="AN334" s="32">
        <f>IF($AH334="",0,$AC334*$T334)</f>
        <v/>
      </c>
      <c r="AO334" s="46">
        <f>IF($C334="",0,IFERROR(INDEX(Deals!$BD$2:$BD$355,MATCH($C334,Deals!$A$2:$A$355,0)),0))</f>
        <v/>
      </c>
      <c r="AP334" s="18">
        <f>IF($AO334=0,0,IFERROR(INDEX(Deals!$BJ$2:$BP$355,MATCH($C334,Deals!$A$2:$A$355,0),MATCH($F334,Deals!$BJ$1:$BP$1,0))/COUNTIFS(Assignments!$C$2:$C$769,$C334,Assignments!$F$2:$F$769,$F334,Assignments!$G$2:$G$769,"Active"),0))</f>
        <v/>
      </c>
    </row>
    <row r="335">
      <c r="A335" s="28" t="inlineStr">
        <is>
          <t>George</t>
        </is>
      </c>
      <c r="B335" s="16">
        <f>IF($A335="","",IFERROR(INDEX(Roster!$B$2:$B$40,MATCH($A335,Roster!$A$2:$A$40,0)),"?"))</f>
        <v/>
      </c>
      <c r="C335" s="28" t="inlineStr">
        <is>
          <t>Instinct_1</t>
        </is>
      </c>
      <c r="D335" s="16">
        <f>IF($C335="","",IFERROR(IF(INDEX(Deals!$C$2:$C$355,MATCH($C335,Deals!$A$2:$A$355,0))=0,"",INDEX(Deals!$C$2:$C$355,MATCH($C335,Deals!$A$2:$A$355,0))),"?"))</f>
        <v/>
      </c>
      <c r="E335" s="16">
        <f>IF($C335="","",IFERROR(INDEX(Deals!$F$2:$F$355,MATCH($C335,Deals!$A$2:$A$355,0)),"?"))</f>
        <v/>
      </c>
      <c r="F335" s="28" t="inlineStr">
        <is>
          <t>VP</t>
        </is>
      </c>
      <c r="G335" s="28" t="inlineStr">
        <is>
          <t>Active</t>
        </is>
      </c>
      <c r="H335" s="31" t="n"/>
      <c r="I335" s="32">
        <f>IF(OR($A335="",$G335&lt;&gt;"Active"),0,IF($H335&lt;&gt;"",$H335,IF($AO335&gt;0,$AP335,IF(AND($R335&lt;&gt;"",IFERROR(INDEX(Templates!$B$3:$H$10,MATCH($R335,Templates!$A$3:$A$10,0),MATCH($F335,Templates!$B$2:$H$2,0)),0)&gt;0),INDEX(Templates!$B$3:$H$10,MATCH($R335,Templates!$A$3:$A$10,0),MATCH($F335,Templates!$B$2:$H$2,0)),IFERROR(INDEX(Settings!$B$8:$B$14,MATCH($F335,Settings!$A$8:$A$14,0)),0)))))</f>
        <v/>
      </c>
      <c r="J335" s="21">
        <f>IF($C335="",0,IFERROR(INDEX(Deals!$H$2:$H$355,MATCH($C335,Deals!$A$2:$A$355,0)),0))</f>
        <v/>
      </c>
      <c r="K335" s="32">
        <f>IF(Settings!$B$4="Yes",$I335*$J335,$I335)</f>
        <v/>
      </c>
      <c r="L335" s="22">
        <f>IF($C335="","",IFERROR(IF(INDEX(Deals!$I$2:$I$355,MATCH($C335,Deals!$A$2:$A$355,0))=0,"",INDEX(Deals!$I$2:$I$355,MATCH($C335,Deals!$A$2:$A$355,0))),""))</f>
        <v/>
      </c>
      <c r="M335" s="22">
        <f>IF($C335="","",IFERROR(IF(INDEX(Deals!$J$2:$J$355,MATCH($C335,Deals!$A$2:$A$355,0))=0,"",INDEX(Deals!$J$2:$J$355,MATCH($C335,Deals!$A$2:$A$355,0))),""))</f>
        <v/>
      </c>
      <c r="N335" s="35">
        <f>IF($L335="",DATE(1900,1,1),$L335)</f>
        <v/>
      </c>
      <c r="O335" s="35">
        <f>IF($M335="",DATE(2100,12,31),$M335)</f>
        <v/>
      </c>
      <c r="P335" s="20" t="inlineStr">
        <is>
          <t>Ongoing</t>
        </is>
      </c>
      <c r="Q335" s="47" t="inlineStr">
        <is>
          <t>Added from Summary tab</t>
        </is>
      </c>
      <c r="R335" s="16">
        <f>IF($C335="","",IFERROR(IF(INDEX(Deals!$U$2:$U$355,MATCH($C335,Deals!$A$2:$A$355,0))=0,"",INDEX(Deals!$U$2:$U$355,MATCH($C335,Deals!$A$2:$A$355,0))),""))</f>
        <v/>
      </c>
      <c r="S335" s="34">
        <f>IFERROR(IF($U335="",1,INDEX(Deals!$V$2:$V$355,MATCH($C335,Deals!$A$2:$A$355,0))),1)</f>
        <v/>
      </c>
      <c r="T335" s="34">
        <f>IFERROR(IF($U335="",1,INDEX(Deals!$W$2:$W$355,MATCH($C335,Deals!$A$2:$A$355,0))),1)</f>
        <v/>
      </c>
      <c r="U335" s="22">
        <f>IF($C335="","",IFERROR(IF(INDEX(Deals!$Y$2:$Y$355,MATCH($C335,Deals!$A$2:$A$355,0))=0,"",INDEX(Deals!$Y$2:$Y$355,MATCH($C335,Deals!$A$2:$A$355,0))),""))</f>
        <v/>
      </c>
      <c r="V335" s="35">
        <f>IF(OR($U335&lt;&gt;"",AND($AO335&gt;0,$L335&lt;&gt;"",$M335&lt;&gt;"")),$N335,DATE(1900,1,1))</f>
        <v/>
      </c>
      <c r="W335" s="35">
        <f>IF($U335&lt;&gt;"",$U335,IF(AND($AO335&gt;0,$L335&lt;&gt;"",$M335&lt;&gt;""),$O335,DATE(2100,12,31)))</f>
        <v/>
      </c>
      <c r="X335" s="32">
        <f>IF($U335="",$K335,$K335*$S335)</f>
        <v/>
      </c>
      <c r="Y335" s="35">
        <f>IF($U335="",DATE(2100,12,31),$U335+1)</f>
        <v/>
      </c>
      <c r="Z335" s="35">
        <f>IF($U335="",DATE(1900,1,1),$O335)</f>
        <v/>
      </c>
      <c r="AA335" s="32">
        <f>IF($U335="",0,$K335*$T335)</f>
        <v/>
      </c>
      <c r="AB335" s="21">
        <f>IF($C335="",0,IFERROR(INDEX(Deals!$AD$2:$AD$355,MATCH($C335,Deals!$A$2:$A$355,0)),0))</f>
        <v/>
      </c>
      <c r="AC335" s="32">
        <f>IF(Settings!$B$4="Yes",$I335*$AB335,$I335)</f>
        <v/>
      </c>
      <c r="AD335" s="22">
        <f>IF($C335="","",IFERROR(IF(INDEX(Deals!$AE$2:$AE$355,MATCH($C335,Deals!$A$2:$A$355,0))=0,"",INDEX(Deals!$AE$2:$AE$355,MATCH($C335,Deals!$A$2:$A$355,0))),""))</f>
        <v/>
      </c>
      <c r="AE335" s="22">
        <f>IF($C335="","",IFERROR(IF(INDEX(Deals!$AF$2:$AF$355,MATCH($C335,Deals!$A$2:$A$355,0))=0,"",INDEX(Deals!$AF$2:$AF$355,MATCH($C335,Deals!$A$2:$A$355,0))),""))</f>
        <v/>
      </c>
      <c r="AF335" s="35">
        <f>IF($AD335="",DATE(1900,1,1),$AD335)</f>
        <v/>
      </c>
      <c r="AG335" s="35">
        <f>IF($AE335="",DATE(2100,12,31),$AE335)</f>
        <v/>
      </c>
      <c r="AH335" s="22">
        <f>IF($C335="","",IFERROR(IF(INDEX(Deals!$AG$2:$AG$355,MATCH($C335,Deals!$A$2:$A$355,0))=0,"",INDEX(Deals!$AG$2:$AG$355,MATCH($C335,Deals!$A$2:$A$355,0))),""))</f>
        <v/>
      </c>
      <c r="AI335" s="35">
        <f>IF(OR($AH335&lt;&gt;"",AND($AO335&gt;0,$AD335&lt;&gt;"",$AE335&lt;&gt;"")),$AF335,DATE(1900,1,1))</f>
        <v/>
      </c>
      <c r="AJ335" s="35">
        <f>IF($AH335&lt;&gt;"",$AH335,IF(AND($AO335&gt;0,$AD335&lt;&gt;"",$AE335&lt;&gt;""),$AG335,DATE(2100,12,31)))</f>
        <v/>
      </c>
      <c r="AK335" s="32">
        <f>IF($AH335="",$AC335,$AC335*$S335)</f>
        <v/>
      </c>
      <c r="AL335" s="35">
        <f>IF($AH335="",DATE(2100,12,31),$AH335+1)</f>
        <v/>
      </c>
      <c r="AM335" s="35">
        <f>IF($AH335="",DATE(1900,1,1),$AG335)</f>
        <v/>
      </c>
      <c r="AN335" s="32">
        <f>IF($AH335="",0,$AC335*$T335)</f>
        <v/>
      </c>
      <c r="AO335" s="46">
        <f>IF($C335="",0,IFERROR(INDEX(Deals!$BD$2:$BD$355,MATCH($C335,Deals!$A$2:$A$355,0)),0))</f>
        <v/>
      </c>
      <c r="AP335" s="18">
        <f>IF($AO335=0,0,IFERROR(INDEX(Deals!$BJ$2:$BP$355,MATCH($C335,Deals!$A$2:$A$355,0),MATCH($F335,Deals!$BJ$1:$BP$1,0))/COUNTIFS(Assignments!$C$2:$C$769,$C335,Assignments!$F$2:$F$769,$F335,Assignments!$G$2:$G$769,"Active"),0))</f>
        <v/>
      </c>
    </row>
    <row r="336">
      <c r="A336" s="28" t="inlineStr">
        <is>
          <t>George</t>
        </is>
      </c>
      <c r="B336" s="16">
        <f>IF($A336="","",IFERROR(INDEX(Roster!$B$2:$B$40,MATCH($A336,Roster!$A$2:$A$40,0)),"?"))</f>
        <v/>
      </c>
      <c r="C336" s="28" t="inlineStr">
        <is>
          <t>Manchester_1</t>
        </is>
      </c>
      <c r="D336" s="16">
        <f>IF($C336="","",IFERROR(IF(INDEX(Deals!$C$2:$C$355,MATCH($C336,Deals!$A$2:$A$355,0))=0,"",INDEX(Deals!$C$2:$C$355,MATCH($C336,Deals!$A$2:$A$355,0))),"?"))</f>
        <v/>
      </c>
      <c r="E336" s="16">
        <f>IF($C336="","",IFERROR(INDEX(Deals!$F$2:$F$355,MATCH($C336,Deals!$A$2:$A$355,0)),"?"))</f>
        <v/>
      </c>
      <c r="F336" s="28" t="inlineStr">
        <is>
          <t>VP</t>
        </is>
      </c>
      <c r="G336" s="28" t="inlineStr">
        <is>
          <t>Active</t>
        </is>
      </c>
      <c r="H336" s="31" t="n"/>
      <c r="I336" s="32">
        <f>IF(OR($A336="",$G336&lt;&gt;"Active"),0,IF($H336&lt;&gt;"",$H336,IF($AO336&gt;0,$AP336,IF(AND($R336&lt;&gt;"",IFERROR(INDEX(Templates!$B$3:$H$10,MATCH($R336,Templates!$A$3:$A$10,0),MATCH($F336,Templates!$B$2:$H$2,0)),0)&gt;0),INDEX(Templates!$B$3:$H$10,MATCH($R336,Templates!$A$3:$A$10,0),MATCH($F336,Templates!$B$2:$H$2,0)),IFERROR(INDEX(Settings!$B$8:$B$14,MATCH($F336,Settings!$A$8:$A$14,0)),0)))))</f>
        <v/>
      </c>
      <c r="J336" s="21">
        <f>IF($C336="",0,IFERROR(INDEX(Deals!$H$2:$H$355,MATCH($C336,Deals!$A$2:$A$355,0)),0))</f>
        <v/>
      </c>
      <c r="K336" s="32">
        <f>IF(Settings!$B$4="Yes",$I336*$J336,$I336)</f>
        <v/>
      </c>
      <c r="L336" s="22">
        <f>IF($C336="","",IFERROR(IF(INDEX(Deals!$I$2:$I$355,MATCH($C336,Deals!$A$2:$A$355,0))=0,"",INDEX(Deals!$I$2:$I$355,MATCH($C336,Deals!$A$2:$A$355,0))),""))</f>
        <v/>
      </c>
      <c r="M336" s="22">
        <f>IF($C336="","",IFERROR(IF(INDEX(Deals!$J$2:$J$355,MATCH($C336,Deals!$A$2:$A$355,0))=0,"",INDEX(Deals!$J$2:$J$355,MATCH($C336,Deals!$A$2:$A$355,0))),""))</f>
        <v/>
      </c>
      <c r="N336" s="35">
        <f>IF($L336="",DATE(1900,1,1),$L336)</f>
        <v/>
      </c>
      <c r="O336" s="35">
        <f>IF($M336="",DATE(2100,12,31),$M336)</f>
        <v/>
      </c>
      <c r="P336" s="20" t="inlineStr">
        <is>
          <t>Ongoing</t>
        </is>
      </c>
      <c r="Q336" s="47" t="inlineStr">
        <is>
          <t>Added from Summary tab</t>
        </is>
      </c>
      <c r="R336" s="16">
        <f>IF($C336="","",IFERROR(IF(INDEX(Deals!$U$2:$U$355,MATCH($C336,Deals!$A$2:$A$355,0))=0,"",INDEX(Deals!$U$2:$U$355,MATCH($C336,Deals!$A$2:$A$355,0))),""))</f>
        <v/>
      </c>
      <c r="S336" s="34">
        <f>IFERROR(IF($U336="",1,INDEX(Deals!$V$2:$V$355,MATCH($C336,Deals!$A$2:$A$355,0))),1)</f>
        <v/>
      </c>
      <c r="T336" s="34">
        <f>IFERROR(IF($U336="",1,INDEX(Deals!$W$2:$W$355,MATCH($C336,Deals!$A$2:$A$355,0))),1)</f>
        <v/>
      </c>
      <c r="U336" s="22">
        <f>IF($C336="","",IFERROR(IF(INDEX(Deals!$Y$2:$Y$355,MATCH($C336,Deals!$A$2:$A$355,0))=0,"",INDEX(Deals!$Y$2:$Y$355,MATCH($C336,Deals!$A$2:$A$355,0))),""))</f>
        <v/>
      </c>
      <c r="V336" s="35">
        <f>IF(OR($U336&lt;&gt;"",AND($AO336&gt;0,$L336&lt;&gt;"",$M336&lt;&gt;"")),$N336,DATE(1900,1,1))</f>
        <v/>
      </c>
      <c r="W336" s="35">
        <f>IF($U336&lt;&gt;"",$U336,IF(AND($AO336&gt;0,$L336&lt;&gt;"",$M336&lt;&gt;""),$O336,DATE(2100,12,31)))</f>
        <v/>
      </c>
      <c r="X336" s="32">
        <f>IF($U336="",$K336,$K336*$S336)</f>
        <v/>
      </c>
      <c r="Y336" s="35">
        <f>IF($U336="",DATE(2100,12,31),$U336+1)</f>
        <v/>
      </c>
      <c r="Z336" s="35">
        <f>IF($U336="",DATE(1900,1,1),$O336)</f>
        <v/>
      </c>
      <c r="AA336" s="32">
        <f>IF($U336="",0,$K336*$T336)</f>
        <v/>
      </c>
      <c r="AB336" s="21">
        <f>IF($C336="",0,IFERROR(INDEX(Deals!$AD$2:$AD$355,MATCH($C336,Deals!$A$2:$A$355,0)),0))</f>
        <v/>
      </c>
      <c r="AC336" s="32">
        <f>IF(Settings!$B$4="Yes",$I336*$AB336,$I336)</f>
        <v/>
      </c>
      <c r="AD336" s="22">
        <f>IF($C336="","",IFERROR(IF(INDEX(Deals!$AE$2:$AE$355,MATCH($C336,Deals!$A$2:$A$355,0))=0,"",INDEX(Deals!$AE$2:$AE$355,MATCH($C336,Deals!$A$2:$A$355,0))),""))</f>
        <v/>
      </c>
      <c r="AE336" s="22">
        <f>IF($C336="","",IFERROR(IF(INDEX(Deals!$AF$2:$AF$355,MATCH($C336,Deals!$A$2:$A$355,0))=0,"",INDEX(Deals!$AF$2:$AF$355,MATCH($C336,Deals!$A$2:$A$355,0))),""))</f>
        <v/>
      </c>
      <c r="AF336" s="35">
        <f>IF($AD336="",DATE(1900,1,1),$AD336)</f>
        <v/>
      </c>
      <c r="AG336" s="35">
        <f>IF($AE336="",DATE(2100,12,31),$AE336)</f>
        <v/>
      </c>
      <c r="AH336" s="22">
        <f>IF($C336="","",IFERROR(IF(INDEX(Deals!$AG$2:$AG$355,MATCH($C336,Deals!$A$2:$A$355,0))=0,"",INDEX(Deals!$AG$2:$AG$355,MATCH($C336,Deals!$A$2:$A$355,0))),""))</f>
        <v/>
      </c>
      <c r="AI336" s="35">
        <f>IF(OR($AH336&lt;&gt;"",AND($AO336&gt;0,$AD336&lt;&gt;"",$AE336&lt;&gt;"")),$AF336,DATE(1900,1,1))</f>
        <v/>
      </c>
      <c r="AJ336" s="35">
        <f>IF($AH336&lt;&gt;"",$AH336,IF(AND($AO336&gt;0,$AD336&lt;&gt;"",$AE336&lt;&gt;""),$AG336,DATE(2100,12,31)))</f>
        <v/>
      </c>
      <c r="AK336" s="32">
        <f>IF($AH336="",$AC336,$AC336*$S336)</f>
        <v/>
      </c>
      <c r="AL336" s="35">
        <f>IF($AH336="",DATE(2100,12,31),$AH336+1)</f>
        <v/>
      </c>
      <c r="AM336" s="35">
        <f>IF($AH336="",DATE(1900,1,1),$AG336)</f>
        <v/>
      </c>
      <c r="AN336" s="32">
        <f>IF($AH336="",0,$AC336*$T336)</f>
        <v/>
      </c>
      <c r="AO336" s="46">
        <f>IF($C336="",0,IFERROR(INDEX(Deals!$BD$2:$BD$355,MATCH($C336,Deals!$A$2:$A$355,0)),0))</f>
        <v/>
      </c>
      <c r="AP336" s="18">
        <f>IF($AO336=0,0,IFERROR(INDEX(Deals!$BJ$2:$BP$355,MATCH($C336,Deals!$A$2:$A$355,0),MATCH($F336,Deals!$BJ$1:$BP$1,0))/COUNTIFS(Assignments!$C$2:$C$769,$C336,Assignments!$F$2:$F$769,$F336,Assignments!$G$2:$G$769,"Active"),0))</f>
        <v/>
      </c>
    </row>
    <row r="337">
      <c r="A337" s="28" t="inlineStr">
        <is>
          <t>George</t>
        </is>
      </c>
      <c r="B337" s="16">
        <f>IF($A337="","",IFERROR(INDEX(Roster!$B$2:$B$40,MATCH($A337,Roster!$A$2:$A$40,0)),"?"))</f>
        <v/>
      </c>
      <c r="C337" s="28" t="inlineStr">
        <is>
          <t>MIF_1</t>
        </is>
      </c>
      <c r="D337" s="16">
        <f>IF($C337="","",IFERROR(IF(INDEX(Deals!$C$2:$C$355,MATCH($C337,Deals!$A$2:$A$355,0))=0,"",INDEX(Deals!$C$2:$C$355,MATCH($C337,Deals!$A$2:$A$355,0))),"?"))</f>
        <v/>
      </c>
      <c r="E337" s="16">
        <f>IF($C337="","",IFERROR(INDEX(Deals!$F$2:$F$355,MATCH($C337,Deals!$A$2:$A$355,0)),"?"))</f>
        <v/>
      </c>
      <c r="F337" s="28" t="inlineStr">
        <is>
          <t>VP</t>
        </is>
      </c>
      <c r="G337" s="28" t="inlineStr">
        <is>
          <t>Active</t>
        </is>
      </c>
      <c r="H337" s="31" t="n"/>
      <c r="I337" s="32">
        <f>IF(OR($A337="",$G337&lt;&gt;"Active"),0,IF($H337&lt;&gt;"",$H337,IF($AO337&gt;0,$AP337,IF(AND($R337&lt;&gt;"",IFERROR(INDEX(Templates!$B$3:$H$10,MATCH($R337,Templates!$A$3:$A$10,0),MATCH($F337,Templates!$B$2:$H$2,0)),0)&gt;0),INDEX(Templates!$B$3:$H$10,MATCH($R337,Templates!$A$3:$A$10,0),MATCH($F337,Templates!$B$2:$H$2,0)),IFERROR(INDEX(Settings!$B$8:$B$14,MATCH($F337,Settings!$A$8:$A$14,0)),0)))))</f>
        <v/>
      </c>
      <c r="J337" s="21">
        <f>IF($C337="",0,IFERROR(INDEX(Deals!$H$2:$H$355,MATCH($C337,Deals!$A$2:$A$355,0)),0))</f>
        <v/>
      </c>
      <c r="K337" s="32">
        <f>IF(Settings!$B$4="Yes",$I337*$J337,$I337)</f>
        <v/>
      </c>
      <c r="L337" s="22">
        <f>IF($C337="","",IFERROR(IF(INDEX(Deals!$I$2:$I$355,MATCH($C337,Deals!$A$2:$A$355,0))=0,"",INDEX(Deals!$I$2:$I$355,MATCH($C337,Deals!$A$2:$A$355,0))),""))</f>
        <v/>
      </c>
      <c r="M337" s="22">
        <f>IF($C337="","",IFERROR(IF(INDEX(Deals!$J$2:$J$355,MATCH($C337,Deals!$A$2:$A$355,0))=0,"",INDEX(Deals!$J$2:$J$355,MATCH($C337,Deals!$A$2:$A$355,0))),""))</f>
        <v/>
      </c>
      <c r="N337" s="35">
        <f>IF($L337="",DATE(1900,1,1),$L337)</f>
        <v/>
      </c>
      <c r="O337" s="35">
        <f>IF($M337="",DATE(2100,12,31),$M337)</f>
        <v/>
      </c>
      <c r="P337" s="20" t="inlineStr">
        <is>
          <t>Closing</t>
        </is>
      </c>
      <c r="Q337" s="47" t="inlineStr"/>
      <c r="R337" s="16">
        <f>IF($C337="","",IFERROR(IF(INDEX(Deals!$U$2:$U$355,MATCH($C337,Deals!$A$2:$A$355,0))=0,"",INDEX(Deals!$U$2:$U$355,MATCH($C337,Deals!$A$2:$A$355,0))),""))</f>
        <v/>
      </c>
      <c r="S337" s="34">
        <f>IFERROR(IF($U337="",1,INDEX(Deals!$V$2:$V$355,MATCH($C337,Deals!$A$2:$A$355,0))),1)</f>
        <v/>
      </c>
      <c r="T337" s="34">
        <f>IFERROR(IF($U337="",1,INDEX(Deals!$W$2:$W$355,MATCH($C337,Deals!$A$2:$A$355,0))),1)</f>
        <v/>
      </c>
      <c r="U337" s="22">
        <f>IF($C337="","",IFERROR(IF(INDEX(Deals!$Y$2:$Y$355,MATCH($C337,Deals!$A$2:$A$355,0))=0,"",INDEX(Deals!$Y$2:$Y$355,MATCH($C337,Deals!$A$2:$A$355,0))),""))</f>
        <v/>
      </c>
      <c r="V337" s="35">
        <f>IF(OR($U337&lt;&gt;"",AND($AO337&gt;0,$L337&lt;&gt;"",$M337&lt;&gt;"")),$N337,DATE(1900,1,1))</f>
        <v/>
      </c>
      <c r="W337" s="35">
        <f>IF($U337&lt;&gt;"",$U337,IF(AND($AO337&gt;0,$L337&lt;&gt;"",$M337&lt;&gt;""),$O337,DATE(2100,12,31)))</f>
        <v/>
      </c>
      <c r="X337" s="32">
        <f>IF($U337="",$K337,$K337*$S337)</f>
        <v/>
      </c>
      <c r="Y337" s="35">
        <f>IF($U337="",DATE(2100,12,31),$U337+1)</f>
        <v/>
      </c>
      <c r="Z337" s="35">
        <f>IF($U337="",DATE(1900,1,1),$O337)</f>
        <v/>
      </c>
      <c r="AA337" s="32">
        <f>IF($U337="",0,$K337*$T337)</f>
        <v/>
      </c>
      <c r="AB337" s="21">
        <f>IF($C337="",0,IFERROR(INDEX(Deals!$AD$2:$AD$355,MATCH($C337,Deals!$A$2:$A$355,0)),0))</f>
        <v/>
      </c>
      <c r="AC337" s="32">
        <f>IF(Settings!$B$4="Yes",$I337*$AB337,$I337)</f>
        <v/>
      </c>
      <c r="AD337" s="22">
        <f>IF($C337="","",IFERROR(IF(INDEX(Deals!$AE$2:$AE$355,MATCH($C337,Deals!$A$2:$A$355,0))=0,"",INDEX(Deals!$AE$2:$AE$355,MATCH($C337,Deals!$A$2:$A$355,0))),""))</f>
        <v/>
      </c>
      <c r="AE337" s="22">
        <f>IF($C337="","",IFERROR(IF(INDEX(Deals!$AF$2:$AF$355,MATCH($C337,Deals!$A$2:$A$355,0))=0,"",INDEX(Deals!$AF$2:$AF$355,MATCH($C337,Deals!$A$2:$A$355,0))),""))</f>
        <v/>
      </c>
      <c r="AF337" s="35">
        <f>IF($AD337="",DATE(1900,1,1),$AD337)</f>
        <v/>
      </c>
      <c r="AG337" s="35">
        <f>IF($AE337="",DATE(2100,12,31),$AE337)</f>
        <v/>
      </c>
      <c r="AH337" s="22">
        <f>IF($C337="","",IFERROR(IF(INDEX(Deals!$AG$2:$AG$355,MATCH($C337,Deals!$A$2:$A$355,0))=0,"",INDEX(Deals!$AG$2:$AG$355,MATCH($C337,Deals!$A$2:$A$355,0))),""))</f>
        <v/>
      </c>
      <c r="AI337" s="35">
        <f>IF(OR($AH337&lt;&gt;"",AND($AO337&gt;0,$AD337&lt;&gt;"",$AE337&lt;&gt;"")),$AF337,DATE(1900,1,1))</f>
        <v/>
      </c>
      <c r="AJ337" s="35">
        <f>IF($AH337&lt;&gt;"",$AH337,IF(AND($AO337&gt;0,$AD337&lt;&gt;"",$AE337&lt;&gt;""),$AG337,DATE(2100,12,31)))</f>
        <v/>
      </c>
      <c r="AK337" s="32">
        <f>IF($AH337="",$AC337,$AC337*$S337)</f>
        <v/>
      </c>
      <c r="AL337" s="35">
        <f>IF($AH337="",DATE(2100,12,31),$AH337+1)</f>
        <v/>
      </c>
      <c r="AM337" s="35">
        <f>IF($AH337="",DATE(1900,1,1),$AG337)</f>
        <v/>
      </c>
      <c r="AN337" s="32">
        <f>IF($AH337="",0,$AC337*$T337)</f>
        <v/>
      </c>
      <c r="AO337" s="46">
        <f>IF($C337="",0,IFERROR(INDEX(Deals!$BD$2:$BD$355,MATCH($C337,Deals!$A$2:$A$355,0)),0))</f>
        <v/>
      </c>
      <c r="AP337" s="18">
        <f>IF($AO337=0,0,IFERROR(INDEX(Deals!$BJ$2:$BP$355,MATCH($C337,Deals!$A$2:$A$355,0),MATCH($F337,Deals!$BJ$1:$BP$1,0))/COUNTIFS(Assignments!$C$2:$C$769,$C337,Assignments!$F$2:$F$769,$F337,Assignments!$G$2:$G$769,"Active"),0))</f>
        <v/>
      </c>
    </row>
    <row r="338">
      <c r="A338" s="28" t="inlineStr">
        <is>
          <t>George</t>
        </is>
      </c>
      <c r="B338" s="16">
        <f>IF($A338="","",IFERROR(INDEX(Roster!$B$2:$B$40,MATCH($A338,Roster!$A$2:$A$40,0)),"?"))</f>
        <v/>
      </c>
      <c r="C338" s="28" t="inlineStr">
        <is>
          <t>MIP_1</t>
        </is>
      </c>
      <c r="D338" s="16">
        <f>IF($C338="","",IFERROR(IF(INDEX(Deals!$C$2:$C$355,MATCH($C338,Deals!$A$2:$A$355,0))=0,"",INDEX(Deals!$C$2:$C$355,MATCH($C338,Deals!$A$2:$A$355,0))),"?"))</f>
        <v/>
      </c>
      <c r="E338" s="16">
        <f>IF($C338="","",IFERROR(INDEX(Deals!$F$2:$F$355,MATCH($C338,Deals!$A$2:$A$355,0)),"?"))</f>
        <v/>
      </c>
      <c r="F338" s="28" t="inlineStr">
        <is>
          <t>VP</t>
        </is>
      </c>
      <c r="G338" s="28" t="inlineStr">
        <is>
          <t>Active</t>
        </is>
      </c>
      <c r="H338" s="31" t="n"/>
      <c r="I338" s="32">
        <f>IF(OR($A338="",$G338&lt;&gt;"Active"),0,IF($H338&lt;&gt;"",$H338,IF($AO338&gt;0,$AP338,IF(AND($R338&lt;&gt;"",IFERROR(INDEX(Templates!$B$3:$H$10,MATCH($R338,Templates!$A$3:$A$10,0),MATCH($F338,Templates!$B$2:$H$2,0)),0)&gt;0),INDEX(Templates!$B$3:$H$10,MATCH($R338,Templates!$A$3:$A$10,0),MATCH($F338,Templates!$B$2:$H$2,0)),IFERROR(INDEX(Settings!$B$8:$B$14,MATCH($F338,Settings!$A$8:$A$14,0)),0)))))</f>
        <v/>
      </c>
      <c r="J338" s="21">
        <f>IF($C338="",0,IFERROR(INDEX(Deals!$H$2:$H$355,MATCH($C338,Deals!$A$2:$A$355,0)),0))</f>
        <v/>
      </c>
      <c r="K338" s="32">
        <f>IF(Settings!$B$4="Yes",$I338*$J338,$I338)</f>
        <v/>
      </c>
      <c r="L338" s="22">
        <f>IF($C338="","",IFERROR(IF(INDEX(Deals!$I$2:$I$355,MATCH($C338,Deals!$A$2:$A$355,0))=0,"",INDEX(Deals!$I$2:$I$355,MATCH($C338,Deals!$A$2:$A$355,0))),""))</f>
        <v/>
      </c>
      <c r="M338" s="22">
        <f>IF($C338="","",IFERROR(IF(INDEX(Deals!$J$2:$J$355,MATCH($C338,Deals!$A$2:$A$355,0))=0,"",INDEX(Deals!$J$2:$J$355,MATCH($C338,Deals!$A$2:$A$355,0))),""))</f>
        <v/>
      </c>
      <c r="N338" s="35">
        <f>IF($L338="",DATE(1900,1,1),$L338)</f>
        <v/>
      </c>
      <c r="O338" s="35">
        <f>IF($M338="",DATE(2100,12,31),$M338)</f>
        <v/>
      </c>
      <c r="P338" s="20" t="inlineStr">
        <is>
          <t>Ongoing</t>
        </is>
      </c>
      <c r="Q338" s="47" t="inlineStr"/>
      <c r="R338" s="16">
        <f>IF($C338="","",IFERROR(IF(INDEX(Deals!$U$2:$U$355,MATCH($C338,Deals!$A$2:$A$355,0))=0,"",INDEX(Deals!$U$2:$U$355,MATCH($C338,Deals!$A$2:$A$355,0))),""))</f>
        <v/>
      </c>
      <c r="S338" s="34">
        <f>IFERROR(IF($U338="",1,INDEX(Deals!$V$2:$V$355,MATCH($C338,Deals!$A$2:$A$355,0))),1)</f>
        <v/>
      </c>
      <c r="T338" s="34">
        <f>IFERROR(IF($U338="",1,INDEX(Deals!$W$2:$W$355,MATCH($C338,Deals!$A$2:$A$355,0))),1)</f>
        <v/>
      </c>
      <c r="U338" s="22">
        <f>IF($C338="","",IFERROR(IF(INDEX(Deals!$Y$2:$Y$355,MATCH($C338,Deals!$A$2:$A$355,0))=0,"",INDEX(Deals!$Y$2:$Y$355,MATCH($C338,Deals!$A$2:$A$355,0))),""))</f>
        <v/>
      </c>
      <c r="V338" s="35">
        <f>IF(OR($U338&lt;&gt;"",AND($AO338&gt;0,$L338&lt;&gt;"",$M338&lt;&gt;"")),$N338,DATE(1900,1,1))</f>
        <v/>
      </c>
      <c r="W338" s="35">
        <f>IF($U338&lt;&gt;"",$U338,IF(AND($AO338&gt;0,$L338&lt;&gt;"",$M338&lt;&gt;""),$O338,DATE(2100,12,31)))</f>
        <v/>
      </c>
      <c r="X338" s="32">
        <f>IF($U338="",$K338,$K338*$S338)</f>
        <v/>
      </c>
      <c r="Y338" s="35">
        <f>IF($U338="",DATE(2100,12,31),$U338+1)</f>
        <v/>
      </c>
      <c r="Z338" s="35">
        <f>IF($U338="",DATE(1900,1,1),$O338)</f>
        <v/>
      </c>
      <c r="AA338" s="32">
        <f>IF($U338="",0,$K338*$T338)</f>
        <v/>
      </c>
      <c r="AB338" s="21">
        <f>IF($C338="",0,IFERROR(INDEX(Deals!$AD$2:$AD$355,MATCH($C338,Deals!$A$2:$A$355,0)),0))</f>
        <v/>
      </c>
      <c r="AC338" s="32">
        <f>IF(Settings!$B$4="Yes",$I338*$AB338,$I338)</f>
        <v/>
      </c>
      <c r="AD338" s="22">
        <f>IF($C338="","",IFERROR(IF(INDEX(Deals!$AE$2:$AE$355,MATCH($C338,Deals!$A$2:$A$355,0))=0,"",INDEX(Deals!$AE$2:$AE$355,MATCH($C338,Deals!$A$2:$A$355,0))),""))</f>
        <v/>
      </c>
      <c r="AE338" s="22">
        <f>IF($C338="","",IFERROR(IF(INDEX(Deals!$AF$2:$AF$355,MATCH($C338,Deals!$A$2:$A$355,0))=0,"",INDEX(Deals!$AF$2:$AF$355,MATCH($C338,Deals!$A$2:$A$355,0))),""))</f>
        <v/>
      </c>
      <c r="AF338" s="35">
        <f>IF($AD338="",DATE(1900,1,1),$AD338)</f>
        <v/>
      </c>
      <c r="AG338" s="35">
        <f>IF($AE338="",DATE(2100,12,31),$AE338)</f>
        <v/>
      </c>
      <c r="AH338" s="22">
        <f>IF($C338="","",IFERROR(IF(INDEX(Deals!$AG$2:$AG$355,MATCH($C338,Deals!$A$2:$A$355,0))=0,"",INDEX(Deals!$AG$2:$AG$355,MATCH($C338,Deals!$A$2:$A$355,0))),""))</f>
        <v/>
      </c>
      <c r="AI338" s="35">
        <f>IF(OR($AH338&lt;&gt;"",AND($AO338&gt;0,$AD338&lt;&gt;"",$AE338&lt;&gt;"")),$AF338,DATE(1900,1,1))</f>
        <v/>
      </c>
      <c r="AJ338" s="35">
        <f>IF($AH338&lt;&gt;"",$AH338,IF(AND($AO338&gt;0,$AD338&lt;&gt;"",$AE338&lt;&gt;""),$AG338,DATE(2100,12,31)))</f>
        <v/>
      </c>
      <c r="AK338" s="32">
        <f>IF($AH338="",$AC338,$AC338*$S338)</f>
        <v/>
      </c>
      <c r="AL338" s="35">
        <f>IF($AH338="",DATE(2100,12,31),$AH338+1)</f>
        <v/>
      </c>
      <c r="AM338" s="35">
        <f>IF($AH338="",DATE(1900,1,1),$AG338)</f>
        <v/>
      </c>
      <c r="AN338" s="32">
        <f>IF($AH338="",0,$AC338*$T338)</f>
        <v/>
      </c>
      <c r="AO338" s="46">
        <f>IF($C338="",0,IFERROR(INDEX(Deals!$BD$2:$BD$355,MATCH($C338,Deals!$A$2:$A$355,0)),0))</f>
        <v/>
      </c>
      <c r="AP338" s="18">
        <f>IF($AO338=0,0,IFERROR(INDEX(Deals!$BJ$2:$BP$355,MATCH($C338,Deals!$A$2:$A$355,0),MATCH($F338,Deals!$BJ$1:$BP$1,0))/COUNTIFS(Assignments!$C$2:$C$769,$C338,Assignments!$F$2:$F$769,$F338,Assignments!$G$2:$G$769,"Active"),0))</f>
        <v/>
      </c>
    </row>
    <row r="339">
      <c r="A339" s="28" t="inlineStr">
        <is>
          <t>George</t>
        </is>
      </c>
      <c r="B339" s="16">
        <f>IF($A339="","",IFERROR(INDEX(Roster!$B$2:$B$40,MATCH($A339,Roster!$A$2:$A$40,0)),"?"))</f>
        <v/>
      </c>
      <c r="C339" s="28" t="inlineStr">
        <is>
          <t>Orca_1</t>
        </is>
      </c>
      <c r="D339" s="16">
        <f>IF($C339="","",IFERROR(IF(INDEX(Deals!$C$2:$C$355,MATCH($C339,Deals!$A$2:$A$355,0))=0,"",INDEX(Deals!$C$2:$C$355,MATCH($C339,Deals!$A$2:$A$355,0))),"?"))</f>
        <v/>
      </c>
      <c r="E339" s="16">
        <f>IF($C339="","",IFERROR(INDEX(Deals!$F$2:$F$355,MATCH($C339,Deals!$A$2:$A$355,0)),"?"))</f>
        <v/>
      </c>
      <c r="F339" s="28" t="inlineStr">
        <is>
          <t>VP</t>
        </is>
      </c>
      <c r="G339" s="28" t="inlineStr">
        <is>
          <t>Inactive</t>
        </is>
      </c>
      <c r="H339" s="31" t="n"/>
      <c r="I339" s="32">
        <f>IF(OR($A339="",$G339&lt;&gt;"Active"),0,IF($H339&lt;&gt;"",$H339,IF($AO339&gt;0,$AP339,IF(AND($R339&lt;&gt;"",IFERROR(INDEX(Templates!$B$3:$H$10,MATCH($R339,Templates!$A$3:$A$10,0),MATCH($F339,Templates!$B$2:$H$2,0)),0)&gt;0),INDEX(Templates!$B$3:$H$10,MATCH($R339,Templates!$A$3:$A$10,0),MATCH($F339,Templates!$B$2:$H$2,0)),IFERROR(INDEX(Settings!$B$8:$B$14,MATCH($F339,Settings!$A$8:$A$14,0)),0)))))</f>
        <v/>
      </c>
      <c r="J339" s="21">
        <f>IF($C339="",0,IFERROR(INDEX(Deals!$H$2:$H$355,MATCH($C339,Deals!$A$2:$A$355,0)),0))</f>
        <v/>
      </c>
      <c r="K339" s="32">
        <f>IF(Settings!$B$4="Yes",$I339*$J339,$I339)</f>
        <v/>
      </c>
      <c r="L339" s="22">
        <f>IF($C339="","",IFERROR(IF(INDEX(Deals!$I$2:$I$355,MATCH($C339,Deals!$A$2:$A$355,0))=0,"",INDEX(Deals!$I$2:$I$355,MATCH($C339,Deals!$A$2:$A$355,0))),""))</f>
        <v/>
      </c>
      <c r="M339" s="22">
        <f>IF($C339="","",IFERROR(IF(INDEX(Deals!$J$2:$J$355,MATCH($C339,Deals!$A$2:$A$355,0))=0,"",INDEX(Deals!$J$2:$J$355,MATCH($C339,Deals!$A$2:$A$355,0))),""))</f>
        <v/>
      </c>
      <c r="N339" s="35">
        <f>IF($L339="",DATE(1900,1,1),$L339)</f>
        <v/>
      </c>
      <c r="O339" s="35">
        <f>IF($M339="",DATE(2100,12,31),$M339)</f>
        <v/>
      </c>
      <c r="P339" s="20" t="inlineStr">
        <is>
          <t>Dead</t>
        </is>
      </c>
      <c r="Q339" s="47" t="inlineStr"/>
      <c r="R339" s="16">
        <f>IF($C339="","",IFERROR(IF(INDEX(Deals!$U$2:$U$355,MATCH($C339,Deals!$A$2:$A$355,0))=0,"",INDEX(Deals!$U$2:$U$355,MATCH($C339,Deals!$A$2:$A$355,0))),""))</f>
        <v/>
      </c>
      <c r="S339" s="34">
        <f>IFERROR(IF($U339="",1,INDEX(Deals!$V$2:$V$355,MATCH($C339,Deals!$A$2:$A$355,0))),1)</f>
        <v/>
      </c>
      <c r="T339" s="34">
        <f>IFERROR(IF($U339="",1,INDEX(Deals!$W$2:$W$355,MATCH($C339,Deals!$A$2:$A$355,0))),1)</f>
        <v/>
      </c>
      <c r="U339" s="22">
        <f>IF($C339="","",IFERROR(IF(INDEX(Deals!$Y$2:$Y$355,MATCH($C339,Deals!$A$2:$A$355,0))=0,"",INDEX(Deals!$Y$2:$Y$355,MATCH($C339,Deals!$A$2:$A$355,0))),""))</f>
        <v/>
      </c>
      <c r="V339" s="35">
        <f>IF(OR($U339&lt;&gt;"",AND($AO339&gt;0,$L339&lt;&gt;"",$M339&lt;&gt;"")),$N339,DATE(1900,1,1))</f>
        <v/>
      </c>
      <c r="W339" s="35">
        <f>IF($U339&lt;&gt;"",$U339,IF(AND($AO339&gt;0,$L339&lt;&gt;"",$M339&lt;&gt;""),$O339,DATE(2100,12,31)))</f>
        <v/>
      </c>
      <c r="X339" s="32">
        <f>IF($U339="",$K339,$K339*$S339)</f>
        <v/>
      </c>
      <c r="Y339" s="35">
        <f>IF($U339="",DATE(2100,12,31),$U339+1)</f>
        <v/>
      </c>
      <c r="Z339" s="35">
        <f>IF($U339="",DATE(1900,1,1),$O339)</f>
        <v/>
      </c>
      <c r="AA339" s="32">
        <f>IF($U339="",0,$K339*$T339)</f>
        <v/>
      </c>
      <c r="AB339" s="21">
        <f>IF($C339="",0,IFERROR(INDEX(Deals!$AD$2:$AD$355,MATCH($C339,Deals!$A$2:$A$355,0)),0))</f>
        <v/>
      </c>
      <c r="AC339" s="32">
        <f>IF(Settings!$B$4="Yes",$I339*$AB339,$I339)</f>
        <v/>
      </c>
      <c r="AD339" s="22">
        <f>IF($C339="","",IFERROR(IF(INDEX(Deals!$AE$2:$AE$355,MATCH($C339,Deals!$A$2:$A$355,0))=0,"",INDEX(Deals!$AE$2:$AE$355,MATCH($C339,Deals!$A$2:$A$355,0))),""))</f>
        <v/>
      </c>
      <c r="AE339" s="22">
        <f>IF($C339="","",IFERROR(IF(INDEX(Deals!$AF$2:$AF$355,MATCH($C339,Deals!$A$2:$A$355,0))=0,"",INDEX(Deals!$AF$2:$AF$355,MATCH($C339,Deals!$A$2:$A$355,0))),""))</f>
        <v/>
      </c>
      <c r="AF339" s="35">
        <f>IF($AD339="",DATE(1900,1,1),$AD339)</f>
        <v/>
      </c>
      <c r="AG339" s="35">
        <f>IF($AE339="",DATE(2100,12,31),$AE339)</f>
        <v/>
      </c>
      <c r="AH339" s="22">
        <f>IF($C339="","",IFERROR(IF(INDEX(Deals!$AG$2:$AG$355,MATCH($C339,Deals!$A$2:$A$355,0))=0,"",INDEX(Deals!$AG$2:$AG$355,MATCH($C339,Deals!$A$2:$A$355,0))),""))</f>
        <v/>
      </c>
      <c r="AI339" s="35">
        <f>IF(OR($AH339&lt;&gt;"",AND($AO339&gt;0,$AD339&lt;&gt;"",$AE339&lt;&gt;"")),$AF339,DATE(1900,1,1))</f>
        <v/>
      </c>
      <c r="AJ339" s="35">
        <f>IF($AH339&lt;&gt;"",$AH339,IF(AND($AO339&gt;0,$AD339&lt;&gt;"",$AE339&lt;&gt;""),$AG339,DATE(2100,12,31)))</f>
        <v/>
      </c>
      <c r="AK339" s="32">
        <f>IF($AH339="",$AC339,$AC339*$S339)</f>
        <v/>
      </c>
      <c r="AL339" s="35">
        <f>IF($AH339="",DATE(2100,12,31),$AH339+1)</f>
        <v/>
      </c>
      <c r="AM339" s="35">
        <f>IF($AH339="",DATE(1900,1,1),$AG339)</f>
        <v/>
      </c>
      <c r="AN339" s="32">
        <f>IF($AH339="",0,$AC339*$T339)</f>
        <v/>
      </c>
      <c r="AO339" s="46">
        <f>IF($C339="",0,IFERROR(INDEX(Deals!$BD$2:$BD$355,MATCH($C339,Deals!$A$2:$A$355,0)),0))</f>
        <v/>
      </c>
      <c r="AP339" s="18">
        <f>IF($AO339=0,0,IFERROR(INDEX(Deals!$BJ$2:$BP$355,MATCH($C339,Deals!$A$2:$A$355,0),MATCH($F339,Deals!$BJ$1:$BP$1,0))/COUNTIFS(Assignments!$C$2:$C$769,$C339,Assignments!$F$2:$F$769,$F339,Assignments!$G$2:$G$769,"Active"),0))</f>
        <v/>
      </c>
    </row>
    <row r="340">
      <c r="A340" s="28" t="inlineStr">
        <is>
          <t>George</t>
        </is>
      </c>
      <c r="B340" s="16">
        <f>IF($A340="","",IFERROR(INDEX(Roster!$B$2:$B$40,MATCH($A340,Roster!$A$2:$A$40,0)),"?"))</f>
        <v/>
      </c>
      <c r="C340" s="28" t="inlineStr">
        <is>
          <t>Papago_1</t>
        </is>
      </c>
      <c r="D340" s="16">
        <f>IF($C340="","",IFERROR(IF(INDEX(Deals!$C$2:$C$355,MATCH($C340,Deals!$A$2:$A$355,0))=0,"",INDEX(Deals!$C$2:$C$355,MATCH($C340,Deals!$A$2:$A$355,0))),"?"))</f>
        <v/>
      </c>
      <c r="E340" s="16">
        <f>IF($C340="","",IFERROR(INDEX(Deals!$F$2:$F$355,MATCH($C340,Deals!$A$2:$A$355,0)),"?"))</f>
        <v/>
      </c>
      <c r="F340" s="28" t="inlineStr">
        <is>
          <t>VP</t>
        </is>
      </c>
      <c r="G340" s="28" t="inlineStr">
        <is>
          <t>Inactive</t>
        </is>
      </c>
      <c r="H340" s="31" t="n"/>
      <c r="I340" s="32">
        <f>IF(OR($A340="",$G340&lt;&gt;"Active"),0,IF($H340&lt;&gt;"",$H340,IF($AO340&gt;0,$AP340,IF(AND($R340&lt;&gt;"",IFERROR(INDEX(Templates!$B$3:$H$10,MATCH($R340,Templates!$A$3:$A$10,0),MATCH($F340,Templates!$B$2:$H$2,0)),0)&gt;0),INDEX(Templates!$B$3:$H$10,MATCH($R340,Templates!$A$3:$A$10,0),MATCH($F340,Templates!$B$2:$H$2,0)),IFERROR(INDEX(Settings!$B$8:$B$14,MATCH($F340,Settings!$A$8:$A$14,0)),0)))))</f>
        <v/>
      </c>
      <c r="J340" s="21">
        <f>IF($C340="",0,IFERROR(INDEX(Deals!$H$2:$H$355,MATCH($C340,Deals!$A$2:$A$355,0)),0))</f>
        <v/>
      </c>
      <c r="K340" s="32">
        <f>IF(Settings!$B$4="Yes",$I340*$J340,$I340)</f>
        <v/>
      </c>
      <c r="L340" s="22">
        <f>IF($C340="","",IFERROR(IF(INDEX(Deals!$I$2:$I$355,MATCH($C340,Deals!$A$2:$A$355,0))=0,"",INDEX(Deals!$I$2:$I$355,MATCH($C340,Deals!$A$2:$A$355,0))),""))</f>
        <v/>
      </c>
      <c r="M340" s="22">
        <f>IF($C340="","",IFERROR(IF(INDEX(Deals!$J$2:$J$355,MATCH($C340,Deals!$A$2:$A$355,0))=0,"",INDEX(Deals!$J$2:$J$355,MATCH($C340,Deals!$A$2:$A$355,0))),""))</f>
        <v/>
      </c>
      <c r="N340" s="35">
        <f>IF($L340="",DATE(1900,1,1),$L340)</f>
        <v/>
      </c>
      <c r="O340" s="35">
        <f>IF($M340="",DATE(2100,12,31),$M340)</f>
        <v/>
      </c>
      <c r="P340" s="20" t="inlineStr">
        <is>
          <t>Closed</t>
        </is>
      </c>
      <c r="Q340" s="47" t="inlineStr"/>
      <c r="R340" s="16">
        <f>IF($C340="","",IFERROR(IF(INDEX(Deals!$U$2:$U$355,MATCH($C340,Deals!$A$2:$A$355,0))=0,"",INDEX(Deals!$U$2:$U$355,MATCH($C340,Deals!$A$2:$A$355,0))),""))</f>
        <v/>
      </c>
      <c r="S340" s="34">
        <f>IFERROR(IF($U340="",1,INDEX(Deals!$V$2:$V$355,MATCH($C340,Deals!$A$2:$A$355,0))),1)</f>
        <v/>
      </c>
      <c r="T340" s="34">
        <f>IFERROR(IF($U340="",1,INDEX(Deals!$W$2:$W$355,MATCH($C340,Deals!$A$2:$A$355,0))),1)</f>
        <v/>
      </c>
      <c r="U340" s="22">
        <f>IF($C340="","",IFERROR(IF(INDEX(Deals!$Y$2:$Y$355,MATCH($C340,Deals!$A$2:$A$355,0))=0,"",INDEX(Deals!$Y$2:$Y$355,MATCH($C340,Deals!$A$2:$A$355,0))),""))</f>
        <v/>
      </c>
      <c r="V340" s="35">
        <f>IF(OR($U340&lt;&gt;"",AND($AO340&gt;0,$L340&lt;&gt;"",$M340&lt;&gt;"")),$N340,DATE(1900,1,1))</f>
        <v/>
      </c>
      <c r="W340" s="35">
        <f>IF($U340&lt;&gt;"",$U340,IF(AND($AO340&gt;0,$L340&lt;&gt;"",$M340&lt;&gt;""),$O340,DATE(2100,12,31)))</f>
        <v/>
      </c>
      <c r="X340" s="32">
        <f>IF($U340="",$K340,$K340*$S340)</f>
        <v/>
      </c>
      <c r="Y340" s="35">
        <f>IF($U340="",DATE(2100,12,31),$U340+1)</f>
        <v/>
      </c>
      <c r="Z340" s="35">
        <f>IF($U340="",DATE(1900,1,1),$O340)</f>
        <v/>
      </c>
      <c r="AA340" s="32">
        <f>IF($U340="",0,$K340*$T340)</f>
        <v/>
      </c>
      <c r="AB340" s="21">
        <f>IF($C340="",0,IFERROR(INDEX(Deals!$AD$2:$AD$355,MATCH($C340,Deals!$A$2:$A$355,0)),0))</f>
        <v/>
      </c>
      <c r="AC340" s="32">
        <f>IF(Settings!$B$4="Yes",$I340*$AB340,$I340)</f>
        <v/>
      </c>
      <c r="AD340" s="22">
        <f>IF($C340="","",IFERROR(IF(INDEX(Deals!$AE$2:$AE$355,MATCH($C340,Deals!$A$2:$A$355,0))=0,"",INDEX(Deals!$AE$2:$AE$355,MATCH($C340,Deals!$A$2:$A$355,0))),""))</f>
        <v/>
      </c>
      <c r="AE340" s="22">
        <f>IF($C340="","",IFERROR(IF(INDEX(Deals!$AF$2:$AF$355,MATCH($C340,Deals!$A$2:$A$355,0))=0,"",INDEX(Deals!$AF$2:$AF$355,MATCH($C340,Deals!$A$2:$A$355,0))),""))</f>
        <v/>
      </c>
      <c r="AF340" s="35">
        <f>IF($AD340="",DATE(1900,1,1),$AD340)</f>
        <v/>
      </c>
      <c r="AG340" s="35">
        <f>IF($AE340="",DATE(2100,12,31),$AE340)</f>
        <v/>
      </c>
      <c r="AH340" s="22">
        <f>IF($C340="","",IFERROR(IF(INDEX(Deals!$AG$2:$AG$355,MATCH($C340,Deals!$A$2:$A$355,0))=0,"",INDEX(Deals!$AG$2:$AG$355,MATCH($C340,Deals!$A$2:$A$355,0))),""))</f>
        <v/>
      </c>
      <c r="AI340" s="35">
        <f>IF(OR($AH340&lt;&gt;"",AND($AO340&gt;0,$AD340&lt;&gt;"",$AE340&lt;&gt;"")),$AF340,DATE(1900,1,1))</f>
        <v/>
      </c>
      <c r="AJ340" s="35">
        <f>IF($AH340&lt;&gt;"",$AH340,IF(AND($AO340&gt;0,$AD340&lt;&gt;"",$AE340&lt;&gt;""),$AG340,DATE(2100,12,31)))</f>
        <v/>
      </c>
      <c r="AK340" s="32">
        <f>IF($AH340="",$AC340,$AC340*$S340)</f>
        <v/>
      </c>
      <c r="AL340" s="35">
        <f>IF($AH340="",DATE(2100,12,31),$AH340+1)</f>
        <v/>
      </c>
      <c r="AM340" s="35">
        <f>IF($AH340="",DATE(1900,1,1),$AG340)</f>
        <v/>
      </c>
      <c r="AN340" s="32">
        <f>IF($AH340="",0,$AC340*$T340)</f>
        <v/>
      </c>
      <c r="AO340" s="46">
        <f>IF($C340="",0,IFERROR(INDEX(Deals!$BD$2:$BD$355,MATCH($C340,Deals!$A$2:$A$355,0)),0))</f>
        <v/>
      </c>
      <c r="AP340" s="18">
        <f>IF($AO340=0,0,IFERROR(INDEX(Deals!$BJ$2:$BP$355,MATCH($C340,Deals!$A$2:$A$355,0),MATCH($F340,Deals!$BJ$1:$BP$1,0))/COUNTIFS(Assignments!$C$2:$C$769,$C340,Assignments!$F$2:$F$769,$F340,Assignments!$G$2:$G$769,"Active"),0))</f>
        <v/>
      </c>
    </row>
    <row r="341">
      <c r="A341" s="28" t="inlineStr">
        <is>
          <t>George</t>
        </is>
      </c>
      <c r="B341" s="16">
        <f>IF($A341="","",IFERROR(INDEX(Roster!$B$2:$B$40,MATCH($A341,Roster!$A$2:$A$40,0)),"?"))</f>
        <v/>
      </c>
      <c r="C341" s="28" t="inlineStr">
        <is>
          <t>Pisces 2_1</t>
        </is>
      </c>
      <c r="D341" s="16">
        <f>IF($C341="","",IFERROR(IF(INDEX(Deals!$C$2:$C$355,MATCH($C341,Deals!$A$2:$A$355,0))=0,"",INDEX(Deals!$C$2:$C$355,MATCH($C341,Deals!$A$2:$A$355,0))),"?"))</f>
        <v/>
      </c>
      <c r="E341" s="16">
        <f>IF($C341="","",IFERROR(INDEX(Deals!$F$2:$F$355,MATCH($C341,Deals!$A$2:$A$355,0)),"?"))</f>
        <v/>
      </c>
      <c r="F341" s="28" t="inlineStr">
        <is>
          <t>VP</t>
        </is>
      </c>
      <c r="G341" s="28" t="inlineStr">
        <is>
          <t>Inactive</t>
        </is>
      </c>
      <c r="H341" s="31" t="n"/>
      <c r="I341" s="32">
        <f>IF(OR($A341="",$G341&lt;&gt;"Active"),0,IF($H341&lt;&gt;"",$H341,IF($AO341&gt;0,$AP341,IF(AND($R341&lt;&gt;"",IFERROR(INDEX(Templates!$B$3:$H$10,MATCH($R341,Templates!$A$3:$A$10,0),MATCH($F341,Templates!$B$2:$H$2,0)),0)&gt;0),INDEX(Templates!$B$3:$H$10,MATCH($R341,Templates!$A$3:$A$10,0),MATCH($F341,Templates!$B$2:$H$2,0)),IFERROR(INDEX(Settings!$B$8:$B$14,MATCH($F341,Settings!$A$8:$A$14,0)),0)))))</f>
        <v/>
      </c>
      <c r="J341" s="21">
        <f>IF($C341="",0,IFERROR(INDEX(Deals!$H$2:$H$355,MATCH($C341,Deals!$A$2:$A$355,0)),0))</f>
        <v/>
      </c>
      <c r="K341" s="32">
        <f>IF(Settings!$B$4="Yes",$I341*$J341,$I341)</f>
        <v/>
      </c>
      <c r="L341" s="22">
        <f>IF($C341="","",IFERROR(IF(INDEX(Deals!$I$2:$I$355,MATCH($C341,Deals!$A$2:$A$355,0))=0,"",INDEX(Deals!$I$2:$I$355,MATCH($C341,Deals!$A$2:$A$355,0))),""))</f>
        <v/>
      </c>
      <c r="M341" s="22">
        <f>IF($C341="","",IFERROR(IF(INDEX(Deals!$J$2:$J$355,MATCH($C341,Deals!$A$2:$A$355,0))=0,"",INDEX(Deals!$J$2:$J$355,MATCH($C341,Deals!$A$2:$A$355,0))),""))</f>
        <v/>
      </c>
      <c r="N341" s="35">
        <f>IF($L341="",DATE(1900,1,1),$L341)</f>
        <v/>
      </c>
      <c r="O341" s="35">
        <f>IF($M341="",DATE(2100,12,31),$M341)</f>
        <v/>
      </c>
      <c r="P341" s="20" t="inlineStr">
        <is>
          <t>Closed</t>
        </is>
      </c>
      <c r="Q341" s="47" t="inlineStr"/>
      <c r="R341" s="16">
        <f>IF($C341="","",IFERROR(IF(INDEX(Deals!$U$2:$U$355,MATCH($C341,Deals!$A$2:$A$355,0))=0,"",INDEX(Deals!$U$2:$U$355,MATCH($C341,Deals!$A$2:$A$355,0))),""))</f>
        <v/>
      </c>
      <c r="S341" s="34">
        <f>IFERROR(IF($U341="",1,INDEX(Deals!$V$2:$V$355,MATCH($C341,Deals!$A$2:$A$355,0))),1)</f>
        <v/>
      </c>
      <c r="T341" s="34">
        <f>IFERROR(IF($U341="",1,INDEX(Deals!$W$2:$W$355,MATCH($C341,Deals!$A$2:$A$355,0))),1)</f>
        <v/>
      </c>
      <c r="U341" s="22">
        <f>IF($C341="","",IFERROR(IF(INDEX(Deals!$Y$2:$Y$355,MATCH($C341,Deals!$A$2:$A$355,0))=0,"",INDEX(Deals!$Y$2:$Y$355,MATCH($C341,Deals!$A$2:$A$355,0))),""))</f>
        <v/>
      </c>
      <c r="V341" s="35">
        <f>IF(OR($U341&lt;&gt;"",AND($AO341&gt;0,$L341&lt;&gt;"",$M341&lt;&gt;"")),$N341,DATE(1900,1,1))</f>
        <v/>
      </c>
      <c r="W341" s="35">
        <f>IF($U341&lt;&gt;"",$U341,IF(AND($AO341&gt;0,$L341&lt;&gt;"",$M341&lt;&gt;""),$O341,DATE(2100,12,31)))</f>
        <v/>
      </c>
      <c r="X341" s="32">
        <f>IF($U341="",$K341,$K341*$S341)</f>
        <v/>
      </c>
      <c r="Y341" s="35">
        <f>IF($U341="",DATE(2100,12,31),$U341+1)</f>
        <v/>
      </c>
      <c r="Z341" s="35">
        <f>IF($U341="",DATE(1900,1,1),$O341)</f>
        <v/>
      </c>
      <c r="AA341" s="32">
        <f>IF($U341="",0,$K341*$T341)</f>
        <v/>
      </c>
      <c r="AB341" s="21">
        <f>IF($C341="",0,IFERROR(INDEX(Deals!$AD$2:$AD$355,MATCH($C341,Deals!$A$2:$A$355,0)),0))</f>
        <v/>
      </c>
      <c r="AC341" s="32">
        <f>IF(Settings!$B$4="Yes",$I341*$AB341,$I341)</f>
        <v/>
      </c>
      <c r="AD341" s="22">
        <f>IF($C341="","",IFERROR(IF(INDEX(Deals!$AE$2:$AE$355,MATCH($C341,Deals!$A$2:$A$355,0))=0,"",INDEX(Deals!$AE$2:$AE$355,MATCH($C341,Deals!$A$2:$A$355,0))),""))</f>
        <v/>
      </c>
      <c r="AE341" s="22">
        <f>IF($C341="","",IFERROR(IF(INDEX(Deals!$AF$2:$AF$355,MATCH($C341,Deals!$A$2:$A$355,0))=0,"",INDEX(Deals!$AF$2:$AF$355,MATCH($C341,Deals!$A$2:$A$355,0))),""))</f>
        <v/>
      </c>
      <c r="AF341" s="35">
        <f>IF($AD341="",DATE(1900,1,1),$AD341)</f>
        <v/>
      </c>
      <c r="AG341" s="35">
        <f>IF($AE341="",DATE(2100,12,31),$AE341)</f>
        <v/>
      </c>
      <c r="AH341" s="22">
        <f>IF($C341="","",IFERROR(IF(INDEX(Deals!$AG$2:$AG$355,MATCH($C341,Deals!$A$2:$A$355,0))=0,"",INDEX(Deals!$AG$2:$AG$355,MATCH($C341,Deals!$A$2:$A$355,0))),""))</f>
        <v/>
      </c>
      <c r="AI341" s="35">
        <f>IF(OR($AH341&lt;&gt;"",AND($AO341&gt;0,$AD341&lt;&gt;"",$AE341&lt;&gt;"")),$AF341,DATE(1900,1,1))</f>
        <v/>
      </c>
      <c r="AJ341" s="35">
        <f>IF($AH341&lt;&gt;"",$AH341,IF(AND($AO341&gt;0,$AD341&lt;&gt;"",$AE341&lt;&gt;""),$AG341,DATE(2100,12,31)))</f>
        <v/>
      </c>
      <c r="AK341" s="32">
        <f>IF($AH341="",$AC341,$AC341*$S341)</f>
        <v/>
      </c>
      <c r="AL341" s="35">
        <f>IF($AH341="",DATE(2100,12,31),$AH341+1)</f>
        <v/>
      </c>
      <c r="AM341" s="35">
        <f>IF($AH341="",DATE(1900,1,1),$AG341)</f>
        <v/>
      </c>
      <c r="AN341" s="32">
        <f>IF($AH341="",0,$AC341*$T341)</f>
        <v/>
      </c>
      <c r="AO341" s="46">
        <f>IF($C341="",0,IFERROR(INDEX(Deals!$BD$2:$BD$355,MATCH($C341,Deals!$A$2:$A$355,0)),0))</f>
        <v/>
      </c>
      <c r="AP341" s="18">
        <f>IF($AO341=0,0,IFERROR(INDEX(Deals!$BJ$2:$BP$355,MATCH($C341,Deals!$A$2:$A$355,0),MATCH($F341,Deals!$BJ$1:$BP$1,0))/COUNTIFS(Assignments!$C$2:$C$769,$C341,Assignments!$F$2:$F$769,$F341,Assignments!$G$2:$G$769,"Active"),0))</f>
        <v/>
      </c>
    </row>
    <row r="342">
      <c r="A342" s="28" t="inlineStr">
        <is>
          <t>George</t>
        </is>
      </c>
      <c r="B342" s="16">
        <f>IF($A342="","",IFERROR(INDEX(Roster!$B$2:$B$40,MATCH($A342,Roster!$A$2:$A$40,0)),"?"))</f>
        <v/>
      </c>
      <c r="C342" s="28" t="inlineStr">
        <is>
          <t>Pythagoras_1</t>
        </is>
      </c>
      <c r="D342" s="16">
        <f>IF($C342="","",IFERROR(IF(INDEX(Deals!$C$2:$C$355,MATCH($C342,Deals!$A$2:$A$355,0))=0,"",INDEX(Deals!$C$2:$C$355,MATCH($C342,Deals!$A$2:$A$355,0))),"?"))</f>
        <v/>
      </c>
      <c r="E342" s="16">
        <f>IF($C342="","",IFERROR(INDEX(Deals!$F$2:$F$355,MATCH($C342,Deals!$A$2:$A$355,0)),"?"))</f>
        <v/>
      </c>
      <c r="F342" s="28" t="inlineStr">
        <is>
          <t>VP</t>
        </is>
      </c>
      <c r="G342" s="28" t="inlineStr">
        <is>
          <t>Inactive</t>
        </is>
      </c>
      <c r="H342" s="31" t="n"/>
      <c r="I342" s="32">
        <f>IF(OR($A342="",$G342&lt;&gt;"Active"),0,IF($H342&lt;&gt;"",$H342,IF($AO342&gt;0,$AP342,IF(AND($R342&lt;&gt;"",IFERROR(INDEX(Templates!$B$3:$H$10,MATCH($R342,Templates!$A$3:$A$10,0),MATCH($F342,Templates!$B$2:$H$2,0)),0)&gt;0),INDEX(Templates!$B$3:$H$10,MATCH($R342,Templates!$A$3:$A$10,0),MATCH($F342,Templates!$B$2:$H$2,0)),IFERROR(INDEX(Settings!$B$8:$B$14,MATCH($F342,Settings!$A$8:$A$14,0)),0)))))</f>
        <v/>
      </c>
      <c r="J342" s="21">
        <f>IF($C342="",0,IFERROR(INDEX(Deals!$H$2:$H$355,MATCH($C342,Deals!$A$2:$A$355,0)),0))</f>
        <v/>
      </c>
      <c r="K342" s="32">
        <f>IF(Settings!$B$4="Yes",$I342*$J342,$I342)</f>
        <v/>
      </c>
      <c r="L342" s="22">
        <f>IF($C342="","",IFERROR(IF(INDEX(Deals!$I$2:$I$355,MATCH($C342,Deals!$A$2:$A$355,0))=0,"",INDEX(Deals!$I$2:$I$355,MATCH($C342,Deals!$A$2:$A$355,0))),""))</f>
        <v/>
      </c>
      <c r="M342" s="22">
        <f>IF($C342="","",IFERROR(IF(INDEX(Deals!$J$2:$J$355,MATCH($C342,Deals!$A$2:$A$355,0))=0,"",INDEX(Deals!$J$2:$J$355,MATCH($C342,Deals!$A$2:$A$355,0))),""))</f>
        <v/>
      </c>
      <c r="N342" s="35">
        <f>IF($L342="",DATE(1900,1,1),$L342)</f>
        <v/>
      </c>
      <c r="O342" s="35">
        <f>IF($M342="",DATE(2100,12,31),$M342)</f>
        <v/>
      </c>
      <c r="P342" s="20" t="inlineStr">
        <is>
          <t>Closed</t>
        </is>
      </c>
      <c r="Q342" s="47" t="inlineStr"/>
      <c r="R342" s="16">
        <f>IF($C342="","",IFERROR(IF(INDEX(Deals!$U$2:$U$355,MATCH($C342,Deals!$A$2:$A$355,0))=0,"",INDEX(Deals!$U$2:$U$355,MATCH($C342,Deals!$A$2:$A$355,0))),""))</f>
        <v/>
      </c>
      <c r="S342" s="34">
        <f>IFERROR(IF($U342="",1,INDEX(Deals!$V$2:$V$355,MATCH($C342,Deals!$A$2:$A$355,0))),1)</f>
        <v/>
      </c>
      <c r="T342" s="34">
        <f>IFERROR(IF($U342="",1,INDEX(Deals!$W$2:$W$355,MATCH($C342,Deals!$A$2:$A$355,0))),1)</f>
        <v/>
      </c>
      <c r="U342" s="22">
        <f>IF($C342="","",IFERROR(IF(INDEX(Deals!$Y$2:$Y$355,MATCH($C342,Deals!$A$2:$A$355,0))=0,"",INDEX(Deals!$Y$2:$Y$355,MATCH($C342,Deals!$A$2:$A$355,0))),""))</f>
        <v/>
      </c>
      <c r="V342" s="35">
        <f>IF(OR($U342&lt;&gt;"",AND($AO342&gt;0,$L342&lt;&gt;"",$M342&lt;&gt;"")),$N342,DATE(1900,1,1))</f>
        <v/>
      </c>
      <c r="W342" s="35">
        <f>IF($U342&lt;&gt;"",$U342,IF(AND($AO342&gt;0,$L342&lt;&gt;"",$M342&lt;&gt;""),$O342,DATE(2100,12,31)))</f>
        <v/>
      </c>
      <c r="X342" s="32">
        <f>IF($U342="",$K342,$K342*$S342)</f>
        <v/>
      </c>
      <c r="Y342" s="35">
        <f>IF($U342="",DATE(2100,12,31),$U342+1)</f>
        <v/>
      </c>
      <c r="Z342" s="35">
        <f>IF($U342="",DATE(1900,1,1),$O342)</f>
        <v/>
      </c>
      <c r="AA342" s="32">
        <f>IF($U342="",0,$K342*$T342)</f>
        <v/>
      </c>
      <c r="AB342" s="21">
        <f>IF($C342="",0,IFERROR(INDEX(Deals!$AD$2:$AD$355,MATCH($C342,Deals!$A$2:$A$355,0)),0))</f>
        <v/>
      </c>
      <c r="AC342" s="32">
        <f>IF(Settings!$B$4="Yes",$I342*$AB342,$I342)</f>
        <v/>
      </c>
      <c r="AD342" s="22">
        <f>IF($C342="","",IFERROR(IF(INDEX(Deals!$AE$2:$AE$355,MATCH($C342,Deals!$A$2:$A$355,0))=0,"",INDEX(Deals!$AE$2:$AE$355,MATCH($C342,Deals!$A$2:$A$355,0))),""))</f>
        <v/>
      </c>
      <c r="AE342" s="22">
        <f>IF($C342="","",IFERROR(IF(INDEX(Deals!$AF$2:$AF$355,MATCH($C342,Deals!$A$2:$A$355,0))=0,"",INDEX(Deals!$AF$2:$AF$355,MATCH($C342,Deals!$A$2:$A$355,0))),""))</f>
        <v/>
      </c>
      <c r="AF342" s="35">
        <f>IF($AD342="",DATE(1900,1,1),$AD342)</f>
        <v/>
      </c>
      <c r="AG342" s="35">
        <f>IF($AE342="",DATE(2100,12,31),$AE342)</f>
        <v/>
      </c>
      <c r="AH342" s="22">
        <f>IF($C342="","",IFERROR(IF(INDEX(Deals!$AG$2:$AG$355,MATCH($C342,Deals!$A$2:$A$355,0))=0,"",INDEX(Deals!$AG$2:$AG$355,MATCH($C342,Deals!$A$2:$A$355,0))),""))</f>
        <v/>
      </c>
      <c r="AI342" s="35">
        <f>IF(OR($AH342&lt;&gt;"",AND($AO342&gt;0,$AD342&lt;&gt;"",$AE342&lt;&gt;"")),$AF342,DATE(1900,1,1))</f>
        <v/>
      </c>
      <c r="AJ342" s="35">
        <f>IF($AH342&lt;&gt;"",$AH342,IF(AND($AO342&gt;0,$AD342&lt;&gt;"",$AE342&lt;&gt;""),$AG342,DATE(2100,12,31)))</f>
        <v/>
      </c>
      <c r="AK342" s="32">
        <f>IF($AH342="",$AC342,$AC342*$S342)</f>
        <v/>
      </c>
      <c r="AL342" s="35">
        <f>IF($AH342="",DATE(2100,12,31),$AH342+1)</f>
        <v/>
      </c>
      <c r="AM342" s="35">
        <f>IF($AH342="",DATE(1900,1,1),$AG342)</f>
        <v/>
      </c>
      <c r="AN342" s="32">
        <f>IF($AH342="",0,$AC342*$T342)</f>
        <v/>
      </c>
      <c r="AO342" s="46">
        <f>IF($C342="",0,IFERROR(INDEX(Deals!$BD$2:$BD$355,MATCH($C342,Deals!$A$2:$A$355,0)),0))</f>
        <v/>
      </c>
      <c r="AP342" s="18">
        <f>IF($AO342=0,0,IFERROR(INDEX(Deals!$BJ$2:$BP$355,MATCH($C342,Deals!$A$2:$A$355,0),MATCH($F342,Deals!$BJ$1:$BP$1,0))/COUNTIFS(Assignments!$C$2:$C$769,$C342,Assignments!$F$2:$F$769,$F342,Assignments!$G$2:$G$769,"Active"),0))</f>
        <v/>
      </c>
    </row>
    <row r="343">
      <c r="A343" s="28" t="inlineStr">
        <is>
          <t>George</t>
        </is>
      </c>
      <c r="B343" s="16">
        <f>IF($A343="","",IFERROR(INDEX(Roster!$B$2:$B$40,MATCH($A343,Roster!$A$2:$A$40,0)),"?"))</f>
        <v/>
      </c>
      <c r="C343" s="28" t="inlineStr">
        <is>
          <t>Sunshine_4</t>
        </is>
      </c>
      <c r="D343" s="16">
        <f>IF($C343="","",IFERROR(IF(INDEX(Deals!$C$2:$C$355,MATCH($C343,Deals!$A$2:$A$355,0))=0,"",INDEX(Deals!$C$2:$C$355,MATCH($C343,Deals!$A$2:$A$355,0))),"?"))</f>
        <v/>
      </c>
      <c r="E343" s="16">
        <f>IF($C343="","",IFERROR(INDEX(Deals!$F$2:$F$355,MATCH($C343,Deals!$A$2:$A$355,0)),"?"))</f>
        <v/>
      </c>
      <c r="F343" s="28" t="inlineStr">
        <is>
          <t>VP</t>
        </is>
      </c>
      <c r="G343" s="28" t="inlineStr">
        <is>
          <t>Active</t>
        </is>
      </c>
      <c r="H343" s="31" t="n"/>
      <c r="I343" s="32">
        <f>IF(OR($A343="",$G343&lt;&gt;"Active"),0,IF($H343&lt;&gt;"",$H343,IF($AO343&gt;0,$AP343,IF(AND($R343&lt;&gt;"",IFERROR(INDEX(Templates!$B$3:$H$10,MATCH($R343,Templates!$A$3:$A$10,0),MATCH($F343,Templates!$B$2:$H$2,0)),0)&gt;0),INDEX(Templates!$B$3:$H$10,MATCH($R343,Templates!$A$3:$A$10,0),MATCH($F343,Templates!$B$2:$H$2,0)),IFERROR(INDEX(Settings!$B$8:$B$14,MATCH($F343,Settings!$A$8:$A$14,0)),0)))))</f>
        <v/>
      </c>
      <c r="J343" s="21">
        <f>IF($C343="",0,IFERROR(INDEX(Deals!$H$2:$H$355,MATCH($C343,Deals!$A$2:$A$355,0)),0))</f>
        <v/>
      </c>
      <c r="K343" s="32">
        <f>IF(Settings!$B$4="Yes",$I343*$J343,$I343)</f>
        <v/>
      </c>
      <c r="L343" s="22">
        <f>IF($C343="","",IFERROR(IF(INDEX(Deals!$I$2:$I$355,MATCH($C343,Deals!$A$2:$A$355,0))=0,"",INDEX(Deals!$I$2:$I$355,MATCH($C343,Deals!$A$2:$A$355,0))),""))</f>
        <v/>
      </c>
      <c r="M343" s="22">
        <f>IF($C343="","",IFERROR(IF(INDEX(Deals!$J$2:$J$355,MATCH($C343,Deals!$A$2:$A$355,0))=0,"",INDEX(Deals!$J$2:$J$355,MATCH($C343,Deals!$A$2:$A$355,0))),""))</f>
        <v/>
      </c>
      <c r="N343" s="35">
        <f>IF($L343="",DATE(1900,1,1),$L343)</f>
        <v/>
      </c>
      <c r="O343" s="35">
        <f>IF($M343="",DATE(2100,12,31),$M343)</f>
        <v/>
      </c>
      <c r="P343" s="20" t="inlineStr">
        <is>
          <t>Ongoing</t>
        </is>
      </c>
      <c r="Q343" s="47" t="inlineStr"/>
      <c r="R343" s="16">
        <f>IF($C343="","",IFERROR(IF(INDEX(Deals!$U$2:$U$355,MATCH($C343,Deals!$A$2:$A$355,0))=0,"",INDEX(Deals!$U$2:$U$355,MATCH($C343,Deals!$A$2:$A$355,0))),""))</f>
        <v/>
      </c>
      <c r="S343" s="34">
        <f>IFERROR(IF($U343="",1,INDEX(Deals!$V$2:$V$355,MATCH($C343,Deals!$A$2:$A$355,0))),1)</f>
        <v/>
      </c>
      <c r="T343" s="34">
        <f>IFERROR(IF($U343="",1,INDEX(Deals!$W$2:$W$355,MATCH($C343,Deals!$A$2:$A$355,0))),1)</f>
        <v/>
      </c>
      <c r="U343" s="22">
        <f>IF($C343="","",IFERROR(IF(INDEX(Deals!$Y$2:$Y$355,MATCH($C343,Deals!$A$2:$A$355,0))=0,"",INDEX(Deals!$Y$2:$Y$355,MATCH($C343,Deals!$A$2:$A$355,0))),""))</f>
        <v/>
      </c>
      <c r="V343" s="35">
        <f>IF(OR($U343&lt;&gt;"",AND($AO343&gt;0,$L343&lt;&gt;"",$M343&lt;&gt;"")),$N343,DATE(1900,1,1))</f>
        <v/>
      </c>
      <c r="W343" s="35">
        <f>IF($U343&lt;&gt;"",$U343,IF(AND($AO343&gt;0,$L343&lt;&gt;"",$M343&lt;&gt;""),$O343,DATE(2100,12,31)))</f>
        <v/>
      </c>
      <c r="X343" s="32">
        <f>IF($U343="",$K343,$K343*$S343)</f>
        <v/>
      </c>
      <c r="Y343" s="35">
        <f>IF($U343="",DATE(2100,12,31),$U343+1)</f>
        <v/>
      </c>
      <c r="Z343" s="35">
        <f>IF($U343="",DATE(1900,1,1),$O343)</f>
        <v/>
      </c>
      <c r="AA343" s="32">
        <f>IF($U343="",0,$K343*$T343)</f>
        <v/>
      </c>
      <c r="AB343" s="21">
        <f>IF($C343="",0,IFERROR(INDEX(Deals!$AD$2:$AD$355,MATCH($C343,Deals!$A$2:$A$355,0)),0))</f>
        <v/>
      </c>
      <c r="AC343" s="32">
        <f>IF(Settings!$B$4="Yes",$I343*$AB343,$I343)</f>
        <v/>
      </c>
      <c r="AD343" s="22">
        <f>IF($C343="","",IFERROR(IF(INDEX(Deals!$AE$2:$AE$355,MATCH($C343,Deals!$A$2:$A$355,0))=0,"",INDEX(Deals!$AE$2:$AE$355,MATCH($C343,Deals!$A$2:$A$355,0))),""))</f>
        <v/>
      </c>
      <c r="AE343" s="22">
        <f>IF($C343="","",IFERROR(IF(INDEX(Deals!$AF$2:$AF$355,MATCH($C343,Deals!$A$2:$A$355,0))=0,"",INDEX(Deals!$AF$2:$AF$355,MATCH($C343,Deals!$A$2:$A$355,0))),""))</f>
        <v/>
      </c>
      <c r="AF343" s="35">
        <f>IF($AD343="",DATE(1900,1,1),$AD343)</f>
        <v/>
      </c>
      <c r="AG343" s="35">
        <f>IF($AE343="",DATE(2100,12,31),$AE343)</f>
        <v/>
      </c>
      <c r="AH343" s="22">
        <f>IF($C343="","",IFERROR(IF(INDEX(Deals!$AG$2:$AG$355,MATCH($C343,Deals!$A$2:$A$355,0))=0,"",INDEX(Deals!$AG$2:$AG$355,MATCH($C343,Deals!$A$2:$A$355,0))),""))</f>
        <v/>
      </c>
      <c r="AI343" s="35">
        <f>IF(OR($AH343&lt;&gt;"",AND($AO343&gt;0,$AD343&lt;&gt;"",$AE343&lt;&gt;"")),$AF343,DATE(1900,1,1))</f>
        <v/>
      </c>
      <c r="AJ343" s="35">
        <f>IF($AH343&lt;&gt;"",$AH343,IF(AND($AO343&gt;0,$AD343&lt;&gt;"",$AE343&lt;&gt;""),$AG343,DATE(2100,12,31)))</f>
        <v/>
      </c>
      <c r="AK343" s="32">
        <f>IF($AH343="",$AC343,$AC343*$S343)</f>
        <v/>
      </c>
      <c r="AL343" s="35">
        <f>IF($AH343="",DATE(2100,12,31),$AH343+1)</f>
        <v/>
      </c>
      <c r="AM343" s="35">
        <f>IF($AH343="",DATE(1900,1,1),$AG343)</f>
        <v/>
      </c>
      <c r="AN343" s="32">
        <f>IF($AH343="",0,$AC343*$T343)</f>
        <v/>
      </c>
      <c r="AO343" s="46">
        <f>IF($C343="",0,IFERROR(INDEX(Deals!$BD$2:$BD$355,MATCH($C343,Deals!$A$2:$A$355,0)),0))</f>
        <v/>
      </c>
      <c r="AP343" s="18">
        <f>IF($AO343=0,0,IFERROR(INDEX(Deals!$BJ$2:$BP$355,MATCH($C343,Deals!$A$2:$A$355,0),MATCH($F343,Deals!$BJ$1:$BP$1,0))/COUNTIFS(Assignments!$C$2:$C$769,$C343,Assignments!$F$2:$F$769,$F343,Assignments!$G$2:$G$769,"Active"),0))</f>
        <v/>
      </c>
    </row>
    <row r="344">
      <c r="A344" s="28" t="inlineStr">
        <is>
          <t>George</t>
        </is>
      </c>
      <c r="B344" s="16">
        <f>IF($A344="","",IFERROR(INDEX(Roster!$B$2:$B$40,MATCH($A344,Roster!$A$2:$A$40,0)),"?"))</f>
        <v/>
      </c>
      <c r="C344" s="28" t="inlineStr">
        <is>
          <t>UPS_1</t>
        </is>
      </c>
      <c r="D344" s="16">
        <f>IF($C344="","",IFERROR(IF(INDEX(Deals!$C$2:$C$355,MATCH($C344,Deals!$A$2:$A$355,0))=0,"",INDEX(Deals!$C$2:$C$355,MATCH($C344,Deals!$A$2:$A$355,0))),"?"))</f>
        <v/>
      </c>
      <c r="E344" s="16">
        <f>IF($C344="","",IFERROR(INDEX(Deals!$F$2:$F$355,MATCH($C344,Deals!$A$2:$A$355,0)),"?"))</f>
        <v/>
      </c>
      <c r="F344" s="28" t="inlineStr">
        <is>
          <t>VP</t>
        </is>
      </c>
      <c r="G344" s="28" t="inlineStr">
        <is>
          <t>Inactive</t>
        </is>
      </c>
      <c r="H344" s="31" t="n"/>
      <c r="I344" s="32">
        <f>IF(OR($A344="",$G344&lt;&gt;"Active"),0,IF($H344&lt;&gt;"",$H344,IF($AO344&gt;0,$AP344,IF(AND($R344&lt;&gt;"",IFERROR(INDEX(Templates!$B$3:$H$10,MATCH($R344,Templates!$A$3:$A$10,0),MATCH($F344,Templates!$B$2:$H$2,0)),0)&gt;0),INDEX(Templates!$B$3:$H$10,MATCH($R344,Templates!$A$3:$A$10,0),MATCH($F344,Templates!$B$2:$H$2,0)),IFERROR(INDEX(Settings!$B$8:$B$14,MATCH($F344,Settings!$A$8:$A$14,0)),0)))))</f>
        <v/>
      </c>
      <c r="J344" s="21">
        <f>IF($C344="",0,IFERROR(INDEX(Deals!$H$2:$H$355,MATCH($C344,Deals!$A$2:$A$355,0)),0))</f>
        <v/>
      </c>
      <c r="K344" s="32">
        <f>IF(Settings!$B$4="Yes",$I344*$J344,$I344)</f>
        <v/>
      </c>
      <c r="L344" s="22">
        <f>IF($C344="","",IFERROR(IF(INDEX(Deals!$I$2:$I$355,MATCH($C344,Deals!$A$2:$A$355,0))=0,"",INDEX(Deals!$I$2:$I$355,MATCH($C344,Deals!$A$2:$A$355,0))),""))</f>
        <v/>
      </c>
      <c r="M344" s="22">
        <f>IF($C344="","",IFERROR(IF(INDEX(Deals!$J$2:$J$355,MATCH($C344,Deals!$A$2:$A$355,0))=0,"",INDEX(Deals!$J$2:$J$355,MATCH($C344,Deals!$A$2:$A$355,0))),""))</f>
        <v/>
      </c>
      <c r="N344" s="35">
        <f>IF($L344="",DATE(1900,1,1),$L344)</f>
        <v/>
      </c>
      <c r="O344" s="35">
        <f>IF($M344="",DATE(2100,12,31),$M344)</f>
        <v/>
      </c>
      <c r="P344" s="20" t="inlineStr">
        <is>
          <t>Dead</t>
        </is>
      </c>
      <c r="Q344" s="47" t="inlineStr"/>
      <c r="R344" s="16">
        <f>IF($C344="","",IFERROR(IF(INDEX(Deals!$U$2:$U$355,MATCH($C344,Deals!$A$2:$A$355,0))=0,"",INDEX(Deals!$U$2:$U$355,MATCH($C344,Deals!$A$2:$A$355,0))),""))</f>
        <v/>
      </c>
      <c r="S344" s="34">
        <f>IFERROR(IF($U344="",1,INDEX(Deals!$V$2:$V$355,MATCH($C344,Deals!$A$2:$A$355,0))),1)</f>
        <v/>
      </c>
      <c r="T344" s="34">
        <f>IFERROR(IF($U344="",1,INDEX(Deals!$W$2:$W$355,MATCH($C344,Deals!$A$2:$A$355,0))),1)</f>
        <v/>
      </c>
      <c r="U344" s="22">
        <f>IF($C344="","",IFERROR(IF(INDEX(Deals!$Y$2:$Y$355,MATCH($C344,Deals!$A$2:$A$355,0))=0,"",INDEX(Deals!$Y$2:$Y$355,MATCH($C344,Deals!$A$2:$A$355,0))),""))</f>
        <v/>
      </c>
      <c r="V344" s="35">
        <f>IF(OR($U344&lt;&gt;"",AND($AO344&gt;0,$L344&lt;&gt;"",$M344&lt;&gt;"")),$N344,DATE(1900,1,1))</f>
        <v/>
      </c>
      <c r="W344" s="35">
        <f>IF($U344&lt;&gt;"",$U344,IF(AND($AO344&gt;0,$L344&lt;&gt;"",$M344&lt;&gt;""),$O344,DATE(2100,12,31)))</f>
        <v/>
      </c>
      <c r="X344" s="32">
        <f>IF($U344="",$K344,$K344*$S344)</f>
        <v/>
      </c>
      <c r="Y344" s="35">
        <f>IF($U344="",DATE(2100,12,31),$U344+1)</f>
        <v/>
      </c>
      <c r="Z344" s="35">
        <f>IF($U344="",DATE(1900,1,1),$O344)</f>
        <v/>
      </c>
      <c r="AA344" s="32">
        <f>IF($U344="",0,$K344*$T344)</f>
        <v/>
      </c>
      <c r="AB344" s="21">
        <f>IF($C344="",0,IFERROR(INDEX(Deals!$AD$2:$AD$355,MATCH($C344,Deals!$A$2:$A$355,0)),0))</f>
        <v/>
      </c>
      <c r="AC344" s="32">
        <f>IF(Settings!$B$4="Yes",$I344*$AB344,$I344)</f>
        <v/>
      </c>
      <c r="AD344" s="22">
        <f>IF($C344="","",IFERROR(IF(INDEX(Deals!$AE$2:$AE$355,MATCH($C344,Deals!$A$2:$A$355,0))=0,"",INDEX(Deals!$AE$2:$AE$355,MATCH($C344,Deals!$A$2:$A$355,0))),""))</f>
        <v/>
      </c>
      <c r="AE344" s="22">
        <f>IF($C344="","",IFERROR(IF(INDEX(Deals!$AF$2:$AF$355,MATCH($C344,Deals!$A$2:$A$355,0))=0,"",INDEX(Deals!$AF$2:$AF$355,MATCH($C344,Deals!$A$2:$A$355,0))),""))</f>
        <v/>
      </c>
      <c r="AF344" s="35">
        <f>IF($AD344="",DATE(1900,1,1),$AD344)</f>
        <v/>
      </c>
      <c r="AG344" s="35">
        <f>IF($AE344="",DATE(2100,12,31),$AE344)</f>
        <v/>
      </c>
      <c r="AH344" s="22">
        <f>IF($C344="","",IFERROR(IF(INDEX(Deals!$AG$2:$AG$355,MATCH($C344,Deals!$A$2:$A$355,0))=0,"",INDEX(Deals!$AG$2:$AG$355,MATCH($C344,Deals!$A$2:$A$355,0))),""))</f>
        <v/>
      </c>
      <c r="AI344" s="35">
        <f>IF(OR($AH344&lt;&gt;"",AND($AO344&gt;0,$AD344&lt;&gt;"",$AE344&lt;&gt;"")),$AF344,DATE(1900,1,1))</f>
        <v/>
      </c>
      <c r="AJ344" s="35">
        <f>IF($AH344&lt;&gt;"",$AH344,IF(AND($AO344&gt;0,$AD344&lt;&gt;"",$AE344&lt;&gt;""),$AG344,DATE(2100,12,31)))</f>
        <v/>
      </c>
      <c r="AK344" s="32">
        <f>IF($AH344="",$AC344,$AC344*$S344)</f>
        <v/>
      </c>
      <c r="AL344" s="35">
        <f>IF($AH344="",DATE(2100,12,31),$AH344+1)</f>
        <v/>
      </c>
      <c r="AM344" s="35">
        <f>IF($AH344="",DATE(1900,1,1),$AG344)</f>
        <v/>
      </c>
      <c r="AN344" s="32">
        <f>IF($AH344="",0,$AC344*$T344)</f>
        <v/>
      </c>
      <c r="AO344" s="46">
        <f>IF($C344="",0,IFERROR(INDEX(Deals!$BD$2:$BD$355,MATCH($C344,Deals!$A$2:$A$355,0)),0))</f>
        <v/>
      </c>
      <c r="AP344" s="18">
        <f>IF($AO344=0,0,IFERROR(INDEX(Deals!$BJ$2:$BP$355,MATCH($C344,Deals!$A$2:$A$355,0),MATCH($F344,Deals!$BJ$1:$BP$1,0))/COUNTIFS(Assignments!$C$2:$C$769,$C344,Assignments!$F$2:$F$769,$F344,Assignments!$G$2:$G$769,"Active"),0))</f>
        <v/>
      </c>
    </row>
    <row r="345">
      <c r="A345" s="28" t="inlineStr">
        <is>
          <t>George</t>
        </is>
      </c>
      <c r="B345" s="16">
        <f>IF($A345="","",IFERROR(INDEX(Roster!$B$2:$B$40,MATCH($A345,Roster!$A$2:$A$40,0)),"?"))</f>
        <v/>
      </c>
      <c r="C345" s="28" t="inlineStr">
        <is>
          <t>Voltaire_1</t>
        </is>
      </c>
      <c r="D345" s="16">
        <f>IF($C345="","",IFERROR(IF(INDEX(Deals!$C$2:$C$355,MATCH($C345,Deals!$A$2:$A$355,0))=0,"",INDEX(Deals!$C$2:$C$355,MATCH($C345,Deals!$A$2:$A$355,0))),"?"))</f>
        <v/>
      </c>
      <c r="E345" s="16">
        <f>IF($C345="","",IFERROR(INDEX(Deals!$F$2:$F$355,MATCH($C345,Deals!$A$2:$A$355,0)),"?"))</f>
        <v/>
      </c>
      <c r="F345" s="28" t="inlineStr">
        <is>
          <t>VP</t>
        </is>
      </c>
      <c r="G345" s="28" t="inlineStr">
        <is>
          <t>Active</t>
        </is>
      </c>
      <c r="H345" s="31" t="n"/>
      <c r="I345" s="32">
        <f>IF(OR($A345="",$G345&lt;&gt;"Active"),0,IF($H345&lt;&gt;"",$H345,IF($AO345&gt;0,$AP345,IF(AND($R345&lt;&gt;"",IFERROR(INDEX(Templates!$B$3:$H$10,MATCH($R345,Templates!$A$3:$A$10,0),MATCH($F345,Templates!$B$2:$H$2,0)),0)&gt;0),INDEX(Templates!$B$3:$H$10,MATCH($R345,Templates!$A$3:$A$10,0),MATCH($F345,Templates!$B$2:$H$2,0)),IFERROR(INDEX(Settings!$B$8:$B$14,MATCH($F345,Settings!$A$8:$A$14,0)),0)))))</f>
        <v/>
      </c>
      <c r="J345" s="21">
        <f>IF($C345="",0,IFERROR(INDEX(Deals!$H$2:$H$355,MATCH($C345,Deals!$A$2:$A$355,0)),0))</f>
        <v/>
      </c>
      <c r="K345" s="32">
        <f>IF(Settings!$B$4="Yes",$I345*$J345,$I345)</f>
        <v/>
      </c>
      <c r="L345" s="22">
        <f>IF($C345="","",IFERROR(IF(INDEX(Deals!$I$2:$I$355,MATCH($C345,Deals!$A$2:$A$355,0))=0,"",INDEX(Deals!$I$2:$I$355,MATCH($C345,Deals!$A$2:$A$355,0))),""))</f>
        <v/>
      </c>
      <c r="M345" s="22">
        <f>IF($C345="","",IFERROR(IF(INDEX(Deals!$J$2:$J$355,MATCH($C345,Deals!$A$2:$A$355,0))=0,"",INDEX(Deals!$J$2:$J$355,MATCH($C345,Deals!$A$2:$A$355,0))),""))</f>
        <v/>
      </c>
      <c r="N345" s="35">
        <f>IF($L345="",DATE(1900,1,1),$L345)</f>
        <v/>
      </c>
      <c r="O345" s="35">
        <f>IF($M345="",DATE(2100,12,31),$M345)</f>
        <v/>
      </c>
      <c r="P345" s="20" t="inlineStr">
        <is>
          <t>Ongoing</t>
        </is>
      </c>
      <c r="Q345" s="47" t="inlineStr"/>
      <c r="R345" s="16">
        <f>IF($C345="","",IFERROR(IF(INDEX(Deals!$U$2:$U$355,MATCH($C345,Deals!$A$2:$A$355,0))=0,"",INDEX(Deals!$U$2:$U$355,MATCH($C345,Deals!$A$2:$A$355,0))),""))</f>
        <v/>
      </c>
      <c r="S345" s="34">
        <f>IFERROR(IF($U345="",1,INDEX(Deals!$V$2:$V$355,MATCH($C345,Deals!$A$2:$A$355,0))),1)</f>
        <v/>
      </c>
      <c r="T345" s="34">
        <f>IFERROR(IF($U345="",1,INDEX(Deals!$W$2:$W$355,MATCH($C345,Deals!$A$2:$A$355,0))),1)</f>
        <v/>
      </c>
      <c r="U345" s="22">
        <f>IF($C345="","",IFERROR(IF(INDEX(Deals!$Y$2:$Y$355,MATCH($C345,Deals!$A$2:$A$355,0))=0,"",INDEX(Deals!$Y$2:$Y$355,MATCH($C345,Deals!$A$2:$A$355,0))),""))</f>
        <v/>
      </c>
      <c r="V345" s="35">
        <f>IF(OR($U345&lt;&gt;"",AND($AO345&gt;0,$L345&lt;&gt;"",$M345&lt;&gt;"")),$N345,DATE(1900,1,1))</f>
        <v/>
      </c>
      <c r="W345" s="35">
        <f>IF($U345&lt;&gt;"",$U345,IF(AND($AO345&gt;0,$L345&lt;&gt;"",$M345&lt;&gt;""),$O345,DATE(2100,12,31)))</f>
        <v/>
      </c>
      <c r="X345" s="32">
        <f>IF($U345="",$K345,$K345*$S345)</f>
        <v/>
      </c>
      <c r="Y345" s="35">
        <f>IF($U345="",DATE(2100,12,31),$U345+1)</f>
        <v/>
      </c>
      <c r="Z345" s="35">
        <f>IF($U345="",DATE(1900,1,1),$O345)</f>
        <v/>
      </c>
      <c r="AA345" s="32">
        <f>IF($U345="",0,$K345*$T345)</f>
        <v/>
      </c>
      <c r="AB345" s="21">
        <f>IF($C345="",0,IFERROR(INDEX(Deals!$AD$2:$AD$355,MATCH($C345,Deals!$A$2:$A$355,0)),0))</f>
        <v/>
      </c>
      <c r="AC345" s="32">
        <f>IF(Settings!$B$4="Yes",$I345*$AB345,$I345)</f>
        <v/>
      </c>
      <c r="AD345" s="22">
        <f>IF($C345="","",IFERROR(IF(INDEX(Deals!$AE$2:$AE$355,MATCH($C345,Deals!$A$2:$A$355,0))=0,"",INDEX(Deals!$AE$2:$AE$355,MATCH($C345,Deals!$A$2:$A$355,0))),""))</f>
        <v/>
      </c>
      <c r="AE345" s="22">
        <f>IF($C345="","",IFERROR(IF(INDEX(Deals!$AF$2:$AF$355,MATCH($C345,Deals!$A$2:$A$355,0))=0,"",INDEX(Deals!$AF$2:$AF$355,MATCH($C345,Deals!$A$2:$A$355,0))),""))</f>
        <v/>
      </c>
      <c r="AF345" s="35">
        <f>IF($AD345="",DATE(1900,1,1),$AD345)</f>
        <v/>
      </c>
      <c r="AG345" s="35">
        <f>IF($AE345="",DATE(2100,12,31),$AE345)</f>
        <v/>
      </c>
      <c r="AH345" s="22">
        <f>IF($C345="","",IFERROR(IF(INDEX(Deals!$AG$2:$AG$355,MATCH($C345,Deals!$A$2:$A$355,0))=0,"",INDEX(Deals!$AG$2:$AG$355,MATCH($C345,Deals!$A$2:$A$355,0))),""))</f>
        <v/>
      </c>
      <c r="AI345" s="35">
        <f>IF(OR($AH345&lt;&gt;"",AND($AO345&gt;0,$AD345&lt;&gt;"",$AE345&lt;&gt;"")),$AF345,DATE(1900,1,1))</f>
        <v/>
      </c>
      <c r="AJ345" s="35">
        <f>IF($AH345&lt;&gt;"",$AH345,IF(AND($AO345&gt;0,$AD345&lt;&gt;"",$AE345&lt;&gt;""),$AG345,DATE(2100,12,31)))</f>
        <v/>
      </c>
      <c r="AK345" s="32">
        <f>IF($AH345="",$AC345,$AC345*$S345)</f>
        <v/>
      </c>
      <c r="AL345" s="35">
        <f>IF($AH345="",DATE(2100,12,31),$AH345+1)</f>
        <v/>
      </c>
      <c r="AM345" s="35">
        <f>IF($AH345="",DATE(1900,1,1),$AG345)</f>
        <v/>
      </c>
      <c r="AN345" s="32">
        <f>IF($AH345="",0,$AC345*$T345)</f>
        <v/>
      </c>
      <c r="AO345" s="46">
        <f>IF($C345="",0,IFERROR(INDEX(Deals!$BD$2:$BD$355,MATCH($C345,Deals!$A$2:$A$355,0)),0))</f>
        <v/>
      </c>
      <c r="AP345" s="18">
        <f>IF($AO345=0,0,IFERROR(INDEX(Deals!$BJ$2:$BP$355,MATCH($C345,Deals!$A$2:$A$355,0),MATCH($F345,Deals!$BJ$1:$BP$1,0))/COUNTIFS(Assignments!$C$2:$C$769,$C345,Assignments!$F$2:$F$769,$F345,Assignments!$G$2:$G$769,"Active"),0))</f>
        <v/>
      </c>
    </row>
    <row r="346">
      <c r="A346" s="28" t="inlineStr">
        <is>
          <t>George</t>
        </is>
      </c>
      <c r="B346" s="16">
        <f>IF($A346="","",IFERROR(INDEX(Roster!$B$2:$B$40,MATCH($A346,Roster!$A$2:$A$40,0)),"?"))</f>
        <v/>
      </c>
      <c r="C346" s="28" t="inlineStr">
        <is>
          <t>Zora_1</t>
        </is>
      </c>
      <c r="D346" s="16">
        <f>IF($C346="","",IFERROR(IF(INDEX(Deals!$C$2:$C$355,MATCH($C346,Deals!$A$2:$A$355,0))=0,"",INDEX(Deals!$C$2:$C$355,MATCH($C346,Deals!$A$2:$A$355,0))),"?"))</f>
        <v/>
      </c>
      <c r="E346" s="16">
        <f>IF($C346="","",IFERROR(INDEX(Deals!$F$2:$F$355,MATCH($C346,Deals!$A$2:$A$355,0)),"?"))</f>
        <v/>
      </c>
      <c r="F346" s="28" t="inlineStr">
        <is>
          <t>VP</t>
        </is>
      </c>
      <c r="G346" s="28" t="inlineStr">
        <is>
          <t>Inactive</t>
        </is>
      </c>
      <c r="H346" s="31" t="n"/>
      <c r="I346" s="32">
        <f>IF(OR($A346="",$G346&lt;&gt;"Active"),0,IF($H346&lt;&gt;"",$H346,IF($AO346&gt;0,$AP346,IF(AND($R346&lt;&gt;"",IFERROR(INDEX(Templates!$B$3:$H$10,MATCH($R346,Templates!$A$3:$A$10,0),MATCH($F346,Templates!$B$2:$H$2,0)),0)&gt;0),INDEX(Templates!$B$3:$H$10,MATCH($R346,Templates!$A$3:$A$10,0),MATCH($F346,Templates!$B$2:$H$2,0)),IFERROR(INDEX(Settings!$B$8:$B$14,MATCH($F346,Settings!$A$8:$A$14,0)),0)))))</f>
        <v/>
      </c>
      <c r="J346" s="21">
        <f>IF($C346="",0,IFERROR(INDEX(Deals!$H$2:$H$355,MATCH($C346,Deals!$A$2:$A$355,0)),0))</f>
        <v/>
      </c>
      <c r="K346" s="32">
        <f>IF(Settings!$B$4="Yes",$I346*$J346,$I346)</f>
        <v/>
      </c>
      <c r="L346" s="22">
        <f>IF($C346="","",IFERROR(IF(INDEX(Deals!$I$2:$I$355,MATCH($C346,Deals!$A$2:$A$355,0))=0,"",INDEX(Deals!$I$2:$I$355,MATCH($C346,Deals!$A$2:$A$355,0))),""))</f>
        <v/>
      </c>
      <c r="M346" s="22">
        <f>IF($C346="","",IFERROR(IF(INDEX(Deals!$J$2:$J$355,MATCH($C346,Deals!$A$2:$A$355,0))=0,"",INDEX(Deals!$J$2:$J$355,MATCH($C346,Deals!$A$2:$A$355,0))),""))</f>
        <v/>
      </c>
      <c r="N346" s="35">
        <f>IF($L346="",DATE(1900,1,1),$L346)</f>
        <v/>
      </c>
      <c r="O346" s="35">
        <f>IF($M346="",DATE(2100,12,31),$M346)</f>
        <v/>
      </c>
      <c r="P346" s="20" t="inlineStr">
        <is>
          <t>Pens Down</t>
        </is>
      </c>
      <c r="Q346" s="47" t="inlineStr"/>
      <c r="R346" s="16">
        <f>IF($C346="","",IFERROR(IF(INDEX(Deals!$U$2:$U$355,MATCH($C346,Deals!$A$2:$A$355,0))=0,"",INDEX(Deals!$U$2:$U$355,MATCH($C346,Deals!$A$2:$A$355,0))),""))</f>
        <v/>
      </c>
      <c r="S346" s="34">
        <f>IFERROR(IF($U346="",1,INDEX(Deals!$V$2:$V$355,MATCH($C346,Deals!$A$2:$A$355,0))),1)</f>
        <v/>
      </c>
      <c r="T346" s="34">
        <f>IFERROR(IF($U346="",1,INDEX(Deals!$W$2:$W$355,MATCH($C346,Deals!$A$2:$A$355,0))),1)</f>
        <v/>
      </c>
      <c r="U346" s="22">
        <f>IF($C346="","",IFERROR(IF(INDEX(Deals!$Y$2:$Y$355,MATCH($C346,Deals!$A$2:$A$355,0))=0,"",INDEX(Deals!$Y$2:$Y$355,MATCH($C346,Deals!$A$2:$A$355,0))),""))</f>
        <v/>
      </c>
      <c r="V346" s="35">
        <f>IF(OR($U346&lt;&gt;"",AND($AO346&gt;0,$L346&lt;&gt;"",$M346&lt;&gt;"")),$N346,DATE(1900,1,1))</f>
        <v/>
      </c>
      <c r="W346" s="35">
        <f>IF($U346&lt;&gt;"",$U346,IF(AND($AO346&gt;0,$L346&lt;&gt;"",$M346&lt;&gt;""),$O346,DATE(2100,12,31)))</f>
        <v/>
      </c>
      <c r="X346" s="32">
        <f>IF($U346="",$K346,$K346*$S346)</f>
        <v/>
      </c>
      <c r="Y346" s="35">
        <f>IF($U346="",DATE(2100,12,31),$U346+1)</f>
        <v/>
      </c>
      <c r="Z346" s="35">
        <f>IF($U346="",DATE(1900,1,1),$O346)</f>
        <v/>
      </c>
      <c r="AA346" s="32">
        <f>IF($U346="",0,$K346*$T346)</f>
        <v/>
      </c>
      <c r="AB346" s="21">
        <f>IF($C346="",0,IFERROR(INDEX(Deals!$AD$2:$AD$355,MATCH($C346,Deals!$A$2:$A$355,0)),0))</f>
        <v/>
      </c>
      <c r="AC346" s="32">
        <f>IF(Settings!$B$4="Yes",$I346*$AB346,$I346)</f>
        <v/>
      </c>
      <c r="AD346" s="22">
        <f>IF($C346="","",IFERROR(IF(INDEX(Deals!$AE$2:$AE$355,MATCH($C346,Deals!$A$2:$A$355,0))=0,"",INDEX(Deals!$AE$2:$AE$355,MATCH($C346,Deals!$A$2:$A$355,0))),""))</f>
        <v/>
      </c>
      <c r="AE346" s="22">
        <f>IF($C346="","",IFERROR(IF(INDEX(Deals!$AF$2:$AF$355,MATCH($C346,Deals!$A$2:$A$355,0))=0,"",INDEX(Deals!$AF$2:$AF$355,MATCH($C346,Deals!$A$2:$A$355,0))),""))</f>
        <v/>
      </c>
      <c r="AF346" s="35">
        <f>IF($AD346="",DATE(1900,1,1),$AD346)</f>
        <v/>
      </c>
      <c r="AG346" s="35">
        <f>IF($AE346="",DATE(2100,12,31),$AE346)</f>
        <v/>
      </c>
      <c r="AH346" s="22">
        <f>IF($C346="","",IFERROR(IF(INDEX(Deals!$AG$2:$AG$355,MATCH($C346,Deals!$A$2:$A$355,0))=0,"",INDEX(Deals!$AG$2:$AG$355,MATCH($C346,Deals!$A$2:$A$355,0))),""))</f>
        <v/>
      </c>
      <c r="AI346" s="35">
        <f>IF(OR($AH346&lt;&gt;"",AND($AO346&gt;0,$AD346&lt;&gt;"",$AE346&lt;&gt;"")),$AF346,DATE(1900,1,1))</f>
        <v/>
      </c>
      <c r="AJ346" s="35">
        <f>IF($AH346&lt;&gt;"",$AH346,IF(AND($AO346&gt;0,$AD346&lt;&gt;"",$AE346&lt;&gt;""),$AG346,DATE(2100,12,31)))</f>
        <v/>
      </c>
      <c r="AK346" s="32">
        <f>IF($AH346="",$AC346,$AC346*$S346)</f>
        <v/>
      </c>
      <c r="AL346" s="35">
        <f>IF($AH346="",DATE(2100,12,31),$AH346+1)</f>
        <v/>
      </c>
      <c r="AM346" s="35">
        <f>IF($AH346="",DATE(1900,1,1),$AG346)</f>
        <v/>
      </c>
      <c r="AN346" s="32">
        <f>IF($AH346="",0,$AC346*$T346)</f>
        <v/>
      </c>
      <c r="AO346" s="46">
        <f>IF($C346="",0,IFERROR(INDEX(Deals!$BD$2:$BD$355,MATCH($C346,Deals!$A$2:$A$355,0)),0))</f>
        <v/>
      </c>
      <c r="AP346" s="18">
        <f>IF($AO346=0,0,IFERROR(INDEX(Deals!$BJ$2:$BP$355,MATCH($C346,Deals!$A$2:$A$355,0),MATCH($F346,Deals!$BJ$1:$BP$1,0))/COUNTIFS(Assignments!$C$2:$C$769,$C346,Assignments!$F$2:$F$769,$F346,Assignments!$G$2:$G$769,"Active"),0))</f>
        <v/>
      </c>
    </row>
    <row r="347">
      <c r="A347" s="28" t="inlineStr">
        <is>
          <t>Spencer</t>
        </is>
      </c>
      <c r="B347" s="16">
        <f>IF($A347="","",IFERROR(INDEX(Roster!$B$2:$B$40,MATCH($A347,Roster!$A$2:$A$40,0)),"?"))</f>
        <v/>
      </c>
      <c r="C347" s="28" t="inlineStr">
        <is>
          <t>Ace_2</t>
        </is>
      </c>
      <c r="D347" s="16">
        <f>IF($C347="","",IFERROR(IF(INDEX(Deals!$C$2:$C$355,MATCH($C347,Deals!$A$2:$A$355,0))=0,"",INDEX(Deals!$C$2:$C$355,MATCH($C347,Deals!$A$2:$A$355,0))),"?"))</f>
        <v/>
      </c>
      <c r="E347" s="16">
        <f>IF($C347="","",IFERROR(INDEX(Deals!$F$2:$F$355,MATCH($C347,Deals!$A$2:$A$355,0)),"?"))</f>
        <v/>
      </c>
      <c r="F347" s="28" t="inlineStr">
        <is>
          <t>VP</t>
        </is>
      </c>
      <c r="G347" s="28" t="inlineStr">
        <is>
          <t>Active</t>
        </is>
      </c>
      <c r="H347" s="31" t="n"/>
      <c r="I347" s="32">
        <f>IF(OR($A347="",$G347&lt;&gt;"Active"),0,IF($H347&lt;&gt;"",$H347,IF($AO347&gt;0,$AP347,IF(AND($R347&lt;&gt;"",IFERROR(INDEX(Templates!$B$3:$H$10,MATCH($R347,Templates!$A$3:$A$10,0),MATCH($F347,Templates!$B$2:$H$2,0)),0)&gt;0),INDEX(Templates!$B$3:$H$10,MATCH($R347,Templates!$A$3:$A$10,0),MATCH($F347,Templates!$B$2:$H$2,0)),IFERROR(INDEX(Settings!$B$8:$B$14,MATCH($F347,Settings!$A$8:$A$14,0)),0)))))</f>
        <v/>
      </c>
      <c r="J347" s="21">
        <f>IF($C347="",0,IFERROR(INDEX(Deals!$H$2:$H$355,MATCH($C347,Deals!$A$2:$A$355,0)),0))</f>
        <v/>
      </c>
      <c r="K347" s="32">
        <f>IF(Settings!$B$4="Yes",$I347*$J347,$I347)</f>
        <v/>
      </c>
      <c r="L347" s="22">
        <f>IF($C347="","",IFERROR(IF(INDEX(Deals!$I$2:$I$355,MATCH($C347,Deals!$A$2:$A$355,0))=0,"",INDEX(Deals!$I$2:$I$355,MATCH($C347,Deals!$A$2:$A$355,0))),""))</f>
        <v/>
      </c>
      <c r="M347" s="22">
        <f>IF($C347="","",IFERROR(IF(INDEX(Deals!$J$2:$J$355,MATCH($C347,Deals!$A$2:$A$355,0))=0,"",INDEX(Deals!$J$2:$J$355,MATCH($C347,Deals!$A$2:$A$355,0))),""))</f>
        <v/>
      </c>
      <c r="N347" s="35">
        <f>IF($L347="",DATE(1900,1,1),$L347)</f>
        <v/>
      </c>
      <c r="O347" s="35">
        <f>IF($M347="",DATE(2100,12,31),$M347)</f>
        <v/>
      </c>
      <c r="P347" s="20" t="inlineStr">
        <is>
          <t>Ongoing</t>
        </is>
      </c>
      <c r="Q347" s="47" t="inlineStr"/>
      <c r="R347" s="16">
        <f>IF($C347="","",IFERROR(IF(INDEX(Deals!$U$2:$U$355,MATCH($C347,Deals!$A$2:$A$355,0))=0,"",INDEX(Deals!$U$2:$U$355,MATCH($C347,Deals!$A$2:$A$355,0))),""))</f>
        <v/>
      </c>
      <c r="S347" s="34">
        <f>IFERROR(IF($U347="",1,INDEX(Deals!$V$2:$V$355,MATCH($C347,Deals!$A$2:$A$355,0))),1)</f>
        <v/>
      </c>
      <c r="T347" s="34">
        <f>IFERROR(IF($U347="",1,INDEX(Deals!$W$2:$W$355,MATCH($C347,Deals!$A$2:$A$355,0))),1)</f>
        <v/>
      </c>
      <c r="U347" s="22">
        <f>IF($C347="","",IFERROR(IF(INDEX(Deals!$Y$2:$Y$355,MATCH($C347,Deals!$A$2:$A$355,0))=0,"",INDEX(Deals!$Y$2:$Y$355,MATCH($C347,Deals!$A$2:$A$355,0))),""))</f>
        <v/>
      </c>
      <c r="V347" s="35">
        <f>IF(OR($U347&lt;&gt;"",AND($AO347&gt;0,$L347&lt;&gt;"",$M347&lt;&gt;"")),$N347,DATE(1900,1,1))</f>
        <v/>
      </c>
      <c r="W347" s="35">
        <f>IF($U347&lt;&gt;"",$U347,IF(AND($AO347&gt;0,$L347&lt;&gt;"",$M347&lt;&gt;""),$O347,DATE(2100,12,31)))</f>
        <v/>
      </c>
      <c r="X347" s="32">
        <f>IF($U347="",$K347,$K347*$S347)</f>
        <v/>
      </c>
      <c r="Y347" s="35">
        <f>IF($U347="",DATE(2100,12,31),$U347+1)</f>
        <v/>
      </c>
      <c r="Z347" s="35">
        <f>IF($U347="",DATE(1900,1,1),$O347)</f>
        <v/>
      </c>
      <c r="AA347" s="32">
        <f>IF($U347="",0,$K347*$T347)</f>
        <v/>
      </c>
      <c r="AB347" s="21">
        <f>IF($C347="",0,IFERROR(INDEX(Deals!$AD$2:$AD$355,MATCH($C347,Deals!$A$2:$A$355,0)),0))</f>
        <v/>
      </c>
      <c r="AC347" s="32">
        <f>IF(Settings!$B$4="Yes",$I347*$AB347,$I347)</f>
        <v/>
      </c>
      <c r="AD347" s="22">
        <f>IF($C347="","",IFERROR(IF(INDEX(Deals!$AE$2:$AE$355,MATCH($C347,Deals!$A$2:$A$355,0))=0,"",INDEX(Deals!$AE$2:$AE$355,MATCH($C347,Deals!$A$2:$A$355,0))),""))</f>
        <v/>
      </c>
      <c r="AE347" s="22">
        <f>IF($C347="","",IFERROR(IF(INDEX(Deals!$AF$2:$AF$355,MATCH($C347,Deals!$A$2:$A$355,0))=0,"",INDEX(Deals!$AF$2:$AF$355,MATCH($C347,Deals!$A$2:$A$355,0))),""))</f>
        <v/>
      </c>
      <c r="AF347" s="35">
        <f>IF($AD347="",DATE(1900,1,1),$AD347)</f>
        <v/>
      </c>
      <c r="AG347" s="35">
        <f>IF($AE347="",DATE(2100,12,31),$AE347)</f>
        <v/>
      </c>
      <c r="AH347" s="22">
        <f>IF($C347="","",IFERROR(IF(INDEX(Deals!$AG$2:$AG$355,MATCH($C347,Deals!$A$2:$A$355,0))=0,"",INDEX(Deals!$AG$2:$AG$355,MATCH($C347,Deals!$A$2:$A$355,0))),""))</f>
        <v/>
      </c>
      <c r="AI347" s="35">
        <f>IF(OR($AH347&lt;&gt;"",AND($AO347&gt;0,$AD347&lt;&gt;"",$AE347&lt;&gt;"")),$AF347,DATE(1900,1,1))</f>
        <v/>
      </c>
      <c r="AJ347" s="35">
        <f>IF($AH347&lt;&gt;"",$AH347,IF(AND($AO347&gt;0,$AD347&lt;&gt;"",$AE347&lt;&gt;""),$AG347,DATE(2100,12,31)))</f>
        <v/>
      </c>
      <c r="AK347" s="32">
        <f>IF($AH347="",$AC347,$AC347*$S347)</f>
        <v/>
      </c>
      <c r="AL347" s="35">
        <f>IF($AH347="",DATE(2100,12,31),$AH347+1)</f>
        <v/>
      </c>
      <c r="AM347" s="35">
        <f>IF($AH347="",DATE(1900,1,1),$AG347)</f>
        <v/>
      </c>
      <c r="AN347" s="32">
        <f>IF($AH347="",0,$AC347*$T347)</f>
        <v/>
      </c>
      <c r="AO347" s="46">
        <f>IF($C347="",0,IFERROR(INDEX(Deals!$BD$2:$BD$355,MATCH($C347,Deals!$A$2:$A$355,0)),0))</f>
        <v/>
      </c>
      <c r="AP347" s="18">
        <f>IF($AO347=0,0,IFERROR(INDEX(Deals!$BJ$2:$BP$355,MATCH($C347,Deals!$A$2:$A$355,0),MATCH($F347,Deals!$BJ$1:$BP$1,0))/COUNTIFS(Assignments!$C$2:$C$769,$C347,Assignments!$F$2:$F$769,$F347,Assignments!$G$2:$G$769,"Active"),0))</f>
        <v/>
      </c>
    </row>
    <row r="348">
      <c r="A348" s="28" t="inlineStr">
        <is>
          <t>Spencer</t>
        </is>
      </c>
      <c r="B348" s="16">
        <f>IF($A348="","",IFERROR(INDEX(Roster!$B$2:$B$40,MATCH($A348,Roster!$A$2:$A$40,0)),"?"))</f>
        <v/>
      </c>
      <c r="C348" s="28" t="inlineStr">
        <is>
          <t>Blue_6</t>
        </is>
      </c>
      <c r="D348" s="16">
        <f>IF($C348="","",IFERROR(IF(INDEX(Deals!$C$2:$C$355,MATCH($C348,Deals!$A$2:$A$355,0))=0,"",INDEX(Deals!$C$2:$C$355,MATCH($C348,Deals!$A$2:$A$355,0))),"?"))</f>
        <v/>
      </c>
      <c r="E348" s="16">
        <f>IF($C348="","",IFERROR(INDEX(Deals!$F$2:$F$355,MATCH($C348,Deals!$A$2:$A$355,0)),"?"))</f>
        <v/>
      </c>
      <c r="F348" s="28" t="inlineStr">
        <is>
          <t>VP</t>
        </is>
      </c>
      <c r="G348" s="28" t="inlineStr">
        <is>
          <t>Active</t>
        </is>
      </c>
      <c r="H348" s="31" t="n"/>
      <c r="I348" s="32">
        <f>IF(OR($A348="",$G348&lt;&gt;"Active"),0,IF($H348&lt;&gt;"",$H348,IF($AO348&gt;0,$AP348,IF(AND($R348&lt;&gt;"",IFERROR(INDEX(Templates!$B$3:$H$10,MATCH($R348,Templates!$A$3:$A$10,0),MATCH($F348,Templates!$B$2:$H$2,0)),0)&gt;0),INDEX(Templates!$B$3:$H$10,MATCH($R348,Templates!$A$3:$A$10,0),MATCH($F348,Templates!$B$2:$H$2,0)),IFERROR(INDEX(Settings!$B$8:$B$14,MATCH($F348,Settings!$A$8:$A$14,0)),0)))))</f>
        <v/>
      </c>
      <c r="J348" s="21">
        <f>IF($C348="",0,IFERROR(INDEX(Deals!$H$2:$H$355,MATCH($C348,Deals!$A$2:$A$355,0)),0))</f>
        <v/>
      </c>
      <c r="K348" s="32">
        <f>IF(Settings!$B$4="Yes",$I348*$J348,$I348)</f>
        <v/>
      </c>
      <c r="L348" s="22">
        <f>IF($C348="","",IFERROR(IF(INDEX(Deals!$I$2:$I$355,MATCH($C348,Deals!$A$2:$A$355,0))=0,"",INDEX(Deals!$I$2:$I$355,MATCH($C348,Deals!$A$2:$A$355,0))),""))</f>
        <v/>
      </c>
      <c r="M348" s="22">
        <f>IF($C348="","",IFERROR(IF(INDEX(Deals!$J$2:$J$355,MATCH($C348,Deals!$A$2:$A$355,0))=0,"",INDEX(Deals!$J$2:$J$355,MATCH($C348,Deals!$A$2:$A$355,0))),""))</f>
        <v/>
      </c>
      <c r="N348" s="35">
        <f>IF($L348="",DATE(1900,1,1),$L348)</f>
        <v/>
      </c>
      <c r="O348" s="35">
        <f>IF($M348="",DATE(2100,12,31),$M348)</f>
        <v/>
      </c>
      <c r="P348" s="20" t="inlineStr">
        <is>
          <t>Ongoing</t>
        </is>
      </c>
      <c r="Q348" s="47" t="inlineStr"/>
      <c r="R348" s="16">
        <f>IF($C348="","",IFERROR(IF(INDEX(Deals!$U$2:$U$355,MATCH($C348,Deals!$A$2:$A$355,0))=0,"",INDEX(Deals!$U$2:$U$355,MATCH($C348,Deals!$A$2:$A$355,0))),""))</f>
        <v/>
      </c>
      <c r="S348" s="34">
        <f>IFERROR(IF($U348="",1,INDEX(Deals!$V$2:$V$355,MATCH($C348,Deals!$A$2:$A$355,0))),1)</f>
        <v/>
      </c>
      <c r="T348" s="34">
        <f>IFERROR(IF($U348="",1,INDEX(Deals!$W$2:$W$355,MATCH($C348,Deals!$A$2:$A$355,0))),1)</f>
        <v/>
      </c>
      <c r="U348" s="22">
        <f>IF($C348="","",IFERROR(IF(INDEX(Deals!$Y$2:$Y$355,MATCH($C348,Deals!$A$2:$A$355,0))=0,"",INDEX(Deals!$Y$2:$Y$355,MATCH($C348,Deals!$A$2:$A$355,0))),""))</f>
        <v/>
      </c>
      <c r="V348" s="35">
        <f>IF(OR($U348&lt;&gt;"",AND($AO348&gt;0,$L348&lt;&gt;"",$M348&lt;&gt;"")),$N348,DATE(1900,1,1))</f>
        <v/>
      </c>
      <c r="W348" s="35">
        <f>IF($U348&lt;&gt;"",$U348,IF(AND($AO348&gt;0,$L348&lt;&gt;"",$M348&lt;&gt;""),$O348,DATE(2100,12,31)))</f>
        <v/>
      </c>
      <c r="X348" s="32">
        <f>IF($U348="",$K348,$K348*$S348)</f>
        <v/>
      </c>
      <c r="Y348" s="35">
        <f>IF($U348="",DATE(2100,12,31),$U348+1)</f>
        <v/>
      </c>
      <c r="Z348" s="35">
        <f>IF($U348="",DATE(1900,1,1),$O348)</f>
        <v/>
      </c>
      <c r="AA348" s="32">
        <f>IF($U348="",0,$K348*$T348)</f>
        <v/>
      </c>
      <c r="AB348" s="21">
        <f>IF($C348="",0,IFERROR(INDEX(Deals!$AD$2:$AD$355,MATCH($C348,Deals!$A$2:$A$355,0)),0))</f>
        <v/>
      </c>
      <c r="AC348" s="32">
        <f>IF(Settings!$B$4="Yes",$I348*$AB348,$I348)</f>
        <v/>
      </c>
      <c r="AD348" s="22">
        <f>IF($C348="","",IFERROR(IF(INDEX(Deals!$AE$2:$AE$355,MATCH($C348,Deals!$A$2:$A$355,0))=0,"",INDEX(Deals!$AE$2:$AE$355,MATCH($C348,Deals!$A$2:$A$355,0))),""))</f>
        <v/>
      </c>
      <c r="AE348" s="22">
        <f>IF($C348="","",IFERROR(IF(INDEX(Deals!$AF$2:$AF$355,MATCH($C348,Deals!$A$2:$A$355,0))=0,"",INDEX(Deals!$AF$2:$AF$355,MATCH($C348,Deals!$A$2:$A$355,0))),""))</f>
        <v/>
      </c>
      <c r="AF348" s="35">
        <f>IF($AD348="",DATE(1900,1,1),$AD348)</f>
        <v/>
      </c>
      <c r="AG348" s="35">
        <f>IF($AE348="",DATE(2100,12,31),$AE348)</f>
        <v/>
      </c>
      <c r="AH348" s="22">
        <f>IF($C348="","",IFERROR(IF(INDEX(Deals!$AG$2:$AG$355,MATCH($C348,Deals!$A$2:$A$355,0))=0,"",INDEX(Deals!$AG$2:$AG$355,MATCH($C348,Deals!$A$2:$A$355,0))),""))</f>
        <v/>
      </c>
      <c r="AI348" s="35">
        <f>IF(OR($AH348&lt;&gt;"",AND($AO348&gt;0,$AD348&lt;&gt;"",$AE348&lt;&gt;"")),$AF348,DATE(1900,1,1))</f>
        <v/>
      </c>
      <c r="AJ348" s="35">
        <f>IF($AH348&lt;&gt;"",$AH348,IF(AND($AO348&gt;0,$AD348&lt;&gt;"",$AE348&lt;&gt;""),$AG348,DATE(2100,12,31)))</f>
        <v/>
      </c>
      <c r="AK348" s="32">
        <f>IF($AH348="",$AC348,$AC348*$S348)</f>
        <v/>
      </c>
      <c r="AL348" s="35">
        <f>IF($AH348="",DATE(2100,12,31),$AH348+1)</f>
        <v/>
      </c>
      <c r="AM348" s="35">
        <f>IF($AH348="",DATE(1900,1,1),$AG348)</f>
        <v/>
      </c>
      <c r="AN348" s="32">
        <f>IF($AH348="",0,$AC348*$T348)</f>
        <v/>
      </c>
      <c r="AO348" s="46">
        <f>IF($C348="",0,IFERROR(INDEX(Deals!$BD$2:$BD$355,MATCH($C348,Deals!$A$2:$A$355,0)),0))</f>
        <v/>
      </c>
      <c r="AP348" s="18">
        <f>IF($AO348=0,0,IFERROR(INDEX(Deals!$BJ$2:$BP$355,MATCH($C348,Deals!$A$2:$A$355,0),MATCH($F348,Deals!$BJ$1:$BP$1,0))/COUNTIFS(Assignments!$C$2:$C$769,$C348,Assignments!$F$2:$F$769,$F348,Assignments!$G$2:$G$769,"Active"),0))</f>
        <v/>
      </c>
    </row>
    <row r="349">
      <c r="A349" s="28" t="inlineStr">
        <is>
          <t>Spencer</t>
        </is>
      </c>
      <c r="B349" s="16">
        <f>IF($A349="","",IFERROR(INDEX(Roster!$B$2:$B$40,MATCH($A349,Roster!$A$2:$A$40,0)),"?"))</f>
        <v/>
      </c>
      <c r="C349" s="28" t="inlineStr">
        <is>
          <t>Care_1</t>
        </is>
      </c>
      <c r="D349" s="16">
        <f>IF($C349="","",IFERROR(IF(INDEX(Deals!$C$2:$C$355,MATCH($C349,Deals!$A$2:$A$355,0))=0,"",INDEX(Deals!$C$2:$C$355,MATCH($C349,Deals!$A$2:$A$355,0))),"?"))</f>
        <v/>
      </c>
      <c r="E349" s="16">
        <f>IF($C349="","",IFERROR(INDEX(Deals!$F$2:$F$355,MATCH($C349,Deals!$A$2:$A$355,0)),"?"))</f>
        <v/>
      </c>
      <c r="F349" s="28" t="inlineStr">
        <is>
          <t>VP</t>
        </is>
      </c>
      <c r="G349" s="28" t="inlineStr">
        <is>
          <t>Inactive</t>
        </is>
      </c>
      <c r="H349" s="31" t="n"/>
      <c r="I349" s="32">
        <f>IF(OR($A349="",$G349&lt;&gt;"Active"),0,IF($H349&lt;&gt;"",$H349,IF($AO349&gt;0,$AP349,IF(AND($R349&lt;&gt;"",IFERROR(INDEX(Templates!$B$3:$H$10,MATCH($R349,Templates!$A$3:$A$10,0),MATCH($F349,Templates!$B$2:$H$2,0)),0)&gt;0),INDEX(Templates!$B$3:$H$10,MATCH($R349,Templates!$A$3:$A$10,0),MATCH($F349,Templates!$B$2:$H$2,0)),IFERROR(INDEX(Settings!$B$8:$B$14,MATCH($F349,Settings!$A$8:$A$14,0)),0)))))</f>
        <v/>
      </c>
      <c r="J349" s="21">
        <f>IF($C349="",0,IFERROR(INDEX(Deals!$H$2:$H$355,MATCH($C349,Deals!$A$2:$A$355,0)),0))</f>
        <v/>
      </c>
      <c r="K349" s="32">
        <f>IF(Settings!$B$4="Yes",$I349*$J349,$I349)</f>
        <v/>
      </c>
      <c r="L349" s="22">
        <f>IF($C349="","",IFERROR(IF(INDEX(Deals!$I$2:$I$355,MATCH($C349,Deals!$A$2:$A$355,0))=0,"",INDEX(Deals!$I$2:$I$355,MATCH($C349,Deals!$A$2:$A$355,0))),""))</f>
        <v/>
      </c>
      <c r="M349" s="22">
        <f>IF($C349="","",IFERROR(IF(INDEX(Deals!$J$2:$J$355,MATCH($C349,Deals!$A$2:$A$355,0))=0,"",INDEX(Deals!$J$2:$J$355,MATCH($C349,Deals!$A$2:$A$355,0))),""))</f>
        <v/>
      </c>
      <c r="N349" s="35">
        <f>IF($L349="",DATE(1900,1,1),$L349)</f>
        <v/>
      </c>
      <c r="O349" s="35">
        <f>IF($M349="",DATE(2100,12,31),$M349)</f>
        <v/>
      </c>
      <c r="P349" s="20" t="inlineStr">
        <is>
          <t>On pause</t>
        </is>
      </c>
      <c r="Q349" s="47" t="inlineStr"/>
      <c r="R349" s="16">
        <f>IF($C349="","",IFERROR(IF(INDEX(Deals!$U$2:$U$355,MATCH($C349,Deals!$A$2:$A$355,0))=0,"",INDEX(Deals!$U$2:$U$355,MATCH($C349,Deals!$A$2:$A$355,0))),""))</f>
        <v/>
      </c>
      <c r="S349" s="34">
        <f>IFERROR(IF($U349="",1,INDEX(Deals!$V$2:$V$355,MATCH($C349,Deals!$A$2:$A$355,0))),1)</f>
        <v/>
      </c>
      <c r="T349" s="34">
        <f>IFERROR(IF($U349="",1,INDEX(Deals!$W$2:$W$355,MATCH($C349,Deals!$A$2:$A$355,0))),1)</f>
        <v/>
      </c>
      <c r="U349" s="22">
        <f>IF($C349="","",IFERROR(IF(INDEX(Deals!$Y$2:$Y$355,MATCH($C349,Deals!$A$2:$A$355,0))=0,"",INDEX(Deals!$Y$2:$Y$355,MATCH($C349,Deals!$A$2:$A$355,0))),""))</f>
        <v/>
      </c>
      <c r="V349" s="35">
        <f>IF(OR($U349&lt;&gt;"",AND($AO349&gt;0,$L349&lt;&gt;"",$M349&lt;&gt;"")),$N349,DATE(1900,1,1))</f>
        <v/>
      </c>
      <c r="W349" s="35">
        <f>IF($U349&lt;&gt;"",$U349,IF(AND($AO349&gt;0,$L349&lt;&gt;"",$M349&lt;&gt;""),$O349,DATE(2100,12,31)))</f>
        <v/>
      </c>
      <c r="X349" s="32">
        <f>IF($U349="",$K349,$K349*$S349)</f>
        <v/>
      </c>
      <c r="Y349" s="35">
        <f>IF($U349="",DATE(2100,12,31),$U349+1)</f>
        <v/>
      </c>
      <c r="Z349" s="35">
        <f>IF($U349="",DATE(1900,1,1),$O349)</f>
        <v/>
      </c>
      <c r="AA349" s="32">
        <f>IF($U349="",0,$K349*$T349)</f>
        <v/>
      </c>
      <c r="AB349" s="21">
        <f>IF($C349="",0,IFERROR(INDEX(Deals!$AD$2:$AD$355,MATCH($C349,Deals!$A$2:$A$355,0)),0))</f>
        <v/>
      </c>
      <c r="AC349" s="32">
        <f>IF(Settings!$B$4="Yes",$I349*$AB349,$I349)</f>
        <v/>
      </c>
      <c r="AD349" s="22">
        <f>IF($C349="","",IFERROR(IF(INDEX(Deals!$AE$2:$AE$355,MATCH($C349,Deals!$A$2:$A$355,0))=0,"",INDEX(Deals!$AE$2:$AE$355,MATCH($C349,Deals!$A$2:$A$355,0))),""))</f>
        <v/>
      </c>
      <c r="AE349" s="22">
        <f>IF($C349="","",IFERROR(IF(INDEX(Deals!$AF$2:$AF$355,MATCH($C349,Deals!$A$2:$A$355,0))=0,"",INDEX(Deals!$AF$2:$AF$355,MATCH($C349,Deals!$A$2:$A$355,0))),""))</f>
        <v/>
      </c>
      <c r="AF349" s="35">
        <f>IF($AD349="",DATE(1900,1,1),$AD349)</f>
        <v/>
      </c>
      <c r="AG349" s="35">
        <f>IF($AE349="",DATE(2100,12,31),$AE349)</f>
        <v/>
      </c>
      <c r="AH349" s="22">
        <f>IF($C349="","",IFERROR(IF(INDEX(Deals!$AG$2:$AG$355,MATCH($C349,Deals!$A$2:$A$355,0))=0,"",INDEX(Deals!$AG$2:$AG$355,MATCH($C349,Deals!$A$2:$A$355,0))),""))</f>
        <v/>
      </c>
      <c r="AI349" s="35">
        <f>IF(OR($AH349&lt;&gt;"",AND($AO349&gt;0,$AD349&lt;&gt;"",$AE349&lt;&gt;"")),$AF349,DATE(1900,1,1))</f>
        <v/>
      </c>
      <c r="AJ349" s="35">
        <f>IF($AH349&lt;&gt;"",$AH349,IF(AND($AO349&gt;0,$AD349&lt;&gt;"",$AE349&lt;&gt;""),$AG349,DATE(2100,12,31)))</f>
        <v/>
      </c>
      <c r="AK349" s="32">
        <f>IF($AH349="",$AC349,$AC349*$S349)</f>
        <v/>
      </c>
      <c r="AL349" s="35">
        <f>IF($AH349="",DATE(2100,12,31),$AH349+1)</f>
        <v/>
      </c>
      <c r="AM349" s="35">
        <f>IF($AH349="",DATE(1900,1,1),$AG349)</f>
        <v/>
      </c>
      <c r="AN349" s="32">
        <f>IF($AH349="",0,$AC349*$T349)</f>
        <v/>
      </c>
      <c r="AO349" s="46">
        <f>IF($C349="",0,IFERROR(INDEX(Deals!$BD$2:$BD$355,MATCH($C349,Deals!$A$2:$A$355,0)),0))</f>
        <v/>
      </c>
      <c r="AP349" s="18">
        <f>IF($AO349=0,0,IFERROR(INDEX(Deals!$BJ$2:$BP$355,MATCH($C349,Deals!$A$2:$A$355,0),MATCH($F349,Deals!$BJ$1:$BP$1,0))/COUNTIFS(Assignments!$C$2:$C$769,$C349,Assignments!$F$2:$F$769,$F349,Assignments!$G$2:$G$769,"Active"),0))</f>
        <v/>
      </c>
    </row>
    <row r="350">
      <c r="A350" s="28" t="inlineStr">
        <is>
          <t>Spencer</t>
        </is>
      </c>
      <c r="B350" s="16">
        <f>IF($A350="","",IFERROR(INDEX(Roster!$B$2:$B$40,MATCH($A350,Roster!$A$2:$A$40,0)),"?"))</f>
        <v/>
      </c>
      <c r="C350" s="28" t="inlineStr">
        <is>
          <t>Craft_1</t>
        </is>
      </c>
      <c r="D350" s="16">
        <f>IF($C350="","",IFERROR(IF(INDEX(Deals!$C$2:$C$355,MATCH($C350,Deals!$A$2:$A$355,0))=0,"",INDEX(Deals!$C$2:$C$355,MATCH($C350,Deals!$A$2:$A$355,0))),"?"))</f>
        <v/>
      </c>
      <c r="E350" s="16">
        <f>IF($C350="","",IFERROR(INDEX(Deals!$F$2:$F$355,MATCH($C350,Deals!$A$2:$A$355,0)),"?"))</f>
        <v/>
      </c>
      <c r="F350" s="28" t="inlineStr">
        <is>
          <t>VP</t>
        </is>
      </c>
      <c r="G350" s="28" t="inlineStr">
        <is>
          <t>Active</t>
        </is>
      </c>
      <c r="H350" s="31" t="n"/>
      <c r="I350" s="32">
        <f>IF(OR($A350="",$G350&lt;&gt;"Active"),0,IF($H350&lt;&gt;"",$H350,IF($AO350&gt;0,$AP350,IF(AND($R350&lt;&gt;"",IFERROR(INDEX(Templates!$B$3:$H$10,MATCH($R350,Templates!$A$3:$A$10,0),MATCH($F350,Templates!$B$2:$H$2,0)),0)&gt;0),INDEX(Templates!$B$3:$H$10,MATCH($R350,Templates!$A$3:$A$10,0),MATCH($F350,Templates!$B$2:$H$2,0)),IFERROR(INDEX(Settings!$B$8:$B$14,MATCH($F350,Settings!$A$8:$A$14,0)),0)))))</f>
        <v/>
      </c>
      <c r="J350" s="21">
        <f>IF($C350="",0,IFERROR(INDEX(Deals!$H$2:$H$355,MATCH($C350,Deals!$A$2:$A$355,0)),0))</f>
        <v/>
      </c>
      <c r="K350" s="32">
        <f>IF(Settings!$B$4="Yes",$I350*$J350,$I350)</f>
        <v/>
      </c>
      <c r="L350" s="22">
        <f>IF($C350="","",IFERROR(IF(INDEX(Deals!$I$2:$I$355,MATCH($C350,Deals!$A$2:$A$355,0))=0,"",INDEX(Deals!$I$2:$I$355,MATCH($C350,Deals!$A$2:$A$355,0))),""))</f>
        <v/>
      </c>
      <c r="M350" s="22">
        <f>IF($C350="","",IFERROR(IF(INDEX(Deals!$J$2:$J$355,MATCH($C350,Deals!$A$2:$A$355,0))=0,"",INDEX(Deals!$J$2:$J$355,MATCH($C350,Deals!$A$2:$A$355,0))),""))</f>
        <v/>
      </c>
      <c r="N350" s="35">
        <f>IF($L350="",DATE(1900,1,1),$L350)</f>
        <v/>
      </c>
      <c r="O350" s="35">
        <f>IF($M350="",DATE(2100,12,31),$M350)</f>
        <v/>
      </c>
      <c r="P350" s="20" t="inlineStr">
        <is>
          <t>Proposal</t>
        </is>
      </c>
      <c r="Q350" s="47" t="inlineStr"/>
      <c r="R350" s="16">
        <f>IF($C350="","",IFERROR(IF(INDEX(Deals!$U$2:$U$355,MATCH($C350,Deals!$A$2:$A$355,0))=0,"",INDEX(Deals!$U$2:$U$355,MATCH($C350,Deals!$A$2:$A$355,0))),""))</f>
        <v/>
      </c>
      <c r="S350" s="34">
        <f>IFERROR(IF($U350="",1,INDEX(Deals!$V$2:$V$355,MATCH($C350,Deals!$A$2:$A$355,0))),1)</f>
        <v/>
      </c>
      <c r="T350" s="34">
        <f>IFERROR(IF($U350="",1,INDEX(Deals!$W$2:$W$355,MATCH($C350,Deals!$A$2:$A$355,0))),1)</f>
        <v/>
      </c>
      <c r="U350" s="22">
        <f>IF($C350="","",IFERROR(IF(INDEX(Deals!$Y$2:$Y$355,MATCH($C350,Deals!$A$2:$A$355,0))=0,"",INDEX(Deals!$Y$2:$Y$355,MATCH($C350,Deals!$A$2:$A$355,0))),""))</f>
        <v/>
      </c>
      <c r="V350" s="35">
        <f>IF(OR($U350&lt;&gt;"",AND($AO350&gt;0,$L350&lt;&gt;"",$M350&lt;&gt;"")),$N350,DATE(1900,1,1))</f>
        <v/>
      </c>
      <c r="W350" s="35">
        <f>IF($U350&lt;&gt;"",$U350,IF(AND($AO350&gt;0,$L350&lt;&gt;"",$M350&lt;&gt;""),$O350,DATE(2100,12,31)))</f>
        <v/>
      </c>
      <c r="X350" s="32">
        <f>IF($U350="",$K350,$K350*$S350)</f>
        <v/>
      </c>
      <c r="Y350" s="35">
        <f>IF($U350="",DATE(2100,12,31),$U350+1)</f>
        <v/>
      </c>
      <c r="Z350" s="35">
        <f>IF($U350="",DATE(1900,1,1),$O350)</f>
        <v/>
      </c>
      <c r="AA350" s="32">
        <f>IF($U350="",0,$K350*$T350)</f>
        <v/>
      </c>
      <c r="AB350" s="21">
        <f>IF($C350="",0,IFERROR(INDEX(Deals!$AD$2:$AD$355,MATCH($C350,Deals!$A$2:$A$355,0)),0))</f>
        <v/>
      </c>
      <c r="AC350" s="32">
        <f>IF(Settings!$B$4="Yes",$I350*$AB350,$I350)</f>
        <v/>
      </c>
      <c r="AD350" s="22">
        <f>IF($C350="","",IFERROR(IF(INDEX(Deals!$AE$2:$AE$355,MATCH($C350,Deals!$A$2:$A$355,0))=0,"",INDEX(Deals!$AE$2:$AE$355,MATCH($C350,Deals!$A$2:$A$355,0))),""))</f>
        <v/>
      </c>
      <c r="AE350" s="22">
        <f>IF($C350="","",IFERROR(IF(INDEX(Deals!$AF$2:$AF$355,MATCH($C350,Deals!$A$2:$A$355,0))=0,"",INDEX(Deals!$AF$2:$AF$355,MATCH($C350,Deals!$A$2:$A$355,0))),""))</f>
        <v/>
      </c>
      <c r="AF350" s="35">
        <f>IF($AD350="",DATE(1900,1,1),$AD350)</f>
        <v/>
      </c>
      <c r="AG350" s="35">
        <f>IF($AE350="",DATE(2100,12,31),$AE350)</f>
        <v/>
      </c>
      <c r="AH350" s="22">
        <f>IF($C350="","",IFERROR(IF(INDEX(Deals!$AG$2:$AG$355,MATCH($C350,Deals!$A$2:$A$355,0))=0,"",INDEX(Deals!$AG$2:$AG$355,MATCH($C350,Deals!$A$2:$A$355,0))),""))</f>
        <v/>
      </c>
      <c r="AI350" s="35">
        <f>IF(OR($AH350&lt;&gt;"",AND($AO350&gt;0,$AD350&lt;&gt;"",$AE350&lt;&gt;"")),$AF350,DATE(1900,1,1))</f>
        <v/>
      </c>
      <c r="AJ350" s="35">
        <f>IF($AH350&lt;&gt;"",$AH350,IF(AND($AO350&gt;0,$AD350&lt;&gt;"",$AE350&lt;&gt;""),$AG350,DATE(2100,12,31)))</f>
        <v/>
      </c>
      <c r="AK350" s="32">
        <f>IF($AH350="",$AC350,$AC350*$S350)</f>
        <v/>
      </c>
      <c r="AL350" s="35">
        <f>IF($AH350="",DATE(2100,12,31),$AH350+1)</f>
        <v/>
      </c>
      <c r="AM350" s="35">
        <f>IF($AH350="",DATE(1900,1,1),$AG350)</f>
        <v/>
      </c>
      <c r="AN350" s="32">
        <f>IF($AH350="",0,$AC350*$T350)</f>
        <v/>
      </c>
      <c r="AO350" s="46">
        <f>IF($C350="",0,IFERROR(INDEX(Deals!$BD$2:$BD$355,MATCH($C350,Deals!$A$2:$A$355,0)),0))</f>
        <v/>
      </c>
      <c r="AP350" s="18">
        <f>IF($AO350=0,0,IFERROR(INDEX(Deals!$BJ$2:$BP$355,MATCH($C350,Deals!$A$2:$A$355,0),MATCH($F350,Deals!$BJ$1:$BP$1,0))/COUNTIFS(Assignments!$C$2:$C$769,$C350,Assignments!$F$2:$F$769,$F350,Assignments!$G$2:$G$769,"Active"),0))</f>
        <v/>
      </c>
    </row>
    <row r="351">
      <c r="A351" s="28" t="inlineStr">
        <is>
          <t>Spencer</t>
        </is>
      </c>
      <c r="B351" s="16">
        <f>IF($A351="","",IFERROR(INDEX(Roster!$B$2:$B$40,MATCH($A351,Roster!$A$2:$A$40,0)),"?"))</f>
        <v/>
      </c>
      <c r="C351" s="28" t="inlineStr">
        <is>
          <t>Diploma_1</t>
        </is>
      </c>
      <c r="D351" s="16">
        <f>IF($C351="","",IFERROR(IF(INDEX(Deals!$C$2:$C$355,MATCH($C351,Deals!$A$2:$A$355,0))=0,"",INDEX(Deals!$C$2:$C$355,MATCH($C351,Deals!$A$2:$A$355,0))),"?"))</f>
        <v/>
      </c>
      <c r="E351" s="16">
        <f>IF($C351="","",IFERROR(INDEX(Deals!$F$2:$F$355,MATCH($C351,Deals!$A$2:$A$355,0)),"?"))</f>
        <v/>
      </c>
      <c r="F351" s="28" t="inlineStr">
        <is>
          <t>VP</t>
        </is>
      </c>
      <c r="G351" s="28" t="inlineStr">
        <is>
          <t>Inactive</t>
        </is>
      </c>
      <c r="H351" s="31" t="n"/>
      <c r="I351" s="32">
        <f>IF(OR($A351="",$G351&lt;&gt;"Active"),0,IF($H351&lt;&gt;"",$H351,IF($AO351&gt;0,$AP351,IF(AND($R351&lt;&gt;"",IFERROR(INDEX(Templates!$B$3:$H$10,MATCH($R351,Templates!$A$3:$A$10,0),MATCH($F351,Templates!$B$2:$H$2,0)),0)&gt;0),INDEX(Templates!$B$3:$H$10,MATCH($R351,Templates!$A$3:$A$10,0),MATCH($F351,Templates!$B$2:$H$2,0)),IFERROR(INDEX(Settings!$B$8:$B$14,MATCH($F351,Settings!$A$8:$A$14,0)),0)))))</f>
        <v/>
      </c>
      <c r="J351" s="21">
        <f>IF($C351="",0,IFERROR(INDEX(Deals!$H$2:$H$355,MATCH($C351,Deals!$A$2:$A$355,0)),0))</f>
        <v/>
      </c>
      <c r="K351" s="32">
        <f>IF(Settings!$B$4="Yes",$I351*$J351,$I351)</f>
        <v/>
      </c>
      <c r="L351" s="22">
        <f>IF($C351="","",IFERROR(IF(INDEX(Deals!$I$2:$I$355,MATCH($C351,Deals!$A$2:$A$355,0))=0,"",INDEX(Deals!$I$2:$I$355,MATCH($C351,Deals!$A$2:$A$355,0))),""))</f>
        <v/>
      </c>
      <c r="M351" s="22">
        <f>IF($C351="","",IFERROR(IF(INDEX(Deals!$J$2:$J$355,MATCH($C351,Deals!$A$2:$A$355,0))=0,"",INDEX(Deals!$J$2:$J$355,MATCH($C351,Deals!$A$2:$A$355,0))),""))</f>
        <v/>
      </c>
      <c r="N351" s="35">
        <f>IF($L351="",DATE(1900,1,1),$L351)</f>
        <v/>
      </c>
      <c r="O351" s="35">
        <f>IF($M351="",DATE(2100,12,31),$M351)</f>
        <v/>
      </c>
      <c r="P351" s="20" t="inlineStr">
        <is>
          <t>On pause</t>
        </is>
      </c>
      <c r="Q351" s="47" t="inlineStr"/>
      <c r="R351" s="16">
        <f>IF($C351="","",IFERROR(IF(INDEX(Deals!$U$2:$U$355,MATCH($C351,Deals!$A$2:$A$355,0))=0,"",INDEX(Deals!$U$2:$U$355,MATCH($C351,Deals!$A$2:$A$355,0))),""))</f>
        <v/>
      </c>
      <c r="S351" s="34">
        <f>IFERROR(IF($U351="",1,INDEX(Deals!$V$2:$V$355,MATCH($C351,Deals!$A$2:$A$355,0))),1)</f>
        <v/>
      </c>
      <c r="T351" s="34">
        <f>IFERROR(IF($U351="",1,INDEX(Deals!$W$2:$W$355,MATCH($C351,Deals!$A$2:$A$355,0))),1)</f>
        <v/>
      </c>
      <c r="U351" s="22">
        <f>IF($C351="","",IFERROR(IF(INDEX(Deals!$Y$2:$Y$355,MATCH($C351,Deals!$A$2:$A$355,0))=0,"",INDEX(Deals!$Y$2:$Y$355,MATCH($C351,Deals!$A$2:$A$355,0))),""))</f>
        <v/>
      </c>
      <c r="V351" s="35">
        <f>IF(OR($U351&lt;&gt;"",AND($AO351&gt;0,$L351&lt;&gt;"",$M351&lt;&gt;"")),$N351,DATE(1900,1,1))</f>
        <v/>
      </c>
      <c r="W351" s="35">
        <f>IF($U351&lt;&gt;"",$U351,IF(AND($AO351&gt;0,$L351&lt;&gt;"",$M351&lt;&gt;""),$O351,DATE(2100,12,31)))</f>
        <v/>
      </c>
      <c r="X351" s="32">
        <f>IF($U351="",$K351,$K351*$S351)</f>
        <v/>
      </c>
      <c r="Y351" s="35">
        <f>IF($U351="",DATE(2100,12,31),$U351+1)</f>
        <v/>
      </c>
      <c r="Z351" s="35">
        <f>IF($U351="",DATE(1900,1,1),$O351)</f>
        <v/>
      </c>
      <c r="AA351" s="32">
        <f>IF($U351="",0,$K351*$T351)</f>
        <v/>
      </c>
      <c r="AB351" s="21">
        <f>IF($C351="",0,IFERROR(INDEX(Deals!$AD$2:$AD$355,MATCH($C351,Deals!$A$2:$A$355,0)),0))</f>
        <v/>
      </c>
      <c r="AC351" s="32">
        <f>IF(Settings!$B$4="Yes",$I351*$AB351,$I351)</f>
        <v/>
      </c>
      <c r="AD351" s="22">
        <f>IF($C351="","",IFERROR(IF(INDEX(Deals!$AE$2:$AE$355,MATCH($C351,Deals!$A$2:$A$355,0))=0,"",INDEX(Deals!$AE$2:$AE$355,MATCH($C351,Deals!$A$2:$A$355,0))),""))</f>
        <v/>
      </c>
      <c r="AE351" s="22">
        <f>IF($C351="","",IFERROR(IF(INDEX(Deals!$AF$2:$AF$355,MATCH($C351,Deals!$A$2:$A$355,0))=0,"",INDEX(Deals!$AF$2:$AF$355,MATCH($C351,Deals!$A$2:$A$355,0))),""))</f>
        <v/>
      </c>
      <c r="AF351" s="35">
        <f>IF($AD351="",DATE(1900,1,1),$AD351)</f>
        <v/>
      </c>
      <c r="AG351" s="35">
        <f>IF($AE351="",DATE(2100,12,31),$AE351)</f>
        <v/>
      </c>
      <c r="AH351" s="22">
        <f>IF($C351="","",IFERROR(IF(INDEX(Deals!$AG$2:$AG$355,MATCH($C351,Deals!$A$2:$A$355,0))=0,"",INDEX(Deals!$AG$2:$AG$355,MATCH($C351,Deals!$A$2:$A$355,0))),""))</f>
        <v/>
      </c>
      <c r="AI351" s="35">
        <f>IF(OR($AH351&lt;&gt;"",AND($AO351&gt;0,$AD351&lt;&gt;"",$AE351&lt;&gt;"")),$AF351,DATE(1900,1,1))</f>
        <v/>
      </c>
      <c r="AJ351" s="35">
        <f>IF($AH351&lt;&gt;"",$AH351,IF(AND($AO351&gt;0,$AD351&lt;&gt;"",$AE351&lt;&gt;""),$AG351,DATE(2100,12,31)))</f>
        <v/>
      </c>
      <c r="AK351" s="32">
        <f>IF($AH351="",$AC351,$AC351*$S351)</f>
        <v/>
      </c>
      <c r="AL351" s="35">
        <f>IF($AH351="",DATE(2100,12,31),$AH351+1)</f>
        <v/>
      </c>
      <c r="AM351" s="35">
        <f>IF($AH351="",DATE(1900,1,1),$AG351)</f>
        <v/>
      </c>
      <c r="AN351" s="32">
        <f>IF($AH351="",0,$AC351*$T351)</f>
        <v/>
      </c>
      <c r="AO351" s="46">
        <f>IF($C351="",0,IFERROR(INDEX(Deals!$BD$2:$BD$355,MATCH($C351,Deals!$A$2:$A$355,0)),0))</f>
        <v/>
      </c>
      <c r="AP351" s="18">
        <f>IF($AO351=0,0,IFERROR(INDEX(Deals!$BJ$2:$BP$355,MATCH($C351,Deals!$A$2:$A$355,0),MATCH($F351,Deals!$BJ$1:$BP$1,0))/COUNTIFS(Assignments!$C$2:$C$769,$C351,Assignments!$F$2:$F$769,$F351,Assignments!$G$2:$G$769,"Active"),0))</f>
        <v/>
      </c>
    </row>
    <row r="352">
      <c r="A352" s="28" t="inlineStr">
        <is>
          <t>Spencer</t>
        </is>
      </c>
      <c r="B352" s="16">
        <f>IF($A352="","",IFERROR(INDEX(Roster!$B$2:$B$40,MATCH($A352,Roster!$A$2:$A$40,0)),"?"))</f>
        <v/>
      </c>
      <c r="C352" s="28" t="inlineStr">
        <is>
          <t>Emerald_6</t>
        </is>
      </c>
      <c r="D352" s="16">
        <f>IF($C352="","",IFERROR(IF(INDEX(Deals!$C$2:$C$355,MATCH($C352,Deals!$A$2:$A$355,0))=0,"",INDEX(Deals!$C$2:$C$355,MATCH($C352,Deals!$A$2:$A$355,0))),"?"))</f>
        <v/>
      </c>
      <c r="E352" s="16">
        <f>IF($C352="","",IFERROR(INDEX(Deals!$F$2:$F$355,MATCH($C352,Deals!$A$2:$A$355,0)),"?"))</f>
        <v/>
      </c>
      <c r="F352" s="28" t="inlineStr">
        <is>
          <t>VP</t>
        </is>
      </c>
      <c r="G352" s="28" t="inlineStr">
        <is>
          <t>Active</t>
        </is>
      </c>
      <c r="H352" s="31" t="n"/>
      <c r="I352" s="32">
        <f>IF(OR($A352="",$G352&lt;&gt;"Active"),0,IF($H352&lt;&gt;"",$H352,IF($AO352&gt;0,$AP352,IF(AND($R352&lt;&gt;"",IFERROR(INDEX(Templates!$B$3:$H$10,MATCH($R352,Templates!$A$3:$A$10,0),MATCH($F352,Templates!$B$2:$H$2,0)),0)&gt;0),INDEX(Templates!$B$3:$H$10,MATCH($R352,Templates!$A$3:$A$10,0),MATCH($F352,Templates!$B$2:$H$2,0)),IFERROR(INDEX(Settings!$B$8:$B$14,MATCH($F352,Settings!$A$8:$A$14,0)),0)))))</f>
        <v/>
      </c>
      <c r="J352" s="21">
        <f>IF($C352="",0,IFERROR(INDEX(Deals!$H$2:$H$355,MATCH($C352,Deals!$A$2:$A$355,0)),0))</f>
        <v/>
      </c>
      <c r="K352" s="32">
        <f>IF(Settings!$B$4="Yes",$I352*$J352,$I352)</f>
        <v/>
      </c>
      <c r="L352" s="22">
        <f>IF($C352="","",IFERROR(IF(INDEX(Deals!$I$2:$I$355,MATCH($C352,Deals!$A$2:$A$355,0))=0,"",INDEX(Deals!$I$2:$I$355,MATCH($C352,Deals!$A$2:$A$355,0))),""))</f>
        <v/>
      </c>
      <c r="M352" s="22">
        <f>IF($C352="","",IFERROR(IF(INDEX(Deals!$J$2:$J$355,MATCH($C352,Deals!$A$2:$A$355,0))=0,"",INDEX(Deals!$J$2:$J$355,MATCH($C352,Deals!$A$2:$A$355,0))),""))</f>
        <v/>
      </c>
      <c r="N352" s="35">
        <f>IF($L352="",DATE(1900,1,1),$L352)</f>
        <v/>
      </c>
      <c r="O352" s="35">
        <f>IF($M352="",DATE(2100,12,31),$M352)</f>
        <v/>
      </c>
      <c r="P352" s="20" t="inlineStr">
        <is>
          <t>Ongoing</t>
        </is>
      </c>
      <c r="Q352" s="47" t="inlineStr"/>
      <c r="R352" s="16">
        <f>IF($C352="","",IFERROR(IF(INDEX(Deals!$U$2:$U$355,MATCH($C352,Deals!$A$2:$A$355,0))=0,"",INDEX(Deals!$U$2:$U$355,MATCH($C352,Deals!$A$2:$A$355,0))),""))</f>
        <v/>
      </c>
      <c r="S352" s="34">
        <f>IFERROR(IF($U352="",1,INDEX(Deals!$V$2:$V$355,MATCH($C352,Deals!$A$2:$A$355,0))),1)</f>
        <v/>
      </c>
      <c r="T352" s="34">
        <f>IFERROR(IF($U352="",1,INDEX(Deals!$W$2:$W$355,MATCH($C352,Deals!$A$2:$A$355,0))),1)</f>
        <v/>
      </c>
      <c r="U352" s="22">
        <f>IF($C352="","",IFERROR(IF(INDEX(Deals!$Y$2:$Y$355,MATCH($C352,Deals!$A$2:$A$355,0))=0,"",INDEX(Deals!$Y$2:$Y$355,MATCH($C352,Deals!$A$2:$A$355,0))),""))</f>
        <v/>
      </c>
      <c r="V352" s="35">
        <f>IF(OR($U352&lt;&gt;"",AND($AO352&gt;0,$L352&lt;&gt;"",$M352&lt;&gt;"")),$N352,DATE(1900,1,1))</f>
        <v/>
      </c>
      <c r="W352" s="35">
        <f>IF($U352&lt;&gt;"",$U352,IF(AND($AO352&gt;0,$L352&lt;&gt;"",$M352&lt;&gt;""),$O352,DATE(2100,12,31)))</f>
        <v/>
      </c>
      <c r="X352" s="32">
        <f>IF($U352="",$K352,$K352*$S352)</f>
        <v/>
      </c>
      <c r="Y352" s="35">
        <f>IF($U352="",DATE(2100,12,31),$U352+1)</f>
        <v/>
      </c>
      <c r="Z352" s="35">
        <f>IF($U352="",DATE(1900,1,1),$O352)</f>
        <v/>
      </c>
      <c r="AA352" s="32">
        <f>IF($U352="",0,$K352*$T352)</f>
        <v/>
      </c>
      <c r="AB352" s="21">
        <f>IF($C352="",0,IFERROR(INDEX(Deals!$AD$2:$AD$355,MATCH($C352,Deals!$A$2:$A$355,0)),0))</f>
        <v/>
      </c>
      <c r="AC352" s="32">
        <f>IF(Settings!$B$4="Yes",$I352*$AB352,$I352)</f>
        <v/>
      </c>
      <c r="AD352" s="22">
        <f>IF($C352="","",IFERROR(IF(INDEX(Deals!$AE$2:$AE$355,MATCH($C352,Deals!$A$2:$A$355,0))=0,"",INDEX(Deals!$AE$2:$AE$355,MATCH($C352,Deals!$A$2:$A$355,0))),""))</f>
        <v/>
      </c>
      <c r="AE352" s="22">
        <f>IF($C352="","",IFERROR(IF(INDEX(Deals!$AF$2:$AF$355,MATCH($C352,Deals!$A$2:$A$355,0))=0,"",INDEX(Deals!$AF$2:$AF$355,MATCH($C352,Deals!$A$2:$A$355,0))),""))</f>
        <v/>
      </c>
      <c r="AF352" s="35">
        <f>IF($AD352="",DATE(1900,1,1),$AD352)</f>
        <v/>
      </c>
      <c r="AG352" s="35">
        <f>IF($AE352="",DATE(2100,12,31),$AE352)</f>
        <v/>
      </c>
      <c r="AH352" s="22">
        <f>IF($C352="","",IFERROR(IF(INDEX(Deals!$AG$2:$AG$355,MATCH($C352,Deals!$A$2:$A$355,0))=0,"",INDEX(Deals!$AG$2:$AG$355,MATCH($C352,Deals!$A$2:$A$355,0))),""))</f>
        <v/>
      </c>
      <c r="AI352" s="35">
        <f>IF(OR($AH352&lt;&gt;"",AND($AO352&gt;0,$AD352&lt;&gt;"",$AE352&lt;&gt;"")),$AF352,DATE(1900,1,1))</f>
        <v/>
      </c>
      <c r="AJ352" s="35">
        <f>IF($AH352&lt;&gt;"",$AH352,IF(AND($AO352&gt;0,$AD352&lt;&gt;"",$AE352&lt;&gt;""),$AG352,DATE(2100,12,31)))</f>
        <v/>
      </c>
      <c r="AK352" s="32">
        <f>IF($AH352="",$AC352,$AC352*$S352)</f>
        <v/>
      </c>
      <c r="AL352" s="35">
        <f>IF($AH352="",DATE(2100,12,31),$AH352+1)</f>
        <v/>
      </c>
      <c r="AM352" s="35">
        <f>IF($AH352="",DATE(1900,1,1),$AG352)</f>
        <v/>
      </c>
      <c r="AN352" s="32">
        <f>IF($AH352="",0,$AC352*$T352)</f>
        <v/>
      </c>
      <c r="AO352" s="46">
        <f>IF($C352="",0,IFERROR(INDEX(Deals!$BD$2:$BD$355,MATCH($C352,Deals!$A$2:$A$355,0)),0))</f>
        <v/>
      </c>
      <c r="AP352" s="18">
        <f>IF($AO352=0,0,IFERROR(INDEX(Deals!$BJ$2:$BP$355,MATCH($C352,Deals!$A$2:$A$355,0),MATCH($F352,Deals!$BJ$1:$BP$1,0))/COUNTIFS(Assignments!$C$2:$C$769,$C352,Assignments!$F$2:$F$769,$F352,Assignments!$G$2:$G$769,"Active"),0))</f>
        <v/>
      </c>
    </row>
    <row r="353">
      <c r="A353" s="28" t="inlineStr">
        <is>
          <t>Spencer</t>
        </is>
      </c>
      <c r="B353" s="16">
        <f>IF($A353="","",IFERROR(INDEX(Roster!$B$2:$B$40,MATCH($A353,Roster!$A$2:$A$40,0)),"?"))</f>
        <v/>
      </c>
      <c r="C353" s="28" t="inlineStr">
        <is>
          <t>Galaxy_1</t>
        </is>
      </c>
      <c r="D353" s="16">
        <f>IF($C353="","",IFERROR(IF(INDEX(Deals!$C$2:$C$355,MATCH($C353,Deals!$A$2:$A$355,0))=0,"",INDEX(Deals!$C$2:$C$355,MATCH($C353,Deals!$A$2:$A$355,0))),"?"))</f>
        <v/>
      </c>
      <c r="E353" s="16">
        <f>IF($C353="","",IFERROR(INDEX(Deals!$F$2:$F$355,MATCH($C353,Deals!$A$2:$A$355,0)),"?"))</f>
        <v/>
      </c>
      <c r="F353" s="28" t="inlineStr">
        <is>
          <t>VP</t>
        </is>
      </c>
      <c r="G353" s="28" t="inlineStr">
        <is>
          <t>Inactive</t>
        </is>
      </c>
      <c r="H353" s="31" t="n"/>
      <c r="I353" s="32">
        <f>IF(OR($A353="",$G353&lt;&gt;"Active"),0,IF($H353&lt;&gt;"",$H353,IF($AO353&gt;0,$AP353,IF(AND($R353&lt;&gt;"",IFERROR(INDEX(Templates!$B$3:$H$10,MATCH($R353,Templates!$A$3:$A$10,0),MATCH($F353,Templates!$B$2:$H$2,0)),0)&gt;0),INDEX(Templates!$B$3:$H$10,MATCH($R353,Templates!$A$3:$A$10,0),MATCH($F353,Templates!$B$2:$H$2,0)),IFERROR(INDEX(Settings!$B$8:$B$14,MATCH($F353,Settings!$A$8:$A$14,0)),0)))))</f>
        <v/>
      </c>
      <c r="J353" s="21">
        <f>IF($C353="",0,IFERROR(INDEX(Deals!$H$2:$H$355,MATCH($C353,Deals!$A$2:$A$355,0)),0))</f>
        <v/>
      </c>
      <c r="K353" s="32">
        <f>IF(Settings!$B$4="Yes",$I353*$J353,$I353)</f>
        <v/>
      </c>
      <c r="L353" s="22">
        <f>IF($C353="","",IFERROR(IF(INDEX(Deals!$I$2:$I$355,MATCH($C353,Deals!$A$2:$A$355,0))=0,"",INDEX(Deals!$I$2:$I$355,MATCH($C353,Deals!$A$2:$A$355,0))),""))</f>
        <v/>
      </c>
      <c r="M353" s="22">
        <f>IF($C353="","",IFERROR(IF(INDEX(Deals!$J$2:$J$355,MATCH($C353,Deals!$A$2:$A$355,0))=0,"",INDEX(Deals!$J$2:$J$355,MATCH($C353,Deals!$A$2:$A$355,0))),""))</f>
        <v/>
      </c>
      <c r="N353" s="35">
        <f>IF($L353="",DATE(1900,1,1),$L353)</f>
        <v/>
      </c>
      <c r="O353" s="35">
        <f>IF($M353="",DATE(2100,12,31),$M353)</f>
        <v/>
      </c>
      <c r="P353" s="20" t="inlineStr">
        <is>
          <t>On pause</t>
        </is>
      </c>
      <c r="Q353" s="47" t="inlineStr"/>
      <c r="R353" s="16">
        <f>IF($C353="","",IFERROR(IF(INDEX(Deals!$U$2:$U$355,MATCH($C353,Deals!$A$2:$A$355,0))=0,"",INDEX(Deals!$U$2:$U$355,MATCH($C353,Deals!$A$2:$A$355,0))),""))</f>
        <v/>
      </c>
      <c r="S353" s="34">
        <f>IFERROR(IF($U353="",1,INDEX(Deals!$V$2:$V$355,MATCH($C353,Deals!$A$2:$A$355,0))),1)</f>
        <v/>
      </c>
      <c r="T353" s="34">
        <f>IFERROR(IF($U353="",1,INDEX(Deals!$W$2:$W$355,MATCH($C353,Deals!$A$2:$A$355,0))),1)</f>
        <v/>
      </c>
      <c r="U353" s="22">
        <f>IF($C353="","",IFERROR(IF(INDEX(Deals!$Y$2:$Y$355,MATCH($C353,Deals!$A$2:$A$355,0))=0,"",INDEX(Deals!$Y$2:$Y$355,MATCH($C353,Deals!$A$2:$A$355,0))),""))</f>
        <v/>
      </c>
      <c r="V353" s="35">
        <f>IF(OR($U353&lt;&gt;"",AND($AO353&gt;0,$L353&lt;&gt;"",$M353&lt;&gt;"")),$N353,DATE(1900,1,1))</f>
        <v/>
      </c>
      <c r="W353" s="35">
        <f>IF($U353&lt;&gt;"",$U353,IF(AND($AO353&gt;0,$L353&lt;&gt;"",$M353&lt;&gt;""),$O353,DATE(2100,12,31)))</f>
        <v/>
      </c>
      <c r="X353" s="32">
        <f>IF($U353="",$K353,$K353*$S353)</f>
        <v/>
      </c>
      <c r="Y353" s="35">
        <f>IF($U353="",DATE(2100,12,31),$U353+1)</f>
        <v/>
      </c>
      <c r="Z353" s="35">
        <f>IF($U353="",DATE(1900,1,1),$O353)</f>
        <v/>
      </c>
      <c r="AA353" s="32">
        <f>IF($U353="",0,$K353*$T353)</f>
        <v/>
      </c>
      <c r="AB353" s="21">
        <f>IF($C353="",0,IFERROR(INDEX(Deals!$AD$2:$AD$355,MATCH($C353,Deals!$A$2:$A$355,0)),0))</f>
        <v/>
      </c>
      <c r="AC353" s="32">
        <f>IF(Settings!$B$4="Yes",$I353*$AB353,$I353)</f>
        <v/>
      </c>
      <c r="AD353" s="22">
        <f>IF($C353="","",IFERROR(IF(INDEX(Deals!$AE$2:$AE$355,MATCH($C353,Deals!$A$2:$A$355,0))=0,"",INDEX(Deals!$AE$2:$AE$355,MATCH($C353,Deals!$A$2:$A$355,0))),""))</f>
        <v/>
      </c>
      <c r="AE353" s="22">
        <f>IF($C353="","",IFERROR(IF(INDEX(Deals!$AF$2:$AF$355,MATCH($C353,Deals!$A$2:$A$355,0))=0,"",INDEX(Deals!$AF$2:$AF$355,MATCH($C353,Deals!$A$2:$A$355,0))),""))</f>
        <v/>
      </c>
      <c r="AF353" s="35">
        <f>IF($AD353="",DATE(1900,1,1),$AD353)</f>
        <v/>
      </c>
      <c r="AG353" s="35">
        <f>IF($AE353="",DATE(2100,12,31),$AE353)</f>
        <v/>
      </c>
      <c r="AH353" s="22">
        <f>IF($C353="","",IFERROR(IF(INDEX(Deals!$AG$2:$AG$355,MATCH($C353,Deals!$A$2:$A$355,0))=0,"",INDEX(Deals!$AG$2:$AG$355,MATCH($C353,Deals!$A$2:$A$355,0))),""))</f>
        <v/>
      </c>
      <c r="AI353" s="35">
        <f>IF(OR($AH353&lt;&gt;"",AND($AO353&gt;0,$AD353&lt;&gt;"",$AE353&lt;&gt;"")),$AF353,DATE(1900,1,1))</f>
        <v/>
      </c>
      <c r="AJ353" s="35">
        <f>IF($AH353&lt;&gt;"",$AH353,IF(AND($AO353&gt;0,$AD353&lt;&gt;"",$AE353&lt;&gt;""),$AG353,DATE(2100,12,31)))</f>
        <v/>
      </c>
      <c r="AK353" s="32">
        <f>IF($AH353="",$AC353,$AC353*$S353)</f>
        <v/>
      </c>
      <c r="AL353" s="35">
        <f>IF($AH353="",DATE(2100,12,31),$AH353+1)</f>
        <v/>
      </c>
      <c r="AM353" s="35">
        <f>IF($AH353="",DATE(1900,1,1),$AG353)</f>
        <v/>
      </c>
      <c r="AN353" s="32">
        <f>IF($AH353="",0,$AC353*$T353)</f>
        <v/>
      </c>
      <c r="AO353" s="46">
        <f>IF($C353="",0,IFERROR(INDEX(Deals!$BD$2:$BD$355,MATCH($C353,Deals!$A$2:$A$355,0)),0))</f>
        <v/>
      </c>
      <c r="AP353" s="18">
        <f>IF($AO353=0,0,IFERROR(INDEX(Deals!$BJ$2:$BP$355,MATCH($C353,Deals!$A$2:$A$355,0),MATCH($F353,Deals!$BJ$1:$BP$1,0))/COUNTIFS(Assignments!$C$2:$C$769,$C353,Assignments!$F$2:$F$769,$F353,Assignments!$G$2:$G$769,"Active"),0))</f>
        <v/>
      </c>
    </row>
    <row r="354">
      <c r="A354" s="28" t="inlineStr">
        <is>
          <t>Spencer</t>
        </is>
      </c>
      <c r="B354" s="16">
        <f>IF($A354="","",IFERROR(INDEX(Roster!$B$2:$B$40,MATCH($A354,Roster!$A$2:$A$40,0)),"?"))</f>
        <v/>
      </c>
      <c r="C354" s="28" t="inlineStr">
        <is>
          <t>Geneseo_1</t>
        </is>
      </c>
      <c r="D354" s="16">
        <f>IF($C354="","",IFERROR(IF(INDEX(Deals!$C$2:$C$355,MATCH($C354,Deals!$A$2:$A$355,0))=0,"",INDEX(Deals!$C$2:$C$355,MATCH($C354,Deals!$A$2:$A$355,0))),"?"))</f>
        <v/>
      </c>
      <c r="E354" s="16">
        <f>IF($C354="","",IFERROR(INDEX(Deals!$F$2:$F$355,MATCH($C354,Deals!$A$2:$A$355,0)),"?"))</f>
        <v/>
      </c>
      <c r="F354" s="28" t="inlineStr">
        <is>
          <t>VP</t>
        </is>
      </c>
      <c r="G354" s="28" t="inlineStr">
        <is>
          <t>Active</t>
        </is>
      </c>
      <c r="H354" s="31" t="n"/>
      <c r="I354" s="32">
        <f>IF(OR($A354="",$G354&lt;&gt;"Active"),0,IF($H354&lt;&gt;"",$H354,IF($AO354&gt;0,$AP354,IF(AND($R354&lt;&gt;"",IFERROR(INDEX(Templates!$B$3:$H$10,MATCH($R354,Templates!$A$3:$A$10,0),MATCH($F354,Templates!$B$2:$H$2,0)),0)&gt;0),INDEX(Templates!$B$3:$H$10,MATCH($R354,Templates!$A$3:$A$10,0),MATCH($F354,Templates!$B$2:$H$2,0)),IFERROR(INDEX(Settings!$B$8:$B$14,MATCH($F354,Settings!$A$8:$A$14,0)),0)))))</f>
        <v/>
      </c>
      <c r="J354" s="21">
        <f>IF($C354="",0,IFERROR(INDEX(Deals!$H$2:$H$355,MATCH($C354,Deals!$A$2:$A$355,0)),0))</f>
        <v/>
      </c>
      <c r="K354" s="32">
        <f>IF(Settings!$B$4="Yes",$I354*$J354,$I354)</f>
        <v/>
      </c>
      <c r="L354" s="22">
        <f>IF($C354="","",IFERROR(IF(INDEX(Deals!$I$2:$I$355,MATCH($C354,Deals!$A$2:$A$355,0))=0,"",INDEX(Deals!$I$2:$I$355,MATCH($C354,Deals!$A$2:$A$355,0))),""))</f>
        <v/>
      </c>
      <c r="M354" s="22">
        <f>IF($C354="","",IFERROR(IF(INDEX(Deals!$J$2:$J$355,MATCH($C354,Deals!$A$2:$A$355,0))=0,"",INDEX(Deals!$J$2:$J$355,MATCH($C354,Deals!$A$2:$A$355,0))),""))</f>
        <v/>
      </c>
      <c r="N354" s="35">
        <f>IF($L354="",DATE(1900,1,1),$L354)</f>
        <v/>
      </c>
      <c r="O354" s="35">
        <f>IF($M354="",DATE(2100,12,31),$M354)</f>
        <v/>
      </c>
      <c r="P354" s="20" t="inlineStr">
        <is>
          <t>Ongoing</t>
        </is>
      </c>
      <c r="Q354" s="47" t="inlineStr"/>
      <c r="R354" s="16">
        <f>IF($C354="","",IFERROR(IF(INDEX(Deals!$U$2:$U$355,MATCH($C354,Deals!$A$2:$A$355,0))=0,"",INDEX(Deals!$U$2:$U$355,MATCH($C354,Deals!$A$2:$A$355,0))),""))</f>
        <v/>
      </c>
      <c r="S354" s="34">
        <f>IFERROR(IF($U354="",1,INDEX(Deals!$V$2:$V$355,MATCH($C354,Deals!$A$2:$A$355,0))),1)</f>
        <v/>
      </c>
      <c r="T354" s="34">
        <f>IFERROR(IF($U354="",1,INDEX(Deals!$W$2:$W$355,MATCH($C354,Deals!$A$2:$A$355,0))),1)</f>
        <v/>
      </c>
      <c r="U354" s="22">
        <f>IF($C354="","",IFERROR(IF(INDEX(Deals!$Y$2:$Y$355,MATCH($C354,Deals!$A$2:$A$355,0))=0,"",INDEX(Deals!$Y$2:$Y$355,MATCH($C354,Deals!$A$2:$A$355,0))),""))</f>
        <v/>
      </c>
      <c r="V354" s="35">
        <f>IF(OR($U354&lt;&gt;"",AND($AO354&gt;0,$L354&lt;&gt;"",$M354&lt;&gt;"")),$N354,DATE(1900,1,1))</f>
        <v/>
      </c>
      <c r="W354" s="35">
        <f>IF($U354&lt;&gt;"",$U354,IF(AND($AO354&gt;0,$L354&lt;&gt;"",$M354&lt;&gt;""),$O354,DATE(2100,12,31)))</f>
        <v/>
      </c>
      <c r="X354" s="32">
        <f>IF($U354="",$K354,$K354*$S354)</f>
        <v/>
      </c>
      <c r="Y354" s="35">
        <f>IF($U354="",DATE(2100,12,31),$U354+1)</f>
        <v/>
      </c>
      <c r="Z354" s="35">
        <f>IF($U354="",DATE(1900,1,1),$O354)</f>
        <v/>
      </c>
      <c r="AA354" s="32">
        <f>IF($U354="",0,$K354*$T354)</f>
        <v/>
      </c>
      <c r="AB354" s="21">
        <f>IF($C354="",0,IFERROR(INDEX(Deals!$AD$2:$AD$355,MATCH($C354,Deals!$A$2:$A$355,0)),0))</f>
        <v/>
      </c>
      <c r="AC354" s="32">
        <f>IF(Settings!$B$4="Yes",$I354*$AB354,$I354)</f>
        <v/>
      </c>
      <c r="AD354" s="22">
        <f>IF($C354="","",IFERROR(IF(INDEX(Deals!$AE$2:$AE$355,MATCH($C354,Deals!$A$2:$A$355,0))=0,"",INDEX(Deals!$AE$2:$AE$355,MATCH($C354,Deals!$A$2:$A$355,0))),""))</f>
        <v/>
      </c>
      <c r="AE354" s="22">
        <f>IF($C354="","",IFERROR(IF(INDEX(Deals!$AF$2:$AF$355,MATCH($C354,Deals!$A$2:$A$355,0))=0,"",INDEX(Deals!$AF$2:$AF$355,MATCH($C354,Deals!$A$2:$A$355,0))),""))</f>
        <v/>
      </c>
      <c r="AF354" s="35">
        <f>IF($AD354="",DATE(1900,1,1),$AD354)</f>
        <v/>
      </c>
      <c r="AG354" s="35">
        <f>IF($AE354="",DATE(2100,12,31),$AE354)</f>
        <v/>
      </c>
      <c r="AH354" s="22">
        <f>IF($C354="","",IFERROR(IF(INDEX(Deals!$AG$2:$AG$355,MATCH($C354,Deals!$A$2:$A$355,0))=0,"",INDEX(Deals!$AG$2:$AG$355,MATCH($C354,Deals!$A$2:$A$355,0))),""))</f>
        <v/>
      </c>
      <c r="AI354" s="35">
        <f>IF(OR($AH354&lt;&gt;"",AND($AO354&gt;0,$AD354&lt;&gt;"",$AE354&lt;&gt;"")),$AF354,DATE(1900,1,1))</f>
        <v/>
      </c>
      <c r="AJ354" s="35">
        <f>IF($AH354&lt;&gt;"",$AH354,IF(AND($AO354&gt;0,$AD354&lt;&gt;"",$AE354&lt;&gt;""),$AG354,DATE(2100,12,31)))</f>
        <v/>
      </c>
      <c r="AK354" s="32">
        <f>IF($AH354="",$AC354,$AC354*$S354)</f>
        <v/>
      </c>
      <c r="AL354" s="35">
        <f>IF($AH354="",DATE(2100,12,31),$AH354+1)</f>
        <v/>
      </c>
      <c r="AM354" s="35">
        <f>IF($AH354="",DATE(1900,1,1),$AG354)</f>
        <v/>
      </c>
      <c r="AN354" s="32">
        <f>IF($AH354="",0,$AC354*$T354)</f>
        <v/>
      </c>
      <c r="AO354" s="46">
        <f>IF($C354="",0,IFERROR(INDEX(Deals!$BD$2:$BD$355,MATCH($C354,Deals!$A$2:$A$355,0)),0))</f>
        <v/>
      </c>
      <c r="AP354" s="18">
        <f>IF($AO354=0,0,IFERROR(INDEX(Deals!$BJ$2:$BP$355,MATCH($C354,Deals!$A$2:$A$355,0),MATCH($F354,Deals!$BJ$1:$BP$1,0))/COUNTIFS(Assignments!$C$2:$C$769,$C354,Assignments!$F$2:$F$769,$F354,Assignments!$G$2:$G$769,"Active"),0))</f>
        <v/>
      </c>
    </row>
    <row r="355">
      <c r="A355" s="28" t="inlineStr">
        <is>
          <t>Spencer</t>
        </is>
      </c>
      <c r="B355" s="16">
        <f>IF($A355="","",IFERROR(INDEX(Roster!$B$2:$B$40,MATCH($A355,Roster!$A$2:$A$40,0)),"?"))</f>
        <v/>
      </c>
      <c r="C355" s="28" t="inlineStr">
        <is>
          <t>Helios_2</t>
        </is>
      </c>
      <c r="D355" s="16">
        <f>IF($C355="","",IFERROR(IF(INDEX(Deals!$C$2:$C$355,MATCH($C355,Deals!$A$2:$A$355,0))=0,"",INDEX(Deals!$C$2:$C$355,MATCH($C355,Deals!$A$2:$A$355,0))),"?"))</f>
        <v/>
      </c>
      <c r="E355" s="16">
        <f>IF($C355="","",IFERROR(INDEX(Deals!$F$2:$F$355,MATCH($C355,Deals!$A$2:$A$355,0)),"?"))</f>
        <v/>
      </c>
      <c r="F355" s="28" t="inlineStr">
        <is>
          <t>VP</t>
        </is>
      </c>
      <c r="G355" s="28" t="inlineStr">
        <is>
          <t>Inactive</t>
        </is>
      </c>
      <c r="H355" s="31" t="n"/>
      <c r="I355" s="32">
        <f>IF(OR($A355="",$G355&lt;&gt;"Active"),0,IF($H355&lt;&gt;"",$H355,IF($AO355&gt;0,$AP355,IF(AND($R355&lt;&gt;"",IFERROR(INDEX(Templates!$B$3:$H$10,MATCH($R355,Templates!$A$3:$A$10,0),MATCH($F355,Templates!$B$2:$H$2,0)),0)&gt;0),INDEX(Templates!$B$3:$H$10,MATCH($R355,Templates!$A$3:$A$10,0),MATCH($F355,Templates!$B$2:$H$2,0)),IFERROR(INDEX(Settings!$B$8:$B$14,MATCH($F355,Settings!$A$8:$A$14,0)),0)))))</f>
        <v/>
      </c>
      <c r="J355" s="21">
        <f>IF($C355="",0,IFERROR(INDEX(Deals!$H$2:$H$355,MATCH($C355,Deals!$A$2:$A$355,0)),0))</f>
        <v/>
      </c>
      <c r="K355" s="32">
        <f>IF(Settings!$B$4="Yes",$I355*$J355,$I355)</f>
        <v/>
      </c>
      <c r="L355" s="22">
        <f>IF($C355="","",IFERROR(IF(INDEX(Deals!$I$2:$I$355,MATCH($C355,Deals!$A$2:$A$355,0))=0,"",INDEX(Deals!$I$2:$I$355,MATCH($C355,Deals!$A$2:$A$355,0))),""))</f>
        <v/>
      </c>
      <c r="M355" s="22">
        <f>IF($C355="","",IFERROR(IF(INDEX(Deals!$J$2:$J$355,MATCH($C355,Deals!$A$2:$A$355,0))=0,"",INDEX(Deals!$J$2:$J$355,MATCH($C355,Deals!$A$2:$A$355,0))),""))</f>
        <v/>
      </c>
      <c r="N355" s="35">
        <f>IF($L355="",DATE(1900,1,1),$L355)</f>
        <v/>
      </c>
      <c r="O355" s="35">
        <f>IF($M355="",DATE(2100,12,31),$M355)</f>
        <v/>
      </c>
      <c r="P355" s="20" t="inlineStr">
        <is>
          <t>Ongoing but not involved with</t>
        </is>
      </c>
      <c r="Q355" s="47" t="inlineStr"/>
      <c r="R355" s="16">
        <f>IF($C355="","",IFERROR(IF(INDEX(Deals!$U$2:$U$355,MATCH($C355,Deals!$A$2:$A$355,0))=0,"",INDEX(Deals!$U$2:$U$355,MATCH($C355,Deals!$A$2:$A$355,0))),""))</f>
        <v/>
      </c>
      <c r="S355" s="34">
        <f>IFERROR(IF($U355="",1,INDEX(Deals!$V$2:$V$355,MATCH($C355,Deals!$A$2:$A$355,0))),1)</f>
        <v/>
      </c>
      <c r="T355" s="34">
        <f>IFERROR(IF($U355="",1,INDEX(Deals!$W$2:$W$355,MATCH($C355,Deals!$A$2:$A$355,0))),1)</f>
        <v/>
      </c>
      <c r="U355" s="22">
        <f>IF($C355="","",IFERROR(IF(INDEX(Deals!$Y$2:$Y$355,MATCH($C355,Deals!$A$2:$A$355,0))=0,"",INDEX(Deals!$Y$2:$Y$355,MATCH($C355,Deals!$A$2:$A$355,0))),""))</f>
        <v/>
      </c>
      <c r="V355" s="35">
        <f>IF(OR($U355&lt;&gt;"",AND($AO355&gt;0,$L355&lt;&gt;"",$M355&lt;&gt;"")),$N355,DATE(1900,1,1))</f>
        <v/>
      </c>
      <c r="W355" s="35">
        <f>IF($U355&lt;&gt;"",$U355,IF(AND($AO355&gt;0,$L355&lt;&gt;"",$M355&lt;&gt;""),$O355,DATE(2100,12,31)))</f>
        <v/>
      </c>
      <c r="X355" s="32">
        <f>IF($U355="",$K355,$K355*$S355)</f>
        <v/>
      </c>
      <c r="Y355" s="35">
        <f>IF($U355="",DATE(2100,12,31),$U355+1)</f>
        <v/>
      </c>
      <c r="Z355" s="35">
        <f>IF($U355="",DATE(1900,1,1),$O355)</f>
        <v/>
      </c>
      <c r="AA355" s="32">
        <f>IF($U355="",0,$K355*$T355)</f>
        <v/>
      </c>
      <c r="AB355" s="21">
        <f>IF($C355="",0,IFERROR(INDEX(Deals!$AD$2:$AD$355,MATCH($C355,Deals!$A$2:$A$355,0)),0))</f>
        <v/>
      </c>
      <c r="AC355" s="32">
        <f>IF(Settings!$B$4="Yes",$I355*$AB355,$I355)</f>
        <v/>
      </c>
      <c r="AD355" s="22">
        <f>IF($C355="","",IFERROR(IF(INDEX(Deals!$AE$2:$AE$355,MATCH($C355,Deals!$A$2:$A$355,0))=0,"",INDEX(Deals!$AE$2:$AE$355,MATCH($C355,Deals!$A$2:$A$355,0))),""))</f>
        <v/>
      </c>
      <c r="AE355" s="22">
        <f>IF($C355="","",IFERROR(IF(INDEX(Deals!$AF$2:$AF$355,MATCH($C355,Deals!$A$2:$A$355,0))=0,"",INDEX(Deals!$AF$2:$AF$355,MATCH($C355,Deals!$A$2:$A$355,0))),""))</f>
        <v/>
      </c>
      <c r="AF355" s="35">
        <f>IF($AD355="",DATE(1900,1,1),$AD355)</f>
        <v/>
      </c>
      <c r="AG355" s="35">
        <f>IF($AE355="",DATE(2100,12,31),$AE355)</f>
        <v/>
      </c>
      <c r="AH355" s="22">
        <f>IF($C355="","",IFERROR(IF(INDEX(Deals!$AG$2:$AG$355,MATCH($C355,Deals!$A$2:$A$355,0))=0,"",INDEX(Deals!$AG$2:$AG$355,MATCH($C355,Deals!$A$2:$A$355,0))),""))</f>
        <v/>
      </c>
      <c r="AI355" s="35">
        <f>IF(OR($AH355&lt;&gt;"",AND($AO355&gt;0,$AD355&lt;&gt;"",$AE355&lt;&gt;"")),$AF355,DATE(1900,1,1))</f>
        <v/>
      </c>
      <c r="AJ355" s="35">
        <f>IF($AH355&lt;&gt;"",$AH355,IF(AND($AO355&gt;0,$AD355&lt;&gt;"",$AE355&lt;&gt;""),$AG355,DATE(2100,12,31)))</f>
        <v/>
      </c>
      <c r="AK355" s="32">
        <f>IF($AH355="",$AC355,$AC355*$S355)</f>
        <v/>
      </c>
      <c r="AL355" s="35">
        <f>IF($AH355="",DATE(2100,12,31),$AH355+1)</f>
        <v/>
      </c>
      <c r="AM355" s="35">
        <f>IF($AH355="",DATE(1900,1,1),$AG355)</f>
        <v/>
      </c>
      <c r="AN355" s="32">
        <f>IF($AH355="",0,$AC355*$T355)</f>
        <v/>
      </c>
      <c r="AO355" s="46">
        <f>IF($C355="",0,IFERROR(INDEX(Deals!$BD$2:$BD$355,MATCH($C355,Deals!$A$2:$A$355,0)),0))</f>
        <v/>
      </c>
      <c r="AP355" s="18">
        <f>IF($AO355=0,0,IFERROR(INDEX(Deals!$BJ$2:$BP$355,MATCH($C355,Deals!$A$2:$A$355,0),MATCH($F355,Deals!$BJ$1:$BP$1,0))/COUNTIFS(Assignments!$C$2:$C$769,$C355,Assignments!$F$2:$F$769,$F355,Assignments!$G$2:$G$769,"Active"),0))</f>
        <v/>
      </c>
    </row>
    <row r="356">
      <c r="A356" s="28" t="inlineStr">
        <is>
          <t>Spencer</t>
        </is>
      </c>
      <c r="B356" s="16">
        <f>IF($A356="","",IFERROR(INDEX(Roster!$B$2:$B$40,MATCH($A356,Roster!$A$2:$A$40,0)),"?"))</f>
        <v/>
      </c>
      <c r="C356" s="28" t="inlineStr">
        <is>
          <t>Human_1</t>
        </is>
      </c>
      <c r="D356" s="16">
        <f>IF($C356="","",IFERROR(IF(INDEX(Deals!$C$2:$C$355,MATCH($C356,Deals!$A$2:$A$355,0))=0,"",INDEX(Deals!$C$2:$C$355,MATCH($C356,Deals!$A$2:$A$355,0))),"?"))</f>
        <v/>
      </c>
      <c r="E356" s="16">
        <f>IF($C356="","",IFERROR(INDEX(Deals!$F$2:$F$355,MATCH($C356,Deals!$A$2:$A$355,0)),"?"))</f>
        <v/>
      </c>
      <c r="F356" s="28" t="inlineStr">
        <is>
          <t>VP</t>
        </is>
      </c>
      <c r="G356" s="28" t="inlineStr">
        <is>
          <t>Active</t>
        </is>
      </c>
      <c r="H356" s="31" t="n"/>
      <c r="I356" s="32">
        <f>IF(OR($A356="",$G356&lt;&gt;"Active"),0,IF($H356&lt;&gt;"",$H356,IF($AO356&gt;0,$AP356,IF(AND($R356&lt;&gt;"",IFERROR(INDEX(Templates!$B$3:$H$10,MATCH($R356,Templates!$A$3:$A$10,0),MATCH($F356,Templates!$B$2:$H$2,0)),0)&gt;0),INDEX(Templates!$B$3:$H$10,MATCH($R356,Templates!$A$3:$A$10,0),MATCH($F356,Templates!$B$2:$H$2,0)),IFERROR(INDEX(Settings!$B$8:$B$14,MATCH($F356,Settings!$A$8:$A$14,0)),0)))))</f>
        <v/>
      </c>
      <c r="J356" s="21">
        <f>IF($C356="",0,IFERROR(INDEX(Deals!$H$2:$H$355,MATCH($C356,Deals!$A$2:$A$355,0)),0))</f>
        <v/>
      </c>
      <c r="K356" s="32">
        <f>IF(Settings!$B$4="Yes",$I356*$J356,$I356)</f>
        <v/>
      </c>
      <c r="L356" s="22">
        <f>IF($C356="","",IFERROR(IF(INDEX(Deals!$I$2:$I$355,MATCH($C356,Deals!$A$2:$A$355,0))=0,"",INDEX(Deals!$I$2:$I$355,MATCH($C356,Deals!$A$2:$A$355,0))),""))</f>
        <v/>
      </c>
      <c r="M356" s="22">
        <f>IF($C356="","",IFERROR(IF(INDEX(Deals!$J$2:$J$355,MATCH($C356,Deals!$A$2:$A$355,0))=0,"",INDEX(Deals!$J$2:$J$355,MATCH($C356,Deals!$A$2:$A$355,0))),""))</f>
        <v/>
      </c>
      <c r="N356" s="35">
        <f>IF($L356="",DATE(1900,1,1),$L356)</f>
        <v/>
      </c>
      <c r="O356" s="35">
        <f>IF($M356="",DATE(2100,12,31),$M356)</f>
        <v/>
      </c>
      <c r="P356" s="20" t="inlineStr">
        <is>
          <t>Ongoing</t>
        </is>
      </c>
      <c r="Q356" s="47" t="inlineStr"/>
      <c r="R356" s="16">
        <f>IF($C356="","",IFERROR(IF(INDEX(Deals!$U$2:$U$355,MATCH($C356,Deals!$A$2:$A$355,0))=0,"",INDEX(Deals!$U$2:$U$355,MATCH($C356,Deals!$A$2:$A$355,0))),""))</f>
        <v/>
      </c>
      <c r="S356" s="34">
        <f>IFERROR(IF($U356="",1,INDEX(Deals!$V$2:$V$355,MATCH($C356,Deals!$A$2:$A$355,0))),1)</f>
        <v/>
      </c>
      <c r="T356" s="34">
        <f>IFERROR(IF($U356="",1,INDEX(Deals!$W$2:$W$355,MATCH($C356,Deals!$A$2:$A$355,0))),1)</f>
        <v/>
      </c>
      <c r="U356" s="22">
        <f>IF($C356="","",IFERROR(IF(INDEX(Deals!$Y$2:$Y$355,MATCH($C356,Deals!$A$2:$A$355,0))=0,"",INDEX(Deals!$Y$2:$Y$355,MATCH($C356,Deals!$A$2:$A$355,0))),""))</f>
        <v/>
      </c>
      <c r="V356" s="35">
        <f>IF(OR($U356&lt;&gt;"",AND($AO356&gt;0,$L356&lt;&gt;"",$M356&lt;&gt;"")),$N356,DATE(1900,1,1))</f>
        <v/>
      </c>
      <c r="W356" s="35">
        <f>IF($U356&lt;&gt;"",$U356,IF(AND($AO356&gt;0,$L356&lt;&gt;"",$M356&lt;&gt;""),$O356,DATE(2100,12,31)))</f>
        <v/>
      </c>
      <c r="X356" s="32">
        <f>IF($U356="",$K356,$K356*$S356)</f>
        <v/>
      </c>
      <c r="Y356" s="35">
        <f>IF($U356="",DATE(2100,12,31),$U356+1)</f>
        <v/>
      </c>
      <c r="Z356" s="35">
        <f>IF($U356="",DATE(1900,1,1),$O356)</f>
        <v/>
      </c>
      <c r="AA356" s="32">
        <f>IF($U356="",0,$K356*$T356)</f>
        <v/>
      </c>
      <c r="AB356" s="21">
        <f>IF($C356="",0,IFERROR(INDEX(Deals!$AD$2:$AD$355,MATCH($C356,Deals!$A$2:$A$355,0)),0))</f>
        <v/>
      </c>
      <c r="AC356" s="32">
        <f>IF(Settings!$B$4="Yes",$I356*$AB356,$I356)</f>
        <v/>
      </c>
      <c r="AD356" s="22">
        <f>IF($C356="","",IFERROR(IF(INDEX(Deals!$AE$2:$AE$355,MATCH($C356,Deals!$A$2:$A$355,0))=0,"",INDEX(Deals!$AE$2:$AE$355,MATCH($C356,Deals!$A$2:$A$355,0))),""))</f>
        <v/>
      </c>
      <c r="AE356" s="22">
        <f>IF($C356="","",IFERROR(IF(INDEX(Deals!$AF$2:$AF$355,MATCH($C356,Deals!$A$2:$A$355,0))=0,"",INDEX(Deals!$AF$2:$AF$355,MATCH($C356,Deals!$A$2:$A$355,0))),""))</f>
        <v/>
      </c>
      <c r="AF356" s="35">
        <f>IF($AD356="",DATE(1900,1,1),$AD356)</f>
        <v/>
      </c>
      <c r="AG356" s="35">
        <f>IF($AE356="",DATE(2100,12,31),$AE356)</f>
        <v/>
      </c>
      <c r="AH356" s="22">
        <f>IF($C356="","",IFERROR(IF(INDEX(Deals!$AG$2:$AG$355,MATCH($C356,Deals!$A$2:$A$355,0))=0,"",INDEX(Deals!$AG$2:$AG$355,MATCH($C356,Deals!$A$2:$A$355,0))),""))</f>
        <v/>
      </c>
      <c r="AI356" s="35">
        <f>IF(OR($AH356&lt;&gt;"",AND($AO356&gt;0,$AD356&lt;&gt;"",$AE356&lt;&gt;"")),$AF356,DATE(1900,1,1))</f>
        <v/>
      </c>
      <c r="AJ356" s="35">
        <f>IF($AH356&lt;&gt;"",$AH356,IF(AND($AO356&gt;0,$AD356&lt;&gt;"",$AE356&lt;&gt;""),$AG356,DATE(2100,12,31)))</f>
        <v/>
      </c>
      <c r="AK356" s="32">
        <f>IF($AH356="",$AC356,$AC356*$S356)</f>
        <v/>
      </c>
      <c r="AL356" s="35">
        <f>IF($AH356="",DATE(2100,12,31),$AH356+1)</f>
        <v/>
      </c>
      <c r="AM356" s="35">
        <f>IF($AH356="",DATE(1900,1,1),$AG356)</f>
        <v/>
      </c>
      <c r="AN356" s="32">
        <f>IF($AH356="",0,$AC356*$T356)</f>
        <v/>
      </c>
      <c r="AO356" s="46">
        <f>IF($C356="",0,IFERROR(INDEX(Deals!$BD$2:$BD$355,MATCH($C356,Deals!$A$2:$A$355,0)),0))</f>
        <v/>
      </c>
      <c r="AP356" s="18">
        <f>IF($AO356=0,0,IFERROR(INDEX(Deals!$BJ$2:$BP$355,MATCH($C356,Deals!$A$2:$A$355,0),MATCH($F356,Deals!$BJ$1:$BP$1,0))/COUNTIFS(Assignments!$C$2:$C$769,$C356,Assignments!$F$2:$F$769,$F356,Assignments!$G$2:$G$769,"Active"),0))</f>
        <v/>
      </c>
    </row>
    <row r="357">
      <c r="A357" s="28" t="inlineStr">
        <is>
          <t>Spencer</t>
        </is>
      </c>
      <c r="B357" s="16">
        <f>IF($A357="","",IFERROR(INDEX(Roster!$B$2:$B$40,MATCH($A357,Roster!$A$2:$A$40,0)),"?"))</f>
        <v/>
      </c>
      <c r="C357" s="28" t="inlineStr">
        <is>
          <t>Lockup</t>
        </is>
      </c>
      <c r="D357" s="16">
        <f>IF($C357="","",IFERROR(IF(INDEX(Deals!$C$2:$C$355,MATCH($C357,Deals!$A$2:$A$355,0))=0,"",INDEX(Deals!$C$2:$C$355,MATCH($C357,Deals!$A$2:$A$355,0))),"?"))</f>
        <v/>
      </c>
      <c r="E357" s="16">
        <f>IF($C357="","",IFERROR(INDEX(Deals!$F$2:$F$355,MATCH($C357,Deals!$A$2:$A$355,0)),"?"))</f>
        <v/>
      </c>
      <c r="F357" s="28" t="inlineStr">
        <is>
          <t>VP</t>
        </is>
      </c>
      <c r="G357" s="28" t="inlineStr">
        <is>
          <t>Active</t>
        </is>
      </c>
      <c r="H357" s="31" t="n"/>
      <c r="I357" s="32">
        <f>IF(OR($A357="",$G357&lt;&gt;"Active"),0,IF($H357&lt;&gt;"",$H357,IF($AO357&gt;0,$AP357,IF(AND($R357&lt;&gt;"",IFERROR(INDEX(Templates!$B$3:$H$10,MATCH($R357,Templates!$A$3:$A$10,0),MATCH($F357,Templates!$B$2:$H$2,0)),0)&gt;0),INDEX(Templates!$B$3:$H$10,MATCH($R357,Templates!$A$3:$A$10,0),MATCH($F357,Templates!$B$2:$H$2,0)),IFERROR(INDEX(Settings!$B$8:$B$14,MATCH($F357,Settings!$A$8:$A$14,0)),0)))))</f>
        <v/>
      </c>
      <c r="J357" s="21">
        <f>IF($C357="",0,IFERROR(INDEX(Deals!$H$2:$H$355,MATCH($C357,Deals!$A$2:$A$355,0)),0))</f>
        <v/>
      </c>
      <c r="K357" s="32">
        <f>IF(Settings!$B$4="Yes",$I357*$J357,$I357)</f>
        <v/>
      </c>
      <c r="L357" s="22">
        <f>IF($C357="","",IFERROR(IF(INDEX(Deals!$I$2:$I$355,MATCH($C357,Deals!$A$2:$A$355,0))=0,"",INDEX(Deals!$I$2:$I$355,MATCH($C357,Deals!$A$2:$A$355,0))),""))</f>
        <v/>
      </c>
      <c r="M357" s="22">
        <f>IF($C357="","",IFERROR(IF(INDEX(Deals!$J$2:$J$355,MATCH($C357,Deals!$A$2:$A$355,0))=0,"",INDEX(Deals!$J$2:$J$355,MATCH($C357,Deals!$A$2:$A$355,0))),""))</f>
        <v/>
      </c>
      <c r="N357" s="35">
        <f>IF($L357="",DATE(1900,1,1),$L357)</f>
        <v/>
      </c>
      <c r="O357" s="35">
        <f>IF($M357="",DATE(2100,12,31),$M357)</f>
        <v/>
      </c>
      <c r="P357" s="20" t="inlineStr">
        <is>
          <t>Proposal</t>
        </is>
      </c>
      <c r="Q357" s="47" t="inlineStr">
        <is>
          <t>Added from Summary tab</t>
        </is>
      </c>
      <c r="R357" s="16">
        <f>IF($C357="","",IFERROR(IF(INDEX(Deals!$U$2:$U$355,MATCH($C357,Deals!$A$2:$A$355,0))=0,"",INDEX(Deals!$U$2:$U$355,MATCH($C357,Deals!$A$2:$A$355,0))),""))</f>
        <v/>
      </c>
      <c r="S357" s="34">
        <f>IFERROR(IF($U357="",1,INDEX(Deals!$V$2:$V$355,MATCH($C357,Deals!$A$2:$A$355,0))),1)</f>
        <v/>
      </c>
      <c r="T357" s="34">
        <f>IFERROR(IF($U357="",1,INDEX(Deals!$W$2:$W$355,MATCH($C357,Deals!$A$2:$A$355,0))),1)</f>
        <v/>
      </c>
      <c r="U357" s="22">
        <f>IF($C357="","",IFERROR(IF(INDEX(Deals!$Y$2:$Y$355,MATCH($C357,Deals!$A$2:$A$355,0))=0,"",INDEX(Deals!$Y$2:$Y$355,MATCH($C357,Deals!$A$2:$A$355,0))),""))</f>
        <v/>
      </c>
      <c r="V357" s="35">
        <f>IF(OR($U357&lt;&gt;"",AND($AO357&gt;0,$L357&lt;&gt;"",$M357&lt;&gt;"")),$N357,DATE(1900,1,1))</f>
        <v/>
      </c>
      <c r="W357" s="35">
        <f>IF($U357&lt;&gt;"",$U357,IF(AND($AO357&gt;0,$L357&lt;&gt;"",$M357&lt;&gt;""),$O357,DATE(2100,12,31)))</f>
        <v/>
      </c>
      <c r="X357" s="32">
        <f>IF($U357="",$K357,$K357*$S357)</f>
        <v/>
      </c>
      <c r="Y357" s="35">
        <f>IF($U357="",DATE(2100,12,31),$U357+1)</f>
        <v/>
      </c>
      <c r="Z357" s="35">
        <f>IF($U357="",DATE(1900,1,1),$O357)</f>
        <v/>
      </c>
      <c r="AA357" s="32">
        <f>IF($U357="",0,$K357*$T357)</f>
        <v/>
      </c>
      <c r="AB357" s="21">
        <f>IF($C357="",0,IFERROR(INDEX(Deals!$AD$2:$AD$355,MATCH($C357,Deals!$A$2:$A$355,0)),0))</f>
        <v/>
      </c>
      <c r="AC357" s="32">
        <f>IF(Settings!$B$4="Yes",$I357*$AB357,$I357)</f>
        <v/>
      </c>
      <c r="AD357" s="22">
        <f>IF($C357="","",IFERROR(IF(INDEX(Deals!$AE$2:$AE$355,MATCH($C357,Deals!$A$2:$A$355,0))=0,"",INDEX(Deals!$AE$2:$AE$355,MATCH($C357,Deals!$A$2:$A$355,0))),""))</f>
        <v/>
      </c>
      <c r="AE357" s="22">
        <f>IF($C357="","",IFERROR(IF(INDEX(Deals!$AF$2:$AF$355,MATCH($C357,Deals!$A$2:$A$355,0))=0,"",INDEX(Deals!$AF$2:$AF$355,MATCH($C357,Deals!$A$2:$A$355,0))),""))</f>
        <v/>
      </c>
      <c r="AF357" s="35">
        <f>IF($AD357="",DATE(1900,1,1),$AD357)</f>
        <v/>
      </c>
      <c r="AG357" s="35">
        <f>IF($AE357="",DATE(2100,12,31),$AE357)</f>
        <v/>
      </c>
      <c r="AH357" s="22">
        <f>IF($C357="","",IFERROR(IF(INDEX(Deals!$AG$2:$AG$355,MATCH($C357,Deals!$A$2:$A$355,0))=0,"",INDEX(Deals!$AG$2:$AG$355,MATCH($C357,Deals!$A$2:$A$355,0))),""))</f>
        <v/>
      </c>
      <c r="AI357" s="35">
        <f>IF(OR($AH357&lt;&gt;"",AND($AO357&gt;0,$AD357&lt;&gt;"",$AE357&lt;&gt;"")),$AF357,DATE(1900,1,1))</f>
        <v/>
      </c>
      <c r="AJ357" s="35">
        <f>IF($AH357&lt;&gt;"",$AH357,IF(AND($AO357&gt;0,$AD357&lt;&gt;"",$AE357&lt;&gt;""),$AG357,DATE(2100,12,31)))</f>
        <v/>
      </c>
      <c r="AK357" s="32">
        <f>IF($AH357="",$AC357,$AC357*$S357)</f>
        <v/>
      </c>
      <c r="AL357" s="35">
        <f>IF($AH357="",DATE(2100,12,31),$AH357+1)</f>
        <v/>
      </c>
      <c r="AM357" s="35">
        <f>IF($AH357="",DATE(1900,1,1),$AG357)</f>
        <v/>
      </c>
      <c r="AN357" s="32">
        <f>IF($AH357="",0,$AC357*$T357)</f>
        <v/>
      </c>
      <c r="AO357" s="46">
        <f>IF($C357="",0,IFERROR(INDEX(Deals!$BD$2:$BD$355,MATCH($C357,Deals!$A$2:$A$355,0)),0))</f>
        <v/>
      </c>
      <c r="AP357" s="18">
        <f>IF($AO357=0,0,IFERROR(INDEX(Deals!$BJ$2:$BP$355,MATCH($C357,Deals!$A$2:$A$355,0),MATCH($F357,Deals!$BJ$1:$BP$1,0))/COUNTIFS(Assignments!$C$2:$C$769,$C357,Assignments!$F$2:$F$769,$F357,Assignments!$G$2:$G$769,"Active"),0))</f>
        <v/>
      </c>
    </row>
    <row r="358">
      <c r="A358" s="28" t="inlineStr">
        <is>
          <t>Spencer</t>
        </is>
      </c>
      <c r="B358" s="16">
        <f>IF($A358="","",IFERROR(INDEX(Roster!$B$2:$B$40,MATCH($A358,Roster!$A$2:$A$40,0)),"?"))</f>
        <v/>
      </c>
      <c r="C358" s="28" t="inlineStr">
        <is>
          <t>Lumenad_1</t>
        </is>
      </c>
      <c r="D358" s="16">
        <f>IF($C358="","",IFERROR(IF(INDEX(Deals!$C$2:$C$355,MATCH($C358,Deals!$A$2:$A$355,0))=0,"",INDEX(Deals!$C$2:$C$355,MATCH($C358,Deals!$A$2:$A$355,0))),"?"))</f>
        <v/>
      </c>
      <c r="E358" s="16">
        <f>IF($C358="","",IFERROR(INDEX(Deals!$F$2:$F$355,MATCH($C358,Deals!$A$2:$A$355,0)),"?"))</f>
        <v/>
      </c>
      <c r="F358" s="28" t="inlineStr">
        <is>
          <t>VP</t>
        </is>
      </c>
      <c r="G358" s="28" t="inlineStr">
        <is>
          <t>Active</t>
        </is>
      </c>
      <c r="H358" s="31" t="n"/>
      <c r="I358" s="32">
        <f>IF(OR($A358="",$G358&lt;&gt;"Active"),0,IF($H358&lt;&gt;"",$H358,IF($AO358&gt;0,$AP358,IF(AND($R358&lt;&gt;"",IFERROR(INDEX(Templates!$B$3:$H$10,MATCH($R358,Templates!$A$3:$A$10,0),MATCH($F358,Templates!$B$2:$H$2,0)),0)&gt;0),INDEX(Templates!$B$3:$H$10,MATCH($R358,Templates!$A$3:$A$10,0),MATCH($F358,Templates!$B$2:$H$2,0)),IFERROR(INDEX(Settings!$B$8:$B$14,MATCH($F358,Settings!$A$8:$A$14,0)),0)))))</f>
        <v/>
      </c>
      <c r="J358" s="21">
        <f>IF($C358="",0,IFERROR(INDEX(Deals!$H$2:$H$355,MATCH($C358,Deals!$A$2:$A$355,0)),0))</f>
        <v/>
      </c>
      <c r="K358" s="32">
        <f>IF(Settings!$B$4="Yes",$I358*$J358,$I358)</f>
        <v/>
      </c>
      <c r="L358" s="22">
        <f>IF($C358="","",IFERROR(IF(INDEX(Deals!$I$2:$I$355,MATCH($C358,Deals!$A$2:$A$355,0))=0,"",INDEX(Deals!$I$2:$I$355,MATCH($C358,Deals!$A$2:$A$355,0))),""))</f>
        <v/>
      </c>
      <c r="M358" s="22">
        <f>IF($C358="","",IFERROR(IF(INDEX(Deals!$J$2:$J$355,MATCH($C358,Deals!$A$2:$A$355,0))=0,"",INDEX(Deals!$J$2:$J$355,MATCH($C358,Deals!$A$2:$A$355,0))),""))</f>
        <v/>
      </c>
      <c r="N358" s="35">
        <f>IF($L358="",DATE(1900,1,1),$L358)</f>
        <v/>
      </c>
      <c r="O358" s="35">
        <f>IF($M358="",DATE(2100,12,31),$M358)</f>
        <v/>
      </c>
      <c r="P358" s="20" t="inlineStr">
        <is>
          <t>Ongoing</t>
        </is>
      </c>
      <c r="Q358" s="47" t="inlineStr"/>
      <c r="R358" s="16">
        <f>IF($C358="","",IFERROR(IF(INDEX(Deals!$U$2:$U$355,MATCH($C358,Deals!$A$2:$A$355,0))=0,"",INDEX(Deals!$U$2:$U$355,MATCH($C358,Deals!$A$2:$A$355,0))),""))</f>
        <v/>
      </c>
      <c r="S358" s="34">
        <f>IFERROR(IF($U358="",1,INDEX(Deals!$V$2:$V$355,MATCH($C358,Deals!$A$2:$A$355,0))),1)</f>
        <v/>
      </c>
      <c r="T358" s="34">
        <f>IFERROR(IF($U358="",1,INDEX(Deals!$W$2:$W$355,MATCH($C358,Deals!$A$2:$A$355,0))),1)</f>
        <v/>
      </c>
      <c r="U358" s="22">
        <f>IF($C358="","",IFERROR(IF(INDEX(Deals!$Y$2:$Y$355,MATCH($C358,Deals!$A$2:$A$355,0))=0,"",INDEX(Deals!$Y$2:$Y$355,MATCH($C358,Deals!$A$2:$A$355,0))),""))</f>
        <v/>
      </c>
      <c r="V358" s="35">
        <f>IF(OR($U358&lt;&gt;"",AND($AO358&gt;0,$L358&lt;&gt;"",$M358&lt;&gt;"")),$N358,DATE(1900,1,1))</f>
        <v/>
      </c>
      <c r="W358" s="35">
        <f>IF($U358&lt;&gt;"",$U358,IF(AND($AO358&gt;0,$L358&lt;&gt;"",$M358&lt;&gt;""),$O358,DATE(2100,12,31)))</f>
        <v/>
      </c>
      <c r="X358" s="32">
        <f>IF($U358="",$K358,$K358*$S358)</f>
        <v/>
      </c>
      <c r="Y358" s="35">
        <f>IF($U358="",DATE(2100,12,31),$U358+1)</f>
        <v/>
      </c>
      <c r="Z358" s="35">
        <f>IF($U358="",DATE(1900,1,1),$O358)</f>
        <v/>
      </c>
      <c r="AA358" s="32">
        <f>IF($U358="",0,$K358*$T358)</f>
        <v/>
      </c>
      <c r="AB358" s="21">
        <f>IF($C358="",0,IFERROR(INDEX(Deals!$AD$2:$AD$355,MATCH($C358,Deals!$A$2:$A$355,0)),0))</f>
        <v/>
      </c>
      <c r="AC358" s="32">
        <f>IF(Settings!$B$4="Yes",$I358*$AB358,$I358)</f>
        <v/>
      </c>
      <c r="AD358" s="22">
        <f>IF($C358="","",IFERROR(IF(INDEX(Deals!$AE$2:$AE$355,MATCH($C358,Deals!$A$2:$A$355,0))=0,"",INDEX(Deals!$AE$2:$AE$355,MATCH($C358,Deals!$A$2:$A$355,0))),""))</f>
        <v/>
      </c>
      <c r="AE358" s="22">
        <f>IF($C358="","",IFERROR(IF(INDEX(Deals!$AF$2:$AF$355,MATCH($C358,Deals!$A$2:$A$355,0))=0,"",INDEX(Deals!$AF$2:$AF$355,MATCH($C358,Deals!$A$2:$A$355,0))),""))</f>
        <v/>
      </c>
      <c r="AF358" s="35">
        <f>IF($AD358="",DATE(1900,1,1),$AD358)</f>
        <v/>
      </c>
      <c r="AG358" s="35">
        <f>IF($AE358="",DATE(2100,12,31),$AE358)</f>
        <v/>
      </c>
      <c r="AH358" s="22">
        <f>IF($C358="","",IFERROR(IF(INDEX(Deals!$AG$2:$AG$355,MATCH($C358,Deals!$A$2:$A$355,0))=0,"",INDEX(Deals!$AG$2:$AG$355,MATCH($C358,Deals!$A$2:$A$355,0))),""))</f>
        <v/>
      </c>
      <c r="AI358" s="35">
        <f>IF(OR($AH358&lt;&gt;"",AND($AO358&gt;0,$AD358&lt;&gt;"",$AE358&lt;&gt;"")),$AF358,DATE(1900,1,1))</f>
        <v/>
      </c>
      <c r="AJ358" s="35">
        <f>IF($AH358&lt;&gt;"",$AH358,IF(AND($AO358&gt;0,$AD358&lt;&gt;"",$AE358&lt;&gt;""),$AG358,DATE(2100,12,31)))</f>
        <v/>
      </c>
      <c r="AK358" s="32">
        <f>IF($AH358="",$AC358,$AC358*$S358)</f>
        <v/>
      </c>
      <c r="AL358" s="35">
        <f>IF($AH358="",DATE(2100,12,31),$AH358+1)</f>
        <v/>
      </c>
      <c r="AM358" s="35">
        <f>IF($AH358="",DATE(1900,1,1),$AG358)</f>
        <v/>
      </c>
      <c r="AN358" s="32">
        <f>IF($AH358="",0,$AC358*$T358)</f>
        <v/>
      </c>
      <c r="AO358" s="46">
        <f>IF($C358="",0,IFERROR(INDEX(Deals!$BD$2:$BD$355,MATCH($C358,Deals!$A$2:$A$355,0)),0))</f>
        <v/>
      </c>
      <c r="AP358" s="18">
        <f>IF($AO358=0,0,IFERROR(INDEX(Deals!$BJ$2:$BP$355,MATCH($C358,Deals!$A$2:$A$355,0),MATCH($F358,Deals!$BJ$1:$BP$1,0))/COUNTIFS(Assignments!$C$2:$C$769,$C358,Assignments!$F$2:$F$769,$F358,Assignments!$G$2:$G$769,"Active"),0))</f>
        <v/>
      </c>
    </row>
    <row r="359">
      <c r="A359" s="28" t="inlineStr">
        <is>
          <t>Spencer</t>
        </is>
      </c>
      <c r="B359" s="16">
        <f>IF($A359="","",IFERROR(INDEX(Roster!$B$2:$B$40,MATCH($A359,Roster!$A$2:$A$40,0)),"?"))</f>
        <v/>
      </c>
      <c r="C359" s="28" t="inlineStr">
        <is>
          <t>Mont_1</t>
        </is>
      </c>
      <c r="D359" s="16">
        <f>IF($C359="","",IFERROR(IF(INDEX(Deals!$C$2:$C$355,MATCH($C359,Deals!$A$2:$A$355,0))=0,"",INDEX(Deals!$C$2:$C$355,MATCH($C359,Deals!$A$2:$A$355,0))),"?"))</f>
        <v/>
      </c>
      <c r="E359" s="16">
        <f>IF($C359="","",IFERROR(INDEX(Deals!$F$2:$F$355,MATCH($C359,Deals!$A$2:$A$355,0)),"?"))</f>
        <v/>
      </c>
      <c r="F359" s="28" t="inlineStr">
        <is>
          <t>VP</t>
        </is>
      </c>
      <c r="G359" s="28" t="inlineStr">
        <is>
          <t>Inactive</t>
        </is>
      </c>
      <c r="H359" s="31" t="n"/>
      <c r="I359" s="32">
        <f>IF(OR($A359="",$G359&lt;&gt;"Active"),0,IF($H359&lt;&gt;"",$H359,IF($AO359&gt;0,$AP359,IF(AND($R359&lt;&gt;"",IFERROR(INDEX(Templates!$B$3:$H$10,MATCH($R359,Templates!$A$3:$A$10,0),MATCH($F359,Templates!$B$2:$H$2,0)),0)&gt;0),INDEX(Templates!$B$3:$H$10,MATCH($R359,Templates!$A$3:$A$10,0),MATCH($F359,Templates!$B$2:$H$2,0)),IFERROR(INDEX(Settings!$B$8:$B$14,MATCH($F359,Settings!$A$8:$A$14,0)),0)))))</f>
        <v/>
      </c>
      <c r="J359" s="21">
        <f>IF($C359="",0,IFERROR(INDEX(Deals!$H$2:$H$355,MATCH($C359,Deals!$A$2:$A$355,0)),0))</f>
        <v/>
      </c>
      <c r="K359" s="32">
        <f>IF(Settings!$B$4="Yes",$I359*$J359,$I359)</f>
        <v/>
      </c>
      <c r="L359" s="22">
        <f>IF($C359="","",IFERROR(IF(INDEX(Deals!$I$2:$I$355,MATCH($C359,Deals!$A$2:$A$355,0))=0,"",INDEX(Deals!$I$2:$I$355,MATCH($C359,Deals!$A$2:$A$355,0))),""))</f>
        <v/>
      </c>
      <c r="M359" s="22">
        <f>IF($C359="","",IFERROR(IF(INDEX(Deals!$J$2:$J$355,MATCH($C359,Deals!$A$2:$A$355,0))=0,"",INDEX(Deals!$J$2:$J$355,MATCH($C359,Deals!$A$2:$A$355,0))),""))</f>
        <v/>
      </c>
      <c r="N359" s="35">
        <f>IF($L359="",DATE(1900,1,1),$L359)</f>
        <v/>
      </c>
      <c r="O359" s="35">
        <f>IF($M359="",DATE(2100,12,31),$M359)</f>
        <v/>
      </c>
      <c r="P359" s="20" t="inlineStr">
        <is>
          <t>Closed</t>
        </is>
      </c>
      <c r="Q359" s="47" t="inlineStr"/>
      <c r="R359" s="16">
        <f>IF($C359="","",IFERROR(IF(INDEX(Deals!$U$2:$U$355,MATCH($C359,Deals!$A$2:$A$355,0))=0,"",INDEX(Deals!$U$2:$U$355,MATCH($C359,Deals!$A$2:$A$355,0))),""))</f>
        <v/>
      </c>
      <c r="S359" s="34">
        <f>IFERROR(IF($U359="",1,INDEX(Deals!$V$2:$V$355,MATCH($C359,Deals!$A$2:$A$355,0))),1)</f>
        <v/>
      </c>
      <c r="T359" s="34">
        <f>IFERROR(IF($U359="",1,INDEX(Deals!$W$2:$W$355,MATCH($C359,Deals!$A$2:$A$355,0))),1)</f>
        <v/>
      </c>
      <c r="U359" s="22">
        <f>IF($C359="","",IFERROR(IF(INDEX(Deals!$Y$2:$Y$355,MATCH($C359,Deals!$A$2:$A$355,0))=0,"",INDEX(Deals!$Y$2:$Y$355,MATCH($C359,Deals!$A$2:$A$355,0))),""))</f>
        <v/>
      </c>
      <c r="V359" s="35">
        <f>IF(OR($U359&lt;&gt;"",AND($AO359&gt;0,$L359&lt;&gt;"",$M359&lt;&gt;"")),$N359,DATE(1900,1,1))</f>
        <v/>
      </c>
      <c r="W359" s="35">
        <f>IF($U359&lt;&gt;"",$U359,IF(AND($AO359&gt;0,$L359&lt;&gt;"",$M359&lt;&gt;""),$O359,DATE(2100,12,31)))</f>
        <v/>
      </c>
      <c r="X359" s="32">
        <f>IF($U359="",$K359,$K359*$S359)</f>
        <v/>
      </c>
      <c r="Y359" s="35">
        <f>IF($U359="",DATE(2100,12,31),$U359+1)</f>
        <v/>
      </c>
      <c r="Z359" s="35">
        <f>IF($U359="",DATE(1900,1,1),$O359)</f>
        <v/>
      </c>
      <c r="AA359" s="32">
        <f>IF($U359="",0,$K359*$T359)</f>
        <v/>
      </c>
      <c r="AB359" s="21">
        <f>IF($C359="",0,IFERROR(INDEX(Deals!$AD$2:$AD$355,MATCH($C359,Deals!$A$2:$A$355,0)),0))</f>
        <v/>
      </c>
      <c r="AC359" s="32">
        <f>IF(Settings!$B$4="Yes",$I359*$AB359,$I359)</f>
        <v/>
      </c>
      <c r="AD359" s="22">
        <f>IF($C359="","",IFERROR(IF(INDEX(Deals!$AE$2:$AE$355,MATCH($C359,Deals!$A$2:$A$355,0))=0,"",INDEX(Deals!$AE$2:$AE$355,MATCH($C359,Deals!$A$2:$A$355,0))),""))</f>
        <v/>
      </c>
      <c r="AE359" s="22">
        <f>IF($C359="","",IFERROR(IF(INDEX(Deals!$AF$2:$AF$355,MATCH($C359,Deals!$A$2:$A$355,0))=0,"",INDEX(Deals!$AF$2:$AF$355,MATCH($C359,Deals!$A$2:$A$355,0))),""))</f>
        <v/>
      </c>
      <c r="AF359" s="35">
        <f>IF($AD359="",DATE(1900,1,1),$AD359)</f>
        <v/>
      </c>
      <c r="AG359" s="35">
        <f>IF($AE359="",DATE(2100,12,31),$AE359)</f>
        <v/>
      </c>
      <c r="AH359" s="22">
        <f>IF($C359="","",IFERROR(IF(INDEX(Deals!$AG$2:$AG$355,MATCH($C359,Deals!$A$2:$A$355,0))=0,"",INDEX(Deals!$AG$2:$AG$355,MATCH($C359,Deals!$A$2:$A$355,0))),""))</f>
        <v/>
      </c>
      <c r="AI359" s="35">
        <f>IF(OR($AH359&lt;&gt;"",AND($AO359&gt;0,$AD359&lt;&gt;"",$AE359&lt;&gt;"")),$AF359,DATE(1900,1,1))</f>
        <v/>
      </c>
      <c r="AJ359" s="35">
        <f>IF($AH359&lt;&gt;"",$AH359,IF(AND($AO359&gt;0,$AD359&lt;&gt;"",$AE359&lt;&gt;""),$AG359,DATE(2100,12,31)))</f>
        <v/>
      </c>
      <c r="AK359" s="32">
        <f>IF($AH359="",$AC359,$AC359*$S359)</f>
        <v/>
      </c>
      <c r="AL359" s="35">
        <f>IF($AH359="",DATE(2100,12,31),$AH359+1)</f>
        <v/>
      </c>
      <c r="AM359" s="35">
        <f>IF($AH359="",DATE(1900,1,1),$AG359)</f>
        <v/>
      </c>
      <c r="AN359" s="32">
        <f>IF($AH359="",0,$AC359*$T359)</f>
        <v/>
      </c>
      <c r="AO359" s="46">
        <f>IF($C359="",0,IFERROR(INDEX(Deals!$BD$2:$BD$355,MATCH($C359,Deals!$A$2:$A$355,0)),0))</f>
        <v/>
      </c>
      <c r="AP359" s="18">
        <f>IF($AO359=0,0,IFERROR(INDEX(Deals!$BJ$2:$BP$355,MATCH($C359,Deals!$A$2:$A$355,0),MATCH($F359,Deals!$BJ$1:$BP$1,0))/COUNTIFS(Assignments!$C$2:$C$769,$C359,Assignments!$F$2:$F$769,$F359,Assignments!$G$2:$G$769,"Active"),0))</f>
        <v/>
      </c>
    </row>
    <row r="360">
      <c r="A360" s="28" t="inlineStr">
        <is>
          <t>Spencer</t>
        </is>
      </c>
      <c r="B360" s="16">
        <f>IF($A360="","",IFERROR(INDEX(Roster!$B$2:$B$40,MATCH($A360,Roster!$A$2:$A$40,0)),"?"))</f>
        <v/>
      </c>
      <c r="C360" s="28" t="inlineStr">
        <is>
          <t>Naples_2</t>
        </is>
      </c>
      <c r="D360" s="16">
        <f>IF($C360="","",IFERROR(IF(INDEX(Deals!$C$2:$C$355,MATCH($C360,Deals!$A$2:$A$355,0))=0,"",INDEX(Deals!$C$2:$C$355,MATCH($C360,Deals!$A$2:$A$355,0))),"?"))</f>
        <v/>
      </c>
      <c r="E360" s="16">
        <f>IF($C360="","",IFERROR(INDEX(Deals!$F$2:$F$355,MATCH($C360,Deals!$A$2:$A$355,0)),"?"))</f>
        <v/>
      </c>
      <c r="F360" s="28" t="inlineStr">
        <is>
          <t>VP</t>
        </is>
      </c>
      <c r="G360" s="28" t="inlineStr">
        <is>
          <t>Inactive</t>
        </is>
      </c>
      <c r="H360" s="31" t="n"/>
      <c r="I360" s="32">
        <f>IF(OR($A360="",$G360&lt;&gt;"Active"),0,IF($H360&lt;&gt;"",$H360,IF($AO360&gt;0,$AP360,IF(AND($R360&lt;&gt;"",IFERROR(INDEX(Templates!$B$3:$H$10,MATCH($R360,Templates!$A$3:$A$10,0),MATCH($F360,Templates!$B$2:$H$2,0)),0)&gt;0),INDEX(Templates!$B$3:$H$10,MATCH($R360,Templates!$A$3:$A$10,0),MATCH($F360,Templates!$B$2:$H$2,0)),IFERROR(INDEX(Settings!$B$8:$B$14,MATCH($F360,Settings!$A$8:$A$14,0)),0)))))</f>
        <v/>
      </c>
      <c r="J360" s="21">
        <f>IF($C360="",0,IFERROR(INDEX(Deals!$H$2:$H$355,MATCH($C360,Deals!$A$2:$A$355,0)),0))</f>
        <v/>
      </c>
      <c r="K360" s="32">
        <f>IF(Settings!$B$4="Yes",$I360*$J360,$I360)</f>
        <v/>
      </c>
      <c r="L360" s="22">
        <f>IF($C360="","",IFERROR(IF(INDEX(Deals!$I$2:$I$355,MATCH($C360,Deals!$A$2:$A$355,0))=0,"",INDEX(Deals!$I$2:$I$355,MATCH($C360,Deals!$A$2:$A$355,0))),""))</f>
        <v/>
      </c>
      <c r="M360" s="22">
        <f>IF($C360="","",IFERROR(IF(INDEX(Deals!$J$2:$J$355,MATCH($C360,Deals!$A$2:$A$355,0))=0,"",INDEX(Deals!$J$2:$J$355,MATCH($C360,Deals!$A$2:$A$355,0))),""))</f>
        <v/>
      </c>
      <c r="N360" s="35">
        <f>IF($L360="",DATE(1900,1,1),$L360)</f>
        <v/>
      </c>
      <c r="O360" s="35">
        <f>IF($M360="",DATE(2100,12,31),$M360)</f>
        <v/>
      </c>
      <c r="P360" s="20" t="inlineStr">
        <is>
          <t>Closed</t>
        </is>
      </c>
      <c r="Q360" s="47" t="inlineStr"/>
      <c r="R360" s="16">
        <f>IF($C360="","",IFERROR(IF(INDEX(Deals!$U$2:$U$355,MATCH($C360,Deals!$A$2:$A$355,0))=0,"",INDEX(Deals!$U$2:$U$355,MATCH($C360,Deals!$A$2:$A$355,0))),""))</f>
        <v/>
      </c>
      <c r="S360" s="34">
        <f>IFERROR(IF($U360="",1,INDEX(Deals!$V$2:$V$355,MATCH($C360,Deals!$A$2:$A$355,0))),1)</f>
        <v/>
      </c>
      <c r="T360" s="34">
        <f>IFERROR(IF($U360="",1,INDEX(Deals!$W$2:$W$355,MATCH($C360,Deals!$A$2:$A$355,0))),1)</f>
        <v/>
      </c>
      <c r="U360" s="22">
        <f>IF($C360="","",IFERROR(IF(INDEX(Deals!$Y$2:$Y$355,MATCH($C360,Deals!$A$2:$A$355,0))=0,"",INDEX(Deals!$Y$2:$Y$355,MATCH($C360,Deals!$A$2:$A$355,0))),""))</f>
        <v/>
      </c>
      <c r="V360" s="35">
        <f>IF(OR($U360&lt;&gt;"",AND($AO360&gt;0,$L360&lt;&gt;"",$M360&lt;&gt;"")),$N360,DATE(1900,1,1))</f>
        <v/>
      </c>
      <c r="W360" s="35">
        <f>IF($U360&lt;&gt;"",$U360,IF(AND($AO360&gt;0,$L360&lt;&gt;"",$M360&lt;&gt;""),$O360,DATE(2100,12,31)))</f>
        <v/>
      </c>
      <c r="X360" s="32">
        <f>IF($U360="",$K360,$K360*$S360)</f>
        <v/>
      </c>
      <c r="Y360" s="35">
        <f>IF($U360="",DATE(2100,12,31),$U360+1)</f>
        <v/>
      </c>
      <c r="Z360" s="35">
        <f>IF($U360="",DATE(1900,1,1),$O360)</f>
        <v/>
      </c>
      <c r="AA360" s="32">
        <f>IF($U360="",0,$K360*$T360)</f>
        <v/>
      </c>
      <c r="AB360" s="21">
        <f>IF($C360="",0,IFERROR(INDEX(Deals!$AD$2:$AD$355,MATCH($C360,Deals!$A$2:$A$355,0)),0))</f>
        <v/>
      </c>
      <c r="AC360" s="32">
        <f>IF(Settings!$B$4="Yes",$I360*$AB360,$I360)</f>
        <v/>
      </c>
      <c r="AD360" s="22">
        <f>IF($C360="","",IFERROR(IF(INDEX(Deals!$AE$2:$AE$355,MATCH($C360,Deals!$A$2:$A$355,0))=0,"",INDEX(Deals!$AE$2:$AE$355,MATCH($C360,Deals!$A$2:$A$355,0))),""))</f>
        <v/>
      </c>
      <c r="AE360" s="22">
        <f>IF($C360="","",IFERROR(IF(INDEX(Deals!$AF$2:$AF$355,MATCH($C360,Deals!$A$2:$A$355,0))=0,"",INDEX(Deals!$AF$2:$AF$355,MATCH($C360,Deals!$A$2:$A$355,0))),""))</f>
        <v/>
      </c>
      <c r="AF360" s="35">
        <f>IF($AD360="",DATE(1900,1,1),$AD360)</f>
        <v/>
      </c>
      <c r="AG360" s="35">
        <f>IF($AE360="",DATE(2100,12,31),$AE360)</f>
        <v/>
      </c>
      <c r="AH360" s="22">
        <f>IF($C360="","",IFERROR(IF(INDEX(Deals!$AG$2:$AG$355,MATCH($C360,Deals!$A$2:$A$355,0))=0,"",INDEX(Deals!$AG$2:$AG$355,MATCH($C360,Deals!$A$2:$A$355,0))),""))</f>
        <v/>
      </c>
      <c r="AI360" s="35">
        <f>IF(OR($AH360&lt;&gt;"",AND($AO360&gt;0,$AD360&lt;&gt;"",$AE360&lt;&gt;"")),$AF360,DATE(1900,1,1))</f>
        <v/>
      </c>
      <c r="AJ360" s="35">
        <f>IF($AH360&lt;&gt;"",$AH360,IF(AND($AO360&gt;0,$AD360&lt;&gt;"",$AE360&lt;&gt;""),$AG360,DATE(2100,12,31)))</f>
        <v/>
      </c>
      <c r="AK360" s="32">
        <f>IF($AH360="",$AC360,$AC360*$S360)</f>
        <v/>
      </c>
      <c r="AL360" s="35">
        <f>IF($AH360="",DATE(2100,12,31),$AH360+1)</f>
        <v/>
      </c>
      <c r="AM360" s="35">
        <f>IF($AH360="",DATE(1900,1,1),$AG360)</f>
        <v/>
      </c>
      <c r="AN360" s="32">
        <f>IF($AH360="",0,$AC360*$T360)</f>
        <v/>
      </c>
      <c r="AO360" s="46">
        <f>IF($C360="",0,IFERROR(INDEX(Deals!$BD$2:$BD$355,MATCH($C360,Deals!$A$2:$A$355,0)),0))</f>
        <v/>
      </c>
      <c r="AP360" s="18">
        <f>IF($AO360=0,0,IFERROR(INDEX(Deals!$BJ$2:$BP$355,MATCH($C360,Deals!$A$2:$A$355,0),MATCH($F360,Deals!$BJ$1:$BP$1,0))/COUNTIFS(Assignments!$C$2:$C$769,$C360,Assignments!$F$2:$F$769,$F360,Assignments!$G$2:$G$769,"Active"),0))</f>
        <v/>
      </c>
    </row>
    <row r="361">
      <c r="A361" s="28" t="inlineStr">
        <is>
          <t>Spencer</t>
        </is>
      </c>
      <c r="B361" s="16">
        <f>IF($A361="","",IFERROR(INDEX(Roster!$B$2:$B$40,MATCH($A361,Roster!$A$2:$A$40,0)),"?"))</f>
        <v/>
      </c>
      <c r="C361" s="28" t="inlineStr">
        <is>
          <t>Pet_1</t>
        </is>
      </c>
      <c r="D361" s="16">
        <f>IF($C361="","",IFERROR(IF(INDEX(Deals!$C$2:$C$355,MATCH($C361,Deals!$A$2:$A$355,0))=0,"",INDEX(Deals!$C$2:$C$355,MATCH($C361,Deals!$A$2:$A$355,0))),"?"))</f>
        <v/>
      </c>
      <c r="E361" s="16">
        <f>IF($C361="","",IFERROR(INDEX(Deals!$F$2:$F$355,MATCH($C361,Deals!$A$2:$A$355,0)),"?"))</f>
        <v/>
      </c>
      <c r="F361" s="28" t="inlineStr">
        <is>
          <t>VP</t>
        </is>
      </c>
      <c r="G361" s="28" t="inlineStr">
        <is>
          <t>Active</t>
        </is>
      </c>
      <c r="H361" s="31" t="n"/>
      <c r="I361" s="32">
        <f>IF(OR($A361="",$G361&lt;&gt;"Active"),0,IF($H361&lt;&gt;"",$H361,IF($AO361&gt;0,$AP361,IF(AND($R361&lt;&gt;"",IFERROR(INDEX(Templates!$B$3:$H$10,MATCH($R361,Templates!$A$3:$A$10,0),MATCH($F361,Templates!$B$2:$H$2,0)),0)&gt;0),INDEX(Templates!$B$3:$H$10,MATCH($R361,Templates!$A$3:$A$10,0),MATCH($F361,Templates!$B$2:$H$2,0)),IFERROR(INDEX(Settings!$B$8:$B$14,MATCH($F361,Settings!$A$8:$A$14,0)),0)))))</f>
        <v/>
      </c>
      <c r="J361" s="21">
        <f>IF($C361="",0,IFERROR(INDEX(Deals!$H$2:$H$355,MATCH($C361,Deals!$A$2:$A$355,0)),0))</f>
        <v/>
      </c>
      <c r="K361" s="32">
        <f>IF(Settings!$B$4="Yes",$I361*$J361,$I361)</f>
        <v/>
      </c>
      <c r="L361" s="22">
        <f>IF($C361="","",IFERROR(IF(INDEX(Deals!$I$2:$I$355,MATCH($C361,Deals!$A$2:$A$355,0))=0,"",INDEX(Deals!$I$2:$I$355,MATCH($C361,Deals!$A$2:$A$355,0))),""))</f>
        <v/>
      </c>
      <c r="M361" s="22">
        <f>IF($C361="","",IFERROR(IF(INDEX(Deals!$J$2:$J$355,MATCH($C361,Deals!$A$2:$A$355,0))=0,"",INDEX(Deals!$J$2:$J$355,MATCH($C361,Deals!$A$2:$A$355,0))),""))</f>
        <v/>
      </c>
      <c r="N361" s="35">
        <f>IF($L361="",DATE(1900,1,1),$L361)</f>
        <v/>
      </c>
      <c r="O361" s="35">
        <f>IF($M361="",DATE(2100,12,31),$M361)</f>
        <v/>
      </c>
      <c r="P361" s="20" t="inlineStr">
        <is>
          <t>Ongoing</t>
        </is>
      </c>
      <c r="Q361" s="47" t="inlineStr"/>
      <c r="R361" s="16">
        <f>IF($C361="","",IFERROR(IF(INDEX(Deals!$U$2:$U$355,MATCH($C361,Deals!$A$2:$A$355,0))=0,"",INDEX(Deals!$U$2:$U$355,MATCH($C361,Deals!$A$2:$A$355,0))),""))</f>
        <v/>
      </c>
      <c r="S361" s="34">
        <f>IFERROR(IF($U361="",1,INDEX(Deals!$V$2:$V$355,MATCH($C361,Deals!$A$2:$A$355,0))),1)</f>
        <v/>
      </c>
      <c r="T361" s="34">
        <f>IFERROR(IF($U361="",1,INDEX(Deals!$W$2:$W$355,MATCH($C361,Deals!$A$2:$A$355,0))),1)</f>
        <v/>
      </c>
      <c r="U361" s="22">
        <f>IF($C361="","",IFERROR(IF(INDEX(Deals!$Y$2:$Y$355,MATCH($C361,Deals!$A$2:$A$355,0))=0,"",INDEX(Deals!$Y$2:$Y$355,MATCH($C361,Deals!$A$2:$A$355,0))),""))</f>
        <v/>
      </c>
      <c r="V361" s="35">
        <f>IF(OR($U361&lt;&gt;"",AND($AO361&gt;0,$L361&lt;&gt;"",$M361&lt;&gt;"")),$N361,DATE(1900,1,1))</f>
        <v/>
      </c>
      <c r="W361" s="35">
        <f>IF($U361&lt;&gt;"",$U361,IF(AND($AO361&gt;0,$L361&lt;&gt;"",$M361&lt;&gt;""),$O361,DATE(2100,12,31)))</f>
        <v/>
      </c>
      <c r="X361" s="32">
        <f>IF($U361="",$K361,$K361*$S361)</f>
        <v/>
      </c>
      <c r="Y361" s="35">
        <f>IF($U361="",DATE(2100,12,31),$U361+1)</f>
        <v/>
      </c>
      <c r="Z361" s="35">
        <f>IF($U361="",DATE(1900,1,1),$O361)</f>
        <v/>
      </c>
      <c r="AA361" s="32">
        <f>IF($U361="",0,$K361*$T361)</f>
        <v/>
      </c>
      <c r="AB361" s="21">
        <f>IF($C361="",0,IFERROR(INDEX(Deals!$AD$2:$AD$355,MATCH($C361,Deals!$A$2:$A$355,0)),0))</f>
        <v/>
      </c>
      <c r="AC361" s="32">
        <f>IF(Settings!$B$4="Yes",$I361*$AB361,$I361)</f>
        <v/>
      </c>
      <c r="AD361" s="22">
        <f>IF($C361="","",IFERROR(IF(INDEX(Deals!$AE$2:$AE$355,MATCH($C361,Deals!$A$2:$A$355,0))=0,"",INDEX(Deals!$AE$2:$AE$355,MATCH($C361,Deals!$A$2:$A$355,0))),""))</f>
        <v/>
      </c>
      <c r="AE361" s="22">
        <f>IF($C361="","",IFERROR(IF(INDEX(Deals!$AF$2:$AF$355,MATCH($C361,Deals!$A$2:$A$355,0))=0,"",INDEX(Deals!$AF$2:$AF$355,MATCH($C361,Deals!$A$2:$A$355,0))),""))</f>
        <v/>
      </c>
      <c r="AF361" s="35">
        <f>IF($AD361="",DATE(1900,1,1),$AD361)</f>
        <v/>
      </c>
      <c r="AG361" s="35">
        <f>IF($AE361="",DATE(2100,12,31),$AE361)</f>
        <v/>
      </c>
      <c r="AH361" s="22">
        <f>IF($C361="","",IFERROR(IF(INDEX(Deals!$AG$2:$AG$355,MATCH($C361,Deals!$A$2:$A$355,0))=0,"",INDEX(Deals!$AG$2:$AG$355,MATCH($C361,Deals!$A$2:$A$355,0))),""))</f>
        <v/>
      </c>
      <c r="AI361" s="35">
        <f>IF(OR($AH361&lt;&gt;"",AND($AO361&gt;0,$AD361&lt;&gt;"",$AE361&lt;&gt;"")),$AF361,DATE(1900,1,1))</f>
        <v/>
      </c>
      <c r="AJ361" s="35">
        <f>IF($AH361&lt;&gt;"",$AH361,IF(AND($AO361&gt;0,$AD361&lt;&gt;"",$AE361&lt;&gt;""),$AG361,DATE(2100,12,31)))</f>
        <v/>
      </c>
      <c r="AK361" s="32">
        <f>IF($AH361="",$AC361,$AC361*$S361)</f>
        <v/>
      </c>
      <c r="AL361" s="35">
        <f>IF($AH361="",DATE(2100,12,31),$AH361+1)</f>
        <v/>
      </c>
      <c r="AM361" s="35">
        <f>IF($AH361="",DATE(1900,1,1),$AG361)</f>
        <v/>
      </c>
      <c r="AN361" s="32">
        <f>IF($AH361="",0,$AC361*$T361)</f>
        <v/>
      </c>
      <c r="AO361" s="46">
        <f>IF($C361="",0,IFERROR(INDEX(Deals!$BD$2:$BD$355,MATCH($C361,Deals!$A$2:$A$355,0)),0))</f>
        <v/>
      </c>
      <c r="AP361" s="18">
        <f>IF($AO361=0,0,IFERROR(INDEX(Deals!$BJ$2:$BP$355,MATCH($C361,Deals!$A$2:$A$355,0),MATCH($F361,Deals!$BJ$1:$BP$1,0))/COUNTIFS(Assignments!$C$2:$C$769,$C361,Assignments!$F$2:$F$769,$F361,Assignments!$G$2:$G$769,"Active"),0))</f>
        <v/>
      </c>
    </row>
    <row r="362">
      <c r="A362" s="28" t="inlineStr">
        <is>
          <t>Spencer</t>
        </is>
      </c>
      <c r="B362" s="16">
        <f>IF($A362="","",IFERROR(INDEX(Roster!$B$2:$B$40,MATCH($A362,Roster!$A$2:$A$40,0)),"?"))</f>
        <v/>
      </c>
      <c r="C362" s="28" t="inlineStr">
        <is>
          <t>Prince_3</t>
        </is>
      </c>
      <c r="D362" s="16">
        <f>IF($C362="","",IFERROR(IF(INDEX(Deals!$C$2:$C$355,MATCH($C362,Deals!$A$2:$A$355,0))=0,"",INDEX(Deals!$C$2:$C$355,MATCH($C362,Deals!$A$2:$A$355,0))),"?"))</f>
        <v/>
      </c>
      <c r="E362" s="16">
        <f>IF($C362="","",IFERROR(INDEX(Deals!$F$2:$F$355,MATCH($C362,Deals!$A$2:$A$355,0)),"?"))</f>
        <v/>
      </c>
      <c r="F362" s="28" t="inlineStr">
        <is>
          <t>VP</t>
        </is>
      </c>
      <c r="G362" s="28" t="inlineStr">
        <is>
          <t>Active</t>
        </is>
      </c>
      <c r="H362" s="31" t="n"/>
      <c r="I362" s="32">
        <f>IF(OR($A362="",$G362&lt;&gt;"Active"),0,IF($H362&lt;&gt;"",$H362,IF($AO362&gt;0,$AP362,IF(AND($R362&lt;&gt;"",IFERROR(INDEX(Templates!$B$3:$H$10,MATCH($R362,Templates!$A$3:$A$10,0),MATCH($F362,Templates!$B$2:$H$2,0)),0)&gt;0),INDEX(Templates!$B$3:$H$10,MATCH($R362,Templates!$A$3:$A$10,0),MATCH($F362,Templates!$B$2:$H$2,0)),IFERROR(INDEX(Settings!$B$8:$B$14,MATCH($F362,Settings!$A$8:$A$14,0)),0)))))</f>
        <v/>
      </c>
      <c r="J362" s="21">
        <f>IF($C362="",0,IFERROR(INDEX(Deals!$H$2:$H$355,MATCH($C362,Deals!$A$2:$A$355,0)),0))</f>
        <v/>
      </c>
      <c r="K362" s="32">
        <f>IF(Settings!$B$4="Yes",$I362*$J362,$I362)</f>
        <v/>
      </c>
      <c r="L362" s="22">
        <f>IF($C362="","",IFERROR(IF(INDEX(Deals!$I$2:$I$355,MATCH($C362,Deals!$A$2:$A$355,0))=0,"",INDEX(Deals!$I$2:$I$355,MATCH($C362,Deals!$A$2:$A$355,0))),""))</f>
        <v/>
      </c>
      <c r="M362" s="22">
        <f>IF($C362="","",IFERROR(IF(INDEX(Deals!$J$2:$J$355,MATCH($C362,Deals!$A$2:$A$355,0))=0,"",INDEX(Deals!$J$2:$J$355,MATCH($C362,Deals!$A$2:$A$355,0))),""))</f>
        <v/>
      </c>
      <c r="N362" s="35">
        <f>IF($L362="",DATE(1900,1,1),$L362)</f>
        <v/>
      </c>
      <c r="O362" s="35">
        <f>IF($M362="",DATE(2100,12,31),$M362)</f>
        <v/>
      </c>
      <c r="P362" s="20" t="inlineStr">
        <is>
          <t>Ongoing</t>
        </is>
      </c>
      <c r="Q362" s="47" t="inlineStr"/>
      <c r="R362" s="16">
        <f>IF($C362="","",IFERROR(IF(INDEX(Deals!$U$2:$U$355,MATCH($C362,Deals!$A$2:$A$355,0))=0,"",INDEX(Deals!$U$2:$U$355,MATCH($C362,Deals!$A$2:$A$355,0))),""))</f>
        <v/>
      </c>
      <c r="S362" s="34">
        <f>IFERROR(IF($U362="",1,INDEX(Deals!$V$2:$V$355,MATCH($C362,Deals!$A$2:$A$355,0))),1)</f>
        <v/>
      </c>
      <c r="T362" s="34">
        <f>IFERROR(IF($U362="",1,INDEX(Deals!$W$2:$W$355,MATCH($C362,Deals!$A$2:$A$355,0))),1)</f>
        <v/>
      </c>
      <c r="U362" s="22">
        <f>IF($C362="","",IFERROR(IF(INDEX(Deals!$Y$2:$Y$355,MATCH($C362,Deals!$A$2:$A$355,0))=0,"",INDEX(Deals!$Y$2:$Y$355,MATCH($C362,Deals!$A$2:$A$355,0))),""))</f>
        <v/>
      </c>
      <c r="V362" s="35">
        <f>IF(OR($U362&lt;&gt;"",AND($AO362&gt;0,$L362&lt;&gt;"",$M362&lt;&gt;"")),$N362,DATE(1900,1,1))</f>
        <v/>
      </c>
      <c r="W362" s="35">
        <f>IF($U362&lt;&gt;"",$U362,IF(AND($AO362&gt;0,$L362&lt;&gt;"",$M362&lt;&gt;""),$O362,DATE(2100,12,31)))</f>
        <v/>
      </c>
      <c r="X362" s="32">
        <f>IF($U362="",$K362,$K362*$S362)</f>
        <v/>
      </c>
      <c r="Y362" s="35">
        <f>IF($U362="",DATE(2100,12,31),$U362+1)</f>
        <v/>
      </c>
      <c r="Z362" s="35">
        <f>IF($U362="",DATE(1900,1,1),$O362)</f>
        <v/>
      </c>
      <c r="AA362" s="32">
        <f>IF($U362="",0,$K362*$T362)</f>
        <v/>
      </c>
      <c r="AB362" s="21">
        <f>IF($C362="",0,IFERROR(INDEX(Deals!$AD$2:$AD$355,MATCH($C362,Deals!$A$2:$A$355,0)),0))</f>
        <v/>
      </c>
      <c r="AC362" s="32">
        <f>IF(Settings!$B$4="Yes",$I362*$AB362,$I362)</f>
        <v/>
      </c>
      <c r="AD362" s="22">
        <f>IF($C362="","",IFERROR(IF(INDEX(Deals!$AE$2:$AE$355,MATCH($C362,Deals!$A$2:$A$355,0))=0,"",INDEX(Deals!$AE$2:$AE$355,MATCH($C362,Deals!$A$2:$A$355,0))),""))</f>
        <v/>
      </c>
      <c r="AE362" s="22">
        <f>IF($C362="","",IFERROR(IF(INDEX(Deals!$AF$2:$AF$355,MATCH($C362,Deals!$A$2:$A$355,0))=0,"",INDEX(Deals!$AF$2:$AF$355,MATCH($C362,Deals!$A$2:$A$355,0))),""))</f>
        <v/>
      </c>
      <c r="AF362" s="35">
        <f>IF($AD362="",DATE(1900,1,1),$AD362)</f>
        <v/>
      </c>
      <c r="AG362" s="35">
        <f>IF($AE362="",DATE(2100,12,31),$AE362)</f>
        <v/>
      </c>
      <c r="AH362" s="22">
        <f>IF($C362="","",IFERROR(IF(INDEX(Deals!$AG$2:$AG$355,MATCH($C362,Deals!$A$2:$A$355,0))=0,"",INDEX(Deals!$AG$2:$AG$355,MATCH($C362,Deals!$A$2:$A$355,0))),""))</f>
        <v/>
      </c>
      <c r="AI362" s="35">
        <f>IF(OR($AH362&lt;&gt;"",AND($AO362&gt;0,$AD362&lt;&gt;"",$AE362&lt;&gt;"")),$AF362,DATE(1900,1,1))</f>
        <v/>
      </c>
      <c r="AJ362" s="35">
        <f>IF($AH362&lt;&gt;"",$AH362,IF(AND($AO362&gt;0,$AD362&lt;&gt;"",$AE362&lt;&gt;""),$AG362,DATE(2100,12,31)))</f>
        <v/>
      </c>
      <c r="AK362" s="32">
        <f>IF($AH362="",$AC362,$AC362*$S362)</f>
        <v/>
      </c>
      <c r="AL362" s="35">
        <f>IF($AH362="",DATE(2100,12,31),$AH362+1)</f>
        <v/>
      </c>
      <c r="AM362" s="35">
        <f>IF($AH362="",DATE(1900,1,1),$AG362)</f>
        <v/>
      </c>
      <c r="AN362" s="32">
        <f>IF($AH362="",0,$AC362*$T362)</f>
        <v/>
      </c>
      <c r="AO362" s="46">
        <f>IF($C362="",0,IFERROR(INDEX(Deals!$BD$2:$BD$355,MATCH($C362,Deals!$A$2:$A$355,0)),0))</f>
        <v/>
      </c>
      <c r="AP362" s="18">
        <f>IF($AO362=0,0,IFERROR(INDEX(Deals!$BJ$2:$BP$355,MATCH($C362,Deals!$A$2:$A$355,0),MATCH($F362,Deals!$BJ$1:$BP$1,0))/COUNTIFS(Assignments!$C$2:$C$769,$C362,Assignments!$F$2:$F$769,$F362,Assignments!$G$2:$G$769,"Active"),0))</f>
        <v/>
      </c>
    </row>
    <row r="363">
      <c r="A363" s="28" t="inlineStr">
        <is>
          <t>Spencer</t>
        </is>
      </c>
      <c r="B363" s="16">
        <f>IF($A363="","",IFERROR(INDEX(Roster!$B$2:$B$40,MATCH($A363,Roster!$A$2:$A$40,0)),"?"))</f>
        <v/>
      </c>
      <c r="C363" s="28" t="inlineStr">
        <is>
          <t>Rover_3</t>
        </is>
      </c>
      <c r="D363" s="16">
        <f>IF($C363="","",IFERROR(IF(INDEX(Deals!$C$2:$C$355,MATCH($C363,Deals!$A$2:$A$355,0))=0,"",INDEX(Deals!$C$2:$C$355,MATCH($C363,Deals!$A$2:$A$355,0))),"?"))</f>
        <v/>
      </c>
      <c r="E363" s="16">
        <f>IF($C363="","",IFERROR(INDEX(Deals!$F$2:$F$355,MATCH($C363,Deals!$A$2:$A$355,0)),"?"))</f>
        <v/>
      </c>
      <c r="F363" s="28" t="inlineStr">
        <is>
          <t>VP</t>
        </is>
      </c>
      <c r="G363" s="28" t="inlineStr">
        <is>
          <t>Inactive</t>
        </is>
      </c>
      <c r="H363" s="31" t="n"/>
      <c r="I363" s="32">
        <f>IF(OR($A363="",$G363&lt;&gt;"Active"),0,IF($H363&lt;&gt;"",$H363,IF($AO363&gt;0,$AP363,IF(AND($R363&lt;&gt;"",IFERROR(INDEX(Templates!$B$3:$H$10,MATCH($R363,Templates!$A$3:$A$10,0),MATCH($F363,Templates!$B$2:$H$2,0)),0)&gt;0),INDEX(Templates!$B$3:$H$10,MATCH($R363,Templates!$A$3:$A$10,0),MATCH($F363,Templates!$B$2:$H$2,0)),IFERROR(INDEX(Settings!$B$8:$B$14,MATCH($F363,Settings!$A$8:$A$14,0)),0)))))</f>
        <v/>
      </c>
      <c r="J363" s="21">
        <f>IF($C363="",0,IFERROR(INDEX(Deals!$H$2:$H$355,MATCH($C363,Deals!$A$2:$A$355,0)),0))</f>
        <v/>
      </c>
      <c r="K363" s="32">
        <f>IF(Settings!$B$4="Yes",$I363*$J363,$I363)</f>
        <v/>
      </c>
      <c r="L363" s="22">
        <f>IF($C363="","",IFERROR(IF(INDEX(Deals!$I$2:$I$355,MATCH($C363,Deals!$A$2:$A$355,0))=0,"",INDEX(Deals!$I$2:$I$355,MATCH($C363,Deals!$A$2:$A$355,0))),""))</f>
        <v/>
      </c>
      <c r="M363" s="22">
        <f>IF($C363="","",IFERROR(IF(INDEX(Deals!$J$2:$J$355,MATCH($C363,Deals!$A$2:$A$355,0))=0,"",INDEX(Deals!$J$2:$J$355,MATCH($C363,Deals!$A$2:$A$355,0))),""))</f>
        <v/>
      </c>
      <c r="N363" s="35">
        <f>IF($L363="",DATE(1900,1,1),$L363)</f>
        <v/>
      </c>
      <c r="O363" s="35">
        <f>IF($M363="",DATE(2100,12,31),$M363)</f>
        <v/>
      </c>
      <c r="P363" s="20" t="inlineStr">
        <is>
          <t>Closed--wire for payment should have been already sent</t>
        </is>
      </c>
      <c r="Q363" s="47" t="inlineStr"/>
      <c r="R363" s="16">
        <f>IF($C363="","",IFERROR(IF(INDEX(Deals!$U$2:$U$355,MATCH($C363,Deals!$A$2:$A$355,0))=0,"",INDEX(Deals!$U$2:$U$355,MATCH($C363,Deals!$A$2:$A$355,0))),""))</f>
        <v/>
      </c>
      <c r="S363" s="34">
        <f>IFERROR(IF($U363="",1,INDEX(Deals!$V$2:$V$355,MATCH($C363,Deals!$A$2:$A$355,0))),1)</f>
        <v/>
      </c>
      <c r="T363" s="34">
        <f>IFERROR(IF($U363="",1,INDEX(Deals!$W$2:$W$355,MATCH($C363,Deals!$A$2:$A$355,0))),1)</f>
        <v/>
      </c>
      <c r="U363" s="22">
        <f>IF($C363="","",IFERROR(IF(INDEX(Deals!$Y$2:$Y$355,MATCH($C363,Deals!$A$2:$A$355,0))=0,"",INDEX(Deals!$Y$2:$Y$355,MATCH($C363,Deals!$A$2:$A$355,0))),""))</f>
        <v/>
      </c>
      <c r="V363" s="35">
        <f>IF(OR($U363&lt;&gt;"",AND($AO363&gt;0,$L363&lt;&gt;"",$M363&lt;&gt;"")),$N363,DATE(1900,1,1))</f>
        <v/>
      </c>
      <c r="W363" s="35">
        <f>IF($U363&lt;&gt;"",$U363,IF(AND($AO363&gt;0,$L363&lt;&gt;"",$M363&lt;&gt;""),$O363,DATE(2100,12,31)))</f>
        <v/>
      </c>
      <c r="X363" s="32">
        <f>IF($U363="",$K363,$K363*$S363)</f>
        <v/>
      </c>
      <c r="Y363" s="35">
        <f>IF($U363="",DATE(2100,12,31),$U363+1)</f>
        <v/>
      </c>
      <c r="Z363" s="35">
        <f>IF($U363="",DATE(1900,1,1),$O363)</f>
        <v/>
      </c>
      <c r="AA363" s="32">
        <f>IF($U363="",0,$K363*$T363)</f>
        <v/>
      </c>
      <c r="AB363" s="21">
        <f>IF($C363="",0,IFERROR(INDEX(Deals!$AD$2:$AD$355,MATCH($C363,Deals!$A$2:$A$355,0)),0))</f>
        <v/>
      </c>
      <c r="AC363" s="32">
        <f>IF(Settings!$B$4="Yes",$I363*$AB363,$I363)</f>
        <v/>
      </c>
      <c r="AD363" s="22">
        <f>IF($C363="","",IFERROR(IF(INDEX(Deals!$AE$2:$AE$355,MATCH($C363,Deals!$A$2:$A$355,0))=0,"",INDEX(Deals!$AE$2:$AE$355,MATCH($C363,Deals!$A$2:$A$355,0))),""))</f>
        <v/>
      </c>
      <c r="AE363" s="22">
        <f>IF($C363="","",IFERROR(IF(INDEX(Deals!$AF$2:$AF$355,MATCH($C363,Deals!$A$2:$A$355,0))=0,"",INDEX(Deals!$AF$2:$AF$355,MATCH($C363,Deals!$A$2:$A$355,0))),""))</f>
        <v/>
      </c>
      <c r="AF363" s="35">
        <f>IF($AD363="",DATE(1900,1,1),$AD363)</f>
        <v/>
      </c>
      <c r="AG363" s="35">
        <f>IF($AE363="",DATE(2100,12,31),$AE363)</f>
        <v/>
      </c>
      <c r="AH363" s="22">
        <f>IF($C363="","",IFERROR(IF(INDEX(Deals!$AG$2:$AG$355,MATCH($C363,Deals!$A$2:$A$355,0))=0,"",INDEX(Deals!$AG$2:$AG$355,MATCH($C363,Deals!$A$2:$A$355,0))),""))</f>
        <v/>
      </c>
      <c r="AI363" s="35">
        <f>IF(OR($AH363&lt;&gt;"",AND($AO363&gt;0,$AD363&lt;&gt;"",$AE363&lt;&gt;"")),$AF363,DATE(1900,1,1))</f>
        <v/>
      </c>
      <c r="AJ363" s="35">
        <f>IF($AH363&lt;&gt;"",$AH363,IF(AND($AO363&gt;0,$AD363&lt;&gt;"",$AE363&lt;&gt;""),$AG363,DATE(2100,12,31)))</f>
        <v/>
      </c>
      <c r="AK363" s="32">
        <f>IF($AH363="",$AC363,$AC363*$S363)</f>
        <v/>
      </c>
      <c r="AL363" s="35">
        <f>IF($AH363="",DATE(2100,12,31),$AH363+1)</f>
        <v/>
      </c>
      <c r="AM363" s="35">
        <f>IF($AH363="",DATE(1900,1,1),$AG363)</f>
        <v/>
      </c>
      <c r="AN363" s="32">
        <f>IF($AH363="",0,$AC363*$T363)</f>
        <v/>
      </c>
      <c r="AO363" s="46">
        <f>IF($C363="",0,IFERROR(INDEX(Deals!$BD$2:$BD$355,MATCH($C363,Deals!$A$2:$A$355,0)),0))</f>
        <v/>
      </c>
      <c r="AP363" s="18">
        <f>IF($AO363=0,0,IFERROR(INDEX(Deals!$BJ$2:$BP$355,MATCH($C363,Deals!$A$2:$A$355,0),MATCH($F363,Deals!$BJ$1:$BP$1,0))/COUNTIFS(Assignments!$C$2:$C$769,$C363,Assignments!$F$2:$F$769,$F363,Assignments!$G$2:$G$769,"Active"),0))</f>
        <v/>
      </c>
    </row>
    <row r="364">
      <c r="A364" s="28" t="inlineStr">
        <is>
          <t>Spencer</t>
        </is>
      </c>
      <c r="B364" s="16">
        <f>IF($A364="","",IFERROR(INDEX(Roster!$B$2:$B$40,MATCH($A364,Roster!$A$2:$A$40,0)),"?"))</f>
        <v/>
      </c>
      <c r="C364" s="28" t="inlineStr">
        <is>
          <t>Shika_1</t>
        </is>
      </c>
      <c r="D364" s="16">
        <f>IF($C364="","",IFERROR(IF(INDEX(Deals!$C$2:$C$355,MATCH($C364,Deals!$A$2:$A$355,0))=0,"",INDEX(Deals!$C$2:$C$355,MATCH($C364,Deals!$A$2:$A$355,0))),"?"))</f>
        <v/>
      </c>
      <c r="E364" s="16">
        <f>IF($C364="","",IFERROR(INDEX(Deals!$F$2:$F$355,MATCH($C364,Deals!$A$2:$A$355,0)),"?"))</f>
        <v/>
      </c>
      <c r="F364" s="28" t="inlineStr">
        <is>
          <t>VP</t>
        </is>
      </c>
      <c r="G364" s="28" t="inlineStr">
        <is>
          <t>Active</t>
        </is>
      </c>
      <c r="H364" s="31" t="n"/>
      <c r="I364" s="32">
        <f>IF(OR($A364="",$G364&lt;&gt;"Active"),0,IF($H364&lt;&gt;"",$H364,IF($AO364&gt;0,$AP364,IF(AND($R364&lt;&gt;"",IFERROR(INDEX(Templates!$B$3:$H$10,MATCH($R364,Templates!$A$3:$A$10,0),MATCH($F364,Templates!$B$2:$H$2,0)),0)&gt;0),INDEX(Templates!$B$3:$H$10,MATCH($R364,Templates!$A$3:$A$10,0),MATCH($F364,Templates!$B$2:$H$2,0)),IFERROR(INDEX(Settings!$B$8:$B$14,MATCH($F364,Settings!$A$8:$A$14,0)),0)))))</f>
        <v/>
      </c>
      <c r="J364" s="21">
        <f>IF($C364="",0,IFERROR(INDEX(Deals!$H$2:$H$355,MATCH($C364,Deals!$A$2:$A$355,0)),0))</f>
        <v/>
      </c>
      <c r="K364" s="32">
        <f>IF(Settings!$B$4="Yes",$I364*$J364,$I364)</f>
        <v/>
      </c>
      <c r="L364" s="22">
        <f>IF($C364="","",IFERROR(IF(INDEX(Deals!$I$2:$I$355,MATCH($C364,Deals!$A$2:$A$355,0))=0,"",INDEX(Deals!$I$2:$I$355,MATCH($C364,Deals!$A$2:$A$355,0))),""))</f>
        <v/>
      </c>
      <c r="M364" s="22">
        <f>IF($C364="","",IFERROR(IF(INDEX(Deals!$J$2:$J$355,MATCH($C364,Deals!$A$2:$A$355,0))=0,"",INDEX(Deals!$J$2:$J$355,MATCH($C364,Deals!$A$2:$A$355,0))),""))</f>
        <v/>
      </c>
      <c r="N364" s="35">
        <f>IF($L364="",DATE(1900,1,1),$L364)</f>
        <v/>
      </c>
      <c r="O364" s="35">
        <f>IF($M364="",DATE(2100,12,31),$M364)</f>
        <v/>
      </c>
      <c r="P364" s="20" t="inlineStr">
        <is>
          <t>Ongoing--close to invoicing</t>
        </is>
      </c>
      <c r="Q364" s="47" t="inlineStr"/>
      <c r="R364" s="16">
        <f>IF($C364="","",IFERROR(IF(INDEX(Deals!$U$2:$U$355,MATCH($C364,Deals!$A$2:$A$355,0))=0,"",INDEX(Deals!$U$2:$U$355,MATCH($C364,Deals!$A$2:$A$355,0))),""))</f>
        <v/>
      </c>
      <c r="S364" s="34">
        <f>IFERROR(IF($U364="",1,INDEX(Deals!$V$2:$V$355,MATCH($C364,Deals!$A$2:$A$355,0))),1)</f>
        <v/>
      </c>
      <c r="T364" s="34">
        <f>IFERROR(IF($U364="",1,INDEX(Deals!$W$2:$W$355,MATCH($C364,Deals!$A$2:$A$355,0))),1)</f>
        <v/>
      </c>
      <c r="U364" s="22">
        <f>IF($C364="","",IFERROR(IF(INDEX(Deals!$Y$2:$Y$355,MATCH($C364,Deals!$A$2:$A$355,0))=0,"",INDEX(Deals!$Y$2:$Y$355,MATCH($C364,Deals!$A$2:$A$355,0))),""))</f>
        <v/>
      </c>
      <c r="V364" s="35">
        <f>IF(OR($U364&lt;&gt;"",AND($AO364&gt;0,$L364&lt;&gt;"",$M364&lt;&gt;"")),$N364,DATE(1900,1,1))</f>
        <v/>
      </c>
      <c r="W364" s="35">
        <f>IF($U364&lt;&gt;"",$U364,IF(AND($AO364&gt;0,$L364&lt;&gt;"",$M364&lt;&gt;""),$O364,DATE(2100,12,31)))</f>
        <v/>
      </c>
      <c r="X364" s="32">
        <f>IF($U364="",$K364,$K364*$S364)</f>
        <v/>
      </c>
      <c r="Y364" s="35">
        <f>IF($U364="",DATE(2100,12,31),$U364+1)</f>
        <v/>
      </c>
      <c r="Z364" s="35">
        <f>IF($U364="",DATE(1900,1,1),$O364)</f>
        <v/>
      </c>
      <c r="AA364" s="32">
        <f>IF($U364="",0,$K364*$T364)</f>
        <v/>
      </c>
      <c r="AB364" s="21">
        <f>IF($C364="",0,IFERROR(INDEX(Deals!$AD$2:$AD$355,MATCH($C364,Deals!$A$2:$A$355,0)),0))</f>
        <v/>
      </c>
      <c r="AC364" s="32">
        <f>IF(Settings!$B$4="Yes",$I364*$AB364,$I364)</f>
        <v/>
      </c>
      <c r="AD364" s="22">
        <f>IF($C364="","",IFERROR(IF(INDEX(Deals!$AE$2:$AE$355,MATCH($C364,Deals!$A$2:$A$355,0))=0,"",INDEX(Deals!$AE$2:$AE$355,MATCH($C364,Deals!$A$2:$A$355,0))),""))</f>
        <v/>
      </c>
      <c r="AE364" s="22">
        <f>IF($C364="","",IFERROR(IF(INDEX(Deals!$AF$2:$AF$355,MATCH($C364,Deals!$A$2:$A$355,0))=0,"",INDEX(Deals!$AF$2:$AF$355,MATCH($C364,Deals!$A$2:$A$355,0))),""))</f>
        <v/>
      </c>
      <c r="AF364" s="35">
        <f>IF($AD364="",DATE(1900,1,1),$AD364)</f>
        <v/>
      </c>
      <c r="AG364" s="35">
        <f>IF($AE364="",DATE(2100,12,31),$AE364)</f>
        <v/>
      </c>
      <c r="AH364" s="22">
        <f>IF($C364="","",IFERROR(IF(INDEX(Deals!$AG$2:$AG$355,MATCH($C364,Deals!$A$2:$A$355,0))=0,"",INDEX(Deals!$AG$2:$AG$355,MATCH($C364,Deals!$A$2:$A$355,0))),""))</f>
        <v/>
      </c>
      <c r="AI364" s="35">
        <f>IF(OR($AH364&lt;&gt;"",AND($AO364&gt;0,$AD364&lt;&gt;"",$AE364&lt;&gt;"")),$AF364,DATE(1900,1,1))</f>
        <v/>
      </c>
      <c r="AJ364" s="35">
        <f>IF($AH364&lt;&gt;"",$AH364,IF(AND($AO364&gt;0,$AD364&lt;&gt;"",$AE364&lt;&gt;""),$AG364,DATE(2100,12,31)))</f>
        <v/>
      </c>
      <c r="AK364" s="32">
        <f>IF($AH364="",$AC364,$AC364*$S364)</f>
        <v/>
      </c>
      <c r="AL364" s="35">
        <f>IF($AH364="",DATE(2100,12,31),$AH364+1)</f>
        <v/>
      </c>
      <c r="AM364" s="35">
        <f>IF($AH364="",DATE(1900,1,1),$AG364)</f>
        <v/>
      </c>
      <c r="AN364" s="32">
        <f>IF($AH364="",0,$AC364*$T364)</f>
        <v/>
      </c>
      <c r="AO364" s="46">
        <f>IF($C364="",0,IFERROR(INDEX(Deals!$BD$2:$BD$355,MATCH($C364,Deals!$A$2:$A$355,0)),0))</f>
        <v/>
      </c>
      <c r="AP364" s="18">
        <f>IF($AO364=0,0,IFERROR(INDEX(Deals!$BJ$2:$BP$355,MATCH($C364,Deals!$A$2:$A$355,0),MATCH($F364,Deals!$BJ$1:$BP$1,0))/COUNTIFS(Assignments!$C$2:$C$769,$C364,Assignments!$F$2:$F$769,$F364,Assignments!$G$2:$G$769,"Active"),0))</f>
        <v/>
      </c>
    </row>
    <row r="365">
      <c r="A365" s="28" t="inlineStr">
        <is>
          <t>Spencer</t>
        </is>
      </c>
      <c r="B365" s="16">
        <f>IF($A365="","",IFERROR(INDEX(Roster!$B$2:$B$40,MATCH($A365,Roster!$A$2:$A$40,0)),"?"))</f>
        <v/>
      </c>
      <c r="C365" s="28" t="inlineStr">
        <is>
          <t>Story_1</t>
        </is>
      </c>
      <c r="D365" s="16">
        <f>IF($C365="","",IFERROR(IF(INDEX(Deals!$C$2:$C$355,MATCH($C365,Deals!$A$2:$A$355,0))=0,"",INDEX(Deals!$C$2:$C$355,MATCH($C365,Deals!$A$2:$A$355,0))),"?"))</f>
        <v/>
      </c>
      <c r="E365" s="16">
        <f>IF($C365="","",IFERROR(INDEX(Deals!$F$2:$F$355,MATCH($C365,Deals!$A$2:$A$355,0)),"?"))</f>
        <v/>
      </c>
      <c r="F365" s="28" t="inlineStr">
        <is>
          <t>VP</t>
        </is>
      </c>
      <c r="G365" s="28" t="inlineStr">
        <is>
          <t>Inactive</t>
        </is>
      </c>
      <c r="H365" s="31" t="n"/>
      <c r="I365" s="32">
        <f>IF(OR($A365="",$G365&lt;&gt;"Active"),0,IF($H365&lt;&gt;"",$H365,IF($AO365&gt;0,$AP365,IF(AND($R365&lt;&gt;"",IFERROR(INDEX(Templates!$B$3:$H$10,MATCH($R365,Templates!$A$3:$A$10,0),MATCH($F365,Templates!$B$2:$H$2,0)),0)&gt;0),INDEX(Templates!$B$3:$H$10,MATCH($R365,Templates!$A$3:$A$10,0),MATCH($F365,Templates!$B$2:$H$2,0)),IFERROR(INDEX(Settings!$B$8:$B$14,MATCH($F365,Settings!$A$8:$A$14,0)),0)))))</f>
        <v/>
      </c>
      <c r="J365" s="21">
        <f>IF($C365="",0,IFERROR(INDEX(Deals!$H$2:$H$355,MATCH($C365,Deals!$A$2:$A$355,0)),0))</f>
        <v/>
      </c>
      <c r="K365" s="32">
        <f>IF(Settings!$B$4="Yes",$I365*$J365,$I365)</f>
        <v/>
      </c>
      <c r="L365" s="22">
        <f>IF($C365="","",IFERROR(IF(INDEX(Deals!$I$2:$I$355,MATCH($C365,Deals!$A$2:$A$355,0))=0,"",INDEX(Deals!$I$2:$I$355,MATCH($C365,Deals!$A$2:$A$355,0))),""))</f>
        <v/>
      </c>
      <c r="M365" s="22">
        <f>IF($C365="","",IFERROR(IF(INDEX(Deals!$J$2:$J$355,MATCH($C365,Deals!$A$2:$A$355,0))=0,"",INDEX(Deals!$J$2:$J$355,MATCH($C365,Deals!$A$2:$A$355,0))),""))</f>
        <v/>
      </c>
      <c r="N365" s="35">
        <f>IF($L365="",DATE(1900,1,1),$L365)</f>
        <v/>
      </c>
      <c r="O365" s="35">
        <f>IF($M365="",DATE(2100,12,31),$M365)</f>
        <v/>
      </c>
      <c r="P365" s="20" t="inlineStr">
        <is>
          <t>Died</t>
        </is>
      </c>
      <c r="Q365" s="47" t="inlineStr"/>
      <c r="R365" s="16">
        <f>IF($C365="","",IFERROR(IF(INDEX(Deals!$U$2:$U$355,MATCH($C365,Deals!$A$2:$A$355,0))=0,"",INDEX(Deals!$U$2:$U$355,MATCH($C365,Deals!$A$2:$A$355,0))),""))</f>
        <v/>
      </c>
      <c r="S365" s="34">
        <f>IFERROR(IF($U365="",1,INDEX(Deals!$V$2:$V$355,MATCH($C365,Deals!$A$2:$A$355,0))),1)</f>
        <v/>
      </c>
      <c r="T365" s="34">
        <f>IFERROR(IF($U365="",1,INDEX(Deals!$W$2:$W$355,MATCH($C365,Deals!$A$2:$A$355,0))),1)</f>
        <v/>
      </c>
      <c r="U365" s="22">
        <f>IF($C365="","",IFERROR(IF(INDEX(Deals!$Y$2:$Y$355,MATCH($C365,Deals!$A$2:$A$355,0))=0,"",INDEX(Deals!$Y$2:$Y$355,MATCH($C365,Deals!$A$2:$A$355,0))),""))</f>
        <v/>
      </c>
      <c r="V365" s="35">
        <f>IF(OR($U365&lt;&gt;"",AND($AO365&gt;0,$L365&lt;&gt;"",$M365&lt;&gt;"")),$N365,DATE(1900,1,1))</f>
        <v/>
      </c>
      <c r="W365" s="35">
        <f>IF($U365&lt;&gt;"",$U365,IF(AND($AO365&gt;0,$L365&lt;&gt;"",$M365&lt;&gt;""),$O365,DATE(2100,12,31)))</f>
        <v/>
      </c>
      <c r="X365" s="32">
        <f>IF($U365="",$K365,$K365*$S365)</f>
        <v/>
      </c>
      <c r="Y365" s="35">
        <f>IF($U365="",DATE(2100,12,31),$U365+1)</f>
        <v/>
      </c>
      <c r="Z365" s="35">
        <f>IF($U365="",DATE(1900,1,1),$O365)</f>
        <v/>
      </c>
      <c r="AA365" s="32">
        <f>IF($U365="",0,$K365*$T365)</f>
        <v/>
      </c>
      <c r="AB365" s="21">
        <f>IF($C365="",0,IFERROR(INDEX(Deals!$AD$2:$AD$355,MATCH($C365,Deals!$A$2:$A$355,0)),0))</f>
        <v/>
      </c>
      <c r="AC365" s="32">
        <f>IF(Settings!$B$4="Yes",$I365*$AB365,$I365)</f>
        <v/>
      </c>
      <c r="AD365" s="22">
        <f>IF($C365="","",IFERROR(IF(INDEX(Deals!$AE$2:$AE$355,MATCH($C365,Deals!$A$2:$A$355,0))=0,"",INDEX(Deals!$AE$2:$AE$355,MATCH($C365,Deals!$A$2:$A$355,0))),""))</f>
        <v/>
      </c>
      <c r="AE365" s="22">
        <f>IF($C365="","",IFERROR(IF(INDEX(Deals!$AF$2:$AF$355,MATCH($C365,Deals!$A$2:$A$355,0))=0,"",INDEX(Deals!$AF$2:$AF$355,MATCH($C365,Deals!$A$2:$A$355,0))),""))</f>
        <v/>
      </c>
      <c r="AF365" s="35">
        <f>IF($AD365="",DATE(1900,1,1),$AD365)</f>
        <v/>
      </c>
      <c r="AG365" s="35">
        <f>IF($AE365="",DATE(2100,12,31),$AE365)</f>
        <v/>
      </c>
      <c r="AH365" s="22">
        <f>IF($C365="","",IFERROR(IF(INDEX(Deals!$AG$2:$AG$355,MATCH($C365,Deals!$A$2:$A$355,0))=0,"",INDEX(Deals!$AG$2:$AG$355,MATCH($C365,Deals!$A$2:$A$355,0))),""))</f>
        <v/>
      </c>
      <c r="AI365" s="35">
        <f>IF(OR($AH365&lt;&gt;"",AND($AO365&gt;0,$AD365&lt;&gt;"",$AE365&lt;&gt;"")),$AF365,DATE(1900,1,1))</f>
        <v/>
      </c>
      <c r="AJ365" s="35">
        <f>IF($AH365&lt;&gt;"",$AH365,IF(AND($AO365&gt;0,$AD365&lt;&gt;"",$AE365&lt;&gt;""),$AG365,DATE(2100,12,31)))</f>
        <v/>
      </c>
      <c r="AK365" s="32">
        <f>IF($AH365="",$AC365,$AC365*$S365)</f>
        <v/>
      </c>
      <c r="AL365" s="35">
        <f>IF($AH365="",DATE(2100,12,31),$AH365+1)</f>
        <v/>
      </c>
      <c r="AM365" s="35">
        <f>IF($AH365="",DATE(1900,1,1),$AG365)</f>
        <v/>
      </c>
      <c r="AN365" s="32">
        <f>IF($AH365="",0,$AC365*$T365)</f>
        <v/>
      </c>
      <c r="AO365" s="46">
        <f>IF($C365="",0,IFERROR(INDEX(Deals!$BD$2:$BD$355,MATCH($C365,Deals!$A$2:$A$355,0)),0))</f>
        <v/>
      </c>
      <c r="AP365" s="18">
        <f>IF($AO365=0,0,IFERROR(INDEX(Deals!$BJ$2:$BP$355,MATCH($C365,Deals!$A$2:$A$355,0),MATCH($F365,Deals!$BJ$1:$BP$1,0))/COUNTIFS(Assignments!$C$2:$C$769,$C365,Assignments!$F$2:$F$769,$F365,Assignments!$G$2:$G$769,"Active"),0))</f>
        <v/>
      </c>
    </row>
    <row r="366">
      <c r="A366" s="28" t="inlineStr">
        <is>
          <t>Spencer</t>
        </is>
      </c>
      <c r="B366" s="16">
        <f>IF($A366="","",IFERROR(INDEX(Roster!$B$2:$B$40,MATCH($A366,Roster!$A$2:$A$40,0)),"?"))</f>
        <v/>
      </c>
      <c r="C366" s="28" t="inlineStr">
        <is>
          <t>Truman_1</t>
        </is>
      </c>
      <c r="D366" s="16">
        <f>IF($C366="","",IFERROR(IF(INDEX(Deals!$C$2:$C$355,MATCH($C366,Deals!$A$2:$A$355,0))=0,"",INDEX(Deals!$C$2:$C$355,MATCH($C366,Deals!$A$2:$A$355,0))),"?"))</f>
        <v/>
      </c>
      <c r="E366" s="16">
        <f>IF($C366="","",IFERROR(INDEX(Deals!$F$2:$F$355,MATCH($C366,Deals!$A$2:$A$355,0)),"?"))</f>
        <v/>
      </c>
      <c r="F366" s="28" t="inlineStr">
        <is>
          <t>VP</t>
        </is>
      </c>
      <c r="G366" s="28" t="inlineStr">
        <is>
          <t>Inactive</t>
        </is>
      </c>
      <c r="H366" s="31" t="n"/>
      <c r="I366" s="32">
        <f>IF(OR($A366="",$G366&lt;&gt;"Active"),0,IF($H366&lt;&gt;"",$H366,IF($AO366&gt;0,$AP366,IF(AND($R366&lt;&gt;"",IFERROR(INDEX(Templates!$B$3:$H$10,MATCH($R366,Templates!$A$3:$A$10,0),MATCH($F366,Templates!$B$2:$H$2,0)),0)&gt;0),INDEX(Templates!$B$3:$H$10,MATCH($R366,Templates!$A$3:$A$10,0),MATCH($F366,Templates!$B$2:$H$2,0)),IFERROR(INDEX(Settings!$B$8:$B$14,MATCH($F366,Settings!$A$8:$A$14,0)),0)))))</f>
        <v/>
      </c>
      <c r="J366" s="21">
        <f>IF($C366="",0,IFERROR(INDEX(Deals!$H$2:$H$355,MATCH($C366,Deals!$A$2:$A$355,0)),0))</f>
        <v/>
      </c>
      <c r="K366" s="32">
        <f>IF(Settings!$B$4="Yes",$I366*$J366,$I366)</f>
        <v/>
      </c>
      <c r="L366" s="22">
        <f>IF($C366="","",IFERROR(IF(INDEX(Deals!$I$2:$I$355,MATCH($C366,Deals!$A$2:$A$355,0))=0,"",INDEX(Deals!$I$2:$I$355,MATCH($C366,Deals!$A$2:$A$355,0))),""))</f>
        <v/>
      </c>
      <c r="M366" s="22">
        <f>IF($C366="","",IFERROR(IF(INDEX(Deals!$J$2:$J$355,MATCH($C366,Deals!$A$2:$A$355,0))=0,"",INDEX(Deals!$J$2:$J$355,MATCH($C366,Deals!$A$2:$A$355,0))),""))</f>
        <v/>
      </c>
      <c r="N366" s="35">
        <f>IF($L366="",DATE(1900,1,1),$L366)</f>
        <v/>
      </c>
      <c r="O366" s="35">
        <f>IF($M366="",DATE(2100,12,31),$M366)</f>
        <v/>
      </c>
      <c r="P366" s="20" t="inlineStr">
        <is>
          <t>Closed</t>
        </is>
      </c>
      <c r="Q366" s="47" t="inlineStr"/>
      <c r="R366" s="16">
        <f>IF($C366="","",IFERROR(IF(INDEX(Deals!$U$2:$U$355,MATCH($C366,Deals!$A$2:$A$355,0))=0,"",INDEX(Deals!$U$2:$U$355,MATCH($C366,Deals!$A$2:$A$355,0))),""))</f>
        <v/>
      </c>
      <c r="S366" s="34">
        <f>IFERROR(IF($U366="",1,INDEX(Deals!$V$2:$V$355,MATCH($C366,Deals!$A$2:$A$355,0))),1)</f>
        <v/>
      </c>
      <c r="T366" s="34">
        <f>IFERROR(IF($U366="",1,INDEX(Deals!$W$2:$W$355,MATCH($C366,Deals!$A$2:$A$355,0))),1)</f>
        <v/>
      </c>
      <c r="U366" s="22">
        <f>IF($C366="","",IFERROR(IF(INDEX(Deals!$Y$2:$Y$355,MATCH($C366,Deals!$A$2:$A$355,0))=0,"",INDEX(Deals!$Y$2:$Y$355,MATCH($C366,Deals!$A$2:$A$355,0))),""))</f>
        <v/>
      </c>
      <c r="V366" s="35">
        <f>IF(OR($U366&lt;&gt;"",AND($AO366&gt;0,$L366&lt;&gt;"",$M366&lt;&gt;"")),$N366,DATE(1900,1,1))</f>
        <v/>
      </c>
      <c r="W366" s="35">
        <f>IF($U366&lt;&gt;"",$U366,IF(AND($AO366&gt;0,$L366&lt;&gt;"",$M366&lt;&gt;""),$O366,DATE(2100,12,31)))</f>
        <v/>
      </c>
      <c r="X366" s="32">
        <f>IF($U366="",$K366,$K366*$S366)</f>
        <v/>
      </c>
      <c r="Y366" s="35">
        <f>IF($U366="",DATE(2100,12,31),$U366+1)</f>
        <v/>
      </c>
      <c r="Z366" s="35">
        <f>IF($U366="",DATE(1900,1,1),$O366)</f>
        <v/>
      </c>
      <c r="AA366" s="32">
        <f>IF($U366="",0,$K366*$T366)</f>
        <v/>
      </c>
      <c r="AB366" s="21">
        <f>IF($C366="",0,IFERROR(INDEX(Deals!$AD$2:$AD$355,MATCH($C366,Deals!$A$2:$A$355,0)),0))</f>
        <v/>
      </c>
      <c r="AC366" s="32">
        <f>IF(Settings!$B$4="Yes",$I366*$AB366,$I366)</f>
        <v/>
      </c>
      <c r="AD366" s="22">
        <f>IF($C366="","",IFERROR(IF(INDEX(Deals!$AE$2:$AE$355,MATCH($C366,Deals!$A$2:$A$355,0))=0,"",INDEX(Deals!$AE$2:$AE$355,MATCH($C366,Deals!$A$2:$A$355,0))),""))</f>
        <v/>
      </c>
      <c r="AE366" s="22">
        <f>IF($C366="","",IFERROR(IF(INDEX(Deals!$AF$2:$AF$355,MATCH($C366,Deals!$A$2:$A$355,0))=0,"",INDEX(Deals!$AF$2:$AF$355,MATCH($C366,Deals!$A$2:$A$355,0))),""))</f>
        <v/>
      </c>
      <c r="AF366" s="35">
        <f>IF($AD366="",DATE(1900,1,1),$AD366)</f>
        <v/>
      </c>
      <c r="AG366" s="35">
        <f>IF($AE366="",DATE(2100,12,31),$AE366)</f>
        <v/>
      </c>
      <c r="AH366" s="22">
        <f>IF($C366="","",IFERROR(IF(INDEX(Deals!$AG$2:$AG$355,MATCH($C366,Deals!$A$2:$A$355,0))=0,"",INDEX(Deals!$AG$2:$AG$355,MATCH($C366,Deals!$A$2:$A$355,0))),""))</f>
        <v/>
      </c>
      <c r="AI366" s="35">
        <f>IF(OR($AH366&lt;&gt;"",AND($AO366&gt;0,$AD366&lt;&gt;"",$AE366&lt;&gt;"")),$AF366,DATE(1900,1,1))</f>
        <v/>
      </c>
      <c r="AJ366" s="35">
        <f>IF($AH366&lt;&gt;"",$AH366,IF(AND($AO366&gt;0,$AD366&lt;&gt;"",$AE366&lt;&gt;""),$AG366,DATE(2100,12,31)))</f>
        <v/>
      </c>
      <c r="AK366" s="32">
        <f>IF($AH366="",$AC366,$AC366*$S366)</f>
        <v/>
      </c>
      <c r="AL366" s="35">
        <f>IF($AH366="",DATE(2100,12,31),$AH366+1)</f>
        <v/>
      </c>
      <c r="AM366" s="35">
        <f>IF($AH366="",DATE(1900,1,1),$AG366)</f>
        <v/>
      </c>
      <c r="AN366" s="32">
        <f>IF($AH366="",0,$AC366*$T366)</f>
        <v/>
      </c>
      <c r="AO366" s="46">
        <f>IF($C366="",0,IFERROR(INDEX(Deals!$BD$2:$BD$355,MATCH($C366,Deals!$A$2:$A$355,0)),0))</f>
        <v/>
      </c>
      <c r="AP366" s="18">
        <f>IF($AO366=0,0,IFERROR(INDEX(Deals!$BJ$2:$BP$355,MATCH($C366,Deals!$A$2:$A$355,0),MATCH($F366,Deals!$BJ$1:$BP$1,0))/COUNTIFS(Assignments!$C$2:$C$769,$C366,Assignments!$F$2:$F$769,$F366,Assignments!$G$2:$G$769,"Active"),0))</f>
        <v/>
      </c>
    </row>
    <row r="367">
      <c r="A367" s="28" t="inlineStr">
        <is>
          <t>Spencer</t>
        </is>
      </c>
      <c r="B367" s="16">
        <f>IF($A367="","",IFERROR(INDEX(Roster!$B$2:$B$40,MATCH($A367,Roster!$A$2:$A$40,0)),"?"))</f>
        <v/>
      </c>
      <c r="C367" s="28" t="inlineStr">
        <is>
          <t>Voltaire_1</t>
        </is>
      </c>
      <c r="D367" s="16">
        <f>IF($C367="","",IFERROR(IF(INDEX(Deals!$C$2:$C$355,MATCH($C367,Deals!$A$2:$A$355,0))=0,"",INDEX(Deals!$C$2:$C$355,MATCH($C367,Deals!$A$2:$A$355,0))),"?"))</f>
        <v/>
      </c>
      <c r="E367" s="16">
        <f>IF($C367="","",IFERROR(INDEX(Deals!$F$2:$F$355,MATCH($C367,Deals!$A$2:$A$355,0)),"?"))</f>
        <v/>
      </c>
      <c r="F367" s="28" t="inlineStr">
        <is>
          <t>VP</t>
        </is>
      </c>
      <c r="G367" s="28" t="inlineStr">
        <is>
          <t>Active</t>
        </is>
      </c>
      <c r="H367" s="31" t="n"/>
      <c r="I367" s="32">
        <f>IF(OR($A367="",$G367&lt;&gt;"Active"),0,IF($H367&lt;&gt;"",$H367,IF($AO367&gt;0,$AP367,IF(AND($R367&lt;&gt;"",IFERROR(INDEX(Templates!$B$3:$H$10,MATCH($R367,Templates!$A$3:$A$10,0),MATCH($F367,Templates!$B$2:$H$2,0)),0)&gt;0),INDEX(Templates!$B$3:$H$10,MATCH($R367,Templates!$A$3:$A$10,0),MATCH($F367,Templates!$B$2:$H$2,0)),IFERROR(INDEX(Settings!$B$8:$B$14,MATCH($F367,Settings!$A$8:$A$14,0)),0)))))</f>
        <v/>
      </c>
      <c r="J367" s="21">
        <f>IF($C367="",0,IFERROR(INDEX(Deals!$H$2:$H$355,MATCH($C367,Deals!$A$2:$A$355,0)),0))</f>
        <v/>
      </c>
      <c r="K367" s="32">
        <f>IF(Settings!$B$4="Yes",$I367*$J367,$I367)</f>
        <v/>
      </c>
      <c r="L367" s="22">
        <f>IF($C367="","",IFERROR(IF(INDEX(Deals!$I$2:$I$355,MATCH($C367,Deals!$A$2:$A$355,0))=0,"",INDEX(Deals!$I$2:$I$355,MATCH($C367,Deals!$A$2:$A$355,0))),""))</f>
        <v/>
      </c>
      <c r="M367" s="22">
        <f>IF($C367="","",IFERROR(IF(INDEX(Deals!$J$2:$J$355,MATCH($C367,Deals!$A$2:$A$355,0))=0,"",INDEX(Deals!$J$2:$J$355,MATCH($C367,Deals!$A$2:$A$355,0))),""))</f>
        <v/>
      </c>
      <c r="N367" s="35">
        <f>IF($L367="",DATE(1900,1,1),$L367)</f>
        <v/>
      </c>
      <c r="O367" s="35">
        <f>IF($M367="",DATE(2100,12,31),$M367)</f>
        <v/>
      </c>
      <c r="P367" s="20" t="inlineStr">
        <is>
          <t>Proposal</t>
        </is>
      </c>
      <c r="Q367" s="47" t="inlineStr"/>
      <c r="R367" s="16">
        <f>IF($C367="","",IFERROR(IF(INDEX(Deals!$U$2:$U$355,MATCH($C367,Deals!$A$2:$A$355,0))=0,"",INDEX(Deals!$U$2:$U$355,MATCH($C367,Deals!$A$2:$A$355,0))),""))</f>
        <v/>
      </c>
      <c r="S367" s="34">
        <f>IFERROR(IF($U367="",1,INDEX(Deals!$V$2:$V$355,MATCH($C367,Deals!$A$2:$A$355,0))),1)</f>
        <v/>
      </c>
      <c r="T367" s="34">
        <f>IFERROR(IF($U367="",1,INDEX(Deals!$W$2:$W$355,MATCH($C367,Deals!$A$2:$A$355,0))),1)</f>
        <v/>
      </c>
      <c r="U367" s="22">
        <f>IF($C367="","",IFERROR(IF(INDEX(Deals!$Y$2:$Y$355,MATCH($C367,Deals!$A$2:$A$355,0))=0,"",INDEX(Deals!$Y$2:$Y$355,MATCH($C367,Deals!$A$2:$A$355,0))),""))</f>
        <v/>
      </c>
      <c r="V367" s="35">
        <f>IF(OR($U367&lt;&gt;"",AND($AO367&gt;0,$L367&lt;&gt;"",$M367&lt;&gt;"")),$N367,DATE(1900,1,1))</f>
        <v/>
      </c>
      <c r="W367" s="35">
        <f>IF($U367&lt;&gt;"",$U367,IF(AND($AO367&gt;0,$L367&lt;&gt;"",$M367&lt;&gt;""),$O367,DATE(2100,12,31)))</f>
        <v/>
      </c>
      <c r="X367" s="32">
        <f>IF($U367="",$K367,$K367*$S367)</f>
        <v/>
      </c>
      <c r="Y367" s="35">
        <f>IF($U367="",DATE(2100,12,31),$U367+1)</f>
        <v/>
      </c>
      <c r="Z367" s="35">
        <f>IF($U367="",DATE(1900,1,1),$O367)</f>
        <v/>
      </c>
      <c r="AA367" s="32">
        <f>IF($U367="",0,$K367*$T367)</f>
        <v/>
      </c>
      <c r="AB367" s="21">
        <f>IF($C367="",0,IFERROR(INDEX(Deals!$AD$2:$AD$355,MATCH($C367,Deals!$A$2:$A$355,0)),0))</f>
        <v/>
      </c>
      <c r="AC367" s="32">
        <f>IF(Settings!$B$4="Yes",$I367*$AB367,$I367)</f>
        <v/>
      </c>
      <c r="AD367" s="22">
        <f>IF($C367="","",IFERROR(IF(INDEX(Deals!$AE$2:$AE$355,MATCH($C367,Deals!$A$2:$A$355,0))=0,"",INDEX(Deals!$AE$2:$AE$355,MATCH($C367,Deals!$A$2:$A$355,0))),""))</f>
        <v/>
      </c>
      <c r="AE367" s="22">
        <f>IF($C367="","",IFERROR(IF(INDEX(Deals!$AF$2:$AF$355,MATCH($C367,Deals!$A$2:$A$355,0))=0,"",INDEX(Deals!$AF$2:$AF$355,MATCH($C367,Deals!$A$2:$A$355,0))),""))</f>
        <v/>
      </c>
      <c r="AF367" s="35">
        <f>IF($AD367="",DATE(1900,1,1),$AD367)</f>
        <v/>
      </c>
      <c r="AG367" s="35">
        <f>IF($AE367="",DATE(2100,12,31),$AE367)</f>
        <v/>
      </c>
      <c r="AH367" s="22">
        <f>IF($C367="","",IFERROR(IF(INDEX(Deals!$AG$2:$AG$355,MATCH($C367,Deals!$A$2:$A$355,0))=0,"",INDEX(Deals!$AG$2:$AG$355,MATCH($C367,Deals!$A$2:$A$355,0))),""))</f>
        <v/>
      </c>
      <c r="AI367" s="35">
        <f>IF(OR($AH367&lt;&gt;"",AND($AO367&gt;0,$AD367&lt;&gt;"",$AE367&lt;&gt;"")),$AF367,DATE(1900,1,1))</f>
        <v/>
      </c>
      <c r="AJ367" s="35">
        <f>IF($AH367&lt;&gt;"",$AH367,IF(AND($AO367&gt;0,$AD367&lt;&gt;"",$AE367&lt;&gt;""),$AG367,DATE(2100,12,31)))</f>
        <v/>
      </c>
      <c r="AK367" s="32">
        <f>IF($AH367="",$AC367,$AC367*$S367)</f>
        <v/>
      </c>
      <c r="AL367" s="35">
        <f>IF($AH367="",DATE(2100,12,31),$AH367+1)</f>
        <v/>
      </c>
      <c r="AM367" s="35">
        <f>IF($AH367="",DATE(1900,1,1),$AG367)</f>
        <v/>
      </c>
      <c r="AN367" s="32">
        <f>IF($AH367="",0,$AC367*$T367)</f>
        <v/>
      </c>
      <c r="AO367" s="46">
        <f>IF($C367="",0,IFERROR(INDEX(Deals!$BD$2:$BD$355,MATCH($C367,Deals!$A$2:$A$355,0)),0))</f>
        <v/>
      </c>
      <c r="AP367" s="18">
        <f>IF($AO367=0,0,IFERROR(INDEX(Deals!$BJ$2:$BP$355,MATCH($C367,Deals!$A$2:$A$355,0),MATCH($F367,Deals!$BJ$1:$BP$1,0))/COUNTIFS(Assignments!$C$2:$C$769,$C367,Assignments!$F$2:$F$769,$F367,Assignments!$G$2:$G$769,"Active"),0))</f>
        <v/>
      </c>
    </row>
    <row r="368">
      <c r="A368" s="28" t="inlineStr">
        <is>
          <t>Patch</t>
        </is>
      </c>
      <c r="B368" s="16">
        <f>IF($A368="","",IFERROR(INDEX(Roster!$B$2:$B$40,MATCH($A368,Roster!$A$2:$A$40,0)),"?"))</f>
        <v/>
      </c>
      <c r="C368" s="28" t="inlineStr">
        <is>
          <t>Adanac_1</t>
        </is>
      </c>
      <c r="D368" s="16">
        <f>IF($C368="","",IFERROR(IF(INDEX(Deals!$C$2:$C$355,MATCH($C368,Deals!$A$2:$A$355,0))=0,"",INDEX(Deals!$C$2:$C$355,MATCH($C368,Deals!$A$2:$A$355,0))),"?"))</f>
        <v/>
      </c>
      <c r="E368" s="16">
        <f>IF($C368="","",IFERROR(INDEX(Deals!$F$2:$F$355,MATCH($C368,Deals!$A$2:$A$355,0)),"?"))</f>
        <v/>
      </c>
      <c r="F368" s="28" t="inlineStr">
        <is>
          <t>VP</t>
        </is>
      </c>
      <c r="G368" s="28" t="inlineStr">
        <is>
          <t>Inactive</t>
        </is>
      </c>
      <c r="H368" s="31" t="n"/>
      <c r="I368" s="32">
        <f>IF(OR($A368="",$G368&lt;&gt;"Active"),0,IF($H368&lt;&gt;"",$H368,IF($AO368&gt;0,$AP368,IF(AND($R368&lt;&gt;"",IFERROR(INDEX(Templates!$B$3:$H$10,MATCH($R368,Templates!$A$3:$A$10,0),MATCH($F368,Templates!$B$2:$H$2,0)),0)&gt;0),INDEX(Templates!$B$3:$H$10,MATCH($R368,Templates!$A$3:$A$10,0),MATCH($F368,Templates!$B$2:$H$2,0)),IFERROR(INDEX(Settings!$B$8:$B$14,MATCH($F368,Settings!$A$8:$A$14,0)),0)))))</f>
        <v/>
      </c>
      <c r="J368" s="21">
        <f>IF($C368="",0,IFERROR(INDEX(Deals!$H$2:$H$355,MATCH($C368,Deals!$A$2:$A$355,0)),0))</f>
        <v/>
      </c>
      <c r="K368" s="32">
        <f>IF(Settings!$B$4="Yes",$I368*$J368,$I368)</f>
        <v/>
      </c>
      <c r="L368" s="22">
        <f>IF($C368="","",IFERROR(IF(INDEX(Deals!$I$2:$I$355,MATCH($C368,Deals!$A$2:$A$355,0))=0,"",INDEX(Deals!$I$2:$I$355,MATCH($C368,Deals!$A$2:$A$355,0))),""))</f>
        <v/>
      </c>
      <c r="M368" s="22">
        <f>IF($C368="","",IFERROR(IF(INDEX(Deals!$J$2:$J$355,MATCH($C368,Deals!$A$2:$A$355,0))=0,"",INDEX(Deals!$J$2:$J$355,MATCH($C368,Deals!$A$2:$A$355,0))),""))</f>
        <v/>
      </c>
      <c r="N368" s="35">
        <f>IF($L368="",DATE(1900,1,1),$L368)</f>
        <v/>
      </c>
      <c r="O368" s="35">
        <f>IF($M368="",DATE(2100,12,31),$M368)</f>
        <v/>
      </c>
      <c r="P368" s="20" t="inlineStr">
        <is>
          <t>Invoiced</t>
        </is>
      </c>
      <c r="Q368" s="47" t="inlineStr"/>
      <c r="R368" s="16">
        <f>IF($C368="","",IFERROR(IF(INDEX(Deals!$U$2:$U$355,MATCH($C368,Deals!$A$2:$A$355,0))=0,"",INDEX(Deals!$U$2:$U$355,MATCH($C368,Deals!$A$2:$A$355,0))),""))</f>
        <v/>
      </c>
      <c r="S368" s="34">
        <f>IFERROR(IF($U368="",1,INDEX(Deals!$V$2:$V$355,MATCH($C368,Deals!$A$2:$A$355,0))),1)</f>
        <v/>
      </c>
      <c r="T368" s="34">
        <f>IFERROR(IF($U368="",1,INDEX(Deals!$W$2:$W$355,MATCH($C368,Deals!$A$2:$A$355,0))),1)</f>
        <v/>
      </c>
      <c r="U368" s="22">
        <f>IF($C368="","",IFERROR(IF(INDEX(Deals!$Y$2:$Y$355,MATCH($C368,Deals!$A$2:$A$355,0))=0,"",INDEX(Deals!$Y$2:$Y$355,MATCH($C368,Deals!$A$2:$A$355,0))),""))</f>
        <v/>
      </c>
      <c r="V368" s="35">
        <f>IF(OR($U368&lt;&gt;"",AND($AO368&gt;0,$L368&lt;&gt;"",$M368&lt;&gt;"")),$N368,DATE(1900,1,1))</f>
        <v/>
      </c>
      <c r="W368" s="35">
        <f>IF($U368&lt;&gt;"",$U368,IF(AND($AO368&gt;0,$L368&lt;&gt;"",$M368&lt;&gt;""),$O368,DATE(2100,12,31)))</f>
        <v/>
      </c>
      <c r="X368" s="32">
        <f>IF($U368="",$K368,$K368*$S368)</f>
        <v/>
      </c>
      <c r="Y368" s="35">
        <f>IF($U368="",DATE(2100,12,31),$U368+1)</f>
        <v/>
      </c>
      <c r="Z368" s="35">
        <f>IF($U368="",DATE(1900,1,1),$O368)</f>
        <v/>
      </c>
      <c r="AA368" s="32">
        <f>IF($U368="",0,$K368*$T368)</f>
        <v/>
      </c>
      <c r="AB368" s="21">
        <f>IF($C368="",0,IFERROR(INDEX(Deals!$AD$2:$AD$355,MATCH($C368,Deals!$A$2:$A$355,0)),0))</f>
        <v/>
      </c>
      <c r="AC368" s="32">
        <f>IF(Settings!$B$4="Yes",$I368*$AB368,$I368)</f>
        <v/>
      </c>
      <c r="AD368" s="22">
        <f>IF($C368="","",IFERROR(IF(INDEX(Deals!$AE$2:$AE$355,MATCH($C368,Deals!$A$2:$A$355,0))=0,"",INDEX(Deals!$AE$2:$AE$355,MATCH($C368,Deals!$A$2:$A$355,0))),""))</f>
        <v/>
      </c>
      <c r="AE368" s="22">
        <f>IF($C368="","",IFERROR(IF(INDEX(Deals!$AF$2:$AF$355,MATCH($C368,Deals!$A$2:$A$355,0))=0,"",INDEX(Deals!$AF$2:$AF$355,MATCH($C368,Deals!$A$2:$A$355,0))),""))</f>
        <v/>
      </c>
      <c r="AF368" s="35">
        <f>IF($AD368="",DATE(1900,1,1),$AD368)</f>
        <v/>
      </c>
      <c r="AG368" s="35">
        <f>IF($AE368="",DATE(2100,12,31),$AE368)</f>
        <v/>
      </c>
      <c r="AH368" s="22">
        <f>IF($C368="","",IFERROR(IF(INDEX(Deals!$AG$2:$AG$355,MATCH($C368,Deals!$A$2:$A$355,0))=0,"",INDEX(Deals!$AG$2:$AG$355,MATCH($C368,Deals!$A$2:$A$355,0))),""))</f>
        <v/>
      </c>
      <c r="AI368" s="35">
        <f>IF(OR($AH368&lt;&gt;"",AND($AO368&gt;0,$AD368&lt;&gt;"",$AE368&lt;&gt;"")),$AF368,DATE(1900,1,1))</f>
        <v/>
      </c>
      <c r="AJ368" s="35">
        <f>IF($AH368&lt;&gt;"",$AH368,IF(AND($AO368&gt;0,$AD368&lt;&gt;"",$AE368&lt;&gt;""),$AG368,DATE(2100,12,31)))</f>
        <v/>
      </c>
      <c r="AK368" s="32">
        <f>IF($AH368="",$AC368,$AC368*$S368)</f>
        <v/>
      </c>
      <c r="AL368" s="35">
        <f>IF($AH368="",DATE(2100,12,31),$AH368+1)</f>
        <v/>
      </c>
      <c r="AM368" s="35">
        <f>IF($AH368="",DATE(1900,1,1),$AG368)</f>
        <v/>
      </c>
      <c r="AN368" s="32">
        <f>IF($AH368="",0,$AC368*$T368)</f>
        <v/>
      </c>
      <c r="AO368" s="46">
        <f>IF($C368="",0,IFERROR(INDEX(Deals!$BD$2:$BD$355,MATCH($C368,Deals!$A$2:$A$355,0)),0))</f>
        <v/>
      </c>
      <c r="AP368" s="18">
        <f>IF($AO368=0,0,IFERROR(INDEX(Deals!$BJ$2:$BP$355,MATCH($C368,Deals!$A$2:$A$355,0),MATCH($F368,Deals!$BJ$1:$BP$1,0))/COUNTIFS(Assignments!$C$2:$C$769,$C368,Assignments!$F$2:$F$769,$F368,Assignments!$G$2:$G$769,"Active"),0))</f>
        <v/>
      </c>
    </row>
    <row r="369">
      <c r="A369" s="28" t="inlineStr">
        <is>
          <t>Patch</t>
        </is>
      </c>
      <c r="B369" s="16">
        <f>IF($A369="","",IFERROR(INDEX(Roster!$B$2:$B$40,MATCH($A369,Roster!$A$2:$A$40,0)),"?"))</f>
        <v/>
      </c>
      <c r="C369" s="28" t="inlineStr">
        <is>
          <t>AIM_5</t>
        </is>
      </c>
      <c r="D369" s="16">
        <f>IF($C369="","",IFERROR(IF(INDEX(Deals!$C$2:$C$355,MATCH($C369,Deals!$A$2:$A$355,0))=0,"",INDEX(Deals!$C$2:$C$355,MATCH($C369,Deals!$A$2:$A$355,0))),"?"))</f>
        <v/>
      </c>
      <c r="E369" s="16">
        <f>IF($C369="","",IFERROR(INDEX(Deals!$F$2:$F$355,MATCH($C369,Deals!$A$2:$A$355,0)),"?"))</f>
        <v/>
      </c>
      <c r="F369" s="28" t="inlineStr">
        <is>
          <t>VP</t>
        </is>
      </c>
      <c r="G369" s="28" t="inlineStr">
        <is>
          <t>Inactive</t>
        </is>
      </c>
      <c r="H369" s="31" t="n"/>
      <c r="I369" s="32">
        <f>IF(OR($A369="",$G369&lt;&gt;"Active"),0,IF($H369&lt;&gt;"",$H369,IF($AO369&gt;0,$AP369,IF(AND($R369&lt;&gt;"",IFERROR(INDEX(Templates!$B$3:$H$10,MATCH($R369,Templates!$A$3:$A$10,0),MATCH($F369,Templates!$B$2:$H$2,0)),0)&gt;0),INDEX(Templates!$B$3:$H$10,MATCH($R369,Templates!$A$3:$A$10,0),MATCH($F369,Templates!$B$2:$H$2,0)),IFERROR(INDEX(Settings!$B$8:$B$14,MATCH($F369,Settings!$A$8:$A$14,0)),0)))))</f>
        <v/>
      </c>
      <c r="J369" s="21">
        <f>IF($C369="",0,IFERROR(INDEX(Deals!$H$2:$H$355,MATCH($C369,Deals!$A$2:$A$355,0)),0))</f>
        <v/>
      </c>
      <c r="K369" s="32">
        <f>IF(Settings!$B$4="Yes",$I369*$J369,$I369)</f>
        <v/>
      </c>
      <c r="L369" s="22">
        <f>IF($C369="","",IFERROR(IF(INDEX(Deals!$I$2:$I$355,MATCH($C369,Deals!$A$2:$A$355,0))=0,"",INDEX(Deals!$I$2:$I$355,MATCH($C369,Deals!$A$2:$A$355,0))),""))</f>
        <v/>
      </c>
      <c r="M369" s="22">
        <f>IF($C369="","",IFERROR(IF(INDEX(Deals!$J$2:$J$355,MATCH($C369,Deals!$A$2:$A$355,0))=0,"",INDEX(Deals!$J$2:$J$355,MATCH($C369,Deals!$A$2:$A$355,0))),""))</f>
        <v/>
      </c>
      <c r="N369" s="35">
        <f>IF($L369="",DATE(1900,1,1),$L369)</f>
        <v/>
      </c>
      <c r="O369" s="35">
        <f>IF($M369="",DATE(2100,12,31),$M369)</f>
        <v/>
      </c>
      <c r="P369" s="20" t="inlineStr">
        <is>
          <t>Client stopped responding to us re: invoicing.</t>
        </is>
      </c>
      <c r="Q369" s="47" t="inlineStr"/>
      <c r="R369" s="16">
        <f>IF($C369="","",IFERROR(IF(INDEX(Deals!$U$2:$U$355,MATCH($C369,Deals!$A$2:$A$355,0))=0,"",INDEX(Deals!$U$2:$U$355,MATCH($C369,Deals!$A$2:$A$355,0))),""))</f>
        <v/>
      </c>
      <c r="S369" s="34">
        <f>IFERROR(IF($U369="",1,INDEX(Deals!$V$2:$V$355,MATCH($C369,Deals!$A$2:$A$355,0))),1)</f>
        <v/>
      </c>
      <c r="T369" s="34">
        <f>IFERROR(IF($U369="",1,INDEX(Deals!$W$2:$W$355,MATCH($C369,Deals!$A$2:$A$355,0))),1)</f>
        <v/>
      </c>
      <c r="U369" s="22">
        <f>IF($C369="","",IFERROR(IF(INDEX(Deals!$Y$2:$Y$355,MATCH($C369,Deals!$A$2:$A$355,0))=0,"",INDEX(Deals!$Y$2:$Y$355,MATCH($C369,Deals!$A$2:$A$355,0))),""))</f>
        <v/>
      </c>
      <c r="V369" s="35">
        <f>IF(OR($U369&lt;&gt;"",AND($AO369&gt;0,$L369&lt;&gt;"",$M369&lt;&gt;"")),$N369,DATE(1900,1,1))</f>
        <v/>
      </c>
      <c r="W369" s="35">
        <f>IF($U369&lt;&gt;"",$U369,IF(AND($AO369&gt;0,$L369&lt;&gt;"",$M369&lt;&gt;""),$O369,DATE(2100,12,31)))</f>
        <v/>
      </c>
      <c r="X369" s="32">
        <f>IF($U369="",$K369,$K369*$S369)</f>
        <v/>
      </c>
      <c r="Y369" s="35">
        <f>IF($U369="",DATE(2100,12,31),$U369+1)</f>
        <v/>
      </c>
      <c r="Z369" s="35">
        <f>IF($U369="",DATE(1900,1,1),$O369)</f>
        <v/>
      </c>
      <c r="AA369" s="32">
        <f>IF($U369="",0,$K369*$T369)</f>
        <v/>
      </c>
      <c r="AB369" s="21">
        <f>IF($C369="",0,IFERROR(INDEX(Deals!$AD$2:$AD$355,MATCH($C369,Deals!$A$2:$A$355,0)),0))</f>
        <v/>
      </c>
      <c r="AC369" s="32">
        <f>IF(Settings!$B$4="Yes",$I369*$AB369,$I369)</f>
        <v/>
      </c>
      <c r="AD369" s="22">
        <f>IF($C369="","",IFERROR(IF(INDEX(Deals!$AE$2:$AE$355,MATCH($C369,Deals!$A$2:$A$355,0))=0,"",INDEX(Deals!$AE$2:$AE$355,MATCH($C369,Deals!$A$2:$A$355,0))),""))</f>
        <v/>
      </c>
      <c r="AE369" s="22">
        <f>IF($C369="","",IFERROR(IF(INDEX(Deals!$AF$2:$AF$355,MATCH($C369,Deals!$A$2:$A$355,0))=0,"",INDEX(Deals!$AF$2:$AF$355,MATCH($C369,Deals!$A$2:$A$355,0))),""))</f>
        <v/>
      </c>
      <c r="AF369" s="35">
        <f>IF($AD369="",DATE(1900,1,1),$AD369)</f>
        <v/>
      </c>
      <c r="AG369" s="35">
        <f>IF($AE369="",DATE(2100,12,31),$AE369)</f>
        <v/>
      </c>
      <c r="AH369" s="22">
        <f>IF($C369="","",IFERROR(IF(INDEX(Deals!$AG$2:$AG$355,MATCH($C369,Deals!$A$2:$A$355,0))=0,"",INDEX(Deals!$AG$2:$AG$355,MATCH($C369,Deals!$A$2:$A$355,0))),""))</f>
        <v/>
      </c>
      <c r="AI369" s="35">
        <f>IF(OR($AH369&lt;&gt;"",AND($AO369&gt;0,$AD369&lt;&gt;"",$AE369&lt;&gt;"")),$AF369,DATE(1900,1,1))</f>
        <v/>
      </c>
      <c r="AJ369" s="35">
        <f>IF($AH369&lt;&gt;"",$AH369,IF(AND($AO369&gt;0,$AD369&lt;&gt;"",$AE369&lt;&gt;""),$AG369,DATE(2100,12,31)))</f>
        <v/>
      </c>
      <c r="AK369" s="32">
        <f>IF($AH369="",$AC369,$AC369*$S369)</f>
        <v/>
      </c>
      <c r="AL369" s="35">
        <f>IF($AH369="",DATE(2100,12,31),$AH369+1)</f>
        <v/>
      </c>
      <c r="AM369" s="35">
        <f>IF($AH369="",DATE(1900,1,1),$AG369)</f>
        <v/>
      </c>
      <c r="AN369" s="32">
        <f>IF($AH369="",0,$AC369*$T369)</f>
        <v/>
      </c>
      <c r="AO369" s="46">
        <f>IF($C369="",0,IFERROR(INDEX(Deals!$BD$2:$BD$355,MATCH($C369,Deals!$A$2:$A$355,0)),0))</f>
        <v/>
      </c>
      <c r="AP369" s="18">
        <f>IF($AO369=0,0,IFERROR(INDEX(Deals!$BJ$2:$BP$355,MATCH($C369,Deals!$A$2:$A$355,0),MATCH($F369,Deals!$BJ$1:$BP$1,0))/COUNTIFS(Assignments!$C$2:$C$769,$C369,Assignments!$F$2:$F$769,$F369,Assignments!$G$2:$G$769,"Active"),0))</f>
        <v/>
      </c>
    </row>
    <row r="370">
      <c r="A370" s="28" t="inlineStr">
        <is>
          <t>Patch</t>
        </is>
      </c>
      <c r="B370" s="16">
        <f>IF($A370="","",IFERROR(INDEX(Roster!$B$2:$B$40,MATCH($A370,Roster!$A$2:$A$40,0)),"?"))</f>
        <v/>
      </c>
      <c r="C370" s="28" t="inlineStr">
        <is>
          <t>Arctic_2</t>
        </is>
      </c>
      <c r="D370" s="16">
        <f>IF($C370="","",IFERROR(IF(INDEX(Deals!$C$2:$C$355,MATCH($C370,Deals!$A$2:$A$355,0))=0,"",INDEX(Deals!$C$2:$C$355,MATCH($C370,Deals!$A$2:$A$355,0))),"?"))</f>
        <v/>
      </c>
      <c r="E370" s="16">
        <f>IF($C370="","",IFERROR(INDEX(Deals!$F$2:$F$355,MATCH($C370,Deals!$A$2:$A$355,0)),"?"))</f>
        <v/>
      </c>
      <c r="F370" s="28" t="inlineStr">
        <is>
          <t>VP</t>
        </is>
      </c>
      <c r="G370" s="28" t="inlineStr">
        <is>
          <t>Inactive</t>
        </is>
      </c>
      <c r="H370" s="31" t="n"/>
      <c r="I370" s="32">
        <f>IF(OR($A370="",$G370&lt;&gt;"Active"),0,IF($H370&lt;&gt;"",$H370,IF($AO370&gt;0,$AP370,IF(AND($R370&lt;&gt;"",IFERROR(INDEX(Templates!$B$3:$H$10,MATCH($R370,Templates!$A$3:$A$10,0),MATCH($F370,Templates!$B$2:$H$2,0)),0)&gt;0),INDEX(Templates!$B$3:$H$10,MATCH($R370,Templates!$A$3:$A$10,0),MATCH($F370,Templates!$B$2:$H$2,0)),IFERROR(INDEX(Settings!$B$8:$B$14,MATCH($F370,Settings!$A$8:$A$14,0)),0)))))</f>
        <v/>
      </c>
      <c r="J370" s="21">
        <f>IF($C370="",0,IFERROR(INDEX(Deals!$H$2:$H$355,MATCH($C370,Deals!$A$2:$A$355,0)),0))</f>
        <v/>
      </c>
      <c r="K370" s="32">
        <f>IF(Settings!$B$4="Yes",$I370*$J370,$I370)</f>
        <v/>
      </c>
      <c r="L370" s="22">
        <f>IF($C370="","",IFERROR(IF(INDEX(Deals!$I$2:$I$355,MATCH($C370,Deals!$A$2:$A$355,0))=0,"",INDEX(Deals!$I$2:$I$355,MATCH($C370,Deals!$A$2:$A$355,0))),""))</f>
        <v/>
      </c>
      <c r="M370" s="22">
        <f>IF($C370="","",IFERROR(IF(INDEX(Deals!$J$2:$J$355,MATCH($C370,Deals!$A$2:$A$355,0))=0,"",INDEX(Deals!$J$2:$J$355,MATCH($C370,Deals!$A$2:$A$355,0))),""))</f>
        <v/>
      </c>
      <c r="N370" s="35">
        <f>IF($L370="",DATE(1900,1,1),$L370)</f>
        <v/>
      </c>
      <c r="O370" s="35">
        <f>IF($M370="",DATE(2100,12,31),$M370)</f>
        <v/>
      </c>
      <c r="P370" s="20" t="inlineStr">
        <is>
          <t>Pencils Down</t>
        </is>
      </c>
      <c r="Q370" s="47" t="inlineStr"/>
      <c r="R370" s="16">
        <f>IF($C370="","",IFERROR(IF(INDEX(Deals!$U$2:$U$355,MATCH($C370,Deals!$A$2:$A$355,0))=0,"",INDEX(Deals!$U$2:$U$355,MATCH($C370,Deals!$A$2:$A$355,0))),""))</f>
        <v/>
      </c>
      <c r="S370" s="34">
        <f>IFERROR(IF($U370="",1,INDEX(Deals!$V$2:$V$355,MATCH($C370,Deals!$A$2:$A$355,0))),1)</f>
        <v/>
      </c>
      <c r="T370" s="34">
        <f>IFERROR(IF($U370="",1,INDEX(Deals!$W$2:$W$355,MATCH($C370,Deals!$A$2:$A$355,0))),1)</f>
        <v/>
      </c>
      <c r="U370" s="22">
        <f>IF($C370="","",IFERROR(IF(INDEX(Deals!$Y$2:$Y$355,MATCH($C370,Deals!$A$2:$A$355,0))=0,"",INDEX(Deals!$Y$2:$Y$355,MATCH($C370,Deals!$A$2:$A$355,0))),""))</f>
        <v/>
      </c>
      <c r="V370" s="35">
        <f>IF(OR($U370&lt;&gt;"",AND($AO370&gt;0,$L370&lt;&gt;"",$M370&lt;&gt;"")),$N370,DATE(1900,1,1))</f>
        <v/>
      </c>
      <c r="W370" s="35">
        <f>IF($U370&lt;&gt;"",$U370,IF(AND($AO370&gt;0,$L370&lt;&gt;"",$M370&lt;&gt;""),$O370,DATE(2100,12,31)))</f>
        <v/>
      </c>
      <c r="X370" s="32">
        <f>IF($U370="",$K370,$K370*$S370)</f>
        <v/>
      </c>
      <c r="Y370" s="35">
        <f>IF($U370="",DATE(2100,12,31),$U370+1)</f>
        <v/>
      </c>
      <c r="Z370" s="35">
        <f>IF($U370="",DATE(1900,1,1),$O370)</f>
        <v/>
      </c>
      <c r="AA370" s="32">
        <f>IF($U370="",0,$K370*$T370)</f>
        <v/>
      </c>
      <c r="AB370" s="21">
        <f>IF($C370="",0,IFERROR(INDEX(Deals!$AD$2:$AD$355,MATCH($C370,Deals!$A$2:$A$355,0)),0))</f>
        <v/>
      </c>
      <c r="AC370" s="32">
        <f>IF(Settings!$B$4="Yes",$I370*$AB370,$I370)</f>
        <v/>
      </c>
      <c r="AD370" s="22">
        <f>IF($C370="","",IFERROR(IF(INDEX(Deals!$AE$2:$AE$355,MATCH($C370,Deals!$A$2:$A$355,0))=0,"",INDEX(Deals!$AE$2:$AE$355,MATCH($C370,Deals!$A$2:$A$355,0))),""))</f>
        <v/>
      </c>
      <c r="AE370" s="22">
        <f>IF($C370="","",IFERROR(IF(INDEX(Deals!$AF$2:$AF$355,MATCH($C370,Deals!$A$2:$A$355,0))=0,"",INDEX(Deals!$AF$2:$AF$355,MATCH($C370,Deals!$A$2:$A$355,0))),""))</f>
        <v/>
      </c>
      <c r="AF370" s="35">
        <f>IF($AD370="",DATE(1900,1,1),$AD370)</f>
        <v/>
      </c>
      <c r="AG370" s="35">
        <f>IF($AE370="",DATE(2100,12,31),$AE370)</f>
        <v/>
      </c>
      <c r="AH370" s="22">
        <f>IF($C370="","",IFERROR(IF(INDEX(Deals!$AG$2:$AG$355,MATCH($C370,Deals!$A$2:$A$355,0))=0,"",INDEX(Deals!$AG$2:$AG$355,MATCH($C370,Deals!$A$2:$A$355,0))),""))</f>
        <v/>
      </c>
      <c r="AI370" s="35">
        <f>IF(OR($AH370&lt;&gt;"",AND($AO370&gt;0,$AD370&lt;&gt;"",$AE370&lt;&gt;"")),$AF370,DATE(1900,1,1))</f>
        <v/>
      </c>
      <c r="AJ370" s="35">
        <f>IF($AH370&lt;&gt;"",$AH370,IF(AND($AO370&gt;0,$AD370&lt;&gt;"",$AE370&lt;&gt;""),$AG370,DATE(2100,12,31)))</f>
        <v/>
      </c>
      <c r="AK370" s="32">
        <f>IF($AH370="",$AC370,$AC370*$S370)</f>
        <v/>
      </c>
      <c r="AL370" s="35">
        <f>IF($AH370="",DATE(2100,12,31),$AH370+1)</f>
        <v/>
      </c>
      <c r="AM370" s="35">
        <f>IF($AH370="",DATE(1900,1,1),$AG370)</f>
        <v/>
      </c>
      <c r="AN370" s="32">
        <f>IF($AH370="",0,$AC370*$T370)</f>
        <v/>
      </c>
      <c r="AO370" s="46">
        <f>IF($C370="",0,IFERROR(INDEX(Deals!$BD$2:$BD$355,MATCH($C370,Deals!$A$2:$A$355,0)),0))</f>
        <v/>
      </c>
      <c r="AP370" s="18">
        <f>IF($AO370=0,0,IFERROR(INDEX(Deals!$BJ$2:$BP$355,MATCH($C370,Deals!$A$2:$A$355,0),MATCH($F370,Deals!$BJ$1:$BP$1,0))/COUNTIFS(Assignments!$C$2:$C$769,$C370,Assignments!$F$2:$F$769,$F370,Assignments!$G$2:$G$769,"Active"),0))</f>
        <v/>
      </c>
    </row>
    <row r="371">
      <c r="A371" s="28" t="inlineStr">
        <is>
          <t>Patch</t>
        </is>
      </c>
      <c r="B371" s="16">
        <f>IF($A371="","",IFERROR(INDEX(Roster!$B$2:$B$40,MATCH($A371,Roster!$A$2:$A$40,0)),"?"))</f>
        <v/>
      </c>
      <c r="C371" s="28" t="inlineStr">
        <is>
          <t>Brass_2</t>
        </is>
      </c>
      <c r="D371" s="16">
        <f>IF($C371="","",IFERROR(IF(INDEX(Deals!$C$2:$C$355,MATCH($C371,Deals!$A$2:$A$355,0))=0,"",INDEX(Deals!$C$2:$C$355,MATCH($C371,Deals!$A$2:$A$355,0))),"?"))</f>
        <v/>
      </c>
      <c r="E371" s="16">
        <f>IF($C371="","",IFERROR(INDEX(Deals!$F$2:$F$355,MATCH($C371,Deals!$A$2:$A$355,0)),"?"))</f>
        <v/>
      </c>
      <c r="F371" s="28" t="inlineStr">
        <is>
          <t>VP</t>
        </is>
      </c>
      <c r="G371" s="28" t="inlineStr">
        <is>
          <t>Inactive</t>
        </is>
      </c>
      <c r="H371" s="31" t="n"/>
      <c r="I371" s="32">
        <f>IF(OR($A371="",$G371&lt;&gt;"Active"),0,IF($H371&lt;&gt;"",$H371,IF($AO371&gt;0,$AP371,IF(AND($R371&lt;&gt;"",IFERROR(INDEX(Templates!$B$3:$H$10,MATCH($R371,Templates!$A$3:$A$10,0),MATCH($F371,Templates!$B$2:$H$2,0)),0)&gt;0),INDEX(Templates!$B$3:$H$10,MATCH($R371,Templates!$A$3:$A$10,0),MATCH($F371,Templates!$B$2:$H$2,0)),IFERROR(INDEX(Settings!$B$8:$B$14,MATCH($F371,Settings!$A$8:$A$14,0)),0)))))</f>
        <v/>
      </c>
      <c r="J371" s="21">
        <f>IF($C371="",0,IFERROR(INDEX(Deals!$H$2:$H$355,MATCH($C371,Deals!$A$2:$A$355,0)),0))</f>
        <v/>
      </c>
      <c r="K371" s="32">
        <f>IF(Settings!$B$4="Yes",$I371*$J371,$I371)</f>
        <v/>
      </c>
      <c r="L371" s="22">
        <f>IF($C371="","",IFERROR(IF(INDEX(Deals!$I$2:$I$355,MATCH($C371,Deals!$A$2:$A$355,0))=0,"",INDEX(Deals!$I$2:$I$355,MATCH($C371,Deals!$A$2:$A$355,0))),""))</f>
        <v/>
      </c>
      <c r="M371" s="22">
        <f>IF($C371="","",IFERROR(IF(INDEX(Deals!$J$2:$J$355,MATCH($C371,Deals!$A$2:$A$355,0))=0,"",INDEX(Deals!$J$2:$J$355,MATCH($C371,Deals!$A$2:$A$355,0))),""))</f>
        <v/>
      </c>
      <c r="N371" s="35">
        <f>IF($L371="",DATE(1900,1,1),$L371)</f>
        <v/>
      </c>
      <c r="O371" s="35">
        <f>IF($M371="",DATE(2100,12,31),$M371)</f>
        <v/>
      </c>
      <c r="P371" s="20" t="inlineStr">
        <is>
          <t>This was probably when I was helping check tax insurance datarooms.</t>
        </is>
      </c>
      <c r="Q371" s="47" t="inlineStr"/>
      <c r="R371" s="16">
        <f>IF($C371="","",IFERROR(IF(INDEX(Deals!$U$2:$U$355,MATCH($C371,Deals!$A$2:$A$355,0))=0,"",INDEX(Deals!$U$2:$U$355,MATCH($C371,Deals!$A$2:$A$355,0))),""))</f>
        <v/>
      </c>
      <c r="S371" s="34">
        <f>IFERROR(IF($U371="",1,INDEX(Deals!$V$2:$V$355,MATCH($C371,Deals!$A$2:$A$355,0))),1)</f>
        <v/>
      </c>
      <c r="T371" s="34">
        <f>IFERROR(IF($U371="",1,INDEX(Deals!$W$2:$W$355,MATCH($C371,Deals!$A$2:$A$355,0))),1)</f>
        <v/>
      </c>
      <c r="U371" s="22">
        <f>IF($C371="","",IFERROR(IF(INDEX(Deals!$Y$2:$Y$355,MATCH($C371,Deals!$A$2:$A$355,0))=0,"",INDEX(Deals!$Y$2:$Y$355,MATCH($C371,Deals!$A$2:$A$355,0))),""))</f>
        <v/>
      </c>
      <c r="V371" s="35">
        <f>IF(OR($U371&lt;&gt;"",AND($AO371&gt;0,$L371&lt;&gt;"",$M371&lt;&gt;"")),$N371,DATE(1900,1,1))</f>
        <v/>
      </c>
      <c r="W371" s="35">
        <f>IF($U371&lt;&gt;"",$U371,IF(AND($AO371&gt;0,$L371&lt;&gt;"",$M371&lt;&gt;""),$O371,DATE(2100,12,31)))</f>
        <v/>
      </c>
      <c r="X371" s="32">
        <f>IF($U371="",$K371,$K371*$S371)</f>
        <v/>
      </c>
      <c r="Y371" s="35">
        <f>IF($U371="",DATE(2100,12,31),$U371+1)</f>
        <v/>
      </c>
      <c r="Z371" s="35">
        <f>IF($U371="",DATE(1900,1,1),$O371)</f>
        <v/>
      </c>
      <c r="AA371" s="32">
        <f>IF($U371="",0,$K371*$T371)</f>
        <v/>
      </c>
      <c r="AB371" s="21">
        <f>IF($C371="",0,IFERROR(INDEX(Deals!$AD$2:$AD$355,MATCH($C371,Deals!$A$2:$A$355,0)),0))</f>
        <v/>
      </c>
      <c r="AC371" s="32">
        <f>IF(Settings!$B$4="Yes",$I371*$AB371,$I371)</f>
        <v/>
      </c>
      <c r="AD371" s="22">
        <f>IF($C371="","",IFERROR(IF(INDEX(Deals!$AE$2:$AE$355,MATCH($C371,Deals!$A$2:$A$355,0))=0,"",INDEX(Deals!$AE$2:$AE$355,MATCH($C371,Deals!$A$2:$A$355,0))),""))</f>
        <v/>
      </c>
      <c r="AE371" s="22">
        <f>IF($C371="","",IFERROR(IF(INDEX(Deals!$AF$2:$AF$355,MATCH($C371,Deals!$A$2:$A$355,0))=0,"",INDEX(Deals!$AF$2:$AF$355,MATCH($C371,Deals!$A$2:$A$355,0))),""))</f>
        <v/>
      </c>
      <c r="AF371" s="35">
        <f>IF($AD371="",DATE(1900,1,1),$AD371)</f>
        <v/>
      </c>
      <c r="AG371" s="35">
        <f>IF($AE371="",DATE(2100,12,31),$AE371)</f>
        <v/>
      </c>
      <c r="AH371" s="22">
        <f>IF($C371="","",IFERROR(IF(INDEX(Deals!$AG$2:$AG$355,MATCH($C371,Deals!$A$2:$A$355,0))=0,"",INDEX(Deals!$AG$2:$AG$355,MATCH($C371,Deals!$A$2:$A$355,0))),""))</f>
        <v/>
      </c>
      <c r="AI371" s="35">
        <f>IF(OR($AH371&lt;&gt;"",AND($AO371&gt;0,$AD371&lt;&gt;"",$AE371&lt;&gt;"")),$AF371,DATE(1900,1,1))</f>
        <v/>
      </c>
      <c r="AJ371" s="35">
        <f>IF($AH371&lt;&gt;"",$AH371,IF(AND($AO371&gt;0,$AD371&lt;&gt;"",$AE371&lt;&gt;""),$AG371,DATE(2100,12,31)))</f>
        <v/>
      </c>
      <c r="AK371" s="32">
        <f>IF($AH371="",$AC371,$AC371*$S371)</f>
        <v/>
      </c>
      <c r="AL371" s="35">
        <f>IF($AH371="",DATE(2100,12,31),$AH371+1)</f>
        <v/>
      </c>
      <c r="AM371" s="35">
        <f>IF($AH371="",DATE(1900,1,1),$AG371)</f>
        <v/>
      </c>
      <c r="AN371" s="32">
        <f>IF($AH371="",0,$AC371*$T371)</f>
        <v/>
      </c>
      <c r="AO371" s="46">
        <f>IF($C371="",0,IFERROR(INDEX(Deals!$BD$2:$BD$355,MATCH($C371,Deals!$A$2:$A$355,0)),0))</f>
        <v/>
      </c>
      <c r="AP371" s="18">
        <f>IF($AO371=0,0,IFERROR(INDEX(Deals!$BJ$2:$BP$355,MATCH($C371,Deals!$A$2:$A$355,0),MATCH($F371,Deals!$BJ$1:$BP$1,0))/COUNTIFS(Assignments!$C$2:$C$769,$C371,Assignments!$F$2:$F$769,$F371,Assignments!$G$2:$G$769,"Active"),0))</f>
        <v/>
      </c>
    </row>
    <row r="372">
      <c r="A372" s="28" t="inlineStr">
        <is>
          <t>Patch</t>
        </is>
      </c>
      <c r="B372" s="16">
        <f>IF($A372="","",IFERROR(INDEX(Roster!$B$2:$B$40,MATCH($A372,Roster!$A$2:$A$40,0)),"?"))</f>
        <v/>
      </c>
      <c r="C372" s="28" t="inlineStr">
        <is>
          <t>Camaro_1</t>
        </is>
      </c>
      <c r="D372" s="16">
        <f>IF($C372="","",IFERROR(IF(INDEX(Deals!$C$2:$C$355,MATCH($C372,Deals!$A$2:$A$355,0))=0,"",INDEX(Deals!$C$2:$C$355,MATCH($C372,Deals!$A$2:$A$355,0))),"?"))</f>
        <v/>
      </c>
      <c r="E372" s="16">
        <f>IF($C372="","",IFERROR(INDEX(Deals!$F$2:$F$355,MATCH($C372,Deals!$A$2:$A$355,0)),"?"))</f>
        <v/>
      </c>
      <c r="F372" s="28" t="inlineStr">
        <is>
          <t>VP</t>
        </is>
      </c>
      <c r="G372" s="28" t="inlineStr">
        <is>
          <t>Inactive</t>
        </is>
      </c>
      <c r="H372" s="31" t="n"/>
      <c r="I372" s="32">
        <f>IF(OR($A372="",$G372&lt;&gt;"Active"),0,IF($H372&lt;&gt;"",$H372,IF($AO372&gt;0,$AP372,IF(AND($R372&lt;&gt;"",IFERROR(INDEX(Templates!$B$3:$H$10,MATCH($R372,Templates!$A$3:$A$10,0),MATCH($F372,Templates!$B$2:$H$2,0)),0)&gt;0),INDEX(Templates!$B$3:$H$10,MATCH($R372,Templates!$A$3:$A$10,0),MATCH($F372,Templates!$B$2:$H$2,0)),IFERROR(INDEX(Settings!$B$8:$B$14,MATCH($F372,Settings!$A$8:$A$14,0)),0)))))</f>
        <v/>
      </c>
      <c r="J372" s="21">
        <f>IF($C372="",0,IFERROR(INDEX(Deals!$H$2:$H$355,MATCH($C372,Deals!$A$2:$A$355,0)),0))</f>
        <v/>
      </c>
      <c r="K372" s="32">
        <f>IF(Settings!$B$4="Yes",$I372*$J372,$I372)</f>
        <v/>
      </c>
      <c r="L372" s="22">
        <f>IF($C372="","",IFERROR(IF(INDEX(Deals!$I$2:$I$355,MATCH($C372,Deals!$A$2:$A$355,0))=0,"",INDEX(Deals!$I$2:$I$355,MATCH($C372,Deals!$A$2:$A$355,0))),""))</f>
        <v/>
      </c>
      <c r="M372" s="22">
        <f>IF($C372="","",IFERROR(IF(INDEX(Deals!$J$2:$J$355,MATCH($C372,Deals!$A$2:$A$355,0))=0,"",INDEX(Deals!$J$2:$J$355,MATCH($C372,Deals!$A$2:$A$355,0))),""))</f>
        <v/>
      </c>
      <c r="N372" s="35">
        <f>IF($L372="",DATE(1900,1,1),$L372)</f>
        <v/>
      </c>
      <c r="O372" s="35">
        <f>IF($M372="",DATE(2100,12,31),$M372)</f>
        <v/>
      </c>
      <c r="P372" s="20" t="inlineStr">
        <is>
          <t>Pencils down</t>
        </is>
      </c>
      <c r="Q372" s="47" t="inlineStr"/>
      <c r="R372" s="16">
        <f>IF($C372="","",IFERROR(IF(INDEX(Deals!$U$2:$U$355,MATCH($C372,Deals!$A$2:$A$355,0))=0,"",INDEX(Deals!$U$2:$U$355,MATCH($C372,Deals!$A$2:$A$355,0))),""))</f>
        <v/>
      </c>
      <c r="S372" s="34">
        <f>IFERROR(IF($U372="",1,INDEX(Deals!$V$2:$V$355,MATCH($C372,Deals!$A$2:$A$355,0))),1)</f>
        <v/>
      </c>
      <c r="T372" s="34">
        <f>IFERROR(IF($U372="",1,INDEX(Deals!$W$2:$W$355,MATCH($C372,Deals!$A$2:$A$355,0))),1)</f>
        <v/>
      </c>
      <c r="U372" s="22">
        <f>IF($C372="","",IFERROR(IF(INDEX(Deals!$Y$2:$Y$355,MATCH($C372,Deals!$A$2:$A$355,0))=0,"",INDEX(Deals!$Y$2:$Y$355,MATCH($C372,Deals!$A$2:$A$355,0))),""))</f>
        <v/>
      </c>
      <c r="V372" s="35">
        <f>IF(OR($U372&lt;&gt;"",AND($AO372&gt;0,$L372&lt;&gt;"",$M372&lt;&gt;"")),$N372,DATE(1900,1,1))</f>
        <v/>
      </c>
      <c r="W372" s="35">
        <f>IF($U372&lt;&gt;"",$U372,IF(AND($AO372&gt;0,$L372&lt;&gt;"",$M372&lt;&gt;""),$O372,DATE(2100,12,31)))</f>
        <v/>
      </c>
      <c r="X372" s="32">
        <f>IF($U372="",$K372,$K372*$S372)</f>
        <v/>
      </c>
      <c r="Y372" s="35">
        <f>IF($U372="",DATE(2100,12,31),$U372+1)</f>
        <v/>
      </c>
      <c r="Z372" s="35">
        <f>IF($U372="",DATE(1900,1,1),$O372)</f>
        <v/>
      </c>
      <c r="AA372" s="32">
        <f>IF($U372="",0,$K372*$T372)</f>
        <v/>
      </c>
      <c r="AB372" s="21">
        <f>IF($C372="",0,IFERROR(INDEX(Deals!$AD$2:$AD$355,MATCH($C372,Deals!$A$2:$A$355,0)),0))</f>
        <v/>
      </c>
      <c r="AC372" s="32">
        <f>IF(Settings!$B$4="Yes",$I372*$AB372,$I372)</f>
        <v/>
      </c>
      <c r="AD372" s="22">
        <f>IF($C372="","",IFERROR(IF(INDEX(Deals!$AE$2:$AE$355,MATCH($C372,Deals!$A$2:$A$355,0))=0,"",INDEX(Deals!$AE$2:$AE$355,MATCH($C372,Deals!$A$2:$A$355,0))),""))</f>
        <v/>
      </c>
      <c r="AE372" s="22">
        <f>IF($C372="","",IFERROR(IF(INDEX(Deals!$AF$2:$AF$355,MATCH($C372,Deals!$A$2:$A$355,0))=0,"",INDEX(Deals!$AF$2:$AF$355,MATCH($C372,Deals!$A$2:$A$355,0))),""))</f>
        <v/>
      </c>
      <c r="AF372" s="35">
        <f>IF($AD372="",DATE(1900,1,1),$AD372)</f>
        <v/>
      </c>
      <c r="AG372" s="35">
        <f>IF($AE372="",DATE(2100,12,31),$AE372)</f>
        <v/>
      </c>
      <c r="AH372" s="22">
        <f>IF($C372="","",IFERROR(IF(INDEX(Deals!$AG$2:$AG$355,MATCH($C372,Deals!$A$2:$A$355,0))=0,"",INDEX(Deals!$AG$2:$AG$355,MATCH($C372,Deals!$A$2:$A$355,0))),""))</f>
        <v/>
      </c>
      <c r="AI372" s="35">
        <f>IF(OR($AH372&lt;&gt;"",AND($AO372&gt;0,$AD372&lt;&gt;"",$AE372&lt;&gt;"")),$AF372,DATE(1900,1,1))</f>
        <v/>
      </c>
      <c r="AJ372" s="35">
        <f>IF($AH372&lt;&gt;"",$AH372,IF(AND($AO372&gt;0,$AD372&lt;&gt;"",$AE372&lt;&gt;""),$AG372,DATE(2100,12,31)))</f>
        <v/>
      </c>
      <c r="AK372" s="32">
        <f>IF($AH372="",$AC372,$AC372*$S372)</f>
        <v/>
      </c>
      <c r="AL372" s="35">
        <f>IF($AH372="",DATE(2100,12,31),$AH372+1)</f>
        <v/>
      </c>
      <c r="AM372" s="35">
        <f>IF($AH372="",DATE(1900,1,1),$AG372)</f>
        <v/>
      </c>
      <c r="AN372" s="32">
        <f>IF($AH372="",0,$AC372*$T372)</f>
        <v/>
      </c>
      <c r="AO372" s="46">
        <f>IF($C372="",0,IFERROR(INDEX(Deals!$BD$2:$BD$355,MATCH($C372,Deals!$A$2:$A$355,0)),0))</f>
        <v/>
      </c>
      <c r="AP372" s="18">
        <f>IF($AO372=0,0,IFERROR(INDEX(Deals!$BJ$2:$BP$355,MATCH($C372,Deals!$A$2:$A$355,0),MATCH($F372,Deals!$BJ$1:$BP$1,0))/COUNTIFS(Assignments!$C$2:$C$769,$C372,Assignments!$F$2:$F$769,$F372,Assignments!$G$2:$G$769,"Active"),0))</f>
        <v/>
      </c>
    </row>
    <row r="373">
      <c r="A373" s="28" t="inlineStr">
        <is>
          <t>Patch</t>
        </is>
      </c>
      <c r="B373" s="16">
        <f>IF($A373="","",IFERROR(INDEX(Roster!$B$2:$B$40,MATCH($A373,Roster!$A$2:$A$40,0)),"?"))</f>
        <v/>
      </c>
      <c r="C373" s="28" t="inlineStr">
        <is>
          <t>Celestial_1</t>
        </is>
      </c>
      <c r="D373" s="16">
        <f>IF($C373="","",IFERROR(IF(INDEX(Deals!$C$2:$C$355,MATCH($C373,Deals!$A$2:$A$355,0))=0,"",INDEX(Deals!$C$2:$C$355,MATCH($C373,Deals!$A$2:$A$355,0))),"?"))</f>
        <v/>
      </c>
      <c r="E373" s="16">
        <f>IF($C373="","",IFERROR(INDEX(Deals!$F$2:$F$355,MATCH($C373,Deals!$A$2:$A$355,0)),"?"))</f>
        <v/>
      </c>
      <c r="F373" s="28" t="inlineStr">
        <is>
          <t>VP</t>
        </is>
      </c>
      <c r="G373" s="28" t="inlineStr">
        <is>
          <t>Active</t>
        </is>
      </c>
      <c r="H373" s="31" t="n"/>
      <c r="I373" s="32">
        <f>IF(OR($A373="",$G373&lt;&gt;"Active"),0,IF($H373&lt;&gt;"",$H373,IF($AO373&gt;0,$AP373,IF(AND($R373&lt;&gt;"",IFERROR(INDEX(Templates!$B$3:$H$10,MATCH($R373,Templates!$A$3:$A$10,0),MATCH($F373,Templates!$B$2:$H$2,0)),0)&gt;0),INDEX(Templates!$B$3:$H$10,MATCH($R373,Templates!$A$3:$A$10,0),MATCH($F373,Templates!$B$2:$H$2,0)),IFERROR(INDEX(Settings!$B$8:$B$14,MATCH($F373,Settings!$A$8:$A$14,0)),0)))))</f>
        <v/>
      </c>
      <c r="J373" s="21">
        <f>IF($C373="",0,IFERROR(INDEX(Deals!$H$2:$H$355,MATCH($C373,Deals!$A$2:$A$355,0)),0))</f>
        <v/>
      </c>
      <c r="K373" s="32">
        <f>IF(Settings!$B$4="Yes",$I373*$J373,$I373)</f>
        <v/>
      </c>
      <c r="L373" s="22">
        <f>IF($C373="","",IFERROR(IF(INDEX(Deals!$I$2:$I$355,MATCH($C373,Deals!$A$2:$A$355,0))=0,"",INDEX(Deals!$I$2:$I$355,MATCH($C373,Deals!$A$2:$A$355,0))),""))</f>
        <v/>
      </c>
      <c r="M373" s="22">
        <f>IF($C373="","",IFERROR(IF(INDEX(Deals!$J$2:$J$355,MATCH($C373,Deals!$A$2:$A$355,0))=0,"",INDEX(Deals!$J$2:$J$355,MATCH($C373,Deals!$A$2:$A$355,0))),""))</f>
        <v/>
      </c>
      <c r="N373" s="35">
        <f>IF($L373="",DATE(1900,1,1),$L373)</f>
        <v/>
      </c>
      <c r="O373" s="35">
        <f>IF($M373="",DATE(2100,12,31),$M373)</f>
        <v/>
      </c>
      <c r="P373" s="20" t="inlineStr">
        <is>
          <t>Ongoing</t>
        </is>
      </c>
      <c r="Q373" s="47" t="inlineStr"/>
      <c r="R373" s="16">
        <f>IF($C373="","",IFERROR(IF(INDEX(Deals!$U$2:$U$355,MATCH($C373,Deals!$A$2:$A$355,0))=0,"",INDEX(Deals!$U$2:$U$355,MATCH($C373,Deals!$A$2:$A$355,0))),""))</f>
        <v/>
      </c>
      <c r="S373" s="34">
        <f>IFERROR(IF($U373="",1,INDEX(Deals!$V$2:$V$355,MATCH($C373,Deals!$A$2:$A$355,0))),1)</f>
        <v/>
      </c>
      <c r="T373" s="34">
        <f>IFERROR(IF($U373="",1,INDEX(Deals!$W$2:$W$355,MATCH($C373,Deals!$A$2:$A$355,0))),1)</f>
        <v/>
      </c>
      <c r="U373" s="22">
        <f>IF($C373="","",IFERROR(IF(INDEX(Deals!$Y$2:$Y$355,MATCH($C373,Deals!$A$2:$A$355,0))=0,"",INDEX(Deals!$Y$2:$Y$355,MATCH($C373,Deals!$A$2:$A$355,0))),""))</f>
        <v/>
      </c>
      <c r="V373" s="35">
        <f>IF(OR($U373&lt;&gt;"",AND($AO373&gt;0,$L373&lt;&gt;"",$M373&lt;&gt;"")),$N373,DATE(1900,1,1))</f>
        <v/>
      </c>
      <c r="W373" s="35">
        <f>IF($U373&lt;&gt;"",$U373,IF(AND($AO373&gt;0,$L373&lt;&gt;"",$M373&lt;&gt;""),$O373,DATE(2100,12,31)))</f>
        <v/>
      </c>
      <c r="X373" s="32">
        <f>IF($U373="",$K373,$K373*$S373)</f>
        <v/>
      </c>
      <c r="Y373" s="35">
        <f>IF($U373="",DATE(2100,12,31),$U373+1)</f>
        <v/>
      </c>
      <c r="Z373" s="35">
        <f>IF($U373="",DATE(1900,1,1),$O373)</f>
        <v/>
      </c>
      <c r="AA373" s="32">
        <f>IF($U373="",0,$K373*$T373)</f>
        <v/>
      </c>
      <c r="AB373" s="21">
        <f>IF($C373="",0,IFERROR(INDEX(Deals!$AD$2:$AD$355,MATCH($C373,Deals!$A$2:$A$355,0)),0))</f>
        <v/>
      </c>
      <c r="AC373" s="32">
        <f>IF(Settings!$B$4="Yes",$I373*$AB373,$I373)</f>
        <v/>
      </c>
      <c r="AD373" s="22">
        <f>IF($C373="","",IFERROR(IF(INDEX(Deals!$AE$2:$AE$355,MATCH($C373,Deals!$A$2:$A$355,0))=0,"",INDEX(Deals!$AE$2:$AE$355,MATCH($C373,Deals!$A$2:$A$355,0))),""))</f>
        <v/>
      </c>
      <c r="AE373" s="22">
        <f>IF($C373="","",IFERROR(IF(INDEX(Deals!$AF$2:$AF$355,MATCH($C373,Deals!$A$2:$A$355,0))=0,"",INDEX(Deals!$AF$2:$AF$355,MATCH($C373,Deals!$A$2:$A$355,0))),""))</f>
        <v/>
      </c>
      <c r="AF373" s="35">
        <f>IF($AD373="",DATE(1900,1,1),$AD373)</f>
        <v/>
      </c>
      <c r="AG373" s="35">
        <f>IF($AE373="",DATE(2100,12,31),$AE373)</f>
        <v/>
      </c>
      <c r="AH373" s="22">
        <f>IF($C373="","",IFERROR(IF(INDEX(Deals!$AG$2:$AG$355,MATCH($C373,Deals!$A$2:$A$355,0))=0,"",INDEX(Deals!$AG$2:$AG$355,MATCH($C373,Deals!$A$2:$A$355,0))),""))</f>
        <v/>
      </c>
      <c r="AI373" s="35">
        <f>IF(OR($AH373&lt;&gt;"",AND($AO373&gt;0,$AD373&lt;&gt;"",$AE373&lt;&gt;"")),$AF373,DATE(1900,1,1))</f>
        <v/>
      </c>
      <c r="AJ373" s="35">
        <f>IF($AH373&lt;&gt;"",$AH373,IF(AND($AO373&gt;0,$AD373&lt;&gt;"",$AE373&lt;&gt;""),$AG373,DATE(2100,12,31)))</f>
        <v/>
      </c>
      <c r="AK373" s="32">
        <f>IF($AH373="",$AC373,$AC373*$S373)</f>
        <v/>
      </c>
      <c r="AL373" s="35">
        <f>IF($AH373="",DATE(2100,12,31),$AH373+1)</f>
        <v/>
      </c>
      <c r="AM373" s="35">
        <f>IF($AH373="",DATE(1900,1,1),$AG373)</f>
        <v/>
      </c>
      <c r="AN373" s="32">
        <f>IF($AH373="",0,$AC373*$T373)</f>
        <v/>
      </c>
      <c r="AO373" s="46">
        <f>IF($C373="",0,IFERROR(INDEX(Deals!$BD$2:$BD$355,MATCH($C373,Deals!$A$2:$A$355,0)),0))</f>
        <v/>
      </c>
      <c r="AP373" s="18">
        <f>IF($AO373=0,0,IFERROR(INDEX(Deals!$BJ$2:$BP$355,MATCH($C373,Deals!$A$2:$A$355,0),MATCH($F373,Deals!$BJ$1:$BP$1,0))/COUNTIFS(Assignments!$C$2:$C$769,$C373,Assignments!$F$2:$F$769,$F373,Assignments!$G$2:$G$769,"Active"),0))</f>
        <v/>
      </c>
    </row>
    <row r="374">
      <c r="A374" s="28" t="inlineStr">
        <is>
          <t>Patch</t>
        </is>
      </c>
      <c r="B374" s="16">
        <f>IF($A374="","",IFERROR(INDEX(Roster!$B$2:$B$40,MATCH($A374,Roster!$A$2:$A$40,0)),"?"))</f>
        <v/>
      </c>
      <c r="C374" s="28" t="inlineStr">
        <is>
          <t>Challenger_1</t>
        </is>
      </c>
      <c r="D374" s="16">
        <f>IF($C374="","",IFERROR(IF(INDEX(Deals!$C$2:$C$355,MATCH($C374,Deals!$A$2:$A$355,0))=0,"",INDEX(Deals!$C$2:$C$355,MATCH($C374,Deals!$A$2:$A$355,0))),"?"))</f>
        <v/>
      </c>
      <c r="E374" s="16">
        <f>IF($C374="","",IFERROR(INDEX(Deals!$F$2:$F$355,MATCH($C374,Deals!$A$2:$A$355,0)),"?"))</f>
        <v/>
      </c>
      <c r="F374" s="28" t="inlineStr">
        <is>
          <t>VP</t>
        </is>
      </c>
      <c r="G374" s="28" t="inlineStr">
        <is>
          <t>Active</t>
        </is>
      </c>
      <c r="H374" s="31" t="n"/>
      <c r="I374" s="32">
        <f>IF(OR($A374="",$G374&lt;&gt;"Active"),0,IF($H374&lt;&gt;"",$H374,IF($AO374&gt;0,$AP374,IF(AND($R374&lt;&gt;"",IFERROR(INDEX(Templates!$B$3:$H$10,MATCH($R374,Templates!$A$3:$A$10,0),MATCH($F374,Templates!$B$2:$H$2,0)),0)&gt;0),INDEX(Templates!$B$3:$H$10,MATCH($R374,Templates!$A$3:$A$10,0),MATCH($F374,Templates!$B$2:$H$2,0)),IFERROR(INDEX(Settings!$B$8:$B$14,MATCH($F374,Settings!$A$8:$A$14,0)),0)))))</f>
        <v/>
      </c>
      <c r="J374" s="21">
        <f>IF($C374="",0,IFERROR(INDEX(Deals!$H$2:$H$355,MATCH($C374,Deals!$A$2:$A$355,0)),0))</f>
        <v/>
      </c>
      <c r="K374" s="32">
        <f>IF(Settings!$B$4="Yes",$I374*$J374,$I374)</f>
        <v/>
      </c>
      <c r="L374" s="22">
        <f>IF($C374="","",IFERROR(IF(INDEX(Deals!$I$2:$I$355,MATCH($C374,Deals!$A$2:$A$355,0))=0,"",INDEX(Deals!$I$2:$I$355,MATCH($C374,Deals!$A$2:$A$355,0))),""))</f>
        <v/>
      </c>
      <c r="M374" s="22">
        <f>IF($C374="","",IFERROR(IF(INDEX(Deals!$J$2:$J$355,MATCH($C374,Deals!$A$2:$A$355,0))=0,"",INDEX(Deals!$J$2:$J$355,MATCH($C374,Deals!$A$2:$A$355,0))),""))</f>
        <v/>
      </c>
      <c r="N374" s="35">
        <f>IF($L374="",DATE(1900,1,1),$L374)</f>
        <v/>
      </c>
      <c r="O374" s="35">
        <f>IF($M374="",DATE(2100,12,31),$M374)</f>
        <v/>
      </c>
      <c r="P374" s="20" t="inlineStr">
        <is>
          <t>Ongoing</t>
        </is>
      </c>
      <c r="Q374" s="47" t="inlineStr"/>
      <c r="R374" s="16">
        <f>IF($C374="","",IFERROR(IF(INDEX(Deals!$U$2:$U$355,MATCH($C374,Deals!$A$2:$A$355,0))=0,"",INDEX(Deals!$U$2:$U$355,MATCH($C374,Deals!$A$2:$A$355,0))),""))</f>
        <v/>
      </c>
      <c r="S374" s="34">
        <f>IFERROR(IF($U374="",1,INDEX(Deals!$V$2:$V$355,MATCH($C374,Deals!$A$2:$A$355,0))),1)</f>
        <v/>
      </c>
      <c r="T374" s="34">
        <f>IFERROR(IF($U374="",1,INDEX(Deals!$W$2:$W$355,MATCH($C374,Deals!$A$2:$A$355,0))),1)</f>
        <v/>
      </c>
      <c r="U374" s="22">
        <f>IF($C374="","",IFERROR(IF(INDEX(Deals!$Y$2:$Y$355,MATCH($C374,Deals!$A$2:$A$355,0))=0,"",INDEX(Deals!$Y$2:$Y$355,MATCH($C374,Deals!$A$2:$A$355,0))),""))</f>
        <v/>
      </c>
      <c r="V374" s="35">
        <f>IF(OR($U374&lt;&gt;"",AND($AO374&gt;0,$L374&lt;&gt;"",$M374&lt;&gt;"")),$N374,DATE(1900,1,1))</f>
        <v/>
      </c>
      <c r="W374" s="35">
        <f>IF($U374&lt;&gt;"",$U374,IF(AND($AO374&gt;0,$L374&lt;&gt;"",$M374&lt;&gt;""),$O374,DATE(2100,12,31)))</f>
        <v/>
      </c>
      <c r="X374" s="32">
        <f>IF($U374="",$K374,$K374*$S374)</f>
        <v/>
      </c>
      <c r="Y374" s="35">
        <f>IF($U374="",DATE(2100,12,31),$U374+1)</f>
        <v/>
      </c>
      <c r="Z374" s="35">
        <f>IF($U374="",DATE(1900,1,1),$O374)</f>
        <v/>
      </c>
      <c r="AA374" s="32">
        <f>IF($U374="",0,$K374*$T374)</f>
        <v/>
      </c>
      <c r="AB374" s="21">
        <f>IF($C374="",0,IFERROR(INDEX(Deals!$AD$2:$AD$355,MATCH($C374,Deals!$A$2:$A$355,0)),0))</f>
        <v/>
      </c>
      <c r="AC374" s="32">
        <f>IF(Settings!$B$4="Yes",$I374*$AB374,$I374)</f>
        <v/>
      </c>
      <c r="AD374" s="22">
        <f>IF($C374="","",IFERROR(IF(INDEX(Deals!$AE$2:$AE$355,MATCH($C374,Deals!$A$2:$A$355,0))=0,"",INDEX(Deals!$AE$2:$AE$355,MATCH($C374,Deals!$A$2:$A$355,0))),""))</f>
        <v/>
      </c>
      <c r="AE374" s="22">
        <f>IF($C374="","",IFERROR(IF(INDEX(Deals!$AF$2:$AF$355,MATCH($C374,Deals!$A$2:$A$355,0))=0,"",INDEX(Deals!$AF$2:$AF$355,MATCH($C374,Deals!$A$2:$A$355,0))),""))</f>
        <v/>
      </c>
      <c r="AF374" s="35">
        <f>IF($AD374="",DATE(1900,1,1),$AD374)</f>
        <v/>
      </c>
      <c r="AG374" s="35">
        <f>IF($AE374="",DATE(2100,12,31),$AE374)</f>
        <v/>
      </c>
      <c r="AH374" s="22">
        <f>IF($C374="","",IFERROR(IF(INDEX(Deals!$AG$2:$AG$355,MATCH($C374,Deals!$A$2:$A$355,0))=0,"",INDEX(Deals!$AG$2:$AG$355,MATCH($C374,Deals!$A$2:$A$355,0))),""))</f>
        <v/>
      </c>
      <c r="AI374" s="35">
        <f>IF(OR($AH374&lt;&gt;"",AND($AO374&gt;0,$AD374&lt;&gt;"",$AE374&lt;&gt;"")),$AF374,DATE(1900,1,1))</f>
        <v/>
      </c>
      <c r="AJ374" s="35">
        <f>IF($AH374&lt;&gt;"",$AH374,IF(AND($AO374&gt;0,$AD374&lt;&gt;"",$AE374&lt;&gt;""),$AG374,DATE(2100,12,31)))</f>
        <v/>
      </c>
      <c r="AK374" s="32">
        <f>IF($AH374="",$AC374,$AC374*$S374)</f>
        <v/>
      </c>
      <c r="AL374" s="35">
        <f>IF($AH374="",DATE(2100,12,31),$AH374+1)</f>
        <v/>
      </c>
      <c r="AM374" s="35">
        <f>IF($AH374="",DATE(1900,1,1),$AG374)</f>
        <v/>
      </c>
      <c r="AN374" s="32">
        <f>IF($AH374="",0,$AC374*$T374)</f>
        <v/>
      </c>
      <c r="AO374" s="46">
        <f>IF($C374="",0,IFERROR(INDEX(Deals!$BD$2:$BD$355,MATCH($C374,Deals!$A$2:$A$355,0)),0))</f>
        <v/>
      </c>
      <c r="AP374" s="18">
        <f>IF($AO374=0,0,IFERROR(INDEX(Deals!$BJ$2:$BP$355,MATCH($C374,Deals!$A$2:$A$355,0),MATCH($F374,Deals!$BJ$1:$BP$1,0))/COUNTIFS(Assignments!$C$2:$C$769,$C374,Assignments!$F$2:$F$769,$F374,Assignments!$G$2:$G$769,"Active"),0))</f>
        <v/>
      </c>
    </row>
    <row r="375">
      <c r="A375" s="28" t="inlineStr">
        <is>
          <t>Patch</t>
        </is>
      </c>
      <c r="B375" s="16">
        <f>IF($A375="","",IFERROR(INDEX(Roster!$B$2:$B$40,MATCH($A375,Roster!$A$2:$A$40,0)),"?"))</f>
        <v/>
      </c>
      <c r="C375" s="28" t="inlineStr">
        <is>
          <t>CLS_1</t>
        </is>
      </c>
      <c r="D375" s="16">
        <f>IF($C375="","",IFERROR(IF(INDEX(Deals!$C$2:$C$355,MATCH($C375,Deals!$A$2:$A$355,0))=0,"",INDEX(Deals!$C$2:$C$355,MATCH($C375,Deals!$A$2:$A$355,0))),"?"))</f>
        <v/>
      </c>
      <c r="E375" s="16">
        <f>IF($C375="","",IFERROR(INDEX(Deals!$F$2:$F$355,MATCH($C375,Deals!$A$2:$A$355,0)),"?"))</f>
        <v/>
      </c>
      <c r="F375" s="28" t="inlineStr">
        <is>
          <t>VP</t>
        </is>
      </c>
      <c r="G375" s="28" t="inlineStr">
        <is>
          <t>Inactive</t>
        </is>
      </c>
      <c r="H375" s="31" t="n"/>
      <c r="I375" s="32">
        <f>IF(OR($A375="",$G375&lt;&gt;"Active"),0,IF($H375&lt;&gt;"",$H375,IF($AO375&gt;0,$AP375,IF(AND($R375&lt;&gt;"",IFERROR(INDEX(Templates!$B$3:$H$10,MATCH($R375,Templates!$A$3:$A$10,0),MATCH($F375,Templates!$B$2:$H$2,0)),0)&gt;0),INDEX(Templates!$B$3:$H$10,MATCH($R375,Templates!$A$3:$A$10,0),MATCH($F375,Templates!$B$2:$H$2,0)),IFERROR(INDEX(Settings!$B$8:$B$14,MATCH($F375,Settings!$A$8:$A$14,0)),0)))))</f>
        <v/>
      </c>
      <c r="J375" s="21">
        <f>IF($C375="",0,IFERROR(INDEX(Deals!$H$2:$H$355,MATCH($C375,Deals!$A$2:$A$355,0)),0))</f>
        <v/>
      </c>
      <c r="K375" s="32">
        <f>IF(Settings!$B$4="Yes",$I375*$J375,$I375)</f>
        <v/>
      </c>
      <c r="L375" s="22">
        <f>IF($C375="","",IFERROR(IF(INDEX(Deals!$I$2:$I$355,MATCH($C375,Deals!$A$2:$A$355,0))=0,"",INDEX(Deals!$I$2:$I$355,MATCH($C375,Deals!$A$2:$A$355,0))),""))</f>
        <v/>
      </c>
      <c r="M375" s="22">
        <f>IF($C375="","",IFERROR(IF(INDEX(Deals!$J$2:$J$355,MATCH($C375,Deals!$A$2:$A$355,0))=0,"",INDEX(Deals!$J$2:$J$355,MATCH($C375,Deals!$A$2:$A$355,0))),""))</f>
        <v/>
      </c>
      <c r="N375" s="35">
        <f>IF($L375="",DATE(1900,1,1),$L375)</f>
        <v/>
      </c>
      <c r="O375" s="35">
        <f>IF($M375="",DATE(2100,12,31),$M375)</f>
        <v/>
      </c>
      <c r="P375" s="20" t="inlineStr">
        <is>
          <t>Not sure what's going on with this one. This is an old project.</t>
        </is>
      </c>
      <c r="Q375" s="47" t="inlineStr">
        <is>
          <t>Inactive - confirmed by review 2026-07-19 (user: no)</t>
        </is>
      </c>
      <c r="R375" s="16">
        <f>IF($C375="","",IFERROR(IF(INDEX(Deals!$U$2:$U$355,MATCH($C375,Deals!$A$2:$A$355,0))=0,"",INDEX(Deals!$U$2:$U$355,MATCH($C375,Deals!$A$2:$A$355,0))),""))</f>
        <v/>
      </c>
      <c r="S375" s="34">
        <f>IFERROR(IF($U375="",1,INDEX(Deals!$V$2:$V$355,MATCH($C375,Deals!$A$2:$A$355,0))),1)</f>
        <v/>
      </c>
      <c r="T375" s="34">
        <f>IFERROR(IF($U375="",1,INDEX(Deals!$W$2:$W$355,MATCH($C375,Deals!$A$2:$A$355,0))),1)</f>
        <v/>
      </c>
      <c r="U375" s="22">
        <f>IF($C375="","",IFERROR(IF(INDEX(Deals!$Y$2:$Y$355,MATCH($C375,Deals!$A$2:$A$355,0))=0,"",INDEX(Deals!$Y$2:$Y$355,MATCH($C375,Deals!$A$2:$A$355,0))),""))</f>
        <v/>
      </c>
      <c r="V375" s="35">
        <f>IF(OR($U375&lt;&gt;"",AND($AO375&gt;0,$L375&lt;&gt;"",$M375&lt;&gt;"")),$N375,DATE(1900,1,1))</f>
        <v/>
      </c>
      <c r="W375" s="35">
        <f>IF($U375&lt;&gt;"",$U375,IF(AND($AO375&gt;0,$L375&lt;&gt;"",$M375&lt;&gt;""),$O375,DATE(2100,12,31)))</f>
        <v/>
      </c>
      <c r="X375" s="32">
        <f>IF($U375="",$K375,$K375*$S375)</f>
        <v/>
      </c>
      <c r="Y375" s="35">
        <f>IF($U375="",DATE(2100,12,31),$U375+1)</f>
        <v/>
      </c>
      <c r="Z375" s="35">
        <f>IF($U375="",DATE(1900,1,1),$O375)</f>
        <v/>
      </c>
      <c r="AA375" s="32">
        <f>IF($U375="",0,$K375*$T375)</f>
        <v/>
      </c>
      <c r="AB375" s="21">
        <f>IF($C375="",0,IFERROR(INDEX(Deals!$AD$2:$AD$355,MATCH($C375,Deals!$A$2:$A$355,0)),0))</f>
        <v/>
      </c>
      <c r="AC375" s="32">
        <f>IF(Settings!$B$4="Yes",$I375*$AB375,$I375)</f>
        <v/>
      </c>
      <c r="AD375" s="22">
        <f>IF($C375="","",IFERROR(IF(INDEX(Deals!$AE$2:$AE$355,MATCH($C375,Deals!$A$2:$A$355,0))=0,"",INDEX(Deals!$AE$2:$AE$355,MATCH($C375,Deals!$A$2:$A$355,0))),""))</f>
        <v/>
      </c>
      <c r="AE375" s="22">
        <f>IF($C375="","",IFERROR(IF(INDEX(Deals!$AF$2:$AF$355,MATCH($C375,Deals!$A$2:$A$355,0))=0,"",INDEX(Deals!$AF$2:$AF$355,MATCH($C375,Deals!$A$2:$A$355,0))),""))</f>
        <v/>
      </c>
      <c r="AF375" s="35">
        <f>IF($AD375="",DATE(1900,1,1),$AD375)</f>
        <v/>
      </c>
      <c r="AG375" s="35">
        <f>IF($AE375="",DATE(2100,12,31),$AE375)</f>
        <v/>
      </c>
      <c r="AH375" s="22">
        <f>IF($C375="","",IFERROR(IF(INDEX(Deals!$AG$2:$AG$355,MATCH($C375,Deals!$A$2:$A$355,0))=0,"",INDEX(Deals!$AG$2:$AG$355,MATCH($C375,Deals!$A$2:$A$355,0))),""))</f>
        <v/>
      </c>
      <c r="AI375" s="35">
        <f>IF(OR($AH375&lt;&gt;"",AND($AO375&gt;0,$AD375&lt;&gt;"",$AE375&lt;&gt;"")),$AF375,DATE(1900,1,1))</f>
        <v/>
      </c>
      <c r="AJ375" s="35">
        <f>IF($AH375&lt;&gt;"",$AH375,IF(AND($AO375&gt;0,$AD375&lt;&gt;"",$AE375&lt;&gt;""),$AG375,DATE(2100,12,31)))</f>
        <v/>
      </c>
      <c r="AK375" s="32">
        <f>IF($AH375="",$AC375,$AC375*$S375)</f>
        <v/>
      </c>
      <c r="AL375" s="35">
        <f>IF($AH375="",DATE(2100,12,31),$AH375+1)</f>
        <v/>
      </c>
      <c r="AM375" s="35">
        <f>IF($AH375="",DATE(1900,1,1),$AG375)</f>
        <v/>
      </c>
      <c r="AN375" s="32">
        <f>IF($AH375="",0,$AC375*$T375)</f>
        <v/>
      </c>
      <c r="AO375" s="46">
        <f>IF($C375="",0,IFERROR(INDEX(Deals!$BD$2:$BD$355,MATCH($C375,Deals!$A$2:$A$355,0)),0))</f>
        <v/>
      </c>
      <c r="AP375" s="18">
        <f>IF($AO375=0,0,IFERROR(INDEX(Deals!$BJ$2:$BP$355,MATCH($C375,Deals!$A$2:$A$355,0),MATCH($F375,Deals!$BJ$1:$BP$1,0))/COUNTIFS(Assignments!$C$2:$C$769,$C375,Assignments!$F$2:$F$769,$F375,Assignments!$G$2:$G$769,"Active"),0))</f>
        <v/>
      </c>
    </row>
    <row r="376">
      <c r="A376" s="28" t="inlineStr">
        <is>
          <t>Patch</t>
        </is>
      </c>
      <c r="B376" s="16">
        <f>IF($A376="","",IFERROR(INDEX(Roster!$B$2:$B$40,MATCH($A376,Roster!$A$2:$A$40,0)),"?"))</f>
        <v/>
      </c>
      <c r="C376" s="28" t="inlineStr">
        <is>
          <t>Dawn_1</t>
        </is>
      </c>
      <c r="D376" s="16">
        <f>IF($C376="","",IFERROR(IF(INDEX(Deals!$C$2:$C$355,MATCH($C376,Deals!$A$2:$A$355,0))=0,"",INDEX(Deals!$C$2:$C$355,MATCH($C376,Deals!$A$2:$A$355,0))),"?"))</f>
        <v/>
      </c>
      <c r="E376" s="16">
        <f>IF($C376="","",IFERROR(INDEX(Deals!$F$2:$F$355,MATCH($C376,Deals!$A$2:$A$355,0)),"?"))</f>
        <v/>
      </c>
      <c r="F376" s="28" t="inlineStr">
        <is>
          <t>VP</t>
        </is>
      </c>
      <c r="G376" s="28" t="inlineStr">
        <is>
          <t>Inactive</t>
        </is>
      </c>
      <c r="H376" s="31" t="n"/>
      <c r="I376" s="32">
        <f>IF(OR($A376="",$G376&lt;&gt;"Active"),0,IF($H376&lt;&gt;"",$H376,IF($AO376&gt;0,$AP376,IF(AND($R376&lt;&gt;"",IFERROR(INDEX(Templates!$B$3:$H$10,MATCH($R376,Templates!$A$3:$A$10,0),MATCH($F376,Templates!$B$2:$H$2,0)),0)&gt;0),INDEX(Templates!$B$3:$H$10,MATCH($R376,Templates!$A$3:$A$10,0),MATCH($F376,Templates!$B$2:$H$2,0)),IFERROR(INDEX(Settings!$B$8:$B$14,MATCH($F376,Settings!$A$8:$A$14,0)),0)))))</f>
        <v/>
      </c>
      <c r="J376" s="21">
        <f>IF($C376="",0,IFERROR(INDEX(Deals!$H$2:$H$355,MATCH($C376,Deals!$A$2:$A$355,0)),0))</f>
        <v/>
      </c>
      <c r="K376" s="32">
        <f>IF(Settings!$B$4="Yes",$I376*$J376,$I376)</f>
        <v/>
      </c>
      <c r="L376" s="22">
        <f>IF($C376="","",IFERROR(IF(INDEX(Deals!$I$2:$I$355,MATCH($C376,Deals!$A$2:$A$355,0))=0,"",INDEX(Deals!$I$2:$I$355,MATCH($C376,Deals!$A$2:$A$355,0))),""))</f>
        <v/>
      </c>
      <c r="M376" s="22">
        <f>IF($C376="","",IFERROR(IF(INDEX(Deals!$J$2:$J$355,MATCH($C376,Deals!$A$2:$A$355,0))=0,"",INDEX(Deals!$J$2:$J$355,MATCH($C376,Deals!$A$2:$A$355,0))),""))</f>
        <v/>
      </c>
      <c r="N376" s="35">
        <f>IF($L376="",DATE(1900,1,1),$L376)</f>
        <v/>
      </c>
      <c r="O376" s="35">
        <f>IF($M376="",DATE(2100,12,31),$M376)</f>
        <v/>
      </c>
      <c r="P376" s="20" t="inlineStr">
        <is>
          <t>This was probably when I was helping check tax insurance datarooms.</t>
        </is>
      </c>
      <c r="Q376" s="47" t="inlineStr"/>
      <c r="R376" s="16">
        <f>IF($C376="","",IFERROR(IF(INDEX(Deals!$U$2:$U$355,MATCH($C376,Deals!$A$2:$A$355,0))=0,"",INDEX(Deals!$U$2:$U$355,MATCH($C376,Deals!$A$2:$A$355,0))),""))</f>
        <v/>
      </c>
      <c r="S376" s="34">
        <f>IFERROR(IF($U376="",1,INDEX(Deals!$V$2:$V$355,MATCH($C376,Deals!$A$2:$A$355,0))),1)</f>
        <v/>
      </c>
      <c r="T376" s="34">
        <f>IFERROR(IF($U376="",1,INDEX(Deals!$W$2:$W$355,MATCH($C376,Deals!$A$2:$A$355,0))),1)</f>
        <v/>
      </c>
      <c r="U376" s="22">
        <f>IF($C376="","",IFERROR(IF(INDEX(Deals!$Y$2:$Y$355,MATCH($C376,Deals!$A$2:$A$355,0))=0,"",INDEX(Deals!$Y$2:$Y$355,MATCH($C376,Deals!$A$2:$A$355,0))),""))</f>
        <v/>
      </c>
      <c r="V376" s="35">
        <f>IF(OR($U376&lt;&gt;"",AND($AO376&gt;0,$L376&lt;&gt;"",$M376&lt;&gt;"")),$N376,DATE(1900,1,1))</f>
        <v/>
      </c>
      <c r="W376" s="35">
        <f>IF($U376&lt;&gt;"",$U376,IF(AND($AO376&gt;0,$L376&lt;&gt;"",$M376&lt;&gt;""),$O376,DATE(2100,12,31)))</f>
        <v/>
      </c>
      <c r="X376" s="32">
        <f>IF($U376="",$K376,$K376*$S376)</f>
        <v/>
      </c>
      <c r="Y376" s="35">
        <f>IF($U376="",DATE(2100,12,31),$U376+1)</f>
        <v/>
      </c>
      <c r="Z376" s="35">
        <f>IF($U376="",DATE(1900,1,1),$O376)</f>
        <v/>
      </c>
      <c r="AA376" s="32">
        <f>IF($U376="",0,$K376*$T376)</f>
        <v/>
      </c>
      <c r="AB376" s="21">
        <f>IF($C376="",0,IFERROR(INDEX(Deals!$AD$2:$AD$355,MATCH($C376,Deals!$A$2:$A$355,0)),0))</f>
        <v/>
      </c>
      <c r="AC376" s="32">
        <f>IF(Settings!$B$4="Yes",$I376*$AB376,$I376)</f>
        <v/>
      </c>
      <c r="AD376" s="22">
        <f>IF($C376="","",IFERROR(IF(INDEX(Deals!$AE$2:$AE$355,MATCH($C376,Deals!$A$2:$A$355,0))=0,"",INDEX(Deals!$AE$2:$AE$355,MATCH($C376,Deals!$A$2:$A$355,0))),""))</f>
        <v/>
      </c>
      <c r="AE376" s="22">
        <f>IF($C376="","",IFERROR(IF(INDEX(Deals!$AF$2:$AF$355,MATCH($C376,Deals!$A$2:$A$355,0))=0,"",INDEX(Deals!$AF$2:$AF$355,MATCH($C376,Deals!$A$2:$A$355,0))),""))</f>
        <v/>
      </c>
      <c r="AF376" s="35">
        <f>IF($AD376="",DATE(1900,1,1),$AD376)</f>
        <v/>
      </c>
      <c r="AG376" s="35">
        <f>IF($AE376="",DATE(2100,12,31),$AE376)</f>
        <v/>
      </c>
      <c r="AH376" s="22">
        <f>IF($C376="","",IFERROR(IF(INDEX(Deals!$AG$2:$AG$355,MATCH($C376,Deals!$A$2:$A$355,0))=0,"",INDEX(Deals!$AG$2:$AG$355,MATCH($C376,Deals!$A$2:$A$355,0))),""))</f>
        <v/>
      </c>
      <c r="AI376" s="35">
        <f>IF(OR($AH376&lt;&gt;"",AND($AO376&gt;0,$AD376&lt;&gt;"",$AE376&lt;&gt;"")),$AF376,DATE(1900,1,1))</f>
        <v/>
      </c>
      <c r="AJ376" s="35">
        <f>IF($AH376&lt;&gt;"",$AH376,IF(AND($AO376&gt;0,$AD376&lt;&gt;"",$AE376&lt;&gt;""),$AG376,DATE(2100,12,31)))</f>
        <v/>
      </c>
      <c r="AK376" s="32">
        <f>IF($AH376="",$AC376,$AC376*$S376)</f>
        <v/>
      </c>
      <c r="AL376" s="35">
        <f>IF($AH376="",DATE(2100,12,31),$AH376+1)</f>
        <v/>
      </c>
      <c r="AM376" s="35">
        <f>IF($AH376="",DATE(1900,1,1),$AG376)</f>
        <v/>
      </c>
      <c r="AN376" s="32">
        <f>IF($AH376="",0,$AC376*$T376)</f>
        <v/>
      </c>
      <c r="AO376" s="46">
        <f>IF($C376="",0,IFERROR(INDEX(Deals!$BD$2:$BD$355,MATCH($C376,Deals!$A$2:$A$355,0)),0))</f>
        <v/>
      </c>
      <c r="AP376" s="18">
        <f>IF($AO376=0,0,IFERROR(INDEX(Deals!$BJ$2:$BP$355,MATCH($C376,Deals!$A$2:$A$355,0),MATCH($F376,Deals!$BJ$1:$BP$1,0))/COUNTIFS(Assignments!$C$2:$C$769,$C376,Assignments!$F$2:$F$769,$F376,Assignments!$G$2:$G$769,"Active"),0))</f>
        <v/>
      </c>
    </row>
    <row r="377">
      <c r="A377" s="28" t="inlineStr">
        <is>
          <t>Patch</t>
        </is>
      </c>
      <c r="B377" s="16">
        <f>IF($A377="","",IFERROR(INDEX(Roster!$B$2:$B$40,MATCH($A377,Roster!$A$2:$A$40,0)),"?"))</f>
        <v/>
      </c>
      <c r="C377" s="28" t="inlineStr">
        <is>
          <t>Destiny_1</t>
        </is>
      </c>
      <c r="D377" s="16">
        <f>IF($C377="","",IFERROR(IF(INDEX(Deals!$C$2:$C$355,MATCH($C377,Deals!$A$2:$A$355,0))=0,"",INDEX(Deals!$C$2:$C$355,MATCH($C377,Deals!$A$2:$A$355,0))),"?"))</f>
        <v/>
      </c>
      <c r="E377" s="16">
        <f>IF($C377="","",IFERROR(INDEX(Deals!$F$2:$F$355,MATCH($C377,Deals!$A$2:$A$355,0)),"?"))</f>
        <v/>
      </c>
      <c r="F377" s="28" t="inlineStr">
        <is>
          <t>VP</t>
        </is>
      </c>
      <c r="G377" s="28" t="inlineStr">
        <is>
          <t>Inactive</t>
        </is>
      </c>
      <c r="H377" s="31" t="n"/>
      <c r="I377" s="32">
        <f>IF(OR($A377="",$G377&lt;&gt;"Active"),0,IF($H377&lt;&gt;"",$H377,IF($AO377&gt;0,$AP377,IF(AND($R377&lt;&gt;"",IFERROR(INDEX(Templates!$B$3:$H$10,MATCH($R377,Templates!$A$3:$A$10,0),MATCH($F377,Templates!$B$2:$H$2,0)),0)&gt;0),INDEX(Templates!$B$3:$H$10,MATCH($R377,Templates!$A$3:$A$10,0),MATCH($F377,Templates!$B$2:$H$2,0)),IFERROR(INDEX(Settings!$B$8:$B$14,MATCH($F377,Settings!$A$8:$A$14,0)),0)))))</f>
        <v/>
      </c>
      <c r="J377" s="21">
        <f>IF($C377="",0,IFERROR(INDEX(Deals!$H$2:$H$355,MATCH($C377,Deals!$A$2:$A$355,0)),0))</f>
        <v/>
      </c>
      <c r="K377" s="32">
        <f>IF(Settings!$B$4="Yes",$I377*$J377,$I377)</f>
        <v/>
      </c>
      <c r="L377" s="22">
        <f>IF($C377="","",IFERROR(IF(INDEX(Deals!$I$2:$I$355,MATCH($C377,Deals!$A$2:$A$355,0))=0,"",INDEX(Deals!$I$2:$I$355,MATCH($C377,Deals!$A$2:$A$355,0))),""))</f>
        <v/>
      </c>
      <c r="M377" s="22">
        <f>IF($C377="","",IFERROR(IF(INDEX(Deals!$J$2:$J$355,MATCH($C377,Deals!$A$2:$A$355,0))=0,"",INDEX(Deals!$J$2:$J$355,MATCH($C377,Deals!$A$2:$A$355,0))),""))</f>
        <v/>
      </c>
      <c r="N377" s="35">
        <f>IF($L377="",DATE(1900,1,1),$L377)</f>
        <v/>
      </c>
      <c r="O377" s="35">
        <f>IF($M377="",DATE(2100,12,31),$M377)</f>
        <v/>
      </c>
      <c r="P377" s="20" t="inlineStr">
        <is>
          <t>This was probably when I was helping check tax insurance datarooms.</t>
        </is>
      </c>
      <c r="Q377" s="47" t="inlineStr"/>
      <c r="R377" s="16">
        <f>IF($C377="","",IFERROR(IF(INDEX(Deals!$U$2:$U$355,MATCH($C377,Deals!$A$2:$A$355,0))=0,"",INDEX(Deals!$U$2:$U$355,MATCH($C377,Deals!$A$2:$A$355,0))),""))</f>
        <v/>
      </c>
      <c r="S377" s="34">
        <f>IFERROR(IF($U377="",1,INDEX(Deals!$V$2:$V$355,MATCH($C377,Deals!$A$2:$A$355,0))),1)</f>
        <v/>
      </c>
      <c r="T377" s="34">
        <f>IFERROR(IF($U377="",1,INDEX(Deals!$W$2:$W$355,MATCH($C377,Deals!$A$2:$A$355,0))),1)</f>
        <v/>
      </c>
      <c r="U377" s="22">
        <f>IF($C377="","",IFERROR(IF(INDEX(Deals!$Y$2:$Y$355,MATCH($C377,Deals!$A$2:$A$355,0))=0,"",INDEX(Deals!$Y$2:$Y$355,MATCH($C377,Deals!$A$2:$A$355,0))),""))</f>
        <v/>
      </c>
      <c r="V377" s="35">
        <f>IF(OR($U377&lt;&gt;"",AND($AO377&gt;0,$L377&lt;&gt;"",$M377&lt;&gt;"")),$N377,DATE(1900,1,1))</f>
        <v/>
      </c>
      <c r="W377" s="35">
        <f>IF($U377&lt;&gt;"",$U377,IF(AND($AO377&gt;0,$L377&lt;&gt;"",$M377&lt;&gt;""),$O377,DATE(2100,12,31)))</f>
        <v/>
      </c>
      <c r="X377" s="32">
        <f>IF($U377="",$K377,$K377*$S377)</f>
        <v/>
      </c>
      <c r="Y377" s="35">
        <f>IF($U377="",DATE(2100,12,31),$U377+1)</f>
        <v/>
      </c>
      <c r="Z377" s="35">
        <f>IF($U377="",DATE(1900,1,1),$O377)</f>
        <v/>
      </c>
      <c r="AA377" s="32">
        <f>IF($U377="",0,$K377*$T377)</f>
        <v/>
      </c>
      <c r="AB377" s="21">
        <f>IF($C377="",0,IFERROR(INDEX(Deals!$AD$2:$AD$355,MATCH($C377,Deals!$A$2:$A$355,0)),0))</f>
        <v/>
      </c>
      <c r="AC377" s="32">
        <f>IF(Settings!$B$4="Yes",$I377*$AB377,$I377)</f>
        <v/>
      </c>
      <c r="AD377" s="22">
        <f>IF($C377="","",IFERROR(IF(INDEX(Deals!$AE$2:$AE$355,MATCH($C377,Deals!$A$2:$A$355,0))=0,"",INDEX(Deals!$AE$2:$AE$355,MATCH($C377,Deals!$A$2:$A$355,0))),""))</f>
        <v/>
      </c>
      <c r="AE377" s="22">
        <f>IF($C377="","",IFERROR(IF(INDEX(Deals!$AF$2:$AF$355,MATCH($C377,Deals!$A$2:$A$355,0))=0,"",INDEX(Deals!$AF$2:$AF$355,MATCH($C377,Deals!$A$2:$A$355,0))),""))</f>
        <v/>
      </c>
      <c r="AF377" s="35">
        <f>IF($AD377="",DATE(1900,1,1),$AD377)</f>
        <v/>
      </c>
      <c r="AG377" s="35">
        <f>IF($AE377="",DATE(2100,12,31),$AE377)</f>
        <v/>
      </c>
      <c r="AH377" s="22">
        <f>IF($C377="","",IFERROR(IF(INDEX(Deals!$AG$2:$AG$355,MATCH($C377,Deals!$A$2:$A$355,0))=0,"",INDEX(Deals!$AG$2:$AG$355,MATCH($C377,Deals!$A$2:$A$355,0))),""))</f>
        <v/>
      </c>
      <c r="AI377" s="35">
        <f>IF(OR($AH377&lt;&gt;"",AND($AO377&gt;0,$AD377&lt;&gt;"",$AE377&lt;&gt;"")),$AF377,DATE(1900,1,1))</f>
        <v/>
      </c>
      <c r="AJ377" s="35">
        <f>IF($AH377&lt;&gt;"",$AH377,IF(AND($AO377&gt;0,$AD377&lt;&gt;"",$AE377&lt;&gt;""),$AG377,DATE(2100,12,31)))</f>
        <v/>
      </c>
      <c r="AK377" s="32">
        <f>IF($AH377="",$AC377,$AC377*$S377)</f>
        <v/>
      </c>
      <c r="AL377" s="35">
        <f>IF($AH377="",DATE(2100,12,31),$AH377+1)</f>
        <v/>
      </c>
      <c r="AM377" s="35">
        <f>IF($AH377="",DATE(1900,1,1),$AG377)</f>
        <v/>
      </c>
      <c r="AN377" s="32">
        <f>IF($AH377="",0,$AC377*$T377)</f>
        <v/>
      </c>
      <c r="AO377" s="46">
        <f>IF($C377="",0,IFERROR(INDEX(Deals!$BD$2:$BD$355,MATCH($C377,Deals!$A$2:$A$355,0)),0))</f>
        <v/>
      </c>
      <c r="AP377" s="18">
        <f>IF($AO377=0,0,IFERROR(INDEX(Deals!$BJ$2:$BP$355,MATCH($C377,Deals!$A$2:$A$355,0),MATCH($F377,Deals!$BJ$1:$BP$1,0))/COUNTIFS(Assignments!$C$2:$C$769,$C377,Assignments!$F$2:$F$769,$F377,Assignments!$G$2:$G$769,"Active"),0))</f>
        <v/>
      </c>
    </row>
    <row r="378">
      <c r="A378" s="28" t="inlineStr">
        <is>
          <t>Patch</t>
        </is>
      </c>
      <c r="B378" s="16">
        <f>IF($A378="","",IFERROR(INDEX(Roster!$B$2:$B$40,MATCH($A378,Roster!$A$2:$A$40,0)),"?"))</f>
        <v/>
      </c>
      <c r="C378" s="28" t="inlineStr">
        <is>
          <t>DIF Twister_2</t>
        </is>
      </c>
      <c r="D378" s="16">
        <f>IF($C378="","",IFERROR(IF(INDEX(Deals!$C$2:$C$355,MATCH($C378,Deals!$A$2:$A$355,0))=0,"",INDEX(Deals!$C$2:$C$355,MATCH($C378,Deals!$A$2:$A$355,0))),"?"))</f>
        <v/>
      </c>
      <c r="E378" s="16">
        <f>IF($C378="","",IFERROR(INDEX(Deals!$F$2:$F$355,MATCH($C378,Deals!$A$2:$A$355,0)),"?"))</f>
        <v/>
      </c>
      <c r="F378" s="28" t="inlineStr">
        <is>
          <t>VP</t>
        </is>
      </c>
      <c r="G378" s="28" t="inlineStr">
        <is>
          <t>Active</t>
        </is>
      </c>
      <c r="H378" s="31" t="n"/>
      <c r="I378" s="32">
        <f>IF(OR($A378="",$G378&lt;&gt;"Active"),0,IF($H378&lt;&gt;"",$H378,IF($AO378&gt;0,$AP378,IF(AND($R378&lt;&gt;"",IFERROR(INDEX(Templates!$B$3:$H$10,MATCH($R378,Templates!$A$3:$A$10,0),MATCH($F378,Templates!$B$2:$H$2,0)),0)&gt;0),INDEX(Templates!$B$3:$H$10,MATCH($R378,Templates!$A$3:$A$10,0),MATCH($F378,Templates!$B$2:$H$2,0)),IFERROR(INDEX(Settings!$B$8:$B$14,MATCH($F378,Settings!$A$8:$A$14,0)),0)))))</f>
        <v/>
      </c>
      <c r="J378" s="21">
        <f>IF($C378="",0,IFERROR(INDEX(Deals!$H$2:$H$355,MATCH($C378,Deals!$A$2:$A$355,0)),0))</f>
        <v/>
      </c>
      <c r="K378" s="32">
        <f>IF(Settings!$B$4="Yes",$I378*$J378,$I378)</f>
        <v/>
      </c>
      <c r="L378" s="22">
        <f>IF($C378="","",IFERROR(IF(INDEX(Deals!$I$2:$I$355,MATCH($C378,Deals!$A$2:$A$355,0))=0,"",INDEX(Deals!$I$2:$I$355,MATCH($C378,Deals!$A$2:$A$355,0))),""))</f>
        <v/>
      </c>
      <c r="M378" s="22">
        <f>IF($C378="","",IFERROR(IF(INDEX(Deals!$J$2:$J$355,MATCH($C378,Deals!$A$2:$A$355,0))=0,"",INDEX(Deals!$J$2:$J$355,MATCH($C378,Deals!$A$2:$A$355,0))),""))</f>
        <v/>
      </c>
      <c r="N378" s="35">
        <f>IF($L378="",DATE(1900,1,1),$L378)</f>
        <v/>
      </c>
      <c r="O378" s="35">
        <f>IF($M378="",DATE(2100,12,31),$M378)</f>
        <v/>
      </c>
      <c r="P378" s="20" t="inlineStr">
        <is>
          <t>Ongoing</t>
        </is>
      </c>
      <c r="Q378" s="47" t="inlineStr"/>
      <c r="R378" s="16">
        <f>IF($C378="","",IFERROR(IF(INDEX(Deals!$U$2:$U$355,MATCH($C378,Deals!$A$2:$A$355,0))=0,"",INDEX(Deals!$U$2:$U$355,MATCH($C378,Deals!$A$2:$A$355,0))),""))</f>
        <v/>
      </c>
      <c r="S378" s="34">
        <f>IFERROR(IF($U378="",1,INDEX(Deals!$V$2:$V$355,MATCH($C378,Deals!$A$2:$A$355,0))),1)</f>
        <v/>
      </c>
      <c r="T378" s="34">
        <f>IFERROR(IF($U378="",1,INDEX(Deals!$W$2:$W$355,MATCH($C378,Deals!$A$2:$A$355,0))),1)</f>
        <v/>
      </c>
      <c r="U378" s="22">
        <f>IF($C378="","",IFERROR(IF(INDEX(Deals!$Y$2:$Y$355,MATCH($C378,Deals!$A$2:$A$355,0))=0,"",INDEX(Deals!$Y$2:$Y$355,MATCH($C378,Deals!$A$2:$A$355,0))),""))</f>
        <v/>
      </c>
      <c r="V378" s="35">
        <f>IF(OR($U378&lt;&gt;"",AND($AO378&gt;0,$L378&lt;&gt;"",$M378&lt;&gt;"")),$N378,DATE(1900,1,1))</f>
        <v/>
      </c>
      <c r="W378" s="35">
        <f>IF($U378&lt;&gt;"",$U378,IF(AND($AO378&gt;0,$L378&lt;&gt;"",$M378&lt;&gt;""),$O378,DATE(2100,12,31)))</f>
        <v/>
      </c>
      <c r="X378" s="32">
        <f>IF($U378="",$K378,$K378*$S378)</f>
        <v/>
      </c>
      <c r="Y378" s="35">
        <f>IF($U378="",DATE(2100,12,31),$U378+1)</f>
        <v/>
      </c>
      <c r="Z378" s="35">
        <f>IF($U378="",DATE(1900,1,1),$O378)</f>
        <v/>
      </c>
      <c r="AA378" s="32">
        <f>IF($U378="",0,$K378*$T378)</f>
        <v/>
      </c>
      <c r="AB378" s="21">
        <f>IF($C378="",0,IFERROR(INDEX(Deals!$AD$2:$AD$355,MATCH($C378,Deals!$A$2:$A$355,0)),0))</f>
        <v/>
      </c>
      <c r="AC378" s="32">
        <f>IF(Settings!$B$4="Yes",$I378*$AB378,$I378)</f>
        <v/>
      </c>
      <c r="AD378" s="22">
        <f>IF($C378="","",IFERROR(IF(INDEX(Deals!$AE$2:$AE$355,MATCH($C378,Deals!$A$2:$A$355,0))=0,"",INDEX(Deals!$AE$2:$AE$355,MATCH($C378,Deals!$A$2:$A$355,0))),""))</f>
        <v/>
      </c>
      <c r="AE378" s="22">
        <f>IF($C378="","",IFERROR(IF(INDEX(Deals!$AF$2:$AF$355,MATCH($C378,Deals!$A$2:$A$355,0))=0,"",INDEX(Deals!$AF$2:$AF$355,MATCH($C378,Deals!$A$2:$A$355,0))),""))</f>
        <v/>
      </c>
      <c r="AF378" s="35">
        <f>IF($AD378="",DATE(1900,1,1),$AD378)</f>
        <v/>
      </c>
      <c r="AG378" s="35">
        <f>IF($AE378="",DATE(2100,12,31),$AE378)</f>
        <v/>
      </c>
      <c r="AH378" s="22">
        <f>IF($C378="","",IFERROR(IF(INDEX(Deals!$AG$2:$AG$355,MATCH($C378,Deals!$A$2:$A$355,0))=0,"",INDEX(Deals!$AG$2:$AG$355,MATCH($C378,Deals!$A$2:$A$355,0))),""))</f>
        <v/>
      </c>
      <c r="AI378" s="35">
        <f>IF(OR($AH378&lt;&gt;"",AND($AO378&gt;0,$AD378&lt;&gt;"",$AE378&lt;&gt;"")),$AF378,DATE(1900,1,1))</f>
        <v/>
      </c>
      <c r="AJ378" s="35">
        <f>IF($AH378&lt;&gt;"",$AH378,IF(AND($AO378&gt;0,$AD378&lt;&gt;"",$AE378&lt;&gt;""),$AG378,DATE(2100,12,31)))</f>
        <v/>
      </c>
      <c r="AK378" s="32">
        <f>IF($AH378="",$AC378,$AC378*$S378)</f>
        <v/>
      </c>
      <c r="AL378" s="35">
        <f>IF($AH378="",DATE(2100,12,31),$AH378+1)</f>
        <v/>
      </c>
      <c r="AM378" s="35">
        <f>IF($AH378="",DATE(1900,1,1),$AG378)</f>
        <v/>
      </c>
      <c r="AN378" s="32">
        <f>IF($AH378="",0,$AC378*$T378)</f>
        <v/>
      </c>
      <c r="AO378" s="46">
        <f>IF($C378="",0,IFERROR(INDEX(Deals!$BD$2:$BD$355,MATCH($C378,Deals!$A$2:$A$355,0)),0))</f>
        <v/>
      </c>
      <c r="AP378" s="18">
        <f>IF($AO378=0,0,IFERROR(INDEX(Deals!$BJ$2:$BP$355,MATCH($C378,Deals!$A$2:$A$355,0),MATCH($F378,Deals!$BJ$1:$BP$1,0))/COUNTIFS(Assignments!$C$2:$C$769,$C378,Assignments!$F$2:$F$769,$F378,Assignments!$G$2:$G$769,"Active"),0))</f>
        <v/>
      </c>
    </row>
    <row r="379">
      <c r="A379" s="28" t="inlineStr">
        <is>
          <t>Patch</t>
        </is>
      </c>
      <c r="B379" s="16">
        <f>IF($A379="","",IFERROR(INDEX(Roster!$B$2:$B$40,MATCH($A379,Roster!$A$2:$A$40,0)),"?"))</f>
        <v/>
      </c>
      <c r="C379" s="28" t="inlineStr">
        <is>
          <t>Dorsia_1</t>
        </is>
      </c>
      <c r="D379" s="16">
        <f>IF($C379="","",IFERROR(IF(INDEX(Deals!$C$2:$C$355,MATCH($C379,Deals!$A$2:$A$355,0))=0,"",INDEX(Deals!$C$2:$C$355,MATCH($C379,Deals!$A$2:$A$355,0))),"?"))</f>
        <v/>
      </c>
      <c r="E379" s="16">
        <f>IF($C379="","",IFERROR(INDEX(Deals!$F$2:$F$355,MATCH($C379,Deals!$A$2:$A$355,0)),"?"))</f>
        <v/>
      </c>
      <c r="F379" s="28" t="inlineStr">
        <is>
          <t>VP</t>
        </is>
      </c>
      <c r="G379" s="28" t="inlineStr">
        <is>
          <t>Inactive</t>
        </is>
      </c>
      <c r="H379" s="31" t="n"/>
      <c r="I379" s="32">
        <f>IF(OR($A379="",$G379&lt;&gt;"Active"),0,IF($H379&lt;&gt;"",$H379,IF($AO379&gt;0,$AP379,IF(AND($R379&lt;&gt;"",IFERROR(INDEX(Templates!$B$3:$H$10,MATCH($R379,Templates!$A$3:$A$10,0),MATCH($F379,Templates!$B$2:$H$2,0)),0)&gt;0),INDEX(Templates!$B$3:$H$10,MATCH($R379,Templates!$A$3:$A$10,0),MATCH($F379,Templates!$B$2:$H$2,0)),IFERROR(INDEX(Settings!$B$8:$B$14,MATCH($F379,Settings!$A$8:$A$14,0)),0)))))</f>
        <v/>
      </c>
      <c r="J379" s="21">
        <f>IF($C379="",0,IFERROR(INDEX(Deals!$H$2:$H$355,MATCH($C379,Deals!$A$2:$A$355,0)),0))</f>
        <v/>
      </c>
      <c r="K379" s="32">
        <f>IF(Settings!$B$4="Yes",$I379*$J379,$I379)</f>
        <v/>
      </c>
      <c r="L379" s="22">
        <f>IF($C379="","",IFERROR(IF(INDEX(Deals!$I$2:$I$355,MATCH($C379,Deals!$A$2:$A$355,0))=0,"",INDEX(Deals!$I$2:$I$355,MATCH($C379,Deals!$A$2:$A$355,0))),""))</f>
        <v/>
      </c>
      <c r="M379" s="22">
        <f>IF($C379="","",IFERROR(IF(INDEX(Deals!$J$2:$J$355,MATCH($C379,Deals!$A$2:$A$355,0))=0,"",INDEX(Deals!$J$2:$J$355,MATCH($C379,Deals!$A$2:$A$355,0))),""))</f>
        <v/>
      </c>
      <c r="N379" s="35">
        <f>IF($L379="",DATE(1900,1,1),$L379)</f>
        <v/>
      </c>
      <c r="O379" s="35">
        <f>IF($M379="",DATE(2100,12,31),$M379)</f>
        <v/>
      </c>
      <c r="P379" s="20" t="inlineStr">
        <is>
          <t>Invoiced</t>
        </is>
      </c>
      <c r="Q379" s="47" t="inlineStr"/>
      <c r="R379" s="16">
        <f>IF($C379="","",IFERROR(IF(INDEX(Deals!$U$2:$U$355,MATCH($C379,Deals!$A$2:$A$355,0))=0,"",INDEX(Deals!$U$2:$U$355,MATCH($C379,Deals!$A$2:$A$355,0))),""))</f>
        <v/>
      </c>
      <c r="S379" s="34">
        <f>IFERROR(IF($U379="",1,INDEX(Deals!$V$2:$V$355,MATCH($C379,Deals!$A$2:$A$355,0))),1)</f>
        <v/>
      </c>
      <c r="T379" s="34">
        <f>IFERROR(IF($U379="",1,INDEX(Deals!$W$2:$W$355,MATCH($C379,Deals!$A$2:$A$355,0))),1)</f>
        <v/>
      </c>
      <c r="U379" s="22">
        <f>IF($C379="","",IFERROR(IF(INDEX(Deals!$Y$2:$Y$355,MATCH($C379,Deals!$A$2:$A$355,0))=0,"",INDEX(Deals!$Y$2:$Y$355,MATCH($C379,Deals!$A$2:$A$355,0))),""))</f>
        <v/>
      </c>
      <c r="V379" s="35">
        <f>IF(OR($U379&lt;&gt;"",AND($AO379&gt;0,$L379&lt;&gt;"",$M379&lt;&gt;"")),$N379,DATE(1900,1,1))</f>
        <v/>
      </c>
      <c r="W379" s="35">
        <f>IF($U379&lt;&gt;"",$U379,IF(AND($AO379&gt;0,$L379&lt;&gt;"",$M379&lt;&gt;""),$O379,DATE(2100,12,31)))</f>
        <v/>
      </c>
      <c r="X379" s="32">
        <f>IF($U379="",$K379,$K379*$S379)</f>
        <v/>
      </c>
      <c r="Y379" s="35">
        <f>IF($U379="",DATE(2100,12,31),$U379+1)</f>
        <v/>
      </c>
      <c r="Z379" s="35">
        <f>IF($U379="",DATE(1900,1,1),$O379)</f>
        <v/>
      </c>
      <c r="AA379" s="32">
        <f>IF($U379="",0,$K379*$T379)</f>
        <v/>
      </c>
      <c r="AB379" s="21">
        <f>IF($C379="",0,IFERROR(INDEX(Deals!$AD$2:$AD$355,MATCH($C379,Deals!$A$2:$A$355,0)),0))</f>
        <v/>
      </c>
      <c r="AC379" s="32">
        <f>IF(Settings!$B$4="Yes",$I379*$AB379,$I379)</f>
        <v/>
      </c>
      <c r="AD379" s="22">
        <f>IF($C379="","",IFERROR(IF(INDEX(Deals!$AE$2:$AE$355,MATCH($C379,Deals!$A$2:$A$355,0))=0,"",INDEX(Deals!$AE$2:$AE$355,MATCH($C379,Deals!$A$2:$A$355,0))),""))</f>
        <v/>
      </c>
      <c r="AE379" s="22">
        <f>IF($C379="","",IFERROR(IF(INDEX(Deals!$AF$2:$AF$355,MATCH($C379,Deals!$A$2:$A$355,0))=0,"",INDEX(Deals!$AF$2:$AF$355,MATCH($C379,Deals!$A$2:$A$355,0))),""))</f>
        <v/>
      </c>
      <c r="AF379" s="35">
        <f>IF($AD379="",DATE(1900,1,1),$AD379)</f>
        <v/>
      </c>
      <c r="AG379" s="35">
        <f>IF($AE379="",DATE(2100,12,31),$AE379)</f>
        <v/>
      </c>
      <c r="AH379" s="22">
        <f>IF($C379="","",IFERROR(IF(INDEX(Deals!$AG$2:$AG$355,MATCH($C379,Deals!$A$2:$A$355,0))=0,"",INDEX(Deals!$AG$2:$AG$355,MATCH($C379,Deals!$A$2:$A$355,0))),""))</f>
        <v/>
      </c>
      <c r="AI379" s="35">
        <f>IF(OR($AH379&lt;&gt;"",AND($AO379&gt;0,$AD379&lt;&gt;"",$AE379&lt;&gt;"")),$AF379,DATE(1900,1,1))</f>
        <v/>
      </c>
      <c r="AJ379" s="35">
        <f>IF($AH379&lt;&gt;"",$AH379,IF(AND($AO379&gt;0,$AD379&lt;&gt;"",$AE379&lt;&gt;""),$AG379,DATE(2100,12,31)))</f>
        <v/>
      </c>
      <c r="AK379" s="32">
        <f>IF($AH379="",$AC379,$AC379*$S379)</f>
        <v/>
      </c>
      <c r="AL379" s="35">
        <f>IF($AH379="",DATE(2100,12,31),$AH379+1)</f>
        <v/>
      </c>
      <c r="AM379" s="35">
        <f>IF($AH379="",DATE(1900,1,1),$AG379)</f>
        <v/>
      </c>
      <c r="AN379" s="32">
        <f>IF($AH379="",0,$AC379*$T379)</f>
        <v/>
      </c>
      <c r="AO379" s="46">
        <f>IF($C379="",0,IFERROR(INDEX(Deals!$BD$2:$BD$355,MATCH($C379,Deals!$A$2:$A$355,0)),0))</f>
        <v/>
      </c>
      <c r="AP379" s="18">
        <f>IF($AO379=0,0,IFERROR(INDEX(Deals!$BJ$2:$BP$355,MATCH($C379,Deals!$A$2:$A$355,0),MATCH($F379,Deals!$BJ$1:$BP$1,0))/COUNTIFS(Assignments!$C$2:$C$769,$C379,Assignments!$F$2:$F$769,$F379,Assignments!$G$2:$G$769,"Active"),0))</f>
        <v/>
      </c>
    </row>
    <row r="380">
      <c r="A380" s="28" t="inlineStr">
        <is>
          <t>Patch</t>
        </is>
      </c>
      <c r="B380" s="16">
        <f>IF($A380="","",IFERROR(INDEX(Roster!$B$2:$B$40,MATCH($A380,Roster!$A$2:$A$40,0)),"?"))</f>
        <v/>
      </c>
      <c r="C380" s="28" t="inlineStr">
        <is>
          <t>Elcano_1</t>
        </is>
      </c>
      <c r="D380" s="16">
        <f>IF($C380="","",IFERROR(IF(INDEX(Deals!$C$2:$C$355,MATCH($C380,Deals!$A$2:$A$355,0))=0,"",INDEX(Deals!$C$2:$C$355,MATCH($C380,Deals!$A$2:$A$355,0))),"?"))</f>
        <v/>
      </c>
      <c r="E380" s="16">
        <f>IF($C380="","",IFERROR(INDEX(Deals!$F$2:$F$355,MATCH($C380,Deals!$A$2:$A$355,0)),"?"))</f>
        <v/>
      </c>
      <c r="F380" s="28" t="inlineStr">
        <is>
          <t>VP</t>
        </is>
      </c>
      <c r="G380" s="28" t="inlineStr">
        <is>
          <t>Active</t>
        </is>
      </c>
      <c r="H380" s="31" t="n"/>
      <c r="I380" s="32">
        <f>IF(OR($A380="",$G380&lt;&gt;"Active"),0,IF($H380&lt;&gt;"",$H380,IF($AO380&gt;0,$AP380,IF(AND($R380&lt;&gt;"",IFERROR(INDEX(Templates!$B$3:$H$10,MATCH($R380,Templates!$A$3:$A$10,0),MATCH($F380,Templates!$B$2:$H$2,0)),0)&gt;0),INDEX(Templates!$B$3:$H$10,MATCH($R380,Templates!$A$3:$A$10,0),MATCH($F380,Templates!$B$2:$H$2,0)),IFERROR(INDEX(Settings!$B$8:$B$14,MATCH($F380,Settings!$A$8:$A$14,0)),0)))))</f>
        <v/>
      </c>
      <c r="J380" s="21">
        <f>IF($C380="",0,IFERROR(INDEX(Deals!$H$2:$H$355,MATCH($C380,Deals!$A$2:$A$355,0)),0))</f>
        <v/>
      </c>
      <c r="K380" s="32">
        <f>IF(Settings!$B$4="Yes",$I380*$J380,$I380)</f>
        <v/>
      </c>
      <c r="L380" s="22">
        <f>IF($C380="","",IFERROR(IF(INDEX(Deals!$I$2:$I$355,MATCH($C380,Deals!$A$2:$A$355,0))=0,"",INDEX(Deals!$I$2:$I$355,MATCH($C380,Deals!$A$2:$A$355,0))),""))</f>
        <v/>
      </c>
      <c r="M380" s="22">
        <f>IF($C380="","",IFERROR(IF(INDEX(Deals!$J$2:$J$355,MATCH($C380,Deals!$A$2:$A$355,0))=0,"",INDEX(Deals!$J$2:$J$355,MATCH($C380,Deals!$A$2:$A$355,0))),""))</f>
        <v/>
      </c>
      <c r="N380" s="35">
        <f>IF($L380="",DATE(1900,1,1),$L380)</f>
        <v/>
      </c>
      <c r="O380" s="35">
        <f>IF($M380="",DATE(2100,12,31),$M380)</f>
        <v/>
      </c>
      <c r="P380" s="20" t="inlineStr">
        <is>
          <t>Proposal Sent</t>
        </is>
      </c>
      <c r="Q380" s="47" t="inlineStr"/>
      <c r="R380" s="16">
        <f>IF($C380="","",IFERROR(IF(INDEX(Deals!$U$2:$U$355,MATCH($C380,Deals!$A$2:$A$355,0))=0,"",INDEX(Deals!$U$2:$U$355,MATCH($C380,Deals!$A$2:$A$355,0))),""))</f>
        <v/>
      </c>
      <c r="S380" s="34">
        <f>IFERROR(IF($U380="",1,INDEX(Deals!$V$2:$V$355,MATCH($C380,Deals!$A$2:$A$355,0))),1)</f>
        <v/>
      </c>
      <c r="T380" s="34">
        <f>IFERROR(IF($U380="",1,INDEX(Deals!$W$2:$W$355,MATCH($C380,Deals!$A$2:$A$355,0))),1)</f>
        <v/>
      </c>
      <c r="U380" s="22">
        <f>IF($C380="","",IFERROR(IF(INDEX(Deals!$Y$2:$Y$355,MATCH($C380,Deals!$A$2:$A$355,0))=0,"",INDEX(Deals!$Y$2:$Y$355,MATCH($C380,Deals!$A$2:$A$355,0))),""))</f>
        <v/>
      </c>
      <c r="V380" s="35">
        <f>IF(OR($U380&lt;&gt;"",AND($AO380&gt;0,$L380&lt;&gt;"",$M380&lt;&gt;"")),$N380,DATE(1900,1,1))</f>
        <v/>
      </c>
      <c r="W380" s="35">
        <f>IF($U380&lt;&gt;"",$U380,IF(AND($AO380&gt;0,$L380&lt;&gt;"",$M380&lt;&gt;""),$O380,DATE(2100,12,31)))</f>
        <v/>
      </c>
      <c r="X380" s="32">
        <f>IF($U380="",$K380,$K380*$S380)</f>
        <v/>
      </c>
      <c r="Y380" s="35">
        <f>IF($U380="",DATE(2100,12,31),$U380+1)</f>
        <v/>
      </c>
      <c r="Z380" s="35">
        <f>IF($U380="",DATE(1900,1,1),$O380)</f>
        <v/>
      </c>
      <c r="AA380" s="32">
        <f>IF($U380="",0,$K380*$T380)</f>
        <v/>
      </c>
      <c r="AB380" s="21">
        <f>IF($C380="",0,IFERROR(INDEX(Deals!$AD$2:$AD$355,MATCH($C380,Deals!$A$2:$A$355,0)),0))</f>
        <v/>
      </c>
      <c r="AC380" s="32">
        <f>IF(Settings!$B$4="Yes",$I380*$AB380,$I380)</f>
        <v/>
      </c>
      <c r="AD380" s="22">
        <f>IF($C380="","",IFERROR(IF(INDEX(Deals!$AE$2:$AE$355,MATCH($C380,Deals!$A$2:$A$355,0))=0,"",INDEX(Deals!$AE$2:$AE$355,MATCH($C380,Deals!$A$2:$A$355,0))),""))</f>
        <v/>
      </c>
      <c r="AE380" s="22">
        <f>IF($C380="","",IFERROR(IF(INDEX(Deals!$AF$2:$AF$355,MATCH($C380,Deals!$A$2:$A$355,0))=0,"",INDEX(Deals!$AF$2:$AF$355,MATCH($C380,Deals!$A$2:$A$355,0))),""))</f>
        <v/>
      </c>
      <c r="AF380" s="35">
        <f>IF($AD380="",DATE(1900,1,1),$AD380)</f>
        <v/>
      </c>
      <c r="AG380" s="35">
        <f>IF($AE380="",DATE(2100,12,31),$AE380)</f>
        <v/>
      </c>
      <c r="AH380" s="22">
        <f>IF($C380="","",IFERROR(IF(INDEX(Deals!$AG$2:$AG$355,MATCH($C380,Deals!$A$2:$A$355,0))=0,"",INDEX(Deals!$AG$2:$AG$355,MATCH($C380,Deals!$A$2:$A$355,0))),""))</f>
        <v/>
      </c>
      <c r="AI380" s="35">
        <f>IF(OR($AH380&lt;&gt;"",AND($AO380&gt;0,$AD380&lt;&gt;"",$AE380&lt;&gt;"")),$AF380,DATE(1900,1,1))</f>
        <v/>
      </c>
      <c r="AJ380" s="35">
        <f>IF($AH380&lt;&gt;"",$AH380,IF(AND($AO380&gt;0,$AD380&lt;&gt;"",$AE380&lt;&gt;""),$AG380,DATE(2100,12,31)))</f>
        <v/>
      </c>
      <c r="AK380" s="32">
        <f>IF($AH380="",$AC380,$AC380*$S380)</f>
        <v/>
      </c>
      <c r="AL380" s="35">
        <f>IF($AH380="",DATE(2100,12,31),$AH380+1)</f>
        <v/>
      </c>
      <c r="AM380" s="35">
        <f>IF($AH380="",DATE(1900,1,1),$AG380)</f>
        <v/>
      </c>
      <c r="AN380" s="32">
        <f>IF($AH380="",0,$AC380*$T380)</f>
        <v/>
      </c>
      <c r="AO380" s="46">
        <f>IF($C380="",0,IFERROR(INDEX(Deals!$BD$2:$BD$355,MATCH($C380,Deals!$A$2:$A$355,0)),0))</f>
        <v/>
      </c>
      <c r="AP380" s="18">
        <f>IF($AO380=0,0,IFERROR(INDEX(Deals!$BJ$2:$BP$355,MATCH($C380,Deals!$A$2:$A$355,0),MATCH($F380,Deals!$BJ$1:$BP$1,0))/COUNTIFS(Assignments!$C$2:$C$769,$C380,Assignments!$F$2:$F$769,$F380,Assignments!$G$2:$G$769,"Active"),0))</f>
        <v/>
      </c>
    </row>
    <row r="381">
      <c r="A381" s="28" t="inlineStr">
        <is>
          <t>Patch</t>
        </is>
      </c>
      <c r="B381" s="16">
        <f>IF($A381="","",IFERROR(INDEX(Roster!$B$2:$B$40,MATCH($A381,Roster!$A$2:$A$40,0)),"?"))</f>
        <v/>
      </c>
      <c r="C381" s="28" t="inlineStr">
        <is>
          <t>Enterprise_1</t>
        </is>
      </c>
      <c r="D381" s="16">
        <f>IF($C381="","",IFERROR(IF(INDEX(Deals!$C$2:$C$355,MATCH($C381,Deals!$A$2:$A$355,0))=0,"",INDEX(Deals!$C$2:$C$355,MATCH($C381,Deals!$A$2:$A$355,0))),"?"))</f>
        <v/>
      </c>
      <c r="E381" s="16">
        <f>IF($C381="","",IFERROR(INDEX(Deals!$F$2:$F$355,MATCH($C381,Deals!$A$2:$A$355,0)),"?"))</f>
        <v/>
      </c>
      <c r="F381" s="28" t="inlineStr">
        <is>
          <t>VP</t>
        </is>
      </c>
      <c r="G381" s="28" t="inlineStr">
        <is>
          <t>Inactive</t>
        </is>
      </c>
      <c r="H381" s="31" t="n"/>
      <c r="I381" s="32">
        <f>IF(OR($A381="",$G381&lt;&gt;"Active"),0,IF($H381&lt;&gt;"",$H381,IF($AO381&gt;0,$AP381,IF(AND($R381&lt;&gt;"",IFERROR(INDEX(Templates!$B$3:$H$10,MATCH($R381,Templates!$A$3:$A$10,0),MATCH($F381,Templates!$B$2:$H$2,0)),0)&gt;0),INDEX(Templates!$B$3:$H$10,MATCH($R381,Templates!$A$3:$A$10,0),MATCH($F381,Templates!$B$2:$H$2,0)),IFERROR(INDEX(Settings!$B$8:$B$14,MATCH($F381,Settings!$A$8:$A$14,0)),0)))))</f>
        <v/>
      </c>
      <c r="J381" s="21">
        <f>IF($C381="",0,IFERROR(INDEX(Deals!$H$2:$H$355,MATCH($C381,Deals!$A$2:$A$355,0)),0))</f>
        <v/>
      </c>
      <c r="K381" s="32">
        <f>IF(Settings!$B$4="Yes",$I381*$J381,$I381)</f>
        <v/>
      </c>
      <c r="L381" s="22">
        <f>IF($C381="","",IFERROR(IF(INDEX(Deals!$I$2:$I$355,MATCH($C381,Deals!$A$2:$A$355,0))=0,"",INDEX(Deals!$I$2:$I$355,MATCH($C381,Deals!$A$2:$A$355,0))),""))</f>
        <v/>
      </c>
      <c r="M381" s="22">
        <f>IF($C381="","",IFERROR(IF(INDEX(Deals!$J$2:$J$355,MATCH($C381,Deals!$A$2:$A$355,0))=0,"",INDEX(Deals!$J$2:$J$355,MATCH($C381,Deals!$A$2:$A$355,0))),""))</f>
        <v/>
      </c>
      <c r="N381" s="35">
        <f>IF($L381="",DATE(1900,1,1),$L381)</f>
        <v/>
      </c>
      <c r="O381" s="35">
        <f>IF($M381="",DATE(2100,12,31),$M381)</f>
        <v/>
      </c>
      <c r="P381" s="20" t="inlineStr">
        <is>
          <t>Invoiced</t>
        </is>
      </c>
      <c r="Q381" s="47" t="inlineStr"/>
      <c r="R381" s="16">
        <f>IF($C381="","",IFERROR(IF(INDEX(Deals!$U$2:$U$355,MATCH($C381,Deals!$A$2:$A$355,0))=0,"",INDEX(Deals!$U$2:$U$355,MATCH($C381,Deals!$A$2:$A$355,0))),""))</f>
        <v/>
      </c>
      <c r="S381" s="34">
        <f>IFERROR(IF($U381="",1,INDEX(Deals!$V$2:$V$355,MATCH($C381,Deals!$A$2:$A$355,0))),1)</f>
        <v/>
      </c>
      <c r="T381" s="34">
        <f>IFERROR(IF($U381="",1,INDEX(Deals!$W$2:$W$355,MATCH($C381,Deals!$A$2:$A$355,0))),1)</f>
        <v/>
      </c>
      <c r="U381" s="22">
        <f>IF($C381="","",IFERROR(IF(INDEX(Deals!$Y$2:$Y$355,MATCH($C381,Deals!$A$2:$A$355,0))=0,"",INDEX(Deals!$Y$2:$Y$355,MATCH($C381,Deals!$A$2:$A$355,0))),""))</f>
        <v/>
      </c>
      <c r="V381" s="35">
        <f>IF(OR($U381&lt;&gt;"",AND($AO381&gt;0,$L381&lt;&gt;"",$M381&lt;&gt;"")),$N381,DATE(1900,1,1))</f>
        <v/>
      </c>
      <c r="W381" s="35">
        <f>IF($U381&lt;&gt;"",$U381,IF(AND($AO381&gt;0,$L381&lt;&gt;"",$M381&lt;&gt;""),$O381,DATE(2100,12,31)))</f>
        <v/>
      </c>
      <c r="X381" s="32">
        <f>IF($U381="",$K381,$K381*$S381)</f>
        <v/>
      </c>
      <c r="Y381" s="35">
        <f>IF($U381="",DATE(2100,12,31),$U381+1)</f>
        <v/>
      </c>
      <c r="Z381" s="35">
        <f>IF($U381="",DATE(1900,1,1),$O381)</f>
        <v/>
      </c>
      <c r="AA381" s="32">
        <f>IF($U381="",0,$K381*$T381)</f>
        <v/>
      </c>
      <c r="AB381" s="21">
        <f>IF($C381="",0,IFERROR(INDEX(Deals!$AD$2:$AD$355,MATCH($C381,Deals!$A$2:$A$355,0)),0))</f>
        <v/>
      </c>
      <c r="AC381" s="32">
        <f>IF(Settings!$B$4="Yes",$I381*$AB381,$I381)</f>
        <v/>
      </c>
      <c r="AD381" s="22">
        <f>IF($C381="","",IFERROR(IF(INDEX(Deals!$AE$2:$AE$355,MATCH($C381,Deals!$A$2:$A$355,0))=0,"",INDEX(Deals!$AE$2:$AE$355,MATCH($C381,Deals!$A$2:$A$355,0))),""))</f>
        <v/>
      </c>
      <c r="AE381" s="22">
        <f>IF($C381="","",IFERROR(IF(INDEX(Deals!$AF$2:$AF$355,MATCH($C381,Deals!$A$2:$A$355,0))=0,"",INDEX(Deals!$AF$2:$AF$355,MATCH($C381,Deals!$A$2:$A$355,0))),""))</f>
        <v/>
      </c>
      <c r="AF381" s="35">
        <f>IF($AD381="",DATE(1900,1,1),$AD381)</f>
        <v/>
      </c>
      <c r="AG381" s="35">
        <f>IF($AE381="",DATE(2100,12,31),$AE381)</f>
        <v/>
      </c>
      <c r="AH381" s="22">
        <f>IF($C381="","",IFERROR(IF(INDEX(Deals!$AG$2:$AG$355,MATCH($C381,Deals!$A$2:$A$355,0))=0,"",INDEX(Deals!$AG$2:$AG$355,MATCH($C381,Deals!$A$2:$A$355,0))),""))</f>
        <v/>
      </c>
      <c r="AI381" s="35">
        <f>IF(OR($AH381&lt;&gt;"",AND($AO381&gt;0,$AD381&lt;&gt;"",$AE381&lt;&gt;"")),$AF381,DATE(1900,1,1))</f>
        <v/>
      </c>
      <c r="AJ381" s="35">
        <f>IF($AH381&lt;&gt;"",$AH381,IF(AND($AO381&gt;0,$AD381&lt;&gt;"",$AE381&lt;&gt;""),$AG381,DATE(2100,12,31)))</f>
        <v/>
      </c>
      <c r="AK381" s="32">
        <f>IF($AH381="",$AC381,$AC381*$S381)</f>
        <v/>
      </c>
      <c r="AL381" s="35">
        <f>IF($AH381="",DATE(2100,12,31),$AH381+1)</f>
        <v/>
      </c>
      <c r="AM381" s="35">
        <f>IF($AH381="",DATE(1900,1,1),$AG381)</f>
        <v/>
      </c>
      <c r="AN381" s="32">
        <f>IF($AH381="",0,$AC381*$T381)</f>
        <v/>
      </c>
      <c r="AO381" s="46">
        <f>IF($C381="",0,IFERROR(INDEX(Deals!$BD$2:$BD$355,MATCH($C381,Deals!$A$2:$A$355,0)),0))</f>
        <v/>
      </c>
      <c r="AP381" s="18">
        <f>IF($AO381=0,0,IFERROR(INDEX(Deals!$BJ$2:$BP$355,MATCH($C381,Deals!$A$2:$A$355,0),MATCH($F381,Deals!$BJ$1:$BP$1,0))/COUNTIFS(Assignments!$C$2:$C$769,$C381,Assignments!$F$2:$F$769,$F381,Assignments!$G$2:$G$769,"Active"),0))</f>
        <v/>
      </c>
    </row>
    <row r="382">
      <c r="A382" s="28" t="inlineStr">
        <is>
          <t>Patch</t>
        </is>
      </c>
      <c r="B382" s="16">
        <f>IF($A382="","",IFERROR(INDEX(Roster!$B$2:$B$40,MATCH($A382,Roster!$A$2:$A$40,0)),"?"))</f>
        <v/>
      </c>
      <c r="C382" s="28" t="inlineStr">
        <is>
          <t>EV Passport_2</t>
        </is>
      </c>
      <c r="D382" s="16">
        <f>IF($C382="","",IFERROR(IF(INDEX(Deals!$C$2:$C$355,MATCH($C382,Deals!$A$2:$A$355,0))=0,"",INDEX(Deals!$C$2:$C$355,MATCH($C382,Deals!$A$2:$A$355,0))),"?"))</f>
        <v/>
      </c>
      <c r="E382" s="16">
        <f>IF($C382="","",IFERROR(INDEX(Deals!$F$2:$F$355,MATCH($C382,Deals!$A$2:$A$355,0)),"?"))</f>
        <v/>
      </c>
      <c r="F382" s="28" t="inlineStr">
        <is>
          <t>VP</t>
        </is>
      </c>
      <c r="G382" s="28" t="inlineStr">
        <is>
          <t>Inactive</t>
        </is>
      </c>
      <c r="H382" s="31" t="n"/>
      <c r="I382" s="32">
        <f>IF(OR($A382="",$G382&lt;&gt;"Active"),0,IF($H382&lt;&gt;"",$H382,IF($AO382&gt;0,$AP382,IF(AND($R382&lt;&gt;"",IFERROR(INDEX(Templates!$B$3:$H$10,MATCH($R382,Templates!$A$3:$A$10,0),MATCH($F382,Templates!$B$2:$H$2,0)),0)&gt;0),INDEX(Templates!$B$3:$H$10,MATCH($R382,Templates!$A$3:$A$10,0),MATCH($F382,Templates!$B$2:$H$2,0)),IFERROR(INDEX(Settings!$B$8:$B$14,MATCH($F382,Settings!$A$8:$A$14,0)),0)))))</f>
        <v/>
      </c>
      <c r="J382" s="21">
        <f>IF($C382="",0,IFERROR(INDEX(Deals!$H$2:$H$355,MATCH($C382,Deals!$A$2:$A$355,0)),0))</f>
        <v/>
      </c>
      <c r="K382" s="32">
        <f>IF(Settings!$B$4="Yes",$I382*$J382,$I382)</f>
        <v/>
      </c>
      <c r="L382" s="22">
        <f>IF($C382="","",IFERROR(IF(INDEX(Deals!$I$2:$I$355,MATCH($C382,Deals!$A$2:$A$355,0))=0,"",INDEX(Deals!$I$2:$I$355,MATCH($C382,Deals!$A$2:$A$355,0))),""))</f>
        <v/>
      </c>
      <c r="M382" s="22">
        <f>IF($C382="","",IFERROR(IF(INDEX(Deals!$J$2:$J$355,MATCH($C382,Deals!$A$2:$A$355,0))=0,"",INDEX(Deals!$J$2:$J$355,MATCH($C382,Deals!$A$2:$A$355,0))),""))</f>
        <v/>
      </c>
      <c r="N382" s="35">
        <f>IF($L382="",DATE(1900,1,1),$L382)</f>
        <v/>
      </c>
      <c r="O382" s="35">
        <f>IF($M382="",DATE(2100,12,31),$M382)</f>
        <v/>
      </c>
      <c r="P382" s="20" t="inlineStr">
        <is>
          <t>Invoiced</t>
        </is>
      </c>
      <c r="Q382" s="47" t="inlineStr"/>
      <c r="R382" s="16">
        <f>IF($C382="","",IFERROR(IF(INDEX(Deals!$U$2:$U$355,MATCH($C382,Deals!$A$2:$A$355,0))=0,"",INDEX(Deals!$U$2:$U$355,MATCH($C382,Deals!$A$2:$A$355,0))),""))</f>
        <v/>
      </c>
      <c r="S382" s="34">
        <f>IFERROR(IF($U382="",1,INDEX(Deals!$V$2:$V$355,MATCH($C382,Deals!$A$2:$A$355,0))),1)</f>
        <v/>
      </c>
      <c r="T382" s="34">
        <f>IFERROR(IF($U382="",1,INDEX(Deals!$W$2:$W$355,MATCH($C382,Deals!$A$2:$A$355,0))),1)</f>
        <v/>
      </c>
      <c r="U382" s="22">
        <f>IF($C382="","",IFERROR(IF(INDEX(Deals!$Y$2:$Y$355,MATCH($C382,Deals!$A$2:$A$355,0))=0,"",INDEX(Deals!$Y$2:$Y$355,MATCH($C382,Deals!$A$2:$A$355,0))),""))</f>
        <v/>
      </c>
      <c r="V382" s="35">
        <f>IF(OR($U382&lt;&gt;"",AND($AO382&gt;0,$L382&lt;&gt;"",$M382&lt;&gt;"")),$N382,DATE(1900,1,1))</f>
        <v/>
      </c>
      <c r="W382" s="35">
        <f>IF($U382&lt;&gt;"",$U382,IF(AND($AO382&gt;0,$L382&lt;&gt;"",$M382&lt;&gt;""),$O382,DATE(2100,12,31)))</f>
        <v/>
      </c>
      <c r="X382" s="32">
        <f>IF($U382="",$K382,$K382*$S382)</f>
        <v/>
      </c>
      <c r="Y382" s="35">
        <f>IF($U382="",DATE(2100,12,31),$U382+1)</f>
        <v/>
      </c>
      <c r="Z382" s="35">
        <f>IF($U382="",DATE(1900,1,1),$O382)</f>
        <v/>
      </c>
      <c r="AA382" s="32">
        <f>IF($U382="",0,$K382*$T382)</f>
        <v/>
      </c>
      <c r="AB382" s="21">
        <f>IF($C382="",0,IFERROR(INDEX(Deals!$AD$2:$AD$355,MATCH($C382,Deals!$A$2:$A$355,0)),0))</f>
        <v/>
      </c>
      <c r="AC382" s="32">
        <f>IF(Settings!$B$4="Yes",$I382*$AB382,$I382)</f>
        <v/>
      </c>
      <c r="AD382" s="22">
        <f>IF($C382="","",IFERROR(IF(INDEX(Deals!$AE$2:$AE$355,MATCH($C382,Deals!$A$2:$A$355,0))=0,"",INDEX(Deals!$AE$2:$AE$355,MATCH($C382,Deals!$A$2:$A$355,0))),""))</f>
        <v/>
      </c>
      <c r="AE382" s="22">
        <f>IF($C382="","",IFERROR(IF(INDEX(Deals!$AF$2:$AF$355,MATCH($C382,Deals!$A$2:$A$355,0))=0,"",INDEX(Deals!$AF$2:$AF$355,MATCH($C382,Deals!$A$2:$A$355,0))),""))</f>
        <v/>
      </c>
      <c r="AF382" s="35">
        <f>IF($AD382="",DATE(1900,1,1),$AD382)</f>
        <v/>
      </c>
      <c r="AG382" s="35">
        <f>IF($AE382="",DATE(2100,12,31),$AE382)</f>
        <v/>
      </c>
      <c r="AH382" s="22">
        <f>IF($C382="","",IFERROR(IF(INDEX(Deals!$AG$2:$AG$355,MATCH($C382,Deals!$A$2:$A$355,0))=0,"",INDEX(Deals!$AG$2:$AG$355,MATCH($C382,Deals!$A$2:$A$355,0))),""))</f>
        <v/>
      </c>
      <c r="AI382" s="35">
        <f>IF(OR($AH382&lt;&gt;"",AND($AO382&gt;0,$AD382&lt;&gt;"",$AE382&lt;&gt;"")),$AF382,DATE(1900,1,1))</f>
        <v/>
      </c>
      <c r="AJ382" s="35">
        <f>IF($AH382&lt;&gt;"",$AH382,IF(AND($AO382&gt;0,$AD382&lt;&gt;"",$AE382&lt;&gt;""),$AG382,DATE(2100,12,31)))</f>
        <v/>
      </c>
      <c r="AK382" s="32">
        <f>IF($AH382="",$AC382,$AC382*$S382)</f>
        <v/>
      </c>
      <c r="AL382" s="35">
        <f>IF($AH382="",DATE(2100,12,31),$AH382+1)</f>
        <v/>
      </c>
      <c r="AM382" s="35">
        <f>IF($AH382="",DATE(1900,1,1),$AG382)</f>
        <v/>
      </c>
      <c r="AN382" s="32">
        <f>IF($AH382="",0,$AC382*$T382)</f>
        <v/>
      </c>
      <c r="AO382" s="46">
        <f>IF($C382="",0,IFERROR(INDEX(Deals!$BD$2:$BD$355,MATCH($C382,Deals!$A$2:$A$355,0)),0))</f>
        <v/>
      </c>
      <c r="AP382" s="18">
        <f>IF($AO382=0,0,IFERROR(INDEX(Deals!$BJ$2:$BP$355,MATCH($C382,Deals!$A$2:$A$355,0),MATCH($F382,Deals!$BJ$1:$BP$1,0))/COUNTIFS(Assignments!$C$2:$C$769,$C382,Assignments!$F$2:$F$769,$F382,Assignments!$G$2:$G$769,"Active"),0))</f>
        <v/>
      </c>
    </row>
    <row r="383">
      <c r="A383" s="28" t="inlineStr">
        <is>
          <t>Patch</t>
        </is>
      </c>
      <c r="B383" s="16">
        <f>IF($A383="","",IFERROR(INDEX(Roster!$B$2:$B$40,MATCH($A383,Roster!$A$2:$A$40,0)),"?"))</f>
        <v/>
      </c>
      <c r="C383" s="28" t="inlineStr">
        <is>
          <t>Fury_1</t>
        </is>
      </c>
      <c r="D383" s="16">
        <f>IF($C383="","",IFERROR(IF(INDEX(Deals!$C$2:$C$355,MATCH($C383,Deals!$A$2:$A$355,0))=0,"",INDEX(Deals!$C$2:$C$355,MATCH($C383,Deals!$A$2:$A$355,0))),"?"))</f>
        <v/>
      </c>
      <c r="E383" s="16">
        <f>IF($C383="","",IFERROR(INDEX(Deals!$F$2:$F$355,MATCH($C383,Deals!$A$2:$A$355,0)),"?"))</f>
        <v/>
      </c>
      <c r="F383" s="28" t="inlineStr">
        <is>
          <t>VP</t>
        </is>
      </c>
      <c r="G383" s="28" t="inlineStr">
        <is>
          <t>Inactive</t>
        </is>
      </c>
      <c r="H383" s="31" t="n"/>
      <c r="I383" s="32">
        <f>IF(OR($A383="",$G383&lt;&gt;"Active"),0,IF($H383&lt;&gt;"",$H383,IF($AO383&gt;0,$AP383,IF(AND($R383&lt;&gt;"",IFERROR(INDEX(Templates!$B$3:$H$10,MATCH($R383,Templates!$A$3:$A$10,0),MATCH($F383,Templates!$B$2:$H$2,0)),0)&gt;0),INDEX(Templates!$B$3:$H$10,MATCH($R383,Templates!$A$3:$A$10,0),MATCH($F383,Templates!$B$2:$H$2,0)),IFERROR(INDEX(Settings!$B$8:$B$14,MATCH($F383,Settings!$A$8:$A$14,0)),0)))))</f>
        <v/>
      </c>
      <c r="J383" s="21">
        <f>IF($C383="",0,IFERROR(INDEX(Deals!$H$2:$H$355,MATCH($C383,Deals!$A$2:$A$355,0)),0))</f>
        <v/>
      </c>
      <c r="K383" s="32">
        <f>IF(Settings!$B$4="Yes",$I383*$J383,$I383)</f>
        <v/>
      </c>
      <c r="L383" s="22">
        <f>IF($C383="","",IFERROR(IF(INDEX(Deals!$I$2:$I$355,MATCH($C383,Deals!$A$2:$A$355,0))=0,"",INDEX(Deals!$I$2:$I$355,MATCH($C383,Deals!$A$2:$A$355,0))),""))</f>
        <v/>
      </c>
      <c r="M383" s="22">
        <f>IF($C383="","",IFERROR(IF(INDEX(Deals!$J$2:$J$355,MATCH($C383,Deals!$A$2:$A$355,0))=0,"",INDEX(Deals!$J$2:$J$355,MATCH($C383,Deals!$A$2:$A$355,0))),""))</f>
        <v/>
      </c>
      <c r="N383" s="35">
        <f>IF($L383="",DATE(1900,1,1),$L383)</f>
        <v/>
      </c>
      <c r="O383" s="35">
        <f>IF($M383="",DATE(2100,12,31),$M383)</f>
        <v/>
      </c>
      <c r="P383" s="20" t="inlineStr">
        <is>
          <t>Closed</t>
        </is>
      </c>
      <c r="Q383" s="47" t="inlineStr"/>
      <c r="R383" s="16">
        <f>IF($C383="","",IFERROR(IF(INDEX(Deals!$U$2:$U$355,MATCH($C383,Deals!$A$2:$A$355,0))=0,"",INDEX(Deals!$U$2:$U$355,MATCH($C383,Deals!$A$2:$A$355,0))),""))</f>
        <v/>
      </c>
      <c r="S383" s="34">
        <f>IFERROR(IF($U383="",1,INDEX(Deals!$V$2:$V$355,MATCH($C383,Deals!$A$2:$A$355,0))),1)</f>
        <v/>
      </c>
      <c r="T383" s="34">
        <f>IFERROR(IF($U383="",1,INDEX(Deals!$W$2:$W$355,MATCH($C383,Deals!$A$2:$A$355,0))),1)</f>
        <v/>
      </c>
      <c r="U383" s="22">
        <f>IF($C383="","",IFERROR(IF(INDEX(Deals!$Y$2:$Y$355,MATCH($C383,Deals!$A$2:$A$355,0))=0,"",INDEX(Deals!$Y$2:$Y$355,MATCH($C383,Deals!$A$2:$A$355,0))),""))</f>
        <v/>
      </c>
      <c r="V383" s="35">
        <f>IF(OR($U383&lt;&gt;"",AND($AO383&gt;0,$L383&lt;&gt;"",$M383&lt;&gt;"")),$N383,DATE(1900,1,1))</f>
        <v/>
      </c>
      <c r="W383" s="35">
        <f>IF($U383&lt;&gt;"",$U383,IF(AND($AO383&gt;0,$L383&lt;&gt;"",$M383&lt;&gt;""),$O383,DATE(2100,12,31)))</f>
        <v/>
      </c>
      <c r="X383" s="32">
        <f>IF($U383="",$K383,$K383*$S383)</f>
        <v/>
      </c>
      <c r="Y383" s="35">
        <f>IF($U383="",DATE(2100,12,31),$U383+1)</f>
        <v/>
      </c>
      <c r="Z383" s="35">
        <f>IF($U383="",DATE(1900,1,1),$O383)</f>
        <v/>
      </c>
      <c r="AA383" s="32">
        <f>IF($U383="",0,$K383*$T383)</f>
        <v/>
      </c>
      <c r="AB383" s="21">
        <f>IF($C383="",0,IFERROR(INDEX(Deals!$AD$2:$AD$355,MATCH($C383,Deals!$A$2:$A$355,0)),0))</f>
        <v/>
      </c>
      <c r="AC383" s="32">
        <f>IF(Settings!$B$4="Yes",$I383*$AB383,$I383)</f>
        <v/>
      </c>
      <c r="AD383" s="22">
        <f>IF($C383="","",IFERROR(IF(INDEX(Deals!$AE$2:$AE$355,MATCH($C383,Deals!$A$2:$A$355,0))=0,"",INDEX(Deals!$AE$2:$AE$355,MATCH($C383,Deals!$A$2:$A$355,0))),""))</f>
        <v/>
      </c>
      <c r="AE383" s="22">
        <f>IF($C383="","",IFERROR(IF(INDEX(Deals!$AF$2:$AF$355,MATCH($C383,Deals!$A$2:$A$355,0))=0,"",INDEX(Deals!$AF$2:$AF$355,MATCH($C383,Deals!$A$2:$A$355,0))),""))</f>
        <v/>
      </c>
      <c r="AF383" s="35">
        <f>IF($AD383="",DATE(1900,1,1),$AD383)</f>
        <v/>
      </c>
      <c r="AG383" s="35">
        <f>IF($AE383="",DATE(2100,12,31),$AE383)</f>
        <v/>
      </c>
      <c r="AH383" s="22">
        <f>IF($C383="","",IFERROR(IF(INDEX(Deals!$AG$2:$AG$355,MATCH($C383,Deals!$A$2:$A$355,0))=0,"",INDEX(Deals!$AG$2:$AG$355,MATCH($C383,Deals!$A$2:$A$355,0))),""))</f>
        <v/>
      </c>
      <c r="AI383" s="35">
        <f>IF(OR($AH383&lt;&gt;"",AND($AO383&gt;0,$AD383&lt;&gt;"",$AE383&lt;&gt;"")),$AF383,DATE(1900,1,1))</f>
        <v/>
      </c>
      <c r="AJ383" s="35">
        <f>IF($AH383&lt;&gt;"",$AH383,IF(AND($AO383&gt;0,$AD383&lt;&gt;"",$AE383&lt;&gt;""),$AG383,DATE(2100,12,31)))</f>
        <v/>
      </c>
      <c r="AK383" s="32">
        <f>IF($AH383="",$AC383,$AC383*$S383)</f>
        <v/>
      </c>
      <c r="AL383" s="35">
        <f>IF($AH383="",DATE(2100,12,31),$AH383+1)</f>
        <v/>
      </c>
      <c r="AM383" s="35">
        <f>IF($AH383="",DATE(1900,1,1),$AG383)</f>
        <v/>
      </c>
      <c r="AN383" s="32">
        <f>IF($AH383="",0,$AC383*$T383)</f>
        <v/>
      </c>
      <c r="AO383" s="46">
        <f>IF($C383="",0,IFERROR(INDEX(Deals!$BD$2:$BD$355,MATCH($C383,Deals!$A$2:$A$355,0)),0))</f>
        <v/>
      </c>
      <c r="AP383" s="18">
        <f>IF($AO383=0,0,IFERROR(INDEX(Deals!$BJ$2:$BP$355,MATCH($C383,Deals!$A$2:$A$355,0),MATCH($F383,Deals!$BJ$1:$BP$1,0))/COUNTIFS(Assignments!$C$2:$C$769,$C383,Assignments!$F$2:$F$769,$F383,Assignments!$G$2:$G$769,"Active"),0))</f>
        <v/>
      </c>
    </row>
    <row r="384">
      <c r="A384" s="28" t="inlineStr">
        <is>
          <t>Patch</t>
        </is>
      </c>
      <c r="B384" s="16">
        <f>IF($A384="","",IFERROR(INDEX(Roster!$B$2:$B$40,MATCH($A384,Roster!$A$2:$A$40,0)),"?"))</f>
        <v/>
      </c>
      <c r="C384" s="28" t="inlineStr">
        <is>
          <t>Gateway_3</t>
        </is>
      </c>
      <c r="D384" s="16">
        <f>IF($C384="","",IFERROR(IF(INDEX(Deals!$C$2:$C$355,MATCH($C384,Deals!$A$2:$A$355,0))=0,"",INDEX(Deals!$C$2:$C$355,MATCH($C384,Deals!$A$2:$A$355,0))),"?"))</f>
        <v/>
      </c>
      <c r="E384" s="16">
        <f>IF($C384="","",IFERROR(INDEX(Deals!$F$2:$F$355,MATCH($C384,Deals!$A$2:$A$355,0)),"?"))</f>
        <v/>
      </c>
      <c r="F384" s="28" t="inlineStr">
        <is>
          <t>VP</t>
        </is>
      </c>
      <c r="G384" s="28" t="inlineStr">
        <is>
          <t>Inactive</t>
        </is>
      </c>
      <c r="H384" s="31" t="n"/>
      <c r="I384" s="32">
        <f>IF(OR($A384="",$G384&lt;&gt;"Active"),0,IF($H384&lt;&gt;"",$H384,IF($AO384&gt;0,$AP384,IF(AND($R384&lt;&gt;"",IFERROR(INDEX(Templates!$B$3:$H$10,MATCH($R384,Templates!$A$3:$A$10,0),MATCH($F384,Templates!$B$2:$H$2,0)),0)&gt;0),INDEX(Templates!$B$3:$H$10,MATCH($R384,Templates!$A$3:$A$10,0),MATCH($F384,Templates!$B$2:$H$2,0)),IFERROR(INDEX(Settings!$B$8:$B$14,MATCH($F384,Settings!$A$8:$A$14,0)),0)))))</f>
        <v/>
      </c>
      <c r="J384" s="21">
        <f>IF($C384="",0,IFERROR(INDEX(Deals!$H$2:$H$355,MATCH($C384,Deals!$A$2:$A$355,0)),0))</f>
        <v/>
      </c>
      <c r="K384" s="32">
        <f>IF(Settings!$B$4="Yes",$I384*$J384,$I384)</f>
        <v/>
      </c>
      <c r="L384" s="22">
        <f>IF($C384="","",IFERROR(IF(INDEX(Deals!$I$2:$I$355,MATCH($C384,Deals!$A$2:$A$355,0))=0,"",INDEX(Deals!$I$2:$I$355,MATCH($C384,Deals!$A$2:$A$355,0))),""))</f>
        <v/>
      </c>
      <c r="M384" s="22">
        <f>IF($C384="","",IFERROR(IF(INDEX(Deals!$J$2:$J$355,MATCH($C384,Deals!$A$2:$A$355,0))=0,"",INDEX(Deals!$J$2:$J$355,MATCH($C384,Deals!$A$2:$A$355,0))),""))</f>
        <v/>
      </c>
      <c r="N384" s="35">
        <f>IF($L384="",DATE(1900,1,1),$L384)</f>
        <v/>
      </c>
      <c r="O384" s="35">
        <f>IF($M384="",DATE(2100,12,31),$M384)</f>
        <v/>
      </c>
      <c r="P384" s="20" t="inlineStr">
        <is>
          <t>Closed</t>
        </is>
      </c>
      <c r="Q384" s="47" t="inlineStr"/>
      <c r="R384" s="16">
        <f>IF($C384="","",IFERROR(IF(INDEX(Deals!$U$2:$U$355,MATCH($C384,Deals!$A$2:$A$355,0))=0,"",INDEX(Deals!$U$2:$U$355,MATCH($C384,Deals!$A$2:$A$355,0))),""))</f>
        <v/>
      </c>
      <c r="S384" s="34">
        <f>IFERROR(IF($U384="",1,INDEX(Deals!$V$2:$V$355,MATCH($C384,Deals!$A$2:$A$355,0))),1)</f>
        <v/>
      </c>
      <c r="T384" s="34">
        <f>IFERROR(IF($U384="",1,INDEX(Deals!$W$2:$W$355,MATCH($C384,Deals!$A$2:$A$355,0))),1)</f>
        <v/>
      </c>
      <c r="U384" s="22">
        <f>IF($C384="","",IFERROR(IF(INDEX(Deals!$Y$2:$Y$355,MATCH($C384,Deals!$A$2:$A$355,0))=0,"",INDEX(Deals!$Y$2:$Y$355,MATCH($C384,Deals!$A$2:$A$355,0))),""))</f>
        <v/>
      </c>
      <c r="V384" s="35">
        <f>IF(OR($U384&lt;&gt;"",AND($AO384&gt;0,$L384&lt;&gt;"",$M384&lt;&gt;"")),$N384,DATE(1900,1,1))</f>
        <v/>
      </c>
      <c r="W384" s="35">
        <f>IF($U384&lt;&gt;"",$U384,IF(AND($AO384&gt;0,$L384&lt;&gt;"",$M384&lt;&gt;""),$O384,DATE(2100,12,31)))</f>
        <v/>
      </c>
      <c r="X384" s="32">
        <f>IF($U384="",$K384,$K384*$S384)</f>
        <v/>
      </c>
      <c r="Y384" s="35">
        <f>IF($U384="",DATE(2100,12,31),$U384+1)</f>
        <v/>
      </c>
      <c r="Z384" s="35">
        <f>IF($U384="",DATE(1900,1,1),$O384)</f>
        <v/>
      </c>
      <c r="AA384" s="32">
        <f>IF($U384="",0,$K384*$T384)</f>
        <v/>
      </c>
      <c r="AB384" s="21">
        <f>IF($C384="",0,IFERROR(INDEX(Deals!$AD$2:$AD$355,MATCH($C384,Deals!$A$2:$A$355,0)),0))</f>
        <v/>
      </c>
      <c r="AC384" s="32">
        <f>IF(Settings!$B$4="Yes",$I384*$AB384,$I384)</f>
        <v/>
      </c>
      <c r="AD384" s="22">
        <f>IF($C384="","",IFERROR(IF(INDEX(Deals!$AE$2:$AE$355,MATCH($C384,Deals!$A$2:$A$355,0))=0,"",INDEX(Deals!$AE$2:$AE$355,MATCH($C384,Deals!$A$2:$A$355,0))),""))</f>
        <v/>
      </c>
      <c r="AE384" s="22">
        <f>IF($C384="","",IFERROR(IF(INDEX(Deals!$AF$2:$AF$355,MATCH($C384,Deals!$A$2:$A$355,0))=0,"",INDEX(Deals!$AF$2:$AF$355,MATCH($C384,Deals!$A$2:$A$355,0))),""))</f>
        <v/>
      </c>
      <c r="AF384" s="35">
        <f>IF($AD384="",DATE(1900,1,1),$AD384)</f>
        <v/>
      </c>
      <c r="AG384" s="35">
        <f>IF($AE384="",DATE(2100,12,31),$AE384)</f>
        <v/>
      </c>
      <c r="AH384" s="22">
        <f>IF($C384="","",IFERROR(IF(INDEX(Deals!$AG$2:$AG$355,MATCH($C384,Deals!$A$2:$A$355,0))=0,"",INDEX(Deals!$AG$2:$AG$355,MATCH($C384,Deals!$A$2:$A$355,0))),""))</f>
        <v/>
      </c>
      <c r="AI384" s="35">
        <f>IF(OR($AH384&lt;&gt;"",AND($AO384&gt;0,$AD384&lt;&gt;"",$AE384&lt;&gt;"")),$AF384,DATE(1900,1,1))</f>
        <v/>
      </c>
      <c r="AJ384" s="35">
        <f>IF($AH384&lt;&gt;"",$AH384,IF(AND($AO384&gt;0,$AD384&lt;&gt;"",$AE384&lt;&gt;""),$AG384,DATE(2100,12,31)))</f>
        <v/>
      </c>
      <c r="AK384" s="32">
        <f>IF($AH384="",$AC384,$AC384*$S384)</f>
        <v/>
      </c>
      <c r="AL384" s="35">
        <f>IF($AH384="",DATE(2100,12,31),$AH384+1)</f>
        <v/>
      </c>
      <c r="AM384" s="35">
        <f>IF($AH384="",DATE(1900,1,1),$AG384)</f>
        <v/>
      </c>
      <c r="AN384" s="32">
        <f>IF($AH384="",0,$AC384*$T384)</f>
        <v/>
      </c>
      <c r="AO384" s="46">
        <f>IF($C384="",0,IFERROR(INDEX(Deals!$BD$2:$BD$355,MATCH($C384,Deals!$A$2:$A$355,0)),0))</f>
        <v/>
      </c>
      <c r="AP384" s="18">
        <f>IF($AO384=0,0,IFERROR(INDEX(Deals!$BJ$2:$BP$355,MATCH($C384,Deals!$A$2:$A$355,0),MATCH($F384,Deals!$BJ$1:$BP$1,0))/COUNTIFS(Assignments!$C$2:$C$769,$C384,Assignments!$F$2:$F$769,$F384,Assignments!$G$2:$G$769,"Active"),0))</f>
        <v/>
      </c>
    </row>
    <row r="385">
      <c r="A385" s="28" t="inlineStr">
        <is>
          <t>Patch</t>
        </is>
      </c>
      <c r="B385" s="16">
        <f>IF($A385="","",IFERROR(INDEX(Roster!$B$2:$B$40,MATCH($A385,Roster!$A$2:$A$40,0)),"?"))</f>
        <v/>
      </c>
      <c r="C385" s="28" t="inlineStr">
        <is>
          <t>Genesis_6</t>
        </is>
      </c>
      <c r="D385" s="16">
        <f>IF($C385="","",IFERROR(IF(INDEX(Deals!$C$2:$C$355,MATCH($C385,Deals!$A$2:$A$355,0))=0,"",INDEX(Deals!$C$2:$C$355,MATCH($C385,Deals!$A$2:$A$355,0))),"?"))</f>
        <v/>
      </c>
      <c r="E385" s="16">
        <f>IF($C385="","",IFERROR(INDEX(Deals!$F$2:$F$355,MATCH($C385,Deals!$A$2:$A$355,0)),"?"))</f>
        <v/>
      </c>
      <c r="F385" s="28" t="inlineStr">
        <is>
          <t>VP</t>
        </is>
      </c>
      <c r="G385" s="28" t="inlineStr">
        <is>
          <t>Active</t>
        </is>
      </c>
      <c r="H385" s="31" t="n"/>
      <c r="I385" s="32">
        <f>IF(OR($A385="",$G385&lt;&gt;"Active"),0,IF($H385&lt;&gt;"",$H385,IF($AO385&gt;0,$AP385,IF(AND($R385&lt;&gt;"",IFERROR(INDEX(Templates!$B$3:$H$10,MATCH($R385,Templates!$A$3:$A$10,0),MATCH($F385,Templates!$B$2:$H$2,0)),0)&gt;0),INDEX(Templates!$B$3:$H$10,MATCH($R385,Templates!$A$3:$A$10,0),MATCH($F385,Templates!$B$2:$H$2,0)),IFERROR(INDEX(Settings!$B$8:$B$14,MATCH($F385,Settings!$A$8:$A$14,0)),0)))))</f>
        <v/>
      </c>
      <c r="J385" s="21">
        <f>IF($C385="",0,IFERROR(INDEX(Deals!$H$2:$H$355,MATCH($C385,Deals!$A$2:$A$355,0)),0))</f>
        <v/>
      </c>
      <c r="K385" s="32">
        <f>IF(Settings!$B$4="Yes",$I385*$J385,$I385)</f>
        <v/>
      </c>
      <c r="L385" s="22">
        <f>IF($C385="","",IFERROR(IF(INDEX(Deals!$I$2:$I$355,MATCH($C385,Deals!$A$2:$A$355,0))=0,"",INDEX(Deals!$I$2:$I$355,MATCH($C385,Deals!$A$2:$A$355,0))),""))</f>
        <v/>
      </c>
      <c r="M385" s="22">
        <f>IF($C385="","",IFERROR(IF(INDEX(Deals!$J$2:$J$355,MATCH($C385,Deals!$A$2:$A$355,0))=0,"",INDEX(Deals!$J$2:$J$355,MATCH($C385,Deals!$A$2:$A$355,0))),""))</f>
        <v/>
      </c>
      <c r="N385" s="35">
        <f>IF($L385="",DATE(1900,1,1),$L385)</f>
        <v/>
      </c>
      <c r="O385" s="35">
        <f>IF($M385="",DATE(2100,12,31),$M385)</f>
        <v/>
      </c>
      <c r="P385" s="20" t="inlineStr">
        <is>
          <t>Ongoing</t>
        </is>
      </c>
      <c r="Q385" s="47" t="inlineStr"/>
      <c r="R385" s="16">
        <f>IF($C385="","",IFERROR(IF(INDEX(Deals!$U$2:$U$355,MATCH($C385,Deals!$A$2:$A$355,0))=0,"",INDEX(Deals!$U$2:$U$355,MATCH($C385,Deals!$A$2:$A$355,0))),""))</f>
        <v/>
      </c>
      <c r="S385" s="34">
        <f>IFERROR(IF($U385="",1,INDEX(Deals!$V$2:$V$355,MATCH($C385,Deals!$A$2:$A$355,0))),1)</f>
        <v/>
      </c>
      <c r="T385" s="34">
        <f>IFERROR(IF($U385="",1,INDEX(Deals!$W$2:$W$355,MATCH($C385,Deals!$A$2:$A$355,0))),1)</f>
        <v/>
      </c>
      <c r="U385" s="22">
        <f>IF($C385="","",IFERROR(IF(INDEX(Deals!$Y$2:$Y$355,MATCH($C385,Deals!$A$2:$A$355,0))=0,"",INDEX(Deals!$Y$2:$Y$355,MATCH($C385,Deals!$A$2:$A$355,0))),""))</f>
        <v/>
      </c>
      <c r="V385" s="35">
        <f>IF(OR($U385&lt;&gt;"",AND($AO385&gt;0,$L385&lt;&gt;"",$M385&lt;&gt;"")),$N385,DATE(1900,1,1))</f>
        <v/>
      </c>
      <c r="W385" s="35">
        <f>IF($U385&lt;&gt;"",$U385,IF(AND($AO385&gt;0,$L385&lt;&gt;"",$M385&lt;&gt;""),$O385,DATE(2100,12,31)))</f>
        <v/>
      </c>
      <c r="X385" s="32">
        <f>IF($U385="",$K385,$K385*$S385)</f>
        <v/>
      </c>
      <c r="Y385" s="35">
        <f>IF($U385="",DATE(2100,12,31),$U385+1)</f>
        <v/>
      </c>
      <c r="Z385" s="35">
        <f>IF($U385="",DATE(1900,1,1),$O385)</f>
        <v/>
      </c>
      <c r="AA385" s="32">
        <f>IF($U385="",0,$K385*$T385)</f>
        <v/>
      </c>
      <c r="AB385" s="21">
        <f>IF($C385="",0,IFERROR(INDEX(Deals!$AD$2:$AD$355,MATCH($C385,Deals!$A$2:$A$355,0)),0))</f>
        <v/>
      </c>
      <c r="AC385" s="32">
        <f>IF(Settings!$B$4="Yes",$I385*$AB385,$I385)</f>
        <v/>
      </c>
      <c r="AD385" s="22">
        <f>IF($C385="","",IFERROR(IF(INDEX(Deals!$AE$2:$AE$355,MATCH($C385,Deals!$A$2:$A$355,0))=0,"",INDEX(Deals!$AE$2:$AE$355,MATCH($C385,Deals!$A$2:$A$355,0))),""))</f>
        <v/>
      </c>
      <c r="AE385" s="22">
        <f>IF($C385="","",IFERROR(IF(INDEX(Deals!$AF$2:$AF$355,MATCH($C385,Deals!$A$2:$A$355,0))=0,"",INDEX(Deals!$AF$2:$AF$355,MATCH($C385,Deals!$A$2:$A$355,0))),""))</f>
        <v/>
      </c>
      <c r="AF385" s="35">
        <f>IF($AD385="",DATE(1900,1,1),$AD385)</f>
        <v/>
      </c>
      <c r="AG385" s="35">
        <f>IF($AE385="",DATE(2100,12,31),$AE385)</f>
        <v/>
      </c>
      <c r="AH385" s="22">
        <f>IF($C385="","",IFERROR(IF(INDEX(Deals!$AG$2:$AG$355,MATCH($C385,Deals!$A$2:$A$355,0))=0,"",INDEX(Deals!$AG$2:$AG$355,MATCH($C385,Deals!$A$2:$A$355,0))),""))</f>
        <v/>
      </c>
      <c r="AI385" s="35">
        <f>IF(OR($AH385&lt;&gt;"",AND($AO385&gt;0,$AD385&lt;&gt;"",$AE385&lt;&gt;"")),$AF385,DATE(1900,1,1))</f>
        <v/>
      </c>
      <c r="AJ385" s="35">
        <f>IF($AH385&lt;&gt;"",$AH385,IF(AND($AO385&gt;0,$AD385&lt;&gt;"",$AE385&lt;&gt;""),$AG385,DATE(2100,12,31)))</f>
        <v/>
      </c>
      <c r="AK385" s="32">
        <f>IF($AH385="",$AC385,$AC385*$S385)</f>
        <v/>
      </c>
      <c r="AL385" s="35">
        <f>IF($AH385="",DATE(2100,12,31),$AH385+1)</f>
        <v/>
      </c>
      <c r="AM385" s="35">
        <f>IF($AH385="",DATE(1900,1,1),$AG385)</f>
        <v/>
      </c>
      <c r="AN385" s="32">
        <f>IF($AH385="",0,$AC385*$T385)</f>
        <v/>
      </c>
      <c r="AO385" s="46">
        <f>IF($C385="",0,IFERROR(INDEX(Deals!$BD$2:$BD$355,MATCH($C385,Deals!$A$2:$A$355,0)),0))</f>
        <v/>
      </c>
      <c r="AP385" s="18">
        <f>IF($AO385=0,0,IFERROR(INDEX(Deals!$BJ$2:$BP$355,MATCH($C385,Deals!$A$2:$A$355,0),MATCH($F385,Deals!$BJ$1:$BP$1,0))/COUNTIFS(Assignments!$C$2:$C$769,$C385,Assignments!$F$2:$F$769,$F385,Assignments!$G$2:$G$769,"Active"),0))</f>
        <v/>
      </c>
    </row>
    <row r="386">
      <c r="A386" s="28" t="inlineStr">
        <is>
          <t>Patch</t>
        </is>
      </c>
      <c r="B386" s="16">
        <f>IF($A386="","",IFERROR(INDEX(Roster!$B$2:$B$40,MATCH($A386,Roster!$A$2:$A$40,0)),"?"))</f>
        <v/>
      </c>
      <c r="C386" s="28" t="inlineStr">
        <is>
          <t>Hatch_1</t>
        </is>
      </c>
      <c r="D386" s="16">
        <f>IF($C386="","",IFERROR(IF(INDEX(Deals!$C$2:$C$355,MATCH($C386,Deals!$A$2:$A$355,0))=0,"",INDEX(Deals!$C$2:$C$355,MATCH($C386,Deals!$A$2:$A$355,0))),"?"))</f>
        <v/>
      </c>
      <c r="E386" s="16">
        <f>IF($C386="","",IFERROR(INDEX(Deals!$F$2:$F$355,MATCH($C386,Deals!$A$2:$A$355,0)),"?"))</f>
        <v/>
      </c>
      <c r="F386" s="28" t="inlineStr">
        <is>
          <t>VP</t>
        </is>
      </c>
      <c r="G386" s="28" t="inlineStr">
        <is>
          <t>Inactive</t>
        </is>
      </c>
      <c r="H386" s="31" t="n"/>
      <c r="I386" s="32">
        <f>IF(OR($A386="",$G386&lt;&gt;"Active"),0,IF($H386&lt;&gt;"",$H386,IF($AO386&gt;0,$AP386,IF(AND($R386&lt;&gt;"",IFERROR(INDEX(Templates!$B$3:$H$10,MATCH($R386,Templates!$A$3:$A$10,0),MATCH($F386,Templates!$B$2:$H$2,0)),0)&gt;0),INDEX(Templates!$B$3:$H$10,MATCH($R386,Templates!$A$3:$A$10,0),MATCH($F386,Templates!$B$2:$H$2,0)),IFERROR(INDEX(Settings!$B$8:$B$14,MATCH($F386,Settings!$A$8:$A$14,0)),0)))))</f>
        <v/>
      </c>
      <c r="J386" s="21">
        <f>IF($C386="",0,IFERROR(INDEX(Deals!$H$2:$H$355,MATCH($C386,Deals!$A$2:$A$355,0)),0))</f>
        <v/>
      </c>
      <c r="K386" s="32">
        <f>IF(Settings!$B$4="Yes",$I386*$J386,$I386)</f>
        <v/>
      </c>
      <c r="L386" s="22">
        <f>IF($C386="","",IFERROR(IF(INDEX(Deals!$I$2:$I$355,MATCH($C386,Deals!$A$2:$A$355,0))=0,"",INDEX(Deals!$I$2:$I$355,MATCH($C386,Deals!$A$2:$A$355,0))),""))</f>
        <v/>
      </c>
      <c r="M386" s="22">
        <f>IF($C386="","",IFERROR(IF(INDEX(Deals!$J$2:$J$355,MATCH($C386,Deals!$A$2:$A$355,0))=0,"",INDEX(Deals!$J$2:$J$355,MATCH($C386,Deals!$A$2:$A$355,0))),""))</f>
        <v/>
      </c>
      <c r="N386" s="35">
        <f>IF($L386="",DATE(1900,1,1),$L386)</f>
        <v/>
      </c>
      <c r="O386" s="35">
        <f>IF($M386="",DATE(2100,12,31),$M386)</f>
        <v/>
      </c>
      <c r="P386" s="20" t="inlineStr">
        <is>
          <t>Pencils Down</t>
        </is>
      </c>
      <c r="Q386" s="47" t="inlineStr"/>
      <c r="R386" s="16">
        <f>IF($C386="","",IFERROR(IF(INDEX(Deals!$U$2:$U$355,MATCH($C386,Deals!$A$2:$A$355,0))=0,"",INDEX(Deals!$U$2:$U$355,MATCH($C386,Deals!$A$2:$A$355,0))),""))</f>
        <v/>
      </c>
      <c r="S386" s="34">
        <f>IFERROR(IF($U386="",1,INDEX(Deals!$V$2:$V$355,MATCH($C386,Deals!$A$2:$A$355,0))),1)</f>
        <v/>
      </c>
      <c r="T386" s="34">
        <f>IFERROR(IF($U386="",1,INDEX(Deals!$W$2:$W$355,MATCH($C386,Deals!$A$2:$A$355,0))),1)</f>
        <v/>
      </c>
      <c r="U386" s="22">
        <f>IF($C386="","",IFERROR(IF(INDEX(Deals!$Y$2:$Y$355,MATCH($C386,Deals!$A$2:$A$355,0))=0,"",INDEX(Deals!$Y$2:$Y$355,MATCH($C386,Deals!$A$2:$A$355,0))),""))</f>
        <v/>
      </c>
      <c r="V386" s="35">
        <f>IF(OR($U386&lt;&gt;"",AND($AO386&gt;0,$L386&lt;&gt;"",$M386&lt;&gt;"")),$N386,DATE(1900,1,1))</f>
        <v/>
      </c>
      <c r="W386" s="35">
        <f>IF($U386&lt;&gt;"",$U386,IF(AND($AO386&gt;0,$L386&lt;&gt;"",$M386&lt;&gt;""),$O386,DATE(2100,12,31)))</f>
        <v/>
      </c>
      <c r="X386" s="32">
        <f>IF($U386="",$K386,$K386*$S386)</f>
        <v/>
      </c>
      <c r="Y386" s="35">
        <f>IF($U386="",DATE(2100,12,31),$U386+1)</f>
        <v/>
      </c>
      <c r="Z386" s="35">
        <f>IF($U386="",DATE(1900,1,1),$O386)</f>
        <v/>
      </c>
      <c r="AA386" s="32">
        <f>IF($U386="",0,$K386*$T386)</f>
        <v/>
      </c>
      <c r="AB386" s="21">
        <f>IF($C386="",0,IFERROR(INDEX(Deals!$AD$2:$AD$355,MATCH($C386,Deals!$A$2:$A$355,0)),0))</f>
        <v/>
      </c>
      <c r="AC386" s="32">
        <f>IF(Settings!$B$4="Yes",$I386*$AB386,$I386)</f>
        <v/>
      </c>
      <c r="AD386" s="22">
        <f>IF($C386="","",IFERROR(IF(INDEX(Deals!$AE$2:$AE$355,MATCH($C386,Deals!$A$2:$A$355,0))=0,"",INDEX(Deals!$AE$2:$AE$355,MATCH($C386,Deals!$A$2:$A$355,0))),""))</f>
        <v/>
      </c>
      <c r="AE386" s="22">
        <f>IF($C386="","",IFERROR(IF(INDEX(Deals!$AF$2:$AF$355,MATCH($C386,Deals!$A$2:$A$355,0))=0,"",INDEX(Deals!$AF$2:$AF$355,MATCH($C386,Deals!$A$2:$A$355,0))),""))</f>
        <v/>
      </c>
      <c r="AF386" s="35">
        <f>IF($AD386="",DATE(1900,1,1),$AD386)</f>
        <v/>
      </c>
      <c r="AG386" s="35">
        <f>IF($AE386="",DATE(2100,12,31),$AE386)</f>
        <v/>
      </c>
      <c r="AH386" s="22">
        <f>IF($C386="","",IFERROR(IF(INDEX(Deals!$AG$2:$AG$355,MATCH($C386,Deals!$A$2:$A$355,0))=0,"",INDEX(Deals!$AG$2:$AG$355,MATCH($C386,Deals!$A$2:$A$355,0))),""))</f>
        <v/>
      </c>
      <c r="AI386" s="35">
        <f>IF(OR($AH386&lt;&gt;"",AND($AO386&gt;0,$AD386&lt;&gt;"",$AE386&lt;&gt;"")),$AF386,DATE(1900,1,1))</f>
        <v/>
      </c>
      <c r="AJ386" s="35">
        <f>IF($AH386&lt;&gt;"",$AH386,IF(AND($AO386&gt;0,$AD386&lt;&gt;"",$AE386&lt;&gt;""),$AG386,DATE(2100,12,31)))</f>
        <v/>
      </c>
      <c r="AK386" s="32">
        <f>IF($AH386="",$AC386,$AC386*$S386)</f>
        <v/>
      </c>
      <c r="AL386" s="35">
        <f>IF($AH386="",DATE(2100,12,31),$AH386+1)</f>
        <v/>
      </c>
      <c r="AM386" s="35">
        <f>IF($AH386="",DATE(1900,1,1),$AG386)</f>
        <v/>
      </c>
      <c r="AN386" s="32">
        <f>IF($AH386="",0,$AC386*$T386)</f>
        <v/>
      </c>
      <c r="AO386" s="46">
        <f>IF($C386="",0,IFERROR(INDEX(Deals!$BD$2:$BD$355,MATCH($C386,Deals!$A$2:$A$355,0)),0))</f>
        <v/>
      </c>
      <c r="AP386" s="18">
        <f>IF($AO386=0,0,IFERROR(INDEX(Deals!$BJ$2:$BP$355,MATCH($C386,Deals!$A$2:$A$355,0),MATCH($F386,Deals!$BJ$1:$BP$1,0))/COUNTIFS(Assignments!$C$2:$C$769,$C386,Assignments!$F$2:$F$769,$F386,Assignments!$G$2:$G$769,"Active"),0))</f>
        <v/>
      </c>
    </row>
    <row r="387">
      <c r="A387" s="28" t="inlineStr">
        <is>
          <t>Patch</t>
        </is>
      </c>
      <c r="B387" s="16">
        <f>IF($A387="","",IFERROR(INDEX(Roster!$B$2:$B$40,MATCH($A387,Roster!$A$2:$A$40,0)),"?"))</f>
        <v/>
      </c>
      <c r="C387" s="28" t="inlineStr">
        <is>
          <t>Heartland_2</t>
        </is>
      </c>
      <c r="D387" s="16">
        <f>IF($C387="","",IFERROR(IF(INDEX(Deals!$C$2:$C$355,MATCH($C387,Deals!$A$2:$A$355,0))=0,"",INDEX(Deals!$C$2:$C$355,MATCH($C387,Deals!$A$2:$A$355,0))),"?"))</f>
        <v/>
      </c>
      <c r="E387" s="16">
        <f>IF($C387="","",IFERROR(INDEX(Deals!$F$2:$F$355,MATCH($C387,Deals!$A$2:$A$355,0)),"?"))</f>
        <v/>
      </c>
      <c r="F387" s="28" t="inlineStr">
        <is>
          <t>VP</t>
        </is>
      </c>
      <c r="G387" s="28" t="inlineStr">
        <is>
          <t>Inactive</t>
        </is>
      </c>
      <c r="H387" s="31" t="n"/>
      <c r="I387" s="32">
        <f>IF(OR($A387="",$G387&lt;&gt;"Active"),0,IF($H387&lt;&gt;"",$H387,IF($AO387&gt;0,$AP387,IF(AND($R387&lt;&gt;"",IFERROR(INDEX(Templates!$B$3:$H$10,MATCH($R387,Templates!$A$3:$A$10,0),MATCH($F387,Templates!$B$2:$H$2,0)),0)&gt;0),INDEX(Templates!$B$3:$H$10,MATCH($R387,Templates!$A$3:$A$10,0),MATCH($F387,Templates!$B$2:$H$2,0)),IFERROR(INDEX(Settings!$B$8:$B$14,MATCH($F387,Settings!$A$8:$A$14,0)),0)))))</f>
        <v/>
      </c>
      <c r="J387" s="21">
        <f>IF($C387="",0,IFERROR(INDEX(Deals!$H$2:$H$355,MATCH($C387,Deals!$A$2:$A$355,0)),0))</f>
        <v/>
      </c>
      <c r="K387" s="32">
        <f>IF(Settings!$B$4="Yes",$I387*$J387,$I387)</f>
        <v/>
      </c>
      <c r="L387" s="22">
        <f>IF($C387="","",IFERROR(IF(INDEX(Deals!$I$2:$I$355,MATCH($C387,Deals!$A$2:$A$355,0))=0,"",INDEX(Deals!$I$2:$I$355,MATCH($C387,Deals!$A$2:$A$355,0))),""))</f>
        <v/>
      </c>
      <c r="M387" s="22">
        <f>IF($C387="","",IFERROR(IF(INDEX(Deals!$J$2:$J$355,MATCH($C387,Deals!$A$2:$A$355,0))=0,"",INDEX(Deals!$J$2:$J$355,MATCH($C387,Deals!$A$2:$A$355,0))),""))</f>
        <v/>
      </c>
      <c r="N387" s="35">
        <f>IF($L387="",DATE(1900,1,1),$L387)</f>
        <v/>
      </c>
      <c r="O387" s="35">
        <f>IF($M387="",DATE(2100,12,31),$M387)</f>
        <v/>
      </c>
      <c r="P387" s="20" t="inlineStr">
        <is>
          <t>Not really involved in ongoing work</t>
        </is>
      </c>
      <c r="Q387" s="47" t="inlineStr"/>
      <c r="R387" s="16">
        <f>IF($C387="","",IFERROR(IF(INDEX(Deals!$U$2:$U$355,MATCH($C387,Deals!$A$2:$A$355,0))=0,"",INDEX(Deals!$U$2:$U$355,MATCH($C387,Deals!$A$2:$A$355,0))),""))</f>
        <v/>
      </c>
      <c r="S387" s="34">
        <f>IFERROR(IF($U387="",1,INDEX(Deals!$V$2:$V$355,MATCH($C387,Deals!$A$2:$A$355,0))),1)</f>
        <v/>
      </c>
      <c r="T387" s="34">
        <f>IFERROR(IF($U387="",1,INDEX(Deals!$W$2:$W$355,MATCH($C387,Deals!$A$2:$A$355,0))),1)</f>
        <v/>
      </c>
      <c r="U387" s="22">
        <f>IF($C387="","",IFERROR(IF(INDEX(Deals!$Y$2:$Y$355,MATCH($C387,Deals!$A$2:$A$355,0))=0,"",INDEX(Deals!$Y$2:$Y$355,MATCH($C387,Deals!$A$2:$A$355,0))),""))</f>
        <v/>
      </c>
      <c r="V387" s="35">
        <f>IF(OR($U387&lt;&gt;"",AND($AO387&gt;0,$L387&lt;&gt;"",$M387&lt;&gt;"")),$N387,DATE(1900,1,1))</f>
        <v/>
      </c>
      <c r="W387" s="35">
        <f>IF($U387&lt;&gt;"",$U387,IF(AND($AO387&gt;0,$L387&lt;&gt;"",$M387&lt;&gt;""),$O387,DATE(2100,12,31)))</f>
        <v/>
      </c>
      <c r="X387" s="32">
        <f>IF($U387="",$K387,$K387*$S387)</f>
        <v/>
      </c>
      <c r="Y387" s="35">
        <f>IF($U387="",DATE(2100,12,31),$U387+1)</f>
        <v/>
      </c>
      <c r="Z387" s="35">
        <f>IF($U387="",DATE(1900,1,1),$O387)</f>
        <v/>
      </c>
      <c r="AA387" s="32">
        <f>IF($U387="",0,$K387*$T387)</f>
        <v/>
      </c>
      <c r="AB387" s="21">
        <f>IF($C387="",0,IFERROR(INDEX(Deals!$AD$2:$AD$355,MATCH($C387,Deals!$A$2:$A$355,0)),0))</f>
        <v/>
      </c>
      <c r="AC387" s="32">
        <f>IF(Settings!$B$4="Yes",$I387*$AB387,$I387)</f>
        <v/>
      </c>
      <c r="AD387" s="22">
        <f>IF($C387="","",IFERROR(IF(INDEX(Deals!$AE$2:$AE$355,MATCH($C387,Deals!$A$2:$A$355,0))=0,"",INDEX(Deals!$AE$2:$AE$355,MATCH($C387,Deals!$A$2:$A$355,0))),""))</f>
        <v/>
      </c>
      <c r="AE387" s="22">
        <f>IF($C387="","",IFERROR(IF(INDEX(Deals!$AF$2:$AF$355,MATCH($C387,Deals!$A$2:$A$355,0))=0,"",INDEX(Deals!$AF$2:$AF$355,MATCH($C387,Deals!$A$2:$A$355,0))),""))</f>
        <v/>
      </c>
      <c r="AF387" s="35">
        <f>IF($AD387="",DATE(1900,1,1),$AD387)</f>
        <v/>
      </c>
      <c r="AG387" s="35">
        <f>IF($AE387="",DATE(2100,12,31),$AE387)</f>
        <v/>
      </c>
      <c r="AH387" s="22">
        <f>IF($C387="","",IFERROR(IF(INDEX(Deals!$AG$2:$AG$355,MATCH($C387,Deals!$A$2:$A$355,0))=0,"",INDEX(Deals!$AG$2:$AG$355,MATCH($C387,Deals!$A$2:$A$355,0))),""))</f>
        <v/>
      </c>
      <c r="AI387" s="35">
        <f>IF(OR($AH387&lt;&gt;"",AND($AO387&gt;0,$AD387&lt;&gt;"",$AE387&lt;&gt;"")),$AF387,DATE(1900,1,1))</f>
        <v/>
      </c>
      <c r="AJ387" s="35">
        <f>IF($AH387&lt;&gt;"",$AH387,IF(AND($AO387&gt;0,$AD387&lt;&gt;"",$AE387&lt;&gt;""),$AG387,DATE(2100,12,31)))</f>
        <v/>
      </c>
      <c r="AK387" s="32">
        <f>IF($AH387="",$AC387,$AC387*$S387)</f>
        <v/>
      </c>
      <c r="AL387" s="35">
        <f>IF($AH387="",DATE(2100,12,31),$AH387+1)</f>
        <v/>
      </c>
      <c r="AM387" s="35">
        <f>IF($AH387="",DATE(1900,1,1),$AG387)</f>
        <v/>
      </c>
      <c r="AN387" s="32">
        <f>IF($AH387="",0,$AC387*$T387)</f>
        <v/>
      </c>
      <c r="AO387" s="46">
        <f>IF($C387="",0,IFERROR(INDEX(Deals!$BD$2:$BD$355,MATCH($C387,Deals!$A$2:$A$355,0)),0))</f>
        <v/>
      </c>
      <c r="AP387" s="18">
        <f>IF($AO387=0,0,IFERROR(INDEX(Deals!$BJ$2:$BP$355,MATCH($C387,Deals!$A$2:$A$355,0),MATCH($F387,Deals!$BJ$1:$BP$1,0))/COUNTIFS(Assignments!$C$2:$C$769,$C387,Assignments!$F$2:$F$769,$F387,Assignments!$G$2:$G$769,"Active"),0))</f>
        <v/>
      </c>
    </row>
    <row r="388">
      <c r="A388" s="28" t="inlineStr">
        <is>
          <t>Patch</t>
        </is>
      </c>
      <c r="B388" s="16">
        <f>IF($A388="","",IFERROR(INDEX(Roster!$B$2:$B$40,MATCH($A388,Roster!$A$2:$A$40,0)),"?"))</f>
        <v/>
      </c>
      <c r="C388" s="28" t="inlineStr">
        <is>
          <t>Hop_1</t>
        </is>
      </c>
      <c r="D388" s="16">
        <f>IF($C388="","",IFERROR(IF(INDEX(Deals!$C$2:$C$355,MATCH($C388,Deals!$A$2:$A$355,0))=0,"",INDEX(Deals!$C$2:$C$355,MATCH($C388,Deals!$A$2:$A$355,0))),"?"))</f>
        <v/>
      </c>
      <c r="E388" s="16">
        <f>IF($C388="","",IFERROR(INDEX(Deals!$F$2:$F$355,MATCH($C388,Deals!$A$2:$A$355,0)),"?"))</f>
        <v/>
      </c>
      <c r="F388" s="28" t="inlineStr">
        <is>
          <t>VP</t>
        </is>
      </c>
      <c r="G388" s="28" t="inlineStr">
        <is>
          <t>Active</t>
        </is>
      </c>
      <c r="H388" s="31" t="n"/>
      <c r="I388" s="32">
        <f>IF(OR($A388="",$G388&lt;&gt;"Active"),0,IF($H388&lt;&gt;"",$H388,IF($AO388&gt;0,$AP388,IF(AND($R388&lt;&gt;"",IFERROR(INDEX(Templates!$B$3:$H$10,MATCH($R388,Templates!$A$3:$A$10,0),MATCH($F388,Templates!$B$2:$H$2,0)),0)&gt;0),INDEX(Templates!$B$3:$H$10,MATCH($R388,Templates!$A$3:$A$10,0),MATCH($F388,Templates!$B$2:$H$2,0)),IFERROR(INDEX(Settings!$B$8:$B$14,MATCH($F388,Settings!$A$8:$A$14,0)),0)))))</f>
        <v/>
      </c>
      <c r="J388" s="21">
        <f>IF($C388="",0,IFERROR(INDEX(Deals!$H$2:$H$355,MATCH($C388,Deals!$A$2:$A$355,0)),0))</f>
        <v/>
      </c>
      <c r="K388" s="32">
        <f>IF(Settings!$B$4="Yes",$I388*$J388,$I388)</f>
        <v/>
      </c>
      <c r="L388" s="22">
        <f>IF($C388="","",IFERROR(IF(INDEX(Deals!$I$2:$I$355,MATCH($C388,Deals!$A$2:$A$355,0))=0,"",INDEX(Deals!$I$2:$I$355,MATCH($C388,Deals!$A$2:$A$355,0))),""))</f>
        <v/>
      </c>
      <c r="M388" s="22">
        <f>IF($C388="","",IFERROR(IF(INDEX(Deals!$J$2:$J$355,MATCH($C388,Deals!$A$2:$A$355,0))=0,"",INDEX(Deals!$J$2:$J$355,MATCH($C388,Deals!$A$2:$A$355,0))),""))</f>
        <v/>
      </c>
      <c r="N388" s="35">
        <f>IF($L388="",DATE(1900,1,1),$L388)</f>
        <v/>
      </c>
      <c r="O388" s="35">
        <f>IF($M388="",DATE(2100,12,31),$M388)</f>
        <v/>
      </c>
      <c r="P388" s="20" t="inlineStr">
        <is>
          <t>SALT deal</t>
        </is>
      </c>
      <c r="Q388" s="47" t="inlineStr"/>
      <c r="R388" s="16">
        <f>IF($C388="","",IFERROR(IF(INDEX(Deals!$U$2:$U$355,MATCH($C388,Deals!$A$2:$A$355,0))=0,"",INDEX(Deals!$U$2:$U$355,MATCH($C388,Deals!$A$2:$A$355,0))),""))</f>
        <v/>
      </c>
      <c r="S388" s="34">
        <f>IFERROR(IF($U388="",1,INDEX(Deals!$V$2:$V$355,MATCH($C388,Deals!$A$2:$A$355,0))),1)</f>
        <v/>
      </c>
      <c r="T388" s="34">
        <f>IFERROR(IF($U388="",1,INDEX(Deals!$W$2:$W$355,MATCH($C388,Deals!$A$2:$A$355,0))),1)</f>
        <v/>
      </c>
      <c r="U388" s="22">
        <f>IF($C388="","",IFERROR(IF(INDEX(Deals!$Y$2:$Y$355,MATCH($C388,Deals!$A$2:$A$355,0))=0,"",INDEX(Deals!$Y$2:$Y$355,MATCH($C388,Deals!$A$2:$A$355,0))),""))</f>
        <v/>
      </c>
      <c r="V388" s="35">
        <f>IF(OR($U388&lt;&gt;"",AND($AO388&gt;0,$L388&lt;&gt;"",$M388&lt;&gt;"")),$N388,DATE(1900,1,1))</f>
        <v/>
      </c>
      <c r="W388" s="35">
        <f>IF($U388&lt;&gt;"",$U388,IF(AND($AO388&gt;0,$L388&lt;&gt;"",$M388&lt;&gt;""),$O388,DATE(2100,12,31)))</f>
        <v/>
      </c>
      <c r="X388" s="32">
        <f>IF($U388="",$K388,$K388*$S388)</f>
        <v/>
      </c>
      <c r="Y388" s="35">
        <f>IF($U388="",DATE(2100,12,31),$U388+1)</f>
        <v/>
      </c>
      <c r="Z388" s="35">
        <f>IF($U388="",DATE(1900,1,1),$O388)</f>
        <v/>
      </c>
      <c r="AA388" s="32">
        <f>IF($U388="",0,$K388*$T388)</f>
        <v/>
      </c>
      <c r="AB388" s="21">
        <f>IF($C388="",0,IFERROR(INDEX(Deals!$AD$2:$AD$355,MATCH($C388,Deals!$A$2:$A$355,0)),0))</f>
        <v/>
      </c>
      <c r="AC388" s="32">
        <f>IF(Settings!$B$4="Yes",$I388*$AB388,$I388)</f>
        <v/>
      </c>
      <c r="AD388" s="22">
        <f>IF($C388="","",IFERROR(IF(INDEX(Deals!$AE$2:$AE$355,MATCH($C388,Deals!$A$2:$A$355,0))=0,"",INDEX(Deals!$AE$2:$AE$355,MATCH($C388,Deals!$A$2:$A$355,0))),""))</f>
        <v/>
      </c>
      <c r="AE388" s="22">
        <f>IF($C388="","",IFERROR(IF(INDEX(Deals!$AF$2:$AF$355,MATCH($C388,Deals!$A$2:$A$355,0))=0,"",INDEX(Deals!$AF$2:$AF$355,MATCH($C388,Deals!$A$2:$A$355,0))),""))</f>
        <v/>
      </c>
      <c r="AF388" s="35">
        <f>IF($AD388="",DATE(1900,1,1),$AD388)</f>
        <v/>
      </c>
      <c r="AG388" s="35">
        <f>IF($AE388="",DATE(2100,12,31),$AE388)</f>
        <v/>
      </c>
      <c r="AH388" s="22">
        <f>IF($C388="","",IFERROR(IF(INDEX(Deals!$AG$2:$AG$355,MATCH($C388,Deals!$A$2:$A$355,0))=0,"",INDEX(Deals!$AG$2:$AG$355,MATCH($C388,Deals!$A$2:$A$355,0))),""))</f>
        <v/>
      </c>
      <c r="AI388" s="35">
        <f>IF(OR($AH388&lt;&gt;"",AND($AO388&gt;0,$AD388&lt;&gt;"",$AE388&lt;&gt;"")),$AF388,DATE(1900,1,1))</f>
        <v/>
      </c>
      <c r="AJ388" s="35">
        <f>IF($AH388&lt;&gt;"",$AH388,IF(AND($AO388&gt;0,$AD388&lt;&gt;"",$AE388&lt;&gt;""),$AG388,DATE(2100,12,31)))</f>
        <v/>
      </c>
      <c r="AK388" s="32">
        <f>IF($AH388="",$AC388,$AC388*$S388)</f>
        <v/>
      </c>
      <c r="AL388" s="35">
        <f>IF($AH388="",DATE(2100,12,31),$AH388+1)</f>
        <v/>
      </c>
      <c r="AM388" s="35">
        <f>IF($AH388="",DATE(1900,1,1),$AG388)</f>
        <v/>
      </c>
      <c r="AN388" s="32">
        <f>IF($AH388="",0,$AC388*$T388)</f>
        <v/>
      </c>
      <c r="AO388" s="46">
        <f>IF($C388="",0,IFERROR(INDEX(Deals!$BD$2:$BD$355,MATCH($C388,Deals!$A$2:$A$355,0)),0))</f>
        <v/>
      </c>
      <c r="AP388" s="18">
        <f>IF($AO388=0,0,IFERROR(INDEX(Deals!$BJ$2:$BP$355,MATCH($C388,Deals!$A$2:$A$355,0),MATCH($F388,Deals!$BJ$1:$BP$1,0))/COUNTIFS(Assignments!$C$2:$C$769,$C388,Assignments!$F$2:$F$769,$F388,Assignments!$G$2:$G$769,"Active"),0))</f>
        <v/>
      </c>
    </row>
    <row r="389">
      <c r="A389" s="28" t="inlineStr">
        <is>
          <t>Patch</t>
        </is>
      </c>
      <c r="B389" s="16">
        <f>IF($A389="","",IFERROR(INDEX(Roster!$B$2:$B$40,MATCH($A389,Roster!$A$2:$A$40,0)),"?"))</f>
        <v/>
      </c>
      <c r="C389" s="28" t="inlineStr">
        <is>
          <t>i3 Broadband _1</t>
        </is>
      </c>
      <c r="D389" s="16">
        <f>IF($C389="","",IFERROR(IF(INDEX(Deals!$C$2:$C$355,MATCH($C389,Deals!$A$2:$A$355,0))=0,"",INDEX(Deals!$C$2:$C$355,MATCH($C389,Deals!$A$2:$A$355,0))),"?"))</f>
        <v/>
      </c>
      <c r="E389" s="16">
        <f>IF($C389="","",IFERROR(INDEX(Deals!$F$2:$F$355,MATCH($C389,Deals!$A$2:$A$355,0)),"?"))</f>
        <v/>
      </c>
      <c r="F389" s="28" t="inlineStr">
        <is>
          <t>VP</t>
        </is>
      </c>
      <c r="G389" s="28" t="inlineStr">
        <is>
          <t>Inactive</t>
        </is>
      </c>
      <c r="H389" s="31" t="n"/>
      <c r="I389" s="32">
        <f>IF(OR($A389="",$G389&lt;&gt;"Active"),0,IF($H389&lt;&gt;"",$H389,IF($AO389&gt;0,$AP389,IF(AND($R389&lt;&gt;"",IFERROR(INDEX(Templates!$B$3:$H$10,MATCH($R389,Templates!$A$3:$A$10,0),MATCH($F389,Templates!$B$2:$H$2,0)),0)&gt;0),INDEX(Templates!$B$3:$H$10,MATCH($R389,Templates!$A$3:$A$10,0),MATCH($F389,Templates!$B$2:$H$2,0)),IFERROR(INDEX(Settings!$B$8:$B$14,MATCH($F389,Settings!$A$8:$A$14,0)),0)))))</f>
        <v/>
      </c>
      <c r="J389" s="21">
        <f>IF($C389="",0,IFERROR(INDEX(Deals!$H$2:$H$355,MATCH($C389,Deals!$A$2:$A$355,0)),0))</f>
        <v/>
      </c>
      <c r="K389" s="32">
        <f>IF(Settings!$B$4="Yes",$I389*$J389,$I389)</f>
        <v/>
      </c>
      <c r="L389" s="22">
        <f>IF($C389="","",IFERROR(IF(INDEX(Deals!$I$2:$I$355,MATCH($C389,Deals!$A$2:$A$355,0))=0,"",INDEX(Deals!$I$2:$I$355,MATCH($C389,Deals!$A$2:$A$355,0))),""))</f>
        <v/>
      </c>
      <c r="M389" s="22">
        <f>IF($C389="","",IFERROR(IF(INDEX(Deals!$J$2:$J$355,MATCH($C389,Deals!$A$2:$A$355,0))=0,"",INDEX(Deals!$J$2:$J$355,MATCH($C389,Deals!$A$2:$A$355,0))),""))</f>
        <v/>
      </c>
      <c r="N389" s="35">
        <f>IF($L389="",DATE(1900,1,1),$L389)</f>
        <v/>
      </c>
      <c r="O389" s="35">
        <f>IF($M389="",DATE(2100,12,31),$M389)</f>
        <v/>
      </c>
      <c r="P389" s="20" t="inlineStr">
        <is>
          <t>Not involved in ongoing work</t>
        </is>
      </c>
      <c r="Q389" s="47" t="inlineStr"/>
      <c r="R389" s="16">
        <f>IF($C389="","",IFERROR(IF(INDEX(Deals!$U$2:$U$355,MATCH($C389,Deals!$A$2:$A$355,0))=0,"",INDEX(Deals!$U$2:$U$355,MATCH($C389,Deals!$A$2:$A$355,0))),""))</f>
        <v/>
      </c>
      <c r="S389" s="34">
        <f>IFERROR(IF($U389="",1,INDEX(Deals!$V$2:$V$355,MATCH($C389,Deals!$A$2:$A$355,0))),1)</f>
        <v/>
      </c>
      <c r="T389" s="34">
        <f>IFERROR(IF($U389="",1,INDEX(Deals!$W$2:$W$355,MATCH($C389,Deals!$A$2:$A$355,0))),1)</f>
        <v/>
      </c>
      <c r="U389" s="22">
        <f>IF($C389="","",IFERROR(IF(INDEX(Deals!$Y$2:$Y$355,MATCH($C389,Deals!$A$2:$A$355,0))=0,"",INDEX(Deals!$Y$2:$Y$355,MATCH($C389,Deals!$A$2:$A$355,0))),""))</f>
        <v/>
      </c>
      <c r="V389" s="35">
        <f>IF(OR($U389&lt;&gt;"",AND($AO389&gt;0,$L389&lt;&gt;"",$M389&lt;&gt;"")),$N389,DATE(1900,1,1))</f>
        <v/>
      </c>
      <c r="W389" s="35">
        <f>IF($U389&lt;&gt;"",$U389,IF(AND($AO389&gt;0,$L389&lt;&gt;"",$M389&lt;&gt;""),$O389,DATE(2100,12,31)))</f>
        <v/>
      </c>
      <c r="X389" s="32">
        <f>IF($U389="",$K389,$K389*$S389)</f>
        <v/>
      </c>
      <c r="Y389" s="35">
        <f>IF($U389="",DATE(2100,12,31),$U389+1)</f>
        <v/>
      </c>
      <c r="Z389" s="35">
        <f>IF($U389="",DATE(1900,1,1),$O389)</f>
        <v/>
      </c>
      <c r="AA389" s="32">
        <f>IF($U389="",0,$K389*$T389)</f>
        <v/>
      </c>
      <c r="AB389" s="21">
        <f>IF($C389="",0,IFERROR(INDEX(Deals!$AD$2:$AD$355,MATCH($C389,Deals!$A$2:$A$355,0)),0))</f>
        <v/>
      </c>
      <c r="AC389" s="32">
        <f>IF(Settings!$B$4="Yes",$I389*$AB389,$I389)</f>
        <v/>
      </c>
      <c r="AD389" s="22">
        <f>IF($C389="","",IFERROR(IF(INDEX(Deals!$AE$2:$AE$355,MATCH($C389,Deals!$A$2:$A$355,0))=0,"",INDEX(Deals!$AE$2:$AE$355,MATCH($C389,Deals!$A$2:$A$355,0))),""))</f>
        <v/>
      </c>
      <c r="AE389" s="22">
        <f>IF($C389="","",IFERROR(IF(INDEX(Deals!$AF$2:$AF$355,MATCH($C389,Deals!$A$2:$A$355,0))=0,"",INDEX(Deals!$AF$2:$AF$355,MATCH($C389,Deals!$A$2:$A$355,0))),""))</f>
        <v/>
      </c>
      <c r="AF389" s="35">
        <f>IF($AD389="",DATE(1900,1,1),$AD389)</f>
        <v/>
      </c>
      <c r="AG389" s="35">
        <f>IF($AE389="",DATE(2100,12,31),$AE389)</f>
        <v/>
      </c>
      <c r="AH389" s="22">
        <f>IF($C389="","",IFERROR(IF(INDEX(Deals!$AG$2:$AG$355,MATCH($C389,Deals!$A$2:$A$355,0))=0,"",INDEX(Deals!$AG$2:$AG$355,MATCH($C389,Deals!$A$2:$A$355,0))),""))</f>
        <v/>
      </c>
      <c r="AI389" s="35">
        <f>IF(OR($AH389&lt;&gt;"",AND($AO389&gt;0,$AD389&lt;&gt;"",$AE389&lt;&gt;"")),$AF389,DATE(1900,1,1))</f>
        <v/>
      </c>
      <c r="AJ389" s="35">
        <f>IF($AH389&lt;&gt;"",$AH389,IF(AND($AO389&gt;0,$AD389&lt;&gt;"",$AE389&lt;&gt;""),$AG389,DATE(2100,12,31)))</f>
        <v/>
      </c>
      <c r="AK389" s="32">
        <f>IF($AH389="",$AC389,$AC389*$S389)</f>
        <v/>
      </c>
      <c r="AL389" s="35">
        <f>IF($AH389="",DATE(2100,12,31),$AH389+1)</f>
        <v/>
      </c>
      <c r="AM389" s="35">
        <f>IF($AH389="",DATE(1900,1,1),$AG389)</f>
        <v/>
      </c>
      <c r="AN389" s="32">
        <f>IF($AH389="",0,$AC389*$T389)</f>
        <v/>
      </c>
      <c r="AO389" s="46">
        <f>IF($C389="",0,IFERROR(INDEX(Deals!$BD$2:$BD$355,MATCH($C389,Deals!$A$2:$A$355,0)),0))</f>
        <v/>
      </c>
      <c r="AP389" s="18">
        <f>IF($AO389=0,0,IFERROR(INDEX(Deals!$BJ$2:$BP$355,MATCH($C389,Deals!$A$2:$A$355,0),MATCH($F389,Deals!$BJ$1:$BP$1,0))/COUNTIFS(Assignments!$C$2:$C$769,$C389,Assignments!$F$2:$F$769,$F389,Assignments!$G$2:$G$769,"Active"),0))</f>
        <v/>
      </c>
    </row>
    <row r="390">
      <c r="A390" s="28" t="inlineStr">
        <is>
          <t>Patch</t>
        </is>
      </c>
      <c r="B390" s="16">
        <f>IF($A390="","",IFERROR(INDEX(Roster!$B$2:$B$40,MATCH($A390,Roster!$A$2:$A$40,0)),"?"))</f>
        <v/>
      </c>
      <c r="C390" s="28" t="inlineStr">
        <is>
          <t>IMEC_1</t>
        </is>
      </c>
      <c r="D390" s="16">
        <f>IF($C390="","",IFERROR(IF(INDEX(Deals!$C$2:$C$355,MATCH($C390,Deals!$A$2:$A$355,0))=0,"",INDEX(Deals!$C$2:$C$355,MATCH($C390,Deals!$A$2:$A$355,0))),"?"))</f>
        <v/>
      </c>
      <c r="E390" s="16">
        <f>IF($C390="","",IFERROR(INDEX(Deals!$F$2:$F$355,MATCH($C390,Deals!$A$2:$A$355,0)),"?"))</f>
        <v/>
      </c>
      <c r="F390" s="28" t="inlineStr">
        <is>
          <t>VP</t>
        </is>
      </c>
      <c r="G390" s="28" t="inlineStr">
        <is>
          <t>Inactive</t>
        </is>
      </c>
      <c r="H390" s="31" t="n"/>
      <c r="I390" s="32">
        <f>IF(OR($A390="",$G390&lt;&gt;"Active"),0,IF($H390&lt;&gt;"",$H390,IF($AO390&gt;0,$AP390,IF(AND($R390&lt;&gt;"",IFERROR(INDEX(Templates!$B$3:$H$10,MATCH($R390,Templates!$A$3:$A$10,0),MATCH($F390,Templates!$B$2:$H$2,0)),0)&gt;0),INDEX(Templates!$B$3:$H$10,MATCH($R390,Templates!$A$3:$A$10,0),MATCH($F390,Templates!$B$2:$H$2,0)),IFERROR(INDEX(Settings!$B$8:$B$14,MATCH($F390,Settings!$A$8:$A$14,0)),0)))))</f>
        <v/>
      </c>
      <c r="J390" s="21">
        <f>IF($C390="",0,IFERROR(INDEX(Deals!$H$2:$H$355,MATCH($C390,Deals!$A$2:$A$355,0)),0))</f>
        <v/>
      </c>
      <c r="K390" s="32">
        <f>IF(Settings!$B$4="Yes",$I390*$J390,$I390)</f>
        <v/>
      </c>
      <c r="L390" s="22">
        <f>IF($C390="","",IFERROR(IF(INDEX(Deals!$I$2:$I$355,MATCH($C390,Deals!$A$2:$A$355,0))=0,"",INDEX(Deals!$I$2:$I$355,MATCH($C390,Deals!$A$2:$A$355,0))),""))</f>
        <v/>
      </c>
      <c r="M390" s="22">
        <f>IF($C390="","",IFERROR(IF(INDEX(Deals!$J$2:$J$355,MATCH($C390,Deals!$A$2:$A$355,0))=0,"",INDEX(Deals!$J$2:$J$355,MATCH($C390,Deals!$A$2:$A$355,0))),""))</f>
        <v/>
      </c>
      <c r="N390" s="35">
        <f>IF($L390="",DATE(1900,1,1),$L390)</f>
        <v/>
      </c>
      <c r="O390" s="35">
        <f>IF($M390="",DATE(2100,12,31),$M390)</f>
        <v/>
      </c>
      <c r="P390" s="20" t="inlineStr">
        <is>
          <t>Invoiced</t>
        </is>
      </c>
      <c r="Q390" s="47" t="inlineStr"/>
      <c r="R390" s="16">
        <f>IF($C390="","",IFERROR(IF(INDEX(Deals!$U$2:$U$355,MATCH($C390,Deals!$A$2:$A$355,0))=0,"",INDEX(Deals!$U$2:$U$355,MATCH($C390,Deals!$A$2:$A$355,0))),""))</f>
        <v/>
      </c>
      <c r="S390" s="34">
        <f>IFERROR(IF($U390="",1,INDEX(Deals!$V$2:$V$355,MATCH($C390,Deals!$A$2:$A$355,0))),1)</f>
        <v/>
      </c>
      <c r="T390" s="34">
        <f>IFERROR(IF($U390="",1,INDEX(Deals!$W$2:$W$355,MATCH($C390,Deals!$A$2:$A$355,0))),1)</f>
        <v/>
      </c>
      <c r="U390" s="22">
        <f>IF($C390="","",IFERROR(IF(INDEX(Deals!$Y$2:$Y$355,MATCH($C390,Deals!$A$2:$A$355,0))=0,"",INDEX(Deals!$Y$2:$Y$355,MATCH($C390,Deals!$A$2:$A$355,0))),""))</f>
        <v/>
      </c>
      <c r="V390" s="35">
        <f>IF(OR($U390&lt;&gt;"",AND($AO390&gt;0,$L390&lt;&gt;"",$M390&lt;&gt;"")),$N390,DATE(1900,1,1))</f>
        <v/>
      </c>
      <c r="W390" s="35">
        <f>IF($U390&lt;&gt;"",$U390,IF(AND($AO390&gt;0,$L390&lt;&gt;"",$M390&lt;&gt;""),$O390,DATE(2100,12,31)))</f>
        <v/>
      </c>
      <c r="X390" s="32">
        <f>IF($U390="",$K390,$K390*$S390)</f>
        <v/>
      </c>
      <c r="Y390" s="35">
        <f>IF($U390="",DATE(2100,12,31),$U390+1)</f>
        <v/>
      </c>
      <c r="Z390" s="35">
        <f>IF($U390="",DATE(1900,1,1),$O390)</f>
        <v/>
      </c>
      <c r="AA390" s="32">
        <f>IF($U390="",0,$K390*$T390)</f>
        <v/>
      </c>
      <c r="AB390" s="21">
        <f>IF($C390="",0,IFERROR(INDEX(Deals!$AD$2:$AD$355,MATCH($C390,Deals!$A$2:$A$355,0)),0))</f>
        <v/>
      </c>
      <c r="AC390" s="32">
        <f>IF(Settings!$B$4="Yes",$I390*$AB390,$I390)</f>
        <v/>
      </c>
      <c r="AD390" s="22">
        <f>IF($C390="","",IFERROR(IF(INDEX(Deals!$AE$2:$AE$355,MATCH($C390,Deals!$A$2:$A$355,0))=0,"",INDEX(Deals!$AE$2:$AE$355,MATCH($C390,Deals!$A$2:$A$355,0))),""))</f>
        <v/>
      </c>
      <c r="AE390" s="22">
        <f>IF($C390="","",IFERROR(IF(INDEX(Deals!$AF$2:$AF$355,MATCH($C390,Deals!$A$2:$A$355,0))=0,"",INDEX(Deals!$AF$2:$AF$355,MATCH($C390,Deals!$A$2:$A$355,0))),""))</f>
        <v/>
      </c>
      <c r="AF390" s="35">
        <f>IF($AD390="",DATE(1900,1,1),$AD390)</f>
        <v/>
      </c>
      <c r="AG390" s="35">
        <f>IF($AE390="",DATE(2100,12,31),$AE390)</f>
        <v/>
      </c>
      <c r="AH390" s="22">
        <f>IF($C390="","",IFERROR(IF(INDEX(Deals!$AG$2:$AG$355,MATCH($C390,Deals!$A$2:$A$355,0))=0,"",INDEX(Deals!$AG$2:$AG$355,MATCH($C390,Deals!$A$2:$A$355,0))),""))</f>
        <v/>
      </c>
      <c r="AI390" s="35">
        <f>IF(OR($AH390&lt;&gt;"",AND($AO390&gt;0,$AD390&lt;&gt;"",$AE390&lt;&gt;"")),$AF390,DATE(1900,1,1))</f>
        <v/>
      </c>
      <c r="AJ390" s="35">
        <f>IF($AH390&lt;&gt;"",$AH390,IF(AND($AO390&gt;0,$AD390&lt;&gt;"",$AE390&lt;&gt;""),$AG390,DATE(2100,12,31)))</f>
        <v/>
      </c>
      <c r="AK390" s="32">
        <f>IF($AH390="",$AC390,$AC390*$S390)</f>
        <v/>
      </c>
      <c r="AL390" s="35">
        <f>IF($AH390="",DATE(2100,12,31),$AH390+1)</f>
        <v/>
      </c>
      <c r="AM390" s="35">
        <f>IF($AH390="",DATE(1900,1,1),$AG390)</f>
        <v/>
      </c>
      <c r="AN390" s="32">
        <f>IF($AH390="",0,$AC390*$T390)</f>
        <v/>
      </c>
      <c r="AO390" s="46">
        <f>IF($C390="",0,IFERROR(INDEX(Deals!$BD$2:$BD$355,MATCH($C390,Deals!$A$2:$A$355,0)),0))</f>
        <v/>
      </c>
      <c r="AP390" s="18">
        <f>IF($AO390=0,0,IFERROR(INDEX(Deals!$BJ$2:$BP$355,MATCH($C390,Deals!$A$2:$A$355,0),MATCH($F390,Deals!$BJ$1:$BP$1,0))/COUNTIFS(Assignments!$C$2:$C$769,$C390,Assignments!$F$2:$F$769,$F390,Assignments!$G$2:$G$769,"Active"),0))</f>
        <v/>
      </c>
    </row>
    <row r="391">
      <c r="A391" s="28" t="inlineStr">
        <is>
          <t>Patch</t>
        </is>
      </c>
      <c r="B391" s="16">
        <f>IF($A391="","",IFERROR(INDEX(Roster!$B$2:$B$40,MATCH($A391,Roster!$A$2:$A$40,0)),"?"))</f>
        <v/>
      </c>
      <c r="C391" s="28" t="inlineStr">
        <is>
          <t>Justin_2</t>
        </is>
      </c>
      <c r="D391" s="16">
        <f>IF($C391="","",IFERROR(IF(INDEX(Deals!$C$2:$C$355,MATCH($C391,Deals!$A$2:$A$355,0))=0,"",INDEX(Deals!$C$2:$C$355,MATCH($C391,Deals!$A$2:$A$355,0))),"?"))</f>
        <v/>
      </c>
      <c r="E391" s="16">
        <f>IF($C391="","",IFERROR(INDEX(Deals!$F$2:$F$355,MATCH($C391,Deals!$A$2:$A$355,0)),"?"))</f>
        <v/>
      </c>
      <c r="F391" s="28" t="inlineStr">
        <is>
          <t>VP</t>
        </is>
      </c>
      <c r="G391" s="28" t="inlineStr">
        <is>
          <t>Inactive</t>
        </is>
      </c>
      <c r="H391" s="31" t="n"/>
      <c r="I391" s="32">
        <f>IF(OR($A391="",$G391&lt;&gt;"Active"),0,IF($H391&lt;&gt;"",$H391,IF($AO391&gt;0,$AP391,IF(AND($R391&lt;&gt;"",IFERROR(INDEX(Templates!$B$3:$H$10,MATCH($R391,Templates!$A$3:$A$10,0),MATCH($F391,Templates!$B$2:$H$2,0)),0)&gt;0),INDEX(Templates!$B$3:$H$10,MATCH($R391,Templates!$A$3:$A$10,0),MATCH($F391,Templates!$B$2:$H$2,0)),IFERROR(INDEX(Settings!$B$8:$B$14,MATCH($F391,Settings!$A$8:$A$14,0)),0)))))</f>
        <v/>
      </c>
      <c r="J391" s="21">
        <f>IF($C391="",0,IFERROR(INDEX(Deals!$H$2:$H$355,MATCH($C391,Deals!$A$2:$A$355,0)),0))</f>
        <v/>
      </c>
      <c r="K391" s="32">
        <f>IF(Settings!$B$4="Yes",$I391*$J391,$I391)</f>
        <v/>
      </c>
      <c r="L391" s="22">
        <f>IF($C391="","",IFERROR(IF(INDEX(Deals!$I$2:$I$355,MATCH($C391,Deals!$A$2:$A$355,0))=0,"",INDEX(Deals!$I$2:$I$355,MATCH($C391,Deals!$A$2:$A$355,0))),""))</f>
        <v/>
      </c>
      <c r="M391" s="22">
        <f>IF($C391="","",IFERROR(IF(INDEX(Deals!$J$2:$J$355,MATCH($C391,Deals!$A$2:$A$355,0))=0,"",INDEX(Deals!$J$2:$J$355,MATCH($C391,Deals!$A$2:$A$355,0))),""))</f>
        <v/>
      </c>
      <c r="N391" s="35">
        <f>IF($L391="",DATE(1900,1,1),$L391)</f>
        <v/>
      </c>
      <c r="O391" s="35">
        <f>IF($M391="",DATE(2100,12,31),$M391)</f>
        <v/>
      </c>
      <c r="P391" s="20" t="inlineStr">
        <is>
          <t>This was probably when I was helping check tax insurance datarooms.</t>
        </is>
      </c>
      <c r="Q391" s="47" t="inlineStr"/>
      <c r="R391" s="16">
        <f>IF($C391="","",IFERROR(IF(INDEX(Deals!$U$2:$U$355,MATCH($C391,Deals!$A$2:$A$355,0))=0,"",INDEX(Deals!$U$2:$U$355,MATCH($C391,Deals!$A$2:$A$355,0))),""))</f>
        <v/>
      </c>
      <c r="S391" s="34">
        <f>IFERROR(IF($U391="",1,INDEX(Deals!$V$2:$V$355,MATCH($C391,Deals!$A$2:$A$355,0))),1)</f>
        <v/>
      </c>
      <c r="T391" s="34">
        <f>IFERROR(IF($U391="",1,INDEX(Deals!$W$2:$W$355,MATCH($C391,Deals!$A$2:$A$355,0))),1)</f>
        <v/>
      </c>
      <c r="U391" s="22">
        <f>IF($C391="","",IFERROR(IF(INDEX(Deals!$Y$2:$Y$355,MATCH($C391,Deals!$A$2:$A$355,0))=0,"",INDEX(Deals!$Y$2:$Y$355,MATCH($C391,Deals!$A$2:$A$355,0))),""))</f>
        <v/>
      </c>
      <c r="V391" s="35">
        <f>IF(OR($U391&lt;&gt;"",AND($AO391&gt;0,$L391&lt;&gt;"",$M391&lt;&gt;"")),$N391,DATE(1900,1,1))</f>
        <v/>
      </c>
      <c r="W391" s="35">
        <f>IF($U391&lt;&gt;"",$U391,IF(AND($AO391&gt;0,$L391&lt;&gt;"",$M391&lt;&gt;""),$O391,DATE(2100,12,31)))</f>
        <v/>
      </c>
      <c r="X391" s="32">
        <f>IF($U391="",$K391,$K391*$S391)</f>
        <v/>
      </c>
      <c r="Y391" s="35">
        <f>IF($U391="",DATE(2100,12,31),$U391+1)</f>
        <v/>
      </c>
      <c r="Z391" s="35">
        <f>IF($U391="",DATE(1900,1,1),$O391)</f>
        <v/>
      </c>
      <c r="AA391" s="32">
        <f>IF($U391="",0,$K391*$T391)</f>
        <v/>
      </c>
      <c r="AB391" s="21">
        <f>IF($C391="",0,IFERROR(INDEX(Deals!$AD$2:$AD$355,MATCH($C391,Deals!$A$2:$A$355,0)),0))</f>
        <v/>
      </c>
      <c r="AC391" s="32">
        <f>IF(Settings!$B$4="Yes",$I391*$AB391,$I391)</f>
        <v/>
      </c>
      <c r="AD391" s="22">
        <f>IF($C391="","",IFERROR(IF(INDEX(Deals!$AE$2:$AE$355,MATCH($C391,Deals!$A$2:$A$355,0))=0,"",INDEX(Deals!$AE$2:$AE$355,MATCH($C391,Deals!$A$2:$A$355,0))),""))</f>
        <v/>
      </c>
      <c r="AE391" s="22">
        <f>IF($C391="","",IFERROR(IF(INDEX(Deals!$AF$2:$AF$355,MATCH($C391,Deals!$A$2:$A$355,0))=0,"",INDEX(Deals!$AF$2:$AF$355,MATCH($C391,Deals!$A$2:$A$355,0))),""))</f>
        <v/>
      </c>
      <c r="AF391" s="35">
        <f>IF($AD391="",DATE(1900,1,1),$AD391)</f>
        <v/>
      </c>
      <c r="AG391" s="35">
        <f>IF($AE391="",DATE(2100,12,31),$AE391)</f>
        <v/>
      </c>
      <c r="AH391" s="22">
        <f>IF($C391="","",IFERROR(IF(INDEX(Deals!$AG$2:$AG$355,MATCH($C391,Deals!$A$2:$A$355,0))=0,"",INDEX(Deals!$AG$2:$AG$355,MATCH($C391,Deals!$A$2:$A$355,0))),""))</f>
        <v/>
      </c>
      <c r="AI391" s="35">
        <f>IF(OR($AH391&lt;&gt;"",AND($AO391&gt;0,$AD391&lt;&gt;"",$AE391&lt;&gt;"")),$AF391,DATE(1900,1,1))</f>
        <v/>
      </c>
      <c r="AJ391" s="35">
        <f>IF($AH391&lt;&gt;"",$AH391,IF(AND($AO391&gt;0,$AD391&lt;&gt;"",$AE391&lt;&gt;""),$AG391,DATE(2100,12,31)))</f>
        <v/>
      </c>
      <c r="AK391" s="32">
        <f>IF($AH391="",$AC391,$AC391*$S391)</f>
        <v/>
      </c>
      <c r="AL391" s="35">
        <f>IF($AH391="",DATE(2100,12,31),$AH391+1)</f>
        <v/>
      </c>
      <c r="AM391" s="35">
        <f>IF($AH391="",DATE(1900,1,1),$AG391)</f>
        <v/>
      </c>
      <c r="AN391" s="32">
        <f>IF($AH391="",0,$AC391*$T391)</f>
        <v/>
      </c>
      <c r="AO391" s="46">
        <f>IF($C391="",0,IFERROR(INDEX(Deals!$BD$2:$BD$355,MATCH($C391,Deals!$A$2:$A$355,0)),0))</f>
        <v/>
      </c>
      <c r="AP391" s="18">
        <f>IF($AO391=0,0,IFERROR(INDEX(Deals!$BJ$2:$BP$355,MATCH($C391,Deals!$A$2:$A$355,0),MATCH($F391,Deals!$BJ$1:$BP$1,0))/COUNTIFS(Assignments!$C$2:$C$769,$C391,Assignments!$F$2:$F$769,$F391,Assignments!$G$2:$G$769,"Active"),0))</f>
        <v/>
      </c>
    </row>
    <row r="392">
      <c r="A392" s="28" t="inlineStr">
        <is>
          <t>Patch</t>
        </is>
      </c>
      <c r="B392" s="16">
        <f>IF($A392="","",IFERROR(INDEX(Roster!$B$2:$B$40,MATCH($A392,Roster!$A$2:$A$40,0)),"?"))</f>
        <v/>
      </c>
      <c r="C392" s="28" t="inlineStr">
        <is>
          <t>MIF_1</t>
        </is>
      </c>
      <c r="D392" s="16">
        <f>IF($C392="","",IFERROR(IF(INDEX(Deals!$C$2:$C$355,MATCH($C392,Deals!$A$2:$A$355,0))=0,"",INDEX(Deals!$C$2:$C$355,MATCH($C392,Deals!$A$2:$A$355,0))),"?"))</f>
        <v/>
      </c>
      <c r="E392" s="16">
        <f>IF($C392="","",IFERROR(INDEX(Deals!$F$2:$F$355,MATCH($C392,Deals!$A$2:$A$355,0)),"?"))</f>
        <v/>
      </c>
      <c r="F392" s="28" t="inlineStr">
        <is>
          <t>VP</t>
        </is>
      </c>
      <c r="G392" s="28" t="inlineStr">
        <is>
          <t>Active</t>
        </is>
      </c>
      <c r="H392" s="31" t="n"/>
      <c r="I392" s="32">
        <f>IF(OR($A392="",$G392&lt;&gt;"Active"),0,IF($H392&lt;&gt;"",$H392,IF($AO392&gt;0,$AP392,IF(AND($R392&lt;&gt;"",IFERROR(INDEX(Templates!$B$3:$H$10,MATCH($R392,Templates!$A$3:$A$10,0),MATCH($F392,Templates!$B$2:$H$2,0)),0)&gt;0),INDEX(Templates!$B$3:$H$10,MATCH($R392,Templates!$A$3:$A$10,0),MATCH($F392,Templates!$B$2:$H$2,0)),IFERROR(INDEX(Settings!$B$8:$B$14,MATCH($F392,Settings!$A$8:$A$14,0)),0)))))</f>
        <v/>
      </c>
      <c r="J392" s="21">
        <f>IF($C392="",0,IFERROR(INDEX(Deals!$H$2:$H$355,MATCH($C392,Deals!$A$2:$A$355,0)),0))</f>
        <v/>
      </c>
      <c r="K392" s="32">
        <f>IF(Settings!$B$4="Yes",$I392*$J392,$I392)</f>
        <v/>
      </c>
      <c r="L392" s="22">
        <f>IF($C392="","",IFERROR(IF(INDEX(Deals!$I$2:$I$355,MATCH($C392,Deals!$A$2:$A$355,0))=0,"",INDEX(Deals!$I$2:$I$355,MATCH($C392,Deals!$A$2:$A$355,0))),""))</f>
        <v/>
      </c>
      <c r="M392" s="22">
        <f>IF($C392="","",IFERROR(IF(INDEX(Deals!$J$2:$J$355,MATCH($C392,Deals!$A$2:$A$355,0))=0,"",INDEX(Deals!$J$2:$J$355,MATCH($C392,Deals!$A$2:$A$355,0))),""))</f>
        <v/>
      </c>
      <c r="N392" s="35">
        <f>IF($L392="",DATE(1900,1,1),$L392)</f>
        <v/>
      </c>
      <c r="O392" s="35">
        <f>IF($M392="",DATE(2100,12,31),$M392)</f>
        <v/>
      </c>
      <c r="P392" s="20" t="inlineStr">
        <is>
          <t>Don't know what this is</t>
        </is>
      </c>
      <c r="Q392" s="47" t="inlineStr">
        <is>
          <t>Active - confirmed by review 2026-07-19 (user: yes)</t>
        </is>
      </c>
      <c r="R392" s="16">
        <f>IF($C392="","",IFERROR(IF(INDEX(Deals!$U$2:$U$355,MATCH($C392,Deals!$A$2:$A$355,0))=0,"",INDEX(Deals!$U$2:$U$355,MATCH($C392,Deals!$A$2:$A$355,0))),""))</f>
        <v/>
      </c>
      <c r="S392" s="34">
        <f>IFERROR(IF($U392="",1,INDEX(Deals!$V$2:$V$355,MATCH($C392,Deals!$A$2:$A$355,0))),1)</f>
        <v/>
      </c>
      <c r="T392" s="34">
        <f>IFERROR(IF($U392="",1,INDEX(Deals!$W$2:$W$355,MATCH($C392,Deals!$A$2:$A$355,0))),1)</f>
        <v/>
      </c>
      <c r="U392" s="22">
        <f>IF($C392="","",IFERROR(IF(INDEX(Deals!$Y$2:$Y$355,MATCH($C392,Deals!$A$2:$A$355,0))=0,"",INDEX(Deals!$Y$2:$Y$355,MATCH($C392,Deals!$A$2:$A$355,0))),""))</f>
        <v/>
      </c>
      <c r="V392" s="35">
        <f>IF(OR($U392&lt;&gt;"",AND($AO392&gt;0,$L392&lt;&gt;"",$M392&lt;&gt;"")),$N392,DATE(1900,1,1))</f>
        <v/>
      </c>
      <c r="W392" s="35">
        <f>IF($U392&lt;&gt;"",$U392,IF(AND($AO392&gt;0,$L392&lt;&gt;"",$M392&lt;&gt;""),$O392,DATE(2100,12,31)))</f>
        <v/>
      </c>
      <c r="X392" s="32">
        <f>IF($U392="",$K392,$K392*$S392)</f>
        <v/>
      </c>
      <c r="Y392" s="35">
        <f>IF($U392="",DATE(2100,12,31),$U392+1)</f>
        <v/>
      </c>
      <c r="Z392" s="35">
        <f>IF($U392="",DATE(1900,1,1),$O392)</f>
        <v/>
      </c>
      <c r="AA392" s="32">
        <f>IF($U392="",0,$K392*$T392)</f>
        <v/>
      </c>
      <c r="AB392" s="21">
        <f>IF($C392="",0,IFERROR(INDEX(Deals!$AD$2:$AD$355,MATCH($C392,Deals!$A$2:$A$355,0)),0))</f>
        <v/>
      </c>
      <c r="AC392" s="32">
        <f>IF(Settings!$B$4="Yes",$I392*$AB392,$I392)</f>
        <v/>
      </c>
      <c r="AD392" s="22">
        <f>IF($C392="","",IFERROR(IF(INDEX(Deals!$AE$2:$AE$355,MATCH($C392,Deals!$A$2:$A$355,0))=0,"",INDEX(Deals!$AE$2:$AE$355,MATCH($C392,Deals!$A$2:$A$355,0))),""))</f>
        <v/>
      </c>
      <c r="AE392" s="22">
        <f>IF($C392="","",IFERROR(IF(INDEX(Deals!$AF$2:$AF$355,MATCH($C392,Deals!$A$2:$A$355,0))=0,"",INDEX(Deals!$AF$2:$AF$355,MATCH($C392,Deals!$A$2:$A$355,0))),""))</f>
        <v/>
      </c>
      <c r="AF392" s="35">
        <f>IF($AD392="",DATE(1900,1,1),$AD392)</f>
        <v/>
      </c>
      <c r="AG392" s="35">
        <f>IF($AE392="",DATE(2100,12,31),$AE392)</f>
        <v/>
      </c>
      <c r="AH392" s="22">
        <f>IF($C392="","",IFERROR(IF(INDEX(Deals!$AG$2:$AG$355,MATCH($C392,Deals!$A$2:$A$355,0))=0,"",INDEX(Deals!$AG$2:$AG$355,MATCH($C392,Deals!$A$2:$A$355,0))),""))</f>
        <v/>
      </c>
      <c r="AI392" s="35">
        <f>IF(OR($AH392&lt;&gt;"",AND($AO392&gt;0,$AD392&lt;&gt;"",$AE392&lt;&gt;"")),$AF392,DATE(1900,1,1))</f>
        <v/>
      </c>
      <c r="AJ392" s="35">
        <f>IF($AH392&lt;&gt;"",$AH392,IF(AND($AO392&gt;0,$AD392&lt;&gt;"",$AE392&lt;&gt;""),$AG392,DATE(2100,12,31)))</f>
        <v/>
      </c>
      <c r="AK392" s="32">
        <f>IF($AH392="",$AC392,$AC392*$S392)</f>
        <v/>
      </c>
      <c r="AL392" s="35">
        <f>IF($AH392="",DATE(2100,12,31),$AH392+1)</f>
        <v/>
      </c>
      <c r="AM392" s="35">
        <f>IF($AH392="",DATE(1900,1,1),$AG392)</f>
        <v/>
      </c>
      <c r="AN392" s="32">
        <f>IF($AH392="",0,$AC392*$T392)</f>
        <v/>
      </c>
      <c r="AO392" s="46">
        <f>IF($C392="",0,IFERROR(INDEX(Deals!$BD$2:$BD$355,MATCH($C392,Deals!$A$2:$A$355,0)),0))</f>
        <v/>
      </c>
      <c r="AP392" s="18">
        <f>IF($AO392=0,0,IFERROR(INDEX(Deals!$BJ$2:$BP$355,MATCH($C392,Deals!$A$2:$A$355,0),MATCH($F392,Deals!$BJ$1:$BP$1,0))/COUNTIFS(Assignments!$C$2:$C$769,$C392,Assignments!$F$2:$F$769,$F392,Assignments!$G$2:$G$769,"Active"),0))</f>
        <v/>
      </c>
    </row>
    <row r="393">
      <c r="A393" s="28" t="inlineStr">
        <is>
          <t>Patch</t>
        </is>
      </c>
      <c r="B393" s="16">
        <f>IF($A393="","",IFERROR(INDEX(Roster!$B$2:$B$40,MATCH($A393,Roster!$A$2:$A$40,0)),"?"))</f>
        <v/>
      </c>
      <c r="C393" s="28" t="inlineStr">
        <is>
          <t>Nexus_6</t>
        </is>
      </c>
      <c r="D393" s="16">
        <f>IF($C393="","",IFERROR(IF(INDEX(Deals!$C$2:$C$355,MATCH($C393,Deals!$A$2:$A$355,0))=0,"",INDEX(Deals!$C$2:$C$355,MATCH($C393,Deals!$A$2:$A$355,0))),"?"))</f>
        <v/>
      </c>
      <c r="E393" s="16">
        <f>IF($C393="","",IFERROR(INDEX(Deals!$F$2:$F$355,MATCH($C393,Deals!$A$2:$A$355,0)),"?"))</f>
        <v/>
      </c>
      <c r="F393" s="28" t="inlineStr">
        <is>
          <t>VP</t>
        </is>
      </c>
      <c r="G393" s="28" t="inlineStr">
        <is>
          <t>Inactive</t>
        </is>
      </c>
      <c r="H393" s="31" t="n"/>
      <c r="I393" s="32">
        <f>IF(OR($A393="",$G393&lt;&gt;"Active"),0,IF($H393&lt;&gt;"",$H393,IF($AO393&gt;0,$AP393,IF(AND($R393&lt;&gt;"",IFERROR(INDEX(Templates!$B$3:$H$10,MATCH($R393,Templates!$A$3:$A$10,0),MATCH($F393,Templates!$B$2:$H$2,0)),0)&gt;0),INDEX(Templates!$B$3:$H$10,MATCH($R393,Templates!$A$3:$A$10,0),MATCH($F393,Templates!$B$2:$H$2,0)),IFERROR(INDEX(Settings!$B$8:$B$14,MATCH($F393,Settings!$A$8:$A$14,0)),0)))))</f>
        <v/>
      </c>
      <c r="J393" s="21">
        <f>IF($C393="",0,IFERROR(INDEX(Deals!$H$2:$H$355,MATCH($C393,Deals!$A$2:$A$355,0)),0))</f>
        <v/>
      </c>
      <c r="K393" s="32">
        <f>IF(Settings!$B$4="Yes",$I393*$J393,$I393)</f>
        <v/>
      </c>
      <c r="L393" s="22">
        <f>IF($C393="","",IFERROR(IF(INDEX(Deals!$I$2:$I$355,MATCH($C393,Deals!$A$2:$A$355,0))=0,"",INDEX(Deals!$I$2:$I$355,MATCH($C393,Deals!$A$2:$A$355,0))),""))</f>
        <v/>
      </c>
      <c r="M393" s="22">
        <f>IF($C393="","",IFERROR(IF(INDEX(Deals!$J$2:$J$355,MATCH($C393,Deals!$A$2:$A$355,0))=0,"",INDEX(Deals!$J$2:$J$355,MATCH($C393,Deals!$A$2:$A$355,0))),""))</f>
        <v/>
      </c>
      <c r="N393" s="35">
        <f>IF($L393="",DATE(1900,1,1),$L393)</f>
        <v/>
      </c>
      <c r="O393" s="35">
        <f>IF($M393="",DATE(2100,12,31),$M393)</f>
        <v/>
      </c>
      <c r="P393" s="20" t="inlineStr">
        <is>
          <t>Invoicing Soon</t>
        </is>
      </c>
      <c r="Q393" s="47" t="inlineStr"/>
      <c r="R393" s="16">
        <f>IF($C393="","",IFERROR(IF(INDEX(Deals!$U$2:$U$355,MATCH($C393,Deals!$A$2:$A$355,0))=0,"",INDEX(Deals!$U$2:$U$355,MATCH($C393,Deals!$A$2:$A$355,0))),""))</f>
        <v/>
      </c>
      <c r="S393" s="34">
        <f>IFERROR(IF($U393="",1,INDEX(Deals!$V$2:$V$355,MATCH($C393,Deals!$A$2:$A$355,0))),1)</f>
        <v/>
      </c>
      <c r="T393" s="34">
        <f>IFERROR(IF($U393="",1,INDEX(Deals!$W$2:$W$355,MATCH($C393,Deals!$A$2:$A$355,0))),1)</f>
        <v/>
      </c>
      <c r="U393" s="22">
        <f>IF($C393="","",IFERROR(IF(INDEX(Deals!$Y$2:$Y$355,MATCH($C393,Deals!$A$2:$A$355,0))=0,"",INDEX(Deals!$Y$2:$Y$355,MATCH($C393,Deals!$A$2:$A$355,0))),""))</f>
        <v/>
      </c>
      <c r="V393" s="35">
        <f>IF(OR($U393&lt;&gt;"",AND($AO393&gt;0,$L393&lt;&gt;"",$M393&lt;&gt;"")),$N393,DATE(1900,1,1))</f>
        <v/>
      </c>
      <c r="W393" s="35">
        <f>IF($U393&lt;&gt;"",$U393,IF(AND($AO393&gt;0,$L393&lt;&gt;"",$M393&lt;&gt;""),$O393,DATE(2100,12,31)))</f>
        <v/>
      </c>
      <c r="X393" s="32">
        <f>IF($U393="",$K393,$K393*$S393)</f>
        <v/>
      </c>
      <c r="Y393" s="35">
        <f>IF($U393="",DATE(2100,12,31),$U393+1)</f>
        <v/>
      </c>
      <c r="Z393" s="35">
        <f>IF($U393="",DATE(1900,1,1),$O393)</f>
        <v/>
      </c>
      <c r="AA393" s="32">
        <f>IF($U393="",0,$K393*$T393)</f>
        <v/>
      </c>
      <c r="AB393" s="21">
        <f>IF($C393="",0,IFERROR(INDEX(Deals!$AD$2:$AD$355,MATCH($C393,Deals!$A$2:$A$355,0)),0))</f>
        <v/>
      </c>
      <c r="AC393" s="32">
        <f>IF(Settings!$B$4="Yes",$I393*$AB393,$I393)</f>
        <v/>
      </c>
      <c r="AD393" s="22">
        <f>IF($C393="","",IFERROR(IF(INDEX(Deals!$AE$2:$AE$355,MATCH($C393,Deals!$A$2:$A$355,0))=0,"",INDEX(Deals!$AE$2:$AE$355,MATCH($C393,Deals!$A$2:$A$355,0))),""))</f>
        <v/>
      </c>
      <c r="AE393" s="22">
        <f>IF($C393="","",IFERROR(IF(INDEX(Deals!$AF$2:$AF$355,MATCH($C393,Deals!$A$2:$A$355,0))=0,"",INDEX(Deals!$AF$2:$AF$355,MATCH($C393,Deals!$A$2:$A$355,0))),""))</f>
        <v/>
      </c>
      <c r="AF393" s="35">
        <f>IF($AD393="",DATE(1900,1,1),$AD393)</f>
        <v/>
      </c>
      <c r="AG393" s="35">
        <f>IF($AE393="",DATE(2100,12,31),$AE393)</f>
        <v/>
      </c>
      <c r="AH393" s="22">
        <f>IF($C393="","",IFERROR(IF(INDEX(Deals!$AG$2:$AG$355,MATCH($C393,Deals!$A$2:$A$355,0))=0,"",INDEX(Deals!$AG$2:$AG$355,MATCH($C393,Deals!$A$2:$A$355,0))),""))</f>
        <v/>
      </c>
      <c r="AI393" s="35">
        <f>IF(OR($AH393&lt;&gt;"",AND($AO393&gt;0,$AD393&lt;&gt;"",$AE393&lt;&gt;"")),$AF393,DATE(1900,1,1))</f>
        <v/>
      </c>
      <c r="AJ393" s="35">
        <f>IF($AH393&lt;&gt;"",$AH393,IF(AND($AO393&gt;0,$AD393&lt;&gt;"",$AE393&lt;&gt;""),$AG393,DATE(2100,12,31)))</f>
        <v/>
      </c>
      <c r="AK393" s="32">
        <f>IF($AH393="",$AC393,$AC393*$S393)</f>
        <v/>
      </c>
      <c r="AL393" s="35">
        <f>IF($AH393="",DATE(2100,12,31),$AH393+1)</f>
        <v/>
      </c>
      <c r="AM393" s="35">
        <f>IF($AH393="",DATE(1900,1,1),$AG393)</f>
        <v/>
      </c>
      <c r="AN393" s="32">
        <f>IF($AH393="",0,$AC393*$T393)</f>
        <v/>
      </c>
      <c r="AO393" s="46">
        <f>IF($C393="",0,IFERROR(INDEX(Deals!$BD$2:$BD$355,MATCH($C393,Deals!$A$2:$A$355,0)),0))</f>
        <v/>
      </c>
      <c r="AP393" s="18">
        <f>IF($AO393=0,0,IFERROR(INDEX(Deals!$BJ$2:$BP$355,MATCH($C393,Deals!$A$2:$A$355,0),MATCH($F393,Deals!$BJ$1:$BP$1,0))/COUNTIFS(Assignments!$C$2:$C$769,$C393,Assignments!$F$2:$F$769,$F393,Assignments!$G$2:$G$769,"Active"),0))</f>
        <v/>
      </c>
    </row>
    <row r="394">
      <c r="A394" s="28" t="inlineStr">
        <is>
          <t>Patch</t>
        </is>
      </c>
      <c r="B394" s="16">
        <f>IF($A394="","",IFERROR(INDEX(Roster!$B$2:$B$40,MATCH($A394,Roster!$A$2:$A$40,0)),"?"))</f>
        <v/>
      </c>
      <c r="C394" s="28" t="inlineStr">
        <is>
          <t>Pennsylvania_1</t>
        </is>
      </c>
      <c r="D394" s="16">
        <f>IF($C394="","",IFERROR(IF(INDEX(Deals!$C$2:$C$355,MATCH($C394,Deals!$A$2:$A$355,0))=0,"",INDEX(Deals!$C$2:$C$355,MATCH($C394,Deals!$A$2:$A$355,0))),"?"))</f>
        <v/>
      </c>
      <c r="E394" s="16">
        <f>IF($C394="","",IFERROR(INDEX(Deals!$F$2:$F$355,MATCH($C394,Deals!$A$2:$A$355,0)),"?"))</f>
        <v/>
      </c>
      <c r="F394" s="28" t="inlineStr">
        <is>
          <t>VP</t>
        </is>
      </c>
      <c r="G394" s="28" t="inlineStr">
        <is>
          <t>Inactive</t>
        </is>
      </c>
      <c r="H394" s="31" t="n"/>
      <c r="I394" s="32">
        <f>IF(OR($A394="",$G394&lt;&gt;"Active"),0,IF($H394&lt;&gt;"",$H394,IF($AO394&gt;0,$AP394,IF(AND($R394&lt;&gt;"",IFERROR(INDEX(Templates!$B$3:$H$10,MATCH($R394,Templates!$A$3:$A$10,0),MATCH($F394,Templates!$B$2:$H$2,0)),0)&gt;0),INDEX(Templates!$B$3:$H$10,MATCH($R394,Templates!$A$3:$A$10,0),MATCH($F394,Templates!$B$2:$H$2,0)),IFERROR(INDEX(Settings!$B$8:$B$14,MATCH($F394,Settings!$A$8:$A$14,0)),0)))))</f>
        <v/>
      </c>
      <c r="J394" s="21">
        <f>IF($C394="",0,IFERROR(INDEX(Deals!$H$2:$H$355,MATCH($C394,Deals!$A$2:$A$355,0)),0))</f>
        <v/>
      </c>
      <c r="K394" s="32">
        <f>IF(Settings!$B$4="Yes",$I394*$J394,$I394)</f>
        <v/>
      </c>
      <c r="L394" s="22">
        <f>IF($C394="","",IFERROR(IF(INDEX(Deals!$I$2:$I$355,MATCH($C394,Deals!$A$2:$A$355,0))=0,"",INDEX(Deals!$I$2:$I$355,MATCH($C394,Deals!$A$2:$A$355,0))),""))</f>
        <v/>
      </c>
      <c r="M394" s="22">
        <f>IF($C394="","",IFERROR(IF(INDEX(Deals!$J$2:$J$355,MATCH($C394,Deals!$A$2:$A$355,0))=0,"",INDEX(Deals!$J$2:$J$355,MATCH($C394,Deals!$A$2:$A$355,0))),""))</f>
        <v/>
      </c>
      <c r="N394" s="35">
        <f>IF($L394="",DATE(1900,1,1),$L394)</f>
        <v/>
      </c>
      <c r="O394" s="35">
        <f>IF($M394="",DATE(2100,12,31),$M394)</f>
        <v/>
      </c>
      <c r="P394" s="20" t="inlineStr">
        <is>
          <t>On pause</t>
        </is>
      </c>
      <c r="Q394" s="47" t="inlineStr"/>
      <c r="R394" s="16">
        <f>IF($C394="","",IFERROR(IF(INDEX(Deals!$U$2:$U$355,MATCH($C394,Deals!$A$2:$A$355,0))=0,"",INDEX(Deals!$U$2:$U$355,MATCH($C394,Deals!$A$2:$A$355,0))),""))</f>
        <v/>
      </c>
      <c r="S394" s="34">
        <f>IFERROR(IF($U394="",1,INDEX(Deals!$V$2:$V$355,MATCH($C394,Deals!$A$2:$A$355,0))),1)</f>
        <v/>
      </c>
      <c r="T394" s="34">
        <f>IFERROR(IF($U394="",1,INDEX(Deals!$W$2:$W$355,MATCH($C394,Deals!$A$2:$A$355,0))),1)</f>
        <v/>
      </c>
      <c r="U394" s="22">
        <f>IF($C394="","",IFERROR(IF(INDEX(Deals!$Y$2:$Y$355,MATCH($C394,Deals!$A$2:$A$355,0))=0,"",INDEX(Deals!$Y$2:$Y$355,MATCH($C394,Deals!$A$2:$A$355,0))),""))</f>
        <v/>
      </c>
      <c r="V394" s="35">
        <f>IF(OR($U394&lt;&gt;"",AND($AO394&gt;0,$L394&lt;&gt;"",$M394&lt;&gt;"")),$N394,DATE(1900,1,1))</f>
        <v/>
      </c>
      <c r="W394" s="35">
        <f>IF($U394&lt;&gt;"",$U394,IF(AND($AO394&gt;0,$L394&lt;&gt;"",$M394&lt;&gt;""),$O394,DATE(2100,12,31)))</f>
        <v/>
      </c>
      <c r="X394" s="32">
        <f>IF($U394="",$K394,$K394*$S394)</f>
        <v/>
      </c>
      <c r="Y394" s="35">
        <f>IF($U394="",DATE(2100,12,31),$U394+1)</f>
        <v/>
      </c>
      <c r="Z394" s="35">
        <f>IF($U394="",DATE(1900,1,1),$O394)</f>
        <v/>
      </c>
      <c r="AA394" s="32">
        <f>IF($U394="",0,$K394*$T394)</f>
        <v/>
      </c>
      <c r="AB394" s="21">
        <f>IF($C394="",0,IFERROR(INDEX(Deals!$AD$2:$AD$355,MATCH($C394,Deals!$A$2:$A$355,0)),0))</f>
        <v/>
      </c>
      <c r="AC394" s="32">
        <f>IF(Settings!$B$4="Yes",$I394*$AB394,$I394)</f>
        <v/>
      </c>
      <c r="AD394" s="22">
        <f>IF($C394="","",IFERROR(IF(INDEX(Deals!$AE$2:$AE$355,MATCH($C394,Deals!$A$2:$A$355,0))=0,"",INDEX(Deals!$AE$2:$AE$355,MATCH($C394,Deals!$A$2:$A$355,0))),""))</f>
        <v/>
      </c>
      <c r="AE394" s="22">
        <f>IF($C394="","",IFERROR(IF(INDEX(Deals!$AF$2:$AF$355,MATCH($C394,Deals!$A$2:$A$355,0))=0,"",INDEX(Deals!$AF$2:$AF$355,MATCH($C394,Deals!$A$2:$A$355,0))),""))</f>
        <v/>
      </c>
      <c r="AF394" s="35">
        <f>IF($AD394="",DATE(1900,1,1),$AD394)</f>
        <v/>
      </c>
      <c r="AG394" s="35">
        <f>IF($AE394="",DATE(2100,12,31),$AE394)</f>
        <v/>
      </c>
      <c r="AH394" s="22">
        <f>IF($C394="","",IFERROR(IF(INDEX(Deals!$AG$2:$AG$355,MATCH($C394,Deals!$A$2:$A$355,0))=0,"",INDEX(Deals!$AG$2:$AG$355,MATCH($C394,Deals!$A$2:$A$355,0))),""))</f>
        <v/>
      </c>
      <c r="AI394" s="35">
        <f>IF(OR($AH394&lt;&gt;"",AND($AO394&gt;0,$AD394&lt;&gt;"",$AE394&lt;&gt;"")),$AF394,DATE(1900,1,1))</f>
        <v/>
      </c>
      <c r="AJ394" s="35">
        <f>IF($AH394&lt;&gt;"",$AH394,IF(AND($AO394&gt;0,$AD394&lt;&gt;"",$AE394&lt;&gt;""),$AG394,DATE(2100,12,31)))</f>
        <v/>
      </c>
      <c r="AK394" s="32">
        <f>IF($AH394="",$AC394,$AC394*$S394)</f>
        <v/>
      </c>
      <c r="AL394" s="35">
        <f>IF($AH394="",DATE(2100,12,31),$AH394+1)</f>
        <v/>
      </c>
      <c r="AM394" s="35">
        <f>IF($AH394="",DATE(1900,1,1),$AG394)</f>
        <v/>
      </c>
      <c r="AN394" s="32">
        <f>IF($AH394="",0,$AC394*$T394)</f>
        <v/>
      </c>
      <c r="AO394" s="46">
        <f>IF($C394="",0,IFERROR(INDEX(Deals!$BD$2:$BD$355,MATCH($C394,Deals!$A$2:$A$355,0)),0))</f>
        <v/>
      </c>
      <c r="AP394" s="18">
        <f>IF($AO394=0,0,IFERROR(INDEX(Deals!$BJ$2:$BP$355,MATCH($C394,Deals!$A$2:$A$355,0),MATCH($F394,Deals!$BJ$1:$BP$1,0))/COUNTIFS(Assignments!$C$2:$C$769,$C394,Assignments!$F$2:$F$769,$F394,Assignments!$G$2:$G$769,"Active"),0))</f>
        <v/>
      </c>
    </row>
    <row r="395">
      <c r="A395" s="28" t="inlineStr">
        <is>
          <t>Patch</t>
        </is>
      </c>
      <c r="B395" s="16">
        <f>IF($A395="","",IFERROR(INDEX(Roster!$B$2:$B$40,MATCH($A395,Roster!$A$2:$A$40,0)),"?"))</f>
        <v/>
      </c>
      <c r="C395" s="28" t="inlineStr">
        <is>
          <t>Prolydian_1</t>
        </is>
      </c>
      <c r="D395" s="16">
        <f>IF($C395="","",IFERROR(IF(INDEX(Deals!$C$2:$C$355,MATCH($C395,Deals!$A$2:$A$355,0))=0,"",INDEX(Deals!$C$2:$C$355,MATCH($C395,Deals!$A$2:$A$355,0))),"?"))</f>
        <v/>
      </c>
      <c r="E395" s="16">
        <f>IF($C395="","",IFERROR(INDEX(Deals!$F$2:$F$355,MATCH($C395,Deals!$A$2:$A$355,0)),"?"))</f>
        <v/>
      </c>
      <c r="F395" s="28" t="inlineStr">
        <is>
          <t>VP</t>
        </is>
      </c>
      <c r="G395" s="28" t="inlineStr">
        <is>
          <t>Inactive</t>
        </is>
      </c>
      <c r="H395" s="31" t="n"/>
      <c r="I395" s="32">
        <f>IF(OR($A395="",$G395&lt;&gt;"Active"),0,IF($H395&lt;&gt;"",$H395,IF($AO395&gt;0,$AP395,IF(AND($R395&lt;&gt;"",IFERROR(INDEX(Templates!$B$3:$H$10,MATCH($R395,Templates!$A$3:$A$10,0),MATCH($F395,Templates!$B$2:$H$2,0)),0)&gt;0),INDEX(Templates!$B$3:$H$10,MATCH($R395,Templates!$A$3:$A$10,0),MATCH($F395,Templates!$B$2:$H$2,0)),IFERROR(INDEX(Settings!$B$8:$B$14,MATCH($F395,Settings!$A$8:$A$14,0)),0)))))</f>
        <v/>
      </c>
      <c r="J395" s="21">
        <f>IF($C395="",0,IFERROR(INDEX(Deals!$H$2:$H$355,MATCH($C395,Deals!$A$2:$A$355,0)),0))</f>
        <v/>
      </c>
      <c r="K395" s="32">
        <f>IF(Settings!$B$4="Yes",$I395*$J395,$I395)</f>
        <v/>
      </c>
      <c r="L395" s="22">
        <f>IF($C395="","",IFERROR(IF(INDEX(Deals!$I$2:$I$355,MATCH($C395,Deals!$A$2:$A$355,0))=0,"",INDEX(Deals!$I$2:$I$355,MATCH($C395,Deals!$A$2:$A$355,0))),""))</f>
        <v/>
      </c>
      <c r="M395" s="22">
        <f>IF($C395="","",IFERROR(IF(INDEX(Deals!$J$2:$J$355,MATCH($C395,Deals!$A$2:$A$355,0))=0,"",INDEX(Deals!$J$2:$J$355,MATCH($C395,Deals!$A$2:$A$355,0))),""))</f>
        <v/>
      </c>
      <c r="N395" s="35">
        <f>IF($L395="",DATE(1900,1,1),$L395)</f>
        <v/>
      </c>
      <c r="O395" s="35">
        <f>IF($M395="",DATE(2100,12,31),$M395)</f>
        <v/>
      </c>
      <c r="P395" s="20" t="inlineStr">
        <is>
          <t>Invoicing Soon</t>
        </is>
      </c>
      <c r="Q395" s="47" t="inlineStr"/>
      <c r="R395" s="16">
        <f>IF($C395="","",IFERROR(IF(INDEX(Deals!$U$2:$U$355,MATCH($C395,Deals!$A$2:$A$355,0))=0,"",INDEX(Deals!$U$2:$U$355,MATCH($C395,Deals!$A$2:$A$355,0))),""))</f>
        <v/>
      </c>
      <c r="S395" s="34">
        <f>IFERROR(IF($U395="",1,INDEX(Deals!$V$2:$V$355,MATCH($C395,Deals!$A$2:$A$355,0))),1)</f>
        <v/>
      </c>
      <c r="T395" s="34">
        <f>IFERROR(IF($U395="",1,INDEX(Deals!$W$2:$W$355,MATCH($C395,Deals!$A$2:$A$355,0))),1)</f>
        <v/>
      </c>
      <c r="U395" s="22">
        <f>IF($C395="","",IFERROR(IF(INDEX(Deals!$Y$2:$Y$355,MATCH($C395,Deals!$A$2:$A$355,0))=0,"",INDEX(Deals!$Y$2:$Y$355,MATCH($C395,Deals!$A$2:$A$355,0))),""))</f>
        <v/>
      </c>
      <c r="V395" s="35">
        <f>IF(OR($U395&lt;&gt;"",AND($AO395&gt;0,$L395&lt;&gt;"",$M395&lt;&gt;"")),$N395,DATE(1900,1,1))</f>
        <v/>
      </c>
      <c r="W395" s="35">
        <f>IF($U395&lt;&gt;"",$U395,IF(AND($AO395&gt;0,$L395&lt;&gt;"",$M395&lt;&gt;""),$O395,DATE(2100,12,31)))</f>
        <v/>
      </c>
      <c r="X395" s="32">
        <f>IF($U395="",$K395,$K395*$S395)</f>
        <v/>
      </c>
      <c r="Y395" s="35">
        <f>IF($U395="",DATE(2100,12,31),$U395+1)</f>
        <v/>
      </c>
      <c r="Z395" s="35">
        <f>IF($U395="",DATE(1900,1,1),$O395)</f>
        <v/>
      </c>
      <c r="AA395" s="32">
        <f>IF($U395="",0,$K395*$T395)</f>
        <v/>
      </c>
      <c r="AB395" s="21">
        <f>IF($C395="",0,IFERROR(INDEX(Deals!$AD$2:$AD$355,MATCH($C395,Deals!$A$2:$A$355,0)),0))</f>
        <v/>
      </c>
      <c r="AC395" s="32">
        <f>IF(Settings!$B$4="Yes",$I395*$AB395,$I395)</f>
        <v/>
      </c>
      <c r="AD395" s="22">
        <f>IF($C395="","",IFERROR(IF(INDEX(Deals!$AE$2:$AE$355,MATCH($C395,Deals!$A$2:$A$355,0))=0,"",INDEX(Deals!$AE$2:$AE$355,MATCH($C395,Deals!$A$2:$A$355,0))),""))</f>
        <v/>
      </c>
      <c r="AE395" s="22">
        <f>IF($C395="","",IFERROR(IF(INDEX(Deals!$AF$2:$AF$355,MATCH($C395,Deals!$A$2:$A$355,0))=0,"",INDEX(Deals!$AF$2:$AF$355,MATCH($C395,Deals!$A$2:$A$355,0))),""))</f>
        <v/>
      </c>
      <c r="AF395" s="35">
        <f>IF($AD395="",DATE(1900,1,1),$AD395)</f>
        <v/>
      </c>
      <c r="AG395" s="35">
        <f>IF($AE395="",DATE(2100,12,31),$AE395)</f>
        <v/>
      </c>
      <c r="AH395" s="22">
        <f>IF($C395="","",IFERROR(IF(INDEX(Deals!$AG$2:$AG$355,MATCH($C395,Deals!$A$2:$A$355,0))=0,"",INDEX(Deals!$AG$2:$AG$355,MATCH($C395,Deals!$A$2:$A$355,0))),""))</f>
        <v/>
      </c>
      <c r="AI395" s="35">
        <f>IF(OR($AH395&lt;&gt;"",AND($AO395&gt;0,$AD395&lt;&gt;"",$AE395&lt;&gt;"")),$AF395,DATE(1900,1,1))</f>
        <v/>
      </c>
      <c r="AJ395" s="35">
        <f>IF($AH395&lt;&gt;"",$AH395,IF(AND($AO395&gt;0,$AD395&lt;&gt;"",$AE395&lt;&gt;""),$AG395,DATE(2100,12,31)))</f>
        <v/>
      </c>
      <c r="AK395" s="32">
        <f>IF($AH395="",$AC395,$AC395*$S395)</f>
        <v/>
      </c>
      <c r="AL395" s="35">
        <f>IF($AH395="",DATE(2100,12,31),$AH395+1)</f>
        <v/>
      </c>
      <c r="AM395" s="35">
        <f>IF($AH395="",DATE(1900,1,1),$AG395)</f>
        <v/>
      </c>
      <c r="AN395" s="32">
        <f>IF($AH395="",0,$AC395*$T395)</f>
        <v/>
      </c>
      <c r="AO395" s="46">
        <f>IF($C395="",0,IFERROR(INDEX(Deals!$BD$2:$BD$355,MATCH($C395,Deals!$A$2:$A$355,0)),0))</f>
        <v/>
      </c>
      <c r="AP395" s="18">
        <f>IF($AO395=0,0,IFERROR(INDEX(Deals!$BJ$2:$BP$355,MATCH($C395,Deals!$A$2:$A$355,0),MATCH($F395,Deals!$BJ$1:$BP$1,0))/COUNTIFS(Assignments!$C$2:$C$769,$C395,Assignments!$F$2:$F$769,$F395,Assignments!$G$2:$G$769,"Active"),0))</f>
        <v/>
      </c>
    </row>
    <row r="396">
      <c r="A396" s="28" t="inlineStr">
        <is>
          <t>Patch</t>
        </is>
      </c>
      <c r="B396" s="16">
        <f>IF($A396="","",IFERROR(INDEX(Roster!$B$2:$B$40,MATCH($A396,Roster!$A$2:$A$40,0)),"?"))</f>
        <v/>
      </c>
      <c r="C396" s="28" t="inlineStr">
        <is>
          <t>Rosa_1</t>
        </is>
      </c>
      <c r="D396" s="16">
        <f>IF($C396="","",IFERROR(IF(INDEX(Deals!$C$2:$C$355,MATCH($C396,Deals!$A$2:$A$355,0))=0,"",INDEX(Deals!$C$2:$C$355,MATCH($C396,Deals!$A$2:$A$355,0))),"?"))</f>
        <v/>
      </c>
      <c r="E396" s="16">
        <f>IF($C396="","",IFERROR(INDEX(Deals!$F$2:$F$355,MATCH($C396,Deals!$A$2:$A$355,0)),"?"))</f>
        <v/>
      </c>
      <c r="F396" s="28" t="inlineStr">
        <is>
          <t>VP</t>
        </is>
      </c>
      <c r="G396" s="28" t="inlineStr">
        <is>
          <t>Inactive</t>
        </is>
      </c>
      <c r="H396" s="31" t="n"/>
      <c r="I396" s="32">
        <f>IF(OR($A396="",$G396&lt;&gt;"Active"),0,IF($H396&lt;&gt;"",$H396,IF($AO396&gt;0,$AP396,IF(AND($R396&lt;&gt;"",IFERROR(INDEX(Templates!$B$3:$H$10,MATCH($R396,Templates!$A$3:$A$10,0),MATCH($F396,Templates!$B$2:$H$2,0)),0)&gt;0),INDEX(Templates!$B$3:$H$10,MATCH($R396,Templates!$A$3:$A$10,0),MATCH($F396,Templates!$B$2:$H$2,0)),IFERROR(INDEX(Settings!$B$8:$B$14,MATCH($F396,Settings!$A$8:$A$14,0)),0)))))</f>
        <v/>
      </c>
      <c r="J396" s="21">
        <f>IF($C396="",0,IFERROR(INDEX(Deals!$H$2:$H$355,MATCH($C396,Deals!$A$2:$A$355,0)),0))</f>
        <v/>
      </c>
      <c r="K396" s="32">
        <f>IF(Settings!$B$4="Yes",$I396*$J396,$I396)</f>
        <v/>
      </c>
      <c r="L396" s="22">
        <f>IF($C396="","",IFERROR(IF(INDEX(Deals!$I$2:$I$355,MATCH($C396,Deals!$A$2:$A$355,0))=0,"",INDEX(Deals!$I$2:$I$355,MATCH($C396,Deals!$A$2:$A$355,0))),""))</f>
        <v/>
      </c>
      <c r="M396" s="22">
        <f>IF($C396="","",IFERROR(IF(INDEX(Deals!$J$2:$J$355,MATCH($C396,Deals!$A$2:$A$355,0))=0,"",INDEX(Deals!$J$2:$J$355,MATCH($C396,Deals!$A$2:$A$355,0))),""))</f>
        <v/>
      </c>
      <c r="N396" s="35">
        <f>IF($L396="",DATE(1900,1,1),$L396)</f>
        <v/>
      </c>
      <c r="O396" s="35">
        <f>IF($M396="",DATE(2100,12,31),$M396)</f>
        <v/>
      </c>
      <c r="P396" s="20" t="inlineStr">
        <is>
          <t>Invoicing soon</t>
        </is>
      </c>
      <c r="Q396" s="47" t="inlineStr"/>
      <c r="R396" s="16">
        <f>IF($C396="","",IFERROR(IF(INDEX(Deals!$U$2:$U$355,MATCH($C396,Deals!$A$2:$A$355,0))=0,"",INDEX(Deals!$U$2:$U$355,MATCH($C396,Deals!$A$2:$A$355,0))),""))</f>
        <v/>
      </c>
      <c r="S396" s="34">
        <f>IFERROR(IF($U396="",1,INDEX(Deals!$V$2:$V$355,MATCH($C396,Deals!$A$2:$A$355,0))),1)</f>
        <v/>
      </c>
      <c r="T396" s="34">
        <f>IFERROR(IF($U396="",1,INDEX(Deals!$W$2:$W$355,MATCH($C396,Deals!$A$2:$A$355,0))),1)</f>
        <v/>
      </c>
      <c r="U396" s="22">
        <f>IF($C396="","",IFERROR(IF(INDEX(Deals!$Y$2:$Y$355,MATCH($C396,Deals!$A$2:$A$355,0))=0,"",INDEX(Deals!$Y$2:$Y$355,MATCH($C396,Deals!$A$2:$A$355,0))),""))</f>
        <v/>
      </c>
      <c r="V396" s="35">
        <f>IF(OR($U396&lt;&gt;"",AND($AO396&gt;0,$L396&lt;&gt;"",$M396&lt;&gt;"")),$N396,DATE(1900,1,1))</f>
        <v/>
      </c>
      <c r="W396" s="35">
        <f>IF($U396&lt;&gt;"",$U396,IF(AND($AO396&gt;0,$L396&lt;&gt;"",$M396&lt;&gt;""),$O396,DATE(2100,12,31)))</f>
        <v/>
      </c>
      <c r="X396" s="32">
        <f>IF($U396="",$K396,$K396*$S396)</f>
        <v/>
      </c>
      <c r="Y396" s="35">
        <f>IF($U396="",DATE(2100,12,31),$U396+1)</f>
        <v/>
      </c>
      <c r="Z396" s="35">
        <f>IF($U396="",DATE(1900,1,1),$O396)</f>
        <v/>
      </c>
      <c r="AA396" s="32">
        <f>IF($U396="",0,$K396*$T396)</f>
        <v/>
      </c>
      <c r="AB396" s="21">
        <f>IF($C396="",0,IFERROR(INDEX(Deals!$AD$2:$AD$355,MATCH($C396,Deals!$A$2:$A$355,0)),0))</f>
        <v/>
      </c>
      <c r="AC396" s="32">
        <f>IF(Settings!$B$4="Yes",$I396*$AB396,$I396)</f>
        <v/>
      </c>
      <c r="AD396" s="22">
        <f>IF($C396="","",IFERROR(IF(INDEX(Deals!$AE$2:$AE$355,MATCH($C396,Deals!$A$2:$A$355,0))=0,"",INDEX(Deals!$AE$2:$AE$355,MATCH($C396,Deals!$A$2:$A$355,0))),""))</f>
        <v/>
      </c>
      <c r="AE396" s="22">
        <f>IF($C396="","",IFERROR(IF(INDEX(Deals!$AF$2:$AF$355,MATCH($C396,Deals!$A$2:$A$355,0))=0,"",INDEX(Deals!$AF$2:$AF$355,MATCH($C396,Deals!$A$2:$A$355,0))),""))</f>
        <v/>
      </c>
      <c r="AF396" s="35">
        <f>IF($AD396="",DATE(1900,1,1),$AD396)</f>
        <v/>
      </c>
      <c r="AG396" s="35">
        <f>IF($AE396="",DATE(2100,12,31),$AE396)</f>
        <v/>
      </c>
      <c r="AH396" s="22">
        <f>IF($C396="","",IFERROR(IF(INDEX(Deals!$AG$2:$AG$355,MATCH($C396,Deals!$A$2:$A$355,0))=0,"",INDEX(Deals!$AG$2:$AG$355,MATCH($C396,Deals!$A$2:$A$355,0))),""))</f>
        <v/>
      </c>
      <c r="AI396" s="35">
        <f>IF(OR($AH396&lt;&gt;"",AND($AO396&gt;0,$AD396&lt;&gt;"",$AE396&lt;&gt;"")),$AF396,DATE(1900,1,1))</f>
        <v/>
      </c>
      <c r="AJ396" s="35">
        <f>IF($AH396&lt;&gt;"",$AH396,IF(AND($AO396&gt;0,$AD396&lt;&gt;"",$AE396&lt;&gt;""),$AG396,DATE(2100,12,31)))</f>
        <v/>
      </c>
      <c r="AK396" s="32">
        <f>IF($AH396="",$AC396,$AC396*$S396)</f>
        <v/>
      </c>
      <c r="AL396" s="35">
        <f>IF($AH396="",DATE(2100,12,31),$AH396+1)</f>
        <v/>
      </c>
      <c r="AM396" s="35">
        <f>IF($AH396="",DATE(1900,1,1),$AG396)</f>
        <v/>
      </c>
      <c r="AN396" s="32">
        <f>IF($AH396="",0,$AC396*$T396)</f>
        <v/>
      </c>
      <c r="AO396" s="46">
        <f>IF($C396="",0,IFERROR(INDEX(Deals!$BD$2:$BD$355,MATCH($C396,Deals!$A$2:$A$355,0)),0))</f>
        <v/>
      </c>
      <c r="AP396" s="18">
        <f>IF($AO396=0,0,IFERROR(INDEX(Deals!$BJ$2:$BP$355,MATCH($C396,Deals!$A$2:$A$355,0),MATCH($F396,Deals!$BJ$1:$BP$1,0))/COUNTIFS(Assignments!$C$2:$C$769,$C396,Assignments!$F$2:$F$769,$F396,Assignments!$G$2:$G$769,"Active"),0))</f>
        <v/>
      </c>
    </row>
    <row r="397">
      <c r="A397" s="28" t="inlineStr">
        <is>
          <t>Patch</t>
        </is>
      </c>
      <c r="B397" s="16">
        <f>IF($A397="","",IFERROR(INDEX(Roster!$B$2:$B$40,MATCH($A397,Roster!$A$2:$A$40,0)),"?"))</f>
        <v/>
      </c>
      <c r="C397" s="28" t="inlineStr">
        <is>
          <t>Scale_4</t>
        </is>
      </c>
      <c r="D397" s="16">
        <f>IF($C397="","",IFERROR(IF(INDEX(Deals!$C$2:$C$355,MATCH($C397,Deals!$A$2:$A$355,0))=0,"",INDEX(Deals!$C$2:$C$355,MATCH($C397,Deals!$A$2:$A$355,0))),"?"))</f>
        <v/>
      </c>
      <c r="E397" s="16">
        <f>IF($C397="","",IFERROR(INDEX(Deals!$F$2:$F$355,MATCH($C397,Deals!$A$2:$A$355,0)),"?"))</f>
        <v/>
      </c>
      <c r="F397" s="28" t="inlineStr">
        <is>
          <t>VP</t>
        </is>
      </c>
      <c r="G397" s="28" t="inlineStr">
        <is>
          <t>Inactive</t>
        </is>
      </c>
      <c r="H397" s="31" t="n"/>
      <c r="I397" s="32">
        <f>IF(OR($A397="",$G397&lt;&gt;"Active"),0,IF($H397&lt;&gt;"",$H397,IF($AO397&gt;0,$AP397,IF(AND($R397&lt;&gt;"",IFERROR(INDEX(Templates!$B$3:$H$10,MATCH($R397,Templates!$A$3:$A$10,0),MATCH($F397,Templates!$B$2:$H$2,0)),0)&gt;0),INDEX(Templates!$B$3:$H$10,MATCH($R397,Templates!$A$3:$A$10,0),MATCH($F397,Templates!$B$2:$H$2,0)),IFERROR(INDEX(Settings!$B$8:$B$14,MATCH($F397,Settings!$A$8:$A$14,0)),0)))))</f>
        <v/>
      </c>
      <c r="J397" s="21">
        <f>IF($C397="",0,IFERROR(INDEX(Deals!$H$2:$H$355,MATCH($C397,Deals!$A$2:$A$355,0)),0))</f>
        <v/>
      </c>
      <c r="K397" s="32">
        <f>IF(Settings!$B$4="Yes",$I397*$J397,$I397)</f>
        <v/>
      </c>
      <c r="L397" s="22">
        <f>IF($C397="","",IFERROR(IF(INDEX(Deals!$I$2:$I$355,MATCH($C397,Deals!$A$2:$A$355,0))=0,"",INDEX(Deals!$I$2:$I$355,MATCH($C397,Deals!$A$2:$A$355,0))),""))</f>
        <v/>
      </c>
      <c r="M397" s="22">
        <f>IF($C397="","",IFERROR(IF(INDEX(Deals!$J$2:$J$355,MATCH($C397,Deals!$A$2:$A$355,0))=0,"",INDEX(Deals!$J$2:$J$355,MATCH($C397,Deals!$A$2:$A$355,0))),""))</f>
        <v/>
      </c>
      <c r="N397" s="35">
        <f>IF($L397="",DATE(1900,1,1),$L397)</f>
        <v/>
      </c>
      <c r="O397" s="35">
        <f>IF($M397="",DATE(2100,12,31),$M397)</f>
        <v/>
      </c>
      <c r="P397" s="20" t="inlineStr">
        <is>
          <t>Closed</t>
        </is>
      </c>
      <c r="Q397" s="47" t="inlineStr"/>
      <c r="R397" s="16">
        <f>IF($C397="","",IFERROR(IF(INDEX(Deals!$U$2:$U$355,MATCH($C397,Deals!$A$2:$A$355,0))=0,"",INDEX(Deals!$U$2:$U$355,MATCH($C397,Deals!$A$2:$A$355,0))),""))</f>
        <v/>
      </c>
      <c r="S397" s="34">
        <f>IFERROR(IF($U397="",1,INDEX(Deals!$V$2:$V$355,MATCH($C397,Deals!$A$2:$A$355,0))),1)</f>
        <v/>
      </c>
      <c r="T397" s="34">
        <f>IFERROR(IF($U397="",1,INDEX(Deals!$W$2:$W$355,MATCH($C397,Deals!$A$2:$A$355,0))),1)</f>
        <v/>
      </c>
      <c r="U397" s="22">
        <f>IF($C397="","",IFERROR(IF(INDEX(Deals!$Y$2:$Y$355,MATCH($C397,Deals!$A$2:$A$355,0))=0,"",INDEX(Deals!$Y$2:$Y$355,MATCH($C397,Deals!$A$2:$A$355,0))),""))</f>
        <v/>
      </c>
      <c r="V397" s="35">
        <f>IF(OR($U397&lt;&gt;"",AND($AO397&gt;0,$L397&lt;&gt;"",$M397&lt;&gt;"")),$N397,DATE(1900,1,1))</f>
        <v/>
      </c>
      <c r="W397" s="35">
        <f>IF($U397&lt;&gt;"",$U397,IF(AND($AO397&gt;0,$L397&lt;&gt;"",$M397&lt;&gt;""),$O397,DATE(2100,12,31)))</f>
        <v/>
      </c>
      <c r="X397" s="32">
        <f>IF($U397="",$K397,$K397*$S397)</f>
        <v/>
      </c>
      <c r="Y397" s="35">
        <f>IF($U397="",DATE(2100,12,31),$U397+1)</f>
        <v/>
      </c>
      <c r="Z397" s="35">
        <f>IF($U397="",DATE(1900,1,1),$O397)</f>
        <v/>
      </c>
      <c r="AA397" s="32">
        <f>IF($U397="",0,$K397*$T397)</f>
        <v/>
      </c>
      <c r="AB397" s="21">
        <f>IF($C397="",0,IFERROR(INDEX(Deals!$AD$2:$AD$355,MATCH($C397,Deals!$A$2:$A$355,0)),0))</f>
        <v/>
      </c>
      <c r="AC397" s="32">
        <f>IF(Settings!$B$4="Yes",$I397*$AB397,$I397)</f>
        <v/>
      </c>
      <c r="AD397" s="22">
        <f>IF($C397="","",IFERROR(IF(INDEX(Deals!$AE$2:$AE$355,MATCH($C397,Deals!$A$2:$A$355,0))=0,"",INDEX(Deals!$AE$2:$AE$355,MATCH($C397,Deals!$A$2:$A$355,0))),""))</f>
        <v/>
      </c>
      <c r="AE397" s="22">
        <f>IF($C397="","",IFERROR(IF(INDEX(Deals!$AF$2:$AF$355,MATCH($C397,Deals!$A$2:$A$355,0))=0,"",INDEX(Deals!$AF$2:$AF$355,MATCH($C397,Deals!$A$2:$A$355,0))),""))</f>
        <v/>
      </c>
      <c r="AF397" s="35">
        <f>IF($AD397="",DATE(1900,1,1),$AD397)</f>
        <v/>
      </c>
      <c r="AG397" s="35">
        <f>IF($AE397="",DATE(2100,12,31),$AE397)</f>
        <v/>
      </c>
      <c r="AH397" s="22">
        <f>IF($C397="","",IFERROR(IF(INDEX(Deals!$AG$2:$AG$355,MATCH($C397,Deals!$A$2:$A$355,0))=0,"",INDEX(Deals!$AG$2:$AG$355,MATCH($C397,Deals!$A$2:$A$355,0))),""))</f>
        <v/>
      </c>
      <c r="AI397" s="35">
        <f>IF(OR($AH397&lt;&gt;"",AND($AO397&gt;0,$AD397&lt;&gt;"",$AE397&lt;&gt;"")),$AF397,DATE(1900,1,1))</f>
        <v/>
      </c>
      <c r="AJ397" s="35">
        <f>IF($AH397&lt;&gt;"",$AH397,IF(AND($AO397&gt;0,$AD397&lt;&gt;"",$AE397&lt;&gt;""),$AG397,DATE(2100,12,31)))</f>
        <v/>
      </c>
      <c r="AK397" s="32">
        <f>IF($AH397="",$AC397,$AC397*$S397)</f>
        <v/>
      </c>
      <c r="AL397" s="35">
        <f>IF($AH397="",DATE(2100,12,31),$AH397+1)</f>
        <v/>
      </c>
      <c r="AM397" s="35">
        <f>IF($AH397="",DATE(1900,1,1),$AG397)</f>
        <v/>
      </c>
      <c r="AN397" s="32">
        <f>IF($AH397="",0,$AC397*$T397)</f>
        <v/>
      </c>
      <c r="AO397" s="46">
        <f>IF($C397="",0,IFERROR(INDEX(Deals!$BD$2:$BD$355,MATCH($C397,Deals!$A$2:$A$355,0)),0))</f>
        <v/>
      </c>
      <c r="AP397" s="18">
        <f>IF($AO397=0,0,IFERROR(INDEX(Deals!$BJ$2:$BP$355,MATCH($C397,Deals!$A$2:$A$355,0),MATCH($F397,Deals!$BJ$1:$BP$1,0))/COUNTIFS(Assignments!$C$2:$C$769,$C397,Assignments!$F$2:$F$769,$F397,Assignments!$G$2:$G$769,"Active"),0))</f>
        <v/>
      </c>
    </row>
    <row r="398">
      <c r="A398" s="28" t="inlineStr">
        <is>
          <t>Patch</t>
        </is>
      </c>
      <c r="B398" s="16">
        <f>IF($A398="","",IFERROR(INDEX(Roster!$B$2:$B$40,MATCH($A398,Roster!$A$2:$A$40,0)),"?"))</f>
        <v/>
      </c>
      <c r="C398" s="28" t="inlineStr">
        <is>
          <t>Scan_1</t>
        </is>
      </c>
      <c r="D398" s="16">
        <f>IF($C398="","",IFERROR(IF(INDEX(Deals!$C$2:$C$355,MATCH($C398,Deals!$A$2:$A$355,0))=0,"",INDEX(Deals!$C$2:$C$355,MATCH($C398,Deals!$A$2:$A$355,0))),"?"))</f>
        <v/>
      </c>
      <c r="E398" s="16">
        <f>IF($C398="","",IFERROR(INDEX(Deals!$F$2:$F$355,MATCH($C398,Deals!$A$2:$A$355,0)),"?"))</f>
        <v/>
      </c>
      <c r="F398" s="28" t="inlineStr">
        <is>
          <t>VP</t>
        </is>
      </c>
      <c r="G398" s="28" t="inlineStr">
        <is>
          <t>Inactive</t>
        </is>
      </c>
      <c r="H398" s="31" t="n"/>
      <c r="I398" s="32">
        <f>IF(OR($A398="",$G398&lt;&gt;"Active"),0,IF($H398&lt;&gt;"",$H398,IF($AO398&gt;0,$AP398,IF(AND($R398&lt;&gt;"",IFERROR(INDEX(Templates!$B$3:$H$10,MATCH($R398,Templates!$A$3:$A$10,0),MATCH($F398,Templates!$B$2:$H$2,0)),0)&gt;0),INDEX(Templates!$B$3:$H$10,MATCH($R398,Templates!$A$3:$A$10,0),MATCH($F398,Templates!$B$2:$H$2,0)),IFERROR(INDEX(Settings!$B$8:$B$14,MATCH($F398,Settings!$A$8:$A$14,0)),0)))))</f>
        <v/>
      </c>
      <c r="J398" s="21">
        <f>IF($C398="",0,IFERROR(INDEX(Deals!$H$2:$H$355,MATCH($C398,Deals!$A$2:$A$355,0)),0))</f>
        <v/>
      </c>
      <c r="K398" s="32">
        <f>IF(Settings!$B$4="Yes",$I398*$J398,$I398)</f>
        <v/>
      </c>
      <c r="L398" s="22">
        <f>IF($C398="","",IFERROR(IF(INDEX(Deals!$I$2:$I$355,MATCH($C398,Deals!$A$2:$A$355,0))=0,"",INDEX(Deals!$I$2:$I$355,MATCH($C398,Deals!$A$2:$A$355,0))),""))</f>
        <v/>
      </c>
      <c r="M398" s="22">
        <f>IF($C398="","",IFERROR(IF(INDEX(Deals!$J$2:$J$355,MATCH($C398,Deals!$A$2:$A$355,0))=0,"",INDEX(Deals!$J$2:$J$355,MATCH($C398,Deals!$A$2:$A$355,0))),""))</f>
        <v/>
      </c>
      <c r="N398" s="35">
        <f>IF($L398="",DATE(1900,1,1),$L398)</f>
        <v/>
      </c>
      <c r="O398" s="35">
        <f>IF($M398="",DATE(2100,12,31),$M398)</f>
        <v/>
      </c>
      <c r="P398" s="20" t="inlineStr">
        <is>
          <t>Closed</t>
        </is>
      </c>
      <c r="Q398" s="47" t="inlineStr"/>
      <c r="R398" s="16">
        <f>IF($C398="","",IFERROR(IF(INDEX(Deals!$U$2:$U$355,MATCH($C398,Deals!$A$2:$A$355,0))=0,"",INDEX(Deals!$U$2:$U$355,MATCH($C398,Deals!$A$2:$A$355,0))),""))</f>
        <v/>
      </c>
      <c r="S398" s="34">
        <f>IFERROR(IF($U398="",1,INDEX(Deals!$V$2:$V$355,MATCH($C398,Deals!$A$2:$A$355,0))),1)</f>
        <v/>
      </c>
      <c r="T398" s="34">
        <f>IFERROR(IF($U398="",1,INDEX(Deals!$W$2:$W$355,MATCH($C398,Deals!$A$2:$A$355,0))),1)</f>
        <v/>
      </c>
      <c r="U398" s="22">
        <f>IF($C398="","",IFERROR(IF(INDEX(Deals!$Y$2:$Y$355,MATCH($C398,Deals!$A$2:$A$355,0))=0,"",INDEX(Deals!$Y$2:$Y$355,MATCH($C398,Deals!$A$2:$A$355,0))),""))</f>
        <v/>
      </c>
      <c r="V398" s="35">
        <f>IF(OR($U398&lt;&gt;"",AND($AO398&gt;0,$L398&lt;&gt;"",$M398&lt;&gt;"")),$N398,DATE(1900,1,1))</f>
        <v/>
      </c>
      <c r="W398" s="35">
        <f>IF($U398&lt;&gt;"",$U398,IF(AND($AO398&gt;0,$L398&lt;&gt;"",$M398&lt;&gt;""),$O398,DATE(2100,12,31)))</f>
        <v/>
      </c>
      <c r="X398" s="32">
        <f>IF($U398="",$K398,$K398*$S398)</f>
        <v/>
      </c>
      <c r="Y398" s="35">
        <f>IF($U398="",DATE(2100,12,31),$U398+1)</f>
        <v/>
      </c>
      <c r="Z398" s="35">
        <f>IF($U398="",DATE(1900,1,1),$O398)</f>
        <v/>
      </c>
      <c r="AA398" s="32">
        <f>IF($U398="",0,$K398*$T398)</f>
        <v/>
      </c>
      <c r="AB398" s="21">
        <f>IF($C398="",0,IFERROR(INDEX(Deals!$AD$2:$AD$355,MATCH($C398,Deals!$A$2:$A$355,0)),0))</f>
        <v/>
      </c>
      <c r="AC398" s="32">
        <f>IF(Settings!$B$4="Yes",$I398*$AB398,$I398)</f>
        <v/>
      </c>
      <c r="AD398" s="22">
        <f>IF($C398="","",IFERROR(IF(INDEX(Deals!$AE$2:$AE$355,MATCH($C398,Deals!$A$2:$A$355,0))=0,"",INDEX(Deals!$AE$2:$AE$355,MATCH($C398,Deals!$A$2:$A$355,0))),""))</f>
        <v/>
      </c>
      <c r="AE398" s="22">
        <f>IF($C398="","",IFERROR(IF(INDEX(Deals!$AF$2:$AF$355,MATCH($C398,Deals!$A$2:$A$355,0))=0,"",INDEX(Deals!$AF$2:$AF$355,MATCH($C398,Deals!$A$2:$A$355,0))),""))</f>
        <v/>
      </c>
      <c r="AF398" s="35">
        <f>IF($AD398="",DATE(1900,1,1),$AD398)</f>
        <v/>
      </c>
      <c r="AG398" s="35">
        <f>IF($AE398="",DATE(2100,12,31),$AE398)</f>
        <v/>
      </c>
      <c r="AH398" s="22">
        <f>IF($C398="","",IFERROR(IF(INDEX(Deals!$AG$2:$AG$355,MATCH($C398,Deals!$A$2:$A$355,0))=0,"",INDEX(Deals!$AG$2:$AG$355,MATCH($C398,Deals!$A$2:$A$355,0))),""))</f>
        <v/>
      </c>
      <c r="AI398" s="35">
        <f>IF(OR($AH398&lt;&gt;"",AND($AO398&gt;0,$AD398&lt;&gt;"",$AE398&lt;&gt;"")),$AF398,DATE(1900,1,1))</f>
        <v/>
      </c>
      <c r="AJ398" s="35">
        <f>IF($AH398&lt;&gt;"",$AH398,IF(AND($AO398&gt;0,$AD398&lt;&gt;"",$AE398&lt;&gt;""),$AG398,DATE(2100,12,31)))</f>
        <v/>
      </c>
      <c r="AK398" s="32">
        <f>IF($AH398="",$AC398,$AC398*$S398)</f>
        <v/>
      </c>
      <c r="AL398" s="35">
        <f>IF($AH398="",DATE(2100,12,31),$AH398+1)</f>
        <v/>
      </c>
      <c r="AM398" s="35">
        <f>IF($AH398="",DATE(1900,1,1),$AG398)</f>
        <v/>
      </c>
      <c r="AN398" s="32">
        <f>IF($AH398="",0,$AC398*$T398)</f>
        <v/>
      </c>
      <c r="AO398" s="46">
        <f>IF($C398="",0,IFERROR(INDEX(Deals!$BD$2:$BD$355,MATCH($C398,Deals!$A$2:$A$355,0)),0))</f>
        <v/>
      </c>
      <c r="AP398" s="18">
        <f>IF($AO398=0,0,IFERROR(INDEX(Deals!$BJ$2:$BP$355,MATCH($C398,Deals!$A$2:$A$355,0),MATCH($F398,Deals!$BJ$1:$BP$1,0))/COUNTIFS(Assignments!$C$2:$C$769,$C398,Assignments!$F$2:$F$769,$F398,Assignments!$G$2:$G$769,"Active"),0))</f>
        <v/>
      </c>
    </row>
    <row r="399">
      <c r="A399" s="28" t="inlineStr">
        <is>
          <t>Patch</t>
        </is>
      </c>
      <c r="B399" s="16">
        <f>IF($A399="","",IFERROR(INDEX(Roster!$B$2:$B$40,MATCH($A399,Roster!$A$2:$A$40,0)),"?"))</f>
        <v/>
      </c>
      <c r="C399" s="28" t="inlineStr">
        <is>
          <t>Scion_1</t>
        </is>
      </c>
      <c r="D399" s="16">
        <f>IF($C399="","",IFERROR(IF(INDEX(Deals!$C$2:$C$355,MATCH($C399,Deals!$A$2:$A$355,0))=0,"",INDEX(Deals!$C$2:$C$355,MATCH($C399,Deals!$A$2:$A$355,0))),"?"))</f>
        <v/>
      </c>
      <c r="E399" s="16">
        <f>IF($C399="","",IFERROR(INDEX(Deals!$F$2:$F$355,MATCH($C399,Deals!$A$2:$A$355,0)),"?"))</f>
        <v/>
      </c>
      <c r="F399" s="28" t="inlineStr">
        <is>
          <t>VP</t>
        </is>
      </c>
      <c r="G399" s="28" t="inlineStr">
        <is>
          <t>Active</t>
        </is>
      </c>
      <c r="H399" s="31" t="n"/>
      <c r="I399" s="32">
        <f>IF(OR($A399="",$G399&lt;&gt;"Active"),0,IF($H399&lt;&gt;"",$H399,IF($AO399&gt;0,$AP399,IF(AND($R399&lt;&gt;"",IFERROR(INDEX(Templates!$B$3:$H$10,MATCH($R399,Templates!$A$3:$A$10,0),MATCH($F399,Templates!$B$2:$H$2,0)),0)&gt;0),INDEX(Templates!$B$3:$H$10,MATCH($R399,Templates!$A$3:$A$10,0),MATCH($F399,Templates!$B$2:$H$2,0)),IFERROR(INDEX(Settings!$B$8:$B$14,MATCH($F399,Settings!$A$8:$A$14,0)),0)))))</f>
        <v/>
      </c>
      <c r="J399" s="21">
        <f>IF($C399="",0,IFERROR(INDEX(Deals!$H$2:$H$355,MATCH($C399,Deals!$A$2:$A$355,0)),0))</f>
        <v/>
      </c>
      <c r="K399" s="32">
        <f>IF(Settings!$B$4="Yes",$I399*$J399,$I399)</f>
        <v/>
      </c>
      <c r="L399" s="22">
        <f>IF($C399="","",IFERROR(IF(INDEX(Deals!$I$2:$I$355,MATCH($C399,Deals!$A$2:$A$355,0))=0,"",INDEX(Deals!$I$2:$I$355,MATCH($C399,Deals!$A$2:$A$355,0))),""))</f>
        <v/>
      </c>
      <c r="M399" s="22">
        <f>IF($C399="","",IFERROR(IF(INDEX(Deals!$J$2:$J$355,MATCH($C399,Deals!$A$2:$A$355,0))=0,"",INDEX(Deals!$J$2:$J$355,MATCH($C399,Deals!$A$2:$A$355,0))),""))</f>
        <v/>
      </c>
      <c r="N399" s="35">
        <f>IF($L399="",DATE(1900,1,1),$L399)</f>
        <v/>
      </c>
      <c r="O399" s="35">
        <f>IF($M399="",DATE(2100,12,31),$M399)</f>
        <v/>
      </c>
      <c r="P399" s="20" t="inlineStr">
        <is>
          <t>Finished phase I</t>
        </is>
      </c>
      <c r="Q399" s="47" t="inlineStr"/>
      <c r="R399" s="16">
        <f>IF($C399="","",IFERROR(IF(INDEX(Deals!$U$2:$U$355,MATCH($C399,Deals!$A$2:$A$355,0))=0,"",INDEX(Deals!$U$2:$U$355,MATCH($C399,Deals!$A$2:$A$355,0))),""))</f>
        <v/>
      </c>
      <c r="S399" s="34">
        <f>IFERROR(IF($U399="",1,INDEX(Deals!$V$2:$V$355,MATCH($C399,Deals!$A$2:$A$355,0))),1)</f>
        <v/>
      </c>
      <c r="T399" s="34">
        <f>IFERROR(IF($U399="",1,INDEX(Deals!$W$2:$W$355,MATCH($C399,Deals!$A$2:$A$355,0))),1)</f>
        <v/>
      </c>
      <c r="U399" s="22">
        <f>IF($C399="","",IFERROR(IF(INDEX(Deals!$Y$2:$Y$355,MATCH($C399,Deals!$A$2:$A$355,0))=0,"",INDEX(Deals!$Y$2:$Y$355,MATCH($C399,Deals!$A$2:$A$355,0))),""))</f>
        <v/>
      </c>
      <c r="V399" s="35">
        <f>IF(OR($U399&lt;&gt;"",AND($AO399&gt;0,$L399&lt;&gt;"",$M399&lt;&gt;"")),$N399,DATE(1900,1,1))</f>
        <v/>
      </c>
      <c r="W399" s="35">
        <f>IF($U399&lt;&gt;"",$U399,IF(AND($AO399&gt;0,$L399&lt;&gt;"",$M399&lt;&gt;""),$O399,DATE(2100,12,31)))</f>
        <v/>
      </c>
      <c r="X399" s="32">
        <f>IF($U399="",$K399,$K399*$S399)</f>
        <v/>
      </c>
      <c r="Y399" s="35">
        <f>IF($U399="",DATE(2100,12,31),$U399+1)</f>
        <v/>
      </c>
      <c r="Z399" s="35">
        <f>IF($U399="",DATE(1900,1,1),$O399)</f>
        <v/>
      </c>
      <c r="AA399" s="32">
        <f>IF($U399="",0,$K399*$T399)</f>
        <v/>
      </c>
      <c r="AB399" s="21">
        <f>IF($C399="",0,IFERROR(INDEX(Deals!$AD$2:$AD$355,MATCH($C399,Deals!$A$2:$A$355,0)),0))</f>
        <v/>
      </c>
      <c r="AC399" s="32">
        <f>IF(Settings!$B$4="Yes",$I399*$AB399,$I399)</f>
        <v/>
      </c>
      <c r="AD399" s="22">
        <f>IF($C399="","",IFERROR(IF(INDEX(Deals!$AE$2:$AE$355,MATCH($C399,Deals!$A$2:$A$355,0))=0,"",INDEX(Deals!$AE$2:$AE$355,MATCH($C399,Deals!$A$2:$A$355,0))),""))</f>
        <v/>
      </c>
      <c r="AE399" s="22">
        <f>IF($C399="","",IFERROR(IF(INDEX(Deals!$AF$2:$AF$355,MATCH($C399,Deals!$A$2:$A$355,0))=0,"",INDEX(Deals!$AF$2:$AF$355,MATCH($C399,Deals!$A$2:$A$355,0))),""))</f>
        <v/>
      </c>
      <c r="AF399" s="35">
        <f>IF($AD399="",DATE(1900,1,1),$AD399)</f>
        <v/>
      </c>
      <c r="AG399" s="35">
        <f>IF($AE399="",DATE(2100,12,31),$AE399)</f>
        <v/>
      </c>
      <c r="AH399" s="22">
        <f>IF($C399="","",IFERROR(IF(INDEX(Deals!$AG$2:$AG$355,MATCH($C399,Deals!$A$2:$A$355,0))=0,"",INDEX(Deals!$AG$2:$AG$355,MATCH($C399,Deals!$A$2:$A$355,0))),""))</f>
        <v/>
      </c>
      <c r="AI399" s="35">
        <f>IF(OR($AH399&lt;&gt;"",AND($AO399&gt;0,$AD399&lt;&gt;"",$AE399&lt;&gt;"")),$AF399,DATE(1900,1,1))</f>
        <v/>
      </c>
      <c r="AJ399" s="35">
        <f>IF($AH399&lt;&gt;"",$AH399,IF(AND($AO399&gt;0,$AD399&lt;&gt;"",$AE399&lt;&gt;""),$AG399,DATE(2100,12,31)))</f>
        <v/>
      </c>
      <c r="AK399" s="32">
        <f>IF($AH399="",$AC399,$AC399*$S399)</f>
        <v/>
      </c>
      <c r="AL399" s="35">
        <f>IF($AH399="",DATE(2100,12,31),$AH399+1)</f>
        <v/>
      </c>
      <c r="AM399" s="35">
        <f>IF($AH399="",DATE(1900,1,1),$AG399)</f>
        <v/>
      </c>
      <c r="AN399" s="32">
        <f>IF($AH399="",0,$AC399*$T399)</f>
        <v/>
      </c>
      <c r="AO399" s="46">
        <f>IF($C399="",0,IFERROR(INDEX(Deals!$BD$2:$BD$355,MATCH($C399,Deals!$A$2:$A$355,0)),0))</f>
        <v/>
      </c>
      <c r="AP399" s="18">
        <f>IF($AO399=0,0,IFERROR(INDEX(Deals!$BJ$2:$BP$355,MATCH($C399,Deals!$A$2:$A$355,0),MATCH($F399,Deals!$BJ$1:$BP$1,0))/COUNTIFS(Assignments!$C$2:$C$769,$C399,Assignments!$F$2:$F$769,$F399,Assignments!$G$2:$G$769,"Active"),0))</f>
        <v/>
      </c>
    </row>
    <row r="400">
      <c r="A400" s="28" t="inlineStr">
        <is>
          <t>Patch</t>
        </is>
      </c>
      <c r="B400" s="16">
        <f>IF($A400="","",IFERROR(INDEX(Roster!$B$2:$B$40,MATCH($A400,Roster!$A$2:$A$40,0)),"?"))</f>
        <v/>
      </c>
      <c r="C400" s="28" t="inlineStr">
        <is>
          <t>Spark_1</t>
        </is>
      </c>
      <c r="D400" s="16">
        <f>IF($C400="","",IFERROR(IF(INDEX(Deals!$C$2:$C$355,MATCH($C400,Deals!$A$2:$A$355,0))=0,"",INDEX(Deals!$C$2:$C$355,MATCH($C400,Deals!$A$2:$A$355,0))),"?"))</f>
        <v/>
      </c>
      <c r="E400" s="16">
        <f>IF($C400="","",IFERROR(INDEX(Deals!$F$2:$F$355,MATCH($C400,Deals!$A$2:$A$355,0)),"?"))</f>
        <v/>
      </c>
      <c r="F400" s="28" t="inlineStr">
        <is>
          <t>VP</t>
        </is>
      </c>
      <c r="G400" s="28" t="inlineStr">
        <is>
          <t>Inactive</t>
        </is>
      </c>
      <c r="H400" s="31" t="n"/>
      <c r="I400" s="32">
        <f>IF(OR($A400="",$G400&lt;&gt;"Active"),0,IF($H400&lt;&gt;"",$H400,IF($AO400&gt;0,$AP400,IF(AND($R400&lt;&gt;"",IFERROR(INDEX(Templates!$B$3:$H$10,MATCH($R400,Templates!$A$3:$A$10,0),MATCH($F400,Templates!$B$2:$H$2,0)),0)&gt;0),INDEX(Templates!$B$3:$H$10,MATCH($R400,Templates!$A$3:$A$10,0),MATCH($F400,Templates!$B$2:$H$2,0)),IFERROR(INDEX(Settings!$B$8:$B$14,MATCH($F400,Settings!$A$8:$A$14,0)),0)))))</f>
        <v/>
      </c>
      <c r="J400" s="21">
        <f>IF($C400="",0,IFERROR(INDEX(Deals!$H$2:$H$355,MATCH($C400,Deals!$A$2:$A$355,0)),0))</f>
        <v/>
      </c>
      <c r="K400" s="32">
        <f>IF(Settings!$B$4="Yes",$I400*$J400,$I400)</f>
        <v/>
      </c>
      <c r="L400" s="22">
        <f>IF($C400="","",IFERROR(IF(INDEX(Deals!$I$2:$I$355,MATCH($C400,Deals!$A$2:$A$355,0))=0,"",INDEX(Deals!$I$2:$I$355,MATCH($C400,Deals!$A$2:$A$355,0))),""))</f>
        <v/>
      </c>
      <c r="M400" s="22">
        <f>IF($C400="","",IFERROR(IF(INDEX(Deals!$J$2:$J$355,MATCH($C400,Deals!$A$2:$A$355,0))=0,"",INDEX(Deals!$J$2:$J$355,MATCH($C400,Deals!$A$2:$A$355,0))),""))</f>
        <v/>
      </c>
      <c r="N400" s="35">
        <f>IF($L400="",DATE(1900,1,1),$L400)</f>
        <v/>
      </c>
      <c r="O400" s="35">
        <f>IF($M400="",DATE(2100,12,31),$M400)</f>
        <v/>
      </c>
      <c r="P400" s="20" t="inlineStr">
        <is>
          <t>Closed</t>
        </is>
      </c>
      <c r="Q400" s="47" t="inlineStr"/>
      <c r="R400" s="16">
        <f>IF($C400="","",IFERROR(IF(INDEX(Deals!$U$2:$U$355,MATCH($C400,Deals!$A$2:$A$355,0))=0,"",INDEX(Deals!$U$2:$U$355,MATCH($C400,Deals!$A$2:$A$355,0))),""))</f>
        <v/>
      </c>
      <c r="S400" s="34">
        <f>IFERROR(IF($U400="",1,INDEX(Deals!$V$2:$V$355,MATCH($C400,Deals!$A$2:$A$355,0))),1)</f>
        <v/>
      </c>
      <c r="T400" s="34">
        <f>IFERROR(IF($U400="",1,INDEX(Deals!$W$2:$W$355,MATCH($C400,Deals!$A$2:$A$355,0))),1)</f>
        <v/>
      </c>
      <c r="U400" s="22">
        <f>IF($C400="","",IFERROR(IF(INDEX(Deals!$Y$2:$Y$355,MATCH($C400,Deals!$A$2:$A$355,0))=0,"",INDEX(Deals!$Y$2:$Y$355,MATCH($C400,Deals!$A$2:$A$355,0))),""))</f>
        <v/>
      </c>
      <c r="V400" s="35">
        <f>IF(OR($U400&lt;&gt;"",AND($AO400&gt;0,$L400&lt;&gt;"",$M400&lt;&gt;"")),$N400,DATE(1900,1,1))</f>
        <v/>
      </c>
      <c r="W400" s="35">
        <f>IF($U400&lt;&gt;"",$U400,IF(AND($AO400&gt;0,$L400&lt;&gt;"",$M400&lt;&gt;""),$O400,DATE(2100,12,31)))</f>
        <v/>
      </c>
      <c r="X400" s="32">
        <f>IF($U400="",$K400,$K400*$S400)</f>
        <v/>
      </c>
      <c r="Y400" s="35">
        <f>IF($U400="",DATE(2100,12,31),$U400+1)</f>
        <v/>
      </c>
      <c r="Z400" s="35">
        <f>IF($U400="",DATE(1900,1,1),$O400)</f>
        <v/>
      </c>
      <c r="AA400" s="32">
        <f>IF($U400="",0,$K400*$T400)</f>
        <v/>
      </c>
      <c r="AB400" s="21">
        <f>IF($C400="",0,IFERROR(INDEX(Deals!$AD$2:$AD$355,MATCH($C400,Deals!$A$2:$A$355,0)),0))</f>
        <v/>
      </c>
      <c r="AC400" s="32">
        <f>IF(Settings!$B$4="Yes",$I400*$AB400,$I400)</f>
        <v/>
      </c>
      <c r="AD400" s="22">
        <f>IF($C400="","",IFERROR(IF(INDEX(Deals!$AE$2:$AE$355,MATCH($C400,Deals!$A$2:$A$355,0))=0,"",INDEX(Deals!$AE$2:$AE$355,MATCH($C400,Deals!$A$2:$A$355,0))),""))</f>
        <v/>
      </c>
      <c r="AE400" s="22">
        <f>IF($C400="","",IFERROR(IF(INDEX(Deals!$AF$2:$AF$355,MATCH($C400,Deals!$A$2:$A$355,0))=0,"",INDEX(Deals!$AF$2:$AF$355,MATCH($C400,Deals!$A$2:$A$355,0))),""))</f>
        <v/>
      </c>
      <c r="AF400" s="35">
        <f>IF($AD400="",DATE(1900,1,1),$AD400)</f>
        <v/>
      </c>
      <c r="AG400" s="35">
        <f>IF($AE400="",DATE(2100,12,31),$AE400)</f>
        <v/>
      </c>
      <c r="AH400" s="22">
        <f>IF($C400="","",IFERROR(IF(INDEX(Deals!$AG$2:$AG$355,MATCH($C400,Deals!$A$2:$A$355,0))=0,"",INDEX(Deals!$AG$2:$AG$355,MATCH($C400,Deals!$A$2:$A$355,0))),""))</f>
        <v/>
      </c>
      <c r="AI400" s="35">
        <f>IF(OR($AH400&lt;&gt;"",AND($AO400&gt;0,$AD400&lt;&gt;"",$AE400&lt;&gt;"")),$AF400,DATE(1900,1,1))</f>
        <v/>
      </c>
      <c r="AJ400" s="35">
        <f>IF($AH400&lt;&gt;"",$AH400,IF(AND($AO400&gt;0,$AD400&lt;&gt;"",$AE400&lt;&gt;""),$AG400,DATE(2100,12,31)))</f>
        <v/>
      </c>
      <c r="AK400" s="32">
        <f>IF($AH400="",$AC400,$AC400*$S400)</f>
        <v/>
      </c>
      <c r="AL400" s="35">
        <f>IF($AH400="",DATE(2100,12,31),$AH400+1)</f>
        <v/>
      </c>
      <c r="AM400" s="35">
        <f>IF($AH400="",DATE(1900,1,1),$AG400)</f>
        <v/>
      </c>
      <c r="AN400" s="32">
        <f>IF($AH400="",0,$AC400*$T400)</f>
        <v/>
      </c>
      <c r="AO400" s="46">
        <f>IF($C400="",0,IFERROR(INDEX(Deals!$BD$2:$BD$355,MATCH($C400,Deals!$A$2:$A$355,0)),0))</f>
        <v/>
      </c>
      <c r="AP400" s="18">
        <f>IF($AO400=0,0,IFERROR(INDEX(Deals!$BJ$2:$BP$355,MATCH($C400,Deals!$A$2:$A$355,0),MATCH($F400,Deals!$BJ$1:$BP$1,0))/COUNTIFS(Assignments!$C$2:$C$769,$C400,Assignments!$F$2:$F$769,$F400,Assignments!$G$2:$G$769,"Active"),0))</f>
        <v/>
      </c>
    </row>
    <row r="401">
      <c r="A401" s="28" t="inlineStr">
        <is>
          <t>Patch</t>
        </is>
      </c>
      <c r="B401" s="16">
        <f>IF($A401="","",IFERROR(INDEX(Roster!$B$2:$B$40,MATCH($A401,Roster!$A$2:$A$40,0)),"?"))</f>
        <v/>
      </c>
      <c r="C401" s="28" t="inlineStr">
        <is>
          <t>Steam_2</t>
        </is>
      </c>
      <c r="D401" s="16">
        <f>IF($C401="","",IFERROR(IF(INDEX(Deals!$C$2:$C$355,MATCH($C401,Deals!$A$2:$A$355,0))=0,"",INDEX(Deals!$C$2:$C$355,MATCH($C401,Deals!$A$2:$A$355,0))),"?"))</f>
        <v/>
      </c>
      <c r="E401" s="16">
        <f>IF($C401="","",IFERROR(INDEX(Deals!$F$2:$F$355,MATCH($C401,Deals!$A$2:$A$355,0)),"?"))</f>
        <v/>
      </c>
      <c r="F401" s="28" t="inlineStr">
        <is>
          <t>VP</t>
        </is>
      </c>
      <c r="G401" s="28" t="inlineStr">
        <is>
          <t>Inactive</t>
        </is>
      </c>
      <c r="H401" s="31" t="n"/>
      <c r="I401" s="32">
        <f>IF(OR($A401="",$G401&lt;&gt;"Active"),0,IF($H401&lt;&gt;"",$H401,IF($AO401&gt;0,$AP401,IF(AND($R401&lt;&gt;"",IFERROR(INDEX(Templates!$B$3:$H$10,MATCH($R401,Templates!$A$3:$A$10,0),MATCH($F401,Templates!$B$2:$H$2,0)),0)&gt;0),INDEX(Templates!$B$3:$H$10,MATCH($R401,Templates!$A$3:$A$10,0),MATCH($F401,Templates!$B$2:$H$2,0)),IFERROR(INDEX(Settings!$B$8:$B$14,MATCH($F401,Settings!$A$8:$A$14,0)),0)))))</f>
        <v/>
      </c>
      <c r="J401" s="21">
        <f>IF($C401="",0,IFERROR(INDEX(Deals!$H$2:$H$355,MATCH($C401,Deals!$A$2:$A$355,0)),0))</f>
        <v/>
      </c>
      <c r="K401" s="32">
        <f>IF(Settings!$B$4="Yes",$I401*$J401,$I401)</f>
        <v/>
      </c>
      <c r="L401" s="22">
        <f>IF($C401="","",IFERROR(IF(INDEX(Deals!$I$2:$I$355,MATCH($C401,Deals!$A$2:$A$355,0))=0,"",INDEX(Deals!$I$2:$I$355,MATCH($C401,Deals!$A$2:$A$355,0))),""))</f>
        <v/>
      </c>
      <c r="M401" s="22">
        <f>IF($C401="","",IFERROR(IF(INDEX(Deals!$J$2:$J$355,MATCH($C401,Deals!$A$2:$A$355,0))=0,"",INDEX(Deals!$J$2:$J$355,MATCH($C401,Deals!$A$2:$A$355,0))),""))</f>
        <v/>
      </c>
      <c r="N401" s="35">
        <f>IF($L401="",DATE(1900,1,1),$L401)</f>
        <v/>
      </c>
      <c r="O401" s="35">
        <f>IF($M401="",DATE(2100,12,31),$M401)</f>
        <v/>
      </c>
      <c r="P401" s="20" t="inlineStr">
        <is>
          <t>Not involved in ongoing work</t>
        </is>
      </c>
      <c r="Q401" s="47" t="inlineStr"/>
      <c r="R401" s="16">
        <f>IF($C401="","",IFERROR(IF(INDEX(Deals!$U$2:$U$355,MATCH($C401,Deals!$A$2:$A$355,0))=0,"",INDEX(Deals!$U$2:$U$355,MATCH($C401,Deals!$A$2:$A$355,0))),""))</f>
        <v/>
      </c>
      <c r="S401" s="34">
        <f>IFERROR(IF($U401="",1,INDEX(Deals!$V$2:$V$355,MATCH($C401,Deals!$A$2:$A$355,0))),1)</f>
        <v/>
      </c>
      <c r="T401" s="34">
        <f>IFERROR(IF($U401="",1,INDEX(Deals!$W$2:$W$355,MATCH($C401,Deals!$A$2:$A$355,0))),1)</f>
        <v/>
      </c>
      <c r="U401" s="22">
        <f>IF($C401="","",IFERROR(IF(INDEX(Deals!$Y$2:$Y$355,MATCH($C401,Deals!$A$2:$A$355,0))=0,"",INDEX(Deals!$Y$2:$Y$355,MATCH($C401,Deals!$A$2:$A$355,0))),""))</f>
        <v/>
      </c>
      <c r="V401" s="35">
        <f>IF(OR($U401&lt;&gt;"",AND($AO401&gt;0,$L401&lt;&gt;"",$M401&lt;&gt;"")),$N401,DATE(1900,1,1))</f>
        <v/>
      </c>
      <c r="W401" s="35">
        <f>IF($U401&lt;&gt;"",$U401,IF(AND($AO401&gt;0,$L401&lt;&gt;"",$M401&lt;&gt;""),$O401,DATE(2100,12,31)))</f>
        <v/>
      </c>
      <c r="X401" s="32">
        <f>IF($U401="",$K401,$K401*$S401)</f>
        <v/>
      </c>
      <c r="Y401" s="35">
        <f>IF($U401="",DATE(2100,12,31),$U401+1)</f>
        <v/>
      </c>
      <c r="Z401" s="35">
        <f>IF($U401="",DATE(1900,1,1),$O401)</f>
        <v/>
      </c>
      <c r="AA401" s="32">
        <f>IF($U401="",0,$K401*$T401)</f>
        <v/>
      </c>
      <c r="AB401" s="21">
        <f>IF($C401="",0,IFERROR(INDEX(Deals!$AD$2:$AD$355,MATCH($C401,Deals!$A$2:$A$355,0)),0))</f>
        <v/>
      </c>
      <c r="AC401" s="32">
        <f>IF(Settings!$B$4="Yes",$I401*$AB401,$I401)</f>
        <v/>
      </c>
      <c r="AD401" s="22">
        <f>IF($C401="","",IFERROR(IF(INDEX(Deals!$AE$2:$AE$355,MATCH($C401,Deals!$A$2:$A$355,0))=0,"",INDEX(Deals!$AE$2:$AE$355,MATCH($C401,Deals!$A$2:$A$355,0))),""))</f>
        <v/>
      </c>
      <c r="AE401" s="22">
        <f>IF($C401="","",IFERROR(IF(INDEX(Deals!$AF$2:$AF$355,MATCH($C401,Deals!$A$2:$A$355,0))=0,"",INDEX(Deals!$AF$2:$AF$355,MATCH($C401,Deals!$A$2:$A$355,0))),""))</f>
        <v/>
      </c>
      <c r="AF401" s="35">
        <f>IF($AD401="",DATE(1900,1,1),$AD401)</f>
        <v/>
      </c>
      <c r="AG401" s="35">
        <f>IF($AE401="",DATE(2100,12,31),$AE401)</f>
        <v/>
      </c>
      <c r="AH401" s="22">
        <f>IF($C401="","",IFERROR(IF(INDEX(Deals!$AG$2:$AG$355,MATCH($C401,Deals!$A$2:$A$355,0))=0,"",INDEX(Deals!$AG$2:$AG$355,MATCH($C401,Deals!$A$2:$A$355,0))),""))</f>
        <v/>
      </c>
      <c r="AI401" s="35">
        <f>IF(OR($AH401&lt;&gt;"",AND($AO401&gt;0,$AD401&lt;&gt;"",$AE401&lt;&gt;"")),$AF401,DATE(1900,1,1))</f>
        <v/>
      </c>
      <c r="AJ401" s="35">
        <f>IF($AH401&lt;&gt;"",$AH401,IF(AND($AO401&gt;0,$AD401&lt;&gt;"",$AE401&lt;&gt;""),$AG401,DATE(2100,12,31)))</f>
        <v/>
      </c>
      <c r="AK401" s="32">
        <f>IF($AH401="",$AC401,$AC401*$S401)</f>
        <v/>
      </c>
      <c r="AL401" s="35">
        <f>IF($AH401="",DATE(2100,12,31),$AH401+1)</f>
        <v/>
      </c>
      <c r="AM401" s="35">
        <f>IF($AH401="",DATE(1900,1,1),$AG401)</f>
        <v/>
      </c>
      <c r="AN401" s="32">
        <f>IF($AH401="",0,$AC401*$T401)</f>
        <v/>
      </c>
      <c r="AO401" s="46">
        <f>IF($C401="",0,IFERROR(INDEX(Deals!$BD$2:$BD$355,MATCH($C401,Deals!$A$2:$A$355,0)),0))</f>
        <v/>
      </c>
      <c r="AP401" s="18">
        <f>IF($AO401=0,0,IFERROR(INDEX(Deals!$BJ$2:$BP$355,MATCH($C401,Deals!$A$2:$A$355,0),MATCH($F401,Deals!$BJ$1:$BP$1,0))/COUNTIFS(Assignments!$C$2:$C$769,$C401,Assignments!$F$2:$F$769,$F401,Assignments!$G$2:$G$769,"Active"),0))</f>
        <v/>
      </c>
    </row>
    <row r="402">
      <c r="A402" s="28" t="inlineStr">
        <is>
          <t>Patch</t>
        </is>
      </c>
      <c r="B402" s="16">
        <f>IF($A402="","",IFERROR(INDEX(Roster!$B$2:$B$40,MATCH($A402,Roster!$A$2:$A$40,0)),"?"))</f>
        <v/>
      </c>
      <c r="C402" s="28" t="inlineStr">
        <is>
          <t>Sun Pond_1</t>
        </is>
      </c>
      <c r="D402" s="16">
        <f>IF($C402="","",IFERROR(IF(INDEX(Deals!$C$2:$C$355,MATCH($C402,Deals!$A$2:$A$355,0))=0,"",INDEX(Deals!$C$2:$C$355,MATCH($C402,Deals!$A$2:$A$355,0))),"?"))</f>
        <v/>
      </c>
      <c r="E402" s="16">
        <f>IF($C402="","",IFERROR(INDEX(Deals!$F$2:$F$355,MATCH($C402,Deals!$A$2:$A$355,0)),"?"))</f>
        <v/>
      </c>
      <c r="F402" s="28" t="inlineStr">
        <is>
          <t>VP</t>
        </is>
      </c>
      <c r="G402" s="28" t="inlineStr">
        <is>
          <t>Inactive</t>
        </is>
      </c>
      <c r="H402" s="31" t="n"/>
      <c r="I402" s="32">
        <f>IF(OR($A402="",$G402&lt;&gt;"Active"),0,IF($H402&lt;&gt;"",$H402,IF($AO402&gt;0,$AP402,IF(AND($R402&lt;&gt;"",IFERROR(INDEX(Templates!$B$3:$H$10,MATCH($R402,Templates!$A$3:$A$10,0),MATCH($F402,Templates!$B$2:$H$2,0)),0)&gt;0),INDEX(Templates!$B$3:$H$10,MATCH($R402,Templates!$A$3:$A$10,0),MATCH($F402,Templates!$B$2:$H$2,0)),IFERROR(INDEX(Settings!$B$8:$B$14,MATCH($F402,Settings!$A$8:$A$14,0)),0)))))</f>
        <v/>
      </c>
      <c r="J402" s="21">
        <f>IF($C402="",0,IFERROR(INDEX(Deals!$H$2:$H$355,MATCH($C402,Deals!$A$2:$A$355,0)),0))</f>
        <v/>
      </c>
      <c r="K402" s="32">
        <f>IF(Settings!$B$4="Yes",$I402*$J402,$I402)</f>
        <v/>
      </c>
      <c r="L402" s="22">
        <f>IF($C402="","",IFERROR(IF(INDEX(Deals!$I$2:$I$355,MATCH($C402,Deals!$A$2:$A$355,0))=0,"",INDEX(Deals!$I$2:$I$355,MATCH($C402,Deals!$A$2:$A$355,0))),""))</f>
        <v/>
      </c>
      <c r="M402" s="22">
        <f>IF($C402="","",IFERROR(IF(INDEX(Deals!$J$2:$J$355,MATCH($C402,Deals!$A$2:$A$355,0))=0,"",INDEX(Deals!$J$2:$J$355,MATCH($C402,Deals!$A$2:$A$355,0))),""))</f>
        <v/>
      </c>
      <c r="N402" s="35">
        <f>IF($L402="",DATE(1900,1,1),$L402)</f>
        <v/>
      </c>
      <c r="O402" s="35">
        <f>IF($M402="",DATE(2100,12,31),$M402)</f>
        <v/>
      </c>
      <c r="P402" s="20" t="inlineStr">
        <is>
          <t>This was probably when I was helping check tax insurance datarooms.</t>
        </is>
      </c>
      <c r="Q402" s="47" t="inlineStr"/>
      <c r="R402" s="16">
        <f>IF($C402="","",IFERROR(IF(INDEX(Deals!$U$2:$U$355,MATCH($C402,Deals!$A$2:$A$355,0))=0,"",INDEX(Deals!$U$2:$U$355,MATCH($C402,Deals!$A$2:$A$355,0))),""))</f>
        <v/>
      </c>
      <c r="S402" s="34">
        <f>IFERROR(IF($U402="",1,INDEX(Deals!$V$2:$V$355,MATCH($C402,Deals!$A$2:$A$355,0))),1)</f>
        <v/>
      </c>
      <c r="T402" s="34">
        <f>IFERROR(IF($U402="",1,INDEX(Deals!$W$2:$W$355,MATCH($C402,Deals!$A$2:$A$355,0))),1)</f>
        <v/>
      </c>
      <c r="U402" s="22">
        <f>IF($C402="","",IFERROR(IF(INDEX(Deals!$Y$2:$Y$355,MATCH($C402,Deals!$A$2:$A$355,0))=0,"",INDEX(Deals!$Y$2:$Y$355,MATCH($C402,Deals!$A$2:$A$355,0))),""))</f>
        <v/>
      </c>
      <c r="V402" s="35">
        <f>IF(OR($U402&lt;&gt;"",AND($AO402&gt;0,$L402&lt;&gt;"",$M402&lt;&gt;"")),$N402,DATE(1900,1,1))</f>
        <v/>
      </c>
      <c r="W402" s="35">
        <f>IF($U402&lt;&gt;"",$U402,IF(AND($AO402&gt;0,$L402&lt;&gt;"",$M402&lt;&gt;""),$O402,DATE(2100,12,31)))</f>
        <v/>
      </c>
      <c r="X402" s="32">
        <f>IF($U402="",$K402,$K402*$S402)</f>
        <v/>
      </c>
      <c r="Y402" s="35">
        <f>IF($U402="",DATE(2100,12,31),$U402+1)</f>
        <v/>
      </c>
      <c r="Z402" s="35">
        <f>IF($U402="",DATE(1900,1,1),$O402)</f>
        <v/>
      </c>
      <c r="AA402" s="32">
        <f>IF($U402="",0,$K402*$T402)</f>
        <v/>
      </c>
      <c r="AB402" s="21">
        <f>IF($C402="",0,IFERROR(INDEX(Deals!$AD$2:$AD$355,MATCH($C402,Deals!$A$2:$A$355,0)),0))</f>
        <v/>
      </c>
      <c r="AC402" s="32">
        <f>IF(Settings!$B$4="Yes",$I402*$AB402,$I402)</f>
        <v/>
      </c>
      <c r="AD402" s="22">
        <f>IF($C402="","",IFERROR(IF(INDEX(Deals!$AE$2:$AE$355,MATCH($C402,Deals!$A$2:$A$355,0))=0,"",INDEX(Deals!$AE$2:$AE$355,MATCH($C402,Deals!$A$2:$A$355,0))),""))</f>
        <v/>
      </c>
      <c r="AE402" s="22">
        <f>IF($C402="","",IFERROR(IF(INDEX(Deals!$AF$2:$AF$355,MATCH($C402,Deals!$A$2:$A$355,0))=0,"",INDEX(Deals!$AF$2:$AF$355,MATCH($C402,Deals!$A$2:$A$355,0))),""))</f>
        <v/>
      </c>
      <c r="AF402" s="35">
        <f>IF($AD402="",DATE(1900,1,1),$AD402)</f>
        <v/>
      </c>
      <c r="AG402" s="35">
        <f>IF($AE402="",DATE(2100,12,31),$AE402)</f>
        <v/>
      </c>
      <c r="AH402" s="22">
        <f>IF($C402="","",IFERROR(IF(INDEX(Deals!$AG$2:$AG$355,MATCH($C402,Deals!$A$2:$A$355,0))=0,"",INDEX(Deals!$AG$2:$AG$355,MATCH($C402,Deals!$A$2:$A$355,0))),""))</f>
        <v/>
      </c>
      <c r="AI402" s="35">
        <f>IF(OR($AH402&lt;&gt;"",AND($AO402&gt;0,$AD402&lt;&gt;"",$AE402&lt;&gt;"")),$AF402,DATE(1900,1,1))</f>
        <v/>
      </c>
      <c r="AJ402" s="35">
        <f>IF($AH402&lt;&gt;"",$AH402,IF(AND($AO402&gt;0,$AD402&lt;&gt;"",$AE402&lt;&gt;""),$AG402,DATE(2100,12,31)))</f>
        <v/>
      </c>
      <c r="AK402" s="32">
        <f>IF($AH402="",$AC402,$AC402*$S402)</f>
        <v/>
      </c>
      <c r="AL402" s="35">
        <f>IF($AH402="",DATE(2100,12,31),$AH402+1)</f>
        <v/>
      </c>
      <c r="AM402" s="35">
        <f>IF($AH402="",DATE(1900,1,1),$AG402)</f>
        <v/>
      </c>
      <c r="AN402" s="32">
        <f>IF($AH402="",0,$AC402*$T402)</f>
        <v/>
      </c>
      <c r="AO402" s="46">
        <f>IF($C402="",0,IFERROR(INDEX(Deals!$BD$2:$BD$355,MATCH($C402,Deals!$A$2:$A$355,0)),0))</f>
        <v/>
      </c>
      <c r="AP402" s="18">
        <f>IF($AO402=0,0,IFERROR(INDEX(Deals!$BJ$2:$BP$355,MATCH($C402,Deals!$A$2:$A$355,0),MATCH($F402,Deals!$BJ$1:$BP$1,0))/COUNTIFS(Assignments!$C$2:$C$769,$C402,Assignments!$F$2:$F$769,$F402,Assignments!$G$2:$G$769,"Active"),0))</f>
        <v/>
      </c>
    </row>
    <row r="403">
      <c r="A403" s="28" t="inlineStr">
        <is>
          <t>Patch</t>
        </is>
      </c>
      <c r="B403" s="16">
        <f>IF($A403="","",IFERROR(INDEX(Roster!$B$2:$B$40,MATCH($A403,Roster!$A$2:$A$40,0)),"?"))</f>
        <v/>
      </c>
      <c r="C403" s="28" t="inlineStr">
        <is>
          <t>Tailgate_1</t>
        </is>
      </c>
      <c r="D403" s="16">
        <f>IF($C403="","",IFERROR(IF(INDEX(Deals!$C$2:$C$355,MATCH($C403,Deals!$A$2:$A$355,0))=0,"",INDEX(Deals!$C$2:$C$355,MATCH($C403,Deals!$A$2:$A$355,0))),"?"))</f>
        <v/>
      </c>
      <c r="E403" s="16">
        <f>IF($C403="","",IFERROR(INDEX(Deals!$F$2:$F$355,MATCH($C403,Deals!$A$2:$A$355,0)),"?"))</f>
        <v/>
      </c>
      <c r="F403" s="28" t="inlineStr">
        <is>
          <t>VP</t>
        </is>
      </c>
      <c r="G403" s="28" t="inlineStr">
        <is>
          <t>Inactive</t>
        </is>
      </c>
      <c r="H403" s="31" t="n"/>
      <c r="I403" s="32">
        <f>IF(OR($A403="",$G403&lt;&gt;"Active"),0,IF($H403&lt;&gt;"",$H403,IF($AO403&gt;0,$AP403,IF(AND($R403&lt;&gt;"",IFERROR(INDEX(Templates!$B$3:$H$10,MATCH($R403,Templates!$A$3:$A$10,0),MATCH($F403,Templates!$B$2:$H$2,0)),0)&gt;0),INDEX(Templates!$B$3:$H$10,MATCH($R403,Templates!$A$3:$A$10,0),MATCH($F403,Templates!$B$2:$H$2,0)),IFERROR(INDEX(Settings!$B$8:$B$14,MATCH($F403,Settings!$A$8:$A$14,0)),0)))))</f>
        <v/>
      </c>
      <c r="J403" s="21">
        <f>IF($C403="",0,IFERROR(INDEX(Deals!$H$2:$H$355,MATCH($C403,Deals!$A$2:$A$355,0)),0))</f>
        <v/>
      </c>
      <c r="K403" s="32">
        <f>IF(Settings!$B$4="Yes",$I403*$J403,$I403)</f>
        <v/>
      </c>
      <c r="L403" s="22">
        <f>IF($C403="","",IFERROR(IF(INDEX(Deals!$I$2:$I$355,MATCH($C403,Deals!$A$2:$A$355,0))=0,"",INDEX(Deals!$I$2:$I$355,MATCH($C403,Deals!$A$2:$A$355,0))),""))</f>
        <v/>
      </c>
      <c r="M403" s="22">
        <f>IF($C403="","",IFERROR(IF(INDEX(Deals!$J$2:$J$355,MATCH($C403,Deals!$A$2:$A$355,0))=0,"",INDEX(Deals!$J$2:$J$355,MATCH($C403,Deals!$A$2:$A$355,0))),""))</f>
        <v/>
      </c>
      <c r="N403" s="35">
        <f>IF($L403="",DATE(1900,1,1),$L403)</f>
        <v/>
      </c>
      <c r="O403" s="35">
        <f>IF($M403="",DATE(2100,12,31),$M403)</f>
        <v/>
      </c>
      <c r="P403" s="20" t="inlineStr">
        <is>
          <t>Penicls Down</t>
        </is>
      </c>
      <c r="Q403" s="47" t="inlineStr"/>
      <c r="R403" s="16">
        <f>IF($C403="","",IFERROR(IF(INDEX(Deals!$U$2:$U$355,MATCH($C403,Deals!$A$2:$A$355,0))=0,"",INDEX(Deals!$U$2:$U$355,MATCH($C403,Deals!$A$2:$A$355,0))),""))</f>
        <v/>
      </c>
      <c r="S403" s="34">
        <f>IFERROR(IF($U403="",1,INDEX(Deals!$V$2:$V$355,MATCH($C403,Deals!$A$2:$A$355,0))),1)</f>
        <v/>
      </c>
      <c r="T403" s="34">
        <f>IFERROR(IF($U403="",1,INDEX(Deals!$W$2:$W$355,MATCH($C403,Deals!$A$2:$A$355,0))),1)</f>
        <v/>
      </c>
      <c r="U403" s="22">
        <f>IF($C403="","",IFERROR(IF(INDEX(Deals!$Y$2:$Y$355,MATCH($C403,Deals!$A$2:$A$355,0))=0,"",INDEX(Deals!$Y$2:$Y$355,MATCH($C403,Deals!$A$2:$A$355,0))),""))</f>
        <v/>
      </c>
      <c r="V403" s="35">
        <f>IF(OR($U403&lt;&gt;"",AND($AO403&gt;0,$L403&lt;&gt;"",$M403&lt;&gt;"")),$N403,DATE(1900,1,1))</f>
        <v/>
      </c>
      <c r="W403" s="35">
        <f>IF($U403&lt;&gt;"",$U403,IF(AND($AO403&gt;0,$L403&lt;&gt;"",$M403&lt;&gt;""),$O403,DATE(2100,12,31)))</f>
        <v/>
      </c>
      <c r="X403" s="32">
        <f>IF($U403="",$K403,$K403*$S403)</f>
        <v/>
      </c>
      <c r="Y403" s="35">
        <f>IF($U403="",DATE(2100,12,31),$U403+1)</f>
        <v/>
      </c>
      <c r="Z403" s="35">
        <f>IF($U403="",DATE(1900,1,1),$O403)</f>
        <v/>
      </c>
      <c r="AA403" s="32">
        <f>IF($U403="",0,$K403*$T403)</f>
        <v/>
      </c>
      <c r="AB403" s="21">
        <f>IF($C403="",0,IFERROR(INDEX(Deals!$AD$2:$AD$355,MATCH($C403,Deals!$A$2:$A$355,0)),0))</f>
        <v/>
      </c>
      <c r="AC403" s="32">
        <f>IF(Settings!$B$4="Yes",$I403*$AB403,$I403)</f>
        <v/>
      </c>
      <c r="AD403" s="22">
        <f>IF($C403="","",IFERROR(IF(INDEX(Deals!$AE$2:$AE$355,MATCH($C403,Deals!$A$2:$A$355,0))=0,"",INDEX(Deals!$AE$2:$AE$355,MATCH($C403,Deals!$A$2:$A$355,0))),""))</f>
        <v/>
      </c>
      <c r="AE403" s="22">
        <f>IF($C403="","",IFERROR(IF(INDEX(Deals!$AF$2:$AF$355,MATCH($C403,Deals!$A$2:$A$355,0))=0,"",INDEX(Deals!$AF$2:$AF$355,MATCH($C403,Deals!$A$2:$A$355,0))),""))</f>
        <v/>
      </c>
      <c r="AF403" s="35">
        <f>IF($AD403="",DATE(1900,1,1),$AD403)</f>
        <v/>
      </c>
      <c r="AG403" s="35">
        <f>IF($AE403="",DATE(2100,12,31),$AE403)</f>
        <v/>
      </c>
      <c r="AH403" s="22">
        <f>IF($C403="","",IFERROR(IF(INDEX(Deals!$AG$2:$AG$355,MATCH($C403,Deals!$A$2:$A$355,0))=0,"",INDEX(Deals!$AG$2:$AG$355,MATCH($C403,Deals!$A$2:$A$355,0))),""))</f>
        <v/>
      </c>
      <c r="AI403" s="35">
        <f>IF(OR($AH403&lt;&gt;"",AND($AO403&gt;0,$AD403&lt;&gt;"",$AE403&lt;&gt;"")),$AF403,DATE(1900,1,1))</f>
        <v/>
      </c>
      <c r="AJ403" s="35">
        <f>IF($AH403&lt;&gt;"",$AH403,IF(AND($AO403&gt;0,$AD403&lt;&gt;"",$AE403&lt;&gt;""),$AG403,DATE(2100,12,31)))</f>
        <v/>
      </c>
      <c r="AK403" s="32">
        <f>IF($AH403="",$AC403,$AC403*$S403)</f>
        <v/>
      </c>
      <c r="AL403" s="35">
        <f>IF($AH403="",DATE(2100,12,31),$AH403+1)</f>
        <v/>
      </c>
      <c r="AM403" s="35">
        <f>IF($AH403="",DATE(1900,1,1),$AG403)</f>
        <v/>
      </c>
      <c r="AN403" s="32">
        <f>IF($AH403="",0,$AC403*$T403)</f>
        <v/>
      </c>
      <c r="AO403" s="46">
        <f>IF($C403="",0,IFERROR(INDEX(Deals!$BD$2:$BD$355,MATCH($C403,Deals!$A$2:$A$355,0)),0))</f>
        <v/>
      </c>
      <c r="AP403" s="18">
        <f>IF($AO403=0,0,IFERROR(INDEX(Deals!$BJ$2:$BP$355,MATCH($C403,Deals!$A$2:$A$355,0),MATCH($F403,Deals!$BJ$1:$BP$1,0))/COUNTIFS(Assignments!$C$2:$C$769,$C403,Assignments!$F$2:$F$769,$F403,Assignments!$G$2:$G$769,"Active"),0))</f>
        <v/>
      </c>
    </row>
    <row r="404">
      <c r="A404" s="28" t="inlineStr">
        <is>
          <t>Patch</t>
        </is>
      </c>
      <c r="B404" s="16">
        <f>IF($A404="","",IFERROR(INDEX(Roster!$B$2:$B$40,MATCH($A404,Roster!$A$2:$A$40,0)),"?"))</f>
        <v/>
      </c>
      <c r="C404" s="28" t="inlineStr">
        <is>
          <t>Takeover_1</t>
        </is>
      </c>
      <c r="D404" s="16">
        <f>IF($C404="","",IFERROR(IF(INDEX(Deals!$C$2:$C$355,MATCH($C404,Deals!$A$2:$A$355,0))=0,"",INDEX(Deals!$C$2:$C$355,MATCH($C404,Deals!$A$2:$A$355,0))),"?"))</f>
        <v/>
      </c>
      <c r="E404" s="16">
        <f>IF($C404="","",IFERROR(INDEX(Deals!$F$2:$F$355,MATCH($C404,Deals!$A$2:$A$355,0)),"?"))</f>
        <v/>
      </c>
      <c r="F404" s="28" t="inlineStr">
        <is>
          <t>VP</t>
        </is>
      </c>
      <c r="G404" s="28" t="inlineStr">
        <is>
          <t>Inactive</t>
        </is>
      </c>
      <c r="H404" s="31" t="n"/>
      <c r="I404" s="32">
        <f>IF(OR($A404="",$G404&lt;&gt;"Active"),0,IF($H404&lt;&gt;"",$H404,IF($AO404&gt;0,$AP404,IF(AND($R404&lt;&gt;"",IFERROR(INDEX(Templates!$B$3:$H$10,MATCH($R404,Templates!$A$3:$A$10,0),MATCH($F404,Templates!$B$2:$H$2,0)),0)&gt;0),INDEX(Templates!$B$3:$H$10,MATCH($R404,Templates!$A$3:$A$10,0),MATCH($F404,Templates!$B$2:$H$2,0)),IFERROR(INDEX(Settings!$B$8:$B$14,MATCH($F404,Settings!$A$8:$A$14,0)),0)))))</f>
        <v/>
      </c>
      <c r="J404" s="21">
        <f>IF($C404="",0,IFERROR(INDEX(Deals!$H$2:$H$355,MATCH($C404,Deals!$A$2:$A$355,0)),0))</f>
        <v/>
      </c>
      <c r="K404" s="32">
        <f>IF(Settings!$B$4="Yes",$I404*$J404,$I404)</f>
        <v/>
      </c>
      <c r="L404" s="22">
        <f>IF($C404="","",IFERROR(IF(INDEX(Deals!$I$2:$I$355,MATCH($C404,Deals!$A$2:$A$355,0))=0,"",INDEX(Deals!$I$2:$I$355,MATCH($C404,Deals!$A$2:$A$355,0))),""))</f>
        <v/>
      </c>
      <c r="M404" s="22">
        <f>IF($C404="","",IFERROR(IF(INDEX(Deals!$J$2:$J$355,MATCH($C404,Deals!$A$2:$A$355,0))=0,"",INDEX(Deals!$J$2:$J$355,MATCH($C404,Deals!$A$2:$A$355,0))),""))</f>
        <v/>
      </c>
      <c r="N404" s="35">
        <f>IF($L404="",DATE(1900,1,1),$L404)</f>
        <v/>
      </c>
      <c r="O404" s="35">
        <f>IF($M404="",DATE(2100,12,31),$M404)</f>
        <v/>
      </c>
      <c r="P404" s="20" t="inlineStr">
        <is>
          <t>Pencils Down</t>
        </is>
      </c>
      <c r="Q404" s="47" t="inlineStr"/>
      <c r="R404" s="16">
        <f>IF($C404="","",IFERROR(IF(INDEX(Deals!$U$2:$U$355,MATCH($C404,Deals!$A$2:$A$355,0))=0,"",INDEX(Deals!$U$2:$U$355,MATCH($C404,Deals!$A$2:$A$355,0))),""))</f>
        <v/>
      </c>
      <c r="S404" s="34">
        <f>IFERROR(IF($U404="",1,INDEX(Deals!$V$2:$V$355,MATCH($C404,Deals!$A$2:$A$355,0))),1)</f>
        <v/>
      </c>
      <c r="T404" s="34">
        <f>IFERROR(IF($U404="",1,INDEX(Deals!$W$2:$W$355,MATCH($C404,Deals!$A$2:$A$355,0))),1)</f>
        <v/>
      </c>
      <c r="U404" s="22">
        <f>IF($C404="","",IFERROR(IF(INDEX(Deals!$Y$2:$Y$355,MATCH($C404,Deals!$A$2:$A$355,0))=0,"",INDEX(Deals!$Y$2:$Y$355,MATCH($C404,Deals!$A$2:$A$355,0))),""))</f>
        <v/>
      </c>
      <c r="V404" s="35">
        <f>IF(OR($U404&lt;&gt;"",AND($AO404&gt;0,$L404&lt;&gt;"",$M404&lt;&gt;"")),$N404,DATE(1900,1,1))</f>
        <v/>
      </c>
      <c r="W404" s="35">
        <f>IF($U404&lt;&gt;"",$U404,IF(AND($AO404&gt;0,$L404&lt;&gt;"",$M404&lt;&gt;""),$O404,DATE(2100,12,31)))</f>
        <v/>
      </c>
      <c r="X404" s="32">
        <f>IF($U404="",$K404,$K404*$S404)</f>
        <v/>
      </c>
      <c r="Y404" s="35">
        <f>IF($U404="",DATE(2100,12,31),$U404+1)</f>
        <v/>
      </c>
      <c r="Z404" s="35">
        <f>IF($U404="",DATE(1900,1,1),$O404)</f>
        <v/>
      </c>
      <c r="AA404" s="32">
        <f>IF($U404="",0,$K404*$T404)</f>
        <v/>
      </c>
      <c r="AB404" s="21">
        <f>IF($C404="",0,IFERROR(INDEX(Deals!$AD$2:$AD$355,MATCH($C404,Deals!$A$2:$A$355,0)),0))</f>
        <v/>
      </c>
      <c r="AC404" s="32">
        <f>IF(Settings!$B$4="Yes",$I404*$AB404,$I404)</f>
        <v/>
      </c>
      <c r="AD404" s="22">
        <f>IF($C404="","",IFERROR(IF(INDEX(Deals!$AE$2:$AE$355,MATCH($C404,Deals!$A$2:$A$355,0))=0,"",INDEX(Deals!$AE$2:$AE$355,MATCH($C404,Deals!$A$2:$A$355,0))),""))</f>
        <v/>
      </c>
      <c r="AE404" s="22">
        <f>IF($C404="","",IFERROR(IF(INDEX(Deals!$AF$2:$AF$355,MATCH($C404,Deals!$A$2:$A$355,0))=0,"",INDEX(Deals!$AF$2:$AF$355,MATCH($C404,Deals!$A$2:$A$355,0))),""))</f>
        <v/>
      </c>
      <c r="AF404" s="35">
        <f>IF($AD404="",DATE(1900,1,1),$AD404)</f>
        <v/>
      </c>
      <c r="AG404" s="35">
        <f>IF($AE404="",DATE(2100,12,31),$AE404)</f>
        <v/>
      </c>
      <c r="AH404" s="22">
        <f>IF($C404="","",IFERROR(IF(INDEX(Deals!$AG$2:$AG$355,MATCH($C404,Deals!$A$2:$A$355,0))=0,"",INDEX(Deals!$AG$2:$AG$355,MATCH($C404,Deals!$A$2:$A$355,0))),""))</f>
        <v/>
      </c>
      <c r="AI404" s="35">
        <f>IF(OR($AH404&lt;&gt;"",AND($AO404&gt;0,$AD404&lt;&gt;"",$AE404&lt;&gt;"")),$AF404,DATE(1900,1,1))</f>
        <v/>
      </c>
      <c r="AJ404" s="35">
        <f>IF($AH404&lt;&gt;"",$AH404,IF(AND($AO404&gt;0,$AD404&lt;&gt;"",$AE404&lt;&gt;""),$AG404,DATE(2100,12,31)))</f>
        <v/>
      </c>
      <c r="AK404" s="32">
        <f>IF($AH404="",$AC404,$AC404*$S404)</f>
        <v/>
      </c>
      <c r="AL404" s="35">
        <f>IF($AH404="",DATE(2100,12,31),$AH404+1)</f>
        <v/>
      </c>
      <c r="AM404" s="35">
        <f>IF($AH404="",DATE(1900,1,1),$AG404)</f>
        <v/>
      </c>
      <c r="AN404" s="32">
        <f>IF($AH404="",0,$AC404*$T404)</f>
        <v/>
      </c>
      <c r="AO404" s="46">
        <f>IF($C404="",0,IFERROR(INDEX(Deals!$BD$2:$BD$355,MATCH($C404,Deals!$A$2:$A$355,0)),0))</f>
        <v/>
      </c>
      <c r="AP404" s="18">
        <f>IF($AO404=0,0,IFERROR(INDEX(Deals!$BJ$2:$BP$355,MATCH($C404,Deals!$A$2:$A$355,0),MATCH($F404,Deals!$BJ$1:$BP$1,0))/COUNTIFS(Assignments!$C$2:$C$769,$C404,Assignments!$F$2:$F$769,$F404,Assignments!$G$2:$G$769,"Active"),0))</f>
        <v/>
      </c>
    </row>
    <row r="405">
      <c r="A405" s="28" t="inlineStr">
        <is>
          <t>Patch</t>
        </is>
      </c>
      <c r="B405" s="16">
        <f>IF($A405="","",IFERROR(INDEX(Roster!$B$2:$B$40,MATCH($A405,Roster!$A$2:$A$40,0)),"?"))</f>
        <v/>
      </c>
      <c r="C405" s="28" t="inlineStr">
        <is>
          <t>Truman_2</t>
        </is>
      </c>
      <c r="D405" s="16">
        <f>IF($C405="","",IFERROR(IF(INDEX(Deals!$C$2:$C$355,MATCH($C405,Deals!$A$2:$A$355,0))=0,"",INDEX(Deals!$C$2:$C$355,MATCH($C405,Deals!$A$2:$A$355,0))),"?"))</f>
        <v/>
      </c>
      <c r="E405" s="16">
        <f>IF($C405="","",IFERROR(INDEX(Deals!$F$2:$F$355,MATCH($C405,Deals!$A$2:$A$355,0)),"?"))</f>
        <v/>
      </c>
      <c r="F405" s="28" t="inlineStr">
        <is>
          <t>VP</t>
        </is>
      </c>
      <c r="G405" s="28" t="inlineStr">
        <is>
          <t>Active</t>
        </is>
      </c>
      <c r="H405" s="31" t="n"/>
      <c r="I405" s="32">
        <f>IF(OR($A405="",$G405&lt;&gt;"Active"),0,IF($H405&lt;&gt;"",$H405,IF($AO405&gt;0,$AP405,IF(AND($R405&lt;&gt;"",IFERROR(INDEX(Templates!$B$3:$H$10,MATCH($R405,Templates!$A$3:$A$10,0),MATCH($F405,Templates!$B$2:$H$2,0)),0)&gt;0),INDEX(Templates!$B$3:$H$10,MATCH($R405,Templates!$A$3:$A$10,0),MATCH($F405,Templates!$B$2:$H$2,0)),IFERROR(INDEX(Settings!$B$8:$B$14,MATCH($F405,Settings!$A$8:$A$14,0)),0)))))</f>
        <v/>
      </c>
      <c r="J405" s="21">
        <f>IF($C405="",0,IFERROR(INDEX(Deals!$H$2:$H$355,MATCH($C405,Deals!$A$2:$A$355,0)),0))</f>
        <v/>
      </c>
      <c r="K405" s="32">
        <f>IF(Settings!$B$4="Yes",$I405*$J405,$I405)</f>
        <v/>
      </c>
      <c r="L405" s="22">
        <f>IF($C405="","",IFERROR(IF(INDEX(Deals!$I$2:$I$355,MATCH($C405,Deals!$A$2:$A$355,0))=0,"",INDEX(Deals!$I$2:$I$355,MATCH($C405,Deals!$A$2:$A$355,0))),""))</f>
        <v/>
      </c>
      <c r="M405" s="22">
        <f>IF($C405="","",IFERROR(IF(INDEX(Deals!$J$2:$J$355,MATCH($C405,Deals!$A$2:$A$355,0))=0,"",INDEX(Deals!$J$2:$J$355,MATCH($C405,Deals!$A$2:$A$355,0))),""))</f>
        <v/>
      </c>
      <c r="N405" s="35">
        <f>IF($L405="",DATE(1900,1,1),$L405)</f>
        <v/>
      </c>
      <c r="O405" s="35">
        <f>IF($M405="",DATE(2100,12,31),$M405)</f>
        <v/>
      </c>
      <c r="P405" s="20" t="inlineStr">
        <is>
          <t>Ongoing</t>
        </is>
      </c>
      <c r="Q405" s="47" t="inlineStr"/>
      <c r="R405" s="16">
        <f>IF($C405="","",IFERROR(IF(INDEX(Deals!$U$2:$U$355,MATCH($C405,Deals!$A$2:$A$355,0))=0,"",INDEX(Deals!$U$2:$U$355,MATCH($C405,Deals!$A$2:$A$355,0))),""))</f>
        <v/>
      </c>
      <c r="S405" s="34">
        <f>IFERROR(IF($U405="",1,INDEX(Deals!$V$2:$V$355,MATCH($C405,Deals!$A$2:$A$355,0))),1)</f>
        <v/>
      </c>
      <c r="T405" s="34">
        <f>IFERROR(IF($U405="",1,INDEX(Deals!$W$2:$W$355,MATCH($C405,Deals!$A$2:$A$355,0))),1)</f>
        <v/>
      </c>
      <c r="U405" s="22">
        <f>IF($C405="","",IFERROR(IF(INDEX(Deals!$Y$2:$Y$355,MATCH($C405,Deals!$A$2:$A$355,0))=0,"",INDEX(Deals!$Y$2:$Y$355,MATCH($C405,Deals!$A$2:$A$355,0))),""))</f>
        <v/>
      </c>
      <c r="V405" s="35">
        <f>IF(OR($U405&lt;&gt;"",AND($AO405&gt;0,$L405&lt;&gt;"",$M405&lt;&gt;"")),$N405,DATE(1900,1,1))</f>
        <v/>
      </c>
      <c r="W405" s="35">
        <f>IF($U405&lt;&gt;"",$U405,IF(AND($AO405&gt;0,$L405&lt;&gt;"",$M405&lt;&gt;""),$O405,DATE(2100,12,31)))</f>
        <v/>
      </c>
      <c r="X405" s="32">
        <f>IF($U405="",$K405,$K405*$S405)</f>
        <v/>
      </c>
      <c r="Y405" s="35">
        <f>IF($U405="",DATE(2100,12,31),$U405+1)</f>
        <v/>
      </c>
      <c r="Z405" s="35">
        <f>IF($U405="",DATE(1900,1,1),$O405)</f>
        <v/>
      </c>
      <c r="AA405" s="32">
        <f>IF($U405="",0,$K405*$T405)</f>
        <v/>
      </c>
      <c r="AB405" s="21">
        <f>IF($C405="",0,IFERROR(INDEX(Deals!$AD$2:$AD$355,MATCH($C405,Deals!$A$2:$A$355,0)),0))</f>
        <v/>
      </c>
      <c r="AC405" s="32">
        <f>IF(Settings!$B$4="Yes",$I405*$AB405,$I405)</f>
        <v/>
      </c>
      <c r="AD405" s="22">
        <f>IF($C405="","",IFERROR(IF(INDEX(Deals!$AE$2:$AE$355,MATCH($C405,Deals!$A$2:$A$355,0))=0,"",INDEX(Deals!$AE$2:$AE$355,MATCH($C405,Deals!$A$2:$A$355,0))),""))</f>
        <v/>
      </c>
      <c r="AE405" s="22">
        <f>IF($C405="","",IFERROR(IF(INDEX(Deals!$AF$2:$AF$355,MATCH($C405,Deals!$A$2:$A$355,0))=0,"",INDEX(Deals!$AF$2:$AF$355,MATCH($C405,Deals!$A$2:$A$355,0))),""))</f>
        <v/>
      </c>
      <c r="AF405" s="35">
        <f>IF($AD405="",DATE(1900,1,1),$AD405)</f>
        <v/>
      </c>
      <c r="AG405" s="35">
        <f>IF($AE405="",DATE(2100,12,31),$AE405)</f>
        <v/>
      </c>
      <c r="AH405" s="22">
        <f>IF($C405="","",IFERROR(IF(INDEX(Deals!$AG$2:$AG$355,MATCH($C405,Deals!$A$2:$A$355,0))=0,"",INDEX(Deals!$AG$2:$AG$355,MATCH($C405,Deals!$A$2:$A$355,0))),""))</f>
        <v/>
      </c>
      <c r="AI405" s="35">
        <f>IF(OR($AH405&lt;&gt;"",AND($AO405&gt;0,$AD405&lt;&gt;"",$AE405&lt;&gt;"")),$AF405,DATE(1900,1,1))</f>
        <v/>
      </c>
      <c r="AJ405" s="35">
        <f>IF($AH405&lt;&gt;"",$AH405,IF(AND($AO405&gt;0,$AD405&lt;&gt;"",$AE405&lt;&gt;""),$AG405,DATE(2100,12,31)))</f>
        <v/>
      </c>
      <c r="AK405" s="32">
        <f>IF($AH405="",$AC405,$AC405*$S405)</f>
        <v/>
      </c>
      <c r="AL405" s="35">
        <f>IF($AH405="",DATE(2100,12,31),$AH405+1)</f>
        <v/>
      </c>
      <c r="AM405" s="35">
        <f>IF($AH405="",DATE(1900,1,1),$AG405)</f>
        <v/>
      </c>
      <c r="AN405" s="32">
        <f>IF($AH405="",0,$AC405*$T405)</f>
        <v/>
      </c>
      <c r="AO405" s="46">
        <f>IF($C405="",0,IFERROR(INDEX(Deals!$BD$2:$BD$355,MATCH($C405,Deals!$A$2:$A$355,0)),0))</f>
        <v/>
      </c>
      <c r="AP405" s="18">
        <f>IF($AO405=0,0,IFERROR(INDEX(Deals!$BJ$2:$BP$355,MATCH($C405,Deals!$A$2:$A$355,0),MATCH($F405,Deals!$BJ$1:$BP$1,0))/COUNTIFS(Assignments!$C$2:$C$769,$C405,Assignments!$F$2:$F$769,$F405,Assignments!$G$2:$G$769,"Active"),0))</f>
        <v/>
      </c>
    </row>
    <row r="406">
      <c r="A406" s="28" t="inlineStr">
        <is>
          <t>Patch</t>
        </is>
      </c>
      <c r="B406" s="16">
        <f>IF($A406="","",IFERROR(INDEX(Roster!$B$2:$B$40,MATCH($A406,Roster!$A$2:$A$40,0)),"?"))</f>
        <v/>
      </c>
      <c r="C406" s="28" t="inlineStr">
        <is>
          <t>ValorC3_1</t>
        </is>
      </c>
      <c r="D406" s="16">
        <f>IF($C406="","",IFERROR(IF(INDEX(Deals!$C$2:$C$355,MATCH($C406,Deals!$A$2:$A$355,0))=0,"",INDEX(Deals!$C$2:$C$355,MATCH($C406,Deals!$A$2:$A$355,0))),"?"))</f>
        <v/>
      </c>
      <c r="E406" s="16">
        <f>IF($C406="","",IFERROR(INDEX(Deals!$F$2:$F$355,MATCH($C406,Deals!$A$2:$A$355,0)),"?"))</f>
        <v/>
      </c>
      <c r="F406" s="28" t="inlineStr">
        <is>
          <t>VP</t>
        </is>
      </c>
      <c r="G406" s="28" t="inlineStr">
        <is>
          <t>Inactive</t>
        </is>
      </c>
      <c r="H406" s="31" t="n"/>
      <c r="I406" s="32">
        <f>IF(OR($A406="",$G406&lt;&gt;"Active"),0,IF($H406&lt;&gt;"",$H406,IF($AO406&gt;0,$AP406,IF(AND($R406&lt;&gt;"",IFERROR(INDEX(Templates!$B$3:$H$10,MATCH($R406,Templates!$A$3:$A$10,0),MATCH($F406,Templates!$B$2:$H$2,0)),0)&gt;0),INDEX(Templates!$B$3:$H$10,MATCH($R406,Templates!$A$3:$A$10,0),MATCH($F406,Templates!$B$2:$H$2,0)),IFERROR(INDEX(Settings!$B$8:$B$14,MATCH($F406,Settings!$A$8:$A$14,0)),0)))))</f>
        <v/>
      </c>
      <c r="J406" s="21">
        <f>IF($C406="",0,IFERROR(INDEX(Deals!$H$2:$H$355,MATCH($C406,Deals!$A$2:$A$355,0)),0))</f>
        <v/>
      </c>
      <c r="K406" s="32">
        <f>IF(Settings!$B$4="Yes",$I406*$J406,$I406)</f>
        <v/>
      </c>
      <c r="L406" s="22">
        <f>IF($C406="","",IFERROR(IF(INDEX(Deals!$I$2:$I$355,MATCH($C406,Deals!$A$2:$A$355,0))=0,"",INDEX(Deals!$I$2:$I$355,MATCH($C406,Deals!$A$2:$A$355,0))),""))</f>
        <v/>
      </c>
      <c r="M406" s="22">
        <f>IF($C406="","",IFERROR(IF(INDEX(Deals!$J$2:$J$355,MATCH($C406,Deals!$A$2:$A$355,0))=0,"",INDEX(Deals!$J$2:$J$355,MATCH($C406,Deals!$A$2:$A$355,0))),""))</f>
        <v/>
      </c>
      <c r="N406" s="35">
        <f>IF($L406="",DATE(1900,1,1),$L406)</f>
        <v/>
      </c>
      <c r="O406" s="35">
        <f>IF($M406="",DATE(2100,12,31),$M406)</f>
        <v/>
      </c>
      <c r="P406" s="20" t="inlineStr">
        <is>
          <t>Invoicing Soon</t>
        </is>
      </c>
      <c r="Q406" s="47" t="inlineStr"/>
      <c r="R406" s="16">
        <f>IF($C406="","",IFERROR(IF(INDEX(Deals!$U$2:$U$355,MATCH($C406,Deals!$A$2:$A$355,0))=0,"",INDEX(Deals!$U$2:$U$355,MATCH($C406,Deals!$A$2:$A$355,0))),""))</f>
        <v/>
      </c>
      <c r="S406" s="34">
        <f>IFERROR(IF($U406="",1,INDEX(Deals!$V$2:$V$355,MATCH($C406,Deals!$A$2:$A$355,0))),1)</f>
        <v/>
      </c>
      <c r="T406" s="34">
        <f>IFERROR(IF($U406="",1,INDEX(Deals!$W$2:$W$355,MATCH($C406,Deals!$A$2:$A$355,0))),1)</f>
        <v/>
      </c>
      <c r="U406" s="22">
        <f>IF($C406="","",IFERROR(IF(INDEX(Deals!$Y$2:$Y$355,MATCH($C406,Deals!$A$2:$A$355,0))=0,"",INDEX(Deals!$Y$2:$Y$355,MATCH($C406,Deals!$A$2:$A$355,0))),""))</f>
        <v/>
      </c>
      <c r="V406" s="35">
        <f>IF(OR($U406&lt;&gt;"",AND($AO406&gt;0,$L406&lt;&gt;"",$M406&lt;&gt;"")),$N406,DATE(1900,1,1))</f>
        <v/>
      </c>
      <c r="W406" s="35">
        <f>IF($U406&lt;&gt;"",$U406,IF(AND($AO406&gt;0,$L406&lt;&gt;"",$M406&lt;&gt;""),$O406,DATE(2100,12,31)))</f>
        <v/>
      </c>
      <c r="X406" s="32">
        <f>IF($U406="",$K406,$K406*$S406)</f>
        <v/>
      </c>
      <c r="Y406" s="35">
        <f>IF($U406="",DATE(2100,12,31),$U406+1)</f>
        <v/>
      </c>
      <c r="Z406" s="35">
        <f>IF($U406="",DATE(1900,1,1),$O406)</f>
        <v/>
      </c>
      <c r="AA406" s="32">
        <f>IF($U406="",0,$K406*$T406)</f>
        <v/>
      </c>
      <c r="AB406" s="21">
        <f>IF($C406="",0,IFERROR(INDEX(Deals!$AD$2:$AD$355,MATCH($C406,Deals!$A$2:$A$355,0)),0))</f>
        <v/>
      </c>
      <c r="AC406" s="32">
        <f>IF(Settings!$B$4="Yes",$I406*$AB406,$I406)</f>
        <v/>
      </c>
      <c r="AD406" s="22">
        <f>IF($C406="","",IFERROR(IF(INDEX(Deals!$AE$2:$AE$355,MATCH($C406,Deals!$A$2:$A$355,0))=0,"",INDEX(Deals!$AE$2:$AE$355,MATCH($C406,Deals!$A$2:$A$355,0))),""))</f>
        <v/>
      </c>
      <c r="AE406" s="22">
        <f>IF($C406="","",IFERROR(IF(INDEX(Deals!$AF$2:$AF$355,MATCH($C406,Deals!$A$2:$A$355,0))=0,"",INDEX(Deals!$AF$2:$AF$355,MATCH($C406,Deals!$A$2:$A$355,0))),""))</f>
        <v/>
      </c>
      <c r="AF406" s="35">
        <f>IF($AD406="",DATE(1900,1,1),$AD406)</f>
        <v/>
      </c>
      <c r="AG406" s="35">
        <f>IF($AE406="",DATE(2100,12,31),$AE406)</f>
        <v/>
      </c>
      <c r="AH406" s="22">
        <f>IF($C406="","",IFERROR(IF(INDEX(Deals!$AG$2:$AG$355,MATCH($C406,Deals!$A$2:$A$355,0))=0,"",INDEX(Deals!$AG$2:$AG$355,MATCH($C406,Deals!$A$2:$A$355,0))),""))</f>
        <v/>
      </c>
      <c r="AI406" s="35">
        <f>IF(OR($AH406&lt;&gt;"",AND($AO406&gt;0,$AD406&lt;&gt;"",$AE406&lt;&gt;"")),$AF406,DATE(1900,1,1))</f>
        <v/>
      </c>
      <c r="AJ406" s="35">
        <f>IF($AH406&lt;&gt;"",$AH406,IF(AND($AO406&gt;0,$AD406&lt;&gt;"",$AE406&lt;&gt;""),$AG406,DATE(2100,12,31)))</f>
        <v/>
      </c>
      <c r="AK406" s="32">
        <f>IF($AH406="",$AC406,$AC406*$S406)</f>
        <v/>
      </c>
      <c r="AL406" s="35">
        <f>IF($AH406="",DATE(2100,12,31),$AH406+1)</f>
        <v/>
      </c>
      <c r="AM406" s="35">
        <f>IF($AH406="",DATE(1900,1,1),$AG406)</f>
        <v/>
      </c>
      <c r="AN406" s="32">
        <f>IF($AH406="",0,$AC406*$T406)</f>
        <v/>
      </c>
      <c r="AO406" s="46">
        <f>IF($C406="",0,IFERROR(INDEX(Deals!$BD$2:$BD$355,MATCH($C406,Deals!$A$2:$A$355,0)),0))</f>
        <v/>
      </c>
      <c r="AP406" s="18">
        <f>IF($AO406=0,0,IFERROR(INDEX(Deals!$BJ$2:$BP$355,MATCH($C406,Deals!$A$2:$A$355,0),MATCH($F406,Deals!$BJ$1:$BP$1,0))/COUNTIFS(Assignments!$C$2:$C$769,$C406,Assignments!$F$2:$F$769,$F406,Assignments!$G$2:$G$769,"Active"),0))</f>
        <v/>
      </c>
    </row>
    <row r="407">
      <c r="A407" s="28" t="inlineStr">
        <is>
          <t>Patch</t>
        </is>
      </c>
      <c r="B407" s="16">
        <f>IF($A407="","",IFERROR(INDEX(Roster!$B$2:$B$40,MATCH($A407,Roster!$A$2:$A$40,0)),"?"))</f>
        <v/>
      </c>
      <c r="C407" s="28" t="inlineStr">
        <is>
          <t>Veritas_1</t>
        </is>
      </c>
      <c r="D407" s="16">
        <f>IF($C407="","",IFERROR(IF(INDEX(Deals!$C$2:$C$355,MATCH($C407,Deals!$A$2:$A$355,0))=0,"",INDEX(Deals!$C$2:$C$355,MATCH($C407,Deals!$A$2:$A$355,0))),"?"))</f>
        <v/>
      </c>
      <c r="E407" s="16">
        <f>IF($C407="","",IFERROR(INDEX(Deals!$F$2:$F$355,MATCH($C407,Deals!$A$2:$A$355,0)),"?"))</f>
        <v/>
      </c>
      <c r="F407" s="28" t="inlineStr">
        <is>
          <t>VP</t>
        </is>
      </c>
      <c r="G407" s="28" t="inlineStr">
        <is>
          <t>Inactive</t>
        </is>
      </c>
      <c r="H407" s="31" t="n"/>
      <c r="I407" s="32">
        <f>IF(OR($A407="",$G407&lt;&gt;"Active"),0,IF($H407&lt;&gt;"",$H407,IF($AO407&gt;0,$AP407,IF(AND($R407&lt;&gt;"",IFERROR(INDEX(Templates!$B$3:$H$10,MATCH($R407,Templates!$A$3:$A$10,0),MATCH($F407,Templates!$B$2:$H$2,0)),0)&gt;0),INDEX(Templates!$B$3:$H$10,MATCH($R407,Templates!$A$3:$A$10,0),MATCH($F407,Templates!$B$2:$H$2,0)),IFERROR(INDEX(Settings!$B$8:$B$14,MATCH($F407,Settings!$A$8:$A$14,0)),0)))))</f>
        <v/>
      </c>
      <c r="J407" s="21">
        <f>IF($C407="",0,IFERROR(INDEX(Deals!$H$2:$H$355,MATCH($C407,Deals!$A$2:$A$355,0)),0))</f>
        <v/>
      </c>
      <c r="K407" s="32">
        <f>IF(Settings!$B$4="Yes",$I407*$J407,$I407)</f>
        <v/>
      </c>
      <c r="L407" s="22">
        <f>IF($C407="","",IFERROR(IF(INDEX(Deals!$I$2:$I$355,MATCH($C407,Deals!$A$2:$A$355,0))=0,"",INDEX(Deals!$I$2:$I$355,MATCH($C407,Deals!$A$2:$A$355,0))),""))</f>
        <v/>
      </c>
      <c r="M407" s="22">
        <f>IF($C407="","",IFERROR(IF(INDEX(Deals!$J$2:$J$355,MATCH($C407,Deals!$A$2:$A$355,0))=0,"",INDEX(Deals!$J$2:$J$355,MATCH($C407,Deals!$A$2:$A$355,0))),""))</f>
        <v/>
      </c>
      <c r="N407" s="35">
        <f>IF($L407="",DATE(1900,1,1),$L407)</f>
        <v/>
      </c>
      <c r="O407" s="35">
        <f>IF($M407="",DATE(2100,12,31),$M407)</f>
        <v/>
      </c>
      <c r="P407" s="20" t="inlineStr">
        <is>
          <t>Pencils Down</t>
        </is>
      </c>
      <c r="Q407" s="47" t="inlineStr"/>
      <c r="R407" s="16">
        <f>IF($C407="","",IFERROR(IF(INDEX(Deals!$U$2:$U$355,MATCH($C407,Deals!$A$2:$A$355,0))=0,"",INDEX(Deals!$U$2:$U$355,MATCH($C407,Deals!$A$2:$A$355,0))),""))</f>
        <v/>
      </c>
      <c r="S407" s="34">
        <f>IFERROR(IF($U407="",1,INDEX(Deals!$V$2:$V$355,MATCH($C407,Deals!$A$2:$A$355,0))),1)</f>
        <v/>
      </c>
      <c r="T407" s="34">
        <f>IFERROR(IF($U407="",1,INDEX(Deals!$W$2:$W$355,MATCH($C407,Deals!$A$2:$A$355,0))),1)</f>
        <v/>
      </c>
      <c r="U407" s="22">
        <f>IF($C407="","",IFERROR(IF(INDEX(Deals!$Y$2:$Y$355,MATCH($C407,Deals!$A$2:$A$355,0))=0,"",INDEX(Deals!$Y$2:$Y$355,MATCH($C407,Deals!$A$2:$A$355,0))),""))</f>
        <v/>
      </c>
      <c r="V407" s="35">
        <f>IF(OR($U407&lt;&gt;"",AND($AO407&gt;0,$L407&lt;&gt;"",$M407&lt;&gt;"")),$N407,DATE(1900,1,1))</f>
        <v/>
      </c>
      <c r="W407" s="35">
        <f>IF($U407&lt;&gt;"",$U407,IF(AND($AO407&gt;0,$L407&lt;&gt;"",$M407&lt;&gt;""),$O407,DATE(2100,12,31)))</f>
        <v/>
      </c>
      <c r="X407" s="32">
        <f>IF($U407="",$K407,$K407*$S407)</f>
        <v/>
      </c>
      <c r="Y407" s="35">
        <f>IF($U407="",DATE(2100,12,31),$U407+1)</f>
        <v/>
      </c>
      <c r="Z407" s="35">
        <f>IF($U407="",DATE(1900,1,1),$O407)</f>
        <v/>
      </c>
      <c r="AA407" s="32">
        <f>IF($U407="",0,$K407*$T407)</f>
        <v/>
      </c>
      <c r="AB407" s="21">
        <f>IF($C407="",0,IFERROR(INDEX(Deals!$AD$2:$AD$355,MATCH($C407,Deals!$A$2:$A$355,0)),0))</f>
        <v/>
      </c>
      <c r="AC407" s="32">
        <f>IF(Settings!$B$4="Yes",$I407*$AB407,$I407)</f>
        <v/>
      </c>
      <c r="AD407" s="22">
        <f>IF($C407="","",IFERROR(IF(INDEX(Deals!$AE$2:$AE$355,MATCH($C407,Deals!$A$2:$A$355,0))=0,"",INDEX(Deals!$AE$2:$AE$355,MATCH($C407,Deals!$A$2:$A$355,0))),""))</f>
        <v/>
      </c>
      <c r="AE407" s="22">
        <f>IF($C407="","",IFERROR(IF(INDEX(Deals!$AF$2:$AF$355,MATCH($C407,Deals!$A$2:$A$355,0))=0,"",INDEX(Deals!$AF$2:$AF$355,MATCH($C407,Deals!$A$2:$A$355,0))),""))</f>
        <v/>
      </c>
      <c r="AF407" s="35">
        <f>IF($AD407="",DATE(1900,1,1),$AD407)</f>
        <v/>
      </c>
      <c r="AG407" s="35">
        <f>IF($AE407="",DATE(2100,12,31),$AE407)</f>
        <v/>
      </c>
      <c r="AH407" s="22">
        <f>IF($C407="","",IFERROR(IF(INDEX(Deals!$AG$2:$AG$355,MATCH($C407,Deals!$A$2:$A$355,0))=0,"",INDEX(Deals!$AG$2:$AG$355,MATCH($C407,Deals!$A$2:$A$355,0))),""))</f>
        <v/>
      </c>
      <c r="AI407" s="35">
        <f>IF(OR($AH407&lt;&gt;"",AND($AO407&gt;0,$AD407&lt;&gt;"",$AE407&lt;&gt;"")),$AF407,DATE(1900,1,1))</f>
        <v/>
      </c>
      <c r="AJ407" s="35">
        <f>IF($AH407&lt;&gt;"",$AH407,IF(AND($AO407&gt;0,$AD407&lt;&gt;"",$AE407&lt;&gt;""),$AG407,DATE(2100,12,31)))</f>
        <v/>
      </c>
      <c r="AK407" s="32">
        <f>IF($AH407="",$AC407,$AC407*$S407)</f>
        <v/>
      </c>
      <c r="AL407" s="35">
        <f>IF($AH407="",DATE(2100,12,31),$AH407+1)</f>
        <v/>
      </c>
      <c r="AM407" s="35">
        <f>IF($AH407="",DATE(1900,1,1),$AG407)</f>
        <v/>
      </c>
      <c r="AN407" s="32">
        <f>IF($AH407="",0,$AC407*$T407)</f>
        <v/>
      </c>
      <c r="AO407" s="46">
        <f>IF($C407="",0,IFERROR(INDEX(Deals!$BD$2:$BD$355,MATCH($C407,Deals!$A$2:$A$355,0)),0))</f>
        <v/>
      </c>
      <c r="AP407" s="18">
        <f>IF($AO407=0,0,IFERROR(INDEX(Deals!$BJ$2:$BP$355,MATCH($C407,Deals!$A$2:$A$355,0),MATCH($F407,Deals!$BJ$1:$BP$1,0))/COUNTIFS(Assignments!$C$2:$C$769,$C407,Assignments!$F$2:$F$769,$F407,Assignments!$G$2:$G$769,"Active"),0))</f>
        <v/>
      </c>
    </row>
    <row r="408">
      <c r="A408" s="28" t="inlineStr">
        <is>
          <t>Patch</t>
        </is>
      </c>
      <c r="B408" s="16">
        <f>IF($A408="","",IFERROR(INDEX(Roster!$B$2:$B$40,MATCH($A408,Roster!$A$2:$A$40,0)),"?"))</f>
        <v/>
      </c>
      <c r="C408" s="28" t="inlineStr">
        <is>
          <t>Wind_3</t>
        </is>
      </c>
      <c r="D408" s="16">
        <f>IF($C408="","",IFERROR(IF(INDEX(Deals!$C$2:$C$355,MATCH($C408,Deals!$A$2:$A$355,0))=0,"",INDEX(Deals!$C$2:$C$355,MATCH($C408,Deals!$A$2:$A$355,0))),"?"))</f>
        <v/>
      </c>
      <c r="E408" s="16">
        <f>IF($C408="","",IFERROR(INDEX(Deals!$F$2:$F$355,MATCH($C408,Deals!$A$2:$A$355,0)),"?"))</f>
        <v/>
      </c>
      <c r="F408" s="28" t="inlineStr">
        <is>
          <t>VP</t>
        </is>
      </c>
      <c r="G408" s="28" t="inlineStr">
        <is>
          <t>Active</t>
        </is>
      </c>
      <c r="H408" s="31" t="n"/>
      <c r="I408" s="32">
        <f>IF(OR($A408="",$G408&lt;&gt;"Active"),0,IF($H408&lt;&gt;"",$H408,IF($AO408&gt;0,$AP408,IF(AND($R408&lt;&gt;"",IFERROR(INDEX(Templates!$B$3:$H$10,MATCH($R408,Templates!$A$3:$A$10,0),MATCH($F408,Templates!$B$2:$H$2,0)),0)&gt;0),INDEX(Templates!$B$3:$H$10,MATCH($R408,Templates!$A$3:$A$10,0),MATCH($F408,Templates!$B$2:$H$2,0)),IFERROR(INDEX(Settings!$B$8:$B$14,MATCH($F408,Settings!$A$8:$A$14,0)),0)))))</f>
        <v/>
      </c>
      <c r="J408" s="21">
        <f>IF($C408="",0,IFERROR(INDEX(Deals!$H$2:$H$355,MATCH($C408,Deals!$A$2:$A$355,0)),0))</f>
        <v/>
      </c>
      <c r="K408" s="32">
        <f>IF(Settings!$B$4="Yes",$I408*$J408,$I408)</f>
        <v/>
      </c>
      <c r="L408" s="22">
        <f>IF($C408="","",IFERROR(IF(INDEX(Deals!$I$2:$I$355,MATCH($C408,Deals!$A$2:$A$355,0))=0,"",INDEX(Deals!$I$2:$I$355,MATCH($C408,Deals!$A$2:$A$355,0))),""))</f>
        <v/>
      </c>
      <c r="M408" s="22">
        <f>IF($C408="","",IFERROR(IF(INDEX(Deals!$J$2:$J$355,MATCH($C408,Deals!$A$2:$A$355,0))=0,"",INDEX(Deals!$J$2:$J$355,MATCH($C408,Deals!$A$2:$A$355,0))),""))</f>
        <v/>
      </c>
      <c r="N408" s="35">
        <f>IF($L408="",DATE(1900,1,1),$L408)</f>
        <v/>
      </c>
      <c r="O408" s="35">
        <f>IF($M408="",DATE(2100,12,31),$M408)</f>
        <v/>
      </c>
      <c r="P408" s="20" t="inlineStr">
        <is>
          <t>Waiting Greenlight to kick off diligence.</t>
        </is>
      </c>
      <c r="Q408" s="47" t="inlineStr"/>
      <c r="R408" s="16">
        <f>IF($C408="","",IFERROR(IF(INDEX(Deals!$U$2:$U$355,MATCH($C408,Deals!$A$2:$A$355,0))=0,"",INDEX(Deals!$U$2:$U$355,MATCH($C408,Deals!$A$2:$A$355,0))),""))</f>
        <v/>
      </c>
      <c r="S408" s="34">
        <f>IFERROR(IF($U408="",1,INDEX(Deals!$V$2:$V$355,MATCH($C408,Deals!$A$2:$A$355,0))),1)</f>
        <v/>
      </c>
      <c r="T408" s="34">
        <f>IFERROR(IF($U408="",1,INDEX(Deals!$W$2:$W$355,MATCH($C408,Deals!$A$2:$A$355,0))),1)</f>
        <v/>
      </c>
      <c r="U408" s="22">
        <f>IF($C408="","",IFERROR(IF(INDEX(Deals!$Y$2:$Y$355,MATCH($C408,Deals!$A$2:$A$355,0))=0,"",INDEX(Deals!$Y$2:$Y$355,MATCH($C408,Deals!$A$2:$A$355,0))),""))</f>
        <v/>
      </c>
      <c r="V408" s="35">
        <f>IF(OR($U408&lt;&gt;"",AND($AO408&gt;0,$L408&lt;&gt;"",$M408&lt;&gt;"")),$N408,DATE(1900,1,1))</f>
        <v/>
      </c>
      <c r="W408" s="35">
        <f>IF($U408&lt;&gt;"",$U408,IF(AND($AO408&gt;0,$L408&lt;&gt;"",$M408&lt;&gt;""),$O408,DATE(2100,12,31)))</f>
        <v/>
      </c>
      <c r="X408" s="32">
        <f>IF($U408="",$K408,$K408*$S408)</f>
        <v/>
      </c>
      <c r="Y408" s="35">
        <f>IF($U408="",DATE(2100,12,31),$U408+1)</f>
        <v/>
      </c>
      <c r="Z408" s="35">
        <f>IF($U408="",DATE(1900,1,1),$O408)</f>
        <v/>
      </c>
      <c r="AA408" s="32">
        <f>IF($U408="",0,$K408*$T408)</f>
        <v/>
      </c>
      <c r="AB408" s="21">
        <f>IF($C408="",0,IFERROR(INDEX(Deals!$AD$2:$AD$355,MATCH($C408,Deals!$A$2:$A$355,0)),0))</f>
        <v/>
      </c>
      <c r="AC408" s="32">
        <f>IF(Settings!$B$4="Yes",$I408*$AB408,$I408)</f>
        <v/>
      </c>
      <c r="AD408" s="22">
        <f>IF($C408="","",IFERROR(IF(INDEX(Deals!$AE$2:$AE$355,MATCH($C408,Deals!$A$2:$A$355,0))=0,"",INDEX(Deals!$AE$2:$AE$355,MATCH($C408,Deals!$A$2:$A$355,0))),""))</f>
        <v/>
      </c>
      <c r="AE408" s="22">
        <f>IF($C408="","",IFERROR(IF(INDEX(Deals!$AF$2:$AF$355,MATCH($C408,Deals!$A$2:$A$355,0))=0,"",INDEX(Deals!$AF$2:$AF$355,MATCH($C408,Deals!$A$2:$A$355,0))),""))</f>
        <v/>
      </c>
      <c r="AF408" s="35">
        <f>IF($AD408="",DATE(1900,1,1),$AD408)</f>
        <v/>
      </c>
      <c r="AG408" s="35">
        <f>IF($AE408="",DATE(2100,12,31),$AE408)</f>
        <v/>
      </c>
      <c r="AH408" s="22">
        <f>IF($C408="","",IFERROR(IF(INDEX(Deals!$AG$2:$AG$355,MATCH($C408,Deals!$A$2:$A$355,0))=0,"",INDEX(Deals!$AG$2:$AG$355,MATCH($C408,Deals!$A$2:$A$355,0))),""))</f>
        <v/>
      </c>
      <c r="AI408" s="35">
        <f>IF(OR($AH408&lt;&gt;"",AND($AO408&gt;0,$AD408&lt;&gt;"",$AE408&lt;&gt;"")),$AF408,DATE(1900,1,1))</f>
        <v/>
      </c>
      <c r="AJ408" s="35">
        <f>IF($AH408&lt;&gt;"",$AH408,IF(AND($AO408&gt;0,$AD408&lt;&gt;"",$AE408&lt;&gt;""),$AG408,DATE(2100,12,31)))</f>
        <v/>
      </c>
      <c r="AK408" s="32">
        <f>IF($AH408="",$AC408,$AC408*$S408)</f>
        <v/>
      </c>
      <c r="AL408" s="35">
        <f>IF($AH408="",DATE(2100,12,31),$AH408+1)</f>
        <v/>
      </c>
      <c r="AM408" s="35">
        <f>IF($AH408="",DATE(1900,1,1),$AG408)</f>
        <v/>
      </c>
      <c r="AN408" s="32">
        <f>IF($AH408="",0,$AC408*$T408)</f>
        <v/>
      </c>
      <c r="AO408" s="46">
        <f>IF($C408="",0,IFERROR(INDEX(Deals!$BD$2:$BD$355,MATCH($C408,Deals!$A$2:$A$355,0)),0))</f>
        <v/>
      </c>
      <c r="AP408" s="18">
        <f>IF($AO408=0,0,IFERROR(INDEX(Deals!$BJ$2:$BP$355,MATCH($C408,Deals!$A$2:$A$355,0),MATCH($F408,Deals!$BJ$1:$BP$1,0))/COUNTIFS(Assignments!$C$2:$C$769,$C408,Assignments!$F$2:$F$769,$F408,Assignments!$G$2:$G$769,"Active"),0))</f>
        <v/>
      </c>
    </row>
    <row r="409">
      <c r="A409" s="28" t="inlineStr">
        <is>
          <t>Patch</t>
        </is>
      </c>
      <c r="B409" s="16">
        <f>IF($A409="","",IFERROR(INDEX(Roster!$B$2:$B$40,MATCH($A409,Roster!$A$2:$A$40,0)),"?"))</f>
        <v/>
      </c>
      <c r="C409" s="28" t="inlineStr">
        <is>
          <t>Zircon 2_1</t>
        </is>
      </c>
      <c r="D409" s="16">
        <f>IF($C409="","",IFERROR(IF(INDEX(Deals!$C$2:$C$355,MATCH($C409,Deals!$A$2:$A$355,0))=0,"",INDEX(Deals!$C$2:$C$355,MATCH($C409,Deals!$A$2:$A$355,0))),"?"))</f>
        <v/>
      </c>
      <c r="E409" s="16">
        <f>IF($C409="","",IFERROR(INDEX(Deals!$F$2:$F$355,MATCH($C409,Deals!$A$2:$A$355,0)),"?"))</f>
        <v/>
      </c>
      <c r="F409" s="28" t="inlineStr">
        <is>
          <t>VP</t>
        </is>
      </c>
      <c r="G409" s="28" t="inlineStr">
        <is>
          <t>Inactive</t>
        </is>
      </c>
      <c r="H409" s="31" t="n"/>
      <c r="I409" s="32">
        <f>IF(OR($A409="",$G409&lt;&gt;"Active"),0,IF($H409&lt;&gt;"",$H409,IF($AO409&gt;0,$AP409,IF(AND($R409&lt;&gt;"",IFERROR(INDEX(Templates!$B$3:$H$10,MATCH($R409,Templates!$A$3:$A$10,0),MATCH($F409,Templates!$B$2:$H$2,0)),0)&gt;0),INDEX(Templates!$B$3:$H$10,MATCH($R409,Templates!$A$3:$A$10,0),MATCH($F409,Templates!$B$2:$H$2,0)),IFERROR(INDEX(Settings!$B$8:$B$14,MATCH($F409,Settings!$A$8:$A$14,0)),0)))))</f>
        <v/>
      </c>
      <c r="J409" s="21">
        <f>IF($C409="",0,IFERROR(INDEX(Deals!$H$2:$H$355,MATCH($C409,Deals!$A$2:$A$355,0)),0))</f>
        <v/>
      </c>
      <c r="K409" s="32">
        <f>IF(Settings!$B$4="Yes",$I409*$J409,$I409)</f>
        <v/>
      </c>
      <c r="L409" s="22">
        <f>IF($C409="","",IFERROR(IF(INDEX(Deals!$I$2:$I$355,MATCH($C409,Deals!$A$2:$A$355,0))=0,"",INDEX(Deals!$I$2:$I$355,MATCH($C409,Deals!$A$2:$A$355,0))),""))</f>
        <v/>
      </c>
      <c r="M409" s="22">
        <f>IF($C409="","",IFERROR(IF(INDEX(Deals!$J$2:$J$355,MATCH($C409,Deals!$A$2:$A$355,0))=0,"",INDEX(Deals!$J$2:$J$355,MATCH($C409,Deals!$A$2:$A$355,0))),""))</f>
        <v/>
      </c>
      <c r="N409" s="35">
        <f>IF($L409="",DATE(1900,1,1),$L409)</f>
        <v/>
      </c>
      <c r="O409" s="35">
        <f>IF($M409="",DATE(2100,12,31),$M409)</f>
        <v/>
      </c>
      <c r="P409" s="20" t="inlineStr">
        <is>
          <t>Closed</t>
        </is>
      </c>
      <c r="Q409" s="47" t="inlineStr"/>
      <c r="R409" s="16">
        <f>IF($C409="","",IFERROR(IF(INDEX(Deals!$U$2:$U$355,MATCH($C409,Deals!$A$2:$A$355,0))=0,"",INDEX(Deals!$U$2:$U$355,MATCH($C409,Deals!$A$2:$A$355,0))),""))</f>
        <v/>
      </c>
      <c r="S409" s="34">
        <f>IFERROR(IF($U409="",1,INDEX(Deals!$V$2:$V$355,MATCH($C409,Deals!$A$2:$A$355,0))),1)</f>
        <v/>
      </c>
      <c r="T409" s="34">
        <f>IFERROR(IF($U409="",1,INDEX(Deals!$W$2:$W$355,MATCH($C409,Deals!$A$2:$A$355,0))),1)</f>
        <v/>
      </c>
      <c r="U409" s="22">
        <f>IF($C409="","",IFERROR(IF(INDEX(Deals!$Y$2:$Y$355,MATCH($C409,Deals!$A$2:$A$355,0))=0,"",INDEX(Deals!$Y$2:$Y$355,MATCH($C409,Deals!$A$2:$A$355,0))),""))</f>
        <v/>
      </c>
      <c r="V409" s="35">
        <f>IF(OR($U409&lt;&gt;"",AND($AO409&gt;0,$L409&lt;&gt;"",$M409&lt;&gt;"")),$N409,DATE(1900,1,1))</f>
        <v/>
      </c>
      <c r="W409" s="35">
        <f>IF($U409&lt;&gt;"",$U409,IF(AND($AO409&gt;0,$L409&lt;&gt;"",$M409&lt;&gt;""),$O409,DATE(2100,12,31)))</f>
        <v/>
      </c>
      <c r="X409" s="32">
        <f>IF($U409="",$K409,$K409*$S409)</f>
        <v/>
      </c>
      <c r="Y409" s="35">
        <f>IF($U409="",DATE(2100,12,31),$U409+1)</f>
        <v/>
      </c>
      <c r="Z409" s="35">
        <f>IF($U409="",DATE(1900,1,1),$O409)</f>
        <v/>
      </c>
      <c r="AA409" s="32">
        <f>IF($U409="",0,$K409*$T409)</f>
        <v/>
      </c>
      <c r="AB409" s="21">
        <f>IF($C409="",0,IFERROR(INDEX(Deals!$AD$2:$AD$355,MATCH($C409,Deals!$A$2:$A$355,0)),0))</f>
        <v/>
      </c>
      <c r="AC409" s="32">
        <f>IF(Settings!$B$4="Yes",$I409*$AB409,$I409)</f>
        <v/>
      </c>
      <c r="AD409" s="22">
        <f>IF($C409="","",IFERROR(IF(INDEX(Deals!$AE$2:$AE$355,MATCH($C409,Deals!$A$2:$A$355,0))=0,"",INDEX(Deals!$AE$2:$AE$355,MATCH($C409,Deals!$A$2:$A$355,0))),""))</f>
        <v/>
      </c>
      <c r="AE409" s="22">
        <f>IF($C409="","",IFERROR(IF(INDEX(Deals!$AF$2:$AF$355,MATCH($C409,Deals!$A$2:$A$355,0))=0,"",INDEX(Deals!$AF$2:$AF$355,MATCH($C409,Deals!$A$2:$A$355,0))),""))</f>
        <v/>
      </c>
      <c r="AF409" s="35">
        <f>IF($AD409="",DATE(1900,1,1),$AD409)</f>
        <v/>
      </c>
      <c r="AG409" s="35">
        <f>IF($AE409="",DATE(2100,12,31),$AE409)</f>
        <v/>
      </c>
      <c r="AH409" s="22">
        <f>IF($C409="","",IFERROR(IF(INDEX(Deals!$AG$2:$AG$355,MATCH($C409,Deals!$A$2:$A$355,0))=0,"",INDEX(Deals!$AG$2:$AG$355,MATCH($C409,Deals!$A$2:$A$355,0))),""))</f>
        <v/>
      </c>
      <c r="AI409" s="35">
        <f>IF(OR($AH409&lt;&gt;"",AND($AO409&gt;0,$AD409&lt;&gt;"",$AE409&lt;&gt;"")),$AF409,DATE(1900,1,1))</f>
        <v/>
      </c>
      <c r="AJ409" s="35">
        <f>IF($AH409&lt;&gt;"",$AH409,IF(AND($AO409&gt;0,$AD409&lt;&gt;"",$AE409&lt;&gt;""),$AG409,DATE(2100,12,31)))</f>
        <v/>
      </c>
      <c r="AK409" s="32">
        <f>IF($AH409="",$AC409,$AC409*$S409)</f>
        <v/>
      </c>
      <c r="AL409" s="35">
        <f>IF($AH409="",DATE(2100,12,31),$AH409+1)</f>
        <v/>
      </c>
      <c r="AM409" s="35">
        <f>IF($AH409="",DATE(1900,1,1),$AG409)</f>
        <v/>
      </c>
      <c r="AN409" s="32">
        <f>IF($AH409="",0,$AC409*$T409)</f>
        <v/>
      </c>
      <c r="AO409" s="46">
        <f>IF($C409="",0,IFERROR(INDEX(Deals!$BD$2:$BD$355,MATCH($C409,Deals!$A$2:$A$355,0)),0))</f>
        <v/>
      </c>
      <c r="AP409" s="18">
        <f>IF($AO409=0,0,IFERROR(INDEX(Deals!$BJ$2:$BP$355,MATCH($C409,Deals!$A$2:$A$355,0),MATCH($F409,Deals!$BJ$1:$BP$1,0))/COUNTIFS(Assignments!$C$2:$C$769,$C409,Assignments!$F$2:$F$769,$F409,Assignments!$G$2:$G$769,"Active"),0))</f>
        <v/>
      </c>
    </row>
    <row r="410">
      <c r="A410" s="28" t="inlineStr">
        <is>
          <t>Patch</t>
        </is>
      </c>
      <c r="B410" s="16">
        <f>IF($A410="","",IFERROR(INDEX(Roster!$B$2:$B$40,MATCH($A410,Roster!$A$2:$A$40,0)),"?"))</f>
        <v/>
      </c>
      <c r="C410" s="28" t="inlineStr">
        <is>
          <t>Zora_1</t>
        </is>
      </c>
      <c r="D410" s="16">
        <f>IF($C410="","",IFERROR(IF(INDEX(Deals!$C$2:$C$355,MATCH($C410,Deals!$A$2:$A$355,0))=0,"",INDEX(Deals!$C$2:$C$355,MATCH($C410,Deals!$A$2:$A$355,0))),"?"))</f>
        <v/>
      </c>
      <c r="E410" s="16">
        <f>IF($C410="","",IFERROR(INDEX(Deals!$F$2:$F$355,MATCH($C410,Deals!$A$2:$A$355,0)),"?"))</f>
        <v/>
      </c>
      <c r="F410" s="28" t="inlineStr">
        <is>
          <t>VP</t>
        </is>
      </c>
      <c r="G410" s="28" t="inlineStr">
        <is>
          <t>Inactive</t>
        </is>
      </c>
      <c r="H410" s="31" t="n"/>
      <c r="I410" s="32">
        <f>IF(OR($A410="",$G410&lt;&gt;"Active"),0,IF($H410&lt;&gt;"",$H410,IF($AO410&gt;0,$AP410,IF(AND($R410&lt;&gt;"",IFERROR(INDEX(Templates!$B$3:$H$10,MATCH($R410,Templates!$A$3:$A$10,0),MATCH($F410,Templates!$B$2:$H$2,0)),0)&gt;0),INDEX(Templates!$B$3:$H$10,MATCH($R410,Templates!$A$3:$A$10,0),MATCH($F410,Templates!$B$2:$H$2,0)),IFERROR(INDEX(Settings!$B$8:$B$14,MATCH($F410,Settings!$A$8:$A$14,0)),0)))))</f>
        <v/>
      </c>
      <c r="J410" s="21">
        <f>IF($C410="",0,IFERROR(INDEX(Deals!$H$2:$H$355,MATCH($C410,Deals!$A$2:$A$355,0)),0))</f>
        <v/>
      </c>
      <c r="K410" s="32">
        <f>IF(Settings!$B$4="Yes",$I410*$J410,$I410)</f>
        <v/>
      </c>
      <c r="L410" s="22">
        <f>IF($C410="","",IFERROR(IF(INDEX(Deals!$I$2:$I$355,MATCH($C410,Deals!$A$2:$A$355,0))=0,"",INDEX(Deals!$I$2:$I$355,MATCH($C410,Deals!$A$2:$A$355,0))),""))</f>
        <v/>
      </c>
      <c r="M410" s="22">
        <f>IF($C410="","",IFERROR(IF(INDEX(Deals!$J$2:$J$355,MATCH($C410,Deals!$A$2:$A$355,0))=0,"",INDEX(Deals!$J$2:$J$355,MATCH($C410,Deals!$A$2:$A$355,0))),""))</f>
        <v/>
      </c>
      <c r="N410" s="35">
        <f>IF($L410="",DATE(1900,1,1),$L410)</f>
        <v/>
      </c>
      <c r="O410" s="35">
        <f>IF($M410="",DATE(2100,12,31),$M410)</f>
        <v/>
      </c>
      <c r="P410" s="20" t="inlineStr">
        <is>
          <t>Pencils Down</t>
        </is>
      </c>
      <c r="Q410" s="47" t="inlineStr"/>
      <c r="R410" s="16">
        <f>IF($C410="","",IFERROR(IF(INDEX(Deals!$U$2:$U$355,MATCH($C410,Deals!$A$2:$A$355,0))=0,"",INDEX(Deals!$U$2:$U$355,MATCH($C410,Deals!$A$2:$A$355,0))),""))</f>
        <v/>
      </c>
      <c r="S410" s="34">
        <f>IFERROR(IF($U410="",1,INDEX(Deals!$V$2:$V$355,MATCH($C410,Deals!$A$2:$A$355,0))),1)</f>
        <v/>
      </c>
      <c r="T410" s="34">
        <f>IFERROR(IF($U410="",1,INDEX(Deals!$W$2:$W$355,MATCH($C410,Deals!$A$2:$A$355,0))),1)</f>
        <v/>
      </c>
      <c r="U410" s="22">
        <f>IF($C410="","",IFERROR(IF(INDEX(Deals!$Y$2:$Y$355,MATCH($C410,Deals!$A$2:$A$355,0))=0,"",INDEX(Deals!$Y$2:$Y$355,MATCH($C410,Deals!$A$2:$A$355,0))),""))</f>
        <v/>
      </c>
      <c r="V410" s="35">
        <f>IF(OR($U410&lt;&gt;"",AND($AO410&gt;0,$L410&lt;&gt;"",$M410&lt;&gt;"")),$N410,DATE(1900,1,1))</f>
        <v/>
      </c>
      <c r="W410" s="35">
        <f>IF($U410&lt;&gt;"",$U410,IF(AND($AO410&gt;0,$L410&lt;&gt;"",$M410&lt;&gt;""),$O410,DATE(2100,12,31)))</f>
        <v/>
      </c>
      <c r="X410" s="32">
        <f>IF($U410="",$K410,$K410*$S410)</f>
        <v/>
      </c>
      <c r="Y410" s="35">
        <f>IF($U410="",DATE(2100,12,31),$U410+1)</f>
        <v/>
      </c>
      <c r="Z410" s="35">
        <f>IF($U410="",DATE(1900,1,1),$O410)</f>
        <v/>
      </c>
      <c r="AA410" s="32">
        <f>IF($U410="",0,$K410*$T410)</f>
        <v/>
      </c>
      <c r="AB410" s="21">
        <f>IF($C410="",0,IFERROR(INDEX(Deals!$AD$2:$AD$355,MATCH($C410,Deals!$A$2:$A$355,0)),0))</f>
        <v/>
      </c>
      <c r="AC410" s="32">
        <f>IF(Settings!$B$4="Yes",$I410*$AB410,$I410)</f>
        <v/>
      </c>
      <c r="AD410" s="22">
        <f>IF($C410="","",IFERROR(IF(INDEX(Deals!$AE$2:$AE$355,MATCH($C410,Deals!$A$2:$A$355,0))=0,"",INDEX(Deals!$AE$2:$AE$355,MATCH($C410,Deals!$A$2:$A$355,0))),""))</f>
        <v/>
      </c>
      <c r="AE410" s="22">
        <f>IF($C410="","",IFERROR(IF(INDEX(Deals!$AF$2:$AF$355,MATCH($C410,Deals!$A$2:$A$355,0))=0,"",INDEX(Deals!$AF$2:$AF$355,MATCH($C410,Deals!$A$2:$A$355,0))),""))</f>
        <v/>
      </c>
      <c r="AF410" s="35">
        <f>IF($AD410="",DATE(1900,1,1),$AD410)</f>
        <v/>
      </c>
      <c r="AG410" s="35">
        <f>IF($AE410="",DATE(2100,12,31),$AE410)</f>
        <v/>
      </c>
      <c r="AH410" s="22">
        <f>IF($C410="","",IFERROR(IF(INDEX(Deals!$AG$2:$AG$355,MATCH($C410,Deals!$A$2:$A$355,0))=0,"",INDEX(Deals!$AG$2:$AG$355,MATCH($C410,Deals!$A$2:$A$355,0))),""))</f>
        <v/>
      </c>
      <c r="AI410" s="35">
        <f>IF(OR($AH410&lt;&gt;"",AND($AO410&gt;0,$AD410&lt;&gt;"",$AE410&lt;&gt;"")),$AF410,DATE(1900,1,1))</f>
        <v/>
      </c>
      <c r="AJ410" s="35">
        <f>IF($AH410&lt;&gt;"",$AH410,IF(AND($AO410&gt;0,$AD410&lt;&gt;"",$AE410&lt;&gt;""),$AG410,DATE(2100,12,31)))</f>
        <v/>
      </c>
      <c r="AK410" s="32">
        <f>IF($AH410="",$AC410,$AC410*$S410)</f>
        <v/>
      </c>
      <c r="AL410" s="35">
        <f>IF($AH410="",DATE(2100,12,31),$AH410+1)</f>
        <v/>
      </c>
      <c r="AM410" s="35">
        <f>IF($AH410="",DATE(1900,1,1),$AG410)</f>
        <v/>
      </c>
      <c r="AN410" s="32">
        <f>IF($AH410="",0,$AC410*$T410)</f>
        <v/>
      </c>
      <c r="AO410" s="46">
        <f>IF($C410="",0,IFERROR(INDEX(Deals!$BD$2:$BD$355,MATCH($C410,Deals!$A$2:$A$355,0)),0))</f>
        <v/>
      </c>
      <c r="AP410" s="18">
        <f>IF($AO410=0,0,IFERROR(INDEX(Deals!$BJ$2:$BP$355,MATCH($C410,Deals!$A$2:$A$355,0),MATCH($F410,Deals!$BJ$1:$BP$1,0))/COUNTIFS(Assignments!$C$2:$C$769,$C410,Assignments!$F$2:$F$769,$F410,Assignments!$G$2:$G$769,"Active"),0))</f>
        <v/>
      </c>
    </row>
    <row r="411">
      <c r="A411" s="28" t="inlineStr">
        <is>
          <t>Vidhi</t>
        </is>
      </c>
      <c r="B411" s="16">
        <f>IF($A411="","",IFERROR(INDEX(Roster!$B$2:$B$40,MATCH($A411,Roster!$A$2:$A$40,0)),"?"))</f>
        <v/>
      </c>
      <c r="C411" s="28" t="inlineStr">
        <is>
          <t>Beacon_3</t>
        </is>
      </c>
      <c r="D411" s="16">
        <f>IF($C411="","",IFERROR(IF(INDEX(Deals!$C$2:$C$355,MATCH($C411,Deals!$A$2:$A$355,0))=0,"",INDEX(Deals!$C$2:$C$355,MATCH($C411,Deals!$A$2:$A$355,0))),"?"))</f>
        <v/>
      </c>
      <c r="E411" s="16">
        <f>IF($C411="","",IFERROR(INDEX(Deals!$F$2:$F$355,MATCH($C411,Deals!$A$2:$A$355,0)),"?"))</f>
        <v/>
      </c>
      <c r="F411" s="28" t="inlineStr">
        <is>
          <t>Senior Associate</t>
        </is>
      </c>
      <c r="G411" s="28" t="inlineStr">
        <is>
          <t>Inactive</t>
        </is>
      </c>
      <c r="H411" s="31" t="n"/>
      <c r="I411" s="32">
        <f>IF(OR($A411="",$G411&lt;&gt;"Active"),0,IF($H411&lt;&gt;"",$H411,IF($AO411&gt;0,$AP411,IF(AND($R411&lt;&gt;"",IFERROR(INDEX(Templates!$B$3:$H$10,MATCH($R411,Templates!$A$3:$A$10,0),MATCH($F411,Templates!$B$2:$H$2,0)),0)&gt;0),INDEX(Templates!$B$3:$H$10,MATCH($R411,Templates!$A$3:$A$10,0),MATCH($F411,Templates!$B$2:$H$2,0)),IFERROR(INDEX(Settings!$B$8:$B$14,MATCH($F411,Settings!$A$8:$A$14,0)),0)))))</f>
        <v/>
      </c>
      <c r="J411" s="21">
        <f>IF($C411="",0,IFERROR(INDEX(Deals!$H$2:$H$355,MATCH($C411,Deals!$A$2:$A$355,0)),0))</f>
        <v/>
      </c>
      <c r="K411" s="32">
        <f>IF(Settings!$B$4="Yes",$I411*$J411,$I411)</f>
        <v/>
      </c>
      <c r="L411" s="22">
        <f>IF($C411="","",IFERROR(IF(INDEX(Deals!$I$2:$I$355,MATCH($C411,Deals!$A$2:$A$355,0))=0,"",INDEX(Deals!$I$2:$I$355,MATCH($C411,Deals!$A$2:$A$355,0))),""))</f>
        <v/>
      </c>
      <c r="M411" s="22">
        <f>IF($C411="","",IFERROR(IF(INDEX(Deals!$J$2:$J$355,MATCH($C411,Deals!$A$2:$A$355,0))=0,"",INDEX(Deals!$J$2:$J$355,MATCH($C411,Deals!$A$2:$A$355,0))),""))</f>
        <v/>
      </c>
      <c r="N411" s="35">
        <f>IF($L411="",DATE(1900,1,1),$L411)</f>
        <v/>
      </c>
      <c r="O411" s="35">
        <f>IF($M411="",DATE(2100,12,31),$M411)</f>
        <v/>
      </c>
      <c r="P411" s="20" t="inlineStr"/>
      <c r="Q411" s="47" t="inlineStr">
        <is>
          <t>Deal lifecycle is Dead</t>
        </is>
      </c>
      <c r="R411" s="16">
        <f>IF($C411="","",IFERROR(IF(INDEX(Deals!$U$2:$U$355,MATCH($C411,Deals!$A$2:$A$355,0))=0,"",INDEX(Deals!$U$2:$U$355,MATCH($C411,Deals!$A$2:$A$355,0))),""))</f>
        <v/>
      </c>
      <c r="S411" s="34">
        <f>IFERROR(IF($U411="",1,INDEX(Deals!$V$2:$V$355,MATCH($C411,Deals!$A$2:$A$355,0))),1)</f>
        <v/>
      </c>
      <c r="T411" s="34">
        <f>IFERROR(IF($U411="",1,INDEX(Deals!$W$2:$W$355,MATCH($C411,Deals!$A$2:$A$355,0))),1)</f>
        <v/>
      </c>
      <c r="U411" s="22">
        <f>IF($C411="","",IFERROR(IF(INDEX(Deals!$Y$2:$Y$355,MATCH($C411,Deals!$A$2:$A$355,0))=0,"",INDEX(Deals!$Y$2:$Y$355,MATCH($C411,Deals!$A$2:$A$355,0))),""))</f>
        <v/>
      </c>
      <c r="V411" s="35">
        <f>IF(OR($U411&lt;&gt;"",AND($AO411&gt;0,$L411&lt;&gt;"",$M411&lt;&gt;"")),$N411,DATE(1900,1,1))</f>
        <v/>
      </c>
      <c r="W411" s="35">
        <f>IF($U411&lt;&gt;"",$U411,IF(AND($AO411&gt;0,$L411&lt;&gt;"",$M411&lt;&gt;""),$O411,DATE(2100,12,31)))</f>
        <v/>
      </c>
      <c r="X411" s="32">
        <f>IF($U411="",$K411,$K411*$S411)</f>
        <v/>
      </c>
      <c r="Y411" s="35">
        <f>IF($U411="",DATE(2100,12,31),$U411+1)</f>
        <v/>
      </c>
      <c r="Z411" s="35">
        <f>IF($U411="",DATE(1900,1,1),$O411)</f>
        <v/>
      </c>
      <c r="AA411" s="32">
        <f>IF($U411="",0,$K411*$T411)</f>
        <v/>
      </c>
      <c r="AB411" s="21">
        <f>IF($C411="",0,IFERROR(INDEX(Deals!$AD$2:$AD$355,MATCH($C411,Deals!$A$2:$A$355,0)),0))</f>
        <v/>
      </c>
      <c r="AC411" s="32">
        <f>IF(Settings!$B$4="Yes",$I411*$AB411,$I411)</f>
        <v/>
      </c>
      <c r="AD411" s="22">
        <f>IF($C411="","",IFERROR(IF(INDEX(Deals!$AE$2:$AE$355,MATCH($C411,Deals!$A$2:$A$355,0))=0,"",INDEX(Deals!$AE$2:$AE$355,MATCH($C411,Deals!$A$2:$A$355,0))),""))</f>
        <v/>
      </c>
      <c r="AE411" s="22">
        <f>IF($C411="","",IFERROR(IF(INDEX(Deals!$AF$2:$AF$355,MATCH($C411,Deals!$A$2:$A$355,0))=0,"",INDEX(Deals!$AF$2:$AF$355,MATCH($C411,Deals!$A$2:$A$355,0))),""))</f>
        <v/>
      </c>
      <c r="AF411" s="35">
        <f>IF($AD411="",DATE(1900,1,1),$AD411)</f>
        <v/>
      </c>
      <c r="AG411" s="35">
        <f>IF($AE411="",DATE(2100,12,31),$AE411)</f>
        <v/>
      </c>
      <c r="AH411" s="22">
        <f>IF($C411="","",IFERROR(IF(INDEX(Deals!$AG$2:$AG$355,MATCH($C411,Deals!$A$2:$A$355,0))=0,"",INDEX(Deals!$AG$2:$AG$355,MATCH($C411,Deals!$A$2:$A$355,0))),""))</f>
        <v/>
      </c>
      <c r="AI411" s="35">
        <f>IF(OR($AH411&lt;&gt;"",AND($AO411&gt;0,$AD411&lt;&gt;"",$AE411&lt;&gt;"")),$AF411,DATE(1900,1,1))</f>
        <v/>
      </c>
      <c r="AJ411" s="35">
        <f>IF($AH411&lt;&gt;"",$AH411,IF(AND($AO411&gt;0,$AD411&lt;&gt;"",$AE411&lt;&gt;""),$AG411,DATE(2100,12,31)))</f>
        <v/>
      </c>
      <c r="AK411" s="32">
        <f>IF($AH411="",$AC411,$AC411*$S411)</f>
        <v/>
      </c>
      <c r="AL411" s="35">
        <f>IF($AH411="",DATE(2100,12,31),$AH411+1)</f>
        <v/>
      </c>
      <c r="AM411" s="35">
        <f>IF($AH411="",DATE(1900,1,1),$AG411)</f>
        <v/>
      </c>
      <c r="AN411" s="32">
        <f>IF($AH411="",0,$AC411*$T411)</f>
        <v/>
      </c>
      <c r="AO411" s="46">
        <f>IF($C411="",0,IFERROR(INDEX(Deals!$BD$2:$BD$355,MATCH($C411,Deals!$A$2:$A$355,0)),0))</f>
        <v/>
      </c>
      <c r="AP411" s="18">
        <f>IF($AO411=0,0,IFERROR(INDEX(Deals!$BJ$2:$BP$355,MATCH($C411,Deals!$A$2:$A$355,0),MATCH($F411,Deals!$BJ$1:$BP$1,0))/COUNTIFS(Assignments!$C$2:$C$769,$C411,Assignments!$F$2:$F$769,$F411,Assignments!$G$2:$G$769,"Active"),0))</f>
        <v/>
      </c>
    </row>
    <row r="412">
      <c r="A412" s="28" t="inlineStr">
        <is>
          <t>Vidhi</t>
        </is>
      </c>
      <c r="B412" s="16">
        <f>IF($A412="","",IFERROR(INDEX(Roster!$B$2:$B$40,MATCH($A412,Roster!$A$2:$A$40,0)),"?"))</f>
        <v/>
      </c>
      <c r="C412" s="28" t="inlineStr">
        <is>
          <t>Bishopville_1</t>
        </is>
      </c>
      <c r="D412" s="16">
        <f>IF($C412="","",IFERROR(IF(INDEX(Deals!$C$2:$C$355,MATCH($C412,Deals!$A$2:$A$355,0))=0,"",INDEX(Deals!$C$2:$C$355,MATCH($C412,Deals!$A$2:$A$355,0))),"?"))</f>
        <v/>
      </c>
      <c r="E412" s="16">
        <f>IF($C412="","",IFERROR(INDEX(Deals!$F$2:$F$355,MATCH($C412,Deals!$A$2:$A$355,0)),"?"))</f>
        <v/>
      </c>
      <c r="F412" s="28" t="inlineStr">
        <is>
          <t>Senior Associate</t>
        </is>
      </c>
      <c r="G412" s="28" t="inlineStr">
        <is>
          <t>Active</t>
        </is>
      </c>
      <c r="H412" s="31" t="n"/>
      <c r="I412" s="32">
        <f>IF(OR($A412="",$G412&lt;&gt;"Active"),0,IF($H412&lt;&gt;"",$H412,IF($AO412&gt;0,$AP412,IF(AND($R412&lt;&gt;"",IFERROR(INDEX(Templates!$B$3:$H$10,MATCH($R412,Templates!$A$3:$A$10,0),MATCH($F412,Templates!$B$2:$H$2,0)),0)&gt;0),INDEX(Templates!$B$3:$H$10,MATCH($R412,Templates!$A$3:$A$10,0),MATCH($F412,Templates!$B$2:$H$2,0)),IFERROR(INDEX(Settings!$B$8:$B$14,MATCH($F412,Settings!$A$8:$A$14,0)),0)))))</f>
        <v/>
      </c>
      <c r="J412" s="21">
        <f>IF($C412="",0,IFERROR(INDEX(Deals!$H$2:$H$355,MATCH($C412,Deals!$A$2:$A$355,0)),0))</f>
        <v/>
      </c>
      <c r="K412" s="32">
        <f>IF(Settings!$B$4="Yes",$I412*$J412,$I412)</f>
        <v/>
      </c>
      <c r="L412" s="22">
        <f>IF($C412="","",IFERROR(IF(INDEX(Deals!$I$2:$I$355,MATCH($C412,Deals!$A$2:$A$355,0))=0,"",INDEX(Deals!$I$2:$I$355,MATCH($C412,Deals!$A$2:$A$355,0))),""))</f>
        <v/>
      </c>
      <c r="M412" s="22">
        <f>IF($C412="","",IFERROR(IF(INDEX(Deals!$J$2:$J$355,MATCH($C412,Deals!$A$2:$A$355,0))=0,"",INDEX(Deals!$J$2:$J$355,MATCH($C412,Deals!$A$2:$A$355,0))),""))</f>
        <v/>
      </c>
      <c r="N412" s="35">
        <f>IF($L412="",DATE(1900,1,1),$L412)</f>
        <v/>
      </c>
      <c r="O412" s="35">
        <f>IF($M412="",DATE(2100,12,31),$M412)</f>
        <v/>
      </c>
      <c r="P412" s="20" t="inlineStr"/>
      <c r="Q412" s="47" t="inlineStr"/>
      <c r="R412" s="16">
        <f>IF($C412="","",IFERROR(IF(INDEX(Deals!$U$2:$U$355,MATCH($C412,Deals!$A$2:$A$355,0))=0,"",INDEX(Deals!$U$2:$U$355,MATCH($C412,Deals!$A$2:$A$355,0))),""))</f>
        <v/>
      </c>
      <c r="S412" s="34">
        <f>IFERROR(IF($U412="",1,INDEX(Deals!$V$2:$V$355,MATCH($C412,Deals!$A$2:$A$355,0))),1)</f>
        <v/>
      </c>
      <c r="T412" s="34">
        <f>IFERROR(IF($U412="",1,INDEX(Deals!$W$2:$W$355,MATCH($C412,Deals!$A$2:$A$355,0))),1)</f>
        <v/>
      </c>
      <c r="U412" s="22">
        <f>IF($C412="","",IFERROR(IF(INDEX(Deals!$Y$2:$Y$355,MATCH($C412,Deals!$A$2:$A$355,0))=0,"",INDEX(Deals!$Y$2:$Y$355,MATCH($C412,Deals!$A$2:$A$355,0))),""))</f>
        <v/>
      </c>
      <c r="V412" s="35">
        <f>IF(OR($U412&lt;&gt;"",AND($AO412&gt;0,$L412&lt;&gt;"",$M412&lt;&gt;"")),$N412,DATE(1900,1,1))</f>
        <v/>
      </c>
      <c r="W412" s="35">
        <f>IF($U412&lt;&gt;"",$U412,IF(AND($AO412&gt;0,$L412&lt;&gt;"",$M412&lt;&gt;""),$O412,DATE(2100,12,31)))</f>
        <v/>
      </c>
      <c r="X412" s="32">
        <f>IF($U412="",$K412,$K412*$S412)</f>
        <v/>
      </c>
      <c r="Y412" s="35">
        <f>IF($U412="",DATE(2100,12,31),$U412+1)</f>
        <v/>
      </c>
      <c r="Z412" s="35">
        <f>IF($U412="",DATE(1900,1,1),$O412)</f>
        <v/>
      </c>
      <c r="AA412" s="32">
        <f>IF($U412="",0,$K412*$T412)</f>
        <v/>
      </c>
      <c r="AB412" s="21">
        <f>IF($C412="",0,IFERROR(INDEX(Deals!$AD$2:$AD$355,MATCH($C412,Deals!$A$2:$A$355,0)),0))</f>
        <v/>
      </c>
      <c r="AC412" s="32">
        <f>IF(Settings!$B$4="Yes",$I412*$AB412,$I412)</f>
        <v/>
      </c>
      <c r="AD412" s="22">
        <f>IF($C412="","",IFERROR(IF(INDEX(Deals!$AE$2:$AE$355,MATCH($C412,Deals!$A$2:$A$355,0))=0,"",INDEX(Deals!$AE$2:$AE$355,MATCH($C412,Deals!$A$2:$A$355,0))),""))</f>
        <v/>
      </c>
      <c r="AE412" s="22">
        <f>IF($C412="","",IFERROR(IF(INDEX(Deals!$AF$2:$AF$355,MATCH($C412,Deals!$A$2:$A$355,0))=0,"",INDEX(Deals!$AF$2:$AF$355,MATCH($C412,Deals!$A$2:$A$355,0))),""))</f>
        <v/>
      </c>
      <c r="AF412" s="35">
        <f>IF($AD412="",DATE(1900,1,1),$AD412)</f>
        <v/>
      </c>
      <c r="AG412" s="35">
        <f>IF($AE412="",DATE(2100,12,31),$AE412)</f>
        <v/>
      </c>
      <c r="AH412" s="22">
        <f>IF($C412="","",IFERROR(IF(INDEX(Deals!$AG$2:$AG$355,MATCH($C412,Deals!$A$2:$A$355,0))=0,"",INDEX(Deals!$AG$2:$AG$355,MATCH($C412,Deals!$A$2:$A$355,0))),""))</f>
        <v/>
      </c>
      <c r="AI412" s="35">
        <f>IF(OR($AH412&lt;&gt;"",AND($AO412&gt;0,$AD412&lt;&gt;"",$AE412&lt;&gt;"")),$AF412,DATE(1900,1,1))</f>
        <v/>
      </c>
      <c r="AJ412" s="35">
        <f>IF($AH412&lt;&gt;"",$AH412,IF(AND($AO412&gt;0,$AD412&lt;&gt;"",$AE412&lt;&gt;""),$AG412,DATE(2100,12,31)))</f>
        <v/>
      </c>
      <c r="AK412" s="32">
        <f>IF($AH412="",$AC412,$AC412*$S412)</f>
        <v/>
      </c>
      <c r="AL412" s="35">
        <f>IF($AH412="",DATE(2100,12,31),$AH412+1)</f>
        <v/>
      </c>
      <c r="AM412" s="35">
        <f>IF($AH412="",DATE(1900,1,1),$AG412)</f>
        <v/>
      </c>
      <c r="AN412" s="32">
        <f>IF($AH412="",0,$AC412*$T412)</f>
        <v/>
      </c>
      <c r="AO412" s="46">
        <f>IF($C412="",0,IFERROR(INDEX(Deals!$BD$2:$BD$355,MATCH($C412,Deals!$A$2:$A$355,0)),0))</f>
        <v/>
      </c>
      <c r="AP412" s="18">
        <f>IF($AO412=0,0,IFERROR(INDEX(Deals!$BJ$2:$BP$355,MATCH($C412,Deals!$A$2:$A$355,0),MATCH($F412,Deals!$BJ$1:$BP$1,0))/COUNTIFS(Assignments!$C$2:$C$769,$C412,Assignments!$F$2:$F$769,$F412,Assignments!$G$2:$G$769,"Active"),0))</f>
        <v/>
      </c>
    </row>
    <row r="413">
      <c r="A413" s="28" t="inlineStr">
        <is>
          <t>Vidhi</t>
        </is>
      </c>
      <c r="B413" s="16">
        <f>IF($A413="","",IFERROR(INDEX(Roster!$B$2:$B$40,MATCH($A413,Roster!$A$2:$A$40,0)),"?"))</f>
        <v/>
      </c>
      <c r="C413" s="28" t="inlineStr">
        <is>
          <t>Brass_2</t>
        </is>
      </c>
      <c r="D413" s="16">
        <f>IF($C413="","",IFERROR(IF(INDEX(Deals!$C$2:$C$355,MATCH($C413,Deals!$A$2:$A$355,0))=0,"",INDEX(Deals!$C$2:$C$355,MATCH($C413,Deals!$A$2:$A$355,0))),"?"))</f>
        <v/>
      </c>
      <c r="E413" s="16">
        <f>IF($C413="","",IFERROR(INDEX(Deals!$F$2:$F$355,MATCH($C413,Deals!$A$2:$A$355,0)),"?"))</f>
        <v/>
      </c>
      <c r="F413" s="28" t="inlineStr">
        <is>
          <t>Senior Associate</t>
        </is>
      </c>
      <c r="G413" s="28" t="inlineStr">
        <is>
          <t>Active</t>
        </is>
      </c>
      <c r="H413" s="31" t="n"/>
      <c r="I413" s="32">
        <f>IF(OR($A413="",$G413&lt;&gt;"Active"),0,IF($H413&lt;&gt;"",$H413,IF($AO413&gt;0,$AP413,IF(AND($R413&lt;&gt;"",IFERROR(INDEX(Templates!$B$3:$H$10,MATCH($R413,Templates!$A$3:$A$10,0),MATCH($F413,Templates!$B$2:$H$2,0)),0)&gt;0),INDEX(Templates!$B$3:$H$10,MATCH($R413,Templates!$A$3:$A$10,0),MATCH($F413,Templates!$B$2:$H$2,0)),IFERROR(INDEX(Settings!$B$8:$B$14,MATCH($F413,Settings!$A$8:$A$14,0)),0)))))</f>
        <v/>
      </c>
      <c r="J413" s="21">
        <f>IF($C413="",0,IFERROR(INDEX(Deals!$H$2:$H$355,MATCH($C413,Deals!$A$2:$A$355,0)),0))</f>
        <v/>
      </c>
      <c r="K413" s="32">
        <f>IF(Settings!$B$4="Yes",$I413*$J413,$I413)</f>
        <v/>
      </c>
      <c r="L413" s="22">
        <f>IF($C413="","",IFERROR(IF(INDEX(Deals!$I$2:$I$355,MATCH($C413,Deals!$A$2:$A$355,0))=0,"",INDEX(Deals!$I$2:$I$355,MATCH($C413,Deals!$A$2:$A$355,0))),""))</f>
        <v/>
      </c>
      <c r="M413" s="22">
        <f>IF($C413="","",IFERROR(IF(INDEX(Deals!$J$2:$J$355,MATCH($C413,Deals!$A$2:$A$355,0))=0,"",INDEX(Deals!$J$2:$J$355,MATCH($C413,Deals!$A$2:$A$355,0))),""))</f>
        <v/>
      </c>
      <c r="N413" s="35">
        <f>IF($L413="",DATE(1900,1,1),$L413)</f>
        <v/>
      </c>
      <c r="O413" s="35">
        <f>IF($M413="",DATE(2100,12,31),$M413)</f>
        <v/>
      </c>
      <c r="P413" s="20" t="inlineStr"/>
      <c r="Q413" s="47" t="inlineStr"/>
      <c r="R413" s="16">
        <f>IF($C413="","",IFERROR(IF(INDEX(Deals!$U$2:$U$355,MATCH($C413,Deals!$A$2:$A$355,0))=0,"",INDEX(Deals!$U$2:$U$355,MATCH($C413,Deals!$A$2:$A$355,0))),""))</f>
        <v/>
      </c>
      <c r="S413" s="34">
        <f>IFERROR(IF($U413="",1,INDEX(Deals!$V$2:$V$355,MATCH($C413,Deals!$A$2:$A$355,0))),1)</f>
        <v/>
      </c>
      <c r="T413" s="34">
        <f>IFERROR(IF($U413="",1,INDEX(Deals!$W$2:$W$355,MATCH($C413,Deals!$A$2:$A$355,0))),1)</f>
        <v/>
      </c>
      <c r="U413" s="22">
        <f>IF($C413="","",IFERROR(IF(INDEX(Deals!$Y$2:$Y$355,MATCH($C413,Deals!$A$2:$A$355,0))=0,"",INDEX(Deals!$Y$2:$Y$355,MATCH($C413,Deals!$A$2:$A$355,0))),""))</f>
        <v/>
      </c>
      <c r="V413" s="35">
        <f>IF(OR($U413&lt;&gt;"",AND($AO413&gt;0,$L413&lt;&gt;"",$M413&lt;&gt;"")),$N413,DATE(1900,1,1))</f>
        <v/>
      </c>
      <c r="W413" s="35">
        <f>IF($U413&lt;&gt;"",$U413,IF(AND($AO413&gt;0,$L413&lt;&gt;"",$M413&lt;&gt;""),$O413,DATE(2100,12,31)))</f>
        <v/>
      </c>
      <c r="X413" s="32">
        <f>IF($U413="",$K413,$K413*$S413)</f>
        <v/>
      </c>
      <c r="Y413" s="35">
        <f>IF($U413="",DATE(2100,12,31),$U413+1)</f>
        <v/>
      </c>
      <c r="Z413" s="35">
        <f>IF($U413="",DATE(1900,1,1),$O413)</f>
        <v/>
      </c>
      <c r="AA413" s="32">
        <f>IF($U413="",0,$K413*$T413)</f>
        <v/>
      </c>
      <c r="AB413" s="21">
        <f>IF($C413="",0,IFERROR(INDEX(Deals!$AD$2:$AD$355,MATCH($C413,Deals!$A$2:$A$355,0)),0))</f>
        <v/>
      </c>
      <c r="AC413" s="32">
        <f>IF(Settings!$B$4="Yes",$I413*$AB413,$I413)</f>
        <v/>
      </c>
      <c r="AD413" s="22">
        <f>IF($C413="","",IFERROR(IF(INDEX(Deals!$AE$2:$AE$355,MATCH($C413,Deals!$A$2:$A$355,0))=0,"",INDEX(Deals!$AE$2:$AE$355,MATCH($C413,Deals!$A$2:$A$355,0))),""))</f>
        <v/>
      </c>
      <c r="AE413" s="22">
        <f>IF($C413="","",IFERROR(IF(INDEX(Deals!$AF$2:$AF$355,MATCH($C413,Deals!$A$2:$A$355,0))=0,"",INDEX(Deals!$AF$2:$AF$355,MATCH($C413,Deals!$A$2:$A$355,0))),""))</f>
        <v/>
      </c>
      <c r="AF413" s="35">
        <f>IF($AD413="",DATE(1900,1,1),$AD413)</f>
        <v/>
      </c>
      <c r="AG413" s="35">
        <f>IF($AE413="",DATE(2100,12,31),$AE413)</f>
        <v/>
      </c>
      <c r="AH413" s="22">
        <f>IF($C413="","",IFERROR(IF(INDEX(Deals!$AG$2:$AG$355,MATCH($C413,Deals!$A$2:$A$355,0))=0,"",INDEX(Deals!$AG$2:$AG$355,MATCH($C413,Deals!$A$2:$A$355,0))),""))</f>
        <v/>
      </c>
      <c r="AI413" s="35">
        <f>IF(OR($AH413&lt;&gt;"",AND($AO413&gt;0,$AD413&lt;&gt;"",$AE413&lt;&gt;"")),$AF413,DATE(1900,1,1))</f>
        <v/>
      </c>
      <c r="AJ413" s="35">
        <f>IF($AH413&lt;&gt;"",$AH413,IF(AND($AO413&gt;0,$AD413&lt;&gt;"",$AE413&lt;&gt;""),$AG413,DATE(2100,12,31)))</f>
        <v/>
      </c>
      <c r="AK413" s="32">
        <f>IF($AH413="",$AC413,$AC413*$S413)</f>
        <v/>
      </c>
      <c r="AL413" s="35">
        <f>IF($AH413="",DATE(2100,12,31),$AH413+1)</f>
        <v/>
      </c>
      <c r="AM413" s="35">
        <f>IF($AH413="",DATE(1900,1,1),$AG413)</f>
        <v/>
      </c>
      <c r="AN413" s="32">
        <f>IF($AH413="",0,$AC413*$T413)</f>
        <v/>
      </c>
      <c r="AO413" s="46">
        <f>IF($C413="",0,IFERROR(INDEX(Deals!$BD$2:$BD$355,MATCH($C413,Deals!$A$2:$A$355,0)),0))</f>
        <v/>
      </c>
      <c r="AP413" s="18">
        <f>IF($AO413=0,0,IFERROR(INDEX(Deals!$BJ$2:$BP$355,MATCH($C413,Deals!$A$2:$A$355,0),MATCH($F413,Deals!$BJ$1:$BP$1,0))/COUNTIFS(Assignments!$C$2:$C$769,$C413,Assignments!$F$2:$F$769,$F413,Assignments!$G$2:$G$769,"Active"),0))</f>
        <v/>
      </c>
    </row>
    <row r="414">
      <c r="A414" s="28" t="inlineStr">
        <is>
          <t>Vidhi</t>
        </is>
      </c>
      <c r="B414" s="16">
        <f>IF($A414="","",IFERROR(INDEX(Roster!$B$2:$B$40,MATCH($A414,Roster!$A$2:$A$40,0)),"?"))</f>
        <v/>
      </c>
      <c r="C414" s="28" t="inlineStr">
        <is>
          <t>Breakaway_1</t>
        </is>
      </c>
      <c r="D414" s="16">
        <f>IF($C414="","",IFERROR(IF(INDEX(Deals!$C$2:$C$355,MATCH($C414,Deals!$A$2:$A$355,0))=0,"",INDEX(Deals!$C$2:$C$355,MATCH($C414,Deals!$A$2:$A$355,0))),"?"))</f>
        <v/>
      </c>
      <c r="E414" s="16">
        <f>IF($C414="","",IFERROR(INDEX(Deals!$F$2:$F$355,MATCH($C414,Deals!$A$2:$A$355,0)),"?"))</f>
        <v/>
      </c>
      <c r="F414" s="28" t="inlineStr">
        <is>
          <t>Senior Associate</t>
        </is>
      </c>
      <c r="G414" s="28" t="inlineStr">
        <is>
          <t>Active</t>
        </is>
      </c>
      <c r="H414" s="31" t="n"/>
      <c r="I414" s="32">
        <f>IF(OR($A414="",$G414&lt;&gt;"Active"),0,IF($H414&lt;&gt;"",$H414,IF($AO414&gt;0,$AP414,IF(AND($R414&lt;&gt;"",IFERROR(INDEX(Templates!$B$3:$H$10,MATCH($R414,Templates!$A$3:$A$10,0),MATCH($F414,Templates!$B$2:$H$2,0)),0)&gt;0),INDEX(Templates!$B$3:$H$10,MATCH($R414,Templates!$A$3:$A$10,0),MATCH($F414,Templates!$B$2:$H$2,0)),IFERROR(INDEX(Settings!$B$8:$B$14,MATCH($F414,Settings!$A$8:$A$14,0)),0)))))</f>
        <v/>
      </c>
      <c r="J414" s="21">
        <f>IF($C414="",0,IFERROR(INDEX(Deals!$H$2:$H$355,MATCH($C414,Deals!$A$2:$A$355,0)),0))</f>
        <v/>
      </c>
      <c r="K414" s="32">
        <f>IF(Settings!$B$4="Yes",$I414*$J414,$I414)</f>
        <v/>
      </c>
      <c r="L414" s="22">
        <f>IF($C414="","",IFERROR(IF(INDEX(Deals!$I$2:$I$355,MATCH($C414,Deals!$A$2:$A$355,0))=0,"",INDEX(Deals!$I$2:$I$355,MATCH($C414,Deals!$A$2:$A$355,0))),""))</f>
        <v/>
      </c>
      <c r="M414" s="22">
        <f>IF($C414="","",IFERROR(IF(INDEX(Deals!$J$2:$J$355,MATCH($C414,Deals!$A$2:$A$355,0))=0,"",INDEX(Deals!$J$2:$J$355,MATCH($C414,Deals!$A$2:$A$355,0))),""))</f>
        <v/>
      </c>
      <c r="N414" s="35">
        <f>IF($L414="",DATE(1900,1,1),$L414)</f>
        <v/>
      </c>
      <c r="O414" s="35">
        <f>IF($M414="",DATE(2100,12,31),$M414)</f>
        <v/>
      </c>
      <c r="P414" s="20" t="inlineStr"/>
      <c r="Q414" s="47" t="inlineStr">
        <is>
          <t>Added from Summary tab</t>
        </is>
      </c>
      <c r="R414" s="16">
        <f>IF($C414="","",IFERROR(IF(INDEX(Deals!$U$2:$U$355,MATCH($C414,Deals!$A$2:$A$355,0))=0,"",INDEX(Deals!$U$2:$U$355,MATCH($C414,Deals!$A$2:$A$355,0))),""))</f>
        <v/>
      </c>
      <c r="S414" s="34">
        <f>IFERROR(IF($U414="",1,INDEX(Deals!$V$2:$V$355,MATCH($C414,Deals!$A$2:$A$355,0))),1)</f>
        <v/>
      </c>
      <c r="T414" s="34">
        <f>IFERROR(IF($U414="",1,INDEX(Deals!$W$2:$W$355,MATCH($C414,Deals!$A$2:$A$355,0))),1)</f>
        <v/>
      </c>
      <c r="U414" s="22">
        <f>IF($C414="","",IFERROR(IF(INDEX(Deals!$Y$2:$Y$355,MATCH($C414,Deals!$A$2:$A$355,0))=0,"",INDEX(Deals!$Y$2:$Y$355,MATCH($C414,Deals!$A$2:$A$355,0))),""))</f>
        <v/>
      </c>
      <c r="V414" s="35">
        <f>IF(OR($U414&lt;&gt;"",AND($AO414&gt;0,$L414&lt;&gt;"",$M414&lt;&gt;"")),$N414,DATE(1900,1,1))</f>
        <v/>
      </c>
      <c r="W414" s="35">
        <f>IF($U414&lt;&gt;"",$U414,IF(AND($AO414&gt;0,$L414&lt;&gt;"",$M414&lt;&gt;""),$O414,DATE(2100,12,31)))</f>
        <v/>
      </c>
      <c r="X414" s="32">
        <f>IF($U414="",$K414,$K414*$S414)</f>
        <v/>
      </c>
      <c r="Y414" s="35">
        <f>IF($U414="",DATE(2100,12,31),$U414+1)</f>
        <v/>
      </c>
      <c r="Z414" s="35">
        <f>IF($U414="",DATE(1900,1,1),$O414)</f>
        <v/>
      </c>
      <c r="AA414" s="32">
        <f>IF($U414="",0,$K414*$T414)</f>
        <v/>
      </c>
      <c r="AB414" s="21">
        <f>IF($C414="",0,IFERROR(INDEX(Deals!$AD$2:$AD$355,MATCH($C414,Deals!$A$2:$A$355,0)),0))</f>
        <v/>
      </c>
      <c r="AC414" s="32">
        <f>IF(Settings!$B$4="Yes",$I414*$AB414,$I414)</f>
        <v/>
      </c>
      <c r="AD414" s="22">
        <f>IF($C414="","",IFERROR(IF(INDEX(Deals!$AE$2:$AE$355,MATCH($C414,Deals!$A$2:$A$355,0))=0,"",INDEX(Deals!$AE$2:$AE$355,MATCH($C414,Deals!$A$2:$A$355,0))),""))</f>
        <v/>
      </c>
      <c r="AE414" s="22">
        <f>IF($C414="","",IFERROR(IF(INDEX(Deals!$AF$2:$AF$355,MATCH($C414,Deals!$A$2:$A$355,0))=0,"",INDEX(Deals!$AF$2:$AF$355,MATCH($C414,Deals!$A$2:$A$355,0))),""))</f>
        <v/>
      </c>
      <c r="AF414" s="35">
        <f>IF($AD414="",DATE(1900,1,1),$AD414)</f>
        <v/>
      </c>
      <c r="AG414" s="35">
        <f>IF($AE414="",DATE(2100,12,31),$AE414)</f>
        <v/>
      </c>
      <c r="AH414" s="22">
        <f>IF($C414="","",IFERROR(IF(INDEX(Deals!$AG$2:$AG$355,MATCH($C414,Deals!$A$2:$A$355,0))=0,"",INDEX(Deals!$AG$2:$AG$355,MATCH($C414,Deals!$A$2:$A$355,0))),""))</f>
        <v/>
      </c>
      <c r="AI414" s="35">
        <f>IF(OR($AH414&lt;&gt;"",AND($AO414&gt;0,$AD414&lt;&gt;"",$AE414&lt;&gt;"")),$AF414,DATE(1900,1,1))</f>
        <v/>
      </c>
      <c r="AJ414" s="35">
        <f>IF($AH414&lt;&gt;"",$AH414,IF(AND($AO414&gt;0,$AD414&lt;&gt;"",$AE414&lt;&gt;""),$AG414,DATE(2100,12,31)))</f>
        <v/>
      </c>
      <c r="AK414" s="32">
        <f>IF($AH414="",$AC414,$AC414*$S414)</f>
        <v/>
      </c>
      <c r="AL414" s="35">
        <f>IF($AH414="",DATE(2100,12,31),$AH414+1)</f>
        <v/>
      </c>
      <c r="AM414" s="35">
        <f>IF($AH414="",DATE(1900,1,1),$AG414)</f>
        <v/>
      </c>
      <c r="AN414" s="32">
        <f>IF($AH414="",0,$AC414*$T414)</f>
        <v/>
      </c>
      <c r="AO414" s="46">
        <f>IF($C414="",0,IFERROR(INDEX(Deals!$BD$2:$BD$355,MATCH($C414,Deals!$A$2:$A$355,0)),0))</f>
        <v/>
      </c>
      <c r="AP414" s="18">
        <f>IF($AO414=0,0,IFERROR(INDEX(Deals!$BJ$2:$BP$355,MATCH($C414,Deals!$A$2:$A$355,0),MATCH($F414,Deals!$BJ$1:$BP$1,0))/COUNTIFS(Assignments!$C$2:$C$769,$C414,Assignments!$F$2:$F$769,$F414,Assignments!$G$2:$G$769,"Active"),0))</f>
        <v/>
      </c>
    </row>
    <row r="415">
      <c r="A415" s="28" t="inlineStr">
        <is>
          <t>Vidhi</t>
        </is>
      </c>
      <c r="B415" s="16">
        <f>IF($A415="","",IFERROR(INDEX(Roster!$B$2:$B$40,MATCH($A415,Roster!$A$2:$A$40,0)),"?"))</f>
        <v/>
      </c>
      <c r="C415" s="28" t="inlineStr">
        <is>
          <t>Camaro_1</t>
        </is>
      </c>
      <c r="D415" s="16">
        <f>IF($C415="","",IFERROR(IF(INDEX(Deals!$C$2:$C$355,MATCH($C415,Deals!$A$2:$A$355,0))=0,"",INDEX(Deals!$C$2:$C$355,MATCH($C415,Deals!$A$2:$A$355,0))),"?"))</f>
        <v/>
      </c>
      <c r="E415" s="16">
        <f>IF($C415="","",IFERROR(INDEX(Deals!$F$2:$F$355,MATCH($C415,Deals!$A$2:$A$355,0)),"?"))</f>
        <v/>
      </c>
      <c r="F415" s="28" t="inlineStr">
        <is>
          <t>Senior Associate</t>
        </is>
      </c>
      <c r="G415" s="28" t="inlineStr">
        <is>
          <t>Active</t>
        </is>
      </c>
      <c r="H415" s="31" t="n"/>
      <c r="I415" s="32">
        <f>IF(OR($A415="",$G415&lt;&gt;"Active"),0,IF($H415&lt;&gt;"",$H415,IF($AO415&gt;0,$AP415,IF(AND($R415&lt;&gt;"",IFERROR(INDEX(Templates!$B$3:$H$10,MATCH($R415,Templates!$A$3:$A$10,0),MATCH($F415,Templates!$B$2:$H$2,0)),0)&gt;0),INDEX(Templates!$B$3:$H$10,MATCH($R415,Templates!$A$3:$A$10,0),MATCH($F415,Templates!$B$2:$H$2,0)),IFERROR(INDEX(Settings!$B$8:$B$14,MATCH($F415,Settings!$A$8:$A$14,0)),0)))))</f>
        <v/>
      </c>
      <c r="J415" s="21">
        <f>IF($C415="",0,IFERROR(INDEX(Deals!$H$2:$H$355,MATCH($C415,Deals!$A$2:$A$355,0)),0))</f>
        <v/>
      </c>
      <c r="K415" s="32">
        <f>IF(Settings!$B$4="Yes",$I415*$J415,$I415)</f>
        <v/>
      </c>
      <c r="L415" s="22">
        <f>IF($C415="","",IFERROR(IF(INDEX(Deals!$I$2:$I$355,MATCH($C415,Deals!$A$2:$A$355,0))=0,"",INDEX(Deals!$I$2:$I$355,MATCH($C415,Deals!$A$2:$A$355,0))),""))</f>
        <v/>
      </c>
      <c r="M415" s="22">
        <f>IF($C415="","",IFERROR(IF(INDEX(Deals!$J$2:$J$355,MATCH($C415,Deals!$A$2:$A$355,0))=0,"",INDEX(Deals!$J$2:$J$355,MATCH($C415,Deals!$A$2:$A$355,0))),""))</f>
        <v/>
      </c>
      <c r="N415" s="35">
        <f>IF($L415="",DATE(1900,1,1),$L415)</f>
        <v/>
      </c>
      <c r="O415" s="35">
        <f>IF($M415="",DATE(2100,12,31),$M415)</f>
        <v/>
      </c>
      <c r="P415" s="20" t="inlineStr"/>
      <c r="Q415" s="47" t="inlineStr"/>
      <c r="R415" s="16">
        <f>IF($C415="","",IFERROR(IF(INDEX(Deals!$U$2:$U$355,MATCH($C415,Deals!$A$2:$A$355,0))=0,"",INDEX(Deals!$U$2:$U$355,MATCH($C415,Deals!$A$2:$A$355,0))),""))</f>
        <v/>
      </c>
      <c r="S415" s="34">
        <f>IFERROR(IF($U415="",1,INDEX(Deals!$V$2:$V$355,MATCH($C415,Deals!$A$2:$A$355,0))),1)</f>
        <v/>
      </c>
      <c r="T415" s="34">
        <f>IFERROR(IF($U415="",1,INDEX(Deals!$W$2:$W$355,MATCH($C415,Deals!$A$2:$A$355,0))),1)</f>
        <v/>
      </c>
      <c r="U415" s="22">
        <f>IF($C415="","",IFERROR(IF(INDEX(Deals!$Y$2:$Y$355,MATCH($C415,Deals!$A$2:$A$355,0))=0,"",INDEX(Deals!$Y$2:$Y$355,MATCH($C415,Deals!$A$2:$A$355,0))),""))</f>
        <v/>
      </c>
      <c r="V415" s="35">
        <f>IF(OR($U415&lt;&gt;"",AND($AO415&gt;0,$L415&lt;&gt;"",$M415&lt;&gt;"")),$N415,DATE(1900,1,1))</f>
        <v/>
      </c>
      <c r="W415" s="35">
        <f>IF($U415&lt;&gt;"",$U415,IF(AND($AO415&gt;0,$L415&lt;&gt;"",$M415&lt;&gt;""),$O415,DATE(2100,12,31)))</f>
        <v/>
      </c>
      <c r="X415" s="32">
        <f>IF($U415="",$K415,$K415*$S415)</f>
        <v/>
      </c>
      <c r="Y415" s="35">
        <f>IF($U415="",DATE(2100,12,31),$U415+1)</f>
        <v/>
      </c>
      <c r="Z415" s="35">
        <f>IF($U415="",DATE(1900,1,1),$O415)</f>
        <v/>
      </c>
      <c r="AA415" s="32">
        <f>IF($U415="",0,$K415*$T415)</f>
        <v/>
      </c>
      <c r="AB415" s="21">
        <f>IF($C415="",0,IFERROR(INDEX(Deals!$AD$2:$AD$355,MATCH($C415,Deals!$A$2:$A$355,0)),0))</f>
        <v/>
      </c>
      <c r="AC415" s="32">
        <f>IF(Settings!$B$4="Yes",$I415*$AB415,$I415)</f>
        <v/>
      </c>
      <c r="AD415" s="22">
        <f>IF($C415="","",IFERROR(IF(INDEX(Deals!$AE$2:$AE$355,MATCH($C415,Deals!$A$2:$A$355,0))=0,"",INDEX(Deals!$AE$2:$AE$355,MATCH($C415,Deals!$A$2:$A$355,0))),""))</f>
        <v/>
      </c>
      <c r="AE415" s="22">
        <f>IF($C415="","",IFERROR(IF(INDEX(Deals!$AF$2:$AF$355,MATCH($C415,Deals!$A$2:$A$355,0))=0,"",INDEX(Deals!$AF$2:$AF$355,MATCH($C415,Deals!$A$2:$A$355,0))),""))</f>
        <v/>
      </c>
      <c r="AF415" s="35">
        <f>IF($AD415="",DATE(1900,1,1),$AD415)</f>
        <v/>
      </c>
      <c r="AG415" s="35">
        <f>IF($AE415="",DATE(2100,12,31),$AE415)</f>
        <v/>
      </c>
      <c r="AH415" s="22">
        <f>IF($C415="","",IFERROR(IF(INDEX(Deals!$AG$2:$AG$355,MATCH($C415,Deals!$A$2:$A$355,0))=0,"",INDEX(Deals!$AG$2:$AG$355,MATCH($C415,Deals!$A$2:$A$355,0))),""))</f>
        <v/>
      </c>
      <c r="AI415" s="35">
        <f>IF(OR($AH415&lt;&gt;"",AND($AO415&gt;0,$AD415&lt;&gt;"",$AE415&lt;&gt;"")),$AF415,DATE(1900,1,1))</f>
        <v/>
      </c>
      <c r="AJ415" s="35">
        <f>IF($AH415&lt;&gt;"",$AH415,IF(AND($AO415&gt;0,$AD415&lt;&gt;"",$AE415&lt;&gt;""),$AG415,DATE(2100,12,31)))</f>
        <v/>
      </c>
      <c r="AK415" s="32">
        <f>IF($AH415="",$AC415,$AC415*$S415)</f>
        <v/>
      </c>
      <c r="AL415" s="35">
        <f>IF($AH415="",DATE(2100,12,31),$AH415+1)</f>
        <v/>
      </c>
      <c r="AM415" s="35">
        <f>IF($AH415="",DATE(1900,1,1),$AG415)</f>
        <v/>
      </c>
      <c r="AN415" s="32">
        <f>IF($AH415="",0,$AC415*$T415)</f>
        <v/>
      </c>
      <c r="AO415" s="46">
        <f>IF($C415="",0,IFERROR(INDEX(Deals!$BD$2:$BD$355,MATCH($C415,Deals!$A$2:$A$355,0)),0))</f>
        <v/>
      </c>
      <c r="AP415" s="18">
        <f>IF($AO415=0,0,IFERROR(INDEX(Deals!$BJ$2:$BP$355,MATCH($C415,Deals!$A$2:$A$355,0),MATCH($F415,Deals!$BJ$1:$BP$1,0))/COUNTIFS(Assignments!$C$2:$C$769,$C415,Assignments!$F$2:$F$769,$F415,Assignments!$G$2:$G$769,"Active"),0))</f>
        <v/>
      </c>
    </row>
    <row r="416">
      <c r="A416" s="28" t="inlineStr">
        <is>
          <t>Vidhi</t>
        </is>
      </c>
      <c r="B416" s="16">
        <f>IF($A416="","",IFERROR(INDEX(Roster!$B$2:$B$40,MATCH($A416,Roster!$A$2:$A$40,0)),"?"))</f>
        <v/>
      </c>
      <c r="C416" s="28" t="inlineStr">
        <is>
          <t>Care_1</t>
        </is>
      </c>
      <c r="D416" s="16">
        <f>IF($C416="","",IFERROR(IF(INDEX(Deals!$C$2:$C$355,MATCH($C416,Deals!$A$2:$A$355,0))=0,"",INDEX(Deals!$C$2:$C$355,MATCH($C416,Deals!$A$2:$A$355,0))),"?"))</f>
        <v/>
      </c>
      <c r="E416" s="16">
        <f>IF($C416="","",IFERROR(INDEX(Deals!$F$2:$F$355,MATCH($C416,Deals!$A$2:$A$355,0)),"?"))</f>
        <v/>
      </c>
      <c r="F416" s="28" t="inlineStr">
        <is>
          <t>Senior Associate</t>
        </is>
      </c>
      <c r="G416" s="28" t="inlineStr">
        <is>
          <t>Active</t>
        </is>
      </c>
      <c r="H416" s="31" t="n"/>
      <c r="I416" s="32">
        <f>IF(OR($A416="",$G416&lt;&gt;"Active"),0,IF($H416&lt;&gt;"",$H416,IF($AO416&gt;0,$AP416,IF(AND($R416&lt;&gt;"",IFERROR(INDEX(Templates!$B$3:$H$10,MATCH($R416,Templates!$A$3:$A$10,0),MATCH($F416,Templates!$B$2:$H$2,0)),0)&gt;0),INDEX(Templates!$B$3:$H$10,MATCH($R416,Templates!$A$3:$A$10,0),MATCH($F416,Templates!$B$2:$H$2,0)),IFERROR(INDEX(Settings!$B$8:$B$14,MATCH($F416,Settings!$A$8:$A$14,0)),0)))))</f>
        <v/>
      </c>
      <c r="J416" s="21">
        <f>IF($C416="",0,IFERROR(INDEX(Deals!$H$2:$H$355,MATCH($C416,Deals!$A$2:$A$355,0)),0))</f>
        <v/>
      </c>
      <c r="K416" s="32">
        <f>IF(Settings!$B$4="Yes",$I416*$J416,$I416)</f>
        <v/>
      </c>
      <c r="L416" s="22">
        <f>IF($C416="","",IFERROR(IF(INDEX(Deals!$I$2:$I$355,MATCH($C416,Deals!$A$2:$A$355,0))=0,"",INDEX(Deals!$I$2:$I$355,MATCH($C416,Deals!$A$2:$A$355,0))),""))</f>
        <v/>
      </c>
      <c r="M416" s="22">
        <f>IF($C416="","",IFERROR(IF(INDEX(Deals!$J$2:$J$355,MATCH($C416,Deals!$A$2:$A$355,0))=0,"",INDEX(Deals!$J$2:$J$355,MATCH($C416,Deals!$A$2:$A$355,0))),""))</f>
        <v/>
      </c>
      <c r="N416" s="35">
        <f>IF($L416="",DATE(1900,1,1),$L416)</f>
        <v/>
      </c>
      <c r="O416" s="35">
        <f>IF($M416="",DATE(2100,12,31),$M416)</f>
        <v/>
      </c>
      <c r="P416" s="20" t="inlineStr"/>
      <c r="Q416" s="47" t="inlineStr"/>
      <c r="R416" s="16">
        <f>IF($C416="","",IFERROR(IF(INDEX(Deals!$U$2:$U$355,MATCH($C416,Deals!$A$2:$A$355,0))=0,"",INDEX(Deals!$U$2:$U$355,MATCH($C416,Deals!$A$2:$A$355,0))),""))</f>
        <v/>
      </c>
      <c r="S416" s="34">
        <f>IFERROR(IF($U416="",1,INDEX(Deals!$V$2:$V$355,MATCH($C416,Deals!$A$2:$A$355,0))),1)</f>
        <v/>
      </c>
      <c r="T416" s="34">
        <f>IFERROR(IF($U416="",1,INDEX(Deals!$W$2:$W$355,MATCH($C416,Deals!$A$2:$A$355,0))),1)</f>
        <v/>
      </c>
      <c r="U416" s="22">
        <f>IF($C416="","",IFERROR(IF(INDEX(Deals!$Y$2:$Y$355,MATCH($C416,Deals!$A$2:$A$355,0))=0,"",INDEX(Deals!$Y$2:$Y$355,MATCH($C416,Deals!$A$2:$A$355,0))),""))</f>
        <v/>
      </c>
      <c r="V416" s="35">
        <f>IF(OR($U416&lt;&gt;"",AND($AO416&gt;0,$L416&lt;&gt;"",$M416&lt;&gt;"")),$N416,DATE(1900,1,1))</f>
        <v/>
      </c>
      <c r="W416" s="35">
        <f>IF($U416&lt;&gt;"",$U416,IF(AND($AO416&gt;0,$L416&lt;&gt;"",$M416&lt;&gt;""),$O416,DATE(2100,12,31)))</f>
        <v/>
      </c>
      <c r="X416" s="32">
        <f>IF($U416="",$K416,$K416*$S416)</f>
        <v/>
      </c>
      <c r="Y416" s="35">
        <f>IF($U416="",DATE(2100,12,31),$U416+1)</f>
        <v/>
      </c>
      <c r="Z416" s="35">
        <f>IF($U416="",DATE(1900,1,1),$O416)</f>
        <v/>
      </c>
      <c r="AA416" s="32">
        <f>IF($U416="",0,$K416*$T416)</f>
        <v/>
      </c>
      <c r="AB416" s="21">
        <f>IF($C416="",0,IFERROR(INDEX(Deals!$AD$2:$AD$355,MATCH($C416,Deals!$A$2:$A$355,0)),0))</f>
        <v/>
      </c>
      <c r="AC416" s="32">
        <f>IF(Settings!$B$4="Yes",$I416*$AB416,$I416)</f>
        <v/>
      </c>
      <c r="AD416" s="22">
        <f>IF($C416="","",IFERROR(IF(INDEX(Deals!$AE$2:$AE$355,MATCH($C416,Deals!$A$2:$A$355,0))=0,"",INDEX(Deals!$AE$2:$AE$355,MATCH($C416,Deals!$A$2:$A$355,0))),""))</f>
        <v/>
      </c>
      <c r="AE416" s="22">
        <f>IF($C416="","",IFERROR(IF(INDEX(Deals!$AF$2:$AF$355,MATCH($C416,Deals!$A$2:$A$355,0))=0,"",INDEX(Deals!$AF$2:$AF$355,MATCH($C416,Deals!$A$2:$A$355,0))),""))</f>
        <v/>
      </c>
      <c r="AF416" s="35">
        <f>IF($AD416="",DATE(1900,1,1),$AD416)</f>
        <v/>
      </c>
      <c r="AG416" s="35">
        <f>IF($AE416="",DATE(2100,12,31),$AE416)</f>
        <v/>
      </c>
      <c r="AH416" s="22">
        <f>IF($C416="","",IFERROR(IF(INDEX(Deals!$AG$2:$AG$355,MATCH($C416,Deals!$A$2:$A$355,0))=0,"",INDEX(Deals!$AG$2:$AG$355,MATCH($C416,Deals!$A$2:$A$355,0))),""))</f>
        <v/>
      </c>
      <c r="AI416" s="35">
        <f>IF(OR($AH416&lt;&gt;"",AND($AO416&gt;0,$AD416&lt;&gt;"",$AE416&lt;&gt;"")),$AF416,DATE(1900,1,1))</f>
        <v/>
      </c>
      <c r="AJ416" s="35">
        <f>IF($AH416&lt;&gt;"",$AH416,IF(AND($AO416&gt;0,$AD416&lt;&gt;"",$AE416&lt;&gt;""),$AG416,DATE(2100,12,31)))</f>
        <v/>
      </c>
      <c r="AK416" s="32">
        <f>IF($AH416="",$AC416,$AC416*$S416)</f>
        <v/>
      </c>
      <c r="AL416" s="35">
        <f>IF($AH416="",DATE(2100,12,31),$AH416+1)</f>
        <v/>
      </c>
      <c r="AM416" s="35">
        <f>IF($AH416="",DATE(1900,1,1),$AG416)</f>
        <v/>
      </c>
      <c r="AN416" s="32">
        <f>IF($AH416="",0,$AC416*$T416)</f>
        <v/>
      </c>
      <c r="AO416" s="46">
        <f>IF($C416="",0,IFERROR(INDEX(Deals!$BD$2:$BD$355,MATCH($C416,Deals!$A$2:$A$355,0)),0))</f>
        <v/>
      </c>
      <c r="AP416" s="18">
        <f>IF($AO416=0,0,IFERROR(INDEX(Deals!$BJ$2:$BP$355,MATCH($C416,Deals!$A$2:$A$355,0),MATCH($F416,Deals!$BJ$1:$BP$1,0))/COUNTIFS(Assignments!$C$2:$C$769,$C416,Assignments!$F$2:$F$769,$F416,Assignments!$G$2:$G$769,"Active"),0))</f>
        <v/>
      </c>
    </row>
    <row r="417">
      <c r="A417" s="28" t="inlineStr">
        <is>
          <t>Vidhi</t>
        </is>
      </c>
      <c r="B417" s="16">
        <f>IF($A417="","",IFERROR(INDEX(Roster!$B$2:$B$40,MATCH($A417,Roster!$A$2:$A$40,0)),"?"))</f>
        <v/>
      </c>
      <c r="C417" s="28" t="inlineStr">
        <is>
          <t>Chicago RE_1</t>
        </is>
      </c>
      <c r="D417" s="16">
        <f>IF($C417="","",IFERROR(IF(INDEX(Deals!$C$2:$C$355,MATCH($C417,Deals!$A$2:$A$355,0))=0,"",INDEX(Deals!$C$2:$C$355,MATCH($C417,Deals!$A$2:$A$355,0))),"?"))</f>
        <v/>
      </c>
      <c r="E417" s="16">
        <f>IF($C417="","",IFERROR(INDEX(Deals!$F$2:$F$355,MATCH($C417,Deals!$A$2:$A$355,0)),"?"))</f>
        <v/>
      </c>
      <c r="F417" s="28" t="inlineStr">
        <is>
          <t>Senior Associate</t>
        </is>
      </c>
      <c r="G417" s="28" t="inlineStr">
        <is>
          <t>Active</t>
        </is>
      </c>
      <c r="H417" s="31" t="n"/>
      <c r="I417" s="32">
        <f>IF(OR($A417="",$G417&lt;&gt;"Active"),0,IF($H417&lt;&gt;"",$H417,IF($AO417&gt;0,$AP417,IF(AND($R417&lt;&gt;"",IFERROR(INDEX(Templates!$B$3:$H$10,MATCH($R417,Templates!$A$3:$A$10,0),MATCH($F417,Templates!$B$2:$H$2,0)),0)&gt;0),INDEX(Templates!$B$3:$H$10,MATCH($R417,Templates!$A$3:$A$10,0),MATCH($F417,Templates!$B$2:$H$2,0)),IFERROR(INDEX(Settings!$B$8:$B$14,MATCH($F417,Settings!$A$8:$A$14,0)),0)))))</f>
        <v/>
      </c>
      <c r="J417" s="21">
        <f>IF($C417="",0,IFERROR(INDEX(Deals!$H$2:$H$355,MATCH($C417,Deals!$A$2:$A$355,0)),0))</f>
        <v/>
      </c>
      <c r="K417" s="32">
        <f>IF(Settings!$B$4="Yes",$I417*$J417,$I417)</f>
        <v/>
      </c>
      <c r="L417" s="22">
        <f>IF($C417="","",IFERROR(IF(INDEX(Deals!$I$2:$I$355,MATCH($C417,Deals!$A$2:$A$355,0))=0,"",INDEX(Deals!$I$2:$I$355,MATCH($C417,Deals!$A$2:$A$355,0))),""))</f>
        <v/>
      </c>
      <c r="M417" s="22">
        <f>IF($C417="","",IFERROR(IF(INDEX(Deals!$J$2:$J$355,MATCH($C417,Deals!$A$2:$A$355,0))=0,"",INDEX(Deals!$J$2:$J$355,MATCH($C417,Deals!$A$2:$A$355,0))),""))</f>
        <v/>
      </c>
      <c r="N417" s="35">
        <f>IF($L417="",DATE(1900,1,1),$L417)</f>
        <v/>
      </c>
      <c r="O417" s="35">
        <f>IF($M417="",DATE(2100,12,31),$M417)</f>
        <v/>
      </c>
      <c r="P417" s="20" t="inlineStr"/>
      <c r="Q417" s="47" t="inlineStr"/>
      <c r="R417" s="16">
        <f>IF($C417="","",IFERROR(IF(INDEX(Deals!$U$2:$U$355,MATCH($C417,Deals!$A$2:$A$355,0))=0,"",INDEX(Deals!$U$2:$U$355,MATCH($C417,Deals!$A$2:$A$355,0))),""))</f>
        <v/>
      </c>
      <c r="S417" s="34">
        <f>IFERROR(IF($U417="",1,INDEX(Deals!$V$2:$V$355,MATCH($C417,Deals!$A$2:$A$355,0))),1)</f>
        <v/>
      </c>
      <c r="T417" s="34">
        <f>IFERROR(IF($U417="",1,INDEX(Deals!$W$2:$W$355,MATCH($C417,Deals!$A$2:$A$355,0))),1)</f>
        <v/>
      </c>
      <c r="U417" s="22">
        <f>IF($C417="","",IFERROR(IF(INDEX(Deals!$Y$2:$Y$355,MATCH($C417,Deals!$A$2:$A$355,0))=0,"",INDEX(Deals!$Y$2:$Y$355,MATCH($C417,Deals!$A$2:$A$355,0))),""))</f>
        <v/>
      </c>
      <c r="V417" s="35">
        <f>IF(OR($U417&lt;&gt;"",AND($AO417&gt;0,$L417&lt;&gt;"",$M417&lt;&gt;"")),$N417,DATE(1900,1,1))</f>
        <v/>
      </c>
      <c r="W417" s="35">
        <f>IF($U417&lt;&gt;"",$U417,IF(AND($AO417&gt;0,$L417&lt;&gt;"",$M417&lt;&gt;""),$O417,DATE(2100,12,31)))</f>
        <v/>
      </c>
      <c r="X417" s="32">
        <f>IF($U417="",$K417,$K417*$S417)</f>
        <v/>
      </c>
      <c r="Y417" s="35">
        <f>IF($U417="",DATE(2100,12,31),$U417+1)</f>
        <v/>
      </c>
      <c r="Z417" s="35">
        <f>IF($U417="",DATE(1900,1,1),$O417)</f>
        <v/>
      </c>
      <c r="AA417" s="32">
        <f>IF($U417="",0,$K417*$T417)</f>
        <v/>
      </c>
      <c r="AB417" s="21">
        <f>IF($C417="",0,IFERROR(INDEX(Deals!$AD$2:$AD$355,MATCH($C417,Deals!$A$2:$A$355,0)),0))</f>
        <v/>
      </c>
      <c r="AC417" s="32">
        <f>IF(Settings!$B$4="Yes",$I417*$AB417,$I417)</f>
        <v/>
      </c>
      <c r="AD417" s="22">
        <f>IF($C417="","",IFERROR(IF(INDEX(Deals!$AE$2:$AE$355,MATCH($C417,Deals!$A$2:$A$355,0))=0,"",INDEX(Deals!$AE$2:$AE$355,MATCH($C417,Deals!$A$2:$A$355,0))),""))</f>
        <v/>
      </c>
      <c r="AE417" s="22">
        <f>IF($C417="","",IFERROR(IF(INDEX(Deals!$AF$2:$AF$355,MATCH($C417,Deals!$A$2:$A$355,0))=0,"",INDEX(Deals!$AF$2:$AF$355,MATCH($C417,Deals!$A$2:$A$355,0))),""))</f>
        <v/>
      </c>
      <c r="AF417" s="35">
        <f>IF($AD417="",DATE(1900,1,1),$AD417)</f>
        <v/>
      </c>
      <c r="AG417" s="35">
        <f>IF($AE417="",DATE(2100,12,31),$AE417)</f>
        <v/>
      </c>
      <c r="AH417" s="22">
        <f>IF($C417="","",IFERROR(IF(INDEX(Deals!$AG$2:$AG$355,MATCH($C417,Deals!$A$2:$A$355,0))=0,"",INDEX(Deals!$AG$2:$AG$355,MATCH($C417,Deals!$A$2:$A$355,0))),""))</f>
        <v/>
      </c>
      <c r="AI417" s="35">
        <f>IF(OR($AH417&lt;&gt;"",AND($AO417&gt;0,$AD417&lt;&gt;"",$AE417&lt;&gt;"")),$AF417,DATE(1900,1,1))</f>
        <v/>
      </c>
      <c r="AJ417" s="35">
        <f>IF($AH417&lt;&gt;"",$AH417,IF(AND($AO417&gt;0,$AD417&lt;&gt;"",$AE417&lt;&gt;""),$AG417,DATE(2100,12,31)))</f>
        <v/>
      </c>
      <c r="AK417" s="32">
        <f>IF($AH417="",$AC417,$AC417*$S417)</f>
        <v/>
      </c>
      <c r="AL417" s="35">
        <f>IF($AH417="",DATE(2100,12,31),$AH417+1)</f>
        <v/>
      </c>
      <c r="AM417" s="35">
        <f>IF($AH417="",DATE(1900,1,1),$AG417)</f>
        <v/>
      </c>
      <c r="AN417" s="32">
        <f>IF($AH417="",0,$AC417*$T417)</f>
        <v/>
      </c>
      <c r="AO417" s="46">
        <f>IF($C417="",0,IFERROR(INDEX(Deals!$BD$2:$BD$355,MATCH($C417,Deals!$A$2:$A$355,0)),0))</f>
        <v/>
      </c>
      <c r="AP417" s="18">
        <f>IF($AO417=0,0,IFERROR(INDEX(Deals!$BJ$2:$BP$355,MATCH($C417,Deals!$A$2:$A$355,0),MATCH($F417,Deals!$BJ$1:$BP$1,0))/COUNTIFS(Assignments!$C$2:$C$769,$C417,Assignments!$F$2:$F$769,$F417,Assignments!$G$2:$G$769,"Active"),0))</f>
        <v/>
      </c>
    </row>
    <row r="418">
      <c r="A418" s="28" t="inlineStr">
        <is>
          <t>Vidhi</t>
        </is>
      </c>
      <c r="B418" s="16">
        <f>IF($A418="","",IFERROR(INDEX(Roster!$B$2:$B$40,MATCH($A418,Roster!$A$2:$A$40,0)),"?"))</f>
        <v/>
      </c>
      <c r="C418" s="28" t="inlineStr">
        <is>
          <t>Circuit_1</t>
        </is>
      </c>
      <c r="D418" s="16">
        <f>IF($C418="","",IFERROR(IF(INDEX(Deals!$C$2:$C$355,MATCH($C418,Deals!$A$2:$A$355,0))=0,"",INDEX(Deals!$C$2:$C$355,MATCH($C418,Deals!$A$2:$A$355,0))),"?"))</f>
        <v/>
      </c>
      <c r="E418" s="16">
        <f>IF($C418="","",IFERROR(INDEX(Deals!$F$2:$F$355,MATCH($C418,Deals!$A$2:$A$355,0)),"?"))</f>
        <v/>
      </c>
      <c r="F418" s="28" t="inlineStr">
        <is>
          <t>Senior Associate</t>
        </is>
      </c>
      <c r="G418" s="28" t="inlineStr">
        <is>
          <t>Active</t>
        </is>
      </c>
      <c r="H418" s="31" t="n"/>
      <c r="I418" s="32">
        <f>IF(OR($A418="",$G418&lt;&gt;"Active"),0,IF($H418&lt;&gt;"",$H418,IF($AO418&gt;0,$AP418,IF(AND($R418&lt;&gt;"",IFERROR(INDEX(Templates!$B$3:$H$10,MATCH($R418,Templates!$A$3:$A$10,0),MATCH($F418,Templates!$B$2:$H$2,0)),0)&gt;0),INDEX(Templates!$B$3:$H$10,MATCH($R418,Templates!$A$3:$A$10,0),MATCH($F418,Templates!$B$2:$H$2,0)),IFERROR(INDEX(Settings!$B$8:$B$14,MATCH($F418,Settings!$A$8:$A$14,0)),0)))))</f>
        <v/>
      </c>
      <c r="J418" s="21">
        <f>IF($C418="",0,IFERROR(INDEX(Deals!$H$2:$H$355,MATCH($C418,Deals!$A$2:$A$355,0)),0))</f>
        <v/>
      </c>
      <c r="K418" s="32">
        <f>IF(Settings!$B$4="Yes",$I418*$J418,$I418)</f>
        <v/>
      </c>
      <c r="L418" s="22">
        <f>IF($C418="","",IFERROR(IF(INDEX(Deals!$I$2:$I$355,MATCH($C418,Deals!$A$2:$A$355,0))=0,"",INDEX(Deals!$I$2:$I$355,MATCH($C418,Deals!$A$2:$A$355,0))),""))</f>
        <v/>
      </c>
      <c r="M418" s="22">
        <f>IF($C418="","",IFERROR(IF(INDEX(Deals!$J$2:$J$355,MATCH($C418,Deals!$A$2:$A$355,0))=0,"",INDEX(Deals!$J$2:$J$355,MATCH($C418,Deals!$A$2:$A$355,0))),""))</f>
        <v/>
      </c>
      <c r="N418" s="35">
        <f>IF($L418="",DATE(1900,1,1),$L418)</f>
        <v/>
      </c>
      <c r="O418" s="35">
        <f>IF($M418="",DATE(2100,12,31),$M418)</f>
        <v/>
      </c>
      <c r="P418" s="20" t="inlineStr"/>
      <c r="Q418" s="47" t="inlineStr"/>
      <c r="R418" s="16">
        <f>IF($C418="","",IFERROR(IF(INDEX(Deals!$U$2:$U$355,MATCH($C418,Deals!$A$2:$A$355,0))=0,"",INDEX(Deals!$U$2:$U$355,MATCH($C418,Deals!$A$2:$A$355,0))),""))</f>
        <v/>
      </c>
      <c r="S418" s="34">
        <f>IFERROR(IF($U418="",1,INDEX(Deals!$V$2:$V$355,MATCH($C418,Deals!$A$2:$A$355,0))),1)</f>
        <v/>
      </c>
      <c r="T418" s="34">
        <f>IFERROR(IF($U418="",1,INDEX(Deals!$W$2:$W$355,MATCH($C418,Deals!$A$2:$A$355,0))),1)</f>
        <v/>
      </c>
      <c r="U418" s="22">
        <f>IF($C418="","",IFERROR(IF(INDEX(Deals!$Y$2:$Y$355,MATCH($C418,Deals!$A$2:$A$355,0))=0,"",INDEX(Deals!$Y$2:$Y$355,MATCH($C418,Deals!$A$2:$A$355,0))),""))</f>
        <v/>
      </c>
      <c r="V418" s="35">
        <f>IF(OR($U418&lt;&gt;"",AND($AO418&gt;0,$L418&lt;&gt;"",$M418&lt;&gt;"")),$N418,DATE(1900,1,1))</f>
        <v/>
      </c>
      <c r="W418" s="35">
        <f>IF($U418&lt;&gt;"",$U418,IF(AND($AO418&gt;0,$L418&lt;&gt;"",$M418&lt;&gt;""),$O418,DATE(2100,12,31)))</f>
        <v/>
      </c>
      <c r="X418" s="32">
        <f>IF($U418="",$K418,$K418*$S418)</f>
        <v/>
      </c>
      <c r="Y418" s="35">
        <f>IF($U418="",DATE(2100,12,31),$U418+1)</f>
        <v/>
      </c>
      <c r="Z418" s="35">
        <f>IF($U418="",DATE(1900,1,1),$O418)</f>
        <v/>
      </c>
      <c r="AA418" s="32">
        <f>IF($U418="",0,$K418*$T418)</f>
        <v/>
      </c>
      <c r="AB418" s="21">
        <f>IF($C418="",0,IFERROR(INDEX(Deals!$AD$2:$AD$355,MATCH($C418,Deals!$A$2:$A$355,0)),0))</f>
        <v/>
      </c>
      <c r="AC418" s="32">
        <f>IF(Settings!$B$4="Yes",$I418*$AB418,$I418)</f>
        <v/>
      </c>
      <c r="AD418" s="22">
        <f>IF($C418="","",IFERROR(IF(INDEX(Deals!$AE$2:$AE$355,MATCH($C418,Deals!$A$2:$A$355,0))=0,"",INDEX(Deals!$AE$2:$AE$355,MATCH($C418,Deals!$A$2:$A$355,0))),""))</f>
        <v/>
      </c>
      <c r="AE418" s="22">
        <f>IF($C418="","",IFERROR(IF(INDEX(Deals!$AF$2:$AF$355,MATCH($C418,Deals!$A$2:$A$355,0))=0,"",INDEX(Deals!$AF$2:$AF$355,MATCH($C418,Deals!$A$2:$A$355,0))),""))</f>
        <v/>
      </c>
      <c r="AF418" s="35">
        <f>IF($AD418="",DATE(1900,1,1),$AD418)</f>
        <v/>
      </c>
      <c r="AG418" s="35">
        <f>IF($AE418="",DATE(2100,12,31),$AE418)</f>
        <v/>
      </c>
      <c r="AH418" s="22">
        <f>IF($C418="","",IFERROR(IF(INDEX(Deals!$AG$2:$AG$355,MATCH($C418,Deals!$A$2:$A$355,0))=0,"",INDEX(Deals!$AG$2:$AG$355,MATCH($C418,Deals!$A$2:$A$355,0))),""))</f>
        <v/>
      </c>
      <c r="AI418" s="35">
        <f>IF(OR($AH418&lt;&gt;"",AND($AO418&gt;0,$AD418&lt;&gt;"",$AE418&lt;&gt;"")),$AF418,DATE(1900,1,1))</f>
        <v/>
      </c>
      <c r="AJ418" s="35">
        <f>IF($AH418&lt;&gt;"",$AH418,IF(AND($AO418&gt;0,$AD418&lt;&gt;"",$AE418&lt;&gt;""),$AG418,DATE(2100,12,31)))</f>
        <v/>
      </c>
      <c r="AK418" s="32">
        <f>IF($AH418="",$AC418,$AC418*$S418)</f>
        <v/>
      </c>
      <c r="AL418" s="35">
        <f>IF($AH418="",DATE(2100,12,31),$AH418+1)</f>
        <v/>
      </c>
      <c r="AM418" s="35">
        <f>IF($AH418="",DATE(1900,1,1),$AG418)</f>
        <v/>
      </c>
      <c r="AN418" s="32">
        <f>IF($AH418="",0,$AC418*$T418)</f>
        <v/>
      </c>
      <c r="AO418" s="46">
        <f>IF($C418="",0,IFERROR(INDEX(Deals!$BD$2:$BD$355,MATCH($C418,Deals!$A$2:$A$355,0)),0))</f>
        <v/>
      </c>
      <c r="AP418" s="18">
        <f>IF($AO418=0,0,IFERROR(INDEX(Deals!$BJ$2:$BP$355,MATCH($C418,Deals!$A$2:$A$355,0),MATCH($F418,Deals!$BJ$1:$BP$1,0))/COUNTIFS(Assignments!$C$2:$C$769,$C418,Assignments!$F$2:$F$769,$F418,Assignments!$G$2:$G$769,"Active"),0))</f>
        <v/>
      </c>
    </row>
    <row r="419">
      <c r="A419" s="28" t="inlineStr">
        <is>
          <t>Vidhi</t>
        </is>
      </c>
      <c r="B419" s="16">
        <f>IF($A419="","",IFERROR(INDEX(Roster!$B$2:$B$40,MATCH($A419,Roster!$A$2:$A$40,0)),"?"))</f>
        <v/>
      </c>
      <c r="C419" s="28" t="inlineStr">
        <is>
          <t>Cohost_1</t>
        </is>
      </c>
      <c r="D419" s="16">
        <f>IF($C419="","",IFERROR(IF(INDEX(Deals!$C$2:$C$355,MATCH($C419,Deals!$A$2:$A$355,0))=0,"",INDEX(Deals!$C$2:$C$355,MATCH($C419,Deals!$A$2:$A$355,0))),"?"))</f>
        <v/>
      </c>
      <c r="E419" s="16">
        <f>IF($C419="","",IFERROR(INDEX(Deals!$F$2:$F$355,MATCH($C419,Deals!$A$2:$A$355,0)),"?"))</f>
        <v/>
      </c>
      <c r="F419" s="28" t="inlineStr">
        <is>
          <t>Senior Associate</t>
        </is>
      </c>
      <c r="G419" s="28" t="inlineStr">
        <is>
          <t>Active</t>
        </is>
      </c>
      <c r="H419" s="31" t="n"/>
      <c r="I419" s="32">
        <f>IF(OR($A419="",$G419&lt;&gt;"Active"),0,IF($H419&lt;&gt;"",$H419,IF($AO419&gt;0,$AP419,IF(AND($R419&lt;&gt;"",IFERROR(INDEX(Templates!$B$3:$H$10,MATCH($R419,Templates!$A$3:$A$10,0),MATCH($F419,Templates!$B$2:$H$2,0)),0)&gt;0),INDEX(Templates!$B$3:$H$10,MATCH($R419,Templates!$A$3:$A$10,0),MATCH($F419,Templates!$B$2:$H$2,0)),IFERROR(INDEX(Settings!$B$8:$B$14,MATCH($F419,Settings!$A$8:$A$14,0)),0)))))</f>
        <v/>
      </c>
      <c r="J419" s="21">
        <f>IF($C419="",0,IFERROR(INDEX(Deals!$H$2:$H$355,MATCH($C419,Deals!$A$2:$A$355,0)),0))</f>
        <v/>
      </c>
      <c r="K419" s="32">
        <f>IF(Settings!$B$4="Yes",$I419*$J419,$I419)</f>
        <v/>
      </c>
      <c r="L419" s="22">
        <f>IF($C419="","",IFERROR(IF(INDEX(Deals!$I$2:$I$355,MATCH($C419,Deals!$A$2:$A$355,0))=0,"",INDEX(Deals!$I$2:$I$355,MATCH($C419,Deals!$A$2:$A$355,0))),""))</f>
        <v/>
      </c>
      <c r="M419" s="22">
        <f>IF($C419="","",IFERROR(IF(INDEX(Deals!$J$2:$J$355,MATCH($C419,Deals!$A$2:$A$355,0))=0,"",INDEX(Deals!$J$2:$J$355,MATCH($C419,Deals!$A$2:$A$355,0))),""))</f>
        <v/>
      </c>
      <c r="N419" s="35">
        <f>IF($L419="",DATE(1900,1,1),$L419)</f>
        <v/>
      </c>
      <c r="O419" s="35">
        <f>IF($M419="",DATE(2100,12,31),$M419)</f>
        <v/>
      </c>
      <c r="P419" s="20" t="inlineStr"/>
      <c r="Q419" s="47" t="inlineStr"/>
      <c r="R419" s="16">
        <f>IF($C419="","",IFERROR(IF(INDEX(Deals!$U$2:$U$355,MATCH($C419,Deals!$A$2:$A$355,0))=0,"",INDEX(Deals!$U$2:$U$355,MATCH($C419,Deals!$A$2:$A$355,0))),""))</f>
        <v/>
      </c>
      <c r="S419" s="34">
        <f>IFERROR(IF($U419="",1,INDEX(Deals!$V$2:$V$355,MATCH($C419,Deals!$A$2:$A$355,0))),1)</f>
        <v/>
      </c>
      <c r="T419" s="34">
        <f>IFERROR(IF($U419="",1,INDEX(Deals!$W$2:$W$355,MATCH($C419,Deals!$A$2:$A$355,0))),1)</f>
        <v/>
      </c>
      <c r="U419" s="22">
        <f>IF($C419="","",IFERROR(IF(INDEX(Deals!$Y$2:$Y$355,MATCH($C419,Deals!$A$2:$A$355,0))=0,"",INDEX(Deals!$Y$2:$Y$355,MATCH($C419,Deals!$A$2:$A$355,0))),""))</f>
        <v/>
      </c>
      <c r="V419" s="35">
        <f>IF(OR($U419&lt;&gt;"",AND($AO419&gt;0,$L419&lt;&gt;"",$M419&lt;&gt;"")),$N419,DATE(1900,1,1))</f>
        <v/>
      </c>
      <c r="W419" s="35">
        <f>IF($U419&lt;&gt;"",$U419,IF(AND($AO419&gt;0,$L419&lt;&gt;"",$M419&lt;&gt;""),$O419,DATE(2100,12,31)))</f>
        <v/>
      </c>
      <c r="X419" s="32">
        <f>IF($U419="",$K419,$K419*$S419)</f>
        <v/>
      </c>
      <c r="Y419" s="35">
        <f>IF($U419="",DATE(2100,12,31),$U419+1)</f>
        <v/>
      </c>
      <c r="Z419" s="35">
        <f>IF($U419="",DATE(1900,1,1),$O419)</f>
        <v/>
      </c>
      <c r="AA419" s="32">
        <f>IF($U419="",0,$K419*$T419)</f>
        <v/>
      </c>
      <c r="AB419" s="21">
        <f>IF($C419="",0,IFERROR(INDEX(Deals!$AD$2:$AD$355,MATCH($C419,Deals!$A$2:$A$355,0)),0))</f>
        <v/>
      </c>
      <c r="AC419" s="32">
        <f>IF(Settings!$B$4="Yes",$I419*$AB419,$I419)</f>
        <v/>
      </c>
      <c r="AD419" s="22">
        <f>IF($C419="","",IFERROR(IF(INDEX(Deals!$AE$2:$AE$355,MATCH($C419,Deals!$A$2:$A$355,0))=0,"",INDEX(Deals!$AE$2:$AE$355,MATCH($C419,Deals!$A$2:$A$355,0))),""))</f>
        <v/>
      </c>
      <c r="AE419" s="22">
        <f>IF($C419="","",IFERROR(IF(INDEX(Deals!$AF$2:$AF$355,MATCH($C419,Deals!$A$2:$A$355,0))=0,"",INDEX(Deals!$AF$2:$AF$355,MATCH($C419,Deals!$A$2:$A$355,0))),""))</f>
        <v/>
      </c>
      <c r="AF419" s="35">
        <f>IF($AD419="",DATE(1900,1,1),$AD419)</f>
        <v/>
      </c>
      <c r="AG419" s="35">
        <f>IF($AE419="",DATE(2100,12,31),$AE419)</f>
        <v/>
      </c>
      <c r="AH419" s="22">
        <f>IF($C419="","",IFERROR(IF(INDEX(Deals!$AG$2:$AG$355,MATCH($C419,Deals!$A$2:$A$355,0))=0,"",INDEX(Deals!$AG$2:$AG$355,MATCH($C419,Deals!$A$2:$A$355,0))),""))</f>
        <v/>
      </c>
      <c r="AI419" s="35">
        <f>IF(OR($AH419&lt;&gt;"",AND($AO419&gt;0,$AD419&lt;&gt;"",$AE419&lt;&gt;"")),$AF419,DATE(1900,1,1))</f>
        <v/>
      </c>
      <c r="AJ419" s="35">
        <f>IF($AH419&lt;&gt;"",$AH419,IF(AND($AO419&gt;0,$AD419&lt;&gt;"",$AE419&lt;&gt;""),$AG419,DATE(2100,12,31)))</f>
        <v/>
      </c>
      <c r="AK419" s="32">
        <f>IF($AH419="",$AC419,$AC419*$S419)</f>
        <v/>
      </c>
      <c r="AL419" s="35">
        <f>IF($AH419="",DATE(2100,12,31),$AH419+1)</f>
        <v/>
      </c>
      <c r="AM419" s="35">
        <f>IF($AH419="",DATE(1900,1,1),$AG419)</f>
        <v/>
      </c>
      <c r="AN419" s="32">
        <f>IF($AH419="",0,$AC419*$T419)</f>
        <v/>
      </c>
      <c r="AO419" s="46">
        <f>IF($C419="",0,IFERROR(INDEX(Deals!$BD$2:$BD$355,MATCH($C419,Deals!$A$2:$A$355,0)),0))</f>
        <v/>
      </c>
      <c r="AP419" s="18">
        <f>IF($AO419=0,0,IFERROR(INDEX(Deals!$BJ$2:$BP$355,MATCH($C419,Deals!$A$2:$A$355,0),MATCH($F419,Deals!$BJ$1:$BP$1,0))/COUNTIFS(Assignments!$C$2:$C$769,$C419,Assignments!$F$2:$F$769,$F419,Assignments!$G$2:$G$769,"Active"),0))</f>
        <v/>
      </c>
    </row>
    <row r="420">
      <c r="A420" s="28" t="inlineStr">
        <is>
          <t>Vidhi</t>
        </is>
      </c>
      <c r="B420" s="16">
        <f>IF($A420="","",IFERROR(INDEX(Roster!$B$2:$B$40,MATCH($A420,Roster!$A$2:$A$40,0)),"?"))</f>
        <v/>
      </c>
      <c r="C420" s="28" t="inlineStr">
        <is>
          <t>Concrete_1</t>
        </is>
      </c>
      <c r="D420" s="16">
        <f>IF($C420="","",IFERROR(IF(INDEX(Deals!$C$2:$C$355,MATCH($C420,Deals!$A$2:$A$355,0))=0,"",INDEX(Deals!$C$2:$C$355,MATCH($C420,Deals!$A$2:$A$355,0))),"?"))</f>
        <v/>
      </c>
      <c r="E420" s="16">
        <f>IF($C420="","",IFERROR(INDEX(Deals!$F$2:$F$355,MATCH($C420,Deals!$A$2:$A$355,0)),"?"))</f>
        <v/>
      </c>
      <c r="F420" s="28" t="inlineStr">
        <is>
          <t>Senior Associate</t>
        </is>
      </c>
      <c r="G420" s="28" t="inlineStr">
        <is>
          <t>Active</t>
        </is>
      </c>
      <c r="H420" s="31" t="n"/>
      <c r="I420" s="32">
        <f>IF(OR($A420="",$G420&lt;&gt;"Active"),0,IF($H420&lt;&gt;"",$H420,IF($AO420&gt;0,$AP420,IF(AND($R420&lt;&gt;"",IFERROR(INDEX(Templates!$B$3:$H$10,MATCH($R420,Templates!$A$3:$A$10,0),MATCH($F420,Templates!$B$2:$H$2,0)),0)&gt;0),INDEX(Templates!$B$3:$H$10,MATCH($R420,Templates!$A$3:$A$10,0),MATCH($F420,Templates!$B$2:$H$2,0)),IFERROR(INDEX(Settings!$B$8:$B$14,MATCH($F420,Settings!$A$8:$A$14,0)),0)))))</f>
        <v/>
      </c>
      <c r="J420" s="21">
        <f>IF($C420="",0,IFERROR(INDEX(Deals!$H$2:$H$355,MATCH($C420,Deals!$A$2:$A$355,0)),0))</f>
        <v/>
      </c>
      <c r="K420" s="32">
        <f>IF(Settings!$B$4="Yes",$I420*$J420,$I420)</f>
        <v/>
      </c>
      <c r="L420" s="22">
        <f>IF($C420="","",IFERROR(IF(INDEX(Deals!$I$2:$I$355,MATCH($C420,Deals!$A$2:$A$355,0))=0,"",INDEX(Deals!$I$2:$I$355,MATCH($C420,Deals!$A$2:$A$355,0))),""))</f>
        <v/>
      </c>
      <c r="M420" s="22">
        <f>IF($C420="","",IFERROR(IF(INDEX(Deals!$J$2:$J$355,MATCH($C420,Deals!$A$2:$A$355,0))=0,"",INDEX(Deals!$J$2:$J$355,MATCH($C420,Deals!$A$2:$A$355,0))),""))</f>
        <v/>
      </c>
      <c r="N420" s="35">
        <f>IF($L420="",DATE(1900,1,1),$L420)</f>
        <v/>
      </c>
      <c r="O420" s="35">
        <f>IF($M420="",DATE(2100,12,31),$M420)</f>
        <v/>
      </c>
      <c r="P420" s="20" t="inlineStr"/>
      <c r="Q420" s="47" t="inlineStr"/>
      <c r="R420" s="16">
        <f>IF($C420="","",IFERROR(IF(INDEX(Deals!$U$2:$U$355,MATCH($C420,Deals!$A$2:$A$355,0))=0,"",INDEX(Deals!$U$2:$U$355,MATCH($C420,Deals!$A$2:$A$355,0))),""))</f>
        <v/>
      </c>
      <c r="S420" s="34">
        <f>IFERROR(IF($U420="",1,INDEX(Deals!$V$2:$V$355,MATCH($C420,Deals!$A$2:$A$355,0))),1)</f>
        <v/>
      </c>
      <c r="T420" s="34">
        <f>IFERROR(IF($U420="",1,INDEX(Deals!$W$2:$W$355,MATCH($C420,Deals!$A$2:$A$355,0))),1)</f>
        <v/>
      </c>
      <c r="U420" s="22">
        <f>IF($C420="","",IFERROR(IF(INDEX(Deals!$Y$2:$Y$355,MATCH($C420,Deals!$A$2:$A$355,0))=0,"",INDEX(Deals!$Y$2:$Y$355,MATCH($C420,Deals!$A$2:$A$355,0))),""))</f>
        <v/>
      </c>
      <c r="V420" s="35">
        <f>IF(OR($U420&lt;&gt;"",AND($AO420&gt;0,$L420&lt;&gt;"",$M420&lt;&gt;"")),$N420,DATE(1900,1,1))</f>
        <v/>
      </c>
      <c r="W420" s="35">
        <f>IF($U420&lt;&gt;"",$U420,IF(AND($AO420&gt;0,$L420&lt;&gt;"",$M420&lt;&gt;""),$O420,DATE(2100,12,31)))</f>
        <v/>
      </c>
      <c r="X420" s="32">
        <f>IF($U420="",$K420,$K420*$S420)</f>
        <v/>
      </c>
      <c r="Y420" s="35">
        <f>IF($U420="",DATE(2100,12,31),$U420+1)</f>
        <v/>
      </c>
      <c r="Z420" s="35">
        <f>IF($U420="",DATE(1900,1,1),$O420)</f>
        <v/>
      </c>
      <c r="AA420" s="32">
        <f>IF($U420="",0,$K420*$T420)</f>
        <v/>
      </c>
      <c r="AB420" s="21">
        <f>IF($C420="",0,IFERROR(INDEX(Deals!$AD$2:$AD$355,MATCH($C420,Deals!$A$2:$A$355,0)),0))</f>
        <v/>
      </c>
      <c r="AC420" s="32">
        <f>IF(Settings!$B$4="Yes",$I420*$AB420,$I420)</f>
        <v/>
      </c>
      <c r="AD420" s="22">
        <f>IF($C420="","",IFERROR(IF(INDEX(Deals!$AE$2:$AE$355,MATCH($C420,Deals!$A$2:$A$355,0))=0,"",INDEX(Deals!$AE$2:$AE$355,MATCH($C420,Deals!$A$2:$A$355,0))),""))</f>
        <v/>
      </c>
      <c r="AE420" s="22">
        <f>IF($C420="","",IFERROR(IF(INDEX(Deals!$AF$2:$AF$355,MATCH($C420,Deals!$A$2:$A$355,0))=0,"",INDEX(Deals!$AF$2:$AF$355,MATCH($C420,Deals!$A$2:$A$355,0))),""))</f>
        <v/>
      </c>
      <c r="AF420" s="35">
        <f>IF($AD420="",DATE(1900,1,1),$AD420)</f>
        <v/>
      </c>
      <c r="AG420" s="35">
        <f>IF($AE420="",DATE(2100,12,31),$AE420)</f>
        <v/>
      </c>
      <c r="AH420" s="22">
        <f>IF($C420="","",IFERROR(IF(INDEX(Deals!$AG$2:$AG$355,MATCH($C420,Deals!$A$2:$A$355,0))=0,"",INDEX(Deals!$AG$2:$AG$355,MATCH($C420,Deals!$A$2:$A$355,0))),""))</f>
        <v/>
      </c>
      <c r="AI420" s="35">
        <f>IF(OR($AH420&lt;&gt;"",AND($AO420&gt;0,$AD420&lt;&gt;"",$AE420&lt;&gt;"")),$AF420,DATE(1900,1,1))</f>
        <v/>
      </c>
      <c r="AJ420" s="35">
        <f>IF($AH420&lt;&gt;"",$AH420,IF(AND($AO420&gt;0,$AD420&lt;&gt;"",$AE420&lt;&gt;""),$AG420,DATE(2100,12,31)))</f>
        <v/>
      </c>
      <c r="AK420" s="32">
        <f>IF($AH420="",$AC420,$AC420*$S420)</f>
        <v/>
      </c>
      <c r="AL420" s="35">
        <f>IF($AH420="",DATE(2100,12,31),$AH420+1)</f>
        <v/>
      </c>
      <c r="AM420" s="35">
        <f>IF($AH420="",DATE(1900,1,1),$AG420)</f>
        <v/>
      </c>
      <c r="AN420" s="32">
        <f>IF($AH420="",0,$AC420*$T420)</f>
        <v/>
      </c>
      <c r="AO420" s="46">
        <f>IF($C420="",0,IFERROR(INDEX(Deals!$BD$2:$BD$355,MATCH($C420,Deals!$A$2:$A$355,0)),0))</f>
        <v/>
      </c>
      <c r="AP420" s="18">
        <f>IF($AO420=0,0,IFERROR(INDEX(Deals!$BJ$2:$BP$355,MATCH($C420,Deals!$A$2:$A$355,0),MATCH($F420,Deals!$BJ$1:$BP$1,0))/COUNTIFS(Assignments!$C$2:$C$769,$C420,Assignments!$F$2:$F$769,$F420,Assignments!$G$2:$G$769,"Active"),0))</f>
        <v/>
      </c>
    </row>
    <row r="421">
      <c r="A421" s="28" t="inlineStr">
        <is>
          <t>Vidhi</t>
        </is>
      </c>
      <c r="B421" s="16">
        <f>IF($A421="","",IFERROR(INDEX(Roster!$B$2:$B$40,MATCH($A421,Roster!$A$2:$A$40,0)),"?"))</f>
        <v/>
      </c>
      <c r="C421" s="28" t="inlineStr">
        <is>
          <t>Medicis_1</t>
        </is>
      </c>
      <c r="D421" s="16">
        <f>IF($C421="","",IFERROR(IF(INDEX(Deals!$C$2:$C$355,MATCH($C421,Deals!$A$2:$A$355,0))=0,"",INDEX(Deals!$C$2:$C$355,MATCH($C421,Deals!$A$2:$A$355,0))),"?"))</f>
        <v/>
      </c>
      <c r="E421" s="16">
        <f>IF($C421="","",IFERROR(INDEX(Deals!$F$2:$F$355,MATCH($C421,Deals!$A$2:$A$355,0)),"?"))</f>
        <v/>
      </c>
      <c r="F421" s="28" t="inlineStr">
        <is>
          <t>Senior Associate</t>
        </is>
      </c>
      <c r="G421" s="28" t="inlineStr">
        <is>
          <t>Active</t>
        </is>
      </c>
      <c r="H421" s="31" t="n"/>
      <c r="I421" s="32">
        <f>IF(OR($A421="",$G421&lt;&gt;"Active"),0,IF($H421&lt;&gt;"",$H421,IF($AO421&gt;0,$AP421,IF(AND($R421&lt;&gt;"",IFERROR(INDEX(Templates!$B$3:$H$10,MATCH($R421,Templates!$A$3:$A$10,0),MATCH($F421,Templates!$B$2:$H$2,0)),0)&gt;0),INDEX(Templates!$B$3:$H$10,MATCH($R421,Templates!$A$3:$A$10,0),MATCH($F421,Templates!$B$2:$H$2,0)),IFERROR(INDEX(Settings!$B$8:$B$14,MATCH($F421,Settings!$A$8:$A$14,0)),0)))))</f>
        <v/>
      </c>
      <c r="J421" s="21">
        <f>IF($C421="",0,IFERROR(INDEX(Deals!$H$2:$H$355,MATCH($C421,Deals!$A$2:$A$355,0)),0))</f>
        <v/>
      </c>
      <c r="K421" s="32">
        <f>IF(Settings!$B$4="Yes",$I421*$J421,$I421)</f>
        <v/>
      </c>
      <c r="L421" s="22">
        <f>IF($C421="","",IFERROR(IF(INDEX(Deals!$I$2:$I$355,MATCH($C421,Deals!$A$2:$A$355,0))=0,"",INDEX(Deals!$I$2:$I$355,MATCH($C421,Deals!$A$2:$A$355,0))),""))</f>
        <v/>
      </c>
      <c r="M421" s="22">
        <f>IF($C421="","",IFERROR(IF(INDEX(Deals!$J$2:$J$355,MATCH($C421,Deals!$A$2:$A$355,0))=0,"",INDEX(Deals!$J$2:$J$355,MATCH($C421,Deals!$A$2:$A$355,0))),""))</f>
        <v/>
      </c>
      <c r="N421" s="35">
        <f>IF($L421="",DATE(1900,1,1),$L421)</f>
        <v/>
      </c>
      <c r="O421" s="35">
        <f>IF($M421="",DATE(2100,12,31),$M421)</f>
        <v/>
      </c>
      <c r="P421" s="20" t="inlineStr"/>
      <c r="Q421" s="47" t="inlineStr"/>
      <c r="R421" s="16">
        <f>IF($C421="","",IFERROR(IF(INDEX(Deals!$U$2:$U$355,MATCH($C421,Deals!$A$2:$A$355,0))=0,"",INDEX(Deals!$U$2:$U$355,MATCH($C421,Deals!$A$2:$A$355,0))),""))</f>
        <v/>
      </c>
      <c r="S421" s="34">
        <f>IFERROR(IF($U421="",1,INDEX(Deals!$V$2:$V$355,MATCH($C421,Deals!$A$2:$A$355,0))),1)</f>
        <v/>
      </c>
      <c r="T421" s="34">
        <f>IFERROR(IF($U421="",1,INDEX(Deals!$W$2:$W$355,MATCH($C421,Deals!$A$2:$A$355,0))),1)</f>
        <v/>
      </c>
      <c r="U421" s="22">
        <f>IF($C421="","",IFERROR(IF(INDEX(Deals!$Y$2:$Y$355,MATCH($C421,Deals!$A$2:$A$355,0))=0,"",INDEX(Deals!$Y$2:$Y$355,MATCH($C421,Deals!$A$2:$A$355,0))),""))</f>
        <v/>
      </c>
      <c r="V421" s="35">
        <f>IF(OR($U421&lt;&gt;"",AND($AO421&gt;0,$L421&lt;&gt;"",$M421&lt;&gt;"")),$N421,DATE(1900,1,1))</f>
        <v/>
      </c>
      <c r="W421" s="35">
        <f>IF($U421&lt;&gt;"",$U421,IF(AND($AO421&gt;0,$L421&lt;&gt;"",$M421&lt;&gt;""),$O421,DATE(2100,12,31)))</f>
        <v/>
      </c>
      <c r="X421" s="32">
        <f>IF($U421="",$K421,$K421*$S421)</f>
        <v/>
      </c>
      <c r="Y421" s="35">
        <f>IF($U421="",DATE(2100,12,31),$U421+1)</f>
        <v/>
      </c>
      <c r="Z421" s="35">
        <f>IF($U421="",DATE(1900,1,1),$O421)</f>
        <v/>
      </c>
      <c r="AA421" s="32">
        <f>IF($U421="",0,$K421*$T421)</f>
        <v/>
      </c>
      <c r="AB421" s="21">
        <f>IF($C421="",0,IFERROR(INDEX(Deals!$AD$2:$AD$355,MATCH($C421,Deals!$A$2:$A$355,0)),0))</f>
        <v/>
      </c>
      <c r="AC421" s="32">
        <f>IF(Settings!$B$4="Yes",$I421*$AB421,$I421)</f>
        <v/>
      </c>
      <c r="AD421" s="22">
        <f>IF($C421="","",IFERROR(IF(INDEX(Deals!$AE$2:$AE$355,MATCH($C421,Deals!$A$2:$A$355,0))=0,"",INDEX(Deals!$AE$2:$AE$355,MATCH($C421,Deals!$A$2:$A$355,0))),""))</f>
        <v/>
      </c>
      <c r="AE421" s="22">
        <f>IF($C421="","",IFERROR(IF(INDEX(Deals!$AF$2:$AF$355,MATCH($C421,Deals!$A$2:$A$355,0))=0,"",INDEX(Deals!$AF$2:$AF$355,MATCH($C421,Deals!$A$2:$A$355,0))),""))</f>
        <v/>
      </c>
      <c r="AF421" s="35">
        <f>IF($AD421="",DATE(1900,1,1),$AD421)</f>
        <v/>
      </c>
      <c r="AG421" s="35">
        <f>IF($AE421="",DATE(2100,12,31),$AE421)</f>
        <v/>
      </c>
      <c r="AH421" s="22">
        <f>IF($C421="","",IFERROR(IF(INDEX(Deals!$AG$2:$AG$355,MATCH($C421,Deals!$A$2:$A$355,0))=0,"",INDEX(Deals!$AG$2:$AG$355,MATCH($C421,Deals!$A$2:$A$355,0))),""))</f>
        <v/>
      </c>
      <c r="AI421" s="35">
        <f>IF(OR($AH421&lt;&gt;"",AND($AO421&gt;0,$AD421&lt;&gt;"",$AE421&lt;&gt;"")),$AF421,DATE(1900,1,1))</f>
        <v/>
      </c>
      <c r="AJ421" s="35">
        <f>IF($AH421&lt;&gt;"",$AH421,IF(AND($AO421&gt;0,$AD421&lt;&gt;"",$AE421&lt;&gt;""),$AG421,DATE(2100,12,31)))</f>
        <v/>
      </c>
      <c r="AK421" s="32">
        <f>IF($AH421="",$AC421,$AC421*$S421)</f>
        <v/>
      </c>
      <c r="AL421" s="35">
        <f>IF($AH421="",DATE(2100,12,31),$AH421+1)</f>
        <v/>
      </c>
      <c r="AM421" s="35">
        <f>IF($AH421="",DATE(1900,1,1),$AG421)</f>
        <v/>
      </c>
      <c r="AN421" s="32">
        <f>IF($AH421="",0,$AC421*$T421)</f>
        <v/>
      </c>
      <c r="AO421" s="46">
        <f>IF($C421="",0,IFERROR(INDEX(Deals!$BD$2:$BD$355,MATCH($C421,Deals!$A$2:$A$355,0)),0))</f>
        <v/>
      </c>
      <c r="AP421" s="18">
        <f>IF($AO421=0,0,IFERROR(INDEX(Deals!$BJ$2:$BP$355,MATCH($C421,Deals!$A$2:$A$355,0),MATCH($F421,Deals!$BJ$1:$BP$1,0))/COUNTIFS(Assignments!$C$2:$C$769,$C421,Assignments!$F$2:$F$769,$F421,Assignments!$G$2:$G$769,"Active"),0))</f>
        <v/>
      </c>
    </row>
    <row r="422">
      <c r="A422" s="28" t="inlineStr">
        <is>
          <t>Vidhi</t>
        </is>
      </c>
      <c r="B422" s="16">
        <f>IF($A422="","",IFERROR(INDEX(Roster!$B$2:$B$40,MATCH($A422,Roster!$A$2:$A$40,0)),"?"))</f>
        <v/>
      </c>
      <c r="C422" s="28" t="inlineStr">
        <is>
          <t>MIF_1</t>
        </is>
      </c>
      <c r="D422" s="16">
        <f>IF($C422="","",IFERROR(IF(INDEX(Deals!$C$2:$C$355,MATCH($C422,Deals!$A$2:$A$355,0))=0,"",INDEX(Deals!$C$2:$C$355,MATCH($C422,Deals!$A$2:$A$355,0))),"?"))</f>
        <v/>
      </c>
      <c r="E422" s="16">
        <f>IF($C422="","",IFERROR(INDEX(Deals!$F$2:$F$355,MATCH($C422,Deals!$A$2:$A$355,0)),"?"))</f>
        <v/>
      </c>
      <c r="F422" s="28" t="inlineStr">
        <is>
          <t>Senior Associate</t>
        </is>
      </c>
      <c r="G422" s="28" t="inlineStr">
        <is>
          <t>Active</t>
        </is>
      </c>
      <c r="H422" s="31" t="n"/>
      <c r="I422" s="32">
        <f>IF(OR($A422="",$G422&lt;&gt;"Active"),0,IF($H422&lt;&gt;"",$H422,IF($AO422&gt;0,$AP422,IF(AND($R422&lt;&gt;"",IFERROR(INDEX(Templates!$B$3:$H$10,MATCH($R422,Templates!$A$3:$A$10,0),MATCH($F422,Templates!$B$2:$H$2,0)),0)&gt;0),INDEX(Templates!$B$3:$H$10,MATCH($R422,Templates!$A$3:$A$10,0),MATCH($F422,Templates!$B$2:$H$2,0)),IFERROR(INDEX(Settings!$B$8:$B$14,MATCH($F422,Settings!$A$8:$A$14,0)),0)))))</f>
        <v/>
      </c>
      <c r="J422" s="21">
        <f>IF($C422="",0,IFERROR(INDEX(Deals!$H$2:$H$355,MATCH($C422,Deals!$A$2:$A$355,0)),0))</f>
        <v/>
      </c>
      <c r="K422" s="32">
        <f>IF(Settings!$B$4="Yes",$I422*$J422,$I422)</f>
        <v/>
      </c>
      <c r="L422" s="22">
        <f>IF($C422="","",IFERROR(IF(INDEX(Deals!$I$2:$I$355,MATCH($C422,Deals!$A$2:$A$355,0))=0,"",INDEX(Deals!$I$2:$I$355,MATCH($C422,Deals!$A$2:$A$355,0))),""))</f>
        <v/>
      </c>
      <c r="M422" s="22">
        <f>IF($C422="","",IFERROR(IF(INDEX(Deals!$J$2:$J$355,MATCH($C422,Deals!$A$2:$A$355,0))=0,"",INDEX(Deals!$J$2:$J$355,MATCH($C422,Deals!$A$2:$A$355,0))),""))</f>
        <v/>
      </c>
      <c r="N422" s="35">
        <f>IF($L422="",DATE(1900,1,1),$L422)</f>
        <v/>
      </c>
      <c r="O422" s="35">
        <f>IF($M422="",DATE(2100,12,31),$M422)</f>
        <v/>
      </c>
      <c r="P422" s="20" t="inlineStr"/>
      <c r="Q422" s="47" t="inlineStr"/>
      <c r="R422" s="16">
        <f>IF($C422="","",IFERROR(IF(INDEX(Deals!$U$2:$U$355,MATCH($C422,Deals!$A$2:$A$355,0))=0,"",INDEX(Deals!$U$2:$U$355,MATCH($C422,Deals!$A$2:$A$355,0))),""))</f>
        <v/>
      </c>
      <c r="S422" s="34">
        <f>IFERROR(IF($U422="",1,INDEX(Deals!$V$2:$V$355,MATCH($C422,Deals!$A$2:$A$355,0))),1)</f>
        <v/>
      </c>
      <c r="T422" s="34">
        <f>IFERROR(IF($U422="",1,INDEX(Deals!$W$2:$W$355,MATCH($C422,Deals!$A$2:$A$355,0))),1)</f>
        <v/>
      </c>
      <c r="U422" s="22">
        <f>IF($C422="","",IFERROR(IF(INDEX(Deals!$Y$2:$Y$355,MATCH($C422,Deals!$A$2:$A$355,0))=0,"",INDEX(Deals!$Y$2:$Y$355,MATCH($C422,Deals!$A$2:$A$355,0))),""))</f>
        <v/>
      </c>
      <c r="V422" s="35">
        <f>IF(OR($U422&lt;&gt;"",AND($AO422&gt;0,$L422&lt;&gt;"",$M422&lt;&gt;"")),$N422,DATE(1900,1,1))</f>
        <v/>
      </c>
      <c r="W422" s="35">
        <f>IF($U422&lt;&gt;"",$U422,IF(AND($AO422&gt;0,$L422&lt;&gt;"",$M422&lt;&gt;""),$O422,DATE(2100,12,31)))</f>
        <v/>
      </c>
      <c r="X422" s="32">
        <f>IF($U422="",$K422,$K422*$S422)</f>
        <v/>
      </c>
      <c r="Y422" s="35">
        <f>IF($U422="",DATE(2100,12,31),$U422+1)</f>
        <v/>
      </c>
      <c r="Z422" s="35">
        <f>IF($U422="",DATE(1900,1,1),$O422)</f>
        <v/>
      </c>
      <c r="AA422" s="32">
        <f>IF($U422="",0,$K422*$T422)</f>
        <v/>
      </c>
      <c r="AB422" s="21">
        <f>IF($C422="",0,IFERROR(INDEX(Deals!$AD$2:$AD$355,MATCH($C422,Deals!$A$2:$A$355,0)),0))</f>
        <v/>
      </c>
      <c r="AC422" s="32">
        <f>IF(Settings!$B$4="Yes",$I422*$AB422,$I422)</f>
        <v/>
      </c>
      <c r="AD422" s="22">
        <f>IF($C422="","",IFERROR(IF(INDEX(Deals!$AE$2:$AE$355,MATCH($C422,Deals!$A$2:$A$355,0))=0,"",INDEX(Deals!$AE$2:$AE$355,MATCH($C422,Deals!$A$2:$A$355,0))),""))</f>
        <v/>
      </c>
      <c r="AE422" s="22">
        <f>IF($C422="","",IFERROR(IF(INDEX(Deals!$AF$2:$AF$355,MATCH($C422,Deals!$A$2:$A$355,0))=0,"",INDEX(Deals!$AF$2:$AF$355,MATCH($C422,Deals!$A$2:$A$355,0))),""))</f>
        <v/>
      </c>
      <c r="AF422" s="35">
        <f>IF($AD422="",DATE(1900,1,1),$AD422)</f>
        <v/>
      </c>
      <c r="AG422" s="35">
        <f>IF($AE422="",DATE(2100,12,31),$AE422)</f>
        <v/>
      </c>
      <c r="AH422" s="22">
        <f>IF($C422="","",IFERROR(IF(INDEX(Deals!$AG$2:$AG$355,MATCH($C422,Deals!$A$2:$A$355,0))=0,"",INDEX(Deals!$AG$2:$AG$355,MATCH($C422,Deals!$A$2:$A$355,0))),""))</f>
        <v/>
      </c>
      <c r="AI422" s="35">
        <f>IF(OR($AH422&lt;&gt;"",AND($AO422&gt;0,$AD422&lt;&gt;"",$AE422&lt;&gt;"")),$AF422,DATE(1900,1,1))</f>
        <v/>
      </c>
      <c r="AJ422" s="35">
        <f>IF($AH422&lt;&gt;"",$AH422,IF(AND($AO422&gt;0,$AD422&lt;&gt;"",$AE422&lt;&gt;""),$AG422,DATE(2100,12,31)))</f>
        <v/>
      </c>
      <c r="AK422" s="32">
        <f>IF($AH422="",$AC422,$AC422*$S422)</f>
        <v/>
      </c>
      <c r="AL422" s="35">
        <f>IF($AH422="",DATE(2100,12,31),$AH422+1)</f>
        <v/>
      </c>
      <c r="AM422" s="35">
        <f>IF($AH422="",DATE(1900,1,1),$AG422)</f>
        <v/>
      </c>
      <c r="AN422" s="32">
        <f>IF($AH422="",0,$AC422*$T422)</f>
        <v/>
      </c>
      <c r="AO422" s="46">
        <f>IF($C422="",0,IFERROR(INDEX(Deals!$BD$2:$BD$355,MATCH($C422,Deals!$A$2:$A$355,0)),0))</f>
        <v/>
      </c>
      <c r="AP422" s="18">
        <f>IF($AO422=0,0,IFERROR(INDEX(Deals!$BJ$2:$BP$355,MATCH($C422,Deals!$A$2:$A$355,0),MATCH($F422,Deals!$BJ$1:$BP$1,0))/COUNTIFS(Assignments!$C$2:$C$769,$C422,Assignments!$F$2:$F$769,$F422,Assignments!$G$2:$G$769,"Active"),0))</f>
        <v/>
      </c>
    </row>
    <row r="423">
      <c r="A423" s="28" t="inlineStr">
        <is>
          <t>Vidhi</t>
        </is>
      </c>
      <c r="B423" s="16">
        <f>IF($A423="","",IFERROR(INDEX(Roster!$B$2:$B$40,MATCH($A423,Roster!$A$2:$A$40,0)),"?"))</f>
        <v/>
      </c>
      <c r="C423" s="28" t="inlineStr">
        <is>
          <t>Pocket_1</t>
        </is>
      </c>
      <c r="D423" s="16">
        <f>IF($C423="","",IFERROR(IF(INDEX(Deals!$C$2:$C$355,MATCH($C423,Deals!$A$2:$A$355,0))=0,"",INDEX(Deals!$C$2:$C$355,MATCH($C423,Deals!$A$2:$A$355,0))),"?"))</f>
        <v/>
      </c>
      <c r="E423" s="16">
        <f>IF($C423="","",IFERROR(INDEX(Deals!$F$2:$F$355,MATCH($C423,Deals!$A$2:$A$355,0)),"?"))</f>
        <v/>
      </c>
      <c r="F423" s="28" t="inlineStr">
        <is>
          <t>Senior Associate</t>
        </is>
      </c>
      <c r="G423" s="28" t="inlineStr">
        <is>
          <t>Active</t>
        </is>
      </c>
      <c r="H423" s="31" t="n"/>
      <c r="I423" s="32">
        <f>IF(OR($A423="",$G423&lt;&gt;"Active"),0,IF($H423&lt;&gt;"",$H423,IF($AO423&gt;0,$AP423,IF(AND($R423&lt;&gt;"",IFERROR(INDEX(Templates!$B$3:$H$10,MATCH($R423,Templates!$A$3:$A$10,0),MATCH($F423,Templates!$B$2:$H$2,0)),0)&gt;0),INDEX(Templates!$B$3:$H$10,MATCH($R423,Templates!$A$3:$A$10,0),MATCH($F423,Templates!$B$2:$H$2,0)),IFERROR(INDEX(Settings!$B$8:$B$14,MATCH($F423,Settings!$A$8:$A$14,0)),0)))))</f>
        <v/>
      </c>
      <c r="J423" s="21">
        <f>IF($C423="",0,IFERROR(INDEX(Deals!$H$2:$H$355,MATCH($C423,Deals!$A$2:$A$355,0)),0))</f>
        <v/>
      </c>
      <c r="K423" s="32">
        <f>IF(Settings!$B$4="Yes",$I423*$J423,$I423)</f>
        <v/>
      </c>
      <c r="L423" s="22">
        <f>IF($C423="","",IFERROR(IF(INDEX(Deals!$I$2:$I$355,MATCH($C423,Deals!$A$2:$A$355,0))=0,"",INDEX(Deals!$I$2:$I$355,MATCH($C423,Deals!$A$2:$A$355,0))),""))</f>
        <v/>
      </c>
      <c r="M423" s="22">
        <f>IF($C423="","",IFERROR(IF(INDEX(Deals!$J$2:$J$355,MATCH($C423,Deals!$A$2:$A$355,0))=0,"",INDEX(Deals!$J$2:$J$355,MATCH($C423,Deals!$A$2:$A$355,0))),""))</f>
        <v/>
      </c>
      <c r="N423" s="35">
        <f>IF($L423="",DATE(1900,1,1),$L423)</f>
        <v/>
      </c>
      <c r="O423" s="35">
        <f>IF($M423="",DATE(2100,12,31),$M423)</f>
        <v/>
      </c>
      <c r="P423" s="20" t="inlineStr"/>
      <c r="Q423" s="47" t="inlineStr"/>
      <c r="R423" s="16">
        <f>IF($C423="","",IFERROR(IF(INDEX(Deals!$U$2:$U$355,MATCH($C423,Deals!$A$2:$A$355,0))=0,"",INDEX(Deals!$U$2:$U$355,MATCH($C423,Deals!$A$2:$A$355,0))),""))</f>
        <v/>
      </c>
      <c r="S423" s="34">
        <f>IFERROR(IF($U423="",1,INDEX(Deals!$V$2:$V$355,MATCH($C423,Deals!$A$2:$A$355,0))),1)</f>
        <v/>
      </c>
      <c r="T423" s="34">
        <f>IFERROR(IF($U423="",1,INDEX(Deals!$W$2:$W$355,MATCH($C423,Deals!$A$2:$A$355,0))),1)</f>
        <v/>
      </c>
      <c r="U423" s="22">
        <f>IF($C423="","",IFERROR(IF(INDEX(Deals!$Y$2:$Y$355,MATCH($C423,Deals!$A$2:$A$355,0))=0,"",INDEX(Deals!$Y$2:$Y$355,MATCH($C423,Deals!$A$2:$A$355,0))),""))</f>
        <v/>
      </c>
      <c r="V423" s="35">
        <f>IF(OR($U423&lt;&gt;"",AND($AO423&gt;0,$L423&lt;&gt;"",$M423&lt;&gt;"")),$N423,DATE(1900,1,1))</f>
        <v/>
      </c>
      <c r="W423" s="35">
        <f>IF($U423&lt;&gt;"",$U423,IF(AND($AO423&gt;0,$L423&lt;&gt;"",$M423&lt;&gt;""),$O423,DATE(2100,12,31)))</f>
        <v/>
      </c>
      <c r="X423" s="32">
        <f>IF($U423="",$K423,$K423*$S423)</f>
        <v/>
      </c>
      <c r="Y423" s="35">
        <f>IF($U423="",DATE(2100,12,31),$U423+1)</f>
        <v/>
      </c>
      <c r="Z423" s="35">
        <f>IF($U423="",DATE(1900,1,1),$O423)</f>
        <v/>
      </c>
      <c r="AA423" s="32">
        <f>IF($U423="",0,$K423*$T423)</f>
        <v/>
      </c>
      <c r="AB423" s="21">
        <f>IF($C423="",0,IFERROR(INDEX(Deals!$AD$2:$AD$355,MATCH($C423,Deals!$A$2:$A$355,0)),0))</f>
        <v/>
      </c>
      <c r="AC423" s="32">
        <f>IF(Settings!$B$4="Yes",$I423*$AB423,$I423)</f>
        <v/>
      </c>
      <c r="AD423" s="22">
        <f>IF($C423="","",IFERROR(IF(INDEX(Deals!$AE$2:$AE$355,MATCH($C423,Deals!$A$2:$A$355,0))=0,"",INDEX(Deals!$AE$2:$AE$355,MATCH($C423,Deals!$A$2:$A$355,0))),""))</f>
        <v/>
      </c>
      <c r="AE423" s="22">
        <f>IF($C423="","",IFERROR(IF(INDEX(Deals!$AF$2:$AF$355,MATCH($C423,Deals!$A$2:$A$355,0))=0,"",INDEX(Deals!$AF$2:$AF$355,MATCH($C423,Deals!$A$2:$A$355,0))),""))</f>
        <v/>
      </c>
      <c r="AF423" s="35">
        <f>IF($AD423="",DATE(1900,1,1),$AD423)</f>
        <v/>
      </c>
      <c r="AG423" s="35">
        <f>IF($AE423="",DATE(2100,12,31),$AE423)</f>
        <v/>
      </c>
      <c r="AH423" s="22">
        <f>IF($C423="","",IFERROR(IF(INDEX(Deals!$AG$2:$AG$355,MATCH($C423,Deals!$A$2:$A$355,0))=0,"",INDEX(Deals!$AG$2:$AG$355,MATCH($C423,Deals!$A$2:$A$355,0))),""))</f>
        <v/>
      </c>
      <c r="AI423" s="35">
        <f>IF(OR($AH423&lt;&gt;"",AND($AO423&gt;0,$AD423&lt;&gt;"",$AE423&lt;&gt;"")),$AF423,DATE(1900,1,1))</f>
        <v/>
      </c>
      <c r="AJ423" s="35">
        <f>IF($AH423&lt;&gt;"",$AH423,IF(AND($AO423&gt;0,$AD423&lt;&gt;"",$AE423&lt;&gt;""),$AG423,DATE(2100,12,31)))</f>
        <v/>
      </c>
      <c r="AK423" s="32">
        <f>IF($AH423="",$AC423,$AC423*$S423)</f>
        <v/>
      </c>
      <c r="AL423" s="35">
        <f>IF($AH423="",DATE(2100,12,31),$AH423+1)</f>
        <v/>
      </c>
      <c r="AM423" s="35">
        <f>IF($AH423="",DATE(1900,1,1),$AG423)</f>
        <v/>
      </c>
      <c r="AN423" s="32">
        <f>IF($AH423="",0,$AC423*$T423)</f>
        <v/>
      </c>
      <c r="AO423" s="46">
        <f>IF($C423="",0,IFERROR(INDEX(Deals!$BD$2:$BD$355,MATCH($C423,Deals!$A$2:$A$355,0)),0))</f>
        <v/>
      </c>
      <c r="AP423" s="18">
        <f>IF($AO423=0,0,IFERROR(INDEX(Deals!$BJ$2:$BP$355,MATCH($C423,Deals!$A$2:$A$355,0),MATCH($F423,Deals!$BJ$1:$BP$1,0))/COUNTIFS(Assignments!$C$2:$C$769,$C423,Assignments!$F$2:$F$769,$F423,Assignments!$G$2:$G$769,"Active"),0))</f>
        <v/>
      </c>
    </row>
    <row r="424">
      <c r="A424" s="28" t="inlineStr">
        <is>
          <t>Vidhi</t>
        </is>
      </c>
      <c r="B424" s="16">
        <f>IF($A424="","",IFERROR(INDEX(Roster!$B$2:$B$40,MATCH($A424,Roster!$A$2:$A$40,0)),"?"))</f>
        <v/>
      </c>
      <c r="C424" s="28" t="inlineStr">
        <is>
          <t>Prince_2</t>
        </is>
      </c>
      <c r="D424" s="16">
        <f>IF($C424="","",IFERROR(IF(INDEX(Deals!$C$2:$C$355,MATCH($C424,Deals!$A$2:$A$355,0))=0,"",INDEX(Deals!$C$2:$C$355,MATCH($C424,Deals!$A$2:$A$355,0))),"?"))</f>
        <v/>
      </c>
      <c r="E424" s="16">
        <f>IF($C424="","",IFERROR(INDEX(Deals!$F$2:$F$355,MATCH($C424,Deals!$A$2:$A$355,0)),"?"))</f>
        <v/>
      </c>
      <c r="F424" s="28" t="inlineStr">
        <is>
          <t>Senior Associate</t>
        </is>
      </c>
      <c r="G424" s="28" t="inlineStr">
        <is>
          <t>Active</t>
        </is>
      </c>
      <c r="H424" s="31" t="n"/>
      <c r="I424" s="32">
        <f>IF(OR($A424="",$G424&lt;&gt;"Active"),0,IF($H424&lt;&gt;"",$H424,IF($AO424&gt;0,$AP424,IF(AND($R424&lt;&gt;"",IFERROR(INDEX(Templates!$B$3:$H$10,MATCH($R424,Templates!$A$3:$A$10,0),MATCH($F424,Templates!$B$2:$H$2,0)),0)&gt;0),INDEX(Templates!$B$3:$H$10,MATCH($R424,Templates!$A$3:$A$10,0),MATCH($F424,Templates!$B$2:$H$2,0)),IFERROR(INDEX(Settings!$B$8:$B$14,MATCH($F424,Settings!$A$8:$A$14,0)),0)))))</f>
        <v/>
      </c>
      <c r="J424" s="21">
        <f>IF($C424="",0,IFERROR(INDEX(Deals!$H$2:$H$355,MATCH($C424,Deals!$A$2:$A$355,0)),0))</f>
        <v/>
      </c>
      <c r="K424" s="32">
        <f>IF(Settings!$B$4="Yes",$I424*$J424,$I424)</f>
        <v/>
      </c>
      <c r="L424" s="22">
        <f>IF($C424="","",IFERROR(IF(INDEX(Deals!$I$2:$I$355,MATCH($C424,Deals!$A$2:$A$355,0))=0,"",INDEX(Deals!$I$2:$I$355,MATCH($C424,Deals!$A$2:$A$355,0))),""))</f>
        <v/>
      </c>
      <c r="M424" s="22">
        <f>IF($C424="","",IFERROR(IF(INDEX(Deals!$J$2:$J$355,MATCH($C424,Deals!$A$2:$A$355,0))=0,"",INDEX(Deals!$J$2:$J$355,MATCH($C424,Deals!$A$2:$A$355,0))),""))</f>
        <v/>
      </c>
      <c r="N424" s="35">
        <f>IF($L424="",DATE(1900,1,1),$L424)</f>
        <v/>
      </c>
      <c r="O424" s="35">
        <f>IF($M424="",DATE(2100,12,31),$M424)</f>
        <v/>
      </c>
      <c r="P424" s="20" t="inlineStr"/>
      <c r="Q424" s="47" t="inlineStr"/>
      <c r="R424" s="16">
        <f>IF($C424="","",IFERROR(IF(INDEX(Deals!$U$2:$U$355,MATCH($C424,Deals!$A$2:$A$355,0))=0,"",INDEX(Deals!$U$2:$U$355,MATCH($C424,Deals!$A$2:$A$355,0))),""))</f>
        <v/>
      </c>
      <c r="S424" s="34">
        <f>IFERROR(IF($U424="",1,INDEX(Deals!$V$2:$V$355,MATCH($C424,Deals!$A$2:$A$355,0))),1)</f>
        <v/>
      </c>
      <c r="T424" s="34">
        <f>IFERROR(IF($U424="",1,INDEX(Deals!$W$2:$W$355,MATCH($C424,Deals!$A$2:$A$355,0))),1)</f>
        <v/>
      </c>
      <c r="U424" s="22">
        <f>IF($C424="","",IFERROR(IF(INDEX(Deals!$Y$2:$Y$355,MATCH($C424,Deals!$A$2:$A$355,0))=0,"",INDEX(Deals!$Y$2:$Y$355,MATCH($C424,Deals!$A$2:$A$355,0))),""))</f>
        <v/>
      </c>
      <c r="V424" s="35">
        <f>IF(OR($U424&lt;&gt;"",AND($AO424&gt;0,$L424&lt;&gt;"",$M424&lt;&gt;"")),$N424,DATE(1900,1,1))</f>
        <v/>
      </c>
      <c r="W424" s="35">
        <f>IF($U424&lt;&gt;"",$U424,IF(AND($AO424&gt;0,$L424&lt;&gt;"",$M424&lt;&gt;""),$O424,DATE(2100,12,31)))</f>
        <v/>
      </c>
      <c r="X424" s="32">
        <f>IF($U424="",$K424,$K424*$S424)</f>
        <v/>
      </c>
      <c r="Y424" s="35">
        <f>IF($U424="",DATE(2100,12,31),$U424+1)</f>
        <v/>
      </c>
      <c r="Z424" s="35">
        <f>IF($U424="",DATE(1900,1,1),$O424)</f>
        <v/>
      </c>
      <c r="AA424" s="32">
        <f>IF($U424="",0,$K424*$T424)</f>
        <v/>
      </c>
      <c r="AB424" s="21">
        <f>IF($C424="",0,IFERROR(INDEX(Deals!$AD$2:$AD$355,MATCH($C424,Deals!$A$2:$A$355,0)),0))</f>
        <v/>
      </c>
      <c r="AC424" s="32">
        <f>IF(Settings!$B$4="Yes",$I424*$AB424,$I424)</f>
        <v/>
      </c>
      <c r="AD424" s="22">
        <f>IF($C424="","",IFERROR(IF(INDEX(Deals!$AE$2:$AE$355,MATCH($C424,Deals!$A$2:$A$355,0))=0,"",INDEX(Deals!$AE$2:$AE$355,MATCH($C424,Deals!$A$2:$A$355,0))),""))</f>
        <v/>
      </c>
      <c r="AE424" s="22">
        <f>IF($C424="","",IFERROR(IF(INDEX(Deals!$AF$2:$AF$355,MATCH($C424,Deals!$A$2:$A$355,0))=0,"",INDEX(Deals!$AF$2:$AF$355,MATCH($C424,Deals!$A$2:$A$355,0))),""))</f>
        <v/>
      </c>
      <c r="AF424" s="35">
        <f>IF($AD424="",DATE(1900,1,1),$AD424)</f>
        <v/>
      </c>
      <c r="AG424" s="35">
        <f>IF($AE424="",DATE(2100,12,31),$AE424)</f>
        <v/>
      </c>
      <c r="AH424" s="22">
        <f>IF($C424="","",IFERROR(IF(INDEX(Deals!$AG$2:$AG$355,MATCH($C424,Deals!$A$2:$A$355,0))=0,"",INDEX(Deals!$AG$2:$AG$355,MATCH($C424,Deals!$A$2:$A$355,0))),""))</f>
        <v/>
      </c>
      <c r="AI424" s="35">
        <f>IF(OR($AH424&lt;&gt;"",AND($AO424&gt;0,$AD424&lt;&gt;"",$AE424&lt;&gt;"")),$AF424,DATE(1900,1,1))</f>
        <v/>
      </c>
      <c r="AJ424" s="35">
        <f>IF($AH424&lt;&gt;"",$AH424,IF(AND($AO424&gt;0,$AD424&lt;&gt;"",$AE424&lt;&gt;""),$AG424,DATE(2100,12,31)))</f>
        <v/>
      </c>
      <c r="AK424" s="32">
        <f>IF($AH424="",$AC424,$AC424*$S424)</f>
        <v/>
      </c>
      <c r="AL424" s="35">
        <f>IF($AH424="",DATE(2100,12,31),$AH424+1)</f>
        <v/>
      </c>
      <c r="AM424" s="35">
        <f>IF($AH424="",DATE(1900,1,1),$AG424)</f>
        <v/>
      </c>
      <c r="AN424" s="32">
        <f>IF($AH424="",0,$AC424*$T424)</f>
        <v/>
      </c>
      <c r="AO424" s="46">
        <f>IF($C424="",0,IFERROR(INDEX(Deals!$BD$2:$BD$355,MATCH($C424,Deals!$A$2:$A$355,0)),0))</f>
        <v/>
      </c>
      <c r="AP424" s="18">
        <f>IF($AO424=0,0,IFERROR(INDEX(Deals!$BJ$2:$BP$355,MATCH($C424,Deals!$A$2:$A$355,0),MATCH($F424,Deals!$BJ$1:$BP$1,0))/COUNTIFS(Assignments!$C$2:$C$769,$C424,Assignments!$F$2:$F$769,$F424,Assignments!$G$2:$G$769,"Active"),0))</f>
        <v/>
      </c>
    </row>
    <row r="425">
      <c r="A425" s="28" t="inlineStr">
        <is>
          <t>Vidhi</t>
        </is>
      </c>
      <c r="B425" s="16">
        <f>IF($A425="","",IFERROR(INDEX(Roster!$B$2:$B$40,MATCH($A425,Roster!$A$2:$A$40,0)),"?"))</f>
        <v/>
      </c>
      <c r="C425" s="28" t="inlineStr">
        <is>
          <t>Prolydian_1</t>
        </is>
      </c>
      <c r="D425" s="16">
        <f>IF($C425="","",IFERROR(IF(INDEX(Deals!$C$2:$C$355,MATCH($C425,Deals!$A$2:$A$355,0))=0,"",INDEX(Deals!$C$2:$C$355,MATCH($C425,Deals!$A$2:$A$355,0))),"?"))</f>
        <v/>
      </c>
      <c r="E425" s="16">
        <f>IF($C425="","",IFERROR(INDEX(Deals!$F$2:$F$355,MATCH($C425,Deals!$A$2:$A$355,0)),"?"))</f>
        <v/>
      </c>
      <c r="F425" s="28" t="inlineStr">
        <is>
          <t>Senior Associate</t>
        </is>
      </c>
      <c r="G425" s="28" t="inlineStr">
        <is>
          <t>Active</t>
        </is>
      </c>
      <c r="H425" s="31" t="n"/>
      <c r="I425" s="32">
        <f>IF(OR($A425="",$G425&lt;&gt;"Active"),0,IF($H425&lt;&gt;"",$H425,IF($AO425&gt;0,$AP425,IF(AND($R425&lt;&gt;"",IFERROR(INDEX(Templates!$B$3:$H$10,MATCH($R425,Templates!$A$3:$A$10,0),MATCH($F425,Templates!$B$2:$H$2,0)),0)&gt;0),INDEX(Templates!$B$3:$H$10,MATCH($R425,Templates!$A$3:$A$10,0),MATCH($F425,Templates!$B$2:$H$2,0)),IFERROR(INDEX(Settings!$B$8:$B$14,MATCH($F425,Settings!$A$8:$A$14,0)),0)))))</f>
        <v/>
      </c>
      <c r="J425" s="21">
        <f>IF($C425="",0,IFERROR(INDEX(Deals!$H$2:$H$355,MATCH($C425,Deals!$A$2:$A$355,0)),0))</f>
        <v/>
      </c>
      <c r="K425" s="32">
        <f>IF(Settings!$B$4="Yes",$I425*$J425,$I425)</f>
        <v/>
      </c>
      <c r="L425" s="22">
        <f>IF($C425="","",IFERROR(IF(INDEX(Deals!$I$2:$I$355,MATCH($C425,Deals!$A$2:$A$355,0))=0,"",INDEX(Deals!$I$2:$I$355,MATCH($C425,Deals!$A$2:$A$355,0))),""))</f>
        <v/>
      </c>
      <c r="M425" s="22">
        <f>IF($C425="","",IFERROR(IF(INDEX(Deals!$J$2:$J$355,MATCH($C425,Deals!$A$2:$A$355,0))=0,"",INDEX(Deals!$J$2:$J$355,MATCH($C425,Deals!$A$2:$A$355,0))),""))</f>
        <v/>
      </c>
      <c r="N425" s="35">
        <f>IF($L425="",DATE(1900,1,1),$L425)</f>
        <v/>
      </c>
      <c r="O425" s="35">
        <f>IF($M425="",DATE(2100,12,31),$M425)</f>
        <v/>
      </c>
      <c r="P425" s="20" t="inlineStr"/>
      <c r="Q425" s="47" t="inlineStr"/>
      <c r="R425" s="16">
        <f>IF($C425="","",IFERROR(IF(INDEX(Deals!$U$2:$U$355,MATCH($C425,Deals!$A$2:$A$355,0))=0,"",INDEX(Deals!$U$2:$U$355,MATCH($C425,Deals!$A$2:$A$355,0))),""))</f>
        <v/>
      </c>
      <c r="S425" s="34">
        <f>IFERROR(IF($U425="",1,INDEX(Deals!$V$2:$V$355,MATCH($C425,Deals!$A$2:$A$355,0))),1)</f>
        <v/>
      </c>
      <c r="T425" s="34">
        <f>IFERROR(IF($U425="",1,INDEX(Deals!$W$2:$W$355,MATCH($C425,Deals!$A$2:$A$355,0))),1)</f>
        <v/>
      </c>
      <c r="U425" s="22">
        <f>IF($C425="","",IFERROR(IF(INDEX(Deals!$Y$2:$Y$355,MATCH($C425,Deals!$A$2:$A$355,0))=0,"",INDEX(Deals!$Y$2:$Y$355,MATCH($C425,Deals!$A$2:$A$355,0))),""))</f>
        <v/>
      </c>
      <c r="V425" s="35">
        <f>IF(OR($U425&lt;&gt;"",AND($AO425&gt;0,$L425&lt;&gt;"",$M425&lt;&gt;"")),$N425,DATE(1900,1,1))</f>
        <v/>
      </c>
      <c r="W425" s="35">
        <f>IF($U425&lt;&gt;"",$U425,IF(AND($AO425&gt;0,$L425&lt;&gt;"",$M425&lt;&gt;""),$O425,DATE(2100,12,31)))</f>
        <v/>
      </c>
      <c r="X425" s="32">
        <f>IF($U425="",$K425,$K425*$S425)</f>
        <v/>
      </c>
      <c r="Y425" s="35">
        <f>IF($U425="",DATE(2100,12,31),$U425+1)</f>
        <v/>
      </c>
      <c r="Z425" s="35">
        <f>IF($U425="",DATE(1900,1,1),$O425)</f>
        <v/>
      </c>
      <c r="AA425" s="32">
        <f>IF($U425="",0,$K425*$T425)</f>
        <v/>
      </c>
      <c r="AB425" s="21">
        <f>IF($C425="",0,IFERROR(INDEX(Deals!$AD$2:$AD$355,MATCH($C425,Deals!$A$2:$A$355,0)),0))</f>
        <v/>
      </c>
      <c r="AC425" s="32">
        <f>IF(Settings!$B$4="Yes",$I425*$AB425,$I425)</f>
        <v/>
      </c>
      <c r="AD425" s="22">
        <f>IF($C425="","",IFERROR(IF(INDEX(Deals!$AE$2:$AE$355,MATCH($C425,Deals!$A$2:$A$355,0))=0,"",INDEX(Deals!$AE$2:$AE$355,MATCH($C425,Deals!$A$2:$A$355,0))),""))</f>
        <v/>
      </c>
      <c r="AE425" s="22">
        <f>IF($C425="","",IFERROR(IF(INDEX(Deals!$AF$2:$AF$355,MATCH($C425,Deals!$A$2:$A$355,0))=0,"",INDEX(Deals!$AF$2:$AF$355,MATCH($C425,Deals!$A$2:$A$355,0))),""))</f>
        <v/>
      </c>
      <c r="AF425" s="35">
        <f>IF($AD425="",DATE(1900,1,1),$AD425)</f>
        <v/>
      </c>
      <c r="AG425" s="35">
        <f>IF($AE425="",DATE(2100,12,31),$AE425)</f>
        <v/>
      </c>
      <c r="AH425" s="22">
        <f>IF($C425="","",IFERROR(IF(INDEX(Deals!$AG$2:$AG$355,MATCH($C425,Deals!$A$2:$A$355,0))=0,"",INDEX(Deals!$AG$2:$AG$355,MATCH($C425,Deals!$A$2:$A$355,0))),""))</f>
        <v/>
      </c>
      <c r="AI425" s="35">
        <f>IF(OR($AH425&lt;&gt;"",AND($AO425&gt;0,$AD425&lt;&gt;"",$AE425&lt;&gt;"")),$AF425,DATE(1900,1,1))</f>
        <v/>
      </c>
      <c r="AJ425" s="35">
        <f>IF($AH425&lt;&gt;"",$AH425,IF(AND($AO425&gt;0,$AD425&lt;&gt;"",$AE425&lt;&gt;""),$AG425,DATE(2100,12,31)))</f>
        <v/>
      </c>
      <c r="AK425" s="32">
        <f>IF($AH425="",$AC425,$AC425*$S425)</f>
        <v/>
      </c>
      <c r="AL425" s="35">
        <f>IF($AH425="",DATE(2100,12,31),$AH425+1)</f>
        <v/>
      </c>
      <c r="AM425" s="35">
        <f>IF($AH425="",DATE(1900,1,1),$AG425)</f>
        <v/>
      </c>
      <c r="AN425" s="32">
        <f>IF($AH425="",0,$AC425*$T425)</f>
        <v/>
      </c>
      <c r="AO425" s="46">
        <f>IF($C425="",0,IFERROR(INDEX(Deals!$BD$2:$BD$355,MATCH($C425,Deals!$A$2:$A$355,0)),0))</f>
        <v/>
      </c>
      <c r="AP425" s="18">
        <f>IF($AO425=0,0,IFERROR(INDEX(Deals!$BJ$2:$BP$355,MATCH($C425,Deals!$A$2:$A$355,0),MATCH($F425,Deals!$BJ$1:$BP$1,0))/COUNTIFS(Assignments!$C$2:$C$769,$C425,Assignments!$F$2:$F$769,$F425,Assignments!$G$2:$G$769,"Active"),0))</f>
        <v/>
      </c>
    </row>
    <row r="426">
      <c r="A426" s="28" t="inlineStr">
        <is>
          <t>Vidhi</t>
        </is>
      </c>
      <c r="B426" s="16">
        <f>IF($A426="","",IFERROR(INDEX(Roster!$B$2:$B$40,MATCH($A426,Roster!$A$2:$A$40,0)),"?"))</f>
        <v/>
      </c>
      <c r="C426" s="28" t="inlineStr">
        <is>
          <t>Pythagoras_1</t>
        </is>
      </c>
      <c r="D426" s="16">
        <f>IF($C426="","",IFERROR(IF(INDEX(Deals!$C$2:$C$355,MATCH($C426,Deals!$A$2:$A$355,0))=0,"",INDEX(Deals!$C$2:$C$355,MATCH($C426,Deals!$A$2:$A$355,0))),"?"))</f>
        <v/>
      </c>
      <c r="E426" s="16">
        <f>IF($C426="","",IFERROR(INDEX(Deals!$F$2:$F$355,MATCH($C426,Deals!$A$2:$A$355,0)),"?"))</f>
        <v/>
      </c>
      <c r="F426" s="28" t="inlineStr">
        <is>
          <t>Senior Associate</t>
        </is>
      </c>
      <c r="G426" s="28" t="inlineStr">
        <is>
          <t>Active</t>
        </is>
      </c>
      <c r="H426" s="31" t="n"/>
      <c r="I426" s="32">
        <f>IF(OR($A426="",$G426&lt;&gt;"Active"),0,IF($H426&lt;&gt;"",$H426,IF($AO426&gt;0,$AP426,IF(AND($R426&lt;&gt;"",IFERROR(INDEX(Templates!$B$3:$H$10,MATCH($R426,Templates!$A$3:$A$10,0),MATCH($F426,Templates!$B$2:$H$2,0)),0)&gt;0),INDEX(Templates!$B$3:$H$10,MATCH($R426,Templates!$A$3:$A$10,0),MATCH($F426,Templates!$B$2:$H$2,0)),IFERROR(INDEX(Settings!$B$8:$B$14,MATCH($F426,Settings!$A$8:$A$14,0)),0)))))</f>
        <v/>
      </c>
      <c r="J426" s="21">
        <f>IF($C426="",0,IFERROR(INDEX(Deals!$H$2:$H$355,MATCH($C426,Deals!$A$2:$A$355,0)),0))</f>
        <v/>
      </c>
      <c r="K426" s="32">
        <f>IF(Settings!$B$4="Yes",$I426*$J426,$I426)</f>
        <v/>
      </c>
      <c r="L426" s="22">
        <f>IF($C426="","",IFERROR(IF(INDEX(Deals!$I$2:$I$355,MATCH($C426,Deals!$A$2:$A$355,0))=0,"",INDEX(Deals!$I$2:$I$355,MATCH($C426,Deals!$A$2:$A$355,0))),""))</f>
        <v/>
      </c>
      <c r="M426" s="22">
        <f>IF($C426="","",IFERROR(IF(INDEX(Deals!$J$2:$J$355,MATCH($C426,Deals!$A$2:$A$355,0))=0,"",INDEX(Deals!$J$2:$J$355,MATCH($C426,Deals!$A$2:$A$355,0))),""))</f>
        <v/>
      </c>
      <c r="N426" s="35">
        <f>IF($L426="",DATE(1900,1,1),$L426)</f>
        <v/>
      </c>
      <c r="O426" s="35">
        <f>IF($M426="",DATE(2100,12,31),$M426)</f>
        <v/>
      </c>
      <c r="P426" s="20" t="inlineStr"/>
      <c r="Q426" s="47" t="inlineStr"/>
      <c r="R426" s="16">
        <f>IF($C426="","",IFERROR(IF(INDEX(Deals!$U$2:$U$355,MATCH($C426,Deals!$A$2:$A$355,0))=0,"",INDEX(Deals!$U$2:$U$355,MATCH($C426,Deals!$A$2:$A$355,0))),""))</f>
        <v/>
      </c>
      <c r="S426" s="34">
        <f>IFERROR(IF($U426="",1,INDEX(Deals!$V$2:$V$355,MATCH($C426,Deals!$A$2:$A$355,0))),1)</f>
        <v/>
      </c>
      <c r="T426" s="34">
        <f>IFERROR(IF($U426="",1,INDEX(Deals!$W$2:$W$355,MATCH($C426,Deals!$A$2:$A$355,0))),1)</f>
        <v/>
      </c>
      <c r="U426" s="22">
        <f>IF($C426="","",IFERROR(IF(INDEX(Deals!$Y$2:$Y$355,MATCH($C426,Deals!$A$2:$A$355,0))=0,"",INDEX(Deals!$Y$2:$Y$355,MATCH($C426,Deals!$A$2:$A$355,0))),""))</f>
        <v/>
      </c>
      <c r="V426" s="35">
        <f>IF(OR($U426&lt;&gt;"",AND($AO426&gt;0,$L426&lt;&gt;"",$M426&lt;&gt;"")),$N426,DATE(1900,1,1))</f>
        <v/>
      </c>
      <c r="W426" s="35">
        <f>IF($U426&lt;&gt;"",$U426,IF(AND($AO426&gt;0,$L426&lt;&gt;"",$M426&lt;&gt;""),$O426,DATE(2100,12,31)))</f>
        <v/>
      </c>
      <c r="X426" s="32">
        <f>IF($U426="",$K426,$K426*$S426)</f>
        <v/>
      </c>
      <c r="Y426" s="35">
        <f>IF($U426="",DATE(2100,12,31),$U426+1)</f>
        <v/>
      </c>
      <c r="Z426" s="35">
        <f>IF($U426="",DATE(1900,1,1),$O426)</f>
        <v/>
      </c>
      <c r="AA426" s="32">
        <f>IF($U426="",0,$K426*$T426)</f>
        <v/>
      </c>
      <c r="AB426" s="21">
        <f>IF($C426="",0,IFERROR(INDEX(Deals!$AD$2:$AD$355,MATCH($C426,Deals!$A$2:$A$355,0)),0))</f>
        <v/>
      </c>
      <c r="AC426" s="32">
        <f>IF(Settings!$B$4="Yes",$I426*$AB426,$I426)</f>
        <v/>
      </c>
      <c r="AD426" s="22">
        <f>IF($C426="","",IFERROR(IF(INDEX(Deals!$AE$2:$AE$355,MATCH($C426,Deals!$A$2:$A$355,0))=0,"",INDEX(Deals!$AE$2:$AE$355,MATCH($C426,Deals!$A$2:$A$355,0))),""))</f>
        <v/>
      </c>
      <c r="AE426" s="22">
        <f>IF($C426="","",IFERROR(IF(INDEX(Deals!$AF$2:$AF$355,MATCH($C426,Deals!$A$2:$A$355,0))=0,"",INDEX(Deals!$AF$2:$AF$355,MATCH($C426,Deals!$A$2:$A$355,0))),""))</f>
        <v/>
      </c>
      <c r="AF426" s="35">
        <f>IF($AD426="",DATE(1900,1,1),$AD426)</f>
        <v/>
      </c>
      <c r="AG426" s="35">
        <f>IF($AE426="",DATE(2100,12,31),$AE426)</f>
        <v/>
      </c>
      <c r="AH426" s="22">
        <f>IF($C426="","",IFERROR(IF(INDEX(Deals!$AG$2:$AG$355,MATCH($C426,Deals!$A$2:$A$355,0))=0,"",INDEX(Deals!$AG$2:$AG$355,MATCH($C426,Deals!$A$2:$A$355,0))),""))</f>
        <v/>
      </c>
      <c r="AI426" s="35">
        <f>IF(OR($AH426&lt;&gt;"",AND($AO426&gt;0,$AD426&lt;&gt;"",$AE426&lt;&gt;"")),$AF426,DATE(1900,1,1))</f>
        <v/>
      </c>
      <c r="AJ426" s="35">
        <f>IF($AH426&lt;&gt;"",$AH426,IF(AND($AO426&gt;0,$AD426&lt;&gt;"",$AE426&lt;&gt;""),$AG426,DATE(2100,12,31)))</f>
        <v/>
      </c>
      <c r="AK426" s="32">
        <f>IF($AH426="",$AC426,$AC426*$S426)</f>
        <v/>
      </c>
      <c r="AL426" s="35">
        <f>IF($AH426="",DATE(2100,12,31),$AH426+1)</f>
        <v/>
      </c>
      <c r="AM426" s="35">
        <f>IF($AH426="",DATE(1900,1,1),$AG426)</f>
        <v/>
      </c>
      <c r="AN426" s="32">
        <f>IF($AH426="",0,$AC426*$T426)</f>
        <v/>
      </c>
      <c r="AO426" s="46">
        <f>IF($C426="",0,IFERROR(INDEX(Deals!$BD$2:$BD$355,MATCH($C426,Deals!$A$2:$A$355,0)),0))</f>
        <v/>
      </c>
      <c r="AP426" s="18">
        <f>IF($AO426=0,0,IFERROR(INDEX(Deals!$BJ$2:$BP$355,MATCH($C426,Deals!$A$2:$A$355,0),MATCH($F426,Deals!$BJ$1:$BP$1,0))/COUNTIFS(Assignments!$C$2:$C$769,$C426,Assignments!$F$2:$F$769,$F426,Assignments!$G$2:$G$769,"Active"),0))</f>
        <v/>
      </c>
    </row>
    <row r="427">
      <c r="A427" s="28" t="inlineStr">
        <is>
          <t>Vidhi</t>
        </is>
      </c>
      <c r="B427" s="16">
        <f>IF($A427="","",IFERROR(INDEX(Roster!$B$2:$B$40,MATCH($A427,Roster!$A$2:$A$40,0)),"?"))</f>
        <v/>
      </c>
      <c r="C427" s="28" t="inlineStr">
        <is>
          <t>Redwood_1</t>
        </is>
      </c>
      <c r="D427" s="16">
        <f>IF($C427="","",IFERROR(IF(INDEX(Deals!$C$2:$C$355,MATCH($C427,Deals!$A$2:$A$355,0))=0,"",INDEX(Deals!$C$2:$C$355,MATCH($C427,Deals!$A$2:$A$355,0))),"?"))</f>
        <v/>
      </c>
      <c r="E427" s="16">
        <f>IF($C427="","",IFERROR(INDEX(Deals!$F$2:$F$355,MATCH($C427,Deals!$A$2:$A$355,0)),"?"))</f>
        <v/>
      </c>
      <c r="F427" s="28" t="inlineStr">
        <is>
          <t>Senior Associate</t>
        </is>
      </c>
      <c r="G427" s="28" t="inlineStr">
        <is>
          <t>Active</t>
        </is>
      </c>
      <c r="H427" s="31" t="n"/>
      <c r="I427" s="32">
        <f>IF(OR($A427="",$G427&lt;&gt;"Active"),0,IF($H427&lt;&gt;"",$H427,IF($AO427&gt;0,$AP427,IF(AND($R427&lt;&gt;"",IFERROR(INDEX(Templates!$B$3:$H$10,MATCH($R427,Templates!$A$3:$A$10,0),MATCH($F427,Templates!$B$2:$H$2,0)),0)&gt;0),INDEX(Templates!$B$3:$H$10,MATCH($R427,Templates!$A$3:$A$10,0),MATCH($F427,Templates!$B$2:$H$2,0)),IFERROR(INDEX(Settings!$B$8:$B$14,MATCH($F427,Settings!$A$8:$A$14,0)),0)))))</f>
        <v/>
      </c>
      <c r="J427" s="21">
        <f>IF($C427="",0,IFERROR(INDEX(Deals!$H$2:$H$355,MATCH($C427,Deals!$A$2:$A$355,0)),0))</f>
        <v/>
      </c>
      <c r="K427" s="32">
        <f>IF(Settings!$B$4="Yes",$I427*$J427,$I427)</f>
        <v/>
      </c>
      <c r="L427" s="22">
        <f>IF($C427="","",IFERROR(IF(INDEX(Deals!$I$2:$I$355,MATCH($C427,Deals!$A$2:$A$355,0))=0,"",INDEX(Deals!$I$2:$I$355,MATCH($C427,Deals!$A$2:$A$355,0))),""))</f>
        <v/>
      </c>
      <c r="M427" s="22">
        <f>IF($C427="","",IFERROR(IF(INDEX(Deals!$J$2:$J$355,MATCH($C427,Deals!$A$2:$A$355,0))=0,"",INDEX(Deals!$J$2:$J$355,MATCH($C427,Deals!$A$2:$A$355,0))),""))</f>
        <v/>
      </c>
      <c r="N427" s="35">
        <f>IF($L427="",DATE(1900,1,1),$L427)</f>
        <v/>
      </c>
      <c r="O427" s="35">
        <f>IF($M427="",DATE(2100,12,31),$M427)</f>
        <v/>
      </c>
      <c r="P427" s="20" t="inlineStr"/>
      <c r="Q427" s="47" t="inlineStr"/>
      <c r="R427" s="16">
        <f>IF($C427="","",IFERROR(IF(INDEX(Deals!$U$2:$U$355,MATCH($C427,Deals!$A$2:$A$355,0))=0,"",INDEX(Deals!$U$2:$U$355,MATCH($C427,Deals!$A$2:$A$355,0))),""))</f>
        <v/>
      </c>
      <c r="S427" s="34">
        <f>IFERROR(IF($U427="",1,INDEX(Deals!$V$2:$V$355,MATCH($C427,Deals!$A$2:$A$355,0))),1)</f>
        <v/>
      </c>
      <c r="T427" s="34">
        <f>IFERROR(IF($U427="",1,INDEX(Deals!$W$2:$W$355,MATCH($C427,Deals!$A$2:$A$355,0))),1)</f>
        <v/>
      </c>
      <c r="U427" s="22">
        <f>IF($C427="","",IFERROR(IF(INDEX(Deals!$Y$2:$Y$355,MATCH($C427,Deals!$A$2:$A$355,0))=0,"",INDEX(Deals!$Y$2:$Y$355,MATCH($C427,Deals!$A$2:$A$355,0))),""))</f>
        <v/>
      </c>
      <c r="V427" s="35">
        <f>IF(OR($U427&lt;&gt;"",AND($AO427&gt;0,$L427&lt;&gt;"",$M427&lt;&gt;"")),$N427,DATE(1900,1,1))</f>
        <v/>
      </c>
      <c r="W427" s="35">
        <f>IF($U427&lt;&gt;"",$U427,IF(AND($AO427&gt;0,$L427&lt;&gt;"",$M427&lt;&gt;""),$O427,DATE(2100,12,31)))</f>
        <v/>
      </c>
      <c r="X427" s="32">
        <f>IF($U427="",$K427,$K427*$S427)</f>
        <v/>
      </c>
      <c r="Y427" s="35">
        <f>IF($U427="",DATE(2100,12,31),$U427+1)</f>
        <v/>
      </c>
      <c r="Z427" s="35">
        <f>IF($U427="",DATE(1900,1,1),$O427)</f>
        <v/>
      </c>
      <c r="AA427" s="32">
        <f>IF($U427="",0,$K427*$T427)</f>
        <v/>
      </c>
      <c r="AB427" s="21">
        <f>IF($C427="",0,IFERROR(INDEX(Deals!$AD$2:$AD$355,MATCH($C427,Deals!$A$2:$A$355,0)),0))</f>
        <v/>
      </c>
      <c r="AC427" s="32">
        <f>IF(Settings!$B$4="Yes",$I427*$AB427,$I427)</f>
        <v/>
      </c>
      <c r="AD427" s="22">
        <f>IF($C427="","",IFERROR(IF(INDEX(Deals!$AE$2:$AE$355,MATCH($C427,Deals!$A$2:$A$355,0))=0,"",INDEX(Deals!$AE$2:$AE$355,MATCH($C427,Deals!$A$2:$A$355,0))),""))</f>
        <v/>
      </c>
      <c r="AE427" s="22">
        <f>IF($C427="","",IFERROR(IF(INDEX(Deals!$AF$2:$AF$355,MATCH($C427,Deals!$A$2:$A$355,0))=0,"",INDEX(Deals!$AF$2:$AF$355,MATCH($C427,Deals!$A$2:$A$355,0))),""))</f>
        <v/>
      </c>
      <c r="AF427" s="35">
        <f>IF($AD427="",DATE(1900,1,1),$AD427)</f>
        <v/>
      </c>
      <c r="AG427" s="35">
        <f>IF($AE427="",DATE(2100,12,31),$AE427)</f>
        <v/>
      </c>
      <c r="AH427" s="22">
        <f>IF($C427="","",IFERROR(IF(INDEX(Deals!$AG$2:$AG$355,MATCH($C427,Deals!$A$2:$A$355,0))=0,"",INDEX(Deals!$AG$2:$AG$355,MATCH($C427,Deals!$A$2:$A$355,0))),""))</f>
        <v/>
      </c>
      <c r="AI427" s="35">
        <f>IF(OR($AH427&lt;&gt;"",AND($AO427&gt;0,$AD427&lt;&gt;"",$AE427&lt;&gt;"")),$AF427,DATE(1900,1,1))</f>
        <v/>
      </c>
      <c r="AJ427" s="35">
        <f>IF($AH427&lt;&gt;"",$AH427,IF(AND($AO427&gt;0,$AD427&lt;&gt;"",$AE427&lt;&gt;""),$AG427,DATE(2100,12,31)))</f>
        <v/>
      </c>
      <c r="AK427" s="32">
        <f>IF($AH427="",$AC427,$AC427*$S427)</f>
        <v/>
      </c>
      <c r="AL427" s="35">
        <f>IF($AH427="",DATE(2100,12,31),$AH427+1)</f>
        <v/>
      </c>
      <c r="AM427" s="35">
        <f>IF($AH427="",DATE(1900,1,1),$AG427)</f>
        <v/>
      </c>
      <c r="AN427" s="32">
        <f>IF($AH427="",0,$AC427*$T427)</f>
        <v/>
      </c>
      <c r="AO427" s="46">
        <f>IF($C427="",0,IFERROR(INDEX(Deals!$BD$2:$BD$355,MATCH($C427,Deals!$A$2:$A$355,0)),0))</f>
        <v/>
      </c>
      <c r="AP427" s="18">
        <f>IF($AO427=0,0,IFERROR(INDEX(Deals!$BJ$2:$BP$355,MATCH($C427,Deals!$A$2:$A$355,0),MATCH($F427,Deals!$BJ$1:$BP$1,0))/COUNTIFS(Assignments!$C$2:$C$769,$C427,Assignments!$F$2:$F$769,$F427,Assignments!$G$2:$G$769,"Active"),0))</f>
        <v/>
      </c>
    </row>
    <row r="428">
      <c r="A428" s="28" t="inlineStr">
        <is>
          <t>Vidhi</t>
        </is>
      </c>
      <c r="B428" s="16">
        <f>IF($A428="","",IFERROR(INDEX(Roster!$B$2:$B$40,MATCH($A428,Roster!$A$2:$A$40,0)),"?"))</f>
        <v/>
      </c>
      <c r="C428" s="28" t="inlineStr">
        <is>
          <t>Resenergize_1</t>
        </is>
      </c>
      <c r="D428" s="16">
        <f>IF($C428="","",IFERROR(IF(INDEX(Deals!$C$2:$C$355,MATCH($C428,Deals!$A$2:$A$355,0))=0,"",INDEX(Deals!$C$2:$C$355,MATCH($C428,Deals!$A$2:$A$355,0))),"?"))</f>
        <v/>
      </c>
      <c r="E428" s="16">
        <f>IF($C428="","",IFERROR(INDEX(Deals!$F$2:$F$355,MATCH($C428,Deals!$A$2:$A$355,0)),"?"))</f>
        <v/>
      </c>
      <c r="F428" s="28" t="inlineStr">
        <is>
          <t>Senior Associate</t>
        </is>
      </c>
      <c r="G428" s="28" t="inlineStr">
        <is>
          <t>Active</t>
        </is>
      </c>
      <c r="H428" s="31" t="n"/>
      <c r="I428" s="32">
        <f>IF(OR($A428="",$G428&lt;&gt;"Active"),0,IF($H428&lt;&gt;"",$H428,IF($AO428&gt;0,$AP428,IF(AND($R428&lt;&gt;"",IFERROR(INDEX(Templates!$B$3:$H$10,MATCH($R428,Templates!$A$3:$A$10,0),MATCH($F428,Templates!$B$2:$H$2,0)),0)&gt;0),INDEX(Templates!$B$3:$H$10,MATCH($R428,Templates!$A$3:$A$10,0),MATCH($F428,Templates!$B$2:$H$2,0)),IFERROR(INDEX(Settings!$B$8:$B$14,MATCH($F428,Settings!$A$8:$A$14,0)),0)))))</f>
        <v/>
      </c>
      <c r="J428" s="21">
        <f>IF($C428="",0,IFERROR(INDEX(Deals!$H$2:$H$355,MATCH($C428,Deals!$A$2:$A$355,0)),0))</f>
        <v/>
      </c>
      <c r="K428" s="32">
        <f>IF(Settings!$B$4="Yes",$I428*$J428,$I428)</f>
        <v/>
      </c>
      <c r="L428" s="22">
        <f>IF($C428="","",IFERROR(IF(INDEX(Deals!$I$2:$I$355,MATCH($C428,Deals!$A$2:$A$355,0))=0,"",INDEX(Deals!$I$2:$I$355,MATCH($C428,Deals!$A$2:$A$355,0))),""))</f>
        <v/>
      </c>
      <c r="M428" s="22">
        <f>IF($C428="","",IFERROR(IF(INDEX(Deals!$J$2:$J$355,MATCH($C428,Deals!$A$2:$A$355,0))=0,"",INDEX(Deals!$J$2:$J$355,MATCH($C428,Deals!$A$2:$A$355,0))),""))</f>
        <v/>
      </c>
      <c r="N428" s="35">
        <f>IF($L428="",DATE(1900,1,1),$L428)</f>
        <v/>
      </c>
      <c r="O428" s="35">
        <f>IF($M428="",DATE(2100,12,31),$M428)</f>
        <v/>
      </c>
      <c r="P428" s="20" t="inlineStr"/>
      <c r="Q428" s="47" t="inlineStr"/>
      <c r="R428" s="16">
        <f>IF($C428="","",IFERROR(IF(INDEX(Deals!$U$2:$U$355,MATCH($C428,Deals!$A$2:$A$355,0))=0,"",INDEX(Deals!$U$2:$U$355,MATCH($C428,Deals!$A$2:$A$355,0))),""))</f>
        <v/>
      </c>
      <c r="S428" s="34">
        <f>IFERROR(IF($U428="",1,INDEX(Deals!$V$2:$V$355,MATCH($C428,Deals!$A$2:$A$355,0))),1)</f>
        <v/>
      </c>
      <c r="T428" s="34">
        <f>IFERROR(IF($U428="",1,INDEX(Deals!$W$2:$W$355,MATCH($C428,Deals!$A$2:$A$355,0))),1)</f>
        <v/>
      </c>
      <c r="U428" s="22">
        <f>IF($C428="","",IFERROR(IF(INDEX(Deals!$Y$2:$Y$355,MATCH($C428,Deals!$A$2:$A$355,0))=0,"",INDEX(Deals!$Y$2:$Y$355,MATCH($C428,Deals!$A$2:$A$355,0))),""))</f>
        <v/>
      </c>
      <c r="V428" s="35">
        <f>IF(OR($U428&lt;&gt;"",AND($AO428&gt;0,$L428&lt;&gt;"",$M428&lt;&gt;"")),$N428,DATE(1900,1,1))</f>
        <v/>
      </c>
      <c r="W428" s="35">
        <f>IF($U428&lt;&gt;"",$U428,IF(AND($AO428&gt;0,$L428&lt;&gt;"",$M428&lt;&gt;""),$O428,DATE(2100,12,31)))</f>
        <v/>
      </c>
      <c r="X428" s="32">
        <f>IF($U428="",$K428,$K428*$S428)</f>
        <v/>
      </c>
      <c r="Y428" s="35">
        <f>IF($U428="",DATE(2100,12,31),$U428+1)</f>
        <v/>
      </c>
      <c r="Z428" s="35">
        <f>IF($U428="",DATE(1900,1,1),$O428)</f>
        <v/>
      </c>
      <c r="AA428" s="32">
        <f>IF($U428="",0,$K428*$T428)</f>
        <v/>
      </c>
      <c r="AB428" s="21">
        <f>IF($C428="",0,IFERROR(INDEX(Deals!$AD$2:$AD$355,MATCH($C428,Deals!$A$2:$A$355,0)),0))</f>
        <v/>
      </c>
      <c r="AC428" s="32">
        <f>IF(Settings!$B$4="Yes",$I428*$AB428,$I428)</f>
        <v/>
      </c>
      <c r="AD428" s="22">
        <f>IF($C428="","",IFERROR(IF(INDEX(Deals!$AE$2:$AE$355,MATCH($C428,Deals!$A$2:$A$355,0))=0,"",INDEX(Deals!$AE$2:$AE$355,MATCH($C428,Deals!$A$2:$A$355,0))),""))</f>
        <v/>
      </c>
      <c r="AE428" s="22">
        <f>IF($C428="","",IFERROR(IF(INDEX(Deals!$AF$2:$AF$355,MATCH($C428,Deals!$A$2:$A$355,0))=0,"",INDEX(Deals!$AF$2:$AF$355,MATCH($C428,Deals!$A$2:$A$355,0))),""))</f>
        <v/>
      </c>
      <c r="AF428" s="35">
        <f>IF($AD428="",DATE(1900,1,1),$AD428)</f>
        <v/>
      </c>
      <c r="AG428" s="35">
        <f>IF($AE428="",DATE(2100,12,31),$AE428)</f>
        <v/>
      </c>
      <c r="AH428" s="22">
        <f>IF($C428="","",IFERROR(IF(INDEX(Deals!$AG$2:$AG$355,MATCH($C428,Deals!$A$2:$A$355,0))=0,"",INDEX(Deals!$AG$2:$AG$355,MATCH($C428,Deals!$A$2:$A$355,0))),""))</f>
        <v/>
      </c>
      <c r="AI428" s="35">
        <f>IF(OR($AH428&lt;&gt;"",AND($AO428&gt;0,$AD428&lt;&gt;"",$AE428&lt;&gt;"")),$AF428,DATE(1900,1,1))</f>
        <v/>
      </c>
      <c r="AJ428" s="35">
        <f>IF($AH428&lt;&gt;"",$AH428,IF(AND($AO428&gt;0,$AD428&lt;&gt;"",$AE428&lt;&gt;""),$AG428,DATE(2100,12,31)))</f>
        <v/>
      </c>
      <c r="AK428" s="32">
        <f>IF($AH428="",$AC428,$AC428*$S428)</f>
        <v/>
      </c>
      <c r="AL428" s="35">
        <f>IF($AH428="",DATE(2100,12,31),$AH428+1)</f>
        <v/>
      </c>
      <c r="AM428" s="35">
        <f>IF($AH428="",DATE(1900,1,1),$AG428)</f>
        <v/>
      </c>
      <c r="AN428" s="32">
        <f>IF($AH428="",0,$AC428*$T428)</f>
        <v/>
      </c>
      <c r="AO428" s="46">
        <f>IF($C428="",0,IFERROR(INDEX(Deals!$BD$2:$BD$355,MATCH($C428,Deals!$A$2:$A$355,0)),0))</f>
        <v/>
      </c>
      <c r="AP428" s="18">
        <f>IF($AO428=0,0,IFERROR(INDEX(Deals!$BJ$2:$BP$355,MATCH($C428,Deals!$A$2:$A$355,0),MATCH($F428,Deals!$BJ$1:$BP$1,0))/COUNTIFS(Assignments!$C$2:$C$769,$C428,Assignments!$F$2:$F$769,$F428,Assignments!$G$2:$G$769,"Active"),0))</f>
        <v/>
      </c>
    </row>
    <row r="429">
      <c r="A429" s="28" t="inlineStr">
        <is>
          <t>Vidhi</t>
        </is>
      </c>
      <c r="B429" s="16">
        <f>IF($A429="","",IFERROR(INDEX(Roster!$B$2:$B$40,MATCH($A429,Roster!$A$2:$A$40,0)),"?"))</f>
        <v/>
      </c>
      <c r="C429" s="28" t="inlineStr">
        <is>
          <t>Scan_1</t>
        </is>
      </c>
      <c r="D429" s="16">
        <f>IF($C429="","",IFERROR(IF(INDEX(Deals!$C$2:$C$355,MATCH($C429,Deals!$A$2:$A$355,0))=0,"",INDEX(Deals!$C$2:$C$355,MATCH($C429,Deals!$A$2:$A$355,0))),"?"))</f>
        <v/>
      </c>
      <c r="E429" s="16">
        <f>IF($C429="","",IFERROR(INDEX(Deals!$F$2:$F$355,MATCH($C429,Deals!$A$2:$A$355,0)),"?"))</f>
        <v/>
      </c>
      <c r="F429" s="28" t="inlineStr">
        <is>
          <t>Senior Associate</t>
        </is>
      </c>
      <c r="G429" s="28" t="inlineStr">
        <is>
          <t>Active</t>
        </is>
      </c>
      <c r="H429" s="31" t="n"/>
      <c r="I429" s="32">
        <f>IF(OR($A429="",$G429&lt;&gt;"Active"),0,IF($H429&lt;&gt;"",$H429,IF($AO429&gt;0,$AP429,IF(AND($R429&lt;&gt;"",IFERROR(INDEX(Templates!$B$3:$H$10,MATCH($R429,Templates!$A$3:$A$10,0),MATCH($F429,Templates!$B$2:$H$2,0)),0)&gt;0),INDEX(Templates!$B$3:$H$10,MATCH($R429,Templates!$A$3:$A$10,0),MATCH($F429,Templates!$B$2:$H$2,0)),IFERROR(INDEX(Settings!$B$8:$B$14,MATCH($F429,Settings!$A$8:$A$14,0)),0)))))</f>
        <v/>
      </c>
      <c r="J429" s="21">
        <f>IF($C429="",0,IFERROR(INDEX(Deals!$H$2:$H$355,MATCH($C429,Deals!$A$2:$A$355,0)),0))</f>
        <v/>
      </c>
      <c r="K429" s="32">
        <f>IF(Settings!$B$4="Yes",$I429*$J429,$I429)</f>
        <v/>
      </c>
      <c r="L429" s="22">
        <f>IF($C429="","",IFERROR(IF(INDEX(Deals!$I$2:$I$355,MATCH($C429,Deals!$A$2:$A$355,0))=0,"",INDEX(Deals!$I$2:$I$355,MATCH($C429,Deals!$A$2:$A$355,0))),""))</f>
        <v/>
      </c>
      <c r="M429" s="22">
        <f>IF($C429="","",IFERROR(IF(INDEX(Deals!$J$2:$J$355,MATCH($C429,Deals!$A$2:$A$355,0))=0,"",INDEX(Deals!$J$2:$J$355,MATCH($C429,Deals!$A$2:$A$355,0))),""))</f>
        <v/>
      </c>
      <c r="N429" s="35">
        <f>IF($L429="",DATE(1900,1,1),$L429)</f>
        <v/>
      </c>
      <c r="O429" s="35">
        <f>IF($M429="",DATE(2100,12,31),$M429)</f>
        <v/>
      </c>
      <c r="P429" s="20" t="inlineStr"/>
      <c r="Q429" s="47" t="inlineStr"/>
      <c r="R429" s="16">
        <f>IF($C429="","",IFERROR(IF(INDEX(Deals!$U$2:$U$355,MATCH($C429,Deals!$A$2:$A$355,0))=0,"",INDEX(Deals!$U$2:$U$355,MATCH($C429,Deals!$A$2:$A$355,0))),""))</f>
        <v/>
      </c>
      <c r="S429" s="34">
        <f>IFERROR(IF($U429="",1,INDEX(Deals!$V$2:$V$355,MATCH($C429,Deals!$A$2:$A$355,0))),1)</f>
        <v/>
      </c>
      <c r="T429" s="34">
        <f>IFERROR(IF($U429="",1,INDEX(Deals!$W$2:$W$355,MATCH($C429,Deals!$A$2:$A$355,0))),1)</f>
        <v/>
      </c>
      <c r="U429" s="22">
        <f>IF($C429="","",IFERROR(IF(INDEX(Deals!$Y$2:$Y$355,MATCH($C429,Deals!$A$2:$A$355,0))=0,"",INDEX(Deals!$Y$2:$Y$355,MATCH($C429,Deals!$A$2:$A$355,0))),""))</f>
        <v/>
      </c>
      <c r="V429" s="35">
        <f>IF(OR($U429&lt;&gt;"",AND($AO429&gt;0,$L429&lt;&gt;"",$M429&lt;&gt;"")),$N429,DATE(1900,1,1))</f>
        <v/>
      </c>
      <c r="W429" s="35">
        <f>IF($U429&lt;&gt;"",$U429,IF(AND($AO429&gt;0,$L429&lt;&gt;"",$M429&lt;&gt;""),$O429,DATE(2100,12,31)))</f>
        <v/>
      </c>
      <c r="X429" s="32">
        <f>IF($U429="",$K429,$K429*$S429)</f>
        <v/>
      </c>
      <c r="Y429" s="35">
        <f>IF($U429="",DATE(2100,12,31),$U429+1)</f>
        <v/>
      </c>
      <c r="Z429" s="35">
        <f>IF($U429="",DATE(1900,1,1),$O429)</f>
        <v/>
      </c>
      <c r="AA429" s="32">
        <f>IF($U429="",0,$K429*$T429)</f>
        <v/>
      </c>
      <c r="AB429" s="21">
        <f>IF($C429="",0,IFERROR(INDEX(Deals!$AD$2:$AD$355,MATCH($C429,Deals!$A$2:$A$355,0)),0))</f>
        <v/>
      </c>
      <c r="AC429" s="32">
        <f>IF(Settings!$B$4="Yes",$I429*$AB429,$I429)</f>
        <v/>
      </c>
      <c r="AD429" s="22">
        <f>IF($C429="","",IFERROR(IF(INDEX(Deals!$AE$2:$AE$355,MATCH($C429,Deals!$A$2:$A$355,0))=0,"",INDEX(Deals!$AE$2:$AE$355,MATCH($C429,Deals!$A$2:$A$355,0))),""))</f>
        <v/>
      </c>
      <c r="AE429" s="22">
        <f>IF($C429="","",IFERROR(IF(INDEX(Deals!$AF$2:$AF$355,MATCH($C429,Deals!$A$2:$A$355,0))=0,"",INDEX(Deals!$AF$2:$AF$355,MATCH($C429,Deals!$A$2:$A$355,0))),""))</f>
        <v/>
      </c>
      <c r="AF429" s="35">
        <f>IF($AD429="",DATE(1900,1,1),$AD429)</f>
        <v/>
      </c>
      <c r="AG429" s="35">
        <f>IF($AE429="",DATE(2100,12,31),$AE429)</f>
        <v/>
      </c>
      <c r="AH429" s="22">
        <f>IF($C429="","",IFERROR(IF(INDEX(Deals!$AG$2:$AG$355,MATCH($C429,Deals!$A$2:$A$355,0))=0,"",INDEX(Deals!$AG$2:$AG$355,MATCH($C429,Deals!$A$2:$A$355,0))),""))</f>
        <v/>
      </c>
      <c r="AI429" s="35">
        <f>IF(OR($AH429&lt;&gt;"",AND($AO429&gt;0,$AD429&lt;&gt;"",$AE429&lt;&gt;"")),$AF429,DATE(1900,1,1))</f>
        <v/>
      </c>
      <c r="AJ429" s="35">
        <f>IF($AH429&lt;&gt;"",$AH429,IF(AND($AO429&gt;0,$AD429&lt;&gt;"",$AE429&lt;&gt;""),$AG429,DATE(2100,12,31)))</f>
        <v/>
      </c>
      <c r="AK429" s="32">
        <f>IF($AH429="",$AC429,$AC429*$S429)</f>
        <v/>
      </c>
      <c r="AL429" s="35">
        <f>IF($AH429="",DATE(2100,12,31),$AH429+1)</f>
        <v/>
      </c>
      <c r="AM429" s="35">
        <f>IF($AH429="",DATE(1900,1,1),$AG429)</f>
        <v/>
      </c>
      <c r="AN429" s="32">
        <f>IF($AH429="",0,$AC429*$T429)</f>
        <v/>
      </c>
      <c r="AO429" s="46">
        <f>IF($C429="",0,IFERROR(INDEX(Deals!$BD$2:$BD$355,MATCH($C429,Deals!$A$2:$A$355,0)),0))</f>
        <v/>
      </c>
      <c r="AP429" s="18">
        <f>IF($AO429=0,0,IFERROR(INDEX(Deals!$BJ$2:$BP$355,MATCH($C429,Deals!$A$2:$A$355,0),MATCH($F429,Deals!$BJ$1:$BP$1,0))/COUNTIFS(Assignments!$C$2:$C$769,$C429,Assignments!$F$2:$F$769,$F429,Assignments!$G$2:$G$769,"Active"),0))</f>
        <v/>
      </c>
    </row>
    <row r="430">
      <c r="A430" s="28" t="inlineStr">
        <is>
          <t>Vidhi</t>
        </is>
      </c>
      <c r="B430" s="16">
        <f>IF($A430="","",IFERROR(INDEX(Roster!$B$2:$B$40,MATCH($A430,Roster!$A$2:$A$40,0)),"?"))</f>
        <v/>
      </c>
      <c r="C430" s="28" t="inlineStr">
        <is>
          <t>Scion_1</t>
        </is>
      </c>
      <c r="D430" s="16">
        <f>IF($C430="","",IFERROR(IF(INDEX(Deals!$C$2:$C$355,MATCH($C430,Deals!$A$2:$A$355,0))=0,"",INDEX(Deals!$C$2:$C$355,MATCH($C430,Deals!$A$2:$A$355,0))),"?"))</f>
        <v/>
      </c>
      <c r="E430" s="16">
        <f>IF($C430="","",IFERROR(INDEX(Deals!$F$2:$F$355,MATCH($C430,Deals!$A$2:$A$355,0)),"?"))</f>
        <v/>
      </c>
      <c r="F430" s="28" t="inlineStr">
        <is>
          <t>Senior Associate</t>
        </is>
      </c>
      <c r="G430" s="28" t="inlineStr">
        <is>
          <t>Active</t>
        </is>
      </c>
      <c r="H430" s="31" t="n"/>
      <c r="I430" s="32">
        <f>IF(OR($A430="",$G430&lt;&gt;"Active"),0,IF($H430&lt;&gt;"",$H430,IF($AO430&gt;0,$AP430,IF(AND($R430&lt;&gt;"",IFERROR(INDEX(Templates!$B$3:$H$10,MATCH($R430,Templates!$A$3:$A$10,0),MATCH($F430,Templates!$B$2:$H$2,0)),0)&gt;0),INDEX(Templates!$B$3:$H$10,MATCH($R430,Templates!$A$3:$A$10,0),MATCH($F430,Templates!$B$2:$H$2,0)),IFERROR(INDEX(Settings!$B$8:$B$14,MATCH($F430,Settings!$A$8:$A$14,0)),0)))))</f>
        <v/>
      </c>
      <c r="J430" s="21">
        <f>IF($C430="",0,IFERROR(INDEX(Deals!$H$2:$H$355,MATCH($C430,Deals!$A$2:$A$355,0)),0))</f>
        <v/>
      </c>
      <c r="K430" s="32">
        <f>IF(Settings!$B$4="Yes",$I430*$J430,$I430)</f>
        <v/>
      </c>
      <c r="L430" s="22">
        <f>IF($C430="","",IFERROR(IF(INDEX(Deals!$I$2:$I$355,MATCH($C430,Deals!$A$2:$A$355,0))=0,"",INDEX(Deals!$I$2:$I$355,MATCH($C430,Deals!$A$2:$A$355,0))),""))</f>
        <v/>
      </c>
      <c r="M430" s="22">
        <f>IF($C430="","",IFERROR(IF(INDEX(Deals!$J$2:$J$355,MATCH($C430,Deals!$A$2:$A$355,0))=0,"",INDEX(Deals!$J$2:$J$355,MATCH($C430,Deals!$A$2:$A$355,0))),""))</f>
        <v/>
      </c>
      <c r="N430" s="35">
        <f>IF($L430="",DATE(1900,1,1),$L430)</f>
        <v/>
      </c>
      <c r="O430" s="35">
        <f>IF($M430="",DATE(2100,12,31),$M430)</f>
        <v/>
      </c>
      <c r="P430" s="20" t="inlineStr"/>
      <c r="Q430" s="47" t="inlineStr"/>
      <c r="R430" s="16">
        <f>IF($C430="","",IFERROR(IF(INDEX(Deals!$U$2:$U$355,MATCH($C430,Deals!$A$2:$A$355,0))=0,"",INDEX(Deals!$U$2:$U$355,MATCH($C430,Deals!$A$2:$A$355,0))),""))</f>
        <v/>
      </c>
      <c r="S430" s="34">
        <f>IFERROR(IF($U430="",1,INDEX(Deals!$V$2:$V$355,MATCH($C430,Deals!$A$2:$A$355,0))),1)</f>
        <v/>
      </c>
      <c r="T430" s="34">
        <f>IFERROR(IF($U430="",1,INDEX(Deals!$W$2:$W$355,MATCH($C430,Deals!$A$2:$A$355,0))),1)</f>
        <v/>
      </c>
      <c r="U430" s="22">
        <f>IF($C430="","",IFERROR(IF(INDEX(Deals!$Y$2:$Y$355,MATCH($C430,Deals!$A$2:$A$355,0))=0,"",INDEX(Deals!$Y$2:$Y$355,MATCH($C430,Deals!$A$2:$A$355,0))),""))</f>
        <v/>
      </c>
      <c r="V430" s="35">
        <f>IF(OR($U430&lt;&gt;"",AND($AO430&gt;0,$L430&lt;&gt;"",$M430&lt;&gt;"")),$N430,DATE(1900,1,1))</f>
        <v/>
      </c>
      <c r="W430" s="35">
        <f>IF($U430&lt;&gt;"",$U430,IF(AND($AO430&gt;0,$L430&lt;&gt;"",$M430&lt;&gt;""),$O430,DATE(2100,12,31)))</f>
        <v/>
      </c>
      <c r="X430" s="32">
        <f>IF($U430="",$K430,$K430*$S430)</f>
        <v/>
      </c>
      <c r="Y430" s="35">
        <f>IF($U430="",DATE(2100,12,31),$U430+1)</f>
        <v/>
      </c>
      <c r="Z430" s="35">
        <f>IF($U430="",DATE(1900,1,1),$O430)</f>
        <v/>
      </c>
      <c r="AA430" s="32">
        <f>IF($U430="",0,$K430*$T430)</f>
        <v/>
      </c>
      <c r="AB430" s="21">
        <f>IF($C430="",0,IFERROR(INDEX(Deals!$AD$2:$AD$355,MATCH($C430,Deals!$A$2:$A$355,0)),0))</f>
        <v/>
      </c>
      <c r="AC430" s="32">
        <f>IF(Settings!$B$4="Yes",$I430*$AB430,$I430)</f>
        <v/>
      </c>
      <c r="AD430" s="22">
        <f>IF($C430="","",IFERROR(IF(INDEX(Deals!$AE$2:$AE$355,MATCH($C430,Deals!$A$2:$A$355,0))=0,"",INDEX(Deals!$AE$2:$AE$355,MATCH($C430,Deals!$A$2:$A$355,0))),""))</f>
        <v/>
      </c>
      <c r="AE430" s="22">
        <f>IF($C430="","",IFERROR(IF(INDEX(Deals!$AF$2:$AF$355,MATCH($C430,Deals!$A$2:$A$355,0))=0,"",INDEX(Deals!$AF$2:$AF$355,MATCH($C430,Deals!$A$2:$A$355,0))),""))</f>
        <v/>
      </c>
      <c r="AF430" s="35">
        <f>IF($AD430="",DATE(1900,1,1),$AD430)</f>
        <v/>
      </c>
      <c r="AG430" s="35">
        <f>IF($AE430="",DATE(2100,12,31),$AE430)</f>
        <v/>
      </c>
      <c r="AH430" s="22">
        <f>IF($C430="","",IFERROR(IF(INDEX(Deals!$AG$2:$AG$355,MATCH($C430,Deals!$A$2:$A$355,0))=0,"",INDEX(Deals!$AG$2:$AG$355,MATCH($C430,Deals!$A$2:$A$355,0))),""))</f>
        <v/>
      </c>
      <c r="AI430" s="35">
        <f>IF(OR($AH430&lt;&gt;"",AND($AO430&gt;0,$AD430&lt;&gt;"",$AE430&lt;&gt;"")),$AF430,DATE(1900,1,1))</f>
        <v/>
      </c>
      <c r="AJ430" s="35">
        <f>IF($AH430&lt;&gt;"",$AH430,IF(AND($AO430&gt;0,$AD430&lt;&gt;"",$AE430&lt;&gt;""),$AG430,DATE(2100,12,31)))</f>
        <v/>
      </c>
      <c r="AK430" s="32">
        <f>IF($AH430="",$AC430,$AC430*$S430)</f>
        <v/>
      </c>
      <c r="AL430" s="35">
        <f>IF($AH430="",DATE(2100,12,31),$AH430+1)</f>
        <v/>
      </c>
      <c r="AM430" s="35">
        <f>IF($AH430="",DATE(1900,1,1),$AG430)</f>
        <v/>
      </c>
      <c r="AN430" s="32">
        <f>IF($AH430="",0,$AC430*$T430)</f>
        <v/>
      </c>
      <c r="AO430" s="46">
        <f>IF($C430="",0,IFERROR(INDEX(Deals!$BD$2:$BD$355,MATCH($C430,Deals!$A$2:$A$355,0)),0))</f>
        <v/>
      </c>
      <c r="AP430" s="18">
        <f>IF($AO430=0,0,IFERROR(INDEX(Deals!$BJ$2:$BP$355,MATCH($C430,Deals!$A$2:$A$355,0),MATCH($F430,Deals!$BJ$1:$BP$1,0))/COUNTIFS(Assignments!$C$2:$C$769,$C430,Assignments!$F$2:$F$769,$F430,Assignments!$G$2:$G$769,"Active"),0))</f>
        <v/>
      </c>
    </row>
    <row r="431">
      <c r="A431" s="28" t="inlineStr">
        <is>
          <t>Vidhi</t>
        </is>
      </c>
      <c r="B431" s="16">
        <f>IF($A431="","",IFERROR(INDEX(Roster!$B$2:$B$40,MATCH($A431,Roster!$A$2:$A$40,0)),"?"))</f>
        <v/>
      </c>
      <c r="C431" s="28" t="inlineStr">
        <is>
          <t>Sunrise_5</t>
        </is>
      </c>
      <c r="D431" s="16">
        <f>IF($C431="","",IFERROR(IF(INDEX(Deals!$C$2:$C$355,MATCH($C431,Deals!$A$2:$A$355,0))=0,"",INDEX(Deals!$C$2:$C$355,MATCH($C431,Deals!$A$2:$A$355,0))),"?"))</f>
        <v/>
      </c>
      <c r="E431" s="16">
        <f>IF($C431="","",IFERROR(INDEX(Deals!$F$2:$F$355,MATCH($C431,Deals!$A$2:$A$355,0)),"?"))</f>
        <v/>
      </c>
      <c r="F431" s="28" t="inlineStr">
        <is>
          <t>Senior Associate</t>
        </is>
      </c>
      <c r="G431" s="28" t="inlineStr">
        <is>
          <t>Active</t>
        </is>
      </c>
      <c r="H431" s="31" t="n"/>
      <c r="I431" s="32">
        <f>IF(OR($A431="",$G431&lt;&gt;"Active"),0,IF($H431&lt;&gt;"",$H431,IF($AO431&gt;0,$AP431,IF(AND($R431&lt;&gt;"",IFERROR(INDEX(Templates!$B$3:$H$10,MATCH($R431,Templates!$A$3:$A$10,0),MATCH($F431,Templates!$B$2:$H$2,0)),0)&gt;0),INDEX(Templates!$B$3:$H$10,MATCH($R431,Templates!$A$3:$A$10,0),MATCH($F431,Templates!$B$2:$H$2,0)),IFERROR(INDEX(Settings!$B$8:$B$14,MATCH($F431,Settings!$A$8:$A$14,0)),0)))))</f>
        <v/>
      </c>
      <c r="J431" s="21">
        <f>IF($C431="",0,IFERROR(INDEX(Deals!$H$2:$H$355,MATCH($C431,Deals!$A$2:$A$355,0)),0))</f>
        <v/>
      </c>
      <c r="K431" s="32">
        <f>IF(Settings!$B$4="Yes",$I431*$J431,$I431)</f>
        <v/>
      </c>
      <c r="L431" s="22">
        <f>IF($C431="","",IFERROR(IF(INDEX(Deals!$I$2:$I$355,MATCH($C431,Deals!$A$2:$A$355,0))=0,"",INDEX(Deals!$I$2:$I$355,MATCH($C431,Deals!$A$2:$A$355,0))),""))</f>
        <v/>
      </c>
      <c r="M431" s="22">
        <f>IF($C431="","",IFERROR(IF(INDEX(Deals!$J$2:$J$355,MATCH($C431,Deals!$A$2:$A$355,0))=0,"",INDEX(Deals!$J$2:$J$355,MATCH($C431,Deals!$A$2:$A$355,0))),""))</f>
        <v/>
      </c>
      <c r="N431" s="35">
        <f>IF($L431="",DATE(1900,1,1),$L431)</f>
        <v/>
      </c>
      <c r="O431" s="35">
        <f>IF($M431="",DATE(2100,12,31),$M431)</f>
        <v/>
      </c>
      <c r="P431" s="20" t="inlineStr"/>
      <c r="Q431" s="47" t="inlineStr"/>
      <c r="R431" s="16">
        <f>IF($C431="","",IFERROR(IF(INDEX(Deals!$U$2:$U$355,MATCH($C431,Deals!$A$2:$A$355,0))=0,"",INDEX(Deals!$U$2:$U$355,MATCH($C431,Deals!$A$2:$A$355,0))),""))</f>
        <v/>
      </c>
      <c r="S431" s="34">
        <f>IFERROR(IF($U431="",1,INDEX(Deals!$V$2:$V$355,MATCH($C431,Deals!$A$2:$A$355,0))),1)</f>
        <v/>
      </c>
      <c r="T431" s="34">
        <f>IFERROR(IF($U431="",1,INDEX(Deals!$W$2:$W$355,MATCH($C431,Deals!$A$2:$A$355,0))),1)</f>
        <v/>
      </c>
      <c r="U431" s="22">
        <f>IF($C431="","",IFERROR(IF(INDEX(Deals!$Y$2:$Y$355,MATCH($C431,Deals!$A$2:$A$355,0))=0,"",INDEX(Deals!$Y$2:$Y$355,MATCH($C431,Deals!$A$2:$A$355,0))),""))</f>
        <v/>
      </c>
      <c r="V431" s="35">
        <f>IF(OR($U431&lt;&gt;"",AND($AO431&gt;0,$L431&lt;&gt;"",$M431&lt;&gt;"")),$N431,DATE(1900,1,1))</f>
        <v/>
      </c>
      <c r="W431" s="35">
        <f>IF($U431&lt;&gt;"",$U431,IF(AND($AO431&gt;0,$L431&lt;&gt;"",$M431&lt;&gt;""),$O431,DATE(2100,12,31)))</f>
        <v/>
      </c>
      <c r="X431" s="32">
        <f>IF($U431="",$K431,$K431*$S431)</f>
        <v/>
      </c>
      <c r="Y431" s="35">
        <f>IF($U431="",DATE(2100,12,31),$U431+1)</f>
        <v/>
      </c>
      <c r="Z431" s="35">
        <f>IF($U431="",DATE(1900,1,1),$O431)</f>
        <v/>
      </c>
      <c r="AA431" s="32">
        <f>IF($U431="",0,$K431*$T431)</f>
        <v/>
      </c>
      <c r="AB431" s="21">
        <f>IF($C431="",0,IFERROR(INDEX(Deals!$AD$2:$AD$355,MATCH($C431,Deals!$A$2:$A$355,0)),0))</f>
        <v/>
      </c>
      <c r="AC431" s="32">
        <f>IF(Settings!$B$4="Yes",$I431*$AB431,$I431)</f>
        <v/>
      </c>
      <c r="AD431" s="22">
        <f>IF($C431="","",IFERROR(IF(INDEX(Deals!$AE$2:$AE$355,MATCH($C431,Deals!$A$2:$A$355,0))=0,"",INDEX(Deals!$AE$2:$AE$355,MATCH($C431,Deals!$A$2:$A$355,0))),""))</f>
        <v/>
      </c>
      <c r="AE431" s="22">
        <f>IF($C431="","",IFERROR(IF(INDEX(Deals!$AF$2:$AF$355,MATCH($C431,Deals!$A$2:$A$355,0))=0,"",INDEX(Deals!$AF$2:$AF$355,MATCH($C431,Deals!$A$2:$A$355,0))),""))</f>
        <v/>
      </c>
      <c r="AF431" s="35">
        <f>IF($AD431="",DATE(1900,1,1),$AD431)</f>
        <v/>
      </c>
      <c r="AG431" s="35">
        <f>IF($AE431="",DATE(2100,12,31),$AE431)</f>
        <v/>
      </c>
      <c r="AH431" s="22">
        <f>IF($C431="","",IFERROR(IF(INDEX(Deals!$AG$2:$AG$355,MATCH($C431,Deals!$A$2:$A$355,0))=0,"",INDEX(Deals!$AG$2:$AG$355,MATCH($C431,Deals!$A$2:$A$355,0))),""))</f>
        <v/>
      </c>
      <c r="AI431" s="35">
        <f>IF(OR($AH431&lt;&gt;"",AND($AO431&gt;0,$AD431&lt;&gt;"",$AE431&lt;&gt;"")),$AF431,DATE(1900,1,1))</f>
        <v/>
      </c>
      <c r="AJ431" s="35">
        <f>IF($AH431&lt;&gt;"",$AH431,IF(AND($AO431&gt;0,$AD431&lt;&gt;"",$AE431&lt;&gt;""),$AG431,DATE(2100,12,31)))</f>
        <v/>
      </c>
      <c r="AK431" s="32">
        <f>IF($AH431="",$AC431,$AC431*$S431)</f>
        <v/>
      </c>
      <c r="AL431" s="35">
        <f>IF($AH431="",DATE(2100,12,31),$AH431+1)</f>
        <v/>
      </c>
      <c r="AM431" s="35">
        <f>IF($AH431="",DATE(1900,1,1),$AG431)</f>
        <v/>
      </c>
      <c r="AN431" s="32">
        <f>IF($AH431="",0,$AC431*$T431)</f>
        <v/>
      </c>
      <c r="AO431" s="46">
        <f>IF($C431="",0,IFERROR(INDEX(Deals!$BD$2:$BD$355,MATCH($C431,Deals!$A$2:$A$355,0)),0))</f>
        <v/>
      </c>
      <c r="AP431" s="18">
        <f>IF($AO431=0,0,IFERROR(INDEX(Deals!$BJ$2:$BP$355,MATCH($C431,Deals!$A$2:$A$355,0),MATCH($F431,Deals!$BJ$1:$BP$1,0))/COUNTIFS(Assignments!$C$2:$C$769,$C431,Assignments!$F$2:$F$769,$F431,Assignments!$G$2:$G$769,"Active"),0))</f>
        <v/>
      </c>
    </row>
    <row r="432">
      <c r="A432" s="28" t="inlineStr">
        <is>
          <t>Vidhi</t>
        </is>
      </c>
      <c r="B432" s="16">
        <f>IF($A432="","",IFERROR(INDEX(Roster!$B$2:$B$40,MATCH($A432,Roster!$A$2:$A$40,0)),"?"))</f>
        <v/>
      </c>
      <c r="C432" s="28" t="inlineStr">
        <is>
          <t>WASP_2</t>
        </is>
      </c>
      <c r="D432" s="16">
        <f>IF($C432="","",IFERROR(IF(INDEX(Deals!$C$2:$C$355,MATCH($C432,Deals!$A$2:$A$355,0))=0,"",INDEX(Deals!$C$2:$C$355,MATCH($C432,Deals!$A$2:$A$355,0))),"?"))</f>
        <v/>
      </c>
      <c r="E432" s="16">
        <f>IF($C432="","",IFERROR(INDEX(Deals!$F$2:$F$355,MATCH($C432,Deals!$A$2:$A$355,0)),"?"))</f>
        <v/>
      </c>
      <c r="F432" s="28" t="inlineStr">
        <is>
          <t>Senior Associate</t>
        </is>
      </c>
      <c r="G432" s="28" t="inlineStr">
        <is>
          <t>Active</t>
        </is>
      </c>
      <c r="H432" s="31" t="n"/>
      <c r="I432" s="32">
        <f>IF(OR($A432="",$G432&lt;&gt;"Active"),0,IF($H432&lt;&gt;"",$H432,IF($AO432&gt;0,$AP432,IF(AND($R432&lt;&gt;"",IFERROR(INDEX(Templates!$B$3:$H$10,MATCH($R432,Templates!$A$3:$A$10,0),MATCH($F432,Templates!$B$2:$H$2,0)),0)&gt;0),INDEX(Templates!$B$3:$H$10,MATCH($R432,Templates!$A$3:$A$10,0),MATCH($F432,Templates!$B$2:$H$2,0)),IFERROR(INDEX(Settings!$B$8:$B$14,MATCH($F432,Settings!$A$8:$A$14,0)),0)))))</f>
        <v/>
      </c>
      <c r="J432" s="21">
        <f>IF($C432="",0,IFERROR(INDEX(Deals!$H$2:$H$355,MATCH($C432,Deals!$A$2:$A$355,0)),0))</f>
        <v/>
      </c>
      <c r="K432" s="32">
        <f>IF(Settings!$B$4="Yes",$I432*$J432,$I432)</f>
        <v/>
      </c>
      <c r="L432" s="22">
        <f>IF($C432="","",IFERROR(IF(INDEX(Deals!$I$2:$I$355,MATCH($C432,Deals!$A$2:$A$355,0))=0,"",INDEX(Deals!$I$2:$I$355,MATCH($C432,Deals!$A$2:$A$355,0))),""))</f>
        <v/>
      </c>
      <c r="M432" s="22">
        <f>IF($C432="","",IFERROR(IF(INDEX(Deals!$J$2:$J$355,MATCH($C432,Deals!$A$2:$A$355,0))=0,"",INDEX(Deals!$J$2:$J$355,MATCH($C432,Deals!$A$2:$A$355,0))),""))</f>
        <v/>
      </c>
      <c r="N432" s="35">
        <f>IF($L432="",DATE(1900,1,1),$L432)</f>
        <v/>
      </c>
      <c r="O432" s="35">
        <f>IF($M432="",DATE(2100,12,31),$M432)</f>
        <v/>
      </c>
      <c r="P432" s="20" t="inlineStr"/>
      <c r="Q432" s="47" t="inlineStr"/>
      <c r="R432" s="16">
        <f>IF($C432="","",IFERROR(IF(INDEX(Deals!$U$2:$U$355,MATCH($C432,Deals!$A$2:$A$355,0))=0,"",INDEX(Deals!$U$2:$U$355,MATCH($C432,Deals!$A$2:$A$355,0))),""))</f>
        <v/>
      </c>
      <c r="S432" s="34">
        <f>IFERROR(IF($U432="",1,INDEX(Deals!$V$2:$V$355,MATCH($C432,Deals!$A$2:$A$355,0))),1)</f>
        <v/>
      </c>
      <c r="T432" s="34">
        <f>IFERROR(IF($U432="",1,INDEX(Deals!$W$2:$W$355,MATCH($C432,Deals!$A$2:$A$355,0))),1)</f>
        <v/>
      </c>
      <c r="U432" s="22">
        <f>IF($C432="","",IFERROR(IF(INDEX(Deals!$Y$2:$Y$355,MATCH($C432,Deals!$A$2:$A$355,0))=0,"",INDEX(Deals!$Y$2:$Y$355,MATCH($C432,Deals!$A$2:$A$355,0))),""))</f>
        <v/>
      </c>
      <c r="V432" s="35">
        <f>IF(OR($U432&lt;&gt;"",AND($AO432&gt;0,$L432&lt;&gt;"",$M432&lt;&gt;"")),$N432,DATE(1900,1,1))</f>
        <v/>
      </c>
      <c r="W432" s="35">
        <f>IF($U432&lt;&gt;"",$U432,IF(AND($AO432&gt;0,$L432&lt;&gt;"",$M432&lt;&gt;""),$O432,DATE(2100,12,31)))</f>
        <v/>
      </c>
      <c r="X432" s="32">
        <f>IF($U432="",$K432,$K432*$S432)</f>
        <v/>
      </c>
      <c r="Y432" s="35">
        <f>IF($U432="",DATE(2100,12,31),$U432+1)</f>
        <v/>
      </c>
      <c r="Z432" s="35">
        <f>IF($U432="",DATE(1900,1,1),$O432)</f>
        <v/>
      </c>
      <c r="AA432" s="32">
        <f>IF($U432="",0,$K432*$T432)</f>
        <v/>
      </c>
      <c r="AB432" s="21">
        <f>IF($C432="",0,IFERROR(INDEX(Deals!$AD$2:$AD$355,MATCH($C432,Deals!$A$2:$A$355,0)),0))</f>
        <v/>
      </c>
      <c r="AC432" s="32">
        <f>IF(Settings!$B$4="Yes",$I432*$AB432,$I432)</f>
        <v/>
      </c>
      <c r="AD432" s="22">
        <f>IF($C432="","",IFERROR(IF(INDEX(Deals!$AE$2:$AE$355,MATCH($C432,Deals!$A$2:$A$355,0))=0,"",INDEX(Deals!$AE$2:$AE$355,MATCH($C432,Deals!$A$2:$A$355,0))),""))</f>
        <v/>
      </c>
      <c r="AE432" s="22">
        <f>IF($C432="","",IFERROR(IF(INDEX(Deals!$AF$2:$AF$355,MATCH($C432,Deals!$A$2:$A$355,0))=0,"",INDEX(Deals!$AF$2:$AF$355,MATCH($C432,Deals!$A$2:$A$355,0))),""))</f>
        <v/>
      </c>
      <c r="AF432" s="35">
        <f>IF($AD432="",DATE(1900,1,1),$AD432)</f>
        <v/>
      </c>
      <c r="AG432" s="35">
        <f>IF($AE432="",DATE(2100,12,31),$AE432)</f>
        <v/>
      </c>
      <c r="AH432" s="22">
        <f>IF($C432="","",IFERROR(IF(INDEX(Deals!$AG$2:$AG$355,MATCH($C432,Deals!$A$2:$A$355,0))=0,"",INDEX(Deals!$AG$2:$AG$355,MATCH($C432,Deals!$A$2:$A$355,0))),""))</f>
        <v/>
      </c>
      <c r="AI432" s="35">
        <f>IF(OR($AH432&lt;&gt;"",AND($AO432&gt;0,$AD432&lt;&gt;"",$AE432&lt;&gt;"")),$AF432,DATE(1900,1,1))</f>
        <v/>
      </c>
      <c r="AJ432" s="35">
        <f>IF($AH432&lt;&gt;"",$AH432,IF(AND($AO432&gt;0,$AD432&lt;&gt;"",$AE432&lt;&gt;""),$AG432,DATE(2100,12,31)))</f>
        <v/>
      </c>
      <c r="AK432" s="32">
        <f>IF($AH432="",$AC432,$AC432*$S432)</f>
        <v/>
      </c>
      <c r="AL432" s="35">
        <f>IF($AH432="",DATE(2100,12,31),$AH432+1)</f>
        <v/>
      </c>
      <c r="AM432" s="35">
        <f>IF($AH432="",DATE(1900,1,1),$AG432)</f>
        <v/>
      </c>
      <c r="AN432" s="32">
        <f>IF($AH432="",0,$AC432*$T432)</f>
        <v/>
      </c>
      <c r="AO432" s="46">
        <f>IF($C432="",0,IFERROR(INDEX(Deals!$BD$2:$BD$355,MATCH($C432,Deals!$A$2:$A$355,0)),0))</f>
        <v/>
      </c>
      <c r="AP432" s="18">
        <f>IF($AO432=0,0,IFERROR(INDEX(Deals!$BJ$2:$BP$355,MATCH($C432,Deals!$A$2:$A$355,0),MATCH($F432,Deals!$BJ$1:$BP$1,0))/COUNTIFS(Assignments!$C$2:$C$769,$C432,Assignments!$F$2:$F$769,$F432,Assignments!$G$2:$G$769,"Active"),0))</f>
        <v/>
      </c>
    </row>
    <row r="433">
      <c r="A433" s="28" t="inlineStr">
        <is>
          <t>Vidhi</t>
        </is>
      </c>
      <c r="B433" s="16">
        <f>IF($A433="","",IFERROR(INDEX(Roster!$B$2:$B$40,MATCH($A433,Roster!$A$2:$A$40,0)),"?"))</f>
        <v/>
      </c>
      <c r="C433" s="28" t="inlineStr">
        <is>
          <t>Zeus_2</t>
        </is>
      </c>
      <c r="D433" s="16">
        <f>IF($C433="","",IFERROR(IF(INDEX(Deals!$C$2:$C$355,MATCH($C433,Deals!$A$2:$A$355,0))=0,"",INDEX(Deals!$C$2:$C$355,MATCH($C433,Deals!$A$2:$A$355,0))),"?"))</f>
        <v/>
      </c>
      <c r="E433" s="16">
        <f>IF($C433="","",IFERROR(INDEX(Deals!$F$2:$F$355,MATCH($C433,Deals!$A$2:$A$355,0)),"?"))</f>
        <v/>
      </c>
      <c r="F433" s="28" t="inlineStr">
        <is>
          <t>Senior Associate</t>
        </is>
      </c>
      <c r="G433" s="28" t="inlineStr">
        <is>
          <t>Active</t>
        </is>
      </c>
      <c r="H433" s="31" t="n"/>
      <c r="I433" s="32">
        <f>IF(OR($A433="",$G433&lt;&gt;"Active"),0,IF($H433&lt;&gt;"",$H433,IF($AO433&gt;0,$AP433,IF(AND($R433&lt;&gt;"",IFERROR(INDEX(Templates!$B$3:$H$10,MATCH($R433,Templates!$A$3:$A$10,0),MATCH($F433,Templates!$B$2:$H$2,0)),0)&gt;0),INDEX(Templates!$B$3:$H$10,MATCH($R433,Templates!$A$3:$A$10,0),MATCH($F433,Templates!$B$2:$H$2,0)),IFERROR(INDEX(Settings!$B$8:$B$14,MATCH($F433,Settings!$A$8:$A$14,0)),0)))))</f>
        <v/>
      </c>
      <c r="J433" s="21">
        <f>IF($C433="",0,IFERROR(INDEX(Deals!$H$2:$H$355,MATCH($C433,Deals!$A$2:$A$355,0)),0))</f>
        <v/>
      </c>
      <c r="K433" s="32">
        <f>IF(Settings!$B$4="Yes",$I433*$J433,$I433)</f>
        <v/>
      </c>
      <c r="L433" s="22">
        <f>IF($C433="","",IFERROR(IF(INDEX(Deals!$I$2:$I$355,MATCH($C433,Deals!$A$2:$A$355,0))=0,"",INDEX(Deals!$I$2:$I$355,MATCH($C433,Deals!$A$2:$A$355,0))),""))</f>
        <v/>
      </c>
      <c r="M433" s="22">
        <f>IF($C433="","",IFERROR(IF(INDEX(Deals!$J$2:$J$355,MATCH($C433,Deals!$A$2:$A$355,0))=0,"",INDEX(Deals!$J$2:$J$355,MATCH($C433,Deals!$A$2:$A$355,0))),""))</f>
        <v/>
      </c>
      <c r="N433" s="35">
        <f>IF($L433="",DATE(1900,1,1),$L433)</f>
        <v/>
      </c>
      <c r="O433" s="35">
        <f>IF($M433="",DATE(2100,12,31),$M433)</f>
        <v/>
      </c>
      <c r="P433" s="20" t="inlineStr"/>
      <c r="Q433" s="47" t="inlineStr"/>
      <c r="R433" s="16">
        <f>IF($C433="","",IFERROR(IF(INDEX(Deals!$U$2:$U$355,MATCH($C433,Deals!$A$2:$A$355,0))=0,"",INDEX(Deals!$U$2:$U$355,MATCH($C433,Deals!$A$2:$A$355,0))),""))</f>
        <v/>
      </c>
      <c r="S433" s="34">
        <f>IFERROR(IF($U433="",1,INDEX(Deals!$V$2:$V$355,MATCH($C433,Deals!$A$2:$A$355,0))),1)</f>
        <v/>
      </c>
      <c r="T433" s="34">
        <f>IFERROR(IF($U433="",1,INDEX(Deals!$W$2:$W$355,MATCH($C433,Deals!$A$2:$A$355,0))),1)</f>
        <v/>
      </c>
      <c r="U433" s="22">
        <f>IF($C433="","",IFERROR(IF(INDEX(Deals!$Y$2:$Y$355,MATCH($C433,Deals!$A$2:$A$355,0))=0,"",INDEX(Deals!$Y$2:$Y$355,MATCH($C433,Deals!$A$2:$A$355,0))),""))</f>
        <v/>
      </c>
      <c r="V433" s="35">
        <f>IF(OR($U433&lt;&gt;"",AND($AO433&gt;0,$L433&lt;&gt;"",$M433&lt;&gt;"")),$N433,DATE(1900,1,1))</f>
        <v/>
      </c>
      <c r="W433" s="35">
        <f>IF($U433&lt;&gt;"",$U433,IF(AND($AO433&gt;0,$L433&lt;&gt;"",$M433&lt;&gt;""),$O433,DATE(2100,12,31)))</f>
        <v/>
      </c>
      <c r="X433" s="32">
        <f>IF($U433="",$K433,$K433*$S433)</f>
        <v/>
      </c>
      <c r="Y433" s="35">
        <f>IF($U433="",DATE(2100,12,31),$U433+1)</f>
        <v/>
      </c>
      <c r="Z433" s="35">
        <f>IF($U433="",DATE(1900,1,1),$O433)</f>
        <v/>
      </c>
      <c r="AA433" s="32">
        <f>IF($U433="",0,$K433*$T433)</f>
        <v/>
      </c>
      <c r="AB433" s="21">
        <f>IF($C433="",0,IFERROR(INDEX(Deals!$AD$2:$AD$355,MATCH($C433,Deals!$A$2:$A$355,0)),0))</f>
        <v/>
      </c>
      <c r="AC433" s="32">
        <f>IF(Settings!$B$4="Yes",$I433*$AB433,$I433)</f>
        <v/>
      </c>
      <c r="AD433" s="22">
        <f>IF($C433="","",IFERROR(IF(INDEX(Deals!$AE$2:$AE$355,MATCH($C433,Deals!$A$2:$A$355,0))=0,"",INDEX(Deals!$AE$2:$AE$355,MATCH($C433,Deals!$A$2:$A$355,0))),""))</f>
        <v/>
      </c>
      <c r="AE433" s="22">
        <f>IF($C433="","",IFERROR(IF(INDEX(Deals!$AF$2:$AF$355,MATCH($C433,Deals!$A$2:$A$355,0))=0,"",INDEX(Deals!$AF$2:$AF$355,MATCH($C433,Deals!$A$2:$A$355,0))),""))</f>
        <v/>
      </c>
      <c r="AF433" s="35">
        <f>IF($AD433="",DATE(1900,1,1),$AD433)</f>
        <v/>
      </c>
      <c r="AG433" s="35">
        <f>IF($AE433="",DATE(2100,12,31),$AE433)</f>
        <v/>
      </c>
      <c r="AH433" s="22">
        <f>IF($C433="","",IFERROR(IF(INDEX(Deals!$AG$2:$AG$355,MATCH($C433,Deals!$A$2:$A$355,0))=0,"",INDEX(Deals!$AG$2:$AG$355,MATCH($C433,Deals!$A$2:$A$355,0))),""))</f>
        <v/>
      </c>
      <c r="AI433" s="35">
        <f>IF(OR($AH433&lt;&gt;"",AND($AO433&gt;0,$AD433&lt;&gt;"",$AE433&lt;&gt;"")),$AF433,DATE(1900,1,1))</f>
        <v/>
      </c>
      <c r="AJ433" s="35">
        <f>IF($AH433&lt;&gt;"",$AH433,IF(AND($AO433&gt;0,$AD433&lt;&gt;"",$AE433&lt;&gt;""),$AG433,DATE(2100,12,31)))</f>
        <v/>
      </c>
      <c r="AK433" s="32">
        <f>IF($AH433="",$AC433,$AC433*$S433)</f>
        <v/>
      </c>
      <c r="AL433" s="35">
        <f>IF($AH433="",DATE(2100,12,31),$AH433+1)</f>
        <v/>
      </c>
      <c r="AM433" s="35">
        <f>IF($AH433="",DATE(1900,1,1),$AG433)</f>
        <v/>
      </c>
      <c r="AN433" s="32">
        <f>IF($AH433="",0,$AC433*$T433)</f>
        <v/>
      </c>
      <c r="AO433" s="46">
        <f>IF($C433="",0,IFERROR(INDEX(Deals!$BD$2:$BD$355,MATCH($C433,Deals!$A$2:$A$355,0)),0))</f>
        <v/>
      </c>
      <c r="AP433" s="18">
        <f>IF($AO433=0,0,IFERROR(INDEX(Deals!$BJ$2:$BP$355,MATCH($C433,Deals!$A$2:$A$355,0),MATCH($F433,Deals!$BJ$1:$BP$1,0))/COUNTIFS(Assignments!$C$2:$C$769,$C433,Assignments!$F$2:$F$769,$F433,Assignments!$G$2:$G$769,"Active"),0))</f>
        <v/>
      </c>
    </row>
    <row r="434">
      <c r="A434" s="28" t="inlineStr">
        <is>
          <t>Nina</t>
        </is>
      </c>
      <c r="B434" s="16">
        <f>IF($A434="","",IFERROR(INDEX(Roster!$B$2:$B$40,MATCH($A434,Roster!$A$2:$A$40,0)),"?"))</f>
        <v/>
      </c>
      <c r="C434" s="28" t="inlineStr">
        <is>
          <t>Adanac_1</t>
        </is>
      </c>
      <c r="D434" s="16">
        <f>IF($C434="","",IFERROR(IF(INDEX(Deals!$C$2:$C$355,MATCH($C434,Deals!$A$2:$A$355,0))=0,"",INDEX(Deals!$C$2:$C$355,MATCH($C434,Deals!$A$2:$A$355,0))),"?"))</f>
        <v/>
      </c>
      <c r="E434" s="16">
        <f>IF($C434="","",IFERROR(INDEX(Deals!$F$2:$F$355,MATCH($C434,Deals!$A$2:$A$355,0)),"?"))</f>
        <v/>
      </c>
      <c r="F434" s="28" t="inlineStr">
        <is>
          <t>Senior Associate</t>
        </is>
      </c>
      <c r="G434" s="28" t="inlineStr">
        <is>
          <t>Inactive</t>
        </is>
      </c>
      <c r="H434" s="31" t="n"/>
      <c r="I434" s="32">
        <f>IF(OR($A434="",$G434&lt;&gt;"Active"),0,IF($H434&lt;&gt;"",$H434,IF($AO434&gt;0,$AP434,IF(AND($R434&lt;&gt;"",IFERROR(INDEX(Templates!$B$3:$H$10,MATCH($R434,Templates!$A$3:$A$10,0),MATCH($F434,Templates!$B$2:$H$2,0)),0)&gt;0),INDEX(Templates!$B$3:$H$10,MATCH($R434,Templates!$A$3:$A$10,0),MATCH($F434,Templates!$B$2:$H$2,0)),IFERROR(INDEX(Settings!$B$8:$B$14,MATCH($F434,Settings!$A$8:$A$14,0)),0)))))</f>
        <v/>
      </c>
      <c r="J434" s="21">
        <f>IF($C434="",0,IFERROR(INDEX(Deals!$H$2:$H$355,MATCH($C434,Deals!$A$2:$A$355,0)),0))</f>
        <v/>
      </c>
      <c r="K434" s="32">
        <f>IF(Settings!$B$4="Yes",$I434*$J434,$I434)</f>
        <v/>
      </c>
      <c r="L434" s="22">
        <f>IF($C434="","",IFERROR(IF(INDEX(Deals!$I$2:$I$355,MATCH($C434,Deals!$A$2:$A$355,0))=0,"",INDEX(Deals!$I$2:$I$355,MATCH($C434,Deals!$A$2:$A$355,0))),""))</f>
        <v/>
      </c>
      <c r="M434" s="22">
        <f>IF($C434="","",IFERROR(IF(INDEX(Deals!$J$2:$J$355,MATCH($C434,Deals!$A$2:$A$355,0))=0,"",INDEX(Deals!$J$2:$J$355,MATCH($C434,Deals!$A$2:$A$355,0))),""))</f>
        <v/>
      </c>
      <c r="N434" s="35">
        <f>IF($L434="",DATE(1900,1,1),$L434)</f>
        <v/>
      </c>
      <c r="O434" s="35">
        <f>IF($M434="",DATE(2100,12,31),$M434)</f>
        <v/>
      </c>
      <c r="P434" s="20" t="inlineStr">
        <is>
          <t>Invoiced</t>
        </is>
      </c>
      <c r="Q434" s="47" t="inlineStr"/>
      <c r="R434" s="16">
        <f>IF($C434="","",IFERROR(IF(INDEX(Deals!$U$2:$U$355,MATCH($C434,Deals!$A$2:$A$355,0))=0,"",INDEX(Deals!$U$2:$U$355,MATCH($C434,Deals!$A$2:$A$355,0))),""))</f>
        <v/>
      </c>
      <c r="S434" s="34">
        <f>IFERROR(IF($U434="",1,INDEX(Deals!$V$2:$V$355,MATCH($C434,Deals!$A$2:$A$355,0))),1)</f>
        <v/>
      </c>
      <c r="T434" s="34">
        <f>IFERROR(IF($U434="",1,INDEX(Deals!$W$2:$W$355,MATCH($C434,Deals!$A$2:$A$355,0))),1)</f>
        <v/>
      </c>
      <c r="U434" s="22">
        <f>IF($C434="","",IFERROR(IF(INDEX(Deals!$Y$2:$Y$355,MATCH($C434,Deals!$A$2:$A$355,0))=0,"",INDEX(Deals!$Y$2:$Y$355,MATCH($C434,Deals!$A$2:$A$355,0))),""))</f>
        <v/>
      </c>
      <c r="V434" s="35">
        <f>IF(OR($U434&lt;&gt;"",AND($AO434&gt;0,$L434&lt;&gt;"",$M434&lt;&gt;"")),$N434,DATE(1900,1,1))</f>
        <v/>
      </c>
      <c r="W434" s="35">
        <f>IF($U434&lt;&gt;"",$U434,IF(AND($AO434&gt;0,$L434&lt;&gt;"",$M434&lt;&gt;""),$O434,DATE(2100,12,31)))</f>
        <v/>
      </c>
      <c r="X434" s="32">
        <f>IF($U434="",$K434,$K434*$S434)</f>
        <v/>
      </c>
      <c r="Y434" s="35">
        <f>IF($U434="",DATE(2100,12,31),$U434+1)</f>
        <v/>
      </c>
      <c r="Z434" s="35">
        <f>IF($U434="",DATE(1900,1,1),$O434)</f>
        <v/>
      </c>
      <c r="AA434" s="32">
        <f>IF($U434="",0,$K434*$T434)</f>
        <v/>
      </c>
      <c r="AB434" s="21">
        <f>IF($C434="",0,IFERROR(INDEX(Deals!$AD$2:$AD$355,MATCH($C434,Deals!$A$2:$A$355,0)),0))</f>
        <v/>
      </c>
      <c r="AC434" s="32">
        <f>IF(Settings!$B$4="Yes",$I434*$AB434,$I434)</f>
        <v/>
      </c>
      <c r="AD434" s="22">
        <f>IF($C434="","",IFERROR(IF(INDEX(Deals!$AE$2:$AE$355,MATCH($C434,Deals!$A$2:$A$355,0))=0,"",INDEX(Deals!$AE$2:$AE$355,MATCH($C434,Deals!$A$2:$A$355,0))),""))</f>
        <v/>
      </c>
      <c r="AE434" s="22">
        <f>IF($C434="","",IFERROR(IF(INDEX(Deals!$AF$2:$AF$355,MATCH($C434,Deals!$A$2:$A$355,0))=0,"",INDEX(Deals!$AF$2:$AF$355,MATCH($C434,Deals!$A$2:$A$355,0))),""))</f>
        <v/>
      </c>
      <c r="AF434" s="35">
        <f>IF($AD434="",DATE(1900,1,1),$AD434)</f>
        <v/>
      </c>
      <c r="AG434" s="35">
        <f>IF($AE434="",DATE(2100,12,31),$AE434)</f>
        <v/>
      </c>
      <c r="AH434" s="22">
        <f>IF($C434="","",IFERROR(IF(INDEX(Deals!$AG$2:$AG$355,MATCH($C434,Deals!$A$2:$A$355,0))=0,"",INDEX(Deals!$AG$2:$AG$355,MATCH($C434,Deals!$A$2:$A$355,0))),""))</f>
        <v/>
      </c>
      <c r="AI434" s="35">
        <f>IF(OR($AH434&lt;&gt;"",AND($AO434&gt;0,$AD434&lt;&gt;"",$AE434&lt;&gt;"")),$AF434,DATE(1900,1,1))</f>
        <v/>
      </c>
      <c r="AJ434" s="35">
        <f>IF($AH434&lt;&gt;"",$AH434,IF(AND($AO434&gt;0,$AD434&lt;&gt;"",$AE434&lt;&gt;""),$AG434,DATE(2100,12,31)))</f>
        <v/>
      </c>
      <c r="AK434" s="32">
        <f>IF($AH434="",$AC434,$AC434*$S434)</f>
        <v/>
      </c>
      <c r="AL434" s="35">
        <f>IF($AH434="",DATE(2100,12,31),$AH434+1)</f>
        <v/>
      </c>
      <c r="AM434" s="35">
        <f>IF($AH434="",DATE(1900,1,1),$AG434)</f>
        <v/>
      </c>
      <c r="AN434" s="32">
        <f>IF($AH434="",0,$AC434*$T434)</f>
        <v/>
      </c>
      <c r="AO434" s="46">
        <f>IF($C434="",0,IFERROR(INDEX(Deals!$BD$2:$BD$355,MATCH($C434,Deals!$A$2:$A$355,0)),0))</f>
        <v/>
      </c>
      <c r="AP434" s="18">
        <f>IF($AO434=0,0,IFERROR(INDEX(Deals!$BJ$2:$BP$355,MATCH($C434,Deals!$A$2:$A$355,0),MATCH($F434,Deals!$BJ$1:$BP$1,0))/COUNTIFS(Assignments!$C$2:$C$769,$C434,Assignments!$F$2:$F$769,$F434,Assignments!$G$2:$G$769,"Active"),0))</f>
        <v/>
      </c>
    </row>
    <row r="435">
      <c r="A435" s="28" t="inlineStr">
        <is>
          <t>Nina</t>
        </is>
      </c>
      <c r="B435" s="16">
        <f>IF($A435="","",IFERROR(INDEX(Roster!$B$2:$B$40,MATCH($A435,Roster!$A$2:$A$40,0)),"?"))</f>
        <v/>
      </c>
      <c r="C435" s="28" t="inlineStr">
        <is>
          <t>AIM_5</t>
        </is>
      </c>
      <c r="D435" s="16">
        <f>IF($C435="","",IFERROR(IF(INDEX(Deals!$C$2:$C$355,MATCH($C435,Deals!$A$2:$A$355,0))=0,"",INDEX(Deals!$C$2:$C$355,MATCH($C435,Deals!$A$2:$A$355,0))),"?"))</f>
        <v/>
      </c>
      <c r="E435" s="16">
        <f>IF($C435="","",IFERROR(INDEX(Deals!$F$2:$F$355,MATCH($C435,Deals!$A$2:$A$355,0)),"?"))</f>
        <v/>
      </c>
      <c r="F435" s="28" t="inlineStr">
        <is>
          <t>Senior Associate</t>
        </is>
      </c>
      <c r="G435" s="28" t="inlineStr">
        <is>
          <t>Inactive</t>
        </is>
      </c>
      <c r="H435" s="31" t="n"/>
      <c r="I435" s="32">
        <f>IF(OR($A435="",$G435&lt;&gt;"Active"),0,IF($H435&lt;&gt;"",$H435,IF($AO435&gt;0,$AP435,IF(AND($R435&lt;&gt;"",IFERROR(INDEX(Templates!$B$3:$H$10,MATCH($R435,Templates!$A$3:$A$10,0),MATCH($F435,Templates!$B$2:$H$2,0)),0)&gt;0),INDEX(Templates!$B$3:$H$10,MATCH($R435,Templates!$A$3:$A$10,0),MATCH($F435,Templates!$B$2:$H$2,0)),IFERROR(INDEX(Settings!$B$8:$B$14,MATCH($F435,Settings!$A$8:$A$14,0)),0)))))</f>
        <v/>
      </c>
      <c r="J435" s="21">
        <f>IF($C435="",0,IFERROR(INDEX(Deals!$H$2:$H$355,MATCH($C435,Deals!$A$2:$A$355,0)),0))</f>
        <v/>
      </c>
      <c r="K435" s="32">
        <f>IF(Settings!$B$4="Yes",$I435*$J435,$I435)</f>
        <v/>
      </c>
      <c r="L435" s="22">
        <f>IF($C435="","",IFERROR(IF(INDEX(Deals!$I$2:$I$355,MATCH($C435,Deals!$A$2:$A$355,0))=0,"",INDEX(Deals!$I$2:$I$355,MATCH($C435,Deals!$A$2:$A$355,0))),""))</f>
        <v/>
      </c>
      <c r="M435" s="22">
        <f>IF($C435="","",IFERROR(IF(INDEX(Deals!$J$2:$J$355,MATCH($C435,Deals!$A$2:$A$355,0))=0,"",INDEX(Deals!$J$2:$J$355,MATCH($C435,Deals!$A$2:$A$355,0))),""))</f>
        <v/>
      </c>
      <c r="N435" s="35">
        <f>IF($L435="",DATE(1900,1,1),$L435)</f>
        <v/>
      </c>
      <c r="O435" s="35">
        <f>IF($M435="",DATE(2100,12,31),$M435)</f>
        <v/>
      </c>
      <c r="P435" s="20" t="inlineStr">
        <is>
          <t>Client stopped responding to us re: invoicing.</t>
        </is>
      </c>
      <c r="Q435" s="47" t="inlineStr"/>
      <c r="R435" s="16">
        <f>IF($C435="","",IFERROR(IF(INDEX(Deals!$U$2:$U$355,MATCH($C435,Deals!$A$2:$A$355,0))=0,"",INDEX(Deals!$U$2:$U$355,MATCH($C435,Deals!$A$2:$A$355,0))),""))</f>
        <v/>
      </c>
      <c r="S435" s="34">
        <f>IFERROR(IF($U435="",1,INDEX(Deals!$V$2:$V$355,MATCH($C435,Deals!$A$2:$A$355,0))),1)</f>
        <v/>
      </c>
      <c r="T435" s="34">
        <f>IFERROR(IF($U435="",1,INDEX(Deals!$W$2:$W$355,MATCH($C435,Deals!$A$2:$A$355,0))),1)</f>
        <v/>
      </c>
      <c r="U435" s="22">
        <f>IF($C435="","",IFERROR(IF(INDEX(Deals!$Y$2:$Y$355,MATCH($C435,Deals!$A$2:$A$355,0))=0,"",INDEX(Deals!$Y$2:$Y$355,MATCH($C435,Deals!$A$2:$A$355,0))),""))</f>
        <v/>
      </c>
      <c r="V435" s="35">
        <f>IF(OR($U435&lt;&gt;"",AND($AO435&gt;0,$L435&lt;&gt;"",$M435&lt;&gt;"")),$N435,DATE(1900,1,1))</f>
        <v/>
      </c>
      <c r="W435" s="35">
        <f>IF($U435&lt;&gt;"",$U435,IF(AND($AO435&gt;0,$L435&lt;&gt;"",$M435&lt;&gt;""),$O435,DATE(2100,12,31)))</f>
        <v/>
      </c>
      <c r="X435" s="32">
        <f>IF($U435="",$K435,$K435*$S435)</f>
        <v/>
      </c>
      <c r="Y435" s="35">
        <f>IF($U435="",DATE(2100,12,31),$U435+1)</f>
        <v/>
      </c>
      <c r="Z435" s="35">
        <f>IF($U435="",DATE(1900,1,1),$O435)</f>
        <v/>
      </c>
      <c r="AA435" s="32">
        <f>IF($U435="",0,$K435*$T435)</f>
        <v/>
      </c>
      <c r="AB435" s="21">
        <f>IF($C435="",0,IFERROR(INDEX(Deals!$AD$2:$AD$355,MATCH($C435,Deals!$A$2:$A$355,0)),0))</f>
        <v/>
      </c>
      <c r="AC435" s="32">
        <f>IF(Settings!$B$4="Yes",$I435*$AB435,$I435)</f>
        <v/>
      </c>
      <c r="AD435" s="22">
        <f>IF($C435="","",IFERROR(IF(INDEX(Deals!$AE$2:$AE$355,MATCH($C435,Deals!$A$2:$A$355,0))=0,"",INDEX(Deals!$AE$2:$AE$355,MATCH($C435,Deals!$A$2:$A$355,0))),""))</f>
        <v/>
      </c>
      <c r="AE435" s="22">
        <f>IF($C435="","",IFERROR(IF(INDEX(Deals!$AF$2:$AF$355,MATCH($C435,Deals!$A$2:$A$355,0))=0,"",INDEX(Deals!$AF$2:$AF$355,MATCH($C435,Deals!$A$2:$A$355,0))),""))</f>
        <v/>
      </c>
      <c r="AF435" s="35">
        <f>IF($AD435="",DATE(1900,1,1),$AD435)</f>
        <v/>
      </c>
      <c r="AG435" s="35">
        <f>IF($AE435="",DATE(2100,12,31),$AE435)</f>
        <v/>
      </c>
      <c r="AH435" s="22">
        <f>IF($C435="","",IFERROR(IF(INDEX(Deals!$AG$2:$AG$355,MATCH($C435,Deals!$A$2:$A$355,0))=0,"",INDEX(Deals!$AG$2:$AG$355,MATCH($C435,Deals!$A$2:$A$355,0))),""))</f>
        <v/>
      </c>
      <c r="AI435" s="35">
        <f>IF(OR($AH435&lt;&gt;"",AND($AO435&gt;0,$AD435&lt;&gt;"",$AE435&lt;&gt;"")),$AF435,DATE(1900,1,1))</f>
        <v/>
      </c>
      <c r="AJ435" s="35">
        <f>IF($AH435&lt;&gt;"",$AH435,IF(AND($AO435&gt;0,$AD435&lt;&gt;"",$AE435&lt;&gt;""),$AG435,DATE(2100,12,31)))</f>
        <v/>
      </c>
      <c r="AK435" s="32">
        <f>IF($AH435="",$AC435,$AC435*$S435)</f>
        <v/>
      </c>
      <c r="AL435" s="35">
        <f>IF($AH435="",DATE(2100,12,31),$AH435+1)</f>
        <v/>
      </c>
      <c r="AM435" s="35">
        <f>IF($AH435="",DATE(1900,1,1),$AG435)</f>
        <v/>
      </c>
      <c r="AN435" s="32">
        <f>IF($AH435="",0,$AC435*$T435)</f>
        <v/>
      </c>
      <c r="AO435" s="46">
        <f>IF($C435="",0,IFERROR(INDEX(Deals!$BD$2:$BD$355,MATCH($C435,Deals!$A$2:$A$355,0)),0))</f>
        <v/>
      </c>
      <c r="AP435" s="18">
        <f>IF($AO435=0,0,IFERROR(INDEX(Deals!$BJ$2:$BP$355,MATCH($C435,Deals!$A$2:$A$355,0),MATCH($F435,Deals!$BJ$1:$BP$1,0))/COUNTIFS(Assignments!$C$2:$C$769,$C435,Assignments!$F$2:$F$769,$F435,Assignments!$G$2:$G$769,"Active"),0))</f>
        <v/>
      </c>
    </row>
    <row r="436">
      <c r="A436" s="28" t="inlineStr">
        <is>
          <t>Nina</t>
        </is>
      </c>
      <c r="B436" s="16">
        <f>IF($A436="","",IFERROR(INDEX(Roster!$B$2:$B$40,MATCH($A436,Roster!$A$2:$A$40,0)),"?"))</f>
        <v/>
      </c>
      <c r="C436" s="28" t="inlineStr">
        <is>
          <t>Alliance_1</t>
        </is>
      </c>
      <c r="D436" s="16">
        <f>IF($C436="","",IFERROR(IF(INDEX(Deals!$C$2:$C$355,MATCH($C436,Deals!$A$2:$A$355,0))=0,"",INDEX(Deals!$C$2:$C$355,MATCH($C436,Deals!$A$2:$A$355,0))),"?"))</f>
        <v/>
      </c>
      <c r="E436" s="16">
        <f>IF($C436="","",IFERROR(INDEX(Deals!$F$2:$F$355,MATCH($C436,Deals!$A$2:$A$355,0)),"?"))</f>
        <v/>
      </c>
      <c r="F436" s="28" t="inlineStr">
        <is>
          <t>Senior Associate</t>
        </is>
      </c>
      <c r="G436" s="28" t="inlineStr">
        <is>
          <t>Inactive</t>
        </is>
      </c>
      <c r="H436" s="31" t="n"/>
      <c r="I436" s="32">
        <f>IF(OR($A436="",$G436&lt;&gt;"Active"),0,IF($H436&lt;&gt;"",$H436,IF($AO436&gt;0,$AP436,IF(AND($R436&lt;&gt;"",IFERROR(INDEX(Templates!$B$3:$H$10,MATCH($R436,Templates!$A$3:$A$10,0),MATCH($F436,Templates!$B$2:$H$2,0)),0)&gt;0),INDEX(Templates!$B$3:$H$10,MATCH($R436,Templates!$A$3:$A$10,0),MATCH($F436,Templates!$B$2:$H$2,0)),IFERROR(INDEX(Settings!$B$8:$B$14,MATCH($F436,Settings!$A$8:$A$14,0)),0)))))</f>
        <v/>
      </c>
      <c r="J436" s="21">
        <f>IF($C436="",0,IFERROR(INDEX(Deals!$H$2:$H$355,MATCH($C436,Deals!$A$2:$A$355,0)),0))</f>
        <v/>
      </c>
      <c r="K436" s="32">
        <f>IF(Settings!$B$4="Yes",$I436*$J436,$I436)</f>
        <v/>
      </c>
      <c r="L436" s="22">
        <f>IF($C436="","",IFERROR(IF(INDEX(Deals!$I$2:$I$355,MATCH($C436,Deals!$A$2:$A$355,0))=0,"",INDEX(Deals!$I$2:$I$355,MATCH($C436,Deals!$A$2:$A$355,0))),""))</f>
        <v/>
      </c>
      <c r="M436" s="22">
        <f>IF($C436="","",IFERROR(IF(INDEX(Deals!$J$2:$J$355,MATCH($C436,Deals!$A$2:$A$355,0))=0,"",INDEX(Deals!$J$2:$J$355,MATCH($C436,Deals!$A$2:$A$355,0))),""))</f>
        <v/>
      </c>
      <c r="N436" s="35">
        <f>IF($L436="",DATE(1900,1,1),$L436)</f>
        <v/>
      </c>
      <c r="O436" s="35">
        <f>IF($M436="",DATE(2100,12,31),$M436)</f>
        <v/>
      </c>
      <c r="P436" s="20" t="inlineStr">
        <is>
          <t>Pencils down</t>
        </is>
      </c>
      <c r="Q436" s="47" t="inlineStr"/>
      <c r="R436" s="16">
        <f>IF($C436="","",IFERROR(IF(INDEX(Deals!$U$2:$U$355,MATCH($C436,Deals!$A$2:$A$355,0))=0,"",INDEX(Deals!$U$2:$U$355,MATCH($C436,Deals!$A$2:$A$355,0))),""))</f>
        <v/>
      </c>
      <c r="S436" s="34">
        <f>IFERROR(IF($U436="",1,INDEX(Deals!$V$2:$V$355,MATCH($C436,Deals!$A$2:$A$355,0))),1)</f>
        <v/>
      </c>
      <c r="T436" s="34">
        <f>IFERROR(IF($U436="",1,INDEX(Deals!$W$2:$W$355,MATCH($C436,Deals!$A$2:$A$355,0))),1)</f>
        <v/>
      </c>
      <c r="U436" s="22">
        <f>IF($C436="","",IFERROR(IF(INDEX(Deals!$Y$2:$Y$355,MATCH($C436,Deals!$A$2:$A$355,0))=0,"",INDEX(Deals!$Y$2:$Y$355,MATCH($C436,Deals!$A$2:$A$355,0))),""))</f>
        <v/>
      </c>
      <c r="V436" s="35">
        <f>IF(OR($U436&lt;&gt;"",AND($AO436&gt;0,$L436&lt;&gt;"",$M436&lt;&gt;"")),$N436,DATE(1900,1,1))</f>
        <v/>
      </c>
      <c r="W436" s="35">
        <f>IF($U436&lt;&gt;"",$U436,IF(AND($AO436&gt;0,$L436&lt;&gt;"",$M436&lt;&gt;""),$O436,DATE(2100,12,31)))</f>
        <v/>
      </c>
      <c r="X436" s="32">
        <f>IF($U436="",$K436,$K436*$S436)</f>
        <v/>
      </c>
      <c r="Y436" s="35">
        <f>IF($U436="",DATE(2100,12,31),$U436+1)</f>
        <v/>
      </c>
      <c r="Z436" s="35">
        <f>IF($U436="",DATE(1900,1,1),$O436)</f>
        <v/>
      </c>
      <c r="AA436" s="32">
        <f>IF($U436="",0,$K436*$T436)</f>
        <v/>
      </c>
      <c r="AB436" s="21">
        <f>IF($C436="",0,IFERROR(INDEX(Deals!$AD$2:$AD$355,MATCH($C436,Deals!$A$2:$A$355,0)),0))</f>
        <v/>
      </c>
      <c r="AC436" s="32">
        <f>IF(Settings!$B$4="Yes",$I436*$AB436,$I436)</f>
        <v/>
      </c>
      <c r="AD436" s="22">
        <f>IF($C436="","",IFERROR(IF(INDEX(Deals!$AE$2:$AE$355,MATCH($C436,Deals!$A$2:$A$355,0))=0,"",INDEX(Deals!$AE$2:$AE$355,MATCH($C436,Deals!$A$2:$A$355,0))),""))</f>
        <v/>
      </c>
      <c r="AE436" s="22">
        <f>IF($C436="","",IFERROR(IF(INDEX(Deals!$AF$2:$AF$355,MATCH($C436,Deals!$A$2:$A$355,0))=0,"",INDEX(Deals!$AF$2:$AF$355,MATCH($C436,Deals!$A$2:$A$355,0))),""))</f>
        <v/>
      </c>
      <c r="AF436" s="35">
        <f>IF($AD436="",DATE(1900,1,1),$AD436)</f>
        <v/>
      </c>
      <c r="AG436" s="35">
        <f>IF($AE436="",DATE(2100,12,31),$AE436)</f>
        <v/>
      </c>
      <c r="AH436" s="22">
        <f>IF($C436="","",IFERROR(IF(INDEX(Deals!$AG$2:$AG$355,MATCH($C436,Deals!$A$2:$A$355,0))=0,"",INDEX(Deals!$AG$2:$AG$355,MATCH($C436,Deals!$A$2:$A$355,0))),""))</f>
        <v/>
      </c>
      <c r="AI436" s="35">
        <f>IF(OR($AH436&lt;&gt;"",AND($AO436&gt;0,$AD436&lt;&gt;"",$AE436&lt;&gt;"")),$AF436,DATE(1900,1,1))</f>
        <v/>
      </c>
      <c r="AJ436" s="35">
        <f>IF($AH436&lt;&gt;"",$AH436,IF(AND($AO436&gt;0,$AD436&lt;&gt;"",$AE436&lt;&gt;""),$AG436,DATE(2100,12,31)))</f>
        <v/>
      </c>
      <c r="AK436" s="32">
        <f>IF($AH436="",$AC436,$AC436*$S436)</f>
        <v/>
      </c>
      <c r="AL436" s="35">
        <f>IF($AH436="",DATE(2100,12,31),$AH436+1)</f>
        <v/>
      </c>
      <c r="AM436" s="35">
        <f>IF($AH436="",DATE(1900,1,1),$AG436)</f>
        <v/>
      </c>
      <c r="AN436" s="32">
        <f>IF($AH436="",0,$AC436*$T436)</f>
        <v/>
      </c>
      <c r="AO436" s="46">
        <f>IF($C436="",0,IFERROR(INDEX(Deals!$BD$2:$BD$355,MATCH($C436,Deals!$A$2:$A$355,0)),0))</f>
        <v/>
      </c>
      <c r="AP436" s="18">
        <f>IF($AO436=0,0,IFERROR(INDEX(Deals!$BJ$2:$BP$355,MATCH($C436,Deals!$A$2:$A$355,0),MATCH($F436,Deals!$BJ$1:$BP$1,0))/COUNTIFS(Assignments!$C$2:$C$769,$C436,Assignments!$F$2:$F$769,$F436,Assignments!$G$2:$G$769,"Active"),0))</f>
        <v/>
      </c>
    </row>
    <row r="437">
      <c r="A437" s="28" t="inlineStr">
        <is>
          <t>Nina</t>
        </is>
      </c>
      <c r="B437" s="16">
        <f>IF($A437="","",IFERROR(INDEX(Roster!$B$2:$B$40,MATCH($A437,Roster!$A$2:$A$40,0)),"?"))</f>
        <v/>
      </c>
      <c r="C437" s="28" t="inlineStr">
        <is>
          <t>Atlas_4</t>
        </is>
      </c>
      <c r="D437" s="16">
        <f>IF($C437="","",IFERROR(IF(INDEX(Deals!$C$2:$C$355,MATCH($C437,Deals!$A$2:$A$355,0))=0,"",INDEX(Deals!$C$2:$C$355,MATCH($C437,Deals!$A$2:$A$355,0))),"?"))</f>
        <v/>
      </c>
      <c r="E437" s="16">
        <f>IF($C437="","",IFERROR(INDEX(Deals!$F$2:$F$355,MATCH($C437,Deals!$A$2:$A$355,0)),"?"))</f>
        <v/>
      </c>
      <c r="F437" s="28" t="inlineStr">
        <is>
          <t>Senior Associate</t>
        </is>
      </c>
      <c r="G437" s="28" t="inlineStr">
        <is>
          <t>Inactive</t>
        </is>
      </c>
      <c r="H437" s="31" t="n"/>
      <c r="I437" s="32">
        <f>IF(OR($A437="",$G437&lt;&gt;"Active"),0,IF($H437&lt;&gt;"",$H437,IF($AO437&gt;0,$AP437,IF(AND($R437&lt;&gt;"",IFERROR(INDEX(Templates!$B$3:$H$10,MATCH($R437,Templates!$A$3:$A$10,0),MATCH($F437,Templates!$B$2:$H$2,0)),0)&gt;0),INDEX(Templates!$B$3:$H$10,MATCH($R437,Templates!$A$3:$A$10,0),MATCH($F437,Templates!$B$2:$H$2,0)),IFERROR(INDEX(Settings!$B$8:$B$14,MATCH($F437,Settings!$A$8:$A$14,0)),0)))))</f>
        <v/>
      </c>
      <c r="J437" s="21">
        <f>IF($C437="",0,IFERROR(INDEX(Deals!$H$2:$H$355,MATCH($C437,Deals!$A$2:$A$355,0)),0))</f>
        <v/>
      </c>
      <c r="K437" s="32">
        <f>IF(Settings!$B$4="Yes",$I437*$J437,$I437)</f>
        <v/>
      </c>
      <c r="L437" s="22">
        <f>IF($C437="","",IFERROR(IF(INDEX(Deals!$I$2:$I$355,MATCH($C437,Deals!$A$2:$A$355,0))=0,"",INDEX(Deals!$I$2:$I$355,MATCH($C437,Deals!$A$2:$A$355,0))),""))</f>
        <v/>
      </c>
      <c r="M437" s="22">
        <f>IF($C437="","",IFERROR(IF(INDEX(Deals!$J$2:$J$355,MATCH($C437,Deals!$A$2:$A$355,0))=0,"",INDEX(Deals!$J$2:$J$355,MATCH($C437,Deals!$A$2:$A$355,0))),""))</f>
        <v/>
      </c>
      <c r="N437" s="35">
        <f>IF($L437="",DATE(1900,1,1),$L437)</f>
        <v/>
      </c>
      <c r="O437" s="35">
        <f>IF($M437="",DATE(2100,12,31),$M437)</f>
        <v/>
      </c>
      <c r="P437" s="20" t="inlineStr">
        <is>
          <t>Closed</t>
        </is>
      </c>
      <c r="Q437" s="47" t="inlineStr"/>
      <c r="R437" s="16">
        <f>IF($C437="","",IFERROR(IF(INDEX(Deals!$U$2:$U$355,MATCH($C437,Deals!$A$2:$A$355,0))=0,"",INDEX(Deals!$U$2:$U$355,MATCH($C437,Deals!$A$2:$A$355,0))),""))</f>
        <v/>
      </c>
      <c r="S437" s="34">
        <f>IFERROR(IF($U437="",1,INDEX(Deals!$V$2:$V$355,MATCH($C437,Deals!$A$2:$A$355,0))),1)</f>
        <v/>
      </c>
      <c r="T437" s="34">
        <f>IFERROR(IF($U437="",1,INDEX(Deals!$W$2:$W$355,MATCH($C437,Deals!$A$2:$A$355,0))),1)</f>
        <v/>
      </c>
      <c r="U437" s="22">
        <f>IF($C437="","",IFERROR(IF(INDEX(Deals!$Y$2:$Y$355,MATCH($C437,Deals!$A$2:$A$355,0))=0,"",INDEX(Deals!$Y$2:$Y$355,MATCH($C437,Deals!$A$2:$A$355,0))),""))</f>
        <v/>
      </c>
      <c r="V437" s="35">
        <f>IF(OR($U437&lt;&gt;"",AND($AO437&gt;0,$L437&lt;&gt;"",$M437&lt;&gt;"")),$N437,DATE(1900,1,1))</f>
        <v/>
      </c>
      <c r="W437" s="35">
        <f>IF($U437&lt;&gt;"",$U437,IF(AND($AO437&gt;0,$L437&lt;&gt;"",$M437&lt;&gt;""),$O437,DATE(2100,12,31)))</f>
        <v/>
      </c>
      <c r="X437" s="32">
        <f>IF($U437="",$K437,$K437*$S437)</f>
        <v/>
      </c>
      <c r="Y437" s="35">
        <f>IF($U437="",DATE(2100,12,31),$U437+1)</f>
        <v/>
      </c>
      <c r="Z437" s="35">
        <f>IF($U437="",DATE(1900,1,1),$O437)</f>
        <v/>
      </c>
      <c r="AA437" s="32">
        <f>IF($U437="",0,$K437*$T437)</f>
        <v/>
      </c>
      <c r="AB437" s="21">
        <f>IF($C437="",0,IFERROR(INDEX(Deals!$AD$2:$AD$355,MATCH($C437,Deals!$A$2:$A$355,0)),0))</f>
        <v/>
      </c>
      <c r="AC437" s="32">
        <f>IF(Settings!$B$4="Yes",$I437*$AB437,$I437)</f>
        <v/>
      </c>
      <c r="AD437" s="22">
        <f>IF($C437="","",IFERROR(IF(INDEX(Deals!$AE$2:$AE$355,MATCH($C437,Deals!$A$2:$A$355,0))=0,"",INDEX(Deals!$AE$2:$AE$355,MATCH($C437,Deals!$A$2:$A$355,0))),""))</f>
        <v/>
      </c>
      <c r="AE437" s="22">
        <f>IF($C437="","",IFERROR(IF(INDEX(Deals!$AF$2:$AF$355,MATCH($C437,Deals!$A$2:$A$355,0))=0,"",INDEX(Deals!$AF$2:$AF$355,MATCH($C437,Deals!$A$2:$A$355,0))),""))</f>
        <v/>
      </c>
      <c r="AF437" s="35">
        <f>IF($AD437="",DATE(1900,1,1),$AD437)</f>
        <v/>
      </c>
      <c r="AG437" s="35">
        <f>IF($AE437="",DATE(2100,12,31),$AE437)</f>
        <v/>
      </c>
      <c r="AH437" s="22">
        <f>IF($C437="","",IFERROR(IF(INDEX(Deals!$AG$2:$AG$355,MATCH($C437,Deals!$A$2:$A$355,0))=0,"",INDEX(Deals!$AG$2:$AG$355,MATCH($C437,Deals!$A$2:$A$355,0))),""))</f>
        <v/>
      </c>
      <c r="AI437" s="35">
        <f>IF(OR($AH437&lt;&gt;"",AND($AO437&gt;0,$AD437&lt;&gt;"",$AE437&lt;&gt;"")),$AF437,DATE(1900,1,1))</f>
        <v/>
      </c>
      <c r="AJ437" s="35">
        <f>IF($AH437&lt;&gt;"",$AH437,IF(AND($AO437&gt;0,$AD437&lt;&gt;"",$AE437&lt;&gt;""),$AG437,DATE(2100,12,31)))</f>
        <v/>
      </c>
      <c r="AK437" s="32">
        <f>IF($AH437="",$AC437,$AC437*$S437)</f>
        <v/>
      </c>
      <c r="AL437" s="35">
        <f>IF($AH437="",DATE(2100,12,31),$AH437+1)</f>
        <v/>
      </c>
      <c r="AM437" s="35">
        <f>IF($AH437="",DATE(1900,1,1),$AG437)</f>
        <v/>
      </c>
      <c r="AN437" s="32">
        <f>IF($AH437="",0,$AC437*$T437)</f>
        <v/>
      </c>
      <c r="AO437" s="46">
        <f>IF($C437="",0,IFERROR(INDEX(Deals!$BD$2:$BD$355,MATCH($C437,Deals!$A$2:$A$355,0)),0))</f>
        <v/>
      </c>
      <c r="AP437" s="18">
        <f>IF($AO437=0,0,IFERROR(INDEX(Deals!$BJ$2:$BP$355,MATCH($C437,Deals!$A$2:$A$355,0),MATCH($F437,Deals!$BJ$1:$BP$1,0))/COUNTIFS(Assignments!$C$2:$C$769,$C437,Assignments!$F$2:$F$769,$F437,Assignments!$G$2:$G$769,"Active"),0))</f>
        <v/>
      </c>
    </row>
    <row r="438">
      <c r="A438" s="28" t="inlineStr">
        <is>
          <t>Nina</t>
        </is>
      </c>
      <c r="B438" s="16">
        <f>IF($A438="","",IFERROR(INDEX(Roster!$B$2:$B$40,MATCH($A438,Roster!$A$2:$A$40,0)),"?"))</f>
        <v/>
      </c>
      <c r="C438" s="28" t="inlineStr">
        <is>
          <t>Avlino_1</t>
        </is>
      </c>
      <c r="D438" s="16">
        <f>IF($C438="","",IFERROR(IF(INDEX(Deals!$C$2:$C$355,MATCH($C438,Deals!$A$2:$A$355,0))=0,"",INDEX(Deals!$C$2:$C$355,MATCH($C438,Deals!$A$2:$A$355,0))),"?"))</f>
        <v/>
      </c>
      <c r="E438" s="16">
        <f>IF($C438="","",IFERROR(INDEX(Deals!$F$2:$F$355,MATCH($C438,Deals!$A$2:$A$355,0)),"?"))</f>
        <v/>
      </c>
      <c r="F438" s="28" t="inlineStr">
        <is>
          <t>Senior Associate</t>
        </is>
      </c>
      <c r="G438" s="28" t="inlineStr">
        <is>
          <t>Active</t>
        </is>
      </c>
      <c r="H438" s="31" t="n"/>
      <c r="I438" s="32">
        <f>IF(OR($A438="",$G438&lt;&gt;"Active"),0,IF($H438&lt;&gt;"",$H438,IF($AO438&gt;0,$AP438,IF(AND($R438&lt;&gt;"",IFERROR(INDEX(Templates!$B$3:$H$10,MATCH($R438,Templates!$A$3:$A$10,0),MATCH($F438,Templates!$B$2:$H$2,0)),0)&gt;0),INDEX(Templates!$B$3:$H$10,MATCH($R438,Templates!$A$3:$A$10,0),MATCH($F438,Templates!$B$2:$H$2,0)),IFERROR(INDEX(Settings!$B$8:$B$14,MATCH($F438,Settings!$A$8:$A$14,0)),0)))))</f>
        <v/>
      </c>
      <c r="J438" s="21">
        <f>IF($C438="",0,IFERROR(INDEX(Deals!$H$2:$H$355,MATCH($C438,Deals!$A$2:$A$355,0)),0))</f>
        <v/>
      </c>
      <c r="K438" s="32">
        <f>IF(Settings!$B$4="Yes",$I438*$J438,$I438)</f>
        <v/>
      </c>
      <c r="L438" s="22">
        <f>IF($C438="","",IFERROR(IF(INDEX(Deals!$I$2:$I$355,MATCH($C438,Deals!$A$2:$A$355,0))=0,"",INDEX(Deals!$I$2:$I$355,MATCH($C438,Deals!$A$2:$A$355,0))),""))</f>
        <v/>
      </c>
      <c r="M438" s="22">
        <f>IF($C438="","",IFERROR(IF(INDEX(Deals!$J$2:$J$355,MATCH($C438,Deals!$A$2:$A$355,0))=0,"",INDEX(Deals!$J$2:$J$355,MATCH($C438,Deals!$A$2:$A$355,0))),""))</f>
        <v/>
      </c>
      <c r="N438" s="35">
        <f>IF($L438="",DATE(1900,1,1),$L438)</f>
        <v/>
      </c>
      <c r="O438" s="35">
        <f>IF($M438="",DATE(2100,12,31),$M438)</f>
        <v/>
      </c>
      <c r="P438" s="20" t="inlineStr">
        <is>
          <t>Ongoing</t>
        </is>
      </c>
      <c r="Q438" s="47" t="inlineStr">
        <is>
          <t>Added from Summary tab</t>
        </is>
      </c>
      <c r="R438" s="16">
        <f>IF($C438="","",IFERROR(IF(INDEX(Deals!$U$2:$U$355,MATCH($C438,Deals!$A$2:$A$355,0))=0,"",INDEX(Deals!$U$2:$U$355,MATCH($C438,Deals!$A$2:$A$355,0))),""))</f>
        <v/>
      </c>
      <c r="S438" s="34">
        <f>IFERROR(IF($U438="",1,INDEX(Deals!$V$2:$V$355,MATCH($C438,Deals!$A$2:$A$355,0))),1)</f>
        <v/>
      </c>
      <c r="T438" s="34">
        <f>IFERROR(IF($U438="",1,INDEX(Deals!$W$2:$W$355,MATCH($C438,Deals!$A$2:$A$355,0))),1)</f>
        <v/>
      </c>
      <c r="U438" s="22">
        <f>IF($C438="","",IFERROR(IF(INDEX(Deals!$Y$2:$Y$355,MATCH($C438,Deals!$A$2:$A$355,0))=0,"",INDEX(Deals!$Y$2:$Y$355,MATCH($C438,Deals!$A$2:$A$355,0))),""))</f>
        <v/>
      </c>
      <c r="V438" s="35">
        <f>IF(OR($U438&lt;&gt;"",AND($AO438&gt;0,$L438&lt;&gt;"",$M438&lt;&gt;"")),$N438,DATE(1900,1,1))</f>
        <v/>
      </c>
      <c r="W438" s="35">
        <f>IF($U438&lt;&gt;"",$U438,IF(AND($AO438&gt;0,$L438&lt;&gt;"",$M438&lt;&gt;""),$O438,DATE(2100,12,31)))</f>
        <v/>
      </c>
      <c r="X438" s="32">
        <f>IF($U438="",$K438,$K438*$S438)</f>
        <v/>
      </c>
      <c r="Y438" s="35">
        <f>IF($U438="",DATE(2100,12,31),$U438+1)</f>
        <v/>
      </c>
      <c r="Z438" s="35">
        <f>IF($U438="",DATE(1900,1,1),$O438)</f>
        <v/>
      </c>
      <c r="AA438" s="32">
        <f>IF($U438="",0,$K438*$T438)</f>
        <v/>
      </c>
      <c r="AB438" s="21">
        <f>IF($C438="",0,IFERROR(INDEX(Deals!$AD$2:$AD$355,MATCH($C438,Deals!$A$2:$A$355,0)),0))</f>
        <v/>
      </c>
      <c r="AC438" s="32">
        <f>IF(Settings!$B$4="Yes",$I438*$AB438,$I438)</f>
        <v/>
      </c>
      <c r="AD438" s="22">
        <f>IF($C438="","",IFERROR(IF(INDEX(Deals!$AE$2:$AE$355,MATCH($C438,Deals!$A$2:$A$355,0))=0,"",INDEX(Deals!$AE$2:$AE$355,MATCH($C438,Deals!$A$2:$A$355,0))),""))</f>
        <v/>
      </c>
      <c r="AE438" s="22">
        <f>IF($C438="","",IFERROR(IF(INDEX(Deals!$AF$2:$AF$355,MATCH($C438,Deals!$A$2:$A$355,0))=0,"",INDEX(Deals!$AF$2:$AF$355,MATCH($C438,Deals!$A$2:$A$355,0))),""))</f>
        <v/>
      </c>
      <c r="AF438" s="35">
        <f>IF($AD438="",DATE(1900,1,1),$AD438)</f>
        <v/>
      </c>
      <c r="AG438" s="35">
        <f>IF($AE438="",DATE(2100,12,31),$AE438)</f>
        <v/>
      </c>
      <c r="AH438" s="22">
        <f>IF($C438="","",IFERROR(IF(INDEX(Deals!$AG$2:$AG$355,MATCH($C438,Deals!$A$2:$A$355,0))=0,"",INDEX(Deals!$AG$2:$AG$355,MATCH($C438,Deals!$A$2:$A$355,0))),""))</f>
        <v/>
      </c>
      <c r="AI438" s="35">
        <f>IF(OR($AH438&lt;&gt;"",AND($AO438&gt;0,$AD438&lt;&gt;"",$AE438&lt;&gt;"")),$AF438,DATE(1900,1,1))</f>
        <v/>
      </c>
      <c r="AJ438" s="35">
        <f>IF($AH438&lt;&gt;"",$AH438,IF(AND($AO438&gt;0,$AD438&lt;&gt;"",$AE438&lt;&gt;""),$AG438,DATE(2100,12,31)))</f>
        <v/>
      </c>
      <c r="AK438" s="32">
        <f>IF($AH438="",$AC438,$AC438*$S438)</f>
        <v/>
      </c>
      <c r="AL438" s="35">
        <f>IF($AH438="",DATE(2100,12,31),$AH438+1)</f>
        <v/>
      </c>
      <c r="AM438" s="35">
        <f>IF($AH438="",DATE(1900,1,1),$AG438)</f>
        <v/>
      </c>
      <c r="AN438" s="32">
        <f>IF($AH438="",0,$AC438*$T438)</f>
        <v/>
      </c>
      <c r="AO438" s="46">
        <f>IF($C438="",0,IFERROR(INDEX(Deals!$BD$2:$BD$355,MATCH($C438,Deals!$A$2:$A$355,0)),0))</f>
        <v/>
      </c>
      <c r="AP438" s="18">
        <f>IF($AO438=0,0,IFERROR(INDEX(Deals!$BJ$2:$BP$355,MATCH($C438,Deals!$A$2:$A$355,0),MATCH($F438,Deals!$BJ$1:$BP$1,0))/COUNTIFS(Assignments!$C$2:$C$769,$C438,Assignments!$F$2:$F$769,$F438,Assignments!$G$2:$G$769,"Active"),0))</f>
        <v/>
      </c>
    </row>
    <row r="439">
      <c r="A439" s="28" t="inlineStr">
        <is>
          <t>Nina</t>
        </is>
      </c>
      <c r="B439" s="16">
        <f>IF($A439="","",IFERROR(INDEX(Roster!$B$2:$B$40,MATCH($A439,Roster!$A$2:$A$40,0)),"?"))</f>
        <v/>
      </c>
      <c r="C439" s="28" t="inlineStr">
        <is>
          <t>Bishopville_1</t>
        </is>
      </c>
      <c r="D439" s="16">
        <f>IF($C439="","",IFERROR(IF(INDEX(Deals!$C$2:$C$355,MATCH($C439,Deals!$A$2:$A$355,0))=0,"",INDEX(Deals!$C$2:$C$355,MATCH($C439,Deals!$A$2:$A$355,0))),"?"))</f>
        <v/>
      </c>
      <c r="E439" s="16">
        <f>IF($C439="","",IFERROR(INDEX(Deals!$F$2:$F$355,MATCH($C439,Deals!$A$2:$A$355,0)),"?"))</f>
        <v/>
      </c>
      <c r="F439" s="28" t="inlineStr">
        <is>
          <t>Senior Associate</t>
        </is>
      </c>
      <c r="G439" s="28" t="inlineStr">
        <is>
          <t>Active</t>
        </is>
      </c>
      <c r="H439" s="31" t="n"/>
      <c r="I439" s="32">
        <f>IF(OR($A439="",$G439&lt;&gt;"Active"),0,IF($H439&lt;&gt;"",$H439,IF($AO439&gt;0,$AP439,IF(AND($R439&lt;&gt;"",IFERROR(INDEX(Templates!$B$3:$H$10,MATCH($R439,Templates!$A$3:$A$10,0),MATCH($F439,Templates!$B$2:$H$2,0)),0)&gt;0),INDEX(Templates!$B$3:$H$10,MATCH($R439,Templates!$A$3:$A$10,0),MATCH($F439,Templates!$B$2:$H$2,0)),IFERROR(INDEX(Settings!$B$8:$B$14,MATCH($F439,Settings!$A$8:$A$14,0)),0)))))</f>
        <v/>
      </c>
      <c r="J439" s="21">
        <f>IF($C439="",0,IFERROR(INDEX(Deals!$H$2:$H$355,MATCH($C439,Deals!$A$2:$A$355,0)),0))</f>
        <v/>
      </c>
      <c r="K439" s="32">
        <f>IF(Settings!$B$4="Yes",$I439*$J439,$I439)</f>
        <v/>
      </c>
      <c r="L439" s="22">
        <f>IF($C439="","",IFERROR(IF(INDEX(Deals!$I$2:$I$355,MATCH($C439,Deals!$A$2:$A$355,0))=0,"",INDEX(Deals!$I$2:$I$355,MATCH($C439,Deals!$A$2:$A$355,0))),""))</f>
        <v/>
      </c>
      <c r="M439" s="22">
        <f>IF($C439="","",IFERROR(IF(INDEX(Deals!$J$2:$J$355,MATCH($C439,Deals!$A$2:$A$355,0))=0,"",INDEX(Deals!$J$2:$J$355,MATCH($C439,Deals!$A$2:$A$355,0))),""))</f>
        <v/>
      </c>
      <c r="N439" s="35">
        <f>IF($L439="",DATE(1900,1,1),$L439)</f>
        <v/>
      </c>
      <c r="O439" s="35">
        <f>IF($M439="",DATE(2100,12,31),$M439)</f>
        <v/>
      </c>
      <c r="P439" s="20" t="inlineStr"/>
      <c r="Q439" s="47" t="inlineStr"/>
      <c r="R439" s="16">
        <f>IF($C439="","",IFERROR(IF(INDEX(Deals!$U$2:$U$355,MATCH($C439,Deals!$A$2:$A$355,0))=0,"",INDEX(Deals!$U$2:$U$355,MATCH($C439,Deals!$A$2:$A$355,0))),""))</f>
        <v/>
      </c>
      <c r="S439" s="34">
        <f>IFERROR(IF($U439="",1,INDEX(Deals!$V$2:$V$355,MATCH($C439,Deals!$A$2:$A$355,0))),1)</f>
        <v/>
      </c>
      <c r="T439" s="34">
        <f>IFERROR(IF($U439="",1,INDEX(Deals!$W$2:$W$355,MATCH($C439,Deals!$A$2:$A$355,0))),1)</f>
        <v/>
      </c>
      <c r="U439" s="22">
        <f>IF($C439="","",IFERROR(IF(INDEX(Deals!$Y$2:$Y$355,MATCH($C439,Deals!$A$2:$A$355,0))=0,"",INDEX(Deals!$Y$2:$Y$355,MATCH($C439,Deals!$A$2:$A$355,0))),""))</f>
        <v/>
      </c>
      <c r="V439" s="35">
        <f>IF(OR($U439&lt;&gt;"",AND($AO439&gt;0,$L439&lt;&gt;"",$M439&lt;&gt;"")),$N439,DATE(1900,1,1))</f>
        <v/>
      </c>
      <c r="W439" s="35">
        <f>IF($U439&lt;&gt;"",$U439,IF(AND($AO439&gt;0,$L439&lt;&gt;"",$M439&lt;&gt;""),$O439,DATE(2100,12,31)))</f>
        <v/>
      </c>
      <c r="X439" s="32">
        <f>IF($U439="",$K439,$K439*$S439)</f>
        <v/>
      </c>
      <c r="Y439" s="35">
        <f>IF($U439="",DATE(2100,12,31),$U439+1)</f>
        <v/>
      </c>
      <c r="Z439" s="35">
        <f>IF($U439="",DATE(1900,1,1),$O439)</f>
        <v/>
      </c>
      <c r="AA439" s="32">
        <f>IF($U439="",0,$K439*$T439)</f>
        <v/>
      </c>
      <c r="AB439" s="21">
        <f>IF($C439="",0,IFERROR(INDEX(Deals!$AD$2:$AD$355,MATCH($C439,Deals!$A$2:$A$355,0)),0))</f>
        <v/>
      </c>
      <c r="AC439" s="32">
        <f>IF(Settings!$B$4="Yes",$I439*$AB439,$I439)</f>
        <v/>
      </c>
      <c r="AD439" s="22">
        <f>IF($C439="","",IFERROR(IF(INDEX(Deals!$AE$2:$AE$355,MATCH($C439,Deals!$A$2:$A$355,0))=0,"",INDEX(Deals!$AE$2:$AE$355,MATCH($C439,Deals!$A$2:$A$355,0))),""))</f>
        <v/>
      </c>
      <c r="AE439" s="22">
        <f>IF($C439="","",IFERROR(IF(INDEX(Deals!$AF$2:$AF$355,MATCH($C439,Deals!$A$2:$A$355,0))=0,"",INDEX(Deals!$AF$2:$AF$355,MATCH($C439,Deals!$A$2:$A$355,0))),""))</f>
        <v/>
      </c>
      <c r="AF439" s="35">
        <f>IF($AD439="",DATE(1900,1,1),$AD439)</f>
        <v/>
      </c>
      <c r="AG439" s="35">
        <f>IF($AE439="",DATE(2100,12,31),$AE439)</f>
        <v/>
      </c>
      <c r="AH439" s="22">
        <f>IF($C439="","",IFERROR(IF(INDEX(Deals!$AG$2:$AG$355,MATCH($C439,Deals!$A$2:$A$355,0))=0,"",INDEX(Deals!$AG$2:$AG$355,MATCH($C439,Deals!$A$2:$A$355,0))),""))</f>
        <v/>
      </c>
      <c r="AI439" s="35">
        <f>IF(OR($AH439&lt;&gt;"",AND($AO439&gt;0,$AD439&lt;&gt;"",$AE439&lt;&gt;"")),$AF439,DATE(1900,1,1))</f>
        <v/>
      </c>
      <c r="AJ439" s="35">
        <f>IF($AH439&lt;&gt;"",$AH439,IF(AND($AO439&gt;0,$AD439&lt;&gt;"",$AE439&lt;&gt;""),$AG439,DATE(2100,12,31)))</f>
        <v/>
      </c>
      <c r="AK439" s="32">
        <f>IF($AH439="",$AC439,$AC439*$S439)</f>
        <v/>
      </c>
      <c r="AL439" s="35">
        <f>IF($AH439="",DATE(2100,12,31),$AH439+1)</f>
        <v/>
      </c>
      <c r="AM439" s="35">
        <f>IF($AH439="",DATE(1900,1,1),$AG439)</f>
        <v/>
      </c>
      <c r="AN439" s="32">
        <f>IF($AH439="",0,$AC439*$T439)</f>
        <v/>
      </c>
      <c r="AO439" s="46">
        <f>IF($C439="",0,IFERROR(INDEX(Deals!$BD$2:$BD$355,MATCH($C439,Deals!$A$2:$A$355,0)),0))</f>
        <v/>
      </c>
      <c r="AP439" s="18">
        <f>IF($AO439=0,0,IFERROR(INDEX(Deals!$BJ$2:$BP$355,MATCH($C439,Deals!$A$2:$A$355,0),MATCH($F439,Deals!$BJ$1:$BP$1,0))/COUNTIFS(Assignments!$C$2:$C$769,$C439,Assignments!$F$2:$F$769,$F439,Assignments!$G$2:$G$769,"Active"),0))</f>
        <v/>
      </c>
    </row>
    <row r="440">
      <c r="A440" s="28" t="inlineStr">
        <is>
          <t>Nina</t>
        </is>
      </c>
      <c r="B440" s="16">
        <f>IF($A440="","",IFERROR(INDEX(Roster!$B$2:$B$40,MATCH($A440,Roster!$A$2:$A$40,0)),"?"))</f>
        <v/>
      </c>
      <c r="C440" s="28" t="inlineStr">
        <is>
          <t>Bledsoe_1</t>
        </is>
      </c>
      <c r="D440" s="16">
        <f>IF($C440="","",IFERROR(IF(INDEX(Deals!$C$2:$C$355,MATCH($C440,Deals!$A$2:$A$355,0))=0,"",INDEX(Deals!$C$2:$C$355,MATCH($C440,Deals!$A$2:$A$355,0))),"?"))</f>
        <v/>
      </c>
      <c r="E440" s="16">
        <f>IF($C440="","",IFERROR(INDEX(Deals!$F$2:$F$355,MATCH($C440,Deals!$A$2:$A$355,0)),"?"))</f>
        <v/>
      </c>
      <c r="F440" s="28" t="inlineStr">
        <is>
          <t>Senior Associate</t>
        </is>
      </c>
      <c r="G440" s="28" t="inlineStr">
        <is>
          <t>Active</t>
        </is>
      </c>
      <c r="H440" s="31" t="n"/>
      <c r="I440" s="32">
        <f>IF(OR($A440="",$G440&lt;&gt;"Active"),0,IF($H440&lt;&gt;"",$H440,IF($AO440&gt;0,$AP440,IF(AND($R440&lt;&gt;"",IFERROR(INDEX(Templates!$B$3:$H$10,MATCH($R440,Templates!$A$3:$A$10,0),MATCH($F440,Templates!$B$2:$H$2,0)),0)&gt;0),INDEX(Templates!$B$3:$H$10,MATCH($R440,Templates!$A$3:$A$10,0),MATCH($F440,Templates!$B$2:$H$2,0)),IFERROR(INDEX(Settings!$B$8:$B$14,MATCH($F440,Settings!$A$8:$A$14,0)),0)))))</f>
        <v/>
      </c>
      <c r="J440" s="21">
        <f>IF($C440="",0,IFERROR(INDEX(Deals!$H$2:$H$355,MATCH($C440,Deals!$A$2:$A$355,0)),0))</f>
        <v/>
      </c>
      <c r="K440" s="32">
        <f>IF(Settings!$B$4="Yes",$I440*$J440,$I440)</f>
        <v/>
      </c>
      <c r="L440" s="22">
        <f>IF($C440="","",IFERROR(IF(INDEX(Deals!$I$2:$I$355,MATCH($C440,Deals!$A$2:$A$355,0))=0,"",INDEX(Deals!$I$2:$I$355,MATCH($C440,Deals!$A$2:$A$355,0))),""))</f>
        <v/>
      </c>
      <c r="M440" s="22">
        <f>IF($C440="","",IFERROR(IF(INDEX(Deals!$J$2:$J$355,MATCH($C440,Deals!$A$2:$A$355,0))=0,"",INDEX(Deals!$J$2:$J$355,MATCH($C440,Deals!$A$2:$A$355,0))),""))</f>
        <v/>
      </c>
      <c r="N440" s="35">
        <f>IF($L440="",DATE(1900,1,1),$L440)</f>
        <v/>
      </c>
      <c r="O440" s="35">
        <f>IF($M440="",DATE(2100,12,31),$M440)</f>
        <v/>
      </c>
      <c r="P440" s="20" t="inlineStr">
        <is>
          <t>Ongoing</t>
        </is>
      </c>
      <c r="Q440" s="47" t="inlineStr"/>
      <c r="R440" s="16">
        <f>IF($C440="","",IFERROR(IF(INDEX(Deals!$U$2:$U$355,MATCH($C440,Deals!$A$2:$A$355,0))=0,"",INDEX(Deals!$U$2:$U$355,MATCH($C440,Deals!$A$2:$A$355,0))),""))</f>
        <v/>
      </c>
      <c r="S440" s="34">
        <f>IFERROR(IF($U440="",1,INDEX(Deals!$V$2:$V$355,MATCH($C440,Deals!$A$2:$A$355,0))),1)</f>
        <v/>
      </c>
      <c r="T440" s="34">
        <f>IFERROR(IF($U440="",1,INDEX(Deals!$W$2:$W$355,MATCH($C440,Deals!$A$2:$A$355,0))),1)</f>
        <v/>
      </c>
      <c r="U440" s="22">
        <f>IF($C440="","",IFERROR(IF(INDEX(Deals!$Y$2:$Y$355,MATCH($C440,Deals!$A$2:$A$355,0))=0,"",INDEX(Deals!$Y$2:$Y$355,MATCH($C440,Deals!$A$2:$A$355,0))),""))</f>
        <v/>
      </c>
      <c r="V440" s="35">
        <f>IF(OR($U440&lt;&gt;"",AND($AO440&gt;0,$L440&lt;&gt;"",$M440&lt;&gt;"")),$N440,DATE(1900,1,1))</f>
        <v/>
      </c>
      <c r="W440" s="35">
        <f>IF($U440&lt;&gt;"",$U440,IF(AND($AO440&gt;0,$L440&lt;&gt;"",$M440&lt;&gt;""),$O440,DATE(2100,12,31)))</f>
        <v/>
      </c>
      <c r="X440" s="32">
        <f>IF($U440="",$K440,$K440*$S440)</f>
        <v/>
      </c>
      <c r="Y440" s="35">
        <f>IF($U440="",DATE(2100,12,31),$U440+1)</f>
        <v/>
      </c>
      <c r="Z440" s="35">
        <f>IF($U440="",DATE(1900,1,1),$O440)</f>
        <v/>
      </c>
      <c r="AA440" s="32">
        <f>IF($U440="",0,$K440*$T440)</f>
        <v/>
      </c>
      <c r="AB440" s="21">
        <f>IF($C440="",0,IFERROR(INDEX(Deals!$AD$2:$AD$355,MATCH($C440,Deals!$A$2:$A$355,0)),0))</f>
        <v/>
      </c>
      <c r="AC440" s="32">
        <f>IF(Settings!$B$4="Yes",$I440*$AB440,$I440)</f>
        <v/>
      </c>
      <c r="AD440" s="22">
        <f>IF($C440="","",IFERROR(IF(INDEX(Deals!$AE$2:$AE$355,MATCH($C440,Deals!$A$2:$A$355,0))=0,"",INDEX(Deals!$AE$2:$AE$355,MATCH($C440,Deals!$A$2:$A$355,0))),""))</f>
        <v/>
      </c>
      <c r="AE440" s="22">
        <f>IF($C440="","",IFERROR(IF(INDEX(Deals!$AF$2:$AF$355,MATCH($C440,Deals!$A$2:$A$355,0))=0,"",INDEX(Deals!$AF$2:$AF$355,MATCH($C440,Deals!$A$2:$A$355,0))),""))</f>
        <v/>
      </c>
      <c r="AF440" s="35">
        <f>IF($AD440="",DATE(1900,1,1),$AD440)</f>
        <v/>
      </c>
      <c r="AG440" s="35">
        <f>IF($AE440="",DATE(2100,12,31),$AE440)</f>
        <v/>
      </c>
      <c r="AH440" s="22">
        <f>IF($C440="","",IFERROR(IF(INDEX(Deals!$AG$2:$AG$355,MATCH($C440,Deals!$A$2:$A$355,0))=0,"",INDEX(Deals!$AG$2:$AG$355,MATCH($C440,Deals!$A$2:$A$355,0))),""))</f>
        <v/>
      </c>
      <c r="AI440" s="35">
        <f>IF(OR($AH440&lt;&gt;"",AND($AO440&gt;0,$AD440&lt;&gt;"",$AE440&lt;&gt;"")),$AF440,DATE(1900,1,1))</f>
        <v/>
      </c>
      <c r="AJ440" s="35">
        <f>IF($AH440&lt;&gt;"",$AH440,IF(AND($AO440&gt;0,$AD440&lt;&gt;"",$AE440&lt;&gt;""),$AG440,DATE(2100,12,31)))</f>
        <v/>
      </c>
      <c r="AK440" s="32">
        <f>IF($AH440="",$AC440,$AC440*$S440)</f>
        <v/>
      </c>
      <c r="AL440" s="35">
        <f>IF($AH440="",DATE(2100,12,31),$AH440+1)</f>
        <v/>
      </c>
      <c r="AM440" s="35">
        <f>IF($AH440="",DATE(1900,1,1),$AG440)</f>
        <v/>
      </c>
      <c r="AN440" s="32">
        <f>IF($AH440="",0,$AC440*$T440)</f>
        <v/>
      </c>
      <c r="AO440" s="46">
        <f>IF($C440="",0,IFERROR(INDEX(Deals!$BD$2:$BD$355,MATCH($C440,Deals!$A$2:$A$355,0)),0))</f>
        <v/>
      </c>
      <c r="AP440" s="18">
        <f>IF($AO440=0,0,IFERROR(INDEX(Deals!$BJ$2:$BP$355,MATCH($C440,Deals!$A$2:$A$355,0),MATCH($F440,Deals!$BJ$1:$BP$1,0))/COUNTIFS(Assignments!$C$2:$C$769,$C440,Assignments!$F$2:$F$769,$F440,Assignments!$G$2:$G$769,"Active"),0))</f>
        <v/>
      </c>
    </row>
    <row r="441">
      <c r="A441" s="28" t="inlineStr">
        <is>
          <t>Nina</t>
        </is>
      </c>
      <c r="B441" s="16">
        <f>IF($A441="","",IFERROR(INDEX(Roster!$B$2:$B$40,MATCH($A441,Roster!$A$2:$A$40,0)),"?"))</f>
        <v/>
      </c>
      <c r="C441" s="28" t="inlineStr">
        <is>
          <t>Brass_2</t>
        </is>
      </c>
      <c r="D441" s="16">
        <f>IF($C441="","",IFERROR(IF(INDEX(Deals!$C$2:$C$355,MATCH($C441,Deals!$A$2:$A$355,0))=0,"",INDEX(Deals!$C$2:$C$355,MATCH($C441,Deals!$A$2:$A$355,0))),"?"))</f>
        <v/>
      </c>
      <c r="E441" s="16">
        <f>IF($C441="","",IFERROR(INDEX(Deals!$F$2:$F$355,MATCH($C441,Deals!$A$2:$A$355,0)),"?"))</f>
        <v/>
      </c>
      <c r="F441" s="28" t="inlineStr">
        <is>
          <t>Senior Associate</t>
        </is>
      </c>
      <c r="G441" s="28" t="inlineStr">
        <is>
          <t>Active</t>
        </is>
      </c>
      <c r="H441" s="31" t="n"/>
      <c r="I441" s="32">
        <f>IF(OR($A441="",$G441&lt;&gt;"Active"),0,IF($H441&lt;&gt;"",$H441,IF($AO441&gt;0,$AP441,IF(AND($R441&lt;&gt;"",IFERROR(INDEX(Templates!$B$3:$H$10,MATCH($R441,Templates!$A$3:$A$10,0),MATCH($F441,Templates!$B$2:$H$2,0)),0)&gt;0),INDEX(Templates!$B$3:$H$10,MATCH($R441,Templates!$A$3:$A$10,0),MATCH($F441,Templates!$B$2:$H$2,0)),IFERROR(INDEX(Settings!$B$8:$B$14,MATCH($F441,Settings!$A$8:$A$14,0)),0)))))</f>
        <v/>
      </c>
      <c r="J441" s="21">
        <f>IF($C441="",0,IFERROR(INDEX(Deals!$H$2:$H$355,MATCH($C441,Deals!$A$2:$A$355,0)),0))</f>
        <v/>
      </c>
      <c r="K441" s="32">
        <f>IF(Settings!$B$4="Yes",$I441*$J441,$I441)</f>
        <v/>
      </c>
      <c r="L441" s="22">
        <f>IF($C441="","",IFERROR(IF(INDEX(Deals!$I$2:$I$355,MATCH($C441,Deals!$A$2:$A$355,0))=0,"",INDEX(Deals!$I$2:$I$355,MATCH($C441,Deals!$A$2:$A$355,0))),""))</f>
        <v/>
      </c>
      <c r="M441" s="22">
        <f>IF($C441="","",IFERROR(IF(INDEX(Deals!$J$2:$J$355,MATCH($C441,Deals!$A$2:$A$355,0))=0,"",INDEX(Deals!$J$2:$J$355,MATCH($C441,Deals!$A$2:$A$355,0))),""))</f>
        <v/>
      </c>
      <c r="N441" s="35">
        <f>IF($L441="",DATE(1900,1,1),$L441)</f>
        <v/>
      </c>
      <c r="O441" s="35">
        <f>IF($M441="",DATE(2100,12,31),$M441)</f>
        <v/>
      </c>
      <c r="P441" s="20" t="inlineStr"/>
      <c r="Q441" s="47" t="inlineStr"/>
      <c r="R441" s="16">
        <f>IF($C441="","",IFERROR(IF(INDEX(Deals!$U$2:$U$355,MATCH($C441,Deals!$A$2:$A$355,0))=0,"",INDEX(Deals!$U$2:$U$355,MATCH($C441,Deals!$A$2:$A$355,0))),""))</f>
        <v/>
      </c>
      <c r="S441" s="34">
        <f>IFERROR(IF($U441="",1,INDEX(Deals!$V$2:$V$355,MATCH($C441,Deals!$A$2:$A$355,0))),1)</f>
        <v/>
      </c>
      <c r="T441" s="34">
        <f>IFERROR(IF($U441="",1,INDEX(Deals!$W$2:$W$355,MATCH($C441,Deals!$A$2:$A$355,0))),1)</f>
        <v/>
      </c>
      <c r="U441" s="22">
        <f>IF($C441="","",IFERROR(IF(INDEX(Deals!$Y$2:$Y$355,MATCH($C441,Deals!$A$2:$A$355,0))=0,"",INDEX(Deals!$Y$2:$Y$355,MATCH($C441,Deals!$A$2:$A$355,0))),""))</f>
        <v/>
      </c>
      <c r="V441" s="35">
        <f>IF(OR($U441&lt;&gt;"",AND($AO441&gt;0,$L441&lt;&gt;"",$M441&lt;&gt;"")),$N441,DATE(1900,1,1))</f>
        <v/>
      </c>
      <c r="W441" s="35">
        <f>IF($U441&lt;&gt;"",$U441,IF(AND($AO441&gt;0,$L441&lt;&gt;"",$M441&lt;&gt;""),$O441,DATE(2100,12,31)))</f>
        <v/>
      </c>
      <c r="X441" s="32">
        <f>IF($U441="",$K441,$K441*$S441)</f>
        <v/>
      </c>
      <c r="Y441" s="35">
        <f>IF($U441="",DATE(2100,12,31),$U441+1)</f>
        <v/>
      </c>
      <c r="Z441" s="35">
        <f>IF($U441="",DATE(1900,1,1),$O441)</f>
        <v/>
      </c>
      <c r="AA441" s="32">
        <f>IF($U441="",0,$K441*$T441)</f>
        <v/>
      </c>
      <c r="AB441" s="21">
        <f>IF($C441="",0,IFERROR(INDEX(Deals!$AD$2:$AD$355,MATCH($C441,Deals!$A$2:$A$355,0)),0))</f>
        <v/>
      </c>
      <c r="AC441" s="32">
        <f>IF(Settings!$B$4="Yes",$I441*$AB441,$I441)</f>
        <v/>
      </c>
      <c r="AD441" s="22">
        <f>IF($C441="","",IFERROR(IF(INDEX(Deals!$AE$2:$AE$355,MATCH($C441,Deals!$A$2:$A$355,0))=0,"",INDEX(Deals!$AE$2:$AE$355,MATCH($C441,Deals!$A$2:$A$355,0))),""))</f>
        <v/>
      </c>
      <c r="AE441" s="22">
        <f>IF($C441="","",IFERROR(IF(INDEX(Deals!$AF$2:$AF$355,MATCH($C441,Deals!$A$2:$A$355,0))=0,"",INDEX(Deals!$AF$2:$AF$355,MATCH($C441,Deals!$A$2:$A$355,0))),""))</f>
        <v/>
      </c>
      <c r="AF441" s="35">
        <f>IF($AD441="",DATE(1900,1,1),$AD441)</f>
        <v/>
      </c>
      <c r="AG441" s="35">
        <f>IF($AE441="",DATE(2100,12,31),$AE441)</f>
        <v/>
      </c>
      <c r="AH441" s="22">
        <f>IF($C441="","",IFERROR(IF(INDEX(Deals!$AG$2:$AG$355,MATCH($C441,Deals!$A$2:$A$355,0))=0,"",INDEX(Deals!$AG$2:$AG$355,MATCH($C441,Deals!$A$2:$A$355,0))),""))</f>
        <v/>
      </c>
      <c r="AI441" s="35">
        <f>IF(OR($AH441&lt;&gt;"",AND($AO441&gt;0,$AD441&lt;&gt;"",$AE441&lt;&gt;"")),$AF441,DATE(1900,1,1))</f>
        <v/>
      </c>
      <c r="AJ441" s="35">
        <f>IF($AH441&lt;&gt;"",$AH441,IF(AND($AO441&gt;0,$AD441&lt;&gt;"",$AE441&lt;&gt;""),$AG441,DATE(2100,12,31)))</f>
        <v/>
      </c>
      <c r="AK441" s="32">
        <f>IF($AH441="",$AC441,$AC441*$S441)</f>
        <v/>
      </c>
      <c r="AL441" s="35">
        <f>IF($AH441="",DATE(2100,12,31),$AH441+1)</f>
        <v/>
      </c>
      <c r="AM441" s="35">
        <f>IF($AH441="",DATE(1900,1,1),$AG441)</f>
        <v/>
      </c>
      <c r="AN441" s="32">
        <f>IF($AH441="",0,$AC441*$T441)</f>
        <v/>
      </c>
      <c r="AO441" s="46">
        <f>IF($C441="",0,IFERROR(INDEX(Deals!$BD$2:$BD$355,MATCH($C441,Deals!$A$2:$A$355,0)),0))</f>
        <v/>
      </c>
      <c r="AP441" s="18">
        <f>IF($AO441=0,0,IFERROR(INDEX(Deals!$BJ$2:$BP$355,MATCH($C441,Deals!$A$2:$A$355,0),MATCH($F441,Deals!$BJ$1:$BP$1,0))/COUNTIFS(Assignments!$C$2:$C$769,$C441,Assignments!$F$2:$F$769,$F441,Assignments!$G$2:$G$769,"Active"),0))</f>
        <v/>
      </c>
    </row>
    <row r="442">
      <c r="A442" s="28" t="inlineStr">
        <is>
          <t>Nina</t>
        </is>
      </c>
      <c r="B442" s="16">
        <f>IF($A442="","",IFERROR(INDEX(Roster!$B$2:$B$40,MATCH($A442,Roster!$A$2:$A$40,0)),"?"))</f>
        <v/>
      </c>
      <c r="C442" s="28" t="inlineStr">
        <is>
          <t>Broadway_1</t>
        </is>
      </c>
      <c r="D442" s="16">
        <f>IF($C442="","",IFERROR(IF(INDEX(Deals!$C$2:$C$355,MATCH($C442,Deals!$A$2:$A$355,0))=0,"",INDEX(Deals!$C$2:$C$355,MATCH($C442,Deals!$A$2:$A$355,0))),"?"))</f>
        <v/>
      </c>
      <c r="E442" s="16">
        <f>IF($C442="","",IFERROR(INDEX(Deals!$F$2:$F$355,MATCH($C442,Deals!$A$2:$A$355,0)),"?"))</f>
        <v/>
      </c>
      <c r="F442" s="28" t="inlineStr">
        <is>
          <t>Senior Associate</t>
        </is>
      </c>
      <c r="G442" s="28" t="inlineStr">
        <is>
          <t>Inactive</t>
        </is>
      </c>
      <c r="H442" s="31" t="n"/>
      <c r="I442" s="32">
        <f>IF(OR($A442="",$G442&lt;&gt;"Active"),0,IF($H442&lt;&gt;"",$H442,IF($AO442&gt;0,$AP442,IF(AND($R442&lt;&gt;"",IFERROR(INDEX(Templates!$B$3:$H$10,MATCH($R442,Templates!$A$3:$A$10,0),MATCH($F442,Templates!$B$2:$H$2,0)),0)&gt;0),INDEX(Templates!$B$3:$H$10,MATCH($R442,Templates!$A$3:$A$10,0),MATCH($F442,Templates!$B$2:$H$2,0)),IFERROR(INDEX(Settings!$B$8:$B$14,MATCH($F442,Settings!$A$8:$A$14,0)),0)))))</f>
        <v/>
      </c>
      <c r="J442" s="21">
        <f>IF($C442="",0,IFERROR(INDEX(Deals!$H$2:$H$355,MATCH($C442,Deals!$A$2:$A$355,0)),0))</f>
        <v/>
      </c>
      <c r="K442" s="32">
        <f>IF(Settings!$B$4="Yes",$I442*$J442,$I442)</f>
        <v/>
      </c>
      <c r="L442" s="22">
        <f>IF($C442="","",IFERROR(IF(INDEX(Deals!$I$2:$I$355,MATCH($C442,Deals!$A$2:$A$355,0))=0,"",INDEX(Deals!$I$2:$I$355,MATCH($C442,Deals!$A$2:$A$355,0))),""))</f>
        <v/>
      </c>
      <c r="M442" s="22">
        <f>IF($C442="","",IFERROR(IF(INDEX(Deals!$J$2:$J$355,MATCH($C442,Deals!$A$2:$A$355,0))=0,"",INDEX(Deals!$J$2:$J$355,MATCH($C442,Deals!$A$2:$A$355,0))),""))</f>
        <v/>
      </c>
      <c r="N442" s="35">
        <f>IF($L442="",DATE(1900,1,1),$L442)</f>
        <v/>
      </c>
      <c r="O442" s="35">
        <f>IF($M442="",DATE(2100,12,31),$M442)</f>
        <v/>
      </c>
      <c r="P442" s="20" t="inlineStr">
        <is>
          <t>Not involved in ongoing work</t>
        </is>
      </c>
      <c r="Q442" s="47" t="inlineStr"/>
      <c r="R442" s="16">
        <f>IF($C442="","",IFERROR(IF(INDEX(Deals!$U$2:$U$355,MATCH($C442,Deals!$A$2:$A$355,0))=0,"",INDEX(Deals!$U$2:$U$355,MATCH($C442,Deals!$A$2:$A$355,0))),""))</f>
        <v/>
      </c>
      <c r="S442" s="34">
        <f>IFERROR(IF($U442="",1,INDEX(Deals!$V$2:$V$355,MATCH($C442,Deals!$A$2:$A$355,0))),1)</f>
        <v/>
      </c>
      <c r="T442" s="34">
        <f>IFERROR(IF($U442="",1,INDEX(Deals!$W$2:$W$355,MATCH($C442,Deals!$A$2:$A$355,0))),1)</f>
        <v/>
      </c>
      <c r="U442" s="22">
        <f>IF($C442="","",IFERROR(IF(INDEX(Deals!$Y$2:$Y$355,MATCH($C442,Deals!$A$2:$A$355,0))=0,"",INDEX(Deals!$Y$2:$Y$355,MATCH($C442,Deals!$A$2:$A$355,0))),""))</f>
        <v/>
      </c>
      <c r="V442" s="35">
        <f>IF(OR($U442&lt;&gt;"",AND($AO442&gt;0,$L442&lt;&gt;"",$M442&lt;&gt;"")),$N442,DATE(1900,1,1))</f>
        <v/>
      </c>
      <c r="W442" s="35">
        <f>IF($U442&lt;&gt;"",$U442,IF(AND($AO442&gt;0,$L442&lt;&gt;"",$M442&lt;&gt;""),$O442,DATE(2100,12,31)))</f>
        <v/>
      </c>
      <c r="X442" s="32">
        <f>IF($U442="",$K442,$K442*$S442)</f>
        <v/>
      </c>
      <c r="Y442" s="35">
        <f>IF($U442="",DATE(2100,12,31),$U442+1)</f>
        <v/>
      </c>
      <c r="Z442" s="35">
        <f>IF($U442="",DATE(1900,1,1),$O442)</f>
        <v/>
      </c>
      <c r="AA442" s="32">
        <f>IF($U442="",0,$K442*$T442)</f>
        <v/>
      </c>
      <c r="AB442" s="21">
        <f>IF($C442="",0,IFERROR(INDEX(Deals!$AD$2:$AD$355,MATCH($C442,Deals!$A$2:$A$355,0)),0))</f>
        <v/>
      </c>
      <c r="AC442" s="32">
        <f>IF(Settings!$B$4="Yes",$I442*$AB442,$I442)</f>
        <v/>
      </c>
      <c r="AD442" s="22">
        <f>IF($C442="","",IFERROR(IF(INDEX(Deals!$AE$2:$AE$355,MATCH($C442,Deals!$A$2:$A$355,0))=0,"",INDEX(Deals!$AE$2:$AE$355,MATCH($C442,Deals!$A$2:$A$355,0))),""))</f>
        <v/>
      </c>
      <c r="AE442" s="22">
        <f>IF($C442="","",IFERROR(IF(INDEX(Deals!$AF$2:$AF$355,MATCH($C442,Deals!$A$2:$A$355,0))=0,"",INDEX(Deals!$AF$2:$AF$355,MATCH($C442,Deals!$A$2:$A$355,0))),""))</f>
        <v/>
      </c>
      <c r="AF442" s="35">
        <f>IF($AD442="",DATE(1900,1,1),$AD442)</f>
        <v/>
      </c>
      <c r="AG442" s="35">
        <f>IF($AE442="",DATE(2100,12,31),$AE442)</f>
        <v/>
      </c>
      <c r="AH442" s="22">
        <f>IF($C442="","",IFERROR(IF(INDEX(Deals!$AG$2:$AG$355,MATCH($C442,Deals!$A$2:$A$355,0))=0,"",INDEX(Deals!$AG$2:$AG$355,MATCH($C442,Deals!$A$2:$A$355,0))),""))</f>
        <v/>
      </c>
      <c r="AI442" s="35">
        <f>IF(OR($AH442&lt;&gt;"",AND($AO442&gt;0,$AD442&lt;&gt;"",$AE442&lt;&gt;"")),$AF442,DATE(1900,1,1))</f>
        <v/>
      </c>
      <c r="AJ442" s="35">
        <f>IF($AH442&lt;&gt;"",$AH442,IF(AND($AO442&gt;0,$AD442&lt;&gt;"",$AE442&lt;&gt;""),$AG442,DATE(2100,12,31)))</f>
        <v/>
      </c>
      <c r="AK442" s="32">
        <f>IF($AH442="",$AC442,$AC442*$S442)</f>
        <v/>
      </c>
      <c r="AL442" s="35">
        <f>IF($AH442="",DATE(2100,12,31),$AH442+1)</f>
        <v/>
      </c>
      <c r="AM442" s="35">
        <f>IF($AH442="",DATE(1900,1,1),$AG442)</f>
        <v/>
      </c>
      <c r="AN442" s="32">
        <f>IF($AH442="",0,$AC442*$T442)</f>
        <v/>
      </c>
      <c r="AO442" s="46">
        <f>IF($C442="",0,IFERROR(INDEX(Deals!$BD$2:$BD$355,MATCH($C442,Deals!$A$2:$A$355,0)),0))</f>
        <v/>
      </c>
      <c r="AP442" s="18">
        <f>IF($AO442=0,0,IFERROR(INDEX(Deals!$BJ$2:$BP$355,MATCH($C442,Deals!$A$2:$A$355,0),MATCH($F442,Deals!$BJ$1:$BP$1,0))/COUNTIFS(Assignments!$C$2:$C$769,$C442,Assignments!$F$2:$F$769,$F442,Assignments!$G$2:$G$769,"Active"),0))</f>
        <v/>
      </c>
    </row>
    <row r="443">
      <c r="A443" s="28" t="inlineStr">
        <is>
          <t>Nina</t>
        </is>
      </c>
      <c r="B443" s="16">
        <f>IF($A443="","",IFERROR(INDEX(Roster!$B$2:$B$40,MATCH($A443,Roster!$A$2:$A$40,0)),"?"))</f>
        <v/>
      </c>
      <c r="C443" s="28" t="inlineStr">
        <is>
          <t>Canyon_1</t>
        </is>
      </c>
      <c r="D443" s="16">
        <f>IF($C443="","",IFERROR(IF(INDEX(Deals!$C$2:$C$355,MATCH($C443,Deals!$A$2:$A$355,0))=0,"",INDEX(Deals!$C$2:$C$355,MATCH($C443,Deals!$A$2:$A$355,0))),"?"))</f>
        <v/>
      </c>
      <c r="E443" s="16">
        <f>IF($C443="","",IFERROR(INDEX(Deals!$F$2:$F$355,MATCH($C443,Deals!$A$2:$A$355,0)),"?"))</f>
        <v/>
      </c>
      <c r="F443" s="28" t="inlineStr">
        <is>
          <t>Senior Associate</t>
        </is>
      </c>
      <c r="G443" s="28" t="inlineStr">
        <is>
          <t>Inactive</t>
        </is>
      </c>
      <c r="H443" s="31" t="n"/>
      <c r="I443" s="32">
        <f>IF(OR($A443="",$G443&lt;&gt;"Active"),0,IF($H443&lt;&gt;"",$H443,IF($AO443&gt;0,$AP443,IF(AND($R443&lt;&gt;"",IFERROR(INDEX(Templates!$B$3:$H$10,MATCH($R443,Templates!$A$3:$A$10,0),MATCH($F443,Templates!$B$2:$H$2,0)),0)&gt;0),INDEX(Templates!$B$3:$H$10,MATCH($R443,Templates!$A$3:$A$10,0),MATCH($F443,Templates!$B$2:$H$2,0)),IFERROR(INDEX(Settings!$B$8:$B$14,MATCH($F443,Settings!$A$8:$A$14,0)),0)))))</f>
        <v/>
      </c>
      <c r="J443" s="21">
        <f>IF($C443="",0,IFERROR(INDEX(Deals!$H$2:$H$355,MATCH($C443,Deals!$A$2:$A$355,0)),0))</f>
        <v/>
      </c>
      <c r="K443" s="32">
        <f>IF(Settings!$B$4="Yes",$I443*$J443,$I443)</f>
        <v/>
      </c>
      <c r="L443" s="22">
        <f>IF($C443="","",IFERROR(IF(INDEX(Deals!$I$2:$I$355,MATCH($C443,Deals!$A$2:$A$355,0))=0,"",INDEX(Deals!$I$2:$I$355,MATCH($C443,Deals!$A$2:$A$355,0))),""))</f>
        <v/>
      </c>
      <c r="M443" s="22">
        <f>IF($C443="","",IFERROR(IF(INDEX(Deals!$J$2:$J$355,MATCH($C443,Deals!$A$2:$A$355,0))=0,"",INDEX(Deals!$J$2:$J$355,MATCH($C443,Deals!$A$2:$A$355,0))),""))</f>
        <v/>
      </c>
      <c r="N443" s="35">
        <f>IF($L443="",DATE(1900,1,1),$L443)</f>
        <v/>
      </c>
      <c r="O443" s="35">
        <f>IF($M443="",DATE(2100,12,31),$M443)</f>
        <v/>
      </c>
      <c r="P443" s="20" t="inlineStr">
        <is>
          <t>Closed</t>
        </is>
      </c>
      <c r="Q443" s="47" t="inlineStr"/>
      <c r="R443" s="16">
        <f>IF($C443="","",IFERROR(IF(INDEX(Deals!$U$2:$U$355,MATCH($C443,Deals!$A$2:$A$355,0))=0,"",INDEX(Deals!$U$2:$U$355,MATCH($C443,Deals!$A$2:$A$355,0))),""))</f>
        <v/>
      </c>
      <c r="S443" s="34">
        <f>IFERROR(IF($U443="",1,INDEX(Deals!$V$2:$V$355,MATCH($C443,Deals!$A$2:$A$355,0))),1)</f>
        <v/>
      </c>
      <c r="T443" s="34">
        <f>IFERROR(IF($U443="",1,INDEX(Deals!$W$2:$W$355,MATCH($C443,Deals!$A$2:$A$355,0))),1)</f>
        <v/>
      </c>
      <c r="U443" s="22">
        <f>IF($C443="","",IFERROR(IF(INDEX(Deals!$Y$2:$Y$355,MATCH($C443,Deals!$A$2:$A$355,0))=0,"",INDEX(Deals!$Y$2:$Y$355,MATCH($C443,Deals!$A$2:$A$355,0))),""))</f>
        <v/>
      </c>
      <c r="V443" s="35">
        <f>IF(OR($U443&lt;&gt;"",AND($AO443&gt;0,$L443&lt;&gt;"",$M443&lt;&gt;"")),$N443,DATE(1900,1,1))</f>
        <v/>
      </c>
      <c r="W443" s="35">
        <f>IF($U443&lt;&gt;"",$U443,IF(AND($AO443&gt;0,$L443&lt;&gt;"",$M443&lt;&gt;""),$O443,DATE(2100,12,31)))</f>
        <v/>
      </c>
      <c r="X443" s="32">
        <f>IF($U443="",$K443,$K443*$S443)</f>
        <v/>
      </c>
      <c r="Y443" s="35">
        <f>IF($U443="",DATE(2100,12,31),$U443+1)</f>
        <v/>
      </c>
      <c r="Z443" s="35">
        <f>IF($U443="",DATE(1900,1,1),$O443)</f>
        <v/>
      </c>
      <c r="AA443" s="32">
        <f>IF($U443="",0,$K443*$T443)</f>
        <v/>
      </c>
      <c r="AB443" s="21">
        <f>IF($C443="",0,IFERROR(INDEX(Deals!$AD$2:$AD$355,MATCH($C443,Deals!$A$2:$A$355,0)),0))</f>
        <v/>
      </c>
      <c r="AC443" s="32">
        <f>IF(Settings!$B$4="Yes",$I443*$AB443,$I443)</f>
        <v/>
      </c>
      <c r="AD443" s="22">
        <f>IF($C443="","",IFERROR(IF(INDEX(Deals!$AE$2:$AE$355,MATCH($C443,Deals!$A$2:$A$355,0))=0,"",INDEX(Deals!$AE$2:$AE$355,MATCH($C443,Deals!$A$2:$A$355,0))),""))</f>
        <v/>
      </c>
      <c r="AE443" s="22">
        <f>IF($C443="","",IFERROR(IF(INDEX(Deals!$AF$2:$AF$355,MATCH($C443,Deals!$A$2:$A$355,0))=0,"",INDEX(Deals!$AF$2:$AF$355,MATCH($C443,Deals!$A$2:$A$355,0))),""))</f>
        <v/>
      </c>
      <c r="AF443" s="35">
        <f>IF($AD443="",DATE(1900,1,1),$AD443)</f>
        <v/>
      </c>
      <c r="AG443" s="35">
        <f>IF($AE443="",DATE(2100,12,31),$AE443)</f>
        <v/>
      </c>
      <c r="AH443" s="22">
        <f>IF($C443="","",IFERROR(IF(INDEX(Deals!$AG$2:$AG$355,MATCH($C443,Deals!$A$2:$A$355,0))=0,"",INDEX(Deals!$AG$2:$AG$355,MATCH($C443,Deals!$A$2:$A$355,0))),""))</f>
        <v/>
      </c>
      <c r="AI443" s="35">
        <f>IF(OR($AH443&lt;&gt;"",AND($AO443&gt;0,$AD443&lt;&gt;"",$AE443&lt;&gt;"")),$AF443,DATE(1900,1,1))</f>
        <v/>
      </c>
      <c r="AJ443" s="35">
        <f>IF($AH443&lt;&gt;"",$AH443,IF(AND($AO443&gt;0,$AD443&lt;&gt;"",$AE443&lt;&gt;""),$AG443,DATE(2100,12,31)))</f>
        <v/>
      </c>
      <c r="AK443" s="32">
        <f>IF($AH443="",$AC443,$AC443*$S443)</f>
        <v/>
      </c>
      <c r="AL443" s="35">
        <f>IF($AH443="",DATE(2100,12,31),$AH443+1)</f>
        <v/>
      </c>
      <c r="AM443" s="35">
        <f>IF($AH443="",DATE(1900,1,1),$AG443)</f>
        <v/>
      </c>
      <c r="AN443" s="32">
        <f>IF($AH443="",0,$AC443*$T443)</f>
        <v/>
      </c>
      <c r="AO443" s="46">
        <f>IF($C443="",0,IFERROR(INDEX(Deals!$BD$2:$BD$355,MATCH($C443,Deals!$A$2:$A$355,0)),0))</f>
        <v/>
      </c>
      <c r="AP443" s="18">
        <f>IF($AO443=0,0,IFERROR(INDEX(Deals!$BJ$2:$BP$355,MATCH($C443,Deals!$A$2:$A$355,0),MATCH($F443,Deals!$BJ$1:$BP$1,0))/COUNTIFS(Assignments!$C$2:$C$769,$C443,Assignments!$F$2:$F$769,$F443,Assignments!$G$2:$G$769,"Active"),0))</f>
        <v/>
      </c>
    </row>
    <row r="444">
      <c r="A444" s="28" t="inlineStr">
        <is>
          <t>Nina</t>
        </is>
      </c>
      <c r="B444" s="16">
        <f>IF($A444="","",IFERROR(INDEX(Roster!$B$2:$B$40,MATCH($A444,Roster!$A$2:$A$40,0)),"?"))</f>
        <v/>
      </c>
      <c r="C444" s="28" t="inlineStr">
        <is>
          <t>Celestial_1</t>
        </is>
      </c>
      <c r="D444" s="16">
        <f>IF($C444="","",IFERROR(IF(INDEX(Deals!$C$2:$C$355,MATCH($C444,Deals!$A$2:$A$355,0))=0,"",INDEX(Deals!$C$2:$C$355,MATCH($C444,Deals!$A$2:$A$355,0))),"?"))</f>
        <v/>
      </c>
      <c r="E444" s="16">
        <f>IF($C444="","",IFERROR(INDEX(Deals!$F$2:$F$355,MATCH($C444,Deals!$A$2:$A$355,0)),"?"))</f>
        <v/>
      </c>
      <c r="F444" s="28" t="inlineStr">
        <is>
          <t>Senior Associate</t>
        </is>
      </c>
      <c r="G444" s="28" t="inlineStr">
        <is>
          <t>Inactive</t>
        </is>
      </c>
      <c r="H444" s="31" t="n"/>
      <c r="I444" s="32">
        <f>IF(OR($A444="",$G444&lt;&gt;"Active"),0,IF($H444&lt;&gt;"",$H444,IF($AO444&gt;0,$AP444,IF(AND($R444&lt;&gt;"",IFERROR(INDEX(Templates!$B$3:$H$10,MATCH($R444,Templates!$A$3:$A$10,0),MATCH($F444,Templates!$B$2:$H$2,0)),0)&gt;0),INDEX(Templates!$B$3:$H$10,MATCH($R444,Templates!$A$3:$A$10,0),MATCH($F444,Templates!$B$2:$H$2,0)),IFERROR(INDEX(Settings!$B$8:$B$14,MATCH($F444,Settings!$A$8:$A$14,0)),0)))))</f>
        <v/>
      </c>
      <c r="J444" s="21">
        <f>IF($C444="",0,IFERROR(INDEX(Deals!$H$2:$H$355,MATCH($C444,Deals!$A$2:$A$355,0)),0))</f>
        <v/>
      </c>
      <c r="K444" s="32">
        <f>IF(Settings!$B$4="Yes",$I444*$J444,$I444)</f>
        <v/>
      </c>
      <c r="L444" s="22">
        <f>IF($C444="","",IFERROR(IF(INDEX(Deals!$I$2:$I$355,MATCH($C444,Deals!$A$2:$A$355,0))=0,"",INDEX(Deals!$I$2:$I$355,MATCH($C444,Deals!$A$2:$A$355,0))),""))</f>
        <v/>
      </c>
      <c r="M444" s="22">
        <f>IF($C444="","",IFERROR(IF(INDEX(Deals!$J$2:$J$355,MATCH($C444,Deals!$A$2:$A$355,0))=0,"",INDEX(Deals!$J$2:$J$355,MATCH($C444,Deals!$A$2:$A$355,0))),""))</f>
        <v/>
      </c>
      <c r="N444" s="35">
        <f>IF($L444="",DATE(1900,1,1),$L444)</f>
        <v/>
      </c>
      <c r="O444" s="35">
        <f>IF($M444="",DATE(2100,12,31),$M444)</f>
        <v/>
      </c>
      <c r="P444" s="20" t="inlineStr">
        <is>
          <t>Closed</t>
        </is>
      </c>
      <c r="Q444" s="47" t="inlineStr"/>
      <c r="R444" s="16">
        <f>IF($C444="","",IFERROR(IF(INDEX(Deals!$U$2:$U$355,MATCH($C444,Deals!$A$2:$A$355,0))=0,"",INDEX(Deals!$U$2:$U$355,MATCH($C444,Deals!$A$2:$A$355,0))),""))</f>
        <v/>
      </c>
      <c r="S444" s="34">
        <f>IFERROR(IF($U444="",1,INDEX(Deals!$V$2:$V$355,MATCH($C444,Deals!$A$2:$A$355,0))),1)</f>
        <v/>
      </c>
      <c r="T444" s="34">
        <f>IFERROR(IF($U444="",1,INDEX(Deals!$W$2:$W$355,MATCH($C444,Deals!$A$2:$A$355,0))),1)</f>
        <v/>
      </c>
      <c r="U444" s="22">
        <f>IF($C444="","",IFERROR(IF(INDEX(Deals!$Y$2:$Y$355,MATCH($C444,Deals!$A$2:$A$355,0))=0,"",INDEX(Deals!$Y$2:$Y$355,MATCH($C444,Deals!$A$2:$A$355,0))),""))</f>
        <v/>
      </c>
      <c r="V444" s="35">
        <f>IF(OR($U444&lt;&gt;"",AND($AO444&gt;0,$L444&lt;&gt;"",$M444&lt;&gt;"")),$N444,DATE(1900,1,1))</f>
        <v/>
      </c>
      <c r="W444" s="35">
        <f>IF($U444&lt;&gt;"",$U444,IF(AND($AO444&gt;0,$L444&lt;&gt;"",$M444&lt;&gt;""),$O444,DATE(2100,12,31)))</f>
        <v/>
      </c>
      <c r="X444" s="32">
        <f>IF($U444="",$K444,$K444*$S444)</f>
        <v/>
      </c>
      <c r="Y444" s="35">
        <f>IF($U444="",DATE(2100,12,31),$U444+1)</f>
        <v/>
      </c>
      <c r="Z444" s="35">
        <f>IF($U444="",DATE(1900,1,1),$O444)</f>
        <v/>
      </c>
      <c r="AA444" s="32">
        <f>IF($U444="",0,$K444*$T444)</f>
        <v/>
      </c>
      <c r="AB444" s="21">
        <f>IF($C444="",0,IFERROR(INDEX(Deals!$AD$2:$AD$355,MATCH($C444,Deals!$A$2:$A$355,0)),0))</f>
        <v/>
      </c>
      <c r="AC444" s="32">
        <f>IF(Settings!$B$4="Yes",$I444*$AB444,$I444)</f>
        <v/>
      </c>
      <c r="AD444" s="22">
        <f>IF($C444="","",IFERROR(IF(INDEX(Deals!$AE$2:$AE$355,MATCH($C444,Deals!$A$2:$A$355,0))=0,"",INDEX(Deals!$AE$2:$AE$355,MATCH($C444,Deals!$A$2:$A$355,0))),""))</f>
        <v/>
      </c>
      <c r="AE444" s="22">
        <f>IF($C444="","",IFERROR(IF(INDEX(Deals!$AF$2:$AF$355,MATCH($C444,Deals!$A$2:$A$355,0))=0,"",INDEX(Deals!$AF$2:$AF$355,MATCH($C444,Deals!$A$2:$A$355,0))),""))</f>
        <v/>
      </c>
      <c r="AF444" s="35">
        <f>IF($AD444="",DATE(1900,1,1),$AD444)</f>
        <v/>
      </c>
      <c r="AG444" s="35">
        <f>IF($AE444="",DATE(2100,12,31),$AE444)</f>
        <v/>
      </c>
      <c r="AH444" s="22">
        <f>IF($C444="","",IFERROR(IF(INDEX(Deals!$AG$2:$AG$355,MATCH($C444,Deals!$A$2:$A$355,0))=0,"",INDEX(Deals!$AG$2:$AG$355,MATCH($C444,Deals!$A$2:$A$355,0))),""))</f>
        <v/>
      </c>
      <c r="AI444" s="35">
        <f>IF(OR($AH444&lt;&gt;"",AND($AO444&gt;0,$AD444&lt;&gt;"",$AE444&lt;&gt;"")),$AF444,DATE(1900,1,1))</f>
        <v/>
      </c>
      <c r="AJ444" s="35">
        <f>IF($AH444&lt;&gt;"",$AH444,IF(AND($AO444&gt;0,$AD444&lt;&gt;"",$AE444&lt;&gt;""),$AG444,DATE(2100,12,31)))</f>
        <v/>
      </c>
      <c r="AK444" s="32">
        <f>IF($AH444="",$AC444,$AC444*$S444)</f>
        <v/>
      </c>
      <c r="AL444" s="35">
        <f>IF($AH444="",DATE(2100,12,31),$AH444+1)</f>
        <v/>
      </c>
      <c r="AM444" s="35">
        <f>IF($AH444="",DATE(1900,1,1),$AG444)</f>
        <v/>
      </c>
      <c r="AN444" s="32">
        <f>IF($AH444="",0,$AC444*$T444)</f>
        <v/>
      </c>
      <c r="AO444" s="46">
        <f>IF($C444="",0,IFERROR(INDEX(Deals!$BD$2:$BD$355,MATCH($C444,Deals!$A$2:$A$355,0)),0))</f>
        <v/>
      </c>
      <c r="AP444" s="18">
        <f>IF($AO444=0,0,IFERROR(INDEX(Deals!$BJ$2:$BP$355,MATCH($C444,Deals!$A$2:$A$355,0),MATCH($F444,Deals!$BJ$1:$BP$1,0))/COUNTIFS(Assignments!$C$2:$C$769,$C444,Assignments!$F$2:$F$769,$F444,Assignments!$G$2:$G$769,"Active"),0))</f>
        <v/>
      </c>
    </row>
    <row r="445">
      <c r="A445" s="28" t="inlineStr">
        <is>
          <t>Nina</t>
        </is>
      </c>
      <c r="B445" s="16">
        <f>IF($A445="","",IFERROR(INDEX(Roster!$B$2:$B$40,MATCH($A445,Roster!$A$2:$A$40,0)),"?"))</f>
        <v/>
      </c>
      <c r="C445" s="28" t="inlineStr">
        <is>
          <t>Chile_1</t>
        </is>
      </c>
      <c r="D445" s="16">
        <f>IF($C445="","",IFERROR(IF(INDEX(Deals!$C$2:$C$355,MATCH($C445,Deals!$A$2:$A$355,0))=0,"",INDEX(Deals!$C$2:$C$355,MATCH($C445,Deals!$A$2:$A$355,0))),"?"))</f>
        <v/>
      </c>
      <c r="E445" s="16">
        <f>IF($C445="","",IFERROR(INDEX(Deals!$F$2:$F$355,MATCH($C445,Deals!$A$2:$A$355,0)),"?"))</f>
        <v/>
      </c>
      <c r="F445" s="28" t="inlineStr">
        <is>
          <t>Senior Associate</t>
        </is>
      </c>
      <c r="G445" s="28" t="inlineStr">
        <is>
          <t>Active</t>
        </is>
      </c>
      <c r="H445" s="31" t="n"/>
      <c r="I445" s="32">
        <f>IF(OR($A445="",$G445&lt;&gt;"Active"),0,IF($H445&lt;&gt;"",$H445,IF($AO445&gt;0,$AP445,IF(AND($R445&lt;&gt;"",IFERROR(INDEX(Templates!$B$3:$H$10,MATCH($R445,Templates!$A$3:$A$10,0),MATCH($F445,Templates!$B$2:$H$2,0)),0)&gt;0),INDEX(Templates!$B$3:$H$10,MATCH($R445,Templates!$A$3:$A$10,0),MATCH($F445,Templates!$B$2:$H$2,0)),IFERROR(INDEX(Settings!$B$8:$B$14,MATCH($F445,Settings!$A$8:$A$14,0)),0)))))</f>
        <v/>
      </c>
      <c r="J445" s="21">
        <f>IF($C445="",0,IFERROR(INDEX(Deals!$H$2:$H$355,MATCH($C445,Deals!$A$2:$A$355,0)),0))</f>
        <v/>
      </c>
      <c r="K445" s="32">
        <f>IF(Settings!$B$4="Yes",$I445*$J445,$I445)</f>
        <v/>
      </c>
      <c r="L445" s="22">
        <f>IF($C445="","",IFERROR(IF(INDEX(Deals!$I$2:$I$355,MATCH($C445,Deals!$A$2:$A$355,0))=0,"",INDEX(Deals!$I$2:$I$355,MATCH($C445,Deals!$A$2:$A$355,0))),""))</f>
        <v/>
      </c>
      <c r="M445" s="22">
        <f>IF($C445="","",IFERROR(IF(INDEX(Deals!$J$2:$J$355,MATCH($C445,Deals!$A$2:$A$355,0))=0,"",INDEX(Deals!$J$2:$J$355,MATCH($C445,Deals!$A$2:$A$355,0))),""))</f>
        <v/>
      </c>
      <c r="N445" s="35">
        <f>IF($L445="",DATE(1900,1,1),$L445)</f>
        <v/>
      </c>
      <c r="O445" s="35">
        <f>IF($M445="",DATE(2100,12,31),$M445)</f>
        <v/>
      </c>
      <c r="P445" s="20" t="inlineStr">
        <is>
          <t>Ongoing</t>
        </is>
      </c>
      <c r="Q445" s="47" t="inlineStr">
        <is>
          <t>Added from Summary tab</t>
        </is>
      </c>
      <c r="R445" s="16">
        <f>IF($C445="","",IFERROR(IF(INDEX(Deals!$U$2:$U$355,MATCH($C445,Deals!$A$2:$A$355,0))=0,"",INDEX(Deals!$U$2:$U$355,MATCH($C445,Deals!$A$2:$A$355,0))),""))</f>
        <v/>
      </c>
      <c r="S445" s="34">
        <f>IFERROR(IF($U445="",1,INDEX(Deals!$V$2:$V$355,MATCH($C445,Deals!$A$2:$A$355,0))),1)</f>
        <v/>
      </c>
      <c r="T445" s="34">
        <f>IFERROR(IF($U445="",1,INDEX(Deals!$W$2:$W$355,MATCH($C445,Deals!$A$2:$A$355,0))),1)</f>
        <v/>
      </c>
      <c r="U445" s="22">
        <f>IF($C445="","",IFERROR(IF(INDEX(Deals!$Y$2:$Y$355,MATCH($C445,Deals!$A$2:$A$355,0))=0,"",INDEX(Deals!$Y$2:$Y$355,MATCH($C445,Deals!$A$2:$A$355,0))),""))</f>
        <v/>
      </c>
      <c r="V445" s="35">
        <f>IF(OR($U445&lt;&gt;"",AND($AO445&gt;0,$L445&lt;&gt;"",$M445&lt;&gt;"")),$N445,DATE(1900,1,1))</f>
        <v/>
      </c>
      <c r="W445" s="35">
        <f>IF($U445&lt;&gt;"",$U445,IF(AND($AO445&gt;0,$L445&lt;&gt;"",$M445&lt;&gt;""),$O445,DATE(2100,12,31)))</f>
        <v/>
      </c>
      <c r="X445" s="32">
        <f>IF($U445="",$K445,$K445*$S445)</f>
        <v/>
      </c>
      <c r="Y445" s="35">
        <f>IF($U445="",DATE(2100,12,31),$U445+1)</f>
        <v/>
      </c>
      <c r="Z445" s="35">
        <f>IF($U445="",DATE(1900,1,1),$O445)</f>
        <v/>
      </c>
      <c r="AA445" s="32">
        <f>IF($U445="",0,$K445*$T445)</f>
        <v/>
      </c>
      <c r="AB445" s="21">
        <f>IF($C445="",0,IFERROR(INDEX(Deals!$AD$2:$AD$355,MATCH($C445,Deals!$A$2:$A$355,0)),0))</f>
        <v/>
      </c>
      <c r="AC445" s="32">
        <f>IF(Settings!$B$4="Yes",$I445*$AB445,$I445)</f>
        <v/>
      </c>
      <c r="AD445" s="22">
        <f>IF($C445="","",IFERROR(IF(INDEX(Deals!$AE$2:$AE$355,MATCH($C445,Deals!$A$2:$A$355,0))=0,"",INDEX(Deals!$AE$2:$AE$355,MATCH($C445,Deals!$A$2:$A$355,0))),""))</f>
        <v/>
      </c>
      <c r="AE445" s="22">
        <f>IF($C445="","",IFERROR(IF(INDEX(Deals!$AF$2:$AF$355,MATCH($C445,Deals!$A$2:$A$355,0))=0,"",INDEX(Deals!$AF$2:$AF$355,MATCH($C445,Deals!$A$2:$A$355,0))),""))</f>
        <v/>
      </c>
      <c r="AF445" s="35">
        <f>IF($AD445="",DATE(1900,1,1),$AD445)</f>
        <v/>
      </c>
      <c r="AG445" s="35">
        <f>IF($AE445="",DATE(2100,12,31),$AE445)</f>
        <v/>
      </c>
      <c r="AH445" s="22">
        <f>IF($C445="","",IFERROR(IF(INDEX(Deals!$AG$2:$AG$355,MATCH($C445,Deals!$A$2:$A$355,0))=0,"",INDEX(Deals!$AG$2:$AG$355,MATCH($C445,Deals!$A$2:$A$355,0))),""))</f>
        <v/>
      </c>
      <c r="AI445" s="35">
        <f>IF(OR($AH445&lt;&gt;"",AND($AO445&gt;0,$AD445&lt;&gt;"",$AE445&lt;&gt;"")),$AF445,DATE(1900,1,1))</f>
        <v/>
      </c>
      <c r="AJ445" s="35">
        <f>IF($AH445&lt;&gt;"",$AH445,IF(AND($AO445&gt;0,$AD445&lt;&gt;"",$AE445&lt;&gt;""),$AG445,DATE(2100,12,31)))</f>
        <v/>
      </c>
      <c r="AK445" s="32">
        <f>IF($AH445="",$AC445,$AC445*$S445)</f>
        <v/>
      </c>
      <c r="AL445" s="35">
        <f>IF($AH445="",DATE(2100,12,31),$AH445+1)</f>
        <v/>
      </c>
      <c r="AM445" s="35">
        <f>IF($AH445="",DATE(1900,1,1),$AG445)</f>
        <v/>
      </c>
      <c r="AN445" s="32">
        <f>IF($AH445="",0,$AC445*$T445)</f>
        <v/>
      </c>
      <c r="AO445" s="46">
        <f>IF($C445="",0,IFERROR(INDEX(Deals!$BD$2:$BD$355,MATCH($C445,Deals!$A$2:$A$355,0)),0))</f>
        <v/>
      </c>
      <c r="AP445" s="18">
        <f>IF($AO445=0,0,IFERROR(INDEX(Deals!$BJ$2:$BP$355,MATCH($C445,Deals!$A$2:$A$355,0),MATCH($F445,Deals!$BJ$1:$BP$1,0))/COUNTIFS(Assignments!$C$2:$C$769,$C445,Assignments!$F$2:$F$769,$F445,Assignments!$G$2:$G$769,"Active"),0))</f>
        <v/>
      </c>
    </row>
    <row r="446">
      <c r="A446" s="28" t="inlineStr">
        <is>
          <t>Nina</t>
        </is>
      </c>
      <c r="B446" s="16">
        <f>IF($A446="","",IFERROR(INDEX(Roster!$B$2:$B$40,MATCH($A446,Roster!$A$2:$A$40,0)),"?"))</f>
        <v/>
      </c>
      <c r="C446" s="28" t="inlineStr">
        <is>
          <t>Cirque</t>
        </is>
      </c>
      <c r="D446" s="16">
        <f>IF($C446="","",IFERROR(IF(INDEX(Deals!$C$2:$C$355,MATCH($C446,Deals!$A$2:$A$355,0))=0,"",INDEX(Deals!$C$2:$C$355,MATCH($C446,Deals!$A$2:$A$355,0))),"?"))</f>
        <v/>
      </c>
      <c r="E446" s="16">
        <f>IF($C446="","",IFERROR(INDEX(Deals!$F$2:$F$355,MATCH($C446,Deals!$A$2:$A$355,0)),"?"))</f>
        <v/>
      </c>
      <c r="F446" s="28" t="inlineStr">
        <is>
          <t>Senior Associate</t>
        </is>
      </c>
      <c r="G446" s="28" t="inlineStr">
        <is>
          <t>Active</t>
        </is>
      </c>
      <c r="H446" s="31" t="n"/>
      <c r="I446" s="32">
        <f>IF(OR($A446="",$G446&lt;&gt;"Active"),0,IF($H446&lt;&gt;"",$H446,IF($AO446&gt;0,$AP446,IF(AND($R446&lt;&gt;"",IFERROR(INDEX(Templates!$B$3:$H$10,MATCH($R446,Templates!$A$3:$A$10,0),MATCH($F446,Templates!$B$2:$H$2,0)),0)&gt;0),INDEX(Templates!$B$3:$H$10,MATCH($R446,Templates!$A$3:$A$10,0),MATCH($F446,Templates!$B$2:$H$2,0)),IFERROR(INDEX(Settings!$B$8:$B$14,MATCH($F446,Settings!$A$8:$A$14,0)),0)))))</f>
        <v/>
      </c>
      <c r="J446" s="21">
        <f>IF($C446="",0,IFERROR(INDEX(Deals!$H$2:$H$355,MATCH($C446,Deals!$A$2:$A$355,0)),0))</f>
        <v/>
      </c>
      <c r="K446" s="32">
        <f>IF(Settings!$B$4="Yes",$I446*$J446,$I446)</f>
        <v/>
      </c>
      <c r="L446" s="22">
        <f>IF($C446="","",IFERROR(IF(INDEX(Deals!$I$2:$I$355,MATCH($C446,Deals!$A$2:$A$355,0))=0,"",INDEX(Deals!$I$2:$I$355,MATCH($C446,Deals!$A$2:$A$355,0))),""))</f>
        <v/>
      </c>
      <c r="M446" s="22">
        <f>IF($C446="","",IFERROR(IF(INDEX(Deals!$J$2:$J$355,MATCH($C446,Deals!$A$2:$A$355,0))=0,"",INDEX(Deals!$J$2:$J$355,MATCH($C446,Deals!$A$2:$A$355,0))),""))</f>
        <v/>
      </c>
      <c r="N446" s="35">
        <f>IF($L446="",DATE(1900,1,1),$L446)</f>
        <v/>
      </c>
      <c r="O446" s="35">
        <f>IF($M446="",DATE(2100,12,31),$M446)</f>
        <v/>
      </c>
      <c r="P446" s="20" t="inlineStr">
        <is>
          <t>Proposal sent</t>
        </is>
      </c>
      <c r="Q446" s="47" t="inlineStr">
        <is>
          <t>Added from Summary tab</t>
        </is>
      </c>
      <c r="R446" s="16">
        <f>IF($C446="","",IFERROR(IF(INDEX(Deals!$U$2:$U$355,MATCH($C446,Deals!$A$2:$A$355,0))=0,"",INDEX(Deals!$U$2:$U$355,MATCH($C446,Deals!$A$2:$A$355,0))),""))</f>
        <v/>
      </c>
      <c r="S446" s="34">
        <f>IFERROR(IF($U446="",1,INDEX(Deals!$V$2:$V$355,MATCH($C446,Deals!$A$2:$A$355,0))),1)</f>
        <v/>
      </c>
      <c r="T446" s="34">
        <f>IFERROR(IF($U446="",1,INDEX(Deals!$W$2:$W$355,MATCH($C446,Deals!$A$2:$A$355,0))),1)</f>
        <v/>
      </c>
      <c r="U446" s="22">
        <f>IF($C446="","",IFERROR(IF(INDEX(Deals!$Y$2:$Y$355,MATCH($C446,Deals!$A$2:$A$355,0))=0,"",INDEX(Deals!$Y$2:$Y$355,MATCH($C446,Deals!$A$2:$A$355,0))),""))</f>
        <v/>
      </c>
      <c r="V446" s="35">
        <f>IF(OR($U446&lt;&gt;"",AND($AO446&gt;0,$L446&lt;&gt;"",$M446&lt;&gt;"")),$N446,DATE(1900,1,1))</f>
        <v/>
      </c>
      <c r="W446" s="35">
        <f>IF($U446&lt;&gt;"",$U446,IF(AND($AO446&gt;0,$L446&lt;&gt;"",$M446&lt;&gt;""),$O446,DATE(2100,12,31)))</f>
        <v/>
      </c>
      <c r="X446" s="32">
        <f>IF($U446="",$K446,$K446*$S446)</f>
        <v/>
      </c>
      <c r="Y446" s="35">
        <f>IF($U446="",DATE(2100,12,31),$U446+1)</f>
        <v/>
      </c>
      <c r="Z446" s="35">
        <f>IF($U446="",DATE(1900,1,1),$O446)</f>
        <v/>
      </c>
      <c r="AA446" s="32">
        <f>IF($U446="",0,$K446*$T446)</f>
        <v/>
      </c>
      <c r="AB446" s="21">
        <f>IF($C446="",0,IFERROR(INDEX(Deals!$AD$2:$AD$355,MATCH($C446,Deals!$A$2:$A$355,0)),0))</f>
        <v/>
      </c>
      <c r="AC446" s="32">
        <f>IF(Settings!$B$4="Yes",$I446*$AB446,$I446)</f>
        <v/>
      </c>
      <c r="AD446" s="22">
        <f>IF($C446="","",IFERROR(IF(INDEX(Deals!$AE$2:$AE$355,MATCH($C446,Deals!$A$2:$A$355,0))=0,"",INDEX(Deals!$AE$2:$AE$355,MATCH($C446,Deals!$A$2:$A$355,0))),""))</f>
        <v/>
      </c>
      <c r="AE446" s="22">
        <f>IF($C446="","",IFERROR(IF(INDEX(Deals!$AF$2:$AF$355,MATCH($C446,Deals!$A$2:$A$355,0))=0,"",INDEX(Deals!$AF$2:$AF$355,MATCH($C446,Deals!$A$2:$A$355,0))),""))</f>
        <v/>
      </c>
      <c r="AF446" s="35">
        <f>IF($AD446="",DATE(1900,1,1),$AD446)</f>
        <v/>
      </c>
      <c r="AG446" s="35">
        <f>IF($AE446="",DATE(2100,12,31),$AE446)</f>
        <v/>
      </c>
      <c r="AH446" s="22">
        <f>IF($C446="","",IFERROR(IF(INDEX(Deals!$AG$2:$AG$355,MATCH($C446,Deals!$A$2:$A$355,0))=0,"",INDEX(Deals!$AG$2:$AG$355,MATCH($C446,Deals!$A$2:$A$355,0))),""))</f>
        <v/>
      </c>
      <c r="AI446" s="35">
        <f>IF(OR($AH446&lt;&gt;"",AND($AO446&gt;0,$AD446&lt;&gt;"",$AE446&lt;&gt;"")),$AF446,DATE(1900,1,1))</f>
        <v/>
      </c>
      <c r="AJ446" s="35">
        <f>IF($AH446&lt;&gt;"",$AH446,IF(AND($AO446&gt;0,$AD446&lt;&gt;"",$AE446&lt;&gt;""),$AG446,DATE(2100,12,31)))</f>
        <v/>
      </c>
      <c r="AK446" s="32">
        <f>IF($AH446="",$AC446,$AC446*$S446)</f>
        <v/>
      </c>
      <c r="AL446" s="35">
        <f>IF($AH446="",DATE(2100,12,31),$AH446+1)</f>
        <v/>
      </c>
      <c r="AM446" s="35">
        <f>IF($AH446="",DATE(1900,1,1),$AG446)</f>
        <v/>
      </c>
      <c r="AN446" s="32">
        <f>IF($AH446="",0,$AC446*$T446)</f>
        <v/>
      </c>
      <c r="AO446" s="46">
        <f>IF($C446="",0,IFERROR(INDEX(Deals!$BD$2:$BD$355,MATCH($C446,Deals!$A$2:$A$355,0)),0))</f>
        <v/>
      </c>
      <c r="AP446" s="18">
        <f>IF($AO446=0,0,IFERROR(INDEX(Deals!$BJ$2:$BP$355,MATCH($C446,Deals!$A$2:$A$355,0),MATCH($F446,Deals!$BJ$1:$BP$1,0))/COUNTIFS(Assignments!$C$2:$C$769,$C446,Assignments!$F$2:$F$769,$F446,Assignments!$G$2:$G$769,"Active"),0))</f>
        <v/>
      </c>
    </row>
    <row r="447">
      <c r="A447" s="28" t="inlineStr">
        <is>
          <t>Nina</t>
        </is>
      </c>
      <c r="B447" s="16">
        <f>IF($A447="","",IFERROR(INDEX(Roster!$B$2:$B$40,MATCH($A447,Roster!$A$2:$A$40,0)),"?"))</f>
        <v/>
      </c>
      <c r="C447" s="28" t="inlineStr">
        <is>
          <t>code not yet requested</t>
        </is>
      </c>
      <c r="D447" s="16">
        <f>IF($C447="","",IFERROR(IF(INDEX(Deals!$C$2:$C$355,MATCH($C447,Deals!$A$2:$A$355,0))=0,"",INDEX(Deals!$C$2:$C$355,MATCH($C447,Deals!$A$2:$A$355,0))),"?"))</f>
        <v/>
      </c>
      <c r="E447" s="16">
        <f>IF($C447="","",IFERROR(INDEX(Deals!$F$2:$F$355,MATCH($C447,Deals!$A$2:$A$355,0)),"?"))</f>
        <v/>
      </c>
      <c r="F447" s="28" t="inlineStr">
        <is>
          <t>Senior Associate</t>
        </is>
      </c>
      <c r="G447" s="28" t="inlineStr">
        <is>
          <t>Active</t>
        </is>
      </c>
      <c r="H447" s="31" t="n"/>
      <c r="I447" s="32">
        <f>IF(OR($A447="",$G447&lt;&gt;"Active"),0,IF($H447&lt;&gt;"",$H447,IF($AO447&gt;0,$AP447,IF(AND($R447&lt;&gt;"",IFERROR(INDEX(Templates!$B$3:$H$10,MATCH($R447,Templates!$A$3:$A$10,0),MATCH($F447,Templates!$B$2:$H$2,0)),0)&gt;0),INDEX(Templates!$B$3:$H$10,MATCH($R447,Templates!$A$3:$A$10,0),MATCH($F447,Templates!$B$2:$H$2,0)),IFERROR(INDEX(Settings!$B$8:$B$14,MATCH($F447,Settings!$A$8:$A$14,0)),0)))))</f>
        <v/>
      </c>
      <c r="J447" s="21">
        <f>IF($C447="",0,IFERROR(INDEX(Deals!$H$2:$H$355,MATCH($C447,Deals!$A$2:$A$355,0)),0))</f>
        <v/>
      </c>
      <c r="K447" s="32">
        <f>IF(Settings!$B$4="Yes",$I447*$J447,$I447)</f>
        <v/>
      </c>
      <c r="L447" s="22">
        <f>IF($C447="","",IFERROR(IF(INDEX(Deals!$I$2:$I$355,MATCH($C447,Deals!$A$2:$A$355,0))=0,"",INDEX(Deals!$I$2:$I$355,MATCH($C447,Deals!$A$2:$A$355,0))),""))</f>
        <v/>
      </c>
      <c r="M447" s="22">
        <f>IF($C447="","",IFERROR(IF(INDEX(Deals!$J$2:$J$355,MATCH($C447,Deals!$A$2:$A$355,0))=0,"",INDEX(Deals!$J$2:$J$355,MATCH($C447,Deals!$A$2:$A$355,0))),""))</f>
        <v/>
      </c>
      <c r="N447" s="35">
        <f>IF($L447="",DATE(1900,1,1),$L447)</f>
        <v/>
      </c>
      <c r="O447" s="35">
        <f>IF($M447="",DATE(2100,12,31),$M447)</f>
        <v/>
      </c>
      <c r="P447" s="20" t="inlineStr">
        <is>
          <t>Proposal</t>
        </is>
      </c>
      <c r="Q447" s="47" t="inlineStr">
        <is>
          <t>Added from Summary tab</t>
        </is>
      </c>
      <c r="R447" s="16">
        <f>IF($C447="","",IFERROR(IF(INDEX(Deals!$U$2:$U$355,MATCH($C447,Deals!$A$2:$A$355,0))=0,"",INDEX(Deals!$U$2:$U$355,MATCH($C447,Deals!$A$2:$A$355,0))),""))</f>
        <v/>
      </c>
      <c r="S447" s="34">
        <f>IFERROR(IF($U447="",1,INDEX(Deals!$V$2:$V$355,MATCH($C447,Deals!$A$2:$A$355,0))),1)</f>
        <v/>
      </c>
      <c r="T447" s="34">
        <f>IFERROR(IF($U447="",1,INDEX(Deals!$W$2:$W$355,MATCH($C447,Deals!$A$2:$A$355,0))),1)</f>
        <v/>
      </c>
      <c r="U447" s="22">
        <f>IF($C447="","",IFERROR(IF(INDEX(Deals!$Y$2:$Y$355,MATCH($C447,Deals!$A$2:$A$355,0))=0,"",INDEX(Deals!$Y$2:$Y$355,MATCH($C447,Deals!$A$2:$A$355,0))),""))</f>
        <v/>
      </c>
      <c r="V447" s="35">
        <f>IF(OR($U447&lt;&gt;"",AND($AO447&gt;0,$L447&lt;&gt;"",$M447&lt;&gt;"")),$N447,DATE(1900,1,1))</f>
        <v/>
      </c>
      <c r="W447" s="35">
        <f>IF($U447&lt;&gt;"",$U447,IF(AND($AO447&gt;0,$L447&lt;&gt;"",$M447&lt;&gt;""),$O447,DATE(2100,12,31)))</f>
        <v/>
      </c>
      <c r="X447" s="32">
        <f>IF($U447="",$K447,$K447*$S447)</f>
        <v/>
      </c>
      <c r="Y447" s="35">
        <f>IF($U447="",DATE(2100,12,31),$U447+1)</f>
        <v/>
      </c>
      <c r="Z447" s="35">
        <f>IF($U447="",DATE(1900,1,1),$O447)</f>
        <v/>
      </c>
      <c r="AA447" s="32">
        <f>IF($U447="",0,$K447*$T447)</f>
        <v/>
      </c>
      <c r="AB447" s="21">
        <f>IF($C447="",0,IFERROR(INDEX(Deals!$AD$2:$AD$355,MATCH($C447,Deals!$A$2:$A$355,0)),0))</f>
        <v/>
      </c>
      <c r="AC447" s="32">
        <f>IF(Settings!$B$4="Yes",$I447*$AB447,$I447)</f>
        <v/>
      </c>
      <c r="AD447" s="22">
        <f>IF($C447="","",IFERROR(IF(INDEX(Deals!$AE$2:$AE$355,MATCH($C447,Deals!$A$2:$A$355,0))=0,"",INDEX(Deals!$AE$2:$AE$355,MATCH($C447,Deals!$A$2:$A$355,0))),""))</f>
        <v/>
      </c>
      <c r="AE447" s="22">
        <f>IF($C447="","",IFERROR(IF(INDEX(Deals!$AF$2:$AF$355,MATCH($C447,Deals!$A$2:$A$355,0))=0,"",INDEX(Deals!$AF$2:$AF$355,MATCH($C447,Deals!$A$2:$A$355,0))),""))</f>
        <v/>
      </c>
      <c r="AF447" s="35">
        <f>IF($AD447="",DATE(1900,1,1),$AD447)</f>
        <v/>
      </c>
      <c r="AG447" s="35">
        <f>IF($AE447="",DATE(2100,12,31),$AE447)</f>
        <v/>
      </c>
      <c r="AH447" s="22">
        <f>IF($C447="","",IFERROR(IF(INDEX(Deals!$AG$2:$AG$355,MATCH($C447,Deals!$A$2:$A$355,0))=0,"",INDEX(Deals!$AG$2:$AG$355,MATCH($C447,Deals!$A$2:$A$355,0))),""))</f>
        <v/>
      </c>
      <c r="AI447" s="35">
        <f>IF(OR($AH447&lt;&gt;"",AND($AO447&gt;0,$AD447&lt;&gt;"",$AE447&lt;&gt;"")),$AF447,DATE(1900,1,1))</f>
        <v/>
      </c>
      <c r="AJ447" s="35">
        <f>IF($AH447&lt;&gt;"",$AH447,IF(AND($AO447&gt;0,$AD447&lt;&gt;"",$AE447&lt;&gt;""),$AG447,DATE(2100,12,31)))</f>
        <v/>
      </c>
      <c r="AK447" s="32">
        <f>IF($AH447="",$AC447,$AC447*$S447)</f>
        <v/>
      </c>
      <c r="AL447" s="35">
        <f>IF($AH447="",DATE(2100,12,31),$AH447+1)</f>
        <v/>
      </c>
      <c r="AM447" s="35">
        <f>IF($AH447="",DATE(1900,1,1),$AG447)</f>
        <v/>
      </c>
      <c r="AN447" s="32">
        <f>IF($AH447="",0,$AC447*$T447)</f>
        <v/>
      </c>
      <c r="AO447" s="46">
        <f>IF($C447="",0,IFERROR(INDEX(Deals!$BD$2:$BD$355,MATCH($C447,Deals!$A$2:$A$355,0)),0))</f>
        <v/>
      </c>
      <c r="AP447" s="18">
        <f>IF($AO447=0,0,IFERROR(INDEX(Deals!$BJ$2:$BP$355,MATCH($C447,Deals!$A$2:$A$355,0),MATCH($F447,Deals!$BJ$1:$BP$1,0))/COUNTIFS(Assignments!$C$2:$C$769,$C447,Assignments!$F$2:$F$769,$F447,Assignments!$G$2:$G$769,"Active"),0))</f>
        <v/>
      </c>
    </row>
    <row r="448">
      <c r="A448" s="28" t="inlineStr">
        <is>
          <t>Nina</t>
        </is>
      </c>
      <c r="B448" s="16">
        <f>IF($A448="","",IFERROR(INDEX(Roster!$B$2:$B$40,MATCH($A448,Roster!$A$2:$A$40,0)),"?"))</f>
        <v/>
      </c>
      <c r="C448" s="28" t="inlineStr">
        <is>
          <t>Denali_3</t>
        </is>
      </c>
      <c r="D448" s="16">
        <f>IF($C448="","",IFERROR(IF(INDEX(Deals!$C$2:$C$355,MATCH($C448,Deals!$A$2:$A$355,0))=0,"",INDEX(Deals!$C$2:$C$355,MATCH($C448,Deals!$A$2:$A$355,0))),"?"))</f>
        <v/>
      </c>
      <c r="E448" s="16">
        <f>IF($C448="","",IFERROR(INDEX(Deals!$F$2:$F$355,MATCH($C448,Deals!$A$2:$A$355,0)),"?"))</f>
        <v/>
      </c>
      <c r="F448" s="28" t="inlineStr">
        <is>
          <t>Senior Associate</t>
        </is>
      </c>
      <c r="G448" s="28" t="inlineStr">
        <is>
          <t>Active</t>
        </is>
      </c>
      <c r="H448" s="31" t="n"/>
      <c r="I448" s="32">
        <f>IF(OR($A448="",$G448&lt;&gt;"Active"),0,IF($H448&lt;&gt;"",$H448,IF($AO448&gt;0,$AP448,IF(AND($R448&lt;&gt;"",IFERROR(INDEX(Templates!$B$3:$H$10,MATCH($R448,Templates!$A$3:$A$10,0),MATCH($F448,Templates!$B$2:$H$2,0)),0)&gt;0),INDEX(Templates!$B$3:$H$10,MATCH($R448,Templates!$A$3:$A$10,0),MATCH($F448,Templates!$B$2:$H$2,0)),IFERROR(INDEX(Settings!$B$8:$B$14,MATCH($F448,Settings!$A$8:$A$14,0)),0)))))</f>
        <v/>
      </c>
      <c r="J448" s="21">
        <f>IF($C448="",0,IFERROR(INDEX(Deals!$H$2:$H$355,MATCH($C448,Deals!$A$2:$A$355,0)),0))</f>
        <v/>
      </c>
      <c r="K448" s="32">
        <f>IF(Settings!$B$4="Yes",$I448*$J448,$I448)</f>
        <v/>
      </c>
      <c r="L448" s="22">
        <f>IF($C448="","",IFERROR(IF(INDEX(Deals!$I$2:$I$355,MATCH($C448,Deals!$A$2:$A$355,0))=0,"",INDEX(Deals!$I$2:$I$355,MATCH($C448,Deals!$A$2:$A$355,0))),""))</f>
        <v/>
      </c>
      <c r="M448" s="22">
        <f>IF($C448="","",IFERROR(IF(INDEX(Deals!$J$2:$J$355,MATCH($C448,Deals!$A$2:$A$355,0))=0,"",INDEX(Deals!$J$2:$J$355,MATCH($C448,Deals!$A$2:$A$355,0))),""))</f>
        <v/>
      </c>
      <c r="N448" s="35">
        <f>IF($L448="",DATE(1900,1,1),$L448)</f>
        <v/>
      </c>
      <c r="O448" s="35">
        <f>IF($M448="",DATE(2100,12,31),$M448)</f>
        <v/>
      </c>
      <c r="P448" s="20" t="inlineStr"/>
      <c r="Q448" s="47" t="inlineStr"/>
      <c r="R448" s="16">
        <f>IF($C448="","",IFERROR(IF(INDEX(Deals!$U$2:$U$355,MATCH($C448,Deals!$A$2:$A$355,0))=0,"",INDEX(Deals!$U$2:$U$355,MATCH($C448,Deals!$A$2:$A$355,0))),""))</f>
        <v/>
      </c>
      <c r="S448" s="34">
        <f>IFERROR(IF($U448="",1,INDEX(Deals!$V$2:$V$355,MATCH($C448,Deals!$A$2:$A$355,0))),1)</f>
        <v/>
      </c>
      <c r="T448" s="34">
        <f>IFERROR(IF($U448="",1,INDEX(Deals!$W$2:$W$355,MATCH($C448,Deals!$A$2:$A$355,0))),1)</f>
        <v/>
      </c>
      <c r="U448" s="22">
        <f>IF($C448="","",IFERROR(IF(INDEX(Deals!$Y$2:$Y$355,MATCH($C448,Deals!$A$2:$A$355,0))=0,"",INDEX(Deals!$Y$2:$Y$355,MATCH($C448,Deals!$A$2:$A$355,0))),""))</f>
        <v/>
      </c>
      <c r="V448" s="35">
        <f>IF(OR($U448&lt;&gt;"",AND($AO448&gt;0,$L448&lt;&gt;"",$M448&lt;&gt;"")),$N448,DATE(1900,1,1))</f>
        <v/>
      </c>
      <c r="W448" s="35">
        <f>IF($U448&lt;&gt;"",$U448,IF(AND($AO448&gt;0,$L448&lt;&gt;"",$M448&lt;&gt;""),$O448,DATE(2100,12,31)))</f>
        <v/>
      </c>
      <c r="X448" s="32">
        <f>IF($U448="",$K448,$K448*$S448)</f>
        <v/>
      </c>
      <c r="Y448" s="35">
        <f>IF($U448="",DATE(2100,12,31),$U448+1)</f>
        <v/>
      </c>
      <c r="Z448" s="35">
        <f>IF($U448="",DATE(1900,1,1),$O448)</f>
        <v/>
      </c>
      <c r="AA448" s="32">
        <f>IF($U448="",0,$K448*$T448)</f>
        <v/>
      </c>
      <c r="AB448" s="21">
        <f>IF($C448="",0,IFERROR(INDEX(Deals!$AD$2:$AD$355,MATCH($C448,Deals!$A$2:$A$355,0)),0))</f>
        <v/>
      </c>
      <c r="AC448" s="32">
        <f>IF(Settings!$B$4="Yes",$I448*$AB448,$I448)</f>
        <v/>
      </c>
      <c r="AD448" s="22">
        <f>IF($C448="","",IFERROR(IF(INDEX(Deals!$AE$2:$AE$355,MATCH($C448,Deals!$A$2:$A$355,0))=0,"",INDEX(Deals!$AE$2:$AE$355,MATCH($C448,Deals!$A$2:$A$355,0))),""))</f>
        <v/>
      </c>
      <c r="AE448" s="22">
        <f>IF($C448="","",IFERROR(IF(INDEX(Deals!$AF$2:$AF$355,MATCH($C448,Deals!$A$2:$A$355,0))=0,"",INDEX(Deals!$AF$2:$AF$355,MATCH($C448,Deals!$A$2:$A$355,0))),""))</f>
        <v/>
      </c>
      <c r="AF448" s="35">
        <f>IF($AD448="",DATE(1900,1,1),$AD448)</f>
        <v/>
      </c>
      <c r="AG448" s="35">
        <f>IF($AE448="",DATE(2100,12,31),$AE448)</f>
        <v/>
      </c>
      <c r="AH448" s="22">
        <f>IF($C448="","",IFERROR(IF(INDEX(Deals!$AG$2:$AG$355,MATCH($C448,Deals!$A$2:$A$355,0))=0,"",INDEX(Deals!$AG$2:$AG$355,MATCH($C448,Deals!$A$2:$A$355,0))),""))</f>
        <v/>
      </c>
      <c r="AI448" s="35">
        <f>IF(OR($AH448&lt;&gt;"",AND($AO448&gt;0,$AD448&lt;&gt;"",$AE448&lt;&gt;"")),$AF448,DATE(1900,1,1))</f>
        <v/>
      </c>
      <c r="AJ448" s="35">
        <f>IF($AH448&lt;&gt;"",$AH448,IF(AND($AO448&gt;0,$AD448&lt;&gt;"",$AE448&lt;&gt;""),$AG448,DATE(2100,12,31)))</f>
        <v/>
      </c>
      <c r="AK448" s="32">
        <f>IF($AH448="",$AC448,$AC448*$S448)</f>
        <v/>
      </c>
      <c r="AL448" s="35">
        <f>IF($AH448="",DATE(2100,12,31),$AH448+1)</f>
        <v/>
      </c>
      <c r="AM448" s="35">
        <f>IF($AH448="",DATE(1900,1,1),$AG448)</f>
        <v/>
      </c>
      <c r="AN448" s="32">
        <f>IF($AH448="",0,$AC448*$T448)</f>
        <v/>
      </c>
      <c r="AO448" s="46">
        <f>IF($C448="",0,IFERROR(INDEX(Deals!$BD$2:$BD$355,MATCH($C448,Deals!$A$2:$A$355,0)),0))</f>
        <v/>
      </c>
      <c r="AP448" s="18">
        <f>IF($AO448=0,0,IFERROR(INDEX(Deals!$BJ$2:$BP$355,MATCH($C448,Deals!$A$2:$A$355,0),MATCH($F448,Deals!$BJ$1:$BP$1,0))/COUNTIFS(Assignments!$C$2:$C$769,$C448,Assignments!$F$2:$F$769,$F448,Assignments!$G$2:$G$769,"Active"),0))</f>
        <v/>
      </c>
    </row>
    <row r="449">
      <c r="A449" s="28" t="inlineStr">
        <is>
          <t>Nina</t>
        </is>
      </c>
      <c r="B449" s="16">
        <f>IF($A449="","",IFERROR(INDEX(Roster!$B$2:$B$40,MATCH($A449,Roster!$A$2:$A$40,0)),"?"))</f>
        <v/>
      </c>
      <c r="C449" s="28" t="inlineStr">
        <is>
          <t>Destiny_1</t>
        </is>
      </c>
      <c r="D449" s="16">
        <f>IF($C449="","",IFERROR(IF(INDEX(Deals!$C$2:$C$355,MATCH($C449,Deals!$A$2:$A$355,0))=0,"",INDEX(Deals!$C$2:$C$355,MATCH($C449,Deals!$A$2:$A$355,0))),"?"))</f>
        <v/>
      </c>
      <c r="E449" s="16">
        <f>IF($C449="","",IFERROR(INDEX(Deals!$F$2:$F$355,MATCH($C449,Deals!$A$2:$A$355,0)),"?"))</f>
        <v/>
      </c>
      <c r="F449" s="28" t="inlineStr">
        <is>
          <t>Senior Associate</t>
        </is>
      </c>
      <c r="G449" s="28" t="inlineStr">
        <is>
          <t>Active</t>
        </is>
      </c>
      <c r="H449" s="31" t="n"/>
      <c r="I449" s="32">
        <f>IF(OR($A449="",$G449&lt;&gt;"Active"),0,IF($H449&lt;&gt;"",$H449,IF($AO449&gt;0,$AP449,IF(AND($R449&lt;&gt;"",IFERROR(INDEX(Templates!$B$3:$H$10,MATCH($R449,Templates!$A$3:$A$10,0),MATCH($F449,Templates!$B$2:$H$2,0)),0)&gt;0),INDEX(Templates!$B$3:$H$10,MATCH($R449,Templates!$A$3:$A$10,0),MATCH($F449,Templates!$B$2:$H$2,0)),IFERROR(INDEX(Settings!$B$8:$B$14,MATCH($F449,Settings!$A$8:$A$14,0)),0)))))</f>
        <v/>
      </c>
      <c r="J449" s="21">
        <f>IF($C449="",0,IFERROR(INDEX(Deals!$H$2:$H$355,MATCH($C449,Deals!$A$2:$A$355,0)),0))</f>
        <v/>
      </c>
      <c r="K449" s="32">
        <f>IF(Settings!$B$4="Yes",$I449*$J449,$I449)</f>
        <v/>
      </c>
      <c r="L449" s="22">
        <f>IF($C449="","",IFERROR(IF(INDEX(Deals!$I$2:$I$355,MATCH($C449,Deals!$A$2:$A$355,0))=0,"",INDEX(Deals!$I$2:$I$355,MATCH($C449,Deals!$A$2:$A$355,0))),""))</f>
        <v/>
      </c>
      <c r="M449" s="22">
        <f>IF($C449="","",IFERROR(IF(INDEX(Deals!$J$2:$J$355,MATCH($C449,Deals!$A$2:$A$355,0))=0,"",INDEX(Deals!$J$2:$J$355,MATCH($C449,Deals!$A$2:$A$355,0))),""))</f>
        <v/>
      </c>
      <c r="N449" s="35">
        <f>IF($L449="",DATE(1900,1,1),$L449)</f>
        <v/>
      </c>
      <c r="O449" s="35">
        <f>IF($M449="",DATE(2100,12,31),$M449)</f>
        <v/>
      </c>
      <c r="P449" s="20" t="inlineStr"/>
      <c r="Q449" s="47" t="inlineStr"/>
      <c r="R449" s="16">
        <f>IF($C449="","",IFERROR(IF(INDEX(Deals!$U$2:$U$355,MATCH($C449,Deals!$A$2:$A$355,0))=0,"",INDEX(Deals!$U$2:$U$355,MATCH($C449,Deals!$A$2:$A$355,0))),""))</f>
        <v/>
      </c>
      <c r="S449" s="34">
        <f>IFERROR(IF($U449="",1,INDEX(Deals!$V$2:$V$355,MATCH($C449,Deals!$A$2:$A$355,0))),1)</f>
        <v/>
      </c>
      <c r="T449" s="34">
        <f>IFERROR(IF($U449="",1,INDEX(Deals!$W$2:$W$355,MATCH($C449,Deals!$A$2:$A$355,0))),1)</f>
        <v/>
      </c>
      <c r="U449" s="22">
        <f>IF($C449="","",IFERROR(IF(INDEX(Deals!$Y$2:$Y$355,MATCH($C449,Deals!$A$2:$A$355,0))=0,"",INDEX(Deals!$Y$2:$Y$355,MATCH($C449,Deals!$A$2:$A$355,0))),""))</f>
        <v/>
      </c>
      <c r="V449" s="35">
        <f>IF(OR($U449&lt;&gt;"",AND($AO449&gt;0,$L449&lt;&gt;"",$M449&lt;&gt;"")),$N449,DATE(1900,1,1))</f>
        <v/>
      </c>
      <c r="W449" s="35">
        <f>IF($U449&lt;&gt;"",$U449,IF(AND($AO449&gt;0,$L449&lt;&gt;"",$M449&lt;&gt;""),$O449,DATE(2100,12,31)))</f>
        <v/>
      </c>
      <c r="X449" s="32">
        <f>IF($U449="",$K449,$K449*$S449)</f>
        <v/>
      </c>
      <c r="Y449" s="35">
        <f>IF($U449="",DATE(2100,12,31),$U449+1)</f>
        <v/>
      </c>
      <c r="Z449" s="35">
        <f>IF($U449="",DATE(1900,1,1),$O449)</f>
        <v/>
      </c>
      <c r="AA449" s="32">
        <f>IF($U449="",0,$K449*$T449)</f>
        <v/>
      </c>
      <c r="AB449" s="21">
        <f>IF($C449="",0,IFERROR(INDEX(Deals!$AD$2:$AD$355,MATCH($C449,Deals!$A$2:$A$355,0)),0))</f>
        <v/>
      </c>
      <c r="AC449" s="32">
        <f>IF(Settings!$B$4="Yes",$I449*$AB449,$I449)</f>
        <v/>
      </c>
      <c r="AD449" s="22">
        <f>IF($C449="","",IFERROR(IF(INDEX(Deals!$AE$2:$AE$355,MATCH($C449,Deals!$A$2:$A$355,0))=0,"",INDEX(Deals!$AE$2:$AE$355,MATCH($C449,Deals!$A$2:$A$355,0))),""))</f>
        <v/>
      </c>
      <c r="AE449" s="22">
        <f>IF($C449="","",IFERROR(IF(INDEX(Deals!$AF$2:$AF$355,MATCH($C449,Deals!$A$2:$A$355,0))=0,"",INDEX(Deals!$AF$2:$AF$355,MATCH($C449,Deals!$A$2:$A$355,0))),""))</f>
        <v/>
      </c>
      <c r="AF449" s="35">
        <f>IF($AD449="",DATE(1900,1,1),$AD449)</f>
        <v/>
      </c>
      <c r="AG449" s="35">
        <f>IF($AE449="",DATE(2100,12,31),$AE449)</f>
        <v/>
      </c>
      <c r="AH449" s="22">
        <f>IF($C449="","",IFERROR(IF(INDEX(Deals!$AG$2:$AG$355,MATCH($C449,Deals!$A$2:$A$355,0))=0,"",INDEX(Deals!$AG$2:$AG$355,MATCH($C449,Deals!$A$2:$A$355,0))),""))</f>
        <v/>
      </c>
      <c r="AI449" s="35">
        <f>IF(OR($AH449&lt;&gt;"",AND($AO449&gt;0,$AD449&lt;&gt;"",$AE449&lt;&gt;"")),$AF449,DATE(1900,1,1))</f>
        <v/>
      </c>
      <c r="AJ449" s="35">
        <f>IF($AH449&lt;&gt;"",$AH449,IF(AND($AO449&gt;0,$AD449&lt;&gt;"",$AE449&lt;&gt;""),$AG449,DATE(2100,12,31)))</f>
        <v/>
      </c>
      <c r="AK449" s="32">
        <f>IF($AH449="",$AC449,$AC449*$S449)</f>
        <v/>
      </c>
      <c r="AL449" s="35">
        <f>IF($AH449="",DATE(2100,12,31),$AH449+1)</f>
        <v/>
      </c>
      <c r="AM449" s="35">
        <f>IF($AH449="",DATE(1900,1,1),$AG449)</f>
        <v/>
      </c>
      <c r="AN449" s="32">
        <f>IF($AH449="",0,$AC449*$T449)</f>
        <v/>
      </c>
      <c r="AO449" s="46">
        <f>IF($C449="",0,IFERROR(INDEX(Deals!$BD$2:$BD$355,MATCH($C449,Deals!$A$2:$A$355,0)),0))</f>
        <v/>
      </c>
      <c r="AP449" s="18">
        <f>IF($AO449=0,0,IFERROR(INDEX(Deals!$BJ$2:$BP$355,MATCH($C449,Deals!$A$2:$A$355,0),MATCH($F449,Deals!$BJ$1:$BP$1,0))/COUNTIFS(Assignments!$C$2:$C$769,$C449,Assignments!$F$2:$F$769,$F449,Assignments!$G$2:$G$769,"Active"),0))</f>
        <v/>
      </c>
    </row>
    <row r="450">
      <c r="A450" s="28" t="inlineStr">
        <is>
          <t>Nina</t>
        </is>
      </c>
      <c r="B450" s="16">
        <f>IF($A450="","",IFERROR(INDEX(Roster!$B$2:$B$40,MATCH($A450,Roster!$A$2:$A$40,0)),"?"))</f>
        <v/>
      </c>
      <c r="C450" s="28" t="inlineStr">
        <is>
          <t>Eagle_5</t>
        </is>
      </c>
      <c r="D450" s="16">
        <f>IF($C450="","",IFERROR(IF(INDEX(Deals!$C$2:$C$355,MATCH($C450,Deals!$A$2:$A$355,0))=0,"",INDEX(Deals!$C$2:$C$355,MATCH($C450,Deals!$A$2:$A$355,0))),"?"))</f>
        <v/>
      </c>
      <c r="E450" s="16">
        <f>IF($C450="","",IFERROR(INDEX(Deals!$F$2:$F$355,MATCH($C450,Deals!$A$2:$A$355,0)),"?"))</f>
        <v/>
      </c>
      <c r="F450" s="28" t="inlineStr">
        <is>
          <t>Senior Associate</t>
        </is>
      </c>
      <c r="G450" s="28" t="inlineStr">
        <is>
          <t>Active</t>
        </is>
      </c>
      <c r="H450" s="31" t="n"/>
      <c r="I450" s="32">
        <f>IF(OR($A450="",$G450&lt;&gt;"Active"),0,IF($H450&lt;&gt;"",$H450,IF($AO450&gt;0,$AP450,IF(AND($R450&lt;&gt;"",IFERROR(INDEX(Templates!$B$3:$H$10,MATCH($R450,Templates!$A$3:$A$10,0),MATCH($F450,Templates!$B$2:$H$2,0)),0)&gt;0),INDEX(Templates!$B$3:$H$10,MATCH($R450,Templates!$A$3:$A$10,0),MATCH($F450,Templates!$B$2:$H$2,0)),IFERROR(INDEX(Settings!$B$8:$B$14,MATCH($F450,Settings!$A$8:$A$14,0)),0)))))</f>
        <v/>
      </c>
      <c r="J450" s="21">
        <f>IF($C450="",0,IFERROR(INDEX(Deals!$H$2:$H$355,MATCH($C450,Deals!$A$2:$A$355,0)),0))</f>
        <v/>
      </c>
      <c r="K450" s="32">
        <f>IF(Settings!$B$4="Yes",$I450*$J450,$I450)</f>
        <v/>
      </c>
      <c r="L450" s="22">
        <f>IF($C450="","",IFERROR(IF(INDEX(Deals!$I$2:$I$355,MATCH($C450,Deals!$A$2:$A$355,0))=0,"",INDEX(Deals!$I$2:$I$355,MATCH($C450,Deals!$A$2:$A$355,0))),""))</f>
        <v/>
      </c>
      <c r="M450" s="22">
        <f>IF($C450="","",IFERROR(IF(INDEX(Deals!$J$2:$J$355,MATCH($C450,Deals!$A$2:$A$355,0))=0,"",INDEX(Deals!$J$2:$J$355,MATCH($C450,Deals!$A$2:$A$355,0))),""))</f>
        <v/>
      </c>
      <c r="N450" s="35">
        <f>IF($L450="",DATE(1900,1,1),$L450)</f>
        <v/>
      </c>
      <c r="O450" s="35">
        <f>IF($M450="",DATE(2100,12,31),$M450)</f>
        <v/>
      </c>
      <c r="P450" s="20" t="inlineStr">
        <is>
          <t>Ongoing</t>
        </is>
      </c>
      <c r="Q450" s="47" t="inlineStr"/>
      <c r="R450" s="16">
        <f>IF($C450="","",IFERROR(IF(INDEX(Deals!$U$2:$U$355,MATCH($C450,Deals!$A$2:$A$355,0))=0,"",INDEX(Deals!$U$2:$U$355,MATCH($C450,Deals!$A$2:$A$355,0))),""))</f>
        <v/>
      </c>
      <c r="S450" s="34">
        <f>IFERROR(IF($U450="",1,INDEX(Deals!$V$2:$V$355,MATCH($C450,Deals!$A$2:$A$355,0))),1)</f>
        <v/>
      </c>
      <c r="T450" s="34">
        <f>IFERROR(IF($U450="",1,INDEX(Deals!$W$2:$W$355,MATCH($C450,Deals!$A$2:$A$355,0))),1)</f>
        <v/>
      </c>
      <c r="U450" s="22">
        <f>IF($C450="","",IFERROR(IF(INDEX(Deals!$Y$2:$Y$355,MATCH($C450,Deals!$A$2:$A$355,0))=0,"",INDEX(Deals!$Y$2:$Y$355,MATCH($C450,Deals!$A$2:$A$355,0))),""))</f>
        <v/>
      </c>
      <c r="V450" s="35">
        <f>IF(OR($U450&lt;&gt;"",AND($AO450&gt;0,$L450&lt;&gt;"",$M450&lt;&gt;"")),$N450,DATE(1900,1,1))</f>
        <v/>
      </c>
      <c r="W450" s="35">
        <f>IF($U450&lt;&gt;"",$U450,IF(AND($AO450&gt;0,$L450&lt;&gt;"",$M450&lt;&gt;""),$O450,DATE(2100,12,31)))</f>
        <v/>
      </c>
      <c r="X450" s="32">
        <f>IF($U450="",$K450,$K450*$S450)</f>
        <v/>
      </c>
      <c r="Y450" s="35">
        <f>IF($U450="",DATE(2100,12,31),$U450+1)</f>
        <v/>
      </c>
      <c r="Z450" s="35">
        <f>IF($U450="",DATE(1900,1,1),$O450)</f>
        <v/>
      </c>
      <c r="AA450" s="32">
        <f>IF($U450="",0,$K450*$T450)</f>
        <v/>
      </c>
      <c r="AB450" s="21">
        <f>IF($C450="",0,IFERROR(INDEX(Deals!$AD$2:$AD$355,MATCH($C450,Deals!$A$2:$A$355,0)),0))</f>
        <v/>
      </c>
      <c r="AC450" s="32">
        <f>IF(Settings!$B$4="Yes",$I450*$AB450,$I450)</f>
        <v/>
      </c>
      <c r="AD450" s="22">
        <f>IF($C450="","",IFERROR(IF(INDEX(Deals!$AE$2:$AE$355,MATCH($C450,Deals!$A$2:$A$355,0))=0,"",INDEX(Deals!$AE$2:$AE$355,MATCH($C450,Deals!$A$2:$A$355,0))),""))</f>
        <v/>
      </c>
      <c r="AE450" s="22">
        <f>IF($C450="","",IFERROR(IF(INDEX(Deals!$AF$2:$AF$355,MATCH($C450,Deals!$A$2:$A$355,0))=0,"",INDEX(Deals!$AF$2:$AF$355,MATCH($C450,Deals!$A$2:$A$355,0))),""))</f>
        <v/>
      </c>
      <c r="AF450" s="35">
        <f>IF($AD450="",DATE(1900,1,1),$AD450)</f>
        <v/>
      </c>
      <c r="AG450" s="35">
        <f>IF($AE450="",DATE(2100,12,31),$AE450)</f>
        <v/>
      </c>
      <c r="AH450" s="22">
        <f>IF($C450="","",IFERROR(IF(INDEX(Deals!$AG$2:$AG$355,MATCH($C450,Deals!$A$2:$A$355,0))=0,"",INDEX(Deals!$AG$2:$AG$355,MATCH($C450,Deals!$A$2:$A$355,0))),""))</f>
        <v/>
      </c>
      <c r="AI450" s="35">
        <f>IF(OR($AH450&lt;&gt;"",AND($AO450&gt;0,$AD450&lt;&gt;"",$AE450&lt;&gt;"")),$AF450,DATE(1900,1,1))</f>
        <v/>
      </c>
      <c r="AJ450" s="35">
        <f>IF($AH450&lt;&gt;"",$AH450,IF(AND($AO450&gt;0,$AD450&lt;&gt;"",$AE450&lt;&gt;""),$AG450,DATE(2100,12,31)))</f>
        <v/>
      </c>
      <c r="AK450" s="32">
        <f>IF($AH450="",$AC450,$AC450*$S450)</f>
        <v/>
      </c>
      <c r="AL450" s="35">
        <f>IF($AH450="",DATE(2100,12,31),$AH450+1)</f>
        <v/>
      </c>
      <c r="AM450" s="35">
        <f>IF($AH450="",DATE(1900,1,1),$AG450)</f>
        <v/>
      </c>
      <c r="AN450" s="32">
        <f>IF($AH450="",0,$AC450*$T450)</f>
        <v/>
      </c>
      <c r="AO450" s="46">
        <f>IF($C450="",0,IFERROR(INDEX(Deals!$BD$2:$BD$355,MATCH($C450,Deals!$A$2:$A$355,0)),0))</f>
        <v/>
      </c>
      <c r="AP450" s="18">
        <f>IF($AO450=0,0,IFERROR(INDEX(Deals!$BJ$2:$BP$355,MATCH($C450,Deals!$A$2:$A$355,0),MATCH($F450,Deals!$BJ$1:$BP$1,0))/COUNTIFS(Assignments!$C$2:$C$769,$C450,Assignments!$F$2:$F$769,$F450,Assignments!$G$2:$G$769,"Active"),0))</f>
        <v/>
      </c>
    </row>
    <row r="451">
      <c r="A451" s="28" t="inlineStr">
        <is>
          <t>Nina</t>
        </is>
      </c>
      <c r="B451" s="16">
        <f>IF($A451="","",IFERROR(INDEX(Roster!$B$2:$B$40,MATCH($A451,Roster!$A$2:$A$40,0)),"?"))</f>
        <v/>
      </c>
      <c r="C451" s="28" t="inlineStr">
        <is>
          <t>Earthshine_2</t>
        </is>
      </c>
      <c r="D451" s="16">
        <f>IF($C451="","",IFERROR(IF(INDEX(Deals!$C$2:$C$355,MATCH($C451,Deals!$A$2:$A$355,0))=0,"",INDEX(Deals!$C$2:$C$355,MATCH($C451,Deals!$A$2:$A$355,0))),"?"))</f>
        <v/>
      </c>
      <c r="E451" s="16">
        <f>IF($C451="","",IFERROR(INDEX(Deals!$F$2:$F$355,MATCH($C451,Deals!$A$2:$A$355,0)),"?"))</f>
        <v/>
      </c>
      <c r="F451" s="28" t="inlineStr">
        <is>
          <t>Senior Associate</t>
        </is>
      </c>
      <c r="G451" s="28" t="inlineStr">
        <is>
          <t>Active</t>
        </is>
      </c>
      <c r="H451" s="31" t="n"/>
      <c r="I451" s="32">
        <f>IF(OR($A451="",$G451&lt;&gt;"Active"),0,IF($H451&lt;&gt;"",$H451,IF($AO451&gt;0,$AP451,IF(AND($R451&lt;&gt;"",IFERROR(INDEX(Templates!$B$3:$H$10,MATCH($R451,Templates!$A$3:$A$10,0),MATCH($F451,Templates!$B$2:$H$2,0)),0)&gt;0),INDEX(Templates!$B$3:$H$10,MATCH($R451,Templates!$A$3:$A$10,0),MATCH($F451,Templates!$B$2:$H$2,0)),IFERROR(INDEX(Settings!$B$8:$B$14,MATCH($F451,Settings!$A$8:$A$14,0)),0)))))</f>
        <v/>
      </c>
      <c r="J451" s="21">
        <f>IF($C451="",0,IFERROR(INDEX(Deals!$H$2:$H$355,MATCH($C451,Deals!$A$2:$A$355,0)),0))</f>
        <v/>
      </c>
      <c r="K451" s="32">
        <f>IF(Settings!$B$4="Yes",$I451*$J451,$I451)</f>
        <v/>
      </c>
      <c r="L451" s="22">
        <f>IF($C451="","",IFERROR(IF(INDEX(Deals!$I$2:$I$355,MATCH($C451,Deals!$A$2:$A$355,0))=0,"",INDEX(Deals!$I$2:$I$355,MATCH($C451,Deals!$A$2:$A$355,0))),""))</f>
        <v/>
      </c>
      <c r="M451" s="22">
        <f>IF($C451="","",IFERROR(IF(INDEX(Deals!$J$2:$J$355,MATCH($C451,Deals!$A$2:$A$355,0))=0,"",INDEX(Deals!$J$2:$J$355,MATCH($C451,Deals!$A$2:$A$355,0))),""))</f>
        <v/>
      </c>
      <c r="N451" s="35">
        <f>IF($L451="",DATE(1900,1,1),$L451)</f>
        <v/>
      </c>
      <c r="O451" s="35">
        <f>IF($M451="",DATE(2100,12,31),$M451)</f>
        <v/>
      </c>
      <c r="P451" s="20" t="inlineStr"/>
      <c r="Q451" s="47" t="inlineStr"/>
      <c r="R451" s="16">
        <f>IF($C451="","",IFERROR(IF(INDEX(Deals!$U$2:$U$355,MATCH($C451,Deals!$A$2:$A$355,0))=0,"",INDEX(Deals!$U$2:$U$355,MATCH($C451,Deals!$A$2:$A$355,0))),""))</f>
        <v/>
      </c>
      <c r="S451" s="34">
        <f>IFERROR(IF($U451="",1,INDEX(Deals!$V$2:$V$355,MATCH($C451,Deals!$A$2:$A$355,0))),1)</f>
        <v/>
      </c>
      <c r="T451" s="34">
        <f>IFERROR(IF($U451="",1,INDEX(Deals!$W$2:$W$355,MATCH($C451,Deals!$A$2:$A$355,0))),1)</f>
        <v/>
      </c>
      <c r="U451" s="22">
        <f>IF($C451="","",IFERROR(IF(INDEX(Deals!$Y$2:$Y$355,MATCH($C451,Deals!$A$2:$A$355,0))=0,"",INDEX(Deals!$Y$2:$Y$355,MATCH($C451,Deals!$A$2:$A$355,0))),""))</f>
        <v/>
      </c>
      <c r="V451" s="35">
        <f>IF(OR($U451&lt;&gt;"",AND($AO451&gt;0,$L451&lt;&gt;"",$M451&lt;&gt;"")),$N451,DATE(1900,1,1))</f>
        <v/>
      </c>
      <c r="W451" s="35">
        <f>IF($U451&lt;&gt;"",$U451,IF(AND($AO451&gt;0,$L451&lt;&gt;"",$M451&lt;&gt;""),$O451,DATE(2100,12,31)))</f>
        <v/>
      </c>
      <c r="X451" s="32">
        <f>IF($U451="",$K451,$K451*$S451)</f>
        <v/>
      </c>
      <c r="Y451" s="35">
        <f>IF($U451="",DATE(2100,12,31),$U451+1)</f>
        <v/>
      </c>
      <c r="Z451" s="35">
        <f>IF($U451="",DATE(1900,1,1),$O451)</f>
        <v/>
      </c>
      <c r="AA451" s="32">
        <f>IF($U451="",0,$K451*$T451)</f>
        <v/>
      </c>
      <c r="AB451" s="21">
        <f>IF($C451="",0,IFERROR(INDEX(Deals!$AD$2:$AD$355,MATCH($C451,Deals!$A$2:$A$355,0)),0))</f>
        <v/>
      </c>
      <c r="AC451" s="32">
        <f>IF(Settings!$B$4="Yes",$I451*$AB451,$I451)</f>
        <v/>
      </c>
      <c r="AD451" s="22">
        <f>IF($C451="","",IFERROR(IF(INDEX(Deals!$AE$2:$AE$355,MATCH($C451,Deals!$A$2:$A$355,0))=0,"",INDEX(Deals!$AE$2:$AE$355,MATCH($C451,Deals!$A$2:$A$355,0))),""))</f>
        <v/>
      </c>
      <c r="AE451" s="22">
        <f>IF($C451="","",IFERROR(IF(INDEX(Deals!$AF$2:$AF$355,MATCH($C451,Deals!$A$2:$A$355,0))=0,"",INDEX(Deals!$AF$2:$AF$355,MATCH($C451,Deals!$A$2:$A$355,0))),""))</f>
        <v/>
      </c>
      <c r="AF451" s="35">
        <f>IF($AD451="",DATE(1900,1,1),$AD451)</f>
        <v/>
      </c>
      <c r="AG451" s="35">
        <f>IF($AE451="",DATE(2100,12,31),$AE451)</f>
        <v/>
      </c>
      <c r="AH451" s="22">
        <f>IF($C451="","",IFERROR(IF(INDEX(Deals!$AG$2:$AG$355,MATCH($C451,Deals!$A$2:$A$355,0))=0,"",INDEX(Deals!$AG$2:$AG$355,MATCH($C451,Deals!$A$2:$A$355,0))),""))</f>
        <v/>
      </c>
      <c r="AI451" s="35">
        <f>IF(OR($AH451&lt;&gt;"",AND($AO451&gt;0,$AD451&lt;&gt;"",$AE451&lt;&gt;"")),$AF451,DATE(1900,1,1))</f>
        <v/>
      </c>
      <c r="AJ451" s="35">
        <f>IF($AH451&lt;&gt;"",$AH451,IF(AND($AO451&gt;0,$AD451&lt;&gt;"",$AE451&lt;&gt;""),$AG451,DATE(2100,12,31)))</f>
        <v/>
      </c>
      <c r="AK451" s="32">
        <f>IF($AH451="",$AC451,$AC451*$S451)</f>
        <v/>
      </c>
      <c r="AL451" s="35">
        <f>IF($AH451="",DATE(2100,12,31),$AH451+1)</f>
        <v/>
      </c>
      <c r="AM451" s="35">
        <f>IF($AH451="",DATE(1900,1,1),$AG451)</f>
        <v/>
      </c>
      <c r="AN451" s="32">
        <f>IF($AH451="",0,$AC451*$T451)</f>
        <v/>
      </c>
      <c r="AO451" s="46">
        <f>IF($C451="",0,IFERROR(INDEX(Deals!$BD$2:$BD$355,MATCH($C451,Deals!$A$2:$A$355,0)),0))</f>
        <v/>
      </c>
      <c r="AP451" s="18">
        <f>IF($AO451=0,0,IFERROR(INDEX(Deals!$BJ$2:$BP$355,MATCH($C451,Deals!$A$2:$A$355,0),MATCH($F451,Deals!$BJ$1:$BP$1,0))/COUNTIFS(Assignments!$C$2:$C$769,$C451,Assignments!$F$2:$F$769,$F451,Assignments!$G$2:$G$769,"Active"),0))</f>
        <v/>
      </c>
    </row>
    <row r="452">
      <c r="A452" s="28" t="inlineStr">
        <is>
          <t>Nina</t>
        </is>
      </c>
      <c r="B452" s="16">
        <f>IF($A452="","",IFERROR(INDEX(Roster!$B$2:$B$40,MATCH($A452,Roster!$A$2:$A$40,0)),"?"))</f>
        <v/>
      </c>
      <c r="C452" s="28" t="inlineStr">
        <is>
          <t>Elm_2</t>
        </is>
      </c>
      <c r="D452" s="16">
        <f>IF($C452="","",IFERROR(IF(INDEX(Deals!$C$2:$C$355,MATCH($C452,Deals!$A$2:$A$355,0))=0,"",INDEX(Deals!$C$2:$C$355,MATCH($C452,Deals!$A$2:$A$355,0))),"?"))</f>
        <v/>
      </c>
      <c r="E452" s="16">
        <f>IF($C452="","",IFERROR(INDEX(Deals!$F$2:$F$355,MATCH($C452,Deals!$A$2:$A$355,0)),"?"))</f>
        <v/>
      </c>
      <c r="F452" s="28" t="inlineStr">
        <is>
          <t>Senior Associate</t>
        </is>
      </c>
      <c r="G452" s="28" t="inlineStr">
        <is>
          <t>Active</t>
        </is>
      </c>
      <c r="H452" s="31" t="n"/>
      <c r="I452" s="32">
        <f>IF(OR($A452="",$G452&lt;&gt;"Active"),0,IF($H452&lt;&gt;"",$H452,IF($AO452&gt;0,$AP452,IF(AND($R452&lt;&gt;"",IFERROR(INDEX(Templates!$B$3:$H$10,MATCH($R452,Templates!$A$3:$A$10,0),MATCH($F452,Templates!$B$2:$H$2,0)),0)&gt;0),INDEX(Templates!$B$3:$H$10,MATCH($R452,Templates!$A$3:$A$10,0),MATCH($F452,Templates!$B$2:$H$2,0)),IFERROR(INDEX(Settings!$B$8:$B$14,MATCH($F452,Settings!$A$8:$A$14,0)),0)))))</f>
        <v/>
      </c>
      <c r="J452" s="21">
        <f>IF($C452="",0,IFERROR(INDEX(Deals!$H$2:$H$355,MATCH($C452,Deals!$A$2:$A$355,0)),0))</f>
        <v/>
      </c>
      <c r="K452" s="32">
        <f>IF(Settings!$B$4="Yes",$I452*$J452,$I452)</f>
        <v/>
      </c>
      <c r="L452" s="22">
        <f>IF($C452="","",IFERROR(IF(INDEX(Deals!$I$2:$I$355,MATCH($C452,Deals!$A$2:$A$355,0))=0,"",INDEX(Deals!$I$2:$I$355,MATCH($C452,Deals!$A$2:$A$355,0))),""))</f>
        <v/>
      </c>
      <c r="M452" s="22">
        <f>IF($C452="","",IFERROR(IF(INDEX(Deals!$J$2:$J$355,MATCH($C452,Deals!$A$2:$A$355,0))=0,"",INDEX(Deals!$J$2:$J$355,MATCH($C452,Deals!$A$2:$A$355,0))),""))</f>
        <v/>
      </c>
      <c r="N452" s="35">
        <f>IF($L452="",DATE(1900,1,1),$L452)</f>
        <v/>
      </c>
      <c r="O452" s="35">
        <f>IF($M452="",DATE(2100,12,31),$M452)</f>
        <v/>
      </c>
      <c r="P452" s="20" t="inlineStr">
        <is>
          <t>Ongoing</t>
        </is>
      </c>
      <c r="Q452" s="47" t="inlineStr"/>
      <c r="R452" s="16">
        <f>IF($C452="","",IFERROR(IF(INDEX(Deals!$U$2:$U$355,MATCH($C452,Deals!$A$2:$A$355,0))=0,"",INDEX(Deals!$U$2:$U$355,MATCH($C452,Deals!$A$2:$A$355,0))),""))</f>
        <v/>
      </c>
      <c r="S452" s="34">
        <f>IFERROR(IF($U452="",1,INDEX(Deals!$V$2:$V$355,MATCH($C452,Deals!$A$2:$A$355,0))),1)</f>
        <v/>
      </c>
      <c r="T452" s="34">
        <f>IFERROR(IF($U452="",1,INDEX(Deals!$W$2:$W$355,MATCH($C452,Deals!$A$2:$A$355,0))),1)</f>
        <v/>
      </c>
      <c r="U452" s="22">
        <f>IF($C452="","",IFERROR(IF(INDEX(Deals!$Y$2:$Y$355,MATCH($C452,Deals!$A$2:$A$355,0))=0,"",INDEX(Deals!$Y$2:$Y$355,MATCH($C452,Deals!$A$2:$A$355,0))),""))</f>
        <v/>
      </c>
      <c r="V452" s="35">
        <f>IF(OR($U452&lt;&gt;"",AND($AO452&gt;0,$L452&lt;&gt;"",$M452&lt;&gt;"")),$N452,DATE(1900,1,1))</f>
        <v/>
      </c>
      <c r="W452" s="35">
        <f>IF($U452&lt;&gt;"",$U452,IF(AND($AO452&gt;0,$L452&lt;&gt;"",$M452&lt;&gt;""),$O452,DATE(2100,12,31)))</f>
        <v/>
      </c>
      <c r="X452" s="32">
        <f>IF($U452="",$K452,$K452*$S452)</f>
        <v/>
      </c>
      <c r="Y452" s="35">
        <f>IF($U452="",DATE(2100,12,31),$U452+1)</f>
        <v/>
      </c>
      <c r="Z452" s="35">
        <f>IF($U452="",DATE(1900,1,1),$O452)</f>
        <v/>
      </c>
      <c r="AA452" s="32">
        <f>IF($U452="",0,$K452*$T452)</f>
        <v/>
      </c>
      <c r="AB452" s="21">
        <f>IF($C452="",0,IFERROR(INDEX(Deals!$AD$2:$AD$355,MATCH($C452,Deals!$A$2:$A$355,0)),0))</f>
        <v/>
      </c>
      <c r="AC452" s="32">
        <f>IF(Settings!$B$4="Yes",$I452*$AB452,$I452)</f>
        <v/>
      </c>
      <c r="AD452" s="22">
        <f>IF($C452="","",IFERROR(IF(INDEX(Deals!$AE$2:$AE$355,MATCH($C452,Deals!$A$2:$A$355,0))=0,"",INDEX(Deals!$AE$2:$AE$355,MATCH($C452,Deals!$A$2:$A$355,0))),""))</f>
        <v/>
      </c>
      <c r="AE452" s="22">
        <f>IF($C452="","",IFERROR(IF(INDEX(Deals!$AF$2:$AF$355,MATCH($C452,Deals!$A$2:$A$355,0))=0,"",INDEX(Deals!$AF$2:$AF$355,MATCH($C452,Deals!$A$2:$A$355,0))),""))</f>
        <v/>
      </c>
      <c r="AF452" s="35">
        <f>IF($AD452="",DATE(1900,1,1),$AD452)</f>
        <v/>
      </c>
      <c r="AG452" s="35">
        <f>IF($AE452="",DATE(2100,12,31),$AE452)</f>
        <v/>
      </c>
      <c r="AH452" s="22">
        <f>IF($C452="","",IFERROR(IF(INDEX(Deals!$AG$2:$AG$355,MATCH($C452,Deals!$A$2:$A$355,0))=0,"",INDEX(Deals!$AG$2:$AG$355,MATCH($C452,Deals!$A$2:$A$355,0))),""))</f>
        <v/>
      </c>
      <c r="AI452" s="35">
        <f>IF(OR($AH452&lt;&gt;"",AND($AO452&gt;0,$AD452&lt;&gt;"",$AE452&lt;&gt;"")),$AF452,DATE(1900,1,1))</f>
        <v/>
      </c>
      <c r="AJ452" s="35">
        <f>IF($AH452&lt;&gt;"",$AH452,IF(AND($AO452&gt;0,$AD452&lt;&gt;"",$AE452&lt;&gt;""),$AG452,DATE(2100,12,31)))</f>
        <v/>
      </c>
      <c r="AK452" s="32">
        <f>IF($AH452="",$AC452,$AC452*$S452)</f>
        <v/>
      </c>
      <c r="AL452" s="35">
        <f>IF($AH452="",DATE(2100,12,31),$AH452+1)</f>
        <v/>
      </c>
      <c r="AM452" s="35">
        <f>IF($AH452="",DATE(1900,1,1),$AG452)</f>
        <v/>
      </c>
      <c r="AN452" s="32">
        <f>IF($AH452="",0,$AC452*$T452)</f>
        <v/>
      </c>
      <c r="AO452" s="46">
        <f>IF($C452="",0,IFERROR(INDEX(Deals!$BD$2:$BD$355,MATCH($C452,Deals!$A$2:$A$355,0)),0))</f>
        <v/>
      </c>
      <c r="AP452" s="18">
        <f>IF($AO452=0,0,IFERROR(INDEX(Deals!$BJ$2:$BP$355,MATCH($C452,Deals!$A$2:$A$355,0),MATCH($F452,Deals!$BJ$1:$BP$1,0))/COUNTIFS(Assignments!$C$2:$C$769,$C452,Assignments!$F$2:$F$769,$F452,Assignments!$G$2:$G$769,"Active"),0))</f>
        <v/>
      </c>
    </row>
    <row r="453">
      <c r="A453" s="28" t="inlineStr">
        <is>
          <t>Nina</t>
        </is>
      </c>
      <c r="B453" s="16">
        <f>IF($A453="","",IFERROR(INDEX(Roster!$B$2:$B$40,MATCH($A453,Roster!$A$2:$A$40,0)),"?"))</f>
        <v/>
      </c>
      <c r="C453" s="28" t="inlineStr">
        <is>
          <t>Enterprise_1</t>
        </is>
      </c>
      <c r="D453" s="16">
        <f>IF($C453="","",IFERROR(IF(INDEX(Deals!$C$2:$C$355,MATCH($C453,Deals!$A$2:$A$355,0))=0,"",INDEX(Deals!$C$2:$C$355,MATCH($C453,Deals!$A$2:$A$355,0))),"?"))</f>
        <v/>
      </c>
      <c r="E453" s="16">
        <f>IF($C453="","",IFERROR(INDEX(Deals!$F$2:$F$355,MATCH($C453,Deals!$A$2:$A$355,0)),"?"))</f>
        <v/>
      </c>
      <c r="F453" s="28" t="inlineStr">
        <is>
          <t>Senior Associate</t>
        </is>
      </c>
      <c r="G453" s="28" t="inlineStr">
        <is>
          <t>Inactive</t>
        </is>
      </c>
      <c r="H453" s="31" t="n"/>
      <c r="I453" s="32">
        <f>IF(OR($A453="",$G453&lt;&gt;"Active"),0,IF($H453&lt;&gt;"",$H453,IF($AO453&gt;0,$AP453,IF(AND($R453&lt;&gt;"",IFERROR(INDEX(Templates!$B$3:$H$10,MATCH($R453,Templates!$A$3:$A$10,0),MATCH($F453,Templates!$B$2:$H$2,0)),0)&gt;0),INDEX(Templates!$B$3:$H$10,MATCH($R453,Templates!$A$3:$A$10,0),MATCH($F453,Templates!$B$2:$H$2,0)),IFERROR(INDEX(Settings!$B$8:$B$14,MATCH($F453,Settings!$A$8:$A$14,0)),0)))))</f>
        <v/>
      </c>
      <c r="J453" s="21">
        <f>IF($C453="",0,IFERROR(INDEX(Deals!$H$2:$H$355,MATCH($C453,Deals!$A$2:$A$355,0)),0))</f>
        <v/>
      </c>
      <c r="K453" s="32">
        <f>IF(Settings!$B$4="Yes",$I453*$J453,$I453)</f>
        <v/>
      </c>
      <c r="L453" s="22">
        <f>IF($C453="","",IFERROR(IF(INDEX(Deals!$I$2:$I$355,MATCH($C453,Deals!$A$2:$A$355,0))=0,"",INDEX(Deals!$I$2:$I$355,MATCH($C453,Deals!$A$2:$A$355,0))),""))</f>
        <v/>
      </c>
      <c r="M453" s="22">
        <f>IF($C453="","",IFERROR(IF(INDEX(Deals!$J$2:$J$355,MATCH($C453,Deals!$A$2:$A$355,0))=0,"",INDEX(Deals!$J$2:$J$355,MATCH($C453,Deals!$A$2:$A$355,0))),""))</f>
        <v/>
      </c>
      <c r="N453" s="35">
        <f>IF($L453="",DATE(1900,1,1),$L453)</f>
        <v/>
      </c>
      <c r="O453" s="35">
        <f>IF($M453="",DATE(2100,12,31),$M453)</f>
        <v/>
      </c>
      <c r="P453" s="20" t="inlineStr">
        <is>
          <t>Closed</t>
        </is>
      </c>
      <c r="Q453" s="47" t="inlineStr"/>
      <c r="R453" s="16">
        <f>IF($C453="","",IFERROR(IF(INDEX(Deals!$U$2:$U$355,MATCH($C453,Deals!$A$2:$A$355,0))=0,"",INDEX(Deals!$U$2:$U$355,MATCH($C453,Deals!$A$2:$A$355,0))),""))</f>
        <v/>
      </c>
      <c r="S453" s="34">
        <f>IFERROR(IF($U453="",1,INDEX(Deals!$V$2:$V$355,MATCH($C453,Deals!$A$2:$A$355,0))),1)</f>
        <v/>
      </c>
      <c r="T453" s="34">
        <f>IFERROR(IF($U453="",1,INDEX(Deals!$W$2:$W$355,MATCH($C453,Deals!$A$2:$A$355,0))),1)</f>
        <v/>
      </c>
      <c r="U453" s="22">
        <f>IF($C453="","",IFERROR(IF(INDEX(Deals!$Y$2:$Y$355,MATCH($C453,Deals!$A$2:$A$355,0))=0,"",INDEX(Deals!$Y$2:$Y$355,MATCH($C453,Deals!$A$2:$A$355,0))),""))</f>
        <v/>
      </c>
      <c r="V453" s="35">
        <f>IF(OR($U453&lt;&gt;"",AND($AO453&gt;0,$L453&lt;&gt;"",$M453&lt;&gt;"")),$N453,DATE(1900,1,1))</f>
        <v/>
      </c>
      <c r="W453" s="35">
        <f>IF($U453&lt;&gt;"",$U453,IF(AND($AO453&gt;0,$L453&lt;&gt;"",$M453&lt;&gt;""),$O453,DATE(2100,12,31)))</f>
        <v/>
      </c>
      <c r="X453" s="32">
        <f>IF($U453="",$K453,$K453*$S453)</f>
        <v/>
      </c>
      <c r="Y453" s="35">
        <f>IF($U453="",DATE(2100,12,31),$U453+1)</f>
        <v/>
      </c>
      <c r="Z453" s="35">
        <f>IF($U453="",DATE(1900,1,1),$O453)</f>
        <v/>
      </c>
      <c r="AA453" s="32">
        <f>IF($U453="",0,$K453*$T453)</f>
        <v/>
      </c>
      <c r="AB453" s="21">
        <f>IF($C453="",0,IFERROR(INDEX(Deals!$AD$2:$AD$355,MATCH($C453,Deals!$A$2:$A$355,0)),0))</f>
        <v/>
      </c>
      <c r="AC453" s="32">
        <f>IF(Settings!$B$4="Yes",$I453*$AB453,$I453)</f>
        <v/>
      </c>
      <c r="AD453" s="22">
        <f>IF($C453="","",IFERROR(IF(INDEX(Deals!$AE$2:$AE$355,MATCH($C453,Deals!$A$2:$A$355,0))=0,"",INDEX(Deals!$AE$2:$AE$355,MATCH($C453,Deals!$A$2:$A$355,0))),""))</f>
        <v/>
      </c>
      <c r="AE453" s="22">
        <f>IF($C453="","",IFERROR(IF(INDEX(Deals!$AF$2:$AF$355,MATCH($C453,Deals!$A$2:$A$355,0))=0,"",INDEX(Deals!$AF$2:$AF$355,MATCH($C453,Deals!$A$2:$A$355,0))),""))</f>
        <v/>
      </c>
      <c r="AF453" s="35">
        <f>IF($AD453="",DATE(1900,1,1),$AD453)</f>
        <v/>
      </c>
      <c r="AG453" s="35">
        <f>IF($AE453="",DATE(2100,12,31),$AE453)</f>
        <v/>
      </c>
      <c r="AH453" s="22">
        <f>IF($C453="","",IFERROR(IF(INDEX(Deals!$AG$2:$AG$355,MATCH($C453,Deals!$A$2:$A$355,0))=0,"",INDEX(Deals!$AG$2:$AG$355,MATCH($C453,Deals!$A$2:$A$355,0))),""))</f>
        <v/>
      </c>
      <c r="AI453" s="35">
        <f>IF(OR($AH453&lt;&gt;"",AND($AO453&gt;0,$AD453&lt;&gt;"",$AE453&lt;&gt;"")),$AF453,DATE(1900,1,1))</f>
        <v/>
      </c>
      <c r="AJ453" s="35">
        <f>IF($AH453&lt;&gt;"",$AH453,IF(AND($AO453&gt;0,$AD453&lt;&gt;"",$AE453&lt;&gt;""),$AG453,DATE(2100,12,31)))</f>
        <v/>
      </c>
      <c r="AK453" s="32">
        <f>IF($AH453="",$AC453,$AC453*$S453)</f>
        <v/>
      </c>
      <c r="AL453" s="35">
        <f>IF($AH453="",DATE(2100,12,31),$AH453+1)</f>
        <v/>
      </c>
      <c r="AM453" s="35">
        <f>IF($AH453="",DATE(1900,1,1),$AG453)</f>
        <v/>
      </c>
      <c r="AN453" s="32">
        <f>IF($AH453="",0,$AC453*$T453)</f>
        <v/>
      </c>
      <c r="AO453" s="46">
        <f>IF($C453="",0,IFERROR(INDEX(Deals!$BD$2:$BD$355,MATCH($C453,Deals!$A$2:$A$355,0)),0))</f>
        <v/>
      </c>
      <c r="AP453" s="18">
        <f>IF($AO453=0,0,IFERROR(INDEX(Deals!$BJ$2:$BP$355,MATCH($C453,Deals!$A$2:$A$355,0),MATCH($F453,Deals!$BJ$1:$BP$1,0))/COUNTIFS(Assignments!$C$2:$C$769,$C453,Assignments!$F$2:$F$769,$F453,Assignments!$G$2:$G$769,"Active"),0))</f>
        <v/>
      </c>
    </row>
    <row r="454">
      <c r="A454" s="28" t="inlineStr">
        <is>
          <t>Nina</t>
        </is>
      </c>
      <c r="B454" s="16">
        <f>IF($A454="","",IFERROR(INDEX(Roster!$B$2:$B$40,MATCH($A454,Roster!$A$2:$A$40,0)),"?"))</f>
        <v/>
      </c>
      <c r="C454" s="28" t="inlineStr">
        <is>
          <t>EOS VDD_1</t>
        </is>
      </c>
      <c r="D454" s="16">
        <f>IF($C454="","",IFERROR(IF(INDEX(Deals!$C$2:$C$355,MATCH($C454,Deals!$A$2:$A$355,0))=0,"",INDEX(Deals!$C$2:$C$355,MATCH($C454,Deals!$A$2:$A$355,0))),"?"))</f>
        <v/>
      </c>
      <c r="E454" s="16">
        <f>IF($C454="","",IFERROR(INDEX(Deals!$F$2:$F$355,MATCH($C454,Deals!$A$2:$A$355,0)),"?"))</f>
        <v/>
      </c>
      <c r="F454" s="28" t="inlineStr">
        <is>
          <t>Senior Associate</t>
        </is>
      </c>
      <c r="G454" s="28" t="inlineStr">
        <is>
          <t>Active</t>
        </is>
      </c>
      <c r="H454" s="31" t="n"/>
      <c r="I454" s="32">
        <f>IF(OR($A454="",$G454&lt;&gt;"Active"),0,IF($H454&lt;&gt;"",$H454,IF($AO454&gt;0,$AP454,IF(AND($R454&lt;&gt;"",IFERROR(INDEX(Templates!$B$3:$H$10,MATCH($R454,Templates!$A$3:$A$10,0),MATCH($F454,Templates!$B$2:$H$2,0)),0)&gt;0),INDEX(Templates!$B$3:$H$10,MATCH($R454,Templates!$A$3:$A$10,0),MATCH($F454,Templates!$B$2:$H$2,0)),IFERROR(INDEX(Settings!$B$8:$B$14,MATCH($F454,Settings!$A$8:$A$14,0)),0)))))</f>
        <v/>
      </c>
      <c r="J454" s="21">
        <f>IF($C454="",0,IFERROR(INDEX(Deals!$H$2:$H$355,MATCH($C454,Deals!$A$2:$A$355,0)),0))</f>
        <v/>
      </c>
      <c r="K454" s="32">
        <f>IF(Settings!$B$4="Yes",$I454*$J454,$I454)</f>
        <v/>
      </c>
      <c r="L454" s="22">
        <f>IF($C454="","",IFERROR(IF(INDEX(Deals!$I$2:$I$355,MATCH($C454,Deals!$A$2:$A$355,0))=0,"",INDEX(Deals!$I$2:$I$355,MATCH($C454,Deals!$A$2:$A$355,0))),""))</f>
        <v/>
      </c>
      <c r="M454" s="22">
        <f>IF($C454="","",IFERROR(IF(INDEX(Deals!$J$2:$J$355,MATCH($C454,Deals!$A$2:$A$355,0))=0,"",INDEX(Deals!$J$2:$J$355,MATCH($C454,Deals!$A$2:$A$355,0))),""))</f>
        <v/>
      </c>
      <c r="N454" s="35">
        <f>IF($L454="",DATE(1900,1,1),$L454)</f>
        <v/>
      </c>
      <c r="O454" s="35">
        <f>IF($M454="",DATE(2100,12,31),$M454)</f>
        <v/>
      </c>
      <c r="P454" s="20" t="inlineStr">
        <is>
          <t>Ongoing</t>
        </is>
      </c>
      <c r="Q454" s="47" t="inlineStr">
        <is>
          <t>Added from Summary tab</t>
        </is>
      </c>
      <c r="R454" s="16">
        <f>IF($C454="","",IFERROR(IF(INDEX(Deals!$U$2:$U$355,MATCH($C454,Deals!$A$2:$A$355,0))=0,"",INDEX(Deals!$U$2:$U$355,MATCH($C454,Deals!$A$2:$A$355,0))),""))</f>
        <v/>
      </c>
      <c r="S454" s="34">
        <f>IFERROR(IF($U454="",1,INDEX(Deals!$V$2:$V$355,MATCH($C454,Deals!$A$2:$A$355,0))),1)</f>
        <v/>
      </c>
      <c r="T454" s="34">
        <f>IFERROR(IF($U454="",1,INDEX(Deals!$W$2:$W$355,MATCH($C454,Deals!$A$2:$A$355,0))),1)</f>
        <v/>
      </c>
      <c r="U454" s="22">
        <f>IF($C454="","",IFERROR(IF(INDEX(Deals!$Y$2:$Y$355,MATCH($C454,Deals!$A$2:$A$355,0))=0,"",INDEX(Deals!$Y$2:$Y$355,MATCH($C454,Deals!$A$2:$A$355,0))),""))</f>
        <v/>
      </c>
      <c r="V454" s="35">
        <f>IF(OR($U454&lt;&gt;"",AND($AO454&gt;0,$L454&lt;&gt;"",$M454&lt;&gt;"")),$N454,DATE(1900,1,1))</f>
        <v/>
      </c>
      <c r="W454" s="35">
        <f>IF($U454&lt;&gt;"",$U454,IF(AND($AO454&gt;0,$L454&lt;&gt;"",$M454&lt;&gt;""),$O454,DATE(2100,12,31)))</f>
        <v/>
      </c>
      <c r="X454" s="32">
        <f>IF($U454="",$K454,$K454*$S454)</f>
        <v/>
      </c>
      <c r="Y454" s="35">
        <f>IF($U454="",DATE(2100,12,31),$U454+1)</f>
        <v/>
      </c>
      <c r="Z454" s="35">
        <f>IF($U454="",DATE(1900,1,1),$O454)</f>
        <v/>
      </c>
      <c r="AA454" s="32">
        <f>IF($U454="",0,$K454*$T454)</f>
        <v/>
      </c>
      <c r="AB454" s="21">
        <f>IF($C454="",0,IFERROR(INDEX(Deals!$AD$2:$AD$355,MATCH($C454,Deals!$A$2:$A$355,0)),0))</f>
        <v/>
      </c>
      <c r="AC454" s="32">
        <f>IF(Settings!$B$4="Yes",$I454*$AB454,$I454)</f>
        <v/>
      </c>
      <c r="AD454" s="22">
        <f>IF($C454="","",IFERROR(IF(INDEX(Deals!$AE$2:$AE$355,MATCH($C454,Deals!$A$2:$A$355,0))=0,"",INDEX(Deals!$AE$2:$AE$355,MATCH($C454,Deals!$A$2:$A$355,0))),""))</f>
        <v/>
      </c>
      <c r="AE454" s="22">
        <f>IF($C454="","",IFERROR(IF(INDEX(Deals!$AF$2:$AF$355,MATCH($C454,Deals!$A$2:$A$355,0))=0,"",INDEX(Deals!$AF$2:$AF$355,MATCH($C454,Deals!$A$2:$A$355,0))),""))</f>
        <v/>
      </c>
      <c r="AF454" s="35">
        <f>IF($AD454="",DATE(1900,1,1),$AD454)</f>
        <v/>
      </c>
      <c r="AG454" s="35">
        <f>IF($AE454="",DATE(2100,12,31),$AE454)</f>
        <v/>
      </c>
      <c r="AH454" s="22">
        <f>IF($C454="","",IFERROR(IF(INDEX(Deals!$AG$2:$AG$355,MATCH($C454,Deals!$A$2:$A$355,0))=0,"",INDEX(Deals!$AG$2:$AG$355,MATCH($C454,Deals!$A$2:$A$355,0))),""))</f>
        <v/>
      </c>
      <c r="AI454" s="35">
        <f>IF(OR($AH454&lt;&gt;"",AND($AO454&gt;0,$AD454&lt;&gt;"",$AE454&lt;&gt;"")),$AF454,DATE(1900,1,1))</f>
        <v/>
      </c>
      <c r="AJ454" s="35">
        <f>IF($AH454&lt;&gt;"",$AH454,IF(AND($AO454&gt;0,$AD454&lt;&gt;"",$AE454&lt;&gt;""),$AG454,DATE(2100,12,31)))</f>
        <v/>
      </c>
      <c r="AK454" s="32">
        <f>IF($AH454="",$AC454,$AC454*$S454)</f>
        <v/>
      </c>
      <c r="AL454" s="35">
        <f>IF($AH454="",DATE(2100,12,31),$AH454+1)</f>
        <v/>
      </c>
      <c r="AM454" s="35">
        <f>IF($AH454="",DATE(1900,1,1),$AG454)</f>
        <v/>
      </c>
      <c r="AN454" s="32">
        <f>IF($AH454="",0,$AC454*$T454)</f>
        <v/>
      </c>
      <c r="AO454" s="46">
        <f>IF($C454="",0,IFERROR(INDEX(Deals!$BD$2:$BD$355,MATCH($C454,Deals!$A$2:$A$355,0)),0))</f>
        <v/>
      </c>
      <c r="AP454" s="18">
        <f>IF($AO454=0,0,IFERROR(INDEX(Deals!$BJ$2:$BP$355,MATCH($C454,Deals!$A$2:$A$355,0),MATCH($F454,Deals!$BJ$1:$BP$1,0))/COUNTIFS(Assignments!$C$2:$C$769,$C454,Assignments!$F$2:$F$769,$F454,Assignments!$G$2:$G$769,"Active"),0))</f>
        <v/>
      </c>
    </row>
    <row r="455">
      <c r="A455" s="28" t="inlineStr">
        <is>
          <t>Nina</t>
        </is>
      </c>
      <c r="B455" s="16">
        <f>IF($A455="","",IFERROR(INDEX(Roster!$B$2:$B$40,MATCH($A455,Roster!$A$2:$A$40,0)),"?"))</f>
        <v/>
      </c>
      <c r="C455" s="28" t="inlineStr">
        <is>
          <t>EV3_1</t>
        </is>
      </c>
      <c r="D455" s="16">
        <f>IF($C455="","",IFERROR(IF(INDEX(Deals!$C$2:$C$355,MATCH($C455,Deals!$A$2:$A$355,0))=0,"",INDEX(Deals!$C$2:$C$355,MATCH($C455,Deals!$A$2:$A$355,0))),"?"))</f>
        <v/>
      </c>
      <c r="E455" s="16">
        <f>IF($C455="","",IFERROR(INDEX(Deals!$F$2:$F$355,MATCH($C455,Deals!$A$2:$A$355,0)),"?"))</f>
        <v/>
      </c>
      <c r="F455" s="28" t="inlineStr">
        <is>
          <t>Senior Associate</t>
        </is>
      </c>
      <c r="G455" s="28" t="inlineStr">
        <is>
          <t>Active</t>
        </is>
      </c>
      <c r="H455" s="31" t="n"/>
      <c r="I455" s="32">
        <f>IF(OR($A455="",$G455&lt;&gt;"Active"),0,IF($H455&lt;&gt;"",$H455,IF($AO455&gt;0,$AP455,IF(AND($R455&lt;&gt;"",IFERROR(INDEX(Templates!$B$3:$H$10,MATCH($R455,Templates!$A$3:$A$10,0),MATCH($F455,Templates!$B$2:$H$2,0)),0)&gt;0),INDEX(Templates!$B$3:$H$10,MATCH($R455,Templates!$A$3:$A$10,0),MATCH($F455,Templates!$B$2:$H$2,0)),IFERROR(INDEX(Settings!$B$8:$B$14,MATCH($F455,Settings!$A$8:$A$14,0)),0)))))</f>
        <v/>
      </c>
      <c r="J455" s="21">
        <f>IF($C455="",0,IFERROR(INDEX(Deals!$H$2:$H$355,MATCH($C455,Deals!$A$2:$A$355,0)),0))</f>
        <v/>
      </c>
      <c r="K455" s="32">
        <f>IF(Settings!$B$4="Yes",$I455*$J455,$I455)</f>
        <v/>
      </c>
      <c r="L455" s="22">
        <f>IF($C455="","",IFERROR(IF(INDEX(Deals!$I$2:$I$355,MATCH($C455,Deals!$A$2:$A$355,0))=0,"",INDEX(Deals!$I$2:$I$355,MATCH($C455,Deals!$A$2:$A$355,0))),""))</f>
        <v/>
      </c>
      <c r="M455" s="22">
        <f>IF($C455="","",IFERROR(IF(INDEX(Deals!$J$2:$J$355,MATCH($C455,Deals!$A$2:$A$355,0))=0,"",INDEX(Deals!$J$2:$J$355,MATCH($C455,Deals!$A$2:$A$355,0))),""))</f>
        <v/>
      </c>
      <c r="N455" s="35">
        <f>IF($L455="",DATE(1900,1,1),$L455)</f>
        <v/>
      </c>
      <c r="O455" s="35">
        <f>IF($M455="",DATE(2100,12,31),$M455)</f>
        <v/>
      </c>
      <c r="P455" s="20" t="inlineStr">
        <is>
          <t>Proposal sent</t>
        </is>
      </c>
      <c r="Q455" s="47" t="inlineStr">
        <is>
          <t>Added from Summary tab</t>
        </is>
      </c>
      <c r="R455" s="16">
        <f>IF($C455="","",IFERROR(IF(INDEX(Deals!$U$2:$U$355,MATCH($C455,Deals!$A$2:$A$355,0))=0,"",INDEX(Deals!$U$2:$U$355,MATCH($C455,Deals!$A$2:$A$355,0))),""))</f>
        <v/>
      </c>
      <c r="S455" s="34">
        <f>IFERROR(IF($U455="",1,INDEX(Deals!$V$2:$V$355,MATCH($C455,Deals!$A$2:$A$355,0))),1)</f>
        <v/>
      </c>
      <c r="T455" s="34">
        <f>IFERROR(IF($U455="",1,INDEX(Deals!$W$2:$W$355,MATCH($C455,Deals!$A$2:$A$355,0))),1)</f>
        <v/>
      </c>
      <c r="U455" s="22">
        <f>IF($C455="","",IFERROR(IF(INDEX(Deals!$Y$2:$Y$355,MATCH($C455,Deals!$A$2:$A$355,0))=0,"",INDEX(Deals!$Y$2:$Y$355,MATCH($C455,Deals!$A$2:$A$355,0))),""))</f>
        <v/>
      </c>
      <c r="V455" s="35">
        <f>IF(OR($U455&lt;&gt;"",AND($AO455&gt;0,$L455&lt;&gt;"",$M455&lt;&gt;"")),$N455,DATE(1900,1,1))</f>
        <v/>
      </c>
      <c r="W455" s="35">
        <f>IF($U455&lt;&gt;"",$U455,IF(AND($AO455&gt;0,$L455&lt;&gt;"",$M455&lt;&gt;""),$O455,DATE(2100,12,31)))</f>
        <v/>
      </c>
      <c r="X455" s="32">
        <f>IF($U455="",$K455,$K455*$S455)</f>
        <v/>
      </c>
      <c r="Y455" s="35">
        <f>IF($U455="",DATE(2100,12,31),$U455+1)</f>
        <v/>
      </c>
      <c r="Z455" s="35">
        <f>IF($U455="",DATE(1900,1,1),$O455)</f>
        <v/>
      </c>
      <c r="AA455" s="32">
        <f>IF($U455="",0,$K455*$T455)</f>
        <v/>
      </c>
      <c r="AB455" s="21">
        <f>IF($C455="",0,IFERROR(INDEX(Deals!$AD$2:$AD$355,MATCH($C455,Deals!$A$2:$A$355,0)),0))</f>
        <v/>
      </c>
      <c r="AC455" s="32">
        <f>IF(Settings!$B$4="Yes",$I455*$AB455,$I455)</f>
        <v/>
      </c>
      <c r="AD455" s="22">
        <f>IF($C455="","",IFERROR(IF(INDEX(Deals!$AE$2:$AE$355,MATCH($C455,Deals!$A$2:$A$355,0))=0,"",INDEX(Deals!$AE$2:$AE$355,MATCH($C455,Deals!$A$2:$A$355,0))),""))</f>
        <v/>
      </c>
      <c r="AE455" s="22">
        <f>IF($C455="","",IFERROR(IF(INDEX(Deals!$AF$2:$AF$355,MATCH($C455,Deals!$A$2:$A$355,0))=0,"",INDEX(Deals!$AF$2:$AF$355,MATCH($C455,Deals!$A$2:$A$355,0))),""))</f>
        <v/>
      </c>
      <c r="AF455" s="35">
        <f>IF($AD455="",DATE(1900,1,1),$AD455)</f>
        <v/>
      </c>
      <c r="AG455" s="35">
        <f>IF($AE455="",DATE(2100,12,31),$AE455)</f>
        <v/>
      </c>
      <c r="AH455" s="22">
        <f>IF($C455="","",IFERROR(IF(INDEX(Deals!$AG$2:$AG$355,MATCH($C455,Deals!$A$2:$A$355,0))=0,"",INDEX(Deals!$AG$2:$AG$355,MATCH($C455,Deals!$A$2:$A$355,0))),""))</f>
        <v/>
      </c>
      <c r="AI455" s="35">
        <f>IF(OR($AH455&lt;&gt;"",AND($AO455&gt;0,$AD455&lt;&gt;"",$AE455&lt;&gt;"")),$AF455,DATE(1900,1,1))</f>
        <v/>
      </c>
      <c r="AJ455" s="35">
        <f>IF($AH455&lt;&gt;"",$AH455,IF(AND($AO455&gt;0,$AD455&lt;&gt;"",$AE455&lt;&gt;""),$AG455,DATE(2100,12,31)))</f>
        <v/>
      </c>
      <c r="AK455" s="32">
        <f>IF($AH455="",$AC455,$AC455*$S455)</f>
        <v/>
      </c>
      <c r="AL455" s="35">
        <f>IF($AH455="",DATE(2100,12,31),$AH455+1)</f>
        <v/>
      </c>
      <c r="AM455" s="35">
        <f>IF($AH455="",DATE(1900,1,1),$AG455)</f>
        <v/>
      </c>
      <c r="AN455" s="32">
        <f>IF($AH455="",0,$AC455*$T455)</f>
        <v/>
      </c>
      <c r="AO455" s="46">
        <f>IF($C455="",0,IFERROR(INDEX(Deals!$BD$2:$BD$355,MATCH($C455,Deals!$A$2:$A$355,0)),0))</f>
        <v/>
      </c>
      <c r="AP455" s="18">
        <f>IF($AO455=0,0,IFERROR(INDEX(Deals!$BJ$2:$BP$355,MATCH($C455,Deals!$A$2:$A$355,0),MATCH($F455,Deals!$BJ$1:$BP$1,0))/COUNTIFS(Assignments!$C$2:$C$769,$C455,Assignments!$F$2:$F$769,$F455,Assignments!$G$2:$G$769,"Active"),0))</f>
        <v/>
      </c>
    </row>
    <row r="456">
      <c r="A456" s="28" t="inlineStr">
        <is>
          <t>Nina</t>
        </is>
      </c>
      <c r="B456" s="16">
        <f>IF($A456="","",IFERROR(INDEX(Roster!$B$2:$B$40,MATCH($A456,Roster!$A$2:$A$40,0)),"?"))</f>
        <v/>
      </c>
      <c r="C456" s="28" t="inlineStr">
        <is>
          <t>Hatch_1</t>
        </is>
      </c>
      <c r="D456" s="16">
        <f>IF($C456="","",IFERROR(IF(INDEX(Deals!$C$2:$C$355,MATCH($C456,Deals!$A$2:$A$355,0))=0,"",INDEX(Deals!$C$2:$C$355,MATCH($C456,Deals!$A$2:$A$355,0))),"?"))</f>
        <v/>
      </c>
      <c r="E456" s="16">
        <f>IF($C456="","",IFERROR(INDEX(Deals!$F$2:$F$355,MATCH($C456,Deals!$A$2:$A$355,0)),"?"))</f>
        <v/>
      </c>
      <c r="F456" s="28" t="inlineStr">
        <is>
          <t>Senior Associate</t>
        </is>
      </c>
      <c r="G456" s="28" t="inlineStr">
        <is>
          <t>Active</t>
        </is>
      </c>
      <c r="H456" s="31" t="n"/>
      <c r="I456" s="32">
        <f>IF(OR($A456="",$G456&lt;&gt;"Active"),0,IF($H456&lt;&gt;"",$H456,IF($AO456&gt;0,$AP456,IF(AND($R456&lt;&gt;"",IFERROR(INDEX(Templates!$B$3:$H$10,MATCH($R456,Templates!$A$3:$A$10,0),MATCH($F456,Templates!$B$2:$H$2,0)),0)&gt;0),INDEX(Templates!$B$3:$H$10,MATCH($R456,Templates!$A$3:$A$10,0),MATCH($F456,Templates!$B$2:$H$2,0)),IFERROR(INDEX(Settings!$B$8:$B$14,MATCH($F456,Settings!$A$8:$A$14,0)),0)))))</f>
        <v/>
      </c>
      <c r="J456" s="21">
        <f>IF($C456="",0,IFERROR(INDEX(Deals!$H$2:$H$355,MATCH($C456,Deals!$A$2:$A$355,0)),0))</f>
        <v/>
      </c>
      <c r="K456" s="32">
        <f>IF(Settings!$B$4="Yes",$I456*$J456,$I456)</f>
        <v/>
      </c>
      <c r="L456" s="22">
        <f>IF($C456="","",IFERROR(IF(INDEX(Deals!$I$2:$I$355,MATCH($C456,Deals!$A$2:$A$355,0))=0,"",INDEX(Deals!$I$2:$I$355,MATCH($C456,Deals!$A$2:$A$355,0))),""))</f>
        <v/>
      </c>
      <c r="M456" s="22">
        <f>IF($C456="","",IFERROR(IF(INDEX(Deals!$J$2:$J$355,MATCH($C456,Deals!$A$2:$A$355,0))=0,"",INDEX(Deals!$J$2:$J$355,MATCH($C456,Deals!$A$2:$A$355,0))),""))</f>
        <v/>
      </c>
      <c r="N456" s="35">
        <f>IF($L456="",DATE(1900,1,1),$L456)</f>
        <v/>
      </c>
      <c r="O456" s="35">
        <f>IF($M456="",DATE(2100,12,31),$M456)</f>
        <v/>
      </c>
      <c r="P456" s="20" t="inlineStr">
        <is>
          <t>Ongoing</t>
        </is>
      </c>
      <c r="Q456" s="47" t="inlineStr"/>
      <c r="R456" s="16">
        <f>IF($C456="","",IFERROR(IF(INDEX(Deals!$U$2:$U$355,MATCH($C456,Deals!$A$2:$A$355,0))=0,"",INDEX(Deals!$U$2:$U$355,MATCH($C456,Deals!$A$2:$A$355,0))),""))</f>
        <v/>
      </c>
      <c r="S456" s="34">
        <f>IFERROR(IF($U456="",1,INDEX(Deals!$V$2:$V$355,MATCH($C456,Deals!$A$2:$A$355,0))),1)</f>
        <v/>
      </c>
      <c r="T456" s="34">
        <f>IFERROR(IF($U456="",1,INDEX(Deals!$W$2:$W$355,MATCH($C456,Deals!$A$2:$A$355,0))),1)</f>
        <v/>
      </c>
      <c r="U456" s="22">
        <f>IF($C456="","",IFERROR(IF(INDEX(Deals!$Y$2:$Y$355,MATCH($C456,Deals!$A$2:$A$355,0))=0,"",INDEX(Deals!$Y$2:$Y$355,MATCH($C456,Deals!$A$2:$A$355,0))),""))</f>
        <v/>
      </c>
      <c r="V456" s="35">
        <f>IF(OR($U456&lt;&gt;"",AND($AO456&gt;0,$L456&lt;&gt;"",$M456&lt;&gt;"")),$N456,DATE(1900,1,1))</f>
        <v/>
      </c>
      <c r="W456" s="35">
        <f>IF($U456&lt;&gt;"",$U456,IF(AND($AO456&gt;0,$L456&lt;&gt;"",$M456&lt;&gt;""),$O456,DATE(2100,12,31)))</f>
        <v/>
      </c>
      <c r="X456" s="32">
        <f>IF($U456="",$K456,$K456*$S456)</f>
        <v/>
      </c>
      <c r="Y456" s="35">
        <f>IF($U456="",DATE(2100,12,31),$U456+1)</f>
        <v/>
      </c>
      <c r="Z456" s="35">
        <f>IF($U456="",DATE(1900,1,1),$O456)</f>
        <v/>
      </c>
      <c r="AA456" s="32">
        <f>IF($U456="",0,$K456*$T456)</f>
        <v/>
      </c>
      <c r="AB456" s="21">
        <f>IF($C456="",0,IFERROR(INDEX(Deals!$AD$2:$AD$355,MATCH($C456,Deals!$A$2:$A$355,0)),0))</f>
        <v/>
      </c>
      <c r="AC456" s="32">
        <f>IF(Settings!$B$4="Yes",$I456*$AB456,$I456)</f>
        <v/>
      </c>
      <c r="AD456" s="22">
        <f>IF($C456="","",IFERROR(IF(INDEX(Deals!$AE$2:$AE$355,MATCH($C456,Deals!$A$2:$A$355,0))=0,"",INDEX(Deals!$AE$2:$AE$355,MATCH($C456,Deals!$A$2:$A$355,0))),""))</f>
        <v/>
      </c>
      <c r="AE456" s="22">
        <f>IF($C456="","",IFERROR(IF(INDEX(Deals!$AF$2:$AF$355,MATCH($C456,Deals!$A$2:$A$355,0))=0,"",INDEX(Deals!$AF$2:$AF$355,MATCH($C456,Deals!$A$2:$A$355,0))),""))</f>
        <v/>
      </c>
      <c r="AF456" s="35">
        <f>IF($AD456="",DATE(1900,1,1),$AD456)</f>
        <v/>
      </c>
      <c r="AG456" s="35">
        <f>IF($AE456="",DATE(2100,12,31),$AE456)</f>
        <v/>
      </c>
      <c r="AH456" s="22">
        <f>IF($C456="","",IFERROR(IF(INDEX(Deals!$AG$2:$AG$355,MATCH($C456,Deals!$A$2:$A$355,0))=0,"",INDEX(Deals!$AG$2:$AG$355,MATCH($C456,Deals!$A$2:$A$355,0))),""))</f>
        <v/>
      </c>
      <c r="AI456" s="35">
        <f>IF(OR($AH456&lt;&gt;"",AND($AO456&gt;0,$AD456&lt;&gt;"",$AE456&lt;&gt;"")),$AF456,DATE(1900,1,1))</f>
        <v/>
      </c>
      <c r="AJ456" s="35">
        <f>IF($AH456&lt;&gt;"",$AH456,IF(AND($AO456&gt;0,$AD456&lt;&gt;"",$AE456&lt;&gt;""),$AG456,DATE(2100,12,31)))</f>
        <v/>
      </c>
      <c r="AK456" s="32">
        <f>IF($AH456="",$AC456,$AC456*$S456)</f>
        <v/>
      </c>
      <c r="AL456" s="35">
        <f>IF($AH456="",DATE(2100,12,31),$AH456+1)</f>
        <v/>
      </c>
      <c r="AM456" s="35">
        <f>IF($AH456="",DATE(1900,1,1),$AG456)</f>
        <v/>
      </c>
      <c r="AN456" s="32">
        <f>IF($AH456="",0,$AC456*$T456)</f>
        <v/>
      </c>
      <c r="AO456" s="46">
        <f>IF($C456="",0,IFERROR(INDEX(Deals!$BD$2:$BD$355,MATCH($C456,Deals!$A$2:$A$355,0)),0))</f>
        <v/>
      </c>
      <c r="AP456" s="18">
        <f>IF($AO456=0,0,IFERROR(INDEX(Deals!$BJ$2:$BP$355,MATCH($C456,Deals!$A$2:$A$355,0),MATCH($F456,Deals!$BJ$1:$BP$1,0))/COUNTIFS(Assignments!$C$2:$C$769,$C456,Assignments!$F$2:$F$769,$F456,Assignments!$G$2:$G$769,"Active"),0))</f>
        <v/>
      </c>
    </row>
    <row r="457">
      <c r="A457" s="28" t="inlineStr">
        <is>
          <t>Nina</t>
        </is>
      </c>
      <c r="B457" s="16">
        <f>IF($A457="","",IFERROR(INDEX(Roster!$B$2:$B$40,MATCH($A457,Roster!$A$2:$A$40,0)),"?"))</f>
        <v/>
      </c>
      <c r="C457" s="28" t="inlineStr">
        <is>
          <t>Hidden _1</t>
        </is>
      </c>
      <c r="D457" s="16">
        <f>IF($C457="","",IFERROR(IF(INDEX(Deals!$C$2:$C$355,MATCH($C457,Deals!$A$2:$A$355,0))=0,"",INDEX(Deals!$C$2:$C$355,MATCH($C457,Deals!$A$2:$A$355,0))),"?"))</f>
        <v/>
      </c>
      <c r="E457" s="16">
        <f>IF($C457="","",IFERROR(INDEX(Deals!$F$2:$F$355,MATCH($C457,Deals!$A$2:$A$355,0)),"?"))</f>
        <v/>
      </c>
      <c r="F457" s="28" t="inlineStr">
        <is>
          <t>Senior Associate</t>
        </is>
      </c>
      <c r="G457" s="28" t="inlineStr">
        <is>
          <t>Active</t>
        </is>
      </c>
      <c r="H457" s="31" t="n"/>
      <c r="I457" s="32">
        <f>IF(OR($A457="",$G457&lt;&gt;"Active"),0,IF($H457&lt;&gt;"",$H457,IF($AO457&gt;0,$AP457,IF(AND($R457&lt;&gt;"",IFERROR(INDEX(Templates!$B$3:$H$10,MATCH($R457,Templates!$A$3:$A$10,0),MATCH($F457,Templates!$B$2:$H$2,0)),0)&gt;0),INDEX(Templates!$B$3:$H$10,MATCH($R457,Templates!$A$3:$A$10,0),MATCH($F457,Templates!$B$2:$H$2,0)),IFERROR(INDEX(Settings!$B$8:$B$14,MATCH($F457,Settings!$A$8:$A$14,0)),0)))))</f>
        <v/>
      </c>
      <c r="J457" s="21">
        <f>IF($C457="",0,IFERROR(INDEX(Deals!$H$2:$H$355,MATCH($C457,Deals!$A$2:$A$355,0)),0))</f>
        <v/>
      </c>
      <c r="K457" s="32">
        <f>IF(Settings!$B$4="Yes",$I457*$J457,$I457)</f>
        <v/>
      </c>
      <c r="L457" s="22">
        <f>IF($C457="","",IFERROR(IF(INDEX(Deals!$I$2:$I$355,MATCH($C457,Deals!$A$2:$A$355,0))=0,"",INDEX(Deals!$I$2:$I$355,MATCH($C457,Deals!$A$2:$A$355,0))),""))</f>
        <v/>
      </c>
      <c r="M457" s="22">
        <f>IF($C457="","",IFERROR(IF(INDEX(Deals!$J$2:$J$355,MATCH($C457,Deals!$A$2:$A$355,0))=0,"",INDEX(Deals!$J$2:$J$355,MATCH($C457,Deals!$A$2:$A$355,0))),""))</f>
        <v/>
      </c>
      <c r="N457" s="35">
        <f>IF($L457="",DATE(1900,1,1),$L457)</f>
        <v/>
      </c>
      <c r="O457" s="35">
        <f>IF($M457="",DATE(2100,12,31),$M457)</f>
        <v/>
      </c>
      <c r="P457" s="20" t="inlineStr"/>
      <c r="Q457" s="47" t="inlineStr"/>
      <c r="R457" s="16">
        <f>IF($C457="","",IFERROR(IF(INDEX(Deals!$U$2:$U$355,MATCH($C457,Deals!$A$2:$A$355,0))=0,"",INDEX(Deals!$U$2:$U$355,MATCH($C457,Deals!$A$2:$A$355,0))),""))</f>
        <v/>
      </c>
      <c r="S457" s="34">
        <f>IFERROR(IF($U457="",1,INDEX(Deals!$V$2:$V$355,MATCH($C457,Deals!$A$2:$A$355,0))),1)</f>
        <v/>
      </c>
      <c r="T457" s="34">
        <f>IFERROR(IF($U457="",1,INDEX(Deals!$W$2:$W$355,MATCH($C457,Deals!$A$2:$A$355,0))),1)</f>
        <v/>
      </c>
      <c r="U457" s="22">
        <f>IF($C457="","",IFERROR(IF(INDEX(Deals!$Y$2:$Y$355,MATCH($C457,Deals!$A$2:$A$355,0))=0,"",INDEX(Deals!$Y$2:$Y$355,MATCH($C457,Deals!$A$2:$A$355,0))),""))</f>
        <v/>
      </c>
      <c r="V457" s="35">
        <f>IF(OR($U457&lt;&gt;"",AND($AO457&gt;0,$L457&lt;&gt;"",$M457&lt;&gt;"")),$N457,DATE(1900,1,1))</f>
        <v/>
      </c>
      <c r="W457" s="35">
        <f>IF($U457&lt;&gt;"",$U457,IF(AND($AO457&gt;0,$L457&lt;&gt;"",$M457&lt;&gt;""),$O457,DATE(2100,12,31)))</f>
        <v/>
      </c>
      <c r="X457" s="32">
        <f>IF($U457="",$K457,$K457*$S457)</f>
        <v/>
      </c>
      <c r="Y457" s="35">
        <f>IF($U457="",DATE(2100,12,31),$U457+1)</f>
        <v/>
      </c>
      <c r="Z457" s="35">
        <f>IF($U457="",DATE(1900,1,1),$O457)</f>
        <v/>
      </c>
      <c r="AA457" s="32">
        <f>IF($U457="",0,$K457*$T457)</f>
        <v/>
      </c>
      <c r="AB457" s="21">
        <f>IF($C457="",0,IFERROR(INDEX(Deals!$AD$2:$AD$355,MATCH($C457,Deals!$A$2:$A$355,0)),0))</f>
        <v/>
      </c>
      <c r="AC457" s="32">
        <f>IF(Settings!$B$4="Yes",$I457*$AB457,$I457)</f>
        <v/>
      </c>
      <c r="AD457" s="22">
        <f>IF($C457="","",IFERROR(IF(INDEX(Deals!$AE$2:$AE$355,MATCH($C457,Deals!$A$2:$A$355,0))=0,"",INDEX(Deals!$AE$2:$AE$355,MATCH($C457,Deals!$A$2:$A$355,0))),""))</f>
        <v/>
      </c>
      <c r="AE457" s="22">
        <f>IF($C457="","",IFERROR(IF(INDEX(Deals!$AF$2:$AF$355,MATCH($C457,Deals!$A$2:$A$355,0))=0,"",INDEX(Deals!$AF$2:$AF$355,MATCH($C457,Deals!$A$2:$A$355,0))),""))</f>
        <v/>
      </c>
      <c r="AF457" s="35">
        <f>IF($AD457="",DATE(1900,1,1),$AD457)</f>
        <v/>
      </c>
      <c r="AG457" s="35">
        <f>IF($AE457="",DATE(2100,12,31),$AE457)</f>
        <v/>
      </c>
      <c r="AH457" s="22">
        <f>IF($C457="","",IFERROR(IF(INDEX(Deals!$AG$2:$AG$355,MATCH($C457,Deals!$A$2:$A$355,0))=0,"",INDEX(Deals!$AG$2:$AG$355,MATCH($C457,Deals!$A$2:$A$355,0))),""))</f>
        <v/>
      </c>
      <c r="AI457" s="35">
        <f>IF(OR($AH457&lt;&gt;"",AND($AO457&gt;0,$AD457&lt;&gt;"",$AE457&lt;&gt;"")),$AF457,DATE(1900,1,1))</f>
        <v/>
      </c>
      <c r="AJ457" s="35">
        <f>IF($AH457&lt;&gt;"",$AH457,IF(AND($AO457&gt;0,$AD457&lt;&gt;"",$AE457&lt;&gt;""),$AG457,DATE(2100,12,31)))</f>
        <v/>
      </c>
      <c r="AK457" s="32">
        <f>IF($AH457="",$AC457,$AC457*$S457)</f>
        <v/>
      </c>
      <c r="AL457" s="35">
        <f>IF($AH457="",DATE(2100,12,31),$AH457+1)</f>
        <v/>
      </c>
      <c r="AM457" s="35">
        <f>IF($AH457="",DATE(1900,1,1),$AG457)</f>
        <v/>
      </c>
      <c r="AN457" s="32">
        <f>IF($AH457="",0,$AC457*$T457)</f>
        <v/>
      </c>
      <c r="AO457" s="46">
        <f>IF($C457="",0,IFERROR(INDEX(Deals!$BD$2:$BD$355,MATCH($C457,Deals!$A$2:$A$355,0)),0))</f>
        <v/>
      </c>
      <c r="AP457" s="18">
        <f>IF($AO457=0,0,IFERROR(INDEX(Deals!$BJ$2:$BP$355,MATCH($C457,Deals!$A$2:$A$355,0),MATCH($F457,Deals!$BJ$1:$BP$1,0))/COUNTIFS(Assignments!$C$2:$C$769,$C457,Assignments!$F$2:$F$769,$F457,Assignments!$G$2:$G$769,"Active"),0))</f>
        <v/>
      </c>
    </row>
    <row r="458">
      <c r="A458" s="28" t="inlineStr">
        <is>
          <t>Nina</t>
        </is>
      </c>
      <c r="B458" s="16">
        <f>IF($A458="","",IFERROR(INDEX(Roster!$B$2:$B$40,MATCH($A458,Roster!$A$2:$A$40,0)),"?"))</f>
        <v/>
      </c>
      <c r="C458" s="28" t="inlineStr">
        <is>
          <t>Hyacinth_1</t>
        </is>
      </c>
      <c r="D458" s="16">
        <f>IF($C458="","",IFERROR(IF(INDEX(Deals!$C$2:$C$355,MATCH($C458,Deals!$A$2:$A$355,0))=0,"",INDEX(Deals!$C$2:$C$355,MATCH($C458,Deals!$A$2:$A$355,0))),"?"))</f>
        <v/>
      </c>
      <c r="E458" s="16">
        <f>IF($C458="","",IFERROR(INDEX(Deals!$F$2:$F$355,MATCH($C458,Deals!$A$2:$A$355,0)),"?"))</f>
        <v/>
      </c>
      <c r="F458" s="28" t="inlineStr">
        <is>
          <t>Senior Associate</t>
        </is>
      </c>
      <c r="G458" s="28" t="inlineStr">
        <is>
          <t>Active</t>
        </is>
      </c>
      <c r="H458" s="31" t="n"/>
      <c r="I458" s="32">
        <f>IF(OR($A458="",$G458&lt;&gt;"Active"),0,IF($H458&lt;&gt;"",$H458,IF($AO458&gt;0,$AP458,IF(AND($R458&lt;&gt;"",IFERROR(INDEX(Templates!$B$3:$H$10,MATCH($R458,Templates!$A$3:$A$10,0),MATCH($F458,Templates!$B$2:$H$2,0)),0)&gt;0),INDEX(Templates!$B$3:$H$10,MATCH($R458,Templates!$A$3:$A$10,0),MATCH($F458,Templates!$B$2:$H$2,0)),IFERROR(INDEX(Settings!$B$8:$B$14,MATCH($F458,Settings!$A$8:$A$14,0)),0)))))</f>
        <v/>
      </c>
      <c r="J458" s="21">
        <f>IF($C458="",0,IFERROR(INDEX(Deals!$H$2:$H$355,MATCH($C458,Deals!$A$2:$A$355,0)),0))</f>
        <v/>
      </c>
      <c r="K458" s="32">
        <f>IF(Settings!$B$4="Yes",$I458*$J458,$I458)</f>
        <v/>
      </c>
      <c r="L458" s="22">
        <f>IF($C458="","",IFERROR(IF(INDEX(Deals!$I$2:$I$355,MATCH($C458,Deals!$A$2:$A$355,0))=0,"",INDEX(Deals!$I$2:$I$355,MATCH($C458,Deals!$A$2:$A$355,0))),""))</f>
        <v/>
      </c>
      <c r="M458" s="22">
        <f>IF($C458="","",IFERROR(IF(INDEX(Deals!$J$2:$J$355,MATCH($C458,Deals!$A$2:$A$355,0))=0,"",INDEX(Deals!$J$2:$J$355,MATCH($C458,Deals!$A$2:$A$355,0))),""))</f>
        <v/>
      </c>
      <c r="N458" s="35">
        <f>IF($L458="",DATE(1900,1,1),$L458)</f>
        <v/>
      </c>
      <c r="O458" s="35">
        <f>IF($M458="",DATE(2100,12,31),$M458)</f>
        <v/>
      </c>
      <c r="P458" s="20" t="inlineStr"/>
      <c r="Q458" s="47" t="inlineStr"/>
      <c r="R458" s="16">
        <f>IF($C458="","",IFERROR(IF(INDEX(Deals!$U$2:$U$355,MATCH($C458,Deals!$A$2:$A$355,0))=0,"",INDEX(Deals!$U$2:$U$355,MATCH($C458,Deals!$A$2:$A$355,0))),""))</f>
        <v/>
      </c>
      <c r="S458" s="34">
        <f>IFERROR(IF($U458="",1,INDEX(Deals!$V$2:$V$355,MATCH($C458,Deals!$A$2:$A$355,0))),1)</f>
        <v/>
      </c>
      <c r="T458" s="34">
        <f>IFERROR(IF($U458="",1,INDEX(Deals!$W$2:$W$355,MATCH($C458,Deals!$A$2:$A$355,0))),1)</f>
        <v/>
      </c>
      <c r="U458" s="22">
        <f>IF($C458="","",IFERROR(IF(INDEX(Deals!$Y$2:$Y$355,MATCH($C458,Deals!$A$2:$A$355,0))=0,"",INDEX(Deals!$Y$2:$Y$355,MATCH($C458,Deals!$A$2:$A$355,0))),""))</f>
        <v/>
      </c>
      <c r="V458" s="35">
        <f>IF(OR($U458&lt;&gt;"",AND($AO458&gt;0,$L458&lt;&gt;"",$M458&lt;&gt;"")),$N458,DATE(1900,1,1))</f>
        <v/>
      </c>
      <c r="W458" s="35">
        <f>IF($U458&lt;&gt;"",$U458,IF(AND($AO458&gt;0,$L458&lt;&gt;"",$M458&lt;&gt;""),$O458,DATE(2100,12,31)))</f>
        <v/>
      </c>
      <c r="X458" s="32">
        <f>IF($U458="",$K458,$K458*$S458)</f>
        <v/>
      </c>
      <c r="Y458" s="35">
        <f>IF($U458="",DATE(2100,12,31),$U458+1)</f>
        <v/>
      </c>
      <c r="Z458" s="35">
        <f>IF($U458="",DATE(1900,1,1),$O458)</f>
        <v/>
      </c>
      <c r="AA458" s="32">
        <f>IF($U458="",0,$K458*$T458)</f>
        <v/>
      </c>
      <c r="AB458" s="21">
        <f>IF($C458="",0,IFERROR(INDEX(Deals!$AD$2:$AD$355,MATCH($C458,Deals!$A$2:$A$355,0)),0))</f>
        <v/>
      </c>
      <c r="AC458" s="32">
        <f>IF(Settings!$B$4="Yes",$I458*$AB458,$I458)</f>
        <v/>
      </c>
      <c r="AD458" s="22">
        <f>IF($C458="","",IFERROR(IF(INDEX(Deals!$AE$2:$AE$355,MATCH($C458,Deals!$A$2:$A$355,0))=0,"",INDEX(Deals!$AE$2:$AE$355,MATCH($C458,Deals!$A$2:$A$355,0))),""))</f>
        <v/>
      </c>
      <c r="AE458" s="22">
        <f>IF($C458="","",IFERROR(IF(INDEX(Deals!$AF$2:$AF$355,MATCH($C458,Deals!$A$2:$A$355,0))=0,"",INDEX(Deals!$AF$2:$AF$355,MATCH($C458,Deals!$A$2:$A$355,0))),""))</f>
        <v/>
      </c>
      <c r="AF458" s="35">
        <f>IF($AD458="",DATE(1900,1,1),$AD458)</f>
        <v/>
      </c>
      <c r="AG458" s="35">
        <f>IF($AE458="",DATE(2100,12,31),$AE458)</f>
        <v/>
      </c>
      <c r="AH458" s="22">
        <f>IF($C458="","",IFERROR(IF(INDEX(Deals!$AG$2:$AG$355,MATCH($C458,Deals!$A$2:$A$355,0))=0,"",INDEX(Deals!$AG$2:$AG$355,MATCH($C458,Deals!$A$2:$A$355,0))),""))</f>
        <v/>
      </c>
      <c r="AI458" s="35">
        <f>IF(OR($AH458&lt;&gt;"",AND($AO458&gt;0,$AD458&lt;&gt;"",$AE458&lt;&gt;"")),$AF458,DATE(1900,1,1))</f>
        <v/>
      </c>
      <c r="AJ458" s="35">
        <f>IF($AH458&lt;&gt;"",$AH458,IF(AND($AO458&gt;0,$AD458&lt;&gt;"",$AE458&lt;&gt;""),$AG458,DATE(2100,12,31)))</f>
        <v/>
      </c>
      <c r="AK458" s="32">
        <f>IF($AH458="",$AC458,$AC458*$S458)</f>
        <v/>
      </c>
      <c r="AL458" s="35">
        <f>IF($AH458="",DATE(2100,12,31),$AH458+1)</f>
        <v/>
      </c>
      <c r="AM458" s="35">
        <f>IF($AH458="",DATE(1900,1,1),$AG458)</f>
        <v/>
      </c>
      <c r="AN458" s="32">
        <f>IF($AH458="",0,$AC458*$T458)</f>
        <v/>
      </c>
      <c r="AO458" s="46">
        <f>IF($C458="",0,IFERROR(INDEX(Deals!$BD$2:$BD$355,MATCH($C458,Deals!$A$2:$A$355,0)),0))</f>
        <v/>
      </c>
      <c r="AP458" s="18">
        <f>IF($AO458=0,0,IFERROR(INDEX(Deals!$BJ$2:$BP$355,MATCH($C458,Deals!$A$2:$A$355,0),MATCH($F458,Deals!$BJ$1:$BP$1,0))/COUNTIFS(Assignments!$C$2:$C$769,$C458,Assignments!$F$2:$F$769,$F458,Assignments!$G$2:$G$769,"Active"),0))</f>
        <v/>
      </c>
    </row>
    <row r="459">
      <c r="A459" s="28" t="inlineStr">
        <is>
          <t>Nina</t>
        </is>
      </c>
      <c r="B459" s="16">
        <f>IF($A459="","",IFERROR(INDEX(Roster!$B$2:$B$40,MATCH($A459,Roster!$A$2:$A$40,0)),"?"))</f>
        <v/>
      </c>
      <c r="C459" s="28" t="inlineStr">
        <is>
          <t>Irradiant_ITC_1</t>
        </is>
      </c>
      <c r="D459" s="16">
        <f>IF($C459="","",IFERROR(IF(INDEX(Deals!$C$2:$C$355,MATCH($C459,Deals!$A$2:$A$355,0))=0,"",INDEX(Deals!$C$2:$C$355,MATCH($C459,Deals!$A$2:$A$355,0))),"?"))</f>
        <v/>
      </c>
      <c r="E459" s="16">
        <f>IF($C459="","",IFERROR(INDEX(Deals!$F$2:$F$355,MATCH($C459,Deals!$A$2:$A$355,0)),"?"))</f>
        <v/>
      </c>
      <c r="F459" s="28" t="inlineStr">
        <is>
          <t>Senior Associate</t>
        </is>
      </c>
      <c r="G459" s="28" t="inlineStr">
        <is>
          <t>Active</t>
        </is>
      </c>
      <c r="H459" s="31" t="n"/>
      <c r="I459" s="32">
        <f>IF(OR($A459="",$G459&lt;&gt;"Active"),0,IF($H459&lt;&gt;"",$H459,IF($AO459&gt;0,$AP459,IF(AND($R459&lt;&gt;"",IFERROR(INDEX(Templates!$B$3:$H$10,MATCH($R459,Templates!$A$3:$A$10,0),MATCH($F459,Templates!$B$2:$H$2,0)),0)&gt;0),INDEX(Templates!$B$3:$H$10,MATCH($R459,Templates!$A$3:$A$10,0),MATCH($F459,Templates!$B$2:$H$2,0)),IFERROR(INDEX(Settings!$B$8:$B$14,MATCH($F459,Settings!$A$8:$A$14,0)),0)))))</f>
        <v/>
      </c>
      <c r="J459" s="21">
        <f>IF($C459="",0,IFERROR(INDEX(Deals!$H$2:$H$355,MATCH($C459,Deals!$A$2:$A$355,0)),0))</f>
        <v/>
      </c>
      <c r="K459" s="32">
        <f>IF(Settings!$B$4="Yes",$I459*$J459,$I459)</f>
        <v/>
      </c>
      <c r="L459" s="22">
        <f>IF($C459="","",IFERROR(IF(INDEX(Deals!$I$2:$I$355,MATCH($C459,Deals!$A$2:$A$355,0))=0,"",INDEX(Deals!$I$2:$I$355,MATCH($C459,Deals!$A$2:$A$355,0))),""))</f>
        <v/>
      </c>
      <c r="M459" s="22">
        <f>IF($C459="","",IFERROR(IF(INDEX(Deals!$J$2:$J$355,MATCH($C459,Deals!$A$2:$A$355,0))=0,"",INDEX(Deals!$J$2:$J$355,MATCH($C459,Deals!$A$2:$A$355,0))),""))</f>
        <v/>
      </c>
      <c r="N459" s="35">
        <f>IF($L459="",DATE(1900,1,1),$L459)</f>
        <v/>
      </c>
      <c r="O459" s="35">
        <f>IF($M459="",DATE(2100,12,31),$M459)</f>
        <v/>
      </c>
      <c r="P459" s="20" t="inlineStr">
        <is>
          <t>Ongoing</t>
        </is>
      </c>
      <c r="Q459" s="47" t="inlineStr">
        <is>
          <t>Added from Summary tab</t>
        </is>
      </c>
      <c r="R459" s="16">
        <f>IF($C459="","",IFERROR(IF(INDEX(Deals!$U$2:$U$355,MATCH($C459,Deals!$A$2:$A$355,0))=0,"",INDEX(Deals!$U$2:$U$355,MATCH($C459,Deals!$A$2:$A$355,0))),""))</f>
        <v/>
      </c>
      <c r="S459" s="34">
        <f>IFERROR(IF($U459="",1,INDEX(Deals!$V$2:$V$355,MATCH($C459,Deals!$A$2:$A$355,0))),1)</f>
        <v/>
      </c>
      <c r="T459" s="34">
        <f>IFERROR(IF($U459="",1,INDEX(Deals!$W$2:$W$355,MATCH($C459,Deals!$A$2:$A$355,0))),1)</f>
        <v/>
      </c>
      <c r="U459" s="22">
        <f>IF($C459="","",IFERROR(IF(INDEX(Deals!$Y$2:$Y$355,MATCH($C459,Deals!$A$2:$A$355,0))=0,"",INDEX(Deals!$Y$2:$Y$355,MATCH($C459,Deals!$A$2:$A$355,0))),""))</f>
        <v/>
      </c>
      <c r="V459" s="35">
        <f>IF(OR($U459&lt;&gt;"",AND($AO459&gt;0,$L459&lt;&gt;"",$M459&lt;&gt;"")),$N459,DATE(1900,1,1))</f>
        <v/>
      </c>
      <c r="W459" s="35">
        <f>IF($U459&lt;&gt;"",$U459,IF(AND($AO459&gt;0,$L459&lt;&gt;"",$M459&lt;&gt;""),$O459,DATE(2100,12,31)))</f>
        <v/>
      </c>
      <c r="X459" s="32">
        <f>IF($U459="",$K459,$K459*$S459)</f>
        <v/>
      </c>
      <c r="Y459" s="35">
        <f>IF($U459="",DATE(2100,12,31),$U459+1)</f>
        <v/>
      </c>
      <c r="Z459" s="35">
        <f>IF($U459="",DATE(1900,1,1),$O459)</f>
        <v/>
      </c>
      <c r="AA459" s="32">
        <f>IF($U459="",0,$K459*$T459)</f>
        <v/>
      </c>
      <c r="AB459" s="21">
        <f>IF($C459="",0,IFERROR(INDEX(Deals!$AD$2:$AD$355,MATCH($C459,Deals!$A$2:$A$355,0)),0))</f>
        <v/>
      </c>
      <c r="AC459" s="32">
        <f>IF(Settings!$B$4="Yes",$I459*$AB459,$I459)</f>
        <v/>
      </c>
      <c r="AD459" s="22">
        <f>IF($C459="","",IFERROR(IF(INDEX(Deals!$AE$2:$AE$355,MATCH($C459,Deals!$A$2:$A$355,0))=0,"",INDEX(Deals!$AE$2:$AE$355,MATCH($C459,Deals!$A$2:$A$355,0))),""))</f>
        <v/>
      </c>
      <c r="AE459" s="22">
        <f>IF($C459="","",IFERROR(IF(INDEX(Deals!$AF$2:$AF$355,MATCH($C459,Deals!$A$2:$A$355,0))=0,"",INDEX(Deals!$AF$2:$AF$355,MATCH($C459,Deals!$A$2:$A$355,0))),""))</f>
        <v/>
      </c>
      <c r="AF459" s="35">
        <f>IF($AD459="",DATE(1900,1,1),$AD459)</f>
        <v/>
      </c>
      <c r="AG459" s="35">
        <f>IF($AE459="",DATE(2100,12,31),$AE459)</f>
        <v/>
      </c>
      <c r="AH459" s="22">
        <f>IF($C459="","",IFERROR(IF(INDEX(Deals!$AG$2:$AG$355,MATCH($C459,Deals!$A$2:$A$355,0))=0,"",INDEX(Deals!$AG$2:$AG$355,MATCH($C459,Deals!$A$2:$A$355,0))),""))</f>
        <v/>
      </c>
      <c r="AI459" s="35">
        <f>IF(OR($AH459&lt;&gt;"",AND($AO459&gt;0,$AD459&lt;&gt;"",$AE459&lt;&gt;"")),$AF459,DATE(1900,1,1))</f>
        <v/>
      </c>
      <c r="AJ459" s="35">
        <f>IF($AH459&lt;&gt;"",$AH459,IF(AND($AO459&gt;0,$AD459&lt;&gt;"",$AE459&lt;&gt;""),$AG459,DATE(2100,12,31)))</f>
        <v/>
      </c>
      <c r="AK459" s="32">
        <f>IF($AH459="",$AC459,$AC459*$S459)</f>
        <v/>
      </c>
      <c r="AL459" s="35">
        <f>IF($AH459="",DATE(2100,12,31),$AH459+1)</f>
        <v/>
      </c>
      <c r="AM459" s="35">
        <f>IF($AH459="",DATE(1900,1,1),$AG459)</f>
        <v/>
      </c>
      <c r="AN459" s="32">
        <f>IF($AH459="",0,$AC459*$T459)</f>
        <v/>
      </c>
      <c r="AO459" s="46">
        <f>IF($C459="",0,IFERROR(INDEX(Deals!$BD$2:$BD$355,MATCH($C459,Deals!$A$2:$A$355,0)),0))</f>
        <v/>
      </c>
      <c r="AP459" s="18">
        <f>IF($AO459=0,0,IFERROR(INDEX(Deals!$BJ$2:$BP$355,MATCH($C459,Deals!$A$2:$A$355,0),MATCH($F459,Deals!$BJ$1:$BP$1,0))/COUNTIFS(Assignments!$C$2:$C$769,$C459,Assignments!$F$2:$F$769,$F459,Assignments!$G$2:$G$769,"Active"),0))</f>
        <v/>
      </c>
    </row>
    <row r="460">
      <c r="A460" s="28" t="inlineStr">
        <is>
          <t>Nina</t>
        </is>
      </c>
      <c r="B460" s="16">
        <f>IF($A460="","",IFERROR(INDEX(Roster!$B$2:$B$40,MATCH($A460,Roster!$A$2:$A$40,0)),"?"))</f>
        <v/>
      </c>
      <c r="C460" s="28" t="inlineStr">
        <is>
          <t>Justin_2</t>
        </is>
      </c>
      <c r="D460" s="16">
        <f>IF($C460="","",IFERROR(IF(INDEX(Deals!$C$2:$C$355,MATCH($C460,Deals!$A$2:$A$355,0))=0,"",INDEX(Deals!$C$2:$C$355,MATCH($C460,Deals!$A$2:$A$355,0))),"?"))</f>
        <v/>
      </c>
      <c r="E460" s="16">
        <f>IF($C460="","",IFERROR(INDEX(Deals!$F$2:$F$355,MATCH($C460,Deals!$A$2:$A$355,0)),"?"))</f>
        <v/>
      </c>
      <c r="F460" s="28" t="inlineStr">
        <is>
          <t>Senior Associate</t>
        </is>
      </c>
      <c r="G460" s="28" t="inlineStr">
        <is>
          <t>Active</t>
        </is>
      </c>
      <c r="H460" s="31" t="n"/>
      <c r="I460" s="32">
        <f>IF(OR($A460="",$G460&lt;&gt;"Active"),0,IF($H460&lt;&gt;"",$H460,IF($AO460&gt;0,$AP460,IF(AND($R460&lt;&gt;"",IFERROR(INDEX(Templates!$B$3:$H$10,MATCH($R460,Templates!$A$3:$A$10,0),MATCH($F460,Templates!$B$2:$H$2,0)),0)&gt;0),INDEX(Templates!$B$3:$H$10,MATCH($R460,Templates!$A$3:$A$10,0),MATCH($F460,Templates!$B$2:$H$2,0)),IFERROR(INDEX(Settings!$B$8:$B$14,MATCH($F460,Settings!$A$8:$A$14,0)),0)))))</f>
        <v/>
      </c>
      <c r="J460" s="21">
        <f>IF($C460="",0,IFERROR(INDEX(Deals!$H$2:$H$355,MATCH($C460,Deals!$A$2:$A$355,0)),0))</f>
        <v/>
      </c>
      <c r="K460" s="32">
        <f>IF(Settings!$B$4="Yes",$I460*$J460,$I460)</f>
        <v/>
      </c>
      <c r="L460" s="22">
        <f>IF($C460="","",IFERROR(IF(INDEX(Deals!$I$2:$I$355,MATCH($C460,Deals!$A$2:$A$355,0))=0,"",INDEX(Deals!$I$2:$I$355,MATCH($C460,Deals!$A$2:$A$355,0))),""))</f>
        <v/>
      </c>
      <c r="M460" s="22">
        <f>IF($C460="","",IFERROR(IF(INDEX(Deals!$J$2:$J$355,MATCH($C460,Deals!$A$2:$A$355,0))=0,"",INDEX(Deals!$J$2:$J$355,MATCH($C460,Deals!$A$2:$A$355,0))),""))</f>
        <v/>
      </c>
      <c r="N460" s="35">
        <f>IF($L460="",DATE(1900,1,1),$L460)</f>
        <v/>
      </c>
      <c r="O460" s="35">
        <f>IF($M460="",DATE(2100,12,31),$M460)</f>
        <v/>
      </c>
      <c r="P460" s="20" t="inlineStr"/>
      <c r="Q460" s="47" t="inlineStr"/>
      <c r="R460" s="16">
        <f>IF($C460="","",IFERROR(IF(INDEX(Deals!$U$2:$U$355,MATCH($C460,Deals!$A$2:$A$355,0))=0,"",INDEX(Deals!$U$2:$U$355,MATCH($C460,Deals!$A$2:$A$355,0))),""))</f>
        <v/>
      </c>
      <c r="S460" s="34">
        <f>IFERROR(IF($U460="",1,INDEX(Deals!$V$2:$V$355,MATCH($C460,Deals!$A$2:$A$355,0))),1)</f>
        <v/>
      </c>
      <c r="T460" s="34">
        <f>IFERROR(IF($U460="",1,INDEX(Deals!$W$2:$W$355,MATCH($C460,Deals!$A$2:$A$355,0))),1)</f>
        <v/>
      </c>
      <c r="U460" s="22">
        <f>IF($C460="","",IFERROR(IF(INDEX(Deals!$Y$2:$Y$355,MATCH($C460,Deals!$A$2:$A$355,0))=0,"",INDEX(Deals!$Y$2:$Y$355,MATCH($C460,Deals!$A$2:$A$355,0))),""))</f>
        <v/>
      </c>
      <c r="V460" s="35">
        <f>IF(OR($U460&lt;&gt;"",AND($AO460&gt;0,$L460&lt;&gt;"",$M460&lt;&gt;"")),$N460,DATE(1900,1,1))</f>
        <v/>
      </c>
      <c r="W460" s="35">
        <f>IF($U460&lt;&gt;"",$U460,IF(AND($AO460&gt;0,$L460&lt;&gt;"",$M460&lt;&gt;""),$O460,DATE(2100,12,31)))</f>
        <v/>
      </c>
      <c r="X460" s="32">
        <f>IF($U460="",$K460,$K460*$S460)</f>
        <v/>
      </c>
      <c r="Y460" s="35">
        <f>IF($U460="",DATE(2100,12,31),$U460+1)</f>
        <v/>
      </c>
      <c r="Z460" s="35">
        <f>IF($U460="",DATE(1900,1,1),$O460)</f>
        <v/>
      </c>
      <c r="AA460" s="32">
        <f>IF($U460="",0,$K460*$T460)</f>
        <v/>
      </c>
      <c r="AB460" s="21">
        <f>IF($C460="",0,IFERROR(INDEX(Deals!$AD$2:$AD$355,MATCH($C460,Deals!$A$2:$A$355,0)),0))</f>
        <v/>
      </c>
      <c r="AC460" s="32">
        <f>IF(Settings!$B$4="Yes",$I460*$AB460,$I460)</f>
        <v/>
      </c>
      <c r="AD460" s="22">
        <f>IF($C460="","",IFERROR(IF(INDEX(Deals!$AE$2:$AE$355,MATCH($C460,Deals!$A$2:$A$355,0))=0,"",INDEX(Deals!$AE$2:$AE$355,MATCH($C460,Deals!$A$2:$A$355,0))),""))</f>
        <v/>
      </c>
      <c r="AE460" s="22">
        <f>IF($C460="","",IFERROR(IF(INDEX(Deals!$AF$2:$AF$355,MATCH($C460,Deals!$A$2:$A$355,0))=0,"",INDEX(Deals!$AF$2:$AF$355,MATCH($C460,Deals!$A$2:$A$355,0))),""))</f>
        <v/>
      </c>
      <c r="AF460" s="35">
        <f>IF($AD460="",DATE(1900,1,1),$AD460)</f>
        <v/>
      </c>
      <c r="AG460" s="35">
        <f>IF($AE460="",DATE(2100,12,31),$AE460)</f>
        <v/>
      </c>
      <c r="AH460" s="22">
        <f>IF($C460="","",IFERROR(IF(INDEX(Deals!$AG$2:$AG$355,MATCH($C460,Deals!$A$2:$A$355,0))=0,"",INDEX(Deals!$AG$2:$AG$355,MATCH($C460,Deals!$A$2:$A$355,0))),""))</f>
        <v/>
      </c>
      <c r="AI460" s="35">
        <f>IF(OR($AH460&lt;&gt;"",AND($AO460&gt;0,$AD460&lt;&gt;"",$AE460&lt;&gt;"")),$AF460,DATE(1900,1,1))</f>
        <v/>
      </c>
      <c r="AJ460" s="35">
        <f>IF($AH460&lt;&gt;"",$AH460,IF(AND($AO460&gt;0,$AD460&lt;&gt;"",$AE460&lt;&gt;""),$AG460,DATE(2100,12,31)))</f>
        <v/>
      </c>
      <c r="AK460" s="32">
        <f>IF($AH460="",$AC460,$AC460*$S460)</f>
        <v/>
      </c>
      <c r="AL460" s="35">
        <f>IF($AH460="",DATE(2100,12,31),$AH460+1)</f>
        <v/>
      </c>
      <c r="AM460" s="35">
        <f>IF($AH460="",DATE(1900,1,1),$AG460)</f>
        <v/>
      </c>
      <c r="AN460" s="32">
        <f>IF($AH460="",0,$AC460*$T460)</f>
        <v/>
      </c>
      <c r="AO460" s="46">
        <f>IF($C460="",0,IFERROR(INDEX(Deals!$BD$2:$BD$355,MATCH($C460,Deals!$A$2:$A$355,0)),0))</f>
        <v/>
      </c>
      <c r="AP460" s="18">
        <f>IF($AO460=0,0,IFERROR(INDEX(Deals!$BJ$2:$BP$355,MATCH($C460,Deals!$A$2:$A$355,0),MATCH($F460,Deals!$BJ$1:$BP$1,0))/COUNTIFS(Assignments!$C$2:$C$769,$C460,Assignments!$F$2:$F$769,$F460,Assignments!$G$2:$G$769,"Active"),0))</f>
        <v/>
      </c>
    </row>
    <row r="461">
      <c r="A461" s="28" t="inlineStr">
        <is>
          <t>Nina</t>
        </is>
      </c>
      <c r="B461" s="16">
        <f>IF($A461="","",IFERROR(INDEX(Roster!$B$2:$B$40,MATCH($A461,Roster!$A$2:$A$40,0)),"?"))</f>
        <v/>
      </c>
      <c r="C461" s="28" t="inlineStr">
        <is>
          <t>kingfisher FIRPTA</t>
        </is>
      </c>
      <c r="D461" s="16">
        <f>IF($C461="","",IFERROR(IF(INDEX(Deals!$C$2:$C$355,MATCH($C461,Deals!$A$2:$A$355,0))=0,"",INDEX(Deals!$C$2:$C$355,MATCH($C461,Deals!$A$2:$A$355,0))),"?"))</f>
        <v/>
      </c>
      <c r="E461" s="16">
        <f>IF($C461="","",IFERROR(INDEX(Deals!$F$2:$F$355,MATCH($C461,Deals!$A$2:$A$355,0)),"?"))</f>
        <v/>
      </c>
      <c r="F461" s="28" t="inlineStr">
        <is>
          <t>Senior Associate</t>
        </is>
      </c>
      <c r="G461" s="28" t="inlineStr">
        <is>
          <t>Active</t>
        </is>
      </c>
      <c r="H461" s="31" t="n"/>
      <c r="I461" s="32">
        <f>IF(OR($A461="",$G461&lt;&gt;"Active"),0,IF($H461&lt;&gt;"",$H461,IF($AO461&gt;0,$AP461,IF(AND($R461&lt;&gt;"",IFERROR(INDEX(Templates!$B$3:$H$10,MATCH($R461,Templates!$A$3:$A$10,0),MATCH($F461,Templates!$B$2:$H$2,0)),0)&gt;0),INDEX(Templates!$B$3:$H$10,MATCH($R461,Templates!$A$3:$A$10,0),MATCH($F461,Templates!$B$2:$H$2,0)),IFERROR(INDEX(Settings!$B$8:$B$14,MATCH($F461,Settings!$A$8:$A$14,0)),0)))))</f>
        <v/>
      </c>
      <c r="J461" s="21">
        <f>IF($C461="",0,IFERROR(INDEX(Deals!$H$2:$H$355,MATCH($C461,Deals!$A$2:$A$355,0)),0))</f>
        <v/>
      </c>
      <c r="K461" s="32">
        <f>IF(Settings!$B$4="Yes",$I461*$J461,$I461)</f>
        <v/>
      </c>
      <c r="L461" s="22">
        <f>IF($C461="","",IFERROR(IF(INDEX(Deals!$I$2:$I$355,MATCH($C461,Deals!$A$2:$A$355,0))=0,"",INDEX(Deals!$I$2:$I$355,MATCH($C461,Deals!$A$2:$A$355,0))),""))</f>
        <v/>
      </c>
      <c r="M461" s="22">
        <f>IF($C461="","",IFERROR(IF(INDEX(Deals!$J$2:$J$355,MATCH($C461,Deals!$A$2:$A$355,0))=0,"",INDEX(Deals!$J$2:$J$355,MATCH($C461,Deals!$A$2:$A$355,0))),""))</f>
        <v/>
      </c>
      <c r="N461" s="35">
        <f>IF($L461="",DATE(1900,1,1),$L461)</f>
        <v/>
      </c>
      <c r="O461" s="35">
        <f>IF($M461="",DATE(2100,12,31),$M461)</f>
        <v/>
      </c>
      <c r="P461" s="20" t="inlineStr">
        <is>
          <t>Proposal sent</t>
        </is>
      </c>
      <c r="Q461" s="47" t="inlineStr">
        <is>
          <t>Added from Summary tab</t>
        </is>
      </c>
      <c r="R461" s="16">
        <f>IF($C461="","",IFERROR(IF(INDEX(Deals!$U$2:$U$355,MATCH($C461,Deals!$A$2:$A$355,0))=0,"",INDEX(Deals!$U$2:$U$355,MATCH($C461,Deals!$A$2:$A$355,0))),""))</f>
        <v/>
      </c>
      <c r="S461" s="34">
        <f>IFERROR(IF($U461="",1,INDEX(Deals!$V$2:$V$355,MATCH($C461,Deals!$A$2:$A$355,0))),1)</f>
        <v/>
      </c>
      <c r="T461" s="34">
        <f>IFERROR(IF($U461="",1,INDEX(Deals!$W$2:$W$355,MATCH($C461,Deals!$A$2:$A$355,0))),1)</f>
        <v/>
      </c>
      <c r="U461" s="22">
        <f>IF($C461="","",IFERROR(IF(INDEX(Deals!$Y$2:$Y$355,MATCH($C461,Deals!$A$2:$A$355,0))=0,"",INDEX(Deals!$Y$2:$Y$355,MATCH($C461,Deals!$A$2:$A$355,0))),""))</f>
        <v/>
      </c>
      <c r="V461" s="35">
        <f>IF(OR($U461&lt;&gt;"",AND($AO461&gt;0,$L461&lt;&gt;"",$M461&lt;&gt;"")),$N461,DATE(1900,1,1))</f>
        <v/>
      </c>
      <c r="W461" s="35">
        <f>IF($U461&lt;&gt;"",$U461,IF(AND($AO461&gt;0,$L461&lt;&gt;"",$M461&lt;&gt;""),$O461,DATE(2100,12,31)))</f>
        <v/>
      </c>
      <c r="X461" s="32">
        <f>IF($U461="",$K461,$K461*$S461)</f>
        <v/>
      </c>
      <c r="Y461" s="35">
        <f>IF($U461="",DATE(2100,12,31),$U461+1)</f>
        <v/>
      </c>
      <c r="Z461" s="35">
        <f>IF($U461="",DATE(1900,1,1),$O461)</f>
        <v/>
      </c>
      <c r="AA461" s="32">
        <f>IF($U461="",0,$K461*$T461)</f>
        <v/>
      </c>
      <c r="AB461" s="21">
        <f>IF($C461="",0,IFERROR(INDEX(Deals!$AD$2:$AD$355,MATCH($C461,Deals!$A$2:$A$355,0)),0))</f>
        <v/>
      </c>
      <c r="AC461" s="32">
        <f>IF(Settings!$B$4="Yes",$I461*$AB461,$I461)</f>
        <v/>
      </c>
      <c r="AD461" s="22">
        <f>IF($C461="","",IFERROR(IF(INDEX(Deals!$AE$2:$AE$355,MATCH($C461,Deals!$A$2:$A$355,0))=0,"",INDEX(Deals!$AE$2:$AE$355,MATCH($C461,Deals!$A$2:$A$355,0))),""))</f>
        <v/>
      </c>
      <c r="AE461" s="22">
        <f>IF($C461="","",IFERROR(IF(INDEX(Deals!$AF$2:$AF$355,MATCH($C461,Deals!$A$2:$A$355,0))=0,"",INDEX(Deals!$AF$2:$AF$355,MATCH($C461,Deals!$A$2:$A$355,0))),""))</f>
        <v/>
      </c>
      <c r="AF461" s="35">
        <f>IF($AD461="",DATE(1900,1,1),$AD461)</f>
        <v/>
      </c>
      <c r="AG461" s="35">
        <f>IF($AE461="",DATE(2100,12,31),$AE461)</f>
        <v/>
      </c>
      <c r="AH461" s="22">
        <f>IF($C461="","",IFERROR(IF(INDEX(Deals!$AG$2:$AG$355,MATCH($C461,Deals!$A$2:$A$355,0))=0,"",INDEX(Deals!$AG$2:$AG$355,MATCH($C461,Deals!$A$2:$A$355,0))),""))</f>
        <v/>
      </c>
      <c r="AI461" s="35">
        <f>IF(OR($AH461&lt;&gt;"",AND($AO461&gt;0,$AD461&lt;&gt;"",$AE461&lt;&gt;"")),$AF461,DATE(1900,1,1))</f>
        <v/>
      </c>
      <c r="AJ461" s="35">
        <f>IF($AH461&lt;&gt;"",$AH461,IF(AND($AO461&gt;0,$AD461&lt;&gt;"",$AE461&lt;&gt;""),$AG461,DATE(2100,12,31)))</f>
        <v/>
      </c>
      <c r="AK461" s="32">
        <f>IF($AH461="",$AC461,$AC461*$S461)</f>
        <v/>
      </c>
      <c r="AL461" s="35">
        <f>IF($AH461="",DATE(2100,12,31),$AH461+1)</f>
        <v/>
      </c>
      <c r="AM461" s="35">
        <f>IF($AH461="",DATE(1900,1,1),$AG461)</f>
        <v/>
      </c>
      <c r="AN461" s="32">
        <f>IF($AH461="",0,$AC461*$T461)</f>
        <v/>
      </c>
      <c r="AO461" s="46">
        <f>IF($C461="",0,IFERROR(INDEX(Deals!$BD$2:$BD$355,MATCH($C461,Deals!$A$2:$A$355,0)),0))</f>
        <v/>
      </c>
      <c r="AP461" s="18">
        <f>IF($AO461=0,0,IFERROR(INDEX(Deals!$BJ$2:$BP$355,MATCH($C461,Deals!$A$2:$A$355,0),MATCH($F461,Deals!$BJ$1:$BP$1,0))/COUNTIFS(Assignments!$C$2:$C$769,$C461,Assignments!$F$2:$F$769,$F461,Assignments!$G$2:$G$769,"Active"),0))</f>
        <v/>
      </c>
    </row>
    <row r="462">
      <c r="A462" s="28" t="inlineStr">
        <is>
          <t>Nina</t>
        </is>
      </c>
      <c r="B462" s="16">
        <f>IF($A462="","",IFERROR(INDEX(Roster!$B$2:$B$40,MATCH($A462,Roster!$A$2:$A$40,0)),"?"))</f>
        <v/>
      </c>
      <c r="C462" s="28" t="inlineStr">
        <is>
          <t>Legolas_1</t>
        </is>
      </c>
      <c r="D462" s="16">
        <f>IF($C462="","",IFERROR(IF(INDEX(Deals!$C$2:$C$355,MATCH($C462,Deals!$A$2:$A$355,0))=0,"",INDEX(Deals!$C$2:$C$355,MATCH($C462,Deals!$A$2:$A$355,0))),"?"))</f>
        <v/>
      </c>
      <c r="E462" s="16">
        <f>IF($C462="","",IFERROR(INDEX(Deals!$F$2:$F$355,MATCH($C462,Deals!$A$2:$A$355,0)),"?"))</f>
        <v/>
      </c>
      <c r="F462" s="28" t="inlineStr">
        <is>
          <t>Senior Associate</t>
        </is>
      </c>
      <c r="G462" s="28" t="inlineStr">
        <is>
          <t>Inactive</t>
        </is>
      </c>
      <c r="H462" s="31" t="n"/>
      <c r="I462" s="32">
        <f>IF(OR($A462="",$G462&lt;&gt;"Active"),0,IF($H462&lt;&gt;"",$H462,IF($AO462&gt;0,$AP462,IF(AND($R462&lt;&gt;"",IFERROR(INDEX(Templates!$B$3:$H$10,MATCH($R462,Templates!$A$3:$A$10,0),MATCH($F462,Templates!$B$2:$H$2,0)),0)&gt;0),INDEX(Templates!$B$3:$H$10,MATCH($R462,Templates!$A$3:$A$10,0),MATCH($F462,Templates!$B$2:$H$2,0)),IFERROR(INDEX(Settings!$B$8:$B$14,MATCH($F462,Settings!$A$8:$A$14,0)),0)))))</f>
        <v/>
      </c>
      <c r="J462" s="21">
        <f>IF($C462="",0,IFERROR(INDEX(Deals!$H$2:$H$355,MATCH($C462,Deals!$A$2:$A$355,0)),0))</f>
        <v/>
      </c>
      <c r="K462" s="32">
        <f>IF(Settings!$B$4="Yes",$I462*$J462,$I462)</f>
        <v/>
      </c>
      <c r="L462" s="22">
        <f>IF($C462="","",IFERROR(IF(INDEX(Deals!$I$2:$I$355,MATCH($C462,Deals!$A$2:$A$355,0))=0,"",INDEX(Deals!$I$2:$I$355,MATCH($C462,Deals!$A$2:$A$355,0))),""))</f>
        <v/>
      </c>
      <c r="M462" s="22">
        <f>IF($C462="","",IFERROR(IF(INDEX(Deals!$J$2:$J$355,MATCH($C462,Deals!$A$2:$A$355,0))=0,"",INDEX(Deals!$J$2:$J$355,MATCH($C462,Deals!$A$2:$A$355,0))),""))</f>
        <v/>
      </c>
      <c r="N462" s="35">
        <f>IF($L462="",DATE(1900,1,1),$L462)</f>
        <v/>
      </c>
      <c r="O462" s="35">
        <f>IF($M462="",DATE(2100,12,31),$M462)</f>
        <v/>
      </c>
      <c r="P462" s="20" t="inlineStr">
        <is>
          <t>Closed</t>
        </is>
      </c>
      <c r="Q462" s="47" t="inlineStr">
        <is>
          <t>Added from Summary tab</t>
        </is>
      </c>
      <c r="R462" s="16">
        <f>IF($C462="","",IFERROR(IF(INDEX(Deals!$U$2:$U$355,MATCH($C462,Deals!$A$2:$A$355,0))=0,"",INDEX(Deals!$U$2:$U$355,MATCH($C462,Deals!$A$2:$A$355,0))),""))</f>
        <v/>
      </c>
      <c r="S462" s="34">
        <f>IFERROR(IF($U462="",1,INDEX(Deals!$V$2:$V$355,MATCH($C462,Deals!$A$2:$A$355,0))),1)</f>
        <v/>
      </c>
      <c r="T462" s="34">
        <f>IFERROR(IF($U462="",1,INDEX(Deals!$W$2:$W$355,MATCH($C462,Deals!$A$2:$A$355,0))),1)</f>
        <v/>
      </c>
      <c r="U462" s="22">
        <f>IF($C462="","",IFERROR(IF(INDEX(Deals!$Y$2:$Y$355,MATCH($C462,Deals!$A$2:$A$355,0))=0,"",INDEX(Deals!$Y$2:$Y$355,MATCH($C462,Deals!$A$2:$A$355,0))),""))</f>
        <v/>
      </c>
      <c r="V462" s="35">
        <f>IF(OR($U462&lt;&gt;"",AND($AO462&gt;0,$L462&lt;&gt;"",$M462&lt;&gt;"")),$N462,DATE(1900,1,1))</f>
        <v/>
      </c>
      <c r="W462" s="35">
        <f>IF($U462&lt;&gt;"",$U462,IF(AND($AO462&gt;0,$L462&lt;&gt;"",$M462&lt;&gt;""),$O462,DATE(2100,12,31)))</f>
        <v/>
      </c>
      <c r="X462" s="32">
        <f>IF($U462="",$K462,$K462*$S462)</f>
        <v/>
      </c>
      <c r="Y462" s="35">
        <f>IF($U462="",DATE(2100,12,31),$U462+1)</f>
        <v/>
      </c>
      <c r="Z462" s="35">
        <f>IF($U462="",DATE(1900,1,1),$O462)</f>
        <v/>
      </c>
      <c r="AA462" s="32">
        <f>IF($U462="",0,$K462*$T462)</f>
        <v/>
      </c>
      <c r="AB462" s="21">
        <f>IF($C462="",0,IFERROR(INDEX(Deals!$AD$2:$AD$355,MATCH($C462,Deals!$A$2:$A$355,0)),0))</f>
        <v/>
      </c>
      <c r="AC462" s="32">
        <f>IF(Settings!$B$4="Yes",$I462*$AB462,$I462)</f>
        <v/>
      </c>
      <c r="AD462" s="22">
        <f>IF($C462="","",IFERROR(IF(INDEX(Deals!$AE$2:$AE$355,MATCH($C462,Deals!$A$2:$A$355,0))=0,"",INDEX(Deals!$AE$2:$AE$355,MATCH($C462,Deals!$A$2:$A$355,0))),""))</f>
        <v/>
      </c>
      <c r="AE462" s="22">
        <f>IF($C462="","",IFERROR(IF(INDEX(Deals!$AF$2:$AF$355,MATCH($C462,Deals!$A$2:$A$355,0))=0,"",INDEX(Deals!$AF$2:$AF$355,MATCH($C462,Deals!$A$2:$A$355,0))),""))</f>
        <v/>
      </c>
      <c r="AF462" s="35">
        <f>IF($AD462="",DATE(1900,1,1),$AD462)</f>
        <v/>
      </c>
      <c r="AG462" s="35">
        <f>IF($AE462="",DATE(2100,12,31),$AE462)</f>
        <v/>
      </c>
      <c r="AH462" s="22">
        <f>IF($C462="","",IFERROR(IF(INDEX(Deals!$AG$2:$AG$355,MATCH($C462,Deals!$A$2:$A$355,0))=0,"",INDEX(Deals!$AG$2:$AG$355,MATCH($C462,Deals!$A$2:$A$355,0))),""))</f>
        <v/>
      </c>
      <c r="AI462" s="35">
        <f>IF(OR($AH462&lt;&gt;"",AND($AO462&gt;0,$AD462&lt;&gt;"",$AE462&lt;&gt;"")),$AF462,DATE(1900,1,1))</f>
        <v/>
      </c>
      <c r="AJ462" s="35">
        <f>IF($AH462&lt;&gt;"",$AH462,IF(AND($AO462&gt;0,$AD462&lt;&gt;"",$AE462&lt;&gt;""),$AG462,DATE(2100,12,31)))</f>
        <v/>
      </c>
      <c r="AK462" s="32">
        <f>IF($AH462="",$AC462,$AC462*$S462)</f>
        <v/>
      </c>
      <c r="AL462" s="35">
        <f>IF($AH462="",DATE(2100,12,31),$AH462+1)</f>
        <v/>
      </c>
      <c r="AM462" s="35">
        <f>IF($AH462="",DATE(1900,1,1),$AG462)</f>
        <v/>
      </c>
      <c r="AN462" s="32">
        <f>IF($AH462="",0,$AC462*$T462)</f>
        <v/>
      </c>
      <c r="AO462" s="46">
        <f>IF($C462="",0,IFERROR(INDEX(Deals!$BD$2:$BD$355,MATCH($C462,Deals!$A$2:$A$355,0)),0))</f>
        <v/>
      </c>
      <c r="AP462" s="18">
        <f>IF($AO462=0,0,IFERROR(INDEX(Deals!$BJ$2:$BP$355,MATCH($C462,Deals!$A$2:$A$355,0),MATCH($F462,Deals!$BJ$1:$BP$1,0))/COUNTIFS(Assignments!$C$2:$C$769,$C462,Assignments!$F$2:$F$769,$F462,Assignments!$G$2:$G$769,"Active"),0))</f>
        <v/>
      </c>
    </row>
    <row r="463">
      <c r="A463" s="28" t="inlineStr">
        <is>
          <t>Nina</t>
        </is>
      </c>
      <c r="B463" s="16">
        <f>IF($A463="","",IFERROR(INDEX(Roster!$B$2:$B$40,MATCH($A463,Roster!$A$2:$A$40,0)),"?"))</f>
        <v/>
      </c>
      <c r="C463" s="28" t="inlineStr">
        <is>
          <t>Long_2</t>
        </is>
      </c>
      <c r="D463" s="16">
        <f>IF($C463="","",IFERROR(IF(INDEX(Deals!$C$2:$C$355,MATCH($C463,Deals!$A$2:$A$355,0))=0,"",INDEX(Deals!$C$2:$C$355,MATCH($C463,Deals!$A$2:$A$355,0))),"?"))</f>
        <v/>
      </c>
      <c r="E463" s="16">
        <f>IF($C463="","",IFERROR(INDEX(Deals!$F$2:$F$355,MATCH($C463,Deals!$A$2:$A$355,0)),"?"))</f>
        <v/>
      </c>
      <c r="F463" s="28" t="inlineStr">
        <is>
          <t>Senior Associate</t>
        </is>
      </c>
      <c r="G463" s="28" t="inlineStr">
        <is>
          <t>Active</t>
        </is>
      </c>
      <c r="H463" s="31" t="n"/>
      <c r="I463" s="32">
        <f>IF(OR($A463="",$G463&lt;&gt;"Active"),0,IF($H463&lt;&gt;"",$H463,IF($AO463&gt;0,$AP463,IF(AND($R463&lt;&gt;"",IFERROR(INDEX(Templates!$B$3:$H$10,MATCH($R463,Templates!$A$3:$A$10,0),MATCH($F463,Templates!$B$2:$H$2,0)),0)&gt;0),INDEX(Templates!$B$3:$H$10,MATCH($R463,Templates!$A$3:$A$10,0),MATCH($F463,Templates!$B$2:$H$2,0)),IFERROR(INDEX(Settings!$B$8:$B$14,MATCH($F463,Settings!$A$8:$A$14,0)),0)))))</f>
        <v/>
      </c>
      <c r="J463" s="21">
        <f>IF($C463="",0,IFERROR(INDEX(Deals!$H$2:$H$355,MATCH($C463,Deals!$A$2:$A$355,0)),0))</f>
        <v/>
      </c>
      <c r="K463" s="32">
        <f>IF(Settings!$B$4="Yes",$I463*$J463,$I463)</f>
        <v/>
      </c>
      <c r="L463" s="22">
        <f>IF($C463="","",IFERROR(IF(INDEX(Deals!$I$2:$I$355,MATCH($C463,Deals!$A$2:$A$355,0))=0,"",INDEX(Deals!$I$2:$I$355,MATCH($C463,Deals!$A$2:$A$355,0))),""))</f>
        <v/>
      </c>
      <c r="M463" s="22">
        <f>IF($C463="","",IFERROR(IF(INDEX(Deals!$J$2:$J$355,MATCH($C463,Deals!$A$2:$A$355,0))=0,"",INDEX(Deals!$J$2:$J$355,MATCH($C463,Deals!$A$2:$A$355,0))),""))</f>
        <v/>
      </c>
      <c r="N463" s="35">
        <f>IF($L463="",DATE(1900,1,1),$L463)</f>
        <v/>
      </c>
      <c r="O463" s="35">
        <f>IF($M463="",DATE(2100,12,31),$M463)</f>
        <v/>
      </c>
      <c r="P463" s="20" t="inlineStr"/>
      <c r="Q463" s="47" t="inlineStr"/>
      <c r="R463" s="16">
        <f>IF($C463="","",IFERROR(IF(INDEX(Deals!$U$2:$U$355,MATCH($C463,Deals!$A$2:$A$355,0))=0,"",INDEX(Deals!$U$2:$U$355,MATCH($C463,Deals!$A$2:$A$355,0))),""))</f>
        <v/>
      </c>
      <c r="S463" s="34">
        <f>IFERROR(IF($U463="",1,INDEX(Deals!$V$2:$V$355,MATCH($C463,Deals!$A$2:$A$355,0))),1)</f>
        <v/>
      </c>
      <c r="T463" s="34">
        <f>IFERROR(IF($U463="",1,INDEX(Deals!$W$2:$W$355,MATCH($C463,Deals!$A$2:$A$355,0))),1)</f>
        <v/>
      </c>
      <c r="U463" s="22">
        <f>IF($C463="","",IFERROR(IF(INDEX(Deals!$Y$2:$Y$355,MATCH($C463,Deals!$A$2:$A$355,0))=0,"",INDEX(Deals!$Y$2:$Y$355,MATCH($C463,Deals!$A$2:$A$355,0))),""))</f>
        <v/>
      </c>
      <c r="V463" s="35">
        <f>IF(OR($U463&lt;&gt;"",AND($AO463&gt;0,$L463&lt;&gt;"",$M463&lt;&gt;"")),$N463,DATE(1900,1,1))</f>
        <v/>
      </c>
      <c r="W463" s="35">
        <f>IF($U463&lt;&gt;"",$U463,IF(AND($AO463&gt;0,$L463&lt;&gt;"",$M463&lt;&gt;""),$O463,DATE(2100,12,31)))</f>
        <v/>
      </c>
      <c r="X463" s="32">
        <f>IF($U463="",$K463,$K463*$S463)</f>
        <v/>
      </c>
      <c r="Y463" s="35">
        <f>IF($U463="",DATE(2100,12,31),$U463+1)</f>
        <v/>
      </c>
      <c r="Z463" s="35">
        <f>IF($U463="",DATE(1900,1,1),$O463)</f>
        <v/>
      </c>
      <c r="AA463" s="32">
        <f>IF($U463="",0,$K463*$T463)</f>
        <v/>
      </c>
      <c r="AB463" s="21">
        <f>IF($C463="",0,IFERROR(INDEX(Deals!$AD$2:$AD$355,MATCH($C463,Deals!$A$2:$A$355,0)),0))</f>
        <v/>
      </c>
      <c r="AC463" s="32">
        <f>IF(Settings!$B$4="Yes",$I463*$AB463,$I463)</f>
        <v/>
      </c>
      <c r="AD463" s="22">
        <f>IF($C463="","",IFERROR(IF(INDEX(Deals!$AE$2:$AE$355,MATCH($C463,Deals!$A$2:$A$355,0))=0,"",INDEX(Deals!$AE$2:$AE$355,MATCH($C463,Deals!$A$2:$A$355,0))),""))</f>
        <v/>
      </c>
      <c r="AE463" s="22">
        <f>IF($C463="","",IFERROR(IF(INDEX(Deals!$AF$2:$AF$355,MATCH($C463,Deals!$A$2:$A$355,0))=0,"",INDEX(Deals!$AF$2:$AF$355,MATCH($C463,Deals!$A$2:$A$355,0))),""))</f>
        <v/>
      </c>
      <c r="AF463" s="35">
        <f>IF($AD463="",DATE(1900,1,1),$AD463)</f>
        <v/>
      </c>
      <c r="AG463" s="35">
        <f>IF($AE463="",DATE(2100,12,31),$AE463)</f>
        <v/>
      </c>
      <c r="AH463" s="22">
        <f>IF($C463="","",IFERROR(IF(INDEX(Deals!$AG$2:$AG$355,MATCH($C463,Deals!$A$2:$A$355,0))=0,"",INDEX(Deals!$AG$2:$AG$355,MATCH($C463,Deals!$A$2:$A$355,0))),""))</f>
        <v/>
      </c>
      <c r="AI463" s="35">
        <f>IF(OR($AH463&lt;&gt;"",AND($AO463&gt;0,$AD463&lt;&gt;"",$AE463&lt;&gt;"")),$AF463,DATE(1900,1,1))</f>
        <v/>
      </c>
      <c r="AJ463" s="35">
        <f>IF($AH463&lt;&gt;"",$AH463,IF(AND($AO463&gt;0,$AD463&lt;&gt;"",$AE463&lt;&gt;""),$AG463,DATE(2100,12,31)))</f>
        <v/>
      </c>
      <c r="AK463" s="32">
        <f>IF($AH463="",$AC463,$AC463*$S463)</f>
        <v/>
      </c>
      <c r="AL463" s="35">
        <f>IF($AH463="",DATE(2100,12,31),$AH463+1)</f>
        <v/>
      </c>
      <c r="AM463" s="35">
        <f>IF($AH463="",DATE(1900,1,1),$AG463)</f>
        <v/>
      </c>
      <c r="AN463" s="32">
        <f>IF($AH463="",0,$AC463*$T463)</f>
        <v/>
      </c>
      <c r="AO463" s="46">
        <f>IF($C463="",0,IFERROR(INDEX(Deals!$BD$2:$BD$355,MATCH($C463,Deals!$A$2:$A$355,0)),0))</f>
        <v/>
      </c>
      <c r="AP463" s="18">
        <f>IF($AO463=0,0,IFERROR(INDEX(Deals!$BJ$2:$BP$355,MATCH($C463,Deals!$A$2:$A$355,0),MATCH($F463,Deals!$BJ$1:$BP$1,0))/COUNTIFS(Assignments!$C$2:$C$769,$C463,Assignments!$F$2:$F$769,$F463,Assignments!$G$2:$G$769,"Active"),0))</f>
        <v/>
      </c>
    </row>
    <row r="464">
      <c r="A464" s="28" t="inlineStr">
        <is>
          <t>Nina</t>
        </is>
      </c>
      <c r="B464" s="16">
        <f>IF($A464="","",IFERROR(INDEX(Roster!$B$2:$B$40,MATCH($A464,Roster!$A$2:$A$40,0)),"?"))</f>
        <v/>
      </c>
      <c r="C464" s="28" t="inlineStr">
        <is>
          <t>Maple_4</t>
        </is>
      </c>
      <c r="D464" s="16">
        <f>IF($C464="","",IFERROR(IF(INDEX(Deals!$C$2:$C$355,MATCH($C464,Deals!$A$2:$A$355,0))=0,"",INDEX(Deals!$C$2:$C$355,MATCH($C464,Deals!$A$2:$A$355,0))),"?"))</f>
        <v/>
      </c>
      <c r="E464" s="16">
        <f>IF($C464="","",IFERROR(INDEX(Deals!$F$2:$F$355,MATCH($C464,Deals!$A$2:$A$355,0)),"?"))</f>
        <v/>
      </c>
      <c r="F464" s="28" t="inlineStr">
        <is>
          <t>Senior Associate</t>
        </is>
      </c>
      <c r="G464" s="28" t="inlineStr">
        <is>
          <t>Inactive</t>
        </is>
      </c>
      <c r="H464" s="31" t="n"/>
      <c r="I464" s="32">
        <f>IF(OR($A464="",$G464&lt;&gt;"Active"),0,IF($H464&lt;&gt;"",$H464,IF($AO464&gt;0,$AP464,IF(AND($R464&lt;&gt;"",IFERROR(INDEX(Templates!$B$3:$H$10,MATCH($R464,Templates!$A$3:$A$10,0),MATCH($F464,Templates!$B$2:$H$2,0)),0)&gt;0),INDEX(Templates!$B$3:$H$10,MATCH($R464,Templates!$A$3:$A$10,0),MATCH($F464,Templates!$B$2:$H$2,0)),IFERROR(INDEX(Settings!$B$8:$B$14,MATCH($F464,Settings!$A$8:$A$14,0)),0)))))</f>
        <v/>
      </c>
      <c r="J464" s="21">
        <f>IF($C464="",0,IFERROR(INDEX(Deals!$H$2:$H$355,MATCH($C464,Deals!$A$2:$A$355,0)),0))</f>
        <v/>
      </c>
      <c r="K464" s="32">
        <f>IF(Settings!$B$4="Yes",$I464*$J464,$I464)</f>
        <v/>
      </c>
      <c r="L464" s="22">
        <f>IF($C464="","",IFERROR(IF(INDEX(Deals!$I$2:$I$355,MATCH($C464,Deals!$A$2:$A$355,0))=0,"",INDEX(Deals!$I$2:$I$355,MATCH($C464,Deals!$A$2:$A$355,0))),""))</f>
        <v/>
      </c>
      <c r="M464" s="22">
        <f>IF($C464="","",IFERROR(IF(INDEX(Deals!$J$2:$J$355,MATCH($C464,Deals!$A$2:$A$355,0))=0,"",INDEX(Deals!$J$2:$J$355,MATCH($C464,Deals!$A$2:$A$355,0))),""))</f>
        <v/>
      </c>
      <c r="N464" s="35">
        <f>IF($L464="",DATE(1900,1,1),$L464)</f>
        <v/>
      </c>
      <c r="O464" s="35">
        <f>IF($M464="",DATE(2100,12,31),$M464)</f>
        <v/>
      </c>
      <c r="P464" s="20" t="inlineStr">
        <is>
          <t>Closed</t>
        </is>
      </c>
      <c r="Q464" s="47" t="inlineStr"/>
      <c r="R464" s="16">
        <f>IF($C464="","",IFERROR(IF(INDEX(Deals!$U$2:$U$355,MATCH($C464,Deals!$A$2:$A$355,0))=0,"",INDEX(Deals!$U$2:$U$355,MATCH($C464,Deals!$A$2:$A$355,0))),""))</f>
        <v/>
      </c>
      <c r="S464" s="34">
        <f>IFERROR(IF($U464="",1,INDEX(Deals!$V$2:$V$355,MATCH($C464,Deals!$A$2:$A$355,0))),1)</f>
        <v/>
      </c>
      <c r="T464" s="34">
        <f>IFERROR(IF($U464="",1,INDEX(Deals!$W$2:$W$355,MATCH($C464,Deals!$A$2:$A$355,0))),1)</f>
        <v/>
      </c>
      <c r="U464" s="22">
        <f>IF($C464="","",IFERROR(IF(INDEX(Deals!$Y$2:$Y$355,MATCH($C464,Deals!$A$2:$A$355,0))=0,"",INDEX(Deals!$Y$2:$Y$355,MATCH($C464,Deals!$A$2:$A$355,0))),""))</f>
        <v/>
      </c>
      <c r="V464" s="35">
        <f>IF(OR($U464&lt;&gt;"",AND($AO464&gt;0,$L464&lt;&gt;"",$M464&lt;&gt;"")),$N464,DATE(1900,1,1))</f>
        <v/>
      </c>
      <c r="W464" s="35">
        <f>IF($U464&lt;&gt;"",$U464,IF(AND($AO464&gt;0,$L464&lt;&gt;"",$M464&lt;&gt;""),$O464,DATE(2100,12,31)))</f>
        <v/>
      </c>
      <c r="X464" s="32">
        <f>IF($U464="",$K464,$K464*$S464)</f>
        <v/>
      </c>
      <c r="Y464" s="35">
        <f>IF($U464="",DATE(2100,12,31),$U464+1)</f>
        <v/>
      </c>
      <c r="Z464" s="35">
        <f>IF($U464="",DATE(1900,1,1),$O464)</f>
        <v/>
      </c>
      <c r="AA464" s="32">
        <f>IF($U464="",0,$K464*$T464)</f>
        <v/>
      </c>
      <c r="AB464" s="21">
        <f>IF($C464="",0,IFERROR(INDEX(Deals!$AD$2:$AD$355,MATCH($C464,Deals!$A$2:$A$355,0)),0))</f>
        <v/>
      </c>
      <c r="AC464" s="32">
        <f>IF(Settings!$B$4="Yes",$I464*$AB464,$I464)</f>
        <v/>
      </c>
      <c r="AD464" s="22">
        <f>IF($C464="","",IFERROR(IF(INDEX(Deals!$AE$2:$AE$355,MATCH($C464,Deals!$A$2:$A$355,0))=0,"",INDEX(Deals!$AE$2:$AE$355,MATCH($C464,Deals!$A$2:$A$355,0))),""))</f>
        <v/>
      </c>
      <c r="AE464" s="22">
        <f>IF($C464="","",IFERROR(IF(INDEX(Deals!$AF$2:$AF$355,MATCH($C464,Deals!$A$2:$A$355,0))=0,"",INDEX(Deals!$AF$2:$AF$355,MATCH($C464,Deals!$A$2:$A$355,0))),""))</f>
        <v/>
      </c>
      <c r="AF464" s="35">
        <f>IF($AD464="",DATE(1900,1,1),$AD464)</f>
        <v/>
      </c>
      <c r="AG464" s="35">
        <f>IF($AE464="",DATE(2100,12,31),$AE464)</f>
        <v/>
      </c>
      <c r="AH464" s="22">
        <f>IF($C464="","",IFERROR(IF(INDEX(Deals!$AG$2:$AG$355,MATCH($C464,Deals!$A$2:$A$355,0))=0,"",INDEX(Deals!$AG$2:$AG$355,MATCH($C464,Deals!$A$2:$A$355,0))),""))</f>
        <v/>
      </c>
      <c r="AI464" s="35">
        <f>IF(OR($AH464&lt;&gt;"",AND($AO464&gt;0,$AD464&lt;&gt;"",$AE464&lt;&gt;"")),$AF464,DATE(1900,1,1))</f>
        <v/>
      </c>
      <c r="AJ464" s="35">
        <f>IF($AH464&lt;&gt;"",$AH464,IF(AND($AO464&gt;0,$AD464&lt;&gt;"",$AE464&lt;&gt;""),$AG464,DATE(2100,12,31)))</f>
        <v/>
      </c>
      <c r="AK464" s="32">
        <f>IF($AH464="",$AC464,$AC464*$S464)</f>
        <v/>
      </c>
      <c r="AL464" s="35">
        <f>IF($AH464="",DATE(2100,12,31),$AH464+1)</f>
        <v/>
      </c>
      <c r="AM464" s="35">
        <f>IF($AH464="",DATE(1900,1,1),$AG464)</f>
        <v/>
      </c>
      <c r="AN464" s="32">
        <f>IF($AH464="",0,$AC464*$T464)</f>
        <v/>
      </c>
      <c r="AO464" s="46">
        <f>IF($C464="",0,IFERROR(INDEX(Deals!$BD$2:$BD$355,MATCH($C464,Deals!$A$2:$A$355,0)),0))</f>
        <v/>
      </c>
      <c r="AP464" s="18">
        <f>IF($AO464=0,0,IFERROR(INDEX(Deals!$BJ$2:$BP$355,MATCH($C464,Deals!$A$2:$A$355,0),MATCH($F464,Deals!$BJ$1:$BP$1,0))/COUNTIFS(Assignments!$C$2:$C$769,$C464,Assignments!$F$2:$F$769,$F464,Assignments!$G$2:$G$769,"Active"),0))</f>
        <v/>
      </c>
    </row>
    <row r="465">
      <c r="A465" s="28" t="inlineStr">
        <is>
          <t>Nina</t>
        </is>
      </c>
      <c r="B465" s="16">
        <f>IF($A465="","",IFERROR(INDEX(Roster!$B$2:$B$40,MATCH($A465,Roster!$A$2:$A$40,0)),"?"))</f>
        <v/>
      </c>
      <c r="C465" s="28" t="inlineStr">
        <is>
          <t>Mozart_2</t>
        </is>
      </c>
      <c r="D465" s="16">
        <f>IF($C465="","",IFERROR(IF(INDEX(Deals!$C$2:$C$355,MATCH($C465,Deals!$A$2:$A$355,0))=0,"",INDEX(Deals!$C$2:$C$355,MATCH($C465,Deals!$A$2:$A$355,0))),"?"))</f>
        <v/>
      </c>
      <c r="E465" s="16">
        <f>IF($C465="","",IFERROR(INDEX(Deals!$F$2:$F$355,MATCH($C465,Deals!$A$2:$A$355,0)),"?"))</f>
        <v/>
      </c>
      <c r="F465" s="28" t="inlineStr">
        <is>
          <t>Senior Associate</t>
        </is>
      </c>
      <c r="G465" s="28" t="inlineStr">
        <is>
          <t>Inactive</t>
        </is>
      </c>
      <c r="H465" s="31" t="n"/>
      <c r="I465" s="32">
        <f>IF(OR($A465="",$G465&lt;&gt;"Active"),0,IF($H465&lt;&gt;"",$H465,IF($AO465&gt;0,$AP465,IF(AND($R465&lt;&gt;"",IFERROR(INDEX(Templates!$B$3:$H$10,MATCH($R465,Templates!$A$3:$A$10,0),MATCH($F465,Templates!$B$2:$H$2,0)),0)&gt;0),INDEX(Templates!$B$3:$H$10,MATCH($R465,Templates!$A$3:$A$10,0),MATCH($F465,Templates!$B$2:$H$2,0)),IFERROR(INDEX(Settings!$B$8:$B$14,MATCH($F465,Settings!$A$8:$A$14,0)),0)))))</f>
        <v/>
      </c>
      <c r="J465" s="21">
        <f>IF($C465="",0,IFERROR(INDEX(Deals!$H$2:$H$355,MATCH($C465,Deals!$A$2:$A$355,0)),0))</f>
        <v/>
      </c>
      <c r="K465" s="32">
        <f>IF(Settings!$B$4="Yes",$I465*$J465,$I465)</f>
        <v/>
      </c>
      <c r="L465" s="22">
        <f>IF($C465="","",IFERROR(IF(INDEX(Deals!$I$2:$I$355,MATCH($C465,Deals!$A$2:$A$355,0))=0,"",INDEX(Deals!$I$2:$I$355,MATCH($C465,Deals!$A$2:$A$355,0))),""))</f>
        <v/>
      </c>
      <c r="M465" s="22">
        <f>IF($C465="","",IFERROR(IF(INDEX(Deals!$J$2:$J$355,MATCH($C465,Deals!$A$2:$A$355,0))=0,"",INDEX(Deals!$J$2:$J$355,MATCH($C465,Deals!$A$2:$A$355,0))),""))</f>
        <v/>
      </c>
      <c r="N465" s="35">
        <f>IF($L465="",DATE(1900,1,1),$L465)</f>
        <v/>
      </c>
      <c r="O465" s="35">
        <f>IF($M465="",DATE(2100,12,31),$M465)</f>
        <v/>
      </c>
      <c r="P465" s="20" t="inlineStr">
        <is>
          <t>Closed</t>
        </is>
      </c>
      <c r="Q465" s="47" t="inlineStr"/>
      <c r="R465" s="16">
        <f>IF($C465="","",IFERROR(IF(INDEX(Deals!$U$2:$U$355,MATCH($C465,Deals!$A$2:$A$355,0))=0,"",INDEX(Deals!$U$2:$U$355,MATCH($C465,Deals!$A$2:$A$355,0))),""))</f>
        <v/>
      </c>
      <c r="S465" s="34">
        <f>IFERROR(IF($U465="",1,INDEX(Deals!$V$2:$V$355,MATCH($C465,Deals!$A$2:$A$355,0))),1)</f>
        <v/>
      </c>
      <c r="T465" s="34">
        <f>IFERROR(IF($U465="",1,INDEX(Deals!$W$2:$W$355,MATCH($C465,Deals!$A$2:$A$355,0))),1)</f>
        <v/>
      </c>
      <c r="U465" s="22">
        <f>IF($C465="","",IFERROR(IF(INDEX(Deals!$Y$2:$Y$355,MATCH($C465,Deals!$A$2:$A$355,0))=0,"",INDEX(Deals!$Y$2:$Y$355,MATCH($C465,Deals!$A$2:$A$355,0))),""))</f>
        <v/>
      </c>
      <c r="V465" s="35">
        <f>IF(OR($U465&lt;&gt;"",AND($AO465&gt;0,$L465&lt;&gt;"",$M465&lt;&gt;"")),$N465,DATE(1900,1,1))</f>
        <v/>
      </c>
      <c r="W465" s="35">
        <f>IF($U465&lt;&gt;"",$U465,IF(AND($AO465&gt;0,$L465&lt;&gt;"",$M465&lt;&gt;""),$O465,DATE(2100,12,31)))</f>
        <v/>
      </c>
      <c r="X465" s="32">
        <f>IF($U465="",$K465,$K465*$S465)</f>
        <v/>
      </c>
      <c r="Y465" s="35">
        <f>IF($U465="",DATE(2100,12,31),$U465+1)</f>
        <v/>
      </c>
      <c r="Z465" s="35">
        <f>IF($U465="",DATE(1900,1,1),$O465)</f>
        <v/>
      </c>
      <c r="AA465" s="32">
        <f>IF($U465="",0,$K465*$T465)</f>
        <v/>
      </c>
      <c r="AB465" s="21">
        <f>IF($C465="",0,IFERROR(INDEX(Deals!$AD$2:$AD$355,MATCH($C465,Deals!$A$2:$A$355,0)),0))</f>
        <v/>
      </c>
      <c r="AC465" s="32">
        <f>IF(Settings!$B$4="Yes",$I465*$AB465,$I465)</f>
        <v/>
      </c>
      <c r="AD465" s="22">
        <f>IF($C465="","",IFERROR(IF(INDEX(Deals!$AE$2:$AE$355,MATCH($C465,Deals!$A$2:$A$355,0))=0,"",INDEX(Deals!$AE$2:$AE$355,MATCH($C465,Deals!$A$2:$A$355,0))),""))</f>
        <v/>
      </c>
      <c r="AE465" s="22">
        <f>IF($C465="","",IFERROR(IF(INDEX(Deals!$AF$2:$AF$355,MATCH($C465,Deals!$A$2:$A$355,0))=0,"",INDEX(Deals!$AF$2:$AF$355,MATCH($C465,Deals!$A$2:$A$355,0))),""))</f>
        <v/>
      </c>
      <c r="AF465" s="35">
        <f>IF($AD465="",DATE(1900,1,1),$AD465)</f>
        <v/>
      </c>
      <c r="AG465" s="35">
        <f>IF($AE465="",DATE(2100,12,31),$AE465)</f>
        <v/>
      </c>
      <c r="AH465" s="22">
        <f>IF($C465="","",IFERROR(IF(INDEX(Deals!$AG$2:$AG$355,MATCH($C465,Deals!$A$2:$A$355,0))=0,"",INDEX(Deals!$AG$2:$AG$355,MATCH($C465,Deals!$A$2:$A$355,0))),""))</f>
        <v/>
      </c>
      <c r="AI465" s="35">
        <f>IF(OR($AH465&lt;&gt;"",AND($AO465&gt;0,$AD465&lt;&gt;"",$AE465&lt;&gt;"")),$AF465,DATE(1900,1,1))</f>
        <v/>
      </c>
      <c r="AJ465" s="35">
        <f>IF($AH465&lt;&gt;"",$AH465,IF(AND($AO465&gt;0,$AD465&lt;&gt;"",$AE465&lt;&gt;""),$AG465,DATE(2100,12,31)))</f>
        <v/>
      </c>
      <c r="AK465" s="32">
        <f>IF($AH465="",$AC465,$AC465*$S465)</f>
        <v/>
      </c>
      <c r="AL465" s="35">
        <f>IF($AH465="",DATE(2100,12,31),$AH465+1)</f>
        <v/>
      </c>
      <c r="AM465" s="35">
        <f>IF($AH465="",DATE(1900,1,1),$AG465)</f>
        <v/>
      </c>
      <c r="AN465" s="32">
        <f>IF($AH465="",0,$AC465*$T465)</f>
        <v/>
      </c>
      <c r="AO465" s="46">
        <f>IF($C465="",0,IFERROR(INDEX(Deals!$BD$2:$BD$355,MATCH($C465,Deals!$A$2:$A$355,0)),0))</f>
        <v/>
      </c>
      <c r="AP465" s="18">
        <f>IF($AO465=0,0,IFERROR(INDEX(Deals!$BJ$2:$BP$355,MATCH($C465,Deals!$A$2:$A$355,0),MATCH($F465,Deals!$BJ$1:$BP$1,0))/COUNTIFS(Assignments!$C$2:$C$769,$C465,Assignments!$F$2:$F$769,$F465,Assignments!$G$2:$G$769,"Active"),0))</f>
        <v/>
      </c>
    </row>
    <row r="466">
      <c r="A466" s="28" t="inlineStr">
        <is>
          <t>Nina</t>
        </is>
      </c>
      <c r="B466" s="16">
        <f>IF($A466="","",IFERROR(INDEX(Roster!$B$2:$B$40,MATCH($A466,Roster!$A$2:$A$40,0)),"?"))</f>
        <v/>
      </c>
      <c r="C466" s="28" t="inlineStr">
        <is>
          <t>Ninedot_3</t>
        </is>
      </c>
      <c r="D466" s="16">
        <f>IF($C466="","",IFERROR(IF(INDEX(Deals!$C$2:$C$355,MATCH($C466,Deals!$A$2:$A$355,0))=0,"",INDEX(Deals!$C$2:$C$355,MATCH($C466,Deals!$A$2:$A$355,0))),"?"))</f>
        <v/>
      </c>
      <c r="E466" s="16">
        <f>IF($C466="","",IFERROR(INDEX(Deals!$F$2:$F$355,MATCH($C466,Deals!$A$2:$A$355,0)),"?"))</f>
        <v/>
      </c>
      <c r="F466" s="28" t="inlineStr">
        <is>
          <t>Senior Associate</t>
        </is>
      </c>
      <c r="G466" s="28" t="inlineStr">
        <is>
          <t>Inactive</t>
        </is>
      </c>
      <c r="H466" s="31" t="n"/>
      <c r="I466" s="32">
        <f>IF(OR($A466="",$G466&lt;&gt;"Active"),0,IF($H466&lt;&gt;"",$H466,IF($AO466&gt;0,$AP466,IF(AND($R466&lt;&gt;"",IFERROR(INDEX(Templates!$B$3:$H$10,MATCH($R466,Templates!$A$3:$A$10,0),MATCH($F466,Templates!$B$2:$H$2,0)),0)&gt;0),INDEX(Templates!$B$3:$H$10,MATCH($R466,Templates!$A$3:$A$10,0),MATCH($F466,Templates!$B$2:$H$2,0)),IFERROR(INDEX(Settings!$B$8:$B$14,MATCH($F466,Settings!$A$8:$A$14,0)),0)))))</f>
        <v/>
      </c>
      <c r="J466" s="21">
        <f>IF($C466="",0,IFERROR(INDEX(Deals!$H$2:$H$355,MATCH($C466,Deals!$A$2:$A$355,0)),0))</f>
        <v/>
      </c>
      <c r="K466" s="32">
        <f>IF(Settings!$B$4="Yes",$I466*$J466,$I466)</f>
        <v/>
      </c>
      <c r="L466" s="22">
        <f>IF($C466="","",IFERROR(IF(INDEX(Deals!$I$2:$I$355,MATCH($C466,Deals!$A$2:$A$355,0))=0,"",INDEX(Deals!$I$2:$I$355,MATCH($C466,Deals!$A$2:$A$355,0))),""))</f>
        <v/>
      </c>
      <c r="M466" s="22">
        <f>IF($C466="","",IFERROR(IF(INDEX(Deals!$J$2:$J$355,MATCH($C466,Deals!$A$2:$A$355,0))=0,"",INDEX(Deals!$J$2:$J$355,MATCH($C466,Deals!$A$2:$A$355,0))),""))</f>
        <v/>
      </c>
      <c r="N466" s="35">
        <f>IF($L466="",DATE(1900,1,1),$L466)</f>
        <v/>
      </c>
      <c r="O466" s="35">
        <f>IF($M466="",DATE(2100,12,31),$M466)</f>
        <v/>
      </c>
      <c r="P466" s="20" t="inlineStr">
        <is>
          <t>Closed</t>
        </is>
      </c>
      <c r="Q466" s="47" t="inlineStr"/>
      <c r="R466" s="16">
        <f>IF($C466="","",IFERROR(IF(INDEX(Deals!$U$2:$U$355,MATCH($C466,Deals!$A$2:$A$355,0))=0,"",INDEX(Deals!$U$2:$U$355,MATCH($C466,Deals!$A$2:$A$355,0))),""))</f>
        <v/>
      </c>
      <c r="S466" s="34">
        <f>IFERROR(IF($U466="",1,INDEX(Deals!$V$2:$V$355,MATCH($C466,Deals!$A$2:$A$355,0))),1)</f>
        <v/>
      </c>
      <c r="T466" s="34">
        <f>IFERROR(IF($U466="",1,INDEX(Deals!$W$2:$W$355,MATCH($C466,Deals!$A$2:$A$355,0))),1)</f>
        <v/>
      </c>
      <c r="U466" s="22">
        <f>IF($C466="","",IFERROR(IF(INDEX(Deals!$Y$2:$Y$355,MATCH($C466,Deals!$A$2:$A$355,0))=0,"",INDEX(Deals!$Y$2:$Y$355,MATCH($C466,Deals!$A$2:$A$355,0))),""))</f>
        <v/>
      </c>
      <c r="V466" s="35">
        <f>IF(OR($U466&lt;&gt;"",AND($AO466&gt;0,$L466&lt;&gt;"",$M466&lt;&gt;"")),$N466,DATE(1900,1,1))</f>
        <v/>
      </c>
      <c r="W466" s="35">
        <f>IF($U466&lt;&gt;"",$U466,IF(AND($AO466&gt;0,$L466&lt;&gt;"",$M466&lt;&gt;""),$O466,DATE(2100,12,31)))</f>
        <v/>
      </c>
      <c r="X466" s="32">
        <f>IF($U466="",$K466,$K466*$S466)</f>
        <v/>
      </c>
      <c r="Y466" s="35">
        <f>IF($U466="",DATE(2100,12,31),$U466+1)</f>
        <v/>
      </c>
      <c r="Z466" s="35">
        <f>IF($U466="",DATE(1900,1,1),$O466)</f>
        <v/>
      </c>
      <c r="AA466" s="32">
        <f>IF($U466="",0,$K466*$T466)</f>
        <v/>
      </c>
      <c r="AB466" s="21">
        <f>IF($C466="",0,IFERROR(INDEX(Deals!$AD$2:$AD$355,MATCH($C466,Deals!$A$2:$A$355,0)),0))</f>
        <v/>
      </c>
      <c r="AC466" s="32">
        <f>IF(Settings!$B$4="Yes",$I466*$AB466,$I466)</f>
        <v/>
      </c>
      <c r="AD466" s="22">
        <f>IF($C466="","",IFERROR(IF(INDEX(Deals!$AE$2:$AE$355,MATCH($C466,Deals!$A$2:$A$355,0))=0,"",INDEX(Deals!$AE$2:$AE$355,MATCH($C466,Deals!$A$2:$A$355,0))),""))</f>
        <v/>
      </c>
      <c r="AE466" s="22">
        <f>IF($C466="","",IFERROR(IF(INDEX(Deals!$AF$2:$AF$355,MATCH($C466,Deals!$A$2:$A$355,0))=0,"",INDEX(Deals!$AF$2:$AF$355,MATCH($C466,Deals!$A$2:$A$355,0))),""))</f>
        <v/>
      </c>
      <c r="AF466" s="35">
        <f>IF($AD466="",DATE(1900,1,1),$AD466)</f>
        <v/>
      </c>
      <c r="AG466" s="35">
        <f>IF($AE466="",DATE(2100,12,31),$AE466)</f>
        <v/>
      </c>
      <c r="AH466" s="22">
        <f>IF($C466="","",IFERROR(IF(INDEX(Deals!$AG$2:$AG$355,MATCH($C466,Deals!$A$2:$A$355,0))=0,"",INDEX(Deals!$AG$2:$AG$355,MATCH($C466,Deals!$A$2:$A$355,0))),""))</f>
        <v/>
      </c>
      <c r="AI466" s="35">
        <f>IF(OR($AH466&lt;&gt;"",AND($AO466&gt;0,$AD466&lt;&gt;"",$AE466&lt;&gt;"")),$AF466,DATE(1900,1,1))</f>
        <v/>
      </c>
      <c r="AJ466" s="35">
        <f>IF($AH466&lt;&gt;"",$AH466,IF(AND($AO466&gt;0,$AD466&lt;&gt;"",$AE466&lt;&gt;""),$AG466,DATE(2100,12,31)))</f>
        <v/>
      </c>
      <c r="AK466" s="32">
        <f>IF($AH466="",$AC466,$AC466*$S466)</f>
        <v/>
      </c>
      <c r="AL466" s="35">
        <f>IF($AH466="",DATE(2100,12,31),$AH466+1)</f>
        <v/>
      </c>
      <c r="AM466" s="35">
        <f>IF($AH466="",DATE(1900,1,1),$AG466)</f>
        <v/>
      </c>
      <c r="AN466" s="32">
        <f>IF($AH466="",0,$AC466*$T466)</f>
        <v/>
      </c>
      <c r="AO466" s="46">
        <f>IF($C466="",0,IFERROR(INDEX(Deals!$BD$2:$BD$355,MATCH($C466,Deals!$A$2:$A$355,0)),0))</f>
        <v/>
      </c>
      <c r="AP466" s="18">
        <f>IF($AO466=0,0,IFERROR(INDEX(Deals!$BJ$2:$BP$355,MATCH($C466,Deals!$A$2:$A$355,0),MATCH($F466,Deals!$BJ$1:$BP$1,0))/COUNTIFS(Assignments!$C$2:$C$769,$C466,Assignments!$F$2:$F$769,$F466,Assignments!$G$2:$G$769,"Active"),0))</f>
        <v/>
      </c>
    </row>
    <row r="467">
      <c r="A467" s="28" t="inlineStr">
        <is>
          <t>Nina</t>
        </is>
      </c>
      <c r="B467" s="16">
        <f>IF($A467="","",IFERROR(INDEX(Roster!$B$2:$B$40,MATCH($A467,Roster!$A$2:$A$40,0)),"?"))</f>
        <v/>
      </c>
      <c r="C467" s="28" t="inlineStr">
        <is>
          <t>Odysee/Atlas_2</t>
        </is>
      </c>
      <c r="D467" s="16">
        <f>IF($C467="","",IFERROR(IF(INDEX(Deals!$C$2:$C$355,MATCH($C467,Deals!$A$2:$A$355,0))=0,"",INDEX(Deals!$C$2:$C$355,MATCH($C467,Deals!$A$2:$A$355,0))),"?"))</f>
        <v/>
      </c>
      <c r="E467" s="16">
        <f>IF($C467="","",IFERROR(INDEX(Deals!$F$2:$F$355,MATCH($C467,Deals!$A$2:$A$355,0)),"?"))</f>
        <v/>
      </c>
      <c r="F467" s="28" t="inlineStr">
        <is>
          <t>Senior Associate</t>
        </is>
      </c>
      <c r="G467" s="28" t="inlineStr">
        <is>
          <t>Inactive</t>
        </is>
      </c>
      <c r="H467" s="31" t="n"/>
      <c r="I467" s="32">
        <f>IF(OR($A467="",$G467&lt;&gt;"Active"),0,IF($H467&lt;&gt;"",$H467,IF($AO467&gt;0,$AP467,IF(AND($R467&lt;&gt;"",IFERROR(INDEX(Templates!$B$3:$H$10,MATCH($R467,Templates!$A$3:$A$10,0),MATCH($F467,Templates!$B$2:$H$2,0)),0)&gt;0),INDEX(Templates!$B$3:$H$10,MATCH($R467,Templates!$A$3:$A$10,0),MATCH($F467,Templates!$B$2:$H$2,0)),IFERROR(INDEX(Settings!$B$8:$B$14,MATCH($F467,Settings!$A$8:$A$14,0)),0)))))</f>
        <v/>
      </c>
      <c r="J467" s="21">
        <f>IF($C467="",0,IFERROR(INDEX(Deals!$H$2:$H$355,MATCH($C467,Deals!$A$2:$A$355,0)),0))</f>
        <v/>
      </c>
      <c r="K467" s="32">
        <f>IF(Settings!$B$4="Yes",$I467*$J467,$I467)</f>
        <v/>
      </c>
      <c r="L467" s="22">
        <f>IF($C467="","",IFERROR(IF(INDEX(Deals!$I$2:$I$355,MATCH($C467,Deals!$A$2:$A$355,0))=0,"",INDEX(Deals!$I$2:$I$355,MATCH($C467,Deals!$A$2:$A$355,0))),""))</f>
        <v/>
      </c>
      <c r="M467" s="22">
        <f>IF($C467="","",IFERROR(IF(INDEX(Deals!$J$2:$J$355,MATCH($C467,Deals!$A$2:$A$355,0))=0,"",INDEX(Deals!$J$2:$J$355,MATCH($C467,Deals!$A$2:$A$355,0))),""))</f>
        <v/>
      </c>
      <c r="N467" s="35">
        <f>IF($L467="",DATE(1900,1,1),$L467)</f>
        <v/>
      </c>
      <c r="O467" s="35">
        <f>IF($M467="",DATE(2100,12,31),$M467)</f>
        <v/>
      </c>
      <c r="P467" s="20" t="inlineStr">
        <is>
          <t>Closed</t>
        </is>
      </c>
      <c r="Q467" s="47" t="inlineStr"/>
      <c r="R467" s="16">
        <f>IF($C467="","",IFERROR(IF(INDEX(Deals!$U$2:$U$355,MATCH($C467,Deals!$A$2:$A$355,0))=0,"",INDEX(Deals!$U$2:$U$355,MATCH($C467,Deals!$A$2:$A$355,0))),""))</f>
        <v/>
      </c>
      <c r="S467" s="34">
        <f>IFERROR(IF($U467="",1,INDEX(Deals!$V$2:$V$355,MATCH($C467,Deals!$A$2:$A$355,0))),1)</f>
        <v/>
      </c>
      <c r="T467" s="34">
        <f>IFERROR(IF($U467="",1,INDEX(Deals!$W$2:$W$355,MATCH($C467,Deals!$A$2:$A$355,0))),1)</f>
        <v/>
      </c>
      <c r="U467" s="22">
        <f>IF($C467="","",IFERROR(IF(INDEX(Deals!$Y$2:$Y$355,MATCH($C467,Deals!$A$2:$A$355,0))=0,"",INDEX(Deals!$Y$2:$Y$355,MATCH($C467,Deals!$A$2:$A$355,0))),""))</f>
        <v/>
      </c>
      <c r="V467" s="35">
        <f>IF(OR($U467&lt;&gt;"",AND($AO467&gt;0,$L467&lt;&gt;"",$M467&lt;&gt;"")),$N467,DATE(1900,1,1))</f>
        <v/>
      </c>
      <c r="W467" s="35">
        <f>IF($U467&lt;&gt;"",$U467,IF(AND($AO467&gt;0,$L467&lt;&gt;"",$M467&lt;&gt;""),$O467,DATE(2100,12,31)))</f>
        <v/>
      </c>
      <c r="X467" s="32">
        <f>IF($U467="",$K467,$K467*$S467)</f>
        <v/>
      </c>
      <c r="Y467" s="35">
        <f>IF($U467="",DATE(2100,12,31),$U467+1)</f>
        <v/>
      </c>
      <c r="Z467" s="35">
        <f>IF($U467="",DATE(1900,1,1),$O467)</f>
        <v/>
      </c>
      <c r="AA467" s="32">
        <f>IF($U467="",0,$K467*$T467)</f>
        <v/>
      </c>
      <c r="AB467" s="21">
        <f>IF($C467="",0,IFERROR(INDEX(Deals!$AD$2:$AD$355,MATCH($C467,Deals!$A$2:$A$355,0)),0))</f>
        <v/>
      </c>
      <c r="AC467" s="32">
        <f>IF(Settings!$B$4="Yes",$I467*$AB467,$I467)</f>
        <v/>
      </c>
      <c r="AD467" s="22">
        <f>IF($C467="","",IFERROR(IF(INDEX(Deals!$AE$2:$AE$355,MATCH($C467,Deals!$A$2:$A$355,0))=0,"",INDEX(Deals!$AE$2:$AE$355,MATCH($C467,Deals!$A$2:$A$355,0))),""))</f>
        <v/>
      </c>
      <c r="AE467" s="22">
        <f>IF($C467="","",IFERROR(IF(INDEX(Deals!$AF$2:$AF$355,MATCH($C467,Deals!$A$2:$A$355,0))=0,"",INDEX(Deals!$AF$2:$AF$355,MATCH($C467,Deals!$A$2:$A$355,0))),""))</f>
        <v/>
      </c>
      <c r="AF467" s="35">
        <f>IF($AD467="",DATE(1900,1,1),$AD467)</f>
        <v/>
      </c>
      <c r="AG467" s="35">
        <f>IF($AE467="",DATE(2100,12,31),$AE467)</f>
        <v/>
      </c>
      <c r="AH467" s="22">
        <f>IF($C467="","",IFERROR(IF(INDEX(Deals!$AG$2:$AG$355,MATCH($C467,Deals!$A$2:$A$355,0))=0,"",INDEX(Deals!$AG$2:$AG$355,MATCH($C467,Deals!$A$2:$A$355,0))),""))</f>
        <v/>
      </c>
      <c r="AI467" s="35">
        <f>IF(OR($AH467&lt;&gt;"",AND($AO467&gt;0,$AD467&lt;&gt;"",$AE467&lt;&gt;"")),$AF467,DATE(1900,1,1))</f>
        <v/>
      </c>
      <c r="AJ467" s="35">
        <f>IF($AH467&lt;&gt;"",$AH467,IF(AND($AO467&gt;0,$AD467&lt;&gt;"",$AE467&lt;&gt;""),$AG467,DATE(2100,12,31)))</f>
        <v/>
      </c>
      <c r="AK467" s="32">
        <f>IF($AH467="",$AC467,$AC467*$S467)</f>
        <v/>
      </c>
      <c r="AL467" s="35">
        <f>IF($AH467="",DATE(2100,12,31),$AH467+1)</f>
        <v/>
      </c>
      <c r="AM467" s="35">
        <f>IF($AH467="",DATE(1900,1,1),$AG467)</f>
        <v/>
      </c>
      <c r="AN467" s="32">
        <f>IF($AH467="",0,$AC467*$T467)</f>
        <v/>
      </c>
      <c r="AO467" s="46">
        <f>IF($C467="",0,IFERROR(INDEX(Deals!$BD$2:$BD$355,MATCH($C467,Deals!$A$2:$A$355,0)),0))</f>
        <v/>
      </c>
      <c r="AP467" s="18">
        <f>IF($AO467=0,0,IFERROR(INDEX(Deals!$BJ$2:$BP$355,MATCH($C467,Deals!$A$2:$A$355,0),MATCH($F467,Deals!$BJ$1:$BP$1,0))/COUNTIFS(Assignments!$C$2:$C$769,$C467,Assignments!$F$2:$F$769,$F467,Assignments!$G$2:$G$769,"Active"),0))</f>
        <v/>
      </c>
    </row>
    <row r="468">
      <c r="A468" s="28" t="inlineStr">
        <is>
          <t>Nina</t>
        </is>
      </c>
      <c r="B468" s="16">
        <f>IF($A468="","",IFERROR(INDEX(Roster!$B$2:$B$40,MATCH($A468,Roster!$A$2:$A$40,0)),"?"))</f>
        <v/>
      </c>
      <c r="C468" s="28" t="inlineStr">
        <is>
          <t>Offtake_1</t>
        </is>
      </c>
      <c r="D468" s="16">
        <f>IF($C468="","",IFERROR(IF(INDEX(Deals!$C$2:$C$355,MATCH($C468,Deals!$A$2:$A$355,0))=0,"",INDEX(Deals!$C$2:$C$355,MATCH($C468,Deals!$A$2:$A$355,0))),"?"))</f>
        <v/>
      </c>
      <c r="E468" s="16">
        <f>IF($C468="","",IFERROR(INDEX(Deals!$F$2:$F$355,MATCH($C468,Deals!$A$2:$A$355,0)),"?"))</f>
        <v/>
      </c>
      <c r="F468" s="28" t="inlineStr">
        <is>
          <t>Senior Associate</t>
        </is>
      </c>
      <c r="G468" s="28" t="inlineStr">
        <is>
          <t>Active</t>
        </is>
      </c>
      <c r="H468" s="31" t="n"/>
      <c r="I468" s="32">
        <f>IF(OR($A468="",$G468&lt;&gt;"Active"),0,IF($H468&lt;&gt;"",$H468,IF($AO468&gt;0,$AP468,IF(AND($R468&lt;&gt;"",IFERROR(INDEX(Templates!$B$3:$H$10,MATCH($R468,Templates!$A$3:$A$10,0),MATCH($F468,Templates!$B$2:$H$2,0)),0)&gt;0),INDEX(Templates!$B$3:$H$10,MATCH($R468,Templates!$A$3:$A$10,0),MATCH($F468,Templates!$B$2:$H$2,0)),IFERROR(INDEX(Settings!$B$8:$B$14,MATCH($F468,Settings!$A$8:$A$14,0)),0)))))</f>
        <v/>
      </c>
      <c r="J468" s="21">
        <f>IF($C468="",0,IFERROR(INDEX(Deals!$H$2:$H$355,MATCH($C468,Deals!$A$2:$A$355,0)),0))</f>
        <v/>
      </c>
      <c r="K468" s="32">
        <f>IF(Settings!$B$4="Yes",$I468*$J468,$I468)</f>
        <v/>
      </c>
      <c r="L468" s="22">
        <f>IF($C468="","",IFERROR(IF(INDEX(Deals!$I$2:$I$355,MATCH($C468,Deals!$A$2:$A$355,0))=0,"",INDEX(Deals!$I$2:$I$355,MATCH($C468,Deals!$A$2:$A$355,0))),""))</f>
        <v/>
      </c>
      <c r="M468" s="22">
        <f>IF($C468="","",IFERROR(IF(INDEX(Deals!$J$2:$J$355,MATCH($C468,Deals!$A$2:$A$355,0))=0,"",INDEX(Deals!$J$2:$J$355,MATCH($C468,Deals!$A$2:$A$355,0))),""))</f>
        <v/>
      </c>
      <c r="N468" s="35">
        <f>IF($L468="",DATE(1900,1,1),$L468)</f>
        <v/>
      </c>
      <c r="O468" s="35">
        <f>IF($M468="",DATE(2100,12,31),$M468)</f>
        <v/>
      </c>
      <c r="P468" s="20" t="inlineStr">
        <is>
          <t>Proposal</t>
        </is>
      </c>
      <c r="Q468" s="47" t="inlineStr"/>
      <c r="R468" s="16">
        <f>IF($C468="","",IFERROR(IF(INDEX(Deals!$U$2:$U$355,MATCH($C468,Deals!$A$2:$A$355,0))=0,"",INDEX(Deals!$U$2:$U$355,MATCH($C468,Deals!$A$2:$A$355,0))),""))</f>
        <v/>
      </c>
      <c r="S468" s="34">
        <f>IFERROR(IF($U468="",1,INDEX(Deals!$V$2:$V$355,MATCH($C468,Deals!$A$2:$A$355,0))),1)</f>
        <v/>
      </c>
      <c r="T468" s="34">
        <f>IFERROR(IF($U468="",1,INDEX(Deals!$W$2:$W$355,MATCH($C468,Deals!$A$2:$A$355,0))),1)</f>
        <v/>
      </c>
      <c r="U468" s="22">
        <f>IF($C468="","",IFERROR(IF(INDEX(Deals!$Y$2:$Y$355,MATCH($C468,Deals!$A$2:$A$355,0))=0,"",INDEX(Deals!$Y$2:$Y$355,MATCH($C468,Deals!$A$2:$A$355,0))),""))</f>
        <v/>
      </c>
      <c r="V468" s="35">
        <f>IF(OR($U468&lt;&gt;"",AND($AO468&gt;0,$L468&lt;&gt;"",$M468&lt;&gt;"")),$N468,DATE(1900,1,1))</f>
        <v/>
      </c>
      <c r="W468" s="35">
        <f>IF($U468&lt;&gt;"",$U468,IF(AND($AO468&gt;0,$L468&lt;&gt;"",$M468&lt;&gt;""),$O468,DATE(2100,12,31)))</f>
        <v/>
      </c>
      <c r="X468" s="32">
        <f>IF($U468="",$K468,$K468*$S468)</f>
        <v/>
      </c>
      <c r="Y468" s="35">
        <f>IF($U468="",DATE(2100,12,31),$U468+1)</f>
        <v/>
      </c>
      <c r="Z468" s="35">
        <f>IF($U468="",DATE(1900,1,1),$O468)</f>
        <v/>
      </c>
      <c r="AA468" s="32">
        <f>IF($U468="",0,$K468*$T468)</f>
        <v/>
      </c>
      <c r="AB468" s="21">
        <f>IF($C468="",0,IFERROR(INDEX(Deals!$AD$2:$AD$355,MATCH($C468,Deals!$A$2:$A$355,0)),0))</f>
        <v/>
      </c>
      <c r="AC468" s="32">
        <f>IF(Settings!$B$4="Yes",$I468*$AB468,$I468)</f>
        <v/>
      </c>
      <c r="AD468" s="22">
        <f>IF($C468="","",IFERROR(IF(INDEX(Deals!$AE$2:$AE$355,MATCH($C468,Deals!$A$2:$A$355,0))=0,"",INDEX(Deals!$AE$2:$AE$355,MATCH($C468,Deals!$A$2:$A$355,0))),""))</f>
        <v/>
      </c>
      <c r="AE468" s="22">
        <f>IF($C468="","",IFERROR(IF(INDEX(Deals!$AF$2:$AF$355,MATCH($C468,Deals!$A$2:$A$355,0))=0,"",INDEX(Deals!$AF$2:$AF$355,MATCH($C468,Deals!$A$2:$A$355,0))),""))</f>
        <v/>
      </c>
      <c r="AF468" s="35">
        <f>IF($AD468="",DATE(1900,1,1),$AD468)</f>
        <v/>
      </c>
      <c r="AG468" s="35">
        <f>IF($AE468="",DATE(2100,12,31),$AE468)</f>
        <v/>
      </c>
      <c r="AH468" s="22">
        <f>IF($C468="","",IFERROR(IF(INDEX(Deals!$AG$2:$AG$355,MATCH($C468,Deals!$A$2:$A$355,0))=0,"",INDEX(Deals!$AG$2:$AG$355,MATCH($C468,Deals!$A$2:$A$355,0))),""))</f>
        <v/>
      </c>
      <c r="AI468" s="35">
        <f>IF(OR($AH468&lt;&gt;"",AND($AO468&gt;0,$AD468&lt;&gt;"",$AE468&lt;&gt;"")),$AF468,DATE(1900,1,1))</f>
        <v/>
      </c>
      <c r="AJ468" s="35">
        <f>IF($AH468&lt;&gt;"",$AH468,IF(AND($AO468&gt;0,$AD468&lt;&gt;"",$AE468&lt;&gt;""),$AG468,DATE(2100,12,31)))</f>
        <v/>
      </c>
      <c r="AK468" s="32">
        <f>IF($AH468="",$AC468,$AC468*$S468)</f>
        <v/>
      </c>
      <c r="AL468" s="35">
        <f>IF($AH468="",DATE(2100,12,31),$AH468+1)</f>
        <v/>
      </c>
      <c r="AM468" s="35">
        <f>IF($AH468="",DATE(1900,1,1),$AG468)</f>
        <v/>
      </c>
      <c r="AN468" s="32">
        <f>IF($AH468="",0,$AC468*$T468)</f>
        <v/>
      </c>
      <c r="AO468" s="46">
        <f>IF($C468="",0,IFERROR(INDEX(Deals!$BD$2:$BD$355,MATCH($C468,Deals!$A$2:$A$355,0)),0))</f>
        <v/>
      </c>
      <c r="AP468" s="18">
        <f>IF($AO468=0,0,IFERROR(INDEX(Deals!$BJ$2:$BP$355,MATCH($C468,Deals!$A$2:$A$355,0),MATCH($F468,Deals!$BJ$1:$BP$1,0))/COUNTIFS(Assignments!$C$2:$C$769,$C468,Assignments!$F$2:$F$769,$F468,Assignments!$G$2:$G$769,"Active"),0))</f>
        <v/>
      </c>
    </row>
    <row r="469">
      <c r="A469" s="28" t="inlineStr">
        <is>
          <t>Nina</t>
        </is>
      </c>
      <c r="B469" s="16">
        <f>IF($A469="","",IFERROR(INDEX(Roster!$B$2:$B$40,MATCH($A469,Roster!$A$2:$A$40,0)),"?"))</f>
        <v/>
      </c>
      <c r="C469" s="28" t="inlineStr">
        <is>
          <t>Orange_4</t>
        </is>
      </c>
      <c r="D469" s="16">
        <f>IF($C469="","",IFERROR(IF(INDEX(Deals!$C$2:$C$355,MATCH($C469,Deals!$A$2:$A$355,0))=0,"",INDEX(Deals!$C$2:$C$355,MATCH($C469,Deals!$A$2:$A$355,0))),"?"))</f>
        <v/>
      </c>
      <c r="E469" s="16">
        <f>IF($C469="","",IFERROR(INDEX(Deals!$F$2:$F$355,MATCH($C469,Deals!$A$2:$A$355,0)),"?"))</f>
        <v/>
      </c>
      <c r="F469" s="28" t="inlineStr">
        <is>
          <t>Senior Associate</t>
        </is>
      </c>
      <c r="G469" s="28" t="inlineStr">
        <is>
          <t>Active</t>
        </is>
      </c>
      <c r="H469" s="31" t="n"/>
      <c r="I469" s="32">
        <f>IF(OR($A469="",$G469&lt;&gt;"Active"),0,IF($H469&lt;&gt;"",$H469,IF($AO469&gt;0,$AP469,IF(AND($R469&lt;&gt;"",IFERROR(INDEX(Templates!$B$3:$H$10,MATCH($R469,Templates!$A$3:$A$10,0),MATCH($F469,Templates!$B$2:$H$2,0)),0)&gt;0),INDEX(Templates!$B$3:$H$10,MATCH($R469,Templates!$A$3:$A$10,0),MATCH($F469,Templates!$B$2:$H$2,0)),IFERROR(INDEX(Settings!$B$8:$B$14,MATCH($F469,Settings!$A$8:$A$14,0)),0)))))</f>
        <v/>
      </c>
      <c r="J469" s="21">
        <f>IF($C469="",0,IFERROR(INDEX(Deals!$H$2:$H$355,MATCH($C469,Deals!$A$2:$A$355,0)),0))</f>
        <v/>
      </c>
      <c r="K469" s="32">
        <f>IF(Settings!$B$4="Yes",$I469*$J469,$I469)</f>
        <v/>
      </c>
      <c r="L469" s="22">
        <f>IF($C469="","",IFERROR(IF(INDEX(Deals!$I$2:$I$355,MATCH($C469,Deals!$A$2:$A$355,0))=0,"",INDEX(Deals!$I$2:$I$355,MATCH($C469,Deals!$A$2:$A$355,0))),""))</f>
        <v/>
      </c>
      <c r="M469" s="22">
        <f>IF($C469="","",IFERROR(IF(INDEX(Deals!$J$2:$J$355,MATCH($C469,Deals!$A$2:$A$355,0))=0,"",INDEX(Deals!$J$2:$J$355,MATCH($C469,Deals!$A$2:$A$355,0))),""))</f>
        <v/>
      </c>
      <c r="N469" s="35">
        <f>IF($L469="",DATE(1900,1,1),$L469)</f>
        <v/>
      </c>
      <c r="O469" s="35">
        <f>IF($M469="",DATE(2100,12,31),$M469)</f>
        <v/>
      </c>
      <c r="P469" s="20" t="inlineStr">
        <is>
          <t>Ongoing</t>
        </is>
      </c>
      <c r="Q469" s="47" t="inlineStr"/>
      <c r="R469" s="16">
        <f>IF($C469="","",IFERROR(IF(INDEX(Deals!$U$2:$U$355,MATCH($C469,Deals!$A$2:$A$355,0))=0,"",INDEX(Deals!$U$2:$U$355,MATCH($C469,Deals!$A$2:$A$355,0))),""))</f>
        <v/>
      </c>
      <c r="S469" s="34">
        <f>IFERROR(IF($U469="",1,INDEX(Deals!$V$2:$V$355,MATCH($C469,Deals!$A$2:$A$355,0))),1)</f>
        <v/>
      </c>
      <c r="T469" s="34">
        <f>IFERROR(IF($U469="",1,INDEX(Deals!$W$2:$W$355,MATCH($C469,Deals!$A$2:$A$355,0))),1)</f>
        <v/>
      </c>
      <c r="U469" s="22">
        <f>IF($C469="","",IFERROR(IF(INDEX(Deals!$Y$2:$Y$355,MATCH($C469,Deals!$A$2:$A$355,0))=0,"",INDEX(Deals!$Y$2:$Y$355,MATCH($C469,Deals!$A$2:$A$355,0))),""))</f>
        <v/>
      </c>
      <c r="V469" s="35">
        <f>IF(OR($U469&lt;&gt;"",AND($AO469&gt;0,$L469&lt;&gt;"",$M469&lt;&gt;"")),$N469,DATE(1900,1,1))</f>
        <v/>
      </c>
      <c r="W469" s="35">
        <f>IF($U469&lt;&gt;"",$U469,IF(AND($AO469&gt;0,$L469&lt;&gt;"",$M469&lt;&gt;""),$O469,DATE(2100,12,31)))</f>
        <v/>
      </c>
      <c r="X469" s="32">
        <f>IF($U469="",$K469,$K469*$S469)</f>
        <v/>
      </c>
      <c r="Y469" s="35">
        <f>IF($U469="",DATE(2100,12,31),$U469+1)</f>
        <v/>
      </c>
      <c r="Z469" s="35">
        <f>IF($U469="",DATE(1900,1,1),$O469)</f>
        <v/>
      </c>
      <c r="AA469" s="32">
        <f>IF($U469="",0,$K469*$T469)</f>
        <v/>
      </c>
      <c r="AB469" s="21">
        <f>IF($C469="",0,IFERROR(INDEX(Deals!$AD$2:$AD$355,MATCH($C469,Deals!$A$2:$A$355,0)),0))</f>
        <v/>
      </c>
      <c r="AC469" s="32">
        <f>IF(Settings!$B$4="Yes",$I469*$AB469,$I469)</f>
        <v/>
      </c>
      <c r="AD469" s="22">
        <f>IF($C469="","",IFERROR(IF(INDEX(Deals!$AE$2:$AE$355,MATCH($C469,Deals!$A$2:$A$355,0))=0,"",INDEX(Deals!$AE$2:$AE$355,MATCH($C469,Deals!$A$2:$A$355,0))),""))</f>
        <v/>
      </c>
      <c r="AE469" s="22">
        <f>IF($C469="","",IFERROR(IF(INDEX(Deals!$AF$2:$AF$355,MATCH($C469,Deals!$A$2:$A$355,0))=0,"",INDEX(Deals!$AF$2:$AF$355,MATCH($C469,Deals!$A$2:$A$355,0))),""))</f>
        <v/>
      </c>
      <c r="AF469" s="35">
        <f>IF($AD469="",DATE(1900,1,1),$AD469)</f>
        <v/>
      </c>
      <c r="AG469" s="35">
        <f>IF($AE469="",DATE(2100,12,31),$AE469)</f>
        <v/>
      </c>
      <c r="AH469" s="22">
        <f>IF($C469="","",IFERROR(IF(INDEX(Deals!$AG$2:$AG$355,MATCH($C469,Deals!$A$2:$A$355,0))=0,"",INDEX(Deals!$AG$2:$AG$355,MATCH($C469,Deals!$A$2:$A$355,0))),""))</f>
        <v/>
      </c>
      <c r="AI469" s="35">
        <f>IF(OR($AH469&lt;&gt;"",AND($AO469&gt;0,$AD469&lt;&gt;"",$AE469&lt;&gt;"")),$AF469,DATE(1900,1,1))</f>
        <v/>
      </c>
      <c r="AJ469" s="35">
        <f>IF($AH469&lt;&gt;"",$AH469,IF(AND($AO469&gt;0,$AD469&lt;&gt;"",$AE469&lt;&gt;""),$AG469,DATE(2100,12,31)))</f>
        <v/>
      </c>
      <c r="AK469" s="32">
        <f>IF($AH469="",$AC469,$AC469*$S469)</f>
        <v/>
      </c>
      <c r="AL469" s="35">
        <f>IF($AH469="",DATE(2100,12,31),$AH469+1)</f>
        <v/>
      </c>
      <c r="AM469" s="35">
        <f>IF($AH469="",DATE(1900,1,1),$AG469)</f>
        <v/>
      </c>
      <c r="AN469" s="32">
        <f>IF($AH469="",0,$AC469*$T469)</f>
        <v/>
      </c>
      <c r="AO469" s="46">
        <f>IF($C469="",0,IFERROR(INDEX(Deals!$BD$2:$BD$355,MATCH($C469,Deals!$A$2:$A$355,0)),0))</f>
        <v/>
      </c>
      <c r="AP469" s="18">
        <f>IF($AO469=0,0,IFERROR(INDEX(Deals!$BJ$2:$BP$355,MATCH($C469,Deals!$A$2:$A$355,0),MATCH($F469,Deals!$BJ$1:$BP$1,0))/COUNTIFS(Assignments!$C$2:$C$769,$C469,Assignments!$F$2:$F$769,$F469,Assignments!$G$2:$G$769,"Active"),0))</f>
        <v/>
      </c>
    </row>
    <row r="470">
      <c r="A470" s="28" t="inlineStr">
        <is>
          <t>Nina</t>
        </is>
      </c>
      <c r="B470" s="16">
        <f>IF($A470="","",IFERROR(INDEX(Roster!$B$2:$B$40,MATCH($A470,Roster!$A$2:$A$40,0)),"?"))</f>
        <v/>
      </c>
      <c r="C470" s="28" t="inlineStr">
        <is>
          <t>Orca_1</t>
        </is>
      </c>
      <c r="D470" s="16">
        <f>IF($C470="","",IFERROR(IF(INDEX(Deals!$C$2:$C$355,MATCH($C470,Deals!$A$2:$A$355,0))=0,"",INDEX(Deals!$C$2:$C$355,MATCH($C470,Deals!$A$2:$A$355,0))),"?"))</f>
        <v/>
      </c>
      <c r="E470" s="16">
        <f>IF($C470="","",IFERROR(INDEX(Deals!$F$2:$F$355,MATCH($C470,Deals!$A$2:$A$355,0)),"?"))</f>
        <v/>
      </c>
      <c r="F470" s="28" t="inlineStr">
        <is>
          <t>Senior Associate</t>
        </is>
      </c>
      <c r="G470" s="28" t="inlineStr">
        <is>
          <t>Inactive</t>
        </is>
      </c>
      <c r="H470" s="31" t="n"/>
      <c r="I470" s="32">
        <f>IF(OR($A470="",$G470&lt;&gt;"Active"),0,IF($H470&lt;&gt;"",$H470,IF($AO470&gt;0,$AP470,IF(AND($R470&lt;&gt;"",IFERROR(INDEX(Templates!$B$3:$H$10,MATCH($R470,Templates!$A$3:$A$10,0),MATCH($F470,Templates!$B$2:$H$2,0)),0)&gt;0),INDEX(Templates!$B$3:$H$10,MATCH($R470,Templates!$A$3:$A$10,0),MATCH($F470,Templates!$B$2:$H$2,0)),IFERROR(INDEX(Settings!$B$8:$B$14,MATCH($F470,Settings!$A$8:$A$14,0)),0)))))</f>
        <v/>
      </c>
      <c r="J470" s="21">
        <f>IF($C470="",0,IFERROR(INDEX(Deals!$H$2:$H$355,MATCH($C470,Deals!$A$2:$A$355,0)),0))</f>
        <v/>
      </c>
      <c r="K470" s="32">
        <f>IF(Settings!$B$4="Yes",$I470*$J470,$I470)</f>
        <v/>
      </c>
      <c r="L470" s="22">
        <f>IF($C470="","",IFERROR(IF(INDEX(Deals!$I$2:$I$355,MATCH($C470,Deals!$A$2:$A$355,0))=0,"",INDEX(Deals!$I$2:$I$355,MATCH($C470,Deals!$A$2:$A$355,0))),""))</f>
        <v/>
      </c>
      <c r="M470" s="22">
        <f>IF($C470="","",IFERROR(IF(INDEX(Deals!$J$2:$J$355,MATCH($C470,Deals!$A$2:$A$355,0))=0,"",INDEX(Deals!$J$2:$J$355,MATCH($C470,Deals!$A$2:$A$355,0))),""))</f>
        <v/>
      </c>
      <c r="N470" s="35">
        <f>IF($L470="",DATE(1900,1,1),$L470)</f>
        <v/>
      </c>
      <c r="O470" s="35">
        <f>IF($M470="",DATE(2100,12,31),$M470)</f>
        <v/>
      </c>
      <c r="P470" s="20" t="inlineStr">
        <is>
          <t>Not involved in ongoing work</t>
        </is>
      </c>
      <c r="Q470" s="47" t="inlineStr"/>
      <c r="R470" s="16">
        <f>IF($C470="","",IFERROR(IF(INDEX(Deals!$U$2:$U$355,MATCH($C470,Deals!$A$2:$A$355,0))=0,"",INDEX(Deals!$U$2:$U$355,MATCH($C470,Deals!$A$2:$A$355,0))),""))</f>
        <v/>
      </c>
      <c r="S470" s="34">
        <f>IFERROR(IF($U470="",1,INDEX(Deals!$V$2:$V$355,MATCH($C470,Deals!$A$2:$A$355,0))),1)</f>
        <v/>
      </c>
      <c r="T470" s="34">
        <f>IFERROR(IF($U470="",1,INDEX(Deals!$W$2:$W$355,MATCH($C470,Deals!$A$2:$A$355,0))),1)</f>
        <v/>
      </c>
      <c r="U470" s="22">
        <f>IF($C470="","",IFERROR(IF(INDEX(Deals!$Y$2:$Y$355,MATCH($C470,Deals!$A$2:$A$355,0))=0,"",INDEX(Deals!$Y$2:$Y$355,MATCH($C470,Deals!$A$2:$A$355,0))),""))</f>
        <v/>
      </c>
      <c r="V470" s="35">
        <f>IF(OR($U470&lt;&gt;"",AND($AO470&gt;0,$L470&lt;&gt;"",$M470&lt;&gt;"")),$N470,DATE(1900,1,1))</f>
        <v/>
      </c>
      <c r="W470" s="35">
        <f>IF($U470&lt;&gt;"",$U470,IF(AND($AO470&gt;0,$L470&lt;&gt;"",$M470&lt;&gt;""),$O470,DATE(2100,12,31)))</f>
        <v/>
      </c>
      <c r="X470" s="32">
        <f>IF($U470="",$K470,$K470*$S470)</f>
        <v/>
      </c>
      <c r="Y470" s="35">
        <f>IF($U470="",DATE(2100,12,31),$U470+1)</f>
        <v/>
      </c>
      <c r="Z470" s="35">
        <f>IF($U470="",DATE(1900,1,1),$O470)</f>
        <v/>
      </c>
      <c r="AA470" s="32">
        <f>IF($U470="",0,$K470*$T470)</f>
        <v/>
      </c>
      <c r="AB470" s="21">
        <f>IF($C470="",0,IFERROR(INDEX(Deals!$AD$2:$AD$355,MATCH($C470,Deals!$A$2:$A$355,0)),0))</f>
        <v/>
      </c>
      <c r="AC470" s="32">
        <f>IF(Settings!$B$4="Yes",$I470*$AB470,$I470)</f>
        <v/>
      </c>
      <c r="AD470" s="22">
        <f>IF($C470="","",IFERROR(IF(INDEX(Deals!$AE$2:$AE$355,MATCH($C470,Deals!$A$2:$A$355,0))=0,"",INDEX(Deals!$AE$2:$AE$355,MATCH($C470,Deals!$A$2:$A$355,0))),""))</f>
        <v/>
      </c>
      <c r="AE470" s="22">
        <f>IF($C470="","",IFERROR(IF(INDEX(Deals!$AF$2:$AF$355,MATCH($C470,Deals!$A$2:$A$355,0))=0,"",INDEX(Deals!$AF$2:$AF$355,MATCH($C470,Deals!$A$2:$A$355,0))),""))</f>
        <v/>
      </c>
      <c r="AF470" s="35">
        <f>IF($AD470="",DATE(1900,1,1),$AD470)</f>
        <v/>
      </c>
      <c r="AG470" s="35">
        <f>IF($AE470="",DATE(2100,12,31),$AE470)</f>
        <v/>
      </c>
      <c r="AH470" s="22">
        <f>IF($C470="","",IFERROR(IF(INDEX(Deals!$AG$2:$AG$355,MATCH($C470,Deals!$A$2:$A$355,0))=0,"",INDEX(Deals!$AG$2:$AG$355,MATCH($C470,Deals!$A$2:$A$355,0))),""))</f>
        <v/>
      </c>
      <c r="AI470" s="35">
        <f>IF(OR($AH470&lt;&gt;"",AND($AO470&gt;0,$AD470&lt;&gt;"",$AE470&lt;&gt;"")),$AF470,DATE(1900,1,1))</f>
        <v/>
      </c>
      <c r="AJ470" s="35">
        <f>IF($AH470&lt;&gt;"",$AH470,IF(AND($AO470&gt;0,$AD470&lt;&gt;"",$AE470&lt;&gt;""),$AG470,DATE(2100,12,31)))</f>
        <v/>
      </c>
      <c r="AK470" s="32">
        <f>IF($AH470="",$AC470,$AC470*$S470)</f>
        <v/>
      </c>
      <c r="AL470" s="35">
        <f>IF($AH470="",DATE(2100,12,31),$AH470+1)</f>
        <v/>
      </c>
      <c r="AM470" s="35">
        <f>IF($AH470="",DATE(1900,1,1),$AG470)</f>
        <v/>
      </c>
      <c r="AN470" s="32">
        <f>IF($AH470="",0,$AC470*$T470)</f>
        <v/>
      </c>
      <c r="AO470" s="46">
        <f>IF($C470="",0,IFERROR(INDEX(Deals!$BD$2:$BD$355,MATCH($C470,Deals!$A$2:$A$355,0)),0))</f>
        <v/>
      </c>
      <c r="AP470" s="18">
        <f>IF($AO470=0,0,IFERROR(INDEX(Deals!$BJ$2:$BP$355,MATCH($C470,Deals!$A$2:$A$355,0),MATCH($F470,Deals!$BJ$1:$BP$1,0))/COUNTIFS(Assignments!$C$2:$C$769,$C470,Assignments!$F$2:$F$769,$F470,Assignments!$G$2:$G$769,"Active"),0))</f>
        <v/>
      </c>
    </row>
    <row r="471">
      <c r="A471" s="28" t="inlineStr">
        <is>
          <t>Nina</t>
        </is>
      </c>
      <c r="B471" s="16">
        <f>IF($A471="","",IFERROR(INDEX(Roster!$B$2:$B$40,MATCH($A471,Roster!$A$2:$A$40,0)),"?"))</f>
        <v/>
      </c>
      <c r="C471" s="28" t="inlineStr">
        <is>
          <t>Orion_3</t>
        </is>
      </c>
      <c r="D471" s="16">
        <f>IF($C471="","",IFERROR(IF(INDEX(Deals!$C$2:$C$355,MATCH($C471,Deals!$A$2:$A$355,0))=0,"",INDEX(Deals!$C$2:$C$355,MATCH($C471,Deals!$A$2:$A$355,0))),"?"))</f>
        <v/>
      </c>
      <c r="E471" s="16">
        <f>IF($C471="","",IFERROR(INDEX(Deals!$F$2:$F$355,MATCH($C471,Deals!$A$2:$A$355,0)),"?"))</f>
        <v/>
      </c>
      <c r="F471" s="28" t="inlineStr">
        <is>
          <t>Senior Associate</t>
        </is>
      </c>
      <c r="G471" s="28" t="inlineStr">
        <is>
          <t>Inactive</t>
        </is>
      </c>
      <c r="H471" s="31" t="n"/>
      <c r="I471" s="32">
        <f>IF(OR($A471="",$G471&lt;&gt;"Active"),0,IF($H471&lt;&gt;"",$H471,IF($AO471&gt;0,$AP471,IF(AND($R471&lt;&gt;"",IFERROR(INDEX(Templates!$B$3:$H$10,MATCH($R471,Templates!$A$3:$A$10,0),MATCH($F471,Templates!$B$2:$H$2,0)),0)&gt;0),INDEX(Templates!$B$3:$H$10,MATCH($R471,Templates!$A$3:$A$10,0),MATCH($F471,Templates!$B$2:$H$2,0)),IFERROR(INDEX(Settings!$B$8:$B$14,MATCH($F471,Settings!$A$8:$A$14,0)),0)))))</f>
        <v/>
      </c>
      <c r="J471" s="21">
        <f>IF($C471="",0,IFERROR(INDEX(Deals!$H$2:$H$355,MATCH($C471,Deals!$A$2:$A$355,0)),0))</f>
        <v/>
      </c>
      <c r="K471" s="32">
        <f>IF(Settings!$B$4="Yes",$I471*$J471,$I471)</f>
        <v/>
      </c>
      <c r="L471" s="22">
        <f>IF($C471="","",IFERROR(IF(INDEX(Deals!$I$2:$I$355,MATCH($C471,Deals!$A$2:$A$355,0))=0,"",INDEX(Deals!$I$2:$I$355,MATCH($C471,Deals!$A$2:$A$355,0))),""))</f>
        <v/>
      </c>
      <c r="M471" s="22">
        <f>IF($C471="","",IFERROR(IF(INDEX(Deals!$J$2:$J$355,MATCH($C471,Deals!$A$2:$A$355,0))=0,"",INDEX(Deals!$J$2:$J$355,MATCH($C471,Deals!$A$2:$A$355,0))),""))</f>
        <v/>
      </c>
      <c r="N471" s="35">
        <f>IF($L471="",DATE(1900,1,1),$L471)</f>
        <v/>
      </c>
      <c r="O471" s="35">
        <f>IF($M471="",DATE(2100,12,31),$M471)</f>
        <v/>
      </c>
      <c r="P471" s="20" t="inlineStr">
        <is>
          <t>Not involved in ongoing work</t>
        </is>
      </c>
      <c r="Q471" s="47" t="inlineStr"/>
      <c r="R471" s="16">
        <f>IF($C471="","",IFERROR(IF(INDEX(Deals!$U$2:$U$355,MATCH($C471,Deals!$A$2:$A$355,0))=0,"",INDEX(Deals!$U$2:$U$355,MATCH($C471,Deals!$A$2:$A$355,0))),""))</f>
        <v/>
      </c>
      <c r="S471" s="34">
        <f>IFERROR(IF($U471="",1,INDEX(Deals!$V$2:$V$355,MATCH($C471,Deals!$A$2:$A$355,0))),1)</f>
        <v/>
      </c>
      <c r="T471" s="34">
        <f>IFERROR(IF($U471="",1,INDEX(Deals!$W$2:$W$355,MATCH($C471,Deals!$A$2:$A$355,0))),1)</f>
        <v/>
      </c>
      <c r="U471" s="22">
        <f>IF($C471="","",IFERROR(IF(INDEX(Deals!$Y$2:$Y$355,MATCH($C471,Deals!$A$2:$A$355,0))=0,"",INDEX(Deals!$Y$2:$Y$355,MATCH($C471,Deals!$A$2:$A$355,0))),""))</f>
        <v/>
      </c>
      <c r="V471" s="35">
        <f>IF(OR($U471&lt;&gt;"",AND($AO471&gt;0,$L471&lt;&gt;"",$M471&lt;&gt;"")),$N471,DATE(1900,1,1))</f>
        <v/>
      </c>
      <c r="W471" s="35">
        <f>IF($U471&lt;&gt;"",$U471,IF(AND($AO471&gt;0,$L471&lt;&gt;"",$M471&lt;&gt;""),$O471,DATE(2100,12,31)))</f>
        <v/>
      </c>
      <c r="X471" s="32">
        <f>IF($U471="",$K471,$K471*$S471)</f>
        <v/>
      </c>
      <c r="Y471" s="35">
        <f>IF($U471="",DATE(2100,12,31),$U471+1)</f>
        <v/>
      </c>
      <c r="Z471" s="35">
        <f>IF($U471="",DATE(1900,1,1),$O471)</f>
        <v/>
      </c>
      <c r="AA471" s="32">
        <f>IF($U471="",0,$K471*$T471)</f>
        <v/>
      </c>
      <c r="AB471" s="21">
        <f>IF($C471="",0,IFERROR(INDEX(Deals!$AD$2:$AD$355,MATCH($C471,Deals!$A$2:$A$355,0)),0))</f>
        <v/>
      </c>
      <c r="AC471" s="32">
        <f>IF(Settings!$B$4="Yes",$I471*$AB471,$I471)</f>
        <v/>
      </c>
      <c r="AD471" s="22">
        <f>IF($C471="","",IFERROR(IF(INDEX(Deals!$AE$2:$AE$355,MATCH($C471,Deals!$A$2:$A$355,0))=0,"",INDEX(Deals!$AE$2:$AE$355,MATCH($C471,Deals!$A$2:$A$355,0))),""))</f>
        <v/>
      </c>
      <c r="AE471" s="22">
        <f>IF($C471="","",IFERROR(IF(INDEX(Deals!$AF$2:$AF$355,MATCH($C471,Deals!$A$2:$A$355,0))=0,"",INDEX(Deals!$AF$2:$AF$355,MATCH($C471,Deals!$A$2:$A$355,0))),""))</f>
        <v/>
      </c>
      <c r="AF471" s="35">
        <f>IF($AD471="",DATE(1900,1,1),$AD471)</f>
        <v/>
      </c>
      <c r="AG471" s="35">
        <f>IF($AE471="",DATE(2100,12,31),$AE471)</f>
        <v/>
      </c>
      <c r="AH471" s="22">
        <f>IF($C471="","",IFERROR(IF(INDEX(Deals!$AG$2:$AG$355,MATCH($C471,Deals!$A$2:$A$355,0))=0,"",INDEX(Deals!$AG$2:$AG$355,MATCH($C471,Deals!$A$2:$A$355,0))),""))</f>
        <v/>
      </c>
      <c r="AI471" s="35">
        <f>IF(OR($AH471&lt;&gt;"",AND($AO471&gt;0,$AD471&lt;&gt;"",$AE471&lt;&gt;"")),$AF471,DATE(1900,1,1))</f>
        <v/>
      </c>
      <c r="AJ471" s="35">
        <f>IF($AH471&lt;&gt;"",$AH471,IF(AND($AO471&gt;0,$AD471&lt;&gt;"",$AE471&lt;&gt;""),$AG471,DATE(2100,12,31)))</f>
        <v/>
      </c>
      <c r="AK471" s="32">
        <f>IF($AH471="",$AC471,$AC471*$S471)</f>
        <v/>
      </c>
      <c r="AL471" s="35">
        <f>IF($AH471="",DATE(2100,12,31),$AH471+1)</f>
        <v/>
      </c>
      <c r="AM471" s="35">
        <f>IF($AH471="",DATE(1900,1,1),$AG471)</f>
        <v/>
      </c>
      <c r="AN471" s="32">
        <f>IF($AH471="",0,$AC471*$T471)</f>
        <v/>
      </c>
      <c r="AO471" s="46">
        <f>IF($C471="",0,IFERROR(INDEX(Deals!$BD$2:$BD$355,MATCH($C471,Deals!$A$2:$A$355,0)),0))</f>
        <v/>
      </c>
      <c r="AP471" s="18">
        <f>IF($AO471=0,0,IFERROR(INDEX(Deals!$BJ$2:$BP$355,MATCH($C471,Deals!$A$2:$A$355,0),MATCH($F471,Deals!$BJ$1:$BP$1,0))/COUNTIFS(Assignments!$C$2:$C$769,$C471,Assignments!$F$2:$F$769,$F471,Assignments!$G$2:$G$769,"Active"),0))</f>
        <v/>
      </c>
    </row>
    <row r="472">
      <c r="A472" s="28" t="inlineStr">
        <is>
          <t>Nina</t>
        </is>
      </c>
      <c r="B472" s="16">
        <f>IF($A472="","",IFERROR(INDEX(Roster!$B$2:$B$40,MATCH($A472,Roster!$A$2:$A$40,0)),"?"))</f>
        <v/>
      </c>
      <c r="C472" s="28" t="inlineStr">
        <is>
          <t>Papago_1</t>
        </is>
      </c>
      <c r="D472" s="16">
        <f>IF($C472="","",IFERROR(IF(INDEX(Deals!$C$2:$C$355,MATCH($C472,Deals!$A$2:$A$355,0))=0,"",INDEX(Deals!$C$2:$C$355,MATCH($C472,Deals!$A$2:$A$355,0))),"?"))</f>
        <v/>
      </c>
      <c r="E472" s="16">
        <f>IF($C472="","",IFERROR(INDEX(Deals!$F$2:$F$355,MATCH($C472,Deals!$A$2:$A$355,0)),"?"))</f>
        <v/>
      </c>
      <c r="F472" s="28" t="inlineStr">
        <is>
          <t>Senior Associate</t>
        </is>
      </c>
      <c r="G472" s="28" t="inlineStr">
        <is>
          <t>Inactive</t>
        </is>
      </c>
      <c r="H472" s="31" t="n"/>
      <c r="I472" s="32">
        <f>IF(OR($A472="",$G472&lt;&gt;"Active"),0,IF($H472&lt;&gt;"",$H472,IF($AO472&gt;0,$AP472,IF(AND($R472&lt;&gt;"",IFERROR(INDEX(Templates!$B$3:$H$10,MATCH($R472,Templates!$A$3:$A$10,0),MATCH($F472,Templates!$B$2:$H$2,0)),0)&gt;0),INDEX(Templates!$B$3:$H$10,MATCH($R472,Templates!$A$3:$A$10,0),MATCH($F472,Templates!$B$2:$H$2,0)),IFERROR(INDEX(Settings!$B$8:$B$14,MATCH($F472,Settings!$A$8:$A$14,0)),0)))))</f>
        <v/>
      </c>
      <c r="J472" s="21">
        <f>IF($C472="",0,IFERROR(INDEX(Deals!$H$2:$H$355,MATCH($C472,Deals!$A$2:$A$355,0)),0))</f>
        <v/>
      </c>
      <c r="K472" s="32">
        <f>IF(Settings!$B$4="Yes",$I472*$J472,$I472)</f>
        <v/>
      </c>
      <c r="L472" s="22">
        <f>IF($C472="","",IFERROR(IF(INDEX(Deals!$I$2:$I$355,MATCH($C472,Deals!$A$2:$A$355,0))=0,"",INDEX(Deals!$I$2:$I$355,MATCH($C472,Deals!$A$2:$A$355,0))),""))</f>
        <v/>
      </c>
      <c r="M472" s="22">
        <f>IF($C472="","",IFERROR(IF(INDEX(Deals!$J$2:$J$355,MATCH($C472,Deals!$A$2:$A$355,0))=0,"",INDEX(Deals!$J$2:$J$355,MATCH($C472,Deals!$A$2:$A$355,0))),""))</f>
        <v/>
      </c>
      <c r="N472" s="35">
        <f>IF($L472="",DATE(1900,1,1),$L472)</f>
        <v/>
      </c>
      <c r="O472" s="35">
        <f>IF($M472="",DATE(2100,12,31),$M472)</f>
        <v/>
      </c>
      <c r="P472" s="20" t="inlineStr">
        <is>
          <t>Closed</t>
        </is>
      </c>
      <c r="Q472" s="47" t="inlineStr"/>
      <c r="R472" s="16">
        <f>IF($C472="","",IFERROR(IF(INDEX(Deals!$U$2:$U$355,MATCH($C472,Deals!$A$2:$A$355,0))=0,"",INDEX(Deals!$U$2:$U$355,MATCH($C472,Deals!$A$2:$A$355,0))),""))</f>
        <v/>
      </c>
      <c r="S472" s="34">
        <f>IFERROR(IF($U472="",1,INDEX(Deals!$V$2:$V$355,MATCH($C472,Deals!$A$2:$A$355,0))),1)</f>
        <v/>
      </c>
      <c r="T472" s="34">
        <f>IFERROR(IF($U472="",1,INDEX(Deals!$W$2:$W$355,MATCH($C472,Deals!$A$2:$A$355,0))),1)</f>
        <v/>
      </c>
      <c r="U472" s="22">
        <f>IF($C472="","",IFERROR(IF(INDEX(Deals!$Y$2:$Y$355,MATCH($C472,Deals!$A$2:$A$355,0))=0,"",INDEX(Deals!$Y$2:$Y$355,MATCH($C472,Deals!$A$2:$A$355,0))),""))</f>
        <v/>
      </c>
      <c r="V472" s="35">
        <f>IF(OR($U472&lt;&gt;"",AND($AO472&gt;0,$L472&lt;&gt;"",$M472&lt;&gt;"")),$N472,DATE(1900,1,1))</f>
        <v/>
      </c>
      <c r="W472" s="35">
        <f>IF($U472&lt;&gt;"",$U472,IF(AND($AO472&gt;0,$L472&lt;&gt;"",$M472&lt;&gt;""),$O472,DATE(2100,12,31)))</f>
        <v/>
      </c>
      <c r="X472" s="32">
        <f>IF($U472="",$K472,$K472*$S472)</f>
        <v/>
      </c>
      <c r="Y472" s="35">
        <f>IF($U472="",DATE(2100,12,31),$U472+1)</f>
        <v/>
      </c>
      <c r="Z472" s="35">
        <f>IF($U472="",DATE(1900,1,1),$O472)</f>
        <v/>
      </c>
      <c r="AA472" s="32">
        <f>IF($U472="",0,$K472*$T472)</f>
        <v/>
      </c>
      <c r="AB472" s="21">
        <f>IF($C472="",0,IFERROR(INDEX(Deals!$AD$2:$AD$355,MATCH($C472,Deals!$A$2:$A$355,0)),0))</f>
        <v/>
      </c>
      <c r="AC472" s="32">
        <f>IF(Settings!$B$4="Yes",$I472*$AB472,$I472)</f>
        <v/>
      </c>
      <c r="AD472" s="22">
        <f>IF($C472="","",IFERROR(IF(INDEX(Deals!$AE$2:$AE$355,MATCH($C472,Deals!$A$2:$A$355,0))=0,"",INDEX(Deals!$AE$2:$AE$355,MATCH($C472,Deals!$A$2:$A$355,0))),""))</f>
        <v/>
      </c>
      <c r="AE472" s="22">
        <f>IF($C472="","",IFERROR(IF(INDEX(Deals!$AF$2:$AF$355,MATCH($C472,Deals!$A$2:$A$355,0))=0,"",INDEX(Deals!$AF$2:$AF$355,MATCH($C472,Deals!$A$2:$A$355,0))),""))</f>
        <v/>
      </c>
      <c r="AF472" s="35">
        <f>IF($AD472="",DATE(1900,1,1),$AD472)</f>
        <v/>
      </c>
      <c r="AG472" s="35">
        <f>IF($AE472="",DATE(2100,12,31),$AE472)</f>
        <v/>
      </c>
      <c r="AH472" s="22">
        <f>IF($C472="","",IFERROR(IF(INDEX(Deals!$AG$2:$AG$355,MATCH($C472,Deals!$A$2:$A$355,0))=0,"",INDEX(Deals!$AG$2:$AG$355,MATCH($C472,Deals!$A$2:$A$355,0))),""))</f>
        <v/>
      </c>
      <c r="AI472" s="35">
        <f>IF(OR($AH472&lt;&gt;"",AND($AO472&gt;0,$AD472&lt;&gt;"",$AE472&lt;&gt;"")),$AF472,DATE(1900,1,1))</f>
        <v/>
      </c>
      <c r="AJ472" s="35">
        <f>IF($AH472&lt;&gt;"",$AH472,IF(AND($AO472&gt;0,$AD472&lt;&gt;"",$AE472&lt;&gt;""),$AG472,DATE(2100,12,31)))</f>
        <v/>
      </c>
      <c r="AK472" s="32">
        <f>IF($AH472="",$AC472,$AC472*$S472)</f>
        <v/>
      </c>
      <c r="AL472" s="35">
        <f>IF($AH472="",DATE(2100,12,31),$AH472+1)</f>
        <v/>
      </c>
      <c r="AM472" s="35">
        <f>IF($AH472="",DATE(1900,1,1),$AG472)</f>
        <v/>
      </c>
      <c r="AN472" s="32">
        <f>IF($AH472="",0,$AC472*$T472)</f>
        <v/>
      </c>
      <c r="AO472" s="46">
        <f>IF($C472="",0,IFERROR(INDEX(Deals!$BD$2:$BD$355,MATCH($C472,Deals!$A$2:$A$355,0)),0))</f>
        <v/>
      </c>
      <c r="AP472" s="18">
        <f>IF($AO472=0,0,IFERROR(INDEX(Deals!$BJ$2:$BP$355,MATCH($C472,Deals!$A$2:$A$355,0),MATCH($F472,Deals!$BJ$1:$BP$1,0))/COUNTIFS(Assignments!$C$2:$C$769,$C472,Assignments!$F$2:$F$769,$F472,Assignments!$G$2:$G$769,"Active"),0))</f>
        <v/>
      </c>
    </row>
    <row r="473">
      <c r="A473" s="28" t="inlineStr">
        <is>
          <t>Nina</t>
        </is>
      </c>
      <c r="B473" s="16">
        <f>IF($A473="","",IFERROR(INDEX(Roster!$B$2:$B$40,MATCH($A473,Roster!$A$2:$A$40,0)),"?"))</f>
        <v/>
      </c>
      <c r="C473" s="28" t="inlineStr">
        <is>
          <t>Pennsylvania_1</t>
        </is>
      </c>
      <c r="D473" s="16">
        <f>IF($C473="","",IFERROR(IF(INDEX(Deals!$C$2:$C$355,MATCH($C473,Deals!$A$2:$A$355,0))=0,"",INDEX(Deals!$C$2:$C$355,MATCH($C473,Deals!$A$2:$A$355,0))),"?"))</f>
        <v/>
      </c>
      <c r="E473" s="16">
        <f>IF($C473="","",IFERROR(INDEX(Deals!$F$2:$F$355,MATCH($C473,Deals!$A$2:$A$355,0)),"?"))</f>
        <v/>
      </c>
      <c r="F473" s="28" t="inlineStr">
        <is>
          <t>Senior Associate</t>
        </is>
      </c>
      <c r="G473" s="28" t="inlineStr">
        <is>
          <t>Inactive</t>
        </is>
      </c>
      <c r="H473" s="31" t="n"/>
      <c r="I473" s="32">
        <f>IF(OR($A473="",$G473&lt;&gt;"Active"),0,IF($H473&lt;&gt;"",$H473,IF($AO473&gt;0,$AP473,IF(AND($R473&lt;&gt;"",IFERROR(INDEX(Templates!$B$3:$H$10,MATCH($R473,Templates!$A$3:$A$10,0),MATCH($F473,Templates!$B$2:$H$2,0)),0)&gt;0),INDEX(Templates!$B$3:$H$10,MATCH($R473,Templates!$A$3:$A$10,0),MATCH($F473,Templates!$B$2:$H$2,0)),IFERROR(INDEX(Settings!$B$8:$B$14,MATCH($F473,Settings!$A$8:$A$14,0)),0)))))</f>
        <v/>
      </c>
      <c r="J473" s="21">
        <f>IF($C473="",0,IFERROR(INDEX(Deals!$H$2:$H$355,MATCH($C473,Deals!$A$2:$A$355,0)),0))</f>
        <v/>
      </c>
      <c r="K473" s="32">
        <f>IF(Settings!$B$4="Yes",$I473*$J473,$I473)</f>
        <v/>
      </c>
      <c r="L473" s="22">
        <f>IF($C473="","",IFERROR(IF(INDEX(Deals!$I$2:$I$355,MATCH($C473,Deals!$A$2:$A$355,0))=0,"",INDEX(Deals!$I$2:$I$355,MATCH($C473,Deals!$A$2:$A$355,0))),""))</f>
        <v/>
      </c>
      <c r="M473" s="22">
        <f>IF($C473="","",IFERROR(IF(INDEX(Deals!$J$2:$J$355,MATCH($C473,Deals!$A$2:$A$355,0))=0,"",INDEX(Deals!$J$2:$J$355,MATCH($C473,Deals!$A$2:$A$355,0))),""))</f>
        <v/>
      </c>
      <c r="N473" s="35">
        <f>IF($L473="",DATE(1900,1,1),$L473)</f>
        <v/>
      </c>
      <c r="O473" s="35">
        <f>IF($M473="",DATE(2100,12,31),$M473)</f>
        <v/>
      </c>
      <c r="P473" s="20" t="inlineStr">
        <is>
          <t>Not involved in ongoing work</t>
        </is>
      </c>
      <c r="Q473" s="47" t="inlineStr"/>
      <c r="R473" s="16">
        <f>IF($C473="","",IFERROR(IF(INDEX(Deals!$U$2:$U$355,MATCH($C473,Deals!$A$2:$A$355,0))=0,"",INDEX(Deals!$U$2:$U$355,MATCH($C473,Deals!$A$2:$A$355,0))),""))</f>
        <v/>
      </c>
      <c r="S473" s="34">
        <f>IFERROR(IF($U473="",1,INDEX(Deals!$V$2:$V$355,MATCH($C473,Deals!$A$2:$A$355,0))),1)</f>
        <v/>
      </c>
      <c r="T473" s="34">
        <f>IFERROR(IF($U473="",1,INDEX(Deals!$W$2:$W$355,MATCH($C473,Deals!$A$2:$A$355,0))),1)</f>
        <v/>
      </c>
      <c r="U473" s="22">
        <f>IF($C473="","",IFERROR(IF(INDEX(Deals!$Y$2:$Y$355,MATCH($C473,Deals!$A$2:$A$355,0))=0,"",INDEX(Deals!$Y$2:$Y$355,MATCH($C473,Deals!$A$2:$A$355,0))),""))</f>
        <v/>
      </c>
      <c r="V473" s="35">
        <f>IF(OR($U473&lt;&gt;"",AND($AO473&gt;0,$L473&lt;&gt;"",$M473&lt;&gt;"")),$N473,DATE(1900,1,1))</f>
        <v/>
      </c>
      <c r="W473" s="35">
        <f>IF($U473&lt;&gt;"",$U473,IF(AND($AO473&gt;0,$L473&lt;&gt;"",$M473&lt;&gt;""),$O473,DATE(2100,12,31)))</f>
        <v/>
      </c>
      <c r="X473" s="32">
        <f>IF($U473="",$K473,$K473*$S473)</f>
        <v/>
      </c>
      <c r="Y473" s="35">
        <f>IF($U473="",DATE(2100,12,31),$U473+1)</f>
        <v/>
      </c>
      <c r="Z473" s="35">
        <f>IF($U473="",DATE(1900,1,1),$O473)</f>
        <v/>
      </c>
      <c r="AA473" s="32">
        <f>IF($U473="",0,$K473*$T473)</f>
        <v/>
      </c>
      <c r="AB473" s="21">
        <f>IF($C473="",0,IFERROR(INDEX(Deals!$AD$2:$AD$355,MATCH($C473,Deals!$A$2:$A$355,0)),0))</f>
        <v/>
      </c>
      <c r="AC473" s="32">
        <f>IF(Settings!$B$4="Yes",$I473*$AB473,$I473)</f>
        <v/>
      </c>
      <c r="AD473" s="22">
        <f>IF($C473="","",IFERROR(IF(INDEX(Deals!$AE$2:$AE$355,MATCH($C473,Deals!$A$2:$A$355,0))=0,"",INDEX(Deals!$AE$2:$AE$355,MATCH($C473,Deals!$A$2:$A$355,0))),""))</f>
        <v/>
      </c>
      <c r="AE473" s="22">
        <f>IF($C473="","",IFERROR(IF(INDEX(Deals!$AF$2:$AF$355,MATCH($C473,Deals!$A$2:$A$355,0))=0,"",INDEX(Deals!$AF$2:$AF$355,MATCH($C473,Deals!$A$2:$A$355,0))),""))</f>
        <v/>
      </c>
      <c r="AF473" s="35">
        <f>IF($AD473="",DATE(1900,1,1),$AD473)</f>
        <v/>
      </c>
      <c r="AG473" s="35">
        <f>IF($AE473="",DATE(2100,12,31),$AE473)</f>
        <v/>
      </c>
      <c r="AH473" s="22">
        <f>IF($C473="","",IFERROR(IF(INDEX(Deals!$AG$2:$AG$355,MATCH($C473,Deals!$A$2:$A$355,0))=0,"",INDEX(Deals!$AG$2:$AG$355,MATCH($C473,Deals!$A$2:$A$355,0))),""))</f>
        <v/>
      </c>
      <c r="AI473" s="35">
        <f>IF(OR($AH473&lt;&gt;"",AND($AO473&gt;0,$AD473&lt;&gt;"",$AE473&lt;&gt;"")),$AF473,DATE(1900,1,1))</f>
        <v/>
      </c>
      <c r="AJ473" s="35">
        <f>IF($AH473&lt;&gt;"",$AH473,IF(AND($AO473&gt;0,$AD473&lt;&gt;"",$AE473&lt;&gt;""),$AG473,DATE(2100,12,31)))</f>
        <v/>
      </c>
      <c r="AK473" s="32">
        <f>IF($AH473="",$AC473,$AC473*$S473)</f>
        <v/>
      </c>
      <c r="AL473" s="35">
        <f>IF($AH473="",DATE(2100,12,31),$AH473+1)</f>
        <v/>
      </c>
      <c r="AM473" s="35">
        <f>IF($AH473="",DATE(1900,1,1),$AG473)</f>
        <v/>
      </c>
      <c r="AN473" s="32">
        <f>IF($AH473="",0,$AC473*$T473)</f>
        <v/>
      </c>
      <c r="AO473" s="46">
        <f>IF($C473="",0,IFERROR(INDEX(Deals!$BD$2:$BD$355,MATCH($C473,Deals!$A$2:$A$355,0)),0))</f>
        <v/>
      </c>
      <c r="AP473" s="18">
        <f>IF($AO473=0,0,IFERROR(INDEX(Deals!$BJ$2:$BP$355,MATCH($C473,Deals!$A$2:$A$355,0),MATCH($F473,Deals!$BJ$1:$BP$1,0))/COUNTIFS(Assignments!$C$2:$C$769,$C473,Assignments!$F$2:$F$769,$F473,Assignments!$G$2:$G$769,"Active"),0))</f>
        <v/>
      </c>
    </row>
    <row r="474">
      <c r="A474" s="28" t="inlineStr">
        <is>
          <t>Nina</t>
        </is>
      </c>
      <c r="B474" s="16">
        <f>IF($A474="","",IFERROR(INDEX(Roster!$B$2:$B$40,MATCH($A474,Roster!$A$2:$A$40,0)),"?"))</f>
        <v/>
      </c>
      <c r="C474" s="28" t="inlineStr">
        <is>
          <t>Pine_1</t>
        </is>
      </c>
      <c r="D474" s="16">
        <f>IF($C474="","",IFERROR(IF(INDEX(Deals!$C$2:$C$355,MATCH($C474,Deals!$A$2:$A$355,0))=0,"",INDEX(Deals!$C$2:$C$355,MATCH($C474,Deals!$A$2:$A$355,0))),"?"))</f>
        <v/>
      </c>
      <c r="E474" s="16">
        <f>IF($C474="","",IFERROR(INDEX(Deals!$F$2:$F$355,MATCH($C474,Deals!$A$2:$A$355,0)),"?"))</f>
        <v/>
      </c>
      <c r="F474" s="28" t="inlineStr">
        <is>
          <t>Senior Associate</t>
        </is>
      </c>
      <c r="G474" s="28" t="inlineStr">
        <is>
          <t>Active</t>
        </is>
      </c>
      <c r="H474" s="31" t="n"/>
      <c r="I474" s="32">
        <f>IF(OR($A474="",$G474&lt;&gt;"Active"),0,IF($H474&lt;&gt;"",$H474,IF($AO474&gt;0,$AP474,IF(AND($R474&lt;&gt;"",IFERROR(INDEX(Templates!$B$3:$H$10,MATCH($R474,Templates!$A$3:$A$10,0),MATCH($F474,Templates!$B$2:$H$2,0)),0)&gt;0),INDEX(Templates!$B$3:$H$10,MATCH($R474,Templates!$A$3:$A$10,0),MATCH($F474,Templates!$B$2:$H$2,0)),IFERROR(INDEX(Settings!$B$8:$B$14,MATCH($F474,Settings!$A$8:$A$14,0)),0)))))</f>
        <v/>
      </c>
      <c r="J474" s="21">
        <f>IF($C474="",0,IFERROR(INDEX(Deals!$H$2:$H$355,MATCH($C474,Deals!$A$2:$A$355,0)),0))</f>
        <v/>
      </c>
      <c r="K474" s="32">
        <f>IF(Settings!$B$4="Yes",$I474*$J474,$I474)</f>
        <v/>
      </c>
      <c r="L474" s="22">
        <f>IF($C474="","",IFERROR(IF(INDEX(Deals!$I$2:$I$355,MATCH($C474,Deals!$A$2:$A$355,0))=0,"",INDEX(Deals!$I$2:$I$355,MATCH($C474,Deals!$A$2:$A$355,0))),""))</f>
        <v/>
      </c>
      <c r="M474" s="22">
        <f>IF($C474="","",IFERROR(IF(INDEX(Deals!$J$2:$J$355,MATCH($C474,Deals!$A$2:$A$355,0))=0,"",INDEX(Deals!$J$2:$J$355,MATCH($C474,Deals!$A$2:$A$355,0))),""))</f>
        <v/>
      </c>
      <c r="N474" s="35">
        <f>IF($L474="",DATE(1900,1,1),$L474)</f>
        <v/>
      </c>
      <c r="O474" s="35">
        <f>IF($M474="",DATE(2100,12,31),$M474)</f>
        <v/>
      </c>
      <c r="P474" s="20" t="inlineStr"/>
      <c r="Q474" s="47" t="inlineStr"/>
      <c r="R474" s="16">
        <f>IF($C474="","",IFERROR(IF(INDEX(Deals!$U$2:$U$355,MATCH($C474,Deals!$A$2:$A$355,0))=0,"",INDEX(Deals!$U$2:$U$355,MATCH($C474,Deals!$A$2:$A$355,0))),""))</f>
        <v/>
      </c>
      <c r="S474" s="34">
        <f>IFERROR(IF($U474="",1,INDEX(Deals!$V$2:$V$355,MATCH($C474,Deals!$A$2:$A$355,0))),1)</f>
        <v/>
      </c>
      <c r="T474" s="34">
        <f>IFERROR(IF($U474="",1,INDEX(Deals!$W$2:$W$355,MATCH($C474,Deals!$A$2:$A$355,0))),1)</f>
        <v/>
      </c>
      <c r="U474" s="22">
        <f>IF($C474="","",IFERROR(IF(INDEX(Deals!$Y$2:$Y$355,MATCH($C474,Deals!$A$2:$A$355,0))=0,"",INDEX(Deals!$Y$2:$Y$355,MATCH($C474,Deals!$A$2:$A$355,0))),""))</f>
        <v/>
      </c>
      <c r="V474" s="35">
        <f>IF(OR($U474&lt;&gt;"",AND($AO474&gt;0,$L474&lt;&gt;"",$M474&lt;&gt;"")),$N474,DATE(1900,1,1))</f>
        <v/>
      </c>
      <c r="W474" s="35">
        <f>IF($U474&lt;&gt;"",$U474,IF(AND($AO474&gt;0,$L474&lt;&gt;"",$M474&lt;&gt;""),$O474,DATE(2100,12,31)))</f>
        <v/>
      </c>
      <c r="X474" s="32">
        <f>IF($U474="",$K474,$K474*$S474)</f>
        <v/>
      </c>
      <c r="Y474" s="35">
        <f>IF($U474="",DATE(2100,12,31),$U474+1)</f>
        <v/>
      </c>
      <c r="Z474" s="35">
        <f>IF($U474="",DATE(1900,1,1),$O474)</f>
        <v/>
      </c>
      <c r="AA474" s="32">
        <f>IF($U474="",0,$K474*$T474)</f>
        <v/>
      </c>
      <c r="AB474" s="21">
        <f>IF($C474="",0,IFERROR(INDEX(Deals!$AD$2:$AD$355,MATCH($C474,Deals!$A$2:$A$355,0)),0))</f>
        <v/>
      </c>
      <c r="AC474" s="32">
        <f>IF(Settings!$B$4="Yes",$I474*$AB474,$I474)</f>
        <v/>
      </c>
      <c r="AD474" s="22">
        <f>IF($C474="","",IFERROR(IF(INDEX(Deals!$AE$2:$AE$355,MATCH($C474,Deals!$A$2:$A$355,0))=0,"",INDEX(Deals!$AE$2:$AE$355,MATCH($C474,Deals!$A$2:$A$355,0))),""))</f>
        <v/>
      </c>
      <c r="AE474" s="22">
        <f>IF($C474="","",IFERROR(IF(INDEX(Deals!$AF$2:$AF$355,MATCH($C474,Deals!$A$2:$A$355,0))=0,"",INDEX(Deals!$AF$2:$AF$355,MATCH($C474,Deals!$A$2:$A$355,0))),""))</f>
        <v/>
      </c>
      <c r="AF474" s="35">
        <f>IF($AD474="",DATE(1900,1,1),$AD474)</f>
        <v/>
      </c>
      <c r="AG474" s="35">
        <f>IF($AE474="",DATE(2100,12,31),$AE474)</f>
        <v/>
      </c>
      <c r="AH474" s="22">
        <f>IF($C474="","",IFERROR(IF(INDEX(Deals!$AG$2:$AG$355,MATCH($C474,Deals!$A$2:$A$355,0))=0,"",INDEX(Deals!$AG$2:$AG$355,MATCH($C474,Deals!$A$2:$A$355,0))),""))</f>
        <v/>
      </c>
      <c r="AI474" s="35">
        <f>IF(OR($AH474&lt;&gt;"",AND($AO474&gt;0,$AD474&lt;&gt;"",$AE474&lt;&gt;"")),$AF474,DATE(1900,1,1))</f>
        <v/>
      </c>
      <c r="AJ474" s="35">
        <f>IF($AH474&lt;&gt;"",$AH474,IF(AND($AO474&gt;0,$AD474&lt;&gt;"",$AE474&lt;&gt;""),$AG474,DATE(2100,12,31)))</f>
        <v/>
      </c>
      <c r="AK474" s="32">
        <f>IF($AH474="",$AC474,$AC474*$S474)</f>
        <v/>
      </c>
      <c r="AL474" s="35">
        <f>IF($AH474="",DATE(2100,12,31),$AH474+1)</f>
        <v/>
      </c>
      <c r="AM474" s="35">
        <f>IF($AH474="",DATE(1900,1,1),$AG474)</f>
        <v/>
      </c>
      <c r="AN474" s="32">
        <f>IF($AH474="",0,$AC474*$T474)</f>
        <v/>
      </c>
      <c r="AO474" s="46">
        <f>IF($C474="",0,IFERROR(INDEX(Deals!$BD$2:$BD$355,MATCH($C474,Deals!$A$2:$A$355,0)),0))</f>
        <v/>
      </c>
      <c r="AP474" s="18">
        <f>IF($AO474=0,0,IFERROR(INDEX(Deals!$BJ$2:$BP$355,MATCH($C474,Deals!$A$2:$A$355,0),MATCH($F474,Deals!$BJ$1:$BP$1,0))/COUNTIFS(Assignments!$C$2:$C$769,$C474,Assignments!$F$2:$F$769,$F474,Assignments!$G$2:$G$769,"Active"),0))</f>
        <v/>
      </c>
    </row>
    <row r="475">
      <c r="A475" s="28" t="inlineStr">
        <is>
          <t>Nina</t>
        </is>
      </c>
      <c r="B475" s="16">
        <f>IF($A475="","",IFERROR(INDEX(Roster!$B$2:$B$40,MATCH($A475,Roster!$A$2:$A$40,0)),"?"))</f>
        <v/>
      </c>
      <c r="C475" s="28" t="inlineStr">
        <is>
          <t>Pinecreek_1</t>
        </is>
      </c>
      <c r="D475" s="16">
        <f>IF($C475="","",IFERROR(IF(INDEX(Deals!$C$2:$C$355,MATCH($C475,Deals!$A$2:$A$355,0))=0,"",INDEX(Deals!$C$2:$C$355,MATCH($C475,Deals!$A$2:$A$355,0))),"?"))</f>
        <v/>
      </c>
      <c r="E475" s="16">
        <f>IF($C475="","",IFERROR(INDEX(Deals!$F$2:$F$355,MATCH($C475,Deals!$A$2:$A$355,0)),"?"))</f>
        <v/>
      </c>
      <c r="F475" s="28" t="inlineStr">
        <is>
          <t>Senior Associate</t>
        </is>
      </c>
      <c r="G475" s="28" t="inlineStr">
        <is>
          <t>Active</t>
        </is>
      </c>
      <c r="H475" s="31" t="n"/>
      <c r="I475" s="32">
        <f>IF(OR($A475="",$G475&lt;&gt;"Active"),0,IF($H475&lt;&gt;"",$H475,IF($AO475&gt;0,$AP475,IF(AND($R475&lt;&gt;"",IFERROR(INDEX(Templates!$B$3:$H$10,MATCH($R475,Templates!$A$3:$A$10,0),MATCH($F475,Templates!$B$2:$H$2,0)),0)&gt;0),INDEX(Templates!$B$3:$H$10,MATCH($R475,Templates!$A$3:$A$10,0),MATCH($F475,Templates!$B$2:$H$2,0)),IFERROR(INDEX(Settings!$B$8:$B$14,MATCH($F475,Settings!$A$8:$A$14,0)),0)))))</f>
        <v/>
      </c>
      <c r="J475" s="21">
        <f>IF($C475="",0,IFERROR(INDEX(Deals!$H$2:$H$355,MATCH($C475,Deals!$A$2:$A$355,0)),0))</f>
        <v/>
      </c>
      <c r="K475" s="32">
        <f>IF(Settings!$B$4="Yes",$I475*$J475,$I475)</f>
        <v/>
      </c>
      <c r="L475" s="22">
        <f>IF($C475="","",IFERROR(IF(INDEX(Deals!$I$2:$I$355,MATCH($C475,Deals!$A$2:$A$355,0))=0,"",INDEX(Deals!$I$2:$I$355,MATCH($C475,Deals!$A$2:$A$355,0))),""))</f>
        <v/>
      </c>
      <c r="M475" s="22">
        <f>IF($C475="","",IFERROR(IF(INDEX(Deals!$J$2:$J$355,MATCH($C475,Deals!$A$2:$A$355,0))=0,"",INDEX(Deals!$J$2:$J$355,MATCH($C475,Deals!$A$2:$A$355,0))),""))</f>
        <v/>
      </c>
      <c r="N475" s="35">
        <f>IF($L475="",DATE(1900,1,1),$L475)</f>
        <v/>
      </c>
      <c r="O475" s="35">
        <f>IF($M475="",DATE(2100,12,31),$M475)</f>
        <v/>
      </c>
      <c r="P475" s="20" t="inlineStr"/>
      <c r="Q475" s="47" t="inlineStr"/>
      <c r="R475" s="16">
        <f>IF($C475="","",IFERROR(IF(INDEX(Deals!$U$2:$U$355,MATCH($C475,Deals!$A$2:$A$355,0))=0,"",INDEX(Deals!$U$2:$U$355,MATCH($C475,Deals!$A$2:$A$355,0))),""))</f>
        <v/>
      </c>
      <c r="S475" s="34">
        <f>IFERROR(IF($U475="",1,INDEX(Deals!$V$2:$V$355,MATCH($C475,Deals!$A$2:$A$355,0))),1)</f>
        <v/>
      </c>
      <c r="T475" s="34">
        <f>IFERROR(IF($U475="",1,INDEX(Deals!$W$2:$W$355,MATCH($C475,Deals!$A$2:$A$355,0))),1)</f>
        <v/>
      </c>
      <c r="U475" s="22">
        <f>IF($C475="","",IFERROR(IF(INDEX(Deals!$Y$2:$Y$355,MATCH($C475,Deals!$A$2:$A$355,0))=0,"",INDEX(Deals!$Y$2:$Y$355,MATCH($C475,Deals!$A$2:$A$355,0))),""))</f>
        <v/>
      </c>
      <c r="V475" s="35">
        <f>IF(OR($U475&lt;&gt;"",AND($AO475&gt;0,$L475&lt;&gt;"",$M475&lt;&gt;"")),$N475,DATE(1900,1,1))</f>
        <v/>
      </c>
      <c r="W475" s="35">
        <f>IF($U475&lt;&gt;"",$U475,IF(AND($AO475&gt;0,$L475&lt;&gt;"",$M475&lt;&gt;""),$O475,DATE(2100,12,31)))</f>
        <v/>
      </c>
      <c r="X475" s="32">
        <f>IF($U475="",$K475,$K475*$S475)</f>
        <v/>
      </c>
      <c r="Y475" s="35">
        <f>IF($U475="",DATE(2100,12,31),$U475+1)</f>
        <v/>
      </c>
      <c r="Z475" s="35">
        <f>IF($U475="",DATE(1900,1,1),$O475)</f>
        <v/>
      </c>
      <c r="AA475" s="32">
        <f>IF($U475="",0,$K475*$T475)</f>
        <v/>
      </c>
      <c r="AB475" s="21">
        <f>IF($C475="",0,IFERROR(INDEX(Deals!$AD$2:$AD$355,MATCH($C475,Deals!$A$2:$A$355,0)),0))</f>
        <v/>
      </c>
      <c r="AC475" s="32">
        <f>IF(Settings!$B$4="Yes",$I475*$AB475,$I475)</f>
        <v/>
      </c>
      <c r="AD475" s="22">
        <f>IF($C475="","",IFERROR(IF(INDEX(Deals!$AE$2:$AE$355,MATCH($C475,Deals!$A$2:$A$355,0))=0,"",INDEX(Deals!$AE$2:$AE$355,MATCH($C475,Deals!$A$2:$A$355,0))),""))</f>
        <v/>
      </c>
      <c r="AE475" s="22">
        <f>IF($C475="","",IFERROR(IF(INDEX(Deals!$AF$2:$AF$355,MATCH($C475,Deals!$A$2:$A$355,0))=0,"",INDEX(Deals!$AF$2:$AF$355,MATCH($C475,Deals!$A$2:$A$355,0))),""))</f>
        <v/>
      </c>
      <c r="AF475" s="35">
        <f>IF($AD475="",DATE(1900,1,1),$AD475)</f>
        <v/>
      </c>
      <c r="AG475" s="35">
        <f>IF($AE475="",DATE(2100,12,31),$AE475)</f>
        <v/>
      </c>
      <c r="AH475" s="22">
        <f>IF($C475="","",IFERROR(IF(INDEX(Deals!$AG$2:$AG$355,MATCH($C475,Deals!$A$2:$A$355,0))=0,"",INDEX(Deals!$AG$2:$AG$355,MATCH($C475,Deals!$A$2:$A$355,0))),""))</f>
        <v/>
      </c>
      <c r="AI475" s="35">
        <f>IF(OR($AH475&lt;&gt;"",AND($AO475&gt;0,$AD475&lt;&gt;"",$AE475&lt;&gt;"")),$AF475,DATE(1900,1,1))</f>
        <v/>
      </c>
      <c r="AJ475" s="35">
        <f>IF($AH475&lt;&gt;"",$AH475,IF(AND($AO475&gt;0,$AD475&lt;&gt;"",$AE475&lt;&gt;""),$AG475,DATE(2100,12,31)))</f>
        <v/>
      </c>
      <c r="AK475" s="32">
        <f>IF($AH475="",$AC475,$AC475*$S475)</f>
        <v/>
      </c>
      <c r="AL475" s="35">
        <f>IF($AH475="",DATE(2100,12,31),$AH475+1)</f>
        <v/>
      </c>
      <c r="AM475" s="35">
        <f>IF($AH475="",DATE(1900,1,1),$AG475)</f>
        <v/>
      </c>
      <c r="AN475" s="32">
        <f>IF($AH475="",0,$AC475*$T475)</f>
        <v/>
      </c>
      <c r="AO475" s="46">
        <f>IF($C475="",0,IFERROR(INDEX(Deals!$BD$2:$BD$355,MATCH($C475,Deals!$A$2:$A$355,0)),0))</f>
        <v/>
      </c>
      <c r="AP475" s="18">
        <f>IF($AO475=0,0,IFERROR(INDEX(Deals!$BJ$2:$BP$355,MATCH($C475,Deals!$A$2:$A$355,0),MATCH($F475,Deals!$BJ$1:$BP$1,0))/COUNTIFS(Assignments!$C$2:$C$769,$C475,Assignments!$F$2:$F$769,$F475,Assignments!$G$2:$G$769,"Active"),0))</f>
        <v/>
      </c>
    </row>
    <row r="476">
      <c r="A476" s="28" t="inlineStr">
        <is>
          <t>Nina</t>
        </is>
      </c>
      <c r="B476" s="16">
        <f>IF($A476="","",IFERROR(INDEX(Roster!$B$2:$B$40,MATCH($A476,Roster!$A$2:$A$40,0)),"?"))</f>
        <v/>
      </c>
      <c r="C476" s="28" t="inlineStr">
        <is>
          <t>Pinnacel</t>
        </is>
      </c>
      <c r="D476" s="16">
        <f>IF($C476="","",IFERROR(IF(INDEX(Deals!$C$2:$C$355,MATCH($C476,Deals!$A$2:$A$355,0))=0,"",INDEX(Deals!$C$2:$C$355,MATCH($C476,Deals!$A$2:$A$355,0))),"?"))</f>
        <v/>
      </c>
      <c r="E476" s="16">
        <f>IF($C476="","",IFERROR(INDEX(Deals!$F$2:$F$355,MATCH($C476,Deals!$A$2:$A$355,0)),"?"))</f>
        <v/>
      </c>
      <c r="F476" s="28" t="inlineStr">
        <is>
          <t>Senior Associate</t>
        </is>
      </c>
      <c r="G476" s="28" t="inlineStr">
        <is>
          <t>Active</t>
        </is>
      </c>
      <c r="H476" s="31" t="n"/>
      <c r="I476" s="32">
        <f>IF(OR($A476="",$G476&lt;&gt;"Active"),0,IF($H476&lt;&gt;"",$H476,IF($AO476&gt;0,$AP476,IF(AND($R476&lt;&gt;"",IFERROR(INDEX(Templates!$B$3:$H$10,MATCH($R476,Templates!$A$3:$A$10,0),MATCH($F476,Templates!$B$2:$H$2,0)),0)&gt;0),INDEX(Templates!$B$3:$H$10,MATCH($R476,Templates!$A$3:$A$10,0),MATCH($F476,Templates!$B$2:$H$2,0)),IFERROR(INDEX(Settings!$B$8:$B$14,MATCH($F476,Settings!$A$8:$A$14,0)),0)))))</f>
        <v/>
      </c>
      <c r="J476" s="21">
        <f>IF($C476="",0,IFERROR(INDEX(Deals!$H$2:$H$355,MATCH($C476,Deals!$A$2:$A$355,0)),0))</f>
        <v/>
      </c>
      <c r="K476" s="32">
        <f>IF(Settings!$B$4="Yes",$I476*$J476,$I476)</f>
        <v/>
      </c>
      <c r="L476" s="22">
        <f>IF($C476="","",IFERROR(IF(INDEX(Deals!$I$2:$I$355,MATCH($C476,Deals!$A$2:$A$355,0))=0,"",INDEX(Deals!$I$2:$I$355,MATCH($C476,Deals!$A$2:$A$355,0))),""))</f>
        <v/>
      </c>
      <c r="M476" s="22">
        <f>IF($C476="","",IFERROR(IF(INDEX(Deals!$J$2:$J$355,MATCH($C476,Deals!$A$2:$A$355,0))=0,"",INDEX(Deals!$J$2:$J$355,MATCH($C476,Deals!$A$2:$A$355,0))),""))</f>
        <v/>
      </c>
      <c r="N476" s="35">
        <f>IF($L476="",DATE(1900,1,1),$L476)</f>
        <v/>
      </c>
      <c r="O476" s="35">
        <f>IF($M476="",DATE(2100,12,31),$M476)</f>
        <v/>
      </c>
      <c r="P476" s="20" t="inlineStr">
        <is>
          <t>Proposal sent</t>
        </is>
      </c>
      <c r="Q476" s="47" t="inlineStr">
        <is>
          <t>Added from Summary tab</t>
        </is>
      </c>
      <c r="R476" s="16">
        <f>IF($C476="","",IFERROR(IF(INDEX(Deals!$U$2:$U$355,MATCH($C476,Deals!$A$2:$A$355,0))=0,"",INDEX(Deals!$U$2:$U$355,MATCH($C476,Deals!$A$2:$A$355,0))),""))</f>
        <v/>
      </c>
      <c r="S476" s="34">
        <f>IFERROR(IF($U476="",1,INDEX(Deals!$V$2:$V$355,MATCH($C476,Deals!$A$2:$A$355,0))),1)</f>
        <v/>
      </c>
      <c r="T476" s="34">
        <f>IFERROR(IF($U476="",1,INDEX(Deals!$W$2:$W$355,MATCH($C476,Deals!$A$2:$A$355,0))),1)</f>
        <v/>
      </c>
      <c r="U476" s="22">
        <f>IF($C476="","",IFERROR(IF(INDEX(Deals!$Y$2:$Y$355,MATCH($C476,Deals!$A$2:$A$355,0))=0,"",INDEX(Deals!$Y$2:$Y$355,MATCH($C476,Deals!$A$2:$A$355,0))),""))</f>
        <v/>
      </c>
      <c r="V476" s="35">
        <f>IF(OR($U476&lt;&gt;"",AND($AO476&gt;0,$L476&lt;&gt;"",$M476&lt;&gt;"")),$N476,DATE(1900,1,1))</f>
        <v/>
      </c>
      <c r="W476" s="35">
        <f>IF($U476&lt;&gt;"",$U476,IF(AND($AO476&gt;0,$L476&lt;&gt;"",$M476&lt;&gt;""),$O476,DATE(2100,12,31)))</f>
        <v/>
      </c>
      <c r="X476" s="32">
        <f>IF($U476="",$K476,$K476*$S476)</f>
        <v/>
      </c>
      <c r="Y476" s="35">
        <f>IF($U476="",DATE(2100,12,31),$U476+1)</f>
        <v/>
      </c>
      <c r="Z476" s="35">
        <f>IF($U476="",DATE(1900,1,1),$O476)</f>
        <v/>
      </c>
      <c r="AA476" s="32">
        <f>IF($U476="",0,$K476*$T476)</f>
        <v/>
      </c>
      <c r="AB476" s="21">
        <f>IF($C476="",0,IFERROR(INDEX(Deals!$AD$2:$AD$355,MATCH($C476,Deals!$A$2:$A$355,0)),0))</f>
        <v/>
      </c>
      <c r="AC476" s="32">
        <f>IF(Settings!$B$4="Yes",$I476*$AB476,$I476)</f>
        <v/>
      </c>
      <c r="AD476" s="22">
        <f>IF($C476="","",IFERROR(IF(INDEX(Deals!$AE$2:$AE$355,MATCH($C476,Deals!$A$2:$A$355,0))=0,"",INDEX(Deals!$AE$2:$AE$355,MATCH($C476,Deals!$A$2:$A$355,0))),""))</f>
        <v/>
      </c>
      <c r="AE476" s="22">
        <f>IF($C476="","",IFERROR(IF(INDEX(Deals!$AF$2:$AF$355,MATCH($C476,Deals!$A$2:$A$355,0))=0,"",INDEX(Deals!$AF$2:$AF$355,MATCH($C476,Deals!$A$2:$A$355,0))),""))</f>
        <v/>
      </c>
      <c r="AF476" s="35">
        <f>IF($AD476="",DATE(1900,1,1),$AD476)</f>
        <v/>
      </c>
      <c r="AG476" s="35">
        <f>IF($AE476="",DATE(2100,12,31),$AE476)</f>
        <v/>
      </c>
      <c r="AH476" s="22">
        <f>IF($C476="","",IFERROR(IF(INDEX(Deals!$AG$2:$AG$355,MATCH($C476,Deals!$A$2:$A$355,0))=0,"",INDEX(Deals!$AG$2:$AG$355,MATCH($C476,Deals!$A$2:$A$355,0))),""))</f>
        <v/>
      </c>
      <c r="AI476" s="35">
        <f>IF(OR($AH476&lt;&gt;"",AND($AO476&gt;0,$AD476&lt;&gt;"",$AE476&lt;&gt;"")),$AF476,DATE(1900,1,1))</f>
        <v/>
      </c>
      <c r="AJ476" s="35">
        <f>IF($AH476&lt;&gt;"",$AH476,IF(AND($AO476&gt;0,$AD476&lt;&gt;"",$AE476&lt;&gt;""),$AG476,DATE(2100,12,31)))</f>
        <v/>
      </c>
      <c r="AK476" s="32">
        <f>IF($AH476="",$AC476,$AC476*$S476)</f>
        <v/>
      </c>
      <c r="AL476" s="35">
        <f>IF($AH476="",DATE(2100,12,31),$AH476+1)</f>
        <v/>
      </c>
      <c r="AM476" s="35">
        <f>IF($AH476="",DATE(1900,1,1),$AG476)</f>
        <v/>
      </c>
      <c r="AN476" s="32">
        <f>IF($AH476="",0,$AC476*$T476)</f>
        <v/>
      </c>
      <c r="AO476" s="46">
        <f>IF($C476="",0,IFERROR(INDEX(Deals!$BD$2:$BD$355,MATCH($C476,Deals!$A$2:$A$355,0)),0))</f>
        <v/>
      </c>
      <c r="AP476" s="18">
        <f>IF($AO476=0,0,IFERROR(INDEX(Deals!$BJ$2:$BP$355,MATCH($C476,Deals!$A$2:$A$355,0),MATCH($F476,Deals!$BJ$1:$BP$1,0))/COUNTIFS(Assignments!$C$2:$C$769,$C476,Assignments!$F$2:$F$769,$F476,Assignments!$G$2:$G$769,"Active"),0))</f>
        <v/>
      </c>
    </row>
    <row r="477">
      <c r="A477" s="28" t="inlineStr">
        <is>
          <t>Nina</t>
        </is>
      </c>
      <c r="B477" s="16">
        <f>IF($A477="","",IFERROR(INDEX(Roster!$B$2:$B$40,MATCH($A477,Roster!$A$2:$A$40,0)),"?"))</f>
        <v/>
      </c>
      <c r="C477" s="28" t="inlineStr">
        <is>
          <t>Pivot_3</t>
        </is>
      </c>
      <c r="D477" s="16">
        <f>IF($C477="","",IFERROR(IF(INDEX(Deals!$C$2:$C$355,MATCH($C477,Deals!$A$2:$A$355,0))=0,"",INDEX(Deals!$C$2:$C$355,MATCH($C477,Deals!$A$2:$A$355,0))),"?"))</f>
        <v/>
      </c>
      <c r="E477" s="16">
        <f>IF($C477="","",IFERROR(INDEX(Deals!$F$2:$F$355,MATCH($C477,Deals!$A$2:$A$355,0)),"?"))</f>
        <v/>
      </c>
      <c r="F477" s="28" t="inlineStr">
        <is>
          <t>Senior Associate</t>
        </is>
      </c>
      <c r="G477" s="28" t="inlineStr">
        <is>
          <t>Active</t>
        </is>
      </c>
      <c r="H477" s="31" t="n"/>
      <c r="I477" s="32">
        <f>IF(OR($A477="",$G477&lt;&gt;"Active"),0,IF($H477&lt;&gt;"",$H477,IF($AO477&gt;0,$AP477,IF(AND($R477&lt;&gt;"",IFERROR(INDEX(Templates!$B$3:$H$10,MATCH($R477,Templates!$A$3:$A$10,0),MATCH($F477,Templates!$B$2:$H$2,0)),0)&gt;0),INDEX(Templates!$B$3:$H$10,MATCH($R477,Templates!$A$3:$A$10,0),MATCH($F477,Templates!$B$2:$H$2,0)),IFERROR(INDEX(Settings!$B$8:$B$14,MATCH($F477,Settings!$A$8:$A$14,0)),0)))))</f>
        <v/>
      </c>
      <c r="J477" s="21">
        <f>IF($C477="",0,IFERROR(INDEX(Deals!$H$2:$H$355,MATCH($C477,Deals!$A$2:$A$355,0)),0))</f>
        <v/>
      </c>
      <c r="K477" s="32">
        <f>IF(Settings!$B$4="Yes",$I477*$J477,$I477)</f>
        <v/>
      </c>
      <c r="L477" s="22">
        <f>IF($C477="","",IFERROR(IF(INDEX(Deals!$I$2:$I$355,MATCH($C477,Deals!$A$2:$A$355,0))=0,"",INDEX(Deals!$I$2:$I$355,MATCH($C477,Deals!$A$2:$A$355,0))),""))</f>
        <v/>
      </c>
      <c r="M477" s="22">
        <f>IF($C477="","",IFERROR(IF(INDEX(Deals!$J$2:$J$355,MATCH($C477,Deals!$A$2:$A$355,0))=0,"",INDEX(Deals!$J$2:$J$355,MATCH($C477,Deals!$A$2:$A$355,0))),""))</f>
        <v/>
      </c>
      <c r="N477" s="35">
        <f>IF($L477="",DATE(1900,1,1),$L477)</f>
        <v/>
      </c>
      <c r="O477" s="35">
        <f>IF($M477="",DATE(2100,12,31),$M477)</f>
        <v/>
      </c>
      <c r="P477" s="20" t="inlineStr"/>
      <c r="Q477" s="47" t="inlineStr"/>
      <c r="R477" s="16">
        <f>IF($C477="","",IFERROR(IF(INDEX(Deals!$U$2:$U$355,MATCH($C477,Deals!$A$2:$A$355,0))=0,"",INDEX(Deals!$U$2:$U$355,MATCH($C477,Deals!$A$2:$A$355,0))),""))</f>
        <v/>
      </c>
      <c r="S477" s="34">
        <f>IFERROR(IF($U477="",1,INDEX(Deals!$V$2:$V$355,MATCH($C477,Deals!$A$2:$A$355,0))),1)</f>
        <v/>
      </c>
      <c r="T477" s="34">
        <f>IFERROR(IF($U477="",1,INDEX(Deals!$W$2:$W$355,MATCH($C477,Deals!$A$2:$A$355,0))),1)</f>
        <v/>
      </c>
      <c r="U477" s="22">
        <f>IF($C477="","",IFERROR(IF(INDEX(Deals!$Y$2:$Y$355,MATCH($C477,Deals!$A$2:$A$355,0))=0,"",INDEX(Deals!$Y$2:$Y$355,MATCH($C477,Deals!$A$2:$A$355,0))),""))</f>
        <v/>
      </c>
      <c r="V477" s="35">
        <f>IF(OR($U477&lt;&gt;"",AND($AO477&gt;0,$L477&lt;&gt;"",$M477&lt;&gt;"")),$N477,DATE(1900,1,1))</f>
        <v/>
      </c>
      <c r="W477" s="35">
        <f>IF($U477&lt;&gt;"",$U477,IF(AND($AO477&gt;0,$L477&lt;&gt;"",$M477&lt;&gt;""),$O477,DATE(2100,12,31)))</f>
        <v/>
      </c>
      <c r="X477" s="32">
        <f>IF($U477="",$K477,$K477*$S477)</f>
        <v/>
      </c>
      <c r="Y477" s="35">
        <f>IF($U477="",DATE(2100,12,31),$U477+1)</f>
        <v/>
      </c>
      <c r="Z477" s="35">
        <f>IF($U477="",DATE(1900,1,1),$O477)</f>
        <v/>
      </c>
      <c r="AA477" s="32">
        <f>IF($U477="",0,$K477*$T477)</f>
        <v/>
      </c>
      <c r="AB477" s="21">
        <f>IF($C477="",0,IFERROR(INDEX(Deals!$AD$2:$AD$355,MATCH($C477,Deals!$A$2:$A$355,0)),0))</f>
        <v/>
      </c>
      <c r="AC477" s="32">
        <f>IF(Settings!$B$4="Yes",$I477*$AB477,$I477)</f>
        <v/>
      </c>
      <c r="AD477" s="22">
        <f>IF($C477="","",IFERROR(IF(INDEX(Deals!$AE$2:$AE$355,MATCH($C477,Deals!$A$2:$A$355,0))=0,"",INDEX(Deals!$AE$2:$AE$355,MATCH($C477,Deals!$A$2:$A$355,0))),""))</f>
        <v/>
      </c>
      <c r="AE477" s="22">
        <f>IF($C477="","",IFERROR(IF(INDEX(Deals!$AF$2:$AF$355,MATCH($C477,Deals!$A$2:$A$355,0))=0,"",INDEX(Deals!$AF$2:$AF$355,MATCH($C477,Deals!$A$2:$A$355,0))),""))</f>
        <v/>
      </c>
      <c r="AF477" s="35">
        <f>IF($AD477="",DATE(1900,1,1),$AD477)</f>
        <v/>
      </c>
      <c r="AG477" s="35">
        <f>IF($AE477="",DATE(2100,12,31),$AE477)</f>
        <v/>
      </c>
      <c r="AH477" s="22">
        <f>IF($C477="","",IFERROR(IF(INDEX(Deals!$AG$2:$AG$355,MATCH($C477,Deals!$A$2:$A$355,0))=0,"",INDEX(Deals!$AG$2:$AG$355,MATCH($C477,Deals!$A$2:$A$355,0))),""))</f>
        <v/>
      </c>
      <c r="AI477" s="35">
        <f>IF(OR($AH477&lt;&gt;"",AND($AO477&gt;0,$AD477&lt;&gt;"",$AE477&lt;&gt;"")),$AF477,DATE(1900,1,1))</f>
        <v/>
      </c>
      <c r="AJ477" s="35">
        <f>IF($AH477&lt;&gt;"",$AH477,IF(AND($AO477&gt;0,$AD477&lt;&gt;"",$AE477&lt;&gt;""),$AG477,DATE(2100,12,31)))</f>
        <v/>
      </c>
      <c r="AK477" s="32">
        <f>IF($AH477="",$AC477,$AC477*$S477)</f>
        <v/>
      </c>
      <c r="AL477" s="35">
        <f>IF($AH477="",DATE(2100,12,31),$AH477+1)</f>
        <v/>
      </c>
      <c r="AM477" s="35">
        <f>IF($AH477="",DATE(1900,1,1),$AG477)</f>
        <v/>
      </c>
      <c r="AN477" s="32">
        <f>IF($AH477="",0,$AC477*$T477)</f>
        <v/>
      </c>
      <c r="AO477" s="46">
        <f>IF($C477="",0,IFERROR(INDEX(Deals!$BD$2:$BD$355,MATCH($C477,Deals!$A$2:$A$355,0)),0))</f>
        <v/>
      </c>
      <c r="AP477" s="18">
        <f>IF($AO477=0,0,IFERROR(INDEX(Deals!$BJ$2:$BP$355,MATCH($C477,Deals!$A$2:$A$355,0),MATCH($F477,Deals!$BJ$1:$BP$1,0))/COUNTIFS(Assignments!$C$2:$C$769,$C477,Assignments!$F$2:$F$769,$F477,Assignments!$G$2:$G$769,"Active"),0))</f>
        <v/>
      </c>
    </row>
    <row r="478">
      <c r="A478" s="28" t="inlineStr">
        <is>
          <t>Nina</t>
        </is>
      </c>
      <c r="B478" s="16">
        <f>IF($A478="","",IFERROR(INDEX(Roster!$B$2:$B$40,MATCH($A478,Roster!$A$2:$A$40,0)),"?"))</f>
        <v/>
      </c>
      <c r="C478" s="28" t="inlineStr">
        <is>
          <t>Prince_2</t>
        </is>
      </c>
      <c r="D478" s="16">
        <f>IF($C478="","",IFERROR(IF(INDEX(Deals!$C$2:$C$355,MATCH($C478,Deals!$A$2:$A$355,0))=0,"",INDEX(Deals!$C$2:$C$355,MATCH($C478,Deals!$A$2:$A$355,0))),"?"))</f>
        <v/>
      </c>
      <c r="E478" s="16">
        <f>IF($C478="","",IFERROR(INDEX(Deals!$F$2:$F$355,MATCH($C478,Deals!$A$2:$A$355,0)),"?"))</f>
        <v/>
      </c>
      <c r="F478" s="28" t="inlineStr">
        <is>
          <t>Senior Associate</t>
        </is>
      </c>
      <c r="G478" s="28" t="inlineStr">
        <is>
          <t>Active</t>
        </is>
      </c>
      <c r="H478" s="31" t="n"/>
      <c r="I478" s="32">
        <f>IF(OR($A478="",$G478&lt;&gt;"Active"),0,IF($H478&lt;&gt;"",$H478,IF($AO478&gt;0,$AP478,IF(AND($R478&lt;&gt;"",IFERROR(INDEX(Templates!$B$3:$H$10,MATCH($R478,Templates!$A$3:$A$10,0),MATCH($F478,Templates!$B$2:$H$2,0)),0)&gt;0),INDEX(Templates!$B$3:$H$10,MATCH($R478,Templates!$A$3:$A$10,0),MATCH($F478,Templates!$B$2:$H$2,0)),IFERROR(INDEX(Settings!$B$8:$B$14,MATCH($F478,Settings!$A$8:$A$14,0)),0)))))</f>
        <v/>
      </c>
      <c r="J478" s="21">
        <f>IF($C478="",0,IFERROR(INDEX(Deals!$H$2:$H$355,MATCH($C478,Deals!$A$2:$A$355,0)),0))</f>
        <v/>
      </c>
      <c r="K478" s="32">
        <f>IF(Settings!$B$4="Yes",$I478*$J478,$I478)</f>
        <v/>
      </c>
      <c r="L478" s="22">
        <f>IF($C478="","",IFERROR(IF(INDEX(Deals!$I$2:$I$355,MATCH($C478,Deals!$A$2:$A$355,0))=0,"",INDEX(Deals!$I$2:$I$355,MATCH($C478,Deals!$A$2:$A$355,0))),""))</f>
        <v/>
      </c>
      <c r="M478" s="22">
        <f>IF($C478="","",IFERROR(IF(INDEX(Deals!$J$2:$J$355,MATCH($C478,Deals!$A$2:$A$355,0))=0,"",INDEX(Deals!$J$2:$J$355,MATCH($C478,Deals!$A$2:$A$355,0))),""))</f>
        <v/>
      </c>
      <c r="N478" s="35">
        <f>IF($L478="",DATE(1900,1,1),$L478)</f>
        <v/>
      </c>
      <c r="O478" s="35">
        <f>IF($M478="",DATE(2100,12,31),$M478)</f>
        <v/>
      </c>
      <c r="P478" s="20" t="inlineStr"/>
      <c r="Q478" s="47" t="inlineStr"/>
      <c r="R478" s="16">
        <f>IF($C478="","",IFERROR(IF(INDEX(Deals!$U$2:$U$355,MATCH($C478,Deals!$A$2:$A$355,0))=0,"",INDEX(Deals!$U$2:$U$355,MATCH($C478,Deals!$A$2:$A$355,0))),""))</f>
        <v/>
      </c>
      <c r="S478" s="34">
        <f>IFERROR(IF($U478="",1,INDEX(Deals!$V$2:$V$355,MATCH($C478,Deals!$A$2:$A$355,0))),1)</f>
        <v/>
      </c>
      <c r="T478" s="34">
        <f>IFERROR(IF($U478="",1,INDEX(Deals!$W$2:$W$355,MATCH($C478,Deals!$A$2:$A$355,0))),1)</f>
        <v/>
      </c>
      <c r="U478" s="22">
        <f>IF($C478="","",IFERROR(IF(INDEX(Deals!$Y$2:$Y$355,MATCH($C478,Deals!$A$2:$A$355,0))=0,"",INDEX(Deals!$Y$2:$Y$355,MATCH($C478,Deals!$A$2:$A$355,0))),""))</f>
        <v/>
      </c>
      <c r="V478" s="35">
        <f>IF(OR($U478&lt;&gt;"",AND($AO478&gt;0,$L478&lt;&gt;"",$M478&lt;&gt;"")),$N478,DATE(1900,1,1))</f>
        <v/>
      </c>
      <c r="W478" s="35">
        <f>IF($U478&lt;&gt;"",$U478,IF(AND($AO478&gt;0,$L478&lt;&gt;"",$M478&lt;&gt;""),$O478,DATE(2100,12,31)))</f>
        <v/>
      </c>
      <c r="X478" s="32">
        <f>IF($U478="",$K478,$K478*$S478)</f>
        <v/>
      </c>
      <c r="Y478" s="35">
        <f>IF($U478="",DATE(2100,12,31),$U478+1)</f>
        <v/>
      </c>
      <c r="Z478" s="35">
        <f>IF($U478="",DATE(1900,1,1),$O478)</f>
        <v/>
      </c>
      <c r="AA478" s="32">
        <f>IF($U478="",0,$K478*$T478)</f>
        <v/>
      </c>
      <c r="AB478" s="21">
        <f>IF($C478="",0,IFERROR(INDEX(Deals!$AD$2:$AD$355,MATCH($C478,Deals!$A$2:$A$355,0)),0))</f>
        <v/>
      </c>
      <c r="AC478" s="32">
        <f>IF(Settings!$B$4="Yes",$I478*$AB478,$I478)</f>
        <v/>
      </c>
      <c r="AD478" s="22">
        <f>IF($C478="","",IFERROR(IF(INDEX(Deals!$AE$2:$AE$355,MATCH($C478,Deals!$A$2:$A$355,0))=0,"",INDEX(Deals!$AE$2:$AE$355,MATCH($C478,Deals!$A$2:$A$355,0))),""))</f>
        <v/>
      </c>
      <c r="AE478" s="22">
        <f>IF($C478="","",IFERROR(IF(INDEX(Deals!$AF$2:$AF$355,MATCH($C478,Deals!$A$2:$A$355,0))=0,"",INDEX(Deals!$AF$2:$AF$355,MATCH($C478,Deals!$A$2:$A$355,0))),""))</f>
        <v/>
      </c>
      <c r="AF478" s="35">
        <f>IF($AD478="",DATE(1900,1,1),$AD478)</f>
        <v/>
      </c>
      <c r="AG478" s="35">
        <f>IF($AE478="",DATE(2100,12,31),$AE478)</f>
        <v/>
      </c>
      <c r="AH478" s="22">
        <f>IF($C478="","",IFERROR(IF(INDEX(Deals!$AG$2:$AG$355,MATCH($C478,Deals!$A$2:$A$355,0))=0,"",INDEX(Deals!$AG$2:$AG$355,MATCH($C478,Deals!$A$2:$A$355,0))),""))</f>
        <v/>
      </c>
      <c r="AI478" s="35">
        <f>IF(OR($AH478&lt;&gt;"",AND($AO478&gt;0,$AD478&lt;&gt;"",$AE478&lt;&gt;"")),$AF478,DATE(1900,1,1))</f>
        <v/>
      </c>
      <c r="AJ478" s="35">
        <f>IF($AH478&lt;&gt;"",$AH478,IF(AND($AO478&gt;0,$AD478&lt;&gt;"",$AE478&lt;&gt;""),$AG478,DATE(2100,12,31)))</f>
        <v/>
      </c>
      <c r="AK478" s="32">
        <f>IF($AH478="",$AC478,$AC478*$S478)</f>
        <v/>
      </c>
      <c r="AL478" s="35">
        <f>IF($AH478="",DATE(2100,12,31),$AH478+1)</f>
        <v/>
      </c>
      <c r="AM478" s="35">
        <f>IF($AH478="",DATE(1900,1,1),$AG478)</f>
        <v/>
      </c>
      <c r="AN478" s="32">
        <f>IF($AH478="",0,$AC478*$T478)</f>
        <v/>
      </c>
      <c r="AO478" s="46">
        <f>IF($C478="",0,IFERROR(INDEX(Deals!$BD$2:$BD$355,MATCH($C478,Deals!$A$2:$A$355,0)),0))</f>
        <v/>
      </c>
      <c r="AP478" s="18">
        <f>IF($AO478=0,0,IFERROR(INDEX(Deals!$BJ$2:$BP$355,MATCH($C478,Deals!$A$2:$A$355,0),MATCH($F478,Deals!$BJ$1:$BP$1,0))/COUNTIFS(Assignments!$C$2:$C$769,$C478,Assignments!$F$2:$F$769,$F478,Assignments!$G$2:$G$769,"Active"),0))</f>
        <v/>
      </c>
    </row>
    <row r="479">
      <c r="A479" s="28" t="inlineStr">
        <is>
          <t>Nina</t>
        </is>
      </c>
      <c r="B479" s="16">
        <f>IF($A479="","",IFERROR(INDEX(Roster!$B$2:$B$40,MATCH($A479,Roster!$A$2:$A$40,0)),"?"))</f>
        <v/>
      </c>
      <c r="C479" s="28" t="inlineStr">
        <is>
          <t>Redwood_1</t>
        </is>
      </c>
      <c r="D479" s="16">
        <f>IF($C479="","",IFERROR(IF(INDEX(Deals!$C$2:$C$355,MATCH($C479,Deals!$A$2:$A$355,0))=0,"",INDEX(Deals!$C$2:$C$355,MATCH($C479,Deals!$A$2:$A$355,0))),"?"))</f>
        <v/>
      </c>
      <c r="E479" s="16">
        <f>IF($C479="","",IFERROR(INDEX(Deals!$F$2:$F$355,MATCH($C479,Deals!$A$2:$A$355,0)),"?"))</f>
        <v/>
      </c>
      <c r="F479" s="28" t="inlineStr">
        <is>
          <t>Senior Associate</t>
        </is>
      </c>
      <c r="G479" s="28" t="inlineStr">
        <is>
          <t>Active</t>
        </is>
      </c>
      <c r="H479" s="31" t="n"/>
      <c r="I479" s="32">
        <f>IF(OR($A479="",$G479&lt;&gt;"Active"),0,IF($H479&lt;&gt;"",$H479,IF($AO479&gt;0,$AP479,IF(AND($R479&lt;&gt;"",IFERROR(INDEX(Templates!$B$3:$H$10,MATCH($R479,Templates!$A$3:$A$10,0),MATCH($F479,Templates!$B$2:$H$2,0)),0)&gt;0),INDEX(Templates!$B$3:$H$10,MATCH($R479,Templates!$A$3:$A$10,0),MATCH($F479,Templates!$B$2:$H$2,0)),IFERROR(INDEX(Settings!$B$8:$B$14,MATCH($F479,Settings!$A$8:$A$14,0)),0)))))</f>
        <v/>
      </c>
      <c r="J479" s="21">
        <f>IF($C479="",0,IFERROR(INDEX(Deals!$H$2:$H$355,MATCH($C479,Deals!$A$2:$A$355,0)),0))</f>
        <v/>
      </c>
      <c r="K479" s="32">
        <f>IF(Settings!$B$4="Yes",$I479*$J479,$I479)</f>
        <v/>
      </c>
      <c r="L479" s="22">
        <f>IF($C479="","",IFERROR(IF(INDEX(Deals!$I$2:$I$355,MATCH($C479,Deals!$A$2:$A$355,0))=0,"",INDEX(Deals!$I$2:$I$355,MATCH($C479,Deals!$A$2:$A$355,0))),""))</f>
        <v/>
      </c>
      <c r="M479" s="22">
        <f>IF($C479="","",IFERROR(IF(INDEX(Deals!$J$2:$J$355,MATCH($C479,Deals!$A$2:$A$355,0))=0,"",INDEX(Deals!$J$2:$J$355,MATCH($C479,Deals!$A$2:$A$355,0))),""))</f>
        <v/>
      </c>
      <c r="N479" s="35">
        <f>IF($L479="",DATE(1900,1,1),$L479)</f>
        <v/>
      </c>
      <c r="O479" s="35">
        <f>IF($M479="",DATE(2100,12,31),$M479)</f>
        <v/>
      </c>
      <c r="P479" s="20" t="inlineStr">
        <is>
          <t>Ongoing</t>
        </is>
      </c>
      <c r="Q479" s="47" t="inlineStr"/>
      <c r="R479" s="16">
        <f>IF($C479="","",IFERROR(IF(INDEX(Deals!$U$2:$U$355,MATCH($C479,Deals!$A$2:$A$355,0))=0,"",INDEX(Deals!$U$2:$U$355,MATCH($C479,Deals!$A$2:$A$355,0))),""))</f>
        <v/>
      </c>
      <c r="S479" s="34">
        <f>IFERROR(IF($U479="",1,INDEX(Deals!$V$2:$V$355,MATCH($C479,Deals!$A$2:$A$355,0))),1)</f>
        <v/>
      </c>
      <c r="T479" s="34">
        <f>IFERROR(IF($U479="",1,INDEX(Deals!$W$2:$W$355,MATCH($C479,Deals!$A$2:$A$355,0))),1)</f>
        <v/>
      </c>
      <c r="U479" s="22">
        <f>IF($C479="","",IFERROR(IF(INDEX(Deals!$Y$2:$Y$355,MATCH($C479,Deals!$A$2:$A$355,0))=0,"",INDEX(Deals!$Y$2:$Y$355,MATCH($C479,Deals!$A$2:$A$355,0))),""))</f>
        <v/>
      </c>
      <c r="V479" s="35">
        <f>IF(OR($U479&lt;&gt;"",AND($AO479&gt;0,$L479&lt;&gt;"",$M479&lt;&gt;"")),$N479,DATE(1900,1,1))</f>
        <v/>
      </c>
      <c r="W479" s="35">
        <f>IF($U479&lt;&gt;"",$U479,IF(AND($AO479&gt;0,$L479&lt;&gt;"",$M479&lt;&gt;""),$O479,DATE(2100,12,31)))</f>
        <v/>
      </c>
      <c r="X479" s="32">
        <f>IF($U479="",$K479,$K479*$S479)</f>
        <v/>
      </c>
      <c r="Y479" s="35">
        <f>IF($U479="",DATE(2100,12,31),$U479+1)</f>
        <v/>
      </c>
      <c r="Z479" s="35">
        <f>IF($U479="",DATE(1900,1,1),$O479)</f>
        <v/>
      </c>
      <c r="AA479" s="32">
        <f>IF($U479="",0,$K479*$T479)</f>
        <v/>
      </c>
      <c r="AB479" s="21">
        <f>IF($C479="",0,IFERROR(INDEX(Deals!$AD$2:$AD$355,MATCH($C479,Deals!$A$2:$A$355,0)),0))</f>
        <v/>
      </c>
      <c r="AC479" s="32">
        <f>IF(Settings!$B$4="Yes",$I479*$AB479,$I479)</f>
        <v/>
      </c>
      <c r="AD479" s="22">
        <f>IF($C479="","",IFERROR(IF(INDEX(Deals!$AE$2:$AE$355,MATCH($C479,Deals!$A$2:$A$355,0))=0,"",INDEX(Deals!$AE$2:$AE$355,MATCH($C479,Deals!$A$2:$A$355,0))),""))</f>
        <v/>
      </c>
      <c r="AE479" s="22">
        <f>IF($C479="","",IFERROR(IF(INDEX(Deals!$AF$2:$AF$355,MATCH($C479,Deals!$A$2:$A$355,0))=0,"",INDEX(Deals!$AF$2:$AF$355,MATCH($C479,Deals!$A$2:$A$355,0))),""))</f>
        <v/>
      </c>
      <c r="AF479" s="35">
        <f>IF($AD479="",DATE(1900,1,1),$AD479)</f>
        <v/>
      </c>
      <c r="AG479" s="35">
        <f>IF($AE479="",DATE(2100,12,31),$AE479)</f>
        <v/>
      </c>
      <c r="AH479" s="22">
        <f>IF($C479="","",IFERROR(IF(INDEX(Deals!$AG$2:$AG$355,MATCH($C479,Deals!$A$2:$A$355,0))=0,"",INDEX(Deals!$AG$2:$AG$355,MATCH($C479,Deals!$A$2:$A$355,0))),""))</f>
        <v/>
      </c>
      <c r="AI479" s="35">
        <f>IF(OR($AH479&lt;&gt;"",AND($AO479&gt;0,$AD479&lt;&gt;"",$AE479&lt;&gt;"")),$AF479,DATE(1900,1,1))</f>
        <v/>
      </c>
      <c r="AJ479" s="35">
        <f>IF($AH479&lt;&gt;"",$AH479,IF(AND($AO479&gt;0,$AD479&lt;&gt;"",$AE479&lt;&gt;""),$AG479,DATE(2100,12,31)))</f>
        <v/>
      </c>
      <c r="AK479" s="32">
        <f>IF($AH479="",$AC479,$AC479*$S479)</f>
        <v/>
      </c>
      <c r="AL479" s="35">
        <f>IF($AH479="",DATE(2100,12,31),$AH479+1)</f>
        <v/>
      </c>
      <c r="AM479" s="35">
        <f>IF($AH479="",DATE(1900,1,1),$AG479)</f>
        <v/>
      </c>
      <c r="AN479" s="32">
        <f>IF($AH479="",0,$AC479*$T479)</f>
        <v/>
      </c>
      <c r="AO479" s="46">
        <f>IF($C479="",0,IFERROR(INDEX(Deals!$BD$2:$BD$355,MATCH($C479,Deals!$A$2:$A$355,0)),0))</f>
        <v/>
      </c>
      <c r="AP479" s="18">
        <f>IF($AO479=0,0,IFERROR(INDEX(Deals!$BJ$2:$BP$355,MATCH($C479,Deals!$A$2:$A$355,0),MATCH($F479,Deals!$BJ$1:$BP$1,0))/COUNTIFS(Assignments!$C$2:$C$769,$C479,Assignments!$F$2:$F$769,$F479,Assignments!$G$2:$G$769,"Active"),0))</f>
        <v/>
      </c>
    </row>
    <row r="480">
      <c r="A480" s="28" t="inlineStr">
        <is>
          <t>Nina</t>
        </is>
      </c>
      <c r="B480" s="16">
        <f>IF($A480="","",IFERROR(INDEX(Roster!$B$2:$B$40,MATCH($A480,Roster!$A$2:$A$40,0)),"?"))</f>
        <v/>
      </c>
      <c r="C480" s="28" t="inlineStr">
        <is>
          <t>Resenergize_1</t>
        </is>
      </c>
      <c r="D480" s="16">
        <f>IF($C480="","",IFERROR(IF(INDEX(Deals!$C$2:$C$355,MATCH($C480,Deals!$A$2:$A$355,0))=0,"",INDEX(Deals!$C$2:$C$355,MATCH($C480,Deals!$A$2:$A$355,0))),"?"))</f>
        <v/>
      </c>
      <c r="E480" s="16">
        <f>IF($C480="","",IFERROR(INDEX(Deals!$F$2:$F$355,MATCH($C480,Deals!$A$2:$A$355,0)),"?"))</f>
        <v/>
      </c>
      <c r="F480" s="28" t="inlineStr">
        <is>
          <t>Senior Associate</t>
        </is>
      </c>
      <c r="G480" s="28" t="inlineStr">
        <is>
          <t>Inactive</t>
        </is>
      </c>
      <c r="H480" s="31" t="n"/>
      <c r="I480" s="32">
        <f>IF(OR($A480="",$G480&lt;&gt;"Active"),0,IF($H480&lt;&gt;"",$H480,IF($AO480&gt;0,$AP480,IF(AND($R480&lt;&gt;"",IFERROR(INDEX(Templates!$B$3:$H$10,MATCH($R480,Templates!$A$3:$A$10,0),MATCH($F480,Templates!$B$2:$H$2,0)),0)&gt;0),INDEX(Templates!$B$3:$H$10,MATCH($R480,Templates!$A$3:$A$10,0),MATCH($F480,Templates!$B$2:$H$2,0)),IFERROR(INDEX(Settings!$B$8:$B$14,MATCH($F480,Settings!$A$8:$A$14,0)),0)))))</f>
        <v/>
      </c>
      <c r="J480" s="21">
        <f>IF($C480="",0,IFERROR(INDEX(Deals!$H$2:$H$355,MATCH($C480,Deals!$A$2:$A$355,0)),0))</f>
        <v/>
      </c>
      <c r="K480" s="32">
        <f>IF(Settings!$B$4="Yes",$I480*$J480,$I480)</f>
        <v/>
      </c>
      <c r="L480" s="22">
        <f>IF($C480="","",IFERROR(IF(INDEX(Deals!$I$2:$I$355,MATCH($C480,Deals!$A$2:$A$355,0))=0,"",INDEX(Deals!$I$2:$I$355,MATCH($C480,Deals!$A$2:$A$355,0))),""))</f>
        <v/>
      </c>
      <c r="M480" s="22">
        <f>IF($C480="","",IFERROR(IF(INDEX(Deals!$J$2:$J$355,MATCH($C480,Deals!$A$2:$A$355,0))=0,"",INDEX(Deals!$J$2:$J$355,MATCH($C480,Deals!$A$2:$A$355,0))),""))</f>
        <v/>
      </c>
      <c r="N480" s="35">
        <f>IF($L480="",DATE(1900,1,1),$L480)</f>
        <v/>
      </c>
      <c r="O480" s="35">
        <f>IF($M480="",DATE(2100,12,31),$M480)</f>
        <v/>
      </c>
      <c r="P480" s="20" t="inlineStr">
        <is>
          <t>Not involved in ongoing work</t>
        </is>
      </c>
      <c r="Q480" s="47" t="inlineStr"/>
      <c r="R480" s="16">
        <f>IF($C480="","",IFERROR(IF(INDEX(Deals!$U$2:$U$355,MATCH($C480,Deals!$A$2:$A$355,0))=0,"",INDEX(Deals!$U$2:$U$355,MATCH($C480,Deals!$A$2:$A$355,0))),""))</f>
        <v/>
      </c>
      <c r="S480" s="34">
        <f>IFERROR(IF($U480="",1,INDEX(Deals!$V$2:$V$355,MATCH($C480,Deals!$A$2:$A$355,0))),1)</f>
        <v/>
      </c>
      <c r="T480" s="34">
        <f>IFERROR(IF($U480="",1,INDEX(Deals!$W$2:$W$355,MATCH($C480,Deals!$A$2:$A$355,0))),1)</f>
        <v/>
      </c>
      <c r="U480" s="22">
        <f>IF($C480="","",IFERROR(IF(INDEX(Deals!$Y$2:$Y$355,MATCH($C480,Deals!$A$2:$A$355,0))=0,"",INDEX(Deals!$Y$2:$Y$355,MATCH($C480,Deals!$A$2:$A$355,0))),""))</f>
        <v/>
      </c>
      <c r="V480" s="35">
        <f>IF(OR($U480&lt;&gt;"",AND($AO480&gt;0,$L480&lt;&gt;"",$M480&lt;&gt;"")),$N480,DATE(1900,1,1))</f>
        <v/>
      </c>
      <c r="W480" s="35">
        <f>IF($U480&lt;&gt;"",$U480,IF(AND($AO480&gt;0,$L480&lt;&gt;"",$M480&lt;&gt;""),$O480,DATE(2100,12,31)))</f>
        <v/>
      </c>
      <c r="X480" s="32">
        <f>IF($U480="",$K480,$K480*$S480)</f>
        <v/>
      </c>
      <c r="Y480" s="35">
        <f>IF($U480="",DATE(2100,12,31),$U480+1)</f>
        <v/>
      </c>
      <c r="Z480" s="35">
        <f>IF($U480="",DATE(1900,1,1),$O480)</f>
        <v/>
      </c>
      <c r="AA480" s="32">
        <f>IF($U480="",0,$K480*$T480)</f>
        <v/>
      </c>
      <c r="AB480" s="21">
        <f>IF($C480="",0,IFERROR(INDEX(Deals!$AD$2:$AD$355,MATCH($C480,Deals!$A$2:$A$355,0)),0))</f>
        <v/>
      </c>
      <c r="AC480" s="32">
        <f>IF(Settings!$B$4="Yes",$I480*$AB480,$I480)</f>
        <v/>
      </c>
      <c r="AD480" s="22">
        <f>IF($C480="","",IFERROR(IF(INDEX(Deals!$AE$2:$AE$355,MATCH($C480,Deals!$A$2:$A$355,0))=0,"",INDEX(Deals!$AE$2:$AE$355,MATCH($C480,Deals!$A$2:$A$355,0))),""))</f>
        <v/>
      </c>
      <c r="AE480" s="22">
        <f>IF($C480="","",IFERROR(IF(INDEX(Deals!$AF$2:$AF$355,MATCH($C480,Deals!$A$2:$A$355,0))=0,"",INDEX(Deals!$AF$2:$AF$355,MATCH($C480,Deals!$A$2:$A$355,0))),""))</f>
        <v/>
      </c>
      <c r="AF480" s="35">
        <f>IF($AD480="",DATE(1900,1,1),$AD480)</f>
        <v/>
      </c>
      <c r="AG480" s="35">
        <f>IF($AE480="",DATE(2100,12,31),$AE480)</f>
        <v/>
      </c>
      <c r="AH480" s="22">
        <f>IF($C480="","",IFERROR(IF(INDEX(Deals!$AG$2:$AG$355,MATCH($C480,Deals!$A$2:$A$355,0))=0,"",INDEX(Deals!$AG$2:$AG$355,MATCH($C480,Deals!$A$2:$A$355,0))),""))</f>
        <v/>
      </c>
      <c r="AI480" s="35">
        <f>IF(OR($AH480&lt;&gt;"",AND($AO480&gt;0,$AD480&lt;&gt;"",$AE480&lt;&gt;"")),$AF480,DATE(1900,1,1))</f>
        <v/>
      </c>
      <c r="AJ480" s="35">
        <f>IF($AH480&lt;&gt;"",$AH480,IF(AND($AO480&gt;0,$AD480&lt;&gt;"",$AE480&lt;&gt;""),$AG480,DATE(2100,12,31)))</f>
        <v/>
      </c>
      <c r="AK480" s="32">
        <f>IF($AH480="",$AC480,$AC480*$S480)</f>
        <v/>
      </c>
      <c r="AL480" s="35">
        <f>IF($AH480="",DATE(2100,12,31),$AH480+1)</f>
        <v/>
      </c>
      <c r="AM480" s="35">
        <f>IF($AH480="",DATE(1900,1,1),$AG480)</f>
        <v/>
      </c>
      <c r="AN480" s="32">
        <f>IF($AH480="",0,$AC480*$T480)</f>
        <v/>
      </c>
      <c r="AO480" s="46">
        <f>IF($C480="",0,IFERROR(INDEX(Deals!$BD$2:$BD$355,MATCH($C480,Deals!$A$2:$A$355,0)),0))</f>
        <v/>
      </c>
      <c r="AP480" s="18">
        <f>IF($AO480=0,0,IFERROR(INDEX(Deals!$BJ$2:$BP$355,MATCH($C480,Deals!$A$2:$A$355,0),MATCH($F480,Deals!$BJ$1:$BP$1,0))/COUNTIFS(Assignments!$C$2:$C$769,$C480,Assignments!$F$2:$F$769,$F480,Assignments!$G$2:$G$769,"Active"),0))</f>
        <v/>
      </c>
    </row>
    <row r="481">
      <c r="A481" s="28" t="inlineStr">
        <is>
          <t>Nina</t>
        </is>
      </c>
      <c r="B481" s="16">
        <f>IF($A481="","",IFERROR(INDEX(Roster!$B$2:$B$40,MATCH($A481,Roster!$A$2:$A$40,0)),"?"))</f>
        <v/>
      </c>
      <c r="C481" s="28" t="inlineStr">
        <is>
          <t>Rover_3</t>
        </is>
      </c>
      <c r="D481" s="16">
        <f>IF($C481="","",IFERROR(IF(INDEX(Deals!$C$2:$C$355,MATCH($C481,Deals!$A$2:$A$355,0))=0,"",INDEX(Deals!$C$2:$C$355,MATCH($C481,Deals!$A$2:$A$355,0))),"?"))</f>
        <v/>
      </c>
      <c r="E481" s="16">
        <f>IF($C481="","",IFERROR(INDEX(Deals!$F$2:$F$355,MATCH($C481,Deals!$A$2:$A$355,0)),"?"))</f>
        <v/>
      </c>
      <c r="F481" s="28" t="inlineStr">
        <is>
          <t>Senior Associate</t>
        </is>
      </c>
      <c r="G481" s="28" t="inlineStr">
        <is>
          <t>Active</t>
        </is>
      </c>
      <c r="H481" s="31" t="n"/>
      <c r="I481" s="32">
        <f>IF(OR($A481="",$G481&lt;&gt;"Active"),0,IF($H481&lt;&gt;"",$H481,IF($AO481&gt;0,$AP481,IF(AND($R481&lt;&gt;"",IFERROR(INDEX(Templates!$B$3:$H$10,MATCH($R481,Templates!$A$3:$A$10,0),MATCH($F481,Templates!$B$2:$H$2,0)),0)&gt;0),INDEX(Templates!$B$3:$H$10,MATCH($R481,Templates!$A$3:$A$10,0),MATCH($F481,Templates!$B$2:$H$2,0)),IFERROR(INDEX(Settings!$B$8:$B$14,MATCH($F481,Settings!$A$8:$A$14,0)),0)))))</f>
        <v/>
      </c>
      <c r="J481" s="21">
        <f>IF($C481="",0,IFERROR(INDEX(Deals!$H$2:$H$355,MATCH($C481,Deals!$A$2:$A$355,0)),0))</f>
        <v/>
      </c>
      <c r="K481" s="32">
        <f>IF(Settings!$B$4="Yes",$I481*$J481,$I481)</f>
        <v/>
      </c>
      <c r="L481" s="22">
        <f>IF($C481="","",IFERROR(IF(INDEX(Deals!$I$2:$I$355,MATCH($C481,Deals!$A$2:$A$355,0))=0,"",INDEX(Deals!$I$2:$I$355,MATCH($C481,Deals!$A$2:$A$355,0))),""))</f>
        <v/>
      </c>
      <c r="M481" s="22">
        <f>IF($C481="","",IFERROR(IF(INDEX(Deals!$J$2:$J$355,MATCH($C481,Deals!$A$2:$A$355,0))=0,"",INDEX(Deals!$J$2:$J$355,MATCH($C481,Deals!$A$2:$A$355,0))),""))</f>
        <v/>
      </c>
      <c r="N481" s="35">
        <f>IF($L481="",DATE(1900,1,1),$L481)</f>
        <v/>
      </c>
      <c r="O481" s="35">
        <f>IF($M481="",DATE(2100,12,31),$M481)</f>
        <v/>
      </c>
      <c r="P481" s="20" t="inlineStr">
        <is>
          <t>Ongoing</t>
        </is>
      </c>
      <c r="Q481" s="47" t="inlineStr"/>
      <c r="R481" s="16">
        <f>IF($C481="","",IFERROR(IF(INDEX(Deals!$U$2:$U$355,MATCH($C481,Deals!$A$2:$A$355,0))=0,"",INDEX(Deals!$U$2:$U$355,MATCH($C481,Deals!$A$2:$A$355,0))),""))</f>
        <v/>
      </c>
      <c r="S481" s="34">
        <f>IFERROR(IF($U481="",1,INDEX(Deals!$V$2:$V$355,MATCH($C481,Deals!$A$2:$A$355,0))),1)</f>
        <v/>
      </c>
      <c r="T481" s="34">
        <f>IFERROR(IF($U481="",1,INDEX(Deals!$W$2:$W$355,MATCH($C481,Deals!$A$2:$A$355,0))),1)</f>
        <v/>
      </c>
      <c r="U481" s="22">
        <f>IF($C481="","",IFERROR(IF(INDEX(Deals!$Y$2:$Y$355,MATCH($C481,Deals!$A$2:$A$355,0))=0,"",INDEX(Deals!$Y$2:$Y$355,MATCH($C481,Deals!$A$2:$A$355,0))),""))</f>
        <v/>
      </c>
      <c r="V481" s="35">
        <f>IF(OR($U481&lt;&gt;"",AND($AO481&gt;0,$L481&lt;&gt;"",$M481&lt;&gt;"")),$N481,DATE(1900,1,1))</f>
        <v/>
      </c>
      <c r="W481" s="35">
        <f>IF($U481&lt;&gt;"",$U481,IF(AND($AO481&gt;0,$L481&lt;&gt;"",$M481&lt;&gt;""),$O481,DATE(2100,12,31)))</f>
        <v/>
      </c>
      <c r="X481" s="32">
        <f>IF($U481="",$K481,$K481*$S481)</f>
        <v/>
      </c>
      <c r="Y481" s="35">
        <f>IF($U481="",DATE(2100,12,31),$U481+1)</f>
        <v/>
      </c>
      <c r="Z481" s="35">
        <f>IF($U481="",DATE(1900,1,1),$O481)</f>
        <v/>
      </c>
      <c r="AA481" s="32">
        <f>IF($U481="",0,$K481*$T481)</f>
        <v/>
      </c>
      <c r="AB481" s="21">
        <f>IF($C481="",0,IFERROR(INDEX(Deals!$AD$2:$AD$355,MATCH($C481,Deals!$A$2:$A$355,0)),0))</f>
        <v/>
      </c>
      <c r="AC481" s="32">
        <f>IF(Settings!$B$4="Yes",$I481*$AB481,$I481)</f>
        <v/>
      </c>
      <c r="AD481" s="22">
        <f>IF($C481="","",IFERROR(IF(INDEX(Deals!$AE$2:$AE$355,MATCH($C481,Deals!$A$2:$A$355,0))=0,"",INDEX(Deals!$AE$2:$AE$355,MATCH($C481,Deals!$A$2:$A$355,0))),""))</f>
        <v/>
      </c>
      <c r="AE481" s="22">
        <f>IF($C481="","",IFERROR(IF(INDEX(Deals!$AF$2:$AF$355,MATCH($C481,Deals!$A$2:$A$355,0))=0,"",INDEX(Deals!$AF$2:$AF$355,MATCH($C481,Deals!$A$2:$A$355,0))),""))</f>
        <v/>
      </c>
      <c r="AF481" s="35">
        <f>IF($AD481="",DATE(1900,1,1),$AD481)</f>
        <v/>
      </c>
      <c r="AG481" s="35">
        <f>IF($AE481="",DATE(2100,12,31),$AE481)</f>
        <v/>
      </c>
      <c r="AH481" s="22">
        <f>IF($C481="","",IFERROR(IF(INDEX(Deals!$AG$2:$AG$355,MATCH($C481,Deals!$A$2:$A$355,0))=0,"",INDEX(Deals!$AG$2:$AG$355,MATCH($C481,Deals!$A$2:$A$355,0))),""))</f>
        <v/>
      </c>
      <c r="AI481" s="35">
        <f>IF(OR($AH481&lt;&gt;"",AND($AO481&gt;0,$AD481&lt;&gt;"",$AE481&lt;&gt;"")),$AF481,DATE(1900,1,1))</f>
        <v/>
      </c>
      <c r="AJ481" s="35">
        <f>IF($AH481&lt;&gt;"",$AH481,IF(AND($AO481&gt;0,$AD481&lt;&gt;"",$AE481&lt;&gt;""),$AG481,DATE(2100,12,31)))</f>
        <v/>
      </c>
      <c r="AK481" s="32">
        <f>IF($AH481="",$AC481,$AC481*$S481)</f>
        <v/>
      </c>
      <c r="AL481" s="35">
        <f>IF($AH481="",DATE(2100,12,31),$AH481+1)</f>
        <v/>
      </c>
      <c r="AM481" s="35">
        <f>IF($AH481="",DATE(1900,1,1),$AG481)</f>
        <v/>
      </c>
      <c r="AN481" s="32">
        <f>IF($AH481="",0,$AC481*$T481)</f>
        <v/>
      </c>
      <c r="AO481" s="46">
        <f>IF($C481="",0,IFERROR(INDEX(Deals!$BD$2:$BD$355,MATCH($C481,Deals!$A$2:$A$355,0)),0))</f>
        <v/>
      </c>
      <c r="AP481" s="18">
        <f>IF($AO481=0,0,IFERROR(INDEX(Deals!$BJ$2:$BP$355,MATCH($C481,Deals!$A$2:$A$355,0),MATCH($F481,Deals!$BJ$1:$BP$1,0))/COUNTIFS(Assignments!$C$2:$C$769,$C481,Assignments!$F$2:$F$769,$F481,Assignments!$G$2:$G$769,"Active"),0))</f>
        <v/>
      </c>
    </row>
    <row r="482">
      <c r="A482" s="28" t="inlineStr">
        <is>
          <t>Nina</t>
        </is>
      </c>
      <c r="B482" s="16">
        <f>IF($A482="","",IFERROR(INDEX(Roster!$B$2:$B$40,MATCH($A482,Roster!$A$2:$A$40,0)),"?"))</f>
        <v/>
      </c>
      <c r="C482" s="28" t="inlineStr">
        <is>
          <t>Sentinel_2</t>
        </is>
      </c>
      <c r="D482" s="16">
        <f>IF($C482="","",IFERROR(IF(INDEX(Deals!$C$2:$C$355,MATCH($C482,Deals!$A$2:$A$355,0))=0,"",INDEX(Deals!$C$2:$C$355,MATCH($C482,Deals!$A$2:$A$355,0))),"?"))</f>
        <v/>
      </c>
      <c r="E482" s="16">
        <f>IF($C482="","",IFERROR(INDEX(Deals!$F$2:$F$355,MATCH($C482,Deals!$A$2:$A$355,0)),"?"))</f>
        <v/>
      </c>
      <c r="F482" s="28" t="inlineStr">
        <is>
          <t>Senior Associate</t>
        </is>
      </c>
      <c r="G482" s="28" t="inlineStr">
        <is>
          <t>Active</t>
        </is>
      </c>
      <c r="H482" s="31" t="n"/>
      <c r="I482" s="32">
        <f>IF(OR($A482="",$G482&lt;&gt;"Active"),0,IF($H482&lt;&gt;"",$H482,IF($AO482&gt;0,$AP482,IF(AND($R482&lt;&gt;"",IFERROR(INDEX(Templates!$B$3:$H$10,MATCH($R482,Templates!$A$3:$A$10,0),MATCH($F482,Templates!$B$2:$H$2,0)),0)&gt;0),INDEX(Templates!$B$3:$H$10,MATCH($R482,Templates!$A$3:$A$10,0),MATCH($F482,Templates!$B$2:$H$2,0)),IFERROR(INDEX(Settings!$B$8:$B$14,MATCH($F482,Settings!$A$8:$A$14,0)),0)))))</f>
        <v/>
      </c>
      <c r="J482" s="21">
        <f>IF($C482="",0,IFERROR(INDEX(Deals!$H$2:$H$355,MATCH($C482,Deals!$A$2:$A$355,0)),0))</f>
        <v/>
      </c>
      <c r="K482" s="32">
        <f>IF(Settings!$B$4="Yes",$I482*$J482,$I482)</f>
        <v/>
      </c>
      <c r="L482" s="22">
        <f>IF($C482="","",IFERROR(IF(INDEX(Deals!$I$2:$I$355,MATCH($C482,Deals!$A$2:$A$355,0))=0,"",INDEX(Deals!$I$2:$I$355,MATCH($C482,Deals!$A$2:$A$355,0))),""))</f>
        <v/>
      </c>
      <c r="M482" s="22">
        <f>IF($C482="","",IFERROR(IF(INDEX(Deals!$J$2:$J$355,MATCH($C482,Deals!$A$2:$A$355,0))=0,"",INDEX(Deals!$J$2:$J$355,MATCH($C482,Deals!$A$2:$A$355,0))),""))</f>
        <v/>
      </c>
      <c r="N482" s="35">
        <f>IF($L482="",DATE(1900,1,1),$L482)</f>
        <v/>
      </c>
      <c r="O482" s="35">
        <f>IF($M482="",DATE(2100,12,31),$M482)</f>
        <v/>
      </c>
      <c r="P482" s="20" t="inlineStr"/>
      <c r="Q482" s="47" t="inlineStr"/>
      <c r="R482" s="16">
        <f>IF($C482="","",IFERROR(IF(INDEX(Deals!$U$2:$U$355,MATCH($C482,Deals!$A$2:$A$355,0))=0,"",INDEX(Deals!$U$2:$U$355,MATCH($C482,Deals!$A$2:$A$355,0))),""))</f>
        <v/>
      </c>
      <c r="S482" s="34">
        <f>IFERROR(IF($U482="",1,INDEX(Deals!$V$2:$V$355,MATCH($C482,Deals!$A$2:$A$355,0))),1)</f>
        <v/>
      </c>
      <c r="T482" s="34">
        <f>IFERROR(IF($U482="",1,INDEX(Deals!$W$2:$W$355,MATCH($C482,Deals!$A$2:$A$355,0))),1)</f>
        <v/>
      </c>
      <c r="U482" s="22">
        <f>IF($C482="","",IFERROR(IF(INDEX(Deals!$Y$2:$Y$355,MATCH($C482,Deals!$A$2:$A$355,0))=0,"",INDEX(Deals!$Y$2:$Y$355,MATCH($C482,Deals!$A$2:$A$355,0))),""))</f>
        <v/>
      </c>
      <c r="V482" s="35">
        <f>IF(OR($U482&lt;&gt;"",AND($AO482&gt;0,$L482&lt;&gt;"",$M482&lt;&gt;"")),$N482,DATE(1900,1,1))</f>
        <v/>
      </c>
      <c r="W482" s="35">
        <f>IF($U482&lt;&gt;"",$U482,IF(AND($AO482&gt;0,$L482&lt;&gt;"",$M482&lt;&gt;""),$O482,DATE(2100,12,31)))</f>
        <v/>
      </c>
      <c r="X482" s="32">
        <f>IF($U482="",$K482,$K482*$S482)</f>
        <v/>
      </c>
      <c r="Y482" s="35">
        <f>IF($U482="",DATE(2100,12,31),$U482+1)</f>
        <v/>
      </c>
      <c r="Z482" s="35">
        <f>IF($U482="",DATE(1900,1,1),$O482)</f>
        <v/>
      </c>
      <c r="AA482" s="32">
        <f>IF($U482="",0,$K482*$T482)</f>
        <v/>
      </c>
      <c r="AB482" s="21">
        <f>IF($C482="",0,IFERROR(INDEX(Deals!$AD$2:$AD$355,MATCH($C482,Deals!$A$2:$A$355,0)),0))</f>
        <v/>
      </c>
      <c r="AC482" s="32">
        <f>IF(Settings!$B$4="Yes",$I482*$AB482,$I482)</f>
        <v/>
      </c>
      <c r="AD482" s="22">
        <f>IF($C482="","",IFERROR(IF(INDEX(Deals!$AE$2:$AE$355,MATCH($C482,Deals!$A$2:$A$355,0))=0,"",INDEX(Deals!$AE$2:$AE$355,MATCH($C482,Deals!$A$2:$A$355,0))),""))</f>
        <v/>
      </c>
      <c r="AE482" s="22">
        <f>IF($C482="","",IFERROR(IF(INDEX(Deals!$AF$2:$AF$355,MATCH($C482,Deals!$A$2:$A$355,0))=0,"",INDEX(Deals!$AF$2:$AF$355,MATCH($C482,Deals!$A$2:$A$355,0))),""))</f>
        <v/>
      </c>
      <c r="AF482" s="35">
        <f>IF($AD482="",DATE(1900,1,1),$AD482)</f>
        <v/>
      </c>
      <c r="AG482" s="35">
        <f>IF($AE482="",DATE(2100,12,31),$AE482)</f>
        <v/>
      </c>
      <c r="AH482" s="22">
        <f>IF($C482="","",IFERROR(IF(INDEX(Deals!$AG$2:$AG$355,MATCH($C482,Deals!$A$2:$A$355,0))=0,"",INDEX(Deals!$AG$2:$AG$355,MATCH($C482,Deals!$A$2:$A$355,0))),""))</f>
        <v/>
      </c>
      <c r="AI482" s="35">
        <f>IF(OR($AH482&lt;&gt;"",AND($AO482&gt;0,$AD482&lt;&gt;"",$AE482&lt;&gt;"")),$AF482,DATE(1900,1,1))</f>
        <v/>
      </c>
      <c r="AJ482" s="35">
        <f>IF($AH482&lt;&gt;"",$AH482,IF(AND($AO482&gt;0,$AD482&lt;&gt;"",$AE482&lt;&gt;""),$AG482,DATE(2100,12,31)))</f>
        <v/>
      </c>
      <c r="AK482" s="32">
        <f>IF($AH482="",$AC482,$AC482*$S482)</f>
        <v/>
      </c>
      <c r="AL482" s="35">
        <f>IF($AH482="",DATE(2100,12,31),$AH482+1)</f>
        <v/>
      </c>
      <c r="AM482" s="35">
        <f>IF($AH482="",DATE(1900,1,1),$AG482)</f>
        <v/>
      </c>
      <c r="AN482" s="32">
        <f>IF($AH482="",0,$AC482*$T482)</f>
        <v/>
      </c>
      <c r="AO482" s="46">
        <f>IF($C482="",0,IFERROR(INDEX(Deals!$BD$2:$BD$355,MATCH($C482,Deals!$A$2:$A$355,0)),0))</f>
        <v/>
      </c>
      <c r="AP482" s="18">
        <f>IF($AO482=0,0,IFERROR(INDEX(Deals!$BJ$2:$BP$355,MATCH($C482,Deals!$A$2:$A$355,0),MATCH($F482,Deals!$BJ$1:$BP$1,0))/COUNTIFS(Assignments!$C$2:$C$769,$C482,Assignments!$F$2:$F$769,$F482,Assignments!$G$2:$G$769,"Active"),0))</f>
        <v/>
      </c>
    </row>
    <row r="483">
      <c r="A483" s="28" t="inlineStr">
        <is>
          <t>Nina</t>
        </is>
      </c>
      <c r="B483" s="16">
        <f>IF($A483="","",IFERROR(INDEX(Roster!$B$2:$B$40,MATCH($A483,Roster!$A$2:$A$40,0)),"?"))</f>
        <v/>
      </c>
      <c r="C483" s="28" t="inlineStr">
        <is>
          <t>shareplan</t>
        </is>
      </c>
      <c r="D483" s="16">
        <f>IF($C483="","",IFERROR(IF(INDEX(Deals!$C$2:$C$355,MATCH($C483,Deals!$A$2:$A$355,0))=0,"",INDEX(Deals!$C$2:$C$355,MATCH($C483,Deals!$A$2:$A$355,0))),"?"))</f>
        <v/>
      </c>
      <c r="E483" s="16">
        <f>IF($C483="","",IFERROR(INDEX(Deals!$F$2:$F$355,MATCH($C483,Deals!$A$2:$A$355,0)),"?"))</f>
        <v/>
      </c>
      <c r="F483" s="28" t="inlineStr">
        <is>
          <t>Senior Associate</t>
        </is>
      </c>
      <c r="G483" s="28" t="inlineStr">
        <is>
          <t>Active</t>
        </is>
      </c>
      <c r="H483" s="31" t="n"/>
      <c r="I483" s="32">
        <f>IF(OR($A483="",$G483&lt;&gt;"Active"),0,IF($H483&lt;&gt;"",$H483,IF($AO483&gt;0,$AP483,IF(AND($R483&lt;&gt;"",IFERROR(INDEX(Templates!$B$3:$H$10,MATCH($R483,Templates!$A$3:$A$10,0),MATCH($F483,Templates!$B$2:$H$2,0)),0)&gt;0),INDEX(Templates!$B$3:$H$10,MATCH($R483,Templates!$A$3:$A$10,0),MATCH($F483,Templates!$B$2:$H$2,0)),IFERROR(INDEX(Settings!$B$8:$B$14,MATCH($F483,Settings!$A$8:$A$14,0)),0)))))</f>
        <v/>
      </c>
      <c r="J483" s="21">
        <f>IF($C483="",0,IFERROR(INDEX(Deals!$H$2:$H$355,MATCH($C483,Deals!$A$2:$A$355,0)),0))</f>
        <v/>
      </c>
      <c r="K483" s="32">
        <f>IF(Settings!$B$4="Yes",$I483*$J483,$I483)</f>
        <v/>
      </c>
      <c r="L483" s="22">
        <f>IF($C483="","",IFERROR(IF(INDEX(Deals!$I$2:$I$355,MATCH($C483,Deals!$A$2:$A$355,0))=0,"",INDEX(Deals!$I$2:$I$355,MATCH($C483,Deals!$A$2:$A$355,0))),""))</f>
        <v/>
      </c>
      <c r="M483" s="22">
        <f>IF($C483="","",IFERROR(IF(INDEX(Deals!$J$2:$J$355,MATCH($C483,Deals!$A$2:$A$355,0))=0,"",INDEX(Deals!$J$2:$J$355,MATCH($C483,Deals!$A$2:$A$355,0))),""))</f>
        <v/>
      </c>
      <c r="N483" s="35">
        <f>IF($L483="",DATE(1900,1,1),$L483)</f>
        <v/>
      </c>
      <c r="O483" s="35">
        <f>IF($M483="",DATE(2100,12,31),$M483)</f>
        <v/>
      </c>
      <c r="P483" s="20" t="inlineStr">
        <is>
          <t>Proposal sent</t>
        </is>
      </c>
      <c r="Q483" s="47" t="inlineStr">
        <is>
          <t>Added from Summary tab</t>
        </is>
      </c>
      <c r="R483" s="16">
        <f>IF($C483="","",IFERROR(IF(INDEX(Deals!$U$2:$U$355,MATCH($C483,Deals!$A$2:$A$355,0))=0,"",INDEX(Deals!$U$2:$U$355,MATCH($C483,Deals!$A$2:$A$355,0))),""))</f>
        <v/>
      </c>
      <c r="S483" s="34">
        <f>IFERROR(IF($U483="",1,INDEX(Deals!$V$2:$V$355,MATCH($C483,Deals!$A$2:$A$355,0))),1)</f>
        <v/>
      </c>
      <c r="T483" s="34">
        <f>IFERROR(IF($U483="",1,INDEX(Deals!$W$2:$W$355,MATCH($C483,Deals!$A$2:$A$355,0))),1)</f>
        <v/>
      </c>
      <c r="U483" s="22">
        <f>IF($C483="","",IFERROR(IF(INDEX(Deals!$Y$2:$Y$355,MATCH($C483,Deals!$A$2:$A$355,0))=0,"",INDEX(Deals!$Y$2:$Y$355,MATCH($C483,Deals!$A$2:$A$355,0))),""))</f>
        <v/>
      </c>
      <c r="V483" s="35">
        <f>IF(OR($U483&lt;&gt;"",AND($AO483&gt;0,$L483&lt;&gt;"",$M483&lt;&gt;"")),$N483,DATE(1900,1,1))</f>
        <v/>
      </c>
      <c r="W483" s="35">
        <f>IF($U483&lt;&gt;"",$U483,IF(AND($AO483&gt;0,$L483&lt;&gt;"",$M483&lt;&gt;""),$O483,DATE(2100,12,31)))</f>
        <v/>
      </c>
      <c r="X483" s="32">
        <f>IF($U483="",$K483,$K483*$S483)</f>
        <v/>
      </c>
      <c r="Y483" s="35">
        <f>IF($U483="",DATE(2100,12,31),$U483+1)</f>
        <v/>
      </c>
      <c r="Z483" s="35">
        <f>IF($U483="",DATE(1900,1,1),$O483)</f>
        <v/>
      </c>
      <c r="AA483" s="32">
        <f>IF($U483="",0,$K483*$T483)</f>
        <v/>
      </c>
      <c r="AB483" s="21">
        <f>IF($C483="",0,IFERROR(INDEX(Deals!$AD$2:$AD$355,MATCH($C483,Deals!$A$2:$A$355,0)),0))</f>
        <v/>
      </c>
      <c r="AC483" s="32">
        <f>IF(Settings!$B$4="Yes",$I483*$AB483,$I483)</f>
        <v/>
      </c>
      <c r="AD483" s="22">
        <f>IF($C483="","",IFERROR(IF(INDEX(Deals!$AE$2:$AE$355,MATCH($C483,Deals!$A$2:$A$355,0))=0,"",INDEX(Deals!$AE$2:$AE$355,MATCH($C483,Deals!$A$2:$A$355,0))),""))</f>
        <v/>
      </c>
      <c r="AE483" s="22">
        <f>IF($C483="","",IFERROR(IF(INDEX(Deals!$AF$2:$AF$355,MATCH($C483,Deals!$A$2:$A$355,0))=0,"",INDEX(Deals!$AF$2:$AF$355,MATCH($C483,Deals!$A$2:$A$355,0))),""))</f>
        <v/>
      </c>
      <c r="AF483" s="35">
        <f>IF($AD483="",DATE(1900,1,1),$AD483)</f>
        <v/>
      </c>
      <c r="AG483" s="35">
        <f>IF($AE483="",DATE(2100,12,31),$AE483)</f>
        <v/>
      </c>
      <c r="AH483" s="22">
        <f>IF($C483="","",IFERROR(IF(INDEX(Deals!$AG$2:$AG$355,MATCH($C483,Deals!$A$2:$A$355,0))=0,"",INDEX(Deals!$AG$2:$AG$355,MATCH($C483,Deals!$A$2:$A$355,0))),""))</f>
        <v/>
      </c>
      <c r="AI483" s="35">
        <f>IF(OR($AH483&lt;&gt;"",AND($AO483&gt;0,$AD483&lt;&gt;"",$AE483&lt;&gt;"")),$AF483,DATE(1900,1,1))</f>
        <v/>
      </c>
      <c r="AJ483" s="35">
        <f>IF($AH483&lt;&gt;"",$AH483,IF(AND($AO483&gt;0,$AD483&lt;&gt;"",$AE483&lt;&gt;""),$AG483,DATE(2100,12,31)))</f>
        <v/>
      </c>
      <c r="AK483" s="32">
        <f>IF($AH483="",$AC483,$AC483*$S483)</f>
        <v/>
      </c>
      <c r="AL483" s="35">
        <f>IF($AH483="",DATE(2100,12,31),$AH483+1)</f>
        <v/>
      </c>
      <c r="AM483" s="35">
        <f>IF($AH483="",DATE(1900,1,1),$AG483)</f>
        <v/>
      </c>
      <c r="AN483" s="32">
        <f>IF($AH483="",0,$AC483*$T483)</f>
        <v/>
      </c>
      <c r="AO483" s="46">
        <f>IF($C483="",0,IFERROR(INDEX(Deals!$BD$2:$BD$355,MATCH($C483,Deals!$A$2:$A$355,0)),0))</f>
        <v/>
      </c>
      <c r="AP483" s="18">
        <f>IF($AO483=0,0,IFERROR(INDEX(Deals!$BJ$2:$BP$355,MATCH($C483,Deals!$A$2:$A$355,0),MATCH($F483,Deals!$BJ$1:$BP$1,0))/COUNTIFS(Assignments!$C$2:$C$769,$C483,Assignments!$F$2:$F$769,$F483,Assignments!$G$2:$G$769,"Active"),0))</f>
        <v/>
      </c>
    </row>
    <row r="484">
      <c r="A484" s="28" t="inlineStr">
        <is>
          <t>Nina</t>
        </is>
      </c>
      <c r="B484" s="16">
        <f>IF($A484="","",IFERROR(INDEX(Roster!$B$2:$B$40,MATCH($A484,Roster!$A$2:$A$40,0)),"?"))</f>
        <v/>
      </c>
      <c r="C484" s="28" t="inlineStr">
        <is>
          <t>Sierra_3</t>
        </is>
      </c>
      <c r="D484" s="16">
        <f>IF($C484="","",IFERROR(IF(INDEX(Deals!$C$2:$C$355,MATCH($C484,Deals!$A$2:$A$355,0))=0,"",INDEX(Deals!$C$2:$C$355,MATCH($C484,Deals!$A$2:$A$355,0))),"?"))</f>
        <v/>
      </c>
      <c r="E484" s="16">
        <f>IF($C484="","",IFERROR(INDEX(Deals!$F$2:$F$355,MATCH($C484,Deals!$A$2:$A$355,0)),"?"))</f>
        <v/>
      </c>
      <c r="F484" s="28" t="inlineStr">
        <is>
          <t>Senior Associate</t>
        </is>
      </c>
      <c r="G484" s="28" t="inlineStr">
        <is>
          <t>Inactive</t>
        </is>
      </c>
      <c r="H484" s="31" t="n"/>
      <c r="I484" s="32">
        <f>IF(OR($A484="",$G484&lt;&gt;"Active"),0,IF($H484&lt;&gt;"",$H484,IF($AO484&gt;0,$AP484,IF(AND($R484&lt;&gt;"",IFERROR(INDEX(Templates!$B$3:$H$10,MATCH($R484,Templates!$A$3:$A$10,0),MATCH($F484,Templates!$B$2:$H$2,0)),0)&gt;0),INDEX(Templates!$B$3:$H$10,MATCH($R484,Templates!$A$3:$A$10,0),MATCH($F484,Templates!$B$2:$H$2,0)),IFERROR(INDEX(Settings!$B$8:$B$14,MATCH($F484,Settings!$A$8:$A$14,0)),0)))))</f>
        <v/>
      </c>
      <c r="J484" s="21">
        <f>IF($C484="",0,IFERROR(INDEX(Deals!$H$2:$H$355,MATCH($C484,Deals!$A$2:$A$355,0)),0))</f>
        <v/>
      </c>
      <c r="K484" s="32">
        <f>IF(Settings!$B$4="Yes",$I484*$J484,$I484)</f>
        <v/>
      </c>
      <c r="L484" s="22">
        <f>IF($C484="","",IFERROR(IF(INDEX(Deals!$I$2:$I$355,MATCH($C484,Deals!$A$2:$A$355,0))=0,"",INDEX(Deals!$I$2:$I$355,MATCH($C484,Deals!$A$2:$A$355,0))),""))</f>
        <v/>
      </c>
      <c r="M484" s="22">
        <f>IF($C484="","",IFERROR(IF(INDEX(Deals!$J$2:$J$355,MATCH($C484,Deals!$A$2:$A$355,0))=0,"",INDEX(Deals!$J$2:$J$355,MATCH($C484,Deals!$A$2:$A$355,0))),""))</f>
        <v/>
      </c>
      <c r="N484" s="35">
        <f>IF($L484="",DATE(1900,1,1),$L484)</f>
        <v/>
      </c>
      <c r="O484" s="35">
        <f>IF($M484="",DATE(2100,12,31),$M484)</f>
        <v/>
      </c>
      <c r="P484" s="20" t="inlineStr">
        <is>
          <t>Not involved in ongoing work</t>
        </is>
      </c>
      <c r="Q484" s="47" t="inlineStr"/>
      <c r="R484" s="16">
        <f>IF($C484="","",IFERROR(IF(INDEX(Deals!$U$2:$U$355,MATCH($C484,Deals!$A$2:$A$355,0))=0,"",INDEX(Deals!$U$2:$U$355,MATCH($C484,Deals!$A$2:$A$355,0))),""))</f>
        <v/>
      </c>
      <c r="S484" s="34">
        <f>IFERROR(IF($U484="",1,INDEX(Deals!$V$2:$V$355,MATCH($C484,Deals!$A$2:$A$355,0))),1)</f>
        <v/>
      </c>
      <c r="T484" s="34">
        <f>IFERROR(IF($U484="",1,INDEX(Deals!$W$2:$W$355,MATCH($C484,Deals!$A$2:$A$355,0))),1)</f>
        <v/>
      </c>
      <c r="U484" s="22">
        <f>IF($C484="","",IFERROR(IF(INDEX(Deals!$Y$2:$Y$355,MATCH($C484,Deals!$A$2:$A$355,0))=0,"",INDEX(Deals!$Y$2:$Y$355,MATCH($C484,Deals!$A$2:$A$355,0))),""))</f>
        <v/>
      </c>
      <c r="V484" s="35">
        <f>IF(OR($U484&lt;&gt;"",AND($AO484&gt;0,$L484&lt;&gt;"",$M484&lt;&gt;"")),$N484,DATE(1900,1,1))</f>
        <v/>
      </c>
      <c r="W484" s="35">
        <f>IF($U484&lt;&gt;"",$U484,IF(AND($AO484&gt;0,$L484&lt;&gt;"",$M484&lt;&gt;""),$O484,DATE(2100,12,31)))</f>
        <v/>
      </c>
      <c r="X484" s="32">
        <f>IF($U484="",$K484,$K484*$S484)</f>
        <v/>
      </c>
      <c r="Y484" s="35">
        <f>IF($U484="",DATE(2100,12,31),$U484+1)</f>
        <v/>
      </c>
      <c r="Z484" s="35">
        <f>IF($U484="",DATE(1900,1,1),$O484)</f>
        <v/>
      </c>
      <c r="AA484" s="32">
        <f>IF($U484="",0,$K484*$T484)</f>
        <v/>
      </c>
      <c r="AB484" s="21">
        <f>IF($C484="",0,IFERROR(INDEX(Deals!$AD$2:$AD$355,MATCH($C484,Deals!$A$2:$A$355,0)),0))</f>
        <v/>
      </c>
      <c r="AC484" s="32">
        <f>IF(Settings!$B$4="Yes",$I484*$AB484,$I484)</f>
        <v/>
      </c>
      <c r="AD484" s="22">
        <f>IF($C484="","",IFERROR(IF(INDEX(Deals!$AE$2:$AE$355,MATCH($C484,Deals!$A$2:$A$355,0))=0,"",INDEX(Deals!$AE$2:$AE$355,MATCH($C484,Deals!$A$2:$A$355,0))),""))</f>
        <v/>
      </c>
      <c r="AE484" s="22">
        <f>IF($C484="","",IFERROR(IF(INDEX(Deals!$AF$2:$AF$355,MATCH($C484,Deals!$A$2:$A$355,0))=0,"",INDEX(Deals!$AF$2:$AF$355,MATCH($C484,Deals!$A$2:$A$355,0))),""))</f>
        <v/>
      </c>
      <c r="AF484" s="35">
        <f>IF($AD484="",DATE(1900,1,1),$AD484)</f>
        <v/>
      </c>
      <c r="AG484" s="35">
        <f>IF($AE484="",DATE(2100,12,31),$AE484)</f>
        <v/>
      </c>
      <c r="AH484" s="22">
        <f>IF($C484="","",IFERROR(IF(INDEX(Deals!$AG$2:$AG$355,MATCH($C484,Deals!$A$2:$A$355,0))=0,"",INDEX(Deals!$AG$2:$AG$355,MATCH($C484,Deals!$A$2:$A$355,0))),""))</f>
        <v/>
      </c>
      <c r="AI484" s="35">
        <f>IF(OR($AH484&lt;&gt;"",AND($AO484&gt;0,$AD484&lt;&gt;"",$AE484&lt;&gt;"")),$AF484,DATE(1900,1,1))</f>
        <v/>
      </c>
      <c r="AJ484" s="35">
        <f>IF($AH484&lt;&gt;"",$AH484,IF(AND($AO484&gt;0,$AD484&lt;&gt;"",$AE484&lt;&gt;""),$AG484,DATE(2100,12,31)))</f>
        <v/>
      </c>
      <c r="AK484" s="32">
        <f>IF($AH484="",$AC484,$AC484*$S484)</f>
        <v/>
      </c>
      <c r="AL484" s="35">
        <f>IF($AH484="",DATE(2100,12,31),$AH484+1)</f>
        <v/>
      </c>
      <c r="AM484" s="35">
        <f>IF($AH484="",DATE(1900,1,1),$AG484)</f>
        <v/>
      </c>
      <c r="AN484" s="32">
        <f>IF($AH484="",0,$AC484*$T484)</f>
        <v/>
      </c>
      <c r="AO484" s="46">
        <f>IF($C484="",0,IFERROR(INDEX(Deals!$BD$2:$BD$355,MATCH($C484,Deals!$A$2:$A$355,0)),0))</f>
        <v/>
      </c>
      <c r="AP484" s="18">
        <f>IF($AO484=0,0,IFERROR(INDEX(Deals!$BJ$2:$BP$355,MATCH($C484,Deals!$A$2:$A$355,0),MATCH($F484,Deals!$BJ$1:$BP$1,0))/COUNTIFS(Assignments!$C$2:$C$769,$C484,Assignments!$F$2:$F$769,$F484,Assignments!$G$2:$G$769,"Active"),0))</f>
        <v/>
      </c>
    </row>
    <row r="485">
      <c r="A485" s="28" t="inlineStr">
        <is>
          <t>Nina</t>
        </is>
      </c>
      <c r="B485" s="16">
        <f>IF($A485="","",IFERROR(INDEX(Roster!$B$2:$B$40,MATCH($A485,Roster!$A$2:$A$40,0)),"?"))</f>
        <v/>
      </c>
      <c r="C485" s="28" t="inlineStr">
        <is>
          <t>Staffing_1</t>
        </is>
      </c>
      <c r="D485" s="16">
        <f>IF($C485="","",IFERROR(IF(INDEX(Deals!$C$2:$C$355,MATCH($C485,Deals!$A$2:$A$355,0))=0,"",INDEX(Deals!$C$2:$C$355,MATCH($C485,Deals!$A$2:$A$355,0))),"?"))</f>
        <v/>
      </c>
      <c r="E485" s="16">
        <f>IF($C485="","",IFERROR(INDEX(Deals!$F$2:$F$355,MATCH($C485,Deals!$A$2:$A$355,0)),"?"))</f>
        <v/>
      </c>
      <c r="F485" s="28" t="inlineStr">
        <is>
          <t>Senior Associate</t>
        </is>
      </c>
      <c r="G485" s="28" t="inlineStr">
        <is>
          <t>Active</t>
        </is>
      </c>
      <c r="H485" s="31" t="n"/>
      <c r="I485" s="32">
        <f>IF(OR($A485="",$G485&lt;&gt;"Active"),0,IF($H485&lt;&gt;"",$H485,IF($AO485&gt;0,$AP485,IF(AND($R485&lt;&gt;"",IFERROR(INDEX(Templates!$B$3:$H$10,MATCH($R485,Templates!$A$3:$A$10,0),MATCH($F485,Templates!$B$2:$H$2,0)),0)&gt;0),INDEX(Templates!$B$3:$H$10,MATCH($R485,Templates!$A$3:$A$10,0),MATCH($F485,Templates!$B$2:$H$2,0)),IFERROR(INDEX(Settings!$B$8:$B$14,MATCH($F485,Settings!$A$8:$A$14,0)),0)))))</f>
        <v/>
      </c>
      <c r="J485" s="21">
        <f>IF($C485="",0,IFERROR(INDEX(Deals!$H$2:$H$355,MATCH($C485,Deals!$A$2:$A$355,0)),0))</f>
        <v/>
      </c>
      <c r="K485" s="32">
        <f>IF(Settings!$B$4="Yes",$I485*$J485,$I485)</f>
        <v/>
      </c>
      <c r="L485" s="22">
        <f>IF($C485="","",IFERROR(IF(INDEX(Deals!$I$2:$I$355,MATCH($C485,Deals!$A$2:$A$355,0))=0,"",INDEX(Deals!$I$2:$I$355,MATCH($C485,Deals!$A$2:$A$355,0))),""))</f>
        <v/>
      </c>
      <c r="M485" s="22">
        <f>IF($C485="","",IFERROR(IF(INDEX(Deals!$J$2:$J$355,MATCH($C485,Deals!$A$2:$A$355,0))=0,"",INDEX(Deals!$J$2:$J$355,MATCH($C485,Deals!$A$2:$A$355,0))),""))</f>
        <v/>
      </c>
      <c r="N485" s="35">
        <f>IF($L485="",DATE(1900,1,1),$L485)</f>
        <v/>
      </c>
      <c r="O485" s="35">
        <f>IF($M485="",DATE(2100,12,31),$M485)</f>
        <v/>
      </c>
      <c r="P485" s="20" t="inlineStr"/>
      <c r="Q485" s="47" t="inlineStr"/>
      <c r="R485" s="16">
        <f>IF($C485="","",IFERROR(IF(INDEX(Deals!$U$2:$U$355,MATCH($C485,Deals!$A$2:$A$355,0))=0,"",INDEX(Deals!$U$2:$U$355,MATCH($C485,Deals!$A$2:$A$355,0))),""))</f>
        <v/>
      </c>
      <c r="S485" s="34">
        <f>IFERROR(IF($U485="",1,INDEX(Deals!$V$2:$V$355,MATCH($C485,Deals!$A$2:$A$355,0))),1)</f>
        <v/>
      </c>
      <c r="T485" s="34">
        <f>IFERROR(IF($U485="",1,INDEX(Deals!$W$2:$W$355,MATCH($C485,Deals!$A$2:$A$355,0))),1)</f>
        <v/>
      </c>
      <c r="U485" s="22">
        <f>IF($C485="","",IFERROR(IF(INDEX(Deals!$Y$2:$Y$355,MATCH($C485,Deals!$A$2:$A$355,0))=0,"",INDEX(Deals!$Y$2:$Y$355,MATCH($C485,Deals!$A$2:$A$355,0))),""))</f>
        <v/>
      </c>
      <c r="V485" s="35">
        <f>IF(OR($U485&lt;&gt;"",AND($AO485&gt;0,$L485&lt;&gt;"",$M485&lt;&gt;"")),$N485,DATE(1900,1,1))</f>
        <v/>
      </c>
      <c r="W485" s="35">
        <f>IF($U485&lt;&gt;"",$U485,IF(AND($AO485&gt;0,$L485&lt;&gt;"",$M485&lt;&gt;""),$O485,DATE(2100,12,31)))</f>
        <v/>
      </c>
      <c r="X485" s="32">
        <f>IF($U485="",$K485,$K485*$S485)</f>
        <v/>
      </c>
      <c r="Y485" s="35">
        <f>IF($U485="",DATE(2100,12,31),$U485+1)</f>
        <v/>
      </c>
      <c r="Z485" s="35">
        <f>IF($U485="",DATE(1900,1,1),$O485)</f>
        <v/>
      </c>
      <c r="AA485" s="32">
        <f>IF($U485="",0,$K485*$T485)</f>
        <v/>
      </c>
      <c r="AB485" s="21">
        <f>IF($C485="",0,IFERROR(INDEX(Deals!$AD$2:$AD$355,MATCH($C485,Deals!$A$2:$A$355,0)),0))</f>
        <v/>
      </c>
      <c r="AC485" s="32">
        <f>IF(Settings!$B$4="Yes",$I485*$AB485,$I485)</f>
        <v/>
      </c>
      <c r="AD485" s="22">
        <f>IF($C485="","",IFERROR(IF(INDEX(Deals!$AE$2:$AE$355,MATCH($C485,Deals!$A$2:$A$355,0))=0,"",INDEX(Deals!$AE$2:$AE$355,MATCH($C485,Deals!$A$2:$A$355,0))),""))</f>
        <v/>
      </c>
      <c r="AE485" s="22">
        <f>IF($C485="","",IFERROR(IF(INDEX(Deals!$AF$2:$AF$355,MATCH($C485,Deals!$A$2:$A$355,0))=0,"",INDEX(Deals!$AF$2:$AF$355,MATCH($C485,Deals!$A$2:$A$355,0))),""))</f>
        <v/>
      </c>
      <c r="AF485" s="35">
        <f>IF($AD485="",DATE(1900,1,1),$AD485)</f>
        <v/>
      </c>
      <c r="AG485" s="35">
        <f>IF($AE485="",DATE(2100,12,31),$AE485)</f>
        <v/>
      </c>
      <c r="AH485" s="22">
        <f>IF($C485="","",IFERROR(IF(INDEX(Deals!$AG$2:$AG$355,MATCH($C485,Deals!$A$2:$A$355,0))=0,"",INDEX(Deals!$AG$2:$AG$355,MATCH($C485,Deals!$A$2:$A$355,0))),""))</f>
        <v/>
      </c>
      <c r="AI485" s="35">
        <f>IF(OR($AH485&lt;&gt;"",AND($AO485&gt;0,$AD485&lt;&gt;"",$AE485&lt;&gt;"")),$AF485,DATE(1900,1,1))</f>
        <v/>
      </c>
      <c r="AJ485" s="35">
        <f>IF($AH485&lt;&gt;"",$AH485,IF(AND($AO485&gt;0,$AD485&lt;&gt;"",$AE485&lt;&gt;""),$AG485,DATE(2100,12,31)))</f>
        <v/>
      </c>
      <c r="AK485" s="32">
        <f>IF($AH485="",$AC485,$AC485*$S485)</f>
        <v/>
      </c>
      <c r="AL485" s="35">
        <f>IF($AH485="",DATE(2100,12,31),$AH485+1)</f>
        <v/>
      </c>
      <c r="AM485" s="35">
        <f>IF($AH485="",DATE(1900,1,1),$AG485)</f>
        <v/>
      </c>
      <c r="AN485" s="32">
        <f>IF($AH485="",0,$AC485*$T485)</f>
        <v/>
      </c>
      <c r="AO485" s="46">
        <f>IF($C485="",0,IFERROR(INDEX(Deals!$BD$2:$BD$355,MATCH($C485,Deals!$A$2:$A$355,0)),0))</f>
        <v/>
      </c>
      <c r="AP485" s="18">
        <f>IF($AO485=0,0,IFERROR(INDEX(Deals!$BJ$2:$BP$355,MATCH($C485,Deals!$A$2:$A$355,0),MATCH($F485,Deals!$BJ$1:$BP$1,0))/COUNTIFS(Assignments!$C$2:$C$769,$C485,Assignments!$F$2:$F$769,$F485,Assignments!$G$2:$G$769,"Active"),0))</f>
        <v/>
      </c>
    </row>
    <row r="486">
      <c r="A486" s="28" t="inlineStr">
        <is>
          <t>Nina</t>
        </is>
      </c>
      <c r="B486" s="16">
        <f>IF($A486="","",IFERROR(INDEX(Roster!$B$2:$B$40,MATCH($A486,Roster!$A$2:$A$40,0)),"?"))</f>
        <v/>
      </c>
      <c r="C486" s="28" t="inlineStr">
        <is>
          <t>Sun Pond_1</t>
        </is>
      </c>
      <c r="D486" s="16">
        <f>IF($C486="","",IFERROR(IF(INDEX(Deals!$C$2:$C$355,MATCH($C486,Deals!$A$2:$A$355,0))=0,"",INDEX(Deals!$C$2:$C$355,MATCH($C486,Deals!$A$2:$A$355,0))),"?"))</f>
        <v/>
      </c>
      <c r="E486" s="16">
        <f>IF($C486="","",IFERROR(INDEX(Deals!$F$2:$F$355,MATCH($C486,Deals!$A$2:$A$355,0)),"?"))</f>
        <v/>
      </c>
      <c r="F486" s="28" t="inlineStr">
        <is>
          <t>Senior Associate</t>
        </is>
      </c>
      <c r="G486" s="28" t="inlineStr">
        <is>
          <t>Active</t>
        </is>
      </c>
      <c r="H486" s="31" t="n"/>
      <c r="I486" s="32">
        <f>IF(OR($A486="",$G486&lt;&gt;"Active"),0,IF($H486&lt;&gt;"",$H486,IF($AO486&gt;0,$AP486,IF(AND($R486&lt;&gt;"",IFERROR(INDEX(Templates!$B$3:$H$10,MATCH($R486,Templates!$A$3:$A$10,0),MATCH($F486,Templates!$B$2:$H$2,0)),0)&gt;0),INDEX(Templates!$B$3:$H$10,MATCH($R486,Templates!$A$3:$A$10,0),MATCH($F486,Templates!$B$2:$H$2,0)),IFERROR(INDEX(Settings!$B$8:$B$14,MATCH($F486,Settings!$A$8:$A$14,0)),0)))))</f>
        <v/>
      </c>
      <c r="J486" s="21">
        <f>IF($C486="",0,IFERROR(INDEX(Deals!$H$2:$H$355,MATCH($C486,Deals!$A$2:$A$355,0)),0))</f>
        <v/>
      </c>
      <c r="K486" s="32">
        <f>IF(Settings!$B$4="Yes",$I486*$J486,$I486)</f>
        <v/>
      </c>
      <c r="L486" s="22">
        <f>IF($C486="","",IFERROR(IF(INDEX(Deals!$I$2:$I$355,MATCH($C486,Deals!$A$2:$A$355,0))=0,"",INDEX(Deals!$I$2:$I$355,MATCH($C486,Deals!$A$2:$A$355,0))),""))</f>
        <v/>
      </c>
      <c r="M486" s="22">
        <f>IF($C486="","",IFERROR(IF(INDEX(Deals!$J$2:$J$355,MATCH($C486,Deals!$A$2:$A$355,0))=0,"",INDEX(Deals!$J$2:$J$355,MATCH($C486,Deals!$A$2:$A$355,0))),""))</f>
        <v/>
      </c>
      <c r="N486" s="35">
        <f>IF($L486="",DATE(1900,1,1),$L486)</f>
        <v/>
      </c>
      <c r="O486" s="35">
        <f>IF($M486="",DATE(2100,12,31),$M486)</f>
        <v/>
      </c>
      <c r="P486" s="20" t="inlineStr"/>
      <c r="Q486" s="47" t="inlineStr"/>
      <c r="R486" s="16">
        <f>IF($C486="","",IFERROR(IF(INDEX(Deals!$U$2:$U$355,MATCH($C486,Deals!$A$2:$A$355,0))=0,"",INDEX(Deals!$U$2:$U$355,MATCH($C486,Deals!$A$2:$A$355,0))),""))</f>
        <v/>
      </c>
      <c r="S486" s="34">
        <f>IFERROR(IF($U486="",1,INDEX(Deals!$V$2:$V$355,MATCH($C486,Deals!$A$2:$A$355,0))),1)</f>
        <v/>
      </c>
      <c r="T486" s="34">
        <f>IFERROR(IF($U486="",1,INDEX(Deals!$W$2:$W$355,MATCH($C486,Deals!$A$2:$A$355,0))),1)</f>
        <v/>
      </c>
      <c r="U486" s="22">
        <f>IF($C486="","",IFERROR(IF(INDEX(Deals!$Y$2:$Y$355,MATCH($C486,Deals!$A$2:$A$355,0))=0,"",INDEX(Deals!$Y$2:$Y$355,MATCH($C486,Deals!$A$2:$A$355,0))),""))</f>
        <v/>
      </c>
      <c r="V486" s="35">
        <f>IF(OR($U486&lt;&gt;"",AND($AO486&gt;0,$L486&lt;&gt;"",$M486&lt;&gt;"")),$N486,DATE(1900,1,1))</f>
        <v/>
      </c>
      <c r="W486" s="35">
        <f>IF($U486&lt;&gt;"",$U486,IF(AND($AO486&gt;0,$L486&lt;&gt;"",$M486&lt;&gt;""),$O486,DATE(2100,12,31)))</f>
        <v/>
      </c>
      <c r="X486" s="32">
        <f>IF($U486="",$K486,$K486*$S486)</f>
        <v/>
      </c>
      <c r="Y486" s="35">
        <f>IF($U486="",DATE(2100,12,31),$U486+1)</f>
        <v/>
      </c>
      <c r="Z486" s="35">
        <f>IF($U486="",DATE(1900,1,1),$O486)</f>
        <v/>
      </c>
      <c r="AA486" s="32">
        <f>IF($U486="",0,$K486*$T486)</f>
        <v/>
      </c>
      <c r="AB486" s="21">
        <f>IF($C486="",0,IFERROR(INDEX(Deals!$AD$2:$AD$355,MATCH($C486,Deals!$A$2:$A$355,0)),0))</f>
        <v/>
      </c>
      <c r="AC486" s="32">
        <f>IF(Settings!$B$4="Yes",$I486*$AB486,$I486)</f>
        <v/>
      </c>
      <c r="AD486" s="22">
        <f>IF($C486="","",IFERROR(IF(INDEX(Deals!$AE$2:$AE$355,MATCH($C486,Deals!$A$2:$A$355,0))=0,"",INDEX(Deals!$AE$2:$AE$355,MATCH($C486,Deals!$A$2:$A$355,0))),""))</f>
        <v/>
      </c>
      <c r="AE486" s="22">
        <f>IF($C486="","",IFERROR(IF(INDEX(Deals!$AF$2:$AF$355,MATCH($C486,Deals!$A$2:$A$355,0))=0,"",INDEX(Deals!$AF$2:$AF$355,MATCH($C486,Deals!$A$2:$A$355,0))),""))</f>
        <v/>
      </c>
      <c r="AF486" s="35">
        <f>IF($AD486="",DATE(1900,1,1),$AD486)</f>
        <v/>
      </c>
      <c r="AG486" s="35">
        <f>IF($AE486="",DATE(2100,12,31),$AE486)</f>
        <v/>
      </c>
      <c r="AH486" s="22">
        <f>IF($C486="","",IFERROR(IF(INDEX(Deals!$AG$2:$AG$355,MATCH($C486,Deals!$A$2:$A$355,0))=0,"",INDEX(Deals!$AG$2:$AG$355,MATCH($C486,Deals!$A$2:$A$355,0))),""))</f>
        <v/>
      </c>
      <c r="AI486" s="35">
        <f>IF(OR($AH486&lt;&gt;"",AND($AO486&gt;0,$AD486&lt;&gt;"",$AE486&lt;&gt;"")),$AF486,DATE(1900,1,1))</f>
        <v/>
      </c>
      <c r="AJ486" s="35">
        <f>IF($AH486&lt;&gt;"",$AH486,IF(AND($AO486&gt;0,$AD486&lt;&gt;"",$AE486&lt;&gt;""),$AG486,DATE(2100,12,31)))</f>
        <v/>
      </c>
      <c r="AK486" s="32">
        <f>IF($AH486="",$AC486,$AC486*$S486)</f>
        <v/>
      </c>
      <c r="AL486" s="35">
        <f>IF($AH486="",DATE(2100,12,31),$AH486+1)</f>
        <v/>
      </c>
      <c r="AM486" s="35">
        <f>IF($AH486="",DATE(1900,1,1),$AG486)</f>
        <v/>
      </c>
      <c r="AN486" s="32">
        <f>IF($AH486="",0,$AC486*$T486)</f>
        <v/>
      </c>
      <c r="AO486" s="46">
        <f>IF($C486="",0,IFERROR(INDEX(Deals!$BD$2:$BD$355,MATCH($C486,Deals!$A$2:$A$355,0)),0))</f>
        <v/>
      </c>
      <c r="AP486" s="18">
        <f>IF($AO486=0,0,IFERROR(INDEX(Deals!$BJ$2:$BP$355,MATCH($C486,Deals!$A$2:$A$355,0),MATCH($F486,Deals!$BJ$1:$BP$1,0))/COUNTIFS(Assignments!$C$2:$C$769,$C486,Assignments!$F$2:$F$769,$F486,Assignments!$G$2:$G$769,"Active"),0))</f>
        <v/>
      </c>
    </row>
    <row r="487">
      <c r="A487" s="28" t="inlineStr">
        <is>
          <t>Nina</t>
        </is>
      </c>
      <c r="B487" s="16">
        <f>IF($A487="","",IFERROR(INDEX(Roster!$B$2:$B$40,MATCH($A487,Roster!$A$2:$A$40,0)),"?"))</f>
        <v/>
      </c>
      <c r="C487" s="28" t="inlineStr">
        <is>
          <t>Sunnova - TEP 8-H_1</t>
        </is>
      </c>
      <c r="D487" s="16">
        <f>IF($C487="","",IFERROR(IF(INDEX(Deals!$C$2:$C$355,MATCH($C487,Deals!$A$2:$A$355,0))=0,"",INDEX(Deals!$C$2:$C$355,MATCH($C487,Deals!$A$2:$A$355,0))),"?"))</f>
        <v/>
      </c>
      <c r="E487" s="16">
        <f>IF($C487="","",IFERROR(INDEX(Deals!$F$2:$F$355,MATCH($C487,Deals!$A$2:$A$355,0)),"?"))</f>
        <v/>
      </c>
      <c r="F487" s="28" t="inlineStr">
        <is>
          <t>Senior Associate</t>
        </is>
      </c>
      <c r="G487" s="28" t="inlineStr">
        <is>
          <t>Active</t>
        </is>
      </c>
      <c r="H487" s="31" t="n"/>
      <c r="I487" s="32">
        <f>IF(OR($A487="",$G487&lt;&gt;"Active"),0,IF($H487&lt;&gt;"",$H487,IF($AO487&gt;0,$AP487,IF(AND($R487&lt;&gt;"",IFERROR(INDEX(Templates!$B$3:$H$10,MATCH($R487,Templates!$A$3:$A$10,0),MATCH($F487,Templates!$B$2:$H$2,0)),0)&gt;0),INDEX(Templates!$B$3:$H$10,MATCH($R487,Templates!$A$3:$A$10,0),MATCH($F487,Templates!$B$2:$H$2,0)),IFERROR(INDEX(Settings!$B$8:$B$14,MATCH($F487,Settings!$A$8:$A$14,0)),0)))))</f>
        <v/>
      </c>
      <c r="J487" s="21">
        <f>IF($C487="",0,IFERROR(INDEX(Deals!$H$2:$H$355,MATCH($C487,Deals!$A$2:$A$355,0)),0))</f>
        <v/>
      </c>
      <c r="K487" s="32">
        <f>IF(Settings!$B$4="Yes",$I487*$J487,$I487)</f>
        <v/>
      </c>
      <c r="L487" s="22">
        <f>IF($C487="","",IFERROR(IF(INDEX(Deals!$I$2:$I$355,MATCH($C487,Deals!$A$2:$A$355,0))=0,"",INDEX(Deals!$I$2:$I$355,MATCH($C487,Deals!$A$2:$A$355,0))),""))</f>
        <v/>
      </c>
      <c r="M487" s="22">
        <f>IF($C487="","",IFERROR(IF(INDEX(Deals!$J$2:$J$355,MATCH($C487,Deals!$A$2:$A$355,0))=0,"",INDEX(Deals!$J$2:$J$355,MATCH($C487,Deals!$A$2:$A$355,0))),""))</f>
        <v/>
      </c>
      <c r="N487" s="35">
        <f>IF($L487="",DATE(1900,1,1),$L487)</f>
        <v/>
      </c>
      <c r="O487" s="35">
        <f>IF($M487="",DATE(2100,12,31),$M487)</f>
        <v/>
      </c>
      <c r="P487" s="20" t="inlineStr"/>
      <c r="Q487" s="47" t="inlineStr"/>
      <c r="R487" s="16">
        <f>IF($C487="","",IFERROR(IF(INDEX(Deals!$U$2:$U$355,MATCH($C487,Deals!$A$2:$A$355,0))=0,"",INDEX(Deals!$U$2:$U$355,MATCH($C487,Deals!$A$2:$A$355,0))),""))</f>
        <v/>
      </c>
      <c r="S487" s="34">
        <f>IFERROR(IF($U487="",1,INDEX(Deals!$V$2:$V$355,MATCH($C487,Deals!$A$2:$A$355,0))),1)</f>
        <v/>
      </c>
      <c r="T487" s="34">
        <f>IFERROR(IF($U487="",1,INDEX(Deals!$W$2:$W$355,MATCH($C487,Deals!$A$2:$A$355,0))),1)</f>
        <v/>
      </c>
      <c r="U487" s="22">
        <f>IF($C487="","",IFERROR(IF(INDEX(Deals!$Y$2:$Y$355,MATCH($C487,Deals!$A$2:$A$355,0))=0,"",INDEX(Deals!$Y$2:$Y$355,MATCH($C487,Deals!$A$2:$A$355,0))),""))</f>
        <v/>
      </c>
      <c r="V487" s="35">
        <f>IF(OR($U487&lt;&gt;"",AND($AO487&gt;0,$L487&lt;&gt;"",$M487&lt;&gt;"")),$N487,DATE(1900,1,1))</f>
        <v/>
      </c>
      <c r="W487" s="35">
        <f>IF($U487&lt;&gt;"",$U487,IF(AND($AO487&gt;0,$L487&lt;&gt;"",$M487&lt;&gt;""),$O487,DATE(2100,12,31)))</f>
        <v/>
      </c>
      <c r="X487" s="32">
        <f>IF($U487="",$K487,$K487*$S487)</f>
        <v/>
      </c>
      <c r="Y487" s="35">
        <f>IF($U487="",DATE(2100,12,31),$U487+1)</f>
        <v/>
      </c>
      <c r="Z487" s="35">
        <f>IF($U487="",DATE(1900,1,1),$O487)</f>
        <v/>
      </c>
      <c r="AA487" s="32">
        <f>IF($U487="",0,$K487*$T487)</f>
        <v/>
      </c>
      <c r="AB487" s="21">
        <f>IF($C487="",0,IFERROR(INDEX(Deals!$AD$2:$AD$355,MATCH($C487,Deals!$A$2:$A$355,0)),0))</f>
        <v/>
      </c>
      <c r="AC487" s="32">
        <f>IF(Settings!$B$4="Yes",$I487*$AB487,$I487)</f>
        <v/>
      </c>
      <c r="AD487" s="22">
        <f>IF($C487="","",IFERROR(IF(INDEX(Deals!$AE$2:$AE$355,MATCH($C487,Deals!$A$2:$A$355,0))=0,"",INDEX(Deals!$AE$2:$AE$355,MATCH($C487,Deals!$A$2:$A$355,0))),""))</f>
        <v/>
      </c>
      <c r="AE487" s="22">
        <f>IF($C487="","",IFERROR(IF(INDEX(Deals!$AF$2:$AF$355,MATCH($C487,Deals!$A$2:$A$355,0))=0,"",INDEX(Deals!$AF$2:$AF$355,MATCH($C487,Deals!$A$2:$A$355,0))),""))</f>
        <v/>
      </c>
      <c r="AF487" s="35">
        <f>IF($AD487="",DATE(1900,1,1),$AD487)</f>
        <v/>
      </c>
      <c r="AG487" s="35">
        <f>IF($AE487="",DATE(2100,12,31),$AE487)</f>
        <v/>
      </c>
      <c r="AH487" s="22">
        <f>IF($C487="","",IFERROR(IF(INDEX(Deals!$AG$2:$AG$355,MATCH($C487,Deals!$A$2:$A$355,0))=0,"",INDEX(Deals!$AG$2:$AG$355,MATCH($C487,Deals!$A$2:$A$355,0))),""))</f>
        <v/>
      </c>
      <c r="AI487" s="35">
        <f>IF(OR($AH487&lt;&gt;"",AND($AO487&gt;0,$AD487&lt;&gt;"",$AE487&lt;&gt;"")),$AF487,DATE(1900,1,1))</f>
        <v/>
      </c>
      <c r="AJ487" s="35">
        <f>IF($AH487&lt;&gt;"",$AH487,IF(AND($AO487&gt;0,$AD487&lt;&gt;"",$AE487&lt;&gt;""),$AG487,DATE(2100,12,31)))</f>
        <v/>
      </c>
      <c r="AK487" s="32">
        <f>IF($AH487="",$AC487,$AC487*$S487)</f>
        <v/>
      </c>
      <c r="AL487" s="35">
        <f>IF($AH487="",DATE(2100,12,31),$AH487+1)</f>
        <v/>
      </c>
      <c r="AM487" s="35">
        <f>IF($AH487="",DATE(1900,1,1),$AG487)</f>
        <v/>
      </c>
      <c r="AN487" s="32">
        <f>IF($AH487="",0,$AC487*$T487)</f>
        <v/>
      </c>
      <c r="AO487" s="46">
        <f>IF($C487="",0,IFERROR(INDEX(Deals!$BD$2:$BD$355,MATCH($C487,Deals!$A$2:$A$355,0)),0))</f>
        <v/>
      </c>
      <c r="AP487" s="18">
        <f>IF($AO487=0,0,IFERROR(INDEX(Deals!$BJ$2:$BP$355,MATCH($C487,Deals!$A$2:$A$355,0),MATCH($F487,Deals!$BJ$1:$BP$1,0))/COUNTIFS(Assignments!$C$2:$C$769,$C487,Assignments!$F$2:$F$769,$F487,Assignments!$G$2:$G$769,"Active"),0))</f>
        <v/>
      </c>
    </row>
    <row r="488">
      <c r="A488" s="28" t="inlineStr">
        <is>
          <t>Nina</t>
        </is>
      </c>
      <c r="B488" s="16">
        <f>IF($A488="","",IFERROR(INDEX(Roster!$B$2:$B$40,MATCH($A488,Roster!$A$2:$A$40,0)),"?"))</f>
        <v/>
      </c>
      <c r="C488" s="28" t="inlineStr">
        <is>
          <t>Sunnova TEP 8-I - Homebuilder_1</t>
        </is>
      </c>
      <c r="D488" s="16">
        <f>IF($C488="","",IFERROR(IF(INDEX(Deals!$C$2:$C$355,MATCH($C488,Deals!$A$2:$A$355,0))=0,"",INDEX(Deals!$C$2:$C$355,MATCH($C488,Deals!$A$2:$A$355,0))),"?"))</f>
        <v/>
      </c>
      <c r="E488" s="16">
        <f>IF($C488="","",IFERROR(INDEX(Deals!$F$2:$F$355,MATCH($C488,Deals!$A$2:$A$355,0)),"?"))</f>
        <v/>
      </c>
      <c r="F488" s="28" t="inlineStr">
        <is>
          <t>Senior Associate</t>
        </is>
      </c>
      <c r="G488" s="28" t="inlineStr">
        <is>
          <t>Active</t>
        </is>
      </c>
      <c r="H488" s="31" t="n"/>
      <c r="I488" s="32">
        <f>IF(OR($A488="",$G488&lt;&gt;"Active"),0,IF($H488&lt;&gt;"",$H488,IF($AO488&gt;0,$AP488,IF(AND($R488&lt;&gt;"",IFERROR(INDEX(Templates!$B$3:$H$10,MATCH($R488,Templates!$A$3:$A$10,0),MATCH($F488,Templates!$B$2:$H$2,0)),0)&gt;0),INDEX(Templates!$B$3:$H$10,MATCH($R488,Templates!$A$3:$A$10,0),MATCH($F488,Templates!$B$2:$H$2,0)),IFERROR(INDEX(Settings!$B$8:$B$14,MATCH($F488,Settings!$A$8:$A$14,0)),0)))))</f>
        <v/>
      </c>
      <c r="J488" s="21">
        <f>IF($C488="",0,IFERROR(INDEX(Deals!$H$2:$H$355,MATCH($C488,Deals!$A$2:$A$355,0)),0))</f>
        <v/>
      </c>
      <c r="K488" s="32">
        <f>IF(Settings!$B$4="Yes",$I488*$J488,$I488)</f>
        <v/>
      </c>
      <c r="L488" s="22">
        <f>IF($C488="","",IFERROR(IF(INDEX(Deals!$I$2:$I$355,MATCH($C488,Deals!$A$2:$A$355,0))=0,"",INDEX(Deals!$I$2:$I$355,MATCH($C488,Deals!$A$2:$A$355,0))),""))</f>
        <v/>
      </c>
      <c r="M488" s="22">
        <f>IF($C488="","",IFERROR(IF(INDEX(Deals!$J$2:$J$355,MATCH($C488,Deals!$A$2:$A$355,0))=0,"",INDEX(Deals!$J$2:$J$355,MATCH($C488,Deals!$A$2:$A$355,0))),""))</f>
        <v/>
      </c>
      <c r="N488" s="35">
        <f>IF($L488="",DATE(1900,1,1),$L488)</f>
        <v/>
      </c>
      <c r="O488" s="35">
        <f>IF($M488="",DATE(2100,12,31),$M488)</f>
        <v/>
      </c>
      <c r="P488" s="20" t="inlineStr"/>
      <c r="Q488" s="47" t="inlineStr"/>
      <c r="R488" s="16">
        <f>IF($C488="","",IFERROR(IF(INDEX(Deals!$U$2:$U$355,MATCH($C488,Deals!$A$2:$A$355,0))=0,"",INDEX(Deals!$U$2:$U$355,MATCH($C488,Deals!$A$2:$A$355,0))),""))</f>
        <v/>
      </c>
      <c r="S488" s="34">
        <f>IFERROR(IF($U488="",1,INDEX(Deals!$V$2:$V$355,MATCH($C488,Deals!$A$2:$A$355,0))),1)</f>
        <v/>
      </c>
      <c r="T488" s="34">
        <f>IFERROR(IF($U488="",1,INDEX(Deals!$W$2:$W$355,MATCH($C488,Deals!$A$2:$A$355,0))),1)</f>
        <v/>
      </c>
      <c r="U488" s="22">
        <f>IF($C488="","",IFERROR(IF(INDEX(Deals!$Y$2:$Y$355,MATCH($C488,Deals!$A$2:$A$355,0))=0,"",INDEX(Deals!$Y$2:$Y$355,MATCH($C488,Deals!$A$2:$A$355,0))),""))</f>
        <v/>
      </c>
      <c r="V488" s="35">
        <f>IF(OR($U488&lt;&gt;"",AND($AO488&gt;0,$L488&lt;&gt;"",$M488&lt;&gt;"")),$N488,DATE(1900,1,1))</f>
        <v/>
      </c>
      <c r="W488" s="35">
        <f>IF($U488&lt;&gt;"",$U488,IF(AND($AO488&gt;0,$L488&lt;&gt;"",$M488&lt;&gt;""),$O488,DATE(2100,12,31)))</f>
        <v/>
      </c>
      <c r="X488" s="32">
        <f>IF($U488="",$K488,$K488*$S488)</f>
        <v/>
      </c>
      <c r="Y488" s="35">
        <f>IF($U488="",DATE(2100,12,31),$U488+1)</f>
        <v/>
      </c>
      <c r="Z488" s="35">
        <f>IF($U488="",DATE(1900,1,1),$O488)</f>
        <v/>
      </c>
      <c r="AA488" s="32">
        <f>IF($U488="",0,$K488*$T488)</f>
        <v/>
      </c>
      <c r="AB488" s="21">
        <f>IF($C488="",0,IFERROR(INDEX(Deals!$AD$2:$AD$355,MATCH($C488,Deals!$A$2:$A$355,0)),0))</f>
        <v/>
      </c>
      <c r="AC488" s="32">
        <f>IF(Settings!$B$4="Yes",$I488*$AB488,$I488)</f>
        <v/>
      </c>
      <c r="AD488" s="22">
        <f>IF($C488="","",IFERROR(IF(INDEX(Deals!$AE$2:$AE$355,MATCH($C488,Deals!$A$2:$A$355,0))=0,"",INDEX(Deals!$AE$2:$AE$355,MATCH($C488,Deals!$A$2:$A$355,0))),""))</f>
        <v/>
      </c>
      <c r="AE488" s="22">
        <f>IF($C488="","",IFERROR(IF(INDEX(Deals!$AF$2:$AF$355,MATCH($C488,Deals!$A$2:$A$355,0))=0,"",INDEX(Deals!$AF$2:$AF$355,MATCH($C488,Deals!$A$2:$A$355,0))),""))</f>
        <v/>
      </c>
      <c r="AF488" s="35">
        <f>IF($AD488="",DATE(1900,1,1),$AD488)</f>
        <v/>
      </c>
      <c r="AG488" s="35">
        <f>IF($AE488="",DATE(2100,12,31),$AE488)</f>
        <v/>
      </c>
      <c r="AH488" s="22">
        <f>IF($C488="","",IFERROR(IF(INDEX(Deals!$AG$2:$AG$355,MATCH($C488,Deals!$A$2:$A$355,0))=0,"",INDEX(Deals!$AG$2:$AG$355,MATCH($C488,Deals!$A$2:$A$355,0))),""))</f>
        <v/>
      </c>
      <c r="AI488" s="35">
        <f>IF(OR($AH488&lt;&gt;"",AND($AO488&gt;0,$AD488&lt;&gt;"",$AE488&lt;&gt;"")),$AF488,DATE(1900,1,1))</f>
        <v/>
      </c>
      <c r="AJ488" s="35">
        <f>IF($AH488&lt;&gt;"",$AH488,IF(AND($AO488&gt;0,$AD488&lt;&gt;"",$AE488&lt;&gt;""),$AG488,DATE(2100,12,31)))</f>
        <v/>
      </c>
      <c r="AK488" s="32">
        <f>IF($AH488="",$AC488,$AC488*$S488)</f>
        <v/>
      </c>
      <c r="AL488" s="35">
        <f>IF($AH488="",DATE(2100,12,31),$AH488+1)</f>
        <v/>
      </c>
      <c r="AM488" s="35">
        <f>IF($AH488="",DATE(1900,1,1),$AG488)</f>
        <v/>
      </c>
      <c r="AN488" s="32">
        <f>IF($AH488="",0,$AC488*$T488)</f>
        <v/>
      </c>
      <c r="AO488" s="46">
        <f>IF($C488="",0,IFERROR(INDEX(Deals!$BD$2:$BD$355,MATCH($C488,Deals!$A$2:$A$355,0)),0))</f>
        <v/>
      </c>
      <c r="AP488" s="18">
        <f>IF($AO488=0,0,IFERROR(INDEX(Deals!$BJ$2:$BP$355,MATCH($C488,Deals!$A$2:$A$355,0),MATCH($F488,Deals!$BJ$1:$BP$1,0))/COUNTIFS(Assignments!$C$2:$C$769,$C488,Assignments!$F$2:$F$769,$F488,Assignments!$G$2:$G$769,"Active"),0))</f>
        <v/>
      </c>
    </row>
    <row r="489">
      <c r="A489" s="28" t="inlineStr">
        <is>
          <t>Nina</t>
        </is>
      </c>
      <c r="B489" s="16">
        <f>IF($A489="","",IFERROR(INDEX(Roster!$B$2:$B$40,MATCH($A489,Roster!$A$2:$A$40,0)),"?"))</f>
        <v/>
      </c>
      <c r="C489" s="28" t="inlineStr">
        <is>
          <t>Tennessee_1</t>
        </is>
      </c>
      <c r="D489" s="16">
        <f>IF($C489="","",IFERROR(IF(INDEX(Deals!$C$2:$C$355,MATCH($C489,Deals!$A$2:$A$355,0))=0,"",INDEX(Deals!$C$2:$C$355,MATCH($C489,Deals!$A$2:$A$355,0))),"?"))</f>
        <v/>
      </c>
      <c r="E489" s="16">
        <f>IF($C489="","",IFERROR(INDEX(Deals!$F$2:$F$355,MATCH($C489,Deals!$A$2:$A$355,0)),"?"))</f>
        <v/>
      </c>
      <c r="F489" s="28" t="inlineStr">
        <is>
          <t>Senior Associate</t>
        </is>
      </c>
      <c r="G489" s="28" t="inlineStr">
        <is>
          <t>Inactive</t>
        </is>
      </c>
      <c r="H489" s="31" t="n"/>
      <c r="I489" s="32">
        <f>IF(OR($A489="",$G489&lt;&gt;"Active"),0,IF($H489&lt;&gt;"",$H489,IF($AO489&gt;0,$AP489,IF(AND($R489&lt;&gt;"",IFERROR(INDEX(Templates!$B$3:$H$10,MATCH($R489,Templates!$A$3:$A$10,0),MATCH($F489,Templates!$B$2:$H$2,0)),0)&gt;0),INDEX(Templates!$B$3:$H$10,MATCH($R489,Templates!$A$3:$A$10,0),MATCH($F489,Templates!$B$2:$H$2,0)),IFERROR(INDEX(Settings!$B$8:$B$14,MATCH($F489,Settings!$A$8:$A$14,0)),0)))))</f>
        <v/>
      </c>
      <c r="J489" s="21">
        <f>IF($C489="",0,IFERROR(INDEX(Deals!$H$2:$H$355,MATCH($C489,Deals!$A$2:$A$355,0)),0))</f>
        <v/>
      </c>
      <c r="K489" s="32">
        <f>IF(Settings!$B$4="Yes",$I489*$J489,$I489)</f>
        <v/>
      </c>
      <c r="L489" s="22">
        <f>IF($C489="","",IFERROR(IF(INDEX(Deals!$I$2:$I$355,MATCH($C489,Deals!$A$2:$A$355,0))=0,"",INDEX(Deals!$I$2:$I$355,MATCH($C489,Deals!$A$2:$A$355,0))),""))</f>
        <v/>
      </c>
      <c r="M489" s="22">
        <f>IF($C489="","",IFERROR(IF(INDEX(Deals!$J$2:$J$355,MATCH($C489,Deals!$A$2:$A$355,0))=0,"",INDEX(Deals!$J$2:$J$355,MATCH($C489,Deals!$A$2:$A$355,0))),""))</f>
        <v/>
      </c>
      <c r="N489" s="35">
        <f>IF($L489="",DATE(1900,1,1),$L489)</f>
        <v/>
      </c>
      <c r="O489" s="35">
        <f>IF($M489="",DATE(2100,12,31),$M489)</f>
        <v/>
      </c>
      <c r="P489" s="20" t="inlineStr">
        <is>
          <t>Not involved in ongoing work</t>
        </is>
      </c>
      <c r="Q489" s="47" t="inlineStr"/>
      <c r="R489" s="16">
        <f>IF($C489="","",IFERROR(IF(INDEX(Deals!$U$2:$U$355,MATCH($C489,Deals!$A$2:$A$355,0))=0,"",INDEX(Deals!$U$2:$U$355,MATCH($C489,Deals!$A$2:$A$355,0))),""))</f>
        <v/>
      </c>
      <c r="S489" s="34">
        <f>IFERROR(IF($U489="",1,INDEX(Deals!$V$2:$V$355,MATCH($C489,Deals!$A$2:$A$355,0))),1)</f>
        <v/>
      </c>
      <c r="T489" s="34">
        <f>IFERROR(IF($U489="",1,INDEX(Deals!$W$2:$W$355,MATCH($C489,Deals!$A$2:$A$355,0))),1)</f>
        <v/>
      </c>
      <c r="U489" s="22">
        <f>IF($C489="","",IFERROR(IF(INDEX(Deals!$Y$2:$Y$355,MATCH($C489,Deals!$A$2:$A$355,0))=0,"",INDEX(Deals!$Y$2:$Y$355,MATCH($C489,Deals!$A$2:$A$355,0))),""))</f>
        <v/>
      </c>
      <c r="V489" s="35">
        <f>IF(OR($U489&lt;&gt;"",AND($AO489&gt;0,$L489&lt;&gt;"",$M489&lt;&gt;"")),$N489,DATE(1900,1,1))</f>
        <v/>
      </c>
      <c r="W489" s="35">
        <f>IF($U489&lt;&gt;"",$U489,IF(AND($AO489&gt;0,$L489&lt;&gt;"",$M489&lt;&gt;""),$O489,DATE(2100,12,31)))</f>
        <v/>
      </c>
      <c r="X489" s="32">
        <f>IF($U489="",$K489,$K489*$S489)</f>
        <v/>
      </c>
      <c r="Y489" s="35">
        <f>IF($U489="",DATE(2100,12,31),$U489+1)</f>
        <v/>
      </c>
      <c r="Z489" s="35">
        <f>IF($U489="",DATE(1900,1,1),$O489)</f>
        <v/>
      </c>
      <c r="AA489" s="32">
        <f>IF($U489="",0,$K489*$T489)</f>
        <v/>
      </c>
      <c r="AB489" s="21">
        <f>IF($C489="",0,IFERROR(INDEX(Deals!$AD$2:$AD$355,MATCH($C489,Deals!$A$2:$A$355,0)),0))</f>
        <v/>
      </c>
      <c r="AC489" s="32">
        <f>IF(Settings!$B$4="Yes",$I489*$AB489,$I489)</f>
        <v/>
      </c>
      <c r="AD489" s="22">
        <f>IF($C489="","",IFERROR(IF(INDEX(Deals!$AE$2:$AE$355,MATCH($C489,Deals!$A$2:$A$355,0))=0,"",INDEX(Deals!$AE$2:$AE$355,MATCH($C489,Deals!$A$2:$A$355,0))),""))</f>
        <v/>
      </c>
      <c r="AE489" s="22">
        <f>IF($C489="","",IFERROR(IF(INDEX(Deals!$AF$2:$AF$355,MATCH($C489,Deals!$A$2:$A$355,0))=0,"",INDEX(Deals!$AF$2:$AF$355,MATCH($C489,Deals!$A$2:$A$355,0))),""))</f>
        <v/>
      </c>
      <c r="AF489" s="35">
        <f>IF($AD489="",DATE(1900,1,1),$AD489)</f>
        <v/>
      </c>
      <c r="AG489" s="35">
        <f>IF($AE489="",DATE(2100,12,31),$AE489)</f>
        <v/>
      </c>
      <c r="AH489" s="22">
        <f>IF($C489="","",IFERROR(IF(INDEX(Deals!$AG$2:$AG$355,MATCH($C489,Deals!$A$2:$A$355,0))=0,"",INDEX(Deals!$AG$2:$AG$355,MATCH($C489,Deals!$A$2:$A$355,0))),""))</f>
        <v/>
      </c>
      <c r="AI489" s="35">
        <f>IF(OR($AH489&lt;&gt;"",AND($AO489&gt;0,$AD489&lt;&gt;"",$AE489&lt;&gt;"")),$AF489,DATE(1900,1,1))</f>
        <v/>
      </c>
      <c r="AJ489" s="35">
        <f>IF($AH489&lt;&gt;"",$AH489,IF(AND($AO489&gt;0,$AD489&lt;&gt;"",$AE489&lt;&gt;""),$AG489,DATE(2100,12,31)))</f>
        <v/>
      </c>
      <c r="AK489" s="32">
        <f>IF($AH489="",$AC489,$AC489*$S489)</f>
        <v/>
      </c>
      <c r="AL489" s="35">
        <f>IF($AH489="",DATE(2100,12,31),$AH489+1)</f>
        <v/>
      </c>
      <c r="AM489" s="35">
        <f>IF($AH489="",DATE(1900,1,1),$AG489)</f>
        <v/>
      </c>
      <c r="AN489" s="32">
        <f>IF($AH489="",0,$AC489*$T489)</f>
        <v/>
      </c>
      <c r="AO489" s="46">
        <f>IF($C489="",0,IFERROR(INDEX(Deals!$BD$2:$BD$355,MATCH($C489,Deals!$A$2:$A$355,0)),0))</f>
        <v/>
      </c>
      <c r="AP489" s="18">
        <f>IF($AO489=0,0,IFERROR(INDEX(Deals!$BJ$2:$BP$355,MATCH($C489,Deals!$A$2:$A$355,0),MATCH($F489,Deals!$BJ$1:$BP$1,0))/COUNTIFS(Assignments!$C$2:$C$769,$C489,Assignments!$F$2:$F$769,$F489,Assignments!$G$2:$G$769,"Active"),0))</f>
        <v/>
      </c>
    </row>
    <row r="490">
      <c r="A490" s="28" t="inlineStr">
        <is>
          <t>Nina</t>
        </is>
      </c>
      <c r="B490" s="16">
        <f>IF($A490="","",IFERROR(INDEX(Roster!$B$2:$B$40,MATCH($A490,Roster!$A$2:$A$40,0)),"?"))</f>
        <v/>
      </c>
      <c r="C490" s="28" t="inlineStr">
        <is>
          <t>Theoden_1</t>
        </is>
      </c>
      <c r="D490" s="16">
        <f>IF($C490="","",IFERROR(IF(INDEX(Deals!$C$2:$C$355,MATCH($C490,Deals!$A$2:$A$355,0))=0,"",INDEX(Deals!$C$2:$C$355,MATCH($C490,Deals!$A$2:$A$355,0))),"?"))</f>
        <v/>
      </c>
      <c r="E490" s="16">
        <f>IF($C490="","",IFERROR(INDEX(Deals!$F$2:$F$355,MATCH($C490,Deals!$A$2:$A$355,0)),"?"))</f>
        <v/>
      </c>
      <c r="F490" s="28" t="inlineStr">
        <is>
          <t>Senior Associate</t>
        </is>
      </c>
      <c r="G490" s="28" t="inlineStr">
        <is>
          <t>Active</t>
        </is>
      </c>
      <c r="H490" s="31" t="n"/>
      <c r="I490" s="32">
        <f>IF(OR($A490="",$G490&lt;&gt;"Active"),0,IF($H490&lt;&gt;"",$H490,IF($AO490&gt;0,$AP490,IF(AND($R490&lt;&gt;"",IFERROR(INDEX(Templates!$B$3:$H$10,MATCH($R490,Templates!$A$3:$A$10,0),MATCH($F490,Templates!$B$2:$H$2,0)),0)&gt;0),INDEX(Templates!$B$3:$H$10,MATCH($R490,Templates!$A$3:$A$10,0),MATCH($F490,Templates!$B$2:$H$2,0)),IFERROR(INDEX(Settings!$B$8:$B$14,MATCH($F490,Settings!$A$8:$A$14,0)),0)))))</f>
        <v/>
      </c>
      <c r="J490" s="21">
        <f>IF($C490="",0,IFERROR(INDEX(Deals!$H$2:$H$355,MATCH($C490,Deals!$A$2:$A$355,0)),0))</f>
        <v/>
      </c>
      <c r="K490" s="32">
        <f>IF(Settings!$B$4="Yes",$I490*$J490,$I490)</f>
        <v/>
      </c>
      <c r="L490" s="22">
        <f>IF($C490="","",IFERROR(IF(INDEX(Deals!$I$2:$I$355,MATCH($C490,Deals!$A$2:$A$355,0))=0,"",INDEX(Deals!$I$2:$I$355,MATCH($C490,Deals!$A$2:$A$355,0))),""))</f>
        <v/>
      </c>
      <c r="M490" s="22">
        <f>IF($C490="","",IFERROR(IF(INDEX(Deals!$J$2:$J$355,MATCH($C490,Deals!$A$2:$A$355,0))=0,"",INDEX(Deals!$J$2:$J$355,MATCH($C490,Deals!$A$2:$A$355,0))),""))</f>
        <v/>
      </c>
      <c r="N490" s="35">
        <f>IF($L490="",DATE(1900,1,1),$L490)</f>
        <v/>
      </c>
      <c r="O490" s="35">
        <f>IF($M490="",DATE(2100,12,31),$M490)</f>
        <v/>
      </c>
      <c r="P490" s="20" t="inlineStr">
        <is>
          <t>Ongoing</t>
        </is>
      </c>
      <c r="Q490" s="47" t="inlineStr"/>
      <c r="R490" s="16">
        <f>IF($C490="","",IFERROR(IF(INDEX(Deals!$U$2:$U$355,MATCH($C490,Deals!$A$2:$A$355,0))=0,"",INDEX(Deals!$U$2:$U$355,MATCH($C490,Deals!$A$2:$A$355,0))),""))</f>
        <v/>
      </c>
      <c r="S490" s="34">
        <f>IFERROR(IF($U490="",1,INDEX(Deals!$V$2:$V$355,MATCH($C490,Deals!$A$2:$A$355,0))),1)</f>
        <v/>
      </c>
      <c r="T490" s="34">
        <f>IFERROR(IF($U490="",1,INDEX(Deals!$W$2:$W$355,MATCH($C490,Deals!$A$2:$A$355,0))),1)</f>
        <v/>
      </c>
      <c r="U490" s="22">
        <f>IF($C490="","",IFERROR(IF(INDEX(Deals!$Y$2:$Y$355,MATCH($C490,Deals!$A$2:$A$355,0))=0,"",INDEX(Deals!$Y$2:$Y$355,MATCH($C490,Deals!$A$2:$A$355,0))),""))</f>
        <v/>
      </c>
      <c r="V490" s="35">
        <f>IF(OR($U490&lt;&gt;"",AND($AO490&gt;0,$L490&lt;&gt;"",$M490&lt;&gt;"")),$N490,DATE(1900,1,1))</f>
        <v/>
      </c>
      <c r="W490" s="35">
        <f>IF($U490&lt;&gt;"",$U490,IF(AND($AO490&gt;0,$L490&lt;&gt;"",$M490&lt;&gt;""),$O490,DATE(2100,12,31)))</f>
        <v/>
      </c>
      <c r="X490" s="32">
        <f>IF($U490="",$K490,$K490*$S490)</f>
        <v/>
      </c>
      <c r="Y490" s="35">
        <f>IF($U490="",DATE(2100,12,31),$U490+1)</f>
        <v/>
      </c>
      <c r="Z490" s="35">
        <f>IF($U490="",DATE(1900,1,1),$O490)</f>
        <v/>
      </c>
      <c r="AA490" s="32">
        <f>IF($U490="",0,$K490*$T490)</f>
        <v/>
      </c>
      <c r="AB490" s="21">
        <f>IF($C490="",0,IFERROR(INDEX(Deals!$AD$2:$AD$355,MATCH($C490,Deals!$A$2:$A$355,0)),0))</f>
        <v/>
      </c>
      <c r="AC490" s="32">
        <f>IF(Settings!$B$4="Yes",$I490*$AB490,$I490)</f>
        <v/>
      </c>
      <c r="AD490" s="22">
        <f>IF($C490="","",IFERROR(IF(INDEX(Deals!$AE$2:$AE$355,MATCH($C490,Deals!$A$2:$A$355,0))=0,"",INDEX(Deals!$AE$2:$AE$355,MATCH($C490,Deals!$A$2:$A$355,0))),""))</f>
        <v/>
      </c>
      <c r="AE490" s="22">
        <f>IF($C490="","",IFERROR(IF(INDEX(Deals!$AF$2:$AF$355,MATCH($C490,Deals!$A$2:$A$355,0))=0,"",INDEX(Deals!$AF$2:$AF$355,MATCH($C490,Deals!$A$2:$A$355,0))),""))</f>
        <v/>
      </c>
      <c r="AF490" s="35">
        <f>IF($AD490="",DATE(1900,1,1),$AD490)</f>
        <v/>
      </c>
      <c r="AG490" s="35">
        <f>IF($AE490="",DATE(2100,12,31),$AE490)</f>
        <v/>
      </c>
      <c r="AH490" s="22">
        <f>IF($C490="","",IFERROR(IF(INDEX(Deals!$AG$2:$AG$355,MATCH($C490,Deals!$A$2:$A$355,0))=0,"",INDEX(Deals!$AG$2:$AG$355,MATCH($C490,Deals!$A$2:$A$355,0))),""))</f>
        <v/>
      </c>
      <c r="AI490" s="35">
        <f>IF(OR($AH490&lt;&gt;"",AND($AO490&gt;0,$AD490&lt;&gt;"",$AE490&lt;&gt;"")),$AF490,DATE(1900,1,1))</f>
        <v/>
      </c>
      <c r="AJ490" s="35">
        <f>IF($AH490&lt;&gt;"",$AH490,IF(AND($AO490&gt;0,$AD490&lt;&gt;"",$AE490&lt;&gt;""),$AG490,DATE(2100,12,31)))</f>
        <v/>
      </c>
      <c r="AK490" s="32">
        <f>IF($AH490="",$AC490,$AC490*$S490)</f>
        <v/>
      </c>
      <c r="AL490" s="35">
        <f>IF($AH490="",DATE(2100,12,31),$AH490+1)</f>
        <v/>
      </c>
      <c r="AM490" s="35">
        <f>IF($AH490="",DATE(1900,1,1),$AG490)</f>
        <v/>
      </c>
      <c r="AN490" s="32">
        <f>IF($AH490="",0,$AC490*$T490)</f>
        <v/>
      </c>
      <c r="AO490" s="46">
        <f>IF($C490="",0,IFERROR(INDEX(Deals!$BD$2:$BD$355,MATCH($C490,Deals!$A$2:$A$355,0)),0))</f>
        <v/>
      </c>
      <c r="AP490" s="18">
        <f>IF($AO490=0,0,IFERROR(INDEX(Deals!$BJ$2:$BP$355,MATCH($C490,Deals!$A$2:$A$355,0),MATCH($F490,Deals!$BJ$1:$BP$1,0))/COUNTIFS(Assignments!$C$2:$C$769,$C490,Assignments!$F$2:$F$769,$F490,Assignments!$G$2:$G$769,"Active"),0))</f>
        <v/>
      </c>
    </row>
    <row r="491">
      <c r="A491" s="28" t="inlineStr">
        <is>
          <t>Nina</t>
        </is>
      </c>
      <c r="B491" s="16">
        <f>IF($A491="","",IFERROR(INDEX(Roster!$B$2:$B$40,MATCH($A491,Roster!$A$2:$A$40,0)),"?"))</f>
        <v/>
      </c>
      <c r="C491" s="28" t="inlineStr">
        <is>
          <t>Vero_1</t>
        </is>
      </c>
      <c r="D491" s="16">
        <f>IF($C491="","",IFERROR(IF(INDEX(Deals!$C$2:$C$355,MATCH($C491,Deals!$A$2:$A$355,0))=0,"",INDEX(Deals!$C$2:$C$355,MATCH($C491,Deals!$A$2:$A$355,0))),"?"))</f>
        <v/>
      </c>
      <c r="E491" s="16">
        <f>IF($C491="","",IFERROR(INDEX(Deals!$F$2:$F$355,MATCH($C491,Deals!$A$2:$A$355,0)),"?"))</f>
        <v/>
      </c>
      <c r="F491" s="28" t="inlineStr">
        <is>
          <t>Senior Associate</t>
        </is>
      </c>
      <c r="G491" s="28" t="inlineStr">
        <is>
          <t>Active</t>
        </is>
      </c>
      <c r="H491" s="31" t="n"/>
      <c r="I491" s="32">
        <f>IF(OR($A491="",$G491&lt;&gt;"Active"),0,IF($H491&lt;&gt;"",$H491,IF($AO491&gt;0,$AP491,IF(AND($R491&lt;&gt;"",IFERROR(INDEX(Templates!$B$3:$H$10,MATCH($R491,Templates!$A$3:$A$10,0),MATCH($F491,Templates!$B$2:$H$2,0)),0)&gt;0),INDEX(Templates!$B$3:$H$10,MATCH($R491,Templates!$A$3:$A$10,0),MATCH($F491,Templates!$B$2:$H$2,0)),IFERROR(INDEX(Settings!$B$8:$B$14,MATCH($F491,Settings!$A$8:$A$14,0)),0)))))</f>
        <v/>
      </c>
      <c r="J491" s="21">
        <f>IF($C491="",0,IFERROR(INDEX(Deals!$H$2:$H$355,MATCH($C491,Deals!$A$2:$A$355,0)),0))</f>
        <v/>
      </c>
      <c r="K491" s="32">
        <f>IF(Settings!$B$4="Yes",$I491*$J491,$I491)</f>
        <v/>
      </c>
      <c r="L491" s="22">
        <f>IF($C491="","",IFERROR(IF(INDEX(Deals!$I$2:$I$355,MATCH($C491,Deals!$A$2:$A$355,0))=0,"",INDEX(Deals!$I$2:$I$355,MATCH($C491,Deals!$A$2:$A$355,0))),""))</f>
        <v/>
      </c>
      <c r="M491" s="22">
        <f>IF($C491="","",IFERROR(IF(INDEX(Deals!$J$2:$J$355,MATCH($C491,Deals!$A$2:$A$355,0))=0,"",INDEX(Deals!$J$2:$J$355,MATCH($C491,Deals!$A$2:$A$355,0))),""))</f>
        <v/>
      </c>
      <c r="N491" s="35">
        <f>IF($L491="",DATE(1900,1,1),$L491)</f>
        <v/>
      </c>
      <c r="O491" s="35">
        <f>IF($M491="",DATE(2100,12,31),$M491)</f>
        <v/>
      </c>
      <c r="P491" s="20" t="inlineStr"/>
      <c r="Q491" s="47" t="inlineStr"/>
      <c r="R491" s="16">
        <f>IF($C491="","",IFERROR(IF(INDEX(Deals!$U$2:$U$355,MATCH($C491,Deals!$A$2:$A$355,0))=0,"",INDEX(Deals!$U$2:$U$355,MATCH($C491,Deals!$A$2:$A$355,0))),""))</f>
        <v/>
      </c>
      <c r="S491" s="34">
        <f>IFERROR(IF($U491="",1,INDEX(Deals!$V$2:$V$355,MATCH($C491,Deals!$A$2:$A$355,0))),1)</f>
        <v/>
      </c>
      <c r="T491" s="34">
        <f>IFERROR(IF($U491="",1,INDEX(Deals!$W$2:$W$355,MATCH($C491,Deals!$A$2:$A$355,0))),1)</f>
        <v/>
      </c>
      <c r="U491" s="22">
        <f>IF($C491="","",IFERROR(IF(INDEX(Deals!$Y$2:$Y$355,MATCH($C491,Deals!$A$2:$A$355,0))=0,"",INDEX(Deals!$Y$2:$Y$355,MATCH($C491,Deals!$A$2:$A$355,0))),""))</f>
        <v/>
      </c>
      <c r="V491" s="35">
        <f>IF(OR($U491&lt;&gt;"",AND($AO491&gt;0,$L491&lt;&gt;"",$M491&lt;&gt;"")),$N491,DATE(1900,1,1))</f>
        <v/>
      </c>
      <c r="W491" s="35">
        <f>IF($U491&lt;&gt;"",$U491,IF(AND($AO491&gt;0,$L491&lt;&gt;"",$M491&lt;&gt;""),$O491,DATE(2100,12,31)))</f>
        <v/>
      </c>
      <c r="X491" s="32">
        <f>IF($U491="",$K491,$K491*$S491)</f>
        <v/>
      </c>
      <c r="Y491" s="35">
        <f>IF($U491="",DATE(2100,12,31),$U491+1)</f>
        <v/>
      </c>
      <c r="Z491" s="35">
        <f>IF($U491="",DATE(1900,1,1),$O491)</f>
        <v/>
      </c>
      <c r="AA491" s="32">
        <f>IF($U491="",0,$K491*$T491)</f>
        <v/>
      </c>
      <c r="AB491" s="21">
        <f>IF($C491="",0,IFERROR(INDEX(Deals!$AD$2:$AD$355,MATCH($C491,Deals!$A$2:$A$355,0)),0))</f>
        <v/>
      </c>
      <c r="AC491" s="32">
        <f>IF(Settings!$B$4="Yes",$I491*$AB491,$I491)</f>
        <v/>
      </c>
      <c r="AD491" s="22">
        <f>IF($C491="","",IFERROR(IF(INDEX(Deals!$AE$2:$AE$355,MATCH($C491,Deals!$A$2:$A$355,0))=0,"",INDEX(Deals!$AE$2:$AE$355,MATCH($C491,Deals!$A$2:$A$355,0))),""))</f>
        <v/>
      </c>
      <c r="AE491" s="22">
        <f>IF($C491="","",IFERROR(IF(INDEX(Deals!$AF$2:$AF$355,MATCH($C491,Deals!$A$2:$A$355,0))=0,"",INDEX(Deals!$AF$2:$AF$355,MATCH($C491,Deals!$A$2:$A$355,0))),""))</f>
        <v/>
      </c>
      <c r="AF491" s="35">
        <f>IF($AD491="",DATE(1900,1,1),$AD491)</f>
        <v/>
      </c>
      <c r="AG491" s="35">
        <f>IF($AE491="",DATE(2100,12,31),$AE491)</f>
        <v/>
      </c>
      <c r="AH491" s="22">
        <f>IF($C491="","",IFERROR(IF(INDEX(Deals!$AG$2:$AG$355,MATCH($C491,Deals!$A$2:$A$355,0))=0,"",INDEX(Deals!$AG$2:$AG$355,MATCH($C491,Deals!$A$2:$A$355,0))),""))</f>
        <v/>
      </c>
      <c r="AI491" s="35">
        <f>IF(OR($AH491&lt;&gt;"",AND($AO491&gt;0,$AD491&lt;&gt;"",$AE491&lt;&gt;"")),$AF491,DATE(1900,1,1))</f>
        <v/>
      </c>
      <c r="AJ491" s="35">
        <f>IF($AH491&lt;&gt;"",$AH491,IF(AND($AO491&gt;0,$AD491&lt;&gt;"",$AE491&lt;&gt;""),$AG491,DATE(2100,12,31)))</f>
        <v/>
      </c>
      <c r="AK491" s="32">
        <f>IF($AH491="",$AC491,$AC491*$S491)</f>
        <v/>
      </c>
      <c r="AL491" s="35">
        <f>IF($AH491="",DATE(2100,12,31),$AH491+1)</f>
        <v/>
      </c>
      <c r="AM491" s="35">
        <f>IF($AH491="",DATE(1900,1,1),$AG491)</f>
        <v/>
      </c>
      <c r="AN491" s="32">
        <f>IF($AH491="",0,$AC491*$T491)</f>
        <v/>
      </c>
      <c r="AO491" s="46">
        <f>IF($C491="",0,IFERROR(INDEX(Deals!$BD$2:$BD$355,MATCH($C491,Deals!$A$2:$A$355,0)),0))</f>
        <v/>
      </c>
      <c r="AP491" s="18">
        <f>IF($AO491=0,0,IFERROR(INDEX(Deals!$BJ$2:$BP$355,MATCH($C491,Deals!$A$2:$A$355,0),MATCH($F491,Deals!$BJ$1:$BP$1,0))/COUNTIFS(Assignments!$C$2:$C$769,$C491,Assignments!$F$2:$F$769,$F491,Assignments!$G$2:$G$769,"Active"),0))</f>
        <v/>
      </c>
    </row>
    <row r="492">
      <c r="A492" s="28" t="inlineStr">
        <is>
          <t>Colleen</t>
        </is>
      </c>
      <c r="B492" s="16">
        <f>IF($A492="","",IFERROR(INDEX(Roster!$B$2:$B$40,MATCH($A492,Roster!$A$2:$A$40,0)),"?"))</f>
        <v/>
      </c>
      <c r="C492" s="28" t="inlineStr">
        <is>
          <t>2026 Structuring_1</t>
        </is>
      </c>
      <c r="D492" s="16">
        <f>IF($C492="","",IFERROR(IF(INDEX(Deals!$C$2:$C$355,MATCH($C492,Deals!$A$2:$A$355,0))=0,"",INDEX(Deals!$C$2:$C$355,MATCH($C492,Deals!$A$2:$A$355,0))),"?"))</f>
        <v/>
      </c>
      <c r="E492" s="16">
        <f>IF($C492="","",IFERROR(INDEX(Deals!$F$2:$F$355,MATCH($C492,Deals!$A$2:$A$355,0)),"?"))</f>
        <v/>
      </c>
      <c r="F492" s="28" t="inlineStr">
        <is>
          <t>Senior Associate</t>
        </is>
      </c>
      <c r="G492" s="28" t="inlineStr">
        <is>
          <t>Active</t>
        </is>
      </c>
      <c r="H492" s="31" t="n"/>
      <c r="I492" s="32">
        <f>IF(OR($A492="",$G492&lt;&gt;"Active"),0,IF($H492&lt;&gt;"",$H492,IF($AO492&gt;0,$AP492,IF(AND($R492&lt;&gt;"",IFERROR(INDEX(Templates!$B$3:$H$10,MATCH($R492,Templates!$A$3:$A$10,0),MATCH($F492,Templates!$B$2:$H$2,0)),0)&gt;0),INDEX(Templates!$B$3:$H$10,MATCH($R492,Templates!$A$3:$A$10,0),MATCH($F492,Templates!$B$2:$H$2,0)),IFERROR(INDEX(Settings!$B$8:$B$14,MATCH($F492,Settings!$A$8:$A$14,0)),0)))))</f>
        <v/>
      </c>
      <c r="J492" s="21">
        <f>IF($C492="",0,IFERROR(INDEX(Deals!$H$2:$H$355,MATCH($C492,Deals!$A$2:$A$355,0)),0))</f>
        <v/>
      </c>
      <c r="K492" s="32">
        <f>IF(Settings!$B$4="Yes",$I492*$J492,$I492)</f>
        <v/>
      </c>
      <c r="L492" s="22">
        <f>IF($C492="","",IFERROR(IF(INDEX(Deals!$I$2:$I$355,MATCH($C492,Deals!$A$2:$A$355,0))=0,"",INDEX(Deals!$I$2:$I$355,MATCH($C492,Deals!$A$2:$A$355,0))),""))</f>
        <v/>
      </c>
      <c r="M492" s="22">
        <f>IF($C492="","",IFERROR(IF(INDEX(Deals!$J$2:$J$355,MATCH($C492,Deals!$A$2:$A$355,0))=0,"",INDEX(Deals!$J$2:$J$355,MATCH($C492,Deals!$A$2:$A$355,0))),""))</f>
        <v/>
      </c>
      <c r="N492" s="35">
        <f>IF($L492="",DATE(1900,1,1),$L492)</f>
        <v/>
      </c>
      <c r="O492" s="35">
        <f>IF($M492="",DATE(2100,12,31),$M492)</f>
        <v/>
      </c>
      <c r="P492" s="20" t="inlineStr">
        <is>
          <t>Ongoing</t>
        </is>
      </c>
      <c r="Q492" s="47" t="inlineStr"/>
      <c r="R492" s="16">
        <f>IF($C492="","",IFERROR(IF(INDEX(Deals!$U$2:$U$355,MATCH($C492,Deals!$A$2:$A$355,0))=0,"",INDEX(Deals!$U$2:$U$355,MATCH($C492,Deals!$A$2:$A$355,0))),""))</f>
        <v/>
      </c>
      <c r="S492" s="34">
        <f>IFERROR(IF($U492="",1,INDEX(Deals!$V$2:$V$355,MATCH($C492,Deals!$A$2:$A$355,0))),1)</f>
        <v/>
      </c>
      <c r="T492" s="34">
        <f>IFERROR(IF($U492="",1,INDEX(Deals!$W$2:$W$355,MATCH($C492,Deals!$A$2:$A$355,0))),1)</f>
        <v/>
      </c>
      <c r="U492" s="22">
        <f>IF($C492="","",IFERROR(IF(INDEX(Deals!$Y$2:$Y$355,MATCH($C492,Deals!$A$2:$A$355,0))=0,"",INDEX(Deals!$Y$2:$Y$355,MATCH($C492,Deals!$A$2:$A$355,0))),""))</f>
        <v/>
      </c>
      <c r="V492" s="35">
        <f>IF(OR($U492&lt;&gt;"",AND($AO492&gt;0,$L492&lt;&gt;"",$M492&lt;&gt;"")),$N492,DATE(1900,1,1))</f>
        <v/>
      </c>
      <c r="W492" s="35">
        <f>IF($U492&lt;&gt;"",$U492,IF(AND($AO492&gt;0,$L492&lt;&gt;"",$M492&lt;&gt;""),$O492,DATE(2100,12,31)))</f>
        <v/>
      </c>
      <c r="X492" s="32">
        <f>IF($U492="",$K492,$K492*$S492)</f>
        <v/>
      </c>
      <c r="Y492" s="35">
        <f>IF($U492="",DATE(2100,12,31),$U492+1)</f>
        <v/>
      </c>
      <c r="Z492" s="35">
        <f>IF($U492="",DATE(1900,1,1),$O492)</f>
        <v/>
      </c>
      <c r="AA492" s="32">
        <f>IF($U492="",0,$K492*$T492)</f>
        <v/>
      </c>
      <c r="AB492" s="21">
        <f>IF($C492="",0,IFERROR(INDEX(Deals!$AD$2:$AD$355,MATCH($C492,Deals!$A$2:$A$355,0)),0))</f>
        <v/>
      </c>
      <c r="AC492" s="32">
        <f>IF(Settings!$B$4="Yes",$I492*$AB492,$I492)</f>
        <v/>
      </c>
      <c r="AD492" s="22">
        <f>IF($C492="","",IFERROR(IF(INDEX(Deals!$AE$2:$AE$355,MATCH($C492,Deals!$A$2:$A$355,0))=0,"",INDEX(Deals!$AE$2:$AE$355,MATCH($C492,Deals!$A$2:$A$355,0))),""))</f>
        <v/>
      </c>
      <c r="AE492" s="22">
        <f>IF($C492="","",IFERROR(IF(INDEX(Deals!$AF$2:$AF$355,MATCH($C492,Deals!$A$2:$A$355,0))=0,"",INDEX(Deals!$AF$2:$AF$355,MATCH($C492,Deals!$A$2:$A$355,0))),""))</f>
        <v/>
      </c>
      <c r="AF492" s="35">
        <f>IF($AD492="",DATE(1900,1,1),$AD492)</f>
        <v/>
      </c>
      <c r="AG492" s="35">
        <f>IF($AE492="",DATE(2100,12,31),$AE492)</f>
        <v/>
      </c>
      <c r="AH492" s="22">
        <f>IF($C492="","",IFERROR(IF(INDEX(Deals!$AG$2:$AG$355,MATCH($C492,Deals!$A$2:$A$355,0))=0,"",INDEX(Deals!$AG$2:$AG$355,MATCH($C492,Deals!$A$2:$A$355,0))),""))</f>
        <v/>
      </c>
      <c r="AI492" s="35">
        <f>IF(OR($AH492&lt;&gt;"",AND($AO492&gt;0,$AD492&lt;&gt;"",$AE492&lt;&gt;"")),$AF492,DATE(1900,1,1))</f>
        <v/>
      </c>
      <c r="AJ492" s="35">
        <f>IF($AH492&lt;&gt;"",$AH492,IF(AND($AO492&gt;0,$AD492&lt;&gt;"",$AE492&lt;&gt;""),$AG492,DATE(2100,12,31)))</f>
        <v/>
      </c>
      <c r="AK492" s="32">
        <f>IF($AH492="",$AC492,$AC492*$S492)</f>
        <v/>
      </c>
      <c r="AL492" s="35">
        <f>IF($AH492="",DATE(2100,12,31),$AH492+1)</f>
        <v/>
      </c>
      <c r="AM492" s="35">
        <f>IF($AH492="",DATE(1900,1,1),$AG492)</f>
        <v/>
      </c>
      <c r="AN492" s="32">
        <f>IF($AH492="",0,$AC492*$T492)</f>
        <v/>
      </c>
      <c r="AO492" s="46">
        <f>IF($C492="",0,IFERROR(INDEX(Deals!$BD$2:$BD$355,MATCH($C492,Deals!$A$2:$A$355,0)),0))</f>
        <v/>
      </c>
      <c r="AP492" s="18">
        <f>IF($AO492=0,0,IFERROR(INDEX(Deals!$BJ$2:$BP$355,MATCH($C492,Deals!$A$2:$A$355,0),MATCH($F492,Deals!$BJ$1:$BP$1,0))/COUNTIFS(Assignments!$C$2:$C$769,$C492,Assignments!$F$2:$F$769,$F492,Assignments!$G$2:$G$769,"Active"),0))</f>
        <v/>
      </c>
    </row>
    <row r="493">
      <c r="A493" s="28" t="inlineStr">
        <is>
          <t>Colleen</t>
        </is>
      </c>
      <c r="B493" s="16">
        <f>IF($A493="","",IFERROR(INDEX(Roster!$B$2:$B$40,MATCH($A493,Roster!$A$2:$A$40,0)),"?"))</f>
        <v/>
      </c>
      <c r="C493" s="28" t="inlineStr">
        <is>
          <t>Blue_8</t>
        </is>
      </c>
      <c r="D493" s="16">
        <f>IF($C493="","",IFERROR(IF(INDEX(Deals!$C$2:$C$355,MATCH($C493,Deals!$A$2:$A$355,0))=0,"",INDEX(Deals!$C$2:$C$355,MATCH($C493,Deals!$A$2:$A$355,0))),"?"))</f>
        <v/>
      </c>
      <c r="E493" s="16">
        <f>IF($C493="","",IFERROR(INDEX(Deals!$F$2:$F$355,MATCH($C493,Deals!$A$2:$A$355,0)),"?"))</f>
        <v/>
      </c>
      <c r="F493" s="28" t="inlineStr">
        <is>
          <t>Senior Associate</t>
        </is>
      </c>
      <c r="G493" s="28" t="inlineStr">
        <is>
          <t>Active</t>
        </is>
      </c>
      <c r="H493" s="31" t="n"/>
      <c r="I493" s="32">
        <f>IF(OR($A493="",$G493&lt;&gt;"Active"),0,IF($H493&lt;&gt;"",$H493,IF($AO493&gt;0,$AP493,IF(AND($R493&lt;&gt;"",IFERROR(INDEX(Templates!$B$3:$H$10,MATCH($R493,Templates!$A$3:$A$10,0),MATCH($F493,Templates!$B$2:$H$2,0)),0)&gt;0),INDEX(Templates!$B$3:$H$10,MATCH($R493,Templates!$A$3:$A$10,0),MATCH($F493,Templates!$B$2:$H$2,0)),IFERROR(INDEX(Settings!$B$8:$B$14,MATCH($F493,Settings!$A$8:$A$14,0)),0)))))</f>
        <v/>
      </c>
      <c r="J493" s="21">
        <f>IF($C493="",0,IFERROR(INDEX(Deals!$H$2:$H$355,MATCH($C493,Deals!$A$2:$A$355,0)),0))</f>
        <v/>
      </c>
      <c r="K493" s="32">
        <f>IF(Settings!$B$4="Yes",$I493*$J493,$I493)</f>
        <v/>
      </c>
      <c r="L493" s="22">
        <f>IF($C493="","",IFERROR(IF(INDEX(Deals!$I$2:$I$355,MATCH($C493,Deals!$A$2:$A$355,0))=0,"",INDEX(Deals!$I$2:$I$355,MATCH($C493,Deals!$A$2:$A$355,0))),""))</f>
        <v/>
      </c>
      <c r="M493" s="22">
        <f>IF($C493="","",IFERROR(IF(INDEX(Deals!$J$2:$J$355,MATCH($C493,Deals!$A$2:$A$355,0))=0,"",INDEX(Deals!$J$2:$J$355,MATCH($C493,Deals!$A$2:$A$355,0))),""))</f>
        <v/>
      </c>
      <c r="N493" s="35">
        <f>IF($L493="",DATE(1900,1,1),$L493)</f>
        <v/>
      </c>
      <c r="O493" s="35">
        <f>IF($M493="",DATE(2100,12,31),$M493)</f>
        <v/>
      </c>
      <c r="P493" s="20" t="inlineStr">
        <is>
          <t>Ongoing</t>
        </is>
      </c>
      <c r="Q493" s="47" t="inlineStr"/>
      <c r="R493" s="16">
        <f>IF($C493="","",IFERROR(IF(INDEX(Deals!$U$2:$U$355,MATCH($C493,Deals!$A$2:$A$355,0))=0,"",INDEX(Deals!$U$2:$U$355,MATCH($C493,Deals!$A$2:$A$355,0))),""))</f>
        <v/>
      </c>
      <c r="S493" s="34">
        <f>IFERROR(IF($U493="",1,INDEX(Deals!$V$2:$V$355,MATCH($C493,Deals!$A$2:$A$355,0))),1)</f>
        <v/>
      </c>
      <c r="T493" s="34">
        <f>IFERROR(IF($U493="",1,INDEX(Deals!$W$2:$W$355,MATCH($C493,Deals!$A$2:$A$355,0))),1)</f>
        <v/>
      </c>
      <c r="U493" s="22">
        <f>IF($C493="","",IFERROR(IF(INDEX(Deals!$Y$2:$Y$355,MATCH($C493,Deals!$A$2:$A$355,0))=0,"",INDEX(Deals!$Y$2:$Y$355,MATCH($C493,Deals!$A$2:$A$355,0))),""))</f>
        <v/>
      </c>
      <c r="V493" s="35">
        <f>IF(OR($U493&lt;&gt;"",AND($AO493&gt;0,$L493&lt;&gt;"",$M493&lt;&gt;"")),$N493,DATE(1900,1,1))</f>
        <v/>
      </c>
      <c r="W493" s="35">
        <f>IF($U493&lt;&gt;"",$U493,IF(AND($AO493&gt;0,$L493&lt;&gt;"",$M493&lt;&gt;""),$O493,DATE(2100,12,31)))</f>
        <v/>
      </c>
      <c r="X493" s="32">
        <f>IF($U493="",$K493,$K493*$S493)</f>
        <v/>
      </c>
      <c r="Y493" s="35">
        <f>IF($U493="",DATE(2100,12,31),$U493+1)</f>
        <v/>
      </c>
      <c r="Z493" s="35">
        <f>IF($U493="",DATE(1900,1,1),$O493)</f>
        <v/>
      </c>
      <c r="AA493" s="32">
        <f>IF($U493="",0,$K493*$T493)</f>
        <v/>
      </c>
      <c r="AB493" s="21">
        <f>IF($C493="",0,IFERROR(INDEX(Deals!$AD$2:$AD$355,MATCH($C493,Deals!$A$2:$A$355,0)),0))</f>
        <v/>
      </c>
      <c r="AC493" s="32">
        <f>IF(Settings!$B$4="Yes",$I493*$AB493,$I493)</f>
        <v/>
      </c>
      <c r="AD493" s="22">
        <f>IF($C493="","",IFERROR(IF(INDEX(Deals!$AE$2:$AE$355,MATCH($C493,Deals!$A$2:$A$355,0))=0,"",INDEX(Deals!$AE$2:$AE$355,MATCH($C493,Deals!$A$2:$A$355,0))),""))</f>
        <v/>
      </c>
      <c r="AE493" s="22">
        <f>IF($C493="","",IFERROR(IF(INDEX(Deals!$AF$2:$AF$355,MATCH($C493,Deals!$A$2:$A$355,0))=0,"",INDEX(Deals!$AF$2:$AF$355,MATCH($C493,Deals!$A$2:$A$355,0))),""))</f>
        <v/>
      </c>
      <c r="AF493" s="35">
        <f>IF($AD493="",DATE(1900,1,1),$AD493)</f>
        <v/>
      </c>
      <c r="AG493" s="35">
        <f>IF($AE493="",DATE(2100,12,31),$AE493)</f>
        <v/>
      </c>
      <c r="AH493" s="22">
        <f>IF($C493="","",IFERROR(IF(INDEX(Deals!$AG$2:$AG$355,MATCH($C493,Deals!$A$2:$A$355,0))=0,"",INDEX(Deals!$AG$2:$AG$355,MATCH($C493,Deals!$A$2:$A$355,0))),""))</f>
        <v/>
      </c>
      <c r="AI493" s="35">
        <f>IF(OR($AH493&lt;&gt;"",AND($AO493&gt;0,$AD493&lt;&gt;"",$AE493&lt;&gt;"")),$AF493,DATE(1900,1,1))</f>
        <v/>
      </c>
      <c r="AJ493" s="35">
        <f>IF($AH493&lt;&gt;"",$AH493,IF(AND($AO493&gt;0,$AD493&lt;&gt;"",$AE493&lt;&gt;""),$AG493,DATE(2100,12,31)))</f>
        <v/>
      </c>
      <c r="AK493" s="32">
        <f>IF($AH493="",$AC493,$AC493*$S493)</f>
        <v/>
      </c>
      <c r="AL493" s="35">
        <f>IF($AH493="",DATE(2100,12,31),$AH493+1)</f>
        <v/>
      </c>
      <c r="AM493" s="35">
        <f>IF($AH493="",DATE(1900,1,1),$AG493)</f>
        <v/>
      </c>
      <c r="AN493" s="32">
        <f>IF($AH493="",0,$AC493*$T493)</f>
        <v/>
      </c>
      <c r="AO493" s="46">
        <f>IF($C493="",0,IFERROR(INDEX(Deals!$BD$2:$BD$355,MATCH($C493,Deals!$A$2:$A$355,0)),0))</f>
        <v/>
      </c>
      <c r="AP493" s="18">
        <f>IF($AO493=0,0,IFERROR(INDEX(Deals!$BJ$2:$BP$355,MATCH($C493,Deals!$A$2:$A$355,0),MATCH($F493,Deals!$BJ$1:$BP$1,0))/COUNTIFS(Assignments!$C$2:$C$769,$C493,Assignments!$F$2:$F$769,$F493,Assignments!$G$2:$G$769,"Active"),0))</f>
        <v/>
      </c>
    </row>
    <row r="494">
      <c r="A494" s="28" t="inlineStr">
        <is>
          <t>Colleen</t>
        </is>
      </c>
      <c r="B494" s="16">
        <f>IF($A494="","",IFERROR(INDEX(Roster!$B$2:$B$40,MATCH($A494,Roster!$A$2:$A$40,0)),"?"))</f>
        <v/>
      </c>
      <c r="C494" s="28" t="inlineStr">
        <is>
          <t>Canyon_2</t>
        </is>
      </c>
      <c r="D494" s="16">
        <f>IF($C494="","",IFERROR(IF(INDEX(Deals!$C$2:$C$355,MATCH($C494,Deals!$A$2:$A$355,0))=0,"",INDEX(Deals!$C$2:$C$355,MATCH($C494,Deals!$A$2:$A$355,0))),"?"))</f>
        <v/>
      </c>
      <c r="E494" s="16">
        <f>IF($C494="","",IFERROR(INDEX(Deals!$F$2:$F$355,MATCH($C494,Deals!$A$2:$A$355,0)),"?"))</f>
        <v/>
      </c>
      <c r="F494" s="28" t="inlineStr">
        <is>
          <t>Senior Associate</t>
        </is>
      </c>
      <c r="G494" s="28" t="inlineStr">
        <is>
          <t>Inactive</t>
        </is>
      </c>
      <c r="H494" s="31" t="n"/>
      <c r="I494" s="32">
        <f>IF(OR($A494="",$G494&lt;&gt;"Active"),0,IF($H494&lt;&gt;"",$H494,IF($AO494&gt;0,$AP494,IF(AND($R494&lt;&gt;"",IFERROR(INDEX(Templates!$B$3:$H$10,MATCH($R494,Templates!$A$3:$A$10,0),MATCH($F494,Templates!$B$2:$H$2,0)),0)&gt;0),INDEX(Templates!$B$3:$H$10,MATCH($R494,Templates!$A$3:$A$10,0),MATCH($F494,Templates!$B$2:$H$2,0)),IFERROR(INDEX(Settings!$B$8:$B$14,MATCH($F494,Settings!$A$8:$A$14,0)),0)))))</f>
        <v/>
      </c>
      <c r="J494" s="21">
        <f>IF($C494="",0,IFERROR(INDEX(Deals!$H$2:$H$355,MATCH($C494,Deals!$A$2:$A$355,0)),0))</f>
        <v/>
      </c>
      <c r="K494" s="32">
        <f>IF(Settings!$B$4="Yes",$I494*$J494,$I494)</f>
        <v/>
      </c>
      <c r="L494" s="22">
        <f>IF($C494="","",IFERROR(IF(INDEX(Deals!$I$2:$I$355,MATCH($C494,Deals!$A$2:$A$355,0))=0,"",INDEX(Deals!$I$2:$I$355,MATCH($C494,Deals!$A$2:$A$355,0))),""))</f>
        <v/>
      </c>
      <c r="M494" s="22">
        <f>IF($C494="","",IFERROR(IF(INDEX(Deals!$J$2:$J$355,MATCH($C494,Deals!$A$2:$A$355,0))=0,"",INDEX(Deals!$J$2:$J$355,MATCH($C494,Deals!$A$2:$A$355,0))),""))</f>
        <v/>
      </c>
      <c r="N494" s="35">
        <f>IF($L494="",DATE(1900,1,1),$L494)</f>
        <v/>
      </c>
      <c r="O494" s="35">
        <f>IF($M494="",DATE(2100,12,31),$M494)</f>
        <v/>
      </c>
      <c r="P494" s="20" t="inlineStr">
        <is>
          <t>Not involved in ongoing work</t>
        </is>
      </c>
      <c r="Q494" s="47" t="inlineStr"/>
      <c r="R494" s="16">
        <f>IF($C494="","",IFERROR(IF(INDEX(Deals!$U$2:$U$355,MATCH($C494,Deals!$A$2:$A$355,0))=0,"",INDEX(Deals!$U$2:$U$355,MATCH($C494,Deals!$A$2:$A$355,0))),""))</f>
        <v/>
      </c>
      <c r="S494" s="34">
        <f>IFERROR(IF($U494="",1,INDEX(Deals!$V$2:$V$355,MATCH($C494,Deals!$A$2:$A$355,0))),1)</f>
        <v/>
      </c>
      <c r="T494" s="34">
        <f>IFERROR(IF($U494="",1,INDEX(Deals!$W$2:$W$355,MATCH($C494,Deals!$A$2:$A$355,0))),1)</f>
        <v/>
      </c>
      <c r="U494" s="22">
        <f>IF($C494="","",IFERROR(IF(INDEX(Deals!$Y$2:$Y$355,MATCH($C494,Deals!$A$2:$A$355,0))=0,"",INDEX(Deals!$Y$2:$Y$355,MATCH($C494,Deals!$A$2:$A$355,0))),""))</f>
        <v/>
      </c>
      <c r="V494" s="35">
        <f>IF(OR($U494&lt;&gt;"",AND($AO494&gt;0,$L494&lt;&gt;"",$M494&lt;&gt;"")),$N494,DATE(1900,1,1))</f>
        <v/>
      </c>
      <c r="W494" s="35">
        <f>IF($U494&lt;&gt;"",$U494,IF(AND($AO494&gt;0,$L494&lt;&gt;"",$M494&lt;&gt;""),$O494,DATE(2100,12,31)))</f>
        <v/>
      </c>
      <c r="X494" s="32">
        <f>IF($U494="",$K494,$K494*$S494)</f>
        <v/>
      </c>
      <c r="Y494" s="35">
        <f>IF($U494="",DATE(2100,12,31),$U494+1)</f>
        <v/>
      </c>
      <c r="Z494" s="35">
        <f>IF($U494="",DATE(1900,1,1),$O494)</f>
        <v/>
      </c>
      <c r="AA494" s="32">
        <f>IF($U494="",0,$K494*$T494)</f>
        <v/>
      </c>
      <c r="AB494" s="21">
        <f>IF($C494="",0,IFERROR(INDEX(Deals!$AD$2:$AD$355,MATCH($C494,Deals!$A$2:$A$355,0)),0))</f>
        <v/>
      </c>
      <c r="AC494" s="32">
        <f>IF(Settings!$B$4="Yes",$I494*$AB494,$I494)</f>
        <v/>
      </c>
      <c r="AD494" s="22">
        <f>IF($C494="","",IFERROR(IF(INDEX(Deals!$AE$2:$AE$355,MATCH($C494,Deals!$A$2:$A$355,0))=0,"",INDEX(Deals!$AE$2:$AE$355,MATCH($C494,Deals!$A$2:$A$355,0))),""))</f>
        <v/>
      </c>
      <c r="AE494" s="22">
        <f>IF($C494="","",IFERROR(IF(INDEX(Deals!$AF$2:$AF$355,MATCH($C494,Deals!$A$2:$A$355,0))=0,"",INDEX(Deals!$AF$2:$AF$355,MATCH($C494,Deals!$A$2:$A$355,0))),""))</f>
        <v/>
      </c>
      <c r="AF494" s="35">
        <f>IF($AD494="",DATE(1900,1,1),$AD494)</f>
        <v/>
      </c>
      <c r="AG494" s="35">
        <f>IF($AE494="",DATE(2100,12,31),$AE494)</f>
        <v/>
      </c>
      <c r="AH494" s="22">
        <f>IF($C494="","",IFERROR(IF(INDEX(Deals!$AG$2:$AG$355,MATCH($C494,Deals!$A$2:$A$355,0))=0,"",INDEX(Deals!$AG$2:$AG$355,MATCH($C494,Deals!$A$2:$A$355,0))),""))</f>
        <v/>
      </c>
      <c r="AI494" s="35">
        <f>IF(OR($AH494&lt;&gt;"",AND($AO494&gt;0,$AD494&lt;&gt;"",$AE494&lt;&gt;"")),$AF494,DATE(1900,1,1))</f>
        <v/>
      </c>
      <c r="AJ494" s="35">
        <f>IF($AH494&lt;&gt;"",$AH494,IF(AND($AO494&gt;0,$AD494&lt;&gt;"",$AE494&lt;&gt;""),$AG494,DATE(2100,12,31)))</f>
        <v/>
      </c>
      <c r="AK494" s="32">
        <f>IF($AH494="",$AC494,$AC494*$S494)</f>
        <v/>
      </c>
      <c r="AL494" s="35">
        <f>IF($AH494="",DATE(2100,12,31),$AH494+1)</f>
        <v/>
      </c>
      <c r="AM494" s="35">
        <f>IF($AH494="",DATE(1900,1,1),$AG494)</f>
        <v/>
      </c>
      <c r="AN494" s="32">
        <f>IF($AH494="",0,$AC494*$T494)</f>
        <v/>
      </c>
      <c r="AO494" s="46">
        <f>IF($C494="",0,IFERROR(INDEX(Deals!$BD$2:$BD$355,MATCH($C494,Deals!$A$2:$A$355,0)),0))</f>
        <v/>
      </c>
      <c r="AP494" s="18">
        <f>IF($AO494=0,0,IFERROR(INDEX(Deals!$BJ$2:$BP$355,MATCH($C494,Deals!$A$2:$A$355,0),MATCH($F494,Deals!$BJ$1:$BP$1,0))/COUNTIFS(Assignments!$C$2:$C$769,$C494,Assignments!$F$2:$F$769,$F494,Assignments!$G$2:$G$769,"Active"),0))</f>
        <v/>
      </c>
    </row>
    <row r="495">
      <c r="A495" s="28" t="inlineStr">
        <is>
          <t>Colleen</t>
        </is>
      </c>
      <c r="B495" s="16">
        <f>IF($A495="","",IFERROR(INDEX(Roster!$B$2:$B$40,MATCH($A495,Roster!$A$2:$A$40,0)),"?"))</f>
        <v/>
      </c>
      <c r="C495" s="28" t="inlineStr">
        <is>
          <t>Celestial_1</t>
        </is>
      </c>
      <c r="D495" s="16">
        <f>IF($C495="","",IFERROR(IF(INDEX(Deals!$C$2:$C$355,MATCH($C495,Deals!$A$2:$A$355,0))=0,"",INDEX(Deals!$C$2:$C$355,MATCH($C495,Deals!$A$2:$A$355,0))),"?"))</f>
        <v/>
      </c>
      <c r="E495" s="16">
        <f>IF($C495="","",IFERROR(INDEX(Deals!$F$2:$F$355,MATCH($C495,Deals!$A$2:$A$355,0)),"?"))</f>
        <v/>
      </c>
      <c r="F495" s="28" t="inlineStr">
        <is>
          <t>Senior Associate</t>
        </is>
      </c>
      <c r="G495" s="28" t="inlineStr">
        <is>
          <t>Inactive</t>
        </is>
      </c>
      <c r="H495" s="31" t="n"/>
      <c r="I495" s="32">
        <f>IF(OR($A495="",$G495&lt;&gt;"Active"),0,IF($H495&lt;&gt;"",$H495,IF($AO495&gt;0,$AP495,IF(AND($R495&lt;&gt;"",IFERROR(INDEX(Templates!$B$3:$H$10,MATCH($R495,Templates!$A$3:$A$10,0),MATCH($F495,Templates!$B$2:$H$2,0)),0)&gt;0),INDEX(Templates!$B$3:$H$10,MATCH($R495,Templates!$A$3:$A$10,0),MATCH($F495,Templates!$B$2:$H$2,0)),IFERROR(INDEX(Settings!$B$8:$B$14,MATCH($F495,Settings!$A$8:$A$14,0)),0)))))</f>
        <v/>
      </c>
      <c r="J495" s="21">
        <f>IF($C495="",0,IFERROR(INDEX(Deals!$H$2:$H$355,MATCH($C495,Deals!$A$2:$A$355,0)),0))</f>
        <v/>
      </c>
      <c r="K495" s="32">
        <f>IF(Settings!$B$4="Yes",$I495*$J495,$I495)</f>
        <v/>
      </c>
      <c r="L495" s="22">
        <f>IF($C495="","",IFERROR(IF(INDEX(Deals!$I$2:$I$355,MATCH($C495,Deals!$A$2:$A$355,0))=0,"",INDEX(Deals!$I$2:$I$355,MATCH($C495,Deals!$A$2:$A$355,0))),""))</f>
        <v/>
      </c>
      <c r="M495" s="22">
        <f>IF($C495="","",IFERROR(IF(INDEX(Deals!$J$2:$J$355,MATCH($C495,Deals!$A$2:$A$355,0))=0,"",INDEX(Deals!$J$2:$J$355,MATCH($C495,Deals!$A$2:$A$355,0))),""))</f>
        <v/>
      </c>
      <c r="N495" s="35">
        <f>IF($L495="",DATE(1900,1,1),$L495)</f>
        <v/>
      </c>
      <c r="O495" s="35">
        <f>IF($M495="",DATE(2100,12,31),$M495)</f>
        <v/>
      </c>
      <c r="P495" s="20" t="inlineStr">
        <is>
          <t>Not involved in ongoing work</t>
        </is>
      </c>
      <c r="Q495" s="47" t="inlineStr"/>
      <c r="R495" s="16">
        <f>IF($C495="","",IFERROR(IF(INDEX(Deals!$U$2:$U$355,MATCH($C495,Deals!$A$2:$A$355,0))=0,"",INDEX(Deals!$U$2:$U$355,MATCH($C495,Deals!$A$2:$A$355,0))),""))</f>
        <v/>
      </c>
      <c r="S495" s="34">
        <f>IFERROR(IF($U495="",1,INDEX(Deals!$V$2:$V$355,MATCH($C495,Deals!$A$2:$A$355,0))),1)</f>
        <v/>
      </c>
      <c r="T495" s="34">
        <f>IFERROR(IF($U495="",1,INDEX(Deals!$W$2:$W$355,MATCH($C495,Deals!$A$2:$A$355,0))),1)</f>
        <v/>
      </c>
      <c r="U495" s="22">
        <f>IF($C495="","",IFERROR(IF(INDEX(Deals!$Y$2:$Y$355,MATCH($C495,Deals!$A$2:$A$355,0))=0,"",INDEX(Deals!$Y$2:$Y$355,MATCH($C495,Deals!$A$2:$A$355,0))),""))</f>
        <v/>
      </c>
      <c r="V495" s="35">
        <f>IF(OR($U495&lt;&gt;"",AND($AO495&gt;0,$L495&lt;&gt;"",$M495&lt;&gt;"")),$N495,DATE(1900,1,1))</f>
        <v/>
      </c>
      <c r="W495" s="35">
        <f>IF($U495&lt;&gt;"",$U495,IF(AND($AO495&gt;0,$L495&lt;&gt;"",$M495&lt;&gt;""),$O495,DATE(2100,12,31)))</f>
        <v/>
      </c>
      <c r="X495" s="32">
        <f>IF($U495="",$K495,$K495*$S495)</f>
        <v/>
      </c>
      <c r="Y495" s="35">
        <f>IF($U495="",DATE(2100,12,31),$U495+1)</f>
        <v/>
      </c>
      <c r="Z495" s="35">
        <f>IF($U495="",DATE(1900,1,1),$O495)</f>
        <v/>
      </c>
      <c r="AA495" s="32">
        <f>IF($U495="",0,$K495*$T495)</f>
        <v/>
      </c>
      <c r="AB495" s="21">
        <f>IF($C495="",0,IFERROR(INDEX(Deals!$AD$2:$AD$355,MATCH($C495,Deals!$A$2:$A$355,0)),0))</f>
        <v/>
      </c>
      <c r="AC495" s="32">
        <f>IF(Settings!$B$4="Yes",$I495*$AB495,$I495)</f>
        <v/>
      </c>
      <c r="AD495" s="22">
        <f>IF($C495="","",IFERROR(IF(INDEX(Deals!$AE$2:$AE$355,MATCH($C495,Deals!$A$2:$A$355,0))=0,"",INDEX(Deals!$AE$2:$AE$355,MATCH($C495,Deals!$A$2:$A$355,0))),""))</f>
        <v/>
      </c>
      <c r="AE495" s="22">
        <f>IF($C495="","",IFERROR(IF(INDEX(Deals!$AF$2:$AF$355,MATCH($C495,Deals!$A$2:$A$355,0))=0,"",INDEX(Deals!$AF$2:$AF$355,MATCH($C495,Deals!$A$2:$A$355,0))),""))</f>
        <v/>
      </c>
      <c r="AF495" s="35">
        <f>IF($AD495="",DATE(1900,1,1),$AD495)</f>
        <v/>
      </c>
      <c r="AG495" s="35">
        <f>IF($AE495="",DATE(2100,12,31),$AE495)</f>
        <v/>
      </c>
      <c r="AH495" s="22">
        <f>IF($C495="","",IFERROR(IF(INDEX(Deals!$AG$2:$AG$355,MATCH($C495,Deals!$A$2:$A$355,0))=0,"",INDEX(Deals!$AG$2:$AG$355,MATCH($C495,Deals!$A$2:$A$355,0))),""))</f>
        <v/>
      </c>
      <c r="AI495" s="35">
        <f>IF(OR($AH495&lt;&gt;"",AND($AO495&gt;0,$AD495&lt;&gt;"",$AE495&lt;&gt;"")),$AF495,DATE(1900,1,1))</f>
        <v/>
      </c>
      <c r="AJ495" s="35">
        <f>IF($AH495&lt;&gt;"",$AH495,IF(AND($AO495&gt;0,$AD495&lt;&gt;"",$AE495&lt;&gt;""),$AG495,DATE(2100,12,31)))</f>
        <v/>
      </c>
      <c r="AK495" s="32">
        <f>IF($AH495="",$AC495,$AC495*$S495)</f>
        <v/>
      </c>
      <c r="AL495" s="35">
        <f>IF($AH495="",DATE(2100,12,31),$AH495+1)</f>
        <v/>
      </c>
      <c r="AM495" s="35">
        <f>IF($AH495="",DATE(1900,1,1),$AG495)</f>
        <v/>
      </c>
      <c r="AN495" s="32">
        <f>IF($AH495="",0,$AC495*$T495)</f>
        <v/>
      </c>
      <c r="AO495" s="46">
        <f>IF($C495="",0,IFERROR(INDEX(Deals!$BD$2:$BD$355,MATCH($C495,Deals!$A$2:$A$355,0)),0))</f>
        <v/>
      </c>
      <c r="AP495" s="18">
        <f>IF($AO495=0,0,IFERROR(INDEX(Deals!$BJ$2:$BP$355,MATCH($C495,Deals!$A$2:$A$355,0),MATCH($F495,Deals!$BJ$1:$BP$1,0))/COUNTIFS(Assignments!$C$2:$C$769,$C495,Assignments!$F$2:$F$769,$F495,Assignments!$G$2:$G$769,"Active"),0))</f>
        <v/>
      </c>
    </row>
    <row r="496">
      <c r="A496" s="28" t="inlineStr">
        <is>
          <t>Colleen</t>
        </is>
      </c>
      <c r="B496" s="16">
        <f>IF($A496="","",IFERROR(INDEX(Roster!$B$2:$B$40,MATCH($A496,Roster!$A$2:$A$40,0)),"?"))</f>
        <v/>
      </c>
      <c r="C496" s="28" t="inlineStr">
        <is>
          <t>Colt_2</t>
        </is>
      </c>
      <c r="D496" s="16">
        <f>IF($C496="","",IFERROR(IF(INDEX(Deals!$C$2:$C$355,MATCH($C496,Deals!$A$2:$A$355,0))=0,"",INDEX(Deals!$C$2:$C$355,MATCH($C496,Deals!$A$2:$A$355,0))),"?"))</f>
        <v/>
      </c>
      <c r="E496" s="16">
        <f>IF($C496="","",IFERROR(INDEX(Deals!$F$2:$F$355,MATCH($C496,Deals!$A$2:$A$355,0)),"?"))</f>
        <v/>
      </c>
      <c r="F496" s="28" t="inlineStr">
        <is>
          <t>Senior Associate</t>
        </is>
      </c>
      <c r="G496" s="28" t="inlineStr">
        <is>
          <t>Inactive</t>
        </is>
      </c>
      <c r="H496" s="31" t="n"/>
      <c r="I496" s="32">
        <f>IF(OR($A496="",$G496&lt;&gt;"Active"),0,IF($H496&lt;&gt;"",$H496,IF($AO496&gt;0,$AP496,IF(AND($R496&lt;&gt;"",IFERROR(INDEX(Templates!$B$3:$H$10,MATCH($R496,Templates!$A$3:$A$10,0),MATCH($F496,Templates!$B$2:$H$2,0)),0)&gt;0),INDEX(Templates!$B$3:$H$10,MATCH($R496,Templates!$A$3:$A$10,0),MATCH($F496,Templates!$B$2:$H$2,0)),IFERROR(INDEX(Settings!$B$8:$B$14,MATCH($F496,Settings!$A$8:$A$14,0)),0)))))</f>
        <v/>
      </c>
      <c r="J496" s="21">
        <f>IF($C496="",0,IFERROR(INDEX(Deals!$H$2:$H$355,MATCH($C496,Deals!$A$2:$A$355,0)),0))</f>
        <v/>
      </c>
      <c r="K496" s="32">
        <f>IF(Settings!$B$4="Yes",$I496*$J496,$I496)</f>
        <v/>
      </c>
      <c r="L496" s="22">
        <f>IF($C496="","",IFERROR(IF(INDEX(Deals!$I$2:$I$355,MATCH($C496,Deals!$A$2:$A$355,0))=0,"",INDEX(Deals!$I$2:$I$355,MATCH($C496,Deals!$A$2:$A$355,0))),""))</f>
        <v/>
      </c>
      <c r="M496" s="22">
        <f>IF($C496="","",IFERROR(IF(INDEX(Deals!$J$2:$J$355,MATCH($C496,Deals!$A$2:$A$355,0))=0,"",INDEX(Deals!$J$2:$J$355,MATCH($C496,Deals!$A$2:$A$355,0))),""))</f>
        <v/>
      </c>
      <c r="N496" s="35">
        <f>IF($L496="",DATE(1900,1,1),$L496)</f>
        <v/>
      </c>
      <c r="O496" s="35">
        <f>IF($M496="",DATE(2100,12,31),$M496)</f>
        <v/>
      </c>
      <c r="P496" s="20" t="inlineStr">
        <is>
          <t>Not involved in ongoing work</t>
        </is>
      </c>
      <c r="Q496" s="47" t="inlineStr"/>
      <c r="R496" s="16">
        <f>IF($C496="","",IFERROR(IF(INDEX(Deals!$U$2:$U$355,MATCH($C496,Deals!$A$2:$A$355,0))=0,"",INDEX(Deals!$U$2:$U$355,MATCH($C496,Deals!$A$2:$A$355,0))),""))</f>
        <v/>
      </c>
      <c r="S496" s="34">
        <f>IFERROR(IF($U496="",1,INDEX(Deals!$V$2:$V$355,MATCH($C496,Deals!$A$2:$A$355,0))),1)</f>
        <v/>
      </c>
      <c r="T496" s="34">
        <f>IFERROR(IF($U496="",1,INDEX(Deals!$W$2:$W$355,MATCH($C496,Deals!$A$2:$A$355,0))),1)</f>
        <v/>
      </c>
      <c r="U496" s="22">
        <f>IF($C496="","",IFERROR(IF(INDEX(Deals!$Y$2:$Y$355,MATCH($C496,Deals!$A$2:$A$355,0))=0,"",INDEX(Deals!$Y$2:$Y$355,MATCH($C496,Deals!$A$2:$A$355,0))),""))</f>
        <v/>
      </c>
      <c r="V496" s="35">
        <f>IF(OR($U496&lt;&gt;"",AND($AO496&gt;0,$L496&lt;&gt;"",$M496&lt;&gt;"")),$N496,DATE(1900,1,1))</f>
        <v/>
      </c>
      <c r="W496" s="35">
        <f>IF($U496&lt;&gt;"",$U496,IF(AND($AO496&gt;0,$L496&lt;&gt;"",$M496&lt;&gt;""),$O496,DATE(2100,12,31)))</f>
        <v/>
      </c>
      <c r="X496" s="32">
        <f>IF($U496="",$K496,$K496*$S496)</f>
        <v/>
      </c>
      <c r="Y496" s="35">
        <f>IF($U496="",DATE(2100,12,31),$U496+1)</f>
        <v/>
      </c>
      <c r="Z496" s="35">
        <f>IF($U496="",DATE(1900,1,1),$O496)</f>
        <v/>
      </c>
      <c r="AA496" s="32">
        <f>IF($U496="",0,$K496*$T496)</f>
        <v/>
      </c>
      <c r="AB496" s="21">
        <f>IF($C496="",0,IFERROR(INDEX(Deals!$AD$2:$AD$355,MATCH($C496,Deals!$A$2:$A$355,0)),0))</f>
        <v/>
      </c>
      <c r="AC496" s="32">
        <f>IF(Settings!$B$4="Yes",$I496*$AB496,$I496)</f>
        <v/>
      </c>
      <c r="AD496" s="22">
        <f>IF($C496="","",IFERROR(IF(INDEX(Deals!$AE$2:$AE$355,MATCH($C496,Deals!$A$2:$A$355,0))=0,"",INDEX(Deals!$AE$2:$AE$355,MATCH($C496,Deals!$A$2:$A$355,0))),""))</f>
        <v/>
      </c>
      <c r="AE496" s="22">
        <f>IF($C496="","",IFERROR(IF(INDEX(Deals!$AF$2:$AF$355,MATCH($C496,Deals!$A$2:$A$355,0))=0,"",INDEX(Deals!$AF$2:$AF$355,MATCH($C496,Deals!$A$2:$A$355,0))),""))</f>
        <v/>
      </c>
      <c r="AF496" s="35">
        <f>IF($AD496="",DATE(1900,1,1),$AD496)</f>
        <v/>
      </c>
      <c r="AG496" s="35">
        <f>IF($AE496="",DATE(2100,12,31),$AE496)</f>
        <v/>
      </c>
      <c r="AH496" s="22">
        <f>IF($C496="","",IFERROR(IF(INDEX(Deals!$AG$2:$AG$355,MATCH($C496,Deals!$A$2:$A$355,0))=0,"",INDEX(Deals!$AG$2:$AG$355,MATCH($C496,Deals!$A$2:$A$355,0))),""))</f>
        <v/>
      </c>
      <c r="AI496" s="35">
        <f>IF(OR($AH496&lt;&gt;"",AND($AO496&gt;0,$AD496&lt;&gt;"",$AE496&lt;&gt;"")),$AF496,DATE(1900,1,1))</f>
        <v/>
      </c>
      <c r="AJ496" s="35">
        <f>IF($AH496&lt;&gt;"",$AH496,IF(AND($AO496&gt;0,$AD496&lt;&gt;"",$AE496&lt;&gt;""),$AG496,DATE(2100,12,31)))</f>
        <v/>
      </c>
      <c r="AK496" s="32">
        <f>IF($AH496="",$AC496,$AC496*$S496)</f>
        <v/>
      </c>
      <c r="AL496" s="35">
        <f>IF($AH496="",DATE(2100,12,31),$AH496+1)</f>
        <v/>
      </c>
      <c r="AM496" s="35">
        <f>IF($AH496="",DATE(1900,1,1),$AG496)</f>
        <v/>
      </c>
      <c r="AN496" s="32">
        <f>IF($AH496="",0,$AC496*$T496)</f>
        <v/>
      </c>
      <c r="AO496" s="46">
        <f>IF($C496="",0,IFERROR(INDEX(Deals!$BD$2:$BD$355,MATCH($C496,Deals!$A$2:$A$355,0)),0))</f>
        <v/>
      </c>
      <c r="AP496" s="18">
        <f>IF($AO496=0,0,IFERROR(INDEX(Deals!$BJ$2:$BP$355,MATCH($C496,Deals!$A$2:$A$355,0),MATCH($F496,Deals!$BJ$1:$BP$1,0))/COUNTIFS(Assignments!$C$2:$C$769,$C496,Assignments!$F$2:$F$769,$F496,Assignments!$G$2:$G$769,"Active"),0))</f>
        <v/>
      </c>
    </row>
    <row r="497">
      <c r="A497" s="28" t="inlineStr">
        <is>
          <t>Colleen</t>
        </is>
      </c>
      <c r="B497" s="16">
        <f>IF($A497="","",IFERROR(INDEX(Roster!$B$2:$B$40,MATCH($A497,Roster!$A$2:$A$40,0)),"?"))</f>
        <v/>
      </c>
      <c r="C497" s="28" t="inlineStr">
        <is>
          <t>Copia_3</t>
        </is>
      </c>
      <c r="D497" s="16">
        <f>IF($C497="","",IFERROR(IF(INDEX(Deals!$C$2:$C$355,MATCH($C497,Deals!$A$2:$A$355,0))=0,"",INDEX(Deals!$C$2:$C$355,MATCH($C497,Deals!$A$2:$A$355,0))),"?"))</f>
        <v/>
      </c>
      <c r="E497" s="16">
        <f>IF($C497="","",IFERROR(INDEX(Deals!$F$2:$F$355,MATCH($C497,Deals!$A$2:$A$355,0)),"?"))</f>
        <v/>
      </c>
      <c r="F497" s="28" t="inlineStr">
        <is>
          <t>Senior Associate</t>
        </is>
      </c>
      <c r="G497" s="28" t="inlineStr">
        <is>
          <t>Active</t>
        </is>
      </c>
      <c r="H497" s="31" t="n"/>
      <c r="I497" s="32">
        <f>IF(OR($A497="",$G497&lt;&gt;"Active"),0,IF($H497&lt;&gt;"",$H497,IF($AO497&gt;0,$AP497,IF(AND($R497&lt;&gt;"",IFERROR(INDEX(Templates!$B$3:$H$10,MATCH($R497,Templates!$A$3:$A$10,0),MATCH($F497,Templates!$B$2:$H$2,0)),0)&gt;0),INDEX(Templates!$B$3:$H$10,MATCH($R497,Templates!$A$3:$A$10,0),MATCH($F497,Templates!$B$2:$H$2,0)),IFERROR(INDEX(Settings!$B$8:$B$14,MATCH($F497,Settings!$A$8:$A$14,0)),0)))))</f>
        <v/>
      </c>
      <c r="J497" s="21">
        <f>IF($C497="",0,IFERROR(INDEX(Deals!$H$2:$H$355,MATCH($C497,Deals!$A$2:$A$355,0)),0))</f>
        <v/>
      </c>
      <c r="K497" s="32">
        <f>IF(Settings!$B$4="Yes",$I497*$J497,$I497)</f>
        <v/>
      </c>
      <c r="L497" s="22">
        <f>IF($C497="","",IFERROR(IF(INDEX(Deals!$I$2:$I$355,MATCH($C497,Deals!$A$2:$A$355,0))=0,"",INDEX(Deals!$I$2:$I$355,MATCH($C497,Deals!$A$2:$A$355,0))),""))</f>
        <v/>
      </c>
      <c r="M497" s="22">
        <f>IF($C497="","",IFERROR(IF(INDEX(Deals!$J$2:$J$355,MATCH($C497,Deals!$A$2:$A$355,0))=0,"",INDEX(Deals!$J$2:$J$355,MATCH($C497,Deals!$A$2:$A$355,0))),""))</f>
        <v/>
      </c>
      <c r="N497" s="35">
        <f>IF($L497="",DATE(1900,1,1),$L497)</f>
        <v/>
      </c>
      <c r="O497" s="35">
        <f>IF($M497="",DATE(2100,12,31),$M497)</f>
        <v/>
      </c>
      <c r="P497" s="20" t="inlineStr">
        <is>
          <t>Ongoing</t>
        </is>
      </c>
      <c r="Q497" s="47" t="inlineStr"/>
      <c r="R497" s="16">
        <f>IF($C497="","",IFERROR(IF(INDEX(Deals!$U$2:$U$355,MATCH($C497,Deals!$A$2:$A$355,0))=0,"",INDEX(Deals!$U$2:$U$355,MATCH($C497,Deals!$A$2:$A$355,0))),""))</f>
        <v/>
      </c>
      <c r="S497" s="34">
        <f>IFERROR(IF($U497="",1,INDEX(Deals!$V$2:$V$355,MATCH($C497,Deals!$A$2:$A$355,0))),1)</f>
        <v/>
      </c>
      <c r="T497" s="34">
        <f>IFERROR(IF($U497="",1,INDEX(Deals!$W$2:$W$355,MATCH($C497,Deals!$A$2:$A$355,0))),1)</f>
        <v/>
      </c>
      <c r="U497" s="22">
        <f>IF($C497="","",IFERROR(IF(INDEX(Deals!$Y$2:$Y$355,MATCH($C497,Deals!$A$2:$A$355,0))=0,"",INDEX(Deals!$Y$2:$Y$355,MATCH($C497,Deals!$A$2:$A$355,0))),""))</f>
        <v/>
      </c>
      <c r="V497" s="35">
        <f>IF(OR($U497&lt;&gt;"",AND($AO497&gt;0,$L497&lt;&gt;"",$M497&lt;&gt;"")),$N497,DATE(1900,1,1))</f>
        <v/>
      </c>
      <c r="W497" s="35">
        <f>IF($U497&lt;&gt;"",$U497,IF(AND($AO497&gt;0,$L497&lt;&gt;"",$M497&lt;&gt;""),$O497,DATE(2100,12,31)))</f>
        <v/>
      </c>
      <c r="X497" s="32">
        <f>IF($U497="",$K497,$K497*$S497)</f>
        <v/>
      </c>
      <c r="Y497" s="35">
        <f>IF($U497="",DATE(2100,12,31),$U497+1)</f>
        <v/>
      </c>
      <c r="Z497" s="35">
        <f>IF($U497="",DATE(1900,1,1),$O497)</f>
        <v/>
      </c>
      <c r="AA497" s="32">
        <f>IF($U497="",0,$K497*$T497)</f>
        <v/>
      </c>
      <c r="AB497" s="21">
        <f>IF($C497="",0,IFERROR(INDEX(Deals!$AD$2:$AD$355,MATCH($C497,Deals!$A$2:$A$355,0)),0))</f>
        <v/>
      </c>
      <c r="AC497" s="32">
        <f>IF(Settings!$B$4="Yes",$I497*$AB497,$I497)</f>
        <v/>
      </c>
      <c r="AD497" s="22">
        <f>IF($C497="","",IFERROR(IF(INDEX(Deals!$AE$2:$AE$355,MATCH($C497,Deals!$A$2:$A$355,0))=0,"",INDEX(Deals!$AE$2:$AE$355,MATCH($C497,Deals!$A$2:$A$355,0))),""))</f>
        <v/>
      </c>
      <c r="AE497" s="22">
        <f>IF($C497="","",IFERROR(IF(INDEX(Deals!$AF$2:$AF$355,MATCH($C497,Deals!$A$2:$A$355,0))=0,"",INDEX(Deals!$AF$2:$AF$355,MATCH($C497,Deals!$A$2:$A$355,0))),""))</f>
        <v/>
      </c>
      <c r="AF497" s="35">
        <f>IF($AD497="",DATE(1900,1,1),$AD497)</f>
        <v/>
      </c>
      <c r="AG497" s="35">
        <f>IF($AE497="",DATE(2100,12,31),$AE497)</f>
        <v/>
      </c>
      <c r="AH497" s="22">
        <f>IF($C497="","",IFERROR(IF(INDEX(Deals!$AG$2:$AG$355,MATCH($C497,Deals!$A$2:$A$355,0))=0,"",INDEX(Deals!$AG$2:$AG$355,MATCH($C497,Deals!$A$2:$A$355,0))),""))</f>
        <v/>
      </c>
      <c r="AI497" s="35">
        <f>IF(OR($AH497&lt;&gt;"",AND($AO497&gt;0,$AD497&lt;&gt;"",$AE497&lt;&gt;"")),$AF497,DATE(1900,1,1))</f>
        <v/>
      </c>
      <c r="AJ497" s="35">
        <f>IF($AH497&lt;&gt;"",$AH497,IF(AND($AO497&gt;0,$AD497&lt;&gt;"",$AE497&lt;&gt;""),$AG497,DATE(2100,12,31)))</f>
        <v/>
      </c>
      <c r="AK497" s="32">
        <f>IF($AH497="",$AC497,$AC497*$S497)</f>
        <v/>
      </c>
      <c r="AL497" s="35">
        <f>IF($AH497="",DATE(2100,12,31),$AH497+1)</f>
        <v/>
      </c>
      <c r="AM497" s="35">
        <f>IF($AH497="",DATE(1900,1,1),$AG497)</f>
        <v/>
      </c>
      <c r="AN497" s="32">
        <f>IF($AH497="",0,$AC497*$T497)</f>
        <v/>
      </c>
      <c r="AO497" s="46">
        <f>IF($C497="",0,IFERROR(INDEX(Deals!$BD$2:$BD$355,MATCH($C497,Deals!$A$2:$A$355,0)),0))</f>
        <v/>
      </c>
      <c r="AP497" s="18">
        <f>IF($AO497=0,0,IFERROR(INDEX(Deals!$BJ$2:$BP$355,MATCH($C497,Deals!$A$2:$A$355,0),MATCH($F497,Deals!$BJ$1:$BP$1,0))/COUNTIFS(Assignments!$C$2:$C$769,$C497,Assignments!$F$2:$F$769,$F497,Assignments!$G$2:$G$769,"Active"),0))</f>
        <v/>
      </c>
    </row>
    <row r="498">
      <c r="A498" s="28" t="inlineStr">
        <is>
          <t>Colleen</t>
        </is>
      </c>
      <c r="B498" s="16">
        <f>IF($A498="","",IFERROR(INDEX(Roster!$B$2:$B$40,MATCH($A498,Roster!$A$2:$A$40,0)),"?"))</f>
        <v/>
      </c>
      <c r="C498" s="28" t="inlineStr">
        <is>
          <t>Delaware_1</t>
        </is>
      </c>
      <c r="D498" s="16">
        <f>IF($C498="","",IFERROR(IF(INDEX(Deals!$C$2:$C$355,MATCH($C498,Deals!$A$2:$A$355,0))=0,"",INDEX(Deals!$C$2:$C$355,MATCH($C498,Deals!$A$2:$A$355,0))),"?"))</f>
        <v/>
      </c>
      <c r="E498" s="16">
        <f>IF($C498="","",IFERROR(INDEX(Deals!$F$2:$F$355,MATCH($C498,Deals!$A$2:$A$355,0)),"?"))</f>
        <v/>
      </c>
      <c r="F498" s="28" t="inlineStr">
        <is>
          <t>Senior Associate</t>
        </is>
      </c>
      <c r="G498" s="28" t="inlineStr">
        <is>
          <t>Active</t>
        </is>
      </c>
      <c r="H498" s="31" t="n"/>
      <c r="I498" s="32">
        <f>IF(OR($A498="",$G498&lt;&gt;"Active"),0,IF($H498&lt;&gt;"",$H498,IF($AO498&gt;0,$AP498,IF(AND($R498&lt;&gt;"",IFERROR(INDEX(Templates!$B$3:$H$10,MATCH($R498,Templates!$A$3:$A$10,0),MATCH($F498,Templates!$B$2:$H$2,0)),0)&gt;0),INDEX(Templates!$B$3:$H$10,MATCH($R498,Templates!$A$3:$A$10,0),MATCH($F498,Templates!$B$2:$H$2,0)),IFERROR(INDEX(Settings!$B$8:$B$14,MATCH($F498,Settings!$A$8:$A$14,0)),0)))))</f>
        <v/>
      </c>
      <c r="J498" s="21">
        <f>IF($C498="",0,IFERROR(INDEX(Deals!$H$2:$H$355,MATCH($C498,Deals!$A$2:$A$355,0)),0))</f>
        <v/>
      </c>
      <c r="K498" s="32">
        <f>IF(Settings!$B$4="Yes",$I498*$J498,$I498)</f>
        <v/>
      </c>
      <c r="L498" s="22">
        <f>IF($C498="","",IFERROR(IF(INDEX(Deals!$I$2:$I$355,MATCH($C498,Deals!$A$2:$A$355,0))=0,"",INDEX(Deals!$I$2:$I$355,MATCH($C498,Deals!$A$2:$A$355,0))),""))</f>
        <v/>
      </c>
      <c r="M498" s="22">
        <f>IF($C498="","",IFERROR(IF(INDEX(Deals!$J$2:$J$355,MATCH($C498,Deals!$A$2:$A$355,0))=0,"",INDEX(Deals!$J$2:$J$355,MATCH($C498,Deals!$A$2:$A$355,0))),""))</f>
        <v/>
      </c>
      <c r="N498" s="35">
        <f>IF($L498="",DATE(1900,1,1),$L498)</f>
        <v/>
      </c>
      <c r="O498" s="35">
        <f>IF($M498="",DATE(2100,12,31),$M498)</f>
        <v/>
      </c>
      <c r="P498" s="20" t="inlineStr"/>
      <c r="Q498" s="47" t="inlineStr"/>
      <c r="R498" s="16">
        <f>IF($C498="","",IFERROR(IF(INDEX(Deals!$U$2:$U$355,MATCH($C498,Deals!$A$2:$A$355,0))=0,"",INDEX(Deals!$U$2:$U$355,MATCH($C498,Deals!$A$2:$A$355,0))),""))</f>
        <v/>
      </c>
      <c r="S498" s="34">
        <f>IFERROR(IF($U498="",1,INDEX(Deals!$V$2:$V$355,MATCH($C498,Deals!$A$2:$A$355,0))),1)</f>
        <v/>
      </c>
      <c r="T498" s="34">
        <f>IFERROR(IF($U498="",1,INDEX(Deals!$W$2:$W$355,MATCH($C498,Deals!$A$2:$A$355,0))),1)</f>
        <v/>
      </c>
      <c r="U498" s="22">
        <f>IF($C498="","",IFERROR(IF(INDEX(Deals!$Y$2:$Y$355,MATCH($C498,Deals!$A$2:$A$355,0))=0,"",INDEX(Deals!$Y$2:$Y$355,MATCH($C498,Deals!$A$2:$A$355,0))),""))</f>
        <v/>
      </c>
      <c r="V498" s="35">
        <f>IF(OR($U498&lt;&gt;"",AND($AO498&gt;0,$L498&lt;&gt;"",$M498&lt;&gt;"")),$N498,DATE(1900,1,1))</f>
        <v/>
      </c>
      <c r="W498" s="35">
        <f>IF($U498&lt;&gt;"",$U498,IF(AND($AO498&gt;0,$L498&lt;&gt;"",$M498&lt;&gt;""),$O498,DATE(2100,12,31)))</f>
        <v/>
      </c>
      <c r="X498" s="32">
        <f>IF($U498="",$K498,$K498*$S498)</f>
        <v/>
      </c>
      <c r="Y498" s="35">
        <f>IF($U498="",DATE(2100,12,31),$U498+1)</f>
        <v/>
      </c>
      <c r="Z498" s="35">
        <f>IF($U498="",DATE(1900,1,1),$O498)</f>
        <v/>
      </c>
      <c r="AA498" s="32">
        <f>IF($U498="",0,$K498*$T498)</f>
        <v/>
      </c>
      <c r="AB498" s="21">
        <f>IF($C498="",0,IFERROR(INDEX(Deals!$AD$2:$AD$355,MATCH($C498,Deals!$A$2:$A$355,0)),0))</f>
        <v/>
      </c>
      <c r="AC498" s="32">
        <f>IF(Settings!$B$4="Yes",$I498*$AB498,$I498)</f>
        <v/>
      </c>
      <c r="AD498" s="22">
        <f>IF($C498="","",IFERROR(IF(INDEX(Deals!$AE$2:$AE$355,MATCH($C498,Deals!$A$2:$A$355,0))=0,"",INDEX(Deals!$AE$2:$AE$355,MATCH($C498,Deals!$A$2:$A$355,0))),""))</f>
        <v/>
      </c>
      <c r="AE498" s="22">
        <f>IF($C498="","",IFERROR(IF(INDEX(Deals!$AF$2:$AF$355,MATCH($C498,Deals!$A$2:$A$355,0))=0,"",INDEX(Deals!$AF$2:$AF$355,MATCH($C498,Deals!$A$2:$A$355,0))),""))</f>
        <v/>
      </c>
      <c r="AF498" s="35">
        <f>IF($AD498="",DATE(1900,1,1),$AD498)</f>
        <v/>
      </c>
      <c r="AG498" s="35">
        <f>IF($AE498="",DATE(2100,12,31),$AE498)</f>
        <v/>
      </c>
      <c r="AH498" s="22">
        <f>IF($C498="","",IFERROR(IF(INDEX(Deals!$AG$2:$AG$355,MATCH($C498,Deals!$A$2:$A$355,0))=0,"",INDEX(Deals!$AG$2:$AG$355,MATCH($C498,Deals!$A$2:$A$355,0))),""))</f>
        <v/>
      </c>
      <c r="AI498" s="35">
        <f>IF(OR($AH498&lt;&gt;"",AND($AO498&gt;0,$AD498&lt;&gt;"",$AE498&lt;&gt;"")),$AF498,DATE(1900,1,1))</f>
        <v/>
      </c>
      <c r="AJ498" s="35">
        <f>IF($AH498&lt;&gt;"",$AH498,IF(AND($AO498&gt;0,$AD498&lt;&gt;"",$AE498&lt;&gt;""),$AG498,DATE(2100,12,31)))</f>
        <v/>
      </c>
      <c r="AK498" s="32">
        <f>IF($AH498="",$AC498,$AC498*$S498)</f>
        <v/>
      </c>
      <c r="AL498" s="35">
        <f>IF($AH498="",DATE(2100,12,31),$AH498+1)</f>
        <v/>
      </c>
      <c r="AM498" s="35">
        <f>IF($AH498="",DATE(1900,1,1),$AG498)</f>
        <v/>
      </c>
      <c r="AN498" s="32">
        <f>IF($AH498="",0,$AC498*$T498)</f>
        <v/>
      </c>
      <c r="AO498" s="46">
        <f>IF($C498="",0,IFERROR(INDEX(Deals!$BD$2:$BD$355,MATCH($C498,Deals!$A$2:$A$355,0)),0))</f>
        <v/>
      </c>
      <c r="AP498" s="18">
        <f>IF($AO498=0,0,IFERROR(INDEX(Deals!$BJ$2:$BP$355,MATCH($C498,Deals!$A$2:$A$355,0),MATCH($F498,Deals!$BJ$1:$BP$1,0))/COUNTIFS(Assignments!$C$2:$C$769,$C498,Assignments!$F$2:$F$769,$F498,Assignments!$G$2:$G$769,"Active"),0))</f>
        <v/>
      </c>
    </row>
    <row r="499">
      <c r="A499" s="28" t="inlineStr">
        <is>
          <t>Colleen</t>
        </is>
      </c>
      <c r="B499" s="16">
        <f>IF($A499="","",IFERROR(INDEX(Roster!$B$2:$B$40,MATCH($A499,Roster!$A$2:$A$40,0)),"?"))</f>
        <v/>
      </c>
      <c r="C499" s="28" t="inlineStr">
        <is>
          <t>Dupont_1</t>
        </is>
      </c>
      <c r="D499" s="16">
        <f>IF($C499="","",IFERROR(IF(INDEX(Deals!$C$2:$C$355,MATCH($C499,Deals!$A$2:$A$355,0))=0,"",INDEX(Deals!$C$2:$C$355,MATCH($C499,Deals!$A$2:$A$355,0))),"?"))</f>
        <v/>
      </c>
      <c r="E499" s="16">
        <f>IF($C499="","",IFERROR(INDEX(Deals!$F$2:$F$355,MATCH($C499,Deals!$A$2:$A$355,0)),"?"))</f>
        <v/>
      </c>
      <c r="F499" s="28" t="inlineStr">
        <is>
          <t>Senior Associate</t>
        </is>
      </c>
      <c r="G499" s="28" t="inlineStr">
        <is>
          <t>Active</t>
        </is>
      </c>
      <c r="H499" s="31" t="n"/>
      <c r="I499" s="32">
        <f>IF(OR($A499="",$G499&lt;&gt;"Active"),0,IF($H499&lt;&gt;"",$H499,IF($AO499&gt;0,$AP499,IF(AND($R499&lt;&gt;"",IFERROR(INDEX(Templates!$B$3:$H$10,MATCH($R499,Templates!$A$3:$A$10,0),MATCH($F499,Templates!$B$2:$H$2,0)),0)&gt;0),INDEX(Templates!$B$3:$H$10,MATCH($R499,Templates!$A$3:$A$10,0),MATCH($F499,Templates!$B$2:$H$2,0)),IFERROR(INDEX(Settings!$B$8:$B$14,MATCH($F499,Settings!$A$8:$A$14,0)),0)))))</f>
        <v/>
      </c>
      <c r="J499" s="21">
        <f>IF($C499="",0,IFERROR(INDEX(Deals!$H$2:$H$355,MATCH($C499,Deals!$A$2:$A$355,0)),0))</f>
        <v/>
      </c>
      <c r="K499" s="32">
        <f>IF(Settings!$B$4="Yes",$I499*$J499,$I499)</f>
        <v/>
      </c>
      <c r="L499" s="22">
        <f>IF($C499="","",IFERROR(IF(INDEX(Deals!$I$2:$I$355,MATCH($C499,Deals!$A$2:$A$355,0))=0,"",INDEX(Deals!$I$2:$I$355,MATCH($C499,Deals!$A$2:$A$355,0))),""))</f>
        <v/>
      </c>
      <c r="M499" s="22">
        <f>IF($C499="","",IFERROR(IF(INDEX(Deals!$J$2:$J$355,MATCH($C499,Deals!$A$2:$A$355,0))=0,"",INDEX(Deals!$J$2:$J$355,MATCH($C499,Deals!$A$2:$A$355,0))),""))</f>
        <v/>
      </c>
      <c r="N499" s="35">
        <f>IF($L499="",DATE(1900,1,1),$L499)</f>
        <v/>
      </c>
      <c r="O499" s="35">
        <f>IF($M499="",DATE(2100,12,31),$M499)</f>
        <v/>
      </c>
      <c r="P499" s="20" t="inlineStr">
        <is>
          <t>Ongoing</t>
        </is>
      </c>
      <c r="Q499" s="47" t="inlineStr"/>
      <c r="R499" s="16">
        <f>IF($C499="","",IFERROR(IF(INDEX(Deals!$U$2:$U$355,MATCH($C499,Deals!$A$2:$A$355,0))=0,"",INDEX(Deals!$U$2:$U$355,MATCH($C499,Deals!$A$2:$A$355,0))),""))</f>
        <v/>
      </c>
      <c r="S499" s="34">
        <f>IFERROR(IF($U499="",1,INDEX(Deals!$V$2:$V$355,MATCH($C499,Deals!$A$2:$A$355,0))),1)</f>
        <v/>
      </c>
      <c r="T499" s="34">
        <f>IFERROR(IF($U499="",1,INDEX(Deals!$W$2:$W$355,MATCH($C499,Deals!$A$2:$A$355,0))),1)</f>
        <v/>
      </c>
      <c r="U499" s="22">
        <f>IF($C499="","",IFERROR(IF(INDEX(Deals!$Y$2:$Y$355,MATCH($C499,Deals!$A$2:$A$355,0))=0,"",INDEX(Deals!$Y$2:$Y$355,MATCH($C499,Deals!$A$2:$A$355,0))),""))</f>
        <v/>
      </c>
      <c r="V499" s="35">
        <f>IF(OR($U499&lt;&gt;"",AND($AO499&gt;0,$L499&lt;&gt;"",$M499&lt;&gt;"")),$N499,DATE(1900,1,1))</f>
        <v/>
      </c>
      <c r="W499" s="35">
        <f>IF($U499&lt;&gt;"",$U499,IF(AND($AO499&gt;0,$L499&lt;&gt;"",$M499&lt;&gt;""),$O499,DATE(2100,12,31)))</f>
        <v/>
      </c>
      <c r="X499" s="32">
        <f>IF($U499="",$K499,$K499*$S499)</f>
        <v/>
      </c>
      <c r="Y499" s="35">
        <f>IF($U499="",DATE(2100,12,31),$U499+1)</f>
        <v/>
      </c>
      <c r="Z499" s="35">
        <f>IF($U499="",DATE(1900,1,1),$O499)</f>
        <v/>
      </c>
      <c r="AA499" s="32">
        <f>IF($U499="",0,$K499*$T499)</f>
        <v/>
      </c>
      <c r="AB499" s="21">
        <f>IF($C499="",0,IFERROR(INDEX(Deals!$AD$2:$AD$355,MATCH($C499,Deals!$A$2:$A$355,0)),0))</f>
        <v/>
      </c>
      <c r="AC499" s="32">
        <f>IF(Settings!$B$4="Yes",$I499*$AB499,$I499)</f>
        <v/>
      </c>
      <c r="AD499" s="22">
        <f>IF($C499="","",IFERROR(IF(INDEX(Deals!$AE$2:$AE$355,MATCH($C499,Deals!$A$2:$A$355,0))=0,"",INDEX(Deals!$AE$2:$AE$355,MATCH($C499,Deals!$A$2:$A$355,0))),""))</f>
        <v/>
      </c>
      <c r="AE499" s="22">
        <f>IF($C499="","",IFERROR(IF(INDEX(Deals!$AF$2:$AF$355,MATCH($C499,Deals!$A$2:$A$355,0))=0,"",INDEX(Deals!$AF$2:$AF$355,MATCH($C499,Deals!$A$2:$A$355,0))),""))</f>
        <v/>
      </c>
      <c r="AF499" s="35">
        <f>IF($AD499="",DATE(1900,1,1),$AD499)</f>
        <v/>
      </c>
      <c r="AG499" s="35">
        <f>IF($AE499="",DATE(2100,12,31),$AE499)</f>
        <v/>
      </c>
      <c r="AH499" s="22">
        <f>IF($C499="","",IFERROR(IF(INDEX(Deals!$AG$2:$AG$355,MATCH($C499,Deals!$A$2:$A$355,0))=0,"",INDEX(Deals!$AG$2:$AG$355,MATCH($C499,Deals!$A$2:$A$355,0))),""))</f>
        <v/>
      </c>
      <c r="AI499" s="35">
        <f>IF(OR($AH499&lt;&gt;"",AND($AO499&gt;0,$AD499&lt;&gt;"",$AE499&lt;&gt;"")),$AF499,DATE(1900,1,1))</f>
        <v/>
      </c>
      <c r="AJ499" s="35">
        <f>IF($AH499&lt;&gt;"",$AH499,IF(AND($AO499&gt;0,$AD499&lt;&gt;"",$AE499&lt;&gt;""),$AG499,DATE(2100,12,31)))</f>
        <v/>
      </c>
      <c r="AK499" s="32">
        <f>IF($AH499="",$AC499,$AC499*$S499)</f>
        <v/>
      </c>
      <c r="AL499" s="35">
        <f>IF($AH499="",DATE(2100,12,31),$AH499+1)</f>
        <v/>
      </c>
      <c r="AM499" s="35">
        <f>IF($AH499="",DATE(1900,1,1),$AG499)</f>
        <v/>
      </c>
      <c r="AN499" s="32">
        <f>IF($AH499="",0,$AC499*$T499)</f>
        <v/>
      </c>
      <c r="AO499" s="46">
        <f>IF($C499="",0,IFERROR(INDEX(Deals!$BD$2:$BD$355,MATCH($C499,Deals!$A$2:$A$355,0)),0))</f>
        <v/>
      </c>
      <c r="AP499" s="18">
        <f>IF($AO499=0,0,IFERROR(INDEX(Deals!$BJ$2:$BP$355,MATCH($C499,Deals!$A$2:$A$355,0),MATCH($F499,Deals!$BJ$1:$BP$1,0))/COUNTIFS(Assignments!$C$2:$C$769,$C499,Assignments!$F$2:$F$769,$F499,Assignments!$G$2:$G$769,"Active"),0))</f>
        <v/>
      </c>
    </row>
    <row r="500">
      <c r="A500" s="28" t="inlineStr">
        <is>
          <t>Colleen</t>
        </is>
      </c>
      <c r="B500" s="16">
        <f>IF($A500="","",IFERROR(INDEX(Roster!$B$2:$B$40,MATCH($A500,Roster!$A$2:$A$40,0)),"?"))</f>
        <v/>
      </c>
      <c r="C500" s="28" t="inlineStr">
        <is>
          <t>Eagle_7</t>
        </is>
      </c>
      <c r="D500" s="16">
        <f>IF($C500="","",IFERROR(IF(INDEX(Deals!$C$2:$C$355,MATCH($C500,Deals!$A$2:$A$355,0))=0,"",INDEX(Deals!$C$2:$C$355,MATCH($C500,Deals!$A$2:$A$355,0))),"?"))</f>
        <v/>
      </c>
      <c r="E500" s="16">
        <f>IF($C500="","",IFERROR(INDEX(Deals!$F$2:$F$355,MATCH($C500,Deals!$A$2:$A$355,0)),"?"))</f>
        <v/>
      </c>
      <c r="F500" s="28" t="inlineStr">
        <is>
          <t>Senior Associate</t>
        </is>
      </c>
      <c r="G500" s="28" t="inlineStr">
        <is>
          <t>Inactive</t>
        </is>
      </c>
      <c r="H500" s="31" t="n"/>
      <c r="I500" s="32">
        <f>IF(OR($A500="",$G500&lt;&gt;"Active"),0,IF($H500&lt;&gt;"",$H500,IF($AO500&gt;0,$AP500,IF(AND($R500&lt;&gt;"",IFERROR(INDEX(Templates!$B$3:$H$10,MATCH($R500,Templates!$A$3:$A$10,0),MATCH($F500,Templates!$B$2:$H$2,0)),0)&gt;0),INDEX(Templates!$B$3:$H$10,MATCH($R500,Templates!$A$3:$A$10,0),MATCH($F500,Templates!$B$2:$H$2,0)),IFERROR(INDEX(Settings!$B$8:$B$14,MATCH($F500,Settings!$A$8:$A$14,0)),0)))))</f>
        <v/>
      </c>
      <c r="J500" s="21">
        <f>IF($C500="",0,IFERROR(INDEX(Deals!$H$2:$H$355,MATCH($C500,Deals!$A$2:$A$355,0)),0))</f>
        <v/>
      </c>
      <c r="K500" s="32">
        <f>IF(Settings!$B$4="Yes",$I500*$J500,$I500)</f>
        <v/>
      </c>
      <c r="L500" s="22">
        <f>IF($C500="","",IFERROR(IF(INDEX(Deals!$I$2:$I$355,MATCH($C500,Deals!$A$2:$A$355,0))=0,"",INDEX(Deals!$I$2:$I$355,MATCH($C500,Deals!$A$2:$A$355,0))),""))</f>
        <v/>
      </c>
      <c r="M500" s="22">
        <f>IF($C500="","",IFERROR(IF(INDEX(Deals!$J$2:$J$355,MATCH($C500,Deals!$A$2:$A$355,0))=0,"",INDEX(Deals!$J$2:$J$355,MATCH($C500,Deals!$A$2:$A$355,0))),""))</f>
        <v/>
      </c>
      <c r="N500" s="35">
        <f>IF($L500="",DATE(1900,1,1),$L500)</f>
        <v/>
      </c>
      <c r="O500" s="35">
        <f>IF($M500="",DATE(2100,12,31),$M500)</f>
        <v/>
      </c>
      <c r="P500" s="20" t="inlineStr">
        <is>
          <t>Dead</t>
        </is>
      </c>
      <c r="Q500" s="47" t="inlineStr"/>
      <c r="R500" s="16">
        <f>IF($C500="","",IFERROR(IF(INDEX(Deals!$U$2:$U$355,MATCH($C500,Deals!$A$2:$A$355,0))=0,"",INDEX(Deals!$U$2:$U$355,MATCH($C500,Deals!$A$2:$A$355,0))),""))</f>
        <v/>
      </c>
      <c r="S500" s="34">
        <f>IFERROR(IF($U500="",1,INDEX(Deals!$V$2:$V$355,MATCH($C500,Deals!$A$2:$A$355,0))),1)</f>
        <v/>
      </c>
      <c r="T500" s="34">
        <f>IFERROR(IF($U500="",1,INDEX(Deals!$W$2:$W$355,MATCH($C500,Deals!$A$2:$A$355,0))),1)</f>
        <v/>
      </c>
      <c r="U500" s="22">
        <f>IF($C500="","",IFERROR(IF(INDEX(Deals!$Y$2:$Y$355,MATCH($C500,Deals!$A$2:$A$355,0))=0,"",INDEX(Deals!$Y$2:$Y$355,MATCH($C500,Deals!$A$2:$A$355,0))),""))</f>
        <v/>
      </c>
      <c r="V500" s="35">
        <f>IF(OR($U500&lt;&gt;"",AND($AO500&gt;0,$L500&lt;&gt;"",$M500&lt;&gt;"")),$N500,DATE(1900,1,1))</f>
        <v/>
      </c>
      <c r="W500" s="35">
        <f>IF($U500&lt;&gt;"",$U500,IF(AND($AO500&gt;0,$L500&lt;&gt;"",$M500&lt;&gt;""),$O500,DATE(2100,12,31)))</f>
        <v/>
      </c>
      <c r="X500" s="32">
        <f>IF($U500="",$K500,$K500*$S500)</f>
        <v/>
      </c>
      <c r="Y500" s="35">
        <f>IF($U500="",DATE(2100,12,31),$U500+1)</f>
        <v/>
      </c>
      <c r="Z500" s="35">
        <f>IF($U500="",DATE(1900,1,1),$O500)</f>
        <v/>
      </c>
      <c r="AA500" s="32">
        <f>IF($U500="",0,$K500*$T500)</f>
        <v/>
      </c>
      <c r="AB500" s="21">
        <f>IF($C500="",0,IFERROR(INDEX(Deals!$AD$2:$AD$355,MATCH($C500,Deals!$A$2:$A$355,0)),0))</f>
        <v/>
      </c>
      <c r="AC500" s="32">
        <f>IF(Settings!$B$4="Yes",$I500*$AB500,$I500)</f>
        <v/>
      </c>
      <c r="AD500" s="22">
        <f>IF($C500="","",IFERROR(IF(INDEX(Deals!$AE$2:$AE$355,MATCH($C500,Deals!$A$2:$A$355,0))=0,"",INDEX(Deals!$AE$2:$AE$355,MATCH($C500,Deals!$A$2:$A$355,0))),""))</f>
        <v/>
      </c>
      <c r="AE500" s="22">
        <f>IF($C500="","",IFERROR(IF(INDEX(Deals!$AF$2:$AF$355,MATCH($C500,Deals!$A$2:$A$355,0))=0,"",INDEX(Deals!$AF$2:$AF$355,MATCH($C500,Deals!$A$2:$A$355,0))),""))</f>
        <v/>
      </c>
      <c r="AF500" s="35">
        <f>IF($AD500="",DATE(1900,1,1),$AD500)</f>
        <v/>
      </c>
      <c r="AG500" s="35">
        <f>IF($AE500="",DATE(2100,12,31),$AE500)</f>
        <v/>
      </c>
      <c r="AH500" s="22">
        <f>IF($C500="","",IFERROR(IF(INDEX(Deals!$AG$2:$AG$355,MATCH($C500,Deals!$A$2:$A$355,0))=0,"",INDEX(Deals!$AG$2:$AG$355,MATCH($C500,Deals!$A$2:$A$355,0))),""))</f>
        <v/>
      </c>
      <c r="AI500" s="35">
        <f>IF(OR($AH500&lt;&gt;"",AND($AO500&gt;0,$AD500&lt;&gt;"",$AE500&lt;&gt;"")),$AF500,DATE(1900,1,1))</f>
        <v/>
      </c>
      <c r="AJ500" s="35">
        <f>IF($AH500&lt;&gt;"",$AH500,IF(AND($AO500&gt;0,$AD500&lt;&gt;"",$AE500&lt;&gt;""),$AG500,DATE(2100,12,31)))</f>
        <v/>
      </c>
      <c r="AK500" s="32">
        <f>IF($AH500="",$AC500,$AC500*$S500)</f>
        <v/>
      </c>
      <c r="AL500" s="35">
        <f>IF($AH500="",DATE(2100,12,31),$AH500+1)</f>
        <v/>
      </c>
      <c r="AM500" s="35">
        <f>IF($AH500="",DATE(1900,1,1),$AG500)</f>
        <v/>
      </c>
      <c r="AN500" s="32">
        <f>IF($AH500="",0,$AC500*$T500)</f>
        <v/>
      </c>
      <c r="AO500" s="46">
        <f>IF($C500="",0,IFERROR(INDEX(Deals!$BD$2:$BD$355,MATCH($C500,Deals!$A$2:$A$355,0)),0))</f>
        <v/>
      </c>
      <c r="AP500" s="18">
        <f>IF($AO500=0,0,IFERROR(INDEX(Deals!$BJ$2:$BP$355,MATCH($C500,Deals!$A$2:$A$355,0),MATCH($F500,Deals!$BJ$1:$BP$1,0))/COUNTIFS(Assignments!$C$2:$C$769,$C500,Assignments!$F$2:$F$769,$F500,Assignments!$G$2:$G$769,"Active"),0))</f>
        <v/>
      </c>
    </row>
    <row r="501">
      <c r="A501" s="28" t="inlineStr">
        <is>
          <t>Colleen</t>
        </is>
      </c>
      <c r="B501" s="16">
        <f>IF($A501="","",IFERROR(INDEX(Roster!$B$2:$B$40,MATCH($A501,Roster!$A$2:$A$40,0)),"?"))</f>
        <v/>
      </c>
      <c r="C501" s="28" t="inlineStr">
        <is>
          <t>Edward_1</t>
        </is>
      </c>
      <c r="D501" s="16">
        <f>IF($C501="","",IFERROR(IF(INDEX(Deals!$C$2:$C$355,MATCH($C501,Deals!$A$2:$A$355,0))=0,"",INDEX(Deals!$C$2:$C$355,MATCH($C501,Deals!$A$2:$A$355,0))),"?"))</f>
        <v/>
      </c>
      <c r="E501" s="16">
        <f>IF($C501="","",IFERROR(INDEX(Deals!$F$2:$F$355,MATCH($C501,Deals!$A$2:$A$355,0)),"?"))</f>
        <v/>
      </c>
      <c r="F501" s="28" t="inlineStr">
        <is>
          <t>Senior Associate</t>
        </is>
      </c>
      <c r="G501" s="28" t="inlineStr">
        <is>
          <t>Inactive</t>
        </is>
      </c>
      <c r="H501" s="31" t="n"/>
      <c r="I501" s="32">
        <f>IF(OR($A501="",$G501&lt;&gt;"Active"),0,IF($H501&lt;&gt;"",$H501,IF($AO501&gt;0,$AP501,IF(AND($R501&lt;&gt;"",IFERROR(INDEX(Templates!$B$3:$H$10,MATCH($R501,Templates!$A$3:$A$10,0),MATCH($F501,Templates!$B$2:$H$2,0)),0)&gt;0),INDEX(Templates!$B$3:$H$10,MATCH($R501,Templates!$A$3:$A$10,0),MATCH($F501,Templates!$B$2:$H$2,0)),IFERROR(INDEX(Settings!$B$8:$B$14,MATCH($F501,Settings!$A$8:$A$14,0)),0)))))</f>
        <v/>
      </c>
      <c r="J501" s="21">
        <f>IF($C501="",0,IFERROR(INDEX(Deals!$H$2:$H$355,MATCH($C501,Deals!$A$2:$A$355,0)),0))</f>
        <v/>
      </c>
      <c r="K501" s="32">
        <f>IF(Settings!$B$4="Yes",$I501*$J501,$I501)</f>
        <v/>
      </c>
      <c r="L501" s="22">
        <f>IF($C501="","",IFERROR(IF(INDEX(Deals!$I$2:$I$355,MATCH($C501,Deals!$A$2:$A$355,0))=0,"",INDEX(Deals!$I$2:$I$355,MATCH($C501,Deals!$A$2:$A$355,0))),""))</f>
        <v/>
      </c>
      <c r="M501" s="22">
        <f>IF($C501="","",IFERROR(IF(INDEX(Deals!$J$2:$J$355,MATCH($C501,Deals!$A$2:$A$355,0))=0,"",INDEX(Deals!$J$2:$J$355,MATCH($C501,Deals!$A$2:$A$355,0))),""))</f>
        <v/>
      </c>
      <c r="N501" s="35">
        <f>IF($L501="",DATE(1900,1,1),$L501)</f>
        <v/>
      </c>
      <c r="O501" s="35">
        <f>IF($M501="",DATE(2100,12,31),$M501)</f>
        <v/>
      </c>
      <c r="P501" s="20" t="inlineStr">
        <is>
          <t>Closed</t>
        </is>
      </c>
      <c r="Q501" s="47" t="inlineStr"/>
      <c r="R501" s="16">
        <f>IF($C501="","",IFERROR(IF(INDEX(Deals!$U$2:$U$355,MATCH($C501,Deals!$A$2:$A$355,0))=0,"",INDEX(Deals!$U$2:$U$355,MATCH($C501,Deals!$A$2:$A$355,0))),""))</f>
        <v/>
      </c>
      <c r="S501" s="34">
        <f>IFERROR(IF($U501="",1,INDEX(Deals!$V$2:$V$355,MATCH($C501,Deals!$A$2:$A$355,0))),1)</f>
        <v/>
      </c>
      <c r="T501" s="34">
        <f>IFERROR(IF($U501="",1,INDEX(Deals!$W$2:$W$355,MATCH($C501,Deals!$A$2:$A$355,0))),1)</f>
        <v/>
      </c>
      <c r="U501" s="22">
        <f>IF($C501="","",IFERROR(IF(INDEX(Deals!$Y$2:$Y$355,MATCH($C501,Deals!$A$2:$A$355,0))=0,"",INDEX(Deals!$Y$2:$Y$355,MATCH($C501,Deals!$A$2:$A$355,0))),""))</f>
        <v/>
      </c>
      <c r="V501" s="35">
        <f>IF(OR($U501&lt;&gt;"",AND($AO501&gt;0,$L501&lt;&gt;"",$M501&lt;&gt;"")),$N501,DATE(1900,1,1))</f>
        <v/>
      </c>
      <c r="W501" s="35">
        <f>IF($U501&lt;&gt;"",$U501,IF(AND($AO501&gt;0,$L501&lt;&gt;"",$M501&lt;&gt;""),$O501,DATE(2100,12,31)))</f>
        <v/>
      </c>
      <c r="X501" s="32">
        <f>IF($U501="",$K501,$K501*$S501)</f>
        <v/>
      </c>
      <c r="Y501" s="35">
        <f>IF($U501="",DATE(2100,12,31),$U501+1)</f>
        <v/>
      </c>
      <c r="Z501" s="35">
        <f>IF($U501="",DATE(1900,1,1),$O501)</f>
        <v/>
      </c>
      <c r="AA501" s="32">
        <f>IF($U501="",0,$K501*$T501)</f>
        <v/>
      </c>
      <c r="AB501" s="21">
        <f>IF($C501="",0,IFERROR(INDEX(Deals!$AD$2:$AD$355,MATCH($C501,Deals!$A$2:$A$355,0)),0))</f>
        <v/>
      </c>
      <c r="AC501" s="32">
        <f>IF(Settings!$B$4="Yes",$I501*$AB501,$I501)</f>
        <v/>
      </c>
      <c r="AD501" s="22">
        <f>IF($C501="","",IFERROR(IF(INDEX(Deals!$AE$2:$AE$355,MATCH($C501,Deals!$A$2:$A$355,0))=0,"",INDEX(Deals!$AE$2:$AE$355,MATCH($C501,Deals!$A$2:$A$355,0))),""))</f>
        <v/>
      </c>
      <c r="AE501" s="22">
        <f>IF($C501="","",IFERROR(IF(INDEX(Deals!$AF$2:$AF$355,MATCH($C501,Deals!$A$2:$A$355,0))=0,"",INDEX(Deals!$AF$2:$AF$355,MATCH($C501,Deals!$A$2:$A$355,0))),""))</f>
        <v/>
      </c>
      <c r="AF501" s="35">
        <f>IF($AD501="",DATE(1900,1,1),$AD501)</f>
        <v/>
      </c>
      <c r="AG501" s="35">
        <f>IF($AE501="",DATE(2100,12,31),$AE501)</f>
        <v/>
      </c>
      <c r="AH501" s="22">
        <f>IF($C501="","",IFERROR(IF(INDEX(Deals!$AG$2:$AG$355,MATCH($C501,Deals!$A$2:$A$355,0))=0,"",INDEX(Deals!$AG$2:$AG$355,MATCH($C501,Deals!$A$2:$A$355,0))),""))</f>
        <v/>
      </c>
      <c r="AI501" s="35">
        <f>IF(OR($AH501&lt;&gt;"",AND($AO501&gt;0,$AD501&lt;&gt;"",$AE501&lt;&gt;"")),$AF501,DATE(1900,1,1))</f>
        <v/>
      </c>
      <c r="AJ501" s="35">
        <f>IF($AH501&lt;&gt;"",$AH501,IF(AND($AO501&gt;0,$AD501&lt;&gt;"",$AE501&lt;&gt;""),$AG501,DATE(2100,12,31)))</f>
        <v/>
      </c>
      <c r="AK501" s="32">
        <f>IF($AH501="",$AC501,$AC501*$S501)</f>
        <v/>
      </c>
      <c r="AL501" s="35">
        <f>IF($AH501="",DATE(2100,12,31),$AH501+1)</f>
        <v/>
      </c>
      <c r="AM501" s="35">
        <f>IF($AH501="",DATE(1900,1,1),$AG501)</f>
        <v/>
      </c>
      <c r="AN501" s="32">
        <f>IF($AH501="",0,$AC501*$T501)</f>
        <v/>
      </c>
      <c r="AO501" s="46">
        <f>IF($C501="",0,IFERROR(INDEX(Deals!$BD$2:$BD$355,MATCH($C501,Deals!$A$2:$A$355,0)),0))</f>
        <v/>
      </c>
      <c r="AP501" s="18">
        <f>IF($AO501=0,0,IFERROR(INDEX(Deals!$BJ$2:$BP$355,MATCH($C501,Deals!$A$2:$A$355,0),MATCH($F501,Deals!$BJ$1:$BP$1,0))/COUNTIFS(Assignments!$C$2:$C$769,$C501,Assignments!$F$2:$F$769,$F501,Assignments!$G$2:$G$769,"Active"),0))</f>
        <v/>
      </c>
    </row>
    <row r="502">
      <c r="A502" s="28" t="inlineStr">
        <is>
          <t>Colleen</t>
        </is>
      </c>
      <c r="B502" s="16">
        <f>IF($A502="","",IFERROR(INDEX(Roster!$B$2:$B$40,MATCH($A502,Roster!$A$2:$A$40,0)),"?"))</f>
        <v/>
      </c>
      <c r="C502" s="28" t="inlineStr">
        <is>
          <t>FAUME US Expansion_1</t>
        </is>
      </c>
      <c r="D502" s="16">
        <f>IF($C502="","",IFERROR(IF(INDEX(Deals!$C$2:$C$355,MATCH($C502,Deals!$A$2:$A$355,0))=0,"",INDEX(Deals!$C$2:$C$355,MATCH($C502,Deals!$A$2:$A$355,0))),"?"))</f>
        <v/>
      </c>
      <c r="E502" s="16">
        <f>IF($C502="","",IFERROR(INDEX(Deals!$F$2:$F$355,MATCH($C502,Deals!$A$2:$A$355,0)),"?"))</f>
        <v/>
      </c>
      <c r="F502" s="28" t="inlineStr">
        <is>
          <t>Senior Associate</t>
        </is>
      </c>
      <c r="G502" s="28" t="inlineStr">
        <is>
          <t>Active</t>
        </is>
      </c>
      <c r="H502" s="31" t="n"/>
      <c r="I502" s="32">
        <f>IF(OR($A502="",$G502&lt;&gt;"Active"),0,IF($H502&lt;&gt;"",$H502,IF($AO502&gt;0,$AP502,IF(AND($R502&lt;&gt;"",IFERROR(INDEX(Templates!$B$3:$H$10,MATCH($R502,Templates!$A$3:$A$10,0),MATCH($F502,Templates!$B$2:$H$2,0)),0)&gt;0),INDEX(Templates!$B$3:$H$10,MATCH($R502,Templates!$A$3:$A$10,0),MATCH($F502,Templates!$B$2:$H$2,0)),IFERROR(INDEX(Settings!$B$8:$B$14,MATCH($F502,Settings!$A$8:$A$14,0)),0)))))</f>
        <v/>
      </c>
      <c r="J502" s="21">
        <f>IF($C502="",0,IFERROR(INDEX(Deals!$H$2:$H$355,MATCH($C502,Deals!$A$2:$A$355,0)),0))</f>
        <v/>
      </c>
      <c r="K502" s="32">
        <f>IF(Settings!$B$4="Yes",$I502*$J502,$I502)</f>
        <v/>
      </c>
      <c r="L502" s="22">
        <f>IF($C502="","",IFERROR(IF(INDEX(Deals!$I$2:$I$355,MATCH($C502,Deals!$A$2:$A$355,0))=0,"",INDEX(Deals!$I$2:$I$355,MATCH($C502,Deals!$A$2:$A$355,0))),""))</f>
        <v/>
      </c>
      <c r="M502" s="22">
        <f>IF($C502="","",IFERROR(IF(INDEX(Deals!$J$2:$J$355,MATCH($C502,Deals!$A$2:$A$355,0))=0,"",INDEX(Deals!$J$2:$J$355,MATCH($C502,Deals!$A$2:$A$355,0))),""))</f>
        <v/>
      </c>
      <c r="N502" s="35">
        <f>IF($L502="",DATE(1900,1,1),$L502)</f>
        <v/>
      </c>
      <c r="O502" s="35">
        <f>IF($M502="",DATE(2100,12,31),$M502)</f>
        <v/>
      </c>
      <c r="P502" s="20" t="inlineStr">
        <is>
          <t>Proposal</t>
        </is>
      </c>
      <c r="Q502" s="47" t="inlineStr"/>
      <c r="R502" s="16">
        <f>IF($C502="","",IFERROR(IF(INDEX(Deals!$U$2:$U$355,MATCH($C502,Deals!$A$2:$A$355,0))=0,"",INDEX(Deals!$U$2:$U$355,MATCH($C502,Deals!$A$2:$A$355,0))),""))</f>
        <v/>
      </c>
      <c r="S502" s="34">
        <f>IFERROR(IF($U502="",1,INDEX(Deals!$V$2:$V$355,MATCH($C502,Deals!$A$2:$A$355,0))),1)</f>
        <v/>
      </c>
      <c r="T502" s="34">
        <f>IFERROR(IF($U502="",1,INDEX(Deals!$W$2:$W$355,MATCH($C502,Deals!$A$2:$A$355,0))),1)</f>
        <v/>
      </c>
      <c r="U502" s="22">
        <f>IF($C502="","",IFERROR(IF(INDEX(Deals!$Y$2:$Y$355,MATCH($C502,Deals!$A$2:$A$355,0))=0,"",INDEX(Deals!$Y$2:$Y$355,MATCH($C502,Deals!$A$2:$A$355,0))),""))</f>
        <v/>
      </c>
      <c r="V502" s="35">
        <f>IF(OR($U502&lt;&gt;"",AND($AO502&gt;0,$L502&lt;&gt;"",$M502&lt;&gt;"")),$N502,DATE(1900,1,1))</f>
        <v/>
      </c>
      <c r="W502" s="35">
        <f>IF($U502&lt;&gt;"",$U502,IF(AND($AO502&gt;0,$L502&lt;&gt;"",$M502&lt;&gt;""),$O502,DATE(2100,12,31)))</f>
        <v/>
      </c>
      <c r="X502" s="32">
        <f>IF($U502="",$K502,$K502*$S502)</f>
        <v/>
      </c>
      <c r="Y502" s="35">
        <f>IF($U502="",DATE(2100,12,31),$U502+1)</f>
        <v/>
      </c>
      <c r="Z502" s="35">
        <f>IF($U502="",DATE(1900,1,1),$O502)</f>
        <v/>
      </c>
      <c r="AA502" s="32">
        <f>IF($U502="",0,$K502*$T502)</f>
        <v/>
      </c>
      <c r="AB502" s="21">
        <f>IF($C502="",0,IFERROR(INDEX(Deals!$AD$2:$AD$355,MATCH($C502,Deals!$A$2:$A$355,0)),0))</f>
        <v/>
      </c>
      <c r="AC502" s="32">
        <f>IF(Settings!$B$4="Yes",$I502*$AB502,$I502)</f>
        <v/>
      </c>
      <c r="AD502" s="22">
        <f>IF($C502="","",IFERROR(IF(INDEX(Deals!$AE$2:$AE$355,MATCH($C502,Deals!$A$2:$A$355,0))=0,"",INDEX(Deals!$AE$2:$AE$355,MATCH($C502,Deals!$A$2:$A$355,0))),""))</f>
        <v/>
      </c>
      <c r="AE502" s="22">
        <f>IF($C502="","",IFERROR(IF(INDEX(Deals!$AF$2:$AF$355,MATCH($C502,Deals!$A$2:$A$355,0))=0,"",INDEX(Deals!$AF$2:$AF$355,MATCH($C502,Deals!$A$2:$A$355,0))),""))</f>
        <v/>
      </c>
      <c r="AF502" s="35">
        <f>IF($AD502="",DATE(1900,1,1),$AD502)</f>
        <v/>
      </c>
      <c r="AG502" s="35">
        <f>IF($AE502="",DATE(2100,12,31),$AE502)</f>
        <v/>
      </c>
      <c r="AH502" s="22">
        <f>IF($C502="","",IFERROR(IF(INDEX(Deals!$AG$2:$AG$355,MATCH($C502,Deals!$A$2:$A$355,0))=0,"",INDEX(Deals!$AG$2:$AG$355,MATCH($C502,Deals!$A$2:$A$355,0))),""))</f>
        <v/>
      </c>
      <c r="AI502" s="35">
        <f>IF(OR($AH502&lt;&gt;"",AND($AO502&gt;0,$AD502&lt;&gt;"",$AE502&lt;&gt;"")),$AF502,DATE(1900,1,1))</f>
        <v/>
      </c>
      <c r="AJ502" s="35">
        <f>IF($AH502&lt;&gt;"",$AH502,IF(AND($AO502&gt;0,$AD502&lt;&gt;"",$AE502&lt;&gt;""),$AG502,DATE(2100,12,31)))</f>
        <v/>
      </c>
      <c r="AK502" s="32">
        <f>IF($AH502="",$AC502,$AC502*$S502)</f>
        <v/>
      </c>
      <c r="AL502" s="35">
        <f>IF($AH502="",DATE(2100,12,31),$AH502+1)</f>
        <v/>
      </c>
      <c r="AM502" s="35">
        <f>IF($AH502="",DATE(1900,1,1),$AG502)</f>
        <v/>
      </c>
      <c r="AN502" s="32">
        <f>IF($AH502="",0,$AC502*$T502)</f>
        <v/>
      </c>
      <c r="AO502" s="46">
        <f>IF($C502="",0,IFERROR(INDEX(Deals!$BD$2:$BD$355,MATCH($C502,Deals!$A$2:$A$355,0)),0))</f>
        <v/>
      </c>
      <c r="AP502" s="18">
        <f>IF($AO502=0,0,IFERROR(INDEX(Deals!$BJ$2:$BP$355,MATCH($C502,Deals!$A$2:$A$355,0),MATCH($F502,Deals!$BJ$1:$BP$1,0))/COUNTIFS(Assignments!$C$2:$C$769,$C502,Assignments!$F$2:$F$769,$F502,Assignments!$G$2:$G$769,"Active"),0))</f>
        <v/>
      </c>
    </row>
    <row r="503">
      <c r="A503" s="28" t="inlineStr">
        <is>
          <t>Colleen</t>
        </is>
      </c>
      <c r="B503" s="16">
        <f>IF($A503="","",IFERROR(INDEX(Roster!$B$2:$B$40,MATCH($A503,Roster!$A$2:$A$40,0)),"?"))</f>
        <v/>
      </c>
      <c r="C503" s="28" t="inlineStr">
        <is>
          <t>Fury_1</t>
        </is>
      </c>
      <c r="D503" s="16">
        <f>IF($C503="","",IFERROR(IF(INDEX(Deals!$C$2:$C$355,MATCH($C503,Deals!$A$2:$A$355,0))=0,"",INDEX(Deals!$C$2:$C$355,MATCH($C503,Deals!$A$2:$A$355,0))),"?"))</f>
        <v/>
      </c>
      <c r="E503" s="16">
        <f>IF($C503="","",IFERROR(INDEX(Deals!$F$2:$F$355,MATCH($C503,Deals!$A$2:$A$355,0)),"?"))</f>
        <v/>
      </c>
      <c r="F503" s="28" t="inlineStr">
        <is>
          <t>Senior Associate</t>
        </is>
      </c>
      <c r="G503" s="28" t="inlineStr">
        <is>
          <t>Active</t>
        </is>
      </c>
      <c r="H503" s="31" t="n"/>
      <c r="I503" s="32">
        <f>IF(OR($A503="",$G503&lt;&gt;"Active"),0,IF($H503&lt;&gt;"",$H503,IF($AO503&gt;0,$AP503,IF(AND($R503&lt;&gt;"",IFERROR(INDEX(Templates!$B$3:$H$10,MATCH($R503,Templates!$A$3:$A$10,0),MATCH($F503,Templates!$B$2:$H$2,0)),0)&gt;0),INDEX(Templates!$B$3:$H$10,MATCH($R503,Templates!$A$3:$A$10,0),MATCH($F503,Templates!$B$2:$H$2,0)),IFERROR(INDEX(Settings!$B$8:$B$14,MATCH($F503,Settings!$A$8:$A$14,0)),0)))))</f>
        <v/>
      </c>
      <c r="J503" s="21">
        <f>IF($C503="",0,IFERROR(INDEX(Deals!$H$2:$H$355,MATCH($C503,Deals!$A$2:$A$355,0)),0))</f>
        <v/>
      </c>
      <c r="K503" s="32">
        <f>IF(Settings!$B$4="Yes",$I503*$J503,$I503)</f>
        <v/>
      </c>
      <c r="L503" s="22">
        <f>IF($C503="","",IFERROR(IF(INDEX(Deals!$I$2:$I$355,MATCH($C503,Deals!$A$2:$A$355,0))=0,"",INDEX(Deals!$I$2:$I$355,MATCH($C503,Deals!$A$2:$A$355,0))),""))</f>
        <v/>
      </c>
      <c r="M503" s="22">
        <f>IF($C503="","",IFERROR(IF(INDEX(Deals!$J$2:$J$355,MATCH($C503,Deals!$A$2:$A$355,0))=0,"",INDEX(Deals!$J$2:$J$355,MATCH($C503,Deals!$A$2:$A$355,0))),""))</f>
        <v/>
      </c>
      <c r="N503" s="35">
        <f>IF($L503="",DATE(1900,1,1),$L503)</f>
        <v/>
      </c>
      <c r="O503" s="35">
        <f>IF($M503="",DATE(2100,12,31),$M503)</f>
        <v/>
      </c>
      <c r="P503" s="20" t="inlineStr"/>
      <c r="Q503" s="47" t="inlineStr"/>
      <c r="R503" s="16">
        <f>IF($C503="","",IFERROR(IF(INDEX(Deals!$U$2:$U$355,MATCH($C503,Deals!$A$2:$A$355,0))=0,"",INDEX(Deals!$U$2:$U$355,MATCH($C503,Deals!$A$2:$A$355,0))),""))</f>
        <v/>
      </c>
      <c r="S503" s="34">
        <f>IFERROR(IF($U503="",1,INDEX(Deals!$V$2:$V$355,MATCH($C503,Deals!$A$2:$A$355,0))),1)</f>
        <v/>
      </c>
      <c r="T503" s="34">
        <f>IFERROR(IF($U503="",1,INDEX(Deals!$W$2:$W$355,MATCH($C503,Deals!$A$2:$A$355,0))),1)</f>
        <v/>
      </c>
      <c r="U503" s="22">
        <f>IF($C503="","",IFERROR(IF(INDEX(Deals!$Y$2:$Y$355,MATCH($C503,Deals!$A$2:$A$355,0))=0,"",INDEX(Deals!$Y$2:$Y$355,MATCH($C503,Deals!$A$2:$A$355,0))),""))</f>
        <v/>
      </c>
      <c r="V503" s="35">
        <f>IF(OR($U503&lt;&gt;"",AND($AO503&gt;0,$L503&lt;&gt;"",$M503&lt;&gt;"")),$N503,DATE(1900,1,1))</f>
        <v/>
      </c>
      <c r="W503" s="35">
        <f>IF($U503&lt;&gt;"",$U503,IF(AND($AO503&gt;0,$L503&lt;&gt;"",$M503&lt;&gt;""),$O503,DATE(2100,12,31)))</f>
        <v/>
      </c>
      <c r="X503" s="32">
        <f>IF($U503="",$K503,$K503*$S503)</f>
        <v/>
      </c>
      <c r="Y503" s="35">
        <f>IF($U503="",DATE(2100,12,31),$U503+1)</f>
        <v/>
      </c>
      <c r="Z503" s="35">
        <f>IF($U503="",DATE(1900,1,1),$O503)</f>
        <v/>
      </c>
      <c r="AA503" s="32">
        <f>IF($U503="",0,$K503*$T503)</f>
        <v/>
      </c>
      <c r="AB503" s="21">
        <f>IF($C503="",0,IFERROR(INDEX(Deals!$AD$2:$AD$355,MATCH($C503,Deals!$A$2:$A$355,0)),0))</f>
        <v/>
      </c>
      <c r="AC503" s="32">
        <f>IF(Settings!$B$4="Yes",$I503*$AB503,$I503)</f>
        <v/>
      </c>
      <c r="AD503" s="22">
        <f>IF($C503="","",IFERROR(IF(INDEX(Deals!$AE$2:$AE$355,MATCH($C503,Deals!$A$2:$A$355,0))=0,"",INDEX(Deals!$AE$2:$AE$355,MATCH($C503,Deals!$A$2:$A$355,0))),""))</f>
        <v/>
      </c>
      <c r="AE503" s="22">
        <f>IF($C503="","",IFERROR(IF(INDEX(Deals!$AF$2:$AF$355,MATCH($C503,Deals!$A$2:$A$355,0))=0,"",INDEX(Deals!$AF$2:$AF$355,MATCH($C503,Deals!$A$2:$A$355,0))),""))</f>
        <v/>
      </c>
      <c r="AF503" s="35">
        <f>IF($AD503="",DATE(1900,1,1),$AD503)</f>
        <v/>
      </c>
      <c r="AG503" s="35">
        <f>IF($AE503="",DATE(2100,12,31),$AE503)</f>
        <v/>
      </c>
      <c r="AH503" s="22">
        <f>IF($C503="","",IFERROR(IF(INDEX(Deals!$AG$2:$AG$355,MATCH($C503,Deals!$A$2:$A$355,0))=0,"",INDEX(Deals!$AG$2:$AG$355,MATCH($C503,Deals!$A$2:$A$355,0))),""))</f>
        <v/>
      </c>
      <c r="AI503" s="35">
        <f>IF(OR($AH503&lt;&gt;"",AND($AO503&gt;0,$AD503&lt;&gt;"",$AE503&lt;&gt;"")),$AF503,DATE(1900,1,1))</f>
        <v/>
      </c>
      <c r="AJ503" s="35">
        <f>IF($AH503&lt;&gt;"",$AH503,IF(AND($AO503&gt;0,$AD503&lt;&gt;"",$AE503&lt;&gt;""),$AG503,DATE(2100,12,31)))</f>
        <v/>
      </c>
      <c r="AK503" s="32">
        <f>IF($AH503="",$AC503,$AC503*$S503)</f>
        <v/>
      </c>
      <c r="AL503" s="35">
        <f>IF($AH503="",DATE(2100,12,31),$AH503+1)</f>
        <v/>
      </c>
      <c r="AM503" s="35">
        <f>IF($AH503="",DATE(1900,1,1),$AG503)</f>
        <v/>
      </c>
      <c r="AN503" s="32">
        <f>IF($AH503="",0,$AC503*$T503)</f>
        <v/>
      </c>
      <c r="AO503" s="46">
        <f>IF($C503="",0,IFERROR(INDEX(Deals!$BD$2:$BD$355,MATCH($C503,Deals!$A$2:$A$355,0)),0))</f>
        <v/>
      </c>
      <c r="AP503" s="18">
        <f>IF($AO503=0,0,IFERROR(INDEX(Deals!$BJ$2:$BP$355,MATCH($C503,Deals!$A$2:$A$355,0),MATCH($F503,Deals!$BJ$1:$BP$1,0))/COUNTIFS(Assignments!$C$2:$C$769,$C503,Assignments!$F$2:$F$769,$F503,Assignments!$G$2:$G$769,"Active"),0))</f>
        <v/>
      </c>
    </row>
    <row r="504">
      <c r="A504" s="28" t="inlineStr">
        <is>
          <t>Colleen</t>
        </is>
      </c>
      <c r="B504" s="16">
        <f>IF($A504="","",IFERROR(INDEX(Roster!$B$2:$B$40,MATCH($A504,Roster!$A$2:$A$40,0)),"?"))</f>
        <v/>
      </c>
      <c r="C504" s="28" t="inlineStr">
        <is>
          <t>Gambit_1</t>
        </is>
      </c>
      <c r="D504" s="16">
        <f>IF($C504="","",IFERROR(IF(INDEX(Deals!$C$2:$C$355,MATCH($C504,Deals!$A$2:$A$355,0))=0,"",INDEX(Deals!$C$2:$C$355,MATCH($C504,Deals!$A$2:$A$355,0))),"?"))</f>
        <v/>
      </c>
      <c r="E504" s="16">
        <f>IF($C504="","",IFERROR(INDEX(Deals!$F$2:$F$355,MATCH($C504,Deals!$A$2:$A$355,0)),"?"))</f>
        <v/>
      </c>
      <c r="F504" s="28" t="inlineStr">
        <is>
          <t>Senior Associate</t>
        </is>
      </c>
      <c r="G504" s="28" t="inlineStr">
        <is>
          <t>Active</t>
        </is>
      </c>
      <c r="H504" s="31" t="n"/>
      <c r="I504" s="32">
        <f>IF(OR($A504="",$G504&lt;&gt;"Active"),0,IF($H504&lt;&gt;"",$H504,IF($AO504&gt;0,$AP504,IF(AND($R504&lt;&gt;"",IFERROR(INDEX(Templates!$B$3:$H$10,MATCH($R504,Templates!$A$3:$A$10,0),MATCH($F504,Templates!$B$2:$H$2,0)),0)&gt;0),INDEX(Templates!$B$3:$H$10,MATCH($R504,Templates!$A$3:$A$10,0),MATCH($F504,Templates!$B$2:$H$2,0)),IFERROR(INDEX(Settings!$B$8:$B$14,MATCH($F504,Settings!$A$8:$A$14,0)),0)))))</f>
        <v/>
      </c>
      <c r="J504" s="21">
        <f>IF($C504="",0,IFERROR(INDEX(Deals!$H$2:$H$355,MATCH($C504,Deals!$A$2:$A$355,0)),0))</f>
        <v/>
      </c>
      <c r="K504" s="32">
        <f>IF(Settings!$B$4="Yes",$I504*$J504,$I504)</f>
        <v/>
      </c>
      <c r="L504" s="22">
        <f>IF($C504="","",IFERROR(IF(INDEX(Deals!$I$2:$I$355,MATCH($C504,Deals!$A$2:$A$355,0))=0,"",INDEX(Deals!$I$2:$I$355,MATCH($C504,Deals!$A$2:$A$355,0))),""))</f>
        <v/>
      </c>
      <c r="M504" s="22">
        <f>IF($C504="","",IFERROR(IF(INDEX(Deals!$J$2:$J$355,MATCH($C504,Deals!$A$2:$A$355,0))=0,"",INDEX(Deals!$J$2:$J$355,MATCH($C504,Deals!$A$2:$A$355,0))),""))</f>
        <v/>
      </c>
      <c r="N504" s="35">
        <f>IF($L504="",DATE(1900,1,1),$L504)</f>
        <v/>
      </c>
      <c r="O504" s="35">
        <f>IF($M504="",DATE(2100,12,31),$M504)</f>
        <v/>
      </c>
      <c r="P504" s="20" t="inlineStr">
        <is>
          <t>Ongoing</t>
        </is>
      </c>
      <c r="Q504" s="47" t="inlineStr"/>
      <c r="R504" s="16">
        <f>IF($C504="","",IFERROR(IF(INDEX(Deals!$U$2:$U$355,MATCH($C504,Deals!$A$2:$A$355,0))=0,"",INDEX(Deals!$U$2:$U$355,MATCH($C504,Deals!$A$2:$A$355,0))),""))</f>
        <v/>
      </c>
      <c r="S504" s="34">
        <f>IFERROR(IF($U504="",1,INDEX(Deals!$V$2:$V$355,MATCH($C504,Deals!$A$2:$A$355,0))),1)</f>
        <v/>
      </c>
      <c r="T504" s="34">
        <f>IFERROR(IF($U504="",1,INDEX(Deals!$W$2:$W$355,MATCH($C504,Deals!$A$2:$A$355,0))),1)</f>
        <v/>
      </c>
      <c r="U504" s="22">
        <f>IF($C504="","",IFERROR(IF(INDEX(Deals!$Y$2:$Y$355,MATCH($C504,Deals!$A$2:$A$355,0))=0,"",INDEX(Deals!$Y$2:$Y$355,MATCH($C504,Deals!$A$2:$A$355,0))),""))</f>
        <v/>
      </c>
      <c r="V504" s="35">
        <f>IF(OR($U504&lt;&gt;"",AND($AO504&gt;0,$L504&lt;&gt;"",$M504&lt;&gt;"")),$N504,DATE(1900,1,1))</f>
        <v/>
      </c>
      <c r="W504" s="35">
        <f>IF($U504&lt;&gt;"",$U504,IF(AND($AO504&gt;0,$L504&lt;&gt;"",$M504&lt;&gt;""),$O504,DATE(2100,12,31)))</f>
        <v/>
      </c>
      <c r="X504" s="32">
        <f>IF($U504="",$K504,$K504*$S504)</f>
        <v/>
      </c>
      <c r="Y504" s="35">
        <f>IF($U504="",DATE(2100,12,31),$U504+1)</f>
        <v/>
      </c>
      <c r="Z504" s="35">
        <f>IF($U504="",DATE(1900,1,1),$O504)</f>
        <v/>
      </c>
      <c r="AA504" s="32">
        <f>IF($U504="",0,$K504*$T504)</f>
        <v/>
      </c>
      <c r="AB504" s="21">
        <f>IF($C504="",0,IFERROR(INDEX(Deals!$AD$2:$AD$355,MATCH($C504,Deals!$A$2:$A$355,0)),0))</f>
        <v/>
      </c>
      <c r="AC504" s="32">
        <f>IF(Settings!$B$4="Yes",$I504*$AB504,$I504)</f>
        <v/>
      </c>
      <c r="AD504" s="22">
        <f>IF($C504="","",IFERROR(IF(INDEX(Deals!$AE$2:$AE$355,MATCH($C504,Deals!$A$2:$A$355,0))=0,"",INDEX(Deals!$AE$2:$AE$355,MATCH($C504,Deals!$A$2:$A$355,0))),""))</f>
        <v/>
      </c>
      <c r="AE504" s="22">
        <f>IF($C504="","",IFERROR(IF(INDEX(Deals!$AF$2:$AF$355,MATCH($C504,Deals!$A$2:$A$355,0))=0,"",INDEX(Deals!$AF$2:$AF$355,MATCH($C504,Deals!$A$2:$A$355,0))),""))</f>
        <v/>
      </c>
      <c r="AF504" s="35">
        <f>IF($AD504="",DATE(1900,1,1),$AD504)</f>
        <v/>
      </c>
      <c r="AG504" s="35">
        <f>IF($AE504="",DATE(2100,12,31),$AE504)</f>
        <v/>
      </c>
      <c r="AH504" s="22">
        <f>IF($C504="","",IFERROR(IF(INDEX(Deals!$AG$2:$AG$355,MATCH($C504,Deals!$A$2:$A$355,0))=0,"",INDEX(Deals!$AG$2:$AG$355,MATCH($C504,Deals!$A$2:$A$355,0))),""))</f>
        <v/>
      </c>
      <c r="AI504" s="35">
        <f>IF(OR($AH504&lt;&gt;"",AND($AO504&gt;0,$AD504&lt;&gt;"",$AE504&lt;&gt;"")),$AF504,DATE(1900,1,1))</f>
        <v/>
      </c>
      <c r="AJ504" s="35">
        <f>IF($AH504&lt;&gt;"",$AH504,IF(AND($AO504&gt;0,$AD504&lt;&gt;"",$AE504&lt;&gt;""),$AG504,DATE(2100,12,31)))</f>
        <v/>
      </c>
      <c r="AK504" s="32">
        <f>IF($AH504="",$AC504,$AC504*$S504)</f>
        <v/>
      </c>
      <c r="AL504" s="35">
        <f>IF($AH504="",DATE(2100,12,31),$AH504+1)</f>
        <v/>
      </c>
      <c r="AM504" s="35">
        <f>IF($AH504="",DATE(1900,1,1),$AG504)</f>
        <v/>
      </c>
      <c r="AN504" s="32">
        <f>IF($AH504="",0,$AC504*$T504)</f>
        <v/>
      </c>
      <c r="AO504" s="46">
        <f>IF($C504="",0,IFERROR(INDEX(Deals!$BD$2:$BD$355,MATCH($C504,Deals!$A$2:$A$355,0)),0))</f>
        <v/>
      </c>
      <c r="AP504" s="18">
        <f>IF($AO504=0,0,IFERROR(INDEX(Deals!$BJ$2:$BP$355,MATCH($C504,Deals!$A$2:$A$355,0),MATCH($F504,Deals!$BJ$1:$BP$1,0))/COUNTIFS(Assignments!$C$2:$C$769,$C504,Assignments!$F$2:$F$769,$F504,Assignments!$G$2:$G$769,"Active"),0))</f>
        <v/>
      </c>
    </row>
    <row r="505">
      <c r="A505" s="28" t="inlineStr">
        <is>
          <t>Colleen</t>
        </is>
      </c>
      <c r="B505" s="16">
        <f>IF($A505="","",IFERROR(INDEX(Roster!$B$2:$B$40,MATCH($A505,Roster!$A$2:$A$40,0)),"?"))</f>
        <v/>
      </c>
      <c r="C505" s="28" t="inlineStr">
        <is>
          <t>Georgia_3</t>
        </is>
      </c>
      <c r="D505" s="16">
        <f>IF($C505="","",IFERROR(IF(INDEX(Deals!$C$2:$C$355,MATCH($C505,Deals!$A$2:$A$355,0))=0,"",INDEX(Deals!$C$2:$C$355,MATCH($C505,Deals!$A$2:$A$355,0))),"?"))</f>
        <v/>
      </c>
      <c r="E505" s="16">
        <f>IF($C505="","",IFERROR(INDEX(Deals!$F$2:$F$355,MATCH($C505,Deals!$A$2:$A$355,0)),"?"))</f>
        <v/>
      </c>
      <c r="F505" s="28" t="inlineStr">
        <is>
          <t>Senior Associate</t>
        </is>
      </c>
      <c r="G505" s="28" t="inlineStr">
        <is>
          <t>Inactive</t>
        </is>
      </c>
      <c r="H505" s="31" t="n"/>
      <c r="I505" s="32">
        <f>IF(OR($A505="",$G505&lt;&gt;"Active"),0,IF($H505&lt;&gt;"",$H505,IF($AO505&gt;0,$AP505,IF(AND($R505&lt;&gt;"",IFERROR(INDEX(Templates!$B$3:$H$10,MATCH($R505,Templates!$A$3:$A$10,0),MATCH($F505,Templates!$B$2:$H$2,0)),0)&gt;0),INDEX(Templates!$B$3:$H$10,MATCH($R505,Templates!$A$3:$A$10,0),MATCH($F505,Templates!$B$2:$H$2,0)),IFERROR(INDEX(Settings!$B$8:$B$14,MATCH($F505,Settings!$A$8:$A$14,0)),0)))))</f>
        <v/>
      </c>
      <c r="J505" s="21">
        <f>IF($C505="",0,IFERROR(INDEX(Deals!$H$2:$H$355,MATCH($C505,Deals!$A$2:$A$355,0)),0))</f>
        <v/>
      </c>
      <c r="K505" s="32">
        <f>IF(Settings!$B$4="Yes",$I505*$J505,$I505)</f>
        <v/>
      </c>
      <c r="L505" s="22">
        <f>IF($C505="","",IFERROR(IF(INDEX(Deals!$I$2:$I$355,MATCH($C505,Deals!$A$2:$A$355,0))=0,"",INDEX(Deals!$I$2:$I$355,MATCH($C505,Deals!$A$2:$A$355,0))),""))</f>
        <v/>
      </c>
      <c r="M505" s="22">
        <f>IF($C505="","",IFERROR(IF(INDEX(Deals!$J$2:$J$355,MATCH($C505,Deals!$A$2:$A$355,0))=0,"",INDEX(Deals!$J$2:$J$355,MATCH($C505,Deals!$A$2:$A$355,0))),""))</f>
        <v/>
      </c>
      <c r="N505" s="35">
        <f>IF($L505="",DATE(1900,1,1),$L505)</f>
        <v/>
      </c>
      <c r="O505" s="35">
        <f>IF($M505="",DATE(2100,12,31),$M505)</f>
        <v/>
      </c>
      <c r="P505" s="20" t="inlineStr">
        <is>
          <t>Dead</t>
        </is>
      </c>
      <c r="Q505" s="47" t="inlineStr"/>
      <c r="R505" s="16">
        <f>IF($C505="","",IFERROR(IF(INDEX(Deals!$U$2:$U$355,MATCH($C505,Deals!$A$2:$A$355,0))=0,"",INDEX(Deals!$U$2:$U$355,MATCH($C505,Deals!$A$2:$A$355,0))),""))</f>
        <v/>
      </c>
      <c r="S505" s="34">
        <f>IFERROR(IF($U505="",1,INDEX(Deals!$V$2:$V$355,MATCH($C505,Deals!$A$2:$A$355,0))),1)</f>
        <v/>
      </c>
      <c r="T505" s="34">
        <f>IFERROR(IF($U505="",1,INDEX(Deals!$W$2:$W$355,MATCH($C505,Deals!$A$2:$A$355,0))),1)</f>
        <v/>
      </c>
      <c r="U505" s="22">
        <f>IF($C505="","",IFERROR(IF(INDEX(Deals!$Y$2:$Y$355,MATCH($C505,Deals!$A$2:$A$355,0))=0,"",INDEX(Deals!$Y$2:$Y$355,MATCH($C505,Deals!$A$2:$A$355,0))),""))</f>
        <v/>
      </c>
      <c r="V505" s="35">
        <f>IF(OR($U505&lt;&gt;"",AND($AO505&gt;0,$L505&lt;&gt;"",$M505&lt;&gt;"")),$N505,DATE(1900,1,1))</f>
        <v/>
      </c>
      <c r="W505" s="35">
        <f>IF($U505&lt;&gt;"",$U505,IF(AND($AO505&gt;0,$L505&lt;&gt;"",$M505&lt;&gt;""),$O505,DATE(2100,12,31)))</f>
        <v/>
      </c>
      <c r="X505" s="32">
        <f>IF($U505="",$K505,$K505*$S505)</f>
        <v/>
      </c>
      <c r="Y505" s="35">
        <f>IF($U505="",DATE(2100,12,31),$U505+1)</f>
        <v/>
      </c>
      <c r="Z505" s="35">
        <f>IF($U505="",DATE(1900,1,1),$O505)</f>
        <v/>
      </c>
      <c r="AA505" s="32">
        <f>IF($U505="",0,$K505*$T505)</f>
        <v/>
      </c>
      <c r="AB505" s="21">
        <f>IF($C505="",0,IFERROR(INDEX(Deals!$AD$2:$AD$355,MATCH($C505,Deals!$A$2:$A$355,0)),0))</f>
        <v/>
      </c>
      <c r="AC505" s="32">
        <f>IF(Settings!$B$4="Yes",$I505*$AB505,$I505)</f>
        <v/>
      </c>
      <c r="AD505" s="22">
        <f>IF($C505="","",IFERROR(IF(INDEX(Deals!$AE$2:$AE$355,MATCH($C505,Deals!$A$2:$A$355,0))=0,"",INDEX(Deals!$AE$2:$AE$355,MATCH($C505,Deals!$A$2:$A$355,0))),""))</f>
        <v/>
      </c>
      <c r="AE505" s="22">
        <f>IF($C505="","",IFERROR(IF(INDEX(Deals!$AF$2:$AF$355,MATCH($C505,Deals!$A$2:$A$355,0))=0,"",INDEX(Deals!$AF$2:$AF$355,MATCH($C505,Deals!$A$2:$A$355,0))),""))</f>
        <v/>
      </c>
      <c r="AF505" s="35">
        <f>IF($AD505="",DATE(1900,1,1),$AD505)</f>
        <v/>
      </c>
      <c r="AG505" s="35">
        <f>IF($AE505="",DATE(2100,12,31),$AE505)</f>
        <v/>
      </c>
      <c r="AH505" s="22">
        <f>IF($C505="","",IFERROR(IF(INDEX(Deals!$AG$2:$AG$355,MATCH($C505,Deals!$A$2:$A$355,0))=0,"",INDEX(Deals!$AG$2:$AG$355,MATCH($C505,Deals!$A$2:$A$355,0))),""))</f>
        <v/>
      </c>
      <c r="AI505" s="35">
        <f>IF(OR($AH505&lt;&gt;"",AND($AO505&gt;0,$AD505&lt;&gt;"",$AE505&lt;&gt;"")),$AF505,DATE(1900,1,1))</f>
        <v/>
      </c>
      <c r="AJ505" s="35">
        <f>IF($AH505&lt;&gt;"",$AH505,IF(AND($AO505&gt;0,$AD505&lt;&gt;"",$AE505&lt;&gt;""),$AG505,DATE(2100,12,31)))</f>
        <v/>
      </c>
      <c r="AK505" s="32">
        <f>IF($AH505="",$AC505,$AC505*$S505)</f>
        <v/>
      </c>
      <c r="AL505" s="35">
        <f>IF($AH505="",DATE(2100,12,31),$AH505+1)</f>
        <v/>
      </c>
      <c r="AM505" s="35">
        <f>IF($AH505="",DATE(1900,1,1),$AG505)</f>
        <v/>
      </c>
      <c r="AN505" s="32">
        <f>IF($AH505="",0,$AC505*$T505)</f>
        <v/>
      </c>
      <c r="AO505" s="46">
        <f>IF($C505="",0,IFERROR(INDEX(Deals!$BD$2:$BD$355,MATCH($C505,Deals!$A$2:$A$355,0)),0))</f>
        <v/>
      </c>
      <c r="AP505" s="18">
        <f>IF($AO505=0,0,IFERROR(INDEX(Deals!$BJ$2:$BP$355,MATCH($C505,Deals!$A$2:$A$355,0),MATCH($F505,Deals!$BJ$1:$BP$1,0))/COUNTIFS(Assignments!$C$2:$C$769,$C505,Assignments!$F$2:$F$769,$F505,Assignments!$G$2:$G$769,"Active"),0))</f>
        <v/>
      </c>
    </row>
    <row r="506">
      <c r="A506" s="28" t="inlineStr">
        <is>
          <t>Colleen</t>
        </is>
      </c>
      <c r="B506" s="16">
        <f>IF($A506="","",IFERROR(INDEX(Roster!$B$2:$B$40,MATCH($A506,Roster!$A$2:$A$40,0)),"?"))</f>
        <v/>
      </c>
      <c r="C506" s="28" t="inlineStr">
        <is>
          <t>Guardian_3</t>
        </is>
      </c>
      <c r="D506" s="16">
        <f>IF($C506="","",IFERROR(IF(INDEX(Deals!$C$2:$C$355,MATCH($C506,Deals!$A$2:$A$355,0))=0,"",INDEX(Deals!$C$2:$C$355,MATCH($C506,Deals!$A$2:$A$355,0))),"?"))</f>
        <v/>
      </c>
      <c r="E506" s="16">
        <f>IF($C506="","",IFERROR(INDEX(Deals!$F$2:$F$355,MATCH($C506,Deals!$A$2:$A$355,0)),"?"))</f>
        <v/>
      </c>
      <c r="F506" s="28" t="inlineStr">
        <is>
          <t>Senior Associate</t>
        </is>
      </c>
      <c r="G506" s="28" t="inlineStr">
        <is>
          <t>Inactive</t>
        </is>
      </c>
      <c r="H506" s="31" t="n"/>
      <c r="I506" s="32">
        <f>IF(OR($A506="",$G506&lt;&gt;"Active"),0,IF($H506&lt;&gt;"",$H506,IF($AO506&gt;0,$AP506,IF(AND($R506&lt;&gt;"",IFERROR(INDEX(Templates!$B$3:$H$10,MATCH($R506,Templates!$A$3:$A$10,0),MATCH($F506,Templates!$B$2:$H$2,0)),0)&gt;0),INDEX(Templates!$B$3:$H$10,MATCH($R506,Templates!$A$3:$A$10,0),MATCH($F506,Templates!$B$2:$H$2,0)),IFERROR(INDEX(Settings!$B$8:$B$14,MATCH($F506,Settings!$A$8:$A$14,0)),0)))))</f>
        <v/>
      </c>
      <c r="J506" s="21">
        <f>IF($C506="",0,IFERROR(INDEX(Deals!$H$2:$H$355,MATCH($C506,Deals!$A$2:$A$355,0)),0))</f>
        <v/>
      </c>
      <c r="K506" s="32">
        <f>IF(Settings!$B$4="Yes",$I506*$J506,$I506)</f>
        <v/>
      </c>
      <c r="L506" s="22">
        <f>IF($C506="","",IFERROR(IF(INDEX(Deals!$I$2:$I$355,MATCH($C506,Deals!$A$2:$A$355,0))=0,"",INDEX(Deals!$I$2:$I$355,MATCH($C506,Deals!$A$2:$A$355,0))),""))</f>
        <v/>
      </c>
      <c r="M506" s="22">
        <f>IF($C506="","",IFERROR(IF(INDEX(Deals!$J$2:$J$355,MATCH($C506,Deals!$A$2:$A$355,0))=0,"",INDEX(Deals!$J$2:$J$355,MATCH($C506,Deals!$A$2:$A$355,0))),""))</f>
        <v/>
      </c>
      <c r="N506" s="35">
        <f>IF($L506="",DATE(1900,1,1),$L506)</f>
        <v/>
      </c>
      <c r="O506" s="35">
        <f>IF($M506="",DATE(2100,12,31),$M506)</f>
        <v/>
      </c>
      <c r="P506" s="20" t="inlineStr">
        <is>
          <t>Dead</t>
        </is>
      </c>
      <c r="Q506" s="47" t="inlineStr"/>
      <c r="R506" s="16">
        <f>IF($C506="","",IFERROR(IF(INDEX(Deals!$U$2:$U$355,MATCH($C506,Deals!$A$2:$A$355,0))=0,"",INDEX(Deals!$U$2:$U$355,MATCH($C506,Deals!$A$2:$A$355,0))),""))</f>
        <v/>
      </c>
      <c r="S506" s="34">
        <f>IFERROR(IF($U506="",1,INDEX(Deals!$V$2:$V$355,MATCH($C506,Deals!$A$2:$A$355,0))),1)</f>
        <v/>
      </c>
      <c r="T506" s="34">
        <f>IFERROR(IF($U506="",1,INDEX(Deals!$W$2:$W$355,MATCH($C506,Deals!$A$2:$A$355,0))),1)</f>
        <v/>
      </c>
      <c r="U506" s="22">
        <f>IF($C506="","",IFERROR(IF(INDEX(Deals!$Y$2:$Y$355,MATCH($C506,Deals!$A$2:$A$355,0))=0,"",INDEX(Deals!$Y$2:$Y$355,MATCH($C506,Deals!$A$2:$A$355,0))),""))</f>
        <v/>
      </c>
      <c r="V506" s="35">
        <f>IF(OR($U506&lt;&gt;"",AND($AO506&gt;0,$L506&lt;&gt;"",$M506&lt;&gt;"")),$N506,DATE(1900,1,1))</f>
        <v/>
      </c>
      <c r="W506" s="35">
        <f>IF($U506&lt;&gt;"",$U506,IF(AND($AO506&gt;0,$L506&lt;&gt;"",$M506&lt;&gt;""),$O506,DATE(2100,12,31)))</f>
        <v/>
      </c>
      <c r="X506" s="32">
        <f>IF($U506="",$K506,$K506*$S506)</f>
        <v/>
      </c>
      <c r="Y506" s="35">
        <f>IF($U506="",DATE(2100,12,31),$U506+1)</f>
        <v/>
      </c>
      <c r="Z506" s="35">
        <f>IF($U506="",DATE(1900,1,1),$O506)</f>
        <v/>
      </c>
      <c r="AA506" s="32">
        <f>IF($U506="",0,$K506*$T506)</f>
        <v/>
      </c>
      <c r="AB506" s="21">
        <f>IF($C506="",0,IFERROR(INDEX(Deals!$AD$2:$AD$355,MATCH($C506,Deals!$A$2:$A$355,0)),0))</f>
        <v/>
      </c>
      <c r="AC506" s="32">
        <f>IF(Settings!$B$4="Yes",$I506*$AB506,$I506)</f>
        <v/>
      </c>
      <c r="AD506" s="22">
        <f>IF($C506="","",IFERROR(IF(INDEX(Deals!$AE$2:$AE$355,MATCH($C506,Deals!$A$2:$A$355,0))=0,"",INDEX(Deals!$AE$2:$AE$355,MATCH($C506,Deals!$A$2:$A$355,0))),""))</f>
        <v/>
      </c>
      <c r="AE506" s="22">
        <f>IF($C506="","",IFERROR(IF(INDEX(Deals!$AF$2:$AF$355,MATCH($C506,Deals!$A$2:$A$355,0))=0,"",INDEX(Deals!$AF$2:$AF$355,MATCH($C506,Deals!$A$2:$A$355,0))),""))</f>
        <v/>
      </c>
      <c r="AF506" s="35">
        <f>IF($AD506="",DATE(1900,1,1),$AD506)</f>
        <v/>
      </c>
      <c r="AG506" s="35">
        <f>IF($AE506="",DATE(2100,12,31),$AE506)</f>
        <v/>
      </c>
      <c r="AH506" s="22">
        <f>IF($C506="","",IFERROR(IF(INDEX(Deals!$AG$2:$AG$355,MATCH($C506,Deals!$A$2:$A$355,0))=0,"",INDEX(Deals!$AG$2:$AG$355,MATCH($C506,Deals!$A$2:$A$355,0))),""))</f>
        <v/>
      </c>
      <c r="AI506" s="35">
        <f>IF(OR($AH506&lt;&gt;"",AND($AO506&gt;0,$AD506&lt;&gt;"",$AE506&lt;&gt;"")),$AF506,DATE(1900,1,1))</f>
        <v/>
      </c>
      <c r="AJ506" s="35">
        <f>IF($AH506&lt;&gt;"",$AH506,IF(AND($AO506&gt;0,$AD506&lt;&gt;"",$AE506&lt;&gt;""),$AG506,DATE(2100,12,31)))</f>
        <v/>
      </c>
      <c r="AK506" s="32">
        <f>IF($AH506="",$AC506,$AC506*$S506)</f>
        <v/>
      </c>
      <c r="AL506" s="35">
        <f>IF($AH506="",DATE(2100,12,31),$AH506+1)</f>
        <v/>
      </c>
      <c r="AM506" s="35">
        <f>IF($AH506="",DATE(1900,1,1),$AG506)</f>
        <v/>
      </c>
      <c r="AN506" s="32">
        <f>IF($AH506="",0,$AC506*$T506)</f>
        <v/>
      </c>
      <c r="AO506" s="46">
        <f>IF($C506="",0,IFERROR(INDEX(Deals!$BD$2:$BD$355,MATCH($C506,Deals!$A$2:$A$355,0)),0))</f>
        <v/>
      </c>
      <c r="AP506" s="18">
        <f>IF($AO506=0,0,IFERROR(INDEX(Deals!$BJ$2:$BP$355,MATCH($C506,Deals!$A$2:$A$355,0),MATCH($F506,Deals!$BJ$1:$BP$1,0))/COUNTIFS(Assignments!$C$2:$C$769,$C506,Assignments!$F$2:$F$769,$F506,Assignments!$G$2:$G$769,"Active"),0))</f>
        <v/>
      </c>
    </row>
    <row r="507">
      <c r="A507" s="28" t="inlineStr">
        <is>
          <t>Colleen</t>
        </is>
      </c>
      <c r="B507" s="16">
        <f>IF($A507="","",IFERROR(INDEX(Roster!$B$2:$B$40,MATCH($A507,Roster!$A$2:$A$40,0)),"?"))</f>
        <v/>
      </c>
      <c r="C507" s="28" t="inlineStr">
        <is>
          <t>IPX Power_1</t>
        </is>
      </c>
      <c r="D507" s="16">
        <f>IF($C507="","",IFERROR(IF(INDEX(Deals!$C$2:$C$355,MATCH($C507,Deals!$A$2:$A$355,0))=0,"",INDEX(Deals!$C$2:$C$355,MATCH($C507,Deals!$A$2:$A$355,0))),"?"))</f>
        <v/>
      </c>
      <c r="E507" s="16">
        <f>IF($C507="","",IFERROR(INDEX(Deals!$F$2:$F$355,MATCH($C507,Deals!$A$2:$A$355,0)),"?"))</f>
        <v/>
      </c>
      <c r="F507" s="28" t="inlineStr">
        <is>
          <t>Senior Associate</t>
        </is>
      </c>
      <c r="G507" s="28" t="inlineStr">
        <is>
          <t>Inactive</t>
        </is>
      </c>
      <c r="H507" s="31" t="n"/>
      <c r="I507" s="32">
        <f>IF(OR($A507="",$G507&lt;&gt;"Active"),0,IF($H507&lt;&gt;"",$H507,IF($AO507&gt;0,$AP507,IF(AND($R507&lt;&gt;"",IFERROR(INDEX(Templates!$B$3:$H$10,MATCH($R507,Templates!$A$3:$A$10,0),MATCH($F507,Templates!$B$2:$H$2,0)),0)&gt;0),INDEX(Templates!$B$3:$H$10,MATCH($R507,Templates!$A$3:$A$10,0),MATCH($F507,Templates!$B$2:$H$2,0)),IFERROR(INDEX(Settings!$B$8:$B$14,MATCH($F507,Settings!$A$8:$A$14,0)),0)))))</f>
        <v/>
      </c>
      <c r="J507" s="21">
        <f>IF($C507="",0,IFERROR(INDEX(Deals!$H$2:$H$355,MATCH($C507,Deals!$A$2:$A$355,0)),0))</f>
        <v/>
      </c>
      <c r="K507" s="32">
        <f>IF(Settings!$B$4="Yes",$I507*$J507,$I507)</f>
        <v/>
      </c>
      <c r="L507" s="22">
        <f>IF($C507="","",IFERROR(IF(INDEX(Deals!$I$2:$I$355,MATCH($C507,Deals!$A$2:$A$355,0))=0,"",INDEX(Deals!$I$2:$I$355,MATCH($C507,Deals!$A$2:$A$355,0))),""))</f>
        <v/>
      </c>
      <c r="M507" s="22">
        <f>IF($C507="","",IFERROR(IF(INDEX(Deals!$J$2:$J$355,MATCH($C507,Deals!$A$2:$A$355,0))=0,"",INDEX(Deals!$J$2:$J$355,MATCH($C507,Deals!$A$2:$A$355,0))),""))</f>
        <v/>
      </c>
      <c r="N507" s="35">
        <f>IF($L507="",DATE(1900,1,1),$L507)</f>
        <v/>
      </c>
      <c r="O507" s="35">
        <f>IF($M507="",DATE(2100,12,31),$M507)</f>
        <v/>
      </c>
      <c r="P507" s="20" t="inlineStr">
        <is>
          <t>Dead</t>
        </is>
      </c>
      <c r="Q507" s="47" t="inlineStr"/>
      <c r="R507" s="16">
        <f>IF($C507="","",IFERROR(IF(INDEX(Deals!$U$2:$U$355,MATCH($C507,Deals!$A$2:$A$355,0))=0,"",INDEX(Deals!$U$2:$U$355,MATCH($C507,Deals!$A$2:$A$355,0))),""))</f>
        <v/>
      </c>
      <c r="S507" s="34">
        <f>IFERROR(IF($U507="",1,INDEX(Deals!$V$2:$V$355,MATCH($C507,Deals!$A$2:$A$355,0))),1)</f>
        <v/>
      </c>
      <c r="T507" s="34">
        <f>IFERROR(IF($U507="",1,INDEX(Deals!$W$2:$W$355,MATCH($C507,Deals!$A$2:$A$355,0))),1)</f>
        <v/>
      </c>
      <c r="U507" s="22">
        <f>IF($C507="","",IFERROR(IF(INDEX(Deals!$Y$2:$Y$355,MATCH($C507,Deals!$A$2:$A$355,0))=0,"",INDEX(Deals!$Y$2:$Y$355,MATCH($C507,Deals!$A$2:$A$355,0))),""))</f>
        <v/>
      </c>
      <c r="V507" s="35">
        <f>IF(OR($U507&lt;&gt;"",AND($AO507&gt;0,$L507&lt;&gt;"",$M507&lt;&gt;"")),$N507,DATE(1900,1,1))</f>
        <v/>
      </c>
      <c r="W507" s="35">
        <f>IF($U507&lt;&gt;"",$U507,IF(AND($AO507&gt;0,$L507&lt;&gt;"",$M507&lt;&gt;""),$O507,DATE(2100,12,31)))</f>
        <v/>
      </c>
      <c r="X507" s="32">
        <f>IF($U507="",$K507,$K507*$S507)</f>
        <v/>
      </c>
      <c r="Y507" s="35">
        <f>IF($U507="",DATE(2100,12,31),$U507+1)</f>
        <v/>
      </c>
      <c r="Z507" s="35">
        <f>IF($U507="",DATE(1900,1,1),$O507)</f>
        <v/>
      </c>
      <c r="AA507" s="32">
        <f>IF($U507="",0,$K507*$T507)</f>
        <v/>
      </c>
      <c r="AB507" s="21">
        <f>IF($C507="",0,IFERROR(INDEX(Deals!$AD$2:$AD$355,MATCH($C507,Deals!$A$2:$A$355,0)),0))</f>
        <v/>
      </c>
      <c r="AC507" s="32">
        <f>IF(Settings!$B$4="Yes",$I507*$AB507,$I507)</f>
        <v/>
      </c>
      <c r="AD507" s="22">
        <f>IF($C507="","",IFERROR(IF(INDEX(Deals!$AE$2:$AE$355,MATCH($C507,Deals!$A$2:$A$355,0))=0,"",INDEX(Deals!$AE$2:$AE$355,MATCH($C507,Deals!$A$2:$A$355,0))),""))</f>
        <v/>
      </c>
      <c r="AE507" s="22">
        <f>IF($C507="","",IFERROR(IF(INDEX(Deals!$AF$2:$AF$355,MATCH($C507,Deals!$A$2:$A$355,0))=0,"",INDEX(Deals!$AF$2:$AF$355,MATCH($C507,Deals!$A$2:$A$355,0))),""))</f>
        <v/>
      </c>
      <c r="AF507" s="35">
        <f>IF($AD507="",DATE(1900,1,1),$AD507)</f>
        <v/>
      </c>
      <c r="AG507" s="35">
        <f>IF($AE507="",DATE(2100,12,31),$AE507)</f>
        <v/>
      </c>
      <c r="AH507" s="22">
        <f>IF($C507="","",IFERROR(IF(INDEX(Deals!$AG$2:$AG$355,MATCH($C507,Deals!$A$2:$A$355,0))=0,"",INDEX(Deals!$AG$2:$AG$355,MATCH($C507,Deals!$A$2:$A$355,0))),""))</f>
        <v/>
      </c>
      <c r="AI507" s="35">
        <f>IF(OR($AH507&lt;&gt;"",AND($AO507&gt;0,$AD507&lt;&gt;"",$AE507&lt;&gt;"")),$AF507,DATE(1900,1,1))</f>
        <v/>
      </c>
      <c r="AJ507" s="35">
        <f>IF($AH507&lt;&gt;"",$AH507,IF(AND($AO507&gt;0,$AD507&lt;&gt;"",$AE507&lt;&gt;""),$AG507,DATE(2100,12,31)))</f>
        <v/>
      </c>
      <c r="AK507" s="32">
        <f>IF($AH507="",$AC507,$AC507*$S507)</f>
        <v/>
      </c>
      <c r="AL507" s="35">
        <f>IF($AH507="",DATE(2100,12,31),$AH507+1)</f>
        <v/>
      </c>
      <c r="AM507" s="35">
        <f>IF($AH507="",DATE(1900,1,1),$AG507)</f>
        <v/>
      </c>
      <c r="AN507" s="32">
        <f>IF($AH507="",0,$AC507*$T507)</f>
        <v/>
      </c>
      <c r="AO507" s="46">
        <f>IF($C507="",0,IFERROR(INDEX(Deals!$BD$2:$BD$355,MATCH($C507,Deals!$A$2:$A$355,0)),0))</f>
        <v/>
      </c>
      <c r="AP507" s="18">
        <f>IF($AO507=0,0,IFERROR(INDEX(Deals!$BJ$2:$BP$355,MATCH($C507,Deals!$A$2:$A$355,0),MATCH($F507,Deals!$BJ$1:$BP$1,0))/COUNTIFS(Assignments!$C$2:$C$769,$C507,Assignments!$F$2:$F$769,$F507,Assignments!$G$2:$G$769,"Active"),0))</f>
        <v/>
      </c>
    </row>
    <row r="508">
      <c r="A508" s="28" t="inlineStr">
        <is>
          <t>Colleen</t>
        </is>
      </c>
      <c r="B508" s="16">
        <f>IF($A508="","",IFERROR(INDEX(Roster!$B$2:$B$40,MATCH($A508,Roster!$A$2:$A$40,0)),"?"))</f>
        <v/>
      </c>
      <c r="C508" s="28" t="inlineStr">
        <is>
          <t>Javelina Gain_1</t>
        </is>
      </c>
      <c r="D508" s="16">
        <f>IF($C508="","",IFERROR(IF(INDEX(Deals!$C$2:$C$355,MATCH($C508,Deals!$A$2:$A$355,0))=0,"",INDEX(Deals!$C$2:$C$355,MATCH($C508,Deals!$A$2:$A$355,0))),"?"))</f>
        <v/>
      </c>
      <c r="E508" s="16">
        <f>IF($C508="","",IFERROR(INDEX(Deals!$F$2:$F$355,MATCH($C508,Deals!$A$2:$A$355,0)),"?"))</f>
        <v/>
      </c>
      <c r="F508" s="28" t="inlineStr">
        <is>
          <t>Senior Associate</t>
        </is>
      </c>
      <c r="G508" s="28" t="inlineStr">
        <is>
          <t>Active</t>
        </is>
      </c>
      <c r="H508" s="31" t="n"/>
      <c r="I508" s="32">
        <f>IF(OR($A508="",$G508&lt;&gt;"Active"),0,IF($H508&lt;&gt;"",$H508,IF($AO508&gt;0,$AP508,IF(AND($R508&lt;&gt;"",IFERROR(INDEX(Templates!$B$3:$H$10,MATCH($R508,Templates!$A$3:$A$10,0),MATCH($F508,Templates!$B$2:$H$2,0)),0)&gt;0),INDEX(Templates!$B$3:$H$10,MATCH($R508,Templates!$A$3:$A$10,0),MATCH($F508,Templates!$B$2:$H$2,0)),IFERROR(INDEX(Settings!$B$8:$B$14,MATCH($F508,Settings!$A$8:$A$14,0)),0)))))</f>
        <v/>
      </c>
      <c r="J508" s="21">
        <f>IF($C508="",0,IFERROR(INDEX(Deals!$H$2:$H$355,MATCH($C508,Deals!$A$2:$A$355,0)),0))</f>
        <v/>
      </c>
      <c r="K508" s="32">
        <f>IF(Settings!$B$4="Yes",$I508*$J508,$I508)</f>
        <v/>
      </c>
      <c r="L508" s="22">
        <f>IF($C508="","",IFERROR(IF(INDEX(Deals!$I$2:$I$355,MATCH($C508,Deals!$A$2:$A$355,0))=0,"",INDEX(Deals!$I$2:$I$355,MATCH($C508,Deals!$A$2:$A$355,0))),""))</f>
        <v/>
      </c>
      <c r="M508" s="22">
        <f>IF($C508="","",IFERROR(IF(INDEX(Deals!$J$2:$J$355,MATCH($C508,Deals!$A$2:$A$355,0))=0,"",INDEX(Deals!$J$2:$J$355,MATCH($C508,Deals!$A$2:$A$355,0))),""))</f>
        <v/>
      </c>
      <c r="N508" s="35">
        <f>IF($L508="",DATE(1900,1,1),$L508)</f>
        <v/>
      </c>
      <c r="O508" s="35">
        <f>IF($M508="",DATE(2100,12,31),$M508)</f>
        <v/>
      </c>
      <c r="P508" s="20" t="inlineStr"/>
      <c r="Q508" s="47" t="inlineStr"/>
      <c r="R508" s="16">
        <f>IF($C508="","",IFERROR(IF(INDEX(Deals!$U$2:$U$355,MATCH($C508,Deals!$A$2:$A$355,0))=0,"",INDEX(Deals!$U$2:$U$355,MATCH($C508,Deals!$A$2:$A$355,0))),""))</f>
        <v/>
      </c>
      <c r="S508" s="34">
        <f>IFERROR(IF($U508="",1,INDEX(Deals!$V$2:$V$355,MATCH($C508,Deals!$A$2:$A$355,0))),1)</f>
        <v/>
      </c>
      <c r="T508" s="34">
        <f>IFERROR(IF($U508="",1,INDEX(Deals!$W$2:$W$355,MATCH($C508,Deals!$A$2:$A$355,0))),1)</f>
        <v/>
      </c>
      <c r="U508" s="22">
        <f>IF($C508="","",IFERROR(IF(INDEX(Deals!$Y$2:$Y$355,MATCH($C508,Deals!$A$2:$A$355,0))=0,"",INDEX(Deals!$Y$2:$Y$355,MATCH($C508,Deals!$A$2:$A$355,0))),""))</f>
        <v/>
      </c>
      <c r="V508" s="35">
        <f>IF(OR($U508&lt;&gt;"",AND($AO508&gt;0,$L508&lt;&gt;"",$M508&lt;&gt;"")),$N508,DATE(1900,1,1))</f>
        <v/>
      </c>
      <c r="W508" s="35">
        <f>IF($U508&lt;&gt;"",$U508,IF(AND($AO508&gt;0,$L508&lt;&gt;"",$M508&lt;&gt;""),$O508,DATE(2100,12,31)))</f>
        <v/>
      </c>
      <c r="X508" s="32">
        <f>IF($U508="",$K508,$K508*$S508)</f>
        <v/>
      </c>
      <c r="Y508" s="35">
        <f>IF($U508="",DATE(2100,12,31),$U508+1)</f>
        <v/>
      </c>
      <c r="Z508" s="35">
        <f>IF($U508="",DATE(1900,1,1),$O508)</f>
        <v/>
      </c>
      <c r="AA508" s="32">
        <f>IF($U508="",0,$K508*$T508)</f>
        <v/>
      </c>
      <c r="AB508" s="21">
        <f>IF($C508="",0,IFERROR(INDEX(Deals!$AD$2:$AD$355,MATCH($C508,Deals!$A$2:$A$355,0)),0))</f>
        <v/>
      </c>
      <c r="AC508" s="32">
        <f>IF(Settings!$B$4="Yes",$I508*$AB508,$I508)</f>
        <v/>
      </c>
      <c r="AD508" s="22">
        <f>IF($C508="","",IFERROR(IF(INDEX(Deals!$AE$2:$AE$355,MATCH($C508,Deals!$A$2:$A$355,0))=0,"",INDEX(Deals!$AE$2:$AE$355,MATCH($C508,Deals!$A$2:$A$355,0))),""))</f>
        <v/>
      </c>
      <c r="AE508" s="22">
        <f>IF($C508="","",IFERROR(IF(INDEX(Deals!$AF$2:$AF$355,MATCH($C508,Deals!$A$2:$A$355,0))=0,"",INDEX(Deals!$AF$2:$AF$355,MATCH($C508,Deals!$A$2:$A$355,0))),""))</f>
        <v/>
      </c>
      <c r="AF508" s="35">
        <f>IF($AD508="",DATE(1900,1,1),$AD508)</f>
        <v/>
      </c>
      <c r="AG508" s="35">
        <f>IF($AE508="",DATE(2100,12,31),$AE508)</f>
        <v/>
      </c>
      <c r="AH508" s="22">
        <f>IF($C508="","",IFERROR(IF(INDEX(Deals!$AG$2:$AG$355,MATCH($C508,Deals!$A$2:$A$355,0))=0,"",INDEX(Deals!$AG$2:$AG$355,MATCH($C508,Deals!$A$2:$A$355,0))),""))</f>
        <v/>
      </c>
      <c r="AI508" s="35">
        <f>IF(OR($AH508&lt;&gt;"",AND($AO508&gt;0,$AD508&lt;&gt;"",$AE508&lt;&gt;"")),$AF508,DATE(1900,1,1))</f>
        <v/>
      </c>
      <c r="AJ508" s="35">
        <f>IF($AH508&lt;&gt;"",$AH508,IF(AND($AO508&gt;0,$AD508&lt;&gt;"",$AE508&lt;&gt;""),$AG508,DATE(2100,12,31)))</f>
        <v/>
      </c>
      <c r="AK508" s="32">
        <f>IF($AH508="",$AC508,$AC508*$S508)</f>
        <v/>
      </c>
      <c r="AL508" s="35">
        <f>IF($AH508="",DATE(2100,12,31),$AH508+1)</f>
        <v/>
      </c>
      <c r="AM508" s="35">
        <f>IF($AH508="",DATE(1900,1,1),$AG508)</f>
        <v/>
      </c>
      <c r="AN508" s="32">
        <f>IF($AH508="",0,$AC508*$T508)</f>
        <v/>
      </c>
      <c r="AO508" s="46">
        <f>IF($C508="",0,IFERROR(INDEX(Deals!$BD$2:$BD$355,MATCH($C508,Deals!$A$2:$A$355,0)),0))</f>
        <v/>
      </c>
      <c r="AP508" s="18">
        <f>IF($AO508=0,0,IFERROR(INDEX(Deals!$BJ$2:$BP$355,MATCH($C508,Deals!$A$2:$A$355,0),MATCH($F508,Deals!$BJ$1:$BP$1,0))/COUNTIFS(Assignments!$C$2:$C$769,$C508,Assignments!$F$2:$F$769,$F508,Assignments!$G$2:$G$769,"Active"),0))</f>
        <v/>
      </c>
    </row>
    <row r="509">
      <c r="A509" s="28" t="inlineStr">
        <is>
          <t>Colleen</t>
        </is>
      </c>
      <c r="B509" s="16">
        <f>IF($A509="","",IFERROR(INDEX(Roster!$B$2:$B$40,MATCH($A509,Roster!$A$2:$A$40,0)),"?"))</f>
        <v/>
      </c>
      <c r="C509" s="28" t="inlineStr">
        <is>
          <t>Marigold_2</t>
        </is>
      </c>
      <c r="D509" s="16">
        <f>IF($C509="","",IFERROR(IF(INDEX(Deals!$C$2:$C$355,MATCH($C509,Deals!$A$2:$A$355,0))=0,"",INDEX(Deals!$C$2:$C$355,MATCH($C509,Deals!$A$2:$A$355,0))),"?"))</f>
        <v/>
      </c>
      <c r="E509" s="16">
        <f>IF($C509="","",IFERROR(INDEX(Deals!$F$2:$F$355,MATCH($C509,Deals!$A$2:$A$355,0)),"?"))</f>
        <v/>
      </c>
      <c r="F509" s="28" t="inlineStr">
        <is>
          <t>Senior Associate</t>
        </is>
      </c>
      <c r="G509" s="28" t="inlineStr">
        <is>
          <t>Inactive</t>
        </is>
      </c>
      <c r="H509" s="31" t="n"/>
      <c r="I509" s="32">
        <f>IF(OR($A509="",$G509&lt;&gt;"Active"),0,IF($H509&lt;&gt;"",$H509,IF($AO509&gt;0,$AP509,IF(AND($R509&lt;&gt;"",IFERROR(INDEX(Templates!$B$3:$H$10,MATCH($R509,Templates!$A$3:$A$10,0),MATCH($F509,Templates!$B$2:$H$2,0)),0)&gt;0),INDEX(Templates!$B$3:$H$10,MATCH($R509,Templates!$A$3:$A$10,0),MATCH($F509,Templates!$B$2:$H$2,0)),IFERROR(INDEX(Settings!$B$8:$B$14,MATCH($F509,Settings!$A$8:$A$14,0)),0)))))</f>
        <v/>
      </c>
      <c r="J509" s="21">
        <f>IF($C509="",0,IFERROR(INDEX(Deals!$H$2:$H$355,MATCH($C509,Deals!$A$2:$A$355,0)),0))</f>
        <v/>
      </c>
      <c r="K509" s="32">
        <f>IF(Settings!$B$4="Yes",$I509*$J509,$I509)</f>
        <v/>
      </c>
      <c r="L509" s="22">
        <f>IF($C509="","",IFERROR(IF(INDEX(Deals!$I$2:$I$355,MATCH($C509,Deals!$A$2:$A$355,0))=0,"",INDEX(Deals!$I$2:$I$355,MATCH($C509,Deals!$A$2:$A$355,0))),""))</f>
        <v/>
      </c>
      <c r="M509" s="22">
        <f>IF($C509="","",IFERROR(IF(INDEX(Deals!$J$2:$J$355,MATCH($C509,Deals!$A$2:$A$355,0))=0,"",INDEX(Deals!$J$2:$J$355,MATCH($C509,Deals!$A$2:$A$355,0))),""))</f>
        <v/>
      </c>
      <c r="N509" s="35">
        <f>IF($L509="",DATE(1900,1,1),$L509)</f>
        <v/>
      </c>
      <c r="O509" s="35">
        <f>IF($M509="",DATE(2100,12,31),$M509)</f>
        <v/>
      </c>
      <c r="P509" s="20" t="inlineStr">
        <is>
          <t>Closed</t>
        </is>
      </c>
      <c r="Q509" s="47" t="inlineStr"/>
      <c r="R509" s="16">
        <f>IF($C509="","",IFERROR(IF(INDEX(Deals!$U$2:$U$355,MATCH($C509,Deals!$A$2:$A$355,0))=0,"",INDEX(Deals!$U$2:$U$355,MATCH($C509,Deals!$A$2:$A$355,0))),""))</f>
        <v/>
      </c>
      <c r="S509" s="34">
        <f>IFERROR(IF($U509="",1,INDEX(Deals!$V$2:$V$355,MATCH($C509,Deals!$A$2:$A$355,0))),1)</f>
        <v/>
      </c>
      <c r="T509" s="34">
        <f>IFERROR(IF($U509="",1,INDEX(Deals!$W$2:$W$355,MATCH($C509,Deals!$A$2:$A$355,0))),1)</f>
        <v/>
      </c>
      <c r="U509" s="22">
        <f>IF($C509="","",IFERROR(IF(INDEX(Deals!$Y$2:$Y$355,MATCH($C509,Deals!$A$2:$A$355,0))=0,"",INDEX(Deals!$Y$2:$Y$355,MATCH($C509,Deals!$A$2:$A$355,0))),""))</f>
        <v/>
      </c>
      <c r="V509" s="35">
        <f>IF(OR($U509&lt;&gt;"",AND($AO509&gt;0,$L509&lt;&gt;"",$M509&lt;&gt;"")),$N509,DATE(1900,1,1))</f>
        <v/>
      </c>
      <c r="W509" s="35">
        <f>IF($U509&lt;&gt;"",$U509,IF(AND($AO509&gt;0,$L509&lt;&gt;"",$M509&lt;&gt;""),$O509,DATE(2100,12,31)))</f>
        <v/>
      </c>
      <c r="X509" s="32">
        <f>IF($U509="",$K509,$K509*$S509)</f>
        <v/>
      </c>
      <c r="Y509" s="35">
        <f>IF($U509="",DATE(2100,12,31),$U509+1)</f>
        <v/>
      </c>
      <c r="Z509" s="35">
        <f>IF($U509="",DATE(1900,1,1),$O509)</f>
        <v/>
      </c>
      <c r="AA509" s="32">
        <f>IF($U509="",0,$K509*$T509)</f>
        <v/>
      </c>
      <c r="AB509" s="21">
        <f>IF($C509="",0,IFERROR(INDEX(Deals!$AD$2:$AD$355,MATCH($C509,Deals!$A$2:$A$355,0)),0))</f>
        <v/>
      </c>
      <c r="AC509" s="32">
        <f>IF(Settings!$B$4="Yes",$I509*$AB509,$I509)</f>
        <v/>
      </c>
      <c r="AD509" s="22">
        <f>IF($C509="","",IFERROR(IF(INDEX(Deals!$AE$2:$AE$355,MATCH($C509,Deals!$A$2:$A$355,0))=0,"",INDEX(Deals!$AE$2:$AE$355,MATCH($C509,Deals!$A$2:$A$355,0))),""))</f>
        <v/>
      </c>
      <c r="AE509" s="22">
        <f>IF($C509="","",IFERROR(IF(INDEX(Deals!$AF$2:$AF$355,MATCH($C509,Deals!$A$2:$A$355,0))=0,"",INDEX(Deals!$AF$2:$AF$355,MATCH($C509,Deals!$A$2:$A$355,0))),""))</f>
        <v/>
      </c>
      <c r="AF509" s="35">
        <f>IF($AD509="",DATE(1900,1,1),$AD509)</f>
        <v/>
      </c>
      <c r="AG509" s="35">
        <f>IF($AE509="",DATE(2100,12,31),$AE509)</f>
        <v/>
      </c>
      <c r="AH509" s="22">
        <f>IF($C509="","",IFERROR(IF(INDEX(Deals!$AG$2:$AG$355,MATCH($C509,Deals!$A$2:$A$355,0))=0,"",INDEX(Deals!$AG$2:$AG$355,MATCH($C509,Deals!$A$2:$A$355,0))),""))</f>
        <v/>
      </c>
      <c r="AI509" s="35">
        <f>IF(OR($AH509&lt;&gt;"",AND($AO509&gt;0,$AD509&lt;&gt;"",$AE509&lt;&gt;"")),$AF509,DATE(1900,1,1))</f>
        <v/>
      </c>
      <c r="AJ509" s="35">
        <f>IF($AH509&lt;&gt;"",$AH509,IF(AND($AO509&gt;0,$AD509&lt;&gt;"",$AE509&lt;&gt;""),$AG509,DATE(2100,12,31)))</f>
        <v/>
      </c>
      <c r="AK509" s="32">
        <f>IF($AH509="",$AC509,$AC509*$S509)</f>
        <v/>
      </c>
      <c r="AL509" s="35">
        <f>IF($AH509="",DATE(2100,12,31),$AH509+1)</f>
        <v/>
      </c>
      <c r="AM509" s="35">
        <f>IF($AH509="",DATE(1900,1,1),$AG509)</f>
        <v/>
      </c>
      <c r="AN509" s="32">
        <f>IF($AH509="",0,$AC509*$T509)</f>
        <v/>
      </c>
      <c r="AO509" s="46">
        <f>IF($C509="",0,IFERROR(INDEX(Deals!$BD$2:$BD$355,MATCH($C509,Deals!$A$2:$A$355,0)),0))</f>
        <v/>
      </c>
      <c r="AP509" s="18">
        <f>IF($AO509=0,0,IFERROR(INDEX(Deals!$BJ$2:$BP$355,MATCH($C509,Deals!$A$2:$A$355,0),MATCH($F509,Deals!$BJ$1:$BP$1,0))/COUNTIFS(Assignments!$C$2:$C$769,$C509,Assignments!$F$2:$F$769,$F509,Assignments!$G$2:$G$769,"Active"),0))</f>
        <v/>
      </c>
    </row>
    <row r="510">
      <c r="A510" s="28" t="inlineStr">
        <is>
          <t>Colleen</t>
        </is>
      </c>
      <c r="B510" s="16">
        <f>IF($A510="","",IFERROR(INDEX(Roster!$B$2:$B$40,MATCH($A510,Roster!$A$2:$A$40,0)),"?"))</f>
        <v/>
      </c>
      <c r="C510" s="28" t="inlineStr">
        <is>
          <t>Nevada_1</t>
        </is>
      </c>
      <c r="D510" s="16">
        <f>IF($C510="","",IFERROR(IF(INDEX(Deals!$C$2:$C$355,MATCH($C510,Deals!$A$2:$A$355,0))=0,"",INDEX(Deals!$C$2:$C$355,MATCH($C510,Deals!$A$2:$A$355,0))),"?"))</f>
        <v/>
      </c>
      <c r="E510" s="16">
        <f>IF($C510="","",IFERROR(INDEX(Deals!$F$2:$F$355,MATCH($C510,Deals!$A$2:$A$355,0)),"?"))</f>
        <v/>
      </c>
      <c r="F510" s="28" t="inlineStr">
        <is>
          <t>Senior Associate</t>
        </is>
      </c>
      <c r="G510" s="28" t="inlineStr">
        <is>
          <t>Active</t>
        </is>
      </c>
      <c r="H510" s="31" t="n"/>
      <c r="I510" s="32">
        <f>IF(OR($A510="",$G510&lt;&gt;"Active"),0,IF($H510&lt;&gt;"",$H510,IF($AO510&gt;0,$AP510,IF(AND($R510&lt;&gt;"",IFERROR(INDEX(Templates!$B$3:$H$10,MATCH($R510,Templates!$A$3:$A$10,0),MATCH($F510,Templates!$B$2:$H$2,0)),0)&gt;0),INDEX(Templates!$B$3:$H$10,MATCH($R510,Templates!$A$3:$A$10,0),MATCH($F510,Templates!$B$2:$H$2,0)),IFERROR(INDEX(Settings!$B$8:$B$14,MATCH($F510,Settings!$A$8:$A$14,0)),0)))))</f>
        <v/>
      </c>
      <c r="J510" s="21">
        <f>IF($C510="",0,IFERROR(INDEX(Deals!$H$2:$H$355,MATCH($C510,Deals!$A$2:$A$355,0)),0))</f>
        <v/>
      </c>
      <c r="K510" s="32">
        <f>IF(Settings!$B$4="Yes",$I510*$J510,$I510)</f>
        <v/>
      </c>
      <c r="L510" s="22">
        <f>IF($C510="","",IFERROR(IF(INDEX(Deals!$I$2:$I$355,MATCH($C510,Deals!$A$2:$A$355,0))=0,"",INDEX(Deals!$I$2:$I$355,MATCH($C510,Deals!$A$2:$A$355,0))),""))</f>
        <v/>
      </c>
      <c r="M510" s="22">
        <f>IF($C510="","",IFERROR(IF(INDEX(Deals!$J$2:$J$355,MATCH($C510,Deals!$A$2:$A$355,0))=0,"",INDEX(Deals!$J$2:$J$355,MATCH($C510,Deals!$A$2:$A$355,0))),""))</f>
        <v/>
      </c>
      <c r="N510" s="35">
        <f>IF($L510="",DATE(1900,1,1),$L510)</f>
        <v/>
      </c>
      <c r="O510" s="35">
        <f>IF($M510="",DATE(2100,12,31),$M510)</f>
        <v/>
      </c>
      <c r="P510" s="20" t="inlineStr">
        <is>
          <t>Ongoing</t>
        </is>
      </c>
      <c r="Q510" s="47" t="inlineStr"/>
      <c r="R510" s="16">
        <f>IF($C510="","",IFERROR(IF(INDEX(Deals!$U$2:$U$355,MATCH($C510,Deals!$A$2:$A$355,0))=0,"",INDEX(Deals!$U$2:$U$355,MATCH($C510,Deals!$A$2:$A$355,0))),""))</f>
        <v/>
      </c>
      <c r="S510" s="34">
        <f>IFERROR(IF($U510="",1,INDEX(Deals!$V$2:$V$355,MATCH($C510,Deals!$A$2:$A$355,0))),1)</f>
        <v/>
      </c>
      <c r="T510" s="34">
        <f>IFERROR(IF($U510="",1,INDEX(Deals!$W$2:$W$355,MATCH($C510,Deals!$A$2:$A$355,0))),1)</f>
        <v/>
      </c>
      <c r="U510" s="22">
        <f>IF($C510="","",IFERROR(IF(INDEX(Deals!$Y$2:$Y$355,MATCH($C510,Deals!$A$2:$A$355,0))=0,"",INDEX(Deals!$Y$2:$Y$355,MATCH($C510,Deals!$A$2:$A$355,0))),""))</f>
        <v/>
      </c>
      <c r="V510" s="35">
        <f>IF(OR($U510&lt;&gt;"",AND($AO510&gt;0,$L510&lt;&gt;"",$M510&lt;&gt;"")),$N510,DATE(1900,1,1))</f>
        <v/>
      </c>
      <c r="W510" s="35">
        <f>IF($U510&lt;&gt;"",$U510,IF(AND($AO510&gt;0,$L510&lt;&gt;"",$M510&lt;&gt;""),$O510,DATE(2100,12,31)))</f>
        <v/>
      </c>
      <c r="X510" s="32">
        <f>IF($U510="",$K510,$K510*$S510)</f>
        <v/>
      </c>
      <c r="Y510" s="35">
        <f>IF($U510="",DATE(2100,12,31),$U510+1)</f>
        <v/>
      </c>
      <c r="Z510" s="35">
        <f>IF($U510="",DATE(1900,1,1),$O510)</f>
        <v/>
      </c>
      <c r="AA510" s="32">
        <f>IF($U510="",0,$K510*$T510)</f>
        <v/>
      </c>
      <c r="AB510" s="21">
        <f>IF($C510="",0,IFERROR(INDEX(Deals!$AD$2:$AD$355,MATCH($C510,Deals!$A$2:$A$355,0)),0))</f>
        <v/>
      </c>
      <c r="AC510" s="32">
        <f>IF(Settings!$B$4="Yes",$I510*$AB510,$I510)</f>
        <v/>
      </c>
      <c r="AD510" s="22">
        <f>IF($C510="","",IFERROR(IF(INDEX(Deals!$AE$2:$AE$355,MATCH($C510,Deals!$A$2:$A$355,0))=0,"",INDEX(Deals!$AE$2:$AE$355,MATCH($C510,Deals!$A$2:$A$355,0))),""))</f>
        <v/>
      </c>
      <c r="AE510" s="22">
        <f>IF($C510="","",IFERROR(IF(INDEX(Deals!$AF$2:$AF$355,MATCH($C510,Deals!$A$2:$A$355,0))=0,"",INDEX(Deals!$AF$2:$AF$355,MATCH($C510,Deals!$A$2:$A$355,0))),""))</f>
        <v/>
      </c>
      <c r="AF510" s="35">
        <f>IF($AD510="",DATE(1900,1,1),$AD510)</f>
        <v/>
      </c>
      <c r="AG510" s="35">
        <f>IF($AE510="",DATE(2100,12,31),$AE510)</f>
        <v/>
      </c>
      <c r="AH510" s="22">
        <f>IF($C510="","",IFERROR(IF(INDEX(Deals!$AG$2:$AG$355,MATCH($C510,Deals!$A$2:$A$355,0))=0,"",INDEX(Deals!$AG$2:$AG$355,MATCH($C510,Deals!$A$2:$A$355,0))),""))</f>
        <v/>
      </c>
      <c r="AI510" s="35">
        <f>IF(OR($AH510&lt;&gt;"",AND($AO510&gt;0,$AD510&lt;&gt;"",$AE510&lt;&gt;"")),$AF510,DATE(1900,1,1))</f>
        <v/>
      </c>
      <c r="AJ510" s="35">
        <f>IF($AH510&lt;&gt;"",$AH510,IF(AND($AO510&gt;0,$AD510&lt;&gt;"",$AE510&lt;&gt;""),$AG510,DATE(2100,12,31)))</f>
        <v/>
      </c>
      <c r="AK510" s="32">
        <f>IF($AH510="",$AC510,$AC510*$S510)</f>
        <v/>
      </c>
      <c r="AL510" s="35">
        <f>IF($AH510="",DATE(2100,12,31),$AH510+1)</f>
        <v/>
      </c>
      <c r="AM510" s="35">
        <f>IF($AH510="",DATE(1900,1,1),$AG510)</f>
        <v/>
      </c>
      <c r="AN510" s="32">
        <f>IF($AH510="",0,$AC510*$T510)</f>
        <v/>
      </c>
      <c r="AO510" s="46">
        <f>IF($C510="",0,IFERROR(INDEX(Deals!$BD$2:$BD$355,MATCH($C510,Deals!$A$2:$A$355,0)),0))</f>
        <v/>
      </c>
      <c r="AP510" s="18">
        <f>IF($AO510=0,0,IFERROR(INDEX(Deals!$BJ$2:$BP$355,MATCH($C510,Deals!$A$2:$A$355,0),MATCH($F510,Deals!$BJ$1:$BP$1,0))/COUNTIFS(Assignments!$C$2:$C$769,$C510,Assignments!$F$2:$F$769,$F510,Assignments!$G$2:$G$769,"Active"),0))</f>
        <v/>
      </c>
    </row>
    <row r="511">
      <c r="A511" s="28" t="inlineStr">
        <is>
          <t>Colleen</t>
        </is>
      </c>
      <c r="B511" s="16">
        <f>IF($A511="","",IFERROR(INDEX(Roster!$B$2:$B$40,MATCH($A511,Roster!$A$2:$A$40,0)),"?"))</f>
        <v/>
      </c>
      <c r="C511" s="28" t="inlineStr">
        <is>
          <t>Nexus_6</t>
        </is>
      </c>
      <c r="D511" s="16">
        <f>IF($C511="","",IFERROR(IF(INDEX(Deals!$C$2:$C$355,MATCH($C511,Deals!$A$2:$A$355,0))=0,"",INDEX(Deals!$C$2:$C$355,MATCH($C511,Deals!$A$2:$A$355,0))),"?"))</f>
        <v/>
      </c>
      <c r="E511" s="16">
        <f>IF($C511="","",IFERROR(INDEX(Deals!$F$2:$F$355,MATCH($C511,Deals!$A$2:$A$355,0)),"?"))</f>
        <v/>
      </c>
      <c r="F511" s="28" t="inlineStr">
        <is>
          <t>Senior Associate</t>
        </is>
      </c>
      <c r="G511" s="28" t="inlineStr">
        <is>
          <t>Inactive</t>
        </is>
      </c>
      <c r="H511" s="31" t="n"/>
      <c r="I511" s="32">
        <f>IF(OR($A511="",$G511&lt;&gt;"Active"),0,IF($H511&lt;&gt;"",$H511,IF($AO511&gt;0,$AP511,IF(AND($R511&lt;&gt;"",IFERROR(INDEX(Templates!$B$3:$H$10,MATCH($R511,Templates!$A$3:$A$10,0),MATCH($F511,Templates!$B$2:$H$2,0)),0)&gt;0),INDEX(Templates!$B$3:$H$10,MATCH($R511,Templates!$A$3:$A$10,0),MATCH($F511,Templates!$B$2:$H$2,0)),IFERROR(INDEX(Settings!$B$8:$B$14,MATCH($F511,Settings!$A$8:$A$14,0)),0)))))</f>
        <v/>
      </c>
      <c r="J511" s="21">
        <f>IF($C511="",0,IFERROR(INDEX(Deals!$H$2:$H$355,MATCH($C511,Deals!$A$2:$A$355,0)),0))</f>
        <v/>
      </c>
      <c r="K511" s="32">
        <f>IF(Settings!$B$4="Yes",$I511*$J511,$I511)</f>
        <v/>
      </c>
      <c r="L511" s="22">
        <f>IF($C511="","",IFERROR(IF(INDEX(Deals!$I$2:$I$355,MATCH($C511,Deals!$A$2:$A$355,0))=0,"",INDEX(Deals!$I$2:$I$355,MATCH($C511,Deals!$A$2:$A$355,0))),""))</f>
        <v/>
      </c>
      <c r="M511" s="22">
        <f>IF($C511="","",IFERROR(IF(INDEX(Deals!$J$2:$J$355,MATCH($C511,Deals!$A$2:$A$355,0))=0,"",INDEX(Deals!$J$2:$J$355,MATCH($C511,Deals!$A$2:$A$355,0))),""))</f>
        <v/>
      </c>
      <c r="N511" s="35">
        <f>IF($L511="",DATE(1900,1,1),$L511)</f>
        <v/>
      </c>
      <c r="O511" s="35">
        <f>IF($M511="",DATE(2100,12,31),$M511)</f>
        <v/>
      </c>
      <c r="P511" s="20" t="inlineStr">
        <is>
          <t>Closed</t>
        </is>
      </c>
      <c r="Q511" s="47" t="inlineStr"/>
      <c r="R511" s="16">
        <f>IF($C511="","",IFERROR(IF(INDEX(Deals!$U$2:$U$355,MATCH($C511,Deals!$A$2:$A$355,0))=0,"",INDEX(Deals!$U$2:$U$355,MATCH($C511,Deals!$A$2:$A$355,0))),""))</f>
        <v/>
      </c>
      <c r="S511" s="34">
        <f>IFERROR(IF($U511="",1,INDEX(Deals!$V$2:$V$355,MATCH($C511,Deals!$A$2:$A$355,0))),1)</f>
        <v/>
      </c>
      <c r="T511" s="34">
        <f>IFERROR(IF($U511="",1,INDEX(Deals!$W$2:$W$355,MATCH($C511,Deals!$A$2:$A$355,0))),1)</f>
        <v/>
      </c>
      <c r="U511" s="22">
        <f>IF($C511="","",IFERROR(IF(INDEX(Deals!$Y$2:$Y$355,MATCH($C511,Deals!$A$2:$A$355,0))=0,"",INDEX(Deals!$Y$2:$Y$355,MATCH($C511,Deals!$A$2:$A$355,0))),""))</f>
        <v/>
      </c>
      <c r="V511" s="35">
        <f>IF(OR($U511&lt;&gt;"",AND($AO511&gt;0,$L511&lt;&gt;"",$M511&lt;&gt;"")),$N511,DATE(1900,1,1))</f>
        <v/>
      </c>
      <c r="W511" s="35">
        <f>IF($U511&lt;&gt;"",$U511,IF(AND($AO511&gt;0,$L511&lt;&gt;"",$M511&lt;&gt;""),$O511,DATE(2100,12,31)))</f>
        <v/>
      </c>
      <c r="X511" s="32">
        <f>IF($U511="",$K511,$K511*$S511)</f>
        <v/>
      </c>
      <c r="Y511" s="35">
        <f>IF($U511="",DATE(2100,12,31),$U511+1)</f>
        <v/>
      </c>
      <c r="Z511" s="35">
        <f>IF($U511="",DATE(1900,1,1),$O511)</f>
        <v/>
      </c>
      <c r="AA511" s="32">
        <f>IF($U511="",0,$K511*$T511)</f>
        <v/>
      </c>
      <c r="AB511" s="21">
        <f>IF($C511="",0,IFERROR(INDEX(Deals!$AD$2:$AD$355,MATCH($C511,Deals!$A$2:$A$355,0)),0))</f>
        <v/>
      </c>
      <c r="AC511" s="32">
        <f>IF(Settings!$B$4="Yes",$I511*$AB511,$I511)</f>
        <v/>
      </c>
      <c r="AD511" s="22">
        <f>IF($C511="","",IFERROR(IF(INDEX(Deals!$AE$2:$AE$355,MATCH($C511,Deals!$A$2:$A$355,0))=0,"",INDEX(Deals!$AE$2:$AE$355,MATCH($C511,Deals!$A$2:$A$355,0))),""))</f>
        <v/>
      </c>
      <c r="AE511" s="22">
        <f>IF($C511="","",IFERROR(IF(INDEX(Deals!$AF$2:$AF$355,MATCH($C511,Deals!$A$2:$A$355,0))=0,"",INDEX(Deals!$AF$2:$AF$355,MATCH($C511,Deals!$A$2:$A$355,0))),""))</f>
        <v/>
      </c>
      <c r="AF511" s="35">
        <f>IF($AD511="",DATE(1900,1,1),$AD511)</f>
        <v/>
      </c>
      <c r="AG511" s="35">
        <f>IF($AE511="",DATE(2100,12,31),$AE511)</f>
        <v/>
      </c>
      <c r="AH511" s="22">
        <f>IF($C511="","",IFERROR(IF(INDEX(Deals!$AG$2:$AG$355,MATCH($C511,Deals!$A$2:$A$355,0))=0,"",INDEX(Deals!$AG$2:$AG$355,MATCH($C511,Deals!$A$2:$A$355,0))),""))</f>
        <v/>
      </c>
      <c r="AI511" s="35">
        <f>IF(OR($AH511&lt;&gt;"",AND($AO511&gt;0,$AD511&lt;&gt;"",$AE511&lt;&gt;"")),$AF511,DATE(1900,1,1))</f>
        <v/>
      </c>
      <c r="AJ511" s="35">
        <f>IF($AH511&lt;&gt;"",$AH511,IF(AND($AO511&gt;0,$AD511&lt;&gt;"",$AE511&lt;&gt;""),$AG511,DATE(2100,12,31)))</f>
        <v/>
      </c>
      <c r="AK511" s="32">
        <f>IF($AH511="",$AC511,$AC511*$S511)</f>
        <v/>
      </c>
      <c r="AL511" s="35">
        <f>IF($AH511="",DATE(2100,12,31),$AH511+1)</f>
        <v/>
      </c>
      <c r="AM511" s="35">
        <f>IF($AH511="",DATE(1900,1,1),$AG511)</f>
        <v/>
      </c>
      <c r="AN511" s="32">
        <f>IF($AH511="",0,$AC511*$T511)</f>
        <v/>
      </c>
      <c r="AO511" s="46">
        <f>IF($C511="",0,IFERROR(INDEX(Deals!$BD$2:$BD$355,MATCH($C511,Deals!$A$2:$A$355,0)),0))</f>
        <v/>
      </c>
      <c r="AP511" s="18">
        <f>IF($AO511=0,0,IFERROR(INDEX(Deals!$BJ$2:$BP$355,MATCH($C511,Deals!$A$2:$A$355,0),MATCH($F511,Deals!$BJ$1:$BP$1,0))/COUNTIFS(Assignments!$C$2:$C$769,$C511,Assignments!$F$2:$F$769,$F511,Assignments!$G$2:$G$769,"Active"),0))</f>
        <v/>
      </c>
    </row>
    <row r="512">
      <c r="A512" s="28" t="inlineStr">
        <is>
          <t>Colleen</t>
        </is>
      </c>
      <c r="B512" s="16">
        <f>IF($A512="","",IFERROR(INDEX(Roster!$B$2:$B$40,MATCH($A512,Roster!$A$2:$A$40,0)),"?"))</f>
        <v/>
      </c>
      <c r="C512" s="28" t="inlineStr">
        <is>
          <t>Plasma_1</t>
        </is>
      </c>
      <c r="D512" s="16">
        <f>IF($C512="","",IFERROR(IF(INDEX(Deals!$C$2:$C$355,MATCH($C512,Deals!$A$2:$A$355,0))=0,"",INDEX(Deals!$C$2:$C$355,MATCH($C512,Deals!$A$2:$A$355,0))),"?"))</f>
        <v/>
      </c>
      <c r="E512" s="16">
        <f>IF($C512="","",IFERROR(INDEX(Deals!$F$2:$F$355,MATCH($C512,Deals!$A$2:$A$355,0)),"?"))</f>
        <v/>
      </c>
      <c r="F512" s="28" t="inlineStr">
        <is>
          <t>Senior Associate</t>
        </is>
      </c>
      <c r="G512" s="28" t="inlineStr">
        <is>
          <t>Active</t>
        </is>
      </c>
      <c r="H512" s="31" t="n"/>
      <c r="I512" s="32">
        <f>IF(OR($A512="",$G512&lt;&gt;"Active"),0,IF($H512&lt;&gt;"",$H512,IF($AO512&gt;0,$AP512,IF(AND($R512&lt;&gt;"",IFERROR(INDEX(Templates!$B$3:$H$10,MATCH($R512,Templates!$A$3:$A$10,0),MATCH($F512,Templates!$B$2:$H$2,0)),0)&gt;0),INDEX(Templates!$B$3:$H$10,MATCH($R512,Templates!$A$3:$A$10,0),MATCH($F512,Templates!$B$2:$H$2,0)),IFERROR(INDEX(Settings!$B$8:$B$14,MATCH($F512,Settings!$A$8:$A$14,0)),0)))))</f>
        <v/>
      </c>
      <c r="J512" s="21">
        <f>IF($C512="",0,IFERROR(INDEX(Deals!$H$2:$H$355,MATCH($C512,Deals!$A$2:$A$355,0)),0))</f>
        <v/>
      </c>
      <c r="K512" s="32">
        <f>IF(Settings!$B$4="Yes",$I512*$J512,$I512)</f>
        <v/>
      </c>
      <c r="L512" s="22">
        <f>IF($C512="","",IFERROR(IF(INDEX(Deals!$I$2:$I$355,MATCH($C512,Deals!$A$2:$A$355,0))=0,"",INDEX(Deals!$I$2:$I$355,MATCH($C512,Deals!$A$2:$A$355,0))),""))</f>
        <v/>
      </c>
      <c r="M512" s="22">
        <f>IF($C512="","",IFERROR(IF(INDEX(Deals!$J$2:$J$355,MATCH($C512,Deals!$A$2:$A$355,0))=0,"",INDEX(Deals!$J$2:$J$355,MATCH($C512,Deals!$A$2:$A$355,0))),""))</f>
        <v/>
      </c>
      <c r="N512" s="35">
        <f>IF($L512="",DATE(1900,1,1),$L512)</f>
        <v/>
      </c>
      <c r="O512" s="35">
        <f>IF($M512="",DATE(2100,12,31),$M512)</f>
        <v/>
      </c>
      <c r="P512" s="20" t="inlineStr">
        <is>
          <t>Ongoing</t>
        </is>
      </c>
      <c r="Q512" s="47" t="inlineStr"/>
      <c r="R512" s="16">
        <f>IF($C512="","",IFERROR(IF(INDEX(Deals!$U$2:$U$355,MATCH($C512,Deals!$A$2:$A$355,0))=0,"",INDEX(Deals!$U$2:$U$355,MATCH($C512,Deals!$A$2:$A$355,0))),""))</f>
        <v/>
      </c>
      <c r="S512" s="34">
        <f>IFERROR(IF($U512="",1,INDEX(Deals!$V$2:$V$355,MATCH($C512,Deals!$A$2:$A$355,0))),1)</f>
        <v/>
      </c>
      <c r="T512" s="34">
        <f>IFERROR(IF($U512="",1,INDEX(Deals!$W$2:$W$355,MATCH($C512,Deals!$A$2:$A$355,0))),1)</f>
        <v/>
      </c>
      <c r="U512" s="22">
        <f>IF($C512="","",IFERROR(IF(INDEX(Deals!$Y$2:$Y$355,MATCH($C512,Deals!$A$2:$A$355,0))=0,"",INDEX(Deals!$Y$2:$Y$355,MATCH($C512,Deals!$A$2:$A$355,0))),""))</f>
        <v/>
      </c>
      <c r="V512" s="35">
        <f>IF(OR($U512&lt;&gt;"",AND($AO512&gt;0,$L512&lt;&gt;"",$M512&lt;&gt;"")),$N512,DATE(1900,1,1))</f>
        <v/>
      </c>
      <c r="W512" s="35">
        <f>IF($U512&lt;&gt;"",$U512,IF(AND($AO512&gt;0,$L512&lt;&gt;"",$M512&lt;&gt;""),$O512,DATE(2100,12,31)))</f>
        <v/>
      </c>
      <c r="X512" s="32">
        <f>IF($U512="",$K512,$K512*$S512)</f>
        <v/>
      </c>
      <c r="Y512" s="35">
        <f>IF($U512="",DATE(2100,12,31),$U512+1)</f>
        <v/>
      </c>
      <c r="Z512" s="35">
        <f>IF($U512="",DATE(1900,1,1),$O512)</f>
        <v/>
      </c>
      <c r="AA512" s="32">
        <f>IF($U512="",0,$K512*$T512)</f>
        <v/>
      </c>
      <c r="AB512" s="21">
        <f>IF($C512="",0,IFERROR(INDEX(Deals!$AD$2:$AD$355,MATCH($C512,Deals!$A$2:$A$355,0)),0))</f>
        <v/>
      </c>
      <c r="AC512" s="32">
        <f>IF(Settings!$B$4="Yes",$I512*$AB512,$I512)</f>
        <v/>
      </c>
      <c r="AD512" s="22">
        <f>IF($C512="","",IFERROR(IF(INDEX(Deals!$AE$2:$AE$355,MATCH($C512,Deals!$A$2:$A$355,0))=0,"",INDEX(Deals!$AE$2:$AE$355,MATCH($C512,Deals!$A$2:$A$355,0))),""))</f>
        <v/>
      </c>
      <c r="AE512" s="22">
        <f>IF($C512="","",IFERROR(IF(INDEX(Deals!$AF$2:$AF$355,MATCH($C512,Deals!$A$2:$A$355,0))=0,"",INDEX(Deals!$AF$2:$AF$355,MATCH($C512,Deals!$A$2:$A$355,0))),""))</f>
        <v/>
      </c>
      <c r="AF512" s="35">
        <f>IF($AD512="",DATE(1900,1,1),$AD512)</f>
        <v/>
      </c>
      <c r="AG512" s="35">
        <f>IF($AE512="",DATE(2100,12,31),$AE512)</f>
        <v/>
      </c>
      <c r="AH512" s="22">
        <f>IF($C512="","",IFERROR(IF(INDEX(Deals!$AG$2:$AG$355,MATCH($C512,Deals!$A$2:$A$355,0))=0,"",INDEX(Deals!$AG$2:$AG$355,MATCH($C512,Deals!$A$2:$A$355,0))),""))</f>
        <v/>
      </c>
      <c r="AI512" s="35">
        <f>IF(OR($AH512&lt;&gt;"",AND($AO512&gt;0,$AD512&lt;&gt;"",$AE512&lt;&gt;"")),$AF512,DATE(1900,1,1))</f>
        <v/>
      </c>
      <c r="AJ512" s="35">
        <f>IF($AH512&lt;&gt;"",$AH512,IF(AND($AO512&gt;0,$AD512&lt;&gt;"",$AE512&lt;&gt;""),$AG512,DATE(2100,12,31)))</f>
        <v/>
      </c>
      <c r="AK512" s="32">
        <f>IF($AH512="",$AC512,$AC512*$S512)</f>
        <v/>
      </c>
      <c r="AL512" s="35">
        <f>IF($AH512="",DATE(2100,12,31),$AH512+1)</f>
        <v/>
      </c>
      <c r="AM512" s="35">
        <f>IF($AH512="",DATE(1900,1,1),$AG512)</f>
        <v/>
      </c>
      <c r="AN512" s="32">
        <f>IF($AH512="",0,$AC512*$T512)</f>
        <v/>
      </c>
      <c r="AO512" s="46">
        <f>IF($C512="",0,IFERROR(INDEX(Deals!$BD$2:$BD$355,MATCH($C512,Deals!$A$2:$A$355,0)),0))</f>
        <v/>
      </c>
      <c r="AP512" s="18">
        <f>IF($AO512=0,0,IFERROR(INDEX(Deals!$BJ$2:$BP$355,MATCH($C512,Deals!$A$2:$A$355,0),MATCH($F512,Deals!$BJ$1:$BP$1,0))/COUNTIFS(Assignments!$C$2:$C$769,$C512,Assignments!$F$2:$F$769,$F512,Assignments!$G$2:$G$769,"Active"),0))</f>
        <v/>
      </c>
    </row>
    <row r="513">
      <c r="A513" s="28" t="inlineStr">
        <is>
          <t>Colleen</t>
        </is>
      </c>
      <c r="B513" s="16">
        <f>IF($A513="","",IFERROR(INDEX(Roster!$B$2:$B$40,MATCH($A513,Roster!$A$2:$A$40,0)),"?"))</f>
        <v/>
      </c>
      <c r="C513" s="28" t="inlineStr">
        <is>
          <t>Spark_1</t>
        </is>
      </c>
      <c r="D513" s="16">
        <f>IF($C513="","",IFERROR(IF(INDEX(Deals!$C$2:$C$355,MATCH($C513,Deals!$A$2:$A$355,0))=0,"",INDEX(Deals!$C$2:$C$355,MATCH($C513,Deals!$A$2:$A$355,0))),"?"))</f>
        <v/>
      </c>
      <c r="E513" s="16">
        <f>IF($C513="","",IFERROR(INDEX(Deals!$F$2:$F$355,MATCH($C513,Deals!$A$2:$A$355,0)),"?"))</f>
        <v/>
      </c>
      <c r="F513" s="28" t="inlineStr">
        <is>
          <t>Senior Associate</t>
        </is>
      </c>
      <c r="G513" s="28" t="inlineStr">
        <is>
          <t>Active</t>
        </is>
      </c>
      <c r="H513" s="31" t="n"/>
      <c r="I513" s="32">
        <f>IF(OR($A513="",$G513&lt;&gt;"Active"),0,IF($H513&lt;&gt;"",$H513,IF($AO513&gt;0,$AP513,IF(AND($R513&lt;&gt;"",IFERROR(INDEX(Templates!$B$3:$H$10,MATCH($R513,Templates!$A$3:$A$10,0),MATCH($F513,Templates!$B$2:$H$2,0)),0)&gt;0),INDEX(Templates!$B$3:$H$10,MATCH($R513,Templates!$A$3:$A$10,0),MATCH($F513,Templates!$B$2:$H$2,0)),IFERROR(INDEX(Settings!$B$8:$B$14,MATCH($F513,Settings!$A$8:$A$14,0)),0)))))</f>
        <v/>
      </c>
      <c r="J513" s="21">
        <f>IF($C513="",0,IFERROR(INDEX(Deals!$H$2:$H$355,MATCH($C513,Deals!$A$2:$A$355,0)),0))</f>
        <v/>
      </c>
      <c r="K513" s="32">
        <f>IF(Settings!$B$4="Yes",$I513*$J513,$I513)</f>
        <v/>
      </c>
      <c r="L513" s="22">
        <f>IF($C513="","",IFERROR(IF(INDEX(Deals!$I$2:$I$355,MATCH($C513,Deals!$A$2:$A$355,0))=0,"",INDEX(Deals!$I$2:$I$355,MATCH($C513,Deals!$A$2:$A$355,0))),""))</f>
        <v/>
      </c>
      <c r="M513" s="22">
        <f>IF($C513="","",IFERROR(IF(INDEX(Deals!$J$2:$J$355,MATCH($C513,Deals!$A$2:$A$355,0))=0,"",INDEX(Deals!$J$2:$J$355,MATCH($C513,Deals!$A$2:$A$355,0))),""))</f>
        <v/>
      </c>
      <c r="N513" s="35">
        <f>IF($L513="",DATE(1900,1,1),$L513)</f>
        <v/>
      </c>
      <c r="O513" s="35">
        <f>IF($M513="",DATE(2100,12,31),$M513)</f>
        <v/>
      </c>
      <c r="P513" s="20" t="inlineStr">
        <is>
          <t>Ongoing</t>
        </is>
      </c>
      <c r="Q513" s="47" t="inlineStr"/>
      <c r="R513" s="16">
        <f>IF($C513="","",IFERROR(IF(INDEX(Deals!$U$2:$U$355,MATCH($C513,Deals!$A$2:$A$355,0))=0,"",INDEX(Deals!$U$2:$U$355,MATCH($C513,Deals!$A$2:$A$355,0))),""))</f>
        <v/>
      </c>
      <c r="S513" s="34">
        <f>IFERROR(IF($U513="",1,INDEX(Deals!$V$2:$V$355,MATCH($C513,Deals!$A$2:$A$355,0))),1)</f>
        <v/>
      </c>
      <c r="T513" s="34">
        <f>IFERROR(IF($U513="",1,INDEX(Deals!$W$2:$W$355,MATCH($C513,Deals!$A$2:$A$355,0))),1)</f>
        <v/>
      </c>
      <c r="U513" s="22">
        <f>IF($C513="","",IFERROR(IF(INDEX(Deals!$Y$2:$Y$355,MATCH($C513,Deals!$A$2:$A$355,0))=0,"",INDEX(Deals!$Y$2:$Y$355,MATCH($C513,Deals!$A$2:$A$355,0))),""))</f>
        <v/>
      </c>
      <c r="V513" s="35">
        <f>IF(OR($U513&lt;&gt;"",AND($AO513&gt;0,$L513&lt;&gt;"",$M513&lt;&gt;"")),$N513,DATE(1900,1,1))</f>
        <v/>
      </c>
      <c r="W513" s="35">
        <f>IF($U513&lt;&gt;"",$U513,IF(AND($AO513&gt;0,$L513&lt;&gt;"",$M513&lt;&gt;""),$O513,DATE(2100,12,31)))</f>
        <v/>
      </c>
      <c r="X513" s="32">
        <f>IF($U513="",$K513,$K513*$S513)</f>
        <v/>
      </c>
      <c r="Y513" s="35">
        <f>IF($U513="",DATE(2100,12,31),$U513+1)</f>
        <v/>
      </c>
      <c r="Z513" s="35">
        <f>IF($U513="",DATE(1900,1,1),$O513)</f>
        <v/>
      </c>
      <c r="AA513" s="32">
        <f>IF($U513="",0,$K513*$T513)</f>
        <v/>
      </c>
      <c r="AB513" s="21">
        <f>IF($C513="",0,IFERROR(INDEX(Deals!$AD$2:$AD$355,MATCH($C513,Deals!$A$2:$A$355,0)),0))</f>
        <v/>
      </c>
      <c r="AC513" s="32">
        <f>IF(Settings!$B$4="Yes",$I513*$AB513,$I513)</f>
        <v/>
      </c>
      <c r="AD513" s="22">
        <f>IF($C513="","",IFERROR(IF(INDEX(Deals!$AE$2:$AE$355,MATCH($C513,Deals!$A$2:$A$355,0))=0,"",INDEX(Deals!$AE$2:$AE$355,MATCH($C513,Deals!$A$2:$A$355,0))),""))</f>
        <v/>
      </c>
      <c r="AE513" s="22">
        <f>IF($C513="","",IFERROR(IF(INDEX(Deals!$AF$2:$AF$355,MATCH($C513,Deals!$A$2:$A$355,0))=0,"",INDEX(Deals!$AF$2:$AF$355,MATCH($C513,Deals!$A$2:$A$355,0))),""))</f>
        <v/>
      </c>
      <c r="AF513" s="35">
        <f>IF($AD513="",DATE(1900,1,1),$AD513)</f>
        <v/>
      </c>
      <c r="AG513" s="35">
        <f>IF($AE513="",DATE(2100,12,31),$AE513)</f>
        <v/>
      </c>
      <c r="AH513" s="22">
        <f>IF($C513="","",IFERROR(IF(INDEX(Deals!$AG$2:$AG$355,MATCH($C513,Deals!$A$2:$A$355,0))=0,"",INDEX(Deals!$AG$2:$AG$355,MATCH($C513,Deals!$A$2:$A$355,0))),""))</f>
        <v/>
      </c>
      <c r="AI513" s="35">
        <f>IF(OR($AH513&lt;&gt;"",AND($AO513&gt;0,$AD513&lt;&gt;"",$AE513&lt;&gt;"")),$AF513,DATE(1900,1,1))</f>
        <v/>
      </c>
      <c r="AJ513" s="35">
        <f>IF($AH513&lt;&gt;"",$AH513,IF(AND($AO513&gt;0,$AD513&lt;&gt;"",$AE513&lt;&gt;""),$AG513,DATE(2100,12,31)))</f>
        <v/>
      </c>
      <c r="AK513" s="32">
        <f>IF($AH513="",$AC513,$AC513*$S513)</f>
        <v/>
      </c>
      <c r="AL513" s="35">
        <f>IF($AH513="",DATE(2100,12,31),$AH513+1)</f>
        <v/>
      </c>
      <c r="AM513" s="35">
        <f>IF($AH513="",DATE(1900,1,1),$AG513)</f>
        <v/>
      </c>
      <c r="AN513" s="32">
        <f>IF($AH513="",0,$AC513*$T513)</f>
        <v/>
      </c>
      <c r="AO513" s="46">
        <f>IF($C513="",0,IFERROR(INDEX(Deals!$BD$2:$BD$355,MATCH($C513,Deals!$A$2:$A$355,0)),0))</f>
        <v/>
      </c>
      <c r="AP513" s="18">
        <f>IF($AO513=0,0,IFERROR(INDEX(Deals!$BJ$2:$BP$355,MATCH($C513,Deals!$A$2:$A$355,0),MATCH($F513,Deals!$BJ$1:$BP$1,0))/COUNTIFS(Assignments!$C$2:$C$769,$C513,Assignments!$F$2:$F$769,$F513,Assignments!$G$2:$G$769,"Active"),0))</f>
        <v/>
      </c>
    </row>
    <row r="514">
      <c r="A514" s="28" t="inlineStr">
        <is>
          <t>Colleen</t>
        </is>
      </c>
      <c r="B514" s="16">
        <f>IF($A514="","",IFERROR(INDEX(Roster!$B$2:$B$40,MATCH($A514,Roster!$A$2:$A$40,0)),"?"))</f>
        <v/>
      </c>
      <c r="C514" s="28" t="inlineStr">
        <is>
          <t>Sunshine_4</t>
        </is>
      </c>
      <c r="D514" s="16">
        <f>IF($C514="","",IFERROR(IF(INDEX(Deals!$C$2:$C$355,MATCH($C514,Deals!$A$2:$A$355,0))=0,"",INDEX(Deals!$C$2:$C$355,MATCH($C514,Deals!$A$2:$A$355,0))),"?"))</f>
        <v/>
      </c>
      <c r="E514" s="16">
        <f>IF($C514="","",IFERROR(INDEX(Deals!$F$2:$F$355,MATCH($C514,Deals!$A$2:$A$355,0)),"?"))</f>
        <v/>
      </c>
      <c r="F514" s="28" t="inlineStr">
        <is>
          <t>Senior Associate</t>
        </is>
      </c>
      <c r="G514" s="28" t="inlineStr">
        <is>
          <t>Inactive</t>
        </is>
      </c>
      <c r="H514" s="31" t="n"/>
      <c r="I514" s="32">
        <f>IF(OR($A514="",$G514&lt;&gt;"Active"),0,IF($H514&lt;&gt;"",$H514,IF($AO514&gt;0,$AP514,IF(AND($R514&lt;&gt;"",IFERROR(INDEX(Templates!$B$3:$H$10,MATCH($R514,Templates!$A$3:$A$10,0),MATCH($F514,Templates!$B$2:$H$2,0)),0)&gt;0),INDEX(Templates!$B$3:$H$10,MATCH($R514,Templates!$A$3:$A$10,0),MATCH($F514,Templates!$B$2:$H$2,0)),IFERROR(INDEX(Settings!$B$8:$B$14,MATCH($F514,Settings!$A$8:$A$14,0)),0)))))</f>
        <v/>
      </c>
      <c r="J514" s="21">
        <f>IF($C514="",0,IFERROR(INDEX(Deals!$H$2:$H$355,MATCH($C514,Deals!$A$2:$A$355,0)),0))</f>
        <v/>
      </c>
      <c r="K514" s="32">
        <f>IF(Settings!$B$4="Yes",$I514*$J514,$I514)</f>
        <v/>
      </c>
      <c r="L514" s="22">
        <f>IF($C514="","",IFERROR(IF(INDEX(Deals!$I$2:$I$355,MATCH($C514,Deals!$A$2:$A$355,0))=0,"",INDEX(Deals!$I$2:$I$355,MATCH($C514,Deals!$A$2:$A$355,0))),""))</f>
        <v/>
      </c>
      <c r="M514" s="22">
        <f>IF($C514="","",IFERROR(IF(INDEX(Deals!$J$2:$J$355,MATCH($C514,Deals!$A$2:$A$355,0))=0,"",INDEX(Deals!$J$2:$J$355,MATCH($C514,Deals!$A$2:$A$355,0))),""))</f>
        <v/>
      </c>
      <c r="N514" s="35">
        <f>IF($L514="",DATE(1900,1,1),$L514)</f>
        <v/>
      </c>
      <c r="O514" s="35">
        <f>IF($M514="",DATE(2100,12,31),$M514)</f>
        <v/>
      </c>
      <c r="P514" s="20" t="inlineStr">
        <is>
          <t>Dead</t>
        </is>
      </c>
      <c r="Q514" s="47" t="inlineStr"/>
      <c r="R514" s="16">
        <f>IF($C514="","",IFERROR(IF(INDEX(Deals!$U$2:$U$355,MATCH($C514,Deals!$A$2:$A$355,0))=0,"",INDEX(Deals!$U$2:$U$355,MATCH($C514,Deals!$A$2:$A$355,0))),""))</f>
        <v/>
      </c>
      <c r="S514" s="34">
        <f>IFERROR(IF($U514="",1,INDEX(Deals!$V$2:$V$355,MATCH($C514,Deals!$A$2:$A$355,0))),1)</f>
        <v/>
      </c>
      <c r="T514" s="34">
        <f>IFERROR(IF($U514="",1,INDEX(Deals!$W$2:$W$355,MATCH($C514,Deals!$A$2:$A$355,0))),1)</f>
        <v/>
      </c>
      <c r="U514" s="22">
        <f>IF($C514="","",IFERROR(IF(INDEX(Deals!$Y$2:$Y$355,MATCH($C514,Deals!$A$2:$A$355,0))=0,"",INDEX(Deals!$Y$2:$Y$355,MATCH($C514,Deals!$A$2:$A$355,0))),""))</f>
        <v/>
      </c>
      <c r="V514" s="35">
        <f>IF(OR($U514&lt;&gt;"",AND($AO514&gt;0,$L514&lt;&gt;"",$M514&lt;&gt;"")),$N514,DATE(1900,1,1))</f>
        <v/>
      </c>
      <c r="W514" s="35">
        <f>IF($U514&lt;&gt;"",$U514,IF(AND($AO514&gt;0,$L514&lt;&gt;"",$M514&lt;&gt;""),$O514,DATE(2100,12,31)))</f>
        <v/>
      </c>
      <c r="X514" s="32">
        <f>IF($U514="",$K514,$K514*$S514)</f>
        <v/>
      </c>
      <c r="Y514" s="35">
        <f>IF($U514="",DATE(2100,12,31),$U514+1)</f>
        <v/>
      </c>
      <c r="Z514" s="35">
        <f>IF($U514="",DATE(1900,1,1),$O514)</f>
        <v/>
      </c>
      <c r="AA514" s="32">
        <f>IF($U514="",0,$K514*$T514)</f>
        <v/>
      </c>
      <c r="AB514" s="21">
        <f>IF($C514="",0,IFERROR(INDEX(Deals!$AD$2:$AD$355,MATCH($C514,Deals!$A$2:$A$355,0)),0))</f>
        <v/>
      </c>
      <c r="AC514" s="32">
        <f>IF(Settings!$B$4="Yes",$I514*$AB514,$I514)</f>
        <v/>
      </c>
      <c r="AD514" s="22">
        <f>IF($C514="","",IFERROR(IF(INDEX(Deals!$AE$2:$AE$355,MATCH($C514,Deals!$A$2:$A$355,0))=0,"",INDEX(Deals!$AE$2:$AE$355,MATCH($C514,Deals!$A$2:$A$355,0))),""))</f>
        <v/>
      </c>
      <c r="AE514" s="22">
        <f>IF($C514="","",IFERROR(IF(INDEX(Deals!$AF$2:$AF$355,MATCH($C514,Deals!$A$2:$A$355,0))=0,"",INDEX(Deals!$AF$2:$AF$355,MATCH($C514,Deals!$A$2:$A$355,0))),""))</f>
        <v/>
      </c>
      <c r="AF514" s="35">
        <f>IF($AD514="",DATE(1900,1,1),$AD514)</f>
        <v/>
      </c>
      <c r="AG514" s="35">
        <f>IF($AE514="",DATE(2100,12,31),$AE514)</f>
        <v/>
      </c>
      <c r="AH514" s="22">
        <f>IF($C514="","",IFERROR(IF(INDEX(Deals!$AG$2:$AG$355,MATCH($C514,Deals!$A$2:$A$355,0))=0,"",INDEX(Deals!$AG$2:$AG$355,MATCH($C514,Deals!$A$2:$A$355,0))),""))</f>
        <v/>
      </c>
      <c r="AI514" s="35">
        <f>IF(OR($AH514&lt;&gt;"",AND($AO514&gt;0,$AD514&lt;&gt;"",$AE514&lt;&gt;"")),$AF514,DATE(1900,1,1))</f>
        <v/>
      </c>
      <c r="AJ514" s="35">
        <f>IF($AH514&lt;&gt;"",$AH514,IF(AND($AO514&gt;0,$AD514&lt;&gt;"",$AE514&lt;&gt;""),$AG514,DATE(2100,12,31)))</f>
        <v/>
      </c>
      <c r="AK514" s="32">
        <f>IF($AH514="",$AC514,$AC514*$S514)</f>
        <v/>
      </c>
      <c r="AL514" s="35">
        <f>IF($AH514="",DATE(2100,12,31),$AH514+1)</f>
        <v/>
      </c>
      <c r="AM514" s="35">
        <f>IF($AH514="",DATE(1900,1,1),$AG514)</f>
        <v/>
      </c>
      <c r="AN514" s="32">
        <f>IF($AH514="",0,$AC514*$T514)</f>
        <v/>
      </c>
      <c r="AO514" s="46">
        <f>IF($C514="",0,IFERROR(INDEX(Deals!$BD$2:$BD$355,MATCH($C514,Deals!$A$2:$A$355,0)),0))</f>
        <v/>
      </c>
      <c r="AP514" s="18">
        <f>IF($AO514=0,0,IFERROR(INDEX(Deals!$BJ$2:$BP$355,MATCH($C514,Deals!$A$2:$A$355,0),MATCH($F514,Deals!$BJ$1:$BP$1,0))/COUNTIFS(Assignments!$C$2:$C$769,$C514,Assignments!$F$2:$F$769,$F514,Assignments!$G$2:$G$769,"Active"),0))</f>
        <v/>
      </c>
    </row>
    <row r="515">
      <c r="A515" s="28" t="inlineStr">
        <is>
          <t>Colleen</t>
        </is>
      </c>
      <c r="B515" s="16">
        <f>IF($A515="","",IFERROR(INDEX(Roster!$B$2:$B$40,MATCH($A515,Roster!$A$2:$A$40,0)),"?"))</f>
        <v/>
      </c>
      <c r="C515" s="28" t="inlineStr">
        <is>
          <t>Takeover_1</t>
        </is>
      </c>
      <c r="D515" s="16">
        <f>IF($C515="","",IFERROR(IF(INDEX(Deals!$C$2:$C$355,MATCH($C515,Deals!$A$2:$A$355,0))=0,"",INDEX(Deals!$C$2:$C$355,MATCH($C515,Deals!$A$2:$A$355,0))),"?"))</f>
        <v/>
      </c>
      <c r="E515" s="16">
        <f>IF($C515="","",IFERROR(INDEX(Deals!$F$2:$F$355,MATCH($C515,Deals!$A$2:$A$355,0)),"?"))</f>
        <v/>
      </c>
      <c r="F515" s="28" t="inlineStr">
        <is>
          <t>Senior Associate</t>
        </is>
      </c>
      <c r="G515" s="28" t="inlineStr">
        <is>
          <t>Inactive</t>
        </is>
      </c>
      <c r="H515" s="31" t="n"/>
      <c r="I515" s="32">
        <f>IF(OR($A515="",$G515&lt;&gt;"Active"),0,IF($H515&lt;&gt;"",$H515,IF($AO515&gt;0,$AP515,IF(AND($R515&lt;&gt;"",IFERROR(INDEX(Templates!$B$3:$H$10,MATCH($R515,Templates!$A$3:$A$10,0),MATCH($F515,Templates!$B$2:$H$2,0)),0)&gt;0),INDEX(Templates!$B$3:$H$10,MATCH($R515,Templates!$A$3:$A$10,0),MATCH($F515,Templates!$B$2:$H$2,0)),IFERROR(INDEX(Settings!$B$8:$B$14,MATCH($F515,Settings!$A$8:$A$14,0)),0)))))</f>
        <v/>
      </c>
      <c r="J515" s="21">
        <f>IF($C515="",0,IFERROR(INDEX(Deals!$H$2:$H$355,MATCH($C515,Deals!$A$2:$A$355,0)),0))</f>
        <v/>
      </c>
      <c r="K515" s="32">
        <f>IF(Settings!$B$4="Yes",$I515*$J515,$I515)</f>
        <v/>
      </c>
      <c r="L515" s="22">
        <f>IF($C515="","",IFERROR(IF(INDEX(Deals!$I$2:$I$355,MATCH($C515,Deals!$A$2:$A$355,0))=0,"",INDEX(Deals!$I$2:$I$355,MATCH($C515,Deals!$A$2:$A$355,0))),""))</f>
        <v/>
      </c>
      <c r="M515" s="22">
        <f>IF($C515="","",IFERROR(IF(INDEX(Deals!$J$2:$J$355,MATCH($C515,Deals!$A$2:$A$355,0))=0,"",INDEX(Deals!$J$2:$J$355,MATCH($C515,Deals!$A$2:$A$355,0))),""))</f>
        <v/>
      </c>
      <c r="N515" s="35">
        <f>IF($L515="",DATE(1900,1,1),$L515)</f>
        <v/>
      </c>
      <c r="O515" s="35">
        <f>IF($M515="",DATE(2100,12,31),$M515)</f>
        <v/>
      </c>
      <c r="P515" s="20" t="inlineStr">
        <is>
          <t>Dead</t>
        </is>
      </c>
      <c r="Q515" s="47" t="inlineStr"/>
      <c r="R515" s="16">
        <f>IF($C515="","",IFERROR(IF(INDEX(Deals!$U$2:$U$355,MATCH($C515,Deals!$A$2:$A$355,0))=0,"",INDEX(Deals!$U$2:$U$355,MATCH($C515,Deals!$A$2:$A$355,0))),""))</f>
        <v/>
      </c>
      <c r="S515" s="34">
        <f>IFERROR(IF($U515="",1,INDEX(Deals!$V$2:$V$355,MATCH($C515,Deals!$A$2:$A$355,0))),1)</f>
        <v/>
      </c>
      <c r="T515" s="34">
        <f>IFERROR(IF($U515="",1,INDEX(Deals!$W$2:$W$355,MATCH($C515,Deals!$A$2:$A$355,0))),1)</f>
        <v/>
      </c>
      <c r="U515" s="22">
        <f>IF($C515="","",IFERROR(IF(INDEX(Deals!$Y$2:$Y$355,MATCH($C515,Deals!$A$2:$A$355,0))=0,"",INDEX(Deals!$Y$2:$Y$355,MATCH($C515,Deals!$A$2:$A$355,0))),""))</f>
        <v/>
      </c>
      <c r="V515" s="35">
        <f>IF(OR($U515&lt;&gt;"",AND($AO515&gt;0,$L515&lt;&gt;"",$M515&lt;&gt;"")),$N515,DATE(1900,1,1))</f>
        <v/>
      </c>
      <c r="W515" s="35">
        <f>IF($U515&lt;&gt;"",$U515,IF(AND($AO515&gt;0,$L515&lt;&gt;"",$M515&lt;&gt;""),$O515,DATE(2100,12,31)))</f>
        <v/>
      </c>
      <c r="X515" s="32">
        <f>IF($U515="",$K515,$K515*$S515)</f>
        <v/>
      </c>
      <c r="Y515" s="35">
        <f>IF($U515="",DATE(2100,12,31),$U515+1)</f>
        <v/>
      </c>
      <c r="Z515" s="35">
        <f>IF($U515="",DATE(1900,1,1),$O515)</f>
        <v/>
      </c>
      <c r="AA515" s="32">
        <f>IF($U515="",0,$K515*$T515)</f>
        <v/>
      </c>
      <c r="AB515" s="21">
        <f>IF($C515="",0,IFERROR(INDEX(Deals!$AD$2:$AD$355,MATCH($C515,Deals!$A$2:$A$355,0)),0))</f>
        <v/>
      </c>
      <c r="AC515" s="32">
        <f>IF(Settings!$B$4="Yes",$I515*$AB515,$I515)</f>
        <v/>
      </c>
      <c r="AD515" s="22">
        <f>IF($C515="","",IFERROR(IF(INDEX(Deals!$AE$2:$AE$355,MATCH($C515,Deals!$A$2:$A$355,0))=0,"",INDEX(Deals!$AE$2:$AE$355,MATCH($C515,Deals!$A$2:$A$355,0))),""))</f>
        <v/>
      </c>
      <c r="AE515" s="22">
        <f>IF($C515="","",IFERROR(IF(INDEX(Deals!$AF$2:$AF$355,MATCH($C515,Deals!$A$2:$A$355,0))=0,"",INDEX(Deals!$AF$2:$AF$355,MATCH($C515,Deals!$A$2:$A$355,0))),""))</f>
        <v/>
      </c>
      <c r="AF515" s="35">
        <f>IF($AD515="",DATE(1900,1,1),$AD515)</f>
        <v/>
      </c>
      <c r="AG515" s="35">
        <f>IF($AE515="",DATE(2100,12,31),$AE515)</f>
        <v/>
      </c>
      <c r="AH515" s="22">
        <f>IF($C515="","",IFERROR(IF(INDEX(Deals!$AG$2:$AG$355,MATCH($C515,Deals!$A$2:$A$355,0))=0,"",INDEX(Deals!$AG$2:$AG$355,MATCH($C515,Deals!$A$2:$A$355,0))),""))</f>
        <v/>
      </c>
      <c r="AI515" s="35">
        <f>IF(OR($AH515&lt;&gt;"",AND($AO515&gt;0,$AD515&lt;&gt;"",$AE515&lt;&gt;"")),$AF515,DATE(1900,1,1))</f>
        <v/>
      </c>
      <c r="AJ515" s="35">
        <f>IF($AH515&lt;&gt;"",$AH515,IF(AND($AO515&gt;0,$AD515&lt;&gt;"",$AE515&lt;&gt;""),$AG515,DATE(2100,12,31)))</f>
        <v/>
      </c>
      <c r="AK515" s="32">
        <f>IF($AH515="",$AC515,$AC515*$S515)</f>
        <v/>
      </c>
      <c r="AL515" s="35">
        <f>IF($AH515="",DATE(2100,12,31),$AH515+1)</f>
        <v/>
      </c>
      <c r="AM515" s="35">
        <f>IF($AH515="",DATE(1900,1,1),$AG515)</f>
        <v/>
      </c>
      <c r="AN515" s="32">
        <f>IF($AH515="",0,$AC515*$T515)</f>
        <v/>
      </c>
      <c r="AO515" s="46">
        <f>IF($C515="",0,IFERROR(INDEX(Deals!$BD$2:$BD$355,MATCH($C515,Deals!$A$2:$A$355,0)),0))</f>
        <v/>
      </c>
      <c r="AP515" s="18">
        <f>IF($AO515=0,0,IFERROR(INDEX(Deals!$BJ$2:$BP$355,MATCH($C515,Deals!$A$2:$A$355,0),MATCH($F515,Deals!$BJ$1:$BP$1,0))/COUNTIFS(Assignments!$C$2:$C$769,$C515,Assignments!$F$2:$F$769,$F515,Assignments!$G$2:$G$769,"Active"),0))</f>
        <v/>
      </c>
    </row>
    <row r="516">
      <c r="A516" s="28" t="inlineStr">
        <is>
          <t>Colleen</t>
        </is>
      </c>
      <c r="B516" s="16">
        <f>IF($A516="","",IFERROR(INDEX(Roster!$B$2:$B$40,MATCH($A516,Roster!$A$2:$A$40,0)),"?"))</f>
        <v/>
      </c>
      <c r="C516" s="28" t="inlineStr">
        <is>
          <t>Voyager_1</t>
        </is>
      </c>
      <c r="D516" s="16">
        <f>IF($C516="","",IFERROR(IF(INDEX(Deals!$C$2:$C$355,MATCH($C516,Deals!$A$2:$A$355,0))=0,"",INDEX(Deals!$C$2:$C$355,MATCH($C516,Deals!$A$2:$A$355,0))),"?"))</f>
        <v/>
      </c>
      <c r="E516" s="16">
        <f>IF($C516="","",IFERROR(INDEX(Deals!$F$2:$F$355,MATCH($C516,Deals!$A$2:$A$355,0)),"?"))</f>
        <v/>
      </c>
      <c r="F516" s="28" t="inlineStr">
        <is>
          <t>Senior Associate</t>
        </is>
      </c>
      <c r="G516" s="28" t="inlineStr">
        <is>
          <t>Active</t>
        </is>
      </c>
      <c r="H516" s="31" t="n"/>
      <c r="I516" s="32">
        <f>IF(OR($A516="",$G516&lt;&gt;"Active"),0,IF($H516&lt;&gt;"",$H516,IF($AO516&gt;0,$AP516,IF(AND($R516&lt;&gt;"",IFERROR(INDEX(Templates!$B$3:$H$10,MATCH($R516,Templates!$A$3:$A$10,0),MATCH($F516,Templates!$B$2:$H$2,0)),0)&gt;0),INDEX(Templates!$B$3:$H$10,MATCH($R516,Templates!$A$3:$A$10,0),MATCH($F516,Templates!$B$2:$H$2,0)),IFERROR(INDEX(Settings!$B$8:$B$14,MATCH($F516,Settings!$A$8:$A$14,0)),0)))))</f>
        <v/>
      </c>
      <c r="J516" s="21">
        <f>IF($C516="",0,IFERROR(INDEX(Deals!$H$2:$H$355,MATCH($C516,Deals!$A$2:$A$355,0)),0))</f>
        <v/>
      </c>
      <c r="K516" s="32">
        <f>IF(Settings!$B$4="Yes",$I516*$J516,$I516)</f>
        <v/>
      </c>
      <c r="L516" s="22">
        <f>IF($C516="","",IFERROR(IF(INDEX(Deals!$I$2:$I$355,MATCH($C516,Deals!$A$2:$A$355,0))=0,"",INDEX(Deals!$I$2:$I$355,MATCH($C516,Deals!$A$2:$A$355,0))),""))</f>
        <v/>
      </c>
      <c r="M516" s="22">
        <f>IF($C516="","",IFERROR(IF(INDEX(Deals!$J$2:$J$355,MATCH($C516,Deals!$A$2:$A$355,0))=0,"",INDEX(Deals!$J$2:$J$355,MATCH($C516,Deals!$A$2:$A$355,0))),""))</f>
        <v/>
      </c>
      <c r="N516" s="35">
        <f>IF($L516="",DATE(1900,1,1),$L516)</f>
        <v/>
      </c>
      <c r="O516" s="35">
        <f>IF($M516="",DATE(2100,12,31),$M516)</f>
        <v/>
      </c>
      <c r="P516" s="20" t="inlineStr">
        <is>
          <t>Ongoing</t>
        </is>
      </c>
      <c r="Q516" s="47" t="inlineStr"/>
      <c r="R516" s="16">
        <f>IF($C516="","",IFERROR(IF(INDEX(Deals!$U$2:$U$355,MATCH($C516,Deals!$A$2:$A$355,0))=0,"",INDEX(Deals!$U$2:$U$355,MATCH($C516,Deals!$A$2:$A$355,0))),""))</f>
        <v/>
      </c>
      <c r="S516" s="34">
        <f>IFERROR(IF($U516="",1,INDEX(Deals!$V$2:$V$355,MATCH($C516,Deals!$A$2:$A$355,0))),1)</f>
        <v/>
      </c>
      <c r="T516" s="34">
        <f>IFERROR(IF($U516="",1,INDEX(Deals!$W$2:$W$355,MATCH($C516,Deals!$A$2:$A$355,0))),1)</f>
        <v/>
      </c>
      <c r="U516" s="22">
        <f>IF($C516="","",IFERROR(IF(INDEX(Deals!$Y$2:$Y$355,MATCH($C516,Deals!$A$2:$A$355,0))=0,"",INDEX(Deals!$Y$2:$Y$355,MATCH($C516,Deals!$A$2:$A$355,0))),""))</f>
        <v/>
      </c>
      <c r="V516" s="35">
        <f>IF(OR($U516&lt;&gt;"",AND($AO516&gt;0,$L516&lt;&gt;"",$M516&lt;&gt;"")),$N516,DATE(1900,1,1))</f>
        <v/>
      </c>
      <c r="W516" s="35">
        <f>IF($U516&lt;&gt;"",$U516,IF(AND($AO516&gt;0,$L516&lt;&gt;"",$M516&lt;&gt;""),$O516,DATE(2100,12,31)))</f>
        <v/>
      </c>
      <c r="X516" s="32">
        <f>IF($U516="",$K516,$K516*$S516)</f>
        <v/>
      </c>
      <c r="Y516" s="35">
        <f>IF($U516="",DATE(2100,12,31),$U516+1)</f>
        <v/>
      </c>
      <c r="Z516" s="35">
        <f>IF($U516="",DATE(1900,1,1),$O516)</f>
        <v/>
      </c>
      <c r="AA516" s="32">
        <f>IF($U516="",0,$K516*$T516)</f>
        <v/>
      </c>
      <c r="AB516" s="21">
        <f>IF($C516="",0,IFERROR(INDEX(Deals!$AD$2:$AD$355,MATCH($C516,Deals!$A$2:$A$355,0)),0))</f>
        <v/>
      </c>
      <c r="AC516" s="32">
        <f>IF(Settings!$B$4="Yes",$I516*$AB516,$I516)</f>
        <v/>
      </c>
      <c r="AD516" s="22">
        <f>IF($C516="","",IFERROR(IF(INDEX(Deals!$AE$2:$AE$355,MATCH($C516,Deals!$A$2:$A$355,0))=0,"",INDEX(Deals!$AE$2:$AE$355,MATCH($C516,Deals!$A$2:$A$355,0))),""))</f>
        <v/>
      </c>
      <c r="AE516" s="22">
        <f>IF($C516="","",IFERROR(IF(INDEX(Deals!$AF$2:$AF$355,MATCH($C516,Deals!$A$2:$A$355,0))=0,"",INDEX(Deals!$AF$2:$AF$355,MATCH($C516,Deals!$A$2:$A$355,0))),""))</f>
        <v/>
      </c>
      <c r="AF516" s="35">
        <f>IF($AD516="",DATE(1900,1,1),$AD516)</f>
        <v/>
      </c>
      <c r="AG516" s="35">
        <f>IF($AE516="",DATE(2100,12,31),$AE516)</f>
        <v/>
      </c>
      <c r="AH516" s="22">
        <f>IF($C516="","",IFERROR(IF(INDEX(Deals!$AG$2:$AG$355,MATCH($C516,Deals!$A$2:$A$355,0))=0,"",INDEX(Deals!$AG$2:$AG$355,MATCH($C516,Deals!$A$2:$A$355,0))),""))</f>
        <v/>
      </c>
      <c r="AI516" s="35">
        <f>IF(OR($AH516&lt;&gt;"",AND($AO516&gt;0,$AD516&lt;&gt;"",$AE516&lt;&gt;"")),$AF516,DATE(1900,1,1))</f>
        <v/>
      </c>
      <c r="AJ516" s="35">
        <f>IF($AH516&lt;&gt;"",$AH516,IF(AND($AO516&gt;0,$AD516&lt;&gt;"",$AE516&lt;&gt;""),$AG516,DATE(2100,12,31)))</f>
        <v/>
      </c>
      <c r="AK516" s="32">
        <f>IF($AH516="",$AC516,$AC516*$S516)</f>
        <v/>
      </c>
      <c r="AL516" s="35">
        <f>IF($AH516="",DATE(2100,12,31),$AH516+1)</f>
        <v/>
      </c>
      <c r="AM516" s="35">
        <f>IF($AH516="",DATE(1900,1,1),$AG516)</f>
        <v/>
      </c>
      <c r="AN516" s="32">
        <f>IF($AH516="",0,$AC516*$T516)</f>
        <v/>
      </c>
      <c r="AO516" s="46">
        <f>IF($C516="",0,IFERROR(INDEX(Deals!$BD$2:$BD$355,MATCH($C516,Deals!$A$2:$A$355,0)),0))</f>
        <v/>
      </c>
      <c r="AP516" s="18">
        <f>IF($AO516=0,0,IFERROR(INDEX(Deals!$BJ$2:$BP$355,MATCH($C516,Deals!$A$2:$A$355,0),MATCH($F516,Deals!$BJ$1:$BP$1,0))/COUNTIFS(Assignments!$C$2:$C$769,$C516,Assignments!$F$2:$F$769,$F516,Assignments!$G$2:$G$769,"Active"),0))</f>
        <v/>
      </c>
    </row>
    <row r="517">
      <c r="A517" s="28" t="inlineStr">
        <is>
          <t>Colleen</t>
        </is>
      </c>
      <c r="B517" s="16">
        <f>IF($A517="","",IFERROR(INDEX(Roster!$B$2:$B$40,MATCH($A517,Roster!$A$2:$A$40,0)),"?"))</f>
        <v/>
      </c>
      <c r="C517" s="28" t="inlineStr">
        <is>
          <t>Wheelhouse_2</t>
        </is>
      </c>
      <c r="D517" s="16">
        <f>IF($C517="","",IFERROR(IF(INDEX(Deals!$C$2:$C$355,MATCH($C517,Deals!$A$2:$A$355,0))=0,"",INDEX(Deals!$C$2:$C$355,MATCH($C517,Deals!$A$2:$A$355,0))),"?"))</f>
        <v/>
      </c>
      <c r="E517" s="16">
        <f>IF($C517="","",IFERROR(INDEX(Deals!$F$2:$F$355,MATCH($C517,Deals!$A$2:$A$355,0)),"?"))</f>
        <v/>
      </c>
      <c r="F517" s="28" t="inlineStr">
        <is>
          <t>Senior Associate</t>
        </is>
      </c>
      <c r="G517" s="28" t="inlineStr">
        <is>
          <t>Inactive</t>
        </is>
      </c>
      <c r="H517" s="31" t="n"/>
      <c r="I517" s="32">
        <f>IF(OR($A517="",$G517&lt;&gt;"Active"),0,IF($H517&lt;&gt;"",$H517,IF($AO517&gt;0,$AP517,IF(AND($R517&lt;&gt;"",IFERROR(INDEX(Templates!$B$3:$H$10,MATCH($R517,Templates!$A$3:$A$10,0),MATCH($F517,Templates!$B$2:$H$2,0)),0)&gt;0),INDEX(Templates!$B$3:$H$10,MATCH($R517,Templates!$A$3:$A$10,0),MATCH($F517,Templates!$B$2:$H$2,0)),IFERROR(INDEX(Settings!$B$8:$B$14,MATCH($F517,Settings!$A$8:$A$14,0)),0)))))</f>
        <v/>
      </c>
      <c r="J517" s="21">
        <f>IF($C517="",0,IFERROR(INDEX(Deals!$H$2:$H$355,MATCH($C517,Deals!$A$2:$A$355,0)),0))</f>
        <v/>
      </c>
      <c r="K517" s="32">
        <f>IF(Settings!$B$4="Yes",$I517*$J517,$I517)</f>
        <v/>
      </c>
      <c r="L517" s="22">
        <f>IF($C517="","",IFERROR(IF(INDEX(Deals!$I$2:$I$355,MATCH($C517,Deals!$A$2:$A$355,0))=0,"",INDEX(Deals!$I$2:$I$355,MATCH($C517,Deals!$A$2:$A$355,0))),""))</f>
        <v/>
      </c>
      <c r="M517" s="22">
        <f>IF($C517="","",IFERROR(IF(INDEX(Deals!$J$2:$J$355,MATCH($C517,Deals!$A$2:$A$355,0))=0,"",INDEX(Deals!$J$2:$J$355,MATCH($C517,Deals!$A$2:$A$355,0))),""))</f>
        <v/>
      </c>
      <c r="N517" s="35">
        <f>IF($L517="",DATE(1900,1,1),$L517)</f>
        <v/>
      </c>
      <c r="O517" s="35">
        <f>IF($M517="",DATE(2100,12,31),$M517)</f>
        <v/>
      </c>
      <c r="P517" s="20" t="inlineStr">
        <is>
          <t>Closed</t>
        </is>
      </c>
      <c r="Q517" s="47" t="inlineStr"/>
      <c r="R517" s="16">
        <f>IF($C517="","",IFERROR(IF(INDEX(Deals!$U$2:$U$355,MATCH($C517,Deals!$A$2:$A$355,0))=0,"",INDEX(Deals!$U$2:$U$355,MATCH($C517,Deals!$A$2:$A$355,0))),""))</f>
        <v/>
      </c>
      <c r="S517" s="34">
        <f>IFERROR(IF($U517="",1,INDEX(Deals!$V$2:$V$355,MATCH($C517,Deals!$A$2:$A$355,0))),1)</f>
        <v/>
      </c>
      <c r="T517" s="34">
        <f>IFERROR(IF($U517="",1,INDEX(Deals!$W$2:$W$355,MATCH($C517,Deals!$A$2:$A$355,0))),1)</f>
        <v/>
      </c>
      <c r="U517" s="22">
        <f>IF($C517="","",IFERROR(IF(INDEX(Deals!$Y$2:$Y$355,MATCH($C517,Deals!$A$2:$A$355,0))=0,"",INDEX(Deals!$Y$2:$Y$355,MATCH($C517,Deals!$A$2:$A$355,0))),""))</f>
        <v/>
      </c>
      <c r="V517" s="35">
        <f>IF(OR($U517&lt;&gt;"",AND($AO517&gt;0,$L517&lt;&gt;"",$M517&lt;&gt;"")),$N517,DATE(1900,1,1))</f>
        <v/>
      </c>
      <c r="W517" s="35">
        <f>IF($U517&lt;&gt;"",$U517,IF(AND($AO517&gt;0,$L517&lt;&gt;"",$M517&lt;&gt;""),$O517,DATE(2100,12,31)))</f>
        <v/>
      </c>
      <c r="X517" s="32">
        <f>IF($U517="",$K517,$K517*$S517)</f>
        <v/>
      </c>
      <c r="Y517" s="35">
        <f>IF($U517="",DATE(2100,12,31),$U517+1)</f>
        <v/>
      </c>
      <c r="Z517" s="35">
        <f>IF($U517="",DATE(1900,1,1),$O517)</f>
        <v/>
      </c>
      <c r="AA517" s="32">
        <f>IF($U517="",0,$K517*$T517)</f>
        <v/>
      </c>
      <c r="AB517" s="21">
        <f>IF($C517="",0,IFERROR(INDEX(Deals!$AD$2:$AD$355,MATCH($C517,Deals!$A$2:$A$355,0)),0))</f>
        <v/>
      </c>
      <c r="AC517" s="32">
        <f>IF(Settings!$B$4="Yes",$I517*$AB517,$I517)</f>
        <v/>
      </c>
      <c r="AD517" s="22">
        <f>IF($C517="","",IFERROR(IF(INDEX(Deals!$AE$2:$AE$355,MATCH($C517,Deals!$A$2:$A$355,0))=0,"",INDEX(Deals!$AE$2:$AE$355,MATCH($C517,Deals!$A$2:$A$355,0))),""))</f>
        <v/>
      </c>
      <c r="AE517" s="22">
        <f>IF($C517="","",IFERROR(IF(INDEX(Deals!$AF$2:$AF$355,MATCH($C517,Deals!$A$2:$A$355,0))=0,"",INDEX(Deals!$AF$2:$AF$355,MATCH($C517,Deals!$A$2:$A$355,0))),""))</f>
        <v/>
      </c>
      <c r="AF517" s="35">
        <f>IF($AD517="",DATE(1900,1,1),$AD517)</f>
        <v/>
      </c>
      <c r="AG517" s="35">
        <f>IF($AE517="",DATE(2100,12,31),$AE517)</f>
        <v/>
      </c>
      <c r="AH517" s="22">
        <f>IF($C517="","",IFERROR(IF(INDEX(Deals!$AG$2:$AG$355,MATCH($C517,Deals!$A$2:$A$355,0))=0,"",INDEX(Deals!$AG$2:$AG$355,MATCH($C517,Deals!$A$2:$A$355,0))),""))</f>
        <v/>
      </c>
      <c r="AI517" s="35">
        <f>IF(OR($AH517&lt;&gt;"",AND($AO517&gt;0,$AD517&lt;&gt;"",$AE517&lt;&gt;"")),$AF517,DATE(1900,1,1))</f>
        <v/>
      </c>
      <c r="AJ517" s="35">
        <f>IF($AH517&lt;&gt;"",$AH517,IF(AND($AO517&gt;0,$AD517&lt;&gt;"",$AE517&lt;&gt;""),$AG517,DATE(2100,12,31)))</f>
        <v/>
      </c>
      <c r="AK517" s="32">
        <f>IF($AH517="",$AC517,$AC517*$S517)</f>
        <v/>
      </c>
      <c r="AL517" s="35">
        <f>IF($AH517="",DATE(2100,12,31),$AH517+1)</f>
        <v/>
      </c>
      <c r="AM517" s="35">
        <f>IF($AH517="",DATE(1900,1,1),$AG517)</f>
        <v/>
      </c>
      <c r="AN517" s="32">
        <f>IF($AH517="",0,$AC517*$T517)</f>
        <v/>
      </c>
      <c r="AO517" s="46">
        <f>IF($C517="",0,IFERROR(INDEX(Deals!$BD$2:$BD$355,MATCH($C517,Deals!$A$2:$A$355,0)),0))</f>
        <v/>
      </c>
      <c r="AP517" s="18">
        <f>IF($AO517=0,0,IFERROR(INDEX(Deals!$BJ$2:$BP$355,MATCH($C517,Deals!$A$2:$A$355,0),MATCH($F517,Deals!$BJ$1:$BP$1,0))/COUNTIFS(Assignments!$C$2:$C$769,$C517,Assignments!$F$2:$F$769,$F517,Assignments!$G$2:$G$769,"Active"),0))</f>
        <v/>
      </c>
    </row>
    <row r="518">
      <c r="A518" s="28" t="inlineStr">
        <is>
          <t>Colleen</t>
        </is>
      </c>
      <c r="B518" s="16">
        <f>IF($A518="","",IFERROR(INDEX(Roster!$B$2:$B$40,MATCH($A518,Roster!$A$2:$A$40,0)),"?"))</f>
        <v/>
      </c>
      <c r="C518" s="28" t="inlineStr">
        <is>
          <t>Zora_1</t>
        </is>
      </c>
      <c r="D518" s="16">
        <f>IF($C518="","",IFERROR(IF(INDEX(Deals!$C$2:$C$355,MATCH($C518,Deals!$A$2:$A$355,0))=0,"",INDEX(Deals!$C$2:$C$355,MATCH($C518,Deals!$A$2:$A$355,0))),"?"))</f>
        <v/>
      </c>
      <c r="E518" s="16">
        <f>IF($C518="","",IFERROR(INDEX(Deals!$F$2:$F$355,MATCH($C518,Deals!$A$2:$A$355,0)),"?"))</f>
        <v/>
      </c>
      <c r="F518" s="28" t="inlineStr">
        <is>
          <t>Senior Associate</t>
        </is>
      </c>
      <c r="G518" s="28" t="inlineStr">
        <is>
          <t>Inactive</t>
        </is>
      </c>
      <c r="H518" s="31" t="n"/>
      <c r="I518" s="32">
        <f>IF(OR($A518="",$G518&lt;&gt;"Active"),0,IF($H518&lt;&gt;"",$H518,IF($AO518&gt;0,$AP518,IF(AND($R518&lt;&gt;"",IFERROR(INDEX(Templates!$B$3:$H$10,MATCH($R518,Templates!$A$3:$A$10,0),MATCH($F518,Templates!$B$2:$H$2,0)),0)&gt;0),INDEX(Templates!$B$3:$H$10,MATCH($R518,Templates!$A$3:$A$10,0),MATCH($F518,Templates!$B$2:$H$2,0)),IFERROR(INDEX(Settings!$B$8:$B$14,MATCH($F518,Settings!$A$8:$A$14,0)),0)))))</f>
        <v/>
      </c>
      <c r="J518" s="21">
        <f>IF($C518="",0,IFERROR(INDEX(Deals!$H$2:$H$355,MATCH($C518,Deals!$A$2:$A$355,0)),0))</f>
        <v/>
      </c>
      <c r="K518" s="32">
        <f>IF(Settings!$B$4="Yes",$I518*$J518,$I518)</f>
        <v/>
      </c>
      <c r="L518" s="22">
        <f>IF($C518="","",IFERROR(IF(INDEX(Deals!$I$2:$I$355,MATCH($C518,Deals!$A$2:$A$355,0))=0,"",INDEX(Deals!$I$2:$I$355,MATCH($C518,Deals!$A$2:$A$355,0))),""))</f>
        <v/>
      </c>
      <c r="M518" s="22">
        <f>IF($C518="","",IFERROR(IF(INDEX(Deals!$J$2:$J$355,MATCH($C518,Deals!$A$2:$A$355,0))=0,"",INDEX(Deals!$J$2:$J$355,MATCH($C518,Deals!$A$2:$A$355,0))),""))</f>
        <v/>
      </c>
      <c r="N518" s="35">
        <f>IF($L518="",DATE(1900,1,1),$L518)</f>
        <v/>
      </c>
      <c r="O518" s="35">
        <f>IF($M518="",DATE(2100,12,31),$M518)</f>
        <v/>
      </c>
      <c r="P518" s="20" t="inlineStr">
        <is>
          <t>Closed</t>
        </is>
      </c>
      <c r="Q518" s="47" t="inlineStr"/>
      <c r="R518" s="16">
        <f>IF($C518="","",IFERROR(IF(INDEX(Deals!$U$2:$U$355,MATCH($C518,Deals!$A$2:$A$355,0))=0,"",INDEX(Deals!$U$2:$U$355,MATCH($C518,Deals!$A$2:$A$355,0))),""))</f>
        <v/>
      </c>
      <c r="S518" s="34">
        <f>IFERROR(IF($U518="",1,INDEX(Deals!$V$2:$V$355,MATCH($C518,Deals!$A$2:$A$355,0))),1)</f>
        <v/>
      </c>
      <c r="T518" s="34">
        <f>IFERROR(IF($U518="",1,INDEX(Deals!$W$2:$W$355,MATCH($C518,Deals!$A$2:$A$355,0))),1)</f>
        <v/>
      </c>
      <c r="U518" s="22">
        <f>IF($C518="","",IFERROR(IF(INDEX(Deals!$Y$2:$Y$355,MATCH($C518,Deals!$A$2:$A$355,0))=0,"",INDEX(Deals!$Y$2:$Y$355,MATCH($C518,Deals!$A$2:$A$355,0))),""))</f>
        <v/>
      </c>
      <c r="V518" s="35">
        <f>IF(OR($U518&lt;&gt;"",AND($AO518&gt;0,$L518&lt;&gt;"",$M518&lt;&gt;"")),$N518,DATE(1900,1,1))</f>
        <v/>
      </c>
      <c r="W518" s="35">
        <f>IF($U518&lt;&gt;"",$U518,IF(AND($AO518&gt;0,$L518&lt;&gt;"",$M518&lt;&gt;""),$O518,DATE(2100,12,31)))</f>
        <v/>
      </c>
      <c r="X518" s="32">
        <f>IF($U518="",$K518,$K518*$S518)</f>
        <v/>
      </c>
      <c r="Y518" s="35">
        <f>IF($U518="",DATE(2100,12,31),$U518+1)</f>
        <v/>
      </c>
      <c r="Z518" s="35">
        <f>IF($U518="",DATE(1900,1,1),$O518)</f>
        <v/>
      </c>
      <c r="AA518" s="32">
        <f>IF($U518="",0,$K518*$T518)</f>
        <v/>
      </c>
      <c r="AB518" s="21">
        <f>IF($C518="",0,IFERROR(INDEX(Deals!$AD$2:$AD$355,MATCH($C518,Deals!$A$2:$A$355,0)),0))</f>
        <v/>
      </c>
      <c r="AC518" s="32">
        <f>IF(Settings!$B$4="Yes",$I518*$AB518,$I518)</f>
        <v/>
      </c>
      <c r="AD518" s="22">
        <f>IF($C518="","",IFERROR(IF(INDEX(Deals!$AE$2:$AE$355,MATCH($C518,Deals!$A$2:$A$355,0))=0,"",INDEX(Deals!$AE$2:$AE$355,MATCH($C518,Deals!$A$2:$A$355,0))),""))</f>
        <v/>
      </c>
      <c r="AE518" s="22">
        <f>IF($C518="","",IFERROR(IF(INDEX(Deals!$AF$2:$AF$355,MATCH($C518,Deals!$A$2:$A$355,0))=0,"",INDEX(Deals!$AF$2:$AF$355,MATCH($C518,Deals!$A$2:$A$355,0))),""))</f>
        <v/>
      </c>
      <c r="AF518" s="35">
        <f>IF($AD518="",DATE(1900,1,1),$AD518)</f>
        <v/>
      </c>
      <c r="AG518" s="35">
        <f>IF($AE518="",DATE(2100,12,31),$AE518)</f>
        <v/>
      </c>
      <c r="AH518" s="22">
        <f>IF($C518="","",IFERROR(IF(INDEX(Deals!$AG$2:$AG$355,MATCH($C518,Deals!$A$2:$A$355,0))=0,"",INDEX(Deals!$AG$2:$AG$355,MATCH($C518,Deals!$A$2:$A$355,0))),""))</f>
        <v/>
      </c>
      <c r="AI518" s="35">
        <f>IF(OR($AH518&lt;&gt;"",AND($AO518&gt;0,$AD518&lt;&gt;"",$AE518&lt;&gt;"")),$AF518,DATE(1900,1,1))</f>
        <v/>
      </c>
      <c r="AJ518" s="35">
        <f>IF($AH518&lt;&gt;"",$AH518,IF(AND($AO518&gt;0,$AD518&lt;&gt;"",$AE518&lt;&gt;""),$AG518,DATE(2100,12,31)))</f>
        <v/>
      </c>
      <c r="AK518" s="32">
        <f>IF($AH518="",$AC518,$AC518*$S518)</f>
        <v/>
      </c>
      <c r="AL518" s="35">
        <f>IF($AH518="",DATE(2100,12,31),$AH518+1)</f>
        <v/>
      </c>
      <c r="AM518" s="35">
        <f>IF($AH518="",DATE(1900,1,1),$AG518)</f>
        <v/>
      </c>
      <c r="AN518" s="32">
        <f>IF($AH518="",0,$AC518*$T518)</f>
        <v/>
      </c>
      <c r="AO518" s="46">
        <f>IF($C518="",0,IFERROR(INDEX(Deals!$BD$2:$BD$355,MATCH($C518,Deals!$A$2:$A$355,0)),0))</f>
        <v/>
      </c>
      <c r="AP518" s="18">
        <f>IF($AO518=0,0,IFERROR(INDEX(Deals!$BJ$2:$BP$355,MATCH($C518,Deals!$A$2:$A$355,0),MATCH($F518,Deals!$BJ$1:$BP$1,0))/COUNTIFS(Assignments!$C$2:$C$769,$C518,Assignments!$F$2:$F$769,$F518,Assignments!$G$2:$G$769,"Active"),0))</f>
        <v/>
      </c>
    </row>
    <row r="519">
      <c r="A519" s="28" t="inlineStr">
        <is>
          <t>Jennifer Wu</t>
        </is>
      </c>
      <c r="B519" s="16">
        <f>IF($A519="","",IFERROR(INDEX(Roster!$B$2:$B$40,MATCH($A519,Roster!$A$2:$A$40,0)),"?"))</f>
        <v/>
      </c>
      <c r="C519" s="28" t="inlineStr">
        <is>
          <t>360_2</t>
        </is>
      </c>
      <c r="D519" s="16">
        <f>IF($C519="","",IFERROR(IF(INDEX(Deals!$C$2:$C$355,MATCH($C519,Deals!$A$2:$A$355,0))=0,"",INDEX(Deals!$C$2:$C$355,MATCH($C519,Deals!$A$2:$A$355,0))),"?"))</f>
        <v/>
      </c>
      <c r="E519" s="16">
        <f>IF($C519="","",IFERROR(INDEX(Deals!$F$2:$F$355,MATCH($C519,Deals!$A$2:$A$355,0)),"?"))</f>
        <v/>
      </c>
      <c r="F519" s="28" t="inlineStr">
        <is>
          <t>Senior Associate</t>
        </is>
      </c>
      <c r="G519" s="28" t="inlineStr">
        <is>
          <t>Active</t>
        </is>
      </c>
      <c r="H519" s="31" t="n"/>
      <c r="I519" s="32">
        <f>IF(OR($A519="",$G519&lt;&gt;"Active"),0,IF($H519&lt;&gt;"",$H519,IF($AO519&gt;0,$AP519,IF(AND($R519&lt;&gt;"",IFERROR(INDEX(Templates!$B$3:$H$10,MATCH($R519,Templates!$A$3:$A$10,0),MATCH($F519,Templates!$B$2:$H$2,0)),0)&gt;0),INDEX(Templates!$B$3:$H$10,MATCH($R519,Templates!$A$3:$A$10,0),MATCH($F519,Templates!$B$2:$H$2,0)),IFERROR(INDEX(Settings!$B$8:$B$14,MATCH($F519,Settings!$A$8:$A$14,0)),0)))))</f>
        <v/>
      </c>
      <c r="J519" s="21">
        <f>IF($C519="",0,IFERROR(INDEX(Deals!$H$2:$H$355,MATCH($C519,Deals!$A$2:$A$355,0)),0))</f>
        <v/>
      </c>
      <c r="K519" s="32">
        <f>IF(Settings!$B$4="Yes",$I519*$J519,$I519)</f>
        <v/>
      </c>
      <c r="L519" s="22">
        <f>IF($C519="","",IFERROR(IF(INDEX(Deals!$I$2:$I$355,MATCH($C519,Deals!$A$2:$A$355,0))=0,"",INDEX(Deals!$I$2:$I$355,MATCH($C519,Deals!$A$2:$A$355,0))),""))</f>
        <v/>
      </c>
      <c r="M519" s="22">
        <f>IF($C519="","",IFERROR(IF(INDEX(Deals!$J$2:$J$355,MATCH($C519,Deals!$A$2:$A$355,0))=0,"",INDEX(Deals!$J$2:$J$355,MATCH($C519,Deals!$A$2:$A$355,0))),""))</f>
        <v/>
      </c>
      <c r="N519" s="35">
        <f>IF($L519="",DATE(1900,1,1),$L519)</f>
        <v/>
      </c>
      <c r="O519" s="35">
        <f>IF($M519="",DATE(2100,12,31),$M519)</f>
        <v/>
      </c>
      <c r="P519" s="20" t="inlineStr"/>
      <c r="Q519" s="47" t="inlineStr"/>
      <c r="R519" s="16">
        <f>IF($C519="","",IFERROR(IF(INDEX(Deals!$U$2:$U$355,MATCH($C519,Deals!$A$2:$A$355,0))=0,"",INDEX(Deals!$U$2:$U$355,MATCH($C519,Deals!$A$2:$A$355,0))),""))</f>
        <v/>
      </c>
      <c r="S519" s="34">
        <f>IFERROR(IF($U519="",1,INDEX(Deals!$V$2:$V$355,MATCH($C519,Deals!$A$2:$A$355,0))),1)</f>
        <v/>
      </c>
      <c r="T519" s="34">
        <f>IFERROR(IF($U519="",1,INDEX(Deals!$W$2:$W$355,MATCH($C519,Deals!$A$2:$A$355,0))),1)</f>
        <v/>
      </c>
      <c r="U519" s="22">
        <f>IF($C519="","",IFERROR(IF(INDEX(Deals!$Y$2:$Y$355,MATCH($C519,Deals!$A$2:$A$355,0))=0,"",INDEX(Deals!$Y$2:$Y$355,MATCH($C519,Deals!$A$2:$A$355,0))),""))</f>
        <v/>
      </c>
      <c r="V519" s="35">
        <f>IF(OR($U519&lt;&gt;"",AND($AO519&gt;0,$L519&lt;&gt;"",$M519&lt;&gt;"")),$N519,DATE(1900,1,1))</f>
        <v/>
      </c>
      <c r="W519" s="35">
        <f>IF($U519&lt;&gt;"",$U519,IF(AND($AO519&gt;0,$L519&lt;&gt;"",$M519&lt;&gt;""),$O519,DATE(2100,12,31)))</f>
        <v/>
      </c>
      <c r="X519" s="32">
        <f>IF($U519="",$K519,$K519*$S519)</f>
        <v/>
      </c>
      <c r="Y519" s="35">
        <f>IF($U519="",DATE(2100,12,31),$U519+1)</f>
        <v/>
      </c>
      <c r="Z519" s="35">
        <f>IF($U519="",DATE(1900,1,1),$O519)</f>
        <v/>
      </c>
      <c r="AA519" s="32">
        <f>IF($U519="",0,$K519*$T519)</f>
        <v/>
      </c>
      <c r="AB519" s="21">
        <f>IF($C519="",0,IFERROR(INDEX(Deals!$AD$2:$AD$355,MATCH($C519,Deals!$A$2:$A$355,0)),0))</f>
        <v/>
      </c>
      <c r="AC519" s="32">
        <f>IF(Settings!$B$4="Yes",$I519*$AB519,$I519)</f>
        <v/>
      </c>
      <c r="AD519" s="22">
        <f>IF($C519="","",IFERROR(IF(INDEX(Deals!$AE$2:$AE$355,MATCH($C519,Deals!$A$2:$A$355,0))=0,"",INDEX(Deals!$AE$2:$AE$355,MATCH($C519,Deals!$A$2:$A$355,0))),""))</f>
        <v/>
      </c>
      <c r="AE519" s="22">
        <f>IF($C519="","",IFERROR(IF(INDEX(Deals!$AF$2:$AF$355,MATCH($C519,Deals!$A$2:$A$355,0))=0,"",INDEX(Deals!$AF$2:$AF$355,MATCH($C519,Deals!$A$2:$A$355,0))),""))</f>
        <v/>
      </c>
      <c r="AF519" s="35">
        <f>IF($AD519="",DATE(1900,1,1),$AD519)</f>
        <v/>
      </c>
      <c r="AG519" s="35">
        <f>IF($AE519="",DATE(2100,12,31),$AE519)</f>
        <v/>
      </c>
      <c r="AH519" s="22">
        <f>IF($C519="","",IFERROR(IF(INDEX(Deals!$AG$2:$AG$355,MATCH($C519,Deals!$A$2:$A$355,0))=0,"",INDEX(Deals!$AG$2:$AG$355,MATCH($C519,Deals!$A$2:$A$355,0))),""))</f>
        <v/>
      </c>
      <c r="AI519" s="35">
        <f>IF(OR($AH519&lt;&gt;"",AND($AO519&gt;0,$AD519&lt;&gt;"",$AE519&lt;&gt;"")),$AF519,DATE(1900,1,1))</f>
        <v/>
      </c>
      <c r="AJ519" s="35">
        <f>IF($AH519&lt;&gt;"",$AH519,IF(AND($AO519&gt;0,$AD519&lt;&gt;"",$AE519&lt;&gt;""),$AG519,DATE(2100,12,31)))</f>
        <v/>
      </c>
      <c r="AK519" s="32">
        <f>IF($AH519="",$AC519,$AC519*$S519)</f>
        <v/>
      </c>
      <c r="AL519" s="35">
        <f>IF($AH519="",DATE(2100,12,31),$AH519+1)</f>
        <v/>
      </c>
      <c r="AM519" s="35">
        <f>IF($AH519="",DATE(1900,1,1),$AG519)</f>
        <v/>
      </c>
      <c r="AN519" s="32">
        <f>IF($AH519="",0,$AC519*$T519)</f>
        <v/>
      </c>
      <c r="AO519" s="46">
        <f>IF($C519="",0,IFERROR(INDEX(Deals!$BD$2:$BD$355,MATCH($C519,Deals!$A$2:$A$355,0)),0))</f>
        <v/>
      </c>
      <c r="AP519" s="18">
        <f>IF($AO519=0,0,IFERROR(INDEX(Deals!$BJ$2:$BP$355,MATCH($C519,Deals!$A$2:$A$355,0),MATCH($F519,Deals!$BJ$1:$BP$1,0))/COUNTIFS(Assignments!$C$2:$C$769,$C519,Assignments!$F$2:$F$769,$F519,Assignments!$G$2:$G$769,"Active"),0))</f>
        <v/>
      </c>
    </row>
    <row r="520">
      <c r="A520" s="28" t="inlineStr">
        <is>
          <t>Jennifer Wu</t>
        </is>
      </c>
      <c r="B520" s="16">
        <f>IF($A520="","",IFERROR(INDEX(Roster!$B$2:$B$40,MATCH($A520,Roster!$A$2:$A$40,0)),"?"))</f>
        <v/>
      </c>
      <c r="C520" s="28" t="inlineStr">
        <is>
          <t>Avengers</t>
        </is>
      </c>
      <c r="D520" s="16">
        <f>IF($C520="","",IFERROR(IF(INDEX(Deals!$C$2:$C$355,MATCH($C520,Deals!$A$2:$A$355,0))=0,"",INDEX(Deals!$C$2:$C$355,MATCH($C520,Deals!$A$2:$A$355,0))),"?"))</f>
        <v/>
      </c>
      <c r="E520" s="16">
        <f>IF($C520="","",IFERROR(INDEX(Deals!$F$2:$F$355,MATCH($C520,Deals!$A$2:$A$355,0)),"?"))</f>
        <v/>
      </c>
      <c r="F520" s="28" t="inlineStr">
        <is>
          <t>Senior Associate</t>
        </is>
      </c>
      <c r="G520" s="28" t="inlineStr">
        <is>
          <t>Active</t>
        </is>
      </c>
      <c r="H520" s="31" t="n"/>
      <c r="I520" s="32">
        <f>IF(OR($A520="",$G520&lt;&gt;"Active"),0,IF($H520&lt;&gt;"",$H520,IF($AO520&gt;0,$AP520,IF(AND($R520&lt;&gt;"",IFERROR(INDEX(Templates!$B$3:$H$10,MATCH($R520,Templates!$A$3:$A$10,0),MATCH($F520,Templates!$B$2:$H$2,0)),0)&gt;0),INDEX(Templates!$B$3:$H$10,MATCH($R520,Templates!$A$3:$A$10,0),MATCH($F520,Templates!$B$2:$H$2,0)),IFERROR(INDEX(Settings!$B$8:$B$14,MATCH($F520,Settings!$A$8:$A$14,0)),0)))))</f>
        <v/>
      </c>
      <c r="J520" s="21">
        <f>IF($C520="",0,IFERROR(INDEX(Deals!$H$2:$H$355,MATCH($C520,Deals!$A$2:$A$355,0)),0))</f>
        <v/>
      </c>
      <c r="K520" s="32">
        <f>IF(Settings!$B$4="Yes",$I520*$J520,$I520)</f>
        <v/>
      </c>
      <c r="L520" s="22">
        <f>IF($C520="","",IFERROR(IF(INDEX(Deals!$I$2:$I$355,MATCH($C520,Deals!$A$2:$A$355,0))=0,"",INDEX(Deals!$I$2:$I$355,MATCH($C520,Deals!$A$2:$A$355,0))),""))</f>
        <v/>
      </c>
      <c r="M520" s="22">
        <f>IF($C520="","",IFERROR(IF(INDEX(Deals!$J$2:$J$355,MATCH($C520,Deals!$A$2:$A$355,0))=0,"",INDEX(Deals!$J$2:$J$355,MATCH($C520,Deals!$A$2:$A$355,0))),""))</f>
        <v/>
      </c>
      <c r="N520" s="35">
        <f>IF($L520="",DATE(1900,1,1),$L520)</f>
        <v/>
      </c>
      <c r="O520" s="35">
        <f>IF($M520="",DATE(2100,12,31),$M520)</f>
        <v/>
      </c>
      <c r="P520" s="20" t="inlineStr"/>
      <c r="Q520" s="47" t="inlineStr"/>
      <c r="R520" s="16">
        <f>IF($C520="","",IFERROR(IF(INDEX(Deals!$U$2:$U$355,MATCH($C520,Deals!$A$2:$A$355,0))=0,"",INDEX(Deals!$U$2:$U$355,MATCH($C520,Deals!$A$2:$A$355,0))),""))</f>
        <v/>
      </c>
      <c r="S520" s="34">
        <f>IFERROR(IF($U520="",1,INDEX(Deals!$V$2:$V$355,MATCH($C520,Deals!$A$2:$A$355,0))),1)</f>
        <v/>
      </c>
      <c r="T520" s="34">
        <f>IFERROR(IF($U520="",1,INDEX(Deals!$W$2:$W$355,MATCH($C520,Deals!$A$2:$A$355,0))),1)</f>
        <v/>
      </c>
      <c r="U520" s="22">
        <f>IF($C520="","",IFERROR(IF(INDEX(Deals!$Y$2:$Y$355,MATCH($C520,Deals!$A$2:$A$355,0))=0,"",INDEX(Deals!$Y$2:$Y$355,MATCH($C520,Deals!$A$2:$A$355,0))),""))</f>
        <v/>
      </c>
      <c r="V520" s="35">
        <f>IF(OR($U520&lt;&gt;"",AND($AO520&gt;0,$L520&lt;&gt;"",$M520&lt;&gt;"")),$N520,DATE(1900,1,1))</f>
        <v/>
      </c>
      <c r="W520" s="35">
        <f>IF($U520&lt;&gt;"",$U520,IF(AND($AO520&gt;0,$L520&lt;&gt;"",$M520&lt;&gt;""),$O520,DATE(2100,12,31)))</f>
        <v/>
      </c>
      <c r="X520" s="32">
        <f>IF($U520="",$K520,$K520*$S520)</f>
        <v/>
      </c>
      <c r="Y520" s="35">
        <f>IF($U520="",DATE(2100,12,31),$U520+1)</f>
        <v/>
      </c>
      <c r="Z520" s="35">
        <f>IF($U520="",DATE(1900,1,1),$O520)</f>
        <v/>
      </c>
      <c r="AA520" s="32">
        <f>IF($U520="",0,$K520*$T520)</f>
        <v/>
      </c>
      <c r="AB520" s="21">
        <f>IF($C520="",0,IFERROR(INDEX(Deals!$AD$2:$AD$355,MATCH($C520,Deals!$A$2:$A$355,0)),0))</f>
        <v/>
      </c>
      <c r="AC520" s="32">
        <f>IF(Settings!$B$4="Yes",$I520*$AB520,$I520)</f>
        <v/>
      </c>
      <c r="AD520" s="22">
        <f>IF($C520="","",IFERROR(IF(INDEX(Deals!$AE$2:$AE$355,MATCH($C520,Deals!$A$2:$A$355,0))=0,"",INDEX(Deals!$AE$2:$AE$355,MATCH($C520,Deals!$A$2:$A$355,0))),""))</f>
        <v/>
      </c>
      <c r="AE520" s="22">
        <f>IF($C520="","",IFERROR(IF(INDEX(Deals!$AF$2:$AF$355,MATCH($C520,Deals!$A$2:$A$355,0))=0,"",INDEX(Deals!$AF$2:$AF$355,MATCH($C520,Deals!$A$2:$A$355,0))),""))</f>
        <v/>
      </c>
      <c r="AF520" s="35">
        <f>IF($AD520="",DATE(1900,1,1),$AD520)</f>
        <v/>
      </c>
      <c r="AG520" s="35">
        <f>IF($AE520="",DATE(2100,12,31),$AE520)</f>
        <v/>
      </c>
      <c r="AH520" s="22">
        <f>IF($C520="","",IFERROR(IF(INDEX(Deals!$AG$2:$AG$355,MATCH($C520,Deals!$A$2:$A$355,0))=0,"",INDEX(Deals!$AG$2:$AG$355,MATCH($C520,Deals!$A$2:$A$355,0))),""))</f>
        <v/>
      </c>
      <c r="AI520" s="35">
        <f>IF(OR($AH520&lt;&gt;"",AND($AO520&gt;0,$AD520&lt;&gt;"",$AE520&lt;&gt;"")),$AF520,DATE(1900,1,1))</f>
        <v/>
      </c>
      <c r="AJ520" s="35">
        <f>IF($AH520&lt;&gt;"",$AH520,IF(AND($AO520&gt;0,$AD520&lt;&gt;"",$AE520&lt;&gt;""),$AG520,DATE(2100,12,31)))</f>
        <v/>
      </c>
      <c r="AK520" s="32">
        <f>IF($AH520="",$AC520,$AC520*$S520)</f>
        <v/>
      </c>
      <c r="AL520" s="35">
        <f>IF($AH520="",DATE(2100,12,31),$AH520+1)</f>
        <v/>
      </c>
      <c r="AM520" s="35">
        <f>IF($AH520="",DATE(1900,1,1),$AG520)</f>
        <v/>
      </c>
      <c r="AN520" s="32">
        <f>IF($AH520="",0,$AC520*$T520)</f>
        <v/>
      </c>
      <c r="AO520" s="46">
        <f>IF($C520="",0,IFERROR(INDEX(Deals!$BD$2:$BD$355,MATCH($C520,Deals!$A$2:$A$355,0)),0))</f>
        <v/>
      </c>
      <c r="AP520" s="18">
        <f>IF($AO520=0,0,IFERROR(INDEX(Deals!$BJ$2:$BP$355,MATCH($C520,Deals!$A$2:$A$355,0),MATCH($F520,Deals!$BJ$1:$BP$1,0))/COUNTIFS(Assignments!$C$2:$C$769,$C520,Assignments!$F$2:$F$769,$F520,Assignments!$G$2:$G$769,"Active"),0))</f>
        <v/>
      </c>
    </row>
    <row r="521">
      <c r="A521" s="28" t="inlineStr">
        <is>
          <t>Jennifer Wu</t>
        </is>
      </c>
      <c r="B521" s="16">
        <f>IF($A521="","",IFERROR(INDEX(Roster!$B$2:$B$40,MATCH($A521,Roster!$A$2:$A$40,0)),"?"))</f>
        <v/>
      </c>
      <c r="C521" s="28" t="inlineStr">
        <is>
          <t>B2V_1</t>
        </is>
      </c>
      <c r="D521" s="16">
        <f>IF($C521="","",IFERROR(IF(INDEX(Deals!$C$2:$C$355,MATCH($C521,Deals!$A$2:$A$355,0))=0,"",INDEX(Deals!$C$2:$C$355,MATCH($C521,Deals!$A$2:$A$355,0))),"?"))</f>
        <v/>
      </c>
      <c r="E521" s="16">
        <f>IF($C521="","",IFERROR(INDEX(Deals!$F$2:$F$355,MATCH($C521,Deals!$A$2:$A$355,0)),"?"))</f>
        <v/>
      </c>
      <c r="F521" s="28" t="inlineStr">
        <is>
          <t>Senior Associate</t>
        </is>
      </c>
      <c r="G521" s="28" t="inlineStr">
        <is>
          <t>Active</t>
        </is>
      </c>
      <c r="H521" s="31" t="n"/>
      <c r="I521" s="32">
        <f>IF(OR($A521="",$G521&lt;&gt;"Active"),0,IF($H521&lt;&gt;"",$H521,IF($AO521&gt;0,$AP521,IF(AND($R521&lt;&gt;"",IFERROR(INDEX(Templates!$B$3:$H$10,MATCH($R521,Templates!$A$3:$A$10,0),MATCH($F521,Templates!$B$2:$H$2,0)),0)&gt;0),INDEX(Templates!$B$3:$H$10,MATCH($R521,Templates!$A$3:$A$10,0),MATCH($F521,Templates!$B$2:$H$2,0)),IFERROR(INDEX(Settings!$B$8:$B$14,MATCH($F521,Settings!$A$8:$A$14,0)),0)))))</f>
        <v/>
      </c>
      <c r="J521" s="21">
        <f>IF($C521="",0,IFERROR(INDEX(Deals!$H$2:$H$355,MATCH($C521,Deals!$A$2:$A$355,0)),0))</f>
        <v/>
      </c>
      <c r="K521" s="32">
        <f>IF(Settings!$B$4="Yes",$I521*$J521,$I521)</f>
        <v/>
      </c>
      <c r="L521" s="22">
        <f>IF($C521="","",IFERROR(IF(INDEX(Deals!$I$2:$I$355,MATCH($C521,Deals!$A$2:$A$355,0))=0,"",INDEX(Deals!$I$2:$I$355,MATCH($C521,Deals!$A$2:$A$355,0))),""))</f>
        <v/>
      </c>
      <c r="M521" s="22">
        <f>IF($C521="","",IFERROR(IF(INDEX(Deals!$J$2:$J$355,MATCH($C521,Deals!$A$2:$A$355,0))=0,"",INDEX(Deals!$J$2:$J$355,MATCH($C521,Deals!$A$2:$A$355,0))),""))</f>
        <v/>
      </c>
      <c r="N521" s="35">
        <f>IF($L521="",DATE(1900,1,1),$L521)</f>
        <v/>
      </c>
      <c r="O521" s="35">
        <f>IF($M521="",DATE(2100,12,31),$M521)</f>
        <v/>
      </c>
      <c r="P521" s="20" t="inlineStr"/>
      <c r="Q521" s="47" t="inlineStr"/>
      <c r="R521" s="16">
        <f>IF($C521="","",IFERROR(IF(INDEX(Deals!$U$2:$U$355,MATCH($C521,Deals!$A$2:$A$355,0))=0,"",INDEX(Deals!$U$2:$U$355,MATCH($C521,Deals!$A$2:$A$355,0))),""))</f>
        <v/>
      </c>
      <c r="S521" s="34">
        <f>IFERROR(IF($U521="",1,INDEX(Deals!$V$2:$V$355,MATCH($C521,Deals!$A$2:$A$355,0))),1)</f>
        <v/>
      </c>
      <c r="T521" s="34">
        <f>IFERROR(IF($U521="",1,INDEX(Deals!$W$2:$W$355,MATCH($C521,Deals!$A$2:$A$355,0))),1)</f>
        <v/>
      </c>
      <c r="U521" s="22">
        <f>IF($C521="","",IFERROR(IF(INDEX(Deals!$Y$2:$Y$355,MATCH($C521,Deals!$A$2:$A$355,0))=0,"",INDEX(Deals!$Y$2:$Y$355,MATCH($C521,Deals!$A$2:$A$355,0))),""))</f>
        <v/>
      </c>
      <c r="V521" s="35">
        <f>IF(OR($U521&lt;&gt;"",AND($AO521&gt;0,$L521&lt;&gt;"",$M521&lt;&gt;"")),$N521,DATE(1900,1,1))</f>
        <v/>
      </c>
      <c r="W521" s="35">
        <f>IF($U521&lt;&gt;"",$U521,IF(AND($AO521&gt;0,$L521&lt;&gt;"",$M521&lt;&gt;""),$O521,DATE(2100,12,31)))</f>
        <v/>
      </c>
      <c r="X521" s="32">
        <f>IF($U521="",$K521,$K521*$S521)</f>
        <v/>
      </c>
      <c r="Y521" s="35">
        <f>IF($U521="",DATE(2100,12,31),$U521+1)</f>
        <v/>
      </c>
      <c r="Z521" s="35">
        <f>IF($U521="",DATE(1900,1,1),$O521)</f>
        <v/>
      </c>
      <c r="AA521" s="32">
        <f>IF($U521="",0,$K521*$T521)</f>
        <v/>
      </c>
      <c r="AB521" s="21">
        <f>IF($C521="",0,IFERROR(INDEX(Deals!$AD$2:$AD$355,MATCH($C521,Deals!$A$2:$A$355,0)),0))</f>
        <v/>
      </c>
      <c r="AC521" s="32">
        <f>IF(Settings!$B$4="Yes",$I521*$AB521,$I521)</f>
        <v/>
      </c>
      <c r="AD521" s="22">
        <f>IF($C521="","",IFERROR(IF(INDEX(Deals!$AE$2:$AE$355,MATCH($C521,Deals!$A$2:$A$355,0))=0,"",INDEX(Deals!$AE$2:$AE$355,MATCH($C521,Deals!$A$2:$A$355,0))),""))</f>
        <v/>
      </c>
      <c r="AE521" s="22">
        <f>IF($C521="","",IFERROR(IF(INDEX(Deals!$AF$2:$AF$355,MATCH($C521,Deals!$A$2:$A$355,0))=0,"",INDEX(Deals!$AF$2:$AF$355,MATCH($C521,Deals!$A$2:$A$355,0))),""))</f>
        <v/>
      </c>
      <c r="AF521" s="35">
        <f>IF($AD521="",DATE(1900,1,1),$AD521)</f>
        <v/>
      </c>
      <c r="AG521" s="35">
        <f>IF($AE521="",DATE(2100,12,31),$AE521)</f>
        <v/>
      </c>
      <c r="AH521" s="22">
        <f>IF($C521="","",IFERROR(IF(INDEX(Deals!$AG$2:$AG$355,MATCH($C521,Deals!$A$2:$A$355,0))=0,"",INDEX(Deals!$AG$2:$AG$355,MATCH($C521,Deals!$A$2:$A$355,0))),""))</f>
        <v/>
      </c>
      <c r="AI521" s="35">
        <f>IF(OR($AH521&lt;&gt;"",AND($AO521&gt;0,$AD521&lt;&gt;"",$AE521&lt;&gt;"")),$AF521,DATE(1900,1,1))</f>
        <v/>
      </c>
      <c r="AJ521" s="35">
        <f>IF($AH521&lt;&gt;"",$AH521,IF(AND($AO521&gt;0,$AD521&lt;&gt;"",$AE521&lt;&gt;""),$AG521,DATE(2100,12,31)))</f>
        <v/>
      </c>
      <c r="AK521" s="32">
        <f>IF($AH521="",$AC521,$AC521*$S521)</f>
        <v/>
      </c>
      <c r="AL521" s="35">
        <f>IF($AH521="",DATE(2100,12,31),$AH521+1)</f>
        <v/>
      </c>
      <c r="AM521" s="35">
        <f>IF($AH521="",DATE(1900,1,1),$AG521)</f>
        <v/>
      </c>
      <c r="AN521" s="32">
        <f>IF($AH521="",0,$AC521*$T521)</f>
        <v/>
      </c>
      <c r="AO521" s="46">
        <f>IF($C521="",0,IFERROR(INDEX(Deals!$BD$2:$BD$355,MATCH($C521,Deals!$A$2:$A$355,0)),0))</f>
        <v/>
      </c>
      <c r="AP521" s="18">
        <f>IF($AO521=0,0,IFERROR(INDEX(Deals!$BJ$2:$BP$355,MATCH($C521,Deals!$A$2:$A$355,0),MATCH($F521,Deals!$BJ$1:$BP$1,0))/COUNTIFS(Assignments!$C$2:$C$769,$C521,Assignments!$F$2:$F$769,$F521,Assignments!$G$2:$G$769,"Active"),0))</f>
        <v/>
      </c>
    </row>
    <row r="522">
      <c r="A522" s="28" t="inlineStr">
        <is>
          <t>Jennifer Wu</t>
        </is>
      </c>
      <c r="B522" s="16">
        <f>IF($A522="","",IFERROR(INDEX(Roster!$B$2:$B$40,MATCH($A522,Roster!$A$2:$A$40,0)),"?"))</f>
        <v/>
      </c>
      <c r="C522" s="28" t="inlineStr">
        <is>
          <t>Bay_2</t>
        </is>
      </c>
      <c r="D522" s="16">
        <f>IF($C522="","",IFERROR(IF(INDEX(Deals!$C$2:$C$355,MATCH($C522,Deals!$A$2:$A$355,0))=0,"",INDEX(Deals!$C$2:$C$355,MATCH($C522,Deals!$A$2:$A$355,0))),"?"))</f>
        <v/>
      </c>
      <c r="E522" s="16">
        <f>IF($C522="","",IFERROR(INDEX(Deals!$F$2:$F$355,MATCH($C522,Deals!$A$2:$A$355,0)),"?"))</f>
        <v/>
      </c>
      <c r="F522" s="28" t="inlineStr">
        <is>
          <t>Senior Associate</t>
        </is>
      </c>
      <c r="G522" s="28" t="inlineStr">
        <is>
          <t>Active</t>
        </is>
      </c>
      <c r="H522" s="31" t="n"/>
      <c r="I522" s="32">
        <f>IF(OR($A522="",$G522&lt;&gt;"Active"),0,IF($H522&lt;&gt;"",$H522,IF($AO522&gt;0,$AP522,IF(AND($R522&lt;&gt;"",IFERROR(INDEX(Templates!$B$3:$H$10,MATCH($R522,Templates!$A$3:$A$10,0),MATCH($F522,Templates!$B$2:$H$2,0)),0)&gt;0),INDEX(Templates!$B$3:$H$10,MATCH($R522,Templates!$A$3:$A$10,0),MATCH($F522,Templates!$B$2:$H$2,0)),IFERROR(INDEX(Settings!$B$8:$B$14,MATCH($F522,Settings!$A$8:$A$14,0)),0)))))</f>
        <v/>
      </c>
      <c r="J522" s="21">
        <f>IF($C522="",0,IFERROR(INDEX(Deals!$H$2:$H$355,MATCH($C522,Deals!$A$2:$A$355,0)),0))</f>
        <v/>
      </c>
      <c r="K522" s="32">
        <f>IF(Settings!$B$4="Yes",$I522*$J522,$I522)</f>
        <v/>
      </c>
      <c r="L522" s="22">
        <f>IF($C522="","",IFERROR(IF(INDEX(Deals!$I$2:$I$355,MATCH($C522,Deals!$A$2:$A$355,0))=0,"",INDEX(Deals!$I$2:$I$355,MATCH($C522,Deals!$A$2:$A$355,0))),""))</f>
        <v/>
      </c>
      <c r="M522" s="22">
        <f>IF($C522="","",IFERROR(IF(INDEX(Deals!$J$2:$J$355,MATCH($C522,Deals!$A$2:$A$355,0))=0,"",INDEX(Deals!$J$2:$J$355,MATCH($C522,Deals!$A$2:$A$355,0))),""))</f>
        <v/>
      </c>
      <c r="N522" s="35">
        <f>IF($L522="",DATE(1900,1,1),$L522)</f>
        <v/>
      </c>
      <c r="O522" s="35">
        <f>IF($M522="",DATE(2100,12,31),$M522)</f>
        <v/>
      </c>
      <c r="P522" s="20" t="inlineStr"/>
      <c r="Q522" s="47" t="inlineStr"/>
      <c r="R522" s="16">
        <f>IF($C522="","",IFERROR(IF(INDEX(Deals!$U$2:$U$355,MATCH($C522,Deals!$A$2:$A$355,0))=0,"",INDEX(Deals!$U$2:$U$355,MATCH($C522,Deals!$A$2:$A$355,0))),""))</f>
        <v/>
      </c>
      <c r="S522" s="34">
        <f>IFERROR(IF($U522="",1,INDEX(Deals!$V$2:$V$355,MATCH($C522,Deals!$A$2:$A$355,0))),1)</f>
        <v/>
      </c>
      <c r="T522" s="34">
        <f>IFERROR(IF($U522="",1,INDEX(Deals!$W$2:$W$355,MATCH($C522,Deals!$A$2:$A$355,0))),1)</f>
        <v/>
      </c>
      <c r="U522" s="22">
        <f>IF($C522="","",IFERROR(IF(INDEX(Deals!$Y$2:$Y$355,MATCH($C522,Deals!$A$2:$A$355,0))=0,"",INDEX(Deals!$Y$2:$Y$355,MATCH($C522,Deals!$A$2:$A$355,0))),""))</f>
        <v/>
      </c>
      <c r="V522" s="35">
        <f>IF(OR($U522&lt;&gt;"",AND($AO522&gt;0,$L522&lt;&gt;"",$M522&lt;&gt;"")),$N522,DATE(1900,1,1))</f>
        <v/>
      </c>
      <c r="W522" s="35">
        <f>IF($U522&lt;&gt;"",$U522,IF(AND($AO522&gt;0,$L522&lt;&gt;"",$M522&lt;&gt;""),$O522,DATE(2100,12,31)))</f>
        <v/>
      </c>
      <c r="X522" s="32">
        <f>IF($U522="",$K522,$K522*$S522)</f>
        <v/>
      </c>
      <c r="Y522" s="35">
        <f>IF($U522="",DATE(2100,12,31),$U522+1)</f>
        <v/>
      </c>
      <c r="Z522" s="35">
        <f>IF($U522="",DATE(1900,1,1),$O522)</f>
        <v/>
      </c>
      <c r="AA522" s="32">
        <f>IF($U522="",0,$K522*$T522)</f>
        <v/>
      </c>
      <c r="AB522" s="21">
        <f>IF($C522="",0,IFERROR(INDEX(Deals!$AD$2:$AD$355,MATCH($C522,Deals!$A$2:$A$355,0)),0))</f>
        <v/>
      </c>
      <c r="AC522" s="32">
        <f>IF(Settings!$B$4="Yes",$I522*$AB522,$I522)</f>
        <v/>
      </c>
      <c r="AD522" s="22">
        <f>IF($C522="","",IFERROR(IF(INDEX(Deals!$AE$2:$AE$355,MATCH($C522,Deals!$A$2:$A$355,0))=0,"",INDEX(Deals!$AE$2:$AE$355,MATCH($C522,Deals!$A$2:$A$355,0))),""))</f>
        <v/>
      </c>
      <c r="AE522" s="22">
        <f>IF($C522="","",IFERROR(IF(INDEX(Deals!$AF$2:$AF$355,MATCH($C522,Deals!$A$2:$A$355,0))=0,"",INDEX(Deals!$AF$2:$AF$355,MATCH($C522,Deals!$A$2:$A$355,0))),""))</f>
        <v/>
      </c>
      <c r="AF522" s="35">
        <f>IF($AD522="",DATE(1900,1,1),$AD522)</f>
        <v/>
      </c>
      <c r="AG522" s="35">
        <f>IF($AE522="",DATE(2100,12,31),$AE522)</f>
        <v/>
      </c>
      <c r="AH522" s="22">
        <f>IF($C522="","",IFERROR(IF(INDEX(Deals!$AG$2:$AG$355,MATCH($C522,Deals!$A$2:$A$355,0))=0,"",INDEX(Deals!$AG$2:$AG$355,MATCH($C522,Deals!$A$2:$A$355,0))),""))</f>
        <v/>
      </c>
      <c r="AI522" s="35">
        <f>IF(OR($AH522&lt;&gt;"",AND($AO522&gt;0,$AD522&lt;&gt;"",$AE522&lt;&gt;"")),$AF522,DATE(1900,1,1))</f>
        <v/>
      </c>
      <c r="AJ522" s="35">
        <f>IF($AH522&lt;&gt;"",$AH522,IF(AND($AO522&gt;0,$AD522&lt;&gt;"",$AE522&lt;&gt;""),$AG522,DATE(2100,12,31)))</f>
        <v/>
      </c>
      <c r="AK522" s="32">
        <f>IF($AH522="",$AC522,$AC522*$S522)</f>
        <v/>
      </c>
      <c r="AL522" s="35">
        <f>IF($AH522="",DATE(2100,12,31),$AH522+1)</f>
        <v/>
      </c>
      <c r="AM522" s="35">
        <f>IF($AH522="",DATE(1900,1,1),$AG522)</f>
        <v/>
      </c>
      <c r="AN522" s="32">
        <f>IF($AH522="",0,$AC522*$T522)</f>
        <v/>
      </c>
      <c r="AO522" s="46">
        <f>IF($C522="",0,IFERROR(INDEX(Deals!$BD$2:$BD$355,MATCH($C522,Deals!$A$2:$A$355,0)),0))</f>
        <v/>
      </c>
      <c r="AP522" s="18">
        <f>IF($AO522=0,0,IFERROR(INDEX(Deals!$BJ$2:$BP$355,MATCH($C522,Deals!$A$2:$A$355,0),MATCH($F522,Deals!$BJ$1:$BP$1,0))/COUNTIFS(Assignments!$C$2:$C$769,$C522,Assignments!$F$2:$F$769,$F522,Assignments!$G$2:$G$769,"Active"),0))</f>
        <v/>
      </c>
    </row>
    <row r="523">
      <c r="A523" s="28" t="inlineStr">
        <is>
          <t>Jennifer Wu</t>
        </is>
      </c>
      <c r="B523" s="16">
        <f>IF($A523="","",IFERROR(INDEX(Roster!$B$2:$B$40,MATCH($A523,Roster!$A$2:$A$40,0)),"?"))</f>
        <v/>
      </c>
      <c r="C523" s="28" t="inlineStr">
        <is>
          <t>Breakaway_1</t>
        </is>
      </c>
      <c r="D523" s="16">
        <f>IF($C523="","",IFERROR(IF(INDEX(Deals!$C$2:$C$355,MATCH($C523,Deals!$A$2:$A$355,0))=0,"",INDEX(Deals!$C$2:$C$355,MATCH($C523,Deals!$A$2:$A$355,0))),"?"))</f>
        <v/>
      </c>
      <c r="E523" s="16">
        <f>IF($C523="","",IFERROR(INDEX(Deals!$F$2:$F$355,MATCH($C523,Deals!$A$2:$A$355,0)),"?"))</f>
        <v/>
      </c>
      <c r="F523" s="28" t="inlineStr">
        <is>
          <t>Senior Associate</t>
        </is>
      </c>
      <c r="G523" s="28" t="inlineStr">
        <is>
          <t>Active</t>
        </is>
      </c>
      <c r="H523" s="31" t="n"/>
      <c r="I523" s="32">
        <f>IF(OR($A523="",$G523&lt;&gt;"Active"),0,IF($H523&lt;&gt;"",$H523,IF($AO523&gt;0,$AP523,IF(AND($R523&lt;&gt;"",IFERROR(INDEX(Templates!$B$3:$H$10,MATCH($R523,Templates!$A$3:$A$10,0),MATCH($F523,Templates!$B$2:$H$2,0)),0)&gt;0),INDEX(Templates!$B$3:$H$10,MATCH($R523,Templates!$A$3:$A$10,0),MATCH($F523,Templates!$B$2:$H$2,0)),IFERROR(INDEX(Settings!$B$8:$B$14,MATCH($F523,Settings!$A$8:$A$14,0)),0)))))</f>
        <v/>
      </c>
      <c r="J523" s="21">
        <f>IF($C523="",0,IFERROR(INDEX(Deals!$H$2:$H$355,MATCH($C523,Deals!$A$2:$A$355,0)),0))</f>
        <v/>
      </c>
      <c r="K523" s="32">
        <f>IF(Settings!$B$4="Yes",$I523*$J523,$I523)</f>
        <v/>
      </c>
      <c r="L523" s="22">
        <f>IF($C523="","",IFERROR(IF(INDEX(Deals!$I$2:$I$355,MATCH($C523,Deals!$A$2:$A$355,0))=0,"",INDEX(Deals!$I$2:$I$355,MATCH($C523,Deals!$A$2:$A$355,0))),""))</f>
        <v/>
      </c>
      <c r="M523" s="22">
        <f>IF($C523="","",IFERROR(IF(INDEX(Deals!$J$2:$J$355,MATCH($C523,Deals!$A$2:$A$355,0))=0,"",INDEX(Deals!$J$2:$J$355,MATCH($C523,Deals!$A$2:$A$355,0))),""))</f>
        <v/>
      </c>
      <c r="N523" s="35">
        <f>IF($L523="",DATE(1900,1,1),$L523)</f>
        <v/>
      </c>
      <c r="O523" s="35">
        <f>IF($M523="",DATE(2100,12,31),$M523)</f>
        <v/>
      </c>
      <c r="P523" s="20" t="inlineStr"/>
      <c r="Q523" s="47" t="inlineStr"/>
      <c r="R523" s="16">
        <f>IF($C523="","",IFERROR(IF(INDEX(Deals!$U$2:$U$355,MATCH($C523,Deals!$A$2:$A$355,0))=0,"",INDEX(Deals!$U$2:$U$355,MATCH($C523,Deals!$A$2:$A$355,0))),""))</f>
        <v/>
      </c>
      <c r="S523" s="34">
        <f>IFERROR(IF($U523="",1,INDEX(Deals!$V$2:$V$355,MATCH($C523,Deals!$A$2:$A$355,0))),1)</f>
        <v/>
      </c>
      <c r="T523" s="34">
        <f>IFERROR(IF($U523="",1,INDEX(Deals!$W$2:$W$355,MATCH($C523,Deals!$A$2:$A$355,0))),1)</f>
        <v/>
      </c>
      <c r="U523" s="22">
        <f>IF($C523="","",IFERROR(IF(INDEX(Deals!$Y$2:$Y$355,MATCH($C523,Deals!$A$2:$A$355,0))=0,"",INDEX(Deals!$Y$2:$Y$355,MATCH($C523,Deals!$A$2:$A$355,0))),""))</f>
        <v/>
      </c>
      <c r="V523" s="35">
        <f>IF(OR($U523&lt;&gt;"",AND($AO523&gt;0,$L523&lt;&gt;"",$M523&lt;&gt;"")),$N523,DATE(1900,1,1))</f>
        <v/>
      </c>
      <c r="W523" s="35">
        <f>IF($U523&lt;&gt;"",$U523,IF(AND($AO523&gt;0,$L523&lt;&gt;"",$M523&lt;&gt;""),$O523,DATE(2100,12,31)))</f>
        <v/>
      </c>
      <c r="X523" s="32">
        <f>IF($U523="",$K523,$K523*$S523)</f>
        <v/>
      </c>
      <c r="Y523" s="35">
        <f>IF($U523="",DATE(2100,12,31),$U523+1)</f>
        <v/>
      </c>
      <c r="Z523" s="35">
        <f>IF($U523="",DATE(1900,1,1),$O523)</f>
        <v/>
      </c>
      <c r="AA523" s="32">
        <f>IF($U523="",0,$K523*$T523)</f>
        <v/>
      </c>
      <c r="AB523" s="21">
        <f>IF($C523="",0,IFERROR(INDEX(Deals!$AD$2:$AD$355,MATCH($C523,Deals!$A$2:$A$355,0)),0))</f>
        <v/>
      </c>
      <c r="AC523" s="32">
        <f>IF(Settings!$B$4="Yes",$I523*$AB523,$I523)</f>
        <v/>
      </c>
      <c r="AD523" s="22">
        <f>IF($C523="","",IFERROR(IF(INDEX(Deals!$AE$2:$AE$355,MATCH($C523,Deals!$A$2:$A$355,0))=0,"",INDEX(Deals!$AE$2:$AE$355,MATCH($C523,Deals!$A$2:$A$355,0))),""))</f>
        <v/>
      </c>
      <c r="AE523" s="22">
        <f>IF($C523="","",IFERROR(IF(INDEX(Deals!$AF$2:$AF$355,MATCH($C523,Deals!$A$2:$A$355,0))=0,"",INDEX(Deals!$AF$2:$AF$355,MATCH($C523,Deals!$A$2:$A$355,0))),""))</f>
        <v/>
      </c>
      <c r="AF523" s="35">
        <f>IF($AD523="",DATE(1900,1,1),$AD523)</f>
        <v/>
      </c>
      <c r="AG523" s="35">
        <f>IF($AE523="",DATE(2100,12,31),$AE523)</f>
        <v/>
      </c>
      <c r="AH523" s="22">
        <f>IF($C523="","",IFERROR(IF(INDEX(Deals!$AG$2:$AG$355,MATCH($C523,Deals!$A$2:$A$355,0))=0,"",INDEX(Deals!$AG$2:$AG$355,MATCH($C523,Deals!$A$2:$A$355,0))),""))</f>
        <v/>
      </c>
      <c r="AI523" s="35">
        <f>IF(OR($AH523&lt;&gt;"",AND($AO523&gt;0,$AD523&lt;&gt;"",$AE523&lt;&gt;"")),$AF523,DATE(1900,1,1))</f>
        <v/>
      </c>
      <c r="AJ523" s="35">
        <f>IF($AH523&lt;&gt;"",$AH523,IF(AND($AO523&gt;0,$AD523&lt;&gt;"",$AE523&lt;&gt;""),$AG523,DATE(2100,12,31)))</f>
        <v/>
      </c>
      <c r="AK523" s="32">
        <f>IF($AH523="",$AC523,$AC523*$S523)</f>
        <v/>
      </c>
      <c r="AL523" s="35">
        <f>IF($AH523="",DATE(2100,12,31),$AH523+1)</f>
        <v/>
      </c>
      <c r="AM523" s="35">
        <f>IF($AH523="",DATE(1900,1,1),$AG523)</f>
        <v/>
      </c>
      <c r="AN523" s="32">
        <f>IF($AH523="",0,$AC523*$T523)</f>
        <v/>
      </c>
      <c r="AO523" s="46">
        <f>IF($C523="",0,IFERROR(INDEX(Deals!$BD$2:$BD$355,MATCH($C523,Deals!$A$2:$A$355,0)),0))</f>
        <v/>
      </c>
      <c r="AP523" s="18">
        <f>IF($AO523=0,0,IFERROR(INDEX(Deals!$BJ$2:$BP$355,MATCH($C523,Deals!$A$2:$A$355,0),MATCH($F523,Deals!$BJ$1:$BP$1,0))/COUNTIFS(Assignments!$C$2:$C$769,$C523,Assignments!$F$2:$F$769,$F523,Assignments!$G$2:$G$769,"Active"),0))</f>
        <v/>
      </c>
    </row>
    <row r="524">
      <c r="A524" s="28" t="inlineStr">
        <is>
          <t>Jennifer Wu</t>
        </is>
      </c>
      <c r="B524" s="16">
        <f>IF($A524="","",IFERROR(INDEX(Roster!$B$2:$B$40,MATCH($A524,Roster!$A$2:$A$40,0)),"?"))</f>
        <v/>
      </c>
      <c r="C524" s="28" t="inlineStr">
        <is>
          <t>Cactus</t>
        </is>
      </c>
      <c r="D524" s="16">
        <f>IF($C524="","",IFERROR(IF(INDEX(Deals!$C$2:$C$355,MATCH($C524,Deals!$A$2:$A$355,0))=0,"",INDEX(Deals!$C$2:$C$355,MATCH($C524,Deals!$A$2:$A$355,0))),"?"))</f>
        <v/>
      </c>
      <c r="E524" s="16">
        <f>IF($C524="","",IFERROR(INDEX(Deals!$F$2:$F$355,MATCH($C524,Deals!$A$2:$A$355,0)),"?"))</f>
        <v/>
      </c>
      <c r="F524" s="28" t="inlineStr">
        <is>
          <t>Senior Associate</t>
        </is>
      </c>
      <c r="G524" s="28" t="inlineStr">
        <is>
          <t>Active</t>
        </is>
      </c>
      <c r="H524" s="31" t="n"/>
      <c r="I524" s="32">
        <f>IF(OR($A524="",$G524&lt;&gt;"Active"),0,IF($H524&lt;&gt;"",$H524,IF($AO524&gt;0,$AP524,IF(AND($R524&lt;&gt;"",IFERROR(INDEX(Templates!$B$3:$H$10,MATCH($R524,Templates!$A$3:$A$10,0),MATCH($F524,Templates!$B$2:$H$2,0)),0)&gt;0),INDEX(Templates!$B$3:$H$10,MATCH($R524,Templates!$A$3:$A$10,0),MATCH($F524,Templates!$B$2:$H$2,0)),IFERROR(INDEX(Settings!$B$8:$B$14,MATCH($F524,Settings!$A$8:$A$14,0)),0)))))</f>
        <v/>
      </c>
      <c r="J524" s="21">
        <f>IF($C524="",0,IFERROR(INDEX(Deals!$H$2:$H$355,MATCH($C524,Deals!$A$2:$A$355,0)),0))</f>
        <v/>
      </c>
      <c r="K524" s="32">
        <f>IF(Settings!$B$4="Yes",$I524*$J524,$I524)</f>
        <v/>
      </c>
      <c r="L524" s="22">
        <f>IF($C524="","",IFERROR(IF(INDEX(Deals!$I$2:$I$355,MATCH($C524,Deals!$A$2:$A$355,0))=0,"",INDEX(Deals!$I$2:$I$355,MATCH($C524,Deals!$A$2:$A$355,0))),""))</f>
        <v/>
      </c>
      <c r="M524" s="22">
        <f>IF($C524="","",IFERROR(IF(INDEX(Deals!$J$2:$J$355,MATCH($C524,Deals!$A$2:$A$355,0))=0,"",INDEX(Deals!$J$2:$J$355,MATCH($C524,Deals!$A$2:$A$355,0))),""))</f>
        <v/>
      </c>
      <c r="N524" s="35">
        <f>IF($L524="",DATE(1900,1,1),$L524)</f>
        <v/>
      </c>
      <c r="O524" s="35">
        <f>IF($M524="",DATE(2100,12,31),$M524)</f>
        <v/>
      </c>
      <c r="P524" s="20" t="inlineStr"/>
      <c r="Q524" s="47" t="inlineStr"/>
      <c r="R524" s="16">
        <f>IF($C524="","",IFERROR(IF(INDEX(Deals!$U$2:$U$355,MATCH($C524,Deals!$A$2:$A$355,0))=0,"",INDEX(Deals!$U$2:$U$355,MATCH($C524,Deals!$A$2:$A$355,0))),""))</f>
        <v/>
      </c>
      <c r="S524" s="34">
        <f>IFERROR(IF($U524="",1,INDEX(Deals!$V$2:$V$355,MATCH($C524,Deals!$A$2:$A$355,0))),1)</f>
        <v/>
      </c>
      <c r="T524" s="34">
        <f>IFERROR(IF($U524="",1,INDEX(Deals!$W$2:$W$355,MATCH($C524,Deals!$A$2:$A$355,0))),1)</f>
        <v/>
      </c>
      <c r="U524" s="22">
        <f>IF($C524="","",IFERROR(IF(INDEX(Deals!$Y$2:$Y$355,MATCH($C524,Deals!$A$2:$A$355,0))=0,"",INDEX(Deals!$Y$2:$Y$355,MATCH($C524,Deals!$A$2:$A$355,0))),""))</f>
        <v/>
      </c>
      <c r="V524" s="35">
        <f>IF(OR($U524&lt;&gt;"",AND($AO524&gt;0,$L524&lt;&gt;"",$M524&lt;&gt;"")),$N524,DATE(1900,1,1))</f>
        <v/>
      </c>
      <c r="W524" s="35">
        <f>IF($U524&lt;&gt;"",$U524,IF(AND($AO524&gt;0,$L524&lt;&gt;"",$M524&lt;&gt;""),$O524,DATE(2100,12,31)))</f>
        <v/>
      </c>
      <c r="X524" s="32">
        <f>IF($U524="",$K524,$K524*$S524)</f>
        <v/>
      </c>
      <c r="Y524" s="35">
        <f>IF($U524="",DATE(2100,12,31),$U524+1)</f>
        <v/>
      </c>
      <c r="Z524" s="35">
        <f>IF($U524="",DATE(1900,1,1),$O524)</f>
        <v/>
      </c>
      <c r="AA524" s="32">
        <f>IF($U524="",0,$K524*$T524)</f>
        <v/>
      </c>
      <c r="AB524" s="21">
        <f>IF($C524="",0,IFERROR(INDEX(Deals!$AD$2:$AD$355,MATCH($C524,Deals!$A$2:$A$355,0)),0))</f>
        <v/>
      </c>
      <c r="AC524" s="32">
        <f>IF(Settings!$B$4="Yes",$I524*$AB524,$I524)</f>
        <v/>
      </c>
      <c r="AD524" s="22">
        <f>IF($C524="","",IFERROR(IF(INDEX(Deals!$AE$2:$AE$355,MATCH($C524,Deals!$A$2:$A$355,0))=0,"",INDEX(Deals!$AE$2:$AE$355,MATCH($C524,Deals!$A$2:$A$355,0))),""))</f>
        <v/>
      </c>
      <c r="AE524" s="22">
        <f>IF($C524="","",IFERROR(IF(INDEX(Deals!$AF$2:$AF$355,MATCH($C524,Deals!$A$2:$A$355,0))=0,"",INDEX(Deals!$AF$2:$AF$355,MATCH($C524,Deals!$A$2:$A$355,0))),""))</f>
        <v/>
      </c>
      <c r="AF524" s="35">
        <f>IF($AD524="",DATE(1900,1,1),$AD524)</f>
        <v/>
      </c>
      <c r="AG524" s="35">
        <f>IF($AE524="",DATE(2100,12,31),$AE524)</f>
        <v/>
      </c>
      <c r="AH524" s="22">
        <f>IF($C524="","",IFERROR(IF(INDEX(Deals!$AG$2:$AG$355,MATCH($C524,Deals!$A$2:$A$355,0))=0,"",INDEX(Deals!$AG$2:$AG$355,MATCH($C524,Deals!$A$2:$A$355,0))),""))</f>
        <v/>
      </c>
      <c r="AI524" s="35">
        <f>IF(OR($AH524&lt;&gt;"",AND($AO524&gt;0,$AD524&lt;&gt;"",$AE524&lt;&gt;"")),$AF524,DATE(1900,1,1))</f>
        <v/>
      </c>
      <c r="AJ524" s="35">
        <f>IF($AH524&lt;&gt;"",$AH524,IF(AND($AO524&gt;0,$AD524&lt;&gt;"",$AE524&lt;&gt;""),$AG524,DATE(2100,12,31)))</f>
        <v/>
      </c>
      <c r="AK524" s="32">
        <f>IF($AH524="",$AC524,$AC524*$S524)</f>
        <v/>
      </c>
      <c r="AL524" s="35">
        <f>IF($AH524="",DATE(2100,12,31),$AH524+1)</f>
        <v/>
      </c>
      <c r="AM524" s="35">
        <f>IF($AH524="",DATE(1900,1,1),$AG524)</f>
        <v/>
      </c>
      <c r="AN524" s="32">
        <f>IF($AH524="",0,$AC524*$T524)</f>
        <v/>
      </c>
      <c r="AO524" s="46">
        <f>IF($C524="",0,IFERROR(INDEX(Deals!$BD$2:$BD$355,MATCH($C524,Deals!$A$2:$A$355,0)),0))</f>
        <v/>
      </c>
      <c r="AP524" s="18">
        <f>IF($AO524=0,0,IFERROR(INDEX(Deals!$BJ$2:$BP$355,MATCH($C524,Deals!$A$2:$A$355,0),MATCH($F524,Deals!$BJ$1:$BP$1,0))/COUNTIFS(Assignments!$C$2:$C$769,$C524,Assignments!$F$2:$F$769,$F524,Assignments!$G$2:$G$769,"Active"),0))</f>
        <v/>
      </c>
    </row>
    <row r="525">
      <c r="A525" s="28" t="inlineStr">
        <is>
          <t>Jennifer Wu</t>
        </is>
      </c>
      <c r="B525" s="16">
        <f>IF($A525="","",IFERROR(INDEX(Roster!$B$2:$B$40,MATCH($A525,Roster!$A$2:$A$40,0)),"?"))</f>
        <v/>
      </c>
      <c r="C525" s="28" t="inlineStr">
        <is>
          <t>Canyon_2</t>
        </is>
      </c>
      <c r="D525" s="16">
        <f>IF($C525="","",IFERROR(IF(INDEX(Deals!$C$2:$C$355,MATCH($C525,Deals!$A$2:$A$355,0))=0,"",INDEX(Deals!$C$2:$C$355,MATCH($C525,Deals!$A$2:$A$355,0))),"?"))</f>
        <v/>
      </c>
      <c r="E525" s="16">
        <f>IF($C525="","",IFERROR(INDEX(Deals!$F$2:$F$355,MATCH($C525,Deals!$A$2:$A$355,0)),"?"))</f>
        <v/>
      </c>
      <c r="F525" s="28" t="inlineStr">
        <is>
          <t>Senior Associate</t>
        </is>
      </c>
      <c r="G525" s="28" t="inlineStr">
        <is>
          <t>Active</t>
        </is>
      </c>
      <c r="H525" s="31" t="n"/>
      <c r="I525" s="32">
        <f>IF(OR($A525="",$G525&lt;&gt;"Active"),0,IF($H525&lt;&gt;"",$H525,IF($AO525&gt;0,$AP525,IF(AND($R525&lt;&gt;"",IFERROR(INDEX(Templates!$B$3:$H$10,MATCH($R525,Templates!$A$3:$A$10,0),MATCH($F525,Templates!$B$2:$H$2,0)),0)&gt;0),INDEX(Templates!$B$3:$H$10,MATCH($R525,Templates!$A$3:$A$10,0),MATCH($F525,Templates!$B$2:$H$2,0)),IFERROR(INDEX(Settings!$B$8:$B$14,MATCH($F525,Settings!$A$8:$A$14,0)),0)))))</f>
        <v/>
      </c>
      <c r="J525" s="21">
        <f>IF($C525="",0,IFERROR(INDEX(Deals!$H$2:$H$355,MATCH($C525,Deals!$A$2:$A$355,0)),0))</f>
        <v/>
      </c>
      <c r="K525" s="32">
        <f>IF(Settings!$B$4="Yes",$I525*$J525,$I525)</f>
        <v/>
      </c>
      <c r="L525" s="22">
        <f>IF($C525="","",IFERROR(IF(INDEX(Deals!$I$2:$I$355,MATCH($C525,Deals!$A$2:$A$355,0))=0,"",INDEX(Deals!$I$2:$I$355,MATCH($C525,Deals!$A$2:$A$355,0))),""))</f>
        <v/>
      </c>
      <c r="M525" s="22">
        <f>IF($C525="","",IFERROR(IF(INDEX(Deals!$J$2:$J$355,MATCH($C525,Deals!$A$2:$A$355,0))=0,"",INDEX(Deals!$J$2:$J$355,MATCH($C525,Deals!$A$2:$A$355,0))),""))</f>
        <v/>
      </c>
      <c r="N525" s="35">
        <f>IF($L525="",DATE(1900,1,1),$L525)</f>
        <v/>
      </c>
      <c r="O525" s="35">
        <f>IF($M525="",DATE(2100,12,31),$M525)</f>
        <v/>
      </c>
      <c r="P525" s="20" t="inlineStr"/>
      <c r="Q525" s="47" t="inlineStr"/>
      <c r="R525" s="16">
        <f>IF($C525="","",IFERROR(IF(INDEX(Deals!$U$2:$U$355,MATCH($C525,Deals!$A$2:$A$355,0))=0,"",INDEX(Deals!$U$2:$U$355,MATCH($C525,Deals!$A$2:$A$355,0))),""))</f>
        <v/>
      </c>
      <c r="S525" s="34">
        <f>IFERROR(IF($U525="",1,INDEX(Deals!$V$2:$V$355,MATCH($C525,Deals!$A$2:$A$355,0))),1)</f>
        <v/>
      </c>
      <c r="T525" s="34">
        <f>IFERROR(IF($U525="",1,INDEX(Deals!$W$2:$W$355,MATCH($C525,Deals!$A$2:$A$355,0))),1)</f>
        <v/>
      </c>
      <c r="U525" s="22">
        <f>IF($C525="","",IFERROR(IF(INDEX(Deals!$Y$2:$Y$355,MATCH($C525,Deals!$A$2:$A$355,0))=0,"",INDEX(Deals!$Y$2:$Y$355,MATCH($C525,Deals!$A$2:$A$355,0))),""))</f>
        <v/>
      </c>
      <c r="V525" s="35">
        <f>IF(OR($U525&lt;&gt;"",AND($AO525&gt;0,$L525&lt;&gt;"",$M525&lt;&gt;"")),$N525,DATE(1900,1,1))</f>
        <v/>
      </c>
      <c r="W525" s="35">
        <f>IF($U525&lt;&gt;"",$U525,IF(AND($AO525&gt;0,$L525&lt;&gt;"",$M525&lt;&gt;""),$O525,DATE(2100,12,31)))</f>
        <v/>
      </c>
      <c r="X525" s="32">
        <f>IF($U525="",$K525,$K525*$S525)</f>
        <v/>
      </c>
      <c r="Y525" s="35">
        <f>IF($U525="",DATE(2100,12,31),$U525+1)</f>
        <v/>
      </c>
      <c r="Z525" s="35">
        <f>IF($U525="",DATE(1900,1,1),$O525)</f>
        <v/>
      </c>
      <c r="AA525" s="32">
        <f>IF($U525="",0,$K525*$T525)</f>
        <v/>
      </c>
      <c r="AB525" s="21">
        <f>IF($C525="",0,IFERROR(INDEX(Deals!$AD$2:$AD$355,MATCH($C525,Deals!$A$2:$A$355,0)),0))</f>
        <v/>
      </c>
      <c r="AC525" s="32">
        <f>IF(Settings!$B$4="Yes",$I525*$AB525,$I525)</f>
        <v/>
      </c>
      <c r="AD525" s="22">
        <f>IF($C525="","",IFERROR(IF(INDEX(Deals!$AE$2:$AE$355,MATCH($C525,Deals!$A$2:$A$355,0))=0,"",INDEX(Deals!$AE$2:$AE$355,MATCH($C525,Deals!$A$2:$A$355,0))),""))</f>
        <v/>
      </c>
      <c r="AE525" s="22">
        <f>IF($C525="","",IFERROR(IF(INDEX(Deals!$AF$2:$AF$355,MATCH($C525,Deals!$A$2:$A$355,0))=0,"",INDEX(Deals!$AF$2:$AF$355,MATCH($C525,Deals!$A$2:$A$355,0))),""))</f>
        <v/>
      </c>
      <c r="AF525" s="35">
        <f>IF($AD525="",DATE(1900,1,1),$AD525)</f>
        <v/>
      </c>
      <c r="AG525" s="35">
        <f>IF($AE525="",DATE(2100,12,31),$AE525)</f>
        <v/>
      </c>
      <c r="AH525" s="22">
        <f>IF($C525="","",IFERROR(IF(INDEX(Deals!$AG$2:$AG$355,MATCH($C525,Deals!$A$2:$A$355,0))=0,"",INDEX(Deals!$AG$2:$AG$355,MATCH($C525,Deals!$A$2:$A$355,0))),""))</f>
        <v/>
      </c>
      <c r="AI525" s="35">
        <f>IF(OR($AH525&lt;&gt;"",AND($AO525&gt;0,$AD525&lt;&gt;"",$AE525&lt;&gt;"")),$AF525,DATE(1900,1,1))</f>
        <v/>
      </c>
      <c r="AJ525" s="35">
        <f>IF($AH525&lt;&gt;"",$AH525,IF(AND($AO525&gt;0,$AD525&lt;&gt;"",$AE525&lt;&gt;""),$AG525,DATE(2100,12,31)))</f>
        <v/>
      </c>
      <c r="AK525" s="32">
        <f>IF($AH525="",$AC525,$AC525*$S525)</f>
        <v/>
      </c>
      <c r="AL525" s="35">
        <f>IF($AH525="",DATE(2100,12,31),$AH525+1)</f>
        <v/>
      </c>
      <c r="AM525" s="35">
        <f>IF($AH525="",DATE(1900,1,1),$AG525)</f>
        <v/>
      </c>
      <c r="AN525" s="32">
        <f>IF($AH525="",0,$AC525*$T525)</f>
        <v/>
      </c>
      <c r="AO525" s="46">
        <f>IF($C525="",0,IFERROR(INDEX(Deals!$BD$2:$BD$355,MATCH($C525,Deals!$A$2:$A$355,0)),0))</f>
        <v/>
      </c>
      <c r="AP525" s="18">
        <f>IF($AO525=0,0,IFERROR(INDEX(Deals!$BJ$2:$BP$355,MATCH($C525,Deals!$A$2:$A$355,0),MATCH($F525,Deals!$BJ$1:$BP$1,0))/COUNTIFS(Assignments!$C$2:$C$769,$C525,Assignments!$F$2:$F$769,$F525,Assignments!$G$2:$G$769,"Active"),0))</f>
        <v/>
      </c>
    </row>
    <row r="526">
      <c r="A526" s="28" t="inlineStr">
        <is>
          <t>Jennifer Wu</t>
        </is>
      </c>
      <c r="B526" s="16">
        <f>IF($A526="","",IFERROR(INDEX(Roster!$B$2:$B$40,MATCH($A526,Roster!$A$2:$A$40,0)),"?"))</f>
        <v/>
      </c>
      <c r="C526" s="28" t="inlineStr">
        <is>
          <t>Concrete_1</t>
        </is>
      </c>
      <c r="D526" s="16">
        <f>IF($C526="","",IFERROR(IF(INDEX(Deals!$C$2:$C$355,MATCH($C526,Deals!$A$2:$A$355,0))=0,"",INDEX(Deals!$C$2:$C$355,MATCH($C526,Deals!$A$2:$A$355,0))),"?"))</f>
        <v/>
      </c>
      <c r="E526" s="16">
        <f>IF($C526="","",IFERROR(INDEX(Deals!$F$2:$F$355,MATCH($C526,Deals!$A$2:$A$355,0)),"?"))</f>
        <v/>
      </c>
      <c r="F526" s="28" t="inlineStr">
        <is>
          <t>Senior Associate</t>
        </is>
      </c>
      <c r="G526" s="28" t="inlineStr">
        <is>
          <t>Active</t>
        </is>
      </c>
      <c r="H526" s="31" t="n"/>
      <c r="I526" s="32">
        <f>IF(OR($A526="",$G526&lt;&gt;"Active"),0,IF($H526&lt;&gt;"",$H526,IF($AO526&gt;0,$AP526,IF(AND($R526&lt;&gt;"",IFERROR(INDEX(Templates!$B$3:$H$10,MATCH($R526,Templates!$A$3:$A$10,0),MATCH($F526,Templates!$B$2:$H$2,0)),0)&gt;0),INDEX(Templates!$B$3:$H$10,MATCH($R526,Templates!$A$3:$A$10,0),MATCH($F526,Templates!$B$2:$H$2,0)),IFERROR(INDEX(Settings!$B$8:$B$14,MATCH($F526,Settings!$A$8:$A$14,0)),0)))))</f>
        <v/>
      </c>
      <c r="J526" s="21">
        <f>IF($C526="",0,IFERROR(INDEX(Deals!$H$2:$H$355,MATCH($C526,Deals!$A$2:$A$355,0)),0))</f>
        <v/>
      </c>
      <c r="K526" s="32">
        <f>IF(Settings!$B$4="Yes",$I526*$J526,$I526)</f>
        <v/>
      </c>
      <c r="L526" s="22">
        <f>IF($C526="","",IFERROR(IF(INDEX(Deals!$I$2:$I$355,MATCH($C526,Deals!$A$2:$A$355,0))=0,"",INDEX(Deals!$I$2:$I$355,MATCH($C526,Deals!$A$2:$A$355,0))),""))</f>
        <v/>
      </c>
      <c r="M526" s="22">
        <f>IF($C526="","",IFERROR(IF(INDEX(Deals!$J$2:$J$355,MATCH($C526,Deals!$A$2:$A$355,0))=0,"",INDEX(Deals!$J$2:$J$355,MATCH($C526,Deals!$A$2:$A$355,0))),""))</f>
        <v/>
      </c>
      <c r="N526" s="35">
        <f>IF($L526="",DATE(1900,1,1),$L526)</f>
        <v/>
      </c>
      <c r="O526" s="35">
        <f>IF($M526="",DATE(2100,12,31),$M526)</f>
        <v/>
      </c>
      <c r="P526" s="20" t="inlineStr"/>
      <c r="Q526" s="47" t="inlineStr"/>
      <c r="R526" s="16">
        <f>IF($C526="","",IFERROR(IF(INDEX(Deals!$U$2:$U$355,MATCH($C526,Deals!$A$2:$A$355,0))=0,"",INDEX(Deals!$U$2:$U$355,MATCH($C526,Deals!$A$2:$A$355,0))),""))</f>
        <v/>
      </c>
      <c r="S526" s="34">
        <f>IFERROR(IF($U526="",1,INDEX(Deals!$V$2:$V$355,MATCH($C526,Deals!$A$2:$A$355,0))),1)</f>
        <v/>
      </c>
      <c r="T526" s="34">
        <f>IFERROR(IF($U526="",1,INDEX(Deals!$W$2:$W$355,MATCH($C526,Deals!$A$2:$A$355,0))),1)</f>
        <v/>
      </c>
      <c r="U526" s="22">
        <f>IF($C526="","",IFERROR(IF(INDEX(Deals!$Y$2:$Y$355,MATCH($C526,Deals!$A$2:$A$355,0))=0,"",INDEX(Deals!$Y$2:$Y$355,MATCH($C526,Deals!$A$2:$A$355,0))),""))</f>
        <v/>
      </c>
      <c r="V526" s="35">
        <f>IF(OR($U526&lt;&gt;"",AND($AO526&gt;0,$L526&lt;&gt;"",$M526&lt;&gt;"")),$N526,DATE(1900,1,1))</f>
        <v/>
      </c>
      <c r="W526" s="35">
        <f>IF($U526&lt;&gt;"",$U526,IF(AND($AO526&gt;0,$L526&lt;&gt;"",$M526&lt;&gt;""),$O526,DATE(2100,12,31)))</f>
        <v/>
      </c>
      <c r="X526" s="32">
        <f>IF($U526="",$K526,$K526*$S526)</f>
        <v/>
      </c>
      <c r="Y526" s="35">
        <f>IF($U526="",DATE(2100,12,31),$U526+1)</f>
        <v/>
      </c>
      <c r="Z526" s="35">
        <f>IF($U526="",DATE(1900,1,1),$O526)</f>
        <v/>
      </c>
      <c r="AA526" s="32">
        <f>IF($U526="",0,$K526*$T526)</f>
        <v/>
      </c>
      <c r="AB526" s="21">
        <f>IF($C526="",0,IFERROR(INDEX(Deals!$AD$2:$AD$355,MATCH($C526,Deals!$A$2:$A$355,0)),0))</f>
        <v/>
      </c>
      <c r="AC526" s="32">
        <f>IF(Settings!$B$4="Yes",$I526*$AB526,$I526)</f>
        <v/>
      </c>
      <c r="AD526" s="22">
        <f>IF($C526="","",IFERROR(IF(INDEX(Deals!$AE$2:$AE$355,MATCH($C526,Deals!$A$2:$A$355,0))=0,"",INDEX(Deals!$AE$2:$AE$355,MATCH($C526,Deals!$A$2:$A$355,0))),""))</f>
        <v/>
      </c>
      <c r="AE526" s="22">
        <f>IF($C526="","",IFERROR(IF(INDEX(Deals!$AF$2:$AF$355,MATCH($C526,Deals!$A$2:$A$355,0))=0,"",INDEX(Deals!$AF$2:$AF$355,MATCH($C526,Deals!$A$2:$A$355,0))),""))</f>
        <v/>
      </c>
      <c r="AF526" s="35">
        <f>IF($AD526="",DATE(1900,1,1),$AD526)</f>
        <v/>
      </c>
      <c r="AG526" s="35">
        <f>IF($AE526="",DATE(2100,12,31),$AE526)</f>
        <v/>
      </c>
      <c r="AH526" s="22">
        <f>IF($C526="","",IFERROR(IF(INDEX(Deals!$AG$2:$AG$355,MATCH($C526,Deals!$A$2:$A$355,0))=0,"",INDEX(Deals!$AG$2:$AG$355,MATCH($C526,Deals!$A$2:$A$355,0))),""))</f>
        <v/>
      </c>
      <c r="AI526" s="35">
        <f>IF(OR($AH526&lt;&gt;"",AND($AO526&gt;0,$AD526&lt;&gt;"",$AE526&lt;&gt;"")),$AF526,DATE(1900,1,1))</f>
        <v/>
      </c>
      <c r="AJ526" s="35">
        <f>IF($AH526&lt;&gt;"",$AH526,IF(AND($AO526&gt;0,$AD526&lt;&gt;"",$AE526&lt;&gt;""),$AG526,DATE(2100,12,31)))</f>
        <v/>
      </c>
      <c r="AK526" s="32">
        <f>IF($AH526="",$AC526,$AC526*$S526)</f>
        <v/>
      </c>
      <c r="AL526" s="35">
        <f>IF($AH526="",DATE(2100,12,31),$AH526+1)</f>
        <v/>
      </c>
      <c r="AM526" s="35">
        <f>IF($AH526="",DATE(1900,1,1),$AG526)</f>
        <v/>
      </c>
      <c r="AN526" s="32">
        <f>IF($AH526="",0,$AC526*$T526)</f>
        <v/>
      </c>
      <c r="AO526" s="46">
        <f>IF($C526="",0,IFERROR(INDEX(Deals!$BD$2:$BD$355,MATCH($C526,Deals!$A$2:$A$355,0)),0))</f>
        <v/>
      </c>
      <c r="AP526" s="18">
        <f>IF($AO526=0,0,IFERROR(INDEX(Deals!$BJ$2:$BP$355,MATCH($C526,Deals!$A$2:$A$355,0),MATCH($F526,Deals!$BJ$1:$BP$1,0))/COUNTIFS(Assignments!$C$2:$C$769,$C526,Assignments!$F$2:$F$769,$F526,Assignments!$G$2:$G$769,"Active"),0))</f>
        <v/>
      </c>
    </row>
    <row r="527">
      <c r="A527" s="28" t="inlineStr">
        <is>
          <t>Jennifer Wu</t>
        </is>
      </c>
      <c r="B527" s="16">
        <f>IF($A527="","",IFERROR(INDEX(Roster!$B$2:$B$40,MATCH($A527,Roster!$A$2:$A$40,0)),"?"))</f>
        <v/>
      </c>
      <c r="C527" s="28" t="inlineStr">
        <is>
          <t>Denali_3</t>
        </is>
      </c>
      <c r="D527" s="16">
        <f>IF($C527="","",IFERROR(IF(INDEX(Deals!$C$2:$C$355,MATCH($C527,Deals!$A$2:$A$355,0))=0,"",INDEX(Deals!$C$2:$C$355,MATCH($C527,Deals!$A$2:$A$355,0))),"?"))</f>
        <v/>
      </c>
      <c r="E527" s="16">
        <f>IF($C527="","",IFERROR(INDEX(Deals!$F$2:$F$355,MATCH($C527,Deals!$A$2:$A$355,0)),"?"))</f>
        <v/>
      </c>
      <c r="F527" s="28" t="inlineStr">
        <is>
          <t>Senior Associate</t>
        </is>
      </c>
      <c r="G527" s="28" t="inlineStr">
        <is>
          <t>Active</t>
        </is>
      </c>
      <c r="H527" s="31" t="n"/>
      <c r="I527" s="32">
        <f>IF(OR($A527="",$G527&lt;&gt;"Active"),0,IF($H527&lt;&gt;"",$H527,IF($AO527&gt;0,$AP527,IF(AND($R527&lt;&gt;"",IFERROR(INDEX(Templates!$B$3:$H$10,MATCH($R527,Templates!$A$3:$A$10,0),MATCH($F527,Templates!$B$2:$H$2,0)),0)&gt;0),INDEX(Templates!$B$3:$H$10,MATCH($R527,Templates!$A$3:$A$10,0),MATCH($F527,Templates!$B$2:$H$2,0)),IFERROR(INDEX(Settings!$B$8:$B$14,MATCH($F527,Settings!$A$8:$A$14,0)),0)))))</f>
        <v/>
      </c>
      <c r="J527" s="21">
        <f>IF($C527="",0,IFERROR(INDEX(Deals!$H$2:$H$355,MATCH($C527,Deals!$A$2:$A$355,0)),0))</f>
        <v/>
      </c>
      <c r="K527" s="32">
        <f>IF(Settings!$B$4="Yes",$I527*$J527,$I527)</f>
        <v/>
      </c>
      <c r="L527" s="22">
        <f>IF($C527="","",IFERROR(IF(INDEX(Deals!$I$2:$I$355,MATCH($C527,Deals!$A$2:$A$355,0))=0,"",INDEX(Deals!$I$2:$I$355,MATCH($C527,Deals!$A$2:$A$355,0))),""))</f>
        <v/>
      </c>
      <c r="M527" s="22">
        <f>IF($C527="","",IFERROR(IF(INDEX(Deals!$J$2:$J$355,MATCH($C527,Deals!$A$2:$A$355,0))=0,"",INDEX(Deals!$J$2:$J$355,MATCH($C527,Deals!$A$2:$A$355,0))),""))</f>
        <v/>
      </c>
      <c r="N527" s="35">
        <f>IF($L527="",DATE(1900,1,1),$L527)</f>
        <v/>
      </c>
      <c r="O527" s="35">
        <f>IF($M527="",DATE(2100,12,31),$M527)</f>
        <v/>
      </c>
      <c r="P527" s="20" t="inlineStr"/>
      <c r="Q527" s="47" t="inlineStr"/>
      <c r="R527" s="16">
        <f>IF($C527="","",IFERROR(IF(INDEX(Deals!$U$2:$U$355,MATCH($C527,Deals!$A$2:$A$355,0))=0,"",INDEX(Deals!$U$2:$U$355,MATCH($C527,Deals!$A$2:$A$355,0))),""))</f>
        <v/>
      </c>
      <c r="S527" s="34">
        <f>IFERROR(IF($U527="",1,INDEX(Deals!$V$2:$V$355,MATCH($C527,Deals!$A$2:$A$355,0))),1)</f>
        <v/>
      </c>
      <c r="T527" s="34">
        <f>IFERROR(IF($U527="",1,INDEX(Deals!$W$2:$W$355,MATCH($C527,Deals!$A$2:$A$355,0))),1)</f>
        <v/>
      </c>
      <c r="U527" s="22">
        <f>IF($C527="","",IFERROR(IF(INDEX(Deals!$Y$2:$Y$355,MATCH($C527,Deals!$A$2:$A$355,0))=0,"",INDEX(Deals!$Y$2:$Y$355,MATCH($C527,Deals!$A$2:$A$355,0))),""))</f>
        <v/>
      </c>
      <c r="V527" s="35">
        <f>IF(OR($U527&lt;&gt;"",AND($AO527&gt;0,$L527&lt;&gt;"",$M527&lt;&gt;"")),$N527,DATE(1900,1,1))</f>
        <v/>
      </c>
      <c r="W527" s="35">
        <f>IF($U527&lt;&gt;"",$U527,IF(AND($AO527&gt;0,$L527&lt;&gt;"",$M527&lt;&gt;""),$O527,DATE(2100,12,31)))</f>
        <v/>
      </c>
      <c r="X527" s="32">
        <f>IF($U527="",$K527,$K527*$S527)</f>
        <v/>
      </c>
      <c r="Y527" s="35">
        <f>IF($U527="",DATE(2100,12,31),$U527+1)</f>
        <v/>
      </c>
      <c r="Z527" s="35">
        <f>IF($U527="",DATE(1900,1,1),$O527)</f>
        <v/>
      </c>
      <c r="AA527" s="32">
        <f>IF($U527="",0,$K527*$T527)</f>
        <v/>
      </c>
      <c r="AB527" s="21">
        <f>IF($C527="",0,IFERROR(INDEX(Deals!$AD$2:$AD$355,MATCH($C527,Deals!$A$2:$A$355,0)),0))</f>
        <v/>
      </c>
      <c r="AC527" s="32">
        <f>IF(Settings!$B$4="Yes",$I527*$AB527,$I527)</f>
        <v/>
      </c>
      <c r="AD527" s="22">
        <f>IF($C527="","",IFERROR(IF(INDEX(Deals!$AE$2:$AE$355,MATCH($C527,Deals!$A$2:$A$355,0))=0,"",INDEX(Deals!$AE$2:$AE$355,MATCH($C527,Deals!$A$2:$A$355,0))),""))</f>
        <v/>
      </c>
      <c r="AE527" s="22">
        <f>IF($C527="","",IFERROR(IF(INDEX(Deals!$AF$2:$AF$355,MATCH($C527,Deals!$A$2:$A$355,0))=0,"",INDEX(Deals!$AF$2:$AF$355,MATCH($C527,Deals!$A$2:$A$355,0))),""))</f>
        <v/>
      </c>
      <c r="AF527" s="35">
        <f>IF($AD527="",DATE(1900,1,1),$AD527)</f>
        <v/>
      </c>
      <c r="AG527" s="35">
        <f>IF($AE527="",DATE(2100,12,31),$AE527)</f>
        <v/>
      </c>
      <c r="AH527" s="22">
        <f>IF($C527="","",IFERROR(IF(INDEX(Deals!$AG$2:$AG$355,MATCH($C527,Deals!$A$2:$A$355,0))=0,"",INDEX(Deals!$AG$2:$AG$355,MATCH($C527,Deals!$A$2:$A$355,0))),""))</f>
        <v/>
      </c>
      <c r="AI527" s="35">
        <f>IF(OR($AH527&lt;&gt;"",AND($AO527&gt;0,$AD527&lt;&gt;"",$AE527&lt;&gt;"")),$AF527,DATE(1900,1,1))</f>
        <v/>
      </c>
      <c r="AJ527" s="35">
        <f>IF($AH527&lt;&gt;"",$AH527,IF(AND($AO527&gt;0,$AD527&lt;&gt;"",$AE527&lt;&gt;""),$AG527,DATE(2100,12,31)))</f>
        <v/>
      </c>
      <c r="AK527" s="32">
        <f>IF($AH527="",$AC527,$AC527*$S527)</f>
        <v/>
      </c>
      <c r="AL527" s="35">
        <f>IF($AH527="",DATE(2100,12,31),$AH527+1)</f>
        <v/>
      </c>
      <c r="AM527" s="35">
        <f>IF($AH527="",DATE(1900,1,1),$AG527)</f>
        <v/>
      </c>
      <c r="AN527" s="32">
        <f>IF($AH527="",0,$AC527*$T527)</f>
        <v/>
      </c>
      <c r="AO527" s="46">
        <f>IF($C527="",0,IFERROR(INDEX(Deals!$BD$2:$BD$355,MATCH($C527,Deals!$A$2:$A$355,0)),0))</f>
        <v/>
      </c>
      <c r="AP527" s="18">
        <f>IF($AO527=0,0,IFERROR(INDEX(Deals!$BJ$2:$BP$355,MATCH($C527,Deals!$A$2:$A$355,0),MATCH($F527,Deals!$BJ$1:$BP$1,0))/COUNTIFS(Assignments!$C$2:$C$769,$C527,Assignments!$F$2:$F$769,$F527,Assignments!$G$2:$G$769,"Active"),0))</f>
        <v/>
      </c>
    </row>
    <row r="528">
      <c r="A528" s="28" t="inlineStr">
        <is>
          <t>Jennifer Wu</t>
        </is>
      </c>
      <c r="B528" s="16">
        <f>IF($A528="","",IFERROR(INDEX(Roster!$B$2:$B$40,MATCH($A528,Roster!$A$2:$A$40,0)),"?"))</f>
        <v/>
      </c>
      <c r="C528" s="28" t="inlineStr">
        <is>
          <t>Gemini</t>
        </is>
      </c>
      <c r="D528" s="16">
        <f>IF($C528="","",IFERROR(IF(INDEX(Deals!$C$2:$C$355,MATCH($C528,Deals!$A$2:$A$355,0))=0,"",INDEX(Deals!$C$2:$C$355,MATCH($C528,Deals!$A$2:$A$355,0))),"?"))</f>
        <v/>
      </c>
      <c r="E528" s="16">
        <f>IF($C528="","",IFERROR(INDEX(Deals!$F$2:$F$355,MATCH($C528,Deals!$A$2:$A$355,0)),"?"))</f>
        <v/>
      </c>
      <c r="F528" s="28" t="inlineStr">
        <is>
          <t>Senior Associate</t>
        </is>
      </c>
      <c r="G528" s="28" t="inlineStr">
        <is>
          <t>Active</t>
        </is>
      </c>
      <c r="H528" s="31" t="n"/>
      <c r="I528" s="32">
        <f>IF(OR($A528="",$G528&lt;&gt;"Active"),0,IF($H528&lt;&gt;"",$H528,IF($AO528&gt;0,$AP528,IF(AND($R528&lt;&gt;"",IFERROR(INDEX(Templates!$B$3:$H$10,MATCH($R528,Templates!$A$3:$A$10,0),MATCH($F528,Templates!$B$2:$H$2,0)),0)&gt;0),INDEX(Templates!$B$3:$H$10,MATCH($R528,Templates!$A$3:$A$10,0),MATCH($F528,Templates!$B$2:$H$2,0)),IFERROR(INDEX(Settings!$B$8:$B$14,MATCH($F528,Settings!$A$8:$A$14,0)),0)))))</f>
        <v/>
      </c>
      <c r="J528" s="21">
        <f>IF($C528="",0,IFERROR(INDEX(Deals!$H$2:$H$355,MATCH($C528,Deals!$A$2:$A$355,0)),0))</f>
        <v/>
      </c>
      <c r="K528" s="32">
        <f>IF(Settings!$B$4="Yes",$I528*$J528,$I528)</f>
        <v/>
      </c>
      <c r="L528" s="22">
        <f>IF($C528="","",IFERROR(IF(INDEX(Deals!$I$2:$I$355,MATCH($C528,Deals!$A$2:$A$355,0))=0,"",INDEX(Deals!$I$2:$I$355,MATCH($C528,Deals!$A$2:$A$355,0))),""))</f>
        <v/>
      </c>
      <c r="M528" s="22">
        <f>IF($C528="","",IFERROR(IF(INDEX(Deals!$J$2:$J$355,MATCH($C528,Deals!$A$2:$A$355,0))=0,"",INDEX(Deals!$J$2:$J$355,MATCH($C528,Deals!$A$2:$A$355,0))),""))</f>
        <v/>
      </c>
      <c r="N528" s="35">
        <f>IF($L528="",DATE(1900,1,1),$L528)</f>
        <v/>
      </c>
      <c r="O528" s="35">
        <f>IF($M528="",DATE(2100,12,31),$M528)</f>
        <v/>
      </c>
      <c r="P528" s="20" t="inlineStr"/>
      <c r="Q528" s="47" t="inlineStr"/>
      <c r="R528" s="16">
        <f>IF($C528="","",IFERROR(IF(INDEX(Deals!$U$2:$U$355,MATCH($C528,Deals!$A$2:$A$355,0))=0,"",INDEX(Deals!$U$2:$U$355,MATCH($C528,Deals!$A$2:$A$355,0))),""))</f>
        <v/>
      </c>
      <c r="S528" s="34">
        <f>IFERROR(IF($U528="",1,INDEX(Deals!$V$2:$V$355,MATCH($C528,Deals!$A$2:$A$355,0))),1)</f>
        <v/>
      </c>
      <c r="T528" s="34">
        <f>IFERROR(IF($U528="",1,INDEX(Deals!$W$2:$W$355,MATCH($C528,Deals!$A$2:$A$355,0))),1)</f>
        <v/>
      </c>
      <c r="U528" s="22">
        <f>IF($C528="","",IFERROR(IF(INDEX(Deals!$Y$2:$Y$355,MATCH($C528,Deals!$A$2:$A$355,0))=0,"",INDEX(Deals!$Y$2:$Y$355,MATCH($C528,Deals!$A$2:$A$355,0))),""))</f>
        <v/>
      </c>
      <c r="V528" s="35">
        <f>IF(OR($U528&lt;&gt;"",AND($AO528&gt;0,$L528&lt;&gt;"",$M528&lt;&gt;"")),$N528,DATE(1900,1,1))</f>
        <v/>
      </c>
      <c r="W528" s="35">
        <f>IF($U528&lt;&gt;"",$U528,IF(AND($AO528&gt;0,$L528&lt;&gt;"",$M528&lt;&gt;""),$O528,DATE(2100,12,31)))</f>
        <v/>
      </c>
      <c r="X528" s="32">
        <f>IF($U528="",$K528,$K528*$S528)</f>
        <v/>
      </c>
      <c r="Y528" s="35">
        <f>IF($U528="",DATE(2100,12,31),$U528+1)</f>
        <v/>
      </c>
      <c r="Z528" s="35">
        <f>IF($U528="",DATE(1900,1,1),$O528)</f>
        <v/>
      </c>
      <c r="AA528" s="32">
        <f>IF($U528="",0,$K528*$T528)</f>
        <v/>
      </c>
      <c r="AB528" s="21">
        <f>IF($C528="",0,IFERROR(INDEX(Deals!$AD$2:$AD$355,MATCH($C528,Deals!$A$2:$A$355,0)),0))</f>
        <v/>
      </c>
      <c r="AC528" s="32">
        <f>IF(Settings!$B$4="Yes",$I528*$AB528,$I528)</f>
        <v/>
      </c>
      <c r="AD528" s="22">
        <f>IF($C528="","",IFERROR(IF(INDEX(Deals!$AE$2:$AE$355,MATCH($C528,Deals!$A$2:$A$355,0))=0,"",INDEX(Deals!$AE$2:$AE$355,MATCH($C528,Deals!$A$2:$A$355,0))),""))</f>
        <v/>
      </c>
      <c r="AE528" s="22">
        <f>IF($C528="","",IFERROR(IF(INDEX(Deals!$AF$2:$AF$355,MATCH($C528,Deals!$A$2:$A$355,0))=0,"",INDEX(Deals!$AF$2:$AF$355,MATCH($C528,Deals!$A$2:$A$355,0))),""))</f>
        <v/>
      </c>
      <c r="AF528" s="35">
        <f>IF($AD528="",DATE(1900,1,1),$AD528)</f>
        <v/>
      </c>
      <c r="AG528" s="35">
        <f>IF($AE528="",DATE(2100,12,31),$AE528)</f>
        <v/>
      </c>
      <c r="AH528" s="22">
        <f>IF($C528="","",IFERROR(IF(INDEX(Deals!$AG$2:$AG$355,MATCH($C528,Deals!$A$2:$A$355,0))=0,"",INDEX(Deals!$AG$2:$AG$355,MATCH($C528,Deals!$A$2:$A$355,0))),""))</f>
        <v/>
      </c>
      <c r="AI528" s="35">
        <f>IF(OR($AH528&lt;&gt;"",AND($AO528&gt;0,$AD528&lt;&gt;"",$AE528&lt;&gt;"")),$AF528,DATE(1900,1,1))</f>
        <v/>
      </c>
      <c r="AJ528" s="35">
        <f>IF($AH528&lt;&gt;"",$AH528,IF(AND($AO528&gt;0,$AD528&lt;&gt;"",$AE528&lt;&gt;""),$AG528,DATE(2100,12,31)))</f>
        <v/>
      </c>
      <c r="AK528" s="32">
        <f>IF($AH528="",$AC528,$AC528*$S528)</f>
        <v/>
      </c>
      <c r="AL528" s="35">
        <f>IF($AH528="",DATE(2100,12,31),$AH528+1)</f>
        <v/>
      </c>
      <c r="AM528" s="35">
        <f>IF($AH528="",DATE(1900,1,1),$AG528)</f>
        <v/>
      </c>
      <c r="AN528" s="32">
        <f>IF($AH528="",0,$AC528*$T528)</f>
        <v/>
      </c>
      <c r="AO528" s="46">
        <f>IF($C528="",0,IFERROR(INDEX(Deals!$BD$2:$BD$355,MATCH($C528,Deals!$A$2:$A$355,0)),0))</f>
        <v/>
      </c>
      <c r="AP528" s="18">
        <f>IF($AO528=0,0,IFERROR(INDEX(Deals!$BJ$2:$BP$355,MATCH($C528,Deals!$A$2:$A$355,0),MATCH($F528,Deals!$BJ$1:$BP$1,0))/COUNTIFS(Assignments!$C$2:$C$769,$C528,Assignments!$F$2:$F$769,$F528,Assignments!$G$2:$G$769,"Active"),0))</f>
        <v/>
      </c>
    </row>
    <row r="529">
      <c r="A529" s="28" t="inlineStr">
        <is>
          <t>Jennifer Wu</t>
        </is>
      </c>
      <c r="B529" s="16">
        <f>IF($A529="","",IFERROR(INDEX(Roster!$B$2:$B$40,MATCH($A529,Roster!$A$2:$A$40,0)),"?"))</f>
        <v/>
      </c>
      <c r="C529" s="28" t="inlineStr">
        <is>
          <t>Medicis_1</t>
        </is>
      </c>
      <c r="D529" s="16">
        <f>IF($C529="","",IFERROR(IF(INDEX(Deals!$C$2:$C$355,MATCH($C529,Deals!$A$2:$A$355,0))=0,"",INDEX(Deals!$C$2:$C$355,MATCH($C529,Deals!$A$2:$A$355,0))),"?"))</f>
        <v/>
      </c>
      <c r="E529" s="16">
        <f>IF($C529="","",IFERROR(INDEX(Deals!$F$2:$F$355,MATCH($C529,Deals!$A$2:$A$355,0)),"?"))</f>
        <v/>
      </c>
      <c r="F529" s="28" t="inlineStr">
        <is>
          <t>Senior Associate</t>
        </is>
      </c>
      <c r="G529" s="28" t="inlineStr">
        <is>
          <t>Active</t>
        </is>
      </c>
      <c r="H529" s="31" t="n"/>
      <c r="I529" s="32">
        <f>IF(OR($A529="",$G529&lt;&gt;"Active"),0,IF($H529&lt;&gt;"",$H529,IF($AO529&gt;0,$AP529,IF(AND($R529&lt;&gt;"",IFERROR(INDEX(Templates!$B$3:$H$10,MATCH($R529,Templates!$A$3:$A$10,0),MATCH($F529,Templates!$B$2:$H$2,0)),0)&gt;0),INDEX(Templates!$B$3:$H$10,MATCH($R529,Templates!$A$3:$A$10,0),MATCH($F529,Templates!$B$2:$H$2,0)),IFERROR(INDEX(Settings!$B$8:$B$14,MATCH($F529,Settings!$A$8:$A$14,0)),0)))))</f>
        <v/>
      </c>
      <c r="J529" s="21">
        <f>IF($C529="",0,IFERROR(INDEX(Deals!$H$2:$H$355,MATCH($C529,Deals!$A$2:$A$355,0)),0))</f>
        <v/>
      </c>
      <c r="K529" s="32">
        <f>IF(Settings!$B$4="Yes",$I529*$J529,$I529)</f>
        <v/>
      </c>
      <c r="L529" s="22">
        <f>IF($C529="","",IFERROR(IF(INDEX(Deals!$I$2:$I$355,MATCH($C529,Deals!$A$2:$A$355,0))=0,"",INDEX(Deals!$I$2:$I$355,MATCH($C529,Deals!$A$2:$A$355,0))),""))</f>
        <v/>
      </c>
      <c r="M529" s="22">
        <f>IF($C529="","",IFERROR(IF(INDEX(Deals!$J$2:$J$355,MATCH($C529,Deals!$A$2:$A$355,0))=0,"",INDEX(Deals!$J$2:$J$355,MATCH($C529,Deals!$A$2:$A$355,0))),""))</f>
        <v/>
      </c>
      <c r="N529" s="35">
        <f>IF($L529="",DATE(1900,1,1),$L529)</f>
        <v/>
      </c>
      <c r="O529" s="35">
        <f>IF($M529="",DATE(2100,12,31),$M529)</f>
        <v/>
      </c>
      <c r="P529" s="20" t="inlineStr"/>
      <c r="Q529" s="47" t="inlineStr"/>
      <c r="R529" s="16">
        <f>IF($C529="","",IFERROR(IF(INDEX(Deals!$U$2:$U$355,MATCH($C529,Deals!$A$2:$A$355,0))=0,"",INDEX(Deals!$U$2:$U$355,MATCH($C529,Deals!$A$2:$A$355,0))),""))</f>
        <v/>
      </c>
      <c r="S529" s="34">
        <f>IFERROR(IF($U529="",1,INDEX(Deals!$V$2:$V$355,MATCH($C529,Deals!$A$2:$A$355,0))),1)</f>
        <v/>
      </c>
      <c r="T529" s="34">
        <f>IFERROR(IF($U529="",1,INDEX(Deals!$W$2:$W$355,MATCH($C529,Deals!$A$2:$A$355,0))),1)</f>
        <v/>
      </c>
      <c r="U529" s="22">
        <f>IF($C529="","",IFERROR(IF(INDEX(Deals!$Y$2:$Y$355,MATCH($C529,Deals!$A$2:$A$355,0))=0,"",INDEX(Deals!$Y$2:$Y$355,MATCH($C529,Deals!$A$2:$A$355,0))),""))</f>
        <v/>
      </c>
      <c r="V529" s="35">
        <f>IF(OR($U529&lt;&gt;"",AND($AO529&gt;0,$L529&lt;&gt;"",$M529&lt;&gt;"")),$N529,DATE(1900,1,1))</f>
        <v/>
      </c>
      <c r="W529" s="35">
        <f>IF($U529&lt;&gt;"",$U529,IF(AND($AO529&gt;0,$L529&lt;&gt;"",$M529&lt;&gt;""),$O529,DATE(2100,12,31)))</f>
        <v/>
      </c>
      <c r="X529" s="32">
        <f>IF($U529="",$K529,$K529*$S529)</f>
        <v/>
      </c>
      <c r="Y529" s="35">
        <f>IF($U529="",DATE(2100,12,31),$U529+1)</f>
        <v/>
      </c>
      <c r="Z529" s="35">
        <f>IF($U529="",DATE(1900,1,1),$O529)</f>
        <v/>
      </c>
      <c r="AA529" s="32">
        <f>IF($U529="",0,$K529*$T529)</f>
        <v/>
      </c>
      <c r="AB529" s="21">
        <f>IF($C529="",0,IFERROR(INDEX(Deals!$AD$2:$AD$355,MATCH($C529,Deals!$A$2:$A$355,0)),0))</f>
        <v/>
      </c>
      <c r="AC529" s="32">
        <f>IF(Settings!$B$4="Yes",$I529*$AB529,$I529)</f>
        <v/>
      </c>
      <c r="AD529" s="22">
        <f>IF($C529="","",IFERROR(IF(INDEX(Deals!$AE$2:$AE$355,MATCH($C529,Deals!$A$2:$A$355,0))=0,"",INDEX(Deals!$AE$2:$AE$355,MATCH($C529,Deals!$A$2:$A$355,0))),""))</f>
        <v/>
      </c>
      <c r="AE529" s="22">
        <f>IF($C529="","",IFERROR(IF(INDEX(Deals!$AF$2:$AF$355,MATCH($C529,Deals!$A$2:$A$355,0))=0,"",INDEX(Deals!$AF$2:$AF$355,MATCH($C529,Deals!$A$2:$A$355,0))),""))</f>
        <v/>
      </c>
      <c r="AF529" s="35">
        <f>IF($AD529="",DATE(1900,1,1),$AD529)</f>
        <v/>
      </c>
      <c r="AG529" s="35">
        <f>IF($AE529="",DATE(2100,12,31),$AE529)</f>
        <v/>
      </c>
      <c r="AH529" s="22">
        <f>IF($C529="","",IFERROR(IF(INDEX(Deals!$AG$2:$AG$355,MATCH($C529,Deals!$A$2:$A$355,0))=0,"",INDEX(Deals!$AG$2:$AG$355,MATCH($C529,Deals!$A$2:$A$355,0))),""))</f>
        <v/>
      </c>
      <c r="AI529" s="35">
        <f>IF(OR($AH529&lt;&gt;"",AND($AO529&gt;0,$AD529&lt;&gt;"",$AE529&lt;&gt;"")),$AF529,DATE(1900,1,1))</f>
        <v/>
      </c>
      <c r="AJ529" s="35">
        <f>IF($AH529&lt;&gt;"",$AH529,IF(AND($AO529&gt;0,$AD529&lt;&gt;"",$AE529&lt;&gt;""),$AG529,DATE(2100,12,31)))</f>
        <v/>
      </c>
      <c r="AK529" s="32">
        <f>IF($AH529="",$AC529,$AC529*$S529)</f>
        <v/>
      </c>
      <c r="AL529" s="35">
        <f>IF($AH529="",DATE(2100,12,31),$AH529+1)</f>
        <v/>
      </c>
      <c r="AM529" s="35">
        <f>IF($AH529="",DATE(1900,1,1),$AG529)</f>
        <v/>
      </c>
      <c r="AN529" s="32">
        <f>IF($AH529="",0,$AC529*$T529)</f>
        <v/>
      </c>
      <c r="AO529" s="46">
        <f>IF($C529="",0,IFERROR(INDEX(Deals!$BD$2:$BD$355,MATCH($C529,Deals!$A$2:$A$355,0)),0))</f>
        <v/>
      </c>
      <c r="AP529" s="18">
        <f>IF($AO529=0,0,IFERROR(INDEX(Deals!$BJ$2:$BP$355,MATCH($C529,Deals!$A$2:$A$355,0),MATCH($F529,Deals!$BJ$1:$BP$1,0))/COUNTIFS(Assignments!$C$2:$C$769,$C529,Assignments!$F$2:$F$769,$F529,Assignments!$G$2:$G$769,"Active"),0))</f>
        <v/>
      </c>
    </row>
    <row r="530">
      <c r="A530" s="28" t="inlineStr">
        <is>
          <t>Jennifer Wu</t>
        </is>
      </c>
      <c r="B530" s="16">
        <f>IF($A530="","",IFERROR(INDEX(Roster!$B$2:$B$40,MATCH($A530,Roster!$A$2:$A$40,0)),"?"))</f>
        <v/>
      </c>
      <c r="C530" s="28" t="inlineStr">
        <is>
          <t>Oasis_2</t>
        </is>
      </c>
      <c r="D530" s="16">
        <f>IF($C530="","",IFERROR(IF(INDEX(Deals!$C$2:$C$355,MATCH($C530,Deals!$A$2:$A$355,0))=0,"",INDEX(Deals!$C$2:$C$355,MATCH($C530,Deals!$A$2:$A$355,0))),"?"))</f>
        <v/>
      </c>
      <c r="E530" s="16">
        <f>IF($C530="","",IFERROR(INDEX(Deals!$F$2:$F$355,MATCH($C530,Deals!$A$2:$A$355,0)),"?"))</f>
        <v/>
      </c>
      <c r="F530" s="28" t="inlineStr">
        <is>
          <t>Senior Associate</t>
        </is>
      </c>
      <c r="G530" s="28" t="inlineStr">
        <is>
          <t>Active</t>
        </is>
      </c>
      <c r="H530" s="31" t="n"/>
      <c r="I530" s="32">
        <f>IF(OR($A530="",$G530&lt;&gt;"Active"),0,IF($H530&lt;&gt;"",$H530,IF($AO530&gt;0,$AP530,IF(AND($R530&lt;&gt;"",IFERROR(INDEX(Templates!$B$3:$H$10,MATCH($R530,Templates!$A$3:$A$10,0),MATCH($F530,Templates!$B$2:$H$2,0)),0)&gt;0),INDEX(Templates!$B$3:$H$10,MATCH($R530,Templates!$A$3:$A$10,0),MATCH($F530,Templates!$B$2:$H$2,0)),IFERROR(INDEX(Settings!$B$8:$B$14,MATCH($F530,Settings!$A$8:$A$14,0)),0)))))</f>
        <v/>
      </c>
      <c r="J530" s="21">
        <f>IF($C530="",0,IFERROR(INDEX(Deals!$H$2:$H$355,MATCH($C530,Deals!$A$2:$A$355,0)),0))</f>
        <v/>
      </c>
      <c r="K530" s="32">
        <f>IF(Settings!$B$4="Yes",$I530*$J530,$I530)</f>
        <v/>
      </c>
      <c r="L530" s="22">
        <f>IF($C530="","",IFERROR(IF(INDEX(Deals!$I$2:$I$355,MATCH($C530,Deals!$A$2:$A$355,0))=0,"",INDEX(Deals!$I$2:$I$355,MATCH($C530,Deals!$A$2:$A$355,0))),""))</f>
        <v/>
      </c>
      <c r="M530" s="22">
        <f>IF($C530="","",IFERROR(IF(INDEX(Deals!$J$2:$J$355,MATCH($C530,Deals!$A$2:$A$355,0))=0,"",INDEX(Deals!$J$2:$J$355,MATCH($C530,Deals!$A$2:$A$355,0))),""))</f>
        <v/>
      </c>
      <c r="N530" s="35">
        <f>IF($L530="",DATE(1900,1,1),$L530)</f>
        <v/>
      </c>
      <c r="O530" s="35">
        <f>IF($M530="",DATE(2100,12,31),$M530)</f>
        <v/>
      </c>
      <c r="P530" s="20" t="inlineStr"/>
      <c r="Q530" s="47" t="inlineStr"/>
      <c r="R530" s="16">
        <f>IF($C530="","",IFERROR(IF(INDEX(Deals!$U$2:$U$355,MATCH($C530,Deals!$A$2:$A$355,0))=0,"",INDEX(Deals!$U$2:$U$355,MATCH($C530,Deals!$A$2:$A$355,0))),""))</f>
        <v/>
      </c>
      <c r="S530" s="34">
        <f>IFERROR(IF($U530="",1,INDEX(Deals!$V$2:$V$355,MATCH($C530,Deals!$A$2:$A$355,0))),1)</f>
        <v/>
      </c>
      <c r="T530" s="34">
        <f>IFERROR(IF($U530="",1,INDEX(Deals!$W$2:$W$355,MATCH($C530,Deals!$A$2:$A$355,0))),1)</f>
        <v/>
      </c>
      <c r="U530" s="22">
        <f>IF($C530="","",IFERROR(IF(INDEX(Deals!$Y$2:$Y$355,MATCH($C530,Deals!$A$2:$A$355,0))=0,"",INDEX(Deals!$Y$2:$Y$355,MATCH($C530,Deals!$A$2:$A$355,0))),""))</f>
        <v/>
      </c>
      <c r="V530" s="35">
        <f>IF(OR($U530&lt;&gt;"",AND($AO530&gt;0,$L530&lt;&gt;"",$M530&lt;&gt;"")),$N530,DATE(1900,1,1))</f>
        <v/>
      </c>
      <c r="W530" s="35">
        <f>IF($U530&lt;&gt;"",$U530,IF(AND($AO530&gt;0,$L530&lt;&gt;"",$M530&lt;&gt;""),$O530,DATE(2100,12,31)))</f>
        <v/>
      </c>
      <c r="X530" s="32">
        <f>IF($U530="",$K530,$K530*$S530)</f>
        <v/>
      </c>
      <c r="Y530" s="35">
        <f>IF($U530="",DATE(2100,12,31),$U530+1)</f>
        <v/>
      </c>
      <c r="Z530" s="35">
        <f>IF($U530="",DATE(1900,1,1),$O530)</f>
        <v/>
      </c>
      <c r="AA530" s="32">
        <f>IF($U530="",0,$K530*$T530)</f>
        <v/>
      </c>
      <c r="AB530" s="21">
        <f>IF($C530="",0,IFERROR(INDEX(Deals!$AD$2:$AD$355,MATCH($C530,Deals!$A$2:$A$355,0)),0))</f>
        <v/>
      </c>
      <c r="AC530" s="32">
        <f>IF(Settings!$B$4="Yes",$I530*$AB530,$I530)</f>
        <v/>
      </c>
      <c r="AD530" s="22">
        <f>IF($C530="","",IFERROR(IF(INDEX(Deals!$AE$2:$AE$355,MATCH($C530,Deals!$A$2:$A$355,0))=0,"",INDEX(Deals!$AE$2:$AE$355,MATCH($C530,Deals!$A$2:$A$355,0))),""))</f>
        <v/>
      </c>
      <c r="AE530" s="22">
        <f>IF($C530="","",IFERROR(IF(INDEX(Deals!$AF$2:$AF$355,MATCH($C530,Deals!$A$2:$A$355,0))=0,"",INDEX(Deals!$AF$2:$AF$355,MATCH($C530,Deals!$A$2:$A$355,0))),""))</f>
        <v/>
      </c>
      <c r="AF530" s="35">
        <f>IF($AD530="",DATE(1900,1,1),$AD530)</f>
        <v/>
      </c>
      <c r="AG530" s="35">
        <f>IF($AE530="",DATE(2100,12,31),$AE530)</f>
        <v/>
      </c>
      <c r="AH530" s="22">
        <f>IF($C530="","",IFERROR(IF(INDEX(Deals!$AG$2:$AG$355,MATCH($C530,Deals!$A$2:$A$355,0))=0,"",INDEX(Deals!$AG$2:$AG$355,MATCH($C530,Deals!$A$2:$A$355,0))),""))</f>
        <v/>
      </c>
      <c r="AI530" s="35">
        <f>IF(OR($AH530&lt;&gt;"",AND($AO530&gt;0,$AD530&lt;&gt;"",$AE530&lt;&gt;"")),$AF530,DATE(1900,1,1))</f>
        <v/>
      </c>
      <c r="AJ530" s="35">
        <f>IF($AH530&lt;&gt;"",$AH530,IF(AND($AO530&gt;0,$AD530&lt;&gt;"",$AE530&lt;&gt;""),$AG530,DATE(2100,12,31)))</f>
        <v/>
      </c>
      <c r="AK530" s="32">
        <f>IF($AH530="",$AC530,$AC530*$S530)</f>
        <v/>
      </c>
      <c r="AL530" s="35">
        <f>IF($AH530="",DATE(2100,12,31),$AH530+1)</f>
        <v/>
      </c>
      <c r="AM530" s="35">
        <f>IF($AH530="",DATE(1900,1,1),$AG530)</f>
        <v/>
      </c>
      <c r="AN530" s="32">
        <f>IF($AH530="",0,$AC530*$T530)</f>
        <v/>
      </c>
      <c r="AO530" s="46">
        <f>IF($C530="",0,IFERROR(INDEX(Deals!$BD$2:$BD$355,MATCH($C530,Deals!$A$2:$A$355,0)),0))</f>
        <v/>
      </c>
      <c r="AP530" s="18">
        <f>IF($AO530=0,0,IFERROR(INDEX(Deals!$BJ$2:$BP$355,MATCH($C530,Deals!$A$2:$A$355,0),MATCH($F530,Deals!$BJ$1:$BP$1,0))/COUNTIFS(Assignments!$C$2:$C$769,$C530,Assignments!$F$2:$F$769,$F530,Assignments!$G$2:$G$769,"Active"),0))</f>
        <v/>
      </c>
    </row>
    <row r="531">
      <c r="A531" s="28" t="inlineStr">
        <is>
          <t>Jennifer Wu</t>
        </is>
      </c>
      <c r="B531" s="16">
        <f>IF($A531="","",IFERROR(INDEX(Roster!$B$2:$B$40,MATCH($A531,Roster!$A$2:$A$40,0)),"?"))</f>
        <v/>
      </c>
      <c r="C531" s="28" t="inlineStr">
        <is>
          <t>PMD_1</t>
        </is>
      </c>
      <c r="D531" s="16">
        <f>IF($C531="","",IFERROR(IF(INDEX(Deals!$C$2:$C$355,MATCH($C531,Deals!$A$2:$A$355,0))=0,"",INDEX(Deals!$C$2:$C$355,MATCH($C531,Deals!$A$2:$A$355,0))),"?"))</f>
        <v/>
      </c>
      <c r="E531" s="16">
        <f>IF($C531="","",IFERROR(INDEX(Deals!$F$2:$F$355,MATCH($C531,Deals!$A$2:$A$355,0)),"?"))</f>
        <v/>
      </c>
      <c r="F531" s="28" t="inlineStr">
        <is>
          <t>Senior Associate</t>
        </is>
      </c>
      <c r="G531" s="28" t="inlineStr">
        <is>
          <t>Active</t>
        </is>
      </c>
      <c r="H531" s="31" t="n"/>
      <c r="I531" s="32">
        <f>IF(OR($A531="",$G531&lt;&gt;"Active"),0,IF($H531&lt;&gt;"",$H531,IF($AO531&gt;0,$AP531,IF(AND($R531&lt;&gt;"",IFERROR(INDEX(Templates!$B$3:$H$10,MATCH($R531,Templates!$A$3:$A$10,0),MATCH($F531,Templates!$B$2:$H$2,0)),0)&gt;0),INDEX(Templates!$B$3:$H$10,MATCH($R531,Templates!$A$3:$A$10,0),MATCH($F531,Templates!$B$2:$H$2,0)),IFERROR(INDEX(Settings!$B$8:$B$14,MATCH($F531,Settings!$A$8:$A$14,0)),0)))))</f>
        <v/>
      </c>
      <c r="J531" s="21">
        <f>IF($C531="",0,IFERROR(INDEX(Deals!$H$2:$H$355,MATCH($C531,Deals!$A$2:$A$355,0)),0))</f>
        <v/>
      </c>
      <c r="K531" s="32">
        <f>IF(Settings!$B$4="Yes",$I531*$J531,$I531)</f>
        <v/>
      </c>
      <c r="L531" s="22">
        <f>IF($C531="","",IFERROR(IF(INDEX(Deals!$I$2:$I$355,MATCH($C531,Deals!$A$2:$A$355,0))=0,"",INDEX(Deals!$I$2:$I$355,MATCH($C531,Deals!$A$2:$A$355,0))),""))</f>
        <v/>
      </c>
      <c r="M531" s="22">
        <f>IF($C531="","",IFERROR(IF(INDEX(Deals!$J$2:$J$355,MATCH($C531,Deals!$A$2:$A$355,0))=0,"",INDEX(Deals!$J$2:$J$355,MATCH($C531,Deals!$A$2:$A$355,0))),""))</f>
        <v/>
      </c>
      <c r="N531" s="35">
        <f>IF($L531="",DATE(1900,1,1),$L531)</f>
        <v/>
      </c>
      <c r="O531" s="35">
        <f>IF($M531="",DATE(2100,12,31),$M531)</f>
        <v/>
      </c>
      <c r="P531" s="20" t="inlineStr"/>
      <c r="Q531" s="47" t="inlineStr"/>
      <c r="R531" s="16">
        <f>IF($C531="","",IFERROR(IF(INDEX(Deals!$U$2:$U$355,MATCH($C531,Deals!$A$2:$A$355,0))=0,"",INDEX(Deals!$U$2:$U$355,MATCH($C531,Deals!$A$2:$A$355,0))),""))</f>
        <v/>
      </c>
      <c r="S531" s="34">
        <f>IFERROR(IF($U531="",1,INDEX(Deals!$V$2:$V$355,MATCH($C531,Deals!$A$2:$A$355,0))),1)</f>
        <v/>
      </c>
      <c r="T531" s="34">
        <f>IFERROR(IF($U531="",1,INDEX(Deals!$W$2:$W$355,MATCH($C531,Deals!$A$2:$A$355,0))),1)</f>
        <v/>
      </c>
      <c r="U531" s="22">
        <f>IF($C531="","",IFERROR(IF(INDEX(Deals!$Y$2:$Y$355,MATCH($C531,Deals!$A$2:$A$355,0))=0,"",INDEX(Deals!$Y$2:$Y$355,MATCH($C531,Deals!$A$2:$A$355,0))),""))</f>
        <v/>
      </c>
      <c r="V531" s="35">
        <f>IF(OR($U531&lt;&gt;"",AND($AO531&gt;0,$L531&lt;&gt;"",$M531&lt;&gt;"")),$N531,DATE(1900,1,1))</f>
        <v/>
      </c>
      <c r="W531" s="35">
        <f>IF($U531&lt;&gt;"",$U531,IF(AND($AO531&gt;0,$L531&lt;&gt;"",$M531&lt;&gt;""),$O531,DATE(2100,12,31)))</f>
        <v/>
      </c>
      <c r="X531" s="32">
        <f>IF($U531="",$K531,$K531*$S531)</f>
        <v/>
      </c>
      <c r="Y531" s="35">
        <f>IF($U531="",DATE(2100,12,31),$U531+1)</f>
        <v/>
      </c>
      <c r="Z531" s="35">
        <f>IF($U531="",DATE(1900,1,1),$O531)</f>
        <v/>
      </c>
      <c r="AA531" s="32">
        <f>IF($U531="",0,$K531*$T531)</f>
        <v/>
      </c>
      <c r="AB531" s="21">
        <f>IF($C531="",0,IFERROR(INDEX(Deals!$AD$2:$AD$355,MATCH($C531,Deals!$A$2:$A$355,0)),0))</f>
        <v/>
      </c>
      <c r="AC531" s="32">
        <f>IF(Settings!$B$4="Yes",$I531*$AB531,$I531)</f>
        <v/>
      </c>
      <c r="AD531" s="22">
        <f>IF($C531="","",IFERROR(IF(INDEX(Deals!$AE$2:$AE$355,MATCH($C531,Deals!$A$2:$A$355,0))=0,"",INDEX(Deals!$AE$2:$AE$355,MATCH($C531,Deals!$A$2:$A$355,0))),""))</f>
        <v/>
      </c>
      <c r="AE531" s="22">
        <f>IF($C531="","",IFERROR(IF(INDEX(Deals!$AF$2:$AF$355,MATCH($C531,Deals!$A$2:$A$355,0))=0,"",INDEX(Deals!$AF$2:$AF$355,MATCH($C531,Deals!$A$2:$A$355,0))),""))</f>
        <v/>
      </c>
      <c r="AF531" s="35">
        <f>IF($AD531="",DATE(1900,1,1),$AD531)</f>
        <v/>
      </c>
      <c r="AG531" s="35">
        <f>IF($AE531="",DATE(2100,12,31),$AE531)</f>
        <v/>
      </c>
      <c r="AH531" s="22">
        <f>IF($C531="","",IFERROR(IF(INDEX(Deals!$AG$2:$AG$355,MATCH($C531,Deals!$A$2:$A$355,0))=0,"",INDEX(Deals!$AG$2:$AG$355,MATCH($C531,Deals!$A$2:$A$355,0))),""))</f>
        <v/>
      </c>
      <c r="AI531" s="35">
        <f>IF(OR($AH531&lt;&gt;"",AND($AO531&gt;0,$AD531&lt;&gt;"",$AE531&lt;&gt;"")),$AF531,DATE(1900,1,1))</f>
        <v/>
      </c>
      <c r="AJ531" s="35">
        <f>IF($AH531&lt;&gt;"",$AH531,IF(AND($AO531&gt;0,$AD531&lt;&gt;"",$AE531&lt;&gt;""),$AG531,DATE(2100,12,31)))</f>
        <v/>
      </c>
      <c r="AK531" s="32">
        <f>IF($AH531="",$AC531,$AC531*$S531)</f>
        <v/>
      </c>
      <c r="AL531" s="35">
        <f>IF($AH531="",DATE(2100,12,31),$AH531+1)</f>
        <v/>
      </c>
      <c r="AM531" s="35">
        <f>IF($AH531="",DATE(1900,1,1),$AG531)</f>
        <v/>
      </c>
      <c r="AN531" s="32">
        <f>IF($AH531="",0,$AC531*$T531)</f>
        <v/>
      </c>
      <c r="AO531" s="46">
        <f>IF($C531="",0,IFERROR(INDEX(Deals!$BD$2:$BD$355,MATCH($C531,Deals!$A$2:$A$355,0)),0))</f>
        <v/>
      </c>
      <c r="AP531" s="18">
        <f>IF($AO531=0,0,IFERROR(INDEX(Deals!$BJ$2:$BP$355,MATCH($C531,Deals!$A$2:$A$355,0),MATCH($F531,Deals!$BJ$1:$BP$1,0))/COUNTIFS(Assignments!$C$2:$C$769,$C531,Assignments!$F$2:$F$769,$F531,Assignments!$G$2:$G$769,"Active"),0))</f>
        <v/>
      </c>
    </row>
    <row r="532">
      <c r="A532" s="28" t="inlineStr">
        <is>
          <t>Jennifer Wu</t>
        </is>
      </c>
      <c r="B532" s="16">
        <f>IF($A532="","",IFERROR(INDEX(Roster!$B$2:$B$40,MATCH($A532,Roster!$A$2:$A$40,0)),"?"))</f>
        <v/>
      </c>
      <c r="C532" s="28" t="inlineStr">
        <is>
          <t>Pocket_1</t>
        </is>
      </c>
      <c r="D532" s="16">
        <f>IF($C532="","",IFERROR(IF(INDEX(Deals!$C$2:$C$355,MATCH($C532,Deals!$A$2:$A$355,0))=0,"",INDEX(Deals!$C$2:$C$355,MATCH($C532,Deals!$A$2:$A$355,0))),"?"))</f>
        <v/>
      </c>
      <c r="E532" s="16">
        <f>IF($C532="","",IFERROR(INDEX(Deals!$F$2:$F$355,MATCH($C532,Deals!$A$2:$A$355,0)),"?"))</f>
        <v/>
      </c>
      <c r="F532" s="28" t="inlineStr">
        <is>
          <t>Senior Associate</t>
        </is>
      </c>
      <c r="G532" s="28" t="inlineStr">
        <is>
          <t>Active</t>
        </is>
      </c>
      <c r="H532" s="31" t="n"/>
      <c r="I532" s="32">
        <f>IF(OR($A532="",$G532&lt;&gt;"Active"),0,IF($H532&lt;&gt;"",$H532,IF($AO532&gt;0,$AP532,IF(AND($R532&lt;&gt;"",IFERROR(INDEX(Templates!$B$3:$H$10,MATCH($R532,Templates!$A$3:$A$10,0),MATCH($F532,Templates!$B$2:$H$2,0)),0)&gt;0),INDEX(Templates!$B$3:$H$10,MATCH($R532,Templates!$A$3:$A$10,0),MATCH($F532,Templates!$B$2:$H$2,0)),IFERROR(INDEX(Settings!$B$8:$B$14,MATCH($F532,Settings!$A$8:$A$14,0)),0)))))</f>
        <v/>
      </c>
      <c r="J532" s="21">
        <f>IF($C532="",0,IFERROR(INDEX(Deals!$H$2:$H$355,MATCH($C532,Deals!$A$2:$A$355,0)),0))</f>
        <v/>
      </c>
      <c r="K532" s="32">
        <f>IF(Settings!$B$4="Yes",$I532*$J532,$I532)</f>
        <v/>
      </c>
      <c r="L532" s="22">
        <f>IF($C532="","",IFERROR(IF(INDEX(Deals!$I$2:$I$355,MATCH($C532,Deals!$A$2:$A$355,0))=0,"",INDEX(Deals!$I$2:$I$355,MATCH($C532,Deals!$A$2:$A$355,0))),""))</f>
        <v/>
      </c>
      <c r="M532" s="22">
        <f>IF($C532="","",IFERROR(IF(INDEX(Deals!$J$2:$J$355,MATCH($C532,Deals!$A$2:$A$355,0))=0,"",INDEX(Deals!$J$2:$J$355,MATCH($C532,Deals!$A$2:$A$355,0))),""))</f>
        <v/>
      </c>
      <c r="N532" s="35">
        <f>IF($L532="",DATE(1900,1,1),$L532)</f>
        <v/>
      </c>
      <c r="O532" s="35">
        <f>IF($M532="",DATE(2100,12,31),$M532)</f>
        <v/>
      </c>
      <c r="P532" s="20" t="inlineStr"/>
      <c r="Q532" s="47" t="inlineStr"/>
      <c r="R532" s="16">
        <f>IF($C532="","",IFERROR(IF(INDEX(Deals!$U$2:$U$355,MATCH($C532,Deals!$A$2:$A$355,0))=0,"",INDEX(Deals!$U$2:$U$355,MATCH($C532,Deals!$A$2:$A$355,0))),""))</f>
        <v/>
      </c>
      <c r="S532" s="34">
        <f>IFERROR(IF($U532="",1,INDEX(Deals!$V$2:$V$355,MATCH($C532,Deals!$A$2:$A$355,0))),1)</f>
        <v/>
      </c>
      <c r="T532" s="34">
        <f>IFERROR(IF($U532="",1,INDEX(Deals!$W$2:$W$355,MATCH($C532,Deals!$A$2:$A$355,0))),1)</f>
        <v/>
      </c>
      <c r="U532" s="22">
        <f>IF($C532="","",IFERROR(IF(INDEX(Deals!$Y$2:$Y$355,MATCH($C532,Deals!$A$2:$A$355,0))=0,"",INDEX(Deals!$Y$2:$Y$355,MATCH($C532,Deals!$A$2:$A$355,0))),""))</f>
        <v/>
      </c>
      <c r="V532" s="35">
        <f>IF(OR($U532&lt;&gt;"",AND($AO532&gt;0,$L532&lt;&gt;"",$M532&lt;&gt;"")),$N532,DATE(1900,1,1))</f>
        <v/>
      </c>
      <c r="W532" s="35">
        <f>IF($U532&lt;&gt;"",$U532,IF(AND($AO532&gt;0,$L532&lt;&gt;"",$M532&lt;&gt;""),$O532,DATE(2100,12,31)))</f>
        <v/>
      </c>
      <c r="X532" s="32">
        <f>IF($U532="",$K532,$K532*$S532)</f>
        <v/>
      </c>
      <c r="Y532" s="35">
        <f>IF($U532="",DATE(2100,12,31),$U532+1)</f>
        <v/>
      </c>
      <c r="Z532" s="35">
        <f>IF($U532="",DATE(1900,1,1),$O532)</f>
        <v/>
      </c>
      <c r="AA532" s="32">
        <f>IF($U532="",0,$K532*$T532)</f>
        <v/>
      </c>
      <c r="AB532" s="21">
        <f>IF($C532="",0,IFERROR(INDEX(Deals!$AD$2:$AD$355,MATCH($C532,Deals!$A$2:$A$355,0)),0))</f>
        <v/>
      </c>
      <c r="AC532" s="32">
        <f>IF(Settings!$B$4="Yes",$I532*$AB532,$I532)</f>
        <v/>
      </c>
      <c r="AD532" s="22">
        <f>IF($C532="","",IFERROR(IF(INDEX(Deals!$AE$2:$AE$355,MATCH($C532,Deals!$A$2:$A$355,0))=0,"",INDEX(Deals!$AE$2:$AE$355,MATCH($C532,Deals!$A$2:$A$355,0))),""))</f>
        <v/>
      </c>
      <c r="AE532" s="22">
        <f>IF($C532="","",IFERROR(IF(INDEX(Deals!$AF$2:$AF$355,MATCH($C532,Deals!$A$2:$A$355,0))=0,"",INDEX(Deals!$AF$2:$AF$355,MATCH($C532,Deals!$A$2:$A$355,0))),""))</f>
        <v/>
      </c>
      <c r="AF532" s="35">
        <f>IF($AD532="",DATE(1900,1,1),$AD532)</f>
        <v/>
      </c>
      <c r="AG532" s="35">
        <f>IF($AE532="",DATE(2100,12,31),$AE532)</f>
        <v/>
      </c>
      <c r="AH532" s="22">
        <f>IF($C532="","",IFERROR(IF(INDEX(Deals!$AG$2:$AG$355,MATCH($C532,Deals!$A$2:$A$355,0))=0,"",INDEX(Deals!$AG$2:$AG$355,MATCH($C532,Deals!$A$2:$A$355,0))),""))</f>
        <v/>
      </c>
      <c r="AI532" s="35">
        <f>IF(OR($AH532&lt;&gt;"",AND($AO532&gt;0,$AD532&lt;&gt;"",$AE532&lt;&gt;"")),$AF532,DATE(1900,1,1))</f>
        <v/>
      </c>
      <c r="AJ532" s="35">
        <f>IF($AH532&lt;&gt;"",$AH532,IF(AND($AO532&gt;0,$AD532&lt;&gt;"",$AE532&lt;&gt;""),$AG532,DATE(2100,12,31)))</f>
        <v/>
      </c>
      <c r="AK532" s="32">
        <f>IF($AH532="",$AC532,$AC532*$S532)</f>
        <v/>
      </c>
      <c r="AL532" s="35">
        <f>IF($AH532="",DATE(2100,12,31),$AH532+1)</f>
        <v/>
      </c>
      <c r="AM532" s="35">
        <f>IF($AH532="",DATE(1900,1,1),$AG532)</f>
        <v/>
      </c>
      <c r="AN532" s="32">
        <f>IF($AH532="",0,$AC532*$T532)</f>
        <v/>
      </c>
      <c r="AO532" s="46">
        <f>IF($C532="",0,IFERROR(INDEX(Deals!$BD$2:$BD$355,MATCH($C532,Deals!$A$2:$A$355,0)),0))</f>
        <v/>
      </c>
      <c r="AP532" s="18">
        <f>IF($AO532=0,0,IFERROR(INDEX(Deals!$BJ$2:$BP$355,MATCH($C532,Deals!$A$2:$A$355,0),MATCH($F532,Deals!$BJ$1:$BP$1,0))/COUNTIFS(Assignments!$C$2:$C$769,$C532,Assignments!$F$2:$F$769,$F532,Assignments!$G$2:$G$769,"Active"),0))</f>
        <v/>
      </c>
    </row>
    <row r="533">
      <c r="A533" s="28" t="inlineStr">
        <is>
          <t>Jennifer Wu</t>
        </is>
      </c>
      <c r="B533" s="16">
        <f>IF($A533="","",IFERROR(INDEX(Roster!$B$2:$B$40,MATCH($A533,Roster!$A$2:$A$40,0)),"?"))</f>
        <v/>
      </c>
      <c r="C533" s="28" t="inlineStr">
        <is>
          <t>Resolute_1</t>
        </is>
      </c>
      <c r="D533" s="16">
        <f>IF($C533="","",IFERROR(IF(INDEX(Deals!$C$2:$C$355,MATCH($C533,Deals!$A$2:$A$355,0))=0,"",INDEX(Deals!$C$2:$C$355,MATCH($C533,Deals!$A$2:$A$355,0))),"?"))</f>
        <v/>
      </c>
      <c r="E533" s="16">
        <f>IF($C533="","",IFERROR(INDEX(Deals!$F$2:$F$355,MATCH($C533,Deals!$A$2:$A$355,0)),"?"))</f>
        <v/>
      </c>
      <c r="F533" s="28" t="inlineStr">
        <is>
          <t>Senior Associate</t>
        </is>
      </c>
      <c r="G533" s="28" t="inlineStr">
        <is>
          <t>Active</t>
        </is>
      </c>
      <c r="H533" s="31" t="n"/>
      <c r="I533" s="32">
        <f>IF(OR($A533="",$G533&lt;&gt;"Active"),0,IF($H533&lt;&gt;"",$H533,IF($AO533&gt;0,$AP533,IF(AND($R533&lt;&gt;"",IFERROR(INDEX(Templates!$B$3:$H$10,MATCH($R533,Templates!$A$3:$A$10,0),MATCH($F533,Templates!$B$2:$H$2,0)),0)&gt;0),INDEX(Templates!$B$3:$H$10,MATCH($R533,Templates!$A$3:$A$10,0),MATCH($F533,Templates!$B$2:$H$2,0)),IFERROR(INDEX(Settings!$B$8:$B$14,MATCH($F533,Settings!$A$8:$A$14,0)),0)))))</f>
        <v/>
      </c>
      <c r="J533" s="21">
        <f>IF($C533="",0,IFERROR(INDEX(Deals!$H$2:$H$355,MATCH($C533,Deals!$A$2:$A$355,0)),0))</f>
        <v/>
      </c>
      <c r="K533" s="32">
        <f>IF(Settings!$B$4="Yes",$I533*$J533,$I533)</f>
        <v/>
      </c>
      <c r="L533" s="22">
        <f>IF($C533="","",IFERROR(IF(INDEX(Deals!$I$2:$I$355,MATCH($C533,Deals!$A$2:$A$355,0))=0,"",INDEX(Deals!$I$2:$I$355,MATCH($C533,Deals!$A$2:$A$355,0))),""))</f>
        <v/>
      </c>
      <c r="M533" s="22">
        <f>IF($C533="","",IFERROR(IF(INDEX(Deals!$J$2:$J$355,MATCH($C533,Deals!$A$2:$A$355,0))=0,"",INDEX(Deals!$J$2:$J$355,MATCH($C533,Deals!$A$2:$A$355,0))),""))</f>
        <v/>
      </c>
      <c r="N533" s="35">
        <f>IF($L533="",DATE(1900,1,1),$L533)</f>
        <v/>
      </c>
      <c r="O533" s="35">
        <f>IF($M533="",DATE(2100,12,31),$M533)</f>
        <v/>
      </c>
      <c r="P533" s="20" t="inlineStr"/>
      <c r="Q533" s="47" t="inlineStr"/>
      <c r="R533" s="16">
        <f>IF($C533="","",IFERROR(IF(INDEX(Deals!$U$2:$U$355,MATCH($C533,Deals!$A$2:$A$355,0))=0,"",INDEX(Deals!$U$2:$U$355,MATCH($C533,Deals!$A$2:$A$355,0))),""))</f>
        <v/>
      </c>
      <c r="S533" s="34">
        <f>IFERROR(IF($U533="",1,INDEX(Deals!$V$2:$V$355,MATCH($C533,Deals!$A$2:$A$355,0))),1)</f>
        <v/>
      </c>
      <c r="T533" s="34">
        <f>IFERROR(IF($U533="",1,INDEX(Deals!$W$2:$W$355,MATCH($C533,Deals!$A$2:$A$355,0))),1)</f>
        <v/>
      </c>
      <c r="U533" s="22">
        <f>IF($C533="","",IFERROR(IF(INDEX(Deals!$Y$2:$Y$355,MATCH($C533,Deals!$A$2:$A$355,0))=0,"",INDEX(Deals!$Y$2:$Y$355,MATCH($C533,Deals!$A$2:$A$355,0))),""))</f>
        <v/>
      </c>
      <c r="V533" s="35">
        <f>IF(OR($U533&lt;&gt;"",AND($AO533&gt;0,$L533&lt;&gt;"",$M533&lt;&gt;"")),$N533,DATE(1900,1,1))</f>
        <v/>
      </c>
      <c r="W533" s="35">
        <f>IF($U533&lt;&gt;"",$U533,IF(AND($AO533&gt;0,$L533&lt;&gt;"",$M533&lt;&gt;""),$O533,DATE(2100,12,31)))</f>
        <v/>
      </c>
      <c r="X533" s="32">
        <f>IF($U533="",$K533,$K533*$S533)</f>
        <v/>
      </c>
      <c r="Y533" s="35">
        <f>IF($U533="",DATE(2100,12,31),$U533+1)</f>
        <v/>
      </c>
      <c r="Z533" s="35">
        <f>IF($U533="",DATE(1900,1,1),$O533)</f>
        <v/>
      </c>
      <c r="AA533" s="32">
        <f>IF($U533="",0,$K533*$T533)</f>
        <v/>
      </c>
      <c r="AB533" s="21">
        <f>IF($C533="",0,IFERROR(INDEX(Deals!$AD$2:$AD$355,MATCH($C533,Deals!$A$2:$A$355,0)),0))</f>
        <v/>
      </c>
      <c r="AC533" s="32">
        <f>IF(Settings!$B$4="Yes",$I533*$AB533,$I533)</f>
        <v/>
      </c>
      <c r="AD533" s="22">
        <f>IF($C533="","",IFERROR(IF(INDEX(Deals!$AE$2:$AE$355,MATCH($C533,Deals!$A$2:$A$355,0))=0,"",INDEX(Deals!$AE$2:$AE$355,MATCH($C533,Deals!$A$2:$A$355,0))),""))</f>
        <v/>
      </c>
      <c r="AE533" s="22">
        <f>IF($C533="","",IFERROR(IF(INDEX(Deals!$AF$2:$AF$355,MATCH($C533,Deals!$A$2:$A$355,0))=0,"",INDEX(Deals!$AF$2:$AF$355,MATCH($C533,Deals!$A$2:$A$355,0))),""))</f>
        <v/>
      </c>
      <c r="AF533" s="35">
        <f>IF($AD533="",DATE(1900,1,1),$AD533)</f>
        <v/>
      </c>
      <c r="AG533" s="35">
        <f>IF($AE533="",DATE(2100,12,31),$AE533)</f>
        <v/>
      </c>
      <c r="AH533" s="22">
        <f>IF($C533="","",IFERROR(IF(INDEX(Deals!$AG$2:$AG$355,MATCH($C533,Deals!$A$2:$A$355,0))=0,"",INDEX(Deals!$AG$2:$AG$355,MATCH($C533,Deals!$A$2:$A$355,0))),""))</f>
        <v/>
      </c>
      <c r="AI533" s="35">
        <f>IF(OR($AH533&lt;&gt;"",AND($AO533&gt;0,$AD533&lt;&gt;"",$AE533&lt;&gt;"")),$AF533,DATE(1900,1,1))</f>
        <v/>
      </c>
      <c r="AJ533" s="35">
        <f>IF($AH533&lt;&gt;"",$AH533,IF(AND($AO533&gt;0,$AD533&lt;&gt;"",$AE533&lt;&gt;""),$AG533,DATE(2100,12,31)))</f>
        <v/>
      </c>
      <c r="AK533" s="32">
        <f>IF($AH533="",$AC533,$AC533*$S533)</f>
        <v/>
      </c>
      <c r="AL533" s="35">
        <f>IF($AH533="",DATE(2100,12,31),$AH533+1)</f>
        <v/>
      </c>
      <c r="AM533" s="35">
        <f>IF($AH533="",DATE(1900,1,1),$AG533)</f>
        <v/>
      </c>
      <c r="AN533" s="32">
        <f>IF($AH533="",0,$AC533*$T533)</f>
        <v/>
      </c>
      <c r="AO533" s="46">
        <f>IF($C533="",0,IFERROR(INDEX(Deals!$BD$2:$BD$355,MATCH($C533,Deals!$A$2:$A$355,0)),0))</f>
        <v/>
      </c>
      <c r="AP533" s="18">
        <f>IF($AO533=0,0,IFERROR(INDEX(Deals!$BJ$2:$BP$355,MATCH($C533,Deals!$A$2:$A$355,0),MATCH($F533,Deals!$BJ$1:$BP$1,0))/COUNTIFS(Assignments!$C$2:$C$769,$C533,Assignments!$F$2:$F$769,$F533,Assignments!$G$2:$G$769,"Active"),0))</f>
        <v/>
      </c>
    </row>
    <row r="534">
      <c r="A534" s="28" t="inlineStr">
        <is>
          <t>Jennifer Wu</t>
        </is>
      </c>
      <c r="B534" s="16">
        <f>IF($A534="","",IFERROR(INDEX(Roster!$B$2:$B$40,MATCH($A534,Roster!$A$2:$A$40,0)),"?"))</f>
        <v/>
      </c>
      <c r="C534" s="28" t="inlineStr">
        <is>
          <t>Sakura</t>
        </is>
      </c>
      <c r="D534" s="16">
        <f>IF($C534="","",IFERROR(IF(INDEX(Deals!$C$2:$C$355,MATCH($C534,Deals!$A$2:$A$355,0))=0,"",INDEX(Deals!$C$2:$C$355,MATCH($C534,Deals!$A$2:$A$355,0))),"?"))</f>
        <v/>
      </c>
      <c r="E534" s="16">
        <f>IF($C534="","",IFERROR(INDEX(Deals!$F$2:$F$355,MATCH($C534,Deals!$A$2:$A$355,0)),"?"))</f>
        <v/>
      </c>
      <c r="F534" s="28" t="inlineStr">
        <is>
          <t>Senior Associate</t>
        </is>
      </c>
      <c r="G534" s="28" t="inlineStr">
        <is>
          <t>Active</t>
        </is>
      </c>
      <c r="H534" s="31" t="n"/>
      <c r="I534" s="32">
        <f>IF(OR($A534="",$G534&lt;&gt;"Active"),0,IF($H534&lt;&gt;"",$H534,IF($AO534&gt;0,$AP534,IF(AND($R534&lt;&gt;"",IFERROR(INDEX(Templates!$B$3:$H$10,MATCH($R534,Templates!$A$3:$A$10,0),MATCH($F534,Templates!$B$2:$H$2,0)),0)&gt;0),INDEX(Templates!$B$3:$H$10,MATCH($R534,Templates!$A$3:$A$10,0),MATCH($F534,Templates!$B$2:$H$2,0)),IFERROR(INDEX(Settings!$B$8:$B$14,MATCH($F534,Settings!$A$8:$A$14,0)),0)))))</f>
        <v/>
      </c>
      <c r="J534" s="21">
        <f>IF($C534="",0,IFERROR(INDEX(Deals!$H$2:$H$355,MATCH($C534,Deals!$A$2:$A$355,0)),0))</f>
        <v/>
      </c>
      <c r="K534" s="32">
        <f>IF(Settings!$B$4="Yes",$I534*$J534,$I534)</f>
        <v/>
      </c>
      <c r="L534" s="22">
        <f>IF($C534="","",IFERROR(IF(INDEX(Deals!$I$2:$I$355,MATCH($C534,Deals!$A$2:$A$355,0))=0,"",INDEX(Deals!$I$2:$I$355,MATCH($C534,Deals!$A$2:$A$355,0))),""))</f>
        <v/>
      </c>
      <c r="M534" s="22">
        <f>IF($C534="","",IFERROR(IF(INDEX(Deals!$J$2:$J$355,MATCH($C534,Deals!$A$2:$A$355,0))=0,"",INDEX(Deals!$J$2:$J$355,MATCH($C534,Deals!$A$2:$A$355,0))),""))</f>
        <v/>
      </c>
      <c r="N534" s="35">
        <f>IF($L534="",DATE(1900,1,1),$L534)</f>
        <v/>
      </c>
      <c r="O534" s="35">
        <f>IF($M534="",DATE(2100,12,31),$M534)</f>
        <v/>
      </c>
      <c r="P534" s="20" t="inlineStr"/>
      <c r="Q534" s="47" t="inlineStr"/>
      <c r="R534" s="16">
        <f>IF($C534="","",IFERROR(IF(INDEX(Deals!$U$2:$U$355,MATCH($C534,Deals!$A$2:$A$355,0))=0,"",INDEX(Deals!$U$2:$U$355,MATCH($C534,Deals!$A$2:$A$355,0))),""))</f>
        <v/>
      </c>
      <c r="S534" s="34">
        <f>IFERROR(IF($U534="",1,INDEX(Deals!$V$2:$V$355,MATCH($C534,Deals!$A$2:$A$355,0))),1)</f>
        <v/>
      </c>
      <c r="T534" s="34">
        <f>IFERROR(IF($U534="",1,INDEX(Deals!$W$2:$W$355,MATCH($C534,Deals!$A$2:$A$355,0))),1)</f>
        <v/>
      </c>
      <c r="U534" s="22">
        <f>IF($C534="","",IFERROR(IF(INDEX(Deals!$Y$2:$Y$355,MATCH($C534,Deals!$A$2:$A$355,0))=0,"",INDEX(Deals!$Y$2:$Y$355,MATCH($C534,Deals!$A$2:$A$355,0))),""))</f>
        <v/>
      </c>
      <c r="V534" s="35">
        <f>IF(OR($U534&lt;&gt;"",AND($AO534&gt;0,$L534&lt;&gt;"",$M534&lt;&gt;"")),$N534,DATE(1900,1,1))</f>
        <v/>
      </c>
      <c r="W534" s="35">
        <f>IF($U534&lt;&gt;"",$U534,IF(AND($AO534&gt;0,$L534&lt;&gt;"",$M534&lt;&gt;""),$O534,DATE(2100,12,31)))</f>
        <v/>
      </c>
      <c r="X534" s="32">
        <f>IF($U534="",$K534,$K534*$S534)</f>
        <v/>
      </c>
      <c r="Y534" s="35">
        <f>IF($U534="",DATE(2100,12,31),$U534+1)</f>
        <v/>
      </c>
      <c r="Z534" s="35">
        <f>IF($U534="",DATE(1900,1,1),$O534)</f>
        <v/>
      </c>
      <c r="AA534" s="32">
        <f>IF($U534="",0,$K534*$T534)</f>
        <v/>
      </c>
      <c r="AB534" s="21">
        <f>IF($C534="",0,IFERROR(INDEX(Deals!$AD$2:$AD$355,MATCH($C534,Deals!$A$2:$A$355,0)),0))</f>
        <v/>
      </c>
      <c r="AC534" s="32">
        <f>IF(Settings!$B$4="Yes",$I534*$AB534,$I534)</f>
        <v/>
      </c>
      <c r="AD534" s="22">
        <f>IF($C534="","",IFERROR(IF(INDEX(Deals!$AE$2:$AE$355,MATCH($C534,Deals!$A$2:$A$355,0))=0,"",INDEX(Deals!$AE$2:$AE$355,MATCH($C534,Deals!$A$2:$A$355,0))),""))</f>
        <v/>
      </c>
      <c r="AE534" s="22">
        <f>IF($C534="","",IFERROR(IF(INDEX(Deals!$AF$2:$AF$355,MATCH($C534,Deals!$A$2:$A$355,0))=0,"",INDEX(Deals!$AF$2:$AF$355,MATCH($C534,Deals!$A$2:$A$355,0))),""))</f>
        <v/>
      </c>
      <c r="AF534" s="35">
        <f>IF($AD534="",DATE(1900,1,1),$AD534)</f>
        <v/>
      </c>
      <c r="AG534" s="35">
        <f>IF($AE534="",DATE(2100,12,31),$AE534)</f>
        <v/>
      </c>
      <c r="AH534" s="22">
        <f>IF($C534="","",IFERROR(IF(INDEX(Deals!$AG$2:$AG$355,MATCH($C534,Deals!$A$2:$A$355,0))=0,"",INDEX(Deals!$AG$2:$AG$355,MATCH($C534,Deals!$A$2:$A$355,0))),""))</f>
        <v/>
      </c>
      <c r="AI534" s="35">
        <f>IF(OR($AH534&lt;&gt;"",AND($AO534&gt;0,$AD534&lt;&gt;"",$AE534&lt;&gt;"")),$AF534,DATE(1900,1,1))</f>
        <v/>
      </c>
      <c r="AJ534" s="35">
        <f>IF($AH534&lt;&gt;"",$AH534,IF(AND($AO534&gt;0,$AD534&lt;&gt;"",$AE534&lt;&gt;""),$AG534,DATE(2100,12,31)))</f>
        <v/>
      </c>
      <c r="AK534" s="32">
        <f>IF($AH534="",$AC534,$AC534*$S534)</f>
        <v/>
      </c>
      <c r="AL534" s="35">
        <f>IF($AH534="",DATE(2100,12,31),$AH534+1)</f>
        <v/>
      </c>
      <c r="AM534" s="35">
        <f>IF($AH534="",DATE(1900,1,1),$AG534)</f>
        <v/>
      </c>
      <c r="AN534" s="32">
        <f>IF($AH534="",0,$AC534*$T534)</f>
        <v/>
      </c>
      <c r="AO534" s="46">
        <f>IF($C534="",0,IFERROR(INDEX(Deals!$BD$2:$BD$355,MATCH($C534,Deals!$A$2:$A$355,0)),0))</f>
        <v/>
      </c>
      <c r="AP534" s="18">
        <f>IF($AO534=0,0,IFERROR(INDEX(Deals!$BJ$2:$BP$355,MATCH($C534,Deals!$A$2:$A$355,0),MATCH($F534,Deals!$BJ$1:$BP$1,0))/COUNTIFS(Assignments!$C$2:$C$769,$C534,Assignments!$F$2:$F$769,$F534,Assignments!$G$2:$G$769,"Active"),0))</f>
        <v/>
      </c>
    </row>
    <row r="535">
      <c r="A535" s="28" t="inlineStr">
        <is>
          <t>Jennifer Wu</t>
        </is>
      </c>
      <c r="B535" s="16">
        <f>IF($A535="","",IFERROR(INDEX(Roster!$B$2:$B$40,MATCH($A535,Roster!$A$2:$A$40,0)),"?"))</f>
        <v/>
      </c>
      <c r="C535" s="28" t="inlineStr">
        <is>
          <t>Soltra_1</t>
        </is>
      </c>
      <c r="D535" s="16">
        <f>IF($C535="","",IFERROR(IF(INDEX(Deals!$C$2:$C$355,MATCH($C535,Deals!$A$2:$A$355,0))=0,"",INDEX(Deals!$C$2:$C$355,MATCH($C535,Deals!$A$2:$A$355,0))),"?"))</f>
        <v/>
      </c>
      <c r="E535" s="16">
        <f>IF($C535="","",IFERROR(INDEX(Deals!$F$2:$F$355,MATCH($C535,Deals!$A$2:$A$355,0)),"?"))</f>
        <v/>
      </c>
      <c r="F535" s="28" t="inlineStr">
        <is>
          <t>Senior Associate</t>
        </is>
      </c>
      <c r="G535" s="28" t="inlineStr">
        <is>
          <t>Active</t>
        </is>
      </c>
      <c r="H535" s="31" t="n"/>
      <c r="I535" s="32">
        <f>IF(OR($A535="",$G535&lt;&gt;"Active"),0,IF($H535&lt;&gt;"",$H535,IF($AO535&gt;0,$AP535,IF(AND($R535&lt;&gt;"",IFERROR(INDEX(Templates!$B$3:$H$10,MATCH($R535,Templates!$A$3:$A$10,0),MATCH($F535,Templates!$B$2:$H$2,0)),0)&gt;0),INDEX(Templates!$B$3:$H$10,MATCH($R535,Templates!$A$3:$A$10,0),MATCH($F535,Templates!$B$2:$H$2,0)),IFERROR(INDEX(Settings!$B$8:$B$14,MATCH($F535,Settings!$A$8:$A$14,0)),0)))))</f>
        <v/>
      </c>
      <c r="J535" s="21">
        <f>IF($C535="",0,IFERROR(INDEX(Deals!$H$2:$H$355,MATCH($C535,Deals!$A$2:$A$355,0)),0))</f>
        <v/>
      </c>
      <c r="K535" s="32">
        <f>IF(Settings!$B$4="Yes",$I535*$J535,$I535)</f>
        <v/>
      </c>
      <c r="L535" s="22">
        <f>IF($C535="","",IFERROR(IF(INDEX(Deals!$I$2:$I$355,MATCH($C535,Deals!$A$2:$A$355,0))=0,"",INDEX(Deals!$I$2:$I$355,MATCH($C535,Deals!$A$2:$A$355,0))),""))</f>
        <v/>
      </c>
      <c r="M535" s="22">
        <f>IF($C535="","",IFERROR(IF(INDEX(Deals!$J$2:$J$355,MATCH($C535,Deals!$A$2:$A$355,0))=0,"",INDEX(Deals!$J$2:$J$355,MATCH($C535,Deals!$A$2:$A$355,0))),""))</f>
        <v/>
      </c>
      <c r="N535" s="35">
        <f>IF($L535="",DATE(1900,1,1),$L535)</f>
        <v/>
      </c>
      <c r="O535" s="35">
        <f>IF($M535="",DATE(2100,12,31),$M535)</f>
        <v/>
      </c>
      <c r="P535" s="20" t="inlineStr"/>
      <c r="Q535" s="47" t="inlineStr"/>
      <c r="R535" s="16">
        <f>IF($C535="","",IFERROR(IF(INDEX(Deals!$U$2:$U$355,MATCH($C535,Deals!$A$2:$A$355,0))=0,"",INDEX(Deals!$U$2:$U$355,MATCH($C535,Deals!$A$2:$A$355,0))),""))</f>
        <v/>
      </c>
      <c r="S535" s="34">
        <f>IFERROR(IF($U535="",1,INDEX(Deals!$V$2:$V$355,MATCH($C535,Deals!$A$2:$A$355,0))),1)</f>
        <v/>
      </c>
      <c r="T535" s="34">
        <f>IFERROR(IF($U535="",1,INDEX(Deals!$W$2:$W$355,MATCH($C535,Deals!$A$2:$A$355,0))),1)</f>
        <v/>
      </c>
      <c r="U535" s="22">
        <f>IF($C535="","",IFERROR(IF(INDEX(Deals!$Y$2:$Y$355,MATCH($C535,Deals!$A$2:$A$355,0))=0,"",INDEX(Deals!$Y$2:$Y$355,MATCH($C535,Deals!$A$2:$A$355,0))),""))</f>
        <v/>
      </c>
      <c r="V535" s="35">
        <f>IF(OR($U535&lt;&gt;"",AND($AO535&gt;0,$L535&lt;&gt;"",$M535&lt;&gt;"")),$N535,DATE(1900,1,1))</f>
        <v/>
      </c>
      <c r="W535" s="35">
        <f>IF($U535&lt;&gt;"",$U535,IF(AND($AO535&gt;0,$L535&lt;&gt;"",$M535&lt;&gt;""),$O535,DATE(2100,12,31)))</f>
        <v/>
      </c>
      <c r="X535" s="32">
        <f>IF($U535="",$K535,$K535*$S535)</f>
        <v/>
      </c>
      <c r="Y535" s="35">
        <f>IF($U535="",DATE(2100,12,31),$U535+1)</f>
        <v/>
      </c>
      <c r="Z535" s="35">
        <f>IF($U535="",DATE(1900,1,1),$O535)</f>
        <v/>
      </c>
      <c r="AA535" s="32">
        <f>IF($U535="",0,$K535*$T535)</f>
        <v/>
      </c>
      <c r="AB535" s="21">
        <f>IF($C535="",0,IFERROR(INDEX(Deals!$AD$2:$AD$355,MATCH($C535,Deals!$A$2:$A$355,0)),0))</f>
        <v/>
      </c>
      <c r="AC535" s="32">
        <f>IF(Settings!$B$4="Yes",$I535*$AB535,$I535)</f>
        <v/>
      </c>
      <c r="AD535" s="22">
        <f>IF($C535="","",IFERROR(IF(INDEX(Deals!$AE$2:$AE$355,MATCH($C535,Deals!$A$2:$A$355,0))=0,"",INDEX(Deals!$AE$2:$AE$355,MATCH($C535,Deals!$A$2:$A$355,0))),""))</f>
        <v/>
      </c>
      <c r="AE535" s="22">
        <f>IF($C535="","",IFERROR(IF(INDEX(Deals!$AF$2:$AF$355,MATCH($C535,Deals!$A$2:$A$355,0))=0,"",INDEX(Deals!$AF$2:$AF$355,MATCH($C535,Deals!$A$2:$A$355,0))),""))</f>
        <v/>
      </c>
      <c r="AF535" s="35">
        <f>IF($AD535="",DATE(1900,1,1),$AD535)</f>
        <v/>
      </c>
      <c r="AG535" s="35">
        <f>IF($AE535="",DATE(2100,12,31),$AE535)</f>
        <v/>
      </c>
      <c r="AH535" s="22">
        <f>IF($C535="","",IFERROR(IF(INDEX(Deals!$AG$2:$AG$355,MATCH($C535,Deals!$A$2:$A$355,0))=0,"",INDEX(Deals!$AG$2:$AG$355,MATCH($C535,Deals!$A$2:$A$355,0))),""))</f>
        <v/>
      </c>
      <c r="AI535" s="35">
        <f>IF(OR($AH535&lt;&gt;"",AND($AO535&gt;0,$AD535&lt;&gt;"",$AE535&lt;&gt;"")),$AF535,DATE(1900,1,1))</f>
        <v/>
      </c>
      <c r="AJ535" s="35">
        <f>IF($AH535&lt;&gt;"",$AH535,IF(AND($AO535&gt;0,$AD535&lt;&gt;"",$AE535&lt;&gt;""),$AG535,DATE(2100,12,31)))</f>
        <v/>
      </c>
      <c r="AK535" s="32">
        <f>IF($AH535="",$AC535,$AC535*$S535)</f>
        <v/>
      </c>
      <c r="AL535" s="35">
        <f>IF($AH535="",DATE(2100,12,31),$AH535+1)</f>
        <v/>
      </c>
      <c r="AM535" s="35">
        <f>IF($AH535="",DATE(1900,1,1),$AG535)</f>
        <v/>
      </c>
      <c r="AN535" s="32">
        <f>IF($AH535="",0,$AC535*$T535)</f>
        <v/>
      </c>
      <c r="AO535" s="46">
        <f>IF($C535="",0,IFERROR(INDEX(Deals!$BD$2:$BD$355,MATCH($C535,Deals!$A$2:$A$355,0)),0))</f>
        <v/>
      </c>
      <c r="AP535" s="18">
        <f>IF($AO535=0,0,IFERROR(INDEX(Deals!$BJ$2:$BP$355,MATCH($C535,Deals!$A$2:$A$355,0),MATCH($F535,Deals!$BJ$1:$BP$1,0))/COUNTIFS(Assignments!$C$2:$C$769,$C535,Assignments!$F$2:$F$769,$F535,Assignments!$G$2:$G$769,"Active"),0))</f>
        <v/>
      </c>
    </row>
    <row r="536">
      <c r="A536" s="28" t="inlineStr">
        <is>
          <t>Jennifer Wu</t>
        </is>
      </c>
      <c r="B536" s="16">
        <f>IF($A536="","",IFERROR(INDEX(Roster!$B$2:$B$40,MATCH($A536,Roster!$A$2:$A$40,0)),"?"))</f>
        <v/>
      </c>
      <c r="C536" s="28" t="inlineStr">
        <is>
          <t>Twister_1</t>
        </is>
      </c>
      <c r="D536" s="16">
        <f>IF($C536="","",IFERROR(IF(INDEX(Deals!$C$2:$C$355,MATCH($C536,Deals!$A$2:$A$355,0))=0,"",INDEX(Deals!$C$2:$C$355,MATCH($C536,Deals!$A$2:$A$355,0))),"?"))</f>
        <v/>
      </c>
      <c r="E536" s="16">
        <f>IF($C536="","",IFERROR(INDEX(Deals!$F$2:$F$355,MATCH($C536,Deals!$A$2:$A$355,0)),"?"))</f>
        <v/>
      </c>
      <c r="F536" s="28" t="inlineStr">
        <is>
          <t>Senior Associate</t>
        </is>
      </c>
      <c r="G536" s="28" t="inlineStr">
        <is>
          <t>Active</t>
        </is>
      </c>
      <c r="H536" s="31" t="n"/>
      <c r="I536" s="32">
        <f>IF(OR($A536="",$G536&lt;&gt;"Active"),0,IF($H536&lt;&gt;"",$H536,IF($AO536&gt;0,$AP536,IF(AND($R536&lt;&gt;"",IFERROR(INDEX(Templates!$B$3:$H$10,MATCH($R536,Templates!$A$3:$A$10,0),MATCH($F536,Templates!$B$2:$H$2,0)),0)&gt;0),INDEX(Templates!$B$3:$H$10,MATCH($R536,Templates!$A$3:$A$10,0),MATCH($F536,Templates!$B$2:$H$2,0)),IFERROR(INDEX(Settings!$B$8:$B$14,MATCH($F536,Settings!$A$8:$A$14,0)),0)))))</f>
        <v/>
      </c>
      <c r="J536" s="21">
        <f>IF($C536="",0,IFERROR(INDEX(Deals!$H$2:$H$355,MATCH($C536,Deals!$A$2:$A$355,0)),0))</f>
        <v/>
      </c>
      <c r="K536" s="32">
        <f>IF(Settings!$B$4="Yes",$I536*$J536,$I536)</f>
        <v/>
      </c>
      <c r="L536" s="22">
        <f>IF($C536="","",IFERROR(IF(INDEX(Deals!$I$2:$I$355,MATCH($C536,Deals!$A$2:$A$355,0))=0,"",INDEX(Deals!$I$2:$I$355,MATCH($C536,Deals!$A$2:$A$355,0))),""))</f>
        <v/>
      </c>
      <c r="M536" s="22">
        <f>IF($C536="","",IFERROR(IF(INDEX(Deals!$J$2:$J$355,MATCH($C536,Deals!$A$2:$A$355,0))=0,"",INDEX(Deals!$J$2:$J$355,MATCH($C536,Deals!$A$2:$A$355,0))),""))</f>
        <v/>
      </c>
      <c r="N536" s="35">
        <f>IF($L536="",DATE(1900,1,1),$L536)</f>
        <v/>
      </c>
      <c r="O536" s="35">
        <f>IF($M536="",DATE(2100,12,31),$M536)</f>
        <v/>
      </c>
      <c r="P536" s="20" t="inlineStr"/>
      <c r="Q536" s="47" t="inlineStr"/>
      <c r="R536" s="16">
        <f>IF($C536="","",IFERROR(IF(INDEX(Deals!$U$2:$U$355,MATCH($C536,Deals!$A$2:$A$355,0))=0,"",INDEX(Deals!$U$2:$U$355,MATCH($C536,Deals!$A$2:$A$355,0))),""))</f>
        <v/>
      </c>
      <c r="S536" s="34">
        <f>IFERROR(IF($U536="",1,INDEX(Deals!$V$2:$V$355,MATCH($C536,Deals!$A$2:$A$355,0))),1)</f>
        <v/>
      </c>
      <c r="T536" s="34">
        <f>IFERROR(IF($U536="",1,INDEX(Deals!$W$2:$W$355,MATCH($C536,Deals!$A$2:$A$355,0))),1)</f>
        <v/>
      </c>
      <c r="U536" s="22">
        <f>IF($C536="","",IFERROR(IF(INDEX(Deals!$Y$2:$Y$355,MATCH($C536,Deals!$A$2:$A$355,0))=0,"",INDEX(Deals!$Y$2:$Y$355,MATCH($C536,Deals!$A$2:$A$355,0))),""))</f>
        <v/>
      </c>
      <c r="V536" s="35">
        <f>IF(OR($U536&lt;&gt;"",AND($AO536&gt;0,$L536&lt;&gt;"",$M536&lt;&gt;"")),$N536,DATE(1900,1,1))</f>
        <v/>
      </c>
      <c r="W536" s="35">
        <f>IF($U536&lt;&gt;"",$U536,IF(AND($AO536&gt;0,$L536&lt;&gt;"",$M536&lt;&gt;""),$O536,DATE(2100,12,31)))</f>
        <v/>
      </c>
      <c r="X536" s="32">
        <f>IF($U536="",$K536,$K536*$S536)</f>
        <v/>
      </c>
      <c r="Y536" s="35">
        <f>IF($U536="",DATE(2100,12,31),$U536+1)</f>
        <v/>
      </c>
      <c r="Z536" s="35">
        <f>IF($U536="",DATE(1900,1,1),$O536)</f>
        <v/>
      </c>
      <c r="AA536" s="32">
        <f>IF($U536="",0,$K536*$T536)</f>
        <v/>
      </c>
      <c r="AB536" s="21">
        <f>IF($C536="",0,IFERROR(INDEX(Deals!$AD$2:$AD$355,MATCH($C536,Deals!$A$2:$A$355,0)),0))</f>
        <v/>
      </c>
      <c r="AC536" s="32">
        <f>IF(Settings!$B$4="Yes",$I536*$AB536,$I536)</f>
        <v/>
      </c>
      <c r="AD536" s="22">
        <f>IF($C536="","",IFERROR(IF(INDEX(Deals!$AE$2:$AE$355,MATCH($C536,Deals!$A$2:$A$355,0))=0,"",INDEX(Deals!$AE$2:$AE$355,MATCH($C536,Deals!$A$2:$A$355,0))),""))</f>
        <v/>
      </c>
      <c r="AE536" s="22">
        <f>IF($C536="","",IFERROR(IF(INDEX(Deals!$AF$2:$AF$355,MATCH($C536,Deals!$A$2:$A$355,0))=0,"",INDEX(Deals!$AF$2:$AF$355,MATCH($C536,Deals!$A$2:$A$355,0))),""))</f>
        <v/>
      </c>
      <c r="AF536" s="35">
        <f>IF($AD536="",DATE(1900,1,1),$AD536)</f>
        <v/>
      </c>
      <c r="AG536" s="35">
        <f>IF($AE536="",DATE(2100,12,31),$AE536)</f>
        <v/>
      </c>
      <c r="AH536" s="22">
        <f>IF($C536="","",IFERROR(IF(INDEX(Deals!$AG$2:$AG$355,MATCH($C536,Deals!$A$2:$A$355,0))=0,"",INDEX(Deals!$AG$2:$AG$355,MATCH($C536,Deals!$A$2:$A$355,0))),""))</f>
        <v/>
      </c>
      <c r="AI536" s="35">
        <f>IF(OR($AH536&lt;&gt;"",AND($AO536&gt;0,$AD536&lt;&gt;"",$AE536&lt;&gt;"")),$AF536,DATE(1900,1,1))</f>
        <v/>
      </c>
      <c r="AJ536" s="35">
        <f>IF($AH536&lt;&gt;"",$AH536,IF(AND($AO536&gt;0,$AD536&lt;&gt;"",$AE536&lt;&gt;""),$AG536,DATE(2100,12,31)))</f>
        <v/>
      </c>
      <c r="AK536" s="32">
        <f>IF($AH536="",$AC536,$AC536*$S536)</f>
        <v/>
      </c>
      <c r="AL536" s="35">
        <f>IF($AH536="",DATE(2100,12,31),$AH536+1)</f>
        <v/>
      </c>
      <c r="AM536" s="35">
        <f>IF($AH536="",DATE(1900,1,1),$AG536)</f>
        <v/>
      </c>
      <c r="AN536" s="32">
        <f>IF($AH536="",0,$AC536*$T536)</f>
        <v/>
      </c>
      <c r="AO536" s="46">
        <f>IF($C536="",0,IFERROR(INDEX(Deals!$BD$2:$BD$355,MATCH($C536,Deals!$A$2:$A$355,0)),0))</f>
        <v/>
      </c>
      <c r="AP536" s="18">
        <f>IF($AO536=0,0,IFERROR(INDEX(Deals!$BJ$2:$BP$355,MATCH($C536,Deals!$A$2:$A$355,0),MATCH($F536,Deals!$BJ$1:$BP$1,0))/COUNTIFS(Assignments!$C$2:$C$769,$C536,Assignments!$F$2:$F$769,$F536,Assignments!$G$2:$G$769,"Active"),0))</f>
        <v/>
      </c>
    </row>
    <row r="537">
      <c r="A537" s="28" t="inlineStr">
        <is>
          <t>Dorian</t>
        </is>
      </c>
      <c r="B537" s="16">
        <f>IF($A537="","",IFERROR(INDEX(Roster!$B$2:$B$40,MATCH($A537,Roster!$A$2:$A$40,0)),"?"))</f>
        <v/>
      </c>
      <c r="C537" s="28" t="inlineStr">
        <is>
          <t>80/20 Assistance_1</t>
        </is>
      </c>
      <c r="D537" s="16">
        <f>IF($C537="","",IFERROR(IF(INDEX(Deals!$C$2:$C$355,MATCH($C537,Deals!$A$2:$A$355,0))=0,"",INDEX(Deals!$C$2:$C$355,MATCH($C537,Deals!$A$2:$A$355,0))),"?"))</f>
        <v/>
      </c>
      <c r="E537" s="16">
        <f>IF($C537="","",IFERROR(INDEX(Deals!$F$2:$F$355,MATCH($C537,Deals!$A$2:$A$355,0)),"?"))</f>
        <v/>
      </c>
      <c r="F537" s="28" t="inlineStr">
        <is>
          <t>Renewable Specialist</t>
        </is>
      </c>
      <c r="G537" s="28" t="inlineStr">
        <is>
          <t>Active</t>
        </is>
      </c>
      <c r="H537" s="31" t="n"/>
      <c r="I537" s="32">
        <f>IF(OR($A537="",$G537&lt;&gt;"Active"),0,IF($H537&lt;&gt;"",$H537,IF($AO537&gt;0,$AP537,IF(AND($R537&lt;&gt;"",IFERROR(INDEX(Templates!$B$3:$H$10,MATCH($R537,Templates!$A$3:$A$10,0),MATCH($F537,Templates!$B$2:$H$2,0)),0)&gt;0),INDEX(Templates!$B$3:$H$10,MATCH($R537,Templates!$A$3:$A$10,0),MATCH($F537,Templates!$B$2:$H$2,0)),IFERROR(INDEX(Settings!$B$8:$B$14,MATCH($F537,Settings!$A$8:$A$14,0)),0)))))</f>
        <v/>
      </c>
      <c r="J537" s="21">
        <f>IF($C537="",0,IFERROR(INDEX(Deals!$H$2:$H$355,MATCH($C537,Deals!$A$2:$A$355,0)),0))</f>
        <v/>
      </c>
      <c r="K537" s="32">
        <f>IF(Settings!$B$4="Yes",$I537*$J537,$I537)</f>
        <v/>
      </c>
      <c r="L537" s="22">
        <f>IF($C537="","",IFERROR(IF(INDEX(Deals!$I$2:$I$355,MATCH($C537,Deals!$A$2:$A$355,0))=0,"",INDEX(Deals!$I$2:$I$355,MATCH($C537,Deals!$A$2:$A$355,0))),""))</f>
        <v/>
      </c>
      <c r="M537" s="22">
        <f>IF($C537="","",IFERROR(IF(INDEX(Deals!$J$2:$J$355,MATCH($C537,Deals!$A$2:$A$355,0))=0,"",INDEX(Deals!$J$2:$J$355,MATCH($C537,Deals!$A$2:$A$355,0))),""))</f>
        <v/>
      </c>
      <c r="N537" s="35">
        <f>IF($L537="",DATE(1900,1,1),$L537)</f>
        <v/>
      </c>
      <c r="O537" s="35">
        <f>IF($M537="",DATE(2100,12,31),$M537)</f>
        <v/>
      </c>
      <c r="P537" s="20" t="inlineStr"/>
      <c r="Q537" s="47" t="inlineStr"/>
      <c r="R537" s="16">
        <f>IF($C537="","",IFERROR(IF(INDEX(Deals!$U$2:$U$355,MATCH($C537,Deals!$A$2:$A$355,0))=0,"",INDEX(Deals!$U$2:$U$355,MATCH($C537,Deals!$A$2:$A$355,0))),""))</f>
        <v/>
      </c>
      <c r="S537" s="34">
        <f>IFERROR(IF($U537="",1,INDEX(Deals!$V$2:$V$355,MATCH($C537,Deals!$A$2:$A$355,0))),1)</f>
        <v/>
      </c>
      <c r="T537" s="34">
        <f>IFERROR(IF($U537="",1,INDEX(Deals!$W$2:$W$355,MATCH($C537,Deals!$A$2:$A$355,0))),1)</f>
        <v/>
      </c>
      <c r="U537" s="22">
        <f>IF($C537="","",IFERROR(IF(INDEX(Deals!$Y$2:$Y$355,MATCH($C537,Deals!$A$2:$A$355,0))=0,"",INDEX(Deals!$Y$2:$Y$355,MATCH($C537,Deals!$A$2:$A$355,0))),""))</f>
        <v/>
      </c>
      <c r="V537" s="35">
        <f>IF(OR($U537&lt;&gt;"",AND($AO537&gt;0,$L537&lt;&gt;"",$M537&lt;&gt;"")),$N537,DATE(1900,1,1))</f>
        <v/>
      </c>
      <c r="W537" s="35">
        <f>IF($U537&lt;&gt;"",$U537,IF(AND($AO537&gt;0,$L537&lt;&gt;"",$M537&lt;&gt;""),$O537,DATE(2100,12,31)))</f>
        <v/>
      </c>
      <c r="X537" s="32">
        <f>IF($U537="",$K537,$K537*$S537)</f>
        <v/>
      </c>
      <c r="Y537" s="35">
        <f>IF($U537="",DATE(2100,12,31),$U537+1)</f>
        <v/>
      </c>
      <c r="Z537" s="35">
        <f>IF($U537="",DATE(1900,1,1),$O537)</f>
        <v/>
      </c>
      <c r="AA537" s="32">
        <f>IF($U537="",0,$K537*$T537)</f>
        <v/>
      </c>
      <c r="AB537" s="21">
        <f>IF($C537="",0,IFERROR(INDEX(Deals!$AD$2:$AD$355,MATCH($C537,Deals!$A$2:$A$355,0)),0))</f>
        <v/>
      </c>
      <c r="AC537" s="32">
        <f>IF(Settings!$B$4="Yes",$I537*$AB537,$I537)</f>
        <v/>
      </c>
      <c r="AD537" s="22">
        <f>IF($C537="","",IFERROR(IF(INDEX(Deals!$AE$2:$AE$355,MATCH($C537,Deals!$A$2:$A$355,0))=0,"",INDEX(Deals!$AE$2:$AE$355,MATCH($C537,Deals!$A$2:$A$355,0))),""))</f>
        <v/>
      </c>
      <c r="AE537" s="22">
        <f>IF($C537="","",IFERROR(IF(INDEX(Deals!$AF$2:$AF$355,MATCH($C537,Deals!$A$2:$A$355,0))=0,"",INDEX(Deals!$AF$2:$AF$355,MATCH($C537,Deals!$A$2:$A$355,0))),""))</f>
        <v/>
      </c>
      <c r="AF537" s="35">
        <f>IF($AD537="",DATE(1900,1,1),$AD537)</f>
        <v/>
      </c>
      <c r="AG537" s="35">
        <f>IF($AE537="",DATE(2100,12,31),$AE537)</f>
        <v/>
      </c>
      <c r="AH537" s="22">
        <f>IF($C537="","",IFERROR(IF(INDEX(Deals!$AG$2:$AG$355,MATCH($C537,Deals!$A$2:$A$355,0))=0,"",INDEX(Deals!$AG$2:$AG$355,MATCH($C537,Deals!$A$2:$A$355,0))),""))</f>
        <v/>
      </c>
      <c r="AI537" s="35">
        <f>IF(OR($AH537&lt;&gt;"",AND($AO537&gt;0,$AD537&lt;&gt;"",$AE537&lt;&gt;"")),$AF537,DATE(1900,1,1))</f>
        <v/>
      </c>
      <c r="AJ537" s="35">
        <f>IF($AH537&lt;&gt;"",$AH537,IF(AND($AO537&gt;0,$AD537&lt;&gt;"",$AE537&lt;&gt;""),$AG537,DATE(2100,12,31)))</f>
        <v/>
      </c>
      <c r="AK537" s="32">
        <f>IF($AH537="",$AC537,$AC537*$S537)</f>
        <v/>
      </c>
      <c r="AL537" s="35">
        <f>IF($AH537="",DATE(2100,12,31),$AH537+1)</f>
        <v/>
      </c>
      <c r="AM537" s="35">
        <f>IF($AH537="",DATE(1900,1,1),$AG537)</f>
        <v/>
      </c>
      <c r="AN537" s="32">
        <f>IF($AH537="",0,$AC537*$T537)</f>
        <v/>
      </c>
      <c r="AO537" s="46">
        <f>IF($C537="",0,IFERROR(INDEX(Deals!$BD$2:$BD$355,MATCH($C537,Deals!$A$2:$A$355,0)),0))</f>
        <v/>
      </c>
      <c r="AP537" s="18">
        <f>IF($AO537=0,0,IFERROR(INDEX(Deals!$BJ$2:$BP$355,MATCH($C537,Deals!$A$2:$A$355,0),MATCH($F537,Deals!$BJ$1:$BP$1,0))/COUNTIFS(Assignments!$C$2:$C$769,$C537,Assignments!$F$2:$F$769,$F537,Assignments!$G$2:$G$769,"Active"),0))</f>
        <v/>
      </c>
    </row>
    <row r="538">
      <c r="A538" s="28" t="inlineStr">
        <is>
          <t>Dorian</t>
        </is>
      </c>
      <c r="B538" s="16">
        <f>IF($A538="","",IFERROR(INDEX(Roster!$B$2:$B$40,MATCH($A538,Roster!$A$2:$A$40,0)),"?"))</f>
        <v/>
      </c>
      <c r="C538" s="28" t="inlineStr">
        <is>
          <t>Aypa Power General PW&amp;A Advisory_1</t>
        </is>
      </c>
      <c r="D538" s="16">
        <f>IF($C538="","",IFERROR(IF(INDEX(Deals!$C$2:$C$355,MATCH($C538,Deals!$A$2:$A$355,0))=0,"",INDEX(Deals!$C$2:$C$355,MATCH($C538,Deals!$A$2:$A$355,0))),"?"))</f>
        <v/>
      </c>
      <c r="E538" s="16">
        <f>IF($C538="","",IFERROR(INDEX(Deals!$F$2:$F$355,MATCH($C538,Deals!$A$2:$A$355,0)),"?"))</f>
        <v/>
      </c>
      <c r="F538" s="28" t="inlineStr">
        <is>
          <t>Renewable Specialist</t>
        </is>
      </c>
      <c r="G538" s="28" t="inlineStr">
        <is>
          <t>Inactive</t>
        </is>
      </c>
      <c r="H538" s="31" t="n"/>
      <c r="I538" s="32">
        <f>IF(OR($A538="",$G538&lt;&gt;"Active"),0,IF($H538&lt;&gt;"",$H538,IF($AO538&gt;0,$AP538,IF(AND($R538&lt;&gt;"",IFERROR(INDEX(Templates!$B$3:$H$10,MATCH($R538,Templates!$A$3:$A$10,0),MATCH($F538,Templates!$B$2:$H$2,0)),0)&gt;0),INDEX(Templates!$B$3:$H$10,MATCH($R538,Templates!$A$3:$A$10,0),MATCH($F538,Templates!$B$2:$H$2,0)),IFERROR(INDEX(Settings!$B$8:$B$14,MATCH($F538,Settings!$A$8:$A$14,0)),0)))))</f>
        <v/>
      </c>
      <c r="J538" s="21">
        <f>IF($C538="",0,IFERROR(INDEX(Deals!$H$2:$H$355,MATCH($C538,Deals!$A$2:$A$355,0)),0))</f>
        <v/>
      </c>
      <c r="K538" s="32">
        <f>IF(Settings!$B$4="Yes",$I538*$J538,$I538)</f>
        <v/>
      </c>
      <c r="L538" s="22">
        <f>IF($C538="","",IFERROR(IF(INDEX(Deals!$I$2:$I$355,MATCH($C538,Deals!$A$2:$A$355,0))=0,"",INDEX(Deals!$I$2:$I$355,MATCH($C538,Deals!$A$2:$A$355,0))),""))</f>
        <v/>
      </c>
      <c r="M538" s="22">
        <f>IF($C538="","",IFERROR(IF(INDEX(Deals!$J$2:$J$355,MATCH($C538,Deals!$A$2:$A$355,0))=0,"",INDEX(Deals!$J$2:$J$355,MATCH($C538,Deals!$A$2:$A$355,0))),""))</f>
        <v/>
      </c>
      <c r="N538" s="35">
        <f>IF($L538="",DATE(1900,1,1),$L538)</f>
        <v/>
      </c>
      <c r="O538" s="35">
        <f>IF($M538="",DATE(2100,12,31),$M538)</f>
        <v/>
      </c>
      <c r="P538" s="20" t="inlineStr"/>
      <c r="Q538" s="47" t="inlineStr">
        <is>
          <t>Deal lifecycle is On hold</t>
        </is>
      </c>
      <c r="R538" s="16">
        <f>IF($C538="","",IFERROR(IF(INDEX(Deals!$U$2:$U$355,MATCH($C538,Deals!$A$2:$A$355,0))=0,"",INDEX(Deals!$U$2:$U$355,MATCH($C538,Deals!$A$2:$A$355,0))),""))</f>
        <v/>
      </c>
      <c r="S538" s="34">
        <f>IFERROR(IF($U538="",1,INDEX(Deals!$V$2:$V$355,MATCH($C538,Deals!$A$2:$A$355,0))),1)</f>
        <v/>
      </c>
      <c r="T538" s="34">
        <f>IFERROR(IF($U538="",1,INDEX(Deals!$W$2:$W$355,MATCH($C538,Deals!$A$2:$A$355,0))),1)</f>
        <v/>
      </c>
      <c r="U538" s="22">
        <f>IF($C538="","",IFERROR(IF(INDEX(Deals!$Y$2:$Y$355,MATCH($C538,Deals!$A$2:$A$355,0))=0,"",INDEX(Deals!$Y$2:$Y$355,MATCH($C538,Deals!$A$2:$A$355,0))),""))</f>
        <v/>
      </c>
      <c r="V538" s="35">
        <f>IF(OR($U538&lt;&gt;"",AND($AO538&gt;0,$L538&lt;&gt;"",$M538&lt;&gt;"")),$N538,DATE(1900,1,1))</f>
        <v/>
      </c>
      <c r="W538" s="35">
        <f>IF($U538&lt;&gt;"",$U538,IF(AND($AO538&gt;0,$L538&lt;&gt;"",$M538&lt;&gt;""),$O538,DATE(2100,12,31)))</f>
        <v/>
      </c>
      <c r="X538" s="32">
        <f>IF($U538="",$K538,$K538*$S538)</f>
        <v/>
      </c>
      <c r="Y538" s="35">
        <f>IF($U538="",DATE(2100,12,31),$U538+1)</f>
        <v/>
      </c>
      <c r="Z538" s="35">
        <f>IF($U538="",DATE(1900,1,1),$O538)</f>
        <v/>
      </c>
      <c r="AA538" s="32">
        <f>IF($U538="",0,$K538*$T538)</f>
        <v/>
      </c>
      <c r="AB538" s="21">
        <f>IF($C538="",0,IFERROR(INDEX(Deals!$AD$2:$AD$355,MATCH($C538,Deals!$A$2:$A$355,0)),0))</f>
        <v/>
      </c>
      <c r="AC538" s="32">
        <f>IF(Settings!$B$4="Yes",$I538*$AB538,$I538)</f>
        <v/>
      </c>
      <c r="AD538" s="22">
        <f>IF($C538="","",IFERROR(IF(INDEX(Deals!$AE$2:$AE$355,MATCH($C538,Deals!$A$2:$A$355,0))=0,"",INDEX(Deals!$AE$2:$AE$355,MATCH($C538,Deals!$A$2:$A$355,0))),""))</f>
        <v/>
      </c>
      <c r="AE538" s="22">
        <f>IF($C538="","",IFERROR(IF(INDEX(Deals!$AF$2:$AF$355,MATCH($C538,Deals!$A$2:$A$355,0))=0,"",INDEX(Deals!$AF$2:$AF$355,MATCH($C538,Deals!$A$2:$A$355,0))),""))</f>
        <v/>
      </c>
      <c r="AF538" s="35">
        <f>IF($AD538="",DATE(1900,1,1),$AD538)</f>
        <v/>
      </c>
      <c r="AG538" s="35">
        <f>IF($AE538="",DATE(2100,12,31),$AE538)</f>
        <v/>
      </c>
      <c r="AH538" s="22">
        <f>IF($C538="","",IFERROR(IF(INDEX(Deals!$AG$2:$AG$355,MATCH($C538,Deals!$A$2:$A$355,0))=0,"",INDEX(Deals!$AG$2:$AG$355,MATCH($C538,Deals!$A$2:$A$355,0))),""))</f>
        <v/>
      </c>
      <c r="AI538" s="35">
        <f>IF(OR($AH538&lt;&gt;"",AND($AO538&gt;0,$AD538&lt;&gt;"",$AE538&lt;&gt;"")),$AF538,DATE(1900,1,1))</f>
        <v/>
      </c>
      <c r="AJ538" s="35">
        <f>IF($AH538&lt;&gt;"",$AH538,IF(AND($AO538&gt;0,$AD538&lt;&gt;"",$AE538&lt;&gt;""),$AG538,DATE(2100,12,31)))</f>
        <v/>
      </c>
      <c r="AK538" s="32">
        <f>IF($AH538="",$AC538,$AC538*$S538)</f>
        <v/>
      </c>
      <c r="AL538" s="35">
        <f>IF($AH538="",DATE(2100,12,31),$AH538+1)</f>
        <v/>
      </c>
      <c r="AM538" s="35">
        <f>IF($AH538="",DATE(1900,1,1),$AG538)</f>
        <v/>
      </c>
      <c r="AN538" s="32">
        <f>IF($AH538="",0,$AC538*$T538)</f>
        <v/>
      </c>
      <c r="AO538" s="46">
        <f>IF($C538="",0,IFERROR(INDEX(Deals!$BD$2:$BD$355,MATCH($C538,Deals!$A$2:$A$355,0)),0))</f>
        <v/>
      </c>
      <c r="AP538" s="18">
        <f>IF($AO538=0,0,IFERROR(INDEX(Deals!$BJ$2:$BP$355,MATCH($C538,Deals!$A$2:$A$355,0),MATCH($F538,Deals!$BJ$1:$BP$1,0))/COUNTIFS(Assignments!$C$2:$C$769,$C538,Assignments!$F$2:$F$769,$F538,Assignments!$G$2:$G$769,"Active"),0))</f>
        <v/>
      </c>
    </row>
    <row r="539">
      <c r="A539" s="28" t="inlineStr">
        <is>
          <t>Dorian</t>
        </is>
      </c>
      <c r="B539" s="16">
        <f>IF($A539="","",IFERROR(INDEX(Roster!$B$2:$B$40,MATCH($A539,Roster!$A$2:$A$40,0)),"?"))</f>
        <v/>
      </c>
      <c r="C539" s="28" t="inlineStr">
        <is>
          <t>Bishopville_1</t>
        </is>
      </c>
      <c r="D539" s="16">
        <f>IF($C539="","",IFERROR(IF(INDEX(Deals!$C$2:$C$355,MATCH($C539,Deals!$A$2:$A$355,0))=0,"",INDEX(Deals!$C$2:$C$355,MATCH($C539,Deals!$A$2:$A$355,0))),"?"))</f>
        <v/>
      </c>
      <c r="E539" s="16">
        <f>IF($C539="","",IFERROR(INDEX(Deals!$F$2:$F$355,MATCH($C539,Deals!$A$2:$A$355,0)),"?"))</f>
        <v/>
      </c>
      <c r="F539" s="28" t="inlineStr">
        <is>
          <t>Renewable Specialist</t>
        </is>
      </c>
      <c r="G539" s="28" t="inlineStr">
        <is>
          <t>Active</t>
        </is>
      </c>
      <c r="H539" s="31" t="n"/>
      <c r="I539" s="32">
        <f>IF(OR($A539="",$G539&lt;&gt;"Active"),0,IF($H539&lt;&gt;"",$H539,IF($AO539&gt;0,$AP539,IF(AND($R539&lt;&gt;"",IFERROR(INDEX(Templates!$B$3:$H$10,MATCH($R539,Templates!$A$3:$A$10,0),MATCH($F539,Templates!$B$2:$H$2,0)),0)&gt;0),INDEX(Templates!$B$3:$H$10,MATCH($R539,Templates!$A$3:$A$10,0),MATCH($F539,Templates!$B$2:$H$2,0)),IFERROR(INDEX(Settings!$B$8:$B$14,MATCH($F539,Settings!$A$8:$A$14,0)),0)))))</f>
        <v/>
      </c>
      <c r="J539" s="21">
        <f>IF($C539="",0,IFERROR(INDEX(Deals!$H$2:$H$355,MATCH($C539,Deals!$A$2:$A$355,0)),0))</f>
        <v/>
      </c>
      <c r="K539" s="32">
        <f>IF(Settings!$B$4="Yes",$I539*$J539,$I539)</f>
        <v/>
      </c>
      <c r="L539" s="22">
        <f>IF($C539="","",IFERROR(IF(INDEX(Deals!$I$2:$I$355,MATCH($C539,Deals!$A$2:$A$355,0))=0,"",INDEX(Deals!$I$2:$I$355,MATCH($C539,Deals!$A$2:$A$355,0))),""))</f>
        <v/>
      </c>
      <c r="M539" s="22">
        <f>IF($C539="","",IFERROR(IF(INDEX(Deals!$J$2:$J$355,MATCH($C539,Deals!$A$2:$A$355,0))=0,"",INDEX(Deals!$J$2:$J$355,MATCH($C539,Deals!$A$2:$A$355,0))),""))</f>
        <v/>
      </c>
      <c r="N539" s="35">
        <f>IF($L539="",DATE(1900,1,1),$L539)</f>
        <v/>
      </c>
      <c r="O539" s="35">
        <f>IF($M539="",DATE(2100,12,31),$M539)</f>
        <v/>
      </c>
      <c r="P539" s="20" t="inlineStr"/>
      <c r="Q539" s="47" t="inlineStr"/>
      <c r="R539" s="16">
        <f>IF($C539="","",IFERROR(IF(INDEX(Deals!$U$2:$U$355,MATCH($C539,Deals!$A$2:$A$355,0))=0,"",INDEX(Deals!$U$2:$U$355,MATCH($C539,Deals!$A$2:$A$355,0))),""))</f>
        <v/>
      </c>
      <c r="S539" s="34">
        <f>IFERROR(IF($U539="",1,INDEX(Deals!$V$2:$V$355,MATCH($C539,Deals!$A$2:$A$355,0))),1)</f>
        <v/>
      </c>
      <c r="T539" s="34">
        <f>IFERROR(IF($U539="",1,INDEX(Deals!$W$2:$W$355,MATCH($C539,Deals!$A$2:$A$355,0))),1)</f>
        <v/>
      </c>
      <c r="U539" s="22">
        <f>IF($C539="","",IFERROR(IF(INDEX(Deals!$Y$2:$Y$355,MATCH($C539,Deals!$A$2:$A$355,0))=0,"",INDEX(Deals!$Y$2:$Y$355,MATCH($C539,Deals!$A$2:$A$355,0))),""))</f>
        <v/>
      </c>
      <c r="V539" s="35">
        <f>IF(OR($U539&lt;&gt;"",AND($AO539&gt;0,$L539&lt;&gt;"",$M539&lt;&gt;"")),$N539,DATE(1900,1,1))</f>
        <v/>
      </c>
      <c r="W539" s="35">
        <f>IF($U539&lt;&gt;"",$U539,IF(AND($AO539&gt;0,$L539&lt;&gt;"",$M539&lt;&gt;""),$O539,DATE(2100,12,31)))</f>
        <v/>
      </c>
      <c r="X539" s="32">
        <f>IF($U539="",$K539,$K539*$S539)</f>
        <v/>
      </c>
      <c r="Y539" s="35">
        <f>IF($U539="",DATE(2100,12,31),$U539+1)</f>
        <v/>
      </c>
      <c r="Z539" s="35">
        <f>IF($U539="",DATE(1900,1,1),$O539)</f>
        <v/>
      </c>
      <c r="AA539" s="32">
        <f>IF($U539="",0,$K539*$T539)</f>
        <v/>
      </c>
      <c r="AB539" s="21">
        <f>IF($C539="",0,IFERROR(INDEX(Deals!$AD$2:$AD$355,MATCH($C539,Deals!$A$2:$A$355,0)),0))</f>
        <v/>
      </c>
      <c r="AC539" s="32">
        <f>IF(Settings!$B$4="Yes",$I539*$AB539,$I539)</f>
        <v/>
      </c>
      <c r="AD539" s="22">
        <f>IF($C539="","",IFERROR(IF(INDEX(Deals!$AE$2:$AE$355,MATCH($C539,Deals!$A$2:$A$355,0))=0,"",INDEX(Deals!$AE$2:$AE$355,MATCH($C539,Deals!$A$2:$A$355,0))),""))</f>
        <v/>
      </c>
      <c r="AE539" s="22">
        <f>IF($C539="","",IFERROR(IF(INDEX(Deals!$AF$2:$AF$355,MATCH($C539,Deals!$A$2:$A$355,0))=0,"",INDEX(Deals!$AF$2:$AF$355,MATCH($C539,Deals!$A$2:$A$355,0))),""))</f>
        <v/>
      </c>
      <c r="AF539" s="35">
        <f>IF($AD539="",DATE(1900,1,1),$AD539)</f>
        <v/>
      </c>
      <c r="AG539" s="35">
        <f>IF($AE539="",DATE(2100,12,31),$AE539)</f>
        <v/>
      </c>
      <c r="AH539" s="22">
        <f>IF($C539="","",IFERROR(IF(INDEX(Deals!$AG$2:$AG$355,MATCH($C539,Deals!$A$2:$A$355,0))=0,"",INDEX(Deals!$AG$2:$AG$355,MATCH($C539,Deals!$A$2:$A$355,0))),""))</f>
        <v/>
      </c>
      <c r="AI539" s="35">
        <f>IF(OR($AH539&lt;&gt;"",AND($AO539&gt;0,$AD539&lt;&gt;"",$AE539&lt;&gt;"")),$AF539,DATE(1900,1,1))</f>
        <v/>
      </c>
      <c r="AJ539" s="35">
        <f>IF($AH539&lt;&gt;"",$AH539,IF(AND($AO539&gt;0,$AD539&lt;&gt;"",$AE539&lt;&gt;""),$AG539,DATE(2100,12,31)))</f>
        <v/>
      </c>
      <c r="AK539" s="32">
        <f>IF($AH539="",$AC539,$AC539*$S539)</f>
        <v/>
      </c>
      <c r="AL539" s="35">
        <f>IF($AH539="",DATE(2100,12,31),$AH539+1)</f>
        <v/>
      </c>
      <c r="AM539" s="35">
        <f>IF($AH539="",DATE(1900,1,1),$AG539)</f>
        <v/>
      </c>
      <c r="AN539" s="32">
        <f>IF($AH539="",0,$AC539*$T539)</f>
        <v/>
      </c>
      <c r="AO539" s="46">
        <f>IF($C539="",0,IFERROR(INDEX(Deals!$BD$2:$BD$355,MATCH($C539,Deals!$A$2:$A$355,0)),0))</f>
        <v/>
      </c>
      <c r="AP539" s="18">
        <f>IF($AO539=0,0,IFERROR(INDEX(Deals!$BJ$2:$BP$355,MATCH($C539,Deals!$A$2:$A$355,0),MATCH($F539,Deals!$BJ$1:$BP$1,0))/COUNTIFS(Assignments!$C$2:$C$769,$C539,Assignments!$F$2:$F$769,$F539,Assignments!$G$2:$G$769,"Active"),0))</f>
        <v/>
      </c>
    </row>
    <row r="540">
      <c r="A540" s="28" t="inlineStr">
        <is>
          <t>Dorian</t>
        </is>
      </c>
      <c r="B540" s="16">
        <f>IF($A540="","",IFERROR(INDEX(Roster!$B$2:$B$40,MATCH($A540,Roster!$A$2:$A$40,0)),"?"))</f>
        <v/>
      </c>
      <c r="C540" s="28" t="inlineStr">
        <is>
          <t>Bocce_2</t>
        </is>
      </c>
      <c r="D540" s="16">
        <f>IF($C540="","",IFERROR(IF(INDEX(Deals!$C$2:$C$355,MATCH($C540,Deals!$A$2:$A$355,0))=0,"",INDEX(Deals!$C$2:$C$355,MATCH($C540,Deals!$A$2:$A$355,0))),"?"))</f>
        <v/>
      </c>
      <c r="E540" s="16">
        <f>IF($C540="","",IFERROR(INDEX(Deals!$F$2:$F$355,MATCH($C540,Deals!$A$2:$A$355,0)),"?"))</f>
        <v/>
      </c>
      <c r="F540" s="28" t="inlineStr">
        <is>
          <t>Renewable Specialist</t>
        </is>
      </c>
      <c r="G540" s="28" t="inlineStr">
        <is>
          <t>Active</t>
        </is>
      </c>
      <c r="H540" s="31" t="n"/>
      <c r="I540" s="32">
        <f>IF(OR($A540="",$G540&lt;&gt;"Active"),0,IF($H540&lt;&gt;"",$H540,IF($AO540&gt;0,$AP540,IF(AND($R540&lt;&gt;"",IFERROR(INDEX(Templates!$B$3:$H$10,MATCH($R540,Templates!$A$3:$A$10,0),MATCH($F540,Templates!$B$2:$H$2,0)),0)&gt;0),INDEX(Templates!$B$3:$H$10,MATCH($R540,Templates!$A$3:$A$10,0),MATCH($F540,Templates!$B$2:$H$2,0)),IFERROR(INDEX(Settings!$B$8:$B$14,MATCH($F540,Settings!$A$8:$A$14,0)),0)))))</f>
        <v/>
      </c>
      <c r="J540" s="21">
        <f>IF($C540="",0,IFERROR(INDEX(Deals!$H$2:$H$355,MATCH($C540,Deals!$A$2:$A$355,0)),0))</f>
        <v/>
      </c>
      <c r="K540" s="32">
        <f>IF(Settings!$B$4="Yes",$I540*$J540,$I540)</f>
        <v/>
      </c>
      <c r="L540" s="22">
        <f>IF($C540="","",IFERROR(IF(INDEX(Deals!$I$2:$I$355,MATCH($C540,Deals!$A$2:$A$355,0))=0,"",INDEX(Deals!$I$2:$I$355,MATCH($C540,Deals!$A$2:$A$355,0))),""))</f>
        <v/>
      </c>
      <c r="M540" s="22">
        <f>IF($C540="","",IFERROR(IF(INDEX(Deals!$J$2:$J$355,MATCH($C540,Deals!$A$2:$A$355,0))=0,"",INDEX(Deals!$J$2:$J$355,MATCH($C540,Deals!$A$2:$A$355,0))),""))</f>
        <v/>
      </c>
      <c r="N540" s="35">
        <f>IF($L540="",DATE(1900,1,1),$L540)</f>
        <v/>
      </c>
      <c r="O540" s="35">
        <f>IF($M540="",DATE(2100,12,31),$M540)</f>
        <v/>
      </c>
      <c r="P540" s="20" t="inlineStr"/>
      <c r="Q540" s="47" t="inlineStr"/>
      <c r="R540" s="16">
        <f>IF($C540="","",IFERROR(IF(INDEX(Deals!$U$2:$U$355,MATCH($C540,Deals!$A$2:$A$355,0))=0,"",INDEX(Deals!$U$2:$U$355,MATCH($C540,Deals!$A$2:$A$355,0))),""))</f>
        <v/>
      </c>
      <c r="S540" s="34">
        <f>IFERROR(IF($U540="",1,INDEX(Deals!$V$2:$V$355,MATCH($C540,Deals!$A$2:$A$355,0))),1)</f>
        <v/>
      </c>
      <c r="T540" s="34">
        <f>IFERROR(IF($U540="",1,INDEX(Deals!$W$2:$W$355,MATCH($C540,Deals!$A$2:$A$355,0))),1)</f>
        <v/>
      </c>
      <c r="U540" s="22">
        <f>IF($C540="","",IFERROR(IF(INDEX(Deals!$Y$2:$Y$355,MATCH($C540,Deals!$A$2:$A$355,0))=0,"",INDEX(Deals!$Y$2:$Y$355,MATCH($C540,Deals!$A$2:$A$355,0))),""))</f>
        <v/>
      </c>
      <c r="V540" s="35">
        <f>IF(OR($U540&lt;&gt;"",AND($AO540&gt;0,$L540&lt;&gt;"",$M540&lt;&gt;"")),$N540,DATE(1900,1,1))</f>
        <v/>
      </c>
      <c r="W540" s="35">
        <f>IF($U540&lt;&gt;"",$U540,IF(AND($AO540&gt;0,$L540&lt;&gt;"",$M540&lt;&gt;""),$O540,DATE(2100,12,31)))</f>
        <v/>
      </c>
      <c r="X540" s="32">
        <f>IF($U540="",$K540,$K540*$S540)</f>
        <v/>
      </c>
      <c r="Y540" s="35">
        <f>IF($U540="",DATE(2100,12,31),$U540+1)</f>
        <v/>
      </c>
      <c r="Z540" s="35">
        <f>IF($U540="",DATE(1900,1,1),$O540)</f>
        <v/>
      </c>
      <c r="AA540" s="32">
        <f>IF($U540="",0,$K540*$T540)</f>
        <v/>
      </c>
      <c r="AB540" s="21">
        <f>IF($C540="",0,IFERROR(INDEX(Deals!$AD$2:$AD$355,MATCH($C540,Deals!$A$2:$A$355,0)),0))</f>
        <v/>
      </c>
      <c r="AC540" s="32">
        <f>IF(Settings!$B$4="Yes",$I540*$AB540,$I540)</f>
        <v/>
      </c>
      <c r="AD540" s="22">
        <f>IF($C540="","",IFERROR(IF(INDEX(Deals!$AE$2:$AE$355,MATCH($C540,Deals!$A$2:$A$355,0))=0,"",INDEX(Deals!$AE$2:$AE$355,MATCH($C540,Deals!$A$2:$A$355,0))),""))</f>
        <v/>
      </c>
      <c r="AE540" s="22">
        <f>IF($C540="","",IFERROR(IF(INDEX(Deals!$AF$2:$AF$355,MATCH($C540,Deals!$A$2:$A$355,0))=0,"",INDEX(Deals!$AF$2:$AF$355,MATCH($C540,Deals!$A$2:$A$355,0))),""))</f>
        <v/>
      </c>
      <c r="AF540" s="35">
        <f>IF($AD540="",DATE(1900,1,1),$AD540)</f>
        <v/>
      </c>
      <c r="AG540" s="35">
        <f>IF($AE540="",DATE(2100,12,31),$AE540)</f>
        <v/>
      </c>
      <c r="AH540" s="22">
        <f>IF($C540="","",IFERROR(IF(INDEX(Deals!$AG$2:$AG$355,MATCH($C540,Deals!$A$2:$A$355,0))=0,"",INDEX(Deals!$AG$2:$AG$355,MATCH($C540,Deals!$A$2:$A$355,0))),""))</f>
        <v/>
      </c>
      <c r="AI540" s="35">
        <f>IF(OR($AH540&lt;&gt;"",AND($AO540&gt;0,$AD540&lt;&gt;"",$AE540&lt;&gt;"")),$AF540,DATE(1900,1,1))</f>
        <v/>
      </c>
      <c r="AJ540" s="35">
        <f>IF($AH540&lt;&gt;"",$AH540,IF(AND($AO540&gt;0,$AD540&lt;&gt;"",$AE540&lt;&gt;""),$AG540,DATE(2100,12,31)))</f>
        <v/>
      </c>
      <c r="AK540" s="32">
        <f>IF($AH540="",$AC540,$AC540*$S540)</f>
        <v/>
      </c>
      <c r="AL540" s="35">
        <f>IF($AH540="",DATE(2100,12,31),$AH540+1)</f>
        <v/>
      </c>
      <c r="AM540" s="35">
        <f>IF($AH540="",DATE(1900,1,1),$AG540)</f>
        <v/>
      </c>
      <c r="AN540" s="32">
        <f>IF($AH540="",0,$AC540*$T540)</f>
        <v/>
      </c>
      <c r="AO540" s="46">
        <f>IF($C540="",0,IFERROR(INDEX(Deals!$BD$2:$BD$355,MATCH($C540,Deals!$A$2:$A$355,0)),0))</f>
        <v/>
      </c>
      <c r="AP540" s="18">
        <f>IF($AO540=0,0,IFERROR(INDEX(Deals!$BJ$2:$BP$355,MATCH($C540,Deals!$A$2:$A$355,0),MATCH($F540,Deals!$BJ$1:$BP$1,0))/COUNTIFS(Assignments!$C$2:$C$769,$C540,Assignments!$F$2:$F$769,$F540,Assignments!$G$2:$G$769,"Active"),0))</f>
        <v/>
      </c>
    </row>
    <row r="541">
      <c r="A541" s="28" t="inlineStr">
        <is>
          <t>Dorian</t>
        </is>
      </c>
      <c r="B541" s="16">
        <f>IF($A541="","",IFERROR(INDEX(Roster!$B$2:$B$40,MATCH($A541,Roster!$A$2:$A$40,0)),"?"))</f>
        <v/>
      </c>
      <c r="C541" s="28" t="inlineStr">
        <is>
          <t>BPF_1</t>
        </is>
      </c>
      <c r="D541" s="16">
        <f>IF($C541="","",IFERROR(IF(INDEX(Deals!$C$2:$C$355,MATCH($C541,Deals!$A$2:$A$355,0))=0,"",INDEX(Deals!$C$2:$C$355,MATCH($C541,Deals!$A$2:$A$355,0))),"?"))</f>
        <v/>
      </c>
      <c r="E541" s="16">
        <f>IF($C541="","",IFERROR(INDEX(Deals!$F$2:$F$355,MATCH($C541,Deals!$A$2:$A$355,0)),"?"))</f>
        <v/>
      </c>
      <c r="F541" s="28" t="inlineStr">
        <is>
          <t>Renewable Specialist</t>
        </is>
      </c>
      <c r="G541" s="28" t="inlineStr">
        <is>
          <t>Active</t>
        </is>
      </c>
      <c r="H541" s="31" t="n"/>
      <c r="I541" s="32">
        <f>IF(OR($A541="",$G541&lt;&gt;"Active"),0,IF($H541&lt;&gt;"",$H541,IF($AO541&gt;0,$AP541,IF(AND($R541&lt;&gt;"",IFERROR(INDEX(Templates!$B$3:$H$10,MATCH($R541,Templates!$A$3:$A$10,0),MATCH($F541,Templates!$B$2:$H$2,0)),0)&gt;0),INDEX(Templates!$B$3:$H$10,MATCH($R541,Templates!$A$3:$A$10,0),MATCH($F541,Templates!$B$2:$H$2,0)),IFERROR(INDEX(Settings!$B$8:$B$14,MATCH($F541,Settings!$A$8:$A$14,0)),0)))))</f>
        <v/>
      </c>
      <c r="J541" s="21">
        <f>IF($C541="",0,IFERROR(INDEX(Deals!$H$2:$H$355,MATCH($C541,Deals!$A$2:$A$355,0)),0))</f>
        <v/>
      </c>
      <c r="K541" s="32">
        <f>IF(Settings!$B$4="Yes",$I541*$J541,$I541)</f>
        <v/>
      </c>
      <c r="L541" s="22">
        <f>IF($C541="","",IFERROR(IF(INDEX(Deals!$I$2:$I$355,MATCH($C541,Deals!$A$2:$A$355,0))=0,"",INDEX(Deals!$I$2:$I$355,MATCH($C541,Deals!$A$2:$A$355,0))),""))</f>
        <v/>
      </c>
      <c r="M541" s="22">
        <f>IF($C541="","",IFERROR(IF(INDEX(Deals!$J$2:$J$355,MATCH($C541,Deals!$A$2:$A$355,0))=0,"",INDEX(Deals!$J$2:$J$355,MATCH($C541,Deals!$A$2:$A$355,0))),""))</f>
        <v/>
      </c>
      <c r="N541" s="35">
        <f>IF($L541="",DATE(1900,1,1),$L541)</f>
        <v/>
      </c>
      <c r="O541" s="35">
        <f>IF($M541="",DATE(2100,12,31),$M541)</f>
        <v/>
      </c>
      <c r="P541" s="20" t="inlineStr"/>
      <c r="Q541" s="47" t="inlineStr"/>
      <c r="R541" s="16">
        <f>IF($C541="","",IFERROR(IF(INDEX(Deals!$U$2:$U$355,MATCH($C541,Deals!$A$2:$A$355,0))=0,"",INDEX(Deals!$U$2:$U$355,MATCH($C541,Deals!$A$2:$A$355,0))),""))</f>
        <v/>
      </c>
      <c r="S541" s="34">
        <f>IFERROR(IF($U541="",1,INDEX(Deals!$V$2:$V$355,MATCH($C541,Deals!$A$2:$A$355,0))),1)</f>
        <v/>
      </c>
      <c r="T541" s="34">
        <f>IFERROR(IF($U541="",1,INDEX(Deals!$W$2:$W$355,MATCH($C541,Deals!$A$2:$A$355,0))),1)</f>
        <v/>
      </c>
      <c r="U541" s="22">
        <f>IF($C541="","",IFERROR(IF(INDEX(Deals!$Y$2:$Y$355,MATCH($C541,Deals!$A$2:$A$355,0))=0,"",INDEX(Deals!$Y$2:$Y$355,MATCH($C541,Deals!$A$2:$A$355,0))),""))</f>
        <v/>
      </c>
      <c r="V541" s="35">
        <f>IF(OR($U541&lt;&gt;"",AND($AO541&gt;0,$L541&lt;&gt;"",$M541&lt;&gt;"")),$N541,DATE(1900,1,1))</f>
        <v/>
      </c>
      <c r="W541" s="35">
        <f>IF($U541&lt;&gt;"",$U541,IF(AND($AO541&gt;0,$L541&lt;&gt;"",$M541&lt;&gt;""),$O541,DATE(2100,12,31)))</f>
        <v/>
      </c>
      <c r="X541" s="32">
        <f>IF($U541="",$K541,$K541*$S541)</f>
        <v/>
      </c>
      <c r="Y541" s="35">
        <f>IF($U541="",DATE(2100,12,31),$U541+1)</f>
        <v/>
      </c>
      <c r="Z541" s="35">
        <f>IF($U541="",DATE(1900,1,1),$O541)</f>
        <v/>
      </c>
      <c r="AA541" s="32">
        <f>IF($U541="",0,$K541*$T541)</f>
        <v/>
      </c>
      <c r="AB541" s="21">
        <f>IF($C541="",0,IFERROR(INDEX(Deals!$AD$2:$AD$355,MATCH($C541,Deals!$A$2:$A$355,0)),0))</f>
        <v/>
      </c>
      <c r="AC541" s="32">
        <f>IF(Settings!$B$4="Yes",$I541*$AB541,$I541)</f>
        <v/>
      </c>
      <c r="AD541" s="22">
        <f>IF($C541="","",IFERROR(IF(INDEX(Deals!$AE$2:$AE$355,MATCH($C541,Deals!$A$2:$A$355,0))=0,"",INDEX(Deals!$AE$2:$AE$355,MATCH($C541,Deals!$A$2:$A$355,0))),""))</f>
        <v/>
      </c>
      <c r="AE541" s="22">
        <f>IF($C541="","",IFERROR(IF(INDEX(Deals!$AF$2:$AF$355,MATCH($C541,Deals!$A$2:$A$355,0))=0,"",INDEX(Deals!$AF$2:$AF$355,MATCH($C541,Deals!$A$2:$A$355,0))),""))</f>
        <v/>
      </c>
      <c r="AF541" s="35">
        <f>IF($AD541="",DATE(1900,1,1),$AD541)</f>
        <v/>
      </c>
      <c r="AG541" s="35">
        <f>IF($AE541="",DATE(2100,12,31),$AE541)</f>
        <v/>
      </c>
      <c r="AH541" s="22">
        <f>IF($C541="","",IFERROR(IF(INDEX(Deals!$AG$2:$AG$355,MATCH($C541,Deals!$A$2:$A$355,0))=0,"",INDEX(Deals!$AG$2:$AG$355,MATCH($C541,Deals!$A$2:$A$355,0))),""))</f>
        <v/>
      </c>
      <c r="AI541" s="35">
        <f>IF(OR($AH541&lt;&gt;"",AND($AO541&gt;0,$AD541&lt;&gt;"",$AE541&lt;&gt;"")),$AF541,DATE(1900,1,1))</f>
        <v/>
      </c>
      <c r="AJ541" s="35">
        <f>IF($AH541&lt;&gt;"",$AH541,IF(AND($AO541&gt;0,$AD541&lt;&gt;"",$AE541&lt;&gt;""),$AG541,DATE(2100,12,31)))</f>
        <v/>
      </c>
      <c r="AK541" s="32">
        <f>IF($AH541="",$AC541,$AC541*$S541)</f>
        <v/>
      </c>
      <c r="AL541" s="35">
        <f>IF($AH541="",DATE(2100,12,31),$AH541+1)</f>
        <v/>
      </c>
      <c r="AM541" s="35">
        <f>IF($AH541="",DATE(1900,1,1),$AG541)</f>
        <v/>
      </c>
      <c r="AN541" s="32">
        <f>IF($AH541="",0,$AC541*$T541)</f>
        <v/>
      </c>
      <c r="AO541" s="46">
        <f>IF($C541="",0,IFERROR(INDEX(Deals!$BD$2:$BD$355,MATCH($C541,Deals!$A$2:$A$355,0)),0))</f>
        <v/>
      </c>
      <c r="AP541" s="18">
        <f>IF($AO541=0,0,IFERROR(INDEX(Deals!$BJ$2:$BP$355,MATCH($C541,Deals!$A$2:$A$355,0),MATCH($F541,Deals!$BJ$1:$BP$1,0))/COUNTIFS(Assignments!$C$2:$C$769,$C541,Assignments!$F$2:$F$769,$F541,Assignments!$G$2:$G$769,"Active"),0))</f>
        <v/>
      </c>
    </row>
    <row r="542">
      <c r="A542" s="28" t="inlineStr">
        <is>
          <t>Dorian</t>
        </is>
      </c>
      <c r="B542" s="16">
        <f>IF($A542="","",IFERROR(INDEX(Roster!$B$2:$B$40,MATCH($A542,Roster!$A$2:$A$40,0)),"?"))</f>
        <v/>
      </c>
      <c r="C542" s="28" t="inlineStr">
        <is>
          <t>BPF_2</t>
        </is>
      </c>
      <c r="D542" s="16">
        <f>IF($C542="","",IFERROR(IF(INDEX(Deals!$C$2:$C$355,MATCH($C542,Deals!$A$2:$A$355,0))=0,"",INDEX(Deals!$C$2:$C$355,MATCH($C542,Deals!$A$2:$A$355,0))),"?"))</f>
        <v/>
      </c>
      <c r="E542" s="16">
        <f>IF($C542="","",IFERROR(INDEX(Deals!$F$2:$F$355,MATCH($C542,Deals!$A$2:$A$355,0)),"?"))</f>
        <v/>
      </c>
      <c r="F542" s="28" t="inlineStr">
        <is>
          <t>Renewable Specialist</t>
        </is>
      </c>
      <c r="G542" s="28" t="inlineStr">
        <is>
          <t>Active</t>
        </is>
      </c>
      <c r="H542" s="31" t="n"/>
      <c r="I542" s="32">
        <f>IF(OR($A542="",$G542&lt;&gt;"Active"),0,IF($H542&lt;&gt;"",$H542,IF($AO542&gt;0,$AP542,IF(AND($R542&lt;&gt;"",IFERROR(INDEX(Templates!$B$3:$H$10,MATCH($R542,Templates!$A$3:$A$10,0),MATCH($F542,Templates!$B$2:$H$2,0)),0)&gt;0),INDEX(Templates!$B$3:$H$10,MATCH($R542,Templates!$A$3:$A$10,0),MATCH($F542,Templates!$B$2:$H$2,0)),IFERROR(INDEX(Settings!$B$8:$B$14,MATCH($F542,Settings!$A$8:$A$14,0)),0)))))</f>
        <v/>
      </c>
      <c r="J542" s="21">
        <f>IF($C542="",0,IFERROR(INDEX(Deals!$H$2:$H$355,MATCH($C542,Deals!$A$2:$A$355,0)),0))</f>
        <v/>
      </c>
      <c r="K542" s="32">
        <f>IF(Settings!$B$4="Yes",$I542*$J542,$I542)</f>
        <v/>
      </c>
      <c r="L542" s="22">
        <f>IF($C542="","",IFERROR(IF(INDEX(Deals!$I$2:$I$355,MATCH($C542,Deals!$A$2:$A$355,0))=0,"",INDEX(Deals!$I$2:$I$355,MATCH($C542,Deals!$A$2:$A$355,0))),""))</f>
        <v/>
      </c>
      <c r="M542" s="22">
        <f>IF($C542="","",IFERROR(IF(INDEX(Deals!$J$2:$J$355,MATCH($C542,Deals!$A$2:$A$355,0))=0,"",INDEX(Deals!$J$2:$J$355,MATCH($C542,Deals!$A$2:$A$355,0))),""))</f>
        <v/>
      </c>
      <c r="N542" s="35">
        <f>IF($L542="",DATE(1900,1,1),$L542)</f>
        <v/>
      </c>
      <c r="O542" s="35">
        <f>IF($M542="",DATE(2100,12,31),$M542)</f>
        <v/>
      </c>
      <c r="P542" s="20" t="inlineStr"/>
      <c r="Q542" s="47" t="inlineStr"/>
      <c r="R542" s="16">
        <f>IF($C542="","",IFERROR(IF(INDEX(Deals!$U$2:$U$355,MATCH($C542,Deals!$A$2:$A$355,0))=0,"",INDEX(Deals!$U$2:$U$355,MATCH($C542,Deals!$A$2:$A$355,0))),""))</f>
        <v/>
      </c>
      <c r="S542" s="34">
        <f>IFERROR(IF($U542="",1,INDEX(Deals!$V$2:$V$355,MATCH($C542,Deals!$A$2:$A$355,0))),1)</f>
        <v/>
      </c>
      <c r="T542" s="34">
        <f>IFERROR(IF($U542="",1,INDEX(Deals!$W$2:$W$355,MATCH($C542,Deals!$A$2:$A$355,0))),1)</f>
        <v/>
      </c>
      <c r="U542" s="22">
        <f>IF($C542="","",IFERROR(IF(INDEX(Deals!$Y$2:$Y$355,MATCH($C542,Deals!$A$2:$A$355,0))=0,"",INDEX(Deals!$Y$2:$Y$355,MATCH($C542,Deals!$A$2:$A$355,0))),""))</f>
        <v/>
      </c>
      <c r="V542" s="35">
        <f>IF(OR($U542&lt;&gt;"",AND($AO542&gt;0,$L542&lt;&gt;"",$M542&lt;&gt;"")),$N542,DATE(1900,1,1))</f>
        <v/>
      </c>
      <c r="W542" s="35">
        <f>IF($U542&lt;&gt;"",$U542,IF(AND($AO542&gt;0,$L542&lt;&gt;"",$M542&lt;&gt;""),$O542,DATE(2100,12,31)))</f>
        <v/>
      </c>
      <c r="X542" s="32">
        <f>IF($U542="",$K542,$K542*$S542)</f>
        <v/>
      </c>
      <c r="Y542" s="35">
        <f>IF($U542="",DATE(2100,12,31),$U542+1)</f>
        <v/>
      </c>
      <c r="Z542" s="35">
        <f>IF($U542="",DATE(1900,1,1),$O542)</f>
        <v/>
      </c>
      <c r="AA542" s="32">
        <f>IF($U542="",0,$K542*$T542)</f>
        <v/>
      </c>
      <c r="AB542" s="21">
        <f>IF($C542="",0,IFERROR(INDEX(Deals!$AD$2:$AD$355,MATCH($C542,Deals!$A$2:$A$355,0)),0))</f>
        <v/>
      </c>
      <c r="AC542" s="32">
        <f>IF(Settings!$B$4="Yes",$I542*$AB542,$I542)</f>
        <v/>
      </c>
      <c r="AD542" s="22">
        <f>IF($C542="","",IFERROR(IF(INDEX(Deals!$AE$2:$AE$355,MATCH($C542,Deals!$A$2:$A$355,0))=0,"",INDEX(Deals!$AE$2:$AE$355,MATCH($C542,Deals!$A$2:$A$355,0))),""))</f>
        <v/>
      </c>
      <c r="AE542" s="22">
        <f>IF($C542="","",IFERROR(IF(INDEX(Deals!$AF$2:$AF$355,MATCH($C542,Deals!$A$2:$A$355,0))=0,"",INDEX(Deals!$AF$2:$AF$355,MATCH($C542,Deals!$A$2:$A$355,0))),""))</f>
        <v/>
      </c>
      <c r="AF542" s="35">
        <f>IF($AD542="",DATE(1900,1,1),$AD542)</f>
        <v/>
      </c>
      <c r="AG542" s="35">
        <f>IF($AE542="",DATE(2100,12,31),$AE542)</f>
        <v/>
      </c>
      <c r="AH542" s="22">
        <f>IF($C542="","",IFERROR(IF(INDEX(Deals!$AG$2:$AG$355,MATCH($C542,Deals!$A$2:$A$355,0))=0,"",INDEX(Deals!$AG$2:$AG$355,MATCH($C542,Deals!$A$2:$A$355,0))),""))</f>
        <v/>
      </c>
      <c r="AI542" s="35">
        <f>IF(OR($AH542&lt;&gt;"",AND($AO542&gt;0,$AD542&lt;&gt;"",$AE542&lt;&gt;"")),$AF542,DATE(1900,1,1))</f>
        <v/>
      </c>
      <c r="AJ542" s="35">
        <f>IF($AH542&lt;&gt;"",$AH542,IF(AND($AO542&gt;0,$AD542&lt;&gt;"",$AE542&lt;&gt;""),$AG542,DATE(2100,12,31)))</f>
        <v/>
      </c>
      <c r="AK542" s="32">
        <f>IF($AH542="",$AC542,$AC542*$S542)</f>
        <v/>
      </c>
      <c r="AL542" s="35">
        <f>IF($AH542="",DATE(2100,12,31),$AH542+1)</f>
        <v/>
      </c>
      <c r="AM542" s="35">
        <f>IF($AH542="",DATE(1900,1,1),$AG542)</f>
        <v/>
      </c>
      <c r="AN542" s="32">
        <f>IF($AH542="",0,$AC542*$T542)</f>
        <v/>
      </c>
      <c r="AO542" s="46">
        <f>IF($C542="",0,IFERROR(INDEX(Deals!$BD$2:$BD$355,MATCH($C542,Deals!$A$2:$A$355,0)),0))</f>
        <v/>
      </c>
      <c r="AP542" s="18">
        <f>IF($AO542=0,0,IFERROR(INDEX(Deals!$BJ$2:$BP$355,MATCH($C542,Deals!$A$2:$A$355,0),MATCH($F542,Deals!$BJ$1:$BP$1,0))/COUNTIFS(Assignments!$C$2:$C$769,$C542,Assignments!$F$2:$F$769,$F542,Assignments!$G$2:$G$769,"Active"),0))</f>
        <v/>
      </c>
    </row>
    <row r="543">
      <c r="A543" s="28" t="inlineStr">
        <is>
          <t>Dorian</t>
        </is>
      </c>
      <c r="B543" s="16">
        <f>IF($A543="","",IFERROR(INDEX(Roster!$B$2:$B$40,MATCH($A543,Roster!$A$2:$A$40,0)),"?"))</f>
        <v/>
      </c>
      <c r="C543" s="28" t="inlineStr">
        <is>
          <t>Brass_2</t>
        </is>
      </c>
      <c r="D543" s="16">
        <f>IF($C543="","",IFERROR(IF(INDEX(Deals!$C$2:$C$355,MATCH($C543,Deals!$A$2:$A$355,0))=0,"",INDEX(Deals!$C$2:$C$355,MATCH($C543,Deals!$A$2:$A$355,0))),"?"))</f>
        <v/>
      </c>
      <c r="E543" s="16">
        <f>IF($C543="","",IFERROR(INDEX(Deals!$F$2:$F$355,MATCH($C543,Deals!$A$2:$A$355,0)),"?"))</f>
        <v/>
      </c>
      <c r="F543" s="28" t="inlineStr">
        <is>
          <t>Renewable Specialist</t>
        </is>
      </c>
      <c r="G543" s="28" t="inlineStr">
        <is>
          <t>Active</t>
        </is>
      </c>
      <c r="H543" s="31" t="n"/>
      <c r="I543" s="32">
        <f>IF(OR($A543="",$G543&lt;&gt;"Active"),0,IF($H543&lt;&gt;"",$H543,IF($AO543&gt;0,$AP543,IF(AND($R543&lt;&gt;"",IFERROR(INDEX(Templates!$B$3:$H$10,MATCH($R543,Templates!$A$3:$A$10,0),MATCH($F543,Templates!$B$2:$H$2,0)),0)&gt;0),INDEX(Templates!$B$3:$H$10,MATCH($R543,Templates!$A$3:$A$10,0),MATCH($F543,Templates!$B$2:$H$2,0)),IFERROR(INDEX(Settings!$B$8:$B$14,MATCH($F543,Settings!$A$8:$A$14,0)),0)))))</f>
        <v/>
      </c>
      <c r="J543" s="21">
        <f>IF($C543="",0,IFERROR(INDEX(Deals!$H$2:$H$355,MATCH($C543,Deals!$A$2:$A$355,0)),0))</f>
        <v/>
      </c>
      <c r="K543" s="32">
        <f>IF(Settings!$B$4="Yes",$I543*$J543,$I543)</f>
        <v/>
      </c>
      <c r="L543" s="22">
        <f>IF($C543="","",IFERROR(IF(INDEX(Deals!$I$2:$I$355,MATCH($C543,Deals!$A$2:$A$355,0))=0,"",INDEX(Deals!$I$2:$I$355,MATCH($C543,Deals!$A$2:$A$355,0))),""))</f>
        <v/>
      </c>
      <c r="M543" s="22">
        <f>IF($C543="","",IFERROR(IF(INDEX(Deals!$J$2:$J$355,MATCH($C543,Deals!$A$2:$A$355,0))=0,"",INDEX(Deals!$J$2:$J$355,MATCH($C543,Deals!$A$2:$A$355,0))),""))</f>
        <v/>
      </c>
      <c r="N543" s="35">
        <f>IF($L543="",DATE(1900,1,1),$L543)</f>
        <v/>
      </c>
      <c r="O543" s="35">
        <f>IF($M543="",DATE(2100,12,31),$M543)</f>
        <v/>
      </c>
      <c r="P543" s="20" t="inlineStr"/>
      <c r="Q543" s="47" t="inlineStr"/>
      <c r="R543" s="16">
        <f>IF($C543="","",IFERROR(IF(INDEX(Deals!$U$2:$U$355,MATCH($C543,Deals!$A$2:$A$355,0))=0,"",INDEX(Deals!$U$2:$U$355,MATCH($C543,Deals!$A$2:$A$355,0))),""))</f>
        <v/>
      </c>
      <c r="S543" s="34">
        <f>IFERROR(IF($U543="",1,INDEX(Deals!$V$2:$V$355,MATCH($C543,Deals!$A$2:$A$355,0))),1)</f>
        <v/>
      </c>
      <c r="T543" s="34">
        <f>IFERROR(IF($U543="",1,INDEX(Deals!$W$2:$W$355,MATCH($C543,Deals!$A$2:$A$355,0))),1)</f>
        <v/>
      </c>
      <c r="U543" s="22">
        <f>IF($C543="","",IFERROR(IF(INDEX(Deals!$Y$2:$Y$355,MATCH($C543,Deals!$A$2:$A$355,0))=0,"",INDEX(Deals!$Y$2:$Y$355,MATCH($C543,Deals!$A$2:$A$355,0))),""))</f>
        <v/>
      </c>
      <c r="V543" s="35">
        <f>IF(OR($U543&lt;&gt;"",AND($AO543&gt;0,$L543&lt;&gt;"",$M543&lt;&gt;"")),$N543,DATE(1900,1,1))</f>
        <v/>
      </c>
      <c r="W543" s="35">
        <f>IF($U543&lt;&gt;"",$U543,IF(AND($AO543&gt;0,$L543&lt;&gt;"",$M543&lt;&gt;""),$O543,DATE(2100,12,31)))</f>
        <v/>
      </c>
      <c r="X543" s="32">
        <f>IF($U543="",$K543,$K543*$S543)</f>
        <v/>
      </c>
      <c r="Y543" s="35">
        <f>IF($U543="",DATE(2100,12,31),$U543+1)</f>
        <v/>
      </c>
      <c r="Z543" s="35">
        <f>IF($U543="",DATE(1900,1,1),$O543)</f>
        <v/>
      </c>
      <c r="AA543" s="32">
        <f>IF($U543="",0,$K543*$T543)</f>
        <v/>
      </c>
      <c r="AB543" s="21">
        <f>IF($C543="",0,IFERROR(INDEX(Deals!$AD$2:$AD$355,MATCH($C543,Deals!$A$2:$A$355,0)),0))</f>
        <v/>
      </c>
      <c r="AC543" s="32">
        <f>IF(Settings!$B$4="Yes",$I543*$AB543,$I543)</f>
        <v/>
      </c>
      <c r="AD543" s="22">
        <f>IF($C543="","",IFERROR(IF(INDEX(Deals!$AE$2:$AE$355,MATCH($C543,Deals!$A$2:$A$355,0))=0,"",INDEX(Deals!$AE$2:$AE$355,MATCH($C543,Deals!$A$2:$A$355,0))),""))</f>
        <v/>
      </c>
      <c r="AE543" s="22">
        <f>IF($C543="","",IFERROR(IF(INDEX(Deals!$AF$2:$AF$355,MATCH($C543,Deals!$A$2:$A$355,0))=0,"",INDEX(Deals!$AF$2:$AF$355,MATCH($C543,Deals!$A$2:$A$355,0))),""))</f>
        <v/>
      </c>
      <c r="AF543" s="35">
        <f>IF($AD543="",DATE(1900,1,1),$AD543)</f>
        <v/>
      </c>
      <c r="AG543" s="35">
        <f>IF($AE543="",DATE(2100,12,31),$AE543)</f>
        <v/>
      </c>
      <c r="AH543" s="22">
        <f>IF($C543="","",IFERROR(IF(INDEX(Deals!$AG$2:$AG$355,MATCH($C543,Deals!$A$2:$A$355,0))=0,"",INDEX(Deals!$AG$2:$AG$355,MATCH($C543,Deals!$A$2:$A$355,0))),""))</f>
        <v/>
      </c>
      <c r="AI543" s="35">
        <f>IF(OR($AH543&lt;&gt;"",AND($AO543&gt;0,$AD543&lt;&gt;"",$AE543&lt;&gt;"")),$AF543,DATE(1900,1,1))</f>
        <v/>
      </c>
      <c r="AJ543" s="35">
        <f>IF($AH543&lt;&gt;"",$AH543,IF(AND($AO543&gt;0,$AD543&lt;&gt;"",$AE543&lt;&gt;""),$AG543,DATE(2100,12,31)))</f>
        <v/>
      </c>
      <c r="AK543" s="32">
        <f>IF($AH543="",$AC543,$AC543*$S543)</f>
        <v/>
      </c>
      <c r="AL543" s="35">
        <f>IF($AH543="",DATE(2100,12,31),$AH543+1)</f>
        <v/>
      </c>
      <c r="AM543" s="35">
        <f>IF($AH543="",DATE(1900,1,1),$AG543)</f>
        <v/>
      </c>
      <c r="AN543" s="32">
        <f>IF($AH543="",0,$AC543*$T543)</f>
        <v/>
      </c>
      <c r="AO543" s="46">
        <f>IF($C543="",0,IFERROR(INDEX(Deals!$BD$2:$BD$355,MATCH($C543,Deals!$A$2:$A$355,0)),0))</f>
        <v/>
      </c>
      <c r="AP543" s="18">
        <f>IF($AO543=0,0,IFERROR(INDEX(Deals!$BJ$2:$BP$355,MATCH($C543,Deals!$A$2:$A$355,0),MATCH($F543,Deals!$BJ$1:$BP$1,0))/COUNTIFS(Assignments!$C$2:$C$769,$C543,Assignments!$F$2:$F$769,$F543,Assignments!$G$2:$G$769,"Active"),0))</f>
        <v/>
      </c>
    </row>
    <row r="544">
      <c r="A544" s="28" t="inlineStr">
        <is>
          <t>Dorian</t>
        </is>
      </c>
      <c r="B544" s="16">
        <f>IF($A544="","",IFERROR(INDEX(Roster!$B$2:$B$40,MATCH($A544,Roster!$A$2:$A$40,0)),"?"))</f>
        <v/>
      </c>
      <c r="C544" s="28" t="inlineStr">
        <is>
          <t>Canyon_2</t>
        </is>
      </c>
      <c r="D544" s="16">
        <f>IF($C544="","",IFERROR(IF(INDEX(Deals!$C$2:$C$355,MATCH($C544,Deals!$A$2:$A$355,0))=0,"",INDEX(Deals!$C$2:$C$355,MATCH($C544,Deals!$A$2:$A$355,0))),"?"))</f>
        <v/>
      </c>
      <c r="E544" s="16">
        <f>IF($C544="","",IFERROR(INDEX(Deals!$F$2:$F$355,MATCH($C544,Deals!$A$2:$A$355,0)),"?"))</f>
        <v/>
      </c>
      <c r="F544" s="28" t="inlineStr">
        <is>
          <t>Renewable Specialist</t>
        </is>
      </c>
      <c r="G544" s="28" t="inlineStr">
        <is>
          <t>Active</t>
        </is>
      </c>
      <c r="H544" s="31" t="n"/>
      <c r="I544" s="32">
        <f>IF(OR($A544="",$G544&lt;&gt;"Active"),0,IF($H544&lt;&gt;"",$H544,IF($AO544&gt;0,$AP544,IF(AND($R544&lt;&gt;"",IFERROR(INDEX(Templates!$B$3:$H$10,MATCH($R544,Templates!$A$3:$A$10,0),MATCH($F544,Templates!$B$2:$H$2,0)),0)&gt;0),INDEX(Templates!$B$3:$H$10,MATCH($R544,Templates!$A$3:$A$10,0),MATCH($F544,Templates!$B$2:$H$2,0)),IFERROR(INDEX(Settings!$B$8:$B$14,MATCH($F544,Settings!$A$8:$A$14,0)),0)))))</f>
        <v/>
      </c>
      <c r="J544" s="21">
        <f>IF($C544="",0,IFERROR(INDEX(Deals!$H$2:$H$355,MATCH($C544,Deals!$A$2:$A$355,0)),0))</f>
        <v/>
      </c>
      <c r="K544" s="32">
        <f>IF(Settings!$B$4="Yes",$I544*$J544,$I544)</f>
        <v/>
      </c>
      <c r="L544" s="22">
        <f>IF($C544="","",IFERROR(IF(INDEX(Deals!$I$2:$I$355,MATCH($C544,Deals!$A$2:$A$355,0))=0,"",INDEX(Deals!$I$2:$I$355,MATCH($C544,Deals!$A$2:$A$355,0))),""))</f>
        <v/>
      </c>
      <c r="M544" s="22">
        <f>IF($C544="","",IFERROR(IF(INDEX(Deals!$J$2:$J$355,MATCH($C544,Deals!$A$2:$A$355,0))=0,"",INDEX(Deals!$J$2:$J$355,MATCH($C544,Deals!$A$2:$A$355,0))),""))</f>
        <v/>
      </c>
      <c r="N544" s="35">
        <f>IF($L544="",DATE(1900,1,1),$L544)</f>
        <v/>
      </c>
      <c r="O544" s="35">
        <f>IF($M544="",DATE(2100,12,31),$M544)</f>
        <v/>
      </c>
      <c r="P544" s="20" t="inlineStr"/>
      <c r="Q544" s="47" t="inlineStr"/>
      <c r="R544" s="16">
        <f>IF($C544="","",IFERROR(IF(INDEX(Deals!$U$2:$U$355,MATCH($C544,Deals!$A$2:$A$355,0))=0,"",INDEX(Deals!$U$2:$U$355,MATCH($C544,Deals!$A$2:$A$355,0))),""))</f>
        <v/>
      </c>
      <c r="S544" s="34">
        <f>IFERROR(IF($U544="",1,INDEX(Deals!$V$2:$V$355,MATCH($C544,Deals!$A$2:$A$355,0))),1)</f>
        <v/>
      </c>
      <c r="T544" s="34">
        <f>IFERROR(IF($U544="",1,INDEX(Deals!$W$2:$W$355,MATCH($C544,Deals!$A$2:$A$355,0))),1)</f>
        <v/>
      </c>
      <c r="U544" s="22">
        <f>IF($C544="","",IFERROR(IF(INDEX(Deals!$Y$2:$Y$355,MATCH($C544,Deals!$A$2:$A$355,0))=0,"",INDEX(Deals!$Y$2:$Y$355,MATCH($C544,Deals!$A$2:$A$355,0))),""))</f>
        <v/>
      </c>
      <c r="V544" s="35">
        <f>IF(OR($U544&lt;&gt;"",AND($AO544&gt;0,$L544&lt;&gt;"",$M544&lt;&gt;"")),$N544,DATE(1900,1,1))</f>
        <v/>
      </c>
      <c r="W544" s="35">
        <f>IF($U544&lt;&gt;"",$U544,IF(AND($AO544&gt;0,$L544&lt;&gt;"",$M544&lt;&gt;""),$O544,DATE(2100,12,31)))</f>
        <v/>
      </c>
      <c r="X544" s="32">
        <f>IF($U544="",$K544,$K544*$S544)</f>
        <v/>
      </c>
      <c r="Y544" s="35">
        <f>IF($U544="",DATE(2100,12,31),$U544+1)</f>
        <v/>
      </c>
      <c r="Z544" s="35">
        <f>IF($U544="",DATE(1900,1,1),$O544)</f>
        <v/>
      </c>
      <c r="AA544" s="32">
        <f>IF($U544="",0,$K544*$T544)</f>
        <v/>
      </c>
      <c r="AB544" s="21">
        <f>IF($C544="",0,IFERROR(INDEX(Deals!$AD$2:$AD$355,MATCH($C544,Deals!$A$2:$A$355,0)),0))</f>
        <v/>
      </c>
      <c r="AC544" s="32">
        <f>IF(Settings!$B$4="Yes",$I544*$AB544,$I544)</f>
        <v/>
      </c>
      <c r="AD544" s="22">
        <f>IF($C544="","",IFERROR(IF(INDEX(Deals!$AE$2:$AE$355,MATCH($C544,Deals!$A$2:$A$355,0))=0,"",INDEX(Deals!$AE$2:$AE$355,MATCH($C544,Deals!$A$2:$A$355,0))),""))</f>
        <v/>
      </c>
      <c r="AE544" s="22">
        <f>IF($C544="","",IFERROR(IF(INDEX(Deals!$AF$2:$AF$355,MATCH($C544,Deals!$A$2:$A$355,0))=0,"",INDEX(Deals!$AF$2:$AF$355,MATCH($C544,Deals!$A$2:$A$355,0))),""))</f>
        <v/>
      </c>
      <c r="AF544" s="35">
        <f>IF($AD544="",DATE(1900,1,1),$AD544)</f>
        <v/>
      </c>
      <c r="AG544" s="35">
        <f>IF($AE544="",DATE(2100,12,31),$AE544)</f>
        <v/>
      </c>
      <c r="AH544" s="22">
        <f>IF($C544="","",IFERROR(IF(INDEX(Deals!$AG$2:$AG$355,MATCH($C544,Deals!$A$2:$A$355,0))=0,"",INDEX(Deals!$AG$2:$AG$355,MATCH($C544,Deals!$A$2:$A$355,0))),""))</f>
        <v/>
      </c>
      <c r="AI544" s="35">
        <f>IF(OR($AH544&lt;&gt;"",AND($AO544&gt;0,$AD544&lt;&gt;"",$AE544&lt;&gt;"")),$AF544,DATE(1900,1,1))</f>
        <v/>
      </c>
      <c r="AJ544" s="35">
        <f>IF($AH544&lt;&gt;"",$AH544,IF(AND($AO544&gt;0,$AD544&lt;&gt;"",$AE544&lt;&gt;""),$AG544,DATE(2100,12,31)))</f>
        <v/>
      </c>
      <c r="AK544" s="32">
        <f>IF($AH544="",$AC544,$AC544*$S544)</f>
        <v/>
      </c>
      <c r="AL544" s="35">
        <f>IF($AH544="",DATE(2100,12,31),$AH544+1)</f>
        <v/>
      </c>
      <c r="AM544" s="35">
        <f>IF($AH544="",DATE(1900,1,1),$AG544)</f>
        <v/>
      </c>
      <c r="AN544" s="32">
        <f>IF($AH544="",0,$AC544*$T544)</f>
        <v/>
      </c>
      <c r="AO544" s="46">
        <f>IF($C544="",0,IFERROR(INDEX(Deals!$BD$2:$BD$355,MATCH($C544,Deals!$A$2:$A$355,0)),0))</f>
        <v/>
      </c>
      <c r="AP544" s="18">
        <f>IF($AO544=0,0,IFERROR(INDEX(Deals!$BJ$2:$BP$355,MATCH($C544,Deals!$A$2:$A$355,0),MATCH($F544,Deals!$BJ$1:$BP$1,0))/COUNTIFS(Assignments!$C$2:$C$769,$C544,Assignments!$F$2:$F$769,$F544,Assignments!$G$2:$G$769,"Active"),0))</f>
        <v/>
      </c>
    </row>
    <row r="545">
      <c r="A545" s="28" t="inlineStr">
        <is>
          <t>Dorian</t>
        </is>
      </c>
      <c r="B545" s="16">
        <f>IF($A545="","",IFERROR(INDEX(Roster!$B$2:$B$40,MATCH($A545,Roster!$A$2:$A$40,0)),"?"))</f>
        <v/>
      </c>
      <c r="C545" s="28" t="inlineStr">
        <is>
          <t>Circuit_1</t>
        </is>
      </c>
      <c r="D545" s="16">
        <f>IF($C545="","",IFERROR(IF(INDEX(Deals!$C$2:$C$355,MATCH($C545,Deals!$A$2:$A$355,0))=0,"",INDEX(Deals!$C$2:$C$355,MATCH($C545,Deals!$A$2:$A$355,0))),"?"))</f>
        <v/>
      </c>
      <c r="E545" s="16">
        <f>IF($C545="","",IFERROR(INDEX(Deals!$F$2:$F$355,MATCH($C545,Deals!$A$2:$A$355,0)),"?"))</f>
        <v/>
      </c>
      <c r="F545" s="28" t="inlineStr">
        <is>
          <t>Renewable Specialist</t>
        </is>
      </c>
      <c r="G545" s="28" t="inlineStr">
        <is>
          <t>Active</t>
        </is>
      </c>
      <c r="H545" s="31" t="n"/>
      <c r="I545" s="32">
        <f>IF(OR($A545="",$G545&lt;&gt;"Active"),0,IF($H545&lt;&gt;"",$H545,IF($AO545&gt;0,$AP545,IF(AND($R545&lt;&gt;"",IFERROR(INDEX(Templates!$B$3:$H$10,MATCH($R545,Templates!$A$3:$A$10,0),MATCH($F545,Templates!$B$2:$H$2,0)),0)&gt;0),INDEX(Templates!$B$3:$H$10,MATCH($R545,Templates!$A$3:$A$10,0),MATCH($F545,Templates!$B$2:$H$2,0)),IFERROR(INDEX(Settings!$B$8:$B$14,MATCH($F545,Settings!$A$8:$A$14,0)),0)))))</f>
        <v/>
      </c>
      <c r="J545" s="21">
        <f>IF($C545="",0,IFERROR(INDEX(Deals!$H$2:$H$355,MATCH($C545,Deals!$A$2:$A$355,0)),0))</f>
        <v/>
      </c>
      <c r="K545" s="32">
        <f>IF(Settings!$B$4="Yes",$I545*$J545,$I545)</f>
        <v/>
      </c>
      <c r="L545" s="22">
        <f>IF($C545="","",IFERROR(IF(INDEX(Deals!$I$2:$I$355,MATCH($C545,Deals!$A$2:$A$355,0))=0,"",INDEX(Deals!$I$2:$I$355,MATCH($C545,Deals!$A$2:$A$355,0))),""))</f>
        <v/>
      </c>
      <c r="M545" s="22">
        <f>IF($C545="","",IFERROR(IF(INDEX(Deals!$J$2:$J$355,MATCH($C545,Deals!$A$2:$A$355,0))=0,"",INDEX(Deals!$J$2:$J$355,MATCH($C545,Deals!$A$2:$A$355,0))),""))</f>
        <v/>
      </c>
      <c r="N545" s="35">
        <f>IF($L545="",DATE(1900,1,1),$L545)</f>
        <v/>
      </c>
      <c r="O545" s="35">
        <f>IF($M545="",DATE(2100,12,31),$M545)</f>
        <v/>
      </c>
      <c r="P545" s="20" t="inlineStr"/>
      <c r="Q545" s="47" t="inlineStr"/>
      <c r="R545" s="16">
        <f>IF($C545="","",IFERROR(IF(INDEX(Deals!$U$2:$U$355,MATCH($C545,Deals!$A$2:$A$355,0))=0,"",INDEX(Deals!$U$2:$U$355,MATCH($C545,Deals!$A$2:$A$355,0))),""))</f>
        <v/>
      </c>
      <c r="S545" s="34">
        <f>IFERROR(IF($U545="",1,INDEX(Deals!$V$2:$V$355,MATCH($C545,Deals!$A$2:$A$355,0))),1)</f>
        <v/>
      </c>
      <c r="T545" s="34">
        <f>IFERROR(IF($U545="",1,INDEX(Deals!$W$2:$W$355,MATCH($C545,Deals!$A$2:$A$355,0))),1)</f>
        <v/>
      </c>
      <c r="U545" s="22">
        <f>IF($C545="","",IFERROR(IF(INDEX(Deals!$Y$2:$Y$355,MATCH($C545,Deals!$A$2:$A$355,0))=0,"",INDEX(Deals!$Y$2:$Y$355,MATCH($C545,Deals!$A$2:$A$355,0))),""))</f>
        <v/>
      </c>
      <c r="V545" s="35">
        <f>IF(OR($U545&lt;&gt;"",AND($AO545&gt;0,$L545&lt;&gt;"",$M545&lt;&gt;"")),$N545,DATE(1900,1,1))</f>
        <v/>
      </c>
      <c r="W545" s="35">
        <f>IF($U545&lt;&gt;"",$U545,IF(AND($AO545&gt;0,$L545&lt;&gt;"",$M545&lt;&gt;""),$O545,DATE(2100,12,31)))</f>
        <v/>
      </c>
      <c r="X545" s="32">
        <f>IF($U545="",$K545,$K545*$S545)</f>
        <v/>
      </c>
      <c r="Y545" s="35">
        <f>IF($U545="",DATE(2100,12,31),$U545+1)</f>
        <v/>
      </c>
      <c r="Z545" s="35">
        <f>IF($U545="",DATE(1900,1,1),$O545)</f>
        <v/>
      </c>
      <c r="AA545" s="32">
        <f>IF($U545="",0,$K545*$T545)</f>
        <v/>
      </c>
      <c r="AB545" s="21">
        <f>IF($C545="",0,IFERROR(INDEX(Deals!$AD$2:$AD$355,MATCH($C545,Deals!$A$2:$A$355,0)),0))</f>
        <v/>
      </c>
      <c r="AC545" s="32">
        <f>IF(Settings!$B$4="Yes",$I545*$AB545,$I545)</f>
        <v/>
      </c>
      <c r="AD545" s="22">
        <f>IF($C545="","",IFERROR(IF(INDEX(Deals!$AE$2:$AE$355,MATCH($C545,Deals!$A$2:$A$355,0))=0,"",INDEX(Deals!$AE$2:$AE$355,MATCH($C545,Deals!$A$2:$A$355,0))),""))</f>
        <v/>
      </c>
      <c r="AE545" s="22">
        <f>IF($C545="","",IFERROR(IF(INDEX(Deals!$AF$2:$AF$355,MATCH($C545,Deals!$A$2:$A$355,0))=0,"",INDEX(Deals!$AF$2:$AF$355,MATCH($C545,Deals!$A$2:$A$355,0))),""))</f>
        <v/>
      </c>
      <c r="AF545" s="35">
        <f>IF($AD545="",DATE(1900,1,1),$AD545)</f>
        <v/>
      </c>
      <c r="AG545" s="35">
        <f>IF($AE545="",DATE(2100,12,31),$AE545)</f>
        <v/>
      </c>
      <c r="AH545" s="22">
        <f>IF($C545="","",IFERROR(IF(INDEX(Deals!$AG$2:$AG$355,MATCH($C545,Deals!$A$2:$A$355,0))=0,"",INDEX(Deals!$AG$2:$AG$355,MATCH($C545,Deals!$A$2:$A$355,0))),""))</f>
        <v/>
      </c>
      <c r="AI545" s="35">
        <f>IF(OR($AH545&lt;&gt;"",AND($AO545&gt;0,$AD545&lt;&gt;"",$AE545&lt;&gt;"")),$AF545,DATE(1900,1,1))</f>
        <v/>
      </c>
      <c r="AJ545" s="35">
        <f>IF($AH545&lt;&gt;"",$AH545,IF(AND($AO545&gt;0,$AD545&lt;&gt;"",$AE545&lt;&gt;""),$AG545,DATE(2100,12,31)))</f>
        <v/>
      </c>
      <c r="AK545" s="32">
        <f>IF($AH545="",$AC545,$AC545*$S545)</f>
        <v/>
      </c>
      <c r="AL545" s="35">
        <f>IF($AH545="",DATE(2100,12,31),$AH545+1)</f>
        <v/>
      </c>
      <c r="AM545" s="35">
        <f>IF($AH545="",DATE(1900,1,1),$AG545)</f>
        <v/>
      </c>
      <c r="AN545" s="32">
        <f>IF($AH545="",0,$AC545*$T545)</f>
        <v/>
      </c>
      <c r="AO545" s="46">
        <f>IF($C545="",0,IFERROR(INDEX(Deals!$BD$2:$BD$355,MATCH($C545,Deals!$A$2:$A$355,0)),0))</f>
        <v/>
      </c>
      <c r="AP545" s="18">
        <f>IF($AO545=0,0,IFERROR(INDEX(Deals!$BJ$2:$BP$355,MATCH($C545,Deals!$A$2:$A$355,0),MATCH($F545,Deals!$BJ$1:$BP$1,0))/COUNTIFS(Assignments!$C$2:$C$769,$C545,Assignments!$F$2:$F$769,$F545,Assignments!$G$2:$G$769,"Active"),0))</f>
        <v/>
      </c>
    </row>
    <row r="546">
      <c r="A546" s="28" t="inlineStr">
        <is>
          <t>Dorian</t>
        </is>
      </c>
      <c r="B546" s="16">
        <f>IF($A546="","",IFERROR(INDEX(Roster!$B$2:$B$40,MATCH($A546,Roster!$A$2:$A$40,0)),"?"))</f>
        <v/>
      </c>
      <c r="C546" s="28" t="inlineStr">
        <is>
          <t>Cowboy_1</t>
        </is>
      </c>
      <c r="D546" s="16">
        <f>IF($C546="","",IFERROR(IF(INDEX(Deals!$C$2:$C$355,MATCH($C546,Deals!$A$2:$A$355,0))=0,"",INDEX(Deals!$C$2:$C$355,MATCH($C546,Deals!$A$2:$A$355,0))),"?"))</f>
        <v/>
      </c>
      <c r="E546" s="16">
        <f>IF($C546="","",IFERROR(INDEX(Deals!$F$2:$F$355,MATCH($C546,Deals!$A$2:$A$355,0)),"?"))</f>
        <v/>
      </c>
      <c r="F546" s="28" t="inlineStr">
        <is>
          <t>Renewable Specialist</t>
        </is>
      </c>
      <c r="G546" s="28" t="inlineStr">
        <is>
          <t>Active</t>
        </is>
      </c>
      <c r="H546" s="31" t="n"/>
      <c r="I546" s="32">
        <f>IF(OR($A546="",$G546&lt;&gt;"Active"),0,IF($H546&lt;&gt;"",$H546,IF($AO546&gt;0,$AP546,IF(AND($R546&lt;&gt;"",IFERROR(INDEX(Templates!$B$3:$H$10,MATCH($R546,Templates!$A$3:$A$10,0),MATCH($F546,Templates!$B$2:$H$2,0)),0)&gt;0),INDEX(Templates!$B$3:$H$10,MATCH($R546,Templates!$A$3:$A$10,0),MATCH($F546,Templates!$B$2:$H$2,0)),IFERROR(INDEX(Settings!$B$8:$B$14,MATCH($F546,Settings!$A$8:$A$14,0)),0)))))</f>
        <v/>
      </c>
      <c r="J546" s="21">
        <f>IF($C546="",0,IFERROR(INDEX(Deals!$H$2:$H$355,MATCH($C546,Deals!$A$2:$A$355,0)),0))</f>
        <v/>
      </c>
      <c r="K546" s="32">
        <f>IF(Settings!$B$4="Yes",$I546*$J546,$I546)</f>
        <v/>
      </c>
      <c r="L546" s="22">
        <f>IF($C546="","",IFERROR(IF(INDEX(Deals!$I$2:$I$355,MATCH($C546,Deals!$A$2:$A$355,0))=0,"",INDEX(Deals!$I$2:$I$355,MATCH($C546,Deals!$A$2:$A$355,0))),""))</f>
        <v/>
      </c>
      <c r="M546" s="22">
        <f>IF($C546="","",IFERROR(IF(INDEX(Deals!$J$2:$J$355,MATCH($C546,Deals!$A$2:$A$355,0))=0,"",INDEX(Deals!$J$2:$J$355,MATCH($C546,Deals!$A$2:$A$355,0))),""))</f>
        <v/>
      </c>
      <c r="N546" s="35">
        <f>IF($L546="",DATE(1900,1,1),$L546)</f>
        <v/>
      </c>
      <c r="O546" s="35">
        <f>IF($M546="",DATE(2100,12,31),$M546)</f>
        <v/>
      </c>
      <c r="P546" s="20" t="inlineStr"/>
      <c r="Q546" s="47" t="inlineStr"/>
      <c r="R546" s="16">
        <f>IF($C546="","",IFERROR(IF(INDEX(Deals!$U$2:$U$355,MATCH($C546,Deals!$A$2:$A$355,0))=0,"",INDEX(Deals!$U$2:$U$355,MATCH($C546,Deals!$A$2:$A$355,0))),""))</f>
        <v/>
      </c>
      <c r="S546" s="34">
        <f>IFERROR(IF($U546="",1,INDEX(Deals!$V$2:$V$355,MATCH($C546,Deals!$A$2:$A$355,0))),1)</f>
        <v/>
      </c>
      <c r="T546" s="34">
        <f>IFERROR(IF($U546="",1,INDEX(Deals!$W$2:$W$355,MATCH($C546,Deals!$A$2:$A$355,0))),1)</f>
        <v/>
      </c>
      <c r="U546" s="22">
        <f>IF($C546="","",IFERROR(IF(INDEX(Deals!$Y$2:$Y$355,MATCH($C546,Deals!$A$2:$A$355,0))=0,"",INDEX(Deals!$Y$2:$Y$355,MATCH($C546,Deals!$A$2:$A$355,0))),""))</f>
        <v/>
      </c>
      <c r="V546" s="35">
        <f>IF(OR($U546&lt;&gt;"",AND($AO546&gt;0,$L546&lt;&gt;"",$M546&lt;&gt;"")),$N546,DATE(1900,1,1))</f>
        <v/>
      </c>
      <c r="W546" s="35">
        <f>IF($U546&lt;&gt;"",$U546,IF(AND($AO546&gt;0,$L546&lt;&gt;"",$M546&lt;&gt;""),$O546,DATE(2100,12,31)))</f>
        <v/>
      </c>
      <c r="X546" s="32">
        <f>IF($U546="",$K546,$K546*$S546)</f>
        <v/>
      </c>
      <c r="Y546" s="35">
        <f>IF($U546="",DATE(2100,12,31),$U546+1)</f>
        <v/>
      </c>
      <c r="Z546" s="35">
        <f>IF($U546="",DATE(1900,1,1),$O546)</f>
        <v/>
      </c>
      <c r="AA546" s="32">
        <f>IF($U546="",0,$K546*$T546)</f>
        <v/>
      </c>
      <c r="AB546" s="21">
        <f>IF($C546="",0,IFERROR(INDEX(Deals!$AD$2:$AD$355,MATCH($C546,Deals!$A$2:$A$355,0)),0))</f>
        <v/>
      </c>
      <c r="AC546" s="32">
        <f>IF(Settings!$B$4="Yes",$I546*$AB546,$I546)</f>
        <v/>
      </c>
      <c r="AD546" s="22">
        <f>IF($C546="","",IFERROR(IF(INDEX(Deals!$AE$2:$AE$355,MATCH($C546,Deals!$A$2:$A$355,0))=0,"",INDEX(Deals!$AE$2:$AE$355,MATCH($C546,Deals!$A$2:$A$355,0))),""))</f>
        <v/>
      </c>
      <c r="AE546" s="22">
        <f>IF($C546="","",IFERROR(IF(INDEX(Deals!$AF$2:$AF$355,MATCH($C546,Deals!$A$2:$A$355,0))=0,"",INDEX(Deals!$AF$2:$AF$355,MATCH($C546,Deals!$A$2:$A$355,0))),""))</f>
        <v/>
      </c>
      <c r="AF546" s="35">
        <f>IF($AD546="",DATE(1900,1,1),$AD546)</f>
        <v/>
      </c>
      <c r="AG546" s="35">
        <f>IF($AE546="",DATE(2100,12,31),$AE546)</f>
        <v/>
      </c>
      <c r="AH546" s="22">
        <f>IF($C546="","",IFERROR(IF(INDEX(Deals!$AG$2:$AG$355,MATCH($C546,Deals!$A$2:$A$355,0))=0,"",INDEX(Deals!$AG$2:$AG$355,MATCH($C546,Deals!$A$2:$A$355,0))),""))</f>
        <v/>
      </c>
      <c r="AI546" s="35">
        <f>IF(OR($AH546&lt;&gt;"",AND($AO546&gt;0,$AD546&lt;&gt;"",$AE546&lt;&gt;"")),$AF546,DATE(1900,1,1))</f>
        <v/>
      </c>
      <c r="AJ546" s="35">
        <f>IF($AH546&lt;&gt;"",$AH546,IF(AND($AO546&gt;0,$AD546&lt;&gt;"",$AE546&lt;&gt;""),$AG546,DATE(2100,12,31)))</f>
        <v/>
      </c>
      <c r="AK546" s="32">
        <f>IF($AH546="",$AC546,$AC546*$S546)</f>
        <v/>
      </c>
      <c r="AL546" s="35">
        <f>IF($AH546="",DATE(2100,12,31),$AH546+1)</f>
        <v/>
      </c>
      <c r="AM546" s="35">
        <f>IF($AH546="",DATE(1900,1,1),$AG546)</f>
        <v/>
      </c>
      <c r="AN546" s="32">
        <f>IF($AH546="",0,$AC546*$T546)</f>
        <v/>
      </c>
      <c r="AO546" s="46">
        <f>IF($C546="",0,IFERROR(INDEX(Deals!$BD$2:$BD$355,MATCH($C546,Deals!$A$2:$A$355,0)),0))</f>
        <v/>
      </c>
      <c r="AP546" s="18">
        <f>IF($AO546=0,0,IFERROR(INDEX(Deals!$BJ$2:$BP$355,MATCH($C546,Deals!$A$2:$A$355,0),MATCH($F546,Deals!$BJ$1:$BP$1,0))/COUNTIFS(Assignments!$C$2:$C$769,$C546,Assignments!$F$2:$F$769,$F546,Assignments!$G$2:$G$769,"Active"),0))</f>
        <v/>
      </c>
    </row>
    <row r="547">
      <c r="A547" s="28" t="inlineStr">
        <is>
          <t>Dorian</t>
        </is>
      </c>
      <c r="B547" s="16">
        <f>IF($A547="","",IFERROR(INDEX(Roster!$B$2:$B$40,MATCH($A547,Roster!$A$2:$A$40,0)),"?"))</f>
        <v/>
      </c>
      <c r="C547" s="28" t="inlineStr">
        <is>
          <t>Dawn_1</t>
        </is>
      </c>
      <c r="D547" s="16">
        <f>IF($C547="","",IFERROR(IF(INDEX(Deals!$C$2:$C$355,MATCH($C547,Deals!$A$2:$A$355,0))=0,"",INDEX(Deals!$C$2:$C$355,MATCH($C547,Deals!$A$2:$A$355,0))),"?"))</f>
        <v/>
      </c>
      <c r="E547" s="16">
        <f>IF($C547="","",IFERROR(INDEX(Deals!$F$2:$F$355,MATCH($C547,Deals!$A$2:$A$355,0)),"?"))</f>
        <v/>
      </c>
      <c r="F547" s="28" t="inlineStr">
        <is>
          <t>Renewable Specialist</t>
        </is>
      </c>
      <c r="G547" s="28" t="inlineStr">
        <is>
          <t>Active</t>
        </is>
      </c>
      <c r="H547" s="31" t="n"/>
      <c r="I547" s="32">
        <f>IF(OR($A547="",$G547&lt;&gt;"Active"),0,IF($H547&lt;&gt;"",$H547,IF($AO547&gt;0,$AP547,IF(AND($R547&lt;&gt;"",IFERROR(INDEX(Templates!$B$3:$H$10,MATCH($R547,Templates!$A$3:$A$10,0),MATCH($F547,Templates!$B$2:$H$2,0)),0)&gt;0),INDEX(Templates!$B$3:$H$10,MATCH($R547,Templates!$A$3:$A$10,0),MATCH($F547,Templates!$B$2:$H$2,0)),IFERROR(INDEX(Settings!$B$8:$B$14,MATCH($F547,Settings!$A$8:$A$14,0)),0)))))</f>
        <v/>
      </c>
      <c r="J547" s="21">
        <f>IF($C547="",0,IFERROR(INDEX(Deals!$H$2:$H$355,MATCH($C547,Deals!$A$2:$A$355,0)),0))</f>
        <v/>
      </c>
      <c r="K547" s="32">
        <f>IF(Settings!$B$4="Yes",$I547*$J547,$I547)</f>
        <v/>
      </c>
      <c r="L547" s="22">
        <f>IF($C547="","",IFERROR(IF(INDEX(Deals!$I$2:$I$355,MATCH($C547,Deals!$A$2:$A$355,0))=0,"",INDEX(Deals!$I$2:$I$355,MATCH($C547,Deals!$A$2:$A$355,0))),""))</f>
        <v/>
      </c>
      <c r="M547" s="22">
        <f>IF($C547="","",IFERROR(IF(INDEX(Deals!$J$2:$J$355,MATCH($C547,Deals!$A$2:$A$355,0))=0,"",INDEX(Deals!$J$2:$J$355,MATCH($C547,Deals!$A$2:$A$355,0))),""))</f>
        <v/>
      </c>
      <c r="N547" s="35">
        <f>IF($L547="",DATE(1900,1,1),$L547)</f>
        <v/>
      </c>
      <c r="O547" s="35">
        <f>IF($M547="",DATE(2100,12,31),$M547)</f>
        <v/>
      </c>
      <c r="P547" s="20" t="inlineStr"/>
      <c r="Q547" s="47" t="inlineStr"/>
      <c r="R547" s="16">
        <f>IF($C547="","",IFERROR(IF(INDEX(Deals!$U$2:$U$355,MATCH($C547,Deals!$A$2:$A$355,0))=0,"",INDEX(Deals!$U$2:$U$355,MATCH($C547,Deals!$A$2:$A$355,0))),""))</f>
        <v/>
      </c>
      <c r="S547" s="34">
        <f>IFERROR(IF($U547="",1,INDEX(Deals!$V$2:$V$355,MATCH($C547,Deals!$A$2:$A$355,0))),1)</f>
        <v/>
      </c>
      <c r="T547" s="34">
        <f>IFERROR(IF($U547="",1,INDEX(Deals!$W$2:$W$355,MATCH($C547,Deals!$A$2:$A$355,0))),1)</f>
        <v/>
      </c>
      <c r="U547" s="22">
        <f>IF($C547="","",IFERROR(IF(INDEX(Deals!$Y$2:$Y$355,MATCH($C547,Deals!$A$2:$A$355,0))=0,"",INDEX(Deals!$Y$2:$Y$355,MATCH($C547,Deals!$A$2:$A$355,0))),""))</f>
        <v/>
      </c>
      <c r="V547" s="35">
        <f>IF(OR($U547&lt;&gt;"",AND($AO547&gt;0,$L547&lt;&gt;"",$M547&lt;&gt;"")),$N547,DATE(1900,1,1))</f>
        <v/>
      </c>
      <c r="W547" s="35">
        <f>IF($U547&lt;&gt;"",$U547,IF(AND($AO547&gt;0,$L547&lt;&gt;"",$M547&lt;&gt;""),$O547,DATE(2100,12,31)))</f>
        <v/>
      </c>
      <c r="X547" s="32">
        <f>IF($U547="",$K547,$K547*$S547)</f>
        <v/>
      </c>
      <c r="Y547" s="35">
        <f>IF($U547="",DATE(2100,12,31),$U547+1)</f>
        <v/>
      </c>
      <c r="Z547" s="35">
        <f>IF($U547="",DATE(1900,1,1),$O547)</f>
        <v/>
      </c>
      <c r="AA547" s="32">
        <f>IF($U547="",0,$K547*$T547)</f>
        <v/>
      </c>
      <c r="AB547" s="21">
        <f>IF($C547="",0,IFERROR(INDEX(Deals!$AD$2:$AD$355,MATCH($C547,Deals!$A$2:$A$355,0)),0))</f>
        <v/>
      </c>
      <c r="AC547" s="32">
        <f>IF(Settings!$B$4="Yes",$I547*$AB547,$I547)</f>
        <v/>
      </c>
      <c r="AD547" s="22">
        <f>IF($C547="","",IFERROR(IF(INDEX(Deals!$AE$2:$AE$355,MATCH($C547,Deals!$A$2:$A$355,0))=0,"",INDEX(Deals!$AE$2:$AE$355,MATCH($C547,Deals!$A$2:$A$355,0))),""))</f>
        <v/>
      </c>
      <c r="AE547" s="22">
        <f>IF($C547="","",IFERROR(IF(INDEX(Deals!$AF$2:$AF$355,MATCH($C547,Deals!$A$2:$A$355,0))=0,"",INDEX(Deals!$AF$2:$AF$355,MATCH($C547,Deals!$A$2:$A$355,0))),""))</f>
        <v/>
      </c>
      <c r="AF547" s="35">
        <f>IF($AD547="",DATE(1900,1,1),$AD547)</f>
        <v/>
      </c>
      <c r="AG547" s="35">
        <f>IF($AE547="",DATE(2100,12,31),$AE547)</f>
        <v/>
      </c>
      <c r="AH547" s="22">
        <f>IF($C547="","",IFERROR(IF(INDEX(Deals!$AG$2:$AG$355,MATCH($C547,Deals!$A$2:$A$355,0))=0,"",INDEX(Deals!$AG$2:$AG$355,MATCH($C547,Deals!$A$2:$A$355,0))),""))</f>
        <v/>
      </c>
      <c r="AI547" s="35">
        <f>IF(OR($AH547&lt;&gt;"",AND($AO547&gt;0,$AD547&lt;&gt;"",$AE547&lt;&gt;"")),$AF547,DATE(1900,1,1))</f>
        <v/>
      </c>
      <c r="AJ547" s="35">
        <f>IF($AH547&lt;&gt;"",$AH547,IF(AND($AO547&gt;0,$AD547&lt;&gt;"",$AE547&lt;&gt;""),$AG547,DATE(2100,12,31)))</f>
        <v/>
      </c>
      <c r="AK547" s="32">
        <f>IF($AH547="",$AC547,$AC547*$S547)</f>
        <v/>
      </c>
      <c r="AL547" s="35">
        <f>IF($AH547="",DATE(2100,12,31),$AH547+1)</f>
        <v/>
      </c>
      <c r="AM547" s="35">
        <f>IF($AH547="",DATE(1900,1,1),$AG547)</f>
        <v/>
      </c>
      <c r="AN547" s="32">
        <f>IF($AH547="",0,$AC547*$T547)</f>
        <v/>
      </c>
      <c r="AO547" s="46">
        <f>IF($C547="",0,IFERROR(INDEX(Deals!$BD$2:$BD$355,MATCH($C547,Deals!$A$2:$A$355,0)),0))</f>
        <v/>
      </c>
      <c r="AP547" s="18">
        <f>IF($AO547=0,0,IFERROR(INDEX(Deals!$BJ$2:$BP$355,MATCH($C547,Deals!$A$2:$A$355,0),MATCH($F547,Deals!$BJ$1:$BP$1,0))/COUNTIFS(Assignments!$C$2:$C$769,$C547,Assignments!$F$2:$F$769,$F547,Assignments!$G$2:$G$769,"Active"),0))</f>
        <v/>
      </c>
    </row>
    <row r="548">
      <c r="A548" s="28" t="inlineStr">
        <is>
          <t>Dorian</t>
        </is>
      </c>
      <c r="B548" s="16">
        <f>IF($A548="","",IFERROR(INDEX(Roster!$B$2:$B$40,MATCH($A548,Roster!$A$2:$A$40,0)),"?"))</f>
        <v/>
      </c>
      <c r="C548" s="28" t="inlineStr">
        <is>
          <t>Denergy_1</t>
        </is>
      </c>
      <c r="D548" s="16">
        <f>IF($C548="","",IFERROR(IF(INDEX(Deals!$C$2:$C$355,MATCH($C548,Deals!$A$2:$A$355,0))=0,"",INDEX(Deals!$C$2:$C$355,MATCH($C548,Deals!$A$2:$A$355,0))),"?"))</f>
        <v/>
      </c>
      <c r="E548" s="16">
        <f>IF($C548="","",IFERROR(INDEX(Deals!$F$2:$F$355,MATCH($C548,Deals!$A$2:$A$355,0)),"?"))</f>
        <v/>
      </c>
      <c r="F548" s="28" t="inlineStr">
        <is>
          <t>Renewable Specialist</t>
        </is>
      </c>
      <c r="G548" s="28" t="inlineStr">
        <is>
          <t>Active</t>
        </is>
      </c>
      <c r="H548" s="31" t="n"/>
      <c r="I548" s="32">
        <f>IF(OR($A548="",$G548&lt;&gt;"Active"),0,IF($H548&lt;&gt;"",$H548,IF($AO548&gt;0,$AP548,IF(AND($R548&lt;&gt;"",IFERROR(INDEX(Templates!$B$3:$H$10,MATCH($R548,Templates!$A$3:$A$10,0),MATCH($F548,Templates!$B$2:$H$2,0)),0)&gt;0),INDEX(Templates!$B$3:$H$10,MATCH($R548,Templates!$A$3:$A$10,0),MATCH($F548,Templates!$B$2:$H$2,0)),IFERROR(INDEX(Settings!$B$8:$B$14,MATCH($F548,Settings!$A$8:$A$14,0)),0)))))</f>
        <v/>
      </c>
      <c r="J548" s="21">
        <f>IF($C548="",0,IFERROR(INDEX(Deals!$H$2:$H$355,MATCH($C548,Deals!$A$2:$A$355,0)),0))</f>
        <v/>
      </c>
      <c r="K548" s="32">
        <f>IF(Settings!$B$4="Yes",$I548*$J548,$I548)</f>
        <v/>
      </c>
      <c r="L548" s="22">
        <f>IF($C548="","",IFERROR(IF(INDEX(Deals!$I$2:$I$355,MATCH($C548,Deals!$A$2:$A$355,0))=0,"",INDEX(Deals!$I$2:$I$355,MATCH($C548,Deals!$A$2:$A$355,0))),""))</f>
        <v/>
      </c>
      <c r="M548" s="22">
        <f>IF($C548="","",IFERROR(IF(INDEX(Deals!$J$2:$J$355,MATCH($C548,Deals!$A$2:$A$355,0))=0,"",INDEX(Deals!$J$2:$J$355,MATCH($C548,Deals!$A$2:$A$355,0))),""))</f>
        <v/>
      </c>
      <c r="N548" s="35">
        <f>IF($L548="",DATE(1900,1,1),$L548)</f>
        <v/>
      </c>
      <c r="O548" s="35">
        <f>IF($M548="",DATE(2100,12,31),$M548)</f>
        <v/>
      </c>
      <c r="P548" s="20" t="inlineStr"/>
      <c r="Q548" s="47" t="inlineStr"/>
      <c r="R548" s="16">
        <f>IF($C548="","",IFERROR(IF(INDEX(Deals!$U$2:$U$355,MATCH($C548,Deals!$A$2:$A$355,0))=0,"",INDEX(Deals!$U$2:$U$355,MATCH($C548,Deals!$A$2:$A$355,0))),""))</f>
        <v/>
      </c>
      <c r="S548" s="34">
        <f>IFERROR(IF($U548="",1,INDEX(Deals!$V$2:$V$355,MATCH($C548,Deals!$A$2:$A$355,0))),1)</f>
        <v/>
      </c>
      <c r="T548" s="34">
        <f>IFERROR(IF($U548="",1,INDEX(Deals!$W$2:$W$355,MATCH($C548,Deals!$A$2:$A$355,0))),1)</f>
        <v/>
      </c>
      <c r="U548" s="22">
        <f>IF($C548="","",IFERROR(IF(INDEX(Deals!$Y$2:$Y$355,MATCH($C548,Deals!$A$2:$A$355,0))=0,"",INDEX(Deals!$Y$2:$Y$355,MATCH($C548,Deals!$A$2:$A$355,0))),""))</f>
        <v/>
      </c>
      <c r="V548" s="35">
        <f>IF(OR($U548&lt;&gt;"",AND($AO548&gt;0,$L548&lt;&gt;"",$M548&lt;&gt;"")),$N548,DATE(1900,1,1))</f>
        <v/>
      </c>
      <c r="W548" s="35">
        <f>IF($U548&lt;&gt;"",$U548,IF(AND($AO548&gt;0,$L548&lt;&gt;"",$M548&lt;&gt;""),$O548,DATE(2100,12,31)))</f>
        <v/>
      </c>
      <c r="X548" s="32">
        <f>IF($U548="",$K548,$K548*$S548)</f>
        <v/>
      </c>
      <c r="Y548" s="35">
        <f>IF($U548="",DATE(2100,12,31),$U548+1)</f>
        <v/>
      </c>
      <c r="Z548" s="35">
        <f>IF($U548="",DATE(1900,1,1),$O548)</f>
        <v/>
      </c>
      <c r="AA548" s="32">
        <f>IF($U548="",0,$K548*$T548)</f>
        <v/>
      </c>
      <c r="AB548" s="21">
        <f>IF($C548="",0,IFERROR(INDEX(Deals!$AD$2:$AD$355,MATCH($C548,Deals!$A$2:$A$355,0)),0))</f>
        <v/>
      </c>
      <c r="AC548" s="32">
        <f>IF(Settings!$B$4="Yes",$I548*$AB548,$I548)</f>
        <v/>
      </c>
      <c r="AD548" s="22">
        <f>IF($C548="","",IFERROR(IF(INDEX(Deals!$AE$2:$AE$355,MATCH($C548,Deals!$A$2:$A$355,0))=0,"",INDEX(Deals!$AE$2:$AE$355,MATCH($C548,Deals!$A$2:$A$355,0))),""))</f>
        <v/>
      </c>
      <c r="AE548" s="22">
        <f>IF($C548="","",IFERROR(IF(INDEX(Deals!$AF$2:$AF$355,MATCH($C548,Deals!$A$2:$A$355,0))=0,"",INDEX(Deals!$AF$2:$AF$355,MATCH($C548,Deals!$A$2:$A$355,0))),""))</f>
        <v/>
      </c>
      <c r="AF548" s="35">
        <f>IF($AD548="",DATE(1900,1,1),$AD548)</f>
        <v/>
      </c>
      <c r="AG548" s="35">
        <f>IF($AE548="",DATE(2100,12,31),$AE548)</f>
        <v/>
      </c>
      <c r="AH548" s="22">
        <f>IF($C548="","",IFERROR(IF(INDEX(Deals!$AG$2:$AG$355,MATCH($C548,Deals!$A$2:$A$355,0))=0,"",INDEX(Deals!$AG$2:$AG$355,MATCH($C548,Deals!$A$2:$A$355,0))),""))</f>
        <v/>
      </c>
      <c r="AI548" s="35">
        <f>IF(OR($AH548&lt;&gt;"",AND($AO548&gt;0,$AD548&lt;&gt;"",$AE548&lt;&gt;"")),$AF548,DATE(1900,1,1))</f>
        <v/>
      </c>
      <c r="AJ548" s="35">
        <f>IF($AH548&lt;&gt;"",$AH548,IF(AND($AO548&gt;0,$AD548&lt;&gt;"",$AE548&lt;&gt;""),$AG548,DATE(2100,12,31)))</f>
        <v/>
      </c>
      <c r="AK548" s="32">
        <f>IF($AH548="",$AC548,$AC548*$S548)</f>
        <v/>
      </c>
      <c r="AL548" s="35">
        <f>IF($AH548="",DATE(2100,12,31),$AH548+1)</f>
        <v/>
      </c>
      <c r="AM548" s="35">
        <f>IF($AH548="",DATE(1900,1,1),$AG548)</f>
        <v/>
      </c>
      <c r="AN548" s="32">
        <f>IF($AH548="",0,$AC548*$T548)</f>
        <v/>
      </c>
      <c r="AO548" s="46">
        <f>IF($C548="",0,IFERROR(INDEX(Deals!$BD$2:$BD$355,MATCH($C548,Deals!$A$2:$A$355,0)),0))</f>
        <v/>
      </c>
      <c r="AP548" s="18">
        <f>IF($AO548=0,0,IFERROR(INDEX(Deals!$BJ$2:$BP$355,MATCH($C548,Deals!$A$2:$A$355,0),MATCH($F548,Deals!$BJ$1:$BP$1,0))/COUNTIFS(Assignments!$C$2:$C$769,$C548,Assignments!$F$2:$F$769,$F548,Assignments!$G$2:$G$769,"Active"),0))</f>
        <v/>
      </c>
    </row>
    <row r="549">
      <c r="A549" s="28" t="inlineStr">
        <is>
          <t>Dorian</t>
        </is>
      </c>
      <c r="B549" s="16">
        <f>IF($A549="","",IFERROR(INDEX(Roster!$B$2:$B$40,MATCH($A549,Roster!$A$2:$A$40,0)),"?"))</f>
        <v/>
      </c>
      <c r="C549" s="28" t="inlineStr">
        <is>
          <t>DIF - Diverso_1</t>
        </is>
      </c>
      <c r="D549" s="16">
        <f>IF($C549="","",IFERROR(IF(INDEX(Deals!$C$2:$C$355,MATCH($C549,Deals!$A$2:$A$355,0))=0,"",INDEX(Deals!$C$2:$C$355,MATCH($C549,Deals!$A$2:$A$355,0))),"?"))</f>
        <v/>
      </c>
      <c r="E549" s="16">
        <f>IF($C549="","",IFERROR(INDEX(Deals!$F$2:$F$355,MATCH($C549,Deals!$A$2:$A$355,0)),"?"))</f>
        <v/>
      </c>
      <c r="F549" s="28" t="inlineStr">
        <is>
          <t>Renewable Specialist</t>
        </is>
      </c>
      <c r="G549" s="28" t="inlineStr">
        <is>
          <t>Active</t>
        </is>
      </c>
      <c r="H549" s="31" t="n"/>
      <c r="I549" s="32">
        <f>IF(OR($A549="",$G549&lt;&gt;"Active"),0,IF($H549&lt;&gt;"",$H549,IF($AO549&gt;0,$AP549,IF(AND($R549&lt;&gt;"",IFERROR(INDEX(Templates!$B$3:$H$10,MATCH($R549,Templates!$A$3:$A$10,0),MATCH($F549,Templates!$B$2:$H$2,0)),0)&gt;0),INDEX(Templates!$B$3:$H$10,MATCH($R549,Templates!$A$3:$A$10,0),MATCH($F549,Templates!$B$2:$H$2,0)),IFERROR(INDEX(Settings!$B$8:$B$14,MATCH($F549,Settings!$A$8:$A$14,0)),0)))))</f>
        <v/>
      </c>
      <c r="J549" s="21">
        <f>IF($C549="",0,IFERROR(INDEX(Deals!$H$2:$H$355,MATCH($C549,Deals!$A$2:$A$355,0)),0))</f>
        <v/>
      </c>
      <c r="K549" s="32">
        <f>IF(Settings!$B$4="Yes",$I549*$J549,$I549)</f>
        <v/>
      </c>
      <c r="L549" s="22">
        <f>IF($C549="","",IFERROR(IF(INDEX(Deals!$I$2:$I$355,MATCH($C549,Deals!$A$2:$A$355,0))=0,"",INDEX(Deals!$I$2:$I$355,MATCH($C549,Deals!$A$2:$A$355,0))),""))</f>
        <v/>
      </c>
      <c r="M549" s="22">
        <f>IF($C549="","",IFERROR(IF(INDEX(Deals!$J$2:$J$355,MATCH($C549,Deals!$A$2:$A$355,0))=0,"",INDEX(Deals!$J$2:$J$355,MATCH($C549,Deals!$A$2:$A$355,0))),""))</f>
        <v/>
      </c>
      <c r="N549" s="35">
        <f>IF($L549="",DATE(1900,1,1),$L549)</f>
        <v/>
      </c>
      <c r="O549" s="35">
        <f>IF($M549="",DATE(2100,12,31),$M549)</f>
        <v/>
      </c>
      <c r="P549" s="20" t="inlineStr"/>
      <c r="Q549" s="47" t="inlineStr"/>
      <c r="R549" s="16">
        <f>IF($C549="","",IFERROR(IF(INDEX(Deals!$U$2:$U$355,MATCH($C549,Deals!$A$2:$A$355,0))=0,"",INDEX(Deals!$U$2:$U$355,MATCH($C549,Deals!$A$2:$A$355,0))),""))</f>
        <v/>
      </c>
      <c r="S549" s="34">
        <f>IFERROR(IF($U549="",1,INDEX(Deals!$V$2:$V$355,MATCH($C549,Deals!$A$2:$A$355,0))),1)</f>
        <v/>
      </c>
      <c r="T549" s="34">
        <f>IFERROR(IF($U549="",1,INDEX(Deals!$W$2:$W$355,MATCH($C549,Deals!$A$2:$A$355,0))),1)</f>
        <v/>
      </c>
      <c r="U549" s="22">
        <f>IF($C549="","",IFERROR(IF(INDEX(Deals!$Y$2:$Y$355,MATCH($C549,Deals!$A$2:$A$355,0))=0,"",INDEX(Deals!$Y$2:$Y$355,MATCH($C549,Deals!$A$2:$A$355,0))),""))</f>
        <v/>
      </c>
      <c r="V549" s="35">
        <f>IF(OR($U549&lt;&gt;"",AND($AO549&gt;0,$L549&lt;&gt;"",$M549&lt;&gt;"")),$N549,DATE(1900,1,1))</f>
        <v/>
      </c>
      <c r="W549" s="35">
        <f>IF($U549&lt;&gt;"",$U549,IF(AND($AO549&gt;0,$L549&lt;&gt;"",$M549&lt;&gt;""),$O549,DATE(2100,12,31)))</f>
        <v/>
      </c>
      <c r="X549" s="32">
        <f>IF($U549="",$K549,$K549*$S549)</f>
        <v/>
      </c>
      <c r="Y549" s="35">
        <f>IF($U549="",DATE(2100,12,31),$U549+1)</f>
        <v/>
      </c>
      <c r="Z549" s="35">
        <f>IF($U549="",DATE(1900,1,1),$O549)</f>
        <v/>
      </c>
      <c r="AA549" s="32">
        <f>IF($U549="",0,$K549*$T549)</f>
        <v/>
      </c>
      <c r="AB549" s="21">
        <f>IF($C549="",0,IFERROR(INDEX(Deals!$AD$2:$AD$355,MATCH($C549,Deals!$A$2:$A$355,0)),0))</f>
        <v/>
      </c>
      <c r="AC549" s="32">
        <f>IF(Settings!$B$4="Yes",$I549*$AB549,$I549)</f>
        <v/>
      </c>
      <c r="AD549" s="22">
        <f>IF($C549="","",IFERROR(IF(INDEX(Deals!$AE$2:$AE$355,MATCH($C549,Deals!$A$2:$A$355,0))=0,"",INDEX(Deals!$AE$2:$AE$355,MATCH($C549,Deals!$A$2:$A$355,0))),""))</f>
        <v/>
      </c>
      <c r="AE549" s="22">
        <f>IF($C549="","",IFERROR(IF(INDEX(Deals!$AF$2:$AF$355,MATCH($C549,Deals!$A$2:$A$355,0))=0,"",INDEX(Deals!$AF$2:$AF$355,MATCH($C549,Deals!$A$2:$A$355,0))),""))</f>
        <v/>
      </c>
      <c r="AF549" s="35">
        <f>IF($AD549="",DATE(1900,1,1),$AD549)</f>
        <v/>
      </c>
      <c r="AG549" s="35">
        <f>IF($AE549="",DATE(2100,12,31),$AE549)</f>
        <v/>
      </c>
      <c r="AH549" s="22">
        <f>IF($C549="","",IFERROR(IF(INDEX(Deals!$AG$2:$AG$355,MATCH($C549,Deals!$A$2:$A$355,0))=0,"",INDEX(Deals!$AG$2:$AG$355,MATCH($C549,Deals!$A$2:$A$355,0))),""))</f>
        <v/>
      </c>
      <c r="AI549" s="35">
        <f>IF(OR($AH549&lt;&gt;"",AND($AO549&gt;0,$AD549&lt;&gt;"",$AE549&lt;&gt;"")),$AF549,DATE(1900,1,1))</f>
        <v/>
      </c>
      <c r="AJ549" s="35">
        <f>IF($AH549&lt;&gt;"",$AH549,IF(AND($AO549&gt;0,$AD549&lt;&gt;"",$AE549&lt;&gt;""),$AG549,DATE(2100,12,31)))</f>
        <v/>
      </c>
      <c r="AK549" s="32">
        <f>IF($AH549="",$AC549,$AC549*$S549)</f>
        <v/>
      </c>
      <c r="AL549" s="35">
        <f>IF($AH549="",DATE(2100,12,31),$AH549+1)</f>
        <v/>
      </c>
      <c r="AM549" s="35">
        <f>IF($AH549="",DATE(1900,1,1),$AG549)</f>
        <v/>
      </c>
      <c r="AN549" s="32">
        <f>IF($AH549="",0,$AC549*$T549)</f>
        <v/>
      </c>
      <c r="AO549" s="46">
        <f>IF($C549="",0,IFERROR(INDEX(Deals!$BD$2:$BD$355,MATCH($C549,Deals!$A$2:$A$355,0)),0))</f>
        <v/>
      </c>
      <c r="AP549" s="18">
        <f>IF($AO549=0,0,IFERROR(INDEX(Deals!$BJ$2:$BP$355,MATCH($C549,Deals!$A$2:$A$355,0),MATCH($F549,Deals!$BJ$1:$BP$1,0))/COUNTIFS(Assignments!$C$2:$C$769,$C549,Assignments!$F$2:$F$769,$F549,Assignments!$G$2:$G$769,"Active"),0))</f>
        <v/>
      </c>
    </row>
    <row r="550">
      <c r="A550" s="28" t="inlineStr">
        <is>
          <t>Dorian</t>
        </is>
      </c>
      <c r="B550" s="16">
        <f>IF($A550="","",IFERROR(INDEX(Roster!$B$2:$B$40,MATCH($A550,Roster!$A$2:$A$40,0)),"?"))</f>
        <v/>
      </c>
      <c r="C550" s="28" t="inlineStr">
        <is>
          <t>DIF Brahms_1</t>
        </is>
      </c>
      <c r="D550" s="16">
        <f>IF($C550="","",IFERROR(IF(INDEX(Deals!$C$2:$C$355,MATCH($C550,Deals!$A$2:$A$355,0))=0,"",INDEX(Deals!$C$2:$C$355,MATCH($C550,Deals!$A$2:$A$355,0))),"?"))</f>
        <v/>
      </c>
      <c r="E550" s="16">
        <f>IF($C550="","",IFERROR(INDEX(Deals!$F$2:$F$355,MATCH($C550,Deals!$A$2:$A$355,0)),"?"))</f>
        <v/>
      </c>
      <c r="F550" s="28" t="inlineStr">
        <is>
          <t>Renewable Specialist</t>
        </is>
      </c>
      <c r="G550" s="28" t="inlineStr">
        <is>
          <t>Active</t>
        </is>
      </c>
      <c r="H550" s="31" t="n"/>
      <c r="I550" s="32">
        <f>IF(OR($A550="",$G550&lt;&gt;"Active"),0,IF($H550&lt;&gt;"",$H550,IF($AO550&gt;0,$AP550,IF(AND($R550&lt;&gt;"",IFERROR(INDEX(Templates!$B$3:$H$10,MATCH($R550,Templates!$A$3:$A$10,0),MATCH($F550,Templates!$B$2:$H$2,0)),0)&gt;0),INDEX(Templates!$B$3:$H$10,MATCH($R550,Templates!$A$3:$A$10,0),MATCH($F550,Templates!$B$2:$H$2,0)),IFERROR(INDEX(Settings!$B$8:$B$14,MATCH($F550,Settings!$A$8:$A$14,0)),0)))))</f>
        <v/>
      </c>
      <c r="J550" s="21">
        <f>IF($C550="",0,IFERROR(INDEX(Deals!$H$2:$H$355,MATCH($C550,Deals!$A$2:$A$355,0)),0))</f>
        <v/>
      </c>
      <c r="K550" s="32">
        <f>IF(Settings!$B$4="Yes",$I550*$J550,$I550)</f>
        <v/>
      </c>
      <c r="L550" s="22">
        <f>IF($C550="","",IFERROR(IF(INDEX(Deals!$I$2:$I$355,MATCH($C550,Deals!$A$2:$A$355,0))=0,"",INDEX(Deals!$I$2:$I$355,MATCH($C550,Deals!$A$2:$A$355,0))),""))</f>
        <v/>
      </c>
      <c r="M550" s="22">
        <f>IF($C550="","",IFERROR(IF(INDEX(Deals!$J$2:$J$355,MATCH($C550,Deals!$A$2:$A$355,0))=0,"",INDEX(Deals!$J$2:$J$355,MATCH($C550,Deals!$A$2:$A$355,0))),""))</f>
        <v/>
      </c>
      <c r="N550" s="35">
        <f>IF($L550="",DATE(1900,1,1),$L550)</f>
        <v/>
      </c>
      <c r="O550" s="35">
        <f>IF($M550="",DATE(2100,12,31),$M550)</f>
        <v/>
      </c>
      <c r="P550" s="20" t="inlineStr"/>
      <c r="Q550" s="47" t="inlineStr"/>
      <c r="R550" s="16">
        <f>IF($C550="","",IFERROR(IF(INDEX(Deals!$U$2:$U$355,MATCH($C550,Deals!$A$2:$A$355,0))=0,"",INDEX(Deals!$U$2:$U$355,MATCH($C550,Deals!$A$2:$A$355,0))),""))</f>
        <v/>
      </c>
      <c r="S550" s="34">
        <f>IFERROR(IF($U550="",1,INDEX(Deals!$V$2:$V$355,MATCH($C550,Deals!$A$2:$A$355,0))),1)</f>
        <v/>
      </c>
      <c r="T550" s="34">
        <f>IFERROR(IF($U550="",1,INDEX(Deals!$W$2:$W$355,MATCH($C550,Deals!$A$2:$A$355,0))),1)</f>
        <v/>
      </c>
      <c r="U550" s="22">
        <f>IF($C550="","",IFERROR(IF(INDEX(Deals!$Y$2:$Y$355,MATCH($C550,Deals!$A$2:$A$355,0))=0,"",INDEX(Deals!$Y$2:$Y$355,MATCH($C550,Deals!$A$2:$A$355,0))),""))</f>
        <v/>
      </c>
      <c r="V550" s="35">
        <f>IF(OR($U550&lt;&gt;"",AND($AO550&gt;0,$L550&lt;&gt;"",$M550&lt;&gt;"")),$N550,DATE(1900,1,1))</f>
        <v/>
      </c>
      <c r="W550" s="35">
        <f>IF($U550&lt;&gt;"",$U550,IF(AND($AO550&gt;0,$L550&lt;&gt;"",$M550&lt;&gt;""),$O550,DATE(2100,12,31)))</f>
        <v/>
      </c>
      <c r="X550" s="32">
        <f>IF($U550="",$K550,$K550*$S550)</f>
        <v/>
      </c>
      <c r="Y550" s="35">
        <f>IF($U550="",DATE(2100,12,31),$U550+1)</f>
        <v/>
      </c>
      <c r="Z550" s="35">
        <f>IF($U550="",DATE(1900,1,1),$O550)</f>
        <v/>
      </c>
      <c r="AA550" s="32">
        <f>IF($U550="",0,$K550*$T550)</f>
        <v/>
      </c>
      <c r="AB550" s="21">
        <f>IF($C550="",0,IFERROR(INDEX(Deals!$AD$2:$AD$355,MATCH($C550,Deals!$A$2:$A$355,0)),0))</f>
        <v/>
      </c>
      <c r="AC550" s="32">
        <f>IF(Settings!$B$4="Yes",$I550*$AB550,$I550)</f>
        <v/>
      </c>
      <c r="AD550" s="22">
        <f>IF($C550="","",IFERROR(IF(INDEX(Deals!$AE$2:$AE$355,MATCH($C550,Deals!$A$2:$A$355,0))=0,"",INDEX(Deals!$AE$2:$AE$355,MATCH($C550,Deals!$A$2:$A$355,0))),""))</f>
        <v/>
      </c>
      <c r="AE550" s="22">
        <f>IF($C550="","",IFERROR(IF(INDEX(Deals!$AF$2:$AF$355,MATCH($C550,Deals!$A$2:$A$355,0))=0,"",INDEX(Deals!$AF$2:$AF$355,MATCH($C550,Deals!$A$2:$A$355,0))),""))</f>
        <v/>
      </c>
      <c r="AF550" s="35">
        <f>IF($AD550="",DATE(1900,1,1),$AD550)</f>
        <v/>
      </c>
      <c r="AG550" s="35">
        <f>IF($AE550="",DATE(2100,12,31),$AE550)</f>
        <v/>
      </c>
      <c r="AH550" s="22">
        <f>IF($C550="","",IFERROR(IF(INDEX(Deals!$AG$2:$AG$355,MATCH($C550,Deals!$A$2:$A$355,0))=0,"",INDEX(Deals!$AG$2:$AG$355,MATCH($C550,Deals!$A$2:$A$355,0))),""))</f>
        <v/>
      </c>
      <c r="AI550" s="35">
        <f>IF(OR($AH550&lt;&gt;"",AND($AO550&gt;0,$AD550&lt;&gt;"",$AE550&lt;&gt;"")),$AF550,DATE(1900,1,1))</f>
        <v/>
      </c>
      <c r="AJ550" s="35">
        <f>IF($AH550&lt;&gt;"",$AH550,IF(AND($AO550&gt;0,$AD550&lt;&gt;"",$AE550&lt;&gt;""),$AG550,DATE(2100,12,31)))</f>
        <v/>
      </c>
      <c r="AK550" s="32">
        <f>IF($AH550="",$AC550,$AC550*$S550)</f>
        <v/>
      </c>
      <c r="AL550" s="35">
        <f>IF($AH550="",DATE(2100,12,31),$AH550+1)</f>
        <v/>
      </c>
      <c r="AM550" s="35">
        <f>IF($AH550="",DATE(1900,1,1),$AG550)</f>
        <v/>
      </c>
      <c r="AN550" s="32">
        <f>IF($AH550="",0,$AC550*$T550)</f>
        <v/>
      </c>
      <c r="AO550" s="46">
        <f>IF($C550="",0,IFERROR(INDEX(Deals!$BD$2:$BD$355,MATCH($C550,Deals!$A$2:$A$355,0)),0))</f>
        <v/>
      </c>
      <c r="AP550" s="18">
        <f>IF($AO550=0,0,IFERROR(INDEX(Deals!$BJ$2:$BP$355,MATCH($C550,Deals!$A$2:$A$355,0),MATCH($F550,Deals!$BJ$1:$BP$1,0))/COUNTIFS(Assignments!$C$2:$C$769,$C550,Assignments!$F$2:$F$769,$F550,Assignments!$G$2:$G$769,"Active"),0))</f>
        <v/>
      </c>
    </row>
    <row r="551">
      <c r="A551" s="28" t="inlineStr">
        <is>
          <t>Dorian</t>
        </is>
      </c>
      <c r="B551" s="16">
        <f>IF($A551="","",IFERROR(INDEX(Roster!$B$2:$B$40,MATCH($A551,Roster!$A$2:$A$40,0)),"?"))</f>
        <v/>
      </c>
      <c r="C551" s="28" t="inlineStr">
        <is>
          <t>Elk_2</t>
        </is>
      </c>
      <c r="D551" s="16">
        <f>IF($C551="","",IFERROR(IF(INDEX(Deals!$C$2:$C$355,MATCH($C551,Deals!$A$2:$A$355,0))=0,"",INDEX(Deals!$C$2:$C$355,MATCH($C551,Deals!$A$2:$A$355,0))),"?"))</f>
        <v/>
      </c>
      <c r="E551" s="16">
        <f>IF($C551="","",IFERROR(INDEX(Deals!$F$2:$F$355,MATCH($C551,Deals!$A$2:$A$355,0)),"?"))</f>
        <v/>
      </c>
      <c r="F551" s="28" t="inlineStr">
        <is>
          <t>Renewable Specialist</t>
        </is>
      </c>
      <c r="G551" s="28" t="inlineStr">
        <is>
          <t>Active</t>
        </is>
      </c>
      <c r="H551" s="31" t="n"/>
      <c r="I551" s="32">
        <f>IF(OR($A551="",$G551&lt;&gt;"Active"),0,IF($H551&lt;&gt;"",$H551,IF($AO551&gt;0,$AP551,IF(AND($R551&lt;&gt;"",IFERROR(INDEX(Templates!$B$3:$H$10,MATCH($R551,Templates!$A$3:$A$10,0),MATCH($F551,Templates!$B$2:$H$2,0)),0)&gt;0),INDEX(Templates!$B$3:$H$10,MATCH($R551,Templates!$A$3:$A$10,0),MATCH($F551,Templates!$B$2:$H$2,0)),IFERROR(INDEX(Settings!$B$8:$B$14,MATCH($F551,Settings!$A$8:$A$14,0)),0)))))</f>
        <v/>
      </c>
      <c r="J551" s="21">
        <f>IF($C551="",0,IFERROR(INDEX(Deals!$H$2:$H$355,MATCH($C551,Deals!$A$2:$A$355,0)),0))</f>
        <v/>
      </c>
      <c r="K551" s="32">
        <f>IF(Settings!$B$4="Yes",$I551*$J551,$I551)</f>
        <v/>
      </c>
      <c r="L551" s="22">
        <f>IF($C551="","",IFERROR(IF(INDEX(Deals!$I$2:$I$355,MATCH($C551,Deals!$A$2:$A$355,0))=0,"",INDEX(Deals!$I$2:$I$355,MATCH($C551,Deals!$A$2:$A$355,0))),""))</f>
        <v/>
      </c>
      <c r="M551" s="22">
        <f>IF($C551="","",IFERROR(IF(INDEX(Deals!$J$2:$J$355,MATCH($C551,Deals!$A$2:$A$355,0))=0,"",INDEX(Deals!$J$2:$J$355,MATCH($C551,Deals!$A$2:$A$355,0))),""))</f>
        <v/>
      </c>
      <c r="N551" s="35">
        <f>IF($L551="",DATE(1900,1,1),$L551)</f>
        <v/>
      </c>
      <c r="O551" s="35">
        <f>IF($M551="",DATE(2100,12,31),$M551)</f>
        <v/>
      </c>
      <c r="P551" s="20" t="inlineStr"/>
      <c r="Q551" s="47" t="inlineStr"/>
      <c r="R551" s="16">
        <f>IF($C551="","",IFERROR(IF(INDEX(Deals!$U$2:$U$355,MATCH($C551,Deals!$A$2:$A$355,0))=0,"",INDEX(Deals!$U$2:$U$355,MATCH($C551,Deals!$A$2:$A$355,0))),""))</f>
        <v/>
      </c>
      <c r="S551" s="34">
        <f>IFERROR(IF($U551="",1,INDEX(Deals!$V$2:$V$355,MATCH($C551,Deals!$A$2:$A$355,0))),1)</f>
        <v/>
      </c>
      <c r="T551" s="34">
        <f>IFERROR(IF($U551="",1,INDEX(Deals!$W$2:$W$355,MATCH($C551,Deals!$A$2:$A$355,0))),1)</f>
        <v/>
      </c>
      <c r="U551" s="22">
        <f>IF($C551="","",IFERROR(IF(INDEX(Deals!$Y$2:$Y$355,MATCH($C551,Deals!$A$2:$A$355,0))=0,"",INDEX(Deals!$Y$2:$Y$355,MATCH($C551,Deals!$A$2:$A$355,0))),""))</f>
        <v/>
      </c>
      <c r="V551" s="35">
        <f>IF(OR($U551&lt;&gt;"",AND($AO551&gt;0,$L551&lt;&gt;"",$M551&lt;&gt;"")),$N551,DATE(1900,1,1))</f>
        <v/>
      </c>
      <c r="W551" s="35">
        <f>IF($U551&lt;&gt;"",$U551,IF(AND($AO551&gt;0,$L551&lt;&gt;"",$M551&lt;&gt;""),$O551,DATE(2100,12,31)))</f>
        <v/>
      </c>
      <c r="X551" s="32">
        <f>IF($U551="",$K551,$K551*$S551)</f>
        <v/>
      </c>
      <c r="Y551" s="35">
        <f>IF($U551="",DATE(2100,12,31),$U551+1)</f>
        <v/>
      </c>
      <c r="Z551" s="35">
        <f>IF($U551="",DATE(1900,1,1),$O551)</f>
        <v/>
      </c>
      <c r="AA551" s="32">
        <f>IF($U551="",0,$K551*$T551)</f>
        <v/>
      </c>
      <c r="AB551" s="21">
        <f>IF($C551="",0,IFERROR(INDEX(Deals!$AD$2:$AD$355,MATCH($C551,Deals!$A$2:$A$355,0)),0))</f>
        <v/>
      </c>
      <c r="AC551" s="32">
        <f>IF(Settings!$B$4="Yes",$I551*$AB551,$I551)</f>
        <v/>
      </c>
      <c r="AD551" s="22">
        <f>IF($C551="","",IFERROR(IF(INDEX(Deals!$AE$2:$AE$355,MATCH($C551,Deals!$A$2:$A$355,0))=0,"",INDEX(Deals!$AE$2:$AE$355,MATCH($C551,Deals!$A$2:$A$355,0))),""))</f>
        <v/>
      </c>
      <c r="AE551" s="22">
        <f>IF($C551="","",IFERROR(IF(INDEX(Deals!$AF$2:$AF$355,MATCH($C551,Deals!$A$2:$A$355,0))=0,"",INDEX(Deals!$AF$2:$AF$355,MATCH($C551,Deals!$A$2:$A$355,0))),""))</f>
        <v/>
      </c>
      <c r="AF551" s="35">
        <f>IF($AD551="",DATE(1900,1,1),$AD551)</f>
        <v/>
      </c>
      <c r="AG551" s="35">
        <f>IF($AE551="",DATE(2100,12,31),$AE551)</f>
        <v/>
      </c>
      <c r="AH551" s="22">
        <f>IF($C551="","",IFERROR(IF(INDEX(Deals!$AG$2:$AG$355,MATCH($C551,Deals!$A$2:$A$355,0))=0,"",INDEX(Deals!$AG$2:$AG$355,MATCH($C551,Deals!$A$2:$A$355,0))),""))</f>
        <v/>
      </c>
      <c r="AI551" s="35">
        <f>IF(OR($AH551&lt;&gt;"",AND($AO551&gt;0,$AD551&lt;&gt;"",$AE551&lt;&gt;"")),$AF551,DATE(1900,1,1))</f>
        <v/>
      </c>
      <c r="AJ551" s="35">
        <f>IF($AH551&lt;&gt;"",$AH551,IF(AND($AO551&gt;0,$AD551&lt;&gt;"",$AE551&lt;&gt;""),$AG551,DATE(2100,12,31)))</f>
        <v/>
      </c>
      <c r="AK551" s="32">
        <f>IF($AH551="",$AC551,$AC551*$S551)</f>
        <v/>
      </c>
      <c r="AL551" s="35">
        <f>IF($AH551="",DATE(2100,12,31),$AH551+1)</f>
        <v/>
      </c>
      <c r="AM551" s="35">
        <f>IF($AH551="",DATE(1900,1,1),$AG551)</f>
        <v/>
      </c>
      <c r="AN551" s="32">
        <f>IF($AH551="",0,$AC551*$T551)</f>
        <v/>
      </c>
      <c r="AO551" s="46">
        <f>IF($C551="",0,IFERROR(INDEX(Deals!$BD$2:$BD$355,MATCH($C551,Deals!$A$2:$A$355,0)),0))</f>
        <v/>
      </c>
      <c r="AP551" s="18">
        <f>IF($AO551=0,0,IFERROR(INDEX(Deals!$BJ$2:$BP$355,MATCH($C551,Deals!$A$2:$A$355,0),MATCH($F551,Deals!$BJ$1:$BP$1,0))/COUNTIFS(Assignments!$C$2:$C$769,$C551,Assignments!$F$2:$F$769,$F551,Assignments!$G$2:$G$769,"Active"),0))</f>
        <v/>
      </c>
    </row>
    <row r="552">
      <c r="A552" s="28" t="inlineStr">
        <is>
          <t>Dorian</t>
        </is>
      </c>
      <c r="B552" s="16">
        <f>IF($A552="","",IFERROR(INDEX(Roster!$B$2:$B$40,MATCH($A552,Roster!$A$2:$A$40,0)),"?"))</f>
        <v/>
      </c>
      <c r="C552" s="28" t="inlineStr">
        <is>
          <t>Etonia_1</t>
        </is>
      </c>
      <c r="D552" s="16">
        <f>IF($C552="","",IFERROR(IF(INDEX(Deals!$C$2:$C$355,MATCH($C552,Deals!$A$2:$A$355,0))=0,"",INDEX(Deals!$C$2:$C$355,MATCH($C552,Deals!$A$2:$A$355,0))),"?"))</f>
        <v/>
      </c>
      <c r="E552" s="16">
        <f>IF($C552="","",IFERROR(INDEX(Deals!$F$2:$F$355,MATCH($C552,Deals!$A$2:$A$355,0)),"?"))</f>
        <v/>
      </c>
      <c r="F552" s="28" t="inlineStr">
        <is>
          <t>Renewable Specialist</t>
        </is>
      </c>
      <c r="G552" s="28" t="inlineStr">
        <is>
          <t>Active</t>
        </is>
      </c>
      <c r="H552" s="31" t="n"/>
      <c r="I552" s="32">
        <f>IF(OR($A552="",$G552&lt;&gt;"Active"),0,IF($H552&lt;&gt;"",$H552,IF($AO552&gt;0,$AP552,IF(AND($R552&lt;&gt;"",IFERROR(INDEX(Templates!$B$3:$H$10,MATCH($R552,Templates!$A$3:$A$10,0),MATCH($F552,Templates!$B$2:$H$2,0)),0)&gt;0),INDEX(Templates!$B$3:$H$10,MATCH($R552,Templates!$A$3:$A$10,0),MATCH($F552,Templates!$B$2:$H$2,0)),IFERROR(INDEX(Settings!$B$8:$B$14,MATCH($F552,Settings!$A$8:$A$14,0)),0)))))</f>
        <v/>
      </c>
      <c r="J552" s="21">
        <f>IF($C552="",0,IFERROR(INDEX(Deals!$H$2:$H$355,MATCH($C552,Deals!$A$2:$A$355,0)),0))</f>
        <v/>
      </c>
      <c r="K552" s="32">
        <f>IF(Settings!$B$4="Yes",$I552*$J552,$I552)</f>
        <v/>
      </c>
      <c r="L552" s="22">
        <f>IF($C552="","",IFERROR(IF(INDEX(Deals!$I$2:$I$355,MATCH($C552,Deals!$A$2:$A$355,0))=0,"",INDEX(Deals!$I$2:$I$355,MATCH($C552,Deals!$A$2:$A$355,0))),""))</f>
        <v/>
      </c>
      <c r="M552" s="22">
        <f>IF($C552="","",IFERROR(IF(INDEX(Deals!$J$2:$J$355,MATCH($C552,Deals!$A$2:$A$355,0))=0,"",INDEX(Deals!$J$2:$J$355,MATCH($C552,Deals!$A$2:$A$355,0))),""))</f>
        <v/>
      </c>
      <c r="N552" s="35">
        <f>IF($L552="",DATE(1900,1,1),$L552)</f>
        <v/>
      </c>
      <c r="O552" s="35">
        <f>IF($M552="",DATE(2100,12,31),$M552)</f>
        <v/>
      </c>
      <c r="P552" s="20" t="inlineStr"/>
      <c r="Q552" s="47" t="inlineStr"/>
      <c r="R552" s="16">
        <f>IF($C552="","",IFERROR(IF(INDEX(Deals!$U$2:$U$355,MATCH($C552,Deals!$A$2:$A$355,0))=0,"",INDEX(Deals!$U$2:$U$355,MATCH($C552,Deals!$A$2:$A$355,0))),""))</f>
        <v/>
      </c>
      <c r="S552" s="34">
        <f>IFERROR(IF($U552="",1,INDEX(Deals!$V$2:$V$355,MATCH($C552,Deals!$A$2:$A$355,0))),1)</f>
        <v/>
      </c>
      <c r="T552" s="34">
        <f>IFERROR(IF($U552="",1,INDEX(Deals!$W$2:$W$355,MATCH($C552,Deals!$A$2:$A$355,0))),1)</f>
        <v/>
      </c>
      <c r="U552" s="22">
        <f>IF($C552="","",IFERROR(IF(INDEX(Deals!$Y$2:$Y$355,MATCH($C552,Deals!$A$2:$A$355,0))=0,"",INDEX(Deals!$Y$2:$Y$355,MATCH($C552,Deals!$A$2:$A$355,0))),""))</f>
        <v/>
      </c>
      <c r="V552" s="35">
        <f>IF(OR($U552&lt;&gt;"",AND($AO552&gt;0,$L552&lt;&gt;"",$M552&lt;&gt;"")),$N552,DATE(1900,1,1))</f>
        <v/>
      </c>
      <c r="W552" s="35">
        <f>IF($U552&lt;&gt;"",$U552,IF(AND($AO552&gt;0,$L552&lt;&gt;"",$M552&lt;&gt;""),$O552,DATE(2100,12,31)))</f>
        <v/>
      </c>
      <c r="X552" s="32">
        <f>IF($U552="",$K552,$K552*$S552)</f>
        <v/>
      </c>
      <c r="Y552" s="35">
        <f>IF($U552="",DATE(2100,12,31),$U552+1)</f>
        <v/>
      </c>
      <c r="Z552" s="35">
        <f>IF($U552="",DATE(1900,1,1),$O552)</f>
        <v/>
      </c>
      <c r="AA552" s="32">
        <f>IF($U552="",0,$K552*$T552)</f>
        <v/>
      </c>
      <c r="AB552" s="21">
        <f>IF($C552="",0,IFERROR(INDEX(Deals!$AD$2:$AD$355,MATCH($C552,Deals!$A$2:$A$355,0)),0))</f>
        <v/>
      </c>
      <c r="AC552" s="32">
        <f>IF(Settings!$B$4="Yes",$I552*$AB552,$I552)</f>
        <v/>
      </c>
      <c r="AD552" s="22">
        <f>IF($C552="","",IFERROR(IF(INDEX(Deals!$AE$2:$AE$355,MATCH($C552,Deals!$A$2:$A$355,0))=0,"",INDEX(Deals!$AE$2:$AE$355,MATCH($C552,Deals!$A$2:$A$355,0))),""))</f>
        <v/>
      </c>
      <c r="AE552" s="22">
        <f>IF($C552="","",IFERROR(IF(INDEX(Deals!$AF$2:$AF$355,MATCH($C552,Deals!$A$2:$A$355,0))=0,"",INDEX(Deals!$AF$2:$AF$355,MATCH($C552,Deals!$A$2:$A$355,0))),""))</f>
        <v/>
      </c>
      <c r="AF552" s="35">
        <f>IF($AD552="",DATE(1900,1,1),$AD552)</f>
        <v/>
      </c>
      <c r="AG552" s="35">
        <f>IF($AE552="",DATE(2100,12,31),$AE552)</f>
        <v/>
      </c>
      <c r="AH552" s="22">
        <f>IF($C552="","",IFERROR(IF(INDEX(Deals!$AG$2:$AG$355,MATCH($C552,Deals!$A$2:$A$355,0))=0,"",INDEX(Deals!$AG$2:$AG$355,MATCH($C552,Deals!$A$2:$A$355,0))),""))</f>
        <v/>
      </c>
      <c r="AI552" s="35">
        <f>IF(OR($AH552&lt;&gt;"",AND($AO552&gt;0,$AD552&lt;&gt;"",$AE552&lt;&gt;"")),$AF552,DATE(1900,1,1))</f>
        <v/>
      </c>
      <c r="AJ552" s="35">
        <f>IF($AH552&lt;&gt;"",$AH552,IF(AND($AO552&gt;0,$AD552&lt;&gt;"",$AE552&lt;&gt;""),$AG552,DATE(2100,12,31)))</f>
        <v/>
      </c>
      <c r="AK552" s="32">
        <f>IF($AH552="",$AC552,$AC552*$S552)</f>
        <v/>
      </c>
      <c r="AL552" s="35">
        <f>IF($AH552="",DATE(2100,12,31),$AH552+1)</f>
        <v/>
      </c>
      <c r="AM552" s="35">
        <f>IF($AH552="",DATE(1900,1,1),$AG552)</f>
        <v/>
      </c>
      <c r="AN552" s="32">
        <f>IF($AH552="",0,$AC552*$T552)</f>
        <v/>
      </c>
      <c r="AO552" s="46">
        <f>IF($C552="",0,IFERROR(INDEX(Deals!$BD$2:$BD$355,MATCH($C552,Deals!$A$2:$A$355,0)),0))</f>
        <v/>
      </c>
      <c r="AP552" s="18">
        <f>IF($AO552=0,0,IFERROR(INDEX(Deals!$BJ$2:$BP$355,MATCH($C552,Deals!$A$2:$A$355,0),MATCH($F552,Deals!$BJ$1:$BP$1,0))/COUNTIFS(Assignments!$C$2:$C$769,$C552,Assignments!$F$2:$F$769,$F552,Assignments!$G$2:$G$769,"Active"),0))</f>
        <v/>
      </c>
    </row>
    <row r="553">
      <c r="A553" s="28" t="inlineStr">
        <is>
          <t>Dorian</t>
        </is>
      </c>
      <c r="B553" s="16">
        <f>IF($A553="","",IFERROR(INDEX(Roster!$B$2:$B$40,MATCH($A553,Roster!$A$2:$A$40,0)),"?"))</f>
        <v/>
      </c>
      <c r="C553" s="28" t="inlineStr">
        <is>
          <t>Etude_2</t>
        </is>
      </c>
      <c r="D553" s="16">
        <f>IF($C553="","",IFERROR(IF(INDEX(Deals!$C$2:$C$355,MATCH($C553,Deals!$A$2:$A$355,0))=0,"",INDEX(Deals!$C$2:$C$355,MATCH($C553,Deals!$A$2:$A$355,0))),"?"))</f>
        <v/>
      </c>
      <c r="E553" s="16">
        <f>IF($C553="","",IFERROR(INDEX(Deals!$F$2:$F$355,MATCH($C553,Deals!$A$2:$A$355,0)),"?"))</f>
        <v/>
      </c>
      <c r="F553" s="28" t="inlineStr">
        <is>
          <t>Renewable Specialist</t>
        </is>
      </c>
      <c r="G553" s="28" t="inlineStr">
        <is>
          <t>Active</t>
        </is>
      </c>
      <c r="H553" s="31" t="n"/>
      <c r="I553" s="32">
        <f>IF(OR($A553="",$G553&lt;&gt;"Active"),0,IF($H553&lt;&gt;"",$H553,IF($AO553&gt;0,$AP553,IF(AND($R553&lt;&gt;"",IFERROR(INDEX(Templates!$B$3:$H$10,MATCH($R553,Templates!$A$3:$A$10,0),MATCH($F553,Templates!$B$2:$H$2,0)),0)&gt;0),INDEX(Templates!$B$3:$H$10,MATCH($R553,Templates!$A$3:$A$10,0),MATCH($F553,Templates!$B$2:$H$2,0)),IFERROR(INDEX(Settings!$B$8:$B$14,MATCH($F553,Settings!$A$8:$A$14,0)),0)))))</f>
        <v/>
      </c>
      <c r="J553" s="21">
        <f>IF($C553="",0,IFERROR(INDEX(Deals!$H$2:$H$355,MATCH($C553,Deals!$A$2:$A$355,0)),0))</f>
        <v/>
      </c>
      <c r="K553" s="32">
        <f>IF(Settings!$B$4="Yes",$I553*$J553,$I553)</f>
        <v/>
      </c>
      <c r="L553" s="22">
        <f>IF($C553="","",IFERROR(IF(INDEX(Deals!$I$2:$I$355,MATCH($C553,Deals!$A$2:$A$355,0))=0,"",INDEX(Deals!$I$2:$I$355,MATCH($C553,Deals!$A$2:$A$355,0))),""))</f>
        <v/>
      </c>
      <c r="M553" s="22">
        <f>IF($C553="","",IFERROR(IF(INDEX(Deals!$J$2:$J$355,MATCH($C553,Deals!$A$2:$A$355,0))=0,"",INDEX(Deals!$J$2:$J$355,MATCH($C553,Deals!$A$2:$A$355,0))),""))</f>
        <v/>
      </c>
      <c r="N553" s="35">
        <f>IF($L553="",DATE(1900,1,1),$L553)</f>
        <v/>
      </c>
      <c r="O553" s="35">
        <f>IF($M553="",DATE(2100,12,31),$M553)</f>
        <v/>
      </c>
      <c r="P553" s="20" t="inlineStr"/>
      <c r="Q553" s="47" t="inlineStr"/>
      <c r="R553" s="16">
        <f>IF($C553="","",IFERROR(IF(INDEX(Deals!$U$2:$U$355,MATCH($C553,Deals!$A$2:$A$355,0))=0,"",INDEX(Deals!$U$2:$U$355,MATCH($C553,Deals!$A$2:$A$355,0))),""))</f>
        <v/>
      </c>
      <c r="S553" s="34">
        <f>IFERROR(IF($U553="",1,INDEX(Deals!$V$2:$V$355,MATCH($C553,Deals!$A$2:$A$355,0))),1)</f>
        <v/>
      </c>
      <c r="T553" s="34">
        <f>IFERROR(IF($U553="",1,INDEX(Deals!$W$2:$W$355,MATCH($C553,Deals!$A$2:$A$355,0))),1)</f>
        <v/>
      </c>
      <c r="U553" s="22">
        <f>IF($C553="","",IFERROR(IF(INDEX(Deals!$Y$2:$Y$355,MATCH($C553,Deals!$A$2:$A$355,0))=0,"",INDEX(Deals!$Y$2:$Y$355,MATCH($C553,Deals!$A$2:$A$355,0))),""))</f>
        <v/>
      </c>
      <c r="V553" s="35">
        <f>IF(OR($U553&lt;&gt;"",AND($AO553&gt;0,$L553&lt;&gt;"",$M553&lt;&gt;"")),$N553,DATE(1900,1,1))</f>
        <v/>
      </c>
      <c r="W553" s="35">
        <f>IF($U553&lt;&gt;"",$U553,IF(AND($AO553&gt;0,$L553&lt;&gt;"",$M553&lt;&gt;""),$O553,DATE(2100,12,31)))</f>
        <v/>
      </c>
      <c r="X553" s="32">
        <f>IF($U553="",$K553,$K553*$S553)</f>
        <v/>
      </c>
      <c r="Y553" s="35">
        <f>IF($U553="",DATE(2100,12,31),$U553+1)</f>
        <v/>
      </c>
      <c r="Z553" s="35">
        <f>IF($U553="",DATE(1900,1,1),$O553)</f>
        <v/>
      </c>
      <c r="AA553" s="32">
        <f>IF($U553="",0,$K553*$T553)</f>
        <v/>
      </c>
      <c r="AB553" s="21">
        <f>IF($C553="",0,IFERROR(INDEX(Deals!$AD$2:$AD$355,MATCH($C553,Deals!$A$2:$A$355,0)),0))</f>
        <v/>
      </c>
      <c r="AC553" s="32">
        <f>IF(Settings!$B$4="Yes",$I553*$AB553,$I553)</f>
        <v/>
      </c>
      <c r="AD553" s="22">
        <f>IF($C553="","",IFERROR(IF(INDEX(Deals!$AE$2:$AE$355,MATCH($C553,Deals!$A$2:$A$355,0))=0,"",INDEX(Deals!$AE$2:$AE$355,MATCH($C553,Deals!$A$2:$A$355,0))),""))</f>
        <v/>
      </c>
      <c r="AE553" s="22">
        <f>IF($C553="","",IFERROR(IF(INDEX(Deals!$AF$2:$AF$355,MATCH($C553,Deals!$A$2:$A$355,0))=0,"",INDEX(Deals!$AF$2:$AF$355,MATCH($C553,Deals!$A$2:$A$355,0))),""))</f>
        <v/>
      </c>
      <c r="AF553" s="35">
        <f>IF($AD553="",DATE(1900,1,1),$AD553)</f>
        <v/>
      </c>
      <c r="AG553" s="35">
        <f>IF($AE553="",DATE(2100,12,31),$AE553)</f>
        <v/>
      </c>
      <c r="AH553" s="22">
        <f>IF($C553="","",IFERROR(IF(INDEX(Deals!$AG$2:$AG$355,MATCH($C553,Deals!$A$2:$A$355,0))=0,"",INDEX(Deals!$AG$2:$AG$355,MATCH($C553,Deals!$A$2:$A$355,0))),""))</f>
        <v/>
      </c>
      <c r="AI553" s="35">
        <f>IF(OR($AH553&lt;&gt;"",AND($AO553&gt;0,$AD553&lt;&gt;"",$AE553&lt;&gt;"")),$AF553,DATE(1900,1,1))</f>
        <v/>
      </c>
      <c r="AJ553" s="35">
        <f>IF($AH553&lt;&gt;"",$AH553,IF(AND($AO553&gt;0,$AD553&lt;&gt;"",$AE553&lt;&gt;""),$AG553,DATE(2100,12,31)))</f>
        <v/>
      </c>
      <c r="AK553" s="32">
        <f>IF($AH553="",$AC553,$AC553*$S553)</f>
        <v/>
      </c>
      <c r="AL553" s="35">
        <f>IF($AH553="",DATE(2100,12,31),$AH553+1)</f>
        <v/>
      </c>
      <c r="AM553" s="35">
        <f>IF($AH553="",DATE(1900,1,1),$AG553)</f>
        <v/>
      </c>
      <c r="AN553" s="32">
        <f>IF($AH553="",0,$AC553*$T553)</f>
        <v/>
      </c>
      <c r="AO553" s="46">
        <f>IF($C553="",0,IFERROR(INDEX(Deals!$BD$2:$BD$355,MATCH($C553,Deals!$A$2:$A$355,0)),0))</f>
        <v/>
      </c>
      <c r="AP553" s="18">
        <f>IF($AO553=0,0,IFERROR(INDEX(Deals!$BJ$2:$BP$355,MATCH($C553,Deals!$A$2:$A$355,0),MATCH($F553,Deals!$BJ$1:$BP$1,0))/COUNTIFS(Assignments!$C$2:$C$769,$C553,Assignments!$F$2:$F$769,$F553,Assignments!$G$2:$G$769,"Active"),0))</f>
        <v/>
      </c>
    </row>
    <row r="554">
      <c r="A554" s="28" t="inlineStr">
        <is>
          <t>Dorian</t>
        </is>
      </c>
      <c r="B554" s="16">
        <f>IF($A554="","",IFERROR(INDEX(Roster!$B$2:$B$40,MATCH($A554,Roster!$A$2:$A$40,0)),"?"))</f>
        <v/>
      </c>
      <c r="C554" s="28" t="inlineStr">
        <is>
          <t>Fortress_3</t>
        </is>
      </c>
      <c r="D554" s="16">
        <f>IF($C554="","",IFERROR(IF(INDEX(Deals!$C$2:$C$355,MATCH($C554,Deals!$A$2:$A$355,0))=0,"",INDEX(Deals!$C$2:$C$355,MATCH($C554,Deals!$A$2:$A$355,0))),"?"))</f>
        <v/>
      </c>
      <c r="E554" s="16">
        <f>IF($C554="","",IFERROR(INDEX(Deals!$F$2:$F$355,MATCH($C554,Deals!$A$2:$A$355,0)),"?"))</f>
        <v/>
      </c>
      <c r="F554" s="28" t="inlineStr">
        <is>
          <t>Renewable Specialist</t>
        </is>
      </c>
      <c r="G554" s="28" t="inlineStr">
        <is>
          <t>Active</t>
        </is>
      </c>
      <c r="H554" s="31" t="n"/>
      <c r="I554" s="32">
        <f>IF(OR($A554="",$G554&lt;&gt;"Active"),0,IF($H554&lt;&gt;"",$H554,IF($AO554&gt;0,$AP554,IF(AND($R554&lt;&gt;"",IFERROR(INDEX(Templates!$B$3:$H$10,MATCH($R554,Templates!$A$3:$A$10,0),MATCH($F554,Templates!$B$2:$H$2,0)),0)&gt;0),INDEX(Templates!$B$3:$H$10,MATCH($R554,Templates!$A$3:$A$10,0),MATCH($F554,Templates!$B$2:$H$2,0)),IFERROR(INDEX(Settings!$B$8:$B$14,MATCH($F554,Settings!$A$8:$A$14,0)),0)))))</f>
        <v/>
      </c>
      <c r="J554" s="21">
        <f>IF($C554="",0,IFERROR(INDEX(Deals!$H$2:$H$355,MATCH($C554,Deals!$A$2:$A$355,0)),0))</f>
        <v/>
      </c>
      <c r="K554" s="32">
        <f>IF(Settings!$B$4="Yes",$I554*$J554,$I554)</f>
        <v/>
      </c>
      <c r="L554" s="22">
        <f>IF($C554="","",IFERROR(IF(INDEX(Deals!$I$2:$I$355,MATCH($C554,Deals!$A$2:$A$355,0))=0,"",INDEX(Deals!$I$2:$I$355,MATCH($C554,Deals!$A$2:$A$355,0))),""))</f>
        <v/>
      </c>
      <c r="M554" s="22">
        <f>IF($C554="","",IFERROR(IF(INDEX(Deals!$J$2:$J$355,MATCH($C554,Deals!$A$2:$A$355,0))=0,"",INDEX(Deals!$J$2:$J$355,MATCH($C554,Deals!$A$2:$A$355,0))),""))</f>
        <v/>
      </c>
      <c r="N554" s="35">
        <f>IF($L554="",DATE(1900,1,1),$L554)</f>
        <v/>
      </c>
      <c r="O554" s="35">
        <f>IF($M554="",DATE(2100,12,31),$M554)</f>
        <v/>
      </c>
      <c r="P554" s="20" t="inlineStr"/>
      <c r="Q554" s="47" t="inlineStr"/>
      <c r="R554" s="16">
        <f>IF($C554="","",IFERROR(IF(INDEX(Deals!$U$2:$U$355,MATCH($C554,Deals!$A$2:$A$355,0))=0,"",INDEX(Deals!$U$2:$U$355,MATCH($C554,Deals!$A$2:$A$355,0))),""))</f>
        <v/>
      </c>
      <c r="S554" s="34">
        <f>IFERROR(IF($U554="",1,INDEX(Deals!$V$2:$V$355,MATCH($C554,Deals!$A$2:$A$355,0))),1)</f>
        <v/>
      </c>
      <c r="T554" s="34">
        <f>IFERROR(IF($U554="",1,INDEX(Deals!$W$2:$W$355,MATCH($C554,Deals!$A$2:$A$355,0))),1)</f>
        <v/>
      </c>
      <c r="U554" s="22">
        <f>IF($C554="","",IFERROR(IF(INDEX(Deals!$Y$2:$Y$355,MATCH($C554,Deals!$A$2:$A$355,0))=0,"",INDEX(Deals!$Y$2:$Y$355,MATCH($C554,Deals!$A$2:$A$355,0))),""))</f>
        <v/>
      </c>
      <c r="V554" s="35">
        <f>IF(OR($U554&lt;&gt;"",AND($AO554&gt;0,$L554&lt;&gt;"",$M554&lt;&gt;"")),$N554,DATE(1900,1,1))</f>
        <v/>
      </c>
      <c r="W554" s="35">
        <f>IF($U554&lt;&gt;"",$U554,IF(AND($AO554&gt;0,$L554&lt;&gt;"",$M554&lt;&gt;""),$O554,DATE(2100,12,31)))</f>
        <v/>
      </c>
      <c r="X554" s="32">
        <f>IF($U554="",$K554,$K554*$S554)</f>
        <v/>
      </c>
      <c r="Y554" s="35">
        <f>IF($U554="",DATE(2100,12,31),$U554+1)</f>
        <v/>
      </c>
      <c r="Z554" s="35">
        <f>IF($U554="",DATE(1900,1,1),$O554)</f>
        <v/>
      </c>
      <c r="AA554" s="32">
        <f>IF($U554="",0,$K554*$T554)</f>
        <v/>
      </c>
      <c r="AB554" s="21">
        <f>IF($C554="",0,IFERROR(INDEX(Deals!$AD$2:$AD$355,MATCH($C554,Deals!$A$2:$A$355,0)),0))</f>
        <v/>
      </c>
      <c r="AC554" s="32">
        <f>IF(Settings!$B$4="Yes",$I554*$AB554,$I554)</f>
        <v/>
      </c>
      <c r="AD554" s="22">
        <f>IF($C554="","",IFERROR(IF(INDEX(Deals!$AE$2:$AE$355,MATCH($C554,Deals!$A$2:$A$355,0))=0,"",INDEX(Deals!$AE$2:$AE$355,MATCH($C554,Deals!$A$2:$A$355,0))),""))</f>
        <v/>
      </c>
      <c r="AE554" s="22">
        <f>IF($C554="","",IFERROR(IF(INDEX(Deals!$AF$2:$AF$355,MATCH($C554,Deals!$A$2:$A$355,0))=0,"",INDEX(Deals!$AF$2:$AF$355,MATCH($C554,Deals!$A$2:$A$355,0))),""))</f>
        <v/>
      </c>
      <c r="AF554" s="35">
        <f>IF($AD554="",DATE(1900,1,1),$AD554)</f>
        <v/>
      </c>
      <c r="AG554" s="35">
        <f>IF($AE554="",DATE(2100,12,31),$AE554)</f>
        <v/>
      </c>
      <c r="AH554" s="22">
        <f>IF($C554="","",IFERROR(IF(INDEX(Deals!$AG$2:$AG$355,MATCH($C554,Deals!$A$2:$A$355,0))=0,"",INDEX(Deals!$AG$2:$AG$355,MATCH($C554,Deals!$A$2:$A$355,0))),""))</f>
        <v/>
      </c>
      <c r="AI554" s="35">
        <f>IF(OR($AH554&lt;&gt;"",AND($AO554&gt;0,$AD554&lt;&gt;"",$AE554&lt;&gt;"")),$AF554,DATE(1900,1,1))</f>
        <v/>
      </c>
      <c r="AJ554" s="35">
        <f>IF($AH554&lt;&gt;"",$AH554,IF(AND($AO554&gt;0,$AD554&lt;&gt;"",$AE554&lt;&gt;""),$AG554,DATE(2100,12,31)))</f>
        <v/>
      </c>
      <c r="AK554" s="32">
        <f>IF($AH554="",$AC554,$AC554*$S554)</f>
        <v/>
      </c>
      <c r="AL554" s="35">
        <f>IF($AH554="",DATE(2100,12,31),$AH554+1)</f>
        <v/>
      </c>
      <c r="AM554" s="35">
        <f>IF($AH554="",DATE(1900,1,1),$AG554)</f>
        <v/>
      </c>
      <c r="AN554" s="32">
        <f>IF($AH554="",0,$AC554*$T554)</f>
        <v/>
      </c>
      <c r="AO554" s="46">
        <f>IF($C554="",0,IFERROR(INDEX(Deals!$BD$2:$BD$355,MATCH($C554,Deals!$A$2:$A$355,0)),0))</f>
        <v/>
      </c>
      <c r="AP554" s="18">
        <f>IF($AO554=0,0,IFERROR(INDEX(Deals!$BJ$2:$BP$355,MATCH($C554,Deals!$A$2:$A$355,0),MATCH($F554,Deals!$BJ$1:$BP$1,0))/COUNTIFS(Assignments!$C$2:$C$769,$C554,Assignments!$F$2:$F$769,$F554,Assignments!$G$2:$G$769,"Active"),0))</f>
        <v/>
      </c>
    </row>
    <row r="555">
      <c r="A555" s="28" t="inlineStr">
        <is>
          <t>Dorian</t>
        </is>
      </c>
      <c r="B555" s="16">
        <f>IF($A555="","",IFERROR(INDEX(Roster!$B$2:$B$40,MATCH($A555,Roster!$A$2:$A$40,0)),"?"))</f>
        <v/>
      </c>
      <c r="C555" s="28" t="inlineStr">
        <is>
          <t>Gravel_1</t>
        </is>
      </c>
      <c r="D555" s="16">
        <f>IF($C555="","",IFERROR(IF(INDEX(Deals!$C$2:$C$355,MATCH($C555,Deals!$A$2:$A$355,0))=0,"",INDEX(Deals!$C$2:$C$355,MATCH($C555,Deals!$A$2:$A$355,0))),"?"))</f>
        <v/>
      </c>
      <c r="E555" s="16">
        <f>IF($C555="","",IFERROR(INDEX(Deals!$F$2:$F$355,MATCH($C555,Deals!$A$2:$A$355,0)),"?"))</f>
        <v/>
      </c>
      <c r="F555" s="28" t="inlineStr">
        <is>
          <t>Renewable Specialist</t>
        </is>
      </c>
      <c r="G555" s="28" t="inlineStr">
        <is>
          <t>Active</t>
        </is>
      </c>
      <c r="H555" s="31" t="n"/>
      <c r="I555" s="32">
        <f>IF(OR($A555="",$G555&lt;&gt;"Active"),0,IF($H555&lt;&gt;"",$H555,IF($AO555&gt;0,$AP555,IF(AND($R555&lt;&gt;"",IFERROR(INDEX(Templates!$B$3:$H$10,MATCH($R555,Templates!$A$3:$A$10,0),MATCH($F555,Templates!$B$2:$H$2,0)),0)&gt;0),INDEX(Templates!$B$3:$H$10,MATCH($R555,Templates!$A$3:$A$10,0),MATCH($F555,Templates!$B$2:$H$2,0)),IFERROR(INDEX(Settings!$B$8:$B$14,MATCH($F555,Settings!$A$8:$A$14,0)),0)))))</f>
        <v/>
      </c>
      <c r="J555" s="21">
        <f>IF($C555="",0,IFERROR(INDEX(Deals!$H$2:$H$355,MATCH($C555,Deals!$A$2:$A$355,0)),0))</f>
        <v/>
      </c>
      <c r="K555" s="32">
        <f>IF(Settings!$B$4="Yes",$I555*$J555,$I555)</f>
        <v/>
      </c>
      <c r="L555" s="22">
        <f>IF($C555="","",IFERROR(IF(INDEX(Deals!$I$2:$I$355,MATCH($C555,Deals!$A$2:$A$355,0))=0,"",INDEX(Deals!$I$2:$I$355,MATCH($C555,Deals!$A$2:$A$355,0))),""))</f>
        <v/>
      </c>
      <c r="M555" s="22">
        <f>IF($C555="","",IFERROR(IF(INDEX(Deals!$J$2:$J$355,MATCH($C555,Deals!$A$2:$A$355,0))=0,"",INDEX(Deals!$J$2:$J$355,MATCH($C555,Deals!$A$2:$A$355,0))),""))</f>
        <v/>
      </c>
      <c r="N555" s="35">
        <f>IF($L555="",DATE(1900,1,1),$L555)</f>
        <v/>
      </c>
      <c r="O555" s="35">
        <f>IF($M555="",DATE(2100,12,31),$M555)</f>
        <v/>
      </c>
      <c r="P555" s="20" t="inlineStr"/>
      <c r="Q555" s="47" t="inlineStr"/>
      <c r="R555" s="16">
        <f>IF($C555="","",IFERROR(IF(INDEX(Deals!$U$2:$U$355,MATCH($C555,Deals!$A$2:$A$355,0))=0,"",INDEX(Deals!$U$2:$U$355,MATCH($C555,Deals!$A$2:$A$355,0))),""))</f>
        <v/>
      </c>
      <c r="S555" s="34">
        <f>IFERROR(IF($U555="",1,INDEX(Deals!$V$2:$V$355,MATCH($C555,Deals!$A$2:$A$355,0))),1)</f>
        <v/>
      </c>
      <c r="T555" s="34">
        <f>IFERROR(IF($U555="",1,INDEX(Deals!$W$2:$W$355,MATCH($C555,Deals!$A$2:$A$355,0))),1)</f>
        <v/>
      </c>
      <c r="U555" s="22">
        <f>IF($C555="","",IFERROR(IF(INDEX(Deals!$Y$2:$Y$355,MATCH($C555,Deals!$A$2:$A$355,0))=0,"",INDEX(Deals!$Y$2:$Y$355,MATCH($C555,Deals!$A$2:$A$355,0))),""))</f>
        <v/>
      </c>
      <c r="V555" s="35">
        <f>IF(OR($U555&lt;&gt;"",AND($AO555&gt;0,$L555&lt;&gt;"",$M555&lt;&gt;"")),$N555,DATE(1900,1,1))</f>
        <v/>
      </c>
      <c r="W555" s="35">
        <f>IF($U555&lt;&gt;"",$U555,IF(AND($AO555&gt;0,$L555&lt;&gt;"",$M555&lt;&gt;""),$O555,DATE(2100,12,31)))</f>
        <v/>
      </c>
      <c r="X555" s="32">
        <f>IF($U555="",$K555,$K555*$S555)</f>
        <v/>
      </c>
      <c r="Y555" s="35">
        <f>IF($U555="",DATE(2100,12,31),$U555+1)</f>
        <v/>
      </c>
      <c r="Z555" s="35">
        <f>IF($U555="",DATE(1900,1,1),$O555)</f>
        <v/>
      </c>
      <c r="AA555" s="32">
        <f>IF($U555="",0,$K555*$T555)</f>
        <v/>
      </c>
      <c r="AB555" s="21">
        <f>IF($C555="",0,IFERROR(INDEX(Deals!$AD$2:$AD$355,MATCH($C555,Deals!$A$2:$A$355,0)),0))</f>
        <v/>
      </c>
      <c r="AC555" s="32">
        <f>IF(Settings!$B$4="Yes",$I555*$AB555,$I555)</f>
        <v/>
      </c>
      <c r="AD555" s="22">
        <f>IF($C555="","",IFERROR(IF(INDEX(Deals!$AE$2:$AE$355,MATCH($C555,Deals!$A$2:$A$355,0))=0,"",INDEX(Deals!$AE$2:$AE$355,MATCH($C555,Deals!$A$2:$A$355,0))),""))</f>
        <v/>
      </c>
      <c r="AE555" s="22">
        <f>IF($C555="","",IFERROR(IF(INDEX(Deals!$AF$2:$AF$355,MATCH($C555,Deals!$A$2:$A$355,0))=0,"",INDEX(Deals!$AF$2:$AF$355,MATCH($C555,Deals!$A$2:$A$355,0))),""))</f>
        <v/>
      </c>
      <c r="AF555" s="35">
        <f>IF($AD555="",DATE(1900,1,1),$AD555)</f>
        <v/>
      </c>
      <c r="AG555" s="35">
        <f>IF($AE555="",DATE(2100,12,31),$AE555)</f>
        <v/>
      </c>
      <c r="AH555" s="22">
        <f>IF($C555="","",IFERROR(IF(INDEX(Deals!$AG$2:$AG$355,MATCH($C555,Deals!$A$2:$A$355,0))=0,"",INDEX(Deals!$AG$2:$AG$355,MATCH($C555,Deals!$A$2:$A$355,0))),""))</f>
        <v/>
      </c>
      <c r="AI555" s="35">
        <f>IF(OR($AH555&lt;&gt;"",AND($AO555&gt;0,$AD555&lt;&gt;"",$AE555&lt;&gt;"")),$AF555,DATE(1900,1,1))</f>
        <v/>
      </c>
      <c r="AJ555" s="35">
        <f>IF($AH555&lt;&gt;"",$AH555,IF(AND($AO555&gt;0,$AD555&lt;&gt;"",$AE555&lt;&gt;""),$AG555,DATE(2100,12,31)))</f>
        <v/>
      </c>
      <c r="AK555" s="32">
        <f>IF($AH555="",$AC555,$AC555*$S555)</f>
        <v/>
      </c>
      <c r="AL555" s="35">
        <f>IF($AH555="",DATE(2100,12,31),$AH555+1)</f>
        <v/>
      </c>
      <c r="AM555" s="35">
        <f>IF($AH555="",DATE(1900,1,1),$AG555)</f>
        <v/>
      </c>
      <c r="AN555" s="32">
        <f>IF($AH555="",0,$AC555*$T555)</f>
        <v/>
      </c>
      <c r="AO555" s="46">
        <f>IF($C555="",0,IFERROR(INDEX(Deals!$BD$2:$BD$355,MATCH($C555,Deals!$A$2:$A$355,0)),0))</f>
        <v/>
      </c>
      <c r="AP555" s="18">
        <f>IF($AO555=0,0,IFERROR(INDEX(Deals!$BJ$2:$BP$355,MATCH($C555,Deals!$A$2:$A$355,0),MATCH($F555,Deals!$BJ$1:$BP$1,0))/COUNTIFS(Assignments!$C$2:$C$769,$C555,Assignments!$F$2:$F$769,$F555,Assignments!$G$2:$G$769,"Active"),0))</f>
        <v/>
      </c>
    </row>
    <row r="556">
      <c r="A556" s="28" t="inlineStr">
        <is>
          <t>Dorian</t>
        </is>
      </c>
      <c r="B556" s="16">
        <f>IF($A556="","",IFERROR(INDEX(Roster!$B$2:$B$40,MATCH($A556,Roster!$A$2:$A$40,0)),"?"))</f>
        <v/>
      </c>
      <c r="C556" s="28" t="inlineStr">
        <is>
          <t>Hidden _1</t>
        </is>
      </c>
      <c r="D556" s="16">
        <f>IF($C556="","",IFERROR(IF(INDEX(Deals!$C$2:$C$355,MATCH($C556,Deals!$A$2:$A$355,0))=0,"",INDEX(Deals!$C$2:$C$355,MATCH($C556,Deals!$A$2:$A$355,0))),"?"))</f>
        <v/>
      </c>
      <c r="E556" s="16">
        <f>IF($C556="","",IFERROR(INDEX(Deals!$F$2:$F$355,MATCH($C556,Deals!$A$2:$A$355,0)),"?"))</f>
        <v/>
      </c>
      <c r="F556" s="28" t="inlineStr">
        <is>
          <t>Renewable Specialist</t>
        </is>
      </c>
      <c r="G556" s="28" t="inlineStr">
        <is>
          <t>Active</t>
        </is>
      </c>
      <c r="H556" s="31" t="n"/>
      <c r="I556" s="32">
        <f>IF(OR($A556="",$G556&lt;&gt;"Active"),0,IF($H556&lt;&gt;"",$H556,IF($AO556&gt;0,$AP556,IF(AND($R556&lt;&gt;"",IFERROR(INDEX(Templates!$B$3:$H$10,MATCH($R556,Templates!$A$3:$A$10,0),MATCH($F556,Templates!$B$2:$H$2,0)),0)&gt;0),INDEX(Templates!$B$3:$H$10,MATCH($R556,Templates!$A$3:$A$10,0),MATCH($F556,Templates!$B$2:$H$2,0)),IFERROR(INDEX(Settings!$B$8:$B$14,MATCH($F556,Settings!$A$8:$A$14,0)),0)))))</f>
        <v/>
      </c>
      <c r="J556" s="21">
        <f>IF($C556="",0,IFERROR(INDEX(Deals!$H$2:$H$355,MATCH($C556,Deals!$A$2:$A$355,0)),0))</f>
        <v/>
      </c>
      <c r="K556" s="32">
        <f>IF(Settings!$B$4="Yes",$I556*$J556,$I556)</f>
        <v/>
      </c>
      <c r="L556" s="22">
        <f>IF($C556="","",IFERROR(IF(INDEX(Deals!$I$2:$I$355,MATCH($C556,Deals!$A$2:$A$355,0))=0,"",INDEX(Deals!$I$2:$I$355,MATCH($C556,Deals!$A$2:$A$355,0))),""))</f>
        <v/>
      </c>
      <c r="M556" s="22">
        <f>IF($C556="","",IFERROR(IF(INDEX(Deals!$J$2:$J$355,MATCH($C556,Deals!$A$2:$A$355,0))=0,"",INDEX(Deals!$J$2:$J$355,MATCH($C556,Deals!$A$2:$A$355,0))),""))</f>
        <v/>
      </c>
      <c r="N556" s="35">
        <f>IF($L556="",DATE(1900,1,1),$L556)</f>
        <v/>
      </c>
      <c r="O556" s="35">
        <f>IF($M556="",DATE(2100,12,31),$M556)</f>
        <v/>
      </c>
      <c r="P556" s="20" t="inlineStr"/>
      <c r="Q556" s="47" t="inlineStr"/>
      <c r="R556" s="16">
        <f>IF($C556="","",IFERROR(IF(INDEX(Deals!$U$2:$U$355,MATCH($C556,Deals!$A$2:$A$355,0))=0,"",INDEX(Deals!$U$2:$U$355,MATCH($C556,Deals!$A$2:$A$355,0))),""))</f>
        <v/>
      </c>
      <c r="S556" s="34">
        <f>IFERROR(IF($U556="",1,INDEX(Deals!$V$2:$V$355,MATCH($C556,Deals!$A$2:$A$355,0))),1)</f>
        <v/>
      </c>
      <c r="T556" s="34">
        <f>IFERROR(IF($U556="",1,INDEX(Deals!$W$2:$W$355,MATCH($C556,Deals!$A$2:$A$355,0))),1)</f>
        <v/>
      </c>
      <c r="U556" s="22">
        <f>IF($C556="","",IFERROR(IF(INDEX(Deals!$Y$2:$Y$355,MATCH($C556,Deals!$A$2:$A$355,0))=0,"",INDEX(Deals!$Y$2:$Y$355,MATCH($C556,Deals!$A$2:$A$355,0))),""))</f>
        <v/>
      </c>
      <c r="V556" s="35">
        <f>IF(OR($U556&lt;&gt;"",AND($AO556&gt;0,$L556&lt;&gt;"",$M556&lt;&gt;"")),$N556,DATE(1900,1,1))</f>
        <v/>
      </c>
      <c r="W556" s="35">
        <f>IF($U556&lt;&gt;"",$U556,IF(AND($AO556&gt;0,$L556&lt;&gt;"",$M556&lt;&gt;""),$O556,DATE(2100,12,31)))</f>
        <v/>
      </c>
      <c r="X556" s="32">
        <f>IF($U556="",$K556,$K556*$S556)</f>
        <v/>
      </c>
      <c r="Y556" s="35">
        <f>IF($U556="",DATE(2100,12,31),$U556+1)</f>
        <v/>
      </c>
      <c r="Z556" s="35">
        <f>IF($U556="",DATE(1900,1,1),$O556)</f>
        <v/>
      </c>
      <c r="AA556" s="32">
        <f>IF($U556="",0,$K556*$T556)</f>
        <v/>
      </c>
      <c r="AB556" s="21">
        <f>IF($C556="",0,IFERROR(INDEX(Deals!$AD$2:$AD$355,MATCH($C556,Deals!$A$2:$A$355,0)),0))</f>
        <v/>
      </c>
      <c r="AC556" s="32">
        <f>IF(Settings!$B$4="Yes",$I556*$AB556,$I556)</f>
        <v/>
      </c>
      <c r="AD556" s="22">
        <f>IF($C556="","",IFERROR(IF(INDEX(Deals!$AE$2:$AE$355,MATCH($C556,Deals!$A$2:$A$355,0))=0,"",INDEX(Deals!$AE$2:$AE$355,MATCH($C556,Deals!$A$2:$A$355,0))),""))</f>
        <v/>
      </c>
      <c r="AE556" s="22">
        <f>IF($C556="","",IFERROR(IF(INDEX(Deals!$AF$2:$AF$355,MATCH($C556,Deals!$A$2:$A$355,0))=0,"",INDEX(Deals!$AF$2:$AF$355,MATCH($C556,Deals!$A$2:$A$355,0))),""))</f>
        <v/>
      </c>
      <c r="AF556" s="35">
        <f>IF($AD556="",DATE(1900,1,1),$AD556)</f>
        <v/>
      </c>
      <c r="AG556" s="35">
        <f>IF($AE556="",DATE(2100,12,31),$AE556)</f>
        <v/>
      </c>
      <c r="AH556" s="22">
        <f>IF($C556="","",IFERROR(IF(INDEX(Deals!$AG$2:$AG$355,MATCH($C556,Deals!$A$2:$A$355,0))=0,"",INDEX(Deals!$AG$2:$AG$355,MATCH($C556,Deals!$A$2:$A$355,0))),""))</f>
        <v/>
      </c>
      <c r="AI556" s="35">
        <f>IF(OR($AH556&lt;&gt;"",AND($AO556&gt;0,$AD556&lt;&gt;"",$AE556&lt;&gt;"")),$AF556,DATE(1900,1,1))</f>
        <v/>
      </c>
      <c r="AJ556" s="35">
        <f>IF($AH556&lt;&gt;"",$AH556,IF(AND($AO556&gt;0,$AD556&lt;&gt;"",$AE556&lt;&gt;""),$AG556,DATE(2100,12,31)))</f>
        <v/>
      </c>
      <c r="AK556" s="32">
        <f>IF($AH556="",$AC556,$AC556*$S556)</f>
        <v/>
      </c>
      <c r="AL556" s="35">
        <f>IF($AH556="",DATE(2100,12,31),$AH556+1)</f>
        <v/>
      </c>
      <c r="AM556" s="35">
        <f>IF($AH556="",DATE(1900,1,1),$AG556)</f>
        <v/>
      </c>
      <c r="AN556" s="32">
        <f>IF($AH556="",0,$AC556*$T556)</f>
        <v/>
      </c>
      <c r="AO556" s="46">
        <f>IF($C556="",0,IFERROR(INDEX(Deals!$BD$2:$BD$355,MATCH($C556,Deals!$A$2:$A$355,0)),0))</f>
        <v/>
      </c>
      <c r="AP556" s="18">
        <f>IF($AO556=0,0,IFERROR(INDEX(Deals!$BJ$2:$BP$355,MATCH($C556,Deals!$A$2:$A$355,0),MATCH($F556,Deals!$BJ$1:$BP$1,0))/COUNTIFS(Assignments!$C$2:$C$769,$C556,Assignments!$F$2:$F$769,$F556,Assignments!$G$2:$G$769,"Active"),0))</f>
        <v/>
      </c>
    </row>
    <row r="557">
      <c r="A557" s="28" t="inlineStr">
        <is>
          <t>Dorian</t>
        </is>
      </c>
      <c r="B557" s="16">
        <f>IF($A557="","",IFERROR(INDEX(Roster!$B$2:$B$40,MATCH($A557,Roster!$A$2:$A$40,0)),"?"))</f>
        <v/>
      </c>
      <c r="C557" s="28" t="inlineStr">
        <is>
          <t>HVDC Transmission_1</t>
        </is>
      </c>
      <c r="D557" s="16">
        <f>IF($C557="","",IFERROR(IF(INDEX(Deals!$C$2:$C$355,MATCH($C557,Deals!$A$2:$A$355,0))=0,"",INDEX(Deals!$C$2:$C$355,MATCH($C557,Deals!$A$2:$A$355,0))),"?"))</f>
        <v/>
      </c>
      <c r="E557" s="16">
        <f>IF($C557="","",IFERROR(INDEX(Deals!$F$2:$F$355,MATCH($C557,Deals!$A$2:$A$355,0)),"?"))</f>
        <v/>
      </c>
      <c r="F557" s="28" t="inlineStr">
        <is>
          <t>Renewable Specialist</t>
        </is>
      </c>
      <c r="G557" s="28" t="inlineStr">
        <is>
          <t>Active</t>
        </is>
      </c>
      <c r="H557" s="31" t="n"/>
      <c r="I557" s="32">
        <f>IF(OR($A557="",$G557&lt;&gt;"Active"),0,IF($H557&lt;&gt;"",$H557,IF($AO557&gt;0,$AP557,IF(AND($R557&lt;&gt;"",IFERROR(INDEX(Templates!$B$3:$H$10,MATCH($R557,Templates!$A$3:$A$10,0),MATCH($F557,Templates!$B$2:$H$2,0)),0)&gt;0),INDEX(Templates!$B$3:$H$10,MATCH($R557,Templates!$A$3:$A$10,0),MATCH($F557,Templates!$B$2:$H$2,0)),IFERROR(INDEX(Settings!$B$8:$B$14,MATCH($F557,Settings!$A$8:$A$14,0)),0)))))</f>
        <v/>
      </c>
      <c r="J557" s="21">
        <f>IF($C557="",0,IFERROR(INDEX(Deals!$H$2:$H$355,MATCH($C557,Deals!$A$2:$A$355,0)),0))</f>
        <v/>
      </c>
      <c r="K557" s="32">
        <f>IF(Settings!$B$4="Yes",$I557*$J557,$I557)</f>
        <v/>
      </c>
      <c r="L557" s="22">
        <f>IF($C557="","",IFERROR(IF(INDEX(Deals!$I$2:$I$355,MATCH($C557,Deals!$A$2:$A$355,0))=0,"",INDEX(Deals!$I$2:$I$355,MATCH($C557,Deals!$A$2:$A$355,0))),""))</f>
        <v/>
      </c>
      <c r="M557" s="22">
        <f>IF($C557="","",IFERROR(IF(INDEX(Deals!$J$2:$J$355,MATCH($C557,Deals!$A$2:$A$355,0))=0,"",INDEX(Deals!$J$2:$J$355,MATCH($C557,Deals!$A$2:$A$355,0))),""))</f>
        <v/>
      </c>
      <c r="N557" s="35">
        <f>IF($L557="",DATE(1900,1,1),$L557)</f>
        <v/>
      </c>
      <c r="O557" s="35">
        <f>IF($M557="",DATE(2100,12,31),$M557)</f>
        <v/>
      </c>
      <c r="P557" s="20" t="inlineStr"/>
      <c r="Q557" s="47" t="inlineStr"/>
      <c r="R557" s="16">
        <f>IF($C557="","",IFERROR(IF(INDEX(Deals!$U$2:$U$355,MATCH($C557,Deals!$A$2:$A$355,0))=0,"",INDEX(Deals!$U$2:$U$355,MATCH($C557,Deals!$A$2:$A$355,0))),""))</f>
        <v/>
      </c>
      <c r="S557" s="34">
        <f>IFERROR(IF($U557="",1,INDEX(Deals!$V$2:$V$355,MATCH($C557,Deals!$A$2:$A$355,0))),1)</f>
        <v/>
      </c>
      <c r="T557" s="34">
        <f>IFERROR(IF($U557="",1,INDEX(Deals!$W$2:$W$355,MATCH($C557,Deals!$A$2:$A$355,0))),1)</f>
        <v/>
      </c>
      <c r="U557" s="22">
        <f>IF($C557="","",IFERROR(IF(INDEX(Deals!$Y$2:$Y$355,MATCH($C557,Deals!$A$2:$A$355,0))=0,"",INDEX(Deals!$Y$2:$Y$355,MATCH($C557,Deals!$A$2:$A$355,0))),""))</f>
        <v/>
      </c>
      <c r="V557" s="35">
        <f>IF(OR($U557&lt;&gt;"",AND($AO557&gt;0,$L557&lt;&gt;"",$M557&lt;&gt;"")),$N557,DATE(1900,1,1))</f>
        <v/>
      </c>
      <c r="W557" s="35">
        <f>IF($U557&lt;&gt;"",$U557,IF(AND($AO557&gt;0,$L557&lt;&gt;"",$M557&lt;&gt;""),$O557,DATE(2100,12,31)))</f>
        <v/>
      </c>
      <c r="X557" s="32">
        <f>IF($U557="",$K557,$K557*$S557)</f>
        <v/>
      </c>
      <c r="Y557" s="35">
        <f>IF($U557="",DATE(2100,12,31),$U557+1)</f>
        <v/>
      </c>
      <c r="Z557" s="35">
        <f>IF($U557="",DATE(1900,1,1),$O557)</f>
        <v/>
      </c>
      <c r="AA557" s="32">
        <f>IF($U557="",0,$K557*$T557)</f>
        <v/>
      </c>
      <c r="AB557" s="21">
        <f>IF($C557="",0,IFERROR(INDEX(Deals!$AD$2:$AD$355,MATCH($C557,Deals!$A$2:$A$355,0)),0))</f>
        <v/>
      </c>
      <c r="AC557" s="32">
        <f>IF(Settings!$B$4="Yes",$I557*$AB557,$I557)</f>
        <v/>
      </c>
      <c r="AD557" s="22">
        <f>IF($C557="","",IFERROR(IF(INDEX(Deals!$AE$2:$AE$355,MATCH($C557,Deals!$A$2:$A$355,0))=0,"",INDEX(Deals!$AE$2:$AE$355,MATCH($C557,Deals!$A$2:$A$355,0))),""))</f>
        <v/>
      </c>
      <c r="AE557" s="22">
        <f>IF($C557="","",IFERROR(IF(INDEX(Deals!$AF$2:$AF$355,MATCH($C557,Deals!$A$2:$A$355,0))=0,"",INDEX(Deals!$AF$2:$AF$355,MATCH($C557,Deals!$A$2:$A$355,0))),""))</f>
        <v/>
      </c>
      <c r="AF557" s="35">
        <f>IF($AD557="",DATE(1900,1,1),$AD557)</f>
        <v/>
      </c>
      <c r="AG557" s="35">
        <f>IF($AE557="",DATE(2100,12,31),$AE557)</f>
        <v/>
      </c>
      <c r="AH557" s="22">
        <f>IF($C557="","",IFERROR(IF(INDEX(Deals!$AG$2:$AG$355,MATCH($C557,Deals!$A$2:$A$355,0))=0,"",INDEX(Deals!$AG$2:$AG$355,MATCH($C557,Deals!$A$2:$A$355,0))),""))</f>
        <v/>
      </c>
      <c r="AI557" s="35">
        <f>IF(OR($AH557&lt;&gt;"",AND($AO557&gt;0,$AD557&lt;&gt;"",$AE557&lt;&gt;"")),$AF557,DATE(1900,1,1))</f>
        <v/>
      </c>
      <c r="AJ557" s="35">
        <f>IF($AH557&lt;&gt;"",$AH557,IF(AND($AO557&gt;0,$AD557&lt;&gt;"",$AE557&lt;&gt;""),$AG557,DATE(2100,12,31)))</f>
        <v/>
      </c>
      <c r="AK557" s="32">
        <f>IF($AH557="",$AC557,$AC557*$S557)</f>
        <v/>
      </c>
      <c r="AL557" s="35">
        <f>IF($AH557="",DATE(2100,12,31),$AH557+1)</f>
        <v/>
      </c>
      <c r="AM557" s="35">
        <f>IF($AH557="",DATE(1900,1,1),$AG557)</f>
        <v/>
      </c>
      <c r="AN557" s="32">
        <f>IF($AH557="",0,$AC557*$T557)</f>
        <v/>
      </c>
      <c r="AO557" s="46">
        <f>IF($C557="",0,IFERROR(INDEX(Deals!$BD$2:$BD$355,MATCH($C557,Deals!$A$2:$A$355,0)),0))</f>
        <v/>
      </c>
      <c r="AP557" s="18">
        <f>IF($AO557=0,0,IFERROR(INDEX(Deals!$BJ$2:$BP$355,MATCH($C557,Deals!$A$2:$A$355,0),MATCH($F557,Deals!$BJ$1:$BP$1,0))/COUNTIFS(Assignments!$C$2:$C$769,$C557,Assignments!$F$2:$F$769,$F557,Assignments!$G$2:$G$769,"Active"),0))</f>
        <v/>
      </c>
    </row>
    <row r="558">
      <c r="A558" s="28" t="inlineStr">
        <is>
          <t>Dorian</t>
        </is>
      </c>
      <c r="B558" s="16">
        <f>IF($A558="","",IFERROR(INDEX(Roster!$B$2:$B$40,MATCH($A558,Roster!$A$2:$A$40,0)),"?"))</f>
        <v/>
      </c>
      <c r="C558" s="28" t="inlineStr">
        <is>
          <t>Hyacinth_1</t>
        </is>
      </c>
      <c r="D558" s="16">
        <f>IF($C558="","",IFERROR(IF(INDEX(Deals!$C$2:$C$355,MATCH($C558,Deals!$A$2:$A$355,0))=0,"",INDEX(Deals!$C$2:$C$355,MATCH($C558,Deals!$A$2:$A$355,0))),"?"))</f>
        <v/>
      </c>
      <c r="E558" s="16">
        <f>IF($C558="","",IFERROR(INDEX(Deals!$F$2:$F$355,MATCH($C558,Deals!$A$2:$A$355,0)),"?"))</f>
        <v/>
      </c>
      <c r="F558" s="28" t="inlineStr">
        <is>
          <t>Renewable Specialist</t>
        </is>
      </c>
      <c r="G558" s="28" t="inlineStr">
        <is>
          <t>Active</t>
        </is>
      </c>
      <c r="H558" s="31" t="n"/>
      <c r="I558" s="32">
        <f>IF(OR($A558="",$G558&lt;&gt;"Active"),0,IF($H558&lt;&gt;"",$H558,IF($AO558&gt;0,$AP558,IF(AND($R558&lt;&gt;"",IFERROR(INDEX(Templates!$B$3:$H$10,MATCH($R558,Templates!$A$3:$A$10,0),MATCH($F558,Templates!$B$2:$H$2,0)),0)&gt;0),INDEX(Templates!$B$3:$H$10,MATCH($R558,Templates!$A$3:$A$10,0),MATCH($F558,Templates!$B$2:$H$2,0)),IFERROR(INDEX(Settings!$B$8:$B$14,MATCH($F558,Settings!$A$8:$A$14,0)),0)))))</f>
        <v/>
      </c>
      <c r="J558" s="21">
        <f>IF($C558="",0,IFERROR(INDEX(Deals!$H$2:$H$355,MATCH($C558,Deals!$A$2:$A$355,0)),0))</f>
        <v/>
      </c>
      <c r="K558" s="32">
        <f>IF(Settings!$B$4="Yes",$I558*$J558,$I558)</f>
        <v/>
      </c>
      <c r="L558" s="22">
        <f>IF($C558="","",IFERROR(IF(INDEX(Deals!$I$2:$I$355,MATCH($C558,Deals!$A$2:$A$355,0))=0,"",INDEX(Deals!$I$2:$I$355,MATCH($C558,Deals!$A$2:$A$355,0))),""))</f>
        <v/>
      </c>
      <c r="M558" s="22">
        <f>IF($C558="","",IFERROR(IF(INDEX(Deals!$J$2:$J$355,MATCH($C558,Deals!$A$2:$A$355,0))=0,"",INDEX(Deals!$J$2:$J$355,MATCH($C558,Deals!$A$2:$A$355,0))),""))</f>
        <v/>
      </c>
      <c r="N558" s="35">
        <f>IF($L558="",DATE(1900,1,1),$L558)</f>
        <v/>
      </c>
      <c r="O558" s="35">
        <f>IF($M558="",DATE(2100,12,31),$M558)</f>
        <v/>
      </c>
      <c r="P558" s="20" t="inlineStr"/>
      <c r="Q558" s="47" t="inlineStr"/>
      <c r="R558" s="16">
        <f>IF($C558="","",IFERROR(IF(INDEX(Deals!$U$2:$U$355,MATCH($C558,Deals!$A$2:$A$355,0))=0,"",INDEX(Deals!$U$2:$U$355,MATCH($C558,Deals!$A$2:$A$355,0))),""))</f>
        <v/>
      </c>
      <c r="S558" s="34">
        <f>IFERROR(IF($U558="",1,INDEX(Deals!$V$2:$V$355,MATCH($C558,Deals!$A$2:$A$355,0))),1)</f>
        <v/>
      </c>
      <c r="T558" s="34">
        <f>IFERROR(IF($U558="",1,INDEX(Deals!$W$2:$W$355,MATCH($C558,Deals!$A$2:$A$355,0))),1)</f>
        <v/>
      </c>
      <c r="U558" s="22">
        <f>IF($C558="","",IFERROR(IF(INDEX(Deals!$Y$2:$Y$355,MATCH($C558,Deals!$A$2:$A$355,0))=0,"",INDEX(Deals!$Y$2:$Y$355,MATCH($C558,Deals!$A$2:$A$355,0))),""))</f>
        <v/>
      </c>
      <c r="V558" s="35">
        <f>IF(OR($U558&lt;&gt;"",AND($AO558&gt;0,$L558&lt;&gt;"",$M558&lt;&gt;"")),$N558,DATE(1900,1,1))</f>
        <v/>
      </c>
      <c r="W558" s="35">
        <f>IF($U558&lt;&gt;"",$U558,IF(AND($AO558&gt;0,$L558&lt;&gt;"",$M558&lt;&gt;""),$O558,DATE(2100,12,31)))</f>
        <v/>
      </c>
      <c r="X558" s="32">
        <f>IF($U558="",$K558,$K558*$S558)</f>
        <v/>
      </c>
      <c r="Y558" s="35">
        <f>IF($U558="",DATE(2100,12,31),$U558+1)</f>
        <v/>
      </c>
      <c r="Z558" s="35">
        <f>IF($U558="",DATE(1900,1,1),$O558)</f>
        <v/>
      </c>
      <c r="AA558" s="32">
        <f>IF($U558="",0,$K558*$T558)</f>
        <v/>
      </c>
      <c r="AB558" s="21">
        <f>IF($C558="",0,IFERROR(INDEX(Deals!$AD$2:$AD$355,MATCH($C558,Deals!$A$2:$A$355,0)),0))</f>
        <v/>
      </c>
      <c r="AC558" s="32">
        <f>IF(Settings!$B$4="Yes",$I558*$AB558,$I558)</f>
        <v/>
      </c>
      <c r="AD558" s="22">
        <f>IF($C558="","",IFERROR(IF(INDEX(Deals!$AE$2:$AE$355,MATCH($C558,Deals!$A$2:$A$355,0))=0,"",INDEX(Deals!$AE$2:$AE$355,MATCH($C558,Deals!$A$2:$A$355,0))),""))</f>
        <v/>
      </c>
      <c r="AE558" s="22">
        <f>IF($C558="","",IFERROR(IF(INDEX(Deals!$AF$2:$AF$355,MATCH($C558,Deals!$A$2:$A$355,0))=0,"",INDEX(Deals!$AF$2:$AF$355,MATCH($C558,Deals!$A$2:$A$355,0))),""))</f>
        <v/>
      </c>
      <c r="AF558" s="35">
        <f>IF($AD558="",DATE(1900,1,1),$AD558)</f>
        <v/>
      </c>
      <c r="AG558" s="35">
        <f>IF($AE558="",DATE(2100,12,31),$AE558)</f>
        <v/>
      </c>
      <c r="AH558" s="22">
        <f>IF($C558="","",IFERROR(IF(INDEX(Deals!$AG$2:$AG$355,MATCH($C558,Deals!$A$2:$A$355,0))=0,"",INDEX(Deals!$AG$2:$AG$355,MATCH($C558,Deals!$A$2:$A$355,0))),""))</f>
        <v/>
      </c>
      <c r="AI558" s="35">
        <f>IF(OR($AH558&lt;&gt;"",AND($AO558&gt;0,$AD558&lt;&gt;"",$AE558&lt;&gt;"")),$AF558,DATE(1900,1,1))</f>
        <v/>
      </c>
      <c r="AJ558" s="35">
        <f>IF($AH558&lt;&gt;"",$AH558,IF(AND($AO558&gt;0,$AD558&lt;&gt;"",$AE558&lt;&gt;""),$AG558,DATE(2100,12,31)))</f>
        <v/>
      </c>
      <c r="AK558" s="32">
        <f>IF($AH558="",$AC558,$AC558*$S558)</f>
        <v/>
      </c>
      <c r="AL558" s="35">
        <f>IF($AH558="",DATE(2100,12,31),$AH558+1)</f>
        <v/>
      </c>
      <c r="AM558" s="35">
        <f>IF($AH558="",DATE(1900,1,1),$AG558)</f>
        <v/>
      </c>
      <c r="AN558" s="32">
        <f>IF($AH558="",0,$AC558*$T558)</f>
        <v/>
      </c>
      <c r="AO558" s="46">
        <f>IF($C558="",0,IFERROR(INDEX(Deals!$BD$2:$BD$355,MATCH($C558,Deals!$A$2:$A$355,0)),0))</f>
        <v/>
      </c>
      <c r="AP558" s="18">
        <f>IF($AO558=0,0,IFERROR(INDEX(Deals!$BJ$2:$BP$355,MATCH($C558,Deals!$A$2:$A$355,0),MATCH($F558,Deals!$BJ$1:$BP$1,0))/COUNTIFS(Assignments!$C$2:$C$769,$C558,Assignments!$F$2:$F$769,$F558,Assignments!$G$2:$G$769,"Active"),0))</f>
        <v/>
      </c>
    </row>
    <row r="559">
      <c r="A559" s="28" t="inlineStr">
        <is>
          <t>Dorian</t>
        </is>
      </c>
      <c r="B559" s="16">
        <f>IF($A559="","",IFERROR(INDEX(Roster!$B$2:$B$40,MATCH($A559,Roster!$A$2:$A$40,0)),"?"))</f>
        <v/>
      </c>
      <c r="C559" s="28" t="inlineStr">
        <is>
          <t>Justin_2</t>
        </is>
      </c>
      <c r="D559" s="16">
        <f>IF($C559="","",IFERROR(IF(INDEX(Deals!$C$2:$C$355,MATCH($C559,Deals!$A$2:$A$355,0))=0,"",INDEX(Deals!$C$2:$C$355,MATCH($C559,Deals!$A$2:$A$355,0))),"?"))</f>
        <v/>
      </c>
      <c r="E559" s="16">
        <f>IF($C559="","",IFERROR(INDEX(Deals!$F$2:$F$355,MATCH($C559,Deals!$A$2:$A$355,0)),"?"))</f>
        <v/>
      </c>
      <c r="F559" s="28" t="inlineStr">
        <is>
          <t>Renewable Specialist</t>
        </is>
      </c>
      <c r="G559" s="28" t="inlineStr">
        <is>
          <t>Active</t>
        </is>
      </c>
      <c r="H559" s="31" t="n"/>
      <c r="I559" s="32">
        <f>IF(OR($A559="",$G559&lt;&gt;"Active"),0,IF($H559&lt;&gt;"",$H559,IF($AO559&gt;0,$AP559,IF(AND($R559&lt;&gt;"",IFERROR(INDEX(Templates!$B$3:$H$10,MATCH($R559,Templates!$A$3:$A$10,0),MATCH($F559,Templates!$B$2:$H$2,0)),0)&gt;0),INDEX(Templates!$B$3:$H$10,MATCH($R559,Templates!$A$3:$A$10,0),MATCH($F559,Templates!$B$2:$H$2,0)),IFERROR(INDEX(Settings!$B$8:$B$14,MATCH($F559,Settings!$A$8:$A$14,0)),0)))))</f>
        <v/>
      </c>
      <c r="J559" s="21">
        <f>IF($C559="",0,IFERROR(INDEX(Deals!$H$2:$H$355,MATCH($C559,Deals!$A$2:$A$355,0)),0))</f>
        <v/>
      </c>
      <c r="K559" s="32">
        <f>IF(Settings!$B$4="Yes",$I559*$J559,$I559)</f>
        <v/>
      </c>
      <c r="L559" s="22">
        <f>IF($C559="","",IFERROR(IF(INDEX(Deals!$I$2:$I$355,MATCH($C559,Deals!$A$2:$A$355,0))=0,"",INDEX(Deals!$I$2:$I$355,MATCH($C559,Deals!$A$2:$A$355,0))),""))</f>
        <v/>
      </c>
      <c r="M559" s="22">
        <f>IF($C559="","",IFERROR(IF(INDEX(Deals!$J$2:$J$355,MATCH($C559,Deals!$A$2:$A$355,0))=0,"",INDEX(Deals!$J$2:$J$355,MATCH($C559,Deals!$A$2:$A$355,0))),""))</f>
        <v/>
      </c>
      <c r="N559" s="35">
        <f>IF($L559="",DATE(1900,1,1),$L559)</f>
        <v/>
      </c>
      <c r="O559" s="35">
        <f>IF($M559="",DATE(2100,12,31),$M559)</f>
        <v/>
      </c>
      <c r="P559" s="20" t="inlineStr"/>
      <c r="Q559" s="47" t="inlineStr"/>
      <c r="R559" s="16">
        <f>IF($C559="","",IFERROR(IF(INDEX(Deals!$U$2:$U$355,MATCH($C559,Deals!$A$2:$A$355,0))=0,"",INDEX(Deals!$U$2:$U$355,MATCH($C559,Deals!$A$2:$A$355,0))),""))</f>
        <v/>
      </c>
      <c r="S559" s="34">
        <f>IFERROR(IF($U559="",1,INDEX(Deals!$V$2:$V$355,MATCH($C559,Deals!$A$2:$A$355,0))),1)</f>
        <v/>
      </c>
      <c r="T559" s="34">
        <f>IFERROR(IF($U559="",1,INDEX(Deals!$W$2:$W$355,MATCH($C559,Deals!$A$2:$A$355,0))),1)</f>
        <v/>
      </c>
      <c r="U559" s="22">
        <f>IF($C559="","",IFERROR(IF(INDEX(Deals!$Y$2:$Y$355,MATCH($C559,Deals!$A$2:$A$355,0))=0,"",INDEX(Deals!$Y$2:$Y$355,MATCH($C559,Deals!$A$2:$A$355,0))),""))</f>
        <v/>
      </c>
      <c r="V559" s="35">
        <f>IF(OR($U559&lt;&gt;"",AND($AO559&gt;0,$L559&lt;&gt;"",$M559&lt;&gt;"")),$N559,DATE(1900,1,1))</f>
        <v/>
      </c>
      <c r="W559" s="35">
        <f>IF($U559&lt;&gt;"",$U559,IF(AND($AO559&gt;0,$L559&lt;&gt;"",$M559&lt;&gt;""),$O559,DATE(2100,12,31)))</f>
        <v/>
      </c>
      <c r="X559" s="32">
        <f>IF($U559="",$K559,$K559*$S559)</f>
        <v/>
      </c>
      <c r="Y559" s="35">
        <f>IF($U559="",DATE(2100,12,31),$U559+1)</f>
        <v/>
      </c>
      <c r="Z559" s="35">
        <f>IF($U559="",DATE(1900,1,1),$O559)</f>
        <v/>
      </c>
      <c r="AA559" s="32">
        <f>IF($U559="",0,$K559*$T559)</f>
        <v/>
      </c>
      <c r="AB559" s="21">
        <f>IF($C559="",0,IFERROR(INDEX(Deals!$AD$2:$AD$355,MATCH($C559,Deals!$A$2:$A$355,0)),0))</f>
        <v/>
      </c>
      <c r="AC559" s="32">
        <f>IF(Settings!$B$4="Yes",$I559*$AB559,$I559)</f>
        <v/>
      </c>
      <c r="AD559" s="22">
        <f>IF($C559="","",IFERROR(IF(INDEX(Deals!$AE$2:$AE$355,MATCH($C559,Deals!$A$2:$A$355,0))=0,"",INDEX(Deals!$AE$2:$AE$355,MATCH($C559,Deals!$A$2:$A$355,0))),""))</f>
        <v/>
      </c>
      <c r="AE559" s="22">
        <f>IF($C559="","",IFERROR(IF(INDEX(Deals!$AF$2:$AF$355,MATCH($C559,Deals!$A$2:$A$355,0))=0,"",INDEX(Deals!$AF$2:$AF$355,MATCH($C559,Deals!$A$2:$A$355,0))),""))</f>
        <v/>
      </c>
      <c r="AF559" s="35">
        <f>IF($AD559="",DATE(1900,1,1),$AD559)</f>
        <v/>
      </c>
      <c r="AG559" s="35">
        <f>IF($AE559="",DATE(2100,12,31),$AE559)</f>
        <v/>
      </c>
      <c r="AH559" s="22">
        <f>IF($C559="","",IFERROR(IF(INDEX(Deals!$AG$2:$AG$355,MATCH($C559,Deals!$A$2:$A$355,0))=0,"",INDEX(Deals!$AG$2:$AG$355,MATCH($C559,Deals!$A$2:$A$355,0))),""))</f>
        <v/>
      </c>
      <c r="AI559" s="35">
        <f>IF(OR($AH559&lt;&gt;"",AND($AO559&gt;0,$AD559&lt;&gt;"",$AE559&lt;&gt;"")),$AF559,DATE(1900,1,1))</f>
        <v/>
      </c>
      <c r="AJ559" s="35">
        <f>IF($AH559&lt;&gt;"",$AH559,IF(AND($AO559&gt;0,$AD559&lt;&gt;"",$AE559&lt;&gt;""),$AG559,DATE(2100,12,31)))</f>
        <v/>
      </c>
      <c r="AK559" s="32">
        <f>IF($AH559="",$AC559,$AC559*$S559)</f>
        <v/>
      </c>
      <c r="AL559" s="35">
        <f>IF($AH559="",DATE(2100,12,31),$AH559+1)</f>
        <v/>
      </c>
      <c r="AM559" s="35">
        <f>IF($AH559="",DATE(1900,1,1),$AG559)</f>
        <v/>
      </c>
      <c r="AN559" s="32">
        <f>IF($AH559="",0,$AC559*$T559)</f>
        <v/>
      </c>
      <c r="AO559" s="46">
        <f>IF($C559="",0,IFERROR(INDEX(Deals!$BD$2:$BD$355,MATCH($C559,Deals!$A$2:$A$355,0)),0))</f>
        <v/>
      </c>
      <c r="AP559" s="18">
        <f>IF($AO559=0,0,IFERROR(INDEX(Deals!$BJ$2:$BP$355,MATCH($C559,Deals!$A$2:$A$355,0),MATCH($F559,Deals!$BJ$1:$BP$1,0))/COUNTIFS(Assignments!$C$2:$C$769,$C559,Assignments!$F$2:$F$769,$F559,Assignments!$G$2:$G$769,"Active"),0))</f>
        <v/>
      </c>
    </row>
    <row r="560">
      <c r="A560" s="28" t="inlineStr">
        <is>
          <t>Dorian</t>
        </is>
      </c>
      <c r="B560" s="16">
        <f>IF($A560="","",IFERROR(INDEX(Roster!$B$2:$B$40,MATCH($A560,Roster!$A$2:$A$40,0)),"?"))</f>
        <v/>
      </c>
      <c r="C560" s="28" t="inlineStr">
        <is>
          <t>Kanawha_1</t>
        </is>
      </c>
      <c r="D560" s="16">
        <f>IF($C560="","",IFERROR(IF(INDEX(Deals!$C$2:$C$355,MATCH($C560,Deals!$A$2:$A$355,0))=0,"",INDEX(Deals!$C$2:$C$355,MATCH($C560,Deals!$A$2:$A$355,0))),"?"))</f>
        <v/>
      </c>
      <c r="E560" s="16">
        <f>IF($C560="","",IFERROR(INDEX(Deals!$F$2:$F$355,MATCH($C560,Deals!$A$2:$A$355,0)),"?"))</f>
        <v/>
      </c>
      <c r="F560" s="28" t="inlineStr">
        <is>
          <t>Renewable Specialist</t>
        </is>
      </c>
      <c r="G560" s="28" t="inlineStr">
        <is>
          <t>Active</t>
        </is>
      </c>
      <c r="H560" s="31" t="n"/>
      <c r="I560" s="32">
        <f>IF(OR($A560="",$G560&lt;&gt;"Active"),0,IF($H560&lt;&gt;"",$H560,IF($AO560&gt;0,$AP560,IF(AND($R560&lt;&gt;"",IFERROR(INDEX(Templates!$B$3:$H$10,MATCH($R560,Templates!$A$3:$A$10,0),MATCH($F560,Templates!$B$2:$H$2,0)),0)&gt;0),INDEX(Templates!$B$3:$H$10,MATCH($R560,Templates!$A$3:$A$10,0),MATCH($F560,Templates!$B$2:$H$2,0)),IFERROR(INDEX(Settings!$B$8:$B$14,MATCH($F560,Settings!$A$8:$A$14,0)),0)))))</f>
        <v/>
      </c>
      <c r="J560" s="21">
        <f>IF($C560="",0,IFERROR(INDEX(Deals!$H$2:$H$355,MATCH($C560,Deals!$A$2:$A$355,0)),0))</f>
        <v/>
      </c>
      <c r="K560" s="32">
        <f>IF(Settings!$B$4="Yes",$I560*$J560,$I560)</f>
        <v/>
      </c>
      <c r="L560" s="22">
        <f>IF($C560="","",IFERROR(IF(INDEX(Deals!$I$2:$I$355,MATCH($C560,Deals!$A$2:$A$355,0))=0,"",INDEX(Deals!$I$2:$I$355,MATCH($C560,Deals!$A$2:$A$355,0))),""))</f>
        <v/>
      </c>
      <c r="M560" s="22">
        <f>IF($C560="","",IFERROR(IF(INDEX(Deals!$J$2:$J$355,MATCH($C560,Deals!$A$2:$A$355,0))=0,"",INDEX(Deals!$J$2:$J$355,MATCH($C560,Deals!$A$2:$A$355,0))),""))</f>
        <v/>
      </c>
      <c r="N560" s="35">
        <f>IF($L560="",DATE(1900,1,1),$L560)</f>
        <v/>
      </c>
      <c r="O560" s="35">
        <f>IF($M560="",DATE(2100,12,31),$M560)</f>
        <v/>
      </c>
      <c r="P560" s="20" t="inlineStr"/>
      <c r="Q560" s="47" t="inlineStr"/>
      <c r="R560" s="16">
        <f>IF($C560="","",IFERROR(IF(INDEX(Deals!$U$2:$U$355,MATCH($C560,Deals!$A$2:$A$355,0))=0,"",INDEX(Deals!$U$2:$U$355,MATCH($C560,Deals!$A$2:$A$355,0))),""))</f>
        <v/>
      </c>
      <c r="S560" s="34">
        <f>IFERROR(IF($U560="",1,INDEX(Deals!$V$2:$V$355,MATCH($C560,Deals!$A$2:$A$355,0))),1)</f>
        <v/>
      </c>
      <c r="T560" s="34">
        <f>IFERROR(IF($U560="",1,INDEX(Deals!$W$2:$W$355,MATCH($C560,Deals!$A$2:$A$355,0))),1)</f>
        <v/>
      </c>
      <c r="U560" s="22">
        <f>IF($C560="","",IFERROR(IF(INDEX(Deals!$Y$2:$Y$355,MATCH($C560,Deals!$A$2:$A$355,0))=0,"",INDEX(Deals!$Y$2:$Y$355,MATCH($C560,Deals!$A$2:$A$355,0))),""))</f>
        <v/>
      </c>
      <c r="V560" s="35">
        <f>IF(OR($U560&lt;&gt;"",AND($AO560&gt;0,$L560&lt;&gt;"",$M560&lt;&gt;"")),$N560,DATE(1900,1,1))</f>
        <v/>
      </c>
      <c r="W560" s="35">
        <f>IF($U560&lt;&gt;"",$U560,IF(AND($AO560&gt;0,$L560&lt;&gt;"",$M560&lt;&gt;""),$O560,DATE(2100,12,31)))</f>
        <v/>
      </c>
      <c r="X560" s="32">
        <f>IF($U560="",$K560,$K560*$S560)</f>
        <v/>
      </c>
      <c r="Y560" s="35">
        <f>IF($U560="",DATE(2100,12,31),$U560+1)</f>
        <v/>
      </c>
      <c r="Z560" s="35">
        <f>IF($U560="",DATE(1900,1,1),$O560)</f>
        <v/>
      </c>
      <c r="AA560" s="32">
        <f>IF($U560="",0,$K560*$T560)</f>
        <v/>
      </c>
      <c r="AB560" s="21">
        <f>IF($C560="",0,IFERROR(INDEX(Deals!$AD$2:$AD$355,MATCH($C560,Deals!$A$2:$A$355,0)),0))</f>
        <v/>
      </c>
      <c r="AC560" s="32">
        <f>IF(Settings!$B$4="Yes",$I560*$AB560,$I560)</f>
        <v/>
      </c>
      <c r="AD560" s="22">
        <f>IF($C560="","",IFERROR(IF(INDEX(Deals!$AE$2:$AE$355,MATCH($C560,Deals!$A$2:$A$355,0))=0,"",INDEX(Deals!$AE$2:$AE$355,MATCH($C560,Deals!$A$2:$A$355,0))),""))</f>
        <v/>
      </c>
      <c r="AE560" s="22">
        <f>IF($C560="","",IFERROR(IF(INDEX(Deals!$AF$2:$AF$355,MATCH($C560,Deals!$A$2:$A$355,0))=0,"",INDEX(Deals!$AF$2:$AF$355,MATCH($C560,Deals!$A$2:$A$355,0))),""))</f>
        <v/>
      </c>
      <c r="AF560" s="35">
        <f>IF($AD560="",DATE(1900,1,1),$AD560)</f>
        <v/>
      </c>
      <c r="AG560" s="35">
        <f>IF($AE560="",DATE(2100,12,31),$AE560)</f>
        <v/>
      </c>
      <c r="AH560" s="22">
        <f>IF($C560="","",IFERROR(IF(INDEX(Deals!$AG$2:$AG$355,MATCH($C560,Deals!$A$2:$A$355,0))=0,"",INDEX(Deals!$AG$2:$AG$355,MATCH($C560,Deals!$A$2:$A$355,0))),""))</f>
        <v/>
      </c>
      <c r="AI560" s="35">
        <f>IF(OR($AH560&lt;&gt;"",AND($AO560&gt;0,$AD560&lt;&gt;"",$AE560&lt;&gt;"")),$AF560,DATE(1900,1,1))</f>
        <v/>
      </c>
      <c r="AJ560" s="35">
        <f>IF($AH560&lt;&gt;"",$AH560,IF(AND($AO560&gt;0,$AD560&lt;&gt;"",$AE560&lt;&gt;""),$AG560,DATE(2100,12,31)))</f>
        <v/>
      </c>
      <c r="AK560" s="32">
        <f>IF($AH560="",$AC560,$AC560*$S560)</f>
        <v/>
      </c>
      <c r="AL560" s="35">
        <f>IF($AH560="",DATE(2100,12,31),$AH560+1)</f>
        <v/>
      </c>
      <c r="AM560" s="35">
        <f>IF($AH560="",DATE(1900,1,1),$AG560)</f>
        <v/>
      </c>
      <c r="AN560" s="32">
        <f>IF($AH560="",0,$AC560*$T560)</f>
        <v/>
      </c>
      <c r="AO560" s="46">
        <f>IF($C560="",0,IFERROR(INDEX(Deals!$BD$2:$BD$355,MATCH($C560,Deals!$A$2:$A$355,0)),0))</f>
        <v/>
      </c>
      <c r="AP560" s="18">
        <f>IF($AO560=0,0,IFERROR(INDEX(Deals!$BJ$2:$BP$355,MATCH($C560,Deals!$A$2:$A$355,0),MATCH($F560,Deals!$BJ$1:$BP$1,0))/COUNTIFS(Assignments!$C$2:$C$769,$C560,Assignments!$F$2:$F$769,$F560,Assignments!$G$2:$G$769,"Active"),0))</f>
        <v/>
      </c>
    </row>
    <row r="561">
      <c r="A561" s="28" t="inlineStr">
        <is>
          <t>Dorian</t>
        </is>
      </c>
      <c r="B561" s="16">
        <f>IF($A561="","",IFERROR(INDEX(Roster!$B$2:$B$40,MATCH($A561,Roster!$A$2:$A$40,0)),"?"))</f>
        <v/>
      </c>
      <c r="C561" s="28" t="inlineStr">
        <is>
          <t>Long_2</t>
        </is>
      </c>
      <c r="D561" s="16">
        <f>IF($C561="","",IFERROR(IF(INDEX(Deals!$C$2:$C$355,MATCH($C561,Deals!$A$2:$A$355,0))=0,"",INDEX(Deals!$C$2:$C$355,MATCH($C561,Deals!$A$2:$A$355,0))),"?"))</f>
        <v/>
      </c>
      <c r="E561" s="16">
        <f>IF($C561="","",IFERROR(INDEX(Deals!$F$2:$F$355,MATCH($C561,Deals!$A$2:$A$355,0)),"?"))</f>
        <v/>
      </c>
      <c r="F561" s="28" t="inlineStr">
        <is>
          <t>Renewable Specialist</t>
        </is>
      </c>
      <c r="G561" s="28" t="inlineStr">
        <is>
          <t>Active</t>
        </is>
      </c>
      <c r="H561" s="31" t="n"/>
      <c r="I561" s="32">
        <f>IF(OR($A561="",$G561&lt;&gt;"Active"),0,IF($H561&lt;&gt;"",$H561,IF($AO561&gt;0,$AP561,IF(AND($R561&lt;&gt;"",IFERROR(INDEX(Templates!$B$3:$H$10,MATCH($R561,Templates!$A$3:$A$10,0),MATCH($F561,Templates!$B$2:$H$2,0)),0)&gt;0),INDEX(Templates!$B$3:$H$10,MATCH($R561,Templates!$A$3:$A$10,0),MATCH($F561,Templates!$B$2:$H$2,0)),IFERROR(INDEX(Settings!$B$8:$B$14,MATCH($F561,Settings!$A$8:$A$14,0)),0)))))</f>
        <v/>
      </c>
      <c r="J561" s="21">
        <f>IF($C561="",0,IFERROR(INDEX(Deals!$H$2:$H$355,MATCH($C561,Deals!$A$2:$A$355,0)),0))</f>
        <v/>
      </c>
      <c r="K561" s="32">
        <f>IF(Settings!$B$4="Yes",$I561*$J561,$I561)</f>
        <v/>
      </c>
      <c r="L561" s="22">
        <f>IF($C561="","",IFERROR(IF(INDEX(Deals!$I$2:$I$355,MATCH($C561,Deals!$A$2:$A$355,0))=0,"",INDEX(Deals!$I$2:$I$355,MATCH($C561,Deals!$A$2:$A$355,0))),""))</f>
        <v/>
      </c>
      <c r="M561" s="22">
        <f>IF($C561="","",IFERROR(IF(INDEX(Deals!$J$2:$J$355,MATCH($C561,Deals!$A$2:$A$355,0))=0,"",INDEX(Deals!$J$2:$J$355,MATCH($C561,Deals!$A$2:$A$355,0))),""))</f>
        <v/>
      </c>
      <c r="N561" s="35">
        <f>IF($L561="",DATE(1900,1,1),$L561)</f>
        <v/>
      </c>
      <c r="O561" s="35">
        <f>IF($M561="",DATE(2100,12,31),$M561)</f>
        <v/>
      </c>
      <c r="P561" s="20" t="inlineStr"/>
      <c r="Q561" s="47" t="inlineStr"/>
      <c r="R561" s="16">
        <f>IF($C561="","",IFERROR(IF(INDEX(Deals!$U$2:$U$355,MATCH($C561,Deals!$A$2:$A$355,0))=0,"",INDEX(Deals!$U$2:$U$355,MATCH($C561,Deals!$A$2:$A$355,0))),""))</f>
        <v/>
      </c>
      <c r="S561" s="34">
        <f>IFERROR(IF($U561="",1,INDEX(Deals!$V$2:$V$355,MATCH($C561,Deals!$A$2:$A$355,0))),1)</f>
        <v/>
      </c>
      <c r="T561" s="34">
        <f>IFERROR(IF($U561="",1,INDEX(Deals!$W$2:$W$355,MATCH($C561,Deals!$A$2:$A$355,0))),1)</f>
        <v/>
      </c>
      <c r="U561" s="22">
        <f>IF($C561="","",IFERROR(IF(INDEX(Deals!$Y$2:$Y$355,MATCH($C561,Deals!$A$2:$A$355,0))=0,"",INDEX(Deals!$Y$2:$Y$355,MATCH($C561,Deals!$A$2:$A$355,0))),""))</f>
        <v/>
      </c>
      <c r="V561" s="35">
        <f>IF(OR($U561&lt;&gt;"",AND($AO561&gt;0,$L561&lt;&gt;"",$M561&lt;&gt;"")),$N561,DATE(1900,1,1))</f>
        <v/>
      </c>
      <c r="W561" s="35">
        <f>IF($U561&lt;&gt;"",$U561,IF(AND($AO561&gt;0,$L561&lt;&gt;"",$M561&lt;&gt;""),$O561,DATE(2100,12,31)))</f>
        <v/>
      </c>
      <c r="X561" s="32">
        <f>IF($U561="",$K561,$K561*$S561)</f>
        <v/>
      </c>
      <c r="Y561" s="35">
        <f>IF($U561="",DATE(2100,12,31),$U561+1)</f>
        <v/>
      </c>
      <c r="Z561" s="35">
        <f>IF($U561="",DATE(1900,1,1),$O561)</f>
        <v/>
      </c>
      <c r="AA561" s="32">
        <f>IF($U561="",0,$K561*$T561)</f>
        <v/>
      </c>
      <c r="AB561" s="21">
        <f>IF($C561="",0,IFERROR(INDEX(Deals!$AD$2:$AD$355,MATCH($C561,Deals!$A$2:$A$355,0)),0))</f>
        <v/>
      </c>
      <c r="AC561" s="32">
        <f>IF(Settings!$B$4="Yes",$I561*$AB561,$I561)</f>
        <v/>
      </c>
      <c r="AD561" s="22">
        <f>IF($C561="","",IFERROR(IF(INDEX(Deals!$AE$2:$AE$355,MATCH($C561,Deals!$A$2:$A$355,0))=0,"",INDEX(Deals!$AE$2:$AE$355,MATCH($C561,Deals!$A$2:$A$355,0))),""))</f>
        <v/>
      </c>
      <c r="AE561" s="22">
        <f>IF($C561="","",IFERROR(IF(INDEX(Deals!$AF$2:$AF$355,MATCH($C561,Deals!$A$2:$A$355,0))=0,"",INDEX(Deals!$AF$2:$AF$355,MATCH($C561,Deals!$A$2:$A$355,0))),""))</f>
        <v/>
      </c>
      <c r="AF561" s="35">
        <f>IF($AD561="",DATE(1900,1,1),$AD561)</f>
        <v/>
      </c>
      <c r="AG561" s="35">
        <f>IF($AE561="",DATE(2100,12,31),$AE561)</f>
        <v/>
      </c>
      <c r="AH561" s="22">
        <f>IF($C561="","",IFERROR(IF(INDEX(Deals!$AG$2:$AG$355,MATCH($C561,Deals!$A$2:$A$355,0))=0,"",INDEX(Deals!$AG$2:$AG$355,MATCH($C561,Deals!$A$2:$A$355,0))),""))</f>
        <v/>
      </c>
      <c r="AI561" s="35">
        <f>IF(OR($AH561&lt;&gt;"",AND($AO561&gt;0,$AD561&lt;&gt;"",$AE561&lt;&gt;"")),$AF561,DATE(1900,1,1))</f>
        <v/>
      </c>
      <c r="AJ561" s="35">
        <f>IF($AH561&lt;&gt;"",$AH561,IF(AND($AO561&gt;0,$AD561&lt;&gt;"",$AE561&lt;&gt;""),$AG561,DATE(2100,12,31)))</f>
        <v/>
      </c>
      <c r="AK561" s="32">
        <f>IF($AH561="",$AC561,$AC561*$S561)</f>
        <v/>
      </c>
      <c r="AL561" s="35">
        <f>IF($AH561="",DATE(2100,12,31),$AH561+1)</f>
        <v/>
      </c>
      <c r="AM561" s="35">
        <f>IF($AH561="",DATE(1900,1,1),$AG561)</f>
        <v/>
      </c>
      <c r="AN561" s="32">
        <f>IF($AH561="",0,$AC561*$T561)</f>
        <v/>
      </c>
      <c r="AO561" s="46">
        <f>IF($C561="",0,IFERROR(INDEX(Deals!$BD$2:$BD$355,MATCH($C561,Deals!$A$2:$A$355,0)),0))</f>
        <v/>
      </c>
      <c r="AP561" s="18">
        <f>IF($AO561=0,0,IFERROR(INDEX(Deals!$BJ$2:$BP$355,MATCH($C561,Deals!$A$2:$A$355,0),MATCH($F561,Deals!$BJ$1:$BP$1,0))/COUNTIFS(Assignments!$C$2:$C$769,$C561,Assignments!$F$2:$F$769,$F561,Assignments!$G$2:$G$769,"Active"),0))</f>
        <v/>
      </c>
    </row>
    <row r="562">
      <c r="A562" s="28" t="inlineStr">
        <is>
          <t>Dorian</t>
        </is>
      </c>
      <c r="B562" s="16">
        <f>IF($A562="","",IFERROR(INDEX(Roster!$B$2:$B$40,MATCH($A562,Roster!$A$2:$A$40,0)),"?"))</f>
        <v/>
      </c>
      <c r="C562" s="28" t="inlineStr">
        <is>
          <t>Look Inc - Ethos_1</t>
        </is>
      </c>
      <c r="D562" s="16">
        <f>IF($C562="","",IFERROR(IF(INDEX(Deals!$C$2:$C$355,MATCH($C562,Deals!$A$2:$A$355,0))=0,"",INDEX(Deals!$C$2:$C$355,MATCH($C562,Deals!$A$2:$A$355,0))),"?"))</f>
        <v/>
      </c>
      <c r="E562" s="16">
        <f>IF($C562="","",IFERROR(INDEX(Deals!$F$2:$F$355,MATCH($C562,Deals!$A$2:$A$355,0)),"?"))</f>
        <v/>
      </c>
      <c r="F562" s="28" t="inlineStr">
        <is>
          <t>Renewable Specialist</t>
        </is>
      </c>
      <c r="G562" s="28" t="inlineStr">
        <is>
          <t>Active</t>
        </is>
      </c>
      <c r="H562" s="31" t="n"/>
      <c r="I562" s="32">
        <f>IF(OR($A562="",$G562&lt;&gt;"Active"),0,IF($H562&lt;&gt;"",$H562,IF($AO562&gt;0,$AP562,IF(AND($R562&lt;&gt;"",IFERROR(INDEX(Templates!$B$3:$H$10,MATCH($R562,Templates!$A$3:$A$10,0),MATCH($F562,Templates!$B$2:$H$2,0)),0)&gt;0),INDEX(Templates!$B$3:$H$10,MATCH($R562,Templates!$A$3:$A$10,0),MATCH($F562,Templates!$B$2:$H$2,0)),IFERROR(INDEX(Settings!$B$8:$B$14,MATCH($F562,Settings!$A$8:$A$14,0)),0)))))</f>
        <v/>
      </c>
      <c r="J562" s="21">
        <f>IF($C562="",0,IFERROR(INDEX(Deals!$H$2:$H$355,MATCH($C562,Deals!$A$2:$A$355,0)),0))</f>
        <v/>
      </c>
      <c r="K562" s="32">
        <f>IF(Settings!$B$4="Yes",$I562*$J562,$I562)</f>
        <v/>
      </c>
      <c r="L562" s="22">
        <f>IF($C562="","",IFERROR(IF(INDEX(Deals!$I$2:$I$355,MATCH($C562,Deals!$A$2:$A$355,0))=0,"",INDEX(Deals!$I$2:$I$355,MATCH($C562,Deals!$A$2:$A$355,0))),""))</f>
        <v/>
      </c>
      <c r="M562" s="22">
        <f>IF($C562="","",IFERROR(IF(INDEX(Deals!$J$2:$J$355,MATCH($C562,Deals!$A$2:$A$355,0))=0,"",INDEX(Deals!$J$2:$J$355,MATCH($C562,Deals!$A$2:$A$355,0))),""))</f>
        <v/>
      </c>
      <c r="N562" s="35">
        <f>IF($L562="",DATE(1900,1,1),$L562)</f>
        <v/>
      </c>
      <c r="O562" s="35">
        <f>IF($M562="",DATE(2100,12,31),$M562)</f>
        <v/>
      </c>
      <c r="P562" s="20" t="inlineStr"/>
      <c r="Q562" s="47" t="inlineStr"/>
      <c r="R562" s="16">
        <f>IF($C562="","",IFERROR(IF(INDEX(Deals!$U$2:$U$355,MATCH($C562,Deals!$A$2:$A$355,0))=0,"",INDEX(Deals!$U$2:$U$355,MATCH($C562,Deals!$A$2:$A$355,0))),""))</f>
        <v/>
      </c>
      <c r="S562" s="34">
        <f>IFERROR(IF($U562="",1,INDEX(Deals!$V$2:$V$355,MATCH($C562,Deals!$A$2:$A$355,0))),1)</f>
        <v/>
      </c>
      <c r="T562" s="34">
        <f>IFERROR(IF($U562="",1,INDEX(Deals!$W$2:$W$355,MATCH($C562,Deals!$A$2:$A$355,0))),1)</f>
        <v/>
      </c>
      <c r="U562" s="22">
        <f>IF($C562="","",IFERROR(IF(INDEX(Deals!$Y$2:$Y$355,MATCH($C562,Deals!$A$2:$A$355,0))=0,"",INDEX(Deals!$Y$2:$Y$355,MATCH($C562,Deals!$A$2:$A$355,0))),""))</f>
        <v/>
      </c>
      <c r="V562" s="35">
        <f>IF(OR($U562&lt;&gt;"",AND($AO562&gt;0,$L562&lt;&gt;"",$M562&lt;&gt;"")),$N562,DATE(1900,1,1))</f>
        <v/>
      </c>
      <c r="W562" s="35">
        <f>IF($U562&lt;&gt;"",$U562,IF(AND($AO562&gt;0,$L562&lt;&gt;"",$M562&lt;&gt;""),$O562,DATE(2100,12,31)))</f>
        <v/>
      </c>
      <c r="X562" s="32">
        <f>IF($U562="",$K562,$K562*$S562)</f>
        <v/>
      </c>
      <c r="Y562" s="35">
        <f>IF($U562="",DATE(2100,12,31),$U562+1)</f>
        <v/>
      </c>
      <c r="Z562" s="35">
        <f>IF($U562="",DATE(1900,1,1),$O562)</f>
        <v/>
      </c>
      <c r="AA562" s="32">
        <f>IF($U562="",0,$K562*$T562)</f>
        <v/>
      </c>
      <c r="AB562" s="21">
        <f>IF($C562="",0,IFERROR(INDEX(Deals!$AD$2:$AD$355,MATCH($C562,Deals!$A$2:$A$355,0)),0))</f>
        <v/>
      </c>
      <c r="AC562" s="32">
        <f>IF(Settings!$B$4="Yes",$I562*$AB562,$I562)</f>
        <v/>
      </c>
      <c r="AD562" s="22">
        <f>IF($C562="","",IFERROR(IF(INDEX(Deals!$AE$2:$AE$355,MATCH($C562,Deals!$A$2:$A$355,0))=0,"",INDEX(Deals!$AE$2:$AE$355,MATCH($C562,Deals!$A$2:$A$355,0))),""))</f>
        <v/>
      </c>
      <c r="AE562" s="22">
        <f>IF($C562="","",IFERROR(IF(INDEX(Deals!$AF$2:$AF$355,MATCH($C562,Deals!$A$2:$A$355,0))=0,"",INDEX(Deals!$AF$2:$AF$355,MATCH($C562,Deals!$A$2:$A$355,0))),""))</f>
        <v/>
      </c>
      <c r="AF562" s="35">
        <f>IF($AD562="",DATE(1900,1,1),$AD562)</f>
        <v/>
      </c>
      <c r="AG562" s="35">
        <f>IF($AE562="",DATE(2100,12,31),$AE562)</f>
        <v/>
      </c>
      <c r="AH562" s="22">
        <f>IF($C562="","",IFERROR(IF(INDEX(Deals!$AG$2:$AG$355,MATCH($C562,Deals!$A$2:$A$355,0))=0,"",INDEX(Deals!$AG$2:$AG$355,MATCH($C562,Deals!$A$2:$A$355,0))),""))</f>
        <v/>
      </c>
      <c r="AI562" s="35">
        <f>IF(OR($AH562&lt;&gt;"",AND($AO562&gt;0,$AD562&lt;&gt;"",$AE562&lt;&gt;"")),$AF562,DATE(1900,1,1))</f>
        <v/>
      </c>
      <c r="AJ562" s="35">
        <f>IF($AH562&lt;&gt;"",$AH562,IF(AND($AO562&gt;0,$AD562&lt;&gt;"",$AE562&lt;&gt;""),$AG562,DATE(2100,12,31)))</f>
        <v/>
      </c>
      <c r="AK562" s="32">
        <f>IF($AH562="",$AC562,$AC562*$S562)</f>
        <v/>
      </c>
      <c r="AL562" s="35">
        <f>IF($AH562="",DATE(2100,12,31),$AH562+1)</f>
        <v/>
      </c>
      <c r="AM562" s="35">
        <f>IF($AH562="",DATE(1900,1,1),$AG562)</f>
        <v/>
      </c>
      <c r="AN562" s="32">
        <f>IF($AH562="",0,$AC562*$T562)</f>
        <v/>
      </c>
      <c r="AO562" s="46">
        <f>IF($C562="",0,IFERROR(INDEX(Deals!$BD$2:$BD$355,MATCH($C562,Deals!$A$2:$A$355,0)),0))</f>
        <v/>
      </c>
      <c r="AP562" s="18">
        <f>IF($AO562=0,0,IFERROR(INDEX(Deals!$BJ$2:$BP$355,MATCH($C562,Deals!$A$2:$A$355,0),MATCH($F562,Deals!$BJ$1:$BP$1,0))/COUNTIFS(Assignments!$C$2:$C$769,$C562,Assignments!$F$2:$F$769,$F562,Assignments!$G$2:$G$769,"Active"),0))</f>
        <v/>
      </c>
    </row>
    <row r="563">
      <c r="A563" s="28" t="inlineStr">
        <is>
          <t>Dorian</t>
        </is>
      </c>
      <c r="B563" s="16">
        <f>IF($A563="","",IFERROR(INDEX(Roster!$B$2:$B$40,MATCH($A563,Roster!$A$2:$A$40,0)),"?"))</f>
        <v/>
      </c>
      <c r="C563" s="28" t="inlineStr">
        <is>
          <t>MeadowBrook_1</t>
        </is>
      </c>
      <c r="D563" s="16">
        <f>IF($C563="","",IFERROR(IF(INDEX(Deals!$C$2:$C$355,MATCH($C563,Deals!$A$2:$A$355,0))=0,"",INDEX(Deals!$C$2:$C$355,MATCH($C563,Deals!$A$2:$A$355,0))),"?"))</f>
        <v/>
      </c>
      <c r="E563" s="16">
        <f>IF($C563="","",IFERROR(INDEX(Deals!$F$2:$F$355,MATCH($C563,Deals!$A$2:$A$355,0)),"?"))</f>
        <v/>
      </c>
      <c r="F563" s="28" t="inlineStr">
        <is>
          <t>Renewable Specialist</t>
        </is>
      </c>
      <c r="G563" s="28" t="inlineStr">
        <is>
          <t>Active</t>
        </is>
      </c>
      <c r="H563" s="31" t="n"/>
      <c r="I563" s="32">
        <f>IF(OR($A563="",$G563&lt;&gt;"Active"),0,IF($H563&lt;&gt;"",$H563,IF($AO563&gt;0,$AP563,IF(AND($R563&lt;&gt;"",IFERROR(INDEX(Templates!$B$3:$H$10,MATCH($R563,Templates!$A$3:$A$10,0),MATCH($F563,Templates!$B$2:$H$2,0)),0)&gt;0),INDEX(Templates!$B$3:$H$10,MATCH($R563,Templates!$A$3:$A$10,0),MATCH($F563,Templates!$B$2:$H$2,0)),IFERROR(INDEX(Settings!$B$8:$B$14,MATCH($F563,Settings!$A$8:$A$14,0)),0)))))</f>
        <v/>
      </c>
      <c r="J563" s="21">
        <f>IF($C563="",0,IFERROR(INDEX(Deals!$H$2:$H$355,MATCH($C563,Deals!$A$2:$A$355,0)),0))</f>
        <v/>
      </c>
      <c r="K563" s="32">
        <f>IF(Settings!$B$4="Yes",$I563*$J563,$I563)</f>
        <v/>
      </c>
      <c r="L563" s="22">
        <f>IF($C563="","",IFERROR(IF(INDEX(Deals!$I$2:$I$355,MATCH($C563,Deals!$A$2:$A$355,0))=0,"",INDEX(Deals!$I$2:$I$355,MATCH($C563,Deals!$A$2:$A$355,0))),""))</f>
        <v/>
      </c>
      <c r="M563" s="22">
        <f>IF($C563="","",IFERROR(IF(INDEX(Deals!$J$2:$J$355,MATCH($C563,Deals!$A$2:$A$355,0))=0,"",INDEX(Deals!$J$2:$J$355,MATCH($C563,Deals!$A$2:$A$355,0))),""))</f>
        <v/>
      </c>
      <c r="N563" s="35">
        <f>IF($L563="",DATE(1900,1,1),$L563)</f>
        <v/>
      </c>
      <c r="O563" s="35">
        <f>IF($M563="",DATE(2100,12,31),$M563)</f>
        <v/>
      </c>
      <c r="P563" s="20" t="inlineStr"/>
      <c r="Q563" s="47" t="inlineStr"/>
      <c r="R563" s="16">
        <f>IF($C563="","",IFERROR(IF(INDEX(Deals!$U$2:$U$355,MATCH($C563,Deals!$A$2:$A$355,0))=0,"",INDEX(Deals!$U$2:$U$355,MATCH($C563,Deals!$A$2:$A$355,0))),""))</f>
        <v/>
      </c>
      <c r="S563" s="34">
        <f>IFERROR(IF($U563="",1,INDEX(Deals!$V$2:$V$355,MATCH($C563,Deals!$A$2:$A$355,0))),1)</f>
        <v/>
      </c>
      <c r="T563" s="34">
        <f>IFERROR(IF($U563="",1,INDEX(Deals!$W$2:$W$355,MATCH($C563,Deals!$A$2:$A$355,0))),1)</f>
        <v/>
      </c>
      <c r="U563" s="22">
        <f>IF($C563="","",IFERROR(IF(INDEX(Deals!$Y$2:$Y$355,MATCH($C563,Deals!$A$2:$A$355,0))=0,"",INDEX(Deals!$Y$2:$Y$355,MATCH($C563,Deals!$A$2:$A$355,0))),""))</f>
        <v/>
      </c>
      <c r="V563" s="35">
        <f>IF(OR($U563&lt;&gt;"",AND($AO563&gt;0,$L563&lt;&gt;"",$M563&lt;&gt;"")),$N563,DATE(1900,1,1))</f>
        <v/>
      </c>
      <c r="W563" s="35">
        <f>IF($U563&lt;&gt;"",$U563,IF(AND($AO563&gt;0,$L563&lt;&gt;"",$M563&lt;&gt;""),$O563,DATE(2100,12,31)))</f>
        <v/>
      </c>
      <c r="X563" s="32">
        <f>IF($U563="",$K563,$K563*$S563)</f>
        <v/>
      </c>
      <c r="Y563" s="35">
        <f>IF($U563="",DATE(2100,12,31),$U563+1)</f>
        <v/>
      </c>
      <c r="Z563" s="35">
        <f>IF($U563="",DATE(1900,1,1),$O563)</f>
        <v/>
      </c>
      <c r="AA563" s="32">
        <f>IF($U563="",0,$K563*$T563)</f>
        <v/>
      </c>
      <c r="AB563" s="21">
        <f>IF($C563="",0,IFERROR(INDEX(Deals!$AD$2:$AD$355,MATCH($C563,Deals!$A$2:$A$355,0)),0))</f>
        <v/>
      </c>
      <c r="AC563" s="32">
        <f>IF(Settings!$B$4="Yes",$I563*$AB563,$I563)</f>
        <v/>
      </c>
      <c r="AD563" s="22">
        <f>IF($C563="","",IFERROR(IF(INDEX(Deals!$AE$2:$AE$355,MATCH($C563,Deals!$A$2:$A$355,0))=0,"",INDEX(Deals!$AE$2:$AE$355,MATCH($C563,Deals!$A$2:$A$355,0))),""))</f>
        <v/>
      </c>
      <c r="AE563" s="22">
        <f>IF($C563="","",IFERROR(IF(INDEX(Deals!$AF$2:$AF$355,MATCH($C563,Deals!$A$2:$A$355,0))=0,"",INDEX(Deals!$AF$2:$AF$355,MATCH($C563,Deals!$A$2:$A$355,0))),""))</f>
        <v/>
      </c>
      <c r="AF563" s="35">
        <f>IF($AD563="",DATE(1900,1,1),$AD563)</f>
        <v/>
      </c>
      <c r="AG563" s="35">
        <f>IF($AE563="",DATE(2100,12,31),$AE563)</f>
        <v/>
      </c>
      <c r="AH563" s="22">
        <f>IF($C563="","",IFERROR(IF(INDEX(Deals!$AG$2:$AG$355,MATCH($C563,Deals!$A$2:$A$355,0))=0,"",INDEX(Deals!$AG$2:$AG$355,MATCH($C563,Deals!$A$2:$A$355,0))),""))</f>
        <v/>
      </c>
      <c r="AI563" s="35">
        <f>IF(OR($AH563&lt;&gt;"",AND($AO563&gt;0,$AD563&lt;&gt;"",$AE563&lt;&gt;"")),$AF563,DATE(1900,1,1))</f>
        <v/>
      </c>
      <c r="AJ563" s="35">
        <f>IF($AH563&lt;&gt;"",$AH563,IF(AND($AO563&gt;0,$AD563&lt;&gt;"",$AE563&lt;&gt;""),$AG563,DATE(2100,12,31)))</f>
        <v/>
      </c>
      <c r="AK563" s="32">
        <f>IF($AH563="",$AC563,$AC563*$S563)</f>
        <v/>
      </c>
      <c r="AL563" s="35">
        <f>IF($AH563="",DATE(2100,12,31),$AH563+1)</f>
        <v/>
      </c>
      <c r="AM563" s="35">
        <f>IF($AH563="",DATE(1900,1,1),$AG563)</f>
        <v/>
      </c>
      <c r="AN563" s="32">
        <f>IF($AH563="",0,$AC563*$T563)</f>
        <v/>
      </c>
      <c r="AO563" s="46">
        <f>IF($C563="",0,IFERROR(INDEX(Deals!$BD$2:$BD$355,MATCH($C563,Deals!$A$2:$A$355,0)),0))</f>
        <v/>
      </c>
      <c r="AP563" s="18">
        <f>IF($AO563=0,0,IFERROR(INDEX(Deals!$BJ$2:$BP$355,MATCH($C563,Deals!$A$2:$A$355,0),MATCH($F563,Deals!$BJ$1:$BP$1,0))/COUNTIFS(Assignments!$C$2:$C$769,$C563,Assignments!$F$2:$F$769,$F563,Assignments!$G$2:$G$769,"Active"),0))</f>
        <v/>
      </c>
    </row>
    <row r="564">
      <c r="A564" s="28" t="inlineStr">
        <is>
          <t>Dorian</t>
        </is>
      </c>
      <c r="B564" s="16">
        <f>IF($A564="","",IFERROR(INDEX(Roster!$B$2:$B$40,MATCH($A564,Roster!$A$2:$A$40,0)),"?"))</f>
        <v/>
      </c>
      <c r="C564" s="28" t="inlineStr">
        <is>
          <t>Modport_1</t>
        </is>
      </c>
      <c r="D564" s="16">
        <f>IF($C564="","",IFERROR(IF(INDEX(Deals!$C$2:$C$355,MATCH($C564,Deals!$A$2:$A$355,0))=0,"",INDEX(Deals!$C$2:$C$355,MATCH($C564,Deals!$A$2:$A$355,0))),"?"))</f>
        <v/>
      </c>
      <c r="E564" s="16">
        <f>IF($C564="","",IFERROR(INDEX(Deals!$F$2:$F$355,MATCH($C564,Deals!$A$2:$A$355,0)),"?"))</f>
        <v/>
      </c>
      <c r="F564" s="28" t="inlineStr">
        <is>
          <t>Renewable Specialist</t>
        </is>
      </c>
      <c r="G564" s="28" t="inlineStr">
        <is>
          <t>Active</t>
        </is>
      </c>
      <c r="H564" s="31" t="n"/>
      <c r="I564" s="32">
        <f>IF(OR($A564="",$G564&lt;&gt;"Active"),0,IF($H564&lt;&gt;"",$H564,IF($AO564&gt;0,$AP564,IF(AND($R564&lt;&gt;"",IFERROR(INDEX(Templates!$B$3:$H$10,MATCH($R564,Templates!$A$3:$A$10,0),MATCH($F564,Templates!$B$2:$H$2,0)),0)&gt;0),INDEX(Templates!$B$3:$H$10,MATCH($R564,Templates!$A$3:$A$10,0),MATCH($F564,Templates!$B$2:$H$2,0)),IFERROR(INDEX(Settings!$B$8:$B$14,MATCH($F564,Settings!$A$8:$A$14,0)),0)))))</f>
        <v/>
      </c>
      <c r="J564" s="21">
        <f>IF($C564="",0,IFERROR(INDEX(Deals!$H$2:$H$355,MATCH($C564,Deals!$A$2:$A$355,0)),0))</f>
        <v/>
      </c>
      <c r="K564" s="32">
        <f>IF(Settings!$B$4="Yes",$I564*$J564,$I564)</f>
        <v/>
      </c>
      <c r="L564" s="22">
        <f>IF($C564="","",IFERROR(IF(INDEX(Deals!$I$2:$I$355,MATCH($C564,Deals!$A$2:$A$355,0))=0,"",INDEX(Deals!$I$2:$I$355,MATCH($C564,Deals!$A$2:$A$355,0))),""))</f>
        <v/>
      </c>
      <c r="M564" s="22">
        <f>IF($C564="","",IFERROR(IF(INDEX(Deals!$J$2:$J$355,MATCH($C564,Deals!$A$2:$A$355,0))=0,"",INDEX(Deals!$J$2:$J$355,MATCH($C564,Deals!$A$2:$A$355,0))),""))</f>
        <v/>
      </c>
      <c r="N564" s="35">
        <f>IF($L564="",DATE(1900,1,1),$L564)</f>
        <v/>
      </c>
      <c r="O564" s="35">
        <f>IF($M564="",DATE(2100,12,31),$M564)</f>
        <v/>
      </c>
      <c r="P564" s="20" t="inlineStr"/>
      <c r="Q564" s="47" t="inlineStr"/>
      <c r="R564" s="16">
        <f>IF($C564="","",IFERROR(IF(INDEX(Deals!$U$2:$U$355,MATCH($C564,Deals!$A$2:$A$355,0))=0,"",INDEX(Deals!$U$2:$U$355,MATCH($C564,Deals!$A$2:$A$355,0))),""))</f>
        <v/>
      </c>
      <c r="S564" s="34">
        <f>IFERROR(IF($U564="",1,INDEX(Deals!$V$2:$V$355,MATCH($C564,Deals!$A$2:$A$355,0))),1)</f>
        <v/>
      </c>
      <c r="T564" s="34">
        <f>IFERROR(IF($U564="",1,INDEX(Deals!$W$2:$W$355,MATCH($C564,Deals!$A$2:$A$355,0))),1)</f>
        <v/>
      </c>
      <c r="U564" s="22">
        <f>IF($C564="","",IFERROR(IF(INDEX(Deals!$Y$2:$Y$355,MATCH($C564,Deals!$A$2:$A$355,0))=0,"",INDEX(Deals!$Y$2:$Y$355,MATCH($C564,Deals!$A$2:$A$355,0))),""))</f>
        <v/>
      </c>
      <c r="V564" s="35">
        <f>IF(OR($U564&lt;&gt;"",AND($AO564&gt;0,$L564&lt;&gt;"",$M564&lt;&gt;"")),$N564,DATE(1900,1,1))</f>
        <v/>
      </c>
      <c r="W564" s="35">
        <f>IF($U564&lt;&gt;"",$U564,IF(AND($AO564&gt;0,$L564&lt;&gt;"",$M564&lt;&gt;""),$O564,DATE(2100,12,31)))</f>
        <v/>
      </c>
      <c r="X564" s="32">
        <f>IF($U564="",$K564,$K564*$S564)</f>
        <v/>
      </c>
      <c r="Y564" s="35">
        <f>IF($U564="",DATE(2100,12,31),$U564+1)</f>
        <v/>
      </c>
      <c r="Z564" s="35">
        <f>IF($U564="",DATE(1900,1,1),$O564)</f>
        <v/>
      </c>
      <c r="AA564" s="32">
        <f>IF($U564="",0,$K564*$T564)</f>
        <v/>
      </c>
      <c r="AB564" s="21">
        <f>IF($C564="",0,IFERROR(INDEX(Deals!$AD$2:$AD$355,MATCH($C564,Deals!$A$2:$A$355,0)),0))</f>
        <v/>
      </c>
      <c r="AC564" s="32">
        <f>IF(Settings!$B$4="Yes",$I564*$AB564,$I564)</f>
        <v/>
      </c>
      <c r="AD564" s="22">
        <f>IF($C564="","",IFERROR(IF(INDEX(Deals!$AE$2:$AE$355,MATCH($C564,Deals!$A$2:$A$355,0))=0,"",INDEX(Deals!$AE$2:$AE$355,MATCH($C564,Deals!$A$2:$A$355,0))),""))</f>
        <v/>
      </c>
      <c r="AE564" s="22">
        <f>IF($C564="","",IFERROR(IF(INDEX(Deals!$AF$2:$AF$355,MATCH($C564,Deals!$A$2:$A$355,0))=0,"",INDEX(Deals!$AF$2:$AF$355,MATCH($C564,Deals!$A$2:$A$355,0))),""))</f>
        <v/>
      </c>
      <c r="AF564" s="35">
        <f>IF($AD564="",DATE(1900,1,1),$AD564)</f>
        <v/>
      </c>
      <c r="AG564" s="35">
        <f>IF($AE564="",DATE(2100,12,31),$AE564)</f>
        <v/>
      </c>
      <c r="AH564" s="22">
        <f>IF($C564="","",IFERROR(IF(INDEX(Deals!$AG$2:$AG$355,MATCH($C564,Deals!$A$2:$A$355,0))=0,"",INDEX(Deals!$AG$2:$AG$355,MATCH($C564,Deals!$A$2:$A$355,0))),""))</f>
        <v/>
      </c>
      <c r="AI564" s="35">
        <f>IF(OR($AH564&lt;&gt;"",AND($AO564&gt;0,$AD564&lt;&gt;"",$AE564&lt;&gt;"")),$AF564,DATE(1900,1,1))</f>
        <v/>
      </c>
      <c r="AJ564" s="35">
        <f>IF($AH564&lt;&gt;"",$AH564,IF(AND($AO564&gt;0,$AD564&lt;&gt;"",$AE564&lt;&gt;""),$AG564,DATE(2100,12,31)))</f>
        <v/>
      </c>
      <c r="AK564" s="32">
        <f>IF($AH564="",$AC564,$AC564*$S564)</f>
        <v/>
      </c>
      <c r="AL564" s="35">
        <f>IF($AH564="",DATE(2100,12,31),$AH564+1)</f>
        <v/>
      </c>
      <c r="AM564" s="35">
        <f>IF($AH564="",DATE(1900,1,1),$AG564)</f>
        <v/>
      </c>
      <c r="AN564" s="32">
        <f>IF($AH564="",0,$AC564*$T564)</f>
        <v/>
      </c>
      <c r="AO564" s="46">
        <f>IF($C564="",0,IFERROR(INDEX(Deals!$BD$2:$BD$355,MATCH($C564,Deals!$A$2:$A$355,0)),0))</f>
        <v/>
      </c>
      <c r="AP564" s="18">
        <f>IF($AO564=0,0,IFERROR(INDEX(Deals!$BJ$2:$BP$355,MATCH($C564,Deals!$A$2:$A$355,0),MATCH($F564,Deals!$BJ$1:$BP$1,0))/COUNTIFS(Assignments!$C$2:$C$769,$C564,Assignments!$F$2:$F$769,$F564,Assignments!$G$2:$G$769,"Active"),0))</f>
        <v/>
      </c>
    </row>
    <row r="565">
      <c r="A565" s="28" t="inlineStr">
        <is>
          <t>Dorian</t>
        </is>
      </c>
      <c r="B565" s="16">
        <f>IF($A565="","",IFERROR(INDEX(Roster!$B$2:$B$40,MATCH($A565,Roster!$A$2:$A$40,0)),"?"))</f>
        <v/>
      </c>
      <c r="C565" s="28" t="inlineStr">
        <is>
          <t>Neutrino_1</t>
        </is>
      </c>
      <c r="D565" s="16">
        <f>IF($C565="","",IFERROR(IF(INDEX(Deals!$C$2:$C$355,MATCH($C565,Deals!$A$2:$A$355,0))=0,"",INDEX(Deals!$C$2:$C$355,MATCH($C565,Deals!$A$2:$A$355,0))),"?"))</f>
        <v/>
      </c>
      <c r="E565" s="16">
        <f>IF($C565="","",IFERROR(INDEX(Deals!$F$2:$F$355,MATCH($C565,Deals!$A$2:$A$355,0)),"?"))</f>
        <v/>
      </c>
      <c r="F565" s="28" t="inlineStr">
        <is>
          <t>Renewable Specialist</t>
        </is>
      </c>
      <c r="G565" s="28" t="inlineStr">
        <is>
          <t>Active</t>
        </is>
      </c>
      <c r="H565" s="31" t="n"/>
      <c r="I565" s="32">
        <f>IF(OR($A565="",$G565&lt;&gt;"Active"),0,IF($H565&lt;&gt;"",$H565,IF($AO565&gt;0,$AP565,IF(AND($R565&lt;&gt;"",IFERROR(INDEX(Templates!$B$3:$H$10,MATCH($R565,Templates!$A$3:$A$10,0),MATCH($F565,Templates!$B$2:$H$2,0)),0)&gt;0),INDEX(Templates!$B$3:$H$10,MATCH($R565,Templates!$A$3:$A$10,0),MATCH($F565,Templates!$B$2:$H$2,0)),IFERROR(INDEX(Settings!$B$8:$B$14,MATCH($F565,Settings!$A$8:$A$14,0)),0)))))</f>
        <v/>
      </c>
      <c r="J565" s="21">
        <f>IF($C565="",0,IFERROR(INDEX(Deals!$H$2:$H$355,MATCH($C565,Deals!$A$2:$A$355,0)),0))</f>
        <v/>
      </c>
      <c r="K565" s="32">
        <f>IF(Settings!$B$4="Yes",$I565*$J565,$I565)</f>
        <v/>
      </c>
      <c r="L565" s="22">
        <f>IF($C565="","",IFERROR(IF(INDEX(Deals!$I$2:$I$355,MATCH($C565,Deals!$A$2:$A$355,0))=0,"",INDEX(Deals!$I$2:$I$355,MATCH($C565,Deals!$A$2:$A$355,0))),""))</f>
        <v/>
      </c>
      <c r="M565" s="22">
        <f>IF($C565="","",IFERROR(IF(INDEX(Deals!$J$2:$J$355,MATCH($C565,Deals!$A$2:$A$355,0))=0,"",INDEX(Deals!$J$2:$J$355,MATCH($C565,Deals!$A$2:$A$355,0))),""))</f>
        <v/>
      </c>
      <c r="N565" s="35">
        <f>IF($L565="",DATE(1900,1,1),$L565)</f>
        <v/>
      </c>
      <c r="O565" s="35">
        <f>IF($M565="",DATE(2100,12,31),$M565)</f>
        <v/>
      </c>
      <c r="P565" s="20" t="inlineStr"/>
      <c r="Q565" s="47" t="inlineStr"/>
      <c r="R565" s="16">
        <f>IF($C565="","",IFERROR(IF(INDEX(Deals!$U$2:$U$355,MATCH($C565,Deals!$A$2:$A$355,0))=0,"",INDEX(Deals!$U$2:$U$355,MATCH($C565,Deals!$A$2:$A$355,0))),""))</f>
        <v/>
      </c>
      <c r="S565" s="34">
        <f>IFERROR(IF($U565="",1,INDEX(Deals!$V$2:$V$355,MATCH($C565,Deals!$A$2:$A$355,0))),1)</f>
        <v/>
      </c>
      <c r="T565" s="34">
        <f>IFERROR(IF($U565="",1,INDEX(Deals!$W$2:$W$355,MATCH($C565,Deals!$A$2:$A$355,0))),1)</f>
        <v/>
      </c>
      <c r="U565" s="22">
        <f>IF($C565="","",IFERROR(IF(INDEX(Deals!$Y$2:$Y$355,MATCH($C565,Deals!$A$2:$A$355,0))=0,"",INDEX(Deals!$Y$2:$Y$355,MATCH($C565,Deals!$A$2:$A$355,0))),""))</f>
        <v/>
      </c>
      <c r="V565" s="35">
        <f>IF(OR($U565&lt;&gt;"",AND($AO565&gt;0,$L565&lt;&gt;"",$M565&lt;&gt;"")),$N565,DATE(1900,1,1))</f>
        <v/>
      </c>
      <c r="W565" s="35">
        <f>IF($U565&lt;&gt;"",$U565,IF(AND($AO565&gt;0,$L565&lt;&gt;"",$M565&lt;&gt;""),$O565,DATE(2100,12,31)))</f>
        <v/>
      </c>
      <c r="X565" s="32">
        <f>IF($U565="",$K565,$K565*$S565)</f>
        <v/>
      </c>
      <c r="Y565" s="35">
        <f>IF($U565="",DATE(2100,12,31),$U565+1)</f>
        <v/>
      </c>
      <c r="Z565" s="35">
        <f>IF($U565="",DATE(1900,1,1),$O565)</f>
        <v/>
      </c>
      <c r="AA565" s="32">
        <f>IF($U565="",0,$K565*$T565)</f>
        <v/>
      </c>
      <c r="AB565" s="21">
        <f>IF($C565="",0,IFERROR(INDEX(Deals!$AD$2:$AD$355,MATCH($C565,Deals!$A$2:$A$355,0)),0))</f>
        <v/>
      </c>
      <c r="AC565" s="32">
        <f>IF(Settings!$B$4="Yes",$I565*$AB565,$I565)</f>
        <v/>
      </c>
      <c r="AD565" s="22">
        <f>IF($C565="","",IFERROR(IF(INDEX(Deals!$AE$2:$AE$355,MATCH($C565,Deals!$A$2:$A$355,0))=0,"",INDEX(Deals!$AE$2:$AE$355,MATCH($C565,Deals!$A$2:$A$355,0))),""))</f>
        <v/>
      </c>
      <c r="AE565" s="22">
        <f>IF($C565="","",IFERROR(IF(INDEX(Deals!$AF$2:$AF$355,MATCH($C565,Deals!$A$2:$A$355,0))=0,"",INDEX(Deals!$AF$2:$AF$355,MATCH($C565,Deals!$A$2:$A$355,0))),""))</f>
        <v/>
      </c>
      <c r="AF565" s="35">
        <f>IF($AD565="",DATE(1900,1,1),$AD565)</f>
        <v/>
      </c>
      <c r="AG565" s="35">
        <f>IF($AE565="",DATE(2100,12,31),$AE565)</f>
        <v/>
      </c>
      <c r="AH565" s="22">
        <f>IF($C565="","",IFERROR(IF(INDEX(Deals!$AG$2:$AG$355,MATCH($C565,Deals!$A$2:$A$355,0))=0,"",INDEX(Deals!$AG$2:$AG$355,MATCH($C565,Deals!$A$2:$A$355,0))),""))</f>
        <v/>
      </c>
      <c r="AI565" s="35">
        <f>IF(OR($AH565&lt;&gt;"",AND($AO565&gt;0,$AD565&lt;&gt;"",$AE565&lt;&gt;"")),$AF565,DATE(1900,1,1))</f>
        <v/>
      </c>
      <c r="AJ565" s="35">
        <f>IF($AH565&lt;&gt;"",$AH565,IF(AND($AO565&gt;0,$AD565&lt;&gt;"",$AE565&lt;&gt;""),$AG565,DATE(2100,12,31)))</f>
        <v/>
      </c>
      <c r="AK565" s="32">
        <f>IF($AH565="",$AC565,$AC565*$S565)</f>
        <v/>
      </c>
      <c r="AL565" s="35">
        <f>IF($AH565="",DATE(2100,12,31),$AH565+1)</f>
        <v/>
      </c>
      <c r="AM565" s="35">
        <f>IF($AH565="",DATE(1900,1,1),$AG565)</f>
        <v/>
      </c>
      <c r="AN565" s="32">
        <f>IF($AH565="",0,$AC565*$T565)</f>
        <v/>
      </c>
      <c r="AO565" s="46">
        <f>IF($C565="",0,IFERROR(INDEX(Deals!$BD$2:$BD$355,MATCH($C565,Deals!$A$2:$A$355,0)),0))</f>
        <v/>
      </c>
      <c r="AP565" s="18">
        <f>IF($AO565=0,0,IFERROR(INDEX(Deals!$BJ$2:$BP$355,MATCH($C565,Deals!$A$2:$A$355,0),MATCH($F565,Deals!$BJ$1:$BP$1,0))/COUNTIFS(Assignments!$C$2:$C$769,$C565,Assignments!$F$2:$F$769,$F565,Assignments!$G$2:$G$769,"Active"),0))</f>
        <v/>
      </c>
    </row>
    <row r="566">
      <c r="A566" s="28" t="inlineStr">
        <is>
          <t>Dorian</t>
        </is>
      </c>
      <c r="B566" s="16">
        <f>IF($A566="","",IFERROR(INDEX(Roster!$B$2:$B$40,MATCH($A566,Roster!$A$2:$A$40,0)),"?"))</f>
        <v/>
      </c>
      <c r="C566" s="28" t="inlineStr">
        <is>
          <t>New Haven_1</t>
        </is>
      </c>
      <c r="D566" s="16">
        <f>IF($C566="","",IFERROR(IF(INDEX(Deals!$C$2:$C$355,MATCH($C566,Deals!$A$2:$A$355,0))=0,"",INDEX(Deals!$C$2:$C$355,MATCH($C566,Deals!$A$2:$A$355,0))),"?"))</f>
        <v/>
      </c>
      <c r="E566" s="16">
        <f>IF($C566="","",IFERROR(INDEX(Deals!$F$2:$F$355,MATCH($C566,Deals!$A$2:$A$355,0)),"?"))</f>
        <v/>
      </c>
      <c r="F566" s="28" t="inlineStr">
        <is>
          <t>Renewable Specialist</t>
        </is>
      </c>
      <c r="G566" s="28" t="inlineStr">
        <is>
          <t>Active</t>
        </is>
      </c>
      <c r="H566" s="31" t="n"/>
      <c r="I566" s="32">
        <f>IF(OR($A566="",$G566&lt;&gt;"Active"),0,IF($H566&lt;&gt;"",$H566,IF($AO566&gt;0,$AP566,IF(AND($R566&lt;&gt;"",IFERROR(INDEX(Templates!$B$3:$H$10,MATCH($R566,Templates!$A$3:$A$10,0),MATCH($F566,Templates!$B$2:$H$2,0)),0)&gt;0),INDEX(Templates!$B$3:$H$10,MATCH($R566,Templates!$A$3:$A$10,0),MATCH($F566,Templates!$B$2:$H$2,0)),IFERROR(INDEX(Settings!$B$8:$B$14,MATCH($F566,Settings!$A$8:$A$14,0)),0)))))</f>
        <v/>
      </c>
      <c r="J566" s="21">
        <f>IF($C566="",0,IFERROR(INDEX(Deals!$H$2:$H$355,MATCH($C566,Deals!$A$2:$A$355,0)),0))</f>
        <v/>
      </c>
      <c r="K566" s="32">
        <f>IF(Settings!$B$4="Yes",$I566*$J566,$I566)</f>
        <v/>
      </c>
      <c r="L566" s="22">
        <f>IF($C566="","",IFERROR(IF(INDEX(Deals!$I$2:$I$355,MATCH($C566,Deals!$A$2:$A$355,0))=0,"",INDEX(Deals!$I$2:$I$355,MATCH($C566,Deals!$A$2:$A$355,0))),""))</f>
        <v/>
      </c>
      <c r="M566" s="22">
        <f>IF($C566="","",IFERROR(IF(INDEX(Deals!$J$2:$J$355,MATCH($C566,Deals!$A$2:$A$355,0))=0,"",INDEX(Deals!$J$2:$J$355,MATCH($C566,Deals!$A$2:$A$355,0))),""))</f>
        <v/>
      </c>
      <c r="N566" s="35">
        <f>IF($L566="",DATE(1900,1,1),$L566)</f>
        <v/>
      </c>
      <c r="O566" s="35">
        <f>IF($M566="",DATE(2100,12,31),$M566)</f>
        <v/>
      </c>
      <c r="P566" s="20" t="inlineStr"/>
      <c r="Q566" s="47" t="inlineStr"/>
      <c r="R566" s="16">
        <f>IF($C566="","",IFERROR(IF(INDEX(Deals!$U$2:$U$355,MATCH($C566,Deals!$A$2:$A$355,0))=0,"",INDEX(Deals!$U$2:$U$355,MATCH($C566,Deals!$A$2:$A$355,0))),""))</f>
        <v/>
      </c>
      <c r="S566" s="34">
        <f>IFERROR(IF($U566="",1,INDEX(Deals!$V$2:$V$355,MATCH($C566,Deals!$A$2:$A$355,0))),1)</f>
        <v/>
      </c>
      <c r="T566" s="34">
        <f>IFERROR(IF($U566="",1,INDEX(Deals!$W$2:$W$355,MATCH($C566,Deals!$A$2:$A$355,0))),1)</f>
        <v/>
      </c>
      <c r="U566" s="22">
        <f>IF($C566="","",IFERROR(IF(INDEX(Deals!$Y$2:$Y$355,MATCH($C566,Deals!$A$2:$A$355,0))=0,"",INDEX(Deals!$Y$2:$Y$355,MATCH($C566,Deals!$A$2:$A$355,0))),""))</f>
        <v/>
      </c>
      <c r="V566" s="35">
        <f>IF(OR($U566&lt;&gt;"",AND($AO566&gt;0,$L566&lt;&gt;"",$M566&lt;&gt;"")),$N566,DATE(1900,1,1))</f>
        <v/>
      </c>
      <c r="W566" s="35">
        <f>IF($U566&lt;&gt;"",$U566,IF(AND($AO566&gt;0,$L566&lt;&gt;"",$M566&lt;&gt;""),$O566,DATE(2100,12,31)))</f>
        <v/>
      </c>
      <c r="X566" s="32">
        <f>IF($U566="",$K566,$K566*$S566)</f>
        <v/>
      </c>
      <c r="Y566" s="35">
        <f>IF($U566="",DATE(2100,12,31),$U566+1)</f>
        <v/>
      </c>
      <c r="Z566" s="35">
        <f>IF($U566="",DATE(1900,1,1),$O566)</f>
        <v/>
      </c>
      <c r="AA566" s="32">
        <f>IF($U566="",0,$K566*$T566)</f>
        <v/>
      </c>
      <c r="AB566" s="21">
        <f>IF($C566="",0,IFERROR(INDEX(Deals!$AD$2:$AD$355,MATCH($C566,Deals!$A$2:$A$355,0)),0))</f>
        <v/>
      </c>
      <c r="AC566" s="32">
        <f>IF(Settings!$B$4="Yes",$I566*$AB566,$I566)</f>
        <v/>
      </c>
      <c r="AD566" s="22">
        <f>IF($C566="","",IFERROR(IF(INDEX(Deals!$AE$2:$AE$355,MATCH($C566,Deals!$A$2:$A$355,0))=0,"",INDEX(Deals!$AE$2:$AE$355,MATCH($C566,Deals!$A$2:$A$355,0))),""))</f>
        <v/>
      </c>
      <c r="AE566" s="22">
        <f>IF($C566="","",IFERROR(IF(INDEX(Deals!$AF$2:$AF$355,MATCH($C566,Deals!$A$2:$A$355,0))=0,"",INDEX(Deals!$AF$2:$AF$355,MATCH($C566,Deals!$A$2:$A$355,0))),""))</f>
        <v/>
      </c>
      <c r="AF566" s="35">
        <f>IF($AD566="",DATE(1900,1,1),$AD566)</f>
        <v/>
      </c>
      <c r="AG566" s="35">
        <f>IF($AE566="",DATE(2100,12,31),$AE566)</f>
        <v/>
      </c>
      <c r="AH566" s="22">
        <f>IF($C566="","",IFERROR(IF(INDEX(Deals!$AG$2:$AG$355,MATCH($C566,Deals!$A$2:$A$355,0))=0,"",INDEX(Deals!$AG$2:$AG$355,MATCH($C566,Deals!$A$2:$A$355,0))),""))</f>
        <v/>
      </c>
      <c r="AI566" s="35">
        <f>IF(OR($AH566&lt;&gt;"",AND($AO566&gt;0,$AD566&lt;&gt;"",$AE566&lt;&gt;"")),$AF566,DATE(1900,1,1))</f>
        <v/>
      </c>
      <c r="AJ566" s="35">
        <f>IF($AH566&lt;&gt;"",$AH566,IF(AND($AO566&gt;0,$AD566&lt;&gt;"",$AE566&lt;&gt;""),$AG566,DATE(2100,12,31)))</f>
        <v/>
      </c>
      <c r="AK566" s="32">
        <f>IF($AH566="",$AC566,$AC566*$S566)</f>
        <v/>
      </c>
      <c r="AL566" s="35">
        <f>IF($AH566="",DATE(2100,12,31),$AH566+1)</f>
        <v/>
      </c>
      <c r="AM566" s="35">
        <f>IF($AH566="",DATE(1900,1,1),$AG566)</f>
        <v/>
      </c>
      <c r="AN566" s="32">
        <f>IF($AH566="",0,$AC566*$T566)</f>
        <v/>
      </c>
      <c r="AO566" s="46">
        <f>IF($C566="",0,IFERROR(INDEX(Deals!$BD$2:$BD$355,MATCH($C566,Deals!$A$2:$A$355,0)),0))</f>
        <v/>
      </c>
      <c r="AP566" s="18">
        <f>IF($AO566=0,0,IFERROR(INDEX(Deals!$BJ$2:$BP$355,MATCH($C566,Deals!$A$2:$A$355,0),MATCH($F566,Deals!$BJ$1:$BP$1,0))/COUNTIFS(Assignments!$C$2:$C$769,$C566,Assignments!$F$2:$F$769,$F566,Assignments!$G$2:$G$769,"Active"),0))</f>
        <v/>
      </c>
    </row>
    <row r="567">
      <c r="A567" s="28" t="inlineStr">
        <is>
          <t>Dorian</t>
        </is>
      </c>
      <c r="B567" s="16">
        <f>IF($A567="","",IFERROR(INDEX(Roster!$B$2:$B$40,MATCH($A567,Roster!$A$2:$A$40,0)),"?"))</f>
        <v/>
      </c>
      <c r="C567" s="28" t="inlineStr">
        <is>
          <t>Ninedot_3</t>
        </is>
      </c>
      <c r="D567" s="16">
        <f>IF($C567="","",IFERROR(IF(INDEX(Deals!$C$2:$C$355,MATCH($C567,Deals!$A$2:$A$355,0))=0,"",INDEX(Deals!$C$2:$C$355,MATCH($C567,Deals!$A$2:$A$355,0))),"?"))</f>
        <v/>
      </c>
      <c r="E567" s="16">
        <f>IF($C567="","",IFERROR(INDEX(Deals!$F$2:$F$355,MATCH($C567,Deals!$A$2:$A$355,0)),"?"))</f>
        <v/>
      </c>
      <c r="F567" s="28" t="inlineStr">
        <is>
          <t>Renewable Specialist</t>
        </is>
      </c>
      <c r="G567" s="28" t="inlineStr">
        <is>
          <t>Active</t>
        </is>
      </c>
      <c r="H567" s="31" t="n"/>
      <c r="I567" s="32">
        <f>IF(OR($A567="",$G567&lt;&gt;"Active"),0,IF($H567&lt;&gt;"",$H567,IF($AO567&gt;0,$AP567,IF(AND($R567&lt;&gt;"",IFERROR(INDEX(Templates!$B$3:$H$10,MATCH($R567,Templates!$A$3:$A$10,0),MATCH($F567,Templates!$B$2:$H$2,0)),0)&gt;0),INDEX(Templates!$B$3:$H$10,MATCH($R567,Templates!$A$3:$A$10,0),MATCH($F567,Templates!$B$2:$H$2,0)),IFERROR(INDEX(Settings!$B$8:$B$14,MATCH($F567,Settings!$A$8:$A$14,0)),0)))))</f>
        <v/>
      </c>
      <c r="J567" s="21">
        <f>IF($C567="",0,IFERROR(INDEX(Deals!$H$2:$H$355,MATCH($C567,Deals!$A$2:$A$355,0)),0))</f>
        <v/>
      </c>
      <c r="K567" s="32">
        <f>IF(Settings!$B$4="Yes",$I567*$J567,$I567)</f>
        <v/>
      </c>
      <c r="L567" s="22">
        <f>IF($C567="","",IFERROR(IF(INDEX(Deals!$I$2:$I$355,MATCH($C567,Deals!$A$2:$A$355,0))=0,"",INDEX(Deals!$I$2:$I$355,MATCH($C567,Deals!$A$2:$A$355,0))),""))</f>
        <v/>
      </c>
      <c r="M567" s="22">
        <f>IF($C567="","",IFERROR(IF(INDEX(Deals!$J$2:$J$355,MATCH($C567,Deals!$A$2:$A$355,0))=0,"",INDEX(Deals!$J$2:$J$355,MATCH($C567,Deals!$A$2:$A$355,0))),""))</f>
        <v/>
      </c>
      <c r="N567" s="35">
        <f>IF($L567="",DATE(1900,1,1),$L567)</f>
        <v/>
      </c>
      <c r="O567" s="35">
        <f>IF($M567="",DATE(2100,12,31),$M567)</f>
        <v/>
      </c>
      <c r="P567" s="20" t="inlineStr"/>
      <c r="Q567" s="47" t="inlineStr"/>
      <c r="R567" s="16">
        <f>IF($C567="","",IFERROR(IF(INDEX(Deals!$U$2:$U$355,MATCH($C567,Deals!$A$2:$A$355,0))=0,"",INDEX(Deals!$U$2:$U$355,MATCH($C567,Deals!$A$2:$A$355,0))),""))</f>
        <v/>
      </c>
      <c r="S567" s="34">
        <f>IFERROR(IF($U567="",1,INDEX(Deals!$V$2:$V$355,MATCH($C567,Deals!$A$2:$A$355,0))),1)</f>
        <v/>
      </c>
      <c r="T567" s="34">
        <f>IFERROR(IF($U567="",1,INDEX(Deals!$W$2:$W$355,MATCH($C567,Deals!$A$2:$A$355,0))),1)</f>
        <v/>
      </c>
      <c r="U567" s="22">
        <f>IF($C567="","",IFERROR(IF(INDEX(Deals!$Y$2:$Y$355,MATCH($C567,Deals!$A$2:$A$355,0))=0,"",INDEX(Deals!$Y$2:$Y$355,MATCH($C567,Deals!$A$2:$A$355,0))),""))</f>
        <v/>
      </c>
      <c r="V567" s="35">
        <f>IF(OR($U567&lt;&gt;"",AND($AO567&gt;0,$L567&lt;&gt;"",$M567&lt;&gt;"")),$N567,DATE(1900,1,1))</f>
        <v/>
      </c>
      <c r="W567" s="35">
        <f>IF($U567&lt;&gt;"",$U567,IF(AND($AO567&gt;0,$L567&lt;&gt;"",$M567&lt;&gt;""),$O567,DATE(2100,12,31)))</f>
        <v/>
      </c>
      <c r="X567" s="32">
        <f>IF($U567="",$K567,$K567*$S567)</f>
        <v/>
      </c>
      <c r="Y567" s="35">
        <f>IF($U567="",DATE(2100,12,31),$U567+1)</f>
        <v/>
      </c>
      <c r="Z567" s="35">
        <f>IF($U567="",DATE(1900,1,1),$O567)</f>
        <v/>
      </c>
      <c r="AA567" s="32">
        <f>IF($U567="",0,$K567*$T567)</f>
        <v/>
      </c>
      <c r="AB567" s="21">
        <f>IF($C567="",0,IFERROR(INDEX(Deals!$AD$2:$AD$355,MATCH($C567,Deals!$A$2:$A$355,0)),0))</f>
        <v/>
      </c>
      <c r="AC567" s="32">
        <f>IF(Settings!$B$4="Yes",$I567*$AB567,$I567)</f>
        <v/>
      </c>
      <c r="AD567" s="22">
        <f>IF($C567="","",IFERROR(IF(INDEX(Deals!$AE$2:$AE$355,MATCH($C567,Deals!$A$2:$A$355,0))=0,"",INDEX(Deals!$AE$2:$AE$355,MATCH($C567,Deals!$A$2:$A$355,0))),""))</f>
        <v/>
      </c>
      <c r="AE567" s="22">
        <f>IF($C567="","",IFERROR(IF(INDEX(Deals!$AF$2:$AF$355,MATCH($C567,Deals!$A$2:$A$355,0))=0,"",INDEX(Deals!$AF$2:$AF$355,MATCH($C567,Deals!$A$2:$A$355,0))),""))</f>
        <v/>
      </c>
      <c r="AF567" s="35">
        <f>IF($AD567="",DATE(1900,1,1),$AD567)</f>
        <v/>
      </c>
      <c r="AG567" s="35">
        <f>IF($AE567="",DATE(2100,12,31),$AE567)</f>
        <v/>
      </c>
      <c r="AH567" s="22">
        <f>IF($C567="","",IFERROR(IF(INDEX(Deals!$AG$2:$AG$355,MATCH($C567,Deals!$A$2:$A$355,0))=0,"",INDEX(Deals!$AG$2:$AG$355,MATCH($C567,Deals!$A$2:$A$355,0))),""))</f>
        <v/>
      </c>
      <c r="AI567" s="35">
        <f>IF(OR($AH567&lt;&gt;"",AND($AO567&gt;0,$AD567&lt;&gt;"",$AE567&lt;&gt;"")),$AF567,DATE(1900,1,1))</f>
        <v/>
      </c>
      <c r="AJ567" s="35">
        <f>IF($AH567&lt;&gt;"",$AH567,IF(AND($AO567&gt;0,$AD567&lt;&gt;"",$AE567&lt;&gt;""),$AG567,DATE(2100,12,31)))</f>
        <v/>
      </c>
      <c r="AK567" s="32">
        <f>IF($AH567="",$AC567,$AC567*$S567)</f>
        <v/>
      </c>
      <c r="AL567" s="35">
        <f>IF($AH567="",DATE(2100,12,31),$AH567+1)</f>
        <v/>
      </c>
      <c r="AM567" s="35">
        <f>IF($AH567="",DATE(1900,1,1),$AG567)</f>
        <v/>
      </c>
      <c r="AN567" s="32">
        <f>IF($AH567="",0,$AC567*$T567)</f>
        <v/>
      </c>
      <c r="AO567" s="46">
        <f>IF($C567="",0,IFERROR(INDEX(Deals!$BD$2:$BD$355,MATCH($C567,Deals!$A$2:$A$355,0)),0))</f>
        <v/>
      </c>
      <c r="AP567" s="18">
        <f>IF($AO567=0,0,IFERROR(INDEX(Deals!$BJ$2:$BP$355,MATCH($C567,Deals!$A$2:$A$355,0),MATCH($F567,Deals!$BJ$1:$BP$1,0))/COUNTIFS(Assignments!$C$2:$C$769,$C567,Assignments!$F$2:$F$769,$F567,Assignments!$G$2:$G$769,"Active"),0))</f>
        <v/>
      </c>
    </row>
    <row r="568">
      <c r="A568" s="28" t="inlineStr">
        <is>
          <t>Dorian</t>
        </is>
      </c>
      <c r="B568" s="16">
        <f>IF($A568="","",IFERROR(INDEX(Roster!$B$2:$B$40,MATCH($A568,Roster!$A$2:$A$40,0)),"?"))</f>
        <v/>
      </c>
      <c r="C568" s="28" t="inlineStr">
        <is>
          <t>Palmetto_3</t>
        </is>
      </c>
      <c r="D568" s="16">
        <f>IF($C568="","",IFERROR(IF(INDEX(Deals!$C$2:$C$355,MATCH($C568,Deals!$A$2:$A$355,0))=0,"",INDEX(Deals!$C$2:$C$355,MATCH($C568,Deals!$A$2:$A$355,0))),"?"))</f>
        <v/>
      </c>
      <c r="E568" s="16">
        <f>IF($C568="","",IFERROR(INDEX(Deals!$F$2:$F$355,MATCH($C568,Deals!$A$2:$A$355,0)),"?"))</f>
        <v/>
      </c>
      <c r="F568" s="28" t="inlineStr">
        <is>
          <t>Renewable Specialist</t>
        </is>
      </c>
      <c r="G568" s="28" t="inlineStr">
        <is>
          <t>Active</t>
        </is>
      </c>
      <c r="H568" s="31" t="n"/>
      <c r="I568" s="32">
        <f>IF(OR($A568="",$G568&lt;&gt;"Active"),0,IF($H568&lt;&gt;"",$H568,IF($AO568&gt;0,$AP568,IF(AND($R568&lt;&gt;"",IFERROR(INDEX(Templates!$B$3:$H$10,MATCH($R568,Templates!$A$3:$A$10,0),MATCH($F568,Templates!$B$2:$H$2,0)),0)&gt;0),INDEX(Templates!$B$3:$H$10,MATCH($R568,Templates!$A$3:$A$10,0),MATCH($F568,Templates!$B$2:$H$2,0)),IFERROR(INDEX(Settings!$B$8:$B$14,MATCH($F568,Settings!$A$8:$A$14,0)),0)))))</f>
        <v/>
      </c>
      <c r="J568" s="21">
        <f>IF($C568="",0,IFERROR(INDEX(Deals!$H$2:$H$355,MATCH($C568,Deals!$A$2:$A$355,0)),0))</f>
        <v/>
      </c>
      <c r="K568" s="32">
        <f>IF(Settings!$B$4="Yes",$I568*$J568,$I568)</f>
        <v/>
      </c>
      <c r="L568" s="22">
        <f>IF($C568="","",IFERROR(IF(INDEX(Deals!$I$2:$I$355,MATCH($C568,Deals!$A$2:$A$355,0))=0,"",INDEX(Deals!$I$2:$I$355,MATCH($C568,Deals!$A$2:$A$355,0))),""))</f>
        <v/>
      </c>
      <c r="M568" s="22">
        <f>IF($C568="","",IFERROR(IF(INDEX(Deals!$J$2:$J$355,MATCH($C568,Deals!$A$2:$A$355,0))=0,"",INDEX(Deals!$J$2:$J$355,MATCH($C568,Deals!$A$2:$A$355,0))),""))</f>
        <v/>
      </c>
      <c r="N568" s="35">
        <f>IF($L568="",DATE(1900,1,1),$L568)</f>
        <v/>
      </c>
      <c r="O568" s="35">
        <f>IF($M568="",DATE(2100,12,31),$M568)</f>
        <v/>
      </c>
      <c r="P568" s="20" t="inlineStr"/>
      <c r="Q568" s="47" t="inlineStr"/>
      <c r="R568" s="16">
        <f>IF($C568="","",IFERROR(IF(INDEX(Deals!$U$2:$U$355,MATCH($C568,Deals!$A$2:$A$355,0))=0,"",INDEX(Deals!$U$2:$U$355,MATCH($C568,Deals!$A$2:$A$355,0))),""))</f>
        <v/>
      </c>
      <c r="S568" s="34">
        <f>IFERROR(IF($U568="",1,INDEX(Deals!$V$2:$V$355,MATCH($C568,Deals!$A$2:$A$355,0))),1)</f>
        <v/>
      </c>
      <c r="T568" s="34">
        <f>IFERROR(IF($U568="",1,INDEX(Deals!$W$2:$W$355,MATCH($C568,Deals!$A$2:$A$355,0))),1)</f>
        <v/>
      </c>
      <c r="U568" s="22">
        <f>IF($C568="","",IFERROR(IF(INDEX(Deals!$Y$2:$Y$355,MATCH($C568,Deals!$A$2:$A$355,0))=0,"",INDEX(Deals!$Y$2:$Y$355,MATCH($C568,Deals!$A$2:$A$355,0))),""))</f>
        <v/>
      </c>
      <c r="V568" s="35">
        <f>IF(OR($U568&lt;&gt;"",AND($AO568&gt;0,$L568&lt;&gt;"",$M568&lt;&gt;"")),$N568,DATE(1900,1,1))</f>
        <v/>
      </c>
      <c r="W568" s="35">
        <f>IF($U568&lt;&gt;"",$U568,IF(AND($AO568&gt;0,$L568&lt;&gt;"",$M568&lt;&gt;""),$O568,DATE(2100,12,31)))</f>
        <v/>
      </c>
      <c r="X568" s="32">
        <f>IF($U568="",$K568,$K568*$S568)</f>
        <v/>
      </c>
      <c r="Y568" s="35">
        <f>IF($U568="",DATE(2100,12,31),$U568+1)</f>
        <v/>
      </c>
      <c r="Z568" s="35">
        <f>IF($U568="",DATE(1900,1,1),$O568)</f>
        <v/>
      </c>
      <c r="AA568" s="32">
        <f>IF($U568="",0,$K568*$T568)</f>
        <v/>
      </c>
      <c r="AB568" s="21">
        <f>IF($C568="",0,IFERROR(INDEX(Deals!$AD$2:$AD$355,MATCH($C568,Deals!$A$2:$A$355,0)),0))</f>
        <v/>
      </c>
      <c r="AC568" s="32">
        <f>IF(Settings!$B$4="Yes",$I568*$AB568,$I568)</f>
        <v/>
      </c>
      <c r="AD568" s="22">
        <f>IF($C568="","",IFERROR(IF(INDEX(Deals!$AE$2:$AE$355,MATCH($C568,Deals!$A$2:$A$355,0))=0,"",INDEX(Deals!$AE$2:$AE$355,MATCH($C568,Deals!$A$2:$A$355,0))),""))</f>
        <v/>
      </c>
      <c r="AE568" s="22">
        <f>IF($C568="","",IFERROR(IF(INDEX(Deals!$AF$2:$AF$355,MATCH($C568,Deals!$A$2:$A$355,0))=0,"",INDEX(Deals!$AF$2:$AF$355,MATCH($C568,Deals!$A$2:$A$355,0))),""))</f>
        <v/>
      </c>
      <c r="AF568" s="35">
        <f>IF($AD568="",DATE(1900,1,1),$AD568)</f>
        <v/>
      </c>
      <c r="AG568" s="35">
        <f>IF($AE568="",DATE(2100,12,31),$AE568)</f>
        <v/>
      </c>
      <c r="AH568" s="22">
        <f>IF($C568="","",IFERROR(IF(INDEX(Deals!$AG$2:$AG$355,MATCH($C568,Deals!$A$2:$A$355,0))=0,"",INDEX(Deals!$AG$2:$AG$355,MATCH($C568,Deals!$A$2:$A$355,0))),""))</f>
        <v/>
      </c>
      <c r="AI568" s="35">
        <f>IF(OR($AH568&lt;&gt;"",AND($AO568&gt;0,$AD568&lt;&gt;"",$AE568&lt;&gt;"")),$AF568,DATE(1900,1,1))</f>
        <v/>
      </c>
      <c r="AJ568" s="35">
        <f>IF($AH568&lt;&gt;"",$AH568,IF(AND($AO568&gt;0,$AD568&lt;&gt;"",$AE568&lt;&gt;""),$AG568,DATE(2100,12,31)))</f>
        <v/>
      </c>
      <c r="AK568" s="32">
        <f>IF($AH568="",$AC568,$AC568*$S568)</f>
        <v/>
      </c>
      <c r="AL568" s="35">
        <f>IF($AH568="",DATE(2100,12,31),$AH568+1)</f>
        <v/>
      </c>
      <c r="AM568" s="35">
        <f>IF($AH568="",DATE(1900,1,1),$AG568)</f>
        <v/>
      </c>
      <c r="AN568" s="32">
        <f>IF($AH568="",0,$AC568*$T568)</f>
        <v/>
      </c>
      <c r="AO568" s="46">
        <f>IF($C568="",0,IFERROR(INDEX(Deals!$BD$2:$BD$355,MATCH($C568,Deals!$A$2:$A$355,0)),0))</f>
        <v/>
      </c>
      <c r="AP568" s="18">
        <f>IF($AO568=0,0,IFERROR(INDEX(Deals!$BJ$2:$BP$355,MATCH($C568,Deals!$A$2:$A$355,0),MATCH($F568,Deals!$BJ$1:$BP$1,0))/COUNTIFS(Assignments!$C$2:$C$769,$C568,Assignments!$F$2:$F$769,$F568,Assignments!$G$2:$G$769,"Active"),0))</f>
        <v/>
      </c>
    </row>
    <row r="569">
      <c r="A569" s="28" t="inlineStr">
        <is>
          <t>Dorian</t>
        </is>
      </c>
      <c r="B569" s="16">
        <f>IF($A569="","",IFERROR(INDEX(Roster!$B$2:$B$40,MATCH($A569,Roster!$A$2:$A$40,0)),"?"))</f>
        <v/>
      </c>
      <c r="C569" s="28" t="inlineStr">
        <is>
          <t>Pine_1</t>
        </is>
      </c>
      <c r="D569" s="16">
        <f>IF($C569="","",IFERROR(IF(INDEX(Deals!$C$2:$C$355,MATCH($C569,Deals!$A$2:$A$355,0))=0,"",INDEX(Deals!$C$2:$C$355,MATCH($C569,Deals!$A$2:$A$355,0))),"?"))</f>
        <v/>
      </c>
      <c r="E569" s="16">
        <f>IF($C569="","",IFERROR(INDEX(Deals!$F$2:$F$355,MATCH($C569,Deals!$A$2:$A$355,0)),"?"))</f>
        <v/>
      </c>
      <c r="F569" s="28" t="inlineStr">
        <is>
          <t>Renewable Specialist</t>
        </is>
      </c>
      <c r="G569" s="28" t="inlineStr">
        <is>
          <t>Active</t>
        </is>
      </c>
      <c r="H569" s="31" t="n"/>
      <c r="I569" s="32">
        <f>IF(OR($A569="",$G569&lt;&gt;"Active"),0,IF($H569&lt;&gt;"",$H569,IF($AO569&gt;0,$AP569,IF(AND($R569&lt;&gt;"",IFERROR(INDEX(Templates!$B$3:$H$10,MATCH($R569,Templates!$A$3:$A$10,0),MATCH($F569,Templates!$B$2:$H$2,0)),0)&gt;0),INDEX(Templates!$B$3:$H$10,MATCH($R569,Templates!$A$3:$A$10,0),MATCH($F569,Templates!$B$2:$H$2,0)),IFERROR(INDEX(Settings!$B$8:$B$14,MATCH($F569,Settings!$A$8:$A$14,0)),0)))))</f>
        <v/>
      </c>
      <c r="J569" s="21">
        <f>IF($C569="",0,IFERROR(INDEX(Deals!$H$2:$H$355,MATCH($C569,Deals!$A$2:$A$355,0)),0))</f>
        <v/>
      </c>
      <c r="K569" s="32">
        <f>IF(Settings!$B$4="Yes",$I569*$J569,$I569)</f>
        <v/>
      </c>
      <c r="L569" s="22">
        <f>IF($C569="","",IFERROR(IF(INDEX(Deals!$I$2:$I$355,MATCH($C569,Deals!$A$2:$A$355,0))=0,"",INDEX(Deals!$I$2:$I$355,MATCH($C569,Deals!$A$2:$A$355,0))),""))</f>
        <v/>
      </c>
      <c r="M569" s="22">
        <f>IF($C569="","",IFERROR(IF(INDEX(Deals!$J$2:$J$355,MATCH($C569,Deals!$A$2:$A$355,0))=0,"",INDEX(Deals!$J$2:$J$355,MATCH($C569,Deals!$A$2:$A$355,0))),""))</f>
        <v/>
      </c>
      <c r="N569" s="35">
        <f>IF($L569="",DATE(1900,1,1),$L569)</f>
        <v/>
      </c>
      <c r="O569" s="35">
        <f>IF($M569="",DATE(2100,12,31),$M569)</f>
        <v/>
      </c>
      <c r="P569" s="20" t="inlineStr"/>
      <c r="Q569" s="47" t="inlineStr"/>
      <c r="R569" s="16">
        <f>IF($C569="","",IFERROR(IF(INDEX(Deals!$U$2:$U$355,MATCH($C569,Deals!$A$2:$A$355,0))=0,"",INDEX(Deals!$U$2:$U$355,MATCH($C569,Deals!$A$2:$A$355,0))),""))</f>
        <v/>
      </c>
      <c r="S569" s="34">
        <f>IFERROR(IF($U569="",1,INDEX(Deals!$V$2:$V$355,MATCH($C569,Deals!$A$2:$A$355,0))),1)</f>
        <v/>
      </c>
      <c r="T569" s="34">
        <f>IFERROR(IF($U569="",1,INDEX(Deals!$W$2:$W$355,MATCH($C569,Deals!$A$2:$A$355,0))),1)</f>
        <v/>
      </c>
      <c r="U569" s="22">
        <f>IF($C569="","",IFERROR(IF(INDEX(Deals!$Y$2:$Y$355,MATCH($C569,Deals!$A$2:$A$355,0))=0,"",INDEX(Deals!$Y$2:$Y$355,MATCH($C569,Deals!$A$2:$A$355,0))),""))</f>
        <v/>
      </c>
      <c r="V569" s="35">
        <f>IF(OR($U569&lt;&gt;"",AND($AO569&gt;0,$L569&lt;&gt;"",$M569&lt;&gt;"")),$N569,DATE(1900,1,1))</f>
        <v/>
      </c>
      <c r="W569" s="35">
        <f>IF($U569&lt;&gt;"",$U569,IF(AND($AO569&gt;0,$L569&lt;&gt;"",$M569&lt;&gt;""),$O569,DATE(2100,12,31)))</f>
        <v/>
      </c>
      <c r="X569" s="32">
        <f>IF($U569="",$K569,$K569*$S569)</f>
        <v/>
      </c>
      <c r="Y569" s="35">
        <f>IF($U569="",DATE(2100,12,31),$U569+1)</f>
        <v/>
      </c>
      <c r="Z569" s="35">
        <f>IF($U569="",DATE(1900,1,1),$O569)</f>
        <v/>
      </c>
      <c r="AA569" s="32">
        <f>IF($U569="",0,$K569*$T569)</f>
        <v/>
      </c>
      <c r="AB569" s="21">
        <f>IF($C569="",0,IFERROR(INDEX(Deals!$AD$2:$AD$355,MATCH($C569,Deals!$A$2:$A$355,0)),0))</f>
        <v/>
      </c>
      <c r="AC569" s="32">
        <f>IF(Settings!$B$4="Yes",$I569*$AB569,$I569)</f>
        <v/>
      </c>
      <c r="AD569" s="22">
        <f>IF($C569="","",IFERROR(IF(INDEX(Deals!$AE$2:$AE$355,MATCH($C569,Deals!$A$2:$A$355,0))=0,"",INDEX(Deals!$AE$2:$AE$355,MATCH($C569,Deals!$A$2:$A$355,0))),""))</f>
        <v/>
      </c>
      <c r="AE569" s="22">
        <f>IF($C569="","",IFERROR(IF(INDEX(Deals!$AF$2:$AF$355,MATCH($C569,Deals!$A$2:$A$355,0))=0,"",INDEX(Deals!$AF$2:$AF$355,MATCH($C569,Deals!$A$2:$A$355,0))),""))</f>
        <v/>
      </c>
      <c r="AF569" s="35">
        <f>IF($AD569="",DATE(1900,1,1),$AD569)</f>
        <v/>
      </c>
      <c r="AG569" s="35">
        <f>IF($AE569="",DATE(2100,12,31),$AE569)</f>
        <v/>
      </c>
      <c r="AH569" s="22">
        <f>IF($C569="","",IFERROR(IF(INDEX(Deals!$AG$2:$AG$355,MATCH($C569,Deals!$A$2:$A$355,0))=0,"",INDEX(Deals!$AG$2:$AG$355,MATCH($C569,Deals!$A$2:$A$355,0))),""))</f>
        <v/>
      </c>
      <c r="AI569" s="35">
        <f>IF(OR($AH569&lt;&gt;"",AND($AO569&gt;0,$AD569&lt;&gt;"",$AE569&lt;&gt;"")),$AF569,DATE(1900,1,1))</f>
        <v/>
      </c>
      <c r="AJ569" s="35">
        <f>IF($AH569&lt;&gt;"",$AH569,IF(AND($AO569&gt;0,$AD569&lt;&gt;"",$AE569&lt;&gt;""),$AG569,DATE(2100,12,31)))</f>
        <v/>
      </c>
      <c r="AK569" s="32">
        <f>IF($AH569="",$AC569,$AC569*$S569)</f>
        <v/>
      </c>
      <c r="AL569" s="35">
        <f>IF($AH569="",DATE(2100,12,31),$AH569+1)</f>
        <v/>
      </c>
      <c r="AM569" s="35">
        <f>IF($AH569="",DATE(1900,1,1),$AG569)</f>
        <v/>
      </c>
      <c r="AN569" s="32">
        <f>IF($AH569="",0,$AC569*$T569)</f>
        <v/>
      </c>
      <c r="AO569" s="46">
        <f>IF($C569="",0,IFERROR(INDEX(Deals!$BD$2:$BD$355,MATCH($C569,Deals!$A$2:$A$355,0)),0))</f>
        <v/>
      </c>
      <c r="AP569" s="18">
        <f>IF($AO569=0,0,IFERROR(INDEX(Deals!$BJ$2:$BP$355,MATCH($C569,Deals!$A$2:$A$355,0),MATCH($F569,Deals!$BJ$1:$BP$1,0))/COUNTIFS(Assignments!$C$2:$C$769,$C569,Assignments!$F$2:$F$769,$F569,Assignments!$G$2:$G$769,"Active"),0))</f>
        <v/>
      </c>
    </row>
    <row r="570">
      <c r="A570" s="28" t="inlineStr">
        <is>
          <t>Dorian</t>
        </is>
      </c>
      <c r="B570" s="16">
        <f>IF($A570="","",IFERROR(INDEX(Roster!$B$2:$B$40,MATCH($A570,Roster!$A$2:$A$40,0)),"?"))</f>
        <v/>
      </c>
      <c r="C570" s="28" t="inlineStr">
        <is>
          <t>Pivot_3</t>
        </is>
      </c>
      <c r="D570" s="16">
        <f>IF($C570="","",IFERROR(IF(INDEX(Deals!$C$2:$C$355,MATCH($C570,Deals!$A$2:$A$355,0))=0,"",INDEX(Deals!$C$2:$C$355,MATCH($C570,Deals!$A$2:$A$355,0))),"?"))</f>
        <v/>
      </c>
      <c r="E570" s="16">
        <f>IF($C570="","",IFERROR(INDEX(Deals!$F$2:$F$355,MATCH($C570,Deals!$A$2:$A$355,0)),"?"))</f>
        <v/>
      </c>
      <c r="F570" s="28" t="inlineStr">
        <is>
          <t>Renewable Specialist</t>
        </is>
      </c>
      <c r="G570" s="28" t="inlineStr">
        <is>
          <t>Active</t>
        </is>
      </c>
      <c r="H570" s="31" t="n"/>
      <c r="I570" s="32">
        <f>IF(OR($A570="",$G570&lt;&gt;"Active"),0,IF($H570&lt;&gt;"",$H570,IF($AO570&gt;0,$AP570,IF(AND($R570&lt;&gt;"",IFERROR(INDEX(Templates!$B$3:$H$10,MATCH($R570,Templates!$A$3:$A$10,0),MATCH($F570,Templates!$B$2:$H$2,0)),0)&gt;0),INDEX(Templates!$B$3:$H$10,MATCH($R570,Templates!$A$3:$A$10,0),MATCH($F570,Templates!$B$2:$H$2,0)),IFERROR(INDEX(Settings!$B$8:$B$14,MATCH($F570,Settings!$A$8:$A$14,0)),0)))))</f>
        <v/>
      </c>
      <c r="J570" s="21">
        <f>IF($C570="",0,IFERROR(INDEX(Deals!$H$2:$H$355,MATCH($C570,Deals!$A$2:$A$355,0)),0))</f>
        <v/>
      </c>
      <c r="K570" s="32">
        <f>IF(Settings!$B$4="Yes",$I570*$J570,$I570)</f>
        <v/>
      </c>
      <c r="L570" s="22">
        <f>IF($C570="","",IFERROR(IF(INDEX(Deals!$I$2:$I$355,MATCH($C570,Deals!$A$2:$A$355,0))=0,"",INDEX(Deals!$I$2:$I$355,MATCH($C570,Deals!$A$2:$A$355,0))),""))</f>
        <v/>
      </c>
      <c r="M570" s="22">
        <f>IF($C570="","",IFERROR(IF(INDEX(Deals!$J$2:$J$355,MATCH($C570,Deals!$A$2:$A$355,0))=0,"",INDEX(Deals!$J$2:$J$355,MATCH($C570,Deals!$A$2:$A$355,0))),""))</f>
        <v/>
      </c>
      <c r="N570" s="35">
        <f>IF($L570="",DATE(1900,1,1),$L570)</f>
        <v/>
      </c>
      <c r="O570" s="35">
        <f>IF($M570="",DATE(2100,12,31),$M570)</f>
        <v/>
      </c>
      <c r="P570" s="20" t="inlineStr"/>
      <c r="Q570" s="47" t="inlineStr"/>
      <c r="R570" s="16">
        <f>IF($C570="","",IFERROR(IF(INDEX(Deals!$U$2:$U$355,MATCH($C570,Deals!$A$2:$A$355,0))=0,"",INDEX(Deals!$U$2:$U$355,MATCH($C570,Deals!$A$2:$A$355,0))),""))</f>
        <v/>
      </c>
      <c r="S570" s="34">
        <f>IFERROR(IF($U570="",1,INDEX(Deals!$V$2:$V$355,MATCH($C570,Deals!$A$2:$A$355,0))),1)</f>
        <v/>
      </c>
      <c r="T570" s="34">
        <f>IFERROR(IF($U570="",1,INDEX(Deals!$W$2:$W$355,MATCH($C570,Deals!$A$2:$A$355,0))),1)</f>
        <v/>
      </c>
      <c r="U570" s="22">
        <f>IF($C570="","",IFERROR(IF(INDEX(Deals!$Y$2:$Y$355,MATCH($C570,Deals!$A$2:$A$355,0))=0,"",INDEX(Deals!$Y$2:$Y$355,MATCH($C570,Deals!$A$2:$A$355,0))),""))</f>
        <v/>
      </c>
      <c r="V570" s="35">
        <f>IF(OR($U570&lt;&gt;"",AND($AO570&gt;0,$L570&lt;&gt;"",$M570&lt;&gt;"")),$N570,DATE(1900,1,1))</f>
        <v/>
      </c>
      <c r="W570" s="35">
        <f>IF($U570&lt;&gt;"",$U570,IF(AND($AO570&gt;0,$L570&lt;&gt;"",$M570&lt;&gt;""),$O570,DATE(2100,12,31)))</f>
        <v/>
      </c>
      <c r="X570" s="32">
        <f>IF($U570="",$K570,$K570*$S570)</f>
        <v/>
      </c>
      <c r="Y570" s="35">
        <f>IF($U570="",DATE(2100,12,31),$U570+1)</f>
        <v/>
      </c>
      <c r="Z570" s="35">
        <f>IF($U570="",DATE(1900,1,1),$O570)</f>
        <v/>
      </c>
      <c r="AA570" s="32">
        <f>IF($U570="",0,$K570*$T570)</f>
        <v/>
      </c>
      <c r="AB570" s="21">
        <f>IF($C570="",0,IFERROR(INDEX(Deals!$AD$2:$AD$355,MATCH($C570,Deals!$A$2:$A$355,0)),0))</f>
        <v/>
      </c>
      <c r="AC570" s="32">
        <f>IF(Settings!$B$4="Yes",$I570*$AB570,$I570)</f>
        <v/>
      </c>
      <c r="AD570" s="22">
        <f>IF($C570="","",IFERROR(IF(INDEX(Deals!$AE$2:$AE$355,MATCH($C570,Deals!$A$2:$A$355,0))=0,"",INDEX(Deals!$AE$2:$AE$355,MATCH($C570,Deals!$A$2:$A$355,0))),""))</f>
        <v/>
      </c>
      <c r="AE570" s="22">
        <f>IF($C570="","",IFERROR(IF(INDEX(Deals!$AF$2:$AF$355,MATCH($C570,Deals!$A$2:$A$355,0))=0,"",INDEX(Deals!$AF$2:$AF$355,MATCH($C570,Deals!$A$2:$A$355,0))),""))</f>
        <v/>
      </c>
      <c r="AF570" s="35">
        <f>IF($AD570="",DATE(1900,1,1),$AD570)</f>
        <v/>
      </c>
      <c r="AG570" s="35">
        <f>IF($AE570="",DATE(2100,12,31),$AE570)</f>
        <v/>
      </c>
      <c r="AH570" s="22">
        <f>IF($C570="","",IFERROR(IF(INDEX(Deals!$AG$2:$AG$355,MATCH($C570,Deals!$A$2:$A$355,0))=0,"",INDEX(Deals!$AG$2:$AG$355,MATCH($C570,Deals!$A$2:$A$355,0))),""))</f>
        <v/>
      </c>
      <c r="AI570" s="35">
        <f>IF(OR($AH570&lt;&gt;"",AND($AO570&gt;0,$AD570&lt;&gt;"",$AE570&lt;&gt;"")),$AF570,DATE(1900,1,1))</f>
        <v/>
      </c>
      <c r="AJ570" s="35">
        <f>IF($AH570&lt;&gt;"",$AH570,IF(AND($AO570&gt;0,$AD570&lt;&gt;"",$AE570&lt;&gt;""),$AG570,DATE(2100,12,31)))</f>
        <v/>
      </c>
      <c r="AK570" s="32">
        <f>IF($AH570="",$AC570,$AC570*$S570)</f>
        <v/>
      </c>
      <c r="AL570" s="35">
        <f>IF($AH570="",DATE(2100,12,31),$AH570+1)</f>
        <v/>
      </c>
      <c r="AM570" s="35">
        <f>IF($AH570="",DATE(1900,1,1),$AG570)</f>
        <v/>
      </c>
      <c r="AN570" s="32">
        <f>IF($AH570="",0,$AC570*$T570)</f>
        <v/>
      </c>
      <c r="AO570" s="46">
        <f>IF($C570="",0,IFERROR(INDEX(Deals!$BD$2:$BD$355,MATCH($C570,Deals!$A$2:$A$355,0)),0))</f>
        <v/>
      </c>
      <c r="AP570" s="18">
        <f>IF($AO570=0,0,IFERROR(INDEX(Deals!$BJ$2:$BP$355,MATCH($C570,Deals!$A$2:$A$355,0),MATCH($F570,Deals!$BJ$1:$BP$1,0))/COUNTIFS(Assignments!$C$2:$C$769,$C570,Assignments!$F$2:$F$769,$F570,Assignments!$G$2:$G$769,"Active"),0))</f>
        <v/>
      </c>
    </row>
    <row r="571">
      <c r="A571" s="28" t="inlineStr">
        <is>
          <t>Dorian</t>
        </is>
      </c>
      <c r="B571" s="16">
        <f>IF($A571="","",IFERROR(INDEX(Roster!$B$2:$B$40,MATCH($A571,Roster!$A$2:$A$40,0)),"?"))</f>
        <v/>
      </c>
      <c r="C571" s="28" t="inlineStr">
        <is>
          <t>Realty_1</t>
        </is>
      </c>
      <c r="D571" s="16">
        <f>IF($C571="","",IFERROR(IF(INDEX(Deals!$C$2:$C$355,MATCH($C571,Deals!$A$2:$A$355,0))=0,"",INDEX(Deals!$C$2:$C$355,MATCH($C571,Deals!$A$2:$A$355,0))),"?"))</f>
        <v/>
      </c>
      <c r="E571" s="16">
        <f>IF($C571="","",IFERROR(INDEX(Deals!$F$2:$F$355,MATCH($C571,Deals!$A$2:$A$355,0)),"?"))</f>
        <v/>
      </c>
      <c r="F571" s="28" t="inlineStr">
        <is>
          <t>Renewable Specialist</t>
        </is>
      </c>
      <c r="G571" s="28" t="inlineStr">
        <is>
          <t>Active</t>
        </is>
      </c>
      <c r="H571" s="31" t="n"/>
      <c r="I571" s="32">
        <f>IF(OR($A571="",$G571&lt;&gt;"Active"),0,IF($H571&lt;&gt;"",$H571,IF($AO571&gt;0,$AP571,IF(AND($R571&lt;&gt;"",IFERROR(INDEX(Templates!$B$3:$H$10,MATCH($R571,Templates!$A$3:$A$10,0),MATCH($F571,Templates!$B$2:$H$2,0)),0)&gt;0),INDEX(Templates!$B$3:$H$10,MATCH($R571,Templates!$A$3:$A$10,0),MATCH($F571,Templates!$B$2:$H$2,0)),IFERROR(INDEX(Settings!$B$8:$B$14,MATCH($F571,Settings!$A$8:$A$14,0)),0)))))</f>
        <v/>
      </c>
      <c r="J571" s="21">
        <f>IF($C571="",0,IFERROR(INDEX(Deals!$H$2:$H$355,MATCH($C571,Deals!$A$2:$A$355,0)),0))</f>
        <v/>
      </c>
      <c r="K571" s="32">
        <f>IF(Settings!$B$4="Yes",$I571*$J571,$I571)</f>
        <v/>
      </c>
      <c r="L571" s="22">
        <f>IF($C571="","",IFERROR(IF(INDEX(Deals!$I$2:$I$355,MATCH($C571,Deals!$A$2:$A$355,0))=0,"",INDEX(Deals!$I$2:$I$355,MATCH($C571,Deals!$A$2:$A$355,0))),""))</f>
        <v/>
      </c>
      <c r="M571" s="22">
        <f>IF($C571="","",IFERROR(IF(INDEX(Deals!$J$2:$J$355,MATCH($C571,Deals!$A$2:$A$355,0))=0,"",INDEX(Deals!$J$2:$J$355,MATCH($C571,Deals!$A$2:$A$355,0))),""))</f>
        <v/>
      </c>
      <c r="N571" s="35">
        <f>IF($L571="",DATE(1900,1,1),$L571)</f>
        <v/>
      </c>
      <c r="O571" s="35">
        <f>IF($M571="",DATE(2100,12,31),$M571)</f>
        <v/>
      </c>
      <c r="P571" s="20" t="inlineStr"/>
      <c r="Q571" s="47" t="inlineStr"/>
      <c r="R571" s="16">
        <f>IF($C571="","",IFERROR(IF(INDEX(Deals!$U$2:$U$355,MATCH($C571,Deals!$A$2:$A$355,0))=0,"",INDEX(Deals!$U$2:$U$355,MATCH($C571,Deals!$A$2:$A$355,0))),""))</f>
        <v/>
      </c>
      <c r="S571" s="34">
        <f>IFERROR(IF($U571="",1,INDEX(Deals!$V$2:$V$355,MATCH($C571,Deals!$A$2:$A$355,0))),1)</f>
        <v/>
      </c>
      <c r="T571" s="34">
        <f>IFERROR(IF($U571="",1,INDEX(Deals!$W$2:$W$355,MATCH($C571,Deals!$A$2:$A$355,0))),1)</f>
        <v/>
      </c>
      <c r="U571" s="22">
        <f>IF($C571="","",IFERROR(IF(INDEX(Deals!$Y$2:$Y$355,MATCH($C571,Deals!$A$2:$A$355,0))=0,"",INDEX(Deals!$Y$2:$Y$355,MATCH($C571,Deals!$A$2:$A$355,0))),""))</f>
        <v/>
      </c>
      <c r="V571" s="35">
        <f>IF(OR($U571&lt;&gt;"",AND($AO571&gt;0,$L571&lt;&gt;"",$M571&lt;&gt;"")),$N571,DATE(1900,1,1))</f>
        <v/>
      </c>
      <c r="W571" s="35">
        <f>IF($U571&lt;&gt;"",$U571,IF(AND($AO571&gt;0,$L571&lt;&gt;"",$M571&lt;&gt;""),$O571,DATE(2100,12,31)))</f>
        <v/>
      </c>
      <c r="X571" s="32">
        <f>IF($U571="",$K571,$K571*$S571)</f>
        <v/>
      </c>
      <c r="Y571" s="35">
        <f>IF($U571="",DATE(2100,12,31),$U571+1)</f>
        <v/>
      </c>
      <c r="Z571" s="35">
        <f>IF($U571="",DATE(1900,1,1),$O571)</f>
        <v/>
      </c>
      <c r="AA571" s="32">
        <f>IF($U571="",0,$K571*$T571)</f>
        <v/>
      </c>
      <c r="AB571" s="21">
        <f>IF($C571="",0,IFERROR(INDEX(Deals!$AD$2:$AD$355,MATCH($C571,Deals!$A$2:$A$355,0)),0))</f>
        <v/>
      </c>
      <c r="AC571" s="32">
        <f>IF(Settings!$B$4="Yes",$I571*$AB571,$I571)</f>
        <v/>
      </c>
      <c r="AD571" s="22">
        <f>IF($C571="","",IFERROR(IF(INDEX(Deals!$AE$2:$AE$355,MATCH($C571,Deals!$A$2:$A$355,0))=0,"",INDEX(Deals!$AE$2:$AE$355,MATCH($C571,Deals!$A$2:$A$355,0))),""))</f>
        <v/>
      </c>
      <c r="AE571" s="22">
        <f>IF($C571="","",IFERROR(IF(INDEX(Deals!$AF$2:$AF$355,MATCH($C571,Deals!$A$2:$A$355,0))=0,"",INDEX(Deals!$AF$2:$AF$355,MATCH($C571,Deals!$A$2:$A$355,0))),""))</f>
        <v/>
      </c>
      <c r="AF571" s="35">
        <f>IF($AD571="",DATE(1900,1,1),$AD571)</f>
        <v/>
      </c>
      <c r="AG571" s="35">
        <f>IF($AE571="",DATE(2100,12,31),$AE571)</f>
        <v/>
      </c>
      <c r="AH571" s="22">
        <f>IF($C571="","",IFERROR(IF(INDEX(Deals!$AG$2:$AG$355,MATCH($C571,Deals!$A$2:$A$355,0))=0,"",INDEX(Deals!$AG$2:$AG$355,MATCH($C571,Deals!$A$2:$A$355,0))),""))</f>
        <v/>
      </c>
      <c r="AI571" s="35">
        <f>IF(OR($AH571&lt;&gt;"",AND($AO571&gt;0,$AD571&lt;&gt;"",$AE571&lt;&gt;"")),$AF571,DATE(1900,1,1))</f>
        <v/>
      </c>
      <c r="AJ571" s="35">
        <f>IF($AH571&lt;&gt;"",$AH571,IF(AND($AO571&gt;0,$AD571&lt;&gt;"",$AE571&lt;&gt;""),$AG571,DATE(2100,12,31)))</f>
        <v/>
      </c>
      <c r="AK571" s="32">
        <f>IF($AH571="",$AC571,$AC571*$S571)</f>
        <v/>
      </c>
      <c r="AL571" s="35">
        <f>IF($AH571="",DATE(2100,12,31),$AH571+1)</f>
        <v/>
      </c>
      <c r="AM571" s="35">
        <f>IF($AH571="",DATE(1900,1,1),$AG571)</f>
        <v/>
      </c>
      <c r="AN571" s="32">
        <f>IF($AH571="",0,$AC571*$T571)</f>
        <v/>
      </c>
      <c r="AO571" s="46">
        <f>IF($C571="",0,IFERROR(INDEX(Deals!$BD$2:$BD$355,MATCH($C571,Deals!$A$2:$A$355,0)),0))</f>
        <v/>
      </c>
      <c r="AP571" s="18">
        <f>IF($AO571=0,0,IFERROR(INDEX(Deals!$BJ$2:$BP$355,MATCH($C571,Deals!$A$2:$A$355,0),MATCH($F571,Deals!$BJ$1:$BP$1,0))/COUNTIFS(Assignments!$C$2:$C$769,$C571,Assignments!$F$2:$F$769,$F571,Assignments!$G$2:$G$769,"Active"),0))</f>
        <v/>
      </c>
    </row>
    <row r="572">
      <c r="A572" s="28" t="inlineStr">
        <is>
          <t>Dorian</t>
        </is>
      </c>
      <c r="B572" s="16">
        <f>IF($A572="","",IFERROR(INDEX(Roster!$B$2:$B$40,MATCH($A572,Roster!$A$2:$A$40,0)),"?"))</f>
        <v/>
      </c>
      <c r="C572" s="28" t="inlineStr">
        <is>
          <t>Shika_1</t>
        </is>
      </c>
      <c r="D572" s="16">
        <f>IF($C572="","",IFERROR(IF(INDEX(Deals!$C$2:$C$355,MATCH($C572,Deals!$A$2:$A$355,0))=0,"",INDEX(Deals!$C$2:$C$355,MATCH($C572,Deals!$A$2:$A$355,0))),"?"))</f>
        <v/>
      </c>
      <c r="E572" s="16">
        <f>IF($C572="","",IFERROR(INDEX(Deals!$F$2:$F$355,MATCH($C572,Deals!$A$2:$A$355,0)),"?"))</f>
        <v/>
      </c>
      <c r="F572" s="28" t="inlineStr">
        <is>
          <t>Renewable Specialist</t>
        </is>
      </c>
      <c r="G572" s="28" t="inlineStr">
        <is>
          <t>Active</t>
        </is>
      </c>
      <c r="H572" s="31" t="n"/>
      <c r="I572" s="32">
        <f>IF(OR($A572="",$G572&lt;&gt;"Active"),0,IF($H572&lt;&gt;"",$H572,IF($AO572&gt;0,$AP572,IF(AND($R572&lt;&gt;"",IFERROR(INDEX(Templates!$B$3:$H$10,MATCH($R572,Templates!$A$3:$A$10,0),MATCH($F572,Templates!$B$2:$H$2,0)),0)&gt;0),INDEX(Templates!$B$3:$H$10,MATCH($R572,Templates!$A$3:$A$10,0),MATCH($F572,Templates!$B$2:$H$2,0)),IFERROR(INDEX(Settings!$B$8:$B$14,MATCH($F572,Settings!$A$8:$A$14,0)),0)))))</f>
        <v/>
      </c>
      <c r="J572" s="21">
        <f>IF($C572="",0,IFERROR(INDEX(Deals!$H$2:$H$355,MATCH($C572,Deals!$A$2:$A$355,0)),0))</f>
        <v/>
      </c>
      <c r="K572" s="32">
        <f>IF(Settings!$B$4="Yes",$I572*$J572,$I572)</f>
        <v/>
      </c>
      <c r="L572" s="22">
        <f>IF($C572="","",IFERROR(IF(INDEX(Deals!$I$2:$I$355,MATCH($C572,Deals!$A$2:$A$355,0))=0,"",INDEX(Deals!$I$2:$I$355,MATCH($C572,Deals!$A$2:$A$355,0))),""))</f>
        <v/>
      </c>
      <c r="M572" s="22">
        <f>IF($C572="","",IFERROR(IF(INDEX(Deals!$J$2:$J$355,MATCH($C572,Deals!$A$2:$A$355,0))=0,"",INDEX(Deals!$J$2:$J$355,MATCH($C572,Deals!$A$2:$A$355,0))),""))</f>
        <v/>
      </c>
      <c r="N572" s="35">
        <f>IF($L572="",DATE(1900,1,1),$L572)</f>
        <v/>
      </c>
      <c r="O572" s="35">
        <f>IF($M572="",DATE(2100,12,31),$M572)</f>
        <v/>
      </c>
      <c r="P572" s="20" t="inlineStr"/>
      <c r="Q572" s="47" t="inlineStr"/>
      <c r="R572" s="16">
        <f>IF($C572="","",IFERROR(IF(INDEX(Deals!$U$2:$U$355,MATCH($C572,Deals!$A$2:$A$355,0))=0,"",INDEX(Deals!$U$2:$U$355,MATCH($C572,Deals!$A$2:$A$355,0))),""))</f>
        <v/>
      </c>
      <c r="S572" s="34">
        <f>IFERROR(IF($U572="",1,INDEX(Deals!$V$2:$V$355,MATCH($C572,Deals!$A$2:$A$355,0))),1)</f>
        <v/>
      </c>
      <c r="T572" s="34">
        <f>IFERROR(IF($U572="",1,INDEX(Deals!$W$2:$W$355,MATCH($C572,Deals!$A$2:$A$355,0))),1)</f>
        <v/>
      </c>
      <c r="U572" s="22">
        <f>IF($C572="","",IFERROR(IF(INDEX(Deals!$Y$2:$Y$355,MATCH($C572,Deals!$A$2:$A$355,0))=0,"",INDEX(Deals!$Y$2:$Y$355,MATCH($C572,Deals!$A$2:$A$355,0))),""))</f>
        <v/>
      </c>
      <c r="V572" s="35">
        <f>IF(OR($U572&lt;&gt;"",AND($AO572&gt;0,$L572&lt;&gt;"",$M572&lt;&gt;"")),$N572,DATE(1900,1,1))</f>
        <v/>
      </c>
      <c r="W572" s="35">
        <f>IF($U572&lt;&gt;"",$U572,IF(AND($AO572&gt;0,$L572&lt;&gt;"",$M572&lt;&gt;""),$O572,DATE(2100,12,31)))</f>
        <v/>
      </c>
      <c r="X572" s="32">
        <f>IF($U572="",$K572,$K572*$S572)</f>
        <v/>
      </c>
      <c r="Y572" s="35">
        <f>IF($U572="",DATE(2100,12,31),$U572+1)</f>
        <v/>
      </c>
      <c r="Z572" s="35">
        <f>IF($U572="",DATE(1900,1,1),$O572)</f>
        <v/>
      </c>
      <c r="AA572" s="32">
        <f>IF($U572="",0,$K572*$T572)</f>
        <v/>
      </c>
      <c r="AB572" s="21">
        <f>IF($C572="",0,IFERROR(INDEX(Deals!$AD$2:$AD$355,MATCH($C572,Deals!$A$2:$A$355,0)),0))</f>
        <v/>
      </c>
      <c r="AC572" s="32">
        <f>IF(Settings!$B$4="Yes",$I572*$AB572,$I572)</f>
        <v/>
      </c>
      <c r="AD572" s="22">
        <f>IF($C572="","",IFERROR(IF(INDEX(Deals!$AE$2:$AE$355,MATCH($C572,Deals!$A$2:$A$355,0))=0,"",INDEX(Deals!$AE$2:$AE$355,MATCH($C572,Deals!$A$2:$A$355,0))),""))</f>
        <v/>
      </c>
      <c r="AE572" s="22">
        <f>IF($C572="","",IFERROR(IF(INDEX(Deals!$AF$2:$AF$355,MATCH($C572,Deals!$A$2:$A$355,0))=0,"",INDEX(Deals!$AF$2:$AF$355,MATCH($C572,Deals!$A$2:$A$355,0))),""))</f>
        <v/>
      </c>
      <c r="AF572" s="35">
        <f>IF($AD572="",DATE(1900,1,1),$AD572)</f>
        <v/>
      </c>
      <c r="AG572" s="35">
        <f>IF($AE572="",DATE(2100,12,31),$AE572)</f>
        <v/>
      </c>
      <c r="AH572" s="22">
        <f>IF($C572="","",IFERROR(IF(INDEX(Deals!$AG$2:$AG$355,MATCH($C572,Deals!$A$2:$A$355,0))=0,"",INDEX(Deals!$AG$2:$AG$355,MATCH($C572,Deals!$A$2:$A$355,0))),""))</f>
        <v/>
      </c>
      <c r="AI572" s="35">
        <f>IF(OR($AH572&lt;&gt;"",AND($AO572&gt;0,$AD572&lt;&gt;"",$AE572&lt;&gt;"")),$AF572,DATE(1900,1,1))</f>
        <v/>
      </c>
      <c r="AJ572" s="35">
        <f>IF($AH572&lt;&gt;"",$AH572,IF(AND($AO572&gt;0,$AD572&lt;&gt;"",$AE572&lt;&gt;""),$AG572,DATE(2100,12,31)))</f>
        <v/>
      </c>
      <c r="AK572" s="32">
        <f>IF($AH572="",$AC572,$AC572*$S572)</f>
        <v/>
      </c>
      <c r="AL572" s="35">
        <f>IF($AH572="",DATE(2100,12,31),$AH572+1)</f>
        <v/>
      </c>
      <c r="AM572" s="35">
        <f>IF($AH572="",DATE(1900,1,1),$AG572)</f>
        <v/>
      </c>
      <c r="AN572" s="32">
        <f>IF($AH572="",0,$AC572*$T572)</f>
        <v/>
      </c>
      <c r="AO572" s="46">
        <f>IF($C572="",0,IFERROR(INDEX(Deals!$BD$2:$BD$355,MATCH($C572,Deals!$A$2:$A$355,0)),0))</f>
        <v/>
      </c>
      <c r="AP572" s="18">
        <f>IF($AO572=0,0,IFERROR(INDEX(Deals!$BJ$2:$BP$355,MATCH($C572,Deals!$A$2:$A$355,0),MATCH($F572,Deals!$BJ$1:$BP$1,0))/COUNTIFS(Assignments!$C$2:$C$769,$C572,Assignments!$F$2:$F$769,$F572,Assignments!$G$2:$G$769,"Active"),0))</f>
        <v/>
      </c>
    </row>
    <row r="573">
      <c r="A573" s="28" t="inlineStr">
        <is>
          <t>Dorian</t>
        </is>
      </c>
      <c r="B573" s="16">
        <f>IF($A573="","",IFERROR(INDEX(Roster!$B$2:$B$40,MATCH($A573,Roster!$A$2:$A$40,0)),"?"))</f>
        <v/>
      </c>
      <c r="C573" s="28" t="inlineStr">
        <is>
          <t>Sun Pond_1</t>
        </is>
      </c>
      <c r="D573" s="16">
        <f>IF($C573="","",IFERROR(IF(INDEX(Deals!$C$2:$C$355,MATCH($C573,Deals!$A$2:$A$355,0))=0,"",INDEX(Deals!$C$2:$C$355,MATCH($C573,Deals!$A$2:$A$355,0))),"?"))</f>
        <v/>
      </c>
      <c r="E573" s="16">
        <f>IF($C573="","",IFERROR(INDEX(Deals!$F$2:$F$355,MATCH($C573,Deals!$A$2:$A$355,0)),"?"))</f>
        <v/>
      </c>
      <c r="F573" s="28" t="inlineStr">
        <is>
          <t>Renewable Specialist</t>
        </is>
      </c>
      <c r="G573" s="28" t="inlineStr">
        <is>
          <t>Active</t>
        </is>
      </c>
      <c r="H573" s="31" t="n"/>
      <c r="I573" s="32">
        <f>IF(OR($A573="",$G573&lt;&gt;"Active"),0,IF($H573&lt;&gt;"",$H573,IF($AO573&gt;0,$AP573,IF(AND($R573&lt;&gt;"",IFERROR(INDEX(Templates!$B$3:$H$10,MATCH($R573,Templates!$A$3:$A$10,0),MATCH($F573,Templates!$B$2:$H$2,0)),0)&gt;0),INDEX(Templates!$B$3:$H$10,MATCH($R573,Templates!$A$3:$A$10,0),MATCH($F573,Templates!$B$2:$H$2,0)),IFERROR(INDEX(Settings!$B$8:$B$14,MATCH($F573,Settings!$A$8:$A$14,0)),0)))))</f>
        <v/>
      </c>
      <c r="J573" s="21">
        <f>IF($C573="",0,IFERROR(INDEX(Deals!$H$2:$H$355,MATCH($C573,Deals!$A$2:$A$355,0)),0))</f>
        <v/>
      </c>
      <c r="K573" s="32">
        <f>IF(Settings!$B$4="Yes",$I573*$J573,$I573)</f>
        <v/>
      </c>
      <c r="L573" s="22">
        <f>IF($C573="","",IFERROR(IF(INDEX(Deals!$I$2:$I$355,MATCH($C573,Deals!$A$2:$A$355,0))=0,"",INDEX(Deals!$I$2:$I$355,MATCH($C573,Deals!$A$2:$A$355,0))),""))</f>
        <v/>
      </c>
      <c r="M573" s="22">
        <f>IF($C573="","",IFERROR(IF(INDEX(Deals!$J$2:$J$355,MATCH($C573,Deals!$A$2:$A$355,0))=0,"",INDEX(Deals!$J$2:$J$355,MATCH($C573,Deals!$A$2:$A$355,0))),""))</f>
        <v/>
      </c>
      <c r="N573" s="35">
        <f>IF($L573="",DATE(1900,1,1),$L573)</f>
        <v/>
      </c>
      <c r="O573" s="35">
        <f>IF($M573="",DATE(2100,12,31),$M573)</f>
        <v/>
      </c>
      <c r="P573" s="20" t="inlineStr"/>
      <c r="Q573" s="47" t="inlineStr"/>
      <c r="R573" s="16">
        <f>IF($C573="","",IFERROR(IF(INDEX(Deals!$U$2:$U$355,MATCH($C573,Deals!$A$2:$A$355,0))=0,"",INDEX(Deals!$U$2:$U$355,MATCH($C573,Deals!$A$2:$A$355,0))),""))</f>
        <v/>
      </c>
      <c r="S573" s="34">
        <f>IFERROR(IF($U573="",1,INDEX(Deals!$V$2:$V$355,MATCH($C573,Deals!$A$2:$A$355,0))),1)</f>
        <v/>
      </c>
      <c r="T573" s="34">
        <f>IFERROR(IF($U573="",1,INDEX(Deals!$W$2:$W$355,MATCH($C573,Deals!$A$2:$A$355,0))),1)</f>
        <v/>
      </c>
      <c r="U573" s="22">
        <f>IF($C573="","",IFERROR(IF(INDEX(Deals!$Y$2:$Y$355,MATCH($C573,Deals!$A$2:$A$355,0))=0,"",INDEX(Deals!$Y$2:$Y$355,MATCH($C573,Deals!$A$2:$A$355,0))),""))</f>
        <v/>
      </c>
      <c r="V573" s="35">
        <f>IF(OR($U573&lt;&gt;"",AND($AO573&gt;0,$L573&lt;&gt;"",$M573&lt;&gt;"")),$N573,DATE(1900,1,1))</f>
        <v/>
      </c>
      <c r="W573" s="35">
        <f>IF($U573&lt;&gt;"",$U573,IF(AND($AO573&gt;0,$L573&lt;&gt;"",$M573&lt;&gt;""),$O573,DATE(2100,12,31)))</f>
        <v/>
      </c>
      <c r="X573" s="32">
        <f>IF($U573="",$K573,$K573*$S573)</f>
        <v/>
      </c>
      <c r="Y573" s="35">
        <f>IF($U573="",DATE(2100,12,31),$U573+1)</f>
        <v/>
      </c>
      <c r="Z573" s="35">
        <f>IF($U573="",DATE(1900,1,1),$O573)</f>
        <v/>
      </c>
      <c r="AA573" s="32">
        <f>IF($U573="",0,$K573*$T573)</f>
        <v/>
      </c>
      <c r="AB573" s="21">
        <f>IF($C573="",0,IFERROR(INDEX(Deals!$AD$2:$AD$355,MATCH($C573,Deals!$A$2:$A$355,0)),0))</f>
        <v/>
      </c>
      <c r="AC573" s="32">
        <f>IF(Settings!$B$4="Yes",$I573*$AB573,$I573)</f>
        <v/>
      </c>
      <c r="AD573" s="22">
        <f>IF($C573="","",IFERROR(IF(INDEX(Deals!$AE$2:$AE$355,MATCH($C573,Deals!$A$2:$A$355,0))=0,"",INDEX(Deals!$AE$2:$AE$355,MATCH($C573,Deals!$A$2:$A$355,0))),""))</f>
        <v/>
      </c>
      <c r="AE573" s="22">
        <f>IF($C573="","",IFERROR(IF(INDEX(Deals!$AF$2:$AF$355,MATCH($C573,Deals!$A$2:$A$355,0))=0,"",INDEX(Deals!$AF$2:$AF$355,MATCH($C573,Deals!$A$2:$A$355,0))),""))</f>
        <v/>
      </c>
      <c r="AF573" s="35">
        <f>IF($AD573="",DATE(1900,1,1),$AD573)</f>
        <v/>
      </c>
      <c r="AG573" s="35">
        <f>IF($AE573="",DATE(2100,12,31),$AE573)</f>
        <v/>
      </c>
      <c r="AH573" s="22">
        <f>IF($C573="","",IFERROR(IF(INDEX(Deals!$AG$2:$AG$355,MATCH($C573,Deals!$A$2:$A$355,0))=0,"",INDEX(Deals!$AG$2:$AG$355,MATCH($C573,Deals!$A$2:$A$355,0))),""))</f>
        <v/>
      </c>
      <c r="AI573" s="35">
        <f>IF(OR($AH573&lt;&gt;"",AND($AO573&gt;0,$AD573&lt;&gt;"",$AE573&lt;&gt;"")),$AF573,DATE(1900,1,1))</f>
        <v/>
      </c>
      <c r="AJ573" s="35">
        <f>IF($AH573&lt;&gt;"",$AH573,IF(AND($AO573&gt;0,$AD573&lt;&gt;"",$AE573&lt;&gt;""),$AG573,DATE(2100,12,31)))</f>
        <v/>
      </c>
      <c r="AK573" s="32">
        <f>IF($AH573="",$AC573,$AC573*$S573)</f>
        <v/>
      </c>
      <c r="AL573" s="35">
        <f>IF($AH573="",DATE(2100,12,31),$AH573+1)</f>
        <v/>
      </c>
      <c r="AM573" s="35">
        <f>IF($AH573="",DATE(1900,1,1),$AG573)</f>
        <v/>
      </c>
      <c r="AN573" s="32">
        <f>IF($AH573="",0,$AC573*$T573)</f>
        <v/>
      </c>
      <c r="AO573" s="46">
        <f>IF($C573="",0,IFERROR(INDEX(Deals!$BD$2:$BD$355,MATCH($C573,Deals!$A$2:$A$355,0)),0))</f>
        <v/>
      </c>
      <c r="AP573" s="18">
        <f>IF($AO573=0,0,IFERROR(INDEX(Deals!$BJ$2:$BP$355,MATCH($C573,Deals!$A$2:$A$355,0),MATCH($F573,Deals!$BJ$1:$BP$1,0))/COUNTIFS(Assignments!$C$2:$C$769,$C573,Assignments!$F$2:$F$769,$F573,Assignments!$G$2:$G$769,"Active"),0))</f>
        <v/>
      </c>
    </row>
    <row r="574">
      <c r="A574" s="28" t="inlineStr">
        <is>
          <t>Dorian</t>
        </is>
      </c>
      <c r="B574" s="16">
        <f>IF($A574="","",IFERROR(INDEX(Roster!$B$2:$B$40,MATCH($A574,Roster!$A$2:$A$40,0)),"?"))</f>
        <v/>
      </c>
      <c r="C574" s="28" t="inlineStr">
        <is>
          <t>Sunshine_4</t>
        </is>
      </c>
      <c r="D574" s="16">
        <f>IF($C574="","",IFERROR(IF(INDEX(Deals!$C$2:$C$355,MATCH($C574,Deals!$A$2:$A$355,0))=0,"",INDEX(Deals!$C$2:$C$355,MATCH($C574,Deals!$A$2:$A$355,0))),"?"))</f>
        <v/>
      </c>
      <c r="E574" s="16">
        <f>IF($C574="","",IFERROR(INDEX(Deals!$F$2:$F$355,MATCH($C574,Deals!$A$2:$A$355,0)),"?"))</f>
        <v/>
      </c>
      <c r="F574" s="28" t="inlineStr">
        <is>
          <t>Renewable Specialist</t>
        </is>
      </c>
      <c r="G574" s="28" t="inlineStr">
        <is>
          <t>Active</t>
        </is>
      </c>
      <c r="H574" s="31" t="n"/>
      <c r="I574" s="32">
        <f>IF(OR($A574="",$G574&lt;&gt;"Active"),0,IF($H574&lt;&gt;"",$H574,IF($AO574&gt;0,$AP574,IF(AND($R574&lt;&gt;"",IFERROR(INDEX(Templates!$B$3:$H$10,MATCH($R574,Templates!$A$3:$A$10,0),MATCH($F574,Templates!$B$2:$H$2,0)),0)&gt;0),INDEX(Templates!$B$3:$H$10,MATCH($R574,Templates!$A$3:$A$10,0),MATCH($F574,Templates!$B$2:$H$2,0)),IFERROR(INDEX(Settings!$B$8:$B$14,MATCH($F574,Settings!$A$8:$A$14,0)),0)))))</f>
        <v/>
      </c>
      <c r="J574" s="21">
        <f>IF($C574="",0,IFERROR(INDEX(Deals!$H$2:$H$355,MATCH($C574,Deals!$A$2:$A$355,0)),0))</f>
        <v/>
      </c>
      <c r="K574" s="32">
        <f>IF(Settings!$B$4="Yes",$I574*$J574,$I574)</f>
        <v/>
      </c>
      <c r="L574" s="22">
        <f>IF($C574="","",IFERROR(IF(INDEX(Deals!$I$2:$I$355,MATCH($C574,Deals!$A$2:$A$355,0))=0,"",INDEX(Deals!$I$2:$I$355,MATCH($C574,Deals!$A$2:$A$355,0))),""))</f>
        <v/>
      </c>
      <c r="M574" s="22">
        <f>IF($C574="","",IFERROR(IF(INDEX(Deals!$J$2:$J$355,MATCH($C574,Deals!$A$2:$A$355,0))=0,"",INDEX(Deals!$J$2:$J$355,MATCH($C574,Deals!$A$2:$A$355,0))),""))</f>
        <v/>
      </c>
      <c r="N574" s="35">
        <f>IF($L574="",DATE(1900,1,1),$L574)</f>
        <v/>
      </c>
      <c r="O574" s="35">
        <f>IF($M574="",DATE(2100,12,31),$M574)</f>
        <v/>
      </c>
      <c r="P574" s="20" t="inlineStr"/>
      <c r="Q574" s="47" t="inlineStr"/>
      <c r="R574" s="16">
        <f>IF($C574="","",IFERROR(IF(INDEX(Deals!$U$2:$U$355,MATCH($C574,Deals!$A$2:$A$355,0))=0,"",INDEX(Deals!$U$2:$U$355,MATCH($C574,Deals!$A$2:$A$355,0))),""))</f>
        <v/>
      </c>
      <c r="S574" s="34">
        <f>IFERROR(IF($U574="",1,INDEX(Deals!$V$2:$V$355,MATCH($C574,Deals!$A$2:$A$355,0))),1)</f>
        <v/>
      </c>
      <c r="T574" s="34">
        <f>IFERROR(IF($U574="",1,INDEX(Deals!$W$2:$W$355,MATCH($C574,Deals!$A$2:$A$355,0))),1)</f>
        <v/>
      </c>
      <c r="U574" s="22">
        <f>IF($C574="","",IFERROR(IF(INDEX(Deals!$Y$2:$Y$355,MATCH($C574,Deals!$A$2:$A$355,0))=0,"",INDEX(Deals!$Y$2:$Y$355,MATCH($C574,Deals!$A$2:$A$355,0))),""))</f>
        <v/>
      </c>
      <c r="V574" s="35">
        <f>IF(OR($U574&lt;&gt;"",AND($AO574&gt;0,$L574&lt;&gt;"",$M574&lt;&gt;"")),$N574,DATE(1900,1,1))</f>
        <v/>
      </c>
      <c r="W574" s="35">
        <f>IF($U574&lt;&gt;"",$U574,IF(AND($AO574&gt;0,$L574&lt;&gt;"",$M574&lt;&gt;""),$O574,DATE(2100,12,31)))</f>
        <v/>
      </c>
      <c r="X574" s="32">
        <f>IF($U574="",$K574,$K574*$S574)</f>
        <v/>
      </c>
      <c r="Y574" s="35">
        <f>IF($U574="",DATE(2100,12,31),$U574+1)</f>
        <v/>
      </c>
      <c r="Z574" s="35">
        <f>IF($U574="",DATE(1900,1,1),$O574)</f>
        <v/>
      </c>
      <c r="AA574" s="32">
        <f>IF($U574="",0,$K574*$T574)</f>
        <v/>
      </c>
      <c r="AB574" s="21">
        <f>IF($C574="",0,IFERROR(INDEX(Deals!$AD$2:$AD$355,MATCH($C574,Deals!$A$2:$A$355,0)),0))</f>
        <v/>
      </c>
      <c r="AC574" s="32">
        <f>IF(Settings!$B$4="Yes",$I574*$AB574,$I574)</f>
        <v/>
      </c>
      <c r="AD574" s="22">
        <f>IF($C574="","",IFERROR(IF(INDEX(Deals!$AE$2:$AE$355,MATCH($C574,Deals!$A$2:$A$355,0))=0,"",INDEX(Deals!$AE$2:$AE$355,MATCH($C574,Deals!$A$2:$A$355,0))),""))</f>
        <v/>
      </c>
      <c r="AE574" s="22">
        <f>IF($C574="","",IFERROR(IF(INDEX(Deals!$AF$2:$AF$355,MATCH($C574,Deals!$A$2:$A$355,0))=0,"",INDEX(Deals!$AF$2:$AF$355,MATCH($C574,Deals!$A$2:$A$355,0))),""))</f>
        <v/>
      </c>
      <c r="AF574" s="35">
        <f>IF($AD574="",DATE(1900,1,1),$AD574)</f>
        <v/>
      </c>
      <c r="AG574" s="35">
        <f>IF($AE574="",DATE(2100,12,31),$AE574)</f>
        <v/>
      </c>
      <c r="AH574" s="22">
        <f>IF($C574="","",IFERROR(IF(INDEX(Deals!$AG$2:$AG$355,MATCH($C574,Deals!$A$2:$A$355,0))=0,"",INDEX(Deals!$AG$2:$AG$355,MATCH($C574,Deals!$A$2:$A$355,0))),""))</f>
        <v/>
      </c>
      <c r="AI574" s="35">
        <f>IF(OR($AH574&lt;&gt;"",AND($AO574&gt;0,$AD574&lt;&gt;"",$AE574&lt;&gt;"")),$AF574,DATE(1900,1,1))</f>
        <v/>
      </c>
      <c r="AJ574" s="35">
        <f>IF($AH574&lt;&gt;"",$AH574,IF(AND($AO574&gt;0,$AD574&lt;&gt;"",$AE574&lt;&gt;""),$AG574,DATE(2100,12,31)))</f>
        <v/>
      </c>
      <c r="AK574" s="32">
        <f>IF($AH574="",$AC574,$AC574*$S574)</f>
        <v/>
      </c>
      <c r="AL574" s="35">
        <f>IF($AH574="",DATE(2100,12,31),$AH574+1)</f>
        <v/>
      </c>
      <c r="AM574" s="35">
        <f>IF($AH574="",DATE(1900,1,1),$AG574)</f>
        <v/>
      </c>
      <c r="AN574" s="32">
        <f>IF($AH574="",0,$AC574*$T574)</f>
        <v/>
      </c>
      <c r="AO574" s="46">
        <f>IF($C574="",0,IFERROR(INDEX(Deals!$BD$2:$BD$355,MATCH($C574,Deals!$A$2:$A$355,0)),0))</f>
        <v/>
      </c>
      <c r="AP574" s="18">
        <f>IF($AO574=0,0,IFERROR(INDEX(Deals!$BJ$2:$BP$355,MATCH($C574,Deals!$A$2:$A$355,0),MATCH($F574,Deals!$BJ$1:$BP$1,0))/COUNTIFS(Assignments!$C$2:$C$769,$C574,Assignments!$F$2:$F$769,$F574,Assignments!$G$2:$G$769,"Active"),0))</f>
        <v/>
      </c>
    </row>
    <row r="575">
      <c r="A575" s="28" t="inlineStr">
        <is>
          <t>Dorian</t>
        </is>
      </c>
      <c r="B575" s="16">
        <f>IF($A575="","",IFERROR(INDEX(Roster!$B$2:$B$40,MATCH($A575,Roster!$A$2:$A$40,0)),"?"))</f>
        <v/>
      </c>
      <c r="C575" s="28" t="inlineStr">
        <is>
          <t>Sunzia_3</t>
        </is>
      </c>
      <c r="D575" s="16">
        <f>IF($C575="","",IFERROR(IF(INDEX(Deals!$C$2:$C$355,MATCH($C575,Deals!$A$2:$A$355,0))=0,"",INDEX(Deals!$C$2:$C$355,MATCH($C575,Deals!$A$2:$A$355,0))),"?"))</f>
        <v/>
      </c>
      <c r="E575" s="16">
        <f>IF($C575="","",IFERROR(INDEX(Deals!$F$2:$F$355,MATCH($C575,Deals!$A$2:$A$355,0)),"?"))</f>
        <v/>
      </c>
      <c r="F575" s="28" t="inlineStr">
        <is>
          <t>Renewable Specialist</t>
        </is>
      </c>
      <c r="G575" s="28" t="inlineStr">
        <is>
          <t>Active</t>
        </is>
      </c>
      <c r="H575" s="31" t="n"/>
      <c r="I575" s="32">
        <f>IF(OR($A575="",$G575&lt;&gt;"Active"),0,IF($H575&lt;&gt;"",$H575,IF($AO575&gt;0,$AP575,IF(AND($R575&lt;&gt;"",IFERROR(INDEX(Templates!$B$3:$H$10,MATCH($R575,Templates!$A$3:$A$10,0),MATCH($F575,Templates!$B$2:$H$2,0)),0)&gt;0),INDEX(Templates!$B$3:$H$10,MATCH($R575,Templates!$A$3:$A$10,0),MATCH($F575,Templates!$B$2:$H$2,0)),IFERROR(INDEX(Settings!$B$8:$B$14,MATCH($F575,Settings!$A$8:$A$14,0)),0)))))</f>
        <v/>
      </c>
      <c r="J575" s="21">
        <f>IF($C575="",0,IFERROR(INDEX(Deals!$H$2:$H$355,MATCH($C575,Deals!$A$2:$A$355,0)),0))</f>
        <v/>
      </c>
      <c r="K575" s="32">
        <f>IF(Settings!$B$4="Yes",$I575*$J575,$I575)</f>
        <v/>
      </c>
      <c r="L575" s="22">
        <f>IF($C575="","",IFERROR(IF(INDEX(Deals!$I$2:$I$355,MATCH($C575,Deals!$A$2:$A$355,0))=0,"",INDEX(Deals!$I$2:$I$355,MATCH($C575,Deals!$A$2:$A$355,0))),""))</f>
        <v/>
      </c>
      <c r="M575" s="22">
        <f>IF($C575="","",IFERROR(IF(INDEX(Deals!$J$2:$J$355,MATCH($C575,Deals!$A$2:$A$355,0))=0,"",INDEX(Deals!$J$2:$J$355,MATCH($C575,Deals!$A$2:$A$355,0))),""))</f>
        <v/>
      </c>
      <c r="N575" s="35">
        <f>IF($L575="",DATE(1900,1,1),$L575)</f>
        <v/>
      </c>
      <c r="O575" s="35">
        <f>IF($M575="",DATE(2100,12,31),$M575)</f>
        <v/>
      </c>
      <c r="P575" s="20" t="inlineStr"/>
      <c r="Q575" s="47" t="inlineStr"/>
      <c r="R575" s="16">
        <f>IF($C575="","",IFERROR(IF(INDEX(Deals!$U$2:$U$355,MATCH($C575,Deals!$A$2:$A$355,0))=0,"",INDEX(Deals!$U$2:$U$355,MATCH($C575,Deals!$A$2:$A$355,0))),""))</f>
        <v/>
      </c>
      <c r="S575" s="34">
        <f>IFERROR(IF($U575="",1,INDEX(Deals!$V$2:$V$355,MATCH($C575,Deals!$A$2:$A$355,0))),1)</f>
        <v/>
      </c>
      <c r="T575" s="34">
        <f>IFERROR(IF($U575="",1,INDEX(Deals!$W$2:$W$355,MATCH($C575,Deals!$A$2:$A$355,0))),1)</f>
        <v/>
      </c>
      <c r="U575" s="22">
        <f>IF($C575="","",IFERROR(IF(INDEX(Deals!$Y$2:$Y$355,MATCH($C575,Deals!$A$2:$A$355,0))=0,"",INDEX(Deals!$Y$2:$Y$355,MATCH($C575,Deals!$A$2:$A$355,0))),""))</f>
        <v/>
      </c>
      <c r="V575" s="35">
        <f>IF(OR($U575&lt;&gt;"",AND($AO575&gt;0,$L575&lt;&gt;"",$M575&lt;&gt;"")),$N575,DATE(1900,1,1))</f>
        <v/>
      </c>
      <c r="W575" s="35">
        <f>IF($U575&lt;&gt;"",$U575,IF(AND($AO575&gt;0,$L575&lt;&gt;"",$M575&lt;&gt;""),$O575,DATE(2100,12,31)))</f>
        <v/>
      </c>
      <c r="X575" s="32">
        <f>IF($U575="",$K575,$K575*$S575)</f>
        <v/>
      </c>
      <c r="Y575" s="35">
        <f>IF($U575="",DATE(2100,12,31),$U575+1)</f>
        <v/>
      </c>
      <c r="Z575" s="35">
        <f>IF($U575="",DATE(1900,1,1),$O575)</f>
        <v/>
      </c>
      <c r="AA575" s="32">
        <f>IF($U575="",0,$K575*$T575)</f>
        <v/>
      </c>
      <c r="AB575" s="21">
        <f>IF($C575="",0,IFERROR(INDEX(Deals!$AD$2:$AD$355,MATCH($C575,Deals!$A$2:$A$355,0)),0))</f>
        <v/>
      </c>
      <c r="AC575" s="32">
        <f>IF(Settings!$B$4="Yes",$I575*$AB575,$I575)</f>
        <v/>
      </c>
      <c r="AD575" s="22">
        <f>IF($C575="","",IFERROR(IF(INDEX(Deals!$AE$2:$AE$355,MATCH($C575,Deals!$A$2:$A$355,0))=0,"",INDEX(Deals!$AE$2:$AE$355,MATCH($C575,Deals!$A$2:$A$355,0))),""))</f>
        <v/>
      </c>
      <c r="AE575" s="22">
        <f>IF($C575="","",IFERROR(IF(INDEX(Deals!$AF$2:$AF$355,MATCH($C575,Deals!$A$2:$A$355,0))=0,"",INDEX(Deals!$AF$2:$AF$355,MATCH($C575,Deals!$A$2:$A$355,0))),""))</f>
        <v/>
      </c>
      <c r="AF575" s="35">
        <f>IF($AD575="",DATE(1900,1,1),$AD575)</f>
        <v/>
      </c>
      <c r="AG575" s="35">
        <f>IF($AE575="",DATE(2100,12,31),$AE575)</f>
        <v/>
      </c>
      <c r="AH575" s="22">
        <f>IF($C575="","",IFERROR(IF(INDEX(Deals!$AG$2:$AG$355,MATCH($C575,Deals!$A$2:$A$355,0))=0,"",INDEX(Deals!$AG$2:$AG$355,MATCH($C575,Deals!$A$2:$A$355,0))),""))</f>
        <v/>
      </c>
      <c r="AI575" s="35">
        <f>IF(OR($AH575&lt;&gt;"",AND($AO575&gt;0,$AD575&lt;&gt;"",$AE575&lt;&gt;"")),$AF575,DATE(1900,1,1))</f>
        <v/>
      </c>
      <c r="AJ575" s="35">
        <f>IF($AH575&lt;&gt;"",$AH575,IF(AND($AO575&gt;0,$AD575&lt;&gt;"",$AE575&lt;&gt;""),$AG575,DATE(2100,12,31)))</f>
        <v/>
      </c>
      <c r="AK575" s="32">
        <f>IF($AH575="",$AC575,$AC575*$S575)</f>
        <v/>
      </c>
      <c r="AL575" s="35">
        <f>IF($AH575="",DATE(2100,12,31),$AH575+1)</f>
        <v/>
      </c>
      <c r="AM575" s="35">
        <f>IF($AH575="",DATE(1900,1,1),$AG575)</f>
        <v/>
      </c>
      <c r="AN575" s="32">
        <f>IF($AH575="",0,$AC575*$T575)</f>
        <v/>
      </c>
      <c r="AO575" s="46">
        <f>IF($C575="",0,IFERROR(INDEX(Deals!$BD$2:$BD$355,MATCH($C575,Deals!$A$2:$A$355,0)),0))</f>
        <v/>
      </c>
      <c r="AP575" s="18">
        <f>IF($AO575=0,0,IFERROR(INDEX(Deals!$BJ$2:$BP$355,MATCH($C575,Deals!$A$2:$A$355,0),MATCH($F575,Deals!$BJ$1:$BP$1,0))/COUNTIFS(Assignments!$C$2:$C$769,$C575,Assignments!$F$2:$F$769,$F575,Assignments!$G$2:$G$769,"Active"),0))</f>
        <v/>
      </c>
    </row>
    <row r="576">
      <c r="A576" s="28" t="inlineStr">
        <is>
          <t>Dorian</t>
        </is>
      </c>
      <c r="B576" s="16">
        <f>IF($A576="","",IFERROR(INDEX(Roster!$B$2:$B$40,MATCH($A576,Roster!$A$2:$A$40,0)),"?"))</f>
        <v/>
      </c>
      <c r="C576" s="28" t="inlineStr">
        <is>
          <t>Tax_7</t>
        </is>
      </c>
      <c r="D576" s="16">
        <f>IF($C576="","",IFERROR(IF(INDEX(Deals!$C$2:$C$355,MATCH($C576,Deals!$A$2:$A$355,0))=0,"",INDEX(Deals!$C$2:$C$355,MATCH($C576,Deals!$A$2:$A$355,0))),"?"))</f>
        <v/>
      </c>
      <c r="E576" s="16">
        <f>IF($C576="","",IFERROR(INDEX(Deals!$F$2:$F$355,MATCH($C576,Deals!$A$2:$A$355,0)),"?"))</f>
        <v/>
      </c>
      <c r="F576" s="28" t="inlineStr">
        <is>
          <t>Renewable Specialist</t>
        </is>
      </c>
      <c r="G576" s="28" t="inlineStr">
        <is>
          <t>Active</t>
        </is>
      </c>
      <c r="H576" s="31" t="n"/>
      <c r="I576" s="32">
        <f>IF(OR($A576="",$G576&lt;&gt;"Active"),0,IF($H576&lt;&gt;"",$H576,IF($AO576&gt;0,$AP576,IF(AND($R576&lt;&gt;"",IFERROR(INDEX(Templates!$B$3:$H$10,MATCH($R576,Templates!$A$3:$A$10,0),MATCH($F576,Templates!$B$2:$H$2,0)),0)&gt;0),INDEX(Templates!$B$3:$H$10,MATCH($R576,Templates!$A$3:$A$10,0),MATCH($F576,Templates!$B$2:$H$2,0)),IFERROR(INDEX(Settings!$B$8:$B$14,MATCH($F576,Settings!$A$8:$A$14,0)),0)))))</f>
        <v/>
      </c>
      <c r="J576" s="21">
        <f>IF($C576="",0,IFERROR(INDEX(Deals!$H$2:$H$355,MATCH($C576,Deals!$A$2:$A$355,0)),0))</f>
        <v/>
      </c>
      <c r="K576" s="32">
        <f>IF(Settings!$B$4="Yes",$I576*$J576,$I576)</f>
        <v/>
      </c>
      <c r="L576" s="22">
        <f>IF($C576="","",IFERROR(IF(INDEX(Deals!$I$2:$I$355,MATCH($C576,Deals!$A$2:$A$355,0))=0,"",INDEX(Deals!$I$2:$I$355,MATCH($C576,Deals!$A$2:$A$355,0))),""))</f>
        <v/>
      </c>
      <c r="M576" s="22">
        <f>IF($C576="","",IFERROR(IF(INDEX(Deals!$J$2:$J$355,MATCH($C576,Deals!$A$2:$A$355,0))=0,"",INDEX(Deals!$J$2:$J$355,MATCH($C576,Deals!$A$2:$A$355,0))),""))</f>
        <v/>
      </c>
      <c r="N576" s="35">
        <f>IF($L576="",DATE(1900,1,1),$L576)</f>
        <v/>
      </c>
      <c r="O576" s="35">
        <f>IF($M576="",DATE(2100,12,31),$M576)</f>
        <v/>
      </c>
      <c r="P576" s="20" t="inlineStr"/>
      <c r="Q576" s="47" t="inlineStr"/>
      <c r="R576" s="16">
        <f>IF($C576="","",IFERROR(IF(INDEX(Deals!$U$2:$U$355,MATCH($C576,Deals!$A$2:$A$355,0))=0,"",INDEX(Deals!$U$2:$U$355,MATCH($C576,Deals!$A$2:$A$355,0))),""))</f>
        <v/>
      </c>
      <c r="S576" s="34">
        <f>IFERROR(IF($U576="",1,INDEX(Deals!$V$2:$V$355,MATCH($C576,Deals!$A$2:$A$355,0))),1)</f>
        <v/>
      </c>
      <c r="T576" s="34">
        <f>IFERROR(IF($U576="",1,INDEX(Deals!$W$2:$W$355,MATCH($C576,Deals!$A$2:$A$355,0))),1)</f>
        <v/>
      </c>
      <c r="U576" s="22">
        <f>IF($C576="","",IFERROR(IF(INDEX(Deals!$Y$2:$Y$355,MATCH($C576,Deals!$A$2:$A$355,0))=0,"",INDEX(Deals!$Y$2:$Y$355,MATCH($C576,Deals!$A$2:$A$355,0))),""))</f>
        <v/>
      </c>
      <c r="V576" s="35">
        <f>IF(OR($U576&lt;&gt;"",AND($AO576&gt;0,$L576&lt;&gt;"",$M576&lt;&gt;"")),$N576,DATE(1900,1,1))</f>
        <v/>
      </c>
      <c r="W576" s="35">
        <f>IF($U576&lt;&gt;"",$U576,IF(AND($AO576&gt;0,$L576&lt;&gt;"",$M576&lt;&gt;""),$O576,DATE(2100,12,31)))</f>
        <v/>
      </c>
      <c r="X576" s="32">
        <f>IF($U576="",$K576,$K576*$S576)</f>
        <v/>
      </c>
      <c r="Y576" s="35">
        <f>IF($U576="",DATE(2100,12,31),$U576+1)</f>
        <v/>
      </c>
      <c r="Z576" s="35">
        <f>IF($U576="",DATE(1900,1,1),$O576)</f>
        <v/>
      </c>
      <c r="AA576" s="32">
        <f>IF($U576="",0,$K576*$T576)</f>
        <v/>
      </c>
      <c r="AB576" s="21">
        <f>IF($C576="",0,IFERROR(INDEX(Deals!$AD$2:$AD$355,MATCH($C576,Deals!$A$2:$A$355,0)),0))</f>
        <v/>
      </c>
      <c r="AC576" s="32">
        <f>IF(Settings!$B$4="Yes",$I576*$AB576,$I576)</f>
        <v/>
      </c>
      <c r="AD576" s="22">
        <f>IF($C576="","",IFERROR(IF(INDEX(Deals!$AE$2:$AE$355,MATCH($C576,Deals!$A$2:$A$355,0))=0,"",INDEX(Deals!$AE$2:$AE$355,MATCH($C576,Deals!$A$2:$A$355,0))),""))</f>
        <v/>
      </c>
      <c r="AE576" s="22">
        <f>IF($C576="","",IFERROR(IF(INDEX(Deals!$AF$2:$AF$355,MATCH($C576,Deals!$A$2:$A$355,0))=0,"",INDEX(Deals!$AF$2:$AF$355,MATCH($C576,Deals!$A$2:$A$355,0))),""))</f>
        <v/>
      </c>
      <c r="AF576" s="35">
        <f>IF($AD576="",DATE(1900,1,1),$AD576)</f>
        <v/>
      </c>
      <c r="AG576" s="35">
        <f>IF($AE576="",DATE(2100,12,31),$AE576)</f>
        <v/>
      </c>
      <c r="AH576" s="22">
        <f>IF($C576="","",IFERROR(IF(INDEX(Deals!$AG$2:$AG$355,MATCH($C576,Deals!$A$2:$A$355,0))=0,"",INDEX(Deals!$AG$2:$AG$355,MATCH($C576,Deals!$A$2:$A$355,0))),""))</f>
        <v/>
      </c>
      <c r="AI576" s="35">
        <f>IF(OR($AH576&lt;&gt;"",AND($AO576&gt;0,$AD576&lt;&gt;"",$AE576&lt;&gt;"")),$AF576,DATE(1900,1,1))</f>
        <v/>
      </c>
      <c r="AJ576" s="35">
        <f>IF($AH576&lt;&gt;"",$AH576,IF(AND($AO576&gt;0,$AD576&lt;&gt;"",$AE576&lt;&gt;""),$AG576,DATE(2100,12,31)))</f>
        <v/>
      </c>
      <c r="AK576" s="32">
        <f>IF($AH576="",$AC576,$AC576*$S576)</f>
        <v/>
      </c>
      <c r="AL576" s="35">
        <f>IF($AH576="",DATE(2100,12,31),$AH576+1)</f>
        <v/>
      </c>
      <c r="AM576" s="35">
        <f>IF($AH576="",DATE(1900,1,1),$AG576)</f>
        <v/>
      </c>
      <c r="AN576" s="32">
        <f>IF($AH576="",0,$AC576*$T576)</f>
        <v/>
      </c>
      <c r="AO576" s="46">
        <f>IF($C576="",0,IFERROR(INDEX(Deals!$BD$2:$BD$355,MATCH($C576,Deals!$A$2:$A$355,0)),0))</f>
        <v/>
      </c>
      <c r="AP576" s="18">
        <f>IF($AO576=0,0,IFERROR(INDEX(Deals!$BJ$2:$BP$355,MATCH($C576,Deals!$A$2:$A$355,0),MATCH($F576,Deals!$BJ$1:$BP$1,0))/COUNTIFS(Assignments!$C$2:$C$769,$C576,Assignments!$F$2:$F$769,$F576,Assignments!$G$2:$G$769,"Active"),0))</f>
        <v/>
      </c>
    </row>
    <row r="577">
      <c r="A577" s="28" t="inlineStr">
        <is>
          <t>Dorian</t>
        </is>
      </c>
      <c r="B577" s="16">
        <f>IF($A577="","",IFERROR(INDEX(Roster!$B$2:$B$40,MATCH($A577,Roster!$A$2:$A$40,0)),"?"))</f>
        <v/>
      </c>
      <c r="C577" s="28" t="inlineStr">
        <is>
          <t>Tax_8</t>
        </is>
      </c>
      <c r="D577" s="16">
        <f>IF($C577="","",IFERROR(IF(INDEX(Deals!$C$2:$C$355,MATCH($C577,Deals!$A$2:$A$355,0))=0,"",INDEX(Deals!$C$2:$C$355,MATCH($C577,Deals!$A$2:$A$355,0))),"?"))</f>
        <v/>
      </c>
      <c r="E577" s="16">
        <f>IF($C577="","",IFERROR(INDEX(Deals!$F$2:$F$355,MATCH($C577,Deals!$A$2:$A$355,0)),"?"))</f>
        <v/>
      </c>
      <c r="F577" s="28" t="inlineStr">
        <is>
          <t>Renewable Specialist</t>
        </is>
      </c>
      <c r="G577" s="28" t="inlineStr">
        <is>
          <t>Active</t>
        </is>
      </c>
      <c r="H577" s="31" t="n"/>
      <c r="I577" s="32">
        <f>IF(OR($A577="",$G577&lt;&gt;"Active"),0,IF($H577&lt;&gt;"",$H577,IF($AO577&gt;0,$AP577,IF(AND($R577&lt;&gt;"",IFERROR(INDEX(Templates!$B$3:$H$10,MATCH($R577,Templates!$A$3:$A$10,0),MATCH($F577,Templates!$B$2:$H$2,0)),0)&gt;0),INDEX(Templates!$B$3:$H$10,MATCH($R577,Templates!$A$3:$A$10,0),MATCH($F577,Templates!$B$2:$H$2,0)),IFERROR(INDEX(Settings!$B$8:$B$14,MATCH($F577,Settings!$A$8:$A$14,0)),0)))))</f>
        <v/>
      </c>
      <c r="J577" s="21">
        <f>IF($C577="",0,IFERROR(INDEX(Deals!$H$2:$H$355,MATCH($C577,Deals!$A$2:$A$355,0)),0))</f>
        <v/>
      </c>
      <c r="K577" s="32">
        <f>IF(Settings!$B$4="Yes",$I577*$J577,$I577)</f>
        <v/>
      </c>
      <c r="L577" s="22">
        <f>IF($C577="","",IFERROR(IF(INDEX(Deals!$I$2:$I$355,MATCH($C577,Deals!$A$2:$A$355,0))=0,"",INDEX(Deals!$I$2:$I$355,MATCH($C577,Deals!$A$2:$A$355,0))),""))</f>
        <v/>
      </c>
      <c r="M577" s="22">
        <f>IF($C577="","",IFERROR(IF(INDEX(Deals!$J$2:$J$355,MATCH($C577,Deals!$A$2:$A$355,0))=0,"",INDEX(Deals!$J$2:$J$355,MATCH($C577,Deals!$A$2:$A$355,0))),""))</f>
        <v/>
      </c>
      <c r="N577" s="35">
        <f>IF($L577="",DATE(1900,1,1),$L577)</f>
        <v/>
      </c>
      <c r="O577" s="35">
        <f>IF($M577="",DATE(2100,12,31),$M577)</f>
        <v/>
      </c>
      <c r="P577" s="20" t="inlineStr"/>
      <c r="Q577" s="47" t="inlineStr"/>
      <c r="R577" s="16">
        <f>IF($C577="","",IFERROR(IF(INDEX(Deals!$U$2:$U$355,MATCH($C577,Deals!$A$2:$A$355,0))=0,"",INDEX(Deals!$U$2:$U$355,MATCH($C577,Deals!$A$2:$A$355,0))),""))</f>
        <v/>
      </c>
      <c r="S577" s="34">
        <f>IFERROR(IF($U577="",1,INDEX(Deals!$V$2:$V$355,MATCH($C577,Deals!$A$2:$A$355,0))),1)</f>
        <v/>
      </c>
      <c r="T577" s="34">
        <f>IFERROR(IF($U577="",1,INDEX(Deals!$W$2:$W$355,MATCH($C577,Deals!$A$2:$A$355,0))),1)</f>
        <v/>
      </c>
      <c r="U577" s="22">
        <f>IF($C577="","",IFERROR(IF(INDEX(Deals!$Y$2:$Y$355,MATCH($C577,Deals!$A$2:$A$355,0))=0,"",INDEX(Deals!$Y$2:$Y$355,MATCH($C577,Deals!$A$2:$A$355,0))),""))</f>
        <v/>
      </c>
      <c r="V577" s="35">
        <f>IF(OR($U577&lt;&gt;"",AND($AO577&gt;0,$L577&lt;&gt;"",$M577&lt;&gt;"")),$N577,DATE(1900,1,1))</f>
        <v/>
      </c>
      <c r="W577" s="35">
        <f>IF($U577&lt;&gt;"",$U577,IF(AND($AO577&gt;0,$L577&lt;&gt;"",$M577&lt;&gt;""),$O577,DATE(2100,12,31)))</f>
        <v/>
      </c>
      <c r="X577" s="32">
        <f>IF($U577="",$K577,$K577*$S577)</f>
        <v/>
      </c>
      <c r="Y577" s="35">
        <f>IF($U577="",DATE(2100,12,31),$U577+1)</f>
        <v/>
      </c>
      <c r="Z577" s="35">
        <f>IF($U577="",DATE(1900,1,1),$O577)</f>
        <v/>
      </c>
      <c r="AA577" s="32">
        <f>IF($U577="",0,$K577*$T577)</f>
        <v/>
      </c>
      <c r="AB577" s="21">
        <f>IF($C577="",0,IFERROR(INDEX(Deals!$AD$2:$AD$355,MATCH($C577,Deals!$A$2:$A$355,0)),0))</f>
        <v/>
      </c>
      <c r="AC577" s="32">
        <f>IF(Settings!$B$4="Yes",$I577*$AB577,$I577)</f>
        <v/>
      </c>
      <c r="AD577" s="22">
        <f>IF($C577="","",IFERROR(IF(INDEX(Deals!$AE$2:$AE$355,MATCH($C577,Deals!$A$2:$A$355,0))=0,"",INDEX(Deals!$AE$2:$AE$355,MATCH($C577,Deals!$A$2:$A$355,0))),""))</f>
        <v/>
      </c>
      <c r="AE577" s="22">
        <f>IF($C577="","",IFERROR(IF(INDEX(Deals!$AF$2:$AF$355,MATCH($C577,Deals!$A$2:$A$355,0))=0,"",INDEX(Deals!$AF$2:$AF$355,MATCH($C577,Deals!$A$2:$A$355,0))),""))</f>
        <v/>
      </c>
      <c r="AF577" s="35">
        <f>IF($AD577="",DATE(1900,1,1),$AD577)</f>
        <v/>
      </c>
      <c r="AG577" s="35">
        <f>IF($AE577="",DATE(2100,12,31),$AE577)</f>
        <v/>
      </c>
      <c r="AH577" s="22">
        <f>IF($C577="","",IFERROR(IF(INDEX(Deals!$AG$2:$AG$355,MATCH($C577,Deals!$A$2:$A$355,0))=0,"",INDEX(Deals!$AG$2:$AG$355,MATCH($C577,Deals!$A$2:$A$355,0))),""))</f>
        <v/>
      </c>
      <c r="AI577" s="35">
        <f>IF(OR($AH577&lt;&gt;"",AND($AO577&gt;0,$AD577&lt;&gt;"",$AE577&lt;&gt;"")),$AF577,DATE(1900,1,1))</f>
        <v/>
      </c>
      <c r="AJ577" s="35">
        <f>IF($AH577&lt;&gt;"",$AH577,IF(AND($AO577&gt;0,$AD577&lt;&gt;"",$AE577&lt;&gt;""),$AG577,DATE(2100,12,31)))</f>
        <v/>
      </c>
      <c r="AK577" s="32">
        <f>IF($AH577="",$AC577,$AC577*$S577)</f>
        <v/>
      </c>
      <c r="AL577" s="35">
        <f>IF($AH577="",DATE(2100,12,31),$AH577+1)</f>
        <v/>
      </c>
      <c r="AM577" s="35">
        <f>IF($AH577="",DATE(1900,1,1),$AG577)</f>
        <v/>
      </c>
      <c r="AN577" s="32">
        <f>IF($AH577="",0,$AC577*$T577)</f>
        <v/>
      </c>
      <c r="AO577" s="46">
        <f>IF($C577="",0,IFERROR(INDEX(Deals!$BD$2:$BD$355,MATCH($C577,Deals!$A$2:$A$355,0)),0))</f>
        <v/>
      </c>
      <c r="AP577" s="18">
        <f>IF($AO577=0,0,IFERROR(INDEX(Deals!$BJ$2:$BP$355,MATCH($C577,Deals!$A$2:$A$355,0),MATCH($F577,Deals!$BJ$1:$BP$1,0))/COUNTIFS(Assignments!$C$2:$C$769,$C577,Assignments!$F$2:$F$769,$F577,Assignments!$G$2:$G$769,"Active"),0))</f>
        <v/>
      </c>
    </row>
    <row r="578">
      <c r="A578" s="28" t="inlineStr">
        <is>
          <t>Dorian</t>
        </is>
      </c>
      <c r="B578" s="16">
        <f>IF($A578="","",IFERROR(INDEX(Roster!$B$2:$B$40,MATCH($A578,Roster!$A$2:$A$40,0)),"?"))</f>
        <v/>
      </c>
      <c r="C578" s="28" t="inlineStr">
        <is>
          <t>TEP Tax_1</t>
        </is>
      </c>
      <c r="D578" s="16">
        <f>IF($C578="","",IFERROR(IF(INDEX(Deals!$C$2:$C$355,MATCH($C578,Deals!$A$2:$A$355,0))=0,"",INDEX(Deals!$C$2:$C$355,MATCH($C578,Deals!$A$2:$A$355,0))),"?"))</f>
        <v/>
      </c>
      <c r="E578" s="16">
        <f>IF($C578="","",IFERROR(INDEX(Deals!$F$2:$F$355,MATCH($C578,Deals!$A$2:$A$355,0)),"?"))</f>
        <v/>
      </c>
      <c r="F578" s="28" t="inlineStr">
        <is>
          <t>Renewable Specialist</t>
        </is>
      </c>
      <c r="G578" s="28" t="inlineStr">
        <is>
          <t>Active</t>
        </is>
      </c>
      <c r="H578" s="31" t="n"/>
      <c r="I578" s="32">
        <f>IF(OR($A578="",$G578&lt;&gt;"Active"),0,IF($H578&lt;&gt;"",$H578,IF($AO578&gt;0,$AP578,IF(AND($R578&lt;&gt;"",IFERROR(INDEX(Templates!$B$3:$H$10,MATCH($R578,Templates!$A$3:$A$10,0),MATCH($F578,Templates!$B$2:$H$2,0)),0)&gt;0),INDEX(Templates!$B$3:$H$10,MATCH($R578,Templates!$A$3:$A$10,0),MATCH($F578,Templates!$B$2:$H$2,0)),IFERROR(INDEX(Settings!$B$8:$B$14,MATCH($F578,Settings!$A$8:$A$14,0)),0)))))</f>
        <v/>
      </c>
      <c r="J578" s="21">
        <f>IF($C578="",0,IFERROR(INDEX(Deals!$H$2:$H$355,MATCH($C578,Deals!$A$2:$A$355,0)),0))</f>
        <v/>
      </c>
      <c r="K578" s="32">
        <f>IF(Settings!$B$4="Yes",$I578*$J578,$I578)</f>
        <v/>
      </c>
      <c r="L578" s="22">
        <f>IF($C578="","",IFERROR(IF(INDEX(Deals!$I$2:$I$355,MATCH($C578,Deals!$A$2:$A$355,0))=0,"",INDEX(Deals!$I$2:$I$355,MATCH($C578,Deals!$A$2:$A$355,0))),""))</f>
        <v/>
      </c>
      <c r="M578" s="22">
        <f>IF($C578="","",IFERROR(IF(INDEX(Deals!$J$2:$J$355,MATCH($C578,Deals!$A$2:$A$355,0))=0,"",INDEX(Deals!$J$2:$J$355,MATCH($C578,Deals!$A$2:$A$355,0))),""))</f>
        <v/>
      </c>
      <c r="N578" s="35">
        <f>IF($L578="",DATE(1900,1,1),$L578)</f>
        <v/>
      </c>
      <c r="O578" s="35">
        <f>IF($M578="",DATE(2100,12,31),$M578)</f>
        <v/>
      </c>
      <c r="P578" s="20" t="inlineStr"/>
      <c r="Q578" s="47" t="inlineStr"/>
      <c r="R578" s="16">
        <f>IF($C578="","",IFERROR(IF(INDEX(Deals!$U$2:$U$355,MATCH($C578,Deals!$A$2:$A$355,0))=0,"",INDEX(Deals!$U$2:$U$355,MATCH($C578,Deals!$A$2:$A$355,0))),""))</f>
        <v/>
      </c>
      <c r="S578" s="34">
        <f>IFERROR(IF($U578="",1,INDEX(Deals!$V$2:$V$355,MATCH($C578,Deals!$A$2:$A$355,0))),1)</f>
        <v/>
      </c>
      <c r="T578" s="34">
        <f>IFERROR(IF($U578="",1,INDEX(Deals!$W$2:$W$355,MATCH($C578,Deals!$A$2:$A$355,0))),1)</f>
        <v/>
      </c>
      <c r="U578" s="22">
        <f>IF($C578="","",IFERROR(IF(INDEX(Deals!$Y$2:$Y$355,MATCH($C578,Deals!$A$2:$A$355,0))=0,"",INDEX(Deals!$Y$2:$Y$355,MATCH($C578,Deals!$A$2:$A$355,0))),""))</f>
        <v/>
      </c>
      <c r="V578" s="35">
        <f>IF(OR($U578&lt;&gt;"",AND($AO578&gt;0,$L578&lt;&gt;"",$M578&lt;&gt;"")),$N578,DATE(1900,1,1))</f>
        <v/>
      </c>
      <c r="W578" s="35">
        <f>IF($U578&lt;&gt;"",$U578,IF(AND($AO578&gt;0,$L578&lt;&gt;"",$M578&lt;&gt;""),$O578,DATE(2100,12,31)))</f>
        <v/>
      </c>
      <c r="X578" s="32">
        <f>IF($U578="",$K578,$K578*$S578)</f>
        <v/>
      </c>
      <c r="Y578" s="35">
        <f>IF($U578="",DATE(2100,12,31),$U578+1)</f>
        <v/>
      </c>
      <c r="Z578" s="35">
        <f>IF($U578="",DATE(1900,1,1),$O578)</f>
        <v/>
      </c>
      <c r="AA578" s="32">
        <f>IF($U578="",0,$K578*$T578)</f>
        <v/>
      </c>
      <c r="AB578" s="21">
        <f>IF($C578="",0,IFERROR(INDEX(Deals!$AD$2:$AD$355,MATCH($C578,Deals!$A$2:$A$355,0)),0))</f>
        <v/>
      </c>
      <c r="AC578" s="32">
        <f>IF(Settings!$B$4="Yes",$I578*$AB578,$I578)</f>
        <v/>
      </c>
      <c r="AD578" s="22">
        <f>IF($C578="","",IFERROR(IF(INDEX(Deals!$AE$2:$AE$355,MATCH($C578,Deals!$A$2:$A$355,0))=0,"",INDEX(Deals!$AE$2:$AE$355,MATCH($C578,Deals!$A$2:$A$355,0))),""))</f>
        <v/>
      </c>
      <c r="AE578" s="22">
        <f>IF($C578="","",IFERROR(IF(INDEX(Deals!$AF$2:$AF$355,MATCH($C578,Deals!$A$2:$A$355,0))=0,"",INDEX(Deals!$AF$2:$AF$355,MATCH($C578,Deals!$A$2:$A$355,0))),""))</f>
        <v/>
      </c>
      <c r="AF578" s="35">
        <f>IF($AD578="",DATE(1900,1,1),$AD578)</f>
        <v/>
      </c>
      <c r="AG578" s="35">
        <f>IF($AE578="",DATE(2100,12,31),$AE578)</f>
        <v/>
      </c>
      <c r="AH578" s="22">
        <f>IF($C578="","",IFERROR(IF(INDEX(Deals!$AG$2:$AG$355,MATCH($C578,Deals!$A$2:$A$355,0))=0,"",INDEX(Deals!$AG$2:$AG$355,MATCH($C578,Deals!$A$2:$A$355,0))),""))</f>
        <v/>
      </c>
      <c r="AI578" s="35">
        <f>IF(OR($AH578&lt;&gt;"",AND($AO578&gt;0,$AD578&lt;&gt;"",$AE578&lt;&gt;"")),$AF578,DATE(1900,1,1))</f>
        <v/>
      </c>
      <c r="AJ578" s="35">
        <f>IF($AH578&lt;&gt;"",$AH578,IF(AND($AO578&gt;0,$AD578&lt;&gt;"",$AE578&lt;&gt;""),$AG578,DATE(2100,12,31)))</f>
        <v/>
      </c>
      <c r="AK578" s="32">
        <f>IF($AH578="",$AC578,$AC578*$S578)</f>
        <v/>
      </c>
      <c r="AL578" s="35">
        <f>IF($AH578="",DATE(2100,12,31),$AH578+1)</f>
        <v/>
      </c>
      <c r="AM578" s="35">
        <f>IF($AH578="",DATE(1900,1,1),$AG578)</f>
        <v/>
      </c>
      <c r="AN578" s="32">
        <f>IF($AH578="",0,$AC578*$T578)</f>
        <v/>
      </c>
      <c r="AO578" s="46">
        <f>IF($C578="",0,IFERROR(INDEX(Deals!$BD$2:$BD$355,MATCH($C578,Deals!$A$2:$A$355,0)),0))</f>
        <v/>
      </c>
      <c r="AP578" s="18">
        <f>IF($AO578=0,0,IFERROR(INDEX(Deals!$BJ$2:$BP$355,MATCH($C578,Deals!$A$2:$A$355,0),MATCH($F578,Deals!$BJ$1:$BP$1,0))/COUNTIFS(Assignments!$C$2:$C$769,$C578,Assignments!$F$2:$F$769,$F578,Assignments!$G$2:$G$769,"Active"),0))</f>
        <v/>
      </c>
    </row>
    <row r="579">
      <c r="A579" s="28" t="inlineStr">
        <is>
          <t>Dorian</t>
        </is>
      </c>
      <c r="B579" s="16">
        <f>IF($A579="","",IFERROR(INDEX(Roster!$B$2:$B$40,MATCH($A579,Roster!$A$2:$A$40,0)),"?"))</f>
        <v/>
      </c>
      <c r="C579" s="28" t="inlineStr">
        <is>
          <t>Upstream_3</t>
        </is>
      </c>
      <c r="D579" s="16">
        <f>IF($C579="","",IFERROR(IF(INDEX(Deals!$C$2:$C$355,MATCH($C579,Deals!$A$2:$A$355,0))=0,"",INDEX(Deals!$C$2:$C$355,MATCH($C579,Deals!$A$2:$A$355,0))),"?"))</f>
        <v/>
      </c>
      <c r="E579" s="16">
        <f>IF($C579="","",IFERROR(INDEX(Deals!$F$2:$F$355,MATCH($C579,Deals!$A$2:$A$355,0)),"?"))</f>
        <v/>
      </c>
      <c r="F579" s="28" t="inlineStr">
        <is>
          <t>Renewable Specialist</t>
        </is>
      </c>
      <c r="G579" s="28" t="inlineStr">
        <is>
          <t>Active</t>
        </is>
      </c>
      <c r="H579" s="31" t="n"/>
      <c r="I579" s="32">
        <f>IF(OR($A579="",$G579&lt;&gt;"Active"),0,IF($H579&lt;&gt;"",$H579,IF($AO579&gt;0,$AP579,IF(AND($R579&lt;&gt;"",IFERROR(INDEX(Templates!$B$3:$H$10,MATCH($R579,Templates!$A$3:$A$10,0),MATCH($F579,Templates!$B$2:$H$2,0)),0)&gt;0),INDEX(Templates!$B$3:$H$10,MATCH($R579,Templates!$A$3:$A$10,0),MATCH($F579,Templates!$B$2:$H$2,0)),IFERROR(INDEX(Settings!$B$8:$B$14,MATCH($F579,Settings!$A$8:$A$14,0)),0)))))</f>
        <v/>
      </c>
      <c r="J579" s="21">
        <f>IF($C579="",0,IFERROR(INDEX(Deals!$H$2:$H$355,MATCH($C579,Deals!$A$2:$A$355,0)),0))</f>
        <v/>
      </c>
      <c r="K579" s="32">
        <f>IF(Settings!$B$4="Yes",$I579*$J579,$I579)</f>
        <v/>
      </c>
      <c r="L579" s="22">
        <f>IF($C579="","",IFERROR(IF(INDEX(Deals!$I$2:$I$355,MATCH($C579,Deals!$A$2:$A$355,0))=0,"",INDEX(Deals!$I$2:$I$355,MATCH($C579,Deals!$A$2:$A$355,0))),""))</f>
        <v/>
      </c>
      <c r="M579" s="22">
        <f>IF($C579="","",IFERROR(IF(INDEX(Deals!$J$2:$J$355,MATCH($C579,Deals!$A$2:$A$355,0))=0,"",INDEX(Deals!$J$2:$J$355,MATCH($C579,Deals!$A$2:$A$355,0))),""))</f>
        <v/>
      </c>
      <c r="N579" s="35">
        <f>IF($L579="",DATE(1900,1,1),$L579)</f>
        <v/>
      </c>
      <c r="O579" s="35">
        <f>IF($M579="",DATE(2100,12,31),$M579)</f>
        <v/>
      </c>
      <c r="P579" s="20" t="inlineStr"/>
      <c r="Q579" s="47" t="inlineStr"/>
      <c r="R579" s="16">
        <f>IF($C579="","",IFERROR(IF(INDEX(Deals!$U$2:$U$355,MATCH($C579,Deals!$A$2:$A$355,0))=0,"",INDEX(Deals!$U$2:$U$355,MATCH($C579,Deals!$A$2:$A$355,0))),""))</f>
        <v/>
      </c>
      <c r="S579" s="34">
        <f>IFERROR(IF($U579="",1,INDEX(Deals!$V$2:$V$355,MATCH($C579,Deals!$A$2:$A$355,0))),1)</f>
        <v/>
      </c>
      <c r="T579" s="34">
        <f>IFERROR(IF($U579="",1,INDEX(Deals!$W$2:$W$355,MATCH($C579,Deals!$A$2:$A$355,0))),1)</f>
        <v/>
      </c>
      <c r="U579" s="22">
        <f>IF($C579="","",IFERROR(IF(INDEX(Deals!$Y$2:$Y$355,MATCH($C579,Deals!$A$2:$A$355,0))=0,"",INDEX(Deals!$Y$2:$Y$355,MATCH($C579,Deals!$A$2:$A$355,0))),""))</f>
        <v/>
      </c>
      <c r="V579" s="35">
        <f>IF(OR($U579&lt;&gt;"",AND($AO579&gt;0,$L579&lt;&gt;"",$M579&lt;&gt;"")),$N579,DATE(1900,1,1))</f>
        <v/>
      </c>
      <c r="W579" s="35">
        <f>IF($U579&lt;&gt;"",$U579,IF(AND($AO579&gt;0,$L579&lt;&gt;"",$M579&lt;&gt;""),$O579,DATE(2100,12,31)))</f>
        <v/>
      </c>
      <c r="X579" s="32">
        <f>IF($U579="",$K579,$K579*$S579)</f>
        <v/>
      </c>
      <c r="Y579" s="35">
        <f>IF($U579="",DATE(2100,12,31),$U579+1)</f>
        <v/>
      </c>
      <c r="Z579" s="35">
        <f>IF($U579="",DATE(1900,1,1),$O579)</f>
        <v/>
      </c>
      <c r="AA579" s="32">
        <f>IF($U579="",0,$K579*$T579)</f>
        <v/>
      </c>
      <c r="AB579" s="21">
        <f>IF($C579="",0,IFERROR(INDEX(Deals!$AD$2:$AD$355,MATCH($C579,Deals!$A$2:$A$355,0)),0))</f>
        <v/>
      </c>
      <c r="AC579" s="32">
        <f>IF(Settings!$B$4="Yes",$I579*$AB579,$I579)</f>
        <v/>
      </c>
      <c r="AD579" s="22">
        <f>IF($C579="","",IFERROR(IF(INDEX(Deals!$AE$2:$AE$355,MATCH($C579,Deals!$A$2:$A$355,0))=0,"",INDEX(Deals!$AE$2:$AE$355,MATCH($C579,Deals!$A$2:$A$355,0))),""))</f>
        <v/>
      </c>
      <c r="AE579" s="22">
        <f>IF($C579="","",IFERROR(IF(INDEX(Deals!$AF$2:$AF$355,MATCH($C579,Deals!$A$2:$A$355,0))=0,"",INDEX(Deals!$AF$2:$AF$355,MATCH($C579,Deals!$A$2:$A$355,0))),""))</f>
        <v/>
      </c>
      <c r="AF579" s="35">
        <f>IF($AD579="",DATE(1900,1,1),$AD579)</f>
        <v/>
      </c>
      <c r="AG579" s="35">
        <f>IF($AE579="",DATE(2100,12,31),$AE579)</f>
        <v/>
      </c>
      <c r="AH579" s="22">
        <f>IF($C579="","",IFERROR(IF(INDEX(Deals!$AG$2:$AG$355,MATCH($C579,Deals!$A$2:$A$355,0))=0,"",INDEX(Deals!$AG$2:$AG$355,MATCH($C579,Deals!$A$2:$A$355,0))),""))</f>
        <v/>
      </c>
      <c r="AI579" s="35">
        <f>IF(OR($AH579&lt;&gt;"",AND($AO579&gt;0,$AD579&lt;&gt;"",$AE579&lt;&gt;"")),$AF579,DATE(1900,1,1))</f>
        <v/>
      </c>
      <c r="AJ579" s="35">
        <f>IF($AH579&lt;&gt;"",$AH579,IF(AND($AO579&gt;0,$AD579&lt;&gt;"",$AE579&lt;&gt;""),$AG579,DATE(2100,12,31)))</f>
        <v/>
      </c>
      <c r="AK579" s="32">
        <f>IF($AH579="",$AC579,$AC579*$S579)</f>
        <v/>
      </c>
      <c r="AL579" s="35">
        <f>IF($AH579="",DATE(2100,12,31),$AH579+1)</f>
        <v/>
      </c>
      <c r="AM579" s="35">
        <f>IF($AH579="",DATE(1900,1,1),$AG579)</f>
        <v/>
      </c>
      <c r="AN579" s="32">
        <f>IF($AH579="",0,$AC579*$T579)</f>
        <v/>
      </c>
      <c r="AO579" s="46">
        <f>IF($C579="",0,IFERROR(INDEX(Deals!$BD$2:$BD$355,MATCH($C579,Deals!$A$2:$A$355,0)),0))</f>
        <v/>
      </c>
      <c r="AP579" s="18">
        <f>IF($AO579=0,0,IFERROR(INDEX(Deals!$BJ$2:$BP$355,MATCH($C579,Deals!$A$2:$A$355,0),MATCH($F579,Deals!$BJ$1:$BP$1,0))/COUNTIFS(Assignments!$C$2:$C$769,$C579,Assignments!$F$2:$F$769,$F579,Assignments!$G$2:$G$769,"Active"),0))</f>
        <v/>
      </c>
    </row>
    <row r="580">
      <c r="A580" s="28" t="inlineStr">
        <is>
          <t>Dorian</t>
        </is>
      </c>
      <c r="B580" s="16">
        <f>IF($A580="","",IFERROR(INDEX(Roster!$B$2:$B$40,MATCH($A580,Roster!$A$2:$A$40,0)),"?"))</f>
        <v/>
      </c>
      <c r="C580" s="28" t="inlineStr">
        <is>
          <t>Vega_1</t>
        </is>
      </c>
      <c r="D580" s="16">
        <f>IF($C580="","",IFERROR(IF(INDEX(Deals!$C$2:$C$355,MATCH($C580,Deals!$A$2:$A$355,0))=0,"",INDEX(Deals!$C$2:$C$355,MATCH($C580,Deals!$A$2:$A$355,0))),"?"))</f>
        <v/>
      </c>
      <c r="E580" s="16">
        <f>IF($C580="","",IFERROR(INDEX(Deals!$F$2:$F$355,MATCH($C580,Deals!$A$2:$A$355,0)),"?"))</f>
        <v/>
      </c>
      <c r="F580" s="28" t="inlineStr">
        <is>
          <t>Renewable Specialist</t>
        </is>
      </c>
      <c r="G580" s="28" t="inlineStr">
        <is>
          <t>Active</t>
        </is>
      </c>
      <c r="H580" s="31" t="n"/>
      <c r="I580" s="32">
        <f>IF(OR($A580="",$G580&lt;&gt;"Active"),0,IF($H580&lt;&gt;"",$H580,IF($AO580&gt;0,$AP580,IF(AND($R580&lt;&gt;"",IFERROR(INDEX(Templates!$B$3:$H$10,MATCH($R580,Templates!$A$3:$A$10,0),MATCH($F580,Templates!$B$2:$H$2,0)),0)&gt;0),INDEX(Templates!$B$3:$H$10,MATCH($R580,Templates!$A$3:$A$10,0),MATCH($F580,Templates!$B$2:$H$2,0)),IFERROR(INDEX(Settings!$B$8:$B$14,MATCH($F580,Settings!$A$8:$A$14,0)),0)))))</f>
        <v/>
      </c>
      <c r="J580" s="21">
        <f>IF($C580="",0,IFERROR(INDEX(Deals!$H$2:$H$355,MATCH($C580,Deals!$A$2:$A$355,0)),0))</f>
        <v/>
      </c>
      <c r="K580" s="32">
        <f>IF(Settings!$B$4="Yes",$I580*$J580,$I580)</f>
        <v/>
      </c>
      <c r="L580" s="22">
        <f>IF($C580="","",IFERROR(IF(INDEX(Deals!$I$2:$I$355,MATCH($C580,Deals!$A$2:$A$355,0))=0,"",INDEX(Deals!$I$2:$I$355,MATCH($C580,Deals!$A$2:$A$355,0))),""))</f>
        <v/>
      </c>
      <c r="M580" s="22">
        <f>IF($C580="","",IFERROR(IF(INDEX(Deals!$J$2:$J$355,MATCH($C580,Deals!$A$2:$A$355,0))=0,"",INDEX(Deals!$J$2:$J$355,MATCH($C580,Deals!$A$2:$A$355,0))),""))</f>
        <v/>
      </c>
      <c r="N580" s="35">
        <f>IF($L580="",DATE(1900,1,1),$L580)</f>
        <v/>
      </c>
      <c r="O580" s="35">
        <f>IF($M580="",DATE(2100,12,31),$M580)</f>
        <v/>
      </c>
      <c r="P580" s="20" t="inlineStr"/>
      <c r="Q580" s="47" t="inlineStr"/>
      <c r="R580" s="16">
        <f>IF($C580="","",IFERROR(IF(INDEX(Deals!$U$2:$U$355,MATCH($C580,Deals!$A$2:$A$355,0))=0,"",INDEX(Deals!$U$2:$U$355,MATCH($C580,Deals!$A$2:$A$355,0))),""))</f>
        <v/>
      </c>
      <c r="S580" s="34">
        <f>IFERROR(IF($U580="",1,INDEX(Deals!$V$2:$V$355,MATCH($C580,Deals!$A$2:$A$355,0))),1)</f>
        <v/>
      </c>
      <c r="T580" s="34">
        <f>IFERROR(IF($U580="",1,INDEX(Deals!$W$2:$W$355,MATCH($C580,Deals!$A$2:$A$355,0))),1)</f>
        <v/>
      </c>
      <c r="U580" s="22">
        <f>IF($C580="","",IFERROR(IF(INDEX(Deals!$Y$2:$Y$355,MATCH($C580,Deals!$A$2:$A$355,0))=0,"",INDEX(Deals!$Y$2:$Y$355,MATCH($C580,Deals!$A$2:$A$355,0))),""))</f>
        <v/>
      </c>
      <c r="V580" s="35">
        <f>IF(OR($U580&lt;&gt;"",AND($AO580&gt;0,$L580&lt;&gt;"",$M580&lt;&gt;"")),$N580,DATE(1900,1,1))</f>
        <v/>
      </c>
      <c r="W580" s="35">
        <f>IF($U580&lt;&gt;"",$U580,IF(AND($AO580&gt;0,$L580&lt;&gt;"",$M580&lt;&gt;""),$O580,DATE(2100,12,31)))</f>
        <v/>
      </c>
      <c r="X580" s="32">
        <f>IF($U580="",$K580,$K580*$S580)</f>
        <v/>
      </c>
      <c r="Y580" s="35">
        <f>IF($U580="",DATE(2100,12,31),$U580+1)</f>
        <v/>
      </c>
      <c r="Z580" s="35">
        <f>IF($U580="",DATE(1900,1,1),$O580)</f>
        <v/>
      </c>
      <c r="AA580" s="32">
        <f>IF($U580="",0,$K580*$T580)</f>
        <v/>
      </c>
      <c r="AB580" s="21">
        <f>IF($C580="",0,IFERROR(INDEX(Deals!$AD$2:$AD$355,MATCH($C580,Deals!$A$2:$A$355,0)),0))</f>
        <v/>
      </c>
      <c r="AC580" s="32">
        <f>IF(Settings!$B$4="Yes",$I580*$AB580,$I580)</f>
        <v/>
      </c>
      <c r="AD580" s="22">
        <f>IF($C580="","",IFERROR(IF(INDEX(Deals!$AE$2:$AE$355,MATCH($C580,Deals!$A$2:$A$355,0))=0,"",INDEX(Deals!$AE$2:$AE$355,MATCH($C580,Deals!$A$2:$A$355,0))),""))</f>
        <v/>
      </c>
      <c r="AE580" s="22">
        <f>IF($C580="","",IFERROR(IF(INDEX(Deals!$AF$2:$AF$355,MATCH($C580,Deals!$A$2:$A$355,0))=0,"",INDEX(Deals!$AF$2:$AF$355,MATCH($C580,Deals!$A$2:$A$355,0))),""))</f>
        <v/>
      </c>
      <c r="AF580" s="35">
        <f>IF($AD580="",DATE(1900,1,1),$AD580)</f>
        <v/>
      </c>
      <c r="AG580" s="35">
        <f>IF($AE580="",DATE(2100,12,31),$AE580)</f>
        <v/>
      </c>
      <c r="AH580" s="22">
        <f>IF($C580="","",IFERROR(IF(INDEX(Deals!$AG$2:$AG$355,MATCH($C580,Deals!$A$2:$A$355,0))=0,"",INDEX(Deals!$AG$2:$AG$355,MATCH($C580,Deals!$A$2:$A$355,0))),""))</f>
        <v/>
      </c>
      <c r="AI580" s="35">
        <f>IF(OR($AH580&lt;&gt;"",AND($AO580&gt;0,$AD580&lt;&gt;"",$AE580&lt;&gt;"")),$AF580,DATE(1900,1,1))</f>
        <v/>
      </c>
      <c r="AJ580" s="35">
        <f>IF($AH580&lt;&gt;"",$AH580,IF(AND($AO580&gt;0,$AD580&lt;&gt;"",$AE580&lt;&gt;""),$AG580,DATE(2100,12,31)))</f>
        <v/>
      </c>
      <c r="AK580" s="32">
        <f>IF($AH580="",$AC580,$AC580*$S580)</f>
        <v/>
      </c>
      <c r="AL580" s="35">
        <f>IF($AH580="",DATE(2100,12,31),$AH580+1)</f>
        <v/>
      </c>
      <c r="AM580" s="35">
        <f>IF($AH580="",DATE(1900,1,1),$AG580)</f>
        <v/>
      </c>
      <c r="AN580" s="32">
        <f>IF($AH580="",0,$AC580*$T580)</f>
        <v/>
      </c>
      <c r="AO580" s="46">
        <f>IF($C580="",0,IFERROR(INDEX(Deals!$BD$2:$BD$355,MATCH($C580,Deals!$A$2:$A$355,0)),0))</f>
        <v/>
      </c>
      <c r="AP580" s="18">
        <f>IF($AO580=0,0,IFERROR(INDEX(Deals!$BJ$2:$BP$355,MATCH($C580,Deals!$A$2:$A$355,0),MATCH($F580,Deals!$BJ$1:$BP$1,0))/COUNTIFS(Assignments!$C$2:$C$769,$C580,Assignments!$F$2:$F$769,$F580,Assignments!$G$2:$G$769,"Active"),0))</f>
        <v/>
      </c>
    </row>
    <row r="581">
      <c r="A581" s="28" t="inlineStr">
        <is>
          <t>Dorian</t>
        </is>
      </c>
      <c r="B581" s="16">
        <f>IF($A581="","",IFERROR(INDEX(Roster!$B$2:$B$40,MATCH($A581,Roster!$A$2:$A$40,0)),"?"))</f>
        <v/>
      </c>
      <c r="C581" s="28" t="inlineStr">
        <is>
          <t>Whale_3</t>
        </is>
      </c>
      <c r="D581" s="16">
        <f>IF($C581="","",IFERROR(IF(INDEX(Deals!$C$2:$C$355,MATCH($C581,Deals!$A$2:$A$355,0))=0,"",INDEX(Deals!$C$2:$C$355,MATCH($C581,Deals!$A$2:$A$355,0))),"?"))</f>
        <v/>
      </c>
      <c r="E581" s="16">
        <f>IF($C581="","",IFERROR(INDEX(Deals!$F$2:$F$355,MATCH($C581,Deals!$A$2:$A$355,0)),"?"))</f>
        <v/>
      </c>
      <c r="F581" s="28" t="inlineStr">
        <is>
          <t>Renewable Specialist</t>
        </is>
      </c>
      <c r="G581" s="28" t="inlineStr">
        <is>
          <t>Active</t>
        </is>
      </c>
      <c r="H581" s="31" t="n"/>
      <c r="I581" s="32">
        <f>IF(OR($A581="",$G581&lt;&gt;"Active"),0,IF($H581&lt;&gt;"",$H581,IF($AO581&gt;0,$AP581,IF(AND($R581&lt;&gt;"",IFERROR(INDEX(Templates!$B$3:$H$10,MATCH($R581,Templates!$A$3:$A$10,0),MATCH($F581,Templates!$B$2:$H$2,0)),0)&gt;0),INDEX(Templates!$B$3:$H$10,MATCH($R581,Templates!$A$3:$A$10,0),MATCH($F581,Templates!$B$2:$H$2,0)),IFERROR(INDEX(Settings!$B$8:$B$14,MATCH($F581,Settings!$A$8:$A$14,0)),0)))))</f>
        <v/>
      </c>
      <c r="J581" s="21">
        <f>IF($C581="",0,IFERROR(INDEX(Deals!$H$2:$H$355,MATCH($C581,Deals!$A$2:$A$355,0)),0))</f>
        <v/>
      </c>
      <c r="K581" s="32">
        <f>IF(Settings!$B$4="Yes",$I581*$J581,$I581)</f>
        <v/>
      </c>
      <c r="L581" s="22">
        <f>IF($C581="","",IFERROR(IF(INDEX(Deals!$I$2:$I$355,MATCH($C581,Deals!$A$2:$A$355,0))=0,"",INDEX(Deals!$I$2:$I$355,MATCH($C581,Deals!$A$2:$A$355,0))),""))</f>
        <v/>
      </c>
      <c r="M581" s="22">
        <f>IF($C581="","",IFERROR(IF(INDEX(Deals!$J$2:$J$355,MATCH($C581,Deals!$A$2:$A$355,0))=0,"",INDEX(Deals!$J$2:$J$355,MATCH($C581,Deals!$A$2:$A$355,0))),""))</f>
        <v/>
      </c>
      <c r="N581" s="35">
        <f>IF($L581="",DATE(1900,1,1),$L581)</f>
        <v/>
      </c>
      <c r="O581" s="35">
        <f>IF($M581="",DATE(2100,12,31),$M581)</f>
        <v/>
      </c>
      <c r="P581" s="20" t="inlineStr"/>
      <c r="Q581" s="47" t="inlineStr"/>
      <c r="R581" s="16">
        <f>IF($C581="","",IFERROR(IF(INDEX(Deals!$U$2:$U$355,MATCH($C581,Deals!$A$2:$A$355,0))=0,"",INDEX(Deals!$U$2:$U$355,MATCH($C581,Deals!$A$2:$A$355,0))),""))</f>
        <v/>
      </c>
      <c r="S581" s="34">
        <f>IFERROR(IF($U581="",1,INDEX(Deals!$V$2:$V$355,MATCH($C581,Deals!$A$2:$A$355,0))),1)</f>
        <v/>
      </c>
      <c r="T581" s="34">
        <f>IFERROR(IF($U581="",1,INDEX(Deals!$W$2:$W$355,MATCH($C581,Deals!$A$2:$A$355,0))),1)</f>
        <v/>
      </c>
      <c r="U581" s="22">
        <f>IF($C581="","",IFERROR(IF(INDEX(Deals!$Y$2:$Y$355,MATCH($C581,Deals!$A$2:$A$355,0))=0,"",INDEX(Deals!$Y$2:$Y$355,MATCH($C581,Deals!$A$2:$A$355,0))),""))</f>
        <v/>
      </c>
      <c r="V581" s="35">
        <f>IF(OR($U581&lt;&gt;"",AND($AO581&gt;0,$L581&lt;&gt;"",$M581&lt;&gt;"")),$N581,DATE(1900,1,1))</f>
        <v/>
      </c>
      <c r="W581" s="35">
        <f>IF($U581&lt;&gt;"",$U581,IF(AND($AO581&gt;0,$L581&lt;&gt;"",$M581&lt;&gt;""),$O581,DATE(2100,12,31)))</f>
        <v/>
      </c>
      <c r="X581" s="32">
        <f>IF($U581="",$K581,$K581*$S581)</f>
        <v/>
      </c>
      <c r="Y581" s="35">
        <f>IF($U581="",DATE(2100,12,31),$U581+1)</f>
        <v/>
      </c>
      <c r="Z581" s="35">
        <f>IF($U581="",DATE(1900,1,1),$O581)</f>
        <v/>
      </c>
      <c r="AA581" s="32">
        <f>IF($U581="",0,$K581*$T581)</f>
        <v/>
      </c>
      <c r="AB581" s="21">
        <f>IF($C581="",0,IFERROR(INDEX(Deals!$AD$2:$AD$355,MATCH($C581,Deals!$A$2:$A$355,0)),0))</f>
        <v/>
      </c>
      <c r="AC581" s="32">
        <f>IF(Settings!$B$4="Yes",$I581*$AB581,$I581)</f>
        <v/>
      </c>
      <c r="AD581" s="22">
        <f>IF($C581="","",IFERROR(IF(INDEX(Deals!$AE$2:$AE$355,MATCH($C581,Deals!$A$2:$A$355,0))=0,"",INDEX(Deals!$AE$2:$AE$355,MATCH($C581,Deals!$A$2:$A$355,0))),""))</f>
        <v/>
      </c>
      <c r="AE581" s="22">
        <f>IF($C581="","",IFERROR(IF(INDEX(Deals!$AF$2:$AF$355,MATCH($C581,Deals!$A$2:$A$355,0))=0,"",INDEX(Deals!$AF$2:$AF$355,MATCH($C581,Deals!$A$2:$A$355,0))),""))</f>
        <v/>
      </c>
      <c r="AF581" s="35">
        <f>IF($AD581="",DATE(1900,1,1),$AD581)</f>
        <v/>
      </c>
      <c r="AG581" s="35">
        <f>IF($AE581="",DATE(2100,12,31),$AE581)</f>
        <v/>
      </c>
      <c r="AH581" s="22">
        <f>IF($C581="","",IFERROR(IF(INDEX(Deals!$AG$2:$AG$355,MATCH($C581,Deals!$A$2:$A$355,0))=0,"",INDEX(Deals!$AG$2:$AG$355,MATCH($C581,Deals!$A$2:$A$355,0))),""))</f>
        <v/>
      </c>
      <c r="AI581" s="35">
        <f>IF(OR($AH581&lt;&gt;"",AND($AO581&gt;0,$AD581&lt;&gt;"",$AE581&lt;&gt;"")),$AF581,DATE(1900,1,1))</f>
        <v/>
      </c>
      <c r="AJ581" s="35">
        <f>IF($AH581&lt;&gt;"",$AH581,IF(AND($AO581&gt;0,$AD581&lt;&gt;"",$AE581&lt;&gt;""),$AG581,DATE(2100,12,31)))</f>
        <v/>
      </c>
      <c r="AK581" s="32">
        <f>IF($AH581="",$AC581,$AC581*$S581)</f>
        <v/>
      </c>
      <c r="AL581" s="35">
        <f>IF($AH581="",DATE(2100,12,31),$AH581+1)</f>
        <v/>
      </c>
      <c r="AM581" s="35">
        <f>IF($AH581="",DATE(1900,1,1),$AG581)</f>
        <v/>
      </c>
      <c r="AN581" s="32">
        <f>IF($AH581="",0,$AC581*$T581)</f>
        <v/>
      </c>
      <c r="AO581" s="46">
        <f>IF($C581="",0,IFERROR(INDEX(Deals!$BD$2:$BD$355,MATCH($C581,Deals!$A$2:$A$355,0)),0))</f>
        <v/>
      </c>
      <c r="AP581" s="18">
        <f>IF($AO581=0,0,IFERROR(INDEX(Deals!$BJ$2:$BP$355,MATCH($C581,Deals!$A$2:$A$355,0),MATCH($F581,Deals!$BJ$1:$BP$1,0))/COUNTIFS(Assignments!$C$2:$C$769,$C581,Assignments!$F$2:$F$769,$F581,Assignments!$G$2:$G$769,"Active"),0))</f>
        <v/>
      </c>
    </row>
    <row r="582">
      <c r="A582" s="28" t="inlineStr">
        <is>
          <t>Dorian</t>
        </is>
      </c>
      <c r="B582" s="16">
        <f>IF($A582="","",IFERROR(INDEX(Roster!$B$2:$B$40,MATCH($A582,Roster!$A$2:$A$40,0)),"?"))</f>
        <v/>
      </c>
      <c r="C582" s="28" t="inlineStr">
        <is>
          <t>Zora_1</t>
        </is>
      </c>
      <c r="D582" s="16">
        <f>IF($C582="","",IFERROR(IF(INDEX(Deals!$C$2:$C$355,MATCH($C582,Deals!$A$2:$A$355,0))=0,"",INDEX(Deals!$C$2:$C$355,MATCH($C582,Deals!$A$2:$A$355,0))),"?"))</f>
        <v/>
      </c>
      <c r="E582" s="16">
        <f>IF($C582="","",IFERROR(INDEX(Deals!$F$2:$F$355,MATCH($C582,Deals!$A$2:$A$355,0)),"?"))</f>
        <v/>
      </c>
      <c r="F582" s="28" t="inlineStr">
        <is>
          <t>Renewable Specialist</t>
        </is>
      </c>
      <c r="G582" s="28" t="inlineStr">
        <is>
          <t>Active</t>
        </is>
      </c>
      <c r="H582" s="31" t="n"/>
      <c r="I582" s="32">
        <f>IF(OR($A582="",$G582&lt;&gt;"Active"),0,IF($H582&lt;&gt;"",$H582,IF($AO582&gt;0,$AP582,IF(AND($R582&lt;&gt;"",IFERROR(INDEX(Templates!$B$3:$H$10,MATCH($R582,Templates!$A$3:$A$10,0),MATCH($F582,Templates!$B$2:$H$2,0)),0)&gt;0),INDEX(Templates!$B$3:$H$10,MATCH($R582,Templates!$A$3:$A$10,0),MATCH($F582,Templates!$B$2:$H$2,0)),IFERROR(INDEX(Settings!$B$8:$B$14,MATCH($F582,Settings!$A$8:$A$14,0)),0)))))</f>
        <v/>
      </c>
      <c r="J582" s="21">
        <f>IF($C582="",0,IFERROR(INDEX(Deals!$H$2:$H$355,MATCH($C582,Deals!$A$2:$A$355,0)),0))</f>
        <v/>
      </c>
      <c r="K582" s="32">
        <f>IF(Settings!$B$4="Yes",$I582*$J582,$I582)</f>
        <v/>
      </c>
      <c r="L582" s="22">
        <f>IF($C582="","",IFERROR(IF(INDEX(Deals!$I$2:$I$355,MATCH($C582,Deals!$A$2:$A$355,0))=0,"",INDEX(Deals!$I$2:$I$355,MATCH($C582,Deals!$A$2:$A$355,0))),""))</f>
        <v/>
      </c>
      <c r="M582" s="22">
        <f>IF($C582="","",IFERROR(IF(INDEX(Deals!$J$2:$J$355,MATCH($C582,Deals!$A$2:$A$355,0))=0,"",INDEX(Deals!$J$2:$J$355,MATCH($C582,Deals!$A$2:$A$355,0))),""))</f>
        <v/>
      </c>
      <c r="N582" s="35">
        <f>IF($L582="",DATE(1900,1,1),$L582)</f>
        <v/>
      </c>
      <c r="O582" s="35">
        <f>IF($M582="",DATE(2100,12,31),$M582)</f>
        <v/>
      </c>
      <c r="P582" s="20" t="inlineStr"/>
      <c r="Q582" s="47" t="inlineStr"/>
      <c r="R582" s="16">
        <f>IF($C582="","",IFERROR(IF(INDEX(Deals!$U$2:$U$355,MATCH($C582,Deals!$A$2:$A$355,0))=0,"",INDEX(Deals!$U$2:$U$355,MATCH($C582,Deals!$A$2:$A$355,0))),""))</f>
        <v/>
      </c>
      <c r="S582" s="34">
        <f>IFERROR(IF($U582="",1,INDEX(Deals!$V$2:$V$355,MATCH($C582,Deals!$A$2:$A$355,0))),1)</f>
        <v/>
      </c>
      <c r="T582" s="34">
        <f>IFERROR(IF($U582="",1,INDEX(Deals!$W$2:$W$355,MATCH($C582,Deals!$A$2:$A$355,0))),1)</f>
        <v/>
      </c>
      <c r="U582" s="22">
        <f>IF($C582="","",IFERROR(IF(INDEX(Deals!$Y$2:$Y$355,MATCH($C582,Deals!$A$2:$A$355,0))=0,"",INDEX(Deals!$Y$2:$Y$355,MATCH($C582,Deals!$A$2:$A$355,0))),""))</f>
        <v/>
      </c>
      <c r="V582" s="35">
        <f>IF(OR($U582&lt;&gt;"",AND($AO582&gt;0,$L582&lt;&gt;"",$M582&lt;&gt;"")),$N582,DATE(1900,1,1))</f>
        <v/>
      </c>
      <c r="W582" s="35">
        <f>IF($U582&lt;&gt;"",$U582,IF(AND($AO582&gt;0,$L582&lt;&gt;"",$M582&lt;&gt;""),$O582,DATE(2100,12,31)))</f>
        <v/>
      </c>
      <c r="X582" s="32">
        <f>IF($U582="",$K582,$K582*$S582)</f>
        <v/>
      </c>
      <c r="Y582" s="35">
        <f>IF($U582="",DATE(2100,12,31),$U582+1)</f>
        <v/>
      </c>
      <c r="Z582" s="35">
        <f>IF($U582="",DATE(1900,1,1),$O582)</f>
        <v/>
      </c>
      <c r="AA582" s="32">
        <f>IF($U582="",0,$K582*$T582)</f>
        <v/>
      </c>
      <c r="AB582" s="21">
        <f>IF($C582="",0,IFERROR(INDEX(Deals!$AD$2:$AD$355,MATCH($C582,Deals!$A$2:$A$355,0)),0))</f>
        <v/>
      </c>
      <c r="AC582" s="32">
        <f>IF(Settings!$B$4="Yes",$I582*$AB582,$I582)</f>
        <v/>
      </c>
      <c r="AD582" s="22">
        <f>IF($C582="","",IFERROR(IF(INDEX(Deals!$AE$2:$AE$355,MATCH($C582,Deals!$A$2:$A$355,0))=0,"",INDEX(Deals!$AE$2:$AE$355,MATCH($C582,Deals!$A$2:$A$355,0))),""))</f>
        <v/>
      </c>
      <c r="AE582" s="22">
        <f>IF($C582="","",IFERROR(IF(INDEX(Deals!$AF$2:$AF$355,MATCH($C582,Deals!$A$2:$A$355,0))=0,"",INDEX(Deals!$AF$2:$AF$355,MATCH($C582,Deals!$A$2:$A$355,0))),""))</f>
        <v/>
      </c>
      <c r="AF582" s="35">
        <f>IF($AD582="",DATE(1900,1,1),$AD582)</f>
        <v/>
      </c>
      <c r="AG582" s="35">
        <f>IF($AE582="",DATE(2100,12,31),$AE582)</f>
        <v/>
      </c>
      <c r="AH582" s="22">
        <f>IF($C582="","",IFERROR(IF(INDEX(Deals!$AG$2:$AG$355,MATCH($C582,Deals!$A$2:$A$355,0))=0,"",INDEX(Deals!$AG$2:$AG$355,MATCH($C582,Deals!$A$2:$A$355,0))),""))</f>
        <v/>
      </c>
      <c r="AI582" s="35">
        <f>IF(OR($AH582&lt;&gt;"",AND($AO582&gt;0,$AD582&lt;&gt;"",$AE582&lt;&gt;"")),$AF582,DATE(1900,1,1))</f>
        <v/>
      </c>
      <c r="AJ582" s="35">
        <f>IF($AH582&lt;&gt;"",$AH582,IF(AND($AO582&gt;0,$AD582&lt;&gt;"",$AE582&lt;&gt;""),$AG582,DATE(2100,12,31)))</f>
        <v/>
      </c>
      <c r="AK582" s="32">
        <f>IF($AH582="",$AC582,$AC582*$S582)</f>
        <v/>
      </c>
      <c r="AL582" s="35">
        <f>IF($AH582="",DATE(2100,12,31),$AH582+1)</f>
        <v/>
      </c>
      <c r="AM582" s="35">
        <f>IF($AH582="",DATE(1900,1,1),$AG582)</f>
        <v/>
      </c>
      <c r="AN582" s="32">
        <f>IF($AH582="",0,$AC582*$T582)</f>
        <v/>
      </c>
      <c r="AO582" s="46">
        <f>IF($C582="",0,IFERROR(INDEX(Deals!$BD$2:$BD$355,MATCH($C582,Deals!$A$2:$A$355,0)),0))</f>
        <v/>
      </c>
      <c r="AP582" s="18">
        <f>IF($AO582=0,0,IFERROR(INDEX(Deals!$BJ$2:$BP$355,MATCH($C582,Deals!$A$2:$A$355,0),MATCH($F582,Deals!$BJ$1:$BP$1,0))/COUNTIFS(Assignments!$C$2:$C$769,$C582,Assignments!$F$2:$F$769,$F582,Assignments!$G$2:$G$769,"Active"),0))</f>
        <v/>
      </c>
    </row>
    <row r="583">
      <c r="A583" s="28" t="inlineStr">
        <is>
          <t>Yiyi</t>
        </is>
      </c>
      <c r="B583" s="16">
        <f>IF($A583="","",IFERROR(INDEX(Roster!$B$2:$B$40,MATCH($A583,Roster!$A$2:$A$40,0)),"?"))</f>
        <v/>
      </c>
      <c r="C583" s="28" t="inlineStr">
        <is>
          <t>80/20 Assistance_1</t>
        </is>
      </c>
      <c r="D583" s="16">
        <f>IF($C583="","",IFERROR(IF(INDEX(Deals!$C$2:$C$355,MATCH($C583,Deals!$A$2:$A$355,0))=0,"",INDEX(Deals!$C$2:$C$355,MATCH($C583,Deals!$A$2:$A$355,0))),"?"))</f>
        <v/>
      </c>
      <c r="E583" s="16">
        <f>IF($C583="","",IFERROR(INDEX(Deals!$F$2:$F$355,MATCH($C583,Deals!$A$2:$A$355,0)),"?"))</f>
        <v/>
      </c>
      <c r="F583" s="28" t="inlineStr">
        <is>
          <t>Renewable Specialist</t>
        </is>
      </c>
      <c r="G583" s="28" t="inlineStr">
        <is>
          <t>Active</t>
        </is>
      </c>
      <c r="H583" s="31" t="n"/>
      <c r="I583" s="32">
        <f>IF(OR($A583="",$G583&lt;&gt;"Active"),0,IF($H583&lt;&gt;"",$H583,IF($AO583&gt;0,$AP583,IF(AND($R583&lt;&gt;"",IFERROR(INDEX(Templates!$B$3:$H$10,MATCH($R583,Templates!$A$3:$A$10,0),MATCH($F583,Templates!$B$2:$H$2,0)),0)&gt;0),INDEX(Templates!$B$3:$H$10,MATCH($R583,Templates!$A$3:$A$10,0),MATCH($F583,Templates!$B$2:$H$2,0)),IFERROR(INDEX(Settings!$B$8:$B$14,MATCH($F583,Settings!$A$8:$A$14,0)),0)))))</f>
        <v/>
      </c>
      <c r="J583" s="21">
        <f>IF($C583="",0,IFERROR(INDEX(Deals!$H$2:$H$355,MATCH($C583,Deals!$A$2:$A$355,0)),0))</f>
        <v/>
      </c>
      <c r="K583" s="32">
        <f>IF(Settings!$B$4="Yes",$I583*$J583,$I583)</f>
        <v/>
      </c>
      <c r="L583" s="22">
        <f>IF($C583="","",IFERROR(IF(INDEX(Deals!$I$2:$I$355,MATCH($C583,Deals!$A$2:$A$355,0))=0,"",INDEX(Deals!$I$2:$I$355,MATCH($C583,Deals!$A$2:$A$355,0))),""))</f>
        <v/>
      </c>
      <c r="M583" s="22">
        <f>IF($C583="","",IFERROR(IF(INDEX(Deals!$J$2:$J$355,MATCH($C583,Deals!$A$2:$A$355,0))=0,"",INDEX(Deals!$J$2:$J$355,MATCH($C583,Deals!$A$2:$A$355,0))),""))</f>
        <v/>
      </c>
      <c r="N583" s="35">
        <f>IF($L583="",DATE(1900,1,1),$L583)</f>
        <v/>
      </c>
      <c r="O583" s="35">
        <f>IF($M583="",DATE(2100,12,31),$M583)</f>
        <v/>
      </c>
      <c r="P583" s="20" t="inlineStr"/>
      <c r="Q583" s="47" t="inlineStr"/>
      <c r="R583" s="16">
        <f>IF($C583="","",IFERROR(IF(INDEX(Deals!$U$2:$U$355,MATCH($C583,Deals!$A$2:$A$355,0))=0,"",INDEX(Deals!$U$2:$U$355,MATCH($C583,Deals!$A$2:$A$355,0))),""))</f>
        <v/>
      </c>
      <c r="S583" s="34">
        <f>IFERROR(IF($U583="",1,INDEX(Deals!$V$2:$V$355,MATCH($C583,Deals!$A$2:$A$355,0))),1)</f>
        <v/>
      </c>
      <c r="T583" s="34">
        <f>IFERROR(IF($U583="",1,INDEX(Deals!$W$2:$W$355,MATCH($C583,Deals!$A$2:$A$355,0))),1)</f>
        <v/>
      </c>
      <c r="U583" s="22">
        <f>IF($C583="","",IFERROR(IF(INDEX(Deals!$Y$2:$Y$355,MATCH($C583,Deals!$A$2:$A$355,0))=0,"",INDEX(Deals!$Y$2:$Y$355,MATCH($C583,Deals!$A$2:$A$355,0))),""))</f>
        <v/>
      </c>
      <c r="V583" s="35">
        <f>IF(OR($U583&lt;&gt;"",AND($AO583&gt;0,$L583&lt;&gt;"",$M583&lt;&gt;"")),$N583,DATE(1900,1,1))</f>
        <v/>
      </c>
      <c r="W583" s="35">
        <f>IF($U583&lt;&gt;"",$U583,IF(AND($AO583&gt;0,$L583&lt;&gt;"",$M583&lt;&gt;""),$O583,DATE(2100,12,31)))</f>
        <v/>
      </c>
      <c r="X583" s="32">
        <f>IF($U583="",$K583,$K583*$S583)</f>
        <v/>
      </c>
      <c r="Y583" s="35">
        <f>IF($U583="",DATE(2100,12,31),$U583+1)</f>
        <v/>
      </c>
      <c r="Z583" s="35">
        <f>IF($U583="",DATE(1900,1,1),$O583)</f>
        <v/>
      </c>
      <c r="AA583" s="32">
        <f>IF($U583="",0,$K583*$T583)</f>
        <v/>
      </c>
      <c r="AB583" s="21">
        <f>IF($C583="",0,IFERROR(INDEX(Deals!$AD$2:$AD$355,MATCH($C583,Deals!$A$2:$A$355,0)),0))</f>
        <v/>
      </c>
      <c r="AC583" s="32">
        <f>IF(Settings!$B$4="Yes",$I583*$AB583,$I583)</f>
        <v/>
      </c>
      <c r="AD583" s="22">
        <f>IF($C583="","",IFERROR(IF(INDEX(Deals!$AE$2:$AE$355,MATCH($C583,Deals!$A$2:$A$355,0))=0,"",INDEX(Deals!$AE$2:$AE$355,MATCH($C583,Deals!$A$2:$A$355,0))),""))</f>
        <v/>
      </c>
      <c r="AE583" s="22">
        <f>IF($C583="","",IFERROR(IF(INDEX(Deals!$AF$2:$AF$355,MATCH($C583,Deals!$A$2:$A$355,0))=0,"",INDEX(Deals!$AF$2:$AF$355,MATCH($C583,Deals!$A$2:$A$355,0))),""))</f>
        <v/>
      </c>
      <c r="AF583" s="35">
        <f>IF($AD583="",DATE(1900,1,1),$AD583)</f>
        <v/>
      </c>
      <c r="AG583" s="35">
        <f>IF($AE583="",DATE(2100,12,31),$AE583)</f>
        <v/>
      </c>
      <c r="AH583" s="22">
        <f>IF($C583="","",IFERROR(IF(INDEX(Deals!$AG$2:$AG$355,MATCH($C583,Deals!$A$2:$A$355,0))=0,"",INDEX(Deals!$AG$2:$AG$355,MATCH($C583,Deals!$A$2:$A$355,0))),""))</f>
        <v/>
      </c>
      <c r="AI583" s="35">
        <f>IF(OR($AH583&lt;&gt;"",AND($AO583&gt;0,$AD583&lt;&gt;"",$AE583&lt;&gt;"")),$AF583,DATE(1900,1,1))</f>
        <v/>
      </c>
      <c r="AJ583" s="35">
        <f>IF($AH583&lt;&gt;"",$AH583,IF(AND($AO583&gt;0,$AD583&lt;&gt;"",$AE583&lt;&gt;""),$AG583,DATE(2100,12,31)))</f>
        <v/>
      </c>
      <c r="AK583" s="32">
        <f>IF($AH583="",$AC583,$AC583*$S583)</f>
        <v/>
      </c>
      <c r="AL583" s="35">
        <f>IF($AH583="",DATE(2100,12,31),$AH583+1)</f>
        <v/>
      </c>
      <c r="AM583" s="35">
        <f>IF($AH583="",DATE(1900,1,1),$AG583)</f>
        <v/>
      </c>
      <c r="AN583" s="32">
        <f>IF($AH583="",0,$AC583*$T583)</f>
        <v/>
      </c>
      <c r="AO583" s="46">
        <f>IF($C583="",0,IFERROR(INDEX(Deals!$BD$2:$BD$355,MATCH($C583,Deals!$A$2:$A$355,0)),0))</f>
        <v/>
      </c>
      <c r="AP583" s="18">
        <f>IF($AO583=0,0,IFERROR(INDEX(Deals!$BJ$2:$BP$355,MATCH($C583,Deals!$A$2:$A$355,0),MATCH($F583,Deals!$BJ$1:$BP$1,0))/COUNTIFS(Assignments!$C$2:$C$769,$C583,Assignments!$F$2:$F$769,$F583,Assignments!$G$2:$G$769,"Active"),0))</f>
        <v/>
      </c>
    </row>
    <row r="584">
      <c r="A584" s="28" t="inlineStr">
        <is>
          <t>Yiyi</t>
        </is>
      </c>
      <c r="B584" s="16">
        <f>IF($A584="","",IFERROR(INDEX(Roster!$B$2:$B$40,MATCH($A584,Roster!$A$2:$A$40,0)),"?"))</f>
        <v/>
      </c>
      <c r="C584" s="28" t="inlineStr">
        <is>
          <t>Amp_1</t>
        </is>
      </c>
      <c r="D584" s="16">
        <f>IF($C584="","",IFERROR(IF(INDEX(Deals!$C$2:$C$355,MATCH($C584,Deals!$A$2:$A$355,0))=0,"",INDEX(Deals!$C$2:$C$355,MATCH($C584,Deals!$A$2:$A$355,0))),"?"))</f>
        <v/>
      </c>
      <c r="E584" s="16">
        <f>IF($C584="","",IFERROR(INDEX(Deals!$F$2:$F$355,MATCH($C584,Deals!$A$2:$A$355,0)),"?"))</f>
        <v/>
      </c>
      <c r="F584" s="28" t="inlineStr">
        <is>
          <t>Renewable Specialist</t>
        </is>
      </c>
      <c r="G584" s="28" t="inlineStr">
        <is>
          <t>Active</t>
        </is>
      </c>
      <c r="H584" s="31" t="n"/>
      <c r="I584" s="32">
        <f>IF(OR($A584="",$G584&lt;&gt;"Active"),0,IF($H584&lt;&gt;"",$H584,IF($AO584&gt;0,$AP584,IF(AND($R584&lt;&gt;"",IFERROR(INDEX(Templates!$B$3:$H$10,MATCH($R584,Templates!$A$3:$A$10,0),MATCH($F584,Templates!$B$2:$H$2,0)),0)&gt;0),INDEX(Templates!$B$3:$H$10,MATCH($R584,Templates!$A$3:$A$10,0),MATCH($F584,Templates!$B$2:$H$2,0)),IFERROR(INDEX(Settings!$B$8:$B$14,MATCH($F584,Settings!$A$8:$A$14,0)),0)))))</f>
        <v/>
      </c>
      <c r="J584" s="21">
        <f>IF($C584="",0,IFERROR(INDEX(Deals!$H$2:$H$355,MATCH($C584,Deals!$A$2:$A$355,0)),0))</f>
        <v/>
      </c>
      <c r="K584" s="32">
        <f>IF(Settings!$B$4="Yes",$I584*$J584,$I584)</f>
        <v/>
      </c>
      <c r="L584" s="22">
        <f>IF($C584="","",IFERROR(IF(INDEX(Deals!$I$2:$I$355,MATCH($C584,Deals!$A$2:$A$355,0))=0,"",INDEX(Deals!$I$2:$I$355,MATCH($C584,Deals!$A$2:$A$355,0))),""))</f>
        <v/>
      </c>
      <c r="M584" s="22">
        <f>IF($C584="","",IFERROR(IF(INDEX(Deals!$J$2:$J$355,MATCH($C584,Deals!$A$2:$A$355,0))=0,"",INDEX(Deals!$J$2:$J$355,MATCH($C584,Deals!$A$2:$A$355,0))),""))</f>
        <v/>
      </c>
      <c r="N584" s="35">
        <f>IF($L584="",DATE(1900,1,1),$L584)</f>
        <v/>
      </c>
      <c r="O584" s="35">
        <f>IF($M584="",DATE(2100,12,31),$M584)</f>
        <v/>
      </c>
      <c r="P584" s="20" t="inlineStr"/>
      <c r="Q584" s="47" t="inlineStr"/>
      <c r="R584" s="16">
        <f>IF($C584="","",IFERROR(IF(INDEX(Deals!$U$2:$U$355,MATCH($C584,Deals!$A$2:$A$355,0))=0,"",INDEX(Deals!$U$2:$U$355,MATCH($C584,Deals!$A$2:$A$355,0))),""))</f>
        <v/>
      </c>
      <c r="S584" s="34">
        <f>IFERROR(IF($U584="",1,INDEX(Deals!$V$2:$V$355,MATCH($C584,Deals!$A$2:$A$355,0))),1)</f>
        <v/>
      </c>
      <c r="T584" s="34">
        <f>IFERROR(IF($U584="",1,INDEX(Deals!$W$2:$W$355,MATCH($C584,Deals!$A$2:$A$355,0))),1)</f>
        <v/>
      </c>
      <c r="U584" s="22">
        <f>IF($C584="","",IFERROR(IF(INDEX(Deals!$Y$2:$Y$355,MATCH($C584,Deals!$A$2:$A$355,0))=0,"",INDEX(Deals!$Y$2:$Y$355,MATCH($C584,Deals!$A$2:$A$355,0))),""))</f>
        <v/>
      </c>
      <c r="V584" s="35">
        <f>IF(OR($U584&lt;&gt;"",AND($AO584&gt;0,$L584&lt;&gt;"",$M584&lt;&gt;"")),$N584,DATE(1900,1,1))</f>
        <v/>
      </c>
      <c r="W584" s="35">
        <f>IF($U584&lt;&gt;"",$U584,IF(AND($AO584&gt;0,$L584&lt;&gt;"",$M584&lt;&gt;""),$O584,DATE(2100,12,31)))</f>
        <v/>
      </c>
      <c r="X584" s="32">
        <f>IF($U584="",$K584,$K584*$S584)</f>
        <v/>
      </c>
      <c r="Y584" s="35">
        <f>IF($U584="",DATE(2100,12,31),$U584+1)</f>
        <v/>
      </c>
      <c r="Z584" s="35">
        <f>IF($U584="",DATE(1900,1,1),$O584)</f>
        <v/>
      </c>
      <c r="AA584" s="32">
        <f>IF($U584="",0,$K584*$T584)</f>
        <v/>
      </c>
      <c r="AB584" s="21">
        <f>IF($C584="",0,IFERROR(INDEX(Deals!$AD$2:$AD$355,MATCH($C584,Deals!$A$2:$A$355,0)),0))</f>
        <v/>
      </c>
      <c r="AC584" s="32">
        <f>IF(Settings!$B$4="Yes",$I584*$AB584,$I584)</f>
        <v/>
      </c>
      <c r="AD584" s="22">
        <f>IF($C584="","",IFERROR(IF(INDEX(Deals!$AE$2:$AE$355,MATCH($C584,Deals!$A$2:$A$355,0))=0,"",INDEX(Deals!$AE$2:$AE$355,MATCH($C584,Deals!$A$2:$A$355,0))),""))</f>
        <v/>
      </c>
      <c r="AE584" s="22">
        <f>IF($C584="","",IFERROR(IF(INDEX(Deals!$AF$2:$AF$355,MATCH($C584,Deals!$A$2:$A$355,0))=0,"",INDEX(Deals!$AF$2:$AF$355,MATCH($C584,Deals!$A$2:$A$355,0))),""))</f>
        <v/>
      </c>
      <c r="AF584" s="35">
        <f>IF($AD584="",DATE(1900,1,1),$AD584)</f>
        <v/>
      </c>
      <c r="AG584" s="35">
        <f>IF($AE584="",DATE(2100,12,31),$AE584)</f>
        <v/>
      </c>
      <c r="AH584" s="22">
        <f>IF($C584="","",IFERROR(IF(INDEX(Deals!$AG$2:$AG$355,MATCH($C584,Deals!$A$2:$A$355,0))=0,"",INDEX(Deals!$AG$2:$AG$355,MATCH($C584,Deals!$A$2:$A$355,0))),""))</f>
        <v/>
      </c>
      <c r="AI584" s="35">
        <f>IF(OR($AH584&lt;&gt;"",AND($AO584&gt;0,$AD584&lt;&gt;"",$AE584&lt;&gt;"")),$AF584,DATE(1900,1,1))</f>
        <v/>
      </c>
      <c r="AJ584" s="35">
        <f>IF($AH584&lt;&gt;"",$AH584,IF(AND($AO584&gt;0,$AD584&lt;&gt;"",$AE584&lt;&gt;""),$AG584,DATE(2100,12,31)))</f>
        <v/>
      </c>
      <c r="AK584" s="32">
        <f>IF($AH584="",$AC584,$AC584*$S584)</f>
        <v/>
      </c>
      <c r="AL584" s="35">
        <f>IF($AH584="",DATE(2100,12,31),$AH584+1)</f>
        <v/>
      </c>
      <c r="AM584" s="35">
        <f>IF($AH584="",DATE(1900,1,1),$AG584)</f>
        <v/>
      </c>
      <c r="AN584" s="32">
        <f>IF($AH584="",0,$AC584*$T584)</f>
        <v/>
      </c>
      <c r="AO584" s="46">
        <f>IF($C584="",0,IFERROR(INDEX(Deals!$BD$2:$BD$355,MATCH($C584,Deals!$A$2:$A$355,0)),0))</f>
        <v/>
      </c>
      <c r="AP584" s="18">
        <f>IF($AO584=0,0,IFERROR(INDEX(Deals!$BJ$2:$BP$355,MATCH($C584,Deals!$A$2:$A$355,0),MATCH($F584,Deals!$BJ$1:$BP$1,0))/COUNTIFS(Assignments!$C$2:$C$769,$C584,Assignments!$F$2:$F$769,$F584,Assignments!$G$2:$G$769,"Active"),0))</f>
        <v/>
      </c>
    </row>
    <row r="585">
      <c r="A585" s="28" t="inlineStr">
        <is>
          <t>Yiyi</t>
        </is>
      </c>
      <c r="B585" s="16">
        <f>IF($A585="","",IFERROR(INDEX(Roster!$B$2:$B$40,MATCH($A585,Roster!$A$2:$A$40,0)),"?"))</f>
        <v/>
      </c>
      <c r="C585" s="28" t="inlineStr">
        <is>
          <t>Big_4</t>
        </is>
      </c>
      <c r="D585" s="16">
        <f>IF($C585="","",IFERROR(IF(INDEX(Deals!$C$2:$C$355,MATCH($C585,Deals!$A$2:$A$355,0))=0,"",INDEX(Deals!$C$2:$C$355,MATCH($C585,Deals!$A$2:$A$355,0))),"?"))</f>
        <v/>
      </c>
      <c r="E585" s="16">
        <f>IF($C585="","",IFERROR(INDEX(Deals!$F$2:$F$355,MATCH($C585,Deals!$A$2:$A$355,0)),"?"))</f>
        <v/>
      </c>
      <c r="F585" s="28" t="inlineStr">
        <is>
          <t>Renewable Specialist</t>
        </is>
      </c>
      <c r="G585" s="28" t="inlineStr">
        <is>
          <t>Active</t>
        </is>
      </c>
      <c r="H585" s="31" t="n"/>
      <c r="I585" s="32">
        <f>IF(OR($A585="",$G585&lt;&gt;"Active"),0,IF($H585&lt;&gt;"",$H585,IF($AO585&gt;0,$AP585,IF(AND($R585&lt;&gt;"",IFERROR(INDEX(Templates!$B$3:$H$10,MATCH($R585,Templates!$A$3:$A$10,0),MATCH($F585,Templates!$B$2:$H$2,0)),0)&gt;0),INDEX(Templates!$B$3:$H$10,MATCH($R585,Templates!$A$3:$A$10,0),MATCH($F585,Templates!$B$2:$H$2,0)),IFERROR(INDEX(Settings!$B$8:$B$14,MATCH($F585,Settings!$A$8:$A$14,0)),0)))))</f>
        <v/>
      </c>
      <c r="J585" s="21">
        <f>IF($C585="",0,IFERROR(INDEX(Deals!$H$2:$H$355,MATCH($C585,Deals!$A$2:$A$355,0)),0))</f>
        <v/>
      </c>
      <c r="K585" s="32">
        <f>IF(Settings!$B$4="Yes",$I585*$J585,$I585)</f>
        <v/>
      </c>
      <c r="L585" s="22">
        <f>IF($C585="","",IFERROR(IF(INDEX(Deals!$I$2:$I$355,MATCH($C585,Deals!$A$2:$A$355,0))=0,"",INDEX(Deals!$I$2:$I$355,MATCH($C585,Deals!$A$2:$A$355,0))),""))</f>
        <v/>
      </c>
      <c r="M585" s="22">
        <f>IF($C585="","",IFERROR(IF(INDEX(Deals!$J$2:$J$355,MATCH($C585,Deals!$A$2:$A$355,0))=0,"",INDEX(Deals!$J$2:$J$355,MATCH($C585,Deals!$A$2:$A$355,0))),""))</f>
        <v/>
      </c>
      <c r="N585" s="35">
        <f>IF($L585="",DATE(1900,1,1),$L585)</f>
        <v/>
      </c>
      <c r="O585" s="35">
        <f>IF($M585="",DATE(2100,12,31),$M585)</f>
        <v/>
      </c>
      <c r="P585" s="20" t="inlineStr"/>
      <c r="Q585" s="47" t="inlineStr"/>
      <c r="R585" s="16">
        <f>IF($C585="","",IFERROR(IF(INDEX(Deals!$U$2:$U$355,MATCH($C585,Deals!$A$2:$A$355,0))=0,"",INDEX(Deals!$U$2:$U$355,MATCH($C585,Deals!$A$2:$A$355,0))),""))</f>
        <v/>
      </c>
      <c r="S585" s="34">
        <f>IFERROR(IF($U585="",1,INDEX(Deals!$V$2:$V$355,MATCH($C585,Deals!$A$2:$A$355,0))),1)</f>
        <v/>
      </c>
      <c r="T585" s="34">
        <f>IFERROR(IF($U585="",1,INDEX(Deals!$W$2:$W$355,MATCH($C585,Deals!$A$2:$A$355,0))),1)</f>
        <v/>
      </c>
      <c r="U585" s="22">
        <f>IF($C585="","",IFERROR(IF(INDEX(Deals!$Y$2:$Y$355,MATCH($C585,Deals!$A$2:$A$355,0))=0,"",INDEX(Deals!$Y$2:$Y$355,MATCH($C585,Deals!$A$2:$A$355,0))),""))</f>
        <v/>
      </c>
      <c r="V585" s="35">
        <f>IF(OR($U585&lt;&gt;"",AND($AO585&gt;0,$L585&lt;&gt;"",$M585&lt;&gt;"")),$N585,DATE(1900,1,1))</f>
        <v/>
      </c>
      <c r="W585" s="35">
        <f>IF($U585&lt;&gt;"",$U585,IF(AND($AO585&gt;0,$L585&lt;&gt;"",$M585&lt;&gt;""),$O585,DATE(2100,12,31)))</f>
        <v/>
      </c>
      <c r="X585" s="32">
        <f>IF($U585="",$K585,$K585*$S585)</f>
        <v/>
      </c>
      <c r="Y585" s="35">
        <f>IF($U585="",DATE(2100,12,31),$U585+1)</f>
        <v/>
      </c>
      <c r="Z585" s="35">
        <f>IF($U585="",DATE(1900,1,1),$O585)</f>
        <v/>
      </c>
      <c r="AA585" s="32">
        <f>IF($U585="",0,$K585*$T585)</f>
        <v/>
      </c>
      <c r="AB585" s="21">
        <f>IF($C585="",0,IFERROR(INDEX(Deals!$AD$2:$AD$355,MATCH($C585,Deals!$A$2:$A$355,0)),0))</f>
        <v/>
      </c>
      <c r="AC585" s="32">
        <f>IF(Settings!$B$4="Yes",$I585*$AB585,$I585)</f>
        <v/>
      </c>
      <c r="AD585" s="22">
        <f>IF($C585="","",IFERROR(IF(INDEX(Deals!$AE$2:$AE$355,MATCH($C585,Deals!$A$2:$A$355,0))=0,"",INDEX(Deals!$AE$2:$AE$355,MATCH($C585,Deals!$A$2:$A$355,0))),""))</f>
        <v/>
      </c>
      <c r="AE585" s="22">
        <f>IF($C585="","",IFERROR(IF(INDEX(Deals!$AF$2:$AF$355,MATCH($C585,Deals!$A$2:$A$355,0))=0,"",INDEX(Deals!$AF$2:$AF$355,MATCH($C585,Deals!$A$2:$A$355,0))),""))</f>
        <v/>
      </c>
      <c r="AF585" s="35">
        <f>IF($AD585="",DATE(1900,1,1),$AD585)</f>
        <v/>
      </c>
      <c r="AG585" s="35">
        <f>IF($AE585="",DATE(2100,12,31),$AE585)</f>
        <v/>
      </c>
      <c r="AH585" s="22">
        <f>IF($C585="","",IFERROR(IF(INDEX(Deals!$AG$2:$AG$355,MATCH($C585,Deals!$A$2:$A$355,0))=0,"",INDEX(Deals!$AG$2:$AG$355,MATCH($C585,Deals!$A$2:$A$355,0))),""))</f>
        <v/>
      </c>
      <c r="AI585" s="35">
        <f>IF(OR($AH585&lt;&gt;"",AND($AO585&gt;0,$AD585&lt;&gt;"",$AE585&lt;&gt;"")),$AF585,DATE(1900,1,1))</f>
        <v/>
      </c>
      <c r="AJ585" s="35">
        <f>IF($AH585&lt;&gt;"",$AH585,IF(AND($AO585&gt;0,$AD585&lt;&gt;"",$AE585&lt;&gt;""),$AG585,DATE(2100,12,31)))</f>
        <v/>
      </c>
      <c r="AK585" s="32">
        <f>IF($AH585="",$AC585,$AC585*$S585)</f>
        <v/>
      </c>
      <c r="AL585" s="35">
        <f>IF($AH585="",DATE(2100,12,31),$AH585+1)</f>
        <v/>
      </c>
      <c r="AM585" s="35">
        <f>IF($AH585="",DATE(1900,1,1),$AG585)</f>
        <v/>
      </c>
      <c r="AN585" s="32">
        <f>IF($AH585="",0,$AC585*$T585)</f>
        <v/>
      </c>
      <c r="AO585" s="46">
        <f>IF($C585="",0,IFERROR(INDEX(Deals!$BD$2:$BD$355,MATCH($C585,Deals!$A$2:$A$355,0)),0))</f>
        <v/>
      </c>
      <c r="AP585" s="18">
        <f>IF($AO585=0,0,IFERROR(INDEX(Deals!$BJ$2:$BP$355,MATCH($C585,Deals!$A$2:$A$355,0),MATCH($F585,Deals!$BJ$1:$BP$1,0))/COUNTIFS(Assignments!$C$2:$C$769,$C585,Assignments!$F$2:$F$769,$F585,Assignments!$G$2:$G$769,"Active"),0))</f>
        <v/>
      </c>
    </row>
    <row r="586">
      <c r="A586" s="28" t="inlineStr">
        <is>
          <t>Yiyi</t>
        </is>
      </c>
      <c r="B586" s="16">
        <f>IF($A586="","",IFERROR(INDEX(Roster!$B$2:$B$40,MATCH($A586,Roster!$A$2:$A$40,0)),"?"))</f>
        <v/>
      </c>
      <c r="C586" s="28" t="inlineStr">
        <is>
          <t>Biochar_1</t>
        </is>
      </c>
      <c r="D586" s="16">
        <f>IF($C586="","",IFERROR(IF(INDEX(Deals!$C$2:$C$355,MATCH($C586,Deals!$A$2:$A$355,0))=0,"",INDEX(Deals!$C$2:$C$355,MATCH($C586,Deals!$A$2:$A$355,0))),"?"))</f>
        <v/>
      </c>
      <c r="E586" s="16">
        <f>IF($C586="","",IFERROR(INDEX(Deals!$F$2:$F$355,MATCH($C586,Deals!$A$2:$A$355,0)),"?"))</f>
        <v/>
      </c>
      <c r="F586" s="28" t="inlineStr">
        <is>
          <t>Renewable Specialist</t>
        </is>
      </c>
      <c r="G586" s="28" t="inlineStr">
        <is>
          <t>Active</t>
        </is>
      </c>
      <c r="H586" s="31" t="n"/>
      <c r="I586" s="32">
        <f>IF(OR($A586="",$G586&lt;&gt;"Active"),0,IF($H586&lt;&gt;"",$H586,IF($AO586&gt;0,$AP586,IF(AND($R586&lt;&gt;"",IFERROR(INDEX(Templates!$B$3:$H$10,MATCH($R586,Templates!$A$3:$A$10,0),MATCH($F586,Templates!$B$2:$H$2,0)),0)&gt;0),INDEX(Templates!$B$3:$H$10,MATCH($R586,Templates!$A$3:$A$10,0),MATCH($F586,Templates!$B$2:$H$2,0)),IFERROR(INDEX(Settings!$B$8:$B$14,MATCH($F586,Settings!$A$8:$A$14,0)),0)))))</f>
        <v/>
      </c>
      <c r="J586" s="21">
        <f>IF($C586="",0,IFERROR(INDEX(Deals!$H$2:$H$355,MATCH($C586,Deals!$A$2:$A$355,0)),0))</f>
        <v/>
      </c>
      <c r="K586" s="32">
        <f>IF(Settings!$B$4="Yes",$I586*$J586,$I586)</f>
        <v/>
      </c>
      <c r="L586" s="22">
        <f>IF($C586="","",IFERROR(IF(INDEX(Deals!$I$2:$I$355,MATCH($C586,Deals!$A$2:$A$355,0))=0,"",INDEX(Deals!$I$2:$I$355,MATCH($C586,Deals!$A$2:$A$355,0))),""))</f>
        <v/>
      </c>
      <c r="M586" s="22">
        <f>IF($C586="","",IFERROR(IF(INDEX(Deals!$J$2:$J$355,MATCH($C586,Deals!$A$2:$A$355,0))=0,"",INDEX(Deals!$J$2:$J$355,MATCH($C586,Deals!$A$2:$A$355,0))),""))</f>
        <v/>
      </c>
      <c r="N586" s="35">
        <f>IF($L586="",DATE(1900,1,1),$L586)</f>
        <v/>
      </c>
      <c r="O586" s="35">
        <f>IF($M586="",DATE(2100,12,31),$M586)</f>
        <v/>
      </c>
      <c r="P586" s="20" t="inlineStr"/>
      <c r="Q586" s="47" t="inlineStr"/>
      <c r="R586" s="16">
        <f>IF($C586="","",IFERROR(IF(INDEX(Deals!$U$2:$U$355,MATCH($C586,Deals!$A$2:$A$355,0))=0,"",INDEX(Deals!$U$2:$U$355,MATCH($C586,Deals!$A$2:$A$355,0))),""))</f>
        <v/>
      </c>
      <c r="S586" s="34">
        <f>IFERROR(IF($U586="",1,INDEX(Deals!$V$2:$V$355,MATCH($C586,Deals!$A$2:$A$355,0))),1)</f>
        <v/>
      </c>
      <c r="T586" s="34">
        <f>IFERROR(IF($U586="",1,INDEX(Deals!$W$2:$W$355,MATCH($C586,Deals!$A$2:$A$355,0))),1)</f>
        <v/>
      </c>
      <c r="U586" s="22">
        <f>IF($C586="","",IFERROR(IF(INDEX(Deals!$Y$2:$Y$355,MATCH($C586,Deals!$A$2:$A$355,0))=0,"",INDEX(Deals!$Y$2:$Y$355,MATCH($C586,Deals!$A$2:$A$355,0))),""))</f>
        <v/>
      </c>
      <c r="V586" s="35">
        <f>IF(OR($U586&lt;&gt;"",AND($AO586&gt;0,$L586&lt;&gt;"",$M586&lt;&gt;"")),$N586,DATE(1900,1,1))</f>
        <v/>
      </c>
      <c r="W586" s="35">
        <f>IF($U586&lt;&gt;"",$U586,IF(AND($AO586&gt;0,$L586&lt;&gt;"",$M586&lt;&gt;""),$O586,DATE(2100,12,31)))</f>
        <v/>
      </c>
      <c r="X586" s="32">
        <f>IF($U586="",$K586,$K586*$S586)</f>
        <v/>
      </c>
      <c r="Y586" s="35">
        <f>IF($U586="",DATE(2100,12,31),$U586+1)</f>
        <v/>
      </c>
      <c r="Z586" s="35">
        <f>IF($U586="",DATE(1900,1,1),$O586)</f>
        <v/>
      </c>
      <c r="AA586" s="32">
        <f>IF($U586="",0,$K586*$T586)</f>
        <v/>
      </c>
      <c r="AB586" s="21">
        <f>IF($C586="",0,IFERROR(INDEX(Deals!$AD$2:$AD$355,MATCH($C586,Deals!$A$2:$A$355,0)),0))</f>
        <v/>
      </c>
      <c r="AC586" s="32">
        <f>IF(Settings!$B$4="Yes",$I586*$AB586,$I586)</f>
        <v/>
      </c>
      <c r="AD586" s="22">
        <f>IF($C586="","",IFERROR(IF(INDEX(Deals!$AE$2:$AE$355,MATCH($C586,Deals!$A$2:$A$355,0))=0,"",INDEX(Deals!$AE$2:$AE$355,MATCH($C586,Deals!$A$2:$A$355,0))),""))</f>
        <v/>
      </c>
      <c r="AE586" s="22">
        <f>IF($C586="","",IFERROR(IF(INDEX(Deals!$AF$2:$AF$355,MATCH($C586,Deals!$A$2:$A$355,0))=0,"",INDEX(Deals!$AF$2:$AF$355,MATCH($C586,Deals!$A$2:$A$355,0))),""))</f>
        <v/>
      </c>
      <c r="AF586" s="35">
        <f>IF($AD586="",DATE(1900,1,1),$AD586)</f>
        <v/>
      </c>
      <c r="AG586" s="35">
        <f>IF($AE586="",DATE(2100,12,31),$AE586)</f>
        <v/>
      </c>
      <c r="AH586" s="22">
        <f>IF($C586="","",IFERROR(IF(INDEX(Deals!$AG$2:$AG$355,MATCH($C586,Deals!$A$2:$A$355,0))=0,"",INDEX(Deals!$AG$2:$AG$355,MATCH($C586,Deals!$A$2:$A$355,0))),""))</f>
        <v/>
      </c>
      <c r="AI586" s="35">
        <f>IF(OR($AH586&lt;&gt;"",AND($AO586&gt;0,$AD586&lt;&gt;"",$AE586&lt;&gt;"")),$AF586,DATE(1900,1,1))</f>
        <v/>
      </c>
      <c r="AJ586" s="35">
        <f>IF($AH586&lt;&gt;"",$AH586,IF(AND($AO586&gt;0,$AD586&lt;&gt;"",$AE586&lt;&gt;""),$AG586,DATE(2100,12,31)))</f>
        <v/>
      </c>
      <c r="AK586" s="32">
        <f>IF($AH586="",$AC586,$AC586*$S586)</f>
        <v/>
      </c>
      <c r="AL586" s="35">
        <f>IF($AH586="",DATE(2100,12,31),$AH586+1)</f>
        <v/>
      </c>
      <c r="AM586" s="35">
        <f>IF($AH586="",DATE(1900,1,1),$AG586)</f>
        <v/>
      </c>
      <c r="AN586" s="32">
        <f>IF($AH586="",0,$AC586*$T586)</f>
        <v/>
      </c>
      <c r="AO586" s="46">
        <f>IF($C586="",0,IFERROR(INDEX(Deals!$BD$2:$BD$355,MATCH($C586,Deals!$A$2:$A$355,0)),0))</f>
        <v/>
      </c>
      <c r="AP586" s="18">
        <f>IF($AO586=0,0,IFERROR(INDEX(Deals!$BJ$2:$BP$355,MATCH($C586,Deals!$A$2:$A$355,0),MATCH($F586,Deals!$BJ$1:$BP$1,0))/COUNTIFS(Assignments!$C$2:$C$769,$C586,Assignments!$F$2:$F$769,$F586,Assignments!$G$2:$G$769,"Active"),0))</f>
        <v/>
      </c>
    </row>
    <row r="587">
      <c r="A587" s="28" t="inlineStr">
        <is>
          <t>Yiyi</t>
        </is>
      </c>
      <c r="B587" s="16">
        <f>IF($A587="","",IFERROR(INDEX(Roster!$B$2:$B$40,MATCH($A587,Roster!$A$2:$A$40,0)),"?"))</f>
        <v/>
      </c>
      <c r="C587" s="28" t="inlineStr">
        <is>
          <t>Bishopville_1</t>
        </is>
      </c>
      <c r="D587" s="16">
        <f>IF($C587="","",IFERROR(IF(INDEX(Deals!$C$2:$C$355,MATCH($C587,Deals!$A$2:$A$355,0))=0,"",INDEX(Deals!$C$2:$C$355,MATCH($C587,Deals!$A$2:$A$355,0))),"?"))</f>
        <v/>
      </c>
      <c r="E587" s="16">
        <f>IF($C587="","",IFERROR(INDEX(Deals!$F$2:$F$355,MATCH($C587,Deals!$A$2:$A$355,0)),"?"))</f>
        <v/>
      </c>
      <c r="F587" s="28" t="inlineStr">
        <is>
          <t>Renewable Specialist</t>
        </is>
      </c>
      <c r="G587" s="28" t="inlineStr">
        <is>
          <t>Active</t>
        </is>
      </c>
      <c r="H587" s="31" t="n"/>
      <c r="I587" s="32">
        <f>IF(OR($A587="",$G587&lt;&gt;"Active"),0,IF($H587&lt;&gt;"",$H587,IF($AO587&gt;0,$AP587,IF(AND($R587&lt;&gt;"",IFERROR(INDEX(Templates!$B$3:$H$10,MATCH($R587,Templates!$A$3:$A$10,0),MATCH($F587,Templates!$B$2:$H$2,0)),0)&gt;0),INDEX(Templates!$B$3:$H$10,MATCH($R587,Templates!$A$3:$A$10,0),MATCH($F587,Templates!$B$2:$H$2,0)),IFERROR(INDEX(Settings!$B$8:$B$14,MATCH($F587,Settings!$A$8:$A$14,0)),0)))))</f>
        <v/>
      </c>
      <c r="J587" s="21">
        <f>IF($C587="",0,IFERROR(INDEX(Deals!$H$2:$H$355,MATCH($C587,Deals!$A$2:$A$355,0)),0))</f>
        <v/>
      </c>
      <c r="K587" s="32">
        <f>IF(Settings!$B$4="Yes",$I587*$J587,$I587)</f>
        <v/>
      </c>
      <c r="L587" s="22">
        <f>IF($C587="","",IFERROR(IF(INDEX(Deals!$I$2:$I$355,MATCH($C587,Deals!$A$2:$A$355,0))=0,"",INDEX(Deals!$I$2:$I$355,MATCH($C587,Deals!$A$2:$A$355,0))),""))</f>
        <v/>
      </c>
      <c r="M587" s="22">
        <f>IF($C587="","",IFERROR(IF(INDEX(Deals!$J$2:$J$355,MATCH($C587,Deals!$A$2:$A$355,0))=0,"",INDEX(Deals!$J$2:$J$355,MATCH($C587,Deals!$A$2:$A$355,0))),""))</f>
        <v/>
      </c>
      <c r="N587" s="35">
        <f>IF($L587="",DATE(1900,1,1),$L587)</f>
        <v/>
      </c>
      <c r="O587" s="35">
        <f>IF($M587="",DATE(2100,12,31),$M587)</f>
        <v/>
      </c>
      <c r="P587" s="20" t="inlineStr"/>
      <c r="Q587" s="47" t="inlineStr"/>
      <c r="R587" s="16">
        <f>IF($C587="","",IFERROR(IF(INDEX(Deals!$U$2:$U$355,MATCH($C587,Deals!$A$2:$A$355,0))=0,"",INDEX(Deals!$U$2:$U$355,MATCH($C587,Deals!$A$2:$A$355,0))),""))</f>
        <v/>
      </c>
      <c r="S587" s="34">
        <f>IFERROR(IF($U587="",1,INDEX(Deals!$V$2:$V$355,MATCH($C587,Deals!$A$2:$A$355,0))),1)</f>
        <v/>
      </c>
      <c r="T587" s="34">
        <f>IFERROR(IF($U587="",1,INDEX(Deals!$W$2:$W$355,MATCH($C587,Deals!$A$2:$A$355,0))),1)</f>
        <v/>
      </c>
      <c r="U587" s="22">
        <f>IF($C587="","",IFERROR(IF(INDEX(Deals!$Y$2:$Y$355,MATCH($C587,Deals!$A$2:$A$355,0))=0,"",INDEX(Deals!$Y$2:$Y$355,MATCH($C587,Deals!$A$2:$A$355,0))),""))</f>
        <v/>
      </c>
      <c r="V587" s="35">
        <f>IF(OR($U587&lt;&gt;"",AND($AO587&gt;0,$L587&lt;&gt;"",$M587&lt;&gt;"")),$N587,DATE(1900,1,1))</f>
        <v/>
      </c>
      <c r="W587" s="35">
        <f>IF($U587&lt;&gt;"",$U587,IF(AND($AO587&gt;0,$L587&lt;&gt;"",$M587&lt;&gt;""),$O587,DATE(2100,12,31)))</f>
        <v/>
      </c>
      <c r="X587" s="32">
        <f>IF($U587="",$K587,$K587*$S587)</f>
        <v/>
      </c>
      <c r="Y587" s="35">
        <f>IF($U587="",DATE(2100,12,31),$U587+1)</f>
        <v/>
      </c>
      <c r="Z587" s="35">
        <f>IF($U587="",DATE(1900,1,1),$O587)</f>
        <v/>
      </c>
      <c r="AA587" s="32">
        <f>IF($U587="",0,$K587*$T587)</f>
        <v/>
      </c>
      <c r="AB587" s="21">
        <f>IF($C587="",0,IFERROR(INDEX(Deals!$AD$2:$AD$355,MATCH($C587,Deals!$A$2:$A$355,0)),0))</f>
        <v/>
      </c>
      <c r="AC587" s="32">
        <f>IF(Settings!$B$4="Yes",$I587*$AB587,$I587)</f>
        <v/>
      </c>
      <c r="AD587" s="22">
        <f>IF($C587="","",IFERROR(IF(INDEX(Deals!$AE$2:$AE$355,MATCH($C587,Deals!$A$2:$A$355,0))=0,"",INDEX(Deals!$AE$2:$AE$355,MATCH($C587,Deals!$A$2:$A$355,0))),""))</f>
        <v/>
      </c>
      <c r="AE587" s="22">
        <f>IF($C587="","",IFERROR(IF(INDEX(Deals!$AF$2:$AF$355,MATCH($C587,Deals!$A$2:$A$355,0))=0,"",INDEX(Deals!$AF$2:$AF$355,MATCH($C587,Deals!$A$2:$A$355,0))),""))</f>
        <v/>
      </c>
      <c r="AF587" s="35">
        <f>IF($AD587="",DATE(1900,1,1),$AD587)</f>
        <v/>
      </c>
      <c r="AG587" s="35">
        <f>IF($AE587="",DATE(2100,12,31),$AE587)</f>
        <v/>
      </c>
      <c r="AH587" s="22">
        <f>IF($C587="","",IFERROR(IF(INDEX(Deals!$AG$2:$AG$355,MATCH($C587,Deals!$A$2:$A$355,0))=0,"",INDEX(Deals!$AG$2:$AG$355,MATCH($C587,Deals!$A$2:$A$355,0))),""))</f>
        <v/>
      </c>
      <c r="AI587" s="35">
        <f>IF(OR($AH587&lt;&gt;"",AND($AO587&gt;0,$AD587&lt;&gt;"",$AE587&lt;&gt;"")),$AF587,DATE(1900,1,1))</f>
        <v/>
      </c>
      <c r="AJ587" s="35">
        <f>IF($AH587&lt;&gt;"",$AH587,IF(AND($AO587&gt;0,$AD587&lt;&gt;"",$AE587&lt;&gt;""),$AG587,DATE(2100,12,31)))</f>
        <v/>
      </c>
      <c r="AK587" s="32">
        <f>IF($AH587="",$AC587,$AC587*$S587)</f>
        <v/>
      </c>
      <c r="AL587" s="35">
        <f>IF($AH587="",DATE(2100,12,31),$AH587+1)</f>
        <v/>
      </c>
      <c r="AM587" s="35">
        <f>IF($AH587="",DATE(1900,1,1),$AG587)</f>
        <v/>
      </c>
      <c r="AN587" s="32">
        <f>IF($AH587="",0,$AC587*$T587)</f>
        <v/>
      </c>
      <c r="AO587" s="46">
        <f>IF($C587="",0,IFERROR(INDEX(Deals!$BD$2:$BD$355,MATCH($C587,Deals!$A$2:$A$355,0)),0))</f>
        <v/>
      </c>
      <c r="AP587" s="18">
        <f>IF($AO587=0,0,IFERROR(INDEX(Deals!$BJ$2:$BP$355,MATCH($C587,Deals!$A$2:$A$355,0),MATCH($F587,Deals!$BJ$1:$BP$1,0))/COUNTIFS(Assignments!$C$2:$C$769,$C587,Assignments!$F$2:$F$769,$F587,Assignments!$G$2:$G$769,"Active"),0))</f>
        <v/>
      </c>
    </row>
    <row r="588">
      <c r="A588" s="28" t="inlineStr">
        <is>
          <t>Yiyi</t>
        </is>
      </c>
      <c r="B588" s="16">
        <f>IF($A588="","",IFERROR(INDEX(Roster!$B$2:$B$40,MATCH($A588,Roster!$A$2:$A$40,0)),"?"))</f>
        <v/>
      </c>
      <c r="C588" s="28" t="inlineStr">
        <is>
          <t>Bocce_2</t>
        </is>
      </c>
      <c r="D588" s="16">
        <f>IF($C588="","",IFERROR(IF(INDEX(Deals!$C$2:$C$355,MATCH($C588,Deals!$A$2:$A$355,0))=0,"",INDEX(Deals!$C$2:$C$355,MATCH($C588,Deals!$A$2:$A$355,0))),"?"))</f>
        <v/>
      </c>
      <c r="E588" s="16">
        <f>IF($C588="","",IFERROR(INDEX(Deals!$F$2:$F$355,MATCH($C588,Deals!$A$2:$A$355,0)),"?"))</f>
        <v/>
      </c>
      <c r="F588" s="28" t="inlineStr">
        <is>
          <t>Renewable Specialist</t>
        </is>
      </c>
      <c r="G588" s="28" t="inlineStr">
        <is>
          <t>Active</t>
        </is>
      </c>
      <c r="H588" s="31" t="n"/>
      <c r="I588" s="32">
        <f>IF(OR($A588="",$G588&lt;&gt;"Active"),0,IF($H588&lt;&gt;"",$H588,IF($AO588&gt;0,$AP588,IF(AND($R588&lt;&gt;"",IFERROR(INDEX(Templates!$B$3:$H$10,MATCH($R588,Templates!$A$3:$A$10,0),MATCH($F588,Templates!$B$2:$H$2,0)),0)&gt;0),INDEX(Templates!$B$3:$H$10,MATCH($R588,Templates!$A$3:$A$10,0),MATCH($F588,Templates!$B$2:$H$2,0)),IFERROR(INDEX(Settings!$B$8:$B$14,MATCH($F588,Settings!$A$8:$A$14,0)),0)))))</f>
        <v/>
      </c>
      <c r="J588" s="21">
        <f>IF($C588="",0,IFERROR(INDEX(Deals!$H$2:$H$355,MATCH($C588,Deals!$A$2:$A$355,0)),0))</f>
        <v/>
      </c>
      <c r="K588" s="32">
        <f>IF(Settings!$B$4="Yes",$I588*$J588,$I588)</f>
        <v/>
      </c>
      <c r="L588" s="22">
        <f>IF($C588="","",IFERROR(IF(INDEX(Deals!$I$2:$I$355,MATCH($C588,Deals!$A$2:$A$355,0))=0,"",INDEX(Deals!$I$2:$I$355,MATCH($C588,Deals!$A$2:$A$355,0))),""))</f>
        <v/>
      </c>
      <c r="M588" s="22">
        <f>IF($C588="","",IFERROR(IF(INDEX(Deals!$J$2:$J$355,MATCH($C588,Deals!$A$2:$A$355,0))=0,"",INDEX(Deals!$J$2:$J$355,MATCH($C588,Deals!$A$2:$A$355,0))),""))</f>
        <v/>
      </c>
      <c r="N588" s="35">
        <f>IF($L588="",DATE(1900,1,1),$L588)</f>
        <v/>
      </c>
      <c r="O588" s="35">
        <f>IF($M588="",DATE(2100,12,31),$M588)</f>
        <v/>
      </c>
      <c r="P588" s="20" t="inlineStr"/>
      <c r="Q588" s="47" t="inlineStr"/>
      <c r="R588" s="16">
        <f>IF($C588="","",IFERROR(IF(INDEX(Deals!$U$2:$U$355,MATCH($C588,Deals!$A$2:$A$355,0))=0,"",INDEX(Deals!$U$2:$U$355,MATCH($C588,Deals!$A$2:$A$355,0))),""))</f>
        <v/>
      </c>
      <c r="S588" s="34">
        <f>IFERROR(IF($U588="",1,INDEX(Deals!$V$2:$V$355,MATCH($C588,Deals!$A$2:$A$355,0))),1)</f>
        <v/>
      </c>
      <c r="T588" s="34">
        <f>IFERROR(IF($U588="",1,INDEX(Deals!$W$2:$W$355,MATCH($C588,Deals!$A$2:$A$355,0))),1)</f>
        <v/>
      </c>
      <c r="U588" s="22">
        <f>IF($C588="","",IFERROR(IF(INDEX(Deals!$Y$2:$Y$355,MATCH($C588,Deals!$A$2:$A$355,0))=0,"",INDEX(Deals!$Y$2:$Y$355,MATCH($C588,Deals!$A$2:$A$355,0))),""))</f>
        <v/>
      </c>
      <c r="V588" s="35">
        <f>IF(OR($U588&lt;&gt;"",AND($AO588&gt;0,$L588&lt;&gt;"",$M588&lt;&gt;"")),$N588,DATE(1900,1,1))</f>
        <v/>
      </c>
      <c r="W588" s="35">
        <f>IF($U588&lt;&gt;"",$U588,IF(AND($AO588&gt;0,$L588&lt;&gt;"",$M588&lt;&gt;""),$O588,DATE(2100,12,31)))</f>
        <v/>
      </c>
      <c r="X588" s="32">
        <f>IF($U588="",$K588,$K588*$S588)</f>
        <v/>
      </c>
      <c r="Y588" s="35">
        <f>IF($U588="",DATE(2100,12,31),$U588+1)</f>
        <v/>
      </c>
      <c r="Z588" s="35">
        <f>IF($U588="",DATE(1900,1,1),$O588)</f>
        <v/>
      </c>
      <c r="AA588" s="32">
        <f>IF($U588="",0,$K588*$T588)</f>
        <v/>
      </c>
      <c r="AB588" s="21">
        <f>IF($C588="",0,IFERROR(INDEX(Deals!$AD$2:$AD$355,MATCH($C588,Deals!$A$2:$A$355,0)),0))</f>
        <v/>
      </c>
      <c r="AC588" s="32">
        <f>IF(Settings!$B$4="Yes",$I588*$AB588,$I588)</f>
        <v/>
      </c>
      <c r="AD588" s="22">
        <f>IF($C588="","",IFERROR(IF(INDEX(Deals!$AE$2:$AE$355,MATCH($C588,Deals!$A$2:$A$355,0))=0,"",INDEX(Deals!$AE$2:$AE$355,MATCH($C588,Deals!$A$2:$A$355,0))),""))</f>
        <v/>
      </c>
      <c r="AE588" s="22">
        <f>IF($C588="","",IFERROR(IF(INDEX(Deals!$AF$2:$AF$355,MATCH($C588,Deals!$A$2:$A$355,0))=0,"",INDEX(Deals!$AF$2:$AF$355,MATCH($C588,Deals!$A$2:$A$355,0))),""))</f>
        <v/>
      </c>
      <c r="AF588" s="35">
        <f>IF($AD588="",DATE(1900,1,1),$AD588)</f>
        <v/>
      </c>
      <c r="AG588" s="35">
        <f>IF($AE588="",DATE(2100,12,31),$AE588)</f>
        <v/>
      </c>
      <c r="AH588" s="22">
        <f>IF($C588="","",IFERROR(IF(INDEX(Deals!$AG$2:$AG$355,MATCH($C588,Deals!$A$2:$A$355,0))=0,"",INDEX(Deals!$AG$2:$AG$355,MATCH($C588,Deals!$A$2:$A$355,0))),""))</f>
        <v/>
      </c>
      <c r="AI588" s="35">
        <f>IF(OR($AH588&lt;&gt;"",AND($AO588&gt;0,$AD588&lt;&gt;"",$AE588&lt;&gt;"")),$AF588,DATE(1900,1,1))</f>
        <v/>
      </c>
      <c r="AJ588" s="35">
        <f>IF($AH588&lt;&gt;"",$AH588,IF(AND($AO588&gt;0,$AD588&lt;&gt;"",$AE588&lt;&gt;""),$AG588,DATE(2100,12,31)))</f>
        <v/>
      </c>
      <c r="AK588" s="32">
        <f>IF($AH588="",$AC588,$AC588*$S588)</f>
        <v/>
      </c>
      <c r="AL588" s="35">
        <f>IF($AH588="",DATE(2100,12,31),$AH588+1)</f>
        <v/>
      </c>
      <c r="AM588" s="35">
        <f>IF($AH588="",DATE(1900,1,1),$AG588)</f>
        <v/>
      </c>
      <c r="AN588" s="32">
        <f>IF($AH588="",0,$AC588*$T588)</f>
        <v/>
      </c>
      <c r="AO588" s="46">
        <f>IF($C588="",0,IFERROR(INDEX(Deals!$BD$2:$BD$355,MATCH($C588,Deals!$A$2:$A$355,0)),0))</f>
        <v/>
      </c>
      <c r="AP588" s="18">
        <f>IF($AO588=0,0,IFERROR(INDEX(Deals!$BJ$2:$BP$355,MATCH($C588,Deals!$A$2:$A$355,0),MATCH($F588,Deals!$BJ$1:$BP$1,0))/COUNTIFS(Assignments!$C$2:$C$769,$C588,Assignments!$F$2:$F$769,$F588,Assignments!$G$2:$G$769,"Active"),0))</f>
        <v/>
      </c>
    </row>
    <row r="589">
      <c r="A589" s="28" t="inlineStr">
        <is>
          <t>Yiyi</t>
        </is>
      </c>
      <c r="B589" s="16">
        <f>IF($A589="","",IFERROR(INDEX(Roster!$B$2:$B$40,MATCH($A589,Roster!$A$2:$A$40,0)),"?"))</f>
        <v/>
      </c>
      <c r="C589" s="28" t="inlineStr">
        <is>
          <t>Brass_2</t>
        </is>
      </c>
      <c r="D589" s="16">
        <f>IF($C589="","",IFERROR(IF(INDEX(Deals!$C$2:$C$355,MATCH($C589,Deals!$A$2:$A$355,0))=0,"",INDEX(Deals!$C$2:$C$355,MATCH($C589,Deals!$A$2:$A$355,0))),"?"))</f>
        <v/>
      </c>
      <c r="E589" s="16">
        <f>IF($C589="","",IFERROR(INDEX(Deals!$F$2:$F$355,MATCH($C589,Deals!$A$2:$A$355,0)),"?"))</f>
        <v/>
      </c>
      <c r="F589" s="28" t="inlineStr">
        <is>
          <t>Renewable Specialist</t>
        </is>
      </c>
      <c r="G589" s="28" t="inlineStr">
        <is>
          <t>Active</t>
        </is>
      </c>
      <c r="H589" s="31" t="n"/>
      <c r="I589" s="32">
        <f>IF(OR($A589="",$G589&lt;&gt;"Active"),0,IF($H589&lt;&gt;"",$H589,IF($AO589&gt;0,$AP589,IF(AND($R589&lt;&gt;"",IFERROR(INDEX(Templates!$B$3:$H$10,MATCH($R589,Templates!$A$3:$A$10,0),MATCH($F589,Templates!$B$2:$H$2,0)),0)&gt;0),INDEX(Templates!$B$3:$H$10,MATCH($R589,Templates!$A$3:$A$10,0),MATCH($F589,Templates!$B$2:$H$2,0)),IFERROR(INDEX(Settings!$B$8:$B$14,MATCH($F589,Settings!$A$8:$A$14,0)),0)))))</f>
        <v/>
      </c>
      <c r="J589" s="21">
        <f>IF($C589="",0,IFERROR(INDEX(Deals!$H$2:$H$355,MATCH($C589,Deals!$A$2:$A$355,0)),0))</f>
        <v/>
      </c>
      <c r="K589" s="32">
        <f>IF(Settings!$B$4="Yes",$I589*$J589,$I589)</f>
        <v/>
      </c>
      <c r="L589" s="22">
        <f>IF($C589="","",IFERROR(IF(INDEX(Deals!$I$2:$I$355,MATCH($C589,Deals!$A$2:$A$355,0))=0,"",INDEX(Deals!$I$2:$I$355,MATCH($C589,Deals!$A$2:$A$355,0))),""))</f>
        <v/>
      </c>
      <c r="M589" s="22">
        <f>IF($C589="","",IFERROR(IF(INDEX(Deals!$J$2:$J$355,MATCH($C589,Deals!$A$2:$A$355,0))=0,"",INDEX(Deals!$J$2:$J$355,MATCH($C589,Deals!$A$2:$A$355,0))),""))</f>
        <v/>
      </c>
      <c r="N589" s="35">
        <f>IF($L589="",DATE(1900,1,1),$L589)</f>
        <v/>
      </c>
      <c r="O589" s="35">
        <f>IF($M589="",DATE(2100,12,31),$M589)</f>
        <v/>
      </c>
      <c r="P589" s="20" t="inlineStr"/>
      <c r="Q589" s="47" t="inlineStr"/>
      <c r="R589" s="16">
        <f>IF($C589="","",IFERROR(IF(INDEX(Deals!$U$2:$U$355,MATCH($C589,Deals!$A$2:$A$355,0))=0,"",INDEX(Deals!$U$2:$U$355,MATCH($C589,Deals!$A$2:$A$355,0))),""))</f>
        <v/>
      </c>
      <c r="S589" s="34">
        <f>IFERROR(IF($U589="",1,INDEX(Deals!$V$2:$V$355,MATCH($C589,Deals!$A$2:$A$355,0))),1)</f>
        <v/>
      </c>
      <c r="T589" s="34">
        <f>IFERROR(IF($U589="",1,INDEX(Deals!$W$2:$W$355,MATCH($C589,Deals!$A$2:$A$355,0))),1)</f>
        <v/>
      </c>
      <c r="U589" s="22">
        <f>IF($C589="","",IFERROR(IF(INDEX(Deals!$Y$2:$Y$355,MATCH($C589,Deals!$A$2:$A$355,0))=0,"",INDEX(Deals!$Y$2:$Y$355,MATCH($C589,Deals!$A$2:$A$355,0))),""))</f>
        <v/>
      </c>
      <c r="V589" s="35">
        <f>IF(OR($U589&lt;&gt;"",AND($AO589&gt;0,$L589&lt;&gt;"",$M589&lt;&gt;"")),$N589,DATE(1900,1,1))</f>
        <v/>
      </c>
      <c r="W589" s="35">
        <f>IF($U589&lt;&gt;"",$U589,IF(AND($AO589&gt;0,$L589&lt;&gt;"",$M589&lt;&gt;""),$O589,DATE(2100,12,31)))</f>
        <v/>
      </c>
      <c r="X589" s="32">
        <f>IF($U589="",$K589,$K589*$S589)</f>
        <v/>
      </c>
      <c r="Y589" s="35">
        <f>IF($U589="",DATE(2100,12,31),$U589+1)</f>
        <v/>
      </c>
      <c r="Z589" s="35">
        <f>IF($U589="",DATE(1900,1,1),$O589)</f>
        <v/>
      </c>
      <c r="AA589" s="32">
        <f>IF($U589="",0,$K589*$T589)</f>
        <v/>
      </c>
      <c r="AB589" s="21">
        <f>IF($C589="",0,IFERROR(INDEX(Deals!$AD$2:$AD$355,MATCH($C589,Deals!$A$2:$A$355,0)),0))</f>
        <v/>
      </c>
      <c r="AC589" s="32">
        <f>IF(Settings!$B$4="Yes",$I589*$AB589,$I589)</f>
        <v/>
      </c>
      <c r="AD589" s="22">
        <f>IF($C589="","",IFERROR(IF(INDEX(Deals!$AE$2:$AE$355,MATCH($C589,Deals!$A$2:$A$355,0))=0,"",INDEX(Deals!$AE$2:$AE$355,MATCH($C589,Deals!$A$2:$A$355,0))),""))</f>
        <v/>
      </c>
      <c r="AE589" s="22">
        <f>IF($C589="","",IFERROR(IF(INDEX(Deals!$AF$2:$AF$355,MATCH($C589,Deals!$A$2:$A$355,0))=0,"",INDEX(Deals!$AF$2:$AF$355,MATCH($C589,Deals!$A$2:$A$355,0))),""))</f>
        <v/>
      </c>
      <c r="AF589" s="35">
        <f>IF($AD589="",DATE(1900,1,1),$AD589)</f>
        <v/>
      </c>
      <c r="AG589" s="35">
        <f>IF($AE589="",DATE(2100,12,31),$AE589)</f>
        <v/>
      </c>
      <c r="AH589" s="22">
        <f>IF($C589="","",IFERROR(IF(INDEX(Deals!$AG$2:$AG$355,MATCH($C589,Deals!$A$2:$A$355,0))=0,"",INDEX(Deals!$AG$2:$AG$355,MATCH($C589,Deals!$A$2:$A$355,0))),""))</f>
        <v/>
      </c>
      <c r="AI589" s="35">
        <f>IF(OR($AH589&lt;&gt;"",AND($AO589&gt;0,$AD589&lt;&gt;"",$AE589&lt;&gt;"")),$AF589,DATE(1900,1,1))</f>
        <v/>
      </c>
      <c r="AJ589" s="35">
        <f>IF($AH589&lt;&gt;"",$AH589,IF(AND($AO589&gt;0,$AD589&lt;&gt;"",$AE589&lt;&gt;""),$AG589,DATE(2100,12,31)))</f>
        <v/>
      </c>
      <c r="AK589" s="32">
        <f>IF($AH589="",$AC589,$AC589*$S589)</f>
        <v/>
      </c>
      <c r="AL589" s="35">
        <f>IF($AH589="",DATE(2100,12,31),$AH589+1)</f>
        <v/>
      </c>
      <c r="AM589" s="35">
        <f>IF($AH589="",DATE(1900,1,1),$AG589)</f>
        <v/>
      </c>
      <c r="AN589" s="32">
        <f>IF($AH589="",0,$AC589*$T589)</f>
        <v/>
      </c>
      <c r="AO589" s="46">
        <f>IF($C589="",0,IFERROR(INDEX(Deals!$BD$2:$BD$355,MATCH($C589,Deals!$A$2:$A$355,0)),0))</f>
        <v/>
      </c>
      <c r="AP589" s="18">
        <f>IF($AO589=0,0,IFERROR(INDEX(Deals!$BJ$2:$BP$355,MATCH($C589,Deals!$A$2:$A$355,0),MATCH($F589,Deals!$BJ$1:$BP$1,0))/COUNTIFS(Assignments!$C$2:$C$769,$C589,Assignments!$F$2:$F$769,$F589,Assignments!$G$2:$G$769,"Active"),0))</f>
        <v/>
      </c>
    </row>
    <row r="590">
      <c r="A590" s="28" t="inlineStr">
        <is>
          <t>Yiyi</t>
        </is>
      </c>
      <c r="B590" s="16">
        <f>IF($A590="","",IFERROR(INDEX(Roster!$B$2:$B$40,MATCH($A590,Roster!$A$2:$A$40,0)),"?"))</f>
        <v/>
      </c>
      <c r="C590" s="28" t="inlineStr">
        <is>
          <t>Calistoga_1</t>
        </is>
      </c>
      <c r="D590" s="16">
        <f>IF($C590="","",IFERROR(IF(INDEX(Deals!$C$2:$C$355,MATCH($C590,Deals!$A$2:$A$355,0))=0,"",INDEX(Deals!$C$2:$C$355,MATCH($C590,Deals!$A$2:$A$355,0))),"?"))</f>
        <v/>
      </c>
      <c r="E590" s="16">
        <f>IF($C590="","",IFERROR(INDEX(Deals!$F$2:$F$355,MATCH($C590,Deals!$A$2:$A$355,0)),"?"))</f>
        <v/>
      </c>
      <c r="F590" s="28" t="inlineStr">
        <is>
          <t>Renewable Specialist</t>
        </is>
      </c>
      <c r="G590" s="28" t="inlineStr">
        <is>
          <t>Active</t>
        </is>
      </c>
      <c r="H590" s="31" t="n"/>
      <c r="I590" s="32">
        <f>IF(OR($A590="",$G590&lt;&gt;"Active"),0,IF($H590&lt;&gt;"",$H590,IF($AO590&gt;0,$AP590,IF(AND($R590&lt;&gt;"",IFERROR(INDEX(Templates!$B$3:$H$10,MATCH($R590,Templates!$A$3:$A$10,0),MATCH($F590,Templates!$B$2:$H$2,0)),0)&gt;0),INDEX(Templates!$B$3:$H$10,MATCH($R590,Templates!$A$3:$A$10,0),MATCH($F590,Templates!$B$2:$H$2,0)),IFERROR(INDEX(Settings!$B$8:$B$14,MATCH($F590,Settings!$A$8:$A$14,0)),0)))))</f>
        <v/>
      </c>
      <c r="J590" s="21">
        <f>IF($C590="",0,IFERROR(INDEX(Deals!$H$2:$H$355,MATCH($C590,Deals!$A$2:$A$355,0)),0))</f>
        <v/>
      </c>
      <c r="K590" s="32">
        <f>IF(Settings!$B$4="Yes",$I590*$J590,$I590)</f>
        <v/>
      </c>
      <c r="L590" s="22">
        <f>IF($C590="","",IFERROR(IF(INDEX(Deals!$I$2:$I$355,MATCH($C590,Deals!$A$2:$A$355,0))=0,"",INDEX(Deals!$I$2:$I$355,MATCH($C590,Deals!$A$2:$A$355,0))),""))</f>
        <v/>
      </c>
      <c r="M590" s="22">
        <f>IF($C590="","",IFERROR(IF(INDEX(Deals!$J$2:$J$355,MATCH($C590,Deals!$A$2:$A$355,0))=0,"",INDEX(Deals!$J$2:$J$355,MATCH($C590,Deals!$A$2:$A$355,0))),""))</f>
        <v/>
      </c>
      <c r="N590" s="35">
        <f>IF($L590="",DATE(1900,1,1),$L590)</f>
        <v/>
      </c>
      <c r="O590" s="35">
        <f>IF($M590="",DATE(2100,12,31),$M590)</f>
        <v/>
      </c>
      <c r="P590" s="20" t="inlineStr"/>
      <c r="Q590" s="47" t="inlineStr"/>
      <c r="R590" s="16">
        <f>IF($C590="","",IFERROR(IF(INDEX(Deals!$U$2:$U$355,MATCH($C590,Deals!$A$2:$A$355,0))=0,"",INDEX(Deals!$U$2:$U$355,MATCH($C590,Deals!$A$2:$A$355,0))),""))</f>
        <v/>
      </c>
      <c r="S590" s="34">
        <f>IFERROR(IF($U590="",1,INDEX(Deals!$V$2:$V$355,MATCH($C590,Deals!$A$2:$A$355,0))),1)</f>
        <v/>
      </c>
      <c r="T590" s="34">
        <f>IFERROR(IF($U590="",1,INDEX(Deals!$W$2:$W$355,MATCH($C590,Deals!$A$2:$A$355,0))),1)</f>
        <v/>
      </c>
      <c r="U590" s="22">
        <f>IF($C590="","",IFERROR(IF(INDEX(Deals!$Y$2:$Y$355,MATCH($C590,Deals!$A$2:$A$355,0))=0,"",INDEX(Deals!$Y$2:$Y$355,MATCH($C590,Deals!$A$2:$A$355,0))),""))</f>
        <v/>
      </c>
      <c r="V590" s="35">
        <f>IF(OR($U590&lt;&gt;"",AND($AO590&gt;0,$L590&lt;&gt;"",$M590&lt;&gt;"")),$N590,DATE(1900,1,1))</f>
        <v/>
      </c>
      <c r="W590" s="35">
        <f>IF($U590&lt;&gt;"",$U590,IF(AND($AO590&gt;0,$L590&lt;&gt;"",$M590&lt;&gt;""),$O590,DATE(2100,12,31)))</f>
        <v/>
      </c>
      <c r="X590" s="32">
        <f>IF($U590="",$K590,$K590*$S590)</f>
        <v/>
      </c>
      <c r="Y590" s="35">
        <f>IF($U590="",DATE(2100,12,31),$U590+1)</f>
        <v/>
      </c>
      <c r="Z590" s="35">
        <f>IF($U590="",DATE(1900,1,1),$O590)</f>
        <v/>
      </c>
      <c r="AA590" s="32">
        <f>IF($U590="",0,$K590*$T590)</f>
        <v/>
      </c>
      <c r="AB590" s="21">
        <f>IF($C590="",0,IFERROR(INDEX(Deals!$AD$2:$AD$355,MATCH($C590,Deals!$A$2:$A$355,0)),0))</f>
        <v/>
      </c>
      <c r="AC590" s="32">
        <f>IF(Settings!$B$4="Yes",$I590*$AB590,$I590)</f>
        <v/>
      </c>
      <c r="AD590" s="22">
        <f>IF($C590="","",IFERROR(IF(INDEX(Deals!$AE$2:$AE$355,MATCH($C590,Deals!$A$2:$A$355,0))=0,"",INDEX(Deals!$AE$2:$AE$355,MATCH($C590,Deals!$A$2:$A$355,0))),""))</f>
        <v/>
      </c>
      <c r="AE590" s="22">
        <f>IF($C590="","",IFERROR(IF(INDEX(Deals!$AF$2:$AF$355,MATCH($C590,Deals!$A$2:$A$355,0))=0,"",INDEX(Deals!$AF$2:$AF$355,MATCH($C590,Deals!$A$2:$A$355,0))),""))</f>
        <v/>
      </c>
      <c r="AF590" s="35">
        <f>IF($AD590="",DATE(1900,1,1),$AD590)</f>
        <v/>
      </c>
      <c r="AG590" s="35">
        <f>IF($AE590="",DATE(2100,12,31),$AE590)</f>
        <v/>
      </c>
      <c r="AH590" s="22">
        <f>IF($C590="","",IFERROR(IF(INDEX(Deals!$AG$2:$AG$355,MATCH($C590,Deals!$A$2:$A$355,0))=0,"",INDEX(Deals!$AG$2:$AG$355,MATCH($C590,Deals!$A$2:$A$355,0))),""))</f>
        <v/>
      </c>
      <c r="AI590" s="35">
        <f>IF(OR($AH590&lt;&gt;"",AND($AO590&gt;0,$AD590&lt;&gt;"",$AE590&lt;&gt;"")),$AF590,DATE(1900,1,1))</f>
        <v/>
      </c>
      <c r="AJ590" s="35">
        <f>IF($AH590&lt;&gt;"",$AH590,IF(AND($AO590&gt;0,$AD590&lt;&gt;"",$AE590&lt;&gt;""),$AG590,DATE(2100,12,31)))</f>
        <v/>
      </c>
      <c r="AK590" s="32">
        <f>IF($AH590="",$AC590,$AC590*$S590)</f>
        <v/>
      </c>
      <c r="AL590" s="35">
        <f>IF($AH590="",DATE(2100,12,31),$AH590+1)</f>
        <v/>
      </c>
      <c r="AM590" s="35">
        <f>IF($AH590="",DATE(1900,1,1),$AG590)</f>
        <v/>
      </c>
      <c r="AN590" s="32">
        <f>IF($AH590="",0,$AC590*$T590)</f>
        <v/>
      </c>
      <c r="AO590" s="46">
        <f>IF($C590="",0,IFERROR(INDEX(Deals!$BD$2:$BD$355,MATCH($C590,Deals!$A$2:$A$355,0)),0))</f>
        <v/>
      </c>
      <c r="AP590" s="18">
        <f>IF($AO590=0,0,IFERROR(INDEX(Deals!$BJ$2:$BP$355,MATCH($C590,Deals!$A$2:$A$355,0),MATCH($F590,Deals!$BJ$1:$BP$1,0))/COUNTIFS(Assignments!$C$2:$C$769,$C590,Assignments!$F$2:$F$769,$F590,Assignments!$G$2:$G$769,"Active"),0))</f>
        <v/>
      </c>
    </row>
    <row r="591">
      <c r="A591" s="28" t="inlineStr">
        <is>
          <t>Yiyi</t>
        </is>
      </c>
      <c r="B591" s="16">
        <f>IF($A591="","",IFERROR(INDEX(Roster!$B$2:$B$40,MATCH($A591,Roster!$A$2:$A$40,0)),"?"))</f>
        <v/>
      </c>
      <c r="C591" s="28" t="inlineStr">
        <is>
          <t>CFlats_1</t>
        </is>
      </c>
      <c r="D591" s="16">
        <f>IF($C591="","",IFERROR(IF(INDEX(Deals!$C$2:$C$355,MATCH($C591,Deals!$A$2:$A$355,0))=0,"",INDEX(Deals!$C$2:$C$355,MATCH($C591,Deals!$A$2:$A$355,0))),"?"))</f>
        <v/>
      </c>
      <c r="E591" s="16">
        <f>IF($C591="","",IFERROR(INDEX(Deals!$F$2:$F$355,MATCH($C591,Deals!$A$2:$A$355,0)),"?"))</f>
        <v/>
      </c>
      <c r="F591" s="28" t="inlineStr">
        <is>
          <t>Renewable Specialist</t>
        </is>
      </c>
      <c r="G591" s="28" t="inlineStr">
        <is>
          <t>Active</t>
        </is>
      </c>
      <c r="H591" s="31" t="n"/>
      <c r="I591" s="32">
        <f>IF(OR($A591="",$G591&lt;&gt;"Active"),0,IF($H591&lt;&gt;"",$H591,IF($AO591&gt;0,$AP591,IF(AND($R591&lt;&gt;"",IFERROR(INDEX(Templates!$B$3:$H$10,MATCH($R591,Templates!$A$3:$A$10,0),MATCH($F591,Templates!$B$2:$H$2,0)),0)&gt;0),INDEX(Templates!$B$3:$H$10,MATCH($R591,Templates!$A$3:$A$10,0),MATCH($F591,Templates!$B$2:$H$2,0)),IFERROR(INDEX(Settings!$B$8:$B$14,MATCH($F591,Settings!$A$8:$A$14,0)),0)))))</f>
        <v/>
      </c>
      <c r="J591" s="21">
        <f>IF($C591="",0,IFERROR(INDEX(Deals!$H$2:$H$355,MATCH($C591,Deals!$A$2:$A$355,0)),0))</f>
        <v/>
      </c>
      <c r="K591" s="32">
        <f>IF(Settings!$B$4="Yes",$I591*$J591,$I591)</f>
        <v/>
      </c>
      <c r="L591" s="22">
        <f>IF($C591="","",IFERROR(IF(INDEX(Deals!$I$2:$I$355,MATCH($C591,Deals!$A$2:$A$355,0))=0,"",INDEX(Deals!$I$2:$I$355,MATCH($C591,Deals!$A$2:$A$355,0))),""))</f>
        <v/>
      </c>
      <c r="M591" s="22">
        <f>IF($C591="","",IFERROR(IF(INDEX(Deals!$J$2:$J$355,MATCH($C591,Deals!$A$2:$A$355,0))=0,"",INDEX(Deals!$J$2:$J$355,MATCH($C591,Deals!$A$2:$A$355,0))),""))</f>
        <v/>
      </c>
      <c r="N591" s="35">
        <f>IF($L591="",DATE(1900,1,1),$L591)</f>
        <v/>
      </c>
      <c r="O591" s="35">
        <f>IF($M591="",DATE(2100,12,31),$M591)</f>
        <v/>
      </c>
      <c r="P591" s="20" t="inlineStr"/>
      <c r="Q591" s="47" t="inlineStr"/>
      <c r="R591" s="16">
        <f>IF($C591="","",IFERROR(IF(INDEX(Deals!$U$2:$U$355,MATCH($C591,Deals!$A$2:$A$355,0))=0,"",INDEX(Deals!$U$2:$U$355,MATCH($C591,Deals!$A$2:$A$355,0))),""))</f>
        <v/>
      </c>
      <c r="S591" s="34">
        <f>IFERROR(IF($U591="",1,INDEX(Deals!$V$2:$V$355,MATCH($C591,Deals!$A$2:$A$355,0))),1)</f>
        <v/>
      </c>
      <c r="T591" s="34">
        <f>IFERROR(IF($U591="",1,INDEX(Deals!$W$2:$W$355,MATCH($C591,Deals!$A$2:$A$355,0))),1)</f>
        <v/>
      </c>
      <c r="U591" s="22">
        <f>IF($C591="","",IFERROR(IF(INDEX(Deals!$Y$2:$Y$355,MATCH($C591,Deals!$A$2:$A$355,0))=0,"",INDEX(Deals!$Y$2:$Y$355,MATCH($C591,Deals!$A$2:$A$355,0))),""))</f>
        <v/>
      </c>
      <c r="V591" s="35">
        <f>IF(OR($U591&lt;&gt;"",AND($AO591&gt;0,$L591&lt;&gt;"",$M591&lt;&gt;"")),$N591,DATE(1900,1,1))</f>
        <v/>
      </c>
      <c r="W591" s="35">
        <f>IF($U591&lt;&gt;"",$U591,IF(AND($AO591&gt;0,$L591&lt;&gt;"",$M591&lt;&gt;""),$O591,DATE(2100,12,31)))</f>
        <v/>
      </c>
      <c r="X591" s="32">
        <f>IF($U591="",$K591,$K591*$S591)</f>
        <v/>
      </c>
      <c r="Y591" s="35">
        <f>IF($U591="",DATE(2100,12,31),$U591+1)</f>
        <v/>
      </c>
      <c r="Z591" s="35">
        <f>IF($U591="",DATE(1900,1,1),$O591)</f>
        <v/>
      </c>
      <c r="AA591" s="32">
        <f>IF($U591="",0,$K591*$T591)</f>
        <v/>
      </c>
      <c r="AB591" s="21">
        <f>IF($C591="",0,IFERROR(INDEX(Deals!$AD$2:$AD$355,MATCH($C591,Deals!$A$2:$A$355,0)),0))</f>
        <v/>
      </c>
      <c r="AC591" s="32">
        <f>IF(Settings!$B$4="Yes",$I591*$AB591,$I591)</f>
        <v/>
      </c>
      <c r="AD591" s="22">
        <f>IF($C591="","",IFERROR(IF(INDEX(Deals!$AE$2:$AE$355,MATCH($C591,Deals!$A$2:$A$355,0))=0,"",INDEX(Deals!$AE$2:$AE$355,MATCH($C591,Deals!$A$2:$A$355,0))),""))</f>
        <v/>
      </c>
      <c r="AE591" s="22">
        <f>IF($C591="","",IFERROR(IF(INDEX(Deals!$AF$2:$AF$355,MATCH($C591,Deals!$A$2:$A$355,0))=0,"",INDEX(Deals!$AF$2:$AF$355,MATCH($C591,Deals!$A$2:$A$355,0))),""))</f>
        <v/>
      </c>
      <c r="AF591" s="35">
        <f>IF($AD591="",DATE(1900,1,1),$AD591)</f>
        <v/>
      </c>
      <c r="AG591" s="35">
        <f>IF($AE591="",DATE(2100,12,31),$AE591)</f>
        <v/>
      </c>
      <c r="AH591" s="22">
        <f>IF($C591="","",IFERROR(IF(INDEX(Deals!$AG$2:$AG$355,MATCH($C591,Deals!$A$2:$A$355,0))=0,"",INDEX(Deals!$AG$2:$AG$355,MATCH($C591,Deals!$A$2:$A$355,0))),""))</f>
        <v/>
      </c>
      <c r="AI591" s="35">
        <f>IF(OR($AH591&lt;&gt;"",AND($AO591&gt;0,$AD591&lt;&gt;"",$AE591&lt;&gt;"")),$AF591,DATE(1900,1,1))</f>
        <v/>
      </c>
      <c r="AJ591" s="35">
        <f>IF($AH591&lt;&gt;"",$AH591,IF(AND($AO591&gt;0,$AD591&lt;&gt;"",$AE591&lt;&gt;""),$AG591,DATE(2100,12,31)))</f>
        <v/>
      </c>
      <c r="AK591" s="32">
        <f>IF($AH591="",$AC591,$AC591*$S591)</f>
        <v/>
      </c>
      <c r="AL591" s="35">
        <f>IF($AH591="",DATE(2100,12,31),$AH591+1)</f>
        <v/>
      </c>
      <c r="AM591" s="35">
        <f>IF($AH591="",DATE(1900,1,1),$AG591)</f>
        <v/>
      </c>
      <c r="AN591" s="32">
        <f>IF($AH591="",0,$AC591*$T591)</f>
        <v/>
      </c>
      <c r="AO591" s="46">
        <f>IF($C591="",0,IFERROR(INDEX(Deals!$BD$2:$BD$355,MATCH($C591,Deals!$A$2:$A$355,0)),0))</f>
        <v/>
      </c>
      <c r="AP591" s="18">
        <f>IF($AO591=0,0,IFERROR(INDEX(Deals!$BJ$2:$BP$355,MATCH($C591,Deals!$A$2:$A$355,0),MATCH($F591,Deals!$BJ$1:$BP$1,0))/COUNTIFS(Assignments!$C$2:$C$769,$C591,Assignments!$F$2:$F$769,$F591,Assignments!$G$2:$G$769,"Active"),0))</f>
        <v/>
      </c>
    </row>
    <row r="592">
      <c r="A592" s="28" t="inlineStr">
        <is>
          <t>Yiyi</t>
        </is>
      </c>
      <c r="B592" s="16">
        <f>IF($A592="","",IFERROR(INDEX(Roster!$B$2:$B$40,MATCH($A592,Roster!$A$2:$A$40,0)),"?"))</f>
        <v/>
      </c>
      <c r="C592" s="28" t="inlineStr">
        <is>
          <t>Clenara_1</t>
        </is>
      </c>
      <c r="D592" s="16">
        <f>IF($C592="","",IFERROR(IF(INDEX(Deals!$C$2:$C$355,MATCH($C592,Deals!$A$2:$A$355,0))=0,"",INDEX(Deals!$C$2:$C$355,MATCH($C592,Deals!$A$2:$A$355,0))),"?"))</f>
        <v/>
      </c>
      <c r="E592" s="16">
        <f>IF($C592="","",IFERROR(INDEX(Deals!$F$2:$F$355,MATCH($C592,Deals!$A$2:$A$355,0)),"?"))</f>
        <v/>
      </c>
      <c r="F592" s="28" t="inlineStr">
        <is>
          <t>Renewable Specialist</t>
        </is>
      </c>
      <c r="G592" s="28" t="inlineStr">
        <is>
          <t>Active</t>
        </is>
      </c>
      <c r="H592" s="31" t="n"/>
      <c r="I592" s="32">
        <f>IF(OR($A592="",$G592&lt;&gt;"Active"),0,IF($H592&lt;&gt;"",$H592,IF($AO592&gt;0,$AP592,IF(AND($R592&lt;&gt;"",IFERROR(INDEX(Templates!$B$3:$H$10,MATCH($R592,Templates!$A$3:$A$10,0),MATCH($F592,Templates!$B$2:$H$2,0)),0)&gt;0),INDEX(Templates!$B$3:$H$10,MATCH($R592,Templates!$A$3:$A$10,0),MATCH($F592,Templates!$B$2:$H$2,0)),IFERROR(INDEX(Settings!$B$8:$B$14,MATCH($F592,Settings!$A$8:$A$14,0)),0)))))</f>
        <v/>
      </c>
      <c r="J592" s="21">
        <f>IF($C592="",0,IFERROR(INDEX(Deals!$H$2:$H$355,MATCH($C592,Deals!$A$2:$A$355,0)),0))</f>
        <v/>
      </c>
      <c r="K592" s="32">
        <f>IF(Settings!$B$4="Yes",$I592*$J592,$I592)</f>
        <v/>
      </c>
      <c r="L592" s="22">
        <f>IF($C592="","",IFERROR(IF(INDEX(Deals!$I$2:$I$355,MATCH($C592,Deals!$A$2:$A$355,0))=0,"",INDEX(Deals!$I$2:$I$355,MATCH($C592,Deals!$A$2:$A$355,0))),""))</f>
        <v/>
      </c>
      <c r="M592" s="22">
        <f>IF($C592="","",IFERROR(IF(INDEX(Deals!$J$2:$J$355,MATCH($C592,Deals!$A$2:$A$355,0))=0,"",INDEX(Deals!$J$2:$J$355,MATCH($C592,Deals!$A$2:$A$355,0))),""))</f>
        <v/>
      </c>
      <c r="N592" s="35">
        <f>IF($L592="",DATE(1900,1,1),$L592)</f>
        <v/>
      </c>
      <c r="O592" s="35">
        <f>IF($M592="",DATE(2100,12,31),$M592)</f>
        <v/>
      </c>
      <c r="P592" s="20" t="inlineStr"/>
      <c r="Q592" s="47" t="inlineStr"/>
      <c r="R592" s="16">
        <f>IF($C592="","",IFERROR(IF(INDEX(Deals!$U$2:$U$355,MATCH($C592,Deals!$A$2:$A$355,0))=0,"",INDEX(Deals!$U$2:$U$355,MATCH($C592,Deals!$A$2:$A$355,0))),""))</f>
        <v/>
      </c>
      <c r="S592" s="34">
        <f>IFERROR(IF($U592="",1,INDEX(Deals!$V$2:$V$355,MATCH($C592,Deals!$A$2:$A$355,0))),1)</f>
        <v/>
      </c>
      <c r="T592" s="34">
        <f>IFERROR(IF($U592="",1,INDEX(Deals!$W$2:$W$355,MATCH($C592,Deals!$A$2:$A$355,0))),1)</f>
        <v/>
      </c>
      <c r="U592" s="22">
        <f>IF($C592="","",IFERROR(IF(INDEX(Deals!$Y$2:$Y$355,MATCH($C592,Deals!$A$2:$A$355,0))=0,"",INDEX(Deals!$Y$2:$Y$355,MATCH($C592,Deals!$A$2:$A$355,0))),""))</f>
        <v/>
      </c>
      <c r="V592" s="35">
        <f>IF(OR($U592&lt;&gt;"",AND($AO592&gt;0,$L592&lt;&gt;"",$M592&lt;&gt;"")),$N592,DATE(1900,1,1))</f>
        <v/>
      </c>
      <c r="W592" s="35">
        <f>IF($U592&lt;&gt;"",$U592,IF(AND($AO592&gt;0,$L592&lt;&gt;"",$M592&lt;&gt;""),$O592,DATE(2100,12,31)))</f>
        <v/>
      </c>
      <c r="X592" s="32">
        <f>IF($U592="",$K592,$K592*$S592)</f>
        <v/>
      </c>
      <c r="Y592" s="35">
        <f>IF($U592="",DATE(2100,12,31),$U592+1)</f>
        <v/>
      </c>
      <c r="Z592" s="35">
        <f>IF($U592="",DATE(1900,1,1),$O592)</f>
        <v/>
      </c>
      <c r="AA592" s="32">
        <f>IF($U592="",0,$K592*$T592)</f>
        <v/>
      </c>
      <c r="AB592" s="21">
        <f>IF($C592="",0,IFERROR(INDEX(Deals!$AD$2:$AD$355,MATCH($C592,Deals!$A$2:$A$355,0)),0))</f>
        <v/>
      </c>
      <c r="AC592" s="32">
        <f>IF(Settings!$B$4="Yes",$I592*$AB592,$I592)</f>
        <v/>
      </c>
      <c r="AD592" s="22">
        <f>IF($C592="","",IFERROR(IF(INDEX(Deals!$AE$2:$AE$355,MATCH($C592,Deals!$A$2:$A$355,0))=0,"",INDEX(Deals!$AE$2:$AE$355,MATCH($C592,Deals!$A$2:$A$355,0))),""))</f>
        <v/>
      </c>
      <c r="AE592" s="22">
        <f>IF($C592="","",IFERROR(IF(INDEX(Deals!$AF$2:$AF$355,MATCH($C592,Deals!$A$2:$A$355,0))=0,"",INDEX(Deals!$AF$2:$AF$355,MATCH($C592,Deals!$A$2:$A$355,0))),""))</f>
        <v/>
      </c>
      <c r="AF592" s="35">
        <f>IF($AD592="",DATE(1900,1,1),$AD592)</f>
        <v/>
      </c>
      <c r="AG592" s="35">
        <f>IF($AE592="",DATE(2100,12,31),$AE592)</f>
        <v/>
      </c>
      <c r="AH592" s="22">
        <f>IF($C592="","",IFERROR(IF(INDEX(Deals!$AG$2:$AG$355,MATCH($C592,Deals!$A$2:$A$355,0))=0,"",INDEX(Deals!$AG$2:$AG$355,MATCH($C592,Deals!$A$2:$A$355,0))),""))</f>
        <v/>
      </c>
      <c r="AI592" s="35">
        <f>IF(OR($AH592&lt;&gt;"",AND($AO592&gt;0,$AD592&lt;&gt;"",$AE592&lt;&gt;"")),$AF592,DATE(1900,1,1))</f>
        <v/>
      </c>
      <c r="AJ592" s="35">
        <f>IF($AH592&lt;&gt;"",$AH592,IF(AND($AO592&gt;0,$AD592&lt;&gt;"",$AE592&lt;&gt;""),$AG592,DATE(2100,12,31)))</f>
        <v/>
      </c>
      <c r="AK592" s="32">
        <f>IF($AH592="",$AC592,$AC592*$S592)</f>
        <v/>
      </c>
      <c r="AL592" s="35">
        <f>IF($AH592="",DATE(2100,12,31),$AH592+1)</f>
        <v/>
      </c>
      <c r="AM592" s="35">
        <f>IF($AH592="",DATE(1900,1,1),$AG592)</f>
        <v/>
      </c>
      <c r="AN592" s="32">
        <f>IF($AH592="",0,$AC592*$T592)</f>
        <v/>
      </c>
      <c r="AO592" s="46">
        <f>IF($C592="",0,IFERROR(INDEX(Deals!$BD$2:$BD$355,MATCH($C592,Deals!$A$2:$A$355,0)),0))</f>
        <v/>
      </c>
      <c r="AP592" s="18">
        <f>IF($AO592=0,0,IFERROR(INDEX(Deals!$BJ$2:$BP$355,MATCH($C592,Deals!$A$2:$A$355,0),MATCH($F592,Deals!$BJ$1:$BP$1,0))/COUNTIFS(Assignments!$C$2:$C$769,$C592,Assignments!$F$2:$F$769,$F592,Assignments!$G$2:$G$769,"Active"),0))</f>
        <v/>
      </c>
    </row>
    <row r="593">
      <c r="A593" s="28" t="inlineStr">
        <is>
          <t>Yiyi</t>
        </is>
      </c>
      <c r="B593" s="16">
        <f>IF($A593="","",IFERROR(INDEX(Roster!$B$2:$B$40,MATCH($A593,Roster!$A$2:$A$40,0)),"?"))</f>
        <v/>
      </c>
      <c r="C593" s="28" t="inlineStr">
        <is>
          <t>CNX_1</t>
        </is>
      </c>
      <c r="D593" s="16">
        <f>IF($C593="","",IFERROR(IF(INDEX(Deals!$C$2:$C$355,MATCH($C593,Deals!$A$2:$A$355,0))=0,"",INDEX(Deals!$C$2:$C$355,MATCH($C593,Deals!$A$2:$A$355,0))),"?"))</f>
        <v/>
      </c>
      <c r="E593" s="16">
        <f>IF($C593="","",IFERROR(INDEX(Deals!$F$2:$F$355,MATCH($C593,Deals!$A$2:$A$355,0)),"?"))</f>
        <v/>
      </c>
      <c r="F593" s="28" t="inlineStr">
        <is>
          <t>Renewable Specialist</t>
        </is>
      </c>
      <c r="G593" s="28" t="inlineStr">
        <is>
          <t>Active</t>
        </is>
      </c>
      <c r="H593" s="31" t="n"/>
      <c r="I593" s="32">
        <f>IF(OR($A593="",$G593&lt;&gt;"Active"),0,IF($H593&lt;&gt;"",$H593,IF($AO593&gt;0,$AP593,IF(AND($R593&lt;&gt;"",IFERROR(INDEX(Templates!$B$3:$H$10,MATCH($R593,Templates!$A$3:$A$10,0),MATCH($F593,Templates!$B$2:$H$2,0)),0)&gt;0),INDEX(Templates!$B$3:$H$10,MATCH($R593,Templates!$A$3:$A$10,0),MATCH($F593,Templates!$B$2:$H$2,0)),IFERROR(INDEX(Settings!$B$8:$B$14,MATCH($F593,Settings!$A$8:$A$14,0)),0)))))</f>
        <v/>
      </c>
      <c r="J593" s="21">
        <f>IF($C593="",0,IFERROR(INDEX(Deals!$H$2:$H$355,MATCH($C593,Deals!$A$2:$A$355,0)),0))</f>
        <v/>
      </c>
      <c r="K593" s="32">
        <f>IF(Settings!$B$4="Yes",$I593*$J593,$I593)</f>
        <v/>
      </c>
      <c r="L593" s="22">
        <f>IF($C593="","",IFERROR(IF(INDEX(Deals!$I$2:$I$355,MATCH($C593,Deals!$A$2:$A$355,0))=0,"",INDEX(Deals!$I$2:$I$355,MATCH($C593,Deals!$A$2:$A$355,0))),""))</f>
        <v/>
      </c>
      <c r="M593" s="22">
        <f>IF($C593="","",IFERROR(IF(INDEX(Deals!$J$2:$J$355,MATCH($C593,Deals!$A$2:$A$355,0))=0,"",INDEX(Deals!$J$2:$J$355,MATCH($C593,Deals!$A$2:$A$355,0))),""))</f>
        <v/>
      </c>
      <c r="N593" s="35">
        <f>IF($L593="",DATE(1900,1,1),$L593)</f>
        <v/>
      </c>
      <c r="O593" s="35">
        <f>IF($M593="",DATE(2100,12,31),$M593)</f>
        <v/>
      </c>
      <c r="P593" s="20" t="inlineStr"/>
      <c r="Q593" s="47" t="inlineStr"/>
      <c r="R593" s="16">
        <f>IF($C593="","",IFERROR(IF(INDEX(Deals!$U$2:$U$355,MATCH($C593,Deals!$A$2:$A$355,0))=0,"",INDEX(Deals!$U$2:$U$355,MATCH($C593,Deals!$A$2:$A$355,0))),""))</f>
        <v/>
      </c>
      <c r="S593" s="34">
        <f>IFERROR(IF($U593="",1,INDEX(Deals!$V$2:$V$355,MATCH($C593,Deals!$A$2:$A$355,0))),1)</f>
        <v/>
      </c>
      <c r="T593" s="34">
        <f>IFERROR(IF($U593="",1,INDEX(Deals!$W$2:$W$355,MATCH($C593,Deals!$A$2:$A$355,0))),1)</f>
        <v/>
      </c>
      <c r="U593" s="22">
        <f>IF($C593="","",IFERROR(IF(INDEX(Deals!$Y$2:$Y$355,MATCH($C593,Deals!$A$2:$A$355,0))=0,"",INDEX(Deals!$Y$2:$Y$355,MATCH($C593,Deals!$A$2:$A$355,0))),""))</f>
        <v/>
      </c>
      <c r="V593" s="35">
        <f>IF(OR($U593&lt;&gt;"",AND($AO593&gt;0,$L593&lt;&gt;"",$M593&lt;&gt;"")),$N593,DATE(1900,1,1))</f>
        <v/>
      </c>
      <c r="W593" s="35">
        <f>IF($U593&lt;&gt;"",$U593,IF(AND($AO593&gt;0,$L593&lt;&gt;"",$M593&lt;&gt;""),$O593,DATE(2100,12,31)))</f>
        <v/>
      </c>
      <c r="X593" s="32">
        <f>IF($U593="",$K593,$K593*$S593)</f>
        <v/>
      </c>
      <c r="Y593" s="35">
        <f>IF($U593="",DATE(2100,12,31),$U593+1)</f>
        <v/>
      </c>
      <c r="Z593" s="35">
        <f>IF($U593="",DATE(1900,1,1),$O593)</f>
        <v/>
      </c>
      <c r="AA593" s="32">
        <f>IF($U593="",0,$K593*$T593)</f>
        <v/>
      </c>
      <c r="AB593" s="21">
        <f>IF($C593="",0,IFERROR(INDEX(Deals!$AD$2:$AD$355,MATCH($C593,Deals!$A$2:$A$355,0)),0))</f>
        <v/>
      </c>
      <c r="AC593" s="32">
        <f>IF(Settings!$B$4="Yes",$I593*$AB593,$I593)</f>
        <v/>
      </c>
      <c r="AD593" s="22">
        <f>IF($C593="","",IFERROR(IF(INDEX(Deals!$AE$2:$AE$355,MATCH($C593,Deals!$A$2:$A$355,0))=0,"",INDEX(Deals!$AE$2:$AE$355,MATCH($C593,Deals!$A$2:$A$355,0))),""))</f>
        <v/>
      </c>
      <c r="AE593" s="22">
        <f>IF($C593="","",IFERROR(IF(INDEX(Deals!$AF$2:$AF$355,MATCH($C593,Deals!$A$2:$A$355,0))=0,"",INDEX(Deals!$AF$2:$AF$355,MATCH($C593,Deals!$A$2:$A$355,0))),""))</f>
        <v/>
      </c>
      <c r="AF593" s="35">
        <f>IF($AD593="",DATE(1900,1,1),$AD593)</f>
        <v/>
      </c>
      <c r="AG593" s="35">
        <f>IF($AE593="",DATE(2100,12,31),$AE593)</f>
        <v/>
      </c>
      <c r="AH593" s="22">
        <f>IF($C593="","",IFERROR(IF(INDEX(Deals!$AG$2:$AG$355,MATCH($C593,Deals!$A$2:$A$355,0))=0,"",INDEX(Deals!$AG$2:$AG$355,MATCH($C593,Deals!$A$2:$A$355,0))),""))</f>
        <v/>
      </c>
      <c r="AI593" s="35">
        <f>IF(OR($AH593&lt;&gt;"",AND($AO593&gt;0,$AD593&lt;&gt;"",$AE593&lt;&gt;"")),$AF593,DATE(1900,1,1))</f>
        <v/>
      </c>
      <c r="AJ593" s="35">
        <f>IF($AH593&lt;&gt;"",$AH593,IF(AND($AO593&gt;0,$AD593&lt;&gt;"",$AE593&lt;&gt;""),$AG593,DATE(2100,12,31)))</f>
        <v/>
      </c>
      <c r="AK593" s="32">
        <f>IF($AH593="",$AC593,$AC593*$S593)</f>
        <v/>
      </c>
      <c r="AL593" s="35">
        <f>IF($AH593="",DATE(2100,12,31),$AH593+1)</f>
        <v/>
      </c>
      <c r="AM593" s="35">
        <f>IF($AH593="",DATE(1900,1,1),$AG593)</f>
        <v/>
      </c>
      <c r="AN593" s="32">
        <f>IF($AH593="",0,$AC593*$T593)</f>
        <v/>
      </c>
      <c r="AO593" s="46">
        <f>IF($C593="",0,IFERROR(INDEX(Deals!$BD$2:$BD$355,MATCH($C593,Deals!$A$2:$A$355,0)),0))</f>
        <v/>
      </c>
      <c r="AP593" s="18">
        <f>IF($AO593=0,0,IFERROR(INDEX(Deals!$BJ$2:$BP$355,MATCH($C593,Deals!$A$2:$A$355,0),MATCH($F593,Deals!$BJ$1:$BP$1,0))/COUNTIFS(Assignments!$C$2:$C$769,$C593,Assignments!$F$2:$F$769,$F593,Assignments!$G$2:$G$769,"Active"),0))</f>
        <v/>
      </c>
    </row>
    <row r="594">
      <c r="A594" s="28" t="inlineStr">
        <is>
          <t>Yiyi</t>
        </is>
      </c>
      <c r="B594" s="16">
        <f>IF($A594="","",IFERROR(INDEX(Roster!$B$2:$B$40,MATCH($A594,Roster!$A$2:$A$40,0)),"?"))</f>
        <v/>
      </c>
      <c r="C594" s="28" t="inlineStr">
        <is>
          <t>Contango_1</t>
        </is>
      </c>
      <c r="D594" s="16">
        <f>IF($C594="","",IFERROR(IF(INDEX(Deals!$C$2:$C$355,MATCH($C594,Deals!$A$2:$A$355,0))=0,"",INDEX(Deals!$C$2:$C$355,MATCH($C594,Deals!$A$2:$A$355,0))),"?"))</f>
        <v/>
      </c>
      <c r="E594" s="16">
        <f>IF($C594="","",IFERROR(INDEX(Deals!$F$2:$F$355,MATCH($C594,Deals!$A$2:$A$355,0)),"?"))</f>
        <v/>
      </c>
      <c r="F594" s="28" t="inlineStr">
        <is>
          <t>Renewable Specialist</t>
        </is>
      </c>
      <c r="G594" s="28" t="inlineStr">
        <is>
          <t>Active</t>
        </is>
      </c>
      <c r="H594" s="31" t="n"/>
      <c r="I594" s="32">
        <f>IF(OR($A594="",$G594&lt;&gt;"Active"),0,IF($H594&lt;&gt;"",$H594,IF($AO594&gt;0,$AP594,IF(AND($R594&lt;&gt;"",IFERROR(INDEX(Templates!$B$3:$H$10,MATCH($R594,Templates!$A$3:$A$10,0),MATCH($F594,Templates!$B$2:$H$2,0)),0)&gt;0),INDEX(Templates!$B$3:$H$10,MATCH($R594,Templates!$A$3:$A$10,0),MATCH($F594,Templates!$B$2:$H$2,0)),IFERROR(INDEX(Settings!$B$8:$B$14,MATCH($F594,Settings!$A$8:$A$14,0)),0)))))</f>
        <v/>
      </c>
      <c r="J594" s="21">
        <f>IF($C594="",0,IFERROR(INDEX(Deals!$H$2:$H$355,MATCH($C594,Deals!$A$2:$A$355,0)),0))</f>
        <v/>
      </c>
      <c r="K594" s="32">
        <f>IF(Settings!$B$4="Yes",$I594*$J594,$I594)</f>
        <v/>
      </c>
      <c r="L594" s="22">
        <f>IF($C594="","",IFERROR(IF(INDEX(Deals!$I$2:$I$355,MATCH($C594,Deals!$A$2:$A$355,0))=0,"",INDEX(Deals!$I$2:$I$355,MATCH($C594,Deals!$A$2:$A$355,0))),""))</f>
        <v/>
      </c>
      <c r="M594" s="22">
        <f>IF($C594="","",IFERROR(IF(INDEX(Deals!$J$2:$J$355,MATCH($C594,Deals!$A$2:$A$355,0))=0,"",INDEX(Deals!$J$2:$J$355,MATCH($C594,Deals!$A$2:$A$355,0))),""))</f>
        <v/>
      </c>
      <c r="N594" s="35">
        <f>IF($L594="",DATE(1900,1,1),$L594)</f>
        <v/>
      </c>
      <c r="O594" s="35">
        <f>IF($M594="",DATE(2100,12,31),$M594)</f>
        <v/>
      </c>
      <c r="P594" s="20" t="inlineStr"/>
      <c r="Q594" s="47" t="inlineStr"/>
      <c r="R594" s="16">
        <f>IF($C594="","",IFERROR(IF(INDEX(Deals!$U$2:$U$355,MATCH($C594,Deals!$A$2:$A$355,0))=0,"",INDEX(Deals!$U$2:$U$355,MATCH($C594,Deals!$A$2:$A$355,0))),""))</f>
        <v/>
      </c>
      <c r="S594" s="34">
        <f>IFERROR(IF($U594="",1,INDEX(Deals!$V$2:$V$355,MATCH($C594,Deals!$A$2:$A$355,0))),1)</f>
        <v/>
      </c>
      <c r="T594" s="34">
        <f>IFERROR(IF($U594="",1,INDEX(Deals!$W$2:$W$355,MATCH($C594,Deals!$A$2:$A$355,0))),1)</f>
        <v/>
      </c>
      <c r="U594" s="22">
        <f>IF($C594="","",IFERROR(IF(INDEX(Deals!$Y$2:$Y$355,MATCH($C594,Deals!$A$2:$A$355,0))=0,"",INDEX(Deals!$Y$2:$Y$355,MATCH($C594,Deals!$A$2:$A$355,0))),""))</f>
        <v/>
      </c>
      <c r="V594" s="35">
        <f>IF(OR($U594&lt;&gt;"",AND($AO594&gt;0,$L594&lt;&gt;"",$M594&lt;&gt;"")),$N594,DATE(1900,1,1))</f>
        <v/>
      </c>
      <c r="W594" s="35">
        <f>IF($U594&lt;&gt;"",$U594,IF(AND($AO594&gt;0,$L594&lt;&gt;"",$M594&lt;&gt;""),$O594,DATE(2100,12,31)))</f>
        <v/>
      </c>
      <c r="X594" s="32">
        <f>IF($U594="",$K594,$K594*$S594)</f>
        <v/>
      </c>
      <c r="Y594" s="35">
        <f>IF($U594="",DATE(2100,12,31),$U594+1)</f>
        <v/>
      </c>
      <c r="Z594" s="35">
        <f>IF($U594="",DATE(1900,1,1),$O594)</f>
        <v/>
      </c>
      <c r="AA594" s="32">
        <f>IF($U594="",0,$K594*$T594)</f>
        <v/>
      </c>
      <c r="AB594" s="21">
        <f>IF($C594="",0,IFERROR(INDEX(Deals!$AD$2:$AD$355,MATCH($C594,Deals!$A$2:$A$355,0)),0))</f>
        <v/>
      </c>
      <c r="AC594" s="32">
        <f>IF(Settings!$B$4="Yes",$I594*$AB594,$I594)</f>
        <v/>
      </c>
      <c r="AD594" s="22">
        <f>IF($C594="","",IFERROR(IF(INDEX(Deals!$AE$2:$AE$355,MATCH($C594,Deals!$A$2:$A$355,0))=0,"",INDEX(Deals!$AE$2:$AE$355,MATCH($C594,Deals!$A$2:$A$355,0))),""))</f>
        <v/>
      </c>
      <c r="AE594" s="22">
        <f>IF($C594="","",IFERROR(IF(INDEX(Deals!$AF$2:$AF$355,MATCH($C594,Deals!$A$2:$A$355,0))=0,"",INDEX(Deals!$AF$2:$AF$355,MATCH($C594,Deals!$A$2:$A$355,0))),""))</f>
        <v/>
      </c>
      <c r="AF594" s="35">
        <f>IF($AD594="",DATE(1900,1,1),$AD594)</f>
        <v/>
      </c>
      <c r="AG594" s="35">
        <f>IF($AE594="",DATE(2100,12,31),$AE594)</f>
        <v/>
      </c>
      <c r="AH594" s="22">
        <f>IF($C594="","",IFERROR(IF(INDEX(Deals!$AG$2:$AG$355,MATCH($C594,Deals!$A$2:$A$355,0))=0,"",INDEX(Deals!$AG$2:$AG$355,MATCH($C594,Deals!$A$2:$A$355,0))),""))</f>
        <v/>
      </c>
      <c r="AI594" s="35">
        <f>IF(OR($AH594&lt;&gt;"",AND($AO594&gt;0,$AD594&lt;&gt;"",$AE594&lt;&gt;"")),$AF594,DATE(1900,1,1))</f>
        <v/>
      </c>
      <c r="AJ594" s="35">
        <f>IF($AH594&lt;&gt;"",$AH594,IF(AND($AO594&gt;0,$AD594&lt;&gt;"",$AE594&lt;&gt;""),$AG594,DATE(2100,12,31)))</f>
        <v/>
      </c>
      <c r="AK594" s="32">
        <f>IF($AH594="",$AC594,$AC594*$S594)</f>
        <v/>
      </c>
      <c r="AL594" s="35">
        <f>IF($AH594="",DATE(2100,12,31),$AH594+1)</f>
        <v/>
      </c>
      <c r="AM594" s="35">
        <f>IF($AH594="",DATE(1900,1,1),$AG594)</f>
        <v/>
      </c>
      <c r="AN594" s="32">
        <f>IF($AH594="",0,$AC594*$T594)</f>
        <v/>
      </c>
      <c r="AO594" s="46">
        <f>IF($C594="",0,IFERROR(INDEX(Deals!$BD$2:$BD$355,MATCH($C594,Deals!$A$2:$A$355,0)),0))</f>
        <v/>
      </c>
      <c r="AP594" s="18">
        <f>IF($AO594=0,0,IFERROR(INDEX(Deals!$BJ$2:$BP$355,MATCH($C594,Deals!$A$2:$A$355,0),MATCH($F594,Deals!$BJ$1:$BP$1,0))/COUNTIFS(Assignments!$C$2:$C$769,$C594,Assignments!$F$2:$F$769,$F594,Assignments!$G$2:$G$769,"Active"),0))</f>
        <v/>
      </c>
    </row>
    <row r="595">
      <c r="A595" s="28" t="inlineStr">
        <is>
          <t>Yiyi</t>
        </is>
      </c>
      <c r="B595" s="16">
        <f>IF($A595="","",IFERROR(INDEX(Roster!$B$2:$B$40,MATCH($A595,Roster!$A$2:$A$40,0)),"?"))</f>
        <v/>
      </c>
      <c r="C595" s="28" t="inlineStr">
        <is>
          <t>Cross_1</t>
        </is>
      </c>
      <c r="D595" s="16">
        <f>IF($C595="","",IFERROR(IF(INDEX(Deals!$C$2:$C$355,MATCH($C595,Deals!$A$2:$A$355,0))=0,"",INDEX(Deals!$C$2:$C$355,MATCH($C595,Deals!$A$2:$A$355,0))),"?"))</f>
        <v/>
      </c>
      <c r="E595" s="16">
        <f>IF($C595="","",IFERROR(INDEX(Deals!$F$2:$F$355,MATCH($C595,Deals!$A$2:$A$355,0)),"?"))</f>
        <v/>
      </c>
      <c r="F595" s="28" t="inlineStr">
        <is>
          <t>Renewable Specialist</t>
        </is>
      </c>
      <c r="G595" s="28" t="inlineStr">
        <is>
          <t>Active</t>
        </is>
      </c>
      <c r="H595" s="31" t="n"/>
      <c r="I595" s="32">
        <f>IF(OR($A595="",$G595&lt;&gt;"Active"),0,IF($H595&lt;&gt;"",$H595,IF($AO595&gt;0,$AP595,IF(AND($R595&lt;&gt;"",IFERROR(INDEX(Templates!$B$3:$H$10,MATCH($R595,Templates!$A$3:$A$10,0),MATCH($F595,Templates!$B$2:$H$2,0)),0)&gt;0),INDEX(Templates!$B$3:$H$10,MATCH($R595,Templates!$A$3:$A$10,0),MATCH($F595,Templates!$B$2:$H$2,0)),IFERROR(INDEX(Settings!$B$8:$B$14,MATCH($F595,Settings!$A$8:$A$14,0)),0)))))</f>
        <v/>
      </c>
      <c r="J595" s="21">
        <f>IF($C595="",0,IFERROR(INDEX(Deals!$H$2:$H$355,MATCH($C595,Deals!$A$2:$A$355,0)),0))</f>
        <v/>
      </c>
      <c r="K595" s="32">
        <f>IF(Settings!$B$4="Yes",$I595*$J595,$I595)</f>
        <v/>
      </c>
      <c r="L595" s="22">
        <f>IF($C595="","",IFERROR(IF(INDEX(Deals!$I$2:$I$355,MATCH($C595,Deals!$A$2:$A$355,0))=0,"",INDEX(Deals!$I$2:$I$355,MATCH($C595,Deals!$A$2:$A$355,0))),""))</f>
        <v/>
      </c>
      <c r="M595" s="22">
        <f>IF($C595="","",IFERROR(IF(INDEX(Deals!$J$2:$J$355,MATCH($C595,Deals!$A$2:$A$355,0))=0,"",INDEX(Deals!$J$2:$J$355,MATCH($C595,Deals!$A$2:$A$355,0))),""))</f>
        <v/>
      </c>
      <c r="N595" s="35">
        <f>IF($L595="",DATE(1900,1,1),$L595)</f>
        <v/>
      </c>
      <c r="O595" s="35">
        <f>IF($M595="",DATE(2100,12,31),$M595)</f>
        <v/>
      </c>
      <c r="P595" s="20" t="inlineStr"/>
      <c r="Q595" s="47" t="inlineStr"/>
      <c r="R595" s="16">
        <f>IF($C595="","",IFERROR(IF(INDEX(Deals!$U$2:$U$355,MATCH($C595,Deals!$A$2:$A$355,0))=0,"",INDEX(Deals!$U$2:$U$355,MATCH($C595,Deals!$A$2:$A$355,0))),""))</f>
        <v/>
      </c>
      <c r="S595" s="34">
        <f>IFERROR(IF($U595="",1,INDEX(Deals!$V$2:$V$355,MATCH($C595,Deals!$A$2:$A$355,0))),1)</f>
        <v/>
      </c>
      <c r="T595" s="34">
        <f>IFERROR(IF($U595="",1,INDEX(Deals!$W$2:$W$355,MATCH($C595,Deals!$A$2:$A$355,0))),1)</f>
        <v/>
      </c>
      <c r="U595" s="22">
        <f>IF($C595="","",IFERROR(IF(INDEX(Deals!$Y$2:$Y$355,MATCH($C595,Deals!$A$2:$A$355,0))=0,"",INDEX(Deals!$Y$2:$Y$355,MATCH($C595,Deals!$A$2:$A$355,0))),""))</f>
        <v/>
      </c>
      <c r="V595" s="35">
        <f>IF(OR($U595&lt;&gt;"",AND($AO595&gt;0,$L595&lt;&gt;"",$M595&lt;&gt;"")),$N595,DATE(1900,1,1))</f>
        <v/>
      </c>
      <c r="W595" s="35">
        <f>IF($U595&lt;&gt;"",$U595,IF(AND($AO595&gt;0,$L595&lt;&gt;"",$M595&lt;&gt;""),$O595,DATE(2100,12,31)))</f>
        <v/>
      </c>
      <c r="X595" s="32">
        <f>IF($U595="",$K595,$K595*$S595)</f>
        <v/>
      </c>
      <c r="Y595" s="35">
        <f>IF($U595="",DATE(2100,12,31),$U595+1)</f>
        <v/>
      </c>
      <c r="Z595" s="35">
        <f>IF($U595="",DATE(1900,1,1),$O595)</f>
        <v/>
      </c>
      <c r="AA595" s="32">
        <f>IF($U595="",0,$K595*$T595)</f>
        <v/>
      </c>
      <c r="AB595" s="21">
        <f>IF($C595="",0,IFERROR(INDEX(Deals!$AD$2:$AD$355,MATCH($C595,Deals!$A$2:$A$355,0)),0))</f>
        <v/>
      </c>
      <c r="AC595" s="32">
        <f>IF(Settings!$B$4="Yes",$I595*$AB595,$I595)</f>
        <v/>
      </c>
      <c r="AD595" s="22">
        <f>IF($C595="","",IFERROR(IF(INDEX(Deals!$AE$2:$AE$355,MATCH($C595,Deals!$A$2:$A$355,0))=0,"",INDEX(Deals!$AE$2:$AE$355,MATCH($C595,Deals!$A$2:$A$355,0))),""))</f>
        <v/>
      </c>
      <c r="AE595" s="22">
        <f>IF($C595="","",IFERROR(IF(INDEX(Deals!$AF$2:$AF$355,MATCH($C595,Deals!$A$2:$A$355,0))=0,"",INDEX(Deals!$AF$2:$AF$355,MATCH($C595,Deals!$A$2:$A$355,0))),""))</f>
        <v/>
      </c>
      <c r="AF595" s="35">
        <f>IF($AD595="",DATE(1900,1,1),$AD595)</f>
        <v/>
      </c>
      <c r="AG595" s="35">
        <f>IF($AE595="",DATE(2100,12,31),$AE595)</f>
        <v/>
      </c>
      <c r="AH595" s="22">
        <f>IF($C595="","",IFERROR(IF(INDEX(Deals!$AG$2:$AG$355,MATCH($C595,Deals!$A$2:$A$355,0))=0,"",INDEX(Deals!$AG$2:$AG$355,MATCH($C595,Deals!$A$2:$A$355,0))),""))</f>
        <v/>
      </c>
      <c r="AI595" s="35">
        <f>IF(OR($AH595&lt;&gt;"",AND($AO595&gt;0,$AD595&lt;&gt;"",$AE595&lt;&gt;"")),$AF595,DATE(1900,1,1))</f>
        <v/>
      </c>
      <c r="AJ595" s="35">
        <f>IF($AH595&lt;&gt;"",$AH595,IF(AND($AO595&gt;0,$AD595&lt;&gt;"",$AE595&lt;&gt;""),$AG595,DATE(2100,12,31)))</f>
        <v/>
      </c>
      <c r="AK595" s="32">
        <f>IF($AH595="",$AC595,$AC595*$S595)</f>
        <v/>
      </c>
      <c r="AL595" s="35">
        <f>IF($AH595="",DATE(2100,12,31),$AH595+1)</f>
        <v/>
      </c>
      <c r="AM595" s="35">
        <f>IF($AH595="",DATE(1900,1,1),$AG595)</f>
        <v/>
      </c>
      <c r="AN595" s="32">
        <f>IF($AH595="",0,$AC595*$T595)</f>
        <v/>
      </c>
      <c r="AO595" s="46">
        <f>IF($C595="",0,IFERROR(INDEX(Deals!$BD$2:$BD$355,MATCH($C595,Deals!$A$2:$A$355,0)),0))</f>
        <v/>
      </c>
      <c r="AP595" s="18">
        <f>IF($AO595=0,0,IFERROR(INDEX(Deals!$BJ$2:$BP$355,MATCH($C595,Deals!$A$2:$A$355,0),MATCH($F595,Deals!$BJ$1:$BP$1,0))/COUNTIFS(Assignments!$C$2:$C$769,$C595,Assignments!$F$2:$F$769,$F595,Assignments!$G$2:$G$769,"Active"),0))</f>
        <v/>
      </c>
    </row>
    <row r="596">
      <c r="A596" s="28" t="inlineStr">
        <is>
          <t>Yiyi</t>
        </is>
      </c>
      <c r="B596" s="16">
        <f>IF($A596="","",IFERROR(INDEX(Roster!$B$2:$B$40,MATCH($A596,Roster!$A$2:$A$40,0)),"?"))</f>
        <v/>
      </c>
      <c r="C596" s="28" t="inlineStr">
        <is>
          <t>Destiny_1</t>
        </is>
      </c>
      <c r="D596" s="16">
        <f>IF($C596="","",IFERROR(IF(INDEX(Deals!$C$2:$C$355,MATCH($C596,Deals!$A$2:$A$355,0))=0,"",INDEX(Deals!$C$2:$C$355,MATCH($C596,Deals!$A$2:$A$355,0))),"?"))</f>
        <v/>
      </c>
      <c r="E596" s="16">
        <f>IF($C596="","",IFERROR(INDEX(Deals!$F$2:$F$355,MATCH($C596,Deals!$A$2:$A$355,0)),"?"))</f>
        <v/>
      </c>
      <c r="F596" s="28" t="inlineStr">
        <is>
          <t>Renewable Specialist</t>
        </is>
      </c>
      <c r="G596" s="28" t="inlineStr">
        <is>
          <t>Active</t>
        </is>
      </c>
      <c r="H596" s="31" t="n"/>
      <c r="I596" s="32">
        <f>IF(OR($A596="",$G596&lt;&gt;"Active"),0,IF($H596&lt;&gt;"",$H596,IF($AO596&gt;0,$AP596,IF(AND($R596&lt;&gt;"",IFERROR(INDEX(Templates!$B$3:$H$10,MATCH($R596,Templates!$A$3:$A$10,0),MATCH($F596,Templates!$B$2:$H$2,0)),0)&gt;0),INDEX(Templates!$B$3:$H$10,MATCH($R596,Templates!$A$3:$A$10,0),MATCH($F596,Templates!$B$2:$H$2,0)),IFERROR(INDEX(Settings!$B$8:$B$14,MATCH($F596,Settings!$A$8:$A$14,0)),0)))))</f>
        <v/>
      </c>
      <c r="J596" s="21">
        <f>IF($C596="",0,IFERROR(INDEX(Deals!$H$2:$H$355,MATCH($C596,Deals!$A$2:$A$355,0)),0))</f>
        <v/>
      </c>
      <c r="K596" s="32">
        <f>IF(Settings!$B$4="Yes",$I596*$J596,$I596)</f>
        <v/>
      </c>
      <c r="L596" s="22">
        <f>IF($C596="","",IFERROR(IF(INDEX(Deals!$I$2:$I$355,MATCH($C596,Deals!$A$2:$A$355,0))=0,"",INDEX(Deals!$I$2:$I$355,MATCH($C596,Deals!$A$2:$A$355,0))),""))</f>
        <v/>
      </c>
      <c r="M596" s="22">
        <f>IF($C596="","",IFERROR(IF(INDEX(Deals!$J$2:$J$355,MATCH($C596,Deals!$A$2:$A$355,0))=0,"",INDEX(Deals!$J$2:$J$355,MATCH($C596,Deals!$A$2:$A$355,0))),""))</f>
        <v/>
      </c>
      <c r="N596" s="35">
        <f>IF($L596="",DATE(1900,1,1),$L596)</f>
        <v/>
      </c>
      <c r="O596" s="35">
        <f>IF($M596="",DATE(2100,12,31),$M596)</f>
        <v/>
      </c>
      <c r="P596" s="20" t="inlineStr"/>
      <c r="Q596" s="47" t="inlineStr"/>
      <c r="R596" s="16">
        <f>IF($C596="","",IFERROR(IF(INDEX(Deals!$U$2:$U$355,MATCH($C596,Deals!$A$2:$A$355,0))=0,"",INDEX(Deals!$U$2:$U$355,MATCH($C596,Deals!$A$2:$A$355,0))),""))</f>
        <v/>
      </c>
      <c r="S596" s="34">
        <f>IFERROR(IF($U596="",1,INDEX(Deals!$V$2:$V$355,MATCH($C596,Deals!$A$2:$A$355,0))),1)</f>
        <v/>
      </c>
      <c r="T596" s="34">
        <f>IFERROR(IF($U596="",1,INDEX(Deals!$W$2:$W$355,MATCH($C596,Deals!$A$2:$A$355,0))),1)</f>
        <v/>
      </c>
      <c r="U596" s="22">
        <f>IF($C596="","",IFERROR(IF(INDEX(Deals!$Y$2:$Y$355,MATCH($C596,Deals!$A$2:$A$355,0))=0,"",INDEX(Deals!$Y$2:$Y$355,MATCH($C596,Deals!$A$2:$A$355,0))),""))</f>
        <v/>
      </c>
      <c r="V596" s="35">
        <f>IF(OR($U596&lt;&gt;"",AND($AO596&gt;0,$L596&lt;&gt;"",$M596&lt;&gt;"")),$N596,DATE(1900,1,1))</f>
        <v/>
      </c>
      <c r="W596" s="35">
        <f>IF($U596&lt;&gt;"",$U596,IF(AND($AO596&gt;0,$L596&lt;&gt;"",$M596&lt;&gt;""),$O596,DATE(2100,12,31)))</f>
        <v/>
      </c>
      <c r="X596" s="32">
        <f>IF($U596="",$K596,$K596*$S596)</f>
        <v/>
      </c>
      <c r="Y596" s="35">
        <f>IF($U596="",DATE(2100,12,31),$U596+1)</f>
        <v/>
      </c>
      <c r="Z596" s="35">
        <f>IF($U596="",DATE(1900,1,1),$O596)</f>
        <v/>
      </c>
      <c r="AA596" s="32">
        <f>IF($U596="",0,$K596*$T596)</f>
        <v/>
      </c>
      <c r="AB596" s="21">
        <f>IF($C596="",0,IFERROR(INDEX(Deals!$AD$2:$AD$355,MATCH($C596,Deals!$A$2:$A$355,0)),0))</f>
        <v/>
      </c>
      <c r="AC596" s="32">
        <f>IF(Settings!$B$4="Yes",$I596*$AB596,$I596)</f>
        <v/>
      </c>
      <c r="AD596" s="22">
        <f>IF($C596="","",IFERROR(IF(INDEX(Deals!$AE$2:$AE$355,MATCH($C596,Deals!$A$2:$A$355,0))=0,"",INDEX(Deals!$AE$2:$AE$355,MATCH($C596,Deals!$A$2:$A$355,0))),""))</f>
        <v/>
      </c>
      <c r="AE596" s="22">
        <f>IF($C596="","",IFERROR(IF(INDEX(Deals!$AF$2:$AF$355,MATCH($C596,Deals!$A$2:$A$355,0))=0,"",INDEX(Deals!$AF$2:$AF$355,MATCH($C596,Deals!$A$2:$A$355,0))),""))</f>
        <v/>
      </c>
      <c r="AF596" s="35">
        <f>IF($AD596="",DATE(1900,1,1),$AD596)</f>
        <v/>
      </c>
      <c r="AG596" s="35">
        <f>IF($AE596="",DATE(2100,12,31),$AE596)</f>
        <v/>
      </c>
      <c r="AH596" s="22">
        <f>IF($C596="","",IFERROR(IF(INDEX(Deals!$AG$2:$AG$355,MATCH($C596,Deals!$A$2:$A$355,0))=0,"",INDEX(Deals!$AG$2:$AG$355,MATCH($C596,Deals!$A$2:$A$355,0))),""))</f>
        <v/>
      </c>
      <c r="AI596" s="35">
        <f>IF(OR($AH596&lt;&gt;"",AND($AO596&gt;0,$AD596&lt;&gt;"",$AE596&lt;&gt;"")),$AF596,DATE(1900,1,1))</f>
        <v/>
      </c>
      <c r="AJ596" s="35">
        <f>IF($AH596&lt;&gt;"",$AH596,IF(AND($AO596&gt;0,$AD596&lt;&gt;"",$AE596&lt;&gt;""),$AG596,DATE(2100,12,31)))</f>
        <v/>
      </c>
      <c r="AK596" s="32">
        <f>IF($AH596="",$AC596,$AC596*$S596)</f>
        <v/>
      </c>
      <c r="AL596" s="35">
        <f>IF($AH596="",DATE(2100,12,31),$AH596+1)</f>
        <v/>
      </c>
      <c r="AM596" s="35">
        <f>IF($AH596="",DATE(1900,1,1),$AG596)</f>
        <v/>
      </c>
      <c r="AN596" s="32">
        <f>IF($AH596="",0,$AC596*$T596)</f>
        <v/>
      </c>
      <c r="AO596" s="46">
        <f>IF($C596="",0,IFERROR(INDEX(Deals!$BD$2:$BD$355,MATCH($C596,Deals!$A$2:$A$355,0)),0))</f>
        <v/>
      </c>
      <c r="AP596" s="18">
        <f>IF($AO596=0,0,IFERROR(INDEX(Deals!$BJ$2:$BP$355,MATCH($C596,Deals!$A$2:$A$355,0),MATCH($F596,Deals!$BJ$1:$BP$1,0))/COUNTIFS(Assignments!$C$2:$C$769,$C596,Assignments!$F$2:$F$769,$F596,Assignments!$G$2:$G$769,"Active"),0))</f>
        <v/>
      </c>
    </row>
    <row r="597">
      <c r="A597" s="28" t="inlineStr">
        <is>
          <t>Yiyi</t>
        </is>
      </c>
      <c r="B597" s="16">
        <f>IF($A597="","",IFERROR(INDEX(Roster!$B$2:$B$40,MATCH($A597,Roster!$A$2:$A$40,0)),"?"))</f>
        <v/>
      </c>
      <c r="C597" s="28" t="inlineStr">
        <is>
          <t>DIF Twister_2</t>
        </is>
      </c>
      <c r="D597" s="16">
        <f>IF($C597="","",IFERROR(IF(INDEX(Deals!$C$2:$C$355,MATCH($C597,Deals!$A$2:$A$355,0))=0,"",INDEX(Deals!$C$2:$C$355,MATCH($C597,Deals!$A$2:$A$355,0))),"?"))</f>
        <v/>
      </c>
      <c r="E597" s="16">
        <f>IF($C597="","",IFERROR(INDEX(Deals!$F$2:$F$355,MATCH($C597,Deals!$A$2:$A$355,0)),"?"))</f>
        <v/>
      </c>
      <c r="F597" s="28" t="inlineStr">
        <is>
          <t>Renewable Specialist</t>
        </is>
      </c>
      <c r="G597" s="28" t="inlineStr">
        <is>
          <t>Active</t>
        </is>
      </c>
      <c r="H597" s="31" t="n"/>
      <c r="I597" s="32">
        <f>IF(OR($A597="",$G597&lt;&gt;"Active"),0,IF($H597&lt;&gt;"",$H597,IF($AO597&gt;0,$AP597,IF(AND($R597&lt;&gt;"",IFERROR(INDEX(Templates!$B$3:$H$10,MATCH($R597,Templates!$A$3:$A$10,0),MATCH($F597,Templates!$B$2:$H$2,0)),0)&gt;0),INDEX(Templates!$B$3:$H$10,MATCH($R597,Templates!$A$3:$A$10,0),MATCH($F597,Templates!$B$2:$H$2,0)),IFERROR(INDEX(Settings!$B$8:$B$14,MATCH($F597,Settings!$A$8:$A$14,0)),0)))))</f>
        <v/>
      </c>
      <c r="J597" s="21">
        <f>IF($C597="",0,IFERROR(INDEX(Deals!$H$2:$H$355,MATCH($C597,Deals!$A$2:$A$355,0)),0))</f>
        <v/>
      </c>
      <c r="K597" s="32">
        <f>IF(Settings!$B$4="Yes",$I597*$J597,$I597)</f>
        <v/>
      </c>
      <c r="L597" s="22">
        <f>IF($C597="","",IFERROR(IF(INDEX(Deals!$I$2:$I$355,MATCH($C597,Deals!$A$2:$A$355,0))=0,"",INDEX(Deals!$I$2:$I$355,MATCH($C597,Deals!$A$2:$A$355,0))),""))</f>
        <v/>
      </c>
      <c r="M597" s="22">
        <f>IF($C597="","",IFERROR(IF(INDEX(Deals!$J$2:$J$355,MATCH($C597,Deals!$A$2:$A$355,0))=0,"",INDEX(Deals!$J$2:$J$355,MATCH($C597,Deals!$A$2:$A$355,0))),""))</f>
        <v/>
      </c>
      <c r="N597" s="35">
        <f>IF($L597="",DATE(1900,1,1),$L597)</f>
        <v/>
      </c>
      <c r="O597" s="35">
        <f>IF($M597="",DATE(2100,12,31),$M597)</f>
        <v/>
      </c>
      <c r="P597" s="20" t="inlineStr"/>
      <c r="Q597" s="47" t="inlineStr"/>
      <c r="R597" s="16">
        <f>IF($C597="","",IFERROR(IF(INDEX(Deals!$U$2:$U$355,MATCH($C597,Deals!$A$2:$A$355,0))=0,"",INDEX(Deals!$U$2:$U$355,MATCH($C597,Deals!$A$2:$A$355,0))),""))</f>
        <v/>
      </c>
      <c r="S597" s="34">
        <f>IFERROR(IF($U597="",1,INDEX(Deals!$V$2:$V$355,MATCH($C597,Deals!$A$2:$A$355,0))),1)</f>
        <v/>
      </c>
      <c r="T597" s="34">
        <f>IFERROR(IF($U597="",1,INDEX(Deals!$W$2:$W$355,MATCH($C597,Deals!$A$2:$A$355,0))),1)</f>
        <v/>
      </c>
      <c r="U597" s="22">
        <f>IF($C597="","",IFERROR(IF(INDEX(Deals!$Y$2:$Y$355,MATCH($C597,Deals!$A$2:$A$355,0))=0,"",INDEX(Deals!$Y$2:$Y$355,MATCH($C597,Deals!$A$2:$A$355,0))),""))</f>
        <v/>
      </c>
      <c r="V597" s="35">
        <f>IF(OR($U597&lt;&gt;"",AND($AO597&gt;0,$L597&lt;&gt;"",$M597&lt;&gt;"")),$N597,DATE(1900,1,1))</f>
        <v/>
      </c>
      <c r="W597" s="35">
        <f>IF($U597&lt;&gt;"",$U597,IF(AND($AO597&gt;0,$L597&lt;&gt;"",$M597&lt;&gt;""),$O597,DATE(2100,12,31)))</f>
        <v/>
      </c>
      <c r="X597" s="32">
        <f>IF($U597="",$K597,$K597*$S597)</f>
        <v/>
      </c>
      <c r="Y597" s="35">
        <f>IF($U597="",DATE(2100,12,31),$U597+1)</f>
        <v/>
      </c>
      <c r="Z597" s="35">
        <f>IF($U597="",DATE(1900,1,1),$O597)</f>
        <v/>
      </c>
      <c r="AA597" s="32">
        <f>IF($U597="",0,$K597*$T597)</f>
        <v/>
      </c>
      <c r="AB597" s="21">
        <f>IF($C597="",0,IFERROR(INDEX(Deals!$AD$2:$AD$355,MATCH($C597,Deals!$A$2:$A$355,0)),0))</f>
        <v/>
      </c>
      <c r="AC597" s="32">
        <f>IF(Settings!$B$4="Yes",$I597*$AB597,$I597)</f>
        <v/>
      </c>
      <c r="AD597" s="22">
        <f>IF($C597="","",IFERROR(IF(INDEX(Deals!$AE$2:$AE$355,MATCH($C597,Deals!$A$2:$A$355,0))=0,"",INDEX(Deals!$AE$2:$AE$355,MATCH($C597,Deals!$A$2:$A$355,0))),""))</f>
        <v/>
      </c>
      <c r="AE597" s="22">
        <f>IF($C597="","",IFERROR(IF(INDEX(Deals!$AF$2:$AF$355,MATCH($C597,Deals!$A$2:$A$355,0))=0,"",INDEX(Deals!$AF$2:$AF$355,MATCH($C597,Deals!$A$2:$A$355,0))),""))</f>
        <v/>
      </c>
      <c r="AF597" s="35">
        <f>IF($AD597="",DATE(1900,1,1),$AD597)</f>
        <v/>
      </c>
      <c r="AG597" s="35">
        <f>IF($AE597="",DATE(2100,12,31),$AE597)</f>
        <v/>
      </c>
      <c r="AH597" s="22">
        <f>IF($C597="","",IFERROR(IF(INDEX(Deals!$AG$2:$AG$355,MATCH($C597,Deals!$A$2:$A$355,0))=0,"",INDEX(Deals!$AG$2:$AG$355,MATCH($C597,Deals!$A$2:$A$355,0))),""))</f>
        <v/>
      </c>
      <c r="AI597" s="35">
        <f>IF(OR($AH597&lt;&gt;"",AND($AO597&gt;0,$AD597&lt;&gt;"",$AE597&lt;&gt;"")),$AF597,DATE(1900,1,1))</f>
        <v/>
      </c>
      <c r="AJ597" s="35">
        <f>IF($AH597&lt;&gt;"",$AH597,IF(AND($AO597&gt;0,$AD597&lt;&gt;"",$AE597&lt;&gt;""),$AG597,DATE(2100,12,31)))</f>
        <v/>
      </c>
      <c r="AK597" s="32">
        <f>IF($AH597="",$AC597,$AC597*$S597)</f>
        <v/>
      </c>
      <c r="AL597" s="35">
        <f>IF($AH597="",DATE(2100,12,31),$AH597+1)</f>
        <v/>
      </c>
      <c r="AM597" s="35">
        <f>IF($AH597="",DATE(1900,1,1),$AG597)</f>
        <v/>
      </c>
      <c r="AN597" s="32">
        <f>IF($AH597="",0,$AC597*$T597)</f>
        <v/>
      </c>
      <c r="AO597" s="46">
        <f>IF($C597="",0,IFERROR(INDEX(Deals!$BD$2:$BD$355,MATCH($C597,Deals!$A$2:$A$355,0)),0))</f>
        <v/>
      </c>
      <c r="AP597" s="18">
        <f>IF($AO597=0,0,IFERROR(INDEX(Deals!$BJ$2:$BP$355,MATCH($C597,Deals!$A$2:$A$355,0),MATCH($F597,Deals!$BJ$1:$BP$1,0))/COUNTIFS(Assignments!$C$2:$C$769,$C597,Assignments!$F$2:$F$769,$F597,Assignments!$G$2:$G$769,"Active"),0))</f>
        <v/>
      </c>
    </row>
    <row r="598">
      <c r="A598" s="28" t="inlineStr">
        <is>
          <t>Yiyi</t>
        </is>
      </c>
      <c r="B598" s="16">
        <f>IF($A598="","",IFERROR(INDEX(Roster!$B$2:$B$40,MATCH($A598,Roster!$A$2:$A$40,0)),"?"))</f>
        <v/>
      </c>
      <c r="C598" s="28" t="inlineStr">
        <is>
          <t>Doc_1</t>
        </is>
      </c>
      <c r="D598" s="16">
        <f>IF($C598="","",IFERROR(IF(INDEX(Deals!$C$2:$C$355,MATCH($C598,Deals!$A$2:$A$355,0))=0,"",INDEX(Deals!$C$2:$C$355,MATCH($C598,Deals!$A$2:$A$355,0))),"?"))</f>
        <v/>
      </c>
      <c r="E598" s="16">
        <f>IF($C598="","",IFERROR(INDEX(Deals!$F$2:$F$355,MATCH($C598,Deals!$A$2:$A$355,0)),"?"))</f>
        <v/>
      </c>
      <c r="F598" s="28" t="inlineStr">
        <is>
          <t>Renewable Specialist</t>
        </is>
      </c>
      <c r="G598" s="28" t="inlineStr">
        <is>
          <t>Active</t>
        </is>
      </c>
      <c r="H598" s="31" t="n"/>
      <c r="I598" s="32">
        <f>IF(OR($A598="",$G598&lt;&gt;"Active"),0,IF($H598&lt;&gt;"",$H598,IF($AO598&gt;0,$AP598,IF(AND($R598&lt;&gt;"",IFERROR(INDEX(Templates!$B$3:$H$10,MATCH($R598,Templates!$A$3:$A$10,0),MATCH($F598,Templates!$B$2:$H$2,0)),0)&gt;0),INDEX(Templates!$B$3:$H$10,MATCH($R598,Templates!$A$3:$A$10,0),MATCH($F598,Templates!$B$2:$H$2,0)),IFERROR(INDEX(Settings!$B$8:$B$14,MATCH($F598,Settings!$A$8:$A$14,0)),0)))))</f>
        <v/>
      </c>
      <c r="J598" s="21">
        <f>IF($C598="",0,IFERROR(INDEX(Deals!$H$2:$H$355,MATCH($C598,Deals!$A$2:$A$355,0)),0))</f>
        <v/>
      </c>
      <c r="K598" s="32">
        <f>IF(Settings!$B$4="Yes",$I598*$J598,$I598)</f>
        <v/>
      </c>
      <c r="L598" s="22">
        <f>IF($C598="","",IFERROR(IF(INDEX(Deals!$I$2:$I$355,MATCH($C598,Deals!$A$2:$A$355,0))=0,"",INDEX(Deals!$I$2:$I$355,MATCH($C598,Deals!$A$2:$A$355,0))),""))</f>
        <v/>
      </c>
      <c r="M598" s="22">
        <f>IF($C598="","",IFERROR(IF(INDEX(Deals!$J$2:$J$355,MATCH($C598,Deals!$A$2:$A$355,0))=0,"",INDEX(Deals!$J$2:$J$355,MATCH($C598,Deals!$A$2:$A$355,0))),""))</f>
        <v/>
      </c>
      <c r="N598" s="35">
        <f>IF($L598="",DATE(1900,1,1),$L598)</f>
        <v/>
      </c>
      <c r="O598" s="35">
        <f>IF($M598="",DATE(2100,12,31),$M598)</f>
        <v/>
      </c>
      <c r="P598" s="20" t="inlineStr"/>
      <c r="Q598" s="47" t="inlineStr"/>
      <c r="R598" s="16">
        <f>IF($C598="","",IFERROR(IF(INDEX(Deals!$U$2:$U$355,MATCH($C598,Deals!$A$2:$A$355,0))=0,"",INDEX(Deals!$U$2:$U$355,MATCH($C598,Deals!$A$2:$A$355,0))),""))</f>
        <v/>
      </c>
      <c r="S598" s="34">
        <f>IFERROR(IF($U598="",1,INDEX(Deals!$V$2:$V$355,MATCH($C598,Deals!$A$2:$A$355,0))),1)</f>
        <v/>
      </c>
      <c r="T598" s="34">
        <f>IFERROR(IF($U598="",1,INDEX(Deals!$W$2:$W$355,MATCH($C598,Deals!$A$2:$A$355,0))),1)</f>
        <v/>
      </c>
      <c r="U598" s="22">
        <f>IF($C598="","",IFERROR(IF(INDEX(Deals!$Y$2:$Y$355,MATCH($C598,Deals!$A$2:$A$355,0))=0,"",INDEX(Deals!$Y$2:$Y$355,MATCH($C598,Deals!$A$2:$A$355,0))),""))</f>
        <v/>
      </c>
      <c r="V598" s="35">
        <f>IF(OR($U598&lt;&gt;"",AND($AO598&gt;0,$L598&lt;&gt;"",$M598&lt;&gt;"")),$N598,DATE(1900,1,1))</f>
        <v/>
      </c>
      <c r="W598" s="35">
        <f>IF($U598&lt;&gt;"",$U598,IF(AND($AO598&gt;0,$L598&lt;&gt;"",$M598&lt;&gt;""),$O598,DATE(2100,12,31)))</f>
        <v/>
      </c>
      <c r="X598" s="32">
        <f>IF($U598="",$K598,$K598*$S598)</f>
        <v/>
      </c>
      <c r="Y598" s="35">
        <f>IF($U598="",DATE(2100,12,31),$U598+1)</f>
        <v/>
      </c>
      <c r="Z598" s="35">
        <f>IF($U598="",DATE(1900,1,1),$O598)</f>
        <v/>
      </c>
      <c r="AA598" s="32">
        <f>IF($U598="",0,$K598*$T598)</f>
        <v/>
      </c>
      <c r="AB598" s="21">
        <f>IF($C598="",0,IFERROR(INDEX(Deals!$AD$2:$AD$355,MATCH($C598,Deals!$A$2:$A$355,0)),0))</f>
        <v/>
      </c>
      <c r="AC598" s="32">
        <f>IF(Settings!$B$4="Yes",$I598*$AB598,$I598)</f>
        <v/>
      </c>
      <c r="AD598" s="22">
        <f>IF($C598="","",IFERROR(IF(INDEX(Deals!$AE$2:$AE$355,MATCH($C598,Deals!$A$2:$A$355,0))=0,"",INDEX(Deals!$AE$2:$AE$355,MATCH($C598,Deals!$A$2:$A$355,0))),""))</f>
        <v/>
      </c>
      <c r="AE598" s="22">
        <f>IF($C598="","",IFERROR(IF(INDEX(Deals!$AF$2:$AF$355,MATCH($C598,Deals!$A$2:$A$355,0))=0,"",INDEX(Deals!$AF$2:$AF$355,MATCH($C598,Deals!$A$2:$A$355,0))),""))</f>
        <v/>
      </c>
      <c r="AF598" s="35">
        <f>IF($AD598="",DATE(1900,1,1),$AD598)</f>
        <v/>
      </c>
      <c r="AG598" s="35">
        <f>IF($AE598="",DATE(2100,12,31),$AE598)</f>
        <v/>
      </c>
      <c r="AH598" s="22">
        <f>IF($C598="","",IFERROR(IF(INDEX(Deals!$AG$2:$AG$355,MATCH($C598,Deals!$A$2:$A$355,0))=0,"",INDEX(Deals!$AG$2:$AG$355,MATCH($C598,Deals!$A$2:$A$355,0))),""))</f>
        <v/>
      </c>
      <c r="AI598" s="35">
        <f>IF(OR($AH598&lt;&gt;"",AND($AO598&gt;0,$AD598&lt;&gt;"",$AE598&lt;&gt;"")),$AF598,DATE(1900,1,1))</f>
        <v/>
      </c>
      <c r="AJ598" s="35">
        <f>IF($AH598&lt;&gt;"",$AH598,IF(AND($AO598&gt;0,$AD598&lt;&gt;"",$AE598&lt;&gt;""),$AG598,DATE(2100,12,31)))</f>
        <v/>
      </c>
      <c r="AK598" s="32">
        <f>IF($AH598="",$AC598,$AC598*$S598)</f>
        <v/>
      </c>
      <c r="AL598" s="35">
        <f>IF($AH598="",DATE(2100,12,31),$AH598+1)</f>
        <v/>
      </c>
      <c r="AM598" s="35">
        <f>IF($AH598="",DATE(1900,1,1),$AG598)</f>
        <v/>
      </c>
      <c r="AN598" s="32">
        <f>IF($AH598="",0,$AC598*$T598)</f>
        <v/>
      </c>
      <c r="AO598" s="46">
        <f>IF($C598="",0,IFERROR(INDEX(Deals!$BD$2:$BD$355,MATCH($C598,Deals!$A$2:$A$355,0)),0))</f>
        <v/>
      </c>
      <c r="AP598" s="18">
        <f>IF($AO598=0,0,IFERROR(INDEX(Deals!$BJ$2:$BP$355,MATCH($C598,Deals!$A$2:$A$355,0),MATCH($F598,Deals!$BJ$1:$BP$1,0))/COUNTIFS(Assignments!$C$2:$C$769,$C598,Assignments!$F$2:$F$769,$F598,Assignments!$G$2:$G$769,"Active"),0))</f>
        <v/>
      </c>
    </row>
    <row r="599">
      <c r="A599" s="28" t="inlineStr">
        <is>
          <t>Yiyi</t>
        </is>
      </c>
      <c r="B599" s="16">
        <f>IF($A599="","",IFERROR(INDEX(Roster!$B$2:$B$40,MATCH($A599,Roster!$A$2:$A$40,0)),"?"))</f>
        <v/>
      </c>
      <c r="C599" s="28" t="inlineStr">
        <is>
          <t>Eagle_7</t>
        </is>
      </c>
      <c r="D599" s="16">
        <f>IF($C599="","",IFERROR(IF(INDEX(Deals!$C$2:$C$355,MATCH($C599,Deals!$A$2:$A$355,0))=0,"",INDEX(Deals!$C$2:$C$355,MATCH($C599,Deals!$A$2:$A$355,0))),"?"))</f>
        <v/>
      </c>
      <c r="E599" s="16">
        <f>IF($C599="","",IFERROR(INDEX(Deals!$F$2:$F$355,MATCH($C599,Deals!$A$2:$A$355,0)),"?"))</f>
        <v/>
      </c>
      <c r="F599" s="28" t="inlineStr">
        <is>
          <t>Renewable Specialist</t>
        </is>
      </c>
      <c r="G599" s="28" t="inlineStr">
        <is>
          <t>Active</t>
        </is>
      </c>
      <c r="H599" s="31" t="n"/>
      <c r="I599" s="32">
        <f>IF(OR($A599="",$G599&lt;&gt;"Active"),0,IF($H599&lt;&gt;"",$H599,IF($AO599&gt;0,$AP599,IF(AND($R599&lt;&gt;"",IFERROR(INDEX(Templates!$B$3:$H$10,MATCH($R599,Templates!$A$3:$A$10,0),MATCH($F599,Templates!$B$2:$H$2,0)),0)&gt;0),INDEX(Templates!$B$3:$H$10,MATCH($R599,Templates!$A$3:$A$10,0),MATCH($F599,Templates!$B$2:$H$2,0)),IFERROR(INDEX(Settings!$B$8:$B$14,MATCH($F599,Settings!$A$8:$A$14,0)),0)))))</f>
        <v/>
      </c>
      <c r="J599" s="21">
        <f>IF($C599="",0,IFERROR(INDEX(Deals!$H$2:$H$355,MATCH($C599,Deals!$A$2:$A$355,0)),0))</f>
        <v/>
      </c>
      <c r="K599" s="32">
        <f>IF(Settings!$B$4="Yes",$I599*$J599,$I599)</f>
        <v/>
      </c>
      <c r="L599" s="22">
        <f>IF($C599="","",IFERROR(IF(INDEX(Deals!$I$2:$I$355,MATCH($C599,Deals!$A$2:$A$355,0))=0,"",INDEX(Deals!$I$2:$I$355,MATCH($C599,Deals!$A$2:$A$355,0))),""))</f>
        <v/>
      </c>
      <c r="M599" s="22">
        <f>IF($C599="","",IFERROR(IF(INDEX(Deals!$J$2:$J$355,MATCH($C599,Deals!$A$2:$A$355,0))=0,"",INDEX(Deals!$J$2:$J$355,MATCH($C599,Deals!$A$2:$A$355,0))),""))</f>
        <v/>
      </c>
      <c r="N599" s="35">
        <f>IF($L599="",DATE(1900,1,1),$L599)</f>
        <v/>
      </c>
      <c r="O599" s="35">
        <f>IF($M599="",DATE(2100,12,31),$M599)</f>
        <v/>
      </c>
      <c r="P599" s="20" t="inlineStr"/>
      <c r="Q599" s="47" t="inlineStr"/>
      <c r="R599" s="16">
        <f>IF($C599="","",IFERROR(IF(INDEX(Deals!$U$2:$U$355,MATCH($C599,Deals!$A$2:$A$355,0))=0,"",INDEX(Deals!$U$2:$U$355,MATCH($C599,Deals!$A$2:$A$355,0))),""))</f>
        <v/>
      </c>
      <c r="S599" s="34">
        <f>IFERROR(IF($U599="",1,INDEX(Deals!$V$2:$V$355,MATCH($C599,Deals!$A$2:$A$355,0))),1)</f>
        <v/>
      </c>
      <c r="T599" s="34">
        <f>IFERROR(IF($U599="",1,INDEX(Deals!$W$2:$W$355,MATCH($C599,Deals!$A$2:$A$355,0))),1)</f>
        <v/>
      </c>
      <c r="U599" s="22">
        <f>IF($C599="","",IFERROR(IF(INDEX(Deals!$Y$2:$Y$355,MATCH($C599,Deals!$A$2:$A$355,0))=0,"",INDEX(Deals!$Y$2:$Y$355,MATCH($C599,Deals!$A$2:$A$355,0))),""))</f>
        <v/>
      </c>
      <c r="V599" s="35">
        <f>IF(OR($U599&lt;&gt;"",AND($AO599&gt;0,$L599&lt;&gt;"",$M599&lt;&gt;"")),$N599,DATE(1900,1,1))</f>
        <v/>
      </c>
      <c r="W599" s="35">
        <f>IF($U599&lt;&gt;"",$U599,IF(AND($AO599&gt;0,$L599&lt;&gt;"",$M599&lt;&gt;""),$O599,DATE(2100,12,31)))</f>
        <v/>
      </c>
      <c r="X599" s="32">
        <f>IF($U599="",$K599,$K599*$S599)</f>
        <v/>
      </c>
      <c r="Y599" s="35">
        <f>IF($U599="",DATE(2100,12,31),$U599+1)</f>
        <v/>
      </c>
      <c r="Z599" s="35">
        <f>IF($U599="",DATE(1900,1,1),$O599)</f>
        <v/>
      </c>
      <c r="AA599" s="32">
        <f>IF($U599="",0,$K599*$T599)</f>
        <v/>
      </c>
      <c r="AB599" s="21">
        <f>IF($C599="",0,IFERROR(INDEX(Deals!$AD$2:$AD$355,MATCH($C599,Deals!$A$2:$A$355,0)),0))</f>
        <v/>
      </c>
      <c r="AC599" s="32">
        <f>IF(Settings!$B$4="Yes",$I599*$AB599,$I599)</f>
        <v/>
      </c>
      <c r="AD599" s="22">
        <f>IF($C599="","",IFERROR(IF(INDEX(Deals!$AE$2:$AE$355,MATCH($C599,Deals!$A$2:$A$355,0))=0,"",INDEX(Deals!$AE$2:$AE$355,MATCH($C599,Deals!$A$2:$A$355,0))),""))</f>
        <v/>
      </c>
      <c r="AE599" s="22">
        <f>IF($C599="","",IFERROR(IF(INDEX(Deals!$AF$2:$AF$355,MATCH($C599,Deals!$A$2:$A$355,0))=0,"",INDEX(Deals!$AF$2:$AF$355,MATCH($C599,Deals!$A$2:$A$355,0))),""))</f>
        <v/>
      </c>
      <c r="AF599" s="35">
        <f>IF($AD599="",DATE(1900,1,1),$AD599)</f>
        <v/>
      </c>
      <c r="AG599" s="35">
        <f>IF($AE599="",DATE(2100,12,31),$AE599)</f>
        <v/>
      </c>
      <c r="AH599" s="22">
        <f>IF($C599="","",IFERROR(IF(INDEX(Deals!$AG$2:$AG$355,MATCH($C599,Deals!$A$2:$A$355,0))=0,"",INDEX(Deals!$AG$2:$AG$355,MATCH($C599,Deals!$A$2:$A$355,0))),""))</f>
        <v/>
      </c>
      <c r="AI599" s="35">
        <f>IF(OR($AH599&lt;&gt;"",AND($AO599&gt;0,$AD599&lt;&gt;"",$AE599&lt;&gt;"")),$AF599,DATE(1900,1,1))</f>
        <v/>
      </c>
      <c r="AJ599" s="35">
        <f>IF($AH599&lt;&gt;"",$AH599,IF(AND($AO599&gt;0,$AD599&lt;&gt;"",$AE599&lt;&gt;""),$AG599,DATE(2100,12,31)))</f>
        <v/>
      </c>
      <c r="AK599" s="32">
        <f>IF($AH599="",$AC599,$AC599*$S599)</f>
        <v/>
      </c>
      <c r="AL599" s="35">
        <f>IF($AH599="",DATE(2100,12,31),$AH599+1)</f>
        <v/>
      </c>
      <c r="AM599" s="35">
        <f>IF($AH599="",DATE(1900,1,1),$AG599)</f>
        <v/>
      </c>
      <c r="AN599" s="32">
        <f>IF($AH599="",0,$AC599*$T599)</f>
        <v/>
      </c>
      <c r="AO599" s="46">
        <f>IF($C599="",0,IFERROR(INDEX(Deals!$BD$2:$BD$355,MATCH($C599,Deals!$A$2:$A$355,0)),0))</f>
        <v/>
      </c>
      <c r="AP599" s="18">
        <f>IF($AO599=0,0,IFERROR(INDEX(Deals!$BJ$2:$BP$355,MATCH($C599,Deals!$A$2:$A$355,0),MATCH($F599,Deals!$BJ$1:$BP$1,0))/COUNTIFS(Assignments!$C$2:$C$769,$C599,Assignments!$F$2:$F$769,$F599,Assignments!$G$2:$G$769,"Active"),0))</f>
        <v/>
      </c>
    </row>
    <row r="600">
      <c r="A600" s="28" t="inlineStr">
        <is>
          <t>Yiyi</t>
        </is>
      </c>
      <c r="B600" s="16">
        <f>IF($A600="","",IFERROR(INDEX(Roster!$B$2:$B$40,MATCH($A600,Roster!$A$2:$A$40,0)),"?"))</f>
        <v/>
      </c>
      <c r="C600" s="28" t="inlineStr">
        <is>
          <t>Earthshine_2</t>
        </is>
      </c>
      <c r="D600" s="16">
        <f>IF($C600="","",IFERROR(IF(INDEX(Deals!$C$2:$C$355,MATCH($C600,Deals!$A$2:$A$355,0))=0,"",INDEX(Deals!$C$2:$C$355,MATCH($C600,Deals!$A$2:$A$355,0))),"?"))</f>
        <v/>
      </c>
      <c r="E600" s="16">
        <f>IF($C600="","",IFERROR(INDEX(Deals!$F$2:$F$355,MATCH($C600,Deals!$A$2:$A$355,0)),"?"))</f>
        <v/>
      </c>
      <c r="F600" s="28" t="inlineStr">
        <is>
          <t>Renewable Specialist</t>
        </is>
      </c>
      <c r="G600" s="28" t="inlineStr">
        <is>
          <t>Active</t>
        </is>
      </c>
      <c r="H600" s="31" t="n"/>
      <c r="I600" s="32">
        <f>IF(OR($A600="",$G600&lt;&gt;"Active"),0,IF($H600&lt;&gt;"",$H600,IF($AO600&gt;0,$AP600,IF(AND($R600&lt;&gt;"",IFERROR(INDEX(Templates!$B$3:$H$10,MATCH($R600,Templates!$A$3:$A$10,0),MATCH($F600,Templates!$B$2:$H$2,0)),0)&gt;0),INDEX(Templates!$B$3:$H$10,MATCH($R600,Templates!$A$3:$A$10,0),MATCH($F600,Templates!$B$2:$H$2,0)),IFERROR(INDEX(Settings!$B$8:$B$14,MATCH($F600,Settings!$A$8:$A$14,0)),0)))))</f>
        <v/>
      </c>
      <c r="J600" s="21">
        <f>IF($C600="",0,IFERROR(INDEX(Deals!$H$2:$H$355,MATCH($C600,Deals!$A$2:$A$355,0)),0))</f>
        <v/>
      </c>
      <c r="K600" s="32">
        <f>IF(Settings!$B$4="Yes",$I600*$J600,$I600)</f>
        <v/>
      </c>
      <c r="L600" s="22">
        <f>IF($C600="","",IFERROR(IF(INDEX(Deals!$I$2:$I$355,MATCH($C600,Deals!$A$2:$A$355,0))=0,"",INDEX(Deals!$I$2:$I$355,MATCH($C600,Deals!$A$2:$A$355,0))),""))</f>
        <v/>
      </c>
      <c r="M600" s="22">
        <f>IF($C600="","",IFERROR(IF(INDEX(Deals!$J$2:$J$355,MATCH($C600,Deals!$A$2:$A$355,0))=0,"",INDEX(Deals!$J$2:$J$355,MATCH($C600,Deals!$A$2:$A$355,0))),""))</f>
        <v/>
      </c>
      <c r="N600" s="35">
        <f>IF($L600="",DATE(1900,1,1),$L600)</f>
        <v/>
      </c>
      <c r="O600" s="35">
        <f>IF($M600="",DATE(2100,12,31),$M600)</f>
        <v/>
      </c>
      <c r="P600" s="20" t="inlineStr"/>
      <c r="Q600" s="47" t="inlineStr"/>
      <c r="R600" s="16">
        <f>IF($C600="","",IFERROR(IF(INDEX(Deals!$U$2:$U$355,MATCH($C600,Deals!$A$2:$A$355,0))=0,"",INDEX(Deals!$U$2:$U$355,MATCH($C600,Deals!$A$2:$A$355,0))),""))</f>
        <v/>
      </c>
      <c r="S600" s="34">
        <f>IFERROR(IF($U600="",1,INDEX(Deals!$V$2:$V$355,MATCH($C600,Deals!$A$2:$A$355,0))),1)</f>
        <v/>
      </c>
      <c r="T600" s="34">
        <f>IFERROR(IF($U600="",1,INDEX(Deals!$W$2:$W$355,MATCH($C600,Deals!$A$2:$A$355,0))),1)</f>
        <v/>
      </c>
      <c r="U600" s="22">
        <f>IF($C600="","",IFERROR(IF(INDEX(Deals!$Y$2:$Y$355,MATCH($C600,Deals!$A$2:$A$355,0))=0,"",INDEX(Deals!$Y$2:$Y$355,MATCH($C600,Deals!$A$2:$A$355,0))),""))</f>
        <v/>
      </c>
      <c r="V600" s="35">
        <f>IF(OR($U600&lt;&gt;"",AND($AO600&gt;0,$L600&lt;&gt;"",$M600&lt;&gt;"")),$N600,DATE(1900,1,1))</f>
        <v/>
      </c>
      <c r="W600" s="35">
        <f>IF($U600&lt;&gt;"",$U600,IF(AND($AO600&gt;0,$L600&lt;&gt;"",$M600&lt;&gt;""),$O600,DATE(2100,12,31)))</f>
        <v/>
      </c>
      <c r="X600" s="32">
        <f>IF($U600="",$K600,$K600*$S600)</f>
        <v/>
      </c>
      <c r="Y600" s="35">
        <f>IF($U600="",DATE(2100,12,31),$U600+1)</f>
        <v/>
      </c>
      <c r="Z600" s="35">
        <f>IF($U600="",DATE(1900,1,1),$O600)</f>
        <v/>
      </c>
      <c r="AA600" s="32">
        <f>IF($U600="",0,$K600*$T600)</f>
        <v/>
      </c>
      <c r="AB600" s="21">
        <f>IF($C600="",0,IFERROR(INDEX(Deals!$AD$2:$AD$355,MATCH($C600,Deals!$A$2:$A$355,0)),0))</f>
        <v/>
      </c>
      <c r="AC600" s="32">
        <f>IF(Settings!$B$4="Yes",$I600*$AB600,$I600)</f>
        <v/>
      </c>
      <c r="AD600" s="22">
        <f>IF($C600="","",IFERROR(IF(INDEX(Deals!$AE$2:$AE$355,MATCH($C600,Deals!$A$2:$A$355,0))=0,"",INDEX(Deals!$AE$2:$AE$355,MATCH($C600,Deals!$A$2:$A$355,0))),""))</f>
        <v/>
      </c>
      <c r="AE600" s="22">
        <f>IF($C600="","",IFERROR(IF(INDEX(Deals!$AF$2:$AF$355,MATCH($C600,Deals!$A$2:$A$355,0))=0,"",INDEX(Deals!$AF$2:$AF$355,MATCH($C600,Deals!$A$2:$A$355,0))),""))</f>
        <v/>
      </c>
      <c r="AF600" s="35">
        <f>IF($AD600="",DATE(1900,1,1),$AD600)</f>
        <v/>
      </c>
      <c r="AG600" s="35">
        <f>IF($AE600="",DATE(2100,12,31),$AE600)</f>
        <v/>
      </c>
      <c r="AH600" s="22">
        <f>IF($C600="","",IFERROR(IF(INDEX(Deals!$AG$2:$AG$355,MATCH($C600,Deals!$A$2:$A$355,0))=0,"",INDEX(Deals!$AG$2:$AG$355,MATCH($C600,Deals!$A$2:$A$355,0))),""))</f>
        <v/>
      </c>
      <c r="AI600" s="35">
        <f>IF(OR($AH600&lt;&gt;"",AND($AO600&gt;0,$AD600&lt;&gt;"",$AE600&lt;&gt;"")),$AF600,DATE(1900,1,1))</f>
        <v/>
      </c>
      <c r="AJ600" s="35">
        <f>IF($AH600&lt;&gt;"",$AH600,IF(AND($AO600&gt;0,$AD600&lt;&gt;"",$AE600&lt;&gt;""),$AG600,DATE(2100,12,31)))</f>
        <v/>
      </c>
      <c r="AK600" s="32">
        <f>IF($AH600="",$AC600,$AC600*$S600)</f>
        <v/>
      </c>
      <c r="AL600" s="35">
        <f>IF($AH600="",DATE(2100,12,31),$AH600+1)</f>
        <v/>
      </c>
      <c r="AM600" s="35">
        <f>IF($AH600="",DATE(1900,1,1),$AG600)</f>
        <v/>
      </c>
      <c r="AN600" s="32">
        <f>IF($AH600="",0,$AC600*$T600)</f>
        <v/>
      </c>
      <c r="AO600" s="46">
        <f>IF($C600="",0,IFERROR(INDEX(Deals!$BD$2:$BD$355,MATCH($C600,Deals!$A$2:$A$355,0)),0))</f>
        <v/>
      </c>
      <c r="AP600" s="18">
        <f>IF($AO600=0,0,IFERROR(INDEX(Deals!$BJ$2:$BP$355,MATCH($C600,Deals!$A$2:$A$355,0),MATCH($F600,Deals!$BJ$1:$BP$1,0))/COUNTIFS(Assignments!$C$2:$C$769,$C600,Assignments!$F$2:$F$769,$F600,Assignments!$G$2:$G$769,"Active"),0))</f>
        <v/>
      </c>
    </row>
    <row r="601">
      <c r="A601" s="28" t="inlineStr">
        <is>
          <t>Yiyi</t>
        </is>
      </c>
      <c r="B601" s="16">
        <f>IF($A601="","",IFERROR(INDEX(Roster!$B$2:$B$40,MATCH($A601,Roster!$A$2:$A$40,0)),"?"))</f>
        <v/>
      </c>
      <c r="C601" s="28" t="inlineStr">
        <is>
          <t>Elektron_1</t>
        </is>
      </c>
      <c r="D601" s="16">
        <f>IF($C601="","",IFERROR(IF(INDEX(Deals!$C$2:$C$355,MATCH($C601,Deals!$A$2:$A$355,0))=0,"",INDEX(Deals!$C$2:$C$355,MATCH($C601,Deals!$A$2:$A$355,0))),"?"))</f>
        <v/>
      </c>
      <c r="E601" s="16">
        <f>IF($C601="","",IFERROR(INDEX(Deals!$F$2:$F$355,MATCH($C601,Deals!$A$2:$A$355,0)),"?"))</f>
        <v/>
      </c>
      <c r="F601" s="28" t="inlineStr">
        <is>
          <t>Renewable Specialist</t>
        </is>
      </c>
      <c r="G601" s="28" t="inlineStr">
        <is>
          <t>Active</t>
        </is>
      </c>
      <c r="H601" s="31" t="n"/>
      <c r="I601" s="32">
        <f>IF(OR($A601="",$G601&lt;&gt;"Active"),0,IF($H601&lt;&gt;"",$H601,IF($AO601&gt;0,$AP601,IF(AND($R601&lt;&gt;"",IFERROR(INDEX(Templates!$B$3:$H$10,MATCH($R601,Templates!$A$3:$A$10,0),MATCH($F601,Templates!$B$2:$H$2,0)),0)&gt;0),INDEX(Templates!$B$3:$H$10,MATCH($R601,Templates!$A$3:$A$10,0),MATCH($F601,Templates!$B$2:$H$2,0)),IFERROR(INDEX(Settings!$B$8:$B$14,MATCH($F601,Settings!$A$8:$A$14,0)),0)))))</f>
        <v/>
      </c>
      <c r="J601" s="21">
        <f>IF($C601="",0,IFERROR(INDEX(Deals!$H$2:$H$355,MATCH($C601,Deals!$A$2:$A$355,0)),0))</f>
        <v/>
      </c>
      <c r="K601" s="32">
        <f>IF(Settings!$B$4="Yes",$I601*$J601,$I601)</f>
        <v/>
      </c>
      <c r="L601" s="22">
        <f>IF($C601="","",IFERROR(IF(INDEX(Deals!$I$2:$I$355,MATCH($C601,Deals!$A$2:$A$355,0))=0,"",INDEX(Deals!$I$2:$I$355,MATCH($C601,Deals!$A$2:$A$355,0))),""))</f>
        <v/>
      </c>
      <c r="M601" s="22">
        <f>IF($C601="","",IFERROR(IF(INDEX(Deals!$J$2:$J$355,MATCH($C601,Deals!$A$2:$A$355,0))=0,"",INDEX(Deals!$J$2:$J$355,MATCH($C601,Deals!$A$2:$A$355,0))),""))</f>
        <v/>
      </c>
      <c r="N601" s="35">
        <f>IF($L601="",DATE(1900,1,1),$L601)</f>
        <v/>
      </c>
      <c r="O601" s="35">
        <f>IF($M601="",DATE(2100,12,31),$M601)</f>
        <v/>
      </c>
      <c r="P601" s="20" t="inlineStr"/>
      <c r="Q601" s="47" t="inlineStr"/>
      <c r="R601" s="16">
        <f>IF($C601="","",IFERROR(IF(INDEX(Deals!$U$2:$U$355,MATCH($C601,Deals!$A$2:$A$355,0))=0,"",INDEX(Deals!$U$2:$U$355,MATCH($C601,Deals!$A$2:$A$355,0))),""))</f>
        <v/>
      </c>
      <c r="S601" s="34">
        <f>IFERROR(IF($U601="",1,INDEX(Deals!$V$2:$V$355,MATCH($C601,Deals!$A$2:$A$355,0))),1)</f>
        <v/>
      </c>
      <c r="T601" s="34">
        <f>IFERROR(IF($U601="",1,INDEX(Deals!$W$2:$W$355,MATCH($C601,Deals!$A$2:$A$355,0))),1)</f>
        <v/>
      </c>
      <c r="U601" s="22">
        <f>IF($C601="","",IFERROR(IF(INDEX(Deals!$Y$2:$Y$355,MATCH($C601,Deals!$A$2:$A$355,0))=0,"",INDEX(Deals!$Y$2:$Y$355,MATCH($C601,Deals!$A$2:$A$355,0))),""))</f>
        <v/>
      </c>
      <c r="V601" s="35">
        <f>IF(OR($U601&lt;&gt;"",AND($AO601&gt;0,$L601&lt;&gt;"",$M601&lt;&gt;"")),$N601,DATE(1900,1,1))</f>
        <v/>
      </c>
      <c r="W601" s="35">
        <f>IF($U601&lt;&gt;"",$U601,IF(AND($AO601&gt;0,$L601&lt;&gt;"",$M601&lt;&gt;""),$O601,DATE(2100,12,31)))</f>
        <v/>
      </c>
      <c r="X601" s="32">
        <f>IF($U601="",$K601,$K601*$S601)</f>
        <v/>
      </c>
      <c r="Y601" s="35">
        <f>IF($U601="",DATE(2100,12,31),$U601+1)</f>
        <v/>
      </c>
      <c r="Z601" s="35">
        <f>IF($U601="",DATE(1900,1,1),$O601)</f>
        <v/>
      </c>
      <c r="AA601" s="32">
        <f>IF($U601="",0,$K601*$T601)</f>
        <v/>
      </c>
      <c r="AB601" s="21">
        <f>IF($C601="",0,IFERROR(INDEX(Deals!$AD$2:$AD$355,MATCH($C601,Deals!$A$2:$A$355,0)),0))</f>
        <v/>
      </c>
      <c r="AC601" s="32">
        <f>IF(Settings!$B$4="Yes",$I601*$AB601,$I601)</f>
        <v/>
      </c>
      <c r="AD601" s="22">
        <f>IF($C601="","",IFERROR(IF(INDEX(Deals!$AE$2:$AE$355,MATCH($C601,Deals!$A$2:$A$355,0))=0,"",INDEX(Deals!$AE$2:$AE$355,MATCH($C601,Deals!$A$2:$A$355,0))),""))</f>
        <v/>
      </c>
      <c r="AE601" s="22">
        <f>IF($C601="","",IFERROR(IF(INDEX(Deals!$AF$2:$AF$355,MATCH($C601,Deals!$A$2:$A$355,0))=0,"",INDEX(Deals!$AF$2:$AF$355,MATCH($C601,Deals!$A$2:$A$355,0))),""))</f>
        <v/>
      </c>
      <c r="AF601" s="35">
        <f>IF($AD601="",DATE(1900,1,1),$AD601)</f>
        <v/>
      </c>
      <c r="AG601" s="35">
        <f>IF($AE601="",DATE(2100,12,31),$AE601)</f>
        <v/>
      </c>
      <c r="AH601" s="22">
        <f>IF($C601="","",IFERROR(IF(INDEX(Deals!$AG$2:$AG$355,MATCH($C601,Deals!$A$2:$A$355,0))=0,"",INDEX(Deals!$AG$2:$AG$355,MATCH($C601,Deals!$A$2:$A$355,0))),""))</f>
        <v/>
      </c>
      <c r="AI601" s="35">
        <f>IF(OR($AH601&lt;&gt;"",AND($AO601&gt;0,$AD601&lt;&gt;"",$AE601&lt;&gt;"")),$AF601,DATE(1900,1,1))</f>
        <v/>
      </c>
      <c r="AJ601" s="35">
        <f>IF($AH601&lt;&gt;"",$AH601,IF(AND($AO601&gt;0,$AD601&lt;&gt;"",$AE601&lt;&gt;""),$AG601,DATE(2100,12,31)))</f>
        <v/>
      </c>
      <c r="AK601" s="32">
        <f>IF($AH601="",$AC601,$AC601*$S601)</f>
        <v/>
      </c>
      <c r="AL601" s="35">
        <f>IF($AH601="",DATE(2100,12,31),$AH601+1)</f>
        <v/>
      </c>
      <c r="AM601" s="35">
        <f>IF($AH601="",DATE(1900,1,1),$AG601)</f>
        <v/>
      </c>
      <c r="AN601" s="32">
        <f>IF($AH601="",0,$AC601*$T601)</f>
        <v/>
      </c>
      <c r="AO601" s="46">
        <f>IF($C601="",0,IFERROR(INDEX(Deals!$BD$2:$BD$355,MATCH($C601,Deals!$A$2:$A$355,0)),0))</f>
        <v/>
      </c>
      <c r="AP601" s="18">
        <f>IF($AO601=0,0,IFERROR(INDEX(Deals!$BJ$2:$BP$355,MATCH($C601,Deals!$A$2:$A$355,0),MATCH($F601,Deals!$BJ$1:$BP$1,0))/COUNTIFS(Assignments!$C$2:$C$769,$C601,Assignments!$F$2:$F$769,$F601,Assignments!$G$2:$G$769,"Active"),0))</f>
        <v/>
      </c>
    </row>
    <row r="602">
      <c r="A602" s="28" t="inlineStr">
        <is>
          <t>Yiyi</t>
        </is>
      </c>
      <c r="B602" s="16">
        <f>IF($A602="","",IFERROR(INDEX(Roster!$B$2:$B$40,MATCH($A602,Roster!$A$2:$A$40,0)),"?"))</f>
        <v/>
      </c>
      <c r="C602" s="28" t="inlineStr">
        <is>
          <t>Elk_2</t>
        </is>
      </c>
      <c r="D602" s="16">
        <f>IF($C602="","",IFERROR(IF(INDEX(Deals!$C$2:$C$355,MATCH($C602,Deals!$A$2:$A$355,0))=0,"",INDEX(Deals!$C$2:$C$355,MATCH($C602,Deals!$A$2:$A$355,0))),"?"))</f>
        <v/>
      </c>
      <c r="E602" s="16">
        <f>IF($C602="","",IFERROR(INDEX(Deals!$F$2:$F$355,MATCH($C602,Deals!$A$2:$A$355,0)),"?"))</f>
        <v/>
      </c>
      <c r="F602" s="28" t="inlineStr">
        <is>
          <t>Renewable Specialist</t>
        </is>
      </c>
      <c r="G602" s="28" t="inlineStr">
        <is>
          <t>Active</t>
        </is>
      </c>
      <c r="H602" s="31" t="n"/>
      <c r="I602" s="32">
        <f>IF(OR($A602="",$G602&lt;&gt;"Active"),0,IF($H602&lt;&gt;"",$H602,IF($AO602&gt;0,$AP602,IF(AND($R602&lt;&gt;"",IFERROR(INDEX(Templates!$B$3:$H$10,MATCH($R602,Templates!$A$3:$A$10,0),MATCH($F602,Templates!$B$2:$H$2,0)),0)&gt;0),INDEX(Templates!$B$3:$H$10,MATCH($R602,Templates!$A$3:$A$10,0),MATCH($F602,Templates!$B$2:$H$2,0)),IFERROR(INDEX(Settings!$B$8:$B$14,MATCH($F602,Settings!$A$8:$A$14,0)),0)))))</f>
        <v/>
      </c>
      <c r="J602" s="21">
        <f>IF($C602="",0,IFERROR(INDEX(Deals!$H$2:$H$355,MATCH($C602,Deals!$A$2:$A$355,0)),0))</f>
        <v/>
      </c>
      <c r="K602" s="32">
        <f>IF(Settings!$B$4="Yes",$I602*$J602,$I602)</f>
        <v/>
      </c>
      <c r="L602" s="22">
        <f>IF($C602="","",IFERROR(IF(INDEX(Deals!$I$2:$I$355,MATCH($C602,Deals!$A$2:$A$355,0))=0,"",INDEX(Deals!$I$2:$I$355,MATCH($C602,Deals!$A$2:$A$355,0))),""))</f>
        <v/>
      </c>
      <c r="M602" s="22">
        <f>IF($C602="","",IFERROR(IF(INDEX(Deals!$J$2:$J$355,MATCH($C602,Deals!$A$2:$A$355,0))=0,"",INDEX(Deals!$J$2:$J$355,MATCH($C602,Deals!$A$2:$A$355,0))),""))</f>
        <v/>
      </c>
      <c r="N602" s="35">
        <f>IF($L602="",DATE(1900,1,1),$L602)</f>
        <v/>
      </c>
      <c r="O602" s="35">
        <f>IF($M602="",DATE(2100,12,31),$M602)</f>
        <v/>
      </c>
      <c r="P602" s="20" t="inlineStr"/>
      <c r="Q602" s="47" t="inlineStr"/>
      <c r="R602" s="16">
        <f>IF($C602="","",IFERROR(IF(INDEX(Deals!$U$2:$U$355,MATCH($C602,Deals!$A$2:$A$355,0))=0,"",INDEX(Deals!$U$2:$U$355,MATCH($C602,Deals!$A$2:$A$355,0))),""))</f>
        <v/>
      </c>
      <c r="S602" s="34">
        <f>IFERROR(IF($U602="",1,INDEX(Deals!$V$2:$V$355,MATCH($C602,Deals!$A$2:$A$355,0))),1)</f>
        <v/>
      </c>
      <c r="T602" s="34">
        <f>IFERROR(IF($U602="",1,INDEX(Deals!$W$2:$W$355,MATCH($C602,Deals!$A$2:$A$355,0))),1)</f>
        <v/>
      </c>
      <c r="U602" s="22">
        <f>IF($C602="","",IFERROR(IF(INDEX(Deals!$Y$2:$Y$355,MATCH($C602,Deals!$A$2:$A$355,0))=0,"",INDEX(Deals!$Y$2:$Y$355,MATCH($C602,Deals!$A$2:$A$355,0))),""))</f>
        <v/>
      </c>
      <c r="V602" s="35">
        <f>IF(OR($U602&lt;&gt;"",AND($AO602&gt;0,$L602&lt;&gt;"",$M602&lt;&gt;"")),$N602,DATE(1900,1,1))</f>
        <v/>
      </c>
      <c r="W602" s="35">
        <f>IF($U602&lt;&gt;"",$U602,IF(AND($AO602&gt;0,$L602&lt;&gt;"",$M602&lt;&gt;""),$O602,DATE(2100,12,31)))</f>
        <v/>
      </c>
      <c r="X602" s="32">
        <f>IF($U602="",$K602,$K602*$S602)</f>
        <v/>
      </c>
      <c r="Y602" s="35">
        <f>IF($U602="",DATE(2100,12,31),$U602+1)</f>
        <v/>
      </c>
      <c r="Z602" s="35">
        <f>IF($U602="",DATE(1900,1,1),$O602)</f>
        <v/>
      </c>
      <c r="AA602" s="32">
        <f>IF($U602="",0,$K602*$T602)</f>
        <v/>
      </c>
      <c r="AB602" s="21">
        <f>IF($C602="",0,IFERROR(INDEX(Deals!$AD$2:$AD$355,MATCH($C602,Deals!$A$2:$A$355,0)),0))</f>
        <v/>
      </c>
      <c r="AC602" s="32">
        <f>IF(Settings!$B$4="Yes",$I602*$AB602,$I602)</f>
        <v/>
      </c>
      <c r="AD602" s="22">
        <f>IF($C602="","",IFERROR(IF(INDEX(Deals!$AE$2:$AE$355,MATCH($C602,Deals!$A$2:$A$355,0))=0,"",INDEX(Deals!$AE$2:$AE$355,MATCH($C602,Deals!$A$2:$A$355,0))),""))</f>
        <v/>
      </c>
      <c r="AE602" s="22">
        <f>IF($C602="","",IFERROR(IF(INDEX(Deals!$AF$2:$AF$355,MATCH($C602,Deals!$A$2:$A$355,0))=0,"",INDEX(Deals!$AF$2:$AF$355,MATCH($C602,Deals!$A$2:$A$355,0))),""))</f>
        <v/>
      </c>
      <c r="AF602" s="35">
        <f>IF($AD602="",DATE(1900,1,1),$AD602)</f>
        <v/>
      </c>
      <c r="AG602" s="35">
        <f>IF($AE602="",DATE(2100,12,31),$AE602)</f>
        <v/>
      </c>
      <c r="AH602" s="22">
        <f>IF($C602="","",IFERROR(IF(INDEX(Deals!$AG$2:$AG$355,MATCH($C602,Deals!$A$2:$A$355,0))=0,"",INDEX(Deals!$AG$2:$AG$355,MATCH($C602,Deals!$A$2:$A$355,0))),""))</f>
        <v/>
      </c>
      <c r="AI602" s="35">
        <f>IF(OR($AH602&lt;&gt;"",AND($AO602&gt;0,$AD602&lt;&gt;"",$AE602&lt;&gt;"")),$AF602,DATE(1900,1,1))</f>
        <v/>
      </c>
      <c r="AJ602" s="35">
        <f>IF($AH602&lt;&gt;"",$AH602,IF(AND($AO602&gt;0,$AD602&lt;&gt;"",$AE602&lt;&gt;""),$AG602,DATE(2100,12,31)))</f>
        <v/>
      </c>
      <c r="AK602" s="32">
        <f>IF($AH602="",$AC602,$AC602*$S602)</f>
        <v/>
      </c>
      <c r="AL602" s="35">
        <f>IF($AH602="",DATE(2100,12,31),$AH602+1)</f>
        <v/>
      </c>
      <c r="AM602" s="35">
        <f>IF($AH602="",DATE(1900,1,1),$AG602)</f>
        <v/>
      </c>
      <c r="AN602" s="32">
        <f>IF($AH602="",0,$AC602*$T602)</f>
        <v/>
      </c>
      <c r="AO602" s="46">
        <f>IF($C602="",0,IFERROR(INDEX(Deals!$BD$2:$BD$355,MATCH($C602,Deals!$A$2:$A$355,0)),0))</f>
        <v/>
      </c>
      <c r="AP602" s="18">
        <f>IF($AO602=0,0,IFERROR(INDEX(Deals!$BJ$2:$BP$355,MATCH($C602,Deals!$A$2:$A$355,0),MATCH($F602,Deals!$BJ$1:$BP$1,0))/COUNTIFS(Assignments!$C$2:$C$769,$C602,Assignments!$F$2:$F$769,$F602,Assignments!$G$2:$G$769,"Active"),0))</f>
        <v/>
      </c>
    </row>
    <row r="603">
      <c r="A603" s="28" t="inlineStr">
        <is>
          <t>Yiyi</t>
        </is>
      </c>
      <c r="B603" s="16">
        <f>IF($A603="","",IFERROR(INDEX(Roster!$B$2:$B$40,MATCH($A603,Roster!$A$2:$A$40,0)),"?"))</f>
        <v/>
      </c>
      <c r="C603" s="28" t="inlineStr">
        <is>
          <t>Etonia_1</t>
        </is>
      </c>
      <c r="D603" s="16">
        <f>IF($C603="","",IFERROR(IF(INDEX(Deals!$C$2:$C$355,MATCH($C603,Deals!$A$2:$A$355,0))=0,"",INDEX(Deals!$C$2:$C$355,MATCH($C603,Deals!$A$2:$A$355,0))),"?"))</f>
        <v/>
      </c>
      <c r="E603" s="16">
        <f>IF($C603="","",IFERROR(INDEX(Deals!$F$2:$F$355,MATCH($C603,Deals!$A$2:$A$355,0)),"?"))</f>
        <v/>
      </c>
      <c r="F603" s="28" t="inlineStr">
        <is>
          <t>Renewable Specialist</t>
        </is>
      </c>
      <c r="G603" s="28" t="inlineStr">
        <is>
          <t>Active</t>
        </is>
      </c>
      <c r="H603" s="31" t="n"/>
      <c r="I603" s="32">
        <f>IF(OR($A603="",$G603&lt;&gt;"Active"),0,IF($H603&lt;&gt;"",$H603,IF($AO603&gt;0,$AP603,IF(AND($R603&lt;&gt;"",IFERROR(INDEX(Templates!$B$3:$H$10,MATCH($R603,Templates!$A$3:$A$10,0),MATCH($F603,Templates!$B$2:$H$2,0)),0)&gt;0),INDEX(Templates!$B$3:$H$10,MATCH($R603,Templates!$A$3:$A$10,0),MATCH($F603,Templates!$B$2:$H$2,0)),IFERROR(INDEX(Settings!$B$8:$B$14,MATCH($F603,Settings!$A$8:$A$14,0)),0)))))</f>
        <v/>
      </c>
      <c r="J603" s="21">
        <f>IF($C603="",0,IFERROR(INDEX(Deals!$H$2:$H$355,MATCH($C603,Deals!$A$2:$A$355,0)),0))</f>
        <v/>
      </c>
      <c r="K603" s="32">
        <f>IF(Settings!$B$4="Yes",$I603*$J603,$I603)</f>
        <v/>
      </c>
      <c r="L603" s="22">
        <f>IF($C603="","",IFERROR(IF(INDEX(Deals!$I$2:$I$355,MATCH($C603,Deals!$A$2:$A$355,0))=0,"",INDEX(Deals!$I$2:$I$355,MATCH($C603,Deals!$A$2:$A$355,0))),""))</f>
        <v/>
      </c>
      <c r="M603" s="22">
        <f>IF($C603="","",IFERROR(IF(INDEX(Deals!$J$2:$J$355,MATCH($C603,Deals!$A$2:$A$355,0))=0,"",INDEX(Deals!$J$2:$J$355,MATCH($C603,Deals!$A$2:$A$355,0))),""))</f>
        <v/>
      </c>
      <c r="N603" s="35">
        <f>IF($L603="",DATE(1900,1,1),$L603)</f>
        <v/>
      </c>
      <c r="O603" s="35">
        <f>IF($M603="",DATE(2100,12,31),$M603)</f>
        <v/>
      </c>
      <c r="P603" s="20" t="inlineStr"/>
      <c r="Q603" s="47" t="inlineStr"/>
      <c r="R603" s="16">
        <f>IF($C603="","",IFERROR(IF(INDEX(Deals!$U$2:$U$355,MATCH($C603,Deals!$A$2:$A$355,0))=0,"",INDEX(Deals!$U$2:$U$355,MATCH($C603,Deals!$A$2:$A$355,0))),""))</f>
        <v/>
      </c>
      <c r="S603" s="34">
        <f>IFERROR(IF($U603="",1,INDEX(Deals!$V$2:$V$355,MATCH($C603,Deals!$A$2:$A$355,0))),1)</f>
        <v/>
      </c>
      <c r="T603" s="34">
        <f>IFERROR(IF($U603="",1,INDEX(Deals!$W$2:$W$355,MATCH($C603,Deals!$A$2:$A$355,0))),1)</f>
        <v/>
      </c>
      <c r="U603" s="22">
        <f>IF($C603="","",IFERROR(IF(INDEX(Deals!$Y$2:$Y$355,MATCH($C603,Deals!$A$2:$A$355,0))=0,"",INDEX(Deals!$Y$2:$Y$355,MATCH($C603,Deals!$A$2:$A$355,0))),""))</f>
        <v/>
      </c>
      <c r="V603" s="35">
        <f>IF(OR($U603&lt;&gt;"",AND($AO603&gt;0,$L603&lt;&gt;"",$M603&lt;&gt;"")),$N603,DATE(1900,1,1))</f>
        <v/>
      </c>
      <c r="W603" s="35">
        <f>IF($U603&lt;&gt;"",$U603,IF(AND($AO603&gt;0,$L603&lt;&gt;"",$M603&lt;&gt;""),$O603,DATE(2100,12,31)))</f>
        <v/>
      </c>
      <c r="X603" s="32">
        <f>IF($U603="",$K603,$K603*$S603)</f>
        <v/>
      </c>
      <c r="Y603" s="35">
        <f>IF($U603="",DATE(2100,12,31),$U603+1)</f>
        <v/>
      </c>
      <c r="Z603" s="35">
        <f>IF($U603="",DATE(1900,1,1),$O603)</f>
        <v/>
      </c>
      <c r="AA603" s="32">
        <f>IF($U603="",0,$K603*$T603)</f>
        <v/>
      </c>
      <c r="AB603" s="21">
        <f>IF($C603="",0,IFERROR(INDEX(Deals!$AD$2:$AD$355,MATCH($C603,Deals!$A$2:$A$355,0)),0))</f>
        <v/>
      </c>
      <c r="AC603" s="32">
        <f>IF(Settings!$B$4="Yes",$I603*$AB603,$I603)</f>
        <v/>
      </c>
      <c r="AD603" s="22">
        <f>IF($C603="","",IFERROR(IF(INDEX(Deals!$AE$2:$AE$355,MATCH($C603,Deals!$A$2:$A$355,0))=0,"",INDEX(Deals!$AE$2:$AE$355,MATCH($C603,Deals!$A$2:$A$355,0))),""))</f>
        <v/>
      </c>
      <c r="AE603" s="22">
        <f>IF($C603="","",IFERROR(IF(INDEX(Deals!$AF$2:$AF$355,MATCH($C603,Deals!$A$2:$A$355,0))=0,"",INDEX(Deals!$AF$2:$AF$355,MATCH($C603,Deals!$A$2:$A$355,0))),""))</f>
        <v/>
      </c>
      <c r="AF603" s="35">
        <f>IF($AD603="",DATE(1900,1,1),$AD603)</f>
        <v/>
      </c>
      <c r="AG603" s="35">
        <f>IF($AE603="",DATE(2100,12,31),$AE603)</f>
        <v/>
      </c>
      <c r="AH603" s="22">
        <f>IF($C603="","",IFERROR(IF(INDEX(Deals!$AG$2:$AG$355,MATCH($C603,Deals!$A$2:$A$355,0))=0,"",INDEX(Deals!$AG$2:$AG$355,MATCH($C603,Deals!$A$2:$A$355,0))),""))</f>
        <v/>
      </c>
      <c r="AI603" s="35">
        <f>IF(OR($AH603&lt;&gt;"",AND($AO603&gt;0,$AD603&lt;&gt;"",$AE603&lt;&gt;"")),$AF603,DATE(1900,1,1))</f>
        <v/>
      </c>
      <c r="AJ603" s="35">
        <f>IF($AH603&lt;&gt;"",$AH603,IF(AND($AO603&gt;0,$AD603&lt;&gt;"",$AE603&lt;&gt;""),$AG603,DATE(2100,12,31)))</f>
        <v/>
      </c>
      <c r="AK603" s="32">
        <f>IF($AH603="",$AC603,$AC603*$S603)</f>
        <v/>
      </c>
      <c r="AL603" s="35">
        <f>IF($AH603="",DATE(2100,12,31),$AH603+1)</f>
        <v/>
      </c>
      <c r="AM603" s="35">
        <f>IF($AH603="",DATE(1900,1,1),$AG603)</f>
        <v/>
      </c>
      <c r="AN603" s="32">
        <f>IF($AH603="",0,$AC603*$T603)</f>
        <v/>
      </c>
      <c r="AO603" s="46">
        <f>IF($C603="",0,IFERROR(INDEX(Deals!$BD$2:$BD$355,MATCH($C603,Deals!$A$2:$A$355,0)),0))</f>
        <v/>
      </c>
      <c r="AP603" s="18">
        <f>IF($AO603=0,0,IFERROR(INDEX(Deals!$BJ$2:$BP$355,MATCH($C603,Deals!$A$2:$A$355,0),MATCH($F603,Deals!$BJ$1:$BP$1,0))/COUNTIFS(Assignments!$C$2:$C$769,$C603,Assignments!$F$2:$F$769,$F603,Assignments!$G$2:$G$769,"Active"),0))</f>
        <v/>
      </c>
    </row>
    <row r="604">
      <c r="A604" s="28" t="inlineStr">
        <is>
          <t>Yiyi</t>
        </is>
      </c>
      <c r="B604" s="16">
        <f>IF($A604="","",IFERROR(INDEX(Roster!$B$2:$B$40,MATCH($A604,Roster!$A$2:$A$40,0)),"?"))</f>
        <v/>
      </c>
      <c r="C604" s="28" t="inlineStr">
        <is>
          <t>Etude_2</t>
        </is>
      </c>
      <c r="D604" s="16">
        <f>IF($C604="","",IFERROR(IF(INDEX(Deals!$C$2:$C$355,MATCH($C604,Deals!$A$2:$A$355,0))=0,"",INDEX(Deals!$C$2:$C$355,MATCH($C604,Deals!$A$2:$A$355,0))),"?"))</f>
        <v/>
      </c>
      <c r="E604" s="16">
        <f>IF($C604="","",IFERROR(INDEX(Deals!$F$2:$F$355,MATCH($C604,Deals!$A$2:$A$355,0)),"?"))</f>
        <v/>
      </c>
      <c r="F604" s="28" t="inlineStr">
        <is>
          <t>Renewable Specialist</t>
        </is>
      </c>
      <c r="G604" s="28" t="inlineStr">
        <is>
          <t>Active</t>
        </is>
      </c>
      <c r="H604" s="31" t="n"/>
      <c r="I604" s="32">
        <f>IF(OR($A604="",$G604&lt;&gt;"Active"),0,IF($H604&lt;&gt;"",$H604,IF($AO604&gt;0,$AP604,IF(AND($R604&lt;&gt;"",IFERROR(INDEX(Templates!$B$3:$H$10,MATCH($R604,Templates!$A$3:$A$10,0),MATCH($F604,Templates!$B$2:$H$2,0)),0)&gt;0),INDEX(Templates!$B$3:$H$10,MATCH($R604,Templates!$A$3:$A$10,0),MATCH($F604,Templates!$B$2:$H$2,0)),IFERROR(INDEX(Settings!$B$8:$B$14,MATCH($F604,Settings!$A$8:$A$14,0)),0)))))</f>
        <v/>
      </c>
      <c r="J604" s="21">
        <f>IF($C604="",0,IFERROR(INDEX(Deals!$H$2:$H$355,MATCH($C604,Deals!$A$2:$A$355,0)),0))</f>
        <v/>
      </c>
      <c r="K604" s="32">
        <f>IF(Settings!$B$4="Yes",$I604*$J604,$I604)</f>
        <v/>
      </c>
      <c r="L604" s="22">
        <f>IF($C604="","",IFERROR(IF(INDEX(Deals!$I$2:$I$355,MATCH($C604,Deals!$A$2:$A$355,0))=0,"",INDEX(Deals!$I$2:$I$355,MATCH($C604,Deals!$A$2:$A$355,0))),""))</f>
        <v/>
      </c>
      <c r="M604" s="22">
        <f>IF($C604="","",IFERROR(IF(INDEX(Deals!$J$2:$J$355,MATCH($C604,Deals!$A$2:$A$355,0))=0,"",INDEX(Deals!$J$2:$J$355,MATCH($C604,Deals!$A$2:$A$355,0))),""))</f>
        <v/>
      </c>
      <c r="N604" s="35">
        <f>IF($L604="",DATE(1900,1,1),$L604)</f>
        <v/>
      </c>
      <c r="O604" s="35">
        <f>IF($M604="",DATE(2100,12,31),$M604)</f>
        <v/>
      </c>
      <c r="P604" s="20" t="inlineStr"/>
      <c r="Q604" s="47" t="inlineStr"/>
      <c r="R604" s="16">
        <f>IF($C604="","",IFERROR(IF(INDEX(Deals!$U$2:$U$355,MATCH($C604,Deals!$A$2:$A$355,0))=0,"",INDEX(Deals!$U$2:$U$355,MATCH($C604,Deals!$A$2:$A$355,0))),""))</f>
        <v/>
      </c>
      <c r="S604" s="34">
        <f>IFERROR(IF($U604="",1,INDEX(Deals!$V$2:$V$355,MATCH($C604,Deals!$A$2:$A$355,0))),1)</f>
        <v/>
      </c>
      <c r="T604" s="34">
        <f>IFERROR(IF($U604="",1,INDEX(Deals!$W$2:$W$355,MATCH($C604,Deals!$A$2:$A$355,0))),1)</f>
        <v/>
      </c>
      <c r="U604" s="22">
        <f>IF($C604="","",IFERROR(IF(INDEX(Deals!$Y$2:$Y$355,MATCH($C604,Deals!$A$2:$A$355,0))=0,"",INDEX(Deals!$Y$2:$Y$355,MATCH($C604,Deals!$A$2:$A$355,0))),""))</f>
        <v/>
      </c>
      <c r="V604" s="35">
        <f>IF(OR($U604&lt;&gt;"",AND($AO604&gt;0,$L604&lt;&gt;"",$M604&lt;&gt;"")),$N604,DATE(1900,1,1))</f>
        <v/>
      </c>
      <c r="W604" s="35">
        <f>IF($U604&lt;&gt;"",$U604,IF(AND($AO604&gt;0,$L604&lt;&gt;"",$M604&lt;&gt;""),$O604,DATE(2100,12,31)))</f>
        <v/>
      </c>
      <c r="X604" s="32">
        <f>IF($U604="",$K604,$K604*$S604)</f>
        <v/>
      </c>
      <c r="Y604" s="35">
        <f>IF($U604="",DATE(2100,12,31),$U604+1)</f>
        <v/>
      </c>
      <c r="Z604" s="35">
        <f>IF($U604="",DATE(1900,1,1),$O604)</f>
        <v/>
      </c>
      <c r="AA604" s="32">
        <f>IF($U604="",0,$K604*$T604)</f>
        <v/>
      </c>
      <c r="AB604" s="21">
        <f>IF($C604="",0,IFERROR(INDEX(Deals!$AD$2:$AD$355,MATCH($C604,Deals!$A$2:$A$355,0)),0))</f>
        <v/>
      </c>
      <c r="AC604" s="32">
        <f>IF(Settings!$B$4="Yes",$I604*$AB604,$I604)</f>
        <v/>
      </c>
      <c r="AD604" s="22">
        <f>IF($C604="","",IFERROR(IF(INDEX(Deals!$AE$2:$AE$355,MATCH($C604,Deals!$A$2:$A$355,0))=0,"",INDEX(Deals!$AE$2:$AE$355,MATCH($C604,Deals!$A$2:$A$355,0))),""))</f>
        <v/>
      </c>
      <c r="AE604" s="22">
        <f>IF($C604="","",IFERROR(IF(INDEX(Deals!$AF$2:$AF$355,MATCH($C604,Deals!$A$2:$A$355,0))=0,"",INDEX(Deals!$AF$2:$AF$355,MATCH($C604,Deals!$A$2:$A$355,0))),""))</f>
        <v/>
      </c>
      <c r="AF604" s="35">
        <f>IF($AD604="",DATE(1900,1,1),$AD604)</f>
        <v/>
      </c>
      <c r="AG604" s="35">
        <f>IF($AE604="",DATE(2100,12,31),$AE604)</f>
        <v/>
      </c>
      <c r="AH604" s="22">
        <f>IF($C604="","",IFERROR(IF(INDEX(Deals!$AG$2:$AG$355,MATCH($C604,Deals!$A$2:$A$355,0))=0,"",INDEX(Deals!$AG$2:$AG$355,MATCH($C604,Deals!$A$2:$A$355,0))),""))</f>
        <v/>
      </c>
      <c r="AI604" s="35">
        <f>IF(OR($AH604&lt;&gt;"",AND($AO604&gt;0,$AD604&lt;&gt;"",$AE604&lt;&gt;"")),$AF604,DATE(1900,1,1))</f>
        <v/>
      </c>
      <c r="AJ604" s="35">
        <f>IF($AH604&lt;&gt;"",$AH604,IF(AND($AO604&gt;0,$AD604&lt;&gt;"",$AE604&lt;&gt;""),$AG604,DATE(2100,12,31)))</f>
        <v/>
      </c>
      <c r="AK604" s="32">
        <f>IF($AH604="",$AC604,$AC604*$S604)</f>
        <v/>
      </c>
      <c r="AL604" s="35">
        <f>IF($AH604="",DATE(2100,12,31),$AH604+1)</f>
        <v/>
      </c>
      <c r="AM604" s="35">
        <f>IF($AH604="",DATE(1900,1,1),$AG604)</f>
        <v/>
      </c>
      <c r="AN604" s="32">
        <f>IF($AH604="",0,$AC604*$T604)</f>
        <v/>
      </c>
      <c r="AO604" s="46">
        <f>IF($C604="",0,IFERROR(INDEX(Deals!$BD$2:$BD$355,MATCH($C604,Deals!$A$2:$A$355,0)),0))</f>
        <v/>
      </c>
      <c r="AP604" s="18">
        <f>IF($AO604=0,0,IFERROR(INDEX(Deals!$BJ$2:$BP$355,MATCH($C604,Deals!$A$2:$A$355,0),MATCH($F604,Deals!$BJ$1:$BP$1,0))/COUNTIFS(Assignments!$C$2:$C$769,$C604,Assignments!$F$2:$F$769,$F604,Assignments!$G$2:$G$769,"Active"),0))</f>
        <v/>
      </c>
    </row>
    <row r="605">
      <c r="A605" s="28" t="inlineStr">
        <is>
          <t>Yiyi</t>
        </is>
      </c>
      <c r="B605" s="16">
        <f>IF($A605="","",IFERROR(INDEX(Roster!$B$2:$B$40,MATCH($A605,Roster!$A$2:$A$40,0)),"?"))</f>
        <v/>
      </c>
      <c r="C605" s="28" t="inlineStr">
        <is>
          <t>Gateway_3</t>
        </is>
      </c>
      <c r="D605" s="16">
        <f>IF($C605="","",IFERROR(IF(INDEX(Deals!$C$2:$C$355,MATCH($C605,Deals!$A$2:$A$355,0))=0,"",INDEX(Deals!$C$2:$C$355,MATCH($C605,Deals!$A$2:$A$355,0))),"?"))</f>
        <v/>
      </c>
      <c r="E605" s="16">
        <f>IF($C605="","",IFERROR(INDEX(Deals!$F$2:$F$355,MATCH($C605,Deals!$A$2:$A$355,0)),"?"))</f>
        <v/>
      </c>
      <c r="F605" s="28" t="inlineStr">
        <is>
          <t>Renewable Specialist</t>
        </is>
      </c>
      <c r="G605" s="28" t="inlineStr">
        <is>
          <t>Active</t>
        </is>
      </c>
      <c r="H605" s="31" t="n"/>
      <c r="I605" s="32">
        <f>IF(OR($A605="",$G605&lt;&gt;"Active"),0,IF($H605&lt;&gt;"",$H605,IF($AO605&gt;0,$AP605,IF(AND($R605&lt;&gt;"",IFERROR(INDEX(Templates!$B$3:$H$10,MATCH($R605,Templates!$A$3:$A$10,0),MATCH($F605,Templates!$B$2:$H$2,0)),0)&gt;0),INDEX(Templates!$B$3:$H$10,MATCH($R605,Templates!$A$3:$A$10,0),MATCH($F605,Templates!$B$2:$H$2,0)),IFERROR(INDEX(Settings!$B$8:$B$14,MATCH($F605,Settings!$A$8:$A$14,0)),0)))))</f>
        <v/>
      </c>
      <c r="J605" s="21">
        <f>IF($C605="",0,IFERROR(INDEX(Deals!$H$2:$H$355,MATCH($C605,Deals!$A$2:$A$355,0)),0))</f>
        <v/>
      </c>
      <c r="K605" s="32">
        <f>IF(Settings!$B$4="Yes",$I605*$J605,$I605)</f>
        <v/>
      </c>
      <c r="L605" s="22">
        <f>IF($C605="","",IFERROR(IF(INDEX(Deals!$I$2:$I$355,MATCH($C605,Deals!$A$2:$A$355,0))=0,"",INDEX(Deals!$I$2:$I$355,MATCH($C605,Deals!$A$2:$A$355,0))),""))</f>
        <v/>
      </c>
      <c r="M605" s="22">
        <f>IF($C605="","",IFERROR(IF(INDEX(Deals!$J$2:$J$355,MATCH($C605,Deals!$A$2:$A$355,0))=0,"",INDEX(Deals!$J$2:$J$355,MATCH($C605,Deals!$A$2:$A$355,0))),""))</f>
        <v/>
      </c>
      <c r="N605" s="35">
        <f>IF($L605="",DATE(1900,1,1),$L605)</f>
        <v/>
      </c>
      <c r="O605" s="35">
        <f>IF($M605="",DATE(2100,12,31),$M605)</f>
        <v/>
      </c>
      <c r="P605" s="20" t="inlineStr"/>
      <c r="Q605" s="47" t="inlineStr"/>
      <c r="R605" s="16">
        <f>IF($C605="","",IFERROR(IF(INDEX(Deals!$U$2:$U$355,MATCH($C605,Deals!$A$2:$A$355,0))=0,"",INDEX(Deals!$U$2:$U$355,MATCH($C605,Deals!$A$2:$A$355,0))),""))</f>
        <v/>
      </c>
      <c r="S605" s="34">
        <f>IFERROR(IF($U605="",1,INDEX(Deals!$V$2:$V$355,MATCH($C605,Deals!$A$2:$A$355,0))),1)</f>
        <v/>
      </c>
      <c r="T605" s="34">
        <f>IFERROR(IF($U605="",1,INDEX(Deals!$W$2:$W$355,MATCH($C605,Deals!$A$2:$A$355,0))),1)</f>
        <v/>
      </c>
      <c r="U605" s="22">
        <f>IF($C605="","",IFERROR(IF(INDEX(Deals!$Y$2:$Y$355,MATCH($C605,Deals!$A$2:$A$355,0))=0,"",INDEX(Deals!$Y$2:$Y$355,MATCH($C605,Deals!$A$2:$A$355,0))),""))</f>
        <v/>
      </c>
      <c r="V605" s="35">
        <f>IF(OR($U605&lt;&gt;"",AND($AO605&gt;0,$L605&lt;&gt;"",$M605&lt;&gt;"")),$N605,DATE(1900,1,1))</f>
        <v/>
      </c>
      <c r="W605" s="35">
        <f>IF($U605&lt;&gt;"",$U605,IF(AND($AO605&gt;0,$L605&lt;&gt;"",$M605&lt;&gt;""),$O605,DATE(2100,12,31)))</f>
        <v/>
      </c>
      <c r="X605" s="32">
        <f>IF($U605="",$K605,$K605*$S605)</f>
        <v/>
      </c>
      <c r="Y605" s="35">
        <f>IF($U605="",DATE(2100,12,31),$U605+1)</f>
        <v/>
      </c>
      <c r="Z605" s="35">
        <f>IF($U605="",DATE(1900,1,1),$O605)</f>
        <v/>
      </c>
      <c r="AA605" s="32">
        <f>IF($U605="",0,$K605*$T605)</f>
        <v/>
      </c>
      <c r="AB605" s="21">
        <f>IF($C605="",0,IFERROR(INDEX(Deals!$AD$2:$AD$355,MATCH($C605,Deals!$A$2:$A$355,0)),0))</f>
        <v/>
      </c>
      <c r="AC605" s="32">
        <f>IF(Settings!$B$4="Yes",$I605*$AB605,$I605)</f>
        <v/>
      </c>
      <c r="AD605" s="22">
        <f>IF($C605="","",IFERROR(IF(INDEX(Deals!$AE$2:$AE$355,MATCH($C605,Deals!$A$2:$A$355,0))=0,"",INDEX(Deals!$AE$2:$AE$355,MATCH($C605,Deals!$A$2:$A$355,0))),""))</f>
        <v/>
      </c>
      <c r="AE605" s="22">
        <f>IF($C605="","",IFERROR(IF(INDEX(Deals!$AF$2:$AF$355,MATCH($C605,Deals!$A$2:$A$355,0))=0,"",INDEX(Deals!$AF$2:$AF$355,MATCH($C605,Deals!$A$2:$A$355,0))),""))</f>
        <v/>
      </c>
      <c r="AF605" s="35">
        <f>IF($AD605="",DATE(1900,1,1),$AD605)</f>
        <v/>
      </c>
      <c r="AG605" s="35">
        <f>IF($AE605="",DATE(2100,12,31),$AE605)</f>
        <v/>
      </c>
      <c r="AH605" s="22">
        <f>IF($C605="","",IFERROR(IF(INDEX(Deals!$AG$2:$AG$355,MATCH($C605,Deals!$A$2:$A$355,0))=0,"",INDEX(Deals!$AG$2:$AG$355,MATCH($C605,Deals!$A$2:$A$355,0))),""))</f>
        <v/>
      </c>
      <c r="AI605" s="35">
        <f>IF(OR($AH605&lt;&gt;"",AND($AO605&gt;0,$AD605&lt;&gt;"",$AE605&lt;&gt;"")),$AF605,DATE(1900,1,1))</f>
        <v/>
      </c>
      <c r="AJ605" s="35">
        <f>IF($AH605&lt;&gt;"",$AH605,IF(AND($AO605&gt;0,$AD605&lt;&gt;"",$AE605&lt;&gt;""),$AG605,DATE(2100,12,31)))</f>
        <v/>
      </c>
      <c r="AK605" s="32">
        <f>IF($AH605="",$AC605,$AC605*$S605)</f>
        <v/>
      </c>
      <c r="AL605" s="35">
        <f>IF($AH605="",DATE(2100,12,31),$AH605+1)</f>
        <v/>
      </c>
      <c r="AM605" s="35">
        <f>IF($AH605="",DATE(1900,1,1),$AG605)</f>
        <v/>
      </c>
      <c r="AN605" s="32">
        <f>IF($AH605="",0,$AC605*$T605)</f>
        <v/>
      </c>
      <c r="AO605" s="46">
        <f>IF($C605="",0,IFERROR(INDEX(Deals!$BD$2:$BD$355,MATCH($C605,Deals!$A$2:$A$355,0)),0))</f>
        <v/>
      </c>
      <c r="AP605" s="18">
        <f>IF($AO605=0,0,IFERROR(INDEX(Deals!$BJ$2:$BP$355,MATCH($C605,Deals!$A$2:$A$355,0),MATCH($F605,Deals!$BJ$1:$BP$1,0))/COUNTIFS(Assignments!$C$2:$C$769,$C605,Assignments!$F$2:$F$769,$F605,Assignments!$G$2:$G$769,"Active"),0))</f>
        <v/>
      </c>
    </row>
    <row r="606">
      <c r="A606" s="28" t="inlineStr">
        <is>
          <t>Yiyi</t>
        </is>
      </c>
      <c r="B606" s="16">
        <f>IF($A606="","",IFERROR(INDEX(Roster!$B$2:$B$40,MATCH($A606,Roster!$A$2:$A$40,0)),"?"))</f>
        <v/>
      </c>
      <c r="C606" s="28" t="inlineStr">
        <is>
          <t>Gonzaga_2</t>
        </is>
      </c>
      <c r="D606" s="16">
        <f>IF($C606="","",IFERROR(IF(INDEX(Deals!$C$2:$C$355,MATCH($C606,Deals!$A$2:$A$355,0))=0,"",INDEX(Deals!$C$2:$C$355,MATCH($C606,Deals!$A$2:$A$355,0))),"?"))</f>
        <v/>
      </c>
      <c r="E606" s="16">
        <f>IF($C606="","",IFERROR(INDEX(Deals!$F$2:$F$355,MATCH($C606,Deals!$A$2:$A$355,0)),"?"))</f>
        <v/>
      </c>
      <c r="F606" s="28" t="inlineStr">
        <is>
          <t>Renewable Specialist</t>
        </is>
      </c>
      <c r="G606" s="28" t="inlineStr">
        <is>
          <t>Active</t>
        </is>
      </c>
      <c r="H606" s="31" t="n"/>
      <c r="I606" s="32">
        <f>IF(OR($A606="",$G606&lt;&gt;"Active"),0,IF($H606&lt;&gt;"",$H606,IF($AO606&gt;0,$AP606,IF(AND($R606&lt;&gt;"",IFERROR(INDEX(Templates!$B$3:$H$10,MATCH($R606,Templates!$A$3:$A$10,0),MATCH($F606,Templates!$B$2:$H$2,0)),0)&gt;0),INDEX(Templates!$B$3:$H$10,MATCH($R606,Templates!$A$3:$A$10,0),MATCH($F606,Templates!$B$2:$H$2,0)),IFERROR(INDEX(Settings!$B$8:$B$14,MATCH($F606,Settings!$A$8:$A$14,0)),0)))))</f>
        <v/>
      </c>
      <c r="J606" s="21">
        <f>IF($C606="",0,IFERROR(INDEX(Deals!$H$2:$H$355,MATCH($C606,Deals!$A$2:$A$355,0)),0))</f>
        <v/>
      </c>
      <c r="K606" s="32">
        <f>IF(Settings!$B$4="Yes",$I606*$J606,$I606)</f>
        <v/>
      </c>
      <c r="L606" s="22">
        <f>IF($C606="","",IFERROR(IF(INDEX(Deals!$I$2:$I$355,MATCH($C606,Deals!$A$2:$A$355,0))=0,"",INDEX(Deals!$I$2:$I$355,MATCH($C606,Deals!$A$2:$A$355,0))),""))</f>
        <v/>
      </c>
      <c r="M606" s="22">
        <f>IF($C606="","",IFERROR(IF(INDEX(Deals!$J$2:$J$355,MATCH($C606,Deals!$A$2:$A$355,0))=0,"",INDEX(Deals!$J$2:$J$355,MATCH($C606,Deals!$A$2:$A$355,0))),""))</f>
        <v/>
      </c>
      <c r="N606" s="35">
        <f>IF($L606="",DATE(1900,1,1),$L606)</f>
        <v/>
      </c>
      <c r="O606" s="35">
        <f>IF($M606="",DATE(2100,12,31),$M606)</f>
        <v/>
      </c>
      <c r="P606" s="20" t="inlineStr"/>
      <c r="Q606" s="47" t="inlineStr"/>
      <c r="R606" s="16">
        <f>IF($C606="","",IFERROR(IF(INDEX(Deals!$U$2:$U$355,MATCH($C606,Deals!$A$2:$A$355,0))=0,"",INDEX(Deals!$U$2:$U$355,MATCH($C606,Deals!$A$2:$A$355,0))),""))</f>
        <v/>
      </c>
      <c r="S606" s="34">
        <f>IFERROR(IF($U606="",1,INDEX(Deals!$V$2:$V$355,MATCH($C606,Deals!$A$2:$A$355,0))),1)</f>
        <v/>
      </c>
      <c r="T606" s="34">
        <f>IFERROR(IF($U606="",1,INDEX(Deals!$W$2:$W$355,MATCH($C606,Deals!$A$2:$A$355,0))),1)</f>
        <v/>
      </c>
      <c r="U606" s="22">
        <f>IF($C606="","",IFERROR(IF(INDEX(Deals!$Y$2:$Y$355,MATCH($C606,Deals!$A$2:$A$355,0))=0,"",INDEX(Deals!$Y$2:$Y$355,MATCH($C606,Deals!$A$2:$A$355,0))),""))</f>
        <v/>
      </c>
      <c r="V606" s="35">
        <f>IF(OR($U606&lt;&gt;"",AND($AO606&gt;0,$L606&lt;&gt;"",$M606&lt;&gt;"")),$N606,DATE(1900,1,1))</f>
        <v/>
      </c>
      <c r="W606" s="35">
        <f>IF($U606&lt;&gt;"",$U606,IF(AND($AO606&gt;0,$L606&lt;&gt;"",$M606&lt;&gt;""),$O606,DATE(2100,12,31)))</f>
        <v/>
      </c>
      <c r="X606" s="32">
        <f>IF($U606="",$K606,$K606*$S606)</f>
        <v/>
      </c>
      <c r="Y606" s="35">
        <f>IF($U606="",DATE(2100,12,31),$U606+1)</f>
        <v/>
      </c>
      <c r="Z606" s="35">
        <f>IF($U606="",DATE(1900,1,1),$O606)</f>
        <v/>
      </c>
      <c r="AA606" s="32">
        <f>IF($U606="",0,$K606*$T606)</f>
        <v/>
      </c>
      <c r="AB606" s="21">
        <f>IF($C606="",0,IFERROR(INDEX(Deals!$AD$2:$AD$355,MATCH($C606,Deals!$A$2:$A$355,0)),0))</f>
        <v/>
      </c>
      <c r="AC606" s="32">
        <f>IF(Settings!$B$4="Yes",$I606*$AB606,$I606)</f>
        <v/>
      </c>
      <c r="AD606" s="22">
        <f>IF($C606="","",IFERROR(IF(INDEX(Deals!$AE$2:$AE$355,MATCH($C606,Deals!$A$2:$A$355,0))=0,"",INDEX(Deals!$AE$2:$AE$355,MATCH($C606,Deals!$A$2:$A$355,0))),""))</f>
        <v/>
      </c>
      <c r="AE606" s="22">
        <f>IF($C606="","",IFERROR(IF(INDEX(Deals!$AF$2:$AF$355,MATCH($C606,Deals!$A$2:$A$355,0))=0,"",INDEX(Deals!$AF$2:$AF$355,MATCH($C606,Deals!$A$2:$A$355,0))),""))</f>
        <v/>
      </c>
      <c r="AF606" s="35">
        <f>IF($AD606="",DATE(1900,1,1),$AD606)</f>
        <v/>
      </c>
      <c r="AG606" s="35">
        <f>IF($AE606="",DATE(2100,12,31),$AE606)</f>
        <v/>
      </c>
      <c r="AH606" s="22">
        <f>IF($C606="","",IFERROR(IF(INDEX(Deals!$AG$2:$AG$355,MATCH($C606,Deals!$A$2:$A$355,0))=0,"",INDEX(Deals!$AG$2:$AG$355,MATCH($C606,Deals!$A$2:$A$355,0))),""))</f>
        <v/>
      </c>
      <c r="AI606" s="35">
        <f>IF(OR($AH606&lt;&gt;"",AND($AO606&gt;0,$AD606&lt;&gt;"",$AE606&lt;&gt;"")),$AF606,DATE(1900,1,1))</f>
        <v/>
      </c>
      <c r="AJ606" s="35">
        <f>IF($AH606&lt;&gt;"",$AH606,IF(AND($AO606&gt;0,$AD606&lt;&gt;"",$AE606&lt;&gt;""),$AG606,DATE(2100,12,31)))</f>
        <v/>
      </c>
      <c r="AK606" s="32">
        <f>IF($AH606="",$AC606,$AC606*$S606)</f>
        <v/>
      </c>
      <c r="AL606" s="35">
        <f>IF($AH606="",DATE(2100,12,31),$AH606+1)</f>
        <v/>
      </c>
      <c r="AM606" s="35">
        <f>IF($AH606="",DATE(1900,1,1),$AG606)</f>
        <v/>
      </c>
      <c r="AN606" s="32">
        <f>IF($AH606="",0,$AC606*$T606)</f>
        <v/>
      </c>
      <c r="AO606" s="46">
        <f>IF($C606="",0,IFERROR(INDEX(Deals!$BD$2:$BD$355,MATCH($C606,Deals!$A$2:$A$355,0)),0))</f>
        <v/>
      </c>
      <c r="AP606" s="18">
        <f>IF($AO606=0,0,IFERROR(INDEX(Deals!$BJ$2:$BP$355,MATCH($C606,Deals!$A$2:$A$355,0),MATCH($F606,Deals!$BJ$1:$BP$1,0))/COUNTIFS(Assignments!$C$2:$C$769,$C606,Assignments!$F$2:$F$769,$F606,Assignments!$G$2:$G$769,"Active"),0))</f>
        <v/>
      </c>
    </row>
    <row r="607">
      <c r="A607" s="28" t="inlineStr">
        <is>
          <t>Yiyi</t>
        </is>
      </c>
      <c r="B607" s="16">
        <f>IF($A607="","",IFERROR(INDEX(Roster!$B$2:$B$40,MATCH($A607,Roster!$A$2:$A$40,0)),"?"))</f>
        <v/>
      </c>
      <c r="C607" s="28" t="inlineStr">
        <is>
          <t>GPRE_1</t>
        </is>
      </c>
      <c r="D607" s="16">
        <f>IF($C607="","",IFERROR(IF(INDEX(Deals!$C$2:$C$355,MATCH($C607,Deals!$A$2:$A$355,0))=0,"",INDEX(Deals!$C$2:$C$355,MATCH($C607,Deals!$A$2:$A$355,0))),"?"))</f>
        <v/>
      </c>
      <c r="E607" s="16">
        <f>IF($C607="","",IFERROR(INDEX(Deals!$F$2:$F$355,MATCH($C607,Deals!$A$2:$A$355,0)),"?"))</f>
        <v/>
      </c>
      <c r="F607" s="28" t="inlineStr">
        <is>
          <t>Renewable Specialist</t>
        </is>
      </c>
      <c r="G607" s="28" t="inlineStr">
        <is>
          <t>Active</t>
        </is>
      </c>
      <c r="H607" s="31" t="n"/>
      <c r="I607" s="32">
        <f>IF(OR($A607="",$G607&lt;&gt;"Active"),0,IF($H607&lt;&gt;"",$H607,IF($AO607&gt;0,$AP607,IF(AND($R607&lt;&gt;"",IFERROR(INDEX(Templates!$B$3:$H$10,MATCH($R607,Templates!$A$3:$A$10,0),MATCH($F607,Templates!$B$2:$H$2,0)),0)&gt;0),INDEX(Templates!$B$3:$H$10,MATCH($R607,Templates!$A$3:$A$10,0),MATCH($F607,Templates!$B$2:$H$2,0)),IFERROR(INDEX(Settings!$B$8:$B$14,MATCH($F607,Settings!$A$8:$A$14,0)),0)))))</f>
        <v/>
      </c>
      <c r="J607" s="21">
        <f>IF($C607="",0,IFERROR(INDEX(Deals!$H$2:$H$355,MATCH($C607,Deals!$A$2:$A$355,0)),0))</f>
        <v/>
      </c>
      <c r="K607" s="32">
        <f>IF(Settings!$B$4="Yes",$I607*$J607,$I607)</f>
        <v/>
      </c>
      <c r="L607" s="22">
        <f>IF($C607="","",IFERROR(IF(INDEX(Deals!$I$2:$I$355,MATCH($C607,Deals!$A$2:$A$355,0))=0,"",INDEX(Deals!$I$2:$I$355,MATCH($C607,Deals!$A$2:$A$355,0))),""))</f>
        <v/>
      </c>
      <c r="M607" s="22">
        <f>IF($C607="","",IFERROR(IF(INDEX(Deals!$J$2:$J$355,MATCH($C607,Deals!$A$2:$A$355,0))=0,"",INDEX(Deals!$J$2:$J$355,MATCH($C607,Deals!$A$2:$A$355,0))),""))</f>
        <v/>
      </c>
      <c r="N607" s="35">
        <f>IF($L607="",DATE(1900,1,1),$L607)</f>
        <v/>
      </c>
      <c r="O607" s="35">
        <f>IF($M607="",DATE(2100,12,31),$M607)</f>
        <v/>
      </c>
      <c r="P607" s="20" t="inlineStr"/>
      <c r="Q607" s="47" t="inlineStr"/>
      <c r="R607" s="16">
        <f>IF($C607="","",IFERROR(IF(INDEX(Deals!$U$2:$U$355,MATCH($C607,Deals!$A$2:$A$355,0))=0,"",INDEX(Deals!$U$2:$U$355,MATCH($C607,Deals!$A$2:$A$355,0))),""))</f>
        <v/>
      </c>
      <c r="S607" s="34">
        <f>IFERROR(IF($U607="",1,INDEX(Deals!$V$2:$V$355,MATCH($C607,Deals!$A$2:$A$355,0))),1)</f>
        <v/>
      </c>
      <c r="T607" s="34">
        <f>IFERROR(IF($U607="",1,INDEX(Deals!$W$2:$W$355,MATCH($C607,Deals!$A$2:$A$355,0))),1)</f>
        <v/>
      </c>
      <c r="U607" s="22">
        <f>IF($C607="","",IFERROR(IF(INDEX(Deals!$Y$2:$Y$355,MATCH($C607,Deals!$A$2:$A$355,0))=0,"",INDEX(Deals!$Y$2:$Y$355,MATCH($C607,Deals!$A$2:$A$355,0))),""))</f>
        <v/>
      </c>
      <c r="V607" s="35">
        <f>IF(OR($U607&lt;&gt;"",AND($AO607&gt;0,$L607&lt;&gt;"",$M607&lt;&gt;"")),$N607,DATE(1900,1,1))</f>
        <v/>
      </c>
      <c r="W607" s="35">
        <f>IF($U607&lt;&gt;"",$U607,IF(AND($AO607&gt;0,$L607&lt;&gt;"",$M607&lt;&gt;""),$O607,DATE(2100,12,31)))</f>
        <v/>
      </c>
      <c r="X607" s="32">
        <f>IF($U607="",$K607,$K607*$S607)</f>
        <v/>
      </c>
      <c r="Y607" s="35">
        <f>IF($U607="",DATE(2100,12,31),$U607+1)</f>
        <v/>
      </c>
      <c r="Z607" s="35">
        <f>IF($U607="",DATE(1900,1,1),$O607)</f>
        <v/>
      </c>
      <c r="AA607" s="32">
        <f>IF($U607="",0,$K607*$T607)</f>
        <v/>
      </c>
      <c r="AB607" s="21">
        <f>IF($C607="",0,IFERROR(INDEX(Deals!$AD$2:$AD$355,MATCH($C607,Deals!$A$2:$A$355,0)),0))</f>
        <v/>
      </c>
      <c r="AC607" s="32">
        <f>IF(Settings!$B$4="Yes",$I607*$AB607,$I607)</f>
        <v/>
      </c>
      <c r="AD607" s="22">
        <f>IF($C607="","",IFERROR(IF(INDEX(Deals!$AE$2:$AE$355,MATCH($C607,Deals!$A$2:$A$355,0))=0,"",INDEX(Deals!$AE$2:$AE$355,MATCH($C607,Deals!$A$2:$A$355,0))),""))</f>
        <v/>
      </c>
      <c r="AE607" s="22">
        <f>IF($C607="","",IFERROR(IF(INDEX(Deals!$AF$2:$AF$355,MATCH($C607,Deals!$A$2:$A$355,0))=0,"",INDEX(Deals!$AF$2:$AF$355,MATCH($C607,Deals!$A$2:$A$355,0))),""))</f>
        <v/>
      </c>
      <c r="AF607" s="35">
        <f>IF($AD607="",DATE(1900,1,1),$AD607)</f>
        <v/>
      </c>
      <c r="AG607" s="35">
        <f>IF($AE607="",DATE(2100,12,31),$AE607)</f>
        <v/>
      </c>
      <c r="AH607" s="22">
        <f>IF($C607="","",IFERROR(IF(INDEX(Deals!$AG$2:$AG$355,MATCH($C607,Deals!$A$2:$A$355,0))=0,"",INDEX(Deals!$AG$2:$AG$355,MATCH($C607,Deals!$A$2:$A$355,0))),""))</f>
        <v/>
      </c>
      <c r="AI607" s="35">
        <f>IF(OR($AH607&lt;&gt;"",AND($AO607&gt;0,$AD607&lt;&gt;"",$AE607&lt;&gt;"")),$AF607,DATE(1900,1,1))</f>
        <v/>
      </c>
      <c r="AJ607" s="35">
        <f>IF($AH607&lt;&gt;"",$AH607,IF(AND($AO607&gt;0,$AD607&lt;&gt;"",$AE607&lt;&gt;""),$AG607,DATE(2100,12,31)))</f>
        <v/>
      </c>
      <c r="AK607" s="32">
        <f>IF($AH607="",$AC607,$AC607*$S607)</f>
        <v/>
      </c>
      <c r="AL607" s="35">
        <f>IF($AH607="",DATE(2100,12,31),$AH607+1)</f>
        <v/>
      </c>
      <c r="AM607" s="35">
        <f>IF($AH607="",DATE(1900,1,1),$AG607)</f>
        <v/>
      </c>
      <c r="AN607" s="32">
        <f>IF($AH607="",0,$AC607*$T607)</f>
        <v/>
      </c>
      <c r="AO607" s="46">
        <f>IF($C607="",0,IFERROR(INDEX(Deals!$BD$2:$BD$355,MATCH($C607,Deals!$A$2:$A$355,0)),0))</f>
        <v/>
      </c>
      <c r="AP607" s="18">
        <f>IF($AO607=0,0,IFERROR(INDEX(Deals!$BJ$2:$BP$355,MATCH($C607,Deals!$A$2:$A$355,0),MATCH($F607,Deals!$BJ$1:$BP$1,0))/COUNTIFS(Assignments!$C$2:$C$769,$C607,Assignments!$F$2:$F$769,$F607,Assignments!$G$2:$G$769,"Active"),0))</f>
        <v/>
      </c>
    </row>
    <row r="608">
      <c r="A608" s="28" t="inlineStr">
        <is>
          <t>Yiyi</t>
        </is>
      </c>
      <c r="B608" s="16">
        <f>IF($A608="","",IFERROR(INDEX(Roster!$B$2:$B$40,MATCH($A608,Roster!$A$2:$A$40,0)),"?"))</f>
        <v/>
      </c>
      <c r="C608" s="28" t="inlineStr">
        <is>
          <t>Gravel_1</t>
        </is>
      </c>
      <c r="D608" s="16">
        <f>IF($C608="","",IFERROR(IF(INDEX(Deals!$C$2:$C$355,MATCH($C608,Deals!$A$2:$A$355,0))=0,"",INDEX(Deals!$C$2:$C$355,MATCH($C608,Deals!$A$2:$A$355,0))),"?"))</f>
        <v/>
      </c>
      <c r="E608" s="16">
        <f>IF($C608="","",IFERROR(INDEX(Deals!$F$2:$F$355,MATCH($C608,Deals!$A$2:$A$355,0)),"?"))</f>
        <v/>
      </c>
      <c r="F608" s="28" t="inlineStr">
        <is>
          <t>Renewable Specialist</t>
        </is>
      </c>
      <c r="G608" s="28" t="inlineStr">
        <is>
          <t>Active</t>
        </is>
      </c>
      <c r="H608" s="31" t="n"/>
      <c r="I608" s="32">
        <f>IF(OR($A608="",$G608&lt;&gt;"Active"),0,IF($H608&lt;&gt;"",$H608,IF($AO608&gt;0,$AP608,IF(AND($R608&lt;&gt;"",IFERROR(INDEX(Templates!$B$3:$H$10,MATCH($R608,Templates!$A$3:$A$10,0),MATCH($F608,Templates!$B$2:$H$2,0)),0)&gt;0),INDEX(Templates!$B$3:$H$10,MATCH($R608,Templates!$A$3:$A$10,0),MATCH($F608,Templates!$B$2:$H$2,0)),IFERROR(INDEX(Settings!$B$8:$B$14,MATCH($F608,Settings!$A$8:$A$14,0)),0)))))</f>
        <v/>
      </c>
      <c r="J608" s="21">
        <f>IF($C608="",0,IFERROR(INDEX(Deals!$H$2:$H$355,MATCH($C608,Deals!$A$2:$A$355,0)),0))</f>
        <v/>
      </c>
      <c r="K608" s="32">
        <f>IF(Settings!$B$4="Yes",$I608*$J608,$I608)</f>
        <v/>
      </c>
      <c r="L608" s="22">
        <f>IF($C608="","",IFERROR(IF(INDEX(Deals!$I$2:$I$355,MATCH($C608,Deals!$A$2:$A$355,0))=0,"",INDEX(Deals!$I$2:$I$355,MATCH($C608,Deals!$A$2:$A$355,0))),""))</f>
        <v/>
      </c>
      <c r="M608" s="22">
        <f>IF($C608="","",IFERROR(IF(INDEX(Deals!$J$2:$J$355,MATCH($C608,Deals!$A$2:$A$355,0))=0,"",INDEX(Deals!$J$2:$J$355,MATCH($C608,Deals!$A$2:$A$355,0))),""))</f>
        <v/>
      </c>
      <c r="N608" s="35">
        <f>IF($L608="",DATE(1900,1,1),$L608)</f>
        <v/>
      </c>
      <c r="O608" s="35">
        <f>IF($M608="",DATE(2100,12,31),$M608)</f>
        <v/>
      </c>
      <c r="P608" s="20" t="inlineStr"/>
      <c r="Q608" s="47" t="inlineStr"/>
      <c r="R608" s="16">
        <f>IF($C608="","",IFERROR(IF(INDEX(Deals!$U$2:$U$355,MATCH($C608,Deals!$A$2:$A$355,0))=0,"",INDEX(Deals!$U$2:$U$355,MATCH($C608,Deals!$A$2:$A$355,0))),""))</f>
        <v/>
      </c>
      <c r="S608" s="34">
        <f>IFERROR(IF($U608="",1,INDEX(Deals!$V$2:$V$355,MATCH($C608,Deals!$A$2:$A$355,0))),1)</f>
        <v/>
      </c>
      <c r="T608" s="34">
        <f>IFERROR(IF($U608="",1,INDEX(Deals!$W$2:$W$355,MATCH($C608,Deals!$A$2:$A$355,0))),1)</f>
        <v/>
      </c>
      <c r="U608" s="22">
        <f>IF($C608="","",IFERROR(IF(INDEX(Deals!$Y$2:$Y$355,MATCH($C608,Deals!$A$2:$A$355,0))=0,"",INDEX(Deals!$Y$2:$Y$355,MATCH($C608,Deals!$A$2:$A$355,0))),""))</f>
        <v/>
      </c>
      <c r="V608" s="35">
        <f>IF(OR($U608&lt;&gt;"",AND($AO608&gt;0,$L608&lt;&gt;"",$M608&lt;&gt;"")),$N608,DATE(1900,1,1))</f>
        <v/>
      </c>
      <c r="W608" s="35">
        <f>IF($U608&lt;&gt;"",$U608,IF(AND($AO608&gt;0,$L608&lt;&gt;"",$M608&lt;&gt;""),$O608,DATE(2100,12,31)))</f>
        <v/>
      </c>
      <c r="X608" s="32">
        <f>IF($U608="",$K608,$K608*$S608)</f>
        <v/>
      </c>
      <c r="Y608" s="35">
        <f>IF($U608="",DATE(2100,12,31),$U608+1)</f>
        <v/>
      </c>
      <c r="Z608" s="35">
        <f>IF($U608="",DATE(1900,1,1),$O608)</f>
        <v/>
      </c>
      <c r="AA608" s="32">
        <f>IF($U608="",0,$K608*$T608)</f>
        <v/>
      </c>
      <c r="AB608" s="21">
        <f>IF($C608="",0,IFERROR(INDEX(Deals!$AD$2:$AD$355,MATCH($C608,Deals!$A$2:$A$355,0)),0))</f>
        <v/>
      </c>
      <c r="AC608" s="32">
        <f>IF(Settings!$B$4="Yes",$I608*$AB608,$I608)</f>
        <v/>
      </c>
      <c r="AD608" s="22">
        <f>IF($C608="","",IFERROR(IF(INDEX(Deals!$AE$2:$AE$355,MATCH($C608,Deals!$A$2:$A$355,0))=0,"",INDEX(Deals!$AE$2:$AE$355,MATCH($C608,Deals!$A$2:$A$355,0))),""))</f>
        <v/>
      </c>
      <c r="AE608" s="22">
        <f>IF($C608="","",IFERROR(IF(INDEX(Deals!$AF$2:$AF$355,MATCH($C608,Deals!$A$2:$A$355,0))=0,"",INDEX(Deals!$AF$2:$AF$355,MATCH($C608,Deals!$A$2:$A$355,0))),""))</f>
        <v/>
      </c>
      <c r="AF608" s="35">
        <f>IF($AD608="",DATE(1900,1,1),$AD608)</f>
        <v/>
      </c>
      <c r="AG608" s="35">
        <f>IF($AE608="",DATE(2100,12,31),$AE608)</f>
        <v/>
      </c>
      <c r="AH608" s="22">
        <f>IF($C608="","",IFERROR(IF(INDEX(Deals!$AG$2:$AG$355,MATCH($C608,Deals!$A$2:$A$355,0))=0,"",INDEX(Deals!$AG$2:$AG$355,MATCH($C608,Deals!$A$2:$A$355,0))),""))</f>
        <v/>
      </c>
      <c r="AI608" s="35">
        <f>IF(OR($AH608&lt;&gt;"",AND($AO608&gt;0,$AD608&lt;&gt;"",$AE608&lt;&gt;"")),$AF608,DATE(1900,1,1))</f>
        <v/>
      </c>
      <c r="AJ608" s="35">
        <f>IF($AH608&lt;&gt;"",$AH608,IF(AND($AO608&gt;0,$AD608&lt;&gt;"",$AE608&lt;&gt;""),$AG608,DATE(2100,12,31)))</f>
        <v/>
      </c>
      <c r="AK608" s="32">
        <f>IF($AH608="",$AC608,$AC608*$S608)</f>
        <v/>
      </c>
      <c r="AL608" s="35">
        <f>IF($AH608="",DATE(2100,12,31),$AH608+1)</f>
        <v/>
      </c>
      <c r="AM608" s="35">
        <f>IF($AH608="",DATE(1900,1,1),$AG608)</f>
        <v/>
      </c>
      <c r="AN608" s="32">
        <f>IF($AH608="",0,$AC608*$T608)</f>
        <v/>
      </c>
      <c r="AO608" s="46">
        <f>IF($C608="",0,IFERROR(INDEX(Deals!$BD$2:$BD$355,MATCH($C608,Deals!$A$2:$A$355,0)),0))</f>
        <v/>
      </c>
      <c r="AP608" s="18">
        <f>IF($AO608=0,0,IFERROR(INDEX(Deals!$BJ$2:$BP$355,MATCH($C608,Deals!$A$2:$A$355,0),MATCH($F608,Deals!$BJ$1:$BP$1,0))/COUNTIFS(Assignments!$C$2:$C$769,$C608,Assignments!$F$2:$F$769,$F608,Assignments!$G$2:$G$769,"Active"),0))</f>
        <v/>
      </c>
    </row>
    <row r="609">
      <c r="A609" s="28" t="inlineStr">
        <is>
          <t>Yiyi</t>
        </is>
      </c>
      <c r="B609" s="16">
        <f>IF($A609="","",IFERROR(INDEX(Roster!$B$2:$B$40,MATCH($A609,Roster!$A$2:$A$40,0)),"?"))</f>
        <v/>
      </c>
      <c r="C609" s="28" t="inlineStr">
        <is>
          <t>Greenkey_1</t>
        </is>
      </c>
      <c r="D609" s="16">
        <f>IF($C609="","",IFERROR(IF(INDEX(Deals!$C$2:$C$355,MATCH($C609,Deals!$A$2:$A$355,0))=0,"",INDEX(Deals!$C$2:$C$355,MATCH($C609,Deals!$A$2:$A$355,0))),"?"))</f>
        <v/>
      </c>
      <c r="E609" s="16">
        <f>IF($C609="","",IFERROR(INDEX(Deals!$F$2:$F$355,MATCH($C609,Deals!$A$2:$A$355,0)),"?"))</f>
        <v/>
      </c>
      <c r="F609" s="28" t="inlineStr">
        <is>
          <t>Renewable Specialist</t>
        </is>
      </c>
      <c r="G609" s="28" t="inlineStr">
        <is>
          <t>Active</t>
        </is>
      </c>
      <c r="H609" s="31" t="n"/>
      <c r="I609" s="32">
        <f>IF(OR($A609="",$G609&lt;&gt;"Active"),0,IF($H609&lt;&gt;"",$H609,IF($AO609&gt;0,$AP609,IF(AND($R609&lt;&gt;"",IFERROR(INDEX(Templates!$B$3:$H$10,MATCH($R609,Templates!$A$3:$A$10,0),MATCH($F609,Templates!$B$2:$H$2,0)),0)&gt;0),INDEX(Templates!$B$3:$H$10,MATCH($R609,Templates!$A$3:$A$10,0),MATCH($F609,Templates!$B$2:$H$2,0)),IFERROR(INDEX(Settings!$B$8:$B$14,MATCH($F609,Settings!$A$8:$A$14,0)),0)))))</f>
        <v/>
      </c>
      <c r="J609" s="21">
        <f>IF($C609="",0,IFERROR(INDEX(Deals!$H$2:$H$355,MATCH($C609,Deals!$A$2:$A$355,0)),0))</f>
        <v/>
      </c>
      <c r="K609" s="32">
        <f>IF(Settings!$B$4="Yes",$I609*$J609,$I609)</f>
        <v/>
      </c>
      <c r="L609" s="22">
        <f>IF($C609="","",IFERROR(IF(INDEX(Deals!$I$2:$I$355,MATCH($C609,Deals!$A$2:$A$355,0))=0,"",INDEX(Deals!$I$2:$I$355,MATCH($C609,Deals!$A$2:$A$355,0))),""))</f>
        <v/>
      </c>
      <c r="M609" s="22">
        <f>IF($C609="","",IFERROR(IF(INDEX(Deals!$J$2:$J$355,MATCH($C609,Deals!$A$2:$A$355,0))=0,"",INDEX(Deals!$J$2:$J$355,MATCH($C609,Deals!$A$2:$A$355,0))),""))</f>
        <v/>
      </c>
      <c r="N609" s="35">
        <f>IF($L609="",DATE(1900,1,1),$L609)</f>
        <v/>
      </c>
      <c r="O609" s="35">
        <f>IF($M609="",DATE(2100,12,31),$M609)</f>
        <v/>
      </c>
      <c r="P609" s="20" t="inlineStr"/>
      <c r="Q609" s="47" t="inlineStr"/>
      <c r="R609" s="16">
        <f>IF($C609="","",IFERROR(IF(INDEX(Deals!$U$2:$U$355,MATCH($C609,Deals!$A$2:$A$355,0))=0,"",INDEX(Deals!$U$2:$U$355,MATCH($C609,Deals!$A$2:$A$355,0))),""))</f>
        <v/>
      </c>
      <c r="S609" s="34">
        <f>IFERROR(IF($U609="",1,INDEX(Deals!$V$2:$V$355,MATCH($C609,Deals!$A$2:$A$355,0))),1)</f>
        <v/>
      </c>
      <c r="T609" s="34">
        <f>IFERROR(IF($U609="",1,INDEX(Deals!$W$2:$W$355,MATCH($C609,Deals!$A$2:$A$355,0))),1)</f>
        <v/>
      </c>
      <c r="U609" s="22">
        <f>IF($C609="","",IFERROR(IF(INDEX(Deals!$Y$2:$Y$355,MATCH($C609,Deals!$A$2:$A$355,0))=0,"",INDEX(Deals!$Y$2:$Y$355,MATCH($C609,Deals!$A$2:$A$355,0))),""))</f>
        <v/>
      </c>
      <c r="V609" s="35">
        <f>IF(OR($U609&lt;&gt;"",AND($AO609&gt;0,$L609&lt;&gt;"",$M609&lt;&gt;"")),$N609,DATE(1900,1,1))</f>
        <v/>
      </c>
      <c r="W609" s="35">
        <f>IF($U609&lt;&gt;"",$U609,IF(AND($AO609&gt;0,$L609&lt;&gt;"",$M609&lt;&gt;""),$O609,DATE(2100,12,31)))</f>
        <v/>
      </c>
      <c r="X609" s="32">
        <f>IF($U609="",$K609,$K609*$S609)</f>
        <v/>
      </c>
      <c r="Y609" s="35">
        <f>IF($U609="",DATE(2100,12,31),$U609+1)</f>
        <v/>
      </c>
      <c r="Z609" s="35">
        <f>IF($U609="",DATE(1900,1,1),$O609)</f>
        <v/>
      </c>
      <c r="AA609" s="32">
        <f>IF($U609="",0,$K609*$T609)</f>
        <v/>
      </c>
      <c r="AB609" s="21">
        <f>IF($C609="",0,IFERROR(INDEX(Deals!$AD$2:$AD$355,MATCH($C609,Deals!$A$2:$A$355,0)),0))</f>
        <v/>
      </c>
      <c r="AC609" s="32">
        <f>IF(Settings!$B$4="Yes",$I609*$AB609,$I609)</f>
        <v/>
      </c>
      <c r="AD609" s="22">
        <f>IF($C609="","",IFERROR(IF(INDEX(Deals!$AE$2:$AE$355,MATCH($C609,Deals!$A$2:$A$355,0))=0,"",INDEX(Deals!$AE$2:$AE$355,MATCH($C609,Deals!$A$2:$A$355,0))),""))</f>
        <v/>
      </c>
      <c r="AE609" s="22">
        <f>IF($C609="","",IFERROR(IF(INDEX(Deals!$AF$2:$AF$355,MATCH($C609,Deals!$A$2:$A$355,0))=0,"",INDEX(Deals!$AF$2:$AF$355,MATCH($C609,Deals!$A$2:$A$355,0))),""))</f>
        <v/>
      </c>
      <c r="AF609" s="35">
        <f>IF($AD609="",DATE(1900,1,1),$AD609)</f>
        <v/>
      </c>
      <c r="AG609" s="35">
        <f>IF($AE609="",DATE(2100,12,31),$AE609)</f>
        <v/>
      </c>
      <c r="AH609" s="22">
        <f>IF($C609="","",IFERROR(IF(INDEX(Deals!$AG$2:$AG$355,MATCH($C609,Deals!$A$2:$A$355,0))=0,"",INDEX(Deals!$AG$2:$AG$355,MATCH($C609,Deals!$A$2:$A$355,0))),""))</f>
        <v/>
      </c>
      <c r="AI609" s="35">
        <f>IF(OR($AH609&lt;&gt;"",AND($AO609&gt;0,$AD609&lt;&gt;"",$AE609&lt;&gt;"")),$AF609,DATE(1900,1,1))</f>
        <v/>
      </c>
      <c r="AJ609" s="35">
        <f>IF($AH609&lt;&gt;"",$AH609,IF(AND($AO609&gt;0,$AD609&lt;&gt;"",$AE609&lt;&gt;""),$AG609,DATE(2100,12,31)))</f>
        <v/>
      </c>
      <c r="AK609" s="32">
        <f>IF($AH609="",$AC609,$AC609*$S609)</f>
        <v/>
      </c>
      <c r="AL609" s="35">
        <f>IF($AH609="",DATE(2100,12,31),$AH609+1)</f>
        <v/>
      </c>
      <c r="AM609" s="35">
        <f>IF($AH609="",DATE(1900,1,1),$AG609)</f>
        <v/>
      </c>
      <c r="AN609" s="32">
        <f>IF($AH609="",0,$AC609*$T609)</f>
        <v/>
      </c>
      <c r="AO609" s="46">
        <f>IF($C609="",0,IFERROR(INDEX(Deals!$BD$2:$BD$355,MATCH($C609,Deals!$A$2:$A$355,0)),0))</f>
        <v/>
      </c>
      <c r="AP609" s="18">
        <f>IF($AO609=0,0,IFERROR(INDEX(Deals!$BJ$2:$BP$355,MATCH($C609,Deals!$A$2:$A$355,0),MATCH($F609,Deals!$BJ$1:$BP$1,0))/COUNTIFS(Assignments!$C$2:$C$769,$C609,Assignments!$F$2:$F$769,$F609,Assignments!$G$2:$G$769,"Active"),0))</f>
        <v/>
      </c>
    </row>
    <row r="610">
      <c r="A610" s="28" t="inlineStr">
        <is>
          <t>Yiyi</t>
        </is>
      </c>
      <c r="B610" s="16">
        <f>IF($A610="","",IFERROR(INDEX(Roster!$B$2:$B$40,MATCH($A610,Roster!$A$2:$A$40,0)),"?"))</f>
        <v/>
      </c>
      <c r="C610" s="28" t="inlineStr">
        <is>
          <t>Guardian_3</t>
        </is>
      </c>
      <c r="D610" s="16">
        <f>IF($C610="","",IFERROR(IF(INDEX(Deals!$C$2:$C$355,MATCH($C610,Deals!$A$2:$A$355,0))=0,"",INDEX(Deals!$C$2:$C$355,MATCH($C610,Deals!$A$2:$A$355,0))),"?"))</f>
        <v/>
      </c>
      <c r="E610" s="16">
        <f>IF($C610="","",IFERROR(INDEX(Deals!$F$2:$F$355,MATCH($C610,Deals!$A$2:$A$355,0)),"?"))</f>
        <v/>
      </c>
      <c r="F610" s="28" t="inlineStr">
        <is>
          <t>Renewable Specialist</t>
        </is>
      </c>
      <c r="G610" s="28" t="inlineStr">
        <is>
          <t>Active</t>
        </is>
      </c>
      <c r="H610" s="31" t="n"/>
      <c r="I610" s="32">
        <f>IF(OR($A610="",$G610&lt;&gt;"Active"),0,IF($H610&lt;&gt;"",$H610,IF($AO610&gt;0,$AP610,IF(AND($R610&lt;&gt;"",IFERROR(INDEX(Templates!$B$3:$H$10,MATCH($R610,Templates!$A$3:$A$10,0),MATCH($F610,Templates!$B$2:$H$2,0)),0)&gt;0),INDEX(Templates!$B$3:$H$10,MATCH($R610,Templates!$A$3:$A$10,0),MATCH($F610,Templates!$B$2:$H$2,0)),IFERROR(INDEX(Settings!$B$8:$B$14,MATCH($F610,Settings!$A$8:$A$14,0)),0)))))</f>
        <v/>
      </c>
      <c r="J610" s="21">
        <f>IF($C610="",0,IFERROR(INDEX(Deals!$H$2:$H$355,MATCH($C610,Deals!$A$2:$A$355,0)),0))</f>
        <v/>
      </c>
      <c r="K610" s="32">
        <f>IF(Settings!$B$4="Yes",$I610*$J610,$I610)</f>
        <v/>
      </c>
      <c r="L610" s="22">
        <f>IF($C610="","",IFERROR(IF(INDEX(Deals!$I$2:$I$355,MATCH($C610,Deals!$A$2:$A$355,0))=0,"",INDEX(Deals!$I$2:$I$355,MATCH($C610,Deals!$A$2:$A$355,0))),""))</f>
        <v/>
      </c>
      <c r="M610" s="22">
        <f>IF($C610="","",IFERROR(IF(INDEX(Deals!$J$2:$J$355,MATCH($C610,Deals!$A$2:$A$355,0))=0,"",INDEX(Deals!$J$2:$J$355,MATCH($C610,Deals!$A$2:$A$355,0))),""))</f>
        <v/>
      </c>
      <c r="N610" s="35">
        <f>IF($L610="",DATE(1900,1,1),$L610)</f>
        <v/>
      </c>
      <c r="O610" s="35">
        <f>IF($M610="",DATE(2100,12,31),$M610)</f>
        <v/>
      </c>
      <c r="P610" s="20" t="inlineStr"/>
      <c r="Q610" s="47" t="inlineStr"/>
      <c r="R610" s="16">
        <f>IF($C610="","",IFERROR(IF(INDEX(Deals!$U$2:$U$355,MATCH($C610,Deals!$A$2:$A$355,0))=0,"",INDEX(Deals!$U$2:$U$355,MATCH($C610,Deals!$A$2:$A$355,0))),""))</f>
        <v/>
      </c>
      <c r="S610" s="34">
        <f>IFERROR(IF($U610="",1,INDEX(Deals!$V$2:$V$355,MATCH($C610,Deals!$A$2:$A$355,0))),1)</f>
        <v/>
      </c>
      <c r="T610" s="34">
        <f>IFERROR(IF($U610="",1,INDEX(Deals!$W$2:$W$355,MATCH($C610,Deals!$A$2:$A$355,0))),1)</f>
        <v/>
      </c>
      <c r="U610" s="22">
        <f>IF($C610="","",IFERROR(IF(INDEX(Deals!$Y$2:$Y$355,MATCH($C610,Deals!$A$2:$A$355,0))=0,"",INDEX(Deals!$Y$2:$Y$355,MATCH($C610,Deals!$A$2:$A$355,0))),""))</f>
        <v/>
      </c>
      <c r="V610" s="35">
        <f>IF(OR($U610&lt;&gt;"",AND($AO610&gt;0,$L610&lt;&gt;"",$M610&lt;&gt;"")),$N610,DATE(1900,1,1))</f>
        <v/>
      </c>
      <c r="W610" s="35">
        <f>IF($U610&lt;&gt;"",$U610,IF(AND($AO610&gt;0,$L610&lt;&gt;"",$M610&lt;&gt;""),$O610,DATE(2100,12,31)))</f>
        <v/>
      </c>
      <c r="X610" s="32">
        <f>IF($U610="",$K610,$K610*$S610)</f>
        <v/>
      </c>
      <c r="Y610" s="35">
        <f>IF($U610="",DATE(2100,12,31),$U610+1)</f>
        <v/>
      </c>
      <c r="Z610" s="35">
        <f>IF($U610="",DATE(1900,1,1),$O610)</f>
        <v/>
      </c>
      <c r="AA610" s="32">
        <f>IF($U610="",0,$K610*$T610)</f>
        <v/>
      </c>
      <c r="AB610" s="21">
        <f>IF($C610="",0,IFERROR(INDEX(Deals!$AD$2:$AD$355,MATCH($C610,Deals!$A$2:$A$355,0)),0))</f>
        <v/>
      </c>
      <c r="AC610" s="32">
        <f>IF(Settings!$B$4="Yes",$I610*$AB610,$I610)</f>
        <v/>
      </c>
      <c r="AD610" s="22">
        <f>IF($C610="","",IFERROR(IF(INDEX(Deals!$AE$2:$AE$355,MATCH($C610,Deals!$A$2:$A$355,0))=0,"",INDEX(Deals!$AE$2:$AE$355,MATCH($C610,Deals!$A$2:$A$355,0))),""))</f>
        <v/>
      </c>
      <c r="AE610" s="22">
        <f>IF($C610="","",IFERROR(IF(INDEX(Deals!$AF$2:$AF$355,MATCH($C610,Deals!$A$2:$A$355,0))=0,"",INDEX(Deals!$AF$2:$AF$355,MATCH($C610,Deals!$A$2:$A$355,0))),""))</f>
        <v/>
      </c>
      <c r="AF610" s="35">
        <f>IF($AD610="",DATE(1900,1,1),$AD610)</f>
        <v/>
      </c>
      <c r="AG610" s="35">
        <f>IF($AE610="",DATE(2100,12,31),$AE610)</f>
        <v/>
      </c>
      <c r="AH610" s="22">
        <f>IF($C610="","",IFERROR(IF(INDEX(Deals!$AG$2:$AG$355,MATCH($C610,Deals!$A$2:$A$355,0))=0,"",INDEX(Deals!$AG$2:$AG$355,MATCH($C610,Deals!$A$2:$A$355,0))),""))</f>
        <v/>
      </c>
      <c r="AI610" s="35">
        <f>IF(OR($AH610&lt;&gt;"",AND($AO610&gt;0,$AD610&lt;&gt;"",$AE610&lt;&gt;"")),$AF610,DATE(1900,1,1))</f>
        <v/>
      </c>
      <c r="AJ610" s="35">
        <f>IF($AH610&lt;&gt;"",$AH610,IF(AND($AO610&gt;0,$AD610&lt;&gt;"",$AE610&lt;&gt;""),$AG610,DATE(2100,12,31)))</f>
        <v/>
      </c>
      <c r="AK610" s="32">
        <f>IF($AH610="",$AC610,$AC610*$S610)</f>
        <v/>
      </c>
      <c r="AL610" s="35">
        <f>IF($AH610="",DATE(2100,12,31),$AH610+1)</f>
        <v/>
      </c>
      <c r="AM610" s="35">
        <f>IF($AH610="",DATE(1900,1,1),$AG610)</f>
        <v/>
      </c>
      <c r="AN610" s="32">
        <f>IF($AH610="",0,$AC610*$T610)</f>
        <v/>
      </c>
      <c r="AO610" s="46">
        <f>IF($C610="",0,IFERROR(INDEX(Deals!$BD$2:$BD$355,MATCH($C610,Deals!$A$2:$A$355,0)),0))</f>
        <v/>
      </c>
      <c r="AP610" s="18">
        <f>IF($AO610=0,0,IFERROR(INDEX(Deals!$BJ$2:$BP$355,MATCH($C610,Deals!$A$2:$A$355,0),MATCH($F610,Deals!$BJ$1:$BP$1,0))/COUNTIFS(Assignments!$C$2:$C$769,$C610,Assignments!$F$2:$F$769,$F610,Assignments!$G$2:$G$769,"Active"),0))</f>
        <v/>
      </c>
    </row>
    <row r="611">
      <c r="A611" s="28" t="inlineStr">
        <is>
          <t>Yiyi</t>
        </is>
      </c>
      <c r="B611" s="16">
        <f>IF($A611="","",IFERROR(INDEX(Roster!$B$2:$B$40,MATCH($A611,Roster!$A$2:$A$40,0)),"?"))</f>
        <v/>
      </c>
      <c r="C611" s="28" t="inlineStr">
        <is>
          <t>Hidden _1</t>
        </is>
      </c>
      <c r="D611" s="16">
        <f>IF($C611="","",IFERROR(IF(INDEX(Deals!$C$2:$C$355,MATCH($C611,Deals!$A$2:$A$355,0))=0,"",INDEX(Deals!$C$2:$C$355,MATCH($C611,Deals!$A$2:$A$355,0))),"?"))</f>
        <v/>
      </c>
      <c r="E611" s="16">
        <f>IF($C611="","",IFERROR(INDEX(Deals!$F$2:$F$355,MATCH($C611,Deals!$A$2:$A$355,0)),"?"))</f>
        <v/>
      </c>
      <c r="F611" s="28" t="inlineStr">
        <is>
          <t>Renewable Specialist</t>
        </is>
      </c>
      <c r="G611" s="28" t="inlineStr">
        <is>
          <t>Active</t>
        </is>
      </c>
      <c r="H611" s="31" t="n"/>
      <c r="I611" s="32">
        <f>IF(OR($A611="",$G611&lt;&gt;"Active"),0,IF($H611&lt;&gt;"",$H611,IF($AO611&gt;0,$AP611,IF(AND($R611&lt;&gt;"",IFERROR(INDEX(Templates!$B$3:$H$10,MATCH($R611,Templates!$A$3:$A$10,0),MATCH($F611,Templates!$B$2:$H$2,0)),0)&gt;0),INDEX(Templates!$B$3:$H$10,MATCH($R611,Templates!$A$3:$A$10,0),MATCH($F611,Templates!$B$2:$H$2,0)),IFERROR(INDEX(Settings!$B$8:$B$14,MATCH($F611,Settings!$A$8:$A$14,0)),0)))))</f>
        <v/>
      </c>
      <c r="J611" s="21">
        <f>IF($C611="",0,IFERROR(INDEX(Deals!$H$2:$H$355,MATCH($C611,Deals!$A$2:$A$355,0)),0))</f>
        <v/>
      </c>
      <c r="K611" s="32">
        <f>IF(Settings!$B$4="Yes",$I611*$J611,$I611)</f>
        <v/>
      </c>
      <c r="L611" s="22">
        <f>IF($C611="","",IFERROR(IF(INDEX(Deals!$I$2:$I$355,MATCH($C611,Deals!$A$2:$A$355,0))=0,"",INDEX(Deals!$I$2:$I$355,MATCH($C611,Deals!$A$2:$A$355,0))),""))</f>
        <v/>
      </c>
      <c r="M611" s="22">
        <f>IF($C611="","",IFERROR(IF(INDEX(Deals!$J$2:$J$355,MATCH($C611,Deals!$A$2:$A$355,0))=0,"",INDEX(Deals!$J$2:$J$355,MATCH($C611,Deals!$A$2:$A$355,0))),""))</f>
        <v/>
      </c>
      <c r="N611" s="35">
        <f>IF($L611="",DATE(1900,1,1),$L611)</f>
        <v/>
      </c>
      <c r="O611" s="35">
        <f>IF($M611="",DATE(2100,12,31),$M611)</f>
        <v/>
      </c>
      <c r="P611" s="20" t="inlineStr"/>
      <c r="Q611" s="47" t="inlineStr"/>
      <c r="R611" s="16">
        <f>IF($C611="","",IFERROR(IF(INDEX(Deals!$U$2:$U$355,MATCH($C611,Deals!$A$2:$A$355,0))=0,"",INDEX(Deals!$U$2:$U$355,MATCH($C611,Deals!$A$2:$A$355,0))),""))</f>
        <v/>
      </c>
      <c r="S611" s="34">
        <f>IFERROR(IF($U611="",1,INDEX(Deals!$V$2:$V$355,MATCH($C611,Deals!$A$2:$A$355,0))),1)</f>
        <v/>
      </c>
      <c r="T611" s="34">
        <f>IFERROR(IF($U611="",1,INDEX(Deals!$W$2:$W$355,MATCH($C611,Deals!$A$2:$A$355,0))),1)</f>
        <v/>
      </c>
      <c r="U611" s="22">
        <f>IF($C611="","",IFERROR(IF(INDEX(Deals!$Y$2:$Y$355,MATCH($C611,Deals!$A$2:$A$355,0))=0,"",INDEX(Deals!$Y$2:$Y$355,MATCH($C611,Deals!$A$2:$A$355,0))),""))</f>
        <v/>
      </c>
      <c r="V611" s="35">
        <f>IF(OR($U611&lt;&gt;"",AND($AO611&gt;0,$L611&lt;&gt;"",$M611&lt;&gt;"")),$N611,DATE(1900,1,1))</f>
        <v/>
      </c>
      <c r="W611" s="35">
        <f>IF($U611&lt;&gt;"",$U611,IF(AND($AO611&gt;0,$L611&lt;&gt;"",$M611&lt;&gt;""),$O611,DATE(2100,12,31)))</f>
        <v/>
      </c>
      <c r="X611" s="32">
        <f>IF($U611="",$K611,$K611*$S611)</f>
        <v/>
      </c>
      <c r="Y611" s="35">
        <f>IF($U611="",DATE(2100,12,31),$U611+1)</f>
        <v/>
      </c>
      <c r="Z611" s="35">
        <f>IF($U611="",DATE(1900,1,1),$O611)</f>
        <v/>
      </c>
      <c r="AA611" s="32">
        <f>IF($U611="",0,$K611*$T611)</f>
        <v/>
      </c>
      <c r="AB611" s="21">
        <f>IF($C611="",0,IFERROR(INDEX(Deals!$AD$2:$AD$355,MATCH($C611,Deals!$A$2:$A$355,0)),0))</f>
        <v/>
      </c>
      <c r="AC611" s="32">
        <f>IF(Settings!$B$4="Yes",$I611*$AB611,$I611)</f>
        <v/>
      </c>
      <c r="AD611" s="22">
        <f>IF($C611="","",IFERROR(IF(INDEX(Deals!$AE$2:$AE$355,MATCH($C611,Deals!$A$2:$A$355,0))=0,"",INDEX(Deals!$AE$2:$AE$355,MATCH($C611,Deals!$A$2:$A$355,0))),""))</f>
        <v/>
      </c>
      <c r="AE611" s="22">
        <f>IF($C611="","",IFERROR(IF(INDEX(Deals!$AF$2:$AF$355,MATCH($C611,Deals!$A$2:$A$355,0))=0,"",INDEX(Deals!$AF$2:$AF$355,MATCH($C611,Deals!$A$2:$A$355,0))),""))</f>
        <v/>
      </c>
      <c r="AF611" s="35">
        <f>IF($AD611="",DATE(1900,1,1),$AD611)</f>
        <v/>
      </c>
      <c r="AG611" s="35">
        <f>IF($AE611="",DATE(2100,12,31),$AE611)</f>
        <v/>
      </c>
      <c r="AH611" s="22">
        <f>IF($C611="","",IFERROR(IF(INDEX(Deals!$AG$2:$AG$355,MATCH($C611,Deals!$A$2:$A$355,0))=0,"",INDEX(Deals!$AG$2:$AG$355,MATCH($C611,Deals!$A$2:$A$355,0))),""))</f>
        <v/>
      </c>
      <c r="AI611" s="35">
        <f>IF(OR($AH611&lt;&gt;"",AND($AO611&gt;0,$AD611&lt;&gt;"",$AE611&lt;&gt;"")),$AF611,DATE(1900,1,1))</f>
        <v/>
      </c>
      <c r="AJ611" s="35">
        <f>IF($AH611&lt;&gt;"",$AH611,IF(AND($AO611&gt;0,$AD611&lt;&gt;"",$AE611&lt;&gt;""),$AG611,DATE(2100,12,31)))</f>
        <v/>
      </c>
      <c r="AK611" s="32">
        <f>IF($AH611="",$AC611,$AC611*$S611)</f>
        <v/>
      </c>
      <c r="AL611" s="35">
        <f>IF($AH611="",DATE(2100,12,31),$AH611+1)</f>
        <v/>
      </c>
      <c r="AM611" s="35">
        <f>IF($AH611="",DATE(1900,1,1),$AG611)</f>
        <v/>
      </c>
      <c r="AN611" s="32">
        <f>IF($AH611="",0,$AC611*$T611)</f>
        <v/>
      </c>
      <c r="AO611" s="46">
        <f>IF($C611="",0,IFERROR(INDEX(Deals!$BD$2:$BD$355,MATCH($C611,Deals!$A$2:$A$355,0)),0))</f>
        <v/>
      </c>
      <c r="AP611" s="18">
        <f>IF($AO611=0,0,IFERROR(INDEX(Deals!$BJ$2:$BP$355,MATCH($C611,Deals!$A$2:$A$355,0),MATCH($F611,Deals!$BJ$1:$BP$1,0))/COUNTIFS(Assignments!$C$2:$C$769,$C611,Assignments!$F$2:$F$769,$F611,Assignments!$G$2:$G$769,"Active"),0))</f>
        <v/>
      </c>
    </row>
    <row r="612">
      <c r="A612" s="28" t="inlineStr">
        <is>
          <t>Yiyi</t>
        </is>
      </c>
      <c r="B612" s="16">
        <f>IF($A612="","",IFERROR(INDEX(Roster!$B$2:$B$40,MATCH($A612,Roster!$A$2:$A$40,0)),"?"))</f>
        <v/>
      </c>
      <c r="C612" s="28" t="inlineStr">
        <is>
          <t>Hyacinth_1</t>
        </is>
      </c>
      <c r="D612" s="16">
        <f>IF($C612="","",IFERROR(IF(INDEX(Deals!$C$2:$C$355,MATCH($C612,Deals!$A$2:$A$355,0))=0,"",INDEX(Deals!$C$2:$C$355,MATCH($C612,Deals!$A$2:$A$355,0))),"?"))</f>
        <v/>
      </c>
      <c r="E612" s="16">
        <f>IF($C612="","",IFERROR(INDEX(Deals!$F$2:$F$355,MATCH($C612,Deals!$A$2:$A$355,0)),"?"))</f>
        <v/>
      </c>
      <c r="F612" s="28" t="inlineStr">
        <is>
          <t>Renewable Specialist</t>
        </is>
      </c>
      <c r="G612" s="28" t="inlineStr">
        <is>
          <t>Active</t>
        </is>
      </c>
      <c r="H612" s="31" t="n"/>
      <c r="I612" s="32">
        <f>IF(OR($A612="",$G612&lt;&gt;"Active"),0,IF($H612&lt;&gt;"",$H612,IF($AO612&gt;0,$AP612,IF(AND($R612&lt;&gt;"",IFERROR(INDEX(Templates!$B$3:$H$10,MATCH($R612,Templates!$A$3:$A$10,0),MATCH($F612,Templates!$B$2:$H$2,0)),0)&gt;0),INDEX(Templates!$B$3:$H$10,MATCH($R612,Templates!$A$3:$A$10,0),MATCH($F612,Templates!$B$2:$H$2,0)),IFERROR(INDEX(Settings!$B$8:$B$14,MATCH($F612,Settings!$A$8:$A$14,0)),0)))))</f>
        <v/>
      </c>
      <c r="J612" s="21">
        <f>IF($C612="",0,IFERROR(INDEX(Deals!$H$2:$H$355,MATCH($C612,Deals!$A$2:$A$355,0)),0))</f>
        <v/>
      </c>
      <c r="K612" s="32">
        <f>IF(Settings!$B$4="Yes",$I612*$J612,$I612)</f>
        <v/>
      </c>
      <c r="L612" s="22">
        <f>IF($C612="","",IFERROR(IF(INDEX(Deals!$I$2:$I$355,MATCH($C612,Deals!$A$2:$A$355,0))=0,"",INDEX(Deals!$I$2:$I$355,MATCH($C612,Deals!$A$2:$A$355,0))),""))</f>
        <v/>
      </c>
      <c r="M612" s="22">
        <f>IF($C612="","",IFERROR(IF(INDEX(Deals!$J$2:$J$355,MATCH($C612,Deals!$A$2:$A$355,0))=0,"",INDEX(Deals!$J$2:$J$355,MATCH($C612,Deals!$A$2:$A$355,0))),""))</f>
        <v/>
      </c>
      <c r="N612" s="35">
        <f>IF($L612="",DATE(1900,1,1),$L612)</f>
        <v/>
      </c>
      <c r="O612" s="35">
        <f>IF($M612="",DATE(2100,12,31),$M612)</f>
        <v/>
      </c>
      <c r="P612" s="20" t="inlineStr"/>
      <c r="Q612" s="47" t="inlineStr"/>
      <c r="R612" s="16">
        <f>IF($C612="","",IFERROR(IF(INDEX(Deals!$U$2:$U$355,MATCH($C612,Deals!$A$2:$A$355,0))=0,"",INDEX(Deals!$U$2:$U$355,MATCH($C612,Deals!$A$2:$A$355,0))),""))</f>
        <v/>
      </c>
      <c r="S612" s="34">
        <f>IFERROR(IF($U612="",1,INDEX(Deals!$V$2:$V$355,MATCH($C612,Deals!$A$2:$A$355,0))),1)</f>
        <v/>
      </c>
      <c r="T612" s="34">
        <f>IFERROR(IF($U612="",1,INDEX(Deals!$W$2:$W$355,MATCH($C612,Deals!$A$2:$A$355,0))),1)</f>
        <v/>
      </c>
      <c r="U612" s="22">
        <f>IF($C612="","",IFERROR(IF(INDEX(Deals!$Y$2:$Y$355,MATCH($C612,Deals!$A$2:$A$355,0))=0,"",INDEX(Deals!$Y$2:$Y$355,MATCH($C612,Deals!$A$2:$A$355,0))),""))</f>
        <v/>
      </c>
      <c r="V612" s="35">
        <f>IF(OR($U612&lt;&gt;"",AND($AO612&gt;0,$L612&lt;&gt;"",$M612&lt;&gt;"")),$N612,DATE(1900,1,1))</f>
        <v/>
      </c>
      <c r="W612" s="35">
        <f>IF($U612&lt;&gt;"",$U612,IF(AND($AO612&gt;0,$L612&lt;&gt;"",$M612&lt;&gt;""),$O612,DATE(2100,12,31)))</f>
        <v/>
      </c>
      <c r="X612" s="32">
        <f>IF($U612="",$K612,$K612*$S612)</f>
        <v/>
      </c>
      <c r="Y612" s="35">
        <f>IF($U612="",DATE(2100,12,31),$U612+1)</f>
        <v/>
      </c>
      <c r="Z612" s="35">
        <f>IF($U612="",DATE(1900,1,1),$O612)</f>
        <v/>
      </c>
      <c r="AA612" s="32">
        <f>IF($U612="",0,$K612*$T612)</f>
        <v/>
      </c>
      <c r="AB612" s="21">
        <f>IF($C612="",0,IFERROR(INDEX(Deals!$AD$2:$AD$355,MATCH($C612,Deals!$A$2:$A$355,0)),0))</f>
        <v/>
      </c>
      <c r="AC612" s="32">
        <f>IF(Settings!$B$4="Yes",$I612*$AB612,$I612)</f>
        <v/>
      </c>
      <c r="AD612" s="22">
        <f>IF($C612="","",IFERROR(IF(INDEX(Deals!$AE$2:$AE$355,MATCH($C612,Deals!$A$2:$A$355,0))=0,"",INDEX(Deals!$AE$2:$AE$355,MATCH($C612,Deals!$A$2:$A$355,0))),""))</f>
        <v/>
      </c>
      <c r="AE612" s="22">
        <f>IF($C612="","",IFERROR(IF(INDEX(Deals!$AF$2:$AF$355,MATCH($C612,Deals!$A$2:$A$355,0))=0,"",INDEX(Deals!$AF$2:$AF$355,MATCH($C612,Deals!$A$2:$A$355,0))),""))</f>
        <v/>
      </c>
      <c r="AF612" s="35">
        <f>IF($AD612="",DATE(1900,1,1),$AD612)</f>
        <v/>
      </c>
      <c r="AG612" s="35">
        <f>IF($AE612="",DATE(2100,12,31),$AE612)</f>
        <v/>
      </c>
      <c r="AH612" s="22">
        <f>IF($C612="","",IFERROR(IF(INDEX(Deals!$AG$2:$AG$355,MATCH($C612,Deals!$A$2:$A$355,0))=0,"",INDEX(Deals!$AG$2:$AG$355,MATCH($C612,Deals!$A$2:$A$355,0))),""))</f>
        <v/>
      </c>
      <c r="AI612" s="35">
        <f>IF(OR($AH612&lt;&gt;"",AND($AO612&gt;0,$AD612&lt;&gt;"",$AE612&lt;&gt;"")),$AF612,DATE(1900,1,1))</f>
        <v/>
      </c>
      <c r="AJ612" s="35">
        <f>IF($AH612&lt;&gt;"",$AH612,IF(AND($AO612&gt;0,$AD612&lt;&gt;"",$AE612&lt;&gt;""),$AG612,DATE(2100,12,31)))</f>
        <v/>
      </c>
      <c r="AK612" s="32">
        <f>IF($AH612="",$AC612,$AC612*$S612)</f>
        <v/>
      </c>
      <c r="AL612" s="35">
        <f>IF($AH612="",DATE(2100,12,31),$AH612+1)</f>
        <v/>
      </c>
      <c r="AM612" s="35">
        <f>IF($AH612="",DATE(1900,1,1),$AG612)</f>
        <v/>
      </c>
      <c r="AN612" s="32">
        <f>IF($AH612="",0,$AC612*$T612)</f>
        <v/>
      </c>
      <c r="AO612" s="46">
        <f>IF($C612="",0,IFERROR(INDEX(Deals!$BD$2:$BD$355,MATCH($C612,Deals!$A$2:$A$355,0)),0))</f>
        <v/>
      </c>
      <c r="AP612" s="18">
        <f>IF($AO612=0,0,IFERROR(INDEX(Deals!$BJ$2:$BP$355,MATCH($C612,Deals!$A$2:$A$355,0),MATCH($F612,Deals!$BJ$1:$BP$1,0))/COUNTIFS(Assignments!$C$2:$C$769,$C612,Assignments!$F$2:$F$769,$F612,Assignments!$G$2:$G$769,"Active"),0))</f>
        <v/>
      </c>
    </row>
    <row r="613">
      <c r="A613" s="28" t="inlineStr">
        <is>
          <t>Yiyi</t>
        </is>
      </c>
      <c r="B613" s="16">
        <f>IF($A613="","",IFERROR(INDEX(Roster!$B$2:$B$40,MATCH($A613,Roster!$A$2:$A$40,0)),"?"))</f>
        <v/>
      </c>
      <c r="C613" s="28" t="inlineStr">
        <is>
          <t>Hydra_1</t>
        </is>
      </c>
      <c r="D613" s="16">
        <f>IF($C613="","",IFERROR(IF(INDEX(Deals!$C$2:$C$355,MATCH($C613,Deals!$A$2:$A$355,0))=0,"",INDEX(Deals!$C$2:$C$355,MATCH($C613,Deals!$A$2:$A$355,0))),"?"))</f>
        <v/>
      </c>
      <c r="E613" s="16">
        <f>IF($C613="","",IFERROR(INDEX(Deals!$F$2:$F$355,MATCH($C613,Deals!$A$2:$A$355,0)),"?"))</f>
        <v/>
      </c>
      <c r="F613" s="28" t="inlineStr">
        <is>
          <t>Renewable Specialist</t>
        </is>
      </c>
      <c r="G613" s="28" t="inlineStr">
        <is>
          <t>Active</t>
        </is>
      </c>
      <c r="H613" s="31" t="n"/>
      <c r="I613" s="32">
        <f>IF(OR($A613="",$G613&lt;&gt;"Active"),0,IF($H613&lt;&gt;"",$H613,IF($AO613&gt;0,$AP613,IF(AND($R613&lt;&gt;"",IFERROR(INDEX(Templates!$B$3:$H$10,MATCH($R613,Templates!$A$3:$A$10,0),MATCH($F613,Templates!$B$2:$H$2,0)),0)&gt;0),INDEX(Templates!$B$3:$H$10,MATCH($R613,Templates!$A$3:$A$10,0),MATCH($F613,Templates!$B$2:$H$2,0)),IFERROR(INDEX(Settings!$B$8:$B$14,MATCH($F613,Settings!$A$8:$A$14,0)),0)))))</f>
        <v/>
      </c>
      <c r="J613" s="21">
        <f>IF($C613="",0,IFERROR(INDEX(Deals!$H$2:$H$355,MATCH($C613,Deals!$A$2:$A$355,0)),0))</f>
        <v/>
      </c>
      <c r="K613" s="32">
        <f>IF(Settings!$B$4="Yes",$I613*$J613,$I613)</f>
        <v/>
      </c>
      <c r="L613" s="22">
        <f>IF($C613="","",IFERROR(IF(INDEX(Deals!$I$2:$I$355,MATCH($C613,Deals!$A$2:$A$355,0))=0,"",INDEX(Deals!$I$2:$I$355,MATCH($C613,Deals!$A$2:$A$355,0))),""))</f>
        <v/>
      </c>
      <c r="M613" s="22">
        <f>IF($C613="","",IFERROR(IF(INDEX(Deals!$J$2:$J$355,MATCH($C613,Deals!$A$2:$A$355,0))=0,"",INDEX(Deals!$J$2:$J$355,MATCH($C613,Deals!$A$2:$A$355,0))),""))</f>
        <v/>
      </c>
      <c r="N613" s="35">
        <f>IF($L613="",DATE(1900,1,1),$L613)</f>
        <v/>
      </c>
      <c r="O613" s="35">
        <f>IF($M613="",DATE(2100,12,31),$M613)</f>
        <v/>
      </c>
      <c r="P613" s="20" t="inlineStr"/>
      <c r="Q613" s="47" t="inlineStr"/>
      <c r="R613" s="16">
        <f>IF($C613="","",IFERROR(IF(INDEX(Deals!$U$2:$U$355,MATCH($C613,Deals!$A$2:$A$355,0))=0,"",INDEX(Deals!$U$2:$U$355,MATCH($C613,Deals!$A$2:$A$355,0))),""))</f>
        <v/>
      </c>
      <c r="S613" s="34">
        <f>IFERROR(IF($U613="",1,INDEX(Deals!$V$2:$V$355,MATCH($C613,Deals!$A$2:$A$355,0))),1)</f>
        <v/>
      </c>
      <c r="T613" s="34">
        <f>IFERROR(IF($U613="",1,INDEX(Deals!$W$2:$W$355,MATCH($C613,Deals!$A$2:$A$355,0))),1)</f>
        <v/>
      </c>
      <c r="U613" s="22">
        <f>IF($C613="","",IFERROR(IF(INDEX(Deals!$Y$2:$Y$355,MATCH($C613,Deals!$A$2:$A$355,0))=0,"",INDEX(Deals!$Y$2:$Y$355,MATCH($C613,Deals!$A$2:$A$355,0))),""))</f>
        <v/>
      </c>
      <c r="V613" s="35">
        <f>IF(OR($U613&lt;&gt;"",AND($AO613&gt;0,$L613&lt;&gt;"",$M613&lt;&gt;"")),$N613,DATE(1900,1,1))</f>
        <v/>
      </c>
      <c r="W613" s="35">
        <f>IF($U613&lt;&gt;"",$U613,IF(AND($AO613&gt;0,$L613&lt;&gt;"",$M613&lt;&gt;""),$O613,DATE(2100,12,31)))</f>
        <v/>
      </c>
      <c r="X613" s="32">
        <f>IF($U613="",$K613,$K613*$S613)</f>
        <v/>
      </c>
      <c r="Y613" s="35">
        <f>IF($U613="",DATE(2100,12,31),$U613+1)</f>
        <v/>
      </c>
      <c r="Z613" s="35">
        <f>IF($U613="",DATE(1900,1,1),$O613)</f>
        <v/>
      </c>
      <c r="AA613" s="32">
        <f>IF($U613="",0,$K613*$T613)</f>
        <v/>
      </c>
      <c r="AB613" s="21">
        <f>IF($C613="",0,IFERROR(INDEX(Deals!$AD$2:$AD$355,MATCH($C613,Deals!$A$2:$A$355,0)),0))</f>
        <v/>
      </c>
      <c r="AC613" s="32">
        <f>IF(Settings!$B$4="Yes",$I613*$AB613,$I613)</f>
        <v/>
      </c>
      <c r="AD613" s="22">
        <f>IF($C613="","",IFERROR(IF(INDEX(Deals!$AE$2:$AE$355,MATCH($C613,Deals!$A$2:$A$355,0))=0,"",INDEX(Deals!$AE$2:$AE$355,MATCH($C613,Deals!$A$2:$A$355,0))),""))</f>
        <v/>
      </c>
      <c r="AE613" s="22">
        <f>IF($C613="","",IFERROR(IF(INDEX(Deals!$AF$2:$AF$355,MATCH($C613,Deals!$A$2:$A$355,0))=0,"",INDEX(Deals!$AF$2:$AF$355,MATCH($C613,Deals!$A$2:$A$355,0))),""))</f>
        <v/>
      </c>
      <c r="AF613" s="35">
        <f>IF($AD613="",DATE(1900,1,1),$AD613)</f>
        <v/>
      </c>
      <c r="AG613" s="35">
        <f>IF($AE613="",DATE(2100,12,31),$AE613)</f>
        <v/>
      </c>
      <c r="AH613" s="22">
        <f>IF($C613="","",IFERROR(IF(INDEX(Deals!$AG$2:$AG$355,MATCH($C613,Deals!$A$2:$A$355,0))=0,"",INDEX(Deals!$AG$2:$AG$355,MATCH($C613,Deals!$A$2:$A$355,0))),""))</f>
        <v/>
      </c>
      <c r="AI613" s="35">
        <f>IF(OR($AH613&lt;&gt;"",AND($AO613&gt;0,$AD613&lt;&gt;"",$AE613&lt;&gt;"")),$AF613,DATE(1900,1,1))</f>
        <v/>
      </c>
      <c r="AJ613" s="35">
        <f>IF($AH613&lt;&gt;"",$AH613,IF(AND($AO613&gt;0,$AD613&lt;&gt;"",$AE613&lt;&gt;""),$AG613,DATE(2100,12,31)))</f>
        <v/>
      </c>
      <c r="AK613" s="32">
        <f>IF($AH613="",$AC613,$AC613*$S613)</f>
        <v/>
      </c>
      <c r="AL613" s="35">
        <f>IF($AH613="",DATE(2100,12,31),$AH613+1)</f>
        <v/>
      </c>
      <c r="AM613" s="35">
        <f>IF($AH613="",DATE(1900,1,1),$AG613)</f>
        <v/>
      </c>
      <c r="AN613" s="32">
        <f>IF($AH613="",0,$AC613*$T613)</f>
        <v/>
      </c>
      <c r="AO613" s="46">
        <f>IF($C613="",0,IFERROR(INDEX(Deals!$BD$2:$BD$355,MATCH($C613,Deals!$A$2:$A$355,0)),0))</f>
        <v/>
      </c>
      <c r="AP613" s="18">
        <f>IF($AO613=0,0,IFERROR(INDEX(Deals!$BJ$2:$BP$355,MATCH($C613,Deals!$A$2:$A$355,0),MATCH($F613,Deals!$BJ$1:$BP$1,0))/COUNTIFS(Assignments!$C$2:$C$769,$C613,Assignments!$F$2:$F$769,$F613,Assignments!$G$2:$G$769,"Active"),0))</f>
        <v/>
      </c>
    </row>
    <row r="614">
      <c r="A614" s="28" t="inlineStr">
        <is>
          <t>Yiyi</t>
        </is>
      </c>
      <c r="B614" s="16">
        <f>IF($A614="","",IFERROR(INDEX(Roster!$B$2:$B$40,MATCH($A614,Roster!$A$2:$A$40,0)),"?"))</f>
        <v/>
      </c>
      <c r="C614" s="28" t="inlineStr">
        <is>
          <t>IGS_1</t>
        </is>
      </c>
      <c r="D614" s="16">
        <f>IF($C614="","",IFERROR(IF(INDEX(Deals!$C$2:$C$355,MATCH($C614,Deals!$A$2:$A$355,0))=0,"",INDEX(Deals!$C$2:$C$355,MATCH($C614,Deals!$A$2:$A$355,0))),"?"))</f>
        <v/>
      </c>
      <c r="E614" s="16">
        <f>IF($C614="","",IFERROR(INDEX(Deals!$F$2:$F$355,MATCH($C614,Deals!$A$2:$A$355,0)),"?"))</f>
        <v/>
      </c>
      <c r="F614" s="28" t="inlineStr">
        <is>
          <t>Renewable Specialist</t>
        </is>
      </c>
      <c r="G614" s="28" t="inlineStr">
        <is>
          <t>Active</t>
        </is>
      </c>
      <c r="H614" s="31" t="n"/>
      <c r="I614" s="32">
        <f>IF(OR($A614="",$G614&lt;&gt;"Active"),0,IF($H614&lt;&gt;"",$H614,IF($AO614&gt;0,$AP614,IF(AND($R614&lt;&gt;"",IFERROR(INDEX(Templates!$B$3:$H$10,MATCH($R614,Templates!$A$3:$A$10,0),MATCH($F614,Templates!$B$2:$H$2,0)),0)&gt;0),INDEX(Templates!$B$3:$H$10,MATCH($R614,Templates!$A$3:$A$10,0),MATCH($F614,Templates!$B$2:$H$2,0)),IFERROR(INDEX(Settings!$B$8:$B$14,MATCH($F614,Settings!$A$8:$A$14,0)),0)))))</f>
        <v/>
      </c>
      <c r="J614" s="21">
        <f>IF($C614="",0,IFERROR(INDEX(Deals!$H$2:$H$355,MATCH($C614,Deals!$A$2:$A$355,0)),0))</f>
        <v/>
      </c>
      <c r="K614" s="32">
        <f>IF(Settings!$B$4="Yes",$I614*$J614,$I614)</f>
        <v/>
      </c>
      <c r="L614" s="22">
        <f>IF($C614="","",IFERROR(IF(INDEX(Deals!$I$2:$I$355,MATCH($C614,Deals!$A$2:$A$355,0))=0,"",INDEX(Deals!$I$2:$I$355,MATCH($C614,Deals!$A$2:$A$355,0))),""))</f>
        <v/>
      </c>
      <c r="M614" s="22">
        <f>IF($C614="","",IFERROR(IF(INDEX(Deals!$J$2:$J$355,MATCH($C614,Deals!$A$2:$A$355,0))=0,"",INDEX(Deals!$J$2:$J$355,MATCH($C614,Deals!$A$2:$A$355,0))),""))</f>
        <v/>
      </c>
      <c r="N614" s="35">
        <f>IF($L614="",DATE(1900,1,1),$L614)</f>
        <v/>
      </c>
      <c r="O614" s="35">
        <f>IF($M614="",DATE(2100,12,31),$M614)</f>
        <v/>
      </c>
      <c r="P614" s="20" t="inlineStr"/>
      <c r="Q614" s="47" t="inlineStr"/>
      <c r="R614" s="16">
        <f>IF($C614="","",IFERROR(IF(INDEX(Deals!$U$2:$U$355,MATCH($C614,Deals!$A$2:$A$355,0))=0,"",INDEX(Deals!$U$2:$U$355,MATCH($C614,Deals!$A$2:$A$355,0))),""))</f>
        <v/>
      </c>
      <c r="S614" s="34">
        <f>IFERROR(IF($U614="",1,INDEX(Deals!$V$2:$V$355,MATCH($C614,Deals!$A$2:$A$355,0))),1)</f>
        <v/>
      </c>
      <c r="T614" s="34">
        <f>IFERROR(IF($U614="",1,INDEX(Deals!$W$2:$W$355,MATCH($C614,Deals!$A$2:$A$355,0))),1)</f>
        <v/>
      </c>
      <c r="U614" s="22">
        <f>IF($C614="","",IFERROR(IF(INDEX(Deals!$Y$2:$Y$355,MATCH($C614,Deals!$A$2:$A$355,0))=0,"",INDEX(Deals!$Y$2:$Y$355,MATCH($C614,Deals!$A$2:$A$355,0))),""))</f>
        <v/>
      </c>
      <c r="V614" s="35">
        <f>IF(OR($U614&lt;&gt;"",AND($AO614&gt;0,$L614&lt;&gt;"",$M614&lt;&gt;"")),$N614,DATE(1900,1,1))</f>
        <v/>
      </c>
      <c r="W614" s="35">
        <f>IF($U614&lt;&gt;"",$U614,IF(AND($AO614&gt;0,$L614&lt;&gt;"",$M614&lt;&gt;""),$O614,DATE(2100,12,31)))</f>
        <v/>
      </c>
      <c r="X614" s="32">
        <f>IF($U614="",$K614,$K614*$S614)</f>
        <v/>
      </c>
      <c r="Y614" s="35">
        <f>IF($U614="",DATE(2100,12,31),$U614+1)</f>
        <v/>
      </c>
      <c r="Z614" s="35">
        <f>IF($U614="",DATE(1900,1,1),$O614)</f>
        <v/>
      </c>
      <c r="AA614" s="32">
        <f>IF($U614="",0,$K614*$T614)</f>
        <v/>
      </c>
      <c r="AB614" s="21">
        <f>IF($C614="",0,IFERROR(INDEX(Deals!$AD$2:$AD$355,MATCH($C614,Deals!$A$2:$A$355,0)),0))</f>
        <v/>
      </c>
      <c r="AC614" s="32">
        <f>IF(Settings!$B$4="Yes",$I614*$AB614,$I614)</f>
        <v/>
      </c>
      <c r="AD614" s="22">
        <f>IF($C614="","",IFERROR(IF(INDEX(Deals!$AE$2:$AE$355,MATCH($C614,Deals!$A$2:$A$355,0))=0,"",INDEX(Deals!$AE$2:$AE$355,MATCH($C614,Deals!$A$2:$A$355,0))),""))</f>
        <v/>
      </c>
      <c r="AE614" s="22">
        <f>IF($C614="","",IFERROR(IF(INDEX(Deals!$AF$2:$AF$355,MATCH($C614,Deals!$A$2:$A$355,0))=0,"",INDEX(Deals!$AF$2:$AF$355,MATCH($C614,Deals!$A$2:$A$355,0))),""))</f>
        <v/>
      </c>
      <c r="AF614" s="35">
        <f>IF($AD614="",DATE(1900,1,1),$AD614)</f>
        <v/>
      </c>
      <c r="AG614" s="35">
        <f>IF($AE614="",DATE(2100,12,31),$AE614)</f>
        <v/>
      </c>
      <c r="AH614" s="22">
        <f>IF($C614="","",IFERROR(IF(INDEX(Deals!$AG$2:$AG$355,MATCH($C614,Deals!$A$2:$A$355,0))=0,"",INDEX(Deals!$AG$2:$AG$355,MATCH($C614,Deals!$A$2:$A$355,0))),""))</f>
        <v/>
      </c>
      <c r="AI614" s="35">
        <f>IF(OR($AH614&lt;&gt;"",AND($AO614&gt;0,$AD614&lt;&gt;"",$AE614&lt;&gt;"")),$AF614,DATE(1900,1,1))</f>
        <v/>
      </c>
      <c r="AJ614" s="35">
        <f>IF($AH614&lt;&gt;"",$AH614,IF(AND($AO614&gt;0,$AD614&lt;&gt;"",$AE614&lt;&gt;""),$AG614,DATE(2100,12,31)))</f>
        <v/>
      </c>
      <c r="AK614" s="32">
        <f>IF($AH614="",$AC614,$AC614*$S614)</f>
        <v/>
      </c>
      <c r="AL614" s="35">
        <f>IF($AH614="",DATE(2100,12,31),$AH614+1)</f>
        <v/>
      </c>
      <c r="AM614" s="35">
        <f>IF($AH614="",DATE(1900,1,1),$AG614)</f>
        <v/>
      </c>
      <c r="AN614" s="32">
        <f>IF($AH614="",0,$AC614*$T614)</f>
        <v/>
      </c>
      <c r="AO614" s="46">
        <f>IF($C614="",0,IFERROR(INDEX(Deals!$BD$2:$BD$355,MATCH($C614,Deals!$A$2:$A$355,0)),0))</f>
        <v/>
      </c>
      <c r="AP614" s="18">
        <f>IF($AO614=0,0,IFERROR(INDEX(Deals!$BJ$2:$BP$355,MATCH($C614,Deals!$A$2:$A$355,0),MATCH($F614,Deals!$BJ$1:$BP$1,0))/COUNTIFS(Assignments!$C$2:$C$769,$C614,Assignments!$F$2:$F$769,$F614,Assignments!$G$2:$G$769,"Active"),0))</f>
        <v/>
      </c>
    </row>
    <row r="615">
      <c r="A615" s="28" t="inlineStr">
        <is>
          <t>Yiyi</t>
        </is>
      </c>
      <c r="B615" s="16">
        <f>IF($A615="","",IFERROR(INDEX(Roster!$B$2:$B$40,MATCH($A615,Roster!$A$2:$A$40,0)),"?"))</f>
        <v/>
      </c>
      <c r="C615" s="28" t="inlineStr">
        <is>
          <t>Justin_2</t>
        </is>
      </c>
      <c r="D615" s="16">
        <f>IF($C615="","",IFERROR(IF(INDEX(Deals!$C$2:$C$355,MATCH($C615,Deals!$A$2:$A$355,0))=0,"",INDEX(Deals!$C$2:$C$355,MATCH($C615,Deals!$A$2:$A$355,0))),"?"))</f>
        <v/>
      </c>
      <c r="E615" s="16">
        <f>IF($C615="","",IFERROR(INDEX(Deals!$F$2:$F$355,MATCH($C615,Deals!$A$2:$A$355,0)),"?"))</f>
        <v/>
      </c>
      <c r="F615" s="28" t="inlineStr">
        <is>
          <t>Renewable Specialist</t>
        </is>
      </c>
      <c r="G615" s="28" t="inlineStr">
        <is>
          <t>Active</t>
        </is>
      </c>
      <c r="H615" s="31" t="n"/>
      <c r="I615" s="32">
        <f>IF(OR($A615="",$G615&lt;&gt;"Active"),0,IF($H615&lt;&gt;"",$H615,IF($AO615&gt;0,$AP615,IF(AND($R615&lt;&gt;"",IFERROR(INDEX(Templates!$B$3:$H$10,MATCH($R615,Templates!$A$3:$A$10,0),MATCH($F615,Templates!$B$2:$H$2,0)),0)&gt;0),INDEX(Templates!$B$3:$H$10,MATCH($R615,Templates!$A$3:$A$10,0),MATCH($F615,Templates!$B$2:$H$2,0)),IFERROR(INDEX(Settings!$B$8:$B$14,MATCH($F615,Settings!$A$8:$A$14,0)),0)))))</f>
        <v/>
      </c>
      <c r="J615" s="21">
        <f>IF($C615="",0,IFERROR(INDEX(Deals!$H$2:$H$355,MATCH($C615,Deals!$A$2:$A$355,0)),0))</f>
        <v/>
      </c>
      <c r="K615" s="32">
        <f>IF(Settings!$B$4="Yes",$I615*$J615,$I615)</f>
        <v/>
      </c>
      <c r="L615" s="22">
        <f>IF($C615="","",IFERROR(IF(INDEX(Deals!$I$2:$I$355,MATCH($C615,Deals!$A$2:$A$355,0))=0,"",INDEX(Deals!$I$2:$I$355,MATCH($C615,Deals!$A$2:$A$355,0))),""))</f>
        <v/>
      </c>
      <c r="M615" s="22">
        <f>IF($C615="","",IFERROR(IF(INDEX(Deals!$J$2:$J$355,MATCH($C615,Deals!$A$2:$A$355,0))=0,"",INDEX(Deals!$J$2:$J$355,MATCH($C615,Deals!$A$2:$A$355,0))),""))</f>
        <v/>
      </c>
      <c r="N615" s="35">
        <f>IF($L615="",DATE(1900,1,1),$L615)</f>
        <v/>
      </c>
      <c r="O615" s="35">
        <f>IF($M615="",DATE(2100,12,31),$M615)</f>
        <v/>
      </c>
      <c r="P615" s="20" t="inlineStr"/>
      <c r="Q615" s="47" t="inlineStr"/>
      <c r="R615" s="16">
        <f>IF($C615="","",IFERROR(IF(INDEX(Deals!$U$2:$U$355,MATCH($C615,Deals!$A$2:$A$355,0))=0,"",INDEX(Deals!$U$2:$U$355,MATCH($C615,Deals!$A$2:$A$355,0))),""))</f>
        <v/>
      </c>
      <c r="S615" s="34">
        <f>IFERROR(IF($U615="",1,INDEX(Deals!$V$2:$V$355,MATCH($C615,Deals!$A$2:$A$355,0))),1)</f>
        <v/>
      </c>
      <c r="T615" s="34">
        <f>IFERROR(IF($U615="",1,INDEX(Deals!$W$2:$W$355,MATCH($C615,Deals!$A$2:$A$355,0))),1)</f>
        <v/>
      </c>
      <c r="U615" s="22">
        <f>IF($C615="","",IFERROR(IF(INDEX(Deals!$Y$2:$Y$355,MATCH($C615,Deals!$A$2:$A$355,0))=0,"",INDEX(Deals!$Y$2:$Y$355,MATCH($C615,Deals!$A$2:$A$355,0))),""))</f>
        <v/>
      </c>
      <c r="V615" s="35">
        <f>IF(OR($U615&lt;&gt;"",AND($AO615&gt;0,$L615&lt;&gt;"",$M615&lt;&gt;"")),$N615,DATE(1900,1,1))</f>
        <v/>
      </c>
      <c r="W615" s="35">
        <f>IF($U615&lt;&gt;"",$U615,IF(AND($AO615&gt;0,$L615&lt;&gt;"",$M615&lt;&gt;""),$O615,DATE(2100,12,31)))</f>
        <v/>
      </c>
      <c r="X615" s="32">
        <f>IF($U615="",$K615,$K615*$S615)</f>
        <v/>
      </c>
      <c r="Y615" s="35">
        <f>IF($U615="",DATE(2100,12,31),$U615+1)</f>
        <v/>
      </c>
      <c r="Z615" s="35">
        <f>IF($U615="",DATE(1900,1,1),$O615)</f>
        <v/>
      </c>
      <c r="AA615" s="32">
        <f>IF($U615="",0,$K615*$T615)</f>
        <v/>
      </c>
      <c r="AB615" s="21">
        <f>IF($C615="",0,IFERROR(INDEX(Deals!$AD$2:$AD$355,MATCH($C615,Deals!$A$2:$A$355,0)),0))</f>
        <v/>
      </c>
      <c r="AC615" s="32">
        <f>IF(Settings!$B$4="Yes",$I615*$AB615,$I615)</f>
        <v/>
      </c>
      <c r="AD615" s="22">
        <f>IF($C615="","",IFERROR(IF(INDEX(Deals!$AE$2:$AE$355,MATCH($C615,Deals!$A$2:$A$355,0))=0,"",INDEX(Deals!$AE$2:$AE$355,MATCH($C615,Deals!$A$2:$A$355,0))),""))</f>
        <v/>
      </c>
      <c r="AE615" s="22">
        <f>IF($C615="","",IFERROR(IF(INDEX(Deals!$AF$2:$AF$355,MATCH($C615,Deals!$A$2:$A$355,0))=0,"",INDEX(Deals!$AF$2:$AF$355,MATCH($C615,Deals!$A$2:$A$355,0))),""))</f>
        <v/>
      </c>
      <c r="AF615" s="35">
        <f>IF($AD615="",DATE(1900,1,1),$AD615)</f>
        <v/>
      </c>
      <c r="AG615" s="35">
        <f>IF($AE615="",DATE(2100,12,31),$AE615)</f>
        <v/>
      </c>
      <c r="AH615" s="22">
        <f>IF($C615="","",IFERROR(IF(INDEX(Deals!$AG$2:$AG$355,MATCH($C615,Deals!$A$2:$A$355,0))=0,"",INDEX(Deals!$AG$2:$AG$355,MATCH($C615,Deals!$A$2:$A$355,0))),""))</f>
        <v/>
      </c>
      <c r="AI615" s="35">
        <f>IF(OR($AH615&lt;&gt;"",AND($AO615&gt;0,$AD615&lt;&gt;"",$AE615&lt;&gt;"")),$AF615,DATE(1900,1,1))</f>
        <v/>
      </c>
      <c r="AJ615" s="35">
        <f>IF($AH615&lt;&gt;"",$AH615,IF(AND($AO615&gt;0,$AD615&lt;&gt;"",$AE615&lt;&gt;""),$AG615,DATE(2100,12,31)))</f>
        <v/>
      </c>
      <c r="AK615" s="32">
        <f>IF($AH615="",$AC615,$AC615*$S615)</f>
        <v/>
      </c>
      <c r="AL615" s="35">
        <f>IF($AH615="",DATE(2100,12,31),$AH615+1)</f>
        <v/>
      </c>
      <c r="AM615" s="35">
        <f>IF($AH615="",DATE(1900,1,1),$AG615)</f>
        <v/>
      </c>
      <c r="AN615" s="32">
        <f>IF($AH615="",0,$AC615*$T615)</f>
        <v/>
      </c>
      <c r="AO615" s="46">
        <f>IF($C615="",0,IFERROR(INDEX(Deals!$BD$2:$BD$355,MATCH($C615,Deals!$A$2:$A$355,0)),0))</f>
        <v/>
      </c>
      <c r="AP615" s="18">
        <f>IF($AO615=0,0,IFERROR(INDEX(Deals!$BJ$2:$BP$355,MATCH($C615,Deals!$A$2:$A$355,0),MATCH($F615,Deals!$BJ$1:$BP$1,0))/COUNTIFS(Assignments!$C$2:$C$769,$C615,Assignments!$F$2:$F$769,$F615,Assignments!$G$2:$G$769,"Active"),0))</f>
        <v/>
      </c>
    </row>
    <row r="616">
      <c r="A616" s="28" t="inlineStr">
        <is>
          <t>Yiyi</t>
        </is>
      </c>
      <c r="B616" s="16">
        <f>IF($A616="","",IFERROR(INDEX(Roster!$B$2:$B$40,MATCH($A616,Roster!$A$2:$A$40,0)),"?"))</f>
        <v/>
      </c>
      <c r="C616" s="28" t="inlineStr">
        <is>
          <t>Mad_1</t>
        </is>
      </c>
      <c r="D616" s="16">
        <f>IF($C616="","",IFERROR(IF(INDEX(Deals!$C$2:$C$355,MATCH($C616,Deals!$A$2:$A$355,0))=0,"",INDEX(Deals!$C$2:$C$355,MATCH($C616,Deals!$A$2:$A$355,0))),"?"))</f>
        <v/>
      </c>
      <c r="E616" s="16">
        <f>IF($C616="","",IFERROR(INDEX(Deals!$F$2:$F$355,MATCH($C616,Deals!$A$2:$A$355,0)),"?"))</f>
        <v/>
      </c>
      <c r="F616" s="28" t="inlineStr">
        <is>
          <t>Renewable Specialist</t>
        </is>
      </c>
      <c r="G616" s="28" t="inlineStr">
        <is>
          <t>Active</t>
        </is>
      </c>
      <c r="H616" s="31" t="n"/>
      <c r="I616" s="32">
        <f>IF(OR($A616="",$G616&lt;&gt;"Active"),0,IF($H616&lt;&gt;"",$H616,IF($AO616&gt;0,$AP616,IF(AND($R616&lt;&gt;"",IFERROR(INDEX(Templates!$B$3:$H$10,MATCH($R616,Templates!$A$3:$A$10,0),MATCH($F616,Templates!$B$2:$H$2,0)),0)&gt;0),INDEX(Templates!$B$3:$H$10,MATCH($R616,Templates!$A$3:$A$10,0),MATCH($F616,Templates!$B$2:$H$2,0)),IFERROR(INDEX(Settings!$B$8:$B$14,MATCH($F616,Settings!$A$8:$A$14,0)),0)))))</f>
        <v/>
      </c>
      <c r="J616" s="21">
        <f>IF($C616="",0,IFERROR(INDEX(Deals!$H$2:$H$355,MATCH($C616,Deals!$A$2:$A$355,0)),0))</f>
        <v/>
      </c>
      <c r="K616" s="32">
        <f>IF(Settings!$B$4="Yes",$I616*$J616,$I616)</f>
        <v/>
      </c>
      <c r="L616" s="22">
        <f>IF($C616="","",IFERROR(IF(INDEX(Deals!$I$2:$I$355,MATCH($C616,Deals!$A$2:$A$355,0))=0,"",INDEX(Deals!$I$2:$I$355,MATCH($C616,Deals!$A$2:$A$355,0))),""))</f>
        <v/>
      </c>
      <c r="M616" s="22">
        <f>IF($C616="","",IFERROR(IF(INDEX(Deals!$J$2:$J$355,MATCH($C616,Deals!$A$2:$A$355,0))=0,"",INDEX(Deals!$J$2:$J$355,MATCH($C616,Deals!$A$2:$A$355,0))),""))</f>
        <v/>
      </c>
      <c r="N616" s="35">
        <f>IF($L616="",DATE(1900,1,1),$L616)</f>
        <v/>
      </c>
      <c r="O616" s="35">
        <f>IF($M616="",DATE(2100,12,31),$M616)</f>
        <v/>
      </c>
      <c r="P616" s="20" t="inlineStr"/>
      <c r="Q616" s="47" t="inlineStr"/>
      <c r="R616" s="16">
        <f>IF($C616="","",IFERROR(IF(INDEX(Deals!$U$2:$U$355,MATCH($C616,Deals!$A$2:$A$355,0))=0,"",INDEX(Deals!$U$2:$U$355,MATCH($C616,Deals!$A$2:$A$355,0))),""))</f>
        <v/>
      </c>
      <c r="S616" s="34">
        <f>IFERROR(IF($U616="",1,INDEX(Deals!$V$2:$V$355,MATCH($C616,Deals!$A$2:$A$355,0))),1)</f>
        <v/>
      </c>
      <c r="T616" s="34">
        <f>IFERROR(IF($U616="",1,INDEX(Deals!$W$2:$W$355,MATCH($C616,Deals!$A$2:$A$355,0))),1)</f>
        <v/>
      </c>
      <c r="U616" s="22">
        <f>IF($C616="","",IFERROR(IF(INDEX(Deals!$Y$2:$Y$355,MATCH($C616,Deals!$A$2:$A$355,0))=0,"",INDEX(Deals!$Y$2:$Y$355,MATCH($C616,Deals!$A$2:$A$355,0))),""))</f>
        <v/>
      </c>
      <c r="V616" s="35">
        <f>IF(OR($U616&lt;&gt;"",AND($AO616&gt;0,$L616&lt;&gt;"",$M616&lt;&gt;"")),$N616,DATE(1900,1,1))</f>
        <v/>
      </c>
      <c r="W616" s="35">
        <f>IF($U616&lt;&gt;"",$U616,IF(AND($AO616&gt;0,$L616&lt;&gt;"",$M616&lt;&gt;""),$O616,DATE(2100,12,31)))</f>
        <v/>
      </c>
      <c r="X616" s="32">
        <f>IF($U616="",$K616,$K616*$S616)</f>
        <v/>
      </c>
      <c r="Y616" s="35">
        <f>IF($U616="",DATE(2100,12,31),$U616+1)</f>
        <v/>
      </c>
      <c r="Z616" s="35">
        <f>IF($U616="",DATE(1900,1,1),$O616)</f>
        <v/>
      </c>
      <c r="AA616" s="32">
        <f>IF($U616="",0,$K616*$T616)</f>
        <v/>
      </c>
      <c r="AB616" s="21">
        <f>IF($C616="",0,IFERROR(INDEX(Deals!$AD$2:$AD$355,MATCH($C616,Deals!$A$2:$A$355,0)),0))</f>
        <v/>
      </c>
      <c r="AC616" s="32">
        <f>IF(Settings!$B$4="Yes",$I616*$AB616,$I616)</f>
        <v/>
      </c>
      <c r="AD616" s="22">
        <f>IF($C616="","",IFERROR(IF(INDEX(Deals!$AE$2:$AE$355,MATCH($C616,Deals!$A$2:$A$355,0))=0,"",INDEX(Deals!$AE$2:$AE$355,MATCH($C616,Deals!$A$2:$A$355,0))),""))</f>
        <v/>
      </c>
      <c r="AE616" s="22">
        <f>IF($C616="","",IFERROR(IF(INDEX(Deals!$AF$2:$AF$355,MATCH($C616,Deals!$A$2:$A$355,0))=0,"",INDEX(Deals!$AF$2:$AF$355,MATCH($C616,Deals!$A$2:$A$355,0))),""))</f>
        <v/>
      </c>
      <c r="AF616" s="35">
        <f>IF($AD616="",DATE(1900,1,1),$AD616)</f>
        <v/>
      </c>
      <c r="AG616" s="35">
        <f>IF($AE616="",DATE(2100,12,31),$AE616)</f>
        <v/>
      </c>
      <c r="AH616" s="22">
        <f>IF($C616="","",IFERROR(IF(INDEX(Deals!$AG$2:$AG$355,MATCH($C616,Deals!$A$2:$A$355,0))=0,"",INDEX(Deals!$AG$2:$AG$355,MATCH($C616,Deals!$A$2:$A$355,0))),""))</f>
        <v/>
      </c>
      <c r="AI616" s="35">
        <f>IF(OR($AH616&lt;&gt;"",AND($AO616&gt;0,$AD616&lt;&gt;"",$AE616&lt;&gt;"")),$AF616,DATE(1900,1,1))</f>
        <v/>
      </c>
      <c r="AJ616" s="35">
        <f>IF($AH616&lt;&gt;"",$AH616,IF(AND($AO616&gt;0,$AD616&lt;&gt;"",$AE616&lt;&gt;""),$AG616,DATE(2100,12,31)))</f>
        <v/>
      </c>
      <c r="AK616" s="32">
        <f>IF($AH616="",$AC616,$AC616*$S616)</f>
        <v/>
      </c>
      <c r="AL616" s="35">
        <f>IF($AH616="",DATE(2100,12,31),$AH616+1)</f>
        <v/>
      </c>
      <c r="AM616" s="35">
        <f>IF($AH616="",DATE(1900,1,1),$AG616)</f>
        <v/>
      </c>
      <c r="AN616" s="32">
        <f>IF($AH616="",0,$AC616*$T616)</f>
        <v/>
      </c>
      <c r="AO616" s="46">
        <f>IF($C616="",0,IFERROR(INDEX(Deals!$BD$2:$BD$355,MATCH($C616,Deals!$A$2:$A$355,0)),0))</f>
        <v/>
      </c>
      <c r="AP616" s="18">
        <f>IF($AO616=0,0,IFERROR(INDEX(Deals!$BJ$2:$BP$355,MATCH($C616,Deals!$A$2:$A$355,0),MATCH($F616,Deals!$BJ$1:$BP$1,0))/COUNTIFS(Assignments!$C$2:$C$769,$C616,Assignments!$F$2:$F$769,$F616,Assignments!$G$2:$G$769,"Active"),0))</f>
        <v/>
      </c>
    </row>
    <row r="617">
      <c r="A617" s="28" t="inlineStr">
        <is>
          <t>Yiyi</t>
        </is>
      </c>
      <c r="B617" s="16">
        <f>IF($A617="","",IFERROR(INDEX(Roster!$B$2:$B$40,MATCH($A617,Roster!$A$2:$A$40,0)),"?"))</f>
        <v/>
      </c>
      <c r="C617" s="28" t="inlineStr">
        <is>
          <t>MeadowBrook_1</t>
        </is>
      </c>
      <c r="D617" s="16">
        <f>IF($C617="","",IFERROR(IF(INDEX(Deals!$C$2:$C$355,MATCH($C617,Deals!$A$2:$A$355,0))=0,"",INDEX(Deals!$C$2:$C$355,MATCH($C617,Deals!$A$2:$A$355,0))),"?"))</f>
        <v/>
      </c>
      <c r="E617" s="16">
        <f>IF($C617="","",IFERROR(INDEX(Deals!$F$2:$F$355,MATCH($C617,Deals!$A$2:$A$355,0)),"?"))</f>
        <v/>
      </c>
      <c r="F617" s="28" t="inlineStr">
        <is>
          <t>Renewable Specialist</t>
        </is>
      </c>
      <c r="G617" s="28" t="inlineStr">
        <is>
          <t>Active</t>
        </is>
      </c>
      <c r="H617" s="31" t="n"/>
      <c r="I617" s="32">
        <f>IF(OR($A617="",$G617&lt;&gt;"Active"),0,IF($H617&lt;&gt;"",$H617,IF($AO617&gt;0,$AP617,IF(AND($R617&lt;&gt;"",IFERROR(INDEX(Templates!$B$3:$H$10,MATCH($R617,Templates!$A$3:$A$10,0),MATCH($F617,Templates!$B$2:$H$2,0)),0)&gt;0),INDEX(Templates!$B$3:$H$10,MATCH($R617,Templates!$A$3:$A$10,0),MATCH($F617,Templates!$B$2:$H$2,0)),IFERROR(INDEX(Settings!$B$8:$B$14,MATCH($F617,Settings!$A$8:$A$14,0)),0)))))</f>
        <v/>
      </c>
      <c r="J617" s="21">
        <f>IF($C617="",0,IFERROR(INDEX(Deals!$H$2:$H$355,MATCH($C617,Deals!$A$2:$A$355,0)),0))</f>
        <v/>
      </c>
      <c r="K617" s="32">
        <f>IF(Settings!$B$4="Yes",$I617*$J617,$I617)</f>
        <v/>
      </c>
      <c r="L617" s="22">
        <f>IF($C617="","",IFERROR(IF(INDEX(Deals!$I$2:$I$355,MATCH($C617,Deals!$A$2:$A$355,0))=0,"",INDEX(Deals!$I$2:$I$355,MATCH($C617,Deals!$A$2:$A$355,0))),""))</f>
        <v/>
      </c>
      <c r="M617" s="22">
        <f>IF($C617="","",IFERROR(IF(INDEX(Deals!$J$2:$J$355,MATCH($C617,Deals!$A$2:$A$355,0))=0,"",INDEX(Deals!$J$2:$J$355,MATCH($C617,Deals!$A$2:$A$355,0))),""))</f>
        <v/>
      </c>
      <c r="N617" s="35">
        <f>IF($L617="",DATE(1900,1,1),$L617)</f>
        <v/>
      </c>
      <c r="O617" s="35">
        <f>IF($M617="",DATE(2100,12,31),$M617)</f>
        <v/>
      </c>
      <c r="P617" s="20" t="inlineStr"/>
      <c r="Q617" s="47" t="inlineStr"/>
      <c r="R617" s="16">
        <f>IF($C617="","",IFERROR(IF(INDEX(Deals!$U$2:$U$355,MATCH($C617,Deals!$A$2:$A$355,0))=0,"",INDEX(Deals!$U$2:$U$355,MATCH($C617,Deals!$A$2:$A$355,0))),""))</f>
        <v/>
      </c>
      <c r="S617" s="34">
        <f>IFERROR(IF($U617="",1,INDEX(Deals!$V$2:$V$355,MATCH($C617,Deals!$A$2:$A$355,0))),1)</f>
        <v/>
      </c>
      <c r="T617" s="34">
        <f>IFERROR(IF($U617="",1,INDEX(Deals!$W$2:$W$355,MATCH($C617,Deals!$A$2:$A$355,0))),1)</f>
        <v/>
      </c>
      <c r="U617" s="22">
        <f>IF($C617="","",IFERROR(IF(INDEX(Deals!$Y$2:$Y$355,MATCH($C617,Deals!$A$2:$A$355,0))=0,"",INDEX(Deals!$Y$2:$Y$355,MATCH($C617,Deals!$A$2:$A$355,0))),""))</f>
        <v/>
      </c>
      <c r="V617" s="35">
        <f>IF(OR($U617&lt;&gt;"",AND($AO617&gt;0,$L617&lt;&gt;"",$M617&lt;&gt;"")),$N617,DATE(1900,1,1))</f>
        <v/>
      </c>
      <c r="W617" s="35">
        <f>IF($U617&lt;&gt;"",$U617,IF(AND($AO617&gt;0,$L617&lt;&gt;"",$M617&lt;&gt;""),$O617,DATE(2100,12,31)))</f>
        <v/>
      </c>
      <c r="X617" s="32">
        <f>IF($U617="",$K617,$K617*$S617)</f>
        <v/>
      </c>
      <c r="Y617" s="35">
        <f>IF($U617="",DATE(2100,12,31),$U617+1)</f>
        <v/>
      </c>
      <c r="Z617" s="35">
        <f>IF($U617="",DATE(1900,1,1),$O617)</f>
        <v/>
      </c>
      <c r="AA617" s="32">
        <f>IF($U617="",0,$K617*$T617)</f>
        <v/>
      </c>
      <c r="AB617" s="21">
        <f>IF($C617="",0,IFERROR(INDEX(Deals!$AD$2:$AD$355,MATCH($C617,Deals!$A$2:$A$355,0)),0))</f>
        <v/>
      </c>
      <c r="AC617" s="32">
        <f>IF(Settings!$B$4="Yes",$I617*$AB617,$I617)</f>
        <v/>
      </c>
      <c r="AD617" s="22">
        <f>IF($C617="","",IFERROR(IF(INDEX(Deals!$AE$2:$AE$355,MATCH($C617,Deals!$A$2:$A$355,0))=0,"",INDEX(Deals!$AE$2:$AE$355,MATCH($C617,Deals!$A$2:$A$355,0))),""))</f>
        <v/>
      </c>
      <c r="AE617" s="22">
        <f>IF($C617="","",IFERROR(IF(INDEX(Deals!$AF$2:$AF$355,MATCH($C617,Deals!$A$2:$A$355,0))=0,"",INDEX(Deals!$AF$2:$AF$355,MATCH($C617,Deals!$A$2:$A$355,0))),""))</f>
        <v/>
      </c>
      <c r="AF617" s="35">
        <f>IF($AD617="",DATE(1900,1,1),$AD617)</f>
        <v/>
      </c>
      <c r="AG617" s="35">
        <f>IF($AE617="",DATE(2100,12,31),$AE617)</f>
        <v/>
      </c>
      <c r="AH617" s="22">
        <f>IF($C617="","",IFERROR(IF(INDEX(Deals!$AG$2:$AG$355,MATCH($C617,Deals!$A$2:$A$355,0))=0,"",INDEX(Deals!$AG$2:$AG$355,MATCH($C617,Deals!$A$2:$A$355,0))),""))</f>
        <v/>
      </c>
      <c r="AI617" s="35">
        <f>IF(OR($AH617&lt;&gt;"",AND($AO617&gt;0,$AD617&lt;&gt;"",$AE617&lt;&gt;"")),$AF617,DATE(1900,1,1))</f>
        <v/>
      </c>
      <c r="AJ617" s="35">
        <f>IF($AH617&lt;&gt;"",$AH617,IF(AND($AO617&gt;0,$AD617&lt;&gt;"",$AE617&lt;&gt;""),$AG617,DATE(2100,12,31)))</f>
        <v/>
      </c>
      <c r="AK617" s="32">
        <f>IF($AH617="",$AC617,$AC617*$S617)</f>
        <v/>
      </c>
      <c r="AL617" s="35">
        <f>IF($AH617="",DATE(2100,12,31),$AH617+1)</f>
        <v/>
      </c>
      <c r="AM617" s="35">
        <f>IF($AH617="",DATE(1900,1,1),$AG617)</f>
        <v/>
      </c>
      <c r="AN617" s="32">
        <f>IF($AH617="",0,$AC617*$T617)</f>
        <v/>
      </c>
      <c r="AO617" s="46">
        <f>IF($C617="",0,IFERROR(INDEX(Deals!$BD$2:$BD$355,MATCH($C617,Deals!$A$2:$A$355,0)),0))</f>
        <v/>
      </c>
      <c r="AP617" s="18">
        <f>IF($AO617=0,0,IFERROR(INDEX(Deals!$BJ$2:$BP$355,MATCH($C617,Deals!$A$2:$A$355,0),MATCH($F617,Deals!$BJ$1:$BP$1,0))/COUNTIFS(Assignments!$C$2:$C$769,$C617,Assignments!$F$2:$F$769,$F617,Assignments!$G$2:$G$769,"Active"),0))</f>
        <v/>
      </c>
    </row>
    <row r="618">
      <c r="A618" s="28" t="inlineStr">
        <is>
          <t>Yiyi</t>
        </is>
      </c>
      <c r="B618" s="16">
        <f>IF($A618="","",IFERROR(INDEX(Roster!$B$2:$B$40,MATCH($A618,Roster!$A$2:$A$40,0)),"?"))</f>
        <v/>
      </c>
      <c r="C618" s="28" t="inlineStr">
        <is>
          <t>Neo_2</t>
        </is>
      </c>
      <c r="D618" s="16">
        <f>IF($C618="","",IFERROR(IF(INDEX(Deals!$C$2:$C$355,MATCH($C618,Deals!$A$2:$A$355,0))=0,"",INDEX(Deals!$C$2:$C$355,MATCH($C618,Deals!$A$2:$A$355,0))),"?"))</f>
        <v/>
      </c>
      <c r="E618" s="16">
        <f>IF($C618="","",IFERROR(INDEX(Deals!$F$2:$F$355,MATCH($C618,Deals!$A$2:$A$355,0)),"?"))</f>
        <v/>
      </c>
      <c r="F618" s="28" t="inlineStr">
        <is>
          <t>Renewable Specialist</t>
        </is>
      </c>
      <c r="G618" s="28" t="inlineStr">
        <is>
          <t>Active</t>
        </is>
      </c>
      <c r="H618" s="31" t="n"/>
      <c r="I618" s="32">
        <f>IF(OR($A618="",$G618&lt;&gt;"Active"),0,IF($H618&lt;&gt;"",$H618,IF($AO618&gt;0,$AP618,IF(AND($R618&lt;&gt;"",IFERROR(INDEX(Templates!$B$3:$H$10,MATCH($R618,Templates!$A$3:$A$10,0),MATCH($F618,Templates!$B$2:$H$2,0)),0)&gt;0),INDEX(Templates!$B$3:$H$10,MATCH($R618,Templates!$A$3:$A$10,0),MATCH($F618,Templates!$B$2:$H$2,0)),IFERROR(INDEX(Settings!$B$8:$B$14,MATCH($F618,Settings!$A$8:$A$14,0)),0)))))</f>
        <v/>
      </c>
      <c r="J618" s="21">
        <f>IF($C618="",0,IFERROR(INDEX(Deals!$H$2:$H$355,MATCH($C618,Deals!$A$2:$A$355,0)),0))</f>
        <v/>
      </c>
      <c r="K618" s="32">
        <f>IF(Settings!$B$4="Yes",$I618*$J618,$I618)</f>
        <v/>
      </c>
      <c r="L618" s="22">
        <f>IF($C618="","",IFERROR(IF(INDEX(Deals!$I$2:$I$355,MATCH($C618,Deals!$A$2:$A$355,0))=0,"",INDEX(Deals!$I$2:$I$355,MATCH($C618,Deals!$A$2:$A$355,0))),""))</f>
        <v/>
      </c>
      <c r="M618" s="22">
        <f>IF($C618="","",IFERROR(IF(INDEX(Deals!$J$2:$J$355,MATCH($C618,Deals!$A$2:$A$355,0))=0,"",INDEX(Deals!$J$2:$J$355,MATCH($C618,Deals!$A$2:$A$355,0))),""))</f>
        <v/>
      </c>
      <c r="N618" s="35">
        <f>IF($L618="",DATE(1900,1,1),$L618)</f>
        <v/>
      </c>
      <c r="O618" s="35">
        <f>IF($M618="",DATE(2100,12,31),$M618)</f>
        <v/>
      </c>
      <c r="P618" s="20" t="inlineStr"/>
      <c r="Q618" s="47" t="inlineStr"/>
      <c r="R618" s="16">
        <f>IF($C618="","",IFERROR(IF(INDEX(Deals!$U$2:$U$355,MATCH($C618,Deals!$A$2:$A$355,0))=0,"",INDEX(Deals!$U$2:$U$355,MATCH($C618,Deals!$A$2:$A$355,0))),""))</f>
        <v/>
      </c>
      <c r="S618" s="34">
        <f>IFERROR(IF($U618="",1,INDEX(Deals!$V$2:$V$355,MATCH($C618,Deals!$A$2:$A$355,0))),1)</f>
        <v/>
      </c>
      <c r="T618" s="34">
        <f>IFERROR(IF($U618="",1,INDEX(Deals!$W$2:$W$355,MATCH($C618,Deals!$A$2:$A$355,0))),1)</f>
        <v/>
      </c>
      <c r="U618" s="22">
        <f>IF($C618="","",IFERROR(IF(INDEX(Deals!$Y$2:$Y$355,MATCH($C618,Deals!$A$2:$A$355,0))=0,"",INDEX(Deals!$Y$2:$Y$355,MATCH($C618,Deals!$A$2:$A$355,0))),""))</f>
        <v/>
      </c>
      <c r="V618" s="35">
        <f>IF(OR($U618&lt;&gt;"",AND($AO618&gt;0,$L618&lt;&gt;"",$M618&lt;&gt;"")),$N618,DATE(1900,1,1))</f>
        <v/>
      </c>
      <c r="W618" s="35">
        <f>IF($U618&lt;&gt;"",$U618,IF(AND($AO618&gt;0,$L618&lt;&gt;"",$M618&lt;&gt;""),$O618,DATE(2100,12,31)))</f>
        <v/>
      </c>
      <c r="X618" s="32">
        <f>IF($U618="",$K618,$K618*$S618)</f>
        <v/>
      </c>
      <c r="Y618" s="35">
        <f>IF($U618="",DATE(2100,12,31),$U618+1)</f>
        <v/>
      </c>
      <c r="Z618" s="35">
        <f>IF($U618="",DATE(1900,1,1),$O618)</f>
        <v/>
      </c>
      <c r="AA618" s="32">
        <f>IF($U618="",0,$K618*$T618)</f>
        <v/>
      </c>
      <c r="AB618" s="21">
        <f>IF($C618="",0,IFERROR(INDEX(Deals!$AD$2:$AD$355,MATCH($C618,Deals!$A$2:$A$355,0)),0))</f>
        <v/>
      </c>
      <c r="AC618" s="32">
        <f>IF(Settings!$B$4="Yes",$I618*$AB618,$I618)</f>
        <v/>
      </c>
      <c r="AD618" s="22">
        <f>IF($C618="","",IFERROR(IF(INDEX(Deals!$AE$2:$AE$355,MATCH($C618,Deals!$A$2:$A$355,0))=0,"",INDEX(Deals!$AE$2:$AE$355,MATCH($C618,Deals!$A$2:$A$355,0))),""))</f>
        <v/>
      </c>
      <c r="AE618" s="22">
        <f>IF($C618="","",IFERROR(IF(INDEX(Deals!$AF$2:$AF$355,MATCH($C618,Deals!$A$2:$A$355,0))=0,"",INDEX(Deals!$AF$2:$AF$355,MATCH($C618,Deals!$A$2:$A$355,0))),""))</f>
        <v/>
      </c>
      <c r="AF618" s="35">
        <f>IF($AD618="",DATE(1900,1,1),$AD618)</f>
        <v/>
      </c>
      <c r="AG618" s="35">
        <f>IF($AE618="",DATE(2100,12,31),$AE618)</f>
        <v/>
      </c>
      <c r="AH618" s="22">
        <f>IF($C618="","",IFERROR(IF(INDEX(Deals!$AG$2:$AG$355,MATCH($C618,Deals!$A$2:$A$355,0))=0,"",INDEX(Deals!$AG$2:$AG$355,MATCH($C618,Deals!$A$2:$A$355,0))),""))</f>
        <v/>
      </c>
      <c r="AI618" s="35">
        <f>IF(OR($AH618&lt;&gt;"",AND($AO618&gt;0,$AD618&lt;&gt;"",$AE618&lt;&gt;"")),$AF618,DATE(1900,1,1))</f>
        <v/>
      </c>
      <c r="AJ618" s="35">
        <f>IF($AH618&lt;&gt;"",$AH618,IF(AND($AO618&gt;0,$AD618&lt;&gt;"",$AE618&lt;&gt;""),$AG618,DATE(2100,12,31)))</f>
        <v/>
      </c>
      <c r="AK618" s="32">
        <f>IF($AH618="",$AC618,$AC618*$S618)</f>
        <v/>
      </c>
      <c r="AL618" s="35">
        <f>IF($AH618="",DATE(2100,12,31),$AH618+1)</f>
        <v/>
      </c>
      <c r="AM618" s="35">
        <f>IF($AH618="",DATE(1900,1,1),$AG618)</f>
        <v/>
      </c>
      <c r="AN618" s="32">
        <f>IF($AH618="",0,$AC618*$T618)</f>
        <v/>
      </c>
      <c r="AO618" s="46">
        <f>IF($C618="",0,IFERROR(INDEX(Deals!$BD$2:$BD$355,MATCH($C618,Deals!$A$2:$A$355,0)),0))</f>
        <v/>
      </c>
      <c r="AP618" s="18">
        <f>IF($AO618=0,0,IFERROR(INDEX(Deals!$BJ$2:$BP$355,MATCH($C618,Deals!$A$2:$A$355,0),MATCH($F618,Deals!$BJ$1:$BP$1,0))/COUNTIFS(Assignments!$C$2:$C$769,$C618,Assignments!$F$2:$F$769,$F618,Assignments!$G$2:$G$769,"Active"),0))</f>
        <v/>
      </c>
    </row>
    <row r="619">
      <c r="A619" s="28" t="inlineStr">
        <is>
          <t>Yiyi</t>
        </is>
      </c>
      <c r="B619" s="16">
        <f>IF($A619="","",IFERROR(INDEX(Roster!$B$2:$B$40,MATCH($A619,Roster!$A$2:$A$40,0)),"?"))</f>
        <v/>
      </c>
      <c r="C619" s="28" t="inlineStr">
        <is>
          <t>Neutrino_1</t>
        </is>
      </c>
      <c r="D619" s="16">
        <f>IF($C619="","",IFERROR(IF(INDEX(Deals!$C$2:$C$355,MATCH($C619,Deals!$A$2:$A$355,0))=0,"",INDEX(Deals!$C$2:$C$355,MATCH($C619,Deals!$A$2:$A$355,0))),"?"))</f>
        <v/>
      </c>
      <c r="E619" s="16">
        <f>IF($C619="","",IFERROR(INDEX(Deals!$F$2:$F$355,MATCH($C619,Deals!$A$2:$A$355,0)),"?"))</f>
        <v/>
      </c>
      <c r="F619" s="28" t="inlineStr">
        <is>
          <t>Renewable Specialist</t>
        </is>
      </c>
      <c r="G619" s="28" t="inlineStr">
        <is>
          <t>Active</t>
        </is>
      </c>
      <c r="H619" s="31" t="n"/>
      <c r="I619" s="32">
        <f>IF(OR($A619="",$G619&lt;&gt;"Active"),0,IF($H619&lt;&gt;"",$H619,IF($AO619&gt;0,$AP619,IF(AND($R619&lt;&gt;"",IFERROR(INDEX(Templates!$B$3:$H$10,MATCH($R619,Templates!$A$3:$A$10,0),MATCH($F619,Templates!$B$2:$H$2,0)),0)&gt;0),INDEX(Templates!$B$3:$H$10,MATCH($R619,Templates!$A$3:$A$10,0),MATCH($F619,Templates!$B$2:$H$2,0)),IFERROR(INDEX(Settings!$B$8:$B$14,MATCH($F619,Settings!$A$8:$A$14,0)),0)))))</f>
        <v/>
      </c>
      <c r="J619" s="21">
        <f>IF($C619="",0,IFERROR(INDEX(Deals!$H$2:$H$355,MATCH($C619,Deals!$A$2:$A$355,0)),0))</f>
        <v/>
      </c>
      <c r="K619" s="32">
        <f>IF(Settings!$B$4="Yes",$I619*$J619,$I619)</f>
        <v/>
      </c>
      <c r="L619" s="22">
        <f>IF($C619="","",IFERROR(IF(INDEX(Deals!$I$2:$I$355,MATCH($C619,Deals!$A$2:$A$355,0))=0,"",INDEX(Deals!$I$2:$I$355,MATCH($C619,Deals!$A$2:$A$355,0))),""))</f>
        <v/>
      </c>
      <c r="M619" s="22">
        <f>IF($C619="","",IFERROR(IF(INDEX(Deals!$J$2:$J$355,MATCH($C619,Deals!$A$2:$A$355,0))=0,"",INDEX(Deals!$J$2:$J$355,MATCH($C619,Deals!$A$2:$A$355,0))),""))</f>
        <v/>
      </c>
      <c r="N619" s="35">
        <f>IF($L619="",DATE(1900,1,1),$L619)</f>
        <v/>
      </c>
      <c r="O619" s="35">
        <f>IF($M619="",DATE(2100,12,31),$M619)</f>
        <v/>
      </c>
      <c r="P619" s="20" t="inlineStr"/>
      <c r="Q619" s="47" t="inlineStr"/>
      <c r="R619" s="16">
        <f>IF($C619="","",IFERROR(IF(INDEX(Deals!$U$2:$U$355,MATCH($C619,Deals!$A$2:$A$355,0))=0,"",INDEX(Deals!$U$2:$U$355,MATCH($C619,Deals!$A$2:$A$355,0))),""))</f>
        <v/>
      </c>
      <c r="S619" s="34">
        <f>IFERROR(IF($U619="",1,INDEX(Deals!$V$2:$V$355,MATCH($C619,Deals!$A$2:$A$355,0))),1)</f>
        <v/>
      </c>
      <c r="T619" s="34">
        <f>IFERROR(IF($U619="",1,INDEX(Deals!$W$2:$W$355,MATCH($C619,Deals!$A$2:$A$355,0))),1)</f>
        <v/>
      </c>
      <c r="U619" s="22">
        <f>IF($C619="","",IFERROR(IF(INDEX(Deals!$Y$2:$Y$355,MATCH($C619,Deals!$A$2:$A$355,0))=0,"",INDEX(Deals!$Y$2:$Y$355,MATCH($C619,Deals!$A$2:$A$355,0))),""))</f>
        <v/>
      </c>
      <c r="V619" s="35">
        <f>IF(OR($U619&lt;&gt;"",AND($AO619&gt;0,$L619&lt;&gt;"",$M619&lt;&gt;"")),$N619,DATE(1900,1,1))</f>
        <v/>
      </c>
      <c r="W619" s="35">
        <f>IF($U619&lt;&gt;"",$U619,IF(AND($AO619&gt;0,$L619&lt;&gt;"",$M619&lt;&gt;""),$O619,DATE(2100,12,31)))</f>
        <v/>
      </c>
      <c r="X619" s="32">
        <f>IF($U619="",$K619,$K619*$S619)</f>
        <v/>
      </c>
      <c r="Y619" s="35">
        <f>IF($U619="",DATE(2100,12,31),$U619+1)</f>
        <v/>
      </c>
      <c r="Z619" s="35">
        <f>IF($U619="",DATE(1900,1,1),$O619)</f>
        <v/>
      </c>
      <c r="AA619" s="32">
        <f>IF($U619="",0,$K619*$T619)</f>
        <v/>
      </c>
      <c r="AB619" s="21">
        <f>IF($C619="",0,IFERROR(INDEX(Deals!$AD$2:$AD$355,MATCH($C619,Deals!$A$2:$A$355,0)),0))</f>
        <v/>
      </c>
      <c r="AC619" s="32">
        <f>IF(Settings!$B$4="Yes",$I619*$AB619,$I619)</f>
        <v/>
      </c>
      <c r="AD619" s="22">
        <f>IF($C619="","",IFERROR(IF(INDEX(Deals!$AE$2:$AE$355,MATCH($C619,Deals!$A$2:$A$355,0))=0,"",INDEX(Deals!$AE$2:$AE$355,MATCH($C619,Deals!$A$2:$A$355,0))),""))</f>
        <v/>
      </c>
      <c r="AE619" s="22">
        <f>IF($C619="","",IFERROR(IF(INDEX(Deals!$AF$2:$AF$355,MATCH($C619,Deals!$A$2:$A$355,0))=0,"",INDEX(Deals!$AF$2:$AF$355,MATCH($C619,Deals!$A$2:$A$355,0))),""))</f>
        <v/>
      </c>
      <c r="AF619" s="35">
        <f>IF($AD619="",DATE(1900,1,1),$AD619)</f>
        <v/>
      </c>
      <c r="AG619" s="35">
        <f>IF($AE619="",DATE(2100,12,31),$AE619)</f>
        <v/>
      </c>
      <c r="AH619" s="22">
        <f>IF($C619="","",IFERROR(IF(INDEX(Deals!$AG$2:$AG$355,MATCH($C619,Deals!$A$2:$A$355,0))=0,"",INDEX(Deals!$AG$2:$AG$355,MATCH($C619,Deals!$A$2:$A$355,0))),""))</f>
        <v/>
      </c>
      <c r="AI619" s="35">
        <f>IF(OR($AH619&lt;&gt;"",AND($AO619&gt;0,$AD619&lt;&gt;"",$AE619&lt;&gt;"")),$AF619,DATE(1900,1,1))</f>
        <v/>
      </c>
      <c r="AJ619" s="35">
        <f>IF($AH619&lt;&gt;"",$AH619,IF(AND($AO619&gt;0,$AD619&lt;&gt;"",$AE619&lt;&gt;""),$AG619,DATE(2100,12,31)))</f>
        <v/>
      </c>
      <c r="AK619" s="32">
        <f>IF($AH619="",$AC619,$AC619*$S619)</f>
        <v/>
      </c>
      <c r="AL619" s="35">
        <f>IF($AH619="",DATE(2100,12,31),$AH619+1)</f>
        <v/>
      </c>
      <c r="AM619" s="35">
        <f>IF($AH619="",DATE(1900,1,1),$AG619)</f>
        <v/>
      </c>
      <c r="AN619" s="32">
        <f>IF($AH619="",0,$AC619*$T619)</f>
        <v/>
      </c>
      <c r="AO619" s="46">
        <f>IF($C619="",0,IFERROR(INDEX(Deals!$BD$2:$BD$355,MATCH($C619,Deals!$A$2:$A$355,0)),0))</f>
        <v/>
      </c>
      <c r="AP619" s="18">
        <f>IF($AO619=0,0,IFERROR(INDEX(Deals!$BJ$2:$BP$355,MATCH($C619,Deals!$A$2:$A$355,0),MATCH($F619,Deals!$BJ$1:$BP$1,0))/COUNTIFS(Assignments!$C$2:$C$769,$C619,Assignments!$F$2:$F$769,$F619,Assignments!$G$2:$G$769,"Active"),0))</f>
        <v/>
      </c>
    </row>
    <row r="620">
      <c r="A620" s="28" t="inlineStr">
        <is>
          <t>Yiyi</t>
        </is>
      </c>
      <c r="B620" s="16">
        <f>IF($A620="","",IFERROR(INDEX(Roster!$B$2:$B$40,MATCH($A620,Roster!$A$2:$A$40,0)),"?"))</f>
        <v/>
      </c>
      <c r="C620" s="28" t="inlineStr">
        <is>
          <t>New Haven_1</t>
        </is>
      </c>
      <c r="D620" s="16">
        <f>IF($C620="","",IFERROR(IF(INDEX(Deals!$C$2:$C$355,MATCH($C620,Deals!$A$2:$A$355,0))=0,"",INDEX(Deals!$C$2:$C$355,MATCH($C620,Deals!$A$2:$A$355,0))),"?"))</f>
        <v/>
      </c>
      <c r="E620" s="16">
        <f>IF($C620="","",IFERROR(INDEX(Deals!$F$2:$F$355,MATCH($C620,Deals!$A$2:$A$355,0)),"?"))</f>
        <v/>
      </c>
      <c r="F620" s="28" t="inlineStr">
        <is>
          <t>Renewable Specialist</t>
        </is>
      </c>
      <c r="G620" s="28" t="inlineStr">
        <is>
          <t>Active</t>
        </is>
      </c>
      <c r="H620" s="31" t="n"/>
      <c r="I620" s="32">
        <f>IF(OR($A620="",$G620&lt;&gt;"Active"),0,IF($H620&lt;&gt;"",$H620,IF($AO620&gt;0,$AP620,IF(AND($R620&lt;&gt;"",IFERROR(INDEX(Templates!$B$3:$H$10,MATCH($R620,Templates!$A$3:$A$10,0),MATCH($F620,Templates!$B$2:$H$2,0)),0)&gt;0),INDEX(Templates!$B$3:$H$10,MATCH($R620,Templates!$A$3:$A$10,0),MATCH($F620,Templates!$B$2:$H$2,0)),IFERROR(INDEX(Settings!$B$8:$B$14,MATCH($F620,Settings!$A$8:$A$14,0)),0)))))</f>
        <v/>
      </c>
      <c r="J620" s="21">
        <f>IF($C620="",0,IFERROR(INDEX(Deals!$H$2:$H$355,MATCH($C620,Deals!$A$2:$A$355,0)),0))</f>
        <v/>
      </c>
      <c r="K620" s="32">
        <f>IF(Settings!$B$4="Yes",$I620*$J620,$I620)</f>
        <v/>
      </c>
      <c r="L620" s="22">
        <f>IF($C620="","",IFERROR(IF(INDEX(Deals!$I$2:$I$355,MATCH($C620,Deals!$A$2:$A$355,0))=0,"",INDEX(Deals!$I$2:$I$355,MATCH($C620,Deals!$A$2:$A$355,0))),""))</f>
        <v/>
      </c>
      <c r="M620" s="22">
        <f>IF($C620="","",IFERROR(IF(INDEX(Deals!$J$2:$J$355,MATCH($C620,Deals!$A$2:$A$355,0))=0,"",INDEX(Deals!$J$2:$J$355,MATCH($C620,Deals!$A$2:$A$355,0))),""))</f>
        <v/>
      </c>
      <c r="N620" s="35">
        <f>IF($L620="",DATE(1900,1,1),$L620)</f>
        <v/>
      </c>
      <c r="O620" s="35">
        <f>IF($M620="",DATE(2100,12,31),$M620)</f>
        <v/>
      </c>
      <c r="P620" s="20" t="inlineStr"/>
      <c r="Q620" s="47" t="inlineStr"/>
      <c r="R620" s="16">
        <f>IF($C620="","",IFERROR(IF(INDEX(Deals!$U$2:$U$355,MATCH($C620,Deals!$A$2:$A$355,0))=0,"",INDEX(Deals!$U$2:$U$355,MATCH($C620,Deals!$A$2:$A$355,0))),""))</f>
        <v/>
      </c>
      <c r="S620" s="34">
        <f>IFERROR(IF($U620="",1,INDEX(Deals!$V$2:$V$355,MATCH($C620,Deals!$A$2:$A$355,0))),1)</f>
        <v/>
      </c>
      <c r="T620" s="34">
        <f>IFERROR(IF($U620="",1,INDEX(Deals!$W$2:$W$355,MATCH($C620,Deals!$A$2:$A$355,0))),1)</f>
        <v/>
      </c>
      <c r="U620" s="22">
        <f>IF($C620="","",IFERROR(IF(INDEX(Deals!$Y$2:$Y$355,MATCH($C620,Deals!$A$2:$A$355,0))=0,"",INDEX(Deals!$Y$2:$Y$355,MATCH($C620,Deals!$A$2:$A$355,0))),""))</f>
        <v/>
      </c>
      <c r="V620" s="35">
        <f>IF(OR($U620&lt;&gt;"",AND($AO620&gt;0,$L620&lt;&gt;"",$M620&lt;&gt;"")),$N620,DATE(1900,1,1))</f>
        <v/>
      </c>
      <c r="W620" s="35">
        <f>IF($U620&lt;&gt;"",$U620,IF(AND($AO620&gt;0,$L620&lt;&gt;"",$M620&lt;&gt;""),$O620,DATE(2100,12,31)))</f>
        <v/>
      </c>
      <c r="X620" s="32">
        <f>IF($U620="",$K620,$K620*$S620)</f>
        <v/>
      </c>
      <c r="Y620" s="35">
        <f>IF($U620="",DATE(2100,12,31),$U620+1)</f>
        <v/>
      </c>
      <c r="Z620" s="35">
        <f>IF($U620="",DATE(1900,1,1),$O620)</f>
        <v/>
      </c>
      <c r="AA620" s="32">
        <f>IF($U620="",0,$K620*$T620)</f>
        <v/>
      </c>
      <c r="AB620" s="21">
        <f>IF($C620="",0,IFERROR(INDEX(Deals!$AD$2:$AD$355,MATCH($C620,Deals!$A$2:$A$355,0)),0))</f>
        <v/>
      </c>
      <c r="AC620" s="32">
        <f>IF(Settings!$B$4="Yes",$I620*$AB620,$I620)</f>
        <v/>
      </c>
      <c r="AD620" s="22">
        <f>IF($C620="","",IFERROR(IF(INDEX(Deals!$AE$2:$AE$355,MATCH($C620,Deals!$A$2:$A$355,0))=0,"",INDEX(Deals!$AE$2:$AE$355,MATCH($C620,Deals!$A$2:$A$355,0))),""))</f>
        <v/>
      </c>
      <c r="AE620" s="22">
        <f>IF($C620="","",IFERROR(IF(INDEX(Deals!$AF$2:$AF$355,MATCH($C620,Deals!$A$2:$A$355,0))=0,"",INDEX(Deals!$AF$2:$AF$355,MATCH($C620,Deals!$A$2:$A$355,0))),""))</f>
        <v/>
      </c>
      <c r="AF620" s="35">
        <f>IF($AD620="",DATE(1900,1,1),$AD620)</f>
        <v/>
      </c>
      <c r="AG620" s="35">
        <f>IF($AE620="",DATE(2100,12,31),$AE620)</f>
        <v/>
      </c>
      <c r="AH620" s="22">
        <f>IF($C620="","",IFERROR(IF(INDEX(Deals!$AG$2:$AG$355,MATCH($C620,Deals!$A$2:$A$355,0))=0,"",INDEX(Deals!$AG$2:$AG$355,MATCH($C620,Deals!$A$2:$A$355,0))),""))</f>
        <v/>
      </c>
      <c r="AI620" s="35">
        <f>IF(OR($AH620&lt;&gt;"",AND($AO620&gt;0,$AD620&lt;&gt;"",$AE620&lt;&gt;"")),$AF620,DATE(1900,1,1))</f>
        <v/>
      </c>
      <c r="AJ620" s="35">
        <f>IF($AH620&lt;&gt;"",$AH620,IF(AND($AO620&gt;0,$AD620&lt;&gt;"",$AE620&lt;&gt;""),$AG620,DATE(2100,12,31)))</f>
        <v/>
      </c>
      <c r="AK620" s="32">
        <f>IF($AH620="",$AC620,$AC620*$S620)</f>
        <v/>
      </c>
      <c r="AL620" s="35">
        <f>IF($AH620="",DATE(2100,12,31),$AH620+1)</f>
        <v/>
      </c>
      <c r="AM620" s="35">
        <f>IF($AH620="",DATE(1900,1,1),$AG620)</f>
        <v/>
      </c>
      <c r="AN620" s="32">
        <f>IF($AH620="",0,$AC620*$T620)</f>
        <v/>
      </c>
      <c r="AO620" s="46">
        <f>IF($C620="",0,IFERROR(INDEX(Deals!$BD$2:$BD$355,MATCH($C620,Deals!$A$2:$A$355,0)),0))</f>
        <v/>
      </c>
      <c r="AP620" s="18">
        <f>IF($AO620=0,0,IFERROR(INDEX(Deals!$BJ$2:$BP$355,MATCH($C620,Deals!$A$2:$A$355,0),MATCH($F620,Deals!$BJ$1:$BP$1,0))/COUNTIFS(Assignments!$C$2:$C$769,$C620,Assignments!$F$2:$F$769,$F620,Assignments!$G$2:$G$769,"Active"),0))</f>
        <v/>
      </c>
    </row>
    <row r="621">
      <c r="A621" s="28" t="inlineStr">
        <is>
          <t>Yiyi</t>
        </is>
      </c>
      <c r="B621" s="16">
        <f>IF($A621="","",IFERROR(INDEX(Roster!$B$2:$B$40,MATCH($A621,Roster!$A$2:$A$40,0)),"?"))</f>
        <v/>
      </c>
      <c r="C621" s="28" t="inlineStr">
        <is>
          <t>Orca_1</t>
        </is>
      </c>
      <c r="D621" s="16">
        <f>IF($C621="","",IFERROR(IF(INDEX(Deals!$C$2:$C$355,MATCH($C621,Deals!$A$2:$A$355,0))=0,"",INDEX(Deals!$C$2:$C$355,MATCH($C621,Deals!$A$2:$A$355,0))),"?"))</f>
        <v/>
      </c>
      <c r="E621" s="16">
        <f>IF($C621="","",IFERROR(INDEX(Deals!$F$2:$F$355,MATCH($C621,Deals!$A$2:$A$355,0)),"?"))</f>
        <v/>
      </c>
      <c r="F621" s="28" t="inlineStr">
        <is>
          <t>Renewable Specialist</t>
        </is>
      </c>
      <c r="G621" s="28" t="inlineStr">
        <is>
          <t>Active</t>
        </is>
      </c>
      <c r="H621" s="31" t="n"/>
      <c r="I621" s="32">
        <f>IF(OR($A621="",$G621&lt;&gt;"Active"),0,IF($H621&lt;&gt;"",$H621,IF($AO621&gt;0,$AP621,IF(AND($R621&lt;&gt;"",IFERROR(INDEX(Templates!$B$3:$H$10,MATCH($R621,Templates!$A$3:$A$10,0),MATCH($F621,Templates!$B$2:$H$2,0)),0)&gt;0),INDEX(Templates!$B$3:$H$10,MATCH($R621,Templates!$A$3:$A$10,0),MATCH($F621,Templates!$B$2:$H$2,0)),IFERROR(INDEX(Settings!$B$8:$B$14,MATCH($F621,Settings!$A$8:$A$14,0)),0)))))</f>
        <v/>
      </c>
      <c r="J621" s="21">
        <f>IF($C621="",0,IFERROR(INDEX(Deals!$H$2:$H$355,MATCH($C621,Deals!$A$2:$A$355,0)),0))</f>
        <v/>
      </c>
      <c r="K621" s="32">
        <f>IF(Settings!$B$4="Yes",$I621*$J621,$I621)</f>
        <v/>
      </c>
      <c r="L621" s="22">
        <f>IF($C621="","",IFERROR(IF(INDEX(Deals!$I$2:$I$355,MATCH($C621,Deals!$A$2:$A$355,0))=0,"",INDEX(Deals!$I$2:$I$355,MATCH($C621,Deals!$A$2:$A$355,0))),""))</f>
        <v/>
      </c>
      <c r="M621" s="22">
        <f>IF($C621="","",IFERROR(IF(INDEX(Deals!$J$2:$J$355,MATCH($C621,Deals!$A$2:$A$355,0))=0,"",INDEX(Deals!$J$2:$J$355,MATCH($C621,Deals!$A$2:$A$355,0))),""))</f>
        <v/>
      </c>
      <c r="N621" s="35">
        <f>IF($L621="",DATE(1900,1,1),$L621)</f>
        <v/>
      </c>
      <c r="O621" s="35">
        <f>IF($M621="",DATE(2100,12,31),$M621)</f>
        <v/>
      </c>
      <c r="P621" s="20" t="inlineStr"/>
      <c r="Q621" s="47" t="inlineStr"/>
      <c r="R621" s="16">
        <f>IF($C621="","",IFERROR(IF(INDEX(Deals!$U$2:$U$355,MATCH($C621,Deals!$A$2:$A$355,0))=0,"",INDEX(Deals!$U$2:$U$355,MATCH($C621,Deals!$A$2:$A$355,0))),""))</f>
        <v/>
      </c>
      <c r="S621" s="34">
        <f>IFERROR(IF($U621="",1,INDEX(Deals!$V$2:$V$355,MATCH($C621,Deals!$A$2:$A$355,0))),1)</f>
        <v/>
      </c>
      <c r="T621" s="34">
        <f>IFERROR(IF($U621="",1,INDEX(Deals!$W$2:$W$355,MATCH($C621,Deals!$A$2:$A$355,0))),1)</f>
        <v/>
      </c>
      <c r="U621" s="22">
        <f>IF($C621="","",IFERROR(IF(INDEX(Deals!$Y$2:$Y$355,MATCH($C621,Deals!$A$2:$A$355,0))=0,"",INDEX(Deals!$Y$2:$Y$355,MATCH($C621,Deals!$A$2:$A$355,0))),""))</f>
        <v/>
      </c>
      <c r="V621" s="35">
        <f>IF(OR($U621&lt;&gt;"",AND($AO621&gt;0,$L621&lt;&gt;"",$M621&lt;&gt;"")),$N621,DATE(1900,1,1))</f>
        <v/>
      </c>
      <c r="W621" s="35">
        <f>IF($U621&lt;&gt;"",$U621,IF(AND($AO621&gt;0,$L621&lt;&gt;"",$M621&lt;&gt;""),$O621,DATE(2100,12,31)))</f>
        <v/>
      </c>
      <c r="X621" s="32">
        <f>IF($U621="",$K621,$K621*$S621)</f>
        <v/>
      </c>
      <c r="Y621" s="35">
        <f>IF($U621="",DATE(2100,12,31),$U621+1)</f>
        <v/>
      </c>
      <c r="Z621" s="35">
        <f>IF($U621="",DATE(1900,1,1),$O621)</f>
        <v/>
      </c>
      <c r="AA621" s="32">
        <f>IF($U621="",0,$K621*$T621)</f>
        <v/>
      </c>
      <c r="AB621" s="21">
        <f>IF($C621="",0,IFERROR(INDEX(Deals!$AD$2:$AD$355,MATCH($C621,Deals!$A$2:$A$355,0)),0))</f>
        <v/>
      </c>
      <c r="AC621" s="32">
        <f>IF(Settings!$B$4="Yes",$I621*$AB621,$I621)</f>
        <v/>
      </c>
      <c r="AD621" s="22">
        <f>IF($C621="","",IFERROR(IF(INDEX(Deals!$AE$2:$AE$355,MATCH($C621,Deals!$A$2:$A$355,0))=0,"",INDEX(Deals!$AE$2:$AE$355,MATCH($C621,Deals!$A$2:$A$355,0))),""))</f>
        <v/>
      </c>
      <c r="AE621" s="22">
        <f>IF($C621="","",IFERROR(IF(INDEX(Deals!$AF$2:$AF$355,MATCH($C621,Deals!$A$2:$A$355,0))=0,"",INDEX(Deals!$AF$2:$AF$355,MATCH($C621,Deals!$A$2:$A$355,0))),""))</f>
        <v/>
      </c>
      <c r="AF621" s="35">
        <f>IF($AD621="",DATE(1900,1,1),$AD621)</f>
        <v/>
      </c>
      <c r="AG621" s="35">
        <f>IF($AE621="",DATE(2100,12,31),$AE621)</f>
        <v/>
      </c>
      <c r="AH621" s="22">
        <f>IF($C621="","",IFERROR(IF(INDEX(Deals!$AG$2:$AG$355,MATCH($C621,Deals!$A$2:$A$355,0))=0,"",INDEX(Deals!$AG$2:$AG$355,MATCH($C621,Deals!$A$2:$A$355,0))),""))</f>
        <v/>
      </c>
      <c r="AI621" s="35">
        <f>IF(OR($AH621&lt;&gt;"",AND($AO621&gt;0,$AD621&lt;&gt;"",$AE621&lt;&gt;"")),$AF621,DATE(1900,1,1))</f>
        <v/>
      </c>
      <c r="AJ621" s="35">
        <f>IF($AH621&lt;&gt;"",$AH621,IF(AND($AO621&gt;0,$AD621&lt;&gt;"",$AE621&lt;&gt;""),$AG621,DATE(2100,12,31)))</f>
        <v/>
      </c>
      <c r="AK621" s="32">
        <f>IF($AH621="",$AC621,$AC621*$S621)</f>
        <v/>
      </c>
      <c r="AL621" s="35">
        <f>IF($AH621="",DATE(2100,12,31),$AH621+1)</f>
        <v/>
      </c>
      <c r="AM621" s="35">
        <f>IF($AH621="",DATE(1900,1,1),$AG621)</f>
        <v/>
      </c>
      <c r="AN621" s="32">
        <f>IF($AH621="",0,$AC621*$T621)</f>
        <v/>
      </c>
      <c r="AO621" s="46">
        <f>IF($C621="",0,IFERROR(INDEX(Deals!$BD$2:$BD$355,MATCH($C621,Deals!$A$2:$A$355,0)),0))</f>
        <v/>
      </c>
      <c r="AP621" s="18">
        <f>IF($AO621=0,0,IFERROR(INDEX(Deals!$BJ$2:$BP$355,MATCH($C621,Deals!$A$2:$A$355,0),MATCH($F621,Deals!$BJ$1:$BP$1,0))/COUNTIFS(Assignments!$C$2:$C$769,$C621,Assignments!$F$2:$F$769,$F621,Assignments!$G$2:$G$769,"Active"),0))</f>
        <v/>
      </c>
    </row>
    <row r="622">
      <c r="A622" s="28" t="inlineStr">
        <is>
          <t>Yiyi</t>
        </is>
      </c>
      <c r="B622" s="16">
        <f>IF($A622="","",IFERROR(INDEX(Roster!$B$2:$B$40,MATCH($A622,Roster!$A$2:$A$40,0)),"?"))</f>
        <v/>
      </c>
      <c r="C622" s="28" t="inlineStr">
        <is>
          <t>Orion_3</t>
        </is>
      </c>
      <c r="D622" s="16">
        <f>IF($C622="","",IFERROR(IF(INDEX(Deals!$C$2:$C$355,MATCH($C622,Deals!$A$2:$A$355,0))=0,"",INDEX(Deals!$C$2:$C$355,MATCH($C622,Deals!$A$2:$A$355,0))),"?"))</f>
        <v/>
      </c>
      <c r="E622" s="16">
        <f>IF($C622="","",IFERROR(INDEX(Deals!$F$2:$F$355,MATCH($C622,Deals!$A$2:$A$355,0)),"?"))</f>
        <v/>
      </c>
      <c r="F622" s="28" t="inlineStr">
        <is>
          <t>Renewable Specialist</t>
        </is>
      </c>
      <c r="G622" s="28" t="inlineStr">
        <is>
          <t>Active</t>
        </is>
      </c>
      <c r="H622" s="31" t="n"/>
      <c r="I622" s="32">
        <f>IF(OR($A622="",$G622&lt;&gt;"Active"),0,IF($H622&lt;&gt;"",$H622,IF($AO622&gt;0,$AP622,IF(AND($R622&lt;&gt;"",IFERROR(INDEX(Templates!$B$3:$H$10,MATCH($R622,Templates!$A$3:$A$10,0),MATCH($F622,Templates!$B$2:$H$2,0)),0)&gt;0),INDEX(Templates!$B$3:$H$10,MATCH($R622,Templates!$A$3:$A$10,0),MATCH($F622,Templates!$B$2:$H$2,0)),IFERROR(INDEX(Settings!$B$8:$B$14,MATCH($F622,Settings!$A$8:$A$14,0)),0)))))</f>
        <v/>
      </c>
      <c r="J622" s="21">
        <f>IF($C622="",0,IFERROR(INDEX(Deals!$H$2:$H$355,MATCH($C622,Deals!$A$2:$A$355,0)),0))</f>
        <v/>
      </c>
      <c r="K622" s="32">
        <f>IF(Settings!$B$4="Yes",$I622*$J622,$I622)</f>
        <v/>
      </c>
      <c r="L622" s="22">
        <f>IF($C622="","",IFERROR(IF(INDEX(Deals!$I$2:$I$355,MATCH($C622,Deals!$A$2:$A$355,0))=0,"",INDEX(Deals!$I$2:$I$355,MATCH($C622,Deals!$A$2:$A$355,0))),""))</f>
        <v/>
      </c>
      <c r="M622" s="22">
        <f>IF($C622="","",IFERROR(IF(INDEX(Deals!$J$2:$J$355,MATCH($C622,Deals!$A$2:$A$355,0))=0,"",INDEX(Deals!$J$2:$J$355,MATCH($C622,Deals!$A$2:$A$355,0))),""))</f>
        <v/>
      </c>
      <c r="N622" s="35">
        <f>IF($L622="",DATE(1900,1,1),$L622)</f>
        <v/>
      </c>
      <c r="O622" s="35">
        <f>IF($M622="",DATE(2100,12,31),$M622)</f>
        <v/>
      </c>
      <c r="P622" s="20" t="inlineStr"/>
      <c r="Q622" s="47" t="inlineStr"/>
      <c r="R622" s="16">
        <f>IF($C622="","",IFERROR(IF(INDEX(Deals!$U$2:$U$355,MATCH($C622,Deals!$A$2:$A$355,0))=0,"",INDEX(Deals!$U$2:$U$355,MATCH($C622,Deals!$A$2:$A$355,0))),""))</f>
        <v/>
      </c>
      <c r="S622" s="34">
        <f>IFERROR(IF($U622="",1,INDEX(Deals!$V$2:$V$355,MATCH($C622,Deals!$A$2:$A$355,0))),1)</f>
        <v/>
      </c>
      <c r="T622" s="34">
        <f>IFERROR(IF($U622="",1,INDEX(Deals!$W$2:$W$355,MATCH($C622,Deals!$A$2:$A$355,0))),1)</f>
        <v/>
      </c>
      <c r="U622" s="22">
        <f>IF($C622="","",IFERROR(IF(INDEX(Deals!$Y$2:$Y$355,MATCH($C622,Deals!$A$2:$A$355,0))=0,"",INDEX(Deals!$Y$2:$Y$355,MATCH($C622,Deals!$A$2:$A$355,0))),""))</f>
        <v/>
      </c>
      <c r="V622" s="35">
        <f>IF(OR($U622&lt;&gt;"",AND($AO622&gt;0,$L622&lt;&gt;"",$M622&lt;&gt;"")),$N622,DATE(1900,1,1))</f>
        <v/>
      </c>
      <c r="W622" s="35">
        <f>IF($U622&lt;&gt;"",$U622,IF(AND($AO622&gt;0,$L622&lt;&gt;"",$M622&lt;&gt;""),$O622,DATE(2100,12,31)))</f>
        <v/>
      </c>
      <c r="X622" s="32">
        <f>IF($U622="",$K622,$K622*$S622)</f>
        <v/>
      </c>
      <c r="Y622" s="35">
        <f>IF($U622="",DATE(2100,12,31),$U622+1)</f>
        <v/>
      </c>
      <c r="Z622" s="35">
        <f>IF($U622="",DATE(1900,1,1),$O622)</f>
        <v/>
      </c>
      <c r="AA622" s="32">
        <f>IF($U622="",0,$K622*$T622)</f>
        <v/>
      </c>
      <c r="AB622" s="21">
        <f>IF($C622="",0,IFERROR(INDEX(Deals!$AD$2:$AD$355,MATCH($C622,Deals!$A$2:$A$355,0)),0))</f>
        <v/>
      </c>
      <c r="AC622" s="32">
        <f>IF(Settings!$B$4="Yes",$I622*$AB622,$I622)</f>
        <v/>
      </c>
      <c r="AD622" s="22">
        <f>IF($C622="","",IFERROR(IF(INDEX(Deals!$AE$2:$AE$355,MATCH($C622,Deals!$A$2:$A$355,0))=0,"",INDEX(Deals!$AE$2:$AE$355,MATCH($C622,Deals!$A$2:$A$355,0))),""))</f>
        <v/>
      </c>
      <c r="AE622" s="22">
        <f>IF($C622="","",IFERROR(IF(INDEX(Deals!$AF$2:$AF$355,MATCH($C622,Deals!$A$2:$A$355,0))=0,"",INDEX(Deals!$AF$2:$AF$355,MATCH($C622,Deals!$A$2:$A$355,0))),""))</f>
        <v/>
      </c>
      <c r="AF622" s="35">
        <f>IF($AD622="",DATE(1900,1,1),$AD622)</f>
        <v/>
      </c>
      <c r="AG622" s="35">
        <f>IF($AE622="",DATE(2100,12,31),$AE622)</f>
        <v/>
      </c>
      <c r="AH622" s="22">
        <f>IF($C622="","",IFERROR(IF(INDEX(Deals!$AG$2:$AG$355,MATCH($C622,Deals!$A$2:$A$355,0))=0,"",INDEX(Deals!$AG$2:$AG$355,MATCH($C622,Deals!$A$2:$A$355,0))),""))</f>
        <v/>
      </c>
      <c r="AI622" s="35">
        <f>IF(OR($AH622&lt;&gt;"",AND($AO622&gt;0,$AD622&lt;&gt;"",$AE622&lt;&gt;"")),$AF622,DATE(1900,1,1))</f>
        <v/>
      </c>
      <c r="AJ622" s="35">
        <f>IF($AH622&lt;&gt;"",$AH622,IF(AND($AO622&gt;0,$AD622&lt;&gt;"",$AE622&lt;&gt;""),$AG622,DATE(2100,12,31)))</f>
        <v/>
      </c>
      <c r="AK622" s="32">
        <f>IF($AH622="",$AC622,$AC622*$S622)</f>
        <v/>
      </c>
      <c r="AL622" s="35">
        <f>IF($AH622="",DATE(2100,12,31),$AH622+1)</f>
        <v/>
      </c>
      <c r="AM622" s="35">
        <f>IF($AH622="",DATE(1900,1,1),$AG622)</f>
        <v/>
      </c>
      <c r="AN622" s="32">
        <f>IF($AH622="",0,$AC622*$T622)</f>
        <v/>
      </c>
      <c r="AO622" s="46">
        <f>IF($C622="",0,IFERROR(INDEX(Deals!$BD$2:$BD$355,MATCH($C622,Deals!$A$2:$A$355,0)),0))</f>
        <v/>
      </c>
      <c r="AP622" s="18">
        <f>IF($AO622=0,0,IFERROR(INDEX(Deals!$BJ$2:$BP$355,MATCH($C622,Deals!$A$2:$A$355,0),MATCH($F622,Deals!$BJ$1:$BP$1,0))/COUNTIFS(Assignments!$C$2:$C$769,$C622,Assignments!$F$2:$F$769,$F622,Assignments!$G$2:$G$769,"Active"),0))</f>
        <v/>
      </c>
    </row>
    <row r="623">
      <c r="A623" s="28" t="inlineStr">
        <is>
          <t>Yiyi</t>
        </is>
      </c>
      <c r="B623" s="16">
        <f>IF($A623="","",IFERROR(INDEX(Roster!$B$2:$B$40,MATCH($A623,Roster!$A$2:$A$40,0)),"?"))</f>
        <v/>
      </c>
      <c r="C623" s="28" t="inlineStr">
        <is>
          <t>P2Ninedot_1</t>
        </is>
      </c>
      <c r="D623" s="16">
        <f>IF($C623="","",IFERROR(IF(INDEX(Deals!$C$2:$C$355,MATCH($C623,Deals!$A$2:$A$355,0))=0,"",INDEX(Deals!$C$2:$C$355,MATCH($C623,Deals!$A$2:$A$355,0))),"?"))</f>
        <v/>
      </c>
      <c r="E623" s="16">
        <f>IF($C623="","",IFERROR(INDEX(Deals!$F$2:$F$355,MATCH($C623,Deals!$A$2:$A$355,0)),"?"))</f>
        <v/>
      </c>
      <c r="F623" s="28" t="inlineStr">
        <is>
          <t>Renewable Specialist</t>
        </is>
      </c>
      <c r="G623" s="28" t="inlineStr">
        <is>
          <t>Active</t>
        </is>
      </c>
      <c r="H623" s="31" t="n"/>
      <c r="I623" s="32">
        <f>IF(OR($A623="",$G623&lt;&gt;"Active"),0,IF($H623&lt;&gt;"",$H623,IF($AO623&gt;0,$AP623,IF(AND($R623&lt;&gt;"",IFERROR(INDEX(Templates!$B$3:$H$10,MATCH($R623,Templates!$A$3:$A$10,0),MATCH($F623,Templates!$B$2:$H$2,0)),0)&gt;0),INDEX(Templates!$B$3:$H$10,MATCH($R623,Templates!$A$3:$A$10,0),MATCH($F623,Templates!$B$2:$H$2,0)),IFERROR(INDEX(Settings!$B$8:$B$14,MATCH($F623,Settings!$A$8:$A$14,0)),0)))))</f>
        <v/>
      </c>
      <c r="J623" s="21">
        <f>IF($C623="",0,IFERROR(INDEX(Deals!$H$2:$H$355,MATCH($C623,Deals!$A$2:$A$355,0)),0))</f>
        <v/>
      </c>
      <c r="K623" s="32">
        <f>IF(Settings!$B$4="Yes",$I623*$J623,$I623)</f>
        <v/>
      </c>
      <c r="L623" s="22">
        <f>IF($C623="","",IFERROR(IF(INDEX(Deals!$I$2:$I$355,MATCH($C623,Deals!$A$2:$A$355,0))=0,"",INDEX(Deals!$I$2:$I$355,MATCH($C623,Deals!$A$2:$A$355,0))),""))</f>
        <v/>
      </c>
      <c r="M623" s="22">
        <f>IF($C623="","",IFERROR(IF(INDEX(Deals!$J$2:$J$355,MATCH($C623,Deals!$A$2:$A$355,0))=0,"",INDEX(Deals!$J$2:$J$355,MATCH($C623,Deals!$A$2:$A$355,0))),""))</f>
        <v/>
      </c>
      <c r="N623" s="35">
        <f>IF($L623="",DATE(1900,1,1),$L623)</f>
        <v/>
      </c>
      <c r="O623" s="35">
        <f>IF($M623="",DATE(2100,12,31),$M623)</f>
        <v/>
      </c>
      <c r="P623" s="20" t="inlineStr"/>
      <c r="Q623" s="47" t="inlineStr"/>
      <c r="R623" s="16">
        <f>IF($C623="","",IFERROR(IF(INDEX(Deals!$U$2:$U$355,MATCH($C623,Deals!$A$2:$A$355,0))=0,"",INDEX(Deals!$U$2:$U$355,MATCH($C623,Deals!$A$2:$A$355,0))),""))</f>
        <v/>
      </c>
      <c r="S623" s="34">
        <f>IFERROR(IF($U623="",1,INDEX(Deals!$V$2:$V$355,MATCH($C623,Deals!$A$2:$A$355,0))),1)</f>
        <v/>
      </c>
      <c r="T623" s="34">
        <f>IFERROR(IF($U623="",1,INDEX(Deals!$W$2:$W$355,MATCH($C623,Deals!$A$2:$A$355,0))),1)</f>
        <v/>
      </c>
      <c r="U623" s="22">
        <f>IF($C623="","",IFERROR(IF(INDEX(Deals!$Y$2:$Y$355,MATCH($C623,Deals!$A$2:$A$355,0))=0,"",INDEX(Deals!$Y$2:$Y$355,MATCH($C623,Deals!$A$2:$A$355,0))),""))</f>
        <v/>
      </c>
      <c r="V623" s="35">
        <f>IF(OR($U623&lt;&gt;"",AND($AO623&gt;0,$L623&lt;&gt;"",$M623&lt;&gt;"")),$N623,DATE(1900,1,1))</f>
        <v/>
      </c>
      <c r="W623" s="35">
        <f>IF($U623&lt;&gt;"",$U623,IF(AND($AO623&gt;0,$L623&lt;&gt;"",$M623&lt;&gt;""),$O623,DATE(2100,12,31)))</f>
        <v/>
      </c>
      <c r="X623" s="32">
        <f>IF($U623="",$K623,$K623*$S623)</f>
        <v/>
      </c>
      <c r="Y623" s="35">
        <f>IF($U623="",DATE(2100,12,31),$U623+1)</f>
        <v/>
      </c>
      <c r="Z623" s="35">
        <f>IF($U623="",DATE(1900,1,1),$O623)</f>
        <v/>
      </c>
      <c r="AA623" s="32">
        <f>IF($U623="",0,$K623*$T623)</f>
        <v/>
      </c>
      <c r="AB623" s="21">
        <f>IF($C623="",0,IFERROR(INDEX(Deals!$AD$2:$AD$355,MATCH($C623,Deals!$A$2:$A$355,0)),0))</f>
        <v/>
      </c>
      <c r="AC623" s="32">
        <f>IF(Settings!$B$4="Yes",$I623*$AB623,$I623)</f>
        <v/>
      </c>
      <c r="AD623" s="22">
        <f>IF($C623="","",IFERROR(IF(INDEX(Deals!$AE$2:$AE$355,MATCH($C623,Deals!$A$2:$A$355,0))=0,"",INDEX(Deals!$AE$2:$AE$355,MATCH($C623,Deals!$A$2:$A$355,0))),""))</f>
        <v/>
      </c>
      <c r="AE623" s="22">
        <f>IF($C623="","",IFERROR(IF(INDEX(Deals!$AF$2:$AF$355,MATCH($C623,Deals!$A$2:$A$355,0))=0,"",INDEX(Deals!$AF$2:$AF$355,MATCH($C623,Deals!$A$2:$A$355,0))),""))</f>
        <v/>
      </c>
      <c r="AF623" s="35">
        <f>IF($AD623="",DATE(1900,1,1),$AD623)</f>
        <v/>
      </c>
      <c r="AG623" s="35">
        <f>IF($AE623="",DATE(2100,12,31),$AE623)</f>
        <v/>
      </c>
      <c r="AH623" s="22">
        <f>IF($C623="","",IFERROR(IF(INDEX(Deals!$AG$2:$AG$355,MATCH($C623,Deals!$A$2:$A$355,0))=0,"",INDEX(Deals!$AG$2:$AG$355,MATCH($C623,Deals!$A$2:$A$355,0))),""))</f>
        <v/>
      </c>
      <c r="AI623" s="35">
        <f>IF(OR($AH623&lt;&gt;"",AND($AO623&gt;0,$AD623&lt;&gt;"",$AE623&lt;&gt;"")),$AF623,DATE(1900,1,1))</f>
        <v/>
      </c>
      <c r="AJ623" s="35">
        <f>IF($AH623&lt;&gt;"",$AH623,IF(AND($AO623&gt;0,$AD623&lt;&gt;"",$AE623&lt;&gt;""),$AG623,DATE(2100,12,31)))</f>
        <v/>
      </c>
      <c r="AK623" s="32">
        <f>IF($AH623="",$AC623,$AC623*$S623)</f>
        <v/>
      </c>
      <c r="AL623" s="35">
        <f>IF($AH623="",DATE(2100,12,31),$AH623+1)</f>
        <v/>
      </c>
      <c r="AM623" s="35">
        <f>IF($AH623="",DATE(1900,1,1),$AG623)</f>
        <v/>
      </c>
      <c r="AN623" s="32">
        <f>IF($AH623="",0,$AC623*$T623)</f>
        <v/>
      </c>
      <c r="AO623" s="46">
        <f>IF($C623="",0,IFERROR(INDEX(Deals!$BD$2:$BD$355,MATCH($C623,Deals!$A$2:$A$355,0)),0))</f>
        <v/>
      </c>
      <c r="AP623" s="18">
        <f>IF($AO623=0,0,IFERROR(INDEX(Deals!$BJ$2:$BP$355,MATCH($C623,Deals!$A$2:$A$355,0),MATCH($F623,Deals!$BJ$1:$BP$1,0))/COUNTIFS(Assignments!$C$2:$C$769,$C623,Assignments!$F$2:$F$769,$F623,Assignments!$G$2:$G$769,"Active"),0))</f>
        <v/>
      </c>
    </row>
    <row r="624">
      <c r="A624" s="28" t="inlineStr">
        <is>
          <t>Yiyi</t>
        </is>
      </c>
      <c r="B624" s="16">
        <f>IF($A624="","",IFERROR(INDEX(Roster!$B$2:$B$40,MATCH($A624,Roster!$A$2:$A$40,0)),"?"))</f>
        <v/>
      </c>
      <c r="C624" s="28" t="inlineStr">
        <is>
          <t>Palisade_1</t>
        </is>
      </c>
      <c r="D624" s="16">
        <f>IF($C624="","",IFERROR(IF(INDEX(Deals!$C$2:$C$355,MATCH($C624,Deals!$A$2:$A$355,0))=0,"",INDEX(Deals!$C$2:$C$355,MATCH($C624,Deals!$A$2:$A$355,0))),"?"))</f>
        <v/>
      </c>
      <c r="E624" s="16">
        <f>IF($C624="","",IFERROR(INDEX(Deals!$F$2:$F$355,MATCH($C624,Deals!$A$2:$A$355,0)),"?"))</f>
        <v/>
      </c>
      <c r="F624" s="28" t="inlineStr">
        <is>
          <t>Renewable Specialist</t>
        </is>
      </c>
      <c r="G624" s="28" t="inlineStr">
        <is>
          <t>Active</t>
        </is>
      </c>
      <c r="H624" s="31" t="n"/>
      <c r="I624" s="32">
        <f>IF(OR($A624="",$G624&lt;&gt;"Active"),0,IF($H624&lt;&gt;"",$H624,IF($AO624&gt;0,$AP624,IF(AND($R624&lt;&gt;"",IFERROR(INDEX(Templates!$B$3:$H$10,MATCH($R624,Templates!$A$3:$A$10,0),MATCH($F624,Templates!$B$2:$H$2,0)),0)&gt;0),INDEX(Templates!$B$3:$H$10,MATCH($R624,Templates!$A$3:$A$10,0),MATCH($F624,Templates!$B$2:$H$2,0)),IFERROR(INDEX(Settings!$B$8:$B$14,MATCH($F624,Settings!$A$8:$A$14,0)),0)))))</f>
        <v/>
      </c>
      <c r="J624" s="21">
        <f>IF($C624="",0,IFERROR(INDEX(Deals!$H$2:$H$355,MATCH($C624,Deals!$A$2:$A$355,0)),0))</f>
        <v/>
      </c>
      <c r="K624" s="32">
        <f>IF(Settings!$B$4="Yes",$I624*$J624,$I624)</f>
        <v/>
      </c>
      <c r="L624" s="22">
        <f>IF($C624="","",IFERROR(IF(INDEX(Deals!$I$2:$I$355,MATCH($C624,Deals!$A$2:$A$355,0))=0,"",INDEX(Deals!$I$2:$I$355,MATCH($C624,Deals!$A$2:$A$355,0))),""))</f>
        <v/>
      </c>
      <c r="M624" s="22">
        <f>IF($C624="","",IFERROR(IF(INDEX(Deals!$J$2:$J$355,MATCH($C624,Deals!$A$2:$A$355,0))=0,"",INDEX(Deals!$J$2:$J$355,MATCH($C624,Deals!$A$2:$A$355,0))),""))</f>
        <v/>
      </c>
      <c r="N624" s="35">
        <f>IF($L624="",DATE(1900,1,1),$L624)</f>
        <v/>
      </c>
      <c r="O624" s="35">
        <f>IF($M624="",DATE(2100,12,31),$M624)</f>
        <v/>
      </c>
      <c r="P624" s="20" t="inlineStr"/>
      <c r="Q624" s="47" t="inlineStr"/>
      <c r="R624" s="16">
        <f>IF($C624="","",IFERROR(IF(INDEX(Deals!$U$2:$U$355,MATCH($C624,Deals!$A$2:$A$355,0))=0,"",INDEX(Deals!$U$2:$U$355,MATCH($C624,Deals!$A$2:$A$355,0))),""))</f>
        <v/>
      </c>
      <c r="S624" s="34">
        <f>IFERROR(IF($U624="",1,INDEX(Deals!$V$2:$V$355,MATCH($C624,Deals!$A$2:$A$355,0))),1)</f>
        <v/>
      </c>
      <c r="T624" s="34">
        <f>IFERROR(IF($U624="",1,INDEX(Deals!$W$2:$W$355,MATCH($C624,Deals!$A$2:$A$355,0))),1)</f>
        <v/>
      </c>
      <c r="U624" s="22">
        <f>IF($C624="","",IFERROR(IF(INDEX(Deals!$Y$2:$Y$355,MATCH($C624,Deals!$A$2:$A$355,0))=0,"",INDEX(Deals!$Y$2:$Y$355,MATCH($C624,Deals!$A$2:$A$355,0))),""))</f>
        <v/>
      </c>
      <c r="V624" s="35">
        <f>IF(OR($U624&lt;&gt;"",AND($AO624&gt;0,$L624&lt;&gt;"",$M624&lt;&gt;"")),$N624,DATE(1900,1,1))</f>
        <v/>
      </c>
      <c r="W624" s="35">
        <f>IF($U624&lt;&gt;"",$U624,IF(AND($AO624&gt;0,$L624&lt;&gt;"",$M624&lt;&gt;""),$O624,DATE(2100,12,31)))</f>
        <v/>
      </c>
      <c r="X624" s="32">
        <f>IF($U624="",$K624,$K624*$S624)</f>
        <v/>
      </c>
      <c r="Y624" s="35">
        <f>IF($U624="",DATE(2100,12,31),$U624+1)</f>
        <v/>
      </c>
      <c r="Z624" s="35">
        <f>IF($U624="",DATE(1900,1,1),$O624)</f>
        <v/>
      </c>
      <c r="AA624" s="32">
        <f>IF($U624="",0,$K624*$T624)</f>
        <v/>
      </c>
      <c r="AB624" s="21">
        <f>IF($C624="",0,IFERROR(INDEX(Deals!$AD$2:$AD$355,MATCH($C624,Deals!$A$2:$A$355,0)),0))</f>
        <v/>
      </c>
      <c r="AC624" s="32">
        <f>IF(Settings!$B$4="Yes",$I624*$AB624,$I624)</f>
        <v/>
      </c>
      <c r="AD624" s="22">
        <f>IF($C624="","",IFERROR(IF(INDEX(Deals!$AE$2:$AE$355,MATCH($C624,Deals!$A$2:$A$355,0))=0,"",INDEX(Deals!$AE$2:$AE$355,MATCH($C624,Deals!$A$2:$A$355,0))),""))</f>
        <v/>
      </c>
      <c r="AE624" s="22">
        <f>IF($C624="","",IFERROR(IF(INDEX(Deals!$AF$2:$AF$355,MATCH($C624,Deals!$A$2:$A$355,0))=0,"",INDEX(Deals!$AF$2:$AF$355,MATCH($C624,Deals!$A$2:$A$355,0))),""))</f>
        <v/>
      </c>
      <c r="AF624" s="35">
        <f>IF($AD624="",DATE(1900,1,1),$AD624)</f>
        <v/>
      </c>
      <c r="AG624" s="35">
        <f>IF($AE624="",DATE(2100,12,31),$AE624)</f>
        <v/>
      </c>
      <c r="AH624" s="22">
        <f>IF($C624="","",IFERROR(IF(INDEX(Deals!$AG$2:$AG$355,MATCH($C624,Deals!$A$2:$A$355,0))=0,"",INDEX(Deals!$AG$2:$AG$355,MATCH($C624,Deals!$A$2:$A$355,0))),""))</f>
        <v/>
      </c>
      <c r="AI624" s="35">
        <f>IF(OR($AH624&lt;&gt;"",AND($AO624&gt;0,$AD624&lt;&gt;"",$AE624&lt;&gt;"")),$AF624,DATE(1900,1,1))</f>
        <v/>
      </c>
      <c r="AJ624" s="35">
        <f>IF($AH624&lt;&gt;"",$AH624,IF(AND($AO624&gt;0,$AD624&lt;&gt;"",$AE624&lt;&gt;""),$AG624,DATE(2100,12,31)))</f>
        <v/>
      </c>
      <c r="AK624" s="32">
        <f>IF($AH624="",$AC624,$AC624*$S624)</f>
        <v/>
      </c>
      <c r="AL624" s="35">
        <f>IF($AH624="",DATE(2100,12,31),$AH624+1)</f>
        <v/>
      </c>
      <c r="AM624" s="35">
        <f>IF($AH624="",DATE(1900,1,1),$AG624)</f>
        <v/>
      </c>
      <c r="AN624" s="32">
        <f>IF($AH624="",0,$AC624*$T624)</f>
        <v/>
      </c>
      <c r="AO624" s="46">
        <f>IF($C624="",0,IFERROR(INDEX(Deals!$BD$2:$BD$355,MATCH($C624,Deals!$A$2:$A$355,0)),0))</f>
        <v/>
      </c>
      <c r="AP624" s="18">
        <f>IF($AO624=0,0,IFERROR(INDEX(Deals!$BJ$2:$BP$355,MATCH($C624,Deals!$A$2:$A$355,0),MATCH($F624,Deals!$BJ$1:$BP$1,0))/COUNTIFS(Assignments!$C$2:$C$769,$C624,Assignments!$F$2:$F$769,$F624,Assignments!$G$2:$G$769,"Active"),0))</f>
        <v/>
      </c>
    </row>
    <row r="625">
      <c r="A625" s="28" t="inlineStr">
        <is>
          <t>Yiyi</t>
        </is>
      </c>
      <c r="B625" s="16">
        <f>IF($A625="","",IFERROR(INDEX(Roster!$B$2:$B$40,MATCH($A625,Roster!$A$2:$A$40,0)),"?"))</f>
        <v/>
      </c>
      <c r="C625" s="28" t="inlineStr">
        <is>
          <t>Palmetto_3</t>
        </is>
      </c>
      <c r="D625" s="16">
        <f>IF($C625="","",IFERROR(IF(INDEX(Deals!$C$2:$C$355,MATCH($C625,Deals!$A$2:$A$355,0))=0,"",INDEX(Deals!$C$2:$C$355,MATCH($C625,Deals!$A$2:$A$355,0))),"?"))</f>
        <v/>
      </c>
      <c r="E625" s="16">
        <f>IF($C625="","",IFERROR(INDEX(Deals!$F$2:$F$355,MATCH($C625,Deals!$A$2:$A$355,0)),"?"))</f>
        <v/>
      </c>
      <c r="F625" s="28" t="inlineStr">
        <is>
          <t>Renewable Specialist</t>
        </is>
      </c>
      <c r="G625" s="28" t="inlineStr">
        <is>
          <t>Active</t>
        </is>
      </c>
      <c r="H625" s="31" t="n"/>
      <c r="I625" s="32">
        <f>IF(OR($A625="",$G625&lt;&gt;"Active"),0,IF($H625&lt;&gt;"",$H625,IF($AO625&gt;0,$AP625,IF(AND($R625&lt;&gt;"",IFERROR(INDEX(Templates!$B$3:$H$10,MATCH($R625,Templates!$A$3:$A$10,0),MATCH($F625,Templates!$B$2:$H$2,0)),0)&gt;0),INDEX(Templates!$B$3:$H$10,MATCH($R625,Templates!$A$3:$A$10,0),MATCH($F625,Templates!$B$2:$H$2,0)),IFERROR(INDEX(Settings!$B$8:$B$14,MATCH($F625,Settings!$A$8:$A$14,0)),0)))))</f>
        <v/>
      </c>
      <c r="J625" s="21">
        <f>IF($C625="",0,IFERROR(INDEX(Deals!$H$2:$H$355,MATCH($C625,Deals!$A$2:$A$355,0)),0))</f>
        <v/>
      </c>
      <c r="K625" s="32">
        <f>IF(Settings!$B$4="Yes",$I625*$J625,$I625)</f>
        <v/>
      </c>
      <c r="L625" s="22">
        <f>IF($C625="","",IFERROR(IF(INDEX(Deals!$I$2:$I$355,MATCH($C625,Deals!$A$2:$A$355,0))=0,"",INDEX(Deals!$I$2:$I$355,MATCH($C625,Deals!$A$2:$A$355,0))),""))</f>
        <v/>
      </c>
      <c r="M625" s="22">
        <f>IF($C625="","",IFERROR(IF(INDEX(Deals!$J$2:$J$355,MATCH($C625,Deals!$A$2:$A$355,0))=0,"",INDEX(Deals!$J$2:$J$355,MATCH($C625,Deals!$A$2:$A$355,0))),""))</f>
        <v/>
      </c>
      <c r="N625" s="35">
        <f>IF($L625="",DATE(1900,1,1),$L625)</f>
        <v/>
      </c>
      <c r="O625" s="35">
        <f>IF($M625="",DATE(2100,12,31),$M625)</f>
        <v/>
      </c>
      <c r="P625" s="20" t="inlineStr"/>
      <c r="Q625" s="47" t="inlineStr"/>
      <c r="R625" s="16">
        <f>IF($C625="","",IFERROR(IF(INDEX(Deals!$U$2:$U$355,MATCH($C625,Deals!$A$2:$A$355,0))=0,"",INDEX(Deals!$U$2:$U$355,MATCH($C625,Deals!$A$2:$A$355,0))),""))</f>
        <v/>
      </c>
      <c r="S625" s="34">
        <f>IFERROR(IF($U625="",1,INDEX(Deals!$V$2:$V$355,MATCH($C625,Deals!$A$2:$A$355,0))),1)</f>
        <v/>
      </c>
      <c r="T625" s="34">
        <f>IFERROR(IF($U625="",1,INDEX(Deals!$W$2:$W$355,MATCH($C625,Deals!$A$2:$A$355,0))),1)</f>
        <v/>
      </c>
      <c r="U625" s="22">
        <f>IF($C625="","",IFERROR(IF(INDEX(Deals!$Y$2:$Y$355,MATCH($C625,Deals!$A$2:$A$355,0))=0,"",INDEX(Deals!$Y$2:$Y$355,MATCH($C625,Deals!$A$2:$A$355,0))),""))</f>
        <v/>
      </c>
      <c r="V625" s="35">
        <f>IF(OR($U625&lt;&gt;"",AND($AO625&gt;0,$L625&lt;&gt;"",$M625&lt;&gt;"")),$N625,DATE(1900,1,1))</f>
        <v/>
      </c>
      <c r="W625" s="35">
        <f>IF($U625&lt;&gt;"",$U625,IF(AND($AO625&gt;0,$L625&lt;&gt;"",$M625&lt;&gt;""),$O625,DATE(2100,12,31)))</f>
        <v/>
      </c>
      <c r="X625" s="32">
        <f>IF($U625="",$K625,$K625*$S625)</f>
        <v/>
      </c>
      <c r="Y625" s="35">
        <f>IF($U625="",DATE(2100,12,31),$U625+1)</f>
        <v/>
      </c>
      <c r="Z625" s="35">
        <f>IF($U625="",DATE(1900,1,1),$O625)</f>
        <v/>
      </c>
      <c r="AA625" s="32">
        <f>IF($U625="",0,$K625*$T625)</f>
        <v/>
      </c>
      <c r="AB625" s="21">
        <f>IF($C625="",0,IFERROR(INDEX(Deals!$AD$2:$AD$355,MATCH($C625,Deals!$A$2:$A$355,0)),0))</f>
        <v/>
      </c>
      <c r="AC625" s="32">
        <f>IF(Settings!$B$4="Yes",$I625*$AB625,$I625)</f>
        <v/>
      </c>
      <c r="AD625" s="22">
        <f>IF($C625="","",IFERROR(IF(INDEX(Deals!$AE$2:$AE$355,MATCH($C625,Deals!$A$2:$A$355,0))=0,"",INDEX(Deals!$AE$2:$AE$355,MATCH($C625,Deals!$A$2:$A$355,0))),""))</f>
        <v/>
      </c>
      <c r="AE625" s="22">
        <f>IF($C625="","",IFERROR(IF(INDEX(Deals!$AF$2:$AF$355,MATCH($C625,Deals!$A$2:$A$355,0))=0,"",INDEX(Deals!$AF$2:$AF$355,MATCH($C625,Deals!$A$2:$A$355,0))),""))</f>
        <v/>
      </c>
      <c r="AF625" s="35">
        <f>IF($AD625="",DATE(1900,1,1),$AD625)</f>
        <v/>
      </c>
      <c r="AG625" s="35">
        <f>IF($AE625="",DATE(2100,12,31),$AE625)</f>
        <v/>
      </c>
      <c r="AH625" s="22">
        <f>IF($C625="","",IFERROR(IF(INDEX(Deals!$AG$2:$AG$355,MATCH($C625,Deals!$A$2:$A$355,0))=0,"",INDEX(Deals!$AG$2:$AG$355,MATCH($C625,Deals!$A$2:$A$355,0))),""))</f>
        <v/>
      </c>
      <c r="AI625" s="35">
        <f>IF(OR($AH625&lt;&gt;"",AND($AO625&gt;0,$AD625&lt;&gt;"",$AE625&lt;&gt;"")),$AF625,DATE(1900,1,1))</f>
        <v/>
      </c>
      <c r="AJ625" s="35">
        <f>IF($AH625&lt;&gt;"",$AH625,IF(AND($AO625&gt;0,$AD625&lt;&gt;"",$AE625&lt;&gt;""),$AG625,DATE(2100,12,31)))</f>
        <v/>
      </c>
      <c r="AK625" s="32">
        <f>IF($AH625="",$AC625,$AC625*$S625)</f>
        <v/>
      </c>
      <c r="AL625" s="35">
        <f>IF($AH625="",DATE(2100,12,31),$AH625+1)</f>
        <v/>
      </c>
      <c r="AM625" s="35">
        <f>IF($AH625="",DATE(1900,1,1),$AG625)</f>
        <v/>
      </c>
      <c r="AN625" s="32">
        <f>IF($AH625="",0,$AC625*$T625)</f>
        <v/>
      </c>
      <c r="AO625" s="46">
        <f>IF($C625="",0,IFERROR(INDEX(Deals!$BD$2:$BD$355,MATCH($C625,Deals!$A$2:$A$355,0)),0))</f>
        <v/>
      </c>
      <c r="AP625" s="18">
        <f>IF($AO625=0,0,IFERROR(INDEX(Deals!$BJ$2:$BP$355,MATCH($C625,Deals!$A$2:$A$355,0),MATCH($F625,Deals!$BJ$1:$BP$1,0))/COUNTIFS(Assignments!$C$2:$C$769,$C625,Assignments!$F$2:$F$769,$F625,Assignments!$G$2:$G$769,"Active"),0))</f>
        <v/>
      </c>
    </row>
    <row r="626">
      <c r="A626" s="28" t="inlineStr">
        <is>
          <t>Yiyi</t>
        </is>
      </c>
      <c r="B626" s="16">
        <f>IF($A626="","",IFERROR(INDEX(Roster!$B$2:$B$40,MATCH($A626,Roster!$A$2:$A$40,0)),"?"))</f>
        <v/>
      </c>
      <c r="C626" s="28" t="inlineStr">
        <is>
          <t>Palo_1</t>
        </is>
      </c>
      <c r="D626" s="16">
        <f>IF($C626="","",IFERROR(IF(INDEX(Deals!$C$2:$C$355,MATCH($C626,Deals!$A$2:$A$355,0))=0,"",INDEX(Deals!$C$2:$C$355,MATCH($C626,Deals!$A$2:$A$355,0))),"?"))</f>
        <v/>
      </c>
      <c r="E626" s="16">
        <f>IF($C626="","",IFERROR(INDEX(Deals!$F$2:$F$355,MATCH($C626,Deals!$A$2:$A$355,0)),"?"))</f>
        <v/>
      </c>
      <c r="F626" s="28" t="inlineStr">
        <is>
          <t>Renewable Specialist</t>
        </is>
      </c>
      <c r="G626" s="28" t="inlineStr">
        <is>
          <t>Active</t>
        </is>
      </c>
      <c r="H626" s="31" t="n"/>
      <c r="I626" s="32">
        <f>IF(OR($A626="",$G626&lt;&gt;"Active"),0,IF($H626&lt;&gt;"",$H626,IF($AO626&gt;0,$AP626,IF(AND($R626&lt;&gt;"",IFERROR(INDEX(Templates!$B$3:$H$10,MATCH($R626,Templates!$A$3:$A$10,0),MATCH($F626,Templates!$B$2:$H$2,0)),0)&gt;0),INDEX(Templates!$B$3:$H$10,MATCH($R626,Templates!$A$3:$A$10,0),MATCH($F626,Templates!$B$2:$H$2,0)),IFERROR(INDEX(Settings!$B$8:$B$14,MATCH($F626,Settings!$A$8:$A$14,0)),0)))))</f>
        <v/>
      </c>
      <c r="J626" s="21">
        <f>IF($C626="",0,IFERROR(INDEX(Deals!$H$2:$H$355,MATCH($C626,Deals!$A$2:$A$355,0)),0))</f>
        <v/>
      </c>
      <c r="K626" s="32">
        <f>IF(Settings!$B$4="Yes",$I626*$J626,$I626)</f>
        <v/>
      </c>
      <c r="L626" s="22">
        <f>IF($C626="","",IFERROR(IF(INDEX(Deals!$I$2:$I$355,MATCH($C626,Deals!$A$2:$A$355,0))=0,"",INDEX(Deals!$I$2:$I$355,MATCH($C626,Deals!$A$2:$A$355,0))),""))</f>
        <v/>
      </c>
      <c r="M626" s="22">
        <f>IF($C626="","",IFERROR(IF(INDEX(Deals!$J$2:$J$355,MATCH($C626,Deals!$A$2:$A$355,0))=0,"",INDEX(Deals!$J$2:$J$355,MATCH($C626,Deals!$A$2:$A$355,0))),""))</f>
        <v/>
      </c>
      <c r="N626" s="35">
        <f>IF($L626="",DATE(1900,1,1),$L626)</f>
        <v/>
      </c>
      <c r="O626" s="35">
        <f>IF($M626="",DATE(2100,12,31),$M626)</f>
        <v/>
      </c>
      <c r="P626" s="20" t="inlineStr"/>
      <c r="Q626" s="47" t="inlineStr"/>
      <c r="R626" s="16">
        <f>IF($C626="","",IFERROR(IF(INDEX(Deals!$U$2:$U$355,MATCH($C626,Deals!$A$2:$A$355,0))=0,"",INDEX(Deals!$U$2:$U$355,MATCH($C626,Deals!$A$2:$A$355,0))),""))</f>
        <v/>
      </c>
      <c r="S626" s="34">
        <f>IFERROR(IF($U626="",1,INDEX(Deals!$V$2:$V$355,MATCH($C626,Deals!$A$2:$A$355,0))),1)</f>
        <v/>
      </c>
      <c r="T626" s="34">
        <f>IFERROR(IF($U626="",1,INDEX(Deals!$W$2:$W$355,MATCH($C626,Deals!$A$2:$A$355,0))),1)</f>
        <v/>
      </c>
      <c r="U626" s="22">
        <f>IF($C626="","",IFERROR(IF(INDEX(Deals!$Y$2:$Y$355,MATCH($C626,Deals!$A$2:$A$355,0))=0,"",INDEX(Deals!$Y$2:$Y$355,MATCH($C626,Deals!$A$2:$A$355,0))),""))</f>
        <v/>
      </c>
      <c r="V626" s="35">
        <f>IF(OR($U626&lt;&gt;"",AND($AO626&gt;0,$L626&lt;&gt;"",$M626&lt;&gt;"")),$N626,DATE(1900,1,1))</f>
        <v/>
      </c>
      <c r="W626" s="35">
        <f>IF($U626&lt;&gt;"",$U626,IF(AND($AO626&gt;0,$L626&lt;&gt;"",$M626&lt;&gt;""),$O626,DATE(2100,12,31)))</f>
        <v/>
      </c>
      <c r="X626" s="32">
        <f>IF($U626="",$K626,$K626*$S626)</f>
        <v/>
      </c>
      <c r="Y626" s="35">
        <f>IF($U626="",DATE(2100,12,31),$U626+1)</f>
        <v/>
      </c>
      <c r="Z626" s="35">
        <f>IF($U626="",DATE(1900,1,1),$O626)</f>
        <v/>
      </c>
      <c r="AA626" s="32">
        <f>IF($U626="",0,$K626*$T626)</f>
        <v/>
      </c>
      <c r="AB626" s="21">
        <f>IF($C626="",0,IFERROR(INDEX(Deals!$AD$2:$AD$355,MATCH($C626,Deals!$A$2:$A$355,0)),0))</f>
        <v/>
      </c>
      <c r="AC626" s="32">
        <f>IF(Settings!$B$4="Yes",$I626*$AB626,$I626)</f>
        <v/>
      </c>
      <c r="AD626" s="22">
        <f>IF($C626="","",IFERROR(IF(INDEX(Deals!$AE$2:$AE$355,MATCH($C626,Deals!$A$2:$A$355,0))=0,"",INDEX(Deals!$AE$2:$AE$355,MATCH($C626,Deals!$A$2:$A$355,0))),""))</f>
        <v/>
      </c>
      <c r="AE626" s="22">
        <f>IF($C626="","",IFERROR(IF(INDEX(Deals!$AF$2:$AF$355,MATCH($C626,Deals!$A$2:$A$355,0))=0,"",INDEX(Deals!$AF$2:$AF$355,MATCH($C626,Deals!$A$2:$A$355,0))),""))</f>
        <v/>
      </c>
      <c r="AF626" s="35">
        <f>IF($AD626="",DATE(1900,1,1),$AD626)</f>
        <v/>
      </c>
      <c r="AG626" s="35">
        <f>IF($AE626="",DATE(2100,12,31),$AE626)</f>
        <v/>
      </c>
      <c r="AH626" s="22">
        <f>IF($C626="","",IFERROR(IF(INDEX(Deals!$AG$2:$AG$355,MATCH($C626,Deals!$A$2:$A$355,0))=0,"",INDEX(Deals!$AG$2:$AG$355,MATCH($C626,Deals!$A$2:$A$355,0))),""))</f>
        <v/>
      </c>
      <c r="AI626" s="35">
        <f>IF(OR($AH626&lt;&gt;"",AND($AO626&gt;0,$AD626&lt;&gt;"",$AE626&lt;&gt;"")),$AF626,DATE(1900,1,1))</f>
        <v/>
      </c>
      <c r="AJ626" s="35">
        <f>IF($AH626&lt;&gt;"",$AH626,IF(AND($AO626&gt;0,$AD626&lt;&gt;"",$AE626&lt;&gt;""),$AG626,DATE(2100,12,31)))</f>
        <v/>
      </c>
      <c r="AK626" s="32">
        <f>IF($AH626="",$AC626,$AC626*$S626)</f>
        <v/>
      </c>
      <c r="AL626" s="35">
        <f>IF($AH626="",DATE(2100,12,31),$AH626+1)</f>
        <v/>
      </c>
      <c r="AM626" s="35">
        <f>IF($AH626="",DATE(1900,1,1),$AG626)</f>
        <v/>
      </c>
      <c r="AN626" s="32">
        <f>IF($AH626="",0,$AC626*$T626)</f>
        <v/>
      </c>
      <c r="AO626" s="46">
        <f>IF($C626="",0,IFERROR(INDEX(Deals!$BD$2:$BD$355,MATCH($C626,Deals!$A$2:$A$355,0)),0))</f>
        <v/>
      </c>
      <c r="AP626" s="18">
        <f>IF($AO626=0,0,IFERROR(INDEX(Deals!$BJ$2:$BP$355,MATCH($C626,Deals!$A$2:$A$355,0),MATCH($F626,Deals!$BJ$1:$BP$1,0))/COUNTIFS(Assignments!$C$2:$C$769,$C626,Assignments!$F$2:$F$769,$F626,Assignments!$G$2:$G$769,"Active"),0))</f>
        <v/>
      </c>
    </row>
    <row r="627">
      <c r="A627" s="28" t="inlineStr">
        <is>
          <t>Yiyi</t>
        </is>
      </c>
      <c r="B627" s="16">
        <f>IF($A627="","",IFERROR(INDEX(Roster!$B$2:$B$40,MATCH($A627,Roster!$A$2:$A$40,0)),"?"))</f>
        <v/>
      </c>
      <c r="C627" s="28" t="inlineStr">
        <is>
          <t>Papago_1</t>
        </is>
      </c>
      <c r="D627" s="16">
        <f>IF($C627="","",IFERROR(IF(INDEX(Deals!$C$2:$C$355,MATCH($C627,Deals!$A$2:$A$355,0))=0,"",INDEX(Deals!$C$2:$C$355,MATCH($C627,Deals!$A$2:$A$355,0))),"?"))</f>
        <v/>
      </c>
      <c r="E627" s="16">
        <f>IF($C627="","",IFERROR(INDEX(Deals!$F$2:$F$355,MATCH($C627,Deals!$A$2:$A$355,0)),"?"))</f>
        <v/>
      </c>
      <c r="F627" s="28" t="inlineStr">
        <is>
          <t>Renewable Specialist</t>
        </is>
      </c>
      <c r="G627" s="28" t="inlineStr">
        <is>
          <t>Active</t>
        </is>
      </c>
      <c r="H627" s="31" t="n"/>
      <c r="I627" s="32">
        <f>IF(OR($A627="",$G627&lt;&gt;"Active"),0,IF($H627&lt;&gt;"",$H627,IF($AO627&gt;0,$AP627,IF(AND($R627&lt;&gt;"",IFERROR(INDEX(Templates!$B$3:$H$10,MATCH($R627,Templates!$A$3:$A$10,0),MATCH($F627,Templates!$B$2:$H$2,0)),0)&gt;0),INDEX(Templates!$B$3:$H$10,MATCH($R627,Templates!$A$3:$A$10,0),MATCH($F627,Templates!$B$2:$H$2,0)),IFERROR(INDEX(Settings!$B$8:$B$14,MATCH($F627,Settings!$A$8:$A$14,0)),0)))))</f>
        <v/>
      </c>
      <c r="J627" s="21">
        <f>IF($C627="",0,IFERROR(INDEX(Deals!$H$2:$H$355,MATCH($C627,Deals!$A$2:$A$355,0)),0))</f>
        <v/>
      </c>
      <c r="K627" s="32">
        <f>IF(Settings!$B$4="Yes",$I627*$J627,$I627)</f>
        <v/>
      </c>
      <c r="L627" s="22">
        <f>IF($C627="","",IFERROR(IF(INDEX(Deals!$I$2:$I$355,MATCH($C627,Deals!$A$2:$A$355,0))=0,"",INDEX(Deals!$I$2:$I$355,MATCH($C627,Deals!$A$2:$A$355,0))),""))</f>
        <v/>
      </c>
      <c r="M627" s="22">
        <f>IF($C627="","",IFERROR(IF(INDEX(Deals!$J$2:$J$355,MATCH($C627,Deals!$A$2:$A$355,0))=0,"",INDEX(Deals!$J$2:$J$355,MATCH($C627,Deals!$A$2:$A$355,0))),""))</f>
        <v/>
      </c>
      <c r="N627" s="35">
        <f>IF($L627="",DATE(1900,1,1),$L627)</f>
        <v/>
      </c>
      <c r="O627" s="35">
        <f>IF($M627="",DATE(2100,12,31),$M627)</f>
        <v/>
      </c>
      <c r="P627" s="20" t="inlineStr"/>
      <c r="Q627" s="47" t="inlineStr"/>
      <c r="R627" s="16">
        <f>IF($C627="","",IFERROR(IF(INDEX(Deals!$U$2:$U$355,MATCH($C627,Deals!$A$2:$A$355,0))=0,"",INDEX(Deals!$U$2:$U$355,MATCH($C627,Deals!$A$2:$A$355,0))),""))</f>
        <v/>
      </c>
      <c r="S627" s="34">
        <f>IFERROR(IF($U627="",1,INDEX(Deals!$V$2:$V$355,MATCH($C627,Deals!$A$2:$A$355,0))),1)</f>
        <v/>
      </c>
      <c r="T627" s="34">
        <f>IFERROR(IF($U627="",1,INDEX(Deals!$W$2:$W$355,MATCH($C627,Deals!$A$2:$A$355,0))),1)</f>
        <v/>
      </c>
      <c r="U627" s="22">
        <f>IF($C627="","",IFERROR(IF(INDEX(Deals!$Y$2:$Y$355,MATCH($C627,Deals!$A$2:$A$355,0))=0,"",INDEX(Deals!$Y$2:$Y$355,MATCH($C627,Deals!$A$2:$A$355,0))),""))</f>
        <v/>
      </c>
      <c r="V627" s="35">
        <f>IF(OR($U627&lt;&gt;"",AND($AO627&gt;0,$L627&lt;&gt;"",$M627&lt;&gt;"")),$N627,DATE(1900,1,1))</f>
        <v/>
      </c>
      <c r="W627" s="35">
        <f>IF($U627&lt;&gt;"",$U627,IF(AND($AO627&gt;0,$L627&lt;&gt;"",$M627&lt;&gt;""),$O627,DATE(2100,12,31)))</f>
        <v/>
      </c>
      <c r="X627" s="32">
        <f>IF($U627="",$K627,$K627*$S627)</f>
        <v/>
      </c>
      <c r="Y627" s="35">
        <f>IF($U627="",DATE(2100,12,31),$U627+1)</f>
        <v/>
      </c>
      <c r="Z627" s="35">
        <f>IF($U627="",DATE(1900,1,1),$O627)</f>
        <v/>
      </c>
      <c r="AA627" s="32">
        <f>IF($U627="",0,$K627*$T627)</f>
        <v/>
      </c>
      <c r="AB627" s="21">
        <f>IF($C627="",0,IFERROR(INDEX(Deals!$AD$2:$AD$355,MATCH($C627,Deals!$A$2:$A$355,0)),0))</f>
        <v/>
      </c>
      <c r="AC627" s="32">
        <f>IF(Settings!$B$4="Yes",$I627*$AB627,$I627)</f>
        <v/>
      </c>
      <c r="AD627" s="22">
        <f>IF($C627="","",IFERROR(IF(INDEX(Deals!$AE$2:$AE$355,MATCH($C627,Deals!$A$2:$A$355,0))=0,"",INDEX(Deals!$AE$2:$AE$355,MATCH($C627,Deals!$A$2:$A$355,0))),""))</f>
        <v/>
      </c>
      <c r="AE627" s="22">
        <f>IF($C627="","",IFERROR(IF(INDEX(Deals!$AF$2:$AF$355,MATCH($C627,Deals!$A$2:$A$355,0))=0,"",INDEX(Deals!$AF$2:$AF$355,MATCH($C627,Deals!$A$2:$A$355,0))),""))</f>
        <v/>
      </c>
      <c r="AF627" s="35">
        <f>IF($AD627="",DATE(1900,1,1),$AD627)</f>
        <v/>
      </c>
      <c r="AG627" s="35">
        <f>IF($AE627="",DATE(2100,12,31),$AE627)</f>
        <v/>
      </c>
      <c r="AH627" s="22">
        <f>IF($C627="","",IFERROR(IF(INDEX(Deals!$AG$2:$AG$355,MATCH($C627,Deals!$A$2:$A$355,0))=0,"",INDEX(Deals!$AG$2:$AG$355,MATCH($C627,Deals!$A$2:$A$355,0))),""))</f>
        <v/>
      </c>
      <c r="AI627" s="35">
        <f>IF(OR($AH627&lt;&gt;"",AND($AO627&gt;0,$AD627&lt;&gt;"",$AE627&lt;&gt;"")),$AF627,DATE(1900,1,1))</f>
        <v/>
      </c>
      <c r="AJ627" s="35">
        <f>IF($AH627&lt;&gt;"",$AH627,IF(AND($AO627&gt;0,$AD627&lt;&gt;"",$AE627&lt;&gt;""),$AG627,DATE(2100,12,31)))</f>
        <v/>
      </c>
      <c r="AK627" s="32">
        <f>IF($AH627="",$AC627,$AC627*$S627)</f>
        <v/>
      </c>
      <c r="AL627" s="35">
        <f>IF($AH627="",DATE(2100,12,31),$AH627+1)</f>
        <v/>
      </c>
      <c r="AM627" s="35">
        <f>IF($AH627="",DATE(1900,1,1),$AG627)</f>
        <v/>
      </c>
      <c r="AN627" s="32">
        <f>IF($AH627="",0,$AC627*$T627)</f>
        <v/>
      </c>
      <c r="AO627" s="46">
        <f>IF($C627="",0,IFERROR(INDEX(Deals!$BD$2:$BD$355,MATCH($C627,Deals!$A$2:$A$355,0)),0))</f>
        <v/>
      </c>
      <c r="AP627" s="18">
        <f>IF($AO627=0,0,IFERROR(INDEX(Deals!$BJ$2:$BP$355,MATCH($C627,Deals!$A$2:$A$355,0),MATCH($F627,Deals!$BJ$1:$BP$1,0))/COUNTIFS(Assignments!$C$2:$C$769,$C627,Assignments!$F$2:$F$769,$F627,Assignments!$G$2:$G$769,"Active"),0))</f>
        <v/>
      </c>
    </row>
    <row r="628">
      <c r="A628" s="28" t="inlineStr">
        <is>
          <t>Yiyi</t>
        </is>
      </c>
      <c r="B628" s="16">
        <f>IF($A628="","",IFERROR(INDEX(Roster!$B$2:$B$40,MATCH($A628,Roster!$A$2:$A$40,0)),"?"))</f>
        <v/>
      </c>
      <c r="C628" s="28" t="inlineStr">
        <is>
          <t>PearlX_1</t>
        </is>
      </c>
      <c r="D628" s="16">
        <f>IF($C628="","",IFERROR(IF(INDEX(Deals!$C$2:$C$355,MATCH($C628,Deals!$A$2:$A$355,0))=0,"",INDEX(Deals!$C$2:$C$355,MATCH($C628,Deals!$A$2:$A$355,0))),"?"))</f>
        <v/>
      </c>
      <c r="E628" s="16">
        <f>IF($C628="","",IFERROR(INDEX(Deals!$F$2:$F$355,MATCH($C628,Deals!$A$2:$A$355,0)),"?"))</f>
        <v/>
      </c>
      <c r="F628" s="28" t="inlineStr">
        <is>
          <t>Renewable Specialist</t>
        </is>
      </c>
      <c r="G628" s="28" t="inlineStr">
        <is>
          <t>Active</t>
        </is>
      </c>
      <c r="H628" s="31" t="n"/>
      <c r="I628" s="32">
        <f>IF(OR($A628="",$G628&lt;&gt;"Active"),0,IF($H628&lt;&gt;"",$H628,IF($AO628&gt;0,$AP628,IF(AND($R628&lt;&gt;"",IFERROR(INDEX(Templates!$B$3:$H$10,MATCH($R628,Templates!$A$3:$A$10,0),MATCH($F628,Templates!$B$2:$H$2,0)),0)&gt;0),INDEX(Templates!$B$3:$H$10,MATCH($R628,Templates!$A$3:$A$10,0),MATCH($F628,Templates!$B$2:$H$2,0)),IFERROR(INDEX(Settings!$B$8:$B$14,MATCH($F628,Settings!$A$8:$A$14,0)),0)))))</f>
        <v/>
      </c>
      <c r="J628" s="21">
        <f>IF($C628="",0,IFERROR(INDEX(Deals!$H$2:$H$355,MATCH($C628,Deals!$A$2:$A$355,0)),0))</f>
        <v/>
      </c>
      <c r="K628" s="32">
        <f>IF(Settings!$B$4="Yes",$I628*$J628,$I628)</f>
        <v/>
      </c>
      <c r="L628" s="22">
        <f>IF($C628="","",IFERROR(IF(INDEX(Deals!$I$2:$I$355,MATCH($C628,Deals!$A$2:$A$355,0))=0,"",INDEX(Deals!$I$2:$I$355,MATCH($C628,Deals!$A$2:$A$355,0))),""))</f>
        <v/>
      </c>
      <c r="M628" s="22">
        <f>IF($C628="","",IFERROR(IF(INDEX(Deals!$J$2:$J$355,MATCH($C628,Deals!$A$2:$A$355,0))=0,"",INDEX(Deals!$J$2:$J$355,MATCH($C628,Deals!$A$2:$A$355,0))),""))</f>
        <v/>
      </c>
      <c r="N628" s="35">
        <f>IF($L628="",DATE(1900,1,1),$L628)</f>
        <v/>
      </c>
      <c r="O628" s="35">
        <f>IF($M628="",DATE(2100,12,31),$M628)</f>
        <v/>
      </c>
      <c r="P628" s="20" t="inlineStr"/>
      <c r="Q628" s="47" t="inlineStr"/>
      <c r="R628" s="16">
        <f>IF($C628="","",IFERROR(IF(INDEX(Deals!$U$2:$U$355,MATCH($C628,Deals!$A$2:$A$355,0))=0,"",INDEX(Deals!$U$2:$U$355,MATCH($C628,Deals!$A$2:$A$355,0))),""))</f>
        <v/>
      </c>
      <c r="S628" s="34">
        <f>IFERROR(IF($U628="",1,INDEX(Deals!$V$2:$V$355,MATCH($C628,Deals!$A$2:$A$355,0))),1)</f>
        <v/>
      </c>
      <c r="T628" s="34">
        <f>IFERROR(IF($U628="",1,INDEX(Deals!$W$2:$W$355,MATCH($C628,Deals!$A$2:$A$355,0))),1)</f>
        <v/>
      </c>
      <c r="U628" s="22">
        <f>IF($C628="","",IFERROR(IF(INDEX(Deals!$Y$2:$Y$355,MATCH($C628,Deals!$A$2:$A$355,0))=0,"",INDEX(Deals!$Y$2:$Y$355,MATCH($C628,Deals!$A$2:$A$355,0))),""))</f>
        <v/>
      </c>
      <c r="V628" s="35">
        <f>IF(OR($U628&lt;&gt;"",AND($AO628&gt;0,$L628&lt;&gt;"",$M628&lt;&gt;"")),$N628,DATE(1900,1,1))</f>
        <v/>
      </c>
      <c r="W628" s="35">
        <f>IF($U628&lt;&gt;"",$U628,IF(AND($AO628&gt;0,$L628&lt;&gt;"",$M628&lt;&gt;""),$O628,DATE(2100,12,31)))</f>
        <v/>
      </c>
      <c r="X628" s="32">
        <f>IF($U628="",$K628,$K628*$S628)</f>
        <v/>
      </c>
      <c r="Y628" s="35">
        <f>IF($U628="",DATE(2100,12,31),$U628+1)</f>
        <v/>
      </c>
      <c r="Z628" s="35">
        <f>IF($U628="",DATE(1900,1,1),$O628)</f>
        <v/>
      </c>
      <c r="AA628" s="32">
        <f>IF($U628="",0,$K628*$T628)</f>
        <v/>
      </c>
      <c r="AB628" s="21">
        <f>IF($C628="",0,IFERROR(INDEX(Deals!$AD$2:$AD$355,MATCH($C628,Deals!$A$2:$A$355,0)),0))</f>
        <v/>
      </c>
      <c r="AC628" s="32">
        <f>IF(Settings!$B$4="Yes",$I628*$AB628,$I628)</f>
        <v/>
      </c>
      <c r="AD628" s="22">
        <f>IF($C628="","",IFERROR(IF(INDEX(Deals!$AE$2:$AE$355,MATCH($C628,Deals!$A$2:$A$355,0))=0,"",INDEX(Deals!$AE$2:$AE$355,MATCH($C628,Deals!$A$2:$A$355,0))),""))</f>
        <v/>
      </c>
      <c r="AE628" s="22">
        <f>IF($C628="","",IFERROR(IF(INDEX(Deals!$AF$2:$AF$355,MATCH($C628,Deals!$A$2:$A$355,0))=0,"",INDEX(Deals!$AF$2:$AF$355,MATCH($C628,Deals!$A$2:$A$355,0))),""))</f>
        <v/>
      </c>
      <c r="AF628" s="35">
        <f>IF($AD628="",DATE(1900,1,1),$AD628)</f>
        <v/>
      </c>
      <c r="AG628" s="35">
        <f>IF($AE628="",DATE(2100,12,31),$AE628)</f>
        <v/>
      </c>
      <c r="AH628" s="22">
        <f>IF($C628="","",IFERROR(IF(INDEX(Deals!$AG$2:$AG$355,MATCH($C628,Deals!$A$2:$A$355,0))=0,"",INDEX(Deals!$AG$2:$AG$355,MATCH($C628,Deals!$A$2:$A$355,0))),""))</f>
        <v/>
      </c>
      <c r="AI628" s="35">
        <f>IF(OR($AH628&lt;&gt;"",AND($AO628&gt;0,$AD628&lt;&gt;"",$AE628&lt;&gt;"")),$AF628,DATE(1900,1,1))</f>
        <v/>
      </c>
      <c r="AJ628" s="35">
        <f>IF($AH628&lt;&gt;"",$AH628,IF(AND($AO628&gt;0,$AD628&lt;&gt;"",$AE628&lt;&gt;""),$AG628,DATE(2100,12,31)))</f>
        <v/>
      </c>
      <c r="AK628" s="32">
        <f>IF($AH628="",$AC628,$AC628*$S628)</f>
        <v/>
      </c>
      <c r="AL628" s="35">
        <f>IF($AH628="",DATE(2100,12,31),$AH628+1)</f>
        <v/>
      </c>
      <c r="AM628" s="35">
        <f>IF($AH628="",DATE(1900,1,1),$AG628)</f>
        <v/>
      </c>
      <c r="AN628" s="32">
        <f>IF($AH628="",0,$AC628*$T628)</f>
        <v/>
      </c>
      <c r="AO628" s="46">
        <f>IF($C628="",0,IFERROR(INDEX(Deals!$BD$2:$BD$355,MATCH($C628,Deals!$A$2:$A$355,0)),0))</f>
        <v/>
      </c>
      <c r="AP628" s="18">
        <f>IF($AO628=0,0,IFERROR(INDEX(Deals!$BJ$2:$BP$355,MATCH($C628,Deals!$A$2:$A$355,0),MATCH($F628,Deals!$BJ$1:$BP$1,0))/COUNTIFS(Assignments!$C$2:$C$769,$C628,Assignments!$F$2:$F$769,$F628,Assignments!$G$2:$G$769,"Active"),0))</f>
        <v/>
      </c>
    </row>
    <row r="629">
      <c r="A629" s="28" t="inlineStr">
        <is>
          <t>Yiyi</t>
        </is>
      </c>
      <c r="B629" s="16">
        <f>IF($A629="","",IFERROR(INDEX(Roster!$B$2:$B$40,MATCH($A629,Roster!$A$2:$A$40,0)),"?"))</f>
        <v/>
      </c>
      <c r="C629" s="28" t="inlineStr">
        <is>
          <t>Pine_1</t>
        </is>
      </c>
      <c r="D629" s="16">
        <f>IF($C629="","",IFERROR(IF(INDEX(Deals!$C$2:$C$355,MATCH($C629,Deals!$A$2:$A$355,0))=0,"",INDEX(Deals!$C$2:$C$355,MATCH($C629,Deals!$A$2:$A$355,0))),"?"))</f>
        <v/>
      </c>
      <c r="E629" s="16">
        <f>IF($C629="","",IFERROR(INDEX(Deals!$F$2:$F$355,MATCH($C629,Deals!$A$2:$A$355,0)),"?"))</f>
        <v/>
      </c>
      <c r="F629" s="28" t="inlineStr">
        <is>
          <t>Renewable Specialist</t>
        </is>
      </c>
      <c r="G629" s="28" t="inlineStr">
        <is>
          <t>Active</t>
        </is>
      </c>
      <c r="H629" s="31" t="n"/>
      <c r="I629" s="32">
        <f>IF(OR($A629="",$G629&lt;&gt;"Active"),0,IF($H629&lt;&gt;"",$H629,IF($AO629&gt;0,$AP629,IF(AND($R629&lt;&gt;"",IFERROR(INDEX(Templates!$B$3:$H$10,MATCH($R629,Templates!$A$3:$A$10,0),MATCH($F629,Templates!$B$2:$H$2,0)),0)&gt;0),INDEX(Templates!$B$3:$H$10,MATCH($R629,Templates!$A$3:$A$10,0),MATCH($F629,Templates!$B$2:$H$2,0)),IFERROR(INDEX(Settings!$B$8:$B$14,MATCH($F629,Settings!$A$8:$A$14,0)),0)))))</f>
        <v/>
      </c>
      <c r="J629" s="21">
        <f>IF($C629="",0,IFERROR(INDEX(Deals!$H$2:$H$355,MATCH($C629,Deals!$A$2:$A$355,0)),0))</f>
        <v/>
      </c>
      <c r="K629" s="32">
        <f>IF(Settings!$B$4="Yes",$I629*$J629,$I629)</f>
        <v/>
      </c>
      <c r="L629" s="22">
        <f>IF($C629="","",IFERROR(IF(INDEX(Deals!$I$2:$I$355,MATCH($C629,Deals!$A$2:$A$355,0))=0,"",INDEX(Deals!$I$2:$I$355,MATCH($C629,Deals!$A$2:$A$355,0))),""))</f>
        <v/>
      </c>
      <c r="M629" s="22">
        <f>IF($C629="","",IFERROR(IF(INDEX(Deals!$J$2:$J$355,MATCH($C629,Deals!$A$2:$A$355,0))=0,"",INDEX(Deals!$J$2:$J$355,MATCH($C629,Deals!$A$2:$A$355,0))),""))</f>
        <v/>
      </c>
      <c r="N629" s="35">
        <f>IF($L629="",DATE(1900,1,1),$L629)</f>
        <v/>
      </c>
      <c r="O629" s="35">
        <f>IF($M629="",DATE(2100,12,31),$M629)</f>
        <v/>
      </c>
      <c r="P629" s="20" t="inlineStr"/>
      <c r="Q629" s="47" t="inlineStr"/>
      <c r="R629" s="16">
        <f>IF($C629="","",IFERROR(IF(INDEX(Deals!$U$2:$U$355,MATCH($C629,Deals!$A$2:$A$355,0))=0,"",INDEX(Deals!$U$2:$U$355,MATCH($C629,Deals!$A$2:$A$355,0))),""))</f>
        <v/>
      </c>
      <c r="S629" s="34">
        <f>IFERROR(IF($U629="",1,INDEX(Deals!$V$2:$V$355,MATCH($C629,Deals!$A$2:$A$355,0))),1)</f>
        <v/>
      </c>
      <c r="T629" s="34">
        <f>IFERROR(IF($U629="",1,INDEX(Deals!$W$2:$W$355,MATCH($C629,Deals!$A$2:$A$355,0))),1)</f>
        <v/>
      </c>
      <c r="U629" s="22">
        <f>IF($C629="","",IFERROR(IF(INDEX(Deals!$Y$2:$Y$355,MATCH($C629,Deals!$A$2:$A$355,0))=0,"",INDEX(Deals!$Y$2:$Y$355,MATCH($C629,Deals!$A$2:$A$355,0))),""))</f>
        <v/>
      </c>
      <c r="V629" s="35">
        <f>IF(OR($U629&lt;&gt;"",AND($AO629&gt;0,$L629&lt;&gt;"",$M629&lt;&gt;"")),$N629,DATE(1900,1,1))</f>
        <v/>
      </c>
      <c r="W629" s="35">
        <f>IF($U629&lt;&gt;"",$U629,IF(AND($AO629&gt;0,$L629&lt;&gt;"",$M629&lt;&gt;""),$O629,DATE(2100,12,31)))</f>
        <v/>
      </c>
      <c r="X629" s="32">
        <f>IF($U629="",$K629,$K629*$S629)</f>
        <v/>
      </c>
      <c r="Y629" s="35">
        <f>IF($U629="",DATE(2100,12,31),$U629+1)</f>
        <v/>
      </c>
      <c r="Z629" s="35">
        <f>IF($U629="",DATE(1900,1,1),$O629)</f>
        <v/>
      </c>
      <c r="AA629" s="32">
        <f>IF($U629="",0,$K629*$T629)</f>
        <v/>
      </c>
      <c r="AB629" s="21">
        <f>IF($C629="",0,IFERROR(INDEX(Deals!$AD$2:$AD$355,MATCH($C629,Deals!$A$2:$A$355,0)),0))</f>
        <v/>
      </c>
      <c r="AC629" s="32">
        <f>IF(Settings!$B$4="Yes",$I629*$AB629,$I629)</f>
        <v/>
      </c>
      <c r="AD629" s="22">
        <f>IF($C629="","",IFERROR(IF(INDEX(Deals!$AE$2:$AE$355,MATCH($C629,Deals!$A$2:$A$355,0))=0,"",INDEX(Deals!$AE$2:$AE$355,MATCH($C629,Deals!$A$2:$A$355,0))),""))</f>
        <v/>
      </c>
      <c r="AE629" s="22">
        <f>IF($C629="","",IFERROR(IF(INDEX(Deals!$AF$2:$AF$355,MATCH($C629,Deals!$A$2:$A$355,0))=0,"",INDEX(Deals!$AF$2:$AF$355,MATCH($C629,Deals!$A$2:$A$355,0))),""))</f>
        <v/>
      </c>
      <c r="AF629" s="35">
        <f>IF($AD629="",DATE(1900,1,1),$AD629)</f>
        <v/>
      </c>
      <c r="AG629" s="35">
        <f>IF($AE629="",DATE(2100,12,31),$AE629)</f>
        <v/>
      </c>
      <c r="AH629" s="22">
        <f>IF($C629="","",IFERROR(IF(INDEX(Deals!$AG$2:$AG$355,MATCH($C629,Deals!$A$2:$A$355,0))=0,"",INDEX(Deals!$AG$2:$AG$355,MATCH($C629,Deals!$A$2:$A$355,0))),""))</f>
        <v/>
      </c>
      <c r="AI629" s="35">
        <f>IF(OR($AH629&lt;&gt;"",AND($AO629&gt;0,$AD629&lt;&gt;"",$AE629&lt;&gt;"")),$AF629,DATE(1900,1,1))</f>
        <v/>
      </c>
      <c r="AJ629" s="35">
        <f>IF($AH629&lt;&gt;"",$AH629,IF(AND($AO629&gt;0,$AD629&lt;&gt;"",$AE629&lt;&gt;""),$AG629,DATE(2100,12,31)))</f>
        <v/>
      </c>
      <c r="AK629" s="32">
        <f>IF($AH629="",$AC629,$AC629*$S629)</f>
        <v/>
      </c>
      <c r="AL629" s="35">
        <f>IF($AH629="",DATE(2100,12,31),$AH629+1)</f>
        <v/>
      </c>
      <c r="AM629" s="35">
        <f>IF($AH629="",DATE(1900,1,1),$AG629)</f>
        <v/>
      </c>
      <c r="AN629" s="32">
        <f>IF($AH629="",0,$AC629*$T629)</f>
        <v/>
      </c>
      <c r="AO629" s="46">
        <f>IF($C629="",0,IFERROR(INDEX(Deals!$BD$2:$BD$355,MATCH($C629,Deals!$A$2:$A$355,0)),0))</f>
        <v/>
      </c>
      <c r="AP629" s="18">
        <f>IF($AO629=0,0,IFERROR(INDEX(Deals!$BJ$2:$BP$355,MATCH($C629,Deals!$A$2:$A$355,0),MATCH($F629,Deals!$BJ$1:$BP$1,0))/COUNTIFS(Assignments!$C$2:$C$769,$C629,Assignments!$F$2:$F$769,$F629,Assignments!$G$2:$G$769,"Active"),0))</f>
        <v/>
      </c>
    </row>
    <row r="630">
      <c r="A630" s="28" t="inlineStr">
        <is>
          <t>Yiyi</t>
        </is>
      </c>
      <c r="B630" s="16">
        <f>IF($A630="","",IFERROR(INDEX(Roster!$B$2:$B$40,MATCH($A630,Roster!$A$2:$A$40,0)),"?"))</f>
        <v/>
      </c>
      <c r="C630" s="28" t="inlineStr">
        <is>
          <t>Pinecreek_1</t>
        </is>
      </c>
      <c r="D630" s="16">
        <f>IF($C630="","",IFERROR(IF(INDEX(Deals!$C$2:$C$355,MATCH($C630,Deals!$A$2:$A$355,0))=0,"",INDEX(Deals!$C$2:$C$355,MATCH($C630,Deals!$A$2:$A$355,0))),"?"))</f>
        <v/>
      </c>
      <c r="E630" s="16">
        <f>IF($C630="","",IFERROR(INDEX(Deals!$F$2:$F$355,MATCH($C630,Deals!$A$2:$A$355,0)),"?"))</f>
        <v/>
      </c>
      <c r="F630" s="28" t="inlineStr">
        <is>
          <t>Renewable Specialist</t>
        </is>
      </c>
      <c r="G630" s="28" t="inlineStr">
        <is>
          <t>Active</t>
        </is>
      </c>
      <c r="H630" s="31" t="n"/>
      <c r="I630" s="32">
        <f>IF(OR($A630="",$G630&lt;&gt;"Active"),0,IF($H630&lt;&gt;"",$H630,IF($AO630&gt;0,$AP630,IF(AND($R630&lt;&gt;"",IFERROR(INDEX(Templates!$B$3:$H$10,MATCH($R630,Templates!$A$3:$A$10,0),MATCH($F630,Templates!$B$2:$H$2,0)),0)&gt;0),INDEX(Templates!$B$3:$H$10,MATCH($R630,Templates!$A$3:$A$10,0),MATCH($F630,Templates!$B$2:$H$2,0)),IFERROR(INDEX(Settings!$B$8:$B$14,MATCH($F630,Settings!$A$8:$A$14,0)),0)))))</f>
        <v/>
      </c>
      <c r="J630" s="21">
        <f>IF($C630="",0,IFERROR(INDEX(Deals!$H$2:$H$355,MATCH($C630,Deals!$A$2:$A$355,0)),0))</f>
        <v/>
      </c>
      <c r="K630" s="32">
        <f>IF(Settings!$B$4="Yes",$I630*$J630,$I630)</f>
        <v/>
      </c>
      <c r="L630" s="22">
        <f>IF($C630="","",IFERROR(IF(INDEX(Deals!$I$2:$I$355,MATCH($C630,Deals!$A$2:$A$355,0))=0,"",INDEX(Deals!$I$2:$I$355,MATCH($C630,Deals!$A$2:$A$355,0))),""))</f>
        <v/>
      </c>
      <c r="M630" s="22">
        <f>IF($C630="","",IFERROR(IF(INDEX(Deals!$J$2:$J$355,MATCH($C630,Deals!$A$2:$A$355,0))=0,"",INDEX(Deals!$J$2:$J$355,MATCH($C630,Deals!$A$2:$A$355,0))),""))</f>
        <v/>
      </c>
      <c r="N630" s="35">
        <f>IF($L630="",DATE(1900,1,1),$L630)</f>
        <v/>
      </c>
      <c r="O630" s="35">
        <f>IF($M630="",DATE(2100,12,31),$M630)</f>
        <v/>
      </c>
      <c r="P630" s="20" t="inlineStr"/>
      <c r="Q630" s="47" t="inlineStr"/>
      <c r="R630" s="16">
        <f>IF($C630="","",IFERROR(IF(INDEX(Deals!$U$2:$U$355,MATCH($C630,Deals!$A$2:$A$355,0))=0,"",INDEX(Deals!$U$2:$U$355,MATCH($C630,Deals!$A$2:$A$355,0))),""))</f>
        <v/>
      </c>
      <c r="S630" s="34">
        <f>IFERROR(IF($U630="",1,INDEX(Deals!$V$2:$V$355,MATCH($C630,Deals!$A$2:$A$355,0))),1)</f>
        <v/>
      </c>
      <c r="T630" s="34">
        <f>IFERROR(IF($U630="",1,INDEX(Deals!$W$2:$W$355,MATCH($C630,Deals!$A$2:$A$355,0))),1)</f>
        <v/>
      </c>
      <c r="U630" s="22">
        <f>IF($C630="","",IFERROR(IF(INDEX(Deals!$Y$2:$Y$355,MATCH($C630,Deals!$A$2:$A$355,0))=0,"",INDEX(Deals!$Y$2:$Y$355,MATCH($C630,Deals!$A$2:$A$355,0))),""))</f>
        <v/>
      </c>
      <c r="V630" s="35">
        <f>IF(OR($U630&lt;&gt;"",AND($AO630&gt;0,$L630&lt;&gt;"",$M630&lt;&gt;"")),$N630,DATE(1900,1,1))</f>
        <v/>
      </c>
      <c r="W630" s="35">
        <f>IF($U630&lt;&gt;"",$U630,IF(AND($AO630&gt;0,$L630&lt;&gt;"",$M630&lt;&gt;""),$O630,DATE(2100,12,31)))</f>
        <v/>
      </c>
      <c r="X630" s="32">
        <f>IF($U630="",$K630,$K630*$S630)</f>
        <v/>
      </c>
      <c r="Y630" s="35">
        <f>IF($U630="",DATE(2100,12,31),$U630+1)</f>
        <v/>
      </c>
      <c r="Z630" s="35">
        <f>IF($U630="",DATE(1900,1,1),$O630)</f>
        <v/>
      </c>
      <c r="AA630" s="32">
        <f>IF($U630="",0,$K630*$T630)</f>
        <v/>
      </c>
      <c r="AB630" s="21">
        <f>IF($C630="",0,IFERROR(INDEX(Deals!$AD$2:$AD$355,MATCH($C630,Deals!$A$2:$A$355,0)),0))</f>
        <v/>
      </c>
      <c r="AC630" s="32">
        <f>IF(Settings!$B$4="Yes",$I630*$AB630,$I630)</f>
        <v/>
      </c>
      <c r="AD630" s="22">
        <f>IF($C630="","",IFERROR(IF(INDEX(Deals!$AE$2:$AE$355,MATCH($C630,Deals!$A$2:$A$355,0))=0,"",INDEX(Deals!$AE$2:$AE$355,MATCH($C630,Deals!$A$2:$A$355,0))),""))</f>
        <v/>
      </c>
      <c r="AE630" s="22">
        <f>IF($C630="","",IFERROR(IF(INDEX(Deals!$AF$2:$AF$355,MATCH($C630,Deals!$A$2:$A$355,0))=0,"",INDEX(Deals!$AF$2:$AF$355,MATCH($C630,Deals!$A$2:$A$355,0))),""))</f>
        <v/>
      </c>
      <c r="AF630" s="35">
        <f>IF($AD630="",DATE(1900,1,1),$AD630)</f>
        <v/>
      </c>
      <c r="AG630" s="35">
        <f>IF($AE630="",DATE(2100,12,31),$AE630)</f>
        <v/>
      </c>
      <c r="AH630" s="22">
        <f>IF($C630="","",IFERROR(IF(INDEX(Deals!$AG$2:$AG$355,MATCH($C630,Deals!$A$2:$A$355,0))=0,"",INDEX(Deals!$AG$2:$AG$355,MATCH($C630,Deals!$A$2:$A$355,0))),""))</f>
        <v/>
      </c>
      <c r="AI630" s="35">
        <f>IF(OR($AH630&lt;&gt;"",AND($AO630&gt;0,$AD630&lt;&gt;"",$AE630&lt;&gt;"")),$AF630,DATE(1900,1,1))</f>
        <v/>
      </c>
      <c r="AJ630" s="35">
        <f>IF($AH630&lt;&gt;"",$AH630,IF(AND($AO630&gt;0,$AD630&lt;&gt;"",$AE630&lt;&gt;""),$AG630,DATE(2100,12,31)))</f>
        <v/>
      </c>
      <c r="AK630" s="32">
        <f>IF($AH630="",$AC630,$AC630*$S630)</f>
        <v/>
      </c>
      <c r="AL630" s="35">
        <f>IF($AH630="",DATE(2100,12,31),$AH630+1)</f>
        <v/>
      </c>
      <c r="AM630" s="35">
        <f>IF($AH630="",DATE(1900,1,1),$AG630)</f>
        <v/>
      </c>
      <c r="AN630" s="32">
        <f>IF($AH630="",0,$AC630*$T630)</f>
        <v/>
      </c>
      <c r="AO630" s="46">
        <f>IF($C630="",0,IFERROR(INDEX(Deals!$BD$2:$BD$355,MATCH($C630,Deals!$A$2:$A$355,0)),0))</f>
        <v/>
      </c>
      <c r="AP630" s="18">
        <f>IF($AO630=0,0,IFERROR(INDEX(Deals!$BJ$2:$BP$355,MATCH($C630,Deals!$A$2:$A$355,0),MATCH($F630,Deals!$BJ$1:$BP$1,0))/COUNTIFS(Assignments!$C$2:$C$769,$C630,Assignments!$F$2:$F$769,$F630,Assignments!$G$2:$G$769,"Active"),0))</f>
        <v/>
      </c>
    </row>
    <row r="631">
      <c r="A631" s="28" t="inlineStr">
        <is>
          <t>Yiyi</t>
        </is>
      </c>
      <c r="B631" s="16">
        <f>IF($A631="","",IFERROR(INDEX(Roster!$B$2:$B$40,MATCH($A631,Roster!$A$2:$A$40,0)),"?"))</f>
        <v/>
      </c>
      <c r="C631" s="28" t="inlineStr">
        <is>
          <t>Realty_1</t>
        </is>
      </c>
      <c r="D631" s="16">
        <f>IF($C631="","",IFERROR(IF(INDEX(Deals!$C$2:$C$355,MATCH($C631,Deals!$A$2:$A$355,0))=0,"",INDEX(Deals!$C$2:$C$355,MATCH($C631,Deals!$A$2:$A$355,0))),"?"))</f>
        <v/>
      </c>
      <c r="E631" s="16">
        <f>IF($C631="","",IFERROR(INDEX(Deals!$F$2:$F$355,MATCH($C631,Deals!$A$2:$A$355,0)),"?"))</f>
        <v/>
      </c>
      <c r="F631" s="28" t="inlineStr">
        <is>
          <t>Renewable Specialist</t>
        </is>
      </c>
      <c r="G631" s="28" t="inlineStr">
        <is>
          <t>Active</t>
        </is>
      </c>
      <c r="H631" s="31" t="n"/>
      <c r="I631" s="32">
        <f>IF(OR($A631="",$G631&lt;&gt;"Active"),0,IF($H631&lt;&gt;"",$H631,IF($AO631&gt;0,$AP631,IF(AND($R631&lt;&gt;"",IFERROR(INDEX(Templates!$B$3:$H$10,MATCH($R631,Templates!$A$3:$A$10,0),MATCH($F631,Templates!$B$2:$H$2,0)),0)&gt;0),INDEX(Templates!$B$3:$H$10,MATCH($R631,Templates!$A$3:$A$10,0),MATCH($F631,Templates!$B$2:$H$2,0)),IFERROR(INDEX(Settings!$B$8:$B$14,MATCH($F631,Settings!$A$8:$A$14,0)),0)))))</f>
        <v/>
      </c>
      <c r="J631" s="21">
        <f>IF($C631="",0,IFERROR(INDEX(Deals!$H$2:$H$355,MATCH($C631,Deals!$A$2:$A$355,0)),0))</f>
        <v/>
      </c>
      <c r="K631" s="32">
        <f>IF(Settings!$B$4="Yes",$I631*$J631,$I631)</f>
        <v/>
      </c>
      <c r="L631" s="22">
        <f>IF($C631="","",IFERROR(IF(INDEX(Deals!$I$2:$I$355,MATCH($C631,Deals!$A$2:$A$355,0))=0,"",INDEX(Deals!$I$2:$I$355,MATCH($C631,Deals!$A$2:$A$355,0))),""))</f>
        <v/>
      </c>
      <c r="M631" s="22">
        <f>IF($C631="","",IFERROR(IF(INDEX(Deals!$J$2:$J$355,MATCH($C631,Deals!$A$2:$A$355,0))=0,"",INDEX(Deals!$J$2:$J$355,MATCH($C631,Deals!$A$2:$A$355,0))),""))</f>
        <v/>
      </c>
      <c r="N631" s="35">
        <f>IF($L631="",DATE(1900,1,1),$L631)</f>
        <v/>
      </c>
      <c r="O631" s="35">
        <f>IF($M631="",DATE(2100,12,31),$M631)</f>
        <v/>
      </c>
      <c r="P631" s="20" t="inlineStr"/>
      <c r="Q631" s="47" t="inlineStr"/>
      <c r="R631" s="16">
        <f>IF($C631="","",IFERROR(IF(INDEX(Deals!$U$2:$U$355,MATCH($C631,Deals!$A$2:$A$355,0))=0,"",INDEX(Deals!$U$2:$U$355,MATCH($C631,Deals!$A$2:$A$355,0))),""))</f>
        <v/>
      </c>
      <c r="S631" s="34">
        <f>IFERROR(IF($U631="",1,INDEX(Deals!$V$2:$V$355,MATCH($C631,Deals!$A$2:$A$355,0))),1)</f>
        <v/>
      </c>
      <c r="T631" s="34">
        <f>IFERROR(IF($U631="",1,INDEX(Deals!$W$2:$W$355,MATCH($C631,Deals!$A$2:$A$355,0))),1)</f>
        <v/>
      </c>
      <c r="U631" s="22">
        <f>IF($C631="","",IFERROR(IF(INDEX(Deals!$Y$2:$Y$355,MATCH($C631,Deals!$A$2:$A$355,0))=0,"",INDEX(Deals!$Y$2:$Y$355,MATCH($C631,Deals!$A$2:$A$355,0))),""))</f>
        <v/>
      </c>
      <c r="V631" s="35">
        <f>IF(OR($U631&lt;&gt;"",AND($AO631&gt;0,$L631&lt;&gt;"",$M631&lt;&gt;"")),$N631,DATE(1900,1,1))</f>
        <v/>
      </c>
      <c r="W631" s="35">
        <f>IF($U631&lt;&gt;"",$U631,IF(AND($AO631&gt;0,$L631&lt;&gt;"",$M631&lt;&gt;""),$O631,DATE(2100,12,31)))</f>
        <v/>
      </c>
      <c r="X631" s="32">
        <f>IF($U631="",$K631,$K631*$S631)</f>
        <v/>
      </c>
      <c r="Y631" s="35">
        <f>IF($U631="",DATE(2100,12,31),$U631+1)</f>
        <v/>
      </c>
      <c r="Z631" s="35">
        <f>IF($U631="",DATE(1900,1,1),$O631)</f>
        <v/>
      </c>
      <c r="AA631" s="32">
        <f>IF($U631="",0,$K631*$T631)</f>
        <v/>
      </c>
      <c r="AB631" s="21">
        <f>IF($C631="",0,IFERROR(INDEX(Deals!$AD$2:$AD$355,MATCH($C631,Deals!$A$2:$A$355,0)),0))</f>
        <v/>
      </c>
      <c r="AC631" s="32">
        <f>IF(Settings!$B$4="Yes",$I631*$AB631,$I631)</f>
        <v/>
      </c>
      <c r="AD631" s="22">
        <f>IF($C631="","",IFERROR(IF(INDEX(Deals!$AE$2:$AE$355,MATCH($C631,Deals!$A$2:$A$355,0))=0,"",INDEX(Deals!$AE$2:$AE$355,MATCH($C631,Deals!$A$2:$A$355,0))),""))</f>
        <v/>
      </c>
      <c r="AE631" s="22">
        <f>IF($C631="","",IFERROR(IF(INDEX(Deals!$AF$2:$AF$355,MATCH($C631,Deals!$A$2:$A$355,0))=0,"",INDEX(Deals!$AF$2:$AF$355,MATCH($C631,Deals!$A$2:$A$355,0))),""))</f>
        <v/>
      </c>
      <c r="AF631" s="35">
        <f>IF($AD631="",DATE(1900,1,1),$AD631)</f>
        <v/>
      </c>
      <c r="AG631" s="35">
        <f>IF($AE631="",DATE(2100,12,31),$AE631)</f>
        <v/>
      </c>
      <c r="AH631" s="22">
        <f>IF($C631="","",IFERROR(IF(INDEX(Deals!$AG$2:$AG$355,MATCH($C631,Deals!$A$2:$A$355,0))=0,"",INDEX(Deals!$AG$2:$AG$355,MATCH($C631,Deals!$A$2:$A$355,0))),""))</f>
        <v/>
      </c>
      <c r="AI631" s="35">
        <f>IF(OR($AH631&lt;&gt;"",AND($AO631&gt;0,$AD631&lt;&gt;"",$AE631&lt;&gt;"")),$AF631,DATE(1900,1,1))</f>
        <v/>
      </c>
      <c r="AJ631" s="35">
        <f>IF($AH631&lt;&gt;"",$AH631,IF(AND($AO631&gt;0,$AD631&lt;&gt;"",$AE631&lt;&gt;""),$AG631,DATE(2100,12,31)))</f>
        <v/>
      </c>
      <c r="AK631" s="32">
        <f>IF($AH631="",$AC631,$AC631*$S631)</f>
        <v/>
      </c>
      <c r="AL631" s="35">
        <f>IF($AH631="",DATE(2100,12,31),$AH631+1)</f>
        <v/>
      </c>
      <c r="AM631" s="35">
        <f>IF($AH631="",DATE(1900,1,1),$AG631)</f>
        <v/>
      </c>
      <c r="AN631" s="32">
        <f>IF($AH631="",0,$AC631*$T631)</f>
        <v/>
      </c>
      <c r="AO631" s="46">
        <f>IF($C631="",0,IFERROR(INDEX(Deals!$BD$2:$BD$355,MATCH($C631,Deals!$A$2:$A$355,0)),0))</f>
        <v/>
      </c>
      <c r="AP631" s="18">
        <f>IF($AO631=0,0,IFERROR(INDEX(Deals!$BJ$2:$BP$355,MATCH($C631,Deals!$A$2:$A$355,0),MATCH($F631,Deals!$BJ$1:$BP$1,0))/COUNTIFS(Assignments!$C$2:$C$769,$C631,Assignments!$F$2:$F$769,$F631,Assignments!$G$2:$G$769,"Active"),0))</f>
        <v/>
      </c>
    </row>
    <row r="632">
      <c r="A632" s="28" t="inlineStr">
        <is>
          <t>Yiyi</t>
        </is>
      </c>
      <c r="B632" s="16">
        <f>IF($A632="","",IFERROR(INDEX(Roster!$B$2:$B$40,MATCH($A632,Roster!$A$2:$A$40,0)),"?"))</f>
        <v/>
      </c>
      <c r="C632" s="28" t="inlineStr">
        <is>
          <t>Rocky_1</t>
        </is>
      </c>
      <c r="D632" s="16">
        <f>IF($C632="","",IFERROR(IF(INDEX(Deals!$C$2:$C$355,MATCH($C632,Deals!$A$2:$A$355,0))=0,"",INDEX(Deals!$C$2:$C$355,MATCH($C632,Deals!$A$2:$A$355,0))),"?"))</f>
        <v/>
      </c>
      <c r="E632" s="16">
        <f>IF($C632="","",IFERROR(INDEX(Deals!$F$2:$F$355,MATCH($C632,Deals!$A$2:$A$355,0)),"?"))</f>
        <v/>
      </c>
      <c r="F632" s="28" t="inlineStr">
        <is>
          <t>Renewable Specialist</t>
        </is>
      </c>
      <c r="G632" s="28" t="inlineStr">
        <is>
          <t>Active</t>
        </is>
      </c>
      <c r="H632" s="31" t="n"/>
      <c r="I632" s="32">
        <f>IF(OR($A632="",$G632&lt;&gt;"Active"),0,IF($H632&lt;&gt;"",$H632,IF($AO632&gt;0,$AP632,IF(AND($R632&lt;&gt;"",IFERROR(INDEX(Templates!$B$3:$H$10,MATCH($R632,Templates!$A$3:$A$10,0),MATCH($F632,Templates!$B$2:$H$2,0)),0)&gt;0),INDEX(Templates!$B$3:$H$10,MATCH($R632,Templates!$A$3:$A$10,0),MATCH($F632,Templates!$B$2:$H$2,0)),IFERROR(INDEX(Settings!$B$8:$B$14,MATCH($F632,Settings!$A$8:$A$14,0)),0)))))</f>
        <v/>
      </c>
      <c r="J632" s="21">
        <f>IF($C632="",0,IFERROR(INDEX(Deals!$H$2:$H$355,MATCH($C632,Deals!$A$2:$A$355,0)),0))</f>
        <v/>
      </c>
      <c r="K632" s="32">
        <f>IF(Settings!$B$4="Yes",$I632*$J632,$I632)</f>
        <v/>
      </c>
      <c r="L632" s="22">
        <f>IF($C632="","",IFERROR(IF(INDEX(Deals!$I$2:$I$355,MATCH($C632,Deals!$A$2:$A$355,0))=0,"",INDEX(Deals!$I$2:$I$355,MATCH($C632,Deals!$A$2:$A$355,0))),""))</f>
        <v/>
      </c>
      <c r="M632" s="22">
        <f>IF($C632="","",IFERROR(IF(INDEX(Deals!$J$2:$J$355,MATCH($C632,Deals!$A$2:$A$355,0))=0,"",INDEX(Deals!$J$2:$J$355,MATCH($C632,Deals!$A$2:$A$355,0))),""))</f>
        <v/>
      </c>
      <c r="N632" s="35">
        <f>IF($L632="",DATE(1900,1,1),$L632)</f>
        <v/>
      </c>
      <c r="O632" s="35">
        <f>IF($M632="",DATE(2100,12,31),$M632)</f>
        <v/>
      </c>
      <c r="P632" s="20" t="inlineStr"/>
      <c r="Q632" s="47" t="inlineStr"/>
      <c r="R632" s="16">
        <f>IF($C632="","",IFERROR(IF(INDEX(Deals!$U$2:$U$355,MATCH($C632,Deals!$A$2:$A$355,0))=0,"",INDEX(Deals!$U$2:$U$355,MATCH($C632,Deals!$A$2:$A$355,0))),""))</f>
        <v/>
      </c>
      <c r="S632" s="34">
        <f>IFERROR(IF($U632="",1,INDEX(Deals!$V$2:$V$355,MATCH($C632,Deals!$A$2:$A$355,0))),1)</f>
        <v/>
      </c>
      <c r="T632" s="34">
        <f>IFERROR(IF($U632="",1,INDEX(Deals!$W$2:$W$355,MATCH($C632,Deals!$A$2:$A$355,0))),1)</f>
        <v/>
      </c>
      <c r="U632" s="22">
        <f>IF($C632="","",IFERROR(IF(INDEX(Deals!$Y$2:$Y$355,MATCH($C632,Deals!$A$2:$A$355,0))=0,"",INDEX(Deals!$Y$2:$Y$355,MATCH($C632,Deals!$A$2:$A$355,0))),""))</f>
        <v/>
      </c>
      <c r="V632" s="35">
        <f>IF(OR($U632&lt;&gt;"",AND($AO632&gt;0,$L632&lt;&gt;"",$M632&lt;&gt;"")),$N632,DATE(1900,1,1))</f>
        <v/>
      </c>
      <c r="W632" s="35">
        <f>IF($U632&lt;&gt;"",$U632,IF(AND($AO632&gt;0,$L632&lt;&gt;"",$M632&lt;&gt;""),$O632,DATE(2100,12,31)))</f>
        <v/>
      </c>
      <c r="X632" s="32">
        <f>IF($U632="",$K632,$K632*$S632)</f>
        <v/>
      </c>
      <c r="Y632" s="35">
        <f>IF($U632="",DATE(2100,12,31),$U632+1)</f>
        <v/>
      </c>
      <c r="Z632" s="35">
        <f>IF($U632="",DATE(1900,1,1),$O632)</f>
        <v/>
      </c>
      <c r="AA632" s="32">
        <f>IF($U632="",0,$K632*$T632)</f>
        <v/>
      </c>
      <c r="AB632" s="21">
        <f>IF($C632="",0,IFERROR(INDEX(Deals!$AD$2:$AD$355,MATCH($C632,Deals!$A$2:$A$355,0)),0))</f>
        <v/>
      </c>
      <c r="AC632" s="32">
        <f>IF(Settings!$B$4="Yes",$I632*$AB632,$I632)</f>
        <v/>
      </c>
      <c r="AD632" s="22">
        <f>IF($C632="","",IFERROR(IF(INDEX(Deals!$AE$2:$AE$355,MATCH($C632,Deals!$A$2:$A$355,0))=0,"",INDEX(Deals!$AE$2:$AE$355,MATCH($C632,Deals!$A$2:$A$355,0))),""))</f>
        <v/>
      </c>
      <c r="AE632" s="22">
        <f>IF($C632="","",IFERROR(IF(INDEX(Deals!$AF$2:$AF$355,MATCH($C632,Deals!$A$2:$A$355,0))=0,"",INDEX(Deals!$AF$2:$AF$355,MATCH($C632,Deals!$A$2:$A$355,0))),""))</f>
        <v/>
      </c>
      <c r="AF632" s="35">
        <f>IF($AD632="",DATE(1900,1,1),$AD632)</f>
        <v/>
      </c>
      <c r="AG632" s="35">
        <f>IF($AE632="",DATE(2100,12,31),$AE632)</f>
        <v/>
      </c>
      <c r="AH632" s="22">
        <f>IF($C632="","",IFERROR(IF(INDEX(Deals!$AG$2:$AG$355,MATCH($C632,Deals!$A$2:$A$355,0))=0,"",INDEX(Deals!$AG$2:$AG$355,MATCH($C632,Deals!$A$2:$A$355,0))),""))</f>
        <v/>
      </c>
      <c r="AI632" s="35">
        <f>IF(OR($AH632&lt;&gt;"",AND($AO632&gt;0,$AD632&lt;&gt;"",$AE632&lt;&gt;"")),$AF632,DATE(1900,1,1))</f>
        <v/>
      </c>
      <c r="AJ632" s="35">
        <f>IF($AH632&lt;&gt;"",$AH632,IF(AND($AO632&gt;0,$AD632&lt;&gt;"",$AE632&lt;&gt;""),$AG632,DATE(2100,12,31)))</f>
        <v/>
      </c>
      <c r="AK632" s="32">
        <f>IF($AH632="",$AC632,$AC632*$S632)</f>
        <v/>
      </c>
      <c r="AL632" s="35">
        <f>IF($AH632="",DATE(2100,12,31),$AH632+1)</f>
        <v/>
      </c>
      <c r="AM632" s="35">
        <f>IF($AH632="",DATE(1900,1,1),$AG632)</f>
        <v/>
      </c>
      <c r="AN632" s="32">
        <f>IF($AH632="",0,$AC632*$T632)</f>
        <v/>
      </c>
      <c r="AO632" s="46">
        <f>IF($C632="",0,IFERROR(INDEX(Deals!$BD$2:$BD$355,MATCH($C632,Deals!$A$2:$A$355,0)),0))</f>
        <v/>
      </c>
      <c r="AP632" s="18">
        <f>IF($AO632=0,0,IFERROR(INDEX(Deals!$BJ$2:$BP$355,MATCH($C632,Deals!$A$2:$A$355,0),MATCH($F632,Deals!$BJ$1:$BP$1,0))/COUNTIFS(Assignments!$C$2:$C$769,$C632,Assignments!$F$2:$F$769,$F632,Assignments!$G$2:$G$769,"Active"),0))</f>
        <v/>
      </c>
    </row>
    <row r="633">
      <c r="A633" s="28" t="inlineStr">
        <is>
          <t>Yiyi</t>
        </is>
      </c>
      <c r="B633" s="16">
        <f>IF($A633="","",IFERROR(INDEX(Roster!$B$2:$B$40,MATCH($A633,Roster!$A$2:$A$40,0)),"?"))</f>
        <v/>
      </c>
      <c r="C633" s="28" t="inlineStr">
        <is>
          <t>Sierra_3</t>
        </is>
      </c>
      <c r="D633" s="16">
        <f>IF($C633="","",IFERROR(IF(INDEX(Deals!$C$2:$C$355,MATCH($C633,Deals!$A$2:$A$355,0))=0,"",INDEX(Deals!$C$2:$C$355,MATCH($C633,Deals!$A$2:$A$355,0))),"?"))</f>
        <v/>
      </c>
      <c r="E633" s="16">
        <f>IF($C633="","",IFERROR(INDEX(Deals!$F$2:$F$355,MATCH($C633,Deals!$A$2:$A$355,0)),"?"))</f>
        <v/>
      </c>
      <c r="F633" s="28" t="inlineStr">
        <is>
          <t>Renewable Specialist</t>
        </is>
      </c>
      <c r="G633" s="28" t="inlineStr">
        <is>
          <t>Active</t>
        </is>
      </c>
      <c r="H633" s="31" t="n"/>
      <c r="I633" s="32">
        <f>IF(OR($A633="",$G633&lt;&gt;"Active"),0,IF($H633&lt;&gt;"",$H633,IF($AO633&gt;0,$AP633,IF(AND($R633&lt;&gt;"",IFERROR(INDEX(Templates!$B$3:$H$10,MATCH($R633,Templates!$A$3:$A$10,0),MATCH($F633,Templates!$B$2:$H$2,0)),0)&gt;0),INDEX(Templates!$B$3:$H$10,MATCH($R633,Templates!$A$3:$A$10,0),MATCH($F633,Templates!$B$2:$H$2,0)),IFERROR(INDEX(Settings!$B$8:$B$14,MATCH($F633,Settings!$A$8:$A$14,0)),0)))))</f>
        <v/>
      </c>
      <c r="J633" s="21">
        <f>IF($C633="",0,IFERROR(INDEX(Deals!$H$2:$H$355,MATCH($C633,Deals!$A$2:$A$355,0)),0))</f>
        <v/>
      </c>
      <c r="K633" s="32">
        <f>IF(Settings!$B$4="Yes",$I633*$J633,$I633)</f>
        <v/>
      </c>
      <c r="L633" s="22">
        <f>IF($C633="","",IFERROR(IF(INDEX(Deals!$I$2:$I$355,MATCH($C633,Deals!$A$2:$A$355,0))=0,"",INDEX(Deals!$I$2:$I$355,MATCH($C633,Deals!$A$2:$A$355,0))),""))</f>
        <v/>
      </c>
      <c r="M633" s="22">
        <f>IF($C633="","",IFERROR(IF(INDEX(Deals!$J$2:$J$355,MATCH($C633,Deals!$A$2:$A$355,0))=0,"",INDEX(Deals!$J$2:$J$355,MATCH($C633,Deals!$A$2:$A$355,0))),""))</f>
        <v/>
      </c>
      <c r="N633" s="35">
        <f>IF($L633="",DATE(1900,1,1),$L633)</f>
        <v/>
      </c>
      <c r="O633" s="35">
        <f>IF($M633="",DATE(2100,12,31),$M633)</f>
        <v/>
      </c>
      <c r="P633" s="20" t="inlineStr"/>
      <c r="Q633" s="47" t="inlineStr"/>
      <c r="R633" s="16">
        <f>IF($C633="","",IFERROR(IF(INDEX(Deals!$U$2:$U$355,MATCH($C633,Deals!$A$2:$A$355,0))=0,"",INDEX(Deals!$U$2:$U$355,MATCH($C633,Deals!$A$2:$A$355,0))),""))</f>
        <v/>
      </c>
      <c r="S633" s="34">
        <f>IFERROR(IF($U633="",1,INDEX(Deals!$V$2:$V$355,MATCH($C633,Deals!$A$2:$A$355,0))),1)</f>
        <v/>
      </c>
      <c r="T633" s="34">
        <f>IFERROR(IF($U633="",1,INDEX(Deals!$W$2:$W$355,MATCH($C633,Deals!$A$2:$A$355,0))),1)</f>
        <v/>
      </c>
      <c r="U633" s="22">
        <f>IF($C633="","",IFERROR(IF(INDEX(Deals!$Y$2:$Y$355,MATCH($C633,Deals!$A$2:$A$355,0))=0,"",INDEX(Deals!$Y$2:$Y$355,MATCH($C633,Deals!$A$2:$A$355,0))),""))</f>
        <v/>
      </c>
      <c r="V633" s="35">
        <f>IF(OR($U633&lt;&gt;"",AND($AO633&gt;0,$L633&lt;&gt;"",$M633&lt;&gt;"")),$N633,DATE(1900,1,1))</f>
        <v/>
      </c>
      <c r="W633" s="35">
        <f>IF($U633&lt;&gt;"",$U633,IF(AND($AO633&gt;0,$L633&lt;&gt;"",$M633&lt;&gt;""),$O633,DATE(2100,12,31)))</f>
        <v/>
      </c>
      <c r="X633" s="32">
        <f>IF($U633="",$K633,$K633*$S633)</f>
        <v/>
      </c>
      <c r="Y633" s="35">
        <f>IF($U633="",DATE(2100,12,31),$U633+1)</f>
        <v/>
      </c>
      <c r="Z633" s="35">
        <f>IF($U633="",DATE(1900,1,1),$O633)</f>
        <v/>
      </c>
      <c r="AA633" s="32">
        <f>IF($U633="",0,$K633*$T633)</f>
        <v/>
      </c>
      <c r="AB633" s="21">
        <f>IF($C633="",0,IFERROR(INDEX(Deals!$AD$2:$AD$355,MATCH($C633,Deals!$A$2:$A$355,0)),0))</f>
        <v/>
      </c>
      <c r="AC633" s="32">
        <f>IF(Settings!$B$4="Yes",$I633*$AB633,$I633)</f>
        <v/>
      </c>
      <c r="AD633" s="22">
        <f>IF($C633="","",IFERROR(IF(INDEX(Deals!$AE$2:$AE$355,MATCH($C633,Deals!$A$2:$A$355,0))=0,"",INDEX(Deals!$AE$2:$AE$355,MATCH($C633,Deals!$A$2:$A$355,0))),""))</f>
        <v/>
      </c>
      <c r="AE633" s="22">
        <f>IF($C633="","",IFERROR(IF(INDEX(Deals!$AF$2:$AF$355,MATCH($C633,Deals!$A$2:$A$355,0))=0,"",INDEX(Deals!$AF$2:$AF$355,MATCH($C633,Deals!$A$2:$A$355,0))),""))</f>
        <v/>
      </c>
      <c r="AF633" s="35">
        <f>IF($AD633="",DATE(1900,1,1),$AD633)</f>
        <v/>
      </c>
      <c r="AG633" s="35">
        <f>IF($AE633="",DATE(2100,12,31),$AE633)</f>
        <v/>
      </c>
      <c r="AH633" s="22">
        <f>IF($C633="","",IFERROR(IF(INDEX(Deals!$AG$2:$AG$355,MATCH($C633,Deals!$A$2:$A$355,0))=0,"",INDEX(Deals!$AG$2:$AG$355,MATCH($C633,Deals!$A$2:$A$355,0))),""))</f>
        <v/>
      </c>
      <c r="AI633" s="35">
        <f>IF(OR($AH633&lt;&gt;"",AND($AO633&gt;0,$AD633&lt;&gt;"",$AE633&lt;&gt;"")),$AF633,DATE(1900,1,1))</f>
        <v/>
      </c>
      <c r="AJ633" s="35">
        <f>IF($AH633&lt;&gt;"",$AH633,IF(AND($AO633&gt;0,$AD633&lt;&gt;"",$AE633&lt;&gt;""),$AG633,DATE(2100,12,31)))</f>
        <v/>
      </c>
      <c r="AK633" s="32">
        <f>IF($AH633="",$AC633,$AC633*$S633)</f>
        <v/>
      </c>
      <c r="AL633" s="35">
        <f>IF($AH633="",DATE(2100,12,31),$AH633+1)</f>
        <v/>
      </c>
      <c r="AM633" s="35">
        <f>IF($AH633="",DATE(1900,1,1),$AG633)</f>
        <v/>
      </c>
      <c r="AN633" s="32">
        <f>IF($AH633="",0,$AC633*$T633)</f>
        <v/>
      </c>
      <c r="AO633" s="46">
        <f>IF($C633="",0,IFERROR(INDEX(Deals!$BD$2:$BD$355,MATCH($C633,Deals!$A$2:$A$355,0)),0))</f>
        <v/>
      </c>
      <c r="AP633" s="18">
        <f>IF($AO633=0,0,IFERROR(INDEX(Deals!$BJ$2:$BP$355,MATCH($C633,Deals!$A$2:$A$355,0),MATCH($F633,Deals!$BJ$1:$BP$1,0))/COUNTIFS(Assignments!$C$2:$C$769,$C633,Assignments!$F$2:$F$769,$F633,Assignments!$G$2:$G$769,"Active"),0))</f>
        <v/>
      </c>
    </row>
    <row r="634">
      <c r="A634" s="28" t="inlineStr">
        <is>
          <t>Yiyi</t>
        </is>
      </c>
      <c r="B634" s="16">
        <f>IF($A634="","",IFERROR(INDEX(Roster!$B$2:$B$40,MATCH($A634,Roster!$A$2:$A$40,0)),"?"))</f>
        <v/>
      </c>
      <c r="C634" s="28" t="inlineStr">
        <is>
          <t>SolarEdge DC Adder_1</t>
        </is>
      </c>
      <c r="D634" s="16">
        <f>IF($C634="","",IFERROR(IF(INDEX(Deals!$C$2:$C$355,MATCH($C634,Deals!$A$2:$A$355,0))=0,"",INDEX(Deals!$C$2:$C$355,MATCH($C634,Deals!$A$2:$A$355,0))),"?"))</f>
        <v/>
      </c>
      <c r="E634" s="16">
        <f>IF($C634="","",IFERROR(INDEX(Deals!$F$2:$F$355,MATCH($C634,Deals!$A$2:$A$355,0)),"?"))</f>
        <v/>
      </c>
      <c r="F634" s="28" t="inlineStr">
        <is>
          <t>Renewable Specialist</t>
        </is>
      </c>
      <c r="G634" s="28" t="inlineStr">
        <is>
          <t>Active</t>
        </is>
      </c>
      <c r="H634" s="31" t="n"/>
      <c r="I634" s="32">
        <f>IF(OR($A634="",$G634&lt;&gt;"Active"),0,IF($H634&lt;&gt;"",$H634,IF($AO634&gt;0,$AP634,IF(AND($R634&lt;&gt;"",IFERROR(INDEX(Templates!$B$3:$H$10,MATCH($R634,Templates!$A$3:$A$10,0),MATCH($F634,Templates!$B$2:$H$2,0)),0)&gt;0),INDEX(Templates!$B$3:$H$10,MATCH($R634,Templates!$A$3:$A$10,0),MATCH($F634,Templates!$B$2:$H$2,0)),IFERROR(INDEX(Settings!$B$8:$B$14,MATCH($F634,Settings!$A$8:$A$14,0)),0)))))</f>
        <v/>
      </c>
      <c r="J634" s="21">
        <f>IF($C634="",0,IFERROR(INDEX(Deals!$H$2:$H$355,MATCH($C634,Deals!$A$2:$A$355,0)),0))</f>
        <v/>
      </c>
      <c r="K634" s="32">
        <f>IF(Settings!$B$4="Yes",$I634*$J634,$I634)</f>
        <v/>
      </c>
      <c r="L634" s="22">
        <f>IF($C634="","",IFERROR(IF(INDEX(Deals!$I$2:$I$355,MATCH($C634,Deals!$A$2:$A$355,0))=0,"",INDEX(Deals!$I$2:$I$355,MATCH($C634,Deals!$A$2:$A$355,0))),""))</f>
        <v/>
      </c>
      <c r="M634" s="22">
        <f>IF($C634="","",IFERROR(IF(INDEX(Deals!$J$2:$J$355,MATCH($C634,Deals!$A$2:$A$355,0))=0,"",INDEX(Deals!$J$2:$J$355,MATCH($C634,Deals!$A$2:$A$355,0))),""))</f>
        <v/>
      </c>
      <c r="N634" s="35">
        <f>IF($L634="",DATE(1900,1,1),$L634)</f>
        <v/>
      </c>
      <c r="O634" s="35">
        <f>IF($M634="",DATE(2100,12,31),$M634)</f>
        <v/>
      </c>
      <c r="P634" s="20" t="inlineStr"/>
      <c r="Q634" s="47" t="inlineStr"/>
      <c r="R634" s="16">
        <f>IF($C634="","",IFERROR(IF(INDEX(Deals!$U$2:$U$355,MATCH($C634,Deals!$A$2:$A$355,0))=0,"",INDEX(Deals!$U$2:$U$355,MATCH($C634,Deals!$A$2:$A$355,0))),""))</f>
        <v/>
      </c>
      <c r="S634" s="34">
        <f>IFERROR(IF($U634="",1,INDEX(Deals!$V$2:$V$355,MATCH($C634,Deals!$A$2:$A$355,0))),1)</f>
        <v/>
      </c>
      <c r="T634" s="34">
        <f>IFERROR(IF($U634="",1,INDEX(Deals!$W$2:$W$355,MATCH($C634,Deals!$A$2:$A$355,0))),1)</f>
        <v/>
      </c>
      <c r="U634" s="22">
        <f>IF($C634="","",IFERROR(IF(INDEX(Deals!$Y$2:$Y$355,MATCH($C634,Deals!$A$2:$A$355,0))=0,"",INDEX(Deals!$Y$2:$Y$355,MATCH($C634,Deals!$A$2:$A$355,0))),""))</f>
        <v/>
      </c>
      <c r="V634" s="35">
        <f>IF(OR($U634&lt;&gt;"",AND($AO634&gt;0,$L634&lt;&gt;"",$M634&lt;&gt;"")),$N634,DATE(1900,1,1))</f>
        <v/>
      </c>
      <c r="W634" s="35">
        <f>IF($U634&lt;&gt;"",$U634,IF(AND($AO634&gt;0,$L634&lt;&gt;"",$M634&lt;&gt;""),$O634,DATE(2100,12,31)))</f>
        <v/>
      </c>
      <c r="X634" s="32">
        <f>IF($U634="",$K634,$K634*$S634)</f>
        <v/>
      </c>
      <c r="Y634" s="35">
        <f>IF($U634="",DATE(2100,12,31),$U634+1)</f>
        <v/>
      </c>
      <c r="Z634" s="35">
        <f>IF($U634="",DATE(1900,1,1),$O634)</f>
        <v/>
      </c>
      <c r="AA634" s="32">
        <f>IF($U634="",0,$K634*$T634)</f>
        <v/>
      </c>
      <c r="AB634" s="21">
        <f>IF($C634="",0,IFERROR(INDEX(Deals!$AD$2:$AD$355,MATCH($C634,Deals!$A$2:$A$355,0)),0))</f>
        <v/>
      </c>
      <c r="AC634" s="32">
        <f>IF(Settings!$B$4="Yes",$I634*$AB634,$I634)</f>
        <v/>
      </c>
      <c r="AD634" s="22">
        <f>IF($C634="","",IFERROR(IF(INDEX(Deals!$AE$2:$AE$355,MATCH($C634,Deals!$A$2:$A$355,0))=0,"",INDEX(Deals!$AE$2:$AE$355,MATCH($C634,Deals!$A$2:$A$355,0))),""))</f>
        <v/>
      </c>
      <c r="AE634" s="22">
        <f>IF($C634="","",IFERROR(IF(INDEX(Deals!$AF$2:$AF$355,MATCH($C634,Deals!$A$2:$A$355,0))=0,"",INDEX(Deals!$AF$2:$AF$355,MATCH($C634,Deals!$A$2:$A$355,0))),""))</f>
        <v/>
      </c>
      <c r="AF634" s="35">
        <f>IF($AD634="",DATE(1900,1,1),$AD634)</f>
        <v/>
      </c>
      <c r="AG634" s="35">
        <f>IF($AE634="",DATE(2100,12,31),$AE634)</f>
        <v/>
      </c>
      <c r="AH634" s="22">
        <f>IF($C634="","",IFERROR(IF(INDEX(Deals!$AG$2:$AG$355,MATCH($C634,Deals!$A$2:$A$355,0))=0,"",INDEX(Deals!$AG$2:$AG$355,MATCH($C634,Deals!$A$2:$A$355,0))),""))</f>
        <v/>
      </c>
      <c r="AI634" s="35">
        <f>IF(OR($AH634&lt;&gt;"",AND($AO634&gt;0,$AD634&lt;&gt;"",$AE634&lt;&gt;"")),$AF634,DATE(1900,1,1))</f>
        <v/>
      </c>
      <c r="AJ634" s="35">
        <f>IF($AH634&lt;&gt;"",$AH634,IF(AND($AO634&gt;0,$AD634&lt;&gt;"",$AE634&lt;&gt;""),$AG634,DATE(2100,12,31)))</f>
        <v/>
      </c>
      <c r="AK634" s="32">
        <f>IF($AH634="",$AC634,$AC634*$S634)</f>
        <v/>
      </c>
      <c r="AL634" s="35">
        <f>IF($AH634="",DATE(2100,12,31),$AH634+1)</f>
        <v/>
      </c>
      <c r="AM634" s="35">
        <f>IF($AH634="",DATE(1900,1,1),$AG634)</f>
        <v/>
      </c>
      <c r="AN634" s="32">
        <f>IF($AH634="",0,$AC634*$T634)</f>
        <v/>
      </c>
      <c r="AO634" s="46">
        <f>IF($C634="",0,IFERROR(INDEX(Deals!$BD$2:$BD$355,MATCH($C634,Deals!$A$2:$A$355,0)),0))</f>
        <v/>
      </c>
      <c r="AP634" s="18">
        <f>IF($AO634=0,0,IFERROR(INDEX(Deals!$BJ$2:$BP$355,MATCH($C634,Deals!$A$2:$A$355,0),MATCH($F634,Deals!$BJ$1:$BP$1,0))/COUNTIFS(Assignments!$C$2:$C$769,$C634,Assignments!$F$2:$F$769,$F634,Assignments!$G$2:$G$769,"Active"),0))</f>
        <v/>
      </c>
    </row>
    <row r="635">
      <c r="A635" s="28" t="inlineStr">
        <is>
          <t>Yiyi</t>
        </is>
      </c>
      <c r="B635" s="16">
        <f>IF($A635="","",IFERROR(INDEX(Roster!$B$2:$B$40,MATCH($A635,Roster!$A$2:$A$40,0)),"?"))</f>
        <v/>
      </c>
      <c r="C635" s="28" t="inlineStr">
        <is>
          <t>SolRite_1</t>
        </is>
      </c>
      <c r="D635" s="16">
        <f>IF($C635="","",IFERROR(IF(INDEX(Deals!$C$2:$C$355,MATCH($C635,Deals!$A$2:$A$355,0))=0,"",INDEX(Deals!$C$2:$C$355,MATCH($C635,Deals!$A$2:$A$355,0))),"?"))</f>
        <v/>
      </c>
      <c r="E635" s="16">
        <f>IF($C635="","",IFERROR(INDEX(Deals!$F$2:$F$355,MATCH($C635,Deals!$A$2:$A$355,0)),"?"))</f>
        <v/>
      </c>
      <c r="F635" s="28" t="inlineStr">
        <is>
          <t>Renewable Specialist</t>
        </is>
      </c>
      <c r="G635" s="28" t="inlineStr">
        <is>
          <t>Active</t>
        </is>
      </c>
      <c r="H635" s="31" t="n"/>
      <c r="I635" s="32">
        <f>IF(OR($A635="",$G635&lt;&gt;"Active"),0,IF($H635&lt;&gt;"",$H635,IF($AO635&gt;0,$AP635,IF(AND($R635&lt;&gt;"",IFERROR(INDEX(Templates!$B$3:$H$10,MATCH($R635,Templates!$A$3:$A$10,0),MATCH($F635,Templates!$B$2:$H$2,0)),0)&gt;0),INDEX(Templates!$B$3:$H$10,MATCH($R635,Templates!$A$3:$A$10,0),MATCH($F635,Templates!$B$2:$H$2,0)),IFERROR(INDEX(Settings!$B$8:$B$14,MATCH($F635,Settings!$A$8:$A$14,0)),0)))))</f>
        <v/>
      </c>
      <c r="J635" s="21">
        <f>IF($C635="",0,IFERROR(INDEX(Deals!$H$2:$H$355,MATCH($C635,Deals!$A$2:$A$355,0)),0))</f>
        <v/>
      </c>
      <c r="K635" s="32">
        <f>IF(Settings!$B$4="Yes",$I635*$J635,$I635)</f>
        <v/>
      </c>
      <c r="L635" s="22">
        <f>IF($C635="","",IFERROR(IF(INDEX(Deals!$I$2:$I$355,MATCH($C635,Deals!$A$2:$A$355,0))=0,"",INDEX(Deals!$I$2:$I$355,MATCH($C635,Deals!$A$2:$A$355,0))),""))</f>
        <v/>
      </c>
      <c r="M635" s="22">
        <f>IF($C635="","",IFERROR(IF(INDEX(Deals!$J$2:$J$355,MATCH($C635,Deals!$A$2:$A$355,0))=0,"",INDEX(Deals!$J$2:$J$355,MATCH($C635,Deals!$A$2:$A$355,0))),""))</f>
        <v/>
      </c>
      <c r="N635" s="35">
        <f>IF($L635="",DATE(1900,1,1),$L635)</f>
        <v/>
      </c>
      <c r="O635" s="35">
        <f>IF($M635="",DATE(2100,12,31),$M635)</f>
        <v/>
      </c>
      <c r="P635" s="20" t="inlineStr"/>
      <c r="Q635" s="47" t="inlineStr"/>
      <c r="R635" s="16">
        <f>IF($C635="","",IFERROR(IF(INDEX(Deals!$U$2:$U$355,MATCH($C635,Deals!$A$2:$A$355,0))=0,"",INDEX(Deals!$U$2:$U$355,MATCH($C635,Deals!$A$2:$A$355,0))),""))</f>
        <v/>
      </c>
      <c r="S635" s="34">
        <f>IFERROR(IF($U635="",1,INDEX(Deals!$V$2:$V$355,MATCH($C635,Deals!$A$2:$A$355,0))),1)</f>
        <v/>
      </c>
      <c r="T635" s="34">
        <f>IFERROR(IF($U635="",1,INDEX(Deals!$W$2:$W$355,MATCH($C635,Deals!$A$2:$A$355,0))),1)</f>
        <v/>
      </c>
      <c r="U635" s="22">
        <f>IF($C635="","",IFERROR(IF(INDEX(Deals!$Y$2:$Y$355,MATCH($C635,Deals!$A$2:$A$355,0))=0,"",INDEX(Deals!$Y$2:$Y$355,MATCH($C635,Deals!$A$2:$A$355,0))),""))</f>
        <v/>
      </c>
      <c r="V635" s="35">
        <f>IF(OR($U635&lt;&gt;"",AND($AO635&gt;0,$L635&lt;&gt;"",$M635&lt;&gt;"")),$N635,DATE(1900,1,1))</f>
        <v/>
      </c>
      <c r="W635" s="35">
        <f>IF($U635&lt;&gt;"",$U635,IF(AND($AO635&gt;0,$L635&lt;&gt;"",$M635&lt;&gt;""),$O635,DATE(2100,12,31)))</f>
        <v/>
      </c>
      <c r="X635" s="32">
        <f>IF($U635="",$K635,$K635*$S635)</f>
        <v/>
      </c>
      <c r="Y635" s="35">
        <f>IF($U635="",DATE(2100,12,31),$U635+1)</f>
        <v/>
      </c>
      <c r="Z635" s="35">
        <f>IF($U635="",DATE(1900,1,1),$O635)</f>
        <v/>
      </c>
      <c r="AA635" s="32">
        <f>IF($U635="",0,$K635*$T635)</f>
        <v/>
      </c>
      <c r="AB635" s="21">
        <f>IF($C635="",0,IFERROR(INDEX(Deals!$AD$2:$AD$355,MATCH($C635,Deals!$A$2:$A$355,0)),0))</f>
        <v/>
      </c>
      <c r="AC635" s="32">
        <f>IF(Settings!$B$4="Yes",$I635*$AB635,$I635)</f>
        <v/>
      </c>
      <c r="AD635" s="22">
        <f>IF($C635="","",IFERROR(IF(INDEX(Deals!$AE$2:$AE$355,MATCH($C635,Deals!$A$2:$A$355,0))=0,"",INDEX(Deals!$AE$2:$AE$355,MATCH($C635,Deals!$A$2:$A$355,0))),""))</f>
        <v/>
      </c>
      <c r="AE635" s="22">
        <f>IF($C635="","",IFERROR(IF(INDEX(Deals!$AF$2:$AF$355,MATCH($C635,Deals!$A$2:$A$355,0))=0,"",INDEX(Deals!$AF$2:$AF$355,MATCH($C635,Deals!$A$2:$A$355,0))),""))</f>
        <v/>
      </c>
      <c r="AF635" s="35">
        <f>IF($AD635="",DATE(1900,1,1),$AD635)</f>
        <v/>
      </c>
      <c r="AG635" s="35">
        <f>IF($AE635="",DATE(2100,12,31),$AE635)</f>
        <v/>
      </c>
      <c r="AH635" s="22">
        <f>IF($C635="","",IFERROR(IF(INDEX(Deals!$AG$2:$AG$355,MATCH($C635,Deals!$A$2:$A$355,0))=0,"",INDEX(Deals!$AG$2:$AG$355,MATCH($C635,Deals!$A$2:$A$355,0))),""))</f>
        <v/>
      </c>
      <c r="AI635" s="35">
        <f>IF(OR($AH635&lt;&gt;"",AND($AO635&gt;0,$AD635&lt;&gt;"",$AE635&lt;&gt;"")),$AF635,DATE(1900,1,1))</f>
        <v/>
      </c>
      <c r="AJ635" s="35">
        <f>IF($AH635&lt;&gt;"",$AH635,IF(AND($AO635&gt;0,$AD635&lt;&gt;"",$AE635&lt;&gt;""),$AG635,DATE(2100,12,31)))</f>
        <v/>
      </c>
      <c r="AK635" s="32">
        <f>IF($AH635="",$AC635,$AC635*$S635)</f>
        <v/>
      </c>
      <c r="AL635" s="35">
        <f>IF($AH635="",DATE(2100,12,31),$AH635+1)</f>
        <v/>
      </c>
      <c r="AM635" s="35">
        <f>IF($AH635="",DATE(1900,1,1),$AG635)</f>
        <v/>
      </c>
      <c r="AN635" s="32">
        <f>IF($AH635="",0,$AC635*$T635)</f>
        <v/>
      </c>
      <c r="AO635" s="46">
        <f>IF($C635="",0,IFERROR(INDEX(Deals!$BD$2:$BD$355,MATCH($C635,Deals!$A$2:$A$355,0)),0))</f>
        <v/>
      </c>
      <c r="AP635" s="18">
        <f>IF($AO635=0,0,IFERROR(INDEX(Deals!$BJ$2:$BP$355,MATCH($C635,Deals!$A$2:$A$355,0),MATCH($F635,Deals!$BJ$1:$BP$1,0))/COUNTIFS(Assignments!$C$2:$C$769,$C635,Assignments!$F$2:$F$769,$F635,Assignments!$G$2:$G$769,"Active"),0))</f>
        <v/>
      </c>
    </row>
    <row r="636">
      <c r="A636" s="28" t="inlineStr">
        <is>
          <t>Yiyi</t>
        </is>
      </c>
      <c r="B636" s="16">
        <f>IF($A636="","",IFERROR(INDEX(Roster!$B$2:$B$40,MATCH($A636,Roster!$A$2:$A$40,0)),"?"))</f>
        <v/>
      </c>
      <c r="C636" s="28" t="inlineStr">
        <is>
          <t>Spring_6</t>
        </is>
      </c>
      <c r="D636" s="16">
        <f>IF($C636="","",IFERROR(IF(INDEX(Deals!$C$2:$C$355,MATCH($C636,Deals!$A$2:$A$355,0))=0,"",INDEX(Deals!$C$2:$C$355,MATCH($C636,Deals!$A$2:$A$355,0))),"?"))</f>
        <v/>
      </c>
      <c r="E636" s="16">
        <f>IF($C636="","",IFERROR(INDEX(Deals!$F$2:$F$355,MATCH($C636,Deals!$A$2:$A$355,0)),"?"))</f>
        <v/>
      </c>
      <c r="F636" s="28" t="inlineStr">
        <is>
          <t>Renewable Specialist</t>
        </is>
      </c>
      <c r="G636" s="28" t="inlineStr">
        <is>
          <t>Active</t>
        </is>
      </c>
      <c r="H636" s="31" t="n"/>
      <c r="I636" s="32">
        <f>IF(OR($A636="",$G636&lt;&gt;"Active"),0,IF($H636&lt;&gt;"",$H636,IF($AO636&gt;0,$AP636,IF(AND($R636&lt;&gt;"",IFERROR(INDEX(Templates!$B$3:$H$10,MATCH($R636,Templates!$A$3:$A$10,0),MATCH($F636,Templates!$B$2:$H$2,0)),0)&gt;0),INDEX(Templates!$B$3:$H$10,MATCH($R636,Templates!$A$3:$A$10,0),MATCH($F636,Templates!$B$2:$H$2,0)),IFERROR(INDEX(Settings!$B$8:$B$14,MATCH($F636,Settings!$A$8:$A$14,0)),0)))))</f>
        <v/>
      </c>
      <c r="J636" s="21">
        <f>IF($C636="",0,IFERROR(INDEX(Deals!$H$2:$H$355,MATCH($C636,Deals!$A$2:$A$355,0)),0))</f>
        <v/>
      </c>
      <c r="K636" s="32">
        <f>IF(Settings!$B$4="Yes",$I636*$J636,$I636)</f>
        <v/>
      </c>
      <c r="L636" s="22">
        <f>IF($C636="","",IFERROR(IF(INDEX(Deals!$I$2:$I$355,MATCH($C636,Deals!$A$2:$A$355,0))=0,"",INDEX(Deals!$I$2:$I$355,MATCH($C636,Deals!$A$2:$A$355,0))),""))</f>
        <v/>
      </c>
      <c r="M636" s="22">
        <f>IF($C636="","",IFERROR(IF(INDEX(Deals!$J$2:$J$355,MATCH($C636,Deals!$A$2:$A$355,0))=0,"",INDEX(Deals!$J$2:$J$355,MATCH($C636,Deals!$A$2:$A$355,0))),""))</f>
        <v/>
      </c>
      <c r="N636" s="35">
        <f>IF($L636="",DATE(1900,1,1),$L636)</f>
        <v/>
      </c>
      <c r="O636" s="35">
        <f>IF($M636="",DATE(2100,12,31),$M636)</f>
        <v/>
      </c>
      <c r="P636" s="20" t="inlineStr"/>
      <c r="Q636" s="47" t="inlineStr"/>
      <c r="R636" s="16">
        <f>IF($C636="","",IFERROR(IF(INDEX(Deals!$U$2:$U$355,MATCH($C636,Deals!$A$2:$A$355,0))=0,"",INDEX(Deals!$U$2:$U$355,MATCH($C636,Deals!$A$2:$A$355,0))),""))</f>
        <v/>
      </c>
      <c r="S636" s="34">
        <f>IFERROR(IF($U636="",1,INDEX(Deals!$V$2:$V$355,MATCH($C636,Deals!$A$2:$A$355,0))),1)</f>
        <v/>
      </c>
      <c r="T636" s="34">
        <f>IFERROR(IF($U636="",1,INDEX(Deals!$W$2:$W$355,MATCH($C636,Deals!$A$2:$A$355,0))),1)</f>
        <v/>
      </c>
      <c r="U636" s="22">
        <f>IF($C636="","",IFERROR(IF(INDEX(Deals!$Y$2:$Y$355,MATCH($C636,Deals!$A$2:$A$355,0))=0,"",INDEX(Deals!$Y$2:$Y$355,MATCH($C636,Deals!$A$2:$A$355,0))),""))</f>
        <v/>
      </c>
      <c r="V636" s="35">
        <f>IF(OR($U636&lt;&gt;"",AND($AO636&gt;0,$L636&lt;&gt;"",$M636&lt;&gt;"")),$N636,DATE(1900,1,1))</f>
        <v/>
      </c>
      <c r="W636" s="35">
        <f>IF($U636&lt;&gt;"",$U636,IF(AND($AO636&gt;0,$L636&lt;&gt;"",$M636&lt;&gt;""),$O636,DATE(2100,12,31)))</f>
        <v/>
      </c>
      <c r="X636" s="32">
        <f>IF($U636="",$K636,$K636*$S636)</f>
        <v/>
      </c>
      <c r="Y636" s="35">
        <f>IF($U636="",DATE(2100,12,31),$U636+1)</f>
        <v/>
      </c>
      <c r="Z636" s="35">
        <f>IF($U636="",DATE(1900,1,1),$O636)</f>
        <v/>
      </c>
      <c r="AA636" s="32">
        <f>IF($U636="",0,$K636*$T636)</f>
        <v/>
      </c>
      <c r="AB636" s="21">
        <f>IF($C636="",0,IFERROR(INDEX(Deals!$AD$2:$AD$355,MATCH($C636,Deals!$A$2:$A$355,0)),0))</f>
        <v/>
      </c>
      <c r="AC636" s="32">
        <f>IF(Settings!$B$4="Yes",$I636*$AB636,$I636)</f>
        <v/>
      </c>
      <c r="AD636" s="22">
        <f>IF($C636="","",IFERROR(IF(INDEX(Deals!$AE$2:$AE$355,MATCH($C636,Deals!$A$2:$A$355,0))=0,"",INDEX(Deals!$AE$2:$AE$355,MATCH($C636,Deals!$A$2:$A$355,0))),""))</f>
        <v/>
      </c>
      <c r="AE636" s="22">
        <f>IF($C636="","",IFERROR(IF(INDEX(Deals!$AF$2:$AF$355,MATCH($C636,Deals!$A$2:$A$355,0))=0,"",INDEX(Deals!$AF$2:$AF$355,MATCH($C636,Deals!$A$2:$A$355,0))),""))</f>
        <v/>
      </c>
      <c r="AF636" s="35">
        <f>IF($AD636="",DATE(1900,1,1),$AD636)</f>
        <v/>
      </c>
      <c r="AG636" s="35">
        <f>IF($AE636="",DATE(2100,12,31),$AE636)</f>
        <v/>
      </c>
      <c r="AH636" s="22">
        <f>IF($C636="","",IFERROR(IF(INDEX(Deals!$AG$2:$AG$355,MATCH($C636,Deals!$A$2:$A$355,0))=0,"",INDEX(Deals!$AG$2:$AG$355,MATCH($C636,Deals!$A$2:$A$355,0))),""))</f>
        <v/>
      </c>
      <c r="AI636" s="35">
        <f>IF(OR($AH636&lt;&gt;"",AND($AO636&gt;0,$AD636&lt;&gt;"",$AE636&lt;&gt;"")),$AF636,DATE(1900,1,1))</f>
        <v/>
      </c>
      <c r="AJ636" s="35">
        <f>IF($AH636&lt;&gt;"",$AH636,IF(AND($AO636&gt;0,$AD636&lt;&gt;"",$AE636&lt;&gt;""),$AG636,DATE(2100,12,31)))</f>
        <v/>
      </c>
      <c r="AK636" s="32">
        <f>IF($AH636="",$AC636,$AC636*$S636)</f>
        <v/>
      </c>
      <c r="AL636" s="35">
        <f>IF($AH636="",DATE(2100,12,31),$AH636+1)</f>
        <v/>
      </c>
      <c r="AM636" s="35">
        <f>IF($AH636="",DATE(1900,1,1),$AG636)</f>
        <v/>
      </c>
      <c r="AN636" s="32">
        <f>IF($AH636="",0,$AC636*$T636)</f>
        <v/>
      </c>
      <c r="AO636" s="46">
        <f>IF($C636="",0,IFERROR(INDEX(Deals!$BD$2:$BD$355,MATCH($C636,Deals!$A$2:$A$355,0)),0))</f>
        <v/>
      </c>
      <c r="AP636" s="18">
        <f>IF($AO636=0,0,IFERROR(INDEX(Deals!$BJ$2:$BP$355,MATCH($C636,Deals!$A$2:$A$355,0),MATCH($F636,Deals!$BJ$1:$BP$1,0))/COUNTIFS(Assignments!$C$2:$C$769,$C636,Assignments!$F$2:$F$769,$F636,Assignments!$G$2:$G$769,"Active"),0))</f>
        <v/>
      </c>
    </row>
    <row r="637">
      <c r="A637" s="28" t="inlineStr">
        <is>
          <t>Yiyi</t>
        </is>
      </c>
      <c r="B637" s="16">
        <f>IF($A637="","",IFERROR(INDEX(Roster!$B$2:$B$40,MATCH($A637,Roster!$A$2:$A$40,0)),"?"))</f>
        <v/>
      </c>
      <c r="C637" s="28" t="inlineStr">
        <is>
          <t>Starshade and Radar_1</t>
        </is>
      </c>
      <c r="D637" s="16">
        <f>IF($C637="","",IFERROR(IF(INDEX(Deals!$C$2:$C$355,MATCH($C637,Deals!$A$2:$A$355,0))=0,"",INDEX(Deals!$C$2:$C$355,MATCH($C637,Deals!$A$2:$A$355,0))),"?"))</f>
        <v/>
      </c>
      <c r="E637" s="16">
        <f>IF($C637="","",IFERROR(INDEX(Deals!$F$2:$F$355,MATCH($C637,Deals!$A$2:$A$355,0)),"?"))</f>
        <v/>
      </c>
      <c r="F637" s="28" t="inlineStr">
        <is>
          <t>Renewable Specialist</t>
        </is>
      </c>
      <c r="G637" s="28" t="inlineStr">
        <is>
          <t>Active</t>
        </is>
      </c>
      <c r="H637" s="31" t="n"/>
      <c r="I637" s="32">
        <f>IF(OR($A637="",$G637&lt;&gt;"Active"),0,IF($H637&lt;&gt;"",$H637,IF($AO637&gt;0,$AP637,IF(AND($R637&lt;&gt;"",IFERROR(INDEX(Templates!$B$3:$H$10,MATCH($R637,Templates!$A$3:$A$10,0),MATCH($F637,Templates!$B$2:$H$2,0)),0)&gt;0),INDEX(Templates!$B$3:$H$10,MATCH($R637,Templates!$A$3:$A$10,0),MATCH($F637,Templates!$B$2:$H$2,0)),IFERROR(INDEX(Settings!$B$8:$B$14,MATCH($F637,Settings!$A$8:$A$14,0)),0)))))</f>
        <v/>
      </c>
      <c r="J637" s="21">
        <f>IF($C637="",0,IFERROR(INDEX(Deals!$H$2:$H$355,MATCH($C637,Deals!$A$2:$A$355,0)),0))</f>
        <v/>
      </c>
      <c r="K637" s="32">
        <f>IF(Settings!$B$4="Yes",$I637*$J637,$I637)</f>
        <v/>
      </c>
      <c r="L637" s="22">
        <f>IF($C637="","",IFERROR(IF(INDEX(Deals!$I$2:$I$355,MATCH($C637,Deals!$A$2:$A$355,0))=0,"",INDEX(Deals!$I$2:$I$355,MATCH($C637,Deals!$A$2:$A$355,0))),""))</f>
        <v/>
      </c>
      <c r="M637" s="22">
        <f>IF($C637="","",IFERROR(IF(INDEX(Deals!$J$2:$J$355,MATCH($C637,Deals!$A$2:$A$355,0))=0,"",INDEX(Deals!$J$2:$J$355,MATCH($C637,Deals!$A$2:$A$355,0))),""))</f>
        <v/>
      </c>
      <c r="N637" s="35">
        <f>IF($L637="",DATE(1900,1,1),$L637)</f>
        <v/>
      </c>
      <c r="O637" s="35">
        <f>IF($M637="",DATE(2100,12,31),$M637)</f>
        <v/>
      </c>
      <c r="P637" s="20" t="inlineStr"/>
      <c r="Q637" s="47" t="inlineStr"/>
      <c r="R637" s="16">
        <f>IF($C637="","",IFERROR(IF(INDEX(Deals!$U$2:$U$355,MATCH($C637,Deals!$A$2:$A$355,0))=0,"",INDEX(Deals!$U$2:$U$355,MATCH($C637,Deals!$A$2:$A$355,0))),""))</f>
        <v/>
      </c>
      <c r="S637" s="34">
        <f>IFERROR(IF($U637="",1,INDEX(Deals!$V$2:$V$355,MATCH($C637,Deals!$A$2:$A$355,0))),1)</f>
        <v/>
      </c>
      <c r="T637" s="34">
        <f>IFERROR(IF($U637="",1,INDEX(Deals!$W$2:$W$355,MATCH($C637,Deals!$A$2:$A$355,0))),1)</f>
        <v/>
      </c>
      <c r="U637" s="22">
        <f>IF($C637="","",IFERROR(IF(INDEX(Deals!$Y$2:$Y$355,MATCH($C637,Deals!$A$2:$A$355,0))=0,"",INDEX(Deals!$Y$2:$Y$355,MATCH($C637,Deals!$A$2:$A$355,0))),""))</f>
        <v/>
      </c>
      <c r="V637" s="35">
        <f>IF(OR($U637&lt;&gt;"",AND($AO637&gt;0,$L637&lt;&gt;"",$M637&lt;&gt;"")),$N637,DATE(1900,1,1))</f>
        <v/>
      </c>
      <c r="W637" s="35">
        <f>IF($U637&lt;&gt;"",$U637,IF(AND($AO637&gt;0,$L637&lt;&gt;"",$M637&lt;&gt;""),$O637,DATE(2100,12,31)))</f>
        <v/>
      </c>
      <c r="X637" s="32">
        <f>IF($U637="",$K637,$K637*$S637)</f>
        <v/>
      </c>
      <c r="Y637" s="35">
        <f>IF($U637="",DATE(2100,12,31),$U637+1)</f>
        <v/>
      </c>
      <c r="Z637" s="35">
        <f>IF($U637="",DATE(1900,1,1),$O637)</f>
        <v/>
      </c>
      <c r="AA637" s="32">
        <f>IF($U637="",0,$K637*$T637)</f>
        <v/>
      </c>
      <c r="AB637" s="21">
        <f>IF($C637="",0,IFERROR(INDEX(Deals!$AD$2:$AD$355,MATCH($C637,Deals!$A$2:$A$355,0)),0))</f>
        <v/>
      </c>
      <c r="AC637" s="32">
        <f>IF(Settings!$B$4="Yes",$I637*$AB637,$I637)</f>
        <v/>
      </c>
      <c r="AD637" s="22">
        <f>IF($C637="","",IFERROR(IF(INDEX(Deals!$AE$2:$AE$355,MATCH($C637,Deals!$A$2:$A$355,0))=0,"",INDEX(Deals!$AE$2:$AE$355,MATCH($C637,Deals!$A$2:$A$355,0))),""))</f>
        <v/>
      </c>
      <c r="AE637" s="22">
        <f>IF($C637="","",IFERROR(IF(INDEX(Deals!$AF$2:$AF$355,MATCH($C637,Deals!$A$2:$A$355,0))=0,"",INDEX(Deals!$AF$2:$AF$355,MATCH($C637,Deals!$A$2:$A$355,0))),""))</f>
        <v/>
      </c>
      <c r="AF637" s="35">
        <f>IF($AD637="",DATE(1900,1,1),$AD637)</f>
        <v/>
      </c>
      <c r="AG637" s="35">
        <f>IF($AE637="",DATE(2100,12,31),$AE637)</f>
        <v/>
      </c>
      <c r="AH637" s="22">
        <f>IF($C637="","",IFERROR(IF(INDEX(Deals!$AG$2:$AG$355,MATCH($C637,Deals!$A$2:$A$355,0))=0,"",INDEX(Deals!$AG$2:$AG$355,MATCH($C637,Deals!$A$2:$A$355,0))),""))</f>
        <v/>
      </c>
      <c r="AI637" s="35">
        <f>IF(OR($AH637&lt;&gt;"",AND($AO637&gt;0,$AD637&lt;&gt;"",$AE637&lt;&gt;"")),$AF637,DATE(1900,1,1))</f>
        <v/>
      </c>
      <c r="AJ637" s="35">
        <f>IF($AH637&lt;&gt;"",$AH637,IF(AND($AO637&gt;0,$AD637&lt;&gt;"",$AE637&lt;&gt;""),$AG637,DATE(2100,12,31)))</f>
        <v/>
      </c>
      <c r="AK637" s="32">
        <f>IF($AH637="",$AC637,$AC637*$S637)</f>
        <v/>
      </c>
      <c r="AL637" s="35">
        <f>IF($AH637="",DATE(2100,12,31),$AH637+1)</f>
        <v/>
      </c>
      <c r="AM637" s="35">
        <f>IF($AH637="",DATE(1900,1,1),$AG637)</f>
        <v/>
      </c>
      <c r="AN637" s="32">
        <f>IF($AH637="",0,$AC637*$T637)</f>
        <v/>
      </c>
      <c r="AO637" s="46">
        <f>IF($C637="",0,IFERROR(INDEX(Deals!$BD$2:$BD$355,MATCH($C637,Deals!$A$2:$A$355,0)),0))</f>
        <v/>
      </c>
      <c r="AP637" s="18">
        <f>IF($AO637=0,0,IFERROR(INDEX(Deals!$BJ$2:$BP$355,MATCH($C637,Deals!$A$2:$A$355,0),MATCH($F637,Deals!$BJ$1:$BP$1,0))/COUNTIFS(Assignments!$C$2:$C$769,$C637,Assignments!$F$2:$F$769,$F637,Assignments!$G$2:$G$769,"Active"),0))</f>
        <v/>
      </c>
    </row>
    <row r="638">
      <c r="A638" s="28" t="inlineStr">
        <is>
          <t>Yiyi</t>
        </is>
      </c>
      <c r="B638" s="16">
        <f>IF($A638="","",IFERROR(INDEX(Roster!$B$2:$B$40,MATCH($A638,Roster!$A$2:$A$40,0)),"?"))</f>
        <v/>
      </c>
      <c r="C638" s="28" t="inlineStr">
        <is>
          <t>Sunnova - TEP 8-H_1</t>
        </is>
      </c>
      <c r="D638" s="16">
        <f>IF($C638="","",IFERROR(IF(INDEX(Deals!$C$2:$C$355,MATCH($C638,Deals!$A$2:$A$355,0))=0,"",INDEX(Deals!$C$2:$C$355,MATCH($C638,Deals!$A$2:$A$355,0))),"?"))</f>
        <v/>
      </c>
      <c r="E638" s="16">
        <f>IF($C638="","",IFERROR(INDEX(Deals!$F$2:$F$355,MATCH($C638,Deals!$A$2:$A$355,0)),"?"))</f>
        <v/>
      </c>
      <c r="F638" s="28" t="inlineStr">
        <is>
          <t>Renewable Specialist</t>
        </is>
      </c>
      <c r="G638" s="28" t="inlineStr">
        <is>
          <t>Active</t>
        </is>
      </c>
      <c r="H638" s="31" t="n"/>
      <c r="I638" s="32">
        <f>IF(OR($A638="",$G638&lt;&gt;"Active"),0,IF($H638&lt;&gt;"",$H638,IF($AO638&gt;0,$AP638,IF(AND($R638&lt;&gt;"",IFERROR(INDEX(Templates!$B$3:$H$10,MATCH($R638,Templates!$A$3:$A$10,0),MATCH($F638,Templates!$B$2:$H$2,0)),0)&gt;0),INDEX(Templates!$B$3:$H$10,MATCH($R638,Templates!$A$3:$A$10,0),MATCH($F638,Templates!$B$2:$H$2,0)),IFERROR(INDEX(Settings!$B$8:$B$14,MATCH($F638,Settings!$A$8:$A$14,0)),0)))))</f>
        <v/>
      </c>
      <c r="J638" s="21">
        <f>IF($C638="",0,IFERROR(INDEX(Deals!$H$2:$H$355,MATCH($C638,Deals!$A$2:$A$355,0)),0))</f>
        <v/>
      </c>
      <c r="K638" s="32">
        <f>IF(Settings!$B$4="Yes",$I638*$J638,$I638)</f>
        <v/>
      </c>
      <c r="L638" s="22">
        <f>IF($C638="","",IFERROR(IF(INDEX(Deals!$I$2:$I$355,MATCH($C638,Deals!$A$2:$A$355,0))=0,"",INDEX(Deals!$I$2:$I$355,MATCH($C638,Deals!$A$2:$A$355,0))),""))</f>
        <v/>
      </c>
      <c r="M638" s="22">
        <f>IF($C638="","",IFERROR(IF(INDEX(Deals!$J$2:$J$355,MATCH($C638,Deals!$A$2:$A$355,0))=0,"",INDEX(Deals!$J$2:$J$355,MATCH($C638,Deals!$A$2:$A$355,0))),""))</f>
        <v/>
      </c>
      <c r="N638" s="35">
        <f>IF($L638="",DATE(1900,1,1),$L638)</f>
        <v/>
      </c>
      <c r="O638" s="35">
        <f>IF($M638="",DATE(2100,12,31),$M638)</f>
        <v/>
      </c>
      <c r="P638" s="20" t="inlineStr"/>
      <c r="Q638" s="47" t="inlineStr"/>
      <c r="R638" s="16">
        <f>IF($C638="","",IFERROR(IF(INDEX(Deals!$U$2:$U$355,MATCH($C638,Deals!$A$2:$A$355,0))=0,"",INDEX(Deals!$U$2:$U$355,MATCH($C638,Deals!$A$2:$A$355,0))),""))</f>
        <v/>
      </c>
      <c r="S638" s="34">
        <f>IFERROR(IF($U638="",1,INDEX(Deals!$V$2:$V$355,MATCH($C638,Deals!$A$2:$A$355,0))),1)</f>
        <v/>
      </c>
      <c r="T638" s="34">
        <f>IFERROR(IF($U638="",1,INDEX(Deals!$W$2:$W$355,MATCH($C638,Deals!$A$2:$A$355,0))),1)</f>
        <v/>
      </c>
      <c r="U638" s="22">
        <f>IF($C638="","",IFERROR(IF(INDEX(Deals!$Y$2:$Y$355,MATCH($C638,Deals!$A$2:$A$355,0))=0,"",INDEX(Deals!$Y$2:$Y$355,MATCH($C638,Deals!$A$2:$A$355,0))),""))</f>
        <v/>
      </c>
      <c r="V638" s="35">
        <f>IF(OR($U638&lt;&gt;"",AND($AO638&gt;0,$L638&lt;&gt;"",$M638&lt;&gt;"")),$N638,DATE(1900,1,1))</f>
        <v/>
      </c>
      <c r="W638" s="35">
        <f>IF($U638&lt;&gt;"",$U638,IF(AND($AO638&gt;0,$L638&lt;&gt;"",$M638&lt;&gt;""),$O638,DATE(2100,12,31)))</f>
        <v/>
      </c>
      <c r="X638" s="32">
        <f>IF($U638="",$K638,$K638*$S638)</f>
        <v/>
      </c>
      <c r="Y638" s="35">
        <f>IF($U638="",DATE(2100,12,31),$U638+1)</f>
        <v/>
      </c>
      <c r="Z638" s="35">
        <f>IF($U638="",DATE(1900,1,1),$O638)</f>
        <v/>
      </c>
      <c r="AA638" s="32">
        <f>IF($U638="",0,$K638*$T638)</f>
        <v/>
      </c>
      <c r="AB638" s="21">
        <f>IF($C638="",0,IFERROR(INDEX(Deals!$AD$2:$AD$355,MATCH($C638,Deals!$A$2:$A$355,0)),0))</f>
        <v/>
      </c>
      <c r="AC638" s="32">
        <f>IF(Settings!$B$4="Yes",$I638*$AB638,$I638)</f>
        <v/>
      </c>
      <c r="AD638" s="22">
        <f>IF($C638="","",IFERROR(IF(INDEX(Deals!$AE$2:$AE$355,MATCH($C638,Deals!$A$2:$A$355,0))=0,"",INDEX(Deals!$AE$2:$AE$355,MATCH($C638,Deals!$A$2:$A$355,0))),""))</f>
        <v/>
      </c>
      <c r="AE638" s="22">
        <f>IF($C638="","",IFERROR(IF(INDEX(Deals!$AF$2:$AF$355,MATCH($C638,Deals!$A$2:$A$355,0))=0,"",INDEX(Deals!$AF$2:$AF$355,MATCH($C638,Deals!$A$2:$A$355,0))),""))</f>
        <v/>
      </c>
      <c r="AF638" s="35">
        <f>IF($AD638="",DATE(1900,1,1),$AD638)</f>
        <v/>
      </c>
      <c r="AG638" s="35">
        <f>IF($AE638="",DATE(2100,12,31),$AE638)</f>
        <v/>
      </c>
      <c r="AH638" s="22">
        <f>IF($C638="","",IFERROR(IF(INDEX(Deals!$AG$2:$AG$355,MATCH($C638,Deals!$A$2:$A$355,0))=0,"",INDEX(Deals!$AG$2:$AG$355,MATCH($C638,Deals!$A$2:$A$355,0))),""))</f>
        <v/>
      </c>
      <c r="AI638" s="35">
        <f>IF(OR($AH638&lt;&gt;"",AND($AO638&gt;0,$AD638&lt;&gt;"",$AE638&lt;&gt;"")),$AF638,DATE(1900,1,1))</f>
        <v/>
      </c>
      <c r="AJ638" s="35">
        <f>IF($AH638&lt;&gt;"",$AH638,IF(AND($AO638&gt;0,$AD638&lt;&gt;"",$AE638&lt;&gt;""),$AG638,DATE(2100,12,31)))</f>
        <v/>
      </c>
      <c r="AK638" s="32">
        <f>IF($AH638="",$AC638,$AC638*$S638)</f>
        <v/>
      </c>
      <c r="AL638" s="35">
        <f>IF($AH638="",DATE(2100,12,31),$AH638+1)</f>
        <v/>
      </c>
      <c r="AM638" s="35">
        <f>IF($AH638="",DATE(1900,1,1),$AG638)</f>
        <v/>
      </c>
      <c r="AN638" s="32">
        <f>IF($AH638="",0,$AC638*$T638)</f>
        <v/>
      </c>
      <c r="AO638" s="46">
        <f>IF($C638="",0,IFERROR(INDEX(Deals!$BD$2:$BD$355,MATCH($C638,Deals!$A$2:$A$355,0)),0))</f>
        <v/>
      </c>
      <c r="AP638" s="18">
        <f>IF($AO638=0,0,IFERROR(INDEX(Deals!$BJ$2:$BP$355,MATCH($C638,Deals!$A$2:$A$355,0),MATCH($F638,Deals!$BJ$1:$BP$1,0))/COUNTIFS(Assignments!$C$2:$C$769,$C638,Assignments!$F$2:$F$769,$F638,Assignments!$G$2:$G$769,"Active"),0))</f>
        <v/>
      </c>
    </row>
    <row r="639">
      <c r="A639" s="28" t="inlineStr">
        <is>
          <t>Yiyi</t>
        </is>
      </c>
      <c r="B639" s="16">
        <f>IF($A639="","",IFERROR(INDEX(Roster!$B$2:$B$40,MATCH($A639,Roster!$A$2:$A$40,0)),"?"))</f>
        <v/>
      </c>
      <c r="C639" s="28" t="inlineStr">
        <is>
          <t>Sunnova TEP 8-I - Homebuilder_1</t>
        </is>
      </c>
      <c r="D639" s="16">
        <f>IF($C639="","",IFERROR(IF(INDEX(Deals!$C$2:$C$355,MATCH($C639,Deals!$A$2:$A$355,0))=0,"",INDEX(Deals!$C$2:$C$355,MATCH($C639,Deals!$A$2:$A$355,0))),"?"))</f>
        <v/>
      </c>
      <c r="E639" s="16">
        <f>IF($C639="","",IFERROR(INDEX(Deals!$F$2:$F$355,MATCH($C639,Deals!$A$2:$A$355,0)),"?"))</f>
        <v/>
      </c>
      <c r="F639" s="28" t="inlineStr">
        <is>
          <t>Renewable Specialist</t>
        </is>
      </c>
      <c r="G639" s="28" t="inlineStr">
        <is>
          <t>Active</t>
        </is>
      </c>
      <c r="H639" s="31" t="n"/>
      <c r="I639" s="32">
        <f>IF(OR($A639="",$G639&lt;&gt;"Active"),0,IF($H639&lt;&gt;"",$H639,IF($AO639&gt;0,$AP639,IF(AND($R639&lt;&gt;"",IFERROR(INDEX(Templates!$B$3:$H$10,MATCH($R639,Templates!$A$3:$A$10,0),MATCH($F639,Templates!$B$2:$H$2,0)),0)&gt;0),INDEX(Templates!$B$3:$H$10,MATCH($R639,Templates!$A$3:$A$10,0),MATCH($F639,Templates!$B$2:$H$2,0)),IFERROR(INDEX(Settings!$B$8:$B$14,MATCH($F639,Settings!$A$8:$A$14,0)),0)))))</f>
        <v/>
      </c>
      <c r="J639" s="21">
        <f>IF($C639="",0,IFERROR(INDEX(Deals!$H$2:$H$355,MATCH($C639,Deals!$A$2:$A$355,0)),0))</f>
        <v/>
      </c>
      <c r="K639" s="32">
        <f>IF(Settings!$B$4="Yes",$I639*$J639,$I639)</f>
        <v/>
      </c>
      <c r="L639" s="22">
        <f>IF($C639="","",IFERROR(IF(INDEX(Deals!$I$2:$I$355,MATCH($C639,Deals!$A$2:$A$355,0))=0,"",INDEX(Deals!$I$2:$I$355,MATCH($C639,Deals!$A$2:$A$355,0))),""))</f>
        <v/>
      </c>
      <c r="M639" s="22">
        <f>IF($C639="","",IFERROR(IF(INDEX(Deals!$J$2:$J$355,MATCH($C639,Deals!$A$2:$A$355,0))=0,"",INDEX(Deals!$J$2:$J$355,MATCH($C639,Deals!$A$2:$A$355,0))),""))</f>
        <v/>
      </c>
      <c r="N639" s="35">
        <f>IF($L639="",DATE(1900,1,1),$L639)</f>
        <v/>
      </c>
      <c r="O639" s="35">
        <f>IF($M639="",DATE(2100,12,31),$M639)</f>
        <v/>
      </c>
      <c r="P639" s="20" t="inlineStr"/>
      <c r="Q639" s="47" t="inlineStr"/>
      <c r="R639" s="16">
        <f>IF($C639="","",IFERROR(IF(INDEX(Deals!$U$2:$U$355,MATCH($C639,Deals!$A$2:$A$355,0))=0,"",INDEX(Deals!$U$2:$U$355,MATCH($C639,Deals!$A$2:$A$355,0))),""))</f>
        <v/>
      </c>
      <c r="S639" s="34">
        <f>IFERROR(IF($U639="",1,INDEX(Deals!$V$2:$V$355,MATCH($C639,Deals!$A$2:$A$355,0))),1)</f>
        <v/>
      </c>
      <c r="T639" s="34">
        <f>IFERROR(IF($U639="",1,INDEX(Deals!$W$2:$W$355,MATCH($C639,Deals!$A$2:$A$355,0))),1)</f>
        <v/>
      </c>
      <c r="U639" s="22">
        <f>IF($C639="","",IFERROR(IF(INDEX(Deals!$Y$2:$Y$355,MATCH($C639,Deals!$A$2:$A$355,0))=0,"",INDEX(Deals!$Y$2:$Y$355,MATCH($C639,Deals!$A$2:$A$355,0))),""))</f>
        <v/>
      </c>
      <c r="V639" s="35">
        <f>IF(OR($U639&lt;&gt;"",AND($AO639&gt;0,$L639&lt;&gt;"",$M639&lt;&gt;"")),$N639,DATE(1900,1,1))</f>
        <v/>
      </c>
      <c r="W639" s="35">
        <f>IF($U639&lt;&gt;"",$U639,IF(AND($AO639&gt;0,$L639&lt;&gt;"",$M639&lt;&gt;""),$O639,DATE(2100,12,31)))</f>
        <v/>
      </c>
      <c r="X639" s="32">
        <f>IF($U639="",$K639,$K639*$S639)</f>
        <v/>
      </c>
      <c r="Y639" s="35">
        <f>IF($U639="",DATE(2100,12,31),$U639+1)</f>
        <v/>
      </c>
      <c r="Z639" s="35">
        <f>IF($U639="",DATE(1900,1,1),$O639)</f>
        <v/>
      </c>
      <c r="AA639" s="32">
        <f>IF($U639="",0,$K639*$T639)</f>
        <v/>
      </c>
      <c r="AB639" s="21">
        <f>IF($C639="",0,IFERROR(INDEX(Deals!$AD$2:$AD$355,MATCH($C639,Deals!$A$2:$A$355,0)),0))</f>
        <v/>
      </c>
      <c r="AC639" s="32">
        <f>IF(Settings!$B$4="Yes",$I639*$AB639,$I639)</f>
        <v/>
      </c>
      <c r="AD639" s="22">
        <f>IF($C639="","",IFERROR(IF(INDEX(Deals!$AE$2:$AE$355,MATCH($C639,Deals!$A$2:$A$355,0))=0,"",INDEX(Deals!$AE$2:$AE$355,MATCH($C639,Deals!$A$2:$A$355,0))),""))</f>
        <v/>
      </c>
      <c r="AE639" s="22">
        <f>IF($C639="","",IFERROR(IF(INDEX(Deals!$AF$2:$AF$355,MATCH($C639,Deals!$A$2:$A$355,0))=0,"",INDEX(Deals!$AF$2:$AF$355,MATCH($C639,Deals!$A$2:$A$355,0))),""))</f>
        <v/>
      </c>
      <c r="AF639" s="35">
        <f>IF($AD639="",DATE(1900,1,1),$AD639)</f>
        <v/>
      </c>
      <c r="AG639" s="35">
        <f>IF($AE639="",DATE(2100,12,31),$AE639)</f>
        <v/>
      </c>
      <c r="AH639" s="22">
        <f>IF($C639="","",IFERROR(IF(INDEX(Deals!$AG$2:$AG$355,MATCH($C639,Deals!$A$2:$A$355,0))=0,"",INDEX(Deals!$AG$2:$AG$355,MATCH($C639,Deals!$A$2:$A$355,0))),""))</f>
        <v/>
      </c>
      <c r="AI639" s="35">
        <f>IF(OR($AH639&lt;&gt;"",AND($AO639&gt;0,$AD639&lt;&gt;"",$AE639&lt;&gt;"")),$AF639,DATE(1900,1,1))</f>
        <v/>
      </c>
      <c r="AJ639" s="35">
        <f>IF($AH639&lt;&gt;"",$AH639,IF(AND($AO639&gt;0,$AD639&lt;&gt;"",$AE639&lt;&gt;""),$AG639,DATE(2100,12,31)))</f>
        <v/>
      </c>
      <c r="AK639" s="32">
        <f>IF($AH639="",$AC639,$AC639*$S639)</f>
        <v/>
      </c>
      <c r="AL639" s="35">
        <f>IF($AH639="",DATE(2100,12,31),$AH639+1)</f>
        <v/>
      </c>
      <c r="AM639" s="35">
        <f>IF($AH639="",DATE(1900,1,1),$AG639)</f>
        <v/>
      </c>
      <c r="AN639" s="32">
        <f>IF($AH639="",0,$AC639*$T639)</f>
        <v/>
      </c>
      <c r="AO639" s="46">
        <f>IF($C639="",0,IFERROR(INDEX(Deals!$BD$2:$BD$355,MATCH($C639,Deals!$A$2:$A$355,0)),0))</f>
        <v/>
      </c>
      <c r="AP639" s="18">
        <f>IF($AO639=0,0,IFERROR(INDEX(Deals!$BJ$2:$BP$355,MATCH($C639,Deals!$A$2:$A$355,0),MATCH($F639,Deals!$BJ$1:$BP$1,0))/COUNTIFS(Assignments!$C$2:$C$769,$C639,Assignments!$F$2:$F$769,$F639,Assignments!$G$2:$G$769,"Active"),0))</f>
        <v/>
      </c>
    </row>
    <row r="640">
      <c r="A640" s="28" t="inlineStr">
        <is>
          <t>Yiyi</t>
        </is>
      </c>
      <c r="B640" s="16">
        <f>IF($A640="","",IFERROR(INDEX(Roster!$B$2:$B$40,MATCH($A640,Roster!$A$2:$A$40,0)),"?"))</f>
        <v/>
      </c>
      <c r="C640" s="28" t="inlineStr">
        <is>
          <t>Sunrise_5</t>
        </is>
      </c>
      <c r="D640" s="16">
        <f>IF($C640="","",IFERROR(IF(INDEX(Deals!$C$2:$C$355,MATCH($C640,Deals!$A$2:$A$355,0))=0,"",INDEX(Deals!$C$2:$C$355,MATCH($C640,Deals!$A$2:$A$355,0))),"?"))</f>
        <v/>
      </c>
      <c r="E640" s="16">
        <f>IF($C640="","",IFERROR(INDEX(Deals!$F$2:$F$355,MATCH($C640,Deals!$A$2:$A$355,0)),"?"))</f>
        <v/>
      </c>
      <c r="F640" s="28" t="inlineStr">
        <is>
          <t>Renewable Specialist</t>
        </is>
      </c>
      <c r="G640" s="28" t="inlineStr">
        <is>
          <t>Active</t>
        </is>
      </c>
      <c r="H640" s="31" t="n"/>
      <c r="I640" s="32">
        <f>IF(OR($A640="",$G640&lt;&gt;"Active"),0,IF($H640&lt;&gt;"",$H640,IF($AO640&gt;0,$AP640,IF(AND($R640&lt;&gt;"",IFERROR(INDEX(Templates!$B$3:$H$10,MATCH($R640,Templates!$A$3:$A$10,0),MATCH($F640,Templates!$B$2:$H$2,0)),0)&gt;0),INDEX(Templates!$B$3:$H$10,MATCH($R640,Templates!$A$3:$A$10,0),MATCH($F640,Templates!$B$2:$H$2,0)),IFERROR(INDEX(Settings!$B$8:$B$14,MATCH($F640,Settings!$A$8:$A$14,0)),0)))))</f>
        <v/>
      </c>
      <c r="J640" s="21">
        <f>IF($C640="",0,IFERROR(INDEX(Deals!$H$2:$H$355,MATCH($C640,Deals!$A$2:$A$355,0)),0))</f>
        <v/>
      </c>
      <c r="K640" s="32">
        <f>IF(Settings!$B$4="Yes",$I640*$J640,$I640)</f>
        <v/>
      </c>
      <c r="L640" s="22">
        <f>IF($C640="","",IFERROR(IF(INDEX(Deals!$I$2:$I$355,MATCH($C640,Deals!$A$2:$A$355,0))=0,"",INDEX(Deals!$I$2:$I$355,MATCH($C640,Deals!$A$2:$A$355,0))),""))</f>
        <v/>
      </c>
      <c r="M640" s="22">
        <f>IF($C640="","",IFERROR(IF(INDEX(Deals!$J$2:$J$355,MATCH($C640,Deals!$A$2:$A$355,0))=0,"",INDEX(Deals!$J$2:$J$355,MATCH($C640,Deals!$A$2:$A$355,0))),""))</f>
        <v/>
      </c>
      <c r="N640" s="35">
        <f>IF($L640="",DATE(1900,1,1),$L640)</f>
        <v/>
      </c>
      <c r="O640" s="35">
        <f>IF($M640="",DATE(2100,12,31),$M640)</f>
        <v/>
      </c>
      <c r="P640" s="20" t="inlineStr"/>
      <c r="Q640" s="47" t="inlineStr"/>
      <c r="R640" s="16">
        <f>IF($C640="","",IFERROR(IF(INDEX(Deals!$U$2:$U$355,MATCH($C640,Deals!$A$2:$A$355,0))=0,"",INDEX(Deals!$U$2:$U$355,MATCH($C640,Deals!$A$2:$A$355,0))),""))</f>
        <v/>
      </c>
      <c r="S640" s="34">
        <f>IFERROR(IF($U640="",1,INDEX(Deals!$V$2:$V$355,MATCH($C640,Deals!$A$2:$A$355,0))),1)</f>
        <v/>
      </c>
      <c r="T640" s="34">
        <f>IFERROR(IF($U640="",1,INDEX(Deals!$W$2:$W$355,MATCH($C640,Deals!$A$2:$A$355,0))),1)</f>
        <v/>
      </c>
      <c r="U640" s="22">
        <f>IF($C640="","",IFERROR(IF(INDEX(Deals!$Y$2:$Y$355,MATCH($C640,Deals!$A$2:$A$355,0))=0,"",INDEX(Deals!$Y$2:$Y$355,MATCH($C640,Deals!$A$2:$A$355,0))),""))</f>
        <v/>
      </c>
      <c r="V640" s="35">
        <f>IF(OR($U640&lt;&gt;"",AND($AO640&gt;0,$L640&lt;&gt;"",$M640&lt;&gt;"")),$N640,DATE(1900,1,1))</f>
        <v/>
      </c>
      <c r="W640" s="35">
        <f>IF($U640&lt;&gt;"",$U640,IF(AND($AO640&gt;0,$L640&lt;&gt;"",$M640&lt;&gt;""),$O640,DATE(2100,12,31)))</f>
        <v/>
      </c>
      <c r="X640" s="32">
        <f>IF($U640="",$K640,$K640*$S640)</f>
        <v/>
      </c>
      <c r="Y640" s="35">
        <f>IF($U640="",DATE(2100,12,31),$U640+1)</f>
        <v/>
      </c>
      <c r="Z640" s="35">
        <f>IF($U640="",DATE(1900,1,1),$O640)</f>
        <v/>
      </c>
      <c r="AA640" s="32">
        <f>IF($U640="",0,$K640*$T640)</f>
        <v/>
      </c>
      <c r="AB640" s="21">
        <f>IF($C640="",0,IFERROR(INDEX(Deals!$AD$2:$AD$355,MATCH($C640,Deals!$A$2:$A$355,0)),0))</f>
        <v/>
      </c>
      <c r="AC640" s="32">
        <f>IF(Settings!$B$4="Yes",$I640*$AB640,$I640)</f>
        <v/>
      </c>
      <c r="AD640" s="22">
        <f>IF($C640="","",IFERROR(IF(INDEX(Deals!$AE$2:$AE$355,MATCH($C640,Deals!$A$2:$A$355,0))=0,"",INDEX(Deals!$AE$2:$AE$355,MATCH($C640,Deals!$A$2:$A$355,0))),""))</f>
        <v/>
      </c>
      <c r="AE640" s="22">
        <f>IF($C640="","",IFERROR(IF(INDEX(Deals!$AF$2:$AF$355,MATCH($C640,Deals!$A$2:$A$355,0))=0,"",INDEX(Deals!$AF$2:$AF$355,MATCH($C640,Deals!$A$2:$A$355,0))),""))</f>
        <v/>
      </c>
      <c r="AF640" s="35">
        <f>IF($AD640="",DATE(1900,1,1),$AD640)</f>
        <v/>
      </c>
      <c r="AG640" s="35">
        <f>IF($AE640="",DATE(2100,12,31),$AE640)</f>
        <v/>
      </c>
      <c r="AH640" s="22">
        <f>IF($C640="","",IFERROR(IF(INDEX(Deals!$AG$2:$AG$355,MATCH($C640,Deals!$A$2:$A$355,0))=0,"",INDEX(Deals!$AG$2:$AG$355,MATCH($C640,Deals!$A$2:$A$355,0))),""))</f>
        <v/>
      </c>
      <c r="AI640" s="35">
        <f>IF(OR($AH640&lt;&gt;"",AND($AO640&gt;0,$AD640&lt;&gt;"",$AE640&lt;&gt;"")),$AF640,DATE(1900,1,1))</f>
        <v/>
      </c>
      <c r="AJ640" s="35">
        <f>IF($AH640&lt;&gt;"",$AH640,IF(AND($AO640&gt;0,$AD640&lt;&gt;"",$AE640&lt;&gt;""),$AG640,DATE(2100,12,31)))</f>
        <v/>
      </c>
      <c r="AK640" s="32">
        <f>IF($AH640="",$AC640,$AC640*$S640)</f>
        <v/>
      </c>
      <c r="AL640" s="35">
        <f>IF($AH640="",DATE(2100,12,31),$AH640+1)</f>
        <v/>
      </c>
      <c r="AM640" s="35">
        <f>IF($AH640="",DATE(1900,1,1),$AG640)</f>
        <v/>
      </c>
      <c r="AN640" s="32">
        <f>IF($AH640="",0,$AC640*$T640)</f>
        <v/>
      </c>
      <c r="AO640" s="46">
        <f>IF($C640="",0,IFERROR(INDEX(Deals!$BD$2:$BD$355,MATCH($C640,Deals!$A$2:$A$355,0)),0))</f>
        <v/>
      </c>
      <c r="AP640" s="18">
        <f>IF($AO640=0,0,IFERROR(INDEX(Deals!$BJ$2:$BP$355,MATCH($C640,Deals!$A$2:$A$355,0),MATCH($F640,Deals!$BJ$1:$BP$1,0))/COUNTIFS(Assignments!$C$2:$C$769,$C640,Assignments!$F$2:$F$769,$F640,Assignments!$G$2:$G$769,"Active"),0))</f>
        <v/>
      </c>
    </row>
    <row r="641">
      <c r="A641" s="28" t="inlineStr">
        <is>
          <t>Yiyi</t>
        </is>
      </c>
      <c r="B641" s="16">
        <f>IF($A641="","",IFERROR(INDEX(Roster!$B$2:$B$40,MATCH($A641,Roster!$A$2:$A$40,0)),"?"))</f>
        <v/>
      </c>
      <c r="C641" s="28" t="inlineStr">
        <is>
          <t>Sunset_1</t>
        </is>
      </c>
      <c r="D641" s="16">
        <f>IF($C641="","",IFERROR(IF(INDEX(Deals!$C$2:$C$355,MATCH($C641,Deals!$A$2:$A$355,0))=0,"",INDEX(Deals!$C$2:$C$355,MATCH($C641,Deals!$A$2:$A$355,0))),"?"))</f>
        <v/>
      </c>
      <c r="E641" s="16">
        <f>IF($C641="","",IFERROR(INDEX(Deals!$F$2:$F$355,MATCH($C641,Deals!$A$2:$A$355,0)),"?"))</f>
        <v/>
      </c>
      <c r="F641" s="28" t="inlineStr">
        <is>
          <t>Renewable Specialist</t>
        </is>
      </c>
      <c r="G641" s="28" t="inlineStr">
        <is>
          <t>Active</t>
        </is>
      </c>
      <c r="H641" s="31" t="n"/>
      <c r="I641" s="32">
        <f>IF(OR($A641="",$G641&lt;&gt;"Active"),0,IF($H641&lt;&gt;"",$H641,IF($AO641&gt;0,$AP641,IF(AND($R641&lt;&gt;"",IFERROR(INDEX(Templates!$B$3:$H$10,MATCH($R641,Templates!$A$3:$A$10,0),MATCH($F641,Templates!$B$2:$H$2,0)),0)&gt;0),INDEX(Templates!$B$3:$H$10,MATCH($R641,Templates!$A$3:$A$10,0),MATCH($F641,Templates!$B$2:$H$2,0)),IFERROR(INDEX(Settings!$B$8:$B$14,MATCH($F641,Settings!$A$8:$A$14,0)),0)))))</f>
        <v/>
      </c>
      <c r="J641" s="21">
        <f>IF($C641="",0,IFERROR(INDEX(Deals!$H$2:$H$355,MATCH($C641,Deals!$A$2:$A$355,0)),0))</f>
        <v/>
      </c>
      <c r="K641" s="32">
        <f>IF(Settings!$B$4="Yes",$I641*$J641,$I641)</f>
        <v/>
      </c>
      <c r="L641" s="22">
        <f>IF($C641="","",IFERROR(IF(INDEX(Deals!$I$2:$I$355,MATCH($C641,Deals!$A$2:$A$355,0))=0,"",INDEX(Deals!$I$2:$I$355,MATCH($C641,Deals!$A$2:$A$355,0))),""))</f>
        <v/>
      </c>
      <c r="M641" s="22">
        <f>IF($C641="","",IFERROR(IF(INDEX(Deals!$J$2:$J$355,MATCH($C641,Deals!$A$2:$A$355,0))=0,"",INDEX(Deals!$J$2:$J$355,MATCH($C641,Deals!$A$2:$A$355,0))),""))</f>
        <v/>
      </c>
      <c r="N641" s="35">
        <f>IF($L641="",DATE(1900,1,1),$L641)</f>
        <v/>
      </c>
      <c r="O641" s="35">
        <f>IF($M641="",DATE(2100,12,31),$M641)</f>
        <v/>
      </c>
      <c r="P641" s="20" t="inlineStr"/>
      <c r="Q641" s="47" t="inlineStr"/>
      <c r="R641" s="16">
        <f>IF($C641="","",IFERROR(IF(INDEX(Deals!$U$2:$U$355,MATCH($C641,Deals!$A$2:$A$355,0))=0,"",INDEX(Deals!$U$2:$U$355,MATCH($C641,Deals!$A$2:$A$355,0))),""))</f>
        <v/>
      </c>
      <c r="S641" s="34">
        <f>IFERROR(IF($U641="",1,INDEX(Deals!$V$2:$V$355,MATCH($C641,Deals!$A$2:$A$355,0))),1)</f>
        <v/>
      </c>
      <c r="T641" s="34">
        <f>IFERROR(IF($U641="",1,INDEX(Deals!$W$2:$W$355,MATCH($C641,Deals!$A$2:$A$355,0))),1)</f>
        <v/>
      </c>
      <c r="U641" s="22">
        <f>IF($C641="","",IFERROR(IF(INDEX(Deals!$Y$2:$Y$355,MATCH($C641,Deals!$A$2:$A$355,0))=0,"",INDEX(Deals!$Y$2:$Y$355,MATCH($C641,Deals!$A$2:$A$355,0))),""))</f>
        <v/>
      </c>
      <c r="V641" s="35">
        <f>IF(OR($U641&lt;&gt;"",AND($AO641&gt;0,$L641&lt;&gt;"",$M641&lt;&gt;"")),$N641,DATE(1900,1,1))</f>
        <v/>
      </c>
      <c r="W641" s="35">
        <f>IF($U641&lt;&gt;"",$U641,IF(AND($AO641&gt;0,$L641&lt;&gt;"",$M641&lt;&gt;""),$O641,DATE(2100,12,31)))</f>
        <v/>
      </c>
      <c r="X641" s="32">
        <f>IF($U641="",$K641,$K641*$S641)</f>
        <v/>
      </c>
      <c r="Y641" s="35">
        <f>IF($U641="",DATE(2100,12,31),$U641+1)</f>
        <v/>
      </c>
      <c r="Z641" s="35">
        <f>IF($U641="",DATE(1900,1,1),$O641)</f>
        <v/>
      </c>
      <c r="AA641" s="32">
        <f>IF($U641="",0,$K641*$T641)</f>
        <v/>
      </c>
      <c r="AB641" s="21">
        <f>IF($C641="",0,IFERROR(INDEX(Deals!$AD$2:$AD$355,MATCH($C641,Deals!$A$2:$A$355,0)),0))</f>
        <v/>
      </c>
      <c r="AC641" s="32">
        <f>IF(Settings!$B$4="Yes",$I641*$AB641,$I641)</f>
        <v/>
      </c>
      <c r="AD641" s="22">
        <f>IF($C641="","",IFERROR(IF(INDEX(Deals!$AE$2:$AE$355,MATCH($C641,Deals!$A$2:$A$355,0))=0,"",INDEX(Deals!$AE$2:$AE$355,MATCH($C641,Deals!$A$2:$A$355,0))),""))</f>
        <v/>
      </c>
      <c r="AE641" s="22">
        <f>IF($C641="","",IFERROR(IF(INDEX(Deals!$AF$2:$AF$355,MATCH($C641,Deals!$A$2:$A$355,0))=0,"",INDEX(Deals!$AF$2:$AF$355,MATCH($C641,Deals!$A$2:$A$355,0))),""))</f>
        <v/>
      </c>
      <c r="AF641" s="35">
        <f>IF($AD641="",DATE(1900,1,1),$AD641)</f>
        <v/>
      </c>
      <c r="AG641" s="35">
        <f>IF($AE641="",DATE(2100,12,31),$AE641)</f>
        <v/>
      </c>
      <c r="AH641" s="22">
        <f>IF($C641="","",IFERROR(IF(INDEX(Deals!$AG$2:$AG$355,MATCH($C641,Deals!$A$2:$A$355,0))=0,"",INDEX(Deals!$AG$2:$AG$355,MATCH($C641,Deals!$A$2:$A$355,0))),""))</f>
        <v/>
      </c>
      <c r="AI641" s="35">
        <f>IF(OR($AH641&lt;&gt;"",AND($AO641&gt;0,$AD641&lt;&gt;"",$AE641&lt;&gt;"")),$AF641,DATE(1900,1,1))</f>
        <v/>
      </c>
      <c r="AJ641" s="35">
        <f>IF($AH641&lt;&gt;"",$AH641,IF(AND($AO641&gt;0,$AD641&lt;&gt;"",$AE641&lt;&gt;""),$AG641,DATE(2100,12,31)))</f>
        <v/>
      </c>
      <c r="AK641" s="32">
        <f>IF($AH641="",$AC641,$AC641*$S641)</f>
        <v/>
      </c>
      <c r="AL641" s="35">
        <f>IF($AH641="",DATE(2100,12,31),$AH641+1)</f>
        <v/>
      </c>
      <c r="AM641" s="35">
        <f>IF($AH641="",DATE(1900,1,1),$AG641)</f>
        <v/>
      </c>
      <c r="AN641" s="32">
        <f>IF($AH641="",0,$AC641*$T641)</f>
        <v/>
      </c>
      <c r="AO641" s="46">
        <f>IF($C641="",0,IFERROR(INDEX(Deals!$BD$2:$BD$355,MATCH($C641,Deals!$A$2:$A$355,0)),0))</f>
        <v/>
      </c>
      <c r="AP641" s="18">
        <f>IF($AO641=0,0,IFERROR(INDEX(Deals!$BJ$2:$BP$355,MATCH($C641,Deals!$A$2:$A$355,0),MATCH($F641,Deals!$BJ$1:$BP$1,0))/COUNTIFS(Assignments!$C$2:$C$769,$C641,Assignments!$F$2:$F$769,$F641,Assignments!$G$2:$G$769,"Active"),0))</f>
        <v/>
      </c>
    </row>
    <row r="642">
      <c r="A642" s="28" t="inlineStr">
        <is>
          <t>Yiyi</t>
        </is>
      </c>
      <c r="B642" s="16">
        <f>IF($A642="","",IFERROR(INDEX(Roster!$B$2:$B$40,MATCH($A642,Roster!$A$2:$A$40,0)),"?"))</f>
        <v/>
      </c>
      <c r="C642" s="28" t="inlineStr">
        <is>
          <t>Sunshine_4</t>
        </is>
      </c>
      <c r="D642" s="16">
        <f>IF($C642="","",IFERROR(IF(INDEX(Deals!$C$2:$C$355,MATCH($C642,Deals!$A$2:$A$355,0))=0,"",INDEX(Deals!$C$2:$C$355,MATCH($C642,Deals!$A$2:$A$355,0))),"?"))</f>
        <v/>
      </c>
      <c r="E642" s="16">
        <f>IF($C642="","",IFERROR(INDEX(Deals!$F$2:$F$355,MATCH($C642,Deals!$A$2:$A$355,0)),"?"))</f>
        <v/>
      </c>
      <c r="F642" s="28" t="inlineStr">
        <is>
          <t>Renewable Specialist</t>
        </is>
      </c>
      <c r="G642" s="28" t="inlineStr">
        <is>
          <t>Active</t>
        </is>
      </c>
      <c r="H642" s="31" t="n"/>
      <c r="I642" s="32">
        <f>IF(OR($A642="",$G642&lt;&gt;"Active"),0,IF($H642&lt;&gt;"",$H642,IF($AO642&gt;0,$AP642,IF(AND($R642&lt;&gt;"",IFERROR(INDEX(Templates!$B$3:$H$10,MATCH($R642,Templates!$A$3:$A$10,0),MATCH($F642,Templates!$B$2:$H$2,0)),0)&gt;0),INDEX(Templates!$B$3:$H$10,MATCH($R642,Templates!$A$3:$A$10,0),MATCH($F642,Templates!$B$2:$H$2,0)),IFERROR(INDEX(Settings!$B$8:$B$14,MATCH($F642,Settings!$A$8:$A$14,0)),0)))))</f>
        <v/>
      </c>
      <c r="J642" s="21">
        <f>IF($C642="",0,IFERROR(INDEX(Deals!$H$2:$H$355,MATCH($C642,Deals!$A$2:$A$355,0)),0))</f>
        <v/>
      </c>
      <c r="K642" s="32">
        <f>IF(Settings!$B$4="Yes",$I642*$J642,$I642)</f>
        <v/>
      </c>
      <c r="L642" s="22">
        <f>IF($C642="","",IFERROR(IF(INDEX(Deals!$I$2:$I$355,MATCH($C642,Deals!$A$2:$A$355,0))=0,"",INDEX(Deals!$I$2:$I$355,MATCH($C642,Deals!$A$2:$A$355,0))),""))</f>
        <v/>
      </c>
      <c r="M642" s="22">
        <f>IF($C642="","",IFERROR(IF(INDEX(Deals!$J$2:$J$355,MATCH($C642,Deals!$A$2:$A$355,0))=0,"",INDEX(Deals!$J$2:$J$355,MATCH($C642,Deals!$A$2:$A$355,0))),""))</f>
        <v/>
      </c>
      <c r="N642" s="35">
        <f>IF($L642="",DATE(1900,1,1),$L642)</f>
        <v/>
      </c>
      <c r="O642" s="35">
        <f>IF($M642="",DATE(2100,12,31),$M642)</f>
        <v/>
      </c>
      <c r="P642" s="20" t="inlineStr"/>
      <c r="Q642" s="47" t="inlineStr"/>
      <c r="R642" s="16">
        <f>IF($C642="","",IFERROR(IF(INDEX(Deals!$U$2:$U$355,MATCH($C642,Deals!$A$2:$A$355,0))=0,"",INDEX(Deals!$U$2:$U$355,MATCH($C642,Deals!$A$2:$A$355,0))),""))</f>
        <v/>
      </c>
      <c r="S642" s="34">
        <f>IFERROR(IF($U642="",1,INDEX(Deals!$V$2:$V$355,MATCH($C642,Deals!$A$2:$A$355,0))),1)</f>
        <v/>
      </c>
      <c r="T642" s="34">
        <f>IFERROR(IF($U642="",1,INDEX(Deals!$W$2:$W$355,MATCH($C642,Deals!$A$2:$A$355,0))),1)</f>
        <v/>
      </c>
      <c r="U642" s="22">
        <f>IF($C642="","",IFERROR(IF(INDEX(Deals!$Y$2:$Y$355,MATCH($C642,Deals!$A$2:$A$355,0))=0,"",INDEX(Deals!$Y$2:$Y$355,MATCH($C642,Deals!$A$2:$A$355,0))),""))</f>
        <v/>
      </c>
      <c r="V642" s="35">
        <f>IF(OR($U642&lt;&gt;"",AND($AO642&gt;0,$L642&lt;&gt;"",$M642&lt;&gt;"")),$N642,DATE(1900,1,1))</f>
        <v/>
      </c>
      <c r="W642" s="35">
        <f>IF($U642&lt;&gt;"",$U642,IF(AND($AO642&gt;0,$L642&lt;&gt;"",$M642&lt;&gt;""),$O642,DATE(2100,12,31)))</f>
        <v/>
      </c>
      <c r="X642" s="32">
        <f>IF($U642="",$K642,$K642*$S642)</f>
        <v/>
      </c>
      <c r="Y642" s="35">
        <f>IF($U642="",DATE(2100,12,31),$U642+1)</f>
        <v/>
      </c>
      <c r="Z642" s="35">
        <f>IF($U642="",DATE(1900,1,1),$O642)</f>
        <v/>
      </c>
      <c r="AA642" s="32">
        <f>IF($U642="",0,$K642*$T642)</f>
        <v/>
      </c>
      <c r="AB642" s="21">
        <f>IF($C642="",0,IFERROR(INDEX(Deals!$AD$2:$AD$355,MATCH($C642,Deals!$A$2:$A$355,0)),0))</f>
        <v/>
      </c>
      <c r="AC642" s="32">
        <f>IF(Settings!$B$4="Yes",$I642*$AB642,$I642)</f>
        <v/>
      </c>
      <c r="AD642" s="22">
        <f>IF($C642="","",IFERROR(IF(INDEX(Deals!$AE$2:$AE$355,MATCH($C642,Deals!$A$2:$A$355,0))=0,"",INDEX(Deals!$AE$2:$AE$355,MATCH($C642,Deals!$A$2:$A$355,0))),""))</f>
        <v/>
      </c>
      <c r="AE642" s="22">
        <f>IF($C642="","",IFERROR(IF(INDEX(Deals!$AF$2:$AF$355,MATCH($C642,Deals!$A$2:$A$355,0))=0,"",INDEX(Deals!$AF$2:$AF$355,MATCH($C642,Deals!$A$2:$A$355,0))),""))</f>
        <v/>
      </c>
      <c r="AF642" s="35">
        <f>IF($AD642="",DATE(1900,1,1),$AD642)</f>
        <v/>
      </c>
      <c r="AG642" s="35">
        <f>IF($AE642="",DATE(2100,12,31),$AE642)</f>
        <v/>
      </c>
      <c r="AH642" s="22">
        <f>IF($C642="","",IFERROR(IF(INDEX(Deals!$AG$2:$AG$355,MATCH($C642,Deals!$A$2:$A$355,0))=0,"",INDEX(Deals!$AG$2:$AG$355,MATCH($C642,Deals!$A$2:$A$355,0))),""))</f>
        <v/>
      </c>
      <c r="AI642" s="35">
        <f>IF(OR($AH642&lt;&gt;"",AND($AO642&gt;0,$AD642&lt;&gt;"",$AE642&lt;&gt;"")),$AF642,DATE(1900,1,1))</f>
        <v/>
      </c>
      <c r="AJ642" s="35">
        <f>IF($AH642&lt;&gt;"",$AH642,IF(AND($AO642&gt;0,$AD642&lt;&gt;"",$AE642&lt;&gt;""),$AG642,DATE(2100,12,31)))</f>
        <v/>
      </c>
      <c r="AK642" s="32">
        <f>IF($AH642="",$AC642,$AC642*$S642)</f>
        <v/>
      </c>
      <c r="AL642" s="35">
        <f>IF($AH642="",DATE(2100,12,31),$AH642+1)</f>
        <v/>
      </c>
      <c r="AM642" s="35">
        <f>IF($AH642="",DATE(1900,1,1),$AG642)</f>
        <v/>
      </c>
      <c r="AN642" s="32">
        <f>IF($AH642="",0,$AC642*$T642)</f>
        <v/>
      </c>
      <c r="AO642" s="46">
        <f>IF($C642="",0,IFERROR(INDEX(Deals!$BD$2:$BD$355,MATCH($C642,Deals!$A$2:$A$355,0)),0))</f>
        <v/>
      </c>
      <c r="AP642" s="18">
        <f>IF($AO642=0,0,IFERROR(INDEX(Deals!$BJ$2:$BP$355,MATCH($C642,Deals!$A$2:$A$355,0),MATCH($F642,Deals!$BJ$1:$BP$1,0))/COUNTIFS(Assignments!$C$2:$C$769,$C642,Assignments!$F$2:$F$769,$F642,Assignments!$G$2:$G$769,"Active"),0))</f>
        <v/>
      </c>
    </row>
    <row r="643">
      <c r="A643" s="28" t="inlineStr">
        <is>
          <t>Yiyi</t>
        </is>
      </c>
      <c r="B643" s="16">
        <f>IF($A643="","",IFERROR(INDEX(Roster!$B$2:$B$40,MATCH($A643,Roster!$A$2:$A$40,0)),"?"))</f>
        <v/>
      </c>
      <c r="C643" s="28" t="inlineStr">
        <is>
          <t>Sunzia_3</t>
        </is>
      </c>
      <c r="D643" s="16">
        <f>IF($C643="","",IFERROR(IF(INDEX(Deals!$C$2:$C$355,MATCH($C643,Deals!$A$2:$A$355,0))=0,"",INDEX(Deals!$C$2:$C$355,MATCH($C643,Deals!$A$2:$A$355,0))),"?"))</f>
        <v/>
      </c>
      <c r="E643" s="16">
        <f>IF($C643="","",IFERROR(INDEX(Deals!$F$2:$F$355,MATCH($C643,Deals!$A$2:$A$355,0)),"?"))</f>
        <v/>
      </c>
      <c r="F643" s="28" t="inlineStr">
        <is>
          <t>Renewable Specialist</t>
        </is>
      </c>
      <c r="G643" s="28" t="inlineStr">
        <is>
          <t>Active</t>
        </is>
      </c>
      <c r="H643" s="31" t="n"/>
      <c r="I643" s="32">
        <f>IF(OR($A643="",$G643&lt;&gt;"Active"),0,IF($H643&lt;&gt;"",$H643,IF($AO643&gt;0,$AP643,IF(AND($R643&lt;&gt;"",IFERROR(INDEX(Templates!$B$3:$H$10,MATCH($R643,Templates!$A$3:$A$10,0),MATCH($F643,Templates!$B$2:$H$2,0)),0)&gt;0),INDEX(Templates!$B$3:$H$10,MATCH($R643,Templates!$A$3:$A$10,0),MATCH($F643,Templates!$B$2:$H$2,0)),IFERROR(INDEX(Settings!$B$8:$B$14,MATCH($F643,Settings!$A$8:$A$14,0)),0)))))</f>
        <v/>
      </c>
      <c r="J643" s="21">
        <f>IF($C643="",0,IFERROR(INDEX(Deals!$H$2:$H$355,MATCH($C643,Deals!$A$2:$A$355,0)),0))</f>
        <v/>
      </c>
      <c r="K643" s="32">
        <f>IF(Settings!$B$4="Yes",$I643*$J643,$I643)</f>
        <v/>
      </c>
      <c r="L643" s="22">
        <f>IF($C643="","",IFERROR(IF(INDEX(Deals!$I$2:$I$355,MATCH($C643,Deals!$A$2:$A$355,0))=0,"",INDEX(Deals!$I$2:$I$355,MATCH($C643,Deals!$A$2:$A$355,0))),""))</f>
        <v/>
      </c>
      <c r="M643" s="22">
        <f>IF($C643="","",IFERROR(IF(INDEX(Deals!$J$2:$J$355,MATCH($C643,Deals!$A$2:$A$355,0))=0,"",INDEX(Deals!$J$2:$J$355,MATCH($C643,Deals!$A$2:$A$355,0))),""))</f>
        <v/>
      </c>
      <c r="N643" s="35">
        <f>IF($L643="",DATE(1900,1,1),$L643)</f>
        <v/>
      </c>
      <c r="O643" s="35">
        <f>IF($M643="",DATE(2100,12,31),$M643)</f>
        <v/>
      </c>
      <c r="P643" s="20" t="inlineStr"/>
      <c r="Q643" s="47" t="inlineStr"/>
      <c r="R643" s="16">
        <f>IF($C643="","",IFERROR(IF(INDEX(Deals!$U$2:$U$355,MATCH($C643,Deals!$A$2:$A$355,0))=0,"",INDEX(Deals!$U$2:$U$355,MATCH($C643,Deals!$A$2:$A$355,0))),""))</f>
        <v/>
      </c>
      <c r="S643" s="34">
        <f>IFERROR(IF($U643="",1,INDEX(Deals!$V$2:$V$355,MATCH($C643,Deals!$A$2:$A$355,0))),1)</f>
        <v/>
      </c>
      <c r="T643" s="34">
        <f>IFERROR(IF($U643="",1,INDEX(Deals!$W$2:$W$355,MATCH($C643,Deals!$A$2:$A$355,0))),1)</f>
        <v/>
      </c>
      <c r="U643" s="22">
        <f>IF($C643="","",IFERROR(IF(INDEX(Deals!$Y$2:$Y$355,MATCH($C643,Deals!$A$2:$A$355,0))=0,"",INDEX(Deals!$Y$2:$Y$355,MATCH($C643,Deals!$A$2:$A$355,0))),""))</f>
        <v/>
      </c>
      <c r="V643" s="35">
        <f>IF(OR($U643&lt;&gt;"",AND($AO643&gt;0,$L643&lt;&gt;"",$M643&lt;&gt;"")),$N643,DATE(1900,1,1))</f>
        <v/>
      </c>
      <c r="W643" s="35">
        <f>IF($U643&lt;&gt;"",$U643,IF(AND($AO643&gt;0,$L643&lt;&gt;"",$M643&lt;&gt;""),$O643,DATE(2100,12,31)))</f>
        <v/>
      </c>
      <c r="X643" s="32">
        <f>IF($U643="",$K643,$K643*$S643)</f>
        <v/>
      </c>
      <c r="Y643" s="35">
        <f>IF($U643="",DATE(2100,12,31),$U643+1)</f>
        <v/>
      </c>
      <c r="Z643" s="35">
        <f>IF($U643="",DATE(1900,1,1),$O643)</f>
        <v/>
      </c>
      <c r="AA643" s="32">
        <f>IF($U643="",0,$K643*$T643)</f>
        <v/>
      </c>
      <c r="AB643" s="21">
        <f>IF($C643="",0,IFERROR(INDEX(Deals!$AD$2:$AD$355,MATCH($C643,Deals!$A$2:$A$355,0)),0))</f>
        <v/>
      </c>
      <c r="AC643" s="32">
        <f>IF(Settings!$B$4="Yes",$I643*$AB643,$I643)</f>
        <v/>
      </c>
      <c r="AD643" s="22">
        <f>IF($C643="","",IFERROR(IF(INDEX(Deals!$AE$2:$AE$355,MATCH($C643,Deals!$A$2:$A$355,0))=0,"",INDEX(Deals!$AE$2:$AE$355,MATCH($C643,Deals!$A$2:$A$355,0))),""))</f>
        <v/>
      </c>
      <c r="AE643" s="22">
        <f>IF($C643="","",IFERROR(IF(INDEX(Deals!$AF$2:$AF$355,MATCH($C643,Deals!$A$2:$A$355,0))=0,"",INDEX(Deals!$AF$2:$AF$355,MATCH($C643,Deals!$A$2:$A$355,0))),""))</f>
        <v/>
      </c>
      <c r="AF643" s="35">
        <f>IF($AD643="",DATE(1900,1,1),$AD643)</f>
        <v/>
      </c>
      <c r="AG643" s="35">
        <f>IF($AE643="",DATE(2100,12,31),$AE643)</f>
        <v/>
      </c>
      <c r="AH643" s="22">
        <f>IF($C643="","",IFERROR(IF(INDEX(Deals!$AG$2:$AG$355,MATCH($C643,Deals!$A$2:$A$355,0))=0,"",INDEX(Deals!$AG$2:$AG$355,MATCH($C643,Deals!$A$2:$A$355,0))),""))</f>
        <v/>
      </c>
      <c r="AI643" s="35">
        <f>IF(OR($AH643&lt;&gt;"",AND($AO643&gt;0,$AD643&lt;&gt;"",$AE643&lt;&gt;"")),$AF643,DATE(1900,1,1))</f>
        <v/>
      </c>
      <c r="AJ643" s="35">
        <f>IF($AH643&lt;&gt;"",$AH643,IF(AND($AO643&gt;0,$AD643&lt;&gt;"",$AE643&lt;&gt;""),$AG643,DATE(2100,12,31)))</f>
        <v/>
      </c>
      <c r="AK643" s="32">
        <f>IF($AH643="",$AC643,$AC643*$S643)</f>
        <v/>
      </c>
      <c r="AL643" s="35">
        <f>IF($AH643="",DATE(2100,12,31),$AH643+1)</f>
        <v/>
      </c>
      <c r="AM643" s="35">
        <f>IF($AH643="",DATE(1900,1,1),$AG643)</f>
        <v/>
      </c>
      <c r="AN643" s="32">
        <f>IF($AH643="",0,$AC643*$T643)</f>
        <v/>
      </c>
      <c r="AO643" s="46">
        <f>IF($C643="",0,IFERROR(INDEX(Deals!$BD$2:$BD$355,MATCH($C643,Deals!$A$2:$A$355,0)),0))</f>
        <v/>
      </c>
      <c r="AP643" s="18">
        <f>IF($AO643=0,0,IFERROR(INDEX(Deals!$BJ$2:$BP$355,MATCH($C643,Deals!$A$2:$A$355,0),MATCH($F643,Deals!$BJ$1:$BP$1,0))/COUNTIFS(Assignments!$C$2:$C$769,$C643,Assignments!$F$2:$F$769,$F643,Assignments!$G$2:$G$769,"Active"),0))</f>
        <v/>
      </c>
    </row>
    <row r="644">
      <c r="A644" s="28" t="inlineStr">
        <is>
          <t>Yiyi</t>
        </is>
      </c>
      <c r="B644" s="16">
        <f>IF($A644="","",IFERROR(INDEX(Roster!$B$2:$B$40,MATCH($A644,Roster!$A$2:$A$40,0)),"?"))</f>
        <v/>
      </c>
      <c r="C644" s="28" t="inlineStr">
        <is>
          <t>Tax_7</t>
        </is>
      </c>
      <c r="D644" s="16">
        <f>IF($C644="","",IFERROR(IF(INDEX(Deals!$C$2:$C$355,MATCH($C644,Deals!$A$2:$A$355,0))=0,"",INDEX(Deals!$C$2:$C$355,MATCH($C644,Deals!$A$2:$A$355,0))),"?"))</f>
        <v/>
      </c>
      <c r="E644" s="16">
        <f>IF($C644="","",IFERROR(INDEX(Deals!$F$2:$F$355,MATCH($C644,Deals!$A$2:$A$355,0)),"?"))</f>
        <v/>
      </c>
      <c r="F644" s="28" t="inlineStr">
        <is>
          <t>Renewable Specialist</t>
        </is>
      </c>
      <c r="G644" s="28" t="inlineStr">
        <is>
          <t>Active</t>
        </is>
      </c>
      <c r="H644" s="31" t="n"/>
      <c r="I644" s="32">
        <f>IF(OR($A644="",$G644&lt;&gt;"Active"),0,IF($H644&lt;&gt;"",$H644,IF($AO644&gt;0,$AP644,IF(AND($R644&lt;&gt;"",IFERROR(INDEX(Templates!$B$3:$H$10,MATCH($R644,Templates!$A$3:$A$10,0),MATCH($F644,Templates!$B$2:$H$2,0)),0)&gt;0),INDEX(Templates!$B$3:$H$10,MATCH($R644,Templates!$A$3:$A$10,0),MATCH($F644,Templates!$B$2:$H$2,0)),IFERROR(INDEX(Settings!$B$8:$B$14,MATCH($F644,Settings!$A$8:$A$14,0)),0)))))</f>
        <v/>
      </c>
      <c r="J644" s="21">
        <f>IF($C644="",0,IFERROR(INDEX(Deals!$H$2:$H$355,MATCH($C644,Deals!$A$2:$A$355,0)),0))</f>
        <v/>
      </c>
      <c r="K644" s="32">
        <f>IF(Settings!$B$4="Yes",$I644*$J644,$I644)</f>
        <v/>
      </c>
      <c r="L644" s="22">
        <f>IF($C644="","",IFERROR(IF(INDEX(Deals!$I$2:$I$355,MATCH($C644,Deals!$A$2:$A$355,0))=0,"",INDEX(Deals!$I$2:$I$355,MATCH($C644,Deals!$A$2:$A$355,0))),""))</f>
        <v/>
      </c>
      <c r="M644" s="22">
        <f>IF($C644="","",IFERROR(IF(INDEX(Deals!$J$2:$J$355,MATCH($C644,Deals!$A$2:$A$355,0))=0,"",INDEX(Deals!$J$2:$J$355,MATCH($C644,Deals!$A$2:$A$355,0))),""))</f>
        <v/>
      </c>
      <c r="N644" s="35">
        <f>IF($L644="",DATE(1900,1,1),$L644)</f>
        <v/>
      </c>
      <c r="O644" s="35">
        <f>IF($M644="",DATE(2100,12,31),$M644)</f>
        <v/>
      </c>
      <c r="P644" s="20" t="inlineStr"/>
      <c r="Q644" s="47" t="inlineStr"/>
      <c r="R644" s="16">
        <f>IF($C644="","",IFERROR(IF(INDEX(Deals!$U$2:$U$355,MATCH($C644,Deals!$A$2:$A$355,0))=0,"",INDEX(Deals!$U$2:$U$355,MATCH($C644,Deals!$A$2:$A$355,0))),""))</f>
        <v/>
      </c>
      <c r="S644" s="34">
        <f>IFERROR(IF($U644="",1,INDEX(Deals!$V$2:$V$355,MATCH($C644,Deals!$A$2:$A$355,0))),1)</f>
        <v/>
      </c>
      <c r="T644" s="34">
        <f>IFERROR(IF($U644="",1,INDEX(Deals!$W$2:$W$355,MATCH($C644,Deals!$A$2:$A$355,0))),1)</f>
        <v/>
      </c>
      <c r="U644" s="22">
        <f>IF($C644="","",IFERROR(IF(INDEX(Deals!$Y$2:$Y$355,MATCH($C644,Deals!$A$2:$A$355,0))=0,"",INDEX(Deals!$Y$2:$Y$355,MATCH($C644,Deals!$A$2:$A$355,0))),""))</f>
        <v/>
      </c>
      <c r="V644" s="35">
        <f>IF(OR($U644&lt;&gt;"",AND($AO644&gt;0,$L644&lt;&gt;"",$M644&lt;&gt;"")),$N644,DATE(1900,1,1))</f>
        <v/>
      </c>
      <c r="W644" s="35">
        <f>IF($U644&lt;&gt;"",$U644,IF(AND($AO644&gt;0,$L644&lt;&gt;"",$M644&lt;&gt;""),$O644,DATE(2100,12,31)))</f>
        <v/>
      </c>
      <c r="X644" s="32">
        <f>IF($U644="",$K644,$K644*$S644)</f>
        <v/>
      </c>
      <c r="Y644" s="35">
        <f>IF($U644="",DATE(2100,12,31),$U644+1)</f>
        <v/>
      </c>
      <c r="Z644" s="35">
        <f>IF($U644="",DATE(1900,1,1),$O644)</f>
        <v/>
      </c>
      <c r="AA644" s="32">
        <f>IF($U644="",0,$K644*$T644)</f>
        <v/>
      </c>
      <c r="AB644" s="21">
        <f>IF($C644="",0,IFERROR(INDEX(Deals!$AD$2:$AD$355,MATCH($C644,Deals!$A$2:$A$355,0)),0))</f>
        <v/>
      </c>
      <c r="AC644" s="32">
        <f>IF(Settings!$B$4="Yes",$I644*$AB644,$I644)</f>
        <v/>
      </c>
      <c r="AD644" s="22">
        <f>IF($C644="","",IFERROR(IF(INDEX(Deals!$AE$2:$AE$355,MATCH($C644,Deals!$A$2:$A$355,0))=0,"",INDEX(Deals!$AE$2:$AE$355,MATCH($C644,Deals!$A$2:$A$355,0))),""))</f>
        <v/>
      </c>
      <c r="AE644" s="22">
        <f>IF($C644="","",IFERROR(IF(INDEX(Deals!$AF$2:$AF$355,MATCH($C644,Deals!$A$2:$A$355,0))=0,"",INDEX(Deals!$AF$2:$AF$355,MATCH($C644,Deals!$A$2:$A$355,0))),""))</f>
        <v/>
      </c>
      <c r="AF644" s="35">
        <f>IF($AD644="",DATE(1900,1,1),$AD644)</f>
        <v/>
      </c>
      <c r="AG644" s="35">
        <f>IF($AE644="",DATE(2100,12,31),$AE644)</f>
        <v/>
      </c>
      <c r="AH644" s="22">
        <f>IF($C644="","",IFERROR(IF(INDEX(Deals!$AG$2:$AG$355,MATCH($C644,Deals!$A$2:$A$355,0))=0,"",INDEX(Deals!$AG$2:$AG$355,MATCH($C644,Deals!$A$2:$A$355,0))),""))</f>
        <v/>
      </c>
      <c r="AI644" s="35">
        <f>IF(OR($AH644&lt;&gt;"",AND($AO644&gt;0,$AD644&lt;&gt;"",$AE644&lt;&gt;"")),$AF644,DATE(1900,1,1))</f>
        <v/>
      </c>
      <c r="AJ644" s="35">
        <f>IF($AH644&lt;&gt;"",$AH644,IF(AND($AO644&gt;0,$AD644&lt;&gt;"",$AE644&lt;&gt;""),$AG644,DATE(2100,12,31)))</f>
        <v/>
      </c>
      <c r="AK644" s="32">
        <f>IF($AH644="",$AC644,$AC644*$S644)</f>
        <v/>
      </c>
      <c r="AL644" s="35">
        <f>IF($AH644="",DATE(2100,12,31),$AH644+1)</f>
        <v/>
      </c>
      <c r="AM644" s="35">
        <f>IF($AH644="",DATE(1900,1,1),$AG644)</f>
        <v/>
      </c>
      <c r="AN644" s="32">
        <f>IF($AH644="",0,$AC644*$T644)</f>
        <v/>
      </c>
      <c r="AO644" s="46">
        <f>IF($C644="",0,IFERROR(INDEX(Deals!$BD$2:$BD$355,MATCH($C644,Deals!$A$2:$A$355,0)),0))</f>
        <v/>
      </c>
      <c r="AP644" s="18">
        <f>IF($AO644=0,0,IFERROR(INDEX(Deals!$BJ$2:$BP$355,MATCH($C644,Deals!$A$2:$A$355,0),MATCH($F644,Deals!$BJ$1:$BP$1,0))/COUNTIFS(Assignments!$C$2:$C$769,$C644,Assignments!$F$2:$F$769,$F644,Assignments!$G$2:$G$769,"Active"),0))</f>
        <v/>
      </c>
    </row>
    <row r="645">
      <c r="A645" s="28" t="inlineStr">
        <is>
          <t>Yiyi</t>
        </is>
      </c>
      <c r="B645" s="16">
        <f>IF($A645="","",IFERROR(INDEX(Roster!$B$2:$B$40,MATCH($A645,Roster!$A$2:$A$40,0)),"?"))</f>
        <v/>
      </c>
      <c r="C645" s="28" t="inlineStr">
        <is>
          <t>TEP Tax_1</t>
        </is>
      </c>
      <c r="D645" s="16">
        <f>IF($C645="","",IFERROR(IF(INDEX(Deals!$C$2:$C$355,MATCH($C645,Deals!$A$2:$A$355,0))=0,"",INDEX(Deals!$C$2:$C$355,MATCH($C645,Deals!$A$2:$A$355,0))),"?"))</f>
        <v/>
      </c>
      <c r="E645" s="16">
        <f>IF($C645="","",IFERROR(INDEX(Deals!$F$2:$F$355,MATCH($C645,Deals!$A$2:$A$355,0)),"?"))</f>
        <v/>
      </c>
      <c r="F645" s="28" t="inlineStr">
        <is>
          <t>Renewable Specialist</t>
        </is>
      </c>
      <c r="G645" s="28" t="inlineStr">
        <is>
          <t>Active</t>
        </is>
      </c>
      <c r="H645" s="31" t="n"/>
      <c r="I645" s="32">
        <f>IF(OR($A645="",$G645&lt;&gt;"Active"),0,IF($H645&lt;&gt;"",$H645,IF($AO645&gt;0,$AP645,IF(AND($R645&lt;&gt;"",IFERROR(INDEX(Templates!$B$3:$H$10,MATCH($R645,Templates!$A$3:$A$10,0),MATCH($F645,Templates!$B$2:$H$2,0)),0)&gt;0),INDEX(Templates!$B$3:$H$10,MATCH($R645,Templates!$A$3:$A$10,0),MATCH($F645,Templates!$B$2:$H$2,0)),IFERROR(INDEX(Settings!$B$8:$B$14,MATCH($F645,Settings!$A$8:$A$14,0)),0)))))</f>
        <v/>
      </c>
      <c r="J645" s="21">
        <f>IF($C645="",0,IFERROR(INDEX(Deals!$H$2:$H$355,MATCH($C645,Deals!$A$2:$A$355,0)),0))</f>
        <v/>
      </c>
      <c r="K645" s="32">
        <f>IF(Settings!$B$4="Yes",$I645*$J645,$I645)</f>
        <v/>
      </c>
      <c r="L645" s="22">
        <f>IF($C645="","",IFERROR(IF(INDEX(Deals!$I$2:$I$355,MATCH($C645,Deals!$A$2:$A$355,0))=0,"",INDEX(Deals!$I$2:$I$355,MATCH($C645,Deals!$A$2:$A$355,0))),""))</f>
        <v/>
      </c>
      <c r="M645" s="22">
        <f>IF($C645="","",IFERROR(IF(INDEX(Deals!$J$2:$J$355,MATCH($C645,Deals!$A$2:$A$355,0))=0,"",INDEX(Deals!$J$2:$J$355,MATCH($C645,Deals!$A$2:$A$355,0))),""))</f>
        <v/>
      </c>
      <c r="N645" s="35">
        <f>IF($L645="",DATE(1900,1,1),$L645)</f>
        <v/>
      </c>
      <c r="O645" s="35">
        <f>IF($M645="",DATE(2100,12,31),$M645)</f>
        <v/>
      </c>
      <c r="P645" s="20" t="inlineStr"/>
      <c r="Q645" s="47" t="inlineStr"/>
      <c r="R645" s="16">
        <f>IF($C645="","",IFERROR(IF(INDEX(Deals!$U$2:$U$355,MATCH($C645,Deals!$A$2:$A$355,0))=0,"",INDEX(Deals!$U$2:$U$355,MATCH($C645,Deals!$A$2:$A$355,0))),""))</f>
        <v/>
      </c>
      <c r="S645" s="34">
        <f>IFERROR(IF($U645="",1,INDEX(Deals!$V$2:$V$355,MATCH($C645,Deals!$A$2:$A$355,0))),1)</f>
        <v/>
      </c>
      <c r="T645" s="34">
        <f>IFERROR(IF($U645="",1,INDEX(Deals!$W$2:$W$355,MATCH($C645,Deals!$A$2:$A$355,0))),1)</f>
        <v/>
      </c>
      <c r="U645" s="22">
        <f>IF($C645="","",IFERROR(IF(INDEX(Deals!$Y$2:$Y$355,MATCH($C645,Deals!$A$2:$A$355,0))=0,"",INDEX(Deals!$Y$2:$Y$355,MATCH($C645,Deals!$A$2:$A$355,0))),""))</f>
        <v/>
      </c>
      <c r="V645" s="35">
        <f>IF(OR($U645&lt;&gt;"",AND($AO645&gt;0,$L645&lt;&gt;"",$M645&lt;&gt;"")),$N645,DATE(1900,1,1))</f>
        <v/>
      </c>
      <c r="W645" s="35">
        <f>IF($U645&lt;&gt;"",$U645,IF(AND($AO645&gt;0,$L645&lt;&gt;"",$M645&lt;&gt;""),$O645,DATE(2100,12,31)))</f>
        <v/>
      </c>
      <c r="X645" s="32">
        <f>IF($U645="",$K645,$K645*$S645)</f>
        <v/>
      </c>
      <c r="Y645" s="35">
        <f>IF($U645="",DATE(2100,12,31),$U645+1)</f>
        <v/>
      </c>
      <c r="Z645" s="35">
        <f>IF($U645="",DATE(1900,1,1),$O645)</f>
        <v/>
      </c>
      <c r="AA645" s="32">
        <f>IF($U645="",0,$K645*$T645)</f>
        <v/>
      </c>
      <c r="AB645" s="21">
        <f>IF($C645="",0,IFERROR(INDEX(Deals!$AD$2:$AD$355,MATCH($C645,Deals!$A$2:$A$355,0)),0))</f>
        <v/>
      </c>
      <c r="AC645" s="32">
        <f>IF(Settings!$B$4="Yes",$I645*$AB645,$I645)</f>
        <v/>
      </c>
      <c r="AD645" s="22">
        <f>IF($C645="","",IFERROR(IF(INDEX(Deals!$AE$2:$AE$355,MATCH($C645,Deals!$A$2:$A$355,0))=0,"",INDEX(Deals!$AE$2:$AE$355,MATCH($C645,Deals!$A$2:$A$355,0))),""))</f>
        <v/>
      </c>
      <c r="AE645" s="22">
        <f>IF($C645="","",IFERROR(IF(INDEX(Deals!$AF$2:$AF$355,MATCH($C645,Deals!$A$2:$A$355,0))=0,"",INDEX(Deals!$AF$2:$AF$355,MATCH($C645,Deals!$A$2:$A$355,0))),""))</f>
        <v/>
      </c>
      <c r="AF645" s="35">
        <f>IF($AD645="",DATE(1900,1,1),$AD645)</f>
        <v/>
      </c>
      <c r="AG645" s="35">
        <f>IF($AE645="",DATE(2100,12,31),$AE645)</f>
        <v/>
      </c>
      <c r="AH645" s="22">
        <f>IF($C645="","",IFERROR(IF(INDEX(Deals!$AG$2:$AG$355,MATCH($C645,Deals!$A$2:$A$355,0))=0,"",INDEX(Deals!$AG$2:$AG$355,MATCH($C645,Deals!$A$2:$A$355,0))),""))</f>
        <v/>
      </c>
      <c r="AI645" s="35">
        <f>IF(OR($AH645&lt;&gt;"",AND($AO645&gt;0,$AD645&lt;&gt;"",$AE645&lt;&gt;"")),$AF645,DATE(1900,1,1))</f>
        <v/>
      </c>
      <c r="AJ645" s="35">
        <f>IF($AH645&lt;&gt;"",$AH645,IF(AND($AO645&gt;0,$AD645&lt;&gt;"",$AE645&lt;&gt;""),$AG645,DATE(2100,12,31)))</f>
        <v/>
      </c>
      <c r="AK645" s="32">
        <f>IF($AH645="",$AC645,$AC645*$S645)</f>
        <v/>
      </c>
      <c r="AL645" s="35">
        <f>IF($AH645="",DATE(2100,12,31),$AH645+1)</f>
        <v/>
      </c>
      <c r="AM645" s="35">
        <f>IF($AH645="",DATE(1900,1,1),$AG645)</f>
        <v/>
      </c>
      <c r="AN645" s="32">
        <f>IF($AH645="",0,$AC645*$T645)</f>
        <v/>
      </c>
      <c r="AO645" s="46">
        <f>IF($C645="",0,IFERROR(INDEX(Deals!$BD$2:$BD$355,MATCH($C645,Deals!$A$2:$A$355,0)),0))</f>
        <v/>
      </c>
      <c r="AP645" s="18">
        <f>IF($AO645=0,0,IFERROR(INDEX(Deals!$BJ$2:$BP$355,MATCH($C645,Deals!$A$2:$A$355,0),MATCH($F645,Deals!$BJ$1:$BP$1,0))/COUNTIFS(Assignments!$C$2:$C$769,$C645,Assignments!$F$2:$F$769,$F645,Assignments!$G$2:$G$769,"Active"),0))</f>
        <v/>
      </c>
    </row>
    <row r="646">
      <c r="A646" s="28" t="inlineStr">
        <is>
          <t>Yiyi</t>
        </is>
      </c>
      <c r="B646" s="16">
        <f>IF($A646="","",IFERROR(INDEX(Roster!$B$2:$B$40,MATCH($A646,Roster!$A$2:$A$40,0)),"?"))</f>
        <v/>
      </c>
      <c r="C646" s="28" t="inlineStr">
        <is>
          <t>Turtle_1</t>
        </is>
      </c>
      <c r="D646" s="16">
        <f>IF($C646="","",IFERROR(IF(INDEX(Deals!$C$2:$C$355,MATCH($C646,Deals!$A$2:$A$355,0))=0,"",INDEX(Deals!$C$2:$C$355,MATCH($C646,Deals!$A$2:$A$355,0))),"?"))</f>
        <v/>
      </c>
      <c r="E646" s="16">
        <f>IF($C646="","",IFERROR(INDEX(Deals!$F$2:$F$355,MATCH($C646,Deals!$A$2:$A$355,0)),"?"))</f>
        <v/>
      </c>
      <c r="F646" s="28" t="inlineStr">
        <is>
          <t>Renewable Specialist</t>
        </is>
      </c>
      <c r="G646" s="28" t="inlineStr">
        <is>
          <t>Active</t>
        </is>
      </c>
      <c r="H646" s="31" t="n"/>
      <c r="I646" s="32">
        <f>IF(OR($A646="",$G646&lt;&gt;"Active"),0,IF($H646&lt;&gt;"",$H646,IF($AO646&gt;0,$AP646,IF(AND($R646&lt;&gt;"",IFERROR(INDEX(Templates!$B$3:$H$10,MATCH($R646,Templates!$A$3:$A$10,0),MATCH($F646,Templates!$B$2:$H$2,0)),0)&gt;0),INDEX(Templates!$B$3:$H$10,MATCH($R646,Templates!$A$3:$A$10,0),MATCH($F646,Templates!$B$2:$H$2,0)),IFERROR(INDEX(Settings!$B$8:$B$14,MATCH($F646,Settings!$A$8:$A$14,0)),0)))))</f>
        <v/>
      </c>
      <c r="J646" s="21">
        <f>IF($C646="",0,IFERROR(INDEX(Deals!$H$2:$H$355,MATCH($C646,Deals!$A$2:$A$355,0)),0))</f>
        <v/>
      </c>
      <c r="K646" s="32">
        <f>IF(Settings!$B$4="Yes",$I646*$J646,$I646)</f>
        <v/>
      </c>
      <c r="L646" s="22">
        <f>IF($C646="","",IFERROR(IF(INDEX(Deals!$I$2:$I$355,MATCH($C646,Deals!$A$2:$A$355,0))=0,"",INDEX(Deals!$I$2:$I$355,MATCH($C646,Deals!$A$2:$A$355,0))),""))</f>
        <v/>
      </c>
      <c r="M646" s="22">
        <f>IF($C646="","",IFERROR(IF(INDEX(Deals!$J$2:$J$355,MATCH($C646,Deals!$A$2:$A$355,0))=0,"",INDEX(Deals!$J$2:$J$355,MATCH($C646,Deals!$A$2:$A$355,0))),""))</f>
        <v/>
      </c>
      <c r="N646" s="35">
        <f>IF($L646="",DATE(1900,1,1),$L646)</f>
        <v/>
      </c>
      <c r="O646" s="35">
        <f>IF($M646="",DATE(2100,12,31),$M646)</f>
        <v/>
      </c>
      <c r="P646" s="20" t="inlineStr"/>
      <c r="Q646" s="47" t="inlineStr"/>
      <c r="R646" s="16">
        <f>IF($C646="","",IFERROR(IF(INDEX(Deals!$U$2:$U$355,MATCH($C646,Deals!$A$2:$A$355,0))=0,"",INDEX(Deals!$U$2:$U$355,MATCH($C646,Deals!$A$2:$A$355,0))),""))</f>
        <v/>
      </c>
      <c r="S646" s="34">
        <f>IFERROR(IF($U646="",1,INDEX(Deals!$V$2:$V$355,MATCH($C646,Deals!$A$2:$A$355,0))),1)</f>
        <v/>
      </c>
      <c r="T646" s="34">
        <f>IFERROR(IF($U646="",1,INDEX(Deals!$W$2:$W$355,MATCH($C646,Deals!$A$2:$A$355,0))),1)</f>
        <v/>
      </c>
      <c r="U646" s="22">
        <f>IF($C646="","",IFERROR(IF(INDEX(Deals!$Y$2:$Y$355,MATCH($C646,Deals!$A$2:$A$355,0))=0,"",INDEX(Deals!$Y$2:$Y$355,MATCH($C646,Deals!$A$2:$A$355,0))),""))</f>
        <v/>
      </c>
      <c r="V646" s="35">
        <f>IF(OR($U646&lt;&gt;"",AND($AO646&gt;0,$L646&lt;&gt;"",$M646&lt;&gt;"")),$N646,DATE(1900,1,1))</f>
        <v/>
      </c>
      <c r="W646" s="35">
        <f>IF($U646&lt;&gt;"",$U646,IF(AND($AO646&gt;0,$L646&lt;&gt;"",$M646&lt;&gt;""),$O646,DATE(2100,12,31)))</f>
        <v/>
      </c>
      <c r="X646" s="32">
        <f>IF($U646="",$K646,$K646*$S646)</f>
        <v/>
      </c>
      <c r="Y646" s="35">
        <f>IF($U646="",DATE(2100,12,31),$U646+1)</f>
        <v/>
      </c>
      <c r="Z646" s="35">
        <f>IF($U646="",DATE(1900,1,1),$O646)</f>
        <v/>
      </c>
      <c r="AA646" s="32">
        <f>IF($U646="",0,$K646*$T646)</f>
        <v/>
      </c>
      <c r="AB646" s="21">
        <f>IF($C646="",0,IFERROR(INDEX(Deals!$AD$2:$AD$355,MATCH($C646,Deals!$A$2:$A$355,0)),0))</f>
        <v/>
      </c>
      <c r="AC646" s="32">
        <f>IF(Settings!$B$4="Yes",$I646*$AB646,$I646)</f>
        <v/>
      </c>
      <c r="AD646" s="22">
        <f>IF($C646="","",IFERROR(IF(INDEX(Deals!$AE$2:$AE$355,MATCH($C646,Deals!$A$2:$A$355,0))=0,"",INDEX(Deals!$AE$2:$AE$355,MATCH($C646,Deals!$A$2:$A$355,0))),""))</f>
        <v/>
      </c>
      <c r="AE646" s="22">
        <f>IF($C646="","",IFERROR(IF(INDEX(Deals!$AF$2:$AF$355,MATCH($C646,Deals!$A$2:$A$355,0))=0,"",INDEX(Deals!$AF$2:$AF$355,MATCH($C646,Deals!$A$2:$A$355,0))),""))</f>
        <v/>
      </c>
      <c r="AF646" s="35">
        <f>IF($AD646="",DATE(1900,1,1),$AD646)</f>
        <v/>
      </c>
      <c r="AG646" s="35">
        <f>IF($AE646="",DATE(2100,12,31),$AE646)</f>
        <v/>
      </c>
      <c r="AH646" s="22">
        <f>IF($C646="","",IFERROR(IF(INDEX(Deals!$AG$2:$AG$355,MATCH($C646,Deals!$A$2:$A$355,0))=0,"",INDEX(Deals!$AG$2:$AG$355,MATCH($C646,Deals!$A$2:$A$355,0))),""))</f>
        <v/>
      </c>
      <c r="AI646" s="35">
        <f>IF(OR($AH646&lt;&gt;"",AND($AO646&gt;0,$AD646&lt;&gt;"",$AE646&lt;&gt;"")),$AF646,DATE(1900,1,1))</f>
        <v/>
      </c>
      <c r="AJ646" s="35">
        <f>IF($AH646&lt;&gt;"",$AH646,IF(AND($AO646&gt;0,$AD646&lt;&gt;"",$AE646&lt;&gt;""),$AG646,DATE(2100,12,31)))</f>
        <v/>
      </c>
      <c r="AK646" s="32">
        <f>IF($AH646="",$AC646,$AC646*$S646)</f>
        <v/>
      </c>
      <c r="AL646" s="35">
        <f>IF($AH646="",DATE(2100,12,31),$AH646+1)</f>
        <v/>
      </c>
      <c r="AM646" s="35">
        <f>IF($AH646="",DATE(1900,1,1),$AG646)</f>
        <v/>
      </c>
      <c r="AN646" s="32">
        <f>IF($AH646="",0,$AC646*$T646)</f>
        <v/>
      </c>
      <c r="AO646" s="46">
        <f>IF($C646="",0,IFERROR(INDEX(Deals!$BD$2:$BD$355,MATCH($C646,Deals!$A$2:$A$355,0)),0))</f>
        <v/>
      </c>
      <c r="AP646" s="18">
        <f>IF($AO646=0,0,IFERROR(INDEX(Deals!$BJ$2:$BP$355,MATCH($C646,Deals!$A$2:$A$355,0),MATCH($F646,Deals!$BJ$1:$BP$1,0))/COUNTIFS(Assignments!$C$2:$C$769,$C646,Assignments!$F$2:$F$769,$F646,Assignments!$G$2:$G$769,"Active"),0))</f>
        <v/>
      </c>
    </row>
    <row r="647">
      <c r="A647" s="28" t="inlineStr">
        <is>
          <t>Yiyi</t>
        </is>
      </c>
      <c r="B647" s="16">
        <f>IF($A647="","",IFERROR(INDEX(Roster!$B$2:$B$40,MATCH($A647,Roster!$A$2:$A$40,0)),"?"))</f>
        <v/>
      </c>
      <c r="C647" s="28" t="inlineStr">
        <is>
          <t>Ulysses_2</t>
        </is>
      </c>
      <c r="D647" s="16">
        <f>IF($C647="","",IFERROR(IF(INDEX(Deals!$C$2:$C$355,MATCH($C647,Deals!$A$2:$A$355,0))=0,"",INDEX(Deals!$C$2:$C$355,MATCH($C647,Deals!$A$2:$A$355,0))),"?"))</f>
        <v/>
      </c>
      <c r="E647" s="16">
        <f>IF($C647="","",IFERROR(INDEX(Deals!$F$2:$F$355,MATCH($C647,Deals!$A$2:$A$355,0)),"?"))</f>
        <v/>
      </c>
      <c r="F647" s="28" t="inlineStr">
        <is>
          <t>Renewable Specialist</t>
        </is>
      </c>
      <c r="G647" s="28" t="inlineStr">
        <is>
          <t>Active</t>
        </is>
      </c>
      <c r="H647" s="31" t="n"/>
      <c r="I647" s="32">
        <f>IF(OR($A647="",$G647&lt;&gt;"Active"),0,IF($H647&lt;&gt;"",$H647,IF($AO647&gt;0,$AP647,IF(AND($R647&lt;&gt;"",IFERROR(INDEX(Templates!$B$3:$H$10,MATCH($R647,Templates!$A$3:$A$10,0),MATCH($F647,Templates!$B$2:$H$2,0)),0)&gt;0),INDEX(Templates!$B$3:$H$10,MATCH($R647,Templates!$A$3:$A$10,0),MATCH($F647,Templates!$B$2:$H$2,0)),IFERROR(INDEX(Settings!$B$8:$B$14,MATCH($F647,Settings!$A$8:$A$14,0)),0)))))</f>
        <v/>
      </c>
      <c r="J647" s="21">
        <f>IF($C647="",0,IFERROR(INDEX(Deals!$H$2:$H$355,MATCH($C647,Deals!$A$2:$A$355,0)),0))</f>
        <v/>
      </c>
      <c r="K647" s="32">
        <f>IF(Settings!$B$4="Yes",$I647*$J647,$I647)</f>
        <v/>
      </c>
      <c r="L647" s="22">
        <f>IF($C647="","",IFERROR(IF(INDEX(Deals!$I$2:$I$355,MATCH($C647,Deals!$A$2:$A$355,0))=0,"",INDEX(Deals!$I$2:$I$355,MATCH($C647,Deals!$A$2:$A$355,0))),""))</f>
        <v/>
      </c>
      <c r="M647" s="22">
        <f>IF($C647="","",IFERROR(IF(INDEX(Deals!$J$2:$J$355,MATCH($C647,Deals!$A$2:$A$355,0))=0,"",INDEX(Deals!$J$2:$J$355,MATCH($C647,Deals!$A$2:$A$355,0))),""))</f>
        <v/>
      </c>
      <c r="N647" s="35">
        <f>IF($L647="",DATE(1900,1,1),$L647)</f>
        <v/>
      </c>
      <c r="O647" s="35">
        <f>IF($M647="",DATE(2100,12,31),$M647)</f>
        <v/>
      </c>
      <c r="P647" s="20" t="inlineStr"/>
      <c r="Q647" s="47" t="inlineStr"/>
      <c r="R647" s="16">
        <f>IF($C647="","",IFERROR(IF(INDEX(Deals!$U$2:$U$355,MATCH($C647,Deals!$A$2:$A$355,0))=0,"",INDEX(Deals!$U$2:$U$355,MATCH($C647,Deals!$A$2:$A$355,0))),""))</f>
        <v/>
      </c>
      <c r="S647" s="34">
        <f>IFERROR(IF($U647="",1,INDEX(Deals!$V$2:$V$355,MATCH($C647,Deals!$A$2:$A$355,0))),1)</f>
        <v/>
      </c>
      <c r="T647" s="34">
        <f>IFERROR(IF($U647="",1,INDEX(Deals!$W$2:$W$355,MATCH($C647,Deals!$A$2:$A$355,0))),1)</f>
        <v/>
      </c>
      <c r="U647" s="22">
        <f>IF($C647="","",IFERROR(IF(INDEX(Deals!$Y$2:$Y$355,MATCH($C647,Deals!$A$2:$A$355,0))=0,"",INDEX(Deals!$Y$2:$Y$355,MATCH($C647,Deals!$A$2:$A$355,0))),""))</f>
        <v/>
      </c>
      <c r="V647" s="35">
        <f>IF(OR($U647&lt;&gt;"",AND($AO647&gt;0,$L647&lt;&gt;"",$M647&lt;&gt;"")),$N647,DATE(1900,1,1))</f>
        <v/>
      </c>
      <c r="W647" s="35">
        <f>IF($U647&lt;&gt;"",$U647,IF(AND($AO647&gt;0,$L647&lt;&gt;"",$M647&lt;&gt;""),$O647,DATE(2100,12,31)))</f>
        <v/>
      </c>
      <c r="X647" s="32">
        <f>IF($U647="",$K647,$K647*$S647)</f>
        <v/>
      </c>
      <c r="Y647" s="35">
        <f>IF($U647="",DATE(2100,12,31),$U647+1)</f>
        <v/>
      </c>
      <c r="Z647" s="35">
        <f>IF($U647="",DATE(1900,1,1),$O647)</f>
        <v/>
      </c>
      <c r="AA647" s="32">
        <f>IF($U647="",0,$K647*$T647)</f>
        <v/>
      </c>
      <c r="AB647" s="21">
        <f>IF($C647="",0,IFERROR(INDEX(Deals!$AD$2:$AD$355,MATCH($C647,Deals!$A$2:$A$355,0)),0))</f>
        <v/>
      </c>
      <c r="AC647" s="32">
        <f>IF(Settings!$B$4="Yes",$I647*$AB647,$I647)</f>
        <v/>
      </c>
      <c r="AD647" s="22">
        <f>IF($C647="","",IFERROR(IF(INDEX(Deals!$AE$2:$AE$355,MATCH($C647,Deals!$A$2:$A$355,0))=0,"",INDEX(Deals!$AE$2:$AE$355,MATCH($C647,Deals!$A$2:$A$355,0))),""))</f>
        <v/>
      </c>
      <c r="AE647" s="22">
        <f>IF($C647="","",IFERROR(IF(INDEX(Deals!$AF$2:$AF$355,MATCH($C647,Deals!$A$2:$A$355,0))=0,"",INDEX(Deals!$AF$2:$AF$355,MATCH($C647,Deals!$A$2:$A$355,0))),""))</f>
        <v/>
      </c>
      <c r="AF647" s="35">
        <f>IF($AD647="",DATE(1900,1,1),$AD647)</f>
        <v/>
      </c>
      <c r="AG647" s="35">
        <f>IF($AE647="",DATE(2100,12,31),$AE647)</f>
        <v/>
      </c>
      <c r="AH647" s="22">
        <f>IF($C647="","",IFERROR(IF(INDEX(Deals!$AG$2:$AG$355,MATCH($C647,Deals!$A$2:$A$355,0))=0,"",INDEX(Deals!$AG$2:$AG$355,MATCH($C647,Deals!$A$2:$A$355,0))),""))</f>
        <v/>
      </c>
      <c r="AI647" s="35">
        <f>IF(OR($AH647&lt;&gt;"",AND($AO647&gt;0,$AD647&lt;&gt;"",$AE647&lt;&gt;"")),$AF647,DATE(1900,1,1))</f>
        <v/>
      </c>
      <c r="AJ647" s="35">
        <f>IF($AH647&lt;&gt;"",$AH647,IF(AND($AO647&gt;0,$AD647&lt;&gt;"",$AE647&lt;&gt;""),$AG647,DATE(2100,12,31)))</f>
        <v/>
      </c>
      <c r="AK647" s="32">
        <f>IF($AH647="",$AC647,$AC647*$S647)</f>
        <v/>
      </c>
      <c r="AL647" s="35">
        <f>IF($AH647="",DATE(2100,12,31),$AH647+1)</f>
        <v/>
      </c>
      <c r="AM647" s="35">
        <f>IF($AH647="",DATE(1900,1,1),$AG647)</f>
        <v/>
      </c>
      <c r="AN647" s="32">
        <f>IF($AH647="",0,$AC647*$T647)</f>
        <v/>
      </c>
      <c r="AO647" s="46">
        <f>IF($C647="",0,IFERROR(INDEX(Deals!$BD$2:$BD$355,MATCH($C647,Deals!$A$2:$A$355,0)),0))</f>
        <v/>
      </c>
      <c r="AP647" s="18">
        <f>IF($AO647=0,0,IFERROR(INDEX(Deals!$BJ$2:$BP$355,MATCH($C647,Deals!$A$2:$A$355,0),MATCH($F647,Deals!$BJ$1:$BP$1,0))/COUNTIFS(Assignments!$C$2:$C$769,$C647,Assignments!$F$2:$F$769,$F647,Assignments!$G$2:$G$769,"Active"),0))</f>
        <v/>
      </c>
    </row>
    <row r="648">
      <c r="A648" s="28" t="inlineStr">
        <is>
          <t>Yiyi</t>
        </is>
      </c>
      <c r="B648" s="16">
        <f>IF($A648="","",IFERROR(INDEX(Roster!$B$2:$B$40,MATCH($A648,Roster!$A$2:$A$40,0)),"?"))</f>
        <v/>
      </c>
      <c r="C648" s="28" t="inlineStr">
        <is>
          <t>Upstream_3</t>
        </is>
      </c>
      <c r="D648" s="16">
        <f>IF($C648="","",IFERROR(IF(INDEX(Deals!$C$2:$C$355,MATCH($C648,Deals!$A$2:$A$355,0))=0,"",INDEX(Deals!$C$2:$C$355,MATCH($C648,Deals!$A$2:$A$355,0))),"?"))</f>
        <v/>
      </c>
      <c r="E648" s="16">
        <f>IF($C648="","",IFERROR(INDEX(Deals!$F$2:$F$355,MATCH($C648,Deals!$A$2:$A$355,0)),"?"))</f>
        <v/>
      </c>
      <c r="F648" s="28" t="inlineStr">
        <is>
          <t>Renewable Specialist</t>
        </is>
      </c>
      <c r="G648" s="28" t="inlineStr">
        <is>
          <t>Active</t>
        </is>
      </c>
      <c r="H648" s="31" t="n"/>
      <c r="I648" s="32">
        <f>IF(OR($A648="",$G648&lt;&gt;"Active"),0,IF($H648&lt;&gt;"",$H648,IF($AO648&gt;0,$AP648,IF(AND($R648&lt;&gt;"",IFERROR(INDEX(Templates!$B$3:$H$10,MATCH($R648,Templates!$A$3:$A$10,0),MATCH($F648,Templates!$B$2:$H$2,0)),0)&gt;0),INDEX(Templates!$B$3:$H$10,MATCH($R648,Templates!$A$3:$A$10,0),MATCH($F648,Templates!$B$2:$H$2,0)),IFERROR(INDEX(Settings!$B$8:$B$14,MATCH($F648,Settings!$A$8:$A$14,0)),0)))))</f>
        <v/>
      </c>
      <c r="J648" s="21">
        <f>IF($C648="",0,IFERROR(INDEX(Deals!$H$2:$H$355,MATCH($C648,Deals!$A$2:$A$355,0)),0))</f>
        <v/>
      </c>
      <c r="K648" s="32">
        <f>IF(Settings!$B$4="Yes",$I648*$J648,$I648)</f>
        <v/>
      </c>
      <c r="L648" s="22">
        <f>IF($C648="","",IFERROR(IF(INDEX(Deals!$I$2:$I$355,MATCH($C648,Deals!$A$2:$A$355,0))=0,"",INDEX(Deals!$I$2:$I$355,MATCH($C648,Deals!$A$2:$A$355,0))),""))</f>
        <v/>
      </c>
      <c r="M648" s="22">
        <f>IF($C648="","",IFERROR(IF(INDEX(Deals!$J$2:$J$355,MATCH($C648,Deals!$A$2:$A$355,0))=0,"",INDEX(Deals!$J$2:$J$355,MATCH($C648,Deals!$A$2:$A$355,0))),""))</f>
        <v/>
      </c>
      <c r="N648" s="35">
        <f>IF($L648="",DATE(1900,1,1),$L648)</f>
        <v/>
      </c>
      <c r="O648" s="35">
        <f>IF($M648="",DATE(2100,12,31),$M648)</f>
        <v/>
      </c>
      <c r="P648" s="20" t="inlineStr"/>
      <c r="Q648" s="47" t="inlineStr"/>
      <c r="R648" s="16">
        <f>IF($C648="","",IFERROR(IF(INDEX(Deals!$U$2:$U$355,MATCH($C648,Deals!$A$2:$A$355,0))=0,"",INDEX(Deals!$U$2:$U$355,MATCH($C648,Deals!$A$2:$A$355,0))),""))</f>
        <v/>
      </c>
      <c r="S648" s="34">
        <f>IFERROR(IF($U648="",1,INDEX(Deals!$V$2:$V$355,MATCH($C648,Deals!$A$2:$A$355,0))),1)</f>
        <v/>
      </c>
      <c r="T648" s="34">
        <f>IFERROR(IF($U648="",1,INDEX(Deals!$W$2:$W$355,MATCH($C648,Deals!$A$2:$A$355,0))),1)</f>
        <v/>
      </c>
      <c r="U648" s="22">
        <f>IF($C648="","",IFERROR(IF(INDEX(Deals!$Y$2:$Y$355,MATCH($C648,Deals!$A$2:$A$355,0))=0,"",INDEX(Deals!$Y$2:$Y$355,MATCH($C648,Deals!$A$2:$A$355,0))),""))</f>
        <v/>
      </c>
      <c r="V648" s="35">
        <f>IF(OR($U648&lt;&gt;"",AND($AO648&gt;0,$L648&lt;&gt;"",$M648&lt;&gt;"")),$N648,DATE(1900,1,1))</f>
        <v/>
      </c>
      <c r="W648" s="35">
        <f>IF($U648&lt;&gt;"",$U648,IF(AND($AO648&gt;0,$L648&lt;&gt;"",$M648&lt;&gt;""),$O648,DATE(2100,12,31)))</f>
        <v/>
      </c>
      <c r="X648" s="32">
        <f>IF($U648="",$K648,$K648*$S648)</f>
        <v/>
      </c>
      <c r="Y648" s="35">
        <f>IF($U648="",DATE(2100,12,31),$U648+1)</f>
        <v/>
      </c>
      <c r="Z648" s="35">
        <f>IF($U648="",DATE(1900,1,1),$O648)</f>
        <v/>
      </c>
      <c r="AA648" s="32">
        <f>IF($U648="",0,$K648*$T648)</f>
        <v/>
      </c>
      <c r="AB648" s="21">
        <f>IF($C648="",0,IFERROR(INDEX(Deals!$AD$2:$AD$355,MATCH($C648,Deals!$A$2:$A$355,0)),0))</f>
        <v/>
      </c>
      <c r="AC648" s="32">
        <f>IF(Settings!$B$4="Yes",$I648*$AB648,$I648)</f>
        <v/>
      </c>
      <c r="AD648" s="22">
        <f>IF($C648="","",IFERROR(IF(INDEX(Deals!$AE$2:$AE$355,MATCH($C648,Deals!$A$2:$A$355,0))=0,"",INDEX(Deals!$AE$2:$AE$355,MATCH($C648,Deals!$A$2:$A$355,0))),""))</f>
        <v/>
      </c>
      <c r="AE648" s="22">
        <f>IF($C648="","",IFERROR(IF(INDEX(Deals!$AF$2:$AF$355,MATCH($C648,Deals!$A$2:$A$355,0))=0,"",INDEX(Deals!$AF$2:$AF$355,MATCH($C648,Deals!$A$2:$A$355,0))),""))</f>
        <v/>
      </c>
      <c r="AF648" s="35">
        <f>IF($AD648="",DATE(1900,1,1),$AD648)</f>
        <v/>
      </c>
      <c r="AG648" s="35">
        <f>IF($AE648="",DATE(2100,12,31),$AE648)</f>
        <v/>
      </c>
      <c r="AH648" s="22">
        <f>IF($C648="","",IFERROR(IF(INDEX(Deals!$AG$2:$AG$355,MATCH($C648,Deals!$A$2:$A$355,0))=0,"",INDEX(Deals!$AG$2:$AG$355,MATCH($C648,Deals!$A$2:$A$355,0))),""))</f>
        <v/>
      </c>
      <c r="AI648" s="35">
        <f>IF(OR($AH648&lt;&gt;"",AND($AO648&gt;0,$AD648&lt;&gt;"",$AE648&lt;&gt;"")),$AF648,DATE(1900,1,1))</f>
        <v/>
      </c>
      <c r="AJ648" s="35">
        <f>IF($AH648&lt;&gt;"",$AH648,IF(AND($AO648&gt;0,$AD648&lt;&gt;"",$AE648&lt;&gt;""),$AG648,DATE(2100,12,31)))</f>
        <v/>
      </c>
      <c r="AK648" s="32">
        <f>IF($AH648="",$AC648,$AC648*$S648)</f>
        <v/>
      </c>
      <c r="AL648" s="35">
        <f>IF($AH648="",DATE(2100,12,31),$AH648+1)</f>
        <v/>
      </c>
      <c r="AM648" s="35">
        <f>IF($AH648="",DATE(1900,1,1),$AG648)</f>
        <v/>
      </c>
      <c r="AN648" s="32">
        <f>IF($AH648="",0,$AC648*$T648)</f>
        <v/>
      </c>
      <c r="AO648" s="46">
        <f>IF($C648="",0,IFERROR(INDEX(Deals!$BD$2:$BD$355,MATCH($C648,Deals!$A$2:$A$355,0)),0))</f>
        <v/>
      </c>
      <c r="AP648" s="18">
        <f>IF($AO648=0,0,IFERROR(INDEX(Deals!$BJ$2:$BP$355,MATCH($C648,Deals!$A$2:$A$355,0),MATCH($F648,Deals!$BJ$1:$BP$1,0))/COUNTIFS(Assignments!$C$2:$C$769,$C648,Assignments!$F$2:$F$769,$F648,Assignments!$G$2:$G$769,"Active"),0))</f>
        <v/>
      </c>
    </row>
    <row r="649">
      <c r="A649" s="28" t="inlineStr">
        <is>
          <t>Yiyi</t>
        </is>
      </c>
      <c r="B649" s="16">
        <f>IF($A649="","",IFERROR(INDEX(Roster!$B$2:$B$40,MATCH($A649,Roster!$A$2:$A$40,0)),"?"))</f>
        <v/>
      </c>
      <c r="C649" s="28" t="inlineStr">
        <is>
          <t>Vega_1</t>
        </is>
      </c>
      <c r="D649" s="16">
        <f>IF($C649="","",IFERROR(IF(INDEX(Deals!$C$2:$C$355,MATCH($C649,Deals!$A$2:$A$355,0))=0,"",INDEX(Deals!$C$2:$C$355,MATCH($C649,Deals!$A$2:$A$355,0))),"?"))</f>
        <v/>
      </c>
      <c r="E649" s="16">
        <f>IF($C649="","",IFERROR(INDEX(Deals!$F$2:$F$355,MATCH($C649,Deals!$A$2:$A$355,0)),"?"))</f>
        <v/>
      </c>
      <c r="F649" s="28" t="inlineStr">
        <is>
          <t>Renewable Specialist</t>
        </is>
      </c>
      <c r="G649" s="28" t="inlineStr">
        <is>
          <t>Active</t>
        </is>
      </c>
      <c r="H649" s="31" t="n"/>
      <c r="I649" s="32">
        <f>IF(OR($A649="",$G649&lt;&gt;"Active"),0,IF($H649&lt;&gt;"",$H649,IF($AO649&gt;0,$AP649,IF(AND($R649&lt;&gt;"",IFERROR(INDEX(Templates!$B$3:$H$10,MATCH($R649,Templates!$A$3:$A$10,0),MATCH($F649,Templates!$B$2:$H$2,0)),0)&gt;0),INDEX(Templates!$B$3:$H$10,MATCH($R649,Templates!$A$3:$A$10,0),MATCH($F649,Templates!$B$2:$H$2,0)),IFERROR(INDEX(Settings!$B$8:$B$14,MATCH($F649,Settings!$A$8:$A$14,0)),0)))))</f>
        <v/>
      </c>
      <c r="J649" s="21">
        <f>IF($C649="",0,IFERROR(INDEX(Deals!$H$2:$H$355,MATCH($C649,Deals!$A$2:$A$355,0)),0))</f>
        <v/>
      </c>
      <c r="K649" s="32">
        <f>IF(Settings!$B$4="Yes",$I649*$J649,$I649)</f>
        <v/>
      </c>
      <c r="L649" s="22">
        <f>IF($C649="","",IFERROR(IF(INDEX(Deals!$I$2:$I$355,MATCH($C649,Deals!$A$2:$A$355,0))=0,"",INDEX(Deals!$I$2:$I$355,MATCH($C649,Deals!$A$2:$A$355,0))),""))</f>
        <v/>
      </c>
      <c r="M649" s="22">
        <f>IF($C649="","",IFERROR(IF(INDEX(Deals!$J$2:$J$355,MATCH($C649,Deals!$A$2:$A$355,0))=0,"",INDEX(Deals!$J$2:$J$355,MATCH($C649,Deals!$A$2:$A$355,0))),""))</f>
        <v/>
      </c>
      <c r="N649" s="35">
        <f>IF($L649="",DATE(1900,1,1),$L649)</f>
        <v/>
      </c>
      <c r="O649" s="35">
        <f>IF($M649="",DATE(2100,12,31),$M649)</f>
        <v/>
      </c>
      <c r="P649" s="20" t="inlineStr"/>
      <c r="Q649" s="47" t="inlineStr"/>
      <c r="R649" s="16">
        <f>IF($C649="","",IFERROR(IF(INDEX(Deals!$U$2:$U$355,MATCH($C649,Deals!$A$2:$A$355,0))=0,"",INDEX(Deals!$U$2:$U$355,MATCH($C649,Deals!$A$2:$A$355,0))),""))</f>
        <v/>
      </c>
      <c r="S649" s="34">
        <f>IFERROR(IF($U649="",1,INDEX(Deals!$V$2:$V$355,MATCH($C649,Deals!$A$2:$A$355,0))),1)</f>
        <v/>
      </c>
      <c r="T649" s="34">
        <f>IFERROR(IF($U649="",1,INDEX(Deals!$W$2:$W$355,MATCH($C649,Deals!$A$2:$A$355,0))),1)</f>
        <v/>
      </c>
      <c r="U649" s="22">
        <f>IF($C649="","",IFERROR(IF(INDEX(Deals!$Y$2:$Y$355,MATCH($C649,Deals!$A$2:$A$355,0))=0,"",INDEX(Deals!$Y$2:$Y$355,MATCH($C649,Deals!$A$2:$A$355,0))),""))</f>
        <v/>
      </c>
      <c r="V649" s="35">
        <f>IF(OR($U649&lt;&gt;"",AND($AO649&gt;0,$L649&lt;&gt;"",$M649&lt;&gt;"")),$N649,DATE(1900,1,1))</f>
        <v/>
      </c>
      <c r="W649" s="35">
        <f>IF($U649&lt;&gt;"",$U649,IF(AND($AO649&gt;0,$L649&lt;&gt;"",$M649&lt;&gt;""),$O649,DATE(2100,12,31)))</f>
        <v/>
      </c>
      <c r="X649" s="32">
        <f>IF($U649="",$K649,$K649*$S649)</f>
        <v/>
      </c>
      <c r="Y649" s="35">
        <f>IF($U649="",DATE(2100,12,31),$U649+1)</f>
        <v/>
      </c>
      <c r="Z649" s="35">
        <f>IF($U649="",DATE(1900,1,1),$O649)</f>
        <v/>
      </c>
      <c r="AA649" s="32">
        <f>IF($U649="",0,$K649*$T649)</f>
        <v/>
      </c>
      <c r="AB649" s="21">
        <f>IF($C649="",0,IFERROR(INDEX(Deals!$AD$2:$AD$355,MATCH($C649,Deals!$A$2:$A$355,0)),0))</f>
        <v/>
      </c>
      <c r="AC649" s="32">
        <f>IF(Settings!$B$4="Yes",$I649*$AB649,$I649)</f>
        <v/>
      </c>
      <c r="AD649" s="22">
        <f>IF($C649="","",IFERROR(IF(INDEX(Deals!$AE$2:$AE$355,MATCH($C649,Deals!$A$2:$A$355,0))=0,"",INDEX(Deals!$AE$2:$AE$355,MATCH($C649,Deals!$A$2:$A$355,0))),""))</f>
        <v/>
      </c>
      <c r="AE649" s="22">
        <f>IF($C649="","",IFERROR(IF(INDEX(Deals!$AF$2:$AF$355,MATCH($C649,Deals!$A$2:$A$355,0))=0,"",INDEX(Deals!$AF$2:$AF$355,MATCH($C649,Deals!$A$2:$A$355,0))),""))</f>
        <v/>
      </c>
      <c r="AF649" s="35">
        <f>IF($AD649="",DATE(1900,1,1),$AD649)</f>
        <v/>
      </c>
      <c r="AG649" s="35">
        <f>IF($AE649="",DATE(2100,12,31),$AE649)</f>
        <v/>
      </c>
      <c r="AH649" s="22">
        <f>IF($C649="","",IFERROR(IF(INDEX(Deals!$AG$2:$AG$355,MATCH($C649,Deals!$A$2:$A$355,0))=0,"",INDEX(Deals!$AG$2:$AG$355,MATCH($C649,Deals!$A$2:$A$355,0))),""))</f>
        <v/>
      </c>
      <c r="AI649" s="35">
        <f>IF(OR($AH649&lt;&gt;"",AND($AO649&gt;0,$AD649&lt;&gt;"",$AE649&lt;&gt;"")),$AF649,DATE(1900,1,1))</f>
        <v/>
      </c>
      <c r="AJ649" s="35">
        <f>IF($AH649&lt;&gt;"",$AH649,IF(AND($AO649&gt;0,$AD649&lt;&gt;"",$AE649&lt;&gt;""),$AG649,DATE(2100,12,31)))</f>
        <v/>
      </c>
      <c r="AK649" s="32">
        <f>IF($AH649="",$AC649,$AC649*$S649)</f>
        <v/>
      </c>
      <c r="AL649" s="35">
        <f>IF($AH649="",DATE(2100,12,31),$AH649+1)</f>
        <v/>
      </c>
      <c r="AM649" s="35">
        <f>IF($AH649="",DATE(1900,1,1),$AG649)</f>
        <v/>
      </c>
      <c r="AN649" s="32">
        <f>IF($AH649="",0,$AC649*$T649)</f>
        <v/>
      </c>
      <c r="AO649" s="46">
        <f>IF($C649="",0,IFERROR(INDEX(Deals!$BD$2:$BD$355,MATCH($C649,Deals!$A$2:$A$355,0)),0))</f>
        <v/>
      </c>
      <c r="AP649" s="18">
        <f>IF($AO649=0,0,IFERROR(INDEX(Deals!$BJ$2:$BP$355,MATCH($C649,Deals!$A$2:$A$355,0),MATCH($F649,Deals!$BJ$1:$BP$1,0))/COUNTIFS(Assignments!$C$2:$C$769,$C649,Assignments!$F$2:$F$769,$F649,Assignments!$G$2:$G$769,"Active"),0))</f>
        <v/>
      </c>
    </row>
    <row r="650">
      <c r="A650" s="28" t="inlineStr">
        <is>
          <t>Yiyi</t>
        </is>
      </c>
      <c r="B650" s="16">
        <f>IF($A650="","",IFERROR(INDEX(Roster!$B$2:$B$40,MATCH($A650,Roster!$A$2:$A$40,0)),"?"))</f>
        <v/>
      </c>
      <c r="C650" s="28" t="inlineStr">
        <is>
          <t>Victoria_2</t>
        </is>
      </c>
      <c r="D650" s="16">
        <f>IF($C650="","",IFERROR(IF(INDEX(Deals!$C$2:$C$355,MATCH($C650,Deals!$A$2:$A$355,0))=0,"",INDEX(Deals!$C$2:$C$355,MATCH($C650,Deals!$A$2:$A$355,0))),"?"))</f>
        <v/>
      </c>
      <c r="E650" s="16">
        <f>IF($C650="","",IFERROR(INDEX(Deals!$F$2:$F$355,MATCH($C650,Deals!$A$2:$A$355,0)),"?"))</f>
        <v/>
      </c>
      <c r="F650" s="28" t="inlineStr">
        <is>
          <t>Renewable Specialist</t>
        </is>
      </c>
      <c r="G650" s="28" t="inlineStr">
        <is>
          <t>Active</t>
        </is>
      </c>
      <c r="H650" s="31" t="n"/>
      <c r="I650" s="32">
        <f>IF(OR($A650="",$G650&lt;&gt;"Active"),0,IF($H650&lt;&gt;"",$H650,IF($AO650&gt;0,$AP650,IF(AND($R650&lt;&gt;"",IFERROR(INDEX(Templates!$B$3:$H$10,MATCH($R650,Templates!$A$3:$A$10,0),MATCH($F650,Templates!$B$2:$H$2,0)),0)&gt;0),INDEX(Templates!$B$3:$H$10,MATCH($R650,Templates!$A$3:$A$10,0),MATCH($F650,Templates!$B$2:$H$2,0)),IFERROR(INDEX(Settings!$B$8:$B$14,MATCH($F650,Settings!$A$8:$A$14,0)),0)))))</f>
        <v/>
      </c>
      <c r="J650" s="21">
        <f>IF($C650="",0,IFERROR(INDEX(Deals!$H$2:$H$355,MATCH($C650,Deals!$A$2:$A$355,0)),0))</f>
        <v/>
      </c>
      <c r="K650" s="32">
        <f>IF(Settings!$B$4="Yes",$I650*$J650,$I650)</f>
        <v/>
      </c>
      <c r="L650" s="22">
        <f>IF($C650="","",IFERROR(IF(INDEX(Deals!$I$2:$I$355,MATCH($C650,Deals!$A$2:$A$355,0))=0,"",INDEX(Deals!$I$2:$I$355,MATCH($C650,Deals!$A$2:$A$355,0))),""))</f>
        <v/>
      </c>
      <c r="M650" s="22">
        <f>IF($C650="","",IFERROR(IF(INDEX(Deals!$J$2:$J$355,MATCH($C650,Deals!$A$2:$A$355,0))=0,"",INDEX(Deals!$J$2:$J$355,MATCH($C650,Deals!$A$2:$A$355,0))),""))</f>
        <v/>
      </c>
      <c r="N650" s="35">
        <f>IF($L650="",DATE(1900,1,1),$L650)</f>
        <v/>
      </c>
      <c r="O650" s="35">
        <f>IF($M650="",DATE(2100,12,31),$M650)</f>
        <v/>
      </c>
      <c r="P650" s="20" t="inlineStr"/>
      <c r="Q650" s="47" t="inlineStr"/>
      <c r="R650" s="16">
        <f>IF($C650="","",IFERROR(IF(INDEX(Deals!$U$2:$U$355,MATCH($C650,Deals!$A$2:$A$355,0))=0,"",INDEX(Deals!$U$2:$U$355,MATCH($C650,Deals!$A$2:$A$355,0))),""))</f>
        <v/>
      </c>
      <c r="S650" s="34">
        <f>IFERROR(IF($U650="",1,INDEX(Deals!$V$2:$V$355,MATCH($C650,Deals!$A$2:$A$355,0))),1)</f>
        <v/>
      </c>
      <c r="T650" s="34">
        <f>IFERROR(IF($U650="",1,INDEX(Deals!$W$2:$W$355,MATCH($C650,Deals!$A$2:$A$355,0))),1)</f>
        <v/>
      </c>
      <c r="U650" s="22">
        <f>IF($C650="","",IFERROR(IF(INDEX(Deals!$Y$2:$Y$355,MATCH($C650,Deals!$A$2:$A$355,0))=0,"",INDEX(Deals!$Y$2:$Y$355,MATCH($C650,Deals!$A$2:$A$355,0))),""))</f>
        <v/>
      </c>
      <c r="V650" s="35">
        <f>IF(OR($U650&lt;&gt;"",AND($AO650&gt;0,$L650&lt;&gt;"",$M650&lt;&gt;"")),$N650,DATE(1900,1,1))</f>
        <v/>
      </c>
      <c r="W650" s="35">
        <f>IF($U650&lt;&gt;"",$U650,IF(AND($AO650&gt;0,$L650&lt;&gt;"",$M650&lt;&gt;""),$O650,DATE(2100,12,31)))</f>
        <v/>
      </c>
      <c r="X650" s="32">
        <f>IF($U650="",$K650,$K650*$S650)</f>
        <v/>
      </c>
      <c r="Y650" s="35">
        <f>IF($U650="",DATE(2100,12,31),$U650+1)</f>
        <v/>
      </c>
      <c r="Z650" s="35">
        <f>IF($U650="",DATE(1900,1,1),$O650)</f>
        <v/>
      </c>
      <c r="AA650" s="32">
        <f>IF($U650="",0,$K650*$T650)</f>
        <v/>
      </c>
      <c r="AB650" s="21">
        <f>IF($C650="",0,IFERROR(INDEX(Deals!$AD$2:$AD$355,MATCH($C650,Deals!$A$2:$A$355,0)),0))</f>
        <v/>
      </c>
      <c r="AC650" s="32">
        <f>IF(Settings!$B$4="Yes",$I650*$AB650,$I650)</f>
        <v/>
      </c>
      <c r="AD650" s="22">
        <f>IF($C650="","",IFERROR(IF(INDEX(Deals!$AE$2:$AE$355,MATCH($C650,Deals!$A$2:$A$355,0))=0,"",INDEX(Deals!$AE$2:$AE$355,MATCH($C650,Deals!$A$2:$A$355,0))),""))</f>
        <v/>
      </c>
      <c r="AE650" s="22">
        <f>IF($C650="","",IFERROR(IF(INDEX(Deals!$AF$2:$AF$355,MATCH($C650,Deals!$A$2:$A$355,0))=0,"",INDEX(Deals!$AF$2:$AF$355,MATCH($C650,Deals!$A$2:$A$355,0))),""))</f>
        <v/>
      </c>
      <c r="AF650" s="35">
        <f>IF($AD650="",DATE(1900,1,1),$AD650)</f>
        <v/>
      </c>
      <c r="AG650" s="35">
        <f>IF($AE650="",DATE(2100,12,31),$AE650)</f>
        <v/>
      </c>
      <c r="AH650" s="22">
        <f>IF($C650="","",IFERROR(IF(INDEX(Deals!$AG$2:$AG$355,MATCH($C650,Deals!$A$2:$A$355,0))=0,"",INDEX(Deals!$AG$2:$AG$355,MATCH($C650,Deals!$A$2:$A$355,0))),""))</f>
        <v/>
      </c>
      <c r="AI650" s="35">
        <f>IF(OR($AH650&lt;&gt;"",AND($AO650&gt;0,$AD650&lt;&gt;"",$AE650&lt;&gt;"")),$AF650,DATE(1900,1,1))</f>
        <v/>
      </c>
      <c r="AJ650" s="35">
        <f>IF($AH650&lt;&gt;"",$AH650,IF(AND($AO650&gt;0,$AD650&lt;&gt;"",$AE650&lt;&gt;""),$AG650,DATE(2100,12,31)))</f>
        <v/>
      </c>
      <c r="AK650" s="32">
        <f>IF($AH650="",$AC650,$AC650*$S650)</f>
        <v/>
      </c>
      <c r="AL650" s="35">
        <f>IF($AH650="",DATE(2100,12,31),$AH650+1)</f>
        <v/>
      </c>
      <c r="AM650" s="35">
        <f>IF($AH650="",DATE(1900,1,1),$AG650)</f>
        <v/>
      </c>
      <c r="AN650" s="32">
        <f>IF($AH650="",0,$AC650*$T650)</f>
        <v/>
      </c>
      <c r="AO650" s="46">
        <f>IF($C650="",0,IFERROR(INDEX(Deals!$BD$2:$BD$355,MATCH($C650,Deals!$A$2:$A$355,0)),0))</f>
        <v/>
      </c>
      <c r="AP650" s="18">
        <f>IF($AO650=0,0,IFERROR(INDEX(Deals!$BJ$2:$BP$355,MATCH($C650,Deals!$A$2:$A$355,0),MATCH($F650,Deals!$BJ$1:$BP$1,0))/COUNTIFS(Assignments!$C$2:$C$769,$C650,Assignments!$F$2:$F$769,$F650,Assignments!$G$2:$G$769,"Active"),0))</f>
        <v/>
      </c>
    </row>
    <row r="651">
      <c r="A651" s="28" t="inlineStr">
        <is>
          <t>Yiyi</t>
        </is>
      </c>
      <c r="B651" s="16">
        <f>IF($A651="","",IFERROR(INDEX(Roster!$B$2:$B$40,MATCH($A651,Roster!$A$2:$A$40,0)),"?"))</f>
        <v/>
      </c>
      <c r="C651" s="28" t="inlineStr">
        <is>
          <t>VW1_1</t>
        </is>
      </c>
      <c r="D651" s="16">
        <f>IF($C651="","",IFERROR(IF(INDEX(Deals!$C$2:$C$355,MATCH($C651,Deals!$A$2:$A$355,0))=0,"",INDEX(Deals!$C$2:$C$355,MATCH($C651,Deals!$A$2:$A$355,0))),"?"))</f>
        <v/>
      </c>
      <c r="E651" s="16">
        <f>IF($C651="","",IFERROR(INDEX(Deals!$F$2:$F$355,MATCH($C651,Deals!$A$2:$A$355,0)),"?"))</f>
        <v/>
      </c>
      <c r="F651" s="28" t="inlineStr">
        <is>
          <t>Renewable Specialist</t>
        </is>
      </c>
      <c r="G651" s="28" t="inlineStr">
        <is>
          <t>Active</t>
        </is>
      </c>
      <c r="H651" s="31" t="n"/>
      <c r="I651" s="32">
        <f>IF(OR($A651="",$G651&lt;&gt;"Active"),0,IF($H651&lt;&gt;"",$H651,IF($AO651&gt;0,$AP651,IF(AND($R651&lt;&gt;"",IFERROR(INDEX(Templates!$B$3:$H$10,MATCH($R651,Templates!$A$3:$A$10,0),MATCH($F651,Templates!$B$2:$H$2,0)),0)&gt;0),INDEX(Templates!$B$3:$H$10,MATCH($R651,Templates!$A$3:$A$10,0),MATCH($F651,Templates!$B$2:$H$2,0)),IFERROR(INDEX(Settings!$B$8:$B$14,MATCH($F651,Settings!$A$8:$A$14,0)),0)))))</f>
        <v/>
      </c>
      <c r="J651" s="21">
        <f>IF($C651="",0,IFERROR(INDEX(Deals!$H$2:$H$355,MATCH($C651,Deals!$A$2:$A$355,0)),0))</f>
        <v/>
      </c>
      <c r="K651" s="32">
        <f>IF(Settings!$B$4="Yes",$I651*$J651,$I651)</f>
        <v/>
      </c>
      <c r="L651" s="22">
        <f>IF($C651="","",IFERROR(IF(INDEX(Deals!$I$2:$I$355,MATCH($C651,Deals!$A$2:$A$355,0))=0,"",INDEX(Deals!$I$2:$I$355,MATCH($C651,Deals!$A$2:$A$355,0))),""))</f>
        <v/>
      </c>
      <c r="M651" s="22">
        <f>IF($C651="","",IFERROR(IF(INDEX(Deals!$J$2:$J$355,MATCH($C651,Deals!$A$2:$A$355,0))=0,"",INDEX(Deals!$J$2:$J$355,MATCH($C651,Deals!$A$2:$A$355,0))),""))</f>
        <v/>
      </c>
      <c r="N651" s="35">
        <f>IF($L651="",DATE(1900,1,1),$L651)</f>
        <v/>
      </c>
      <c r="O651" s="35">
        <f>IF($M651="",DATE(2100,12,31),$M651)</f>
        <v/>
      </c>
      <c r="P651" s="20" t="inlineStr"/>
      <c r="Q651" s="47" t="inlineStr"/>
      <c r="R651" s="16">
        <f>IF($C651="","",IFERROR(IF(INDEX(Deals!$U$2:$U$355,MATCH($C651,Deals!$A$2:$A$355,0))=0,"",INDEX(Deals!$U$2:$U$355,MATCH($C651,Deals!$A$2:$A$355,0))),""))</f>
        <v/>
      </c>
      <c r="S651" s="34">
        <f>IFERROR(IF($U651="",1,INDEX(Deals!$V$2:$V$355,MATCH($C651,Deals!$A$2:$A$355,0))),1)</f>
        <v/>
      </c>
      <c r="T651" s="34">
        <f>IFERROR(IF($U651="",1,INDEX(Deals!$W$2:$W$355,MATCH($C651,Deals!$A$2:$A$355,0))),1)</f>
        <v/>
      </c>
      <c r="U651" s="22">
        <f>IF($C651="","",IFERROR(IF(INDEX(Deals!$Y$2:$Y$355,MATCH($C651,Deals!$A$2:$A$355,0))=0,"",INDEX(Deals!$Y$2:$Y$355,MATCH($C651,Deals!$A$2:$A$355,0))),""))</f>
        <v/>
      </c>
      <c r="V651" s="35">
        <f>IF(OR($U651&lt;&gt;"",AND($AO651&gt;0,$L651&lt;&gt;"",$M651&lt;&gt;"")),$N651,DATE(1900,1,1))</f>
        <v/>
      </c>
      <c r="W651" s="35">
        <f>IF($U651&lt;&gt;"",$U651,IF(AND($AO651&gt;0,$L651&lt;&gt;"",$M651&lt;&gt;""),$O651,DATE(2100,12,31)))</f>
        <v/>
      </c>
      <c r="X651" s="32">
        <f>IF($U651="",$K651,$K651*$S651)</f>
        <v/>
      </c>
      <c r="Y651" s="35">
        <f>IF($U651="",DATE(2100,12,31),$U651+1)</f>
        <v/>
      </c>
      <c r="Z651" s="35">
        <f>IF($U651="",DATE(1900,1,1),$O651)</f>
        <v/>
      </c>
      <c r="AA651" s="32">
        <f>IF($U651="",0,$K651*$T651)</f>
        <v/>
      </c>
      <c r="AB651" s="21">
        <f>IF($C651="",0,IFERROR(INDEX(Deals!$AD$2:$AD$355,MATCH($C651,Deals!$A$2:$A$355,0)),0))</f>
        <v/>
      </c>
      <c r="AC651" s="32">
        <f>IF(Settings!$B$4="Yes",$I651*$AB651,$I651)</f>
        <v/>
      </c>
      <c r="AD651" s="22">
        <f>IF($C651="","",IFERROR(IF(INDEX(Deals!$AE$2:$AE$355,MATCH($C651,Deals!$A$2:$A$355,0))=0,"",INDEX(Deals!$AE$2:$AE$355,MATCH($C651,Deals!$A$2:$A$355,0))),""))</f>
        <v/>
      </c>
      <c r="AE651" s="22">
        <f>IF($C651="","",IFERROR(IF(INDEX(Deals!$AF$2:$AF$355,MATCH($C651,Deals!$A$2:$A$355,0))=0,"",INDEX(Deals!$AF$2:$AF$355,MATCH($C651,Deals!$A$2:$A$355,0))),""))</f>
        <v/>
      </c>
      <c r="AF651" s="35">
        <f>IF($AD651="",DATE(1900,1,1),$AD651)</f>
        <v/>
      </c>
      <c r="AG651" s="35">
        <f>IF($AE651="",DATE(2100,12,31),$AE651)</f>
        <v/>
      </c>
      <c r="AH651" s="22">
        <f>IF($C651="","",IFERROR(IF(INDEX(Deals!$AG$2:$AG$355,MATCH($C651,Deals!$A$2:$A$355,0))=0,"",INDEX(Deals!$AG$2:$AG$355,MATCH($C651,Deals!$A$2:$A$355,0))),""))</f>
        <v/>
      </c>
      <c r="AI651" s="35">
        <f>IF(OR($AH651&lt;&gt;"",AND($AO651&gt;0,$AD651&lt;&gt;"",$AE651&lt;&gt;"")),$AF651,DATE(1900,1,1))</f>
        <v/>
      </c>
      <c r="AJ651" s="35">
        <f>IF($AH651&lt;&gt;"",$AH651,IF(AND($AO651&gt;0,$AD651&lt;&gt;"",$AE651&lt;&gt;""),$AG651,DATE(2100,12,31)))</f>
        <v/>
      </c>
      <c r="AK651" s="32">
        <f>IF($AH651="",$AC651,$AC651*$S651)</f>
        <v/>
      </c>
      <c r="AL651" s="35">
        <f>IF($AH651="",DATE(2100,12,31),$AH651+1)</f>
        <v/>
      </c>
      <c r="AM651" s="35">
        <f>IF($AH651="",DATE(1900,1,1),$AG651)</f>
        <v/>
      </c>
      <c r="AN651" s="32">
        <f>IF($AH651="",0,$AC651*$T651)</f>
        <v/>
      </c>
      <c r="AO651" s="46">
        <f>IF($C651="",0,IFERROR(INDEX(Deals!$BD$2:$BD$355,MATCH($C651,Deals!$A$2:$A$355,0)),0))</f>
        <v/>
      </c>
      <c r="AP651" s="18">
        <f>IF($AO651=0,0,IFERROR(INDEX(Deals!$BJ$2:$BP$355,MATCH($C651,Deals!$A$2:$A$355,0),MATCH($F651,Deals!$BJ$1:$BP$1,0))/COUNTIFS(Assignments!$C$2:$C$769,$C651,Assignments!$F$2:$F$769,$F651,Assignments!$G$2:$G$769,"Active"),0))</f>
        <v/>
      </c>
    </row>
    <row r="652">
      <c r="A652" s="28" t="inlineStr">
        <is>
          <t>Yiyi</t>
        </is>
      </c>
      <c r="B652" s="16">
        <f>IF($A652="","",IFERROR(INDEX(Roster!$B$2:$B$40,MATCH($A652,Roster!$A$2:$A$40,0)),"?"))</f>
        <v/>
      </c>
      <c r="C652" s="28" t="inlineStr">
        <is>
          <t>Walnut_1</t>
        </is>
      </c>
      <c r="D652" s="16">
        <f>IF($C652="","",IFERROR(IF(INDEX(Deals!$C$2:$C$355,MATCH($C652,Deals!$A$2:$A$355,0))=0,"",INDEX(Deals!$C$2:$C$355,MATCH($C652,Deals!$A$2:$A$355,0))),"?"))</f>
        <v/>
      </c>
      <c r="E652" s="16">
        <f>IF($C652="","",IFERROR(INDEX(Deals!$F$2:$F$355,MATCH($C652,Deals!$A$2:$A$355,0)),"?"))</f>
        <v/>
      </c>
      <c r="F652" s="28" t="inlineStr">
        <is>
          <t>Renewable Specialist</t>
        </is>
      </c>
      <c r="G652" s="28" t="inlineStr">
        <is>
          <t>Active</t>
        </is>
      </c>
      <c r="H652" s="31" t="n"/>
      <c r="I652" s="32">
        <f>IF(OR($A652="",$G652&lt;&gt;"Active"),0,IF($H652&lt;&gt;"",$H652,IF($AO652&gt;0,$AP652,IF(AND($R652&lt;&gt;"",IFERROR(INDEX(Templates!$B$3:$H$10,MATCH($R652,Templates!$A$3:$A$10,0),MATCH($F652,Templates!$B$2:$H$2,0)),0)&gt;0),INDEX(Templates!$B$3:$H$10,MATCH($R652,Templates!$A$3:$A$10,0),MATCH($F652,Templates!$B$2:$H$2,0)),IFERROR(INDEX(Settings!$B$8:$B$14,MATCH($F652,Settings!$A$8:$A$14,0)),0)))))</f>
        <v/>
      </c>
      <c r="J652" s="21">
        <f>IF($C652="",0,IFERROR(INDEX(Deals!$H$2:$H$355,MATCH($C652,Deals!$A$2:$A$355,0)),0))</f>
        <v/>
      </c>
      <c r="K652" s="32">
        <f>IF(Settings!$B$4="Yes",$I652*$J652,$I652)</f>
        <v/>
      </c>
      <c r="L652" s="22">
        <f>IF($C652="","",IFERROR(IF(INDEX(Deals!$I$2:$I$355,MATCH($C652,Deals!$A$2:$A$355,0))=0,"",INDEX(Deals!$I$2:$I$355,MATCH($C652,Deals!$A$2:$A$355,0))),""))</f>
        <v/>
      </c>
      <c r="M652" s="22">
        <f>IF($C652="","",IFERROR(IF(INDEX(Deals!$J$2:$J$355,MATCH($C652,Deals!$A$2:$A$355,0))=0,"",INDEX(Deals!$J$2:$J$355,MATCH($C652,Deals!$A$2:$A$355,0))),""))</f>
        <v/>
      </c>
      <c r="N652" s="35">
        <f>IF($L652="",DATE(1900,1,1),$L652)</f>
        <v/>
      </c>
      <c r="O652" s="35">
        <f>IF($M652="",DATE(2100,12,31),$M652)</f>
        <v/>
      </c>
      <c r="P652" s="20" t="inlineStr"/>
      <c r="Q652" s="47" t="inlineStr"/>
      <c r="R652" s="16">
        <f>IF($C652="","",IFERROR(IF(INDEX(Deals!$U$2:$U$355,MATCH($C652,Deals!$A$2:$A$355,0))=0,"",INDEX(Deals!$U$2:$U$355,MATCH($C652,Deals!$A$2:$A$355,0))),""))</f>
        <v/>
      </c>
      <c r="S652" s="34">
        <f>IFERROR(IF($U652="",1,INDEX(Deals!$V$2:$V$355,MATCH($C652,Deals!$A$2:$A$355,0))),1)</f>
        <v/>
      </c>
      <c r="T652" s="34">
        <f>IFERROR(IF($U652="",1,INDEX(Deals!$W$2:$W$355,MATCH($C652,Deals!$A$2:$A$355,0))),1)</f>
        <v/>
      </c>
      <c r="U652" s="22">
        <f>IF($C652="","",IFERROR(IF(INDEX(Deals!$Y$2:$Y$355,MATCH($C652,Deals!$A$2:$A$355,0))=0,"",INDEX(Deals!$Y$2:$Y$355,MATCH($C652,Deals!$A$2:$A$355,0))),""))</f>
        <v/>
      </c>
      <c r="V652" s="35">
        <f>IF(OR($U652&lt;&gt;"",AND($AO652&gt;0,$L652&lt;&gt;"",$M652&lt;&gt;"")),$N652,DATE(1900,1,1))</f>
        <v/>
      </c>
      <c r="W652" s="35">
        <f>IF($U652&lt;&gt;"",$U652,IF(AND($AO652&gt;0,$L652&lt;&gt;"",$M652&lt;&gt;""),$O652,DATE(2100,12,31)))</f>
        <v/>
      </c>
      <c r="X652" s="32">
        <f>IF($U652="",$K652,$K652*$S652)</f>
        <v/>
      </c>
      <c r="Y652" s="35">
        <f>IF($U652="",DATE(2100,12,31),$U652+1)</f>
        <v/>
      </c>
      <c r="Z652" s="35">
        <f>IF($U652="",DATE(1900,1,1),$O652)</f>
        <v/>
      </c>
      <c r="AA652" s="32">
        <f>IF($U652="",0,$K652*$T652)</f>
        <v/>
      </c>
      <c r="AB652" s="21">
        <f>IF($C652="",0,IFERROR(INDEX(Deals!$AD$2:$AD$355,MATCH($C652,Deals!$A$2:$A$355,0)),0))</f>
        <v/>
      </c>
      <c r="AC652" s="32">
        <f>IF(Settings!$B$4="Yes",$I652*$AB652,$I652)</f>
        <v/>
      </c>
      <c r="AD652" s="22">
        <f>IF($C652="","",IFERROR(IF(INDEX(Deals!$AE$2:$AE$355,MATCH($C652,Deals!$A$2:$A$355,0))=0,"",INDEX(Deals!$AE$2:$AE$355,MATCH($C652,Deals!$A$2:$A$355,0))),""))</f>
        <v/>
      </c>
      <c r="AE652" s="22">
        <f>IF($C652="","",IFERROR(IF(INDEX(Deals!$AF$2:$AF$355,MATCH($C652,Deals!$A$2:$A$355,0))=0,"",INDEX(Deals!$AF$2:$AF$355,MATCH($C652,Deals!$A$2:$A$355,0))),""))</f>
        <v/>
      </c>
      <c r="AF652" s="35">
        <f>IF($AD652="",DATE(1900,1,1),$AD652)</f>
        <v/>
      </c>
      <c r="AG652" s="35">
        <f>IF($AE652="",DATE(2100,12,31),$AE652)</f>
        <v/>
      </c>
      <c r="AH652" s="22">
        <f>IF($C652="","",IFERROR(IF(INDEX(Deals!$AG$2:$AG$355,MATCH($C652,Deals!$A$2:$A$355,0))=0,"",INDEX(Deals!$AG$2:$AG$355,MATCH($C652,Deals!$A$2:$A$355,0))),""))</f>
        <v/>
      </c>
      <c r="AI652" s="35">
        <f>IF(OR($AH652&lt;&gt;"",AND($AO652&gt;0,$AD652&lt;&gt;"",$AE652&lt;&gt;"")),$AF652,DATE(1900,1,1))</f>
        <v/>
      </c>
      <c r="AJ652" s="35">
        <f>IF($AH652&lt;&gt;"",$AH652,IF(AND($AO652&gt;0,$AD652&lt;&gt;"",$AE652&lt;&gt;""),$AG652,DATE(2100,12,31)))</f>
        <v/>
      </c>
      <c r="AK652" s="32">
        <f>IF($AH652="",$AC652,$AC652*$S652)</f>
        <v/>
      </c>
      <c r="AL652" s="35">
        <f>IF($AH652="",DATE(2100,12,31),$AH652+1)</f>
        <v/>
      </c>
      <c r="AM652" s="35">
        <f>IF($AH652="",DATE(1900,1,1),$AG652)</f>
        <v/>
      </c>
      <c r="AN652" s="32">
        <f>IF($AH652="",0,$AC652*$T652)</f>
        <v/>
      </c>
      <c r="AO652" s="46">
        <f>IF($C652="",0,IFERROR(INDEX(Deals!$BD$2:$BD$355,MATCH($C652,Deals!$A$2:$A$355,0)),0))</f>
        <v/>
      </c>
      <c r="AP652" s="18">
        <f>IF($AO652=0,0,IFERROR(INDEX(Deals!$BJ$2:$BP$355,MATCH($C652,Deals!$A$2:$A$355,0),MATCH($F652,Deals!$BJ$1:$BP$1,0))/COUNTIFS(Assignments!$C$2:$C$769,$C652,Assignments!$F$2:$F$769,$F652,Assignments!$G$2:$G$769,"Active"),0))</f>
        <v/>
      </c>
    </row>
    <row r="653">
      <c r="A653" s="28" t="inlineStr">
        <is>
          <t>Yiyi</t>
        </is>
      </c>
      <c r="B653" s="16">
        <f>IF($A653="","",IFERROR(INDEX(Roster!$B$2:$B$40,MATCH($A653,Roster!$A$2:$A$40,0)),"?"))</f>
        <v/>
      </c>
      <c r="C653" s="28" t="inlineStr">
        <is>
          <t>Whale_3</t>
        </is>
      </c>
      <c r="D653" s="16">
        <f>IF($C653="","",IFERROR(IF(INDEX(Deals!$C$2:$C$355,MATCH($C653,Deals!$A$2:$A$355,0))=0,"",INDEX(Deals!$C$2:$C$355,MATCH($C653,Deals!$A$2:$A$355,0))),"?"))</f>
        <v/>
      </c>
      <c r="E653" s="16">
        <f>IF($C653="","",IFERROR(INDEX(Deals!$F$2:$F$355,MATCH($C653,Deals!$A$2:$A$355,0)),"?"))</f>
        <v/>
      </c>
      <c r="F653" s="28" t="inlineStr">
        <is>
          <t>Renewable Specialist</t>
        </is>
      </c>
      <c r="G653" s="28" t="inlineStr">
        <is>
          <t>Active</t>
        </is>
      </c>
      <c r="H653" s="31" t="n"/>
      <c r="I653" s="32">
        <f>IF(OR($A653="",$G653&lt;&gt;"Active"),0,IF($H653&lt;&gt;"",$H653,IF($AO653&gt;0,$AP653,IF(AND($R653&lt;&gt;"",IFERROR(INDEX(Templates!$B$3:$H$10,MATCH($R653,Templates!$A$3:$A$10,0),MATCH($F653,Templates!$B$2:$H$2,0)),0)&gt;0),INDEX(Templates!$B$3:$H$10,MATCH($R653,Templates!$A$3:$A$10,0),MATCH($F653,Templates!$B$2:$H$2,0)),IFERROR(INDEX(Settings!$B$8:$B$14,MATCH($F653,Settings!$A$8:$A$14,0)),0)))))</f>
        <v/>
      </c>
      <c r="J653" s="21">
        <f>IF($C653="",0,IFERROR(INDEX(Deals!$H$2:$H$355,MATCH($C653,Deals!$A$2:$A$355,0)),0))</f>
        <v/>
      </c>
      <c r="K653" s="32">
        <f>IF(Settings!$B$4="Yes",$I653*$J653,$I653)</f>
        <v/>
      </c>
      <c r="L653" s="22">
        <f>IF($C653="","",IFERROR(IF(INDEX(Deals!$I$2:$I$355,MATCH($C653,Deals!$A$2:$A$355,0))=0,"",INDEX(Deals!$I$2:$I$355,MATCH($C653,Deals!$A$2:$A$355,0))),""))</f>
        <v/>
      </c>
      <c r="M653" s="22">
        <f>IF($C653="","",IFERROR(IF(INDEX(Deals!$J$2:$J$355,MATCH($C653,Deals!$A$2:$A$355,0))=0,"",INDEX(Deals!$J$2:$J$355,MATCH($C653,Deals!$A$2:$A$355,0))),""))</f>
        <v/>
      </c>
      <c r="N653" s="35">
        <f>IF($L653="",DATE(1900,1,1),$L653)</f>
        <v/>
      </c>
      <c r="O653" s="35">
        <f>IF($M653="",DATE(2100,12,31),$M653)</f>
        <v/>
      </c>
      <c r="P653" s="20" t="inlineStr"/>
      <c r="Q653" s="47" t="inlineStr"/>
      <c r="R653" s="16">
        <f>IF($C653="","",IFERROR(IF(INDEX(Deals!$U$2:$U$355,MATCH($C653,Deals!$A$2:$A$355,0))=0,"",INDEX(Deals!$U$2:$U$355,MATCH($C653,Deals!$A$2:$A$355,0))),""))</f>
        <v/>
      </c>
      <c r="S653" s="34">
        <f>IFERROR(IF($U653="",1,INDEX(Deals!$V$2:$V$355,MATCH($C653,Deals!$A$2:$A$355,0))),1)</f>
        <v/>
      </c>
      <c r="T653" s="34">
        <f>IFERROR(IF($U653="",1,INDEX(Deals!$W$2:$W$355,MATCH($C653,Deals!$A$2:$A$355,0))),1)</f>
        <v/>
      </c>
      <c r="U653" s="22">
        <f>IF($C653="","",IFERROR(IF(INDEX(Deals!$Y$2:$Y$355,MATCH($C653,Deals!$A$2:$A$355,0))=0,"",INDEX(Deals!$Y$2:$Y$355,MATCH($C653,Deals!$A$2:$A$355,0))),""))</f>
        <v/>
      </c>
      <c r="V653" s="35">
        <f>IF(OR($U653&lt;&gt;"",AND($AO653&gt;0,$L653&lt;&gt;"",$M653&lt;&gt;"")),$N653,DATE(1900,1,1))</f>
        <v/>
      </c>
      <c r="W653" s="35">
        <f>IF($U653&lt;&gt;"",$U653,IF(AND($AO653&gt;0,$L653&lt;&gt;"",$M653&lt;&gt;""),$O653,DATE(2100,12,31)))</f>
        <v/>
      </c>
      <c r="X653" s="32">
        <f>IF($U653="",$K653,$K653*$S653)</f>
        <v/>
      </c>
      <c r="Y653" s="35">
        <f>IF($U653="",DATE(2100,12,31),$U653+1)</f>
        <v/>
      </c>
      <c r="Z653" s="35">
        <f>IF($U653="",DATE(1900,1,1),$O653)</f>
        <v/>
      </c>
      <c r="AA653" s="32">
        <f>IF($U653="",0,$K653*$T653)</f>
        <v/>
      </c>
      <c r="AB653" s="21">
        <f>IF($C653="",0,IFERROR(INDEX(Deals!$AD$2:$AD$355,MATCH($C653,Deals!$A$2:$A$355,0)),0))</f>
        <v/>
      </c>
      <c r="AC653" s="32">
        <f>IF(Settings!$B$4="Yes",$I653*$AB653,$I653)</f>
        <v/>
      </c>
      <c r="AD653" s="22">
        <f>IF($C653="","",IFERROR(IF(INDEX(Deals!$AE$2:$AE$355,MATCH($C653,Deals!$A$2:$A$355,0))=0,"",INDEX(Deals!$AE$2:$AE$355,MATCH($C653,Deals!$A$2:$A$355,0))),""))</f>
        <v/>
      </c>
      <c r="AE653" s="22">
        <f>IF($C653="","",IFERROR(IF(INDEX(Deals!$AF$2:$AF$355,MATCH($C653,Deals!$A$2:$A$355,0))=0,"",INDEX(Deals!$AF$2:$AF$355,MATCH($C653,Deals!$A$2:$A$355,0))),""))</f>
        <v/>
      </c>
      <c r="AF653" s="35">
        <f>IF($AD653="",DATE(1900,1,1),$AD653)</f>
        <v/>
      </c>
      <c r="AG653" s="35">
        <f>IF($AE653="",DATE(2100,12,31),$AE653)</f>
        <v/>
      </c>
      <c r="AH653" s="22">
        <f>IF($C653="","",IFERROR(IF(INDEX(Deals!$AG$2:$AG$355,MATCH($C653,Deals!$A$2:$A$355,0))=0,"",INDEX(Deals!$AG$2:$AG$355,MATCH($C653,Deals!$A$2:$A$355,0))),""))</f>
        <v/>
      </c>
      <c r="AI653" s="35">
        <f>IF(OR($AH653&lt;&gt;"",AND($AO653&gt;0,$AD653&lt;&gt;"",$AE653&lt;&gt;"")),$AF653,DATE(1900,1,1))</f>
        <v/>
      </c>
      <c r="AJ653" s="35">
        <f>IF($AH653&lt;&gt;"",$AH653,IF(AND($AO653&gt;0,$AD653&lt;&gt;"",$AE653&lt;&gt;""),$AG653,DATE(2100,12,31)))</f>
        <v/>
      </c>
      <c r="AK653" s="32">
        <f>IF($AH653="",$AC653,$AC653*$S653)</f>
        <v/>
      </c>
      <c r="AL653" s="35">
        <f>IF($AH653="",DATE(2100,12,31),$AH653+1)</f>
        <v/>
      </c>
      <c r="AM653" s="35">
        <f>IF($AH653="",DATE(1900,1,1),$AG653)</f>
        <v/>
      </c>
      <c r="AN653" s="32">
        <f>IF($AH653="",0,$AC653*$T653)</f>
        <v/>
      </c>
      <c r="AO653" s="46">
        <f>IF($C653="",0,IFERROR(INDEX(Deals!$BD$2:$BD$355,MATCH($C653,Deals!$A$2:$A$355,0)),0))</f>
        <v/>
      </c>
      <c r="AP653" s="18">
        <f>IF($AO653=0,0,IFERROR(INDEX(Deals!$BJ$2:$BP$355,MATCH($C653,Deals!$A$2:$A$355,0),MATCH($F653,Deals!$BJ$1:$BP$1,0))/COUNTIFS(Assignments!$C$2:$C$769,$C653,Assignments!$F$2:$F$769,$F653,Assignments!$G$2:$G$769,"Active"),0))</f>
        <v/>
      </c>
    </row>
    <row r="654">
      <c r="A654" s="28" t="inlineStr">
        <is>
          <t>Yiyi</t>
        </is>
      </c>
      <c r="B654" s="16">
        <f>IF($A654="","",IFERROR(INDEX(Roster!$B$2:$B$40,MATCH($A654,Roster!$A$2:$A$40,0)),"?"))</f>
        <v/>
      </c>
      <c r="C654" s="28" t="inlineStr">
        <is>
          <t>WIE_1</t>
        </is>
      </c>
      <c r="D654" s="16">
        <f>IF($C654="","",IFERROR(IF(INDEX(Deals!$C$2:$C$355,MATCH($C654,Deals!$A$2:$A$355,0))=0,"",INDEX(Deals!$C$2:$C$355,MATCH($C654,Deals!$A$2:$A$355,0))),"?"))</f>
        <v/>
      </c>
      <c r="E654" s="16">
        <f>IF($C654="","",IFERROR(INDEX(Deals!$F$2:$F$355,MATCH($C654,Deals!$A$2:$A$355,0)),"?"))</f>
        <v/>
      </c>
      <c r="F654" s="28" t="inlineStr">
        <is>
          <t>Renewable Specialist</t>
        </is>
      </c>
      <c r="G654" s="28" t="inlineStr">
        <is>
          <t>Active</t>
        </is>
      </c>
      <c r="H654" s="31" t="n"/>
      <c r="I654" s="32">
        <f>IF(OR($A654="",$G654&lt;&gt;"Active"),0,IF($H654&lt;&gt;"",$H654,IF($AO654&gt;0,$AP654,IF(AND($R654&lt;&gt;"",IFERROR(INDEX(Templates!$B$3:$H$10,MATCH($R654,Templates!$A$3:$A$10,0),MATCH($F654,Templates!$B$2:$H$2,0)),0)&gt;0),INDEX(Templates!$B$3:$H$10,MATCH($R654,Templates!$A$3:$A$10,0),MATCH($F654,Templates!$B$2:$H$2,0)),IFERROR(INDEX(Settings!$B$8:$B$14,MATCH($F654,Settings!$A$8:$A$14,0)),0)))))</f>
        <v/>
      </c>
      <c r="J654" s="21">
        <f>IF($C654="",0,IFERROR(INDEX(Deals!$H$2:$H$355,MATCH($C654,Deals!$A$2:$A$355,0)),0))</f>
        <v/>
      </c>
      <c r="K654" s="32">
        <f>IF(Settings!$B$4="Yes",$I654*$J654,$I654)</f>
        <v/>
      </c>
      <c r="L654" s="22">
        <f>IF($C654="","",IFERROR(IF(INDEX(Deals!$I$2:$I$355,MATCH($C654,Deals!$A$2:$A$355,0))=0,"",INDEX(Deals!$I$2:$I$355,MATCH($C654,Deals!$A$2:$A$355,0))),""))</f>
        <v/>
      </c>
      <c r="M654" s="22">
        <f>IF($C654="","",IFERROR(IF(INDEX(Deals!$J$2:$J$355,MATCH($C654,Deals!$A$2:$A$355,0))=0,"",INDEX(Deals!$J$2:$J$355,MATCH($C654,Deals!$A$2:$A$355,0))),""))</f>
        <v/>
      </c>
      <c r="N654" s="35">
        <f>IF($L654="",DATE(1900,1,1),$L654)</f>
        <v/>
      </c>
      <c r="O654" s="35">
        <f>IF($M654="",DATE(2100,12,31),$M654)</f>
        <v/>
      </c>
      <c r="P654" s="20" t="inlineStr"/>
      <c r="Q654" s="47" t="inlineStr"/>
      <c r="R654" s="16">
        <f>IF($C654="","",IFERROR(IF(INDEX(Deals!$U$2:$U$355,MATCH($C654,Deals!$A$2:$A$355,0))=0,"",INDEX(Deals!$U$2:$U$355,MATCH($C654,Deals!$A$2:$A$355,0))),""))</f>
        <v/>
      </c>
      <c r="S654" s="34">
        <f>IFERROR(IF($U654="",1,INDEX(Deals!$V$2:$V$355,MATCH($C654,Deals!$A$2:$A$355,0))),1)</f>
        <v/>
      </c>
      <c r="T654" s="34">
        <f>IFERROR(IF($U654="",1,INDEX(Deals!$W$2:$W$355,MATCH($C654,Deals!$A$2:$A$355,0))),1)</f>
        <v/>
      </c>
      <c r="U654" s="22">
        <f>IF($C654="","",IFERROR(IF(INDEX(Deals!$Y$2:$Y$355,MATCH($C654,Deals!$A$2:$A$355,0))=0,"",INDEX(Deals!$Y$2:$Y$355,MATCH($C654,Deals!$A$2:$A$355,0))),""))</f>
        <v/>
      </c>
      <c r="V654" s="35">
        <f>IF(OR($U654&lt;&gt;"",AND($AO654&gt;0,$L654&lt;&gt;"",$M654&lt;&gt;"")),$N654,DATE(1900,1,1))</f>
        <v/>
      </c>
      <c r="W654" s="35">
        <f>IF($U654&lt;&gt;"",$U654,IF(AND($AO654&gt;0,$L654&lt;&gt;"",$M654&lt;&gt;""),$O654,DATE(2100,12,31)))</f>
        <v/>
      </c>
      <c r="X654" s="32">
        <f>IF($U654="",$K654,$K654*$S654)</f>
        <v/>
      </c>
      <c r="Y654" s="35">
        <f>IF($U654="",DATE(2100,12,31),$U654+1)</f>
        <v/>
      </c>
      <c r="Z654" s="35">
        <f>IF($U654="",DATE(1900,1,1),$O654)</f>
        <v/>
      </c>
      <c r="AA654" s="32">
        <f>IF($U654="",0,$K654*$T654)</f>
        <v/>
      </c>
      <c r="AB654" s="21">
        <f>IF($C654="",0,IFERROR(INDEX(Deals!$AD$2:$AD$355,MATCH($C654,Deals!$A$2:$A$355,0)),0))</f>
        <v/>
      </c>
      <c r="AC654" s="32">
        <f>IF(Settings!$B$4="Yes",$I654*$AB654,$I654)</f>
        <v/>
      </c>
      <c r="AD654" s="22">
        <f>IF($C654="","",IFERROR(IF(INDEX(Deals!$AE$2:$AE$355,MATCH($C654,Deals!$A$2:$A$355,0))=0,"",INDEX(Deals!$AE$2:$AE$355,MATCH($C654,Deals!$A$2:$A$355,0))),""))</f>
        <v/>
      </c>
      <c r="AE654" s="22">
        <f>IF($C654="","",IFERROR(IF(INDEX(Deals!$AF$2:$AF$355,MATCH($C654,Deals!$A$2:$A$355,0))=0,"",INDEX(Deals!$AF$2:$AF$355,MATCH($C654,Deals!$A$2:$A$355,0))),""))</f>
        <v/>
      </c>
      <c r="AF654" s="35">
        <f>IF($AD654="",DATE(1900,1,1),$AD654)</f>
        <v/>
      </c>
      <c r="AG654" s="35">
        <f>IF($AE654="",DATE(2100,12,31),$AE654)</f>
        <v/>
      </c>
      <c r="AH654" s="22">
        <f>IF($C654="","",IFERROR(IF(INDEX(Deals!$AG$2:$AG$355,MATCH($C654,Deals!$A$2:$A$355,0))=0,"",INDEX(Deals!$AG$2:$AG$355,MATCH($C654,Deals!$A$2:$A$355,0))),""))</f>
        <v/>
      </c>
      <c r="AI654" s="35">
        <f>IF(OR($AH654&lt;&gt;"",AND($AO654&gt;0,$AD654&lt;&gt;"",$AE654&lt;&gt;"")),$AF654,DATE(1900,1,1))</f>
        <v/>
      </c>
      <c r="AJ654" s="35">
        <f>IF($AH654&lt;&gt;"",$AH654,IF(AND($AO654&gt;0,$AD654&lt;&gt;"",$AE654&lt;&gt;""),$AG654,DATE(2100,12,31)))</f>
        <v/>
      </c>
      <c r="AK654" s="32">
        <f>IF($AH654="",$AC654,$AC654*$S654)</f>
        <v/>
      </c>
      <c r="AL654" s="35">
        <f>IF($AH654="",DATE(2100,12,31),$AH654+1)</f>
        <v/>
      </c>
      <c r="AM654" s="35">
        <f>IF($AH654="",DATE(1900,1,1),$AG654)</f>
        <v/>
      </c>
      <c r="AN654" s="32">
        <f>IF($AH654="",0,$AC654*$T654)</f>
        <v/>
      </c>
      <c r="AO654" s="46">
        <f>IF($C654="",0,IFERROR(INDEX(Deals!$BD$2:$BD$355,MATCH($C654,Deals!$A$2:$A$355,0)),0))</f>
        <v/>
      </c>
      <c r="AP654" s="18">
        <f>IF($AO654=0,0,IFERROR(INDEX(Deals!$BJ$2:$BP$355,MATCH($C654,Deals!$A$2:$A$355,0),MATCH($F654,Deals!$BJ$1:$BP$1,0))/COUNTIFS(Assignments!$C$2:$C$769,$C654,Assignments!$F$2:$F$769,$F654,Assignments!$G$2:$G$769,"Active"),0))</f>
        <v/>
      </c>
    </row>
    <row r="655">
      <c r="A655" s="28" t="inlineStr">
        <is>
          <t>Yiyi</t>
        </is>
      </c>
      <c r="B655" s="16">
        <f>IF($A655="","",IFERROR(INDEX(Roster!$B$2:$B$40,MATCH($A655,Roster!$A$2:$A$40,0)),"?"))</f>
        <v/>
      </c>
      <c r="C655" s="28" t="inlineStr">
        <is>
          <t>Winchester_1</t>
        </is>
      </c>
      <c r="D655" s="16">
        <f>IF($C655="","",IFERROR(IF(INDEX(Deals!$C$2:$C$355,MATCH($C655,Deals!$A$2:$A$355,0))=0,"",INDEX(Deals!$C$2:$C$355,MATCH($C655,Deals!$A$2:$A$355,0))),"?"))</f>
        <v/>
      </c>
      <c r="E655" s="16">
        <f>IF($C655="","",IFERROR(INDEX(Deals!$F$2:$F$355,MATCH($C655,Deals!$A$2:$A$355,0)),"?"))</f>
        <v/>
      </c>
      <c r="F655" s="28" t="inlineStr">
        <is>
          <t>Renewable Specialist</t>
        </is>
      </c>
      <c r="G655" s="28" t="inlineStr">
        <is>
          <t>Active</t>
        </is>
      </c>
      <c r="H655" s="31" t="n"/>
      <c r="I655" s="32">
        <f>IF(OR($A655="",$G655&lt;&gt;"Active"),0,IF($H655&lt;&gt;"",$H655,IF($AO655&gt;0,$AP655,IF(AND($R655&lt;&gt;"",IFERROR(INDEX(Templates!$B$3:$H$10,MATCH($R655,Templates!$A$3:$A$10,0),MATCH($F655,Templates!$B$2:$H$2,0)),0)&gt;0),INDEX(Templates!$B$3:$H$10,MATCH($R655,Templates!$A$3:$A$10,0),MATCH($F655,Templates!$B$2:$H$2,0)),IFERROR(INDEX(Settings!$B$8:$B$14,MATCH($F655,Settings!$A$8:$A$14,0)),0)))))</f>
        <v/>
      </c>
      <c r="J655" s="21">
        <f>IF($C655="",0,IFERROR(INDEX(Deals!$H$2:$H$355,MATCH($C655,Deals!$A$2:$A$355,0)),0))</f>
        <v/>
      </c>
      <c r="K655" s="32">
        <f>IF(Settings!$B$4="Yes",$I655*$J655,$I655)</f>
        <v/>
      </c>
      <c r="L655" s="22">
        <f>IF($C655="","",IFERROR(IF(INDEX(Deals!$I$2:$I$355,MATCH($C655,Deals!$A$2:$A$355,0))=0,"",INDEX(Deals!$I$2:$I$355,MATCH($C655,Deals!$A$2:$A$355,0))),""))</f>
        <v/>
      </c>
      <c r="M655" s="22">
        <f>IF($C655="","",IFERROR(IF(INDEX(Deals!$J$2:$J$355,MATCH($C655,Deals!$A$2:$A$355,0))=0,"",INDEX(Deals!$J$2:$J$355,MATCH($C655,Deals!$A$2:$A$355,0))),""))</f>
        <v/>
      </c>
      <c r="N655" s="35">
        <f>IF($L655="",DATE(1900,1,1),$L655)</f>
        <v/>
      </c>
      <c r="O655" s="35">
        <f>IF($M655="",DATE(2100,12,31),$M655)</f>
        <v/>
      </c>
      <c r="P655" s="20" t="inlineStr"/>
      <c r="Q655" s="47" t="inlineStr"/>
      <c r="R655" s="16">
        <f>IF($C655="","",IFERROR(IF(INDEX(Deals!$U$2:$U$355,MATCH($C655,Deals!$A$2:$A$355,0))=0,"",INDEX(Deals!$U$2:$U$355,MATCH($C655,Deals!$A$2:$A$355,0))),""))</f>
        <v/>
      </c>
      <c r="S655" s="34">
        <f>IFERROR(IF($U655="",1,INDEX(Deals!$V$2:$V$355,MATCH($C655,Deals!$A$2:$A$355,0))),1)</f>
        <v/>
      </c>
      <c r="T655" s="34">
        <f>IFERROR(IF($U655="",1,INDEX(Deals!$W$2:$W$355,MATCH($C655,Deals!$A$2:$A$355,0))),1)</f>
        <v/>
      </c>
      <c r="U655" s="22">
        <f>IF($C655="","",IFERROR(IF(INDEX(Deals!$Y$2:$Y$355,MATCH($C655,Deals!$A$2:$A$355,0))=0,"",INDEX(Deals!$Y$2:$Y$355,MATCH($C655,Deals!$A$2:$A$355,0))),""))</f>
        <v/>
      </c>
      <c r="V655" s="35">
        <f>IF(OR($U655&lt;&gt;"",AND($AO655&gt;0,$L655&lt;&gt;"",$M655&lt;&gt;"")),$N655,DATE(1900,1,1))</f>
        <v/>
      </c>
      <c r="W655" s="35">
        <f>IF($U655&lt;&gt;"",$U655,IF(AND($AO655&gt;0,$L655&lt;&gt;"",$M655&lt;&gt;""),$O655,DATE(2100,12,31)))</f>
        <v/>
      </c>
      <c r="X655" s="32">
        <f>IF($U655="",$K655,$K655*$S655)</f>
        <v/>
      </c>
      <c r="Y655" s="35">
        <f>IF($U655="",DATE(2100,12,31),$U655+1)</f>
        <v/>
      </c>
      <c r="Z655" s="35">
        <f>IF($U655="",DATE(1900,1,1),$O655)</f>
        <v/>
      </c>
      <c r="AA655" s="32">
        <f>IF($U655="",0,$K655*$T655)</f>
        <v/>
      </c>
      <c r="AB655" s="21">
        <f>IF($C655="",0,IFERROR(INDEX(Deals!$AD$2:$AD$355,MATCH($C655,Deals!$A$2:$A$355,0)),0))</f>
        <v/>
      </c>
      <c r="AC655" s="32">
        <f>IF(Settings!$B$4="Yes",$I655*$AB655,$I655)</f>
        <v/>
      </c>
      <c r="AD655" s="22">
        <f>IF($C655="","",IFERROR(IF(INDEX(Deals!$AE$2:$AE$355,MATCH($C655,Deals!$A$2:$A$355,0))=0,"",INDEX(Deals!$AE$2:$AE$355,MATCH($C655,Deals!$A$2:$A$355,0))),""))</f>
        <v/>
      </c>
      <c r="AE655" s="22">
        <f>IF($C655="","",IFERROR(IF(INDEX(Deals!$AF$2:$AF$355,MATCH($C655,Deals!$A$2:$A$355,0))=0,"",INDEX(Deals!$AF$2:$AF$355,MATCH($C655,Deals!$A$2:$A$355,0))),""))</f>
        <v/>
      </c>
      <c r="AF655" s="35">
        <f>IF($AD655="",DATE(1900,1,1),$AD655)</f>
        <v/>
      </c>
      <c r="AG655" s="35">
        <f>IF($AE655="",DATE(2100,12,31),$AE655)</f>
        <v/>
      </c>
      <c r="AH655" s="22">
        <f>IF($C655="","",IFERROR(IF(INDEX(Deals!$AG$2:$AG$355,MATCH($C655,Deals!$A$2:$A$355,0))=0,"",INDEX(Deals!$AG$2:$AG$355,MATCH($C655,Deals!$A$2:$A$355,0))),""))</f>
        <v/>
      </c>
      <c r="AI655" s="35">
        <f>IF(OR($AH655&lt;&gt;"",AND($AO655&gt;0,$AD655&lt;&gt;"",$AE655&lt;&gt;"")),$AF655,DATE(1900,1,1))</f>
        <v/>
      </c>
      <c r="AJ655" s="35">
        <f>IF($AH655&lt;&gt;"",$AH655,IF(AND($AO655&gt;0,$AD655&lt;&gt;"",$AE655&lt;&gt;""),$AG655,DATE(2100,12,31)))</f>
        <v/>
      </c>
      <c r="AK655" s="32">
        <f>IF($AH655="",$AC655,$AC655*$S655)</f>
        <v/>
      </c>
      <c r="AL655" s="35">
        <f>IF($AH655="",DATE(2100,12,31),$AH655+1)</f>
        <v/>
      </c>
      <c r="AM655" s="35">
        <f>IF($AH655="",DATE(1900,1,1),$AG655)</f>
        <v/>
      </c>
      <c r="AN655" s="32">
        <f>IF($AH655="",0,$AC655*$T655)</f>
        <v/>
      </c>
      <c r="AO655" s="46">
        <f>IF($C655="",0,IFERROR(INDEX(Deals!$BD$2:$BD$355,MATCH($C655,Deals!$A$2:$A$355,0)),0))</f>
        <v/>
      </c>
      <c r="AP655" s="18">
        <f>IF($AO655=0,0,IFERROR(INDEX(Deals!$BJ$2:$BP$355,MATCH($C655,Deals!$A$2:$A$355,0),MATCH($F655,Deals!$BJ$1:$BP$1,0))/COUNTIFS(Assignments!$C$2:$C$769,$C655,Assignments!$F$2:$F$769,$F655,Assignments!$G$2:$G$769,"Active"),0))</f>
        <v/>
      </c>
    </row>
    <row r="656">
      <c r="A656" s="28" t="inlineStr">
        <is>
          <t>Yiyi</t>
        </is>
      </c>
      <c r="B656" s="16">
        <f>IF($A656="","",IFERROR(INDEX(Roster!$B$2:$B$40,MATCH($A656,Roster!$A$2:$A$40,0)),"?"))</f>
        <v/>
      </c>
      <c r="C656" s="28" t="inlineStr">
        <is>
          <t>Yellowstone_2</t>
        </is>
      </c>
      <c r="D656" s="16">
        <f>IF($C656="","",IFERROR(IF(INDEX(Deals!$C$2:$C$355,MATCH($C656,Deals!$A$2:$A$355,0))=0,"",INDEX(Deals!$C$2:$C$355,MATCH($C656,Deals!$A$2:$A$355,0))),"?"))</f>
        <v/>
      </c>
      <c r="E656" s="16">
        <f>IF($C656="","",IFERROR(INDEX(Deals!$F$2:$F$355,MATCH($C656,Deals!$A$2:$A$355,0)),"?"))</f>
        <v/>
      </c>
      <c r="F656" s="28" t="inlineStr">
        <is>
          <t>Renewable Specialist</t>
        </is>
      </c>
      <c r="G656" s="28" t="inlineStr">
        <is>
          <t>Active</t>
        </is>
      </c>
      <c r="H656" s="31" t="n"/>
      <c r="I656" s="32">
        <f>IF(OR($A656="",$G656&lt;&gt;"Active"),0,IF($H656&lt;&gt;"",$H656,IF($AO656&gt;0,$AP656,IF(AND($R656&lt;&gt;"",IFERROR(INDEX(Templates!$B$3:$H$10,MATCH($R656,Templates!$A$3:$A$10,0),MATCH($F656,Templates!$B$2:$H$2,0)),0)&gt;0),INDEX(Templates!$B$3:$H$10,MATCH($R656,Templates!$A$3:$A$10,0),MATCH($F656,Templates!$B$2:$H$2,0)),IFERROR(INDEX(Settings!$B$8:$B$14,MATCH($F656,Settings!$A$8:$A$14,0)),0)))))</f>
        <v/>
      </c>
      <c r="J656" s="21">
        <f>IF($C656="",0,IFERROR(INDEX(Deals!$H$2:$H$355,MATCH($C656,Deals!$A$2:$A$355,0)),0))</f>
        <v/>
      </c>
      <c r="K656" s="32">
        <f>IF(Settings!$B$4="Yes",$I656*$J656,$I656)</f>
        <v/>
      </c>
      <c r="L656" s="22">
        <f>IF($C656="","",IFERROR(IF(INDEX(Deals!$I$2:$I$355,MATCH($C656,Deals!$A$2:$A$355,0))=0,"",INDEX(Deals!$I$2:$I$355,MATCH($C656,Deals!$A$2:$A$355,0))),""))</f>
        <v/>
      </c>
      <c r="M656" s="22">
        <f>IF($C656="","",IFERROR(IF(INDEX(Deals!$J$2:$J$355,MATCH($C656,Deals!$A$2:$A$355,0))=0,"",INDEX(Deals!$J$2:$J$355,MATCH($C656,Deals!$A$2:$A$355,0))),""))</f>
        <v/>
      </c>
      <c r="N656" s="35">
        <f>IF($L656="",DATE(1900,1,1),$L656)</f>
        <v/>
      </c>
      <c r="O656" s="35">
        <f>IF($M656="",DATE(2100,12,31),$M656)</f>
        <v/>
      </c>
      <c r="P656" s="20" t="inlineStr"/>
      <c r="Q656" s="47" t="inlineStr"/>
      <c r="R656" s="16">
        <f>IF($C656="","",IFERROR(IF(INDEX(Deals!$U$2:$U$355,MATCH($C656,Deals!$A$2:$A$355,0))=0,"",INDEX(Deals!$U$2:$U$355,MATCH($C656,Deals!$A$2:$A$355,0))),""))</f>
        <v/>
      </c>
      <c r="S656" s="34">
        <f>IFERROR(IF($U656="",1,INDEX(Deals!$V$2:$V$355,MATCH($C656,Deals!$A$2:$A$355,0))),1)</f>
        <v/>
      </c>
      <c r="T656" s="34">
        <f>IFERROR(IF($U656="",1,INDEX(Deals!$W$2:$W$355,MATCH($C656,Deals!$A$2:$A$355,0))),1)</f>
        <v/>
      </c>
      <c r="U656" s="22">
        <f>IF($C656="","",IFERROR(IF(INDEX(Deals!$Y$2:$Y$355,MATCH($C656,Deals!$A$2:$A$355,0))=0,"",INDEX(Deals!$Y$2:$Y$355,MATCH($C656,Deals!$A$2:$A$355,0))),""))</f>
        <v/>
      </c>
      <c r="V656" s="35">
        <f>IF(OR($U656&lt;&gt;"",AND($AO656&gt;0,$L656&lt;&gt;"",$M656&lt;&gt;"")),$N656,DATE(1900,1,1))</f>
        <v/>
      </c>
      <c r="W656" s="35">
        <f>IF($U656&lt;&gt;"",$U656,IF(AND($AO656&gt;0,$L656&lt;&gt;"",$M656&lt;&gt;""),$O656,DATE(2100,12,31)))</f>
        <v/>
      </c>
      <c r="X656" s="32">
        <f>IF($U656="",$K656,$K656*$S656)</f>
        <v/>
      </c>
      <c r="Y656" s="35">
        <f>IF($U656="",DATE(2100,12,31),$U656+1)</f>
        <v/>
      </c>
      <c r="Z656" s="35">
        <f>IF($U656="",DATE(1900,1,1),$O656)</f>
        <v/>
      </c>
      <c r="AA656" s="32">
        <f>IF($U656="",0,$K656*$T656)</f>
        <v/>
      </c>
      <c r="AB656" s="21">
        <f>IF($C656="",0,IFERROR(INDEX(Deals!$AD$2:$AD$355,MATCH($C656,Deals!$A$2:$A$355,0)),0))</f>
        <v/>
      </c>
      <c r="AC656" s="32">
        <f>IF(Settings!$B$4="Yes",$I656*$AB656,$I656)</f>
        <v/>
      </c>
      <c r="AD656" s="22">
        <f>IF($C656="","",IFERROR(IF(INDEX(Deals!$AE$2:$AE$355,MATCH($C656,Deals!$A$2:$A$355,0))=0,"",INDEX(Deals!$AE$2:$AE$355,MATCH($C656,Deals!$A$2:$A$355,0))),""))</f>
        <v/>
      </c>
      <c r="AE656" s="22">
        <f>IF($C656="","",IFERROR(IF(INDEX(Deals!$AF$2:$AF$355,MATCH($C656,Deals!$A$2:$A$355,0))=0,"",INDEX(Deals!$AF$2:$AF$355,MATCH($C656,Deals!$A$2:$A$355,0))),""))</f>
        <v/>
      </c>
      <c r="AF656" s="35">
        <f>IF($AD656="",DATE(1900,1,1),$AD656)</f>
        <v/>
      </c>
      <c r="AG656" s="35">
        <f>IF($AE656="",DATE(2100,12,31),$AE656)</f>
        <v/>
      </c>
      <c r="AH656" s="22">
        <f>IF($C656="","",IFERROR(IF(INDEX(Deals!$AG$2:$AG$355,MATCH($C656,Deals!$A$2:$A$355,0))=0,"",INDEX(Deals!$AG$2:$AG$355,MATCH($C656,Deals!$A$2:$A$355,0))),""))</f>
        <v/>
      </c>
      <c r="AI656" s="35">
        <f>IF(OR($AH656&lt;&gt;"",AND($AO656&gt;0,$AD656&lt;&gt;"",$AE656&lt;&gt;"")),$AF656,DATE(1900,1,1))</f>
        <v/>
      </c>
      <c r="AJ656" s="35">
        <f>IF($AH656&lt;&gt;"",$AH656,IF(AND($AO656&gt;0,$AD656&lt;&gt;"",$AE656&lt;&gt;""),$AG656,DATE(2100,12,31)))</f>
        <v/>
      </c>
      <c r="AK656" s="32">
        <f>IF($AH656="",$AC656,$AC656*$S656)</f>
        <v/>
      </c>
      <c r="AL656" s="35">
        <f>IF($AH656="",DATE(2100,12,31),$AH656+1)</f>
        <v/>
      </c>
      <c r="AM656" s="35">
        <f>IF($AH656="",DATE(1900,1,1),$AG656)</f>
        <v/>
      </c>
      <c r="AN656" s="32">
        <f>IF($AH656="",0,$AC656*$T656)</f>
        <v/>
      </c>
      <c r="AO656" s="46">
        <f>IF($C656="",0,IFERROR(INDEX(Deals!$BD$2:$BD$355,MATCH($C656,Deals!$A$2:$A$355,0)),0))</f>
        <v/>
      </c>
      <c r="AP656" s="18">
        <f>IF($AO656=0,0,IFERROR(INDEX(Deals!$BJ$2:$BP$355,MATCH($C656,Deals!$A$2:$A$355,0),MATCH($F656,Deals!$BJ$1:$BP$1,0))/COUNTIFS(Assignments!$C$2:$C$769,$C656,Assignments!$F$2:$F$769,$F656,Assignments!$G$2:$G$769,"Active"),0))</f>
        <v/>
      </c>
    </row>
    <row r="657">
      <c r="A657" s="28" t="inlineStr">
        <is>
          <t>Yiyi</t>
        </is>
      </c>
      <c r="B657" s="16">
        <f>IF($A657="","",IFERROR(INDEX(Roster!$B$2:$B$40,MATCH($A657,Roster!$A$2:$A$40,0)),"?"))</f>
        <v/>
      </c>
      <c r="C657" s="28" t="inlineStr">
        <is>
          <t>Zora_1</t>
        </is>
      </c>
      <c r="D657" s="16">
        <f>IF($C657="","",IFERROR(IF(INDEX(Deals!$C$2:$C$355,MATCH($C657,Deals!$A$2:$A$355,0))=0,"",INDEX(Deals!$C$2:$C$355,MATCH($C657,Deals!$A$2:$A$355,0))),"?"))</f>
        <v/>
      </c>
      <c r="E657" s="16">
        <f>IF($C657="","",IFERROR(INDEX(Deals!$F$2:$F$355,MATCH($C657,Deals!$A$2:$A$355,0)),"?"))</f>
        <v/>
      </c>
      <c r="F657" s="28" t="inlineStr">
        <is>
          <t>Renewable Specialist</t>
        </is>
      </c>
      <c r="G657" s="28" t="inlineStr">
        <is>
          <t>Active</t>
        </is>
      </c>
      <c r="H657" s="31" t="n"/>
      <c r="I657" s="32">
        <f>IF(OR($A657="",$G657&lt;&gt;"Active"),0,IF($H657&lt;&gt;"",$H657,IF($AO657&gt;0,$AP657,IF(AND($R657&lt;&gt;"",IFERROR(INDEX(Templates!$B$3:$H$10,MATCH($R657,Templates!$A$3:$A$10,0),MATCH($F657,Templates!$B$2:$H$2,0)),0)&gt;0),INDEX(Templates!$B$3:$H$10,MATCH($R657,Templates!$A$3:$A$10,0),MATCH($F657,Templates!$B$2:$H$2,0)),IFERROR(INDEX(Settings!$B$8:$B$14,MATCH($F657,Settings!$A$8:$A$14,0)),0)))))</f>
        <v/>
      </c>
      <c r="J657" s="21">
        <f>IF($C657="",0,IFERROR(INDEX(Deals!$H$2:$H$355,MATCH($C657,Deals!$A$2:$A$355,0)),0))</f>
        <v/>
      </c>
      <c r="K657" s="32">
        <f>IF(Settings!$B$4="Yes",$I657*$J657,$I657)</f>
        <v/>
      </c>
      <c r="L657" s="22">
        <f>IF($C657="","",IFERROR(IF(INDEX(Deals!$I$2:$I$355,MATCH($C657,Deals!$A$2:$A$355,0))=0,"",INDEX(Deals!$I$2:$I$355,MATCH($C657,Deals!$A$2:$A$355,0))),""))</f>
        <v/>
      </c>
      <c r="M657" s="22">
        <f>IF($C657="","",IFERROR(IF(INDEX(Deals!$J$2:$J$355,MATCH($C657,Deals!$A$2:$A$355,0))=0,"",INDEX(Deals!$J$2:$J$355,MATCH($C657,Deals!$A$2:$A$355,0))),""))</f>
        <v/>
      </c>
      <c r="N657" s="35">
        <f>IF($L657="",DATE(1900,1,1),$L657)</f>
        <v/>
      </c>
      <c r="O657" s="35">
        <f>IF($M657="",DATE(2100,12,31),$M657)</f>
        <v/>
      </c>
      <c r="P657" s="20" t="inlineStr"/>
      <c r="Q657" s="47" t="inlineStr"/>
      <c r="R657" s="16">
        <f>IF($C657="","",IFERROR(IF(INDEX(Deals!$U$2:$U$355,MATCH($C657,Deals!$A$2:$A$355,0))=0,"",INDEX(Deals!$U$2:$U$355,MATCH($C657,Deals!$A$2:$A$355,0))),""))</f>
        <v/>
      </c>
      <c r="S657" s="34">
        <f>IFERROR(IF($U657="",1,INDEX(Deals!$V$2:$V$355,MATCH($C657,Deals!$A$2:$A$355,0))),1)</f>
        <v/>
      </c>
      <c r="T657" s="34">
        <f>IFERROR(IF($U657="",1,INDEX(Deals!$W$2:$W$355,MATCH($C657,Deals!$A$2:$A$355,0))),1)</f>
        <v/>
      </c>
      <c r="U657" s="22">
        <f>IF($C657="","",IFERROR(IF(INDEX(Deals!$Y$2:$Y$355,MATCH($C657,Deals!$A$2:$A$355,0))=0,"",INDEX(Deals!$Y$2:$Y$355,MATCH($C657,Deals!$A$2:$A$355,0))),""))</f>
        <v/>
      </c>
      <c r="V657" s="35">
        <f>IF(OR($U657&lt;&gt;"",AND($AO657&gt;0,$L657&lt;&gt;"",$M657&lt;&gt;"")),$N657,DATE(1900,1,1))</f>
        <v/>
      </c>
      <c r="W657" s="35">
        <f>IF($U657&lt;&gt;"",$U657,IF(AND($AO657&gt;0,$L657&lt;&gt;"",$M657&lt;&gt;""),$O657,DATE(2100,12,31)))</f>
        <v/>
      </c>
      <c r="X657" s="32">
        <f>IF($U657="",$K657,$K657*$S657)</f>
        <v/>
      </c>
      <c r="Y657" s="35">
        <f>IF($U657="",DATE(2100,12,31),$U657+1)</f>
        <v/>
      </c>
      <c r="Z657" s="35">
        <f>IF($U657="",DATE(1900,1,1),$O657)</f>
        <v/>
      </c>
      <c r="AA657" s="32">
        <f>IF($U657="",0,$K657*$T657)</f>
        <v/>
      </c>
      <c r="AB657" s="21">
        <f>IF($C657="",0,IFERROR(INDEX(Deals!$AD$2:$AD$355,MATCH($C657,Deals!$A$2:$A$355,0)),0))</f>
        <v/>
      </c>
      <c r="AC657" s="32">
        <f>IF(Settings!$B$4="Yes",$I657*$AB657,$I657)</f>
        <v/>
      </c>
      <c r="AD657" s="22">
        <f>IF($C657="","",IFERROR(IF(INDEX(Deals!$AE$2:$AE$355,MATCH($C657,Deals!$A$2:$A$355,0))=0,"",INDEX(Deals!$AE$2:$AE$355,MATCH($C657,Deals!$A$2:$A$355,0))),""))</f>
        <v/>
      </c>
      <c r="AE657" s="22">
        <f>IF($C657="","",IFERROR(IF(INDEX(Deals!$AF$2:$AF$355,MATCH($C657,Deals!$A$2:$A$355,0))=0,"",INDEX(Deals!$AF$2:$AF$355,MATCH($C657,Deals!$A$2:$A$355,0))),""))</f>
        <v/>
      </c>
      <c r="AF657" s="35">
        <f>IF($AD657="",DATE(1900,1,1),$AD657)</f>
        <v/>
      </c>
      <c r="AG657" s="35">
        <f>IF($AE657="",DATE(2100,12,31),$AE657)</f>
        <v/>
      </c>
      <c r="AH657" s="22">
        <f>IF($C657="","",IFERROR(IF(INDEX(Deals!$AG$2:$AG$355,MATCH($C657,Deals!$A$2:$A$355,0))=0,"",INDEX(Deals!$AG$2:$AG$355,MATCH($C657,Deals!$A$2:$A$355,0))),""))</f>
        <v/>
      </c>
      <c r="AI657" s="35">
        <f>IF(OR($AH657&lt;&gt;"",AND($AO657&gt;0,$AD657&lt;&gt;"",$AE657&lt;&gt;"")),$AF657,DATE(1900,1,1))</f>
        <v/>
      </c>
      <c r="AJ657" s="35">
        <f>IF($AH657&lt;&gt;"",$AH657,IF(AND($AO657&gt;0,$AD657&lt;&gt;"",$AE657&lt;&gt;""),$AG657,DATE(2100,12,31)))</f>
        <v/>
      </c>
      <c r="AK657" s="32">
        <f>IF($AH657="",$AC657,$AC657*$S657)</f>
        <v/>
      </c>
      <c r="AL657" s="35">
        <f>IF($AH657="",DATE(2100,12,31),$AH657+1)</f>
        <v/>
      </c>
      <c r="AM657" s="35">
        <f>IF($AH657="",DATE(1900,1,1),$AG657)</f>
        <v/>
      </c>
      <c r="AN657" s="32">
        <f>IF($AH657="",0,$AC657*$T657)</f>
        <v/>
      </c>
      <c r="AO657" s="46">
        <f>IF($C657="",0,IFERROR(INDEX(Deals!$BD$2:$BD$355,MATCH($C657,Deals!$A$2:$A$355,0)),0))</f>
        <v/>
      </c>
      <c r="AP657" s="18">
        <f>IF($AO657=0,0,IFERROR(INDEX(Deals!$BJ$2:$BP$355,MATCH($C657,Deals!$A$2:$A$355,0),MATCH($F657,Deals!$BJ$1:$BP$1,0))/COUNTIFS(Assignments!$C$2:$C$769,$C657,Assignments!$F$2:$F$769,$F657,Assignments!$G$2:$G$769,"Active"),0))</f>
        <v/>
      </c>
    </row>
    <row r="658">
      <c r="A658" s="28" t="inlineStr">
        <is>
          <t>Eric</t>
        </is>
      </c>
      <c r="B658" s="16">
        <f>IF($A658="","",IFERROR(INDEX(Roster!$B$2:$B$40,MATCH($A658,Roster!$A$2:$A$40,0)),"?"))</f>
        <v/>
      </c>
      <c r="C658" s="28" t="inlineStr">
        <is>
          <t>AZ BESS_1</t>
        </is>
      </c>
      <c r="D658" s="16">
        <f>IF($C658="","",IFERROR(IF(INDEX(Deals!$C$2:$C$355,MATCH($C658,Deals!$A$2:$A$355,0))=0,"",INDEX(Deals!$C$2:$C$355,MATCH($C658,Deals!$A$2:$A$355,0))),"?"))</f>
        <v/>
      </c>
      <c r="E658" s="16">
        <f>IF($C658="","",IFERROR(INDEX(Deals!$F$2:$F$355,MATCH($C658,Deals!$A$2:$A$355,0)),"?"))</f>
        <v/>
      </c>
      <c r="F658" s="28" t="inlineStr">
        <is>
          <t>Renewable Specialist</t>
        </is>
      </c>
      <c r="G658" s="28" t="inlineStr">
        <is>
          <t>Active</t>
        </is>
      </c>
      <c r="H658" s="31" t="n"/>
      <c r="I658" s="32">
        <f>IF(OR($A658="",$G658&lt;&gt;"Active"),0,IF($H658&lt;&gt;"",$H658,IF($AO658&gt;0,$AP658,IF(AND($R658&lt;&gt;"",IFERROR(INDEX(Templates!$B$3:$H$10,MATCH($R658,Templates!$A$3:$A$10,0),MATCH($F658,Templates!$B$2:$H$2,0)),0)&gt;0),INDEX(Templates!$B$3:$H$10,MATCH($R658,Templates!$A$3:$A$10,0),MATCH($F658,Templates!$B$2:$H$2,0)),IFERROR(INDEX(Settings!$B$8:$B$14,MATCH($F658,Settings!$A$8:$A$14,0)),0)))))</f>
        <v/>
      </c>
      <c r="J658" s="21">
        <f>IF($C658="",0,IFERROR(INDEX(Deals!$H$2:$H$355,MATCH($C658,Deals!$A$2:$A$355,0)),0))</f>
        <v/>
      </c>
      <c r="K658" s="32">
        <f>IF(Settings!$B$4="Yes",$I658*$J658,$I658)</f>
        <v/>
      </c>
      <c r="L658" s="22">
        <f>IF($C658="","",IFERROR(IF(INDEX(Deals!$I$2:$I$355,MATCH($C658,Deals!$A$2:$A$355,0))=0,"",INDEX(Deals!$I$2:$I$355,MATCH($C658,Deals!$A$2:$A$355,0))),""))</f>
        <v/>
      </c>
      <c r="M658" s="22">
        <f>IF($C658="","",IFERROR(IF(INDEX(Deals!$J$2:$J$355,MATCH($C658,Deals!$A$2:$A$355,0))=0,"",INDEX(Deals!$J$2:$J$355,MATCH($C658,Deals!$A$2:$A$355,0))),""))</f>
        <v/>
      </c>
      <c r="N658" s="35">
        <f>IF($L658="",DATE(1900,1,1),$L658)</f>
        <v/>
      </c>
      <c r="O658" s="35">
        <f>IF($M658="",DATE(2100,12,31),$M658)</f>
        <v/>
      </c>
      <c r="P658" s="20" t="inlineStr"/>
      <c r="Q658" s="47" t="inlineStr"/>
      <c r="R658" s="16">
        <f>IF($C658="","",IFERROR(IF(INDEX(Deals!$U$2:$U$355,MATCH($C658,Deals!$A$2:$A$355,0))=0,"",INDEX(Deals!$U$2:$U$355,MATCH($C658,Deals!$A$2:$A$355,0))),""))</f>
        <v/>
      </c>
      <c r="S658" s="34">
        <f>IFERROR(IF($U658="",1,INDEX(Deals!$V$2:$V$355,MATCH($C658,Deals!$A$2:$A$355,0))),1)</f>
        <v/>
      </c>
      <c r="T658" s="34">
        <f>IFERROR(IF($U658="",1,INDEX(Deals!$W$2:$W$355,MATCH($C658,Deals!$A$2:$A$355,0))),1)</f>
        <v/>
      </c>
      <c r="U658" s="22">
        <f>IF($C658="","",IFERROR(IF(INDEX(Deals!$Y$2:$Y$355,MATCH($C658,Deals!$A$2:$A$355,0))=0,"",INDEX(Deals!$Y$2:$Y$355,MATCH($C658,Deals!$A$2:$A$355,0))),""))</f>
        <v/>
      </c>
      <c r="V658" s="35">
        <f>IF(OR($U658&lt;&gt;"",AND($AO658&gt;0,$L658&lt;&gt;"",$M658&lt;&gt;"")),$N658,DATE(1900,1,1))</f>
        <v/>
      </c>
      <c r="W658" s="35">
        <f>IF($U658&lt;&gt;"",$U658,IF(AND($AO658&gt;0,$L658&lt;&gt;"",$M658&lt;&gt;""),$O658,DATE(2100,12,31)))</f>
        <v/>
      </c>
      <c r="X658" s="32">
        <f>IF($U658="",$K658,$K658*$S658)</f>
        <v/>
      </c>
      <c r="Y658" s="35">
        <f>IF($U658="",DATE(2100,12,31),$U658+1)</f>
        <v/>
      </c>
      <c r="Z658" s="35">
        <f>IF($U658="",DATE(1900,1,1),$O658)</f>
        <v/>
      </c>
      <c r="AA658" s="32">
        <f>IF($U658="",0,$K658*$T658)</f>
        <v/>
      </c>
      <c r="AB658" s="21">
        <f>IF($C658="",0,IFERROR(INDEX(Deals!$AD$2:$AD$355,MATCH($C658,Deals!$A$2:$A$355,0)),0))</f>
        <v/>
      </c>
      <c r="AC658" s="32">
        <f>IF(Settings!$B$4="Yes",$I658*$AB658,$I658)</f>
        <v/>
      </c>
      <c r="AD658" s="22">
        <f>IF($C658="","",IFERROR(IF(INDEX(Deals!$AE$2:$AE$355,MATCH($C658,Deals!$A$2:$A$355,0))=0,"",INDEX(Deals!$AE$2:$AE$355,MATCH($C658,Deals!$A$2:$A$355,0))),""))</f>
        <v/>
      </c>
      <c r="AE658" s="22">
        <f>IF($C658="","",IFERROR(IF(INDEX(Deals!$AF$2:$AF$355,MATCH($C658,Deals!$A$2:$A$355,0))=0,"",INDEX(Deals!$AF$2:$AF$355,MATCH($C658,Deals!$A$2:$A$355,0))),""))</f>
        <v/>
      </c>
      <c r="AF658" s="35">
        <f>IF($AD658="",DATE(1900,1,1),$AD658)</f>
        <v/>
      </c>
      <c r="AG658" s="35">
        <f>IF($AE658="",DATE(2100,12,31),$AE658)</f>
        <v/>
      </c>
      <c r="AH658" s="22">
        <f>IF($C658="","",IFERROR(IF(INDEX(Deals!$AG$2:$AG$355,MATCH($C658,Deals!$A$2:$A$355,0))=0,"",INDEX(Deals!$AG$2:$AG$355,MATCH($C658,Deals!$A$2:$A$355,0))),""))</f>
        <v/>
      </c>
      <c r="AI658" s="35">
        <f>IF(OR($AH658&lt;&gt;"",AND($AO658&gt;0,$AD658&lt;&gt;"",$AE658&lt;&gt;"")),$AF658,DATE(1900,1,1))</f>
        <v/>
      </c>
      <c r="AJ658" s="35">
        <f>IF($AH658&lt;&gt;"",$AH658,IF(AND($AO658&gt;0,$AD658&lt;&gt;"",$AE658&lt;&gt;""),$AG658,DATE(2100,12,31)))</f>
        <v/>
      </c>
      <c r="AK658" s="32">
        <f>IF($AH658="",$AC658,$AC658*$S658)</f>
        <v/>
      </c>
      <c r="AL658" s="35">
        <f>IF($AH658="",DATE(2100,12,31),$AH658+1)</f>
        <v/>
      </c>
      <c r="AM658" s="35">
        <f>IF($AH658="",DATE(1900,1,1),$AG658)</f>
        <v/>
      </c>
      <c r="AN658" s="32">
        <f>IF($AH658="",0,$AC658*$T658)</f>
        <v/>
      </c>
      <c r="AO658" s="46">
        <f>IF($C658="",0,IFERROR(INDEX(Deals!$BD$2:$BD$355,MATCH($C658,Deals!$A$2:$A$355,0)),0))</f>
        <v/>
      </c>
      <c r="AP658" s="18">
        <f>IF($AO658=0,0,IFERROR(INDEX(Deals!$BJ$2:$BP$355,MATCH($C658,Deals!$A$2:$A$355,0),MATCH($F658,Deals!$BJ$1:$BP$1,0))/COUNTIFS(Assignments!$C$2:$C$769,$C658,Assignments!$F$2:$F$769,$F658,Assignments!$G$2:$G$769,"Active"),0))</f>
        <v/>
      </c>
    </row>
    <row r="659">
      <c r="A659" s="28" t="inlineStr">
        <is>
          <t>Eric</t>
        </is>
      </c>
      <c r="B659" s="16">
        <f>IF($A659="","",IFERROR(INDEX(Roster!$B$2:$B$40,MATCH($A659,Roster!$A$2:$A$40,0)),"?"))</f>
        <v/>
      </c>
      <c r="C659" s="28" t="inlineStr">
        <is>
          <t>Canyon_2</t>
        </is>
      </c>
      <c r="D659" s="16">
        <f>IF($C659="","",IFERROR(IF(INDEX(Deals!$C$2:$C$355,MATCH($C659,Deals!$A$2:$A$355,0))=0,"",INDEX(Deals!$C$2:$C$355,MATCH($C659,Deals!$A$2:$A$355,0))),"?"))</f>
        <v/>
      </c>
      <c r="E659" s="16">
        <f>IF($C659="","",IFERROR(INDEX(Deals!$F$2:$F$355,MATCH($C659,Deals!$A$2:$A$355,0)),"?"))</f>
        <v/>
      </c>
      <c r="F659" s="28" t="inlineStr">
        <is>
          <t>Renewable Specialist</t>
        </is>
      </c>
      <c r="G659" s="28" t="inlineStr">
        <is>
          <t>Active</t>
        </is>
      </c>
      <c r="H659" s="31" t="n"/>
      <c r="I659" s="32">
        <f>IF(OR($A659="",$G659&lt;&gt;"Active"),0,IF($H659&lt;&gt;"",$H659,IF($AO659&gt;0,$AP659,IF(AND($R659&lt;&gt;"",IFERROR(INDEX(Templates!$B$3:$H$10,MATCH($R659,Templates!$A$3:$A$10,0),MATCH($F659,Templates!$B$2:$H$2,0)),0)&gt;0),INDEX(Templates!$B$3:$H$10,MATCH($R659,Templates!$A$3:$A$10,0),MATCH($F659,Templates!$B$2:$H$2,0)),IFERROR(INDEX(Settings!$B$8:$B$14,MATCH($F659,Settings!$A$8:$A$14,0)),0)))))</f>
        <v/>
      </c>
      <c r="J659" s="21">
        <f>IF($C659="",0,IFERROR(INDEX(Deals!$H$2:$H$355,MATCH($C659,Deals!$A$2:$A$355,0)),0))</f>
        <v/>
      </c>
      <c r="K659" s="32">
        <f>IF(Settings!$B$4="Yes",$I659*$J659,$I659)</f>
        <v/>
      </c>
      <c r="L659" s="22">
        <f>IF($C659="","",IFERROR(IF(INDEX(Deals!$I$2:$I$355,MATCH($C659,Deals!$A$2:$A$355,0))=0,"",INDEX(Deals!$I$2:$I$355,MATCH($C659,Deals!$A$2:$A$355,0))),""))</f>
        <v/>
      </c>
      <c r="M659" s="22">
        <f>IF($C659="","",IFERROR(IF(INDEX(Deals!$J$2:$J$355,MATCH($C659,Deals!$A$2:$A$355,0))=0,"",INDEX(Deals!$J$2:$J$355,MATCH($C659,Deals!$A$2:$A$355,0))),""))</f>
        <v/>
      </c>
      <c r="N659" s="35">
        <f>IF($L659="",DATE(1900,1,1),$L659)</f>
        <v/>
      </c>
      <c r="O659" s="35">
        <f>IF($M659="",DATE(2100,12,31),$M659)</f>
        <v/>
      </c>
      <c r="P659" s="20" t="inlineStr"/>
      <c r="Q659" s="47" t="inlineStr"/>
      <c r="R659" s="16">
        <f>IF($C659="","",IFERROR(IF(INDEX(Deals!$U$2:$U$355,MATCH($C659,Deals!$A$2:$A$355,0))=0,"",INDEX(Deals!$U$2:$U$355,MATCH($C659,Deals!$A$2:$A$355,0))),""))</f>
        <v/>
      </c>
      <c r="S659" s="34">
        <f>IFERROR(IF($U659="",1,INDEX(Deals!$V$2:$V$355,MATCH($C659,Deals!$A$2:$A$355,0))),1)</f>
        <v/>
      </c>
      <c r="T659" s="34">
        <f>IFERROR(IF($U659="",1,INDEX(Deals!$W$2:$W$355,MATCH($C659,Deals!$A$2:$A$355,0))),1)</f>
        <v/>
      </c>
      <c r="U659" s="22">
        <f>IF($C659="","",IFERROR(IF(INDEX(Deals!$Y$2:$Y$355,MATCH($C659,Deals!$A$2:$A$355,0))=0,"",INDEX(Deals!$Y$2:$Y$355,MATCH($C659,Deals!$A$2:$A$355,0))),""))</f>
        <v/>
      </c>
      <c r="V659" s="35">
        <f>IF(OR($U659&lt;&gt;"",AND($AO659&gt;0,$L659&lt;&gt;"",$M659&lt;&gt;"")),$N659,DATE(1900,1,1))</f>
        <v/>
      </c>
      <c r="W659" s="35">
        <f>IF($U659&lt;&gt;"",$U659,IF(AND($AO659&gt;0,$L659&lt;&gt;"",$M659&lt;&gt;""),$O659,DATE(2100,12,31)))</f>
        <v/>
      </c>
      <c r="X659" s="32">
        <f>IF($U659="",$K659,$K659*$S659)</f>
        <v/>
      </c>
      <c r="Y659" s="35">
        <f>IF($U659="",DATE(2100,12,31),$U659+1)</f>
        <v/>
      </c>
      <c r="Z659" s="35">
        <f>IF($U659="",DATE(1900,1,1),$O659)</f>
        <v/>
      </c>
      <c r="AA659" s="32">
        <f>IF($U659="",0,$K659*$T659)</f>
        <v/>
      </c>
      <c r="AB659" s="21">
        <f>IF($C659="",0,IFERROR(INDEX(Deals!$AD$2:$AD$355,MATCH($C659,Deals!$A$2:$A$355,0)),0))</f>
        <v/>
      </c>
      <c r="AC659" s="32">
        <f>IF(Settings!$B$4="Yes",$I659*$AB659,$I659)</f>
        <v/>
      </c>
      <c r="AD659" s="22">
        <f>IF($C659="","",IFERROR(IF(INDEX(Deals!$AE$2:$AE$355,MATCH($C659,Deals!$A$2:$A$355,0))=0,"",INDEX(Deals!$AE$2:$AE$355,MATCH($C659,Deals!$A$2:$A$355,0))),""))</f>
        <v/>
      </c>
      <c r="AE659" s="22">
        <f>IF($C659="","",IFERROR(IF(INDEX(Deals!$AF$2:$AF$355,MATCH($C659,Deals!$A$2:$A$355,0))=0,"",INDEX(Deals!$AF$2:$AF$355,MATCH($C659,Deals!$A$2:$A$355,0))),""))</f>
        <v/>
      </c>
      <c r="AF659" s="35">
        <f>IF($AD659="",DATE(1900,1,1),$AD659)</f>
        <v/>
      </c>
      <c r="AG659" s="35">
        <f>IF($AE659="",DATE(2100,12,31),$AE659)</f>
        <v/>
      </c>
      <c r="AH659" s="22">
        <f>IF($C659="","",IFERROR(IF(INDEX(Deals!$AG$2:$AG$355,MATCH($C659,Deals!$A$2:$A$355,0))=0,"",INDEX(Deals!$AG$2:$AG$355,MATCH($C659,Deals!$A$2:$A$355,0))),""))</f>
        <v/>
      </c>
      <c r="AI659" s="35">
        <f>IF(OR($AH659&lt;&gt;"",AND($AO659&gt;0,$AD659&lt;&gt;"",$AE659&lt;&gt;"")),$AF659,DATE(1900,1,1))</f>
        <v/>
      </c>
      <c r="AJ659" s="35">
        <f>IF($AH659&lt;&gt;"",$AH659,IF(AND($AO659&gt;0,$AD659&lt;&gt;"",$AE659&lt;&gt;""),$AG659,DATE(2100,12,31)))</f>
        <v/>
      </c>
      <c r="AK659" s="32">
        <f>IF($AH659="",$AC659,$AC659*$S659)</f>
        <v/>
      </c>
      <c r="AL659" s="35">
        <f>IF($AH659="",DATE(2100,12,31),$AH659+1)</f>
        <v/>
      </c>
      <c r="AM659" s="35">
        <f>IF($AH659="",DATE(1900,1,1),$AG659)</f>
        <v/>
      </c>
      <c r="AN659" s="32">
        <f>IF($AH659="",0,$AC659*$T659)</f>
        <v/>
      </c>
      <c r="AO659" s="46">
        <f>IF($C659="",0,IFERROR(INDEX(Deals!$BD$2:$BD$355,MATCH($C659,Deals!$A$2:$A$355,0)),0))</f>
        <v/>
      </c>
      <c r="AP659" s="18">
        <f>IF($AO659=0,0,IFERROR(INDEX(Deals!$BJ$2:$BP$355,MATCH($C659,Deals!$A$2:$A$355,0),MATCH($F659,Deals!$BJ$1:$BP$1,0))/COUNTIFS(Assignments!$C$2:$C$769,$C659,Assignments!$F$2:$F$769,$F659,Assignments!$G$2:$G$769,"Active"),0))</f>
        <v/>
      </c>
    </row>
    <row r="660">
      <c r="A660" s="28" t="inlineStr">
        <is>
          <t>Eric</t>
        </is>
      </c>
      <c r="B660" s="16">
        <f>IF($A660="","",IFERROR(INDEX(Roster!$B$2:$B$40,MATCH($A660,Roster!$A$2:$A$40,0)),"?"))</f>
        <v/>
      </c>
      <c r="C660" s="28" t="inlineStr">
        <is>
          <t>Catalyze_2</t>
        </is>
      </c>
      <c r="D660" s="16">
        <f>IF($C660="","",IFERROR(IF(INDEX(Deals!$C$2:$C$355,MATCH($C660,Deals!$A$2:$A$355,0))=0,"",INDEX(Deals!$C$2:$C$355,MATCH($C660,Deals!$A$2:$A$355,0))),"?"))</f>
        <v/>
      </c>
      <c r="E660" s="16">
        <f>IF($C660="","",IFERROR(INDEX(Deals!$F$2:$F$355,MATCH($C660,Deals!$A$2:$A$355,0)),"?"))</f>
        <v/>
      </c>
      <c r="F660" s="28" t="inlineStr">
        <is>
          <t>Renewable Specialist</t>
        </is>
      </c>
      <c r="G660" s="28" t="inlineStr">
        <is>
          <t>Active</t>
        </is>
      </c>
      <c r="H660" s="31" t="n"/>
      <c r="I660" s="32">
        <f>IF(OR($A660="",$G660&lt;&gt;"Active"),0,IF($H660&lt;&gt;"",$H660,IF($AO660&gt;0,$AP660,IF(AND($R660&lt;&gt;"",IFERROR(INDEX(Templates!$B$3:$H$10,MATCH($R660,Templates!$A$3:$A$10,0),MATCH($F660,Templates!$B$2:$H$2,0)),0)&gt;0),INDEX(Templates!$B$3:$H$10,MATCH($R660,Templates!$A$3:$A$10,0),MATCH($F660,Templates!$B$2:$H$2,0)),IFERROR(INDEX(Settings!$B$8:$B$14,MATCH($F660,Settings!$A$8:$A$14,0)),0)))))</f>
        <v/>
      </c>
      <c r="J660" s="21">
        <f>IF($C660="",0,IFERROR(INDEX(Deals!$H$2:$H$355,MATCH($C660,Deals!$A$2:$A$355,0)),0))</f>
        <v/>
      </c>
      <c r="K660" s="32">
        <f>IF(Settings!$B$4="Yes",$I660*$J660,$I660)</f>
        <v/>
      </c>
      <c r="L660" s="22">
        <f>IF($C660="","",IFERROR(IF(INDEX(Deals!$I$2:$I$355,MATCH($C660,Deals!$A$2:$A$355,0))=0,"",INDEX(Deals!$I$2:$I$355,MATCH($C660,Deals!$A$2:$A$355,0))),""))</f>
        <v/>
      </c>
      <c r="M660" s="22">
        <f>IF($C660="","",IFERROR(IF(INDEX(Deals!$J$2:$J$355,MATCH($C660,Deals!$A$2:$A$355,0))=0,"",INDEX(Deals!$J$2:$J$355,MATCH($C660,Deals!$A$2:$A$355,0))),""))</f>
        <v/>
      </c>
      <c r="N660" s="35">
        <f>IF($L660="",DATE(1900,1,1),$L660)</f>
        <v/>
      </c>
      <c r="O660" s="35">
        <f>IF($M660="",DATE(2100,12,31),$M660)</f>
        <v/>
      </c>
      <c r="P660" s="20" t="inlineStr"/>
      <c r="Q660" s="47" t="inlineStr"/>
      <c r="R660" s="16">
        <f>IF($C660="","",IFERROR(IF(INDEX(Deals!$U$2:$U$355,MATCH($C660,Deals!$A$2:$A$355,0))=0,"",INDEX(Deals!$U$2:$U$355,MATCH($C660,Deals!$A$2:$A$355,0))),""))</f>
        <v/>
      </c>
      <c r="S660" s="34">
        <f>IFERROR(IF($U660="",1,INDEX(Deals!$V$2:$V$355,MATCH($C660,Deals!$A$2:$A$355,0))),1)</f>
        <v/>
      </c>
      <c r="T660" s="34">
        <f>IFERROR(IF($U660="",1,INDEX(Deals!$W$2:$W$355,MATCH($C660,Deals!$A$2:$A$355,0))),1)</f>
        <v/>
      </c>
      <c r="U660" s="22">
        <f>IF($C660="","",IFERROR(IF(INDEX(Deals!$Y$2:$Y$355,MATCH($C660,Deals!$A$2:$A$355,0))=0,"",INDEX(Deals!$Y$2:$Y$355,MATCH($C660,Deals!$A$2:$A$355,0))),""))</f>
        <v/>
      </c>
      <c r="V660" s="35">
        <f>IF(OR($U660&lt;&gt;"",AND($AO660&gt;0,$L660&lt;&gt;"",$M660&lt;&gt;"")),$N660,DATE(1900,1,1))</f>
        <v/>
      </c>
      <c r="W660" s="35">
        <f>IF($U660&lt;&gt;"",$U660,IF(AND($AO660&gt;0,$L660&lt;&gt;"",$M660&lt;&gt;""),$O660,DATE(2100,12,31)))</f>
        <v/>
      </c>
      <c r="X660" s="32">
        <f>IF($U660="",$K660,$K660*$S660)</f>
        <v/>
      </c>
      <c r="Y660" s="35">
        <f>IF($U660="",DATE(2100,12,31),$U660+1)</f>
        <v/>
      </c>
      <c r="Z660" s="35">
        <f>IF($U660="",DATE(1900,1,1),$O660)</f>
        <v/>
      </c>
      <c r="AA660" s="32">
        <f>IF($U660="",0,$K660*$T660)</f>
        <v/>
      </c>
      <c r="AB660" s="21">
        <f>IF($C660="",0,IFERROR(INDEX(Deals!$AD$2:$AD$355,MATCH($C660,Deals!$A$2:$A$355,0)),0))</f>
        <v/>
      </c>
      <c r="AC660" s="32">
        <f>IF(Settings!$B$4="Yes",$I660*$AB660,$I660)</f>
        <v/>
      </c>
      <c r="AD660" s="22">
        <f>IF($C660="","",IFERROR(IF(INDEX(Deals!$AE$2:$AE$355,MATCH($C660,Deals!$A$2:$A$355,0))=0,"",INDEX(Deals!$AE$2:$AE$355,MATCH($C660,Deals!$A$2:$A$355,0))),""))</f>
        <v/>
      </c>
      <c r="AE660" s="22">
        <f>IF($C660="","",IFERROR(IF(INDEX(Deals!$AF$2:$AF$355,MATCH($C660,Deals!$A$2:$A$355,0))=0,"",INDEX(Deals!$AF$2:$AF$355,MATCH($C660,Deals!$A$2:$A$355,0))),""))</f>
        <v/>
      </c>
      <c r="AF660" s="35">
        <f>IF($AD660="",DATE(1900,1,1),$AD660)</f>
        <v/>
      </c>
      <c r="AG660" s="35">
        <f>IF($AE660="",DATE(2100,12,31),$AE660)</f>
        <v/>
      </c>
      <c r="AH660" s="22">
        <f>IF($C660="","",IFERROR(IF(INDEX(Deals!$AG$2:$AG$355,MATCH($C660,Deals!$A$2:$A$355,0))=0,"",INDEX(Deals!$AG$2:$AG$355,MATCH($C660,Deals!$A$2:$A$355,0))),""))</f>
        <v/>
      </c>
      <c r="AI660" s="35">
        <f>IF(OR($AH660&lt;&gt;"",AND($AO660&gt;0,$AD660&lt;&gt;"",$AE660&lt;&gt;"")),$AF660,DATE(1900,1,1))</f>
        <v/>
      </c>
      <c r="AJ660" s="35">
        <f>IF($AH660&lt;&gt;"",$AH660,IF(AND($AO660&gt;0,$AD660&lt;&gt;"",$AE660&lt;&gt;""),$AG660,DATE(2100,12,31)))</f>
        <v/>
      </c>
      <c r="AK660" s="32">
        <f>IF($AH660="",$AC660,$AC660*$S660)</f>
        <v/>
      </c>
      <c r="AL660" s="35">
        <f>IF($AH660="",DATE(2100,12,31),$AH660+1)</f>
        <v/>
      </c>
      <c r="AM660" s="35">
        <f>IF($AH660="",DATE(1900,1,1),$AG660)</f>
        <v/>
      </c>
      <c r="AN660" s="32">
        <f>IF($AH660="",0,$AC660*$T660)</f>
        <v/>
      </c>
      <c r="AO660" s="46">
        <f>IF($C660="",0,IFERROR(INDEX(Deals!$BD$2:$BD$355,MATCH($C660,Deals!$A$2:$A$355,0)),0))</f>
        <v/>
      </c>
      <c r="AP660" s="18">
        <f>IF($AO660=0,0,IFERROR(INDEX(Deals!$BJ$2:$BP$355,MATCH($C660,Deals!$A$2:$A$355,0),MATCH($F660,Deals!$BJ$1:$BP$1,0))/COUNTIFS(Assignments!$C$2:$C$769,$C660,Assignments!$F$2:$F$769,$F660,Assignments!$G$2:$G$769,"Active"),0))</f>
        <v/>
      </c>
    </row>
    <row r="661">
      <c r="A661" s="28" t="inlineStr">
        <is>
          <t>Eric</t>
        </is>
      </c>
      <c r="B661" s="16">
        <f>IF($A661="","",IFERROR(INDEX(Roster!$B$2:$B$40,MATCH($A661,Roster!$A$2:$A$40,0)),"?"))</f>
        <v/>
      </c>
      <c r="C661" s="28" t="inlineStr">
        <is>
          <t>DIF - Diverso_1</t>
        </is>
      </c>
      <c r="D661" s="16">
        <f>IF($C661="","",IFERROR(IF(INDEX(Deals!$C$2:$C$355,MATCH($C661,Deals!$A$2:$A$355,0))=0,"",INDEX(Deals!$C$2:$C$355,MATCH($C661,Deals!$A$2:$A$355,0))),"?"))</f>
        <v/>
      </c>
      <c r="E661" s="16">
        <f>IF($C661="","",IFERROR(INDEX(Deals!$F$2:$F$355,MATCH($C661,Deals!$A$2:$A$355,0)),"?"))</f>
        <v/>
      </c>
      <c r="F661" s="28" t="inlineStr">
        <is>
          <t>Renewable Specialist</t>
        </is>
      </c>
      <c r="G661" s="28" t="inlineStr">
        <is>
          <t>Active</t>
        </is>
      </c>
      <c r="H661" s="31" t="n"/>
      <c r="I661" s="32">
        <f>IF(OR($A661="",$G661&lt;&gt;"Active"),0,IF($H661&lt;&gt;"",$H661,IF($AO661&gt;0,$AP661,IF(AND($R661&lt;&gt;"",IFERROR(INDEX(Templates!$B$3:$H$10,MATCH($R661,Templates!$A$3:$A$10,0),MATCH($F661,Templates!$B$2:$H$2,0)),0)&gt;0),INDEX(Templates!$B$3:$H$10,MATCH($R661,Templates!$A$3:$A$10,0),MATCH($F661,Templates!$B$2:$H$2,0)),IFERROR(INDEX(Settings!$B$8:$B$14,MATCH($F661,Settings!$A$8:$A$14,0)),0)))))</f>
        <v/>
      </c>
      <c r="J661" s="21">
        <f>IF($C661="",0,IFERROR(INDEX(Deals!$H$2:$H$355,MATCH($C661,Deals!$A$2:$A$355,0)),0))</f>
        <v/>
      </c>
      <c r="K661" s="32">
        <f>IF(Settings!$B$4="Yes",$I661*$J661,$I661)</f>
        <v/>
      </c>
      <c r="L661" s="22">
        <f>IF($C661="","",IFERROR(IF(INDEX(Deals!$I$2:$I$355,MATCH($C661,Deals!$A$2:$A$355,0))=0,"",INDEX(Deals!$I$2:$I$355,MATCH($C661,Deals!$A$2:$A$355,0))),""))</f>
        <v/>
      </c>
      <c r="M661" s="22">
        <f>IF($C661="","",IFERROR(IF(INDEX(Deals!$J$2:$J$355,MATCH($C661,Deals!$A$2:$A$355,0))=0,"",INDEX(Deals!$J$2:$J$355,MATCH($C661,Deals!$A$2:$A$355,0))),""))</f>
        <v/>
      </c>
      <c r="N661" s="35">
        <f>IF($L661="",DATE(1900,1,1),$L661)</f>
        <v/>
      </c>
      <c r="O661" s="35">
        <f>IF($M661="",DATE(2100,12,31),$M661)</f>
        <v/>
      </c>
      <c r="P661" s="20" t="inlineStr"/>
      <c r="Q661" s="47" t="inlineStr"/>
      <c r="R661" s="16">
        <f>IF($C661="","",IFERROR(IF(INDEX(Deals!$U$2:$U$355,MATCH($C661,Deals!$A$2:$A$355,0))=0,"",INDEX(Deals!$U$2:$U$355,MATCH($C661,Deals!$A$2:$A$355,0))),""))</f>
        <v/>
      </c>
      <c r="S661" s="34">
        <f>IFERROR(IF($U661="",1,INDEX(Deals!$V$2:$V$355,MATCH($C661,Deals!$A$2:$A$355,0))),1)</f>
        <v/>
      </c>
      <c r="T661" s="34">
        <f>IFERROR(IF($U661="",1,INDEX(Deals!$W$2:$W$355,MATCH($C661,Deals!$A$2:$A$355,0))),1)</f>
        <v/>
      </c>
      <c r="U661" s="22">
        <f>IF($C661="","",IFERROR(IF(INDEX(Deals!$Y$2:$Y$355,MATCH($C661,Deals!$A$2:$A$355,0))=0,"",INDEX(Deals!$Y$2:$Y$355,MATCH($C661,Deals!$A$2:$A$355,0))),""))</f>
        <v/>
      </c>
      <c r="V661" s="35">
        <f>IF(OR($U661&lt;&gt;"",AND($AO661&gt;0,$L661&lt;&gt;"",$M661&lt;&gt;"")),$N661,DATE(1900,1,1))</f>
        <v/>
      </c>
      <c r="W661" s="35">
        <f>IF($U661&lt;&gt;"",$U661,IF(AND($AO661&gt;0,$L661&lt;&gt;"",$M661&lt;&gt;""),$O661,DATE(2100,12,31)))</f>
        <v/>
      </c>
      <c r="X661" s="32">
        <f>IF($U661="",$K661,$K661*$S661)</f>
        <v/>
      </c>
      <c r="Y661" s="35">
        <f>IF($U661="",DATE(2100,12,31),$U661+1)</f>
        <v/>
      </c>
      <c r="Z661" s="35">
        <f>IF($U661="",DATE(1900,1,1),$O661)</f>
        <v/>
      </c>
      <c r="AA661" s="32">
        <f>IF($U661="",0,$K661*$T661)</f>
        <v/>
      </c>
      <c r="AB661" s="21">
        <f>IF($C661="",0,IFERROR(INDEX(Deals!$AD$2:$AD$355,MATCH($C661,Deals!$A$2:$A$355,0)),0))</f>
        <v/>
      </c>
      <c r="AC661" s="32">
        <f>IF(Settings!$B$4="Yes",$I661*$AB661,$I661)</f>
        <v/>
      </c>
      <c r="AD661" s="22">
        <f>IF($C661="","",IFERROR(IF(INDEX(Deals!$AE$2:$AE$355,MATCH($C661,Deals!$A$2:$A$355,0))=0,"",INDEX(Deals!$AE$2:$AE$355,MATCH($C661,Deals!$A$2:$A$355,0))),""))</f>
        <v/>
      </c>
      <c r="AE661" s="22">
        <f>IF($C661="","",IFERROR(IF(INDEX(Deals!$AF$2:$AF$355,MATCH($C661,Deals!$A$2:$A$355,0))=0,"",INDEX(Deals!$AF$2:$AF$355,MATCH($C661,Deals!$A$2:$A$355,0))),""))</f>
        <v/>
      </c>
      <c r="AF661" s="35">
        <f>IF($AD661="",DATE(1900,1,1),$AD661)</f>
        <v/>
      </c>
      <c r="AG661" s="35">
        <f>IF($AE661="",DATE(2100,12,31),$AE661)</f>
        <v/>
      </c>
      <c r="AH661" s="22">
        <f>IF($C661="","",IFERROR(IF(INDEX(Deals!$AG$2:$AG$355,MATCH($C661,Deals!$A$2:$A$355,0))=0,"",INDEX(Deals!$AG$2:$AG$355,MATCH($C661,Deals!$A$2:$A$355,0))),""))</f>
        <v/>
      </c>
      <c r="AI661" s="35">
        <f>IF(OR($AH661&lt;&gt;"",AND($AO661&gt;0,$AD661&lt;&gt;"",$AE661&lt;&gt;"")),$AF661,DATE(1900,1,1))</f>
        <v/>
      </c>
      <c r="AJ661" s="35">
        <f>IF($AH661&lt;&gt;"",$AH661,IF(AND($AO661&gt;0,$AD661&lt;&gt;"",$AE661&lt;&gt;""),$AG661,DATE(2100,12,31)))</f>
        <v/>
      </c>
      <c r="AK661" s="32">
        <f>IF($AH661="",$AC661,$AC661*$S661)</f>
        <v/>
      </c>
      <c r="AL661" s="35">
        <f>IF($AH661="",DATE(2100,12,31),$AH661+1)</f>
        <v/>
      </c>
      <c r="AM661" s="35">
        <f>IF($AH661="",DATE(1900,1,1),$AG661)</f>
        <v/>
      </c>
      <c r="AN661" s="32">
        <f>IF($AH661="",0,$AC661*$T661)</f>
        <v/>
      </c>
      <c r="AO661" s="46">
        <f>IF($C661="",0,IFERROR(INDEX(Deals!$BD$2:$BD$355,MATCH($C661,Deals!$A$2:$A$355,0)),0))</f>
        <v/>
      </c>
      <c r="AP661" s="18">
        <f>IF($AO661=0,0,IFERROR(INDEX(Deals!$BJ$2:$BP$355,MATCH($C661,Deals!$A$2:$A$355,0),MATCH($F661,Deals!$BJ$1:$BP$1,0))/COUNTIFS(Assignments!$C$2:$C$769,$C661,Assignments!$F$2:$F$769,$F661,Assignments!$G$2:$G$769,"Active"),0))</f>
        <v/>
      </c>
    </row>
    <row r="662">
      <c r="A662" s="28" t="inlineStr">
        <is>
          <t>Eric</t>
        </is>
      </c>
      <c r="B662" s="16">
        <f>IF($A662="","",IFERROR(INDEX(Roster!$B$2:$B$40,MATCH($A662,Roster!$A$2:$A$40,0)),"?"))</f>
        <v/>
      </c>
      <c r="C662" s="28" t="inlineStr">
        <is>
          <t>DIF Brahms_1</t>
        </is>
      </c>
      <c r="D662" s="16">
        <f>IF($C662="","",IFERROR(IF(INDEX(Deals!$C$2:$C$355,MATCH($C662,Deals!$A$2:$A$355,0))=0,"",INDEX(Deals!$C$2:$C$355,MATCH($C662,Deals!$A$2:$A$355,0))),"?"))</f>
        <v/>
      </c>
      <c r="E662" s="16">
        <f>IF($C662="","",IFERROR(INDEX(Deals!$F$2:$F$355,MATCH($C662,Deals!$A$2:$A$355,0)),"?"))</f>
        <v/>
      </c>
      <c r="F662" s="28" t="inlineStr">
        <is>
          <t>Renewable Specialist</t>
        </is>
      </c>
      <c r="G662" s="28" t="inlineStr">
        <is>
          <t>Active</t>
        </is>
      </c>
      <c r="H662" s="31" t="n"/>
      <c r="I662" s="32">
        <f>IF(OR($A662="",$G662&lt;&gt;"Active"),0,IF($H662&lt;&gt;"",$H662,IF($AO662&gt;0,$AP662,IF(AND($R662&lt;&gt;"",IFERROR(INDEX(Templates!$B$3:$H$10,MATCH($R662,Templates!$A$3:$A$10,0),MATCH($F662,Templates!$B$2:$H$2,0)),0)&gt;0),INDEX(Templates!$B$3:$H$10,MATCH($R662,Templates!$A$3:$A$10,0),MATCH($F662,Templates!$B$2:$H$2,0)),IFERROR(INDEX(Settings!$B$8:$B$14,MATCH($F662,Settings!$A$8:$A$14,0)),0)))))</f>
        <v/>
      </c>
      <c r="J662" s="21">
        <f>IF($C662="",0,IFERROR(INDEX(Deals!$H$2:$H$355,MATCH($C662,Deals!$A$2:$A$355,0)),0))</f>
        <v/>
      </c>
      <c r="K662" s="32">
        <f>IF(Settings!$B$4="Yes",$I662*$J662,$I662)</f>
        <v/>
      </c>
      <c r="L662" s="22">
        <f>IF($C662="","",IFERROR(IF(INDEX(Deals!$I$2:$I$355,MATCH($C662,Deals!$A$2:$A$355,0))=0,"",INDEX(Deals!$I$2:$I$355,MATCH($C662,Deals!$A$2:$A$355,0))),""))</f>
        <v/>
      </c>
      <c r="M662" s="22">
        <f>IF($C662="","",IFERROR(IF(INDEX(Deals!$J$2:$J$355,MATCH($C662,Deals!$A$2:$A$355,0))=0,"",INDEX(Deals!$J$2:$J$355,MATCH($C662,Deals!$A$2:$A$355,0))),""))</f>
        <v/>
      </c>
      <c r="N662" s="35">
        <f>IF($L662="",DATE(1900,1,1),$L662)</f>
        <v/>
      </c>
      <c r="O662" s="35">
        <f>IF($M662="",DATE(2100,12,31),$M662)</f>
        <v/>
      </c>
      <c r="P662" s="20" t="inlineStr"/>
      <c r="Q662" s="47" t="inlineStr"/>
      <c r="R662" s="16">
        <f>IF($C662="","",IFERROR(IF(INDEX(Deals!$U$2:$U$355,MATCH($C662,Deals!$A$2:$A$355,0))=0,"",INDEX(Deals!$U$2:$U$355,MATCH($C662,Deals!$A$2:$A$355,0))),""))</f>
        <v/>
      </c>
      <c r="S662" s="34">
        <f>IFERROR(IF($U662="",1,INDEX(Deals!$V$2:$V$355,MATCH($C662,Deals!$A$2:$A$355,0))),1)</f>
        <v/>
      </c>
      <c r="T662" s="34">
        <f>IFERROR(IF($U662="",1,INDEX(Deals!$W$2:$W$355,MATCH($C662,Deals!$A$2:$A$355,0))),1)</f>
        <v/>
      </c>
      <c r="U662" s="22">
        <f>IF($C662="","",IFERROR(IF(INDEX(Deals!$Y$2:$Y$355,MATCH($C662,Deals!$A$2:$A$355,0))=0,"",INDEX(Deals!$Y$2:$Y$355,MATCH($C662,Deals!$A$2:$A$355,0))),""))</f>
        <v/>
      </c>
      <c r="V662" s="35">
        <f>IF(OR($U662&lt;&gt;"",AND($AO662&gt;0,$L662&lt;&gt;"",$M662&lt;&gt;"")),$N662,DATE(1900,1,1))</f>
        <v/>
      </c>
      <c r="W662" s="35">
        <f>IF($U662&lt;&gt;"",$U662,IF(AND($AO662&gt;0,$L662&lt;&gt;"",$M662&lt;&gt;""),$O662,DATE(2100,12,31)))</f>
        <v/>
      </c>
      <c r="X662" s="32">
        <f>IF($U662="",$K662,$K662*$S662)</f>
        <v/>
      </c>
      <c r="Y662" s="35">
        <f>IF($U662="",DATE(2100,12,31),$U662+1)</f>
        <v/>
      </c>
      <c r="Z662" s="35">
        <f>IF($U662="",DATE(1900,1,1),$O662)</f>
        <v/>
      </c>
      <c r="AA662" s="32">
        <f>IF($U662="",0,$K662*$T662)</f>
        <v/>
      </c>
      <c r="AB662" s="21">
        <f>IF($C662="",0,IFERROR(INDEX(Deals!$AD$2:$AD$355,MATCH($C662,Deals!$A$2:$A$355,0)),0))</f>
        <v/>
      </c>
      <c r="AC662" s="32">
        <f>IF(Settings!$B$4="Yes",$I662*$AB662,$I662)</f>
        <v/>
      </c>
      <c r="AD662" s="22">
        <f>IF($C662="","",IFERROR(IF(INDEX(Deals!$AE$2:$AE$355,MATCH($C662,Deals!$A$2:$A$355,0))=0,"",INDEX(Deals!$AE$2:$AE$355,MATCH($C662,Deals!$A$2:$A$355,0))),""))</f>
        <v/>
      </c>
      <c r="AE662" s="22">
        <f>IF($C662="","",IFERROR(IF(INDEX(Deals!$AF$2:$AF$355,MATCH($C662,Deals!$A$2:$A$355,0))=0,"",INDEX(Deals!$AF$2:$AF$355,MATCH($C662,Deals!$A$2:$A$355,0))),""))</f>
        <v/>
      </c>
      <c r="AF662" s="35">
        <f>IF($AD662="",DATE(1900,1,1),$AD662)</f>
        <v/>
      </c>
      <c r="AG662" s="35">
        <f>IF($AE662="",DATE(2100,12,31),$AE662)</f>
        <v/>
      </c>
      <c r="AH662" s="22">
        <f>IF($C662="","",IFERROR(IF(INDEX(Deals!$AG$2:$AG$355,MATCH($C662,Deals!$A$2:$A$355,0))=0,"",INDEX(Deals!$AG$2:$AG$355,MATCH($C662,Deals!$A$2:$A$355,0))),""))</f>
        <v/>
      </c>
      <c r="AI662" s="35">
        <f>IF(OR($AH662&lt;&gt;"",AND($AO662&gt;0,$AD662&lt;&gt;"",$AE662&lt;&gt;"")),$AF662,DATE(1900,1,1))</f>
        <v/>
      </c>
      <c r="AJ662" s="35">
        <f>IF($AH662&lt;&gt;"",$AH662,IF(AND($AO662&gt;0,$AD662&lt;&gt;"",$AE662&lt;&gt;""),$AG662,DATE(2100,12,31)))</f>
        <v/>
      </c>
      <c r="AK662" s="32">
        <f>IF($AH662="",$AC662,$AC662*$S662)</f>
        <v/>
      </c>
      <c r="AL662" s="35">
        <f>IF($AH662="",DATE(2100,12,31),$AH662+1)</f>
        <v/>
      </c>
      <c r="AM662" s="35">
        <f>IF($AH662="",DATE(1900,1,1),$AG662)</f>
        <v/>
      </c>
      <c r="AN662" s="32">
        <f>IF($AH662="",0,$AC662*$T662)</f>
        <v/>
      </c>
      <c r="AO662" s="46">
        <f>IF($C662="",0,IFERROR(INDEX(Deals!$BD$2:$BD$355,MATCH($C662,Deals!$A$2:$A$355,0)),0))</f>
        <v/>
      </c>
      <c r="AP662" s="18">
        <f>IF($AO662=0,0,IFERROR(INDEX(Deals!$BJ$2:$BP$355,MATCH($C662,Deals!$A$2:$A$355,0),MATCH($F662,Deals!$BJ$1:$BP$1,0))/COUNTIFS(Assignments!$C$2:$C$769,$C662,Assignments!$F$2:$F$769,$F662,Assignments!$G$2:$G$769,"Active"),0))</f>
        <v/>
      </c>
    </row>
    <row r="663">
      <c r="A663" s="28" t="inlineStr">
        <is>
          <t>Eric</t>
        </is>
      </c>
      <c r="B663" s="16">
        <f>IF($A663="","",IFERROR(INDEX(Roster!$B$2:$B$40,MATCH($A663,Roster!$A$2:$A$40,0)),"?"))</f>
        <v/>
      </c>
      <c r="C663" s="28" t="inlineStr">
        <is>
          <t>Greenkey_1</t>
        </is>
      </c>
      <c r="D663" s="16">
        <f>IF($C663="","",IFERROR(IF(INDEX(Deals!$C$2:$C$355,MATCH($C663,Deals!$A$2:$A$355,0))=0,"",INDEX(Deals!$C$2:$C$355,MATCH($C663,Deals!$A$2:$A$355,0))),"?"))</f>
        <v/>
      </c>
      <c r="E663" s="16">
        <f>IF($C663="","",IFERROR(INDEX(Deals!$F$2:$F$355,MATCH($C663,Deals!$A$2:$A$355,0)),"?"))</f>
        <v/>
      </c>
      <c r="F663" s="28" t="inlineStr">
        <is>
          <t>Renewable Specialist</t>
        </is>
      </c>
      <c r="G663" s="28" t="inlineStr">
        <is>
          <t>Active</t>
        </is>
      </c>
      <c r="H663" s="31" t="n"/>
      <c r="I663" s="32">
        <f>IF(OR($A663="",$G663&lt;&gt;"Active"),0,IF($H663&lt;&gt;"",$H663,IF($AO663&gt;0,$AP663,IF(AND($R663&lt;&gt;"",IFERROR(INDEX(Templates!$B$3:$H$10,MATCH($R663,Templates!$A$3:$A$10,0),MATCH($F663,Templates!$B$2:$H$2,0)),0)&gt;0),INDEX(Templates!$B$3:$H$10,MATCH($R663,Templates!$A$3:$A$10,0),MATCH($F663,Templates!$B$2:$H$2,0)),IFERROR(INDEX(Settings!$B$8:$B$14,MATCH($F663,Settings!$A$8:$A$14,0)),0)))))</f>
        <v/>
      </c>
      <c r="J663" s="21">
        <f>IF($C663="",0,IFERROR(INDEX(Deals!$H$2:$H$355,MATCH($C663,Deals!$A$2:$A$355,0)),0))</f>
        <v/>
      </c>
      <c r="K663" s="32">
        <f>IF(Settings!$B$4="Yes",$I663*$J663,$I663)</f>
        <v/>
      </c>
      <c r="L663" s="22">
        <f>IF($C663="","",IFERROR(IF(INDEX(Deals!$I$2:$I$355,MATCH($C663,Deals!$A$2:$A$355,0))=0,"",INDEX(Deals!$I$2:$I$355,MATCH($C663,Deals!$A$2:$A$355,0))),""))</f>
        <v/>
      </c>
      <c r="M663" s="22">
        <f>IF($C663="","",IFERROR(IF(INDEX(Deals!$J$2:$J$355,MATCH($C663,Deals!$A$2:$A$355,0))=0,"",INDEX(Deals!$J$2:$J$355,MATCH($C663,Deals!$A$2:$A$355,0))),""))</f>
        <v/>
      </c>
      <c r="N663" s="35">
        <f>IF($L663="",DATE(1900,1,1),$L663)</f>
        <v/>
      </c>
      <c r="O663" s="35">
        <f>IF($M663="",DATE(2100,12,31),$M663)</f>
        <v/>
      </c>
      <c r="P663" s="20" t="inlineStr"/>
      <c r="Q663" s="47" t="inlineStr"/>
      <c r="R663" s="16">
        <f>IF($C663="","",IFERROR(IF(INDEX(Deals!$U$2:$U$355,MATCH($C663,Deals!$A$2:$A$355,0))=0,"",INDEX(Deals!$U$2:$U$355,MATCH($C663,Deals!$A$2:$A$355,0))),""))</f>
        <v/>
      </c>
      <c r="S663" s="34">
        <f>IFERROR(IF($U663="",1,INDEX(Deals!$V$2:$V$355,MATCH($C663,Deals!$A$2:$A$355,0))),1)</f>
        <v/>
      </c>
      <c r="T663" s="34">
        <f>IFERROR(IF($U663="",1,INDEX(Deals!$W$2:$W$355,MATCH($C663,Deals!$A$2:$A$355,0))),1)</f>
        <v/>
      </c>
      <c r="U663" s="22">
        <f>IF($C663="","",IFERROR(IF(INDEX(Deals!$Y$2:$Y$355,MATCH($C663,Deals!$A$2:$A$355,0))=0,"",INDEX(Deals!$Y$2:$Y$355,MATCH($C663,Deals!$A$2:$A$355,0))),""))</f>
        <v/>
      </c>
      <c r="V663" s="35">
        <f>IF(OR($U663&lt;&gt;"",AND($AO663&gt;0,$L663&lt;&gt;"",$M663&lt;&gt;"")),$N663,DATE(1900,1,1))</f>
        <v/>
      </c>
      <c r="W663" s="35">
        <f>IF($U663&lt;&gt;"",$U663,IF(AND($AO663&gt;0,$L663&lt;&gt;"",$M663&lt;&gt;""),$O663,DATE(2100,12,31)))</f>
        <v/>
      </c>
      <c r="X663" s="32">
        <f>IF($U663="",$K663,$K663*$S663)</f>
        <v/>
      </c>
      <c r="Y663" s="35">
        <f>IF($U663="",DATE(2100,12,31),$U663+1)</f>
        <v/>
      </c>
      <c r="Z663" s="35">
        <f>IF($U663="",DATE(1900,1,1),$O663)</f>
        <v/>
      </c>
      <c r="AA663" s="32">
        <f>IF($U663="",0,$K663*$T663)</f>
        <v/>
      </c>
      <c r="AB663" s="21">
        <f>IF($C663="",0,IFERROR(INDEX(Deals!$AD$2:$AD$355,MATCH($C663,Deals!$A$2:$A$355,0)),0))</f>
        <v/>
      </c>
      <c r="AC663" s="32">
        <f>IF(Settings!$B$4="Yes",$I663*$AB663,$I663)</f>
        <v/>
      </c>
      <c r="AD663" s="22">
        <f>IF($C663="","",IFERROR(IF(INDEX(Deals!$AE$2:$AE$355,MATCH($C663,Deals!$A$2:$A$355,0))=0,"",INDEX(Deals!$AE$2:$AE$355,MATCH($C663,Deals!$A$2:$A$355,0))),""))</f>
        <v/>
      </c>
      <c r="AE663" s="22">
        <f>IF($C663="","",IFERROR(IF(INDEX(Deals!$AF$2:$AF$355,MATCH($C663,Deals!$A$2:$A$355,0))=0,"",INDEX(Deals!$AF$2:$AF$355,MATCH($C663,Deals!$A$2:$A$355,0))),""))</f>
        <v/>
      </c>
      <c r="AF663" s="35">
        <f>IF($AD663="",DATE(1900,1,1),$AD663)</f>
        <v/>
      </c>
      <c r="AG663" s="35">
        <f>IF($AE663="",DATE(2100,12,31),$AE663)</f>
        <v/>
      </c>
      <c r="AH663" s="22">
        <f>IF($C663="","",IFERROR(IF(INDEX(Deals!$AG$2:$AG$355,MATCH($C663,Deals!$A$2:$A$355,0))=0,"",INDEX(Deals!$AG$2:$AG$355,MATCH($C663,Deals!$A$2:$A$355,0))),""))</f>
        <v/>
      </c>
      <c r="AI663" s="35">
        <f>IF(OR($AH663&lt;&gt;"",AND($AO663&gt;0,$AD663&lt;&gt;"",$AE663&lt;&gt;"")),$AF663,DATE(1900,1,1))</f>
        <v/>
      </c>
      <c r="AJ663" s="35">
        <f>IF($AH663&lt;&gt;"",$AH663,IF(AND($AO663&gt;0,$AD663&lt;&gt;"",$AE663&lt;&gt;""),$AG663,DATE(2100,12,31)))</f>
        <v/>
      </c>
      <c r="AK663" s="32">
        <f>IF($AH663="",$AC663,$AC663*$S663)</f>
        <v/>
      </c>
      <c r="AL663" s="35">
        <f>IF($AH663="",DATE(2100,12,31),$AH663+1)</f>
        <v/>
      </c>
      <c r="AM663" s="35">
        <f>IF($AH663="",DATE(1900,1,1),$AG663)</f>
        <v/>
      </c>
      <c r="AN663" s="32">
        <f>IF($AH663="",0,$AC663*$T663)</f>
        <v/>
      </c>
      <c r="AO663" s="46">
        <f>IF($C663="",0,IFERROR(INDEX(Deals!$BD$2:$BD$355,MATCH($C663,Deals!$A$2:$A$355,0)),0))</f>
        <v/>
      </c>
      <c r="AP663" s="18">
        <f>IF($AO663=0,0,IFERROR(INDEX(Deals!$BJ$2:$BP$355,MATCH($C663,Deals!$A$2:$A$355,0),MATCH($F663,Deals!$BJ$1:$BP$1,0))/COUNTIFS(Assignments!$C$2:$C$769,$C663,Assignments!$F$2:$F$769,$F663,Assignments!$G$2:$G$769,"Active"),0))</f>
        <v/>
      </c>
    </row>
    <row r="664">
      <c r="A664" s="28" t="inlineStr">
        <is>
          <t>Eric</t>
        </is>
      </c>
      <c r="B664" s="16">
        <f>IF($A664="","",IFERROR(INDEX(Roster!$B$2:$B$40,MATCH($A664,Roster!$A$2:$A$40,0)),"?"))</f>
        <v/>
      </c>
      <c r="C664" s="28" t="inlineStr">
        <is>
          <t>Hereford_1</t>
        </is>
      </c>
      <c r="D664" s="16">
        <f>IF($C664="","",IFERROR(IF(INDEX(Deals!$C$2:$C$355,MATCH($C664,Deals!$A$2:$A$355,0))=0,"",INDEX(Deals!$C$2:$C$355,MATCH($C664,Deals!$A$2:$A$355,0))),"?"))</f>
        <v/>
      </c>
      <c r="E664" s="16">
        <f>IF($C664="","",IFERROR(INDEX(Deals!$F$2:$F$355,MATCH($C664,Deals!$A$2:$A$355,0)),"?"))</f>
        <v/>
      </c>
      <c r="F664" s="28" t="inlineStr">
        <is>
          <t>Renewable Specialist</t>
        </is>
      </c>
      <c r="G664" s="28" t="inlineStr">
        <is>
          <t>Active</t>
        </is>
      </c>
      <c r="H664" s="31" t="n"/>
      <c r="I664" s="32">
        <f>IF(OR($A664="",$G664&lt;&gt;"Active"),0,IF($H664&lt;&gt;"",$H664,IF($AO664&gt;0,$AP664,IF(AND($R664&lt;&gt;"",IFERROR(INDEX(Templates!$B$3:$H$10,MATCH($R664,Templates!$A$3:$A$10,0),MATCH($F664,Templates!$B$2:$H$2,0)),0)&gt;0),INDEX(Templates!$B$3:$H$10,MATCH($R664,Templates!$A$3:$A$10,0),MATCH($F664,Templates!$B$2:$H$2,0)),IFERROR(INDEX(Settings!$B$8:$B$14,MATCH($F664,Settings!$A$8:$A$14,0)),0)))))</f>
        <v/>
      </c>
      <c r="J664" s="21">
        <f>IF($C664="",0,IFERROR(INDEX(Deals!$H$2:$H$355,MATCH($C664,Deals!$A$2:$A$355,0)),0))</f>
        <v/>
      </c>
      <c r="K664" s="32">
        <f>IF(Settings!$B$4="Yes",$I664*$J664,$I664)</f>
        <v/>
      </c>
      <c r="L664" s="22">
        <f>IF($C664="","",IFERROR(IF(INDEX(Deals!$I$2:$I$355,MATCH($C664,Deals!$A$2:$A$355,0))=0,"",INDEX(Deals!$I$2:$I$355,MATCH($C664,Deals!$A$2:$A$355,0))),""))</f>
        <v/>
      </c>
      <c r="M664" s="22">
        <f>IF($C664="","",IFERROR(IF(INDEX(Deals!$J$2:$J$355,MATCH($C664,Deals!$A$2:$A$355,0))=0,"",INDEX(Deals!$J$2:$J$355,MATCH($C664,Deals!$A$2:$A$355,0))),""))</f>
        <v/>
      </c>
      <c r="N664" s="35">
        <f>IF($L664="",DATE(1900,1,1),$L664)</f>
        <v/>
      </c>
      <c r="O664" s="35">
        <f>IF($M664="",DATE(2100,12,31),$M664)</f>
        <v/>
      </c>
      <c r="P664" s="20" t="inlineStr"/>
      <c r="Q664" s="47" t="inlineStr"/>
      <c r="R664" s="16">
        <f>IF($C664="","",IFERROR(IF(INDEX(Deals!$U$2:$U$355,MATCH($C664,Deals!$A$2:$A$355,0))=0,"",INDEX(Deals!$U$2:$U$355,MATCH($C664,Deals!$A$2:$A$355,0))),""))</f>
        <v/>
      </c>
      <c r="S664" s="34">
        <f>IFERROR(IF($U664="",1,INDEX(Deals!$V$2:$V$355,MATCH($C664,Deals!$A$2:$A$355,0))),1)</f>
        <v/>
      </c>
      <c r="T664" s="34">
        <f>IFERROR(IF($U664="",1,INDEX(Deals!$W$2:$W$355,MATCH($C664,Deals!$A$2:$A$355,0))),1)</f>
        <v/>
      </c>
      <c r="U664" s="22">
        <f>IF($C664="","",IFERROR(IF(INDEX(Deals!$Y$2:$Y$355,MATCH($C664,Deals!$A$2:$A$355,0))=0,"",INDEX(Deals!$Y$2:$Y$355,MATCH($C664,Deals!$A$2:$A$355,0))),""))</f>
        <v/>
      </c>
      <c r="V664" s="35">
        <f>IF(OR($U664&lt;&gt;"",AND($AO664&gt;0,$L664&lt;&gt;"",$M664&lt;&gt;"")),$N664,DATE(1900,1,1))</f>
        <v/>
      </c>
      <c r="W664" s="35">
        <f>IF($U664&lt;&gt;"",$U664,IF(AND($AO664&gt;0,$L664&lt;&gt;"",$M664&lt;&gt;""),$O664,DATE(2100,12,31)))</f>
        <v/>
      </c>
      <c r="X664" s="32">
        <f>IF($U664="",$K664,$K664*$S664)</f>
        <v/>
      </c>
      <c r="Y664" s="35">
        <f>IF($U664="",DATE(2100,12,31),$U664+1)</f>
        <v/>
      </c>
      <c r="Z664" s="35">
        <f>IF($U664="",DATE(1900,1,1),$O664)</f>
        <v/>
      </c>
      <c r="AA664" s="32">
        <f>IF($U664="",0,$K664*$T664)</f>
        <v/>
      </c>
      <c r="AB664" s="21">
        <f>IF($C664="",0,IFERROR(INDEX(Deals!$AD$2:$AD$355,MATCH($C664,Deals!$A$2:$A$355,0)),0))</f>
        <v/>
      </c>
      <c r="AC664" s="32">
        <f>IF(Settings!$B$4="Yes",$I664*$AB664,$I664)</f>
        <v/>
      </c>
      <c r="AD664" s="22">
        <f>IF($C664="","",IFERROR(IF(INDEX(Deals!$AE$2:$AE$355,MATCH($C664,Deals!$A$2:$A$355,0))=0,"",INDEX(Deals!$AE$2:$AE$355,MATCH($C664,Deals!$A$2:$A$355,0))),""))</f>
        <v/>
      </c>
      <c r="AE664" s="22">
        <f>IF($C664="","",IFERROR(IF(INDEX(Deals!$AF$2:$AF$355,MATCH($C664,Deals!$A$2:$A$355,0))=0,"",INDEX(Deals!$AF$2:$AF$355,MATCH($C664,Deals!$A$2:$A$355,0))),""))</f>
        <v/>
      </c>
      <c r="AF664" s="35">
        <f>IF($AD664="",DATE(1900,1,1),$AD664)</f>
        <v/>
      </c>
      <c r="AG664" s="35">
        <f>IF($AE664="",DATE(2100,12,31),$AE664)</f>
        <v/>
      </c>
      <c r="AH664" s="22">
        <f>IF($C664="","",IFERROR(IF(INDEX(Deals!$AG$2:$AG$355,MATCH($C664,Deals!$A$2:$A$355,0))=0,"",INDEX(Deals!$AG$2:$AG$355,MATCH($C664,Deals!$A$2:$A$355,0))),""))</f>
        <v/>
      </c>
      <c r="AI664" s="35">
        <f>IF(OR($AH664&lt;&gt;"",AND($AO664&gt;0,$AD664&lt;&gt;"",$AE664&lt;&gt;"")),$AF664,DATE(1900,1,1))</f>
        <v/>
      </c>
      <c r="AJ664" s="35">
        <f>IF($AH664&lt;&gt;"",$AH664,IF(AND($AO664&gt;0,$AD664&lt;&gt;"",$AE664&lt;&gt;""),$AG664,DATE(2100,12,31)))</f>
        <v/>
      </c>
      <c r="AK664" s="32">
        <f>IF($AH664="",$AC664,$AC664*$S664)</f>
        <v/>
      </c>
      <c r="AL664" s="35">
        <f>IF($AH664="",DATE(2100,12,31),$AH664+1)</f>
        <v/>
      </c>
      <c r="AM664" s="35">
        <f>IF($AH664="",DATE(1900,1,1),$AG664)</f>
        <v/>
      </c>
      <c r="AN664" s="32">
        <f>IF($AH664="",0,$AC664*$T664)</f>
        <v/>
      </c>
      <c r="AO664" s="46">
        <f>IF($C664="",0,IFERROR(INDEX(Deals!$BD$2:$BD$355,MATCH($C664,Deals!$A$2:$A$355,0)),0))</f>
        <v/>
      </c>
      <c r="AP664" s="18">
        <f>IF($AO664=0,0,IFERROR(INDEX(Deals!$BJ$2:$BP$355,MATCH($C664,Deals!$A$2:$A$355,0),MATCH($F664,Deals!$BJ$1:$BP$1,0))/COUNTIFS(Assignments!$C$2:$C$769,$C664,Assignments!$F$2:$F$769,$F664,Assignments!$G$2:$G$769,"Active"),0))</f>
        <v/>
      </c>
    </row>
    <row r="665">
      <c r="A665" s="28" t="inlineStr">
        <is>
          <t>Eric</t>
        </is>
      </c>
      <c r="B665" s="16">
        <f>IF($A665="","",IFERROR(INDEX(Roster!$B$2:$B$40,MATCH($A665,Roster!$A$2:$A$40,0)),"?"))</f>
        <v/>
      </c>
      <c r="C665" s="28" t="inlineStr">
        <is>
          <t>Kanawha_1</t>
        </is>
      </c>
      <c r="D665" s="16">
        <f>IF($C665="","",IFERROR(IF(INDEX(Deals!$C$2:$C$355,MATCH($C665,Deals!$A$2:$A$355,0))=0,"",INDEX(Deals!$C$2:$C$355,MATCH($C665,Deals!$A$2:$A$355,0))),"?"))</f>
        <v/>
      </c>
      <c r="E665" s="16">
        <f>IF($C665="","",IFERROR(INDEX(Deals!$F$2:$F$355,MATCH($C665,Deals!$A$2:$A$355,0)),"?"))</f>
        <v/>
      </c>
      <c r="F665" s="28" t="inlineStr">
        <is>
          <t>Renewable Specialist</t>
        </is>
      </c>
      <c r="G665" s="28" t="inlineStr">
        <is>
          <t>Active</t>
        </is>
      </c>
      <c r="H665" s="31" t="n"/>
      <c r="I665" s="32">
        <f>IF(OR($A665="",$G665&lt;&gt;"Active"),0,IF($H665&lt;&gt;"",$H665,IF($AO665&gt;0,$AP665,IF(AND($R665&lt;&gt;"",IFERROR(INDEX(Templates!$B$3:$H$10,MATCH($R665,Templates!$A$3:$A$10,0),MATCH($F665,Templates!$B$2:$H$2,0)),0)&gt;0),INDEX(Templates!$B$3:$H$10,MATCH($R665,Templates!$A$3:$A$10,0),MATCH($F665,Templates!$B$2:$H$2,0)),IFERROR(INDEX(Settings!$B$8:$B$14,MATCH($F665,Settings!$A$8:$A$14,0)),0)))))</f>
        <v/>
      </c>
      <c r="J665" s="21">
        <f>IF($C665="",0,IFERROR(INDEX(Deals!$H$2:$H$355,MATCH($C665,Deals!$A$2:$A$355,0)),0))</f>
        <v/>
      </c>
      <c r="K665" s="32">
        <f>IF(Settings!$B$4="Yes",$I665*$J665,$I665)</f>
        <v/>
      </c>
      <c r="L665" s="22">
        <f>IF($C665="","",IFERROR(IF(INDEX(Deals!$I$2:$I$355,MATCH($C665,Deals!$A$2:$A$355,0))=0,"",INDEX(Deals!$I$2:$I$355,MATCH($C665,Deals!$A$2:$A$355,0))),""))</f>
        <v/>
      </c>
      <c r="M665" s="22">
        <f>IF($C665="","",IFERROR(IF(INDEX(Deals!$J$2:$J$355,MATCH($C665,Deals!$A$2:$A$355,0))=0,"",INDEX(Deals!$J$2:$J$355,MATCH($C665,Deals!$A$2:$A$355,0))),""))</f>
        <v/>
      </c>
      <c r="N665" s="35">
        <f>IF($L665="",DATE(1900,1,1),$L665)</f>
        <v/>
      </c>
      <c r="O665" s="35">
        <f>IF($M665="",DATE(2100,12,31),$M665)</f>
        <v/>
      </c>
      <c r="P665" s="20" t="inlineStr"/>
      <c r="Q665" s="47" t="inlineStr"/>
      <c r="R665" s="16">
        <f>IF($C665="","",IFERROR(IF(INDEX(Deals!$U$2:$U$355,MATCH($C665,Deals!$A$2:$A$355,0))=0,"",INDEX(Deals!$U$2:$U$355,MATCH($C665,Deals!$A$2:$A$355,0))),""))</f>
        <v/>
      </c>
      <c r="S665" s="34">
        <f>IFERROR(IF($U665="",1,INDEX(Deals!$V$2:$V$355,MATCH($C665,Deals!$A$2:$A$355,0))),1)</f>
        <v/>
      </c>
      <c r="T665" s="34">
        <f>IFERROR(IF($U665="",1,INDEX(Deals!$W$2:$W$355,MATCH($C665,Deals!$A$2:$A$355,0))),1)</f>
        <v/>
      </c>
      <c r="U665" s="22">
        <f>IF($C665="","",IFERROR(IF(INDEX(Deals!$Y$2:$Y$355,MATCH($C665,Deals!$A$2:$A$355,0))=0,"",INDEX(Deals!$Y$2:$Y$355,MATCH($C665,Deals!$A$2:$A$355,0))),""))</f>
        <v/>
      </c>
      <c r="V665" s="35">
        <f>IF(OR($U665&lt;&gt;"",AND($AO665&gt;0,$L665&lt;&gt;"",$M665&lt;&gt;"")),$N665,DATE(1900,1,1))</f>
        <v/>
      </c>
      <c r="W665" s="35">
        <f>IF($U665&lt;&gt;"",$U665,IF(AND($AO665&gt;0,$L665&lt;&gt;"",$M665&lt;&gt;""),$O665,DATE(2100,12,31)))</f>
        <v/>
      </c>
      <c r="X665" s="32">
        <f>IF($U665="",$K665,$K665*$S665)</f>
        <v/>
      </c>
      <c r="Y665" s="35">
        <f>IF($U665="",DATE(2100,12,31),$U665+1)</f>
        <v/>
      </c>
      <c r="Z665" s="35">
        <f>IF($U665="",DATE(1900,1,1),$O665)</f>
        <v/>
      </c>
      <c r="AA665" s="32">
        <f>IF($U665="",0,$K665*$T665)</f>
        <v/>
      </c>
      <c r="AB665" s="21">
        <f>IF($C665="",0,IFERROR(INDEX(Deals!$AD$2:$AD$355,MATCH($C665,Deals!$A$2:$A$355,0)),0))</f>
        <v/>
      </c>
      <c r="AC665" s="32">
        <f>IF(Settings!$B$4="Yes",$I665*$AB665,$I665)</f>
        <v/>
      </c>
      <c r="AD665" s="22">
        <f>IF($C665="","",IFERROR(IF(INDEX(Deals!$AE$2:$AE$355,MATCH($C665,Deals!$A$2:$A$355,0))=0,"",INDEX(Deals!$AE$2:$AE$355,MATCH($C665,Deals!$A$2:$A$355,0))),""))</f>
        <v/>
      </c>
      <c r="AE665" s="22">
        <f>IF($C665="","",IFERROR(IF(INDEX(Deals!$AF$2:$AF$355,MATCH($C665,Deals!$A$2:$A$355,0))=0,"",INDEX(Deals!$AF$2:$AF$355,MATCH($C665,Deals!$A$2:$A$355,0))),""))</f>
        <v/>
      </c>
      <c r="AF665" s="35">
        <f>IF($AD665="",DATE(1900,1,1),$AD665)</f>
        <v/>
      </c>
      <c r="AG665" s="35">
        <f>IF($AE665="",DATE(2100,12,31),$AE665)</f>
        <v/>
      </c>
      <c r="AH665" s="22">
        <f>IF($C665="","",IFERROR(IF(INDEX(Deals!$AG$2:$AG$355,MATCH($C665,Deals!$A$2:$A$355,0))=0,"",INDEX(Deals!$AG$2:$AG$355,MATCH($C665,Deals!$A$2:$A$355,0))),""))</f>
        <v/>
      </c>
      <c r="AI665" s="35">
        <f>IF(OR($AH665&lt;&gt;"",AND($AO665&gt;0,$AD665&lt;&gt;"",$AE665&lt;&gt;"")),$AF665,DATE(1900,1,1))</f>
        <v/>
      </c>
      <c r="AJ665" s="35">
        <f>IF($AH665&lt;&gt;"",$AH665,IF(AND($AO665&gt;0,$AD665&lt;&gt;"",$AE665&lt;&gt;""),$AG665,DATE(2100,12,31)))</f>
        <v/>
      </c>
      <c r="AK665" s="32">
        <f>IF($AH665="",$AC665,$AC665*$S665)</f>
        <v/>
      </c>
      <c r="AL665" s="35">
        <f>IF($AH665="",DATE(2100,12,31),$AH665+1)</f>
        <v/>
      </c>
      <c r="AM665" s="35">
        <f>IF($AH665="",DATE(1900,1,1),$AG665)</f>
        <v/>
      </c>
      <c r="AN665" s="32">
        <f>IF($AH665="",0,$AC665*$T665)</f>
        <v/>
      </c>
      <c r="AO665" s="46">
        <f>IF($C665="",0,IFERROR(INDEX(Deals!$BD$2:$BD$355,MATCH($C665,Deals!$A$2:$A$355,0)),0))</f>
        <v/>
      </c>
      <c r="AP665" s="18">
        <f>IF($AO665=0,0,IFERROR(INDEX(Deals!$BJ$2:$BP$355,MATCH($C665,Deals!$A$2:$A$355,0),MATCH($F665,Deals!$BJ$1:$BP$1,0))/COUNTIFS(Assignments!$C$2:$C$769,$C665,Assignments!$F$2:$F$769,$F665,Assignments!$G$2:$G$769,"Active"),0))</f>
        <v/>
      </c>
    </row>
    <row r="666">
      <c r="A666" s="28" t="inlineStr">
        <is>
          <t>Eric</t>
        </is>
      </c>
      <c r="B666" s="16">
        <f>IF($A666="","",IFERROR(INDEX(Roster!$B$2:$B$40,MATCH($A666,Roster!$A$2:$A$40,0)),"?"))</f>
        <v/>
      </c>
      <c r="C666" s="28" t="inlineStr">
        <is>
          <t>Orca_1</t>
        </is>
      </c>
      <c r="D666" s="16">
        <f>IF($C666="","",IFERROR(IF(INDEX(Deals!$C$2:$C$355,MATCH($C666,Deals!$A$2:$A$355,0))=0,"",INDEX(Deals!$C$2:$C$355,MATCH($C666,Deals!$A$2:$A$355,0))),"?"))</f>
        <v/>
      </c>
      <c r="E666" s="16">
        <f>IF($C666="","",IFERROR(INDEX(Deals!$F$2:$F$355,MATCH($C666,Deals!$A$2:$A$355,0)),"?"))</f>
        <v/>
      </c>
      <c r="F666" s="28" t="inlineStr">
        <is>
          <t>Renewable Specialist</t>
        </is>
      </c>
      <c r="G666" s="28" t="inlineStr">
        <is>
          <t>Active</t>
        </is>
      </c>
      <c r="H666" s="31" t="n"/>
      <c r="I666" s="32">
        <f>IF(OR($A666="",$G666&lt;&gt;"Active"),0,IF($H666&lt;&gt;"",$H666,IF($AO666&gt;0,$AP666,IF(AND($R666&lt;&gt;"",IFERROR(INDEX(Templates!$B$3:$H$10,MATCH($R666,Templates!$A$3:$A$10,0),MATCH($F666,Templates!$B$2:$H$2,0)),0)&gt;0),INDEX(Templates!$B$3:$H$10,MATCH($R666,Templates!$A$3:$A$10,0),MATCH($F666,Templates!$B$2:$H$2,0)),IFERROR(INDEX(Settings!$B$8:$B$14,MATCH($F666,Settings!$A$8:$A$14,0)),0)))))</f>
        <v/>
      </c>
      <c r="J666" s="21">
        <f>IF($C666="",0,IFERROR(INDEX(Deals!$H$2:$H$355,MATCH($C666,Deals!$A$2:$A$355,0)),0))</f>
        <v/>
      </c>
      <c r="K666" s="32">
        <f>IF(Settings!$B$4="Yes",$I666*$J666,$I666)</f>
        <v/>
      </c>
      <c r="L666" s="22">
        <f>IF($C666="","",IFERROR(IF(INDEX(Deals!$I$2:$I$355,MATCH($C666,Deals!$A$2:$A$355,0))=0,"",INDEX(Deals!$I$2:$I$355,MATCH($C666,Deals!$A$2:$A$355,0))),""))</f>
        <v/>
      </c>
      <c r="M666" s="22">
        <f>IF($C666="","",IFERROR(IF(INDEX(Deals!$J$2:$J$355,MATCH($C666,Deals!$A$2:$A$355,0))=0,"",INDEX(Deals!$J$2:$J$355,MATCH($C666,Deals!$A$2:$A$355,0))),""))</f>
        <v/>
      </c>
      <c r="N666" s="35">
        <f>IF($L666="",DATE(1900,1,1),$L666)</f>
        <v/>
      </c>
      <c r="O666" s="35">
        <f>IF($M666="",DATE(2100,12,31),$M666)</f>
        <v/>
      </c>
      <c r="P666" s="20" t="inlineStr"/>
      <c r="Q666" s="47" t="inlineStr"/>
      <c r="R666" s="16">
        <f>IF($C666="","",IFERROR(IF(INDEX(Deals!$U$2:$U$355,MATCH($C666,Deals!$A$2:$A$355,0))=0,"",INDEX(Deals!$U$2:$U$355,MATCH($C666,Deals!$A$2:$A$355,0))),""))</f>
        <v/>
      </c>
      <c r="S666" s="34">
        <f>IFERROR(IF($U666="",1,INDEX(Deals!$V$2:$V$355,MATCH($C666,Deals!$A$2:$A$355,0))),1)</f>
        <v/>
      </c>
      <c r="T666" s="34">
        <f>IFERROR(IF($U666="",1,INDEX(Deals!$W$2:$W$355,MATCH($C666,Deals!$A$2:$A$355,0))),1)</f>
        <v/>
      </c>
      <c r="U666" s="22">
        <f>IF($C666="","",IFERROR(IF(INDEX(Deals!$Y$2:$Y$355,MATCH($C666,Deals!$A$2:$A$355,0))=0,"",INDEX(Deals!$Y$2:$Y$355,MATCH($C666,Deals!$A$2:$A$355,0))),""))</f>
        <v/>
      </c>
      <c r="V666" s="35">
        <f>IF(OR($U666&lt;&gt;"",AND($AO666&gt;0,$L666&lt;&gt;"",$M666&lt;&gt;"")),$N666,DATE(1900,1,1))</f>
        <v/>
      </c>
      <c r="W666" s="35">
        <f>IF($U666&lt;&gt;"",$U666,IF(AND($AO666&gt;0,$L666&lt;&gt;"",$M666&lt;&gt;""),$O666,DATE(2100,12,31)))</f>
        <v/>
      </c>
      <c r="X666" s="32">
        <f>IF($U666="",$K666,$K666*$S666)</f>
        <v/>
      </c>
      <c r="Y666" s="35">
        <f>IF($U666="",DATE(2100,12,31),$U666+1)</f>
        <v/>
      </c>
      <c r="Z666" s="35">
        <f>IF($U666="",DATE(1900,1,1),$O666)</f>
        <v/>
      </c>
      <c r="AA666" s="32">
        <f>IF($U666="",0,$K666*$T666)</f>
        <v/>
      </c>
      <c r="AB666" s="21">
        <f>IF($C666="",0,IFERROR(INDEX(Deals!$AD$2:$AD$355,MATCH($C666,Deals!$A$2:$A$355,0)),0))</f>
        <v/>
      </c>
      <c r="AC666" s="32">
        <f>IF(Settings!$B$4="Yes",$I666*$AB666,$I666)</f>
        <v/>
      </c>
      <c r="AD666" s="22">
        <f>IF($C666="","",IFERROR(IF(INDEX(Deals!$AE$2:$AE$355,MATCH($C666,Deals!$A$2:$A$355,0))=0,"",INDEX(Deals!$AE$2:$AE$355,MATCH($C666,Deals!$A$2:$A$355,0))),""))</f>
        <v/>
      </c>
      <c r="AE666" s="22">
        <f>IF($C666="","",IFERROR(IF(INDEX(Deals!$AF$2:$AF$355,MATCH($C666,Deals!$A$2:$A$355,0))=0,"",INDEX(Deals!$AF$2:$AF$355,MATCH($C666,Deals!$A$2:$A$355,0))),""))</f>
        <v/>
      </c>
      <c r="AF666" s="35">
        <f>IF($AD666="",DATE(1900,1,1),$AD666)</f>
        <v/>
      </c>
      <c r="AG666" s="35">
        <f>IF($AE666="",DATE(2100,12,31),$AE666)</f>
        <v/>
      </c>
      <c r="AH666" s="22">
        <f>IF($C666="","",IFERROR(IF(INDEX(Deals!$AG$2:$AG$355,MATCH($C666,Deals!$A$2:$A$355,0))=0,"",INDEX(Deals!$AG$2:$AG$355,MATCH($C666,Deals!$A$2:$A$355,0))),""))</f>
        <v/>
      </c>
      <c r="AI666" s="35">
        <f>IF(OR($AH666&lt;&gt;"",AND($AO666&gt;0,$AD666&lt;&gt;"",$AE666&lt;&gt;"")),$AF666,DATE(1900,1,1))</f>
        <v/>
      </c>
      <c r="AJ666" s="35">
        <f>IF($AH666&lt;&gt;"",$AH666,IF(AND($AO666&gt;0,$AD666&lt;&gt;"",$AE666&lt;&gt;""),$AG666,DATE(2100,12,31)))</f>
        <v/>
      </c>
      <c r="AK666" s="32">
        <f>IF($AH666="",$AC666,$AC666*$S666)</f>
        <v/>
      </c>
      <c r="AL666" s="35">
        <f>IF($AH666="",DATE(2100,12,31),$AH666+1)</f>
        <v/>
      </c>
      <c r="AM666" s="35">
        <f>IF($AH666="",DATE(1900,1,1),$AG666)</f>
        <v/>
      </c>
      <c r="AN666" s="32">
        <f>IF($AH666="",0,$AC666*$T666)</f>
        <v/>
      </c>
      <c r="AO666" s="46">
        <f>IF($C666="",0,IFERROR(INDEX(Deals!$BD$2:$BD$355,MATCH($C666,Deals!$A$2:$A$355,0)),0))</f>
        <v/>
      </c>
      <c r="AP666" s="18">
        <f>IF($AO666=0,0,IFERROR(INDEX(Deals!$BJ$2:$BP$355,MATCH($C666,Deals!$A$2:$A$355,0),MATCH($F666,Deals!$BJ$1:$BP$1,0))/COUNTIFS(Assignments!$C$2:$C$769,$C666,Assignments!$F$2:$F$769,$F666,Assignments!$G$2:$G$769,"Active"),0))</f>
        <v/>
      </c>
    </row>
    <row r="667">
      <c r="A667" s="28" t="inlineStr">
        <is>
          <t>Eric</t>
        </is>
      </c>
      <c r="B667" s="16">
        <f>IF($A667="","",IFERROR(INDEX(Roster!$B$2:$B$40,MATCH($A667,Roster!$A$2:$A$40,0)),"?"))</f>
        <v/>
      </c>
      <c r="C667" s="28" t="inlineStr">
        <is>
          <t>PearlX_1</t>
        </is>
      </c>
      <c r="D667" s="16">
        <f>IF($C667="","",IFERROR(IF(INDEX(Deals!$C$2:$C$355,MATCH($C667,Deals!$A$2:$A$355,0))=0,"",INDEX(Deals!$C$2:$C$355,MATCH($C667,Deals!$A$2:$A$355,0))),"?"))</f>
        <v/>
      </c>
      <c r="E667" s="16">
        <f>IF($C667="","",IFERROR(INDEX(Deals!$F$2:$F$355,MATCH($C667,Deals!$A$2:$A$355,0)),"?"))</f>
        <v/>
      </c>
      <c r="F667" s="28" t="inlineStr">
        <is>
          <t>Renewable Specialist</t>
        </is>
      </c>
      <c r="G667" s="28" t="inlineStr">
        <is>
          <t>Active</t>
        </is>
      </c>
      <c r="H667" s="31" t="n"/>
      <c r="I667" s="32">
        <f>IF(OR($A667="",$G667&lt;&gt;"Active"),0,IF($H667&lt;&gt;"",$H667,IF($AO667&gt;0,$AP667,IF(AND($R667&lt;&gt;"",IFERROR(INDEX(Templates!$B$3:$H$10,MATCH($R667,Templates!$A$3:$A$10,0),MATCH($F667,Templates!$B$2:$H$2,0)),0)&gt;0),INDEX(Templates!$B$3:$H$10,MATCH($R667,Templates!$A$3:$A$10,0),MATCH($F667,Templates!$B$2:$H$2,0)),IFERROR(INDEX(Settings!$B$8:$B$14,MATCH($F667,Settings!$A$8:$A$14,0)),0)))))</f>
        <v/>
      </c>
      <c r="J667" s="21">
        <f>IF($C667="",0,IFERROR(INDEX(Deals!$H$2:$H$355,MATCH($C667,Deals!$A$2:$A$355,0)),0))</f>
        <v/>
      </c>
      <c r="K667" s="32">
        <f>IF(Settings!$B$4="Yes",$I667*$J667,$I667)</f>
        <v/>
      </c>
      <c r="L667" s="22">
        <f>IF($C667="","",IFERROR(IF(INDEX(Deals!$I$2:$I$355,MATCH($C667,Deals!$A$2:$A$355,0))=0,"",INDEX(Deals!$I$2:$I$355,MATCH($C667,Deals!$A$2:$A$355,0))),""))</f>
        <v/>
      </c>
      <c r="M667" s="22">
        <f>IF($C667="","",IFERROR(IF(INDEX(Deals!$J$2:$J$355,MATCH($C667,Deals!$A$2:$A$355,0))=0,"",INDEX(Deals!$J$2:$J$355,MATCH($C667,Deals!$A$2:$A$355,0))),""))</f>
        <v/>
      </c>
      <c r="N667" s="35">
        <f>IF($L667="",DATE(1900,1,1),$L667)</f>
        <v/>
      </c>
      <c r="O667" s="35">
        <f>IF($M667="",DATE(2100,12,31),$M667)</f>
        <v/>
      </c>
      <c r="P667" s="20" t="inlineStr"/>
      <c r="Q667" s="47" t="inlineStr"/>
      <c r="R667" s="16">
        <f>IF($C667="","",IFERROR(IF(INDEX(Deals!$U$2:$U$355,MATCH($C667,Deals!$A$2:$A$355,0))=0,"",INDEX(Deals!$U$2:$U$355,MATCH($C667,Deals!$A$2:$A$355,0))),""))</f>
        <v/>
      </c>
      <c r="S667" s="34">
        <f>IFERROR(IF($U667="",1,INDEX(Deals!$V$2:$V$355,MATCH($C667,Deals!$A$2:$A$355,0))),1)</f>
        <v/>
      </c>
      <c r="T667" s="34">
        <f>IFERROR(IF($U667="",1,INDEX(Deals!$W$2:$W$355,MATCH($C667,Deals!$A$2:$A$355,0))),1)</f>
        <v/>
      </c>
      <c r="U667" s="22">
        <f>IF($C667="","",IFERROR(IF(INDEX(Deals!$Y$2:$Y$355,MATCH($C667,Deals!$A$2:$A$355,0))=0,"",INDEX(Deals!$Y$2:$Y$355,MATCH($C667,Deals!$A$2:$A$355,0))),""))</f>
        <v/>
      </c>
      <c r="V667" s="35">
        <f>IF(OR($U667&lt;&gt;"",AND($AO667&gt;0,$L667&lt;&gt;"",$M667&lt;&gt;"")),$N667,DATE(1900,1,1))</f>
        <v/>
      </c>
      <c r="W667" s="35">
        <f>IF($U667&lt;&gt;"",$U667,IF(AND($AO667&gt;0,$L667&lt;&gt;"",$M667&lt;&gt;""),$O667,DATE(2100,12,31)))</f>
        <v/>
      </c>
      <c r="X667" s="32">
        <f>IF($U667="",$K667,$K667*$S667)</f>
        <v/>
      </c>
      <c r="Y667" s="35">
        <f>IF($U667="",DATE(2100,12,31),$U667+1)</f>
        <v/>
      </c>
      <c r="Z667" s="35">
        <f>IF($U667="",DATE(1900,1,1),$O667)</f>
        <v/>
      </c>
      <c r="AA667" s="32">
        <f>IF($U667="",0,$K667*$T667)</f>
        <v/>
      </c>
      <c r="AB667" s="21">
        <f>IF($C667="",0,IFERROR(INDEX(Deals!$AD$2:$AD$355,MATCH($C667,Deals!$A$2:$A$355,0)),0))</f>
        <v/>
      </c>
      <c r="AC667" s="32">
        <f>IF(Settings!$B$4="Yes",$I667*$AB667,$I667)</f>
        <v/>
      </c>
      <c r="AD667" s="22">
        <f>IF($C667="","",IFERROR(IF(INDEX(Deals!$AE$2:$AE$355,MATCH($C667,Deals!$A$2:$A$355,0))=0,"",INDEX(Deals!$AE$2:$AE$355,MATCH($C667,Deals!$A$2:$A$355,0))),""))</f>
        <v/>
      </c>
      <c r="AE667" s="22">
        <f>IF($C667="","",IFERROR(IF(INDEX(Deals!$AF$2:$AF$355,MATCH($C667,Deals!$A$2:$A$355,0))=0,"",INDEX(Deals!$AF$2:$AF$355,MATCH($C667,Deals!$A$2:$A$355,0))),""))</f>
        <v/>
      </c>
      <c r="AF667" s="35">
        <f>IF($AD667="",DATE(1900,1,1),$AD667)</f>
        <v/>
      </c>
      <c r="AG667" s="35">
        <f>IF($AE667="",DATE(2100,12,31),$AE667)</f>
        <v/>
      </c>
      <c r="AH667" s="22">
        <f>IF($C667="","",IFERROR(IF(INDEX(Deals!$AG$2:$AG$355,MATCH($C667,Deals!$A$2:$A$355,0))=0,"",INDEX(Deals!$AG$2:$AG$355,MATCH($C667,Deals!$A$2:$A$355,0))),""))</f>
        <v/>
      </c>
      <c r="AI667" s="35">
        <f>IF(OR($AH667&lt;&gt;"",AND($AO667&gt;0,$AD667&lt;&gt;"",$AE667&lt;&gt;"")),$AF667,DATE(1900,1,1))</f>
        <v/>
      </c>
      <c r="AJ667" s="35">
        <f>IF($AH667&lt;&gt;"",$AH667,IF(AND($AO667&gt;0,$AD667&lt;&gt;"",$AE667&lt;&gt;""),$AG667,DATE(2100,12,31)))</f>
        <v/>
      </c>
      <c r="AK667" s="32">
        <f>IF($AH667="",$AC667,$AC667*$S667)</f>
        <v/>
      </c>
      <c r="AL667" s="35">
        <f>IF($AH667="",DATE(2100,12,31),$AH667+1)</f>
        <v/>
      </c>
      <c r="AM667" s="35">
        <f>IF($AH667="",DATE(1900,1,1),$AG667)</f>
        <v/>
      </c>
      <c r="AN667" s="32">
        <f>IF($AH667="",0,$AC667*$T667)</f>
        <v/>
      </c>
      <c r="AO667" s="46">
        <f>IF($C667="",0,IFERROR(INDEX(Deals!$BD$2:$BD$355,MATCH($C667,Deals!$A$2:$A$355,0)),0))</f>
        <v/>
      </c>
      <c r="AP667" s="18">
        <f>IF($AO667=0,0,IFERROR(INDEX(Deals!$BJ$2:$BP$355,MATCH($C667,Deals!$A$2:$A$355,0),MATCH($F667,Deals!$BJ$1:$BP$1,0))/COUNTIFS(Assignments!$C$2:$C$769,$C667,Assignments!$F$2:$F$769,$F667,Assignments!$G$2:$G$769,"Active"),0))</f>
        <v/>
      </c>
    </row>
    <row r="668">
      <c r="A668" s="28" t="inlineStr">
        <is>
          <t>Eric</t>
        </is>
      </c>
      <c r="B668" s="16">
        <f>IF($A668="","",IFERROR(INDEX(Roster!$B$2:$B$40,MATCH($A668,Roster!$A$2:$A$40,0)),"?"))</f>
        <v/>
      </c>
      <c r="C668" s="28" t="inlineStr">
        <is>
          <t>RBC Leaf_2</t>
        </is>
      </c>
      <c r="D668" s="16">
        <f>IF($C668="","",IFERROR(IF(INDEX(Deals!$C$2:$C$355,MATCH($C668,Deals!$A$2:$A$355,0))=0,"",INDEX(Deals!$C$2:$C$355,MATCH($C668,Deals!$A$2:$A$355,0))),"?"))</f>
        <v/>
      </c>
      <c r="E668" s="16">
        <f>IF($C668="","",IFERROR(INDEX(Deals!$F$2:$F$355,MATCH($C668,Deals!$A$2:$A$355,0)),"?"))</f>
        <v/>
      </c>
      <c r="F668" s="28" t="inlineStr">
        <is>
          <t>Renewable Specialist</t>
        </is>
      </c>
      <c r="G668" s="28" t="inlineStr">
        <is>
          <t>Active</t>
        </is>
      </c>
      <c r="H668" s="31" t="n"/>
      <c r="I668" s="32">
        <f>IF(OR($A668="",$G668&lt;&gt;"Active"),0,IF($H668&lt;&gt;"",$H668,IF($AO668&gt;0,$AP668,IF(AND($R668&lt;&gt;"",IFERROR(INDEX(Templates!$B$3:$H$10,MATCH($R668,Templates!$A$3:$A$10,0),MATCH($F668,Templates!$B$2:$H$2,0)),0)&gt;0),INDEX(Templates!$B$3:$H$10,MATCH($R668,Templates!$A$3:$A$10,0),MATCH($F668,Templates!$B$2:$H$2,0)),IFERROR(INDEX(Settings!$B$8:$B$14,MATCH($F668,Settings!$A$8:$A$14,0)),0)))))</f>
        <v/>
      </c>
      <c r="J668" s="21">
        <f>IF($C668="",0,IFERROR(INDEX(Deals!$H$2:$H$355,MATCH($C668,Deals!$A$2:$A$355,0)),0))</f>
        <v/>
      </c>
      <c r="K668" s="32">
        <f>IF(Settings!$B$4="Yes",$I668*$J668,$I668)</f>
        <v/>
      </c>
      <c r="L668" s="22">
        <f>IF($C668="","",IFERROR(IF(INDEX(Deals!$I$2:$I$355,MATCH($C668,Deals!$A$2:$A$355,0))=0,"",INDEX(Deals!$I$2:$I$355,MATCH($C668,Deals!$A$2:$A$355,0))),""))</f>
        <v/>
      </c>
      <c r="M668" s="22">
        <f>IF($C668="","",IFERROR(IF(INDEX(Deals!$J$2:$J$355,MATCH($C668,Deals!$A$2:$A$355,0))=0,"",INDEX(Deals!$J$2:$J$355,MATCH($C668,Deals!$A$2:$A$355,0))),""))</f>
        <v/>
      </c>
      <c r="N668" s="35">
        <f>IF($L668="",DATE(1900,1,1),$L668)</f>
        <v/>
      </c>
      <c r="O668" s="35">
        <f>IF($M668="",DATE(2100,12,31),$M668)</f>
        <v/>
      </c>
      <c r="P668" s="20" t="inlineStr"/>
      <c r="Q668" s="47" t="inlineStr"/>
      <c r="R668" s="16">
        <f>IF($C668="","",IFERROR(IF(INDEX(Deals!$U$2:$U$355,MATCH($C668,Deals!$A$2:$A$355,0))=0,"",INDEX(Deals!$U$2:$U$355,MATCH($C668,Deals!$A$2:$A$355,0))),""))</f>
        <v/>
      </c>
      <c r="S668" s="34">
        <f>IFERROR(IF($U668="",1,INDEX(Deals!$V$2:$V$355,MATCH($C668,Deals!$A$2:$A$355,0))),1)</f>
        <v/>
      </c>
      <c r="T668" s="34">
        <f>IFERROR(IF($U668="",1,INDEX(Deals!$W$2:$W$355,MATCH($C668,Deals!$A$2:$A$355,0))),1)</f>
        <v/>
      </c>
      <c r="U668" s="22">
        <f>IF($C668="","",IFERROR(IF(INDEX(Deals!$Y$2:$Y$355,MATCH($C668,Deals!$A$2:$A$355,0))=0,"",INDEX(Deals!$Y$2:$Y$355,MATCH($C668,Deals!$A$2:$A$355,0))),""))</f>
        <v/>
      </c>
      <c r="V668" s="35">
        <f>IF(OR($U668&lt;&gt;"",AND($AO668&gt;0,$L668&lt;&gt;"",$M668&lt;&gt;"")),$N668,DATE(1900,1,1))</f>
        <v/>
      </c>
      <c r="W668" s="35">
        <f>IF($U668&lt;&gt;"",$U668,IF(AND($AO668&gt;0,$L668&lt;&gt;"",$M668&lt;&gt;""),$O668,DATE(2100,12,31)))</f>
        <v/>
      </c>
      <c r="X668" s="32">
        <f>IF($U668="",$K668,$K668*$S668)</f>
        <v/>
      </c>
      <c r="Y668" s="35">
        <f>IF($U668="",DATE(2100,12,31),$U668+1)</f>
        <v/>
      </c>
      <c r="Z668" s="35">
        <f>IF($U668="",DATE(1900,1,1),$O668)</f>
        <v/>
      </c>
      <c r="AA668" s="32">
        <f>IF($U668="",0,$K668*$T668)</f>
        <v/>
      </c>
      <c r="AB668" s="21">
        <f>IF($C668="",0,IFERROR(INDEX(Deals!$AD$2:$AD$355,MATCH($C668,Deals!$A$2:$A$355,0)),0))</f>
        <v/>
      </c>
      <c r="AC668" s="32">
        <f>IF(Settings!$B$4="Yes",$I668*$AB668,$I668)</f>
        <v/>
      </c>
      <c r="AD668" s="22">
        <f>IF($C668="","",IFERROR(IF(INDEX(Deals!$AE$2:$AE$355,MATCH($C668,Deals!$A$2:$A$355,0))=0,"",INDEX(Deals!$AE$2:$AE$355,MATCH($C668,Deals!$A$2:$A$355,0))),""))</f>
        <v/>
      </c>
      <c r="AE668" s="22">
        <f>IF($C668="","",IFERROR(IF(INDEX(Deals!$AF$2:$AF$355,MATCH($C668,Deals!$A$2:$A$355,0))=0,"",INDEX(Deals!$AF$2:$AF$355,MATCH($C668,Deals!$A$2:$A$355,0))),""))</f>
        <v/>
      </c>
      <c r="AF668" s="35">
        <f>IF($AD668="",DATE(1900,1,1),$AD668)</f>
        <v/>
      </c>
      <c r="AG668" s="35">
        <f>IF($AE668="",DATE(2100,12,31),$AE668)</f>
        <v/>
      </c>
      <c r="AH668" s="22">
        <f>IF($C668="","",IFERROR(IF(INDEX(Deals!$AG$2:$AG$355,MATCH($C668,Deals!$A$2:$A$355,0))=0,"",INDEX(Deals!$AG$2:$AG$355,MATCH($C668,Deals!$A$2:$A$355,0))),""))</f>
        <v/>
      </c>
      <c r="AI668" s="35">
        <f>IF(OR($AH668&lt;&gt;"",AND($AO668&gt;0,$AD668&lt;&gt;"",$AE668&lt;&gt;"")),$AF668,DATE(1900,1,1))</f>
        <v/>
      </c>
      <c r="AJ668" s="35">
        <f>IF($AH668&lt;&gt;"",$AH668,IF(AND($AO668&gt;0,$AD668&lt;&gt;"",$AE668&lt;&gt;""),$AG668,DATE(2100,12,31)))</f>
        <v/>
      </c>
      <c r="AK668" s="32">
        <f>IF($AH668="",$AC668,$AC668*$S668)</f>
        <v/>
      </c>
      <c r="AL668" s="35">
        <f>IF($AH668="",DATE(2100,12,31),$AH668+1)</f>
        <v/>
      </c>
      <c r="AM668" s="35">
        <f>IF($AH668="",DATE(1900,1,1),$AG668)</f>
        <v/>
      </c>
      <c r="AN668" s="32">
        <f>IF($AH668="",0,$AC668*$T668)</f>
        <v/>
      </c>
      <c r="AO668" s="46">
        <f>IF($C668="",0,IFERROR(INDEX(Deals!$BD$2:$BD$355,MATCH($C668,Deals!$A$2:$A$355,0)),0))</f>
        <v/>
      </c>
      <c r="AP668" s="18">
        <f>IF($AO668=0,0,IFERROR(INDEX(Deals!$BJ$2:$BP$355,MATCH($C668,Deals!$A$2:$A$355,0),MATCH($F668,Deals!$BJ$1:$BP$1,0))/COUNTIFS(Assignments!$C$2:$C$769,$C668,Assignments!$F$2:$F$769,$F668,Assignments!$G$2:$G$769,"Active"),0))</f>
        <v/>
      </c>
    </row>
    <row r="669">
      <c r="A669" s="28" t="inlineStr">
        <is>
          <t>Eric</t>
        </is>
      </c>
      <c r="B669" s="16">
        <f>IF($A669="","",IFERROR(INDEX(Roster!$B$2:$B$40,MATCH($A669,Roster!$A$2:$A$40,0)),"?"))</f>
        <v/>
      </c>
      <c r="C669" s="28" t="inlineStr">
        <is>
          <t>RBC Petal_1</t>
        </is>
      </c>
      <c r="D669" s="16">
        <f>IF($C669="","",IFERROR(IF(INDEX(Deals!$C$2:$C$355,MATCH($C669,Deals!$A$2:$A$355,0))=0,"",INDEX(Deals!$C$2:$C$355,MATCH($C669,Deals!$A$2:$A$355,0))),"?"))</f>
        <v/>
      </c>
      <c r="E669" s="16">
        <f>IF($C669="","",IFERROR(INDEX(Deals!$F$2:$F$355,MATCH($C669,Deals!$A$2:$A$355,0)),"?"))</f>
        <v/>
      </c>
      <c r="F669" s="28" t="inlineStr">
        <is>
          <t>Renewable Specialist</t>
        </is>
      </c>
      <c r="G669" s="28" t="inlineStr">
        <is>
          <t>Active</t>
        </is>
      </c>
      <c r="H669" s="31" t="n"/>
      <c r="I669" s="32">
        <f>IF(OR($A669="",$G669&lt;&gt;"Active"),0,IF($H669&lt;&gt;"",$H669,IF($AO669&gt;0,$AP669,IF(AND($R669&lt;&gt;"",IFERROR(INDEX(Templates!$B$3:$H$10,MATCH($R669,Templates!$A$3:$A$10,0),MATCH($F669,Templates!$B$2:$H$2,0)),0)&gt;0),INDEX(Templates!$B$3:$H$10,MATCH($R669,Templates!$A$3:$A$10,0),MATCH($F669,Templates!$B$2:$H$2,0)),IFERROR(INDEX(Settings!$B$8:$B$14,MATCH($F669,Settings!$A$8:$A$14,0)),0)))))</f>
        <v/>
      </c>
      <c r="J669" s="21">
        <f>IF($C669="",0,IFERROR(INDEX(Deals!$H$2:$H$355,MATCH($C669,Deals!$A$2:$A$355,0)),0))</f>
        <v/>
      </c>
      <c r="K669" s="32">
        <f>IF(Settings!$B$4="Yes",$I669*$J669,$I669)</f>
        <v/>
      </c>
      <c r="L669" s="22">
        <f>IF($C669="","",IFERROR(IF(INDEX(Deals!$I$2:$I$355,MATCH($C669,Deals!$A$2:$A$355,0))=0,"",INDEX(Deals!$I$2:$I$355,MATCH($C669,Deals!$A$2:$A$355,0))),""))</f>
        <v/>
      </c>
      <c r="M669" s="22">
        <f>IF($C669="","",IFERROR(IF(INDEX(Deals!$J$2:$J$355,MATCH($C669,Deals!$A$2:$A$355,0))=0,"",INDEX(Deals!$J$2:$J$355,MATCH($C669,Deals!$A$2:$A$355,0))),""))</f>
        <v/>
      </c>
      <c r="N669" s="35">
        <f>IF($L669="",DATE(1900,1,1),$L669)</f>
        <v/>
      </c>
      <c r="O669" s="35">
        <f>IF($M669="",DATE(2100,12,31),$M669)</f>
        <v/>
      </c>
      <c r="P669" s="20" t="inlineStr"/>
      <c r="Q669" s="47" t="inlineStr"/>
      <c r="R669" s="16">
        <f>IF($C669="","",IFERROR(IF(INDEX(Deals!$U$2:$U$355,MATCH($C669,Deals!$A$2:$A$355,0))=0,"",INDEX(Deals!$U$2:$U$355,MATCH($C669,Deals!$A$2:$A$355,0))),""))</f>
        <v/>
      </c>
      <c r="S669" s="34">
        <f>IFERROR(IF($U669="",1,INDEX(Deals!$V$2:$V$355,MATCH($C669,Deals!$A$2:$A$355,0))),1)</f>
        <v/>
      </c>
      <c r="T669" s="34">
        <f>IFERROR(IF($U669="",1,INDEX(Deals!$W$2:$W$355,MATCH($C669,Deals!$A$2:$A$355,0))),1)</f>
        <v/>
      </c>
      <c r="U669" s="22">
        <f>IF($C669="","",IFERROR(IF(INDEX(Deals!$Y$2:$Y$355,MATCH($C669,Deals!$A$2:$A$355,0))=0,"",INDEX(Deals!$Y$2:$Y$355,MATCH($C669,Deals!$A$2:$A$355,0))),""))</f>
        <v/>
      </c>
      <c r="V669" s="35">
        <f>IF(OR($U669&lt;&gt;"",AND($AO669&gt;0,$L669&lt;&gt;"",$M669&lt;&gt;"")),$N669,DATE(1900,1,1))</f>
        <v/>
      </c>
      <c r="W669" s="35">
        <f>IF($U669&lt;&gt;"",$U669,IF(AND($AO669&gt;0,$L669&lt;&gt;"",$M669&lt;&gt;""),$O669,DATE(2100,12,31)))</f>
        <v/>
      </c>
      <c r="X669" s="32">
        <f>IF($U669="",$K669,$K669*$S669)</f>
        <v/>
      </c>
      <c r="Y669" s="35">
        <f>IF($U669="",DATE(2100,12,31),$U669+1)</f>
        <v/>
      </c>
      <c r="Z669" s="35">
        <f>IF($U669="",DATE(1900,1,1),$O669)</f>
        <v/>
      </c>
      <c r="AA669" s="32">
        <f>IF($U669="",0,$K669*$T669)</f>
        <v/>
      </c>
      <c r="AB669" s="21">
        <f>IF($C669="",0,IFERROR(INDEX(Deals!$AD$2:$AD$355,MATCH($C669,Deals!$A$2:$A$355,0)),0))</f>
        <v/>
      </c>
      <c r="AC669" s="32">
        <f>IF(Settings!$B$4="Yes",$I669*$AB669,$I669)</f>
        <v/>
      </c>
      <c r="AD669" s="22">
        <f>IF($C669="","",IFERROR(IF(INDEX(Deals!$AE$2:$AE$355,MATCH($C669,Deals!$A$2:$A$355,0))=0,"",INDEX(Deals!$AE$2:$AE$355,MATCH($C669,Deals!$A$2:$A$355,0))),""))</f>
        <v/>
      </c>
      <c r="AE669" s="22">
        <f>IF($C669="","",IFERROR(IF(INDEX(Deals!$AF$2:$AF$355,MATCH($C669,Deals!$A$2:$A$355,0))=0,"",INDEX(Deals!$AF$2:$AF$355,MATCH($C669,Deals!$A$2:$A$355,0))),""))</f>
        <v/>
      </c>
      <c r="AF669" s="35">
        <f>IF($AD669="",DATE(1900,1,1),$AD669)</f>
        <v/>
      </c>
      <c r="AG669" s="35">
        <f>IF($AE669="",DATE(2100,12,31),$AE669)</f>
        <v/>
      </c>
      <c r="AH669" s="22">
        <f>IF($C669="","",IFERROR(IF(INDEX(Deals!$AG$2:$AG$355,MATCH($C669,Deals!$A$2:$A$355,0))=0,"",INDEX(Deals!$AG$2:$AG$355,MATCH($C669,Deals!$A$2:$A$355,0))),""))</f>
        <v/>
      </c>
      <c r="AI669" s="35">
        <f>IF(OR($AH669&lt;&gt;"",AND($AO669&gt;0,$AD669&lt;&gt;"",$AE669&lt;&gt;"")),$AF669,DATE(1900,1,1))</f>
        <v/>
      </c>
      <c r="AJ669" s="35">
        <f>IF($AH669&lt;&gt;"",$AH669,IF(AND($AO669&gt;0,$AD669&lt;&gt;"",$AE669&lt;&gt;""),$AG669,DATE(2100,12,31)))</f>
        <v/>
      </c>
      <c r="AK669" s="32">
        <f>IF($AH669="",$AC669,$AC669*$S669)</f>
        <v/>
      </c>
      <c r="AL669" s="35">
        <f>IF($AH669="",DATE(2100,12,31),$AH669+1)</f>
        <v/>
      </c>
      <c r="AM669" s="35">
        <f>IF($AH669="",DATE(1900,1,1),$AG669)</f>
        <v/>
      </c>
      <c r="AN669" s="32">
        <f>IF($AH669="",0,$AC669*$T669)</f>
        <v/>
      </c>
      <c r="AO669" s="46">
        <f>IF($C669="",0,IFERROR(INDEX(Deals!$BD$2:$BD$355,MATCH($C669,Deals!$A$2:$A$355,0)),0))</f>
        <v/>
      </c>
      <c r="AP669" s="18">
        <f>IF($AO669=0,0,IFERROR(INDEX(Deals!$BJ$2:$BP$355,MATCH($C669,Deals!$A$2:$A$355,0),MATCH($F669,Deals!$BJ$1:$BP$1,0))/COUNTIFS(Assignments!$C$2:$C$769,$C669,Assignments!$F$2:$F$769,$F669,Assignments!$G$2:$G$769,"Active"),0))</f>
        <v/>
      </c>
    </row>
    <row r="670">
      <c r="A670" s="28" t="inlineStr">
        <is>
          <t>Eric</t>
        </is>
      </c>
      <c r="B670" s="16">
        <f>IF($A670="","",IFERROR(INDEX(Roster!$B$2:$B$40,MATCH($A670,Roster!$A$2:$A$40,0)),"?"))</f>
        <v/>
      </c>
      <c r="C670" s="28" t="inlineStr">
        <is>
          <t>Redball_6</t>
        </is>
      </c>
      <c r="D670" s="16">
        <f>IF($C670="","",IFERROR(IF(INDEX(Deals!$C$2:$C$355,MATCH($C670,Deals!$A$2:$A$355,0))=0,"",INDEX(Deals!$C$2:$C$355,MATCH($C670,Deals!$A$2:$A$355,0))),"?"))</f>
        <v/>
      </c>
      <c r="E670" s="16">
        <f>IF($C670="","",IFERROR(INDEX(Deals!$F$2:$F$355,MATCH($C670,Deals!$A$2:$A$355,0)),"?"))</f>
        <v/>
      </c>
      <c r="F670" s="28" t="inlineStr">
        <is>
          <t>Renewable Specialist</t>
        </is>
      </c>
      <c r="G670" s="28" t="inlineStr">
        <is>
          <t>Active</t>
        </is>
      </c>
      <c r="H670" s="31" t="n"/>
      <c r="I670" s="32">
        <f>IF(OR($A670="",$G670&lt;&gt;"Active"),0,IF($H670&lt;&gt;"",$H670,IF($AO670&gt;0,$AP670,IF(AND($R670&lt;&gt;"",IFERROR(INDEX(Templates!$B$3:$H$10,MATCH($R670,Templates!$A$3:$A$10,0),MATCH($F670,Templates!$B$2:$H$2,0)),0)&gt;0),INDEX(Templates!$B$3:$H$10,MATCH($R670,Templates!$A$3:$A$10,0),MATCH($F670,Templates!$B$2:$H$2,0)),IFERROR(INDEX(Settings!$B$8:$B$14,MATCH($F670,Settings!$A$8:$A$14,0)),0)))))</f>
        <v/>
      </c>
      <c r="J670" s="21">
        <f>IF($C670="",0,IFERROR(INDEX(Deals!$H$2:$H$355,MATCH($C670,Deals!$A$2:$A$355,0)),0))</f>
        <v/>
      </c>
      <c r="K670" s="32">
        <f>IF(Settings!$B$4="Yes",$I670*$J670,$I670)</f>
        <v/>
      </c>
      <c r="L670" s="22">
        <f>IF($C670="","",IFERROR(IF(INDEX(Deals!$I$2:$I$355,MATCH($C670,Deals!$A$2:$A$355,0))=0,"",INDEX(Deals!$I$2:$I$355,MATCH($C670,Deals!$A$2:$A$355,0))),""))</f>
        <v/>
      </c>
      <c r="M670" s="22">
        <f>IF($C670="","",IFERROR(IF(INDEX(Deals!$J$2:$J$355,MATCH($C670,Deals!$A$2:$A$355,0))=0,"",INDEX(Deals!$J$2:$J$355,MATCH($C670,Deals!$A$2:$A$355,0))),""))</f>
        <v/>
      </c>
      <c r="N670" s="35">
        <f>IF($L670="",DATE(1900,1,1),$L670)</f>
        <v/>
      </c>
      <c r="O670" s="35">
        <f>IF($M670="",DATE(2100,12,31),$M670)</f>
        <v/>
      </c>
      <c r="P670" s="20" t="inlineStr"/>
      <c r="Q670" s="47" t="inlineStr"/>
      <c r="R670" s="16">
        <f>IF($C670="","",IFERROR(IF(INDEX(Deals!$U$2:$U$355,MATCH($C670,Deals!$A$2:$A$355,0))=0,"",INDEX(Deals!$U$2:$U$355,MATCH($C670,Deals!$A$2:$A$355,0))),""))</f>
        <v/>
      </c>
      <c r="S670" s="34">
        <f>IFERROR(IF($U670="",1,INDEX(Deals!$V$2:$V$355,MATCH($C670,Deals!$A$2:$A$355,0))),1)</f>
        <v/>
      </c>
      <c r="T670" s="34">
        <f>IFERROR(IF($U670="",1,INDEX(Deals!$W$2:$W$355,MATCH($C670,Deals!$A$2:$A$355,0))),1)</f>
        <v/>
      </c>
      <c r="U670" s="22">
        <f>IF($C670="","",IFERROR(IF(INDEX(Deals!$Y$2:$Y$355,MATCH($C670,Deals!$A$2:$A$355,0))=0,"",INDEX(Deals!$Y$2:$Y$355,MATCH($C670,Deals!$A$2:$A$355,0))),""))</f>
        <v/>
      </c>
      <c r="V670" s="35">
        <f>IF(OR($U670&lt;&gt;"",AND($AO670&gt;0,$L670&lt;&gt;"",$M670&lt;&gt;"")),$N670,DATE(1900,1,1))</f>
        <v/>
      </c>
      <c r="W670" s="35">
        <f>IF($U670&lt;&gt;"",$U670,IF(AND($AO670&gt;0,$L670&lt;&gt;"",$M670&lt;&gt;""),$O670,DATE(2100,12,31)))</f>
        <v/>
      </c>
      <c r="X670" s="32">
        <f>IF($U670="",$K670,$K670*$S670)</f>
        <v/>
      </c>
      <c r="Y670" s="35">
        <f>IF($U670="",DATE(2100,12,31),$U670+1)</f>
        <v/>
      </c>
      <c r="Z670" s="35">
        <f>IF($U670="",DATE(1900,1,1),$O670)</f>
        <v/>
      </c>
      <c r="AA670" s="32">
        <f>IF($U670="",0,$K670*$T670)</f>
        <v/>
      </c>
      <c r="AB670" s="21">
        <f>IF($C670="",0,IFERROR(INDEX(Deals!$AD$2:$AD$355,MATCH($C670,Deals!$A$2:$A$355,0)),0))</f>
        <v/>
      </c>
      <c r="AC670" s="32">
        <f>IF(Settings!$B$4="Yes",$I670*$AB670,$I670)</f>
        <v/>
      </c>
      <c r="AD670" s="22">
        <f>IF($C670="","",IFERROR(IF(INDEX(Deals!$AE$2:$AE$355,MATCH($C670,Deals!$A$2:$A$355,0))=0,"",INDEX(Deals!$AE$2:$AE$355,MATCH($C670,Deals!$A$2:$A$355,0))),""))</f>
        <v/>
      </c>
      <c r="AE670" s="22">
        <f>IF($C670="","",IFERROR(IF(INDEX(Deals!$AF$2:$AF$355,MATCH($C670,Deals!$A$2:$A$355,0))=0,"",INDEX(Deals!$AF$2:$AF$355,MATCH($C670,Deals!$A$2:$A$355,0))),""))</f>
        <v/>
      </c>
      <c r="AF670" s="35">
        <f>IF($AD670="",DATE(1900,1,1),$AD670)</f>
        <v/>
      </c>
      <c r="AG670" s="35">
        <f>IF($AE670="",DATE(2100,12,31),$AE670)</f>
        <v/>
      </c>
      <c r="AH670" s="22">
        <f>IF($C670="","",IFERROR(IF(INDEX(Deals!$AG$2:$AG$355,MATCH($C670,Deals!$A$2:$A$355,0))=0,"",INDEX(Deals!$AG$2:$AG$355,MATCH($C670,Deals!$A$2:$A$355,0))),""))</f>
        <v/>
      </c>
      <c r="AI670" s="35">
        <f>IF(OR($AH670&lt;&gt;"",AND($AO670&gt;0,$AD670&lt;&gt;"",$AE670&lt;&gt;"")),$AF670,DATE(1900,1,1))</f>
        <v/>
      </c>
      <c r="AJ670" s="35">
        <f>IF($AH670&lt;&gt;"",$AH670,IF(AND($AO670&gt;0,$AD670&lt;&gt;"",$AE670&lt;&gt;""),$AG670,DATE(2100,12,31)))</f>
        <v/>
      </c>
      <c r="AK670" s="32">
        <f>IF($AH670="",$AC670,$AC670*$S670)</f>
        <v/>
      </c>
      <c r="AL670" s="35">
        <f>IF($AH670="",DATE(2100,12,31),$AH670+1)</f>
        <v/>
      </c>
      <c r="AM670" s="35">
        <f>IF($AH670="",DATE(1900,1,1),$AG670)</f>
        <v/>
      </c>
      <c r="AN670" s="32">
        <f>IF($AH670="",0,$AC670*$T670)</f>
        <v/>
      </c>
      <c r="AO670" s="46">
        <f>IF($C670="",0,IFERROR(INDEX(Deals!$BD$2:$BD$355,MATCH($C670,Deals!$A$2:$A$355,0)),0))</f>
        <v/>
      </c>
      <c r="AP670" s="18">
        <f>IF($AO670=0,0,IFERROR(INDEX(Deals!$BJ$2:$BP$355,MATCH($C670,Deals!$A$2:$A$355,0),MATCH($F670,Deals!$BJ$1:$BP$1,0))/COUNTIFS(Assignments!$C$2:$C$769,$C670,Assignments!$F$2:$F$769,$F670,Assignments!$G$2:$G$769,"Active"),0))</f>
        <v/>
      </c>
    </row>
    <row r="671">
      <c r="A671" s="28" t="inlineStr">
        <is>
          <t>Eric</t>
        </is>
      </c>
      <c r="B671" s="16">
        <f>IF($A671="","",IFERROR(INDEX(Roster!$B$2:$B$40,MATCH($A671,Roster!$A$2:$A$40,0)),"?"))</f>
        <v/>
      </c>
      <c r="C671" s="28" t="inlineStr">
        <is>
          <t>Redwood_2</t>
        </is>
      </c>
      <c r="D671" s="16">
        <f>IF($C671="","",IFERROR(IF(INDEX(Deals!$C$2:$C$355,MATCH($C671,Deals!$A$2:$A$355,0))=0,"",INDEX(Deals!$C$2:$C$355,MATCH($C671,Deals!$A$2:$A$355,0))),"?"))</f>
        <v/>
      </c>
      <c r="E671" s="16">
        <f>IF($C671="","",IFERROR(INDEX(Deals!$F$2:$F$355,MATCH($C671,Deals!$A$2:$A$355,0)),"?"))</f>
        <v/>
      </c>
      <c r="F671" s="28" t="inlineStr">
        <is>
          <t>Renewable Specialist</t>
        </is>
      </c>
      <c r="G671" s="28" t="inlineStr">
        <is>
          <t>Active</t>
        </is>
      </c>
      <c r="H671" s="31" t="n"/>
      <c r="I671" s="32">
        <f>IF(OR($A671="",$G671&lt;&gt;"Active"),0,IF($H671&lt;&gt;"",$H671,IF($AO671&gt;0,$AP671,IF(AND($R671&lt;&gt;"",IFERROR(INDEX(Templates!$B$3:$H$10,MATCH($R671,Templates!$A$3:$A$10,0),MATCH($F671,Templates!$B$2:$H$2,0)),0)&gt;0),INDEX(Templates!$B$3:$H$10,MATCH($R671,Templates!$A$3:$A$10,0),MATCH($F671,Templates!$B$2:$H$2,0)),IFERROR(INDEX(Settings!$B$8:$B$14,MATCH($F671,Settings!$A$8:$A$14,0)),0)))))</f>
        <v/>
      </c>
      <c r="J671" s="21">
        <f>IF($C671="",0,IFERROR(INDEX(Deals!$H$2:$H$355,MATCH($C671,Deals!$A$2:$A$355,0)),0))</f>
        <v/>
      </c>
      <c r="K671" s="32">
        <f>IF(Settings!$B$4="Yes",$I671*$J671,$I671)</f>
        <v/>
      </c>
      <c r="L671" s="22">
        <f>IF($C671="","",IFERROR(IF(INDEX(Deals!$I$2:$I$355,MATCH($C671,Deals!$A$2:$A$355,0))=0,"",INDEX(Deals!$I$2:$I$355,MATCH($C671,Deals!$A$2:$A$355,0))),""))</f>
        <v/>
      </c>
      <c r="M671" s="22">
        <f>IF($C671="","",IFERROR(IF(INDEX(Deals!$J$2:$J$355,MATCH($C671,Deals!$A$2:$A$355,0))=0,"",INDEX(Deals!$J$2:$J$355,MATCH($C671,Deals!$A$2:$A$355,0))),""))</f>
        <v/>
      </c>
      <c r="N671" s="35">
        <f>IF($L671="",DATE(1900,1,1),$L671)</f>
        <v/>
      </c>
      <c r="O671" s="35">
        <f>IF($M671="",DATE(2100,12,31),$M671)</f>
        <v/>
      </c>
      <c r="P671" s="20" t="inlineStr"/>
      <c r="Q671" s="47" t="inlineStr"/>
      <c r="R671" s="16">
        <f>IF($C671="","",IFERROR(IF(INDEX(Deals!$U$2:$U$355,MATCH($C671,Deals!$A$2:$A$355,0))=0,"",INDEX(Deals!$U$2:$U$355,MATCH($C671,Deals!$A$2:$A$355,0))),""))</f>
        <v/>
      </c>
      <c r="S671" s="34">
        <f>IFERROR(IF($U671="",1,INDEX(Deals!$V$2:$V$355,MATCH($C671,Deals!$A$2:$A$355,0))),1)</f>
        <v/>
      </c>
      <c r="T671" s="34">
        <f>IFERROR(IF($U671="",1,INDEX(Deals!$W$2:$W$355,MATCH($C671,Deals!$A$2:$A$355,0))),1)</f>
        <v/>
      </c>
      <c r="U671" s="22">
        <f>IF($C671="","",IFERROR(IF(INDEX(Deals!$Y$2:$Y$355,MATCH($C671,Deals!$A$2:$A$355,0))=0,"",INDEX(Deals!$Y$2:$Y$355,MATCH($C671,Deals!$A$2:$A$355,0))),""))</f>
        <v/>
      </c>
      <c r="V671" s="35">
        <f>IF(OR($U671&lt;&gt;"",AND($AO671&gt;0,$L671&lt;&gt;"",$M671&lt;&gt;"")),$N671,DATE(1900,1,1))</f>
        <v/>
      </c>
      <c r="W671" s="35">
        <f>IF($U671&lt;&gt;"",$U671,IF(AND($AO671&gt;0,$L671&lt;&gt;"",$M671&lt;&gt;""),$O671,DATE(2100,12,31)))</f>
        <v/>
      </c>
      <c r="X671" s="32">
        <f>IF($U671="",$K671,$K671*$S671)</f>
        <v/>
      </c>
      <c r="Y671" s="35">
        <f>IF($U671="",DATE(2100,12,31),$U671+1)</f>
        <v/>
      </c>
      <c r="Z671" s="35">
        <f>IF($U671="",DATE(1900,1,1),$O671)</f>
        <v/>
      </c>
      <c r="AA671" s="32">
        <f>IF($U671="",0,$K671*$T671)</f>
        <v/>
      </c>
      <c r="AB671" s="21">
        <f>IF($C671="",0,IFERROR(INDEX(Deals!$AD$2:$AD$355,MATCH($C671,Deals!$A$2:$A$355,0)),0))</f>
        <v/>
      </c>
      <c r="AC671" s="32">
        <f>IF(Settings!$B$4="Yes",$I671*$AB671,$I671)</f>
        <v/>
      </c>
      <c r="AD671" s="22">
        <f>IF($C671="","",IFERROR(IF(INDEX(Deals!$AE$2:$AE$355,MATCH($C671,Deals!$A$2:$A$355,0))=0,"",INDEX(Deals!$AE$2:$AE$355,MATCH($C671,Deals!$A$2:$A$355,0))),""))</f>
        <v/>
      </c>
      <c r="AE671" s="22">
        <f>IF($C671="","",IFERROR(IF(INDEX(Deals!$AF$2:$AF$355,MATCH($C671,Deals!$A$2:$A$355,0))=0,"",INDEX(Deals!$AF$2:$AF$355,MATCH($C671,Deals!$A$2:$A$355,0))),""))</f>
        <v/>
      </c>
      <c r="AF671" s="35">
        <f>IF($AD671="",DATE(1900,1,1),$AD671)</f>
        <v/>
      </c>
      <c r="AG671" s="35">
        <f>IF($AE671="",DATE(2100,12,31),$AE671)</f>
        <v/>
      </c>
      <c r="AH671" s="22">
        <f>IF($C671="","",IFERROR(IF(INDEX(Deals!$AG$2:$AG$355,MATCH($C671,Deals!$A$2:$A$355,0))=0,"",INDEX(Deals!$AG$2:$AG$355,MATCH($C671,Deals!$A$2:$A$355,0))),""))</f>
        <v/>
      </c>
      <c r="AI671" s="35">
        <f>IF(OR($AH671&lt;&gt;"",AND($AO671&gt;0,$AD671&lt;&gt;"",$AE671&lt;&gt;"")),$AF671,DATE(1900,1,1))</f>
        <v/>
      </c>
      <c r="AJ671" s="35">
        <f>IF($AH671&lt;&gt;"",$AH671,IF(AND($AO671&gt;0,$AD671&lt;&gt;"",$AE671&lt;&gt;""),$AG671,DATE(2100,12,31)))</f>
        <v/>
      </c>
      <c r="AK671" s="32">
        <f>IF($AH671="",$AC671,$AC671*$S671)</f>
        <v/>
      </c>
      <c r="AL671" s="35">
        <f>IF($AH671="",DATE(2100,12,31),$AH671+1)</f>
        <v/>
      </c>
      <c r="AM671" s="35">
        <f>IF($AH671="",DATE(1900,1,1),$AG671)</f>
        <v/>
      </c>
      <c r="AN671" s="32">
        <f>IF($AH671="",0,$AC671*$T671)</f>
        <v/>
      </c>
      <c r="AO671" s="46">
        <f>IF($C671="",0,IFERROR(INDEX(Deals!$BD$2:$BD$355,MATCH($C671,Deals!$A$2:$A$355,0)),0))</f>
        <v/>
      </c>
      <c r="AP671" s="18">
        <f>IF($AO671=0,0,IFERROR(INDEX(Deals!$BJ$2:$BP$355,MATCH($C671,Deals!$A$2:$A$355,0),MATCH($F671,Deals!$BJ$1:$BP$1,0))/COUNTIFS(Assignments!$C$2:$C$769,$C671,Assignments!$F$2:$F$769,$F671,Assignments!$G$2:$G$769,"Active"),0))</f>
        <v/>
      </c>
    </row>
    <row r="672">
      <c r="A672" s="28" t="inlineStr">
        <is>
          <t>Eric</t>
        </is>
      </c>
      <c r="B672" s="16">
        <f>IF($A672="","",IFERROR(INDEX(Roster!$B$2:$B$40,MATCH($A672,Roster!$A$2:$A$40,0)),"?"))</f>
        <v/>
      </c>
      <c r="C672" s="28" t="inlineStr">
        <is>
          <t>TEP Tax_1</t>
        </is>
      </c>
      <c r="D672" s="16">
        <f>IF($C672="","",IFERROR(IF(INDEX(Deals!$C$2:$C$355,MATCH($C672,Deals!$A$2:$A$355,0))=0,"",INDEX(Deals!$C$2:$C$355,MATCH($C672,Deals!$A$2:$A$355,0))),"?"))</f>
        <v/>
      </c>
      <c r="E672" s="16">
        <f>IF($C672="","",IFERROR(INDEX(Deals!$F$2:$F$355,MATCH($C672,Deals!$A$2:$A$355,0)),"?"))</f>
        <v/>
      </c>
      <c r="F672" s="28" t="inlineStr">
        <is>
          <t>Renewable Specialist</t>
        </is>
      </c>
      <c r="G672" s="28" t="inlineStr">
        <is>
          <t>Active</t>
        </is>
      </c>
      <c r="H672" s="31" t="n"/>
      <c r="I672" s="32">
        <f>IF(OR($A672="",$G672&lt;&gt;"Active"),0,IF($H672&lt;&gt;"",$H672,IF($AO672&gt;0,$AP672,IF(AND($R672&lt;&gt;"",IFERROR(INDEX(Templates!$B$3:$H$10,MATCH($R672,Templates!$A$3:$A$10,0),MATCH($F672,Templates!$B$2:$H$2,0)),0)&gt;0),INDEX(Templates!$B$3:$H$10,MATCH($R672,Templates!$A$3:$A$10,0),MATCH($F672,Templates!$B$2:$H$2,0)),IFERROR(INDEX(Settings!$B$8:$B$14,MATCH($F672,Settings!$A$8:$A$14,0)),0)))))</f>
        <v/>
      </c>
      <c r="J672" s="21">
        <f>IF($C672="",0,IFERROR(INDEX(Deals!$H$2:$H$355,MATCH($C672,Deals!$A$2:$A$355,0)),0))</f>
        <v/>
      </c>
      <c r="K672" s="32">
        <f>IF(Settings!$B$4="Yes",$I672*$J672,$I672)</f>
        <v/>
      </c>
      <c r="L672" s="22">
        <f>IF($C672="","",IFERROR(IF(INDEX(Deals!$I$2:$I$355,MATCH($C672,Deals!$A$2:$A$355,0))=0,"",INDEX(Deals!$I$2:$I$355,MATCH($C672,Deals!$A$2:$A$355,0))),""))</f>
        <v/>
      </c>
      <c r="M672" s="22">
        <f>IF($C672="","",IFERROR(IF(INDEX(Deals!$J$2:$J$355,MATCH($C672,Deals!$A$2:$A$355,0))=0,"",INDEX(Deals!$J$2:$J$355,MATCH($C672,Deals!$A$2:$A$355,0))),""))</f>
        <v/>
      </c>
      <c r="N672" s="35">
        <f>IF($L672="",DATE(1900,1,1),$L672)</f>
        <v/>
      </c>
      <c r="O672" s="35">
        <f>IF($M672="",DATE(2100,12,31),$M672)</f>
        <v/>
      </c>
      <c r="P672" s="20" t="inlineStr"/>
      <c r="Q672" s="47" t="inlineStr"/>
      <c r="R672" s="16">
        <f>IF($C672="","",IFERROR(IF(INDEX(Deals!$U$2:$U$355,MATCH($C672,Deals!$A$2:$A$355,0))=0,"",INDEX(Deals!$U$2:$U$355,MATCH($C672,Deals!$A$2:$A$355,0))),""))</f>
        <v/>
      </c>
      <c r="S672" s="34">
        <f>IFERROR(IF($U672="",1,INDEX(Deals!$V$2:$V$355,MATCH($C672,Deals!$A$2:$A$355,0))),1)</f>
        <v/>
      </c>
      <c r="T672" s="34">
        <f>IFERROR(IF($U672="",1,INDEX(Deals!$W$2:$W$355,MATCH($C672,Deals!$A$2:$A$355,0))),1)</f>
        <v/>
      </c>
      <c r="U672" s="22">
        <f>IF($C672="","",IFERROR(IF(INDEX(Deals!$Y$2:$Y$355,MATCH($C672,Deals!$A$2:$A$355,0))=0,"",INDEX(Deals!$Y$2:$Y$355,MATCH($C672,Deals!$A$2:$A$355,0))),""))</f>
        <v/>
      </c>
      <c r="V672" s="35">
        <f>IF(OR($U672&lt;&gt;"",AND($AO672&gt;0,$L672&lt;&gt;"",$M672&lt;&gt;"")),$N672,DATE(1900,1,1))</f>
        <v/>
      </c>
      <c r="W672" s="35">
        <f>IF($U672&lt;&gt;"",$U672,IF(AND($AO672&gt;0,$L672&lt;&gt;"",$M672&lt;&gt;""),$O672,DATE(2100,12,31)))</f>
        <v/>
      </c>
      <c r="X672" s="32">
        <f>IF($U672="",$K672,$K672*$S672)</f>
        <v/>
      </c>
      <c r="Y672" s="35">
        <f>IF($U672="",DATE(2100,12,31),$U672+1)</f>
        <v/>
      </c>
      <c r="Z672" s="35">
        <f>IF($U672="",DATE(1900,1,1),$O672)</f>
        <v/>
      </c>
      <c r="AA672" s="32">
        <f>IF($U672="",0,$K672*$T672)</f>
        <v/>
      </c>
      <c r="AB672" s="21">
        <f>IF($C672="",0,IFERROR(INDEX(Deals!$AD$2:$AD$355,MATCH($C672,Deals!$A$2:$A$355,0)),0))</f>
        <v/>
      </c>
      <c r="AC672" s="32">
        <f>IF(Settings!$B$4="Yes",$I672*$AB672,$I672)</f>
        <v/>
      </c>
      <c r="AD672" s="22">
        <f>IF($C672="","",IFERROR(IF(INDEX(Deals!$AE$2:$AE$355,MATCH($C672,Deals!$A$2:$A$355,0))=0,"",INDEX(Deals!$AE$2:$AE$355,MATCH($C672,Deals!$A$2:$A$355,0))),""))</f>
        <v/>
      </c>
      <c r="AE672" s="22">
        <f>IF($C672="","",IFERROR(IF(INDEX(Deals!$AF$2:$AF$355,MATCH($C672,Deals!$A$2:$A$355,0))=0,"",INDEX(Deals!$AF$2:$AF$355,MATCH($C672,Deals!$A$2:$A$355,0))),""))</f>
        <v/>
      </c>
      <c r="AF672" s="35">
        <f>IF($AD672="",DATE(1900,1,1),$AD672)</f>
        <v/>
      </c>
      <c r="AG672" s="35">
        <f>IF($AE672="",DATE(2100,12,31),$AE672)</f>
        <v/>
      </c>
      <c r="AH672" s="22">
        <f>IF($C672="","",IFERROR(IF(INDEX(Deals!$AG$2:$AG$355,MATCH($C672,Deals!$A$2:$A$355,0))=0,"",INDEX(Deals!$AG$2:$AG$355,MATCH($C672,Deals!$A$2:$A$355,0))),""))</f>
        <v/>
      </c>
      <c r="AI672" s="35">
        <f>IF(OR($AH672&lt;&gt;"",AND($AO672&gt;0,$AD672&lt;&gt;"",$AE672&lt;&gt;"")),$AF672,DATE(1900,1,1))</f>
        <v/>
      </c>
      <c r="AJ672" s="35">
        <f>IF($AH672&lt;&gt;"",$AH672,IF(AND($AO672&gt;0,$AD672&lt;&gt;"",$AE672&lt;&gt;""),$AG672,DATE(2100,12,31)))</f>
        <v/>
      </c>
      <c r="AK672" s="32">
        <f>IF($AH672="",$AC672,$AC672*$S672)</f>
        <v/>
      </c>
      <c r="AL672" s="35">
        <f>IF($AH672="",DATE(2100,12,31),$AH672+1)</f>
        <v/>
      </c>
      <c r="AM672" s="35">
        <f>IF($AH672="",DATE(1900,1,1),$AG672)</f>
        <v/>
      </c>
      <c r="AN672" s="32">
        <f>IF($AH672="",0,$AC672*$T672)</f>
        <v/>
      </c>
      <c r="AO672" s="46">
        <f>IF($C672="",0,IFERROR(INDEX(Deals!$BD$2:$BD$355,MATCH($C672,Deals!$A$2:$A$355,0)),0))</f>
        <v/>
      </c>
      <c r="AP672" s="18">
        <f>IF($AO672=0,0,IFERROR(INDEX(Deals!$BJ$2:$BP$355,MATCH($C672,Deals!$A$2:$A$355,0),MATCH($F672,Deals!$BJ$1:$BP$1,0))/COUNTIFS(Assignments!$C$2:$C$769,$C672,Assignments!$F$2:$F$769,$F672,Assignments!$G$2:$G$769,"Active"),0))</f>
        <v/>
      </c>
    </row>
    <row r="673">
      <c r="A673" s="28" t="inlineStr">
        <is>
          <t>Eric</t>
        </is>
      </c>
      <c r="B673" s="16">
        <f>IF($A673="","",IFERROR(INDEX(Roster!$B$2:$B$40,MATCH($A673,Roster!$A$2:$A$40,0)),"?"))</f>
        <v/>
      </c>
      <c r="C673" s="28" t="inlineStr">
        <is>
          <t>Twister_1</t>
        </is>
      </c>
      <c r="D673" s="16">
        <f>IF($C673="","",IFERROR(IF(INDEX(Deals!$C$2:$C$355,MATCH($C673,Deals!$A$2:$A$355,0))=0,"",INDEX(Deals!$C$2:$C$355,MATCH($C673,Deals!$A$2:$A$355,0))),"?"))</f>
        <v/>
      </c>
      <c r="E673" s="16">
        <f>IF($C673="","",IFERROR(INDEX(Deals!$F$2:$F$355,MATCH($C673,Deals!$A$2:$A$355,0)),"?"))</f>
        <v/>
      </c>
      <c r="F673" s="28" t="inlineStr">
        <is>
          <t>Renewable Specialist</t>
        </is>
      </c>
      <c r="G673" s="28" t="inlineStr">
        <is>
          <t>Active</t>
        </is>
      </c>
      <c r="H673" s="31" t="n"/>
      <c r="I673" s="32">
        <f>IF(OR($A673="",$G673&lt;&gt;"Active"),0,IF($H673&lt;&gt;"",$H673,IF($AO673&gt;0,$AP673,IF(AND($R673&lt;&gt;"",IFERROR(INDEX(Templates!$B$3:$H$10,MATCH($R673,Templates!$A$3:$A$10,0),MATCH($F673,Templates!$B$2:$H$2,0)),0)&gt;0),INDEX(Templates!$B$3:$H$10,MATCH($R673,Templates!$A$3:$A$10,0),MATCH($F673,Templates!$B$2:$H$2,0)),IFERROR(INDEX(Settings!$B$8:$B$14,MATCH($F673,Settings!$A$8:$A$14,0)),0)))))</f>
        <v/>
      </c>
      <c r="J673" s="21">
        <f>IF($C673="",0,IFERROR(INDEX(Deals!$H$2:$H$355,MATCH($C673,Deals!$A$2:$A$355,0)),0))</f>
        <v/>
      </c>
      <c r="K673" s="32">
        <f>IF(Settings!$B$4="Yes",$I673*$J673,$I673)</f>
        <v/>
      </c>
      <c r="L673" s="22">
        <f>IF($C673="","",IFERROR(IF(INDEX(Deals!$I$2:$I$355,MATCH($C673,Deals!$A$2:$A$355,0))=0,"",INDEX(Deals!$I$2:$I$355,MATCH($C673,Deals!$A$2:$A$355,0))),""))</f>
        <v/>
      </c>
      <c r="M673" s="22">
        <f>IF($C673="","",IFERROR(IF(INDEX(Deals!$J$2:$J$355,MATCH($C673,Deals!$A$2:$A$355,0))=0,"",INDEX(Deals!$J$2:$J$355,MATCH($C673,Deals!$A$2:$A$355,0))),""))</f>
        <v/>
      </c>
      <c r="N673" s="35">
        <f>IF($L673="",DATE(1900,1,1),$L673)</f>
        <v/>
      </c>
      <c r="O673" s="35">
        <f>IF($M673="",DATE(2100,12,31),$M673)</f>
        <v/>
      </c>
      <c r="P673" s="20" t="inlineStr"/>
      <c r="Q673" s="47" t="inlineStr"/>
      <c r="R673" s="16">
        <f>IF($C673="","",IFERROR(IF(INDEX(Deals!$U$2:$U$355,MATCH($C673,Deals!$A$2:$A$355,0))=0,"",INDEX(Deals!$U$2:$U$355,MATCH($C673,Deals!$A$2:$A$355,0))),""))</f>
        <v/>
      </c>
      <c r="S673" s="34">
        <f>IFERROR(IF($U673="",1,INDEX(Deals!$V$2:$V$355,MATCH($C673,Deals!$A$2:$A$355,0))),1)</f>
        <v/>
      </c>
      <c r="T673" s="34">
        <f>IFERROR(IF($U673="",1,INDEX(Deals!$W$2:$W$355,MATCH($C673,Deals!$A$2:$A$355,0))),1)</f>
        <v/>
      </c>
      <c r="U673" s="22">
        <f>IF($C673="","",IFERROR(IF(INDEX(Deals!$Y$2:$Y$355,MATCH($C673,Deals!$A$2:$A$355,0))=0,"",INDEX(Deals!$Y$2:$Y$355,MATCH($C673,Deals!$A$2:$A$355,0))),""))</f>
        <v/>
      </c>
      <c r="V673" s="35">
        <f>IF(OR($U673&lt;&gt;"",AND($AO673&gt;0,$L673&lt;&gt;"",$M673&lt;&gt;"")),$N673,DATE(1900,1,1))</f>
        <v/>
      </c>
      <c r="W673" s="35">
        <f>IF($U673&lt;&gt;"",$U673,IF(AND($AO673&gt;0,$L673&lt;&gt;"",$M673&lt;&gt;""),$O673,DATE(2100,12,31)))</f>
        <v/>
      </c>
      <c r="X673" s="32">
        <f>IF($U673="",$K673,$K673*$S673)</f>
        <v/>
      </c>
      <c r="Y673" s="35">
        <f>IF($U673="",DATE(2100,12,31),$U673+1)</f>
        <v/>
      </c>
      <c r="Z673" s="35">
        <f>IF($U673="",DATE(1900,1,1),$O673)</f>
        <v/>
      </c>
      <c r="AA673" s="32">
        <f>IF($U673="",0,$K673*$T673)</f>
        <v/>
      </c>
      <c r="AB673" s="21">
        <f>IF($C673="",0,IFERROR(INDEX(Deals!$AD$2:$AD$355,MATCH($C673,Deals!$A$2:$A$355,0)),0))</f>
        <v/>
      </c>
      <c r="AC673" s="32">
        <f>IF(Settings!$B$4="Yes",$I673*$AB673,$I673)</f>
        <v/>
      </c>
      <c r="AD673" s="22">
        <f>IF($C673="","",IFERROR(IF(INDEX(Deals!$AE$2:$AE$355,MATCH($C673,Deals!$A$2:$A$355,0))=0,"",INDEX(Deals!$AE$2:$AE$355,MATCH($C673,Deals!$A$2:$A$355,0))),""))</f>
        <v/>
      </c>
      <c r="AE673" s="22">
        <f>IF($C673="","",IFERROR(IF(INDEX(Deals!$AF$2:$AF$355,MATCH($C673,Deals!$A$2:$A$355,0))=0,"",INDEX(Deals!$AF$2:$AF$355,MATCH($C673,Deals!$A$2:$A$355,0))),""))</f>
        <v/>
      </c>
      <c r="AF673" s="35">
        <f>IF($AD673="",DATE(1900,1,1),$AD673)</f>
        <v/>
      </c>
      <c r="AG673" s="35">
        <f>IF($AE673="",DATE(2100,12,31),$AE673)</f>
        <v/>
      </c>
      <c r="AH673" s="22">
        <f>IF($C673="","",IFERROR(IF(INDEX(Deals!$AG$2:$AG$355,MATCH($C673,Deals!$A$2:$A$355,0))=0,"",INDEX(Deals!$AG$2:$AG$355,MATCH($C673,Deals!$A$2:$A$355,0))),""))</f>
        <v/>
      </c>
      <c r="AI673" s="35">
        <f>IF(OR($AH673&lt;&gt;"",AND($AO673&gt;0,$AD673&lt;&gt;"",$AE673&lt;&gt;"")),$AF673,DATE(1900,1,1))</f>
        <v/>
      </c>
      <c r="AJ673" s="35">
        <f>IF($AH673&lt;&gt;"",$AH673,IF(AND($AO673&gt;0,$AD673&lt;&gt;"",$AE673&lt;&gt;""),$AG673,DATE(2100,12,31)))</f>
        <v/>
      </c>
      <c r="AK673" s="32">
        <f>IF($AH673="",$AC673,$AC673*$S673)</f>
        <v/>
      </c>
      <c r="AL673" s="35">
        <f>IF($AH673="",DATE(2100,12,31),$AH673+1)</f>
        <v/>
      </c>
      <c r="AM673" s="35">
        <f>IF($AH673="",DATE(1900,1,1),$AG673)</f>
        <v/>
      </c>
      <c r="AN673" s="32">
        <f>IF($AH673="",0,$AC673*$T673)</f>
        <v/>
      </c>
      <c r="AO673" s="46">
        <f>IF($C673="",0,IFERROR(INDEX(Deals!$BD$2:$BD$355,MATCH($C673,Deals!$A$2:$A$355,0)),0))</f>
        <v/>
      </c>
      <c r="AP673" s="18">
        <f>IF($AO673=0,0,IFERROR(INDEX(Deals!$BJ$2:$BP$355,MATCH($C673,Deals!$A$2:$A$355,0),MATCH($F673,Deals!$BJ$1:$BP$1,0))/COUNTIFS(Assignments!$C$2:$C$769,$C673,Assignments!$F$2:$F$769,$F673,Assignments!$G$2:$G$769,"Active"),0))</f>
        <v/>
      </c>
    </row>
    <row r="674">
      <c r="A674" s="28" t="inlineStr">
        <is>
          <t>Robbie</t>
        </is>
      </c>
      <c r="B674" s="16">
        <f>IF($A674="","",IFERROR(INDEX(Roster!$B$2:$B$40,MATCH($A674,Roster!$A$2:$A$40,0)),"?"))</f>
        <v/>
      </c>
      <c r="C674" s="28" t="inlineStr">
        <is>
          <t>80/20 Assistance_1</t>
        </is>
      </c>
      <c r="D674" s="16">
        <f>IF($C674="","",IFERROR(IF(INDEX(Deals!$C$2:$C$355,MATCH($C674,Deals!$A$2:$A$355,0))=0,"",INDEX(Deals!$C$2:$C$355,MATCH($C674,Deals!$A$2:$A$355,0))),"?"))</f>
        <v/>
      </c>
      <c r="E674" s="16">
        <f>IF($C674="","",IFERROR(INDEX(Deals!$F$2:$F$355,MATCH($C674,Deals!$A$2:$A$355,0)),"?"))</f>
        <v/>
      </c>
      <c r="F674" s="28" t="inlineStr">
        <is>
          <t>Renewable Specialist</t>
        </is>
      </c>
      <c r="G674" s="28" t="inlineStr">
        <is>
          <t>Active</t>
        </is>
      </c>
      <c r="H674" s="31" t="n"/>
      <c r="I674" s="32">
        <f>IF(OR($A674="",$G674&lt;&gt;"Active"),0,IF($H674&lt;&gt;"",$H674,IF($AO674&gt;0,$AP674,IF(AND($R674&lt;&gt;"",IFERROR(INDEX(Templates!$B$3:$H$10,MATCH($R674,Templates!$A$3:$A$10,0),MATCH($F674,Templates!$B$2:$H$2,0)),0)&gt;0),INDEX(Templates!$B$3:$H$10,MATCH($R674,Templates!$A$3:$A$10,0),MATCH($F674,Templates!$B$2:$H$2,0)),IFERROR(INDEX(Settings!$B$8:$B$14,MATCH($F674,Settings!$A$8:$A$14,0)),0)))))</f>
        <v/>
      </c>
      <c r="J674" s="21">
        <f>IF($C674="",0,IFERROR(INDEX(Deals!$H$2:$H$355,MATCH($C674,Deals!$A$2:$A$355,0)),0))</f>
        <v/>
      </c>
      <c r="K674" s="32">
        <f>IF(Settings!$B$4="Yes",$I674*$J674,$I674)</f>
        <v/>
      </c>
      <c r="L674" s="22">
        <f>IF($C674="","",IFERROR(IF(INDEX(Deals!$I$2:$I$355,MATCH($C674,Deals!$A$2:$A$355,0))=0,"",INDEX(Deals!$I$2:$I$355,MATCH($C674,Deals!$A$2:$A$355,0))),""))</f>
        <v/>
      </c>
      <c r="M674" s="22">
        <f>IF($C674="","",IFERROR(IF(INDEX(Deals!$J$2:$J$355,MATCH($C674,Deals!$A$2:$A$355,0))=0,"",INDEX(Deals!$J$2:$J$355,MATCH($C674,Deals!$A$2:$A$355,0))),""))</f>
        <v/>
      </c>
      <c r="N674" s="35">
        <f>IF($L674="",DATE(1900,1,1),$L674)</f>
        <v/>
      </c>
      <c r="O674" s="35">
        <f>IF($M674="",DATE(2100,12,31),$M674)</f>
        <v/>
      </c>
      <c r="P674" s="20" t="inlineStr"/>
      <c r="Q674" s="47" t="inlineStr"/>
      <c r="R674" s="16">
        <f>IF($C674="","",IFERROR(IF(INDEX(Deals!$U$2:$U$355,MATCH($C674,Deals!$A$2:$A$355,0))=0,"",INDEX(Deals!$U$2:$U$355,MATCH($C674,Deals!$A$2:$A$355,0))),""))</f>
        <v/>
      </c>
      <c r="S674" s="34">
        <f>IFERROR(IF($U674="",1,INDEX(Deals!$V$2:$V$355,MATCH($C674,Deals!$A$2:$A$355,0))),1)</f>
        <v/>
      </c>
      <c r="T674" s="34">
        <f>IFERROR(IF($U674="",1,INDEX(Deals!$W$2:$W$355,MATCH($C674,Deals!$A$2:$A$355,0))),1)</f>
        <v/>
      </c>
      <c r="U674" s="22">
        <f>IF($C674="","",IFERROR(IF(INDEX(Deals!$Y$2:$Y$355,MATCH($C674,Deals!$A$2:$A$355,0))=0,"",INDEX(Deals!$Y$2:$Y$355,MATCH($C674,Deals!$A$2:$A$355,0))),""))</f>
        <v/>
      </c>
      <c r="V674" s="35">
        <f>IF(OR($U674&lt;&gt;"",AND($AO674&gt;0,$L674&lt;&gt;"",$M674&lt;&gt;"")),$N674,DATE(1900,1,1))</f>
        <v/>
      </c>
      <c r="W674" s="35">
        <f>IF($U674&lt;&gt;"",$U674,IF(AND($AO674&gt;0,$L674&lt;&gt;"",$M674&lt;&gt;""),$O674,DATE(2100,12,31)))</f>
        <v/>
      </c>
      <c r="X674" s="32">
        <f>IF($U674="",$K674,$K674*$S674)</f>
        <v/>
      </c>
      <c r="Y674" s="35">
        <f>IF($U674="",DATE(2100,12,31),$U674+1)</f>
        <v/>
      </c>
      <c r="Z674" s="35">
        <f>IF($U674="",DATE(1900,1,1),$O674)</f>
        <v/>
      </c>
      <c r="AA674" s="32">
        <f>IF($U674="",0,$K674*$T674)</f>
        <v/>
      </c>
      <c r="AB674" s="21">
        <f>IF($C674="",0,IFERROR(INDEX(Deals!$AD$2:$AD$355,MATCH($C674,Deals!$A$2:$A$355,0)),0))</f>
        <v/>
      </c>
      <c r="AC674" s="32">
        <f>IF(Settings!$B$4="Yes",$I674*$AB674,$I674)</f>
        <v/>
      </c>
      <c r="AD674" s="22">
        <f>IF($C674="","",IFERROR(IF(INDEX(Deals!$AE$2:$AE$355,MATCH($C674,Deals!$A$2:$A$355,0))=0,"",INDEX(Deals!$AE$2:$AE$355,MATCH($C674,Deals!$A$2:$A$355,0))),""))</f>
        <v/>
      </c>
      <c r="AE674" s="22">
        <f>IF($C674="","",IFERROR(IF(INDEX(Deals!$AF$2:$AF$355,MATCH($C674,Deals!$A$2:$A$355,0))=0,"",INDEX(Deals!$AF$2:$AF$355,MATCH($C674,Deals!$A$2:$A$355,0))),""))</f>
        <v/>
      </c>
      <c r="AF674" s="35">
        <f>IF($AD674="",DATE(1900,1,1),$AD674)</f>
        <v/>
      </c>
      <c r="AG674" s="35">
        <f>IF($AE674="",DATE(2100,12,31),$AE674)</f>
        <v/>
      </c>
      <c r="AH674" s="22">
        <f>IF($C674="","",IFERROR(IF(INDEX(Deals!$AG$2:$AG$355,MATCH($C674,Deals!$A$2:$A$355,0))=0,"",INDEX(Deals!$AG$2:$AG$355,MATCH($C674,Deals!$A$2:$A$355,0))),""))</f>
        <v/>
      </c>
      <c r="AI674" s="35">
        <f>IF(OR($AH674&lt;&gt;"",AND($AO674&gt;0,$AD674&lt;&gt;"",$AE674&lt;&gt;"")),$AF674,DATE(1900,1,1))</f>
        <v/>
      </c>
      <c r="AJ674" s="35">
        <f>IF($AH674&lt;&gt;"",$AH674,IF(AND($AO674&gt;0,$AD674&lt;&gt;"",$AE674&lt;&gt;""),$AG674,DATE(2100,12,31)))</f>
        <v/>
      </c>
      <c r="AK674" s="32">
        <f>IF($AH674="",$AC674,$AC674*$S674)</f>
        <v/>
      </c>
      <c r="AL674" s="35">
        <f>IF($AH674="",DATE(2100,12,31),$AH674+1)</f>
        <v/>
      </c>
      <c r="AM674" s="35">
        <f>IF($AH674="",DATE(1900,1,1),$AG674)</f>
        <v/>
      </c>
      <c r="AN674" s="32">
        <f>IF($AH674="",0,$AC674*$T674)</f>
        <v/>
      </c>
      <c r="AO674" s="46">
        <f>IF($C674="",0,IFERROR(INDEX(Deals!$BD$2:$BD$355,MATCH($C674,Deals!$A$2:$A$355,0)),0))</f>
        <v/>
      </c>
      <c r="AP674" s="18">
        <f>IF($AO674=0,0,IFERROR(INDEX(Deals!$BJ$2:$BP$355,MATCH($C674,Deals!$A$2:$A$355,0),MATCH($F674,Deals!$BJ$1:$BP$1,0))/COUNTIFS(Assignments!$C$2:$C$769,$C674,Assignments!$F$2:$F$769,$F674,Assignments!$G$2:$G$769,"Active"),0))</f>
        <v/>
      </c>
    </row>
    <row r="675">
      <c r="A675" s="28" t="inlineStr">
        <is>
          <t>Robbie</t>
        </is>
      </c>
      <c r="B675" s="16">
        <f>IF($A675="","",IFERROR(INDEX(Roster!$B$2:$B$40,MATCH($A675,Roster!$A$2:$A$40,0)),"?"))</f>
        <v/>
      </c>
      <c r="C675" s="28" t="inlineStr">
        <is>
          <t>Bishopville_1</t>
        </is>
      </c>
      <c r="D675" s="16">
        <f>IF($C675="","",IFERROR(IF(INDEX(Deals!$C$2:$C$355,MATCH($C675,Deals!$A$2:$A$355,0))=0,"",INDEX(Deals!$C$2:$C$355,MATCH($C675,Deals!$A$2:$A$355,0))),"?"))</f>
        <v/>
      </c>
      <c r="E675" s="16">
        <f>IF($C675="","",IFERROR(INDEX(Deals!$F$2:$F$355,MATCH($C675,Deals!$A$2:$A$355,0)),"?"))</f>
        <v/>
      </c>
      <c r="F675" s="28" t="inlineStr">
        <is>
          <t>Renewable Specialist</t>
        </is>
      </c>
      <c r="G675" s="28" t="inlineStr">
        <is>
          <t>Active</t>
        </is>
      </c>
      <c r="H675" s="31" t="n"/>
      <c r="I675" s="32">
        <f>IF(OR($A675="",$G675&lt;&gt;"Active"),0,IF($H675&lt;&gt;"",$H675,IF($AO675&gt;0,$AP675,IF(AND($R675&lt;&gt;"",IFERROR(INDEX(Templates!$B$3:$H$10,MATCH($R675,Templates!$A$3:$A$10,0),MATCH($F675,Templates!$B$2:$H$2,0)),0)&gt;0),INDEX(Templates!$B$3:$H$10,MATCH($R675,Templates!$A$3:$A$10,0),MATCH($F675,Templates!$B$2:$H$2,0)),IFERROR(INDEX(Settings!$B$8:$B$14,MATCH($F675,Settings!$A$8:$A$14,0)),0)))))</f>
        <v/>
      </c>
      <c r="J675" s="21">
        <f>IF($C675="",0,IFERROR(INDEX(Deals!$H$2:$H$355,MATCH($C675,Deals!$A$2:$A$355,0)),0))</f>
        <v/>
      </c>
      <c r="K675" s="32">
        <f>IF(Settings!$B$4="Yes",$I675*$J675,$I675)</f>
        <v/>
      </c>
      <c r="L675" s="22">
        <f>IF($C675="","",IFERROR(IF(INDEX(Deals!$I$2:$I$355,MATCH($C675,Deals!$A$2:$A$355,0))=0,"",INDEX(Deals!$I$2:$I$355,MATCH($C675,Deals!$A$2:$A$355,0))),""))</f>
        <v/>
      </c>
      <c r="M675" s="22">
        <f>IF($C675="","",IFERROR(IF(INDEX(Deals!$J$2:$J$355,MATCH($C675,Deals!$A$2:$A$355,0))=0,"",INDEX(Deals!$J$2:$J$355,MATCH($C675,Deals!$A$2:$A$355,0))),""))</f>
        <v/>
      </c>
      <c r="N675" s="35">
        <f>IF($L675="",DATE(1900,1,1),$L675)</f>
        <v/>
      </c>
      <c r="O675" s="35">
        <f>IF($M675="",DATE(2100,12,31),$M675)</f>
        <v/>
      </c>
      <c r="P675" s="20" t="inlineStr"/>
      <c r="Q675" s="47" t="inlineStr"/>
      <c r="R675" s="16">
        <f>IF($C675="","",IFERROR(IF(INDEX(Deals!$U$2:$U$355,MATCH($C675,Deals!$A$2:$A$355,0))=0,"",INDEX(Deals!$U$2:$U$355,MATCH($C675,Deals!$A$2:$A$355,0))),""))</f>
        <v/>
      </c>
      <c r="S675" s="34">
        <f>IFERROR(IF($U675="",1,INDEX(Deals!$V$2:$V$355,MATCH($C675,Deals!$A$2:$A$355,0))),1)</f>
        <v/>
      </c>
      <c r="T675" s="34">
        <f>IFERROR(IF($U675="",1,INDEX(Deals!$W$2:$W$355,MATCH($C675,Deals!$A$2:$A$355,0))),1)</f>
        <v/>
      </c>
      <c r="U675" s="22">
        <f>IF($C675="","",IFERROR(IF(INDEX(Deals!$Y$2:$Y$355,MATCH($C675,Deals!$A$2:$A$355,0))=0,"",INDEX(Deals!$Y$2:$Y$355,MATCH($C675,Deals!$A$2:$A$355,0))),""))</f>
        <v/>
      </c>
      <c r="V675" s="35">
        <f>IF(OR($U675&lt;&gt;"",AND($AO675&gt;0,$L675&lt;&gt;"",$M675&lt;&gt;"")),$N675,DATE(1900,1,1))</f>
        <v/>
      </c>
      <c r="W675" s="35">
        <f>IF($U675&lt;&gt;"",$U675,IF(AND($AO675&gt;0,$L675&lt;&gt;"",$M675&lt;&gt;""),$O675,DATE(2100,12,31)))</f>
        <v/>
      </c>
      <c r="X675" s="32">
        <f>IF($U675="",$K675,$K675*$S675)</f>
        <v/>
      </c>
      <c r="Y675" s="35">
        <f>IF($U675="",DATE(2100,12,31),$U675+1)</f>
        <v/>
      </c>
      <c r="Z675" s="35">
        <f>IF($U675="",DATE(1900,1,1),$O675)</f>
        <v/>
      </c>
      <c r="AA675" s="32">
        <f>IF($U675="",0,$K675*$T675)</f>
        <v/>
      </c>
      <c r="AB675" s="21">
        <f>IF($C675="",0,IFERROR(INDEX(Deals!$AD$2:$AD$355,MATCH($C675,Deals!$A$2:$A$355,0)),0))</f>
        <v/>
      </c>
      <c r="AC675" s="32">
        <f>IF(Settings!$B$4="Yes",$I675*$AB675,$I675)</f>
        <v/>
      </c>
      <c r="AD675" s="22">
        <f>IF($C675="","",IFERROR(IF(INDEX(Deals!$AE$2:$AE$355,MATCH($C675,Deals!$A$2:$A$355,0))=0,"",INDEX(Deals!$AE$2:$AE$355,MATCH($C675,Deals!$A$2:$A$355,0))),""))</f>
        <v/>
      </c>
      <c r="AE675" s="22">
        <f>IF($C675="","",IFERROR(IF(INDEX(Deals!$AF$2:$AF$355,MATCH($C675,Deals!$A$2:$A$355,0))=0,"",INDEX(Deals!$AF$2:$AF$355,MATCH($C675,Deals!$A$2:$A$355,0))),""))</f>
        <v/>
      </c>
      <c r="AF675" s="35">
        <f>IF($AD675="",DATE(1900,1,1),$AD675)</f>
        <v/>
      </c>
      <c r="AG675" s="35">
        <f>IF($AE675="",DATE(2100,12,31),$AE675)</f>
        <v/>
      </c>
      <c r="AH675" s="22">
        <f>IF($C675="","",IFERROR(IF(INDEX(Deals!$AG$2:$AG$355,MATCH($C675,Deals!$A$2:$A$355,0))=0,"",INDEX(Deals!$AG$2:$AG$355,MATCH($C675,Deals!$A$2:$A$355,0))),""))</f>
        <v/>
      </c>
      <c r="AI675" s="35">
        <f>IF(OR($AH675&lt;&gt;"",AND($AO675&gt;0,$AD675&lt;&gt;"",$AE675&lt;&gt;"")),$AF675,DATE(1900,1,1))</f>
        <v/>
      </c>
      <c r="AJ675" s="35">
        <f>IF($AH675&lt;&gt;"",$AH675,IF(AND($AO675&gt;0,$AD675&lt;&gt;"",$AE675&lt;&gt;""),$AG675,DATE(2100,12,31)))</f>
        <v/>
      </c>
      <c r="AK675" s="32">
        <f>IF($AH675="",$AC675,$AC675*$S675)</f>
        <v/>
      </c>
      <c r="AL675" s="35">
        <f>IF($AH675="",DATE(2100,12,31),$AH675+1)</f>
        <v/>
      </c>
      <c r="AM675" s="35">
        <f>IF($AH675="",DATE(1900,1,1),$AG675)</f>
        <v/>
      </c>
      <c r="AN675" s="32">
        <f>IF($AH675="",0,$AC675*$T675)</f>
        <v/>
      </c>
      <c r="AO675" s="46">
        <f>IF($C675="",0,IFERROR(INDEX(Deals!$BD$2:$BD$355,MATCH($C675,Deals!$A$2:$A$355,0)),0))</f>
        <v/>
      </c>
      <c r="AP675" s="18">
        <f>IF($AO675=0,0,IFERROR(INDEX(Deals!$BJ$2:$BP$355,MATCH($C675,Deals!$A$2:$A$355,0),MATCH($F675,Deals!$BJ$1:$BP$1,0))/COUNTIFS(Assignments!$C$2:$C$769,$C675,Assignments!$F$2:$F$769,$F675,Assignments!$G$2:$G$769,"Active"),0))</f>
        <v/>
      </c>
    </row>
    <row r="676">
      <c r="A676" s="28" t="inlineStr">
        <is>
          <t>Robbie</t>
        </is>
      </c>
      <c r="B676" s="16">
        <f>IF($A676="","",IFERROR(INDEX(Roster!$B$2:$B$40,MATCH($A676,Roster!$A$2:$A$40,0)),"?"))</f>
        <v/>
      </c>
      <c r="C676" s="28" t="inlineStr">
        <is>
          <t>Dawn_1</t>
        </is>
      </c>
      <c r="D676" s="16">
        <f>IF($C676="","",IFERROR(IF(INDEX(Deals!$C$2:$C$355,MATCH($C676,Deals!$A$2:$A$355,0))=0,"",INDEX(Deals!$C$2:$C$355,MATCH($C676,Deals!$A$2:$A$355,0))),"?"))</f>
        <v/>
      </c>
      <c r="E676" s="16">
        <f>IF($C676="","",IFERROR(INDEX(Deals!$F$2:$F$355,MATCH($C676,Deals!$A$2:$A$355,0)),"?"))</f>
        <v/>
      </c>
      <c r="F676" s="28" t="inlineStr">
        <is>
          <t>Renewable Specialist</t>
        </is>
      </c>
      <c r="G676" s="28" t="inlineStr">
        <is>
          <t>Active</t>
        </is>
      </c>
      <c r="H676" s="31" t="n"/>
      <c r="I676" s="32">
        <f>IF(OR($A676="",$G676&lt;&gt;"Active"),0,IF($H676&lt;&gt;"",$H676,IF($AO676&gt;0,$AP676,IF(AND($R676&lt;&gt;"",IFERROR(INDEX(Templates!$B$3:$H$10,MATCH($R676,Templates!$A$3:$A$10,0),MATCH($F676,Templates!$B$2:$H$2,0)),0)&gt;0),INDEX(Templates!$B$3:$H$10,MATCH($R676,Templates!$A$3:$A$10,0),MATCH($F676,Templates!$B$2:$H$2,0)),IFERROR(INDEX(Settings!$B$8:$B$14,MATCH($F676,Settings!$A$8:$A$14,0)),0)))))</f>
        <v/>
      </c>
      <c r="J676" s="21">
        <f>IF($C676="",0,IFERROR(INDEX(Deals!$H$2:$H$355,MATCH($C676,Deals!$A$2:$A$355,0)),0))</f>
        <v/>
      </c>
      <c r="K676" s="32">
        <f>IF(Settings!$B$4="Yes",$I676*$J676,$I676)</f>
        <v/>
      </c>
      <c r="L676" s="22">
        <f>IF($C676="","",IFERROR(IF(INDEX(Deals!$I$2:$I$355,MATCH($C676,Deals!$A$2:$A$355,0))=0,"",INDEX(Deals!$I$2:$I$355,MATCH($C676,Deals!$A$2:$A$355,0))),""))</f>
        <v/>
      </c>
      <c r="M676" s="22">
        <f>IF($C676="","",IFERROR(IF(INDEX(Deals!$J$2:$J$355,MATCH($C676,Deals!$A$2:$A$355,0))=0,"",INDEX(Deals!$J$2:$J$355,MATCH($C676,Deals!$A$2:$A$355,0))),""))</f>
        <v/>
      </c>
      <c r="N676" s="35">
        <f>IF($L676="",DATE(1900,1,1),$L676)</f>
        <v/>
      </c>
      <c r="O676" s="35">
        <f>IF($M676="",DATE(2100,12,31),$M676)</f>
        <v/>
      </c>
      <c r="P676" s="20" t="inlineStr"/>
      <c r="Q676" s="47" t="inlineStr"/>
      <c r="R676" s="16">
        <f>IF($C676="","",IFERROR(IF(INDEX(Deals!$U$2:$U$355,MATCH($C676,Deals!$A$2:$A$355,0))=0,"",INDEX(Deals!$U$2:$U$355,MATCH($C676,Deals!$A$2:$A$355,0))),""))</f>
        <v/>
      </c>
      <c r="S676" s="34">
        <f>IFERROR(IF($U676="",1,INDEX(Deals!$V$2:$V$355,MATCH($C676,Deals!$A$2:$A$355,0))),1)</f>
        <v/>
      </c>
      <c r="T676" s="34">
        <f>IFERROR(IF($U676="",1,INDEX(Deals!$W$2:$W$355,MATCH($C676,Deals!$A$2:$A$355,0))),1)</f>
        <v/>
      </c>
      <c r="U676" s="22">
        <f>IF($C676="","",IFERROR(IF(INDEX(Deals!$Y$2:$Y$355,MATCH($C676,Deals!$A$2:$A$355,0))=0,"",INDEX(Deals!$Y$2:$Y$355,MATCH($C676,Deals!$A$2:$A$355,0))),""))</f>
        <v/>
      </c>
      <c r="V676" s="35">
        <f>IF(OR($U676&lt;&gt;"",AND($AO676&gt;0,$L676&lt;&gt;"",$M676&lt;&gt;"")),$N676,DATE(1900,1,1))</f>
        <v/>
      </c>
      <c r="W676" s="35">
        <f>IF($U676&lt;&gt;"",$U676,IF(AND($AO676&gt;0,$L676&lt;&gt;"",$M676&lt;&gt;""),$O676,DATE(2100,12,31)))</f>
        <v/>
      </c>
      <c r="X676" s="32">
        <f>IF($U676="",$K676,$K676*$S676)</f>
        <v/>
      </c>
      <c r="Y676" s="35">
        <f>IF($U676="",DATE(2100,12,31),$U676+1)</f>
        <v/>
      </c>
      <c r="Z676" s="35">
        <f>IF($U676="",DATE(1900,1,1),$O676)</f>
        <v/>
      </c>
      <c r="AA676" s="32">
        <f>IF($U676="",0,$K676*$T676)</f>
        <v/>
      </c>
      <c r="AB676" s="21">
        <f>IF($C676="",0,IFERROR(INDEX(Deals!$AD$2:$AD$355,MATCH($C676,Deals!$A$2:$A$355,0)),0))</f>
        <v/>
      </c>
      <c r="AC676" s="32">
        <f>IF(Settings!$B$4="Yes",$I676*$AB676,$I676)</f>
        <v/>
      </c>
      <c r="AD676" s="22">
        <f>IF($C676="","",IFERROR(IF(INDEX(Deals!$AE$2:$AE$355,MATCH($C676,Deals!$A$2:$A$355,0))=0,"",INDEX(Deals!$AE$2:$AE$355,MATCH($C676,Deals!$A$2:$A$355,0))),""))</f>
        <v/>
      </c>
      <c r="AE676" s="22">
        <f>IF($C676="","",IFERROR(IF(INDEX(Deals!$AF$2:$AF$355,MATCH($C676,Deals!$A$2:$A$355,0))=0,"",INDEX(Deals!$AF$2:$AF$355,MATCH($C676,Deals!$A$2:$A$355,0))),""))</f>
        <v/>
      </c>
      <c r="AF676" s="35">
        <f>IF($AD676="",DATE(1900,1,1),$AD676)</f>
        <v/>
      </c>
      <c r="AG676" s="35">
        <f>IF($AE676="",DATE(2100,12,31),$AE676)</f>
        <v/>
      </c>
      <c r="AH676" s="22">
        <f>IF($C676="","",IFERROR(IF(INDEX(Deals!$AG$2:$AG$355,MATCH($C676,Deals!$A$2:$A$355,0))=0,"",INDEX(Deals!$AG$2:$AG$355,MATCH($C676,Deals!$A$2:$A$355,0))),""))</f>
        <v/>
      </c>
      <c r="AI676" s="35">
        <f>IF(OR($AH676&lt;&gt;"",AND($AO676&gt;0,$AD676&lt;&gt;"",$AE676&lt;&gt;"")),$AF676,DATE(1900,1,1))</f>
        <v/>
      </c>
      <c r="AJ676" s="35">
        <f>IF($AH676&lt;&gt;"",$AH676,IF(AND($AO676&gt;0,$AD676&lt;&gt;"",$AE676&lt;&gt;""),$AG676,DATE(2100,12,31)))</f>
        <v/>
      </c>
      <c r="AK676" s="32">
        <f>IF($AH676="",$AC676,$AC676*$S676)</f>
        <v/>
      </c>
      <c r="AL676" s="35">
        <f>IF($AH676="",DATE(2100,12,31),$AH676+1)</f>
        <v/>
      </c>
      <c r="AM676" s="35">
        <f>IF($AH676="",DATE(1900,1,1),$AG676)</f>
        <v/>
      </c>
      <c r="AN676" s="32">
        <f>IF($AH676="",0,$AC676*$T676)</f>
        <v/>
      </c>
      <c r="AO676" s="46">
        <f>IF($C676="",0,IFERROR(INDEX(Deals!$BD$2:$BD$355,MATCH($C676,Deals!$A$2:$A$355,0)),0))</f>
        <v/>
      </c>
      <c r="AP676" s="18">
        <f>IF($AO676=0,0,IFERROR(INDEX(Deals!$BJ$2:$BP$355,MATCH($C676,Deals!$A$2:$A$355,0),MATCH($F676,Deals!$BJ$1:$BP$1,0))/COUNTIFS(Assignments!$C$2:$C$769,$C676,Assignments!$F$2:$F$769,$F676,Assignments!$G$2:$G$769,"Active"),0))</f>
        <v/>
      </c>
    </row>
    <row r="677">
      <c r="A677" s="28" t="inlineStr">
        <is>
          <t>Robbie</t>
        </is>
      </c>
      <c r="B677" s="16">
        <f>IF($A677="","",IFERROR(INDEX(Roster!$B$2:$B$40,MATCH($A677,Roster!$A$2:$A$40,0)),"?"))</f>
        <v/>
      </c>
      <c r="C677" s="28" t="inlineStr">
        <is>
          <t>Denergy_1</t>
        </is>
      </c>
      <c r="D677" s="16">
        <f>IF($C677="","",IFERROR(IF(INDEX(Deals!$C$2:$C$355,MATCH($C677,Deals!$A$2:$A$355,0))=0,"",INDEX(Deals!$C$2:$C$355,MATCH($C677,Deals!$A$2:$A$355,0))),"?"))</f>
        <v/>
      </c>
      <c r="E677" s="16">
        <f>IF($C677="","",IFERROR(INDEX(Deals!$F$2:$F$355,MATCH($C677,Deals!$A$2:$A$355,0)),"?"))</f>
        <v/>
      </c>
      <c r="F677" s="28" t="inlineStr">
        <is>
          <t>Renewable Specialist</t>
        </is>
      </c>
      <c r="G677" s="28" t="inlineStr">
        <is>
          <t>Active</t>
        </is>
      </c>
      <c r="H677" s="31" t="n"/>
      <c r="I677" s="32">
        <f>IF(OR($A677="",$G677&lt;&gt;"Active"),0,IF($H677&lt;&gt;"",$H677,IF($AO677&gt;0,$AP677,IF(AND($R677&lt;&gt;"",IFERROR(INDEX(Templates!$B$3:$H$10,MATCH($R677,Templates!$A$3:$A$10,0),MATCH($F677,Templates!$B$2:$H$2,0)),0)&gt;0),INDEX(Templates!$B$3:$H$10,MATCH($R677,Templates!$A$3:$A$10,0),MATCH($F677,Templates!$B$2:$H$2,0)),IFERROR(INDEX(Settings!$B$8:$B$14,MATCH($F677,Settings!$A$8:$A$14,0)),0)))))</f>
        <v/>
      </c>
      <c r="J677" s="21">
        <f>IF($C677="",0,IFERROR(INDEX(Deals!$H$2:$H$355,MATCH($C677,Deals!$A$2:$A$355,0)),0))</f>
        <v/>
      </c>
      <c r="K677" s="32">
        <f>IF(Settings!$B$4="Yes",$I677*$J677,$I677)</f>
        <v/>
      </c>
      <c r="L677" s="22">
        <f>IF($C677="","",IFERROR(IF(INDEX(Deals!$I$2:$I$355,MATCH($C677,Deals!$A$2:$A$355,0))=0,"",INDEX(Deals!$I$2:$I$355,MATCH($C677,Deals!$A$2:$A$355,0))),""))</f>
        <v/>
      </c>
      <c r="M677" s="22">
        <f>IF($C677="","",IFERROR(IF(INDEX(Deals!$J$2:$J$355,MATCH($C677,Deals!$A$2:$A$355,0))=0,"",INDEX(Deals!$J$2:$J$355,MATCH($C677,Deals!$A$2:$A$355,0))),""))</f>
        <v/>
      </c>
      <c r="N677" s="35">
        <f>IF($L677="",DATE(1900,1,1),$L677)</f>
        <v/>
      </c>
      <c r="O677" s="35">
        <f>IF($M677="",DATE(2100,12,31),$M677)</f>
        <v/>
      </c>
      <c r="P677" s="20" t="inlineStr"/>
      <c r="Q677" s="47" t="inlineStr"/>
      <c r="R677" s="16">
        <f>IF($C677="","",IFERROR(IF(INDEX(Deals!$U$2:$U$355,MATCH($C677,Deals!$A$2:$A$355,0))=0,"",INDEX(Deals!$U$2:$U$355,MATCH($C677,Deals!$A$2:$A$355,0))),""))</f>
        <v/>
      </c>
      <c r="S677" s="34">
        <f>IFERROR(IF($U677="",1,INDEX(Deals!$V$2:$V$355,MATCH($C677,Deals!$A$2:$A$355,0))),1)</f>
        <v/>
      </c>
      <c r="T677" s="34">
        <f>IFERROR(IF($U677="",1,INDEX(Deals!$W$2:$W$355,MATCH($C677,Deals!$A$2:$A$355,0))),1)</f>
        <v/>
      </c>
      <c r="U677" s="22">
        <f>IF($C677="","",IFERROR(IF(INDEX(Deals!$Y$2:$Y$355,MATCH($C677,Deals!$A$2:$A$355,0))=0,"",INDEX(Deals!$Y$2:$Y$355,MATCH($C677,Deals!$A$2:$A$355,0))),""))</f>
        <v/>
      </c>
      <c r="V677" s="35">
        <f>IF(OR($U677&lt;&gt;"",AND($AO677&gt;0,$L677&lt;&gt;"",$M677&lt;&gt;"")),$N677,DATE(1900,1,1))</f>
        <v/>
      </c>
      <c r="W677" s="35">
        <f>IF($U677&lt;&gt;"",$U677,IF(AND($AO677&gt;0,$L677&lt;&gt;"",$M677&lt;&gt;""),$O677,DATE(2100,12,31)))</f>
        <v/>
      </c>
      <c r="X677" s="32">
        <f>IF($U677="",$K677,$K677*$S677)</f>
        <v/>
      </c>
      <c r="Y677" s="35">
        <f>IF($U677="",DATE(2100,12,31),$U677+1)</f>
        <v/>
      </c>
      <c r="Z677" s="35">
        <f>IF($U677="",DATE(1900,1,1),$O677)</f>
        <v/>
      </c>
      <c r="AA677" s="32">
        <f>IF($U677="",0,$K677*$T677)</f>
        <v/>
      </c>
      <c r="AB677" s="21">
        <f>IF($C677="",0,IFERROR(INDEX(Deals!$AD$2:$AD$355,MATCH($C677,Deals!$A$2:$A$355,0)),0))</f>
        <v/>
      </c>
      <c r="AC677" s="32">
        <f>IF(Settings!$B$4="Yes",$I677*$AB677,$I677)</f>
        <v/>
      </c>
      <c r="AD677" s="22">
        <f>IF($C677="","",IFERROR(IF(INDEX(Deals!$AE$2:$AE$355,MATCH($C677,Deals!$A$2:$A$355,0))=0,"",INDEX(Deals!$AE$2:$AE$355,MATCH($C677,Deals!$A$2:$A$355,0))),""))</f>
        <v/>
      </c>
      <c r="AE677" s="22">
        <f>IF($C677="","",IFERROR(IF(INDEX(Deals!$AF$2:$AF$355,MATCH($C677,Deals!$A$2:$A$355,0))=0,"",INDEX(Deals!$AF$2:$AF$355,MATCH($C677,Deals!$A$2:$A$355,0))),""))</f>
        <v/>
      </c>
      <c r="AF677" s="35">
        <f>IF($AD677="",DATE(1900,1,1),$AD677)</f>
        <v/>
      </c>
      <c r="AG677" s="35">
        <f>IF($AE677="",DATE(2100,12,31),$AE677)</f>
        <v/>
      </c>
      <c r="AH677" s="22">
        <f>IF($C677="","",IFERROR(IF(INDEX(Deals!$AG$2:$AG$355,MATCH($C677,Deals!$A$2:$A$355,0))=0,"",INDEX(Deals!$AG$2:$AG$355,MATCH($C677,Deals!$A$2:$A$355,0))),""))</f>
        <v/>
      </c>
      <c r="AI677" s="35">
        <f>IF(OR($AH677&lt;&gt;"",AND($AO677&gt;0,$AD677&lt;&gt;"",$AE677&lt;&gt;"")),$AF677,DATE(1900,1,1))</f>
        <v/>
      </c>
      <c r="AJ677" s="35">
        <f>IF($AH677&lt;&gt;"",$AH677,IF(AND($AO677&gt;0,$AD677&lt;&gt;"",$AE677&lt;&gt;""),$AG677,DATE(2100,12,31)))</f>
        <v/>
      </c>
      <c r="AK677" s="32">
        <f>IF($AH677="",$AC677,$AC677*$S677)</f>
        <v/>
      </c>
      <c r="AL677" s="35">
        <f>IF($AH677="",DATE(2100,12,31),$AH677+1)</f>
        <v/>
      </c>
      <c r="AM677" s="35">
        <f>IF($AH677="",DATE(1900,1,1),$AG677)</f>
        <v/>
      </c>
      <c r="AN677" s="32">
        <f>IF($AH677="",0,$AC677*$T677)</f>
        <v/>
      </c>
      <c r="AO677" s="46">
        <f>IF($C677="",0,IFERROR(INDEX(Deals!$BD$2:$BD$355,MATCH($C677,Deals!$A$2:$A$355,0)),0))</f>
        <v/>
      </c>
      <c r="AP677" s="18">
        <f>IF($AO677=0,0,IFERROR(INDEX(Deals!$BJ$2:$BP$355,MATCH($C677,Deals!$A$2:$A$355,0),MATCH($F677,Deals!$BJ$1:$BP$1,0))/COUNTIFS(Assignments!$C$2:$C$769,$C677,Assignments!$F$2:$F$769,$F677,Assignments!$G$2:$G$769,"Active"),0))</f>
        <v/>
      </c>
    </row>
    <row r="678">
      <c r="A678" s="28" t="inlineStr">
        <is>
          <t>Robbie</t>
        </is>
      </c>
      <c r="B678" s="16">
        <f>IF($A678="","",IFERROR(INDEX(Roster!$B$2:$B$40,MATCH($A678,Roster!$A$2:$A$40,0)),"?"))</f>
        <v/>
      </c>
      <c r="C678" s="28" t="inlineStr">
        <is>
          <t>DIF Twister_2</t>
        </is>
      </c>
      <c r="D678" s="16">
        <f>IF($C678="","",IFERROR(IF(INDEX(Deals!$C$2:$C$355,MATCH($C678,Deals!$A$2:$A$355,0))=0,"",INDEX(Deals!$C$2:$C$355,MATCH($C678,Deals!$A$2:$A$355,0))),"?"))</f>
        <v/>
      </c>
      <c r="E678" s="16">
        <f>IF($C678="","",IFERROR(INDEX(Deals!$F$2:$F$355,MATCH($C678,Deals!$A$2:$A$355,0)),"?"))</f>
        <v/>
      </c>
      <c r="F678" s="28" t="inlineStr">
        <is>
          <t>Renewable Specialist</t>
        </is>
      </c>
      <c r="G678" s="28" t="inlineStr">
        <is>
          <t>Active</t>
        </is>
      </c>
      <c r="H678" s="31" t="n"/>
      <c r="I678" s="32">
        <f>IF(OR($A678="",$G678&lt;&gt;"Active"),0,IF($H678&lt;&gt;"",$H678,IF($AO678&gt;0,$AP678,IF(AND($R678&lt;&gt;"",IFERROR(INDEX(Templates!$B$3:$H$10,MATCH($R678,Templates!$A$3:$A$10,0),MATCH($F678,Templates!$B$2:$H$2,0)),0)&gt;0),INDEX(Templates!$B$3:$H$10,MATCH($R678,Templates!$A$3:$A$10,0),MATCH($F678,Templates!$B$2:$H$2,0)),IFERROR(INDEX(Settings!$B$8:$B$14,MATCH($F678,Settings!$A$8:$A$14,0)),0)))))</f>
        <v/>
      </c>
      <c r="J678" s="21">
        <f>IF($C678="",0,IFERROR(INDEX(Deals!$H$2:$H$355,MATCH($C678,Deals!$A$2:$A$355,0)),0))</f>
        <v/>
      </c>
      <c r="K678" s="32">
        <f>IF(Settings!$B$4="Yes",$I678*$J678,$I678)</f>
        <v/>
      </c>
      <c r="L678" s="22">
        <f>IF($C678="","",IFERROR(IF(INDEX(Deals!$I$2:$I$355,MATCH($C678,Deals!$A$2:$A$355,0))=0,"",INDEX(Deals!$I$2:$I$355,MATCH($C678,Deals!$A$2:$A$355,0))),""))</f>
        <v/>
      </c>
      <c r="M678" s="22">
        <f>IF($C678="","",IFERROR(IF(INDEX(Deals!$J$2:$J$355,MATCH($C678,Deals!$A$2:$A$355,0))=0,"",INDEX(Deals!$J$2:$J$355,MATCH($C678,Deals!$A$2:$A$355,0))),""))</f>
        <v/>
      </c>
      <c r="N678" s="35">
        <f>IF($L678="",DATE(1900,1,1),$L678)</f>
        <v/>
      </c>
      <c r="O678" s="35">
        <f>IF($M678="",DATE(2100,12,31),$M678)</f>
        <v/>
      </c>
      <c r="P678" s="20" t="inlineStr"/>
      <c r="Q678" s="47" t="inlineStr"/>
      <c r="R678" s="16">
        <f>IF($C678="","",IFERROR(IF(INDEX(Deals!$U$2:$U$355,MATCH($C678,Deals!$A$2:$A$355,0))=0,"",INDEX(Deals!$U$2:$U$355,MATCH($C678,Deals!$A$2:$A$355,0))),""))</f>
        <v/>
      </c>
      <c r="S678" s="34">
        <f>IFERROR(IF($U678="",1,INDEX(Deals!$V$2:$V$355,MATCH($C678,Deals!$A$2:$A$355,0))),1)</f>
        <v/>
      </c>
      <c r="T678" s="34">
        <f>IFERROR(IF($U678="",1,INDEX(Deals!$W$2:$W$355,MATCH($C678,Deals!$A$2:$A$355,0))),1)</f>
        <v/>
      </c>
      <c r="U678" s="22">
        <f>IF($C678="","",IFERROR(IF(INDEX(Deals!$Y$2:$Y$355,MATCH($C678,Deals!$A$2:$A$355,0))=0,"",INDEX(Deals!$Y$2:$Y$355,MATCH($C678,Deals!$A$2:$A$355,0))),""))</f>
        <v/>
      </c>
      <c r="V678" s="35">
        <f>IF(OR($U678&lt;&gt;"",AND($AO678&gt;0,$L678&lt;&gt;"",$M678&lt;&gt;"")),$N678,DATE(1900,1,1))</f>
        <v/>
      </c>
      <c r="W678" s="35">
        <f>IF($U678&lt;&gt;"",$U678,IF(AND($AO678&gt;0,$L678&lt;&gt;"",$M678&lt;&gt;""),$O678,DATE(2100,12,31)))</f>
        <v/>
      </c>
      <c r="X678" s="32">
        <f>IF($U678="",$K678,$K678*$S678)</f>
        <v/>
      </c>
      <c r="Y678" s="35">
        <f>IF($U678="",DATE(2100,12,31),$U678+1)</f>
        <v/>
      </c>
      <c r="Z678" s="35">
        <f>IF($U678="",DATE(1900,1,1),$O678)</f>
        <v/>
      </c>
      <c r="AA678" s="32">
        <f>IF($U678="",0,$K678*$T678)</f>
        <v/>
      </c>
      <c r="AB678" s="21">
        <f>IF($C678="",0,IFERROR(INDEX(Deals!$AD$2:$AD$355,MATCH($C678,Deals!$A$2:$A$355,0)),0))</f>
        <v/>
      </c>
      <c r="AC678" s="32">
        <f>IF(Settings!$B$4="Yes",$I678*$AB678,$I678)</f>
        <v/>
      </c>
      <c r="AD678" s="22">
        <f>IF($C678="","",IFERROR(IF(INDEX(Deals!$AE$2:$AE$355,MATCH($C678,Deals!$A$2:$A$355,0))=0,"",INDEX(Deals!$AE$2:$AE$355,MATCH($C678,Deals!$A$2:$A$355,0))),""))</f>
        <v/>
      </c>
      <c r="AE678" s="22">
        <f>IF($C678="","",IFERROR(IF(INDEX(Deals!$AF$2:$AF$355,MATCH($C678,Deals!$A$2:$A$355,0))=0,"",INDEX(Deals!$AF$2:$AF$355,MATCH($C678,Deals!$A$2:$A$355,0))),""))</f>
        <v/>
      </c>
      <c r="AF678" s="35">
        <f>IF($AD678="",DATE(1900,1,1),$AD678)</f>
        <v/>
      </c>
      <c r="AG678" s="35">
        <f>IF($AE678="",DATE(2100,12,31),$AE678)</f>
        <v/>
      </c>
      <c r="AH678" s="22">
        <f>IF($C678="","",IFERROR(IF(INDEX(Deals!$AG$2:$AG$355,MATCH($C678,Deals!$A$2:$A$355,0))=0,"",INDEX(Deals!$AG$2:$AG$355,MATCH($C678,Deals!$A$2:$A$355,0))),""))</f>
        <v/>
      </c>
      <c r="AI678" s="35">
        <f>IF(OR($AH678&lt;&gt;"",AND($AO678&gt;0,$AD678&lt;&gt;"",$AE678&lt;&gt;"")),$AF678,DATE(1900,1,1))</f>
        <v/>
      </c>
      <c r="AJ678" s="35">
        <f>IF($AH678&lt;&gt;"",$AH678,IF(AND($AO678&gt;0,$AD678&lt;&gt;"",$AE678&lt;&gt;""),$AG678,DATE(2100,12,31)))</f>
        <v/>
      </c>
      <c r="AK678" s="32">
        <f>IF($AH678="",$AC678,$AC678*$S678)</f>
        <v/>
      </c>
      <c r="AL678" s="35">
        <f>IF($AH678="",DATE(2100,12,31),$AH678+1)</f>
        <v/>
      </c>
      <c r="AM678" s="35">
        <f>IF($AH678="",DATE(1900,1,1),$AG678)</f>
        <v/>
      </c>
      <c r="AN678" s="32">
        <f>IF($AH678="",0,$AC678*$T678)</f>
        <v/>
      </c>
      <c r="AO678" s="46">
        <f>IF($C678="",0,IFERROR(INDEX(Deals!$BD$2:$BD$355,MATCH($C678,Deals!$A$2:$A$355,0)),0))</f>
        <v/>
      </c>
      <c r="AP678" s="18">
        <f>IF($AO678=0,0,IFERROR(INDEX(Deals!$BJ$2:$BP$355,MATCH($C678,Deals!$A$2:$A$355,0),MATCH($F678,Deals!$BJ$1:$BP$1,0))/COUNTIFS(Assignments!$C$2:$C$769,$C678,Assignments!$F$2:$F$769,$F678,Assignments!$G$2:$G$769,"Active"),0))</f>
        <v/>
      </c>
    </row>
    <row r="679">
      <c r="A679" s="28" t="inlineStr">
        <is>
          <t>Robbie</t>
        </is>
      </c>
      <c r="B679" s="16">
        <f>IF($A679="","",IFERROR(INDEX(Roster!$B$2:$B$40,MATCH($A679,Roster!$A$2:$A$40,0)),"?"))</f>
        <v/>
      </c>
      <c r="C679" s="28" t="inlineStr">
        <is>
          <t>Elektron_1</t>
        </is>
      </c>
      <c r="D679" s="16">
        <f>IF($C679="","",IFERROR(IF(INDEX(Deals!$C$2:$C$355,MATCH($C679,Deals!$A$2:$A$355,0))=0,"",INDEX(Deals!$C$2:$C$355,MATCH($C679,Deals!$A$2:$A$355,0))),"?"))</f>
        <v/>
      </c>
      <c r="E679" s="16">
        <f>IF($C679="","",IFERROR(INDEX(Deals!$F$2:$F$355,MATCH($C679,Deals!$A$2:$A$355,0)),"?"))</f>
        <v/>
      </c>
      <c r="F679" s="28" t="inlineStr">
        <is>
          <t>Renewable Specialist</t>
        </is>
      </c>
      <c r="G679" s="28" t="inlineStr">
        <is>
          <t>Active</t>
        </is>
      </c>
      <c r="H679" s="31" t="n"/>
      <c r="I679" s="32">
        <f>IF(OR($A679="",$G679&lt;&gt;"Active"),0,IF($H679&lt;&gt;"",$H679,IF($AO679&gt;0,$AP679,IF(AND($R679&lt;&gt;"",IFERROR(INDEX(Templates!$B$3:$H$10,MATCH($R679,Templates!$A$3:$A$10,0),MATCH($F679,Templates!$B$2:$H$2,0)),0)&gt;0),INDEX(Templates!$B$3:$H$10,MATCH($R679,Templates!$A$3:$A$10,0),MATCH($F679,Templates!$B$2:$H$2,0)),IFERROR(INDEX(Settings!$B$8:$B$14,MATCH($F679,Settings!$A$8:$A$14,0)),0)))))</f>
        <v/>
      </c>
      <c r="J679" s="21">
        <f>IF($C679="",0,IFERROR(INDEX(Deals!$H$2:$H$355,MATCH($C679,Deals!$A$2:$A$355,0)),0))</f>
        <v/>
      </c>
      <c r="K679" s="32">
        <f>IF(Settings!$B$4="Yes",$I679*$J679,$I679)</f>
        <v/>
      </c>
      <c r="L679" s="22">
        <f>IF($C679="","",IFERROR(IF(INDEX(Deals!$I$2:$I$355,MATCH($C679,Deals!$A$2:$A$355,0))=0,"",INDEX(Deals!$I$2:$I$355,MATCH($C679,Deals!$A$2:$A$355,0))),""))</f>
        <v/>
      </c>
      <c r="M679" s="22">
        <f>IF($C679="","",IFERROR(IF(INDEX(Deals!$J$2:$J$355,MATCH($C679,Deals!$A$2:$A$355,0))=0,"",INDEX(Deals!$J$2:$J$355,MATCH($C679,Deals!$A$2:$A$355,0))),""))</f>
        <v/>
      </c>
      <c r="N679" s="35">
        <f>IF($L679="",DATE(1900,1,1),$L679)</f>
        <v/>
      </c>
      <c r="O679" s="35">
        <f>IF($M679="",DATE(2100,12,31),$M679)</f>
        <v/>
      </c>
      <c r="P679" s="20" t="inlineStr"/>
      <c r="Q679" s="47" t="inlineStr"/>
      <c r="R679" s="16">
        <f>IF($C679="","",IFERROR(IF(INDEX(Deals!$U$2:$U$355,MATCH($C679,Deals!$A$2:$A$355,0))=0,"",INDEX(Deals!$U$2:$U$355,MATCH($C679,Deals!$A$2:$A$355,0))),""))</f>
        <v/>
      </c>
      <c r="S679" s="34">
        <f>IFERROR(IF($U679="",1,INDEX(Deals!$V$2:$V$355,MATCH($C679,Deals!$A$2:$A$355,0))),1)</f>
        <v/>
      </c>
      <c r="T679" s="34">
        <f>IFERROR(IF($U679="",1,INDEX(Deals!$W$2:$W$355,MATCH($C679,Deals!$A$2:$A$355,0))),1)</f>
        <v/>
      </c>
      <c r="U679" s="22">
        <f>IF($C679="","",IFERROR(IF(INDEX(Deals!$Y$2:$Y$355,MATCH($C679,Deals!$A$2:$A$355,0))=0,"",INDEX(Deals!$Y$2:$Y$355,MATCH($C679,Deals!$A$2:$A$355,0))),""))</f>
        <v/>
      </c>
      <c r="V679" s="35">
        <f>IF(OR($U679&lt;&gt;"",AND($AO679&gt;0,$L679&lt;&gt;"",$M679&lt;&gt;"")),$N679,DATE(1900,1,1))</f>
        <v/>
      </c>
      <c r="W679" s="35">
        <f>IF($U679&lt;&gt;"",$U679,IF(AND($AO679&gt;0,$L679&lt;&gt;"",$M679&lt;&gt;""),$O679,DATE(2100,12,31)))</f>
        <v/>
      </c>
      <c r="X679" s="32">
        <f>IF($U679="",$K679,$K679*$S679)</f>
        <v/>
      </c>
      <c r="Y679" s="35">
        <f>IF($U679="",DATE(2100,12,31),$U679+1)</f>
        <v/>
      </c>
      <c r="Z679" s="35">
        <f>IF($U679="",DATE(1900,1,1),$O679)</f>
        <v/>
      </c>
      <c r="AA679" s="32">
        <f>IF($U679="",0,$K679*$T679)</f>
        <v/>
      </c>
      <c r="AB679" s="21">
        <f>IF($C679="",0,IFERROR(INDEX(Deals!$AD$2:$AD$355,MATCH($C679,Deals!$A$2:$A$355,0)),0))</f>
        <v/>
      </c>
      <c r="AC679" s="32">
        <f>IF(Settings!$B$4="Yes",$I679*$AB679,$I679)</f>
        <v/>
      </c>
      <c r="AD679" s="22">
        <f>IF($C679="","",IFERROR(IF(INDEX(Deals!$AE$2:$AE$355,MATCH($C679,Deals!$A$2:$A$355,0))=0,"",INDEX(Deals!$AE$2:$AE$355,MATCH($C679,Deals!$A$2:$A$355,0))),""))</f>
        <v/>
      </c>
      <c r="AE679" s="22">
        <f>IF($C679="","",IFERROR(IF(INDEX(Deals!$AF$2:$AF$355,MATCH($C679,Deals!$A$2:$A$355,0))=0,"",INDEX(Deals!$AF$2:$AF$355,MATCH($C679,Deals!$A$2:$A$355,0))),""))</f>
        <v/>
      </c>
      <c r="AF679" s="35">
        <f>IF($AD679="",DATE(1900,1,1),$AD679)</f>
        <v/>
      </c>
      <c r="AG679" s="35">
        <f>IF($AE679="",DATE(2100,12,31),$AE679)</f>
        <v/>
      </c>
      <c r="AH679" s="22">
        <f>IF($C679="","",IFERROR(IF(INDEX(Deals!$AG$2:$AG$355,MATCH($C679,Deals!$A$2:$A$355,0))=0,"",INDEX(Deals!$AG$2:$AG$355,MATCH($C679,Deals!$A$2:$A$355,0))),""))</f>
        <v/>
      </c>
      <c r="AI679" s="35">
        <f>IF(OR($AH679&lt;&gt;"",AND($AO679&gt;0,$AD679&lt;&gt;"",$AE679&lt;&gt;"")),$AF679,DATE(1900,1,1))</f>
        <v/>
      </c>
      <c r="AJ679" s="35">
        <f>IF($AH679&lt;&gt;"",$AH679,IF(AND($AO679&gt;0,$AD679&lt;&gt;"",$AE679&lt;&gt;""),$AG679,DATE(2100,12,31)))</f>
        <v/>
      </c>
      <c r="AK679" s="32">
        <f>IF($AH679="",$AC679,$AC679*$S679)</f>
        <v/>
      </c>
      <c r="AL679" s="35">
        <f>IF($AH679="",DATE(2100,12,31),$AH679+1)</f>
        <v/>
      </c>
      <c r="AM679" s="35">
        <f>IF($AH679="",DATE(1900,1,1),$AG679)</f>
        <v/>
      </c>
      <c r="AN679" s="32">
        <f>IF($AH679="",0,$AC679*$T679)</f>
        <v/>
      </c>
      <c r="AO679" s="46">
        <f>IF($C679="",0,IFERROR(INDEX(Deals!$BD$2:$BD$355,MATCH($C679,Deals!$A$2:$A$355,0)),0))</f>
        <v/>
      </c>
      <c r="AP679" s="18">
        <f>IF($AO679=0,0,IFERROR(INDEX(Deals!$BJ$2:$BP$355,MATCH($C679,Deals!$A$2:$A$355,0),MATCH($F679,Deals!$BJ$1:$BP$1,0))/COUNTIFS(Assignments!$C$2:$C$769,$C679,Assignments!$F$2:$F$769,$F679,Assignments!$G$2:$G$769,"Active"),0))</f>
        <v/>
      </c>
    </row>
    <row r="680">
      <c r="A680" s="28" t="inlineStr">
        <is>
          <t>Robbie</t>
        </is>
      </c>
      <c r="B680" s="16">
        <f>IF($A680="","",IFERROR(INDEX(Roster!$B$2:$B$40,MATCH($A680,Roster!$A$2:$A$40,0)),"?"))</f>
        <v/>
      </c>
      <c r="C680" s="28" t="inlineStr">
        <is>
          <t>Gateway_3</t>
        </is>
      </c>
      <c r="D680" s="16">
        <f>IF($C680="","",IFERROR(IF(INDEX(Deals!$C$2:$C$355,MATCH($C680,Deals!$A$2:$A$355,0))=0,"",INDEX(Deals!$C$2:$C$355,MATCH($C680,Deals!$A$2:$A$355,0))),"?"))</f>
        <v/>
      </c>
      <c r="E680" s="16">
        <f>IF($C680="","",IFERROR(INDEX(Deals!$F$2:$F$355,MATCH($C680,Deals!$A$2:$A$355,0)),"?"))</f>
        <v/>
      </c>
      <c r="F680" s="28" t="inlineStr">
        <is>
          <t>Renewable Specialist</t>
        </is>
      </c>
      <c r="G680" s="28" t="inlineStr">
        <is>
          <t>Active</t>
        </is>
      </c>
      <c r="H680" s="31" t="n"/>
      <c r="I680" s="32">
        <f>IF(OR($A680="",$G680&lt;&gt;"Active"),0,IF($H680&lt;&gt;"",$H680,IF($AO680&gt;0,$AP680,IF(AND($R680&lt;&gt;"",IFERROR(INDEX(Templates!$B$3:$H$10,MATCH($R680,Templates!$A$3:$A$10,0),MATCH($F680,Templates!$B$2:$H$2,0)),0)&gt;0),INDEX(Templates!$B$3:$H$10,MATCH($R680,Templates!$A$3:$A$10,0),MATCH($F680,Templates!$B$2:$H$2,0)),IFERROR(INDEX(Settings!$B$8:$B$14,MATCH($F680,Settings!$A$8:$A$14,0)),0)))))</f>
        <v/>
      </c>
      <c r="J680" s="21">
        <f>IF($C680="",0,IFERROR(INDEX(Deals!$H$2:$H$355,MATCH($C680,Deals!$A$2:$A$355,0)),0))</f>
        <v/>
      </c>
      <c r="K680" s="32">
        <f>IF(Settings!$B$4="Yes",$I680*$J680,$I680)</f>
        <v/>
      </c>
      <c r="L680" s="22">
        <f>IF($C680="","",IFERROR(IF(INDEX(Deals!$I$2:$I$355,MATCH($C680,Deals!$A$2:$A$355,0))=0,"",INDEX(Deals!$I$2:$I$355,MATCH($C680,Deals!$A$2:$A$355,0))),""))</f>
        <v/>
      </c>
      <c r="M680" s="22">
        <f>IF($C680="","",IFERROR(IF(INDEX(Deals!$J$2:$J$355,MATCH($C680,Deals!$A$2:$A$355,0))=0,"",INDEX(Deals!$J$2:$J$355,MATCH($C680,Deals!$A$2:$A$355,0))),""))</f>
        <v/>
      </c>
      <c r="N680" s="35">
        <f>IF($L680="",DATE(1900,1,1),$L680)</f>
        <v/>
      </c>
      <c r="O680" s="35">
        <f>IF($M680="",DATE(2100,12,31),$M680)</f>
        <v/>
      </c>
      <c r="P680" s="20" t="inlineStr"/>
      <c r="Q680" s="47" t="inlineStr"/>
      <c r="R680" s="16">
        <f>IF($C680="","",IFERROR(IF(INDEX(Deals!$U$2:$U$355,MATCH($C680,Deals!$A$2:$A$355,0))=0,"",INDEX(Deals!$U$2:$U$355,MATCH($C680,Deals!$A$2:$A$355,0))),""))</f>
        <v/>
      </c>
      <c r="S680" s="34">
        <f>IFERROR(IF($U680="",1,INDEX(Deals!$V$2:$V$355,MATCH($C680,Deals!$A$2:$A$355,0))),1)</f>
        <v/>
      </c>
      <c r="T680" s="34">
        <f>IFERROR(IF($U680="",1,INDEX(Deals!$W$2:$W$355,MATCH($C680,Deals!$A$2:$A$355,0))),1)</f>
        <v/>
      </c>
      <c r="U680" s="22">
        <f>IF($C680="","",IFERROR(IF(INDEX(Deals!$Y$2:$Y$355,MATCH($C680,Deals!$A$2:$A$355,0))=0,"",INDEX(Deals!$Y$2:$Y$355,MATCH($C680,Deals!$A$2:$A$355,0))),""))</f>
        <v/>
      </c>
      <c r="V680" s="35">
        <f>IF(OR($U680&lt;&gt;"",AND($AO680&gt;0,$L680&lt;&gt;"",$M680&lt;&gt;"")),$N680,DATE(1900,1,1))</f>
        <v/>
      </c>
      <c r="W680" s="35">
        <f>IF($U680&lt;&gt;"",$U680,IF(AND($AO680&gt;0,$L680&lt;&gt;"",$M680&lt;&gt;""),$O680,DATE(2100,12,31)))</f>
        <v/>
      </c>
      <c r="X680" s="32">
        <f>IF($U680="",$K680,$K680*$S680)</f>
        <v/>
      </c>
      <c r="Y680" s="35">
        <f>IF($U680="",DATE(2100,12,31),$U680+1)</f>
        <v/>
      </c>
      <c r="Z680" s="35">
        <f>IF($U680="",DATE(1900,1,1),$O680)</f>
        <v/>
      </c>
      <c r="AA680" s="32">
        <f>IF($U680="",0,$K680*$T680)</f>
        <v/>
      </c>
      <c r="AB680" s="21">
        <f>IF($C680="",0,IFERROR(INDEX(Deals!$AD$2:$AD$355,MATCH($C680,Deals!$A$2:$A$355,0)),0))</f>
        <v/>
      </c>
      <c r="AC680" s="32">
        <f>IF(Settings!$B$4="Yes",$I680*$AB680,$I680)</f>
        <v/>
      </c>
      <c r="AD680" s="22">
        <f>IF($C680="","",IFERROR(IF(INDEX(Deals!$AE$2:$AE$355,MATCH($C680,Deals!$A$2:$A$355,0))=0,"",INDEX(Deals!$AE$2:$AE$355,MATCH($C680,Deals!$A$2:$A$355,0))),""))</f>
        <v/>
      </c>
      <c r="AE680" s="22">
        <f>IF($C680="","",IFERROR(IF(INDEX(Deals!$AF$2:$AF$355,MATCH($C680,Deals!$A$2:$A$355,0))=0,"",INDEX(Deals!$AF$2:$AF$355,MATCH($C680,Deals!$A$2:$A$355,0))),""))</f>
        <v/>
      </c>
      <c r="AF680" s="35">
        <f>IF($AD680="",DATE(1900,1,1),$AD680)</f>
        <v/>
      </c>
      <c r="AG680" s="35">
        <f>IF($AE680="",DATE(2100,12,31),$AE680)</f>
        <v/>
      </c>
      <c r="AH680" s="22">
        <f>IF($C680="","",IFERROR(IF(INDEX(Deals!$AG$2:$AG$355,MATCH($C680,Deals!$A$2:$A$355,0))=0,"",INDEX(Deals!$AG$2:$AG$355,MATCH($C680,Deals!$A$2:$A$355,0))),""))</f>
        <v/>
      </c>
      <c r="AI680" s="35">
        <f>IF(OR($AH680&lt;&gt;"",AND($AO680&gt;0,$AD680&lt;&gt;"",$AE680&lt;&gt;"")),$AF680,DATE(1900,1,1))</f>
        <v/>
      </c>
      <c r="AJ680" s="35">
        <f>IF($AH680&lt;&gt;"",$AH680,IF(AND($AO680&gt;0,$AD680&lt;&gt;"",$AE680&lt;&gt;""),$AG680,DATE(2100,12,31)))</f>
        <v/>
      </c>
      <c r="AK680" s="32">
        <f>IF($AH680="",$AC680,$AC680*$S680)</f>
        <v/>
      </c>
      <c r="AL680" s="35">
        <f>IF($AH680="",DATE(2100,12,31),$AH680+1)</f>
        <v/>
      </c>
      <c r="AM680" s="35">
        <f>IF($AH680="",DATE(1900,1,1),$AG680)</f>
        <v/>
      </c>
      <c r="AN680" s="32">
        <f>IF($AH680="",0,$AC680*$T680)</f>
        <v/>
      </c>
      <c r="AO680" s="46">
        <f>IF($C680="",0,IFERROR(INDEX(Deals!$BD$2:$BD$355,MATCH($C680,Deals!$A$2:$A$355,0)),0))</f>
        <v/>
      </c>
      <c r="AP680" s="18">
        <f>IF($AO680=0,0,IFERROR(INDEX(Deals!$BJ$2:$BP$355,MATCH($C680,Deals!$A$2:$A$355,0),MATCH($F680,Deals!$BJ$1:$BP$1,0))/COUNTIFS(Assignments!$C$2:$C$769,$C680,Assignments!$F$2:$F$769,$F680,Assignments!$G$2:$G$769,"Active"),0))</f>
        <v/>
      </c>
    </row>
    <row r="681">
      <c r="A681" s="28" t="inlineStr">
        <is>
          <t>Robbie</t>
        </is>
      </c>
      <c r="B681" s="16">
        <f>IF($A681="","",IFERROR(INDEX(Roster!$B$2:$B$40,MATCH($A681,Roster!$A$2:$A$40,0)),"?"))</f>
        <v/>
      </c>
      <c r="C681" s="28" t="inlineStr">
        <is>
          <t>Hamby_1</t>
        </is>
      </c>
      <c r="D681" s="16">
        <f>IF($C681="","",IFERROR(IF(INDEX(Deals!$C$2:$C$355,MATCH($C681,Deals!$A$2:$A$355,0))=0,"",INDEX(Deals!$C$2:$C$355,MATCH($C681,Deals!$A$2:$A$355,0))),"?"))</f>
        <v/>
      </c>
      <c r="E681" s="16">
        <f>IF($C681="","",IFERROR(INDEX(Deals!$F$2:$F$355,MATCH($C681,Deals!$A$2:$A$355,0)),"?"))</f>
        <v/>
      </c>
      <c r="F681" s="28" t="inlineStr">
        <is>
          <t>Renewable Specialist</t>
        </is>
      </c>
      <c r="G681" s="28" t="inlineStr">
        <is>
          <t>Active</t>
        </is>
      </c>
      <c r="H681" s="31" t="n"/>
      <c r="I681" s="32">
        <f>IF(OR($A681="",$G681&lt;&gt;"Active"),0,IF($H681&lt;&gt;"",$H681,IF($AO681&gt;0,$AP681,IF(AND($R681&lt;&gt;"",IFERROR(INDEX(Templates!$B$3:$H$10,MATCH($R681,Templates!$A$3:$A$10,0),MATCH($F681,Templates!$B$2:$H$2,0)),0)&gt;0),INDEX(Templates!$B$3:$H$10,MATCH($R681,Templates!$A$3:$A$10,0),MATCH($F681,Templates!$B$2:$H$2,0)),IFERROR(INDEX(Settings!$B$8:$B$14,MATCH($F681,Settings!$A$8:$A$14,0)),0)))))</f>
        <v/>
      </c>
      <c r="J681" s="21">
        <f>IF($C681="",0,IFERROR(INDEX(Deals!$H$2:$H$355,MATCH($C681,Deals!$A$2:$A$355,0)),0))</f>
        <v/>
      </c>
      <c r="K681" s="32">
        <f>IF(Settings!$B$4="Yes",$I681*$J681,$I681)</f>
        <v/>
      </c>
      <c r="L681" s="22">
        <f>IF($C681="","",IFERROR(IF(INDEX(Deals!$I$2:$I$355,MATCH($C681,Deals!$A$2:$A$355,0))=0,"",INDEX(Deals!$I$2:$I$355,MATCH($C681,Deals!$A$2:$A$355,0))),""))</f>
        <v/>
      </c>
      <c r="M681" s="22">
        <f>IF($C681="","",IFERROR(IF(INDEX(Deals!$J$2:$J$355,MATCH($C681,Deals!$A$2:$A$355,0))=0,"",INDEX(Deals!$J$2:$J$355,MATCH($C681,Deals!$A$2:$A$355,0))),""))</f>
        <v/>
      </c>
      <c r="N681" s="35">
        <f>IF($L681="",DATE(1900,1,1),$L681)</f>
        <v/>
      </c>
      <c r="O681" s="35">
        <f>IF($M681="",DATE(2100,12,31),$M681)</f>
        <v/>
      </c>
      <c r="P681" s="20" t="inlineStr"/>
      <c r="Q681" s="47" t="inlineStr"/>
      <c r="R681" s="16">
        <f>IF($C681="","",IFERROR(IF(INDEX(Deals!$U$2:$U$355,MATCH($C681,Deals!$A$2:$A$355,0))=0,"",INDEX(Deals!$U$2:$U$355,MATCH($C681,Deals!$A$2:$A$355,0))),""))</f>
        <v/>
      </c>
      <c r="S681" s="34">
        <f>IFERROR(IF($U681="",1,INDEX(Deals!$V$2:$V$355,MATCH($C681,Deals!$A$2:$A$355,0))),1)</f>
        <v/>
      </c>
      <c r="T681" s="34">
        <f>IFERROR(IF($U681="",1,INDEX(Deals!$W$2:$W$355,MATCH($C681,Deals!$A$2:$A$355,0))),1)</f>
        <v/>
      </c>
      <c r="U681" s="22">
        <f>IF($C681="","",IFERROR(IF(INDEX(Deals!$Y$2:$Y$355,MATCH($C681,Deals!$A$2:$A$355,0))=0,"",INDEX(Deals!$Y$2:$Y$355,MATCH($C681,Deals!$A$2:$A$355,0))),""))</f>
        <v/>
      </c>
      <c r="V681" s="35">
        <f>IF(OR($U681&lt;&gt;"",AND($AO681&gt;0,$L681&lt;&gt;"",$M681&lt;&gt;"")),$N681,DATE(1900,1,1))</f>
        <v/>
      </c>
      <c r="W681" s="35">
        <f>IF($U681&lt;&gt;"",$U681,IF(AND($AO681&gt;0,$L681&lt;&gt;"",$M681&lt;&gt;""),$O681,DATE(2100,12,31)))</f>
        <v/>
      </c>
      <c r="X681" s="32">
        <f>IF($U681="",$K681,$K681*$S681)</f>
        <v/>
      </c>
      <c r="Y681" s="35">
        <f>IF($U681="",DATE(2100,12,31),$U681+1)</f>
        <v/>
      </c>
      <c r="Z681" s="35">
        <f>IF($U681="",DATE(1900,1,1),$O681)</f>
        <v/>
      </c>
      <c r="AA681" s="32">
        <f>IF($U681="",0,$K681*$T681)</f>
        <v/>
      </c>
      <c r="AB681" s="21">
        <f>IF($C681="",0,IFERROR(INDEX(Deals!$AD$2:$AD$355,MATCH($C681,Deals!$A$2:$A$355,0)),0))</f>
        <v/>
      </c>
      <c r="AC681" s="32">
        <f>IF(Settings!$B$4="Yes",$I681*$AB681,$I681)</f>
        <v/>
      </c>
      <c r="AD681" s="22">
        <f>IF($C681="","",IFERROR(IF(INDEX(Deals!$AE$2:$AE$355,MATCH($C681,Deals!$A$2:$A$355,0))=0,"",INDEX(Deals!$AE$2:$AE$355,MATCH($C681,Deals!$A$2:$A$355,0))),""))</f>
        <v/>
      </c>
      <c r="AE681" s="22">
        <f>IF($C681="","",IFERROR(IF(INDEX(Deals!$AF$2:$AF$355,MATCH($C681,Deals!$A$2:$A$355,0))=0,"",INDEX(Deals!$AF$2:$AF$355,MATCH($C681,Deals!$A$2:$A$355,0))),""))</f>
        <v/>
      </c>
      <c r="AF681" s="35">
        <f>IF($AD681="",DATE(1900,1,1),$AD681)</f>
        <v/>
      </c>
      <c r="AG681" s="35">
        <f>IF($AE681="",DATE(2100,12,31),$AE681)</f>
        <v/>
      </c>
      <c r="AH681" s="22">
        <f>IF($C681="","",IFERROR(IF(INDEX(Deals!$AG$2:$AG$355,MATCH($C681,Deals!$A$2:$A$355,0))=0,"",INDEX(Deals!$AG$2:$AG$355,MATCH($C681,Deals!$A$2:$A$355,0))),""))</f>
        <v/>
      </c>
      <c r="AI681" s="35">
        <f>IF(OR($AH681&lt;&gt;"",AND($AO681&gt;0,$AD681&lt;&gt;"",$AE681&lt;&gt;"")),$AF681,DATE(1900,1,1))</f>
        <v/>
      </c>
      <c r="AJ681" s="35">
        <f>IF($AH681&lt;&gt;"",$AH681,IF(AND($AO681&gt;0,$AD681&lt;&gt;"",$AE681&lt;&gt;""),$AG681,DATE(2100,12,31)))</f>
        <v/>
      </c>
      <c r="AK681" s="32">
        <f>IF($AH681="",$AC681,$AC681*$S681)</f>
        <v/>
      </c>
      <c r="AL681" s="35">
        <f>IF($AH681="",DATE(2100,12,31),$AH681+1)</f>
        <v/>
      </c>
      <c r="AM681" s="35">
        <f>IF($AH681="",DATE(1900,1,1),$AG681)</f>
        <v/>
      </c>
      <c r="AN681" s="32">
        <f>IF($AH681="",0,$AC681*$T681)</f>
        <v/>
      </c>
      <c r="AO681" s="46">
        <f>IF($C681="",0,IFERROR(INDEX(Deals!$BD$2:$BD$355,MATCH($C681,Deals!$A$2:$A$355,0)),0))</f>
        <v/>
      </c>
      <c r="AP681" s="18">
        <f>IF($AO681=0,0,IFERROR(INDEX(Deals!$BJ$2:$BP$355,MATCH($C681,Deals!$A$2:$A$355,0),MATCH($F681,Deals!$BJ$1:$BP$1,0))/COUNTIFS(Assignments!$C$2:$C$769,$C681,Assignments!$F$2:$F$769,$F681,Assignments!$G$2:$G$769,"Active"),0))</f>
        <v/>
      </c>
    </row>
    <row r="682">
      <c r="A682" s="28" t="inlineStr">
        <is>
          <t>Robbie</t>
        </is>
      </c>
      <c r="B682" s="16">
        <f>IF($A682="","",IFERROR(INDEX(Roster!$B$2:$B$40,MATCH($A682,Roster!$A$2:$A$40,0)),"?"))</f>
        <v/>
      </c>
      <c r="C682" s="28" t="inlineStr">
        <is>
          <t>MeadowBrook_1</t>
        </is>
      </c>
      <c r="D682" s="16">
        <f>IF($C682="","",IFERROR(IF(INDEX(Deals!$C$2:$C$355,MATCH($C682,Deals!$A$2:$A$355,0))=0,"",INDEX(Deals!$C$2:$C$355,MATCH($C682,Deals!$A$2:$A$355,0))),"?"))</f>
        <v/>
      </c>
      <c r="E682" s="16">
        <f>IF($C682="","",IFERROR(INDEX(Deals!$F$2:$F$355,MATCH($C682,Deals!$A$2:$A$355,0)),"?"))</f>
        <v/>
      </c>
      <c r="F682" s="28" t="inlineStr">
        <is>
          <t>Renewable Specialist</t>
        </is>
      </c>
      <c r="G682" s="28" t="inlineStr">
        <is>
          <t>Active</t>
        </is>
      </c>
      <c r="H682" s="31" t="n"/>
      <c r="I682" s="32">
        <f>IF(OR($A682="",$G682&lt;&gt;"Active"),0,IF($H682&lt;&gt;"",$H682,IF($AO682&gt;0,$AP682,IF(AND($R682&lt;&gt;"",IFERROR(INDEX(Templates!$B$3:$H$10,MATCH($R682,Templates!$A$3:$A$10,0),MATCH($F682,Templates!$B$2:$H$2,0)),0)&gt;0),INDEX(Templates!$B$3:$H$10,MATCH($R682,Templates!$A$3:$A$10,0),MATCH($F682,Templates!$B$2:$H$2,0)),IFERROR(INDEX(Settings!$B$8:$B$14,MATCH($F682,Settings!$A$8:$A$14,0)),0)))))</f>
        <v/>
      </c>
      <c r="J682" s="21">
        <f>IF($C682="",0,IFERROR(INDEX(Deals!$H$2:$H$355,MATCH($C682,Deals!$A$2:$A$355,0)),0))</f>
        <v/>
      </c>
      <c r="K682" s="32">
        <f>IF(Settings!$B$4="Yes",$I682*$J682,$I682)</f>
        <v/>
      </c>
      <c r="L682" s="22">
        <f>IF($C682="","",IFERROR(IF(INDEX(Deals!$I$2:$I$355,MATCH($C682,Deals!$A$2:$A$355,0))=0,"",INDEX(Deals!$I$2:$I$355,MATCH($C682,Deals!$A$2:$A$355,0))),""))</f>
        <v/>
      </c>
      <c r="M682" s="22">
        <f>IF($C682="","",IFERROR(IF(INDEX(Deals!$J$2:$J$355,MATCH($C682,Deals!$A$2:$A$355,0))=0,"",INDEX(Deals!$J$2:$J$355,MATCH($C682,Deals!$A$2:$A$355,0))),""))</f>
        <v/>
      </c>
      <c r="N682" s="35">
        <f>IF($L682="",DATE(1900,1,1),$L682)</f>
        <v/>
      </c>
      <c r="O682" s="35">
        <f>IF($M682="",DATE(2100,12,31),$M682)</f>
        <v/>
      </c>
      <c r="P682" s="20" t="inlineStr"/>
      <c r="Q682" s="47" t="inlineStr"/>
      <c r="R682" s="16">
        <f>IF($C682="","",IFERROR(IF(INDEX(Deals!$U$2:$U$355,MATCH($C682,Deals!$A$2:$A$355,0))=0,"",INDEX(Deals!$U$2:$U$355,MATCH($C682,Deals!$A$2:$A$355,0))),""))</f>
        <v/>
      </c>
      <c r="S682" s="34">
        <f>IFERROR(IF($U682="",1,INDEX(Deals!$V$2:$V$355,MATCH($C682,Deals!$A$2:$A$355,0))),1)</f>
        <v/>
      </c>
      <c r="T682" s="34">
        <f>IFERROR(IF($U682="",1,INDEX(Deals!$W$2:$W$355,MATCH($C682,Deals!$A$2:$A$355,0))),1)</f>
        <v/>
      </c>
      <c r="U682" s="22">
        <f>IF($C682="","",IFERROR(IF(INDEX(Deals!$Y$2:$Y$355,MATCH($C682,Deals!$A$2:$A$355,0))=0,"",INDEX(Deals!$Y$2:$Y$355,MATCH($C682,Deals!$A$2:$A$355,0))),""))</f>
        <v/>
      </c>
      <c r="V682" s="35">
        <f>IF(OR($U682&lt;&gt;"",AND($AO682&gt;0,$L682&lt;&gt;"",$M682&lt;&gt;"")),$N682,DATE(1900,1,1))</f>
        <v/>
      </c>
      <c r="W682" s="35">
        <f>IF($U682&lt;&gt;"",$U682,IF(AND($AO682&gt;0,$L682&lt;&gt;"",$M682&lt;&gt;""),$O682,DATE(2100,12,31)))</f>
        <v/>
      </c>
      <c r="X682" s="32">
        <f>IF($U682="",$K682,$K682*$S682)</f>
        <v/>
      </c>
      <c r="Y682" s="35">
        <f>IF($U682="",DATE(2100,12,31),$U682+1)</f>
        <v/>
      </c>
      <c r="Z682" s="35">
        <f>IF($U682="",DATE(1900,1,1),$O682)</f>
        <v/>
      </c>
      <c r="AA682" s="32">
        <f>IF($U682="",0,$K682*$T682)</f>
        <v/>
      </c>
      <c r="AB682" s="21">
        <f>IF($C682="",0,IFERROR(INDEX(Deals!$AD$2:$AD$355,MATCH($C682,Deals!$A$2:$A$355,0)),0))</f>
        <v/>
      </c>
      <c r="AC682" s="32">
        <f>IF(Settings!$B$4="Yes",$I682*$AB682,$I682)</f>
        <v/>
      </c>
      <c r="AD682" s="22">
        <f>IF($C682="","",IFERROR(IF(INDEX(Deals!$AE$2:$AE$355,MATCH($C682,Deals!$A$2:$A$355,0))=0,"",INDEX(Deals!$AE$2:$AE$355,MATCH($C682,Deals!$A$2:$A$355,0))),""))</f>
        <v/>
      </c>
      <c r="AE682" s="22">
        <f>IF($C682="","",IFERROR(IF(INDEX(Deals!$AF$2:$AF$355,MATCH($C682,Deals!$A$2:$A$355,0))=0,"",INDEX(Deals!$AF$2:$AF$355,MATCH($C682,Deals!$A$2:$A$355,0))),""))</f>
        <v/>
      </c>
      <c r="AF682" s="35">
        <f>IF($AD682="",DATE(1900,1,1),$AD682)</f>
        <v/>
      </c>
      <c r="AG682" s="35">
        <f>IF($AE682="",DATE(2100,12,31),$AE682)</f>
        <v/>
      </c>
      <c r="AH682" s="22">
        <f>IF($C682="","",IFERROR(IF(INDEX(Deals!$AG$2:$AG$355,MATCH($C682,Deals!$A$2:$A$355,0))=0,"",INDEX(Deals!$AG$2:$AG$355,MATCH($C682,Deals!$A$2:$A$355,0))),""))</f>
        <v/>
      </c>
      <c r="AI682" s="35">
        <f>IF(OR($AH682&lt;&gt;"",AND($AO682&gt;0,$AD682&lt;&gt;"",$AE682&lt;&gt;"")),$AF682,DATE(1900,1,1))</f>
        <v/>
      </c>
      <c r="AJ682" s="35">
        <f>IF($AH682&lt;&gt;"",$AH682,IF(AND($AO682&gt;0,$AD682&lt;&gt;"",$AE682&lt;&gt;""),$AG682,DATE(2100,12,31)))</f>
        <v/>
      </c>
      <c r="AK682" s="32">
        <f>IF($AH682="",$AC682,$AC682*$S682)</f>
        <v/>
      </c>
      <c r="AL682" s="35">
        <f>IF($AH682="",DATE(2100,12,31),$AH682+1)</f>
        <v/>
      </c>
      <c r="AM682" s="35">
        <f>IF($AH682="",DATE(1900,1,1),$AG682)</f>
        <v/>
      </c>
      <c r="AN682" s="32">
        <f>IF($AH682="",0,$AC682*$T682)</f>
        <v/>
      </c>
      <c r="AO682" s="46">
        <f>IF($C682="",0,IFERROR(INDEX(Deals!$BD$2:$BD$355,MATCH($C682,Deals!$A$2:$A$355,0)),0))</f>
        <v/>
      </c>
      <c r="AP682" s="18">
        <f>IF($AO682=0,0,IFERROR(INDEX(Deals!$BJ$2:$BP$355,MATCH($C682,Deals!$A$2:$A$355,0),MATCH($F682,Deals!$BJ$1:$BP$1,0))/COUNTIFS(Assignments!$C$2:$C$769,$C682,Assignments!$F$2:$F$769,$F682,Assignments!$G$2:$G$769,"Active"),0))</f>
        <v/>
      </c>
    </row>
    <row r="683">
      <c r="A683" s="28" t="inlineStr">
        <is>
          <t>Robbie</t>
        </is>
      </c>
      <c r="B683" s="16">
        <f>IF($A683="","",IFERROR(INDEX(Roster!$B$2:$B$40,MATCH($A683,Roster!$A$2:$A$40,0)),"?"))</f>
        <v/>
      </c>
      <c r="C683" s="28" t="inlineStr">
        <is>
          <t>Neutrino_1</t>
        </is>
      </c>
      <c r="D683" s="16">
        <f>IF($C683="","",IFERROR(IF(INDEX(Deals!$C$2:$C$355,MATCH($C683,Deals!$A$2:$A$355,0))=0,"",INDEX(Deals!$C$2:$C$355,MATCH($C683,Deals!$A$2:$A$355,0))),"?"))</f>
        <v/>
      </c>
      <c r="E683" s="16">
        <f>IF($C683="","",IFERROR(INDEX(Deals!$F$2:$F$355,MATCH($C683,Deals!$A$2:$A$355,0)),"?"))</f>
        <v/>
      </c>
      <c r="F683" s="28" t="inlineStr">
        <is>
          <t>Renewable Specialist</t>
        </is>
      </c>
      <c r="G683" s="28" t="inlineStr">
        <is>
          <t>Active</t>
        </is>
      </c>
      <c r="H683" s="31" t="n"/>
      <c r="I683" s="32">
        <f>IF(OR($A683="",$G683&lt;&gt;"Active"),0,IF($H683&lt;&gt;"",$H683,IF($AO683&gt;0,$AP683,IF(AND($R683&lt;&gt;"",IFERROR(INDEX(Templates!$B$3:$H$10,MATCH($R683,Templates!$A$3:$A$10,0),MATCH($F683,Templates!$B$2:$H$2,0)),0)&gt;0),INDEX(Templates!$B$3:$H$10,MATCH($R683,Templates!$A$3:$A$10,0),MATCH($F683,Templates!$B$2:$H$2,0)),IFERROR(INDEX(Settings!$B$8:$B$14,MATCH($F683,Settings!$A$8:$A$14,0)),0)))))</f>
        <v/>
      </c>
      <c r="J683" s="21">
        <f>IF($C683="",0,IFERROR(INDEX(Deals!$H$2:$H$355,MATCH($C683,Deals!$A$2:$A$355,0)),0))</f>
        <v/>
      </c>
      <c r="K683" s="32">
        <f>IF(Settings!$B$4="Yes",$I683*$J683,$I683)</f>
        <v/>
      </c>
      <c r="L683" s="22">
        <f>IF($C683="","",IFERROR(IF(INDEX(Deals!$I$2:$I$355,MATCH($C683,Deals!$A$2:$A$355,0))=0,"",INDEX(Deals!$I$2:$I$355,MATCH($C683,Deals!$A$2:$A$355,0))),""))</f>
        <v/>
      </c>
      <c r="M683" s="22">
        <f>IF($C683="","",IFERROR(IF(INDEX(Deals!$J$2:$J$355,MATCH($C683,Deals!$A$2:$A$355,0))=0,"",INDEX(Deals!$J$2:$J$355,MATCH($C683,Deals!$A$2:$A$355,0))),""))</f>
        <v/>
      </c>
      <c r="N683" s="35">
        <f>IF($L683="",DATE(1900,1,1),$L683)</f>
        <v/>
      </c>
      <c r="O683" s="35">
        <f>IF($M683="",DATE(2100,12,31),$M683)</f>
        <v/>
      </c>
      <c r="P683" s="20" t="inlineStr"/>
      <c r="Q683" s="47" t="inlineStr"/>
      <c r="R683" s="16">
        <f>IF($C683="","",IFERROR(IF(INDEX(Deals!$U$2:$U$355,MATCH($C683,Deals!$A$2:$A$355,0))=0,"",INDEX(Deals!$U$2:$U$355,MATCH($C683,Deals!$A$2:$A$355,0))),""))</f>
        <v/>
      </c>
      <c r="S683" s="34">
        <f>IFERROR(IF($U683="",1,INDEX(Deals!$V$2:$V$355,MATCH($C683,Deals!$A$2:$A$355,0))),1)</f>
        <v/>
      </c>
      <c r="T683" s="34">
        <f>IFERROR(IF($U683="",1,INDEX(Deals!$W$2:$W$355,MATCH($C683,Deals!$A$2:$A$355,0))),1)</f>
        <v/>
      </c>
      <c r="U683" s="22">
        <f>IF($C683="","",IFERROR(IF(INDEX(Deals!$Y$2:$Y$355,MATCH($C683,Deals!$A$2:$A$355,0))=0,"",INDEX(Deals!$Y$2:$Y$355,MATCH($C683,Deals!$A$2:$A$355,0))),""))</f>
        <v/>
      </c>
      <c r="V683" s="35">
        <f>IF(OR($U683&lt;&gt;"",AND($AO683&gt;0,$L683&lt;&gt;"",$M683&lt;&gt;"")),$N683,DATE(1900,1,1))</f>
        <v/>
      </c>
      <c r="W683" s="35">
        <f>IF($U683&lt;&gt;"",$U683,IF(AND($AO683&gt;0,$L683&lt;&gt;"",$M683&lt;&gt;""),$O683,DATE(2100,12,31)))</f>
        <v/>
      </c>
      <c r="X683" s="32">
        <f>IF($U683="",$K683,$K683*$S683)</f>
        <v/>
      </c>
      <c r="Y683" s="35">
        <f>IF($U683="",DATE(2100,12,31),$U683+1)</f>
        <v/>
      </c>
      <c r="Z683" s="35">
        <f>IF($U683="",DATE(1900,1,1),$O683)</f>
        <v/>
      </c>
      <c r="AA683" s="32">
        <f>IF($U683="",0,$K683*$T683)</f>
        <v/>
      </c>
      <c r="AB683" s="21">
        <f>IF($C683="",0,IFERROR(INDEX(Deals!$AD$2:$AD$355,MATCH($C683,Deals!$A$2:$A$355,0)),0))</f>
        <v/>
      </c>
      <c r="AC683" s="32">
        <f>IF(Settings!$B$4="Yes",$I683*$AB683,$I683)</f>
        <v/>
      </c>
      <c r="AD683" s="22">
        <f>IF($C683="","",IFERROR(IF(INDEX(Deals!$AE$2:$AE$355,MATCH($C683,Deals!$A$2:$A$355,0))=0,"",INDEX(Deals!$AE$2:$AE$355,MATCH($C683,Deals!$A$2:$A$355,0))),""))</f>
        <v/>
      </c>
      <c r="AE683" s="22">
        <f>IF($C683="","",IFERROR(IF(INDEX(Deals!$AF$2:$AF$355,MATCH($C683,Deals!$A$2:$A$355,0))=0,"",INDEX(Deals!$AF$2:$AF$355,MATCH($C683,Deals!$A$2:$A$355,0))),""))</f>
        <v/>
      </c>
      <c r="AF683" s="35">
        <f>IF($AD683="",DATE(1900,1,1),$AD683)</f>
        <v/>
      </c>
      <c r="AG683" s="35">
        <f>IF($AE683="",DATE(2100,12,31),$AE683)</f>
        <v/>
      </c>
      <c r="AH683" s="22">
        <f>IF($C683="","",IFERROR(IF(INDEX(Deals!$AG$2:$AG$355,MATCH($C683,Deals!$A$2:$A$355,0))=0,"",INDEX(Deals!$AG$2:$AG$355,MATCH($C683,Deals!$A$2:$A$355,0))),""))</f>
        <v/>
      </c>
      <c r="AI683" s="35">
        <f>IF(OR($AH683&lt;&gt;"",AND($AO683&gt;0,$AD683&lt;&gt;"",$AE683&lt;&gt;"")),$AF683,DATE(1900,1,1))</f>
        <v/>
      </c>
      <c r="AJ683" s="35">
        <f>IF($AH683&lt;&gt;"",$AH683,IF(AND($AO683&gt;0,$AD683&lt;&gt;"",$AE683&lt;&gt;""),$AG683,DATE(2100,12,31)))</f>
        <v/>
      </c>
      <c r="AK683" s="32">
        <f>IF($AH683="",$AC683,$AC683*$S683)</f>
        <v/>
      </c>
      <c r="AL683" s="35">
        <f>IF($AH683="",DATE(2100,12,31),$AH683+1)</f>
        <v/>
      </c>
      <c r="AM683" s="35">
        <f>IF($AH683="",DATE(1900,1,1),$AG683)</f>
        <v/>
      </c>
      <c r="AN683" s="32">
        <f>IF($AH683="",0,$AC683*$T683)</f>
        <v/>
      </c>
      <c r="AO683" s="46">
        <f>IF($C683="",0,IFERROR(INDEX(Deals!$BD$2:$BD$355,MATCH($C683,Deals!$A$2:$A$355,0)),0))</f>
        <v/>
      </c>
      <c r="AP683" s="18">
        <f>IF($AO683=0,0,IFERROR(INDEX(Deals!$BJ$2:$BP$355,MATCH($C683,Deals!$A$2:$A$355,0),MATCH($F683,Deals!$BJ$1:$BP$1,0))/COUNTIFS(Assignments!$C$2:$C$769,$C683,Assignments!$F$2:$F$769,$F683,Assignments!$G$2:$G$769,"Active"),0))</f>
        <v/>
      </c>
    </row>
    <row r="684">
      <c r="A684" s="28" t="inlineStr">
        <is>
          <t>Robbie</t>
        </is>
      </c>
      <c r="B684" s="16">
        <f>IF($A684="","",IFERROR(INDEX(Roster!$B$2:$B$40,MATCH($A684,Roster!$A$2:$A$40,0)),"?"))</f>
        <v/>
      </c>
      <c r="C684" s="28" t="inlineStr">
        <is>
          <t>Papago_1</t>
        </is>
      </c>
      <c r="D684" s="16">
        <f>IF($C684="","",IFERROR(IF(INDEX(Deals!$C$2:$C$355,MATCH($C684,Deals!$A$2:$A$355,0))=0,"",INDEX(Deals!$C$2:$C$355,MATCH($C684,Deals!$A$2:$A$355,0))),"?"))</f>
        <v/>
      </c>
      <c r="E684" s="16">
        <f>IF($C684="","",IFERROR(INDEX(Deals!$F$2:$F$355,MATCH($C684,Deals!$A$2:$A$355,0)),"?"))</f>
        <v/>
      </c>
      <c r="F684" s="28" t="inlineStr">
        <is>
          <t>Renewable Specialist</t>
        </is>
      </c>
      <c r="G684" s="28" t="inlineStr">
        <is>
          <t>Active</t>
        </is>
      </c>
      <c r="H684" s="31" t="n"/>
      <c r="I684" s="32">
        <f>IF(OR($A684="",$G684&lt;&gt;"Active"),0,IF($H684&lt;&gt;"",$H684,IF($AO684&gt;0,$AP684,IF(AND($R684&lt;&gt;"",IFERROR(INDEX(Templates!$B$3:$H$10,MATCH($R684,Templates!$A$3:$A$10,0),MATCH($F684,Templates!$B$2:$H$2,0)),0)&gt;0),INDEX(Templates!$B$3:$H$10,MATCH($R684,Templates!$A$3:$A$10,0),MATCH($F684,Templates!$B$2:$H$2,0)),IFERROR(INDEX(Settings!$B$8:$B$14,MATCH($F684,Settings!$A$8:$A$14,0)),0)))))</f>
        <v/>
      </c>
      <c r="J684" s="21">
        <f>IF($C684="",0,IFERROR(INDEX(Deals!$H$2:$H$355,MATCH($C684,Deals!$A$2:$A$355,0)),0))</f>
        <v/>
      </c>
      <c r="K684" s="32">
        <f>IF(Settings!$B$4="Yes",$I684*$J684,$I684)</f>
        <v/>
      </c>
      <c r="L684" s="22">
        <f>IF($C684="","",IFERROR(IF(INDEX(Deals!$I$2:$I$355,MATCH($C684,Deals!$A$2:$A$355,0))=0,"",INDEX(Deals!$I$2:$I$355,MATCH($C684,Deals!$A$2:$A$355,0))),""))</f>
        <v/>
      </c>
      <c r="M684" s="22">
        <f>IF($C684="","",IFERROR(IF(INDEX(Deals!$J$2:$J$355,MATCH($C684,Deals!$A$2:$A$355,0))=0,"",INDEX(Deals!$J$2:$J$355,MATCH($C684,Deals!$A$2:$A$355,0))),""))</f>
        <v/>
      </c>
      <c r="N684" s="35">
        <f>IF($L684="",DATE(1900,1,1),$L684)</f>
        <v/>
      </c>
      <c r="O684" s="35">
        <f>IF($M684="",DATE(2100,12,31),$M684)</f>
        <v/>
      </c>
      <c r="P684" s="20" t="inlineStr"/>
      <c r="Q684" s="47" t="inlineStr"/>
      <c r="R684" s="16">
        <f>IF($C684="","",IFERROR(IF(INDEX(Deals!$U$2:$U$355,MATCH($C684,Deals!$A$2:$A$355,0))=0,"",INDEX(Deals!$U$2:$U$355,MATCH($C684,Deals!$A$2:$A$355,0))),""))</f>
        <v/>
      </c>
      <c r="S684" s="34">
        <f>IFERROR(IF($U684="",1,INDEX(Deals!$V$2:$V$355,MATCH($C684,Deals!$A$2:$A$355,0))),1)</f>
        <v/>
      </c>
      <c r="T684" s="34">
        <f>IFERROR(IF($U684="",1,INDEX(Deals!$W$2:$W$355,MATCH($C684,Deals!$A$2:$A$355,0))),1)</f>
        <v/>
      </c>
      <c r="U684" s="22">
        <f>IF($C684="","",IFERROR(IF(INDEX(Deals!$Y$2:$Y$355,MATCH($C684,Deals!$A$2:$A$355,0))=0,"",INDEX(Deals!$Y$2:$Y$355,MATCH($C684,Deals!$A$2:$A$355,0))),""))</f>
        <v/>
      </c>
      <c r="V684" s="35">
        <f>IF(OR($U684&lt;&gt;"",AND($AO684&gt;0,$L684&lt;&gt;"",$M684&lt;&gt;"")),$N684,DATE(1900,1,1))</f>
        <v/>
      </c>
      <c r="W684" s="35">
        <f>IF($U684&lt;&gt;"",$U684,IF(AND($AO684&gt;0,$L684&lt;&gt;"",$M684&lt;&gt;""),$O684,DATE(2100,12,31)))</f>
        <v/>
      </c>
      <c r="X684" s="32">
        <f>IF($U684="",$K684,$K684*$S684)</f>
        <v/>
      </c>
      <c r="Y684" s="35">
        <f>IF($U684="",DATE(2100,12,31),$U684+1)</f>
        <v/>
      </c>
      <c r="Z684" s="35">
        <f>IF($U684="",DATE(1900,1,1),$O684)</f>
        <v/>
      </c>
      <c r="AA684" s="32">
        <f>IF($U684="",0,$K684*$T684)</f>
        <v/>
      </c>
      <c r="AB684" s="21">
        <f>IF($C684="",0,IFERROR(INDEX(Deals!$AD$2:$AD$355,MATCH($C684,Deals!$A$2:$A$355,0)),0))</f>
        <v/>
      </c>
      <c r="AC684" s="32">
        <f>IF(Settings!$B$4="Yes",$I684*$AB684,$I684)</f>
        <v/>
      </c>
      <c r="AD684" s="22">
        <f>IF($C684="","",IFERROR(IF(INDEX(Deals!$AE$2:$AE$355,MATCH($C684,Deals!$A$2:$A$355,0))=0,"",INDEX(Deals!$AE$2:$AE$355,MATCH($C684,Deals!$A$2:$A$355,0))),""))</f>
        <v/>
      </c>
      <c r="AE684" s="22">
        <f>IF($C684="","",IFERROR(IF(INDEX(Deals!$AF$2:$AF$355,MATCH($C684,Deals!$A$2:$A$355,0))=0,"",INDEX(Deals!$AF$2:$AF$355,MATCH($C684,Deals!$A$2:$A$355,0))),""))</f>
        <v/>
      </c>
      <c r="AF684" s="35">
        <f>IF($AD684="",DATE(1900,1,1),$AD684)</f>
        <v/>
      </c>
      <c r="AG684" s="35">
        <f>IF($AE684="",DATE(2100,12,31),$AE684)</f>
        <v/>
      </c>
      <c r="AH684" s="22">
        <f>IF($C684="","",IFERROR(IF(INDEX(Deals!$AG$2:$AG$355,MATCH($C684,Deals!$A$2:$A$355,0))=0,"",INDEX(Deals!$AG$2:$AG$355,MATCH($C684,Deals!$A$2:$A$355,0))),""))</f>
        <v/>
      </c>
      <c r="AI684" s="35">
        <f>IF(OR($AH684&lt;&gt;"",AND($AO684&gt;0,$AD684&lt;&gt;"",$AE684&lt;&gt;"")),$AF684,DATE(1900,1,1))</f>
        <v/>
      </c>
      <c r="AJ684" s="35">
        <f>IF($AH684&lt;&gt;"",$AH684,IF(AND($AO684&gt;0,$AD684&lt;&gt;"",$AE684&lt;&gt;""),$AG684,DATE(2100,12,31)))</f>
        <v/>
      </c>
      <c r="AK684" s="32">
        <f>IF($AH684="",$AC684,$AC684*$S684)</f>
        <v/>
      </c>
      <c r="AL684" s="35">
        <f>IF($AH684="",DATE(2100,12,31),$AH684+1)</f>
        <v/>
      </c>
      <c r="AM684" s="35">
        <f>IF($AH684="",DATE(1900,1,1),$AG684)</f>
        <v/>
      </c>
      <c r="AN684" s="32">
        <f>IF($AH684="",0,$AC684*$T684)</f>
        <v/>
      </c>
      <c r="AO684" s="46">
        <f>IF($C684="",0,IFERROR(INDEX(Deals!$BD$2:$BD$355,MATCH($C684,Deals!$A$2:$A$355,0)),0))</f>
        <v/>
      </c>
      <c r="AP684" s="18">
        <f>IF($AO684=0,0,IFERROR(INDEX(Deals!$BJ$2:$BP$355,MATCH($C684,Deals!$A$2:$A$355,0),MATCH($F684,Deals!$BJ$1:$BP$1,0))/COUNTIFS(Assignments!$C$2:$C$769,$C684,Assignments!$F$2:$F$769,$F684,Assignments!$G$2:$G$769,"Active"),0))</f>
        <v/>
      </c>
    </row>
    <row r="685">
      <c r="A685" s="28" t="inlineStr">
        <is>
          <t>Robbie</t>
        </is>
      </c>
      <c r="B685" s="16">
        <f>IF($A685="","",IFERROR(INDEX(Roster!$B$2:$B$40,MATCH($A685,Roster!$A$2:$A$40,0)),"?"))</f>
        <v/>
      </c>
      <c r="C685" s="28" t="inlineStr">
        <is>
          <t>Tax_7</t>
        </is>
      </c>
      <c r="D685" s="16">
        <f>IF($C685="","",IFERROR(IF(INDEX(Deals!$C$2:$C$355,MATCH($C685,Deals!$A$2:$A$355,0))=0,"",INDEX(Deals!$C$2:$C$355,MATCH($C685,Deals!$A$2:$A$355,0))),"?"))</f>
        <v/>
      </c>
      <c r="E685" s="16">
        <f>IF($C685="","",IFERROR(INDEX(Deals!$F$2:$F$355,MATCH($C685,Deals!$A$2:$A$355,0)),"?"))</f>
        <v/>
      </c>
      <c r="F685" s="28" t="inlineStr">
        <is>
          <t>Renewable Specialist</t>
        </is>
      </c>
      <c r="G685" s="28" t="inlineStr">
        <is>
          <t>Active</t>
        </is>
      </c>
      <c r="H685" s="31" t="n"/>
      <c r="I685" s="32">
        <f>IF(OR($A685="",$G685&lt;&gt;"Active"),0,IF($H685&lt;&gt;"",$H685,IF($AO685&gt;0,$AP685,IF(AND($R685&lt;&gt;"",IFERROR(INDEX(Templates!$B$3:$H$10,MATCH($R685,Templates!$A$3:$A$10,0),MATCH($F685,Templates!$B$2:$H$2,0)),0)&gt;0),INDEX(Templates!$B$3:$H$10,MATCH($R685,Templates!$A$3:$A$10,0),MATCH($F685,Templates!$B$2:$H$2,0)),IFERROR(INDEX(Settings!$B$8:$B$14,MATCH($F685,Settings!$A$8:$A$14,0)),0)))))</f>
        <v/>
      </c>
      <c r="J685" s="21">
        <f>IF($C685="",0,IFERROR(INDEX(Deals!$H$2:$H$355,MATCH($C685,Deals!$A$2:$A$355,0)),0))</f>
        <v/>
      </c>
      <c r="K685" s="32">
        <f>IF(Settings!$B$4="Yes",$I685*$J685,$I685)</f>
        <v/>
      </c>
      <c r="L685" s="22">
        <f>IF($C685="","",IFERROR(IF(INDEX(Deals!$I$2:$I$355,MATCH($C685,Deals!$A$2:$A$355,0))=0,"",INDEX(Deals!$I$2:$I$355,MATCH($C685,Deals!$A$2:$A$355,0))),""))</f>
        <v/>
      </c>
      <c r="M685" s="22">
        <f>IF($C685="","",IFERROR(IF(INDEX(Deals!$J$2:$J$355,MATCH($C685,Deals!$A$2:$A$355,0))=0,"",INDEX(Deals!$J$2:$J$355,MATCH($C685,Deals!$A$2:$A$355,0))),""))</f>
        <v/>
      </c>
      <c r="N685" s="35">
        <f>IF($L685="",DATE(1900,1,1),$L685)</f>
        <v/>
      </c>
      <c r="O685" s="35">
        <f>IF($M685="",DATE(2100,12,31),$M685)</f>
        <v/>
      </c>
      <c r="P685" s="20" t="inlineStr"/>
      <c r="Q685" s="47" t="inlineStr"/>
      <c r="R685" s="16">
        <f>IF($C685="","",IFERROR(IF(INDEX(Deals!$U$2:$U$355,MATCH($C685,Deals!$A$2:$A$355,0))=0,"",INDEX(Deals!$U$2:$U$355,MATCH($C685,Deals!$A$2:$A$355,0))),""))</f>
        <v/>
      </c>
      <c r="S685" s="34">
        <f>IFERROR(IF($U685="",1,INDEX(Deals!$V$2:$V$355,MATCH($C685,Deals!$A$2:$A$355,0))),1)</f>
        <v/>
      </c>
      <c r="T685" s="34">
        <f>IFERROR(IF($U685="",1,INDEX(Deals!$W$2:$W$355,MATCH($C685,Deals!$A$2:$A$355,0))),1)</f>
        <v/>
      </c>
      <c r="U685" s="22">
        <f>IF($C685="","",IFERROR(IF(INDEX(Deals!$Y$2:$Y$355,MATCH($C685,Deals!$A$2:$A$355,0))=0,"",INDEX(Deals!$Y$2:$Y$355,MATCH($C685,Deals!$A$2:$A$355,0))),""))</f>
        <v/>
      </c>
      <c r="V685" s="35">
        <f>IF(OR($U685&lt;&gt;"",AND($AO685&gt;0,$L685&lt;&gt;"",$M685&lt;&gt;"")),$N685,DATE(1900,1,1))</f>
        <v/>
      </c>
      <c r="W685" s="35">
        <f>IF($U685&lt;&gt;"",$U685,IF(AND($AO685&gt;0,$L685&lt;&gt;"",$M685&lt;&gt;""),$O685,DATE(2100,12,31)))</f>
        <v/>
      </c>
      <c r="X685" s="32">
        <f>IF($U685="",$K685,$K685*$S685)</f>
        <v/>
      </c>
      <c r="Y685" s="35">
        <f>IF($U685="",DATE(2100,12,31),$U685+1)</f>
        <v/>
      </c>
      <c r="Z685" s="35">
        <f>IF($U685="",DATE(1900,1,1),$O685)</f>
        <v/>
      </c>
      <c r="AA685" s="32">
        <f>IF($U685="",0,$K685*$T685)</f>
        <v/>
      </c>
      <c r="AB685" s="21">
        <f>IF($C685="",0,IFERROR(INDEX(Deals!$AD$2:$AD$355,MATCH($C685,Deals!$A$2:$A$355,0)),0))</f>
        <v/>
      </c>
      <c r="AC685" s="32">
        <f>IF(Settings!$B$4="Yes",$I685*$AB685,$I685)</f>
        <v/>
      </c>
      <c r="AD685" s="22">
        <f>IF($C685="","",IFERROR(IF(INDEX(Deals!$AE$2:$AE$355,MATCH($C685,Deals!$A$2:$A$355,0))=0,"",INDEX(Deals!$AE$2:$AE$355,MATCH($C685,Deals!$A$2:$A$355,0))),""))</f>
        <v/>
      </c>
      <c r="AE685" s="22">
        <f>IF($C685="","",IFERROR(IF(INDEX(Deals!$AF$2:$AF$355,MATCH($C685,Deals!$A$2:$A$355,0))=0,"",INDEX(Deals!$AF$2:$AF$355,MATCH($C685,Deals!$A$2:$A$355,0))),""))</f>
        <v/>
      </c>
      <c r="AF685" s="35">
        <f>IF($AD685="",DATE(1900,1,1),$AD685)</f>
        <v/>
      </c>
      <c r="AG685" s="35">
        <f>IF($AE685="",DATE(2100,12,31),$AE685)</f>
        <v/>
      </c>
      <c r="AH685" s="22">
        <f>IF($C685="","",IFERROR(IF(INDEX(Deals!$AG$2:$AG$355,MATCH($C685,Deals!$A$2:$A$355,0))=0,"",INDEX(Deals!$AG$2:$AG$355,MATCH($C685,Deals!$A$2:$A$355,0))),""))</f>
        <v/>
      </c>
      <c r="AI685" s="35">
        <f>IF(OR($AH685&lt;&gt;"",AND($AO685&gt;0,$AD685&lt;&gt;"",$AE685&lt;&gt;"")),$AF685,DATE(1900,1,1))</f>
        <v/>
      </c>
      <c r="AJ685" s="35">
        <f>IF($AH685&lt;&gt;"",$AH685,IF(AND($AO685&gt;0,$AD685&lt;&gt;"",$AE685&lt;&gt;""),$AG685,DATE(2100,12,31)))</f>
        <v/>
      </c>
      <c r="AK685" s="32">
        <f>IF($AH685="",$AC685,$AC685*$S685)</f>
        <v/>
      </c>
      <c r="AL685" s="35">
        <f>IF($AH685="",DATE(2100,12,31),$AH685+1)</f>
        <v/>
      </c>
      <c r="AM685" s="35">
        <f>IF($AH685="",DATE(1900,1,1),$AG685)</f>
        <v/>
      </c>
      <c r="AN685" s="32">
        <f>IF($AH685="",0,$AC685*$T685)</f>
        <v/>
      </c>
      <c r="AO685" s="46">
        <f>IF($C685="",0,IFERROR(INDEX(Deals!$BD$2:$BD$355,MATCH($C685,Deals!$A$2:$A$355,0)),0))</f>
        <v/>
      </c>
      <c r="AP685" s="18">
        <f>IF($AO685=0,0,IFERROR(INDEX(Deals!$BJ$2:$BP$355,MATCH($C685,Deals!$A$2:$A$355,0),MATCH($F685,Deals!$BJ$1:$BP$1,0))/COUNTIFS(Assignments!$C$2:$C$769,$C685,Assignments!$F$2:$F$769,$F685,Assignments!$G$2:$G$769,"Active"),0))</f>
        <v/>
      </c>
    </row>
    <row r="686">
      <c r="A686" s="28" t="inlineStr">
        <is>
          <t>Robbie</t>
        </is>
      </c>
      <c r="B686" s="16">
        <f>IF($A686="","",IFERROR(INDEX(Roster!$B$2:$B$40,MATCH($A686,Roster!$A$2:$A$40,0)),"?"))</f>
        <v/>
      </c>
      <c r="C686" s="28" t="inlineStr">
        <is>
          <t>Tax_8</t>
        </is>
      </c>
      <c r="D686" s="16">
        <f>IF($C686="","",IFERROR(IF(INDEX(Deals!$C$2:$C$355,MATCH($C686,Deals!$A$2:$A$355,0))=0,"",INDEX(Deals!$C$2:$C$355,MATCH($C686,Deals!$A$2:$A$355,0))),"?"))</f>
        <v/>
      </c>
      <c r="E686" s="16">
        <f>IF($C686="","",IFERROR(INDEX(Deals!$F$2:$F$355,MATCH($C686,Deals!$A$2:$A$355,0)),"?"))</f>
        <v/>
      </c>
      <c r="F686" s="28" t="inlineStr">
        <is>
          <t>Renewable Specialist</t>
        </is>
      </c>
      <c r="G686" s="28" t="inlineStr">
        <is>
          <t>Active</t>
        </is>
      </c>
      <c r="H686" s="31" t="n"/>
      <c r="I686" s="32">
        <f>IF(OR($A686="",$G686&lt;&gt;"Active"),0,IF($H686&lt;&gt;"",$H686,IF($AO686&gt;0,$AP686,IF(AND($R686&lt;&gt;"",IFERROR(INDEX(Templates!$B$3:$H$10,MATCH($R686,Templates!$A$3:$A$10,0),MATCH($F686,Templates!$B$2:$H$2,0)),0)&gt;0),INDEX(Templates!$B$3:$H$10,MATCH($R686,Templates!$A$3:$A$10,0),MATCH($F686,Templates!$B$2:$H$2,0)),IFERROR(INDEX(Settings!$B$8:$B$14,MATCH($F686,Settings!$A$8:$A$14,0)),0)))))</f>
        <v/>
      </c>
      <c r="J686" s="21">
        <f>IF($C686="",0,IFERROR(INDEX(Deals!$H$2:$H$355,MATCH($C686,Deals!$A$2:$A$355,0)),0))</f>
        <v/>
      </c>
      <c r="K686" s="32">
        <f>IF(Settings!$B$4="Yes",$I686*$J686,$I686)</f>
        <v/>
      </c>
      <c r="L686" s="22">
        <f>IF($C686="","",IFERROR(IF(INDEX(Deals!$I$2:$I$355,MATCH($C686,Deals!$A$2:$A$355,0))=0,"",INDEX(Deals!$I$2:$I$355,MATCH($C686,Deals!$A$2:$A$355,0))),""))</f>
        <v/>
      </c>
      <c r="M686" s="22">
        <f>IF($C686="","",IFERROR(IF(INDEX(Deals!$J$2:$J$355,MATCH($C686,Deals!$A$2:$A$355,0))=0,"",INDEX(Deals!$J$2:$J$355,MATCH($C686,Deals!$A$2:$A$355,0))),""))</f>
        <v/>
      </c>
      <c r="N686" s="35">
        <f>IF($L686="",DATE(1900,1,1),$L686)</f>
        <v/>
      </c>
      <c r="O686" s="35">
        <f>IF($M686="",DATE(2100,12,31),$M686)</f>
        <v/>
      </c>
      <c r="P686" s="20" t="inlineStr"/>
      <c r="Q686" s="47" t="inlineStr"/>
      <c r="R686" s="16">
        <f>IF($C686="","",IFERROR(IF(INDEX(Deals!$U$2:$U$355,MATCH($C686,Deals!$A$2:$A$355,0))=0,"",INDEX(Deals!$U$2:$U$355,MATCH($C686,Deals!$A$2:$A$355,0))),""))</f>
        <v/>
      </c>
      <c r="S686" s="34">
        <f>IFERROR(IF($U686="",1,INDEX(Deals!$V$2:$V$355,MATCH($C686,Deals!$A$2:$A$355,0))),1)</f>
        <v/>
      </c>
      <c r="T686" s="34">
        <f>IFERROR(IF($U686="",1,INDEX(Deals!$W$2:$W$355,MATCH($C686,Deals!$A$2:$A$355,0))),1)</f>
        <v/>
      </c>
      <c r="U686" s="22">
        <f>IF($C686="","",IFERROR(IF(INDEX(Deals!$Y$2:$Y$355,MATCH($C686,Deals!$A$2:$A$355,0))=0,"",INDEX(Deals!$Y$2:$Y$355,MATCH($C686,Deals!$A$2:$A$355,0))),""))</f>
        <v/>
      </c>
      <c r="V686" s="35">
        <f>IF(OR($U686&lt;&gt;"",AND($AO686&gt;0,$L686&lt;&gt;"",$M686&lt;&gt;"")),$N686,DATE(1900,1,1))</f>
        <v/>
      </c>
      <c r="W686" s="35">
        <f>IF($U686&lt;&gt;"",$U686,IF(AND($AO686&gt;0,$L686&lt;&gt;"",$M686&lt;&gt;""),$O686,DATE(2100,12,31)))</f>
        <v/>
      </c>
      <c r="X686" s="32">
        <f>IF($U686="",$K686,$K686*$S686)</f>
        <v/>
      </c>
      <c r="Y686" s="35">
        <f>IF($U686="",DATE(2100,12,31),$U686+1)</f>
        <v/>
      </c>
      <c r="Z686" s="35">
        <f>IF($U686="",DATE(1900,1,1),$O686)</f>
        <v/>
      </c>
      <c r="AA686" s="32">
        <f>IF($U686="",0,$K686*$T686)</f>
        <v/>
      </c>
      <c r="AB686" s="21">
        <f>IF($C686="",0,IFERROR(INDEX(Deals!$AD$2:$AD$355,MATCH($C686,Deals!$A$2:$A$355,0)),0))</f>
        <v/>
      </c>
      <c r="AC686" s="32">
        <f>IF(Settings!$B$4="Yes",$I686*$AB686,$I686)</f>
        <v/>
      </c>
      <c r="AD686" s="22">
        <f>IF($C686="","",IFERROR(IF(INDEX(Deals!$AE$2:$AE$355,MATCH($C686,Deals!$A$2:$A$355,0))=0,"",INDEX(Deals!$AE$2:$AE$355,MATCH($C686,Deals!$A$2:$A$355,0))),""))</f>
        <v/>
      </c>
      <c r="AE686" s="22">
        <f>IF($C686="","",IFERROR(IF(INDEX(Deals!$AF$2:$AF$355,MATCH($C686,Deals!$A$2:$A$355,0))=0,"",INDEX(Deals!$AF$2:$AF$355,MATCH($C686,Deals!$A$2:$A$355,0))),""))</f>
        <v/>
      </c>
      <c r="AF686" s="35">
        <f>IF($AD686="",DATE(1900,1,1),$AD686)</f>
        <v/>
      </c>
      <c r="AG686" s="35">
        <f>IF($AE686="",DATE(2100,12,31),$AE686)</f>
        <v/>
      </c>
      <c r="AH686" s="22">
        <f>IF($C686="","",IFERROR(IF(INDEX(Deals!$AG$2:$AG$355,MATCH($C686,Deals!$A$2:$A$355,0))=0,"",INDEX(Deals!$AG$2:$AG$355,MATCH($C686,Deals!$A$2:$A$355,0))),""))</f>
        <v/>
      </c>
      <c r="AI686" s="35">
        <f>IF(OR($AH686&lt;&gt;"",AND($AO686&gt;0,$AD686&lt;&gt;"",$AE686&lt;&gt;"")),$AF686,DATE(1900,1,1))</f>
        <v/>
      </c>
      <c r="AJ686" s="35">
        <f>IF($AH686&lt;&gt;"",$AH686,IF(AND($AO686&gt;0,$AD686&lt;&gt;"",$AE686&lt;&gt;""),$AG686,DATE(2100,12,31)))</f>
        <v/>
      </c>
      <c r="AK686" s="32">
        <f>IF($AH686="",$AC686,$AC686*$S686)</f>
        <v/>
      </c>
      <c r="AL686" s="35">
        <f>IF($AH686="",DATE(2100,12,31),$AH686+1)</f>
        <v/>
      </c>
      <c r="AM686" s="35">
        <f>IF($AH686="",DATE(1900,1,1),$AG686)</f>
        <v/>
      </c>
      <c r="AN686" s="32">
        <f>IF($AH686="",0,$AC686*$T686)</f>
        <v/>
      </c>
      <c r="AO686" s="46">
        <f>IF($C686="",0,IFERROR(INDEX(Deals!$BD$2:$BD$355,MATCH($C686,Deals!$A$2:$A$355,0)),0))</f>
        <v/>
      </c>
      <c r="AP686" s="18">
        <f>IF($AO686=0,0,IFERROR(INDEX(Deals!$BJ$2:$BP$355,MATCH($C686,Deals!$A$2:$A$355,0),MATCH($F686,Deals!$BJ$1:$BP$1,0))/COUNTIFS(Assignments!$C$2:$C$769,$C686,Assignments!$F$2:$F$769,$F686,Assignments!$G$2:$G$769,"Active"),0))</f>
        <v/>
      </c>
    </row>
    <row r="687">
      <c r="A687" s="28" t="inlineStr">
        <is>
          <t>Robbie</t>
        </is>
      </c>
      <c r="B687" s="16">
        <f>IF($A687="","",IFERROR(INDEX(Roster!$B$2:$B$40,MATCH($A687,Roster!$A$2:$A$40,0)),"?"))</f>
        <v/>
      </c>
      <c r="C687" s="28" t="inlineStr">
        <is>
          <t>Whale_3</t>
        </is>
      </c>
      <c r="D687" s="16">
        <f>IF($C687="","",IFERROR(IF(INDEX(Deals!$C$2:$C$355,MATCH($C687,Deals!$A$2:$A$355,0))=0,"",INDEX(Deals!$C$2:$C$355,MATCH($C687,Deals!$A$2:$A$355,0))),"?"))</f>
        <v/>
      </c>
      <c r="E687" s="16">
        <f>IF($C687="","",IFERROR(INDEX(Deals!$F$2:$F$355,MATCH($C687,Deals!$A$2:$A$355,0)),"?"))</f>
        <v/>
      </c>
      <c r="F687" s="28" t="inlineStr">
        <is>
          <t>Renewable Specialist</t>
        </is>
      </c>
      <c r="G687" s="28" t="inlineStr">
        <is>
          <t>Active</t>
        </is>
      </c>
      <c r="H687" s="31" t="n"/>
      <c r="I687" s="32">
        <f>IF(OR($A687="",$G687&lt;&gt;"Active"),0,IF($H687&lt;&gt;"",$H687,IF($AO687&gt;0,$AP687,IF(AND($R687&lt;&gt;"",IFERROR(INDEX(Templates!$B$3:$H$10,MATCH($R687,Templates!$A$3:$A$10,0),MATCH($F687,Templates!$B$2:$H$2,0)),0)&gt;0),INDEX(Templates!$B$3:$H$10,MATCH($R687,Templates!$A$3:$A$10,0),MATCH($F687,Templates!$B$2:$H$2,0)),IFERROR(INDEX(Settings!$B$8:$B$14,MATCH($F687,Settings!$A$8:$A$14,0)),0)))))</f>
        <v/>
      </c>
      <c r="J687" s="21">
        <f>IF($C687="",0,IFERROR(INDEX(Deals!$H$2:$H$355,MATCH($C687,Deals!$A$2:$A$355,0)),0))</f>
        <v/>
      </c>
      <c r="K687" s="32">
        <f>IF(Settings!$B$4="Yes",$I687*$J687,$I687)</f>
        <v/>
      </c>
      <c r="L687" s="22">
        <f>IF($C687="","",IFERROR(IF(INDEX(Deals!$I$2:$I$355,MATCH($C687,Deals!$A$2:$A$355,0))=0,"",INDEX(Deals!$I$2:$I$355,MATCH($C687,Deals!$A$2:$A$355,0))),""))</f>
        <v/>
      </c>
      <c r="M687" s="22">
        <f>IF($C687="","",IFERROR(IF(INDEX(Deals!$J$2:$J$355,MATCH($C687,Deals!$A$2:$A$355,0))=0,"",INDEX(Deals!$J$2:$J$355,MATCH($C687,Deals!$A$2:$A$355,0))),""))</f>
        <v/>
      </c>
      <c r="N687" s="35">
        <f>IF($L687="",DATE(1900,1,1),$L687)</f>
        <v/>
      </c>
      <c r="O687" s="35">
        <f>IF($M687="",DATE(2100,12,31),$M687)</f>
        <v/>
      </c>
      <c r="P687" s="20" t="inlineStr"/>
      <c r="Q687" s="47" t="inlineStr"/>
      <c r="R687" s="16">
        <f>IF($C687="","",IFERROR(IF(INDEX(Deals!$U$2:$U$355,MATCH($C687,Deals!$A$2:$A$355,0))=0,"",INDEX(Deals!$U$2:$U$355,MATCH($C687,Deals!$A$2:$A$355,0))),""))</f>
        <v/>
      </c>
      <c r="S687" s="34">
        <f>IFERROR(IF($U687="",1,INDEX(Deals!$V$2:$V$355,MATCH($C687,Deals!$A$2:$A$355,0))),1)</f>
        <v/>
      </c>
      <c r="T687" s="34">
        <f>IFERROR(IF($U687="",1,INDEX(Deals!$W$2:$W$355,MATCH($C687,Deals!$A$2:$A$355,0))),1)</f>
        <v/>
      </c>
      <c r="U687" s="22">
        <f>IF($C687="","",IFERROR(IF(INDEX(Deals!$Y$2:$Y$355,MATCH($C687,Deals!$A$2:$A$355,0))=0,"",INDEX(Deals!$Y$2:$Y$355,MATCH($C687,Deals!$A$2:$A$355,0))),""))</f>
        <v/>
      </c>
      <c r="V687" s="35">
        <f>IF(OR($U687&lt;&gt;"",AND($AO687&gt;0,$L687&lt;&gt;"",$M687&lt;&gt;"")),$N687,DATE(1900,1,1))</f>
        <v/>
      </c>
      <c r="W687" s="35">
        <f>IF($U687&lt;&gt;"",$U687,IF(AND($AO687&gt;0,$L687&lt;&gt;"",$M687&lt;&gt;""),$O687,DATE(2100,12,31)))</f>
        <v/>
      </c>
      <c r="X687" s="32">
        <f>IF($U687="",$K687,$K687*$S687)</f>
        <v/>
      </c>
      <c r="Y687" s="35">
        <f>IF($U687="",DATE(2100,12,31),$U687+1)</f>
        <v/>
      </c>
      <c r="Z687" s="35">
        <f>IF($U687="",DATE(1900,1,1),$O687)</f>
        <v/>
      </c>
      <c r="AA687" s="32">
        <f>IF($U687="",0,$K687*$T687)</f>
        <v/>
      </c>
      <c r="AB687" s="21">
        <f>IF($C687="",0,IFERROR(INDEX(Deals!$AD$2:$AD$355,MATCH($C687,Deals!$A$2:$A$355,0)),0))</f>
        <v/>
      </c>
      <c r="AC687" s="32">
        <f>IF(Settings!$B$4="Yes",$I687*$AB687,$I687)</f>
        <v/>
      </c>
      <c r="AD687" s="22">
        <f>IF($C687="","",IFERROR(IF(INDEX(Deals!$AE$2:$AE$355,MATCH($C687,Deals!$A$2:$A$355,0))=0,"",INDEX(Deals!$AE$2:$AE$355,MATCH($C687,Deals!$A$2:$A$355,0))),""))</f>
        <v/>
      </c>
      <c r="AE687" s="22">
        <f>IF($C687="","",IFERROR(IF(INDEX(Deals!$AF$2:$AF$355,MATCH($C687,Deals!$A$2:$A$355,0))=0,"",INDEX(Deals!$AF$2:$AF$355,MATCH($C687,Deals!$A$2:$A$355,0))),""))</f>
        <v/>
      </c>
      <c r="AF687" s="35">
        <f>IF($AD687="",DATE(1900,1,1),$AD687)</f>
        <v/>
      </c>
      <c r="AG687" s="35">
        <f>IF($AE687="",DATE(2100,12,31),$AE687)</f>
        <v/>
      </c>
      <c r="AH687" s="22">
        <f>IF($C687="","",IFERROR(IF(INDEX(Deals!$AG$2:$AG$355,MATCH($C687,Deals!$A$2:$A$355,0))=0,"",INDEX(Deals!$AG$2:$AG$355,MATCH($C687,Deals!$A$2:$A$355,0))),""))</f>
        <v/>
      </c>
      <c r="AI687" s="35">
        <f>IF(OR($AH687&lt;&gt;"",AND($AO687&gt;0,$AD687&lt;&gt;"",$AE687&lt;&gt;"")),$AF687,DATE(1900,1,1))</f>
        <v/>
      </c>
      <c r="AJ687" s="35">
        <f>IF($AH687&lt;&gt;"",$AH687,IF(AND($AO687&gt;0,$AD687&lt;&gt;"",$AE687&lt;&gt;""),$AG687,DATE(2100,12,31)))</f>
        <v/>
      </c>
      <c r="AK687" s="32">
        <f>IF($AH687="",$AC687,$AC687*$S687)</f>
        <v/>
      </c>
      <c r="AL687" s="35">
        <f>IF($AH687="",DATE(2100,12,31),$AH687+1)</f>
        <v/>
      </c>
      <c r="AM687" s="35">
        <f>IF($AH687="",DATE(1900,1,1),$AG687)</f>
        <v/>
      </c>
      <c r="AN687" s="32">
        <f>IF($AH687="",0,$AC687*$T687)</f>
        <v/>
      </c>
      <c r="AO687" s="46">
        <f>IF($C687="",0,IFERROR(INDEX(Deals!$BD$2:$BD$355,MATCH($C687,Deals!$A$2:$A$355,0)),0))</f>
        <v/>
      </c>
      <c r="AP687" s="18">
        <f>IF($AO687=0,0,IFERROR(INDEX(Deals!$BJ$2:$BP$355,MATCH($C687,Deals!$A$2:$A$355,0),MATCH($F687,Deals!$BJ$1:$BP$1,0))/COUNTIFS(Assignments!$C$2:$C$769,$C687,Assignments!$F$2:$F$769,$F687,Assignments!$G$2:$G$769,"Active"),0))</f>
        <v/>
      </c>
    </row>
    <row r="688">
      <c r="A688" s="28" t="inlineStr">
        <is>
          <t>Robbie</t>
        </is>
      </c>
      <c r="B688" s="16">
        <f>IF($A688="","",IFERROR(INDEX(Roster!$B$2:$B$40,MATCH($A688,Roster!$A$2:$A$40,0)),"?"))</f>
        <v/>
      </c>
      <c r="C688" s="28" t="inlineStr">
        <is>
          <t>White Tail_2</t>
        </is>
      </c>
      <c r="D688" s="16">
        <f>IF($C688="","",IFERROR(IF(INDEX(Deals!$C$2:$C$355,MATCH($C688,Deals!$A$2:$A$355,0))=0,"",INDEX(Deals!$C$2:$C$355,MATCH($C688,Deals!$A$2:$A$355,0))),"?"))</f>
        <v/>
      </c>
      <c r="E688" s="16">
        <f>IF($C688="","",IFERROR(INDEX(Deals!$F$2:$F$355,MATCH($C688,Deals!$A$2:$A$355,0)),"?"))</f>
        <v/>
      </c>
      <c r="F688" s="28" t="inlineStr">
        <is>
          <t>Renewable Specialist</t>
        </is>
      </c>
      <c r="G688" s="28" t="inlineStr">
        <is>
          <t>Active</t>
        </is>
      </c>
      <c r="H688" s="31" t="n"/>
      <c r="I688" s="32">
        <f>IF(OR($A688="",$G688&lt;&gt;"Active"),0,IF($H688&lt;&gt;"",$H688,IF($AO688&gt;0,$AP688,IF(AND($R688&lt;&gt;"",IFERROR(INDEX(Templates!$B$3:$H$10,MATCH($R688,Templates!$A$3:$A$10,0),MATCH($F688,Templates!$B$2:$H$2,0)),0)&gt;0),INDEX(Templates!$B$3:$H$10,MATCH($R688,Templates!$A$3:$A$10,0),MATCH($F688,Templates!$B$2:$H$2,0)),IFERROR(INDEX(Settings!$B$8:$B$14,MATCH($F688,Settings!$A$8:$A$14,0)),0)))))</f>
        <v/>
      </c>
      <c r="J688" s="21">
        <f>IF($C688="",0,IFERROR(INDEX(Deals!$H$2:$H$355,MATCH($C688,Deals!$A$2:$A$355,0)),0))</f>
        <v/>
      </c>
      <c r="K688" s="32">
        <f>IF(Settings!$B$4="Yes",$I688*$J688,$I688)</f>
        <v/>
      </c>
      <c r="L688" s="22">
        <f>IF($C688="","",IFERROR(IF(INDEX(Deals!$I$2:$I$355,MATCH($C688,Deals!$A$2:$A$355,0))=0,"",INDEX(Deals!$I$2:$I$355,MATCH($C688,Deals!$A$2:$A$355,0))),""))</f>
        <v/>
      </c>
      <c r="M688" s="22">
        <f>IF($C688="","",IFERROR(IF(INDEX(Deals!$J$2:$J$355,MATCH($C688,Deals!$A$2:$A$355,0))=0,"",INDEX(Deals!$J$2:$J$355,MATCH($C688,Deals!$A$2:$A$355,0))),""))</f>
        <v/>
      </c>
      <c r="N688" s="35">
        <f>IF($L688="",DATE(1900,1,1),$L688)</f>
        <v/>
      </c>
      <c r="O688" s="35">
        <f>IF($M688="",DATE(2100,12,31),$M688)</f>
        <v/>
      </c>
      <c r="P688" s="20" t="inlineStr"/>
      <c r="Q688" s="47" t="inlineStr"/>
      <c r="R688" s="16">
        <f>IF($C688="","",IFERROR(IF(INDEX(Deals!$U$2:$U$355,MATCH($C688,Deals!$A$2:$A$355,0))=0,"",INDEX(Deals!$U$2:$U$355,MATCH($C688,Deals!$A$2:$A$355,0))),""))</f>
        <v/>
      </c>
      <c r="S688" s="34">
        <f>IFERROR(IF($U688="",1,INDEX(Deals!$V$2:$V$355,MATCH($C688,Deals!$A$2:$A$355,0))),1)</f>
        <v/>
      </c>
      <c r="T688" s="34">
        <f>IFERROR(IF($U688="",1,INDEX(Deals!$W$2:$W$355,MATCH($C688,Deals!$A$2:$A$355,0))),1)</f>
        <v/>
      </c>
      <c r="U688" s="22">
        <f>IF($C688="","",IFERROR(IF(INDEX(Deals!$Y$2:$Y$355,MATCH($C688,Deals!$A$2:$A$355,0))=0,"",INDEX(Deals!$Y$2:$Y$355,MATCH($C688,Deals!$A$2:$A$355,0))),""))</f>
        <v/>
      </c>
      <c r="V688" s="35">
        <f>IF(OR($U688&lt;&gt;"",AND($AO688&gt;0,$L688&lt;&gt;"",$M688&lt;&gt;"")),$N688,DATE(1900,1,1))</f>
        <v/>
      </c>
      <c r="W688" s="35">
        <f>IF($U688&lt;&gt;"",$U688,IF(AND($AO688&gt;0,$L688&lt;&gt;"",$M688&lt;&gt;""),$O688,DATE(2100,12,31)))</f>
        <v/>
      </c>
      <c r="X688" s="32">
        <f>IF($U688="",$K688,$K688*$S688)</f>
        <v/>
      </c>
      <c r="Y688" s="35">
        <f>IF($U688="",DATE(2100,12,31),$U688+1)</f>
        <v/>
      </c>
      <c r="Z688" s="35">
        <f>IF($U688="",DATE(1900,1,1),$O688)</f>
        <v/>
      </c>
      <c r="AA688" s="32">
        <f>IF($U688="",0,$K688*$T688)</f>
        <v/>
      </c>
      <c r="AB688" s="21">
        <f>IF($C688="",0,IFERROR(INDEX(Deals!$AD$2:$AD$355,MATCH($C688,Deals!$A$2:$A$355,0)),0))</f>
        <v/>
      </c>
      <c r="AC688" s="32">
        <f>IF(Settings!$B$4="Yes",$I688*$AB688,$I688)</f>
        <v/>
      </c>
      <c r="AD688" s="22">
        <f>IF($C688="","",IFERROR(IF(INDEX(Deals!$AE$2:$AE$355,MATCH($C688,Deals!$A$2:$A$355,0))=0,"",INDEX(Deals!$AE$2:$AE$355,MATCH($C688,Deals!$A$2:$A$355,0))),""))</f>
        <v/>
      </c>
      <c r="AE688" s="22">
        <f>IF($C688="","",IFERROR(IF(INDEX(Deals!$AF$2:$AF$355,MATCH($C688,Deals!$A$2:$A$355,0))=0,"",INDEX(Deals!$AF$2:$AF$355,MATCH($C688,Deals!$A$2:$A$355,0))),""))</f>
        <v/>
      </c>
      <c r="AF688" s="35">
        <f>IF($AD688="",DATE(1900,1,1),$AD688)</f>
        <v/>
      </c>
      <c r="AG688" s="35">
        <f>IF($AE688="",DATE(2100,12,31),$AE688)</f>
        <v/>
      </c>
      <c r="AH688" s="22">
        <f>IF($C688="","",IFERROR(IF(INDEX(Deals!$AG$2:$AG$355,MATCH($C688,Deals!$A$2:$A$355,0))=0,"",INDEX(Deals!$AG$2:$AG$355,MATCH($C688,Deals!$A$2:$A$355,0))),""))</f>
        <v/>
      </c>
      <c r="AI688" s="35">
        <f>IF(OR($AH688&lt;&gt;"",AND($AO688&gt;0,$AD688&lt;&gt;"",$AE688&lt;&gt;"")),$AF688,DATE(1900,1,1))</f>
        <v/>
      </c>
      <c r="AJ688" s="35">
        <f>IF($AH688&lt;&gt;"",$AH688,IF(AND($AO688&gt;0,$AD688&lt;&gt;"",$AE688&lt;&gt;""),$AG688,DATE(2100,12,31)))</f>
        <v/>
      </c>
      <c r="AK688" s="32">
        <f>IF($AH688="",$AC688,$AC688*$S688)</f>
        <v/>
      </c>
      <c r="AL688" s="35">
        <f>IF($AH688="",DATE(2100,12,31),$AH688+1)</f>
        <v/>
      </c>
      <c r="AM688" s="35">
        <f>IF($AH688="",DATE(1900,1,1),$AG688)</f>
        <v/>
      </c>
      <c r="AN688" s="32">
        <f>IF($AH688="",0,$AC688*$T688)</f>
        <v/>
      </c>
      <c r="AO688" s="46">
        <f>IF($C688="",0,IFERROR(INDEX(Deals!$BD$2:$BD$355,MATCH($C688,Deals!$A$2:$A$355,0)),0))</f>
        <v/>
      </c>
      <c r="AP688" s="18">
        <f>IF($AO688=0,0,IFERROR(INDEX(Deals!$BJ$2:$BP$355,MATCH($C688,Deals!$A$2:$A$355,0),MATCH($F688,Deals!$BJ$1:$BP$1,0))/COUNTIFS(Assignments!$C$2:$C$769,$C688,Assignments!$F$2:$F$769,$F688,Assignments!$G$2:$G$769,"Active"),0))</f>
        <v/>
      </c>
    </row>
    <row r="689">
      <c r="A689" s="28" t="inlineStr">
        <is>
          <t>Robbie</t>
        </is>
      </c>
      <c r="B689" s="16">
        <f>IF($A689="","",IFERROR(INDEX(Roster!$B$2:$B$40,MATCH($A689,Roster!$A$2:$A$40,0)),"?"))</f>
        <v/>
      </c>
      <c r="C689" s="28" t="inlineStr">
        <is>
          <t>Zora_1</t>
        </is>
      </c>
      <c r="D689" s="16">
        <f>IF($C689="","",IFERROR(IF(INDEX(Deals!$C$2:$C$355,MATCH($C689,Deals!$A$2:$A$355,0))=0,"",INDEX(Deals!$C$2:$C$355,MATCH($C689,Deals!$A$2:$A$355,0))),"?"))</f>
        <v/>
      </c>
      <c r="E689" s="16">
        <f>IF($C689="","",IFERROR(INDEX(Deals!$F$2:$F$355,MATCH($C689,Deals!$A$2:$A$355,0)),"?"))</f>
        <v/>
      </c>
      <c r="F689" s="28" t="inlineStr">
        <is>
          <t>Renewable Specialist</t>
        </is>
      </c>
      <c r="G689" s="28" t="inlineStr">
        <is>
          <t>Active</t>
        </is>
      </c>
      <c r="H689" s="31" t="n"/>
      <c r="I689" s="32">
        <f>IF(OR($A689="",$G689&lt;&gt;"Active"),0,IF($H689&lt;&gt;"",$H689,IF($AO689&gt;0,$AP689,IF(AND($R689&lt;&gt;"",IFERROR(INDEX(Templates!$B$3:$H$10,MATCH($R689,Templates!$A$3:$A$10,0),MATCH($F689,Templates!$B$2:$H$2,0)),0)&gt;0),INDEX(Templates!$B$3:$H$10,MATCH($R689,Templates!$A$3:$A$10,0),MATCH($F689,Templates!$B$2:$H$2,0)),IFERROR(INDEX(Settings!$B$8:$B$14,MATCH($F689,Settings!$A$8:$A$14,0)),0)))))</f>
        <v/>
      </c>
      <c r="J689" s="21">
        <f>IF($C689="",0,IFERROR(INDEX(Deals!$H$2:$H$355,MATCH($C689,Deals!$A$2:$A$355,0)),0))</f>
        <v/>
      </c>
      <c r="K689" s="32">
        <f>IF(Settings!$B$4="Yes",$I689*$J689,$I689)</f>
        <v/>
      </c>
      <c r="L689" s="22">
        <f>IF($C689="","",IFERROR(IF(INDEX(Deals!$I$2:$I$355,MATCH($C689,Deals!$A$2:$A$355,0))=0,"",INDEX(Deals!$I$2:$I$355,MATCH($C689,Deals!$A$2:$A$355,0))),""))</f>
        <v/>
      </c>
      <c r="M689" s="22">
        <f>IF($C689="","",IFERROR(IF(INDEX(Deals!$J$2:$J$355,MATCH($C689,Deals!$A$2:$A$355,0))=0,"",INDEX(Deals!$J$2:$J$355,MATCH($C689,Deals!$A$2:$A$355,0))),""))</f>
        <v/>
      </c>
      <c r="N689" s="35">
        <f>IF($L689="",DATE(1900,1,1),$L689)</f>
        <v/>
      </c>
      <c r="O689" s="35">
        <f>IF($M689="",DATE(2100,12,31),$M689)</f>
        <v/>
      </c>
      <c r="P689" s="20" t="inlineStr"/>
      <c r="Q689" s="47" t="inlineStr"/>
      <c r="R689" s="16">
        <f>IF($C689="","",IFERROR(IF(INDEX(Deals!$U$2:$U$355,MATCH($C689,Deals!$A$2:$A$355,0))=0,"",INDEX(Deals!$U$2:$U$355,MATCH($C689,Deals!$A$2:$A$355,0))),""))</f>
        <v/>
      </c>
      <c r="S689" s="34">
        <f>IFERROR(IF($U689="",1,INDEX(Deals!$V$2:$V$355,MATCH($C689,Deals!$A$2:$A$355,0))),1)</f>
        <v/>
      </c>
      <c r="T689" s="34">
        <f>IFERROR(IF($U689="",1,INDEX(Deals!$W$2:$W$355,MATCH($C689,Deals!$A$2:$A$355,0))),1)</f>
        <v/>
      </c>
      <c r="U689" s="22">
        <f>IF($C689="","",IFERROR(IF(INDEX(Deals!$Y$2:$Y$355,MATCH($C689,Deals!$A$2:$A$355,0))=0,"",INDEX(Deals!$Y$2:$Y$355,MATCH($C689,Deals!$A$2:$A$355,0))),""))</f>
        <v/>
      </c>
      <c r="V689" s="35">
        <f>IF(OR($U689&lt;&gt;"",AND($AO689&gt;0,$L689&lt;&gt;"",$M689&lt;&gt;"")),$N689,DATE(1900,1,1))</f>
        <v/>
      </c>
      <c r="W689" s="35">
        <f>IF($U689&lt;&gt;"",$U689,IF(AND($AO689&gt;0,$L689&lt;&gt;"",$M689&lt;&gt;""),$O689,DATE(2100,12,31)))</f>
        <v/>
      </c>
      <c r="X689" s="32">
        <f>IF($U689="",$K689,$K689*$S689)</f>
        <v/>
      </c>
      <c r="Y689" s="35">
        <f>IF($U689="",DATE(2100,12,31),$U689+1)</f>
        <v/>
      </c>
      <c r="Z689" s="35">
        <f>IF($U689="",DATE(1900,1,1),$O689)</f>
        <v/>
      </c>
      <c r="AA689" s="32">
        <f>IF($U689="",0,$K689*$T689)</f>
        <v/>
      </c>
      <c r="AB689" s="21">
        <f>IF($C689="",0,IFERROR(INDEX(Deals!$AD$2:$AD$355,MATCH($C689,Deals!$A$2:$A$355,0)),0))</f>
        <v/>
      </c>
      <c r="AC689" s="32">
        <f>IF(Settings!$B$4="Yes",$I689*$AB689,$I689)</f>
        <v/>
      </c>
      <c r="AD689" s="22">
        <f>IF($C689="","",IFERROR(IF(INDEX(Deals!$AE$2:$AE$355,MATCH($C689,Deals!$A$2:$A$355,0))=0,"",INDEX(Deals!$AE$2:$AE$355,MATCH($C689,Deals!$A$2:$A$355,0))),""))</f>
        <v/>
      </c>
      <c r="AE689" s="22">
        <f>IF($C689="","",IFERROR(IF(INDEX(Deals!$AF$2:$AF$355,MATCH($C689,Deals!$A$2:$A$355,0))=0,"",INDEX(Deals!$AF$2:$AF$355,MATCH($C689,Deals!$A$2:$A$355,0))),""))</f>
        <v/>
      </c>
      <c r="AF689" s="35">
        <f>IF($AD689="",DATE(1900,1,1),$AD689)</f>
        <v/>
      </c>
      <c r="AG689" s="35">
        <f>IF($AE689="",DATE(2100,12,31),$AE689)</f>
        <v/>
      </c>
      <c r="AH689" s="22">
        <f>IF($C689="","",IFERROR(IF(INDEX(Deals!$AG$2:$AG$355,MATCH($C689,Deals!$A$2:$A$355,0))=0,"",INDEX(Deals!$AG$2:$AG$355,MATCH($C689,Deals!$A$2:$A$355,0))),""))</f>
        <v/>
      </c>
      <c r="AI689" s="35">
        <f>IF(OR($AH689&lt;&gt;"",AND($AO689&gt;0,$AD689&lt;&gt;"",$AE689&lt;&gt;"")),$AF689,DATE(1900,1,1))</f>
        <v/>
      </c>
      <c r="AJ689" s="35">
        <f>IF($AH689&lt;&gt;"",$AH689,IF(AND($AO689&gt;0,$AD689&lt;&gt;"",$AE689&lt;&gt;""),$AG689,DATE(2100,12,31)))</f>
        <v/>
      </c>
      <c r="AK689" s="32">
        <f>IF($AH689="",$AC689,$AC689*$S689)</f>
        <v/>
      </c>
      <c r="AL689" s="35">
        <f>IF($AH689="",DATE(2100,12,31),$AH689+1)</f>
        <v/>
      </c>
      <c r="AM689" s="35">
        <f>IF($AH689="",DATE(1900,1,1),$AG689)</f>
        <v/>
      </c>
      <c r="AN689" s="32">
        <f>IF($AH689="",0,$AC689*$T689)</f>
        <v/>
      </c>
      <c r="AO689" s="46">
        <f>IF($C689="",0,IFERROR(INDEX(Deals!$BD$2:$BD$355,MATCH($C689,Deals!$A$2:$A$355,0)),0))</f>
        <v/>
      </c>
      <c r="AP689" s="18">
        <f>IF($AO689=0,0,IFERROR(INDEX(Deals!$BJ$2:$BP$355,MATCH($C689,Deals!$A$2:$A$355,0),MATCH($F689,Deals!$BJ$1:$BP$1,0))/COUNTIFS(Assignments!$C$2:$C$769,$C689,Assignments!$F$2:$F$769,$F689,Assignments!$G$2:$G$769,"Active"),0))</f>
        <v/>
      </c>
    </row>
    <row r="690">
      <c r="A690" s="31" t="n"/>
      <c r="B690" s="16">
        <f>IF($A690="","",IFERROR(INDEX(Roster!$B$2:$B$40,MATCH($A690,Roster!$A$2:$A$40,0)),"?"))</f>
        <v/>
      </c>
      <c r="C690" s="31" t="n"/>
      <c r="D690" s="16">
        <f>IF($C690="","",IFERROR(IF(INDEX(Deals!$C$2:$C$355,MATCH($C690,Deals!$A$2:$A$355,0))=0,"",INDEX(Deals!$C$2:$C$355,MATCH($C690,Deals!$A$2:$A$355,0))),"?"))</f>
        <v/>
      </c>
      <c r="E690" s="16">
        <f>IF($C690="","",IFERROR(INDEX(Deals!$F$2:$F$355,MATCH($C690,Deals!$A$2:$A$355,0)),"?"))</f>
        <v/>
      </c>
      <c r="F690" s="31" t="n"/>
      <c r="G690" s="31" t="n"/>
      <c r="H690" s="31" t="n"/>
      <c r="I690" s="32">
        <f>IF(OR($A690="",$G690&lt;&gt;"Active"),0,IF($H690&lt;&gt;"",$H690,IF($AO690&gt;0,$AP690,IF(AND($R690&lt;&gt;"",IFERROR(INDEX(Templates!$B$3:$H$10,MATCH($R690,Templates!$A$3:$A$10,0),MATCH($F690,Templates!$B$2:$H$2,0)),0)&gt;0),INDEX(Templates!$B$3:$H$10,MATCH($R690,Templates!$A$3:$A$10,0),MATCH($F690,Templates!$B$2:$H$2,0)),IFERROR(INDEX(Settings!$B$8:$B$14,MATCH($F690,Settings!$A$8:$A$14,0)),0)))))</f>
        <v/>
      </c>
      <c r="J690" s="21">
        <f>IF($C690="",0,IFERROR(INDEX(Deals!$H$2:$H$355,MATCH($C690,Deals!$A$2:$A$355,0)),0))</f>
        <v/>
      </c>
      <c r="K690" s="32">
        <f>IF(Settings!$B$4="Yes",$I690*$J690,$I690)</f>
        <v/>
      </c>
      <c r="L690" s="22">
        <f>IF($C690="","",IFERROR(IF(INDEX(Deals!$I$2:$I$355,MATCH($C690,Deals!$A$2:$A$355,0))=0,"",INDEX(Deals!$I$2:$I$355,MATCH($C690,Deals!$A$2:$A$355,0))),""))</f>
        <v/>
      </c>
      <c r="M690" s="22">
        <f>IF($C690="","",IFERROR(IF(INDEX(Deals!$J$2:$J$355,MATCH($C690,Deals!$A$2:$A$355,0))=0,"",INDEX(Deals!$J$2:$J$355,MATCH($C690,Deals!$A$2:$A$355,0))),""))</f>
        <v/>
      </c>
      <c r="N690" s="35">
        <f>IF($L690="",DATE(1900,1,1),$L690)</f>
        <v/>
      </c>
      <c r="O690" s="35">
        <f>IF($M690="",DATE(2100,12,31),$M690)</f>
        <v/>
      </c>
      <c r="P690" s="44" t="n"/>
      <c r="Q690" s="31" t="n"/>
      <c r="R690" s="16">
        <f>IF($C690="","",IFERROR(IF(INDEX(Deals!$U$2:$U$355,MATCH($C690,Deals!$A$2:$A$355,0))=0,"",INDEX(Deals!$U$2:$U$355,MATCH($C690,Deals!$A$2:$A$355,0))),""))</f>
        <v/>
      </c>
      <c r="S690" s="34">
        <f>IFERROR(IF($U690="",1,INDEX(Deals!$V$2:$V$355,MATCH($C690,Deals!$A$2:$A$355,0))),1)</f>
        <v/>
      </c>
      <c r="T690" s="34">
        <f>IFERROR(IF($U690="",1,INDEX(Deals!$W$2:$W$355,MATCH($C690,Deals!$A$2:$A$355,0))),1)</f>
        <v/>
      </c>
      <c r="U690" s="22">
        <f>IF($C690="","",IFERROR(IF(INDEX(Deals!$Y$2:$Y$355,MATCH($C690,Deals!$A$2:$A$355,0))=0,"",INDEX(Deals!$Y$2:$Y$355,MATCH($C690,Deals!$A$2:$A$355,0))),""))</f>
        <v/>
      </c>
      <c r="V690" s="35">
        <f>IF(OR($U690&lt;&gt;"",AND($AO690&gt;0,$L690&lt;&gt;"",$M690&lt;&gt;"")),$N690,DATE(1900,1,1))</f>
        <v/>
      </c>
      <c r="W690" s="35">
        <f>IF($U690&lt;&gt;"",$U690,IF(AND($AO690&gt;0,$L690&lt;&gt;"",$M690&lt;&gt;""),$O690,DATE(2100,12,31)))</f>
        <v/>
      </c>
      <c r="X690" s="32">
        <f>IF($U690="",$K690,$K690*$S690)</f>
        <v/>
      </c>
      <c r="Y690" s="35">
        <f>IF($U690="",DATE(2100,12,31),$U690+1)</f>
        <v/>
      </c>
      <c r="Z690" s="35">
        <f>IF($U690="",DATE(1900,1,1),$O690)</f>
        <v/>
      </c>
      <c r="AA690" s="32">
        <f>IF($U690="",0,$K690*$T690)</f>
        <v/>
      </c>
      <c r="AB690" s="21">
        <f>IF($C690="",0,IFERROR(INDEX(Deals!$AD$2:$AD$355,MATCH($C690,Deals!$A$2:$A$355,0)),0))</f>
        <v/>
      </c>
      <c r="AC690" s="32">
        <f>IF(Settings!$B$4="Yes",$I690*$AB690,$I690)</f>
        <v/>
      </c>
      <c r="AD690" s="22">
        <f>IF($C690="","",IFERROR(IF(INDEX(Deals!$AE$2:$AE$355,MATCH($C690,Deals!$A$2:$A$355,0))=0,"",INDEX(Deals!$AE$2:$AE$355,MATCH($C690,Deals!$A$2:$A$355,0))),""))</f>
        <v/>
      </c>
      <c r="AE690" s="22">
        <f>IF($C690="","",IFERROR(IF(INDEX(Deals!$AF$2:$AF$355,MATCH($C690,Deals!$A$2:$A$355,0))=0,"",INDEX(Deals!$AF$2:$AF$355,MATCH($C690,Deals!$A$2:$A$355,0))),""))</f>
        <v/>
      </c>
      <c r="AF690" s="35">
        <f>IF($AD690="",DATE(1900,1,1),$AD690)</f>
        <v/>
      </c>
      <c r="AG690" s="35">
        <f>IF($AE690="",DATE(2100,12,31),$AE690)</f>
        <v/>
      </c>
      <c r="AH690" s="22">
        <f>IF($C690="","",IFERROR(IF(INDEX(Deals!$AG$2:$AG$355,MATCH($C690,Deals!$A$2:$A$355,0))=0,"",INDEX(Deals!$AG$2:$AG$355,MATCH($C690,Deals!$A$2:$A$355,0))),""))</f>
        <v/>
      </c>
      <c r="AI690" s="35">
        <f>IF(OR($AH690&lt;&gt;"",AND($AO690&gt;0,$AD690&lt;&gt;"",$AE690&lt;&gt;"")),$AF690,DATE(1900,1,1))</f>
        <v/>
      </c>
      <c r="AJ690" s="35">
        <f>IF($AH690&lt;&gt;"",$AH690,IF(AND($AO690&gt;0,$AD690&lt;&gt;"",$AE690&lt;&gt;""),$AG690,DATE(2100,12,31)))</f>
        <v/>
      </c>
      <c r="AK690" s="32">
        <f>IF($AH690="",$AC690,$AC690*$S690)</f>
        <v/>
      </c>
      <c r="AL690" s="35">
        <f>IF($AH690="",DATE(2100,12,31),$AH690+1)</f>
        <v/>
      </c>
      <c r="AM690" s="35">
        <f>IF($AH690="",DATE(1900,1,1),$AG690)</f>
        <v/>
      </c>
      <c r="AN690" s="32">
        <f>IF($AH690="",0,$AC690*$T690)</f>
        <v/>
      </c>
      <c r="AO690" s="46">
        <f>IF($C690="",0,IFERROR(INDEX(Deals!$BD$2:$BD$355,MATCH($C690,Deals!$A$2:$A$355,0)),0))</f>
        <v/>
      </c>
      <c r="AP690" s="18">
        <f>IF($AO690=0,0,IFERROR(INDEX(Deals!$BJ$2:$BP$355,MATCH($C690,Deals!$A$2:$A$355,0),MATCH($F690,Deals!$BJ$1:$BP$1,0))/COUNTIFS(Assignments!$C$2:$C$769,$C690,Assignments!$F$2:$F$769,$F690,Assignments!$G$2:$G$769,"Active"),0))</f>
        <v/>
      </c>
    </row>
    <row r="691">
      <c r="A691" s="31" t="n"/>
      <c r="B691" s="16">
        <f>IF($A691="","",IFERROR(INDEX(Roster!$B$2:$B$40,MATCH($A691,Roster!$A$2:$A$40,0)),"?"))</f>
        <v/>
      </c>
      <c r="C691" s="31" t="n"/>
      <c r="D691" s="16">
        <f>IF($C691="","",IFERROR(IF(INDEX(Deals!$C$2:$C$355,MATCH($C691,Deals!$A$2:$A$355,0))=0,"",INDEX(Deals!$C$2:$C$355,MATCH($C691,Deals!$A$2:$A$355,0))),"?"))</f>
        <v/>
      </c>
      <c r="E691" s="16">
        <f>IF($C691="","",IFERROR(INDEX(Deals!$F$2:$F$355,MATCH($C691,Deals!$A$2:$A$355,0)),"?"))</f>
        <v/>
      </c>
      <c r="F691" s="31" t="n"/>
      <c r="G691" s="31" t="n"/>
      <c r="H691" s="31" t="n"/>
      <c r="I691" s="32">
        <f>IF(OR($A691="",$G691&lt;&gt;"Active"),0,IF($H691&lt;&gt;"",$H691,IF($AO691&gt;0,$AP691,IF(AND($R691&lt;&gt;"",IFERROR(INDEX(Templates!$B$3:$H$10,MATCH($R691,Templates!$A$3:$A$10,0),MATCH($F691,Templates!$B$2:$H$2,0)),0)&gt;0),INDEX(Templates!$B$3:$H$10,MATCH($R691,Templates!$A$3:$A$10,0),MATCH($F691,Templates!$B$2:$H$2,0)),IFERROR(INDEX(Settings!$B$8:$B$14,MATCH($F691,Settings!$A$8:$A$14,0)),0)))))</f>
        <v/>
      </c>
      <c r="J691" s="21">
        <f>IF($C691="",0,IFERROR(INDEX(Deals!$H$2:$H$355,MATCH($C691,Deals!$A$2:$A$355,0)),0))</f>
        <v/>
      </c>
      <c r="K691" s="32">
        <f>IF(Settings!$B$4="Yes",$I691*$J691,$I691)</f>
        <v/>
      </c>
      <c r="L691" s="22">
        <f>IF($C691="","",IFERROR(IF(INDEX(Deals!$I$2:$I$355,MATCH($C691,Deals!$A$2:$A$355,0))=0,"",INDEX(Deals!$I$2:$I$355,MATCH($C691,Deals!$A$2:$A$355,0))),""))</f>
        <v/>
      </c>
      <c r="M691" s="22">
        <f>IF($C691="","",IFERROR(IF(INDEX(Deals!$J$2:$J$355,MATCH($C691,Deals!$A$2:$A$355,0))=0,"",INDEX(Deals!$J$2:$J$355,MATCH($C691,Deals!$A$2:$A$355,0))),""))</f>
        <v/>
      </c>
      <c r="N691" s="35">
        <f>IF($L691="",DATE(1900,1,1),$L691)</f>
        <v/>
      </c>
      <c r="O691" s="35">
        <f>IF($M691="",DATE(2100,12,31),$M691)</f>
        <v/>
      </c>
      <c r="P691" s="44" t="n"/>
      <c r="Q691" s="31" t="n"/>
      <c r="R691" s="16">
        <f>IF($C691="","",IFERROR(IF(INDEX(Deals!$U$2:$U$355,MATCH($C691,Deals!$A$2:$A$355,0))=0,"",INDEX(Deals!$U$2:$U$355,MATCH($C691,Deals!$A$2:$A$355,0))),""))</f>
        <v/>
      </c>
      <c r="S691" s="34">
        <f>IFERROR(IF($U691="",1,INDEX(Deals!$V$2:$V$355,MATCH($C691,Deals!$A$2:$A$355,0))),1)</f>
        <v/>
      </c>
      <c r="T691" s="34">
        <f>IFERROR(IF($U691="",1,INDEX(Deals!$W$2:$W$355,MATCH($C691,Deals!$A$2:$A$355,0))),1)</f>
        <v/>
      </c>
      <c r="U691" s="22">
        <f>IF($C691="","",IFERROR(IF(INDEX(Deals!$Y$2:$Y$355,MATCH($C691,Deals!$A$2:$A$355,0))=0,"",INDEX(Deals!$Y$2:$Y$355,MATCH($C691,Deals!$A$2:$A$355,0))),""))</f>
        <v/>
      </c>
      <c r="V691" s="35">
        <f>IF(OR($U691&lt;&gt;"",AND($AO691&gt;0,$L691&lt;&gt;"",$M691&lt;&gt;"")),$N691,DATE(1900,1,1))</f>
        <v/>
      </c>
      <c r="W691" s="35">
        <f>IF($U691&lt;&gt;"",$U691,IF(AND($AO691&gt;0,$L691&lt;&gt;"",$M691&lt;&gt;""),$O691,DATE(2100,12,31)))</f>
        <v/>
      </c>
      <c r="X691" s="32">
        <f>IF($U691="",$K691,$K691*$S691)</f>
        <v/>
      </c>
      <c r="Y691" s="35">
        <f>IF($U691="",DATE(2100,12,31),$U691+1)</f>
        <v/>
      </c>
      <c r="Z691" s="35">
        <f>IF($U691="",DATE(1900,1,1),$O691)</f>
        <v/>
      </c>
      <c r="AA691" s="32">
        <f>IF($U691="",0,$K691*$T691)</f>
        <v/>
      </c>
      <c r="AB691" s="21">
        <f>IF($C691="",0,IFERROR(INDEX(Deals!$AD$2:$AD$355,MATCH($C691,Deals!$A$2:$A$355,0)),0))</f>
        <v/>
      </c>
      <c r="AC691" s="32">
        <f>IF(Settings!$B$4="Yes",$I691*$AB691,$I691)</f>
        <v/>
      </c>
      <c r="AD691" s="22">
        <f>IF($C691="","",IFERROR(IF(INDEX(Deals!$AE$2:$AE$355,MATCH($C691,Deals!$A$2:$A$355,0))=0,"",INDEX(Deals!$AE$2:$AE$355,MATCH($C691,Deals!$A$2:$A$355,0))),""))</f>
        <v/>
      </c>
      <c r="AE691" s="22">
        <f>IF($C691="","",IFERROR(IF(INDEX(Deals!$AF$2:$AF$355,MATCH($C691,Deals!$A$2:$A$355,0))=0,"",INDEX(Deals!$AF$2:$AF$355,MATCH($C691,Deals!$A$2:$A$355,0))),""))</f>
        <v/>
      </c>
      <c r="AF691" s="35">
        <f>IF($AD691="",DATE(1900,1,1),$AD691)</f>
        <v/>
      </c>
      <c r="AG691" s="35">
        <f>IF($AE691="",DATE(2100,12,31),$AE691)</f>
        <v/>
      </c>
      <c r="AH691" s="22">
        <f>IF($C691="","",IFERROR(IF(INDEX(Deals!$AG$2:$AG$355,MATCH($C691,Deals!$A$2:$A$355,0))=0,"",INDEX(Deals!$AG$2:$AG$355,MATCH($C691,Deals!$A$2:$A$355,0))),""))</f>
        <v/>
      </c>
      <c r="AI691" s="35">
        <f>IF(OR($AH691&lt;&gt;"",AND($AO691&gt;0,$AD691&lt;&gt;"",$AE691&lt;&gt;"")),$AF691,DATE(1900,1,1))</f>
        <v/>
      </c>
      <c r="AJ691" s="35">
        <f>IF($AH691&lt;&gt;"",$AH691,IF(AND($AO691&gt;0,$AD691&lt;&gt;"",$AE691&lt;&gt;""),$AG691,DATE(2100,12,31)))</f>
        <v/>
      </c>
      <c r="AK691" s="32">
        <f>IF($AH691="",$AC691,$AC691*$S691)</f>
        <v/>
      </c>
      <c r="AL691" s="35">
        <f>IF($AH691="",DATE(2100,12,31),$AH691+1)</f>
        <v/>
      </c>
      <c r="AM691" s="35">
        <f>IF($AH691="",DATE(1900,1,1),$AG691)</f>
        <v/>
      </c>
      <c r="AN691" s="32">
        <f>IF($AH691="",0,$AC691*$T691)</f>
        <v/>
      </c>
      <c r="AO691" s="46">
        <f>IF($C691="",0,IFERROR(INDEX(Deals!$BD$2:$BD$355,MATCH($C691,Deals!$A$2:$A$355,0)),0))</f>
        <v/>
      </c>
      <c r="AP691" s="18">
        <f>IF($AO691=0,0,IFERROR(INDEX(Deals!$BJ$2:$BP$355,MATCH($C691,Deals!$A$2:$A$355,0),MATCH($F691,Deals!$BJ$1:$BP$1,0))/COUNTIFS(Assignments!$C$2:$C$769,$C691,Assignments!$F$2:$F$769,$F691,Assignments!$G$2:$G$769,"Active"),0))</f>
        <v/>
      </c>
    </row>
    <row r="692">
      <c r="A692" s="31" t="n"/>
      <c r="B692" s="16">
        <f>IF($A692="","",IFERROR(INDEX(Roster!$B$2:$B$40,MATCH($A692,Roster!$A$2:$A$40,0)),"?"))</f>
        <v/>
      </c>
      <c r="C692" s="31" t="n"/>
      <c r="D692" s="16">
        <f>IF($C692="","",IFERROR(IF(INDEX(Deals!$C$2:$C$355,MATCH($C692,Deals!$A$2:$A$355,0))=0,"",INDEX(Deals!$C$2:$C$355,MATCH($C692,Deals!$A$2:$A$355,0))),"?"))</f>
        <v/>
      </c>
      <c r="E692" s="16">
        <f>IF($C692="","",IFERROR(INDEX(Deals!$F$2:$F$355,MATCH($C692,Deals!$A$2:$A$355,0)),"?"))</f>
        <v/>
      </c>
      <c r="F692" s="31" t="n"/>
      <c r="G692" s="31" t="n"/>
      <c r="H692" s="31" t="n"/>
      <c r="I692" s="32">
        <f>IF(OR($A692="",$G692&lt;&gt;"Active"),0,IF($H692&lt;&gt;"",$H692,IF($AO692&gt;0,$AP692,IF(AND($R692&lt;&gt;"",IFERROR(INDEX(Templates!$B$3:$H$10,MATCH($R692,Templates!$A$3:$A$10,0),MATCH($F692,Templates!$B$2:$H$2,0)),0)&gt;0),INDEX(Templates!$B$3:$H$10,MATCH($R692,Templates!$A$3:$A$10,0),MATCH($F692,Templates!$B$2:$H$2,0)),IFERROR(INDEX(Settings!$B$8:$B$14,MATCH($F692,Settings!$A$8:$A$14,0)),0)))))</f>
        <v/>
      </c>
      <c r="J692" s="21">
        <f>IF($C692="",0,IFERROR(INDEX(Deals!$H$2:$H$355,MATCH($C692,Deals!$A$2:$A$355,0)),0))</f>
        <v/>
      </c>
      <c r="K692" s="32">
        <f>IF(Settings!$B$4="Yes",$I692*$J692,$I692)</f>
        <v/>
      </c>
      <c r="L692" s="22">
        <f>IF($C692="","",IFERROR(IF(INDEX(Deals!$I$2:$I$355,MATCH($C692,Deals!$A$2:$A$355,0))=0,"",INDEX(Deals!$I$2:$I$355,MATCH($C692,Deals!$A$2:$A$355,0))),""))</f>
        <v/>
      </c>
      <c r="M692" s="22">
        <f>IF($C692="","",IFERROR(IF(INDEX(Deals!$J$2:$J$355,MATCH($C692,Deals!$A$2:$A$355,0))=0,"",INDEX(Deals!$J$2:$J$355,MATCH($C692,Deals!$A$2:$A$355,0))),""))</f>
        <v/>
      </c>
      <c r="N692" s="35">
        <f>IF($L692="",DATE(1900,1,1),$L692)</f>
        <v/>
      </c>
      <c r="O692" s="35">
        <f>IF($M692="",DATE(2100,12,31),$M692)</f>
        <v/>
      </c>
      <c r="P692" s="44" t="n"/>
      <c r="Q692" s="31" t="n"/>
      <c r="R692" s="16">
        <f>IF($C692="","",IFERROR(IF(INDEX(Deals!$U$2:$U$355,MATCH($C692,Deals!$A$2:$A$355,0))=0,"",INDEX(Deals!$U$2:$U$355,MATCH($C692,Deals!$A$2:$A$355,0))),""))</f>
        <v/>
      </c>
      <c r="S692" s="34">
        <f>IFERROR(IF($U692="",1,INDEX(Deals!$V$2:$V$355,MATCH($C692,Deals!$A$2:$A$355,0))),1)</f>
        <v/>
      </c>
      <c r="T692" s="34">
        <f>IFERROR(IF($U692="",1,INDEX(Deals!$W$2:$W$355,MATCH($C692,Deals!$A$2:$A$355,0))),1)</f>
        <v/>
      </c>
      <c r="U692" s="22">
        <f>IF($C692="","",IFERROR(IF(INDEX(Deals!$Y$2:$Y$355,MATCH($C692,Deals!$A$2:$A$355,0))=0,"",INDEX(Deals!$Y$2:$Y$355,MATCH($C692,Deals!$A$2:$A$355,0))),""))</f>
        <v/>
      </c>
      <c r="V692" s="35">
        <f>IF(OR($U692&lt;&gt;"",AND($AO692&gt;0,$L692&lt;&gt;"",$M692&lt;&gt;"")),$N692,DATE(1900,1,1))</f>
        <v/>
      </c>
      <c r="W692" s="35">
        <f>IF($U692&lt;&gt;"",$U692,IF(AND($AO692&gt;0,$L692&lt;&gt;"",$M692&lt;&gt;""),$O692,DATE(2100,12,31)))</f>
        <v/>
      </c>
      <c r="X692" s="32">
        <f>IF($U692="",$K692,$K692*$S692)</f>
        <v/>
      </c>
      <c r="Y692" s="35">
        <f>IF($U692="",DATE(2100,12,31),$U692+1)</f>
        <v/>
      </c>
      <c r="Z692" s="35">
        <f>IF($U692="",DATE(1900,1,1),$O692)</f>
        <v/>
      </c>
      <c r="AA692" s="32">
        <f>IF($U692="",0,$K692*$T692)</f>
        <v/>
      </c>
      <c r="AB692" s="21">
        <f>IF($C692="",0,IFERROR(INDEX(Deals!$AD$2:$AD$355,MATCH($C692,Deals!$A$2:$A$355,0)),0))</f>
        <v/>
      </c>
      <c r="AC692" s="32">
        <f>IF(Settings!$B$4="Yes",$I692*$AB692,$I692)</f>
        <v/>
      </c>
      <c r="AD692" s="22">
        <f>IF($C692="","",IFERROR(IF(INDEX(Deals!$AE$2:$AE$355,MATCH($C692,Deals!$A$2:$A$355,0))=0,"",INDEX(Deals!$AE$2:$AE$355,MATCH($C692,Deals!$A$2:$A$355,0))),""))</f>
        <v/>
      </c>
      <c r="AE692" s="22">
        <f>IF($C692="","",IFERROR(IF(INDEX(Deals!$AF$2:$AF$355,MATCH($C692,Deals!$A$2:$A$355,0))=0,"",INDEX(Deals!$AF$2:$AF$355,MATCH($C692,Deals!$A$2:$A$355,0))),""))</f>
        <v/>
      </c>
      <c r="AF692" s="35">
        <f>IF($AD692="",DATE(1900,1,1),$AD692)</f>
        <v/>
      </c>
      <c r="AG692" s="35">
        <f>IF($AE692="",DATE(2100,12,31),$AE692)</f>
        <v/>
      </c>
      <c r="AH692" s="22">
        <f>IF($C692="","",IFERROR(IF(INDEX(Deals!$AG$2:$AG$355,MATCH($C692,Deals!$A$2:$A$355,0))=0,"",INDEX(Deals!$AG$2:$AG$355,MATCH($C692,Deals!$A$2:$A$355,0))),""))</f>
        <v/>
      </c>
      <c r="AI692" s="35">
        <f>IF(OR($AH692&lt;&gt;"",AND($AO692&gt;0,$AD692&lt;&gt;"",$AE692&lt;&gt;"")),$AF692,DATE(1900,1,1))</f>
        <v/>
      </c>
      <c r="AJ692" s="35">
        <f>IF($AH692&lt;&gt;"",$AH692,IF(AND($AO692&gt;0,$AD692&lt;&gt;"",$AE692&lt;&gt;""),$AG692,DATE(2100,12,31)))</f>
        <v/>
      </c>
      <c r="AK692" s="32">
        <f>IF($AH692="",$AC692,$AC692*$S692)</f>
        <v/>
      </c>
      <c r="AL692" s="35">
        <f>IF($AH692="",DATE(2100,12,31),$AH692+1)</f>
        <v/>
      </c>
      <c r="AM692" s="35">
        <f>IF($AH692="",DATE(1900,1,1),$AG692)</f>
        <v/>
      </c>
      <c r="AN692" s="32">
        <f>IF($AH692="",0,$AC692*$T692)</f>
        <v/>
      </c>
      <c r="AO692" s="46">
        <f>IF($C692="",0,IFERROR(INDEX(Deals!$BD$2:$BD$355,MATCH($C692,Deals!$A$2:$A$355,0)),0))</f>
        <v/>
      </c>
      <c r="AP692" s="18">
        <f>IF($AO692=0,0,IFERROR(INDEX(Deals!$BJ$2:$BP$355,MATCH($C692,Deals!$A$2:$A$355,0),MATCH($F692,Deals!$BJ$1:$BP$1,0))/COUNTIFS(Assignments!$C$2:$C$769,$C692,Assignments!$F$2:$F$769,$F692,Assignments!$G$2:$G$769,"Active"),0))</f>
        <v/>
      </c>
    </row>
    <row r="693">
      <c r="A693" s="31" t="n"/>
      <c r="B693" s="16">
        <f>IF($A693="","",IFERROR(INDEX(Roster!$B$2:$B$40,MATCH($A693,Roster!$A$2:$A$40,0)),"?"))</f>
        <v/>
      </c>
      <c r="C693" s="31" t="n"/>
      <c r="D693" s="16">
        <f>IF($C693="","",IFERROR(IF(INDEX(Deals!$C$2:$C$355,MATCH($C693,Deals!$A$2:$A$355,0))=0,"",INDEX(Deals!$C$2:$C$355,MATCH($C693,Deals!$A$2:$A$355,0))),"?"))</f>
        <v/>
      </c>
      <c r="E693" s="16">
        <f>IF($C693="","",IFERROR(INDEX(Deals!$F$2:$F$355,MATCH($C693,Deals!$A$2:$A$355,0)),"?"))</f>
        <v/>
      </c>
      <c r="F693" s="31" t="n"/>
      <c r="G693" s="31" t="n"/>
      <c r="H693" s="31" t="n"/>
      <c r="I693" s="32">
        <f>IF(OR($A693="",$G693&lt;&gt;"Active"),0,IF($H693&lt;&gt;"",$H693,IF($AO693&gt;0,$AP693,IF(AND($R693&lt;&gt;"",IFERROR(INDEX(Templates!$B$3:$H$10,MATCH($R693,Templates!$A$3:$A$10,0),MATCH($F693,Templates!$B$2:$H$2,0)),0)&gt;0),INDEX(Templates!$B$3:$H$10,MATCH($R693,Templates!$A$3:$A$10,0),MATCH($F693,Templates!$B$2:$H$2,0)),IFERROR(INDEX(Settings!$B$8:$B$14,MATCH($F693,Settings!$A$8:$A$14,0)),0)))))</f>
        <v/>
      </c>
      <c r="J693" s="21">
        <f>IF($C693="",0,IFERROR(INDEX(Deals!$H$2:$H$355,MATCH($C693,Deals!$A$2:$A$355,0)),0))</f>
        <v/>
      </c>
      <c r="K693" s="32">
        <f>IF(Settings!$B$4="Yes",$I693*$J693,$I693)</f>
        <v/>
      </c>
      <c r="L693" s="22">
        <f>IF($C693="","",IFERROR(IF(INDEX(Deals!$I$2:$I$355,MATCH($C693,Deals!$A$2:$A$355,0))=0,"",INDEX(Deals!$I$2:$I$355,MATCH($C693,Deals!$A$2:$A$355,0))),""))</f>
        <v/>
      </c>
      <c r="M693" s="22">
        <f>IF($C693="","",IFERROR(IF(INDEX(Deals!$J$2:$J$355,MATCH($C693,Deals!$A$2:$A$355,0))=0,"",INDEX(Deals!$J$2:$J$355,MATCH($C693,Deals!$A$2:$A$355,0))),""))</f>
        <v/>
      </c>
      <c r="N693" s="35">
        <f>IF($L693="",DATE(1900,1,1),$L693)</f>
        <v/>
      </c>
      <c r="O693" s="35">
        <f>IF($M693="",DATE(2100,12,31),$M693)</f>
        <v/>
      </c>
      <c r="P693" s="44" t="n"/>
      <c r="Q693" s="31" t="n"/>
      <c r="R693" s="16">
        <f>IF($C693="","",IFERROR(IF(INDEX(Deals!$U$2:$U$355,MATCH($C693,Deals!$A$2:$A$355,0))=0,"",INDEX(Deals!$U$2:$U$355,MATCH($C693,Deals!$A$2:$A$355,0))),""))</f>
        <v/>
      </c>
      <c r="S693" s="34">
        <f>IFERROR(IF($U693="",1,INDEX(Deals!$V$2:$V$355,MATCH($C693,Deals!$A$2:$A$355,0))),1)</f>
        <v/>
      </c>
      <c r="T693" s="34">
        <f>IFERROR(IF($U693="",1,INDEX(Deals!$W$2:$W$355,MATCH($C693,Deals!$A$2:$A$355,0))),1)</f>
        <v/>
      </c>
      <c r="U693" s="22">
        <f>IF($C693="","",IFERROR(IF(INDEX(Deals!$Y$2:$Y$355,MATCH($C693,Deals!$A$2:$A$355,0))=0,"",INDEX(Deals!$Y$2:$Y$355,MATCH($C693,Deals!$A$2:$A$355,0))),""))</f>
        <v/>
      </c>
      <c r="V693" s="35">
        <f>IF(OR($U693&lt;&gt;"",AND($AO693&gt;0,$L693&lt;&gt;"",$M693&lt;&gt;"")),$N693,DATE(1900,1,1))</f>
        <v/>
      </c>
      <c r="W693" s="35">
        <f>IF($U693&lt;&gt;"",$U693,IF(AND($AO693&gt;0,$L693&lt;&gt;"",$M693&lt;&gt;""),$O693,DATE(2100,12,31)))</f>
        <v/>
      </c>
      <c r="X693" s="32">
        <f>IF($U693="",$K693,$K693*$S693)</f>
        <v/>
      </c>
      <c r="Y693" s="35">
        <f>IF($U693="",DATE(2100,12,31),$U693+1)</f>
        <v/>
      </c>
      <c r="Z693" s="35">
        <f>IF($U693="",DATE(1900,1,1),$O693)</f>
        <v/>
      </c>
      <c r="AA693" s="32">
        <f>IF($U693="",0,$K693*$T693)</f>
        <v/>
      </c>
      <c r="AB693" s="21">
        <f>IF($C693="",0,IFERROR(INDEX(Deals!$AD$2:$AD$355,MATCH($C693,Deals!$A$2:$A$355,0)),0))</f>
        <v/>
      </c>
      <c r="AC693" s="32">
        <f>IF(Settings!$B$4="Yes",$I693*$AB693,$I693)</f>
        <v/>
      </c>
      <c r="AD693" s="22">
        <f>IF($C693="","",IFERROR(IF(INDEX(Deals!$AE$2:$AE$355,MATCH($C693,Deals!$A$2:$A$355,0))=0,"",INDEX(Deals!$AE$2:$AE$355,MATCH($C693,Deals!$A$2:$A$355,0))),""))</f>
        <v/>
      </c>
      <c r="AE693" s="22">
        <f>IF($C693="","",IFERROR(IF(INDEX(Deals!$AF$2:$AF$355,MATCH($C693,Deals!$A$2:$A$355,0))=0,"",INDEX(Deals!$AF$2:$AF$355,MATCH($C693,Deals!$A$2:$A$355,0))),""))</f>
        <v/>
      </c>
      <c r="AF693" s="35">
        <f>IF($AD693="",DATE(1900,1,1),$AD693)</f>
        <v/>
      </c>
      <c r="AG693" s="35">
        <f>IF($AE693="",DATE(2100,12,31),$AE693)</f>
        <v/>
      </c>
      <c r="AH693" s="22">
        <f>IF($C693="","",IFERROR(IF(INDEX(Deals!$AG$2:$AG$355,MATCH($C693,Deals!$A$2:$A$355,0))=0,"",INDEX(Deals!$AG$2:$AG$355,MATCH($C693,Deals!$A$2:$A$355,0))),""))</f>
        <v/>
      </c>
      <c r="AI693" s="35">
        <f>IF(OR($AH693&lt;&gt;"",AND($AO693&gt;0,$AD693&lt;&gt;"",$AE693&lt;&gt;"")),$AF693,DATE(1900,1,1))</f>
        <v/>
      </c>
      <c r="AJ693" s="35">
        <f>IF($AH693&lt;&gt;"",$AH693,IF(AND($AO693&gt;0,$AD693&lt;&gt;"",$AE693&lt;&gt;""),$AG693,DATE(2100,12,31)))</f>
        <v/>
      </c>
      <c r="AK693" s="32">
        <f>IF($AH693="",$AC693,$AC693*$S693)</f>
        <v/>
      </c>
      <c r="AL693" s="35">
        <f>IF($AH693="",DATE(2100,12,31),$AH693+1)</f>
        <v/>
      </c>
      <c r="AM693" s="35">
        <f>IF($AH693="",DATE(1900,1,1),$AG693)</f>
        <v/>
      </c>
      <c r="AN693" s="32">
        <f>IF($AH693="",0,$AC693*$T693)</f>
        <v/>
      </c>
      <c r="AO693" s="46">
        <f>IF($C693="",0,IFERROR(INDEX(Deals!$BD$2:$BD$355,MATCH($C693,Deals!$A$2:$A$355,0)),0))</f>
        <v/>
      </c>
      <c r="AP693" s="18">
        <f>IF($AO693=0,0,IFERROR(INDEX(Deals!$BJ$2:$BP$355,MATCH($C693,Deals!$A$2:$A$355,0),MATCH($F693,Deals!$BJ$1:$BP$1,0))/COUNTIFS(Assignments!$C$2:$C$769,$C693,Assignments!$F$2:$F$769,$F693,Assignments!$G$2:$G$769,"Active"),0))</f>
        <v/>
      </c>
    </row>
    <row r="694">
      <c r="A694" s="31" t="n"/>
      <c r="B694" s="16">
        <f>IF($A694="","",IFERROR(INDEX(Roster!$B$2:$B$40,MATCH($A694,Roster!$A$2:$A$40,0)),"?"))</f>
        <v/>
      </c>
      <c r="C694" s="31" t="n"/>
      <c r="D694" s="16">
        <f>IF($C694="","",IFERROR(IF(INDEX(Deals!$C$2:$C$355,MATCH($C694,Deals!$A$2:$A$355,0))=0,"",INDEX(Deals!$C$2:$C$355,MATCH($C694,Deals!$A$2:$A$355,0))),"?"))</f>
        <v/>
      </c>
      <c r="E694" s="16">
        <f>IF($C694="","",IFERROR(INDEX(Deals!$F$2:$F$355,MATCH($C694,Deals!$A$2:$A$355,0)),"?"))</f>
        <v/>
      </c>
      <c r="F694" s="31" t="n"/>
      <c r="G694" s="31" t="n"/>
      <c r="H694" s="31" t="n"/>
      <c r="I694" s="32">
        <f>IF(OR($A694="",$G694&lt;&gt;"Active"),0,IF($H694&lt;&gt;"",$H694,IF($AO694&gt;0,$AP694,IF(AND($R694&lt;&gt;"",IFERROR(INDEX(Templates!$B$3:$H$10,MATCH($R694,Templates!$A$3:$A$10,0),MATCH($F694,Templates!$B$2:$H$2,0)),0)&gt;0),INDEX(Templates!$B$3:$H$10,MATCH($R694,Templates!$A$3:$A$10,0),MATCH($F694,Templates!$B$2:$H$2,0)),IFERROR(INDEX(Settings!$B$8:$B$14,MATCH($F694,Settings!$A$8:$A$14,0)),0)))))</f>
        <v/>
      </c>
      <c r="J694" s="21">
        <f>IF($C694="",0,IFERROR(INDEX(Deals!$H$2:$H$355,MATCH($C694,Deals!$A$2:$A$355,0)),0))</f>
        <v/>
      </c>
      <c r="K694" s="32">
        <f>IF(Settings!$B$4="Yes",$I694*$J694,$I694)</f>
        <v/>
      </c>
      <c r="L694" s="22">
        <f>IF($C694="","",IFERROR(IF(INDEX(Deals!$I$2:$I$355,MATCH($C694,Deals!$A$2:$A$355,0))=0,"",INDEX(Deals!$I$2:$I$355,MATCH($C694,Deals!$A$2:$A$355,0))),""))</f>
        <v/>
      </c>
      <c r="M694" s="22">
        <f>IF($C694="","",IFERROR(IF(INDEX(Deals!$J$2:$J$355,MATCH($C694,Deals!$A$2:$A$355,0))=0,"",INDEX(Deals!$J$2:$J$355,MATCH($C694,Deals!$A$2:$A$355,0))),""))</f>
        <v/>
      </c>
      <c r="N694" s="35">
        <f>IF($L694="",DATE(1900,1,1),$L694)</f>
        <v/>
      </c>
      <c r="O694" s="35">
        <f>IF($M694="",DATE(2100,12,31),$M694)</f>
        <v/>
      </c>
      <c r="P694" s="44" t="n"/>
      <c r="Q694" s="31" t="n"/>
      <c r="R694" s="16">
        <f>IF($C694="","",IFERROR(IF(INDEX(Deals!$U$2:$U$355,MATCH($C694,Deals!$A$2:$A$355,0))=0,"",INDEX(Deals!$U$2:$U$355,MATCH($C694,Deals!$A$2:$A$355,0))),""))</f>
        <v/>
      </c>
      <c r="S694" s="34">
        <f>IFERROR(IF($U694="",1,INDEX(Deals!$V$2:$V$355,MATCH($C694,Deals!$A$2:$A$355,0))),1)</f>
        <v/>
      </c>
      <c r="T694" s="34">
        <f>IFERROR(IF($U694="",1,INDEX(Deals!$W$2:$W$355,MATCH($C694,Deals!$A$2:$A$355,0))),1)</f>
        <v/>
      </c>
      <c r="U694" s="22">
        <f>IF($C694="","",IFERROR(IF(INDEX(Deals!$Y$2:$Y$355,MATCH($C694,Deals!$A$2:$A$355,0))=0,"",INDEX(Deals!$Y$2:$Y$355,MATCH($C694,Deals!$A$2:$A$355,0))),""))</f>
        <v/>
      </c>
      <c r="V694" s="35">
        <f>IF(OR($U694&lt;&gt;"",AND($AO694&gt;0,$L694&lt;&gt;"",$M694&lt;&gt;"")),$N694,DATE(1900,1,1))</f>
        <v/>
      </c>
      <c r="W694" s="35">
        <f>IF($U694&lt;&gt;"",$U694,IF(AND($AO694&gt;0,$L694&lt;&gt;"",$M694&lt;&gt;""),$O694,DATE(2100,12,31)))</f>
        <v/>
      </c>
      <c r="X694" s="32">
        <f>IF($U694="",$K694,$K694*$S694)</f>
        <v/>
      </c>
      <c r="Y694" s="35">
        <f>IF($U694="",DATE(2100,12,31),$U694+1)</f>
        <v/>
      </c>
      <c r="Z694" s="35">
        <f>IF($U694="",DATE(1900,1,1),$O694)</f>
        <v/>
      </c>
      <c r="AA694" s="32">
        <f>IF($U694="",0,$K694*$T694)</f>
        <v/>
      </c>
      <c r="AB694" s="21">
        <f>IF($C694="",0,IFERROR(INDEX(Deals!$AD$2:$AD$355,MATCH($C694,Deals!$A$2:$A$355,0)),0))</f>
        <v/>
      </c>
      <c r="AC694" s="32">
        <f>IF(Settings!$B$4="Yes",$I694*$AB694,$I694)</f>
        <v/>
      </c>
      <c r="AD694" s="22">
        <f>IF($C694="","",IFERROR(IF(INDEX(Deals!$AE$2:$AE$355,MATCH($C694,Deals!$A$2:$A$355,0))=0,"",INDEX(Deals!$AE$2:$AE$355,MATCH($C694,Deals!$A$2:$A$355,0))),""))</f>
        <v/>
      </c>
      <c r="AE694" s="22">
        <f>IF($C694="","",IFERROR(IF(INDEX(Deals!$AF$2:$AF$355,MATCH($C694,Deals!$A$2:$A$355,0))=0,"",INDEX(Deals!$AF$2:$AF$355,MATCH($C694,Deals!$A$2:$A$355,0))),""))</f>
        <v/>
      </c>
      <c r="AF694" s="35">
        <f>IF($AD694="",DATE(1900,1,1),$AD694)</f>
        <v/>
      </c>
      <c r="AG694" s="35">
        <f>IF($AE694="",DATE(2100,12,31),$AE694)</f>
        <v/>
      </c>
      <c r="AH694" s="22">
        <f>IF($C694="","",IFERROR(IF(INDEX(Deals!$AG$2:$AG$355,MATCH($C694,Deals!$A$2:$A$355,0))=0,"",INDEX(Deals!$AG$2:$AG$355,MATCH($C694,Deals!$A$2:$A$355,0))),""))</f>
        <v/>
      </c>
      <c r="AI694" s="35">
        <f>IF(OR($AH694&lt;&gt;"",AND($AO694&gt;0,$AD694&lt;&gt;"",$AE694&lt;&gt;"")),$AF694,DATE(1900,1,1))</f>
        <v/>
      </c>
      <c r="AJ694" s="35">
        <f>IF($AH694&lt;&gt;"",$AH694,IF(AND($AO694&gt;0,$AD694&lt;&gt;"",$AE694&lt;&gt;""),$AG694,DATE(2100,12,31)))</f>
        <v/>
      </c>
      <c r="AK694" s="32">
        <f>IF($AH694="",$AC694,$AC694*$S694)</f>
        <v/>
      </c>
      <c r="AL694" s="35">
        <f>IF($AH694="",DATE(2100,12,31),$AH694+1)</f>
        <v/>
      </c>
      <c r="AM694" s="35">
        <f>IF($AH694="",DATE(1900,1,1),$AG694)</f>
        <v/>
      </c>
      <c r="AN694" s="32">
        <f>IF($AH694="",0,$AC694*$T694)</f>
        <v/>
      </c>
      <c r="AO694" s="46">
        <f>IF($C694="",0,IFERROR(INDEX(Deals!$BD$2:$BD$355,MATCH($C694,Deals!$A$2:$A$355,0)),0))</f>
        <v/>
      </c>
      <c r="AP694" s="18">
        <f>IF($AO694=0,0,IFERROR(INDEX(Deals!$BJ$2:$BP$355,MATCH($C694,Deals!$A$2:$A$355,0),MATCH($F694,Deals!$BJ$1:$BP$1,0))/COUNTIFS(Assignments!$C$2:$C$769,$C694,Assignments!$F$2:$F$769,$F694,Assignments!$G$2:$G$769,"Active"),0))</f>
        <v/>
      </c>
    </row>
    <row r="695">
      <c r="A695" s="31" t="n"/>
      <c r="B695" s="16">
        <f>IF($A695="","",IFERROR(INDEX(Roster!$B$2:$B$40,MATCH($A695,Roster!$A$2:$A$40,0)),"?"))</f>
        <v/>
      </c>
      <c r="C695" s="31" t="n"/>
      <c r="D695" s="16">
        <f>IF($C695="","",IFERROR(IF(INDEX(Deals!$C$2:$C$355,MATCH($C695,Deals!$A$2:$A$355,0))=0,"",INDEX(Deals!$C$2:$C$355,MATCH($C695,Deals!$A$2:$A$355,0))),"?"))</f>
        <v/>
      </c>
      <c r="E695" s="16">
        <f>IF($C695="","",IFERROR(INDEX(Deals!$F$2:$F$355,MATCH($C695,Deals!$A$2:$A$355,0)),"?"))</f>
        <v/>
      </c>
      <c r="F695" s="31" t="n"/>
      <c r="G695" s="31" t="n"/>
      <c r="H695" s="31" t="n"/>
      <c r="I695" s="32">
        <f>IF(OR($A695="",$G695&lt;&gt;"Active"),0,IF($H695&lt;&gt;"",$H695,IF($AO695&gt;0,$AP695,IF(AND($R695&lt;&gt;"",IFERROR(INDEX(Templates!$B$3:$H$10,MATCH($R695,Templates!$A$3:$A$10,0),MATCH($F695,Templates!$B$2:$H$2,0)),0)&gt;0),INDEX(Templates!$B$3:$H$10,MATCH($R695,Templates!$A$3:$A$10,0),MATCH($F695,Templates!$B$2:$H$2,0)),IFERROR(INDEX(Settings!$B$8:$B$14,MATCH($F695,Settings!$A$8:$A$14,0)),0)))))</f>
        <v/>
      </c>
      <c r="J695" s="21">
        <f>IF($C695="",0,IFERROR(INDEX(Deals!$H$2:$H$355,MATCH($C695,Deals!$A$2:$A$355,0)),0))</f>
        <v/>
      </c>
      <c r="K695" s="32">
        <f>IF(Settings!$B$4="Yes",$I695*$J695,$I695)</f>
        <v/>
      </c>
      <c r="L695" s="22">
        <f>IF($C695="","",IFERROR(IF(INDEX(Deals!$I$2:$I$355,MATCH($C695,Deals!$A$2:$A$355,0))=0,"",INDEX(Deals!$I$2:$I$355,MATCH($C695,Deals!$A$2:$A$355,0))),""))</f>
        <v/>
      </c>
      <c r="M695" s="22">
        <f>IF($C695="","",IFERROR(IF(INDEX(Deals!$J$2:$J$355,MATCH($C695,Deals!$A$2:$A$355,0))=0,"",INDEX(Deals!$J$2:$J$355,MATCH($C695,Deals!$A$2:$A$355,0))),""))</f>
        <v/>
      </c>
      <c r="N695" s="35">
        <f>IF($L695="",DATE(1900,1,1),$L695)</f>
        <v/>
      </c>
      <c r="O695" s="35">
        <f>IF($M695="",DATE(2100,12,31),$M695)</f>
        <v/>
      </c>
      <c r="P695" s="44" t="n"/>
      <c r="Q695" s="31" t="n"/>
      <c r="R695" s="16">
        <f>IF($C695="","",IFERROR(IF(INDEX(Deals!$U$2:$U$355,MATCH($C695,Deals!$A$2:$A$355,0))=0,"",INDEX(Deals!$U$2:$U$355,MATCH($C695,Deals!$A$2:$A$355,0))),""))</f>
        <v/>
      </c>
      <c r="S695" s="34">
        <f>IFERROR(IF($U695="",1,INDEX(Deals!$V$2:$V$355,MATCH($C695,Deals!$A$2:$A$355,0))),1)</f>
        <v/>
      </c>
      <c r="T695" s="34">
        <f>IFERROR(IF($U695="",1,INDEX(Deals!$W$2:$W$355,MATCH($C695,Deals!$A$2:$A$355,0))),1)</f>
        <v/>
      </c>
      <c r="U695" s="22">
        <f>IF($C695="","",IFERROR(IF(INDEX(Deals!$Y$2:$Y$355,MATCH($C695,Deals!$A$2:$A$355,0))=0,"",INDEX(Deals!$Y$2:$Y$355,MATCH($C695,Deals!$A$2:$A$355,0))),""))</f>
        <v/>
      </c>
      <c r="V695" s="35">
        <f>IF(OR($U695&lt;&gt;"",AND($AO695&gt;0,$L695&lt;&gt;"",$M695&lt;&gt;"")),$N695,DATE(1900,1,1))</f>
        <v/>
      </c>
      <c r="W695" s="35">
        <f>IF($U695&lt;&gt;"",$U695,IF(AND($AO695&gt;0,$L695&lt;&gt;"",$M695&lt;&gt;""),$O695,DATE(2100,12,31)))</f>
        <v/>
      </c>
      <c r="X695" s="32">
        <f>IF($U695="",$K695,$K695*$S695)</f>
        <v/>
      </c>
      <c r="Y695" s="35">
        <f>IF($U695="",DATE(2100,12,31),$U695+1)</f>
        <v/>
      </c>
      <c r="Z695" s="35">
        <f>IF($U695="",DATE(1900,1,1),$O695)</f>
        <v/>
      </c>
      <c r="AA695" s="32">
        <f>IF($U695="",0,$K695*$T695)</f>
        <v/>
      </c>
      <c r="AB695" s="21">
        <f>IF($C695="",0,IFERROR(INDEX(Deals!$AD$2:$AD$355,MATCH($C695,Deals!$A$2:$A$355,0)),0))</f>
        <v/>
      </c>
      <c r="AC695" s="32">
        <f>IF(Settings!$B$4="Yes",$I695*$AB695,$I695)</f>
        <v/>
      </c>
      <c r="AD695" s="22">
        <f>IF($C695="","",IFERROR(IF(INDEX(Deals!$AE$2:$AE$355,MATCH($C695,Deals!$A$2:$A$355,0))=0,"",INDEX(Deals!$AE$2:$AE$355,MATCH($C695,Deals!$A$2:$A$355,0))),""))</f>
        <v/>
      </c>
      <c r="AE695" s="22">
        <f>IF($C695="","",IFERROR(IF(INDEX(Deals!$AF$2:$AF$355,MATCH($C695,Deals!$A$2:$A$355,0))=0,"",INDEX(Deals!$AF$2:$AF$355,MATCH($C695,Deals!$A$2:$A$355,0))),""))</f>
        <v/>
      </c>
      <c r="AF695" s="35">
        <f>IF($AD695="",DATE(1900,1,1),$AD695)</f>
        <v/>
      </c>
      <c r="AG695" s="35">
        <f>IF($AE695="",DATE(2100,12,31),$AE695)</f>
        <v/>
      </c>
      <c r="AH695" s="22">
        <f>IF($C695="","",IFERROR(IF(INDEX(Deals!$AG$2:$AG$355,MATCH($C695,Deals!$A$2:$A$355,0))=0,"",INDEX(Deals!$AG$2:$AG$355,MATCH($C695,Deals!$A$2:$A$355,0))),""))</f>
        <v/>
      </c>
      <c r="AI695" s="35">
        <f>IF(OR($AH695&lt;&gt;"",AND($AO695&gt;0,$AD695&lt;&gt;"",$AE695&lt;&gt;"")),$AF695,DATE(1900,1,1))</f>
        <v/>
      </c>
      <c r="AJ695" s="35">
        <f>IF($AH695&lt;&gt;"",$AH695,IF(AND($AO695&gt;0,$AD695&lt;&gt;"",$AE695&lt;&gt;""),$AG695,DATE(2100,12,31)))</f>
        <v/>
      </c>
      <c r="AK695" s="32">
        <f>IF($AH695="",$AC695,$AC695*$S695)</f>
        <v/>
      </c>
      <c r="AL695" s="35">
        <f>IF($AH695="",DATE(2100,12,31),$AH695+1)</f>
        <v/>
      </c>
      <c r="AM695" s="35">
        <f>IF($AH695="",DATE(1900,1,1),$AG695)</f>
        <v/>
      </c>
      <c r="AN695" s="32">
        <f>IF($AH695="",0,$AC695*$T695)</f>
        <v/>
      </c>
      <c r="AO695" s="46">
        <f>IF($C695="",0,IFERROR(INDEX(Deals!$BD$2:$BD$355,MATCH($C695,Deals!$A$2:$A$355,0)),0))</f>
        <v/>
      </c>
      <c r="AP695" s="18">
        <f>IF($AO695=0,0,IFERROR(INDEX(Deals!$BJ$2:$BP$355,MATCH($C695,Deals!$A$2:$A$355,0),MATCH($F695,Deals!$BJ$1:$BP$1,0))/COUNTIFS(Assignments!$C$2:$C$769,$C695,Assignments!$F$2:$F$769,$F695,Assignments!$G$2:$G$769,"Active"),0))</f>
        <v/>
      </c>
    </row>
    <row r="696">
      <c r="A696" s="31" t="n"/>
      <c r="B696" s="16">
        <f>IF($A696="","",IFERROR(INDEX(Roster!$B$2:$B$40,MATCH($A696,Roster!$A$2:$A$40,0)),"?"))</f>
        <v/>
      </c>
      <c r="C696" s="31" t="n"/>
      <c r="D696" s="16">
        <f>IF($C696="","",IFERROR(IF(INDEX(Deals!$C$2:$C$355,MATCH($C696,Deals!$A$2:$A$355,0))=0,"",INDEX(Deals!$C$2:$C$355,MATCH($C696,Deals!$A$2:$A$355,0))),"?"))</f>
        <v/>
      </c>
      <c r="E696" s="16">
        <f>IF($C696="","",IFERROR(INDEX(Deals!$F$2:$F$355,MATCH($C696,Deals!$A$2:$A$355,0)),"?"))</f>
        <v/>
      </c>
      <c r="F696" s="31" t="n"/>
      <c r="G696" s="31" t="n"/>
      <c r="H696" s="31" t="n"/>
      <c r="I696" s="32">
        <f>IF(OR($A696="",$G696&lt;&gt;"Active"),0,IF($H696&lt;&gt;"",$H696,IF($AO696&gt;0,$AP696,IF(AND($R696&lt;&gt;"",IFERROR(INDEX(Templates!$B$3:$H$10,MATCH($R696,Templates!$A$3:$A$10,0),MATCH($F696,Templates!$B$2:$H$2,0)),0)&gt;0),INDEX(Templates!$B$3:$H$10,MATCH($R696,Templates!$A$3:$A$10,0),MATCH($F696,Templates!$B$2:$H$2,0)),IFERROR(INDEX(Settings!$B$8:$B$14,MATCH($F696,Settings!$A$8:$A$14,0)),0)))))</f>
        <v/>
      </c>
      <c r="J696" s="21">
        <f>IF($C696="",0,IFERROR(INDEX(Deals!$H$2:$H$355,MATCH($C696,Deals!$A$2:$A$355,0)),0))</f>
        <v/>
      </c>
      <c r="K696" s="32">
        <f>IF(Settings!$B$4="Yes",$I696*$J696,$I696)</f>
        <v/>
      </c>
      <c r="L696" s="22">
        <f>IF($C696="","",IFERROR(IF(INDEX(Deals!$I$2:$I$355,MATCH($C696,Deals!$A$2:$A$355,0))=0,"",INDEX(Deals!$I$2:$I$355,MATCH($C696,Deals!$A$2:$A$355,0))),""))</f>
        <v/>
      </c>
      <c r="M696" s="22">
        <f>IF($C696="","",IFERROR(IF(INDEX(Deals!$J$2:$J$355,MATCH($C696,Deals!$A$2:$A$355,0))=0,"",INDEX(Deals!$J$2:$J$355,MATCH($C696,Deals!$A$2:$A$355,0))),""))</f>
        <v/>
      </c>
      <c r="N696" s="35">
        <f>IF($L696="",DATE(1900,1,1),$L696)</f>
        <v/>
      </c>
      <c r="O696" s="35">
        <f>IF($M696="",DATE(2100,12,31),$M696)</f>
        <v/>
      </c>
      <c r="P696" s="44" t="n"/>
      <c r="Q696" s="31" t="n"/>
      <c r="R696" s="16">
        <f>IF($C696="","",IFERROR(IF(INDEX(Deals!$U$2:$U$355,MATCH($C696,Deals!$A$2:$A$355,0))=0,"",INDEX(Deals!$U$2:$U$355,MATCH($C696,Deals!$A$2:$A$355,0))),""))</f>
        <v/>
      </c>
      <c r="S696" s="34">
        <f>IFERROR(IF($U696="",1,INDEX(Deals!$V$2:$V$355,MATCH($C696,Deals!$A$2:$A$355,0))),1)</f>
        <v/>
      </c>
      <c r="T696" s="34">
        <f>IFERROR(IF($U696="",1,INDEX(Deals!$W$2:$W$355,MATCH($C696,Deals!$A$2:$A$355,0))),1)</f>
        <v/>
      </c>
      <c r="U696" s="22">
        <f>IF($C696="","",IFERROR(IF(INDEX(Deals!$Y$2:$Y$355,MATCH($C696,Deals!$A$2:$A$355,0))=0,"",INDEX(Deals!$Y$2:$Y$355,MATCH($C696,Deals!$A$2:$A$355,0))),""))</f>
        <v/>
      </c>
      <c r="V696" s="35">
        <f>IF(OR($U696&lt;&gt;"",AND($AO696&gt;0,$L696&lt;&gt;"",$M696&lt;&gt;"")),$N696,DATE(1900,1,1))</f>
        <v/>
      </c>
      <c r="W696" s="35">
        <f>IF($U696&lt;&gt;"",$U696,IF(AND($AO696&gt;0,$L696&lt;&gt;"",$M696&lt;&gt;""),$O696,DATE(2100,12,31)))</f>
        <v/>
      </c>
      <c r="X696" s="32">
        <f>IF($U696="",$K696,$K696*$S696)</f>
        <v/>
      </c>
      <c r="Y696" s="35">
        <f>IF($U696="",DATE(2100,12,31),$U696+1)</f>
        <v/>
      </c>
      <c r="Z696" s="35">
        <f>IF($U696="",DATE(1900,1,1),$O696)</f>
        <v/>
      </c>
      <c r="AA696" s="32">
        <f>IF($U696="",0,$K696*$T696)</f>
        <v/>
      </c>
      <c r="AB696" s="21">
        <f>IF($C696="",0,IFERROR(INDEX(Deals!$AD$2:$AD$355,MATCH($C696,Deals!$A$2:$A$355,0)),0))</f>
        <v/>
      </c>
      <c r="AC696" s="32">
        <f>IF(Settings!$B$4="Yes",$I696*$AB696,$I696)</f>
        <v/>
      </c>
      <c r="AD696" s="22">
        <f>IF($C696="","",IFERROR(IF(INDEX(Deals!$AE$2:$AE$355,MATCH($C696,Deals!$A$2:$A$355,0))=0,"",INDEX(Deals!$AE$2:$AE$355,MATCH($C696,Deals!$A$2:$A$355,0))),""))</f>
        <v/>
      </c>
      <c r="AE696" s="22">
        <f>IF($C696="","",IFERROR(IF(INDEX(Deals!$AF$2:$AF$355,MATCH($C696,Deals!$A$2:$A$355,0))=0,"",INDEX(Deals!$AF$2:$AF$355,MATCH($C696,Deals!$A$2:$A$355,0))),""))</f>
        <v/>
      </c>
      <c r="AF696" s="35">
        <f>IF($AD696="",DATE(1900,1,1),$AD696)</f>
        <v/>
      </c>
      <c r="AG696" s="35">
        <f>IF($AE696="",DATE(2100,12,31),$AE696)</f>
        <v/>
      </c>
      <c r="AH696" s="22">
        <f>IF($C696="","",IFERROR(IF(INDEX(Deals!$AG$2:$AG$355,MATCH($C696,Deals!$A$2:$A$355,0))=0,"",INDEX(Deals!$AG$2:$AG$355,MATCH($C696,Deals!$A$2:$A$355,0))),""))</f>
        <v/>
      </c>
      <c r="AI696" s="35">
        <f>IF(OR($AH696&lt;&gt;"",AND($AO696&gt;0,$AD696&lt;&gt;"",$AE696&lt;&gt;"")),$AF696,DATE(1900,1,1))</f>
        <v/>
      </c>
      <c r="AJ696" s="35">
        <f>IF($AH696&lt;&gt;"",$AH696,IF(AND($AO696&gt;0,$AD696&lt;&gt;"",$AE696&lt;&gt;""),$AG696,DATE(2100,12,31)))</f>
        <v/>
      </c>
      <c r="AK696" s="32">
        <f>IF($AH696="",$AC696,$AC696*$S696)</f>
        <v/>
      </c>
      <c r="AL696" s="35">
        <f>IF($AH696="",DATE(2100,12,31),$AH696+1)</f>
        <v/>
      </c>
      <c r="AM696" s="35">
        <f>IF($AH696="",DATE(1900,1,1),$AG696)</f>
        <v/>
      </c>
      <c r="AN696" s="32">
        <f>IF($AH696="",0,$AC696*$T696)</f>
        <v/>
      </c>
      <c r="AO696" s="46">
        <f>IF($C696="",0,IFERROR(INDEX(Deals!$BD$2:$BD$355,MATCH($C696,Deals!$A$2:$A$355,0)),0))</f>
        <v/>
      </c>
      <c r="AP696" s="18">
        <f>IF($AO696=0,0,IFERROR(INDEX(Deals!$BJ$2:$BP$355,MATCH($C696,Deals!$A$2:$A$355,0),MATCH($F696,Deals!$BJ$1:$BP$1,0))/COUNTIFS(Assignments!$C$2:$C$769,$C696,Assignments!$F$2:$F$769,$F696,Assignments!$G$2:$G$769,"Active"),0))</f>
        <v/>
      </c>
    </row>
    <row r="697">
      <c r="A697" s="31" t="n"/>
      <c r="B697" s="16">
        <f>IF($A697="","",IFERROR(INDEX(Roster!$B$2:$B$40,MATCH($A697,Roster!$A$2:$A$40,0)),"?"))</f>
        <v/>
      </c>
      <c r="C697" s="31" t="n"/>
      <c r="D697" s="16">
        <f>IF($C697="","",IFERROR(IF(INDEX(Deals!$C$2:$C$355,MATCH($C697,Deals!$A$2:$A$355,0))=0,"",INDEX(Deals!$C$2:$C$355,MATCH($C697,Deals!$A$2:$A$355,0))),"?"))</f>
        <v/>
      </c>
      <c r="E697" s="16">
        <f>IF($C697="","",IFERROR(INDEX(Deals!$F$2:$F$355,MATCH($C697,Deals!$A$2:$A$355,0)),"?"))</f>
        <v/>
      </c>
      <c r="F697" s="31" t="n"/>
      <c r="G697" s="31" t="n"/>
      <c r="H697" s="31" t="n"/>
      <c r="I697" s="32">
        <f>IF(OR($A697="",$G697&lt;&gt;"Active"),0,IF($H697&lt;&gt;"",$H697,IF($AO697&gt;0,$AP697,IF(AND($R697&lt;&gt;"",IFERROR(INDEX(Templates!$B$3:$H$10,MATCH($R697,Templates!$A$3:$A$10,0),MATCH($F697,Templates!$B$2:$H$2,0)),0)&gt;0),INDEX(Templates!$B$3:$H$10,MATCH($R697,Templates!$A$3:$A$10,0),MATCH($F697,Templates!$B$2:$H$2,0)),IFERROR(INDEX(Settings!$B$8:$B$14,MATCH($F697,Settings!$A$8:$A$14,0)),0)))))</f>
        <v/>
      </c>
      <c r="J697" s="21">
        <f>IF($C697="",0,IFERROR(INDEX(Deals!$H$2:$H$355,MATCH($C697,Deals!$A$2:$A$355,0)),0))</f>
        <v/>
      </c>
      <c r="K697" s="32">
        <f>IF(Settings!$B$4="Yes",$I697*$J697,$I697)</f>
        <v/>
      </c>
      <c r="L697" s="22">
        <f>IF($C697="","",IFERROR(IF(INDEX(Deals!$I$2:$I$355,MATCH($C697,Deals!$A$2:$A$355,0))=0,"",INDEX(Deals!$I$2:$I$355,MATCH($C697,Deals!$A$2:$A$355,0))),""))</f>
        <v/>
      </c>
      <c r="M697" s="22">
        <f>IF($C697="","",IFERROR(IF(INDEX(Deals!$J$2:$J$355,MATCH($C697,Deals!$A$2:$A$355,0))=0,"",INDEX(Deals!$J$2:$J$355,MATCH($C697,Deals!$A$2:$A$355,0))),""))</f>
        <v/>
      </c>
      <c r="N697" s="35">
        <f>IF($L697="",DATE(1900,1,1),$L697)</f>
        <v/>
      </c>
      <c r="O697" s="35">
        <f>IF($M697="",DATE(2100,12,31),$M697)</f>
        <v/>
      </c>
      <c r="P697" s="44" t="n"/>
      <c r="Q697" s="31" t="n"/>
      <c r="R697" s="16">
        <f>IF($C697="","",IFERROR(IF(INDEX(Deals!$U$2:$U$355,MATCH($C697,Deals!$A$2:$A$355,0))=0,"",INDEX(Deals!$U$2:$U$355,MATCH($C697,Deals!$A$2:$A$355,0))),""))</f>
        <v/>
      </c>
      <c r="S697" s="34">
        <f>IFERROR(IF($U697="",1,INDEX(Deals!$V$2:$V$355,MATCH($C697,Deals!$A$2:$A$355,0))),1)</f>
        <v/>
      </c>
      <c r="T697" s="34">
        <f>IFERROR(IF($U697="",1,INDEX(Deals!$W$2:$W$355,MATCH($C697,Deals!$A$2:$A$355,0))),1)</f>
        <v/>
      </c>
      <c r="U697" s="22">
        <f>IF($C697="","",IFERROR(IF(INDEX(Deals!$Y$2:$Y$355,MATCH($C697,Deals!$A$2:$A$355,0))=0,"",INDEX(Deals!$Y$2:$Y$355,MATCH($C697,Deals!$A$2:$A$355,0))),""))</f>
        <v/>
      </c>
      <c r="V697" s="35">
        <f>IF(OR($U697&lt;&gt;"",AND($AO697&gt;0,$L697&lt;&gt;"",$M697&lt;&gt;"")),$N697,DATE(1900,1,1))</f>
        <v/>
      </c>
      <c r="W697" s="35">
        <f>IF($U697&lt;&gt;"",$U697,IF(AND($AO697&gt;0,$L697&lt;&gt;"",$M697&lt;&gt;""),$O697,DATE(2100,12,31)))</f>
        <v/>
      </c>
      <c r="X697" s="32">
        <f>IF($U697="",$K697,$K697*$S697)</f>
        <v/>
      </c>
      <c r="Y697" s="35">
        <f>IF($U697="",DATE(2100,12,31),$U697+1)</f>
        <v/>
      </c>
      <c r="Z697" s="35">
        <f>IF($U697="",DATE(1900,1,1),$O697)</f>
        <v/>
      </c>
      <c r="AA697" s="32">
        <f>IF($U697="",0,$K697*$T697)</f>
        <v/>
      </c>
      <c r="AB697" s="21">
        <f>IF($C697="",0,IFERROR(INDEX(Deals!$AD$2:$AD$355,MATCH($C697,Deals!$A$2:$A$355,0)),0))</f>
        <v/>
      </c>
      <c r="AC697" s="32">
        <f>IF(Settings!$B$4="Yes",$I697*$AB697,$I697)</f>
        <v/>
      </c>
      <c r="AD697" s="22">
        <f>IF($C697="","",IFERROR(IF(INDEX(Deals!$AE$2:$AE$355,MATCH($C697,Deals!$A$2:$A$355,0))=0,"",INDEX(Deals!$AE$2:$AE$355,MATCH($C697,Deals!$A$2:$A$355,0))),""))</f>
        <v/>
      </c>
      <c r="AE697" s="22">
        <f>IF($C697="","",IFERROR(IF(INDEX(Deals!$AF$2:$AF$355,MATCH($C697,Deals!$A$2:$A$355,0))=0,"",INDEX(Deals!$AF$2:$AF$355,MATCH($C697,Deals!$A$2:$A$355,0))),""))</f>
        <v/>
      </c>
      <c r="AF697" s="35">
        <f>IF($AD697="",DATE(1900,1,1),$AD697)</f>
        <v/>
      </c>
      <c r="AG697" s="35">
        <f>IF($AE697="",DATE(2100,12,31),$AE697)</f>
        <v/>
      </c>
      <c r="AH697" s="22">
        <f>IF($C697="","",IFERROR(IF(INDEX(Deals!$AG$2:$AG$355,MATCH($C697,Deals!$A$2:$A$355,0))=0,"",INDEX(Deals!$AG$2:$AG$355,MATCH($C697,Deals!$A$2:$A$355,0))),""))</f>
        <v/>
      </c>
      <c r="AI697" s="35">
        <f>IF(OR($AH697&lt;&gt;"",AND($AO697&gt;0,$AD697&lt;&gt;"",$AE697&lt;&gt;"")),$AF697,DATE(1900,1,1))</f>
        <v/>
      </c>
      <c r="AJ697" s="35">
        <f>IF($AH697&lt;&gt;"",$AH697,IF(AND($AO697&gt;0,$AD697&lt;&gt;"",$AE697&lt;&gt;""),$AG697,DATE(2100,12,31)))</f>
        <v/>
      </c>
      <c r="AK697" s="32">
        <f>IF($AH697="",$AC697,$AC697*$S697)</f>
        <v/>
      </c>
      <c r="AL697" s="35">
        <f>IF($AH697="",DATE(2100,12,31),$AH697+1)</f>
        <v/>
      </c>
      <c r="AM697" s="35">
        <f>IF($AH697="",DATE(1900,1,1),$AG697)</f>
        <v/>
      </c>
      <c r="AN697" s="32">
        <f>IF($AH697="",0,$AC697*$T697)</f>
        <v/>
      </c>
      <c r="AO697" s="46">
        <f>IF($C697="",0,IFERROR(INDEX(Deals!$BD$2:$BD$355,MATCH($C697,Deals!$A$2:$A$355,0)),0))</f>
        <v/>
      </c>
      <c r="AP697" s="18">
        <f>IF($AO697=0,0,IFERROR(INDEX(Deals!$BJ$2:$BP$355,MATCH($C697,Deals!$A$2:$A$355,0),MATCH($F697,Deals!$BJ$1:$BP$1,0))/COUNTIFS(Assignments!$C$2:$C$769,$C697,Assignments!$F$2:$F$769,$F697,Assignments!$G$2:$G$769,"Active"),0))</f>
        <v/>
      </c>
    </row>
    <row r="698">
      <c r="A698" s="31" t="n"/>
      <c r="B698" s="16">
        <f>IF($A698="","",IFERROR(INDEX(Roster!$B$2:$B$40,MATCH($A698,Roster!$A$2:$A$40,0)),"?"))</f>
        <v/>
      </c>
      <c r="C698" s="31" t="n"/>
      <c r="D698" s="16">
        <f>IF($C698="","",IFERROR(IF(INDEX(Deals!$C$2:$C$355,MATCH($C698,Deals!$A$2:$A$355,0))=0,"",INDEX(Deals!$C$2:$C$355,MATCH($C698,Deals!$A$2:$A$355,0))),"?"))</f>
        <v/>
      </c>
      <c r="E698" s="16">
        <f>IF($C698="","",IFERROR(INDEX(Deals!$F$2:$F$355,MATCH($C698,Deals!$A$2:$A$355,0)),"?"))</f>
        <v/>
      </c>
      <c r="F698" s="31" t="n"/>
      <c r="G698" s="31" t="n"/>
      <c r="H698" s="31" t="n"/>
      <c r="I698" s="32">
        <f>IF(OR($A698="",$G698&lt;&gt;"Active"),0,IF($H698&lt;&gt;"",$H698,IF($AO698&gt;0,$AP698,IF(AND($R698&lt;&gt;"",IFERROR(INDEX(Templates!$B$3:$H$10,MATCH($R698,Templates!$A$3:$A$10,0),MATCH($F698,Templates!$B$2:$H$2,0)),0)&gt;0),INDEX(Templates!$B$3:$H$10,MATCH($R698,Templates!$A$3:$A$10,0),MATCH($F698,Templates!$B$2:$H$2,0)),IFERROR(INDEX(Settings!$B$8:$B$14,MATCH($F698,Settings!$A$8:$A$14,0)),0)))))</f>
        <v/>
      </c>
      <c r="J698" s="21">
        <f>IF($C698="",0,IFERROR(INDEX(Deals!$H$2:$H$355,MATCH($C698,Deals!$A$2:$A$355,0)),0))</f>
        <v/>
      </c>
      <c r="K698" s="32">
        <f>IF(Settings!$B$4="Yes",$I698*$J698,$I698)</f>
        <v/>
      </c>
      <c r="L698" s="22">
        <f>IF($C698="","",IFERROR(IF(INDEX(Deals!$I$2:$I$355,MATCH($C698,Deals!$A$2:$A$355,0))=0,"",INDEX(Deals!$I$2:$I$355,MATCH($C698,Deals!$A$2:$A$355,0))),""))</f>
        <v/>
      </c>
      <c r="M698" s="22">
        <f>IF($C698="","",IFERROR(IF(INDEX(Deals!$J$2:$J$355,MATCH($C698,Deals!$A$2:$A$355,0))=0,"",INDEX(Deals!$J$2:$J$355,MATCH($C698,Deals!$A$2:$A$355,0))),""))</f>
        <v/>
      </c>
      <c r="N698" s="35">
        <f>IF($L698="",DATE(1900,1,1),$L698)</f>
        <v/>
      </c>
      <c r="O698" s="35">
        <f>IF($M698="",DATE(2100,12,31),$M698)</f>
        <v/>
      </c>
      <c r="P698" s="44" t="n"/>
      <c r="Q698" s="31" t="n"/>
      <c r="R698" s="16">
        <f>IF($C698="","",IFERROR(IF(INDEX(Deals!$U$2:$U$355,MATCH($C698,Deals!$A$2:$A$355,0))=0,"",INDEX(Deals!$U$2:$U$355,MATCH($C698,Deals!$A$2:$A$355,0))),""))</f>
        <v/>
      </c>
      <c r="S698" s="34">
        <f>IFERROR(IF($U698="",1,INDEX(Deals!$V$2:$V$355,MATCH($C698,Deals!$A$2:$A$355,0))),1)</f>
        <v/>
      </c>
      <c r="T698" s="34">
        <f>IFERROR(IF($U698="",1,INDEX(Deals!$W$2:$W$355,MATCH($C698,Deals!$A$2:$A$355,0))),1)</f>
        <v/>
      </c>
      <c r="U698" s="22">
        <f>IF($C698="","",IFERROR(IF(INDEX(Deals!$Y$2:$Y$355,MATCH($C698,Deals!$A$2:$A$355,0))=0,"",INDEX(Deals!$Y$2:$Y$355,MATCH($C698,Deals!$A$2:$A$355,0))),""))</f>
        <v/>
      </c>
      <c r="V698" s="35">
        <f>IF(OR($U698&lt;&gt;"",AND($AO698&gt;0,$L698&lt;&gt;"",$M698&lt;&gt;"")),$N698,DATE(1900,1,1))</f>
        <v/>
      </c>
      <c r="W698" s="35">
        <f>IF($U698&lt;&gt;"",$U698,IF(AND($AO698&gt;0,$L698&lt;&gt;"",$M698&lt;&gt;""),$O698,DATE(2100,12,31)))</f>
        <v/>
      </c>
      <c r="X698" s="32">
        <f>IF($U698="",$K698,$K698*$S698)</f>
        <v/>
      </c>
      <c r="Y698" s="35">
        <f>IF($U698="",DATE(2100,12,31),$U698+1)</f>
        <v/>
      </c>
      <c r="Z698" s="35">
        <f>IF($U698="",DATE(1900,1,1),$O698)</f>
        <v/>
      </c>
      <c r="AA698" s="32">
        <f>IF($U698="",0,$K698*$T698)</f>
        <v/>
      </c>
      <c r="AB698" s="21">
        <f>IF($C698="",0,IFERROR(INDEX(Deals!$AD$2:$AD$355,MATCH($C698,Deals!$A$2:$A$355,0)),0))</f>
        <v/>
      </c>
      <c r="AC698" s="32">
        <f>IF(Settings!$B$4="Yes",$I698*$AB698,$I698)</f>
        <v/>
      </c>
      <c r="AD698" s="22">
        <f>IF($C698="","",IFERROR(IF(INDEX(Deals!$AE$2:$AE$355,MATCH($C698,Deals!$A$2:$A$355,0))=0,"",INDEX(Deals!$AE$2:$AE$355,MATCH($C698,Deals!$A$2:$A$355,0))),""))</f>
        <v/>
      </c>
      <c r="AE698" s="22">
        <f>IF($C698="","",IFERROR(IF(INDEX(Deals!$AF$2:$AF$355,MATCH($C698,Deals!$A$2:$A$355,0))=0,"",INDEX(Deals!$AF$2:$AF$355,MATCH($C698,Deals!$A$2:$A$355,0))),""))</f>
        <v/>
      </c>
      <c r="AF698" s="35">
        <f>IF($AD698="",DATE(1900,1,1),$AD698)</f>
        <v/>
      </c>
      <c r="AG698" s="35">
        <f>IF($AE698="",DATE(2100,12,31),$AE698)</f>
        <v/>
      </c>
      <c r="AH698" s="22">
        <f>IF($C698="","",IFERROR(IF(INDEX(Deals!$AG$2:$AG$355,MATCH($C698,Deals!$A$2:$A$355,0))=0,"",INDEX(Deals!$AG$2:$AG$355,MATCH($C698,Deals!$A$2:$A$355,0))),""))</f>
        <v/>
      </c>
      <c r="AI698" s="35">
        <f>IF(OR($AH698&lt;&gt;"",AND($AO698&gt;0,$AD698&lt;&gt;"",$AE698&lt;&gt;"")),$AF698,DATE(1900,1,1))</f>
        <v/>
      </c>
      <c r="AJ698" s="35">
        <f>IF($AH698&lt;&gt;"",$AH698,IF(AND($AO698&gt;0,$AD698&lt;&gt;"",$AE698&lt;&gt;""),$AG698,DATE(2100,12,31)))</f>
        <v/>
      </c>
      <c r="AK698" s="32">
        <f>IF($AH698="",$AC698,$AC698*$S698)</f>
        <v/>
      </c>
      <c r="AL698" s="35">
        <f>IF($AH698="",DATE(2100,12,31),$AH698+1)</f>
        <v/>
      </c>
      <c r="AM698" s="35">
        <f>IF($AH698="",DATE(1900,1,1),$AG698)</f>
        <v/>
      </c>
      <c r="AN698" s="32">
        <f>IF($AH698="",0,$AC698*$T698)</f>
        <v/>
      </c>
      <c r="AO698" s="46">
        <f>IF($C698="",0,IFERROR(INDEX(Deals!$BD$2:$BD$355,MATCH($C698,Deals!$A$2:$A$355,0)),0))</f>
        <v/>
      </c>
      <c r="AP698" s="18">
        <f>IF($AO698=0,0,IFERROR(INDEX(Deals!$BJ$2:$BP$355,MATCH($C698,Deals!$A$2:$A$355,0),MATCH($F698,Deals!$BJ$1:$BP$1,0))/COUNTIFS(Assignments!$C$2:$C$769,$C698,Assignments!$F$2:$F$769,$F698,Assignments!$G$2:$G$769,"Active"),0))</f>
        <v/>
      </c>
    </row>
    <row r="699">
      <c r="A699" s="31" t="n"/>
      <c r="B699" s="16">
        <f>IF($A699="","",IFERROR(INDEX(Roster!$B$2:$B$40,MATCH($A699,Roster!$A$2:$A$40,0)),"?"))</f>
        <v/>
      </c>
      <c r="C699" s="31" t="n"/>
      <c r="D699" s="16">
        <f>IF($C699="","",IFERROR(IF(INDEX(Deals!$C$2:$C$355,MATCH($C699,Deals!$A$2:$A$355,0))=0,"",INDEX(Deals!$C$2:$C$355,MATCH($C699,Deals!$A$2:$A$355,0))),"?"))</f>
        <v/>
      </c>
      <c r="E699" s="16">
        <f>IF($C699="","",IFERROR(INDEX(Deals!$F$2:$F$355,MATCH($C699,Deals!$A$2:$A$355,0)),"?"))</f>
        <v/>
      </c>
      <c r="F699" s="31" t="n"/>
      <c r="G699" s="31" t="n"/>
      <c r="H699" s="31" t="n"/>
      <c r="I699" s="32">
        <f>IF(OR($A699="",$G699&lt;&gt;"Active"),0,IF($H699&lt;&gt;"",$H699,IF($AO699&gt;0,$AP699,IF(AND($R699&lt;&gt;"",IFERROR(INDEX(Templates!$B$3:$H$10,MATCH($R699,Templates!$A$3:$A$10,0),MATCH($F699,Templates!$B$2:$H$2,0)),0)&gt;0),INDEX(Templates!$B$3:$H$10,MATCH($R699,Templates!$A$3:$A$10,0),MATCH($F699,Templates!$B$2:$H$2,0)),IFERROR(INDEX(Settings!$B$8:$B$14,MATCH($F699,Settings!$A$8:$A$14,0)),0)))))</f>
        <v/>
      </c>
      <c r="J699" s="21">
        <f>IF($C699="",0,IFERROR(INDEX(Deals!$H$2:$H$355,MATCH($C699,Deals!$A$2:$A$355,0)),0))</f>
        <v/>
      </c>
      <c r="K699" s="32">
        <f>IF(Settings!$B$4="Yes",$I699*$J699,$I699)</f>
        <v/>
      </c>
      <c r="L699" s="22">
        <f>IF($C699="","",IFERROR(IF(INDEX(Deals!$I$2:$I$355,MATCH($C699,Deals!$A$2:$A$355,0))=0,"",INDEX(Deals!$I$2:$I$355,MATCH($C699,Deals!$A$2:$A$355,0))),""))</f>
        <v/>
      </c>
      <c r="M699" s="22">
        <f>IF($C699="","",IFERROR(IF(INDEX(Deals!$J$2:$J$355,MATCH($C699,Deals!$A$2:$A$355,0))=0,"",INDEX(Deals!$J$2:$J$355,MATCH($C699,Deals!$A$2:$A$355,0))),""))</f>
        <v/>
      </c>
      <c r="N699" s="35">
        <f>IF($L699="",DATE(1900,1,1),$L699)</f>
        <v/>
      </c>
      <c r="O699" s="35">
        <f>IF($M699="",DATE(2100,12,31),$M699)</f>
        <v/>
      </c>
      <c r="P699" s="44" t="n"/>
      <c r="Q699" s="31" t="n"/>
      <c r="R699" s="16">
        <f>IF($C699="","",IFERROR(IF(INDEX(Deals!$U$2:$U$355,MATCH($C699,Deals!$A$2:$A$355,0))=0,"",INDEX(Deals!$U$2:$U$355,MATCH($C699,Deals!$A$2:$A$355,0))),""))</f>
        <v/>
      </c>
      <c r="S699" s="34">
        <f>IFERROR(IF($U699="",1,INDEX(Deals!$V$2:$V$355,MATCH($C699,Deals!$A$2:$A$355,0))),1)</f>
        <v/>
      </c>
      <c r="T699" s="34">
        <f>IFERROR(IF($U699="",1,INDEX(Deals!$W$2:$W$355,MATCH($C699,Deals!$A$2:$A$355,0))),1)</f>
        <v/>
      </c>
      <c r="U699" s="22">
        <f>IF($C699="","",IFERROR(IF(INDEX(Deals!$Y$2:$Y$355,MATCH($C699,Deals!$A$2:$A$355,0))=0,"",INDEX(Deals!$Y$2:$Y$355,MATCH($C699,Deals!$A$2:$A$355,0))),""))</f>
        <v/>
      </c>
      <c r="V699" s="35">
        <f>IF(OR($U699&lt;&gt;"",AND($AO699&gt;0,$L699&lt;&gt;"",$M699&lt;&gt;"")),$N699,DATE(1900,1,1))</f>
        <v/>
      </c>
      <c r="W699" s="35">
        <f>IF($U699&lt;&gt;"",$U699,IF(AND($AO699&gt;0,$L699&lt;&gt;"",$M699&lt;&gt;""),$O699,DATE(2100,12,31)))</f>
        <v/>
      </c>
      <c r="X699" s="32">
        <f>IF($U699="",$K699,$K699*$S699)</f>
        <v/>
      </c>
      <c r="Y699" s="35">
        <f>IF($U699="",DATE(2100,12,31),$U699+1)</f>
        <v/>
      </c>
      <c r="Z699" s="35">
        <f>IF($U699="",DATE(1900,1,1),$O699)</f>
        <v/>
      </c>
      <c r="AA699" s="32">
        <f>IF($U699="",0,$K699*$T699)</f>
        <v/>
      </c>
      <c r="AB699" s="21">
        <f>IF($C699="",0,IFERROR(INDEX(Deals!$AD$2:$AD$355,MATCH($C699,Deals!$A$2:$A$355,0)),0))</f>
        <v/>
      </c>
      <c r="AC699" s="32">
        <f>IF(Settings!$B$4="Yes",$I699*$AB699,$I699)</f>
        <v/>
      </c>
      <c r="AD699" s="22">
        <f>IF($C699="","",IFERROR(IF(INDEX(Deals!$AE$2:$AE$355,MATCH($C699,Deals!$A$2:$A$355,0))=0,"",INDEX(Deals!$AE$2:$AE$355,MATCH($C699,Deals!$A$2:$A$355,0))),""))</f>
        <v/>
      </c>
      <c r="AE699" s="22">
        <f>IF($C699="","",IFERROR(IF(INDEX(Deals!$AF$2:$AF$355,MATCH($C699,Deals!$A$2:$A$355,0))=0,"",INDEX(Deals!$AF$2:$AF$355,MATCH($C699,Deals!$A$2:$A$355,0))),""))</f>
        <v/>
      </c>
      <c r="AF699" s="35">
        <f>IF($AD699="",DATE(1900,1,1),$AD699)</f>
        <v/>
      </c>
      <c r="AG699" s="35">
        <f>IF($AE699="",DATE(2100,12,31),$AE699)</f>
        <v/>
      </c>
      <c r="AH699" s="22">
        <f>IF($C699="","",IFERROR(IF(INDEX(Deals!$AG$2:$AG$355,MATCH($C699,Deals!$A$2:$A$355,0))=0,"",INDEX(Deals!$AG$2:$AG$355,MATCH($C699,Deals!$A$2:$A$355,0))),""))</f>
        <v/>
      </c>
      <c r="AI699" s="35">
        <f>IF(OR($AH699&lt;&gt;"",AND($AO699&gt;0,$AD699&lt;&gt;"",$AE699&lt;&gt;"")),$AF699,DATE(1900,1,1))</f>
        <v/>
      </c>
      <c r="AJ699" s="35">
        <f>IF($AH699&lt;&gt;"",$AH699,IF(AND($AO699&gt;0,$AD699&lt;&gt;"",$AE699&lt;&gt;""),$AG699,DATE(2100,12,31)))</f>
        <v/>
      </c>
      <c r="AK699" s="32">
        <f>IF($AH699="",$AC699,$AC699*$S699)</f>
        <v/>
      </c>
      <c r="AL699" s="35">
        <f>IF($AH699="",DATE(2100,12,31),$AH699+1)</f>
        <v/>
      </c>
      <c r="AM699" s="35">
        <f>IF($AH699="",DATE(1900,1,1),$AG699)</f>
        <v/>
      </c>
      <c r="AN699" s="32">
        <f>IF($AH699="",0,$AC699*$T699)</f>
        <v/>
      </c>
      <c r="AO699" s="46">
        <f>IF($C699="",0,IFERROR(INDEX(Deals!$BD$2:$BD$355,MATCH($C699,Deals!$A$2:$A$355,0)),0))</f>
        <v/>
      </c>
      <c r="AP699" s="18">
        <f>IF($AO699=0,0,IFERROR(INDEX(Deals!$BJ$2:$BP$355,MATCH($C699,Deals!$A$2:$A$355,0),MATCH($F699,Deals!$BJ$1:$BP$1,0))/COUNTIFS(Assignments!$C$2:$C$769,$C699,Assignments!$F$2:$F$769,$F699,Assignments!$G$2:$G$769,"Active"),0))</f>
        <v/>
      </c>
    </row>
    <row r="700">
      <c r="A700" s="31" t="n"/>
      <c r="B700" s="16">
        <f>IF($A700="","",IFERROR(INDEX(Roster!$B$2:$B$40,MATCH($A700,Roster!$A$2:$A$40,0)),"?"))</f>
        <v/>
      </c>
      <c r="C700" s="31" t="n"/>
      <c r="D700" s="16">
        <f>IF($C700="","",IFERROR(IF(INDEX(Deals!$C$2:$C$355,MATCH($C700,Deals!$A$2:$A$355,0))=0,"",INDEX(Deals!$C$2:$C$355,MATCH($C700,Deals!$A$2:$A$355,0))),"?"))</f>
        <v/>
      </c>
      <c r="E700" s="16">
        <f>IF($C700="","",IFERROR(INDEX(Deals!$F$2:$F$355,MATCH($C700,Deals!$A$2:$A$355,0)),"?"))</f>
        <v/>
      </c>
      <c r="F700" s="31" t="n"/>
      <c r="G700" s="31" t="n"/>
      <c r="H700" s="31" t="n"/>
      <c r="I700" s="32">
        <f>IF(OR($A700="",$G700&lt;&gt;"Active"),0,IF($H700&lt;&gt;"",$H700,IF($AO700&gt;0,$AP700,IF(AND($R700&lt;&gt;"",IFERROR(INDEX(Templates!$B$3:$H$10,MATCH($R700,Templates!$A$3:$A$10,0),MATCH($F700,Templates!$B$2:$H$2,0)),0)&gt;0),INDEX(Templates!$B$3:$H$10,MATCH($R700,Templates!$A$3:$A$10,0),MATCH($F700,Templates!$B$2:$H$2,0)),IFERROR(INDEX(Settings!$B$8:$B$14,MATCH($F700,Settings!$A$8:$A$14,0)),0)))))</f>
        <v/>
      </c>
      <c r="J700" s="21">
        <f>IF($C700="",0,IFERROR(INDEX(Deals!$H$2:$H$355,MATCH($C700,Deals!$A$2:$A$355,0)),0))</f>
        <v/>
      </c>
      <c r="K700" s="32">
        <f>IF(Settings!$B$4="Yes",$I700*$J700,$I700)</f>
        <v/>
      </c>
      <c r="L700" s="22">
        <f>IF($C700="","",IFERROR(IF(INDEX(Deals!$I$2:$I$355,MATCH($C700,Deals!$A$2:$A$355,0))=0,"",INDEX(Deals!$I$2:$I$355,MATCH($C700,Deals!$A$2:$A$355,0))),""))</f>
        <v/>
      </c>
      <c r="M700" s="22">
        <f>IF($C700="","",IFERROR(IF(INDEX(Deals!$J$2:$J$355,MATCH($C700,Deals!$A$2:$A$355,0))=0,"",INDEX(Deals!$J$2:$J$355,MATCH($C700,Deals!$A$2:$A$355,0))),""))</f>
        <v/>
      </c>
      <c r="N700" s="35">
        <f>IF($L700="",DATE(1900,1,1),$L700)</f>
        <v/>
      </c>
      <c r="O700" s="35">
        <f>IF($M700="",DATE(2100,12,31),$M700)</f>
        <v/>
      </c>
      <c r="P700" s="44" t="n"/>
      <c r="Q700" s="31" t="n"/>
      <c r="R700" s="16">
        <f>IF($C700="","",IFERROR(IF(INDEX(Deals!$U$2:$U$355,MATCH($C700,Deals!$A$2:$A$355,0))=0,"",INDEX(Deals!$U$2:$U$355,MATCH($C700,Deals!$A$2:$A$355,0))),""))</f>
        <v/>
      </c>
      <c r="S700" s="34">
        <f>IFERROR(IF($U700="",1,INDEX(Deals!$V$2:$V$355,MATCH($C700,Deals!$A$2:$A$355,0))),1)</f>
        <v/>
      </c>
      <c r="T700" s="34">
        <f>IFERROR(IF($U700="",1,INDEX(Deals!$W$2:$W$355,MATCH($C700,Deals!$A$2:$A$355,0))),1)</f>
        <v/>
      </c>
      <c r="U700" s="22">
        <f>IF($C700="","",IFERROR(IF(INDEX(Deals!$Y$2:$Y$355,MATCH($C700,Deals!$A$2:$A$355,0))=0,"",INDEX(Deals!$Y$2:$Y$355,MATCH($C700,Deals!$A$2:$A$355,0))),""))</f>
        <v/>
      </c>
      <c r="V700" s="35">
        <f>IF(OR($U700&lt;&gt;"",AND($AO700&gt;0,$L700&lt;&gt;"",$M700&lt;&gt;"")),$N700,DATE(1900,1,1))</f>
        <v/>
      </c>
      <c r="W700" s="35">
        <f>IF($U700&lt;&gt;"",$U700,IF(AND($AO700&gt;0,$L700&lt;&gt;"",$M700&lt;&gt;""),$O700,DATE(2100,12,31)))</f>
        <v/>
      </c>
      <c r="X700" s="32">
        <f>IF($U700="",$K700,$K700*$S700)</f>
        <v/>
      </c>
      <c r="Y700" s="35">
        <f>IF($U700="",DATE(2100,12,31),$U700+1)</f>
        <v/>
      </c>
      <c r="Z700" s="35">
        <f>IF($U700="",DATE(1900,1,1),$O700)</f>
        <v/>
      </c>
      <c r="AA700" s="32">
        <f>IF($U700="",0,$K700*$T700)</f>
        <v/>
      </c>
      <c r="AB700" s="21">
        <f>IF($C700="",0,IFERROR(INDEX(Deals!$AD$2:$AD$355,MATCH($C700,Deals!$A$2:$A$355,0)),0))</f>
        <v/>
      </c>
      <c r="AC700" s="32">
        <f>IF(Settings!$B$4="Yes",$I700*$AB700,$I700)</f>
        <v/>
      </c>
      <c r="AD700" s="22">
        <f>IF($C700="","",IFERROR(IF(INDEX(Deals!$AE$2:$AE$355,MATCH($C700,Deals!$A$2:$A$355,0))=0,"",INDEX(Deals!$AE$2:$AE$355,MATCH($C700,Deals!$A$2:$A$355,0))),""))</f>
        <v/>
      </c>
      <c r="AE700" s="22">
        <f>IF($C700="","",IFERROR(IF(INDEX(Deals!$AF$2:$AF$355,MATCH($C700,Deals!$A$2:$A$355,0))=0,"",INDEX(Deals!$AF$2:$AF$355,MATCH($C700,Deals!$A$2:$A$355,0))),""))</f>
        <v/>
      </c>
      <c r="AF700" s="35">
        <f>IF($AD700="",DATE(1900,1,1),$AD700)</f>
        <v/>
      </c>
      <c r="AG700" s="35">
        <f>IF($AE700="",DATE(2100,12,31),$AE700)</f>
        <v/>
      </c>
      <c r="AH700" s="22">
        <f>IF($C700="","",IFERROR(IF(INDEX(Deals!$AG$2:$AG$355,MATCH($C700,Deals!$A$2:$A$355,0))=0,"",INDEX(Deals!$AG$2:$AG$355,MATCH($C700,Deals!$A$2:$A$355,0))),""))</f>
        <v/>
      </c>
      <c r="AI700" s="35">
        <f>IF(OR($AH700&lt;&gt;"",AND($AO700&gt;0,$AD700&lt;&gt;"",$AE700&lt;&gt;"")),$AF700,DATE(1900,1,1))</f>
        <v/>
      </c>
      <c r="AJ700" s="35">
        <f>IF($AH700&lt;&gt;"",$AH700,IF(AND($AO700&gt;0,$AD700&lt;&gt;"",$AE700&lt;&gt;""),$AG700,DATE(2100,12,31)))</f>
        <v/>
      </c>
      <c r="AK700" s="32">
        <f>IF($AH700="",$AC700,$AC700*$S700)</f>
        <v/>
      </c>
      <c r="AL700" s="35">
        <f>IF($AH700="",DATE(2100,12,31),$AH700+1)</f>
        <v/>
      </c>
      <c r="AM700" s="35">
        <f>IF($AH700="",DATE(1900,1,1),$AG700)</f>
        <v/>
      </c>
      <c r="AN700" s="32">
        <f>IF($AH700="",0,$AC700*$T700)</f>
        <v/>
      </c>
      <c r="AO700" s="46">
        <f>IF($C700="",0,IFERROR(INDEX(Deals!$BD$2:$BD$355,MATCH($C700,Deals!$A$2:$A$355,0)),0))</f>
        <v/>
      </c>
      <c r="AP700" s="18">
        <f>IF($AO700=0,0,IFERROR(INDEX(Deals!$BJ$2:$BP$355,MATCH($C700,Deals!$A$2:$A$355,0),MATCH($F700,Deals!$BJ$1:$BP$1,0))/COUNTIFS(Assignments!$C$2:$C$769,$C700,Assignments!$F$2:$F$769,$F700,Assignments!$G$2:$G$769,"Active"),0))</f>
        <v/>
      </c>
    </row>
    <row r="701">
      <c r="A701" s="31" t="n"/>
      <c r="B701" s="16">
        <f>IF($A701="","",IFERROR(INDEX(Roster!$B$2:$B$40,MATCH($A701,Roster!$A$2:$A$40,0)),"?"))</f>
        <v/>
      </c>
      <c r="C701" s="31" t="n"/>
      <c r="D701" s="16">
        <f>IF($C701="","",IFERROR(IF(INDEX(Deals!$C$2:$C$355,MATCH($C701,Deals!$A$2:$A$355,0))=0,"",INDEX(Deals!$C$2:$C$355,MATCH($C701,Deals!$A$2:$A$355,0))),"?"))</f>
        <v/>
      </c>
      <c r="E701" s="16">
        <f>IF($C701="","",IFERROR(INDEX(Deals!$F$2:$F$355,MATCH($C701,Deals!$A$2:$A$355,0)),"?"))</f>
        <v/>
      </c>
      <c r="F701" s="31" t="n"/>
      <c r="G701" s="31" t="n"/>
      <c r="H701" s="31" t="n"/>
      <c r="I701" s="32">
        <f>IF(OR($A701="",$G701&lt;&gt;"Active"),0,IF($H701&lt;&gt;"",$H701,IF($AO701&gt;0,$AP701,IF(AND($R701&lt;&gt;"",IFERROR(INDEX(Templates!$B$3:$H$10,MATCH($R701,Templates!$A$3:$A$10,0),MATCH($F701,Templates!$B$2:$H$2,0)),0)&gt;0),INDEX(Templates!$B$3:$H$10,MATCH($R701,Templates!$A$3:$A$10,0),MATCH($F701,Templates!$B$2:$H$2,0)),IFERROR(INDEX(Settings!$B$8:$B$14,MATCH($F701,Settings!$A$8:$A$14,0)),0)))))</f>
        <v/>
      </c>
      <c r="J701" s="21">
        <f>IF($C701="",0,IFERROR(INDEX(Deals!$H$2:$H$355,MATCH($C701,Deals!$A$2:$A$355,0)),0))</f>
        <v/>
      </c>
      <c r="K701" s="32">
        <f>IF(Settings!$B$4="Yes",$I701*$J701,$I701)</f>
        <v/>
      </c>
      <c r="L701" s="22">
        <f>IF($C701="","",IFERROR(IF(INDEX(Deals!$I$2:$I$355,MATCH($C701,Deals!$A$2:$A$355,0))=0,"",INDEX(Deals!$I$2:$I$355,MATCH($C701,Deals!$A$2:$A$355,0))),""))</f>
        <v/>
      </c>
      <c r="M701" s="22">
        <f>IF($C701="","",IFERROR(IF(INDEX(Deals!$J$2:$J$355,MATCH($C701,Deals!$A$2:$A$355,0))=0,"",INDEX(Deals!$J$2:$J$355,MATCH($C701,Deals!$A$2:$A$355,0))),""))</f>
        <v/>
      </c>
      <c r="N701" s="35">
        <f>IF($L701="",DATE(1900,1,1),$L701)</f>
        <v/>
      </c>
      <c r="O701" s="35">
        <f>IF($M701="",DATE(2100,12,31),$M701)</f>
        <v/>
      </c>
      <c r="P701" s="44" t="n"/>
      <c r="Q701" s="31" t="n"/>
      <c r="R701" s="16">
        <f>IF($C701="","",IFERROR(IF(INDEX(Deals!$U$2:$U$355,MATCH($C701,Deals!$A$2:$A$355,0))=0,"",INDEX(Deals!$U$2:$U$355,MATCH($C701,Deals!$A$2:$A$355,0))),""))</f>
        <v/>
      </c>
      <c r="S701" s="34">
        <f>IFERROR(IF($U701="",1,INDEX(Deals!$V$2:$V$355,MATCH($C701,Deals!$A$2:$A$355,0))),1)</f>
        <v/>
      </c>
      <c r="T701" s="34">
        <f>IFERROR(IF($U701="",1,INDEX(Deals!$W$2:$W$355,MATCH($C701,Deals!$A$2:$A$355,0))),1)</f>
        <v/>
      </c>
      <c r="U701" s="22">
        <f>IF($C701="","",IFERROR(IF(INDEX(Deals!$Y$2:$Y$355,MATCH($C701,Deals!$A$2:$A$355,0))=0,"",INDEX(Deals!$Y$2:$Y$355,MATCH($C701,Deals!$A$2:$A$355,0))),""))</f>
        <v/>
      </c>
      <c r="V701" s="35">
        <f>IF(OR($U701&lt;&gt;"",AND($AO701&gt;0,$L701&lt;&gt;"",$M701&lt;&gt;"")),$N701,DATE(1900,1,1))</f>
        <v/>
      </c>
      <c r="W701" s="35">
        <f>IF($U701&lt;&gt;"",$U701,IF(AND($AO701&gt;0,$L701&lt;&gt;"",$M701&lt;&gt;""),$O701,DATE(2100,12,31)))</f>
        <v/>
      </c>
      <c r="X701" s="32">
        <f>IF($U701="",$K701,$K701*$S701)</f>
        <v/>
      </c>
      <c r="Y701" s="35">
        <f>IF($U701="",DATE(2100,12,31),$U701+1)</f>
        <v/>
      </c>
      <c r="Z701" s="35">
        <f>IF($U701="",DATE(1900,1,1),$O701)</f>
        <v/>
      </c>
      <c r="AA701" s="32">
        <f>IF($U701="",0,$K701*$T701)</f>
        <v/>
      </c>
      <c r="AB701" s="21">
        <f>IF($C701="",0,IFERROR(INDEX(Deals!$AD$2:$AD$355,MATCH($C701,Deals!$A$2:$A$355,0)),0))</f>
        <v/>
      </c>
      <c r="AC701" s="32">
        <f>IF(Settings!$B$4="Yes",$I701*$AB701,$I701)</f>
        <v/>
      </c>
      <c r="AD701" s="22">
        <f>IF($C701="","",IFERROR(IF(INDEX(Deals!$AE$2:$AE$355,MATCH($C701,Deals!$A$2:$A$355,0))=0,"",INDEX(Deals!$AE$2:$AE$355,MATCH($C701,Deals!$A$2:$A$355,0))),""))</f>
        <v/>
      </c>
      <c r="AE701" s="22">
        <f>IF($C701="","",IFERROR(IF(INDEX(Deals!$AF$2:$AF$355,MATCH($C701,Deals!$A$2:$A$355,0))=0,"",INDEX(Deals!$AF$2:$AF$355,MATCH($C701,Deals!$A$2:$A$355,0))),""))</f>
        <v/>
      </c>
      <c r="AF701" s="35">
        <f>IF($AD701="",DATE(1900,1,1),$AD701)</f>
        <v/>
      </c>
      <c r="AG701" s="35">
        <f>IF($AE701="",DATE(2100,12,31),$AE701)</f>
        <v/>
      </c>
      <c r="AH701" s="22">
        <f>IF($C701="","",IFERROR(IF(INDEX(Deals!$AG$2:$AG$355,MATCH($C701,Deals!$A$2:$A$355,0))=0,"",INDEX(Deals!$AG$2:$AG$355,MATCH($C701,Deals!$A$2:$A$355,0))),""))</f>
        <v/>
      </c>
      <c r="AI701" s="35">
        <f>IF(OR($AH701&lt;&gt;"",AND($AO701&gt;0,$AD701&lt;&gt;"",$AE701&lt;&gt;"")),$AF701,DATE(1900,1,1))</f>
        <v/>
      </c>
      <c r="AJ701" s="35">
        <f>IF($AH701&lt;&gt;"",$AH701,IF(AND($AO701&gt;0,$AD701&lt;&gt;"",$AE701&lt;&gt;""),$AG701,DATE(2100,12,31)))</f>
        <v/>
      </c>
      <c r="AK701" s="32">
        <f>IF($AH701="",$AC701,$AC701*$S701)</f>
        <v/>
      </c>
      <c r="AL701" s="35">
        <f>IF($AH701="",DATE(2100,12,31),$AH701+1)</f>
        <v/>
      </c>
      <c r="AM701" s="35">
        <f>IF($AH701="",DATE(1900,1,1),$AG701)</f>
        <v/>
      </c>
      <c r="AN701" s="32">
        <f>IF($AH701="",0,$AC701*$T701)</f>
        <v/>
      </c>
      <c r="AO701" s="46">
        <f>IF($C701="",0,IFERROR(INDEX(Deals!$BD$2:$BD$355,MATCH($C701,Deals!$A$2:$A$355,0)),0))</f>
        <v/>
      </c>
      <c r="AP701" s="18">
        <f>IF($AO701=0,0,IFERROR(INDEX(Deals!$BJ$2:$BP$355,MATCH($C701,Deals!$A$2:$A$355,0),MATCH($F701,Deals!$BJ$1:$BP$1,0))/COUNTIFS(Assignments!$C$2:$C$769,$C701,Assignments!$F$2:$F$769,$F701,Assignments!$G$2:$G$769,"Active"),0))</f>
        <v/>
      </c>
    </row>
    <row r="702">
      <c r="A702" s="31" t="n"/>
      <c r="B702" s="16">
        <f>IF($A702="","",IFERROR(INDEX(Roster!$B$2:$B$40,MATCH($A702,Roster!$A$2:$A$40,0)),"?"))</f>
        <v/>
      </c>
      <c r="C702" s="31" t="n"/>
      <c r="D702" s="16">
        <f>IF($C702="","",IFERROR(IF(INDEX(Deals!$C$2:$C$355,MATCH($C702,Deals!$A$2:$A$355,0))=0,"",INDEX(Deals!$C$2:$C$355,MATCH($C702,Deals!$A$2:$A$355,0))),"?"))</f>
        <v/>
      </c>
      <c r="E702" s="16">
        <f>IF($C702="","",IFERROR(INDEX(Deals!$F$2:$F$355,MATCH($C702,Deals!$A$2:$A$355,0)),"?"))</f>
        <v/>
      </c>
      <c r="F702" s="31" t="n"/>
      <c r="G702" s="31" t="n"/>
      <c r="H702" s="31" t="n"/>
      <c r="I702" s="32">
        <f>IF(OR($A702="",$G702&lt;&gt;"Active"),0,IF($H702&lt;&gt;"",$H702,IF($AO702&gt;0,$AP702,IF(AND($R702&lt;&gt;"",IFERROR(INDEX(Templates!$B$3:$H$10,MATCH($R702,Templates!$A$3:$A$10,0),MATCH($F702,Templates!$B$2:$H$2,0)),0)&gt;0),INDEX(Templates!$B$3:$H$10,MATCH($R702,Templates!$A$3:$A$10,0),MATCH($F702,Templates!$B$2:$H$2,0)),IFERROR(INDEX(Settings!$B$8:$B$14,MATCH($F702,Settings!$A$8:$A$14,0)),0)))))</f>
        <v/>
      </c>
      <c r="J702" s="21">
        <f>IF($C702="",0,IFERROR(INDEX(Deals!$H$2:$H$355,MATCH($C702,Deals!$A$2:$A$355,0)),0))</f>
        <v/>
      </c>
      <c r="K702" s="32">
        <f>IF(Settings!$B$4="Yes",$I702*$J702,$I702)</f>
        <v/>
      </c>
      <c r="L702" s="22">
        <f>IF($C702="","",IFERROR(IF(INDEX(Deals!$I$2:$I$355,MATCH($C702,Deals!$A$2:$A$355,0))=0,"",INDEX(Deals!$I$2:$I$355,MATCH($C702,Deals!$A$2:$A$355,0))),""))</f>
        <v/>
      </c>
      <c r="M702" s="22">
        <f>IF($C702="","",IFERROR(IF(INDEX(Deals!$J$2:$J$355,MATCH($C702,Deals!$A$2:$A$355,0))=0,"",INDEX(Deals!$J$2:$J$355,MATCH($C702,Deals!$A$2:$A$355,0))),""))</f>
        <v/>
      </c>
      <c r="N702" s="35">
        <f>IF($L702="",DATE(1900,1,1),$L702)</f>
        <v/>
      </c>
      <c r="O702" s="35">
        <f>IF($M702="",DATE(2100,12,31),$M702)</f>
        <v/>
      </c>
      <c r="P702" s="44" t="n"/>
      <c r="Q702" s="31" t="n"/>
      <c r="R702" s="16">
        <f>IF($C702="","",IFERROR(IF(INDEX(Deals!$U$2:$U$355,MATCH($C702,Deals!$A$2:$A$355,0))=0,"",INDEX(Deals!$U$2:$U$355,MATCH($C702,Deals!$A$2:$A$355,0))),""))</f>
        <v/>
      </c>
      <c r="S702" s="34">
        <f>IFERROR(IF($U702="",1,INDEX(Deals!$V$2:$V$355,MATCH($C702,Deals!$A$2:$A$355,0))),1)</f>
        <v/>
      </c>
      <c r="T702" s="34">
        <f>IFERROR(IF($U702="",1,INDEX(Deals!$W$2:$W$355,MATCH($C702,Deals!$A$2:$A$355,0))),1)</f>
        <v/>
      </c>
      <c r="U702" s="22">
        <f>IF($C702="","",IFERROR(IF(INDEX(Deals!$Y$2:$Y$355,MATCH($C702,Deals!$A$2:$A$355,0))=0,"",INDEX(Deals!$Y$2:$Y$355,MATCH($C702,Deals!$A$2:$A$355,0))),""))</f>
        <v/>
      </c>
      <c r="V702" s="35">
        <f>IF(OR($U702&lt;&gt;"",AND($AO702&gt;0,$L702&lt;&gt;"",$M702&lt;&gt;"")),$N702,DATE(1900,1,1))</f>
        <v/>
      </c>
      <c r="W702" s="35">
        <f>IF($U702&lt;&gt;"",$U702,IF(AND($AO702&gt;0,$L702&lt;&gt;"",$M702&lt;&gt;""),$O702,DATE(2100,12,31)))</f>
        <v/>
      </c>
      <c r="X702" s="32">
        <f>IF($U702="",$K702,$K702*$S702)</f>
        <v/>
      </c>
      <c r="Y702" s="35">
        <f>IF($U702="",DATE(2100,12,31),$U702+1)</f>
        <v/>
      </c>
      <c r="Z702" s="35">
        <f>IF($U702="",DATE(1900,1,1),$O702)</f>
        <v/>
      </c>
      <c r="AA702" s="32">
        <f>IF($U702="",0,$K702*$T702)</f>
        <v/>
      </c>
      <c r="AB702" s="21">
        <f>IF($C702="",0,IFERROR(INDEX(Deals!$AD$2:$AD$355,MATCH($C702,Deals!$A$2:$A$355,0)),0))</f>
        <v/>
      </c>
      <c r="AC702" s="32">
        <f>IF(Settings!$B$4="Yes",$I702*$AB702,$I702)</f>
        <v/>
      </c>
      <c r="AD702" s="22">
        <f>IF($C702="","",IFERROR(IF(INDEX(Deals!$AE$2:$AE$355,MATCH($C702,Deals!$A$2:$A$355,0))=0,"",INDEX(Deals!$AE$2:$AE$355,MATCH($C702,Deals!$A$2:$A$355,0))),""))</f>
        <v/>
      </c>
      <c r="AE702" s="22">
        <f>IF($C702="","",IFERROR(IF(INDEX(Deals!$AF$2:$AF$355,MATCH($C702,Deals!$A$2:$A$355,0))=0,"",INDEX(Deals!$AF$2:$AF$355,MATCH($C702,Deals!$A$2:$A$355,0))),""))</f>
        <v/>
      </c>
      <c r="AF702" s="35">
        <f>IF($AD702="",DATE(1900,1,1),$AD702)</f>
        <v/>
      </c>
      <c r="AG702" s="35">
        <f>IF($AE702="",DATE(2100,12,31),$AE702)</f>
        <v/>
      </c>
      <c r="AH702" s="22">
        <f>IF($C702="","",IFERROR(IF(INDEX(Deals!$AG$2:$AG$355,MATCH($C702,Deals!$A$2:$A$355,0))=0,"",INDEX(Deals!$AG$2:$AG$355,MATCH($C702,Deals!$A$2:$A$355,0))),""))</f>
        <v/>
      </c>
      <c r="AI702" s="35">
        <f>IF(OR($AH702&lt;&gt;"",AND($AO702&gt;0,$AD702&lt;&gt;"",$AE702&lt;&gt;"")),$AF702,DATE(1900,1,1))</f>
        <v/>
      </c>
      <c r="AJ702" s="35">
        <f>IF($AH702&lt;&gt;"",$AH702,IF(AND($AO702&gt;0,$AD702&lt;&gt;"",$AE702&lt;&gt;""),$AG702,DATE(2100,12,31)))</f>
        <v/>
      </c>
      <c r="AK702" s="32">
        <f>IF($AH702="",$AC702,$AC702*$S702)</f>
        <v/>
      </c>
      <c r="AL702" s="35">
        <f>IF($AH702="",DATE(2100,12,31),$AH702+1)</f>
        <v/>
      </c>
      <c r="AM702" s="35">
        <f>IF($AH702="",DATE(1900,1,1),$AG702)</f>
        <v/>
      </c>
      <c r="AN702" s="32">
        <f>IF($AH702="",0,$AC702*$T702)</f>
        <v/>
      </c>
      <c r="AO702" s="46">
        <f>IF($C702="",0,IFERROR(INDEX(Deals!$BD$2:$BD$355,MATCH($C702,Deals!$A$2:$A$355,0)),0))</f>
        <v/>
      </c>
      <c r="AP702" s="18">
        <f>IF($AO702=0,0,IFERROR(INDEX(Deals!$BJ$2:$BP$355,MATCH($C702,Deals!$A$2:$A$355,0),MATCH($F702,Deals!$BJ$1:$BP$1,0))/COUNTIFS(Assignments!$C$2:$C$769,$C702,Assignments!$F$2:$F$769,$F702,Assignments!$G$2:$G$769,"Active"),0))</f>
        <v/>
      </c>
    </row>
    <row r="703">
      <c r="A703" s="31" t="n"/>
      <c r="B703" s="16">
        <f>IF($A703="","",IFERROR(INDEX(Roster!$B$2:$B$40,MATCH($A703,Roster!$A$2:$A$40,0)),"?"))</f>
        <v/>
      </c>
      <c r="C703" s="31" t="n"/>
      <c r="D703" s="16">
        <f>IF($C703="","",IFERROR(IF(INDEX(Deals!$C$2:$C$355,MATCH($C703,Deals!$A$2:$A$355,0))=0,"",INDEX(Deals!$C$2:$C$355,MATCH($C703,Deals!$A$2:$A$355,0))),"?"))</f>
        <v/>
      </c>
      <c r="E703" s="16">
        <f>IF($C703="","",IFERROR(INDEX(Deals!$F$2:$F$355,MATCH($C703,Deals!$A$2:$A$355,0)),"?"))</f>
        <v/>
      </c>
      <c r="F703" s="31" t="n"/>
      <c r="G703" s="31" t="n"/>
      <c r="H703" s="31" t="n"/>
      <c r="I703" s="32">
        <f>IF(OR($A703="",$G703&lt;&gt;"Active"),0,IF($H703&lt;&gt;"",$H703,IF($AO703&gt;0,$AP703,IF(AND($R703&lt;&gt;"",IFERROR(INDEX(Templates!$B$3:$H$10,MATCH($R703,Templates!$A$3:$A$10,0),MATCH($F703,Templates!$B$2:$H$2,0)),0)&gt;0),INDEX(Templates!$B$3:$H$10,MATCH($R703,Templates!$A$3:$A$10,0),MATCH($F703,Templates!$B$2:$H$2,0)),IFERROR(INDEX(Settings!$B$8:$B$14,MATCH($F703,Settings!$A$8:$A$14,0)),0)))))</f>
        <v/>
      </c>
      <c r="J703" s="21">
        <f>IF($C703="",0,IFERROR(INDEX(Deals!$H$2:$H$355,MATCH($C703,Deals!$A$2:$A$355,0)),0))</f>
        <v/>
      </c>
      <c r="K703" s="32">
        <f>IF(Settings!$B$4="Yes",$I703*$J703,$I703)</f>
        <v/>
      </c>
      <c r="L703" s="22">
        <f>IF($C703="","",IFERROR(IF(INDEX(Deals!$I$2:$I$355,MATCH($C703,Deals!$A$2:$A$355,0))=0,"",INDEX(Deals!$I$2:$I$355,MATCH($C703,Deals!$A$2:$A$355,0))),""))</f>
        <v/>
      </c>
      <c r="M703" s="22">
        <f>IF($C703="","",IFERROR(IF(INDEX(Deals!$J$2:$J$355,MATCH($C703,Deals!$A$2:$A$355,0))=0,"",INDEX(Deals!$J$2:$J$355,MATCH($C703,Deals!$A$2:$A$355,0))),""))</f>
        <v/>
      </c>
      <c r="N703" s="35">
        <f>IF($L703="",DATE(1900,1,1),$L703)</f>
        <v/>
      </c>
      <c r="O703" s="35">
        <f>IF($M703="",DATE(2100,12,31),$M703)</f>
        <v/>
      </c>
      <c r="P703" s="44" t="n"/>
      <c r="Q703" s="31" t="n"/>
      <c r="R703" s="16">
        <f>IF($C703="","",IFERROR(IF(INDEX(Deals!$U$2:$U$355,MATCH($C703,Deals!$A$2:$A$355,0))=0,"",INDEX(Deals!$U$2:$U$355,MATCH($C703,Deals!$A$2:$A$355,0))),""))</f>
        <v/>
      </c>
      <c r="S703" s="34">
        <f>IFERROR(IF($U703="",1,INDEX(Deals!$V$2:$V$355,MATCH($C703,Deals!$A$2:$A$355,0))),1)</f>
        <v/>
      </c>
      <c r="T703" s="34">
        <f>IFERROR(IF($U703="",1,INDEX(Deals!$W$2:$W$355,MATCH($C703,Deals!$A$2:$A$355,0))),1)</f>
        <v/>
      </c>
      <c r="U703" s="22">
        <f>IF($C703="","",IFERROR(IF(INDEX(Deals!$Y$2:$Y$355,MATCH($C703,Deals!$A$2:$A$355,0))=0,"",INDEX(Deals!$Y$2:$Y$355,MATCH($C703,Deals!$A$2:$A$355,0))),""))</f>
        <v/>
      </c>
      <c r="V703" s="35">
        <f>IF(OR($U703&lt;&gt;"",AND($AO703&gt;0,$L703&lt;&gt;"",$M703&lt;&gt;"")),$N703,DATE(1900,1,1))</f>
        <v/>
      </c>
      <c r="W703" s="35">
        <f>IF($U703&lt;&gt;"",$U703,IF(AND($AO703&gt;0,$L703&lt;&gt;"",$M703&lt;&gt;""),$O703,DATE(2100,12,31)))</f>
        <v/>
      </c>
      <c r="X703" s="32">
        <f>IF($U703="",$K703,$K703*$S703)</f>
        <v/>
      </c>
      <c r="Y703" s="35">
        <f>IF($U703="",DATE(2100,12,31),$U703+1)</f>
        <v/>
      </c>
      <c r="Z703" s="35">
        <f>IF($U703="",DATE(1900,1,1),$O703)</f>
        <v/>
      </c>
      <c r="AA703" s="32">
        <f>IF($U703="",0,$K703*$T703)</f>
        <v/>
      </c>
      <c r="AB703" s="21">
        <f>IF($C703="",0,IFERROR(INDEX(Deals!$AD$2:$AD$355,MATCH($C703,Deals!$A$2:$A$355,0)),0))</f>
        <v/>
      </c>
      <c r="AC703" s="32">
        <f>IF(Settings!$B$4="Yes",$I703*$AB703,$I703)</f>
        <v/>
      </c>
      <c r="AD703" s="22">
        <f>IF($C703="","",IFERROR(IF(INDEX(Deals!$AE$2:$AE$355,MATCH($C703,Deals!$A$2:$A$355,0))=0,"",INDEX(Deals!$AE$2:$AE$355,MATCH($C703,Deals!$A$2:$A$355,0))),""))</f>
        <v/>
      </c>
      <c r="AE703" s="22">
        <f>IF($C703="","",IFERROR(IF(INDEX(Deals!$AF$2:$AF$355,MATCH($C703,Deals!$A$2:$A$355,0))=0,"",INDEX(Deals!$AF$2:$AF$355,MATCH($C703,Deals!$A$2:$A$355,0))),""))</f>
        <v/>
      </c>
      <c r="AF703" s="35">
        <f>IF($AD703="",DATE(1900,1,1),$AD703)</f>
        <v/>
      </c>
      <c r="AG703" s="35">
        <f>IF($AE703="",DATE(2100,12,31),$AE703)</f>
        <v/>
      </c>
      <c r="AH703" s="22">
        <f>IF($C703="","",IFERROR(IF(INDEX(Deals!$AG$2:$AG$355,MATCH($C703,Deals!$A$2:$A$355,0))=0,"",INDEX(Deals!$AG$2:$AG$355,MATCH($C703,Deals!$A$2:$A$355,0))),""))</f>
        <v/>
      </c>
      <c r="AI703" s="35">
        <f>IF(OR($AH703&lt;&gt;"",AND($AO703&gt;0,$AD703&lt;&gt;"",$AE703&lt;&gt;"")),$AF703,DATE(1900,1,1))</f>
        <v/>
      </c>
      <c r="AJ703" s="35">
        <f>IF($AH703&lt;&gt;"",$AH703,IF(AND($AO703&gt;0,$AD703&lt;&gt;"",$AE703&lt;&gt;""),$AG703,DATE(2100,12,31)))</f>
        <v/>
      </c>
      <c r="AK703" s="32">
        <f>IF($AH703="",$AC703,$AC703*$S703)</f>
        <v/>
      </c>
      <c r="AL703" s="35">
        <f>IF($AH703="",DATE(2100,12,31),$AH703+1)</f>
        <v/>
      </c>
      <c r="AM703" s="35">
        <f>IF($AH703="",DATE(1900,1,1),$AG703)</f>
        <v/>
      </c>
      <c r="AN703" s="32">
        <f>IF($AH703="",0,$AC703*$T703)</f>
        <v/>
      </c>
      <c r="AO703" s="46">
        <f>IF($C703="",0,IFERROR(INDEX(Deals!$BD$2:$BD$355,MATCH($C703,Deals!$A$2:$A$355,0)),0))</f>
        <v/>
      </c>
      <c r="AP703" s="18">
        <f>IF($AO703=0,0,IFERROR(INDEX(Deals!$BJ$2:$BP$355,MATCH($C703,Deals!$A$2:$A$355,0),MATCH($F703,Deals!$BJ$1:$BP$1,0))/COUNTIFS(Assignments!$C$2:$C$769,$C703,Assignments!$F$2:$F$769,$F703,Assignments!$G$2:$G$769,"Active"),0))</f>
        <v/>
      </c>
    </row>
    <row r="704">
      <c r="A704" s="31" t="n"/>
      <c r="B704" s="16">
        <f>IF($A704="","",IFERROR(INDEX(Roster!$B$2:$B$40,MATCH($A704,Roster!$A$2:$A$40,0)),"?"))</f>
        <v/>
      </c>
      <c r="C704" s="31" t="n"/>
      <c r="D704" s="16">
        <f>IF($C704="","",IFERROR(IF(INDEX(Deals!$C$2:$C$355,MATCH($C704,Deals!$A$2:$A$355,0))=0,"",INDEX(Deals!$C$2:$C$355,MATCH($C704,Deals!$A$2:$A$355,0))),"?"))</f>
        <v/>
      </c>
      <c r="E704" s="16">
        <f>IF($C704="","",IFERROR(INDEX(Deals!$F$2:$F$355,MATCH($C704,Deals!$A$2:$A$355,0)),"?"))</f>
        <v/>
      </c>
      <c r="F704" s="31" t="n"/>
      <c r="G704" s="31" t="n"/>
      <c r="H704" s="31" t="n"/>
      <c r="I704" s="32">
        <f>IF(OR($A704="",$G704&lt;&gt;"Active"),0,IF($H704&lt;&gt;"",$H704,IF($AO704&gt;0,$AP704,IF(AND($R704&lt;&gt;"",IFERROR(INDEX(Templates!$B$3:$H$10,MATCH($R704,Templates!$A$3:$A$10,0),MATCH($F704,Templates!$B$2:$H$2,0)),0)&gt;0),INDEX(Templates!$B$3:$H$10,MATCH($R704,Templates!$A$3:$A$10,0),MATCH($F704,Templates!$B$2:$H$2,0)),IFERROR(INDEX(Settings!$B$8:$B$14,MATCH($F704,Settings!$A$8:$A$14,0)),0)))))</f>
        <v/>
      </c>
      <c r="J704" s="21">
        <f>IF($C704="",0,IFERROR(INDEX(Deals!$H$2:$H$355,MATCH($C704,Deals!$A$2:$A$355,0)),0))</f>
        <v/>
      </c>
      <c r="K704" s="32">
        <f>IF(Settings!$B$4="Yes",$I704*$J704,$I704)</f>
        <v/>
      </c>
      <c r="L704" s="22">
        <f>IF($C704="","",IFERROR(IF(INDEX(Deals!$I$2:$I$355,MATCH($C704,Deals!$A$2:$A$355,0))=0,"",INDEX(Deals!$I$2:$I$355,MATCH($C704,Deals!$A$2:$A$355,0))),""))</f>
        <v/>
      </c>
      <c r="M704" s="22">
        <f>IF($C704="","",IFERROR(IF(INDEX(Deals!$J$2:$J$355,MATCH($C704,Deals!$A$2:$A$355,0))=0,"",INDEX(Deals!$J$2:$J$355,MATCH($C704,Deals!$A$2:$A$355,0))),""))</f>
        <v/>
      </c>
      <c r="N704" s="35">
        <f>IF($L704="",DATE(1900,1,1),$L704)</f>
        <v/>
      </c>
      <c r="O704" s="35">
        <f>IF($M704="",DATE(2100,12,31),$M704)</f>
        <v/>
      </c>
      <c r="P704" s="44" t="n"/>
      <c r="Q704" s="31" t="n"/>
      <c r="R704" s="16">
        <f>IF($C704="","",IFERROR(IF(INDEX(Deals!$U$2:$U$355,MATCH($C704,Deals!$A$2:$A$355,0))=0,"",INDEX(Deals!$U$2:$U$355,MATCH($C704,Deals!$A$2:$A$355,0))),""))</f>
        <v/>
      </c>
      <c r="S704" s="34">
        <f>IFERROR(IF($U704="",1,INDEX(Deals!$V$2:$V$355,MATCH($C704,Deals!$A$2:$A$355,0))),1)</f>
        <v/>
      </c>
      <c r="T704" s="34">
        <f>IFERROR(IF($U704="",1,INDEX(Deals!$W$2:$W$355,MATCH($C704,Deals!$A$2:$A$355,0))),1)</f>
        <v/>
      </c>
      <c r="U704" s="22">
        <f>IF($C704="","",IFERROR(IF(INDEX(Deals!$Y$2:$Y$355,MATCH($C704,Deals!$A$2:$A$355,0))=0,"",INDEX(Deals!$Y$2:$Y$355,MATCH($C704,Deals!$A$2:$A$355,0))),""))</f>
        <v/>
      </c>
      <c r="V704" s="35">
        <f>IF(OR($U704&lt;&gt;"",AND($AO704&gt;0,$L704&lt;&gt;"",$M704&lt;&gt;"")),$N704,DATE(1900,1,1))</f>
        <v/>
      </c>
      <c r="W704" s="35">
        <f>IF($U704&lt;&gt;"",$U704,IF(AND($AO704&gt;0,$L704&lt;&gt;"",$M704&lt;&gt;""),$O704,DATE(2100,12,31)))</f>
        <v/>
      </c>
      <c r="X704" s="32">
        <f>IF($U704="",$K704,$K704*$S704)</f>
        <v/>
      </c>
      <c r="Y704" s="35">
        <f>IF($U704="",DATE(2100,12,31),$U704+1)</f>
        <v/>
      </c>
      <c r="Z704" s="35">
        <f>IF($U704="",DATE(1900,1,1),$O704)</f>
        <v/>
      </c>
      <c r="AA704" s="32">
        <f>IF($U704="",0,$K704*$T704)</f>
        <v/>
      </c>
      <c r="AB704" s="21">
        <f>IF($C704="",0,IFERROR(INDEX(Deals!$AD$2:$AD$355,MATCH($C704,Deals!$A$2:$A$355,0)),0))</f>
        <v/>
      </c>
      <c r="AC704" s="32">
        <f>IF(Settings!$B$4="Yes",$I704*$AB704,$I704)</f>
        <v/>
      </c>
      <c r="AD704" s="22">
        <f>IF($C704="","",IFERROR(IF(INDEX(Deals!$AE$2:$AE$355,MATCH($C704,Deals!$A$2:$A$355,0))=0,"",INDEX(Deals!$AE$2:$AE$355,MATCH($C704,Deals!$A$2:$A$355,0))),""))</f>
        <v/>
      </c>
      <c r="AE704" s="22">
        <f>IF($C704="","",IFERROR(IF(INDEX(Deals!$AF$2:$AF$355,MATCH($C704,Deals!$A$2:$A$355,0))=0,"",INDEX(Deals!$AF$2:$AF$355,MATCH($C704,Deals!$A$2:$A$355,0))),""))</f>
        <v/>
      </c>
      <c r="AF704" s="35">
        <f>IF($AD704="",DATE(1900,1,1),$AD704)</f>
        <v/>
      </c>
      <c r="AG704" s="35">
        <f>IF($AE704="",DATE(2100,12,31),$AE704)</f>
        <v/>
      </c>
      <c r="AH704" s="22">
        <f>IF($C704="","",IFERROR(IF(INDEX(Deals!$AG$2:$AG$355,MATCH($C704,Deals!$A$2:$A$355,0))=0,"",INDEX(Deals!$AG$2:$AG$355,MATCH($C704,Deals!$A$2:$A$355,0))),""))</f>
        <v/>
      </c>
      <c r="AI704" s="35">
        <f>IF(OR($AH704&lt;&gt;"",AND($AO704&gt;0,$AD704&lt;&gt;"",$AE704&lt;&gt;"")),$AF704,DATE(1900,1,1))</f>
        <v/>
      </c>
      <c r="AJ704" s="35">
        <f>IF($AH704&lt;&gt;"",$AH704,IF(AND($AO704&gt;0,$AD704&lt;&gt;"",$AE704&lt;&gt;""),$AG704,DATE(2100,12,31)))</f>
        <v/>
      </c>
      <c r="AK704" s="32">
        <f>IF($AH704="",$AC704,$AC704*$S704)</f>
        <v/>
      </c>
      <c r="AL704" s="35">
        <f>IF($AH704="",DATE(2100,12,31),$AH704+1)</f>
        <v/>
      </c>
      <c r="AM704" s="35">
        <f>IF($AH704="",DATE(1900,1,1),$AG704)</f>
        <v/>
      </c>
      <c r="AN704" s="32">
        <f>IF($AH704="",0,$AC704*$T704)</f>
        <v/>
      </c>
      <c r="AO704" s="46">
        <f>IF($C704="",0,IFERROR(INDEX(Deals!$BD$2:$BD$355,MATCH($C704,Deals!$A$2:$A$355,0)),0))</f>
        <v/>
      </c>
      <c r="AP704" s="18">
        <f>IF($AO704=0,0,IFERROR(INDEX(Deals!$BJ$2:$BP$355,MATCH($C704,Deals!$A$2:$A$355,0),MATCH($F704,Deals!$BJ$1:$BP$1,0))/COUNTIFS(Assignments!$C$2:$C$769,$C704,Assignments!$F$2:$F$769,$F704,Assignments!$G$2:$G$769,"Active"),0))</f>
        <v/>
      </c>
    </row>
    <row r="705">
      <c r="A705" s="31" t="n"/>
      <c r="B705" s="16">
        <f>IF($A705="","",IFERROR(INDEX(Roster!$B$2:$B$40,MATCH($A705,Roster!$A$2:$A$40,0)),"?"))</f>
        <v/>
      </c>
      <c r="C705" s="31" t="n"/>
      <c r="D705" s="16">
        <f>IF($C705="","",IFERROR(IF(INDEX(Deals!$C$2:$C$355,MATCH($C705,Deals!$A$2:$A$355,0))=0,"",INDEX(Deals!$C$2:$C$355,MATCH($C705,Deals!$A$2:$A$355,0))),"?"))</f>
        <v/>
      </c>
      <c r="E705" s="16">
        <f>IF($C705="","",IFERROR(INDEX(Deals!$F$2:$F$355,MATCH($C705,Deals!$A$2:$A$355,0)),"?"))</f>
        <v/>
      </c>
      <c r="F705" s="31" t="n"/>
      <c r="G705" s="31" t="n"/>
      <c r="H705" s="31" t="n"/>
      <c r="I705" s="32">
        <f>IF(OR($A705="",$G705&lt;&gt;"Active"),0,IF($H705&lt;&gt;"",$H705,IF($AO705&gt;0,$AP705,IF(AND($R705&lt;&gt;"",IFERROR(INDEX(Templates!$B$3:$H$10,MATCH($R705,Templates!$A$3:$A$10,0),MATCH($F705,Templates!$B$2:$H$2,0)),0)&gt;0),INDEX(Templates!$B$3:$H$10,MATCH($R705,Templates!$A$3:$A$10,0),MATCH($F705,Templates!$B$2:$H$2,0)),IFERROR(INDEX(Settings!$B$8:$B$14,MATCH($F705,Settings!$A$8:$A$14,0)),0)))))</f>
        <v/>
      </c>
      <c r="J705" s="21">
        <f>IF($C705="",0,IFERROR(INDEX(Deals!$H$2:$H$355,MATCH($C705,Deals!$A$2:$A$355,0)),0))</f>
        <v/>
      </c>
      <c r="K705" s="32">
        <f>IF(Settings!$B$4="Yes",$I705*$J705,$I705)</f>
        <v/>
      </c>
      <c r="L705" s="22">
        <f>IF($C705="","",IFERROR(IF(INDEX(Deals!$I$2:$I$355,MATCH($C705,Deals!$A$2:$A$355,0))=0,"",INDEX(Deals!$I$2:$I$355,MATCH($C705,Deals!$A$2:$A$355,0))),""))</f>
        <v/>
      </c>
      <c r="M705" s="22">
        <f>IF($C705="","",IFERROR(IF(INDEX(Deals!$J$2:$J$355,MATCH($C705,Deals!$A$2:$A$355,0))=0,"",INDEX(Deals!$J$2:$J$355,MATCH($C705,Deals!$A$2:$A$355,0))),""))</f>
        <v/>
      </c>
      <c r="N705" s="35">
        <f>IF($L705="",DATE(1900,1,1),$L705)</f>
        <v/>
      </c>
      <c r="O705" s="35">
        <f>IF($M705="",DATE(2100,12,31),$M705)</f>
        <v/>
      </c>
      <c r="P705" s="44" t="n"/>
      <c r="Q705" s="31" t="n"/>
      <c r="R705" s="16">
        <f>IF($C705="","",IFERROR(IF(INDEX(Deals!$U$2:$U$355,MATCH($C705,Deals!$A$2:$A$355,0))=0,"",INDEX(Deals!$U$2:$U$355,MATCH($C705,Deals!$A$2:$A$355,0))),""))</f>
        <v/>
      </c>
      <c r="S705" s="34">
        <f>IFERROR(IF($U705="",1,INDEX(Deals!$V$2:$V$355,MATCH($C705,Deals!$A$2:$A$355,0))),1)</f>
        <v/>
      </c>
      <c r="T705" s="34">
        <f>IFERROR(IF($U705="",1,INDEX(Deals!$W$2:$W$355,MATCH($C705,Deals!$A$2:$A$355,0))),1)</f>
        <v/>
      </c>
      <c r="U705" s="22">
        <f>IF($C705="","",IFERROR(IF(INDEX(Deals!$Y$2:$Y$355,MATCH($C705,Deals!$A$2:$A$355,0))=0,"",INDEX(Deals!$Y$2:$Y$355,MATCH($C705,Deals!$A$2:$A$355,0))),""))</f>
        <v/>
      </c>
      <c r="V705" s="35">
        <f>IF(OR($U705&lt;&gt;"",AND($AO705&gt;0,$L705&lt;&gt;"",$M705&lt;&gt;"")),$N705,DATE(1900,1,1))</f>
        <v/>
      </c>
      <c r="W705" s="35">
        <f>IF($U705&lt;&gt;"",$U705,IF(AND($AO705&gt;0,$L705&lt;&gt;"",$M705&lt;&gt;""),$O705,DATE(2100,12,31)))</f>
        <v/>
      </c>
      <c r="X705" s="32">
        <f>IF($U705="",$K705,$K705*$S705)</f>
        <v/>
      </c>
      <c r="Y705" s="35">
        <f>IF($U705="",DATE(2100,12,31),$U705+1)</f>
        <v/>
      </c>
      <c r="Z705" s="35">
        <f>IF($U705="",DATE(1900,1,1),$O705)</f>
        <v/>
      </c>
      <c r="AA705" s="32">
        <f>IF($U705="",0,$K705*$T705)</f>
        <v/>
      </c>
      <c r="AB705" s="21">
        <f>IF($C705="",0,IFERROR(INDEX(Deals!$AD$2:$AD$355,MATCH($C705,Deals!$A$2:$A$355,0)),0))</f>
        <v/>
      </c>
      <c r="AC705" s="32">
        <f>IF(Settings!$B$4="Yes",$I705*$AB705,$I705)</f>
        <v/>
      </c>
      <c r="AD705" s="22">
        <f>IF($C705="","",IFERROR(IF(INDEX(Deals!$AE$2:$AE$355,MATCH($C705,Deals!$A$2:$A$355,0))=0,"",INDEX(Deals!$AE$2:$AE$355,MATCH($C705,Deals!$A$2:$A$355,0))),""))</f>
        <v/>
      </c>
      <c r="AE705" s="22">
        <f>IF($C705="","",IFERROR(IF(INDEX(Deals!$AF$2:$AF$355,MATCH($C705,Deals!$A$2:$A$355,0))=0,"",INDEX(Deals!$AF$2:$AF$355,MATCH($C705,Deals!$A$2:$A$355,0))),""))</f>
        <v/>
      </c>
      <c r="AF705" s="35">
        <f>IF($AD705="",DATE(1900,1,1),$AD705)</f>
        <v/>
      </c>
      <c r="AG705" s="35">
        <f>IF($AE705="",DATE(2100,12,31),$AE705)</f>
        <v/>
      </c>
      <c r="AH705" s="22">
        <f>IF($C705="","",IFERROR(IF(INDEX(Deals!$AG$2:$AG$355,MATCH($C705,Deals!$A$2:$A$355,0))=0,"",INDEX(Deals!$AG$2:$AG$355,MATCH($C705,Deals!$A$2:$A$355,0))),""))</f>
        <v/>
      </c>
      <c r="AI705" s="35">
        <f>IF(OR($AH705&lt;&gt;"",AND($AO705&gt;0,$AD705&lt;&gt;"",$AE705&lt;&gt;"")),$AF705,DATE(1900,1,1))</f>
        <v/>
      </c>
      <c r="AJ705" s="35">
        <f>IF($AH705&lt;&gt;"",$AH705,IF(AND($AO705&gt;0,$AD705&lt;&gt;"",$AE705&lt;&gt;""),$AG705,DATE(2100,12,31)))</f>
        <v/>
      </c>
      <c r="AK705" s="32">
        <f>IF($AH705="",$AC705,$AC705*$S705)</f>
        <v/>
      </c>
      <c r="AL705" s="35">
        <f>IF($AH705="",DATE(2100,12,31),$AH705+1)</f>
        <v/>
      </c>
      <c r="AM705" s="35">
        <f>IF($AH705="",DATE(1900,1,1),$AG705)</f>
        <v/>
      </c>
      <c r="AN705" s="32">
        <f>IF($AH705="",0,$AC705*$T705)</f>
        <v/>
      </c>
      <c r="AO705" s="46">
        <f>IF($C705="",0,IFERROR(INDEX(Deals!$BD$2:$BD$355,MATCH($C705,Deals!$A$2:$A$355,0)),0))</f>
        <v/>
      </c>
      <c r="AP705" s="18">
        <f>IF($AO705=0,0,IFERROR(INDEX(Deals!$BJ$2:$BP$355,MATCH($C705,Deals!$A$2:$A$355,0),MATCH($F705,Deals!$BJ$1:$BP$1,0))/COUNTIFS(Assignments!$C$2:$C$769,$C705,Assignments!$F$2:$F$769,$F705,Assignments!$G$2:$G$769,"Active"),0))</f>
        <v/>
      </c>
    </row>
    <row r="706">
      <c r="A706" s="31" t="n"/>
      <c r="B706" s="16">
        <f>IF($A706="","",IFERROR(INDEX(Roster!$B$2:$B$40,MATCH($A706,Roster!$A$2:$A$40,0)),"?"))</f>
        <v/>
      </c>
      <c r="C706" s="31" t="n"/>
      <c r="D706" s="16">
        <f>IF($C706="","",IFERROR(IF(INDEX(Deals!$C$2:$C$355,MATCH($C706,Deals!$A$2:$A$355,0))=0,"",INDEX(Deals!$C$2:$C$355,MATCH($C706,Deals!$A$2:$A$355,0))),"?"))</f>
        <v/>
      </c>
      <c r="E706" s="16">
        <f>IF($C706="","",IFERROR(INDEX(Deals!$F$2:$F$355,MATCH($C706,Deals!$A$2:$A$355,0)),"?"))</f>
        <v/>
      </c>
      <c r="F706" s="31" t="n"/>
      <c r="G706" s="31" t="n"/>
      <c r="H706" s="31" t="n"/>
      <c r="I706" s="32">
        <f>IF(OR($A706="",$G706&lt;&gt;"Active"),0,IF($H706&lt;&gt;"",$H706,IF($AO706&gt;0,$AP706,IF(AND($R706&lt;&gt;"",IFERROR(INDEX(Templates!$B$3:$H$10,MATCH($R706,Templates!$A$3:$A$10,0),MATCH($F706,Templates!$B$2:$H$2,0)),0)&gt;0),INDEX(Templates!$B$3:$H$10,MATCH($R706,Templates!$A$3:$A$10,0),MATCH($F706,Templates!$B$2:$H$2,0)),IFERROR(INDEX(Settings!$B$8:$B$14,MATCH($F706,Settings!$A$8:$A$14,0)),0)))))</f>
        <v/>
      </c>
      <c r="J706" s="21">
        <f>IF($C706="",0,IFERROR(INDEX(Deals!$H$2:$H$355,MATCH($C706,Deals!$A$2:$A$355,0)),0))</f>
        <v/>
      </c>
      <c r="K706" s="32">
        <f>IF(Settings!$B$4="Yes",$I706*$J706,$I706)</f>
        <v/>
      </c>
      <c r="L706" s="22">
        <f>IF($C706="","",IFERROR(IF(INDEX(Deals!$I$2:$I$355,MATCH($C706,Deals!$A$2:$A$355,0))=0,"",INDEX(Deals!$I$2:$I$355,MATCH($C706,Deals!$A$2:$A$355,0))),""))</f>
        <v/>
      </c>
      <c r="M706" s="22">
        <f>IF($C706="","",IFERROR(IF(INDEX(Deals!$J$2:$J$355,MATCH($C706,Deals!$A$2:$A$355,0))=0,"",INDEX(Deals!$J$2:$J$355,MATCH($C706,Deals!$A$2:$A$355,0))),""))</f>
        <v/>
      </c>
      <c r="N706" s="35">
        <f>IF($L706="",DATE(1900,1,1),$L706)</f>
        <v/>
      </c>
      <c r="O706" s="35">
        <f>IF($M706="",DATE(2100,12,31),$M706)</f>
        <v/>
      </c>
      <c r="P706" s="44" t="n"/>
      <c r="Q706" s="31" t="n"/>
      <c r="R706" s="16">
        <f>IF($C706="","",IFERROR(IF(INDEX(Deals!$U$2:$U$355,MATCH($C706,Deals!$A$2:$A$355,0))=0,"",INDEX(Deals!$U$2:$U$355,MATCH($C706,Deals!$A$2:$A$355,0))),""))</f>
        <v/>
      </c>
      <c r="S706" s="34">
        <f>IFERROR(IF($U706="",1,INDEX(Deals!$V$2:$V$355,MATCH($C706,Deals!$A$2:$A$355,0))),1)</f>
        <v/>
      </c>
      <c r="T706" s="34">
        <f>IFERROR(IF($U706="",1,INDEX(Deals!$W$2:$W$355,MATCH($C706,Deals!$A$2:$A$355,0))),1)</f>
        <v/>
      </c>
      <c r="U706" s="22">
        <f>IF($C706="","",IFERROR(IF(INDEX(Deals!$Y$2:$Y$355,MATCH($C706,Deals!$A$2:$A$355,0))=0,"",INDEX(Deals!$Y$2:$Y$355,MATCH($C706,Deals!$A$2:$A$355,0))),""))</f>
        <v/>
      </c>
      <c r="V706" s="35">
        <f>IF(OR($U706&lt;&gt;"",AND($AO706&gt;0,$L706&lt;&gt;"",$M706&lt;&gt;"")),$N706,DATE(1900,1,1))</f>
        <v/>
      </c>
      <c r="W706" s="35">
        <f>IF($U706&lt;&gt;"",$U706,IF(AND($AO706&gt;0,$L706&lt;&gt;"",$M706&lt;&gt;""),$O706,DATE(2100,12,31)))</f>
        <v/>
      </c>
      <c r="X706" s="32">
        <f>IF($U706="",$K706,$K706*$S706)</f>
        <v/>
      </c>
      <c r="Y706" s="35">
        <f>IF($U706="",DATE(2100,12,31),$U706+1)</f>
        <v/>
      </c>
      <c r="Z706" s="35">
        <f>IF($U706="",DATE(1900,1,1),$O706)</f>
        <v/>
      </c>
      <c r="AA706" s="32">
        <f>IF($U706="",0,$K706*$T706)</f>
        <v/>
      </c>
      <c r="AB706" s="21">
        <f>IF($C706="",0,IFERROR(INDEX(Deals!$AD$2:$AD$355,MATCH($C706,Deals!$A$2:$A$355,0)),0))</f>
        <v/>
      </c>
      <c r="AC706" s="32">
        <f>IF(Settings!$B$4="Yes",$I706*$AB706,$I706)</f>
        <v/>
      </c>
      <c r="AD706" s="22">
        <f>IF($C706="","",IFERROR(IF(INDEX(Deals!$AE$2:$AE$355,MATCH($C706,Deals!$A$2:$A$355,0))=0,"",INDEX(Deals!$AE$2:$AE$355,MATCH($C706,Deals!$A$2:$A$355,0))),""))</f>
        <v/>
      </c>
      <c r="AE706" s="22">
        <f>IF($C706="","",IFERROR(IF(INDEX(Deals!$AF$2:$AF$355,MATCH($C706,Deals!$A$2:$A$355,0))=0,"",INDEX(Deals!$AF$2:$AF$355,MATCH($C706,Deals!$A$2:$A$355,0))),""))</f>
        <v/>
      </c>
      <c r="AF706" s="35">
        <f>IF($AD706="",DATE(1900,1,1),$AD706)</f>
        <v/>
      </c>
      <c r="AG706" s="35">
        <f>IF($AE706="",DATE(2100,12,31),$AE706)</f>
        <v/>
      </c>
      <c r="AH706" s="22">
        <f>IF($C706="","",IFERROR(IF(INDEX(Deals!$AG$2:$AG$355,MATCH($C706,Deals!$A$2:$A$355,0))=0,"",INDEX(Deals!$AG$2:$AG$355,MATCH($C706,Deals!$A$2:$A$355,0))),""))</f>
        <v/>
      </c>
      <c r="AI706" s="35">
        <f>IF(OR($AH706&lt;&gt;"",AND($AO706&gt;0,$AD706&lt;&gt;"",$AE706&lt;&gt;"")),$AF706,DATE(1900,1,1))</f>
        <v/>
      </c>
      <c r="AJ706" s="35">
        <f>IF($AH706&lt;&gt;"",$AH706,IF(AND($AO706&gt;0,$AD706&lt;&gt;"",$AE706&lt;&gt;""),$AG706,DATE(2100,12,31)))</f>
        <v/>
      </c>
      <c r="AK706" s="32">
        <f>IF($AH706="",$AC706,$AC706*$S706)</f>
        <v/>
      </c>
      <c r="AL706" s="35">
        <f>IF($AH706="",DATE(2100,12,31),$AH706+1)</f>
        <v/>
      </c>
      <c r="AM706" s="35">
        <f>IF($AH706="",DATE(1900,1,1),$AG706)</f>
        <v/>
      </c>
      <c r="AN706" s="32">
        <f>IF($AH706="",0,$AC706*$T706)</f>
        <v/>
      </c>
      <c r="AO706" s="46">
        <f>IF($C706="",0,IFERROR(INDEX(Deals!$BD$2:$BD$355,MATCH($C706,Deals!$A$2:$A$355,0)),0))</f>
        <v/>
      </c>
      <c r="AP706" s="18">
        <f>IF($AO706=0,0,IFERROR(INDEX(Deals!$BJ$2:$BP$355,MATCH($C706,Deals!$A$2:$A$355,0),MATCH($F706,Deals!$BJ$1:$BP$1,0))/COUNTIFS(Assignments!$C$2:$C$769,$C706,Assignments!$F$2:$F$769,$F706,Assignments!$G$2:$G$769,"Active"),0))</f>
        <v/>
      </c>
    </row>
    <row r="707">
      <c r="A707" s="31" t="n"/>
      <c r="B707" s="16">
        <f>IF($A707="","",IFERROR(INDEX(Roster!$B$2:$B$40,MATCH($A707,Roster!$A$2:$A$40,0)),"?"))</f>
        <v/>
      </c>
      <c r="C707" s="31" t="n"/>
      <c r="D707" s="16">
        <f>IF($C707="","",IFERROR(IF(INDEX(Deals!$C$2:$C$355,MATCH($C707,Deals!$A$2:$A$355,0))=0,"",INDEX(Deals!$C$2:$C$355,MATCH($C707,Deals!$A$2:$A$355,0))),"?"))</f>
        <v/>
      </c>
      <c r="E707" s="16">
        <f>IF($C707="","",IFERROR(INDEX(Deals!$F$2:$F$355,MATCH($C707,Deals!$A$2:$A$355,0)),"?"))</f>
        <v/>
      </c>
      <c r="F707" s="31" t="n"/>
      <c r="G707" s="31" t="n"/>
      <c r="H707" s="31" t="n"/>
      <c r="I707" s="32">
        <f>IF(OR($A707="",$G707&lt;&gt;"Active"),0,IF($H707&lt;&gt;"",$H707,IF($AO707&gt;0,$AP707,IF(AND($R707&lt;&gt;"",IFERROR(INDEX(Templates!$B$3:$H$10,MATCH($R707,Templates!$A$3:$A$10,0),MATCH($F707,Templates!$B$2:$H$2,0)),0)&gt;0),INDEX(Templates!$B$3:$H$10,MATCH($R707,Templates!$A$3:$A$10,0),MATCH($F707,Templates!$B$2:$H$2,0)),IFERROR(INDEX(Settings!$B$8:$B$14,MATCH($F707,Settings!$A$8:$A$14,0)),0)))))</f>
        <v/>
      </c>
      <c r="J707" s="21">
        <f>IF($C707="",0,IFERROR(INDEX(Deals!$H$2:$H$355,MATCH($C707,Deals!$A$2:$A$355,0)),0))</f>
        <v/>
      </c>
      <c r="K707" s="32">
        <f>IF(Settings!$B$4="Yes",$I707*$J707,$I707)</f>
        <v/>
      </c>
      <c r="L707" s="22">
        <f>IF($C707="","",IFERROR(IF(INDEX(Deals!$I$2:$I$355,MATCH($C707,Deals!$A$2:$A$355,0))=0,"",INDEX(Deals!$I$2:$I$355,MATCH($C707,Deals!$A$2:$A$355,0))),""))</f>
        <v/>
      </c>
      <c r="M707" s="22">
        <f>IF($C707="","",IFERROR(IF(INDEX(Deals!$J$2:$J$355,MATCH($C707,Deals!$A$2:$A$355,0))=0,"",INDEX(Deals!$J$2:$J$355,MATCH($C707,Deals!$A$2:$A$355,0))),""))</f>
        <v/>
      </c>
      <c r="N707" s="35">
        <f>IF($L707="",DATE(1900,1,1),$L707)</f>
        <v/>
      </c>
      <c r="O707" s="35">
        <f>IF($M707="",DATE(2100,12,31),$M707)</f>
        <v/>
      </c>
      <c r="P707" s="44" t="n"/>
      <c r="Q707" s="31" t="n"/>
      <c r="R707" s="16">
        <f>IF($C707="","",IFERROR(IF(INDEX(Deals!$U$2:$U$355,MATCH($C707,Deals!$A$2:$A$355,0))=0,"",INDEX(Deals!$U$2:$U$355,MATCH($C707,Deals!$A$2:$A$355,0))),""))</f>
        <v/>
      </c>
      <c r="S707" s="34">
        <f>IFERROR(IF($U707="",1,INDEX(Deals!$V$2:$V$355,MATCH($C707,Deals!$A$2:$A$355,0))),1)</f>
        <v/>
      </c>
      <c r="T707" s="34">
        <f>IFERROR(IF($U707="",1,INDEX(Deals!$W$2:$W$355,MATCH($C707,Deals!$A$2:$A$355,0))),1)</f>
        <v/>
      </c>
      <c r="U707" s="22">
        <f>IF($C707="","",IFERROR(IF(INDEX(Deals!$Y$2:$Y$355,MATCH($C707,Deals!$A$2:$A$355,0))=0,"",INDEX(Deals!$Y$2:$Y$355,MATCH($C707,Deals!$A$2:$A$355,0))),""))</f>
        <v/>
      </c>
      <c r="V707" s="35">
        <f>IF(OR($U707&lt;&gt;"",AND($AO707&gt;0,$L707&lt;&gt;"",$M707&lt;&gt;"")),$N707,DATE(1900,1,1))</f>
        <v/>
      </c>
      <c r="W707" s="35">
        <f>IF($U707&lt;&gt;"",$U707,IF(AND($AO707&gt;0,$L707&lt;&gt;"",$M707&lt;&gt;""),$O707,DATE(2100,12,31)))</f>
        <v/>
      </c>
      <c r="X707" s="32">
        <f>IF($U707="",$K707,$K707*$S707)</f>
        <v/>
      </c>
      <c r="Y707" s="35">
        <f>IF($U707="",DATE(2100,12,31),$U707+1)</f>
        <v/>
      </c>
      <c r="Z707" s="35">
        <f>IF($U707="",DATE(1900,1,1),$O707)</f>
        <v/>
      </c>
      <c r="AA707" s="32">
        <f>IF($U707="",0,$K707*$T707)</f>
        <v/>
      </c>
      <c r="AB707" s="21">
        <f>IF($C707="",0,IFERROR(INDEX(Deals!$AD$2:$AD$355,MATCH($C707,Deals!$A$2:$A$355,0)),0))</f>
        <v/>
      </c>
      <c r="AC707" s="32">
        <f>IF(Settings!$B$4="Yes",$I707*$AB707,$I707)</f>
        <v/>
      </c>
      <c r="AD707" s="22">
        <f>IF($C707="","",IFERROR(IF(INDEX(Deals!$AE$2:$AE$355,MATCH($C707,Deals!$A$2:$A$355,0))=0,"",INDEX(Deals!$AE$2:$AE$355,MATCH($C707,Deals!$A$2:$A$355,0))),""))</f>
        <v/>
      </c>
      <c r="AE707" s="22">
        <f>IF($C707="","",IFERROR(IF(INDEX(Deals!$AF$2:$AF$355,MATCH($C707,Deals!$A$2:$A$355,0))=0,"",INDEX(Deals!$AF$2:$AF$355,MATCH($C707,Deals!$A$2:$A$355,0))),""))</f>
        <v/>
      </c>
      <c r="AF707" s="35">
        <f>IF($AD707="",DATE(1900,1,1),$AD707)</f>
        <v/>
      </c>
      <c r="AG707" s="35">
        <f>IF($AE707="",DATE(2100,12,31),$AE707)</f>
        <v/>
      </c>
      <c r="AH707" s="22">
        <f>IF($C707="","",IFERROR(IF(INDEX(Deals!$AG$2:$AG$355,MATCH($C707,Deals!$A$2:$A$355,0))=0,"",INDEX(Deals!$AG$2:$AG$355,MATCH($C707,Deals!$A$2:$A$355,0))),""))</f>
        <v/>
      </c>
      <c r="AI707" s="35">
        <f>IF(OR($AH707&lt;&gt;"",AND($AO707&gt;0,$AD707&lt;&gt;"",$AE707&lt;&gt;"")),$AF707,DATE(1900,1,1))</f>
        <v/>
      </c>
      <c r="AJ707" s="35">
        <f>IF($AH707&lt;&gt;"",$AH707,IF(AND($AO707&gt;0,$AD707&lt;&gt;"",$AE707&lt;&gt;""),$AG707,DATE(2100,12,31)))</f>
        <v/>
      </c>
      <c r="AK707" s="32">
        <f>IF($AH707="",$AC707,$AC707*$S707)</f>
        <v/>
      </c>
      <c r="AL707" s="35">
        <f>IF($AH707="",DATE(2100,12,31),$AH707+1)</f>
        <v/>
      </c>
      <c r="AM707" s="35">
        <f>IF($AH707="",DATE(1900,1,1),$AG707)</f>
        <v/>
      </c>
      <c r="AN707" s="32">
        <f>IF($AH707="",0,$AC707*$T707)</f>
        <v/>
      </c>
      <c r="AO707" s="46">
        <f>IF($C707="",0,IFERROR(INDEX(Deals!$BD$2:$BD$355,MATCH($C707,Deals!$A$2:$A$355,0)),0))</f>
        <v/>
      </c>
      <c r="AP707" s="18">
        <f>IF($AO707=0,0,IFERROR(INDEX(Deals!$BJ$2:$BP$355,MATCH($C707,Deals!$A$2:$A$355,0),MATCH($F707,Deals!$BJ$1:$BP$1,0))/COUNTIFS(Assignments!$C$2:$C$769,$C707,Assignments!$F$2:$F$769,$F707,Assignments!$G$2:$G$769,"Active"),0))</f>
        <v/>
      </c>
    </row>
    <row r="708">
      <c r="A708" s="31" t="n"/>
      <c r="B708" s="16">
        <f>IF($A708="","",IFERROR(INDEX(Roster!$B$2:$B$40,MATCH($A708,Roster!$A$2:$A$40,0)),"?"))</f>
        <v/>
      </c>
      <c r="C708" s="31" t="n"/>
      <c r="D708" s="16">
        <f>IF($C708="","",IFERROR(IF(INDEX(Deals!$C$2:$C$355,MATCH($C708,Deals!$A$2:$A$355,0))=0,"",INDEX(Deals!$C$2:$C$355,MATCH($C708,Deals!$A$2:$A$355,0))),"?"))</f>
        <v/>
      </c>
      <c r="E708" s="16">
        <f>IF($C708="","",IFERROR(INDEX(Deals!$F$2:$F$355,MATCH($C708,Deals!$A$2:$A$355,0)),"?"))</f>
        <v/>
      </c>
      <c r="F708" s="31" t="n"/>
      <c r="G708" s="31" t="n"/>
      <c r="H708" s="31" t="n"/>
      <c r="I708" s="32">
        <f>IF(OR($A708="",$G708&lt;&gt;"Active"),0,IF($H708&lt;&gt;"",$H708,IF($AO708&gt;0,$AP708,IF(AND($R708&lt;&gt;"",IFERROR(INDEX(Templates!$B$3:$H$10,MATCH($R708,Templates!$A$3:$A$10,0),MATCH($F708,Templates!$B$2:$H$2,0)),0)&gt;0),INDEX(Templates!$B$3:$H$10,MATCH($R708,Templates!$A$3:$A$10,0),MATCH($F708,Templates!$B$2:$H$2,0)),IFERROR(INDEX(Settings!$B$8:$B$14,MATCH($F708,Settings!$A$8:$A$14,0)),0)))))</f>
        <v/>
      </c>
      <c r="J708" s="21">
        <f>IF($C708="",0,IFERROR(INDEX(Deals!$H$2:$H$355,MATCH($C708,Deals!$A$2:$A$355,0)),0))</f>
        <v/>
      </c>
      <c r="K708" s="32">
        <f>IF(Settings!$B$4="Yes",$I708*$J708,$I708)</f>
        <v/>
      </c>
      <c r="L708" s="22">
        <f>IF($C708="","",IFERROR(IF(INDEX(Deals!$I$2:$I$355,MATCH($C708,Deals!$A$2:$A$355,0))=0,"",INDEX(Deals!$I$2:$I$355,MATCH($C708,Deals!$A$2:$A$355,0))),""))</f>
        <v/>
      </c>
      <c r="M708" s="22">
        <f>IF($C708="","",IFERROR(IF(INDEX(Deals!$J$2:$J$355,MATCH($C708,Deals!$A$2:$A$355,0))=0,"",INDEX(Deals!$J$2:$J$355,MATCH($C708,Deals!$A$2:$A$355,0))),""))</f>
        <v/>
      </c>
      <c r="N708" s="35">
        <f>IF($L708="",DATE(1900,1,1),$L708)</f>
        <v/>
      </c>
      <c r="O708" s="35">
        <f>IF($M708="",DATE(2100,12,31),$M708)</f>
        <v/>
      </c>
      <c r="P708" s="44" t="n"/>
      <c r="Q708" s="31" t="n"/>
      <c r="R708" s="16">
        <f>IF($C708="","",IFERROR(IF(INDEX(Deals!$U$2:$U$355,MATCH($C708,Deals!$A$2:$A$355,0))=0,"",INDEX(Deals!$U$2:$U$355,MATCH($C708,Deals!$A$2:$A$355,0))),""))</f>
        <v/>
      </c>
      <c r="S708" s="34">
        <f>IFERROR(IF($U708="",1,INDEX(Deals!$V$2:$V$355,MATCH($C708,Deals!$A$2:$A$355,0))),1)</f>
        <v/>
      </c>
      <c r="T708" s="34">
        <f>IFERROR(IF($U708="",1,INDEX(Deals!$W$2:$W$355,MATCH($C708,Deals!$A$2:$A$355,0))),1)</f>
        <v/>
      </c>
      <c r="U708" s="22">
        <f>IF($C708="","",IFERROR(IF(INDEX(Deals!$Y$2:$Y$355,MATCH($C708,Deals!$A$2:$A$355,0))=0,"",INDEX(Deals!$Y$2:$Y$355,MATCH($C708,Deals!$A$2:$A$355,0))),""))</f>
        <v/>
      </c>
      <c r="V708" s="35">
        <f>IF(OR($U708&lt;&gt;"",AND($AO708&gt;0,$L708&lt;&gt;"",$M708&lt;&gt;"")),$N708,DATE(1900,1,1))</f>
        <v/>
      </c>
      <c r="W708" s="35">
        <f>IF($U708&lt;&gt;"",$U708,IF(AND($AO708&gt;0,$L708&lt;&gt;"",$M708&lt;&gt;""),$O708,DATE(2100,12,31)))</f>
        <v/>
      </c>
      <c r="X708" s="32">
        <f>IF($U708="",$K708,$K708*$S708)</f>
        <v/>
      </c>
      <c r="Y708" s="35">
        <f>IF($U708="",DATE(2100,12,31),$U708+1)</f>
        <v/>
      </c>
      <c r="Z708" s="35">
        <f>IF($U708="",DATE(1900,1,1),$O708)</f>
        <v/>
      </c>
      <c r="AA708" s="32">
        <f>IF($U708="",0,$K708*$T708)</f>
        <v/>
      </c>
      <c r="AB708" s="21">
        <f>IF($C708="",0,IFERROR(INDEX(Deals!$AD$2:$AD$355,MATCH($C708,Deals!$A$2:$A$355,0)),0))</f>
        <v/>
      </c>
      <c r="AC708" s="32">
        <f>IF(Settings!$B$4="Yes",$I708*$AB708,$I708)</f>
        <v/>
      </c>
      <c r="AD708" s="22">
        <f>IF($C708="","",IFERROR(IF(INDEX(Deals!$AE$2:$AE$355,MATCH($C708,Deals!$A$2:$A$355,0))=0,"",INDEX(Deals!$AE$2:$AE$355,MATCH($C708,Deals!$A$2:$A$355,0))),""))</f>
        <v/>
      </c>
      <c r="AE708" s="22">
        <f>IF($C708="","",IFERROR(IF(INDEX(Deals!$AF$2:$AF$355,MATCH($C708,Deals!$A$2:$A$355,0))=0,"",INDEX(Deals!$AF$2:$AF$355,MATCH($C708,Deals!$A$2:$A$355,0))),""))</f>
        <v/>
      </c>
      <c r="AF708" s="35">
        <f>IF($AD708="",DATE(1900,1,1),$AD708)</f>
        <v/>
      </c>
      <c r="AG708" s="35">
        <f>IF($AE708="",DATE(2100,12,31),$AE708)</f>
        <v/>
      </c>
      <c r="AH708" s="22">
        <f>IF($C708="","",IFERROR(IF(INDEX(Deals!$AG$2:$AG$355,MATCH($C708,Deals!$A$2:$A$355,0))=0,"",INDEX(Deals!$AG$2:$AG$355,MATCH($C708,Deals!$A$2:$A$355,0))),""))</f>
        <v/>
      </c>
      <c r="AI708" s="35">
        <f>IF(OR($AH708&lt;&gt;"",AND($AO708&gt;0,$AD708&lt;&gt;"",$AE708&lt;&gt;"")),$AF708,DATE(1900,1,1))</f>
        <v/>
      </c>
      <c r="AJ708" s="35">
        <f>IF($AH708&lt;&gt;"",$AH708,IF(AND($AO708&gt;0,$AD708&lt;&gt;"",$AE708&lt;&gt;""),$AG708,DATE(2100,12,31)))</f>
        <v/>
      </c>
      <c r="AK708" s="32">
        <f>IF($AH708="",$AC708,$AC708*$S708)</f>
        <v/>
      </c>
      <c r="AL708" s="35">
        <f>IF($AH708="",DATE(2100,12,31),$AH708+1)</f>
        <v/>
      </c>
      <c r="AM708" s="35">
        <f>IF($AH708="",DATE(1900,1,1),$AG708)</f>
        <v/>
      </c>
      <c r="AN708" s="32">
        <f>IF($AH708="",0,$AC708*$T708)</f>
        <v/>
      </c>
      <c r="AO708" s="46">
        <f>IF($C708="",0,IFERROR(INDEX(Deals!$BD$2:$BD$355,MATCH($C708,Deals!$A$2:$A$355,0)),0))</f>
        <v/>
      </c>
      <c r="AP708" s="18">
        <f>IF($AO708=0,0,IFERROR(INDEX(Deals!$BJ$2:$BP$355,MATCH($C708,Deals!$A$2:$A$355,0),MATCH($F708,Deals!$BJ$1:$BP$1,0))/COUNTIFS(Assignments!$C$2:$C$769,$C708,Assignments!$F$2:$F$769,$F708,Assignments!$G$2:$G$769,"Active"),0))</f>
        <v/>
      </c>
    </row>
    <row r="709">
      <c r="A709" s="31" t="n"/>
      <c r="B709" s="16">
        <f>IF($A709="","",IFERROR(INDEX(Roster!$B$2:$B$40,MATCH($A709,Roster!$A$2:$A$40,0)),"?"))</f>
        <v/>
      </c>
      <c r="C709" s="31" t="n"/>
      <c r="D709" s="16">
        <f>IF($C709="","",IFERROR(IF(INDEX(Deals!$C$2:$C$355,MATCH($C709,Deals!$A$2:$A$355,0))=0,"",INDEX(Deals!$C$2:$C$355,MATCH($C709,Deals!$A$2:$A$355,0))),"?"))</f>
        <v/>
      </c>
      <c r="E709" s="16">
        <f>IF($C709="","",IFERROR(INDEX(Deals!$F$2:$F$355,MATCH($C709,Deals!$A$2:$A$355,0)),"?"))</f>
        <v/>
      </c>
      <c r="F709" s="31" t="n"/>
      <c r="G709" s="31" t="n"/>
      <c r="H709" s="31" t="n"/>
      <c r="I709" s="32">
        <f>IF(OR($A709="",$G709&lt;&gt;"Active"),0,IF($H709&lt;&gt;"",$H709,IF($AO709&gt;0,$AP709,IF(AND($R709&lt;&gt;"",IFERROR(INDEX(Templates!$B$3:$H$10,MATCH($R709,Templates!$A$3:$A$10,0),MATCH($F709,Templates!$B$2:$H$2,0)),0)&gt;0),INDEX(Templates!$B$3:$H$10,MATCH($R709,Templates!$A$3:$A$10,0),MATCH($F709,Templates!$B$2:$H$2,0)),IFERROR(INDEX(Settings!$B$8:$B$14,MATCH($F709,Settings!$A$8:$A$14,0)),0)))))</f>
        <v/>
      </c>
      <c r="J709" s="21">
        <f>IF($C709="",0,IFERROR(INDEX(Deals!$H$2:$H$355,MATCH($C709,Deals!$A$2:$A$355,0)),0))</f>
        <v/>
      </c>
      <c r="K709" s="32">
        <f>IF(Settings!$B$4="Yes",$I709*$J709,$I709)</f>
        <v/>
      </c>
      <c r="L709" s="22">
        <f>IF($C709="","",IFERROR(IF(INDEX(Deals!$I$2:$I$355,MATCH($C709,Deals!$A$2:$A$355,0))=0,"",INDEX(Deals!$I$2:$I$355,MATCH($C709,Deals!$A$2:$A$355,0))),""))</f>
        <v/>
      </c>
      <c r="M709" s="22">
        <f>IF($C709="","",IFERROR(IF(INDEX(Deals!$J$2:$J$355,MATCH($C709,Deals!$A$2:$A$355,0))=0,"",INDEX(Deals!$J$2:$J$355,MATCH($C709,Deals!$A$2:$A$355,0))),""))</f>
        <v/>
      </c>
      <c r="N709" s="35">
        <f>IF($L709="",DATE(1900,1,1),$L709)</f>
        <v/>
      </c>
      <c r="O709" s="35">
        <f>IF($M709="",DATE(2100,12,31),$M709)</f>
        <v/>
      </c>
      <c r="P709" s="44" t="n"/>
      <c r="Q709" s="31" t="n"/>
      <c r="R709" s="16">
        <f>IF($C709="","",IFERROR(IF(INDEX(Deals!$U$2:$U$355,MATCH($C709,Deals!$A$2:$A$355,0))=0,"",INDEX(Deals!$U$2:$U$355,MATCH($C709,Deals!$A$2:$A$355,0))),""))</f>
        <v/>
      </c>
      <c r="S709" s="34">
        <f>IFERROR(IF($U709="",1,INDEX(Deals!$V$2:$V$355,MATCH($C709,Deals!$A$2:$A$355,0))),1)</f>
        <v/>
      </c>
      <c r="T709" s="34">
        <f>IFERROR(IF($U709="",1,INDEX(Deals!$W$2:$W$355,MATCH($C709,Deals!$A$2:$A$355,0))),1)</f>
        <v/>
      </c>
      <c r="U709" s="22">
        <f>IF($C709="","",IFERROR(IF(INDEX(Deals!$Y$2:$Y$355,MATCH($C709,Deals!$A$2:$A$355,0))=0,"",INDEX(Deals!$Y$2:$Y$355,MATCH($C709,Deals!$A$2:$A$355,0))),""))</f>
        <v/>
      </c>
      <c r="V709" s="35">
        <f>IF(OR($U709&lt;&gt;"",AND($AO709&gt;0,$L709&lt;&gt;"",$M709&lt;&gt;"")),$N709,DATE(1900,1,1))</f>
        <v/>
      </c>
      <c r="W709" s="35">
        <f>IF($U709&lt;&gt;"",$U709,IF(AND($AO709&gt;0,$L709&lt;&gt;"",$M709&lt;&gt;""),$O709,DATE(2100,12,31)))</f>
        <v/>
      </c>
      <c r="X709" s="32">
        <f>IF($U709="",$K709,$K709*$S709)</f>
        <v/>
      </c>
      <c r="Y709" s="35">
        <f>IF($U709="",DATE(2100,12,31),$U709+1)</f>
        <v/>
      </c>
      <c r="Z709" s="35">
        <f>IF($U709="",DATE(1900,1,1),$O709)</f>
        <v/>
      </c>
      <c r="AA709" s="32">
        <f>IF($U709="",0,$K709*$T709)</f>
        <v/>
      </c>
      <c r="AB709" s="21">
        <f>IF($C709="",0,IFERROR(INDEX(Deals!$AD$2:$AD$355,MATCH($C709,Deals!$A$2:$A$355,0)),0))</f>
        <v/>
      </c>
      <c r="AC709" s="32">
        <f>IF(Settings!$B$4="Yes",$I709*$AB709,$I709)</f>
        <v/>
      </c>
      <c r="AD709" s="22">
        <f>IF($C709="","",IFERROR(IF(INDEX(Deals!$AE$2:$AE$355,MATCH($C709,Deals!$A$2:$A$355,0))=0,"",INDEX(Deals!$AE$2:$AE$355,MATCH($C709,Deals!$A$2:$A$355,0))),""))</f>
        <v/>
      </c>
      <c r="AE709" s="22">
        <f>IF($C709="","",IFERROR(IF(INDEX(Deals!$AF$2:$AF$355,MATCH($C709,Deals!$A$2:$A$355,0))=0,"",INDEX(Deals!$AF$2:$AF$355,MATCH($C709,Deals!$A$2:$A$355,0))),""))</f>
        <v/>
      </c>
      <c r="AF709" s="35">
        <f>IF($AD709="",DATE(1900,1,1),$AD709)</f>
        <v/>
      </c>
      <c r="AG709" s="35">
        <f>IF($AE709="",DATE(2100,12,31),$AE709)</f>
        <v/>
      </c>
      <c r="AH709" s="22">
        <f>IF($C709="","",IFERROR(IF(INDEX(Deals!$AG$2:$AG$355,MATCH($C709,Deals!$A$2:$A$355,0))=0,"",INDEX(Deals!$AG$2:$AG$355,MATCH($C709,Deals!$A$2:$A$355,0))),""))</f>
        <v/>
      </c>
      <c r="AI709" s="35">
        <f>IF(OR($AH709&lt;&gt;"",AND($AO709&gt;0,$AD709&lt;&gt;"",$AE709&lt;&gt;"")),$AF709,DATE(1900,1,1))</f>
        <v/>
      </c>
      <c r="AJ709" s="35">
        <f>IF($AH709&lt;&gt;"",$AH709,IF(AND($AO709&gt;0,$AD709&lt;&gt;"",$AE709&lt;&gt;""),$AG709,DATE(2100,12,31)))</f>
        <v/>
      </c>
      <c r="AK709" s="32">
        <f>IF($AH709="",$AC709,$AC709*$S709)</f>
        <v/>
      </c>
      <c r="AL709" s="35">
        <f>IF($AH709="",DATE(2100,12,31),$AH709+1)</f>
        <v/>
      </c>
      <c r="AM709" s="35">
        <f>IF($AH709="",DATE(1900,1,1),$AG709)</f>
        <v/>
      </c>
      <c r="AN709" s="32">
        <f>IF($AH709="",0,$AC709*$T709)</f>
        <v/>
      </c>
      <c r="AO709" s="46">
        <f>IF($C709="",0,IFERROR(INDEX(Deals!$BD$2:$BD$355,MATCH($C709,Deals!$A$2:$A$355,0)),0))</f>
        <v/>
      </c>
      <c r="AP709" s="18">
        <f>IF($AO709=0,0,IFERROR(INDEX(Deals!$BJ$2:$BP$355,MATCH($C709,Deals!$A$2:$A$355,0),MATCH($F709,Deals!$BJ$1:$BP$1,0))/COUNTIFS(Assignments!$C$2:$C$769,$C709,Assignments!$F$2:$F$769,$F709,Assignments!$G$2:$G$769,"Active"),0))</f>
        <v/>
      </c>
    </row>
    <row r="710">
      <c r="A710" s="31" t="n"/>
      <c r="B710" s="16">
        <f>IF($A710="","",IFERROR(INDEX(Roster!$B$2:$B$40,MATCH($A710,Roster!$A$2:$A$40,0)),"?"))</f>
        <v/>
      </c>
      <c r="C710" s="31" t="n"/>
      <c r="D710" s="16">
        <f>IF($C710="","",IFERROR(IF(INDEX(Deals!$C$2:$C$355,MATCH($C710,Deals!$A$2:$A$355,0))=0,"",INDEX(Deals!$C$2:$C$355,MATCH($C710,Deals!$A$2:$A$355,0))),"?"))</f>
        <v/>
      </c>
      <c r="E710" s="16">
        <f>IF($C710="","",IFERROR(INDEX(Deals!$F$2:$F$355,MATCH($C710,Deals!$A$2:$A$355,0)),"?"))</f>
        <v/>
      </c>
      <c r="F710" s="31" t="n"/>
      <c r="G710" s="31" t="n"/>
      <c r="H710" s="31" t="n"/>
      <c r="I710" s="32">
        <f>IF(OR($A710="",$G710&lt;&gt;"Active"),0,IF($H710&lt;&gt;"",$H710,IF($AO710&gt;0,$AP710,IF(AND($R710&lt;&gt;"",IFERROR(INDEX(Templates!$B$3:$H$10,MATCH($R710,Templates!$A$3:$A$10,0),MATCH($F710,Templates!$B$2:$H$2,0)),0)&gt;0),INDEX(Templates!$B$3:$H$10,MATCH($R710,Templates!$A$3:$A$10,0),MATCH($F710,Templates!$B$2:$H$2,0)),IFERROR(INDEX(Settings!$B$8:$B$14,MATCH($F710,Settings!$A$8:$A$14,0)),0)))))</f>
        <v/>
      </c>
      <c r="J710" s="21">
        <f>IF($C710="",0,IFERROR(INDEX(Deals!$H$2:$H$355,MATCH($C710,Deals!$A$2:$A$355,0)),0))</f>
        <v/>
      </c>
      <c r="K710" s="32">
        <f>IF(Settings!$B$4="Yes",$I710*$J710,$I710)</f>
        <v/>
      </c>
      <c r="L710" s="22">
        <f>IF($C710="","",IFERROR(IF(INDEX(Deals!$I$2:$I$355,MATCH($C710,Deals!$A$2:$A$355,0))=0,"",INDEX(Deals!$I$2:$I$355,MATCH($C710,Deals!$A$2:$A$355,0))),""))</f>
        <v/>
      </c>
      <c r="M710" s="22">
        <f>IF($C710="","",IFERROR(IF(INDEX(Deals!$J$2:$J$355,MATCH($C710,Deals!$A$2:$A$355,0))=0,"",INDEX(Deals!$J$2:$J$355,MATCH($C710,Deals!$A$2:$A$355,0))),""))</f>
        <v/>
      </c>
      <c r="N710" s="35">
        <f>IF($L710="",DATE(1900,1,1),$L710)</f>
        <v/>
      </c>
      <c r="O710" s="35">
        <f>IF($M710="",DATE(2100,12,31),$M710)</f>
        <v/>
      </c>
      <c r="P710" s="44" t="n"/>
      <c r="Q710" s="31" t="n"/>
      <c r="R710" s="16">
        <f>IF($C710="","",IFERROR(IF(INDEX(Deals!$U$2:$U$355,MATCH($C710,Deals!$A$2:$A$355,0))=0,"",INDEX(Deals!$U$2:$U$355,MATCH($C710,Deals!$A$2:$A$355,0))),""))</f>
        <v/>
      </c>
      <c r="S710" s="34">
        <f>IFERROR(IF($U710="",1,INDEX(Deals!$V$2:$V$355,MATCH($C710,Deals!$A$2:$A$355,0))),1)</f>
        <v/>
      </c>
      <c r="T710" s="34">
        <f>IFERROR(IF($U710="",1,INDEX(Deals!$W$2:$W$355,MATCH($C710,Deals!$A$2:$A$355,0))),1)</f>
        <v/>
      </c>
      <c r="U710" s="22">
        <f>IF($C710="","",IFERROR(IF(INDEX(Deals!$Y$2:$Y$355,MATCH($C710,Deals!$A$2:$A$355,0))=0,"",INDEX(Deals!$Y$2:$Y$355,MATCH($C710,Deals!$A$2:$A$355,0))),""))</f>
        <v/>
      </c>
      <c r="V710" s="35">
        <f>IF(OR($U710&lt;&gt;"",AND($AO710&gt;0,$L710&lt;&gt;"",$M710&lt;&gt;"")),$N710,DATE(1900,1,1))</f>
        <v/>
      </c>
      <c r="W710" s="35">
        <f>IF($U710&lt;&gt;"",$U710,IF(AND($AO710&gt;0,$L710&lt;&gt;"",$M710&lt;&gt;""),$O710,DATE(2100,12,31)))</f>
        <v/>
      </c>
      <c r="X710" s="32">
        <f>IF($U710="",$K710,$K710*$S710)</f>
        <v/>
      </c>
      <c r="Y710" s="35">
        <f>IF($U710="",DATE(2100,12,31),$U710+1)</f>
        <v/>
      </c>
      <c r="Z710" s="35">
        <f>IF($U710="",DATE(1900,1,1),$O710)</f>
        <v/>
      </c>
      <c r="AA710" s="32">
        <f>IF($U710="",0,$K710*$T710)</f>
        <v/>
      </c>
      <c r="AB710" s="21">
        <f>IF($C710="",0,IFERROR(INDEX(Deals!$AD$2:$AD$355,MATCH($C710,Deals!$A$2:$A$355,0)),0))</f>
        <v/>
      </c>
      <c r="AC710" s="32">
        <f>IF(Settings!$B$4="Yes",$I710*$AB710,$I710)</f>
        <v/>
      </c>
      <c r="AD710" s="22">
        <f>IF($C710="","",IFERROR(IF(INDEX(Deals!$AE$2:$AE$355,MATCH($C710,Deals!$A$2:$A$355,0))=0,"",INDEX(Deals!$AE$2:$AE$355,MATCH($C710,Deals!$A$2:$A$355,0))),""))</f>
        <v/>
      </c>
      <c r="AE710" s="22">
        <f>IF($C710="","",IFERROR(IF(INDEX(Deals!$AF$2:$AF$355,MATCH($C710,Deals!$A$2:$A$355,0))=0,"",INDEX(Deals!$AF$2:$AF$355,MATCH($C710,Deals!$A$2:$A$355,0))),""))</f>
        <v/>
      </c>
      <c r="AF710" s="35">
        <f>IF($AD710="",DATE(1900,1,1),$AD710)</f>
        <v/>
      </c>
      <c r="AG710" s="35">
        <f>IF($AE710="",DATE(2100,12,31),$AE710)</f>
        <v/>
      </c>
      <c r="AH710" s="22">
        <f>IF($C710="","",IFERROR(IF(INDEX(Deals!$AG$2:$AG$355,MATCH($C710,Deals!$A$2:$A$355,0))=0,"",INDEX(Deals!$AG$2:$AG$355,MATCH($C710,Deals!$A$2:$A$355,0))),""))</f>
        <v/>
      </c>
      <c r="AI710" s="35">
        <f>IF(OR($AH710&lt;&gt;"",AND($AO710&gt;0,$AD710&lt;&gt;"",$AE710&lt;&gt;"")),$AF710,DATE(1900,1,1))</f>
        <v/>
      </c>
      <c r="AJ710" s="35">
        <f>IF($AH710&lt;&gt;"",$AH710,IF(AND($AO710&gt;0,$AD710&lt;&gt;"",$AE710&lt;&gt;""),$AG710,DATE(2100,12,31)))</f>
        <v/>
      </c>
      <c r="AK710" s="32">
        <f>IF($AH710="",$AC710,$AC710*$S710)</f>
        <v/>
      </c>
      <c r="AL710" s="35">
        <f>IF($AH710="",DATE(2100,12,31),$AH710+1)</f>
        <v/>
      </c>
      <c r="AM710" s="35">
        <f>IF($AH710="",DATE(1900,1,1),$AG710)</f>
        <v/>
      </c>
      <c r="AN710" s="32">
        <f>IF($AH710="",0,$AC710*$T710)</f>
        <v/>
      </c>
      <c r="AO710" s="46">
        <f>IF($C710="",0,IFERROR(INDEX(Deals!$BD$2:$BD$355,MATCH($C710,Deals!$A$2:$A$355,0)),0))</f>
        <v/>
      </c>
      <c r="AP710" s="18">
        <f>IF($AO710=0,0,IFERROR(INDEX(Deals!$BJ$2:$BP$355,MATCH($C710,Deals!$A$2:$A$355,0),MATCH($F710,Deals!$BJ$1:$BP$1,0))/COUNTIFS(Assignments!$C$2:$C$769,$C710,Assignments!$F$2:$F$769,$F710,Assignments!$G$2:$G$769,"Active"),0))</f>
        <v/>
      </c>
    </row>
    <row r="711">
      <c r="A711" s="31" t="n"/>
      <c r="B711" s="16">
        <f>IF($A711="","",IFERROR(INDEX(Roster!$B$2:$B$40,MATCH($A711,Roster!$A$2:$A$40,0)),"?"))</f>
        <v/>
      </c>
      <c r="C711" s="31" t="n"/>
      <c r="D711" s="16">
        <f>IF($C711="","",IFERROR(IF(INDEX(Deals!$C$2:$C$355,MATCH($C711,Deals!$A$2:$A$355,0))=0,"",INDEX(Deals!$C$2:$C$355,MATCH($C711,Deals!$A$2:$A$355,0))),"?"))</f>
        <v/>
      </c>
      <c r="E711" s="16">
        <f>IF($C711="","",IFERROR(INDEX(Deals!$F$2:$F$355,MATCH($C711,Deals!$A$2:$A$355,0)),"?"))</f>
        <v/>
      </c>
      <c r="F711" s="31" t="n"/>
      <c r="G711" s="31" t="n"/>
      <c r="H711" s="31" t="n"/>
      <c r="I711" s="32">
        <f>IF(OR($A711="",$G711&lt;&gt;"Active"),0,IF($H711&lt;&gt;"",$H711,IF($AO711&gt;0,$AP711,IF(AND($R711&lt;&gt;"",IFERROR(INDEX(Templates!$B$3:$H$10,MATCH($R711,Templates!$A$3:$A$10,0),MATCH($F711,Templates!$B$2:$H$2,0)),0)&gt;0),INDEX(Templates!$B$3:$H$10,MATCH($R711,Templates!$A$3:$A$10,0),MATCH($F711,Templates!$B$2:$H$2,0)),IFERROR(INDEX(Settings!$B$8:$B$14,MATCH($F711,Settings!$A$8:$A$14,0)),0)))))</f>
        <v/>
      </c>
      <c r="J711" s="21">
        <f>IF($C711="",0,IFERROR(INDEX(Deals!$H$2:$H$355,MATCH($C711,Deals!$A$2:$A$355,0)),0))</f>
        <v/>
      </c>
      <c r="K711" s="32">
        <f>IF(Settings!$B$4="Yes",$I711*$J711,$I711)</f>
        <v/>
      </c>
      <c r="L711" s="22">
        <f>IF($C711="","",IFERROR(IF(INDEX(Deals!$I$2:$I$355,MATCH($C711,Deals!$A$2:$A$355,0))=0,"",INDEX(Deals!$I$2:$I$355,MATCH($C711,Deals!$A$2:$A$355,0))),""))</f>
        <v/>
      </c>
      <c r="M711" s="22">
        <f>IF($C711="","",IFERROR(IF(INDEX(Deals!$J$2:$J$355,MATCH($C711,Deals!$A$2:$A$355,0))=0,"",INDEX(Deals!$J$2:$J$355,MATCH($C711,Deals!$A$2:$A$355,0))),""))</f>
        <v/>
      </c>
      <c r="N711" s="35">
        <f>IF($L711="",DATE(1900,1,1),$L711)</f>
        <v/>
      </c>
      <c r="O711" s="35">
        <f>IF($M711="",DATE(2100,12,31),$M711)</f>
        <v/>
      </c>
      <c r="P711" s="44" t="n"/>
      <c r="Q711" s="31" t="n"/>
      <c r="R711" s="16">
        <f>IF($C711="","",IFERROR(IF(INDEX(Deals!$U$2:$U$355,MATCH($C711,Deals!$A$2:$A$355,0))=0,"",INDEX(Deals!$U$2:$U$355,MATCH($C711,Deals!$A$2:$A$355,0))),""))</f>
        <v/>
      </c>
      <c r="S711" s="34">
        <f>IFERROR(IF($U711="",1,INDEX(Deals!$V$2:$V$355,MATCH($C711,Deals!$A$2:$A$355,0))),1)</f>
        <v/>
      </c>
      <c r="T711" s="34">
        <f>IFERROR(IF($U711="",1,INDEX(Deals!$W$2:$W$355,MATCH($C711,Deals!$A$2:$A$355,0))),1)</f>
        <v/>
      </c>
      <c r="U711" s="22">
        <f>IF($C711="","",IFERROR(IF(INDEX(Deals!$Y$2:$Y$355,MATCH($C711,Deals!$A$2:$A$355,0))=0,"",INDEX(Deals!$Y$2:$Y$355,MATCH($C711,Deals!$A$2:$A$355,0))),""))</f>
        <v/>
      </c>
      <c r="V711" s="35">
        <f>IF(OR($U711&lt;&gt;"",AND($AO711&gt;0,$L711&lt;&gt;"",$M711&lt;&gt;"")),$N711,DATE(1900,1,1))</f>
        <v/>
      </c>
      <c r="W711" s="35">
        <f>IF($U711&lt;&gt;"",$U711,IF(AND($AO711&gt;0,$L711&lt;&gt;"",$M711&lt;&gt;""),$O711,DATE(2100,12,31)))</f>
        <v/>
      </c>
      <c r="X711" s="32">
        <f>IF($U711="",$K711,$K711*$S711)</f>
        <v/>
      </c>
      <c r="Y711" s="35">
        <f>IF($U711="",DATE(2100,12,31),$U711+1)</f>
        <v/>
      </c>
      <c r="Z711" s="35">
        <f>IF($U711="",DATE(1900,1,1),$O711)</f>
        <v/>
      </c>
      <c r="AA711" s="32">
        <f>IF($U711="",0,$K711*$T711)</f>
        <v/>
      </c>
      <c r="AB711" s="21">
        <f>IF($C711="",0,IFERROR(INDEX(Deals!$AD$2:$AD$355,MATCH($C711,Deals!$A$2:$A$355,0)),0))</f>
        <v/>
      </c>
      <c r="AC711" s="32">
        <f>IF(Settings!$B$4="Yes",$I711*$AB711,$I711)</f>
        <v/>
      </c>
      <c r="AD711" s="22">
        <f>IF($C711="","",IFERROR(IF(INDEX(Deals!$AE$2:$AE$355,MATCH($C711,Deals!$A$2:$A$355,0))=0,"",INDEX(Deals!$AE$2:$AE$355,MATCH($C711,Deals!$A$2:$A$355,0))),""))</f>
        <v/>
      </c>
      <c r="AE711" s="22">
        <f>IF($C711="","",IFERROR(IF(INDEX(Deals!$AF$2:$AF$355,MATCH($C711,Deals!$A$2:$A$355,0))=0,"",INDEX(Deals!$AF$2:$AF$355,MATCH($C711,Deals!$A$2:$A$355,0))),""))</f>
        <v/>
      </c>
      <c r="AF711" s="35">
        <f>IF($AD711="",DATE(1900,1,1),$AD711)</f>
        <v/>
      </c>
      <c r="AG711" s="35">
        <f>IF($AE711="",DATE(2100,12,31),$AE711)</f>
        <v/>
      </c>
      <c r="AH711" s="22">
        <f>IF($C711="","",IFERROR(IF(INDEX(Deals!$AG$2:$AG$355,MATCH($C711,Deals!$A$2:$A$355,0))=0,"",INDEX(Deals!$AG$2:$AG$355,MATCH($C711,Deals!$A$2:$A$355,0))),""))</f>
        <v/>
      </c>
      <c r="AI711" s="35">
        <f>IF(OR($AH711&lt;&gt;"",AND($AO711&gt;0,$AD711&lt;&gt;"",$AE711&lt;&gt;"")),$AF711,DATE(1900,1,1))</f>
        <v/>
      </c>
      <c r="AJ711" s="35">
        <f>IF($AH711&lt;&gt;"",$AH711,IF(AND($AO711&gt;0,$AD711&lt;&gt;"",$AE711&lt;&gt;""),$AG711,DATE(2100,12,31)))</f>
        <v/>
      </c>
      <c r="AK711" s="32">
        <f>IF($AH711="",$AC711,$AC711*$S711)</f>
        <v/>
      </c>
      <c r="AL711" s="35">
        <f>IF($AH711="",DATE(2100,12,31),$AH711+1)</f>
        <v/>
      </c>
      <c r="AM711" s="35">
        <f>IF($AH711="",DATE(1900,1,1),$AG711)</f>
        <v/>
      </c>
      <c r="AN711" s="32">
        <f>IF($AH711="",0,$AC711*$T711)</f>
        <v/>
      </c>
      <c r="AO711" s="46">
        <f>IF($C711="",0,IFERROR(INDEX(Deals!$BD$2:$BD$355,MATCH($C711,Deals!$A$2:$A$355,0)),0))</f>
        <v/>
      </c>
      <c r="AP711" s="18">
        <f>IF($AO711=0,0,IFERROR(INDEX(Deals!$BJ$2:$BP$355,MATCH($C711,Deals!$A$2:$A$355,0),MATCH($F711,Deals!$BJ$1:$BP$1,0))/COUNTIFS(Assignments!$C$2:$C$769,$C711,Assignments!$F$2:$F$769,$F711,Assignments!$G$2:$G$769,"Active"),0))</f>
        <v/>
      </c>
    </row>
    <row r="712">
      <c r="A712" s="31" t="n"/>
      <c r="B712" s="16">
        <f>IF($A712="","",IFERROR(INDEX(Roster!$B$2:$B$40,MATCH($A712,Roster!$A$2:$A$40,0)),"?"))</f>
        <v/>
      </c>
      <c r="C712" s="31" t="n"/>
      <c r="D712" s="16">
        <f>IF($C712="","",IFERROR(IF(INDEX(Deals!$C$2:$C$355,MATCH($C712,Deals!$A$2:$A$355,0))=0,"",INDEX(Deals!$C$2:$C$355,MATCH($C712,Deals!$A$2:$A$355,0))),"?"))</f>
        <v/>
      </c>
      <c r="E712" s="16">
        <f>IF($C712="","",IFERROR(INDEX(Deals!$F$2:$F$355,MATCH($C712,Deals!$A$2:$A$355,0)),"?"))</f>
        <v/>
      </c>
      <c r="F712" s="31" t="n"/>
      <c r="G712" s="31" t="n"/>
      <c r="H712" s="31" t="n"/>
      <c r="I712" s="32">
        <f>IF(OR($A712="",$G712&lt;&gt;"Active"),0,IF($H712&lt;&gt;"",$H712,IF($AO712&gt;0,$AP712,IF(AND($R712&lt;&gt;"",IFERROR(INDEX(Templates!$B$3:$H$10,MATCH($R712,Templates!$A$3:$A$10,0),MATCH($F712,Templates!$B$2:$H$2,0)),0)&gt;0),INDEX(Templates!$B$3:$H$10,MATCH($R712,Templates!$A$3:$A$10,0),MATCH($F712,Templates!$B$2:$H$2,0)),IFERROR(INDEX(Settings!$B$8:$B$14,MATCH($F712,Settings!$A$8:$A$14,0)),0)))))</f>
        <v/>
      </c>
      <c r="J712" s="21">
        <f>IF($C712="",0,IFERROR(INDEX(Deals!$H$2:$H$355,MATCH($C712,Deals!$A$2:$A$355,0)),0))</f>
        <v/>
      </c>
      <c r="K712" s="32">
        <f>IF(Settings!$B$4="Yes",$I712*$J712,$I712)</f>
        <v/>
      </c>
      <c r="L712" s="22">
        <f>IF($C712="","",IFERROR(IF(INDEX(Deals!$I$2:$I$355,MATCH($C712,Deals!$A$2:$A$355,0))=0,"",INDEX(Deals!$I$2:$I$355,MATCH($C712,Deals!$A$2:$A$355,0))),""))</f>
        <v/>
      </c>
      <c r="M712" s="22">
        <f>IF($C712="","",IFERROR(IF(INDEX(Deals!$J$2:$J$355,MATCH($C712,Deals!$A$2:$A$355,0))=0,"",INDEX(Deals!$J$2:$J$355,MATCH($C712,Deals!$A$2:$A$355,0))),""))</f>
        <v/>
      </c>
      <c r="N712" s="35">
        <f>IF($L712="",DATE(1900,1,1),$L712)</f>
        <v/>
      </c>
      <c r="O712" s="35">
        <f>IF($M712="",DATE(2100,12,31),$M712)</f>
        <v/>
      </c>
      <c r="P712" s="44" t="n"/>
      <c r="Q712" s="31" t="n"/>
      <c r="R712" s="16">
        <f>IF($C712="","",IFERROR(IF(INDEX(Deals!$U$2:$U$355,MATCH($C712,Deals!$A$2:$A$355,0))=0,"",INDEX(Deals!$U$2:$U$355,MATCH($C712,Deals!$A$2:$A$355,0))),""))</f>
        <v/>
      </c>
      <c r="S712" s="34">
        <f>IFERROR(IF($U712="",1,INDEX(Deals!$V$2:$V$355,MATCH($C712,Deals!$A$2:$A$355,0))),1)</f>
        <v/>
      </c>
      <c r="T712" s="34">
        <f>IFERROR(IF($U712="",1,INDEX(Deals!$W$2:$W$355,MATCH($C712,Deals!$A$2:$A$355,0))),1)</f>
        <v/>
      </c>
      <c r="U712" s="22">
        <f>IF($C712="","",IFERROR(IF(INDEX(Deals!$Y$2:$Y$355,MATCH($C712,Deals!$A$2:$A$355,0))=0,"",INDEX(Deals!$Y$2:$Y$355,MATCH($C712,Deals!$A$2:$A$355,0))),""))</f>
        <v/>
      </c>
      <c r="V712" s="35">
        <f>IF(OR($U712&lt;&gt;"",AND($AO712&gt;0,$L712&lt;&gt;"",$M712&lt;&gt;"")),$N712,DATE(1900,1,1))</f>
        <v/>
      </c>
      <c r="W712" s="35">
        <f>IF($U712&lt;&gt;"",$U712,IF(AND($AO712&gt;0,$L712&lt;&gt;"",$M712&lt;&gt;""),$O712,DATE(2100,12,31)))</f>
        <v/>
      </c>
      <c r="X712" s="32">
        <f>IF($U712="",$K712,$K712*$S712)</f>
        <v/>
      </c>
      <c r="Y712" s="35">
        <f>IF($U712="",DATE(2100,12,31),$U712+1)</f>
        <v/>
      </c>
      <c r="Z712" s="35">
        <f>IF($U712="",DATE(1900,1,1),$O712)</f>
        <v/>
      </c>
      <c r="AA712" s="32">
        <f>IF($U712="",0,$K712*$T712)</f>
        <v/>
      </c>
      <c r="AB712" s="21">
        <f>IF($C712="",0,IFERROR(INDEX(Deals!$AD$2:$AD$355,MATCH($C712,Deals!$A$2:$A$355,0)),0))</f>
        <v/>
      </c>
      <c r="AC712" s="32">
        <f>IF(Settings!$B$4="Yes",$I712*$AB712,$I712)</f>
        <v/>
      </c>
      <c r="AD712" s="22">
        <f>IF($C712="","",IFERROR(IF(INDEX(Deals!$AE$2:$AE$355,MATCH($C712,Deals!$A$2:$A$355,0))=0,"",INDEX(Deals!$AE$2:$AE$355,MATCH($C712,Deals!$A$2:$A$355,0))),""))</f>
        <v/>
      </c>
      <c r="AE712" s="22">
        <f>IF($C712="","",IFERROR(IF(INDEX(Deals!$AF$2:$AF$355,MATCH($C712,Deals!$A$2:$A$355,0))=0,"",INDEX(Deals!$AF$2:$AF$355,MATCH($C712,Deals!$A$2:$A$355,0))),""))</f>
        <v/>
      </c>
      <c r="AF712" s="35">
        <f>IF($AD712="",DATE(1900,1,1),$AD712)</f>
        <v/>
      </c>
      <c r="AG712" s="35">
        <f>IF($AE712="",DATE(2100,12,31),$AE712)</f>
        <v/>
      </c>
      <c r="AH712" s="22">
        <f>IF($C712="","",IFERROR(IF(INDEX(Deals!$AG$2:$AG$355,MATCH($C712,Deals!$A$2:$A$355,0))=0,"",INDEX(Deals!$AG$2:$AG$355,MATCH($C712,Deals!$A$2:$A$355,0))),""))</f>
        <v/>
      </c>
      <c r="AI712" s="35">
        <f>IF(OR($AH712&lt;&gt;"",AND($AO712&gt;0,$AD712&lt;&gt;"",$AE712&lt;&gt;"")),$AF712,DATE(1900,1,1))</f>
        <v/>
      </c>
      <c r="AJ712" s="35">
        <f>IF($AH712&lt;&gt;"",$AH712,IF(AND($AO712&gt;0,$AD712&lt;&gt;"",$AE712&lt;&gt;""),$AG712,DATE(2100,12,31)))</f>
        <v/>
      </c>
      <c r="AK712" s="32">
        <f>IF($AH712="",$AC712,$AC712*$S712)</f>
        <v/>
      </c>
      <c r="AL712" s="35">
        <f>IF($AH712="",DATE(2100,12,31),$AH712+1)</f>
        <v/>
      </c>
      <c r="AM712" s="35">
        <f>IF($AH712="",DATE(1900,1,1),$AG712)</f>
        <v/>
      </c>
      <c r="AN712" s="32">
        <f>IF($AH712="",0,$AC712*$T712)</f>
        <v/>
      </c>
      <c r="AO712" s="46">
        <f>IF($C712="",0,IFERROR(INDEX(Deals!$BD$2:$BD$355,MATCH($C712,Deals!$A$2:$A$355,0)),0))</f>
        <v/>
      </c>
      <c r="AP712" s="18">
        <f>IF($AO712=0,0,IFERROR(INDEX(Deals!$BJ$2:$BP$355,MATCH($C712,Deals!$A$2:$A$355,0),MATCH($F712,Deals!$BJ$1:$BP$1,0))/COUNTIFS(Assignments!$C$2:$C$769,$C712,Assignments!$F$2:$F$769,$F712,Assignments!$G$2:$G$769,"Active"),0))</f>
        <v/>
      </c>
    </row>
    <row r="713">
      <c r="A713" s="31" t="n"/>
      <c r="B713" s="16">
        <f>IF($A713="","",IFERROR(INDEX(Roster!$B$2:$B$40,MATCH($A713,Roster!$A$2:$A$40,0)),"?"))</f>
        <v/>
      </c>
      <c r="C713" s="31" t="n"/>
      <c r="D713" s="16">
        <f>IF($C713="","",IFERROR(IF(INDEX(Deals!$C$2:$C$355,MATCH($C713,Deals!$A$2:$A$355,0))=0,"",INDEX(Deals!$C$2:$C$355,MATCH($C713,Deals!$A$2:$A$355,0))),"?"))</f>
        <v/>
      </c>
      <c r="E713" s="16">
        <f>IF($C713="","",IFERROR(INDEX(Deals!$F$2:$F$355,MATCH($C713,Deals!$A$2:$A$355,0)),"?"))</f>
        <v/>
      </c>
      <c r="F713" s="31" t="n"/>
      <c r="G713" s="31" t="n"/>
      <c r="H713" s="31" t="n"/>
      <c r="I713" s="32">
        <f>IF(OR($A713="",$G713&lt;&gt;"Active"),0,IF($H713&lt;&gt;"",$H713,IF($AO713&gt;0,$AP713,IF(AND($R713&lt;&gt;"",IFERROR(INDEX(Templates!$B$3:$H$10,MATCH($R713,Templates!$A$3:$A$10,0),MATCH($F713,Templates!$B$2:$H$2,0)),0)&gt;0),INDEX(Templates!$B$3:$H$10,MATCH($R713,Templates!$A$3:$A$10,0),MATCH($F713,Templates!$B$2:$H$2,0)),IFERROR(INDEX(Settings!$B$8:$B$14,MATCH($F713,Settings!$A$8:$A$14,0)),0)))))</f>
        <v/>
      </c>
      <c r="J713" s="21">
        <f>IF($C713="",0,IFERROR(INDEX(Deals!$H$2:$H$355,MATCH($C713,Deals!$A$2:$A$355,0)),0))</f>
        <v/>
      </c>
      <c r="K713" s="32">
        <f>IF(Settings!$B$4="Yes",$I713*$J713,$I713)</f>
        <v/>
      </c>
      <c r="L713" s="22">
        <f>IF($C713="","",IFERROR(IF(INDEX(Deals!$I$2:$I$355,MATCH($C713,Deals!$A$2:$A$355,0))=0,"",INDEX(Deals!$I$2:$I$355,MATCH($C713,Deals!$A$2:$A$355,0))),""))</f>
        <v/>
      </c>
      <c r="M713" s="22">
        <f>IF($C713="","",IFERROR(IF(INDEX(Deals!$J$2:$J$355,MATCH($C713,Deals!$A$2:$A$355,0))=0,"",INDEX(Deals!$J$2:$J$355,MATCH($C713,Deals!$A$2:$A$355,0))),""))</f>
        <v/>
      </c>
      <c r="N713" s="35">
        <f>IF($L713="",DATE(1900,1,1),$L713)</f>
        <v/>
      </c>
      <c r="O713" s="35">
        <f>IF($M713="",DATE(2100,12,31),$M713)</f>
        <v/>
      </c>
      <c r="P713" s="44" t="n"/>
      <c r="Q713" s="31" t="n"/>
      <c r="R713" s="16">
        <f>IF($C713="","",IFERROR(IF(INDEX(Deals!$U$2:$U$355,MATCH($C713,Deals!$A$2:$A$355,0))=0,"",INDEX(Deals!$U$2:$U$355,MATCH($C713,Deals!$A$2:$A$355,0))),""))</f>
        <v/>
      </c>
      <c r="S713" s="34">
        <f>IFERROR(IF($U713="",1,INDEX(Deals!$V$2:$V$355,MATCH($C713,Deals!$A$2:$A$355,0))),1)</f>
        <v/>
      </c>
      <c r="T713" s="34">
        <f>IFERROR(IF($U713="",1,INDEX(Deals!$W$2:$W$355,MATCH($C713,Deals!$A$2:$A$355,0))),1)</f>
        <v/>
      </c>
      <c r="U713" s="22">
        <f>IF($C713="","",IFERROR(IF(INDEX(Deals!$Y$2:$Y$355,MATCH($C713,Deals!$A$2:$A$355,0))=0,"",INDEX(Deals!$Y$2:$Y$355,MATCH($C713,Deals!$A$2:$A$355,0))),""))</f>
        <v/>
      </c>
      <c r="V713" s="35">
        <f>IF(OR($U713&lt;&gt;"",AND($AO713&gt;0,$L713&lt;&gt;"",$M713&lt;&gt;"")),$N713,DATE(1900,1,1))</f>
        <v/>
      </c>
      <c r="W713" s="35">
        <f>IF($U713&lt;&gt;"",$U713,IF(AND($AO713&gt;0,$L713&lt;&gt;"",$M713&lt;&gt;""),$O713,DATE(2100,12,31)))</f>
        <v/>
      </c>
      <c r="X713" s="32">
        <f>IF($U713="",$K713,$K713*$S713)</f>
        <v/>
      </c>
      <c r="Y713" s="35">
        <f>IF($U713="",DATE(2100,12,31),$U713+1)</f>
        <v/>
      </c>
      <c r="Z713" s="35">
        <f>IF($U713="",DATE(1900,1,1),$O713)</f>
        <v/>
      </c>
      <c r="AA713" s="32">
        <f>IF($U713="",0,$K713*$T713)</f>
        <v/>
      </c>
      <c r="AB713" s="21">
        <f>IF($C713="",0,IFERROR(INDEX(Deals!$AD$2:$AD$355,MATCH($C713,Deals!$A$2:$A$355,0)),0))</f>
        <v/>
      </c>
      <c r="AC713" s="32">
        <f>IF(Settings!$B$4="Yes",$I713*$AB713,$I713)</f>
        <v/>
      </c>
      <c r="AD713" s="22">
        <f>IF($C713="","",IFERROR(IF(INDEX(Deals!$AE$2:$AE$355,MATCH($C713,Deals!$A$2:$A$355,0))=0,"",INDEX(Deals!$AE$2:$AE$355,MATCH($C713,Deals!$A$2:$A$355,0))),""))</f>
        <v/>
      </c>
      <c r="AE713" s="22">
        <f>IF($C713="","",IFERROR(IF(INDEX(Deals!$AF$2:$AF$355,MATCH($C713,Deals!$A$2:$A$355,0))=0,"",INDEX(Deals!$AF$2:$AF$355,MATCH($C713,Deals!$A$2:$A$355,0))),""))</f>
        <v/>
      </c>
      <c r="AF713" s="35">
        <f>IF($AD713="",DATE(1900,1,1),$AD713)</f>
        <v/>
      </c>
      <c r="AG713" s="35">
        <f>IF($AE713="",DATE(2100,12,31),$AE713)</f>
        <v/>
      </c>
      <c r="AH713" s="22">
        <f>IF($C713="","",IFERROR(IF(INDEX(Deals!$AG$2:$AG$355,MATCH($C713,Deals!$A$2:$A$355,0))=0,"",INDEX(Deals!$AG$2:$AG$355,MATCH($C713,Deals!$A$2:$A$355,0))),""))</f>
        <v/>
      </c>
      <c r="AI713" s="35">
        <f>IF(OR($AH713&lt;&gt;"",AND($AO713&gt;0,$AD713&lt;&gt;"",$AE713&lt;&gt;"")),$AF713,DATE(1900,1,1))</f>
        <v/>
      </c>
      <c r="AJ713" s="35">
        <f>IF($AH713&lt;&gt;"",$AH713,IF(AND($AO713&gt;0,$AD713&lt;&gt;"",$AE713&lt;&gt;""),$AG713,DATE(2100,12,31)))</f>
        <v/>
      </c>
      <c r="AK713" s="32">
        <f>IF($AH713="",$AC713,$AC713*$S713)</f>
        <v/>
      </c>
      <c r="AL713" s="35">
        <f>IF($AH713="",DATE(2100,12,31),$AH713+1)</f>
        <v/>
      </c>
      <c r="AM713" s="35">
        <f>IF($AH713="",DATE(1900,1,1),$AG713)</f>
        <v/>
      </c>
      <c r="AN713" s="32">
        <f>IF($AH713="",0,$AC713*$T713)</f>
        <v/>
      </c>
      <c r="AO713" s="46">
        <f>IF($C713="",0,IFERROR(INDEX(Deals!$BD$2:$BD$355,MATCH($C713,Deals!$A$2:$A$355,0)),0))</f>
        <v/>
      </c>
      <c r="AP713" s="18">
        <f>IF($AO713=0,0,IFERROR(INDEX(Deals!$BJ$2:$BP$355,MATCH($C713,Deals!$A$2:$A$355,0),MATCH($F713,Deals!$BJ$1:$BP$1,0))/COUNTIFS(Assignments!$C$2:$C$769,$C713,Assignments!$F$2:$F$769,$F713,Assignments!$G$2:$G$769,"Active"),0))</f>
        <v/>
      </c>
    </row>
    <row r="714">
      <c r="A714" s="31" t="n"/>
      <c r="B714" s="16">
        <f>IF($A714="","",IFERROR(INDEX(Roster!$B$2:$B$40,MATCH($A714,Roster!$A$2:$A$40,0)),"?"))</f>
        <v/>
      </c>
      <c r="C714" s="31" t="n"/>
      <c r="D714" s="16">
        <f>IF($C714="","",IFERROR(IF(INDEX(Deals!$C$2:$C$355,MATCH($C714,Deals!$A$2:$A$355,0))=0,"",INDEX(Deals!$C$2:$C$355,MATCH($C714,Deals!$A$2:$A$355,0))),"?"))</f>
        <v/>
      </c>
      <c r="E714" s="16">
        <f>IF($C714="","",IFERROR(INDEX(Deals!$F$2:$F$355,MATCH($C714,Deals!$A$2:$A$355,0)),"?"))</f>
        <v/>
      </c>
      <c r="F714" s="31" t="n"/>
      <c r="G714" s="31" t="n"/>
      <c r="H714" s="31" t="n"/>
      <c r="I714" s="32">
        <f>IF(OR($A714="",$G714&lt;&gt;"Active"),0,IF($H714&lt;&gt;"",$H714,IF($AO714&gt;0,$AP714,IF(AND($R714&lt;&gt;"",IFERROR(INDEX(Templates!$B$3:$H$10,MATCH($R714,Templates!$A$3:$A$10,0),MATCH($F714,Templates!$B$2:$H$2,0)),0)&gt;0),INDEX(Templates!$B$3:$H$10,MATCH($R714,Templates!$A$3:$A$10,0),MATCH($F714,Templates!$B$2:$H$2,0)),IFERROR(INDEX(Settings!$B$8:$B$14,MATCH($F714,Settings!$A$8:$A$14,0)),0)))))</f>
        <v/>
      </c>
      <c r="J714" s="21">
        <f>IF($C714="",0,IFERROR(INDEX(Deals!$H$2:$H$355,MATCH($C714,Deals!$A$2:$A$355,0)),0))</f>
        <v/>
      </c>
      <c r="K714" s="32">
        <f>IF(Settings!$B$4="Yes",$I714*$J714,$I714)</f>
        <v/>
      </c>
      <c r="L714" s="22">
        <f>IF($C714="","",IFERROR(IF(INDEX(Deals!$I$2:$I$355,MATCH($C714,Deals!$A$2:$A$355,0))=0,"",INDEX(Deals!$I$2:$I$355,MATCH($C714,Deals!$A$2:$A$355,0))),""))</f>
        <v/>
      </c>
      <c r="M714" s="22">
        <f>IF($C714="","",IFERROR(IF(INDEX(Deals!$J$2:$J$355,MATCH($C714,Deals!$A$2:$A$355,0))=0,"",INDEX(Deals!$J$2:$J$355,MATCH($C714,Deals!$A$2:$A$355,0))),""))</f>
        <v/>
      </c>
      <c r="N714" s="35">
        <f>IF($L714="",DATE(1900,1,1),$L714)</f>
        <v/>
      </c>
      <c r="O714" s="35">
        <f>IF($M714="",DATE(2100,12,31),$M714)</f>
        <v/>
      </c>
      <c r="P714" s="44" t="n"/>
      <c r="Q714" s="31" t="n"/>
      <c r="R714" s="16">
        <f>IF($C714="","",IFERROR(IF(INDEX(Deals!$U$2:$U$355,MATCH($C714,Deals!$A$2:$A$355,0))=0,"",INDEX(Deals!$U$2:$U$355,MATCH($C714,Deals!$A$2:$A$355,0))),""))</f>
        <v/>
      </c>
      <c r="S714" s="34">
        <f>IFERROR(IF($U714="",1,INDEX(Deals!$V$2:$V$355,MATCH($C714,Deals!$A$2:$A$355,0))),1)</f>
        <v/>
      </c>
      <c r="T714" s="34">
        <f>IFERROR(IF($U714="",1,INDEX(Deals!$W$2:$W$355,MATCH($C714,Deals!$A$2:$A$355,0))),1)</f>
        <v/>
      </c>
      <c r="U714" s="22">
        <f>IF($C714="","",IFERROR(IF(INDEX(Deals!$Y$2:$Y$355,MATCH($C714,Deals!$A$2:$A$355,0))=0,"",INDEX(Deals!$Y$2:$Y$355,MATCH($C714,Deals!$A$2:$A$355,0))),""))</f>
        <v/>
      </c>
      <c r="V714" s="35">
        <f>IF(OR($U714&lt;&gt;"",AND($AO714&gt;0,$L714&lt;&gt;"",$M714&lt;&gt;"")),$N714,DATE(1900,1,1))</f>
        <v/>
      </c>
      <c r="W714" s="35">
        <f>IF($U714&lt;&gt;"",$U714,IF(AND($AO714&gt;0,$L714&lt;&gt;"",$M714&lt;&gt;""),$O714,DATE(2100,12,31)))</f>
        <v/>
      </c>
      <c r="X714" s="32">
        <f>IF($U714="",$K714,$K714*$S714)</f>
        <v/>
      </c>
      <c r="Y714" s="35">
        <f>IF($U714="",DATE(2100,12,31),$U714+1)</f>
        <v/>
      </c>
      <c r="Z714" s="35">
        <f>IF($U714="",DATE(1900,1,1),$O714)</f>
        <v/>
      </c>
      <c r="AA714" s="32">
        <f>IF($U714="",0,$K714*$T714)</f>
        <v/>
      </c>
      <c r="AB714" s="21">
        <f>IF($C714="",0,IFERROR(INDEX(Deals!$AD$2:$AD$355,MATCH($C714,Deals!$A$2:$A$355,0)),0))</f>
        <v/>
      </c>
      <c r="AC714" s="32">
        <f>IF(Settings!$B$4="Yes",$I714*$AB714,$I714)</f>
        <v/>
      </c>
      <c r="AD714" s="22">
        <f>IF($C714="","",IFERROR(IF(INDEX(Deals!$AE$2:$AE$355,MATCH($C714,Deals!$A$2:$A$355,0))=0,"",INDEX(Deals!$AE$2:$AE$355,MATCH($C714,Deals!$A$2:$A$355,0))),""))</f>
        <v/>
      </c>
      <c r="AE714" s="22">
        <f>IF($C714="","",IFERROR(IF(INDEX(Deals!$AF$2:$AF$355,MATCH($C714,Deals!$A$2:$A$355,0))=0,"",INDEX(Deals!$AF$2:$AF$355,MATCH($C714,Deals!$A$2:$A$355,0))),""))</f>
        <v/>
      </c>
      <c r="AF714" s="35">
        <f>IF($AD714="",DATE(1900,1,1),$AD714)</f>
        <v/>
      </c>
      <c r="AG714" s="35">
        <f>IF($AE714="",DATE(2100,12,31),$AE714)</f>
        <v/>
      </c>
      <c r="AH714" s="22">
        <f>IF($C714="","",IFERROR(IF(INDEX(Deals!$AG$2:$AG$355,MATCH($C714,Deals!$A$2:$A$355,0))=0,"",INDEX(Deals!$AG$2:$AG$355,MATCH($C714,Deals!$A$2:$A$355,0))),""))</f>
        <v/>
      </c>
      <c r="AI714" s="35">
        <f>IF(OR($AH714&lt;&gt;"",AND($AO714&gt;0,$AD714&lt;&gt;"",$AE714&lt;&gt;"")),$AF714,DATE(1900,1,1))</f>
        <v/>
      </c>
      <c r="AJ714" s="35">
        <f>IF($AH714&lt;&gt;"",$AH714,IF(AND($AO714&gt;0,$AD714&lt;&gt;"",$AE714&lt;&gt;""),$AG714,DATE(2100,12,31)))</f>
        <v/>
      </c>
      <c r="AK714" s="32">
        <f>IF($AH714="",$AC714,$AC714*$S714)</f>
        <v/>
      </c>
      <c r="AL714" s="35">
        <f>IF($AH714="",DATE(2100,12,31),$AH714+1)</f>
        <v/>
      </c>
      <c r="AM714" s="35">
        <f>IF($AH714="",DATE(1900,1,1),$AG714)</f>
        <v/>
      </c>
      <c r="AN714" s="32">
        <f>IF($AH714="",0,$AC714*$T714)</f>
        <v/>
      </c>
      <c r="AO714" s="46">
        <f>IF($C714="",0,IFERROR(INDEX(Deals!$BD$2:$BD$355,MATCH($C714,Deals!$A$2:$A$355,0)),0))</f>
        <v/>
      </c>
      <c r="AP714" s="18">
        <f>IF($AO714=0,0,IFERROR(INDEX(Deals!$BJ$2:$BP$355,MATCH($C714,Deals!$A$2:$A$355,0),MATCH($F714,Deals!$BJ$1:$BP$1,0))/COUNTIFS(Assignments!$C$2:$C$769,$C714,Assignments!$F$2:$F$769,$F714,Assignments!$G$2:$G$769,"Active"),0))</f>
        <v/>
      </c>
    </row>
    <row r="715">
      <c r="A715" s="31" t="n"/>
      <c r="B715" s="16">
        <f>IF($A715="","",IFERROR(INDEX(Roster!$B$2:$B$40,MATCH($A715,Roster!$A$2:$A$40,0)),"?"))</f>
        <v/>
      </c>
      <c r="C715" s="31" t="n"/>
      <c r="D715" s="16">
        <f>IF($C715="","",IFERROR(IF(INDEX(Deals!$C$2:$C$355,MATCH($C715,Deals!$A$2:$A$355,0))=0,"",INDEX(Deals!$C$2:$C$355,MATCH($C715,Deals!$A$2:$A$355,0))),"?"))</f>
        <v/>
      </c>
      <c r="E715" s="16">
        <f>IF($C715="","",IFERROR(INDEX(Deals!$F$2:$F$355,MATCH($C715,Deals!$A$2:$A$355,0)),"?"))</f>
        <v/>
      </c>
      <c r="F715" s="31" t="n"/>
      <c r="G715" s="31" t="n"/>
      <c r="H715" s="31" t="n"/>
      <c r="I715" s="32">
        <f>IF(OR($A715="",$G715&lt;&gt;"Active"),0,IF($H715&lt;&gt;"",$H715,IF($AO715&gt;0,$AP715,IF(AND($R715&lt;&gt;"",IFERROR(INDEX(Templates!$B$3:$H$10,MATCH($R715,Templates!$A$3:$A$10,0),MATCH($F715,Templates!$B$2:$H$2,0)),0)&gt;0),INDEX(Templates!$B$3:$H$10,MATCH($R715,Templates!$A$3:$A$10,0),MATCH($F715,Templates!$B$2:$H$2,0)),IFERROR(INDEX(Settings!$B$8:$B$14,MATCH($F715,Settings!$A$8:$A$14,0)),0)))))</f>
        <v/>
      </c>
      <c r="J715" s="21">
        <f>IF($C715="",0,IFERROR(INDEX(Deals!$H$2:$H$355,MATCH($C715,Deals!$A$2:$A$355,0)),0))</f>
        <v/>
      </c>
      <c r="K715" s="32">
        <f>IF(Settings!$B$4="Yes",$I715*$J715,$I715)</f>
        <v/>
      </c>
      <c r="L715" s="22">
        <f>IF($C715="","",IFERROR(IF(INDEX(Deals!$I$2:$I$355,MATCH($C715,Deals!$A$2:$A$355,0))=0,"",INDEX(Deals!$I$2:$I$355,MATCH($C715,Deals!$A$2:$A$355,0))),""))</f>
        <v/>
      </c>
      <c r="M715" s="22">
        <f>IF($C715="","",IFERROR(IF(INDEX(Deals!$J$2:$J$355,MATCH($C715,Deals!$A$2:$A$355,0))=0,"",INDEX(Deals!$J$2:$J$355,MATCH($C715,Deals!$A$2:$A$355,0))),""))</f>
        <v/>
      </c>
      <c r="N715" s="35">
        <f>IF($L715="",DATE(1900,1,1),$L715)</f>
        <v/>
      </c>
      <c r="O715" s="35">
        <f>IF($M715="",DATE(2100,12,31),$M715)</f>
        <v/>
      </c>
      <c r="P715" s="44" t="n"/>
      <c r="Q715" s="31" t="n"/>
      <c r="R715" s="16">
        <f>IF($C715="","",IFERROR(IF(INDEX(Deals!$U$2:$U$355,MATCH($C715,Deals!$A$2:$A$355,0))=0,"",INDEX(Deals!$U$2:$U$355,MATCH($C715,Deals!$A$2:$A$355,0))),""))</f>
        <v/>
      </c>
      <c r="S715" s="34">
        <f>IFERROR(IF($U715="",1,INDEX(Deals!$V$2:$V$355,MATCH($C715,Deals!$A$2:$A$355,0))),1)</f>
        <v/>
      </c>
      <c r="T715" s="34">
        <f>IFERROR(IF($U715="",1,INDEX(Deals!$W$2:$W$355,MATCH($C715,Deals!$A$2:$A$355,0))),1)</f>
        <v/>
      </c>
      <c r="U715" s="22">
        <f>IF($C715="","",IFERROR(IF(INDEX(Deals!$Y$2:$Y$355,MATCH($C715,Deals!$A$2:$A$355,0))=0,"",INDEX(Deals!$Y$2:$Y$355,MATCH($C715,Deals!$A$2:$A$355,0))),""))</f>
        <v/>
      </c>
      <c r="V715" s="35">
        <f>IF(OR($U715&lt;&gt;"",AND($AO715&gt;0,$L715&lt;&gt;"",$M715&lt;&gt;"")),$N715,DATE(1900,1,1))</f>
        <v/>
      </c>
      <c r="W715" s="35">
        <f>IF($U715&lt;&gt;"",$U715,IF(AND($AO715&gt;0,$L715&lt;&gt;"",$M715&lt;&gt;""),$O715,DATE(2100,12,31)))</f>
        <v/>
      </c>
      <c r="X715" s="32">
        <f>IF($U715="",$K715,$K715*$S715)</f>
        <v/>
      </c>
      <c r="Y715" s="35">
        <f>IF($U715="",DATE(2100,12,31),$U715+1)</f>
        <v/>
      </c>
      <c r="Z715" s="35">
        <f>IF($U715="",DATE(1900,1,1),$O715)</f>
        <v/>
      </c>
      <c r="AA715" s="32">
        <f>IF($U715="",0,$K715*$T715)</f>
        <v/>
      </c>
      <c r="AB715" s="21">
        <f>IF($C715="",0,IFERROR(INDEX(Deals!$AD$2:$AD$355,MATCH($C715,Deals!$A$2:$A$355,0)),0))</f>
        <v/>
      </c>
      <c r="AC715" s="32">
        <f>IF(Settings!$B$4="Yes",$I715*$AB715,$I715)</f>
        <v/>
      </c>
      <c r="AD715" s="22">
        <f>IF($C715="","",IFERROR(IF(INDEX(Deals!$AE$2:$AE$355,MATCH($C715,Deals!$A$2:$A$355,0))=0,"",INDEX(Deals!$AE$2:$AE$355,MATCH($C715,Deals!$A$2:$A$355,0))),""))</f>
        <v/>
      </c>
      <c r="AE715" s="22">
        <f>IF($C715="","",IFERROR(IF(INDEX(Deals!$AF$2:$AF$355,MATCH($C715,Deals!$A$2:$A$355,0))=0,"",INDEX(Deals!$AF$2:$AF$355,MATCH($C715,Deals!$A$2:$A$355,0))),""))</f>
        <v/>
      </c>
      <c r="AF715" s="35">
        <f>IF($AD715="",DATE(1900,1,1),$AD715)</f>
        <v/>
      </c>
      <c r="AG715" s="35">
        <f>IF($AE715="",DATE(2100,12,31),$AE715)</f>
        <v/>
      </c>
      <c r="AH715" s="22">
        <f>IF($C715="","",IFERROR(IF(INDEX(Deals!$AG$2:$AG$355,MATCH($C715,Deals!$A$2:$A$355,0))=0,"",INDEX(Deals!$AG$2:$AG$355,MATCH($C715,Deals!$A$2:$A$355,0))),""))</f>
        <v/>
      </c>
      <c r="AI715" s="35">
        <f>IF(OR($AH715&lt;&gt;"",AND($AO715&gt;0,$AD715&lt;&gt;"",$AE715&lt;&gt;"")),$AF715,DATE(1900,1,1))</f>
        <v/>
      </c>
      <c r="AJ715" s="35">
        <f>IF($AH715&lt;&gt;"",$AH715,IF(AND($AO715&gt;0,$AD715&lt;&gt;"",$AE715&lt;&gt;""),$AG715,DATE(2100,12,31)))</f>
        <v/>
      </c>
      <c r="AK715" s="32">
        <f>IF($AH715="",$AC715,$AC715*$S715)</f>
        <v/>
      </c>
      <c r="AL715" s="35">
        <f>IF($AH715="",DATE(2100,12,31),$AH715+1)</f>
        <v/>
      </c>
      <c r="AM715" s="35">
        <f>IF($AH715="",DATE(1900,1,1),$AG715)</f>
        <v/>
      </c>
      <c r="AN715" s="32">
        <f>IF($AH715="",0,$AC715*$T715)</f>
        <v/>
      </c>
      <c r="AO715" s="46">
        <f>IF($C715="",0,IFERROR(INDEX(Deals!$BD$2:$BD$355,MATCH($C715,Deals!$A$2:$A$355,0)),0))</f>
        <v/>
      </c>
      <c r="AP715" s="18">
        <f>IF($AO715=0,0,IFERROR(INDEX(Deals!$BJ$2:$BP$355,MATCH($C715,Deals!$A$2:$A$355,0),MATCH($F715,Deals!$BJ$1:$BP$1,0))/COUNTIFS(Assignments!$C$2:$C$769,$C715,Assignments!$F$2:$F$769,$F715,Assignments!$G$2:$G$769,"Active"),0))</f>
        <v/>
      </c>
    </row>
    <row r="716">
      <c r="A716" s="31" t="n"/>
      <c r="B716" s="16">
        <f>IF($A716="","",IFERROR(INDEX(Roster!$B$2:$B$40,MATCH($A716,Roster!$A$2:$A$40,0)),"?"))</f>
        <v/>
      </c>
      <c r="C716" s="31" t="n"/>
      <c r="D716" s="16">
        <f>IF($C716="","",IFERROR(IF(INDEX(Deals!$C$2:$C$355,MATCH($C716,Deals!$A$2:$A$355,0))=0,"",INDEX(Deals!$C$2:$C$355,MATCH($C716,Deals!$A$2:$A$355,0))),"?"))</f>
        <v/>
      </c>
      <c r="E716" s="16">
        <f>IF($C716="","",IFERROR(INDEX(Deals!$F$2:$F$355,MATCH($C716,Deals!$A$2:$A$355,0)),"?"))</f>
        <v/>
      </c>
      <c r="F716" s="31" t="n"/>
      <c r="G716" s="31" t="n"/>
      <c r="H716" s="31" t="n"/>
      <c r="I716" s="32">
        <f>IF(OR($A716="",$G716&lt;&gt;"Active"),0,IF($H716&lt;&gt;"",$H716,IF($AO716&gt;0,$AP716,IF(AND($R716&lt;&gt;"",IFERROR(INDEX(Templates!$B$3:$H$10,MATCH($R716,Templates!$A$3:$A$10,0),MATCH($F716,Templates!$B$2:$H$2,0)),0)&gt;0),INDEX(Templates!$B$3:$H$10,MATCH($R716,Templates!$A$3:$A$10,0),MATCH($F716,Templates!$B$2:$H$2,0)),IFERROR(INDEX(Settings!$B$8:$B$14,MATCH($F716,Settings!$A$8:$A$14,0)),0)))))</f>
        <v/>
      </c>
      <c r="J716" s="21">
        <f>IF($C716="",0,IFERROR(INDEX(Deals!$H$2:$H$355,MATCH($C716,Deals!$A$2:$A$355,0)),0))</f>
        <v/>
      </c>
      <c r="K716" s="32">
        <f>IF(Settings!$B$4="Yes",$I716*$J716,$I716)</f>
        <v/>
      </c>
      <c r="L716" s="22">
        <f>IF($C716="","",IFERROR(IF(INDEX(Deals!$I$2:$I$355,MATCH($C716,Deals!$A$2:$A$355,0))=0,"",INDEX(Deals!$I$2:$I$355,MATCH($C716,Deals!$A$2:$A$355,0))),""))</f>
        <v/>
      </c>
      <c r="M716" s="22">
        <f>IF($C716="","",IFERROR(IF(INDEX(Deals!$J$2:$J$355,MATCH($C716,Deals!$A$2:$A$355,0))=0,"",INDEX(Deals!$J$2:$J$355,MATCH($C716,Deals!$A$2:$A$355,0))),""))</f>
        <v/>
      </c>
      <c r="N716" s="35">
        <f>IF($L716="",DATE(1900,1,1),$L716)</f>
        <v/>
      </c>
      <c r="O716" s="35">
        <f>IF($M716="",DATE(2100,12,31),$M716)</f>
        <v/>
      </c>
      <c r="P716" s="44" t="n"/>
      <c r="Q716" s="31" t="n"/>
      <c r="R716" s="16">
        <f>IF($C716="","",IFERROR(IF(INDEX(Deals!$U$2:$U$355,MATCH($C716,Deals!$A$2:$A$355,0))=0,"",INDEX(Deals!$U$2:$U$355,MATCH($C716,Deals!$A$2:$A$355,0))),""))</f>
        <v/>
      </c>
      <c r="S716" s="34">
        <f>IFERROR(IF($U716="",1,INDEX(Deals!$V$2:$V$355,MATCH($C716,Deals!$A$2:$A$355,0))),1)</f>
        <v/>
      </c>
      <c r="T716" s="34">
        <f>IFERROR(IF($U716="",1,INDEX(Deals!$W$2:$W$355,MATCH($C716,Deals!$A$2:$A$355,0))),1)</f>
        <v/>
      </c>
      <c r="U716" s="22">
        <f>IF($C716="","",IFERROR(IF(INDEX(Deals!$Y$2:$Y$355,MATCH($C716,Deals!$A$2:$A$355,0))=0,"",INDEX(Deals!$Y$2:$Y$355,MATCH($C716,Deals!$A$2:$A$355,0))),""))</f>
        <v/>
      </c>
      <c r="V716" s="35">
        <f>IF(OR($U716&lt;&gt;"",AND($AO716&gt;0,$L716&lt;&gt;"",$M716&lt;&gt;"")),$N716,DATE(1900,1,1))</f>
        <v/>
      </c>
      <c r="W716" s="35">
        <f>IF($U716&lt;&gt;"",$U716,IF(AND($AO716&gt;0,$L716&lt;&gt;"",$M716&lt;&gt;""),$O716,DATE(2100,12,31)))</f>
        <v/>
      </c>
      <c r="X716" s="32">
        <f>IF($U716="",$K716,$K716*$S716)</f>
        <v/>
      </c>
      <c r="Y716" s="35">
        <f>IF($U716="",DATE(2100,12,31),$U716+1)</f>
        <v/>
      </c>
      <c r="Z716" s="35">
        <f>IF($U716="",DATE(1900,1,1),$O716)</f>
        <v/>
      </c>
      <c r="AA716" s="32">
        <f>IF($U716="",0,$K716*$T716)</f>
        <v/>
      </c>
      <c r="AB716" s="21">
        <f>IF($C716="",0,IFERROR(INDEX(Deals!$AD$2:$AD$355,MATCH($C716,Deals!$A$2:$A$355,0)),0))</f>
        <v/>
      </c>
      <c r="AC716" s="32">
        <f>IF(Settings!$B$4="Yes",$I716*$AB716,$I716)</f>
        <v/>
      </c>
      <c r="AD716" s="22">
        <f>IF($C716="","",IFERROR(IF(INDEX(Deals!$AE$2:$AE$355,MATCH($C716,Deals!$A$2:$A$355,0))=0,"",INDEX(Deals!$AE$2:$AE$355,MATCH($C716,Deals!$A$2:$A$355,0))),""))</f>
        <v/>
      </c>
      <c r="AE716" s="22">
        <f>IF($C716="","",IFERROR(IF(INDEX(Deals!$AF$2:$AF$355,MATCH($C716,Deals!$A$2:$A$355,0))=0,"",INDEX(Deals!$AF$2:$AF$355,MATCH($C716,Deals!$A$2:$A$355,0))),""))</f>
        <v/>
      </c>
      <c r="AF716" s="35">
        <f>IF($AD716="",DATE(1900,1,1),$AD716)</f>
        <v/>
      </c>
      <c r="AG716" s="35">
        <f>IF($AE716="",DATE(2100,12,31),$AE716)</f>
        <v/>
      </c>
      <c r="AH716" s="22">
        <f>IF($C716="","",IFERROR(IF(INDEX(Deals!$AG$2:$AG$355,MATCH($C716,Deals!$A$2:$A$355,0))=0,"",INDEX(Deals!$AG$2:$AG$355,MATCH($C716,Deals!$A$2:$A$355,0))),""))</f>
        <v/>
      </c>
      <c r="AI716" s="35">
        <f>IF(OR($AH716&lt;&gt;"",AND($AO716&gt;0,$AD716&lt;&gt;"",$AE716&lt;&gt;"")),$AF716,DATE(1900,1,1))</f>
        <v/>
      </c>
      <c r="AJ716" s="35">
        <f>IF($AH716&lt;&gt;"",$AH716,IF(AND($AO716&gt;0,$AD716&lt;&gt;"",$AE716&lt;&gt;""),$AG716,DATE(2100,12,31)))</f>
        <v/>
      </c>
      <c r="AK716" s="32">
        <f>IF($AH716="",$AC716,$AC716*$S716)</f>
        <v/>
      </c>
      <c r="AL716" s="35">
        <f>IF($AH716="",DATE(2100,12,31),$AH716+1)</f>
        <v/>
      </c>
      <c r="AM716" s="35">
        <f>IF($AH716="",DATE(1900,1,1),$AG716)</f>
        <v/>
      </c>
      <c r="AN716" s="32">
        <f>IF($AH716="",0,$AC716*$T716)</f>
        <v/>
      </c>
      <c r="AO716" s="46">
        <f>IF($C716="",0,IFERROR(INDEX(Deals!$BD$2:$BD$355,MATCH($C716,Deals!$A$2:$A$355,0)),0))</f>
        <v/>
      </c>
      <c r="AP716" s="18">
        <f>IF($AO716=0,0,IFERROR(INDEX(Deals!$BJ$2:$BP$355,MATCH($C716,Deals!$A$2:$A$355,0),MATCH($F716,Deals!$BJ$1:$BP$1,0))/COUNTIFS(Assignments!$C$2:$C$769,$C716,Assignments!$F$2:$F$769,$F716,Assignments!$G$2:$G$769,"Active"),0))</f>
        <v/>
      </c>
    </row>
    <row r="717">
      <c r="A717" s="31" t="n"/>
      <c r="B717" s="16">
        <f>IF($A717="","",IFERROR(INDEX(Roster!$B$2:$B$40,MATCH($A717,Roster!$A$2:$A$40,0)),"?"))</f>
        <v/>
      </c>
      <c r="C717" s="31" t="n"/>
      <c r="D717" s="16">
        <f>IF($C717="","",IFERROR(IF(INDEX(Deals!$C$2:$C$355,MATCH($C717,Deals!$A$2:$A$355,0))=0,"",INDEX(Deals!$C$2:$C$355,MATCH($C717,Deals!$A$2:$A$355,0))),"?"))</f>
        <v/>
      </c>
      <c r="E717" s="16">
        <f>IF($C717="","",IFERROR(INDEX(Deals!$F$2:$F$355,MATCH($C717,Deals!$A$2:$A$355,0)),"?"))</f>
        <v/>
      </c>
      <c r="F717" s="31" t="n"/>
      <c r="G717" s="31" t="n"/>
      <c r="H717" s="31" t="n"/>
      <c r="I717" s="32">
        <f>IF(OR($A717="",$G717&lt;&gt;"Active"),0,IF($H717&lt;&gt;"",$H717,IF($AO717&gt;0,$AP717,IF(AND($R717&lt;&gt;"",IFERROR(INDEX(Templates!$B$3:$H$10,MATCH($R717,Templates!$A$3:$A$10,0),MATCH($F717,Templates!$B$2:$H$2,0)),0)&gt;0),INDEX(Templates!$B$3:$H$10,MATCH($R717,Templates!$A$3:$A$10,0),MATCH($F717,Templates!$B$2:$H$2,0)),IFERROR(INDEX(Settings!$B$8:$B$14,MATCH($F717,Settings!$A$8:$A$14,0)),0)))))</f>
        <v/>
      </c>
      <c r="J717" s="21">
        <f>IF($C717="",0,IFERROR(INDEX(Deals!$H$2:$H$355,MATCH($C717,Deals!$A$2:$A$355,0)),0))</f>
        <v/>
      </c>
      <c r="K717" s="32">
        <f>IF(Settings!$B$4="Yes",$I717*$J717,$I717)</f>
        <v/>
      </c>
      <c r="L717" s="22">
        <f>IF($C717="","",IFERROR(IF(INDEX(Deals!$I$2:$I$355,MATCH($C717,Deals!$A$2:$A$355,0))=0,"",INDEX(Deals!$I$2:$I$355,MATCH($C717,Deals!$A$2:$A$355,0))),""))</f>
        <v/>
      </c>
      <c r="M717" s="22">
        <f>IF($C717="","",IFERROR(IF(INDEX(Deals!$J$2:$J$355,MATCH($C717,Deals!$A$2:$A$355,0))=0,"",INDEX(Deals!$J$2:$J$355,MATCH($C717,Deals!$A$2:$A$355,0))),""))</f>
        <v/>
      </c>
      <c r="N717" s="35">
        <f>IF($L717="",DATE(1900,1,1),$L717)</f>
        <v/>
      </c>
      <c r="O717" s="35">
        <f>IF($M717="",DATE(2100,12,31),$M717)</f>
        <v/>
      </c>
      <c r="P717" s="44" t="n"/>
      <c r="Q717" s="31" t="n"/>
      <c r="R717" s="16">
        <f>IF($C717="","",IFERROR(IF(INDEX(Deals!$U$2:$U$355,MATCH($C717,Deals!$A$2:$A$355,0))=0,"",INDEX(Deals!$U$2:$U$355,MATCH($C717,Deals!$A$2:$A$355,0))),""))</f>
        <v/>
      </c>
      <c r="S717" s="34">
        <f>IFERROR(IF($U717="",1,INDEX(Deals!$V$2:$V$355,MATCH($C717,Deals!$A$2:$A$355,0))),1)</f>
        <v/>
      </c>
      <c r="T717" s="34">
        <f>IFERROR(IF($U717="",1,INDEX(Deals!$W$2:$W$355,MATCH($C717,Deals!$A$2:$A$355,0))),1)</f>
        <v/>
      </c>
      <c r="U717" s="22">
        <f>IF($C717="","",IFERROR(IF(INDEX(Deals!$Y$2:$Y$355,MATCH($C717,Deals!$A$2:$A$355,0))=0,"",INDEX(Deals!$Y$2:$Y$355,MATCH($C717,Deals!$A$2:$A$355,0))),""))</f>
        <v/>
      </c>
      <c r="V717" s="35">
        <f>IF(OR($U717&lt;&gt;"",AND($AO717&gt;0,$L717&lt;&gt;"",$M717&lt;&gt;"")),$N717,DATE(1900,1,1))</f>
        <v/>
      </c>
      <c r="W717" s="35">
        <f>IF($U717&lt;&gt;"",$U717,IF(AND($AO717&gt;0,$L717&lt;&gt;"",$M717&lt;&gt;""),$O717,DATE(2100,12,31)))</f>
        <v/>
      </c>
      <c r="X717" s="32">
        <f>IF($U717="",$K717,$K717*$S717)</f>
        <v/>
      </c>
      <c r="Y717" s="35">
        <f>IF($U717="",DATE(2100,12,31),$U717+1)</f>
        <v/>
      </c>
      <c r="Z717" s="35">
        <f>IF($U717="",DATE(1900,1,1),$O717)</f>
        <v/>
      </c>
      <c r="AA717" s="32">
        <f>IF($U717="",0,$K717*$T717)</f>
        <v/>
      </c>
      <c r="AB717" s="21">
        <f>IF($C717="",0,IFERROR(INDEX(Deals!$AD$2:$AD$355,MATCH($C717,Deals!$A$2:$A$355,0)),0))</f>
        <v/>
      </c>
      <c r="AC717" s="32">
        <f>IF(Settings!$B$4="Yes",$I717*$AB717,$I717)</f>
        <v/>
      </c>
      <c r="AD717" s="22">
        <f>IF($C717="","",IFERROR(IF(INDEX(Deals!$AE$2:$AE$355,MATCH($C717,Deals!$A$2:$A$355,0))=0,"",INDEX(Deals!$AE$2:$AE$355,MATCH($C717,Deals!$A$2:$A$355,0))),""))</f>
        <v/>
      </c>
      <c r="AE717" s="22">
        <f>IF($C717="","",IFERROR(IF(INDEX(Deals!$AF$2:$AF$355,MATCH($C717,Deals!$A$2:$A$355,0))=0,"",INDEX(Deals!$AF$2:$AF$355,MATCH($C717,Deals!$A$2:$A$355,0))),""))</f>
        <v/>
      </c>
      <c r="AF717" s="35">
        <f>IF($AD717="",DATE(1900,1,1),$AD717)</f>
        <v/>
      </c>
      <c r="AG717" s="35">
        <f>IF($AE717="",DATE(2100,12,31),$AE717)</f>
        <v/>
      </c>
      <c r="AH717" s="22">
        <f>IF($C717="","",IFERROR(IF(INDEX(Deals!$AG$2:$AG$355,MATCH($C717,Deals!$A$2:$A$355,0))=0,"",INDEX(Deals!$AG$2:$AG$355,MATCH($C717,Deals!$A$2:$A$355,0))),""))</f>
        <v/>
      </c>
      <c r="AI717" s="35">
        <f>IF(OR($AH717&lt;&gt;"",AND($AO717&gt;0,$AD717&lt;&gt;"",$AE717&lt;&gt;"")),$AF717,DATE(1900,1,1))</f>
        <v/>
      </c>
      <c r="AJ717" s="35">
        <f>IF($AH717&lt;&gt;"",$AH717,IF(AND($AO717&gt;0,$AD717&lt;&gt;"",$AE717&lt;&gt;""),$AG717,DATE(2100,12,31)))</f>
        <v/>
      </c>
      <c r="AK717" s="32">
        <f>IF($AH717="",$AC717,$AC717*$S717)</f>
        <v/>
      </c>
      <c r="AL717" s="35">
        <f>IF($AH717="",DATE(2100,12,31),$AH717+1)</f>
        <v/>
      </c>
      <c r="AM717" s="35">
        <f>IF($AH717="",DATE(1900,1,1),$AG717)</f>
        <v/>
      </c>
      <c r="AN717" s="32">
        <f>IF($AH717="",0,$AC717*$T717)</f>
        <v/>
      </c>
      <c r="AO717" s="46">
        <f>IF($C717="",0,IFERROR(INDEX(Deals!$BD$2:$BD$355,MATCH($C717,Deals!$A$2:$A$355,0)),0))</f>
        <v/>
      </c>
      <c r="AP717" s="18">
        <f>IF($AO717=0,0,IFERROR(INDEX(Deals!$BJ$2:$BP$355,MATCH($C717,Deals!$A$2:$A$355,0),MATCH($F717,Deals!$BJ$1:$BP$1,0))/COUNTIFS(Assignments!$C$2:$C$769,$C717,Assignments!$F$2:$F$769,$F717,Assignments!$G$2:$G$769,"Active"),0))</f>
        <v/>
      </c>
    </row>
    <row r="718">
      <c r="A718" s="31" t="n"/>
      <c r="B718" s="16">
        <f>IF($A718="","",IFERROR(INDEX(Roster!$B$2:$B$40,MATCH($A718,Roster!$A$2:$A$40,0)),"?"))</f>
        <v/>
      </c>
      <c r="C718" s="31" t="n"/>
      <c r="D718" s="16">
        <f>IF($C718="","",IFERROR(IF(INDEX(Deals!$C$2:$C$355,MATCH($C718,Deals!$A$2:$A$355,0))=0,"",INDEX(Deals!$C$2:$C$355,MATCH($C718,Deals!$A$2:$A$355,0))),"?"))</f>
        <v/>
      </c>
      <c r="E718" s="16">
        <f>IF($C718="","",IFERROR(INDEX(Deals!$F$2:$F$355,MATCH($C718,Deals!$A$2:$A$355,0)),"?"))</f>
        <v/>
      </c>
      <c r="F718" s="31" t="n"/>
      <c r="G718" s="31" t="n"/>
      <c r="H718" s="31" t="n"/>
      <c r="I718" s="32">
        <f>IF(OR($A718="",$G718&lt;&gt;"Active"),0,IF($H718&lt;&gt;"",$H718,IF($AO718&gt;0,$AP718,IF(AND($R718&lt;&gt;"",IFERROR(INDEX(Templates!$B$3:$H$10,MATCH($R718,Templates!$A$3:$A$10,0),MATCH($F718,Templates!$B$2:$H$2,0)),0)&gt;0),INDEX(Templates!$B$3:$H$10,MATCH($R718,Templates!$A$3:$A$10,0),MATCH($F718,Templates!$B$2:$H$2,0)),IFERROR(INDEX(Settings!$B$8:$B$14,MATCH($F718,Settings!$A$8:$A$14,0)),0)))))</f>
        <v/>
      </c>
      <c r="J718" s="21">
        <f>IF($C718="",0,IFERROR(INDEX(Deals!$H$2:$H$355,MATCH($C718,Deals!$A$2:$A$355,0)),0))</f>
        <v/>
      </c>
      <c r="K718" s="32">
        <f>IF(Settings!$B$4="Yes",$I718*$J718,$I718)</f>
        <v/>
      </c>
      <c r="L718" s="22">
        <f>IF($C718="","",IFERROR(IF(INDEX(Deals!$I$2:$I$355,MATCH($C718,Deals!$A$2:$A$355,0))=0,"",INDEX(Deals!$I$2:$I$355,MATCH($C718,Deals!$A$2:$A$355,0))),""))</f>
        <v/>
      </c>
      <c r="M718" s="22">
        <f>IF($C718="","",IFERROR(IF(INDEX(Deals!$J$2:$J$355,MATCH($C718,Deals!$A$2:$A$355,0))=0,"",INDEX(Deals!$J$2:$J$355,MATCH($C718,Deals!$A$2:$A$355,0))),""))</f>
        <v/>
      </c>
      <c r="N718" s="35">
        <f>IF($L718="",DATE(1900,1,1),$L718)</f>
        <v/>
      </c>
      <c r="O718" s="35">
        <f>IF($M718="",DATE(2100,12,31),$M718)</f>
        <v/>
      </c>
      <c r="P718" s="44" t="n"/>
      <c r="Q718" s="31" t="n"/>
      <c r="R718" s="16">
        <f>IF($C718="","",IFERROR(IF(INDEX(Deals!$U$2:$U$355,MATCH($C718,Deals!$A$2:$A$355,0))=0,"",INDEX(Deals!$U$2:$U$355,MATCH($C718,Deals!$A$2:$A$355,0))),""))</f>
        <v/>
      </c>
      <c r="S718" s="34">
        <f>IFERROR(IF($U718="",1,INDEX(Deals!$V$2:$V$355,MATCH($C718,Deals!$A$2:$A$355,0))),1)</f>
        <v/>
      </c>
      <c r="T718" s="34">
        <f>IFERROR(IF($U718="",1,INDEX(Deals!$W$2:$W$355,MATCH($C718,Deals!$A$2:$A$355,0))),1)</f>
        <v/>
      </c>
      <c r="U718" s="22">
        <f>IF($C718="","",IFERROR(IF(INDEX(Deals!$Y$2:$Y$355,MATCH($C718,Deals!$A$2:$A$355,0))=0,"",INDEX(Deals!$Y$2:$Y$355,MATCH($C718,Deals!$A$2:$A$355,0))),""))</f>
        <v/>
      </c>
      <c r="V718" s="35">
        <f>IF(OR($U718&lt;&gt;"",AND($AO718&gt;0,$L718&lt;&gt;"",$M718&lt;&gt;"")),$N718,DATE(1900,1,1))</f>
        <v/>
      </c>
      <c r="W718" s="35">
        <f>IF($U718&lt;&gt;"",$U718,IF(AND($AO718&gt;0,$L718&lt;&gt;"",$M718&lt;&gt;""),$O718,DATE(2100,12,31)))</f>
        <v/>
      </c>
      <c r="X718" s="32">
        <f>IF($U718="",$K718,$K718*$S718)</f>
        <v/>
      </c>
      <c r="Y718" s="35">
        <f>IF($U718="",DATE(2100,12,31),$U718+1)</f>
        <v/>
      </c>
      <c r="Z718" s="35">
        <f>IF($U718="",DATE(1900,1,1),$O718)</f>
        <v/>
      </c>
      <c r="AA718" s="32">
        <f>IF($U718="",0,$K718*$T718)</f>
        <v/>
      </c>
      <c r="AB718" s="21">
        <f>IF($C718="",0,IFERROR(INDEX(Deals!$AD$2:$AD$355,MATCH($C718,Deals!$A$2:$A$355,0)),0))</f>
        <v/>
      </c>
      <c r="AC718" s="32">
        <f>IF(Settings!$B$4="Yes",$I718*$AB718,$I718)</f>
        <v/>
      </c>
      <c r="AD718" s="22">
        <f>IF($C718="","",IFERROR(IF(INDEX(Deals!$AE$2:$AE$355,MATCH($C718,Deals!$A$2:$A$355,0))=0,"",INDEX(Deals!$AE$2:$AE$355,MATCH($C718,Deals!$A$2:$A$355,0))),""))</f>
        <v/>
      </c>
      <c r="AE718" s="22">
        <f>IF($C718="","",IFERROR(IF(INDEX(Deals!$AF$2:$AF$355,MATCH($C718,Deals!$A$2:$A$355,0))=0,"",INDEX(Deals!$AF$2:$AF$355,MATCH($C718,Deals!$A$2:$A$355,0))),""))</f>
        <v/>
      </c>
      <c r="AF718" s="35">
        <f>IF($AD718="",DATE(1900,1,1),$AD718)</f>
        <v/>
      </c>
      <c r="AG718" s="35">
        <f>IF($AE718="",DATE(2100,12,31),$AE718)</f>
        <v/>
      </c>
      <c r="AH718" s="22">
        <f>IF($C718="","",IFERROR(IF(INDEX(Deals!$AG$2:$AG$355,MATCH($C718,Deals!$A$2:$A$355,0))=0,"",INDEX(Deals!$AG$2:$AG$355,MATCH($C718,Deals!$A$2:$A$355,0))),""))</f>
        <v/>
      </c>
      <c r="AI718" s="35">
        <f>IF(OR($AH718&lt;&gt;"",AND($AO718&gt;0,$AD718&lt;&gt;"",$AE718&lt;&gt;"")),$AF718,DATE(1900,1,1))</f>
        <v/>
      </c>
      <c r="AJ718" s="35">
        <f>IF($AH718&lt;&gt;"",$AH718,IF(AND($AO718&gt;0,$AD718&lt;&gt;"",$AE718&lt;&gt;""),$AG718,DATE(2100,12,31)))</f>
        <v/>
      </c>
      <c r="AK718" s="32">
        <f>IF($AH718="",$AC718,$AC718*$S718)</f>
        <v/>
      </c>
      <c r="AL718" s="35">
        <f>IF($AH718="",DATE(2100,12,31),$AH718+1)</f>
        <v/>
      </c>
      <c r="AM718" s="35">
        <f>IF($AH718="",DATE(1900,1,1),$AG718)</f>
        <v/>
      </c>
      <c r="AN718" s="32">
        <f>IF($AH718="",0,$AC718*$T718)</f>
        <v/>
      </c>
      <c r="AO718" s="46">
        <f>IF($C718="",0,IFERROR(INDEX(Deals!$BD$2:$BD$355,MATCH($C718,Deals!$A$2:$A$355,0)),0))</f>
        <v/>
      </c>
      <c r="AP718" s="18">
        <f>IF($AO718=0,0,IFERROR(INDEX(Deals!$BJ$2:$BP$355,MATCH($C718,Deals!$A$2:$A$355,0),MATCH($F718,Deals!$BJ$1:$BP$1,0))/COUNTIFS(Assignments!$C$2:$C$769,$C718,Assignments!$F$2:$F$769,$F718,Assignments!$G$2:$G$769,"Active"),0))</f>
        <v/>
      </c>
    </row>
    <row r="719">
      <c r="A719" s="31" t="n"/>
      <c r="B719" s="16">
        <f>IF($A719="","",IFERROR(INDEX(Roster!$B$2:$B$40,MATCH($A719,Roster!$A$2:$A$40,0)),"?"))</f>
        <v/>
      </c>
      <c r="C719" s="31" t="n"/>
      <c r="D719" s="16">
        <f>IF($C719="","",IFERROR(IF(INDEX(Deals!$C$2:$C$355,MATCH($C719,Deals!$A$2:$A$355,0))=0,"",INDEX(Deals!$C$2:$C$355,MATCH($C719,Deals!$A$2:$A$355,0))),"?"))</f>
        <v/>
      </c>
      <c r="E719" s="16">
        <f>IF($C719="","",IFERROR(INDEX(Deals!$F$2:$F$355,MATCH($C719,Deals!$A$2:$A$355,0)),"?"))</f>
        <v/>
      </c>
      <c r="F719" s="31" t="n"/>
      <c r="G719" s="31" t="n"/>
      <c r="H719" s="31" t="n"/>
      <c r="I719" s="32">
        <f>IF(OR($A719="",$G719&lt;&gt;"Active"),0,IF($H719&lt;&gt;"",$H719,IF($AO719&gt;0,$AP719,IF(AND($R719&lt;&gt;"",IFERROR(INDEX(Templates!$B$3:$H$10,MATCH($R719,Templates!$A$3:$A$10,0),MATCH($F719,Templates!$B$2:$H$2,0)),0)&gt;0),INDEX(Templates!$B$3:$H$10,MATCH($R719,Templates!$A$3:$A$10,0),MATCH($F719,Templates!$B$2:$H$2,0)),IFERROR(INDEX(Settings!$B$8:$B$14,MATCH($F719,Settings!$A$8:$A$14,0)),0)))))</f>
        <v/>
      </c>
      <c r="J719" s="21">
        <f>IF($C719="",0,IFERROR(INDEX(Deals!$H$2:$H$355,MATCH($C719,Deals!$A$2:$A$355,0)),0))</f>
        <v/>
      </c>
      <c r="K719" s="32">
        <f>IF(Settings!$B$4="Yes",$I719*$J719,$I719)</f>
        <v/>
      </c>
      <c r="L719" s="22">
        <f>IF($C719="","",IFERROR(IF(INDEX(Deals!$I$2:$I$355,MATCH($C719,Deals!$A$2:$A$355,0))=0,"",INDEX(Deals!$I$2:$I$355,MATCH($C719,Deals!$A$2:$A$355,0))),""))</f>
        <v/>
      </c>
      <c r="M719" s="22">
        <f>IF($C719="","",IFERROR(IF(INDEX(Deals!$J$2:$J$355,MATCH($C719,Deals!$A$2:$A$355,0))=0,"",INDEX(Deals!$J$2:$J$355,MATCH($C719,Deals!$A$2:$A$355,0))),""))</f>
        <v/>
      </c>
      <c r="N719" s="35">
        <f>IF($L719="",DATE(1900,1,1),$L719)</f>
        <v/>
      </c>
      <c r="O719" s="35">
        <f>IF($M719="",DATE(2100,12,31),$M719)</f>
        <v/>
      </c>
      <c r="P719" s="44" t="n"/>
      <c r="Q719" s="31" t="n"/>
      <c r="R719" s="16">
        <f>IF($C719="","",IFERROR(IF(INDEX(Deals!$U$2:$U$355,MATCH($C719,Deals!$A$2:$A$355,0))=0,"",INDEX(Deals!$U$2:$U$355,MATCH($C719,Deals!$A$2:$A$355,0))),""))</f>
        <v/>
      </c>
      <c r="S719" s="34">
        <f>IFERROR(IF($U719="",1,INDEX(Deals!$V$2:$V$355,MATCH($C719,Deals!$A$2:$A$355,0))),1)</f>
        <v/>
      </c>
      <c r="T719" s="34">
        <f>IFERROR(IF($U719="",1,INDEX(Deals!$W$2:$W$355,MATCH($C719,Deals!$A$2:$A$355,0))),1)</f>
        <v/>
      </c>
      <c r="U719" s="22">
        <f>IF($C719="","",IFERROR(IF(INDEX(Deals!$Y$2:$Y$355,MATCH($C719,Deals!$A$2:$A$355,0))=0,"",INDEX(Deals!$Y$2:$Y$355,MATCH($C719,Deals!$A$2:$A$355,0))),""))</f>
        <v/>
      </c>
      <c r="V719" s="35">
        <f>IF(OR($U719&lt;&gt;"",AND($AO719&gt;0,$L719&lt;&gt;"",$M719&lt;&gt;"")),$N719,DATE(1900,1,1))</f>
        <v/>
      </c>
      <c r="W719" s="35">
        <f>IF($U719&lt;&gt;"",$U719,IF(AND($AO719&gt;0,$L719&lt;&gt;"",$M719&lt;&gt;""),$O719,DATE(2100,12,31)))</f>
        <v/>
      </c>
      <c r="X719" s="32">
        <f>IF($U719="",$K719,$K719*$S719)</f>
        <v/>
      </c>
      <c r="Y719" s="35">
        <f>IF($U719="",DATE(2100,12,31),$U719+1)</f>
        <v/>
      </c>
      <c r="Z719" s="35">
        <f>IF($U719="",DATE(1900,1,1),$O719)</f>
        <v/>
      </c>
      <c r="AA719" s="32">
        <f>IF($U719="",0,$K719*$T719)</f>
        <v/>
      </c>
      <c r="AB719" s="21">
        <f>IF($C719="",0,IFERROR(INDEX(Deals!$AD$2:$AD$355,MATCH($C719,Deals!$A$2:$A$355,0)),0))</f>
        <v/>
      </c>
      <c r="AC719" s="32">
        <f>IF(Settings!$B$4="Yes",$I719*$AB719,$I719)</f>
        <v/>
      </c>
      <c r="AD719" s="22">
        <f>IF($C719="","",IFERROR(IF(INDEX(Deals!$AE$2:$AE$355,MATCH($C719,Deals!$A$2:$A$355,0))=0,"",INDEX(Deals!$AE$2:$AE$355,MATCH($C719,Deals!$A$2:$A$355,0))),""))</f>
        <v/>
      </c>
      <c r="AE719" s="22">
        <f>IF($C719="","",IFERROR(IF(INDEX(Deals!$AF$2:$AF$355,MATCH($C719,Deals!$A$2:$A$355,0))=0,"",INDEX(Deals!$AF$2:$AF$355,MATCH($C719,Deals!$A$2:$A$355,0))),""))</f>
        <v/>
      </c>
      <c r="AF719" s="35">
        <f>IF($AD719="",DATE(1900,1,1),$AD719)</f>
        <v/>
      </c>
      <c r="AG719" s="35">
        <f>IF($AE719="",DATE(2100,12,31),$AE719)</f>
        <v/>
      </c>
      <c r="AH719" s="22">
        <f>IF($C719="","",IFERROR(IF(INDEX(Deals!$AG$2:$AG$355,MATCH($C719,Deals!$A$2:$A$355,0))=0,"",INDEX(Deals!$AG$2:$AG$355,MATCH($C719,Deals!$A$2:$A$355,0))),""))</f>
        <v/>
      </c>
      <c r="AI719" s="35">
        <f>IF(OR($AH719&lt;&gt;"",AND($AO719&gt;0,$AD719&lt;&gt;"",$AE719&lt;&gt;"")),$AF719,DATE(1900,1,1))</f>
        <v/>
      </c>
      <c r="AJ719" s="35">
        <f>IF($AH719&lt;&gt;"",$AH719,IF(AND($AO719&gt;0,$AD719&lt;&gt;"",$AE719&lt;&gt;""),$AG719,DATE(2100,12,31)))</f>
        <v/>
      </c>
      <c r="AK719" s="32">
        <f>IF($AH719="",$AC719,$AC719*$S719)</f>
        <v/>
      </c>
      <c r="AL719" s="35">
        <f>IF($AH719="",DATE(2100,12,31),$AH719+1)</f>
        <v/>
      </c>
      <c r="AM719" s="35">
        <f>IF($AH719="",DATE(1900,1,1),$AG719)</f>
        <v/>
      </c>
      <c r="AN719" s="32">
        <f>IF($AH719="",0,$AC719*$T719)</f>
        <v/>
      </c>
      <c r="AO719" s="46">
        <f>IF($C719="",0,IFERROR(INDEX(Deals!$BD$2:$BD$355,MATCH($C719,Deals!$A$2:$A$355,0)),0))</f>
        <v/>
      </c>
      <c r="AP719" s="18">
        <f>IF($AO719=0,0,IFERROR(INDEX(Deals!$BJ$2:$BP$355,MATCH($C719,Deals!$A$2:$A$355,0),MATCH($F719,Deals!$BJ$1:$BP$1,0))/COUNTIFS(Assignments!$C$2:$C$769,$C719,Assignments!$F$2:$F$769,$F719,Assignments!$G$2:$G$769,"Active"),0))</f>
        <v/>
      </c>
    </row>
    <row r="720">
      <c r="A720" s="31" t="n"/>
      <c r="B720" s="16">
        <f>IF($A720="","",IFERROR(INDEX(Roster!$B$2:$B$40,MATCH($A720,Roster!$A$2:$A$40,0)),"?"))</f>
        <v/>
      </c>
      <c r="C720" s="31" t="n"/>
      <c r="D720" s="16">
        <f>IF($C720="","",IFERROR(IF(INDEX(Deals!$C$2:$C$355,MATCH($C720,Deals!$A$2:$A$355,0))=0,"",INDEX(Deals!$C$2:$C$355,MATCH($C720,Deals!$A$2:$A$355,0))),"?"))</f>
        <v/>
      </c>
      <c r="E720" s="16">
        <f>IF($C720="","",IFERROR(INDEX(Deals!$F$2:$F$355,MATCH($C720,Deals!$A$2:$A$355,0)),"?"))</f>
        <v/>
      </c>
      <c r="F720" s="31" t="n"/>
      <c r="G720" s="31" t="n"/>
      <c r="H720" s="31" t="n"/>
      <c r="I720" s="32">
        <f>IF(OR($A720="",$G720&lt;&gt;"Active"),0,IF($H720&lt;&gt;"",$H720,IF($AO720&gt;0,$AP720,IF(AND($R720&lt;&gt;"",IFERROR(INDEX(Templates!$B$3:$H$10,MATCH($R720,Templates!$A$3:$A$10,0),MATCH($F720,Templates!$B$2:$H$2,0)),0)&gt;0),INDEX(Templates!$B$3:$H$10,MATCH($R720,Templates!$A$3:$A$10,0),MATCH($F720,Templates!$B$2:$H$2,0)),IFERROR(INDEX(Settings!$B$8:$B$14,MATCH($F720,Settings!$A$8:$A$14,0)),0)))))</f>
        <v/>
      </c>
      <c r="J720" s="21">
        <f>IF($C720="",0,IFERROR(INDEX(Deals!$H$2:$H$355,MATCH($C720,Deals!$A$2:$A$355,0)),0))</f>
        <v/>
      </c>
      <c r="K720" s="32">
        <f>IF(Settings!$B$4="Yes",$I720*$J720,$I720)</f>
        <v/>
      </c>
      <c r="L720" s="22">
        <f>IF($C720="","",IFERROR(IF(INDEX(Deals!$I$2:$I$355,MATCH($C720,Deals!$A$2:$A$355,0))=0,"",INDEX(Deals!$I$2:$I$355,MATCH($C720,Deals!$A$2:$A$355,0))),""))</f>
        <v/>
      </c>
      <c r="M720" s="22">
        <f>IF($C720="","",IFERROR(IF(INDEX(Deals!$J$2:$J$355,MATCH($C720,Deals!$A$2:$A$355,0))=0,"",INDEX(Deals!$J$2:$J$355,MATCH($C720,Deals!$A$2:$A$355,0))),""))</f>
        <v/>
      </c>
      <c r="N720" s="35">
        <f>IF($L720="",DATE(1900,1,1),$L720)</f>
        <v/>
      </c>
      <c r="O720" s="35">
        <f>IF($M720="",DATE(2100,12,31),$M720)</f>
        <v/>
      </c>
      <c r="P720" s="44" t="n"/>
      <c r="Q720" s="31" t="n"/>
      <c r="R720" s="16">
        <f>IF($C720="","",IFERROR(IF(INDEX(Deals!$U$2:$U$355,MATCH($C720,Deals!$A$2:$A$355,0))=0,"",INDEX(Deals!$U$2:$U$355,MATCH($C720,Deals!$A$2:$A$355,0))),""))</f>
        <v/>
      </c>
      <c r="S720" s="34">
        <f>IFERROR(IF($U720="",1,INDEX(Deals!$V$2:$V$355,MATCH($C720,Deals!$A$2:$A$355,0))),1)</f>
        <v/>
      </c>
      <c r="T720" s="34">
        <f>IFERROR(IF($U720="",1,INDEX(Deals!$W$2:$W$355,MATCH($C720,Deals!$A$2:$A$355,0))),1)</f>
        <v/>
      </c>
      <c r="U720" s="22">
        <f>IF($C720="","",IFERROR(IF(INDEX(Deals!$Y$2:$Y$355,MATCH($C720,Deals!$A$2:$A$355,0))=0,"",INDEX(Deals!$Y$2:$Y$355,MATCH($C720,Deals!$A$2:$A$355,0))),""))</f>
        <v/>
      </c>
      <c r="V720" s="35">
        <f>IF(OR($U720&lt;&gt;"",AND($AO720&gt;0,$L720&lt;&gt;"",$M720&lt;&gt;"")),$N720,DATE(1900,1,1))</f>
        <v/>
      </c>
      <c r="W720" s="35">
        <f>IF($U720&lt;&gt;"",$U720,IF(AND($AO720&gt;0,$L720&lt;&gt;"",$M720&lt;&gt;""),$O720,DATE(2100,12,31)))</f>
        <v/>
      </c>
      <c r="X720" s="32">
        <f>IF($U720="",$K720,$K720*$S720)</f>
        <v/>
      </c>
      <c r="Y720" s="35">
        <f>IF($U720="",DATE(2100,12,31),$U720+1)</f>
        <v/>
      </c>
      <c r="Z720" s="35">
        <f>IF($U720="",DATE(1900,1,1),$O720)</f>
        <v/>
      </c>
      <c r="AA720" s="32">
        <f>IF($U720="",0,$K720*$T720)</f>
        <v/>
      </c>
      <c r="AB720" s="21">
        <f>IF($C720="",0,IFERROR(INDEX(Deals!$AD$2:$AD$355,MATCH($C720,Deals!$A$2:$A$355,0)),0))</f>
        <v/>
      </c>
      <c r="AC720" s="32">
        <f>IF(Settings!$B$4="Yes",$I720*$AB720,$I720)</f>
        <v/>
      </c>
      <c r="AD720" s="22">
        <f>IF($C720="","",IFERROR(IF(INDEX(Deals!$AE$2:$AE$355,MATCH($C720,Deals!$A$2:$A$355,0))=0,"",INDEX(Deals!$AE$2:$AE$355,MATCH($C720,Deals!$A$2:$A$355,0))),""))</f>
        <v/>
      </c>
      <c r="AE720" s="22">
        <f>IF($C720="","",IFERROR(IF(INDEX(Deals!$AF$2:$AF$355,MATCH($C720,Deals!$A$2:$A$355,0))=0,"",INDEX(Deals!$AF$2:$AF$355,MATCH($C720,Deals!$A$2:$A$355,0))),""))</f>
        <v/>
      </c>
      <c r="AF720" s="35">
        <f>IF($AD720="",DATE(1900,1,1),$AD720)</f>
        <v/>
      </c>
      <c r="AG720" s="35">
        <f>IF($AE720="",DATE(2100,12,31),$AE720)</f>
        <v/>
      </c>
      <c r="AH720" s="22">
        <f>IF($C720="","",IFERROR(IF(INDEX(Deals!$AG$2:$AG$355,MATCH($C720,Deals!$A$2:$A$355,0))=0,"",INDEX(Deals!$AG$2:$AG$355,MATCH($C720,Deals!$A$2:$A$355,0))),""))</f>
        <v/>
      </c>
      <c r="AI720" s="35">
        <f>IF(OR($AH720&lt;&gt;"",AND($AO720&gt;0,$AD720&lt;&gt;"",$AE720&lt;&gt;"")),$AF720,DATE(1900,1,1))</f>
        <v/>
      </c>
      <c r="AJ720" s="35">
        <f>IF($AH720&lt;&gt;"",$AH720,IF(AND($AO720&gt;0,$AD720&lt;&gt;"",$AE720&lt;&gt;""),$AG720,DATE(2100,12,31)))</f>
        <v/>
      </c>
      <c r="AK720" s="32">
        <f>IF($AH720="",$AC720,$AC720*$S720)</f>
        <v/>
      </c>
      <c r="AL720" s="35">
        <f>IF($AH720="",DATE(2100,12,31),$AH720+1)</f>
        <v/>
      </c>
      <c r="AM720" s="35">
        <f>IF($AH720="",DATE(1900,1,1),$AG720)</f>
        <v/>
      </c>
      <c r="AN720" s="32">
        <f>IF($AH720="",0,$AC720*$T720)</f>
        <v/>
      </c>
      <c r="AO720" s="46">
        <f>IF($C720="",0,IFERROR(INDEX(Deals!$BD$2:$BD$355,MATCH($C720,Deals!$A$2:$A$355,0)),0))</f>
        <v/>
      </c>
      <c r="AP720" s="18">
        <f>IF($AO720=0,0,IFERROR(INDEX(Deals!$BJ$2:$BP$355,MATCH($C720,Deals!$A$2:$A$355,0),MATCH($F720,Deals!$BJ$1:$BP$1,0))/COUNTIFS(Assignments!$C$2:$C$769,$C720,Assignments!$F$2:$F$769,$F720,Assignments!$G$2:$G$769,"Active"),0))</f>
        <v/>
      </c>
    </row>
    <row r="721">
      <c r="A721" s="31" t="n"/>
      <c r="B721" s="16">
        <f>IF($A721="","",IFERROR(INDEX(Roster!$B$2:$B$40,MATCH($A721,Roster!$A$2:$A$40,0)),"?"))</f>
        <v/>
      </c>
      <c r="C721" s="31" t="n"/>
      <c r="D721" s="16">
        <f>IF($C721="","",IFERROR(IF(INDEX(Deals!$C$2:$C$355,MATCH($C721,Deals!$A$2:$A$355,0))=0,"",INDEX(Deals!$C$2:$C$355,MATCH($C721,Deals!$A$2:$A$355,0))),"?"))</f>
        <v/>
      </c>
      <c r="E721" s="16">
        <f>IF($C721="","",IFERROR(INDEX(Deals!$F$2:$F$355,MATCH($C721,Deals!$A$2:$A$355,0)),"?"))</f>
        <v/>
      </c>
      <c r="F721" s="31" t="n"/>
      <c r="G721" s="31" t="n"/>
      <c r="H721" s="31" t="n"/>
      <c r="I721" s="32">
        <f>IF(OR($A721="",$G721&lt;&gt;"Active"),0,IF($H721&lt;&gt;"",$H721,IF($AO721&gt;0,$AP721,IF(AND($R721&lt;&gt;"",IFERROR(INDEX(Templates!$B$3:$H$10,MATCH($R721,Templates!$A$3:$A$10,0),MATCH($F721,Templates!$B$2:$H$2,0)),0)&gt;0),INDEX(Templates!$B$3:$H$10,MATCH($R721,Templates!$A$3:$A$10,0),MATCH($F721,Templates!$B$2:$H$2,0)),IFERROR(INDEX(Settings!$B$8:$B$14,MATCH($F721,Settings!$A$8:$A$14,0)),0)))))</f>
        <v/>
      </c>
      <c r="J721" s="21">
        <f>IF($C721="",0,IFERROR(INDEX(Deals!$H$2:$H$355,MATCH($C721,Deals!$A$2:$A$355,0)),0))</f>
        <v/>
      </c>
      <c r="K721" s="32">
        <f>IF(Settings!$B$4="Yes",$I721*$J721,$I721)</f>
        <v/>
      </c>
      <c r="L721" s="22">
        <f>IF($C721="","",IFERROR(IF(INDEX(Deals!$I$2:$I$355,MATCH($C721,Deals!$A$2:$A$355,0))=0,"",INDEX(Deals!$I$2:$I$355,MATCH($C721,Deals!$A$2:$A$355,0))),""))</f>
        <v/>
      </c>
      <c r="M721" s="22">
        <f>IF($C721="","",IFERROR(IF(INDEX(Deals!$J$2:$J$355,MATCH($C721,Deals!$A$2:$A$355,0))=0,"",INDEX(Deals!$J$2:$J$355,MATCH($C721,Deals!$A$2:$A$355,0))),""))</f>
        <v/>
      </c>
      <c r="N721" s="35">
        <f>IF($L721="",DATE(1900,1,1),$L721)</f>
        <v/>
      </c>
      <c r="O721" s="35">
        <f>IF($M721="",DATE(2100,12,31),$M721)</f>
        <v/>
      </c>
      <c r="P721" s="44" t="n"/>
      <c r="Q721" s="31" t="n"/>
      <c r="R721" s="16">
        <f>IF($C721="","",IFERROR(IF(INDEX(Deals!$U$2:$U$355,MATCH($C721,Deals!$A$2:$A$355,0))=0,"",INDEX(Deals!$U$2:$U$355,MATCH($C721,Deals!$A$2:$A$355,0))),""))</f>
        <v/>
      </c>
      <c r="S721" s="34">
        <f>IFERROR(IF($U721="",1,INDEX(Deals!$V$2:$V$355,MATCH($C721,Deals!$A$2:$A$355,0))),1)</f>
        <v/>
      </c>
      <c r="T721" s="34">
        <f>IFERROR(IF($U721="",1,INDEX(Deals!$W$2:$W$355,MATCH($C721,Deals!$A$2:$A$355,0))),1)</f>
        <v/>
      </c>
      <c r="U721" s="22">
        <f>IF($C721="","",IFERROR(IF(INDEX(Deals!$Y$2:$Y$355,MATCH($C721,Deals!$A$2:$A$355,0))=0,"",INDEX(Deals!$Y$2:$Y$355,MATCH($C721,Deals!$A$2:$A$355,0))),""))</f>
        <v/>
      </c>
      <c r="V721" s="35">
        <f>IF(OR($U721&lt;&gt;"",AND($AO721&gt;0,$L721&lt;&gt;"",$M721&lt;&gt;"")),$N721,DATE(1900,1,1))</f>
        <v/>
      </c>
      <c r="W721" s="35">
        <f>IF($U721&lt;&gt;"",$U721,IF(AND($AO721&gt;0,$L721&lt;&gt;"",$M721&lt;&gt;""),$O721,DATE(2100,12,31)))</f>
        <v/>
      </c>
      <c r="X721" s="32">
        <f>IF($U721="",$K721,$K721*$S721)</f>
        <v/>
      </c>
      <c r="Y721" s="35">
        <f>IF($U721="",DATE(2100,12,31),$U721+1)</f>
        <v/>
      </c>
      <c r="Z721" s="35">
        <f>IF($U721="",DATE(1900,1,1),$O721)</f>
        <v/>
      </c>
      <c r="AA721" s="32">
        <f>IF($U721="",0,$K721*$T721)</f>
        <v/>
      </c>
      <c r="AB721" s="21">
        <f>IF($C721="",0,IFERROR(INDEX(Deals!$AD$2:$AD$355,MATCH($C721,Deals!$A$2:$A$355,0)),0))</f>
        <v/>
      </c>
      <c r="AC721" s="32">
        <f>IF(Settings!$B$4="Yes",$I721*$AB721,$I721)</f>
        <v/>
      </c>
      <c r="AD721" s="22">
        <f>IF($C721="","",IFERROR(IF(INDEX(Deals!$AE$2:$AE$355,MATCH($C721,Deals!$A$2:$A$355,0))=0,"",INDEX(Deals!$AE$2:$AE$355,MATCH($C721,Deals!$A$2:$A$355,0))),""))</f>
        <v/>
      </c>
      <c r="AE721" s="22">
        <f>IF($C721="","",IFERROR(IF(INDEX(Deals!$AF$2:$AF$355,MATCH($C721,Deals!$A$2:$A$355,0))=0,"",INDEX(Deals!$AF$2:$AF$355,MATCH($C721,Deals!$A$2:$A$355,0))),""))</f>
        <v/>
      </c>
      <c r="AF721" s="35">
        <f>IF($AD721="",DATE(1900,1,1),$AD721)</f>
        <v/>
      </c>
      <c r="AG721" s="35">
        <f>IF($AE721="",DATE(2100,12,31),$AE721)</f>
        <v/>
      </c>
      <c r="AH721" s="22">
        <f>IF($C721="","",IFERROR(IF(INDEX(Deals!$AG$2:$AG$355,MATCH($C721,Deals!$A$2:$A$355,0))=0,"",INDEX(Deals!$AG$2:$AG$355,MATCH($C721,Deals!$A$2:$A$355,0))),""))</f>
        <v/>
      </c>
      <c r="AI721" s="35">
        <f>IF(OR($AH721&lt;&gt;"",AND($AO721&gt;0,$AD721&lt;&gt;"",$AE721&lt;&gt;"")),$AF721,DATE(1900,1,1))</f>
        <v/>
      </c>
      <c r="AJ721" s="35">
        <f>IF($AH721&lt;&gt;"",$AH721,IF(AND($AO721&gt;0,$AD721&lt;&gt;"",$AE721&lt;&gt;""),$AG721,DATE(2100,12,31)))</f>
        <v/>
      </c>
      <c r="AK721" s="32">
        <f>IF($AH721="",$AC721,$AC721*$S721)</f>
        <v/>
      </c>
      <c r="AL721" s="35">
        <f>IF($AH721="",DATE(2100,12,31),$AH721+1)</f>
        <v/>
      </c>
      <c r="AM721" s="35">
        <f>IF($AH721="",DATE(1900,1,1),$AG721)</f>
        <v/>
      </c>
      <c r="AN721" s="32">
        <f>IF($AH721="",0,$AC721*$T721)</f>
        <v/>
      </c>
      <c r="AO721" s="46">
        <f>IF($C721="",0,IFERROR(INDEX(Deals!$BD$2:$BD$355,MATCH($C721,Deals!$A$2:$A$355,0)),0))</f>
        <v/>
      </c>
      <c r="AP721" s="18">
        <f>IF($AO721=0,0,IFERROR(INDEX(Deals!$BJ$2:$BP$355,MATCH($C721,Deals!$A$2:$A$355,0),MATCH($F721,Deals!$BJ$1:$BP$1,0))/COUNTIFS(Assignments!$C$2:$C$769,$C721,Assignments!$F$2:$F$769,$F721,Assignments!$G$2:$G$769,"Active"),0))</f>
        <v/>
      </c>
    </row>
    <row r="722">
      <c r="A722" s="31" t="n"/>
      <c r="B722" s="16">
        <f>IF($A722="","",IFERROR(INDEX(Roster!$B$2:$B$40,MATCH($A722,Roster!$A$2:$A$40,0)),"?"))</f>
        <v/>
      </c>
      <c r="C722" s="31" t="n"/>
      <c r="D722" s="16">
        <f>IF($C722="","",IFERROR(IF(INDEX(Deals!$C$2:$C$355,MATCH($C722,Deals!$A$2:$A$355,0))=0,"",INDEX(Deals!$C$2:$C$355,MATCH($C722,Deals!$A$2:$A$355,0))),"?"))</f>
        <v/>
      </c>
      <c r="E722" s="16">
        <f>IF($C722="","",IFERROR(INDEX(Deals!$F$2:$F$355,MATCH($C722,Deals!$A$2:$A$355,0)),"?"))</f>
        <v/>
      </c>
      <c r="F722" s="31" t="n"/>
      <c r="G722" s="31" t="n"/>
      <c r="H722" s="31" t="n"/>
      <c r="I722" s="32">
        <f>IF(OR($A722="",$G722&lt;&gt;"Active"),0,IF($H722&lt;&gt;"",$H722,IF($AO722&gt;0,$AP722,IF(AND($R722&lt;&gt;"",IFERROR(INDEX(Templates!$B$3:$H$10,MATCH($R722,Templates!$A$3:$A$10,0),MATCH($F722,Templates!$B$2:$H$2,0)),0)&gt;0),INDEX(Templates!$B$3:$H$10,MATCH($R722,Templates!$A$3:$A$10,0),MATCH($F722,Templates!$B$2:$H$2,0)),IFERROR(INDEX(Settings!$B$8:$B$14,MATCH($F722,Settings!$A$8:$A$14,0)),0)))))</f>
        <v/>
      </c>
      <c r="J722" s="21">
        <f>IF($C722="",0,IFERROR(INDEX(Deals!$H$2:$H$355,MATCH($C722,Deals!$A$2:$A$355,0)),0))</f>
        <v/>
      </c>
      <c r="K722" s="32">
        <f>IF(Settings!$B$4="Yes",$I722*$J722,$I722)</f>
        <v/>
      </c>
      <c r="L722" s="22">
        <f>IF($C722="","",IFERROR(IF(INDEX(Deals!$I$2:$I$355,MATCH($C722,Deals!$A$2:$A$355,0))=0,"",INDEX(Deals!$I$2:$I$355,MATCH($C722,Deals!$A$2:$A$355,0))),""))</f>
        <v/>
      </c>
      <c r="M722" s="22">
        <f>IF($C722="","",IFERROR(IF(INDEX(Deals!$J$2:$J$355,MATCH($C722,Deals!$A$2:$A$355,0))=0,"",INDEX(Deals!$J$2:$J$355,MATCH($C722,Deals!$A$2:$A$355,0))),""))</f>
        <v/>
      </c>
      <c r="N722" s="35">
        <f>IF($L722="",DATE(1900,1,1),$L722)</f>
        <v/>
      </c>
      <c r="O722" s="35">
        <f>IF($M722="",DATE(2100,12,31),$M722)</f>
        <v/>
      </c>
      <c r="P722" s="44" t="n"/>
      <c r="Q722" s="31" t="n"/>
      <c r="R722" s="16">
        <f>IF($C722="","",IFERROR(IF(INDEX(Deals!$U$2:$U$355,MATCH($C722,Deals!$A$2:$A$355,0))=0,"",INDEX(Deals!$U$2:$U$355,MATCH($C722,Deals!$A$2:$A$355,0))),""))</f>
        <v/>
      </c>
      <c r="S722" s="34">
        <f>IFERROR(IF($U722="",1,INDEX(Deals!$V$2:$V$355,MATCH($C722,Deals!$A$2:$A$355,0))),1)</f>
        <v/>
      </c>
      <c r="T722" s="34">
        <f>IFERROR(IF($U722="",1,INDEX(Deals!$W$2:$W$355,MATCH($C722,Deals!$A$2:$A$355,0))),1)</f>
        <v/>
      </c>
      <c r="U722" s="22">
        <f>IF($C722="","",IFERROR(IF(INDEX(Deals!$Y$2:$Y$355,MATCH($C722,Deals!$A$2:$A$355,0))=0,"",INDEX(Deals!$Y$2:$Y$355,MATCH($C722,Deals!$A$2:$A$355,0))),""))</f>
        <v/>
      </c>
      <c r="V722" s="35">
        <f>IF(OR($U722&lt;&gt;"",AND($AO722&gt;0,$L722&lt;&gt;"",$M722&lt;&gt;"")),$N722,DATE(1900,1,1))</f>
        <v/>
      </c>
      <c r="W722" s="35">
        <f>IF($U722&lt;&gt;"",$U722,IF(AND($AO722&gt;0,$L722&lt;&gt;"",$M722&lt;&gt;""),$O722,DATE(2100,12,31)))</f>
        <v/>
      </c>
      <c r="X722" s="32">
        <f>IF($U722="",$K722,$K722*$S722)</f>
        <v/>
      </c>
      <c r="Y722" s="35">
        <f>IF($U722="",DATE(2100,12,31),$U722+1)</f>
        <v/>
      </c>
      <c r="Z722" s="35">
        <f>IF($U722="",DATE(1900,1,1),$O722)</f>
        <v/>
      </c>
      <c r="AA722" s="32">
        <f>IF($U722="",0,$K722*$T722)</f>
        <v/>
      </c>
      <c r="AB722" s="21">
        <f>IF($C722="",0,IFERROR(INDEX(Deals!$AD$2:$AD$355,MATCH($C722,Deals!$A$2:$A$355,0)),0))</f>
        <v/>
      </c>
      <c r="AC722" s="32">
        <f>IF(Settings!$B$4="Yes",$I722*$AB722,$I722)</f>
        <v/>
      </c>
      <c r="AD722" s="22">
        <f>IF($C722="","",IFERROR(IF(INDEX(Deals!$AE$2:$AE$355,MATCH($C722,Deals!$A$2:$A$355,0))=0,"",INDEX(Deals!$AE$2:$AE$355,MATCH($C722,Deals!$A$2:$A$355,0))),""))</f>
        <v/>
      </c>
      <c r="AE722" s="22">
        <f>IF($C722="","",IFERROR(IF(INDEX(Deals!$AF$2:$AF$355,MATCH($C722,Deals!$A$2:$A$355,0))=0,"",INDEX(Deals!$AF$2:$AF$355,MATCH($C722,Deals!$A$2:$A$355,0))),""))</f>
        <v/>
      </c>
      <c r="AF722" s="35">
        <f>IF($AD722="",DATE(1900,1,1),$AD722)</f>
        <v/>
      </c>
      <c r="AG722" s="35">
        <f>IF($AE722="",DATE(2100,12,31),$AE722)</f>
        <v/>
      </c>
      <c r="AH722" s="22">
        <f>IF($C722="","",IFERROR(IF(INDEX(Deals!$AG$2:$AG$355,MATCH($C722,Deals!$A$2:$A$355,0))=0,"",INDEX(Deals!$AG$2:$AG$355,MATCH($C722,Deals!$A$2:$A$355,0))),""))</f>
        <v/>
      </c>
      <c r="AI722" s="35">
        <f>IF(OR($AH722&lt;&gt;"",AND($AO722&gt;0,$AD722&lt;&gt;"",$AE722&lt;&gt;"")),$AF722,DATE(1900,1,1))</f>
        <v/>
      </c>
      <c r="AJ722" s="35">
        <f>IF($AH722&lt;&gt;"",$AH722,IF(AND($AO722&gt;0,$AD722&lt;&gt;"",$AE722&lt;&gt;""),$AG722,DATE(2100,12,31)))</f>
        <v/>
      </c>
      <c r="AK722" s="32">
        <f>IF($AH722="",$AC722,$AC722*$S722)</f>
        <v/>
      </c>
      <c r="AL722" s="35">
        <f>IF($AH722="",DATE(2100,12,31),$AH722+1)</f>
        <v/>
      </c>
      <c r="AM722" s="35">
        <f>IF($AH722="",DATE(1900,1,1),$AG722)</f>
        <v/>
      </c>
      <c r="AN722" s="32">
        <f>IF($AH722="",0,$AC722*$T722)</f>
        <v/>
      </c>
      <c r="AO722" s="46">
        <f>IF($C722="",0,IFERROR(INDEX(Deals!$BD$2:$BD$355,MATCH($C722,Deals!$A$2:$A$355,0)),0))</f>
        <v/>
      </c>
      <c r="AP722" s="18">
        <f>IF($AO722=0,0,IFERROR(INDEX(Deals!$BJ$2:$BP$355,MATCH($C722,Deals!$A$2:$A$355,0),MATCH($F722,Deals!$BJ$1:$BP$1,0))/COUNTIFS(Assignments!$C$2:$C$769,$C722,Assignments!$F$2:$F$769,$F722,Assignments!$G$2:$G$769,"Active"),0))</f>
        <v/>
      </c>
    </row>
    <row r="723">
      <c r="A723" s="31" t="n"/>
      <c r="B723" s="16">
        <f>IF($A723="","",IFERROR(INDEX(Roster!$B$2:$B$40,MATCH($A723,Roster!$A$2:$A$40,0)),"?"))</f>
        <v/>
      </c>
      <c r="C723" s="31" t="n"/>
      <c r="D723" s="16">
        <f>IF($C723="","",IFERROR(IF(INDEX(Deals!$C$2:$C$355,MATCH($C723,Deals!$A$2:$A$355,0))=0,"",INDEX(Deals!$C$2:$C$355,MATCH($C723,Deals!$A$2:$A$355,0))),"?"))</f>
        <v/>
      </c>
      <c r="E723" s="16">
        <f>IF($C723="","",IFERROR(INDEX(Deals!$F$2:$F$355,MATCH($C723,Deals!$A$2:$A$355,0)),"?"))</f>
        <v/>
      </c>
      <c r="F723" s="31" t="n"/>
      <c r="G723" s="31" t="n"/>
      <c r="H723" s="31" t="n"/>
      <c r="I723" s="32">
        <f>IF(OR($A723="",$G723&lt;&gt;"Active"),0,IF($H723&lt;&gt;"",$H723,IF($AO723&gt;0,$AP723,IF(AND($R723&lt;&gt;"",IFERROR(INDEX(Templates!$B$3:$H$10,MATCH($R723,Templates!$A$3:$A$10,0),MATCH($F723,Templates!$B$2:$H$2,0)),0)&gt;0),INDEX(Templates!$B$3:$H$10,MATCH($R723,Templates!$A$3:$A$10,0),MATCH($F723,Templates!$B$2:$H$2,0)),IFERROR(INDEX(Settings!$B$8:$B$14,MATCH($F723,Settings!$A$8:$A$14,0)),0)))))</f>
        <v/>
      </c>
      <c r="J723" s="21">
        <f>IF($C723="",0,IFERROR(INDEX(Deals!$H$2:$H$355,MATCH($C723,Deals!$A$2:$A$355,0)),0))</f>
        <v/>
      </c>
      <c r="K723" s="32">
        <f>IF(Settings!$B$4="Yes",$I723*$J723,$I723)</f>
        <v/>
      </c>
      <c r="L723" s="22">
        <f>IF($C723="","",IFERROR(IF(INDEX(Deals!$I$2:$I$355,MATCH($C723,Deals!$A$2:$A$355,0))=0,"",INDEX(Deals!$I$2:$I$355,MATCH($C723,Deals!$A$2:$A$355,0))),""))</f>
        <v/>
      </c>
      <c r="M723" s="22">
        <f>IF($C723="","",IFERROR(IF(INDEX(Deals!$J$2:$J$355,MATCH($C723,Deals!$A$2:$A$355,0))=0,"",INDEX(Deals!$J$2:$J$355,MATCH($C723,Deals!$A$2:$A$355,0))),""))</f>
        <v/>
      </c>
      <c r="N723" s="35">
        <f>IF($L723="",DATE(1900,1,1),$L723)</f>
        <v/>
      </c>
      <c r="O723" s="35">
        <f>IF($M723="",DATE(2100,12,31),$M723)</f>
        <v/>
      </c>
      <c r="P723" s="44" t="n"/>
      <c r="Q723" s="31" t="n"/>
      <c r="R723" s="16">
        <f>IF($C723="","",IFERROR(IF(INDEX(Deals!$U$2:$U$355,MATCH($C723,Deals!$A$2:$A$355,0))=0,"",INDEX(Deals!$U$2:$U$355,MATCH($C723,Deals!$A$2:$A$355,0))),""))</f>
        <v/>
      </c>
      <c r="S723" s="34">
        <f>IFERROR(IF($U723="",1,INDEX(Deals!$V$2:$V$355,MATCH($C723,Deals!$A$2:$A$355,0))),1)</f>
        <v/>
      </c>
      <c r="T723" s="34">
        <f>IFERROR(IF($U723="",1,INDEX(Deals!$W$2:$W$355,MATCH($C723,Deals!$A$2:$A$355,0))),1)</f>
        <v/>
      </c>
      <c r="U723" s="22">
        <f>IF($C723="","",IFERROR(IF(INDEX(Deals!$Y$2:$Y$355,MATCH($C723,Deals!$A$2:$A$355,0))=0,"",INDEX(Deals!$Y$2:$Y$355,MATCH($C723,Deals!$A$2:$A$355,0))),""))</f>
        <v/>
      </c>
      <c r="V723" s="35">
        <f>IF(OR($U723&lt;&gt;"",AND($AO723&gt;0,$L723&lt;&gt;"",$M723&lt;&gt;"")),$N723,DATE(1900,1,1))</f>
        <v/>
      </c>
      <c r="W723" s="35">
        <f>IF($U723&lt;&gt;"",$U723,IF(AND($AO723&gt;0,$L723&lt;&gt;"",$M723&lt;&gt;""),$O723,DATE(2100,12,31)))</f>
        <v/>
      </c>
      <c r="X723" s="32">
        <f>IF($U723="",$K723,$K723*$S723)</f>
        <v/>
      </c>
      <c r="Y723" s="35">
        <f>IF($U723="",DATE(2100,12,31),$U723+1)</f>
        <v/>
      </c>
      <c r="Z723" s="35">
        <f>IF($U723="",DATE(1900,1,1),$O723)</f>
        <v/>
      </c>
      <c r="AA723" s="32">
        <f>IF($U723="",0,$K723*$T723)</f>
        <v/>
      </c>
      <c r="AB723" s="21">
        <f>IF($C723="",0,IFERROR(INDEX(Deals!$AD$2:$AD$355,MATCH($C723,Deals!$A$2:$A$355,0)),0))</f>
        <v/>
      </c>
      <c r="AC723" s="32">
        <f>IF(Settings!$B$4="Yes",$I723*$AB723,$I723)</f>
        <v/>
      </c>
      <c r="AD723" s="22">
        <f>IF($C723="","",IFERROR(IF(INDEX(Deals!$AE$2:$AE$355,MATCH($C723,Deals!$A$2:$A$355,0))=0,"",INDEX(Deals!$AE$2:$AE$355,MATCH($C723,Deals!$A$2:$A$355,0))),""))</f>
        <v/>
      </c>
      <c r="AE723" s="22">
        <f>IF($C723="","",IFERROR(IF(INDEX(Deals!$AF$2:$AF$355,MATCH($C723,Deals!$A$2:$A$355,0))=0,"",INDEX(Deals!$AF$2:$AF$355,MATCH($C723,Deals!$A$2:$A$355,0))),""))</f>
        <v/>
      </c>
      <c r="AF723" s="35">
        <f>IF($AD723="",DATE(1900,1,1),$AD723)</f>
        <v/>
      </c>
      <c r="AG723" s="35">
        <f>IF($AE723="",DATE(2100,12,31),$AE723)</f>
        <v/>
      </c>
      <c r="AH723" s="22">
        <f>IF($C723="","",IFERROR(IF(INDEX(Deals!$AG$2:$AG$355,MATCH($C723,Deals!$A$2:$A$355,0))=0,"",INDEX(Deals!$AG$2:$AG$355,MATCH($C723,Deals!$A$2:$A$355,0))),""))</f>
        <v/>
      </c>
      <c r="AI723" s="35">
        <f>IF(OR($AH723&lt;&gt;"",AND($AO723&gt;0,$AD723&lt;&gt;"",$AE723&lt;&gt;"")),$AF723,DATE(1900,1,1))</f>
        <v/>
      </c>
      <c r="AJ723" s="35">
        <f>IF($AH723&lt;&gt;"",$AH723,IF(AND($AO723&gt;0,$AD723&lt;&gt;"",$AE723&lt;&gt;""),$AG723,DATE(2100,12,31)))</f>
        <v/>
      </c>
      <c r="AK723" s="32">
        <f>IF($AH723="",$AC723,$AC723*$S723)</f>
        <v/>
      </c>
      <c r="AL723" s="35">
        <f>IF($AH723="",DATE(2100,12,31),$AH723+1)</f>
        <v/>
      </c>
      <c r="AM723" s="35">
        <f>IF($AH723="",DATE(1900,1,1),$AG723)</f>
        <v/>
      </c>
      <c r="AN723" s="32">
        <f>IF($AH723="",0,$AC723*$T723)</f>
        <v/>
      </c>
      <c r="AO723" s="46">
        <f>IF($C723="",0,IFERROR(INDEX(Deals!$BD$2:$BD$355,MATCH($C723,Deals!$A$2:$A$355,0)),0))</f>
        <v/>
      </c>
      <c r="AP723" s="18">
        <f>IF($AO723=0,0,IFERROR(INDEX(Deals!$BJ$2:$BP$355,MATCH($C723,Deals!$A$2:$A$355,0),MATCH($F723,Deals!$BJ$1:$BP$1,0))/COUNTIFS(Assignments!$C$2:$C$769,$C723,Assignments!$F$2:$F$769,$F723,Assignments!$G$2:$G$769,"Active"),0))</f>
        <v/>
      </c>
    </row>
    <row r="724">
      <c r="A724" s="31" t="n"/>
      <c r="B724" s="16">
        <f>IF($A724="","",IFERROR(INDEX(Roster!$B$2:$B$40,MATCH($A724,Roster!$A$2:$A$40,0)),"?"))</f>
        <v/>
      </c>
      <c r="C724" s="31" t="n"/>
      <c r="D724" s="16">
        <f>IF($C724="","",IFERROR(IF(INDEX(Deals!$C$2:$C$355,MATCH($C724,Deals!$A$2:$A$355,0))=0,"",INDEX(Deals!$C$2:$C$355,MATCH($C724,Deals!$A$2:$A$355,0))),"?"))</f>
        <v/>
      </c>
      <c r="E724" s="16">
        <f>IF($C724="","",IFERROR(INDEX(Deals!$F$2:$F$355,MATCH($C724,Deals!$A$2:$A$355,0)),"?"))</f>
        <v/>
      </c>
      <c r="F724" s="31" t="n"/>
      <c r="G724" s="31" t="n"/>
      <c r="H724" s="31" t="n"/>
      <c r="I724" s="32">
        <f>IF(OR($A724="",$G724&lt;&gt;"Active"),0,IF($H724&lt;&gt;"",$H724,IF($AO724&gt;0,$AP724,IF(AND($R724&lt;&gt;"",IFERROR(INDEX(Templates!$B$3:$H$10,MATCH($R724,Templates!$A$3:$A$10,0),MATCH($F724,Templates!$B$2:$H$2,0)),0)&gt;0),INDEX(Templates!$B$3:$H$10,MATCH($R724,Templates!$A$3:$A$10,0),MATCH($F724,Templates!$B$2:$H$2,0)),IFERROR(INDEX(Settings!$B$8:$B$14,MATCH($F724,Settings!$A$8:$A$14,0)),0)))))</f>
        <v/>
      </c>
      <c r="J724" s="21">
        <f>IF($C724="",0,IFERROR(INDEX(Deals!$H$2:$H$355,MATCH($C724,Deals!$A$2:$A$355,0)),0))</f>
        <v/>
      </c>
      <c r="K724" s="32">
        <f>IF(Settings!$B$4="Yes",$I724*$J724,$I724)</f>
        <v/>
      </c>
      <c r="L724" s="22">
        <f>IF($C724="","",IFERROR(IF(INDEX(Deals!$I$2:$I$355,MATCH($C724,Deals!$A$2:$A$355,0))=0,"",INDEX(Deals!$I$2:$I$355,MATCH($C724,Deals!$A$2:$A$355,0))),""))</f>
        <v/>
      </c>
      <c r="M724" s="22">
        <f>IF($C724="","",IFERROR(IF(INDEX(Deals!$J$2:$J$355,MATCH($C724,Deals!$A$2:$A$355,0))=0,"",INDEX(Deals!$J$2:$J$355,MATCH($C724,Deals!$A$2:$A$355,0))),""))</f>
        <v/>
      </c>
      <c r="N724" s="35">
        <f>IF($L724="",DATE(1900,1,1),$L724)</f>
        <v/>
      </c>
      <c r="O724" s="35">
        <f>IF($M724="",DATE(2100,12,31),$M724)</f>
        <v/>
      </c>
      <c r="P724" s="44" t="n"/>
      <c r="Q724" s="31" t="n"/>
      <c r="R724" s="16">
        <f>IF($C724="","",IFERROR(IF(INDEX(Deals!$U$2:$U$355,MATCH($C724,Deals!$A$2:$A$355,0))=0,"",INDEX(Deals!$U$2:$U$355,MATCH($C724,Deals!$A$2:$A$355,0))),""))</f>
        <v/>
      </c>
      <c r="S724" s="34">
        <f>IFERROR(IF($U724="",1,INDEX(Deals!$V$2:$V$355,MATCH($C724,Deals!$A$2:$A$355,0))),1)</f>
        <v/>
      </c>
      <c r="T724" s="34">
        <f>IFERROR(IF($U724="",1,INDEX(Deals!$W$2:$W$355,MATCH($C724,Deals!$A$2:$A$355,0))),1)</f>
        <v/>
      </c>
      <c r="U724" s="22">
        <f>IF($C724="","",IFERROR(IF(INDEX(Deals!$Y$2:$Y$355,MATCH($C724,Deals!$A$2:$A$355,0))=0,"",INDEX(Deals!$Y$2:$Y$355,MATCH($C724,Deals!$A$2:$A$355,0))),""))</f>
        <v/>
      </c>
      <c r="V724" s="35">
        <f>IF(OR($U724&lt;&gt;"",AND($AO724&gt;0,$L724&lt;&gt;"",$M724&lt;&gt;"")),$N724,DATE(1900,1,1))</f>
        <v/>
      </c>
      <c r="W724" s="35">
        <f>IF($U724&lt;&gt;"",$U724,IF(AND($AO724&gt;0,$L724&lt;&gt;"",$M724&lt;&gt;""),$O724,DATE(2100,12,31)))</f>
        <v/>
      </c>
      <c r="X724" s="32">
        <f>IF($U724="",$K724,$K724*$S724)</f>
        <v/>
      </c>
      <c r="Y724" s="35">
        <f>IF($U724="",DATE(2100,12,31),$U724+1)</f>
        <v/>
      </c>
      <c r="Z724" s="35">
        <f>IF($U724="",DATE(1900,1,1),$O724)</f>
        <v/>
      </c>
      <c r="AA724" s="32">
        <f>IF($U724="",0,$K724*$T724)</f>
        <v/>
      </c>
      <c r="AB724" s="21">
        <f>IF($C724="",0,IFERROR(INDEX(Deals!$AD$2:$AD$355,MATCH($C724,Deals!$A$2:$A$355,0)),0))</f>
        <v/>
      </c>
      <c r="AC724" s="32">
        <f>IF(Settings!$B$4="Yes",$I724*$AB724,$I724)</f>
        <v/>
      </c>
      <c r="AD724" s="22">
        <f>IF($C724="","",IFERROR(IF(INDEX(Deals!$AE$2:$AE$355,MATCH($C724,Deals!$A$2:$A$355,0))=0,"",INDEX(Deals!$AE$2:$AE$355,MATCH($C724,Deals!$A$2:$A$355,0))),""))</f>
        <v/>
      </c>
      <c r="AE724" s="22">
        <f>IF($C724="","",IFERROR(IF(INDEX(Deals!$AF$2:$AF$355,MATCH($C724,Deals!$A$2:$A$355,0))=0,"",INDEX(Deals!$AF$2:$AF$355,MATCH($C724,Deals!$A$2:$A$355,0))),""))</f>
        <v/>
      </c>
      <c r="AF724" s="35">
        <f>IF($AD724="",DATE(1900,1,1),$AD724)</f>
        <v/>
      </c>
      <c r="AG724" s="35">
        <f>IF($AE724="",DATE(2100,12,31),$AE724)</f>
        <v/>
      </c>
      <c r="AH724" s="22">
        <f>IF($C724="","",IFERROR(IF(INDEX(Deals!$AG$2:$AG$355,MATCH($C724,Deals!$A$2:$A$355,0))=0,"",INDEX(Deals!$AG$2:$AG$355,MATCH($C724,Deals!$A$2:$A$355,0))),""))</f>
        <v/>
      </c>
      <c r="AI724" s="35">
        <f>IF(OR($AH724&lt;&gt;"",AND($AO724&gt;0,$AD724&lt;&gt;"",$AE724&lt;&gt;"")),$AF724,DATE(1900,1,1))</f>
        <v/>
      </c>
      <c r="AJ724" s="35">
        <f>IF($AH724&lt;&gt;"",$AH724,IF(AND($AO724&gt;0,$AD724&lt;&gt;"",$AE724&lt;&gt;""),$AG724,DATE(2100,12,31)))</f>
        <v/>
      </c>
      <c r="AK724" s="32">
        <f>IF($AH724="",$AC724,$AC724*$S724)</f>
        <v/>
      </c>
      <c r="AL724" s="35">
        <f>IF($AH724="",DATE(2100,12,31),$AH724+1)</f>
        <v/>
      </c>
      <c r="AM724" s="35">
        <f>IF($AH724="",DATE(1900,1,1),$AG724)</f>
        <v/>
      </c>
      <c r="AN724" s="32">
        <f>IF($AH724="",0,$AC724*$T724)</f>
        <v/>
      </c>
      <c r="AO724" s="46">
        <f>IF($C724="",0,IFERROR(INDEX(Deals!$BD$2:$BD$355,MATCH($C724,Deals!$A$2:$A$355,0)),0))</f>
        <v/>
      </c>
      <c r="AP724" s="18">
        <f>IF($AO724=0,0,IFERROR(INDEX(Deals!$BJ$2:$BP$355,MATCH($C724,Deals!$A$2:$A$355,0),MATCH($F724,Deals!$BJ$1:$BP$1,0))/COUNTIFS(Assignments!$C$2:$C$769,$C724,Assignments!$F$2:$F$769,$F724,Assignments!$G$2:$G$769,"Active"),0))</f>
        <v/>
      </c>
    </row>
    <row r="725">
      <c r="A725" s="31" t="n"/>
      <c r="B725" s="16">
        <f>IF($A725="","",IFERROR(INDEX(Roster!$B$2:$B$40,MATCH($A725,Roster!$A$2:$A$40,0)),"?"))</f>
        <v/>
      </c>
      <c r="C725" s="31" t="n"/>
      <c r="D725" s="16">
        <f>IF($C725="","",IFERROR(IF(INDEX(Deals!$C$2:$C$355,MATCH($C725,Deals!$A$2:$A$355,0))=0,"",INDEX(Deals!$C$2:$C$355,MATCH($C725,Deals!$A$2:$A$355,0))),"?"))</f>
        <v/>
      </c>
      <c r="E725" s="16">
        <f>IF($C725="","",IFERROR(INDEX(Deals!$F$2:$F$355,MATCH($C725,Deals!$A$2:$A$355,0)),"?"))</f>
        <v/>
      </c>
      <c r="F725" s="31" t="n"/>
      <c r="G725" s="31" t="n"/>
      <c r="H725" s="31" t="n"/>
      <c r="I725" s="32">
        <f>IF(OR($A725="",$G725&lt;&gt;"Active"),0,IF($H725&lt;&gt;"",$H725,IF($AO725&gt;0,$AP725,IF(AND($R725&lt;&gt;"",IFERROR(INDEX(Templates!$B$3:$H$10,MATCH($R725,Templates!$A$3:$A$10,0),MATCH($F725,Templates!$B$2:$H$2,0)),0)&gt;0),INDEX(Templates!$B$3:$H$10,MATCH($R725,Templates!$A$3:$A$10,0),MATCH($F725,Templates!$B$2:$H$2,0)),IFERROR(INDEX(Settings!$B$8:$B$14,MATCH($F725,Settings!$A$8:$A$14,0)),0)))))</f>
        <v/>
      </c>
      <c r="J725" s="21">
        <f>IF($C725="",0,IFERROR(INDEX(Deals!$H$2:$H$355,MATCH($C725,Deals!$A$2:$A$355,0)),0))</f>
        <v/>
      </c>
      <c r="K725" s="32">
        <f>IF(Settings!$B$4="Yes",$I725*$J725,$I725)</f>
        <v/>
      </c>
      <c r="L725" s="22">
        <f>IF($C725="","",IFERROR(IF(INDEX(Deals!$I$2:$I$355,MATCH($C725,Deals!$A$2:$A$355,0))=0,"",INDEX(Deals!$I$2:$I$355,MATCH($C725,Deals!$A$2:$A$355,0))),""))</f>
        <v/>
      </c>
      <c r="M725" s="22">
        <f>IF($C725="","",IFERROR(IF(INDEX(Deals!$J$2:$J$355,MATCH($C725,Deals!$A$2:$A$355,0))=0,"",INDEX(Deals!$J$2:$J$355,MATCH($C725,Deals!$A$2:$A$355,0))),""))</f>
        <v/>
      </c>
      <c r="N725" s="35">
        <f>IF($L725="",DATE(1900,1,1),$L725)</f>
        <v/>
      </c>
      <c r="O725" s="35">
        <f>IF($M725="",DATE(2100,12,31),$M725)</f>
        <v/>
      </c>
      <c r="P725" s="44" t="n"/>
      <c r="Q725" s="31" t="n"/>
      <c r="R725" s="16">
        <f>IF($C725="","",IFERROR(IF(INDEX(Deals!$U$2:$U$355,MATCH($C725,Deals!$A$2:$A$355,0))=0,"",INDEX(Deals!$U$2:$U$355,MATCH($C725,Deals!$A$2:$A$355,0))),""))</f>
        <v/>
      </c>
      <c r="S725" s="34">
        <f>IFERROR(IF($U725="",1,INDEX(Deals!$V$2:$V$355,MATCH($C725,Deals!$A$2:$A$355,0))),1)</f>
        <v/>
      </c>
      <c r="T725" s="34">
        <f>IFERROR(IF($U725="",1,INDEX(Deals!$W$2:$W$355,MATCH($C725,Deals!$A$2:$A$355,0))),1)</f>
        <v/>
      </c>
      <c r="U725" s="22">
        <f>IF($C725="","",IFERROR(IF(INDEX(Deals!$Y$2:$Y$355,MATCH($C725,Deals!$A$2:$A$355,0))=0,"",INDEX(Deals!$Y$2:$Y$355,MATCH($C725,Deals!$A$2:$A$355,0))),""))</f>
        <v/>
      </c>
      <c r="V725" s="35">
        <f>IF(OR($U725&lt;&gt;"",AND($AO725&gt;0,$L725&lt;&gt;"",$M725&lt;&gt;"")),$N725,DATE(1900,1,1))</f>
        <v/>
      </c>
      <c r="W725" s="35">
        <f>IF($U725&lt;&gt;"",$U725,IF(AND($AO725&gt;0,$L725&lt;&gt;"",$M725&lt;&gt;""),$O725,DATE(2100,12,31)))</f>
        <v/>
      </c>
      <c r="X725" s="32">
        <f>IF($U725="",$K725,$K725*$S725)</f>
        <v/>
      </c>
      <c r="Y725" s="35">
        <f>IF($U725="",DATE(2100,12,31),$U725+1)</f>
        <v/>
      </c>
      <c r="Z725" s="35">
        <f>IF($U725="",DATE(1900,1,1),$O725)</f>
        <v/>
      </c>
      <c r="AA725" s="32">
        <f>IF($U725="",0,$K725*$T725)</f>
        <v/>
      </c>
      <c r="AB725" s="21">
        <f>IF($C725="",0,IFERROR(INDEX(Deals!$AD$2:$AD$355,MATCH($C725,Deals!$A$2:$A$355,0)),0))</f>
        <v/>
      </c>
      <c r="AC725" s="32">
        <f>IF(Settings!$B$4="Yes",$I725*$AB725,$I725)</f>
        <v/>
      </c>
      <c r="AD725" s="22">
        <f>IF($C725="","",IFERROR(IF(INDEX(Deals!$AE$2:$AE$355,MATCH($C725,Deals!$A$2:$A$355,0))=0,"",INDEX(Deals!$AE$2:$AE$355,MATCH($C725,Deals!$A$2:$A$355,0))),""))</f>
        <v/>
      </c>
      <c r="AE725" s="22">
        <f>IF($C725="","",IFERROR(IF(INDEX(Deals!$AF$2:$AF$355,MATCH($C725,Deals!$A$2:$A$355,0))=0,"",INDEX(Deals!$AF$2:$AF$355,MATCH($C725,Deals!$A$2:$A$355,0))),""))</f>
        <v/>
      </c>
      <c r="AF725" s="35">
        <f>IF($AD725="",DATE(1900,1,1),$AD725)</f>
        <v/>
      </c>
      <c r="AG725" s="35">
        <f>IF($AE725="",DATE(2100,12,31),$AE725)</f>
        <v/>
      </c>
      <c r="AH725" s="22">
        <f>IF($C725="","",IFERROR(IF(INDEX(Deals!$AG$2:$AG$355,MATCH($C725,Deals!$A$2:$A$355,0))=0,"",INDEX(Deals!$AG$2:$AG$355,MATCH($C725,Deals!$A$2:$A$355,0))),""))</f>
        <v/>
      </c>
      <c r="AI725" s="35">
        <f>IF(OR($AH725&lt;&gt;"",AND($AO725&gt;0,$AD725&lt;&gt;"",$AE725&lt;&gt;"")),$AF725,DATE(1900,1,1))</f>
        <v/>
      </c>
      <c r="AJ725" s="35">
        <f>IF($AH725&lt;&gt;"",$AH725,IF(AND($AO725&gt;0,$AD725&lt;&gt;"",$AE725&lt;&gt;""),$AG725,DATE(2100,12,31)))</f>
        <v/>
      </c>
      <c r="AK725" s="32">
        <f>IF($AH725="",$AC725,$AC725*$S725)</f>
        <v/>
      </c>
      <c r="AL725" s="35">
        <f>IF($AH725="",DATE(2100,12,31),$AH725+1)</f>
        <v/>
      </c>
      <c r="AM725" s="35">
        <f>IF($AH725="",DATE(1900,1,1),$AG725)</f>
        <v/>
      </c>
      <c r="AN725" s="32">
        <f>IF($AH725="",0,$AC725*$T725)</f>
        <v/>
      </c>
      <c r="AO725" s="46">
        <f>IF($C725="",0,IFERROR(INDEX(Deals!$BD$2:$BD$355,MATCH($C725,Deals!$A$2:$A$355,0)),0))</f>
        <v/>
      </c>
      <c r="AP725" s="18">
        <f>IF($AO725=0,0,IFERROR(INDEX(Deals!$BJ$2:$BP$355,MATCH($C725,Deals!$A$2:$A$355,0),MATCH($F725,Deals!$BJ$1:$BP$1,0))/COUNTIFS(Assignments!$C$2:$C$769,$C725,Assignments!$F$2:$F$769,$F725,Assignments!$G$2:$G$769,"Active"),0))</f>
        <v/>
      </c>
    </row>
    <row r="726">
      <c r="A726" s="31" t="n"/>
      <c r="B726" s="16">
        <f>IF($A726="","",IFERROR(INDEX(Roster!$B$2:$B$40,MATCH($A726,Roster!$A$2:$A$40,0)),"?"))</f>
        <v/>
      </c>
      <c r="C726" s="31" t="n"/>
      <c r="D726" s="16">
        <f>IF($C726="","",IFERROR(IF(INDEX(Deals!$C$2:$C$355,MATCH($C726,Deals!$A$2:$A$355,0))=0,"",INDEX(Deals!$C$2:$C$355,MATCH($C726,Deals!$A$2:$A$355,0))),"?"))</f>
        <v/>
      </c>
      <c r="E726" s="16">
        <f>IF($C726="","",IFERROR(INDEX(Deals!$F$2:$F$355,MATCH($C726,Deals!$A$2:$A$355,0)),"?"))</f>
        <v/>
      </c>
      <c r="F726" s="31" t="n"/>
      <c r="G726" s="31" t="n"/>
      <c r="H726" s="31" t="n"/>
      <c r="I726" s="32">
        <f>IF(OR($A726="",$G726&lt;&gt;"Active"),0,IF($H726&lt;&gt;"",$H726,IF($AO726&gt;0,$AP726,IF(AND($R726&lt;&gt;"",IFERROR(INDEX(Templates!$B$3:$H$10,MATCH($R726,Templates!$A$3:$A$10,0),MATCH($F726,Templates!$B$2:$H$2,0)),0)&gt;0),INDEX(Templates!$B$3:$H$10,MATCH($R726,Templates!$A$3:$A$10,0),MATCH($F726,Templates!$B$2:$H$2,0)),IFERROR(INDEX(Settings!$B$8:$B$14,MATCH($F726,Settings!$A$8:$A$14,0)),0)))))</f>
        <v/>
      </c>
      <c r="J726" s="21">
        <f>IF($C726="",0,IFERROR(INDEX(Deals!$H$2:$H$355,MATCH($C726,Deals!$A$2:$A$355,0)),0))</f>
        <v/>
      </c>
      <c r="K726" s="32">
        <f>IF(Settings!$B$4="Yes",$I726*$J726,$I726)</f>
        <v/>
      </c>
      <c r="L726" s="22">
        <f>IF($C726="","",IFERROR(IF(INDEX(Deals!$I$2:$I$355,MATCH($C726,Deals!$A$2:$A$355,0))=0,"",INDEX(Deals!$I$2:$I$355,MATCH($C726,Deals!$A$2:$A$355,0))),""))</f>
        <v/>
      </c>
      <c r="M726" s="22">
        <f>IF($C726="","",IFERROR(IF(INDEX(Deals!$J$2:$J$355,MATCH($C726,Deals!$A$2:$A$355,0))=0,"",INDEX(Deals!$J$2:$J$355,MATCH($C726,Deals!$A$2:$A$355,0))),""))</f>
        <v/>
      </c>
      <c r="N726" s="35">
        <f>IF($L726="",DATE(1900,1,1),$L726)</f>
        <v/>
      </c>
      <c r="O726" s="35">
        <f>IF($M726="",DATE(2100,12,31),$M726)</f>
        <v/>
      </c>
      <c r="P726" s="44" t="n"/>
      <c r="Q726" s="31" t="n"/>
      <c r="R726" s="16">
        <f>IF($C726="","",IFERROR(IF(INDEX(Deals!$U$2:$U$355,MATCH($C726,Deals!$A$2:$A$355,0))=0,"",INDEX(Deals!$U$2:$U$355,MATCH($C726,Deals!$A$2:$A$355,0))),""))</f>
        <v/>
      </c>
      <c r="S726" s="34">
        <f>IFERROR(IF($U726="",1,INDEX(Deals!$V$2:$V$355,MATCH($C726,Deals!$A$2:$A$355,0))),1)</f>
        <v/>
      </c>
      <c r="T726" s="34">
        <f>IFERROR(IF($U726="",1,INDEX(Deals!$W$2:$W$355,MATCH($C726,Deals!$A$2:$A$355,0))),1)</f>
        <v/>
      </c>
      <c r="U726" s="22">
        <f>IF($C726="","",IFERROR(IF(INDEX(Deals!$Y$2:$Y$355,MATCH($C726,Deals!$A$2:$A$355,0))=0,"",INDEX(Deals!$Y$2:$Y$355,MATCH($C726,Deals!$A$2:$A$355,0))),""))</f>
        <v/>
      </c>
      <c r="V726" s="35">
        <f>IF(OR($U726&lt;&gt;"",AND($AO726&gt;0,$L726&lt;&gt;"",$M726&lt;&gt;"")),$N726,DATE(1900,1,1))</f>
        <v/>
      </c>
      <c r="W726" s="35">
        <f>IF($U726&lt;&gt;"",$U726,IF(AND($AO726&gt;0,$L726&lt;&gt;"",$M726&lt;&gt;""),$O726,DATE(2100,12,31)))</f>
        <v/>
      </c>
      <c r="X726" s="32">
        <f>IF($U726="",$K726,$K726*$S726)</f>
        <v/>
      </c>
      <c r="Y726" s="35">
        <f>IF($U726="",DATE(2100,12,31),$U726+1)</f>
        <v/>
      </c>
      <c r="Z726" s="35">
        <f>IF($U726="",DATE(1900,1,1),$O726)</f>
        <v/>
      </c>
      <c r="AA726" s="32">
        <f>IF($U726="",0,$K726*$T726)</f>
        <v/>
      </c>
      <c r="AB726" s="21">
        <f>IF($C726="",0,IFERROR(INDEX(Deals!$AD$2:$AD$355,MATCH($C726,Deals!$A$2:$A$355,0)),0))</f>
        <v/>
      </c>
      <c r="AC726" s="32">
        <f>IF(Settings!$B$4="Yes",$I726*$AB726,$I726)</f>
        <v/>
      </c>
      <c r="AD726" s="22">
        <f>IF($C726="","",IFERROR(IF(INDEX(Deals!$AE$2:$AE$355,MATCH($C726,Deals!$A$2:$A$355,0))=0,"",INDEX(Deals!$AE$2:$AE$355,MATCH($C726,Deals!$A$2:$A$355,0))),""))</f>
        <v/>
      </c>
      <c r="AE726" s="22">
        <f>IF($C726="","",IFERROR(IF(INDEX(Deals!$AF$2:$AF$355,MATCH($C726,Deals!$A$2:$A$355,0))=0,"",INDEX(Deals!$AF$2:$AF$355,MATCH($C726,Deals!$A$2:$A$355,0))),""))</f>
        <v/>
      </c>
      <c r="AF726" s="35">
        <f>IF($AD726="",DATE(1900,1,1),$AD726)</f>
        <v/>
      </c>
      <c r="AG726" s="35">
        <f>IF($AE726="",DATE(2100,12,31),$AE726)</f>
        <v/>
      </c>
      <c r="AH726" s="22">
        <f>IF($C726="","",IFERROR(IF(INDEX(Deals!$AG$2:$AG$355,MATCH($C726,Deals!$A$2:$A$355,0))=0,"",INDEX(Deals!$AG$2:$AG$355,MATCH($C726,Deals!$A$2:$A$355,0))),""))</f>
        <v/>
      </c>
      <c r="AI726" s="35">
        <f>IF(OR($AH726&lt;&gt;"",AND($AO726&gt;0,$AD726&lt;&gt;"",$AE726&lt;&gt;"")),$AF726,DATE(1900,1,1))</f>
        <v/>
      </c>
      <c r="AJ726" s="35">
        <f>IF($AH726&lt;&gt;"",$AH726,IF(AND($AO726&gt;0,$AD726&lt;&gt;"",$AE726&lt;&gt;""),$AG726,DATE(2100,12,31)))</f>
        <v/>
      </c>
      <c r="AK726" s="32">
        <f>IF($AH726="",$AC726,$AC726*$S726)</f>
        <v/>
      </c>
      <c r="AL726" s="35">
        <f>IF($AH726="",DATE(2100,12,31),$AH726+1)</f>
        <v/>
      </c>
      <c r="AM726" s="35">
        <f>IF($AH726="",DATE(1900,1,1),$AG726)</f>
        <v/>
      </c>
      <c r="AN726" s="32">
        <f>IF($AH726="",0,$AC726*$T726)</f>
        <v/>
      </c>
      <c r="AO726" s="46">
        <f>IF($C726="",0,IFERROR(INDEX(Deals!$BD$2:$BD$355,MATCH($C726,Deals!$A$2:$A$355,0)),0))</f>
        <v/>
      </c>
      <c r="AP726" s="18">
        <f>IF($AO726=0,0,IFERROR(INDEX(Deals!$BJ$2:$BP$355,MATCH($C726,Deals!$A$2:$A$355,0),MATCH($F726,Deals!$BJ$1:$BP$1,0))/COUNTIFS(Assignments!$C$2:$C$769,$C726,Assignments!$F$2:$F$769,$F726,Assignments!$G$2:$G$769,"Active"),0))</f>
        <v/>
      </c>
    </row>
    <row r="727">
      <c r="A727" s="31" t="n"/>
      <c r="B727" s="16">
        <f>IF($A727="","",IFERROR(INDEX(Roster!$B$2:$B$40,MATCH($A727,Roster!$A$2:$A$40,0)),"?"))</f>
        <v/>
      </c>
      <c r="C727" s="31" t="n"/>
      <c r="D727" s="16">
        <f>IF($C727="","",IFERROR(IF(INDEX(Deals!$C$2:$C$355,MATCH($C727,Deals!$A$2:$A$355,0))=0,"",INDEX(Deals!$C$2:$C$355,MATCH($C727,Deals!$A$2:$A$355,0))),"?"))</f>
        <v/>
      </c>
      <c r="E727" s="16">
        <f>IF($C727="","",IFERROR(INDEX(Deals!$F$2:$F$355,MATCH($C727,Deals!$A$2:$A$355,0)),"?"))</f>
        <v/>
      </c>
      <c r="F727" s="31" t="n"/>
      <c r="G727" s="31" t="n"/>
      <c r="H727" s="31" t="n"/>
      <c r="I727" s="32">
        <f>IF(OR($A727="",$G727&lt;&gt;"Active"),0,IF($H727&lt;&gt;"",$H727,IF($AO727&gt;0,$AP727,IF(AND($R727&lt;&gt;"",IFERROR(INDEX(Templates!$B$3:$H$10,MATCH($R727,Templates!$A$3:$A$10,0),MATCH($F727,Templates!$B$2:$H$2,0)),0)&gt;0),INDEX(Templates!$B$3:$H$10,MATCH($R727,Templates!$A$3:$A$10,0),MATCH($F727,Templates!$B$2:$H$2,0)),IFERROR(INDEX(Settings!$B$8:$B$14,MATCH($F727,Settings!$A$8:$A$14,0)),0)))))</f>
        <v/>
      </c>
      <c r="J727" s="21">
        <f>IF($C727="",0,IFERROR(INDEX(Deals!$H$2:$H$355,MATCH($C727,Deals!$A$2:$A$355,0)),0))</f>
        <v/>
      </c>
      <c r="K727" s="32">
        <f>IF(Settings!$B$4="Yes",$I727*$J727,$I727)</f>
        <v/>
      </c>
      <c r="L727" s="22">
        <f>IF($C727="","",IFERROR(IF(INDEX(Deals!$I$2:$I$355,MATCH($C727,Deals!$A$2:$A$355,0))=0,"",INDEX(Deals!$I$2:$I$355,MATCH($C727,Deals!$A$2:$A$355,0))),""))</f>
        <v/>
      </c>
      <c r="M727" s="22">
        <f>IF($C727="","",IFERROR(IF(INDEX(Deals!$J$2:$J$355,MATCH($C727,Deals!$A$2:$A$355,0))=0,"",INDEX(Deals!$J$2:$J$355,MATCH($C727,Deals!$A$2:$A$355,0))),""))</f>
        <v/>
      </c>
      <c r="N727" s="35">
        <f>IF($L727="",DATE(1900,1,1),$L727)</f>
        <v/>
      </c>
      <c r="O727" s="35">
        <f>IF($M727="",DATE(2100,12,31),$M727)</f>
        <v/>
      </c>
      <c r="P727" s="44" t="n"/>
      <c r="Q727" s="31" t="n"/>
      <c r="R727" s="16">
        <f>IF($C727="","",IFERROR(IF(INDEX(Deals!$U$2:$U$355,MATCH($C727,Deals!$A$2:$A$355,0))=0,"",INDEX(Deals!$U$2:$U$355,MATCH($C727,Deals!$A$2:$A$355,0))),""))</f>
        <v/>
      </c>
      <c r="S727" s="34">
        <f>IFERROR(IF($U727="",1,INDEX(Deals!$V$2:$V$355,MATCH($C727,Deals!$A$2:$A$355,0))),1)</f>
        <v/>
      </c>
      <c r="T727" s="34">
        <f>IFERROR(IF($U727="",1,INDEX(Deals!$W$2:$W$355,MATCH($C727,Deals!$A$2:$A$355,0))),1)</f>
        <v/>
      </c>
      <c r="U727" s="22">
        <f>IF($C727="","",IFERROR(IF(INDEX(Deals!$Y$2:$Y$355,MATCH($C727,Deals!$A$2:$A$355,0))=0,"",INDEX(Deals!$Y$2:$Y$355,MATCH($C727,Deals!$A$2:$A$355,0))),""))</f>
        <v/>
      </c>
      <c r="V727" s="35">
        <f>IF(OR($U727&lt;&gt;"",AND($AO727&gt;0,$L727&lt;&gt;"",$M727&lt;&gt;"")),$N727,DATE(1900,1,1))</f>
        <v/>
      </c>
      <c r="W727" s="35">
        <f>IF($U727&lt;&gt;"",$U727,IF(AND($AO727&gt;0,$L727&lt;&gt;"",$M727&lt;&gt;""),$O727,DATE(2100,12,31)))</f>
        <v/>
      </c>
      <c r="X727" s="32">
        <f>IF($U727="",$K727,$K727*$S727)</f>
        <v/>
      </c>
      <c r="Y727" s="35">
        <f>IF($U727="",DATE(2100,12,31),$U727+1)</f>
        <v/>
      </c>
      <c r="Z727" s="35">
        <f>IF($U727="",DATE(1900,1,1),$O727)</f>
        <v/>
      </c>
      <c r="AA727" s="32">
        <f>IF($U727="",0,$K727*$T727)</f>
        <v/>
      </c>
      <c r="AB727" s="21">
        <f>IF($C727="",0,IFERROR(INDEX(Deals!$AD$2:$AD$355,MATCH($C727,Deals!$A$2:$A$355,0)),0))</f>
        <v/>
      </c>
      <c r="AC727" s="32">
        <f>IF(Settings!$B$4="Yes",$I727*$AB727,$I727)</f>
        <v/>
      </c>
      <c r="AD727" s="22">
        <f>IF($C727="","",IFERROR(IF(INDEX(Deals!$AE$2:$AE$355,MATCH($C727,Deals!$A$2:$A$355,0))=0,"",INDEX(Deals!$AE$2:$AE$355,MATCH($C727,Deals!$A$2:$A$355,0))),""))</f>
        <v/>
      </c>
      <c r="AE727" s="22">
        <f>IF($C727="","",IFERROR(IF(INDEX(Deals!$AF$2:$AF$355,MATCH($C727,Deals!$A$2:$A$355,0))=0,"",INDEX(Deals!$AF$2:$AF$355,MATCH($C727,Deals!$A$2:$A$355,0))),""))</f>
        <v/>
      </c>
      <c r="AF727" s="35">
        <f>IF($AD727="",DATE(1900,1,1),$AD727)</f>
        <v/>
      </c>
      <c r="AG727" s="35">
        <f>IF($AE727="",DATE(2100,12,31),$AE727)</f>
        <v/>
      </c>
      <c r="AH727" s="22">
        <f>IF($C727="","",IFERROR(IF(INDEX(Deals!$AG$2:$AG$355,MATCH($C727,Deals!$A$2:$A$355,0))=0,"",INDEX(Deals!$AG$2:$AG$355,MATCH($C727,Deals!$A$2:$A$355,0))),""))</f>
        <v/>
      </c>
      <c r="AI727" s="35">
        <f>IF(OR($AH727&lt;&gt;"",AND($AO727&gt;0,$AD727&lt;&gt;"",$AE727&lt;&gt;"")),$AF727,DATE(1900,1,1))</f>
        <v/>
      </c>
      <c r="AJ727" s="35">
        <f>IF($AH727&lt;&gt;"",$AH727,IF(AND($AO727&gt;0,$AD727&lt;&gt;"",$AE727&lt;&gt;""),$AG727,DATE(2100,12,31)))</f>
        <v/>
      </c>
      <c r="AK727" s="32">
        <f>IF($AH727="",$AC727,$AC727*$S727)</f>
        <v/>
      </c>
      <c r="AL727" s="35">
        <f>IF($AH727="",DATE(2100,12,31),$AH727+1)</f>
        <v/>
      </c>
      <c r="AM727" s="35">
        <f>IF($AH727="",DATE(1900,1,1),$AG727)</f>
        <v/>
      </c>
      <c r="AN727" s="32">
        <f>IF($AH727="",0,$AC727*$T727)</f>
        <v/>
      </c>
      <c r="AO727" s="46">
        <f>IF($C727="",0,IFERROR(INDEX(Deals!$BD$2:$BD$355,MATCH($C727,Deals!$A$2:$A$355,0)),0))</f>
        <v/>
      </c>
      <c r="AP727" s="18">
        <f>IF($AO727=0,0,IFERROR(INDEX(Deals!$BJ$2:$BP$355,MATCH($C727,Deals!$A$2:$A$355,0),MATCH($F727,Deals!$BJ$1:$BP$1,0))/COUNTIFS(Assignments!$C$2:$C$769,$C727,Assignments!$F$2:$F$769,$F727,Assignments!$G$2:$G$769,"Active"),0))</f>
        <v/>
      </c>
    </row>
    <row r="728">
      <c r="A728" s="31" t="n"/>
      <c r="B728" s="16">
        <f>IF($A728="","",IFERROR(INDEX(Roster!$B$2:$B$40,MATCH($A728,Roster!$A$2:$A$40,0)),"?"))</f>
        <v/>
      </c>
      <c r="C728" s="31" t="n"/>
      <c r="D728" s="16">
        <f>IF($C728="","",IFERROR(IF(INDEX(Deals!$C$2:$C$355,MATCH($C728,Deals!$A$2:$A$355,0))=0,"",INDEX(Deals!$C$2:$C$355,MATCH($C728,Deals!$A$2:$A$355,0))),"?"))</f>
        <v/>
      </c>
      <c r="E728" s="16">
        <f>IF($C728="","",IFERROR(INDEX(Deals!$F$2:$F$355,MATCH($C728,Deals!$A$2:$A$355,0)),"?"))</f>
        <v/>
      </c>
      <c r="F728" s="31" t="n"/>
      <c r="G728" s="31" t="n"/>
      <c r="H728" s="31" t="n"/>
      <c r="I728" s="32">
        <f>IF(OR($A728="",$G728&lt;&gt;"Active"),0,IF($H728&lt;&gt;"",$H728,IF($AO728&gt;0,$AP728,IF(AND($R728&lt;&gt;"",IFERROR(INDEX(Templates!$B$3:$H$10,MATCH($R728,Templates!$A$3:$A$10,0),MATCH($F728,Templates!$B$2:$H$2,0)),0)&gt;0),INDEX(Templates!$B$3:$H$10,MATCH($R728,Templates!$A$3:$A$10,0),MATCH($F728,Templates!$B$2:$H$2,0)),IFERROR(INDEX(Settings!$B$8:$B$14,MATCH($F728,Settings!$A$8:$A$14,0)),0)))))</f>
        <v/>
      </c>
      <c r="J728" s="21">
        <f>IF($C728="",0,IFERROR(INDEX(Deals!$H$2:$H$355,MATCH($C728,Deals!$A$2:$A$355,0)),0))</f>
        <v/>
      </c>
      <c r="K728" s="32">
        <f>IF(Settings!$B$4="Yes",$I728*$J728,$I728)</f>
        <v/>
      </c>
      <c r="L728" s="22">
        <f>IF($C728="","",IFERROR(IF(INDEX(Deals!$I$2:$I$355,MATCH($C728,Deals!$A$2:$A$355,0))=0,"",INDEX(Deals!$I$2:$I$355,MATCH($C728,Deals!$A$2:$A$355,0))),""))</f>
        <v/>
      </c>
      <c r="M728" s="22">
        <f>IF($C728="","",IFERROR(IF(INDEX(Deals!$J$2:$J$355,MATCH($C728,Deals!$A$2:$A$355,0))=0,"",INDEX(Deals!$J$2:$J$355,MATCH($C728,Deals!$A$2:$A$355,0))),""))</f>
        <v/>
      </c>
      <c r="N728" s="35">
        <f>IF($L728="",DATE(1900,1,1),$L728)</f>
        <v/>
      </c>
      <c r="O728" s="35">
        <f>IF($M728="",DATE(2100,12,31),$M728)</f>
        <v/>
      </c>
      <c r="P728" s="44" t="n"/>
      <c r="Q728" s="31" t="n"/>
      <c r="R728" s="16">
        <f>IF($C728="","",IFERROR(IF(INDEX(Deals!$U$2:$U$355,MATCH($C728,Deals!$A$2:$A$355,0))=0,"",INDEX(Deals!$U$2:$U$355,MATCH($C728,Deals!$A$2:$A$355,0))),""))</f>
        <v/>
      </c>
      <c r="S728" s="34">
        <f>IFERROR(IF($U728="",1,INDEX(Deals!$V$2:$V$355,MATCH($C728,Deals!$A$2:$A$355,0))),1)</f>
        <v/>
      </c>
      <c r="T728" s="34">
        <f>IFERROR(IF($U728="",1,INDEX(Deals!$W$2:$W$355,MATCH($C728,Deals!$A$2:$A$355,0))),1)</f>
        <v/>
      </c>
      <c r="U728" s="22">
        <f>IF($C728="","",IFERROR(IF(INDEX(Deals!$Y$2:$Y$355,MATCH($C728,Deals!$A$2:$A$355,0))=0,"",INDEX(Deals!$Y$2:$Y$355,MATCH($C728,Deals!$A$2:$A$355,0))),""))</f>
        <v/>
      </c>
      <c r="V728" s="35">
        <f>IF(OR($U728&lt;&gt;"",AND($AO728&gt;0,$L728&lt;&gt;"",$M728&lt;&gt;"")),$N728,DATE(1900,1,1))</f>
        <v/>
      </c>
      <c r="W728" s="35">
        <f>IF($U728&lt;&gt;"",$U728,IF(AND($AO728&gt;0,$L728&lt;&gt;"",$M728&lt;&gt;""),$O728,DATE(2100,12,31)))</f>
        <v/>
      </c>
      <c r="X728" s="32">
        <f>IF($U728="",$K728,$K728*$S728)</f>
        <v/>
      </c>
      <c r="Y728" s="35">
        <f>IF($U728="",DATE(2100,12,31),$U728+1)</f>
        <v/>
      </c>
      <c r="Z728" s="35">
        <f>IF($U728="",DATE(1900,1,1),$O728)</f>
        <v/>
      </c>
      <c r="AA728" s="32">
        <f>IF($U728="",0,$K728*$T728)</f>
        <v/>
      </c>
      <c r="AB728" s="21">
        <f>IF($C728="",0,IFERROR(INDEX(Deals!$AD$2:$AD$355,MATCH($C728,Deals!$A$2:$A$355,0)),0))</f>
        <v/>
      </c>
      <c r="AC728" s="32">
        <f>IF(Settings!$B$4="Yes",$I728*$AB728,$I728)</f>
        <v/>
      </c>
      <c r="AD728" s="22">
        <f>IF($C728="","",IFERROR(IF(INDEX(Deals!$AE$2:$AE$355,MATCH($C728,Deals!$A$2:$A$355,0))=0,"",INDEX(Deals!$AE$2:$AE$355,MATCH($C728,Deals!$A$2:$A$355,0))),""))</f>
        <v/>
      </c>
      <c r="AE728" s="22">
        <f>IF($C728="","",IFERROR(IF(INDEX(Deals!$AF$2:$AF$355,MATCH($C728,Deals!$A$2:$A$355,0))=0,"",INDEX(Deals!$AF$2:$AF$355,MATCH($C728,Deals!$A$2:$A$355,0))),""))</f>
        <v/>
      </c>
      <c r="AF728" s="35">
        <f>IF($AD728="",DATE(1900,1,1),$AD728)</f>
        <v/>
      </c>
      <c r="AG728" s="35">
        <f>IF($AE728="",DATE(2100,12,31),$AE728)</f>
        <v/>
      </c>
      <c r="AH728" s="22">
        <f>IF($C728="","",IFERROR(IF(INDEX(Deals!$AG$2:$AG$355,MATCH($C728,Deals!$A$2:$A$355,0))=0,"",INDEX(Deals!$AG$2:$AG$355,MATCH($C728,Deals!$A$2:$A$355,0))),""))</f>
        <v/>
      </c>
      <c r="AI728" s="35">
        <f>IF(OR($AH728&lt;&gt;"",AND($AO728&gt;0,$AD728&lt;&gt;"",$AE728&lt;&gt;"")),$AF728,DATE(1900,1,1))</f>
        <v/>
      </c>
      <c r="AJ728" s="35">
        <f>IF($AH728&lt;&gt;"",$AH728,IF(AND($AO728&gt;0,$AD728&lt;&gt;"",$AE728&lt;&gt;""),$AG728,DATE(2100,12,31)))</f>
        <v/>
      </c>
      <c r="AK728" s="32">
        <f>IF($AH728="",$AC728,$AC728*$S728)</f>
        <v/>
      </c>
      <c r="AL728" s="35">
        <f>IF($AH728="",DATE(2100,12,31),$AH728+1)</f>
        <v/>
      </c>
      <c r="AM728" s="35">
        <f>IF($AH728="",DATE(1900,1,1),$AG728)</f>
        <v/>
      </c>
      <c r="AN728" s="32">
        <f>IF($AH728="",0,$AC728*$T728)</f>
        <v/>
      </c>
      <c r="AO728" s="46">
        <f>IF($C728="",0,IFERROR(INDEX(Deals!$BD$2:$BD$355,MATCH($C728,Deals!$A$2:$A$355,0)),0))</f>
        <v/>
      </c>
      <c r="AP728" s="18">
        <f>IF($AO728=0,0,IFERROR(INDEX(Deals!$BJ$2:$BP$355,MATCH($C728,Deals!$A$2:$A$355,0),MATCH($F728,Deals!$BJ$1:$BP$1,0))/COUNTIFS(Assignments!$C$2:$C$769,$C728,Assignments!$F$2:$F$769,$F728,Assignments!$G$2:$G$769,"Active"),0))</f>
        <v/>
      </c>
    </row>
    <row r="729">
      <c r="A729" s="31" t="n"/>
      <c r="B729" s="16">
        <f>IF($A729="","",IFERROR(INDEX(Roster!$B$2:$B$40,MATCH($A729,Roster!$A$2:$A$40,0)),"?"))</f>
        <v/>
      </c>
      <c r="C729" s="31" t="n"/>
      <c r="D729" s="16">
        <f>IF($C729="","",IFERROR(IF(INDEX(Deals!$C$2:$C$355,MATCH($C729,Deals!$A$2:$A$355,0))=0,"",INDEX(Deals!$C$2:$C$355,MATCH($C729,Deals!$A$2:$A$355,0))),"?"))</f>
        <v/>
      </c>
      <c r="E729" s="16">
        <f>IF($C729="","",IFERROR(INDEX(Deals!$F$2:$F$355,MATCH($C729,Deals!$A$2:$A$355,0)),"?"))</f>
        <v/>
      </c>
      <c r="F729" s="31" t="n"/>
      <c r="G729" s="31" t="n"/>
      <c r="H729" s="31" t="n"/>
      <c r="I729" s="32">
        <f>IF(OR($A729="",$G729&lt;&gt;"Active"),0,IF($H729&lt;&gt;"",$H729,IF($AO729&gt;0,$AP729,IF(AND($R729&lt;&gt;"",IFERROR(INDEX(Templates!$B$3:$H$10,MATCH($R729,Templates!$A$3:$A$10,0),MATCH($F729,Templates!$B$2:$H$2,0)),0)&gt;0),INDEX(Templates!$B$3:$H$10,MATCH($R729,Templates!$A$3:$A$10,0),MATCH($F729,Templates!$B$2:$H$2,0)),IFERROR(INDEX(Settings!$B$8:$B$14,MATCH($F729,Settings!$A$8:$A$14,0)),0)))))</f>
        <v/>
      </c>
      <c r="J729" s="21">
        <f>IF($C729="",0,IFERROR(INDEX(Deals!$H$2:$H$355,MATCH($C729,Deals!$A$2:$A$355,0)),0))</f>
        <v/>
      </c>
      <c r="K729" s="32">
        <f>IF(Settings!$B$4="Yes",$I729*$J729,$I729)</f>
        <v/>
      </c>
      <c r="L729" s="22">
        <f>IF($C729="","",IFERROR(IF(INDEX(Deals!$I$2:$I$355,MATCH($C729,Deals!$A$2:$A$355,0))=0,"",INDEX(Deals!$I$2:$I$355,MATCH($C729,Deals!$A$2:$A$355,0))),""))</f>
        <v/>
      </c>
      <c r="M729" s="22">
        <f>IF($C729="","",IFERROR(IF(INDEX(Deals!$J$2:$J$355,MATCH($C729,Deals!$A$2:$A$355,0))=0,"",INDEX(Deals!$J$2:$J$355,MATCH($C729,Deals!$A$2:$A$355,0))),""))</f>
        <v/>
      </c>
      <c r="N729" s="35">
        <f>IF($L729="",DATE(1900,1,1),$L729)</f>
        <v/>
      </c>
      <c r="O729" s="35">
        <f>IF($M729="",DATE(2100,12,31),$M729)</f>
        <v/>
      </c>
      <c r="P729" s="44" t="n"/>
      <c r="Q729" s="31" t="n"/>
      <c r="R729" s="16">
        <f>IF($C729="","",IFERROR(IF(INDEX(Deals!$U$2:$U$355,MATCH($C729,Deals!$A$2:$A$355,0))=0,"",INDEX(Deals!$U$2:$U$355,MATCH($C729,Deals!$A$2:$A$355,0))),""))</f>
        <v/>
      </c>
      <c r="S729" s="34">
        <f>IFERROR(IF($U729="",1,INDEX(Deals!$V$2:$V$355,MATCH($C729,Deals!$A$2:$A$355,0))),1)</f>
        <v/>
      </c>
      <c r="T729" s="34">
        <f>IFERROR(IF($U729="",1,INDEX(Deals!$W$2:$W$355,MATCH($C729,Deals!$A$2:$A$355,0))),1)</f>
        <v/>
      </c>
      <c r="U729" s="22">
        <f>IF($C729="","",IFERROR(IF(INDEX(Deals!$Y$2:$Y$355,MATCH($C729,Deals!$A$2:$A$355,0))=0,"",INDEX(Deals!$Y$2:$Y$355,MATCH($C729,Deals!$A$2:$A$355,0))),""))</f>
        <v/>
      </c>
      <c r="V729" s="35">
        <f>IF(OR($U729&lt;&gt;"",AND($AO729&gt;0,$L729&lt;&gt;"",$M729&lt;&gt;"")),$N729,DATE(1900,1,1))</f>
        <v/>
      </c>
      <c r="W729" s="35">
        <f>IF($U729&lt;&gt;"",$U729,IF(AND($AO729&gt;0,$L729&lt;&gt;"",$M729&lt;&gt;""),$O729,DATE(2100,12,31)))</f>
        <v/>
      </c>
      <c r="X729" s="32">
        <f>IF($U729="",$K729,$K729*$S729)</f>
        <v/>
      </c>
      <c r="Y729" s="35">
        <f>IF($U729="",DATE(2100,12,31),$U729+1)</f>
        <v/>
      </c>
      <c r="Z729" s="35">
        <f>IF($U729="",DATE(1900,1,1),$O729)</f>
        <v/>
      </c>
      <c r="AA729" s="32">
        <f>IF($U729="",0,$K729*$T729)</f>
        <v/>
      </c>
      <c r="AB729" s="21">
        <f>IF($C729="",0,IFERROR(INDEX(Deals!$AD$2:$AD$355,MATCH($C729,Deals!$A$2:$A$355,0)),0))</f>
        <v/>
      </c>
      <c r="AC729" s="32">
        <f>IF(Settings!$B$4="Yes",$I729*$AB729,$I729)</f>
        <v/>
      </c>
      <c r="AD729" s="22">
        <f>IF($C729="","",IFERROR(IF(INDEX(Deals!$AE$2:$AE$355,MATCH($C729,Deals!$A$2:$A$355,0))=0,"",INDEX(Deals!$AE$2:$AE$355,MATCH($C729,Deals!$A$2:$A$355,0))),""))</f>
        <v/>
      </c>
      <c r="AE729" s="22">
        <f>IF($C729="","",IFERROR(IF(INDEX(Deals!$AF$2:$AF$355,MATCH($C729,Deals!$A$2:$A$355,0))=0,"",INDEX(Deals!$AF$2:$AF$355,MATCH($C729,Deals!$A$2:$A$355,0))),""))</f>
        <v/>
      </c>
      <c r="AF729" s="35">
        <f>IF($AD729="",DATE(1900,1,1),$AD729)</f>
        <v/>
      </c>
      <c r="AG729" s="35">
        <f>IF($AE729="",DATE(2100,12,31),$AE729)</f>
        <v/>
      </c>
      <c r="AH729" s="22">
        <f>IF($C729="","",IFERROR(IF(INDEX(Deals!$AG$2:$AG$355,MATCH($C729,Deals!$A$2:$A$355,0))=0,"",INDEX(Deals!$AG$2:$AG$355,MATCH($C729,Deals!$A$2:$A$355,0))),""))</f>
        <v/>
      </c>
      <c r="AI729" s="35">
        <f>IF(OR($AH729&lt;&gt;"",AND($AO729&gt;0,$AD729&lt;&gt;"",$AE729&lt;&gt;"")),$AF729,DATE(1900,1,1))</f>
        <v/>
      </c>
      <c r="AJ729" s="35">
        <f>IF($AH729&lt;&gt;"",$AH729,IF(AND($AO729&gt;0,$AD729&lt;&gt;"",$AE729&lt;&gt;""),$AG729,DATE(2100,12,31)))</f>
        <v/>
      </c>
      <c r="AK729" s="32">
        <f>IF($AH729="",$AC729,$AC729*$S729)</f>
        <v/>
      </c>
      <c r="AL729" s="35">
        <f>IF($AH729="",DATE(2100,12,31),$AH729+1)</f>
        <v/>
      </c>
      <c r="AM729" s="35">
        <f>IF($AH729="",DATE(1900,1,1),$AG729)</f>
        <v/>
      </c>
      <c r="AN729" s="32">
        <f>IF($AH729="",0,$AC729*$T729)</f>
        <v/>
      </c>
      <c r="AO729" s="46">
        <f>IF($C729="",0,IFERROR(INDEX(Deals!$BD$2:$BD$355,MATCH($C729,Deals!$A$2:$A$355,0)),0))</f>
        <v/>
      </c>
      <c r="AP729" s="18">
        <f>IF($AO729=0,0,IFERROR(INDEX(Deals!$BJ$2:$BP$355,MATCH($C729,Deals!$A$2:$A$355,0),MATCH($F729,Deals!$BJ$1:$BP$1,0))/COUNTIFS(Assignments!$C$2:$C$769,$C729,Assignments!$F$2:$F$769,$F729,Assignments!$G$2:$G$769,"Active"),0))</f>
        <v/>
      </c>
    </row>
    <row r="730">
      <c r="A730" s="31" t="n"/>
      <c r="B730" s="16">
        <f>IF($A730="","",IFERROR(INDEX(Roster!$B$2:$B$40,MATCH($A730,Roster!$A$2:$A$40,0)),"?"))</f>
        <v/>
      </c>
      <c r="C730" s="31" t="n"/>
      <c r="D730" s="16">
        <f>IF($C730="","",IFERROR(IF(INDEX(Deals!$C$2:$C$355,MATCH($C730,Deals!$A$2:$A$355,0))=0,"",INDEX(Deals!$C$2:$C$355,MATCH($C730,Deals!$A$2:$A$355,0))),"?"))</f>
        <v/>
      </c>
      <c r="E730" s="16">
        <f>IF($C730="","",IFERROR(INDEX(Deals!$F$2:$F$355,MATCH($C730,Deals!$A$2:$A$355,0)),"?"))</f>
        <v/>
      </c>
      <c r="F730" s="31" t="n"/>
      <c r="G730" s="31" t="n"/>
      <c r="H730" s="31" t="n"/>
      <c r="I730" s="32">
        <f>IF(OR($A730="",$G730&lt;&gt;"Active"),0,IF($H730&lt;&gt;"",$H730,IF($AO730&gt;0,$AP730,IF(AND($R730&lt;&gt;"",IFERROR(INDEX(Templates!$B$3:$H$10,MATCH($R730,Templates!$A$3:$A$10,0),MATCH($F730,Templates!$B$2:$H$2,0)),0)&gt;0),INDEX(Templates!$B$3:$H$10,MATCH($R730,Templates!$A$3:$A$10,0),MATCH($F730,Templates!$B$2:$H$2,0)),IFERROR(INDEX(Settings!$B$8:$B$14,MATCH($F730,Settings!$A$8:$A$14,0)),0)))))</f>
        <v/>
      </c>
      <c r="J730" s="21">
        <f>IF($C730="",0,IFERROR(INDEX(Deals!$H$2:$H$355,MATCH($C730,Deals!$A$2:$A$355,0)),0))</f>
        <v/>
      </c>
      <c r="K730" s="32">
        <f>IF(Settings!$B$4="Yes",$I730*$J730,$I730)</f>
        <v/>
      </c>
      <c r="L730" s="22">
        <f>IF($C730="","",IFERROR(IF(INDEX(Deals!$I$2:$I$355,MATCH($C730,Deals!$A$2:$A$355,0))=0,"",INDEX(Deals!$I$2:$I$355,MATCH($C730,Deals!$A$2:$A$355,0))),""))</f>
        <v/>
      </c>
      <c r="M730" s="22">
        <f>IF($C730="","",IFERROR(IF(INDEX(Deals!$J$2:$J$355,MATCH($C730,Deals!$A$2:$A$355,0))=0,"",INDEX(Deals!$J$2:$J$355,MATCH($C730,Deals!$A$2:$A$355,0))),""))</f>
        <v/>
      </c>
      <c r="N730" s="35">
        <f>IF($L730="",DATE(1900,1,1),$L730)</f>
        <v/>
      </c>
      <c r="O730" s="35">
        <f>IF($M730="",DATE(2100,12,31),$M730)</f>
        <v/>
      </c>
      <c r="P730" s="44" t="n"/>
      <c r="Q730" s="31" t="n"/>
      <c r="R730" s="16">
        <f>IF($C730="","",IFERROR(IF(INDEX(Deals!$U$2:$U$355,MATCH($C730,Deals!$A$2:$A$355,0))=0,"",INDEX(Deals!$U$2:$U$355,MATCH($C730,Deals!$A$2:$A$355,0))),""))</f>
        <v/>
      </c>
      <c r="S730" s="34">
        <f>IFERROR(IF($U730="",1,INDEX(Deals!$V$2:$V$355,MATCH($C730,Deals!$A$2:$A$355,0))),1)</f>
        <v/>
      </c>
      <c r="T730" s="34">
        <f>IFERROR(IF($U730="",1,INDEX(Deals!$W$2:$W$355,MATCH($C730,Deals!$A$2:$A$355,0))),1)</f>
        <v/>
      </c>
      <c r="U730" s="22">
        <f>IF($C730="","",IFERROR(IF(INDEX(Deals!$Y$2:$Y$355,MATCH($C730,Deals!$A$2:$A$355,0))=0,"",INDEX(Deals!$Y$2:$Y$355,MATCH($C730,Deals!$A$2:$A$355,0))),""))</f>
        <v/>
      </c>
      <c r="V730" s="35">
        <f>IF(OR($U730&lt;&gt;"",AND($AO730&gt;0,$L730&lt;&gt;"",$M730&lt;&gt;"")),$N730,DATE(1900,1,1))</f>
        <v/>
      </c>
      <c r="W730" s="35">
        <f>IF($U730&lt;&gt;"",$U730,IF(AND($AO730&gt;0,$L730&lt;&gt;"",$M730&lt;&gt;""),$O730,DATE(2100,12,31)))</f>
        <v/>
      </c>
      <c r="X730" s="32">
        <f>IF($U730="",$K730,$K730*$S730)</f>
        <v/>
      </c>
      <c r="Y730" s="35">
        <f>IF($U730="",DATE(2100,12,31),$U730+1)</f>
        <v/>
      </c>
      <c r="Z730" s="35">
        <f>IF($U730="",DATE(1900,1,1),$O730)</f>
        <v/>
      </c>
      <c r="AA730" s="32">
        <f>IF($U730="",0,$K730*$T730)</f>
        <v/>
      </c>
      <c r="AB730" s="21">
        <f>IF($C730="",0,IFERROR(INDEX(Deals!$AD$2:$AD$355,MATCH($C730,Deals!$A$2:$A$355,0)),0))</f>
        <v/>
      </c>
      <c r="AC730" s="32">
        <f>IF(Settings!$B$4="Yes",$I730*$AB730,$I730)</f>
        <v/>
      </c>
      <c r="AD730" s="22">
        <f>IF($C730="","",IFERROR(IF(INDEX(Deals!$AE$2:$AE$355,MATCH($C730,Deals!$A$2:$A$355,0))=0,"",INDEX(Deals!$AE$2:$AE$355,MATCH($C730,Deals!$A$2:$A$355,0))),""))</f>
        <v/>
      </c>
      <c r="AE730" s="22">
        <f>IF($C730="","",IFERROR(IF(INDEX(Deals!$AF$2:$AF$355,MATCH($C730,Deals!$A$2:$A$355,0))=0,"",INDEX(Deals!$AF$2:$AF$355,MATCH($C730,Deals!$A$2:$A$355,0))),""))</f>
        <v/>
      </c>
      <c r="AF730" s="35">
        <f>IF($AD730="",DATE(1900,1,1),$AD730)</f>
        <v/>
      </c>
      <c r="AG730" s="35">
        <f>IF($AE730="",DATE(2100,12,31),$AE730)</f>
        <v/>
      </c>
      <c r="AH730" s="22">
        <f>IF($C730="","",IFERROR(IF(INDEX(Deals!$AG$2:$AG$355,MATCH($C730,Deals!$A$2:$A$355,0))=0,"",INDEX(Deals!$AG$2:$AG$355,MATCH($C730,Deals!$A$2:$A$355,0))),""))</f>
        <v/>
      </c>
      <c r="AI730" s="35">
        <f>IF(OR($AH730&lt;&gt;"",AND($AO730&gt;0,$AD730&lt;&gt;"",$AE730&lt;&gt;"")),$AF730,DATE(1900,1,1))</f>
        <v/>
      </c>
      <c r="AJ730" s="35">
        <f>IF($AH730&lt;&gt;"",$AH730,IF(AND($AO730&gt;0,$AD730&lt;&gt;"",$AE730&lt;&gt;""),$AG730,DATE(2100,12,31)))</f>
        <v/>
      </c>
      <c r="AK730" s="32">
        <f>IF($AH730="",$AC730,$AC730*$S730)</f>
        <v/>
      </c>
      <c r="AL730" s="35">
        <f>IF($AH730="",DATE(2100,12,31),$AH730+1)</f>
        <v/>
      </c>
      <c r="AM730" s="35">
        <f>IF($AH730="",DATE(1900,1,1),$AG730)</f>
        <v/>
      </c>
      <c r="AN730" s="32">
        <f>IF($AH730="",0,$AC730*$T730)</f>
        <v/>
      </c>
      <c r="AO730" s="46">
        <f>IF($C730="",0,IFERROR(INDEX(Deals!$BD$2:$BD$355,MATCH($C730,Deals!$A$2:$A$355,0)),0))</f>
        <v/>
      </c>
      <c r="AP730" s="18">
        <f>IF($AO730=0,0,IFERROR(INDEX(Deals!$BJ$2:$BP$355,MATCH($C730,Deals!$A$2:$A$355,0),MATCH($F730,Deals!$BJ$1:$BP$1,0))/COUNTIFS(Assignments!$C$2:$C$769,$C730,Assignments!$F$2:$F$769,$F730,Assignments!$G$2:$G$769,"Active"),0))</f>
        <v/>
      </c>
    </row>
    <row r="731">
      <c r="A731" s="31" t="n"/>
      <c r="B731" s="16">
        <f>IF($A731="","",IFERROR(INDEX(Roster!$B$2:$B$40,MATCH($A731,Roster!$A$2:$A$40,0)),"?"))</f>
        <v/>
      </c>
      <c r="C731" s="31" t="n"/>
      <c r="D731" s="16">
        <f>IF($C731="","",IFERROR(IF(INDEX(Deals!$C$2:$C$355,MATCH($C731,Deals!$A$2:$A$355,0))=0,"",INDEX(Deals!$C$2:$C$355,MATCH($C731,Deals!$A$2:$A$355,0))),"?"))</f>
        <v/>
      </c>
      <c r="E731" s="16">
        <f>IF($C731="","",IFERROR(INDEX(Deals!$F$2:$F$355,MATCH($C731,Deals!$A$2:$A$355,0)),"?"))</f>
        <v/>
      </c>
      <c r="F731" s="31" t="n"/>
      <c r="G731" s="31" t="n"/>
      <c r="H731" s="31" t="n"/>
      <c r="I731" s="32">
        <f>IF(OR($A731="",$G731&lt;&gt;"Active"),0,IF($H731&lt;&gt;"",$H731,IF($AO731&gt;0,$AP731,IF(AND($R731&lt;&gt;"",IFERROR(INDEX(Templates!$B$3:$H$10,MATCH($R731,Templates!$A$3:$A$10,0),MATCH($F731,Templates!$B$2:$H$2,0)),0)&gt;0),INDEX(Templates!$B$3:$H$10,MATCH($R731,Templates!$A$3:$A$10,0),MATCH($F731,Templates!$B$2:$H$2,0)),IFERROR(INDEX(Settings!$B$8:$B$14,MATCH($F731,Settings!$A$8:$A$14,0)),0)))))</f>
        <v/>
      </c>
      <c r="J731" s="21">
        <f>IF($C731="",0,IFERROR(INDEX(Deals!$H$2:$H$355,MATCH($C731,Deals!$A$2:$A$355,0)),0))</f>
        <v/>
      </c>
      <c r="K731" s="32">
        <f>IF(Settings!$B$4="Yes",$I731*$J731,$I731)</f>
        <v/>
      </c>
      <c r="L731" s="22">
        <f>IF($C731="","",IFERROR(IF(INDEX(Deals!$I$2:$I$355,MATCH($C731,Deals!$A$2:$A$355,0))=0,"",INDEX(Deals!$I$2:$I$355,MATCH($C731,Deals!$A$2:$A$355,0))),""))</f>
        <v/>
      </c>
      <c r="M731" s="22">
        <f>IF($C731="","",IFERROR(IF(INDEX(Deals!$J$2:$J$355,MATCH($C731,Deals!$A$2:$A$355,0))=0,"",INDEX(Deals!$J$2:$J$355,MATCH($C731,Deals!$A$2:$A$355,0))),""))</f>
        <v/>
      </c>
      <c r="N731" s="35">
        <f>IF($L731="",DATE(1900,1,1),$L731)</f>
        <v/>
      </c>
      <c r="O731" s="35">
        <f>IF($M731="",DATE(2100,12,31),$M731)</f>
        <v/>
      </c>
      <c r="P731" s="44" t="n"/>
      <c r="Q731" s="31" t="n"/>
      <c r="R731" s="16">
        <f>IF($C731="","",IFERROR(IF(INDEX(Deals!$U$2:$U$355,MATCH($C731,Deals!$A$2:$A$355,0))=0,"",INDEX(Deals!$U$2:$U$355,MATCH($C731,Deals!$A$2:$A$355,0))),""))</f>
        <v/>
      </c>
      <c r="S731" s="34">
        <f>IFERROR(IF($U731="",1,INDEX(Deals!$V$2:$V$355,MATCH($C731,Deals!$A$2:$A$355,0))),1)</f>
        <v/>
      </c>
      <c r="T731" s="34">
        <f>IFERROR(IF($U731="",1,INDEX(Deals!$W$2:$W$355,MATCH($C731,Deals!$A$2:$A$355,0))),1)</f>
        <v/>
      </c>
      <c r="U731" s="22">
        <f>IF($C731="","",IFERROR(IF(INDEX(Deals!$Y$2:$Y$355,MATCH($C731,Deals!$A$2:$A$355,0))=0,"",INDEX(Deals!$Y$2:$Y$355,MATCH($C731,Deals!$A$2:$A$355,0))),""))</f>
        <v/>
      </c>
      <c r="V731" s="35">
        <f>IF(OR($U731&lt;&gt;"",AND($AO731&gt;0,$L731&lt;&gt;"",$M731&lt;&gt;"")),$N731,DATE(1900,1,1))</f>
        <v/>
      </c>
      <c r="W731" s="35">
        <f>IF($U731&lt;&gt;"",$U731,IF(AND($AO731&gt;0,$L731&lt;&gt;"",$M731&lt;&gt;""),$O731,DATE(2100,12,31)))</f>
        <v/>
      </c>
      <c r="X731" s="32">
        <f>IF($U731="",$K731,$K731*$S731)</f>
        <v/>
      </c>
      <c r="Y731" s="35">
        <f>IF($U731="",DATE(2100,12,31),$U731+1)</f>
        <v/>
      </c>
      <c r="Z731" s="35">
        <f>IF($U731="",DATE(1900,1,1),$O731)</f>
        <v/>
      </c>
      <c r="AA731" s="32">
        <f>IF($U731="",0,$K731*$T731)</f>
        <v/>
      </c>
      <c r="AB731" s="21">
        <f>IF($C731="",0,IFERROR(INDEX(Deals!$AD$2:$AD$355,MATCH($C731,Deals!$A$2:$A$355,0)),0))</f>
        <v/>
      </c>
      <c r="AC731" s="32">
        <f>IF(Settings!$B$4="Yes",$I731*$AB731,$I731)</f>
        <v/>
      </c>
      <c r="AD731" s="22">
        <f>IF($C731="","",IFERROR(IF(INDEX(Deals!$AE$2:$AE$355,MATCH($C731,Deals!$A$2:$A$355,0))=0,"",INDEX(Deals!$AE$2:$AE$355,MATCH($C731,Deals!$A$2:$A$355,0))),""))</f>
        <v/>
      </c>
      <c r="AE731" s="22">
        <f>IF($C731="","",IFERROR(IF(INDEX(Deals!$AF$2:$AF$355,MATCH($C731,Deals!$A$2:$A$355,0))=0,"",INDEX(Deals!$AF$2:$AF$355,MATCH($C731,Deals!$A$2:$A$355,0))),""))</f>
        <v/>
      </c>
      <c r="AF731" s="35">
        <f>IF($AD731="",DATE(1900,1,1),$AD731)</f>
        <v/>
      </c>
      <c r="AG731" s="35">
        <f>IF($AE731="",DATE(2100,12,31),$AE731)</f>
        <v/>
      </c>
      <c r="AH731" s="22">
        <f>IF($C731="","",IFERROR(IF(INDEX(Deals!$AG$2:$AG$355,MATCH($C731,Deals!$A$2:$A$355,0))=0,"",INDEX(Deals!$AG$2:$AG$355,MATCH($C731,Deals!$A$2:$A$355,0))),""))</f>
        <v/>
      </c>
      <c r="AI731" s="35">
        <f>IF(OR($AH731&lt;&gt;"",AND($AO731&gt;0,$AD731&lt;&gt;"",$AE731&lt;&gt;"")),$AF731,DATE(1900,1,1))</f>
        <v/>
      </c>
      <c r="AJ731" s="35">
        <f>IF($AH731&lt;&gt;"",$AH731,IF(AND($AO731&gt;0,$AD731&lt;&gt;"",$AE731&lt;&gt;""),$AG731,DATE(2100,12,31)))</f>
        <v/>
      </c>
      <c r="AK731" s="32">
        <f>IF($AH731="",$AC731,$AC731*$S731)</f>
        <v/>
      </c>
      <c r="AL731" s="35">
        <f>IF($AH731="",DATE(2100,12,31),$AH731+1)</f>
        <v/>
      </c>
      <c r="AM731" s="35">
        <f>IF($AH731="",DATE(1900,1,1),$AG731)</f>
        <v/>
      </c>
      <c r="AN731" s="32">
        <f>IF($AH731="",0,$AC731*$T731)</f>
        <v/>
      </c>
      <c r="AO731" s="46">
        <f>IF($C731="",0,IFERROR(INDEX(Deals!$BD$2:$BD$355,MATCH($C731,Deals!$A$2:$A$355,0)),0))</f>
        <v/>
      </c>
      <c r="AP731" s="18">
        <f>IF($AO731=0,0,IFERROR(INDEX(Deals!$BJ$2:$BP$355,MATCH($C731,Deals!$A$2:$A$355,0),MATCH($F731,Deals!$BJ$1:$BP$1,0))/COUNTIFS(Assignments!$C$2:$C$769,$C731,Assignments!$F$2:$F$769,$F731,Assignments!$G$2:$G$769,"Active"),0))</f>
        <v/>
      </c>
    </row>
    <row r="732">
      <c r="A732" s="31" t="n"/>
      <c r="B732" s="16">
        <f>IF($A732="","",IFERROR(INDEX(Roster!$B$2:$B$40,MATCH($A732,Roster!$A$2:$A$40,0)),"?"))</f>
        <v/>
      </c>
      <c r="C732" s="31" t="n"/>
      <c r="D732" s="16">
        <f>IF($C732="","",IFERROR(IF(INDEX(Deals!$C$2:$C$355,MATCH($C732,Deals!$A$2:$A$355,0))=0,"",INDEX(Deals!$C$2:$C$355,MATCH($C732,Deals!$A$2:$A$355,0))),"?"))</f>
        <v/>
      </c>
      <c r="E732" s="16">
        <f>IF($C732="","",IFERROR(INDEX(Deals!$F$2:$F$355,MATCH($C732,Deals!$A$2:$A$355,0)),"?"))</f>
        <v/>
      </c>
      <c r="F732" s="31" t="n"/>
      <c r="G732" s="31" t="n"/>
      <c r="H732" s="31" t="n"/>
      <c r="I732" s="32">
        <f>IF(OR($A732="",$G732&lt;&gt;"Active"),0,IF($H732&lt;&gt;"",$H732,IF($AO732&gt;0,$AP732,IF(AND($R732&lt;&gt;"",IFERROR(INDEX(Templates!$B$3:$H$10,MATCH($R732,Templates!$A$3:$A$10,0),MATCH($F732,Templates!$B$2:$H$2,0)),0)&gt;0),INDEX(Templates!$B$3:$H$10,MATCH($R732,Templates!$A$3:$A$10,0),MATCH($F732,Templates!$B$2:$H$2,0)),IFERROR(INDEX(Settings!$B$8:$B$14,MATCH($F732,Settings!$A$8:$A$14,0)),0)))))</f>
        <v/>
      </c>
      <c r="J732" s="21">
        <f>IF($C732="",0,IFERROR(INDEX(Deals!$H$2:$H$355,MATCH($C732,Deals!$A$2:$A$355,0)),0))</f>
        <v/>
      </c>
      <c r="K732" s="32">
        <f>IF(Settings!$B$4="Yes",$I732*$J732,$I732)</f>
        <v/>
      </c>
      <c r="L732" s="22">
        <f>IF($C732="","",IFERROR(IF(INDEX(Deals!$I$2:$I$355,MATCH($C732,Deals!$A$2:$A$355,0))=0,"",INDEX(Deals!$I$2:$I$355,MATCH($C732,Deals!$A$2:$A$355,0))),""))</f>
        <v/>
      </c>
      <c r="M732" s="22">
        <f>IF($C732="","",IFERROR(IF(INDEX(Deals!$J$2:$J$355,MATCH($C732,Deals!$A$2:$A$355,0))=0,"",INDEX(Deals!$J$2:$J$355,MATCH($C732,Deals!$A$2:$A$355,0))),""))</f>
        <v/>
      </c>
      <c r="N732" s="35">
        <f>IF($L732="",DATE(1900,1,1),$L732)</f>
        <v/>
      </c>
      <c r="O732" s="35">
        <f>IF($M732="",DATE(2100,12,31),$M732)</f>
        <v/>
      </c>
      <c r="P732" s="44" t="n"/>
      <c r="Q732" s="31" t="n"/>
      <c r="R732" s="16">
        <f>IF($C732="","",IFERROR(IF(INDEX(Deals!$U$2:$U$355,MATCH($C732,Deals!$A$2:$A$355,0))=0,"",INDEX(Deals!$U$2:$U$355,MATCH($C732,Deals!$A$2:$A$355,0))),""))</f>
        <v/>
      </c>
      <c r="S732" s="34">
        <f>IFERROR(IF($U732="",1,INDEX(Deals!$V$2:$V$355,MATCH($C732,Deals!$A$2:$A$355,0))),1)</f>
        <v/>
      </c>
      <c r="T732" s="34">
        <f>IFERROR(IF($U732="",1,INDEX(Deals!$W$2:$W$355,MATCH($C732,Deals!$A$2:$A$355,0))),1)</f>
        <v/>
      </c>
      <c r="U732" s="22">
        <f>IF($C732="","",IFERROR(IF(INDEX(Deals!$Y$2:$Y$355,MATCH($C732,Deals!$A$2:$A$355,0))=0,"",INDEX(Deals!$Y$2:$Y$355,MATCH($C732,Deals!$A$2:$A$355,0))),""))</f>
        <v/>
      </c>
      <c r="V732" s="35">
        <f>IF(OR($U732&lt;&gt;"",AND($AO732&gt;0,$L732&lt;&gt;"",$M732&lt;&gt;"")),$N732,DATE(1900,1,1))</f>
        <v/>
      </c>
      <c r="W732" s="35">
        <f>IF($U732&lt;&gt;"",$U732,IF(AND($AO732&gt;0,$L732&lt;&gt;"",$M732&lt;&gt;""),$O732,DATE(2100,12,31)))</f>
        <v/>
      </c>
      <c r="X732" s="32">
        <f>IF($U732="",$K732,$K732*$S732)</f>
        <v/>
      </c>
      <c r="Y732" s="35">
        <f>IF($U732="",DATE(2100,12,31),$U732+1)</f>
        <v/>
      </c>
      <c r="Z732" s="35">
        <f>IF($U732="",DATE(1900,1,1),$O732)</f>
        <v/>
      </c>
      <c r="AA732" s="32">
        <f>IF($U732="",0,$K732*$T732)</f>
        <v/>
      </c>
      <c r="AB732" s="21">
        <f>IF($C732="",0,IFERROR(INDEX(Deals!$AD$2:$AD$355,MATCH($C732,Deals!$A$2:$A$355,0)),0))</f>
        <v/>
      </c>
      <c r="AC732" s="32">
        <f>IF(Settings!$B$4="Yes",$I732*$AB732,$I732)</f>
        <v/>
      </c>
      <c r="AD732" s="22">
        <f>IF($C732="","",IFERROR(IF(INDEX(Deals!$AE$2:$AE$355,MATCH($C732,Deals!$A$2:$A$355,0))=0,"",INDEX(Deals!$AE$2:$AE$355,MATCH($C732,Deals!$A$2:$A$355,0))),""))</f>
        <v/>
      </c>
      <c r="AE732" s="22">
        <f>IF($C732="","",IFERROR(IF(INDEX(Deals!$AF$2:$AF$355,MATCH($C732,Deals!$A$2:$A$355,0))=0,"",INDEX(Deals!$AF$2:$AF$355,MATCH($C732,Deals!$A$2:$A$355,0))),""))</f>
        <v/>
      </c>
      <c r="AF732" s="35">
        <f>IF($AD732="",DATE(1900,1,1),$AD732)</f>
        <v/>
      </c>
      <c r="AG732" s="35">
        <f>IF($AE732="",DATE(2100,12,31),$AE732)</f>
        <v/>
      </c>
      <c r="AH732" s="22">
        <f>IF($C732="","",IFERROR(IF(INDEX(Deals!$AG$2:$AG$355,MATCH($C732,Deals!$A$2:$A$355,0))=0,"",INDEX(Deals!$AG$2:$AG$355,MATCH($C732,Deals!$A$2:$A$355,0))),""))</f>
        <v/>
      </c>
      <c r="AI732" s="35">
        <f>IF(OR($AH732&lt;&gt;"",AND($AO732&gt;0,$AD732&lt;&gt;"",$AE732&lt;&gt;"")),$AF732,DATE(1900,1,1))</f>
        <v/>
      </c>
      <c r="AJ732" s="35">
        <f>IF($AH732&lt;&gt;"",$AH732,IF(AND($AO732&gt;0,$AD732&lt;&gt;"",$AE732&lt;&gt;""),$AG732,DATE(2100,12,31)))</f>
        <v/>
      </c>
      <c r="AK732" s="32">
        <f>IF($AH732="",$AC732,$AC732*$S732)</f>
        <v/>
      </c>
      <c r="AL732" s="35">
        <f>IF($AH732="",DATE(2100,12,31),$AH732+1)</f>
        <v/>
      </c>
      <c r="AM732" s="35">
        <f>IF($AH732="",DATE(1900,1,1),$AG732)</f>
        <v/>
      </c>
      <c r="AN732" s="32">
        <f>IF($AH732="",0,$AC732*$T732)</f>
        <v/>
      </c>
      <c r="AO732" s="46">
        <f>IF($C732="",0,IFERROR(INDEX(Deals!$BD$2:$BD$355,MATCH($C732,Deals!$A$2:$A$355,0)),0))</f>
        <v/>
      </c>
      <c r="AP732" s="18">
        <f>IF($AO732=0,0,IFERROR(INDEX(Deals!$BJ$2:$BP$355,MATCH($C732,Deals!$A$2:$A$355,0),MATCH($F732,Deals!$BJ$1:$BP$1,0))/COUNTIFS(Assignments!$C$2:$C$769,$C732,Assignments!$F$2:$F$769,$F732,Assignments!$G$2:$G$769,"Active"),0))</f>
        <v/>
      </c>
    </row>
    <row r="733">
      <c r="A733" s="31" t="n"/>
      <c r="B733" s="16">
        <f>IF($A733="","",IFERROR(INDEX(Roster!$B$2:$B$40,MATCH($A733,Roster!$A$2:$A$40,0)),"?"))</f>
        <v/>
      </c>
      <c r="C733" s="31" t="n"/>
      <c r="D733" s="16">
        <f>IF($C733="","",IFERROR(IF(INDEX(Deals!$C$2:$C$355,MATCH($C733,Deals!$A$2:$A$355,0))=0,"",INDEX(Deals!$C$2:$C$355,MATCH($C733,Deals!$A$2:$A$355,0))),"?"))</f>
        <v/>
      </c>
      <c r="E733" s="16">
        <f>IF($C733="","",IFERROR(INDEX(Deals!$F$2:$F$355,MATCH($C733,Deals!$A$2:$A$355,0)),"?"))</f>
        <v/>
      </c>
      <c r="F733" s="31" t="n"/>
      <c r="G733" s="31" t="n"/>
      <c r="H733" s="31" t="n"/>
      <c r="I733" s="32">
        <f>IF(OR($A733="",$G733&lt;&gt;"Active"),0,IF($H733&lt;&gt;"",$H733,IF($AO733&gt;0,$AP733,IF(AND($R733&lt;&gt;"",IFERROR(INDEX(Templates!$B$3:$H$10,MATCH($R733,Templates!$A$3:$A$10,0),MATCH($F733,Templates!$B$2:$H$2,0)),0)&gt;0),INDEX(Templates!$B$3:$H$10,MATCH($R733,Templates!$A$3:$A$10,0),MATCH($F733,Templates!$B$2:$H$2,0)),IFERROR(INDEX(Settings!$B$8:$B$14,MATCH($F733,Settings!$A$8:$A$14,0)),0)))))</f>
        <v/>
      </c>
      <c r="J733" s="21">
        <f>IF($C733="",0,IFERROR(INDEX(Deals!$H$2:$H$355,MATCH($C733,Deals!$A$2:$A$355,0)),0))</f>
        <v/>
      </c>
      <c r="K733" s="32">
        <f>IF(Settings!$B$4="Yes",$I733*$J733,$I733)</f>
        <v/>
      </c>
      <c r="L733" s="22">
        <f>IF($C733="","",IFERROR(IF(INDEX(Deals!$I$2:$I$355,MATCH($C733,Deals!$A$2:$A$355,0))=0,"",INDEX(Deals!$I$2:$I$355,MATCH($C733,Deals!$A$2:$A$355,0))),""))</f>
        <v/>
      </c>
      <c r="M733" s="22">
        <f>IF($C733="","",IFERROR(IF(INDEX(Deals!$J$2:$J$355,MATCH($C733,Deals!$A$2:$A$355,0))=0,"",INDEX(Deals!$J$2:$J$355,MATCH($C733,Deals!$A$2:$A$355,0))),""))</f>
        <v/>
      </c>
      <c r="N733" s="35">
        <f>IF($L733="",DATE(1900,1,1),$L733)</f>
        <v/>
      </c>
      <c r="O733" s="35">
        <f>IF($M733="",DATE(2100,12,31),$M733)</f>
        <v/>
      </c>
      <c r="P733" s="44" t="n"/>
      <c r="Q733" s="31" t="n"/>
      <c r="R733" s="16">
        <f>IF($C733="","",IFERROR(IF(INDEX(Deals!$U$2:$U$355,MATCH($C733,Deals!$A$2:$A$355,0))=0,"",INDEX(Deals!$U$2:$U$355,MATCH($C733,Deals!$A$2:$A$355,0))),""))</f>
        <v/>
      </c>
      <c r="S733" s="34">
        <f>IFERROR(IF($U733="",1,INDEX(Deals!$V$2:$V$355,MATCH($C733,Deals!$A$2:$A$355,0))),1)</f>
        <v/>
      </c>
      <c r="T733" s="34">
        <f>IFERROR(IF($U733="",1,INDEX(Deals!$W$2:$W$355,MATCH($C733,Deals!$A$2:$A$355,0))),1)</f>
        <v/>
      </c>
      <c r="U733" s="22">
        <f>IF($C733="","",IFERROR(IF(INDEX(Deals!$Y$2:$Y$355,MATCH($C733,Deals!$A$2:$A$355,0))=0,"",INDEX(Deals!$Y$2:$Y$355,MATCH($C733,Deals!$A$2:$A$355,0))),""))</f>
        <v/>
      </c>
      <c r="V733" s="35">
        <f>IF(OR($U733&lt;&gt;"",AND($AO733&gt;0,$L733&lt;&gt;"",$M733&lt;&gt;"")),$N733,DATE(1900,1,1))</f>
        <v/>
      </c>
      <c r="W733" s="35">
        <f>IF($U733&lt;&gt;"",$U733,IF(AND($AO733&gt;0,$L733&lt;&gt;"",$M733&lt;&gt;""),$O733,DATE(2100,12,31)))</f>
        <v/>
      </c>
      <c r="X733" s="32">
        <f>IF($U733="",$K733,$K733*$S733)</f>
        <v/>
      </c>
      <c r="Y733" s="35">
        <f>IF($U733="",DATE(2100,12,31),$U733+1)</f>
        <v/>
      </c>
      <c r="Z733" s="35">
        <f>IF($U733="",DATE(1900,1,1),$O733)</f>
        <v/>
      </c>
      <c r="AA733" s="32">
        <f>IF($U733="",0,$K733*$T733)</f>
        <v/>
      </c>
      <c r="AB733" s="21">
        <f>IF($C733="",0,IFERROR(INDEX(Deals!$AD$2:$AD$355,MATCH($C733,Deals!$A$2:$A$355,0)),0))</f>
        <v/>
      </c>
      <c r="AC733" s="32">
        <f>IF(Settings!$B$4="Yes",$I733*$AB733,$I733)</f>
        <v/>
      </c>
      <c r="AD733" s="22">
        <f>IF($C733="","",IFERROR(IF(INDEX(Deals!$AE$2:$AE$355,MATCH($C733,Deals!$A$2:$A$355,0))=0,"",INDEX(Deals!$AE$2:$AE$355,MATCH($C733,Deals!$A$2:$A$355,0))),""))</f>
        <v/>
      </c>
      <c r="AE733" s="22">
        <f>IF($C733="","",IFERROR(IF(INDEX(Deals!$AF$2:$AF$355,MATCH($C733,Deals!$A$2:$A$355,0))=0,"",INDEX(Deals!$AF$2:$AF$355,MATCH($C733,Deals!$A$2:$A$355,0))),""))</f>
        <v/>
      </c>
      <c r="AF733" s="35">
        <f>IF($AD733="",DATE(1900,1,1),$AD733)</f>
        <v/>
      </c>
      <c r="AG733" s="35">
        <f>IF($AE733="",DATE(2100,12,31),$AE733)</f>
        <v/>
      </c>
      <c r="AH733" s="22">
        <f>IF($C733="","",IFERROR(IF(INDEX(Deals!$AG$2:$AG$355,MATCH($C733,Deals!$A$2:$A$355,0))=0,"",INDEX(Deals!$AG$2:$AG$355,MATCH($C733,Deals!$A$2:$A$355,0))),""))</f>
        <v/>
      </c>
      <c r="AI733" s="35">
        <f>IF(OR($AH733&lt;&gt;"",AND($AO733&gt;0,$AD733&lt;&gt;"",$AE733&lt;&gt;"")),$AF733,DATE(1900,1,1))</f>
        <v/>
      </c>
      <c r="AJ733" s="35">
        <f>IF($AH733&lt;&gt;"",$AH733,IF(AND($AO733&gt;0,$AD733&lt;&gt;"",$AE733&lt;&gt;""),$AG733,DATE(2100,12,31)))</f>
        <v/>
      </c>
      <c r="AK733" s="32">
        <f>IF($AH733="",$AC733,$AC733*$S733)</f>
        <v/>
      </c>
      <c r="AL733" s="35">
        <f>IF($AH733="",DATE(2100,12,31),$AH733+1)</f>
        <v/>
      </c>
      <c r="AM733" s="35">
        <f>IF($AH733="",DATE(1900,1,1),$AG733)</f>
        <v/>
      </c>
      <c r="AN733" s="32">
        <f>IF($AH733="",0,$AC733*$T733)</f>
        <v/>
      </c>
      <c r="AO733" s="46">
        <f>IF($C733="",0,IFERROR(INDEX(Deals!$BD$2:$BD$355,MATCH($C733,Deals!$A$2:$A$355,0)),0))</f>
        <v/>
      </c>
      <c r="AP733" s="18">
        <f>IF($AO733=0,0,IFERROR(INDEX(Deals!$BJ$2:$BP$355,MATCH($C733,Deals!$A$2:$A$355,0),MATCH($F733,Deals!$BJ$1:$BP$1,0))/COUNTIFS(Assignments!$C$2:$C$769,$C733,Assignments!$F$2:$F$769,$F733,Assignments!$G$2:$G$769,"Active"),0))</f>
        <v/>
      </c>
    </row>
    <row r="734">
      <c r="A734" s="31" t="n"/>
      <c r="B734" s="16">
        <f>IF($A734="","",IFERROR(INDEX(Roster!$B$2:$B$40,MATCH($A734,Roster!$A$2:$A$40,0)),"?"))</f>
        <v/>
      </c>
      <c r="C734" s="31" t="n"/>
      <c r="D734" s="16">
        <f>IF($C734="","",IFERROR(IF(INDEX(Deals!$C$2:$C$355,MATCH($C734,Deals!$A$2:$A$355,0))=0,"",INDEX(Deals!$C$2:$C$355,MATCH($C734,Deals!$A$2:$A$355,0))),"?"))</f>
        <v/>
      </c>
      <c r="E734" s="16">
        <f>IF($C734="","",IFERROR(INDEX(Deals!$F$2:$F$355,MATCH($C734,Deals!$A$2:$A$355,0)),"?"))</f>
        <v/>
      </c>
      <c r="F734" s="31" t="n"/>
      <c r="G734" s="31" t="n"/>
      <c r="H734" s="31" t="n"/>
      <c r="I734" s="32">
        <f>IF(OR($A734="",$G734&lt;&gt;"Active"),0,IF($H734&lt;&gt;"",$H734,IF($AO734&gt;0,$AP734,IF(AND($R734&lt;&gt;"",IFERROR(INDEX(Templates!$B$3:$H$10,MATCH($R734,Templates!$A$3:$A$10,0),MATCH($F734,Templates!$B$2:$H$2,0)),0)&gt;0),INDEX(Templates!$B$3:$H$10,MATCH($R734,Templates!$A$3:$A$10,0),MATCH($F734,Templates!$B$2:$H$2,0)),IFERROR(INDEX(Settings!$B$8:$B$14,MATCH($F734,Settings!$A$8:$A$14,0)),0)))))</f>
        <v/>
      </c>
      <c r="J734" s="21">
        <f>IF($C734="",0,IFERROR(INDEX(Deals!$H$2:$H$355,MATCH($C734,Deals!$A$2:$A$355,0)),0))</f>
        <v/>
      </c>
      <c r="K734" s="32">
        <f>IF(Settings!$B$4="Yes",$I734*$J734,$I734)</f>
        <v/>
      </c>
      <c r="L734" s="22">
        <f>IF($C734="","",IFERROR(IF(INDEX(Deals!$I$2:$I$355,MATCH($C734,Deals!$A$2:$A$355,0))=0,"",INDEX(Deals!$I$2:$I$355,MATCH($C734,Deals!$A$2:$A$355,0))),""))</f>
        <v/>
      </c>
      <c r="M734" s="22">
        <f>IF($C734="","",IFERROR(IF(INDEX(Deals!$J$2:$J$355,MATCH($C734,Deals!$A$2:$A$355,0))=0,"",INDEX(Deals!$J$2:$J$355,MATCH($C734,Deals!$A$2:$A$355,0))),""))</f>
        <v/>
      </c>
      <c r="N734" s="35">
        <f>IF($L734="",DATE(1900,1,1),$L734)</f>
        <v/>
      </c>
      <c r="O734" s="35">
        <f>IF($M734="",DATE(2100,12,31),$M734)</f>
        <v/>
      </c>
      <c r="P734" s="44" t="n"/>
      <c r="Q734" s="31" t="n"/>
      <c r="R734" s="16">
        <f>IF($C734="","",IFERROR(IF(INDEX(Deals!$U$2:$U$355,MATCH($C734,Deals!$A$2:$A$355,0))=0,"",INDEX(Deals!$U$2:$U$355,MATCH($C734,Deals!$A$2:$A$355,0))),""))</f>
        <v/>
      </c>
      <c r="S734" s="34">
        <f>IFERROR(IF($U734="",1,INDEX(Deals!$V$2:$V$355,MATCH($C734,Deals!$A$2:$A$355,0))),1)</f>
        <v/>
      </c>
      <c r="T734" s="34">
        <f>IFERROR(IF($U734="",1,INDEX(Deals!$W$2:$W$355,MATCH($C734,Deals!$A$2:$A$355,0))),1)</f>
        <v/>
      </c>
      <c r="U734" s="22">
        <f>IF($C734="","",IFERROR(IF(INDEX(Deals!$Y$2:$Y$355,MATCH($C734,Deals!$A$2:$A$355,0))=0,"",INDEX(Deals!$Y$2:$Y$355,MATCH($C734,Deals!$A$2:$A$355,0))),""))</f>
        <v/>
      </c>
      <c r="V734" s="35">
        <f>IF(OR($U734&lt;&gt;"",AND($AO734&gt;0,$L734&lt;&gt;"",$M734&lt;&gt;"")),$N734,DATE(1900,1,1))</f>
        <v/>
      </c>
      <c r="W734" s="35">
        <f>IF($U734&lt;&gt;"",$U734,IF(AND($AO734&gt;0,$L734&lt;&gt;"",$M734&lt;&gt;""),$O734,DATE(2100,12,31)))</f>
        <v/>
      </c>
      <c r="X734" s="32">
        <f>IF($U734="",$K734,$K734*$S734)</f>
        <v/>
      </c>
      <c r="Y734" s="35">
        <f>IF($U734="",DATE(2100,12,31),$U734+1)</f>
        <v/>
      </c>
      <c r="Z734" s="35">
        <f>IF($U734="",DATE(1900,1,1),$O734)</f>
        <v/>
      </c>
      <c r="AA734" s="32">
        <f>IF($U734="",0,$K734*$T734)</f>
        <v/>
      </c>
      <c r="AB734" s="21">
        <f>IF($C734="",0,IFERROR(INDEX(Deals!$AD$2:$AD$355,MATCH($C734,Deals!$A$2:$A$355,0)),0))</f>
        <v/>
      </c>
      <c r="AC734" s="32">
        <f>IF(Settings!$B$4="Yes",$I734*$AB734,$I734)</f>
        <v/>
      </c>
      <c r="AD734" s="22">
        <f>IF($C734="","",IFERROR(IF(INDEX(Deals!$AE$2:$AE$355,MATCH($C734,Deals!$A$2:$A$355,0))=0,"",INDEX(Deals!$AE$2:$AE$355,MATCH($C734,Deals!$A$2:$A$355,0))),""))</f>
        <v/>
      </c>
      <c r="AE734" s="22">
        <f>IF($C734="","",IFERROR(IF(INDEX(Deals!$AF$2:$AF$355,MATCH($C734,Deals!$A$2:$A$355,0))=0,"",INDEX(Deals!$AF$2:$AF$355,MATCH($C734,Deals!$A$2:$A$355,0))),""))</f>
        <v/>
      </c>
      <c r="AF734" s="35">
        <f>IF($AD734="",DATE(1900,1,1),$AD734)</f>
        <v/>
      </c>
      <c r="AG734" s="35">
        <f>IF($AE734="",DATE(2100,12,31),$AE734)</f>
        <v/>
      </c>
      <c r="AH734" s="22">
        <f>IF($C734="","",IFERROR(IF(INDEX(Deals!$AG$2:$AG$355,MATCH($C734,Deals!$A$2:$A$355,0))=0,"",INDEX(Deals!$AG$2:$AG$355,MATCH($C734,Deals!$A$2:$A$355,0))),""))</f>
        <v/>
      </c>
      <c r="AI734" s="35">
        <f>IF(OR($AH734&lt;&gt;"",AND($AO734&gt;0,$AD734&lt;&gt;"",$AE734&lt;&gt;"")),$AF734,DATE(1900,1,1))</f>
        <v/>
      </c>
      <c r="AJ734" s="35">
        <f>IF($AH734&lt;&gt;"",$AH734,IF(AND($AO734&gt;0,$AD734&lt;&gt;"",$AE734&lt;&gt;""),$AG734,DATE(2100,12,31)))</f>
        <v/>
      </c>
      <c r="AK734" s="32">
        <f>IF($AH734="",$AC734,$AC734*$S734)</f>
        <v/>
      </c>
      <c r="AL734" s="35">
        <f>IF($AH734="",DATE(2100,12,31),$AH734+1)</f>
        <v/>
      </c>
      <c r="AM734" s="35">
        <f>IF($AH734="",DATE(1900,1,1),$AG734)</f>
        <v/>
      </c>
      <c r="AN734" s="32">
        <f>IF($AH734="",0,$AC734*$T734)</f>
        <v/>
      </c>
      <c r="AO734" s="46">
        <f>IF($C734="",0,IFERROR(INDEX(Deals!$BD$2:$BD$355,MATCH($C734,Deals!$A$2:$A$355,0)),0))</f>
        <v/>
      </c>
      <c r="AP734" s="18">
        <f>IF($AO734=0,0,IFERROR(INDEX(Deals!$BJ$2:$BP$355,MATCH($C734,Deals!$A$2:$A$355,0),MATCH($F734,Deals!$BJ$1:$BP$1,0))/COUNTIFS(Assignments!$C$2:$C$769,$C734,Assignments!$F$2:$F$769,$F734,Assignments!$G$2:$G$769,"Active"),0))</f>
        <v/>
      </c>
    </row>
    <row r="735">
      <c r="A735" s="31" t="n"/>
      <c r="B735" s="16">
        <f>IF($A735="","",IFERROR(INDEX(Roster!$B$2:$B$40,MATCH($A735,Roster!$A$2:$A$40,0)),"?"))</f>
        <v/>
      </c>
      <c r="C735" s="31" t="n"/>
      <c r="D735" s="16">
        <f>IF($C735="","",IFERROR(IF(INDEX(Deals!$C$2:$C$355,MATCH($C735,Deals!$A$2:$A$355,0))=0,"",INDEX(Deals!$C$2:$C$355,MATCH($C735,Deals!$A$2:$A$355,0))),"?"))</f>
        <v/>
      </c>
      <c r="E735" s="16">
        <f>IF($C735="","",IFERROR(INDEX(Deals!$F$2:$F$355,MATCH($C735,Deals!$A$2:$A$355,0)),"?"))</f>
        <v/>
      </c>
      <c r="F735" s="31" t="n"/>
      <c r="G735" s="31" t="n"/>
      <c r="H735" s="31" t="n"/>
      <c r="I735" s="32">
        <f>IF(OR($A735="",$G735&lt;&gt;"Active"),0,IF($H735&lt;&gt;"",$H735,IF($AO735&gt;0,$AP735,IF(AND($R735&lt;&gt;"",IFERROR(INDEX(Templates!$B$3:$H$10,MATCH($R735,Templates!$A$3:$A$10,0),MATCH($F735,Templates!$B$2:$H$2,0)),0)&gt;0),INDEX(Templates!$B$3:$H$10,MATCH($R735,Templates!$A$3:$A$10,0),MATCH($F735,Templates!$B$2:$H$2,0)),IFERROR(INDEX(Settings!$B$8:$B$14,MATCH($F735,Settings!$A$8:$A$14,0)),0)))))</f>
        <v/>
      </c>
      <c r="J735" s="21">
        <f>IF($C735="",0,IFERROR(INDEX(Deals!$H$2:$H$355,MATCH($C735,Deals!$A$2:$A$355,0)),0))</f>
        <v/>
      </c>
      <c r="K735" s="32">
        <f>IF(Settings!$B$4="Yes",$I735*$J735,$I735)</f>
        <v/>
      </c>
      <c r="L735" s="22">
        <f>IF($C735="","",IFERROR(IF(INDEX(Deals!$I$2:$I$355,MATCH($C735,Deals!$A$2:$A$355,0))=0,"",INDEX(Deals!$I$2:$I$355,MATCH($C735,Deals!$A$2:$A$355,0))),""))</f>
        <v/>
      </c>
      <c r="M735" s="22">
        <f>IF($C735="","",IFERROR(IF(INDEX(Deals!$J$2:$J$355,MATCH($C735,Deals!$A$2:$A$355,0))=0,"",INDEX(Deals!$J$2:$J$355,MATCH($C735,Deals!$A$2:$A$355,0))),""))</f>
        <v/>
      </c>
      <c r="N735" s="35">
        <f>IF($L735="",DATE(1900,1,1),$L735)</f>
        <v/>
      </c>
      <c r="O735" s="35">
        <f>IF($M735="",DATE(2100,12,31),$M735)</f>
        <v/>
      </c>
      <c r="P735" s="44" t="n"/>
      <c r="Q735" s="31" t="n"/>
      <c r="R735" s="16">
        <f>IF($C735="","",IFERROR(IF(INDEX(Deals!$U$2:$U$355,MATCH($C735,Deals!$A$2:$A$355,0))=0,"",INDEX(Deals!$U$2:$U$355,MATCH($C735,Deals!$A$2:$A$355,0))),""))</f>
        <v/>
      </c>
      <c r="S735" s="34">
        <f>IFERROR(IF($U735="",1,INDEX(Deals!$V$2:$V$355,MATCH($C735,Deals!$A$2:$A$355,0))),1)</f>
        <v/>
      </c>
      <c r="T735" s="34">
        <f>IFERROR(IF($U735="",1,INDEX(Deals!$W$2:$W$355,MATCH($C735,Deals!$A$2:$A$355,0))),1)</f>
        <v/>
      </c>
      <c r="U735" s="22">
        <f>IF($C735="","",IFERROR(IF(INDEX(Deals!$Y$2:$Y$355,MATCH($C735,Deals!$A$2:$A$355,0))=0,"",INDEX(Deals!$Y$2:$Y$355,MATCH($C735,Deals!$A$2:$A$355,0))),""))</f>
        <v/>
      </c>
      <c r="V735" s="35">
        <f>IF(OR($U735&lt;&gt;"",AND($AO735&gt;0,$L735&lt;&gt;"",$M735&lt;&gt;"")),$N735,DATE(1900,1,1))</f>
        <v/>
      </c>
      <c r="W735" s="35">
        <f>IF($U735&lt;&gt;"",$U735,IF(AND($AO735&gt;0,$L735&lt;&gt;"",$M735&lt;&gt;""),$O735,DATE(2100,12,31)))</f>
        <v/>
      </c>
      <c r="X735" s="32">
        <f>IF($U735="",$K735,$K735*$S735)</f>
        <v/>
      </c>
      <c r="Y735" s="35">
        <f>IF($U735="",DATE(2100,12,31),$U735+1)</f>
        <v/>
      </c>
      <c r="Z735" s="35">
        <f>IF($U735="",DATE(1900,1,1),$O735)</f>
        <v/>
      </c>
      <c r="AA735" s="32">
        <f>IF($U735="",0,$K735*$T735)</f>
        <v/>
      </c>
      <c r="AB735" s="21">
        <f>IF($C735="",0,IFERROR(INDEX(Deals!$AD$2:$AD$355,MATCH($C735,Deals!$A$2:$A$355,0)),0))</f>
        <v/>
      </c>
      <c r="AC735" s="32">
        <f>IF(Settings!$B$4="Yes",$I735*$AB735,$I735)</f>
        <v/>
      </c>
      <c r="AD735" s="22">
        <f>IF($C735="","",IFERROR(IF(INDEX(Deals!$AE$2:$AE$355,MATCH($C735,Deals!$A$2:$A$355,0))=0,"",INDEX(Deals!$AE$2:$AE$355,MATCH($C735,Deals!$A$2:$A$355,0))),""))</f>
        <v/>
      </c>
      <c r="AE735" s="22">
        <f>IF($C735="","",IFERROR(IF(INDEX(Deals!$AF$2:$AF$355,MATCH($C735,Deals!$A$2:$A$355,0))=0,"",INDEX(Deals!$AF$2:$AF$355,MATCH($C735,Deals!$A$2:$A$355,0))),""))</f>
        <v/>
      </c>
      <c r="AF735" s="35">
        <f>IF($AD735="",DATE(1900,1,1),$AD735)</f>
        <v/>
      </c>
      <c r="AG735" s="35">
        <f>IF($AE735="",DATE(2100,12,31),$AE735)</f>
        <v/>
      </c>
      <c r="AH735" s="22">
        <f>IF($C735="","",IFERROR(IF(INDEX(Deals!$AG$2:$AG$355,MATCH($C735,Deals!$A$2:$A$355,0))=0,"",INDEX(Deals!$AG$2:$AG$355,MATCH($C735,Deals!$A$2:$A$355,0))),""))</f>
        <v/>
      </c>
      <c r="AI735" s="35">
        <f>IF(OR($AH735&lt;&gt;"",AND($AO735&gt;0,$AD735&lt;&gt;"",$AE735&lt;&gt;"")),$AF735,DATE(1900,1,1))</f>
        <v/>
      </c>
      <c r="AJ735" s="35">
        <f>IF($AH735&lt;&gt;"",$AH735,IF(AND($AO735&gt;0,$AD735&lt;&gt;"",$AE735&lt;&gt;""),$AG735,DATE(2100,12,31)))</f>
        <v/>
      </c>
      <c r="AK735" s="32">
        <f>IF($AH735="",$AC735,$AC735*$S735)</f>
        <v/>
      </c>
      <c r="AL735" s="35">
        <f>IF($AH735="",DATE(2100,12,31),$AH735+1)</f>
        <v/>
      </c>
      <c r="AM735" s="35">
        <f>IF($AH735="",DATE(1900,1,1),$AG735)</f>
        <v/>
      </c>
      <c r="AN735" s="32">
        <f>IF($AH735="",0,$AC735*$T735)</f>
        <v/>
      </c>
      <c r="AO735" s="46">
        <f>IF($C735="",0,IFERROR(INDEX(Deals!$BD$2:$BD$355,MATCH($C735,Deals!$A$2:$A$355,0)),0))</f>
        <v/>
      </c>
      <c r="AP735" s="18">
        <f>IF($AO735=0,0,IFERROR(INDEX(Deals!$BJ$2:$BP$355,MATCH($C735,Deals!$A$2:$A$355,0),MATCH($F735,Deals!$BJ$1:$BP$1,0))/COUNTIFS(Assignments!$C$2:$C$769,$C735,Assignments!$F$2:$F$769,$F735,Assignments!$G$2:$G$769,"Active"),0))</f>
        <v/>
      </c>
    </row>
    <row r="736">
      <c r="A736" s="31" t="n"/>
      <c r="B736" s="16">
        <f>IF($A736="","",IFERROR(INDEX(Roster!$B$2:$B$40,MATCH($A736,Roster!$A$2:$A$40,0)),"?"))</f>
        <v/>
      </c>
      <c r="C736" s="31" t="n"/>
      <c r="D736" s="16">
        <f>IF($C736="","",IFERROR(IF(INDEX(Deals!$C$2:$C$355,MATCH($C736,Deals!$A$2:$A$355,0))=0,"",INDEX(Deals!$C$2:$C$355,MATCH($C736,Deals!$A$2:$A$355,0))),"?"))</f>
        <v/>
      </c>
      <c r="E736" s="16">
        <f>IF($C736="","",IFERROR(INDEX(Deals!$F$2:$F$355,MATCH($C736,Deals!$A$2:$A$355,0)),"?"))</f>
        <v/>
      </c>
      <c r="F736" s="31" t="n"/>
      <c r="G736" s="31" t="n"/>
      <c r="H736" s="31" t="n"/>
      <c r="I736" s="32">
        <f>IF(OR($A736="",$G736&lt;&gt;"Active"),0,IF($H736&lt;&gt;"",$H736,IF($AO736&gt;0,$AP736,IF(AND($R736&lt;&gt;"",IFERROR(INDEX(Templates!$B$3:$H$10,MATCH($R736,Templates!$A$3:$A$10,0),MATCH($F736,Templates!$B$2:$H$2,0)),0)&gt;0),INDEX(Templates!$B$3:$H$10,MATCH($R736,Templates!$A$3:$A$10,0),MATCH($F736,Templates!$B$2:$H$2,0)),IFERROR(INDEX(Settings!$B$8:$B$14,MATCH($F736,Settings!$A$8:$A$14,0)),0)))))</f>
        <v/>
      </c>
      <c r="J736" s="21">
        <f>IF($C736="",0,IFERROR(INDEX(Deals!$H$2:$H$355,MATCH($C736,Deals!$A$2:$A$355,0)),0))</f>
        <v/>
      </c>
      <c r="K736" s="32">
        <f>IF(Settings!$B$4="Yes",$I736*$J736,$I736)</f>
        <v/>
      </c>
      <c r="L736" s="22">
        <f>IF($C736="","",IFERROR(IF(INDEX(Deals!$I$2:$I$355,MATCH($C736,Deals!$A$2:$A$355,0))=0,"",INDEX(Deals!$I$2:$I$355,MATCH($C736,Deals!$A$2:$A$355,0))),""))</f>
        <v/>
      </c>
      <c r="M736" s="22">
        <f>IF($C736="","",IFERROR(IF(INDEX(Deals!$J$2:$J$355,MATCH($C736,Deals!$A$2:$A$355,0))=0,"",INDEX(Deals!$J$2:$J$355,MATCH($C736,Deals!$A$2:$A$355,0))),""))</f>
        <v/>
      </c>
      <c r="N736" s="35">
        <f>IF($L736="",DATE(1900,1,1),$L736)</f>
        <v/>
      </c>
      <c r="O736" s="35">
        <f>IF($M736="",DATE(2100,12,31),$M736)</f>
        <v/>
      </c>
      <c r="P736" s="44" t="n"/>
      <c r="Q736" s="31" t="n"/>
      <c r="R736" s="16">
        <f>IF($C736="","",IFERROR(IF(INDEX(Deals!$U$2:$U$355,MATCH($C736,Deals!$A$2:$A$355,0))=0,"",INDEX(Deals!$U$2:$U$355,MATCH($C736,Deals!$A$2:$A$355,0))),""))</f>
        <v/>
      </c>
      <c r="S736" s="34">
        <f>IFERROR(IF($U736="",1,INDEX(Deals!$V$2:$V$355,MATCH($C736,Deals!$A$2:$A$355,0))),1)</f>
        <v/>
      </c>
      <c r="T736" s="34">
        <f>IFERROR(IF($U736="",1,INDEX(Deals!$W$2:$W$355,MATCH($C736,Deals!$A$2:$A$355,0))),1)</f>
        <v/>
      </c>
      <c r="U736" s="22">
        <f>IF($C736="","",IFERROR(IF(INDEX(Deals!$Y$2:$Y$355,MATCH($C736,Deals!$A$2:$A$355,0))=0,"",INDEX(Deals!$Y$2:$Y$355,MATCH($C736,Deals!$A$2:$A$355,0))),""))</f>
        <v/>
      </c>
      <c r="V736" s="35">
        <f>IF(OR($U736&lt;&gt;"",AND($AO736&gt;0,$L736&lt;&gt;"",$M736&lt;&gt;"")),$N736,DATE(1900,1,1))</f>
        <v/>
      </c>
      <c r="W736" s="35">
        <f>IF($U736&lt;&gt;"",$U736,IF(AND($AO736&gt;0,$L736&lt;&gt;"",$M736&lt;&gt;""),$O736,DATE(2100,12,31)))</f>
        <v/>
      </c>
      <c r="X736" s="32">
        <f>IF($U736="",$K736,$K736*$S736)</f>
        <v/>
      </c>
      <c r="Y736" s="35">
        <f>IF($U736="",DATE(2100,12,31),$U736+1)</f>
        <v/>
      </c>
      <c r="Z736" s="35">
        <f>IF($U736="",DATE(1900,1,1),$O736)</f>
        <v/>
      </c>
      <c r="AA736" s="32">
        <f>IF($U736="",0,$K736*$T736)</f>
        <v/>
      </c>
      <c r="AB736" s="21">
        <f>IF($C736="",0,IFERROR(INDEX(Deals!$AD$2:$AD$355,MATCH($C736,Deals!$A$2:$A$355,0)),0))</f>
        <v/>
      </c>
      <c r="AC736" s="32">
        <f>IF(Settings!$B$4="Yes",$I736*$AB736,$I736)</f>
        <v/>
      </c>
      <c r="AD736" s="22">
        <f>IF($C736="","",IFERROR(IF(INDEX(Deals!$AE$2:$AE$355,MATCH($C736,Deals!$A$2:$A$355,0))=0,"",INDEX(Deals!$AE$2:$AE$355,MATCH($C736,Deals!$A$2:$A$355,0))),""))</f>
        <v/>
      </c>
      <c r="AE736" s="22">
        <f>IF($C736="","",IFERROR(IF(INDEX(Deals!$AF$2:$AF$355,MATCH($C736,Deals!$A$2:$A$355,0))=0,"",INDEX(Deals!$AF$2:$AF$355,MATCH($C736,Deals!$A$2:$A$355,0))),""))</f>
        <v/>
      </c>
      <c r="AF736" s="35">
        <f>IF($AD736="",DATE(1900,1,1),$AD736)</f>
        <v/>
      </c>
      <c r="AG736" s="35">
        <f>IF($AE736="",DATE(2100,12,31),$AE736)</f>
        <v/>
      </c>
      <c r="AH736" s="22">
        <f>IF($C736="","",IFERROR(IF(INDEX(Deals!$AG$2:$AG$355,MATCH($C736,Deals!$A$2:$A$355,0))=0,"",INDEX(Deals!$AG$2:$AG$355,MATCH($C736,Deals!$A$2:$A$355,0))),""))</f>
        <v/>
      </c>
      <c r="AI736" s="35">
        <f>IF(OR($AH736&lt;&gt;"",AND($AO736&gt;0,$AD736&lt;&gt;"",$AE736&lt;&gt;"")),$AF736,DATE(1900,1,1))</f>
        <v/>
      </c>
      <c r="AJ736" s="35">
        <f>IF($AH736&lt;&gt;"",$AH736,IF(AND($AO736&gt;0,$AD736&lt;&gt;"",$AE736&lt;&gt;""),$AG736,DATE(2100,12,31)))</f>
        <v/>
      </c>
      <c r="AK736" s="32">
        <f>IF($AH736="",$AC736,$AC736*$S736)</f>
        <v/>
      </c>
      <c r="AL736" s="35">
        <f>IF($AH736="",DATE(2100,12,31),$AH736+1)</f>
        <v/>
      </c>
      <c r="AM736" s="35">
        <f>IF($AH736="",DATE(1900,1,1),$AG736)</f>
        <v/>
      </c>
      <c r="AN736" s="32">
        <f>IF($AH736="",0,$AC736*$T736)</f>
        <v/>
      </c>
      <c r="AO736" s="46">
        <f>IF($C736="",0,IFERROR(INDEX(Deals!$BD$2:$BD$355,MATCH($C736,Deals!$A$2:$A$355,0)),0))</f>
        <v/>
      </c>
      <c r="AP736" s="18">
        <f>IF($AO736=0,0,IFERROR(INDEX(Deals!$BJ$2:$BP$355,MATCH($C736,Deals!$A$2:$A$355,0),MATCH($F736,Deals!$BJ$1:$BP$1,0))/COUNTIFS(Assignments!$C$2:$C$769,$C736,Assignments!$F$2:$F$769,$F736,Assignments!$G$2:$G$769,"Active"),0))</f>
        <v/>
      </c>
    </row>
    <row r="737">
      <c r="A737" s="31" t="n"/>
      <c r="B737" s="16">
        <f>IF($A737="","",IFERROR(INDEX(Roster!$B$2:$B$40,MATCH($A737,Roster!$A$2:$A$40,0)),"?"))</f>
        <v/>
      </c>
      <c r="C737" s="31" t="n"/>
      <c r="D737" s="16">
        <f>IF($C737="","",IFERROR(IF(INDEX(Deals!$C$2:$C$355,MATCH($C737,Deals!$A$2:$A$355,0))=0,"",INDEX(Deals!$C$2:$C$355,MATCH($C737,Deals!$A$2:$A$355,0))),"?"))</f>
        <v/>
      </c>
      <c r="E737" s="16">
        <f>IF($C737="","",IFERROR(INDEX(Deals!$F$2:$F$355,MATCH($C737,Deals!$A$2:$A$355,0)),"?"))</f>
        <v/>
      </c>
      <c r="F737" s="31" t="n"/>
      <c r="G737" s="31" t="n"/>
      <c r="H737" s="31" t="n"/>
      <c r="I737" s="32">
        <f>IF(OR($A737="",$G737&lt;&gt;"Active"),0,IF($H737&lt;&gt;"",$H737,IF($AO737&gt;0,$AP737,IF(AND($R737&lt;&gt;"",IFERROR(INDEX(Templates!$B$3:$H$10,MATCH($R737,Templates!$A$3:$A$10,0),MATCH($F737,Templates!$B$2:$H$2,0)),0)&gt;0),INDEX(Templates!$B$3:$H$10,MATCH($R737,Templates!$A$3:$A$10,0),MATCH($F737,Templates!$B$2:$H$2,0)),IFERROR(INDEX(Settings!$B$8:$B$14,MATCH($F737,Settings!$A$8:$A$14,0)),0)))))</f>
        <v/>
      </c>
      <c r="J737" s="21">
        <f>IF($C737="",0,IFERROR(INDEX(Deals!$H$2:$H$355,MATCH($C737,Deals!$A$2:$A$355,0)),0))</f>
        <v/>
      </c>
      <c r="K737" s="32">
        <f>IF(Settings!$B$4="Yes",$I737*$J737,$I737)</f>
        <v/>
      </c>
      <c r="L737" s="22">
        <f>IF($C737="","",IFERROR(IF(INDEX(Deals!$I$2:$I$355,MATCH($C737,Deals!$A$2:$A$355,0))=0,"",INDEX(Deals!$I$2:$I$355,MATCH($C737,Deals!$A$2:$A$355,0))),""))</f>
        <v/>
      </c>
      <c r="M737" s="22">
        <f>IF($C737="","",IFERROR(IF(INDEX(Deals!$J$2:$J$355,MATCH($C737,Deals!$A$2:$A$355,0))=0,"",INDEX(Deals!$J$2:$J$355,MATCH($C737,Deals!$A$2:$A$355,0))),""))</f>
        <v/>
      </c>
      <c r="N737" s="35">
        <f>IF($L737="",DATE(1900,1,1),$L737)</f>
        <v/>
      </c>
      <c r="O737" s="35">
        <f>IF($M737="",DATE(2100,12,31),$M737)</f>
        <v/>
      </c>
      <c r="P737" s="44" t="n"/>
      <c r="Q737" s="31" t="n"/>
      <c r="R737" s="16">
        <f>IF($C737="","",IFERROR(IF(INDEX(Deals!$U$2:$U$355,MATCH($C737,Deals!$A$2:$A$355,0))=0,"",INDEX(Deals!$U$2:$U$355,MATCH($C737,Deals!$A$2:$A$355,0))),""))</f>
        <v/>
      </c>
      <c r="S737" s="34">
        <f>IFERROR(IF($U737="",1,INDEX(Deals!$V$2:$V$355,MATCH($C737,Deals!$A$2:$A$355,0))),1)</f>
        <v/>
      </c>
      <c r="T737" s="34">
        <f>IFERROR(IF($U737="",1,INDEX(Deals!$W$2:$W$355,MATCH($C737,Deals!$A$2:$A$355,0))),1)</f>
        <v/>
      </c>
      <c r="U737" s="22">
        <f>IF($C737="","",IFERROR(IF(INDEX(Deals!$Y$2:$Y$355,MATCH($C737,Deals!$A$2:$A$355,0))=0,"",INDEX(Deals!$Y$2:$Y$355,MATCH($C737,Deals!$A$2:$A$355,0))),""))</f>
        <v/>
      </c>
      <c r="V737" s="35">
        <f>IF(OR($U737&lt;&gt;"",AND($AO737&gt;0,$L737&lt;&gt;"",$M737&lt;&gt;"")),$N737,DATE(1900,1,1))</f>
        <v/>
      </c>
      <c r="W737" s="35">
        <f>IF($U737&lt;&gt;"",$U737,IF(AND($AO737&gt;0,$L737&lt;&gt;"",$M737&lt;&gt;""),$O737,DATE(2100,12,31)))</f>
        <v/>
      </c>
      <c r="X737" s="32">
        <f>IF($U737="",$K737,$K737*$S737)</f>
        <v/>
      </c>
      <c r="Y737" s="35">
        <f>IF($U737="",DATE(2100,12,31),$U737+1)</f>
        <v/>
      </c>
      <c r="Z737" s="35">
        <f>IF($U737="",DATE(1900,1,1),$O737)</f>
        <v/>
      </c>
      <c r="AA737" s="32">
        <f>IF($U737="",0,$K737*$T737)</f>
        <v/>
      </c>
      <c r="AB737" s="21">
        <f>IF($C737="",0,IFERROR(INDEX(Deals!$AD$2:$AD$355,MATCH($C737,Deals!$A$2:$A$355,0)),0))</f>
        <v/>
      </c>
      <c r="AC737" s="32">
        <f>IF(Settings!$B$4="Yes",$I737*$AB737,$I737)</f>
        <v/>
      </c>
      <c r="AD737" s="22">
        <f>IF($C737="","",IFERROR(IF(INDEX(Deals!$AE$2:$AE$355,MATCH($C737,Deals!$A$2:$A$355,0))=0,"",INDEX(Deals!$AE$2:$AE$355,MATCH($C737,Deals!$A$2:$A$355,0))),""))</f>
        <v/>
      </c>
      <c r="AE737" s="22">
        <f>IF($C737="","",IFERROR(IF(INDEX(Deals!$AF$2:$AF$355,MATCH($C737,Deals!$A$2:$A$355,0))=0,"",INDEX(Deals!$AF$2:$AF$355,MATCH($C737,Deals!$A$2:$A$355,0))),""))</f>
        <v/>
      </c>
      <c r="AF737" s="35">
        <f>IF($AD737="",DATE(1900,1,1),$AD737)</f>
        <v/>
      </c>
      <c r="AG737" s="35">
        <f>IF($AE737="",DATE(2100,12,31),$AE737)</f>
        <v/>
      </c>
      <c r="AH737" s="22">
        <f>IF($C737="","",IFERROR(IF(INDEX(Deals!$AG$2:$AG$355,MATCH($C737,Deals!$A$2:$A$355,0))=0,"",INDEX(Deals!$AG$2:$AG$355,MATCH($C737,Deals!$A$2:$A$355,0))),""))</f>
        <v/>
      </c>
      <c r="AI737" s="35">
        <f>IF(OR($AH737&lt;&gt;"",AND($AO737&gt;0,$AD737&lt;&gt;"",$AE737&lt;&gt;"")),$AF737,DATE(1900,1,1))</f>
        <v/>
      </c>
      <c r="AJ737" s="35">
        <f>IF($AH737&lt;&gt;"",$AH737,IF(AND($AO737&gt;0,$AD737&lt;&gt;"",$AE737&lt;&gt;""),$AG737,DATE(2100,12,31)))</f>
        <v/>
      </c>
      <c r="AK737" s="32">
        <f>IF($AH737="",$AC737,$AC737*$S737)</f>
        <v/>
      </c>
      <c r="AL737" s="35">
        <f>IF($AH737="",DATE(2100,12,31),$AH737+1)</f>
        <v/>
      </c>
      <c r="AM737" s="35">
        <f>IF($AH737="",DATE(1900,1,1),$AG737)</f>
        <v/>
      </c>
      <c r="AN737" s="32">
        <f>IF($AH737="",0,$AC737*$T737)</f>
        <v/>
      </c>
      <c r="AO737" s="46">
        <f>IF($C737="",0,IFERROR(INDEX(Deals!$BD$2:$BD$355,MATCH($C737,Deals!$A$2:$A$355,0)),0))</f>
        <v/>
      </c>
      <c r="AP737" s="18">
        <f>IF($AO737=0,0,IFERROR(INDEX(Deals!$BJ$2:$BP$355,MATCH($C737,Deals!$A$2:$A$355,0),MATCH($F737,Deals!$BJ$1:$BP$1,0))/COUNTIFS(Assignments!$C$2:$C$769,$C737,Assignments!$F$2:$F$769,$F737,Assignments!$G$2:$G$769,"Active"),0))</f>
        <v/>
      </c>
    </row>
    <row r="738">
      <c r="A738" s="31" t="n"/>
      <c r="B738" s="16">
        <f>IF($A738="","",IFERROR(INDEX(Roster!$B$2:$B$40,MATCH($A738,Roster!$A$2:$A$40,0)),"?"))</f>
        <v/>
      </c>
      <c r="C738" s="31" t="n"/>
      <c r="D738" s="16">
        <f>IF($C738="","",IFERROR(IF(INDEX(Deals!$C$2:$C$355,MATCH($C738,Deals!$A$2:$A$355,0))=0,"",INDEX(Deals!$C$2:$C$355,MATCH($C738,Deals!$A$2:$A$355,0))),"?"))</f>
        <v/>
      </c>
      <c r="E738" s="16">
        <f>IF($C738="","",IFERROR(INDEX(Deals!$F$2:$F$355,MATCH($C738,Deals!$A$2:$A$355,0)),"?"))</f>
        <v/>
      </c>
      <c r="F738" s="31" t="n"/>
      <c r="G738" s="31" t="n"/>
      <c r="H738" s="31" t="n"/>
      <c r="I738" s="32">
        <f>IF(OR($A738="",$G738&lt;&gt;"Active"),0,IF($H738&lt;&gt;"",$H738,IF($AO738&gt;0,$AP738,IF(AND($R738&lt;&gt;"",IFERROR(INDEX(Templates!$B$3:$H$10,MATCH($R738,Templates!$A$3:$A$10,0),MATCH($F738,Templates!$B$2:$H$2,0)),0)&gt;0),INDEX(Templates!$B$3:$H$10,MATCH($R738,Templates!$A$3:$A$10,0),MATCH($F738,Templates!$B$2:$H$2,0)),IFERROR(INDEX(Settings!$B$8:$B$14,MATCH($F738,Settings!$A$8:$A$14,0)),0)))))</f>
        <v/>
      </c>
      <c r="J738" s="21">
        <f>IF($C738="",0,IFERROR(INDEX(Deals!$H$2:$H$355,MATCH($C738,Deals!$A$2:$A$355,0)),0))</f>
        <v/>
      </c>
      <c r="K738" s="32">
        <f>IF(Settings!$B$4="Yes",$I738*$J738,$I738)</f>
        <v/>
      </c>
      <c r="L738" s="22">
        <f>IF($C738="","",IFERROR(IF(INDEX(Deals!$I$2:$I$355,MATCH($C738,Deals!$A$2:$A$355,0))=0,"",INDEX(Deals!$I$2:$I$355,MATCH($C738,Deals!$A$2:$A$355,0))),""))</f>
        <v/>
      </c>
      <c r="M738" s="22">
        <f>IF($C738="","",IFERROR(IF(INDEX(Deals!$J$2:$J$355,MATCH($C738,Deals!$A$2:$A$355,0))=0,"",INDEX(Deals!$J$2:$J$355,MATCH($C738,Deals!$A$2:$A$355,0))),""))</f>
        <v/>
      </c>
      <c r="N738" s="35">
        <f>IF($L738="",DATE(1900,1,1),$L738)</f>
        <v/>
      </c>
      <c r="O738" s="35">
        <f>IF($M738="",DATE(2100,12,31),$M738)</f>
        <v/>
      </c>
      <c r="P738" s="44" t="n"/>
      <c r="Q738" s="31" t="n"/>
      <c r="R738" s="16">
        <f>IF($C738="","",IFERROR(IF(INDEX(Deals!$U$2:$U$355,MATCH($C738,Deals!$A$2:$A$355,0))=0,"",INDEX(Deals!$U$2:$U$355,MATCH($C738,Deals!$A$2:$A$355,0))),""))</f>
        <v/>
      </c>
      <c r="S738" s="34">
        <f>IFERROR(IF($U738="",1,INDEX(Deals!$V$2:$V$355,MATCH($C738,Deals!$A$2:$A$355,0))),1)</f>
        <v/>
      </c>
      <c r="T738" s="34">
        <f>IFERROR(IF($U738="",1,INDEX(Deals!$W$2:$W$355,MATCH($C738,Deals!$A$2:$A$355,0))),1)</f>
        <v/>
      </c>
      <c r="U738" s="22">
        <f>IF($C738="","",IFERROR(IF(INDEX(Deals!$Y$2:$Y$355,MATCH($C738,Deals!$A$2:$A$355,0))=0,"",INDEX(Deals!$Y$2:$Y$355,MATCH($C738,Deals!$A$2:$A$355,0))),""))</f>
        <v/>
      </c>
      <c r="V738" s="35">
        <f>IF(OR($U738&lt;&gt;"",AND($AO738&gt;0,$L738&lt;&gt;"",$M738&lt;&gt;"")),$N738,DATE(1900,1,1))</f>
        <v/>
      </c>
      <c r="W738" s="35">
        <f>IF($U738&lt;&gt;"",$U738,IF(AND($AO738&gt;0,$L738&lt;&gt;"",$M738&lt;&gt;""),$O738,DATE(2100,12,31)))</f>
        <v/>
      </c>
      <c r="X738" s="32">
        <f>IF($U738="",$K738,$K738*$S738)</f>
        <v/>
      </c>
      <c r="Y738" s="35">
        <f>IF($U738="",DATE(2100,12,31),$U738+1)</f>
        <v/>
      </c>
      <c r="Z738" s="35">
        <f>IF($U738="",DATE(1900,1,1),$O738)</f>
        <v/>
      </c>
      <c r="AA738" s="32">
        <f>IF($U738="",0,$K738*$T738)</f>
        <v/>
      </c>
      <c r="AB738" s="21">
        <f>IF($C738="",0,IFERROR(INDEX(Deals!$AD$2:$AD$355,MATCH($C738,Deals!$A$2:$A$355,0)),0))</f>
        <v/>
      </c>
      <c r="AC738" s="32">
        <f>IF(Settings!$B$4="Yes",$I738*$AB738,$I738)</f>
        <v/>
      </c>
      <c r="AD738" s="22">
        <f>IF($C738="","",IFERROR(IF(INDEX(Deals!$AE$2:$AE$355,MATCH($C738,Deals!$A$2:$A$355,0))=0,"",INDEX(Deals!$AE$2:$AE$355,MATCH($C738,Deals!$A$2:$A$355,0))),""))</f>
        <v/>
      </c>
      <c r="AE738" s="22">
        <f>IF($C738="","",IFERROR(IF(INDEX(Deals!$AF$2:$AF$355,MATCH($C738,Deals!$A$2:$A$355,0))=0,"",INDEX(Deals!$AF$2:$AF$355,MATCH($C738,Deals!$A$2:$A$355,0))),""))</f>
        <v/>
      </c>
      <c r="AF738" s="35">
        <f>IF($AD738="",DATE(1900,1,1),$AD738)</f>
        <v/>
      </c>
      <c r="AG738" s="35">
        <f>IF($AE738="",DATE(2100,12,31),$AE738)</f>
        <v/>
      </c>
      <c r="AH738" s="22">
        <f>IF($C738="","",IFERROR(IF(INDEX(Deals!$AG$2:$AG$355,MATCH($C738,Deals!$A$2:$A$355,0))=0,"",INDEX(Deals!$AG$2:$AG$355,MATCH($C738,Deals!$A$2:$A$355,0))),""))</f>
        <v/>
      </c>
      <c r="AI738" s="35">
        <f>IF(OR($AH738&lt;&gt;"",AND($AO738&gt;0,$AD738&lt;&gt;"",$AE738&lt;&gt;"")),$AF738,DATE(1900,1,1))</f>
        <v/>
      </c>
      <c r="AJ738" s="35">
        <f>IF($AH738&lt;&gt;"",$AH738,IF(AND($AO738&gt;0,$AD738&lt;&gt;"",$AE738&lt;&gt;""),$AG738,DATE(2100,12,31)))</f>
        <v/>
      </c>
      <c r="AK738" s="32">
        <f>IF($AH738="",$AC738,$AC738*$S738)</f>
        <v/>
      </c>
      <c r="AL738" s="35">
        <f>IF($AH738="",DATE(2100,12,31),$AH738+1)</f>
        <v/>
      </c>
      <c r="AM738" s="35">
        <f>IF($AH738="",DATE(1900,1,1),$AG738)</f>
        <v/>
      </c>
      <c r="AN738" s="32">
        <f>IF($AH738="",0,$AC738*$T738)</f>
        <v/>
      </c>
      <c r="AO738" s="46">
        <f>IF($C738="",0,IFERROR(INDEX(Deals!$BD$2:$BD$355,MATCH($C738,Deals!$A$2:$A$355,0)),0))</f>
        <v/>
      </c>
      <c r="AP738" s="18">
        <f>IF($AO738=0,0,IFERROR(INDEX(Deals!$BJ$2:$BP$355,MATCH($C738,Deals!$A$2:$A$355,0),MATCH($F738,Deals!$BJ$1:$BP$1,0))/COUNTIFS(Assignments!$C$2:$C$769,$C738,Assignments!$F$2:$F$769,$F738,Assignments!$G$2:$G$769,"Active"),0))</f>
        <v/>
      </c>
    </row>
    <row r="739">
      <c r="A739" s="31" t="n"/>
      <c r="B739" s="16">
        <f>IF($A739="","",IFERROR(INDEX(Roster!$B$2:$B$40,MATCH($A739,Roster!$A$2:$A$40,0)),"?"))</f>
        <v/>
      </c>
      <c r="C739" s="31" t="n"/>
      <c r="D739" s="16">
        <f>IF($C739="","",IFERROR(IF(INDEX(Deals!$C$2:$C$355,MATCH($C739,Deals!$A$2:$A$355,0))=0,"",INDEX(Deals!$C$2:$C$355,MATCH($C739,Deals!$A$2:$A$355,0))),"?"))</f>
        <v/>
      </c>
      <c r="E739" s="16">
        <f>IF($C739="","",IFERROR(INDEX(Deals!$F$2:$F$355,MATCH($C739,Deals!$A$2:$A$355,0)),"?"))</f>
        <v/>
      </c>
      <c r="F739" s="31" t="n"/>
      <c r="G739" s="31" t="n"/>
      <c r="H739" s="31" t="n"/>
      <c r="I739" s="32">
        <f>IF(OR($A739="",$G739&lt;&gt;"Active"),0,IF($H739&lt;&gt;"",$H739,IF($AO739&gt;0,$AP739,IF(AND($R739&lt;&gt;"",IFERROR(INDEX(Templates!$B$3:$H$10,MATCH($R739,Templates!$A$3:$A$10,0),MATCH($F739,Templates!$B$2:$H$2,0)),0)&gt;0),INDEX(Templates!$B$3:$H$10,MATCH($R739,Templates!$A$3:$A$10,0),MATCH($F739,Templates!$B$2:$H$2,0)),IFERROR(INDEX(Settings!$B$8:$B$14,MATCH($F739,Settings!$A$8:$A$14,0)),0)))))</f>
        <v/>
      </c>
      <c r="J739" s="21">
        <f>IF($C739="",0,IFERROR(INDEX(Deals!$H$2:$H$355,MATCH($C739,Deals!$A$2:$A$355,0)),0))</f>
        <v/>
      </c>
      <c r="K739" s="32">
        <f>IF(Settings!$B$4="Yes",$I739*$J739,$I739)</f>
        <v/>
      </c>
      <c r="L739" s="22">
        <f>IF($C739="","",IFERROR(IF(INDEX(Deals!$I$2:$I$355,MATCH($C739,Deals!$A$2:$A$355,0))=0,"",INDEX(Deals!$I$2:$I$355,MATCH($C739,Deals!$A$2:$A$355,0))),""))</f>
        <v/>
      </c>
      <c r="M739" s="22">
        <f>IF($C739="","",IFERROR(IF(INDEX(Deals!$J$2:$J$355,MATCH($C739,Deals!$A$2:$A$355,0))=0,"",INDEX(Deals!$J$2:$J$355,MATCH($C739,Deals!$A$2:$A$355,0))),""))</f>
        <v/>
      </c>
      <c r="N739" s="35">
        <f>IF($L739="",DATE(1900,1,1),$L739)</f>
        <v/>
      </c>
      <c r="O739" s="35">
        <f>IF($M739="",DATE(2100,12,31),$M739)</f>
        <v/>
      </c>
      <c r="P739" s="44" t="n"/>
      <c r="Q739" s="31" t="n"/>
      <c r="R739" s="16">
        <f>IF($C739="","",IFERROR(IF(INDEX(Deals!$U$2:$U$355,MATCH($C739,Deals!$A$2:$A$355,0))=0,"",INDEX(Deals!$U$2:$U$355,MATCH($C739,Deals!$A$2:$A$355,0))),""))</f>
        <v/>
      </c>
      <c r="S739" s="34">
        <f>IFERROR(IF($U739="",1,INDEX(Deals!$V$2:$V$355,MATCH($C739,Deals!$A$2:$A$355,0))),1)</f>
        <v/>
      </c>
      <c r="T739" s="34">
        <f>IFERROR(IF($U739="",1,INDEX(Deals!$W$2:$W$355,MATCH($C739,Deals!$A$2:$A$355,0))),1)</f>
        <v/>
      </c>
      <c r="U739" s="22">
        <f>IF($C739="","",IFERROR(IF(INDEX(Deals!$Y$2:$Y$355,MATCH($C739,Deals!$A$2:$A$355,0))=0,"",INDEX(Deals!$Y$2:$Y$355,MATCH($C739,Deals!$A$2:$A$355,0))),""))</f>
        <v/>
      </c>
      <c r="V739" s="35">
        <f>IF(OR($U739&lt;&gt;"",AND($AO739&gt;0,$L739&lt;&gt;"",$M739&lt;&gt;"")),$N739,DATE(1900,1,1))</f>
        <v/>
      </c>
      <c r="W739" s="35">
        <f>IF($U739&lt;&gt;"",$U739,IF(AND($AO739&gt;0,$L739&lt;&gt;"",$M739&lt;&gt;""),$O739,DATE(2100,12,31)))</f>
        <v/>
      </c>
      <c r="X739" s="32">
        <f>IF($U739="",$K739,$K739*$S739)</f>
        <v/>
      </c>
      <c r="Y739" s="35">
        <f>IF($U739="",DATE(2100,12,31),$U739+1)</f>
        <v/>
      </c>
      <c r="Z739" s="35">
        <f>IF($U739="",DATE(1900,1,1),$O739)</f>
        <v/>
      </c>
      <c r="AA739" s="32">
        <f>IF($U739="",0,$K739*$T739)</f>
        <v/>
      </c>
      <c r="AB739" s="21">
        <f>IF($C739="",0,IFERROR(INDEX(Deals!$AD$2:$AD$355,MATCH($C739,Deals!$A$2:$A$355,0)),0))</f>
        <v/>
      </c>
      <c r="AC739" s="32">
        <f>IF(Settings!$B$4="Yes",$I739*$AB739,$I739)</f>
        <v/>
      </c>
      <c r="AD739" s="22">
        <f>IF($C739="","",IFERROR(IF(INDEX(Deals!$AE$2:$AE$355,MATCH($C739,Deals!$A$2:$A$355,0))=0,"",INDEX(Deals!$AE$2:$AE$355,MATCH($C739,Deals!$A$2:$A$355,0))),""))</f>
        <v/>
      </c>
      <c r="AE739" s="22">
        <f>IF($C739="","",IFERROR(IF(INDEX(Deals!$AF$2:$AF$355,MATCH($C739,Deals!$A$2:$A$355,0))=0,"",INDEX(Deals!$AF$2:$AF$355,MATCH($C739,Deals!$A$2:$A$355,0))),""))</f>
        <v/>
      </c>
      <c r="AF739" s="35">
        <f>IF($AD739="",DATE(1900,1,1),$AD739)</f>
        <v/>
      </c>
      <c r="AG739" s="35">
        <f>IF($AE739="",DATE(2100,12,31),$AE739)</f>
        <v/>
      </c>
      <c r="AH739" s="22">
        <f>IF($C739="","",IFERROR(IF(INDEX(Deals!$AG$2:$AG$355,MATCH($C739,Deals!$A$2:$A$355,0))=0,"",INDEX(Deals!$AG$2:$AG$355,MATCH($C739,Deals!$A$2:$A$355,0))),""))</f>
        <v/>
      </c>
      <c r="AI739" s="35">
        <f>IF(OR($AH739&lt;&gt;"",AND($AO739&gt;0,$AD739&lt;&gt;"",$AE739&lt;&gt;"")),$AF739,DATE(1900,1,1))</f>
        <v/>
      </c>
      <c r="AJ739" s="35">
        <f>IF($AH739&lt;&gt;"",$AH739,IF(AND($AO739&gt;0,$AD739&lt;&gt;"",$AE739&lt;&gt;""),$AG739,DATE(2100,12,31)))</f>
        <v/>
      </c>
      <c r="AK739" s="32">
        <f>IF($AH739="",$AC739,$AC739*$S739)</f>
        <v/>
      </c>
      <c r="AL739" s="35">
        <f>IF($AH739="",DATE(2100,12,31),$AH739+1)</f>
        <v/>
      </c>
      <c r="AM739" s="35">
        <f>IF($AH739="",DATE(1900,1,1),$AG739)</f>
        <v/>
      </c>
      <c r="AN739" s="32">
        <f>IF($AH739="",0,$AC739*$T739)</f>
        <v/>
      </c>
      <c r="AO739" s="46">
        <f>IF($C739="",0,IFERROR(INDEX(Deals!$BD$2:$BD$355,MATCH($C739,Deals!$A$2:$A$355,0)),0))</f>
        <v/>
      </c>
      <c r="AP739" s="18">
        <f>IF($AO739=0,0,IFERROR(INDEX(Deals!$BJ$2:$BP$355,MATCH($C739,Deals!$A$2:$A$355,0),MATCH($F739,Deals!$BJ$1:$BP$1,0))/COUNTIFS(Assignments!$C$2:$C$769,$C739,Assignments!$F$2:$F$769,$F739,Assignments!$G$2:$G$769,"Active"),0))</f>
        <v/>
      </c>
    </row>
    <row r="740">
      <c r="A740" s="31" t="n"/>
      <c r="B740" s="16">
        <f>IF($A740="","",IFERROR(INDEX(Roster!$B$2:$B$40,MATCH($A740,Roster!$A$2:$A$40,0)),"?"))</f>
        <v/>
      </c>
      <c r="C740" s="31" t="n"/>
      <c r="D740" s="16">
        <f>IF($C740="","",IFERROR(IF(INDEX(Deals!$C$2:$C$355,MATCH($C740,Deals!$A$2:$A$355,0))=0,"",INDEX(Deals!$C$2:$C$355,MATCH($C740,Deals!$A$2:$A$355,0))),"?"))</f>
        <v/>
      </c>
      <c r="E740" s="16">
        <f>IF($C740="","",IFERROR(INDEX(Deals!$F$2:$F$355,MATCH($C740,Deals!$A$2:$A$355,0)),"?"))</f>
        <v/>
      </c>
      <c r="F740" s="31" t="n"/>
      <c r="G740" s="31" t="n"/>
      <c r="H740" s="31" t="n"/>
      <c r="I740" s="32">
        <f>IF(OR($A740="",$G740&lt;&gt;"Active"),0,IF($H740&lt;&gt;"",$H740,IF($AO740&gt;0,$AP740,IF(AND($R740&lt;&gt;"",IFERROR(INDEX(Templates!$B$3:$H$10,MATCH($R740,Templates!$A$3:$A$10,0),MATCH($F740,Templates!$B$2:$H$2,0)),0)&gt;0),INDEX(Templates!$B$3:$H$10,MATCH($R740,Templates!$A$3:$A$10,0),MATCH($F740,Templates!$B$2:$H$2,0)),IFERROR(INDEX(Settings!$B$8:$B$14,MATCH($F740,Settings!$A$8:$A$14,0)),0)))))</f>
        <v/>
      </c>
      <c r="J740" s="21">
        <f>IF($C740="",0,IFERROR(INDEX(Deals!$H$2:$H$355,MATCH($C740,Deals!$A$2:$A$355,0)),0))</f>
        <v/>
      </c>
      <c r="K740" s="32">
        <f>IF(Settings!$B$4="Yes",$I740*$J740,$I740)</f>
        <v/>
      </c>
      <c r="L740" s="22">
        <f>IF($C740="","",IFERROR(IF(INDEX(Deals!$I$2:$I$355,MATCH($C740,Deals!$A$2:$A$355,0))=0,"",INDEX(Deals!$I$2:$I$355,MATCH($C740,Deals!$A$2:$A$355,0))),""))</f>
        <v/>
      </c>
      <c r="M740" s="22">
        <f>IF($C740="","",IFERROR(IF(INDEX(Deals!$J$2:$J$355,MATCH($C740,Deals!$A$2:$A$355,0))=0,"",INDEX(Deals!$J$2:$J$355,MATCH($C740,Deals!$A$2:$A$355,0))),""))</f>
        <v/>
      </c>
      <c r="N740" s="35">
        <f>IF($L740="",DATE(1900,1,1),$L740)</f>
        <v/>
      </c>
      <c r="O740" s="35">
        <f>IF($M740="",DATE(2100,12,31),$M740)</f>
        <v/>
      </c>
      <c r="P740" s="44" t="n"/>
      <c r="Q740" s="31" t="n"/>
      <c r="R740" s="16">
        <f>IF($C740="","",IFERROR(IF(INDEX(Deals!$U$2:$U$355,MATCH($C740,Deals!$A$2:$A$355,0))=0,"",INDEX(Deals!$U$2:$U$355,MATCH($C740,Deals!$A$2:$A$355,0))),""))</f>
        <v/>
      </c>
      <c r="S740" s="34">
        <f>IFERROR(IF($U740="",1,INDEX(Deals!$V$2:$V$355,MATCH($C740,Deals!$A$2:$A$355,0))),1)</f>
        <v/>
      </c>
      <c r="T740" s="34">
        <f>IFERROR(IF($U740="",1,INDEX(Deals!$W$2:$W$355,MATCH($C740,Deals!$A$2:$A$355,0))),1)</f>
        <v/>
      </c>
      <c r="U740" s="22">
        <f>IF($C740="","",IFERROR(IF(INDEX(Deals!$Y$2:$Y$355,MATCH($C740,Deals!$A$2:$A$355,0))=0,"",INDEX(Deals!$Y$2:$Y$355,MATCH($C740,Deals!$A$2:$A$355,0))),""))</f>
        <v/>
      </c>
      <c r="V740" s="35">
        <f>IF(OR($U740&lt;&gt;"",AND($AO740&gt;0,$L740&lt;&gt;"",$M740&lt;&gt;"")),$N740,DATE(1900,1,1))</f>
        <v/>
      </c>
      <c r="W740" s="35">
        <f>IF($U740&lt;&gt;"",$U740,IF(AND($AO740&gt;0,$L740&lt;&gt;"",$M740&lt;&gt;""),$O740,DATE(2100,12,31)))</f>
        <v/>
      </c>
      <c r="X740" s="32">
        <f>IF($U740="",$K740,$K740*$S740)</f>
        <v/>
      </c>
      <c r="Y740" s="35">
        <f>IF($U740="",DATE(2100,12,31),$U740+1)</f>
        <v/>
      </c>
      <c r="Z740" s="35">
        <f>IF($U740="",DATE(1900,1,1),$O740)</f>
        <v/>
      </c>
      <c r="AA740" s="32">
        <f>IF($U740="",0,$K740*$T740)</f>
        <v/>
      </c>
      <c r="AB740" s="21">
        <f>IF($C740="",0,IFERROR(INDEX(Deals!$AD$2:$AD$355,MATCH($C740,Deals!$A$2:$A$355,0)),0))</f>
        <v/>
      </c>
      <c r="AC740" s="32">
        <f>IF(Settings!$B$4="Yes",$I740*$AB740,$I740)</f>
        <v/>
      </c>
      <c r="AD740" s="22">
        <f>IF($C740="","",IFERROR(IF(INDEX(Deals!$AE$2:$AE$355,MATCH($C740,Deals!$A$2:$A$355,0))=0,"",INDEX(Deals!$AE$2:$AE$355,MATCH($C740,Deals!$A$2:$A$355,0))),""))</f>
        <v/>
      </c>
      <c r="AE740" s="22">
        <f>IF($C740="","",IFERROR(IF(INDEX(Deals!$AF$2:$AF$355,MATCH($C740,Deals!$A$2:$A$355,0))=0,"",INDEX(Deals!$AF$2:$AF$355,MATCH($C740,Deals!$A$2:$A$355,0))),""))</f>
        <v/>
      </c>
      <c r="AF740" s="35">
        <f>IF($AD740="",DATE(1900,1,1),$AD740)</f>
        <v/>
      </c>
      <c r="AG740" s="35">
        <f>IF($AE740="",DATE(2100,12,31),$AE740)</f>
        <v/>
      </c>
      <c r="AH740" s="22">
        <f>IF($C740="","",IFERROR(IF(INDEX(Deals!$AG$2:$AG$355,MATCH($C740,Deals!$A$2:$A$355,0))=0,"",INDEX(Deals!$AG$2:$AG$355,MATCH($C740,Deals!$A$2:$A$355,0))),""))</f>
        <v/>
      </c>
      <c r="AI740" s="35">
        <f>IF(OR($AH740&lt;&gt;"",AND($AO740&gt;0,$AD740&lt;&gt;"",$AE740&lt;&gt;"")),$AF740,DATE(1900,1,1))</f>
        <v/>
      </c>
      <c r="AJ740" s="35">
        <f>IF($AH740&lt;&gt;"",$AH740,IF(AND($AO740&gt;0,$AD740&lt;&gt;"",$AE740&lt;&gt;""),$AG740,DATE(2100,12,31)))</f>
        <v/>
      </c>
      <c r="AK740" s="32">
        <f>IF($AH740="",$AC740,$AC740*$S740)</f>
        <v/>
      </c>
      <c r="AL740" s="35">
        <f>IF($AH740="",DATE(2100,12,31),$AH740+1)</f>
        <v/>
      </c>
      <c r="AM740" s="35">
        <f>IF($AH740="",DATE(1900,1,1),$AG740)</f>
        <v/>
      </c>
      <c r="AN740" s="32">
        <f>IF($AH740="",0,$AC740*$T740)</f>
        <v/>
      </c>
      <c r="AO740" s="46">
        <f>IF($C740="",0,IFERROR(INDEX(Deals!$BD$2:$BD$355,MATCH($C740,Deals!$A$2:$A$355,0)),0))</f>
        <v/>
      </c>
      <c r="AP740" s="18">
        <f>IF($AO740=0,0,IFERROR(INDEX(Deals!$BJ$2:$BP$355,MATCH($C740,Deals!$A$2:$A$355,0),MATCH($F740,Deals!$BJ$1:$BP$1,0))/COUNTIFS(Assignments!$C$2:$C$769,$C740,Assignments!$F$2:$F$769,$F740,Assignments!$G$2:$G$769,"Active"),0))</f>
        <v/>
      </c>
    </row>
    <row r="741">
      <c r="A741" s="31" t="n"/>
      <c r="B741" s="16">
        <f>IF($A741="","",IFERROR(INDEX(Roster!$B$2:$B$40,MATCH($A741,Roster!$A$2:$A$40,0)),"?"))</f>
        <v/>
      </c>
      <c r="C741" s="31" t="n"/>
      <c r="D741" s="16">
        <f>IF($C741="","",IFERROR(IF(INDEX(Deals!$C$2:$C$355,MATCH($C741,Deals!$A$2:$A$355,0))=0,"",INDEX(Deals!$C$2:$C$355,MATCH($C741,Deals!$A$2:$A$355,0))),"?"))</f>
        <v/>
      </c>
      <c r="E741" s="16">
        <f>IF($C741="","",IFERROR(INDEX(Deals!$F$2:$F$355,MATCH($C741,Deals!$A$2:$A$355,0)),"?"))</f>
        <v/>
      </c>
      <c r="F741" s="31" t="n"/>
      <c r="G741" s="31" t="n"/>
      <c r="H741" s="31" t="n"/>
      <c r="I741" s="32">
        <f>IF(OR($A741="",$G741&lt;&gt;"Active"),0,IF($H741&lt;&gt;"",$H741,IF($AO741&gt;0,$AP741,IF(AND($R741&lt;&gt;"",IFERROR(INDEX(Templates!$B$3:$H$10,MATCH($R741,Templates!$A$3:$A$10,0),MATCH($F741,Templates!$B$2:$H$2,0)),0)&gt;0),INDEX(Templates!$B$3:$H$10,MATCH($R741,Templates!$A$3:$A$10,0),MATCH($F741,Templates!$B$2:$H$2,0)),IFERROR(INDEX(Settings!$B$8:$B$14,MATCH($F741,Settings!$A$8:$A$14,0)),0)))))</f>
        <v/>
      </c>
      <c r="J741" s="21">
        <f>IF($C741="",0,IFERROR(INDEX(Deals!$H$2:$H$355,MATCH($C741,Deals!$A$2:$A$355,0)),0))</f>
        <v/>
      </c>
      <c r="K741" s="32">
        <f>IF(Settings!$B$4="Yes",$I741*$J741,$I741)</f>
        <v/>
      </c>
      <c r="L741" s="22">
        <f>IF($C741="","",IFERROR(IF(INDEX(Deals!$I$2:$I$355,MATCH($C741,Deals!$A$2:$A$355,0))=0,"",INDEX(Deals!$I$2:$I$355,MATCH($C741,Deals!$A$2:$A$355,0))),""))</f>
        <v/>
      </c>
      <c r="M741" s="22">
        <f>IF($C741="","",IFERROR(IF(INDEX(Deals!$J$2:$J$355,MATCH($C741,Deals!$A$2:$A$355,0))=0,"",INDEX(Deals!$J$2:$J$355,MATCH($C741,Deals!$A$2:$A$355,0))),""))</f>
        <v/>
      </c>
      <c r="N741" s="35">
        <f>IF($L741="",DATE(1900,1,1),$L741)</f>
        <v/>
      </c>
      <c r="O741" s="35">
        <f>IF($M741="",DATE(2100,12,31),$M741)</f>
        <v/>
      </c>
      <c r="P741" s="44" t="n"/>
      <c r="Q741" s="31" t="n"/>
      <c r="R741" s="16">
        <f>IF($C741="","",IFERROR(IF(INDEX(Deals!$U$2:$U$355,MATCH($C741,Deals!$A$2:$A$355,0))=0,"",INDEX(Deals!$U$2:$U$355,MATCH($C741,Deals!$A$2:$A$355,0))),""))</f>
        <v/>
      </c>
      <c r="S741" s="34">
        <f>IFERROR(IF($U741="",1,INDEX(Deals!$V$2:$V$355,MATCH($C741,Deals!$A$2:$A$355,0))),1)</f>
        <v/>
      </c>
      <c r="T741" s="34">
        <f>IFERROR(IF($U741="",1,INDEX(Deals!$W$2:$W$355,MATCH($C741,Deals!$A$2:$A$355,0))),1)</f>
        <v/>
      </c>
      <c r="U741" s="22">
        <f>IF($C741="","",IFERROR(IF(INDEX(Deals!$Y$2:$Y$355,MATCH($C741,Deals!$A$2:$A$355,0))=0,"",INDEX(Deals!$Y$2:$Y$355,MATCH($C741,Deals!$A$2:$A$355,0))),""))</f>
        <v/>
      </c>
      <c r="V741" s="35">
        <f>IF(OR($U741&lt;&gt;"",AND($AO741&gt;0,$L741&lt;&gt;"",$M741&lt;&gt;"")),$N741,DATE(1900,1,1))</f>
        <v/>
      </c>
      <c r="W741" s="35">
        <f>IF($U741&lt;&gt;"",$U741,IF(AND($AO741&gt;0,$L741&lt;&gt;"",$M741&lt;&gt;""),$O741,DATE(2100,12,31)))</f>
        <v/>
      </c>
      <c r="X741" s="32">
        <f>IF($U741="",$K741,$K741*$S741)</f>
        <v/>
      </c>
      <c r="Y741" s="35">
        <f>IF($U741="",DATE(2100,12,31),$U741+1)</f>
        <v/>
      </c>
      <c r="Z741" s="35">
        <f>IF($U741="",DATE(1900,1,1),$O741)</f>
        <v/>
      </c>
      <c r="AA741" s="32">
        <f>IF($U741="",0,$K741*$T741)</f>
        <v/>
      </c>
      <c r="AB741" s="21">
        <f>IF($C741="",0,IFERROR(INDEX(Deals!$AD$2:$AD$355,MATCH($C741,Deals!$A$2:$A$355,0)),0))</f>
        <v/>
      </c>
      <c r="AC741" s="32">
        <f>IF(Settings!$B$4="Yes",$I741*$AB741,$I741)</f>
        <v/>
      </c>
      <c r="AD741" s="22">
        <f>IF($C741="","",IFERROR(IF(INDEX(Deals!$AE$2:$AE$355,MATCH($C741,Deals!$A$2:$A$355,0))=0,"",INDEX(Deals!$AE$2:$AE$355,MATCH($C741,Deals!$A$2:$A$355,0))),""))</f>
        <v/>
      </c>
      <c r="AE741" s="22">
        <f>IF($C741="","",IFERROR(IF(INDEX(Deals!$AF$2:$AF$355,MATCH($C741,Deals!$A$2:$A$355,0))=0,"",INDEX(Deals!$AF$2:$AF$355,MATCH($C741,Deals!$A$2:$A$355,0))),""))</f>
        <v/>
      </c>
      <c r="AF741" s="35">
        <f>IF($AD741="",DATE(1900,1,1),$AD741)</f>
        <v/>
      </c>
      <c r="AG741" s="35">
        <f>IF($AE741="",DATE(2100,12,31),$AE741)</f>
        <v/>
      </c>
      <c r="AH741" s="22">
        <f>IF($C741="","",IFERROR(IF(INDEX(Deals!$AG$2:$AG$355,MATCH($C741,Deals!$A$2:$A$355,0))=0,"",INDEX(Deals!$AG$2:$AG$355,MATCH($C741,Deals!$A$2:$A$355,0))),""))</f>
        <v/>
      </c>
      <c r="AI741" s="35">
        <f>IF(OR($AH741&lt;&gt;"",AND($AO741&gt;0,$AD741&lt;&gt;"",$AE741&lt;&gt;"")),$AF741,DATE(1900,1,1))</f>
        <v/>
      </c>
      <c r="AJ741" s="35">
        <f>IF($AH741&lt;&gt;"",$AH741,IF(AND($AO741&gt;0,$AD741&lt;&gt;"",$AE741&lt;&gt;""),$AG741,DATE(2100,12,31)))</f>
        <v/>
      </c>
      <c r="AK741" s="32">
        <f>IF($AH741="",$AC741,$AC741*$S741)</f>
        <v/>
      </c>
      <c r="AL741" s="35">
        <f>IF($AH741="",DATE(2100,12,31),$AH741+1)</f>
        <v/>
      </c>
      <c r="AM741" s="35">
        <f>IF($AH741="",DATE(1900,1,1),$AG741)</f>
        <v/>
      </c>
      <c r="AN741" s="32">
        <f>IF($AH741="",0,$AC741*$T741)</f>
        <v/>
      </c>
      <c r="AO741" s="46">
        <f>IF($C741="",0,IFERROR(INDEX(Deals!$BD$2:$BD$355,MATCH($C741,Deals!$A$2:$A$355,0)),0))</f>
        <v/>
      </c>
      <c r="AP741" s="18">
        <f>IF($AO741=0,0,IFERROR(INDEX(Deals!$BJ$2:$BP$355,MATCH($C741,Deals!$A$2:$A$355,0),MATCH($F741,Deals!$BJ$1:$BP$1,0))/COUNTIFS(Assignments!$C$2:$C$769,$C741,Assignments!$F$2:$F$769,$F741,Assignments!$G$2:$G$769,"Active"),0))</f>
        <v/>
      </c>
    </row>
    <row r="742">
      <c r="A742" s="31" t="n"/>
      <c r="B742" s="16">
        <f>IF($A742="","",IFERROR(INDEX(Roster!$B$2:$B$40,MATCH($A742,Roster!$A$2:$A$40,0)),"?"))</f>
        <v/>
      </c>
      <c r="C742" s="31" t="n"/>
      <c r="D742" s="16">
        <f>IF($C742="","",IFERROR(IF(INDEX(Deals!$C$2:$C$355,MATCH($C742,Deals!$A$2:$A$355,0))=0,"",INDEX(Deals!$C$2:$C$355,MATCH($C742,Deals!$A$2:$A$355,0))),"?"))</f>
        <v/>
      </c>
      <c r="E742" s="16">
        <f>IF($C742="","",IFERROR(INDEX(Deals!$F$2:$F$355,MATCH($C742,Deals!$A$2:$A$355,0)),"?"))</f>
        <v/>
      </c>
      <c r="F742" s="31" t="n"/>
      <c r="G742" s="31" t="n"/>
      <c r="H742" s="31" t="n"/>
      <c r="I742" s="32">
        <f>IF(OR($A742="",$G742&lt;&gt;"Active"),0,IF($H742&lt;&gt;"",$H742,IF($AO742&gt;0,$AP742,IF(AND($R742&lt;&gt;"",IFERROR(INDEX(Templates!$B$3:$H$10,MATCH($R742,Templates!$A$3:$A$10,0),MATCH($F742,Templates!$B$2:$H$2,0)),0)&gt;0),INDEX(Templates!$B$3:$H$10,MATCH($R742,Templates!$A$3:$A$10,0),MATCH($F742,Templates!$B$2:$H$2,0)),IFERROR(INDEX(Settings!$B$8:$B$14,MATCH($F742,Settings!$A$8:$A$14,0)),0)))))</f>
        <v/>
      </c>
      <c r="J742" s="21">
        <f>IF($C742="",0,IFERROR(INDEX(Deals!$H$2:$H$355,MATCH($C742,Deals!$A$2:$A$355,0)),0))</f>
        <v/>
      </c>
      <c r="K742" s="32">
        <f>IF(Settings!$B$4="Yes",$I742*$J742,$I742)</f>
        <v/>
      </c>
      <c r="L742" s="22">
        <f>IF($C742="","",IFERROR(IF(INDEX(Deals!$I$2:$I$355,MATCH($C742,Deals!$A$2:$A$355,0))=0,"",INDEX(Deals!$I$2:$I$355,MATCH($C742,Deals!$A$2:$A$355,0))),""))</f>
        <v/>
      </c>
      <c r="M742" s="22">
        <f>IF($C742="","",IFERROR(IF(INDEX(Deals!$J$2:$J$355,MATCH($C742,Deals!$A$2:$A$355,0))=0,"",INDEX(Deals!$J$2:$J$355,MATCH($C742,Deals!$A$2:$A$355,0))),""))</f>
        <v/>
      </c>
      <c r="N742" s="35">
        <f>IF($L742="",DATE(1900,1,1),$L742)</f>
        <v/>
      </c>
      <c r="O742" s="35">
        <f>IF($M742="",DATE(2100,12,31),$M742)</f>
        <v/>
      </c>
      <c r="P742" s="44" t="n"/>
      <c r="Q742" s="31" t="n"/>
      <c r="R742" s="16">
        <f>IF($C742="","",IFERROR(IF(INDEX(Deals!$U$2:$U$355,MATCH($C742,Deals!$A$2:$A$355,0))=0,"",INDEX(Deals!$U$2:$U$355,MATCH($C742,Deals!$A$2:$A$355,0))),""))</f>
        <v/>
      </c>
      <c r="S742" s="34">
        <f>IFERROR(IF($U742="",1,INDEX(Deals!$V$2:$V$355,MATCH($C742,Deals!$A$2:$A$355,0))),1)</f>
        <v/>
      </c>
      <c r="T742" s="34">
        <f>IFERROR(IF($U742="",1,INDEX(Deals!$W$2:$W$355,MATCH($C742,Deals!$A$2:$A$355,0))),1)</f>
        <v/>
      </c>
      <c r="U742" s="22">
        <f>IF($C742="","",IFERROR(IF(INDEX(Deals!$Y$2:$Y$355,MATCH($C742,Deals!$A$2:$A$355,0))=0,"",INDEX(Deals!$Y$2:$Y$355,MATCH($C742,Deals!$A$2:$A$355,0))),""))</f>
        <v/>
      </c>
      <c r="V742" s="35">
        <f>IF(OR($U742&lt;&gt;"",AND($AO742&gt;0,$L742&lt;&gt;"",$M742&lt;&gt;"")),$N742,DATE(1900,1,1))</f>
        <v/>
      </c>
      <c r="W742" s="35">
        <f>IF($U742&lt;&gt;"",$U742,IF(AND($AO742&gt;0,$L742&lt;&gt;"",$M742&lt;&gt;""),$O742,DATE(2100,12,31)))</f>
        <v/>
      </c>
      <c r="X742" s="32">
        <f>IF($U742="",$K742,$K742*$S742)</f>
        <v/>
      </c>
      <c r="Y742" s="35">
        <f>IF($U742="",DATE(2100,12,31),$U742+1)</f>
        <v/>
      </c>
      <c r="Z742" s="35">
        <f>IF($U742="",DATE(1900,1,1),$O742)</f>
        <v/>
      </c>
      <c r="AA742" s="32">
        <f>IF($U742="",0,$K742*$T742)</f>
        <v/>
      </c>
      <c r="AB742" s="21">
        <f>IF($C742="",0,IFERROR(INDEX(Deals!$AD$2:$AD$355,MATCH($C742,Deals!$A$2:$A$355,0)),0))</f>
        <v/>
      </c>
      <c r="AC742" s="32">
        <f>IF(Settings!$B$4="Yes",$I742*$AB742,$I742)</f>
        <v/>
      </c>
      <c r="AD742" s="22">
        <f>IF($C742="","",IFERROR(IF(INDEX(Deals!$AE$2:$AE$355,MATCH($C742,Deals!$A$2:$A$355,0))=0,"",INDEX(Deals!$AE$2:$AE$355,MATCH($C742,Deals!$A$2:$A$355,0))),""))</f>
        <v/>
      </c>
      <c r="AE742" s="22">
        <f>IF($C742="","",IFERROR(IF(INDEX(Deals!$AF$2:$AF$355,MATCH($C742,Deals!$A$2:$A$355,0))=0,"",INDEX(Deals!$AF$2:$AF$355,MATCH($C742,Deals!$A$2:$A$355,0))),""))</f>
        <v/>
      </c>
      <c r="AF742" s="35">
        <f>IF($AD742="",DATE(1900,1,1),$AD742)</f>
        <v/>
      </c>
      <c r="AG742" s="35">
        <f>IF($AE742="",DATE(2100,12,31),$AE742)</f>
        <v/>
      </c>
      <c r="AH742" s="22">
        <f>IF($C742="","",IFERROR(IF(INDEX(Deals!$AG$2:$AG$355,MATCH($C742,Deals!$A$2:$A$355,0))=0,"",INDEX(Deals!$AG$2:$AG$355,MATCH($C742,Deals!$A$2:$A$355,0))),""))</f>
        <v/>
      </c>
      <c r="AI742" s="35">
        <f>IF(OR($AH742&lt;&gt;"",AND($AO742&gt;0,$AD742&lt;&gt;"",$AE742&lt;&gt;"")),$AF742,DATE(1900,1,1))</f>
        <v/>
      </c>
      <c r="AJ742" s="35">
        <f>IF($AH742&lt;&gt;"",$AH742,IF(AND($AO742&gt;0,$AD742&lt;&gt;"",$AE742&lt;&gt;""),$AG742,DATE(2100,12,31)))</f>
        <v/>
      </c>
      <c r="AK742" s="32">
        <f>IF($AH742="",$AC742,$AC742*$S742)</f>
        <v/>
      </c>
      <c r="AL742" s="35">
        <f>IF($AH742="",DATE(2100,12,31),$AH742+1)</f>
        <v/>
      </c>
      <c r="AM742" s="35">
        <f>IF($AH742="",DATE(1900,1,1),$AG742)</f>
        <v/>
      </c>
      <c r="AN742" s="32">
        <f>IF($AH742="",0,$AC742*$T742)</f>
        <v/>
      </c>
      <c r="AO742" s="46">
        <f>IF($C742="",0,IFERROR(INDEX(Deals!$BD$2:$BD$355,MATCH($C742,Deals!$A$2:$A$355,0)),0))</f>
        <v/>
      </c>
      <c r="AP742" s="18">
        <f>IF($AO742=0,0,IFERROR(INDEX(Deals!$BJ$2:$BP$355,MATCH($C742,Deals!$A$2:$A$355,0),MATCH($F742,Deals!$BJ$1:$BP$1,0))/COUNTIFS(Assignments!$C$2:$C$769,$C742,Assignments!$F$2:$F$769,$F742,Assignments!$G$2:$G$769,"Active"),0))</f>
        <v/>
      </c>
    </row>
    <row r="743">
      <c r="A743" s="31" t="n"/>
      <c r="B743" s="16">
        <f>IF($A743="","",IFERROR(INDEX(Roster!$B$2:$B$40,MATCH($A743,Roster!$A$2:$A$40,0)),"?"))</f>
        <v/>
      </c>
      <c r="C743" s="31" t="n"/>
      <c r="D743" s="16">
        <f>IF($C743="","",IFERROR(IF(INDEX(Deals!$C$2:$C$355,MATCH($C743,Deals!$A$2:$A$355,0))=0,"",INDEX(Deals!$C$2:$C$355,MATCH($C743,Deals!$A$2:$A$355,0))),"?"))</f>
        <v/>
      </c>
      <c r="E743" s="16">
        <f>IF($C743="","",IFERROR(INDEX(Deals!$F$2:$F$355,MATCH($C743,Deals!$A$2:$A$355,0)),"?"))</f>
        <v/>
      </c>
      <c r="F743" s="31" t="n"/>
      <c r="G743" s="31" t="n"/>
      <c r="H743" s="31" t="n"/>
      <c r="I743" s="32">
        <f>IF(OR($A743="",$G743&lt;&gt;"Active"),0,IF($H743&lt;&gt;"",$H743,IF($AO743&gt;0,$AP743,IF(AND($R743&lt;&gt;"",IFERROR(INDEX(Templates!$B$3:$H$10,MATCH($R743,Templates!$A$3:$A$10,0),MATCH($F743,Templates!$B$2:$H$2,0)),0)&gt;0),INDEX(Templates!$B$3:$H$10,MATCH($R743,Templates!$A$3:$A$10,0),MATCH($F743,Templates!$B$2:$H$2,0)),IFERROR(INDEX(Settings!$B$8:$B$14,MATCH($F743,Settings!$A$8:$A$14,0)),0)))))</f>
        <v/>
      </c>
      <c r="J743" s="21">
        <f>IF($C743="",0,IFERROR(INDEX(Deals!$H$2:$H$355,MATCH($C743,Deals!$A$2:$A$355,0)),0))</f>
        <v/>
      </c>
      <c r="K743" s="32">
        <f>IF(Settings!$B$4="Yes",$I743*$J743,$I743)</f>
        <v/>
      </c>
      <c r="L743" s="22">
        <f>IF($C743="","",IFERROR(IF(INDEX(Deals!$I$2:$I$355,MATCH($C743,Deals!$A$2:$A$355,0))=0,"",INDEX(Deals!$I$2:$I$355,MATCH($C743,Deals!$A$2:$A$355,0))),""))</f>
        <v/>
      </c>
      <c r="M743" s="22">
        <f>IF($C743="","",IFERROR(IF(INDEX(Deals!$J$2:$J$355,MATCH($C743,Deals!$A$2:$A$355,0))=0,"",INDEX(Deals!$J$2:$J$355,MATCH($C743,Deals!$A$2:$A$355,0))),""))</f>
        <v/>
      </c>
      <c r="N743" s="35">
        <f>IF($L743="",DATE(1900,1,1),$L743)</f>
        <v/>
      </c>
      <c r="O743" s="35">
        <f>IF($M743="",DATE(2100,12,31),$M743)</f>
        <v/>
      </c>
      <c r="P743" s="44" t="n"/>
      <c r="Q743" s="31" t="n"/>
      <c r="R743" s="16">
        <f>IF($C743="","",IFERROR(IF(INDEX(Deals!$U$2:$U$355,MATCH($C743,Deals!$A$2:$A$355,0))=0,"",INDEX(Deals!$U$2:$U$355,MATCH($C743,Deals!$A$2:$A$355,0))),""))</f>
        <v/>
      </c>
      <c r="S743" s="34">
        <f>IFERROR(IF($U743="",1,INDEX(Deals!$V$2:$V$355,MATCH($C743,Deals!$A$2:$A$355,0))),1)</f>
        <v/>
      </c>
      <c r="T743" s="34">
        <f>IFERROR(IF($U743="",1,INDEX(Deals!$W$2:$W$355,MATCH($C743,Deals!$A$2:$A$355,0))),1)</f>
        <v/>
      </c>
      <c r="U743" s="22">
        <f>IF($C743="","",IFERROR(IF(INDEX(Deals!$Y$2:$Y$355,MATCH($C743,Deals!$A$2:$A$355,0))=0,"",INDEX(Deals!$Y$2:$Y$355,MATCH($C743,Deals!$A$2:$A$355,0))),""))</f>
        <v/>
      </c>
      <c r="V743" s="35">
        <f>IF(OR($U743&lt;&gt;"",AND($AO743&gt;0,$L743&lt;&gt;"",$M743&lt;&gt;"")),$N743,DATE(1900,1,1))</f>
        <v/>
      </c>
      <c r="W743" s="35">
        <f>IF($U743&lt;&gt;"",$U743,IF(AND($AO743&gt;0,$L743&lt;&gt;"",$M743&lt;&gt;""),$O743,DATE(2100,12,31)))</f>
        <v/>
      </c>
      <c r="X743" s="32">
        <f>IF($U743="",$K743,$K743*$S743)</f>
        <v/>
      </c>
      <c r="Y743" s="35">
        <f>IF($U743="",DATE(2100,12,31),$U743+1)</f>
        <v/>
      </c>
      <c r="Z743" s="35">
        <f>IF($U743="",DATE(1900,1,1),$O743)</f>
        <v/>
      </c>
      <c r="AA743" s="32">
        <f>IF($U743="",0,$K743*$T743)</f>
        <v/>
      </c>
      <c r="AB743" s="21">
        <f>IF($C743="",0,IFERROR(INDEX(Deals!$AD$2:$AD$355,MATCH($C743,Deals!$A$2:$A$355,0)),0))</f>
        <v/>
      </c>
      <c r="AC743" s="32">
        <f>IF(Settings!$B$4="Yes",$I743*$AB743,$I743)</f>
        <v/>
      </c>
      <c r="AD743" s="22">
        <f>IF($C743="","",IFERROR(IF(INDEX(Deals!$AE$2:$AE$355,MATCH($C743,Deals!$A$2:$A$355,0))=0,"",INDEX(Deals!$AE$2:$AE$355,MATCH($C743,Deals!$A$2:$A$355,0))),""))</f>
        <v/>
      </c>
      <c r="AE743" s="22">
        <f>IF($C743="","",IFERROR(IF(INDEX(Deals!$AF$2:$AF$355,MATCH($C743,Deals!$A$2:$A$355,0))=0,"",INDEX(Deals!$AF$2:$AF$355,MATCH($C743,Deals!$A$2:$A$355,0))),""))</f>
        <v/>
      </c>
      <c r="AF743" s="35">
        <f>IF($AD743="",DATE(1900,1,1),$AD743)</f>
        <v/>
      </c>
      <c r="AG743" s="35">
        <f>IF($AE743="",DATE(2100,12,31),$AE743)</f>
        <v/>
      </c>
      <c r="AH743" s="22">
        <f>IF($C743="","",IFERROR(IF(INDEX(Deals!$AG$2:$AG$355,MATCH($C743,Deals!$A$2:$A$355,0))=0,"",INDEX(Deals!$AG$2:$AG$355,MATCH($C743,Deals!$A$2:$A$355,0))),""))</f>
        <v/>
      </c>
      <c r="AI743" s="35">
        <f>IF(OR($AH743&lt;&gt;"",AND($AO743&gt;0,$AD743&lt;&gt;"",$AE743&lt;&gt;"")),$AF743,DATE(1900,1,1))</f>
        <v/>
      </c>
      <c r="AJ743" s="35">
        <f>IF($AH743&lt;&gt;"",$AH743,IF(AND($AO743&gt;0,$AD743&lt;&gt;"",$AE743&lt;&gt;""),$AG743,DATE(2100,12,31)))</f>
        <v/>
      </c>
      <c r="AK743" s="32">
        <f>IF($AH743="",$AC743,$AC743*$S743)</f>
        <v/>
      </c>
      <c r="AL743" s="35">
        <f>IF($AH743="",DATE(2100,12,31),$AH743+1)</f>
        <v/>
      </c>
      <c r="AM743" s="35">
        <f>IF($AH743="",DATE(1900,1,1),$AG743)</f>
        <v/>
      </c>
      <c r="AN743" s="32">
        <f>IF($AH743="",0,$AC743*$T743)</f>
        <v/>
      </c>
      <c r="AO743" s="46">
        <f>IF($C743="",0,IFERROR(INDEX(Deals!$BD$2:$BD$355,MATCH($C743,Deals!$A$2:$A$355,0)),0))</f>
        <v/>
      </c>
      <c r="AP743" s="18">
        <f>IF($AO743=0,0,IFERROR(INDEX(Deals!$BJ$2:$BP$355,MATCH($C743,Deals!$A$2:$A$355,0),MATCH($F743,Deals!$BJ$1:$BP$1,0))/COUNTIFS(Assignments!$C$2:$C$769,$C743,Assignments!$F$2:$F$769,$F743,Assignments!$G$2:$G$769,"Active"),0))</f>
        <v/>
      </c>
    </row>
    <row r="744">
      <c r="A744" s="31" t="n"/>
      <c r="B744" s="16">
        <f>IF($A744="","",IFERROR(INDEX(Roster!$B$2:$B$40,MATCH($A744,Roster!$A$2:$A$40,0)),"?"))</f>
        <v/>
      </c>
      <c r="C744" s="31" t="n"/>
      <c r="D744" s="16">
        <f>IF($C744="","",IFERROR(IF(INDEX(Deals!$C$2:$C$355,MATCH($C744,Deals!$A$2:$A$355,0))=0,"",INDEX(Deals!$C$2:$C$355,MATCH($C744,Deals!$A$2:$A$355,0))),"?"))</f>
        <v/>
      </c>
      <c r="E744" s="16">
        <f>IF($C744="","",IFERROR(INDEX(Deals!$F$2:$F$355,MATCH($C744,Deals!$A$2:$A$355,0)),"?"))</f>
        <v/>
      </c>
      <c r="F744" s="31" t="n"/>
      <c r="G744" s="31" t="n"/>
      <c r="H744" s="31" t="n"/>
      <c r="I744" s="32">
        <f>IF(OR($A744="",$G744&lt;&gt;"Active"),0,IF($H744&lt;&gt;"",$H744,IF($AO744&gt;0,$AP744,IF(AND($R744&lt;&gt;"",IFERROR(INDEX(Templates!$B$3:$H$10,MATCH($R744,Templates!$A$3:$A$10,0),MATCH($F744,Templates!$B$2:$H$2,0)),0)&gt;0),INDEX(Templates!$B$3:$H$10,MATCH($R744,Templates!$A$3:$A$10,0),MATCH($F744,Templates!$B$2:$H$2,0)),IFERROR(INDEX(Settings!$B$8:$B$14,MATCH($F744,Settings!$A$8:$A$14,0)),0)))))</f>
        <v/>
      </c>
      <c r="J744" s="21">
        <f>IF($C744="",0,IFERROR(INDEX(Deals!$H$2:$H$355,MATCH($C744,Deals!$A$2:$A$355,0)),0))</f>
        <v/>
      </c>
      <c r="K744" s="32">
        <f>IF(Settings!$B$4="Yes",$I744*$J744,$I744)</f>
        <v/>
      </c>
      <c r="L744" s="22">
        <f>IF($C744="","",IFERROR(IF(INDEX(Deals!$I$2:$I$355,MATCH($C744,Deals!$A$2:$A$355,0))=0,"",INDEX(Deals!$I$2:$I$355,MATCH($C744,Deals!$A$2:$A$355,0))),""))</f>
        <v/>
      </c>
      <c r="M744" s="22">
        <f>IF($C744="","",IFERROR(IF(INDEX(Deals!$J$2:$J$355,MATCH($C744,Deals!$A$2:$A$355,0))=0,"",INDEX(Deals!$J$2:$J$355,MATCH($C744,Deals!$A$2:$A$355,0))),""))</f>
        <v/>
      </c>
      <c r="N744" s="35">
        <f>IF($L744="",DATE(1900,1,1),$L744)</f>
        <v/>
      </c>
      <c r="O744" s="35">
        <f>IF($M744="",DATE(2100,12,31),$M744)</f>
        <v/>
      </c>
      <c r="P744" s="44" t="n"/>
      <c r="Q744" s="31" t="n"/>
      <c r="R744" s="16">
        <f>IF($C744="","",IFERROR(IF(INDEX(Deals!$U$2:$U$355,MATCH($C744,Deals!$A$2:$A$355,0))=0,"",INDEX(Deals!$U$2:$U$355,MATCH($C744,Deals!$A$2:$A$355,0))),""))</f>
        <v/>
      </c>
      <c r="S744" s="34">
        <f>IFERROR(IF($U744="",1,INDEX(Deals!$V$2:$V$355,MATCH($C744,Deals!$A$2:$A$355,0))),1)</f>
        <v/>
      </c>
      <c r="T744" s="34">
        <f>IFERROR(IF($U744="",1,INDEX(Deals!$W$2:$W$355,MATCH($C744,Deals!$A$2:$A$355,0))),1)</f>
        <v/>
      </c>
      <c r="U744" s="22">
        <f>IF($C744="","",IFERROR(IF(INDEX(Deals!$Y$2:$Y$355,MATCH($C744,Deals!$A$2:$A$355,0))=0,"",INDEX(Deals!$Y$2:$Y$355,MATCH($C744,Deals!$A$2:$A$355,0))),""))</f>
        <v/>
      </c>
      <c r="V744" s="35">
        <f>IF(OR($U744&lt;&gt;"",AND($AO744&gt;0,$L744&lt;&gt;"",$M744&lt;&gt;"")),$N744,DATE(1900,1,1))</f>
        <v/>
      </c>
      <c r="W744" s="35">
        <f>IF($U744&lt;&gt;"",$U744,IF(AND($AO744&gt;0,$L744&lt;&gt;"",$M744&lt;&gt;""),$O744,DATE(2100,12,31)))</f>
        <v/>
      </c>
      <c r="X744" s="32">
        <f>IF($U744="",$K744,$K744*$S744)</f>
        <v/>
      </c>
      <c r="Y744" s="35">
        <f>IF($U744="",DATE(2100,12,31),$U744+1)</f>
        <v/>
      </c>
      <c r="Z744" s="35">
        <f>IF($U744="",DATE(1900,1,1),$O744)</f>
        <v/>
      </c>
      <c r="AA744" s="32">
        <f>IF($U744="",0,$K744*$T744)</f>
        <v/>
      </c>
      <c r="AB744" s="21">
        <f>IF($C744="",0,IFERROR(INDEX(Deals!$AD$2:$AD$355,MATCH($C744,Deals!$A$2:$A$355,0)),0))</f>
        <v/>
      </c>
      <c r="AC744" s="32">
        <f>IF(Settings!$B$4="Yes",$I744*$AB744,$I744)</f>
        <v/>
      </c>
      <c r="AD744" s="22">
        <f>IF($C744="","",IFERROR(IF(INDEX(Deals!$AE$2:$AE$355,MATCH($C744,Deals!$A$2:$A$355,0))=0,"",INDEX(Deals!$AE$2:$AE$355,MATCH($C744,Deals!$A$2:$A$355,0))),""))</f>
        <v/>
      </c>
      <c r="AE744" s="22">
        <f>IF($C744="","",IFERROR(IF(INDEX(Deals!$AF$2:$AF$355,MATCH($C744,Deals!$A$2:$A$355,0))=0,"",INDEX(Deals!$AF$2:$AF$355,MATCH($C744,Deals!$A$2:$A$355,0))),""))</f>
        <v/>
      </c>
      <c r="AF744" s="35">
        <f>IF($AD744="",DATE(1900,1,1),$AD744)</f>
        <v/>
      </c>
      <c r="AG744" s="35">
        <f>IF($AE744="",DATE(2100,12,31),$AE744)</f>
        <v/>
      </c>
      <c r="AH744" s="22">
        <f>IF($C744="","",IFERROR(IF(INDEX(Deals!$AG$2:$AG$355,MATCH($C744,Deals!$A$2:$A$355,0))=0,"",INDEX(Deals!$AG$2:$AG$355,MATCH($C744,Deals!$A$2:$A$355,0))),""))</f>
        <v/>
      </c>
      <c r="AI744" s="35">
        <f>IF(OR($AH744&lt;&gt;"",AND($AO744&gt;0,$AD744&lt;&gt;"",$AE744&lt;&gt;"")),$AF744,DATE(1900,1,1))</f>
        <v/>
      </c>
      <c r="AJ744" s="35">
        <f>IF($AH744&lt;&gt;"",$AH744,IF(AND($AO744&gt;0,$AD744&lt;&gt;"",$AE744&lt;&gt;""),$AG744,DATE(2100,12,31)))</f>
        <v/>
      </c>
      <c r="AK744" s="32">
        <f>IF($AH744="",$AC744,$AC744*$S744)</f>
        <v/>
      </c>
      <c r="AL744" s="35">
        <f>IF($AH744="",DATE(2100,12,31),$AH744+1)</f>
        <v/>
      </c>
      <c r="AM744" s="35">
        <f>IF($AH744="",DATE(1900,1,1),$AG744)</f>
        <v/>
      </c>
      <c r="AN744" s="32">
        <f>IF($AH744="",0,$AC744*$T744)</f>
        <v/>
      </c>
      <c r="AO744" s="46">
        <f>IF($C744="",0,IFERROR(INDEX(Deals!$BD$2:$BD$355,MATCH($C744,Deals!$A$2:$A$355,0)),0))</f>
        <v/>
      </c>
      <c r="AP744" s="18">
        <f>IF($AO744=0,0,IFERROR(INDEX(Deals!$BJ$2:$BP$355,MATCH($C744,Deals!$A$2:$A$355,0),MATCH($F744,Deals!$BJ$1:$BP$1,0))/COUNTIFS(Assignments!$C$2:$C$769,$C744,Assignments!$F$2:$F$769,$F744,Assignments!$G$2:$G$769,"Active"),0))</f>
        <v/>
      </c>
    </row>
    <row r="745">
      <c r="A745" s="31" t="n"/>
      <c r="B745" s="16">
        <f>IF($A745="","",IFERROR(INDEX(Roster!$B$2:$B$40,MATCH($A745,Roster!$A$2:$A$40,0)),"?"))</f>
        <v/>
      </c>
      <c r="C745" s="31" t="n"/>
      <c r="D745" s="16">
        <f>IF($C745="","",IFERROR(IF(INDEX(Deals!$C$2:$C$355,MATCH($C745,Deals!$A$2:$A$355,0))=0,"",INDEX(Deals!$C$2:$C$355,MATCH($C745,Deals!$A$2:$A$355,0))),"?"))</f>
        <v/>
      </c>
      <c r="E745" s="16">
        <f>IF($C745="","",IFERROR(INDEX(Deals!$F$2:$F$355,MATCH($C745,Deals!$A$2:$A$355,0)),"?"))</f>
        <v/>
      </c>
      <c r="F745" s="31" t="n"/>
      <c r="G745" s="31" t="n"/>
      <c r="H745" s="31" t="n"/>
      <c r="I745" s="32">
        <f>IF(OR($A745="",$G745&lt;&gt;"Active"),0,IF($H745&lt;&gt;"",$H745,IF($AO745&gt;0,$AP745,IF(AND($R745&lt;&gt;"",IFERROR(INDEX(Templates!$B$3:$H$10,MATCH($R745,Templates!$A$3:$A$10,0),MATCH($F745,Templates!$B$2:$H$2,0)),0)&gt;0),INDEX(Templates!$B$3:$H$10,MATCH($R745,Templates!$A$3:$A$10,0),MATCH($F745,Templates!$B$2:$H$2,0)),IFERROR(INDEX(Settings!$B$8:$B$14,MATCH($F745,Settings!$A$8:$A$14,0)),0)))))</f>
        <v/>
      </c>
      <c r="J745" s="21">
        <f>IF($C745="",0,IFERROR(INDEX(Deals!$H$2:$H$355,MATCH($C745,Deals!$A$2:$A$355,0)),0))</f>
        <v/>
      </c>
      <c r="K745" s="32">
        <f>IF(Settings!$B$4="Yes",$I745*$J745,$I745)</f>
        <v/>
      </c>
      <c r="L745" s="22">
        <f>IF($C745="","",IFERROR(IF(INDEX(Deals!$I$2:$I$355,MATCH($C745,Deals!$A$2:$A$355,0))=0,"",INDEX(Deals!$I$2:$I$355,MATCH($C745,Deals!$A$2:$A$355,0))),""))</f>
        <v/>
      </c>
      <c r="M745" s="22">
        <f>IF($C745="","",IFERROR(IF(INDEX(Deals!$J$2:$J$355,MATCH($C745,Deals!$A$2:$A$355,0))=0,"",INDEX(Deals!$J$2:$J$355,MATCH($C745,Deals!$A$2:$A$355,0))),""))</f>
        <v/>
      </c>
      <c r="N745" s="35">
        <f>IF($L745="",DATE(1900,1,1),$L745)</f>
        <v/>
      </c>
      <c r="O745" s="35">
        <f>IF($M745="",DATE(2100,12,31),$M745)</f>
        <v/>
      </c>
      <c r="P745" s="44" t="n"/>
      <c r="Q745" s="31" t="n"/>
      <c r="R745" s="16">
        <f>IF($C745="","",IFERROR(IF(INDEX(Deals!$U$2:$U$355,MATCH($C745,Deals!$A$2:$A$355,0))=0,"",INDEX(Deals!$U$2:$U$355,MATCH($C745,Deals!$A$2:$A$355,0))),""))</f>
        <v/>
      </c>
      <c r="S745" s="34">
        <f>IFERROR(IF($U745="",1,INDEX(Deals!$V$2:$V$355,MATCH($C745,Deals!$A$2:$A$355,0))),1)</f>
        <v/>
      </c>
      <c r="T745" s="34">
        <f>IFERROR(IF($U745="",1,INDEX(Deals!$W$2:$W$355,MATCH($C745,Deals!$A$2:$A$355,0))),1)</f>
        <v/>
      </c>
      <c r="U745" s="22">
        <f>IF($C745="","",IFERROR(IF(INDEX(Deals!$Y$2:$Y$355,MATCH($C745,Deals!$A$2:$A$355,0))=0,"",INDEX(Deals!$Y$2:$Y$355,MATCH($C745,Deals!$A$2:$A$355,0))),""))</f>
        <v/>
      </c>
      <c r="V745" s="35">
        <f>IF(OR($U745&lt;&gt;"",AND($AO745&gt;0,$L745&lt;&gt;"",$M745&lt;&gt;"")),$N745,DATE(1900,1,1))</f>
        <v/>
      </c>
      <c r="W745" s="35">
        <f>IF($U745&lt;&gt;"",$U745,IF(AND($AO745&gt;0,$L745&lt;&gt;"",$M745&lt;&gt;""),$O745,DATE(2100,12,31)))</f>
        <v/>
      </c>
      <c r="X745" s="32">
        <f>IF($U745="",$K745,$K745*$S745)</f>
        <v/>
      </c>
      <c r="Y745" s="35">
        <f>IF($U745="",DATE(2100,12,31),$U745+1)</f>
        <v/>
      </c>
      <c r="Z745" s="35">
        <f>IF($U745="",DATE(1900,1,1),$O745)</f>
        <v/>
      </c>
      <c r="AA745" s="32">
        <f>IF($U745="",0,$K745*$T745)</f>
        <v/>
      </c>
      <c r="AB745" s="21">
        <f>IF($C745="",0,IFERROR(INDEX(Deals!$AD$2:$AD$355,MATCH($C745,Deals!$A$2:$A$355,0)),0))</f>
        <v/>
      </c>
      <c r="AC745" s="32">
        <f>IF(Settings!$B$4="Yes",$I745*$AB745,$I745)</f>
        <v/>
      </c>
      <c r="AD745" s="22">
        <f>IF($C745="","",IFERROR(IF(INDEX(Deals!$AE$2:$AE$355,MATCH($C745,Deals!$A$2:$A$355,0))=0,"",INDEX(Deals!$AE$2:$AE$355,MATCH($C745,Deals!$A$2:$A$355,0))),""))</f>
        <v/>
      </c>
      <c r="AE745" s="22">
        <f>IF($C745="","",IFERROR(IF(INDEX(Deals!$AF$2:$AF$355,MATCH($C745,Deals!$A$2:$A$355,0))=0,"",INDEX(Deals!$AF$2:$AF$355,MATCH($C745,Deals!$A$2:$A$355,0))),""))</f>
        <v/>
      </c>
      <c r="AF745" s="35">
        <f>IF($AD745="",DATE(1900,1,1),$AD745)</f>
        <v/>
      </c>
      <c r="AG745" s="35">
        <f>IF($AE745="",DATE(2100,12,31),$AE745)</f>
        <v/>
      </c>
      <c r="AH745" s="22">
        <f>IF($C745="","",IFERROR(IF(INDEX(Deals!$AG$2:$AG$355,MATCH($C745,Deals!$A$2:$A$355,0))=0,"",INDEX(Deals!$AG$2:$AG$355,MATCH($C745,Deals!$A$2:$A$355,0))),""))</f>
        <v/>
      </c>
      <c r="AI745" s="35">
        <f>IF(OR($AH745&lt;&gt;"",AND($AO745&gt;0,$AD745&lt;&gt;"",$AE745&lt;&gt;"")),$AF745,DATE(1900,1,1))</f>
        <v/>
      </c>
      <c r="AJ745" s="35">
        <f>IF($AH745&lt;&gt;"",$AH745,IF(AND($AO745&gt;0,$AD745&lt;&gt;"",$AE745&lt;&gt;""),$AG745,DATE(2100,12,31)))</f>
        <v/>
      </c>
      <c r="AK745" s="32">
        <f>IF($AH745="",$AC745,$AC745*$S745)</f>
        <v/>
      </c>
      <c r="AL745" s="35">
        <f>IF($AH745="",DATE(2100,12,31),$AH745+1)</f>
        <v/>
      </c>
      <c r="AM745" s="35">
        <f>IF($AH745="",DATE(1900,1,1),$AG745)</f>
        <v/>
      </c>
      <c r="AN745" s="32">
        <f>IF($AH745="",0,$AC745*$T745)</f>
        <v/>
      </c>
      <c r="AO745" s="46">
        <f>IF($C745="",0,IFERROR(INDEX(Deals!$BD$2:$BD$355,MATCH($C745,Deals!$A$2:$A$355,0)),0))</f>
        <v/>
      </c>
      <c r="AP745" s="18">
        <f>IF($AO745=0,0,IFERROR(INDEX(Deals!$BJ$2:$BP$355,MATCH($C745,Deals!$A$2:$A$355,0),MATCH($F745,Deals!$BJ$1:$BP$1,0))/COUNTIFS(Assignments!$C$2:$C$769,$C745,Assignments!$F$2:$F$769,$F745,Assignments!$G$2:$G$769,"Active"),0))</f>
        <v/>
      </c>
    </row>
    <row r="746">
      <c r="A746" s="31" t="n"/>
      <c r="B746" s="16">
        <f>IF($A746="","",IFERROR(INDEX(Roster!$B$2:$B$40,MATCH($A746,Roster!$A$2:$A$40,0)),"?"))</f>
        <v/>
      </c>
      <c r="C746" s="31" t="n"/>
      <c r="D746" s="16">
        <f>IF($C746="","",IFERROR(IF(INDEX(Deals!$C$2:$C$355,MATCH($C746,Deals!$A$2:$A$355,0))=0,"",INDEX(Deals!$C$2:$C$355,MATCH($C746,Deals!$A$2:$A$355,0))),"?"))</f>
        <v/>
      </c>
      <c r="E746" s="16">
        <f>IF($C746="","",IFERROR(INDEX(Deals!$F$2:$F$355,MATCH($C746,Deals!$A$2:$A$355,0)),"?"))</f>
        <v/>
      </c>
      <c r="F746" s="31" t="n"/>
      <c r="G746" s="31" t="n"/>
      <c r="H746" s="31" t="n"/>
      <c r="I746" s="32">
        <f>IF(OR($A746="",$G746&lt;&gt;"Active"),0,IF($H746&lt;&gt;"",$H746,IF($AO746&gt;0,$AP746,IF(AND($R746&lt;&gt;"",IFERROR(INDEX(Templates!$B$3:$H$10,MATCH($R746,Templates!$A$3:$A$10,0),MATCH($F746,Templates!$B$2:$H$2,0)),0)&gt;0),INDEX(Templates!$B$3:$H$10,MATCH($R746,Templates!$A$3:$A$10,0),MATCH($F746,Templates!$B$2:$H$2,0)),IFERROR(INDEX(Settings!$B$8:$B$14,MATCH($F746,Settings!$A$8:$A$14,0)),0)))))</f>
        <v/>
      </c>
      <c r="J746" s="21">
        <f>IF($C746="",0,IFERROR(INDEX(Deals!$H$2:$H$355,MATCH($C746,Deals!$A$2:$A$355,0)),0))</f>
        <v/>
      </c>
      <c r="K746" s="32">
        <f>IF(Settings!$B$4="Yes",$I746*$J746,$I746)</f>
        <v/>
      </c>
      <c r="L746" s="22">
        <f>IF($C746="","",IFERROR(IF(INDEX(Deals!$I$2:$I$355,MATCH($C746,Deals!$A$2:$A$355,0))=0,"",INDEX(Deals!$I$2:$I$355,MATCH($C746,Deals!$A$2:$A$355,0))),""))</f>
        <v/>
      </c>
      <c r="M746" s="22">
        <f>IF($C746="","",IFERROR(IF(INDEX(Deals!$J$2:$J$355,MATCH($C746,Deals!$A$2:$A$355,0))=0,"",INDEX(Deals!$J$2:$J$355,MATCH($C746,Deals!$A$2:$A$355,0))),""))</f>
        <v/>
      </c>
      <c r="N746" s="35">
        <f>IF($L746="",DATE(1900,1,1),$L746)</f>
        <v/>
      </c>
      <c r="O746" s="35">
        <f>IF($M746="",DATE(2100,12,31),$M746)</f>
        <v/>
      </c>
      <c r="P746" s="44" t="n"/>
      <c r="Q746" s="31" t="n"/>
      <c r="R746" s="16">
        <f>IF($C746="","",IFERROR(IF(INDEX(Deals!$U$2:$U$355,MATCH($C746,Deals!$A$2:$A$355,0))=0,"",INDEX(Deals!$U$2:$U$355,MATCH($C746,Deals!$A$2:$A$355,0))),""))</f>
        <v/>
      </c>
      <c r="S746" s="34">
        <f>IFERROR(IF($U746="",1,INDEX(Deals!$V$2:$V$355,MATCH($C746,Deals!$A$2:$A$355,0))),1)</f>
        <v/>
      </c>
      <c r="T746" s="34">
        <f>IFERROR(IF($U746="",1,INDEX(Deals!$W$2:$W$355,MATCH($C746,Deals!$A$2:$A$355,0))),1)</f>
        <v/>
      </c>
      <c r="U746" s="22">
        <f>IF($C746="","",IFERROR(IF(INDEX(Deals!$Y$2:$Y$355,MATCH($C746,Deals!$A$2:$A$355,0))=0,"",INDEX(Deals!$Y$2:$Y$355,MATCH($C746,Deals!$A$2:$A$355,0))),""))</f>
        <v/>
      </c>
      <c r="V746" s="35">
        <f>IF(OR($U746&lt;&gt;"",AND($AO746&gt;0,$L746&lt;&gt;"",$M746&lt;&gt;"")),$N746,DATE(1900,1,1))</f>
        <v/>
      </c>
      <c r="W746" s="35">
        <f>IF($U746&lt;&gt;"",$U746,IF(AND($AO746&gt;0,$L746&lt;&gt;"",$M746&lt;&gt;""),$O746,DATE(2100,12,31)))</f>
        <v/>
      </c>
      <c r="X746" s="32">
        <f>IF($U746="",$K746,$K746*$S746)</f>
        <v/>
      </c>
      <c r="Y746" s="35">
        <f>IF($U746="",DATE(2100,12,31),$U746+1)</f>
        <v/>
      </c>
      <c r="Z746" s="35">
        <f>IF($U746="",DATE(1900,1,1),$O746)</f>
        <v/>
      </c>
      <c r="AA746" s="32">
        <f>IF($U746="",0,$K746*$T746)</f>
        <v/>
      </c>
      <c r="AB746" s="21">
        <f>IF($C746="",0,IFERROR(INDEX(Deals!$AD$2:$AD$355,MATCH($C746,Deals!$A$2:$A$355,0)),0))</f>
        <v/>
      </c>
      <c r="AC746" s="32">
        <f>IF(Settings!$B$4="Yes",$I746*$AB746,$I746)</f>
        <v/>
      </c>
      <c r="AD746" s="22">
        <f>IF($C746="","",IFERROR(IF(INDEX(Deals!$AE$2:$AE$355,MATCH($C746,Deals!$A$2:$A$355,0))=0,"",INDEX(Deals!$AE$2:$AE$355,MATCH($C746,Deals!$A$2:$A$355,0))),""))</f>
        <v/>
      </c>
      <c r="AE746" s="22">
        <f>IF($C746="","",IFERROR(IF(INDEX(Deals!$AF$2:$AF$355,MATCH($C746,Deals!$A$2:$A$355,0))=0,"",INDEX(Deals!$AF$2:$AF$355,MATCH($C746,Deals!$A$2:$A$355,0))),""))</f>
        <v/>
      </c>
      <c r="AF746" s="35">
        <f>IF($AD746="",DATE(1900,1,1),$AD746)</f>
        <v/>
      </c>
      <c r="AG746" s="35">
        <f>IF($AE746="",DATE(2100,12,31),$AE746)</f>
        <v/>
      </c>
      <c r="AH746" s="22">
        <f>IF($C746="","",IFERROR(IF(INDEX(Deals!$AG$2:$AG$355,MATCH($C746,Deals!$A$2:$A$355,0))=0,"",INDEX(Deals!$AG$2:$AG$355,MATCH($C746,Deals!$A$2:$A$355,0))),""))</f>
        <v/>
      </c>
      <c r="AI746" s="35">
        <f>IF(OR($AH746&lt;&gt;"",AND($AO746&gt;0,$AD746&lt;&gt;"",$AE746&lt;&gt;"")),$AF746,DATE(1900,1,1))</f>
        <v/>
      </c>
      <c r="AJ746" s="35">
        <f>IF($AH746&lt;&gt;"",$AH746,IF(AND($AO746&gt;0,$AD746&lt;&gt;"",$AE746&lt;&gt;""),$AG746,DATE(2100,12,31)))</f>
        <v/>
      </c>
      <c r="AK746" s="32">
        <f>IF($AH746="",$AC746,$AC746*$S746)</f>
        <v/>
      </c>
      <c r="AL746" s="35">
        <f>IF($AH746="",DATE(2100,12,31),$AH746+1)</f>
        <v/>
      </c>
      <c r="AM746" s="35">
        <f>IF($AH746="",DATE(1900,1,1),$AG746)</f>
        <v/>
      </c>
      <c r="AN746" s="32">
        <f>IF($AH746="",0,$AC746*$T746)</f>
        <v/>
      </c>
      <c r="AO746" s="46">
        <f>IF($C746="",0,IFERROR(INDEX(Deals!$BD$2:$BD$355,MATCH($C746,Deals!$A$2:$A$355,0)),0))</f>
        <v/>
      </c>
      <c r="AP746" s="18">
        <f>IF($AO746=0,0,IFERROR(INDEX(Deals!$BJ$2:$BP$355,MATCH($C746,Deals!$A$2:$A$355,0),MATCH($F746,Deals!$BJ$1:$BP$1,0))/COUNTIFS(Assignments!$C$2:$C$769,$C746,Assignments!$F$2:$F$769,$F746,Assignments!$G$2:$G$769,"Active"),0))</f>
        <v/>
      </c>
    </row>
    <row r="747">
      <c r="A747" s="31" t="n"/>
      <c r="B747" s="16">
        <f>IF($A747="","",IFERROR(INDEX(Roster!$B$2:$B$40,MATCH($A747,Roster!$A$2:$A$40,0)),"?"))</f>
        <v/>
      </c>
      <c r="C747" s="31" t="n"/>
      <c r="D747" s="16">
        <f>IF($C747="","",IFERROR(IF(INDEX(Deals!$C$2:$C$355,MATCH($C747,Deals!$A$2:$A$355,0))=0,"",INDEX(Deals!$C$2:$C$355,MATCH($C747,Deals!$A$2:$A$355,0))),"?"))</f>
        <v/>
      </c>
      <c r="E747" s="16">
        <f>IF($C747="","",IFERROR(INDEX(Deals!$F$2:$F$355,MATCH($C747,Deals!$A$2:$A$355,0)),"?"))</f>
        <v/>
      </c>
      <c r="F747" s="31" t="n"/>
      <c r="G747" s="31" t="n"/>
      <c r="H747" s="31" t="n"/>
      <c r="I747" s="32">
        <f>IF(OR($A747="",$G747&lt;&gt;"Active"),0,IF($H747&lt;&gt;"",$H747,IF($AO747&gt;0,$AP747,IF(AND($R747&lt;&gt;"",IFERROR(INDEX(Templates!$B$3:$H$10,MATCH($R747,Templates!$A$3:$A$10,0),MATCH($F747,Templates!$B$2:$H$2,0)),0)&gt;0),INDEX(Templates!$B$3:$H$10,MATCH($R747,Templates!$A$3:$A$10,0),MATCH($F747,Templates!$B$2:$H$2,0)),IFERROR(INDEX(Settings!$B$8:$B$14,MATCH($F747,Settings!$A$8:$A$14,0)),0)))))</f>
        <v/>
      </c>
      <c r="J747" s="21">
        <f>IF($C747="",0,IFERROR(INDEX(Deals!$H$2:$H$355,MATCH($C747,Deals!$A$2:$A$355,0)),0))</f>
        <v/>
      </c>
      <c r="K747" s="32">
        <f>IF(Settings!$B$4="Yes",$I747*$J747,$I747)</f>
        <v/>
      </c>
      <c r="L747" s="22">
        <f>IF($C747="","",IFERROR(IF(INDEX(Deals!$I$2:$I$355,MATCH($C747,Deals!$A$2:$A$355,0))=0,"",INDEX(Deals!$I$2:$I$355,MATCH($C747,Deals!$A$2:$A$355,0))),""))</f>
        <v/>
      </c>
      <c r="M747" s="22">
        <f>IF($C747="","",IFERROR(IF(INDEX(Deals!$J$2:$J$355,MATCH($C747,Deals!$A$2:$A$355,0))=0,"",INDEX(Deals!$J$2:$J$355,MATCH($C747,Deals!$A$2:$A$355,0))),""))</f>
        <v/>
      </c>
      <c r="N747" s="35">
        <f>IF($L747="",DATE(1900,1,1),$L747)</f>
        <v/>
      </c>
      <c r="O747" s="35">
        <f>IF($M747="",DATE(2100,12,31),$M747)</f>
        <v/>
      </c>
      <c r="P747" s="44" t="n"/>
      <c r="Q747" s="31" t="n"/>
      <c r="R747" s="16">
        <f>IF($C747="","",IFERROR(IF(INDEX(Deals!$U$2:$U$355,MATCH($C747,Deals!$A$2:$A$355,0))=0,"",INDEX(Deals!$U$2:$U$355,MATCH($C747,Deals!$A$2:$A$355,0))),""))</f>
        <v/>
      </c>
      <c r="S747" s="34">
        <f>IFERROR(IF($U747="",1,INDEX(Deals!$V$2:$V$355,MATCH($C747,Deals!$A$2:$A$355,0))),1)</f>
        <v/>
      </c>
      <c r="T747" s="34">
        <f>IFERROR(IF($U747="",1,INDEX(Deals!$W$2:$W$355,MATCH($C747,Deals!$A$2:$A$355,0))),1)</f>
        <v/>
      </c>
      <c r="U747" s="22">
        <f>IF($C747="","",IFERROR(IF(INDEX(Deals!$Y$2:$Y$355,MATCH($C747,Deals!$A$2:$A$355,0))=0,"",INDEX(Deals!$Y$2:$Y$355,MATCH($C747,Deals!$A$2:$A$355,0))),""))</f>
        <v/>
      </c>
      <c r="V747" s="35">
        <f>IF(OR($U747&lt;&gt;"",AND($AO747&gt;0,$L747&lt;&gt;"",$M747&lt;&gt;"")),$N747,DATE(1900,1,1))</f>
        <v/>
      </c>
      <c r="W747" s="35">
        <f>IF($U747&lt;&gt;"",$U747,IF(AND($AO747&gt;0,$L747&lt;&gt;"",$M747&lt;&gt;""),$O747,DATE(2100,12,31)))</f>
        <v/>
      </c>
      <c r="X747" s="32">
        <f>IF($U747="",$K747,$K747*$S747)</f>
        <v/>
      </c>
      <c r="Y747" s="35">
        <f>IF($U747="",DATE(2100,12,31),$U747+1)</f>
        <v/>
      </c>
      <c r="Z747" s="35">
        <f>IF($U747="",DATE(1900,1,1),$O747)</f>
        <v/>
      </c>
      <c r="AA747" s="32">
        <f>IF($U747="",0,$K747*$T747)</f>
        <v/>
      </c>
      <c r="AB747" s="21">
        <f>IF($C747="",0,IFERROR(INDEX(Deals!$AD$2:$AD$355,MATCH($C747,Deals!$A$2:$A$355,0)),0))</f>
        <v/>
      </c>
      <c r="AC747" s="32">
        <f>IF(Settings!$B$4="Yes",$I747*$AB747,$I747)</f>
        <v/>
      </c>
      <c r="AD747" s="22">
        <f>IF($C747="","",IFERROR(IF(INDEX(Deals!$AE$2:$AE$355,MATCH($C747,Deals!$A$2:$A$355,0))=0,"",INDEX(Deals!$AE$2:$AE$355,MATCH($C747,Deals!$A$2:$A$355,0))),""))</f>
        <v/>
      </c>
      <c r="AE747" s="22">
        <f>IF($C747="","",IFERROR(IF(INDEX(Deals!$AF$2:$AF$355,MATCH($C747,Deals!$A$2:$A$355,0))=0,"",INDEX(Deals!$AF$2:$AF$355,MATCH($C747,Deals!$A$2:$A$355,0))),""))</f>
        <v/>
      </c>
      <c r="AF747" s="35">
        <f>IF($AD747="",DATE(1900,1,1),$AD747)</f>
        <v/>
      </c>
      <c r="AG747" s="35">
        <f>IF($AE747="",DATE(2100,12,31),$AE747)</f>
        <v/>
      </c>
      <c r="AH747" s="22">
        <f>IF($C747="","",IFERROR(IF(INDEX(Deals!$AG$2:$AG$355,MATCH($C747,Deals!$A$2:$A$355,0))=0,"",INDEX(Deals!$AG$2:$AG$355,MATCH($C747,Deals!$A$2:$A$355,0))),""))</f>
        <v/>
      </c>
      <c r="AI747" s="35">
        <f>IF(OR($AH747&lt;&gt;"",AND($AO747&gt;0,$AD747&lt;&gt;"",$AE747&lt;&gt;"")),$AF747,DATE(1900,1,1))</f>
        <v/>
      </c>
      <c r="AJ747" s="35">
        <f>IF($AH747&lt;&gt;"",$AH747,IF(AND($AO747&gt;0,$AD747&lt;&gt;"",$AE747&lt;&gt;""),$AG747,DATE(2100,12,31)))</f>
        <v/>
      </c>
      <c r="AK747" s="32">
        <f>IF($AH747="",$AC747,$AC747*$S747)</f>
        <v/>
      </c>
      <c r="AL747" s="35">
        <f>IF($AH747="",DATE(2100,12,31),$AH747+1)</f>
        <v/>
      </c>
      <c r="AM747" s="35">
        <f>IF($AH747="",DATE(1900,1,1),$AG747)</f>
        <v/>
      </c>
      <c r="AN747" s="32">
        <f>IF($AH747="",0,$AC747*$T747)</f>
        <v/>
      </c>
      <c r="AO747" s="46">
        <f>IF($C747="",0,IFERROR(INDEX(Deals!$BD$2:$BD$355,MATCH($C747,Deals!$A$2:$A$355,0)),0))</f>
        <v/>
      </c>
      <c r="AP747" s="18">
        <f>IF($AO747=0,0,IFERROR(INDEX(Deals!$BJ$2:$BP$355,MATCH($C747,Deals!$A$2:$A$355,0),MATCH($F747,Deals!$BJ$1:$BP$1,0))/COUNTIFS(Assignments!$C$2:$C$769,$C747,Assignments!$F$2:$F$769,$F747,Assignments!$G$2:$G$769,"Active"),0))</f>
        <v/>
      </c>
    </row>
    <row r="748">
      <c r="A748" s="31" t="n"/>
      <c r="B748" s="16">
        <f>IF($A748="","",IFERROR(INDEX(Roster!$B$2:$B$40,MATCH($A748,Roster!$A$2:$A$40,0)),"?"))</f>
        <v/>
      </c>
      <c r="C748" s="31" t="n"/>
      <c r="D748" s="16">
        <f>IF($C748="","",IFERROR(IF(INDEX(Deals!$C$2:$C$355,MATCH($C748,Deals!$A$2:$A$355,0))=0,"",INDEX(Deals!$C$2:$C$355,MATCH($C748,Deals!$A$2:$A$355,0))),"?"))</f>
        <v/>
      </c>
      <c r="E748" s="16">
        <f>IF($C748="","",IFERROR(INDEX(Deals!$F$2:$F$355,MATCH($C748,Deals!$A$2:$A$355,0)),"?"))</f>
        <v/>
      </c>
      <c r="F748" s="31" t="n"/>
      <c r="G748" s="31" t="n"/>
      <c r="H748" s="31" t="n"/>
      <c r="I748" s="32">
        <f>IF(OR($A748="",$G748&lt;&gt;"Active"),0,IF($H748&lt;&gt;"",$H748,IF($AO748&gt;0,$AP748,IF(AND($R748&lt;&gt;"",IFERROR(INDEX(Templates!$B$3:$H$10,MATCH($R748,Templates!$A$3:$A$10,0),MATCH($F748,Templates!$B$2:$H$2,0)),0)&gt;0),INDEX(Templates!$B$3:$H$10,MATCH($R748,Templates!$A$3:$A$10,0),MATCH($F748,Templates!$B$2:$H$2,0)),IFERROR(INDEX(Settings!$B$8:$B$14,MATCH($F748,Settings!$A$8:$A$14,0)),0)))))</f>
        <v/>
      </c>
      <c r="J748" s="21">
        <f>IF($C748="",0,IFERROR(INDEX(Deals!$H$2:$H$355,MATCH($C748,Deals!$A$2:$A$355,0)),0))</f>
        <v/>
      </c>
      <c r="K748" s="32">
        <f>IF(Settings!$B$4="Yes",$I748*$J748,$I748)</f>
        <v/>
      </c>
      <c r="L748" s="22">
        <f>IF($C748="","",IFERROR(IF(INDEX(Deals!$I$2:$I$355,MATCH($C748,Deals!$A$2:$A$355,0))=0,"",INDEX(Deals!$I$2:$I$355,MATCH($C748,Deals!$A$2:$A$355,0))),""))</f>
        <v/>
      </c>
      <c r="M748" s="22">
        <f>IF($C748="","",IFERROR(IF(INDEX(Deals!$J$2:$J$355,MATCH($C748,Deals!$A$2:$A$355,0))=0,"",INDEX(Deals!$J$2:$J$355,MATCH($C748,Deals!$A$2:$A$355,0))),""))</f>
        <v/>
      </c>
      <c r="N748" s="35">
        <f>IF($L748="",DATE(1900,1,1),$L748)</f>
        <v/>
      </c>
      <c r="O748" s="35">
        <f>IF($M748="",DATE(2100,12,31),$M748)</f>
        <v/>
      </c>
      <c r="P748" s="44" t="n"/>
      <c r="Q748" s="31" t="n"/>
      <c r="R748" s="16">
        <f>IF($C748="","",IFERROR(IF(INDEX(Deals!$U$2:$U$355,MATCH($C748,Deals!$A$2:$A$355,0))=0,"",INDEX(Deals!$U$2:$U$355,MATCH($C748,Deals!$A$2:$A$355,0))),""))</f>
        <v/>
      </c>
      <c r="S748" s="34">
        <f>IFERROR(IF($U748="",1,INDEX(Deals!$V$2:$V$355,MATCH($C748,Deals!$A$2:$A$355,0))),1)</f>
        <v/>
      </c>
      <c r="T748" s="34">
        <f>IFERROR(IF($U748="",1,INDEX(Deals!$W$2:$W$355,MATCH($C748,Deals!$A$2:$A$355,0))),1)</f>
        <v/>
      </c>
      <c r="U748" s="22">
        <f>IF($C748="","",IFERROR(IF(INDEX(Deals!$Y$2:$Y$355,MATCH($C748,Deals!$A$2:$A$355,0))=0,"",INDEX(Deals!$Y$2:$Y$355,MATCH($C748,Deals!$A$2:$A$355,0))),""))</f>
        <v/>
      </c>
      <c r="V748" s="35">
        <f>IF(OR($U748&lt;&gt;"",AND($AO748&gt;0,$L748&lt;&gt;"",$M748&lt;&gt;"")),$N748,DATE(1900,1,1))</f>
        <v/>
      </c>
      <c r="W748" s="35">
        <f>IF($U748&lt;&gt;"",$U748,IF(AND($AO748&gt;0,$L748&lt;&gt;"",$M748&lt;&gt;""),$O748,DATE(2100,12,31)))</f>
        <v/>
      </c>
      <c r="X748" s="32">
        <f>IF($U748="",$K748,$K748*$S748)</f>
        <v/>
      </c>
      <c r="Y748" s="35">
        <f>IF($U748="",DATE(2100,12,31),$U748+1)</f>
        <v/>
      </c>
      <c r="Z748" s="35">
        <f>IF($U748="",DATE(1900,1,1),$O748)</f>
        <v/>
      </c>
      <c r="AA748" s="32">
        <f>IF($U748="",0,$K748*$T748)</f>
        <v/>
      </c>
      <c r="AB748" s="21">
        <f>IF($C748="",0,IFERROR(INDEX(Deals!$AD$2:$AD$355,MATCH($C748,Deals!$A$2:$A$355,0)),0))</f>
        <v/>
      </c>
      <c r="AC748" s="32">
        <f>IF(Settings!$B$4="Yes",$I748*$AB748,$I748)</f>
        <v/>
      </c>
      <c r="AD748" s="22">
        <f>IF($C748="","",IFERROR(IF(INDEX(Deals!$AE$2:$AE$355,MATCH($C748,Deals!$A$2:$A$355,0))=0,"",INDEX(Deals!$AE$2:$AE$355,MATCH($C748,Deals!$A$2:$A$355,0))),""))</f>
        <v/>
      </c>
      <c r="AE748" s="22">
        <f>IF($C748="","",IFERROR(IF(INDEX(Deals!$AF$2:$AF$355,MATCH($C748,Deals!$A$2:$A$355,0))=0,"",INDEX(Deals!$AF$2:$AF$355,MATCH($C748,Deals!$A$2:$A$355,0))),""))</f>
        <v/>
      </c>
      <c r="AF748" s="35">
        <f>IF($AD748="",DATE(1900,1,1),$AD748)</f>
        <v/>
      </c>
      <c r="AG748" s="35">
        <f>IF($AE748="",DATE(2100,12,31),$AE748)</f>
        <v/>
      </c>
      <c r="AH748" s="22">
        <f>IF($C748="","",IFERROR(IF(INDEX(Deals!$AG$2:$AG$355,MATCH($C748,Deals!$A$2:$A$355,0))=0,"",INDEX(Deals!$AG$2:$AG$355,MATCH($C748,Deals!$A$2:$A$355,0))),""))</f>
        <v/>
      </c>
      <c r="AI748" s="35">
        <f>IF(OR($AH748&lt;&gt;"",AND($AO748&gt;0,$AD748&lt;&gt;"",$AE748&lt;&gt;"")),$AF748,DATE(1900,1,1))</f>
        <v/>
      </c>
      <c r="AJ748" s="35">
        <f>IF($AH748&lt;&gt;"",$AH748,IF(AND($AO748&gt;0,$AD748&lt;&gt;"",$AE748&lt;&gt;""),$AG748,DATE(2100,12,31)))</f>
        <v/>
      </c>
      <c r="AK748" s="32">
        <f>IF($AH748="",$AC748,$AC748*$S748)</f>
        <v/>
      </c>
      <c r="AL748" s="35">
        <f>IF($AH748="",DATE(2100,12,31),$AH748+1)</f>
        <v/>
      </c>
      <c r="AM748" s="35">
        <f>IF($AH748="",DATE(1900,1,1),$AG748)</f>
        <v/>
      </c>
      <c r="AN748" s="32">
        <f>IF($AH748="",0,$AC748*$T748)</f>
        <v/>
      </c>
      <c r="AO748" s="46">
        <f>IF($C748="",0,IFERROR(INDEX(Deals!$BD$2:$BD$355,MATCH($C748,Deals!$A$2:$A$355,0)),0))</f>
        <v/>
      </c>
      <c r="AP748" s="18">
        <f>IF($AO748=0,0,IFERROR(INDEX(Deals!$BJ$2:$BP$355,MATCH($C748,Deals!$A$2:$A$355,0),MATCH($F748,Deals!$BJ$1:$BP$1,0))/COUNTIFS(Assignments!$C$2:$C$769,$C748,Assignments!$F$2:$F$769,$F748,Assignments!$G$2:$G$769,"Active"),0))</f>
        <v/>
      </c>
    </row>
    <row r="749">
      <c r="A749" s="31" t="n"/>
      <c r="B749" s="16">
        <f>IF($A749="","",IFERROR(INDEX(Roster!$B$2:$B$40,MATCH($A749,Roster!$A$2:$A$40,0)),"?"))</f>
        <v/>
      </c>
      <c r="C749" s="31" t="n"/>
      <c r="D749" s="16">
        <f>IF($C749="","",IFERROR(IF(INDEX(Deals!$C$2:$C$355,MATCH($C749,Deals!$A$2:$A$355,0))=0,"",INDEX(Deals!$C$2:$C$355,MATCH($C749,Deals!$A$2:$A$355,0))),"?"))</f>
        <v/>
      </c>
      <c r="E749" s="16">
        <f>IF($C749="","",IFERROR(INDEX(Deals!$F$2:$F$355,MATCH($C749,Deals!$A$2:$A$355,0)),"?"))</f>
        <v/>
      </c>
      <c r="F749" s="31" t="n"/>
      <c r="G749" s="31" t="n"/>
      <c r="H749" s="31" t="n"/>
      <c r="I749" s="32">
        <f>IF(OR($A749="",$G749&lt;&gt;"Active"),0,IF($H749&lt;&gt;"",$H749,IF($AO749&gt;0,$AP749,IF(AND($R749&lt;&gt;"",IFERROR(INDEX(Templates!$B$3:$H$10,MATCH($R749,Templates!$A$3:$A$10,0),MATCH($F749,Templates!$B$2:$H$2,0)),0)&gt;0),INDEX(Templates!$B$3:$H$10,MATCH($R749,Templates!$A$3:$A$10,0),MATCH($F749,Templates!$B$2:$H$2,0)),IFERROR(INDEX(Settings!$B$8:$B$14,MATCH($F749,Settings!$A$8:$A$14,0)),0)))))</f>
        <v/>
      </c>
      <c r="J749" s="21">
        <f>IF($C749="",0,IFERROR(INDEX(Deals!$H$2:$H$355,MATCH($C749,Deals!$A$2:$A$355,0)),0))</f>
        <v/>
      </c>
      <c r="K749" s="32">
        <f>IF(Settings!$B$4="Yes",$I749*$J749,$I749)</f>
        <v/>
      </c>
      <c r="L749" s="22">
        <f>IF($C749="","",IFERROR(IF(INDEX(Deals!$I$2:$I$355,MATCH($C749,Deals!$A$2:$A$355,0))=0,"",INDEX(Deals!$I$2:$I$355,MATCH($C749,Deals!$A$2:$A$355,0))),""))</f>
        <v/>
      </c>
      <c r="M749" s="22">
        <f>IF($C749="","",IFERROR(IF(INDEX(Deals!$J$2:$J$355,MATCH($C749,Deals!$A$2:$A$355,0))=0,"",INDEX(Deals!$J$2:$J$355,MATCH($C749,Deals!$A$2:$A$355,0))),""))</f>
        <v/>
      </c>
      <c r="N749" s="35">
        <f>IF($L749="",DATE(1900,1,1),$L749)</f>
        <v/>
      </c>
      <c r="O749" s="35">
        <f>IF($M749="",DATE(2100,12,31),$M749)</f>
        <v/>
      </c>
      <c r="P749" s="44" t="n"/>
      <c r="Q749" s="31" t="n"/>
      <c r="R749" s="16">
        <f>IF($C749="","",IFERROR(IF(INDEX(Deals!$U$2:$U$355,MATCH($C749,Deals!$A$2:$A$355,0))=0,"",INDEX(Deals!$U$2:$U$355,MATCH($C749,Deals!$A$2:$A$355,0))),""))</f>
        <v/>
      </c>
      <c r="S749" s="34">
        <f>IFERROR(IF($U749="",1,INDEX(Deals!$V$2:$V$355,MATCH($C749,Deals!$A$2:$A$355,0))),1)</f>
        <v/>
      </c>
      <c r="T749" s="34">
        <f>IFERROR(IF($U749="",1,INDEX(Deals!$W$2:$W$355,MATCH($C749,Deals!$A$2:$A$355,0))),1)</f>
        <v/>
      </c>
      <c r="U749" s="22">
        <f>IF($C749="","",IFERROR(IF(INDEX(Deals!$Y$2:$Y$355,MATCH($C749,Deals!$A$2:$A$355,0))=0,"",INDEX(Deals!$Y$2:$Y$355,MATCH($C749,Deals!$A$2:$A$355,0))),""))</f>
        <v/>
      </c>
      <c r="V749" s="35">
        <f>IF(OR($U749&lt;&gt;"",AND($AO749&gt;0,$L749&lt;&gt;"",$M749&lt;&gt;"")),$N749,DATE(1900,1,1))</f>
        <v/>
      </c>
      <c r="W749" s="35">
        <f>IF($U749&lt;&gt;"",$U749,IF(AND($AO749&gt;0,$L749&lt;&gt;"",$M749&lt;&gt;""),$O749,DATE(2100,12,31)))</f>
        <v/>
      </c>
      <c r="X749" s="32">
        <f>IF($U749="",$K749,$K749*$S749)</f>
        <v/>
      </c>
      <c r="Y749" s="35">
        <f>IF($U749="",DATE(2100,12,31),$U749+1)</f>
        <v/>
      </c>
      <c r="Z749" s="35">
        <f>IF($U749="",DATE(1900,1,1),$O749)</f>
        <v/>
      </c>
      <c r="AA749" s="32">
        <f>IF($U749="",0,$K749*$T749)</f>
        <v/>
      </c>
      <c r="AB749" s="21">
        <f>IF($C749="",0,IFERROR(INDEX(Deals!$AD$2:$AD$355,MATCH($C749,Deals!$A$2:$A$355,0)),0))</f>
        <v/>
      </c>
      <c r="AC749" s="32">
        <f>IF(Settings!$B$4="Yes",$I749*$AB749,$I749)</f>
        <v/>
      </c>
      <c r="AD749" s="22">
        <f>IF($C749="","",IFERROR(IF(INDEX(Deals!$AE$2:$AE$355,MATCH($C749,Deals!$A$2:$A$355,0))=0,"",INDEX(Deals!$AE$2:$AE$355,MATCH($C749,Deals!$A$2:$A$355,0))),""))</f>
        <v/>
      </c>
      <c r="AE749" s="22">
        <f>IF($C749="","",IFERROR(IF(INDEX(Deals!$AF$2:$AF$355,MATCH($C749,Deals!$A$2:$A$355,0))=0,"",INDEX(Deals!$AF$2:$AF$355,MATCH($C749,Deals!$A$2:$A$355,0))),""))</f>
        <v/>
      </c>
      <c r="AF749" s="35">
        <f>IF($AD749="",DATE(1900,1,1),$AD749)</f>
        <v/>
      </c>
      <c r="AG749" s="35">
        <f>IF($AE749="",DATE(2100,12,31),$AE749)</f>
        <v/>
      </c>
      <c r="AH749" s="22">
        <f>IF($C749="","",IFERROR(IF(INDEX(Deals!$AG$2:$AG$355,MATCH($C749,Deals!$A$2:$A$355,0))=0,"",INDEX(Deals!$AG$2:$AG$355,MATCH($C749,Deals!$A$2:$A$355,0))),""))</f>
        <v/>
      </c>
      <c r="AI749" s="35">
        <f>IF(OR($AH749&lt;&gt;"",AND($AO749&gt;0,$AD749&lt;&gt;"",$AE749&lt;&gt;"")),$AF749,DATE(1900,1,1))</f>
        <v/>
      </c>
      <c r="AJ749" s="35">
        <f>IF($AH749&lt;&gt;"",$AH749,IF(AND($AO749&gt;0,$AD749&lt;&gt;"",$AE749&lt;&gt;""),$AG749,DATE(2100,12,31)))</f>
        <v/>
      </c>
      <c r="AK749" s="32">
        <f>IF($AH749="",$AC749,$AC749*$S749)</f>
        <v/>
      </c>
      <c r="AL749" s="35">
        <f>IF($AH749="",DATE(2100,12,31),$AH749+1)</f>
        <v/>
      </c>
      <c r="AM749" s="35">
        <f>IF($AH749="",DATE(1900,1,1),$AG749)</f>
        <v/>
      </c>
      <c r="AN749" s="32">
        <f>IF($AH749="",0,$AC749*$T749)</f>
        <v/>
      </c>
      <c r="AO749" s="46">
        <f>IF($C749="",0,IFERROR(INDEX(Deals!$BD$2:$BD$355,MATCH($C749,Deals!$A$2:$A$355,0)),0))</f>
        <v/>
      </c>
      <c r="AP749" s="18">
        <f>IF($AO749=0,0,IFERROR(INDEX(Deals!$BJ$2:$BP$355,MATCH($C749,Deals!$A$2:$A$355,0),MATCH($F749,Deals!$BJ$1:$BP$1,0))/COUNTIFS(Assignments!$C$2:$C$769,$C749,Assignments!$F$2:$F$769,$F749,Assignments!$G$2:$G$769,"Active"),0))</f>
        <v/>
      </c>
    </row>
    <row r="750">
      <c r="A750" s="31" t="n"/>
      <c r="B750" s="16">
        <f>IF($A750="","",IFERROR(INDEX(Roster!$B$2:$B$40,MATCH($A750,Roster!$A$2:$A$40,0)),"?"))</f>
        <v/>
      </c>
      <c r="C750" s="31" t="n"/>
      <c r="D750" s="16">
        <f>IF($C750="","",IFERROR(IF(INDEX(Deals!$C$2:$C$355,MATCH($C750,Deals!$A$2:$A$355,0))=0,"",INDEX(Deals!$C$2:$C$355,MATCH($C750,Deals!$A$2:$A$355,0))),"?"))</f>
        <v/>
      </c>
      <c r="E750" s="16">
        <f>IF($C750="","",IFERROR(INDEX(Deals!$F$2:$F$355,MATCH($C750,Deals!$A$2:$A$355,0)),"?"))</f>
        <v/>
      </c>
      <c r="F750" s="31" t="n"/>
      <c r="G750" s="31" t="n"/>
      <c r="H750" s="31" t="n"/>
      <c r="I750" s="32">
        <f>IF(OR($A750="",$G750&lt;&gt;"Active"),0,IF($H750&lt;&gt;"",$H750,IF($AO750&gt;0,$AP750,IF(AND($R750&lt;&gt;"",IFERROR(INDEX(Templates!$B$3:$H$10,MATCH($R750,Templates!$A$3:$A$10,0),MATCH($F750,Templates!$B$2:$H$2,0)),0)&gt;0),INDEX(Templates!$B$3:$H$10,MATCH($R750,Templates!$A$3:$A$10,0),MATCH($F750,Templates!$B$2:$H$2,0)),IFERROR(INDEX(Settings!$B$8:$B$14,MATCH($F750,Settings!$A$8:$A$14,0)),0)))))</f>
        <v/>
      </c>
      <c r="J750" s="21">
        <f>IF($C750="",0,IFERROR(INDEX(Deals!$H$2:$H$355,MATCH($C750,Deals!$A$2:$A$355,0)),0))</f>
        <v/>
      </c>
      <c r="K750" s="32">
        <f>IF(Settings!$B$4="Yes",$I750*$J750,$I750)</f>
        <v/>
      </c>
      <c r="L750" s="22">
        <f>IF($C750="","",IFERROR(IF(INDEX(Deals!$I$2:$I$355,MATCH($C750,Deals!$A$2:$A$355,0))=0,"",INDEX(Deals!$I$2:$I$355,MATCH($C750,Deals!$A$2:$A$355,0))),""))</f>
        <v/>
      </c>
      <c r="M750" s="22">
        <f>IF($C750="","",IFERROR(IF(INDEX(Deals!$J$2:$J$355,MATCH($C750,Deals!$A$2:$A$355,0))=0,"",INDEX(Deals!$J$2:$J$355,MATCH($C750,Deals!$A$2:$A$355,0))),""))</f>
        <v/>
      </c>
      <c r="N750" s="35">
        <f>IF($L750="",DATE(1900,1,1),$L750)</f>
        <v/>
      </c>
      <c r="O750" s="35">
        <f>IF($M750="",DATE(2100,12,31),$M750)</f>
        <v/>
      </c>
      <c r="P750" s="44" t="n"/>
      <c r="Q750" s="31" t="n"/>
      <c r="R750" s="16">
        <f>IF($C750="","",IFERROR(IF(INDEX(Deals!$U$2:$U$355,MATCH($C750,Deals!$A$2:$A$355,0))=0,"",INDEX(Deals!$U$2:$U$355,MATCH($C750,Deals!$A$2:$A$355,0))),""))</f>
        <v/>
      </c>
      <c r="S750" s="34">
        <f>IFERROR(IF($U750="",1,INDEX(Deals!$V$2:$V$355,MATCH($C750,Deals!$A$2:$A$355,0))),1)</f>
        <v/>
      </c>
      <c r="T750" s="34">
        <f>IFERROR(IF($U750="",1,INDEX(Deals!$W$2:$W$355,MATCH($C750,Deals!$A$2:$A$355,0))),1)</f>
        <v/>
      </c>
      <c r="U750" s="22">
        <f>IF($C750="","",IFERROR(IF(INDEX(Deals!$Y$2:$Y$355,MATCH($C750,Deals!$A$2:$A$355,0))=0,"",INDEX(Deals!$Y$2:$Y$355,MATCH($C750,Deals!$A$2:$A$355,0))),""))</f>
        <v/>
      </c>
      <c r="V750" s="35">
        <f>IF(OR($U750&lt;&gt;"",AND($AO750&gt;0,$L750&lt;&gt;"",$M750&lt;&gt;"")),$N750,DATE(1900,1,1))</f>
        <v/>
      </c>
      <c r="W750" s="35">
        <f>IF($U750&lt;&gt;"",$U750,IF(AND($AO750&gt;0,$L750&lt;&gt;"",$M750&lt;&gt;""),$O750,DATE(2100,12,31)))</f>
        <v/>
      </c>
      <c r="X750" s="32">
        <f>IF($U750="",$K750,$K750*$S750)</f>
        <v/>
      </c>
      <c r="Y750" s="35">
        <f>IF($U750="",DATE(2100,12,31),$U750+1)</f>
        <v/>
      </c>
      <c r="Z750" s="35">
        <f>IF($U750="",DATE(1900,1,1),$O750)</f>
        <v/>
      </c>
      <c r="AA750" s="32">
        <f>IF($U750="",0,$K750*$T750)</f>
        <v/>
      </c>
      <c r="AB750" s="21">
        <f>IF($C750="",0,IFERROR(INDEX(Deals!$AD$2:$AD$355,MATCH($C750,Deals!$A$2:$A$355,0)),0))</f>
        <v/>
      </c>
      <c r="AC750" s="32">
        <f>IF(Settings!$B$4="Yes",$I750*$AB750,$I750)</f>
        <v/>
      </c>
      <c r="AD750" s="22">
        <f>IF($C750="","",IFERROR(IF(INDEX(Deals!$AE$2:$AE$355,MATCH($C750,Deals!$A$2:$A$355,0))=0,"",INDEX(Deals!$AE$2:$AE$355,MATCH($C750,Deals!$A$2:$A$355,0))),""))</f>
        <v/>
      </c>
      <c r="AE750" s="22">
        <f>IF($C750="","",IFERROR(IF(INDEX(Deals!$AF$2:$AF$355,MATCH($C750,Deals!$A$2:$A$355,0))=0,"",INDEX(Deals!$AF$2:$AF$355,MATCH($C750,Deals!$A$2:$A$355,0))),""))</f>
        <v/>
      </c>
      <c r="AF750" s="35">
        <f>IF($AD750="",DATE(1900,1,1),$AD750)</f>
        <v/>
      </c>
      <c r="AG750" s="35">
        <f>IF($AE750="",DATE(2100,12,31),$AE750)</f>
        <v/>
      </c>
      <c r="AH750" s="22">
        <f>IF($C750="","",IFERROR(IF(INDEX(Deals!$AG$2:$AG$355,MATCH($C750,Deals!$A$2:$A$355,0))=0,"",INDEX(Deals!$AG$2:$AG$355,MATCH($C750,Deals!$A$2:$A$355,0))),""))</f>
        <v/>
      </c>
      <c r="AI750" s="35">
        <f>IF(OR($AH750&lt;&gt;"",AND($AO750&gt;0,$AD750&lt;&gt;"",$AE750&lt;&gt;"")),$AF750,DATE(1900,1,1))</f>
        <v/>
      </c>
      <c r="AJ750" s="35">
        <f>IF($AH750&lt;&gt;"",$AH750,IF(AND($AO750&gt;0,$AD750&lt;&gt;"",$AE750&lt;&gt;""),$AG750,DATE(2100,12,31)))</f>
        <v/>
      </c>
      <c r="AK750" s="32">
        <f>IF($AH750="",$AC750,$AC750*$S750)</f>
        <v/>
      </c>
      <c r="AL750" s="35">
        <f>IF($AH750="",DATE(2100,12,31),$AH750+1)</f>
        <v/>
      </c>
      <c r="AM750" s="35">
        <f>IF($AH750="",DATE(1900,1,1),$AG750)</f>
        <v/>
      </c>
      <c r="AN750" s="32">
        <f>IF($AH750="",0,$AC750*$T750)</f>
        <v/>
      </c>
      <c r="AO750" s="46">
        <f>IF($C750="",0,IFERROR(INDEX(Deals!$BD$2:$BD$355,MATCH($C750,Deals!$A$2:$A$355,0)),0))</f>
        <v/>
      </c>
      <c r="AP750" s="18">
        <f>IF($AO750=0,0,IFERROR(INDEX(Deals!$BJ$2:$BP$355,MATCH($C750,Deals!$A$2:$A$355,0),MATCH($F750,Deals!$BJ$1:$BP$1,0))/COUNTIFS(Assignments!$C$2:$C$769,$C750,Assignments!$F$2:$F$769,$F750,Assignments!$G$2:$G$769,"Active"),0))</f>
        <v/>
      </c>
    </row>
    <row r="751">
      <c r="A751" s="31" t="n"/>
      <c r="B751" s="16">
        <f>IF($A751="","",IFERROR(INDEX(Roster!$B$2:$B$40,MATCH($A751,Roster!$A$2:$A$40,0)),"?"))</f>
        <v/>
      </c>
      <c r="C751" s="31" t="n"/>
      <c r="D751" s="16">
        <f>IF($C751="","",IFERROR(IF(INDEX(Deals!$C$2:$C$355,MATCH($C751,Deals!$A$2:$A$355,0))=0,"",INDEX(Deals!$C$2:$C$355,MATCH($C751,Deals!$A$2:$A$355,0))),"?"))</f>
        <v/>
      </c>
      <c r="E751" s="16">
        <f>IF($C751="","",IFERROR(INDEX(Deals!$F$2:$F$355,MATCH($C751,Deals!$A$2:$A$355,0)),"?"))</f>
        <v/>
      </c>
      <c r="F751" s="31" t="n"/>
      <c r="G751" s="31" t="n"/>
      <c r="H751" s="31" t="n"/>
      <c r="I751" s="32">
        <f>IF(OR($A751="",$G751&lt;&gt;"Active"),0,IF($H751&lt;&gt;"",$H751,IF($AO751&gt;0,$AP751,IF(AND($R751&lt;&gt;"",IFERROR(INDEX(Templates!$B$3:$H$10,MATCH($R751,Templates!$A$3:$A$10,0),MATCH($F751,Templates!$B$2:$H$2,0)),0)&gt;0),INDEX(Templates!$B$3:$H$10,MATCH($R751,Templates!$A$3:$A$10,0),MATCH($F751,Templates!$B$2:$H$2,0)),IFERROR(INDEX(Settings!$B$8:$B$14,MATCH($F751,Settings!$A$8:$A$14,0)),0)))))</f>
        <v/>
      </c>
      <c r="J751" s="21">
        <f>IF($C751="",0,IFERROR(INDEX(Deals!$H$2:$H$355,MATCH($C751,Deals!$A$2:$A$355,0)),0))</f>
        <v/>
      </c>
      <c r="K751" s="32">
        <f>IF(Settings!$B$4="Yes",$I751*$J751,$I751)</f>
        <v/>
      </c>
      <c r="L751" s="22">
        <f>IF($C751="","",IFERROR(IF(INDEX(Deals!$I$2:$I$355,MATCH($C751,Deals!$A$2:$A$355,0))=0,"",INDEX(Deals!$I$2:$I$355,MATCH($C751,Deals!$A$2:$A$355,0))),""))</f>
        <v/>
      </c>
      <c r="M751" s="22">
        <f>IF($C751="","",IFERROR(IF(INDEX(Deals!$J$2:$J$355,MATCH($C751,Deals!$A$2:$A$355,0))=0,"",INDEX(Deals!$J$2:$J$355,MATCH($C751,Deals!$A$2:$A$355,0))),""))</f>
        <v/>
      </c>
      <c r="N751" s="35">
        <f>IF($L751="",DATE(1900,1,1),$L751)</f>
        <v/>
      </c>
      <c r="O751" s="35">
        <f>IF($M751="",DATE(2100,12,31),$M751)</f>
        <v/>
      </c>
      <c r="P751" s="44" t="n"/>
      <c r="Q751" s="31" t="n"/>
      <c r="R751" s="16">
        <f>IF($C751="","",IFERROR(IF(INDEX(Deals!$U$2:$U$355,MATCH($C751,Deals!$A$2:$A$355,0))=0,"",INDEX(Deals!$U$2:$U$355,MATCH($C751,Deals!$A$2:$A$355,0))),""))</f>
        <v/>
      </c>
      <c r="S751" s="34">
        <f>IFERROR(IF($U751="",1,INDEX(Deals!$V$2:$V$355,MATCH($C751,Deals!$A$2:$A$355,0))),1)</f>
        <v/>
      </c>
      <c r="T751" s="34">
        <f>IFERROR(IF($U751="",1,INDEX(Deals!$W$2:$W$355,MATCH($C751,Deals!$A$2:$A$355,0))),1)</f>
        <v/>
      </c>
      <c r="U751" s="22">
        <f>IF($C751="","",IFERROR(IF(INDEX(Deals!$Y$2:$Y$355,MATCH($C751,Deals!$A$2:$A$355,0))=0,"",INDEX(Deals!$Y$2:$Y$355,MATCH($C751,Deals!$A$2:$A$355,0))),""))</f>
        <v/>
      </c>
      <c r="V751" s="35">
        <f>IF(OR($U751&lt;&gt;"",AND($AO751&gt;0,$L751&lt;&gt;"",$M751&lt;&gt;"")),$N751,DATE(1900,1,1))</f>
        <v/>
      </c>
      <c r="W751" s="35">
        <f>IF($U751&lt;&gt;"",$U751,IF(AND($AO751&gt;0,$L751&lt;&gt;"",$M751&lt;&gt;""),$O751,DATE(2100,12,31)))</f>
        <v/>
      </c>
      <c r="X751" s="32">
        <f>IF($U751="",$K751,$K751*$S751)</f>
        <v/>
      </c>
      <c r="Y751" s="35">
        <f>IF($U751="",DATE(2100,12,31),$U751+1)</f>
        <v/>
      </c>
      <c r="Z751" s="35">
        <f>IF($U751="",DATE(1900,1,1),$O751)</f>
        <v/>
      </c>
      <c r="AA751" s="32">
        <f>IF($U751="",0,$K751*$T751)</f>
        <v/>
      </c>
      <c r="AB751" s="21">
        <f>IF($C751="",0,IFERROR(INDEX(Deals!$AD$2:$AD$355,MATCH($C751,Deals!$A$2:$A$355,0)),0))</f>
        <v/>
      </c>
      <c r="AC751" s="32">
        <f>IF(Settings!$B$4="Yes",$I751*$AB751,$I751)</f>
        <v/>
      </c>
      <c r="AD751" s="22">
        <f>IF($C751="","",IFERROR(IF(INDEX(Deals!$AE$2:$AE$355,MATCH($C751,Deals!$A$2:$A$355,0))=0,"",INDEX(Deals!$AE$2:$AE$355,MATCH($C751,Deals!$A$2:$A$355,0))),""))</f>
        <v/>
      </c>
      <c r="AE751" s="22">
        <f>IF($C751="","",IFERROR(IF(INDEX(Deals!$AF$2:$AF$355,MATCH($C751,Deals!$A$2:$A$355,0))=0,"",INDEX(Deals!$AF$2:$AF$355,MATCH($C751,Deals!$A$2:$A$355,0))),""))</f>
        <v/>
      </c>
      <c r="AF751" s="35">
        <f>IF($AD751="",DATE(1900,1,1),$AD751)</f>
        <v/>
      </c>
      <c r="AG751" s="35">
        <f>IF($AE751="",DATE(2100,12,31),$AE751)</f>
        <v/>
      </c>
      <c r="AH751" s="22">
        <f>IF($C751="","",IFERROR(IF(INDEX(Deals!$AG$2:$AG$355,MATCH($C751,Deals!$A$2:$A$355,0))=0,"",INDEX(Deals!$AG$2:$AG$355,MATCH($C751,Deals!$A$2:$A$355,0))),""))</f>
        <v/>
      </c>
      <c r="AI751" s="35">
        <f>IF(OR($AH751&lt;&gt;"",AND($AO751&gt;0,$AD751&lt;&gt;"",$AE751&lt;&gt;"")),$AF751,DATE(1900,1,1))</f>
        <v/>
      </c>
      <c r="AJ751" s="35">
        <f>IF($AH751&lt;&gt;"",$AH751,IF(AND($AO751&gt;0,$AD751&lt;&gt;"",$AE751&lt;&gt;""),$AG751,DATE(2100,12,31)))</f>
        <v/>
      </c>
      <c r="AK751" s="32">
        <f>IF($AH751="",$AC751,$AC751*$S751)</f>
        <v/>
      </c>
      <c r="AL751" s="35">
        <f>IF($AH751="",DATE(2100,12,31),$AH751+1)</f>
        <v/>
      </c>
      <c r="AM751" s="35">
        <f>IF($AH751="",DATE(1900,1,1),$AG751)</f>
        <v/>
      </c>
      <c r="AN751" s="32">
        <f>IF($AH751="",0,$AC751*$T751)</f>
        <v/>
      </c>
      <c r="AO751" s="46">
        <f>IF($C751="",0,IFERROR(INDEX(Deals!$BD$2:$BD$355,MATCH($C751,Deals!$A$2:$A$355,0)),0))</f>
        <v/>
      </c>
      <c r="AP751" s="18">
        <f>IF($AO751=0,0,IFERROR(INDEX(Deals!$BJ$2:$BP$355,MATCH($C751,Deals!$A$2:$A$355,0),MATCH($F751,Deals!$BJ$1:$BP$1,0))/COUNTIFS(Assignments!$C$2:$C$769,$C751,Assignments!$F$2:$F$769,$F751,Assignments!$G$2:$G$769,"Active"),0))</f>
        <v/>
      </c>
    </row>
    <row r="752">
      <c r="A752" s="31" t="n"/>
      <c r="B752" s="16">
        <f>IF($A752="","",IFERROR(INDEX(Roster!$B$2:$B$40,MATCH($A752,Roster!$A$2:$A$40,0)),"?"))</f>
        <v/>
      </c>
      <c r="C752" s="31" t="n"/>
      <c r="D752" s="16">
        <f>IF($C752="","",IFERROR(IF(INDEX(Deals!$C$2:$C$355,MATCH($C752,Deals!$A$2:$A$355,0))=0,"",INDEX(Deals!$C$2:$C$355,MATCH($C752,Deals!$A$2:$A$355,0))),"?"))</f>
        <v/>
      </c>
      <c r="E752" s="16">
        <f>IF($C752="","",IFERROR(INDEX(Deals!$F$2:$F$355,MATCH($C752,Deals!$A$2:$A$355,0)),"?"))</f>
        <v/>
      </c>
      <c r="F752" s="31" t="n"/>
      <c r="G752" s="31" t="n"/>
      <c r="H752" s="31" t="n"/>
      <c r="I752" s="32">
        <f>IF(OR($A752="",$G752&lt;&gt;"Active"),0,IF($H752&lt;&gt;"",$H752,IF($AO752&gt;0,$AP752,IF(AND($R752&lt;&gt;"",IFERROR(INDEX(Templates!$B$3:$H$10,MATCH($R752,Templates!$A$3:$A$10,0),MATCH($F752,Templates!$B$2:$H$2,0)),0)&gt;0),INDEX(Templates!$B$3:$H$10,MATCH($R752,Templates!$A$3:$A$10,0),MATCH($F752,Templates!$B$2:$H$2,0)),IFERROR(INDEX(Settings!$B$8:$B$14,MATCH($F752,Settings!$A$8:$A$14,0)),0)))))</f>
        <v/>
      </c>
      <c r="J752" s="21">
        <f>IF($C752="",0,IFERROR(INDEX(Deals!$H$2:$H$355,MATCH($C752,Deals!$A$2:$A$355,0)),0))</f>
        <v/>
      </c>
      <c r="K752" s="32">
        <f>IF(Settings!$B$4="Yes",$I752*$J752,$I752)</f>
        <v/>
      </c>
      <c r="L752" s="22">
        <f>IF($C752="","",IFERROR(IF(INDEX(Deals!$I$2:$I$355,MATCH($C752,Deals!$A$2:$A$355,0))=0,"",INDEX(Deals!$I$2:$I$355,MATCH($C752,Deals!$A$2:$A$355,0))),""))</f>
        <v/>
      </c>
      <c r="M752" s="22">
        <f>IF($C752="","",IFERROR(IF(INDEX(Deals!$J$2:$J$355,MATCH($C752,Deals!$A$2:$A$355,0))=0,"",INDEX(Deals!$J$2:$J$355,MATCH($C752,Deals!$A$2:$A$355,0))),""))</f>
        <v/>
      </c>
      <c r="N752" s="35">
        <f>IF($L752="",DATE(1900,1,1),$L752)</f>
        <v/>
      </c>
      <c r="O752" s="35">
        <f>IF($M752="",DATE(2100,12,31),$M752)</f>
        <v/>
      </c>
      <c r="P752" s="44" t="n"/>
      <c r="Q752" s="31" t="n"/>
      <c r="R752" s="16">
        <f>IF($C752="","",IFERROR(IF(INDEX(Deals!$U$2:$U$355,MATCH($C752,Deals!$A$2:$A$355,0))=0,"",INDEX(Deals!$U$2:$U$355,MATCH($C752,Deals!$A$2:$A$355,0))),""))</f>
        <v/>
      </c>
      <c r="S752" s="34">
        <f>IFERROR(IF($U752="",1,INDEX(Deals!$V$2:$V$355,MATCH($C752,Deals!$A$2:$A$355,0))),1)</f>
        <v/>
      </c>
      <c r="T752" s="34">
        <f>IFERROR(IF($U752="",1,INDEX(Deals!$W$2:$W$355,MATCH($C752,Deals!$A$2:$A$355,0))),1)</f>
        <v/>
      </c>
      <c r="U752" s="22">
        <f>IF($C752="","",IFERROR(IF(INDEX(Deals!$Y$2:$Y$355,MATCH($C752,Deals!$A$2:$A$355,0))=0,"",INDEX(Deals!$Y$2:$Y$355,MATCH($C752,Deals!$A$2:$A$355,0))),""))</f>
        <v/>
      </c>
      <c r="V752" s="35">
        <f>IF(OR($U752&lt;&gt;"",AND($AO752&gt;0,$L752&lt;&gt;"",$M752&lt;&gt;"")),$N752,DATE(1900,1,1))</f>
        <v/>
      </c>
      <c r="W752" s="35">
        <f>IF($U752&lt;&gt;"",$U752,IF(AND($AO752&gt;0,$L752&lt;&gt;"",$M752&lt;&gt;""),$O752,DATE(2100,12,31)))</f>
        <v/>
      </c>
      <c r="X752" s="32">
        <f>IF($U752="",$K752,$K752*$S752)</f>
        <v/>
      </c>
      <c r="Y752" s="35">
        <f>IF($U752="",DATE(2100,12,31),$U752+1)</f>
        <v/>
      </c>
      <c r="Z752" s="35">
        <f>IF($U752="",DATE(1900,1,1),$O752)</f>
        <v/>
      </c>
      <c r="AA752" s="32">
        <f>IF($U752="",0,$K752*$T752)</f>
        <v/>
      </c>
      <c r="AB752" s="21">
        <f>IF($C752="",0,IFERROR(INDEX(Deals!$AD$2:$AD$355,MATCH($C752,Deals!$A$2:$A$355,0)),0))</f>
        <v/>
      </c>
      <c r="AC752" s="32">
        <f>IF(Settings!$B$4="Yes",$I752*$AB752,$I752)</f>
        <v/>
      </c>
      <c r="AD752" s="22">
        <f>IF($C752="","",IFERROR(IF(INDEX(Deals!$AE$2:$AE$355,MATCH($C752,Deals!$A$2:$A$355,0))=0,"",INDEX(Deals!$AE$2:$AE$355,MATCH($C752,Deals!$A$2:$A$355,0))),""))</f>
        <v/>
      </c>
      <c r="AE752" s="22">
        <f>IF($C752="","",IFERROR(IF(INDEX(Deals!$AF$2:$AF$355,MATCH($C752,Deals!$A$2:$A$355,0))=0,"",INDEX(Deals!$AF$2:$AF$355,MATCH($C752,Deals!$A$2:$A$355,0))),""))</f>
        <v/>
      </c>
      <c r="AF752" s="35">
        <f>IF($AD752="",DATE(1900,1,1),$AD752)</f>
        <v/>
      </c>
      <c r="AG752" s="35">
        <f>IF($AE752="",DATE(2100,12,31),$AE752)</f>
        <v/>
      </c>
      <c r="AH752" s="22">
        <f>IF($C752="","",IFERROR(IF(INDEX(Deals!$AG$2:$AG$355,MATCH($C752,Deals!$A$2:$A$355,0))=0,"",INDEX(Deals!$AG$2:$AG$355,MATCH($C752,Deals!$A$2:$A$355,0))),""))</f>
        <v/>
      </c>
      <c r="AI752" s="35">
        <f>IF(OR($AH752&lt;&gt;"",AND($AO752&gt;0,$AD752&lt;&gt;"",$AE752&lt;&gt;"")),$AF752,DATE(1900,1,1))</f>
        <v/>
      </c>
      <c r="AJ752" s="35">
        <f>IF($AH752&lt;&gt;"",$AH752,IF(AND($AO752&gt;0,$AD752&lt;&gt;"",$AE752&lt;&gt;""),$AG752,DATE(2100,12,31)))</f>
        <v/>
      </c>
      <c r="AK752" s="32">
        <f>IF($AH752="",$AC752,$AC752*$S752)</f>
        <v/>
      </c>
      <c r="AL752" s="35">
        <f>IF($AH752="",DATE(2100,12,31),$AH752+1)</f>
        <v/>
      </c>
      <c r="AM752" s="35">
        <f>IF($AH752="",DATE(1900,1,1),$AG752)</f>
        <v/>
      </c>
      <c r="AN752" s="32">
        <f>IF($AH752="",0,$AC752*$T752)</f>
        <v/>
      </c>
      <c r="AO752" s="46">
        <f>IF($C752="",0,IFERROR(INDEX(Deals!$BD$2:$BD$355,MATCH($C752,Deals!$A$2:$A$355,0)),0))</f>
        <v/>
      </c>
      <c r="AP752" s="18">
        <f>IF($AO752=0,0,IFERROR(INDEX(Deals!$BJ$2:$BP$355,MATCH($C752,Deals!$A$2:$A$355,0),MATCH($F752,Deals!$BJ$1:$BP$1,0))/COUNTIFS(Assignments!$C$2:$C$769,$C752,Assignments!$F$2:$F$769,$F752,Assignments!$G$2:$G$769,"Active"),0))</f>
        <v/>
      </c>
    </row>
    <row r="753">
      <c r="A753" s="31" t="n"/>
      <c r="B753" s="16">
        <f>IF($A753="","",IFERROR(INDEX(Roster!$B$2:$B$40,MATCH($A753,Roster!$A$2:$A$40,0)),"?"))</f>
        <v/>
      </c>
      <c r="C753" s="31" t="n"/>
      <c r="D753" s="16">
        <f>IF($C753="","",IFERROR(IF(INDEX(Deals!$C$2:$C$355,MATCH($C753,Deals!$A$2:$A$355,0))=0,"",INDEX(Deals!$C$2:$C$355,MATCH($C753,Deals!$A$2:$A$355,0))),"?"))</f>
        <v/>
      </c>
      <c r="E753" s="16">
        <f>IF($C753="","",IFERROR(INDEX(Deals!$F$2:$F$355,MATCH($C753,Deals!$A$2:$A$355,0)),"?"))</f>
        <v/>
      </c>
      <c r="F753" s="31" t="n"/>
      <c r="G753" s="31" t="n"/>
      <c r="H753" s="31" t="n"/>
      <c r="I753" s="32">
        <f>IF(OR($A753="",$G753&lt;&gt;"Active"),0,IF($H753&lt;&gt;"",$H753,IF($AO753&gt;0,$AP753,IF(AND($R753&lt;&gt;"",IFERROR(INDEX(Templates!$B$3:$H$10,MATCH($R753,Templates!$A$3:$A$10,0),MATCH($F753,Templates!$B$2:$H$2,0)),0)&gt;0),INDEX(Templates!$B$3:$H$10,MATCH($R753,Templates!$A$3:$A$10,0),MATCH($F753,Templates!$B$2:$H$2,0)),IFERROR(INDEX(Settings!$B$8:$B$14,MATCH($F753,Settings!$A$8:$A$14,0)),0)))))</f>
        <v/>
      </c>
      <c r="J753" s="21">
        <f>IF($C753="",0,IFERROR(INDEX(Deals!$H$2:$H$355,MATCH($C753,Deals!$A$2:$A$355,0)),0))</f>
        <v/>
      </c>
      <c r="K753" s="32">
        <f>IF(Settings!$B$4="Yes",$I753*$J753,$I753)</f>
        <v/>
      </c>
      <c r="L753" s="22">
        <f>IF($C753="","",IFERROR(IF(INDEX(Deals!$I$2:$I$355,MATCH($C753,Deals!$A$2:$A$355,0))=0,"",INDEX(Deals!$I$2:$I$355,MATCH($C753,Deals!$A$2:$A$355,0))),""))</f>
        <v/>
      </c>
      <c r="M753" s="22">
        <f>IF($C753="","",IFERROR(IF(INDEX(Deals!$J$2:$J$355,MATCH($C753,Deals!$A$2:$A$355,0))=0,"",INDEX(Deals!$J$2:$J$355,MATCH($C753,Deals!$A$2:$A$355,0))),""))</f>
        <v/>
      </c>
      <c r="N753" s="35">
        <f>IF($L753="",DATE(1900,1,1),$L753)</f>
        <v/>
      </c>
      <c r="O753" s="35">
        <f>IF($M753="",DATE(2100,12,31),$M753)</f>
        <v/>
      </c>
      <c r="P753" s="44" t="n"/>
      <c r="Q753" s="31" t="n"/>
      <c r="R753" s="16">
        <f>IF($C753="","",IFERROR(IF(INDEX(Deals!$U$2:$U$355,MATCH($C753,Deals!$A$2:$A$355,0))=0,"",INDEX(Deals!$U$2:$U$355,MATCH($C753,Deals!$A$2:$A$355,0))),""))</f>
        <v/>
      </c>
      <c r="S753" s="34">
        <f>IFERROR(IF($U753="",1,INDEX(Deals!$V$2:$V$355,MATCH($C753,Deals!$A$2:$A$355,0))),1)</f>
        <v/>
      </c>
      <c r="T753" s="34">
        <f>IFERROR(IF($U753="",1,INDEX(Deals!$W$2:$W$355,MATCH($C753,Deals!$A$2:$A$355,0))),1)</f>
        <v/>
      </c>
      <c r="U753" s="22">
        <f>IF($C753="","",IFERROR(IF(INDEX(Deals!$Y$2:$Y$355,MATCH($C753,Deals!$A$2:$A$355,0))=0,"",INDEX(Deals!$Y$2:$Y$355,MATCH($C753,Deals!$A$2:$A$355,0))),""))</f>
        <v/>
      </c>
      <c r="V753" s="35">
        <f>IF(OR($U753&lt;&gt;"",AND($AO753&gt;0,$L753&lt;&gt;"",$M753&lt;&gt;"")),$N753,DATE(1900,1,1))</f>
        <v/>
      </c>
      <c r="W753" s="35">
        <f>IF($U753&lt;&gt;"",$U753,IF(AND($AO753&gt;0,$L753&lt;&gt;"",$M753&lt;&gt;""),$O753,DATE(2100,12,31)))</f>
        <v/>
      </c>
      <c r="X753" s="32">
        <f>IF($U753="",$K753,$K753*$S753)</f>
        <v/>
      </c>
      <c r="Y753" s="35">
        <f>IF($U753="",DATE(2100,12,31),$U753+1)</f>
        <v/>
      </c>
      <c r="Z753" s="35">
        <f>IF($U753="",DATE(1900,1,1),$O753)</f>
        <v/>
      </c>
      <c r="AA753" s="32">
        <f>IF($U753="",0,$K753*$T753)</f>
        <v/>
      </c>
      <c r="AB753" s="21">
        <f>IF($C753="",0,IFERROR(INDEX(Deals!$AD$2:$AD$355,MATCH($C753,Deals!$A$2:$A$355,0)),0))</f>
        <v/>
      </c>
      <c r="AC753" s="32">
        <f>IF(Settings!$B$4="Yes",$I753*$AB753,$I753)</f>
        <v/>
      </c>
      <c r="AD753" s="22">
        <f>IF($C753="","",IFERROR(IF(INDEX(Deals!$AE$2:$AE$355,MATCH($C753,Deals!$A$2:$A$355,0))=0,"",INDEX(Deals!$AE$2:$AE$355,MATCH($C753,Deals!$A$2:$A$355,0))),""))</f>
        <v/>
      </c>
      <c r="AE753" s="22">
        <f>IF($C753="","",IFERROR(IF(INDEX(Deals!$AF$2:$AF$355,MATCH($C753,Deals!$A$2:$A$355,0))=0,"",INDEX(Deals!$AF$2:$AF$355,MATCH($C753,Deals!$A$2:$A$355,0))),""))</f>
        <v/>
      </c>
      <c r="AF753" s="35">
        <f>IF($AD753="",DATE(1900,1,1),$AD753)</f>
        <v/>
      </c>
      <c r="AG753" s="35">
        <f>IF($AE753="",DATE(2100,12,31),$AE753)</f>
        <v/>
      </c>
      <c r="AH753" s="22">
        <f>IF($C753="","",IFERROR(IF(INDEX(Deals!$AG$2:$AG$355,MATCH($C753,Deals!$A$2:$A$355,0))=0,"",INDEX(Deals!$AG$2:$AG$355,MATCH($C753,Deals!$A$2:$A$355,0))),""))</f>
        <v/>
      </c>
      <c r="AI753" s="35">
        <f>IF(OR($AH753&lt;&gt;"",AND($AO753&gt;0,$AD753&lt;&gt;"",$AE753&lt;&gt;"")),$AF753,DATE(1900,1,1))</f>
        <v/>
      </c>
      <c r="AJ753" s="35">
        <f>IF($AH753&lt;&gt;"",$AH753,IF(AND($AO753&gt;0,$AD753&lt;&gt;"",$AE753&lt;&gt;""),$AG753,DATE(2100,12,31)))</f>
        <v/>
      </c>
      <c r="AK753" s="32">
        <f>IF($AH753="",$AC753,$AC753*$S753)</f>
        <v/>
      </c>
      <c r="AL753" s="35">
        <f>IF($AH753="",DATE(2100,12,31),$AH753+1)</f>
        <v/>
      </c>
      <c r="AM753" s="35">
        <f>IF($AH753="",DATE(1900,1,1),$AG753)</f>
        <v/>
      </c>
      <c r="AN753" s="32">
        <f>IF($AH753="",0,$AC753*$T753)</f>
        <v/>
      </c>
      <c r="AO753" s="46">
        <f>IF($C753="",0,IFERROR(INDEX(Deals!$BD$2:$BD$355,MATCH($C753,Deals!$A$2:$A$355,0)),0))</f>
        <v/>
      </c>
      <c r="AP753" s="18">
        <f>IF($AO753=0,0,IFERROR(INDEX(Deals!$BJ$2:$BP$355,MATCH($C753,Deals!$A$2:$A$355,0),MATCH($F753,Deals!$BJ$1:$BP$1,0))/COUNTIFS(Assignments!$C$2:$C$769,$C753,Assignments!$F$2:$F$769,$F753,Assignments!$G$2:$G$769,"Active"),0))</f>
        <v/>
      </c>
    </row>
    <row r="754">
      <c r="A754" s="31" t="n"/>
      <c r="B754" s="16">
        <f>IF($A754="","",IFERROR(INDEX(Roster!$B$2:$B$40,MATCH($A754,Roster!$A$2:$A$40,0)),"?"))</f>
        <v/>
      </c>
      <c r="C754" s="31" t="n"/>
      <c r="D754" s="16">
        <f>IF($C754="","",IFERROR(IF(INDEX(Deals!$C$2:$C$355,MATCH($C754,Deals!$A$2:$A$355,0))=0,"",INDEX(Deals!$C$2:$C$355,MATCH($C754,Deals!$A$2:$A$355,0))),"?"))</f>
        <v/>
      </c>
      <c r="E754" s="16">
        <f>IF($C754="","",IFERROR(INDEX(Deals!$F$2:$F$355,MATCH($C754,Deals!$A$2:$A$355,0)),"?"))</f>
        <v/>
      </c>
      <c r="F754" s="31" t="n"/>
      <c r="G754" s="31" t="n"/>
      <c r="H754" s="31" t="n"/>
      <c r="I754" s="32">
        <f>IF(OR($A754="",$G754&lt;&gt;"Active"),0,IF($H754&lt;&gt;"",$H754,IF($AO754&gt;0,$AP754,IF(AND($R754&lt;&gt;"",IFERROR(INDEX(Templates!$B$3:$H$10,MATCH($R754,Templates!$A$3:$A$10,0),MATCH($F754,Templates!$B$2:$H$2,0)),0)&gt;0),INDEX(Templates!$B$3:$H$10,MATCH($R754,Templates!$A$3:$A$10,0),MATCH($F754,Templates!$B$2:$H$2,0)),IFERROR(INDEX(Settings!$B$8:$B$14,MATCH($F754,Settings!$A$8:$A$14,0)),0)))))</f>
        <v/>
      </c>
      <c r="J754" s="21">
        <f>IF($C754="",0,IFERROR(INDEX(Deals!$H$2:$H$355,MATCH($C754,Deals!$A$2:$A$355,0)),0))</f>
        <v/>
      </c>
      <c r="K754" s="32">
        <f>IF(Settings!$B$4="Yes",$I754*$J754,$I754)</f>
        <v/>
      </c>
      <c r="L754" s="22">
        <f>IF($C754="","",IFERROR(IF(INDEX(Deals!$I$2:$I$355,MATCH($C754,Deals!$A$2:$A$355,0))=0,"",INDEX(Deals!$I$2:$I$355,MATCH($C754,Deals!$A$2:$A$355,0))),""))</f>
        <v/>
      </c>
      <c r="M754" s="22">
        <f>IF($C754="","",IFERROR(IF(INDEX(Deals!$J$2:$J$355,MATCH($C754,Deals!$A$2:$A$355,0))=0,"",INDEX(Deals!$J$2:$J$355,MATCH($C754,Deals!$A$2:$A$355,0))),""))</f>
        <v/>
      </c>
      <c r="N754" s="35">
        <f>IF($L754="",DATE(1900,1,1),$L754)</f>
        <v/>
      </c>
      <c r="O754" s="35">
        <f>IF($M754="",DATE(2100,12,31),$M754)</f>
        <v/>
      </c>
      <c r="P754" s="44" t="n"/>
      <c r="Q754" s="31" t="n"/>
      <c r="R754" s="16">
        <f>IF($C754="","",IFERROR(IF(INDEX(Deals!$U$2:$U$355,MATCH($C754,Deals!$A$2:$A$355,0))=0,"",INDEX(Deals!$U$2:$U$355,MATCH($C754,Deals!$A$2:$A$355,0))),""))</f>
        <v/>
      </c>
      <c r="S754" s="34">
        <f>IFERROR(IF($U754="",1,INDEX(Deals!$V$2:$V$355,MATCH($C754,Deals!$A$2:$A$355,0))),1)</f>
        <v/>
      </c>
      <c r="T754" s="34">
        <f>IFERROR(IF($U754="",1,INDEX(Deals!$W$2:$W$355,MATCH($C754,Deals!$A$2:$A$355,0))),1)</f>
        <v/>
      </c>
      <c r="U754" s="22">
        <f>IF($C754="","",IFERROR(IF(INDEX(Deals!$Y$2:$Y$355,MATCH($C754,Deals!$A$2:$A$355,0))=0,"",INDEX(Deals!$Y$2:$Y$355,MATCH($C754,Deals!$A$2:$A$355,0))),""))</f>
        <v/>
      </c>
      <c r="V754" s="35">
        <f>IF(OR($U754&lt;&gt;"",AND($AO754&gt;0,$L754&lt;&gt;"",$M754&lt;&gt;"")),$N754,DATE(1900,1,1))</f>
        <v/>
      </c>
      <c r="W754" s="35">
        <f>IF($U754&lt;&gt;"",$U754,IF(AND($AO754&gt;0,$L754&lt;&gt;"",$M754&lt;&gt;""),$O754,DATE(2100,12,31)))</f>
        <v/>
      </c>
      <c r="X754" s="32">
        <f>IF($U754="",$K754,$K754*$S754)</f>
        <v/>
      </c>
      <c r="Y754" s="35">
        <f>IF($U754="",DATE(2100,12,31),$U754+1)</f>
        <v/>
      </c>
      <c r="Z754" s="35">
        <f>IF($U754="",DATE(1900,1,1),$O754)</f>
        <v/>
      </c>
      <c r="AA754" s="32">
        <f>IF($U754="",0,$K754*$T754)</f>
        <v/>
      </c>
      <c r="AB754" s="21">
        <f>IF($C754="",0,IFERROR(INDEX(Deals!$AD$2:$AD$355,MATCH($C754,Deals!$A$2:$A$355,0)),0))</f>
        <v/>
      </c>
      <c r="AC754" s="32">
        <f>IF(Settings!$B$4="Yes",$I754*$AB754,$I754)</f>
        <v/>
      </c>
      <c r="AD754" s="22">
        <f>IF($C754="","",IFERROR(IF(INDEX(Deals!$AE$2:$AE$355,MATCH($C754,Deals!$A$2:$A$355,0))=0,"",INDEX(Deals!$AE$2:$AE$355,MATCH($C754,Deals!$A$2:$A$355,0))),""))</f>
        <v/>
      </c>
      <c r="AE754" s="22">
        <f>IF($C754="","",IFERROR(IF(INDEX(Deals!$AF$2:$AF$355,MATCH($C754,Deals!$A$2:$A$355,0))=0,"",INDEX(Deals!$AF$2:$AF$355,MATCH($C754,Deals!$A$2:$A$355,0))),""))</f>
        <v/>
      </c>
      <c r="AF754" s="35">
        <f>IF($AD754="",DATE(1900,1,1),$AD754)</f>
        <v/>
      </c>
      <c r="AG754" s="35">
        <f>IF($AE754="",DATE(2100,12,31),$AE754)</f>
        <v/>
      </c>
      <c r="AH754" s="22">
        <f>IF($C754="","",IFERROR(IF(INDEX(Deals!$AG$2:$AG$355,MATCH($C754,Deals!$A$2:$A$355,0))=0,"",INDEX(Deals!$AG$2:$AG$355,MATCH($C754,Deals!$A$2:$A$355,0))),""))</f>
        <v/>
      </c>
      <c r="AI754" s="35">
        <f>IF(OR($AH754&lt;&gt;"",AND($AO754&gt;0,$AD754&lt;&gt;"",$AE754&lt;&gt;"")),$AF754,DATE(1900,1,1))</f>
        <v/>
      </c>
      <c r="AJ754" s="35">
        <f>IF($AH754&lt;&gt;"",$AH754,IF(AND($AO754&gt;0,$AD754&lt;&gt;"",$AE754&lt;&gt;""),$AG754,DATE(2100,12,31)))</f>
        <v/>
      </c>
      <c r="AK754" s="32">
        <f>IF($AH754="",$AC754,$AC754*$S754)</f>
        <v/>
      </c>
      <c r="AL754" s="35">
        <f>IF($AH754="",DATE(2100,12,31),$AH754+1)</f>
        <v/>
      </c>
      <c r="AM754" s="35">
        <f>IF($AH754="",DATE(1900,1,1),$AG754)</f>
        <v/>
      </c>
      <c r="AN754" s="32">
        <f>IF($AH754="",0,$AC754*$T754)</f>
        <v/>
      </c>
      <c r="AO754" s="46">
        <f>IF($C754="",0,IFERROR(INDEX(Deals!$BD$2:$BD$355,MATCH($C754,Deals!$A$2:$A$355,0)),0))</f>
        <v/>
      </c>
      <c r="AP754" s="18">
        <f>IF($AO754=0,0,IFERROR(INDEX(Deals!$BJ$2:$BP$355,MATCH($C754,Deals!$A$2:$A$355,0),MATCH($F754,Deals!$BJ$1:$BP$1,0))/COUNTIFS(Assignments!$C$2:$C$769,$C754,Assignments!$F$2:$F$769,$F754,Assignments!$G$2:$G$769,"Active"),0))</f>
        <v/>
      </c>
    </row>
    <row r="755">
      <c r="A755" s="31" t="n"/>
      <c r="B755" s="16">
        <f>IF($A755="","",IFERROR(INDEX(Roster!$B$2:$B$40,MATCH($A755,Roster!$A$2:$A$40,0)),"?"))</f>
        <v/>
      </c>
      <c r="C755" s="31" t="n"/>
      <c r="D755" s="16">
        <f>IF($C755="","",IFERROR(IF(INDEX(Deals!$C$2:$C$355,MATCH($C755,Deals!$A$2:$A$355,0))=0,"",INDEX(Deals!$C$2:$C$355,MATCH($C755,Deals!$A$2:$A$355,0))),"?"))</f>
        <v/>
      </c>
      <c r="E755" s="16">
        <f>IF($C755="","",IFERROR(INDEX(Deals!$F$2:$F$355,MATCH($C755,Deals!$A$2:$A$355,0)),"?"))</f>
        <v/>
      </c>
      <c r="F755" s="31" t="n"/>
      <c r="G755" s="31" t="n"/>
      <c r="H755" s="31" t="n"/>
      <c r="I755" s="32">
        <f>IF(OR($A755="",$G755&lt;&gt;"Active"),0,IF($H755&lt;&gt;"",$H755,IF($AO755&gt;0,$AP755,IF(AND($R755&lt;&gt;"",IFERROR(INDEX(Templates!$B$3:$H$10,MATCH($R755,Templates!$A$3:$A$10,0),MATCH($F755,Templates!$B$2:$H$2,0)),0)&gt;0),INDEX(Templates!$B$3:$H$10,MATCH($R755,Templates!$A$3:$A$10,0),MATCH($F755,Templates!$B$2:$H$2,0)),IFERROR(INDEX(Settings!$B$8:$B$14,MATCH($F755,Settings!$A$8:$A$14,0)),0)))))</f>
        <v/>
      </c>
      <c r="J755" s="21">
        <f>IF($C755="",0,IFERROR(INDEX(Deals!$H$2:$H$355,MATCH($C755,Deals!$A$2:$A$355,0)),0))</f>
        <v/>
      </c>
      <c r="K755" s="32">
        <f>IF(Settings!$B$4="Yes",$I755*$J755,$I755)</f>
        <v/>
      </c>
      <c r="L755" s="22">
        <f>IF($C755="","",IFERROR(IF(INDEX(Deals!$I$2:$I$355,MATCH($C755,Deals!$A$2:$A$355,0))=0,"",INDEX(Deals!$I$2:$I$355,MATCH($C755,Deals!$A$2:$A$355,0))),""))</f>
        <v/>
      </c>
      <c r="M755" s="22">
        <f>IF($C755="","",IFERROR(IF(INDEX(Deals!$J$2:$J$355,MATCH($C755,Deals!$A$2:$A$355,0))=0,"",INDEX(Deals!$J$2:$J$355,MATCH($C755,Deals!$A$2:$A$355,0))),""))</f>
        <v/>
      </c>
      <c r="N755" s="35">
        <f>IF($L755="",DATE(1900,1,1),$L755)</f>
        <v/>
      </c>
      <c r="O755" s="35">
        <f>IF($M755="",DATE(2100,12,31),$M755)</f>
        <v/>
      </c>
      <c r="P755" s="44" t="n"/>
      <c r="Q755" s="31" t="n"/>
      <c r="R755" s="16">
        <f>IF($C755="","",IFERROR(IF(INDEX(Deals!$U$2:$U$355,MATCH($C755,Deals!$A$2:$A$355,0))=0,"",INDEX(Deals!$U$2:$U$355,MATCH($C755,Deals!$A$2:$A$355,0))),""))</f>
        <v/>
      </c>
      <c r="S755" s="34">
        <f>IFERROR(IF($U755="",1,INDEX(Deals!$V$2:$V$355,MATCH($C755,Deals!$A$2:$A$355,0))),1)</f>
        <v/>
      </c>
      <c r="T755" s="34">
        <f>IFERROR(IF($U755="",1,INDEX(Deals!$W$2:$W$355,MATCH($C755,Deals!$A$2:$A$355,0))),1)</f>
        <v/>
      </c>
      <c r="U755" s="22">
        <f>IF($C755="","",IFERROR(IF(INDEX(Deals!$Y$2:$Y$355,MATCH($C755,Deals!$A$2:$A$355,0))=0,"",INDEX(Deals!$Y$2:$Y$355,MATCH($C755,Deals!$A$2:$A$355,0))),""))</f>
        <v/>
      </c>
      <c r="V755" s="35">
        <f>IF(OR($U755&lt;&gt;"",AND($AO755&gt;0,$L755&lt;&gt;"",$M755&lt;&gt;"")),$N755,DATE(1900,1,1))</f>
        <v/>
      </c>
      <c r="W755" s="35">
        <f>IF($U755&lt;&gt;"",$U755,IF(AND($AO755&gt;0,$L755&lt;&gt;"",$M755&lt;&gt;""),$O755,DATE(2100,12,31)))</f>
        <v/>
      </c>
      <c r="X755" s="32">
        <f>IF($U755="",$K755,$K755*$S755)</f>
        <v/>
      </c>
      <c r="Y755" s="35">
        <f>IF($U755="",DATE(2100,12,31),$U755+1)</f>
        <v/>
      </c>
      <c r="Z755" s="35">
        <f>IF($U755="",DATE(1900,1,1),$O755)</f>
        <v/>
      </c>
      <c r="AA755" s="32">
        <f>IF($U755="",0,$K755*$T755)</f>
        <v/>
      </c>
      <c r="AB755" s="21">
        <f>IF($C755="",0,IFERROR(INDEX(Deals!$AD$2:$AD$355,MATCH($C755,Deals!$A$2:$A$355,0)),0))</f>
        <v/>
      </c>
      <c r="AC755" s="32">
        <f>IF(Settings!$B$4="Yes",$I755*$AB755,$I755)</f>
        <v/>
      </c>
      <c r="AD755" s="22">
        <f>IF($C755="","",IFERROR(IF(INDEX(Deals!$AE$2:$AE$355,MATCH($C755,Deals!$A$2:$A$355,0))=0,"",INDEX(Deals!$AE$2:$AE$355,MATCH($C755,Deals!$A$2:$A$355,0))),""))</f>
        <v/>
      </c>
      <c r="AE755" s="22">
        <f>IF($C755="","",IFERROR(IF(INDEX(Deals!$AF$2:$AF$355,MATCH($C755,Deals!$A$2:$A$355,0))=0,"",INDEX(Deals!$AF$2:$AF$355,MATCH($C755,Deals!$A$2:$A$355,0))),""))</f>
        <v/>
      </c>
      <c r="AF755" s="35">
        <f>IF($AD755="",DATE(1900,1,1),$AD755)</f>
        <v/>
      </c>
      <c r="AG755" s="35">
        <f>IF($AE755="",DATE(2100,12,31),$AE755)</f>
        <v/>
      </c>
      <c r="AH755" s="22">
        <f>IF($C755="","",IFERROR(IF(INDEX(Deals!$AG$2:$AG$355,MATCH($C755,Deals!$A$2:$A$355,0))=0,"",INDEX(Deals!$AG$2:$AG$355,MATCH($C755,Deals!$A$2:$A$355,0))),""))</f>
        <v/>
      </c>
      <c r="AI755" s="35">
        <f>IF(OR($AH755&lt;&gt;"",AND($AO755&gt;0,$AD755&lt;&gt;"",$AE755&lt;&gt;"")),$AF755,DATE(1900,1,1))</f>
        <v/>
      </c>
      <c r="AJ755" s="35">
        <f>IF($AH755&lt;&gt;"",$AH755,IF(AND($AO755&gt;0,$AD755&lt;&gt;"",$AE755&lt;&gt;""),$AG755,DATE(2100,12,31)))</f>
        <v/>
      </c>
      <c r="AK755" s="32">
        <f>IF($AH755="",$AC755,$AC755*$S755)</f>
        <v/>
      </c>
      <c r="AL755" s="35">
        <f>IF($AH755="",DATE(2100,12,31),$AH755+1)</f>
        <v/>
      </c>
      <c r="AM755" s="35">
        <f>IF($AH755="",DATE(1900,1,1),$AG755)</f>
        <v/>
      </c>
      <c r="AN755" s="32">
        <f>IF($AH755="",0,$AC755*$T755)</f>
        <v/>
      </c>
      <c r="AO755" s="46">
        <f>IF($C755="",0,IFERROR(INDEX(Deals!$BD$2:$BD$355,MATCH($C755,Deals!$A$2:$A$355,0)),0))</f>
        <v/>
      </c>
      <c r="AP755" s="18">
        <f>IF($AO755=0,0,IFERROR(INDEX(Deals!$BJ$2:$BP$355,MATCH($C755,Deals!$A$2:$A$355,0),MATCH($F755,Deals!$BJ$1:$BP$1,0))/COUNTIFS(Assignments!$C$2:$C$769,$C755,Assignments!$F$2:$F$769,$F755,Assignments!$G$2:$G$769,"Active"),0))</f>
        <v/>
      </c>
    </row>
    <row r="756">
      <c r="A756" s="31" t="n"/>
      <c r="B756" s="16">
        <f>IF($A756="","",IFERROR(INDEX(Roster!$B$2:$B$40,MATCH($A756,Roster!$A$2:$A$40,0)),"?"))</f>
        <v/>
      </c>
      <c r="C756" s="31" t="n"/>
      <c r="D756" s="16">
        <f>IF($C756="","",IFERROR(IF(INDEX(Deals!$C$2:$C$355,MATCH($C756,Deals!$A$2:$A$355,0))=0,"",INDEX(Deals!$C$2:$C$355,MATCH($C756,Deals!$A$2:$A$355,0))),"?"))</f>
        <v/>
      </c>
      <c r="E756" s="16">
        <f>IF($C756="","",IFERROR(INDEX(Deals!$F$2:$F$355,MATCH($C756,Deals!$A$2:$A$355,0)),"?"))</f>
        <v/>
      </c>
      <c r="F756" s="31" t="n"/>
      <c r="G756" s="31" t="n"/>
      <c r="H756" s="31" t="n"/>
      <c r="I756" s="32">
        <f>IF(OR($A756="",$G756&lt;&gt;"Active"),0,IF($H756&lt;&gt;"",$H756,IF($AO756&gt;0,$AP756,IF(AND($R756&lt;&gt;"",IFERROR(INDEX(Templates!$B$3:$H$10,MATCH($R756,Templates!$A$3:$A$10,0),MATCH($F756,Templates!$B$2:$H$2,0)),0)&gt;0),INDEX(Templates!$B$3:$H$10,MATCH($R756,Templates!$A$3:$A$10,0),MATCH($F756,Templates!$B$2:$H$2,0)),IFERROR(INDEX(Settings!$B$8:$B$14,MATCH($F756,Settings!$A$8:$A$14,0)),0)))))</f>
        <v/>
      </c>
      <c r="J756" s="21">
        <f>IF($C756="",0,IFERROR(INDEX(Deals!$H$2:$H$355,MATCH($C756,Deals!$A$2:$A$355,0)),0))</f>
        <v/>
      </c>
      <c r="K756" s="32">
        <f>IF(Settings!$B$4="Yes",$I756*$J756,$I756)</f>
        <v/>
      </c>
      <c r="L756" s="22">
        <f>IF($C756="","",IFERROR(IF(INDEX(Deals!$I$2:$I$355,MATCH($C756,Deals!$A$2:$A$355,0))=0,"",INDEX(Deals!$I$2:$I$355,MATCH($C756,Deals!$A$2:$A$355,0))),""))</f>
        <v/>
      </c>
      <c r="M756" s="22">
        <f>IF($C756="","",IFERROR(IF(INDEX(Deals!$J$2:$J$355,MATCH($C756,Deals!$A$2:$A$355,0))=0,"",INDEX(Deals!$J$2:$J$355,MATCH($C756,Deals!$A$2:$A$355,0))),""))</f>
        <v/>
      </c>
      <c r="N756" s="35">
        <f>IF($L756="",DATE(1900,1,1),$L756)</f>
        <v/>
      </c>
      <c r="O756" s="35">
        <f>IF($M756="",DATE(2100,12,31),$M756)</f>
        <v/>
      </c>
      <c r="P756" s="44" t="n"/>
      <c r="Q756" s="31" t="n"/>
      <c r="R756" s="16">
        <f>IF($C756="","",IFERROR(IF(INDEX(Deals!$U$2:$U$355,MATCH($C756,Deals!$A$2:$A$355,0))=0,"",INDEX(Deals!$U$2:$U$355,MATCH($C756,Deals!$A$2:$A$355,0))),""))</f>
        <v/>
      </c>
      <c r="S756" s="34">
        <f>IFERROR(IF($U756="",1,INDEX(Deals!$V$2:$V$355,MATCH($C756,Deals!$A$2:$A$355,0))),1)</f>
        <v/>
      </c>
      <c r="T756" s="34">
        <f>IFERROR(IF($U756="",1,INDEX(Deals!$W$2:$W$355,MATCH($C756,Deals!$A$2:$A$355,0))),1)</f>
        <v/>
      </c>
      <c r="U756" s="22">
        <f>IF($C756="","",IFERROR(IF(INDEX(Deals!$Y$2:$Y$355,MATCH($C756,Deals!$A$2:$A$355,0))=0,"",INDEX(Deals!$Y$2:$Y$355,MATCH($C756,Deals!$A$2:$A$355,0))),""))</f>
        <v/>
      </c>
      <c r="V756" s="35">
        <f>IF(OR($U756&lt;&gt;"",AND($AO756&gt;0,$L756&lt;&gt;"",$M756&lt;&gt;"")),$N756,DATE(1900,1,1))</f>
        <v/>
      </c>
      <c r="W756" s="35">
        <f>IF($U756&lt;&gt;"",$U756,IF(AND($AO756&gt;0,$L756&lt;&gt;"",$M756&lt;&gt;""),$O756,DATE(2100,12,31)))</f>
        <v/>
      </c>
      <c r="X756" s="32">
        <f>IF($U756="",$K756,$K756*$S756)</f>
        <v/>
      </c>
      <c r="Y756" s="35">
        <f>IF($U756="",DATE(2100,12,31),$U756+1)</f>
        <v/>
      </c>
      <c r="Z756" s="35">
        <f>IF($U756="",DATE(1900,1,1),$O756)</f>
        <v/>
      </c>
      <c r="AA756" s="32">
        <f>IF($U756="",0,$K756*$T756)</f>
        <v/>
      </c>
      <c r="AB756" s="21">
        <f>IF($C756="",0,IFERROR(INDEX(Deals!$AD$2:$AD$355,MATCH($C756,Deals!$A$2:$A$355,0)),0))</f>
        <v/>
      </c>
      <c r="AC756" s="32">
        <f>IF(Settings!$B$4="Yes",$I756*$AB756,$I756)</f>
        <v/>
      </c>
      <c r="AD756" s="22">
        <f>IF($C756="","",IFERROR(IF(INDEX(Deals!$AE$2:$AE$355,MATCH($C756,Deals!$A$2:$A$355,0))=0,"",INDEX(Deals!$AE$2:$AE$355,MATCH($C756,Deals!$A$2:$A$355,0))),""))</f>
        <v/>
      </c>
      <c r="AE756" s="22">
        <f>IF($C756="","",IFERROR(IF(INDEX(Deals!$AF$2:$AF$355,MATCH($C756,Deals!$A$2:$A$355,0))=0,"",INDEX(Deals!$AF$2:$AF$355,MATCH($C756,Deals!$A$2:$A$355,0))),""))</f>
        <v/>
      </c>
      <c r="AF756" s="35">
        <f>IF($AD756="",DATE(1900,1,1),$AD756)</f>
        <v/>
      </c>
      <c r="AG756" s="35">
        <f>IF($AE756="",DATE(2100,12,31),$AE756)</f>
        <v/>
      </c>
      <c r="AH756" s="22">
        <f>IF($C756="","",IFERROR(IF(INDEX(Deals!$AG$2:$AG$355,MATCH($C756,Deals!$A$2:$A$355,0))=0,"",INDEX(Deals!$AG$2:$AG$355,MATCH($C756,Deals!$A$2:$A$355,0))),""))</f>
        <v/>
      </c>
      <c r="AI756" s="35">
        <f>IF(OR($AH756&lt;&gt;"",AND($AO756&gt;0,$AD756&lt;&gt;"",$AE756&lt;&gt;"")),$AF756,DATE(1900,1,1))</f>
        <v/>
      </c>
      <c r="AJ756" s="35">
        <f>IF($AH756&lt;&gt;"",$AH756,IF(AND($AO756&gt;0,$AD756&lt;&gt;"",$AE756&lt;&gt;""),$AG756,DATE(2100,12,31)))</f>
        <v/>
      </c>
      <c r="AK756" s="32">
        <f>IF($AH756="",$AC756,$AC756*$S756)</f>
        <v/>
      </c>
      <c r="AL756" s="35">
        <f>IF($AH756="",DATE(2100,12,31),$AH756+1)</f>
        <v/>
      </c>
      <c r="AM756" s="35">
        <f>IF($AH756="",DATE(1900,1,1),$AG756)</f>
        <v/>
      </c>
      <c r="AN756" s="32">
        <f>IF($AH756="",0,$AC756*$T756)</f>
        <v/>
      </c>
      <c r="AO756" s="46">
        <f>IF($C756="",0,IFERROR(INDEX(Deals!$BD$2:$BD$355,MATCH($C756,Deals!$A$2:$A$355,0)),0))</f>
        <v/>
      </c>
      <c r="AP756" s="18">
        <f>IF($AO756=0,0,IFERROR(INDEX(Deals!$BJ$2:$BP$355,MATCH($C756,Deals!$A$2:$A$355,0),MATCH($F756,Deals!$BJ$1:$BP$1,0))/COUNTIFS(Assignments!$C$2:$C$769,$C756,Assignments!$F$2:$F$769,$F756,Assignments!$G$2:$G$769,"Active"),0))</f>
        <v/>
      </c>
    </row>
    <row r="757">
      <c r="A757" s="31" t="n"/>
      <c r="B757" s="16">
        <f>IF($A757="","",IFERROR(INDEX(Roster!$B$2:$B$40,MATCH($A757,Roster!$A$2:$A$40,0)),"?"))</f>
        <v/>
      </c>
      <c r="C757" s="31" t="n"/>
      <c r="D757" s="16">
        <f>IF($C757="","",IFERROR(IF(INDEX(Deals!$C$2:$C$355,MATCH($C757,Deals!$A$2:$A$355,0))=0,"",INDEX(Deals!$C$2:$C$355,MATCH($C757,Deals!$A$2:$A$355,0))),"?"))</f>
        <v/>
      </c>
      <c r="E757" s="16">
        <f>IF($C757="","",IFERROR(INDEX(Deals!$F$2:$F$355,MATCH($C757,Deals!$A$2:$A$355,0)),"?"))</f>
        <v/>
      </c>
      <c r="F757" s="31" t="n"/>
      <c r="G757" s="31" t="n"/>
      <c r="H757" s="31" t="n"/>
      <c r="I757" s="32">
        <f>IF(OR($A757="",$G757&lt;&gt;"Active"),0,IF($H757&lt;&gt;"",$H757,IF($AO757&gt;0,$AP757,IF(AND($R757&lt;&gt;"",IFERROR(INDEX(Templates!$B$3:$H$10,MATCH($R757,Templates!$A$3:$A$10,0),MATCH($F757,Templates!$B$2:$H$2,0)),0)&gt;0),INDEX(Templates!$B$3:$H$10,MATCH($R757,Templates!$A$3:$A$10,0),MATCH($F757,Templates!$B$2:$H$2,0)),IFERROR(INDEX(Settings!$B$8:$B$14,MATCH($F757,Settings!$A$8:$A$14,0)),0)))))</f>
        <v/>
      </c>
      <c r="J757" s="21">
        <f>IF($C757="",0,IFERROR(INDEX(Deals!$H$2:$H$355,MATCH($C757,Deals!$A$2:$A$355,0)),0))</f>
        <v/>
      </c>
      <c r="K757" s="32">
        <f>IF(Settings!$B$4="Yes",$I757*$J757,$I757)</f>
        <v/>
      </c>
      <c r="L757" s="22">
        <f>IF($C757="","",IFERROR(IF(INDEX(Deals!$I$2:$I$355,MATCH($C757,Deals!$A$2:$A$355,0))=0,"",INDEX(Deals!$I$2:$I$355,MATCH($C757,Deals!$A$2:$A$355,0))),""))</f>
        <v/>
      </c>
      <c r="M757" s="22">
        <f>IF($C757="","",IFERROR(IF(INDEX(Deals!$J$2:$J$355,MATCH($C757,Deals!$A$2:$A$355,0))=0,"",INDEX(Deals!$J$2:$J$355,MATCH($C757,Deals!$A$2:$A$355,0))),""))</f>
        <v/>
      </c>
      <c r="N757" s="35">
        <f>IF($L757="",DATE(1900,1,1),$L757)</f>
        <v/>
      </c>
      <c r="O757" s="35">
        <f>IF($M757="",DATE(2100,12,31),$M757)</f>
        <v/>
      </c>
      <c r="P757" s="44" t="n"/>
      <c r="Q757" s="31" t="n"/>
      <c r="R757" s="16">
        <f>IF($C757="","",IFERROR(IF(INDEX(Deals!$U$2:$U$355,MATCH($C757,Deals!$A$2:$A$355,0))=0,"",INDEX(Deals!$U$2:$U$355,MATCH($C757,Deals!$A$2:$A$355,0))),""))</f>
        <v/>
      </c>
      <c r="S757" s="34">
        <f>IFERROR(IF($U757="",1,INDEX(Deals!$V$2:$V$355,MATCH($C757,Deals!$A$2:$A$355,0))),1)</f>
        <v/>
      </c>
      <c r="T757" s="34">
        <f>IFERROR(IF($U757="",1,INDEX(Deals!$W$2:$W$355,MATCH($C757,Deals!$A$2:$A$355,0))),1)</f>
        <v/>
      </c>
      <c r="U757" s="22">
        <f>IF($C757="","",IFERROR(IF(INDEX(Deals!$Y$2:$Y$355,MATCH($C757,Deals!$A$2:$A$355,0))=0,"",INDEX(Deals!$Y$2:$Y$355,MATCH($C757,Deals!$A$2:$A$355,0))),""))</f>
        <v/>
      </c>
      <c r="V757" s="35">
        <f>IF(OR($U757&lt;&gt;"",AND($AO757&gt;0,$L757&lt;&gt;"",$M757&lt;&gt;"")),$N757,DATE(1900,1,1))</f>
        <v/>
      </c>
      <c r="W757" s="35">
        <f>IF($U757&lt;&gt;"",$U757,IF(AND($AO757&gt;0,$L757&lt;&gt;"",$M757&lt;&gt;""),$O757,DATE(2100,12,31)))</f>
        <v/>
      </c>
      <c r="X757" s="32">
        <f>IF($U757="",$K757,$K757*$S757)</f>
        <v/>
      </c>
      <c r="Y757" s="35">
        <f>IF($U757="",DATE(2100,12,31),$U757+1)</f>
        <v/>
      </c>
      <c r="Z757" s="35">
        <f>IF($U757="",DATE(1900,1,1),$O757)</f>
        <v/>
      </c>
      <c r="AA757" s="32">
        <f>IF($U757="",0,$K757*$T757)</f>
        <v/>
      </c>
      <c r="AB757" s="21">
        <f>IF($C757="",0,IFERROR(INDEX(Deals!$AD$2:$AD$355,MATCH($C757,Deals!$A$2:$A$355,0)),0))</f>
        <v/>
      </c>
      <c r="AC757" s="32">
        <f>IF(Settings!$B$4="Yes",$I757*$AB757,$I757)</f>
        <v/>
      </c>
      <c r="AD757" s="22">
        <f>IF($C757="","",IFERROR(IF(INDEX(Deals!$AE$2:$AE$355,MATCH($C757,Deals!$A$2:$A$355,0))=0,"",INDEX(Deals!$AE$2:$AE$355,MATCH($C757,Deals!$A$2:$A$355,0))),""))</f>
        <v/>
      </c>
      <c r="AE757" s="22">
        <f>IF($C757="","",IFERROR(IF(INDEX(Deals!$AF$2:$AF$355,MATCH($C757,Deals!$A$2:$A$355,0))=0,"",INDEX(Deals!$AF$2:$AF$355,MATCH($C757,Deals!$A$2:$A$355,0))),""))</f>
        <v/>
      </c>
      <c r="AF757" s="35">
        <f>IF($AD757="",DATE(1900,1,1),$AD757)</f>
        <v/>
      </c>
      <c r="AG757" s="35">
        <f>IF($AE757="",DATE(2100,12,31),$AE757)</f>
        <v/>
      </c>
      <c r="AH757" s="22">
        <f>IF($C757="","",IFERROR(IF(INDEX(Deals!$AG$2:$AG$355,MATCH($C757,Deals!$A$2:$A$355,0))=0,"",INDEX(Deals!$AG$2:$AG$355,MATCH($C757,Deals!$A$2:$A$355,0))),""))</f>
        <v/>
      </c>
      <c r="AI757" s="35">
        <f>IF(OR($AH757&lt;&gt;"",AND($AO757&gt;0,$AD757&lt;&gt;"",$AE757&lt;&gt;"")),$AF757,DATE(1900,1,1))</f>
        <v/>
      </c>
      <c r="AJ757" s="35">
        <f>IF($AH757&lt;&gt;"",$AH757,IF(AND($AO757&gt;0,$AD757&lt;&gt;"",$AE757&lt;&gt;""),$AG757,DATE(2100,12,31)))</f>
        <v/>
      </c>
      <c r="AK757" s="32">
        <f>IF($AH757="",$AC757,$AC757*$S757)</f>
        <v/>
      </c>
      <c r="AL757" s="35">
        <f>IF($AH757="",DATE(2100,12,31),$AH757+1)</f>
        <v/>
      </c>
      <c r="AM757" s="35">
        <f>IF($AH757="",DATE(1900,1,1),$AG757)</f>
        <v/>
      </c>
      <c r="AN757" s="32">
        <f>IF($AH757="",0,$AC757*$T757)</f>
        <v/>
      </c>
      <c r="AO757" s="46">
        <f>IF($C757="",0,IFERROR(INDEX(Deals!$BD$2:$BD$355,MATCH($C757,Deals!$A$2:$A$355,0)),0))</f>
        <v/>
      </c>
      <c r="AP757" s="18">
        <f>IF($AO757=0,0,IFERROR(INDEX(Deals!$BJ$2:$BP$355,MATCH($C757,Deals!$A$2:$A$355,0),MATCH($F757,Deals!$BJ$1:$BP$1,0))/COUNTIFS(Assignments!$C$2:$C$769,$C757,Assignments!$F$2:$F$769,$F757,Assignments!$G$2:$G$769,"Active"),0))</f>
        <v/>
      </c>
    </row>
    <row r="758">
      <c r="A758" s="31" t="n"/>
      <c r="B758" s="16">
        <f>IF($A758="","",IFERROR(INDEX(Roster!$B$2:$B$40,MATCH($A758,Roster!$A$2:$A$40,0)),"?"))</f>
        <v/>
      </c>
      <c r="C758" s="31" t="n"/>
      <c r="D758" s="16">
        <f>IF($C758="","",IFERROR(IF(INDEX(Deals!$C$2:$C$355,MATCH($C758,Deals!$A$2:$A$355,0))=0,"",INDEX(Deals!$C$2:$C$355,MATCH($C758,Deals!$A$2:$A$355,0))),"?"))</f>
        <v/>
      </c>
      <c r="E758" s="16">
        <f>IF($C758="","",IFERROR(INDEX(Deals!$F$2:$F$355,MATCH($C758,Deals!$A$2:$A$355,0)),"?"))</f>
        <v/>
      </c>
      <c r="F758" s="31" t="n"/>
      <c r="G758" s="31" t="n"/>
      <c r="H758" s="31" t="n"/>
      <c r="I758" s="32">
        <f>IF(OR($A758="",$G758&lt;&gt;"Active"),0,IF($H758&lt;&gt;"",$H758,IF($AO758&gt;0,$AP758,IF(AND($R758&lt;&gt;"",IFERROR(INDEX(Templates!$B$3:$H$10,MATCH($R758,Templates!$A$3:$A$10,0),MATCH($F758,Templates!$B$2:$H$2,0)),0)&gt;0),INDEX(Templates!$B$3:$H$10,MATCH($R758,Templates!$A$3:$A$10,0),MATCH($F758,Templates!$B$2:$H$2,0)),IFERROR(INDEX(Settings!$B$8:$B$14,MATCH($F758,Settings!$A$8:$A$14,0)),0)))))</f>
        <v/>
      </c>
      <c r="J758" s="21">
        <f>IF($C758="",0,IFERROR(INDEX(Deals!$H$2:$H$355,MATCH($C758,Deals!$A$2:$A$355,0)),0))</f>
        <v/>
      </c>
      <c r="K758" s="32">
        <f>IF(Settings!$B$4="Yes",$I758*$J758,$I758)</f>
        <v/>
      </c>
      <c r="L758" s="22">
        <f>IF($C758="","",IFERROR(IF(INDEX(Deals!$I$2:$I$355,MATCH($C758,Deals!$A$2:$A$355,0))=0,"",INDEX(Deals!$I$2:$I$355,MATCH($C758,Deals!$A$2:$A$355,0))),""))</f>
        <v/>
      </c>
      <c r="M758" s="22">
        <f>IF($C758="","",IFERROR(IF(INDEX(Deals!$J$2:$J$355,MATCH($C758,Deals!$A$2:$A$355,0))=0,"",INDEX(Deals!$J$2:$J$355,MATCH($C758,Deals!$A$2:$A$355,0))),""))</f>
        <v/>
      </c>
      <c r="N758" s="35">
        <f>IF($L758="",DATE(1900,1,1),$L758)</f>
        <v/>
      </c>
      <c r="O758" s="35">
        <f>IF($M758="",DATE(2100,12,31),$M758)</f>
        <v/>
      </c>
      <c r="P758" s="44" t="n"/>
      <c r="Q758" s="31" t="n"/>
      <c r="R758" s="16">
        <f>IF($C758="","",IFERROR(IF(INDEX(Deals!$U$2:$U$355,MATCH($C758,Deals!$A$2:$A$355,0))=0,"",INDEX(Deals!$U$2:$U$355,MATCH($C758,Deals!$A$2:$A$355,0))),""))</f>
        <v/>
      </c>
      <c r="S758" s="34">
        <f>IFERROR(IF($U758="",1,INDEX(Deals!$V$2:$V$355,MATCH($C758,Deals!$A$2:$A$355,0))),1)</f>
        <v/>
      </c>
      <c r="T758" s="34">
        <f>IFERROR(IF($U758="",1,INDEX(Deals!$W$2:$W$355,MATCH($C758,Deals!$A$2:$A$355,0))),1)</f>
        <v/>
      </c>
      <c r="U758" s="22">
        <f>IF($C758="","",IFERROR(IF(INDEX(Deals!$Y$2:$Y$355,MATCH($C758,Deals!$A$2:$A$355,0))=0,"",INDEX(Deals!$Y$2:$Y$355,MATCH($C758,Deals!$A$2:$A$355,0))),""))</f>
        <v/>
      </c>
      <c r="V758" s="35">
        <f>IF(OR($U758&lt;&gt;"",AND($AO758&gt;0,$L758&lt;&gt;"",$M758&lt;&gt;"")),$N758,DATE(1900,1,1))</f>
        <v/>
      </c>
      <c r="W758" s="35">
        <f>IF($U758&lt;&gt;"",$U758,IF(AND($AO758&gt;0,$L758&lt;&gt;"",$M758&lt;&gt;""),$O758,DATE(2100,12,31)))</f>
        <v/>
      </c>
      <c r="X758" s="32">
        <f>IF($U758="",$K758,$K758*$S758)</f>
        <v/>
      </c>
      <c r="Y758" s="35">
        <f>IF($U758="",DATE(2100,12,31),$U758+1)</f>
        <v/>
      </c>
      <c r="Z758" s="35">
        <f>IF($U758="",DATE(1900,1,1),$O758)</f>
        <v/>
      </c>
      <c r="AA758" s="32">
        <f>IF($U758="",0,$K758*$T758)</f>
        <v/>
      </c>
      <c r="AB758" s="21">
        <f>IF($C758="",0,IFERROR(INDEX(Deals!$AD$2:$AD$355,MATCH($C758,Deals!$A$2:$A$355,0)),0))</f>
        <v/>
      </c>
      <c r="AC758" s="32">
        <f>IF(Settings!$B$4="Yes",$I758*$AB758,$I758)</f>
        <v/>
      </c>
      <c r="AD758" s="22">
        <f>IF($C758="","",IFERROR(IF(INDEX(Deals!$AE$2:$AE$355,MATCH($C758,Deals!$A$2:$A$355,0))=0,"",INDEX(Deals!$AE$2:$AE$355,MATCH($C758,Deals!$A$2:$A$355,0))),""))</f>
        <v/>
      </c>
      <c r="AE758" s="22">
        <f>IF($C758="","",IFERROR(IF(INDEX(Deals!$AF$2:$AF$355,MATCH($C758,Deals!$A$2:$A$355,0))=0,"",INDEX(Deals!$AF$2:$AF$355,MATCH($C758,Deals!$A$2:$A$355,0))),""))</f>
        <v/>
      </c>
      <c r="AF758" s="35">
        <f>IF($AD758="",DATE(1900,1,1),$AD758)</f>
        <v/>
      </c>
      <c r="AG758" s="35">
        <f>IF($AE758="",DATE(2100,12,31),$AE758)</f>
        <v/>
      </c>
      <c r="AH758" s="22">
        <f>IF($C758="","",IFERROR(IF(INDEX(Deals!$AG$2:$AG$355,MATCH($C758,Deals!$A$2:$A$355,0))=0,"",INDEX(Deals!$AG$2:$AG$355,MATCH($C758,Deals!$A$2:$A$355,0))),""))</f>
        <v/>
      </c>
      <c r="AI758" s="35">
        <f>IF(OR($AH758&lt;&gt;"",AND($AO758&gt;0,$AD758&lt;&gt;"",$AE758&lt;&gt;"")),$AF758,DATE(1900,1,1))</f>
        <v/>
      </c>
      <c r="AJ758" s="35">
        <f>IF($AH758&lt;&gt;"",$AH758,IF(AND($AO758&gt;0,$AD758&lt;&gt;"",$AE758&lt;&gt;""),$AG758,DATE(2100,12,31)))</f>
        <v/>
      </c>
      <c r="AK758" s="32">
        <f>IF($AH758="",$AC758,$AC758*$S758)</f>
        <v/>
      </c>
      <c r="AL758" s="35">
        <f>IF($AH758="",DATE(2100,12,31),$AH758+1)</f>
        <v/>
      </c>
      <c r="AM758" s="35">
        <f>IF($AH758="",DATE(1900,1,1),$AG758)</f>
        <v/>
      </c>
      <c r="AN758" s="32">
        <f>IF($AH758="",0,$AC758*$T758)</f>
        <v/>
      </c>
      <c r="AO758" s="46">
        <f>IF($C758="",0,IFERROR(INDEX(Deals!$BD$2:$BD$355,MATCH($C758,Deals!$A$2:$A$355,0)),0))</f>
        <v/>
      </c>
      <c r="AP758" s="18">
        <f>IF($AO758=0,0,IFERROR(INDEX(Deals!$BJ$2:$BP$355,MATCH($C758,Deals!$A$2:$A$355,0),MATCH($F758,Deals!$BJ$1:$BP$1,0))/COUNTIFS(Assignments!$C$2:$C$769,$C758,Assignments!$F$2:$F$769,$F758,Assignments!$G$2:$G$769,"Active"),0))</f>
        <v/>
      </c>
    </row>
    <row r="759">
      <c r="A759" s="31" t="n"/>
      <c r="B759" s="16">
        <f>IF($A759="","",IFERROR(INDEX(Roster!$B$2:$B$40,MATCH($A759,Roster!$A$2:$A$40,0)),"?"))</f>
        <v/>
      </c>
      <c r="C759" s="31" t="n"/>
      <c r="D759" s="16">
        <f>IF($C759="","",IFERROR(IF(INDEX(Deals!$C$2:$C$355,MATCH($C759,Deals!$A$2:$A$355,0))=0,"",INDEX(Deals!$C$2:$C$355,MATCH($C759,Deals!$A$2:$A$355,0))),"?"))</f>
        <v/>
      </c>
      <c r="E759" s="16">
        <f>IF($C759="","",IFERROR(INDEX(Deals!$F$2:$F$355,MATCH($C759,Deals!$A$2:$A$355,0)),"?"))</f>
        <v/>
      </c>
      <c r="F759" s="31" t="n"/>
      <c r="G759" s="31" t="n"/>
      <c r="H759" s="31" t="n"/>
      <c r="I759" s="32">
        <f>IF(OR($A759="",$G759&lt;&gt;"Active"),0,IF($H759&lt;&gt;"",$H759,IF($AO759&gt;0,$AP759,IF(AND($R759&lt;&gt;"",IFERROR(INDEX(Templates!$B$3:$H$10,MATCH($R759,Templates!$A$3:$A$10,0),MATCH($F759,Templates!$B$2:$H$2,0)),0)&gt;0),INDEX(Templates!$B$3:$H$10,MATCH($R759,Templates!$A$3:$A$10,0),MATCH($F759,Templates!$B$2:$H$2,0)),IFERROR(INDEX(Settings!$B$8:$B$14,MATCH($F759,Settings!$A$8:$A$14,0)),0)))))</f>
        <v/>
      </c>
      <c r="J759" s="21">
        <f>IF($C759="",0,IFERROR(INDEX(Deals!$H$2:$H$355,MATCH($C759,Deals!$A$2:$A$355,0)),0))</f>
        <v/>
      </c>
      <c r="K759" s="32">
        <f>IF(Settings!$B$4="Yes",$I759*$J759,$I759)</f>
        <v/>
      </c>
      <c r="L759" s="22">
        <f>IF($C759="","",IFERROR(IF(INDEX(Deals!$I$2:$I$355,MATCH($C759,Deals!$A$2:$A$355,0))=0,"",INDEX(Deals!$I$2:$I$355,MATCH($C759,Deals!$A$2:$A$355,0))),""))</f>
        <v/>
      </c>
      <c r="M759" s="22">
        <f>IF($C759="","",IFERROR(IF(INDEX(Deals!$J$2:$J$355,MATCH($C759,Deals!$A$2:$A$355,0))=0,"",INDEX(Deals!$J$2:$J$355,MATCH($C759,Deals!$A$2:$A$355,0))),""))</f>
        <v/>
      </c>
      <c r="N759" s="35">
        <f>IF($L759="",DATE(1900,1,1),$L759)</f>
        <v/>
      </c>
      <c r="O759" s="35">
        <f>IF($M759="",DATE(2100,12,31),$M759)</f>
        <v/>
      </c>
      <c r="P759" s="44" t="n"/>
      <c r="Q759" s="31" t="n"/>
      <c r="R759" s="16">
        <f>IF($C759="","",IFERROR(IF(INDEX(Deals!$U$2:$U$355,MATCH($C759,Deals!$A$2:$A$355,0))=0,"",INDEX(Deals!$U$2:$U$355,MATCH($C759,Deals!$A$2:$A$355,0))),""))</f>
        <v/>
      </c>
      <c r="S759" s="34">
        <f>IFERROR(IF($U759="",1,INDEX(Deals!$V$2:$V$355,MATCH($C759,Deals!$A$2:$A$355,0))),1)</f>
        <v/>
      </c>
      <c r="T759" s="34">
        <f>IFERROR(IF($U759="",1,INDEX(Deals!$W$2:$W$355,MATCH($C759,Deals!$A$2:$A$355,0))),1)</f>
        <v/>
      </c>
      <c r="U759" s="22">
        <f>IF($C759="","",IFERROR(IF(INDEX(Deals!$Y$2:$Y$355,MATCH($C759,Deals!$A$2:$A$355,0))=0,"",INDEX(Deals!$Y$2:$Y$355,MATCH($C759,Deals!$A$2:$A$355,0))),""))</f>
        <v/>
      </c>
      <c r="V759" s="35">
        <f>IF(OR($U759&lt;&gt;"",AND($AO759&gt;0,$L759&lt;&gt;"",$M759&lt;&gt;"")),$N759,DATE(1900,1,1))</f>
        <v/>
      </c>
      <c r="W759" s="35">
        <f>IF($U759&lt;&gt;"",$U759,IF(AND($AO759&gt;0,$L759&lt;&gt;"",$M759&lt;&gt;""),$O759,DATE(2100,12,31)))</f>
        <v/>
      </c>
      <c r="X759" s="32">
        <f>IF($U759="",$K759,$K759*$S759)</f>
        <v/>
      </c>
      <c r="Y759" s="35">
        <f>IF($U759="",DATE(2100,12,31),$U759+1)</f>
        <v/>
      </c>
      <c r="Z759" s="35">
        <f>IF($U759="",DATE(1900,1,1),$O759)</f>
        <v/>
      </c>
      <c r="AA759" s="32">
        <f>IF($U759="",0,$K759*$T759)</f>
        <v/>
      </c>
      <c r="AB759" s="21">
        <f>IF($C759="",0,IFERROR(INDEX(Deals!$AD$2:$AD$355,MATCH($C759,Deals!$A$2:$A$355,0)),0))</f>
        <v/>
      </c>
      <c r="AC759" s="32">
        <f>IF(Settings!$B$4="Yes",$I759*$AB759,$I759)</f>
        <v/>
      </c>
      <c r="AD759" s="22">
        <f>IF($C759="","",IFERROR(IF(INDEX(Deals!$AE$2:$AE$355,MATCH($C759,Deals!$A$2:$A$355,0))=0,"",INDEX(Deals!$AE$2:$AE$355,MATCH($C759,Deals!$A$2:$A$355,0))),""))</f>
        <v/>
      </c>
      <c r="AE759" s="22">
        <f>IF($C759="","",IFERROR(IF(INDEX(Deals!$AF$2:$AF$355,MATCH($C759,Deals!$A$2:$A$355,0))=0,"",INDEX(Deals!$AF$2:$AF$355,MATCH($C759,Deals!$A$2:$A$355,0))),""))</f>
        <v/>
      </c>
      <c r="AF759" s="35">
        <f>IF($AD759="",DATE(1900,1,1),$AD759)</f>
        <v/>
      </c>
      <c r="AG759" s="35">
        <f>IF($AE759="",DATE(2100,12,31),$AE759)</f>
        <v/>
      </c>
      <c r="AH759" s="22">
        <f>IF($C759="","",IFERROR(IF(INDEX(Deals!$AG$2:$AG$355,MATCH($C759,Deals!$A$2:$A$355,0))=0,"",INDEX(Deals!$AG$2:$AG$355,MATCH($C759,Deals!$A$2:$A$355,0))),""))</f>
        <v/>
      </c>
      <c r="AI759" s="35">
        <f>IF(OR($AH759&lt;&gt;"",AND($AO759&gt;0,$AD759&lt;&gt;"",$AE759&lt;&gt;"")),$AF759,DATE(1900,1,1))</f>
        <v/>
      </c>
      <c r="AJ759" s="35">
        <f>IF($AH759&lt;&gt;"",$AH759,IF(AND($AO759&gt;0,$AD759&lt;&gt;"",$AE759&lt;&gt;""),$AG759,DATE(2100,12,31)))</f>
        <v/>
      </c>
      <c r="AK759" s="32">
        <f>IF($AH759="",$AC759,$AC759*$S759)</f>
        <v/>
      </c>
      <c r="AL759" s="35">
        <f>IF($AH759="",DATE(2100,12,31),$AH759+1)</f>
        <v/>
      </c>
      <c r="AM759" s="35">
        <f>IF($AH759="",DATE(1900,1,1),$AG759)</f>
        <v/>
      </c>
      <c r="AN759" s="32">
        <f>IF($AH759="",0,$AC759*$T759)</f>
        <v/>
      </c>
      <c r="AO759" s="46">
        <f>IF($C759="",0,IFERROR(INDEX(Deals!$BD$2:$BD$355,MATCH($C759,Deals!$A$2:$A$355,0)),0))</f>
        <v/>
      </c>
      <c r="AP759" s="18">
        <f>IF($AO759=0,0,IFERROR(INDEX(Deals!$BJ$2:$BP$355,MATCH($C759,Deals!$A$2:$A$355,0),MATCH($F759,Deals!$BJ$1:$BP$1,0))/COUNTIFS(Assignments!$C$2:$C$769,$C759,Assignments!$F$2:$F$769,$F759,Assignments!$G$2:$G$769,"Active"),0))</f>
        <v/>
      </c>
    </row>
    <row r="760">
      <c r="A760" s="31" t="n"/>
      <c r="B760" s="16">
        <f>IF($A760="","",IFERROR(INDEX(Roster!$B$2:$B$40,MATCH($A760,Roster!$A$2:$A$40,0)),"?"))</f>
        <v/>
      </c>
      <c r="C760" s="31" t="n"/>
      <c r="D760" s="16">
        <f>IF($C760="","",IFERROR(IF(INDEX(Deals!$C$2:$C$355,MATCH($C760,Deals!$A$2:$A$355,0))=0,"",INDEX(Deals!$C$2:$C$355,MATCH($C760,Deals!$A$2:$A$355,0))),"?"))</f>
        <v/>
      </c>
      <c r="E760" s="16">
        <f>IF($C760="","",IFERROR(INDEX(Deals!$F$2:$F$355,MATCH($C760,Deals!$A$2:$A$355,0)),"?"))</f>
        <v/>
      </c>
      <c r="F760" s="31" t="n"/>
      <c r="G760" s="31" t="n"/>
      <c r="H760" s="31" t="n"/>
      <c r="I760" s="32">
        <f>IF(OR($A760="",$G760&lt;&gt;"Active"),0,IF($H760&lt;&gt;"",$H760,IF($AO760&gt;0,$AP760,IF(AND($R760&lt;&gt;"",IFERROR(INDEX(Templates!$B$3:$H$10,MATCH($R760,Templates!$A$3:$A$10,0),MATCH($F760,Templates!$B$2:$H$2,0)),0)&gt;0),INDEX(Templates!$B$3:$H$10,MATCH($R760,Templates!$A$3:$A$10,0),MATCH($F760,Templates!$B$2:$H$2,0)),IFERROR(INDEX(Settings!$B$8:$B$14,MATCH($F760,Settings!$A$8:$A$14,0)),0)))))</f>
        <v/>
      </c>
      <c r="J760" s="21">
        <f>IF($C760="",0,IFERROR(INDEX(Deals!$H$2:$H$355,MATCH($C760,Deals!$A$2:$A$355,0)),0))</f>
        <v/>
      </c>
      <c r="K760" s="32">
        <f>IF(Settings!$B$4="Yes",$I760*$J760,$I760)</f>
        <v/>
      </c>
      <c r="L760" s="22">
        <f>IF($C760="","",IFERROR(IF(INDEX(Deals!$I$2:$I$355,MATCH($C760,Deals!$A$2:$A$355,0))=0,"",INDEX(Deals!$I$2:$I$355,MATCH($C760,Deals!$A$2:$A$355,0))),""))</f>
        <v/>
      </c>
      <c r="M760" s="22">
        <f>IF($C760="","",IFERROR(IF(INDEX(Deals!$J$2:$J$355,MATCH($C760,Deals!$A$2:$A$355,0))=0,"",INDEX(Deals!$J$2:$J$355,MATCH($C760,Deals!$A$2:$A$355,0))),""))</f>
        <v/>
      </c>
      <c r="N760" s="35">
        <f>IF($L760="",DATE(1900,1,1),$L760)</f>
        <v/>
      </c>
      <c r="O760" s="35">
        <f>IF($M760="",DATE(2100,12,31),$M760)</f>
        <v/>
      </c>
      <c r="P760" s="44" t="n"/>
      <c r="Q760" s="31" t="n"/>
      <c r="R760" s="16">
        <f>IF($C760="","",IFERROR(IF(INDEX(Deals!$U$2:$U$355,MATCH($C760,Deals!$A$2:$A$355,0))=0,"",INDEX(Deals!$U$2:$U$355,MATCH($C760,Deals!$A$2:$A$355,0))),""))</f>
        <v/>
      </c>
      <c r="S760" s="34">
        <f>IFERROR(IF($U760="",1,INDEX(Deals!$V$2:$V$355,MATCH($C760,Deals!$A$2:$A$355,0))),1)</f>
        <v/>
      </c>
      <c r="T760" s="34">
        <f>IFERROR(IF($U760="",1,INDEX(Deals!$W$2:$W$355,MATCH($C760,Deals!$A$2:$A$355,0))),1)</f>
        <v/>
      </c>
      <c r="U760" s="22">
        <f>IF($C760="","",IFERROR(IF(INDEX(Deals!$Y$2:$Y$355,MATCH($C760,Deals!$A$2:$A$355,0))=0,"",INDEX(Deals!$Y$2:$Y$355,MATCH($C760,Deals!$A$2:$A$355,0))),""))</f>
        <v/>
      </c>
      <c r="V760" s="35">
        <f>IF(OR($U760&lt;&gt;"",AND($AO760&gt;0,$L760&lt;&gt;"",$M760&lt;&gt;"")),$N760,DATE(1900,1,1))</f>
        <v/>
      </c>
      <c r="W760" s="35">
        <f>IF($U760&lt;&gt;"",$U760,IF(AND($AO760&gt;0,$L760&lt;&gt;"",$M760&lt;&gt;""),$O760,DATE(2100,12,31)))</f>
        <v/>
      </c>
      <c r="X760" s="32">
        <f>IF($U760="",$K760,$K760*$S760)</f>
        <v/>
      </c>
      <c r="Y760" s="35">
        <f>IF($U760="",DATE(2100,12,31),$U760+1)</f>
        <v/>
      </c>
      <c r="Z760" s="35">
        <f>IF($U760="",DATE(1900,1,1),$O760)</f>
        <v/>
      </c>
      <c r="AA760" s="32">
        <f>IF($U760="",0,$K760*$T760)</f>
        <v/>
      </c>
      <c r="AB760" s="21">
        <f>IF($C760="",0,IFERROR(INDEX(Deals!$AD$2:$AD$355,MATCH($C760,Deals!$A$2:$A$355,0)),0))</f>
        <v/>
      </c>
      <c r="AC760" s="32">
        <f>IF(Settings!$B$4="Yes",$I760*$AB760,$I760)</f>
        <v/>
      </c>
      <c r="AD760" s="22">
        <f>IF($C760="","",IFERROR(IF(INDEX(Deals!$AE$2:$AE$355,MATCH($C760,Deals!$A$2:$A$355,0))=0,"",INDEX(Deals!$AE$2:$AE$355,MATCH($C760,Deals!$A$2:$A$355,0))),""))</f>
        <v/>
      </c>
      <c r="AE760" s="22">
        <f>IF($C760="","",IFERROR(IF(INDEX(Deals!$AF$2:$AF$355,MATCH($C760,Deals!$A$2:$A$355,0))=0,"",INDEX(Deals!$AF$2:$AF$355,MATCH($C760,Deals!$A$2:$A$355,0))),""))</f>
        <v/>
      </c>
      <c r="AF760" s="35">
        <f>IF($AD760="",DATE(1900,1,1),$AD760)</f>
        <v/>
      </c>
      <c r="AG760" s="35">
        <f>IF($AE760="",DATE(2100,12,31),$AE760)</f>
        <v/>
      </c>
      <c r="AH760" s="22">
        <f>IF($C760="","",IFERROR(IF(INDEX(Deals!$AG$2:$AG$355,MATCH($C760,Deals!$A$2:$A$355,0))=0,"",INDEX(Deals!$AG$2:$AG$355,MATCH($C760,Deals!$A$2:$A$355,0))),""))</f>
        <v/>
      </c>
      <c r="AI760" s="35">
        <f>IF(OR($AH760&lt;&gt;"",AND($AO760&gt;0,$AD760&lt;&gt;"",$AE760&lt;&gt;"")),$AF760,DATE(1900,1,1))</f>
        <v/>
      </c>
      <c r="AJ760" s="35">
        <f>IF($AH760&lt;&gt;"",$AH760,IF(AND($AO760&gt;0,$AD760&lt;&gt;"",$AE760&lt;&gt;""),$AG760,DATE(2100,12,31)))</f>
        <v/>
      </c>
      <c r="AK760" s="32">
        <f>IF($AH760="",$AC760,$AC760*$S760)</f>
        <v/>
      </c>
      <c r="AL760" s="35">
        <f>IF($AH760="",DATE(2100,12,31),$AH760+1)</f>
        <v/>
      </c>
      <c r="AM760" s="35">
        <f>IF($AH760="",DATE(1900,1,1),$AG760)</f>
        <v/>
      </c>
      <c r="AN760" s="32">
        <f>IF($AH760="",0,$AC760*$T760)</f>
        <v/>
      </c>
      <c r="AO760" s="46">
        <f>IF($C760="",0,IFERROR(INDEX(Deals!$BD$2:$BD$355,MATCH($C760,Deals!$A$2:$A$355,0)),0))</f>
        <v/>
      </c>
      <c r="AP760" s="18">
        <f>IF($AO760=0,0,IFERROR(INDEX(Deals!$BJ$2:$BP$355,MATCH($C760,Deals!$A$2:$A$355,0),MATCH($F760,Deals!$BJ$1:$BP$1,0))/COUNTIFS(Assignments!$C$2:$C$769,$C760,Assignments!$F$2:$F$769,$F760,Assignments!$G$2:$G$769,"Active"),0))</f>
        <v/>
      </c>
    </row>
    <row r="761">
      <c r="A761" s="31" t="n"/>
      <c r="B761" s="16">
        <f>IF($A761="","",IFERROR(INDEX(Roster!$B$2:$B$40,MATCH($A761,Roster!$A$2:$A$40,0)),"?"))</f>
        <v/>
      </c>
      <c r="C761" s="31" t="n"/>
      <c r="D761" s="16">
        <f>IF($C761="","",IFERROR(IF(INDEX(Deals!$C$2:$C$355,MATCH($C761,Deals!$A$2:$A$355,0))=0,"",INDEX(Deals!$C$2:$C$355,MATCH($C761,Deals!$A$2:$A$355,0))),"?"))</f>
        <v/>
      </c>
      <c r="E761" s="16">
        <f>IF($C761="","",IFERROR(INDEX(Deals!$F$2:$F$355,MATCH($C761,Deals!$A$2:$A$355,0)),"?"))</f>
        <v/>
      </c>
      <c r="F761" s="31" t="n"/>
      <c r="G761" s="31" t="n"/>
      <c r="H761" s="31" t="n"/>
      <c r="I761" s="32">
        <f>IF(OR($A761="",$G761&lt;&gt;"Active"),0,IF($H761&lt;&gt;"",$H761,IF($AO761&gt;0,$AP761,IF(AND($R761&lt;&gt;"",IFERROR(INDEX(Templates!$B$3:$H$10,MATCH($R761,Templates!$A$3:$A$10,0),MATCH($F761,Templates!$B$2:$H$2,0)),0)&gt;0),INDEX(Templates!$B$3:$H$10,MATCH($R761,Templates!$A$3:$A$10,0),MATCH($F761,Templates!$B$2:$H$2,0)),IFERROR(INDEX(Settings!$B$8:$B$14,MATCH($F761,Settings!$A$8:$A$14,0)),0)))))</f>
        <v/>
      </c>
      <c r="J761" s="21">
        <f>IF($C761="",0,IFERROR(INDEX(Deals!$H$2:$H$355,MATCH($C761,Deals!$A$2:$A$355,0)),0))</f>
        <v/>
      </c>
      <c r="K761" s="32">
        <f>IF(Settings!$B$4="Yes",$I761*$J761,$I761)</f>
        <v/>
      </c>
      <c r="L761" s="22">
        <f>IF($C761="","",IFERROR(IF(INDEX(Deals!$I$2:$I$355,MATCH($C761,Deals!$A$2:$A$355,0))=0,"",INDEX(Deals!$I$2:$I$355,MATCH($C761,Deals!$A$2:$A$355,0))),""))</f>
        <v/>
      </c>
      <c r="M761" s="22">
        <f>IF($C761="","",IFERROR(IF(INDEX(Deals!$J$2:$J$355,MATCH($C761,Deals!$A$2:$A$355,0))=0,"",INDEX(Deals!$J$2:$J$355,MATCH($C761,Deals!$A$2:$A$355,0))),""))</f>
        <v/>
      </c>
      <c r="N761" s="35">
        <f>IF($L761="",DATE(1900,1,1),$L761)</f>
        <v/>
      </c>
      <c r="O761" s="35">
        <f>IF($M761="",DATE(2100,12,31),$M761)</f>
        <v/>
      </c>
      <c r="P761" s="44" t="n"/>
      <c r="Q761" s="31" t="n"/>
      <c r="R761" s="16">
        <f>IF($C761="","",IFERROR(IF(INDEX(Deals!$U$2:$U$355,MATCH($C761,Deals!$A$2:$A$355,0))=0,"",INDEX(Deals!$U$2:$U$355,MATCH($C761,Deals!$A$2:$A$355,0))),""))</f>
        <v/>
      </c>
      <c r="S761" s="34">
        <f>IFERROR(IF($U761="",1,INDEX(Deals!$V$2:$V$355,MATCH($C761,Deals!$A$2:$A$355,0))),1)</f>
        <v/>
      </c>
      <c r="T761" s="34">
        <f>IFERROR(IF($U761="",1,INDEX(Deals!$W$2:$W$355,MATCH($C761,Deals!$A$2:$A$355,0))),1)</f>
        <v/>
      </c>
      <c r="U761" s="22">
        <f>IF($C761="","",IFERROR(IF(INDEX(Deals!$Y$2:$Y$355,MATCH($C761,Deals!$A$2:$A$355,0))=0,"",INDEX(Deals!$Y$2:$Y$355,MATCH($C761,Deals!$A$2:$A$355,0))),""))</f>
        <v/>
      </c>
      <c r="V761" s="35">
        <f>IF(OR($U761&lt;&gt;"",AND($AO761&gt;0,$L761&lt;&gt;"",$M761&lt;&gt;"")),$N761,DATE(1900,1,1))</f>
        <v/>
      </c>
      <c r="W761" s="35">
        <f>IF($U761&lt;&gt;"",$U761,IF(AND($AO761&gt;0,$L761&lt;&gt;"",$M761&lt;&gt;""),$O761,DATE(2100,12,31)))</f>
        <v/>
      </c>
      <c r="X761" s="32">
        <f>IF($U761="",$K761,$K761*$S761)</f>
        <v/>
      </c>
      <c r="Y761" s="35">
        <f>IF($U761="",DATE(2100,12,31),$U761+1)</f>
        <v/>
      </c>
      <c r="Z761" s="35">
        <f>IF($U761="",DATE(1900,1,1),$O761)</f>
        <v/>
      </c>
      <c r="AA761" s="32">
        <f>IF($U761="",0,$K761*$T761)</f>
        <v/>
      </c>
      <c r="AB761" s="21">
        <f>IF($C761="",0,IFERROR(INDEX(Deals!$AD$2:$AD$355,MATCH($C761,Deals!$A$2:$A$355,0)),0))</f>
        <v/>
      </c>
      <c r="AC761" s="32">
        <f>IF(Settings!$B$4="Yes",$I761*$AB761,$I761)</f>
        <v/>
      </c>
      <c r="AD761" s="22">
        <f>IF($C761="","",IFERROR(IF(INDEX(Deals!$AE$2:$AE$355,MATCH($C761,Deals!$A$2:$A$355,0))=0,"",INDEX(Deals!$AE$2:$AE$355,MATCH($C761,Deals!$A$2:$A$355,0))),""))</f>
        <v/>
      </c>
      <c r="AE761" s="22">
        <f>IF($C761="","",IFERROR(IF(INDEX(Deals!$AF$2:$AF$355,MATCH($C761,Deals!$A$2:$A$355,0))=0,"",INDEX(Deals!$AF$2:$AF$355,MATCH($C761,Deals!$A$2:$A$355,0))),""))</f>
        <v/>
      </c>
      <c r="AF761" s="35">
        <f>IF($AD761="",DATE(1900,1,1),$AD761)</f>
        <v/>
      </c>
      <c r="AG761" s="35">
        <f>IF($AE761="",DATE(2100,12,31),$AE761)</f>
        <v/>
      </c>
      <c r="AH761" s="22">
        <f>IF($C761="","",IFERROR(IF(INDEX(Deals!$AG$2:$AG$355,MATCH($C761,Deals!$A$2:$A$355,0))=0,"",INDEX(Deals!$AG$2:$AG$355,MATCH($C761,Deals!$A$2:$A$355,0))),""))</f>
        <v/>
      </c>
      <c r="AI761" s="35">
        <f>IF(OR($AH761&lt;&gt;"",AND($AO761&gt;0,$AD761&lt;&gt;"",$AE761&lt;&gt;"")),$AF761,DATE(1900,1,1))</f>
        <v/>
      </c>
      <c r="AJ761" s="35">
        <f>IF($AH761&lt;&gt;"",$AH761,IF(AND($AO761&gt;0,$AD761&lt;&gt;"",$AE761&lt;&gt;""),$AG761,DATE(2100,12,31)))</f>
        <v/>
      </c>
      <c r="AK761" s="32">
        <f>IF($AH761="",$AC761,$AC761*$S761)</f>
        <v/>
      </c>
      <c r="AL761" s="35">
        <f>IF($AH761="",DATE(2100,12,31),$AH761+1)</f>
        <v/>
      </c>
      <c r="AM761" s="35">
        <f>IF($AH761="",DATE(1900,1,1),$AG761)</f>
        <v/>
      </c>
      <c r="AN761" s="32">
        <f>IF($AH761="",0,$AC761*$T761)</f>
        <v/>
      </c>
      <c r="AO761" s="46">
        <f>IF($C761="",0,IFERROR(INDEX(Deals!$BD$2:$BD$355,MATCH($C761,Deals!$A$2:$A$355,0)),0))</f>
        <v/>
      </c>
      <c r="AP761" s="18">
        <f>IF($AO761=0,0,IFERROR(INDEX(Deals!$BJ$2:$BP$355,MATCH($C761,Deals!$A$2:$A$355,0),MATCH($F761,Deals!$BJ$1:$BP$1,0))/COUNTIFS(Assignments!$C$2:$C$769,$C761,Assignments!$F$2:$F$769,$F761,Assignments!$G$2:$G$769,"Active"),0))</f>
        <v/>
      </c>
    </row>
    <row r="762">
      <c r="A762" s="31" t="n"/>
      <c r="B762" s="16">
        <f>IF($A762="","",IFERROR(INDEX(Roster!$B$2:$B$40,MATCH($A762,Roster!$A$2:$A$40,0)),"?"))</f>
        <v/>
      </c>
      <c r="C762" s="31" t="n"/>
      <c r="D762" s="16">
        <f>IF($C762="","",IFERROR(IF(INDEX(Deals!$C$2:$C$355,MATCH($C762,Deals!$A$2:$A$355,0))=0,"",INDEX(Deals!$C$2:$C$355,MATCH($C762,Deals!$A$2:$A$355,0))),"?"))</f>
        <v/>
      </c>
      <c r="E762" s="16">
        <f>IF($C762="","",IFERROR(INDEX(Deals!$F$2:$F$355,MATCH($C762,Deals!$A$2:$A$355,0)),"?"))</f>
        <v/>
      </c>
      <c r="F762" s="31" t="n"/>
      <c r="G762" s="31" t="n"/>
      <c r="H762" s="31" t="n"/>
      <c r="I762" s="32">
        <f>IF(OR($A762="",$G762&lt;&gt;"Active"),0,IF($H762&lt;&gt;"",$H762,IF($AO762&gt;0,$AP762,IF(AND($R762&lt;&gt;"",IFERROR(INDEX(Templates!$B$3:$H$10,MATCH($R762,Templates!$A$3:$A$10,0),MATCH($F762,Templates!$B$2:$H$2,0)),0)&gt;0),INDEX(Templates!$B$3:$H$10,MATCH($R762,Templates!$A$3:$A$10,0),MATCH($F762,Templates!$B$2:$H$2,0)),IFERROR(INDEX(Settings!$B$8:$B$14,MATCH($F762,Settings!$A$8:$A$14,0)),0)))))</f>
        <v/>
      </c>
      <c r="J762" s="21">
        <f>IF($C762="",0,IFERROR(INDEX(Deals!$H$2:$H$355,MATCH($C762,Deals!$A$2:$A$355,0)),0))</f>
        <v/>
      </c>
      <c r="K762" s="32">
        <f>IF(Settings!$B$4="Yes",$I762*$J762,$I762)</f>
        <v/>
      </c>
      <c r="L762" s="22">
        <f>IF($C762="","",IFERROR(IF(INDEX(Deals!$I$2:$I$355,MATCH($C762,Deals!$A$2:$A$355,0))=0,"",INDEX(Deals!$I$2:$I$355,MATCH($C762,Deals!$A$2:$A$355,0))),""))</f>
        <v/>
      </c>
      <c r="M762" s="22">
        <f>IF($C762="","",IFERROR(IF(INDEX(Deals!$J$2:$J$355,MATCH($C762,Deals!$A$2:$A$355,0))=0,"",INDEX(Deals!$J$2:$J$355,MATCH($C762,Deals!$A$2:$A$355,0))),""))</f>
        <v/>
      </c>
      <c r="N762" s="35">
        <f>IF($L762="",DATE(1900,1,1),$L762)</f>
        <v/>
      </c>
      <c r="O762" s="35">
        <f>IF($M762="",DATE(2100,12,31),$M762)</f>
        <v/>
      </c>
      <c r="P762" s="44" t="n"/>
      <c r="Q762" s="31" t="n"/>
      <c r="R762" s="16">
        <f>IF($C762="","",IFERROR(IF(INDEX(Deals!$U$2:$U$355,MATCH($C762,Deals!$A$2:$A$355,0))=0,"",INDEX(Deals!$U$2:$U$355,MATCH($C762,Deals!$A$2:$A$355,0))),""))</f>
        <v/>
      </c>
      <c r="S762" s="34">
        <f>IFERROR(IF($U762="",1,INDEX(Deals!$V$2:$V$355,MATCH($C762,Deals!$A$2:$A$355,0))),1)</f>
        <v/>
      </c>
      <c r="T762" s="34">
        <f>IFERROR(IF($U762="",1,INDEX(Deals!$W$2:$W$355,MATCH($C762,Deals!$A$2:$A$355,0))),1)</f>
        <v/>
      </c>
      <c r="U762" s="22">
        <f>IF($C762="","",IFERROR(IF(INDEX(Deals!$Y$2:$Y$355,MATCH($C762,Deals!$A$2:$A$355,0))=0,"",INDEX(Deals!$Y$2:$Y$355,MATCH($C762,Deals!$A$2:$A$355,0))),""))</f>
        <v/>
      </c>
      <c r="V762" s="35">
        <f>IF(OR($U762&lt;&gt;"",AND($AO762&gt;0,$L762&lt;&gt;"",$M762&lt;&gt;"")),$N762,DATE(1900,1,1))</f>
        <v/>
      </c>
      <c r="W762" s="35">
        <f>IF($U762&lt;&gt;"",$U762,IF(AND($AO762&gt;0,$L762&lt;&gt;"",$M762&lt;&gt;""),$O762,DATE(2100,12,31)))</f>
        <v/>
      </c>
      <c r="X762" s="32">
        <f>IF($U762="",$K762,$K762*$S762)</f>
        <v/>
      </c>
      <c r="Y762" s="35">
        <f>IF($U762="",DATE(2100,12,31),$U762+1)</f>
        <v/>
      </c>
      <c r="Z762" s="35">
        <f>IF($U762="",DATE(1900,1,1),$O762)</f>
        <v/>
      </c>
      <c r="AA762" s="32">
        <f>IF($U762="",0,$K762*$T762)</f>
        <v/>
      </c>
      <c r="AB762" s="21">
        <f>IF($C762="",0,IFERROR(INDEX(Deals!$AD$2:$AD$355,MATCH($C762,Deals!$A$2:$A$355,0)),0))</f>
        <v/>
      </c>
      <c r="AC762" s="32">
        <f>IF(Settings!$B$4="Yes",$I762*$AB762,$I762)</f>
        <v/>
      </c>
      <c r="AD762" s="22">
        <f>IF($C762="","",IFERROR(IF(INDEX(Deals!$AE$2:$AE$355,MATCH($C762,Deals!$A$2:$A$355,0))=0,"",INDEX(Deals!$AE$2:$AE$355,MATCH($C762,Deals!$A$2:$A$355,0))),""))</f>
        <v/>
      </c>
      <c r="AE762" s="22">
        <f>IF($C762="","",IFERROR(IF(INDEX(Deals!$AF$2:$AF$355,MATCH($C762,Deals!$A$2:$A$355,0))=0,"",INDEX(Deals!$AF$2:$AF$355,MATCH($C762,Deals!$A$2:$A$355,0))),""))</f>
        <v/>
      </c>
      <c r="AF762" s="35">
        <f>IF($AD762="",DATE(1900,1,1),$AD762)</f>
        <v/>
      </c>
      <c r="AG762" s="35">
        <f>IF($AE762="",DATE(2100,12,31),$AE762)</f>
        <v/>
      </c>
      <c r="AH762" s="22">
        <f>IF($C762="","",IFERROR(IF(INDEX(Deals!$AG$2:$AG$355,MATCH($C762,Deals!$A$2:$A$355,0))=0,"",INDEX(Deals!$AG$2:$AG$355,MATCH($C762,Deals!$A$2:$A$355,0))),""))</f>
        <v/>
      </c>
      <c r="AI762" s="35">
        <f>IF(OR($AH762&lt;&gt;"",AND($AO762&gt;0,$AD762&lt;&gt;"",$AE762&lt;&gt;"")),$AF762,DATE(1900,1,1))</f>
        <v/>
      </c>
      <c r="AJ762" s="35">
        <f>IF($AH762&lt;&gt;"",$AH762,IF(AND($AO762&gt;0,$AD762&lt;&gt;"",$AE762&lt;&gt;""),$AG762,DATE(2100,12,31)))</f>
        <v/>
      </c>
      <c r="AK762" s="32">
        <f>IF($AH762="",$AC762,$AC762*$S762)</f>
        <v/>
      </c>
      <c r="AL762" s="35">
        <f>IF($AH762="",DATE(2100,12,31),$AH762+1)</f>
        <v/>
      </c>
      <c r="AM762" s="35">
        <f>IF($AH762="",DATE(1900,1,1),$AG762)</f>
        <v/>
      </c>
      <c r="AN762" s="32">
        <f>IF($AH762="",0,$AC762*$T762)</f>
        <v/>
      </c>
      <c r="AO762" s="46">
        <f>IF($C762="",0,IFERROR(INDEX(Deals!$BD$2:$BD$355,MATCH($C762,Deals!$A$2:$A$355,0)),0))</f>
        <v/>
      </c>
      <c r="AP762" s="18">
        <f>IF($AO762=0,0,IFERROR(INDEX(Deals!$BJ$2:$BP$355,MATCH($C762,Deals!$A$2:$A$355,0),MATCH($F762,Deals!$BJ$1:$BP$1,0))/COUNTIFS(Assignments!$C$2:$C$769,$C762,Assignments!$F$2:$F$769,$F762,Assignments!$G$2:$G$769,"Active"),0))</f>
        <v/>
      </c>
    </row>
    <row r="763">
      <c r="A763" s="31" t="n"/>
      <c r="B763" s="16">
        <f>IF($A763="","",IFERROR(INDEX(Roster!$B$2:$B$40,MATCH($A763,Roster!$A$2:$A$40,0)),"?"))</f>
        <v/>
      </c>
      <c r="C763" s="31" t="n"/>
      <c r="D763" s="16">
        <f>IF($C763="","",IFERROR(IF(INDEX(Deals!$C$2:$C$355,MATCH($C763,Deals!$A$2:$A$355,0))=0,"",INDEX(Deals!$C$2:$C$355,MATCH($C763,Deals!$A$2:$A$355,0))),"?"))</f>
        <v/>
      </c>
      <c r="E763" s="16">
        <f>IF($C763="","",IFERROR(INDEX(Deals!$F$2:$F$355,MATCH($C763,Deals!$A$2:$A$355,0)),"?"))</f>
        <v/>
      </c>
      <c r="F763" s="31" t="n"/>
      <c r="G763" s="31" t="n"/>
      <c r="H763" s="31" t="n"/>
      <c r="I763" s="32">
        <f>IF(OR($A763="",$G763&lt;&gt;"Active"),0,IF($H763&lt;&gt;"",$H763,IF($AO763&gt;0,$AP763,IF(AND($R763&lt;&gt;"",IFERROR(INDEX(Templates!$B$3:$H$10,MATCH($R763,Templates!$A$3:$A$10,0),MATCH($F763,Templates!$B$2:$H$2,0)),0)&gt;0),INDEX(Templates!$B$3:$H$10,MATCH($R763,Templates!$A$3:$A$10,0),MATCH($F763,Templates!$B$2:$H$2,0)),IFERROR(INDEX(Settings!$B$8:$B$14,MATCH($F763,Settings!$A$8:$A$14,0)),0)))))</f>
        <v/>
      </c>
      <c r="J763" s="21">
        <f>IF($C763="",0,IFERROR(INDEX(Deals!$H$2:$H$355,MATCH($C763,Deals!$A$2:$A$355,0)),0))</f>
        <v/>
      </c>
      <c r="K763" s="32">
        <f>IF(Settings!$B$4="Yes",$I763*$J763,$I763)</f>
        <v/>
      </c>
      <c r="L763" s="22">
        <f>IF($C763="","",IFERROR(IF(INDEX(Deals!$I$2:$I$355,MATCH($C763,Deals!$A$2:$A$355,0))=0,"",INDEX(Deals!$I$2:$I$355,MATCH($C763,Deals!$A$2:$A$355,0))),""))</f>
        <v/>
      </c>
      <c r="M763" s="22">
        <f>IF($C763="","",IFERROR(IF(INDEX(Deals!$J$2:$J$355,MATCH($C763,Deals!$A$2:$A$355,0))=0,"",INDEX(Deals!$J$2:$J$355,MATCH($C763,Deals!$A$2:$A$355,0))),""))</f>
        <v/>
      </c>
      <c r="N763" s="35">
        <f>IF($L763="",DATE(1900,1,1),$L763)</f>
        <v/>
      </c>
      <c r="O763" s="35">
        <f>IF($M763="",DATE(2100,12,31),$M763)</f>
        <v/>
      </c>
      <c r="P763" s="44" t="n"/>
      <c r="Q763" s="31" t="n"/>
      <c r="R763" s="16">
        <f>IF($C763="","",IFERROR(IF(INDEX(Deals!$U$2:$U$355,MATCH($C763,Deals!$A$2:$A$355,0))=0,"",INDEX(Deals!$U$2:$U$355,MATCH($C763,Deals!$A$2:$A$355,0))),""))</f>
        <v/>
      </c>
      <c r="S763" s="34">
        <f>IFERROR(IF($U763="",1,INDEX(Deals!$V$2:$V$355,MATCH($C763,Deals!$A$2:$A$355,0))),1)</f>
        <v/>
      </c>
      <c r="T763" s="34">
        <f>IFERROR(IF($U763="",1,INDEX(Deals!$W$2:$W$355,MATCH($C763,Deals!$A$2:$A$355,0))),1)</f>
        <v/>
      </c>
      <c r="U763" s="22">
        <f>IF($C763="","",IFERROR(IF(INDEX(Deals!$Y$2:$Y$355,MATCH($C763,Deals!$A$2:$A$355,0))=0,"",INDEX(Deals!$Y$2:$Y$355,MATCH($C763,Deals!$A$2:$A$355,0))),""))</f>
        <v/>
      </c>
      <c r="V763" s="35">
        <f>IF(OR($U763&lt;&gt;"",AND($AO763&gt;0,$L763&lt;&gt;"",$M763&lt;&gt;"")),$N763,DATE(1900,1,1))</f>
        <v/>
      </c>
      <c r="W763" s="35">
        <f>IF($U763&lt;&gt;"",$U763,IF(AND($AO763&gt;0,$L763&lt;&gt;"",$M763&lt;&gt;""),$O763,DATE(2100,12,31)))</f>
        <v/>
      </c>
      <c r="X763" s="32">
        <f>IF($U763="",$K763,$K763*$S763)</f>
        <v/>
      </c>
      <c r="Y763" s="35">
        <f>IF($U763="",DATE(2100,12,31),$U763+1)</f>
        <v/>
      </c>
      <c r="Z763" s="35">
        <f>IF($U763="",DATE(1900,1,1),$O763)</f>
        <v/>
      </c>
      <c r="AA763" s="32">
        <f>IF($U763="",0,$K763*$T763)</f>
        <v/>
      </c>
      <c r="AB763" s="21">
        <f>IF($C763="",0,IFERROR(INDEX(Deals!$AD$2:$AD$355,MATCH($C763,Deals!$A$2:$A$355,0)),0))</f>
        <v/>
      </c>
      <c r="AC763" s="32">
        <f>IF(Settings!$B$4="Yes",$I763*$AB763,$I763)</f>
        <v/>
      </c>
      <c r="AD763" s="22">
        <f>IF($C763="","",IFERROR(IF(INDEX(Deals!$AE$2:$AE$355,MATCH($C763,Deals!$A$2:$A$355,0))=0,"",INDEX(Deals!$AE$2:$AE$355,MATCH($C763,Deals!$A$2:$A$355,0))),""))</f>
        <v/>
      </c>
      <c r="AE763" s="22">
        <f>IF($C763="","",IFERROR(IF(INDEX(Deals!$AF$2:$AF$355,MATCH($C763,Deals!$A$2:$A$355,0))=0,"",INDEX(Deals!$AF$2:$AF$355,MATCH($C763,Deals!$A$2:$A$355,0))),""))</f>
        <v/>
      </c>
      <c r="AF763" s="35">
        <f>IF($AD763="",DATE(1900,1,1),$AD763)</f>
        <v/>
      </c>
      <c r="AG763" s="35">
        <f>IF($AE763="",DATE(2100,12,31),$AE763)</f>
        <v/>
      </c>
      <c r="AH763" s="22">
        <f>IF($C763="","",IFERROR(IF(INDEX(Deals!$AG$2:$AG$355,MATCH($C763,Deals!$A$2:$A$355,0))=0,"",INDEX(Deals!$AG$2:$AG$355,MATCH($C763,Deals!$A$2:$A$355,0))),""))</f>
        <v/>
      </c>
      <c r="AI763" s="35">
        <f>IF(OR($AH763&lt;&gt;"",AND($AO763&gt;0,$AD763&lt;&gt;"",$AE763&lt;&gt;"")),$AF763,DATE(1900,1,1))</f>
        <v/>
      </c>
      <c r="AJ763" s="35">
        <f>IF($AH763&lt;&gt;"",$AH763,IF(AND($AO763&gt;0,$AD763&lt;&gt;"",$AE763&lt;&gt;""),$AG763,DATE(2100,12,31)))</f>
        <v/>
      </c>
      <c r="AK763" s="32">
        <f>IF($AH763="",$AC763,$AC763*$S763)</f>
        <v/>
      </c>
      <c r="AL763" s="35">
        <f>IF($AH763="",DATE(2100,12,31),$AH763+1)</f>
        <v/>
      </c>
      <c r="AM763" s="35">
        <f>IF($AH763="",DATE(1900,1,1),$AG763)</f>
        <v/>
      </c>
      <c r="AN763" s="32">
        <f>IF($AH763="",0,$AC763*$T763)</f>
        <v/>
      </c>
      <c r="AO763" s="46">
        <f>IF($C763="",0,IFERROR(INDEX(Deals!$BD$2:$BD$355,MATCH($C763,Deals!$A$2:$A$355,0)),0))</f>
        <v/>
      </c>
      <c r="AP763" s="18">
        <f>IF($AO763=0,0,IFERROR(INDEX(Deals!$BJ$2:$BP$355,MATCH($C763,Deals!$A$2:$A$355,0),MATCH($F763,Deals!$BJ$1:$BP$1,0))/COUNTIFS(Assignments!$C$2:$C$769,$C763,Assignments!$F$2:$F$769,$F763,Assignments!$G$2:$G$769,"Active"),0))</f>
        <v/>
      </c>
    </row>
    <row r="764">
      <c r="A764" s="31" t="n"/>
      <c r="B764" s="16">
        <f>IF($A764="","",IFERROR(INDEX(Roster!$B$2:$B$40,MATCH($A764,Roster!$A$2:$A$40,0)),"?"))</f>
        <v/>
      </c>
      <c r="C764" s="31" t="n"/>
      <c r="D764" s="16">
        <f>IF($C764="","",IFERROR(IF(INDEX(Deals!$C$2:$C$355,MATCH($C764,Deals!$A$2:$A$355,0))=0,"",INDEX(Deals!$C$2:$C$355,MATCH($C764,Deals!$A$2:$A$355,0))),"?"))</f>
        <v/>
      </c>
      <c r="E764" s="16">
        <f>IF($C764="","",IFERROR(INDEX(Deals!$F$2:$F$355,MATCH($C764,Deals!$A$2:$A$355,0)),"?"))</f>
        <v/>
      </c>
      <c r="F764" s="31" t="n"/>
      <c r="G764" s="31" t="n"/>
      <c r="H764" s="31" t="n"/>
      <c r="I764" s="32">
        <f>IF(OR($A764="",$G764&lt;&gt;"Active"),0,IF($H764&lt;&gt;"",$H764,IF($AO764&gt;0,$AP764,IF(AND($R764&lt;&gt;"",IFERROR(INDEX(Templates!$B$3:$H$10,MATCH($R764,Templates!$A$3:$A$10,0),MATCH($F764,Templates!$B$2:$H$2,0)),0)&gt;0),INDEX(Templates!$B$3:$H$10,MATCH($R764,Templates!$A$3:$A$10,0),MATCH($F764,Templates!$B$2:$H$2,0)),IFERROR(INDEX(Settings!$B$8:$B$14,MATCH($F764,Settings!$A$8:$A$14,0)),0)))))</f>
        <v/>
      </c>
      <c r="J764" s="21">
        <f>IF($C764="",0,IFERROR(INDEX(Deals!$H$2:$H$355,MATCH($C764,Deals!$A$2:$A$355,0)),0))</f>
        <v/>
      </c>
      <c r="K764" s="32">
        <f>IF(Settings!$B$4="Yes",$I764*$J764,$I764)</f>
        <v/>
      </c>
      <c r="L764" s="22">
        <f>IF($C764="","",IFERROR(IF(INDEX(Deals!$I$2:$I$355,MATCH($C764,Deals!$A$2:$A$355,0))=0,"",INDEX(Deals!$I$2:$I$355,MATCH($C764,Deals!$A$2:$A$355,0))),""))</f>
        <v/>
      </c>
      <c r="M764" s="22">
        <f>IF($C764="","",IFERROR(IF(INDEX(Deals!$J$2:$J$355,MATCH($C764,Deals!$A$2:$A$355,0))=0,"",INDEX(Deals!$J$2:$J$355,MATCH($C764,Deals!$A$2:$A$355,0))),""))</f>
        <v/>
      </c>
      <c r="N764" s="35">
        <f>IF($L764="",DATE(1900,1,1),$L764)</f>
        <v/>
      </c>
      <c r="O764" s="35">
        <f>IF($M764="",DATE(2100,12,31),$M764)</f>
        <v/>
      </c>
      <c r="P764" s="44" t="n"/>
      <c r="Q764" s="31" t="n"/>
      <c r="R764" s="16">
        <f>IF($C764="","",IFERROR(IF(INDEX(Deals!$U$2:$U$355,MATCH($C764,Deals!$A$2:$A$355,0))=0,"",INDEX(Deals!$U$2:$U$355,MATCH($C764,Deals!$A$2:$A$355,0))),""))</f>
        <v/>
      </c>
      <c r="S764" s="34">
        <f>IFERROR(IF($U764="",1,INDEX(Deals!$V$2:$V$355,MATCH($C764,Deals!$A$2:$A$355,0))),1)</f>
        <v/>
      </c>
      <c r="T764" s="34">
        <f>IFERROR(IF($U764="",1,INDEX(Deals!$W$2:$W$355,MATCH($C764,Deals!$A$2:$A$355,0))),1)</f>
        <v/>
      </c>
      <c r="U764" s="22">
        <f>IF($C764="","",IFERROR(IF(INDEX(Deals!$Y$2:$Y$355,MATCH($C764,Deals!$A$2:$A$355,0))=0,"",INDEX(Deals!$Y$2:$Y$355,MATCH($C764,Deals!$A$2:$A$355,0))),""))</f>
        <v/>
      </c>
      <c r="V764" s="35">
        <f>IF(OR($U764&lt;&gt;"",AND($AO764&gt;0,$L764&lt;&gt;"",$M764&lt;&gt;"")),$N764,DATE(1900,1,1))</f>
        <v/>
      </c>
      <c r="W764" s="35">
        <f>IF($U764&lt;&gt;"",$U764,IF(AND($AO764&gt;0,$L764&lt;&gt;"",$M764&lt;&gt;""),$O764,DATE(2100,12,31)))</f>
        <v/>
      </c>
      <c r="X764" s="32">
        <f>IF($U764="",$K764,$K764*$S764)</f>
        <v/>
      </c>
      <c r="Y764" s="35">
        <f>IF($U764="",DATE(2100,12,31),$U764+1)</f>
        <v/>
      </c>
      <c r="Z764" s="35">
        <f>IF($U764="",DATE(1900,1,1),$O764)</f>
        <v/>
      </c>
      <c r="AA764" s="32">
        <f>IF($U764="",0,$K764*$T764)</f>
        <v/>
      </c>
      <c r="AB764" s="21">
        <f>IF($C764="",0,IFERROR(INDEX(Deals!$AD$2:$AD$355,MATCH($C764,Deals!$A$2:$A$355,0)),0))</f>
        <v/>
      </c>
      <c r="AC764" s="32">
        <f>IF(Settings!$B$4="Yes",$I764*$AB764,$I764)</f>
        <v/>
      </c>
      <c r="AD764" s="22">
        <f>IF($C764="","",IFERROR(IF(INDEX(Deals!$AE$2:$AE$355,MATCH($C764,Deals!$A$2:$A$355,0))=0,"",INDEX(Deals!$AE$2:$AE$355,MATCH($C764,Deals!$A$2:$A$355,0))),""))</f>
        <v/>
      </c>
      <c r="AE764" s="22">
        <f>IF($C764="","",IFERROR(IF(INDEX(Deals!$AF$2:$AF$355,MATCH($C764,Deals!$A$2:$A$355,0))=0,"",INDEX(Deals!$AF$2:$AF$355,MATCH($C764,Deals!$A$2:$A$355,0))),""))</f>
        <v/>
      </c>
      <c r="AF764" s="35">
        <f>IF($AD764="",DATE(1900,1,1),$AD764)</f>
        <v/>
      </c>
      <c r="AG764" s="35">
        <f>IF($AE764="",DATE(2100,12,31),$AE764)</f>
        <v/>
      </c>
      <c r="AH764" s="22">
        <f>IF($C764="","",IFERROR(IF(INDEX(Deals!$AG$2:$AG$355,MATCH($C764,Deals!$A$2:$A$355,0))=0,"",INDEX(Deals!$AG$2:$AG$355,MATCH($C764,Deals!$A$2:$A$355,0))),""))</f>
        <v/>
      </c>
      <c r="AI764" s="35">
        <f>IF(OR($AH764&lt;&gt;"",AND($AO764&gt;0,$AD764&lt;&gt;"",$AE764&lt;&gt;"")),$AF764,DATE(1900,1,1))</f>
        <v/>
      </c>
      <c r="AJ764" s="35">
        <f>IF($AH764&lt;&gt;"",$AH764,IF(AND($AO764&gt;0,$AD764&lt;&gt;"",$AE764&lt;&gt;""),$AG764,DATE(2100,12,31)))</f>
        <v/>
      </c>
      <c r="AK764" s="32">
        <f>IF($AH764="",$AC764,$AC764*$S764)</f>
        <v/>
      </c>
      <c r="AL764" s="35">
        <f>IF($AH764="",DATE(2100,12,31),$AH764+1)</f>
        <v/>
      </c>
      <c r="AM764" s="35">
        <f>IF($AH764="",DATE(1900,1,1),$AG764)</f>
        <v/>
      </c>
      <c r="AN764" s="32">
        <f>IF($AH764="",0,$AC764*$T764)</f>
        <v/>
      </c>
      <c r="AO764" s="46">
        <f>IF($C764="",0,IFERROR(INDEX(Deals!$BD$2:$BD$355,MATCH($C764,Deals!$A$2:$A$355,0)),0))</f>
        <v/>
      </c>
      <c r="AP764" s="18">
        <f>IF($AO764=0,0,IFERROR(INDEX(Deals!$BJ$2:$BP$355,MATCH($C764,Deals!$A$2:$A$355,0),MATCH($F764,Deals!$BJ$1:$BP$1,0))/COUNTIFS(Assignments!$C$2:$C$769,$C764,Assignments!$F$2:$F$769,$F764,Assignments!$G$2:$G$769,"Active"),0))</f>
        <v/>
      </c>
    </row>
    <row r="765">
      <c r="A765" s="31" t="n"/>
      <c r="B765" s="16">
        <f>IF($A765="","",IFERROR(INDEX(Roster!$B$2:$B$40,MATCH($A765,Roster!$A$2:$A$40,0)),"?"))</f>
        <v/>
      </c>
      <c r="C765" s="31" t="n"/>
      <c r="D765" s="16">
        <f>IF($C765="","",IFERROR(IF(INDEX(Deals!$C$2:$C$355,MATCH($C765,Deals!$A$2:$A$355,0))=0,"",INDEX(Deals!$C$2:$C$355,MATCH($C765,Deals!$A$2:$A$355,0))),"?"))</f>
        <v/>
      </c>
      <c r="E765" s="16">
        <f>IF($C765="","",IFERROR(INDEX(Deals!$F$2:$F$355,MATCH($C765,Deals!$A$2:$A$355,0)),"?"))</f>
        <v/>
      </c>
      <c r="F765" s="31" t="n"/>
      <c r="G765" s="31" t="n"/>
      <c r="H765" s="31" t="n"/>
      <c r="I765" s="32">
        <f>IF(OR($A765="",$G765&lt;&gt;"Active"),0,IF($H765&lt;&gt;"",$H765,IF($AO765&gt;0,$AP765,IF(AND($R765&lt;&gt;"",IFERROR(INDEX(Templates!$B$3:$H$10,MATCH($R765,Templates!$A$3:$A$10,0),MATCH($F765,Templates!$B$2:$H$2,0)),0)&gt;0),INDEX(Templates!$B$3:$H$10,MATCH($R765,Templates!$A$3:$A$10,0),MATCH($F765,Templates!$B$2:$H$2,0)),IFERROR(INDEX(Settings!$B$8:$B$14,MATCH($F765,Settings!$A$8:$A$14,0)),0)))))</f>
        <v/>
      </c>
      <c r="J765" s="21">
        <f>IF($C765="",0,IFERROR(INDEX(Deals!$H$2:$H$355,MATCH($C765,Deals!$A$2:$A$355,0)),0))</f>
        <v/>
      </c>
      <c r="K765" s="32">
        <f>IF(Settings!$B$4="Yes",$I765*$J765,$I765)</f>
        <v/>
      </c>
      <c r="L765" s="22">
        <f>IF($C765="","",IFERROR(IF(INDEX(Deals!$I$2:$I$355,MATCH($C765,Deals!$A$2:$A$355,0))=0,"",INDEX(Deals!$I$2:$I$355,MATCH($C765,Deals!$A$2:$A$355,0))),""))</f>
        <v/>
      </c>
      <c r="M765" s="22">
        <f>IF($C765="","",IFERROR(IF(INDEX(Deals!$J$2:$J$355,MATCH($C765,Deals!$A$2:$A$355,0))=0,"",INDEX(Deals!$J$2:$J$355,MATCH($C765,Deals!$A$2:$A$355,0))),""))</f>
        <v/>
      </c>
      <c r="N765" s="35">
        <f>IF($L765="",DATE(1900,1,1),$L765)</f>
        <v/>
      </c>
      <c r="O765" s="35">
        <f>IF($M765="",DATE(2100,12,31),$M765)</f>
        <v/>
      </c>
      <c r="P765" s="44" t="n"/>
      <c r="Q765" s="31" t="n"/>
      <c r="R765" s="16">
        <f>IF($C765="","",IFERROR(IF(INDEX(Deals!$U$2:$U$355,MATCH($C765,Deals!$A$2:$A$355,0))=0,"",INDEX(Deals!$U$2:$U$355,MATCH($C765,Deals!$A$2:$A$355,0))),""))</f>
        <v/>
      </c>
      <c r="S765" s="34">
        <f>IFERROR(IF($U765="",1,INDEX(Deals!$V$2:$V$355,MATCH($C765,Deals!$A$2:$A$355,0))),1)</f>
        <v/>
      </c>
      <c r="T765" s="34">
        <f>IFERROR(IF($U765="",1,INDEX(Deals!$W$2:$W$355,MATCH($C765,Deals!$A$2:$A$355,0))),1)</f>
        <v/>
      </c>
      <c r="U765" s="22">
        <f>IF($C765="","",IFERROR(IF(INDEX(Deals!$Y$2:$Y$355,MATCH($C765,Deals!$A$2:$A$355,0))=0,"",INDEX(Deals!$Y$2:$Y$355,MATCH($C765,Deals!$A$2:$A$355,0))),""))</f>
        <v/>
      </c>
      <c r="V765" s="35">
        <f>IF(OR($U765&lt;&gt;"",AND($AO765&gt;0,$L765&lt;&gt;"",$M765&lt;&gt;"")),$N765,DATE(1900,1,1))</f>
        <v/>
      </c>
      <c r="W765" s="35">
        <f>IF($U765&lt;&gt;"",$U765,IF(AND($AO765&gt;0,$L765&lt;&gt;"",$M765&lt;&gt;""),$O765,DATE(2100,12,31)))</f>
        <v/>
      </c>
      <c r="X765" s="32">
        <f>IF($U765="",$K765,$K765*$S765)</f>
        <v/>
      </c>
      <c r="Y765" s="35">
        <f>IF($U765="",DATE(2100,12,31),$U765+1)</f>
        <v/>
      </c>
      <c r="Z765" s="35">
        <f>IF($U765="",DATE(1900,1,1),$O765)</f>
        <v/>
      </c>
      <c r="AA765" s="32">
        <f>IF($U765="",0,$K765*$T765)</f>
        <v/>
      </c>
      <c r="AB765" s="21">
        <f>IF($C765="",0,IFERROR(INDEX(Deals!$AD$2:$AD$355,MATCH($C765,Deals!$A$2:$A$355,0)),0))</f>
        <v/>
      </c>
      <c r="AC765" s="32">
        <f>IF(Settings!$B$4="Yes",$I765*$AB765,$I765)</f>
        <v/>
      </c>
      <c r="AD765" s="22">
        <f>IF($C765="","",IFERROR(IF(INDEX(Deals!$AE$2:$AE$355,MATCH($C765,Deals!$A$2:$A$355,0))=0,"",INDEX(Deals!$AE$2:$AE$355,MATCH($C765,Deals!$A$2:$A$355,0))),""))</f>
        <v/>
      </c>
      <c r="AE765" s="22">
        <f>IF($C765="","",IFERROR(IF(INDEX(Deals!$AF$2:$AF$355,MATCH($C765,Deals!$A$2:$A$355,0))=0,"",INDEX(Deals!$AF$2:$AF$355,MATCH($C765,Deals!$A$2:$A$355,0))),""))</f>
        <v/>
      </c>
      <c r="AF765" s="35">
        <f>IF($AD765="",DATE(1900,1,1),$AD765)</f>
        <v/>
      </c>
      <c r="AG765" s="35">
        <f>IF($AE765="",DATE(2100,12,31),$AE765)</f>
        <v/>
      </c>
      <c r="AH765" s="22">
        <f>IF($C765="","",IFERROR(IF(INDEX(Deals!$AG$2:$AG$355,MATCH($C765,Deals!$A$2:$A$355,0))=0,"",INDEX(Deals!$AG$2:$AG$355,MATCH($C765,Deals!$A$2:$A$355,0))),""))</f>
        <v/>
      </c>
      <c r="AI765" s="35">
        <f>IF(OR($AH765&lt;&gt;"",AND($AO765&gt;0,$AD765&lt;&gt;"",$AE765&lt;&gt;"")),$AF765,DATE(1900,1,1))</f>
        <v/>
      </c>
      <c r="AJ765" s="35">
        <f>IF($AH765&lt;&gt;"",$AH765,IF(AND($AO765&gt;0,$AD765&lt;&gt;"",$AE765&lt;&gt;""),$AG765,DATE(2100,12,31)))</f>
        <v/>
      </c>
      <c r="AK765" s="32">
        <f>IF($AH765="",$AC765,$AC765*$S765)</f>
        <v/>
      </c>
      <c r="AL765" s="35">
        <f>IF($AH765="",DATE(2100,12,31),$AH765+1)</f>
        <v/>
      </c>
      <c r="AM765" s="35">
        <f>IF($AH765="",DATE(1900,1,1),$AG765)</f>
        <v/>
      </c>
      <c r="AN765" s="32">
        <f>IF($AH765="",0,$AC765*$T765)</f>
        <v/>
      </c>
      <c r="AO765" s="46">
        <f>IF($C765="",0,IFERROR(INDEX(Deals!$BD$2:$BD$355,MATCH($C765,Deals!$A$2:$A$355,0)),0))</f>
        <v/>
      </c>
      <c r="AP765" s="18">
        <f>IF($AO765=0,0,IFERROR(INDEX(Deals!$BJ$2:$BP$355,MATCH($C765,Deals!$A$2:$A$355,0),MATCH($F765,Deals!$BJ$1:$BP$1,0))/COUNTIFS(Assignments!$C$2:$C$769,$C765,Assignments!$F$2:$F$769,$F765,Assignments!$G$2:$G$769,"Active"),0))</f>
        <v/>
      </c>
    </row>
    <row r="766">
      <c r="A766" s="31" t="n"/>
      <c r="B766" s="16">
        <f>IF($A766="","",IFERROR(INDEX(Roster!$B$2:$B$40,MATCH($A766,Roster!$A$2:$A$40,0)),"?"))</f>
        <v/>
      </c>
      <c r="C766" s="31" t="n"/>
      <c r="D766" s="16">
        <f>IF($C766="","",IFERROR(IF(INDEX(Deals!$C$2:$C$355,MATCH($C766,Deals!$A$2:$A$355,0))=0,"",INDEX(Deals!$C$2:$C$355,MATCH($C766,Deals!$A$2:$A$355,0))),"?"))</f>
        <v/>
      </c>
      <c r="E766" s="16">
        <f>IF($C766="","",IFERROR(INDEX(Deals!$F$2:$F$355,MATCH($C766,Deals!$A$2:$A$355,0)),"?"))</f>
        <v/>
      </c>
      <c r="F766" s="31" t="n"/>
      <c r="G766" s="31" t="n"/>
      <c r="H766" s="31" t="n"/>
      <c r="I766" s="32">
        <f>IF(OR($A766="",$G766&lt;&gt;"Active"),0,IF($H766&lt;&gt;"",$H766,IF($AO766&gt;0,$AP766,IF(AND($R766&lt;&gt;"",IFERROR(INDEX(Templates!$B$3:$H$10,MATCH($R766,Templates!$A$3:$A$10,0),MATCH($F766,Templates!$B$2:$H$2,0)),0)&gt;0),INDEX(Templates!$B$3:$H$10,MATCH($R766,Templates!$A$3:$A$10,0),MATCH($F766,Templates!$B$2:$H$2,0)),IFERROR(INDEX(Settings!$B$8:$B$14,MATCH($F766,Settings!$A$8:$A$14,0)),0)))))</f>
        <v/>
      </c>
      <c r="J766" s="21">
        <f>IF($C766="",0,IFERROR(INDEX(Deals!$H$2:$H$355,MATCH($C766,Deals!$A$2:$A$355,0)),0))</f>
        <v/>
      </c>
      <c r="K766" s="32">
        <f>IF(Settings!$B$4="Yes",$I766*$J766,$I766)</f>
        <v/>
      </c>
      <c r="L766" s="22">
        <f>IF($C766="","",IFERROR(IF(INDEX(Deals!$I$2:$I$355,MATCH($C766,Deals!$A$2:$A$355,0))=0,"",INDEX(Deals!$I$2:$I$355,MATCH($C766,Deals!$A$2:$A$355,0))),""))</f>
        <v/>
      </c>
      <c r="M766" s="22">
        <f>IF($C766="","",IFERROR(IF(INDEX(Deals!$J$2:$J$355,MATCH($C766,Deals!$A$2:$A$355,0))=0,"",INDEX(Deals!$J$2:$J$355,MATCH($C766,Deals!$A$2:$A$355,0))),""))</f>
        <v/>
      </c>
      <c r="N766" s="35">
        <f>IF($L766="",DATE(1900,1,1),$L766)</f>
        <v/>
      </c>
      <c r="O766" s="35">
        <f>IF($M766="",DATE(2100,12,31),$M766)</f>
        <v/>
      </c>
      <c r="P766" s="44" t="n"/>
      <c r="Q766" s="31" t="n"/>
      <c r="R766" s="16">
        <f>IF($C766="","",IFERROR(IF(INDEX(Deals!$U$2:$U$355,MATCH($C766,Deals!$A$2:$A$355,0))=0,"",INDEX(Deals!$U$2:$U$355,MATCH($C766,Deals!$A$2:$A$355,0))),""))</f>
        <v/>
      </c>
      <c r="S766" s="34">
        <f>IFERROR(IF($U766="",1,INDEX(Deals!$V$2:$V$355,MATCH($C766,Deals!$A$2:$A$355,0))),1)</f>
        <v/>
      </c>
      <c r="T766" s="34">
        <f>IFERROR(IF($U766="",1,INDEX(Deals!$W$2:$W$355,MATCH($C766,Deals!$A$2:$A$355,0))),1)</f>
        <v/>
      </c>
      <c r="U766" s="22">
        <f>IF($C766="","",IFERROR(IF(INDEX(Deals!$Y$2:$Y$355,MATCH($C766,Deals!$A$2:$A$355,0))=0,"",INDEX(Deals!$Y$2:$Y$355,MATCH($C766,Deals!$A$2:$A$355,0))),""))</f>
        <v/>
      </c>
      <c r="V766" s="35">
        <f>IF(OR($U766&lt;&gt;"",AND($AO766&gt;0,$L766&lt;&gt;"",$M766&lt;&gt;"")),$N766,DATE(1900,1,1))</f>
        <v/>
      </c>
      <c r="W766" s="35">
        <f>IF($U766&lt;&gt;"",$U766,IF(AND($AO766&gt;0,$L766&lt;&gt;"",$M766&lt;&gt;""),$O766,DATE(2100,12,31)))</f>
        <v/>
      </c>
      <c r="X766" s="32">
        <f>IF($U766="",$K766,$K766*$S766)</f>
        <v/>
      </c>
      <c r="Y766" s="35">
        <f>IF($U766="",DATE(2100,12,31),$U766+1)</f>
        <v/>
      </c>
      <c r="Z766" s="35">
        <f>IF($U766="",DATE(1900,1,1),$O766)</f>
        <v/>
      </c>
      <c r="AA766" s="32">
        <f>IF($U766="",0,$K766*$T766)</f>
        <v/>
      </c>
      <c r="AB766" s="21">
        <f>IF($C766="",0,IFERROR(INDEX(Deals!$AD$2:$AD$355,MATCH($C766,Deals!$A$2:$A$355,0)),0))</f>
        <v/>
      </c>
      <c r="AC766" s="32">
        <f>IF(Settings!$B$4="Yes",$I766*$AB766,$I766)</f>
        <v/>
      </c>
      <c r="AD766" s="22">
        <f>IF($C766="","",IFERROR(IF(INDEX(Deals!$AE$2:$AE$355,MATCH($C766,Deals!$A$2:$A$355,0))=0,"",INDEX(Deals!$AE$2:$AE$355,MATCH($C766,Deals!$A$2:$A$355,0))),""))</f>
        <v/>
      </c>
      <c r="AE766" s="22">
        <f>IF($C766="","",IFERROR(IF(INDEX(Deals!$AF$2:$AF$355,MATCH($C766,Deals!$A$2:$A$355,0))=0,"",INDEX(Deals!$AF$2:$AF$355,MATCH($C766,Deals!$A$2:$A$355,0))),""))</f>
        <v/>
      </c>
      <c r="AF766" s="35">
        <f>IF($AD766="",DATE(1900,1,1),$AD766)</f>
        <v/>
      </c>
      <c r="AG766" s="35">
        <f>IF($AE766="",DATE(2100,12,31),$AE766)</f>
        <v/>
      </c>
      <c r="AH766" s="22">
        <f>IF($C766="","",IFERROR(IF(INDEX(Deals!$AG$2:$AG$355,MATCH($C766,Deals!$A$2:$A$355,0))=0,"",INDEX(Deals!$AG$2:$AG$355,MATCH($C766,Deals!$A$2:$A$355,0))),""))</f>
        <v/>
      </c>
      <c r="AI766" s="35">
        <f>IF(OR($AH766&lt;&gt;"",AND($AO766&gt;0,$AD766&lt;&gt;"",$AE766&lt;&gt;"")),$AF766,DATE(1900,1,1))</f>
        <v/>
      </c>
      <c r="AJ766" s="35">
        <f>IF($AH766&lt;&gt;"",$AH766,IF(AND($AO766&gt;0,$AD766&lt;&gt;"",$AE766&lt;&gt;""),$AG766,DATE(2100,12,31)))</f>
        <v/>
      </c>
      <c r="AK766" s="32">
        <f>IF($AH766="",$AC766,$AC766*$S766)</f>
        <v/>
      </c>
      <c r="AL766" s="35">
        <f>IF($AH766="",DATE(2100,12,31),$AH766+1)</f>
        <v/>
      </c>
      <c r="AM766" s="35">
        <f>IF($AH766="",DATE(1900,1,1),$AG766)</f>
        <v/>
      </c>
      <c r="AN766" s="32">
        <f>IF($AH766="",0,$AC766*$T766)</f>
        <v/>
      </c>
      <c r="AO766" s="46">
        <f>IF($C766="",0,IFERROR(INDEX(Deals!$BD$2:$BD$355,MATCH($C766,Deals!$A$2:$A$355,0)),0))</f>
        <v/>
      </c>
      <c r="AP766" s="18">
        <f>IF($AO766=0,0,IFERROR(INDEX(Deals!$BJ$2:$BP$355,MATCH($C766,Deals!$A$2:$A$355,0),MATCH($F766,Deals!$BJ$1:$BP$1,0))/COUNTIFS(Assignments!$C$2:$C$769,$C766,Assignments!$F$2:$F$769,$F766,Assignments!$G$2:$G$769,"Active"),0))</f>
        <v/>
      </c>
    </row>
    <row r="767">
      <c r="A767" s="31" t="n"/>
      <c r="B767" s="16">
        <f>IF($A767="","",IFERROR(INDEX(Roster!$B$2:$B$40,MATCH($A767,Roster!$A$2:$A$40,0)),"?"))</f>
        <v/>
      </c>
      <c r="C767" s="31" t="n"/>
      <c r="D767" s="16">
        <f>IF($C767="","",IFERROR(IF(INDEX(Deals!$C$2:$C$355,MATCH($C767,Deals!$A$2:$A$355,0))=0,"",INDEX(Deals!$C$2:$C$355,MATCH($C767,Deals!$A$2:$A$355,0))),"?"))</f>
        <v/>
      </c>
      <c r="E767" s="16">
        <f>IF($C767="","",IFERROR(INDEX(Deals!$F$2:$F$355,MATCH($C767,Deals!$A$2:$A$355,0)),"?"))</f>
        <v/>
      </c>
      <c r="F767" s="31" t="n"/>
      <c r="G767" s="31" t="n"/>
      <c r="H767" s="31" t="n"/>
      <c r="I767" s="32">
        <f>IF(OR($A767="",$G767&lt;&gt;"Active"),0,IF($H767&lt;&gt;"",$H767,IF($AO767&gt;0,$AP767,IF(AND($R767&lt;&gt;"",IFERROR(INDEX(Templates!$B$3:$H$10,MATCH($R767,Templates!$A$3:$A$10,0),MATCH($F767,Templates!$B$2:$H$2,0)),0)&gt;0),INDEX(Templates!$B$3:$H$10,MATCH($R767,Templates!$A$3:$A$10,0),MATCH($F767,Templates!$B$2:$H$2,0)),IFERROR(INDEX(Settings!$B$8:$B$14,MATCH($F767,Settings!$A$8:$A$14,0)),0)))))</f>
        <v/>
      </c>
      <c r="J767" s="21">
        <f>IF($C767="",0,IFERROR(INDEX(Deals!$H$2:$H$355,MATCH($C767,Deals!$A$2:$A$355,0)),0))</f>
        <v/>
      </c>
      <c r="K767" s="32">
        <f>IF(Settings!$B$4="Yes",$I767*$J767,$I767)</f>
        <v/>
      </c>
      <c r="L767" s="22">
        <f>IF($C767="","",IFERROR(IF(INDEX(Deals!$I$2:$I$355,MATCH($C767,Deals!$A$2:$A$355,0))=0,"",INDEX(Deals!$I$2:$I$355,MATCH($C767,Deals!$A$2:$A$355,0))),""))</f>
        <v/>
      </c>
      <c r="M767" s="22">
        <f>IF($C767="","",IFERROR(IF(INDEX(Deals!$J$2:$J$355,MATCH($C767,Deals!$A$2:$A$355,0))=0,"",INDEX(Deals!$J$2:$J$355,MATCH($C767,Deals!$A$2:$A$355,0))),""))</f>
        <v/>
      </c>
      <c r="N767" s="35">
        <f>IF($L767="",DATE(1900,1,1),$L767)</f>
        <v/>
      </c>
      <c r="O767" s="35">
        <f>IF($M767="",DATE(2100,12,31),$M767)</f>
        <v/>
      </c>
      <c r="P767" s="44" t="n"/>
      <c r="Q767" s="31" t="n"/>
      <c r="R767" s="16">
        <f>IF($C767="","",IFERROR(IF(INDEX(Deals!$U$2:$U$355,MATCH($C767,Deals!$A$2:$A$355,0))=0,"",INDEX(Deals!$U$2:$U$355,MATCH($C767,Deals!$A$2:$A$355,0))),""))</f>
        <v/>
      </c>
      <c r="S767" s="34">
        <f>IFERROR(IF($U767="",1,INDEX(Deals!$V$2:$V$355,MATCH($C767,Deals!$A$2:$A$355,0))),1)</f>
        <v/>
      </c>
      <c r="T767" s="34">
        <f>IFERROR(IF($U767="",1,INDEX(Deals!$W$2:$W$355,MATCH($C767,Deals!$A$2:$A$355,0))),1)</f>
        <v/>
      </c>
      <c r="U767" s="22">
        <f>IF($C767="","",IFERROR(IF(INDEX(Deals!$Y$2:$Y$355,MATCH($C767,Deals!$A$2:$A$355,0))=0,"",INDEX(Deals!$Y$2:$Y$355,MATCH($C767,Deals!$A$2:$A$355,0))),""))</f>
        <v/>
      </c>
      <c r="V767" s="35">
        <f>IF(OR($U767&lt;&gt;"",AND($AO767&gt;0,$L767&lt;&gt;"",$M767&lt;&gt;"")),$N767,DATE(1900,1,1))</f>
        <v/>
      </c>
      <c r="W767" s="35">
        <f>IF($U767&lt;&gt;"",$U767,IF(AND($AO767&gt;0,$L767&lt;&gt;"",$M767&lt;&gt;""),$O767,DATE(2100,12,31)))</f>
        <v/>
      </c>
      <c r="X767" s="32">
        <f>IF($U767="",$K767,$K767*$S767)</f>
        <v/>
      </c>
      <c r="Y767" s="35">
        <f>IF($U767="",DATE(2100,12,31),$U767+1)</f>
        <v/>
      </c>
      <c r="Z767" s="35">
        <f>IF($U767="",DATE(1900,1,1),$O767)</f>
        <v/>
      </c>
      <c r="AA767" s="32">
        <f>IF($U767="",0,$K767*$T767)</f>
        <v/>
      </c>
      <c r="AB767" s="21">
        <f>IF($C767="",0,IFERROR(INDEX(Deals!$AD$2:$AD$355,MATCH($C767,Deals!$A$2:$A$355,0)),0))</f>
        <v/>
      </c>
      <c r="AC767" s="32">
        <f>IF(Settings!$B$4="Yes",$I767*$AB767,$I767)</f>
        <v/>
      </c>
      <c r="AD767" s="22">
        <f>IF($C767="","",IFERROR(IF(INDEX(Deals!$AE$2:$AE$355,MATCH($C767,Deals!$A$2:$A$355,0))=0,"",INDEX(Deals!$AE$2:$AE$355,MATCH($C767,Deals!$A$2:$A$355,0))),""))</f>
        <v/>
      </c>
      <c r="AE767" s="22">
        <f>IF($C767="","",IFERROR(IF(INDEX(Deals!$AF$2:$AF$355,MATCH($C767,Deals!$A$2:$A$355,0))=0,"",INDEX(Deals!$AF$2:$AF$355,MATCH($C767,Deals!$A$2:$A$355,0))),""))</f>
        <v/>
      </c>
      <c r="AF767" s="35">
        <f>IF($AD767="",DATE(1900,1,1),$AD767)</f>
        <v/>
      </c>
      <c r="AG767" s="35">
        <f>IF($AE767="",DATE(2100,12,31),$AE767)</f>
        <v/>
      </c>
      <c r="AH767" s="22">
        <f>IF($C767="","",IFERROR(IF(INDEX(Deals!$AG$2:$AG$355,MATCH($C767,Deals!$A$2:$A$355,0))=0,"",INDEX(Deals!$AG$2:$AG$355,MATCH($C767,Deals!$A$2:$A$355,0))),""))</f>
        <v/>
      </c>
      <c r="AI767" s="35">
        <f>IF(OR($AH767&lt;&gt;"",AND($AO767&gt;0,$AD767&lt;&gt;"",$AE767&lt;&gt;"")),$AF767,DATE(1900,1,1))</f>
        <v/>
      </c>
      <c r="AJ767" s="35">
        <f>IF($AH767&lt;&gt;"",$AH767,IF(AND($AO767&gt;0,$AD767&lt;&gt;"",$AE767&lt;&gt;""),$AG767,DATE(2100,12,31)))</f>
        <v/>
      </c>
      <c r="AK767" s="32">
        <f>IF($AH767="",$AC767,$AC767*$S767)</f>
        <v/>
      </c>
      <c r="AL767" s="35">
        <f>IF($AH767="",DATE(2100,12,31),$AH767+1)</f>
        <v/>
      </c>
      <c r="AM767" s="35">
        <f>IF($AH767="",DATE(1900,1,1),$AG767)</f>
        <v/>
      </c>
      <c r="AN767" s="32">
        <f>IF($AH767="",0,$AC767*$T767)</f>
        <v/>
      </c>
      <c r="AO767" s="46">
        <f>IF($C767="",0,IFERROR(INDEX(Deals!$BD$2:$BD$355,MATCH($C767,Deals!$A$2:$A$355,0)),0))</f>
        <v/>
      </c>
      <c r="AP767" s="18">
        <f>IF($AO767=0,0,IFERROR(INDEX(Deals!$BJ$2:$BP$355,MATCH($C767,Deals!$A$2:$A$355,0),MATCH($F767,Deals!$BJ$1:$BP$1,0))/COUNTIFS(Assignments!$C$2:$C$769,$C767,Assignments!$F$2:$F$769,$F767,Assignments!$G$2:$G$769,"Active"),0))</f>
        <v/>
      </c>
    </row>
    <row r="768">
      <c r="A768" s="31" t="n"/>
      <c r="B768" s="16">
        <f>IF($A768="","",IFERROR(INDEX(Roster!$B$2:$B$40,MATCH($A768,Roster!$A$2:$A$40,0)),"?"))</f>
        <v/>
      </c>
      <c r="C768" s="31" t="n"/>
      <c r="D768" s="16">
        <f>IF($C768="","",IFERROR(IF(INDEX(Deals!$C$2:$C$355,MATCH($C768,Deals!$A$2:$A$355,0))=0,"",INDEX(Deals!$C$2:$C$355,MATCH($C768,Deals!$A$2:$A$355,0))),"?"))</f>
        <v/>
      </c>
      <c r="E768" s="16">
        <f>IF($C768="","",IFERROR(INDEX(Deals!$F$2:$F$355,MATCH($C768,Deals!$A$2:$A$355,0)),"?"))</f>
        <v/>
      </c>
      <c r="F768" s="31" t="n"/>
      <c r="G768" s="31" t="n"/>
      <c r="H768" s="31" t="n"/>
      <c r="I768" s="32">
        <f>IF(OR($A768="",$G768&lt;&gt;"Active"),0,IF($H768&lt;&gt;"",$H768,IF($AO768&gt;0,$AP768,IF(AND($R768&lt;&gt;"",IFERROR(INDEX(Templates!$B$3:$H$10,MATCH($R768,Templates!$A$3:$A$10,0),MATCH($F768,Templates!$B$2:$H$2,0)),0)&gt;0),INDEX(Templates!$B$3:$H$10,MATCH($R768,Templates!$A$3:$A$10,0),MATCH($F768,Templates!$B$2:$H$2,0)),IFERROR(INDEX(Settings!$B$8:$B$14,MATCH($F768,Settings!$A$8:$A$14,0)),0)))))</f>
        <v/>
      </c>
      <c r="J768" s="21">
        <f>IF($C768="",0,IFERROR(INDEX(Deals!$H$2:$H$355,MATCH($C768,Deals!$A$2:$A$355,0)),0))</f>
        <v/>
      </c>
      <c r="K768" s="32">
        <f>IF(Settings!$B$4="Yes",$I768*$J768,$I768)</f>
        <v/>
      </c>
      <c r="L768" s="22">
        <f>IF($C768="","",IFERROR(IF(INDEX(Deals!$I$2:$I$355,MATCH($C768,Deals!$A$2:$A$355,0))=0,"",INDEX(Deals!$I$2:$I$355,MATCH($C768,Deals!$A$2:$A$355,0))),""))</f>
        <v/>
      </c>
      <c r="M768" s="22">
        <f>IF($C768="","",IFERROR(IF(INDEX(Deals!$J$2:$J$355,MATCH($C768,Deals!$A$2:$A$355,0))=0,"",INDEX(Deals!$J$2:$J$355,MATCH($C768,Deals!$A$2:$A$355,0))),""))</f>
        <v/>
      </c>
      <c r="N768" s="35">
        <f>IF($L768="",DATE(1900,1,1),$L768)</f>
        <v/>
      </c>
      <c r="O768" s="35">
        <f>IF($M768="",DATE(2100,12,31),$M768)</f>
        <v/>
      </c>
      <c r="P768" s="44" t="n"/>
      <c r="Q768" s="31" t="n"/>
      <c r="R768" s="16">
        <f>IF($C768="","",IFERROR(IF(INDEX(Deals!$U$2:$U$355,MATCH($C768,Deals!$A$2:$A$355,0))=0,"",INDEX(Deals!$U$2:$U$355,MATCH($C768,Deals!$A$2:$A$355,0))),""))</f>
        <v/>
      </c>
      <c r="S768" s="34">
        <f>IFERROR(IF($U768="",1,INDEX(Deals!$V$2:$V$355,MATCH($C768,Deals!$A$2:$A$355,0))),1)</f>
        <v/>
      </c>
      <c r="T768" s="34">
        <f>IFERROR(IF($U768="",1,INDEX(Deals!$W$2:$W$355,MATCH($C768,Deals!$A$2:$A$355,0))),1)</f>
        <v/>
      </c>
      <c r="U768" s="22">
        <f>IF($C768="","",IFERROR(IF(INDEX(Deals!$Y$2:$Y$355,MATCH($C768,Deals!$A$2:$A$355,0))=0,"",INDEX(Deals!$Y$2:$Y$355,MATCH($C768,Deals!$A$2:$A$355,0))),""))</f>
        <v/>
      </c>
      <c r="V768" s="35">
        <f>IF(OR($U768&lt;&gt;"",AND($AO768&gt;0,$L768&lt;&gt;"",$M768&lt;&gt;"")),$N768,DATE(1900,1,1))</f>
        <v/>
      </c>
      <c r="W768" s="35">
        <f>IF($U768&lt;&gt;"",$U768,IF(AND($AO768&gt;0,$L768&lt;&gt;"",$M768&lt;&gt;""),$O768,DATE(2100,12,31)))</f>
        <v/>
      </c>
      <c r="X768" s="32">
        <f>IF($U768="",$K768,$K768*$S768)</f>
        <v/>
      </c>
      <c r="Y768" s="35">
        <f>IF($U768="",DATE(2100,12,31),$U768+1)</f>
        <v/>
      </c>
      <c r="Z768" s="35">
        <f>IF($U768="",DATE(1900,1,1),$O768)</f>
        <v/>
      </c>
      <c r="AA768" s="32">
        <f>IF($U768="",0,$K768*$T768)</f>
        <v/>
      </c>
      <c r="AB768" s="21">
        <f>IF($C768="",0,IFERROR(INDEX(Deals!$AD$2:$AD$355,MATCH($C768,Deals!$A$2:$A$355,0)),0))</f>
        <v/>
      </c>
      <c r="AC768" s="32">
        <f>IF(Settings!$B$4="Yes",$I768*$AB768,$I768)</f>
        <v/>
      </c>
      <c r="AD768" s="22">
        <f>IF($C768="","",IFERROR(IF(INDEX(Deals!$AE$2:$AE$355,MATCH($C768,Deals!$A$2:$A$355,0))=0,"",INDEX(Deals!$AE$2:$AE$355,MATCH($C768,Deals!$A$2:$A$355,0))),""))</f>
        <v/>
      </c>
      <c r="AE768" s="22">
        <f>IF($C768="","",IFERROR(IF(INDEX(Deals!$AF$2:$AF$355,MATCH($C768,Deals!$A$2:$A$355,0))=0,"",INDEX(Deals!$AF$2:$AF$355,MATCH($C768,Deals!$A$2:$A$355,0))),""))</f>
        <v/>
      </c>
      <c r="AF768" s="35">
        <f>IF($AD768="",DATE(1900,1,1),$AD768)</f>
        <v/>
      </c>
      <c r="AG768" s="35">
        <f>IF($AE768="",DATE(2100,12,31),$AE768)</f>
        <v/>
      </c>
      <c r="AH768" s="22">
        <f>IF($C768="","",IFERROR(IF(INDEX(Deals!$AG$2:$AG$355,MATCH($C768,Deals!$A$2:$A$355,0))=0,"",INDEX(Deals!$AG$2:$AG$355,MATCH($C768,Deals!$A$2:$A$355,0))),""))</f>
        <v/>
      </c>
      <c r="AI768" s="35">
        <f>IF(OR($AH768&lt;&gt;"",AND($AO768&gt;0,$AD768&lt;&gt;"",$AE768&lt;&gt;"")),$AF768,DATE(1900,1,1))</f>
        <v/>
      </c>
      <c r="AJ768" s="35">
        <f>IF($AH768&lt;&gt;"",$AH768,IF(AND($AO768&gt;0,$AD768&lt;&gt;"",$AE768&lt;&gt;""),$AG768,DATE(2100,12,31)))</f>
        <v/>
      </c>
      <c r="AK768" s="32">
        <f>IF($AH768="",$AC768,$AC768*$S768)</f>
        <v/>
      </c>
      <c r="AL768" s="35">
        <f>IF($AH768="",DATE(2100,12,31),$AH768+1)</f>
        <v/>
      </c>
      <c r="AM768" s="35">
        <f>IF($AH768="",DATE(1900,1,1),$AG768)</f>
        <v/>
      </c>
      <c r="AN768" s="32">
        <f>IF($AH768="",0,$AC768*$T768)</f>
        <v/>
      </c>
      <c r="AO768" s="46">
        <f>IF($C768="",0,IFERROR(INDEX(Deals!$BD$2:$BD$355,MATCH($C768,Deals!$A$2:$A$355,0)),0))</f>
        <v/>
      </c>
      <c r="AP768" s="18">
        <f>IF($AO768=0,0,IFERROR(INDEX(Deals!$BJ$2:$BP$355,MATCH($C768,Deals!$A$2:$A$355,0),MATCH($F768,Deals!$BJ$1:$BP$1,0))/COUNTIFS(Assignments!$C$2:$C$769,$C768,Assignments!$F$2:$F$769,$F768,Assignments!$G$2:$G$769,"Active"),0))</f>
        <v/>
      </c>
    </row>
    <row r="769">
      <c r="A769" s="31" t="n"/>
      <c r="B769" s="16">
        <f>IF($A769="","",IFERROR(INDEX(Roster!$B$2:$B$40,MATCH($A769,Roster!$A$2:$A$40,0)),"?"))</f>
        <v/>
      </c>
      <c r="C769" s="31" t="n"/>
      <c r="D769" s="16">
        <f>IF($C769="","",IFERROR(IF(INDEX(Deals!$C$2:$C$355,MATCH($C769,Deals!$A$2:$A$355,0))=0,"",INDEX(Deals!$C$2:$C$355,MATCH($C769,Deals!$A$2:$A$355,0))),"?"))</f>
        <v/>
      </c>
      <c r="E769" s="16">
        <f>IF($C769="","",IFERROR(INDEX(Deals!$F$2:$F$355,MATCH($C769,Deals!$A$2:$A$355,0)),"?"))</f>
        <v/>
      </c>
      <c r="F769" s="31" t="n"/>
      <c r="G769" s="31" t="n"/>
      <c r="H769" s="31" t="n"/>
      <c r="I769" s="32">
        <f>IF(OR($A769="",$G769&lt;&gt;"Active"),0,IF($H769&lt;&gt;"",$H769,IF($AO769&gt;0,$AP769,IF(AND($R769&lt;&gt;"",IFERROR(INDEX(Templates!$B$3:$H$10,MATCH($R769,Templates!$A$3:$A$10,0),MATCH($F769,Templates!$B$2:$H$2,0)),0)&gt;0),INDEX(Templates!$B$3:$H$10,MATCH($R769,Templates!$A$3:$A$10,0),MATCH($F769,Templates!$B$2:$H$2,0)),IFERROR(INDEX(Settings!$B$8:$B$14,MATCH($F769,Settings!$A$8:$A$14,0)),0)))))</f>
        <v/>
      </c>
      <c r="J769" s="21">
        <f>IF($C769="",0,IFERROR(INDEX(Deals!$H$2:$H$355,MATCH($C769,Deals!$A$2:$A$355,0)),0))</f>
        <v/>
      </c>
      <c r="K769" s="32">
        <f>IF(Settings!$B$4="Yes",$I769*$J769,$I769)</f>
        <v/>
      </c>
      <c r="L769" s="22">
        <f>IF($C769="","",IFERROR(IF(INDEX(Deals!$I$2:$I$355,MATCH($C769,Deals!$A$2:$A$355,0))=0,"",INDEX(Deals!$I$2:$I$355,MATCH($C769,Deals!$A$2:$A$355,0))),""))</f>
        <v/>
      </c>
      <c r="M769" s="22">
        <f>IF($C769="","",IFERROR(IF(INDEX(Deals!$J$2:$J$355,MATCH($C769,Deals!$A$2:$A$355,0))=0,"",INDEX(Deals!$J$2:$J$355,MATCH($C769,Deals!$A$2:$A$355,0))),""))</f>
        <v/>
      </c>
      <c r="N769" s="35">
        <f>IF($L769="",DATE(1900,1,1),$L769)</f>
        <v/>
      </c>
      <c r="O769" s="35">
        <f>IF($M769="",DATE(2100,12,31),$M769)</f>
        <v/>
      </c>
      <c r="P769" s="44" t="n"/>
      <c r="Q769" s="31" t="n"/>
      <c r="R769" s="16">
        <f>IF($C769="","",IFERROR(IF(INDEX(Deals!$U$2:$U$355,MATCH($C769,Deals!$A$2:$A$355,0))=0,"",INDEX(Deals!$U$2:$U$355,MATCH($C769,Deals!$A$2:$A$355,0))),""))</f>
        <v/>
      </c>
      <c r="S769" s="34">
        <f>IFERROR(IF($U769="",1,INDEX(Deals!$V$2:$V$355,MATCH($C769,Deals!$A$2:$A$355,0))),1)</f>
        <v/>
      </c>
      <c r="T769" s="34">
        <f>IFERROR(IF($U769="",1,INDEX(Deals!$W$2:$W$355,MATCH($C769,Deals!$A$2:$A$355,0))),1)</f>
        <v/>
      </c>
      <c r="U769" s="22">
        <f>IF($C769="","",IFERROR(IF(INDEX(Deals!$Y$2:$Y$355,MATCH($C769,Deals!$A$2:$A$355,0))=0,"",INDEX(Deals!$Y$2:$Y$355,MATCH($C769,Deals!$A$2:$A$355,0))),""))</f>
        <v/>
      </c>
      <c r="V769" s="35">
        <f>IF(OR($U769&lt;&gt;"",AND($AO769&gt;0,$L769&lt;&gt;"",$M769&lt;&gt;"")),$N769,DATE(1900,1,1))</f>
        <v/>
      </c>
      <c r="W769" s="35">
        <f>IF($U769&lt;&gt;"",$U769,IF(AND($AO769&gt;0,$L769&lt;&gt;"",$M769&lt;&gt;""),$O769,DATE(2100,12,31)))</f>
        <v/>
      </c>
      <c r="X769" s="32">
        <f>IF($U769="",$K769,$K769*$S769)</f>
        <v/>
      </c>
      <c r="Y769" s="35">
        <f>IF($U769="",DATE(2100,12,31),$U769+1)</f>
        <v/>
      </c>
      <c r="Z769" s="35">
        <f>IF($U769="",DATE(1900,1,1),$O769)</f>
        <v/>
      </c>
      <c r="AA769" s="32">
        <f>IF($U769="",0,$K769*$T769)</f>
        <v/>
      </c>
      <c r="AB769" s="21">
        <f>IF($C769="",0,IFERROR(INDEX(Deals!$AD$2:$AD$355,MATCH($C769,Deals!$A$2:$A$355,0)),0))</f>
        <v/>
      </c>
      <c r="AC769" s="32">
        <f>IF(Settings!$B$4="Yes",$I769*$AB769,$I769)</f>
        <v/>
      </c>
      <c r="AD769" s="22">
        <f>IF($C769="","",IFERROR(IF(INDEX(Deals!$AE$2:$AE$355,MATCH($C769,Deals!$A$2:$A$355,0))=0,"",INDEX(Deals!$AE$2:$AE$355,MATCH($C769,Deals!$A$2:$A$355,0))),""))</f>
        <v/>
      </c>
      <c r="AE769" s="22">
        <f>IF($C769="","",IFERROR(IF(INDEX(Deals!$AF$2:$AF$355,MATCH($C769,Deals!$A$2:$A$355,0))=0,"",INDEX(Deals!$AF$2:$AF$355,MATCH($C769,Deals!$A$2:$A$355,0))),""))</f>
        <v/>
      </c>
      <c r="AF769" s="35">
        <f>IF($AD769="",DATE(1900,1,1),$AD769)</f>
        <v/>
      </c>
      <c r="AG769" s="35">
        <f>IF($AE769="",DATE(2100,12,31),$AE769)</f>
        <v/>
      </c>
      <c r="AH769" s="22">
        <f>IF($C769="","",IFERROR(IF(INDEX(Deals!$AG$2:$AG$355,MATCH($C769,Deals!$A$2:$A$355,0))=0,"",INDEX(Deals!$AG$2:$AG$355,MATCH($C769,Deals!$A$2:$A$355,0))),""))</f>
        <v/>
      </c>
      <c r="AI769" s="35">
        <f>IF(OR($AH769&lt;&gt;"",AND($AO769&gt;0,$AD769&lt;&gt;"",$AE769&lt;&gt;"")),$AF769,DATE(1900,1,1))</f>
        <v/>
      </c>
      <c r="AJ769" s="35">
        <f>IF($AH769&lt;&gt;"",$AH769,IF(AND($AO769&gt;0,$AD769&lt;&gt;"",$AE769&lt;&gt;""),$AG769,DATE(2100,12,31)))</f>
        <v/>
      </c>
      <c r="AK769" s="32">
        <f>IF($AH769="",$AC769,$AC769*$S769)</f>
        <v/>
      </c>
      <c r="AL769" s="35">
        <f>IF($AH769="",DATE(2100,12,31),$AH769+1)</f>
        <v/>
      </c>
      <c r="AM769" s="35">
        <f>IF($AH769="",DATE(1900,1,1),$AG769)</f>
        <v/>
      </c>
      <c r="AN769" s="32">
        <f>IF($AH769="",0,$AC769*$T769)</f>
        <v/>
      </c>
      <c r="AO769" s="46">
        <f>IF($C769="",0,IFERROR(INDEX(Deals!$BD$2:$BD$355,MATCH($C769,Deals!$A$2:$A$355,0)),0))</f>
        <v/>
      </c>
      <c r="AP769" s="18">
        <f>IF($AO769=0,0,IFERROR(INDEX(Deals!$BJ$2:$BP$355,MATCH($C769,Deals!$A$2:$A$355,0),MATCH($F769,Deals!$BJ$1:$BP$1,0))/COUNTIFS(Assignments!$C$2:$C$769,$C769,Assignments!$F$2:$F$769,$F769,Assignments!$G$2:$G$769,"Active"),0))</f>
        <v/>
      </c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1"/>
  <conditionalFormatting sqref="A2:AP769">
    <cfRule type="expression" priority="1" dxfId="5">
      <formula>$G2="Inactive"</formula>
    </cfRule>
  </conditionalFormatting>
  <dataValidations count="4">
    <dataValidation sqref="A2:A769" showDropDown="0" showInputMessage="0" showErrorMessage="0" allowBlank="1" type="list">
      <formula1>RosterNames</formula1>
    </dataValidation>
    <dataValidation sqref="C2:C769" showDropDown="0" showInputMessage="0" showErrorMessage="0" allowBlank="1" type="list">
      <formula1>DealCodes</formula1>
    </dataValidation>
    <dataValidation sqref="F2:F769" showDropDown="0" showInputMessage="0" showErrorMessage="0" allowBlank="1" type="list">
      <formula1>LevelList</formula1>
    </dataValidation>
    <dataValidation sqref="G2:G769" showDropDown="0" showInputMessage="0" showErrorMessage="0" allowBlank="1" type="list">
      <formula1>ActiveList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2" customWidth="1" min="4" max="4"/>
    <col width="11" customWidth="1" min="5" max="5"/>
    <col width="11" customWidth="1" min="6" max="6"/>
    <col width="10" customWidth="1" min="7" max="7"/>
  </cols>
  <sheetData>
    <row r="1" ht="28" customHeight="1">
      <c r="A1" s="15" t="inlineStr">
        <is>
          <t>Person</t>
        </is>
      </c>
      <c r="B1" s="15" t="inlineStr">
        <is>
          <t>Level</t>
        </is>
      </c>
      <c r="C1" s="15" t="inlineStr">
        <is>
          <t>Specialty</t>
        </is>
      </c>
      <c r="D1" s="15" t="inlineStr">
        <is>
          <t>Weekly capacity (hrs)</t>
        </is>
      </c>
      <c r="E1" s="15" t="inlineStr">
        <is>
          <t>Active assignments</t>
        </is>
      </c>
      <c r="F1" s="15" t="inlineStr">
        <is>
          <t>Committed hrs/wk</t>
        </is>
      </c>
      <c r="G1" s="15" t="inlineStr">
        <is>
          <t>Utilization</t>
        </is>
      </c>
    </row>
    <row r="2">
      <c r="A2" s="28" t="inlineStr">
        <is>
          <t>Tania</t>
        </is>
      </c>
      <c r="B2" s="28" t="inlineStr">
        <is>
          <t>Partner</t>
        </is>
      </c>
      <c r="C2" s="28" t="inlineStr">
        <is>
          <t>Core M&amp;A</t>
        </is>
      </c>
      <c r="D2" s="48" t="n">
        <v>40</v>
      </c>
      <c r="E2" s="23">
        <f>IF($A2="","",COUNTIFS(Assignments!$A$2:$A$769,$A2,Assignments!$G$2:$G$769,"Active"))</f>
        <v/>
      </c>
      <c r="F2" s="32">
        <f>IF($A2="","",SUMIFS(Assignments!$I$2:$I$769,Assignments!$A$2:$A$769,$A2,Assignments!$G$2:$G$769,"Active"))</f>
        <v/>
      </c>
      <c r="G2" s="19">
        <f>IF(OR($A2="",$D2=""),"",IF($D2=0,"",$F2/$D2))</f>
        <v/>
      </c>
    </row>
    <row r="3">
      <c r="A3" s="28" t="inlineStr">
        <is>
          <t>John</t>
        </is>
      </c>
      <c r="B3" s="28" t="inlineStr">
        <is>
          <t>Partner</t>
        </is>
      </c>
      <c r="C3" s="28" t="inlineStr">
        <is>
          <t>Core M&amp;A</t>
        </is>
      </c>
      <c r="D3" s="48" t="n">
        <v>40</v>
      </c>
      <c r="E3" s="23">
        <f>IF($A3="","",COUNTIFS(Assignments!$A$2:$A$769,$A3,Assignments!$G$2:$G$769,"Active"))</f>
        <v/>
      </c>
      <c r="F3" s="32">
        <f>IF($A3="","",SUMIFS(Assignments!$I$2:$I$769,Assignments!$A$2:$A$769,$A3,Assignments!$G$2:$G$769,"Active"))</f>
        <v/>
      </c>
      <c r="G3" s="19">
        <f>IF(OR($A3="",$D3=""),"",IF($D3=0,"",$F3/$D3))</f>
        <v/>
      </c>
    </row>
    <row r="4">
      <c r="A4" s="28" t="inlineStr">
        <is>
          <t>Will B. W.</t>
        </is>
      </c>
      <c r="B4" s="28" t="inlineStr">
        <is>
          <t>Partner</t>
        </is>
      </c>
      <c r="C4" s="28" t="inlineStr">
        <is>
          <t>Core M&amp;A</t>
        </is>
      </c>
      <c r="D4" s="48" t="n">
        <v>40</v>
      </c>
      <c r="E4" s="23">
        <f>IF($A4="","",COUNTIFS(Assignments!$A$2:$A$769,$A4,Assignments!$G$2:$G$769,"Active"))</f>
        <v/>
      </c>
      <c r="F4" s="32">
        <f>IF($A4="","",SUMIFS(Assignments!$I$2:$I$769,Assignments!$A$2:$A$769,$A4,Assignments!$G$2:$G$769,"Active"))</f>
        <v/>
      </c>
      <c r="G4" s="19">
        <f>IF(OR($A4="",$D4=""),"",IF($D4=0,"",$F4/$D4))</f>
        <v/>
      </c>
    </row>
    <row r="5">
      <c r="A5" s="28" t="inlineStr">
        <is>
          <t>Kyle Kidd</t>
        </is>
      </c>
      <c r="B5" s="28" t="inlineStr">
        <is>
          <t>Partner</t>
        </is>
      </c>
      <c r="C5" s="28" t="inlineStr">
        <is>
          <t>Core M&amp;A</t>
        </is>
      </c>
      <c r="D5" s="48" t="n">
        <v>40</v>
      </c>
      <c r="E5" s="23">
        <f>IF($A5="","",COUNTIFS(Assignments!$A$2:$A$769,$A5,Assignments!$G$2:$G$769,"Active"))</f>
        <v/>
      </c>
      <c r="F5" s="32">
        <f>IF($A5="","",SUMIFS(Assignments!$I$2:$I$769,Assignments!$A$2:$A$769,$A5,Assignments!$G$2:$G$769,"Active"))</f>
        <v/>
      </c>
      <c r="G5" s="19">
        <f>IF(OR($A5="",$D5=""),"",IF($D5=0,"",$F5/$D5))</f>
        <v/>
      </c>
    </row>
    <row r="6">
      <c r="A6" s="28" t="inlineStr">
        <is>
          <t>Zack</t>
        </is>
      </c>
      <c r="B6" s="28" t="inlineStr">
        <is>
          <t>MD</t>
        </is>
      </c>
      <c r="C6" s="28" t="inlineStr">
        <is>
          <t>Core M&amp;A</t>
        </is>
      </c>
      <c r="D6" s="48" t="n">
        <v>40</v>
      </c>
      <c r="E6" s="23">
        <f>IF($A6="","",COUNTIFS(Assignments!$A$2:$A$769,$A6,Assignments!$G$2:$G$769,"Active"))</f>
        <v/>
      </c>
      <c r="F6" s="32">
        <f>IF($A6="","",SUMIFS(Assignments!$I$2:$I$769,Assignments!$A$2:$A$769,$A6,Assignments!$G$2:$G$769,"Active"))</f>
        <v/>
      </c>
      <c r="G6" s="19">
        <f>IF(OR($A6="",$D6=""),"",IF($D6=0,"",$F6/$D6))</f>
        <v/>
      </c>
    </row>
    <row r="7">
      <c r="A7" s="28" t="inlineStr">
        <is>
          <t>Ethan</t>
        </is>
      </c>
      <c r="B7" s="28" t="inlineStr">
        <is>
          <t>MD</t>
        </is>
      </c>
      <c r="C7" s="28" t="inlineStr">
        <is>
          <t>Core M&amp;A</t>
        </is>
      </c>
      <c r="D7" s="48" t="n">
        <v>40</v>
      </c>
      <c r="E7" s="23">
        <f>IF($A7="","",COUNTIFS(Assignments!$A$2:$A$769,$A7,Assignments!$G$2:$G$769,"Active"))</f>
        <v/>
      </c>
      <c r="F7" s="32">
        <f>IF($A7="","",SUMIFS(Assignments!$I$2:$I$769,Assignments!$A$2:$A$769,$A7,Assignments!$G$2:$G$769,"Active"))</f>
        <v/>
      </c>
      <c r="G7" s="19">
        <f>IF(OR($A7="",$D7=""),"",IF($D7=0,"",$F7/$D7))</f>
        <v/>
      </c>
    </row>
    <row r="8">
      <c r="A8" s="28" t="inlineStr">
        <is>
          <t>Jeremy</t>
        </is>
      </c>
      <c r="B8" s="28" t="inlineStr">
        <is>
          <t>MD</t>
        </is>
      </c>
      <c r="C8" s="28" t="inlineStr">
        <is>
          <t>Core M&amp;A</t>
        </is>
      </c>
      <c r="D8" s="48" t="n">
        <v>40</v>
      </c>
      <c r="E8" s="23">
        <f>IF($A8="","",COUNTIFS(Assignments!$A$2:$A$769,$A8,Assignments!$G$2:$G$769,"Active"))</f>
        <v/>
      </c>
      <c r="F8" s="32">
        <f>IF($A8="","",SUMIFS(Assignments!$I$2:$I$769,Assignments!$A$2:$A$769,$A8,Assignments!$G$2:$G$769,"Active"))</f>
        <v/>
      </c>
      <c r="G8" s="19">
        <f>IF(OR($A8="",$D8=""),"",IF($D8=0,"",$F8/$D8))</f>
        <v/>
      </c>
    </row>
    <row r="9">
      <c r="A9" s="28" t="inlineStr">
        <is>
          <t>Jason</t>
        </is>
      </c>
      <c r="B9" s="28" t="inlineStr">
        <is>
          <t>MD</t>
        </is>
      </c>
      <c r="C9" s="28" t="inlineStr">
        <is>
          <t>Core M&amp;A</t>
        </is>
      </c>
      <c r="D9" s="48" t="n">
        <v>40</v>
      </c>
      <c r="E9" s="23">
        <f>IF($A9="","",COUNTIFS(Assignments!$A$2:$A$769,$A9,Assignments!$G$2:$G$769,"Active"))</f>
        <v/>
      </c>
      <c r="F9" s="32">
        <f>IF($A9="","",SUMIFS(Assignments!$I$2:$I$769,Assignments!$A$2:$A$769,$A9,Assignments!$G$2:$G$769,"Active"))</f>
        <v/>
      </c>
      <c r="G9" s="19">
        <f>IF(OR($A9="",$D9=""),"",IF($D9=0,"",$F9/$D9))</f>
        <v/>
      </c>
    </row>
    <row r="10">
      <c r="A10" s="28" t="inlineStr">
        <is>
          <t>Justine</t>
        </is>
      </c>
      <c r="B10" s="28" t="inlineStr">
        <is>
          <t>Director</t>
        </is>
      </c>
      <c r="C10" s="28" t="inlineStr">
        <is>
          <t>Core M&amp;A</t>
        </is>
      </c>
      <c r="D10" s="48" t="n">
        <v>40</v>
      </c>
      <c r="E10" s="23">
        <f>IF($A10="","",COUNTIFS(Assignments!$A$2:$A$769,$A10,Assignments!$G$2:$G$769,"Active"))</f>
        <v/>
      </c>
      <c r="F10" s="32">
        <f>IF($A10="","",SUMIFS(Assignments!$I$2:$I$769,Assignments!$A$2:$A$769,$A10,Assignments!$G$2:$G$769,"Active"))</f>
        <v/>
      </c>
      <c r="G10" s="19">
        <f>IF(OR($A10="",$D10=""),"",IF($D10=0,"",$F10/$D10))</f>
        <v/>
      </c>
    </row>
    <row r="11">
      <c r="A11" s="28" t="inlineStr">
        <is>
          <t>Kyle Risser</t>
        </is>
      </c>
      <c r="B11" s="28" t="inlineStr">
        <is>
          <t>Director</t>
        </is>
      </c>
      <c r="C11" s="28" t="inlineStr">
        <is>
          <t>Core M&amp;A</t>
        </is>
      </c>
      <c r="D11" s="48" t="n">
        <v>40</v>
      </c>
      <c r="E11" s="23">
        <f>IF($A11="","",COUNTIFS(Assignments!$A$2:$A$769,$A11,Assignments!$G$2:$G$769,"Active"))</f>
        <v/>
      </c>
      <c r="F11" s="32">
        <f>IF($A11="","",SUMIFS(Assignments!$I$2:$I$769,Assignments!$A$2:$A$769,$A11,Assignments!$G$2:$G$769,"Active"))</f>
        <v/>
      </c>
      <c r="G11" s="19">
        <f>IF(OR($A11="",$D11=""),"",IF($D11=0,"",$F11/$D11))</f>
        <v/>
      </c>
    </row>
    <row r="12">
      <c r="A12" s="28" t="inlineStr">
        <is>
          <t>Will Covalt</t>
        </is>
      </c>
      <c r="B12" s="28" t="inlineStr">
        <is>
          <t>Director</t>
        </is>
      </c>
      <c r="C12" s="28" t="inlineStr">
        <is>
          <t>Core M&amp;A</t>
        </is>
      </c>
      <c r="D12" s="48" t="n">
        <v>40</v>
      </c>
      <c r="E12" s="23">
        <f>IF($A12="","",COUNTIFS(Assignments!$A$2:$A$769,$A12,Assignments!$G$2:$G$769,"Active"))</f>
        <v/>
      </c>
      <c r="F12" s="32">
        <f>IF($A12="","",SUMIFS(Assignments!$I$2:$I$769,Assignments!$A$2:$A$769,$A12,Assignments!$G$2:$G$769,"Active"))</f>
        <v/>
      </c>
      <c r="G12" s="19">
        <f>IF(OR($A12="",$D12=""),"",IF($D12=0,"",$F12/$D12))</f>
        <v/>
      </c>
    </row>
    <row r="13">
      <c r="A13" s="28" t="inlineStr">
        <is>
          <t>Lauren</t>
        </is>
      </c>
      <c r="B13" s="28" t="inlineStr">
        <is>
          <t>Director</t>
        </is>
      </c>
      <c r="C13" s="28" t="inlineStr">
        <is>
          <t>Core M&amp;A</t>
        </is>
      </c>
      <c r="D13" s="48" t="n">
        <v>40</v>
      </c>
      <c r="E13" s="23">
        <f>IF($A13="","",COUNTIFS(Assignments!$A$2:$A$769,$A13,Assignments!$G$2:$G$769,"Active"))</f>
        <v/>
      </c>
      <c r="F13" s="32">
        <f>IF($A13="","",SUMIFS(Assignments!$I$2:$I$769,Assignments!$A$2:$A$769,$A13,Assignments!$G$2:$G$769,"Active"))</f>
        <v/>
      </c>
      <c r="G13" s="19">
        <f>IF(OR($A13="",$D13=""),"",IF($D13=0,"",$F13/$D13))</f>
        <v/>
      </c>
    </row>
    <row r="14">
      <c r="A14" s="28" t="inlineStr">
        <is>
          <t>George</t>
        </is>
      </c>
      <c r="B14" s="28" t="inlineStr">
        <is>
          <t>VP</t>
        </is>
      </c>
      <c r="C14" s="28" t="inlineStr">
        <is>
          <t>Core M&amp;A</t>
        </is>
      </c>
      <c r="D14" s="48" t="n">
        <v>40</v>
      </c>
      <c r="E14" s="23">
        <f>IF($A14="","",COUNTIFS(Assignments!$A$2:$A$769,$A14,Assignments!$G$2:$G$769,"Active"))</f>
        <v/>
      </c>
      <c r="F14" s="32">
        <f>IF($A14="","",SUMIFS(Assignments!$I$2:$I$769,Assignments!$A$2:$A$769,$A14,Assignments!$G$2:$G$769,"Active"))</f>
        <v/>
      </c>
      <c r="G14" s="19">
        <f>IF(OR($A14="",$D14=""),"",IF($D14=0,"",$F14/$D14))</f>
        <v/>
      </c>
    </row>
    <row r="15">
      <c r="A15" s="28" t="inlineStr">
        <is>
          <t>Spencer</t>
        </is>
      </c>
      <c r="B15" s="28" t="inlineStr">
        <is>
          <t>VP</t>
        </is>
      </c>
      <c r="C15" s="28" t="inlineStr">
        <is>
          <t>Core M&amp;A</t>
        </is>
      </c>
      <c r="D15" s="48" t="n">
        <v>40</v>
      </c>
      <c r="E15" s="23">
        <f>IF($A15="","",COUNTIFS(Assignments!$A$2:$A$769,$A15,Assignments!$G$2:$G$769,"Active"))</f>
        <v/>
      </c>
      <c r="F15" s="32">
        <f>IF($A15="","",SUMIFS(Assignments!$I$2:$I$769,Assignments!$A$2:$A$769,$A15,Assignments!$G$2:$G$769,"Active"))</f>
        <v/>
      </c>
      <c r="G15" s="19">
        <f>IF(OR($A15="",$D15=""),"",IF($D15=0,"",$F15/$D15))</f>
        <v/>
      </c>
    </row>
    <row r="16">
      <c r="A16" s="28" t="inlineStr">
        <is>
          <t>Patch</t>
        </is>
      </c>
      <c r="B16" s="28" t="inlineStr">
        <is>
          <t>VP</t>
        </is>
      </c>
      <c r="C16" s="28" t="inlineStr">
        <is>
          <t>Core M&amp;A</t>
        </is>
      </c>
      <c r="D16" s="48" t="n">
        <v>40</v>
      </c>
      <c r="E16" s="23">
        <f>IF($A16="","",COUNTIFS(Assignments!$A$2:$A$769,$A16,Assignments!$G$2:$G$769,"Active"))</f>
        <v/>
      </c>
      <c r="F16" s="32">
        <f>IF($A16="","",SUMIFS(Assignments!$I$2:$I$769,Assignments!$A$2:$A$769,$A16,Assignments!$G$2:$G$769,"Active"))</f>
        <v/>
      </c>
      <c r="G16" s="19">
        <f>IF(OR($A16="",$D16=""),"",IF($D16=0,"",$F16/$D16))</f>
        <v/>
      </c>
    </row>
    <row r="17">
      <c r="A17" s="28" t="inlineStr">
        <is>
          <t>Vidhi</t>
        </is>
      </c>
      <c r="B17" s="28" t="inlineStr">
        <is>
          <t>Senior Associate</t>
        </is>
      </c>
      <c r="C17" s="28" t="inlineStr">
        <is>
          <t>Core M&amp;A</t>
        </is>
      </c>
      <c r="D17" s="48" t="n">
        <v>40</v>
      </c>
      <c r="E17" s="23">
        <f>IF($A17="","",COUNTIFS(Assignments!$A$2:$A$769,$A17,Assignments!$G$2:$G$769,"Active"))</f>
        <v/>
      </c>
      <c r="F17" s="32">
        <f>IF($A17="","",SUMIFS(Assignments!$I$2:$I$769,Assignments!$A$2:$A$769,$A17,Assignments!$G$2:$G$769,"Active"))</f>
        <v/>
      </c>
      <c r="G17" s="19">
        <f>IF(OR($A17="",$D17=""),"",IF($D17=0,"",$F17/$D17))</f>
        <v/>
      </c>
    </row>
    <row r="18">
      <c r="A18" s="28" t="inlineStr">
        <is>
          <t>Nina</t>
        </is>
      </c>
      <c r="B18" s="28" t="inlineStr">
        <is>
          <t>Senior Associate</t>
        </is>
      </c>
      <c r="C18" s="28" t="inlineStr">
        <is>
          <t>Core M&amp;A</t>
        </is>
      </c>
      <c r="D18" s="48" t="n">
        <v>40</v>
      </c>
      <c r="E18" s="23">
        <f>IF($A18="","",COUNTIFS(Assignments!$A$2:$A$769,$A18,Assignments!$G$2:$G$769,"Active"))</f>
        <v/>
      </c>
      <c r="F18" s="32">
        <f>IF($A18="","",SUMIFS(Assignments!$I$2:$I$769,Assignments!$A$2:$A$769,$A18,Assignments!$G$2:$G$769,"Active"))</f>
        <v/>
      </c>
      <c r="G18" s="19">
        <f>IF(OR($A18="",$D18=""),"",IF($D18=0,"",$F18/$D18))</f>
        <v/>
      </c>
    </row>
    <row r="19">
      <c r="A19" s="28" t="inlineStr">
        <is>
          <t>Colleen</t>
        </is>
      </c>
      <c r="B19" s="28" t="inlineStr">
        <is>
          <t>Senior Associate</t>
        </is>
      </c>
      <c r="C19" s="28" t="inlineStr">
        <is>
          <t>Core M&amp;A</t>
        </is>
      </c>
      <c r="D19" s="48" t="n">
        <v>40</v>
      </c>
      <c r="E19" s="23">
        <f>IF($A19="","",COUNTIFS(Assignments!$A$2:$A$769,$A19,Assignments!$G$2:$G$769,"Active"))</f>
        <v/>
      </c>
      <c r="F19" s="32">
        <f>IF($A19="","",SUMIFS(Assignments!$I$2:$I$769,Assignments!$A$2:$A$769,$A19,Assignments!$G$2:$G$769,"Active"))</f>
        <v/>
      </c>
      <c r="G19" s="19">
        <f>IF(OR($A19="",$D19=""),"",IF($D19=0,"",$F19/$D19))</f>
        <v/>
      </c>
    </row>
    <row r="20">
      <c r="A20" s="28" t="inlineStr">
        <is>
          <t>Jennifer Wu</t>
        </is>
      </c>
      <c r="B20" s="28" t="inlineStr">
        <is>
          <t>Senior Associate</t>
        </is>
      </c>
      <c r="C20" s="28" t="inlineStr">
        <is>
          <t>Core M&amp;A</t>
        </is>
      </c>
      <c r="D20" s="48" t="n">
        <v>40</v>
      </c>
      <c r="E20" s="23">
        <f>IF($A20="","",COUNTIFS(Assignments!$A$2:$A$769,$A20,Assignments!$G$2:$G$769,"Active"))</f>
        <v/>
      </c>
      <c r="F20" s="32">
        <f>IF($A20="","",SUMIFS(Assignments!$I$2:$I$769,Assignments!$A$2:$A$769,$A20,Assignments!$G$2:$G$769,"Active"))</f>
        <v/>
      </c>
      <c r="G20" s="19">
        <f>IF(OR($A20="",$D20=""),"",IF($D20=0,"",$F20/$D20))</f>
        <v/>
      </c>
    </row>
    <row r="21">
      <c r="A21" s="28" t="inlineStr">
        <is>
          <t>Dorian</t>
        </is>
      </c>
      <c r="B21" s="28" t="inlineStr">
        <is>
          <t>Renewable Specialist</t>
        </is>
      </c>
      <c r="C21" s="28" t="inlineStr">
        <is>
          <t>Renewable</t>
        </is>
      </c>
      <c r="D21" s="48" t="n">
        <v>40</v>
      </c>
      <c r="E21" s="23">
        <f>IF($A21="","",COUNTIFS(Assignments!$A$2:$A$769,$A21,Assignments!$G$2:$G$769,"Active"))</f>
        <v/>
      </c>
      <c r="F21" s="32">
        <f>IF($A21="","",SUMIFS(Assignments!$I$2:$I$769,Assignments!$A$2:$A$769,$A21,Assignments!$G$2:$G$769,"Active"))</f>
        <v/>
      </c>
      <c r="G21" s="19">
        <f>IF(OR($A21="",$D21=""),"",IF($D21=0,"",$F21/$D21))</f>
        <v/>
      </c>
    </row>
    <row r="22">
      <c r="A22" s="28" t="inlineStr">
        <is>
          <t>Yiyi</t>
        </is>
      </c>
      <c r="B22" s="28" t="inlineStr">
        <is>
          <t>Renewable Specialist</t>
        </is>
      </c>
      <c r="C22" s="28" t="inlineStr">
        <is>
          <t>Renewable</t>
        </is>
      </c>
      <c r="D22" s="48" t="n">
        <v>40</v>
      </c>
      <c r="E22" s="23">
        <f>IF($A22="","",COUNTIFS(Assignments!$A$2:$A$769,$A22,Assignments!$G$2:$G$769,"Active"))</f>
        <v/>
      </c>
      <c r="F22" s="32">
        <f>IF($A22="","",SUMIFS(Assignments!$I$2:$I$769,Assignments!$A$2:$A$769,$A22,Assignments!$G$2:$G$769,"Active"))</f>
        <v/>
      </c>
      <c r="G22" s="19">
        <f>IF(OR($A22="",$D22=""),"",IF($D22=0,"",$F22/$D22))</f>
        <v/>
      </c>
    </row>
    <row r="23">
      <c r="A23" s="28" t="inlineStr">
        <is>
          <t>Eric</t>
        </is>
      </c>
      <c r="B23" s="28" t="inlineStr">
        <is>
          <t>Renewable Specialist</t>
        </is>
      </c>
      <c r="C23" s="28" t="inlineStr">
        <is>
          <t>Renewable</t>
        </is>
      </c>
      <c r="D23" s="48" t="n">
        <v>40</v>
      </c>
      <c r="E23" s="23">
        <f>IF($A23="","",COUNTIFS(Assignments!$A$2:$A$769,$A23,Assignments!$G$2:$G$769,"Active"))</f>
        <v/>
      </c>
      <c r="F23" s="32">
        <f>IF($A23="","",SUMIFS(Assignments!$I$2:$I$769,Assignments!$A$2:$A$769,$A23,Assignments!$G$2:$G$769,"Active"))</f>
        <v/>
      </c>
      <c r="G23" s="19">
        <f>IF(OR($A23="",$D23=""),"",IF($D23=0,"",$F23/$D23))</f>
        <v/>
      </c>
    </row>
    <row r="24">
      <c r="A24" s="28" t="inlineStr">
        <is>
          <t>Robbie</t>
        </is>
      </c>
      <c r="B24" s="28" t="inlineStr">
        <is>
          <t>Renewable Specialist</t>
        </is>
      </c>
      <c r="C24" s="28" t="inlineStr">
        <is>
          <t>Renewable</t>
        </is>
      </c>
      <c r="D24" s="48" t="n">
        <v>40</v>
      </c>
      <c r="E24" s="23">
        <f>IF($A24="","",COUNTIFS(Assignments!$A$2:$A$769,$A24,Assignments!$G$2:$G$769,"Active"))</f>
        <v/>
      </c>
      <c r="F24" s="32">
        <f>IF($A24="","",SUMIFS(Assignments!$I$2:$I$769,Assignments!$A$2:$A$769,$A24,Assignments!$G$2:$G$769,"Active"))</f>
        <v/>
      </c>
      <c r="G24" s="19">
        <f>IF(OR($A24="",$D24=""),"",IF($D24=0,"",$F24/$D24))</f>
        <v/>
      </c>
    </row>
    <row r="25">
      <c r="A25" s="31" t="n"/>
      <c r="B25" s="31" t="n"/>
      <c r="C25" s="31" t="n"/>
      <c r="D25" s="31" t="n"/>
      <c r="E25" s="23">
        <f>IF($A25="","",COUNTIFS(Assignments!$A$2:$A$769,$A25,Assignments!$G$2:$G$769,"Active"))</f>
        <v/>
      </c>
      <c r="F25" s="32">
        <f>IF($A25="","",SUMIFS(Assignments!$I$2:$I$769,Assignments!$A$2:$A$769,$A25,Assignments!$G$2:$G$769,"Active"))</f>
        <v/>
      </c>
      <c r="G25" s="19">
        <f>IF(OR($A25="",$D25=""),"",IF($D25=0,"",$F25/$D25))</f>
        <v/>
      </c>
    </row>
    <row r="26">
      <c r="A26" s="31" t="n"/>
      <c r="B26" s="31" t="n"/>
      <c r="C26" s="31" t="n"/>
      <c r="D26" s="31" t="n"/>
      <c r="E26" s="23">
        <f>IF($A26="","",COUNTIFS(Assignments!$A$2:$A$769,$A26,Assignments!$G$2:$G$769,"Active"))</f>
        <v/>
      </c>
      <c r="F26" s="32">
        <f>IF($A26="","",SUMIFS(Assignments!$I$2:$I$769,Assignments!$A$2:$A$769,$A26,Assignments!$G$2:$G$769,"Active"))</f>
        <v/>
      </c>
      <c r="G26" s="19">
        <f>IF(OR($A26="",$D26=""),"",IF($D26=0,"",$F26/$D26))</f>
        <v/>
      </c>
    </row>
    <row r="27">
      <c r="A27" s="31" t="n"/>
      <c r="B27" s="31" t="n"/>
      <c r="C27" s="31" t="n"/>
      <c r="D27" s="31" t="n"/>
      <c r="E27" s="23">
        <f>IF($A27="","",COUNTIFS(Assignments!$A$2:$A$769,$A27,Assignments!$G$2:$G$769,"Active"))</f>
        <v/>
      </c>
      <c r="F27" s="32">
        <f>IF($A27="","",SUMIFS(Assignments!$I$2:$I$769,Assignments!$A$2:$A$769,$A27,Assignments!$G$2:$G$769,"Active"))</f>
        <v/>
      </c>
      <c r="G27" s="19">
        <f>IF(OR($A27="",$D27=""),"",IF($D27=0,"",$F27/$D27))</f>
        <v/>
      </c>
    </row>
    <row r="28">
      <c r="A28" s="31" t="n"/>
      <c r="B28" s="31" t="n"/>
      <c r="C28" s="31" t="n"/>
      <c r="D28" s="31" t="n"/>
      <c r="E28" s="23">
        <f>IF($A28="","",COUNTIFS(Assignments!$A$2:$A$769,$A28,Assignments!$G$2:$G$769,"Active"))</f>
        <v/>
      </c>
      <c r="F28" s="32">
        <f>IF($A28="","",SUMIFS(Assignments!$I$2:$I$769,Assignments!$A$2:$A$769,$A28,Assignments!$G$2:$G$769,"Active"))</f>
        <v/>
      </c>
      <c r="G28" s="19">
        <f>IF(OR($A28="",$D28=""),"",IF($D28=0,"",$F28/$D28))</f>
        <v/>
      </c>
    </row>
    <row r="29">
      <c r="A29" s="31" t="n"/>
      <c r="B29" s="31" t="n"/>
      <c r="C29" s="31" t="n"/>
      <c r="D29" s="31" t="n"/>
      <c r="E29" s="23">
        <f>IF($A29="","",COUNTIFS(Assignments!$A$2:$A$769,$A29,Assignments!$G$2:$G$769,"Active"))</f>
        <v/>
      </c>
      <c r="F29" s="32">
        <f>IF($A29="","",SUMIFS(Assignments!$I$2:$I$769,Assignments!$A$2:$A$769,$A29,Assignments!$G$2:$G$769,"Active"))</f>
        <v/>
      </c>
      <c r="G29" s="19">
        <f>IF(OR($A29="",$D29=""),"",IF($D29=0,"",$F29/$D29))</f>
        <v/>
      </c>
    </row>
    <row r="30">
      <c r="A30" s="31" t="n"/>
      <c r="B30" s="31" t="n"/>
      <c r="C30" s="31" t="n"/>
      <c r="D30" s="31" t="n"/>
      <c r="E30" s="23">
        <f>IF($A30="","",COUNTIFS(Assignments!$A$2:$A$769,$A30,Assignments!$G$2:$G$769,"Active"))</f>
        <v/>
      </c>
      <c r="F30" s="32">
        <f>IF($A30="","",SUMIFS(Assignments!$I$2:$I$769,Assignments!$A$2:$A$769,$A30,Assignments!$G$2:$G$769,"Active"))</f>
        <v/>
      </c>
      <c r="G30" s="19">
        <f>IF(OR($A30="",$D30=""),"",IF($D30=0,"",$F30/$D30))</f>
        <v/>
      </c>
    </row>
    <row r="31">
      <c r="A31" s="31" t="n"/>
      <c r="B31" s="31" t="n"/>
      <c r="C31" s="31" t="n"/>
      <c r="D31" s="31" t="n"/>
      <c r="E31" s="23">
        <f>IF($A31="","",COUNTIFS(Assignments!$A$2:$A$769,$A31,Assignments!$G$2:$G$769,"Active"))</f>
        <v/>
      </c>
      <c r="F31" s="32">
        <f>IF($A31="","",SUMIFS(Assignments!$I$2:$I$769,Assignments!$A$2:$A$769,$A31,Assignments!$G$2:$G$769,"Active"))</f>
        <v/>
      </c>
      <c r="G31" s="19">
        <f>IF(OR($A31="",$D31=""),"",IF($D31=0,"",$F31/$D31))</f>
        <v/>
      </c>
    </row>
    <row r="32">
      <c r="A32" s="31" t="n"/>
      <c r="B32" s="31" t="n"/>
      <c r="C32" s="31" t="n"/>
      <c r="D32" s="31" t="n"/>
      <c r="E32" s="23">
        <f>IF($A32="","",COUNTIFS(Assignments!$A$2:$A$769,$A32,Assignments!$G$2:$G$769,"Active"))</f>
        <v/>
      </c>
      <c r="F32" s="32">
        <f>IF($A32="","",SUMIFS(Assignments!$I$2:$I$769,Assignments!$A$2:$A$769,$A32,Assignments!$G$2:$G$769,"Active"))</f>
        <v/>
      </c>
      <c r="G32" s="19">
        <f>IF(OR($A32="",$D32=""),"",IF($D32=0,"",$F32/$D32))</f>
        <v/>
      </c>
    </row>
    <row r="33">
      <c r="A33" s="31" t="n"/>
      <c r="B33" s="31" t="n"/>
      <c r="C33" s="31" t="n"/>
      <c r="D33" s="31" t="n"/>
      <c r="E33" s="23">
        <f>IF($A33="","",COUNTIFS(Assignments!$A$2:$A$769,$A33,Assignments!$G$2:$G$769,"Active"))</f>
        <v/>
      </c>
      <c r="F33" s="32">
        <f>IF($A33="","",SUMIFS(Assignments!$I$2:$I$769,Assignments!$A$2:$A$769,$A33,Assignments!$G$2:$G$769,"Active"))</f>
        <v/>
      </c>
      <c r="G33" s="19">
        <f>IF(OR($A33="",$D33=""),"",IF($D33=0,"",$F33/$D33))</f>
        <v/>
      </c>
    </row>
    <row r="34">
      <c r="A34" s="31" t="n"/>
      <c r="B34" s="31" t="n"/>
      <c r="C34" s="31" t="n"/>
      <c r="D34" s="31" t="n"/>
      <c r="E34" s="23">
        <f>IF($A34="","",COUNTIFS(Assignments!$A$2:$A$769,$A34,Assignments!$G$2:$G$769,"Active"))</f>
        <v/>
      </c>
      <c r="F34" s="32">
        <f>IF($A34="","",SUMIFS(Assignments!$I$2:$I$769,Assignments!$A$2:$A$769,$A34,Assignments!$G$2:$G$769,"Active"))</f>
        <v/>
      </c>
      <c r="G34" s="19">
        <f>IF(OR($A34="",$D34=""),"",IF($D34=0,"",$F34/$D34))</f>
        <v/>
      </c>
    </row>
    <row r="35">
      <c r="A35" s="31" t="n"/>
      <c r="B35" s="31" t="n"/>
      <c r="C35" s="31" t="n"/>
      <c r="D35" s="31" t="n"/>
      <c r="E35" s="23">
        <f>IF($A35="","",COUNTIFS(Assignments!$A$2:$A$769,$A35,Assignments!$G$2:$G$769,"Active"))</f>
        <v/>
      </c>
      <c r="F35" s="32">
        <f>IF($A35="","",SUMIFS(Assignments!$I$2:$I$769,Assignments!$A$2:$A$769,$A35,Assignments!$G$2:$G$769,"Active"))</f>
        <v/>
      </c>
      <c r="G35" s="19">
        <f>IF(OR($A35="",$D35=""),"",IF($D35=0,"",$F35/$D35))</f>
        <v/>
      </c>
    </row>
    <row r="36">
      <c r="A36" s="31" t="n"/>
      <c r="B36" s="31" t="n"/>
      <c r="C36" s="31" t="n"/>
      <c r="D36" s="31" t="n"/>
      <c r="E36" s="23">
        <f>IF($A36="","",COUNTIFS(Assignments!$A$2:$A$769,$A36,Assignments!$G$2:$G$769,"Active"))</f>
        <v/>
      </c>
      <c r="F36" s="32">
        <f>IF($A36="","",SUMIFS(Assignments!$I$2:$I$769,Assignments!$A$2:$A$769,$A36,Assignments!$G$2:$G$769,"Active"))</f>
        <v/>
      </c>
      <c r="G36" s="19">
        <f>IF(OR($A36="",$D36=""),"",IF($D36=0,"",$F36/$D36))</f>
        <v/>
      </c>
    </row>
    <row r="37">
      <c r="A37" s="31" t="n"/>
      <c r="B37" s="31" t="n"/>
      <c r="C37" s="31" t="n"/>
      <c r="D37" s="31" t="n"/>
      <c r="E37" s="23">
        <f>IF($A37="","",COUNTIFS(Assignments!$A$2:$A$769,$A37,Assignments!$G$2:$G$769,"Active"))</f>
        <v/>
      </c>
      <c r="F37" s="32">
        <f>IF($A37="","",SUMIFS(Assignments!$I$2:$I$769,Assignments!$A$2:$A$769,$A37,Assignments!$G$2:$G$769,"Active"))</f>
        <v/>
      </c>
      <c r="G37" s="19">
        <f>IF(OR($A37="",$D37=""),"",IF($D37=0,"",$F37/$D37))</f>
        <v/>
      </c>
    </row>
    <row r="38">
      <c r="A38" s="31" t="n"/>
      <c r="B38" s="31" t="n"/>
      <c r="C38" s="31" t="n"/>
      <c r="D38" s="31" t="n"/>
      <c r="E38" s="23">
        <f>IF($A38="","",COUNTIFS(Assignments!$A$2:$A$769,$A38,Assignments!$G$2:$G$769,"Active"))</f>
        <v/>
      </c>
      <c r="F38" s="32">
        <f>IF($A38="","",SUMIFS(Assignments!$I$2:$I$769,Assignments!$A$2:$A$769,$A38,Assignments!$G$2:$G$769,"Active"))</f>
        <v/>
      </c>
      <c r="G38" s="19">
        <f>IF(OR($A38="",$D38=""),"",IF($D38=0,"",$F38/$D38))</f>
        <v/>
      </c>
    </row>
    <row r="39">
      <c r="A39" s="31" t="n"/>
      <c r="B39" s="31" t="n"/>
      <c r="C39" s="31" t="n"/>
      <c r="D39" s="31" t="n"/>
      <c r="E39" s="23">
        <f>IF($A39="","",COUNTIFS(Assignments!$A$2:$A$769,$A39,Assignments!$G$2:$G$769,"Active"))</f>
        <v/>
      </c>
      <c r="F39" s="32">
        <f>IF($A39="","",SUMIFS(Assignments!$I$2:$I$769,Assignments!$A$2:$A$769,$A39,Assignments!$G$2:$G$769,"Active"))</f>
        <v/>
      </c>
      <c r="G39" s="19">
        <f>IF(OR($A39="",$D39=""),"",IF($D39=0,"",$F39/$D39))</f>
        <v/>
      </c>
    </row>
    <row r="40">
      <c r="A40" s="31" t="n"/>
      <c r="B40" s="31" t="n"/>
      <c r="C40" s="31" t="n"/>
      <c r="D40" s="31" t="n"/>
      <c r="E40" s="23">
        <f>IF($A40="","",COUNTIFS(Assignments!$A$2:$A$769,$A40,Assignments!$G$2:$G$769,"Active"))</f>
        <v/>
      </c>
      <c r="F40" s="32">
        <f>IF($A40="","",SUMIFS(Assignments!$I$2:$I$769,Assignments!$A$2:$A$769,$A40,Assignments!$G$2:$G$769,"Active"))</f>
        <v/>
      </c>
      <c r="G40" s="19">
        <f>IF(OR($A40="",$D40=""),"",IF($D40=0,"",$F40/$D40))</f>
        <v/>
      </c>
    </row>
    <row r="41"/>
    <row r="42">
      <c r="A42" s="6" t="inlineStr">
        <is>
          <t>Capacity 40h is a placeholder - set real weekly capacity (blue/yellow cells are inputs). Add new team members in the blank rows; they appear everywhere automatically.</t>
        </is>
      </c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1"/>
  <conditionalFormatting sqref="G2:G40">
    <cfRule type="expression" priority="1" dxfId="0" stopIfTrue="1">
      <formula>AND(ISNUMBER($G2),$G2&gt;1)</formula>
    </cfRule>
    <cfRule type="expression" priority="2" dxfId="1" stopIfTrue="1">
      <formula>AND(ISNUMBER($G2),$G2&gt;0.85)</formula>
    </cfRule>
    <cfRule type="expression" priority="3" dxfId="2" stopIfTrue="1">
      <formula>AND(ISNUMBER($G2),$G2&lt;0.5)</formula>
    </cfRule>
  </conditionalFormatting>
  <dataValidations count="1">
    <dataValidation sqref="B2:B40" showDropDown="0" showInputMessage="0" showErrorMessage="0" allowBlank="1" type="list">
      <formula1>LevelList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L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7" customWidth="1" min="3" max="3"/>
    <col width="9" customWidth="1" min="4" max="4"/>
    <col width="7" customWidth="1" min="5" max="5"/>
    <col width="15" customWidth="1" min="6" max="6"/>
    <col width="9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5" t="inlineStr">
        <is>
          <t>Templates &amp; allocation parameters</t>
        </is>
      </c>
    </row>
    <row r="2" ht="28" customHeight="1">
      <c r="A2" s="15" t="inlineStr">
        <is>
          <t>Archetype (legacy)</t>
        </is>
      </c>
      <c r="B2" s="15" t="inlineStr">
        <is>
          <t>Partner</t>
        </is>
      </c>
      <c r="C2" s="15" t="inlineStr">
        <is>
          <t>MD</t>
        </is>
      </c>
      <c r="D2" s="15" t="inlineStr">
        <is>
          <t>Director</t>
        </is>
      </c>
      <c r="E2" s="15" t="inlineStr">
        <is>
          <t>VP</t>
        </is>
      </c>
      <c r="F2" s="15" t="inlineStr">
        <is>
          <t>Senior Associate</t>
        </is>
      </c>
      <c r="G2" s="15" t="inlineStr">
        <is>
          <t>Renewable Specialist</t>
        </is>
      </c>
      <c r="H2" s="15" t="inlineStr">
        <is>
          <t>Associate</t>
        </is>
      </c>
      <c r="I2" s="15" t="inlineStr">
        <is>
          <t>Typical duration (wks)</t>
        </is>
      </c>
      <c r="J2" s="15" t="inlineStr">
        <is>
          <t>Front phase fraction</t>
        </is>
      </c>
      <c r="K2" s="15" t="inlineStr">
        <is>
          <t>Front intensity (x)</t>
        </is>
      </c>
      <c r="L2" s="15" t="inlineStr">
        <is>
          <t>Tail intensity (x)</t>
        </is>
      </c>
    </row>
    <row r="3">
      <c r="A3" s="49" t="inlineStr">
        <is>
          <t>Buy-side TDD (corp / stock)</t>
        </is>
      </c>
      <c r="B3" s="50" t="n">
        <v>2</v>
      </c>
      <c r="C3" s="50" t="n">
        <v>3</v>
      </c>
      <c r="D3" s="50" t="n">
        <v>5</v>
      </c>
      <c r="E3" s="50" t="n">
        <v>10</v>
      </c>
      <c r="F3" s="50" t="n">
        <v>14</v>
      </c>
      <c r="G3" s="50" t="n">
        <v>0</v>
      </c>
      <c r="H3" s="50" t="n">
        <v>16</v>
      </c>
      <c r="I3" s="51" t="n">
        <v>10</v>
      </c>
      <c r="J3" s="52" t="n">
        <v>0.5</v>
      </c>
      <c r="K3" s="53" t="n">
        <v>1.4</v>
      </c>
      <c r="L3" s="54">
        <f>IF((1-$J3)=0,1,(1-$J3*$K3)/(1-$J3))</f>
        <v/>
      </c>
    </row>
    <row r="4">
      <c r="A4" s="49" t="inlineStr">
        <is>
          <t>Buy-side TDD + Structuring</t>
        </is>
      </c>
      <c r="B4" s="50" t="n">
        <v>3</v>
      </c>
      <c r="C4" s="50" t="n">
        <v>4</v>
      </c>
      <c r="D4" s="50" t="n">
        <v>6</v>
      </c>
      <c r="E4" s="50" t="n">
        <v>12</v>
      </c>
      <c r="F4" s="50" t="n">
        <v>16</v>
      </c>
      <c r="G4" s="50" t="n">
        <v>0</v>
      </c>
      <c r="H4" s="50" t="n">
        <v>18</v>
      </c>
      <c r="I4" s="51" t="n">
        <v>14</v>
      </c>
      <c r="J4" s="52" t="n">
        <v>0.45</v>
      </c>
      <c r="K4" s="53" t="n">
        <v>1.35</v>
      </c>
      <c r="L4" s="54">
        <f>IF((1-$J4)=0,1,(1-$J4*$K4)/(1-$J4))</f>
        <v/>
      </c>
    </row>
    <row r="5">
      <c r="A5" s="49" t="inlineStr">
        <is>
          <t>Sell-side / VDD</t>
        </is>
      </c>
      <c r="B5" s="50" t="n">
        <v>2</v>
      </c>
      <c r="C5" s="50" t="n">
        <v>3</v>
      </c>
      <c r="D5" s="50" t="n">
        <v>5</v>
      </c>
      <c r="E5" s="50" t="n">
        <v>9</v>
      </c>
      <c r="F5" s="50" t="n">
        <v>12</v>
      </c>
      <c r="G5" s="50" t="n">
        <v>0</v>
      </c>
      <c r="H5" s="50" t="n">
        <v>14</v>
      </c>
      <c r="I5" s="51" t="n">
        <v>10</v>
      </c>
      <c r="J5" s="52" t="n">
        <v>0.5</v>
      </c>
      <c r="K5" s="53" t="n">
        <v>1.3</v>
      </c>
      <c r="L5" s="54">
        <f>IF((1-$J5)=0,1,(1-$J5*$K5)/(1-$J5))</f>
        <v/>
      </c>
    </row>
    <row r="6">
      <c r="A6" s="49" t="inlineStr">
        <is>
          <t>Structuring only (back-loaded)</t>
        </is>
      </c>
      <c r="B6" s="50" t="n">
        <v>3</v>
      </c>
      <c r="C6" s="50" t="n">
        <v>5</v>
      </c>
      <c r="D6" s="50" t="n">
        <v>8</v>
      </c>
      <c r="E6" s="50" t="n">
        <v>10</v>
      </c>
      <c r="F6" s="50" t="n">
        <v>10</v>
      </c>
      <c r="G6" s="50" t="n">
        <v>0</v>
      </c>
      <c r="H6" s="50" t="n">
        <v>8</v>
      </c>
      <c r="I6" s="51" t="n">
        <v>8</v>
      </c>
      <c r="J6" s="52" t="n">
        <v>0.5</v>
      </c>
      <c r="K6" s="53" t="n">
        <v>0.7</v>
      </c>
      <c r="L6" s="54">
        <f>IF((1-$J6)=0,1,(1-$J6*$K6)/(1-$J6))</f>
        <v/>
      </c>
    </row>
    <row r="7">
      <c r="A7" s="49" t="inlineStr">
        <is>
          <t>Tax equity / PW&amp;A (renewable)</t>
        </is>
      </c>
      <c r="B7" s="50" t="n">
        <v>1</v>
      </c>
      <c r="C7" s="50" t="n">
        <v>2</v>
      </c>
      <c r="D7" s="50" t="n">
        <v>3</v>
      </c>
      <c r="E7" s="50" t="n">
        <v>4</v>
      </c>
      <c r="F7" s="50" t="n">
        <v>4</v>
      </c>
      <c r="G7" s="50" t="n">
        <v>6</v>
      </c>
      <c r="H7" s="50" t="n">
        <v>2</v>
      </c>
      <c r="I7" s="51" t="n">
        <v>6</v>
      </c>
      <c r="J7" s="52" t="n">
        <v>0.5</v>
      </c>
      <c r="K7" s="53" t="n">
        <v>1.2</v>
      </c>
      <c r="L7" s="54">
        <f>IF((1-$J7)=0,1,(1-$J7*$K7)/(1-$J7))</f>
        <v/>
      </c>
    </row>
    <row r="8">
      <c r="A8" s="49" t="inlineStr">
        <is>
          <t>FIRPTA / cross-border</t>
        </is>
      </c>
      <c r="B8" s="50" t="n">
        <v>2</v>
      </c>
      <c r="C8" s="50" t="n">
        <v>3</v>
      </c>
      <c r="D8" s="50" t="n">
        <v>4</v>
      </c>
      <c r="E8" s="50" t="n">
        <v>6</v>
      </c>
      <c r="F8" s="50" t="n">
        <v>8</v>
      </c>
      <c r="G8" s="50" t="n">
        <v>0</v>
      </c>
      <c r="H8" s="50" t="n">
        <v>8</v>
      </c>
      <c r="I8" s="51" t="n">
        <v>6</v>
      </c>
      <c r="J8" s="52" t="n">
        <v>0.5</v>
      </c>
      <c r="K8" s="53" t="n">
        <v>1.2</v>
      </c>
      <c r="L8" s="54">
        <f>IF((1-$J8)=0,1,(1-$J8*$K8)/(1-$J8))</f>
        <v/>
      </c>
    </row>
    <row r="9">
      <c r="A9" s="49" t="inlineStr">
        <is>
          <t>Modeling / QoT support</t>
        </is>
      </c>
      <c r="B9" s="50" t="n">
        <v>1</v>
      </c>
      <c r="C9" s="50" t="n">
        <v>2</v>
      </c>
      <c r="D9" s="50" t="n">
        <v>3</v>
      </c>
      <c r="E9" s="50" t="n">
        <v>6</v>
      </c>
      <c r="F9" s="50" t="n">
        <v>10</v>
      </c>
      <c r="G9" s="50" t="n">
        <v>0</v>
      </c>
      <c r="H9" s="50" t="n">
        <v>12</v>
      </c>
      <c r="I9" s="51" t="n">
        <v>6</v>
      </c>
      <c r="J9" s="52" t="n">
        <v>0.5</v>
      </c>
      <c r="K9" s="53" t="n">
        <v>1</v>
      </c>
      <c r="L9" s="54">
        <f>IF((1-$J9)=0,1,(1-$J9*$K9)/(1-$J9))</f>
        <v/>
      </c>
    </row>
    <row r="10">
      <c r="A10" s="49" t="inlineStr">
        <is>
          <t>Ad-hoc / advisory (light)</t>
        </is>
      </c>
      <c r="B10" s="50" t="n">
        <v>1</v>
      </c>
      <c r="C10" s="50" t="n">
        <v>1</v>
      </c>
      <c r="D10" s="50" t="n">
        <v>2</v>
      </c>
      <c r="E10" s="50" t="n">
        <v>3</v>
      </c>
      <c r="F10" s="50" t="n">
        <v>4</v>
      </c>
      <c r="G10" s="50" t="n">
        <v>2</v>
      </c>
      <c r="H10" s="50" t="n">
        <v>4</v>
      </c>
      <c r="I10" s="51" t="n">
        <v>4</v>
      </c>
      <c r="J10" s="52" t="n">
        <v>0.5</v>
      </c>
      <c r="K10" s="53" t="n">
        <v>1</v>
      </c>
      <c r="L10" s="54">
        <f>IF((1-$J10)=0,1,(1-$J10*$K10)/(1-$J10))</f>
        <v/>
      </c>
    </row>
    <row r="11"/>
    <row r="12">
      <c r="A12" s="6" t="inlineStr">
        <is>
          <t>^ LEGACY effort archetypes (Step 3) - superseded by the fee-&gt;hours parameters below; kept for reference.</t>
        </is>
      </c>
    </row>
    <row r="13"/>
    <row r="14">
      <c r="A14" s="55" t="inlineStr">
        <is>
          <t>FEE -&gt; HOURS ALLOCATION PARAMETERS  (fill the yellow cells with the team's real numbers; wired to hours in Step 9)</t>
        </is>
      </c>
    </row>
    <row r="15">
      <c r="A15" s="12" t="inlineStr">
        <is>
          <t>Rate card - $/hr by level</t>
        </is>
      </c>
    </row>
    <row r="16">
      <c r="A16" s="7" t="inlineStr">
        <is>
          <t>Level</t>
        </is>
      </c>
      <c r="B16" s="7" t="inlineStr">
        <is>
          <t>$ / hr</t>
        </is>
      </c>
    </row>
    <row r="17">
      <c r="A17" s="56" t="inlineStr">
        <is>
          <t>Partner</t>
        </is>
      </c>
      <c r="B17" s="57" t="n">
        <v>900</v>
      </c>
    </row>
    <row r="18">
      <c r="A18" s="56" t="inlineStr">
        <is>
          <t>MD</t>
        </is>
      </c>
      <c r="B18" s="57" t="n">
        <v>700</v>
      </c>
    </row>
    <row r="19">
      <c r="A19" s="56" t="inlineStr">
        <is>
          <t>Director</t>
        </is>
      </c>
      <c r="B19" s="57" t="n">
        <v>550</v>
      </c>
    </row>
    <row r="20">
      <c r="A20" s="56" t="inlineStr">
        <is>
          <t>VP</t>
        </is>
      </c>
      <c r="B20" s="57" t="n">
        <v>400</v>
      </c>
    </row>
    <row r="21">
      <c r="A21" s="56" t="inlineStr">
        <is>
          <t>Senior Associate</t>
        </is>
      </c>
      <c r="B21" s="57" t="n">
        <v>300</v>
      </c>
    </row>
    <row r="22">
      <c r="A22" s="56" t="inlineStr">
        <is>
          <t>Renewable Specialist</t>
        </is>
      </c>
      <c r="B22" s="57" t="n">
        <v>250</v>
      </c>
    </row>
    <row r="23">
      <c r="A23" s="56" t="inlineStr">
        <is>
          <t>Associate</t>
        </is>
      </c>
      <c r="B23" s="57" t="n">
        <v>200</v>
      </c>
    </row>
    <row r="24"/>
    <row r="25">
      <c r="A25" s="12" t="inlineStr">
        <is>
          <t>Fee split % by level, per workstream group (each row must total 100%)</t>
        </is>
      </c>
    </row>
    <row r="26">
      <c r="A26" s="7" t="inlineStr">
        <is>
          <t>Workstream group</t>
        </is>
      </c>
      <c r="B26" s="7" t="inlineStr">
        <is>
          <t>Partner</t>
        </is>
      </c>
      <c r="C26" s="7" t="inlineStr">
        <is>
          <t>MD</t>
        </is>
      </c>
      <c r="D26" s="7" t="inlineStr">
        <is>
          <t>Director</t>
        </is>
      </c>
      <c r="E26" s="7" t="inlineStr">
        <is>
          <t>VP</t>
        </is>
      </c>
      <c r="F26" s="7" t="inlineStr">
        <is>
          <t>Senior Associate</t>
        </is>
      </c>
      <c r="G26" s="7" t="inlineStr">
        <is>
          <t>Renewable Specialist</t>
        </is>
      </c>
      <c r="H26" s="7" t="inlineStr">
        <is>
          <t>Associate</t>
        </is>
      </c>
      <c r="I26" s="7" t="inlineStr">
        <is>
          <t>Check =</t>
        </is>
      </c>
    </row>
    <row r="27">
      <c r="A27" s="56" t="inlineStr">
        <is>
          <t>TDD</t>
        </is>
      </c>
      <c r="B27" s="52" t="n">
        <v>0.05</v>
      </c>
      <c r="C27" s="52" t="n">
        <v>0.1</v>
      </c>
      <c r="D27" s="52" t="n">
        <v>0.15</v>
      </c>
      <c r="E27" s="52" t="n">
        <v>0.2</v>
      </c>
      <c r="F27" s="52" t="n">
        <v>0.3</v>
      </c>
      <c r="G27" s="52" t="n">
        <v>0</v>
      </c>
      <c r="H27" s="52" t="n">
        <v>0.2</v>
      </c>
      <c r="I27" s="58">
        <f>SUM($B27:$H27)</f>
        <v/>
      </c>
    </row>
    <row r="28">
      <c r="A28" s="56" t="inlineStr">
        <is>
          <t>Modeling</t>
        </is>
      </c>
      <c r="B28" s="52" t="n">
        <v>0.03</v>
      </c>
      <c r="C28" s="52" t="n">
        <v>0.07000000000000001</v>
      </c>
      <c r="D28" s="52" t="n">
        <v>0.15</v>
      </c>
      <c r="E28" s="52" t="n">
        <v>0.25</v>
      </c>
      <c r="F28" s="52" t="n">
        <v>0.3</v>
      </c>
      <c r="G28" s="52" t="n">
        <v>0</v>
      </c>
      <c r="H28" s="52" t="n">
        <v>0.2</v>
      </c>
      <c r="I28" s="58">
        <f>SUM($B28:$H28)</f>
        <v/>
      </c>
    </row>
    <row r="29">
      <c r="A29" s="56" t="inlineStr">
        <is>
          <t>Structuring</t>
        </is>
      </c>
      <c r="B29" s="52" t="n">
        <v>0.1</v>
      </c>
      <c r="C29" s="52" t="n">
        <v>0.2</v>
      </c>
      <c r="D29" s="52" t="n">
        <v>0.3</v>
      </c>
      <c r="E29" s="52" t="n">
        <v>0.2</v>
      </c>
      <c r="F29" s="52" t="n">
        <v>0.15</v>
      </c>
      <c r="G29" s="52" t="n">
        <v>0</v>
      </c>
      <c r="H29" s="52" t="n">
        <v>0.05</v>
      </c>
      <c r="I29" s="58">
        <f>SUM($B29:$H29)</f>
        <v/>
      </c>
    </row>
    <row r="30">
      <c r="A30" s="56" t="inlineStr">
        <is>
          <t>Legal docs review</t>
        </is>
      </c>
      <c r="B30" s="52" t="n">
        <v>0.05</v>
      </c>
      <c r="C30" s="52" t="n">
        <v>0.15</v>
      </c>
      <c r="D30" s="52" t="n">
        <v>0.3</v>
      </c>
      <c r="E30" s="52" t="n">
        <v>0.25</v>
      </c>
      <c r="F30" s="52" t="n">
        <v>0.2</v>
      </c>
      <c r="G30" s="52" t="n">
        <v>0</v>
      </c>
      <c r="H30" s="52" t="n">
        <v>0.05</v>
      </c>
      <c r="I30" s="58">
        <f>SUM($B30:$H30)</f>
        <v/>
      </c>
    </row>
    <row r="31">
      <c r="A31" s="56" t="inlineStr">
        <is>
          <t>Other</t>
        </is>
      </c>
      <c r="B31" s="52" t="n">
        <v>0.05</v>
      </c>
      <c r="C31" s="52" t="n">
        <v>0.1</v>
      </c>
      <c r="D31" s="52" t="n">
        <v>0.2</v>
      </c>
      <c r="E31" s="52" t="n">
        <v>0.25</v>
      </c>
      <c r="F31" s="52" t="n">
        <v>0.25</v>
      </c>
      <c r="G31" s="52" t="n">
        <v>0.05</v>
      </c>
      <c r="H31" s="52" t="n">
        <v>0.1</v>
      </c>
      <c r="I31" s="58">
        <f>SUM($B31:$H31)</f>
        <v/>
      </c>
    </row>
    <row r="32"/>
    <row r="33">
      <c r="A33" s="12" t="inlineStr">
        <is>
          <t>Default duration (weeks) per group - used when a deal has no dates</t>
        </is>
      </c>
    </row>
    <row r="34">
      <c r="A34" s="7" t="inlineStr">
        <is>
          <t>Workstream group</t>
        </is>
      </c>
      <c r="B34" s="7" t="inlineStr">
        <is>
          <t>Weeks</t>
        </is>
      </c>
    </row>
    <row r="35">
      <c r="A35" s="56" t="inlineStr">
        <is>
          <t>TDD</t>
        </is>
      </c>
      <c r="B35" s="51" t="n">
        <v>8</v>
      </c>
    </row>
    <row r="36">
      <c r="A36" s="56" t="inlineStr">
        <is>
          <t>Modeling</t>
        </is>
      </c>
      <c r="B36" s="51" t="n">
        <v>6</v>
      </c>
    </row>
    <row r="37">
      <c r="A37" s="56" t="inlineStr">
        <is>
          <t>Structuring</t>
        </is>
      </c>
      <c r="B37" s="51" t="n">
        <v>6</v>
      </c>
    </row>
    <row r="38">
      <c r="A38" s="56" t="inlineStr">
        <is>
          <t>Legal docs review</t>
        </is>
      </c>
      <c r="B38" s="51" t="n">
        <v>4</v>
      </c>
    </row>
    <row r="39">
      <c r="A39" s="56" t="inlineStr">
        <is>
          <t>Other</t>
        </is>
      </c>
      <c r="B39" s="51" t="n">
        <v>6</v>
      </c>
    </row>
    <row r="40"/>
    <row r="41">
      <c r="A41" s="6" t="inlineStr">
        <is>
          <t>All values above are PLACEHOLDERS. Mechanism (decided Jul 21): hours(level) = fee(group) x split%(group,level) / rate(level), summed over a deal's priced workstream groups, spread over its kick-off-&gt;delivery weeks (or the default duration when no dates). Step 9 adds the per-group fee columns on Deals and wires this in.</t>
        </is>
      </c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1"/>
  <conditionalFormatting sqref="I27:I31">
    <cfRule type="expression" priority="1" dxfId="0">
      <formula>ABS(I27-1)&gt;0.001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55A11"/>
    <outlinePr summaryBelow="1" summaryRight="1"/>
    <pageSetUpPr/>
  </sheetPr>
  <dimension ref="A1:O2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8" customWidth="1" min="4" max="4"/>
    <col width="16" customWidth="1" min="5" max="5"/>
    <col width="16" customWidth="1" min="6" max="6"/>
    <col width="15" customWidth="1" min="7" max="7"/>
    <col width="22" customWidth="1" min="8" max="8"/>
    <col width="11" customWidth="1" min="9" max="9"/>
    <col width="11" customWidth="1" min="10" max="10"/>
    <col width="20" customWidth="1" min="11" max="11"/>
    <col width="20" customWidth="1" min="14" max="14"/>
    <col width="18" customWidth="1" min="15" max="15"/>
  </cols>
  <sheetData>
    <row r="1">
      <c r="A1" s="5" t="inlineStr">
        <is>
          <t>Actuals - NetSuite time entries</t>
        </is>
      </c>
    </row>
    <row r="2">
      <c r="A2" s="6" t="inlineStr">
        <is>
          <t>Paste the NetSuite export into the blue columns A-D (one row per person x project x week). Everything from column E rightward is calculated. The Variance tab reads from here.</t>
        </is>
      </c>
    </row>
    <row r="3">
      <c r="A3" s="6" t="inlineStr">
        <is>
          <t>CSV contract (build the NetSuite saved search to output exactly these): Project code | Employee name | Week start (Mon) | Hours.</t>
        </is>
      </c>
      <c r="N3" s="12" t="inlineStr">
        <is>
          <t>Name mapping (NetSuite -&gt; roster)</t>
        </is>
      </c>
    </row>
    <row r="4">
      <c r="A4" s="12" t="inlineStr">
        <is>
          <t>Matched (OK):</t>
        </is>
      </c>
      <c r="B4" s="59">
        <f>COUNTIF($K$7:$K$206,"OK")</f>
        <v/>
      </c>
      <c r="C4" s="12" t="inlineStr">
        <is>
          <t>Unmatched code:</t>
        </is>
      </c>
      <c r="D4" s="59">
        <f>COUNTIF($K$7:$K$206,"*code*")</f>
        <v/>
      </c>
      <c r="E4" s="12" t="inlineStr">
        <is>
          <t>Unmatched person:</t>
        </is>
      </c>
      <c r="F4" s="59">
        <f>COUNTIF($K$7:$K$206,"*person*")</f>
        <v/>
      </c>
      <c r="G4" s="12" t="inlineStr">
        <is>
          <t>Total rows:</t>
        </is>
      </c>
      <c r="H4" s="59">
        <f>COUNTA($A$7:$A$206)</f>
        <v/>
      </c>
      <c r="N4" s="7" t="inlineStr">
        <is>
          <t>NetSuite name</t>
        </is>
      </c>
      <c r="O4" s="7" t="inlineStr">
        <is>
          <t>Roster person</t>
        </is>
      </c>
    </row>
    <row r="5">
      <c r="A5" s="60" t="inlineStr">
        <is>
          <t>SAMPLE DATA below (fabricated) proves matching + variance - DELETE rows 7-26 before pasting real NetSuite data.</t>
        </is>
      </c>
      <c r="N5" s="61" t="inlineStr">
        <is>
          <t>Wu, Jennifer</t>
        </is>
      </c>
      <c r="O5" s="61" t="inlineStr">
        <is>
          <t>Jennifer Wu</t>
        </is>
      </c>
    </row>
    <row r="6" ht="28" customHeight="1">
      <c r="A6" s="15" t="inlineStr">
        <is>
          <t>Project code</t>
        </is>
      </c>
      <c r="B6" s="15" t="inlineStr">
        <is>
          <t>Employee (NetSuite)</t>
        </is>
      </c>
      <c r="C6" s="15" t="inlineStr">
        <is>
          <t>Week start</t>
        </is>
      </c>
      <c r="D6" s="15" t="inlineStr">
        <is>
          <t>Hours</t>
        </is>
      </c>
      <c r="E6" s="15" t="inlineStr">
        <is>
          <t>Matched deal</t>
        </is>
      </c>
      <c r="F6" s="15" t="inlineStr">
        <is>
          <t>Matched person</t>
        </is>
      </c>
      <c r="G6" s="15" t="inlineStr">
        <is>
          <t>Level</t>
        </is>
      </c>
      <c r="H6" s="15" t="inlineStr">
        <is>
          <t>Archetype</t>
        </is>
      </c>
      <c r="I6" s="15" t="inlineStr">
        <is>
          <t>Planned hrs/wk</t>
        </is>
      </c>
      <c r="J6" s="15" t="inlineStr">
        <is>
          <t>Variance (wk)</t>
        </is>
      </c>
      <c r="K6" s="15" t="inlineStr">
        <is>
          <t>Status</t>
        </is>
      </c>
      <c r="N6" s="61" t="inlineStr">
        <is>
          <t>Kidd, Kyle</t>
        </is>
      </c>
      <c r="O6" s="61" t="inlineStr">
        <is>
          <t>Kyle Kidd</t>
        </is>
      </c>
    </row>
    <row r="7">
      <c r="A7" s="62" t="inlineStr">
        <is>
          <t>B2V_1</t>
        </is>
      </c>
      <c r="B7" s="62" t="inlineStr">
        <is>
          <t>Wu, Jennifer</t>
        </is>
      </c>
      <c r="C7" s="63" t="n">
        <v>46223</v>
      </c>
      <c r="D7" s="64" t="n">
        <v>12</v>
      </c>
      <c r="E7" s="16">
        <f>IF($A7="","",IF(COUNTIF(Deals!$A$2:$A$355,$A7)&gt;0,$A7,""))</f>
        <v/>
      </c>
      <c r="F7" s="16">
        <f>IF($B7="","",IFERROR(INDEX(Roster!$A$2:$A$40,MATCH($B7,Roster!$A$2:$A$40,0)),IFERROR(IF(INDEX(MapTracker,MATCH($B7,MapNetSuite,0))=0,"",INDEX(MapTracker,MATCH($B7,MapNetSuite,0))),"")))</f>
        <v/>
      </c>
      <c r="G7" s="16">
        <f>IF($F7="","",IFERROR(INDEX(Roster!$B$2:$B$40,MATCH($F7,Roster!$A$2:$A$40,0)),""))</f>
        <v/>
      </c>
      <c r="H7" s="16">
        <f>IF($E7="","",IFERROR(IF(INDEX(Deals!$U$2:$U$355,MATCH($E7,Deals!$A$2:$A$355,0))=0,"",INDEX(Deals!$U$2:$U$355,MATCH($E7,Deals!$A$2:$A$355,0))),""))</f>
        <v/>
      </c>
      <c r="I7" s="18">
        <f>IF(OR($E7="",$F7=""),"",SUMIFS(Assignments!$I$2:$I$769,Assignments!$A$2:$A$769,$F7,Assignments!$C$2:$C$769,$E7))</f>
        <v/>
      </c>
      <c r="J7" s="65">
        <f>IF(OR($E7="",$F7=""),"",$D7-$I7)</f>
        <v/>
      </c>
      <c r="K7" s="20">
        <f>IF($A7="","",IF(AND($E7&lt;&gt;"",$F7&lt;&gt;""),"OK",TRIM(IF($E7="","unmatched code ","")&amp;IF($F7="","unmatched person",""))))</f>
        <v/>
      </c>
      <c r="N7" s="61" t="inlineStr">
        <is>
          <t>Risser, Kyle</t>
        </is>
      </c>
      <c r="O7" s="61" t="inlineStr">
        <is>
          <t>Kyle Risser</t>
        </is>
      </c>
    </row>
    <row r="8">
      <c r="A8" s="62" t="inlineStr">
        <is>
          <t>B2V_1</t>
        </is>
      </c>
      <c r="B8" s="62" t="inlineStr">
        <is>
          <t>Wu, Jennifer</t>
        </is>
      </c>
      <c r="C8" s="63" t="n">
        <v>46230</v>
      </c>
      <c r="D8" s="64" t="n">
        <v>9</v>
      </c>
      <c r="E8" s="16">
        <f>IF($A8="","",IF(COUNTIF(Deals!$A$2:$A$355,$A8)&gt;0,$A8,""))</f>
        <v/>
      </c>
      <c r="F8" s="16">
        <f>IF($B8="","",IFERROR(INDEX(Roster!$A$2:$A$40,MATCH($B8,Roster!$A$2:$A$40,0)),IFERROR(IF(INDEX(MapTracker,MATCH($B8,MapNetSuite,0))=0,"",INDEX(MapTracker,MATCH($B8,MapNetSuite,0))),"")))</f>
        <v/>
      </c>
      <c r="G8" s="16">
        <f>IF($F8="","",IFERROR(INDEX(Roster!$B$2:$B$40,MATCH($F8,Roster!$A$2:$A$40,0)),""))</f>
        <v/>
      </c>
      <c r="H8" s="16">
        <f>IF($E8="","",IFERROR(IF(INDEX(Deals!$U$2:$U$355,MATCH($E8,Deals!$A$2:$A$355,0))=0,"",INDEX(Deals!$U$2:$U$355,MATCH($E8,Deals!$A$2:$A$355,0))),""))</f>
        <v/>
      </c>
      <c r="I8" s="18">
        <f>IF(OR($E8="",$F8=""),"",SUMIFS(Assignments!$I$2:$I$769,Assignments!$A$2:$A$769,$F8,Assignments!$C$2:$C$769,$E8))</f>
        <v/>
      </c>
      <c r="J8" s="65">
        <f>IF(OR($E8="",$F8=""),"",$D8-$I8)</f>
        <v/>
      </c>
      <c r="K8" s="20">
        <f>IF($A8="","",IF(AND($E8&lt;&gt;"",$F8&lt;&gt;""),"OK",TRIM(IF($E8="","unmatched code ","")&amp;IF($F8="","unmatched person",""))))</f>
        <v/>
      </c>
      <c r="N8" s="61" t="inlineStr">
        <is>
          <t>Covalt, Will</t>
        </is>
      </c>
      <c r="O8" s="61" t="inlineStr">
        <is>
          <t>Will Covalt</t>
        </is>
      </c>
    </row>
    <row r="9">
      <c r="A9" s="62" t="inlineStr">
        <is>
          <t>B2V_1</t>
        </is>
      </c>
      <c r="B9" s="62" t="inlineStr">
        <is>
          <t>Wu, Jennifer</t>
        </is>
      </c>
      <c r="C9" s="63" t="n">
        <v>46237</v>
      </c>
      <c r="D9" s="64" t="n">
        <v>11</v>
      </c>
      <c r="E9" s="16">
        <f>IF($A9="","",IF(COUNTIF(Deals!$A$2:$A$355,$A9)&gt;0,$A9,""))</f>
        <v/>
      </c>
      <c r="F9" s="16">
        <f>IF($B9="","",IFERROR(INDEX(Roster!$A$2:$A$40,MATCH($B9,Roster!$A$2:$A$40,0)),IFERROR(IF(INDEX(MapTracker,MATCH($B9,MapNetSuite,0))=0,"",INDEX(MapTracker,MATCH($B9,MapNetSuite,0))),"")))</f>
        <v/>
      </c>
      <c r="G9" s="16">
        <f>IF($F9="","",IFERROR(INDEX(Roster!$B$2:$B$40,MATCH($F9,Roster!$A$2:$A$40,0)),""))</f>
        <v/>
      </c>
      <c r="H9" s="16">
        <f>IF($E9="","",IFERROR(IF(INDEX(Deals!$U$2:$U$355,MATCH($E9,Deals!$A$2:$A$355,0))=0,"",INDEX(Deals!$U$2:$U$355,MATCH($E9,Deals!$A$2:$A$355,0))),""))</f>
        <v/>
      </c>
      <c r="I9" s="18">
        <f>IF(OR($E9="",$F9=""),"",SUMIFS(Assignments!$I$2:$I$769,Assignments!$A$2:$A$769,$F9,Assignments!$C$2:$C$769,$E9))</f>
        <v/>
      </c>
      <c r="J9" s="65">
        <f>IF(OR($E9="",$F9=""),"",$D9-$I9)</f>
        <v/>
      </c>
      <c r="K9" s="20">
        <f>IF($A9="","",IF(AND($E9&lt;&gt;"",$F9&lt;&gt;""),"OK",TRIM(IF($E9="","unmatched code ","")&amp;IF($F9="","unmatched person",""))))</f>
        <v/>
      </c>
      <c r="N9" s="61" t="inlineStr">
        <is>
          <t>Berwick, Will</t>
        </is>
      </c>
      <c r="O9" s="61" t="inlineStr">
        <is>
          <t>Will B. W.</t>
        </is>
      </c>
    </row>
    <row r="10">
      <c r="A10" s="62" t="inlineStr">
        <is>
          <t>B2V_1</t>
        </is>
      </c>
      <c r="B10" s="62" t="inlineStr">
        <is>
          <t>Lauren</t>
        </is>
      </c>
      <c r="C10" s="63" t="n">
        <v>46223</v>
      </c>
      <c r="D10" s="64" t="n">
        <v>6</v>
      </c>
      <c r="E10" s="16">
        <f>IF($A10="","",IF(COUNTIF(Deals!$A$2:$A$355,$A10)&gt;0,$A10,""))</f>
        <v/>
      </c>
      <c r="F10" s="16">
        <f>IF($B10="","",IFERROR(INDEX(Roster!$A$2:$A$40,MATCH($B10,Roster!$A$2:$A$40,0)),IFERROR(IF(INDEX(MapTracker,MATCH($B10,MapNetSuite,0))=0,"",INDEX(MapTracker,MATCH($B10,MapNetSuite,0))),"")))</f>
        <v/>
      </c>
      <c r="G10" s="16">
        <f>IF($F10="","",IFERROR(INDEX(Roster!$B$2:$B$40,MATCH($F10,Roster!$A$2:$A$40,0)),""))</f>
        <v/>
      </c>
      <c r="H10" s="16">
        <f>IF($E10="","",IFERROR(IF(INDEX(Deals!$U$2:$U$355,MATCH($E10,Deals!$A$2:$A$355,0))=0,"",INDEX(Deals!$U$2:$U$355,MATCH($E10,Deals!$A$2:$A$355,0))),""))</f>
        <v/>
      </c>
      <c r="I10" s="18">
        <f>IF(OR($E10="",$F10=""),"",SUMIFS(Assignments!$I$2:$I$769,Assignments!$A$2:$A$769,$F10,Assignments!$C$2:$C$769,$E10))</f>
        <v/>
      </c>
      <c r="J10" s="65">
        <f>IF(OR($E10="",$F10=""),"",$D10-$I10)</f>
        <v/>
      </c>
      <c r="K10" s="20">
        <f>IF($A10="","",IF(AND($E10&lt;&gt;"",$F10&lt;&gt;""),"OK",TRIM(IF($E10="","unmatched code ","")&amp;IF($F10="","unmatched person",""))))</f>
        <v/>
      </c>
      <c r="N10" s="66" t="n"/>
      <c r="O10" s="66" t="n"/>
    </row>
    <row r="11">
      <c r="A11" s="62" t="inlineStr">
        <is>
          <t>B2V_1</t>
        </is>
      </c>
      <c r="B11" s="62" t="inlineStr">
        <is>
          <t>Lauren</t>
        </is>
      </c>
      <c r="C11" s="63" t="n">
        <v>46230</v>
      </c>
      <c r="D11" s="64" t="n">
        <v>4</v>
      </c>
      <c r="E11" s="16">
        <f>IF($A11="","",IF(COUNTIF(Deals!$A$2:$A$355,$A11)&gt;0,$A11,""))</f>
        <v/>
      </c>
      <c r="F11" s="16">
        <f>IF($B11="","",IFERROR(INDEX(Roster!$A$2:$A$40,MATCH($B11,Roster!$A$2:$A$40,0)),IFERROR(IF(INDEX(MapTracker,MATCH($B11,MapNetSuite,0))=0,"",INDEX(MapTracker,MATCH($B11,MapNetSuite,0))),"")))</f>
        <v/>
      </c>
      <c r="G11" s="16">
        <f>IF($F11="","",IFERROR(INDEX(Roster!$B$2:$B$40,MATCH($F11,Roster!$A$2:$A$40,0)),""))</f>
        <v/>
      </c>
      <c r="H11" s="16">
        <f>IF($E11="","",IFERROR(IF(INDEX(Deals!$U$2:$U$355,MATCH($E11,Deals!$A$2:$A$355,0))=0,"",INDEX(Deals!$U$2:$U$355,MATCH($E11,Deals!$A$2:$A$355,0))),""))</f>
        <v/>
      </c>
      <c r="I11" s="18">
        <f>IF(OR($E11="",$F11=""),"",SUMIFS(Assignments!$I$2:$I$769,Assignments!$A$2:$A$769,$F11,Assignments!$C$2:$C$769,$E11))</f>
        <v/>
      </c>
      <c r="J11" s="65">
        <f>IF(OR($E11="",$F11=""),"",$D11-$I11)</f>
        <v/>
      </c>
      <c r="K11" s="20">
        <f>IF($A11="","",IF(AND($E11&lt;&gt;"",$F11&lt;&gt;""),"OK",TRIM(IF($E11="","unmatched code ","")&amp;IF($F11="","unmatched person",""))))</f>
        <v/>
      </c>
      <c r="N11" s="66" t="n"/>
      <c r="O11" s="66" t="n"/>
    </row>
    <row r="12">
      <c r="A12" s="62" t="inlineStr">
        <is>
          <t>B2V_1</t>
        </is>
      </c>
      <c r="B12" s="62" t="inlineStr">
        <is>
          <t>Lauren</t>
        </is>
      </c>
      <c r="C12" s="63" t="n">
        <v>46237</v>
      </c>
      <c r="D12" s="64" t="n">
        <v>5</v>
      </c>
      <c r="E12" s="16">
        <f>IF($A12="","",IF(COUNTIF(Deals!$A$2:$A$355,$A12)&gt;0,$A12,""))</f>
        <v/>
      </c>
      <c r="F12" s="16">
        <f>IF($B12="","",IFERROR(INDEX(Roster!$A$2:$A$40,MATCH($B12,Roster!$A$2:$A$40,0)),IFERROR(IF(INDEX(MapTracker,MATCH($B12,MapNetSuite,0))=0,"",INDEX(MapTracker,MATCH($B12,MapNetSuite,0))),"")))</f>
        <v/>
      </c>
      <c r="G12" s="16">
        <f>IF($F12="","",IFERROR(INDEX(Roster!$B$2:$B$40,MATCH($F12,Roster!$A$2:$A$40,0)),""))</f>
        <v/>
      </c>
      <c r="H12" s="16">
        <f>IF($E12="","",IFERROR(IF(INDEX(Deals!$U$2:$U$355,MATCH($E12,Deals!$A$2:$A$355,0))=0,"",INDEX(Deals!$U$2:$U$355,MATCH($E12,Deals!$A$2:$A$355,0))),""))</f>
        <v/>
      </c>
      <c r="I12" s="18">
        <f>IF(OR($E12="",$F12=""),"",SUMIFS(Assignments!$I$2:$I$769,Assignments!$A$2:$A$769,$F12,Assignments!$C$2:$C$769,$E12))</f>
        <v/>
      </c>
      <c r="J12" s="65">
        <f>IF(OR($E12="",$F12=""),"",$D12-$I12)</f>
        <v/>
      </c>
      <c r="K12" s="20">
        <f>IF($A12="","",IF(AND($E12&lt;&gt;"",$F12&lt;&gt;""),"OK",TRIM(IF($E12="","unmatched code ","")&amp;IF($F12="","unmatched person",""))))</f>
        <v/>
      </c>
      <c r="N12" s="66" t="n"/>
      <c r="O12" s="66" t="n"/>
    </row>
    <row r="13">
      <c r="A13" s="62" t="inlineStr">
        <is>
          <t>MIF_1</t>
        </is>
      </c>
      <c r="B13" s="62" t="inlineStr">
        <is>
          <t>Patch</t>
        </is>
      </c>
      <c r="C13" s="63" t="n">
        <v>46223</v>
      </c>
      <c r="D13" s="64" t="n">
        <v>10</v>
      </c>
      <c r="E13" s="16">
        <f>IF($A13="","",IF(COUNTIF(Deals!$A$2:$A$355,$A13)&gt;0,$A13,""))</f>
        <v/>
      </c>
      <c r="F13" s="16">
        <f>IF($B13="","",IFERROR(INDEX(Roster!$A$2:$A$40,MATCH($B13,Roster!$A$2:$A$40,0)),IFERROR(IF(INDEX(MapTracker,MATCH($B13,MapNetSuite,0))=0,"",INDEX(MapTracker,MATCH($B13,MapNetSuite,0))),"")))</f>
        <v/>
      </c>
      <c r="G13" s="16">
        <f>IF($F13="","",IFERROR(INDEX(Roster!$B$2:$B$40,MATCH($F13,Roster!$A$2:$A$40,0)),""))</f>
        <v/>
      </c>
      <c r="H13" s="16">
        <f>IF($E13="","",IFERROR(IF(INDEX(Deals!$U$2:$U$355,MATCH($E13,Deals!$A$2:$A$355,0))=0,"",INDEX(Deals!$U$2:$U$355,MATCH($E13,Deals!$A$2:$A$355,0))),""))</f>
        <v/>
      </c>
      <c r="I13" s="18">
        <f>IF(OR($E13="",$F13=""),"",SUMIFS(Assignments!$I$2:$I$769,Assignments!$A$2:$A$769,$F13,Assignments!$C$2:$C$769,$E13))</f>
        <v/>
      </c>
      <c r="J13" s="65">
        <f>IF(OR($E13="",$F13=""),"",$D13-$I13)</f>
        <v/>
      </c>
      <c r="K13" s="20">
        <f>IF($A13="","",IF(AND($E13&lt;&gt;"",$F13&lt;&gt;""),"OK",TRIM(IF($E13="","unmatched code ","")&amp;IF($F13="","unmatched person",""))))</f>
        <v/>
      </c>
      <c r="N13" s="66" t="n"/>
      <c r="O13" s="66" t="n"/>
    </row>
    <row r="14">
      <c r="A14" s="62" t="inlineStr">
        <is>
          <t>MIF_1</t>
        </is>
      </c>
      <c r="B14" s="62" t="inlineStr">
        <is>
          <t>Patch</t>
        </is>
      </c>
      <c r="C14" s="63" t="n">
        <v>46230</v>
      </c>
      <c r="D14" s="64" t="n">
        <v>7</v>
      </c>
      <c r="E14" s="16">
        <f>IF($A14="","",IF(COUNTIF(Deals!$A$2:$A$355,$A14)&gt;0,$A14,""))</f>
        <v/>
      </c>
      <c r="F14" s="16">
        <f>IF($B14="","",IFERROR(INDEX(Roster!$A$2:$A$40,MATCH($B14,Roster!$A$2:$A$40,0)),IFERROR(IF(INDEX(MapTracker,MATCH($B14,MapNetSuite,0))=0,"",INDEX(MapTracker,MATCH($B14,MapNetSuite,0))),"")))</f>
        <v/>
      </c>
      <c r="G14" s="16">
        <f>IF($F14="","",IFERROR(INDEX(Roster!$B$2:$B$40,MATCH($F14,Roster!$A$2:$A$40,0)),""))</f>
        <v/>
      </c>
      <c r="H14" s="16">
        <f>IF($E14="","",IFERROR(IF(INDEX(Deals!$U$2:$U$355,MATCH($E14,Deals!$A$2:$A$355,0))=0,"",INDEX(Deals!$U$2:$U$355,MATCH($E14,Deals!$A$2:$A$355,0))),""))</f>
        <v/>
      </c>
      <c r="I14" s="18">
        <f>IF(OR($E14="",$F14=""),"",SUMIFS(Assignments!$I$2:$I$769,Assignments!$A$2:$A$769,$F14,Assignments!$C$2:$C$769,$E14))</f>
        <v/>
      </c>
      <c r="J14" s="65">
        <f>IF(OR($E14="",$F14=""),"",$D14-$I14)</f>
        <v/>
      </c>
      <c r="K14" s="20">
        <f>IF($A14="","",IF(AND($E14&lt;&gt;"",$F14&lt;&gt;""),"OK",TRIM(IF($E14="","unmatched code ","")&amp;IF($F14="","unmatched person",""))))</f>
        <v/>
      </c>
      <c r="N14" s="66" t="n"/>
      <c r="O14" s="66" t="n"/>
    </row>
    <row r="15">
      <c r="A15" s="62" t="inlineStr">
        <is>
          <t>MIF_1</t>
        </is>
      </c>
      <c r="B15" s="62" t="inlineStr">
        <is>
          <t>Patch</t>
        </is>
      </c>
      <c r="C15" s="63" t="n">
        <v>46237</v>
      </c>
      <c r="D15" s="64" t="n">
        <v>9</v>
      </c>
      <c r="E15" s="16">
        <f>IF($A15="","",IF(COUNTIF(Deals!$A$2:$A$355,$A15)&gt;0,$A15,""))</f>
        <v/>
      </c>
      <c r="F15" s="16">
        <f>IF($B15="","",IFERROR(INDEX(Roster!$A$2:$A$40,MATCH($B15,Roster!$A$2:$A$40,0)),IFERROR(IF(INDEX(MapTracker,MATCH($B15,MapNetSuite,0))=0,"",INDEX(MapTracker,MATCH($B15,MapNetSuite,0))),"")))</f>
        <v/>
      </c>
      <c r="G15" s="16">
        <f>IF($F15="","",IFERROR(INDEX(Roster!$B$2:$B$40,MATCH($F15,Roster!$A$2:$A$40,0)),""))</f>
        <v/>
      </c>
      <c r="H15" s="16">
        <f>IF($E15="","",IFERROR(IF(INDEX(Deals!$U$2:$U$355,MATCH($E15,Deals!$A$2:$A$355,0))=0,"",INDEX(Deals!$U$2:$U$355,MATCH($E15,Deals!$A$2:$A$355,0))),""))</f>
        <v/>
      </c>
      <c r="I15" s="18">
        <f>IF(OR($E15="",$F15=""),"",SUMIFS(Assignments!$I$2:$I$769,Assignments!$A$2:$A$769,$F15,Assignments!$C$2:$C$769,$E15))</f>
        <v/>
      </c>
      <c r="J15" s="65">
        <f>IF(OR($E15="",$F15=""),"",$D15-$I15)</f>
        <v/>
      </c>
      <c r="K15" s="20">
        <f>IF($A15="","",IF(AND($E15&lt;&gt;"",$F15&lt;&gt;""),"OK",TRIM(IF($E15="","unmatched code ","")&amp;IF($F15="","unmatched person",""))))</f>
        <v/>
      </c>
      <c r="N15" s="66" t="n"/>
      <c r="O15" s="66" t="n"/>
    </row>
    <row r="16">
      <c r="A16" s="62" t="inlineStr">
        <is>
          <t>MIF_1</t>
        </is>
      </c>
      <c r="B16" s="62" t="inlineStr">
        <is>
          <t>John</t>
        </is>
      </c>
      <c r="C16" s="63" t="n">
        <v>46223</v>
      </c>
      <c r="D16" s="64" t="n">
        <v>3</v>
      </c>
      <c r="E16" s="16">
        <f>IF($A16="","",IF(COUNTIF(Deals!$A$2:$A$355,$A16)&gt;0,$A16,""))</f>
        <v/>
      </c>
      <c r="F16" s="16">
        <f>IF($B16="","",IFERROR(INDEX(Roster!$A$2:$A$40,MATCH($B16,Roster!$A$2:$A$40,0)),IFERROR(IF(INDEX(MapTracker,MATCH($B16,MapNetSuite,0))=0,"",INDEX(MapTracker,MATCH($B16,MapNetSuite,0))),"")))</f>
        <v/>
      </c>
      <c r="G16" s="16">
        <f>IF($F16="","",IFERROR(INDEX(Roster!$B$2:$B$40,MATCH($F16,Roster!$A$2:$A$40,0)),""))</f>
        <v/>
      </c>
      <c r="H16" s="16">
        <f>IF($E16="","",IFERROR(IF(INDEX(Deals!$U$2:$U$355,MATCH($E16,Deals!$A$2:$A$355,0))=0,"",INDEX(Deals!$U$2:$U$355,MATCH($E16,Deals!$A$2:$A$355,0))),""))</f>
        <v/>
      </c>
      <c r="I16" s="18">
        <f>IF(OR($E16="",$F16=""),"",SUMIFS(Assignments!$I$2:$I$769,Assignments!$A$2:$A$769,$F16,Assignments!$C$2:$C$769,$E16))</f>
        <v/>
      </c>
      <c r="J16" s="65">
        <f>IF(OR($E16="",$F16=""),"",$D16-$I16)</f>
        <v/>
      </c>
      <c r="K16" s="20">
        <f>IF($A16="","",IF(AND($E16&lt;&gt;"",$F16&lt;&gt;""),"OK",TRIM(IF($E16="","unmatched code ","")&amp;IF($F16="","unmatched person",""))))</f>
        <v/>
      </c>
      <c r="N16" s="66" t="n"/>
      <c r="O16" s="66" t="n"/>
    </row>
    <row r="17">
      <c r="A17" s="62" t="inlineStr">
        <is>
          <t>MIF_1</t>
        </is>
      </c>
      <c r="B17" s="62" t="inlineStr">
        <is>
          <t>John</t>
        </is>
      </c>
      <c r="C17" s="63" t="n">
        <v>46230</v>
      </c>
      <c r="D17" s="64" t="n">
        <v>2</v>
      </c>
      <c r="E17" s="16">
        <f>IF($A17="","",IF(COUNTIF(Deals!$A$2:$A$355,$A17)&gt;0,$A17,""))</f>
        <v/>
      </c>
      <c r="F17" s="16">
        <f>IF($B17="","",IFERROR(INDEX(Roster!$A$2:$A$40,MATCH($B17,Roster!$A$2:$A$40,0)),IFERROR(IF(INDEX(MapTracker,MATCH($B17,MapNetSuite,0))=0,"",INDEX(MapTracker,MATCH($B17,MapNetSuite,0))),"")))</f>
        <v/>
      </c>
      <c r="G17" s="16">
        <f>IF($F17="","",IFERROR(INDEX(Roster!$B$2:$B$40,MATCH($F17,Roster!$A$2:$A$40,0)),""))</f>
        <v/>
      </c>
      <c r="H17" s="16">
        <f>IF($E17="","",IFERROR(IF(INDEX(Deals!$U$2:$U$355,MATCH($E17,Deals!$A$2:$A$355,0))=0,"",INDEX(Deals!$U$2:$U$355,MATCH($E17,Deals!$A$2:$A$355,0))),""))</f>
        <v/>
      </c>
      <c r="I17" s="18">
        <f>IF(OR($E17="",$F17=""),"",SUMIFS(Assignments!$I$2:$I$769,Assignments!$A$2:$A$769,$F17,Assignments!$C$2:$C$769,$E17))</f>
        <v/>
      </c>
      <c r="J17" s="65">
        <f>IF(OR($E17="",$F17=""),"",$D17-$I17)</f>
        <v/>
      </c>
      <c r="K17" s="20">
        <f>IF($A17="","",IF(AND($E17&lt;&gt;"",$F17&lt;&gt;""),"OK",TRIM(IF($E17="","unmatched code ","")&amp;IF($F17="","unmatched person",""))))</f>
        <v/>
      </c>
      <c r="N17" s="66" t="n"/>
      <c r="O17" s="66" t="n"/>
    </row>
    <row r="18">
      <c r="A18" s="62" t="inlineStr">
        <is>
          <t>MIF_1</t>
        </is>
      </c>
      <c r="B18" s="62" t="inlineStr">
        <is>
          <t>Zack</t>
        </is>
      </c>
      <c r="C18" s="63" t="n">
        <v>46223</v>
      </c>
      <c r="D18" s="64" t="n">
        <v>4</v>
      </c>
      <c r="E18" s="16">
        <f>IF($A18="","",IF(COUNTIF(Deals!$A$2:$A$355,$A18)&gt;0,$A18,""))</f>
        <v/>
      </c>
      <c r="F18" s="16">
        <f>IF($B18="","",IFERROR(INDEX(Roster!$A$2:$A$40,MATCH($B18,Roster!$A$2:$A$40,0)),IFERROR(IF(INDEX(MapTracker,MATCH($B18,MapNetSuite,0))=0,"",INDEX(MapTracker,MATCH($B18,MapNetSuite,0))),"")))</f>
        <v/>
      </c>
      <c r="G18" s="16">
        <f>IF($F18="","",IFERROR(INDEX(Roster!$B$2:$B$40,MATCH($F18,Roster!$A$2:$A$40,0)),""))</f>
        <v/>
      </c>
      <c r="H18" s="16">
        <f>IF($E18="","",IFERROR(IF(INDEX(Deals!$U$2:$U$355,MATCH($E18,Deals!$A$2:$A$355,0))=0,"",INDEX(Deals!$U$2:$U$355,MATCH($E18,Deals!$A$2:$A$355,0))),""))</f>
        <v/>
      </c>
      <c r="I18" s="18">
        <f>IF(OR($E18="",$F18=""),"",SUMIFS(Assignments!$I$2:$I$769,Assignments!$A$2:$A$769,$F18,Assignments!$C$2:$C$769,$E18))</f>
        <v/>
      </c>
      <c r="J18" s="65">
        <f>IF(OR($E18="",$F18=""),"",$D18-$I18)</f>
        <v/>
      </c>
      <c r="K18" s="20">
        <f>IF($A18="","",IF(AND($E18&lt;&gt;"",$F18&lt;&gt;""),"OK",TRIM(IF($E18="","unmatched code ","")&amp;IF($F18="","unmatched person",""))))</f>
        <v/>
      </c>
      <c r="N18" s="66" t="n"/>
      <c r="O18" s="66" t="n"/>
    </row>
    <row r="19">
      <c r="A19" s="62" t="inlineStr">
        <is>
          <t>MIF_1</t>
        </is>
      </c>
      <c r="B19" s="62" t="inlineStr">
        <is>
          <t>Zack</t>
        </is>
      </c>
      <c r="C19" s="63" t="n">
        <v>46230</v>
      </c>
      <c r="D19" s="64" t="n">
        <v>3</v>
      </c>
      <c r="E19" s="16">
        <f>IF($A19="","",IF(COUNTIF(Deals!$A$2:$A$355,$A19)&gt;0,$A19,""))</f>
        <v/>
      </c>
      <c r="F19" s="16">
        <f>IF($B19="","",IFERROR(INDEX(Roster!$A$2:$A$40,MATCH($B19,Roster!$A$2:$A$40,0)),IFERROR(IF(INDEX(MapTracker,MATCH($B19,MapNetSuite,0))=0,"",INDEX(MapTracker,MATCH($B19,MapNetSuite,0))),"")))</f>
        <v/>
      </c>
      <c r="G19" s="16">
        <f>IF($F19="","",IFERROR(INDEX(Roster!$B$2:$B$40,MATCH($F19,Roster!$A$2:$A$40,0)),""))</f>
        <v/>
      </c>
      <c r="H19" s="16">
        <f>IF($E19="","",IFERROR(IF(INDEX(Deals!$U$2:$U$355,MATCH($E19,Deals!$A$2:$A$355,0))=0,"",INDEX(Deals!$U$2:$U$355,MATCH($E19,Deals!$A$2:$A$355,0))),""))</f>
        <v/>
      </c>
      <c r="I19" s="18">
        <f>IF(OR($E19="",$F19=""),"",SUMIFS(Assignments!$I$2:$I$769,Assignments!$A$2:$A$769,$F19,Assignments!$C$2:$C$769,$E19))</f>
        <v/>
      </c>
      <c r="J19" s="65">
        <f>IF(OR($E19="",$F19=""),"",$D19-$I19)</f>
        <v/>
      </c>
      <c r="K19" s="20">
        <f>IF($A19="","",IF(AND($E19&lt;&gt;"",$F19&lt;&gt;""),"OK",TRIM(IF($E19="","unmatched code ","")&amp;IF($F19="","unmatched person",""))))</f>
        <v/>
      </c>
      <c r="N19" s="66" t="n"/>
      <c r="O19" s="66" t="n"/>
    </row>
    <row r="20">
      <c r="A20" s="62" t="inlineStr">
        <is>
          <t>MIF_1</t>
        </is>
      </c>
      <c r="B20" s="62" t="inlineStr">
        <is>
          <t>George</t>
        </is>
      </c>
      <c r="C20" s="63" t="n">
        <v>46223</v>
      </c>
      <c r="D20" s="64" t="n">
        <v>9</v>
      </c>
      <c r="E20" s="16">
        <f>IF($A20="","",IF(COUNTIF(Deals!$A$2:$A$355,$A20)&gt;0,$A20,""))</f>
        <v/>
      </c>
      <c r="F20" s="16">
        <f>IF($B20="","",IFERROR(INDEX(Roster!$A$2:$A$40,MATCH($B20,Roster!$A$2:$A$40,0)),IFERROR(IF(INDEX(MapTracker,MATCH($B20,MapNetSuite,0))=0,"",INDEX(MapTracker,MATCH($B20,MapNetSuite,0))),"")))</f>
        <v/>
      </c>
      <c r="G20" s="16">
        <f>IF($F20="","",IFERROR(INDEX(Roster!$B$2:$B$40,MATCH($F20,Roster!$A$2:$A$40,0)),""))</f>
        <v/>
      </c>
      <c r="H20" s="16">
        <f>IF($E20="","",IFERROR(IF(INDEX(Deals!$U$2:$U$355,MATCH($E20,Deals!$A$2:$A$355,0))=0,"",INDEX(Deals!$U$2:$U$355,MATCH($E20,Deals!$A$2:$A$355,0))),""))</f>
        <v/>
      </c>
      <c r="I20" s="18">
        <f>IF(OR($E20="",$F20=""),"",SUMIFS(Assignments!$I$2:$I$769,Assignments!$A$2:$A$769,$F20,Assignments!$C$2:$C$769,$E20))</f>
        <v/>
      </c>
      <c r="J20" s="65">
        <f>IF(OR($E20="",$F20=""),"",$D20-$I20)</f>
        <v/>
      </c>
      <c r="K20" s="20">
        <f>IF($A20="","",IF(AND($E20&lt;&gt;"",$F20&lt;&gt;""),"OK",TRIM(IF($E20="","unmatched code ","")&amp;IF($F20="","unmatched person",""))))</f>
        <v/>
      </c>
      <c r="N20" s="66" t="n"/>
      <c r="O20" s="66" t="n"/>
    </row>
    <row r="21">
      <c r="A21" s="62" t="inlineStr">
        <is>
          <t>MIF_1</t>
        </is>
      </c>
      <c r="B21" s="62" t="inlineStr">
        <is>
          <t>George</t>
        </is>
      </c>
      <c r="C21" s="63" t="n">
        <v>46230</v>
      </c>
      <c r="D21" s="64" t="n">
        <v>7</v>
      </c>
      <c r="E21" s="16">
        <f>IF($A21="","",IF(COUNTIF(Deals!$A$2:$A$355,$A21)&gt;0,$A21,""))</f>
        <v/>
      </c>
      <c r="F21" s="16">
        <f>IF($B21="","",IFERROR(INDEX(Roster!$A$2:$A$40,MATCH($B21,Roster!$A$2:$A$40,0)),IFERROR(IF(INDEX(MapTracker,MATCH($B21,MapNetSuite,0))=0,"",INDEX(MapTracker,MATCH($B21,MapNetSuite,0))),"")))</f>
        <v/>
      </c>
      <c r="G21" s="16">
        <f>IF($F21="","",IFERROR(INDEX(Roster!$B$2:$B$40,MATCH($F21,Roster!$A$2:$A$40,0)),""))</f>
        <v/>
      </c>
      <c r="H21" s="16">
        <f>IF($E21="","",IFERROR(IF(INDEX(Deals!$U$2:$U$355,MATCH($E21,Deals!$A$2:$A$355,0))=0,"",INDEX(Deals!$U$2:$U$355,MATCH($E21,Deals!$A$2:$A$355,0))),""))</f>
        <v/>
      </c>
      <c r="I21" s="18">
        <f>IF(OR($E21="",$F21=""),"",SUMIFS(Assignments!$I$2:$I$769,Assignments!$A$2:$A$769,$F21,Assignments!$C$2:$C$769,$E21))</f>
        <v/>
      </c>
      <c r="J21" s="65">
        <f>IF(OR($E21="",$F21=""),"",$D21-$I21)</f>
        <v/>
      </c>
      <c r="K21" s="20">
        <f>IF($A21="","",IF(AND($E21&lt;&gt;"",$F21&lt;&gt;""),"OK",TRIM(IF($E21="","unmatched code ","")&amp;IF($F21="","unmatched person",""))))</f>
        <v/>
      </c>
      <c r="N21" s="66" t="n"/>
      <c r="O21" s="66" t="n"/>
    </row>
    <row r="22">
      <c r="A22" s="62" t="inlineStr">
        <is>
          <t>MIF_1</t>
        </is>
      </c>
      <c r="B22" s="62" t="inlineStr">
        <is>
          <t>Vidhi</t>
        </is>
      </c>
      <c r="C22" s="63" t="n">
        <v>46223</v>
      </c>
      <c r="D22" s="64" t="n">
        <v>12</v>
      </c>
      <c r="E22" s="16">
        <f>IF($A22="","",IF(COUNTIF(Deals!$A$2:$A$355,$A22)&gt;0,$A22,""))</f>
        <v/>
      </c>
      <c r="F22" s="16">
        <f>IF($B22="","",IFERROR(INDEX(Roster!$A$2:$A$40,MATCH($B22,Roster!$A$2:$A$40,0)),IFERROR(IF(INDEX(MapTracker,MATCH($B22,MapNetSuite,0))=0,"",INDEX(MapTracker,MATCH($B22,MapNetSuite,0))),"")))</f>
        <v/>
      </c>
      <c r="G22" s="16">
        <f>IF($F22="","",IFERROR(INDEX(Roster!$B$2:$B$40,MATCH($F22,Roster!$A$2:$A$40,0)),""))</f>
        <v/>
      </c>
      <c r="H22" s="16">
        <f>IF($E22="","",IFERROR(IF(INDEX(Deals!$U$2:$U$355,MATCH($E22,Deals!$A$2:$A$355,0))=0,"",INDEX(Deals!$U$2:$U$355,MATCH($E22,Deals!$A$2:$A$355,0))),""))</f>
        <v/>
      </c>
      <c r="I22" s="18">
        <f>IF(OR($E22="",$F22=""),"",SUMIFS(Assignments!$I$2:$I$769,Assignments!$A$2:$A$769,$F22,Assignments!$C$2:$C$769,$E22))</f>
        <v/>
      </c>
      <c r="J22" s="65">
        <f>IF(OR($E22="",$F22=""),"",$D22-$I22)</f>
        <v/>
      </c>
      <c r="K22" s="20">
        <f>IF($A22="","",IF(AND($E22&lt;&gt;"",$F22&lt;&gt;""),"OK",TRIM(IF($E22="","unmatched code ","")&amp;IF($F22="","unmatched person",""))))</f>
        <v/>
      </c>
      <c r="N22" s="66" t="n"/>
      <c r="O22" s="66" t="n"/>
    </row>
    <row r="23">
      <c r="A23" s="62" t="inlineStr">
        <is>
          <t>MIF_1</t>
        </is>
      </c>
      <c r="B23" s="62" t="inlineStr">
        <is>
          <t>Vidhi</t>
        </is>
      </c>
      <c r="C23" s="63" t="n">
        <v>46230</v>
      </c>
      <c r="D23" s="64" t="n">
        <v>8</v>
      </c>
      <c r="E23" s="16">
        <f>IF($A23="","",IF(COUNTIF(Deals!$A$2:$A$355,$A23)&gt;0,$A23,""))</f>
        <v/>
      </c>
      <c r="F23" s="16">
        <f>IF($B23="","",IFERROR(INDEX(Roster!$A$2:$A$40,MATCH($B23,Roster!$A$2:$A$40,0)),IFERROR(IF(INDEX(MapTracker,MATCH($B23,MapNetSuite,0))=0,"",INDEX(MapTracker,MATCH($B23,MapNetSuite,0))),"")))</f>
        <v/>
      </c>
      <c r="G23" s="16">
        <f>IF($F23="","",IFERROR(INDEX(Roster!$B$2:$B$40,MATCH($F23,Roster!$A$2:$A$40,0)),""))</f>
        <v/>
      </c>
      <c r="H23" s="16">
        <f>IF($E23="","",IFERROR(IF(INDEX(Deals!$U$2:$U$355,MATCH($E23,Deals!$A$2:$A$355,0))=0,"",INDEX(Deals!$U$2:$U$355,MATCH($E23,Deals!$A$2:$A$355,0))),""))</f>
        <v/>
      </c>
      <c r="I23" s="18">
        <f>IF(OR($E23="",$F23=""),"",SUMIFS(Assignments!$I$2:$I$769,Assignments!$A$2:$A$769,$F23,Assignments!$C$2:$C$769,$E23))</f>
        <v/>
      </c>
      <c r="J23" s="65">
        <f>IF(OR($E23="",$F23=""),"",$D23-$I23)</f>
        <v/>
      </c>
      <c r="K23" s="20">
        <f>IF($A23="","",IF(AND($E23&lt;&gt;"",$F23&lt;&gt;""),"OK",TRIM(IF($E23="","unmatched code ","")&amp;IF($F23="","unmatched person",""))))</f>
        <v/>
      </c>
      <c r="N23" s="66" t="n"/>
      <c r="O23" s="66" t="n"/>
    </row>
    <row r="24">
      <c r="A24" s="62" t="inlineStr">
        <is>
          <t>MIF_1</t>
        </is>
      </c>
      <c r="B24" s="62" t="inlineStr">
        <is>
          <t>Vidhi</t>
        </is>
      </c>
      <c r="C24" s="63" t="n">
        <v>46237</v>
      </c>
      <c r="D24" s="64" t="n">
        <v>10</v>
      </c>
      <c r="E24" s="16">
        <f>IF($A24="","",IF(COUNTIF(Deals!$A$2:$A$355,$A24)&gt;0,$A24,""))</f>
        <v/>
      </c>
      <c r="F24" s="16">
        <f>IF($B24="","",IFERROR(INDEX(Roster!$A$2:$A$40,MATCH($B24,Roster!$A$2:$A$40,0)),IFERROR(IF(INDEX(MapTracker,MATCH($B24,MapNetSuite,0))=0,"",INDEX(MapTracker,MATCH($B24,MapNetSuite,0))),"")))</f>
        <v/>
      </c>
      <c r="G24" s="16">
        <f>IF($F24="","",IFERROR(INDEX(Roster!$B$2:$B$40,MATCH($F24,Roster!$A$2:$A$40,0)),""))</f>
        <v/>
      </c>
      <c r="H24" s="16">
        <f>IF($E24="","",IFERROR(IF(INDEX(Deals!$U$2:$U$355,MATCH($E24,Deals!$A$2:$A$355,0))=0,"",INDEX(Deals!$U$2:$U$355,MATCH($E24,Deals!$A$2:$A$355,0))),""))</f>
        <v/>
      </c>
      <c r="I24" s="18">
        <f>IF(OR($E24="",$F24=""),"",SUMIFS(Assignments!$I$2:$I$769,Assignments!$A$2:$A$769,$F24,Assignments!$C$2:$C$769,$E24))</f>
        <v/>
      </c>
      <c r="J24" s="65">
        <f>IF(OR($E24="",$F24=""),"",$D24-$I24)</f>
        <v/>
      </c>
      <c r="K24" s="20">
        <f>IF($A24="","",IF(AND($E24&lt;&gt;"",$F24&lt;&gt;""),"OK",TRIM(IF($E24="","unmatched code ","")&amp;IF($F24="","unmatched person",""))))</f>
        <v/>
      </c>
      <c r="N24" s="66" t="n"/>
      <c r="O24" s="66" t="n"/>
    </row>
    <row r="25">
      <c r="A25" s="62" t="inlineStr">
        <is>
          <t>BADCODE_9</t>
        </is>
      </c>
      <c r="B25" s="62" t="inlineStr">
        <is>
          <t>Yiyi</t>
        </is>
      </c>
      <c r="C25" s="63" t="n">
        <v>46223</v>
      </c>
      <c r="D25" s="64" t="n">
        <v>5</v>
      </c>
      <c r="E25" s="16">
        <f>IF($A25="","",IF(COUNTIF(Deals!$A$2:$A$355,$A25)&gt;0,$A25,""))</f>
        <v/>
      </c>
      <c r="F25" s="16">
        <f>IF($B25="","",IFERROR(INDEX(Roster!$A$2:$A$40,MATCH($B25,Roster!$A$2:$A$40,0)),IFERROR(IF(INDEX(MapTracker,MATCH($B25,MapNetSuite,0))=0,"",INDEX(MapTracker,MATCH($B25,MapNetSuite,0))),"")))</f>
        <v/>
      </c>
      <c r="G25" s="16">
        <f>IF($F25="","",IFERROR(INDEX(Roster!$B$2:$B$40,MATCH($F25,Roster!$A$2:$A$40,0)),""))</f>
        <v/>
      </c>
      <c r="H25" s="16">
        <f>IF($E25="","",IFERROR(IF(INDEX(Deals!$U$2:$U$355,MATCH($E25,Deals!$A$2:$A$355,0))=0,"",INDEX(Deals!$U$2:$U$355,MATCH($E25,Deals!$A$2:$A$355,0))),""))</f>
        <v/>
      </c>
      <c r="I25" s="18">
        <f>IF(OR($E25="",$F25=""),"",SUMIFS(Assignments!$I$2:$I$769,Assignments!$A$2:$A$769,$F25,Assignments!$C$2:$C$769,$E25))</f>
        <v/>
      </c>
      <c r="J25" s="65">
        <f>IF(OR($E25="",$F25=""),"",$D25-$I25)</f>
        <v/>
      </c>
      <c r="K25" s="20">
        <f>IF($A25="","",IF(AND($E25&lt;&gt;"",$F25&lt;&gt;""),"OK",TRIM(IF($E25="","unmatched code ","")&amp;IF($F25="","unmatched person",""))))</f>
        <v/>
      </c>
      <c r="N25" s="66" t="n"/>
      <c r="O25" s="66" t="n"/>
    </row>
    <row r="26">
      <c r="A26" s="62" t="inlineStr">
        <is>
          <t>Zora_1</t>
        </is>
      </c>
      <c r="B26" s="62" t="inlineStr">
        <is>
          <t>Newhire, Sam</t>
        </is>
      </c>
      <c r="C26" s="63" t="n">
        <v>46223</v>
      </c>
      <c r="D26" s="64" t="n">
        <v>8</v>
      </c>
      <c r="E26" s="16">
        <f>IF($A26="","",IF(COUNTIF(Deals!$A$2:$A$355,$A26)&gt;0,$A26,""))</f>
        <v/>
      </c>
      <c r="F26" s="16">
        <f>IF($B26="","",IFERROR(INDEX(Roster!$A$2:$A$40,MATCH($B26,Roster!$A$2:$A$40,0)),IFERROR(IF(INDEX(MapTracker,MATCH($B26,MapNetSuite,0))=0,"",INDEX(MapTracker,MATCH($B26,MapNetSuite,0))),"")))</f>
        <v/>
      </c>
      <c r="G26" s="16">
        <f>IF($F26="","",IFERROR(INDEX(Roster!$B$2:$B$40,MATCH($F26,Roster!$A$2:$A$40,0)),""))</f>
        <v/>
      </c>
      <c r="H26" s="16">
        <f>IF($E26="","",IFERROR(IF(INDEX(Deals!$U$2:$U$355,MATCH($E26,Deals!$A$2:$A$355,0))=0,"",INDEX(Deals!$U$2:$U$355,MATCH($E26,Deals!$A$2:$A$355,0))),""))</f>
        <v/>
      </c>
      <c r="I26" s="18">
        <f>IF(OR($E26="",$F26=""),"",SUMIFS(Assignments!$I$2:$I$769,Assignments!$A$2:$A$769,$F26,Assignments!$C$2:$C$769,$E26))</f>
        <v/>
      </c>
      <c r="J26" s="65">
        <f>IF(OR($E26="",$F26=""),"",$D26-$I26)</f>
        <v/>
      </c>
      <c r="K26" s="20">
        <f>IF($A26="","",IF(AND($E26&lt;&gt;"",$F26&lt;&gt;""),"OK",TRIM(IF($E26="","unmatched code ","")&amp;IF($F26="","unmatched person",""))))</f>
        <v/>
      </c>
      <c r="N26" s="66" t="n"/>
      <c r="O26" s="66" t="n"/>
    </row>
    <row r="27">
      <c r="A27" s="31" t="n"/>
      <c r="B27" s="31" t="n"/>
      <c r="C27" s="31" t="n"/>
      <c r="D27" s="31" t="n"/>
      <c r="E27" s="16">
        <f>IF($A27="","",IF(COUNTIF(Deals!$A$2:$A$355,$A27)&gt;0,$A27,""))</f>
        <v/>
      </c>
      <c r="F27" s="16">
        <f>IF($B27="","",IFERROR(INDEX(Roster!$A$2:$A$40,MATCH($B27,Roster!$A$2:$A$40,0)),IFERROR(IF(INDEX(MapTracker,MATCH($B27,MapNetSuite,0))=0,"",INDEX(MapTracker,MATCH($B27,MapNetSuite,0))),"")))</f>
        <v/>
      </c>
      <c r="G27" s="16">
        <f>IF($F27="","",IFERROR(INDEX(Roster!$B$2:$B$40,MATCH($F27,Roster!$A$2:$A$40,0)),""))</f>
        <v/>
      </c>
      <c r="H27" s="16">
        <f>IF($E27="","",IFERROR(IF(INDEX(Deals!$U$2:$U$355,MATCH($E27,Deals!$A$2:$A$355,0))=0,"",INDEX(Deals!$U$2:$U$355,MATCH($E27,Deals!$A$2:$A$355,0))),""))</f>
        <v/>
      </c>
      <c r="I27" s="18">
        <f>IF(OR($E27="",$F27=""),"",SUMIFS(Assignments!$I$2:$I$769,Assignments!$A$2:$A$769,$F27,Assignments!$C$2:$C$769,$E27))</f>
        <v/>
      </c>
      <c r="J27" s="65">
        <f>IF(OR($E27="",$F27=""),"",$D27-$I27)</f>
        <v/>
      </c>
      <c r="K27" s="20">
        <f>IF($A27="","",IF(AND($E27&lt;&gt;"",$F27&lt;&gt;""),"OK",TRIM(IF($E27="","unmatched code ","")&amp;IF($F27="","unmatched person",""))))</f>
        <v/>
      </c>
      <c r="N27" s="66" t="n"/>
      <c r="O27" s="66" t="n"/>
    </row>
    <row r="28">
      <c r="A28" s="31" t="n"/>
      <c r="B28" s="31" t="n"/>
      <c r="C28" s="31" t="n"/>
      <c r="D28" s="31" t="n"/>
      <c r="E28" s="16">
        <f>IF($A28="","",IF(COUNTIF(Deals!$A$2:$A$355,$A28)&gt;0,$A28,""))</f>
        <v/>
      </c>
      <c r="F28" s="16">
        <f>IF($B28="","",IFERROR(INDEX(Roster!$A$2:$A$40,MATCH($B28,Roster!$A$2:$A$40,0)),IFERROR(IF(INDEX(MapTracker,MATCH($B28,MapNetSuite,0))=0,"",INDEX(MapTracker,MATCH($B28,MapNetSuite,0))),"")))</f>
        <v/>
      </c>
      <c r="G28" s="16">
        <f>IF($F28="","",IFERROR(INDEX(Roster!$B$2:$B$40,MATCH($F28,Roster!$A$2:$A$40,0)),""))</f>
        <v/>
      </c>
      <c r="H28" s="16">
        <f>IF($E28="","",IFERROR(IF(INDEX(Deals!$U$2:$U$355,MATCH($E28,Deals!$A$2:$A$355,0))=0,"",INDEX(Deals!$U$2:$U$355,MATCH($E28,Deals!$A$2:$A$355,0))),""))</f>
        <v/>
      </c>
      <c r="I28" s="18">
        <f>IF(OR($E28="",$F28=""),"",SUMIFS(Assignments!$I$2:$I$769,Assignments!$A$2:$A$769,$F28,Assignments!$C$2:$C$769,$E28))</f>
        <v/>
      </c>
      <c r="J28" s="65">
        <f>IF(OR($E28="",$F28=""),"",$D28-$I28)</f>
        <v/>
      </c>
      <c r="K28" s="20">
        <f>IF($A28="","",IF(AND($E28&lt;&gt;"",$F28&lt;&gt;""),"OK",TRIM(IF($E28="","unmatched code ","")&amp;IF($F28="","unmatched person",""))))</f>
        <v/>
      </c>
      <c r="N28" s="66" t="n"/>
      <c r="O28" s="66" t="n"/>
    </row>
    <row r="29">
      <c r="A29" s="31" t="n"/>
      <c r="B29" s="31" t="n"/>
      <c r="C29" s="31" t="n"/>
      <c r="D29" s="31" t="n"/>
      <c r="E29" s="16">
        <f>IF($A29="","",IF(COUNTIF(Deals!$A$2:$A$355,$A29)&gt;0,$A29,""))</f>
        <v/>
      </c>
      <c r="F29" s="16">
        <f>IF($B29="","",IFERROR(INDEX(Roster!$A$2:$A$40,MATCH($B29,Roster!$A$2:$A$40,0)),IFERROR(IF(INDEX(MapTracker,MATCH($B29,MapNetSuite,0))=0,"",INDEX(MapTracker,MATCH($B29,MapNetSuite,0))),"")))</f>
        <v/>
      </c>
      <c r="G29" s="16">
        <f>IF($F29="","",IFERROR(INDEX(Roster!$B$2:$B$40,MATCH($F29,Roster!$A$2:$A$40,0)),""))</f>
        <v/>
      </c>
      <c r="H29" s="16">
        <f>IF($E29="","",IFERROR(IF(INDEX(Deals!$U$2:$U$355,MATCH($E29,Deals!$A$2:$A$355,0))=0,"",INDEX(Deals!$U$2:$U$355,MATCH($E29,Deals!$A$2:$A$355,0))),""))</f>
        <v/>
      </c>
      <c r="I29" s="18">
        <f>IF(OR($E29="",$F29=""),"",SUMIFS(Assignments!$I$2:$I$769,Assignments!$A$2:$A$769,$F29,Assignments!$C$2:$C$769,$E29))</f>
        <v/>
      </c>
      <c r="J29" s="65">
        <f>IF(OR($E29="",$F29=""),"",$D29-$I29)</f>
        <v/>
      </c>
      <c r="K29" s="20">
        <f>IF($A29="","",IF(AND($E29&lt;&gt;"",$F29&lt;&gt;""),"OK",TRIM(IF($E29="","unmatched code ","")&amp;IF($F29="","unmatched person",""))))</f>
        <v/>
      </c>
      <c r="N29" s="66" t="n"/>
      <c r="O29" s="66" t="n"/>
    </row>
    <row r="30">
      <c r="A30" s="31" t="n"/>
      <c r="B30" s="31" t="n"/>
      <c r="C30" s="31" t="n"/>
      <c r="D30" s="31" t="n"/>
      <c r="E30" s="16">
        <f>IF($A30="","",IF(COUNTIF(Deals!$A$2:$A$355,$A30)&gt;0,$A30,""))</f>
        <v/>
      </c>
      <c r="F30" s="16">
        <f>IF($B30="","",IFERROR(INDEX(Roster!$A$2:$A$40,MATCH($B30,Roster!$A$2:$A$40,0)),IFERROR(IF(INDEX(MapTracker,MATCH($B30,MapNetSuite,0))=0,"",INDEX(MapTracker,MATCH($B30,MapNetSuite,0))),"")))</f>
        <v/>
      </c>
      <c r="G30" s="16">
        <f>IF($F30="","",IFERROR(INDEX(Roster!$B$2:$B$40,MATCH($F30,Roster!$A$2:$A$40,0)),""))</f>
        <v/>
      </c>
      <c r="H30" s="16">
        <f>IF($E30="","",IFERROR(IF(INDEX(Deals!$U$2:$U$355,MATCH($E30,Deals!$A$2:$A$355,0))=0,"",INDEX(Deals!$U$2:$U$355,MATCH($E30,Deals!$A$2:$A$355,0))),""))</f>
        <v/>
      </c>
      <c r="I30" s="18">
        <f>IF(OR($E30="",$F30=""),"",SUMIFS(Assignments!$I$2:$I$769,Assignments!$A$2:$A$769,$F30,Assignments!$C$2:$C$769,$E30))</f>
        <v/>
      </c>
      <c r="J30" s="65">
        <f>IF(OR($E30="",$F30=""),"",$D30-$I30)</f>
        <v/>
      </c>
      <c r="K30" s="20">
        <f>IF($A30="","",IF(AND($E30&lt;&gt;"",$F30&lt;&gt;""),"OK",TRIM(IF($E30="","unmatched code ","")&amp;IF($F30="","unmatched person",""))))</f>
        <v/>
      </c>
      <c r="N30" s="66" t="n"/>
      <c r="O30" s="66" t="n"/>
    </row>
    <row r="31">
      <c r="A31" s="31" t="n"/>
      <c r="B31" s="31" t="n"/>
      <c r="C31" s="31" t="n"/>
      <c r="D31" s="31" t="n"/>
      <c r="E31" s="16">
        <f>IF($A31="","",IF(COUNTIF(Deals!$A$2:$A$355,$A31)&gt;0,$A31,""))</f>
        <v/>
      </c>
      <c r="F31" s="16">
        <f>IF($B31="","",IFERROR(INDEX(Roster!$A$2:$A$40,MATCH($B31,Roster!$A$2:$A$40,0)),IFERROR(IF(INDEX(MapTracker,MATCH($B31,MapNetSuite,0))=0,"",INDEX(MapTracker,MATCH($B31,MapNetSuite,0))),"")))</f>
        <v/>
      </c>
      <c r="G31" s="16">
        <f>IF($F31="","",IFERROR(INDEX(Roster!$B$2:$B$40,MATCH($F31,Roster!$A$2:$A$40,0)),""))</f>
        <v/>
      </c>
      <c r="H31" s="16">
        <f>IF($E31="","",IFERROR(IF(INDEX(Deals!$U$2:$U$355,MATCH($E31,Deals!$A$2:$A$355,0))=0,"",INDEX(Deals!$U$2:$U$355,MATCH($E31,Deals!$A$2:$A$355,0))),""))</f>
        <v/>
      </c>
      <c r="I31" s="18">
        <f>IF(OR($E31="",$F31=""),"",SUMIFS(Assignments!$I$2:$I$769,Assignments!$A$2:$A$769,$F31,Assignments!$C$2:$C$769,$E31))</f>
        <v/>
      </c>
      <c r="J31" s="65">
        <f>IF(OR($E31="",$F31=""),"",$D31-$I31)</f>
        <v/>
      </c>
      <c r="K31" s="20">
        <f>IF($A31="","",IF(AND($E31&lt;&gt;"",$F31&lt;&gt;""),"OK",TRIM(IF($E31="","unmatched code ","")&amp;IF($F31="","unmatched person",""))))</f>
        <v/>
      </c>
      <c r="N31" s="66" t="n"/>
      <c r="O31" s="66" t="n"/>
    </row>
    <row r="32">
      <c r="A32" s="31" t="n"/>
      <c r="B32" s="31" t="n"/>
      <c r="C32" s="31" t="n"/>
      <c r="D32" s="31" t="n"/>
      <c r="E32" s="16">
        <f>IF($A32="","",IF(COUNTIF(Deals!$A$2:$A$355,$A32)&gt;0,$A32,""))</f>
        <v/>
      </c>
      <c r="F32" s="16">
        <f>IF($B32="","",IFERROR(INDEX(Roster!$A$2:$A$40,MATCH($B32,Roster!$A$2:$A$40,0)),IFERROR(IF(INDEX(MapTracker,MATCH($B32,MapNetSuite,0))=0,"",INDEX(MapTracker,MATCH($B32,MapNetSuite,0))),"")))</f>
        <v/>
      </c>
      <c r="G32" s="16">
        <f>IF($F32="","",IFERROR(INDEX(Roster!$B$2:$B$40,MATCH($F32,Roster!$A$2:$A$40,0)),""))</f>
        <v/>
      </c>
      <c r="H32" s="16">
        <f>IF($E32="","",IFERROR(IF(INDEX(Deals!$U$2:$U$355,MATCH($E32,Deals!$A$2:$A$355,0))=0,"",INDEX(Deals!$U$2:$U$355,MATCH($E32,Deals!$A$2:$A$355,0))),""))</f>
        <v/>
      </c>
      <c r="I32" s="18">
        <f>IF(OR($E32="",$F32=""),"",SUMIFS(Assignments!$I$2:$I$769,Assignments!$A$2:$A$769,$F32,Assignments!$C$2:$C$769,$E32))</f>
        <v/>
      </c>
      <c r="J32" s="65">
        <f>IF(OR($E32="",$F32=""),"",$D32-$I32)</f>
        <v/>
      </c>
      <c r="K32" s="20">
        <f>IF($A32="","",IF(AND($E32&lt;&gt;"",$F32&lt;&gt;""),"OK",TRIM(IF($E32="","unmatched code ","")&amp;IF($F32="","unmatched person",""))))</f>
        <v/>
      </c>
      <c r="N32" s="66" t="n"/>
      <c r="O32" s="66" t="n"/>
    </row>
    <row r="33">
      <c r="A33" s="31" t="n"/>
      <c r="B33" s="31" t="n"/>
      <c r="C33" s="31" t="n"/>
      <c r="D33" s="31" t="n"/>
      <c r="E33" s="16">
        <f>IF($A33="","",IF(COUNTIF(Deals!$A$2:$A$355,$A33)&gt;0,$A33,""))</f>
        <v/>
      </c>
      <c r="F33" s="16">
        <f>IF($B33="","",IFERROR(INDEX(Roster!$A$2:$A$40,MATCH($B33,Roster!$A$2:$A$40,0)),IFERROR(IF(INDEX(MapTracker,MATCH($B33,MapNetSuite,0))=0,"",INDEX(MapTracker,MATCH($B33,MapNetSuite,0))),"")))</f>
        <v/>
      </c>
      <c r="G33" s="16">
        <f>IF($F33="","",IFERROR(INDEX(Roster!$B$2:$B$40,MATCH($F33,Roster!$A$2:$A$40,0)),""))</f>
        <v/>
      </c>
      <c r="H33" s="16">
        <f>IF($E33="","",IFERROR(IF(INDEX(Deals!$U$2:$U$355,MATCH($E33,Deals!$A$2:$A$355,0))=0,"",INDEX(Deals!$U$2:$U$355,MATCH($E33,Deals!$A$2:$A$355,0))),""))</f>
        <v/>
      </c>
      <c r="I33" s="18">
        <f>IF(OR($E33="",$F33=""),"",SUMIFS(Assignments!$I$2:$I$769,Assignments!$A$2:$A$769,$F33,Assignments!$C$2:$C$769,$E33))</f>
        <v/>
      </c>
      <c r="J33" s="65">
        <f>IF(OR($E33="",$F33=""),"",$D33-$I33)</f>
        <v/>
      </c>
      <c r="K33" s="20">
        <f>IF($A33="","",IF(AND($E33&lt;&gt;"",$F33&lt;&gt;""),"OK",TRIM(IF($E33="","unmatched code ","")&amp;IF($F33="","unmatched person",""))))</f>
        <v/>
      </c>
      <c r="N33" s="66" t="n"/>
      <c r="O33" s="66" t="n"/>
    </row>
    <row r="34">
      <c r="A34" s="31" t="n"/>
      <c r="B34" s="31" t="n"/>
      <c r="C34" s="31" t="n"/>
      <c r="D34" s="31" t="n"/>
      <c r="E34" s="16">
        <f>IF($A34="","",IF(COUNTIF(Deals!$A$2:$A$355,$A34)&gt;0,$A34,""))</f>
        <v/>
      </c>
      <c r="F34" s="16">
        <f>IF($B34="","",IFERROR(INDEX(Roster!$A$2:$A$40,MATCH($B34,Roster!$A$2:$A$40,0)),IFERROR(IF(INDEX(MapTracker,MATCH($B34,MapNetSuite,0))=0,"",INDEX(MapTracker,MATCH($B34,MapNetSuite,0))),"")))</f>
        <v/>
      </c>
      <c r="G34" s="16">
        <f>IF($F34="","",IFERROR(INDEX(Roster!$B$2:$B$40,MATCH($F34,Roster!$A$2:$A$40,0)),""))</f>
        <v/>
      </c>
      <c r="H34" s="16">
        <f>IF($E34="","",IFERROR(IF(INDEX(Deals!$U$2:$U$355,MATCH($E34,Deals!$A$2:$A$355,0))=0,"",INDEX(Deals!$U$2:$U$355,MATCH($E34,Deals!$A$2:$A$355,0))),""))</f>
        <v/>
      </c>
      <c r="I34" s="18">
        <f>IF(OR($E34="",$F34=""),"",SUMIFS(Assignments!$I$2:$I$769,Assignments!$A$2:$A$769,$F34,Assignments!$C$2:$C$769,$E34))</f>
        <v/>
      </c>
      <c r="J34" s="65">
        <f>IF(OR($E34="",$F34=""),"",$D34-$I34)</f>
        <v/>
      </c>
      <c r="K34" s="20">
        <f>IF($A34="","",IF(AND($E34&lt;&gt;"",$F34&lt;&gt;""),"OK",TRIM(IF($E34="","unmatched code ","")&amp;IF($F34="","unmatched person",""))))</f>
        <v/>
      </c>
      <c r="N34" s="66" t="n"/>
      <c r="O34" s="66" t="n"/>
    </row>
    <row r="35">
      <c r="A35" s="31" t="n"/>
      <c r="B35" s="31" t="n"/>
      <c r="C35" s="31" t="n"/>
      <c r="D35" s="31" t="n"/>
      <c r="E35" s="16">
        <f>IF($A35="","",IF(COUNTIF(Deals!$A$2:$A$355,$A35)&gt;0,$A35,""))</f>
        <v/>
      </c>
      <c r="F35" s="16">
        <f>IF($B35="","",IFERROR(INDEX(Roster!$A$2:$A$40,MATCH($B35,Roster!$A$2:$A$40,0)),IFERROR(IF(INDEX(MapTracker,MATCH($B35,MapNetSuite,0))=0,"",INDEX(MapTracker,MATCH($B35,MapNetSuite,0))),"")))</f>
        <v/>
      </c>
      <c r="G35" s="16">
        <f>IF($F35="","",IFERROR(INDEX(Roster!$B$2:$B$40,MATCH($F35,Roster!$A$2:$A$40,0)),""))</f>
        <v/>
      </c>
      <c r="H35" s="16">
        <f>IF($E35="","",IFERROR(IF(INDEX(Deals!$U$2:$U$355,MATCH($E35,Deals!$A$2:$A$355,0))=0,"",INDEX(Deals!$U$2:$U$355,MATCH($E35,Deals!$A$2:$A$355,0))),""))</f>
        <v/>
      </c>
      <c r="I35" s="18">
        <f>IF(OR($E35="",$F35=""),"",SUMIFS(Assignments!$I$2:$I$769,Assignments!$A$2:$A$769,$F35,Assignments!$C$2:$C$769,$E35))</f>
        <v/>
      </c>
      <c r="J35" s="65">
        <f>IF(OR($E35="",$F35=""),"",$D35-$I35)</f>
        <v/>
      </c>
      <c r="K35" s="20">
        <f>IF($A35="","",IF(AND($E35&lt;&gt;"",$F35&lt;&gt;""),"OK",TRIM(IF($E35="","unmatched code ","")&amp;IF($F35="","unmatched person",""))))</f>
        <v/>
      </c>
      <c r="N35" s="66" t="n"/>
      <c r="O35" s="66" t="n"/>
    </row>
    <row r="36">
      <c r="A36" s="31" t="n"/>
      <c r="B36" s="31" t="n"/>
      <c r="C36" s="31" t="n"/>
      <c r="D36" s="31" t="n"/>
      <c r="E36" s="16">
        <f>IF($A36="","",IF(COUNTIF(Deals!$A$2:$A$355,$A36)&gt;0,$A36,""))</f>
        <v/>
      </c>
      <c r="F36" s="16">
        <f>IF($B36="","",IFERROR(INDEX(Roster!$A$2:$A$40,MATCH($B36,Roster!$A$2:$A$40,0)),IFERROR(IF(INDEX(MapTracker,MATCH($B36,MapNetSuite,0))=0,"",INDEX(MapTracker,MATCH($B36,MapNetSuite,0))),"")))</f>
        <v/>
      </c>
      <c r="G36" s="16">
        <f>IF($F36="","",IFERROR(INDEX(Roster!$B$2:$B$40,MATCH($F36,Roster!$A$2:$A$40,0)),""))</f>
        <v/>
      </c>
      <c r="H36" s="16">
        <f>IF($E36="","",IFERROR(IF(INDEX(Deals!$U$2:$U$355,MATCH($E36,Deals!$A$2:$A$355,0))=0,"",INDEX(Deals!$U$2:$U$355,MATCH($E36,Deals!$A$2:$A$355,0))),""))</f>
        <v/>
      </c>
      <c r="I36" s="18">
        <f>IF(OR($E36="",$F36=""),"",SUMIFS(Assignments!$I$2:$I$769,Assignments!$A$2:$A$769,$F36,Assignments!$C$2:$C$769,$E36))</f>
        <v/>
      </c>
      <c r="J36" s="65">
        <f>IF(OR($E36="",$F36=""),"",$D36-$I36)</f>
        <v/>
      </c>
      <c r="K36" s="20">
        <f>IF($A36="","",IF(AND($E36&lt;&gt;"",$F36&lt;&gt;""),"OK",TRIM(IF($E36="","unmatched code ","")&amp;IF($F36="","unmatched person",""))))</f>
        <v/>
      </c>
      <c r="N36" s="66" t="n"/>
      <c r="O36" s="66" t="n"/>
    </row>
    <row r="37">
      <c r="A37" s="31" t="n"/>
      <c r="B37" s="31" t="n"/>
      <c r="C37" s="31" t="n"/>
      <c r="D37" s="31" t="n"/>
      <c r="E37" s="16">
        <f>IF($A37="","",IF(COUNTIF(Deals!$A$2:$A$355,$A37)&gt;0,$A37,""))</f>
        <v/>
      </c>
      <c r="F37" s="16">
        <f>IF($B37="","",IFERROR(INDEX(Roster!$A$2:$A$40,MATCH($B37,Roster!$A$2:$A$40,0)),IFERROR(IF(INDEX(MapTracker,MATCH($B37,MapNetSuite,0))=0,"",INDEX(MapTracker,MATCH($B37,MapNetSuite,0))),"")))</f>
        <v/>
      </c>
      <c r="G37" s="16">
        <f>IF($F37="","",IFERROR(INDEX(Roster!$B$2:$B$40,MATCH($F37,Roster!$A$2:$A$40,0)),""))</f>
        <v/>
      </c>
      <c r="H37" s="16">
        <f>IF($E37="","",IFERROR(IF(INDEX(Deals!$U$2:$U$355,MATCH($E37,Deals!$A$2:$A$355,0))=0,"",INDEX(Deals!$U$2:$U$355,MATCH($E37,Deals!$A$2:$A$355,0))),""))</f>
        <v/>
      </c>
      <c r="I37" s="18">
        <f>IF(OR($E37="",$F37=""),"",SUMIFS(Assignments!$I$2:$I$769,Assignments!$A$2:$A$769,$F37,Assignments!$C$2:$C$769,$E37))</f>
        <v/>
      </c>
      <c r="J37" s="65">
        <f>IF(OR($E37="",$F37=""),"",$D37-$I37)</f>
        <v/>
      </c>
      <c r="K37" s="20">
        <f>IF($A37="","",IF(AND($E37&lt;&gt;"",$F37&lt;&gt;""),"OK",TRIM(IF($E37="","unmatched code ","")&amp;IF($F37="","unmatched person",""))))</f>
        <v/>
      </c>
      <c r="N37" s="66" t="n"/>
      <c r="O37" s="66" t="n"/>
    </row>
    <row r="38">
      <c r="A38" s="31" t="n"/>
      <c r="B38" s="31" t="n"/>
      <c r="C38" s="31" t="n"/>
      <c r="D38" s="31" t="n"/>
      <c r="E38" s="16">
        <f>IF($A38="","",IF(COUNTIF(Deals!$A$2:$A$355,$A38)&gt;0,$A38,""))</f>
        <v/>
      </c>
      <c r="F38" s="16">
        <f>IF($B38="","",IFERROR(INDEX(Roster!$A$2:$A$40,MATCH($B38,Roster!$A$2:$A$40,0)),IFERROR(IF(INDEX(MapTracker,MATCH($B38,MapNetSuite,0))=0,"",INDEX(MapTracker,MATCH($B38,MapNetSuite,0))),"")))</f>
        <v/>
      </c>
      <c r="G38" s="16">
        <f>IF($F38="","",IFERROR(INDEX(Roster!$B$2:$B$40,MATCH($F38,Roster!$A$2:$A$40,0)),""))</f>
        <v/>
      </c>
      <c r="H38" s="16">
        <f>IF($E38="","",IFERROR(IF(INDEX(Deals!$U$2:$U$355,MATCH($E38,Deals!$A$2:$A$355,0))=0,"",INDEX(Deals!$U$2:$U$355,MATCH($E38,Deals!$A$2:$A$355,0))),""))</f>
        <v/>
      </c>
      <c r="I38" s="18">
        <f>IF(OR($E38="",$F38=""),"",SUMIFS(Assignments!$I$2:$I$769,Assignments!$A$2:$A$769,$F38,Assignments!$C$2:$C$769,$E38))</f>
        <v/>
      </c>
      <c r="J38" s="65">
        <f>IF(OR($E38="",$F38=""),"",$D38-$I38)</f>
        <v/>
      </c>
      <c r="K38" s="20">
        <f>IF($A38="","",IF(AND($E38&lt;&gt;"",$F38&lt;&gt;""),"OK",TRIM(IF($E38="","unmatched code ","")&amp;IF($F38="","unmatched person",""))))</f>
        <v/>
      </c>
      <c r="N38" s="66" t="n"/>
      <c r="O38" s="66" t="n"/>
    </row>
    <row r="39">
      <c r="A39" s="31" t="n"/>
      <c r="B39" s="31" t="n"/>
      <c r="C39" s="31" t="n"/>
      <c r="D39" s="31" t="n"/>
      <c r="E39" s="16">
        <f>IF($A39="","",IF(COUNTIF(Deals!$A$2:$A$355,$A39)&gt;0,$A39,""))</f>
        <v/>
      </c>
      <c r="F39" s="16">
        <f>IF($B39="","",IFERROR(INDEX(Roster!$A$2:$A$40,MATCH($B39,Roster!$A$2:$A$40,0)),IFERROR(IF(INDEX(MapTracker,MATCH($B39,MapNetSuite,0))=0,"",INDEX(MapTracker,MATCH($B39,MapNetSuite,0))),"")))</f>
        <v/>
      </c>
      <c r="G39" s="16">
        <f>IF($F39="","",IFERROR(INDEX(Roster!$B$2:$B$40,MATCH($F39,Roster!$A$2:$A$40,0)),""))</f>
        <v/>
      </c>
      <c r="H39" s="16">
        <f>IF($E39="","",IFERROR(IF(INDEX(Deals!$U$2:$U$355,MATCH($E39,Deals!$A$2:$A$355,0))=0,"",INDEX(Deals!$U$2:$U$355,MATCH($E39,Deals!$A$2:$A$355,0))),""))</f>
        <v/>
      </c>
      <c r="I39" s="18">
        <f>IF(OR($E39="",$F39=""),"",SUMIFS(Assignments!$I$2:$I$769,Assignments!$A$2:$A$769,$F39,Assignments!$C$2:$C$769,$E39))</f>
        <v/>
      </c>
      <c r="J39" s="65">
        <f>IF(OR($E39="",$F39=""),"",$D39-$I39)</f>
        <v/>
      </c>
      <c r="K39" s="20">
        <f>IF($A39="","",IF(AND($E39&lt;&gt;"",$F39&lt;&gt;""),"OK",TRIM(IF($E39="","unmatched code ","")&amp;IF($F39="","unmatched person",""))))</f>
        <v/>
      </c>
      <c r="N39" s="66" t="n"/>
      <c r="O39" s="66" t="n"/>
    </row>
    <row r="40">
      <c r="A40" s="31" t="n"/>
      <c r="B40" s="31" t="n"/>
      <c r="C40" s="31" t="n"/>
      <c r="D40" s="31" t="n"/>
      <c r="E40" s="16">
        <f>IF($A40="","",IF(COUNTIF(Deals!$A$2:$A$355,$A40)&gt;0,$A40,""))</f>
        <v/>
      </c>
      <c r="F40" s="16">
        <f>IF($B40="","",IFERROR(INDEX(Roster!$A$2:$A$40,MATCH($B40,Roster!$A$2:$A$40,0)),IFERROR(IF(INDEX(MapTracker,MATCH($B40,MapNetSuite,0))=0,"",INDEX(MapTracker,MATCH($B40,MapNetSuite,0))),"")))</f>
        <v/>
      </c>
      <c r="G40" s="16">
        <f>IF($F40="","",IFERROR(INDEX(Roster!$B$2:$B$40,MATCH($F40,Roster!$A$2:$A$40,0)),""))</f>
        <v/>
      </c>
      <c r="H40" s="16">
        <f>IF($E40="","",IFERROR(IF(INDEX(Deals!$U$2:$U$355,MATCH($E40,Deals!$A$2:$A$355,0))=0,"",INDEX(Deals!$U$2:$U$355,MATCH($E40,Deals!$A$2:$A$355,0))),""))</f>
        <v/>
      </c>
      <c r="I40" s="18">
        <f>IF(OR($E40="",$F40=""),"",SUMIFS(Assignments!$I$2:$I$769,Assignments!$A$2:$A$769,$F40,Assignments!$C$2:$C$769,$E40))</f>
        <v/>
      </c>
      <c r="J40" s="65">
        <f>IF(OR($E40="",$F40=""),"",$D40-$I40)</f>
        <v/>
      </c>
      <c r="K40" s="20">
        <f>IF($A40="","",IF(AND($E40&lt;&gt;"",$F40&lt;&gt;""),"OK",TRIM(IF($E40="","unmatched code ","")&amp;IF($F40="","unmatched person",""))))</f>
        <v/>
      </c>
      <c r="N40" s="66" t="n"/>
      <c r="O40" s="66" t="n"/>
    </row>
    <row r="41">
      <c r="A41" s="31" t="n"/>
      <c r="B41" s="31" t="n"/>
      <c r="C41" s="31" t="n"/>
      <c r="D41" s="31" t="n"/>
      <c r="E41" s="16">
        <f>IF($A41="","",IF(COUNTIF(Deals!$A$2:$A$355,$A41)&gt;0,$A41,""))</f>
        <v/>
      </c>
      <c r="F41" s="16">
        <f>IF($B41="","",IFERROR(INDEX(Roster!$A$2:$A$40,MATCH($B41,Roster!$A$2:$A$40,0)),IFERROR(IF(INDEX(MapTracker,MATCH($B41,MapNetSuite,0))=0,"",INDEX(MapTracker,MATCH($B41,MapNetSuite,0))),"")))</f>
        <v/>
      </c>
      <c r="G41" s="16">
        <f>IF($F41="","",IFERROR(INDEX(Roster!$B$2:$B$40,MATCH($F41,Roster!$A$2:$A$40,0)),""))</f>
        <v/>
      </c>
      <c r="H41" s="16">
        <f>IF($E41="","",IFERROR(IF(INDEX(Deals!$U$2:$U$355,MATCH($E41,Deals!$A$2:$A$355,0))=0,"",INDEX(Deals!$U$2:$U$355,MATCH($E41,Deals!$A$2:$A$355,0))),""))</f>
        <v/>
      </c>
      <c r="I41" s="18">
        <f>IF(OR($E41="",$F41=""),"",SUMIFS(Assignments!$I$2:$I$769,Assignments!$A$2:$A$769,$F41,Assignments!$C$2:$C$769,$E41))</f>
        <v/>
      </c>
      <c r="J41" s="65">
        <f>IF(OR($E41="",$F41=""),"",$D41-$I41)</f>
        <v/>
      </c>
      <c r="K41" s="20">
        <f>IF($A41="","",IF(AND($E41&lt;&gt;"",$F41&lt;&gt;""),"OK",TRIM(IF($E41="","unmatched code ","")&amp;IF($F41="","unmatched person",""))))</f>
        <v/>
      </c>
      <c r="N41" s="66" t="n"/>
      <c r="O41" s="66" t="n"/>
    </row>
    <row r="42">
      <c r="A42" s="31" t="n"/>
      <c r="B42" s="31" t="n"/>
      <c r="C42" s="31" t="n"/>
      <c r="D42" s="31" t="n"/>
      <c r="E42" s="16">
        <f>IF($A42="","",IF(COUNTIF(Deals!$A$2:$A$355,$A42)&gt;0,$A42,""))</f>
        <v/>
      </c>
      <c r="F42" s="16">
        <f>IF($B42="","",IFERROR(INDEX(Roster!$A$2:$A$40,MATCH($B42,Roster!$A$2:$A$40,0)),IFERROR(IF(INDEX(MapTracker,MATCH($B42,MapNetSuite,0))=0,"",INDEX(MapTracker,MATCH($B42,MapNetSuite,0))),"")))</f>
        <v/>
      </c>
      <c r="G42" s="16">
        <f>IF($F42="","",IFERROR(INDEX(Roster!$B$2:$B$40,MATCH($F42,Roster!$A$2:$A$40,0)),""))</f>
        <v/>
      </c>
      <c r="H42" s="16">
        <f>IF($E42="","",IFERROR(IF(INDEX(Deals!$U$2:$U$355,MATCH($E42,Deals!$A$2:$A$355,0))=0,"",INDEX(Deals!$U$2:$U$355,MATCH($E42,Deals!$A$2:$A$355,0))),""))</f>
        <v/>
      </c>
      <c r="I42" s="18">
        <f>IF(OR($E42="",$F42=""),"",SUMIFS(Assignments!$I$2:$I$769,Assignments!$A$2:$A$769,$F42,Assignments!$C$2:$C$769,$E42))</f>
        <v/>
      </c>
      <c r="J42" s="65">
        <f>IF(OR($E42="",$F42=""),"",$D42-$I42)</f>
        <v/>
      </c>
      <c r="K42" s="20">
        <f>IF($A42="","",IF(AND($E42&lt;&gt;"",$F42&lt;&gt;""),"OK",TRIM(IF($E42="","unmatched code ","")&amp;IF($F42="","unmatched person",""))))</f>
        <v/>
      </c>
      <c r="N42" s="66" t="n"/>
      <c r="O42" s="66" t="n"/>
    </row>
    <row r="43">
      <c r="A43" s="31" t="n"/>
      <c r="B43" s="31" t="n"/>
      <c r="C43" s="31" t="n"/>
      <c r="D43" s="31" t="n"/>
      <c r="E43" s="16">
        <f>IF($A43="","",IF(COUNTIF(Deals!$A$2:$A$355,$A43)&gt;0,$A43,""))</f>
        <v/>
      </c>
      <c r="F43" s="16">
        <f>IF($B43="","",IFERROR(INDEX(Roster!$A$2:$A$40,MATCH($B43,Roster!$A$2:$A$40,0)),IFERROR(IF(INDEX(MapTracker,MATCH($B43,MapNetSuite,0))=0,"",INDEX(MapTracker,MATCH($B43,MapNetSuite,0))),"")))</f>
        <v/>
      </c>
      <c r="G43" s="16">
        <f>IF($F43="","",IFERROR(INDEX(Roster!$B$2:$B$40,MATCH($F43,Roster!$A$2:$A$40,0)),""))</f>
        <v/>
      </c>
      <c r="H43" s="16">
        <f>IF($E43="","",IFERROR(IF(INDEX(Deals!$U$2:$U$355,MATCH($E43,Deals!$A$2:$A$355,0))=0,"",INDEX(Deals!$U$2:$U$355,MATCH($E43,Deals!$A$2:$A$355,0))),""))</f>
        <v/>
      </c>
      <c r="I43" s="18">
        <f>IF(OR($E43="",$F43=""),"",SUMIFS(Assignments!$I$2:$I$769,Assignments!$A$2:$A$769,$F43,Assignments!$C$2:$C$769,$E43))</f>
        <v/>
      </c>
      <c r="J43" s="65">
        <f>IF(OR($E43="",$F43=""),"",$D43-$I43)</f>
        <v/>
      </c>
      <c r="K43" s="20">
        <f>IF($A43="","",IF(AND($E43&lt;&gt;"",$F43&lt;&gt;""),"OK",TRIM(IF($E43="","unmatched code ","")&amp;IF($F43="","unmatched person",""))))</f>
        <v/>
      </c>
      <c r="N43" s="66" t="n"/>
      <c r="O43" s="66" t="n"/>
    </row>
    <row r="44">
      <c r="A44" s="31" t="n"/>
      <c r="B44" s="31" t="n"/>
      <c r="C44" s="31" t="n"/>
      <c r="D44" s="31" t="n"/>
      <c r="E44" s="16">
        <f>IF($A44="","",IF(COUNTIF(Deals!$A$2:$A$355,$A44)&gt;0,$A44,""))</f>
        <v/>
      </c>
      <c r="F44" s="16">
        <f>IF($B44="","",IFERROR(INDEX(Roster!$A$2:$A$40,MATCH($B44,Roster!$A$2:$A$40,0)),IFERROR(IF(INDEX(MapTracker,MATCH($B44,MapNetSuite,0))=0,"",INDEX(MapTracker,MATCH($B44,MapNetSuite,0))),"")))</f>
        <v/>
      </c>
      <c r="G44" s="16">
        <f>IF($F44="","",IFERROR(INDEX(Roster!$B$2:$B$40,MATCH($F44,Roster!$A$2:$A$40,0)),""))</f>
        <v/>
      </c>
      <c r="H44" s="16">
        <f>IF($E44="","",IFERROR(IF(INDEX(Deals!$U$2:$U$355,MATCH($E44,Deals!$A$2:$A$355,0))=0,"",INDEX(Deals!$U$2:$U$355,MATCH($E44,Deals!$A$2:$A$355,0))),""))</f>
        <v/>
      </c>
      <c r="I44" s="18">
        <f>IF(OR($E44="",$F44=""),"",SUMIFS(Assignments!$I$2:$I$769,Assignments!$A$2:$A$769,$F44,Assignments!$C$2:$C$769,$E44))</f>
        <v/>
      </c>
      <c r="J44" s="65">
        <f>IF(OR($E44="",$F44=""),"",$D44-$I44)</f>
        <v/>
      </c>
      <c r="K44" s="20">
        <f>IF($A44="","",IF(AND($E44&lt;&gt;"",$F44&lt;&gt;""),"OK",TRIM(IF($E44="","unmatched code ","")&amp;IF($F44="","unmatched person",""))))</f>
        <v/>
      </c>
      <c r="N44" s="66" t="n"/>
      <c r="O44" s="66" t="n"/>
    </row>
    <row r="45">
      <c r="A45" s="31" t="n"/>
      <c r="B45" s="31" t="n"/>
      <c r="C45" s="31" t="n"/>
      <c r="D45" s="31" t="n"/>
      <c r="E45" s="16">
        <f>IF($A45="","",IF(COUNTIF(Deals!$A$2:$A$355,$A45)&gt;0,$A45,""))</f>
        <v/>
      </c>
      <c r="F45" s="16">
        <f>IF($B45="","",IFERROR(INDEX(Roster!$A$2:$A$40,MATCH($B45,Roster!$A$2:$A$40,0)),IFERROR(IF(INDEX(MapTracker,MATCH($B45,MapNetSuite,0))=0,"",INDEX(MapTracker,MATCH($B45,MapNetSuite,0))),"")))</f>
        <v/>
      </c>
      <c r="G45" s="16">
        <f>IF($F45="","",IFERROR(INDEX(Roster!$B$2:$B$40,MATCH($F45,Roster!$A$2:$A$40,0)),""))</f>
        <v/>
      </c>
      <c r="H45" s="16">
        <f>IF($E45="","",IFERROR(IF(INDEX(Deals!$U$2:$U$355,MATCH($E45,Deals!$A$2:$A$355,0))=0,"",INDEX(Deals!$U$2:$U$355,MATCH($E45,Deals!$A$2:$A$355,0))),""))</f>
        <v/>
      </c>
      <c r="I45" s="18">
        <f>IF(OR($E45="",$F45=""),"",SUMIFS(Assignments!$I$2:$I$769,Assignments!$A$2:$A$769,$F45,Assignments!$C$2:$C$769,$E45))</f>
        <v/>
      </c>
      <c r="J45" s="65">
        <f>IF(OR($E45="",$F45=""),"",$D45-$I45)</f>
        <v/>
      </c>
      <c r="K45" s="20">
        <f>IF($A45="","",IF(AND($E45&lt;&gt;"",$F45&lt;&gt;""),"OK",TRIM(IF($E45="","unmatched code ","")&amp;IF($F45="","unmatched person",""))))</f>
        <v/>
      </c>
    </row>
    <row r="46">
      <c r="A46" s="31" t="n"/>
      <c r="B46" s="31" t="n"/>
      <c r="C46" s="31" t="n"/>
      <c r="D46" s="31" t="n"/>
      <c r="E46" s="16">
        <f>IF($A46="","",IF(COUNTIF(Deals!$A$2:$A$355,$A46)&gt;0,$A46,""))</f>
        <v/>
      </c>
      <c r="F46" s="16">
        <f>IF($B46="","",IFERROR(INDEX(Roster!$A$2:$A$40,MATCH($B46,Roster!$A$2:$A$40,0)),IFERROR(IF(INDEX(MapTracker,MATCH($B46,MapNetSuite,0))=0,"",INDEX(MapTracker,MATCH($B46,MapNetSuite,0))),"")))</f>
        <v/>
      </c>
      <c r="G46" s="16">
        <f>IF($F46="","",IFERROR(INDEX(Roster!$B$2:$B$40,MATCH($F46,Roster!$A$2:$A$40,0)),""))</f>
        <v/>
      </c>
      <c r="H46" s="16">
        <f>IF($E46="","",IFERROR(IF(INDEX(Deals!$U$2:$U$355,MATCH($E46,Deals!$A$2:$A$355,0))=0,"",INDEX(Deals!$U$2:$U$355,MATCH($E46,Deals!$A$2:$A$355,0))),""))</f>
        <v/>
      </c>
      <c r="I46" s="18">
        <f>IF(OR($E46="",$F46=""),"",SUMIFS(Assignments!$I$2:$I$769,Assignments!$A$2:$A$769,$F46,Assignments!$C$2:$C$769,$E46))</f>
        <v/>
      </c>
      <c r="J46" s="65">
        <f>IF(OR($E46="",$F46=""),"",$D46-$I46)</f>
        <v/>
      </c>
      <c r="K46" s="20">
        <f>IF($A46="","",IF(AND($E46&lt;&gt;"",$F46&lt;&gt;""),"OK",TRIM(IF($E46="","unmatched code ","")&amp;IF($F46="","unmatched person",""))))</f>
        <v/>
      </c>
    </row>
    <row r="47">
      <c r="A47" s="31" t="n"/>
      <c r="B47" s="31" t="n"/>
      <c r="C47" s="31" t="n"/>
      <c r="D47" s="31" t="n"/>
      <c r="E47" s="16">
        <f>IF($A47="","",IF(COUNTIF(Deals!$A$2:$A$355,$A47)&gt;0,$A47,""))</f>
        <v/>
      </c>
      <c r="F47" s="16">
        <f>IF($B47="","",IFERROR(INDEX(Roster!$A$2:$A$40,MATCH($B47,Roster!$A$2:$A$40,0)),IFERROR(IF(INDEX(MapTracker,MATCH($B47,MapNetSuite,0))=0,"",INDEX(MapTracker,MATCH($B47,MapNetSuite,0))),"")))</f>
        <v/>
      </c>
      <c r="G47" s="16">
        <f>IF($F47="","",IFERROR(INDEX(Roster!$B$2:$B$40,MATCH($F47,Roster!$A$2:$A$40,0)),""))</f>
        <v/>
      </c>
      <c r="H47" s="16">
        <f>IF($E47="","",IFERROR(IF(INDEX(Deals!$U$2:$U$355,MATCH($E47,Deals!$A$2:$A$355,0))=0,"",INDEX(Deals!$U$2:$U$355,MATCH($E47,Deals!$A$2:$A$355,0))),""))</f>
        <v/>
      </c>
      <c r="I47" s="18">
        <f>IF(OR($E47="",$F47=""),"",SUMIFS(Assignments!$I$2:$I$769,Assignments!$A$2:$A$769,$F47,Assignments!$C$2:$C$769,$E47))</f>
        <v/>
      </c>
      <c r="J47" s="65">
        <f>IF(OR($E47="",$F47=""),"",$D47-$I47)</f>
        <v/>
      </c>
      <c r="K47" s="20">
        <f>IF($A47="","",IF(AND($E47&lt;&gt;"",$F47&lt;&gt;""),"OK",TRIM(IF($E47="","unmatched code ","")&amp;IF($F47="","unmatched person",""))))</f>
        <v/>
      </c>
    </row>
    <row r="48">
      <c r="A48" s="31" t="n"/>
      <c r="B48" s="31" t="n"/>
      <c r="C48" s="31" t="n"/>
      <c r="D48" s="31" t="n"/>
      <c r="E48" s="16">
        <f>IF($A48="","",IF(COUNTIF(Deals!$A$2:$A$355,$A48)&gt;0,$A48,""))</f>
        <v/>
      </c>
      <c r="F48" s="16">
        <f>IF($B48="","",IFERROR(INDEX(Roster!$A$2:$A$40,MATCH($B48,Roster!$A$2:$A$40,0)),IFERROR(IF(INDEX(MapTracker,MATCH($B48,MapNetSuite,0))=0,"",INDEX(MapTracker,MATCH($B48,MapNetSuite,0))),"")))</f>
        <v/>
      </c>
      <c r="G48" s="16">
        <f>IF($F48="","",IFERROR(INDEX(Roster!$B$2:$B$40,MATCH($F48,Roster!$A$2:$A$40,0)),""))</f>
        <v/>
      </c>
      <c r="H48" s="16">
        <f>IF($E48="","",IFERROR(IF(INDEX(Deals!$U$2:$U$355,MATCH($E48,Deals!$A$2:$A$355,0))=0,"",INDEX(Deals!$U$2:$U$355,MATCH($E48,Deals!$A$2:$A$355,0))),""))</f>
        <v/>
      </c>
      <c r="I48" s="18">
        <f>IF(OR($E48="",$F48=""),"",SUMIFS(Assignments!$I$2:$I$769,Assignments!$A$2:$A$769,$F48,Assignments!$C$2:$C$769,$E48))</f>
        <v/>
      </c>
      <c r="J48" s="65">
        <f>IF(OR($E48="",$F48=""),"",$D48-$I48)</f>
        <v/>
      </c>
      <c r="K48" s="20">
        <f>IF($A48="","",IF(AND($E48&lt;&gt;"",$F48&lt;&gt;""),"OK",TRIM(IF($E48="","unmatched code ","")&amp;IF($F48="","unmatched person",""))))</f>
        <v/>
      </c>
    </row>
    <row r="49">
      <c r="A49" s="31" t="n"/>
      <c r="B49" s="31" t="n"/>
      <c r="C49" s="31" t="n"/>
      <c r="D49" s="31" t="n"/>
      <c r="E49" s="16">
        <f>IF($A49="","",IF(COUNTIF(Deals!$A$2:$A$355,$A49)&gt;0,$A49,""))</f>
        <v/>
      </c>
      <c r="F49" s="16">
        <f>IF($B49="","",IFERROR(INDEX(Roster!$A$2:$A$40,MATCH($B49,Roster!$A$2:$A$40,0)),IFERROR(IF(INDEX(MapTracker,MATCH($B49,MapNetSuite,0))=0,"",INDEX(MapTracker,MATCH($B49,MapNetSuite,0))),"")))</f>
        <v/>
      </c>
      <c r="G49" s="16">
        <f>IF($F49="","",IFERROR(INDEX(Roster!$B$2:$B$40,MATCH($F49,Roster!$A$2:$A$40,0)),""))</f>
        <v/>
      </c>
      <c r="H49" s="16">
        <f>IF($E49="","",IFERROR(IF(INDEX(Deals!$U$2:$U$355,MATCH($E49,Deals!$A$2:$A$355,0))=0,"",INDEX(Deals!$U$2:$U$355,MATCH($E49,Deals!$A$2:$A$355,0))),""))</f>
        <v/>
      </c>
      <c r="I49" s="18">
        <f>IF(OR($E49="",$F49=""),"",SUMIFS(Assignments!$I$2:$I$769,Assignments!$A$2:$A$769,$F49,Assignments!$C$2:$C$769,$E49))</f>
        <v/>
      </c>
      <c r="J49" s="65">
        <f>IF(OR($E49="",$F49=""),"",$D49-$I49)</f>
        <v/>
      </c>
      <c r="K49" s="20">
        <f>IF($A49="","",IF(AND($E49&lt;&gt;"",$F49&lt;&gt;""),"OK",TRIM(IF($E49="","unmatched code ","")&amp;IF($F49="","unmatched person",""))))</f>
        <v/>
      </c>
    </row>
    <row r="50">
      <c r="A50" s="31" t="n"/>
      <c r="B50" s="31" t="n"/>
      <c r="C50" s="31" t="n"/>
      <c r="D50" s="31" t="n"/>
      <c r="E50" s="16">
        <f>IF($A50="","",IF(COUNTIF(Deals!$A$2:$A$355,$A50)&gt;0,$A50,""))</f>
        <v/>
      </c>
      <c r="F50" s="16">
        <f>IF($B50="","",IFERROR(INDEX(Roster!$A$2:$A$40,MATCH($B50,Roster!$A$2:$A$40,0)),IFERROR(IF(INDEX(MapTracker,MATCH($B50,MapNetSuite,0))=0,"",INDEX(MapTracker,MATCH($B50,MapNetSuite,0))),"")))</f>
        <v/>
      </c>
      <c r="G50" s="16">
        <f>IF($F50="","",IFERROR(INDEX(Roster!$B$2:$B$40,MATCH($F50,Roster!$A$2:$A$40,0)),""))</f>
        <v/>
      </c>
      <c r="H50" s="16">
        <f>IF($E50="","",IFERROR(IF(INDEX(Deals!$U$2:$U$355,MATCH($E50,Deals!$A$2:$A$355,0))=0,"",INDEX(Deals!$U$2:$U$355,MATCH($E50,Deals!$A$2:$A$355,0))),""))</f>
        <v/>
      </c>
      <c r="I50" s="18">
        <f>IF(OR($E50="",$F50=""),"",SUMIFS(Assignments!$I$2:$I$769,Assignments!$A$2:$A$769,$F50,Assignments!$C$2:$C$769,$E50))</f>
        <v/>
      </c>
      <c r="J50" s="65">
        <f>IF(OR($E50="",$F50=""),"",$D50-$I50)</f>
        <v/>
      </c>
      <c r="K50" s="20">
        <f>IF($A50="","",IF(AND($E50&lt;&gt;"",$F50&lt;&gt;""),"OK",TRIM(IF($E50="","unmatched code ","")&amp;IF($F50="","unmatched person",""))))</f>
        <v/>
      </c>
    </row>
    <row r="51">
      <c r="A51" s="31" t="n"/>
      <c r="B51" s="31" t="n"/>
      <c r="C51" s="31" t="n"/>
      <c r="D51" s="31" t="n"/>
      <c r="E51" s="16">
        <f>IF($A51="","",IF(COUNTIF(Deals!$A$2:$A$355,$A51)&gt;0,$A51,""))</f>
        <v/>
      </c>
      <c r="F51" s="16">
        <f>IF($B51="","",IFERROR(INDEX(Roster!$A$2:$A$40,MATCH($B51,Roster!$A$2:$A$40,0)),IFERROR(IF(INDEX(MapTracker,MATCH($B51,MapNetSuite,0))=0,"",INDEX(MapTracker,MATCH($B51,MapNetSuite,0))),"")))</f>
        <v/>
      </c>
      <c r="G51" s="16">
        <f>IF($F51="","",IFERROR(INDEX(Roster!$B$2:$B$40,MATCH($F51,Roster!$A$2:$A$40,0)),""))</f>
        <v/>
      </c>
      <c r="H51" s="16">
        <f>IF($E51="","",IFERROR(IF(INDEX(Deals!$U$2:$U$355,MATCH($E51,Deals!$A$2:$A$355,0))=0,"",INDEX(Deals!$U$2:$U$355,MATCH($E51,Deals!$A$2:$A$355,0))),""))</f>
        <v/>
      </c>
      <c r="I51" s="18">
        <f>IF(OR($E51="",$F51=""),"",SUMIFS(Assignments!$I$2:$I$769,Assignments!$A$2:$A$769,$F51,Assignments!$C$2:$C$769,$E51))</f>
        <v/>
      </c>
      <c r="J51" s="65">
        <f>IF(OR($E51="",$F51=""),"",$D51-$I51)</f>
        <v/>
      </c>
      <c r="K51" s="20">
        <f>IF($A51="","",IF(AND($E51&lt;&gt;"",$F51&lt;&gt;""),"OK",TRIM(IF($E51="","unmatched code ","")&amp;IF($F51="","unmatched person",""))))</f>
        <v/>
      </c>
    </row>
    <row r="52">
      <c r="A52" s="31" t="n"/>
      <c r="B52" s="31" t="n"/>
      <c r="C52" s="31" t="n"/>
      <c r="D52" s="31" t="n"/>
      <c r="E52" s="16">
        <f>IF($A52="","",IF(COUNTIF(Deals!$A$2:$A$355,$A52)&gt;0,$A52,""))</f>
        <v/>
      </c>
      <c r="F52" s="16">
        <f>IF($B52="","",IFERROR(INDEX(Roster!$A$2:$A$40,MATCH($B52,Roster!$A$2:$A$40,0)),IFERROR(IF(INDEX(MapTracker,MATCH($B52,MapNetSuite,0))=0,"",INDEX(MapTracker,MATCH($B52,MapNetSuite,0))),"")))</f>
        <v/>
      </c>
      <c r="G52" s="16">
        <f>IF($F52="","",IFERROR(INDEX(Roster!$B$2:$B$40,MATCH($F52,Roster!$A$2:$A$40,0)),""))</f>
        <v/>
      </c>
      <c r="H52" s="16">
        <f>IF($E52="","",IFERROR(IF(INDEX(Deals!$U$2:$U$355,MATCH($E52,Deals!$A$2:$A$355,0))=0,"",INDEX(Deals!$U$2:$U$355,MATCH($E52,Deals!$A$2:$A$355,0))),""))</f>
        <v/>
      </c>
      <c r="I52" s="18">
        <f>IF(OR($E52="",$F52=""),"",SUMIFS(Assignments!$I$2:$I$769,Assignments!$A$2:$A$769,$F52,Assignments!$C$2:$C$769,$E52))</f>
        <v/>
      </c>
      <c r="J52" s="65">
        <f>IF(OR($E52="",$F52=""),"",$D52-$I52)</f>
        <v/>
      </c>
      <c r="K52" s="20">
        <f>IF($A52="","",IF(AND($E52&lt;&gt;"",$F52&lt;&gt;""),"OK",TRIM(IF($E52="","unmatched code ","")&amp;IF($F52="","unmatched person",""))))</f>
        <v/>
      </c>
    </row>
    <row r="53">
      <c r="A53" s="31" t="n"/>
      <c r="B53" s="31" t="n"/>
      <c r="C53" s="31" t="n"/>
      <c r="D53" s="31" t="n"/>
      <c r="E53" s="16">
        <f>IF($A53="","",IF(COUNTIF(Deals!$A$2:$A$355,$A53)&gt;0,$A53,""))</f>
        <v/>
      </c>
      <c r="F53" s="16">
        <f>IF($B53="","",IFERROR(INDEX(Roster!$A$2:$A$40,MATCH($B53,Roster!$A$2:$A$40,0)),IFERROR(IF(INDEX(MapTracker,MATCH($B53,MapNetSuite,0))=0,"",INDEX(MapTracker,MATCH($B53,MapNetSuite,0))),"")))</f>
        <v/>
      </c>
      <c r="G53" s="16">
        <f>IF($F53="","",IFERROR(INDEX(Roster!$B$2:$B$40,MATCH($F53,Roster!$A$2:$A$40,0)),""))</f>
        <v/>
      </c>
      <c r="H53" s="16">
        <f>IF($E53="","",IFERROR(IF(INDEX(Deals!$U$2:$U$355,MATCH($E53,Deals!$A$2:$A$355,0))=0,"",INDEX(Deals!$U$2:$U$355,MATCH($E53,Deals!$A$2:$A$355,0))),""))</f>
        <v/>
      </c>
      <c r="I53" s="18">
        <f>IF(OR($E53="",$F53=""),"",SUMIFS(Assignments!$I$2:$I$769,Assignments!$A$2:$A$769,$F53,Assignments!$C$2:$C$769,$E53))</f>
        <v/>
      </c>
      <c r="J53" s="65">
        <f>IF(OR($E53="",$F53=""),"",$D53-$I53)</f>
        <v/>
      </c>
      <c r="K53" s="20">
        <f>IF($A53="","",IF(AND($E53&lt;&gt;"",$F53&lt;&gt;""),"OK",TRIM(IF($E53="","unmatched code ","")&amp;IF($F53="","unmatched person",""))))</f>
        <v/>
      </c>
    </row>
    <row r="54">
      <c r="A54" s="31" t="n"/>
      <c r="B54" s="31" t="n"/>
      <c r="C54" s="31" t="n"/>
      <c r="D54" s="31" t="n"/>
      <c r="E54" s="16">
        <f>IF($A54="","",IF(COUNTIF(Deals!$A$2:$A$355,$A54)&gt;0,$A54,""))</f>
        <v/>
      </c>
      <c r="F54" s="16">
        <f>IF($B54="","",IFERROR(INDEX(Roster!$A$2:$A$40,MATCH($B54,Roster!$A$2:$A$40,0)),IFERROR(IF(INDEX(MapTracker,MATCH($B54,MapNetSuite,0))=0,"",INDEX(MapTracker,MATCH($B54,MapNetSuite,0))),"")))</f>
        <v/>
      </c>
      <c r="G54" s="16">
        <f>IF($F54="","",IFERROR(INDEX(Roster!$B$2:$B$40,MATCH($F54,Roster!$A$2:$A$40,0)),""))</f>
        <v/>
      </c>
      <c r="H54" s="16">
        <f>IF($E54="","",IFERROR(IF(INDEX(Deals!$U$2:$U$355,MATCH($E54,Deals!$A$2:$A$355,0))=0,"",INDEX(Deals!$U$2:$U$355,MATCH($E54,Deals!$A$2:$A$355,0))),""))</f>
        <v/>
      </c>
      <c r="I54" s="18">
        <f>IF(OR($E54="",$F54=""),"",SUMIFS(Assignments!$I$2:$I$769,Assignments!$A$2:$A$769,$F54,Assignments!$C$2:$C$769,$E54))</f>
        <v/>
      </c>
      <c r="J54" s="65">
        <f>IF(OR($E54="",$F54=""),"",$D54-$I54)</f>
        <v/>
      </c>
      <c r="K54" s="20">
        <f>IF($A54="","",IF(AND($E54&lt;&gt;"",$F54&lt;&gt;""),"OK",TRIM(IF($E54="","unmatched code ","")&amp;IF($F54="","unmatched person",""))))</f>
        <v/>
      </c>
    </row>
    <row r="55">
      <c r="A55" s="31" t="n"/>
      <c r="B55" s="31" t="n"/>
      <c r="C55" s="31" t="n"/>
      <c r="D55" s="31" t="n"/>
      <c r="E55" s="16">
        <f>IF($A55="","",IF(COUNTIF(Deals!$A$2:$A$355,$A55)&gt;0,$A55,""))</f>
        <v/>
      </c>
      <c r="F55" s="16">
        <f>IF($B55="","",IFERROR(INDEX(Roster!$A$2:$A$40,MATCH($B55,Roster!$A$2:$A$40,0)),IFERROR(IF(INDEX(MapTracker,MATCH($B55,MapNetSuite,0))=0,"",INDEX(MapTracker,MATCH($B55,MapNetSuite,0))),"")))</f>
        <v/>
      </c>
      <c r="G55" s="16">
        <f>IF($F55="","",IFERROR(INDEX(Roster!$B$2:$B$40,MATCH($F55,Roster!$A$2:$A$40,0)),""))</f>
        <v/>
      </c>
      <c r="H55" s="16">
        <f>IF($E55="","",IFERROR(IF(INDEX(Deals!$U$2:$U$355,MATCH($E55,Deals!$A$2:$A$355,0))=0,"",INDEX(Deals!$U$2:$U$355,MATCH($E55,Deals!$A$2:$A$355,0))),""))</f>
        <v/>
      </c>
      <c r="I55" s="18">
        <f>IF(OR($E55="",$F55=""),"",SUMIFS(Assignments!$I$2:$I$769,Assignments!$A$2:$A$769,$F55,Assignments!$C$2:$C$769,$E55))</f>
        <v/>
      </c>
      <c r="J55" s="65">
        <f>IF(OR($E55="",$F55=""),"",$D55-$I55)</f>
        <v/>
      </c>
      <c r="K55" s="20">
        <f>IF($A55="","",IF(AND($E55&lt;&gt;"",$F55&lt;&gt;""),"OK",TRIM(IF($E55="","unmatched code ","")&amp;IF($F55="","unmatched person",""))))</f>
        <v/>
      </c>
    </row>
    <row r="56">
      <c r="A56" s="31" t="n"/>
      <c r="B56" s="31" t="n"/>
      <c r="C56" s="31" t="n"/>
      <c r="D56" s="31" t="n"/>
      <c r="E56" s="16">
        <f>IF($A56="","",IF(COUNTIF(Deals!$A$2:$A$355,$A56)&gt;0,$A56,""))</f>
        <v/>
      </c>
      <c r="F56" s="16">
        <f>IF($B56="","",IFERROR(INDEX(Roster!$A$2:$A$40,MATCH($B56,Roster!$A$2:$A$40,0)),IFERROR(IF(INDEX(MapTracker,MATCH($B56,MapNetSuite,0))=0,"",INDEX(MapTracker,MATCH($B56,MapNetSuite,0))),"")))</f>
        <v/>
      </c>
      <c r="G56" s="16">
        <f>IF($F56="","",IFERROR(INDEX(Roster!$B$2:$B$40,MATCH($F56,Roster!$A$2:$A$40,0)),""))</f>
        <v/>
      </c>
      <c r="H56" s="16">
        <f>IF($E56="","",IFERROR(IF(INDEX(Deals!$U$2:$U$355,MATCH($E56,Deals!$A$2:$A$355,0))=0,"",INDEX(Deals!$U$2:$U$355,MATCH($E56,Deals!$A$2:$A$355,0))),""))</f>
        <v/>
      </c>
      <c r="I56" s="18">
        <f>IF(OR($E56="",$F56=""),"",SUMIFS(Assignments!$I$2:$I$769,Assignments!$A$2:$A$769,$F56,Assignments!$C$2:$C$769,$E56))</f>
        <v/>
      </c>
      <c r="J56" s="65">
        <f>IF(OR($E56="",$F56=""),"",$D56-$I56)</f>
        <v/>
      </c>
      <c r="K56" s="20">
        <f>IF($A56="","",IF(AND($E56&lt;&gt;"",$F56&lt;&gt;""),"OK",TRIM(IF($E56="","unmatched code ","")&amp;IF($F56="","unmatched person",""))))</f>
        <v/>
      </c>
    </row>
    <row r="57">
      <c r="A57" s="31" t="n"/>
      <c r="B57" s="31" t="n"/>
      <c r="C57" s="31" t="n"/>
      <c r="D57" s="31" t="n"/>
      <c r="E57" s="16">
        <f>IF($A57="","",IF(COUNTIF(Deals!$A$2:$A$355,$A57)&gt;0,$A57,""))</f>
        <v/>
      </c>
      <c r="F57" s="16">
        <f>IF($B57="","",IFERROR(INDEX(Roster!$A$2:$A$40,MATCH($B57,Roster!$A$2:$A$40,0)),IFERROR(IF(INDEX(MapTracker,MATCH($B57,MapNetSuite,0))=0,"",INDEX(MapTracker,MATCH($B57,MapNetSuite,0))),"")))</f>
        <v/>
      </c>
      <c r="G57" s="16">
        <f>IF($F57="","",IFERROR(INDEX(Roster!$B$2:$B$40,MATCH($F57,Roster!$A$2:$A$40,0)),""))</f>
        <v/>
      </c>
      <c r="H57" s="16">
        <f>IF($E57="","",IFERROR(IF(INDEX(Deals!$U$2:$U$355,MATCH($E57,Deals!$A$2:$A$355,0))=0,"",INDEX(Deals!$U$2:$U$355,MATCH($E57,Deals!$A$2:$A$355,0))),""))</f>
        <v/>
      </c>
      <c r="I57" s="18">
        <f>IF(OR($E57="",$F57=""),"",SUMIFS(Assignments!$I$2:$I$769,Assignments!$A$2:$A$769,$F57,Assignments!$C$2:$C$769,$E57))</f>
        <v/>
      </c>
      <c r="J57" s="65">
        <f>IF(OR($E57="",$F57=""),"",$D57-$I57)</f>
        <v/>
      </c>
      <c r="K57" s="20">
        <f>IF($A57="","",IF(AND($E57&lt;&gt;"",$F57&lt;&gt;""),"OK",TRIM(IF($E57="","unmatched code ","")&amp;IF($F57="","unmatched person",""))))</f>
        <v/>
      </c>
    </row>
    <row r="58">
      <c r="A58" s="31" t="n"/>
      <c r="B58" s="31" t="n"/>
      <c r="C58" s="31" t="n"/>
      <c r="D58" s="31" t="n"/>
      <c r="E58" s="16">
        <f>IF($A58="","",IF(COUNTIF(Deals!$A$2:$A$355,$A58)&gt;0,$A58,""))</f>
        <v/>
      </c>
      <c r="F58" s="16">
        <f>IF($B58="","",IFERROR(INDEX(Roster!$A$2:$A$40,MATCH($B58,Roster!$A$2:$A$40,0)),IFERROR(IF(INDEX(MapTracker,MATCH($B58,MapNetSuite,0))=0,"",INDEX(MapTracker,MATCH($B58,MapNetSuite,0))),"")))</f>
        <v/>
      </c>
      <c r="G58" s="16">
        <f>IF($F58="","",IFERROR(INDEX(Roster!$B$2:$B$40,MATCH($F58,Roster!$A$2:$A$40,0)),""))</f>
        <v/>
      </c>
      <c r="H58" s="16">
        <f>IF($E58="","",IFERROR(IF(INDEX(Deals!$U$2:$U$355,MATCH($E58,Deals!$A$2:$A$355,0))=0,"",INDEX(Deals!$U$2:$U$355,MATCH($E58,Deals!$A$2:$A$355,0))),""))</f>
        <v/>
      </c>
      <c r="I58" s="18">
        <f>IF(OR($E58="",$F58=""),"",SUMIFS(Assignments!$I$2:$I$769,Assignments!$A$2:$A$769,$F58,Assignments!$C$2:$C$769,$E58))</f>
        <v/>
      </c>
      <c r="J58" s="65">
        <f>IF(OR($E58="",$F58=""),"",$D58-$I58)</f>
        <v/>
      </c>
      <c r="K58" s="20">
        <f>IF($A58="","",IF(AND($E58&lt;&gt;"",$F58&lt;&gt;""),"OK",TRIM(IF($E58="","unmatched code ","")&amp;IF($F58="","unmatched person",""))))</f>
        <v/>
      </c>
    </row>
    <row r="59">
      <c r="A59" s="31" t="n"/>
      <c r="B59" s="31" t="n"/>
      <c r="C59" s="31" t="n"/>
      <c r="D59" s="31" t="n"/>
      <c r="E59" s="16">
        <f>IF($A59="","",IF(COUNTIF(Deals!$A$2:$A$355,$A59)&gt;0,$A59,""))</f>
        <v/>
      </c>
      <c r="F59" s="16">
        <f>IF($B59="","",IFERROR(INDEX(Roster!$A$2:$A$40,MATCH($B59,Roster!$A$2:$A$40,0)),IFERROR(IF(INDEX(MapTracker,MATCH($B59,MapNetSuite,0))=0,"",INDEX(MapTracker,MATCH($B59,MapNetSuite,0))),"")))</f>
        <v/>
      </c>
      <c r="G59" s="16">
        <f>IF($F59="","",IFERROR(INDEX(Roster!$B$2:$B$40,MATCH($F59,Roster!$A$2:$A$40,0)),""))</f>
        <v/>
      </c>
      <c r="H59" s="16">
        <f>IF($E59="","",IFERROR(IF(INDEX(Deals!$U$2:$U$355,MATCH($E59,Deals!$A$2:$A$355,0))=0,"",INDEX(Deals!$U$2:$U$355,MATCH($E59,Deals!$A$2:$A$355,0))),""))</f>
        <v/>
      </c>
      <c r="I59" s="18">
        <f>IF(OR($E59="",$F59=""),"",SUMIFS(Assignments!$I$2:$I$769,Assignments!$A$2:$A$769,$F59,Assignments!$C$2:$C$769,$E59))</f>
        <v/>
      </c>
      <c r="J59" s="65">
        <f>IF(OR($E59="",$F59=""),"",$D59-$I59)</f>
        <v/>
      </c>
      <c r="K59" s="20">
        <f>IF($A59="","",IF(AND($E59&lt;&gt;"",$F59&lt;&gt;""),"OK",TRIM(IF($E59="","unmatched code ","")&amp;IF($F59="","unmatched person",""))))</f>
        <v/>
      </c>
    </row>
    <row r="60">
      <c r="A60" s="31" t="n"/>
      <c r="B60" s="31" t="n"/>
      <c r="C60" s="31" t="n"/>
      <c r="D60" s="31" t="n"/>
      <c r="E60" s="16">
        <f>IF($A60="","",IF(COUNTIF(Deals!$A$2:$A$355,$A60)&gt;0,$A60,""))</f>
        <v/>
      </c>
      <c r="F60" s="16">
        <f>IF($B60="","",IFERROR(INDEX(Roster!$A$2:$A$40,MATCH($B60,Roster!$A$2:$A$40,0)),IFERROR(IF(INDEX(MapTracker,MATCH($B60,MapNetSuite,0))=0,"",INDEX(MapTracker,MATCH($B60,MapNetSuite,0))),"")))</f>
        <v/>
      </c>
      <c r="G60" s="16">
        <f>IF($F60="","",IFERROR(INDEX(Roster!$B$2:$B$40,MATCH($F60,Roster!$A$2:$A$40,0)),""))</f>
        <v/>
      </c>
      <c r="H60" s="16">
        <f>IF($E60="","",IFERROR(IF(INDEX(Deals!$U$2:$U$355,MATCH($E60,Deals!$A$2:$A$355,0))=0,"",INDEX(Deals!$U$2:$U$355,MATCH($E60,Deals!$A$2:$A$355,0))),""))</f>
        <v/>
      </c>
      <c r="I60" s="18">
        <f>IF(OR($E60="",$F60=""),"",SUMIFS(Assignments!$I$2:$I$769,Assignments!$A$2:$A$769,$F60,Assignments!$C$2:$C$769,$E60))</f>
        <v/>
      </c>
      <c r="J60" s="65">
        <f>IF(OR($E60="",$F60=""),"",$D60-$I60)</f>
        <v/>
      </c>
      <c r="K60" s="20">
        <f>IF($A60="","",IF(AND($E60&lt;&gt;"",$F60&lt;&gt;""),"OK",TRIM(IF($E60="","unmatched code ","")&amp;IF($F60="","unmatched person",""))))</f>
        <v/>
      </c>
    </row>
    <row r="61">
      <c r="A61" s="31" t="n"/>
      <c r="B61" s="31" t="n"/>
      <c r="C61" s="31" t="n"/>
      <c r="D61" s="31" t="n"/>
      <c r="E61" s="16">
        <f>IF($A61="","",IF(COUNTIF(Deals!$A$2:$A$355,$A61)&gt;0,$A61,""))</f>
        <v/>
      </c>
      <c r="F61" s="16">
        <f>IF($B61="","",IFERROR(INDEX(Roster!$A$2:$A$40,MATCH($B61,Roster!$A$2:$A$40,0)),IFERROR(IF(INDEX(MapTracker,MATCH($B61,MapNetSuite,0))=0,"",INDEX(MapTracker,MATCH($B61,MapNetSuite,0))),"")))</f>
        <v/>
      </c>
      <c r="G61" s="16">
        <f>IF($F61="","",IFERROR(INDEX(Roster!$B$2:$B$40,MATCH($F61,Roster!$A$2:$A$40,0)),""))</f>
        <v/>
      </c>
      <c r="H61" s="16">
        <f>IF($E61="","",IFERROR(IF(INDEX(Deals!$U$2:$U$355,MATCH($E61,Deals!$A$2:$A$355,0))=0,"",INDEX(Deals!$U$2:$U$355,MATCH($E61,Deals!$A$2:$A$355,0))),""))</f>
        <v/>
      </c>
      <c r="I61" s="18">
        <f>IF(OR($E61="",$F61=""),"",SUMIFS(Assignments!$I$2:$I$769,Assignments!$A$2:$A$769,$F61,Assignments!$C$2:$C$769,$E61))</f>
        <v/>
      </c>
      <c r="J61" s="65">
        <f>IF(OR($E61="",$F61=""),"",$D61-$I61)</f>
        <v/>
      </c>
      <c r="K61" s="20">
        <f>IF($A61="","",IF(AND($E61&lt;&gt;"",$F61&lt;&gt;""),"OK",TRIM(IF($E61="","unmatched code ","")&amp;IF($F61="","unmatched person",""))))</f>
        <v/>
      </c>
    </row>
    <row r="62">
      <c r="A62" s="31" t="n"/>
      <c r="B62" s="31" t="n"/>
      <c r="C62" s="31" t="n"/>
      <c r="D62" s="31" t="n"/>
      <c r="E62" s="16">
        <f>IF($A62="","",IF(COUNTIF(Deals!$A$2:$A$355,$A62)&gt;0,$A62,""))</f>
        <v/>
      </c>
      <c r="F62" s="16">
        <f>IF($B62="","",IFERROR(INDEX(Roster!$A$2:$A$40,MATCH($B62,Roster!$A$2:$A$40,0)),IFERROR(IF(INDEX(MapTracker,MATCH($B62,MapNetSuite,0))=0,"",INDEX(MapTracker,MATCH($B62,MapNetSuite,0))),"")))</f>
        <v/>
      </c>
      <c r="G62" s="16">
        <f>IF($F62="","",IFERROR(INDEX(Roster!$B$2:$B$40,MATCH($F62,Roster!$A$2:$A$40,0)),""))</f>
        <v/>
      </c>
      <c r="H62" s="16">
        <f>IF($E62="","",IFERROR(IF(INDEX(Deals!$U$2:$U$355,MATCH($E62,Deals!$A$2:$A$355,0))=0,"",INDEX(Deals!$U$2:$U$355,MATCH($E62,Deals!$A$2:$A$355,0))),""))</f>
        <v/>
      </c>
      <c r="I62" s="18">
        <f>IF(OR($E62="",$F62=""),"",SUMIFS(Assignments!$I$2:$I$769,Assignments!$A$2:$A$769,$F62,Assignments!$C$2:$C$769,$E62))</f>
        <v/>
      </c>
      <c r="J62" s="65">
        <f>IF(OR($E62="",$F62=""),"",$D62-$I62)</f>
        <v/>
      </c>
      <c r="K62" s="20">
        <f>IF($A62="","",IF(AND($E62&lt;&gt;"",$F62&lt;&gt;""),"OK",TRIM(IF($E62="","unmatched code ","")&amp;IF($F62="","unmatched person",""))))</f>
        <v/>
      </c>
    </row>
    <row r="63">
      <c r="A63" s="31" t="n"/>
      <c r="B63" s="31" t="n"/>
      <c r="C63" s="31" t="n"/>
      <c r="D63" s="31" t="n"/>
      <c r="E63" s="16">
        <f>IF($A63="","",IF(COUNTIF(Deals!$A$2:$A$355,$A63)&gt;0,$A63,""))</f>
        <v/>
      </c>
      <c r="F63" s="16">
        <f>IF($B63="","",IFERROR(INDEX(Roster!$A$2:$A$40,MATCH($B63,Roster!$A$2:$A$40,0)),IFERROR(IF(INDEX(MapTracker,MATCH($B63,MapNetSuite,0))=0,"",INDEX(MapTracker,MATCH($B63,MapNetSuite,0))),"")))</f>
        <v/>
      </c>
      <c r="G63" s="16">
        <f>IF($F63="","",IFERROR(INDEX(Roster!$B$2:$B$40,MATCH($F63,Roster!$A$2:$A$40,0)),""))</f>
        <v/>
      </c>
      <c r="H63" s="16">
        <f>IF($E63="","",IFERROR(IF(INDEX(Deals!$U$2:$U$355,MATCH($E63,Deals!$A$2:$A$355,0))=0,"",INDEX(Deals!$U$2:$U$355,MATCH($E63,Deals!$A$2:$A$355,0))),""))</f>
        <v/>
      </c>
      <c r="I63" s="18">
        <f>IF(OR($E63="",$F63=""),"",SUMIFS(Assignments!$I$2:$I$769,Assignments!$A$2:$A$769,$F63,Assignments!$C$2:$C$769,$E63))</f>
        <v/>
      </c>
      <c r="J63" s="65">
        <f>IF(OR($E63="",$F63=""),"",$D63-$I63)</f>
        <v/>
      </c>
      <c r="K63" s="20">
        <f>IF($A63="","",IF(AND($E63&lt;&gt;"",$F63&lt;&gt;""),"OK",TRIM(IF($E63="","unmatched code ","")&amp;IF($F63="","unmatched person",""))))</f>
        <v/>
      </c>
    </row>
    <row r="64">
      <c r="A64" s="31" t="n"/>
      <c r="B64" s="31" t="n"/>
      <c r="C64" s="31" t="n"/>
      <c r="D64" s="31" t="n"/>
      <c r="E64" s="16">
        <f>IF($A64="","",IF(COUNTIF(Deals!$A$2:$A$355,$A64)&gt;0,$A64,""))</f>
        <v/>
      </c>
      <c r="F64" s="16">
        <f>IF($B64="","",IFERROR(INDEX(Roster!$A$2:$A$40,MATCH($B64,Roster!$A$2:$A$40,0)),IFERROR(IF(INDEX(MapTracker,MATCH($B64,MapNetSuite,0))=0,"",INDEX(MapTracker,MATCH($B64,MapNetSuite,0))),"")))</f>
        <v/>
      </c>
      <c r="G64" s="16">
        <f>IF($F64="","",IFERROR(INDEX(Roster!$B$2:$B$40,MATCH($F64,Roster!$A$2:$A$40,0)),""))</f>
        <v/>
      </c>
      <c r="H64" s="16">
        <f>IF($E64="","",IFERROR(IF(INDEX(Deals!$U$2:$U$355,MATCH($E64,Deals!$A$2:$A$355,0))=0,"",INDEX(Deals!$U$2:$U$355,MATCH($E64,Deals!$A$2:$A$355,0))),""))</f>
        <v/>
      </c>
      <c r="I64" s="18">
        <f>IF(OR($E64="",$F64=""),"",SUMIFS(Assignments!$I$2:$I$769,Assignments!$A$2:$A$769,$F64,Assignments!$C$2:$C$769,$E64))</f>
        <v/>
      </c>
      <c r="J64" s="65">
        <f>IF(OR($E64="",$F64=""),"",$D64-$I64)</f>
        <v/>
      </c>
      <c r="K64" s="20">
        <f>IF($A64="","",IF(AND($E64&lt;&gt;"",$F64&lt;&gt;""),"OK",TRIM(IF($E64="","unmatched code ","")&amp;IF($F64="","unmatched person",""))))</f>
        <v/>
      </c>
    </row>
    <row r="65">
      <c r="A65" s="31" t="n"/>
      <c r="B65" s="31" t="n"/>
      <c r="C65" s="31" t="n"/>
      <c r="D65" s="31" t="n"/>
      <c r="E65" s="16">
        <f>IF($A65="","",IF(COUNTIF(Deals!$A$2:$A$355,$A65)&gt;0,$A65,""))</f>
        <v/>
      </c>
      <c r="F65" s="16">
        <f>IF($B65="","",IFERROR(INDEX(Roster!$A$2:$A$40,MATCH($B65,Roster!$A$2:$A$40,0)),IFERROR(IF(INDEX(MapTracker,MATCH($B65,MapNetSuite,0))=0,"",INDEX(MapTracker,MATCH($B65,MapNetSuite,0))),"")))</f>
        <v/>
      </c>
      <c r="G65" s="16">
        <f>IF($F65="","",IFERROR(INDEX(Roster!$B$2:$B$40,MATCH($F65,Roster!$A$2:$A$40,0)),""))</f>
        <v/>
      </c>
      <c r="H65" s="16">
        <f>IF($E65="","",IFERROR(IF(INDEX(Deals!$U$2:$U$355,MATCH($E65,Deals!$A$2:$A$355,0))=0,"",INDEX(Deals!$U$2:$U$355,MATCH($E65,Deals!$A$2:$A$355,0))),""))</f>
        <v/>
      </c>
      <c r="I65" s="18">
        <f>IF(OR($E65="",$F65=""),"",SUMIFS(Assignments!$I$2:$I$769,Assignments!$A$2:$A$769,$F65,Assignments!$C$2:$C$769,$E65))</f>
        <v/>
      </c>
      <c r="J65" s="65">
        <f>IF(OR($E65="",$F65=""),"",$D65-$I65)</f>
        <v/>
      </c>
      <c r="K65" s="20">
        <f>IF($A65="","",IF(AND($E65&lt;&gt;"",$F65&lt;&gt;""),"OK",TRIM(IF($E65="","unmatched code ","")&amp;IF($F65="","unmatched person",""))))</f>
        <v/>
      </c>
    </row>
    <row r="66">
      <c r="A66" s="31" t="n"/>
      <c r="B66" s="31" t="n"/>
      <c r="C66" s="31" t="n"/>
      <c r="D66" s="31" t="n"/>
      <c r="E66" s="16">
        <f>IF($A66="","",IF(COUNTIF(Deals!$A$2:$A$355,$A66)&gt;0,$A66,""))</f>
        <v/>
      </c>
      <c r="F66" s="16">
        <f>IF($B66="","",IFERROR(INDEX(Roster!$A$2:$A$40,MATCH($B66,Roster!$A$2:$A$40,0)),IFERROR(IF(INDEX(MapTracker,MATCH($B66,MapNetSuite,0))=0,"",INDEX(MapTracker,MATCH($B66,MapNetSuite,0))),"")))</f>
        <v/>
      </c>
      <c r="G66" s="16">
        <f>IF($F66="","",IFERROR(INDEX(Roster!$B$2:$B$40,MATCH($F66,Roster!$A$2:$A$40,0)),""))</f>
        <v/>
      </c>
      <c r="H66" s="16">
        <f>IF($E66="","",IFERROR(IF(INDEX(Deals!$U$2:$U$355,MATCH($E66,Deals!$A$2:$A$355,0))=0,"",INDEX(Deals!$U$2:$U$355,MATCH($E66,Deals!$A$2:$A$355,0))),""))</f>
        <v/>
      </c>
      <c r="I66" s="18">
        <f>IF(OR($E66="",$F66=""),"",SUMIFS(Assignments!$I$2:$I$769,Assignments!$A$2:$A$769,$F66,Assignments!$C$2:$C$769,$E66))</f>
        <v/>
      </c>
      <c r="J66" s="65">
        <f>IF(OR($E66="",$F66=""),"",$D66-$I66)</f>
        <v/>
      </c>
      <c r="K66" s="20">
        <f>IF($A66="","",IF(AND($E66&lt;&gt;"",$F66&lt;&gt;""),"OK",TRIM(IF($E66="","unmatched code ","")&amp;IF($F66="","unmatched person",""))))</f>
        <v/>
      </c>
    </row>
    <row r="67">
      <c r="A67" s="31" t="n"/>
      <c r="B67" s="31" t="n"/>
      <c r="C67" s="31" t="n"/>
      <c r="D67" s="31" t="n"/>
      <c r="E67" s="16">
        <f>IF($A67="","",IF(COUNTIF(Deals!$A$2:$A$355,$A67)&gt;0,$A67,""))</f>
        <v/>
      </c>
      <c r="F67" s="16">
        <f>IF($B67="","",IFERROR(INDEX(Roster!$A$2:$A$40,MATCH($B67,Roster!$A$2:$A$40,0)),IFERROR(IF(INDEX(MapTracker,MATCH($B67,MapNetSuite,0))=0,"",INDEX(MapTracker,MATCH($B67,MapNetSuite,0))),"")))</f>
        <v/>
      </c>
      <c r="G67" s="16">
        <f>IF($F67="","",IFERROR(INDEX(Roster!$B$2:$B$40,MATCH($F67,Roster!$A$2:$A$40,0)),""))</f>
        <v/>
      </c>
      <c r="H67" s="16">
        <f>IF($E67="","",IFERROR(IF(INDEX(Deals!$U$2:$U$355,MATCH($E67,Deals!$A$2:$A$355,0))=0,"",INDEX(Deals!$U$2:$U$355,MATCH($E67,Deals!$A$2:$A$355,0))),""))</f>
        <v/>
      </c>
      <c r="I67" s="18">
        <f>IF(OR($E67="",$F67=""),"",SUMIFS(Assignments!$I$2:$I$769,Assignments!$A$2:$A$769,$F67,Assignments!$C$2:$C$769,$E67))</f>
        <v/>
      </c>
      <c r="J67" s="65">
        <f>IF(OR($E67="",$F67=""),"",$D67-$I67)</f>
        <v/>
      </c>
      <c r="K67" s="20">
        <f>IF($A67="","",IF(AND($E67&lt;&gt;"",$F67&lt;&gt;""),"OK",TRIM(IF($E67="","unmatched code ","")&amp;IF($F67="","unmatched person",""))))</f>
        <v/>
      </c>
    </row>
    <row r="68">
      <c r="A68" s="31" t="n"/>
      <c r="B68" s="31" t="n"/>
      <c r="C68" s="31" t="n"/>
      <c r="D68" s="31" t="n"/>
      <c r="E68" s="16">
        <f>IF($A68="","",IF(COUNTIF(Deals!$A$2:$A$355,$A68)&gt;0,$A68,""))</f>
        <v/>
      </c>
      <c r="F68" s="16">
        <f>IF($B68="","",IFERROR(INDEX(Roster!$A$2:$A$40,MATCH($B68,Roster!$A$2:$A$40,0)),IFERROR(IF(INDEX(MapTracker,MATCH($B68,MapNetSuite,0))=0,"",INDEX(MapTracker,MATCH($B68,MapNetSuite,0))),"")))</f>
        <v/>
      </c>
      <c r="G68" s="16">
        <f>IF($F68="","",IFERROR(INDEX(Roster!$B$2:$B$40,MATCH($F68,Roster!$A$2:$A$40,0)),""))</f>
        <v/>
      </c>
      <c r="H68" s="16">
        <f>IF($E68="","",IFERROR(IF(INDEX(Deals!$U$2:$U$355,MATCH($E68,Deals!$A$2:$A$355,0))=0,"",INDEX(Deals!$U$2:$U$355,MATCH($E68,Deals!$A$2:$A$355,0))),""))</f>
        <v/>
      </c>
      <c r="I68" s="18">
        <f>IF(OR($E68="",$F68=""),"",SUMIFS(Assignments!$I$2:$I$769,Assignments!$A$2:$A$769,$F68,Assignments!$C$2:$C$769,$E68))</f>
        <v/>
      </c>
      <c r="J68" s="65">
        <f>IF(OR($E68="",$F68=""),"",$D68-$I68)</f>
        <v/>
      </c>
      <c r="K68" s="20">
        <f>IF($A68="","",IF(AND($E68&lt;&gt;"",$F68&lt;&gt;""),"OK",TRIM(IF($E68="","unmatched code ","")&amp;IF($F68="","unmatched person",""))))</f>
        <v/>
      </c>
    </row>
    <row r="69">
      <c r="A69" s="31" t="n"/>
      <c r="B69" s="31" t="n"/>
      <c r="C69" s="31" t="n"/>
      <c r="D69" s="31" t="n"/>
      <c r="E69" s="16">
        <f>IF($A69="","",IF(COUNTIF(Deals!$A$2:$A$355,$A69)&gt;0,$A69,""))</f>
        <v/>
      </c>
      <c r="F69" s="16">
        <f>IF($B69="","",IFERROR(INDEX(Roster!$A$2:$A$40,MATCH($B69,Roster!$A$2:$A$40,0)),IFERROR(IF(INDEX(MapTracker,MATCH($B69,MapNetSuite,0))=0,"",INDEX(MapTracker,MATCH($B69,MapNetSuite,0))),"")))</f>
        <v/>
      </c>
      <c r="G69" s="16">
        <f>IF($F69="","",IFERROR(INDEX(Roster!$B$2:$B$40,MATCH($F69,Roster!$A$2:$A$40,0)),""))</f>
        <v/>
      </c>
      <c r="H69" s="16">
        <f>IF($E69="","",IFERROR(IF(INDEX(Deals!$U$2:$U$355,MATCH($E69,Deals!$A$2:$A$355,0))=0,"",INDEX(Deals!$U$2:$U$355,MATCH($E69,Deals!$A$2:$A$355,0))),""))</f>
        <v/>
      </c>
      <c r="I69" s="18">
        <f>IF(OR($E69="",$F69=""),"",SUMIFS(Assignments!$I$2:$I$769,Assignments!$A$2:$A$769,$F69,Assignments!$C$2:$C$769,$E69))</f>
        <v/>
      </c>
      <c r="J69" s="65">
        <f>IF(OR($E69="",$F69=""),"",$D69-$I69)</f>
        <v/>
      </c>
      <c r="K69" s="20">
        <f>IF($A69="","",IF(AND($E69&lt;&gt;"",$F69&lt;&gt;""),"OK",TRIM(IF($E69="","unmatched code ","")&amp;IF($F69="","unmatched person",""))))</f>
        <v/>
      </c>
    </row>
    <row r="70">
      <c r="A70" s="31" t="n"/>
      <c r="B70" s="31" t="n"/>
      <c r="C70" s="31" t="n"/>
      <c r="D70" s="31" t="n"/>
      <c r="E70" s="16">
        <f>IF($A70="","",IF(COUNTIF(Deals!$A$2:$A$355,$A70)&gt;0,$A70,""))</f>
        <v/>
      </c>
      <c r="F70" s="16">
        <f>IF($B70="","",IFERROR(INDEX(Roster!$A$2:$A$40,MATCH($B70,Roster!$A$2:$A$40,0)),IFERROR(IF(INDEX(MapTracker,MATCH($B70,MapNetSuite,0))=0,"",INDEX(MapTracker,MATCH($B70,MapNetSuite,0))),"")))</f>
        <v/>
      </c>
      <c r="G70" s="16">
        <f>IF($F70="","",IFERROR(INDEX(Roster!$B$2:$B$40,MATCH($F70,Roster!$A$2:$A$40,0)),""))</f>
        <v/>
      </c>
      <c r="H70" s="16">
        <f>IF($E70="","",IFERROR(IF(INDEX(Deals!$U$2:$U$355,MATCH($E70,Deals!$A$2:$A$355,0))=0,"",INDEX(Deals!$U$2:$U$355,MATCH($E70,Deals!$A$2:$A$355,0))),""))</f>
        <v/>
      </c>
      <c r="I70" s="18">
        <f>IF(OR($E70="",$F70=""),"",SUMIFS(Assignments!$I$2:$I$769,Assignments!$A$2:$A$769,$F70,Assignments!$C$2:$C$769,$E70))</f>
        <v/>
      </c>
      <c r="J70" s="65">
        <f>IF(OR($E70="",$F70=""),"",$D70-$I70)</f>
        <v/>
      </c>
      <c r="K70" s="20">
        <f>IF($A70="","",IF(AND($E70&lt;&gt;"",$F70&lt;&gt;""),"OK",TRIM(IF($E70="","unmatched code ","")&amp;IF($F70="","unmatched person",""))))</f>
        <v/>
      </c>
    </row>
    <row r="71">
      <c r="A71" s="31" t="n"/>
      <c r="B71" s="31" t="n"/>
      <c r="C71" s="31" t="n"/>
      <c r="D71" s="31" t="n"/>
      <c r="E71" s="16">
        <f>IF($A71="","",IF(COUNTIF(Deals!$A$2:$A$355,$A71)&gt;0,$A71,""))</f>
        <v/>
      </c>
      <c r="F71" s="16">
        <f>IF($B71="","",IFERROR(INDEX(Roster!$A$2:$A$40,MATCH($B71,Roster!$A$2:$A$40,0)),IFERROR(IF(INDEX(MapTracker,MATCH($B71,MapNetSuite,0))=0,"",INDEX(MapTracker,MATCH($B71,MapNetSuite,0))),"")))</f>
        <v/>
      </c>
      <c r="G71" s="16">
        <f>IF($F71="","",IFERROR(INDEX(Roster!$B$2:$B$40,MATCH($F71,Roster!$A$2:$A$40,0)),""))</f>
        <v/>
      </c>
      <c r="H71" s="16">
        <f>IF($E71="","",IFERROR(IF(INDEX(Deals!$U$2:$U$355,MATCH($E71,Deals!$A$2:$A$355,0))=0,"",INDEX(Deals!$U$2:$U$355,MATCH($E71,Deals!$A$2:$A$355,0))),""))</f>
        <v/>
      </c>
      <c r="I71" s="18">
        <f>IF(OR($E71="",$F71=""),"",SUMIFS(Assignments!$I$2:$I$769,Assignments!$A$2:$A$769,$F71,Assignments!$C$2:$C$769,$E71))</f>
        <v/>
      </c>
      <c r="J71" s="65">
        <f>IF(OR($E71="",$F71=""),"",$D71-$I71)</f>
        <v/>
      </c>
      <c r="K71" s="20">
        <f>IF($A71="","",IF(AND($E71&lt;&gt;"",$F71&lt;&gt;""),"OK",TRIM(IF($E71="","unmatched code ","")&amp;IF($F71="","unmatched person",""))))</f>
        <v/>
      </c>
    </row>
    <row r="72">
      <c r="A72" s="31" t="n"/>
      <c r="B72" s="31" t="n"/>
      <c r="C72" s="31" t="n"/>
      <c r="D72" s="31" t="n"/>
      <c r="E72" s="16">
        <f>IF($A72="","",IF(COUNTIF(Deals!$A$2:$A$355,$A72)&gt;0,$A72,""))</f>
        <v/>
      </c>
      <c r="F72" s="16">
        <f>IF($B72="","",IFERROR(INDEX(Roster!$A$2:$A$40,MATCH($B72,Roster!$A$2:$A$40,0)),IFERROR(IF(INDEX(MapTracker,MATCH($B72,MapNetSuite,0))=0,"",INDEX(MapTracker,MATCH($B72,MapNetSuite,0))),"")))</f>
        <v/>
      </c>
      <c r="G72" s="16">
        <f>IF($F72="","",IFERROR(INDEX(Roster!$B$2:$B$40,MATCH($F72,Roster!$A$2:$A$40,0)),""))</f>
        <v/>
      </c>
      <c r="H72" s="16">
        <f>IF($E72="","",IFERROR(IF(INDEX(Deals!$U$2:$U$355,MATCH($E72,Deals!$A$2:$A$355,0))=0,"",INDEX(Deals!$U$2:$U$355,MATCH($E72,Deals!$A$2:$A$355,0))),""))</f>
        <v/>
      </c>
      <c r="I72" s="18">
        <f>IF(OR($E72="",$F72=""),"",SUMIFS(Assignments!$I$2:$I$769,Assignments!$A$2:$A$769,$F72,Assignments!$C$2:$C$769,$E72))</f>
        <v/>
      </c>
      <c r="J72" s="65">
        <f>IF(OR($E72="",$F72=""),"",$D72-$I72)</f>
        <v/>
      </c>
      <c r="K72" s="20">
        <f>IF($A72="","",IF(AND($E72&lt;&gt;"",$F72&lt;&gt;""),"OK",TRIM(IF($E72="","unmatched code ","")&amp;IF($F72="","unmatched person",""))))</f>
        <v/>
      </c>
    </row>
    <row r="73">
      <c r="A73" s="31" t="n"/>
      <c r="B73" s="31" t="n"/>
      <c r="C73" s="31" t="n"/>
      <c r="D73" s="31" t="n"/>
      <c r="E73" s="16">
        <f>IF($A73="","",IF(COUNTIF(Deals!$A$2:$A$355,$A73)&gt;0,$A73,""))</f>
        <v/>
      </c>
      <c r="F73" s="16">
        <f>IF($B73="","",IFERROR(INDEX(Roster!$A$2:$A$40,MATCH($B73,Roster!$A$2:$A$40,0)),IFERROR(IF(INDEX(MapTracker,MATCH($B73,MapNetSuite,0))=0,"",INDEX(MapTracker,MATCH($B73,MapNetSuite,0))),"")))</f>
        <v/>
      </c>
      <c r="G73" s="16">
        <f>IF($F73="","",IFERROR(INDEX(Roster!$B$2:$B$40,MATCH($F73,Roster!$A$2:$A$40,0)),""))</f>
        <v/>
      </c>
      <c r="H73" s="16">
        <f>IF($E73="","",IFERROR(IF(INDEX(Deals!$U$2:$U$355,MATCH($E73,Deals!$A$2:$A$355,0))=0,"",INDEX(Deals!$U$2:$U$355,MATCH($E73,Deals!$A$2:$A$355,0))),""))</f>
        <v/>
      </c>
      <c r="I73" s="18">
        <f>IF(OR($E73="",$F73=""),"",SUMIFS(Assignments!$I$2:$I$769,Assignments!$A$2:$A$769,$F73,Assignments!$C$2:$C$769,$E73))</f>
        <v/>
      </c>
      <c r="J73" s="65">
        <f>IF(OR($E73="",$F73=""),"",$D73-$I73)</f>
        <v/>
      </c>
      <c r="K73" s="20">
        <f>IF($A73="","",IF(AND($E73&lt;&gt;"",$F73&lt;&gt;""),"OK",TRIM(IF($E73="","unmatched code ","")&amp;IF($F73="","unmatched person",""))))</f>
        <v/>
      </c>
    </row>
    <row r="74">
      <c r="A74" s="31" t="n"/>
      <c r="B74" s="31" t="n"/>
      <c r="C74" s="31" t="n"/>
      <c r="D74" s="31" t="n"/>
      <c r="E74" s="16">
        <f>IF($A74="","",IF(COUNTIF(Deals!$A$2:$A$355,$A74)&gt;0,$A74,""))</f>
        <v/>
      </c>
      <c r="F74" s="16">
        <f>IF($B74="","",IFERROR(INDEX(Roster!$A$2:$A$40,MATCH($B74,Roster!$A$2:$A$40,0)),IFERROR(IF(INDEX(MapTracker,MATCH($B74,MapNetSuite,0))=0,"",INDEX(MapTracker,MATCH($B74,MapNetSuite,0))),"")))</f>
        <v/>
      </c>
      <c r="G74" s="16">
        <f>IF($F74="","",IFERROR(INDEX(Roster!$B$2:$B$40,MATCH($F74,Roster!$A$2:$A$40,0)),""))</f>
        <v/>
      </c>
      <c r="H74" s="16">
        <f>IF($E74="","",IFERROR(IF(INDEX(Deals!$U$2:$U$355,MATCH($E74,Deals!$A$2:$A$355,0))=0,"",INDEX(Deals!$U$2:$U$355,MATCH($E74,Deals!$A$2:$A$355,0))),""))</f>
        <v/>
      </c>
      <c r="I74" s="18">
        <f>IF(OR($E74="",$F74=""),"",SUMIFS(Assignments!$I$2:$I$769,Assignments!$A$2:$A$769,$F74,Assignments!$C$2:$C$769,$E74))</f>
        <v/>
      </c>
      <c r="J74" s="65">
        <f>IF(OR($E74="",$F74=""),"",$D74-$I74)</f>
        <v/>
      </c>
      <c r="K74" s="20">
        <f>IF($A74="","",IF(AND($E74&lt;&gt;"",$F74&lt;&gt;""),"OK",TRIM(IF($E74="","unmatched code ","")&amp;IF($F74="","unmatched person",""))))</f>
        <v/>
      </c>
    </row>
    <row r="75">
      <c r="A75" s="31" t="n"/>
      <c r="B75" s="31" t="n"/>
      <c r="C75" s="31" t="n"/>
      <c r="D75" s="31" t="n"/>
      <c r="E75" s="16">
        <f>IF($A75="","",IF(COUNTIF(Deals!$A$2:$A$355,$A75)&gt;0,$A75,""))</f>
        <v/>
      </c>
      <c r="F75" s="16">
        <f>IF($B75="","",IFERROR(INDEX(Roster!$A$2:$A$40,MATCH($B75,Roster!$A$2:$A$40,0)),IFERROR(IF(INDEX(MapTracker,MATCH($B75,MapNetSuite,0))=0,"",INDEX(MapTracker,MATCH($B75,MapNetSuite,0))),"")))</f>
        <v/>
      </c>
      <c r="G75" s="16">
        <f>IF($F75="","",IFERROR(INDEX(Roster!$B$2:$B$40,MATCH($F75,Roster!$A$2:$A$40,0)),""))</f>
        <v/>
      </c>
      <c r="H75" s="16">
        <f>IF($E75="","",IFERROR(IF(INDEX(Deals!$U$2:$U$355,MATCH($E75,Deals!$A$2:$A$355,0))=0,"",INDEX(Deals!$U$2:$U$355,MATCH($E75,Deals!$A$2:$A$355,0))),""))</f>
        <v/>
      </c>
      <c r="I75" s="18">
        <f>IF(OR($E75="",$F75=""),"",SUMIFS(Assignments!$I$2:$I$769,Assignments!$A$2:$A$769,$F75,Assignments!$C$2:$C$769,$E75))</f>
        <v/>
      </c>
      <c r="J75" s="65">
        <f>IF(OR($E75="",$F75=""),"",$D75-$I75)</f>
        <v/>
      </c>
      <c r="K75" s="20">
        <f>IF($A75="","",IF(AND($E75&lt;&gt;"",$F75&lt;&gt;""),"OK",TRIM(IF($E75="","unmatched code ","")&amp;IF($F75="","unmatched person",""))))</f>
        <v/>
      </c>
    </row>
    <row r="76">
      <c r="A76" s="31" t="n"/>
      <c r="B76" s="31" t="n"/>
      <c r="C76" s="31" t="n"/>
      <c r="D76" s="31" t="n"/>
      <c r="E76" s="16">
        <f>IF($A76="","",IF(COUNTIF(Deals!$A$2:$A$355,$A76)&gt;0,$A76,""))</f>
        <v/>
      </c>
      <c r="F76" s="16">
        <f>IF($B76="","",IFERROR(INDEX(Roster!$A$2:$A$40,MATCH($B76,Roster!$A$2:$A$40,0)),IFERROR(IF(INDEX(MapTracker,MATCH($B76,MapNetSuite,0))=0,"",INDEX(MapTracker,MATCH($B76,MapNetSuite,0))),"")))</f>
        <v/>
      </c>
      <c r="G76" s="16">
        <f>IF($F76="","",IFERROR(INDEX(Roster!$B$2:$B$40,MATCH($F76,Roster!$A$2:$A$40,0)),""))</f>
        <v/>
      </c>
      <c r="H76" s="16">
        <f>IF($E76="","",IFERROR(IF(INDEX(Deals!$U$2:$U$355,MATCH($E76,Deals!$A$2:$A$355,0))=0,"",INDEX(Deals!$U$2:$U$355,MATCH($E76,Deals!$A$2:$A$355,0))),""))</f>
        <v/>
      </c>
      <c r="I76" s="18">
        <f>IF(OR($E76="",$F76=""),"",SUMIFS(Assignments!$I$2:$I$769,Assignments!$A$2:$A$769,$F76,Assignments!$C$2:$C$769,$E76))</f>
        <v/>
      </c>
      <c r="J76" s="65">
        <f>IF(OR($E76="",$F76=""),"",$D76-$I76)</f>
        <v/>
      </c>
      <c r="K76" s="20">
        <f>IF($A76="","",IF(AND($E76&lt;&gt;"",$F76&lt;&gt;""),"OK",TRIM(IF($E76="","unmatched code ","")&amp;IF($F76="","unmatched person",""))))</f>
        <v/>
      </c>
    </row>
    <row r="77">
      <c r="A77" s="31" t="n"/>
      <c r="B77" s="31" t="n"/>
      <c r="C77" s="31" t="n"/>
      <c r="D77" s="31" t="n"/>
      <c r="E77" s="16">
        <f>IF($A77="","",IF(COUNTIF(Deals!$A$2:$A$355,$A77)&gt;0,$A77,""))</f>
        <v/>
      </c>
      <c r="F77" s="16">
        <f>IF($B77="","",IFERROR(INDEX(Roster!$A$2:$A$40,MATCH($B77,Roster!$A$2:$A$40,0)),IFERROR(IF(INDEX(MapTracker,MATCH($B77,MapNetSuite,0))=0,"",INDEX(MapTracker,MATCH($B77,MapNetSuite,0))),"")))</f>
        <v/>
      </c>
      <c r="G77" s="16">
        <f>IF($F77="","",IFERROR(INDEX(Roster!$B$2:$B$40,MATCH($F77,Roster!$A$2:$A$40,0)),""))</f>
        <v/>
      </c>
      <c r="H77" s="16">
        <f>IF($E77="","",IFERROR(IF(INDEX(Deals!$U$2:$U$355,MATCH($E77,Deals!$A$2:$A$355,0))=0,"",INDEX(Deals!$U$2:$U$355,MATCH($E77,Deals!$A$2:$A$355,0))),""))</f>
        <v/>
      </c>
      <c r="I77" s="18">
        <f>IF(OR($E77="",$F77=""),"",SUMIFS(Assignments!$I$2:$I$769,Assignments!$A$2:$A$769,$F77,Assignments!$C$2:$C$769,$E77))</f>
        <v/>
      </c>
      <c r="J77" s="65">
        <f>IF(OR($E77="",$F77=""),"",$D77-$I77)</f>
        <v/>
      </c>
      <c r="K77" s="20">
        <f>IF($A77="","",IF(AND($E77&lt;&gt;"",$F77&lt;&gt;""),"OK",TRIM(IF($E77="","unmatched code ","")&amp;IF($F77="","unmatched person",""))))</f>
        <v/>
      </c>
    </row>
    <row r="78">
      <c r="A78" s="31" t="n"/>
      <c r="B78" s="31" t="n"/>
      <c r="C78" s="31" t="n"/>
      <c r="D78" s="31" t="n"/>
      <c r="E78" s="16">
        <f>IF($A78="","",IF(COUNTIF(Deals!$A$2:$A$355,$A78)&gt;0,$A78,""))</f>
        <v/>
      </c>
      <c r="F78" s="16">
        <f>IF($B78="","",IFERROR(INDEX(Roster!$A$2:$A$40,MATCH($B78,Roster!$A$2:$A$40,0)),IFERROR(IF(INDEX(MapTracker,MATCH($B78,MapNetSuite,0))=0,"",INDEX(MapTracker,MATCH($B78,MapNetSuite,0))),"")))</f>
        <v/>
      </c>
      <c r="G78" s="16">
        <f>IF($F78="","",IFERROR(INDEX(Roster!$B$2:$B$40,MATCH($F78,Roster!$A$2:$A$40,0)),""))</f>
        <v/>
      </c>
      <c r="H78" s="16">
        <f>IF($E78="","",IFERROR(IF(INDEX(Deals!$U$2:$U$355,MATCH($E78,Deals!$A$2:$A$355,0))=0,"",INDEX(Deals!$U$2:$U$355,MATCH($E78,Deals!$A$2:$A$355,0))),""))</f>
        <v/>
      </c>
      <c r="I78" s="18">
        <f>IF(OR($E78="",$F78=""),"",SUMIFS(Assignments!$I$2:$I$769,Assignments!$A$2:$A$769,$F78,Assignments!$C$2:$C$769,$E78))</f>
        <v/>
      </c>
      <c r="J78" s="65">
        <f>IF(OR($E78="",$F78=""),"",$D78-$I78)</f>
        <v/>
      </c>
      <c r="K78" s="20">
        <f>IF($A78="","",IF(AND($E78&lt;&gt;"",$F78&lt;&gt;""),"OK",TRIM(IF($E78="","unmatched code ","")&amp;IF($F78="","unmatched person",""))))</f>
        <v/>
      </c>
    </row>
    <row r="79">
      <c r="A79" s="31" t="n"/>
      <c r="B79" s="31" t="n"/>
      <c r="C79" s="31" t="n"/>
      <c r="D79" s="31" t="n"/>
      <c r="E79" s="16">
        <f>IF($A79="","",IF(COUNTIF(Deals!$A$2:$A$355,$A79)&gt;0,$A79,""))</f>
        <v/>
      </c>
      <c r="F79" s="16">
        <f>IF($B79="","",IFERROR(INDEX(Roster!$A$2:$A$40,MATCH($B79,Roster!$A$2:$A$40,0)),IFERROR(IF(INDEX(MapTracker,MATCH($B79,MapNetSuite,0))=0,"",INDEX(MapTracker,MATCH($B79,MapNetSuite,0))),"")))</f>
        <v/>
      </c>
      <c r="G79" s="16">
        <f>IF($F79="","",IFERROR(INDEX(Roster!$B$2:$B$40,MATCH($F79,Roster!$A$2:$A$40,0)),""))</f>
        <v/>
      </c>
      <c r="H79" s="16">
        <f>IF($E79="","",IFERROR(IF(INDEX(Deals!$U$2:$U$355,MATCH($E79,Deals!$A$2:$A$355,0))=0,"",INDEX(Deals!$U$2:$U$355,MATCH($E79,Deals!$A$2:$A$355,0))),""))</f>
        <v/>
      </c>
      <c r="I79" s="18">
        <f>IF(OR($E79="",$F79=""),"",SUMIFS(Assignments!$I$2:$I$769,Assignments!$A$2:$A$769,$F79,Assignments!$C$2:$C$769,$E79))</f>
        <v/>
      </c>
      <c r="J79" s="65">
        <f>IF(OR($E79="",$F79=""),"",$D79-$I79)</f>
        <v/>
      </c>
      <c r="K79" s="20">
        <f>IF($A79="","",IF(AND($E79&lt;&gt;"",$F79&lt;&gt;""),"OK",TRIM(IF($E79="","unmatched code ","")&amp;IF($F79="","unmatched person",""))))</f>
        <v/>
      </c>
    </row>
    <row r="80">
      <c r="A80" s="31" t="n"/>
      <c r="B80" s="31" t="n"/>
      <c r="C80" s="31" t="n"/>
      <c r="D80" s="31" t="n"/>
      <c r="E80" s="16">
        <f>IF($A80="","",IF(COUNTIF(Deals!$A$2:$A$355,$A80)&gt;0,$A80,""))</f>
        <v/>
      </c>
      <c r="F80" s="16">
        <f>IF($B80="","",IFERROR(INDEX(Roster!$A$2:$A$40,MATCH($B80,Roster!$A$2:$A$40,0)),IFERROR(IF(INDEX(MapTracker,MATCH($B80,MapNetSuite,0))=0,"",INDEX(MapTracker,MATCH($B80,MapNetSuite,0))),"")))</f>
        <v/>
      </c>
      <c r="G80" s="16">
        <f>IF($F80="","",IFERROR(INDEX(Roster!$B$2:$B$40,MATCH($F80,Roster!$A$2:$A$40,0)),""))</f>
        <v/>
      </c>
      <c r="H80" s="16">
        <f>IF($E80="","",IFERROR(IF(INDEX(Deals!$U$2:$U$355,MATCH($E80,Deals!$A$2:$A$355,0))=0,"",INDEX(Deals!$U$2:$U$355,MATCH($E80,Deals!$A$2:$A$355,0))),""))</f>
        <v/>
      </c>
      <c r="I80" s="18">
        <f>IF(OR($E80="",$F80=""),"",SUMIFS(Assignments!$I$2:$I$769,Assignments!$A$2:$A$769,$F80,Assignments!$C$2:$C$769,$E80))</f>
        <v/>
      </c>
      <c r="J80" s="65">
        <f>IF(OR($E80="",$F80=""),"",$D80-$I80)</f>
        <v/>
      </c>
      <c r="K80" s="20">
        <f>IF($A80="","",IF(AND($E80&lt;&gt;"",$F80&lt;&gt;""),"OK",TRIM(IF($E80="","unmatched code ","")&amp;IF($F80="","unmatched person",""))))</f>
        <v/>
      </c>
    </row>
    <row r="81">
      <c r="A81" s="31" t="n"/>
      <c r="B81" s="31" t="n"/>
      <c r="C81" s="31" t="n"/>
      <c r="D81" s="31" t="n"/>
      <c r="E81" s="16">
        <f>IF($A81="","",IF(COUNTIF(Deals!$A$2:$A$355,$A81)&gt;0,$A81,""))</f>
        <v/>
      </c>
      <c r="F81" s="16">
        <f>IF($B81="","",IFERROR(INDEX(Roster!$A$2:$A$40,MATCH($B81,Roster!$A$2:$A$40,0)),IFERROR(IF(INDEX(MapTracker,MATCH($B81,MapNetSuite,0))=0,"",INDEX(MapTracker,MATCH($B81,MapNetSuite,0))),"")))</f>
        <v/>
      </c>
      <c r="G81" s="16">
        <f>IF($F81="","",IFERROR(INDEX(Roster!$B$2:$B$40,MATCH($F81,Roster!$A$2:$A$40,0)),""))</f>
        <v/>
      </c>
      <c r="H81" s="16">
        <f>IF($E81="","",IFERROR(IF(INDEX(Deals!$U$2:$U$355,MATCH($E81,Deals!$A$2:$A$355,0))=0,"",INDEX(Deals!$U$2:$U$355,MATCH($E81,Deals!$A$2:$A$355,0))),""))</f>
        <v/>
      </c>
      <c r="I81" s="18">
        <f>IF(OR($E81="",$F81=""),"",SUMIFS(Assignments!$I$2:$I$769,Assignments!$A$2:$A$769,$F81,Assignments!$C$2:$C$769,$E81))</f>
        <v/>
      </c>
      <c r="J81" s="65">
        <f>IF(OR($E81="",$F81=""),"",$D81-$I81)</f>
        <v/>
      </c>
      <c r="K81" s="20">
        <f>IF($A81="","",IF(AND($E81&lt;&gt;"",$F81&lt;&gt;""),"OK",TRIM(IF($E81="","unmatched code ","")&amp;IF($F81="","unmatched person",""))))</f>
        <v/>
      </c>
    </row>
    <row r="82">
      <c r="A82" s="31" t="n"/>
      <c r="B82" s="31" t="n"/>
      <c r="C82" s="31" t="n"/>
      <c r="D82" s="31" t="n"/>
      <c r="E82" s="16">
        <f>IF($A82="","",IF(COUNTIF(Deals!$A$2:$A$355,$A82)&gt;0,$A82,""))</f>
        <v/>
      </c>
      <c r="F82" s="16">
        <f>IF($B82="","",IFERROR(INDEX(Roster!$A$2:$A$40,MATCH($B82,Roster!$A$2:$A$40,0)),IFERROR(IF(INDEX(MapTracker,MATCH($B82,MapNetSuite,0))=0,"",INDEX(MapTracker,MATCH($B82,MapNetSuite,0))),"")))</f>
        <v/>
      </c>
      <c r="G82" s="16">
        <f>IF($F82="","",IFERROR(INDEX(Roster!$B$2:$B$40,MATCH($F82,Roster!$A$2:$A$40,0)),""))</f>
        <v/>
      </c>
      <c r="H82" s="16">
        <f>IF($E82="","",IFERROR(IF(INDEX(Deals!$U$2:$U$355,MATCH($E82,Deals!$A$2:$A$355,0))=0,"",INDEX(Deals!$U$2:$U$355,MATCH($E82,Deals!$A$2:$A$355,0))),""))</f>
        <v/>
      </c>
      <c r="I82" s="18">
        <f>IF(OR($E82="",$F82=""),"",SUMIFS(Assignments!$I$2:$I$769,Assignments!$A$2:$A$769,$F82,Assignments!$C$2:$C$769,$E82))</f>
        <v/>
      </c>
      <c r="J82" s="65">
        <f>IF(OR($E82="",$F82=""),"",$D82-$I82)</f>
        <v/>
      </c>
      <c r="K82" s="20">
        <f>IF($A82="","",IF(AND($E82&lt;&gt;"",$F82&lt;&gt;""),"OK",TRIM(IF($E82="","unmatched code ","")&amp;IF($F82="","unmatched person",""))))</f>
        <v/>
      </c>
    </row>
    <row r="83">
      <c r="A83" s="31" t="n"/>
      <c r="B83" s="31" t="n"/>
      <c r="C83" s="31" t="n"/>
      <c r="D83" s="31" t="n"/>
      <c r="E83" s="16">
        <f>IF($A83="","",IF(COUNTIF(Deals!$A$2:$A$355,$A83)&gt;0,$A83,""))</f>
        <v/>
      </c>
      <c r="F83" s="16">
        <f>IF($B83="","",IFERROR(INDEX(Roster!$A$2:$A$40,MATCH($B83,Roster!$A$2:$A$40,0)),IFERROR(IF(INDEX(MapTracker,MATCH($B83,MapNetSuite,0))=0,"",INDEX(MapTracker,MATCH($B83,MapNetSuite,0))),"")))</f>
        <v/>
      </c>
      <c r="G83" s="16">
        <f>IF($F83="","",IFERROR(INDEX(Roster!$B$2:$B$40,MATCH($F83,Roster!$A$2:$A$40,0)),""))</f>
        <v/>
      </c>
      <c r="H83" s="16">
        <f>IF($E83="","",IFERROR(IF(INDEX(Deals!$U$2:$U$355,MATCH($E83,Deals!$A$2:$A$355,0))=0,"",INDEX(Deals!$U$2:$U$355,MATCH($E83,Deals!$A$2:$A$355,0))),""))</f>
        <v/>
      </c>
      <c r="I83" s="18">
        <f>IF(OR($E83="",$F83=""),"",SUMIFS(Assignments!$I$2:$I$769,Assignments!$A$2:$A$769,$F83,Assignments!$C$2:$C$769,$E83))</f>
        <v/>
      </c>
      <c r="J83" s="65">
        <f>IF(OR($E83="",$F83=""),"",$D83-$I83)</f>
        <v/>
      </c>
      <c r="K83" s="20">
        <f>IF($A83="","",IF(AND($E83&lt;&gt;"",$F83&lt;&gt;""),"OK",TRIM(IF($E83="","unmatched code ","")&amp;IF($F83="","unmatched person",""))))</f>
        <v/>
      </c>
    </row>
    <row r="84">
      <c r="A84" s="31" t="n"/>
      <c r="B84" s="31" t="n"/>
      <c r="C84" s="31" t="n"/>
      <c r="D84" s="31" t="n"/>
      <c r="E84" s="16">
        <f>IF($A84="","",IF(COUNTIF(Deals!$A$2:$A$355,$A84)&gt;0,$A84,""))</f>
        <v/>
      </c>
      <c r="F84" s="16">
        <f>IF($B84="","",IFERROR(INDEX(Roster!$A$2:$A$40,MATCH($B84,Roster!$A$2:$A$40,0)),IFERROR(IF(INDEX(MapTracker,MATCH($B84,MapNetSuite,0))=0,"",INDEX(MapTracker,MATCH($B84,MapNetSuite,0))),"")))</f>
        <v/>
      </c>
      <c r="G84" s="16">
        <f>IF($F84="","",IFERROR(INDEX(Roster!$B$2:$B$40,MATCH($F84,Roster!$A$2:$A$40,0)),""))</f>
        <v/>
      </c>
      <c r="H84" s="16">
        <f>IF($E84="","",IFERROR(IF(INDEX(Deals!$U$2:$U$355,MATCH($E84,Deals!$A$2:$A$355,0))=0,"",INDEX(Deals!$U$2:$U$355,MATCH($E84,Deals!$A$2:$A$355,0))),""))</f>
        <v/>
      </c>
      <c r="I84" s="18">
        <f>IF(OR($E84="",$F84=""),"",SUMIFS(Assignments!$I$2:$I$769,Assignments!$A$2:$A$769,$F84,Assignments!$C$2:$C$769,$E84))</f>
        <v/>
      </c>
      <c r="J84" s="65">
        <f>IF(OR($E84="",$F84=""),"",$D84-$I84)</f>
        <v/>
      </c>
      <c r="K84" s="20">
        <f>IF($A84="","",IF(AND($E84&lt;&gt;"",$F84&lt;&gt;""),"OK",TRIM(IF($E84="","unmatched code ","")&amp;IF($F84="","unmatched person",""))))</f>
        <v/>
      </c>
    </row>
    <row r="85">
      <c r="A85" s="31" t="n"/>
      <c r="B85" s="31" t="n"/>
      <c r="C85" s="31" t="n"/>
      <c r="D85" s="31" t="n"/>
      <c r="E85" s="16">
        <f>IF($A85="","",IF(COUNTIF(Deals!$A$2:$A$355,$A85)&gt;0,$A85,""))</f>
        <v/>
      </c>
      <c r="F85" s="16">
        <f>IF($B85="","",IFERROR(INDEX(Roster!$A$2:$A$40,MATCH($B85,Roster!$A$2:$A$40,0)),IFERROR(IF(INDEX(MapTracker,MATCH($B85,MapNetSuite,0))=0,"",INDEX(MapTracker,MATCH($B85,MapNetSuite,0))),"")))</f>
        <v/>
      </c>
      <c r="G85" s="16">
        <f>IF($F85="","",IFERROR(INDEX(Roster!$B$2:$B$40,MATCH($F85,Roster!$A$2:$A$40,0)),""))</f>
        <v/>
      </c>
      <c r="H85" s="16">
        <f>IF($E85="","",IFERROR(IF(INDEX(Deals!$U$2:$U$355,MATCH($E85,Deals!$A$2:$A$355,0))=0,"",INDEX(Deals!$U$2:$U$355,MATCH($E85,Deals!$A$2:$A$355,0))),""))</f>
        <v/>
      </c>
      <c r="I85" s="18">
        <f>IF(OR($E85="",$F85=""),"",SUMIFS(Assignments!$I$2:$I$769,Assignments!$A$2:$A$769,$F85,Assignments!$C$2:$C$769,$E85))</f>
        <v/>
      </c>
      <c r="J85" s="65">
        <f>IF(OR($E85="",$F85=""),"",$D85-$I85)</f>
        <v/>
      </c>
      <c r="K85" s="20">
        <f>IF($A85="","",IF(AND($E85&lt;&gt;"",$F85&lt;&gt;""),"OK",TRIM(IF($E85="","unmatched code ","")&amp;IF($F85="","unmatched person",""))))</f>
        <v/>
      </c>
    </row>
    <row r="86">
      <c r="A86" s="31" t="n"/>
      <c r="B86" s="31" t="n"/>
      <c r="C86" s="31" t="n"/>
      <c r="D86" s="31" t="n"/>
      <c r="E86" s="16">
        <f>IF($A86="","",IF(COUNTIF(Deals!$A$2:$A$355,$A86)&gt;0,$A86,""))</f>
        <v/>
      </c>
      <c r="F86" s="16">
        <f>IF($B86="","",IFERROR(INDEX(Roster!$A$2:$A$40,MATCH($B86,Roster!$A$2:$A$40,0)),IFERROR(IF(INDEX(MapTracker,MATCH($B86,MapNetSuite,0))=0,"",INDEX(MapTracker,MATCH($B86,MapNetSuite,0))),"")))</f>
        <v/>
      </c>
      <c r="G86" s="16">
        <f>IF($F86="","",IFERROR(INDEX(Roster!$B$2:$B$40,MATCH($F86,Roster!$A$2:$A$40,0)),""))</f>
        <v/>
      </c>
      <c r="H86" s="16">
        <f>IF($E86="","",IFERROR(IF(INDEX(Deals!$U$2:$U$355,MATCH($E86,Deals!$A$2:$A$355,0))=0,"",INDEX(Deals!$U$2:$U$355,MATCH($E86,Deals!$A$2:$A$355,0))),""))</f>
        <v/>
      </c>
      <c r="I86" s="18">
        <f>IF(OR($E86="",$F86=""),"",SUMIFS(Assignments!$I$2:$I$769,Assignments!$A$2:$A$769,$F86,Assignments!$C$2:$C$769,$E86))</f>
        <v/>
      </c>
      <c r="J86" s="65">
        <f>IF(OR($E86="",$F86=""),"",$D86-$I86)</f>
        <v/>
      </c>
      <c r="K86" s="20">
        <f>IF($A86="","",IF(AND($E86&lt;&gt;"",$F86&lt;&gt;""),"OK",TRIM(IF($E86="","unmatched code ","")&amp;IF($F86="","unmatched person",""))))</f>
        <v/>
      </c>
    </row>
    <row r="87">
      <c r="A87" s="31" t="n"/>
      <c r="B87" s="31" t="n"/>
      <c r="C87" s="31" t="n"/>
      <c r="D87" s="31" t="n"/>
      <c r="E87" s="16">
        <f>IF($A87="","",IF(COUNTIF(Deals!$A$2:$A$355,$A87)&gt;0,$A87,""))</f>
        <v/>
      </c>
      <c r="F87" s="16">
        <f>IF($B87="","",IFERROR(INDEX(Roster!$A$2:$A$40,MATCH($B87,Roster!$A$2:$A$40,0)),IFERROR(IF(INDEX(MapTracker,MATCH($B87,MapNetSuite,0))=0,"",INDEX(MapTracker,MATCH($B87,MapNetSuite,0))),"")))</f>
        <v/>
      </c>
      <c r="G87" s="16">
        <f>IF($F87="","",IFERROR(INDEX(Roster!$B$2:$B$40,MATCH($F87,Roster!$A$2:$A$40,0)),""))</f>
        <v/>
      </c>
      <c r="H87" s="16">
        <f>IF($E87="","",IFERROR(IF(INDEX(Deals!$U$2:$U$355,MATCH($E87,Deals!$A$2:$A$355,0))=0,"",INDEX(Deals!$U$2:$U$355,MATCH($E87,Deals!$A$2:$A$355,0))),""))</f>
        <v/>
      </c>
      <c r="I87" s="18">
        <f>IF(OR($E87="",$F87=""),"",SUMIFS(Assignments!$I$2:$I$769,Assignments!$A$2:$A$769,$F87,Assignments!$C$2:$C$769,$E87))</f>
        <v/>
      </c>
      <c r="J87" s="65">
        <f>IF(OR($E87="",$F87=""),"",$D87-$I87)</f>
        <v/>
      </c>
      <c r="K87" s="20">
        <f>IF($A87="","",IF(AND($E87&lt;&gt;"",$F87&lt;&gt;""),"OK",TRIM(IF($E87="","unmatched code ","")&amp;IF($F87="","unmatched person",""))))</f>
        <v/>
      </c>
    </row>
    <row r="88">
      <c r="A88" s="31" t="n"/>
      <c r="B88" s="31" t="n"/>
      <c r="C88" s="31" t="n"/>
      <c r="D88" s="31" t="n"/>
      <c r="E88" s="16">
        <f>IF($A88="","",IF(COUNTIF(Deals!$A$2:$A$355,$A88)&gt;0,$A88,""))</f>
        <v/>
      </c>
      <c r="F88" s="16">
        <f>IF($B88="","",IFERROR(INDEX(Roster!$A$2:$A$40,MATCH($B88,Roster!$A$2:$A$40,0)),IFERROR(IF(INDEX(MapTracker,MATCH($B88,MapNetSuite,0))=0,"",INDEX(MapTracker,MATCH($B88,MapNetSuite,0))),"")))</f>
        <v/>
      </c>
      <c r="G88" s="16">
        <f>IF($F88="","",IFERROR(INDEX(Roster!$B$2:$B$40,MATCH($F88,Roster!$A$2:$A$40,0)),""))</f>
        <v/>
      </c>
      <c r="H88" s="16">
        <f>IF($E88="","",IFERROR(IF(INDEX(Deals!$U$2:$U$355,MATCH($E88,Deals!$A$2:$A$355,0))=0,"",INDEX(Deals!$U$2:$U$355,MATCH($E88,Deals!$A$2:$A$355,0))),""))</f>
        <v/>
      </c>
      <c r="I88" s="18">
        <f>IF(OR($E88="",$F88=""),"",SUMIFS(Assignments!$I$2:$I$769,Assignments!$A$2:$A$769,$F88,Assignments!$C$2:$C$769,$E88))</f>
        <v/>
      </c>
      <c r="J88" s="65">
        <f>IF(OR($E88="",$F88=""),"",$D88-$I88)</f>
        <v/>
      </c>
      <c r="K88" s="20">
        <f>IF($A88="","",IF(AND($E88&lt;&gt;"",$F88&lt;&gt;""),"OK",TRIM(IF($E88="","unmatched code ","")&amp;IF($F88="","unmatched person",""))))</f>
        <v/>
      </c>
    </row>
    <row r="89">
      <c r="A89" s="31" t="n"/>
      <c r="B89" s="31" t="n"/>
      <c r="C89" s="31" t="n"/>
      <c r="D89" s="31" t="n"/>
      <c r="E89" s="16">
        <f>IF($A89="","",IF(COUNTIF(Deals!$A$2:$A$355,$A89)&gt;0,$A89,""))</f>
        <v/>
      </c>
      <c r="F89" s="16">
        <f>IF($B89="","",IFERROR(INDEX(Roster!$A$2:$A$40,MATCH($B89,Roster!$A$2:$A$40,0)),IFERROR(IF(INDEX(MapTracker,MATCH($B89,MapNetSuite,0))=0,"",INDEX(MapTracker,MATCH($B89,MapNetSuite,0))),"")))</f>
        <v/>
      </c>
      <c r="G89" s="16">
        <f>IF($F89="","",IFERROR(INDEX(Roster!$B$2:$B$40,MATCH($F89,Roster!$A$2:$A$40,0)),""))</f>
        <v/>
      </c>
      <c r="H89" s="16">
        <f>IF($E89="","",IFERROR(IF(INDEX(Deals!$U$2:$U$355,MATCH($E89,Deals!$A$2:$A$355,0))=0,"",INDEX(Deals!$U$2:$U$355,MATCH($E89,Deals!$A$2:$A$355,0))),""))</f>
        <v/>
      </c>
      <c r="I89" s="18">
        <f>IF(OR($E89="",$F89=""),"",SUMIFS(Assignments!$I$2:$I$769,Assignments!$A$2:$A$769,$F89,Assignments!$C$2:$C$769,$E89))</f>
        <v/>
      </c>
      <c r="J89" s="65">
        <f>IF(OR($E89="",$F89=""),"",$D89-$I89)</f>
        <v/>
      </c>
      <c r="K89" s="20">
        <f>IF($A89="","",IF(AND($E89&lt;&gt;"",$F89&lt;&gt;""),"OK",TRIM(IF($E89="","unmatched code ","")&amp;IF($F89="","unmatched person",""))))</f>
        <v/>
      </c>
    </row>
    <row r="90">
      <c r="A90" s="31" t="n"/>
      <c r="B90" s="31" t="n"/>
      <c r="C90" s="31" t="n"/>
      <c r="D90" s="31" t="n"/>
      <c r="E90" s="16">
        <f>IF($A90="","",IF(COUNTIF(Deals!$A$2:$A$355,$A90)&gt;0,$A90,""))</f>
        <v/>
      </c>
      <c r="F90" s="16">
        <f>IF($B90="","",IFERROR(INDEX(Roster!$A$2:$A$40,MATCH($B90,Roster!$A$2:$A$40,0)),IFERROR(IF(INDEX(MapTracker,MATCH($B90,MapNetSuite,0))=0,"",INDEX(MapTracker,MATCH($B90,MapNetSuite,0))),"")))</f>
        <v/>
      </c>
      <c r="G90" s="16">
        <f>IF($F90="","",IFERROR(INDEX(Roster!$B$2:$B$40,MATCH($F90,Roster!$A$2:$A$40,0)),""))</f>
        <v/>
      </c>
      <c r="H90" s="16">
        <f>IF($E90="","",IFERROR(IF(INDEX(Deals!$U$2:$U$355,MATCH($E90,Deals!$A$2:$A$355,0))=0,"",INDEX(Deals!$U$2:$U$355,MATCH($E90,Deals!$A$2:$A$355,0))),""))</f>
        <v/>
      </c>
      <c r="I90" s="18">
        <f>IF(OR($E90="",$F90=""),"",SUMIFS(Assignments!$I$2:$I$769,Assignments!$A$2:$A$769,$F90,Assignments!$C$2:$C$769,$E90))</f>
        <v/>
      </c>
      <c r="J90" s="65">
        <f>IF(OR($E90="",$F90=""),"",$D90-$I90)</f>
        <v/>
      </c>
      <c r="K90" s="20">
        <f>IF($A90="","",IF(AND($E90&lt;&gt;"",$F90&lt;&gt;""),"OK",TRIM(IF($E90="","unmatched code ","")&amp;IF($F90="","unmatched person",""))))</f>
        <v/>
      </c>
    </row>
    <row r="91">
      <c r="A91" s="31" t="n"/>
      <c r="B91" s="31" t="n"/>
      <c r="C91" s="31" t="n"/>
      <c r="D91" s="31" t="n"/>
      <c r="E91" s="16">
        <f>IF($A91="","",IF(COUNTIF(Deals!$A$2:$A$355,$A91)&gt;0,$A91,""))</f>
        <v/>
      </c>
      <c r="F91" s="16">
        <f>IF($B91="","",IFERROR(INDEX(Roster!$A$2:$A$40,MATCH($B91,Roster!$A$2:$A$40,0)),IFERROR(IF(INDEX(MapTracker,MATCH($B91,MapNetSuite,0))=0,"",INDEX(MapTracker,MATCH($B91,MapNetSuite,0))),"")))</f>
        <v/>
      </c>
      <c r="G91" s="16">
        <f>IF($F91="","",IFERROR(INDEX(Roster!$B$2:$B$40,MATCH($F91,Roster!$A$2:$A$40,0)),""))</f>
        <v/>
      </c>
      <c r="H91" s="16">
        <f>IF($E91="","",IFERROR(IF(INDEX(Deals!$U$2:$U$355,MATCH($E91,Deals!$A$2:$A$355,0))=0,"",INDEX(Deals!$U$2:$U$355,MATCH($E91,Deals!$A$2:$A$355,0))),""))</f>
        <v/>
      </c>
      <c r="I91" s="18">
        <f>IF(OR($E91="",$F91=""),"",SUMIFS(Assignments!$I$2:$I$769,Assignments!$A$2:$A$769,$F91,Assignments!$C$2:$C$769,$E91))</f>
        <v/>
      </c>
      <c r="J91" s="65">
        <f>IF(OR($E91="",$F91=""),"",$D91-$I91)</f>
        <v/>
      </c>
      <c r="K91" s="20">
        <f>IF($A91="","",IF(AND($E91&lt;&gt;"",$F91&lt;&gt;""),"OK",TRIM(IF($E91="","unmatched code ","")&amp;IF($F91="","unmatched person",""))))</f>
        <v/>
      </c>
    </row>
    <row r="92">
      <c r="A92" s="31" t="n"/>
      <c r="B92" s="31" t="n"/>
      <c r="C92" s="31" t="n"/>
      <c r="D92" s="31" t="n"/>
      <c r="E92" s="16">
        <f>IF($A92="","",IF(COUNTIF(Deals!$A$2:$A$355,$A92)&gt;0,$A92,""))</f>
        <v/>
      </c>
      <c r="F92" s="16">
        <f>IF($B92="","",IFERROR(INDEX(Roster!$A$2:$A$40,MATCH($B92,Roster!$A$2:$A$40,0)),IFERROR(IF(INDEX(MapTracker,MATCH($B92,MapNetSuite,0))=0,"",INDEX(MapTracker,MATCH($B92,MapNetSuite,0))),"")))</f>
        <v/>
      </c>
      <c r="G92" s="16">
        <f>IF($F92="","",IFERROR(INDEX(Roster!$B$2:$B$40,MATCH($F92,Roster!$A$2:$A$40,0)),""))</f>
        <v/>
      </c>
      <c r="H92" s="16">
        <f>IF($E92="","",IFERROR(IF(INDEX(Deals!$U$2:$U$355,MATCH($E92,Deals!$A$2:$A$355,0))=0,"",INDEX(Deals!$U$2:$U$355,MATCH($E92,Deals!$A$2:$A$355,0))),""))</f>
        <v/>
      </c>
      <c r="I92" s="18">
        <f>IF(OR($E92="",$F92=""),"",SUMIFS(Assignments!$I$2:$I$769,Assignments!$A$2:$A$769,$F92,Assignments!$C$2:$C$769,$E92))</f>
        <v/>
      </c>
      <c r="J92" s="65">
        <f>IF(OR($E92="",$F92=""),"",$D92-$I92)</f>
        <v/>
      </c>
      <c r="K92" s="20">
        <f>IF($A92="","",IF(AND($E92&lt;&gt;"",$F92&lt;&gt;""),"OK",TRIM(IF($E92="","unmatched code ","")&amp;IF($F92="","unmatched person",""))))</f>
        <v/>
      </c>
    </row>
    <row r="93">
      <c r="A93" s="31" t="n"/>
      <c r="B93" s="31" t="n"/>
      <c r="C93" s="31" t="n"/>
      <c r="D93" s="31" t="n"/>
      <c r="E93" s="16">
        <f>IF($A93="","",IF(COUNTIF(Deals!$A$2:$A$355,$A93)&gt;0,$A93,""))</f>
        <v/>
      </c>
      <c r="F93" s="16">
        <f>IF($B93="","",IFERROR(INDEX(Roster!$A$2:$A$40,MATCH($B93,Roster!$A$2:$A$40,0)),IFERROR(IF(INDEX(MapTracker,MATCH($B93,MapNetSuite,0))=0,"",INDEX(MapTracker,MATCH($B93,MapNetSuite,0))),"")))</f>
        <v/>
      </c>
      <c r="G93" s="16">
        <f>IF($F93="","",IFERROR(INDEX(Roster!$B$2:$B$40,MATCH($F93,Roster!$A$2:$A$40,0)),""))</f>
        <v/>
      </c>
      <c r="H93" s="16">
        <f>IF($E93="","",IFERROR(IF(INDEX(Deals!$U$2:$U$355,MATCH($E93,Deals!$A$2:$A$355,0))=0,"",INDEX(Deals!$U$2:$U$355,MATCH($E93,Deals!$A$2:$A$355,0))),""))</f>
        <v/>
      </c>
      <c r="I93" s="18">
        <f>IF(OR($E93="",$F93=""),"",SUMIFS(Assignments!$I$2:$I$769,Assignments!$A$2:$A$769,$F93,Assignments!$C$2:$C$769,$E93))</f>
        <v/>
      </c>
      <c r="J93" s="65">
        <f>IF(OR($E93="",$F93=""),"",$D93-$I93)</f>
        <v/>
      </c>
      <c r="K93" s="20">
        <f>IF($A93="","",IF(AND($E93&lt;&gt;"",$F93&lt;&gt;""),"OK",TRIM(IF($E93="","unmatched code ","")&amp;IF($F93="","unmatched person",""))))</f>
        <v/>
      </c>
    </row>
    <row r="94">
      <c r="A94" s="31" t="n"/>
      <c r="B94" s="31" t="n"/>
      <c r="C94" s="31" t="n"/>
      <c r="D94" s="31" t="n"/>
      <c r="E94" s="16">
        <f>IF($A94="","",IF(COUNTIF(Deals!$A$2:$A$355,$A94)&gt;0,$A94,""))</f>
        <v/>
      </c>
      <c r="F94" s="16">
        <f>IF($B94="","",IFERROR(INDEX(Roster!$A$2:$A$40,MATCH($B94,Roster!$A$2:$A$40,0)),IFERROR(IF(INDEX(MapTracker,MATCH($B94,MapNetSuite,0))=0,"",INDEX(MapTracker,MATCH($B94,MapNetSuite,0))),"")))</f>
        <v/>
      </c>
      <c r="G94" s="16">
        <f>IF($F94="","",IFERROR(INDEX(Roster!$B$2:$B$40,MATCH($F94,Roster!$A$2:$A$40,0)),""))</f>
        <v/>
      </c>
      <c r="H94" s="16">
        <f>IF($E94="","",IFERROR(IF(INDEX(Deals!$U$2:$U$355,MATCH($E94,Deals!$A$2:$A$355,0))=0,"",INDEX(Deals!$U$2:$U$355,MATCH($E94,Deals!$A$2:$A$355,0))),""))</f>
        <v/>
      </c>
      <c r="I94" s="18">
        <f>IF(OR($E94="",$F94=""),"",SUMIFS(Assignments!$I$2:$I$769,Assignments!$A$2:$A$769,$F94,Assignments!$C$2:$C$769,$E94))</f>
        <v/>
      </c>
      <c r="J94" s="65">
        <f>IF(OR($E94="",$F94=""),"",$D94-$I94)</f>
        <v/>
      </c>
      <c r="K94" s="20">
        <f>IF($A94="","",IF(AND($E94&lt;&gt;"",$F94&lt;&gt;""),"OK",TRIM(IF($E94="","unmatched code ","")&amp;IF($F94="","unmatched person",""))))</f>
        <v/>
      </c>
    </row>
    <row r="95">
      <c r="A95" s="31" t="n"/>
      <c r="B95" s="31" t="n"/>
      <c r="C95" s="31" t="n"/>
      <c r="D95" s="31" t="n"/>
      <c r="E95" s="16">
        <f>IF($A95="","",IF(COUNTIF(Deals!$A$2:$A$355,$A95)&gt;0,$A95,""))</f>
        <v/>
      </c>
      <c r="F95" s="16">
        <f>IF($B95="","",IFERROR(INDEX(Roster!$A$2:$A$40,MATCH($B95,Roster!$A$2:$A$40,0)),IFERROR(IF(INDEX(MapTracker,MATCH($B95,MapNetSuite,0))=0,"",INDEX(MapTracker,MATCH($B95,MapNetSuite,0))),"")))</f>
        <v/>
      </c>
      <c r="G95" s="16">
        <f>IF($F95="","",IFERROR(INDEX(Roster!$B$2:$B$40,MATCH($F95,Roster!$A$2:$A$40,0)),""))</f>
        <v/>
      </c>
      <c r="H95" s="16">
        <f>IF($E95="","",IFERROR(IF(INDEX(Deals!$U$2:$U$355,MATCH($E95,Deals!$A$2:$A$355,0))=0,"",INDEX(Deals!$U$2:$U$355,MATCH($E95,Deals!$A$2:$A$355,0))),""))</f>
        <v/>
      </c>
      <c r="I95" s="18">
        <f>IF(OR($E95="",$F95=""),"",SUMIFS(Assignments!$I$2:$I$769,Assignments!$A$2:$A$769,$F95,Assignments!$C$2:$C$769,$E95))</f>
        <v/>
      </c>
      <c r="J95" s="65">
        <f>IF(OR($E95="",$F95=""),"",$D95-$I95)</f>
        <v/>
      </c>
      <c r="K95" s="20">
        <f>IF($A95="","",IF(AND($E95&lt;&gt;"",$F95&lt;&gt;""),"OK",TRIM(IF($E95="","unmatched code ","")&amp;IF($F95="","unmatched person",""))))</f>
        <v/>
      </c>
    </row>
    <row r="96">
      <c r="A96" s="31" t="n"/>
      <c r="B96" s="31" t="n"/>
      <c r="C96" s="31" t="n"/>
      <c r="D96" s="31" t="n"/>
      <c r="E96" s="16">
        <f>IF($A96="","",IF(COUNTIF(Deals!$A$2:$A$355,$A96)&gt;0,$A96,""))</f>
        <v/>
      </c>
      <c r="F96" s="16">
        <f>IF($B96="","",IFERROR(INDEX(Roster!$A$2:$A$40,MATCH($B96,Roster!$A$2:$A$40,0)),IFERROR(IF(INDEX(MapTracker,MATCH($B96,MapNetSuite,0))=0,"",INDEX(MapTracker,MATCH($B96,MapNetSuite,0))),"")))</f>
        <v/>
      </c>
      <c r="G96" s="16">
        <f>IF($F96="","",IFERROR(INDEX(Roster!$B$2:$B$40,MATCH($F96,Roster!$A$2:$A$40,0)),""))</f>
        <v/>
      </c>
      <c r="H96" s="16">
        <f>IF($E96="","",IFERROR(IF(INDEX(Deals!$U$2:$U$355,MATCH($E96,Deals!$A$2:$A$355,0))=0,"",INDEX(Deals!$U$2:$U$355,MATCH($E96,Deals!$A$2:$A$355,0))),""))</f>
        <v/>
      </c>
      <c r="I96" s="18">
        <f>IF(OR($E96="",$F96=""),"",SUMIFS(Assignments!$I$2:$I$769,Assignments!$A$2:$A$769,$F96,Assignments!$C$2:$C$769,$E96))</f>
        <v/>
      </c>
      <c r="J96" s="65">
        <f>IF(OR($E96="",$F96=""),"",$D96-$I96)</f>
        <v/>
      </c>
      <c r="K96" s="20">
        <f>IF($A96="","",IF(AND($E96&lt;&gt;"",$F96&lt;&gt;""),"OK",TRIM(IF($E96="","unmatched code ","")&amp;IF($F96="","unmatched person",""))))</f>
        <v/>
      </c>
    </row>
    <row r="97">
      <c r="A97" s="31" t="n"/>
      <c r="B97" s="31" t="n"/>
      <c r="C97" s="31" t="n"/>
      <c r="D97" s="31" t="n"/>
      <c r="E97" s="16">
        <f>IF($A97="","",IF(COUNTIF(Deals!$A$2:$A$355,$A97)&gt;0,$A97,""))</f>
        <v/>
      </c>
      <c r="F97" s="16">
        <f>IF($B97="","",IFERROR(INDEX(Roster!$A$2:$A$40,MATCH($B97,Roster!$A$2:$A$40,0)),IFERROR(IF(INDEX(MapTracker,MATCH($B97,MapNetSuite,0))=0,"",INDEX(MapTracker,MATCH($B97,MapNetSuite,0))),"")))</f>
        <v/>
      </c>
      <c r="G97" s="16">
        <f>IF($F97="","",IFERROR(INDEX(Roster!$B$2:$B$40,MATCH($F97,Roster!$A$2:$A$40,0)),""))</f>
        <v/>
      </c>
      <c r="H97" s="16">
        <f>IF($E97="","",IFERROR(IF(INDEX(Deals!$U$2:$U$355,MATCH($E97,Deals!$A$2:$A$355,0))=0,"",INDEX(Deals!$U$2:$U$355,MATCH($E97,Deals!$A$2:$A$355,0))),""))</f>
        <v/>
      </c>
      <c r="I97" s="18">
        <f>IF(OR($E97="",$F97=""),"",SUMIFS(Assignments!$I$2:$I$769,Assignments!$A$2:$A$769,$F97,Assignments!$C$2:$C$769,$E97))</f>
        <v/>
      </c>
      <c r="J97" s="65">
        <f>IF(OR($E97="",$F97=""),"",$D97-$I97)</f>
        <v/>
      </c>
      <c r="K97" s="20">
        <f>IF($A97="","",IF(AND($E97&lt;&gt;"",$F97&lt;&gt;""),"OK",TRIM(IF($E97="","unmatched code ","")&amp;IF($F97="","unmatched person",""))))</f>
        <v/>
      </c>
    </row>
    <row r="98">
      <c r="A98" s="31" t="n"/>
      <c r="B98" s="31" t="n"/>
      <c r="C98" s="31" t="n"/>
      <c r="D98" s="31" t="n"/>
      <c r="E98" s="16">
        <f>IF($A98="","",IF(COUNTIF(Deals!$A$2:$A$355,$A98)&gt;0,$A98,""))</f>
        <v/>
      </c>
      <c r="F98" s="16">
        <f>IF($B98="","",IFERROR(INDEX(Roster!$A$2:$A$40,MATCH($B98,Roster!$A$2:$A$40,0)),IFERROR(IF(INDEX(MapTracker,MATCH($B98,MapNetSuite,0))=0,"",INDEX(MapTracker,MATCH($B98,MapNetSuite,0))),"")))</f>
        <v/>
      </c>
      <c r="G98" s="16">
        <f>IF($F98="","",IFERROR(INDEX(Roster!$B$2:$B$40,MATCH($F98,Roster!$A$2:$A$40,0)),""))</f>
        <v/>
      </c>
      <c r="H98" s="16">
        <f>IF($E98="","",IFERROR(IF(INDEX(Deals!$U$2:$U$355,MATCH($E98,Deals!$A$2:$A$355,0))=0,"",INDEX(Deals!$U$2:$U$355,MATCH($E98,Deals!$A$2:$A$355,0))),""))</f>
        <v/>
      </c>
      <c r="I98" s="18">
        <f>IF(OR($E98="",$F98=""),"",SUMIFS(Assignments!$I$2:$I$769,Assignments!$A$2:$A$769,$F98,Assignments!$C$2:$C$769,$E98))</f>
        <v/>
      </c>
      <c r="J98" s="65">
        <f>IF(OR($E98="",$F98=""),"",$D98-$I98)</f>
        <v/>
      </c>
      <c r="K98" s="20">
        <f>IF($A98="","",IF(AND($E98&lt;&gt;"",$F98&lt;&gt;""),"OK",TRIM(IF($E98="","unmatched code ","")&amp;IF($F98="","unmatched person",""))))</f>
        <v/>
      </c>
    </row>
    <row r="99">
      <c r="A99" s="31" t="n"/>
      <c r="B99" s="31" t="n"/>
      <c r="C99" s="31" t="n"/>
      <c r="D99" s="31" t="n"/>
      <c r="E99" s="16">
        <f>IF($A99="","",IF(COUNTIF(Deals!$A$2:$A$355,$A99)&gt;0,$A99,""))</f>
        <v/>
      </c>
      <c r="F99" s="16">
        <f>IF($B99="","",IFERROR(INDEX(Roster!$A$2:$A$40,MATCH($B99,Roster!$A$2:$A$40,0)),IFERROR(IF(INDEX(MapTracker,MATCH($B99,MapNetSuite,0))=0,"",INDEX(MapTracker,MATCH($B99,MapNetSuite,0))),"")))</f>
        <v/>
      </c>
      <c r="G99" s="16">
        <f>IF($F99="","",IFERROR(INDEX(Roster!$B$2:$B$40,MATCH($F99,Roster!$A$2:$A$40,0)),""))</f>
        <v/>
      </c>
      <c r="H99" s="16">
        <f>IF($E99="","",IFERROR(IF(INDEX(Deals!$U$2:$U$355,MATCH($E99,Deals!$A$2:$A$355,0))=0,"",INDEX(Deals!$U$2:$U$355,MATCH($E99,Deals!$A$2:$A$355,0))),""))</f>
        <v/>
      </c>
      <c r="I99" s="18">
        <f>IF(OR($E99="",$F99=""),"",SUMIFS(Assignments!$I$2:$I$769,Assignments!$A$2:$A$769,$F99,Assignments!$C$2:$C$769,$E99))</f>
        <v/>
      </c>
      <c r="J99" s="65">
        <f>IF(OR($E99="",$F99=""),"",$D99-$I99)</f>
        <v/>
      </c>
      <c r="K99" s="20">
        <f>IF($A99="","",IF(AND($E99&lt;&gt;"",$F99&lt;&gt;""),"OK",TRIM(IF($E99="","unmatched code ","")&amp;IF($F99="","unmatched person",""))))</f>
        <v/>
      </c>
    </row>
    <row r="100">
      <c r="A100" s="31" t="n"/>
      <c r="B100" s="31" t="n"/>
      <c r="C100" s="31" t="n"/>
      <c r="D100" s="31" t="n"/>
      <c r="E100" s="16">
        <f>IF($A100="","",IF(COUNTIF(Deals!$A$2:$A$355,$A100)&gt;0,$A100,""))</f>
        <v/>
      </c>
      <c r="F100" s="16">
        <f>IF($B100="","",IFERROR(INDEX(Roster!$A$2:$A$40,MATCH($B100,Roster!$A$2:$A$40,0)),IFERROR(IF(INDEX(MapTracker,MATCH($B100,MapNetSuite,0))=0,"",INDEX(MapTracker,MATCH($B100,MapNetSuite,0))),"")))</f>
        <v/>
      </c>
      <c r="G100" s="16">
        <f>IF($F100="","",IFERROR(INDEX(Roster!$B$2:$B$40,MATCH($F100,Roster!$A$2:$A$40,0)),""))</f>
        <v/>
      </c>
      <c r="H100" s="16">
        <f>IF($E100="","",IFERROR(IF(INDEX(Deals!$U$2:$U$355,MATCH($E100,Deals!$A$2:$A$355,0))=0,"",INDEX(Deals!$U$2:$U$355,MATCH($E100,Deals!$A$2:$A$355,0))),""))</f>
        <v/>
      </c>
      <c r="I100" s="18">
        <f>IF(OR($E100="",$F100=""),"",SUMIFS(Assignments!$I$2:$I$769,Assignments!$A$2:$A$769,$F100,Assignments!$C$2:$C$769,$E100))</f>
        <v/>
      </c>
      <c r="J100" s="65">
        <f>IF(OR($E100="",$F100=""),"",$D100-$I100)</f>
        <v/>
      </c>
      <c r="K100" s="20">
        <f>IF($A100="","",IF(AND($E100&lt;&gt;"",$F100&lt;&gt;""),"OK",TRIM(IF($E100="","unmatched code ","")&amp;IF($F100="","unmatched person",""))))</f>
        <v/>
      </c>
    </row>
    <row r="101">
      <c r="A101" s="31" t="n"/>
      <c r="B101" s="31" t="n"/>
      <c r="C101" s="31" t="n"/>
      <c r="D101" s="31" t="n"/>
      <c r="E101" s="16">
        <f>IF($A101="","",IF(COUNTIF(Deals!$A$2:$A$355,$A101)&gt;0,$A101,""))</f>
        <v/>
      </c>
      <c r="F101" s="16">
        <f>IF($B101="","",IFERROR(INDEX(Roster!$A$2:$A$40,MATCH($B101,Roster!$A$2:$A$40,0)),IFERROR(IF(INDEX(MapTracker,MATCH($B101,MapNetSuite,0))=0,"",INDEX(MapTracker,MATCH($B101,MapNetSuite,0))),"")))</f>
        <v/>
      </c>
      <c r="G101" s="16">
        <f>IF($F101="","",IFERROR(INDEX(Roster!$B$2:$B$40,MATCH($F101,Roster!$A$2:$A$40,0)),""))</f>
        <v/>
      </c>
      <c r="H101" s="16">
        <f>IF($E101="","",IFERROR(IF(INDEX(Deals!$U$2:$U$355,MATCH($E101,Deals!$A$2:$A$355,0))=0,"",INDEX(Deals!$U$2:$U$355,MATCH($E101,Deals!$A$2:$A$355,0))),""))</f>
        <v/>
      </c>
      <c r="I101" s="18">
        <f>IF(OR($E101="",$F101=""),"",SUMIFS(Assignments!$I$2:$I$769,Assignments!$A$2:$A$769,$F101,Assignments!$C$2:$C$769,$E101))</f>
        <v/>
      </c>
      <c r="J101" s="65">
        <f>IF(OR($E101="",$F101=""),"",$D101-$I101)</f>
        <v/>
      </c>
      <c r="K101" s="20">
        <f>IF($A101="","",IF(AND($E101&lt;&gt;"",$F101&lt;&gt;""),"OK",TRIM(IF($E101="","unmatched code ","")&amp;IF($F101="","unmatched person",""))))</f>
        <v/>
      </c>
    </row>
    <row r="102">
      <c r="A102" s="31" t="n"/>
      <c r="B102" s="31" t="n"/>
      <c r="C102" s="31" t="n"/>
      <c r="D102" s="31" t="n"/>
      <c r="E102" s="16">
        <f>IF($A102="","",IF(COUNTIF(Deals!$A$2:$A$355,$A102)&gt;0,$A102,""))</f>
        <v/>
      </c>
      <c r="F102" s="16">
        <f>IF($B102="","",IFERROR(INDEX(Roster!$A$2:$A$40,MATCH($B102,Roster!$A$2:$A$40,0)),IFERROR(IF(INDEX(MapTracker,MATCH($B102,MapNetSuite,0))=0,"",INDEX(MapTracker,MATCH($B102,MapNetSuite,0))),"")))</f>
        <v/>
      </c>
      <c r="G102" s="16">
        <f>IF($F102="","",IFERROR(INDEX(Roster!$B$2:$B$40,MATCH($F102,Roster!$A$2:$A$40,0)),""))</f>
        <v/>
      </c>
      <c r="H102" s="16">
        <f>IF($E102="","",IFERROR(IF(INDEX(Deals!$U$2:$U$355,MATCH($E102,Deals!$A$2:$A$355,0))=0,"",INDEX(Deals!$U$2:$U$355,MATCH($E102,Deals!$A$2:$A$355,0))),""))</f>
        <v/>
      </c>
      <c r="I102" s="18">
        <f>IF(OR($E102="",$F102=""),"",SUMIFS(Assignments!$I$2:$I$769,Assignments!$A$2:$A$769,$F102,Assignments!$C$2:$C$769,$E102))</f>
        <v/>
      </c>
      <c r="J102" s="65">
        <f>IF(OR($E102="",$F102=""),"",$D102-$I102)</f>
        <v/>
      </c>
      <c r="K102" s="20">
        <f>IF($A102="","",IF(AND($E102&lt;&gt;"",$F102&lt;&gt;""),"OK",TRIM(IF($E102="","unmatched code ","")&amp;IF($F102="","unmatched person",""))))</f>
        <v/>
      </c>
    </row>
    <row r="103">
      <c r="A103" s="31" t="n"/>
      <c r="B103" s="31" t="n"/>
      <c r="C103" s="31" t="n"/>
      <c r="D103" s="31" t="n"/>
      <c r="E103" s="16">
        <f>IF($A103="","",IF(COUNTIF(Deals!$A$2:$A$355,$A103)&gt;0,$A103,""))</f>
        <v/>
      </c>
      <c r="F103" s="16">
        <f>IF($B103="","",IFERROR(INDEX(Roster!$A$2:$A$40,MATCH($B103,Roster!$A$2:$A$40,0)),IFERROR(IF(INDEX(MapTracker,MATCH($B103,MapNetSuite,0))=0,"",INDEX(MapTracker,MATCH($B103,MapNetSuite,0))),"")))</f>
        <v/>
      </c>
      <c r="G103" s="16">
        <f>IF($F103="","",IFERROR(INDEX(Roster!$B$2:$B$40,MATCH($F103,Roster!$A$2:$A$40,0)),""))</f>
        <v/>
      </c>
      <c r="H103" s="16">
        <f>IF($E103="","",IFERROR(IF(INDEX(Deals!$U$2:$U$355,MATCH($E103,Deals!$A$2:$A$355,0))=0,"",INDEX(Deals!$U$2:$U$355,MATCH($E103,Deals!$A$2:$A$355,0))),""))</f>
        <v/>
      </c>
      <c r="I103" s="18">
        <f>IF(OR($E103="",$F103=""),"",SUMIFS(Assignments!$I$2:$I$769,Assignments!$A$2:$A$769,$F103,Assignments!$C$2:$C$769,$E103))</f>
        <v/>
      </c>
      <c r="J103" s="65">
        <f>IF(OR($E103="",$F103=""),"",$D103-$I103)</f>
        <v/>
      </c>
      <c r="K103" s="20">
        <f>IF($A103="","",IF(AND($E103&lt;&gt;"",$F103&lt;&gt;""),"OK",TRIM(IF($E103="","unmatched code ","")&amp;IF($F103="","unmatched person",""))))</f>
        <v/>
      </c>
    </row>
    <row r="104">
      <c r="A104" s="31" t="n"/>
      <c r="B104" s="31" t="n"/>
      <c r="C104" s="31" t="n"/>
      <c r="D104" s="31" t="n"/>
      <c r="E104" s="16">
        <f>IF($A104="","",IF(COUNTIF(Deals!$A$2:$A$355,$A104)&gt;0,$A104,""))</f>
        <v/>
      </c>
      <c r="F104" s="16">
        <f>IF($B104="","",IFERROR(INDEX(Roster!$A$2:$A$40,MATCH($B104,Roster!$A$2:$A$40,0)),IFERROR(IF(INDEX(MapTracker,MATCH($B104,MapNetSuite,0))=0,"",INDEX(MapTracker,MATCH($B104,MapNetSuite,0))),"")))</f>
        <v/>
      </c>
      <c r="G104" s="16">
        <f>IF($F104="","",IFERROR(INDEX(Roster!$B$2:$B$40,MATCH($F104,Roster!$A$2:$A$40,0)),""))</f>
        <v/>
      </c>
      <c r="H104" s="16">
        <f>IF($E104="","",IFERROR(IF(INDEX(Deals!$U$2:$U$355,MATCH($E104,Deals!$A$2:$A$355,0))=0,"",INDEX(Deals!$U$2:$U$355,MATCH($E104,Deals!$A$2:$A$355,0))),""))</f>
        <v/>
      </c>
      <c r="I104" s="18">
        <f>IF(OR($E104="",$F104=""),"",SUMIFS(Assignments!$I$2:$I$769,Assignments!$A$2:$A$769,$F104,Assignments!$C$2:$C$769,$E104))</f>
        <v/>
      </c>
      <c r="J104" s="65">
        <f>IF(OR($E104="",$F104=""),"",$D104-$I104)</f>
        <v/>
      </c>
      <c r="K104" s="20">
        <f>IF($A104="","",IF(AND($E104&lt;&gt;"",$F104&lt;&gt;""),"OK",TRIM(IF($E104="","unmatched code ","")&amp;IF($F104="","unmatched person",""))))</f>
        <v/>
      </c>
    </row>
    <row r="105">
      <c r="A105" s="31" t="n"/>
      <c r="B105" s="31" t="n"/>
      <c r="C105" s="31" t="n"/>
      <c r="D105" s="31" t="n"/>
      <c r="E105" s="16">
        <f>IF($A105="","",IF(COUNTIF(Deals!$A$2:$A$355,$A105)&gt;0,$A105,""))</f>
        <v/>
      </c>
      <c r="F105" s="16">
        <f>IF($B105="","",IFERROR(INDEX(Roster!$A$2:$A$40,MATCH($B105,Roster!$A$2:$A$40,0)),IFERROR(IF(INDEX(MapTracker,MATCH($B105,MapNetSuite,0))=0,"",INDEX(MapTracker,MATCH($B105,MapNetSuite,0))),"")))</f>
        <v/>
      </c>
      <c r="G105" s="16">
        <f>IF($F105="","",IFERROR(INDEX(Roster!$B$2:$B$40,MATCH($F105,Roster!$A$2:$A$40,0)),""))</f>
        <v/>
      </c>
      <c r="H105" s="16">
        <f>IF($E105="","",IFERROR(IF(INDEX(Deals!$U$2:$U$355,MATCH($E105,Deals!$A$2:$A$355,0))=0,"",INDEX(Deals!$U$2:$U$355,MATCH($E105,Deals!$A$2:$A$355,0))),""))</f>
        <v/>
      </c>
      <c r="I105" s="18">
        <f>IF(OR($E105="",$F105=""),"",SUMIFS(Assignments!$I$2:$I$769,Assignments!$A$2:$A$769,$F105,Assignments!$C$2:$C$769,$E105))</f>
        <v/>
      </c>
      <c r="J105" s="65">
        <f>IF(OR($E105="",$F105=""),"",$D105-$I105)</f>
        <v/>
      </c>
      <c r="K105" s="20">
        <f>IF($A105="","",IF(AND($E105&lt;&gt;"",$F105&lt;&gt;""),"OK",TRIM(IF($E105="","unmatched code ","")&amp;IF($F105="","unmatched person",""))))</f>
        <v/>
      </c>
    </row>
    <row r="106">
      <c r="A106" s="31" t="n"/>
      <c r="B106" s="31" t="n"/>
      <c r="C106" s="31" t="n"/>
      <c r="D106" s="31" t="n"/>
      <c r="E106" s="16">
        <f>IF($A106="","",IF(COUNTIF(Deals!$A$2:$A$355,$A106)&gt;0,$A106,""))</f>
        <v/>
      </c>
      <c r="F106" s="16">
        <f>IF($B106="","",IFERROR(INDEX(Roster!$A$2:$A$40,MATCH($B106,Roster!$A$2:$A$40,0)),IFERROR(IF(INDEX(MapTracker,MATCH($B106,MapNetSuite,0))=0,"",INDEX(MapTracker,MATCH($B106,MapNetSuite,0))),"")))</f>
        <v/>
      </c>
      <c r="G106" s="16">
        <f>IF($F106="","",IFERROR(INDEX(Roster!$B$2:$B$40,MATCH($F106,Roster!$A$2:$A$40,0)),""))</f>
        <v/>
      </c>
      <c r="H106" s="16">
        <f>IF($E106="","",IFERROR(IF(INDEX(Deals!$U$2:$U$355,MATCH($E106,Deals!$A$2:$A$355,0))=0,"",INDEX(Deals!$U$2:$U$355,MATCH($E106,Deals!$A$2:$A$355,0))),""))</f>
        <v/>
      </c>
      <c r="I106" s="18">
        <f>IF(OR($E106="",$F106=""),"",SUMIFS(Assignments!$I$2:$I$769,Assignments!$A$2:$A$769,$F106,Assignments!$C$2:$C$769,$E106))</f>
        <v/>
      </c>
      <c r="J106" s="65">
        <f>IF(OR($E106="",$F106=""),"",$D106-$I106)</f>
        <v/>
      </c>
      <c r="K106" s="20">
        <f>IF($A106="","",IF(AND($E106&lt;&gt;"",$F106&lt;&gt;""),"OK",TRIM(IF($E106="","unmatched code ","")&amp;IF($F106="","unmatched person",""))))</f>
        <v/>
      </c>
    </row>
    <row r="107">
      <c r="A107" s="31" t="n"/>
      <c r="B107" s="31" t="n"/>
      <c r="C107" s="31" t="n"/>
      <c r="D107" s="31" t="n"/>
      <c r="E107" s="16">
        <f>IF($A107="","",IF(COUNTIF(Deals!$A$2:$A$355,$A107)&gt;0,$A107,""))</f>
        <v/>
      </c>
      <c r="F107" s="16">
        <f>IF($B107="","",IFERROR(INDEX(Roster!$A$2:$A$40,MATCH($B107,Roster!$A$2:$A$40,0)),IFERROR(IF(INDEX(MapTracker,MATCH($B107,MapNetSuite,0))=0,"",INDEX(MapTracker,MATCH($B107,MapNetSuite,0))),"")))</f>
        <v/>
      </c>
      <c r="G107" s="16">
        <f>IF($F107="","",IFERROR(INDEX(Roster!$B$2:$B$40,MATCH($F107,Roster!$A$2:$A$40,0)),""))</f>
        <v/>
      </c>
      <c r="H107" s="16">
        <f>IF($E107="","",IFERROR(IF(INDEX(Deals!$U$2:$U$355,MATCH($E107,Deals!$A$2:$A$355,0))=0,"",INDEX(Deals!$U$2:$U$355,MATCH($E107,Deals!$A$2:$A$355,0))),""))</f>
        <v/>
      </c>
      <c r="I107" s="18">
        <f>IF(OR($E107="",$F107=""),"",SUMIFS(Assignments!$I$2:$I$769,Assignments!$A$2:$A$769,$F107,Assignments!$C$2:$C$769,$E107))</f>
        <v/>
      </c>
      <c r="J107" s="65">
        <f>IF(OR($E107="",$F107=""),"",$D107-$I107)</f>
        <v/>
      </c>
      <c r="K107" s="20">
        <f>IF($A107="","",IF(AND($E107&lt;&gt;"",$F107&lt;&gt;""),"OK",TRIM(IF($E107="","unmatched code ","")&amp;IF($F107="","unmatched person",""))))</f>
        <v/>
      </c>
    </row>
    <row r="108">
      <c r="A108" s="31" t="n"/>
      <c r="B108" s="31" t="n"/>
      <c r="C108" s="31" t="n"/>
      <c r="D108" s="31" t="n"/>
      <c r="E108" s="16">
        <f>IF($A108="","",IF(COUNTIF(Deals!$A$2:$A$355,$A108)&gt;0,$A108,""))</f>
        <v/>
      </c>
      <c r="F108" s="16">
        <f>IF($B108="","",IFERROR(INDEX(Roster!$A$2:$A$40,MATCH($B108,Roster!$A$2:$A$40,0)),IFERROR(IF(INDEX(MapTracker,MATCH($B108,MapNetSuite,0))=0,"",INDEX(MapTracker,MATCH($B108,MapNetSuite,0))),"")))</f>
        <v/>
      </c>
      <c r="G108" s="16">
        <f>IF($F108="","",IFERROR(INDEX(Roster!$B$2:$B$40,MATCH($F108,Roster!$A$2:$A$40,0)),""))</f>
        <v/>
      </c>
      <c r="H108" s="16">
        <f>IF($E108="","",IFERROR(IF(INDEX(Deals!$U$2:$U$355,MATCH($E108,Deals!$A$2:$A$355,0))=0,"",INDEX(Deals!$U$2:$U$355,MATCH($E108,Deals!$A$2:$A$355,0))),""))</f>
        <v/>
      </c>
      <c r="I108" s="18">
        <f>IF(OR($E108="",$F108=""),"",SUMIFS(Assignments!$I$2:$I$769,Assignments!$A$2:$A$769,$F108,Assignments!$C$2:$C$769,$E108))</f>
        <v/>
      </c>
      <c r="J108" s="65">
        <f>IF(OR($E108="",$F108=""),"",$D108-$I108)</f>
        <v/>
      </c>
      <c r="K108" s="20">
        <f>IF($A108="","",IF(AND($E108&lt;&gt;"",$F108&lt;&gt;""),"OK",TRIM(IF($E108="","unmatched code ","")&amp;IF($F108="","unmatched person",""))))</f>
        <v/>
      </c>
    </row>
    <row r="109">
      <c r="A109" s="31" t="n"/>
      <c r="B109" s="31" t="n"/>
      <c r="C109" s="31" t="n"/>
      <c r="D109" s="31" t="n"/>
      <c r="E109" s="16">
        <f>IF($A109="","",IF(COUNTIF(Deals!$A$2:$A$355,$A109)&gt;0,$A109,""))</f>
        <v/>
      </c>
      <c r="F109" s="16">
        <f>IF($B109="","",IFERROR(INDEX(Roster!$A$2:$A$40,MATCH($B109,Roster!$A$2:$A$40,0)),IFERROR(IF(INDEX(MapTracker,MATCH($B109,MapNetSuite,0))=0,"",INDEX(MapTracker,MATCH($B109,MapNetSuite,0))),"")))</f>
        <v/>
      </c>
      <c r="G109" s="16">
        <f>IF($F109="","",IFERROR(INDEX(Roster!$B$2:$B$40,MATCH($F109,Roster!$A$2:$A$40,0)),""))</f>
        <v/>
      </c>
      <c r="H109" s="16">
        <f>IF($E109="","",IFERROR(IF(INDEX(Deals!$U$2:$U$355,MATCH($E109,Deals!$A$2:$A$355,0))=0,"",INDEX(Deals!$U$2:$U$355,MATCH($E109,Deals!$A$2:$A$355,0))),""))</f>
        <v/>
      </c>
      <c r="I109" s="18">
        <f>IF(OR($E109="",$F109=""),"",SUMIFS(Assignments!$I$2:$I$769,Assignments!$A$2:$A$769,$F109,Assignments!$C$2:$C$769,$E109))</f>
        <v/>
      </c>
      <c r="J109" s="65">
        <f>IF(OR($E109="",$F109=""),"",$D109-$I109)</f>
        <v/>
      </c>
      <c r="K109" s="20">
        <f>IF($A109="","",IF(AND($E109&lt;&gt;"",$F109&lt;&gt;""),"OK",TRIM(IF($E109="","unmatched code ","")&amp;IF($F109="","unmatched person",""))))</f>
        <v/>
      </c>
    </row>
    <row r="110">
      <c r="A110" s="31" t="n"/>
      <c r="B110" s="31" t="n"/>
      <c r="C110" s="31" t="n"/>
      <c r="D110" s="31" t="n"/>
      <c r="E110" s="16">
        <f>IF($A110="","",IF(COUNTIF(Deals!$A$2:$A$355,$A110)&gt;0,$A110,""))</f>
        <v/>
      </c>
      <c r="F110" s="16">
        <f>IF($B110="","",IFERROR(INDEX(Roster!$A$2:$A$40,MATCH($B110,Roster!$A$2:$A$40,0)),IFERROR(IF(INDEX(MapTracker,MATCH($B110,MapNetSuite,0))=0,"",INDEX(MapTracker,MATCH($B110,MapNetSuite,0))),"")))</f>
        <v/>
      </c>
      <c r="G110" s="16">
        <f>IF($F110="","",IFERROR(INDEX(Roster!$B$2:$B$40,MATCH($F110,Roster!$A$2:$A$40,0)),""))</f>
        <v/>
      </c>
      <c r="H110" s="16">
        <f>IF($E110="","",IFERROR(IF(INDEX(Deals!$U$2:$U$355,MATCH($E110,Deals!$A$2:$A$355,0))=0,"",INDEX(Deals!$U$2:$U$355,MATCH($E110,Deals!$A$2:$A$355,0))),""))</f>
        <v/>
      </c>
      <c r="I110" s="18">
        <f>IF(OR($E110="",$F110=""),"",SUMIFS(Assignments!$I$2:$I$769,Assignments!$A$2:$A$769,$F110,Assignments!$C$2:$C$769,$E110))</f>
        <v/>
      </c>
      <c r="J110" s="65">
        <f>IF(OR($E110="",$F110=""),"",$D110-$I110)</f>
        <v/>
      </c>
      <c r="K110" s="20">
        <f>IF($A110="","",IF(AND($E110&lt;&gt;"",$F110&lt;&gt;""),"OK",TRIM(IF($E110="","unmatched code ","")&amp;IF($F110="","unmatched person",""))))</f>
        <v/>
      </c>
    </row>
    <row r="111">
      <c r="A111" s="31" t="n"/>
      <c r="B111" s="31" t="n"/>
      <c r="C111" s="31" t="n"/>
      <c r="D111" s="31" t="n"/>
      <c r="E111" s="16">
        <f>IF($A111="","",IF(COUNTIF(Deals!$A$2:$A$355,$A111)&gt;0,$A111,""))</f>
        <v/>
      </c>
      <c r="F111" s="16">
        <f>IF($B111="","",IFERROR(INDEX(Roster!$A$2:$A$40,MATCH($B111,Roster!$A$2:$A$40,0)),IFERROR(IF(INDEX(MapTracker,MATCH($B111,MapNetSuite,0))=0,"",INDEX(MapTracker,MATCH($B111,MapNetSuite,0))),"")))</f>
        <v/>
      </c>
      <c r="G111" s="16">
        <f>IF($F111="","",IFERROR(INDEX(Roster!$B$2:$B$40,MATCH($F111,Roster!$A$2:$A$40,0)),""))</f>
        <v/>
      </c>
      <c r="H111" s="16">
        <f>IF($E111="","",IFERROR(IF(INDEX(Deals!$U$2:$U$355,MATCH($E111,Deals!$A$2:$A$355,0))=0,"",INDEX(Deals!$U$2:$U$355,MATCH($E111,Deals!$A$2:$A$355,0))),""))</f>
        <v/>
      </c>
      <c r="I111" s="18">
        <f>IF(OR($E111="",$F111=""),"",SUMIFS(Assignments!$I$2:$I$769,Assignments!$A$2:$A$769,$F111,Assignments!$C$2:$C$769,$E111))</f>
        <v/>
      </c>
      <c r="J111" s="65">
        <f>IF(OR($E111="",$F111=""),"",$D111-$I111)</f>
        <v/>
      </c>
      <c r="K111" s="20">
        <f>IF($A111="","",IF(AND($E111&lt;&gt;"",$F111&lt;&gt;""),"OK",TRIM(IF($E111="","unmatched code ","")&amp;IF($F111="","unmatched person",""))))</f>
        <v/>
      </c>
    </row>
    <row r="112">
      <c r="A112" s="31" t="n"/>
      <c r="B112" s="31" t="n"/>
      <c r="C112" s="31" t="n"/>
      <c r="D112" s="31" t="n"/>
      <c r="E112" s="16">
        <f>IF($A112="","",IF(COUNTIF(Deals!$A$2:$A$355,$A112)&gt;0,$A112,""))</f>
        <v/>
      </c>
      <c r="F112" s="16">
        <f>IF($B112="","",IFERROR(INDEX(Roster!$A$2:$A$40,MATCH($B112,Roster!$A$2:$A$40,0)),IFERROR(IF(INDEX(MapTracker,MATCH($B112,MapNetSuite,0))=0,"",INDEX(MapTracker,MATCH($B112,MapNetSuite,0))),"")))</f>
        <v/>
      </c>
      <c r="G112" s="16">
        <f>IF($F112="","",IFERROR(INDEX(Roster!$B$2:$B$40,MATCH($F112,Roster!$A$2:$A$40,0)),""))</f>
        <v/>
      </c>
      <c r="H112" s="16">
        <f>IF($E112="","",IFERROR(IF(INDEX(Deals!$U$2:$U$355,MATCH($E112,Deals!$A$2:$A$355,0))=0,"",INDEX(Deals!$U$2:$U$355,MATCH($E112,Deals!$A$2:$A$355,0))),""))</f>
        <v/>
      </c>
      <c r="I112" s="18">
        <f>IF(OR($E112="",$F112=""),"",SUMIFS(Assignments!$I$2:$I$769,Assignments!$A$2:$A$769,$F112,Assignments!$C$2:$C$769,$E112))</f>
        <v/>
      </c>
      <c r="J112" s="65">
        <f>IF(OR($E112="",$F112=""),"",$D112-$I112)</f>
        <v/>
      </c>
      <c r="K112" s="20">
        <f>IF($A112="","",IF(AND($E112&lt;&gt;"",$F112&lt;&gt;""),"OK",TRIM(IF($E112="","unmatched code ","")&amp;IF($F112="","unmatched person",""))))</f>
        <v/>
      </c>
    </row>
    <row r="113">
      <c r="A113" s="31" t="n"/>
      <c r="B113" s="31" t="n"/>
      <c r="C113" s="31" t="n"/>
      <c r="D113" s="31" t="n"/>
      <c r="E113" s="16">
        <f>IF($A113="","",IF(COUNTIF(Deals!$A$2:$A$355,$A113)&gt;0,$A113,""))</f>
        <v/>
      </c>
      <c r="F113" s="16">
        <f>IF($B113="","",IFERROR(INDEX(Roster!$A$2:$A$40,MATCH($B113,Roster!$A$2:$A$40,0)),IFERROR(IF(INDEX(MapTracker,MATCH($B113,MapNetSuite,0))=0,"",INDEX(MapTracker,MATCH($B113,MapNetSuite,0))),"")))</f>
        <v/>
      </c>
      <c r="G113" s="16">
        <f>IF($F113="","",IFERROR(INDEX(Roster!$B$2:$B$40,MATCH($F113,Roster!$A$2:$A$40,0)),""))</f>
        <v/>
      </c>
      <c r="H113" s="16">
        <f>IF($E113="","",IFERROR(IF(INDEX(Deals!$U$2:$U$355,MATCH($E113,Deals!$A$2:$A$355,0))=0,"",INDEX(Deals!$U$2:$U$355,MATCH($E113,Deals!$A$2:$A$355,0))),""))</f>
        <v/>
      </c>
      <c r="I113" s="18">
        <f>IF(OR($E113="",$F113=""),"",SUMIFS(Assignments!$I$2:$I$769,Assignments!$A$2:$A$769,$F113,Assignments!$C$2:$C$769,$E113))</f>
        <v/>
      </c>
      <c r="J113" s="65">
        <f>IF(OR($E113="",$F113=""),"",$D113-$I113)</f>
        <v/>
      </c>
      <c r="K113" s="20">
        <f>IF($A113="","",IF(AND($E113&lt;&gt;"",$F113&lt;&gt;""),"OK",TRIM(IF($E113="","unmatched code ","")&amp;IF($F113="","unmatched person",""))))</f>
        <v/>
      </c>
    </row>
    <row r="114">
      <c r="A114" s="31" t="n"/>
      <c r="B114" s="31" t="n"/>
      <c r="C114" s="31" t="n"/>
      <c r="D114" s="31" t="n"/>
      <c r="E114" s="16">
        <f>IF($A114="","",IF(COUNTIF(Deals!$A$2:$A$355,$A114)&gt;0,$A114,""))</f>
        <v/>
      </c>
      <c r="F114" s="16">
        <f>IF($B114="","",IFERROR(INDEX(Roster!$A$2:$A$40,MATCH($B114,Roster!$A$2:$A$40,0)),IFERROR(IF(INDEX(MapTracker,MATCH($B114,MapNetSuite,0))=0,"",INDEX(MapTracker,MATCH($B114,MapNetSuite,0))),"")))</f>
        <v/>
      </c>
      <c r="G114" s="16">
        <f>IF($F114="","",IFERROR(INDEX(Roster!$B$2:$B$40,MATCH($F114,Roster!$A$2:$A$40,0)),""))</f>
        <v/>
      </c>
      <c r="H114" s="16">
        <f>IF($E114="","",IFERROR(IF(INDEX(Deals!$U$2:$U$355,MATCH($E114,Deals!$A$2:$A$355,0))=0,"",INDEX(Deals!$U$2:$U$355,MATCH($E114,Deals!$A$2:$A$355,0))),""))</f>
        <v/>
      </c>
      <c r="I114" s="18">
        <f>IF(OR($E114="",$F114=""),"",SUMIFS(Assignments!$I$2:$I$769,Assignments!$A$2:$A$769,$F114,Assignments!$C$2:$C$769,$E114))</f>
        <v/>
      </c>
      <c r="J114" s="65">
        <f>IF(OR($E114="",$F114=""),"",$D114-$I114)</f>
        <v/>
      </c>
      <c r="K114" s="20">
        <f>IF($A114="","",IF(AND($E114&lt;&gt;"",$F114&lt;&gt;""),"OK",TRIM(IF($E114="","unmatched code ","")&amp;IF($F114="","unmatched person",""))))</f>
        <v/>
      </c>
    </row>
    <row r="115">
      <c r="A115" s="31" t="n"/>
      <c r="B115" s="31" t="n"/>
      <c r="C115" s="31" t="n"/>
      <c r="D115" s="31" t="n"/>
      <c r="E115" s="16">
        <f>IF($A115="","",IF(COUNTIF(Deals!$A$2:$A$355,$A115)&gt;0,$A115,""))</f>
        <v/>
      </c>
      <c r="F115" s="16">
        <f>IF($B115="","",IFERROR(INDEX(Roster!$A$2:$A$40,MATCH($B115,Roster!$A$2:$A$40,0)),IFERROR(IF(INDEX(MapTracker,MATCH($B115,MapNetSuite,0))=0,"",INDEX(MapTracker,MATCH($B115,MapNetSuite,0))),"")))</f>
        <v/>
      </c>
      <c r="G115" s="16">
        <f>IF($F115="","",IFERROR(INDEX(Roster!$B$2:$B$40,MATCH($F115,Roster!$A$2:$A$40,0)),""))</f>
        <v/>
      </c>
      <c r="H115" s="16">
        <f>IF($E115="","",IFERROR(IF(INDEX(Deals!$U$2:$U$355,MATCH($E115,Deals!$A$2:$A$355,0))=0,"",INDEX(Deals!$U$2:$U$355,MATCH($E115,Deals!$A$2:$A$355,0))),""))</f>
        <v/>
      </c>
      <c r="I115" s="18">
        <f>IF(OR($E115="",$F115=""),"",SUMIFS(Assignments!$I$2:$I$769,Assignments!$A$2:$A$769,$F115,Assignments!$C$2:$C$769,$E115))</f>
        <v/>
      </c>
      <c r="J115" s="65">
        <f>IF(OR($E115="",$F115=""),"",$D115-$I115)</f>
        <v/>
      </c>
      <c r="K115" s="20">
        <f>IF($A115="","",IF(AND($E115&lt;&gt;"",$F115&lt;&gt;""),"OK",TRIM(IF($E115="","unmatched code ","")&amp;IF($F115="","unmatched person",""))))</f>
        <v/>
      </c>
    </row>
    <row r="116">
      <c r="A116" s="31" t="n"/>
      <c r="B116" s="31" t="n"/>
      <c r="C116" s="31" t="n"/>
      <c r="D116" s="31" t="n"/>
      <c r="E116" s="16">
        <f>IF($A116="","",IF(COUNTIF(Deals!$A$2:$A$355,$A116)&gt;0,$A116,""))</f>
        <v/>
      </c>
      <c r="F116" s="16">
        <f>IF($B116="","",IFERROR(INDEX(Roster!$A$2:$A$40,MATCH($B116,Roster!$A$2:$A$40,0)),IFERROR(IF(INDEX(MapTracker,MATCH($B116,MapNetSuite,0))=0,"",INDEX(MapTracker,MATCH($B116,MapNetSuite,0))),"")))</f>
        <v/>
      </c>
      <c r="G116" s="16">
        <f>IF($F116="","",IFERROR(INDEX(Roster!$B$2:$B$40,MATCH($F116,Roster!$A$2:$A$40,0)),""))</f>
        <v/>
      </c>
      <c r="H116" s="16">
        <f>IF($E116="","",IFERROR(IF(INDEX(Deals!$U$2:$U$355,MATCH($E116,Deals!$A$2:$A$355,0))=0,"",INDEX(Deals!$U$2:$U$355,MATCH($E116,Deals!$A$2:$A$355,0))),""))</f>
        <v/>
      </c>
      <c r="I116" s="18">
        <f>IF(OR($E116="",$F116=""),"",SUMIFS(Assignments!$I$2:$I$769,Assignments!$A$2:$A$769,$F116,Assignments!$C$2:$C$769,$E116))</f>
        <v/>
      </c>
      <c r="J116" s="65">
        <f>IF(OR($E116="",$F116=""),"",$D116-$I116)</f>
        <v/>
      </c>
      <c r="K116" s="20">
        <f>IF($A116="","",IF(AND($E116&lt;&gt;"",$F116&lt;&gt;""),"OK",TRIM(IF($E116="","unmatched code ","")&amp;IF($F116="","unmatched person",""))))</f>
        <v/>
      </c>
    </row>
    <row r="117">
      <c r="A117" s="31" t="n"/>
      <c r="B117" s="31" t="n"/>
      <c r="C117" s="31" t="n"/>
      <c r="D117" s="31" t="n"/>
      <c r="E117" s="16">
        <f>IF($A117="","",IF(COUNTIF(Deals!$A$2:$A$355,$A117)&gt;0,$A117,""))</f>
        <v/>
      </c>
      <c r="F117" s="16">
        <f>IF($B117="","",IFERROR(INDEX(Roster!$A$2:$A$40,MATCH($B117,Roster!$A$2:$A$40,0)),IFERROR(IF(INDEX(MapTracker,MATCH($B117,MapNetSuite,0))=0,"",INDEX(MapTracker,MATCH($B117,MapNetSuite,0))),"")))</f>
        <v/>
      </c>
      <c r="G117" s="16">
        <f>IF($F117="","",IFERROR(INDEX(Roster!$B$2:$B$40,MATCH($F117,Roster!$A$2:$A$40,0)),""))</f>
        <v/>
      </c>
      <c r="H117" s="16">
        <f>IF($E117="","",IFERROR(IF(INDEX(Deals!$U$2:$U$355,MATCH($E117,Deals!$A$2:$A$355,0))=0,"",INDEX(Deals!$U$2:$U$355,MATCH($E117,Deals!$A$2:$A$355,0))),""))</f>
        <v/>
      </c>
      <c r="I117" s="18">
        <f>IF(OR($E117="",$F117=""),"",SUMIFS(Assignments!$I$2:$I$769,Assignments!$A$2:$A$769,$F117,Assignments!$C$2:$C$769,$E117))</f>
        <v/>
      </c>
      <c r="J117" s="65">
        <f>IF(OR($E117="",$F117=""),"",$D117-$I117)</f>
        <v/>
      </c>
      <c r="K117" s="20">
        <f>IF($A117="","",IF(AND($E117&lt;&gt;"",$F117&lt;&gt;""),"OK",TRIM(IF($E117="","unmatched code ","")&amp;IF($F117="","unmatched person",""))))</f>
        <v/>
      </c>
    </row>
    <row r="118">
      <c r="A118" s="31" t="n"/>
      <c r="B118" s="31" t="n"/>
      <c r="C118" s="31" t="n"/>
      <c r="D118" s="31" t="n"/>
      <c r="E118" s="16">
        <f>IF($A118="","",IF(COUNTIF(Deals!$A$2:$A$355,$A118)&gt;0,$A118,""))</f>
        <v/>
      </c>
      <c r="F118" s="16">
        <f>IF($B118="","",IFERROR(INDEX(Roster!$A$2:$A$40,MATCH($B118,Roster!$A$2:$A$40,0)),IFERROR(IF(INDEX(MapTracker,MATCH($B118,MapNetSuite,0))=0,"",INDEX(MapTracker,MATCH($B118,MapNetSuite,0))),"")))</f>
        <v/>
      </c>
      <c r="G118" s="16">
        <f>IF($F118="","",IFERROR(INDEX(Roster!$B$2:$B$40,MATCH($F118,Roster!$A$2:$A$40,0)),""))</f>
        <v/>
      </c>
      <c r="H118" s="16">
        <f>IF($E118="","",IFERROR(IF(INDEX(Deals!$U$2:$U$355,MATCH($E118,Deals!$A$2:$A$355,0))=0,"",INDEX(Deals!$U$2:$U$355,MATCH($E118,Deals!$A$2:$A$355,0))),""))</f>
        <v/>
      </c>
      <c r="I118" s="18">
        <f>IF(OR($E118="",$F118=""),"",SUMIFS(Assignments!$I$2:$I$769,Assignments!$A$2:$A$769,$F118,Assignments!$C$2:$C$769,$E118))</f>
        <v/>
      </c>
      <c r="J118" s="65">
        <f>IF(OR($E118="",$F118=""),"",$D118-$I118)</f>
        <v/>
      </c>
      <c r="K118" s="20">
        <f>IF($A118="","",IF(AND($E118&lt;&gt;"",$F118&lt;&gt;""),"OK",TRIM(IF($E118="","unmatched code ","")&amp;IF($F118="","unmatched person",""))))</f>
        <v/>
      </c>
    </row>
    <row r="119">
      <c r="A119" s="31" t="n"/>
      <c r="B119" s="31" t="n"/>
      <c r="C119" s="31" t="n"/>
      <c r="D119" s="31" t="n"/>
      <c r="E119" s="16">
        <f>IF($A119="","",IF(COUNTIF(Deals!$A$2:$A$355,$A119)&gt;0,$A119,""))</f>
        <v/>
      </c>
      <c r="F119" s="16">
        <f>IF($B119="","",IFERROR(INDEX(Roster!$A$2:$A$40,MATCH($B119,Roster!$A$2:$A$40,0)),IFERROR(IF(INDEX(MapTracker,MATCH($B119,MapNetSuite,0))=0,"",INDEX(MapTracker,MATCH($B119,MapNetSuite,0))),"")))</f>
        <v/>
      </c>
      <c r="G119" s="16">
        <f>IF($F119="","",IFERROR(INDEX(Roster!$B$2:$B$40,MATCH($F119,Roster!$A$2:$A$40,0)),""))</f>
        <v/>
      </c>
      <c r="H119" s="16">
        <f>IF($E119="","",IFERROR(IF(INDEX(Deals!$U$2:$U$355,MATCH($E119,Deals!$A$2:$A$355,0))=0,"",INDEX(Deals!$U$2:$U$355,MATCH($E119,Deals!$A$2:$A$355,0))),""))</f>
        <v/>
      </c>
      <c r="I119" s="18">
        <f>IF(OR($E119="",$F119=""),"",SUMIFS(Assignments!$I$2:$I$769,Assignments!$A$2:$A$769,$F119,Assignments!$C$2:$C$769,$E119))</f>
        <v/>
      </c>
      <c r="J119" s="65">
        <f>IF(OR($E119="",$F119=""),"",$D119-$I119)</f>
        <v/>
      </c>
      <c r="K119" s="20">
        <f>IF($A119="","",IF(AND($E119&lt;&gt;"",$F119&lt;&gt;""),"OK",TRIM(IF($E119="","unmatched code ","")&amp;IF($F119="","unmatched person",""))))</f>
        <v/>
      </c>
    </row>
    <row r="120">
      <c r="A120" s="31" t="n"/>
      <c r="B120" s="31" t="n"/>
      <c r="C120" s="31" t="n"/>
      <c r="D120" s="31" t="n"/>
      <c r="E120" s="16">
        <f>IF($A120="","",IF(COUNTIF(Deals!$A$2:$A$355,$A120)&gt;0,$A120,""))</f>
        <v/>
      </c>
      <c r="F120" s="16">
        <f>IF($B120="","",IFERROR(INDEX(Roster!$A$2:$A$40,MATCH($B120,Roster!$A$2:$A$40,0)),IFERROR(IF(INDEX(MapTracker,MATCH($B120,MapNetSuite,0))=0,"",INDEX(MapTracker,MATCH($B120,MapNetSuite,0))),"")))</f>
        <v/>
      </c>
      <c r="G120" s="16">
        <f>IF($F120="","",IFERROR(INDEX(Roster!$B$2:$B$40,MATCH($F120,Roster!$A$2:$A$40,0)),""))</f>
        <v/>
      </c>
      <c r="H120" s="16">
        <f>IF($E120="","",IFERROR(IF(INDEX(Deals!$U$2:$U$355,MATCH($E120,Deals!$A$2:$A$355,0))=0,"",INDEX(Deals!$U$2:$U$355,MATCH($E120,Deals!$A$2:$A$355,0))),""))</f>
        <v/>
      </c>
      <c r="I120" s="18">
        <f>IF(OR($E120="",$F120=""),"",SUMIFS(Assignments!$I$2:$I$769,Assignments!$A$2:$A$769,$F120,Assignments!$C$2:$C$769,$E120))</f>
        <v/>
      </c>
      <c r="J120" s="65">
        <f>IF(OR($E120="",$F120=""),"",$D120-$I120)</f>
        <v/>
      </c>
      <c r="K120" s="20">
        <f>IF($A120="","",IF(AND($E120&lt;&gt;"",$F120&lt;&gt;""),"OK",TRIM(IF($E120="","unmatched code ","")&amp;IF($F120="","unmatched person",""))))</f>
        <v/>
      </c>
    </row>
    <row r="121">
      <c r="A121" s="31" t="n"/>
      <c r="B121" s="31" t="n"/>
      <c r="C121" s="31" t="n"/>
      <c r="D121" s="31" t="n"/>
      <c r="E121" s="16">
        <f>IF($A121="","",IF(COUNTIF(Deals!$A$2:$A$355,$A121)&gt;0,$A121,""))</f>
        <v/>
      </c>
      <c r="F121" s="16">
        <f>IF($B121="","",IFERROR(INDEX(Roster!$A$2:$A$40,MATCH($B121,Roster!$A$2:$A$40,0)),IFERROR(IF(INDEX(MapTracker,MATCH($B121,MapNetSuite,0))=0,"",INDEX(MapTracker,MATCH($B121,MapNetSuite,0))),"")))</f>
        <v/>
      </c>
      <c r="G121" s="16">
        <f>IF($F121="","",IFERROR(INDEX(Roster!$B$2:$B$40,MATCH($F121,Roster!$A$2:$A$40,0)),""))</f>
        <v/>
      </c>
      <c r="H121" s="16">
        <f>IF($E121="","",IFERROR(IF(INDEX(Deals!$U$2:$U$355,MATCH($E121,Deals!$A$2:$A$355,0))=0,"",INDEX(Deals!$U$2:$U$355,MATCH($E121,Deals!$A$2:$A$355,0))),""))</f>
        <v/>
      </c>
      <c r="I121" s="18">
        <f>IF(OR($E121="",$F121=""),"",SUMIFS(Assignments!$I$2:$I$769,Assignments!$A$2:$A$769,$F121,Assignments!$C$2:$C$769,$E121))</f>
        <v/>
      </c>
      <c r="J121" s="65">
        <f>IF(OR($E121="",$F121=""),"",$D121-$I121)</f>
        <v/>
      </c>
      <c r="K121" s="20">
        <f>IF($A121="","",IF(AND($E121&lt;&gt;"",$F121&lt;&gt;""),"OK",TRIM(IF($E121="","unmatched code ","")&amp;IF($F121="","unmatched person",""))))</f>
        <v/>
      </c>
    </row>
    <row r="122">
      <c r="A122" s="31" t="n"/>
      <c r="B122" s="31" t="n"/>
      <c r="C122" s="31" t="n"/>
      <c r="D122" s="31" t="n"/>
      <c r="E122" s="16">
        <f>IF($A122="","",IF(COUNTIF(Deals!$A$2:$A$355,$A122)&gt;0,$A122,""))</f>
        <v/>
      </c>
      <c r="F122" s="16">
        <f>IF($B122="","",IFERROR(INDEX(Roster!$A$2:$A$40,MATCH($B122,Roster!$A$2:$A$40,0)),IFERROR(IF(INDEX(MapTracker,MATCH($B122,MapNetSuite,0))=0,"",INDEX(MapTracker,MATCH($B122,MapNetSuite,0))),"")))</f>
        <v/>
      </c>
      <c r="G122" s="16">
        <f>IF($F122="","",IFERROR(INDEX(Roster!$B$2:$B$40,MATCH($F122,Roster!$A$2:$A$40,0)),""))</f>
        <v/>
      </c>
      <c r="H122" s="16">
        <f>IF($E122="","",IFERROR(IF(INDEX(Deals!$U$2:$U$355,MATCH($E122,Deals!$A$2:$A$355,0))=0,"",INDEX(Deals!$U$2:$U$355,MATCH($E122,Deals!$A$2:$A$355,0))),""))</f>
        <v/>
      </c>
      <c r="I122" s="18">
        <f>IF(OR($E122="",$F122=""),"",SUMIFS(Assignments!$I$2:$I$769,Assignments!$A$2:$A$769,$F122,Assignments!$C$2:$C$769,$E122))</f>
        <v/>
      </c>
      <c r="J122" s="65">
        <f>IF(OR($E122="",$F122=""),"",$D122-$I122)</f>
        <v/>
      </c>
      <c r="K122" s="20">
        <f>IF($A122="","",IF(AND($E122&lt;&gt;"",$F122&lt;&gt;""),"OK",TRIM(IF($E122="","unmatched code ","")&amp;IF($F122="","unmatched person",""))))</f>
        <v/>
      </c>
    </row>
    <row r="123">
      <c r="A123" s="31" t="n"/>
      <c r="B123" s="31" t="n"/>
      <c r="C123" s="31" t="n"/>
      <c r="D123" s="31" t="n"/>
      <c r="E123" s="16">
        <f>IF($A123="","",IF(COUNTIF(Deals!$A$2:$A$355,$A123)&gt;0,$A123,""))</f>
        <v/>
      </c>
      <c r="F123" s="16">
        <f>IF($B123="","",IFERROR(INDEX(Roster!$A$2:$A$40,MATCH($B123,Roster!$A$2:$A$40,0)),IFERROR(IF(INDEX(MapTracker,MATCH($B123,MapNetSuite,0))=0,"",INDEX(MapTracker,MATCH($B123,MapNetSuite,0))),"")))</f>
        <v/>
      </c>
      <c r="G123" s="16">
        <f>IF($F123="","",IFERROR(INDEX(Roster!$B$2:$B$40,MATCH($F123,Roster!$A$2:$A$40,0)),""))</f>
        <v/>
      </c>
      <c r="H123" s="16">
        <f>IF($E123="","",IFERROR(IF(INDEX(Deals!$U$2:$U$355,MATCH($E123,Deals!$A$2:$A$355,0))=0,"",INDEX(Deals!$U$2:$U$355,MATCH($E123,Deals!$A$2:$A$355,0))),""))</f>
        <v/>
      </c>
      <c r="I123" s="18">
        <f>IF(OR($E123="",$F123=""),"",SUMIFS(Assignments!$I$2:$I$769,Assignments!$A$2:$A$769,$F123,Assignments!$C$2:$C$769,$E123))</f>
        <v/>
      </c>
      <c r="J123" s="65">
        <f>IF(OR($E123="",$F123=""),"",$D123-$I123)</f>
        <v/>
      </c>
      <c r="K123" s="20">
        <f>IF($A123="","",IF(AND($E123&lt;&gt;"",$F123&lt;&gt;""),"OK",TRIM(IF($E123="","unmatched code ","")&amp;IF($F123="","unmatched person",""))))</f>
        <v/>
      </c>
    </row>
    <row r="124">
      <c r="A124" s="31" t="n"/>
      <c r="B124" s="31" t="n"/>
      <c r="C124" s="31" t="n"/>
      <c r="D124" s="31" t="n"/>
      <c r="E124" s="16">
        <f>IF($A124="","",IF(COUNTIF(Deals!$A$2:$A$355,$A124)&gt;0,$A124,""))</f>
        <v/>
      </c>
      <c r="F124" s="16">
        <f>IF($B124="","",IFERROR(INDEX(Roster!$A$2:$A$40,MATCH($B124,Roster!$A$2:$A$40,0)),IFERROR(IF(INDEX(MapTracker,MATCH($B124,MapNetSuite,0))=0,"",INDEX(MapTracker,MATCH($B124,MapNetSuite,0))),"")))</f>
        <v/>
      </c>
      <c r="G124" s="16">
        <f>IF($F124="","",IFERROR(INDEX(Roster!$B$2:$B$40,MATCH($F124,Roster!$A$2:$A$40,0)),""))</f>
        <v/>
      </c>
      <c r="H124" s="16">
        <f>IF($E124="","",IFERROR(IF(INDEX(Deals!$U$2:$U$355,MATCH($E124,Deals!$A$2:$A$355,0))=0,"",INDEX(Deals!$U$2:$U$355,MATCH($E124,Deals!$A$2:$A$355,0))),""))</f>
        <v/>
      </c>
      <c r="I124" s="18">
        <f>IF(OR($E124="",$F124=""),"",SUMIFS(Assignments!$I$2:$I$769,Assignments!$A$2:$A$769,$F124,Assignments!$C$2:$C$769,$E124))</f>
        <v/>
      </c>
      <c r="J124" s="65">
        <f>IF(OR($E124="",$F124=""),"",$D124-$I124)</f>
        <v/>
      </c>
      <c r="K124" s="20">
        <f>IF($A124="","",IF(AND($E124&lt;&gt;"",$F124&lt;&gt;""),"OK",TRIM(IF($E124="","unmatched code ","")&amp;IF($F124="","unmatched person",""))))</f>
        <v/>
      </c>
    </row>
    <row r="125">
      <c r="A125" s="31" t="n"/>
      <c r="B125" s="31" t="n"/>
      <c r="C125" s="31" t="n"/>
      <c r="D125" s="31" t="n"/>
      <c r="E125" s="16">
        <f>IF($A125="","",IF(COUNTIF(Deals!$A$2:$A$355,$A125)&gt;0,$A125,""))</f>
        <v/>
      </c>
      <c r="F125" s="16">
        <f>IF($B125="","",IFERROR(INDEX(Roster!$A$2:$A$40,MATCH($B125,Roster!$A$2:$A$40,0)),IFERROR(IF(INDEX(MapTracker,MATCH($B125,MapNetSuite,0))=0,"",INDEX(MapTracker,MATCH($B125,MapNetSuite,0))),"")))</f>
        <v/>
      </c>
      <c r="G125" s="16">
        <f>IF($F125="","",IFERROR(INDEX(Roster!$B$2:$B$40,MATCH($F125,Roster!$A$2:$A$40,0)),""))</f>
        <v/>
      </c>
      <c r="H125" s="16">
        <f>IF($E125="","",IFERROR(IF(INDEX(Deals!$U$2:$U$355,MATCH($E125,Deals!$A$2:$A$355,0))=0,"",INDEX(Deals!$U$2:$U$355,MATCH($E125,Deals!$A$2:$A$355,0))),""))</f>
        <v/>
      </c>
      <c r="I125" s="18">
        <f>IF(OR($E125="",$F125=""),"",SUMIFS(Assignments!$I$2:$I$769,Assignments!$A$2:$A$769,$F125,Assignments!$C$2:$C$769,$E125))</f>
        <v/>
      </c>
      <c r="J125" s="65">
        <f>IF(OR($E125="",$F125=""),"",$D125-$I125)</f>
        <v/>
      </c>
      <c r="K125" s="20">
        <f>IF($A125="","",IF(AND($E125&lt;&gt;"",$F125&lt;&gt;""),"OK",TRIM(IF($E125="","unmatched code ","")&amp;IF($F125="","unmatched person",""))))</f>
        <v/>
      </c>
    </row>
    <row r="126">
      <c r="A126" s="31" t="n"/>
      <c r="B126" s="31" t="n"/>
      <c r="C126" s="31" t="n"/>
      <c r="D126" s="31" t="n"/>
      <c r="E126" s="16">
        <f>IF($A126="","",IF(COUNTIF(Deals!$A$2:$A$355,$A126)&gt;0,$A126,""))</f>
        <v/>
      </c>
      <c r="F126" s="16">
        <f>IF($B126="","",IFERROR(INDEX(Roster!$A$2:$A$40,MATCH($B126,Roster!$A$2:$A$40,0)),IFERROR(IF(INDEX(MapTracker,MATCH($B126,MapNetSuite,0))=0,"",INDEX(MapTracker,MATCH($B126,MapNetSuite,0))),"")))</f>
        <v/>
      </c>
      <c r="G126" s="16">
        <f>IF($F126="","",IFERROR(INDEX(Roster!$B$2:$B$40,MATCH($F126,Roster!$A$2:$A$40,0)),""))</f>
        <v/>
      </c>
      <c r="H126" s="16">
        <f>IF($E126="","",IFERROR(IF(INDEX(Deals!$U$2:$U$355,MATCH($E126,Deals!$A$2:$A$355,0))=0,"",INDEX(Deals!$U$2:$U$355,MATCH($E126,Deals!$A$2:$A$355,0))),""))</f>
        <v/>
      </c>
      <c r="I126" s="18">
        <f>IF(OR($E126="",$F126=""),"",SUMIFS(Assignments!$I$2:$I$769,Assignments!$A$2:$A$769,$F126,Assignments!$C$2:$C$769,$E126))</f>
        <v/>
      </c>
      <c r="J126" s="65">
        <f>IF(OR($E126="",$F126=""),"",$D126-$I126)</f>
        <v/>
      </c>
      <c r="K126" s="20">
        <f>IF($A126="","",IF(AND($E126&lt;&gt;"",$F126&lt;&gt;""),"OK",TRIM(IF($E126="","unmatched code ","")&amp;IF($F126="","unmatched person",""))))</f>
        <v/>
      </c>
    </row>
    <row r="127">
      <c r="A127" s="31" t="n"/>
      <c r="B127" s="31" t="n"/>
      <c r="C127" s="31" t="n"/>
      <c r="D127" s="31" t="n"/>
      <c r="E127" s="16">
        <f>IF($A127="","",IF(COUNTIF(Deals!$A$2:$A$355,$A127)&gt;0,$A127,""))</f>
        <v/>
      </c>
      <c r="F127" s="16">
        <f>IF($B127="","",IFERROR(INDEX(Roster!$A$2:$A$40,MATCH($B127,Roster!$A$2:$A$40,0)),IFERROR(IF(INDEX(MapTracker,MATCH($B127,MapNetSuite,0))=0,"",INDEX(MapTracker,MATCH($B127,MapNetSuite,0))),"")))</f>
        <v/>
      </c>
      <c r="G127" s="16">
        <f>IF($F127="","",IFERROR(INDEX(Roster!$B$2:$B$40,MATCH($F127,Roster!$A$2:$A$40,0)),""))</f>
        <v/>
      </c>
      <c r="H127" s="16">
        <f>IF($E127="","",IFERROR(IF(INDEX(Deals!$U$2:$U$355,MATCH($E127,Deals!$A$2:$A$355,0))=0,"",INDEX(Deals!$U$2:$U$355,MATCH($E127,Deals!$A$2:$A$355,0))),""))</f>
        <v/>
      </c>
      <c r="I127" s="18">
        <f>IF(OR($E127="",$F127=""),"",SUMIFS(Assignments!$I$2:$I$769,Assignments!$A$2:$A$769,$F127,Assignments!$C$2:$C$769,$E127))</f>
        <v/>
      </c>
      <c r="J127" s="65">
        <f>IF(OR($E127="",$F127=""),"",$D127-$I127)</f>
        <v/>
      </c>
      <c r="K127" s="20">
        <f>IF($A127="","",IF(AND($E127&lt;&gt;"",$F127&lt;&gt;""),"OK",TRIM(IF($E127="","unmatched code ","")&amp;IF($F127="","unmatched person",""))))</f>
        <v/>
      </c>
    </row>
    <row r="128">
      <c r="A128" s="31" t="n"/>
      <c r="B128" s="31" t="n"/>
      <c r="C128" s="31" t="n"/>
      <c r="D128" s="31" t="n"/>
      <c r="E128" s="16">
        <f>IF($A128="","",IF(COUNTIF(Deals!$A$2:$A$355,$A128)&gt;0,$A128,""))</f>
        <v/>
      </c>
      <c r="F128" s="16">
        <f>IF($B128="","",IFERROR(INDEX(Roster!$A$2:$A$40,MATCH($B128,Roster!$A$2:$A$40,0)),IFERROR(IF(INDEX(MapTracker,MATCH($B128,MapNetSuite,0))=0,"",INDEX(MapTracker,MATCH($B128,MapNetSuite,0))),"")))</f>
        <v/>
      </c>
      <c r="G128" s="16">
        <f>IF($F128="","",IFERROR(INDEX(Roster!$B$2:$B$40,MATCH($F128,Roster!$A$2:$A$40,0)),""))</f>
        <v/>
      </c>
      <c r="H128" s="16">
        <f>IF($E128="","",IFERROR(IF(INDEX(Deals!$U$2:$U$355,MATCH($E128,Deals!$A$2:$A$355,0))=0,"",INDEX(Deals!$U$2:$U$355,MATCH($E128,Deals!$A$2:$A$355,0))),""))</f>
        <v/>
      </c>
      <c r="I128" s="18">
        <f>IF(OR($E128="",$F128=""),"",SUMIFS(Assignments!$I$2:$I$769,Assignments!$A$2:$A$769,$F128,Assignments!$C$2:$C$769,$E128))</f>
        <v/>
      </c>
      <c r="J128" s="65">
        <f>IF(OR($E128="",$F128=""),"",$D128-$I128)</f>
        <v/>
      </c>
      <c r="K128" s="20">
        <f>IF($A128="","",IF(AND($E128&lt;&gt;"",$F128&lt;&gt;""),"OK",TRIM(IF($E128="","unmatched code ","")&amp;IF($F128="","unmatched person",""))))</f>
        <v/>
      </c>
    </row>
    <row r="129">
      <c r="A129" s="31" t="n"/>
      <c r="B129" s="31" t="n"/>
      <c r="C129" s="31" t="n"/>
      <c r="D129" s="31" t="n"/>
      <c r="E129" s="16">
        <f>IF($A129="","",IF(COUNTIF(Deals!$A$2:$A$355,$A129)&gt;0,$A129,""))</f>
        <v/>
      </c>
      <c r="F129" s="16">
        <f>IF($B129="","",IFERROR(INDEX(Roster!$A$2:$A$40,MATCH($B129,Roster!$A$2:$A$40,0)),IFERROR(IF(INDEX(MapTracker,MATCH($B129,MapNetSuite,0))=0,"",INDEX(MapTracker,MATCH($B129,MapNetSuite,0))),"")))</f>
        <v/>
      </c>
      <c r="G129" s="16">
        <f>IF($F129="","",IFERROR(INDEX(Roster!$B$2:$B$40,MATCH($F129,Roster!$A$2:$A$40,0)),""))</f>
        <v/>
      </c>
      <c r="H129" s="16">
        <f>IF($E129="","",IFERROR(IF(INDEX(Deals!$U$2:$U$355,MATCH($E129,Deals!$A$2:$A$355,0))=0,"",INDEX(Deals!$U$2:$U$355,MATCH($E129,Deals!$A$2:$A$355,0))),""))</f>
        <v/>
      </c>
      <c r="I129" s="18">
        <f>IF(OR($E129="",$F129=""),"",SUMIFS(Assignments!$I$2:$I$769,Assignments!$A$2:$A$769,$F129,Assignments!$C$2:$C$769,$E129))</f>
        <v/>
      </c>
      <c r="J129" s="65">
        <f>IF(OR($E129="",$F129=""),"",$D129-$I129)</f>
        <v/>
      </c>
      <c r="K129" s="20">
        <f>IF($A129="","",IF(AND($E129&lt;&gt;"",$F129&lt;&gt;""),"OK",TRIM(IF($E129="","unmatched code ","")&amp;IF($F129="","unmatched person",""))))</f>
        <v/>
      </c>
    </row>
    <row r="130">
      <c r="A130" s="31" t="n"/>
      <c r="B130" s="31" t="n"/>
      <c r="C130" s="31" t="n"/>
      <c r="D130" s="31" t="n"/>
      <c r="E130" s="16">
        <f>IF($A130="","",IF(COUNTIF(Deals!$A$2:$A$355,$A130)&gt;0,$A130,""))</f>
        <v/>
      </c>
      <c r="F130" s="16">
        <f>IF($B130="","",IFERROR(INDEX(Roster!$A$2:$A$40,MATCH($B130,Roster!$A$2:$A$40,0)),IFERROR(IF(INDEX(MapTracker,MATCH($B130,MapNetSuite,0))=0,"",INDEX(MapTracker,MATCH($B130,MapNetSuite,0))),"")))</f>
        <v/>
      </c>
      <c r="G130" s="16">
        <f>IF($F130="","",IFERROR(INDEX(Roster!$B$2:$B$40,MATCH($F130,Roster!$A$2:$A$40,0)),""))</f>
        <v/>
      </c>
      <c r="H130" s="16">
        <f>IF($E130="","",IFERROR(IF(INDEX(Deals!$U$2:$U$355,MATCH($E130,Deals!$A$2:$A$355,0))=0,"",INDEX(Deals!$U$2:$U$355,MATCH($E130,Deals!$A$2:$A$355,0))),""))</f>
        <v/>
      </c>
      <c r="I130" s="18">
        <f>IF(OR($E130="",$F130=""),"",SUMIFS(Assignments!$I$2:$I$769,Assignments!$A$2:$A$769,$F130,Assignments!$C$2:$C$769,$E130))</f>
        <v/>
      </c>
      <c r="J130" s="65">
        <f>IF(OR($E130="",$F130=""),"",$D130-$I130)</f>
        <v/>
      </c>
      <c r="K130" s="20">
        <f>IF($A130="","",IF(AND($E130&lt;&gt;"",$F130&lt;&gt;""),"OK",TRIM(IF($E130="","unmatched code ","")&amp;IF($F130="","unmatched person",""))))</f>
        <v/>
      </c>
    </row>
    <row r="131">
      <c r="A131" s="31" t="n"/>
      <c r="B131" s="31" t="n"/>
      <c r="C131" s="31" t="n"/>
      <c r="D131" s="31" t="n"/>
      <c r="E131" s="16">
        <f>IF($A131="","",IF(COUNTIF(Deals!$A$2:$A$355,$A131)&gt;0,$A131,""))</f>
        <v/>
      </c>
      <c r="F131" s="16">
        <f>IF($B131="","",IFERROR(INDEX(Roster!$A$2:$A$40,MATCH($B131,Roster!$A$2:$A$40,0)),IFERROR(IF(INDEX(MapTracker,MATCH($B131,MapNetSuite,0))=0,"",INDEX(MapTracker,MATCH($B131,MapNetSuite,0))),"")))</f>
        <v/>
      </c>
      <c r="G131" s="16">
        <f>IF($F131="","",IFERROR(INDEX(Roster!$B$2:$B$40,MATCH($F131,Roster!$A$2:$A$40,0)),""))</f>
        <v/>
      </c>
      <c r="H131" s="16">
        <f>IF($E131="","",IFERROR(IF(INDEX(Deals!$U$2:$U$355,MATCH($E131,Deals!$A$2:$A$355,0))=0,"",INDEX(Deals!$U$2:$U$355,MATCH($E131,Deals!$A$2:$A$355,0))),""))</f>
        <v/>
      </c>
      <c r="I131" s="18">
        <f>IF(OR($E131="",$F131=""),"",SUMIFS(Assignments!$I$2:$I$769,Assignments!$A$2:$A$769,$F131,Assignments!$C$2:$C$769,$E131))</f>
        <v/>
      </c>
      <c r="J131" s="65">
        <f>IF(OR($E131="",$F131=""),"",$D131-$I131)</f>
        <v/>
      </c>
      <c r="K131" s="20">
        <f>IF($A131="","",IF(AND($E131&lt;&gt;"",$F131&lt;&gt;""),"OK",TRIM(IF($E131="","unmatched code ","")&amp;IF($F131="","unmatched person",""))))</f>
        <v/>
      </c>
    </row>
    <row r="132">
      <c r="A132" s="31" t="n"/>
      <c r="B132" s="31" t="n"/>
      <c r="C132" s="31" t="n"/>
      <c r="D132" s="31" t="n"/>
      <c r="E132" s="16">
        <f>IF($A132="","",IF(COUNTIF(Deals!$A$2:$A$355,$A132)&gt;0,$A132,""))</f>
        <v/>
      </c>
      <c r="F132" s="16">
        <f>IF($B132="","",IFERROR(INDEX(Roster!$A$2:$A$40,MATCH($B132,Roster!$A$2:$A$40,0)),IFERROR(IF(INDEX(MapTracker,MATCH($B132,MapNetSuite,0))=0,"",INDEX(MapTracker,MATCH($B132,MapNetSuite,0))),"")))</f>
        <v/>
      </c>
      <c r="G132" s="16">
        <f>IF($F132="","",IFERROR(INDEX(Roster!$B$2:$B$40,MATCH($F132,Roster!$A$2:$A$40,0)),""))</f>
        <v/>
      </c>
      <c r="H132" s="16">
        <f>IF($E132="","",IFERROR(IF(INDEX(Deals!$U$2:$U$355,MATCH($E132,Deals!$A$2:$A$355,0))=0,"",INDEX(Deals!$U$2:$U$355,MATCH($E132,Deals!$A$2:$A$355,0))),""))</f>
        <v/>
      </c>
      <c r="I132" s="18">
        <f>IF(OR($E132="",$F132=""),"",SUMIFS(Assignments!$I$2:$I$769,Assignments!$A$2:$A$769,$F132,Assignments!$C$2:$C$769,$E132))</f>
        <v/>
      </c>
      <c r="J132" s="65">
        <f>IF(OR($E132="",$F132=""),"",$D132-$I132)</f>
        <v/>
      </c>
      <c r="K132" s="20">
        <f>IF($A132="","",IF(AND($E132&lt;&gt;"",$F132&lt;&gt;""),"OK",TRIM(IF($E132="","unmatched code ","")&amp;IF($F132="","unmatched person",""))))</f>
        <v/>
      </c>
    </row>
    <row r="133">
      <c r="A133" s="31" t="n"/>
      <c r="B133" s="31" t="n"/>
      <c r="C133" s="31" t="n"/>
      <c r="D133" s="31" t="n"/>
      <c r="E133" s="16">
        <f>IF($A133="","",IF(COUNTIF(Deals!$A$2:$A$355,$A133)&gt;0,$A133,""))</f>
        <v/>
      </c>
      <c r="F133" s="16">
        <f>IF($B133="","",IFERROR(INDEX(Roster!$A$2:$A$40,MATCH($B133,Roster!$A$2:$A$40,0)),IFERROR(IF(INDEX(MapTracker,MATCH($B133,MapNetSuite,0))=0,"",INDEX(MapTracker,MATCH($B133,MapNetSuite,0))),"")))</f>
        <v/>
      </c>
      <c r="G133" s="16">
        <f>IF($F133="","",IFERROR(INDEX(Roster!$B$2:$B$40,MATCH($F133,Roster!$A$2:$A$40,0)),""))</f>
        <v/>
      </c>
      <c r="H133" s="16">
        <f>IF($E133="","",IFERROR(IF(INDEX(Deals!$U$2:$U$355,MATCH($E133,Deals!$A$2:$A$355,0))=0,"",INDEX(Deals!$U$2:$U$355,MATCH($E133,Deals!$A$2:$A$355,0))),""))</f>
        <v/>
      </c>
      <c r="I133" s="18">
        <f>IF(OR($E133="",$F133=""),"",SUMIFS(Assignments!$I$2:$I$769,Assignments!$A$2:$A$769,$F133,Assignments!$C$2:$C$769,$E133))</f>
        <v/>
      </c>
      <c r="J133" s="65">
        <f>IF(OR($E133="",$F133=""),"",$D133-$I133)</f>
        <v/>
      </c>
      <c r="K133" s="20">
        <f>IF($A133="","",IF(AND($E133&lt;&gt;"",$F133&lt;&gt;""),"OK",TRIM(IF($E133="","unmatched code ","")&amp;IF($F133="","unmatched person",""))))</f>
        <v/>
      </c>
    </row>
    <row r="134">
      <c r="A134" s="31" t="n"/>
      <c r="B134" s="31" t="n"/>
      <c r="C134" s="31" t="n"/>
      <c r="D134" s="31" t="n"/>
      <c r="E134" s="16">
        <f>IF($A134="","",IF(COUNTIF(Deals!$A$2:$A$355,$A134)&gt;0,$A134,""))</f>
        <v/>
      </c>
      <c r="F134" s="16">
        <f>IF($B134="","",IFERROR(INDEX(Roster!$A$2:$A$40,MATCH($B134,Roster!$A$2:$A$40,0)),IFERROR(IF(INDEX(MapTracker,MATCH($B134,MapNetSuite,0))=0,"",INDEX(MapTracker,MATCH($B134,MapNetSuite,0))),"")))</f>
        <v/>
      </c>
      <c r="G134" s="16">
        <f>IF($F134="","",IFERROR(INDEX(Roster!$B$2:$B$40,MATCH($F134,Roster!$A$2:$A$40,0)),""))</f>
        <v/>
      </c>
      <c r="H134" s="16">
        <f>IF($E134="","",IFERROR(IF(INDEX(Deals!$U$2:$U$355,MATCH($E134,Deals!$A$2:$A$355,0))=0,"",INDEX(Deals!$U$2:$U$355,MATCH($E134,Deals!$A$2:$A$355,0))),""))</f>
        <v/>
      </c>
      <c r="I134" s="18">
        <f>IF(OR($E134="",$F134=""),"",SUMIFS(Assignments!$I$2:$I$769,Assignments!$A$2:$A$769,$F134,Assignments!$C$2:$C$769,$E134))</f>
        <v/>
      </c>
      <c r="J134" s="65">
        <f>IF(OR($E134="",$F134=""),"",$D134-$I134)</f>
        <v/>
      </c>
      <c r="K134" s="20">
        <f>IF($A134="","",IF(AND($E134&lt;&gt;"",$F134&lt;&gt;""),"OK",TRIM(IF($E134="","unmatched code ","")&amp;IF($F134="","unmatched person",""))))</f>
        <v/>
      </c>
    </row>
    <row r="135">
      <c r="A135" s="31" t="n"/>
      <c r="B135" s="31" t="n"/>
      <c r="C135" s="31" t="n"/>
      <c r="D135" s="31" t="n"/>
      <c r="E135" s="16">
        <f>IF($A135="","",IF(COUNTIF(Deals!$A$2:$A$355,$A135)&gt;0,$A135,""))</f>
        <v/>
      </c>
      <c r="F135" s="16">
        <f>IF($B135="","",IFERROR(INDEX(Roster!$A$2:$A$40,MATCH($B135,Roster!$A$2:$A$40,0)),IFERROR(IF(INDEX(MapTracker,MATCH($B135,MapNetSuite,0))=0,"",INDEX(MapTracker,MATCH($B135,MapNetSuite,0))),"")))</f>
        <v/>
      </c>
      <c r="G135" s="16">
        <f>IF($F135="","",IFERROR(INDEX(Roster!$B$2:$B$40,MATCH($F135,Roster!$A$2:$A$40,0)),""))</f>
        <v/>
      </c>
      <c r="H135" s="16">
        <f>IF($E135="","",IFERROR(IF(INDEX(Deals!$U$2:$U$355,MATCH($E135,Deals!$A$2:$A$355,0))=0,"",INDEX(Deals!$U$2:$U$355,MATCH($E135,Deals!$A$2:$A$355,0))),""))</f>
        <v/>
      </c>
      <c r="I135" s="18">
        <f>IF(OR($E135="",$F135=""),"",SUMIFS(Assignments!$I$2:$I$769,Assignments!$A$2:$A$769,$F135,Assignments!$C$2:$C$769,$E135))</f>
        <v/>
      </c>
      <c r="J135" s="65">
        <f>IF(OR($E135="",$F135=""),"",$D135-$I135)</f>
        <v/>
      </c>
      <c r="K135" s="20">
        <f>IF($A135="","",IF(AND($E135&lt;&gt;"",$F135&lt;&gt;""),"OK",TRIM(IF($E135="","unmatched code ","")&amp;IF($F135="","unmatched person",""))))</f>
        <v/>
      </c>
    </row>
    <row r="136">
      <c r="A136" s="31" t="n"/>
      <c r="B136" s="31" t="n"/>
      <c r="C136" s="31" t="n"/>
      <c r="D136" s="31" t="n"/>
      <c r="E136" s="16">
        <f>IF($A136="","",IF(COUNTIF(Deals!$A$2:$A$355,$A136)&gt;0,$A136,""))</f>
        <v/>
      </c>
      <c r="F136" s="16">
        <f>IF($B136="","",IFERROR(INDEX(Roster!$A$2:$A$40,MATCH($B136,Roster!$A$2:$A$40,0)),IFERROR(IF(INDEX(MapTracker,MATCH($B136,MapNetSuite,0))=0,"",INDEX(MapTracker,MATCH($B136,MapNetSuite,0))),"")))</f>
        <v/>
      </c>
      <c r="G136" s="16">
        <f>IF($F136="","",IFERROR(INDEX(Roster!$B$2:$B$40,MATCH($F136,Roster!$A$2:$A$40,0)),""))</f>
        <v/>
      </c>
      <c r="H136" s="16">
        <f>IF($E136="","",IFERROR(IF(INDEX(Deals!$U$2:$U$355,MATCH($E136,Deals!$A$2:$A$355,0))=0,"",INDEX(Deals!$U$2:$U$355,MATCH($E136,Deals!$A$2:$A$355,0))),""))</f>
        <v/>
      </c>
      <c r="I136" s="18">
        <f>IF(OR($E136="",$F136=""),"",SUMIFS(Assignments!$I$2:$I$769,Assignments!$A$2:$A$769,$F136,Assignments!$C$2:$C$769,$E136))</f>
        <v/>
      </c>
      <c r="J136" s="65">
        <f>IF(OR($E136="",$F136=""),"",$D136-$I136)</f>
        <v/>
      </c>
      <c r="K136" s="20">
        <f>IF($A136="","",IF(AND($E136&lt;&gt;"",$F136&lt;&gt;""),"OK",TRIM(IF($E136="","unmatched code ","")&amp;IF($F136="","unmatched person",""))))</f>
        <v/>
      </c>
    </row>
    <row r="137">
      <c r="A137" s="31" t="n"/>
      <c r="B137" s="31" t="n"/>
      <c r="C137" s="31" t="n"/>
      <c r="D137" s="31" t="n"/>
      <c r="E137" s="16">
        <f>IF($A137="","",IF(COUNTIF(Deals!$A$2:$A$355,$A137)&gt;0,$A137,""))</f>
        <v/>
      </c>
      <c r="F137" s="16">
        <f>IF($B137="","",IFERROR(INDEX(Roster!$A$2:$A$40,MATCH($B137,Roster!$A$2:$A$40,0)),IFERROR(IF(INDEX(MapTracker,MATCH($B137,MapNetSuite,0))=0,"",INDEX(MapTracker,MATCH($B137,MapNetSuite,0))),"")))</f>
        <v/>
      </c>
      <c r="G137" s="16">
        <f>IF($F137="","",IFERROR(INDEX(Roster!$B$2:$B$40,MATCH($F137,Roster!$A$2:$A$40,0)),""))</f>
        <v/>
      </c>
      <c r="H137" s="16">
        <f>IF($E137="","",IFERROR(IF(INDEX(Deals!$U$2:$U$355,MATCH($E137,Deals!$A$2:$A$355,0))=0,"",INDEX(Deals!$U$2:$U$355,MATCH($E137,Deals!$A$2:$A$355,0))),""))</f>
        <v/>
      </c>
      <c r="I137" s="18">
        <f>IF(OR($E137="",$F137=""),"",SUMIFS(Assignments!$I$2:$I$769,Assignments!$A$2:$A$769,$F137,Assignments!$C$2:$C$769,$E137))</f>
        <v/>
      </c>
      <c r="J137" s="65">
        <f>IF(OR($E137="",$F137=""),"",$D137-$I137)</f>
        <v/>
      </c>
      <c r="K137" s="20">
        <f>IF($A137="","",IF(AND($E137&lt;&gt;"",$F137&lt;&gt;""),"OK",TRIM(IF($E137="","unmatched code ","")&amp;IF($F137="","unmatched person",""))))</f>
        <v/>
      </c>
    </row>
    <row r="138">
      <c r="A138" s="31" t="n"/>
      <c r="B138" s="31" t="n"/>
      <c r="C138" s="31" t="n"/>
      <c r="D138" s="31" t="n"/>
      <c r="E138" s="16">
        <f>IF($A138="","",IF(COUNTIF(Deals!$A$2:$A$355,$A138)&gt;0,$A138,""))</f>
        <v/>
      </c>
      <c r="F138" s="16">
        <f>IF($B138="","",IFERROR(INDEX(Roster!$A$2:$A$40,MATCH($B138,Roster!$A$2:$A$40,0)),IFERROR(IF(INDEX(MapTracker,MATCH($B138,MapNetSuite,0))=0,"",INDEX(MapTracker,MATCH($B138,MapNetSuite,0))),"")))</f>
        <v/>
      </c>
      <c r="G138" s="16">
        <f>IF($F138="","",IFERROR(INDEX(Roster!$B$2:$B$40,MATCH($F138,Roster!$A$2:$A$40,0)),""))</f>
        <v/>
      </c>
      <c r="H138" s="16">
        <f>IF($E138="","",IFERROR(IF(INDEX(Deals!$U$2:$U$355,MATCH($E138,Deals!$A$2:$A$355,0))=0,"",INDEX(Deals!$U$2:$U$355,MATCH($E138,Deals!$A$2:$A$355,0))),""))</f>
        <v/>
      </c>
      <c r="I138" s="18">
        <f>IF(OR($E138="",$F138=""),"",SUMIFS(Assignments!$I$2:$I$769,Assignments!$A$2:$A$769,$F138,Assignments!$C$2:$C$769,$E138))</f>
        <v/>
      </c>
      <c r="J138" s="65">
        <f>IF(OR($E138="",$F138=""),"",$D138-$I138)</f>
        <v/>
      </c>
      <c r="K138" s="20">
        <f>IF($A138="","",IF(AND($E138&lt;&gt;"",$F138&lt;&gt;""),"OK",TRIM(IF($E138="","unmatched code ","")&amp;IF($F138="","unmatched person",""))))</f>
        <v/>
      </c>
    </row>
    <row r="139">
      <c r="A139" s="31" t="n"/>
      <c r="B139" s="31" t="n"/>
      <c r="C139" s="31" t="n"/>
      <c r="D139" s="31" t="n"/>
      <c r="E139" s="16">
        <f>IF($A139="","",IF(COUNTIF(Deals!$A$2:$A$355,$A139)&gt;0,$A139,""))</f>
        <v/>
      </c>
      <c r="F139" s="16">
        <f>IF($B139="","",IFERROR(INDEX(Roster!$A$2:$A$40,MATCH($B139,Roster!$A$2:$A$40,0)),IFERROR(IF(INDEX(MapTracker,MATCH($B139,MapNetSuite,0))=0,"",INDEX(MapTracker,MATCH($B139,MapNetSuite,0))),"")))</f>
        <v/>
      </c>
      <c r="G139" s="16">
        <f>IF($F139="","",IFERROR(INDEX(Roster!$B$2:$B$40,MATCH($F139,Roster!$A$2:$A$40,0)),""))</f>
        <v/>
      </c>
      <c r="H139" s="16">
        <f>IF($E139="","",IFERROR(IF(INDEX(Deals!$U$2:$U$355,MATCH($E139,Deals!$A$2:$A$355,0))=0,"",INDEX(Deals!$U$2:$U$355,MATCH($E139,Deals!$A$2:$A$355,0))),""))</f>
        <v/>
      </c>
      <c r="I139" s="18">
        <f>IF(OR($E139="",$F139=""),"",SUMIFS(Assignments!$I$2:$I$769,Assignments!$A$2:$A$769,$F139,Assignments!$C$2:$C$769,$E139))</f>
        <v/>
      </c>
      <c r="J139" s="65">
        <f>IF(OR($E139="",$F139=""),"",$D139-$I139)</f>
        <v/>
      </c>
      <c r="K139" s="20">
        <f>IF($A139="","",IF(AND($E139&lt;&gt;"",$F139&lt;&gt;""),"OK",TRIM(IF($E139="","unmatched code ","")&amp;IF($F139="","unmatched person",""))))</f>
        <v/>
      </c>
    </row>
    <row r="140">
      <c r="A140" s="31" t="n"/>
      <c r="B140" s="31" t="n"/>
      <c r="C140" s="31" t="n"/>
      <c r="D140" s="31" t="n"/>
      <c r="E140" s="16">
        <f>IF($A140="","",IF(COUNTIF(Deals!$A$2:$A$355,$A140)&gt;0,$A140,""))</f>
        <v/>
      </c>
      <c r="F140" s="16">
        <f>IF($B140="","",IFERROR(INDEX(Roster!$A$2:$A$40,MATCH($B140,Roster!$A$2:$A$40,0)),IFERROR(IF(INDEX(MapTracker,MATCH($B140,MapNetSuite,0))=0,"",INDEX(MapTracker,MATCH($B140,MapNetSuite,0))),"")))</f>
        <v/>
      </c>
      <c r="G140" s="16">
        <f>IF($F140="","",IFERROR(INDEX(Roster!$B$2:$B$40,MATCH($F140,Roster!$A$2:$A$40,0)),""))</f>
        <v/>
      </c>
      <c r="H140" s="16">
        <f>IF($E140="","",IFERROR(IF(INDEX(Deals!$U$2:$U$355,MATCH($E140,Deals!$A$2:$A$355,0))=0,"",INDEX(Deals!$U$2:$U$355,MATCH($E140,Deals!$A$2:$A$355,0))),""))</f>
        <v/>
      </c>
      <c r="I140" s="18">
        <f>IF(OR($E140="",$F140=""),"",SUMIFS(Assignments!$I$2:$I$769,Assignments!$A$2:$A$769,$F140,Assignments!$C$2:$C$769,$E140))</f>
        <v/>
      </c>
      <c r="J140" s="65">
        <f>IF(OR($E140="",$F140=""),"",$D140-$I140)</f>
        <v/>
      </c>
      <c r="K140" s="20">
        <f>IF($A140="","",IF(AND($E140&lt;&gt;"",$F140&lt;&gt;""),"OK",TRIM(IF($E140="","unmatched code ","")&amp;IF($F140="","unmatched person",""))))</f>
        <v/>
      </c>
    </row>
    <row r="141">
      <c r="A141" s="31" t="n"/>
      <c r="B141" s="31" t="n"/>
      <c r="C141" s="31" t="n"/>
      <c r="D141" s="31" t="n"/>
      <c r="E141" s="16">
        <f>IF($A141="","",IF(COUNTIF(Deals!$A$2:$A$355,$A141)&gt;0,$A141,""))</f>
        <v/>
      </c>
      <c r="F141" s="16">
        <f>IF($B141="","",IFERROR(INDEX(Roster!$A$2:$A$40,MATCH($B141,Roster!$A$2:$A$40,0)),IFERROR(IF(INDEX(MapTracker,MATCH($B141,MapNetSuite,0))=0,"",INDEX(MapTracker,MATCH($B141,MapNetSuite,0))),"")))</f>
        <v/>
      </c>
      <c r="G141" s="16">
        <f>IF($F141="","",IFERROR(INDEX(Roster!$B$2:$B$40,MATCH($F141,Roster!$A$2:$A$40,0)),""))</f>
        <v/>
      </c>
      <c r="H141" s="16">
        <f>IF($E141="","",IFERROR(IF(INDEX(Deals!$U$2:$U$355,MATCH($E141,Deals!$A$2:$A$355,0))=0,"",INDEX(Deals!$U$2:$U$355,MATCH($E141,Deals!$A$2:$A$355,0))),""))</f>
        <v/>
      </c>
      <c r="I141" s="18">
        <f>IF(OR($E141="",$F141=""),"",SUMIFS(Assignments!$I$2:$I$769,Assignments!$A$2:$A$769,$F141,Assignments!$C$2:$C$769,$E141))</f>
        <v/>
      </c>
      <c r="J141" s="65">
        <f>IF(OR($E141="",$F141=""),"",$D141-$I141)</f>
        <v/>
      </c>
      <c r="K141" s="20">
        <f>IF($A141="","",IF(AND($E141&lt;&gt;"",$F141&lt;&gt;""),"OK",TRIM(IF($E141="","unmatched code ","")&amp;IF($F141="","unmatched person",""))))</f>
        <v/>
      </c>
    </row>
    <row r="142">
      <c r="A142" s="31" t="n"/>
      <c r="B142" s="31" t="n"/>
      <c r="C142" s="31" t="n"/>
      <c r="D142" s="31" t="n"/>
      <c r="E142" s="16">
        <f>IF($A142="","",IF(COUNTIF(Deals!$A$2:$A$355,$A142)&gt;0,$A142,""))</f>
        <v/>
      </c>
      <c r="F142" s="16">
        <f>IF($B142="","",IFERROR(INDEX(Roster!$A$2:$A$40,MATCH($B142,Roster!$A$2:$A$40,0)),IFERROR(IF(INDEX(MapTracker,MATCH($B142,MapNetSuite,0))=0,"",INDEX(MapTracker,MATCH($B142,MapNetSuite,0))),"")))</f>
        <v/>
      </c>
      <c r="G142" s="16">
        <f>IF($F142="","",IFERROR(INDEX(Roster!$B$2:$B$40,MATCH($F142,Roster!$A$2:$A$40,0)),""))</f>
        <v/>
      </c>
      <c r="H142" s="16">
        <f>IF($E142="","",IFERROR(IF(INDEX(Deals!$U$2:$U$355,MATCH($E142,Deals!$A$2:$A$355,0))=0,"",INDEX(Deals!$U$2:$U$355,MATCH($E142,Deals!$A$2:$A$355,0))),""))</f>
        <v/>
      </c>
      <c r="I142" s="18">
        <f>IF(OR($E142="",$F142=""),"",SUMIFS(Assignments!$I$2:$I$769,Assignments!$A$2:$A$769,$F142,Assignments!$C$2:$C$769,$E142))</f>
        <v/>
      </c>
      <c r="J142" s="65">
        <f>IF(OR($E142="",$F142=""),"",$D142-$I142)</f>
        <v/>
      </c>
      <c r="K142" s="20">
        <f>IF($A142="","",IF(AND($E142&lt;&gt;"",$F142&lt;&gt;""),"OK",TRIM(IF($E142="","unmatched code ","")&amp;IF($F142="","unmatched person",""))))</f>
        <v/>
      </c>
    </row>
    <row r="143">
      <c r="A143" s="31" t="n"/>
      <c r="B143" s="31" t="n"/>
      <c r="C143" s="31" t="n"/>
      <c r="D143" s="31" t="n"/>
      <c r="E143" s="16">
        <f>IF($A143="","",IF(COUNTIF(Deals!$A$2:$A$355,$A143)&gt;0,$A143,""))</f>
        <v/>
      </c>
      <c r="F143" s="16">
        <f>IF($B143="","",IFERROR(INDEX(Roster!$A$2:$A$40,MATCH($B143,Roster!$A$2:$A$40,0)),IFERROR(IF(INDEX(MapTracker,MATCH($B143,MapNetSuite,0))=0,"",INDEX(MapTracker,MATCH($B143,MapNetSuite,0))),"")))</f>
        <v/>
      </c>
      <c r="G143" s="16">
        <f>IF($F143="","",IFERROR(INDEX(Roster!$B$2:$B$40,MATCH($F143,Roster!$A$2:$A$40,0)),""))</f>
        <v/>
      </c>
      <c r="H143" s="16">
        <f>IF($E143="","",IFERROR(IF(INDEX(Deals!$U$2:$U$355,MATCH($E143,Deals!$A$2:$A$355,0))=0,"",INDEX(Deals!$U$2:$U$355,MATCH($E143,Deals!$A$2:$A$355,0))),""))</f>
        <v/>
      </c>
      <c r="I143" s="18">
        <f>IF(OR($E143="",$F143=""),"",SUMIFS(Assignments!$I$2:$I$769,Assignments!$A$2:$A$769,$F143,Assignments!$C$2:$C$769,$E143))</f>
        <v/>
      </c>
      <c r="J143" s="65">
        <f>IF(OR($E143="",$F143=""),"",$D143-$I143)</f>
        <v/>
      </c>
      <c r="K143" s="20">
        <f>IF($A143="","",IF(AND($E143&lt;&gt;"",$F143&lt;&gt;""),"OK",TRIM(IF($E143="","unmatched code ","")&amp;IF($F143="","unmatched person",""))))</f>
        <v/>
      </c>
    </row>
    <row r="144">
      <c r="A144" s="31" t="n"/>
      <c r="B144" s="31" t="n"/>
      <c r="C144" s="31" t="n"/>
      <c r="D144" s="31" t="n"/>
      <c r="E144" s="16">
        <f>IF($A144="","",IF(COUNTIF(Deals!$A$2:$A$355,$A144)&gt;0,$A144,""))</f>
        <v/>
      </c>
      <c r="F144" s="16">
        <f>IF($B144="","",IFERROR(INDEX(Roster!$A$2:$A$40,MATCH($B144,Roster!$A$2:$A$40,0)),IFERROR(IF(INDEX(MapTracker,MATCH($B144,MapNetSuite,0))=0,"",INDEX(MapTracker,MATCH($B144,MapNetSuite,0))),"")))</f>
        <v/>
      </c>
      <c r="G144" s="16">
        <f>IF($F144="","",IFERROR(INDEX(Roster!$B$2:$B$40,MATCH($F144,Roster!$A$2:$A$40,0)),""))</f>
        <v/>
      </c>
      <c r="H144" s="16">
        <f>IF($E144="","",IFERROR(IF(INDEX(Deals!$U$2:$U$355,MATCH($E144,Deals!$A$2:$A$355,0))=0,"",INDEX(Deals!$U$2:$U$355,MATCH($E144,Deals!$A$2:$A$355,0))),""))</f>
        <v/>
      </c>
      <c r="I144" s="18">
        <f>IF(OR($E144="",$F144=""),"",SUMIFS(Assignments!$I$2:$I$769,Assignments!$A$2:$A$769,$F144,Assignments!$C$2:$C$769,$E144))</f>
        <v/>
      </c>
      <c r="J144" s="65">
        <f>IF(OR($E144="",$F144=""),"",$D144-$I144)</f>
        <v/>
      </c>
      <c r="K144" s="20">
        <f>IF($A144="","",IF(AND($E144&lt;&gt;"",$F144&lt;&gt;""),"OK",TRIM(IF($E144="","unmatched code ","")&amp;IF($F144="","unmatched person",""))))</f>
        <v/>
      </c>
    </row>
    <row r="145">
      <c r="A145" s="31" t="n"/>
      <c r="B145" s="31" t="n"/>
      <c r="C145" s="31" t="n"/>
      <c r="D145" s="31" t="n"/>
      <c r="E145" s="16">
        <f>IF($A145="","",IF(COUNTIF(Deals!$A$2:$A$355,$A145)&gt;0,$A145,""))</f>
        <v/>
      </c>
      <c r="F145" s="16">
        <f>IF($B145="","",IFERROR(INDEX(Roster!$A$2:$A$40,MATCH($B145,Roster!$A$2:$A$40,0)),IFERROR(IF(INDEX(MapTracker,MATCH($B145,MapNetSuite,0))=0,"",INDEX(MapTracker,MATCH($B145,MapNetSuite,0))),"")))</f>
        <v/>
      </c>
      <c r="G145" s="16">
        <f>IF($F145="","",IFERROR(INDEX(Roster!$B$2:$B$40,MATCH($F145,Roster!$A$2:$A$40,0)),""))</f>
        <v/>
      </c>
      <c r="H145" s="16">
        <f>IF($E145="","",IFERROR(IF(INDEX(Deals!$U$2:$U$355,MATCH($E145,Deals!$A$2:$A$355,0))=0,"",INDEX(Deals!$U$2:$U$355,MATCH($E145,Deals!$A$2:$A$355,0))),""))</f>
        <v/>
      </c>
      <c r="I145" s="18">
        <f>IF(OR($E145="",$F145=""),"",SUMIFS(Assignments!$I$2:$I$769,Assignments!$A$2:$A$769,$F145,Assignments!$C$2:$C$769,$E145))</f>
        <v/>
      </c>
      <c r="J145" s="65">
        <f>IF(OR($E145="",$F145=""),"",$D145-$I145)</f>
        <v/>
      </c>
      <c r="K145" s="20">
        <f>IF($A145="","",IF(AND($E145&lt;&gt;"",$F145&lt;&gt;""),"OK",TRIM(IF($E145="","unmatched code ","")&amp;IF($F145="","unmatched person",""))))</f>
        <v/>
      </c>
    </row>
    <row r="146">
      <c r="A146" s="31" t="n"/>
      <c r="B146" s="31" t="n"/>
      <c r="C146" s="31" t="n"/>
      <c r="D146" s="31" t="n"/>
      <c r="E146" s="16">
        <f>IF($A146="","",IF(COUNTIF(Deals!$A$2:$A$355,$A146)&gt;0,$A146,""))</f>
        <v/>
      </c>
      <c r="F146" s="16">
        <f>IF($B146="","",IFERROR(INDEX(Roster!$A$2:$A$40,MATCH($B146,Roster!$A$2:$A$40,0)),IFERROR(IF(INDEX(MapTracker,MATCH($B146,MapNetSuite,0))=0,"",INDEX(MapTracker,MATCH($B146,MapNetSuite,0))),"")))</f>
        <v/>
      </c>
      <c r="G146" s="16">
        <f>IF($F146="","",IFERROR(INDEX(Roster!$B$2:$B$40,MATCH($F146,Roster!$A$2:$A$40,0)),""))</f>
        <v/>
      </c>
      <c r="H146" s="16">
        <f>IF($E146="","",IFERROR(IF(INDEX(Deals!$U$2:$U$355,MATCH($E146,Deals!$A$2:$A$355,0))=0,"",INDEX(Deals!$U$2:$U$355,MATCH($E146,Deals!$A$2:$A$355,0))),""))</f>
        <v/>
      </c>
      <c r="I146" s="18">
        <f>IF(OR($E146="",$F146=""),"",SUMIFS(Assignments!$I$2:$I$769,Assignments!$A$2:$A$769,$F146,Assignments!$C$2:$C$769,$E146))</f>
        <v/>
      </c>
      <c r="J146" s="65">
        <f>IF(OR($E146="",$F146=""),"",$D146-$I146)</f>
        <v/>
      </c>
      <c r="K146" s="20">
        <f>IF($A146="","",IF(AND($E146&lt;&gt;"",$F146&lt;&gt;""),"OK",TRIM(IF($E146="","unmatched code ","")&amp;IF($F146="","unmatched person",""))))</f>
        <v/>
      </c>
    </row>
    <row r="147">
      <c r="A147" s="31" t="n"/>
      <c r="B147" s="31" t="n"/>
      <c r="C147" s="31" t="n"/>
      <c r="D147" s="31" t="n"/>
      <c r="E147" s="16">
        <f>IF($A147="","",IF(COUNTIF(Deals!$A$2:$A$355,$A147)&gt;0,$A147,""))</f>
        <v/>
      </c>
      <c r="F147" s="16">
        <f>IF($B147="","",IFERROR(INDEX(Roster!$A$2:$A$40,MATCH($B147,Roster!$A$2:$A$40,0)),IFERROR(IF(INDEX(MapTracker,MATCH($B147,MapNetSuite,0))=0,"",INDEX(MapTracker,MATCH($B147,MapNetSuite,0))),"")))</f>
        <v/>
      </c>
      <c r="G147" s="16">
        <f>IF($F147="","",IFERROR(INDEX(Roster!$B$2:$B$40,MATCH($F147,Roster!$A$2:$A$40,0)),""))</f>
        <v/>
      </c>
      <c r="H147" s="16">
        <f>IF($E147="","",IFERROR(IF(INDEX(Deals!$U$2:$U$355,MATCH($E147,Deals!$A$2:$A$355,0))=0,"",INDEX(Deals!$U$2:$U$355,MATCH($E147,Deals!$A$2:$A$355,0))),""))</f>
        <v/>
      </c>
      <c r="I147" s="18">
        <f>IF(OR($E147="",$F147=""),"",SUMIFS(Assignments!$I$2:$I$769,Assignments!$A$2:$A$769,$F147,Assignments!$C$2:$C$769,$E147))</f>
        <v/>
      </c>
      <c r="J147" s="65">
        <f>IF(OR($E147="",$F147=""),"",$D147-$I147)</f>
        <v/>
      </c>
      <c r="K147" s="20">
        <f>IF($A147="","",IF(AND($E147&lt;&gt;"",$F147&lt;&gt;""),"OK",TRIM(IF($E147="","unmatched code ","")&amp;IF($F147="","unmatched person",""))))</f>
        <v/>
      </c>
    </row>
    <row r="148">
      <c r="A148" s="31" t="n"/>
      <c r="B148" s="31" t="n"/>
      <c r="C148" s="31" t="n"/>
      <c r="D148" s="31" t="n"/>
      <c r="E148" s="16">
        <f>IF($A148="","",IF(COUNTIF(Deals!$A$2:$A$355,$A148)&gt;0,$A148,""))</f>
        <v/>
      </c>
      <c r="F148" s="16">
        <f>IF($B148="","",IFERROR(INDEX(Roster!$A$2:$A$40,MATCH($B148,Roster!$A$2:$A$40,0)),IFERROR(IF(INDEX(MapTracker,MATCH($B148,MapNetSuite,0))=0,"",INDEX(MapTracker,MATCH($B148,MapNetSuite,0))),"")))</f>
        <v/>
      </c>
      <c r="G148" s="16">
        <f>IF($F148="","",IFERROR(INDEX(Roster!$B$2:$B$40,MATCH($F148,Roster!$A$2:$A$40,0)),""))</f>
        <v/>
      </c>
      <c r="H148" s="16">
        <f>IF($E148="","",IFERROR(IF(INDEX(Deals!$U$2:$U$355,MATCH($E148,Deals!$A$2:$A$355,0))=0,"",INDEX(Deals!$U$2:$U$355,MATCH($E148,Deals!$A$2:$A$355,0))),""))</f>
        <v/>
      </c>
      <c r="I148" s="18">
        <f>IF(OR($E148="",$F148=""),"",SUMIFS(Assignments!$I$2:$I$769,Assignments!$A$2:$A$769,$F148,Assignments!$C$2:$C$769,$E148))</f>
        <v/>
      </c>
      <c r="J148" s="65">
        <f>IF(OR($E148="",$F148=""),"",$D148-$I148)</f>
        <v/>
      </c>
      <c r="K148" s="20">
        <f>IF($A148="","",IF(AND($E148&lt;&gt;"",$F148&lt;&gt;""),"OK",TRIM(IF($E148="","unmatched code ","")&amp;IF($F148="","unmatched person",""))))</f>
        <v/>
      </c>
    </row>
    <row r="149">
      <c r="A149" s="31" t="n"/>
      <c r="B149" s="31" t="n"/>
      <c r="C149" s="31" t="n"/>
      <c r="D149" s="31" t="n"/>
      <c r="E149" s="16">
        <f>IF($A149="","",IF(COUNTIF(Deals!$A$2:$A$355,$A149)&gt;0,$A149,""))</f>
        <v/>
      </c>
      <c r="F149" s="16">
        <f>IF($B149="","",IFERROR(INDEX(Roster!$A$2:$A$40,MATCH($B149,Roster!$A$2:$A$40,0)),IFERROR(IF(INDEX(MapTracker,MATCH($B149,MapNetSuite,0))=0,"",INDEX(MapTracker,MATCH($B149,MapNetSuite,0))),"")))</f>
        <v/>
      </c>
      <c r="G149" s="16">
        <f>IF($F149="","",IFERROR(INDEX(Roster!$B$2:$B$40,MATCH($F149,Roster!$A$2:$A$40,0)),""))</f>
        <v/>
      </c>
      <c r="H149" s="16">
        <f>IF($E149="","",IFERROR(IF(INDEX(Deals!$U$2:$U$355,MATCH($E149,Deals!$A$2:$A$355,0))=0,"",INDEX(Deals!$U$2:$U$355,MATCH($E149,Deals!$A$2:$A$355,0))),""))</f>
        <v/>
      </c>
      <c r="I149" s="18">
        <f>IF(OR($E149="",$F149=""),"",SUMIFS(Assignments!$I$2:$I$769,Assignments!$A$2:$A$769,$F149,Assignments!$C$2:$C$769,$E149))</f>
        <v/>
      </c>
      <c r="J149" s="65">
        <f>IF(OR($E149="",$F149=""),"",$D149-$I149)</f>
        <v/>
      </c>
      <c r="K149" s="20">
        <f>IF($A149="","",IF(AND($E149&lt;&gt;"",$F149&lt;&gt;""),"OK",TRIM(IF($E149="","unmatched code ","")&amp;IF($F149="","unmatched person",""))))</f>
        <v/>
      </c>
    </row>
    <row r="150">
      <c r="A150" s="31" t="n"/>
      <c r="B150" s="31" t="n"/>
      <c r="C150" s="31" t="n"/>
      <c r="D150" s="31" t="n"/>
      <c r="E150" s="16">
        <f>IF($A150="","",IF(COUNTIF(Deals!$A$2:$A$355,$A150)&gt;0,$A150,""))</f>
        <v/>
      </c>
      <c r="F150" s="16">
        <f>IF($B150="","",IFERROR(INDEX(Roster!$A$2:$A$40,MATCH($B150,Roster!$A$2:$A$40,0)),IFERROR(IF(INDEX(MapTracker,MATCH($B150,MapNetSuite,0))=0,"",INDEX(MapTracker,MATCH($B150,MapNetSuite,0))),"")))</f>
        <v/>
      </c>
      <c r="G150" s="16">
        <f>IF($F150="","",IFERROR(INDEX(Roster!$B$2:$B$40,MATCH($F150,Roster!$A$2:$A$40,0)),""))</f>
        <v/>
      </c>
      <c r="H150" s="16">
        <f>IF($E150="","",IFERROR(IF(INDEX(Deals!$U$2:$U$355,MATCH($E150,Deals!$A$2:$A$355,0))=0,"",INDEX(Deals!$U$2:$U$355,MATCH($E150,Deals!$A$2:$A$355,0))),""))</f>
        <v/>
      </c>
      <c r="I150" s="18">
        <f>IF(OR($E150="",$F150=""),"",SUMIFS(Assignments!$I$2:$I$769,Assignments!$A$2:$A$769,$F150,Assignments!$C$2:$C$769,$E150))</f>
        <v/>
      </c>
      <c r="J150" s="65">
        <f>IF(OR($E150="",$F150=""),"",$D150-$I150)</f>
        <v/>
      </c>
      <c r="K150" s="20">
        <f>IF($A150="","",IF(AND($E150&lt;&gt;"",$F150&lt;&gt;""),"OK",TRIM(IF($E150="","unmatched code ","")&amp;IF($F150="","unmatched person",""))))</f>
        <v/>
      </c>
    </row>
    <row r="151">
      <c r="A151" s="31" t="n"/>
      <c r="B151" s="31" t="n"/>
      <c r="C151" s="31" t="n"/>
      <c r="D151" s="31" t="n"/>
      <c r="E151" s="16">
        <f>IF($A151="","",IF(COUNTIF(Deals!$A$2:$A$355,$A151)&gt;0,$A151,""))</f>
        <v/>
      </c>
      <c r="F151" s="16">
        <f>IF($B151="","",IFERROR(INDEX(Roster!$A$2:$A$40,MATCH($B151,Roster!$A$2:$A$40,0)),IFERROR(IF(INDEX(MapTracker,MATCH($B151,MapNetSuite,0))=0,"",INDEX(MapTracker,MATCH($B151,MapNetSuite,0))),"")))</f>
        <v/>
      </c>
      <c r="G151" s="16">
        <f>IF($F151="","",IFERROR(INDEX(Roster!$B$2:$B$40,MATCH($F151,Roster!$A$2:$A$40,0)),""))</f>
        <v/>
      </c>
      <c r="H151" s="16">
        <f>IF($E151="","",IFERROR(IF(INDEX(Deals!$U$2:$U$355,MATCH($E151,Deals!$A$2:$A$355,0))=0,"",INDEX(Deals!$U$2:$U$355,MATCH($E151,Deals!$A$2:$A$355,0))),""))</f>
        <v/>
      </c>
      <c r="I151" s="18">
        <f>IF(OR($E151="",$F151=""),"",SUMIFS(Assignments!$I$2:$I$769,Assignments!$A$2:$A$769,$F151,Assignments!$C$2:$C$769,$E151))</f>
        <v/>
      </c>
      <c r="J151" s="65">
        <f>IF(OR($E151="",$F151=""),"",$D151-$I151)</f>
        <v/>
      </c>
      <c r="K151" s="20">
        <f>IF($A151="","",IF(AND($E151&lt;&gt;"",$F151&lt;&gt;""),"OK",TRIM(IF($E151="","unmatched code ","")&amp;IF($F151="","unmatched person",""))))</f>
        <v/>
      </c>
    </row>
    <row r="152">
      <c r="A152" s="31" t="n"/>
      <c r="B152" s="31" t="n"/>
      <c r="C152" s="31" t="n"/>
      <c r="D152" s="31" t="n"/>
      <c r="E152" s="16">
        <f>IF($A152="","",IF(COUNTIF(Deals!$A$2:$A$355,$A152)&gt;0,$A152,""))</f>
        <v/>
      </c>
      <c r="F152" s="16">
        <f>IF($B152="","",IFERROR(INDEX(Roster!$A$2:$A$40,MATCH($B152,Roster!$A$2:$A$40,0)),IFERROR(IF(INDEX(MapTracker,MATCH($B152,MapNetSuite,0))=0,"",INDEX(MapTracker,MATCH($B152,MapNetSuite,0))),"")))</f>
        <v/>
      </c>
      <c r="G152" s="16">
        <f>IF($F152="","",IFERROR(INDEX(Roster!$B$2:$B$40,MATCH($F152,Roster!$A$2:$A$40,0)),""))</f>
        <v/>
      </c>
      <c r="H152" s="16">
        <f>IF($E152="","",IFERROR(IF(INDEX(Deals!$U$2:$U$355,MATCH($E152,Deals!$A$2:$A$355,0))=0,"",INDEX(Deals!$U$2:$U$355,MATCH($E152,Deals!$A$2:$A$355,0))),""))</f>
        <v/>
      </c>
      <c r="I152" s="18">
        <f>IF(OR($E152="",$F152=""),"",SUMIFS(Assignments!$I$2:$I$769,Assignments!$A$2:$A$769,$F152,Assignments!$C$2:$C$769,$E152))</f>
        <v/>
      </c>
      <c r="J152" s="65">
        <f>IF(OR($E152="",$F152=""),"",$D152-$I152)</f>
        <v/>
      </c>
      <c r="K152" s="20">
        <f>IF($A152="","",IF(AND($E152&lt;&gt;"",$F152&lt;&gt;""),"OK",TRIM(IF($E152="","unmatched code ","")&amp;IF($F152="","unmatched person",""))))</f>
        <v/>
      </c>
    </row>
    <row r="153">
      <c r="A153" s="31" t="n"/>
      <c r="B153" s="31" t="n"/>
      <c r="C153" s="31" t="n"/>
      <c r="D153" s="31" t="n"/>
      <c r="E153" s="16">
        <f>IF($A153="","",IF(COUNTIF(Deals!$A$2:$A$355,$A153)&gt;0,$A153,""))</f>
        <v/>
      </c>
      <c r="F153" s="16">
        <f>IF($B153="","",IFERROR(INDEX(Roster!$A$2:$A$40,MATCH($B153,Roster!$A$2:$A$40,0)),IFERROR(IF(INDEX(MapTracker,MATCH($B153,MapNetSuite,0))=0,"",INDEX(MapTracker,MATCH($B153,MapNetSuite,0))),"")))</f>
        <v/>
      </c>
      <c r="G153" s="16">
        <f>IF($F153="","",IFERROR(INDEX(Roster!$B$2:$B$40,MATCH($F153,Roster!$A$2:$A$40,0)),""))</f>
        <v/>
      </c>
      <c r="H153" s="16">
        <f>IF($E153="","",IFERROR(IF(INDEX(Deals!$U$2:$U$355,MATCH($E153,Deals!$A$2:$A$355,0))=0,"",INDEX(Deals!$U$2:$U$355,MATCH($E153,Deals!$A$2:$A$355,0))),""))</f>
        <v/>
      </c>
      <c r="I153" s="18">
        <f>IF(OR($E153="",$F153=""),"",SUMIFS(Assignments!$I$2:$I$769,Assignments!$A$2:$A$769,$F153,Assignments!$C$2:$C$769,$E153))</f>
        <v/>
      </c>
      <c r="J153" s="65">
        <f>IF(OR($E153="",$F153=""),"",$D153-$I153)</f>
        <v/>
      </c>
      <c r="K153" s="20">
        <f>IF($A153="","",IF(AND($E153&lt;&gt;"",$F153&lt;&gt;""),"OK",TRIM(IF($E153="","unmatched code ","")&amp;IF($F153="","unmatched person",""))))</f>
        <v/>
      </c>
    </row>
    <row r="154">
      <c r="A154" s="31" t="n"/>
      <c r="B154" s="31" t="n"/>
      <c r="C154" s="31" t="n"/>
      <c r="D154" s="31" t="n"/>
      <c r="E154" s="16">
        <f>IF($A154="","",IF(COUNTIF(Deals!$A$2:$A$355,$A154)&gt;0,$A154,""))</f>
        <v/>
      </c>
      <c r="F154" s="16">
        <f>IF($B154="","",IFERROR(INDEX(Roster!$A$2:$A$40,MATCH($B154,Roster!$A$2:$A$40,0)),IFERROR(IF(INDEX(MapTracker,MATCH($B154,MapNetSuite,0))=0,"",INDEX(MapTracker,MATCH($B154,MapNetSuite,0))),"")))</f>
        <v/>
      </c>
      <c r="G154" s="16">
        <f>IF($F154="","",IFERROR(INDEX(Roster!$B$2:$B$40,MATCH($F154,Roster!$A$2:$A$40,0)),""))</f>
        <v/>
      </c>
      <c r="H154" s="16">
        <f>IF($E154="","",IFERROR(IF(INDEX(Deals!$U$2:$U$355,MATCH($E154,Deals!$A$2:$A$355,0))=0,"",INDEX(Deals!$U$2:$U$355,MATCH($E154,Deals!$A$2:$A$355,0))),""))</f>
        <v/>
      </c>
      <c r="I154" s="18">
        <f>IF(OR($E154="",$F154=""),"",SUMIFS(Assignments!$I$2:$I$769,Assignments!$A$2:$A$769,$F154,Assignments!$C$2:$C$769,$E154))</f>
        <v/>
      </c>
      <c r="J154" s="65">
        <f>IF(OR($E154="",$F154=""),"",$D154-$I154)</f>
        <v/>
      </c>
      <c r="K154" s="20">
        <f>IF($A154="","",IF(AND($E154&lt;&gt;"",$F154&lt;&gt;""),"OK",TRIM(IF($E154="","unmatched code ","")&amp;IF($F154="","unmatched person",""))))</f>
        <v/>
      </c>
    </row>
    <row r="155">
      <c r="A155" s="31" t="n"/>
      <c r="B155" s="31" t="n"/>
      <c r="C155" s="31" t="n"/>
      <c r="D155" s="31" t="n"/>
      <c r="E155" s="16">
        <f>IF($A155="","",IF(COUNTIF(Deals!$A$2:$A$355,$A155)&gt;0,$A155,""))</f>
        <v/>
      </c>
      <c r="F155" s="16">
        <f>IF($B155="","",IFERROR(INDEX(Roster!$A$2:$A$40,MATCH($B155,Roster!$A$2:$A$40,0)),IFERROR(IF(INDEX(MapTracker,MATCH($B155,MapNetSuite,0))=0,"",INDEX(MapTracker,MATCH($B155,MapNetSuite,0))),"")))</f>
        <v/>
      </c>
      <c r="G155" s="16">
        <f>IF($F155="","",IFERROR(INDEX(Roster!$B$2:$B$40,MATCH($F155,Roster!$A$2:$A$40,0)),""))</f>
        <v/>
      </c>
      <c r="H155" s="16">
        <f>IF($E155="","",IFERROR(IF(INDEX(Deals!$U$2:$U$355,MATCH($E155,Deals!$A$2:$A$355,0))=0,"",INDEX(Deals!$U$2:$U$355,MATCH($E155,Deals!$A$2:$A$355,0))),""))</f>
        <v/>
      </c>
      <c r="I155" s="18">
        <f>IF(OR($E155="",$F155=""),"",SUMIFS(Assignments!$I$2:$I$769,Assignments!$A$2:$A$769,$F155,Assignments!$C$2:$C$769,$E155))</f>
        <v/>
      </c>
      <c r="J155" s="65">
        <f>IF(OR($E155="",$F155=""),"",$D155-$I155)</f>
        <v/>
      </c>
      <c r="K155" s="20">
        <f>IF($A155="","",IF(AND($E155&lt;&gt;"",$F155&lt;&gt;""),"OK",TRIM(IF($E155="","unmatched code ","")&amp;IF($F155="","unmatched person",""))))</f>
        <v/>
      </c>
    </row>
    <row r="156">
      <c r="A156" s="31" t="n"/>
      <c r="B156" s="31" t="n"/>
      <c r="C156" s="31" t="n"/>
      <c r="D156" s="31" t="n"/>
      <c r="E156" s="16">
        <f>IF($A156="","",IF(COUNTIF(Deals!$A$2:$A$355,$A156)&gt;0,$A156,""))</f>
        <v/>
      </c>
      <c r="F156" s="16">
        <f>IF($B156="","",IFERROR(INDEX(Roster!$A$2:$A$40,MATCH($B156,Roster!$A$2:$A$40,0)),IFERROR(IF(INDEX(MapTracker,MATCH($B156,MapNetSuite,0))=0,"",INDEX(MapTracker,MATCH($B156,MapNetSuite,0))),"")))</f>
        <v/>
      </c>
      <c r="G156" s="16">
        <f>IF($F156="","",IFERROR(INDEX(Roster!$B$2:$B$40,MATCH($F156,Roster!$A$2:$A$40,0)),""))</f>
        <v/>
      </c>
      <c r="H156" s="16">
        <f>IF($E156="","",IFERROR(IF(INDEX(Deals!$U$2:$U$355,MATCH($E156,Deals!$A$2:$A$355,0))=0,"",INDEX(Deals!$U$2:$U$355,MATCH($E156,Deals!$A$2:$A$355,0))),""))</f>
        <v/>
      </c>
      <c r="I156" s="18">
        <f>IF(OR($E156="",$F156=""),"",SUMIFS(Assignments!$I$2:$I$769,Assignments!$A$2:$A$769,$F156,Assignments!$C$2:$C$769,$E156))</f>
        <v/>
      </c>
      <c r="J156" s="65">
        <f>IF(OR($E156="",$F156=""),"",$D156-$I156)</f>
        <v/>
      </c>
      <c r="K156" s="20">
        <f>IF($A156="","",IF(AND($E156&lt;&gt;"",$F156&lt;&gt;""),"OK",TRIM(IF($E156="","unmatched code ","")&amp;IF($F156="","unmatched person",""))))</f>
        <v/>
      </c>
    </row>
    <row r="157">
      <c r="A157" s="31" t="n"/>
      <c r="B157" s="31" t="n"/>
      <c r="C157" s="31" t="n"/>
      <c r="D157" s="31" t="n"/>
      <c r="E157" s="16">
        <f>IF($A157="","",IF(COUNTIF(Deals!$A$2:$A$355,$A157)&gt;0,$A157,""))</f>
        <v/>
      </c>
      <c r="F157" s="16">
        <f>IF($B157="","",IFERROR(INDEX(Roster!$A$2:$A$40,MATCH($B157,Roster!$A$2:$A$40,0)),IFERROR(IF(INDEX(MapTracker,MATCH($B157,MapNetSuite,0))=0,"",INDEX(MapTracker,MATCH($B157,MapNetSuite,0))),"")))</f>
        <v/>
      </c>
      <c r="G157" s="16">
        <f>IF($F157="","",IFERROR(INDEX(Roster!$B$2:$B$40,MATCH($F157,Roster!$A$2:$A$40,0)),""))</f>
        <v/>
      </c>
      <c r="H157" s="16">
        <f>IF($E157="","",IFERROR(IF(INDEX(Deals!$U$2:$U$355,MATCH($E157,Deals!$A$2:$A$355,0))=0,"",INDEX(Deals!$U$2:$U$355,MATCH($E157,Deals!$A$2:$A$355,0))),""))</f>
        <v/>
      </c>
      <c r="I157" s="18">
        <f>IF(OR($E157="",$F157=""),"",SUMIFS(Assignments!$I$2:$I$769,Assignments!$A$2:$A$769,$F157,Assignments!$C$2:$C$769,$E157))</f>
        <v/>
      </c>
      <c r="J157" s="65">
        <f>IF(OR($E157="",$F157=""),"",$D157-$I157)</f>
        <v/>
      </c>
      <c r="K157" s="20">
        <f>IF($A157="","",IF(AND($E157&lt;&gt;"",$F157&lt;&gt;""),"OK",TRIM(IF($E157="","unmatched code ","")&amp;IF($F157="","unmatched person",""))))</f>
        <v/>
      </c>
    </row>
    <row r="158">
      <c r="A158" s="31" t="n"/>
      <c r="B158" s="31" t="n"/>
      <c r="C158" s="31" t="n"/>
      <c r="D158" s="31" t="n"/>
      <c r="E158" s="16">
        <f>IF($A158="","",IF(COUNTIF(Deals!$A$2:$A$355,$A158)&gt;0,$A158,""))</f>
        <v/>
      </c>
      <c r="F158" s="16">
        <f>IF($B158="","",IFERROR(INDEX(Roster!$A$2:$A$40,MATCH($B158,Roster!$A$2:$A$40,0)),IFERROR(IF(INDEX(MapTracker,MATCH($B158,MapNetSuite,0))=0,"",INDEX(MapTracker,MATCH($B158,MapNetSuite,0))),"")))</f>
        <v/>
      </c>
      <c r="G158" s="16">
        <f>IF($F158="","",IFERROR(INDEX(Roster!$B$2:$B$40,MATCH($F158,Roster!$A$2:$A$40,0)),""))</f>
        <v/>
      </c>
      <c r="H158" s="16">
        <f>IF($E158="","",IFERROR(IF(INDEX(Deals!$U$2:$U$355,MATCH($E158,Deals!$A$2:$A$355,0))=0,"",INDEX(Deals!$U$2:$U$355,MATCH($E158,Deals!$A$2:$A$355,0))),""))</f>
        <v/>
      </c>
      <c r="I158" s="18">
        <f>IF(OR($E158="",$F158=""),"",SUMIFS(Assignments!$I$2:$I$769,Assignments!$A$2:$A$769,$F158,Assignments!$C$2:$C$769,$E158))</f>
        <v/>
      </c>
      <c r="J158" s="65">
        <f>IF(OR($E158="",$F158=""),"",$D158-$I158)</f>
        <v/>
      </c>
      <c r="K158" s="20">
        <f>IF($A158="","",IF(AND($E158&lt;&gt;"",$F158&lt;&gt;""),"OK",TRIM(IF($E158="","unmatched code ","")&amp;IF($F158="","unmatched person",""))))</f>
        <v/>
      </c>
    </row>
    <row r="159">
      <c r="A159" s="31" t="n"/>
      <c r="B159" s="31" t="n"/>
      <c r="C159" s="31" t="n"/>
      <c r="D159" s="31" t="n"/>
      <c r="E159" s="16">
        <f>IF($A159="","",IF(COUNTIF(Deals!$A$2:$A$355,$A159)&gt;0,$A159,""))</f>
        <v/>
      </c>
      <c r="F159" s="16">
        <f>IF($B159="","",IFERROR(INDEX(Roster!$A$2:$A$40,MATCH($B159,Roster!$A$2:$A$40,0)),IFERROR(IF(INDEX(MapTracker,MATCH($B159,MapNetSuite,0))=0,"",INDEX(MapTracker,MATCH($B159,MapNetSuite,0))),"")))</f>
        <v/>
      </c>
      <c r="G159" s="16">
        <f>IF($F159="","",IFERROR(INDEX(Roster!$B$2:$B$40,MATCH($F159,Roster!$A$2:$A$40,0)),""))</f>
        <v/>
      </c>
      <c r="H159" s="16">
        <f>IF($E159="","",IFERROR(IF(INDEX(Deals!$U$2:$U$355,MATCH($E159,Deals!$A$2:$A$355,0))=0,"",INDEX(Deals!$U$2:$U$355,MATCH($E159,Deals!$A$2:$A$355,0))),""))</f>
        <v/>
      </c>
      <c r="I159" s="18">
        <f>IF(OR($E159="",$F159=""),"",SUMIFS(Assignments!$I$2:$I$769,Assignments!$A$2:$A$769,$F159,Assignments!$C$2:$C$769,$E159))</f>
        <v/>
      </c>
      <c r="J159" s="65">
        <f>IF(OR($E159="",$F159=""),"",$D159-$I159)</f>
        <v/>
      </c>
      <c r="K159" s="20">
        <f>IF($A159="","",IF(AND($E159&lt;&gt;"",$F159&lt;&gt;""),"OK",TRIM(IF($E159="","unmatched code ","")&amp;IF($F159="","unmatched person",""))))</f>
        <v/>
      </c>
    </row>
    <row r="160">
      <c r="A160" s="31" t="n"/>
      <c r="B160" s="31" t="n"/>
      <c r="C160" s="31" t="n"/>
      <c r="D160" s="31" t="n"/>
      <c r="E160" s="16">
        <f>IF($A160="","",IF(COUNTIF(Deals!$A$2:$A$355,$A160)&gt;0,$A160,""))</f>
        <v/>
      </c>
      <c r="F160" s="16">
        <f>IF($B160="","",IFERROR(INDEX(Roster!$A$2:$A$40,MATCH($B160,Roster!$A$2:$A$40,0)),IFERROR(IF(INDEX(MapTracker,MATCH($B160,MapNetSuite,0))=0,"",INDEX(MapTracker,MATCH($B160,MapNetSuite,0))),"")))</f>
        <v/>
      </c>
      <c r="G160" s="16">
        <f>IF($F160="","",IFERROR(INDEX(Roster!$B$2:$B$40,MATCH($F160,Roster!$A$2:$A$40,0)),""))</f>
        <v/>
      </c>
      <c r="H160" s="16">
        <f>IF($E160="","",IFERROR(IF(INDEX(Deals!$U$2:$U$355,MATCH($E160,Deals!$A$2:$A$355,0))=0,"",INDEX(Deals!$U$2:$U$355,MATCH($E160,Deals!$A$2:$A$355,0))),""))</f>
        <v/>
      </c>
      <c r="I160" s="18">
        <f>IF(OR($E160="",$F160=""),"",SUMIFS(Assignments!$I$2:$I$769,Assignments!$A$2:$A$769,$F160,Assignments!$C$2:$C$769,$E160))</f>
        <v/>
      </c>
      <c r="J160" s="65">
        <f>IF(OR($E160="",$F160=""),"",$D160-$I160)</f>
        <v/>
      </c>
      <c r="K160" s="20">
        <f>IF($A160="","",IF(AND($E160&lt;&gt;"",$F160&lt;&gt;""),"OK",TRIM(IF($E160="","unmatched code ","")&amp;IF($F160="","unmatched person",""))))</f>
        <v/>
      </c>
    </row>
    <row r="161">
      <c r="A161" s="31" t="n"/>
      <c r="B161" s="31" t="n"/>
      <c r="C161" s="31" t="n"/>
      <c r="D161" s="31" t="n"/>
      <c r="E161" s="16">
        <f>IF($A161="","",IF(COUNTIF(Deals!$A$2:$A$355,$A161)&gt;0,$A161,""))</f>
        <v/>
      </c>
      <c r="F161" s="16">
        <f>IF($B161="","",IFERROR(INDEX(Roster!$A$2:$A$40,MATCH($B161,Roster!$A$2:$A$40,0)),IFERROR(IF(INDEX(MapTracker,MATCH($B161,MapNetSuite,0))=0,"",INDEX(MapTracker,MATCH($B161,MapNetSuite,0))),"")))</f>
        <v/>
      </c>
      <c r="G161" s="16">
        <f>IF($F161="","",IFERROR(INDEX(Roster!$B$2:$B$40,MATCH($F161,Roster!$A$2:$A$40,0)),""))</f>
        <v/>
      </c>
      <c r="H161" s="16">
        <f>IF($E161="","",IFERROR(IF(INDEX(Deals!$U$2:$U$355,MATCH($E161,Deals!$A$2:$A$355,0))=0,"",INDEX(Deals!$U$2:$U$355,MATCH($E161,Deals!$A$2:$A$355,0))),""))</f>
        <v/>
      </c>
      <c r="I161" s="18">
        <f>IF(OR($E161="",$F161=""),"",SUMIFS(Assignments!$I$2:$I$769,Assignments!$A$2:$A$769,$F161,Assignments!$C$2:$C$769,$E161))</f>
        <v/>
      </c>
      <c r="J161" s="65">
        <f>IF(OR($E161="",$F161=""),"",$D161-$I161)</f>
        <v/>
      </c>
      <c r="K161" s="20">
        <f>IF($A161="","",IF(AND($E161&lt;&gt;"",$F161&lt;&gt;""),"OK",TRIM(IF($E161="","unmatched code ","")&amp;IF($F161="","unmatched person",""))))</f>
        <v/>
      </c>
    </row>
    <row r="162">
      <c r="A162" s="31" t="n"/>
      <c r="B162" s="31" t="n"/>
      <c r="C162" s="31" t="n"/>
      <c r="D162" s="31" t="n"/>
      <c r="E162" s="16">
        <f>IF($A162="","",IF(COUNTIF(Deals!$A$2:$A$355,$A162)&gt;0,$A162,""))</f>
        <v/>
      </c>
      <c r="F162" s="16">
        <f>IF($B162="","",IFERROR(INDEX(Roster!$A$2:$A$40,MATCH($B162,Roster!$A$2:$A$40,0)),IFERROR(IF(INDEX(MapTracker,MATCH($B162,MapNetSuite,0))=0,"",INDEX(MapTracker,MATCH($B162,MapNetSuite,0))),"")))</f>
        <v/>
      </c>
      <c r="G162" s="16">
        <f>IF($F162="","",IFERROR(INDEX(Roster!$B$2:$B$40,MATCH($F162,Roster!$A$2:$A$40,0)),""))</f>
        <v/>
      </c>
      <c r="H162" s="16">
        <f>IF($E162="","",IFERROR(IF(INDEX(Deals!$U$2:$U$355,MATCH($E162,Deals!$A$2:$A$355,0))=0,"",INDEX(Deals!$U$2:$U$355,MATCH($E162,Deals!$A$2:$A$355,0))),""))</f>
        <v/>
      </c>
      <c r="I162" s="18">
        <f>IF(OR($E162="",$F162=""),"",SUMIFS(Assignments!$I$2:$I$769,Assignments!$A$2:$A$769,$F162,Assignments!$C$2:$C$769,$E162))</f>
        <v/>
      </c>
      <c r="J162" s="65">
        <f>IF(OR($E162="",$F162=""),"",$D162-$I162)</f>
        <v/>
      </c>
      <c r="K162" s="20">
        <f>IF($A162="","",IF(AND($E162&lt;&gt;"",$F162&lt;&gt;""),"OK",TRIM(IF($E162="","unmatched code ","")&amp;IF($F162="","unmatched person",""))))</f>
        <v/>
      </c>
    </row>
    <row r="163">
      <c r="A163" s="31" t="n"/>
      <c r="B163" s="31" t="n"/>
      <c r="C163" s="31" t="n"/>
      <c r="D163" s="31" t="n"/>
      <c r="E163" s="16">
        <f>IF($A163="","",IF(COUNTIF(Deals!$A$2:$A$355,$A163)&gt;0,$A163,""))</f>
        <v/>
      </c>
      <c r="F163" s="16">
        <f>IF($B163="","",IFERROR(INDEX(Roster!$A$2:$A$40,MATCH($B163,Roster!$A$2:$A$40,0)),IFERROR(IF(INDEX(MapTracker,MATCH($B163,MapNetSuite,0))=0,"",INDEX(MapTracker,MATCH($B163,MapNetSuite,0))),"")))</f>
        <v/>
      </c>
      <c r="G163" s="16">
        <f>IF($F163="","",IFERROR(INDEX(Roster!$B$2:$B$40,MATCH($F163,Roster!$A$2:$A$40,0)),""))</f>
        <v/>
      </c>
      <c r="H163" s="16">
        <f>IF($E163="","",IFERROR(IF(INDEX(Deals!$U$2:$U$355,MATCH($E163,Deals!$A$2:$A$355,0))=0,"",INDEX(Deals!$U$2:$U$355,MATCH($E163,Deals!$A$2:$A$355,0))),""))</f>
        <v/>
      </c>
      <c r="I163" s="18">
        <f>IF(OR($E163="",$F163=""),"",SUMIFS(Assignments!$I$2:$I$769,Assignments!$A$2:$A$769,$F163,Assignments!$C$2:$C$769,$E163))</f>
        <v/>
      </c>
      <c r="J163" s="65">
        <f>IF(OR($E163="",$F163=""),"",$D163-$I163)</f>
        <v/>
      </c>
      <c r="K163" s="20">
        <f>IF($A163="","",IF(AND($E163&lt;&gt;"",$F163&lt;&gt;""),"OK",TRIM(IF($E163="","unmatched code ","")&amp;IF($F163="","unmatched person",""))))</f>
        <v/>
      </c>
    </row>
    <row r="164">
      <c r="A164" s="31" t="n"/>
      <c r="B164" s="31" t="n"/>
      <c r="C164" s="31" t="n"/>
      <c r="D164" s="31" t="n"/>
      <c r="E164" s="16">
        <f>IF($A164="","",IF(COUNTIF(Deals!$A$2:$A$355,$A164)&gt;0,$A164,""))</f>
        <v/>
      </c>
      <c r="F164" s="16">
        <f>IF($B164="","",IFERROR(INDEX(Roster!$A$2:$A$40,MATCH($B164,Roster!$A$2:$A$40,0)),IFERROR(IF(INDEX(MapTracker,MATCH($B164,MapNetSuite,0))=0,"",INDEX(MapTracker,MATCH($B164,MapNetSuite,0))),"")))</f>
        <v/>
      </c>
      <c r="G164" s="16">
        <f>IF($F164="","",IFERROR(INDEX(Roster!$B$2:$B$40,MATCH($F164,Roster!$A$2:$A$40,0)),""))</f>
        <v/>
      </c>
      <c r="H164" s="16">
        <f>IF($E164="","",IFERROR(IF(INDEX(Deals!$U$2:$U$355,MATCH($E164,Deals!$A$2:$A$355,0))=0,"",INDEX(Deals!$U$2:$U$355,MATCH($E164,Deals!$A$2:$A$355,0))),""))</f>
        <v/>
      </c>
      <c r="I164" s="18">
        <f>IF(OR($E164="",$F164=""),"",SUMIFS(Assignments!$I$2:$I$769,Assignments!$A$2:$A$769,$F164,Assignments!$C$2:$C$769,$E164))</f>
        <v/>
      </c>
      <c r="J164" s="65">
        <f>IF(OR($E164="",$F164=""),"",$D164-$I164)</f>
        <v/>
      </c>
      <c r="K164" s="20">
        <f>IF($A164="","",IF(AND($E164&lt;&gt;"",$F164&lt;&gt;""),"OK",TRIM(IF($E164="","unmatched code ","")&amp;IF($F164="","unmatched person",""))))</f>
        <v/>
      </c>
    </row>
    <row r="165">
      <c r="A165" s="31" t="n"/>
      <c r="B165" s="31" t="n"/>
      <c r="C165" s="31" t="n"/>
      <c r="D165" s="31" t="n"/>
      <c r="E165" s="16">
        <f>IF($A165="","",IF(COUNTIF(Deals!$A$2:$A$355,$A165)&gt;0,$A165,""))</f>
        <v/>
      </c>
      <c r="F165" s="16">
        <f>IF($B165="","",IFERROR(INDEX(Roster!$A$2:$A$40,MATCH($B165,Roster!$A$2:$A$40,0)),IFERROR(IF(INDEX(MapTracker,MATCH($B165,MapNetSuite,0))=0,"",INDEX(MapTracker,MATCH($B165,MapNetSuite,0))),"")))</f>
        <v/>
      </c>
      <c r="G165" s="16">
        <f>IF($F165="","",IFERROR(INDEX(Roster!$B$2:$B$40,MATCH($F165,Roster!$A$2:$A$40,0)),""))</f>
        <v/>
      </c>
      <c r="H165" s="16">
        <f>IF($E165="","",IFERROR(IF(INDEX(Deals!$U$2:$U$355,MATCH($E165,Deals!$A$2:$A$355,0))=0,"",INDEX(Deals!$U$2:$U$355,MATCH($E165,Deals!$A$2:$A$355,0))),""))</f>
        <v/>
      </c>
      <c r="I165" s="18">
        <f>IF(OR($E165="",$F165=""),"",SUMIFS(Assignments!$I$2:$I$769,Assignments!$A$2:$A$769,$F165,Assignments!$C$2:$C$769,$E165))</f>
        <v/>
      </c>
      <c r="J165" s="65">
        <f>IF(OR($E165="",$F165=""),"",$D165-$I165)</f>
        <v/>
      </c>
      <c r="K165" s="20">
        <f>IF($A165="","",IF(AND($E165&lt;&gt;"",$F165&lt;&gt;""),"OK",TRIM(IF($E165="","unmatched code ","")&amp;IF($F165="","unmatched person",""))))</f>
        <v/>
      </c>
    </row>
    <row r="166">
      <c r="A166" s="31" t="n"/>
      <c r="B166" s="31" t="n"/>
      <c r="C166" s="31" t="n"/>
      <c r="D166" s="31" t="n"/>
      <c r="E166" s="16">
        <f>IF($A166="","",IF(COUNTIF(Deals!$A$2:$A$355,$A166)&gt;0,$A166,""))</f>
        <v/>
      </c>
      <c r="F166" s="16">
        <f>IF($B166="","",IFERROR(INDEX(Roster!$A$2:$A$40,MATCH($B166,Roster!$A$2:$A$40,0)),IFERROR(IF(INDEX(MapTracker,MATCH($B166,MapNetSuite,0))=0,"",INDEX(MapTracker,MATCH($B166,MapNetSuite,0))),"")))</f>
        <v/>
      </c>
      <c r="G166" s="16">
        <f>IF($F166="","",IFERROR(INDEX(Roster!$B$2:$B$40,MATCH($F166,Roster!$A$2:$A$40,0)),""))</f>
        <v/>
      </c>
      <c r="H166" s="16">
        <f>IF($E166="","",IFERROR(IF(INDEX(Deals!$U$2:$U$355,MATCH($E166,Deals!$A$2:$A$355,0))=0,"",INDEX(Deals!$U$2:$U$355,MATCH($E166,Deals!$A$2:$A$355,0))),""))</f>
        <v/>
      </c>
      <c r="I166" s="18">
        <f>IF(OR($E166="",$F166=""),"",SUMIFS(Assignments!$I$2:$I$769,Assignments!$A$2:$A$769,$F166,Assignments!$C$2:$C$769,$E166))</f>
        <v/>
      </c>
      <c r="J166" s="65">
        <f>IF(OR($E166="",$F166=""),"",$D166-$I166)</f>
        <v/>
      </c>
      <c r="K166" s="20">
        <f>IF($A166="","",IF(AND($E166&lt;&gt;"",$F166&lt;&gt;""),"OK",TRIM(IF($E166="","unmatched code ","")&amp;IF($F166="","unmatched person",""))))</f>
        <v/>
      </c>
    </row>
    <row r="167">
      <c r="A167" s="31" t="n"/>
      <c r="B167" s="31" t="n"/>
      <c r="C167" s="31" t="n"/>
      <c r="D167" s="31" t="n"/>
      <c r="E167" s="16">
        <f>IF($A167="","",IF(COUNTIF(Deals!$A$2:$A$355,$A167)&gt;0,$A167,""))</f>
        <v/>
      </c>
      <c r="F167" s="16">
        <f>IF($B167="","",IFERROR(INDEX(Roster!$A$2:$A$40,MATCH($B167,Roster!$A$2:$A$40,0)),IFERROR(IF(INDEX(MapTracker,MATCH($B167,MapNetSuite,0))=0,"",INDEX(MapTracker,MATCH($B167,MapNetSuite,0))),"")))</f>
        <v/>
      </c>
      <c r="G167" s="16">
        <f>IF($F167="","",IFERROR(INDEX(Roster!$B$2:$B$40,MATCH($F167,Roster!$A$2:$A$40,0)),""))</f>
        <v/>
      </c>
      <c r="H167" s="16">
        <f>IF($E167="","",IFERROR(IF(INDEX(Deals!$U$2:$U$355,MATCH($E167,Deals!$A$2:$A$355,0))=0,"",INDEX(Deals!$U$2:$U$355,MATCH($E167,Deals!$A$2:$A$355,0))),""))</f>
        <v/>
      </c>
      <c r="I167" s="18">
        <f>IF(OR($E167="",$F167=""),"",SUMIFS(Assignments!$I$2:$I$769,Assignments!$A$2:$A$769,$F167,Assignments!$C$2:$C$769,$E167))</f>
        <v/>
      </c>
      <c r="J167" s="65">
        <f>IF(OR($E167="",$F167=""),"",$D167-$I167)</f>
        <v/>
      </c>
      <c r="K167" s="20">
        <f>IF($A167="","",IF(AND($E167&lt;&gt;"",$F167&lt;&gt;""),"OK",TRIM(IF($E167="","unmatched code ","")&amp;IF($F167="","unmatched person",""))))</f>
        <v/>
      </c>
    </row>
    <row r="168">
      <c r="A168" s="31" t="n"/>
      <c r="B168" s="31" t="n"/>
      <c r="C168" s="31" t="n"/>
      <c r="D168" s="31" t="n"/>
      <c r="E168" s="16">
        <f>IF($A168="","",IF(COUNTIF(Deals!$A$2:$A$355,$A168)&gt;0,$A168,""))</f>
        <v/>
      </c>
      <c r="F168" s="16">
        <f>IF($B168="","",IFERROR(INDEX(Roster!$A$2:$A$40,MATCH($B168,Roster!$A$2:$A$40,0)),IFERROR(IF(INDEX(MapTracker,MATCH($B168,MapNetSuite,0))=0,"",INDEX(MapTracker,MATCH($B168,MapNetSuite,0))),"")))</f>
        <v/>
      </c>
      <c r="G168" s="16">
        <f>IF($F168="","",IFERROR(INDEX(Roster!$B$2:$B$40,MATCH($F168,Roster!$A$2:$A$40,0)),""))</f>
        <v/>
      </c>
      <c r="H168" s="16">
        <f>IF($E168="","",IFERROR(IF(INDEX(Deals!$U$2:$U$355,MATCH($E168,Deals!$A$2:$A$355,0))=0,"",INDEX(Deals!$U$2:$U$355,MATCH($E168,Deals!$A$2:$A$355,0))),""))</f>
        <v/>
      </c>
      <c r="I168" s="18">
        <f>IF(OR($E168="",$F168=""),"",SUMIFS(Assignments!$I$2:$I$769,Assignments!$A$2:$A$769,$F168,Assignments!$C$2:$C$769,$E168))</f>
        <v/>
      </c>
      <c r="J168" s="65">
        <f>IF(OR($E168="",$F168=""),"",$D168-$I168)</f>
        <v/>
      </c>
      <c r="K168" s="20">
        <f>IF($A168="","",IF(AND($E168&lt;&gt;"",$F168&lt;&gt;""),"OK",TRIM(IF($E168="","unmatched code ","")&amp;IF($F168="","unmatched person",""))))</f>
        <v/>
      </c>
    </row>
    <row r="169">
      <c r="A169" s="31" t="n"/>
      <c r="B169" s="31" t="n"/>
      <c r="C169" s="31" t="n"/>
      <c r="D169" s="31" t="n"/>
      <c r="E169" s="16">
        <f>IF($A169="","",IF(COUNTIF(Deals!$A$2:$A$355,$A169)&gt;0,$A169,""))</f>
        <v/>
      </c>
      <c r="F169" s="16">
        <f>IF($B169="","",IFERROR(INDEX(Roster!$A$2:$A$40,MATCH($B169,Roster!$A$2:$A$40,0)),IFERROR(IF(INDEX(MapTracker,MATCH($B169,MapNetSuite,0))=0,"",INDEX(MapTracker,MATCH($B169,MapNetSuite,0))),"")))</f>
        <v/>
      </c>
      <c r="G169" s="16">
        <f>IF($F169="","",IFERROR(INDEX(Roster!$B$2:$B$40,MATCH($F169,Roster!$A$2:$A$40,0)),""))</f>
        <v/>
      </c>
      <c r="H169" s="16">
        <f>IF($E169="","",IFERROR(IF(INDEX(Deals!$U$2:$U$355,MATCH($E169,Deals!$A$2:$A$355,0))=0,"",INDEX(Deals!$U$2:$U$355,MATCH($E169,Deals!$A$2:$A$355,0))),""))</f>
        <v/>
      </c>
      <c r="I169" s="18">
        <f>IF(OR($E169="",$F169=""),"",SUMIFS(Assignments!$I$2:$I$769,Assignments!$A$2:$A$769,$F169,Assignments!$C$2:$C$769,$E169))</f>
        <v/>
      </c>
      <c r="J169" s="65">
        <f>IF(OR($E169="",$F169=""),"",$D169-$I169)</f>
        <v/>
      </c>
      <c r="K169" s="20">
        <f>IF($A169="","",IF(AND($E169&lt;&gt;"",$F169&lt;&gt;""),"OK",TRIM(IF($E169="","unmatched code ","")&amp;IF($F169="","unmatched person",""))))</f>
        <v/>
      </c>
    </row>
    <row r="170">
      <c r="A170" s="31" t="n"/>
      <c r="B170" s="31" t="n"/>
      <c r="C170" s="31" t="n"/>
      <c r="D170" s="31" t="n"/>
      <c r="E170" s="16">
        <f>IF($A170="","",IF(COUNTIF(Deals!$A$2:$A$355,$A170)&gt;0,$A170,""))</f>
        <v/>
      </c>
      <c r="F170" s="16">
        <f>IF($B170="","",IFERROR(INDEX(Roster!$A$2:$A$40,MATCH($B170,Roster!$A$2:$A$40,0)),IFERROR(IF(INDEX(MapTracker,MATCH($B170,MapNetSuite,0))=0,"",INDEX(MapTracker,MATCH($B170,MapNetSuite,0))),"")))</f>
        <v/>
      </c>
      <c r="G170" s="16">
        <f>IF($F170="","",IFERROR(INDEX(Roster!$B$2:$B$40,MATCH($F170,Roster!$A$2:$A$40,0)),""))</f>
        <v/>
      </c>
      <c r="H170" s="16">
        <f>IF($E170="","",IFERROR(IF(INDEX(Deals!$U$2:$U$355,MATCH($E170,Deals!$A$2:$A$355,0))=0,"",INDEX(Deals!$U$2:$U$355,MATCH($E170,Deals!$A$2:$A$355,0))),""))</f>
        <v/>
      </c>
      <c r="I170" s="18">
        <f>IF(OR($E170="",$F170=""),"",SUMIFS(Assignments!$I$2:$I$769,Assignments!$A$2:$A$769,$F170,Assignments!$C$2:$C$769,$E170))</f>
        <v/>
      </c>
      <c r="J170" s="65">
        <f>IF(OR($E170="",$F170=""),"",$D170-$I170)</f>
        <v/>
      </c>
      <c r="K170" s="20">
        <f>IF($A170="","",IF(AND($E170&lt;&gt;"",$F170&lt;&gt;""),"OK",TRIM(IF($E170="","unmatched code ","")&amp;IF($F170="","unmatched person",""))))</f>
        <v/>
      </c>
    </row>
    <row r="171">
      <c r="A171" s="31" t="n"/>
      <c r="B171" s="31" t="n"/>
      <c r="C171" s="31" t="n"/>
      <c r="D171" s="31" t="n"/>
      <c r="E171" s="16">
        <f>IF($A171="","",IF(COUNTIF(Deals!$A$2:$A$355,$A171)&gt;0,$A171,""))</f>
        <v/>
      </c>
      <c r="F171" s="16">
        <f>IF($B171="","",IFERROR(INDEX(Roster!$A$2:$A$40,MATCH($B171,Roster!$A$2:$A$40,0)),IFERROR(IF(INDEX(MapTracker,MATCH($B171,MapNetSuite,0))=0,"",INDEX(MapTracker,MATCH($B171,MapNetSuite,0))),"")))</f>
        <v/>
      </c>
      <c r="G171" s="16">
        <f>IF($F171="","",IFERROR(INDEX(Roster!$B$2:$B$40,MATCH($F171,Roster!$A$2:$A$40,0)),""))</f>
        <v/>
      </c>
      <c r="H171" s="16">
        <f>IF($E171="","",IFERROR(IF(INDEX(Deals!$U$2:$U$355,MATCH($E171,Deals!$A$2:$A$355,0))=0,"",INDEX(Deals!$U$2:$U$355,MATCH($E171,Deals!$A$2:$A$355,0))),""))</f>
        <v/>
      </c>
      <c r="I171" s="18">
        <f>IF(OR($E171="",$F171=""),"",SUMIFS(Assignments!$I$2:$I$769,Assignments!$A$2:$A$769,$F171,Assignments!$C$2:$C$769,$E171))</f>
        <v/>
      </c>
      <c r="J171" s="65">
        <f>IF(OR($E171="",$F171=""),"",$D171-$I171)</f>
        <v/>
      </c>
      <c r="K171" s="20">
        <f>IF($A171="","",IF(AND($E171&lt;&gt;"",$F171&lt;&gt;""),"OK",TRIM(IF($E171="","unmatched code ","")&amp;IF($F171="","unmatched person",""))))</f>
        <v/>
      </c>
    </row>
    <row r="172">
      <c r="A172" s="31" t="n"/>
      <c r="B172" s="31" t="n"/>
      <c r="C172" s="31" t="n"/>
      <c r="D172" s="31" t="n"/>
      <c r="E172" s="16">
        <f>IF($A172="","",IF(COUNTIF(Deals!$A$2:$A$355,$A172)&gt;0,$A172,""))</f>
        <v/>
      </c>
      <c r="F172" s="16">
        <f>IF($B172="","",IFERROR(INDEX(Roster!$A$2:$A$40,MATCH($B172,Roster!$A$2:$A$40,0)),IFERROR(IF(INDEX(MapTracker,MATCH($B172,MapNetSuite,0))=0,"",INDEX(MapTracker,MATCH($B172,MapNetSuite,0))),"")))</f>
        <v/>
      </c>
      <c r="G172" s="16">
        <f>IF($F172="","",IFERROR(INDEX(Roster!$B$2:$B$40,MATCH($F172,Roster!$A$2:$A$40,0)),""))</f>
        <v/>
      </c>
      <c r="H172" s="16">
        <f>IF($E172="","",IFERROR(IF(INDEX(Deals!$U$2:$U$355,MATCH($E172,Deals!$A$2:$A$355,0))=0,"",INDEX(Deals!$U$2:$U$355,MATCH($E172,Deals!$A$2:$A$355,0))),""))</f>
        <v/>
      </c>
      <c r="I172" s="18">
        <f>IF(OR($E172="",$F172=""),"",SUMIFS(Assignments!$I$2:$I$769,Assignments!$A$2:$A$769,$F172,Assignments!$C$2:$C$769,$E172))</f>
        <v/>
      </c>
      <c r="J172" s="65">
        <f>IF(OR($E172="",$F172=""),"",$D172-$I172)</f>
        <v/>
      </c>
      <c r="K172" s="20">
        <f>IF($A172="","",IF(AND($E172&lt;&gt;"",$F172&lt;&gt;""),"OK",TRIM(IF($E172="","unmatched code ","")&amp;IF($F172="","unmatched person",""))))</f>
        <v/>
      </c>
    </row>
    <row r="173">
      <c r="A173" s="31" t="n"/>
      <c r="B173" s="31" t="n"/>
      <c r="C173" s="31" t="n"/>
      <c r="D173" s="31" t="n"/>
      <c r="E173" s="16">
        <f>IF($A173="","",IF(COUNTIF(Deals!$A$2:$A$355,$A173)&gt;0,$A173,""))</f>
        <v/>
      </c>
      <c r="F173" s="16">
        <f>IF($B173="","",IFERROR(INDEX(Roster!$A$2:$A$40,MATCH($B173,Roster!$A$2:$A$40,0)),IFERROR(IF(INDEX(MapTracker,MATCH($B173,MapNetSuite,0))=0,"",INDEX(MapTracker,MATCH($B173,MapNetSuite,0))),"")))</f>
        <v/>
      </c>
      <c r="G173" s="16">
        <f>IF($F173="","",IFERROR(INDEX(Roster!$B$2:$B$40,MATCH($F173,Roster!$A$2:$A$40,0)),""))</f>
        <v/>
      </c>
      <c r="H173" s="16">
        <f>IF($E173="","",IFERROR(IF(INDEX(Deals!$U$2:$U$355,MATCH($E173,Deals!$A$2:$A$355,0))=0,"",INDEX(Deals!$U$2:$U$355,MATCH($E173,Deals!$A$2:$A$355,0))),""))</f>
        <v/>
      </c>
      <c r="I173" s="18">
        <f>IF(OR($E173="",$F173=""),"",SUMIFS(Assignments!$I$2:$I$769,Assignments!$A$2:$A$769,$F173,Assignments!$C$2:$C$769,$E173))</f>
        <v/>
      </c>
      <c r="J173" s="65">
        <f>IF(OR($E173="",$F173=""),"",$D173-$I173)</f>
        <v/>
      </c>
      <c r="K173" s="20">
        <f>IF($A173="","",IF(AND($E173&lt;&gt;"",$F173&lt;&gt;""),"OK",TRIM(IF($E173="","unmatched code ","")&amp;IF($F173="","unmatched person",""))))</f>
        <v/>
      </c>
    </row>
    <row r="174">
      <c r="A174" s="31" t="n"/>
      <c r="B174" s="31" t="n"/>
      <c r="C174" s="31" t="n"/>
      <c r="D174" s="31" t="n"/>
      <c r="E174" s="16">
        <f>IF($A174="","",IF(COUNTIF(Deals!$A$2:$A$355,$A174)&gt;0,$A174,""))</f>
        <v/>
      </c>
      <c r="F174" s="16">
        <f>IF($B174="","",IFERROR(INDEX(Roster!$A$2:$A$40,MATCH($B174,Roster!$A$2:$A$40,0)),IFERROR(IF(INDEX(MapTracker,MATCH($B174,MapNetSuite,0))=0,"",INDEX(MapTracker,MATCH($B174,MapNetSuite,0))),"")))</f>
        <v/>
      </c>
      <c r="G174" s="16">
        <f>IF($F174="","",IFERROR(INDEX(Roster!$B$2:$B$40,MATCH($F174,Roster!$A$2:$A$40,0)),""))</f>
        <v/>
      </c>
      <c r="H174" s="16">
        <f>IF($E174="","",IFERROR(IF(INDEX(Deals!$U$2:$U$355,MATCH($E174,Deals!$A$2:$A$355,0))=0,"",INDEX(Deals!$U$2:$U$355,MATCH($E174,Deals!$A$2:$A$355,0))),""))</f>
        <v/>
      </c>
      <c r="I174" s="18">
        <f>IF(OR($E174="",$F174=""),"",SUMIFS(Assignments!$I$2:$I$769,Assignments!$A$2:$A$769,$F174,Assignments!$C$2:$C$769,$E174))</f>
        <v/>
      </c>
      <c r="J174" s="65">
        <f>IF(OR($E174="",$F174=""),"",$D174-$I174)</f>
        <v/>
      </c>
      <c r="K174" s="20">
        <f>IF($A174="","",IF(AND($E174&lt;&gt;"",$F174&lt;&gt;""),"OK",TRIM(IF($E174="","unmatched code ","")&amp;IF($F174="","unmatched person",""))))</f>
        <v/>
      </c>
    </row>
    <row r="175">
      <c r="A175" s="31" t="n"/>
      <c r="B175" s="31" t="n"/>
      <c r="C175" s="31" t="n"/>
      <c r="D175" s="31" t="n"/>
      <c r="E175" s="16">
        <f>IF($A175="","",IF(COUNTIF(Deals!$A$2:$A$355,$A175)&gt;0,$A175,""))</f>
        <v/>
      </c>
      <c r="F175" s="16">
        <f>IF($B175="","",IFERROR(INDEX(Roster!$A$2:$A$40,MATCH($B175,Roster!$A$2:$A$40,0)),IFERROR(IF(INDEX(MapTracker,MATCH($B175,MapNetSuite,0))=0,"",INDEX(MapTracker,MATCH($B175,MapNetSuite,0))),"")))</f>
        <v/>
      </c>
      <c r="G175" s="16">
        <f>IF($F175="","",IFERROR(INDEX(Roster!$B$2:$B$40,MATCH($F175,Roster!$A$2:$A$40,0)),""))</f>
        <v/>
      </c>
      <c r="H175" s="16">
        <f>IF($E175="","",IFERROR(IF(INDEX(Deals!$U$2:$U$355,MATCH($E175,Deals!$A$2:$A$355,0))=0,"",INDEX(Deals!$U$2:$U$355,MATCH($E175,Deals!$A$2:$A$355,0))),""))</f>
        <v/>
      </c>
      <c r="I175" s="18">
        <f>IF(OR($E175="",$F175=""),"",SUMIFS(Assignments!$I$2:$I$769,Assignments!$A$2:$A$769,$F175,Assignments!$C$2:$C$769,$E175))</f>
        <v/>
      </c>
      <c r="J175" s="65">
        <f>IF(OR($E175="",$F175=""),"",$D175-$I175)</f>
        <v/>
      </c>
      <c r="K175" s="20">
        <f>IF($A175="","",IF(AND($E175&lt;&gt;"",$F175&lt;&gt;""),"OK",TRIM(IF($E175="","unmatched code ","")&amp;IF($F175="","unmatched person",""))))</f>
        <v/>
      </c>
    </row>
    <row r="176">
      <c r="A176" s="31" t="n"/>
      <c r="B176" s="31" t="n"/>
      <c r="C176" s="31" t="n"/>
      <c r="D176" s="31" t="n"/>
      <c r="E176" s="16">
        <f>IF($A176="","",IF(COUNTIF(Deals!$A$2:$A$355,$A176)&gt;0,$A176,""))</f>
        <v/>
      </c>
      <c r="F176" s="16">
        <f>IF($B176="","",IFERROR(INDEX(Roster!$A$2:$A$40,MATCH($B176,Roster!$A$2:$A$40,0)),IFERROR(IF(INDEX(MapTracker,MATCH($B176,MapNetSuite,0))=0,"",INDEX(MapTracker,MATCH($B176,MapNetSuite,0))),"")))</f>
        <v/>
      </c>
      <c r="G176" s="16">
        <f>IF($F176="","",IFERROR(INDEX(Roster!$B$2:$B$40,MATCH($F176,Roster!$A$2:$A$40,0)),""))</f>
        <v/>
      </c>
      <c r="H176" s="16">
        <f>IF($E176="","",IFERROR(IF(INDEX(Deals!$U$2:$U$355,MATCH($E176,Deals!$A$2:$A$355,0))=0,"",INDEX(Deals!$U$2:$U$355,MATCH($E176,Deals!$A$2:$A$355,0))),""))</f>
        <v/>
      </c>
      <c r="I176" s="18">
        <f>IF(OR($E176="",$F176=""),"",SUMIFS(Assignments!$I$2:$I$769,Assignments!$A$2:$A$769,$F176,Assignments!$C$2:$C$769,$E176))</f>
        <v/>
      </c>
      <c r="J176" s="65">
        <f>IF(OR($E176="",$F176=""),"",$D176-$I176)</f>
        <v/>
      </c>
      <c r="K176" s="20">
        <f>IF($A176="","",IF(AND($E176&lt;&gt;"",$F176&lt;&gt;""),"OK",TRIM(IF($E176="","unmatched code ","")&amp;IF($F176="","unmatched person",""))))</f>
        <v/>
      </c>
    </row>
    <row r="177">
      <c r="A177" s="31" t="n"/>
      <c r="B177" s="31" t="n"/>
      <c r="C177" s="31" t="n"/>
      <c r="D177" s="31" t="n"/>
      <c r="E177" s="16">
        <f>IF($A177="","",IF(COUNTIF(Deals!$A$2:$A$355,$A177)&gt;0,$A177,""))</f>
        <v/>
      </c>
      <c r="F177" s="16">
        <f>IF($B177="","",IFERROR(INDEX(Roster!$A$2:$A$40,MATCH($B177,Roster!$A$2:$A$40,0)),IFERROR(IF(INDEX(MapTracker,MATCH($B177,MapNetSuite,0))=0,"",INDEX(MapTracker,MATCH($B177,MapNetSuite,0))),"")))</f>
        <v/>
      </c>
      <c r="G177" s="16">
        <f>IF($F177="","",IFERROR(INDEX(Roster!$B$2:$B$40,MATCH($F177,Roster!$A$2:$A$40,0)),""))</f>
        <v/>
      </c>
      <c r="H177" s="16">
        <f>IF($E177="","",IFERROR(IF(INDEX(Deals!$U$2:$U$355,MATCH($E177,Deals!$A$2:$A$355,0))=0,"",INDEX(Deals!$U$2:$U$355,MATCH($E177,Deals!$A$2:$A$355,0))),""))</f>
        <v/>
      </c>
      <c r="I177" s="18">
        <f>IF(OR($E177="",$F177=""),"",SUMIFS(Assignments!$I$2:$I$769,Assignments!$A$2:$A$769,$F177,Assignments!$C$2:$C$769,$E177))</f>
        <v/>
      </c>
      <c r="J177" s="65">
        <f>IF(OR($E177="",$F177=""),"",$D177-$I177)</f>
        <v/>
      </c>
      <c r="K177" s="20">
        <f>IF($A177="","",IF(AND($E177&lt;&gt;"",$F177&lt;&gt;""),"OK",TRIM(IF($E177="","unmatched code ","")&amp;IF($F177="","unmatched person",""))))</f>
        <v/>
      </c>
    </row>
    <row r="178">
      <c r="A178" s="31" t="n"/>
      <c r="B178" s="31" t="n"/>
      <c r="C178" s="31" t="n"/>
      <c r="D178" s="31" t="n"/>
      <c r="E178" s="16">
        <f>IF($A178="","",IF(COUNTIF(Deals!$A$2:$A$355,$A178)&gt;0,$A178,""))</f>
        <v/>
      </c>
      <c r="F178" s="16">
        <f>IF($B178="","",IFERROR(INDEX(Roster!$A$2:$A$40,MATCH($B178,Roster!$A$2:$A$40,0)),IFERROR(IF(INDEX(MapTracker,MATCH($B178,MapNetSuite,0))=0,"",INDEX(MapTracker,MATCH($B178,MapNetSuite,0))),"")))</f>
        <v/>
      </c>
      <c r="G178" s="16">
        <f>IF($F178="","",IFERROR(INDEX(Roster!$B$2:$B$40,MATCH($F178,Roster!$A$2:$A$40,0)),""))</f>
        <v/>
      </c>
      <c r="H178" s="16">
        <f>IF($E178="","",IFERROR(IF(INDEX(Deals!$U$2:$U$355,MATCH($E178,Deals!$A$2:$A$355,0))=0,"",INDEX(Deals!$U$2:$U$355,MATCH($E178,Deals!$A$2:$A$355,0))),""))</f>
        <v/>
      </c>
      <c r="I178" s="18">
        <f>IF(OR($E178="",$F178=""),"",SUMIFS(Assignments!$I$2:$I$769,Assignments!$A$2:$A$769,$F178,Assignments!$C$2:$C$769,$E178))</f>
        <v/>
      </c>
      <c r="J178" s="65">
        <f>IF(OR($E178="",$F178=""),"",$D178-$I178)</f>
        <v/>
      </c>
      <c r="K178" s="20">
        <f>IF($A178="","",IF(AND($E178&lt;&gt;"",$F178&lt;&gt;""),"OK",TRIM(IF($E178="","unmatched code ","")&amp;IF($F178="","unmatched person",""))))</f>
        <v/>
      </c>
    </row>
    <row r="179">
      <c r="A179" s="31" t="n"/>
      <c r="B179" s="31" t="n"/>
      <c r="C179" s="31" t="n"/>
      <c r="D179" s="31" t="n"/>
      <c r="E179" s="16">
        <f>IF($A179="","",IF(COUNTIF(Deals!$A$2:$A$355,$A179)&gt;0,$A179,""))</f>
        <v/>
      </c>
      <c r="F179" s="16">
        <f>IF($B179="","",IFERROR(INDEX(Roster!$A$2:$A$40,MATCH($B179,Roster!$A$2:$A$40,0)),IFERROR(IF(INDEX(MapTracker,MATCH($B179,MapNetSuite,0))=0,"",INDEX(MapTracker,MATCH($B179,MapNetSuite,0))),"")))</f>
        <v/>
      </c>
      <c r="G179" s="16">
        <f>IF($F179="","",IFERROR(INDEX(Roster!$B$2:$B$40,MATCH($F179,Roster!$A$2:$A$40,0)),""))</f>
        <v/>
      </c>
      <c r="H179" s="16">
        <f>IF($E179="","",IFERROR(IF(INDEX(Deals!$U$2:$U$355,MATCH($E179,Deals!$A$2:$A$355,0))=0,"",INDEX(Deals!$U$2:$U$355,MATCH($E179,Deals!$A$2:$A$355,0))),""))</f>
        <v/>
      </c>
      <c r="I179" s="18">
        <f>IF(OR($E179="",$F179=""),"",SUMIFS(Assignments!$I$2:$I$769,Assignments!$A$2:$A$769,$F179,Assignments!$C$2:$C$769,$E179))</f>
        <v/>
      </c>
      <c r="J179" s="65">
        <f>IF(OR($E179="",$F179=""),"",$D179-$I179)</f>
        <v/>
      </c>
      <c r="K179" s="20">
        <f>IF($A179="","",IF(AND($E179&lt;&gt;"",$F179&lt;&gt;""),"OK",TRIM(IF($E179="","unmatched code ","")&amp;IF($F179="","unmatched person",""))))</f>
        <v/>
      </c>
    </row>
    <row r="180">
      <c r="A180" s="31" t="n"/>
      <c r="B180" s="31" t="n"/>
      <c r="C180" s="31" t="n"/>
      <c r="D180" s="31" t="n"/>
      <c r="E180" s="16">
        <f>IF($A180="","",IF(COUNTIF(Deals!$A$2:$A$355,$A180)&gt;0,$A180,""))</f>
        <v/>
      </c>
      <c r="F180" s="16">
        <f>IF($B180="","",IFERROR(INDEX(Roster!$A$2:$A$40,MATCH($B180,Roster!$A$2:$A$40,0)),IFERROR(IF(INDEX(MapTracker,MATCH($B180,MapNetSuite,0))=0,"",INDEX(MapTracker,MATCH($B180,MapNetSuite,0))),"")))</f>
        <v/>
      </c>
      <c r="G180" s="16">
        <f>IF($F180="","",IFERROR(INDEX(Roster!$B$2:$B$40,MATCH($F180,Roster!$A$2:$A$40,0)),""))</f>
        <v/>
      </c>
      <c r="H180" s="16">
        <f>IF($E180="","",IFERROR(IF(INDEX(Deals!$U$2:$U$355,MATCH($E180,Deals!$A$2:$A$355,0))=0,"",INDEX(Deals!$U$2:$U$355,MATCH($E180,Deals!$A$2:$A$355,0))),""))</f>
        <v/>
      </c>
      <c r="I180" s="18">
        <f>IF(OR($E180="",$F180=""),"",SUMIFS(Assignments!$I$2:$I$769,Assignments!$A$2:$A$769,$F180,Assignments!$C$2:$C$769,$E180))</f>
        <v/>
      </c>
      <c r="J180" s="65">
        <f>IF(OR($E180="",$F180=""),"",$D180-$I180)</f>
        <v/>
      </c>
      <c r="K180" s="20">
        <f>IF($A180="","",IF(AND($E180&lt;&gt;"",$F180&lt;&gt;""),"OK",TRIM(IF($E180="","unmatched code ","")&amp;IF($F180="","unmatched person",""))))</f>
        <v/>
      </c>
    </row>
    <row r="181">
      <c r="A181" s="31" t="n"/>
      <c r="B181" s="31" t="n"/>
      <c r="C181" s="31" t="n"/>
      <c r="D181" s="31" t="n"/>
      <c r="E181" s="16">
        <f>IF($A181="","",IF(COUNTIF(Deals!$A$2:$A$355,$A181)&gt;0,$A181,""))</f>
        <v/>
      </c>
      <c r="F181" s="16">
        <f>IF($B181="","",IFERROR(INDEX(Roster!$A$2:$A$40,MATCH($B181,Roster!$A$2:$A$40,0)),IFERROR(IF(INDEX(MapTracker,MATCH($B181,MapNetSuite,0))=0,"",INDEX(MapTracker,MATCH($B181,MapNetSuite,0))),"")))</f>
        <v/>
      </c>
      <c r="G181" s="16">
        <f>IF($F181="","",IFERROR(INDEX(Roster!$B$2:$B$40,MATCH($F181,Roster!$A$2:$A$40,0)),""))</f>
        <v/>
      </c>
      <c r="H181" s="16">
        <f>IF($E181="","",IFERROR(IF(INDEX(Deals!$U$2:$U$355,MATCH($E181,Deals!$A$2:$A$355,0))=0,"",INDEX(Deals!$U$2:$U$355,MATCH($E181,Deals!$A$2:$A$355,0))),""))</f>
        <v/>
      </c>
      <c r="I181" s="18">
        <f>IF(OR($E181="",$F181=""),"",SUMIFS(Assignments!$I$2:$I$769,Assignments!$A$2:$A$769,$F181,Assignments!$C$2:$C$769,$E181))</f>
        <v/>
      </c>
      <c r="J181" s="65">
        <f>IF(OR($E181="",$F181=""),"",$D181-$I181)</f>
        <v/>
      </c>
      <c r="K181" s="20">
        <f>IF($A181="","",IF(AND($E181&lt;&gt;"",$F181&lt;&gt;""),"OK",TRIM(IF($E181="","unmatched code ","")&amp;IF($F181="","unmatched person",""))))</f>
        <v/>
      </c>
    </row>
    <row r="182">
      <c r="A182" s="31" t="n"/>
      <c r="B182" s="31" t="n"/>
      <c r="C182" s="31" t="n"/>
      <c r="D182" s="31" t="n"/>
      <c r="E182" s="16">
        <f>IF($A182="","",IF(COUNTIF(Deals!$A$2:$A$355,$A182)&gt;0,$A182,""))</f>
        <v/>
      </c>
      <c r="F182" s="16">
        <f>IF($B182="","",IFERROR(INDEX(Roster!$A$2:$A$40,MATCH($B182,Roster!$A$2:$A$40,0)),IFERROR(IF(INDEX(MapTracker,MATCH($B182,MapNetSuite,0))=0,"",INDEX(MapTracker,MATCH($B182,MapNetSuite,0))),"")))</f>
        <v/>
      </c>
      <c r="G182" s="16">
        <f>IF($F182="","",IFERROR(INDEX(Roster!$B$2:$B$40,MATCH($F182,Roster!$A$2:$A$40,0)),""))</f>
        <v/>
      </c>
      <c r="H182" s="16">
        <f>IF($E182="","",IFERROR(IF(INDEX(Deals!$U$2:$U$355,MATCH($E182,Deals!$A$2:$A$355,0))=0,"",INDEX(Deals!$U$2:$U$355,MATCH($E182,Deals!$A$2:$A$355,0))),""))</f>
        <v/>
      </c>
      <c r="I182" s="18">
        <f>IF(OR($E182="",$F182=""),"",SUMIFS(Assignments!$I$2:$I$769,Assignments!$A$2:$A$769,$F182,Assignments!$C$2:$C$769,$E182))</f>
        <v/>
      </c>
      <c r="J182" s="65">
        <f>IF(OR($E182="",$F182=""),"",$D182-$I182)</f>
        <v/>
      </c>
      <c r="K182" s="20">
        <f>IF($A182="","",IF(AND($E182&lt;&gt;"",$F182&lt;&gt;""),"OK",TRIM(IF($E182="","unmatched code ","")&amp;IF($F182="","unmatched person",""))))</f>
        <v/>
      </c>
    </row>
    <row r="183">
      <c r="A183" s="31" t="n"/>
      <c r="B183" s="31" t="n"/>
      <c r="C183" s="31" t="n"/>
      <c r="D183" s="31" t="n"/>
      <c r="E183" s="16">
        <f>IF($A183="","",IF(COUNTIF(Deals!$A$2:$A$355,$A183)&gt;0,$A183,""))</f>
        <v/>
      </c>
      <c r="F183" s="16">
        <f>IF($B183="","",IFERROR(INDEX(Roster!$A$2:$A$40,MATCH($B183,Roster!$A$2:$A$40,0)),IFERROR(IF(INDEX(MapTracker,MATCH($B183,MapNetSuite,0))=0,"",INDEX(MapTracker,MATCH($B183,MapNetSuite,0))),"")))</f>
        <v/>
      </c>
      <c r="G183" s="16">
        <f>IF($F183="","",IFERROR(INDEX(Roster!$B$2:$B$40,MATCH($F183,Roster!$A$2:$A$40,0)),""))</f>
        <v/>
      </c>
      <c r="H183" s="16">
        <f>IF($E183="","",IFERROR(IF(INDEX(Deals!$U$2:$U$355,MATCH($E183,Deals!$A$2:$A$355,0))=0,"",INDEX(Deals!$U$2:$U$355,MATCH($E183,Deals!$A$2:$A$355,0))),""))</f>
        <v/>
      </c>
      <c r="I183" s="18">
        <f>IF(OR($E183="",$F183=""),"",SUMIFS(Assignments!$I$2:$I$769,Assignments!$A$2:$A$769,$F183,Assignments!$C$2:$C$769,$E183))</f>
        <v/>
      </c>
      <c r="J183" s="65">
        <f>IF(OR($E183="",$F183=""),"",$D183-$I183)</f>
        <v/>
      </c>
      <c r="K183" s="20">
        <f>IF($A183="","",IF(AND($E183&lt;&gt;"",$F183&lt;&gt;""),"OK",TRIM(IF($E183="","unmatched code ","")&amp;IF($F183="","unmatched person",""))))</f>
        <v/>
      </c>
    </row>
    <row r="184">
      <c r="A184" s="31" t="n"/>
      <c r="B184" s="31" t="n"/>
      <c r="C184" s="31" t="n"/>
      <c r="D184" s="31" t="n"/>
      <c r="E184" s="16">
        <f>IF($A184="","",IF(COUNTIF(Deals!$A$2:$A$355,$A184)&gt;0,$A184,""))</f>
        <v/>
      </c>
      <c r="F184" s="16">
        <f>IF($B184="","",IFERROR(INDEX(Roster!$A$2:$A$40,MATCH($B184,Roster!$A$2:$A$40,0)),IFERROR(IF(INDEX(MapTracker,MATCH($B184,MapNetSuite,0))=0,"",INDEX(MapTracker,MATCH($B184,MapNetSuite,0))),"")))</f>
        <v/>
      </c>
      <c r="G184" s="16">
        <f>IF($F184="","",IFERROR(INDEX(Roster!$B$2:$B$40,MATCH($F184,Roster!$A$2:$A$40,0)),""))</f>
        <v/>
      </c>
      <c r="H184" s="16">
        <f>IF($E184="","",IFERROR(IF(INDEX(Deals!$U$2:$U$355,MATCH($E184,Deals!$A$2:$A$355,0))=0,"",INDEX(Deals!$U$2:$U$355,MATCH($E184,Deals!$A$2:$A$355,0))),""))</f>
        <v/>
      </c>
      <c r="I184" s="18">
        <f>IF(OR($E184="",$F184=""),"",SUMIFS(Assignments!$I$2:$I$769,Assignments!$A$2:$A$769,$F184,Assignments!$C$2:$C$769,$E184))</f>
        <v/>
      </c>
      <c r="J184" s="65">
        <f>IF(OR($E184="",$F184=""),"",$D184-$I184)</f>
        <v/>
      </c>
      <c r="K184" s="20">
        <f>IF($A184="","",IF(AND($E184&lt;&gt;"",$F184&lt;&gt;""),"OK",TRIM(IF($E184="","unmatched code ","")&amp;IF($F184="","unmatched person",""))))</f>
        <v/>
      </c>
    </row>
    <row r="185">
      <c r="A185" s="31" t="n"/>
      <c r="B185" s="31" t="n"/>
      <c r="C185" s="31" t="n"/>
      <c r="D185" s="31" t="n"/>
      <c r="E185" s="16">
        <f>IF($A185="","",IF(COUNTIF(Deals!$A$2:$A$355,$A185)&gt;0,$A185,""))</f>
        <v/>
      </c>
      <c r="F185" s="16">
        <f>IF($B185="","",IFERROR(INDEX(Roster!$A$2:$A$40,MATCH($B185,Roster!$A$2:$A$40,0)),IFERROR(IF(INDEX(MapTracker,MATCH($B185,MapNetSuite,0))=0,"",INDEX(MapTracker,MATCH($B185,MapNetSuite,0))),"")))</f>
        <v/>
      </c>
      <c r="G185" s="16">
        <f>IF($F185="","",IFERROR(INDEX(Roster!$B$2:$B$40,MATCH($F185,Roster!$A$2:$A$40,0)),""))</f>
        <v/>
      </c>
      <c r="H185" s="16">
        <f>IF($E185="","",IFERROR(IF(INDEX(Deals!$U$2:$U$355,MATCH($E185,Deals!$A$2:$A$355,0))=0,"",INDEX(Deals!$U$2:$U$355,MATCH($E185,Deals!$A$2:$A$355,0))),""))</f>
        <v/>
      </c>
      <c r="I185" s="18">
        <f>IF(OR($E185="",$F185=""),"",SUMIFS(Assignments!$I$2:$I$769,Assignments!$A$2:$A$769,$F185,Assignments!$C$2:$C$769,$E185))</f>
        <v/>
      </c>
      <c r="J185" s="65">
        <f>IF(OR($E185="",$F185=""),"",$D185-$I185)</f>
        <v/>
      </c>
      <c r="K185" s="20">
        <f>IF($A185="","",IF(AND($E185&lt;&gt;"",$F185&lt;&gt;""),"OK",TRIM(IF($E185="","unmatched code ","")&amp;IF($F185="","unmatched person",""))))</f>
        <v/>
      </c>
    </row>
    <row r="186">
      <c r="A186" s="31" t="n"/>
      <c r="B186" s="31" t="n"/>
      <c r="C186" s="31" t="n"/>
      <c r="D186" s="31" t="n"/>
      <c r="E186" s="16">
        <f>IF($A186="","",IF(COUNTIF(Deals!$A$2:$A$355,$A186)&gt;0,$A186,""))</f>
        <v/>
      </c>
      <c r="F186" s="16">
        <f>IF($B186="","",IFERROR(INDEX(Roster!$A$2:$A$40,MATCH($B186,Roster!$A$2:$A$40,0)),IFERROR(IF(INDEX(MapTracker,MATCH($B186,MapNetSuite,0))=0,"",INDEX(MapTracker,MATCH($B186,MapNetSuite,0))),"")))</f>
        <v/>
      </c>
      <c r="G186" s="16">
        <f>IF($F186="","",IFERROR(INDEX(Roster!$B$2:$B$40,MATCH($F186,Roster!$A$2:$A$40,0)),""))</f>
        <v/>
      </c>
      <c r="H186" s="16">
        <f>IF($E186="","",IFERROR(IF(INDEX(Deals!$U$2:$U$355,MATCH($E186,Deals!$A$2:$A$355,0))=0,"",INDEX(Deals!$U$2:$U$355,MATCH($E186,Deals!$A$2:$A$355,0))),""))</f>
        <v/>
      </c>
      <c r="I186" s="18">
        <f>IF(OR($E186="",$F186=""),"",SUMIFS(Assignments!$I$2:$I$769,Assignments!$A$2:$A$769,$F186,Assignments!$C$2:$C$769,$E186))</f>
        <v/>
      </c>
      <c r="J186" s="65">
        <f>IF(OR($E186="",$F186=""),"",$D186-$I186)</f>
        <v/>
      </c>
      <c r="K186" s="20">
        <f>IF($A186="","",IF(AND($E186&lt;&gt;"",$F186&lt;&gt;""),"OK",TRIM(IF($E186="","unmatched code ","")&amp;IF($F186="","unmatched person",""))))</f>
        <v/>
      </c>
    </row>
    <row r="187">
      <c r="A187" s="31" t="n"/>
      <c r="B187" s="31" t="n"/>
      <c r="C187" s="31" t="n"/>
      <c r="D187" s="31" t="n"/>
      <c r="E187" s="16">
        <f>IF($A187="","",IF(COUNTIF(Deals!$A$2:$A$355,$A187)&gt;0,$A187,""))</f>
        <v/>
      </c>
      <c r="F187" s="16">
        <f>IF($B187="","",IFERROR(INDEX(Roster!$A$2:$A$40,MATCH($B187,Roster!$A$2:$A$40,0)),IFERROR(IF(INDEX(MapTracker,MATCH($B187,MapNetSuite,0))=0,"",INDEX(MapTracker,MATCH($B187,MapNetSuite,0))),"")))</f>
        <v/>
      </c>
      <c r="G187" s="16">
        <f>IF($F187="","",IFERROR(INDEX(Roster!$B$2:$B$40,MATCH($F187,Roster!$A$2:$A$40,0)),""))</f>
        <v/>
      </c>
      <c r="H187" s="16">
        <f>IF($E187="","",IFERROR(IF(INDEX(Deals!$U$2:$U$355,MATCH($E187,Deals!$A$2:$A$355,0))=0,"",INDEX(Deals!$U$2:$U$355,MATCH($E187,Deals!$A$2:$A$355,0))),""))</f>
        <v/>
      </c>
      <c r="I187" s="18">
        <f>IF(OR($E187="",$F187=""),"",SUMIFS(Assignments!$I$2:$I$769,Assignments!$A$2:$A$769,$F187,Assignments!$C$2:$C$769,$E187))</f>
        <v/>
      </c>
      <c r="J187" s="65">
        <f>IF(OR($E187="",$F187=""),"",$D187-$I187)</f>
        <v/>
      </c>
      <c r="K187" s="20">
        <f>IF($A187="","",IF(AND($E187&lt;&gt;"",$F187&lt;&gt;""),"OK",TRIM(IF($E187="","unmatched code ","")&amp;IF($F187="","unmatched person",""))))</f>
        <v/>
      </c>
    </row>
    <row r="188">
      <c r="A188" s="31" t="n"/>
      <c r="B188" s="31" t="n"/>
      <c r="C188" s="31" t="n"/>
      <c r="D188" s="31" t="n"/>
      <c r="E188" s="16">
        <f>IF($A188="","",IF(COUNTIF(Deals!$A$2:$A$355,$A188)&gt;0,$A188,""))</f>
        <v/>
      </c>
      <c r="F188" s="16">
        <f>IF($B188="","",IFERROR(INDEX(Roster!$A$2:$A$40,MATCH($B188,Roster!$A$2:$A$40,0)),IFERROR(IF(INDEX(MapTracker,MATCH($B188,MapNetSuite,0))=0,"",INDEX(MapTracker,MATCH($B188,MapNetSuite,0))),"")))</f>
        <v/>
      </c>
      <c r="G188" s="16">
        <f>IF($F188="","",IFERROR(INDEX(Roster!$B$2:$B$40,MATCH($F188,Roster!$A$2:$A$40,0)),""))</f>
        <v/>
      </c>
      <c r="H188" s="16">
        <f>IF($E188="","",IFERROR(IF(INDEX(Deals!$U$2:$U$355,MATCH($E188,Deals!$A$2:$A$355,0))=0,"",INDEX(Deals!$U$2:$U$355,MATCH($E188,Deals!$A$2:$A$355,0))),""))</f>
        <v/>
      </c>
      <c r="I188" s="18">
        <f>IF(OR($E188="",$F188=""),"",SUMIFS(Assignments!$I$2:$I$769,Assignments!$A$2:$A$769,$F188,Assignments!$C$2:$C$769,$E188))</f>
        <v/>
      </c>
      <c r="J188" s="65">
        <f>IF(OR($E188="",$F188=""),"",$D188-$I188)</f>
        <v/>
      </c>
      <c r="K188" s="20">
        <f>IF($A188="","",IF(AND($E188&lt;&gt;"",$F188&lt;&gt;""),"OK",TRIM(IF($E188="","unmatched code ","")&amp;IF($F188="","unmatched person",""))))</f>
        <v/>
      </c>
    </row>
    <row r="189">
      <c r="A189" s="31" t="n"/>
      <c r="B189" s="31" t="n"/>
      <c r="C189" s="31" t="n"/>
      <c r="D189" s="31" t="n"/>
      <c r="E189" s="16">
        <f>IF($A189="","",IF(COUNTIF(Deals!$A$2:$A$355,$A189)&gt;0,$A189,""))</f>
        <v/>
      </c>
      <c r="F189" s="16">
        <f>IF($B189="","",IFERROR(INDEX(Roster!$A$2:$A$40,MATCH($B189,Roster!$A$2:$A$40,0)),IFERROR(IF(INDEX(MapTracker,MATCH($B189,MapNetSuite,0))=0,"",INDEX(MapTracker,MATCH($B189,MapNetSuite,0))),"")))</f>
        <v/>
      </c>
      <c r="G189" s="16">
        <f>IF($F189="","",IFERROR(INDEX(Roster!$B$2:$B$40,MATCH($F189,Roster!$A$2:$A$40,0)),""))</f>
        <v/>
      </c>
      <c r="H189" s="16">
        <f>IF($E189="","",IFERROR(IF(INDEX(Deals!$U$2:$U$355,MATCH($E189,Deals!$A$2:$A$355,0))=0,"",INDEX(Deals!$U$2:$U$355,MATCH($E189,Deals!$A$2:$A$355,0))),""))</f>
        <v/>
      </c>
      <c r="I189" s="18">
        <f>IF(OR($E189="",$F189=""),"",SUMIFS(Assignments!$I$2:$I$769,Assignments!$A$2:$A$769,$F189,Assignments!$C$2:$C$769,$E189))</f>
        <v/>
      </c>
      <c r="J189" s="65">
        <f>IF(OR($E189="",$F189=""),"",$D189-$I189)</f>
        <v/>
      </c>
      <c r="K189" s="20">
        <f>IF($A189="","",IF(AND($E189&lt;&gt;"",$F189&lt;&gt;""),"OK",TRIM(IF($E189="","unmatched code ","")&amp;IF($F189="","unmatched person",""))))</f>
        <v/>
      </c>
    </row>
    <row r="190">
      <c r="A190" s="31" t="n"/>
      <c r="B190" s="31" t="n"/>
      <c r="C190" s="31" t="n"/>
      <c r="D190" s="31" t="n"/>
      <c r="E190" s="16">
        <f>IF($A190="","",IF(COUNTIF(Deals!$A$2:$A$355,$A190)&gt;0,$A190,""))</f>
        <v/>
      </c>
      <c r="F190" s="16">
        <f>IF($B190="","",IFERROR(INDEX(Roster!$A$2:$A$40,MATCH($B190,Roster!$A$2:$A$40,0)),IFERROR(IF(INDEX(MapTracker,MATCH($B190,MapNetSuite,0))=0,"",INDEX(MapTracker,MATCH($B190,MapNetSuite,0))),"")))</f>
        <v/>
      </c>
      <c r="G190" s="16">
        <f>IF($F190="","",IFERROR(INDEX(Roster!$B$2:$B$40,MATCH($F190,Roster!$A$2:$A$40,0)),""))</f>
        <v/>
      </c>
      <c r="H190" s="16">
        <f>IF($E190="","",IFERROR(IF(INDEX(Deals!$U$2:$U$355,MATCH($E190,Deals!$A$2:$A$355,0))=0,"",INDEX(Deals!$U$2:$U$355,MATCH($E190,Deals!$A$2:$A$355,0))),""))</f>
        <v/>
      </c>
      <c r="I190" s="18">
        <f>IF(OR($E190="",$F190=""),"",SUMIFS(Assignments!$I$2:$I$769,Assignments!$A$2:$A$769,$F190,Assignments!$C$2:$C$769,$E190))</f>
        <v/>
      </c>
      <c r="J190" s="65">
        <f>IF(OR($E190="",$F190=""),"",$D190-$I190)</f>
        <v/>
      </c>
      <c r="K190" s="20">
        <f>IF($A190="","",IF(AND($E190&lt;&gt;"",$F190&lt;&gt;""),"OK",TRIM(IF($E190="","unmatched code ","")&amp;IF($F190="","unmatched person",""))))</f>
        <v/>
      </c>
    </row>
    <row r="191">
      <c r="A191" s="31" t="n"/>
      <c r="B191" s="31" t="n"/>
      <c r="C191" s="31" t="n"/>
      <c r="D191" s="31" t="n"/>
      <c r="E191" s="16">
        <f>IF($A191="","",IF(COUNTIF(Deals!$A$2:$A$355,$A191)&gt;0,$A191,""))</f>
        <v/>
      </c>
      <c r="F191" s="16">
        <f>IF($B191="","",IFERROR(INDEX(Roster!$A$2:$A$40,MATCH($B191,Roster!$A$2:$A$40,0)),IFERROR(IF(INDEX(MapTracker,MATCH($B191,MapNetSuite,0))=0,"",INDEX(MapTracker,MATCH($B191,MapNetSuite,0))),"")))</f>
        <v/>
      </c>
      <c r="G191" s="16">
        <f>IF($F191="","",IFERROR(INDEX(Roster!$B$2:$B$40,MATCH($F191,Roster!$A$2:$A$40,0)),""))</f>
        <v/>
      </c>
      <c r="H191" s="16">
        <f>IF($E191="","",IFERROR(IF(INDEX(Deals!$U$2:$U$355,MATCH($E191,Deals!$A$2:$A$355,0))=0,"",INDEX(Deals!$U$2:$U$355,MATCH($E191,Deals!$A$2:$A$355,0))),""))</f>
        <v/>
      </c>
      <c r="I191" s="18">
        <f>IF(OR($E191="",$F191=""),"",SUMIFS(Assignments!$I$2:$I$769,Assignments!$A$2:$A$769,$F191,Assignments!$C$2:$C$769,$E191))</f>
        <v/>
      </c>
      <c r="J191" s="65">
        <f>IF(OR($E191="",$F191=""),"",$D191-$I191)</f>
        <v/>
      </c>
      <c r="K191" s="20">
        <f>IF($A191="","",IF(AND($E191&lt;&gt;"",$F191&lt;&gt;""),"OK",TRIM(IF($E191="","unmatched code ","")&amp;IF($F191="","unmatched person",""))))</f>
        <v/>
      </c>
    </row>
    <row r="192">
      <c r="A192" s="31" t="n"/>
      <c r="B192" s="31" t="n"/>
      <c r="C192" s="31" t="n"/>
      <c r="D192" s="31" t="n"/>
      <c r="E192" s="16">
        <f>IF($A192="","",IF(COUNTIF(Deals!$A$2:$A$355,$A192)&gt;0,$A192,""))</f>
        <v/>
      </c>
      <c r="F192" s="16">
        <f>IF($B192="","",IFERROR(INDEX(Roster!$A$2:$A$40,MATCH($B192,Roster!$A$2:$A$40,0)),IFERROR(IF(INDEX(MapTracker,MATCH($B192,MapNetSuite,0))=0,"",INDEX(MapTracker,MATCH($B192,MapNetSuite,0))),"")))</f>
        <v/>
      </c>
      <c r="G192" s="16">
        <f>IF($F192="","",IFERROR(INDEX(Roster!$B$2:$B$40,MATCH($F192,Roster!$A$2:$A$40,0)),""))</f>
        <v/>
      </c>
      <c r="H192" s="16">
        <f>IF($E192="","",IFERROR(IF(INDEX(Deals!$U$2:$U$355,MATCH($E192,Deals!$A$2:$A$355,0))=0,"",INDEX(Deals!$U$2:$U$355,MATCH($E192,Deals!$A$2:$A$355,0))),""))</f>
        <v/>
      </c>
      <c r="I192" s="18">
        <f>IF(OR($E192="",$F192=""),"",SUMIFS(Assignments!$I$2:$I$769,Assignments!$A$2:$A$769,$F192,Assignments!$C$2:$C$769,$E192))</f>
        <v/>
      </c>
      <c r="J192" s="65">
        <f>IF(OR($E192="",$F192=""),"",$D192-$I192)</f>
        <v/>
      </c>
      <c r="K192" s="20">
        <f>IF($A192="","",IF(AND($E192&lt;&gt;"",$F192&lt;&gt;""),"OK",TRIM(IF($E192="","unmatched code ","")&amp;IF($F192="","unmatched person",""))))</f>
        <v/>
      </c>
    </row>
    <row r="193">
      <c r="A193" s="31" t="n"/>
      <c r="B193" s="31" t="n"/>
      <c r="C193" s="31" t="n"/>
      <c r="D193" s="31" t="n"/>
      <c r="E193" s="16">
        <f>IF($A193="","",IF(COUNTIF(Deals!$A$2:$A$355,$A193)&gt;0,$A193,""))</f>
        <v/>
      </c>
      <c r="F193" s="16">
        <f>IF($B193="","",IFERROR(INDEX(Roster!$A$2:$A$40,MATCH($B193,Roster!$A$2:$A$40,0)),IFERROR(IF(INDEX(MapTracker,MATCH($B193,MapNetSuite,0))=0,"",INDEX(MapTracker,MATCH($B193,MapNetSuite,0))),"")))</f>
        <v/>
      </c>
      <c r="G193" s="16">
        <f>IF($F193="","",IFERROR(INDEX(Roster!$B$2:$B$40,MATCH($F193,Roster!$A$2:$A$40,0)),""))</f>
        <v/>
      </c>
      <c r="H193" s="16">
        <f>IF($E193="","",IFERROR(IF(INDEX(Deals!$U$2:$U$355,MATCH($E193,Deals!$A$2:$A$355,0))=0,"",INDEX(Deals!$U$2:$U$355,MATCH($E193,Deals!$A$2:$A$355,0))),""))</f>
        <v/>
      </c>
      <c r="I193" s="18">
        <f>IF(OR($E193="",$F193=""),"",SUMIFS(Assignments!$I$2:$I$769,Assignments!$A$2:$A$769,$F193,Assignments!$C$2:$C$769,$E193))</f>
        <v/>
      </c>
      <c r="J193" s="65">
        <f>IF(OR($E193="",$F193=""),"",$D193-$I193)</f>
        <v/>
      </c>
      <c r="K193" s="20">
        <f>IF($A193="","",IF(AND($E193&lt;&gt;"",$F193&lt;&gt;""),"OK",TRIM(IF($E193="","unmatched code ","")&amp;IF($F193="","unmatched person",""))))</f>
        <v/>
      </c>
    </row>
    <row r="194">
      <c r="A194" s="31" t="n"/>
      <c r="B194" s="31" t="n"/>
      <c r="C194" s="31" t="n"/>
      <c r="D194" s="31" t="n"/>
      <c r="E194" s="16">
        <f>IF($A194="","",IF(COUNTIF(Deals!$A$2:$A$355,$A194)&gt;0,$A194,""))</f>
        <v/>
      </c>
      <c r="F194" s="16">
        <f>IF($B194="","",IFERROR(INDEX(Roster!$A$2:$A$40,MATCH($B194,Roster!$A$2:$A$40,0)),IFERROR(IF(INDEX(MapTracker,MATCH($B194,MapNetSuite,0))=0,"",INDEX(MapTracker,MATCH($B194,MapNetSuite,0))),"")))</f>
        <v/>
      </c>
      <c r="G194" s="16">
        <f>IF($F194="","",IFERROR(INDEX(Roster!$B$2:$B$40,MATCH($F194,Roster!$A$2:$A$40,0)),""))</f>
        <v/>
      </c>
      <c r="H194" s="16">
        <f>IF($E194="","",IFERROR(IF(INDEX(Deals!$U$2:$U$355,MATCH($E194,Deals!$A$2:$A$355,0))=0,"",INDEX(Deals!$U$2:$U$355,MATCH($E194,Deals!$A$2:$A$355,0))),""))</f>
        <v/>
      </c>
      <c r="I194" s="18">
        <f>IF(OR($E194="",$F194=""),"",SUMIFS(Assignments!$I$2:$I$769,Assignments!$A$2:$A$769,$F194,Assignments!$C$2:$C$769,$E194))</f>
        <v/>
      </c>
      <c r="J194" s="65">
        <f>IF(OR($E194="",$F194=""),"",$D194-$I194)</f>
        <v/>
      </c>
      <c r="K194" s="20">
        <f>IF($A194="","",IF(AND($E194&lt;&gt;"",$F194&lt;&gt;""),"OK",TRIM(IF($E194="","unmatched code ","")&amp;IF($F194="","unmatched person",""))))</f>
        <v/>
      </c>
    </row>
    <row r="195">
      <c r="A195" s="31" t="n"/>
      <c r="B195" s="31" t="n"/>
      <c r="C195" s="31" t="n"/>
      <c r="D195" s="31" t="n"/>
      <c r="E195" s="16">
        <f>IF($A195="","",IF(COUNTIF(Deals!$A$2:$A$355,$A195)&gt;0,$A195,""))</f>
        <v/>
      </c>
      <c r="F195" s="16">
        <f>IF($B195="","",IFERROR(INDEX(Roster!$A$2:$A$40,MATCH($B195,Roster!$A$2:$A$40,0)),IFERROR(IF(INDEX(MapTracker,MATCH($B195,MapNetSuite,0))=0,"",INDEX(MapTracker,MATCH($B195,MapNetSuite,0))),"")))</f>
        <v/>
      </c>
      <c r="G195" s="16">
        <f>IF($F195="","",IFERROR(INDEX(Roster!$B$2:$B$40,MATCH($F195,Roster!$A$2:$A$40,0)),""))</f>
        <v/>
      </c>
      <c r="H195" s="16">
        <f>IF($E195="","",IFERROR(IF(INDEX(Deals!$U$2:$U$355,MATCH($E195,Deals!$A$2:$A$355,0))=0,"",INDEX(Deals!$U$2:$U$355,MATCH($E195,Deals!$A$2:$A$355,0))),""))</f>
        <v/>
      </c>
      <c r="I195" s="18">
        <f>IF(OR($E195="",$F195=""),"",SUMIFS(Assignments!$I$2:$I$769,Assignments!$A$2:$A$769,$F195,Assignments!$C$2:$C$769,$E195))</f>
        <v/>
      </c>
      <c r="J195" s="65">
        <f>IF(OR($E195="",$F195=""),"",$D195-$I195)</f>
        <v/>
      </c>
      <c r="K195" s="20">
        <f>IF($A195="","",IF(AND($E195&lt;&gt;"",$F195&lt;&gt;""),"OK",TRIM(IF($E195="","unmatched code ","")&amp;IF($F195="","unmatched person",""))))</f>
        <v/>
      </c>
    </row>
    <row r="196">
      <c r="A196" s="31" t="n"/>
      <c r="B196" s="31" t="n"/>
      <c r="C196" s="31" t="n"/>
      <c r="D196" s="31" t="n"/>
      <c r="E196" s="16">
        <f>IF($A196="","",IF(COUNTIF(Deals!$A$2:$A$355,$A196)&gt;0,$A196,""))</f>
        <v/>
      </c>
      <c r="F196" s="16">
        <f>IF($B196="","",IFERROR(INDEX(Roster!$A$2:$A$40,MATCH($B196,Roster!$A$2:$A$40,0)),IFERROR(IF(INDEX(MapTracker,MATCH($B196,MapNetSuite,0))=0,"",INDEX(MapTracker,MATCH($B196,MapNetSuite,0))),"")))</f>
        <v/>
      </c>
      <c r="G196" s="16">
        <f>IF($F196="","",IFERROR(INDEX(Roster!$B$2:$B$40,MATCH($F196,Roster!$A$2:$A$40,0)),""))</f>
        <v/>
      </c>
      <c r="H196" s="16">
        <f>IF($E196="","",IFERROR(IF(INDEX(Deals!$U$2:$U$355,MATCH($E196,Deals!$A$2:$A$355,0))=0,"",INDEX(Deals!$U$2:$U$355,MATCH($E196,Deals!$A$2:$A$355,0))),""))</f>
        <v/>
      </c>
      <c r="I196" s="18">
        <f>IF(OR($E196="",$F196=""),"",SUMIFS(Assignments!$I$2:$I$769,Assignments!$A$2:$A$769,$F196,Assignments!$C$2:$C$769,$E196))</f>
        <v/>
      </c>
      <c r="J196" s="65">
        <f>IF(OR($E196="",$F196=""),"",$D196-$I196)</f>
        <v/>
      </c>
      <c r="K196" s="20">
        <f>IF($A196="","",IF(AND($E196&lt;&gt;"",$F196&lt;&gt;""),"OK",TRIM(IF($E196="","unmatched code ","")&amp;IF($F196="","unmatched person",""))))</f>
        <v/>
      </c>
    </row>
    <row r="197">
      <c r="A197" s="31" t="n"/>
      <c r="B197" s="31" t="n"/>
      <c r="C197" s="31" t="n"/>
      <c r="D197" s="31" t="n"/>
      <c r="E197" s="16">
        <f>IF($A197="","",IF(COUNTIF(Deals!$A$2:$A$355,$A197)&gt;0,$A197,""))</f>
        <v/>
      </c>
      <c r="F197" s="16">
        <f>IF($B197="","",IFERROR(INDEX(Roster!$A$2:$A$40,MATCH($B197,Roster!$A$2:$A$40,0)),IFERROR(IF(INDEX(MapTracker,MATCH($B197,MapNetSuite,0))=0,"",INDEX(MapTracker,MATCH($B197,MapNetSuite,0))),"")))</f>
        <v/>
      </c>
      <c r="G197" s="16">
        <f>IF($F197="","",IFERROR(INDEX(Roster!$B$2:$B$40,MATCH($F197,Roster!$A$2:$A$40,0)),""))</f>
        <v/>
      </c>
      <c r="H197" s="16">
        <f>IF($E197="","",IFERROR(IF(INDEX(Deals!$U$2:$U$355,MATCH($E197,Deals!$A$2:$A$355,0))=0,"",INDEX(Deals!$U$2:$U$355,MATCH($E197,Deals!$A$2:$A$355,0))),""))</f>
        <v/>
      </c>
      <c r="I197" s="18">
        <f>IF(OR($E197="",$F197=""),"",SUMIFS(Assignments!$I$2:$I$769,Assignments!$A$2:$A$769,$F197,Assignments!$C$2:$C$769,$E197))</f>
        <v/>
      </c>
      <c r="J197" s="65">
        <f>IF(OR($E197="",$F197=""),"",$D197-$I197)</f>
        <v/>
      </c>
      <c r="K197" s="20">
        <f>IF($A197="","",IF(AND($E197&lt;&gt;"",$F197&lt;&gt;""),"OK",TRIM(IF($E197="","unmatched code ","")&amp;IF($F197="","unmatched person",""))))</f>
        <v/>
      </c>
    </row>
    <row r="198">
      <c r="A198" s="31" t="n"/>
      <c r="B198" s="31" t="n"/>
      <c r="C198" s="31" t="n"/>
      <c r="D198" s="31" t="n"/>
      <c r="E198" s="16">
        <f>IF($A198="","",IF(COUNTIF(Deals!$A$2:$A$355,$A198)&gt;0,$A198,""))</f>
        <v/>
      </c>
      <c r="F198" s="16">
        <f>IF($B198="","",IFERROR(INDEX(Roster!$A$2:$A$40,MATCH($B198,Roster!$A$2:$A$40,0)),IFERROR(IF(INDEX(MapTracker,MATCH($B198,MapNetSuite,0))=0,"",INDEX(MapTracker,MATCH($B198,MapNetSuite,0))),"")))</f>
        <v/>
      </c>
      <c r="G198" s="16">
        <f>IF($F198="","",IFERROR(INDEX(Roster!$B$2:$B$40,MATCH($F198,Roster!$A$2:$A$40,0)),""))</f>
        <v/>
      </c>
      <c r="H198" s="16">
        <f>IF($E198="","",IFERROR(IF(INDEX(Deals!$U$2:$U$355,MATCH($E198,Deals!$A$2:$A$355,0))=0,"",INDEX(Deals!$U$2:$U$355,MATCH($E198,Deals!$A$2:$A$355,0))),""))</f>
        <v/>
      </c>
      <c r="I198" s="18">
        <f>IF(OR($E198="",$F198=""),"",SUMIFS(Assignments!$I$2:$I$769,Assignments!$A$2:$A$769,$F198,Assignments!$C$2:$C$769,$E198))</f>
        <v/>
      </c>
      <c r="J198" s="65">
        <f>IF(OR($E198="",$F198=""),"",$D198-$I198)</f>
        <v/>
      </c>
      <c r="K198" s="20">
        <f>IF($A198="","",IF(AND($E198&lt;&gt;"",$F198&lt;&gt;""),"OK",TRIM(IF($E198="","unmatched code ","")&amp;IF($F198="","unmatched person",""))))</f>
        <v/>
      </c>
    </row>
    <row r="199">
      <c r="A199" s="31" t="n"/>
      <c r="B199" s="31" t="n"/>
      <c r="C199" s="31" t="n"/>
      <c r="D199" s="31" t="n"/>
      <c r="E199" s="16">
        <f>IF($A199="","",IF(COUNTIF(Deals!$A$2:$A$355,$A199)&gt;0,$A199,""))</f>
        <v/>
      </c>
      <c r="F199" s="16">
        <f>IF($B199="","",IFERROR(INDEX(Roster!$A$2:$A$40,MATCH($B199,Roster!$A$2:$A$40,0)),IFERROR(IF(INDEX(MapTracker,MATCH($B199,MapNetSuite,0))=0,"",INDEX(MapTracker,MATCH($B199,MapNetSuite,0))),"")))</f>
        <v/>
      </c>
      <c r="G199" s="16">
        <f>IF($F199="","",IFERROR(INDEX(Roster!$B$2:$B$40,MATCH($F199,Roster!$A$2:$A$40,0)),""))</f>
        <v/>
      </c>
      <c r="H199" s="16">
        <f>IF($E199="","",IFERROR(IF(INDEX(Deals!$U$2:$U$355,MATCH($E199,Deals!$A$2:$A$355,0))=0,"",INDEX(Deals!$U$2:$U$355,MATCH($E199,Deals!$A$2:$A$355,0))),""))</f>
        <v/>
      </c>
      <c r="I199" s="18">
        <f>IF(OR($E199="",$F199=""),"",SUMIFS(Assignments!$I$2:$I$769,Assignments!$A$2:$A$769,$F199,Assignments!$C$2:$C$769,$E199))</f>
        <v/>
      </c>
      <c r="J199" s="65">
        <f>IF(OR($E199="",$F199=""),"",$D199-$I199)</f>
        <v/>
      </c>
      <c r="K199" s="20">
        <f>IF($A199="","",IF(AND($E199&lt;&gt;"",$F199&lt;&gt;""),"OK",TRIM(IF($E199="","unmatched code ","")&amp;IF($F199="","unmatched person",""))))</f>
        <v/>
      </c>
    </row>
    <row r="200">
      <c r="A200" s="31" t="n"/>
      <c r="B200" s="31" t="n"/>
      <c r="C200" s="31" t="n"/>
      <c r="D200" s="31" t="n"/>
      <c r="E200" s="16">
        <f>IF($A200="","",IF(COUNTIF(Deals!$A$2:$A$355,$A200)&gt;0,$A200,""))</f>
        <v/>
      </c>
      <c r="F200" s="16">
        <f>IF($B200="","",IFERROR(INDEX(Roster!$A$2:$A$40,MATCH($B200,Roster!$A$2:$A$40,0)),IFERROR(IF(INDEX(MapTracker,MATCH($B200,MapNetSuite,0))=0,"",INDEX(MapTracker,MATCH($B200,MapNetSuite,0))),"")))</f>
        <v/>
      </c>
      <c r="G200" s="16">
        <f>IF($F200="","",IFERROR(INDEX(Roster!$B$2:$B$40,MATCH($F200,Roster!$A$2:$A$40,0)),""))</f>
        <v/>
      </c>
      <c r="H200" s="16">
        <f>IF($E200="","",IFERROR(IF(INDEX(Deals!$U$2:$U$355,MATCH($E200,Deals!$A$2:$A$355,0))=0,"",INDEX(Deals!$U$2:$U$355,MATCH($E200,Deals!$A$2:$A$355,0))),""))</f>
        <v/>
      </c>
      <c r="I200" s="18">
        <f>IF(OR($E200="",$F200=""),"",SUMIFS(Assignments!$I$2:$I$769,Assignments!$A$2:$A$769,$F200,Assignments!$C$2:$C$769,$E200))</f>
        <v/>
      </c>
      <c r="J200" s="65">
        <f>IF(OR($E200="",$F200=""),"",$D200-$I200)</f>
        <v/>
      </c>
      <c r="K200" s="20">
        <f>IF($A200="","",IF(AND($E200&lt;&gt;"",$F200&lt;&gt;""),"OK",TRIM(IF($E200="","unmatched code ","")&amp;IF($F200="","unmatched person",""))))</f>
        <v/>
      </c>
    </row>
    <row r="201">
      <c r="A201" s="31" t="n"/>
      <c r="B201" s="31" t="n"/>
      <c r="C201" s="31" t="n"/>
      <c r="D201" s="31" t="n"/>
      <c r="E201" s="16">
        <f>IF($A201="","",IF(COUNTIF(Deals!$A$2:$A$355,$A201)&gt;0,$A201,""))</f>
        <v/>
      </c>
      <c r="F201" s="16">
        <f>IF($B201="","",IFERROR(INDEX(Roster!$A$2:$A$40,MATCH($B201,Roster!$A$2:$A$40,0)),IFERROR(IF(INDEX(MapTracker,MATCH($B201,MapNetSuite,0))=0,"",INDEX(MapTracker,MATCH($B201,MapNetSuite,0))),"")))</f>
        <v/>
      </c>
      <c r="G201" s="16">
        <f>IF($F201="","",IFERROR(INDEX(Roster!$B$2:$B$40,MATCH($F201,Roster!$A$2:$A$40,0)),""))</f>
        <v/>
      </c>
      <c r="H201" s="16">
        <f>IF($E201="","",IFERROR(IF(INDEX(Deals!$U$2:$U$355,MATCH($E201,Deals!$A$2:$A$355,0))=0,"",INDEX(Deals!$U$2:$U$355,MATCH($E201,Deals!$A$2:$A$355,0))),""))</f>
        <v/>
      </c>
      <c r="I201" s="18">
        <f>IF(OR($E201="",$F201=""),"",SUMIFS(Assignments!$I$2:$I$769,Assignments!$A$2:$A$769,$F201,Assignments!$C$2:$C$769,$E201))</f>
        <v/>
      </c>
      <c r="J201" s="65">
        <f>IF(OR($E201="",$F201=""),"",$D201-$I201)</f>
        <v/>
      </c>
      <c r="K201" s="20">
        <f>IF($A201="","",IF(AND($E201&lt;&gt;"",$F201&lt;&gt;""),"OK",TRIM(IF($E201="","unmatched code ","")&amp;IF($F201="","unmatched person",""))))</f>
        <v/>
      </c>
    </row>
    <row r="202">
      <c r="A202" s="31" t="n"/>
      <c r="B202" s="31" t="n"/>
      <c r="C202" s="31" t="n"/>
      <c r="D202" s="31" t="n"/>
      <c r="E202" s="16">
        <f>IF($A202="","",IF(COUNTIF(Deals!$A$2:$A$355,$A202)&gt;0,$A202,""))</f>
        <v/>
      </c>
      <c r="F202" s="16">
        <f>IF($B202="","",IFERROR(INDEX(Roster!$A$2:$A$40,MATCH($B202,Roster!$A$2:$A$40,0)),IFERROR(IF(INDEX(MapTracker,MATCH($B202,MapNetSuite,0))=0,"",INDEX(MapTracker,MATCH($B202,MapNetSuite,0))),"")))</f>
        <v/>
      </c>
      <c r="G202" s="16">
        <f>IF($F202="","",IFERROR(INDEX(Roster!$B$2:$B$40,MATCH($F202,Roster!$A$2:$A$40,0)),""))</f>
        <v/>
      </c>
      <c r="H202" s="16">
        <f>IF($E202="","",IFERROR(IF(INDEX(Deals!$U$2:$U$355,MATCH($E202,Deals!$A$2:$A$355,0))=0,"",INDEX(Deals!$U$2:$U$355,MATCH($E202,Deals!$A$2:$A$355,0))),""))</f>
        <v/>
      </c>
      <c r="I202" s="18">
        <f>IF(OR($E202="",$F202=""),"",SUMIFS(Assignments!$I$2:$I$769,Assignments!$A$2:$A$769,$F202,Assignments!$C$2:$C$769,$E202))</f>
        <v/>
      </c>
      <c r="J202" s="65">
        <f>IF(OR($E202="",$F202=""),"",$D202-$I202)</f>
        <v/>
      </c>
      <c r="K202" s="20">
        <f>IF($A202="","",IF(AND($E202&lt;&gt;"",$F202&lt;&gt;""),"OK",TRIM(IF($E202="","unmatched code ","")&amp;IF($F202="","unmatched person",""))))</f>
        <v/>
      </c>
    </row>
    <row r="203">
      <c r="A203" s="31" t="n"/>
      <c r="B203" s="31" t="n"/>
      <c r="C203" s="31" t="n"/>
      <c r="D203" s="31" t="n"/>
      <c r="E203" s="16">
        <f>IF($A203="","",IF(COUNTIF(Deals!$A$2:$A$355,$A203)&gt;0,$A203,""))</f>
        <v/>
      </c>
      <c r="F203" s="16">
        <f>IF($B203="","",IFERROR(INDEX(Roster!$A$2:$A$40,MATCH($B203,Roster!$A$2:$A$40,0)),IFERROR(IF(INDEX(MapTracker,MATCH($B203,MapNetSuite,0))=0,"",INDEX(MapTracker,MATCH($B203,MapNetSuite,0))),"")))</f>
        <v/>
      </c>
      <c r="G203" s="16">
        <f>IF($F203="","",IFERROR(INDEX(Roster!$B$2:$B$40,MATCH($F203,Roster!$A$2:$A$40,0)),""))</f>
        <v/>
      </c>
      <c r="H203" s="16">
        <f>IF($E203="","",IFERROR(IF(INDEX(Deals!$U$2:$U$355,MATCH($E203,Deals!$A$2:$A$355,0))=0,"",INDEX(Deals!$U$2:$U$355,MATCH($E203,Deals!$A$2:$A$355,0))),""))</f>
        <v/>
      </c>
      <c r="I203" s="18">
        <f>IF(OR($E203="",$F203=""),"",SUMIFS(Assignments!$I$2:$I$769,Assignments!$A$2:$A$769,$F203,Assignments!$C$2:$C$769,$E203))</f>
        <v/>
      </c>
      <c r="J203" s="65">
        <f>IF(OR($E203="",$F203=""),"",$D203-$I203)</f>
        <v/>
      </c>
      <c r="K203" s="20">
        <f>IF($A203="","",IF(AND($E203&lt;&gt;"",$F203&lt;&gt;""),"OK",TRIM(IF($E203="","unmatched code ","")&amp;IF($F203="","unmatched person",""))))</f>
        <v/>
      </c>
    </row>
    <row r="204">
      <c r="A204" s="31" t="n"/>
      <c r="B204" s="31" t="n"/>
      <c r="C204" s="31" t="n"/>
      <c r="D204" s="31" t="n"/>
      <c r="E204" s="16">
        <f>IF($A204="","",IF(COUNTIF(Deals!$A$2:$A$355,$A204)&gt;0,$A204,""))</f>
        <v/>
      </c>
      <c r="F204" s="16">
        <f>IF($B204="","",IFERROR(INDEX(Roster!$A$2:$A$40,MATCH($B204,Roster!$A$2:$A$40,0)),IFERROR(IF(INDEX(MapTracker,MATCH($B204,MapNetSuite,0))=0,"",INDEX(MapTracker,MATCH($B204,MapNetSuite,0))),"")))</f>
        <v/>
      </c>
      <c r="G204" s="16">
        <f>IF($F204="","",IFERROR(INDEX(Roster!$B$2:$B$40,MATCH($F204,Roster!$A$2:$A$40,0)),""))</f>
        <v/>
      </c>
      <c r="H204" s="16">
        <f>IF($E204="","",IFERROR(IF(INDEX(Deals!$U$2:$U$355,MATCH($E204,Deals!$A$2:$A$355,0))=0,"",INDEX(Deals!$U$2:$U$355,MATCH($E204,Deals!$A$2:$A$355,0))),""))</f>
        <v/>
      </c>
      <c r="I204" s="18">
        <f>IF(OR($E204="",$F204=""),"",SUMIFS(Assignments!$I$2:$I$769,Assignments!$A$2:$A$769,$F204,Assignments!$C$2:$C$769,$E204))</f>
        <v/>
      </c>
      <c r="J204" s="65">
        <f>IF(OR($E204="",$F204=""),"",$D204-$I204)</f>
        <v/>
      </c>
      <c r="K204" s="20">
        <f>IF($A204="","",IF(AND($E204&lt;&gt;"",$F204&lt;&gt;""),"OK",TRIM(IF($E204="","unmatched code ","")&amp;IF($F204="","unmatched person",""))))</f>
        <v/>
      </c>
    </row>
    <row r="205">
      <c r="A205" s="31" t="n"/>
      <c r="B205" s="31" t="n"/>
      <c r="C205" s="31" t="n"/>
      <c r="D205" s="31" t="n"/>
      <c r="E205" s="16">
        <f>IF($A205="","",IF(COUNTIF(Deals!$A$2:$A$355,$A205)&gt;0,$A205,""))</f>
        <v/>
      </c>
      <c r="F205" s="16">
        <f>IF($B205="","",IFERROR(INDEX(Roster!$A$2:$A$40,MATCH($B205,Roster!$A$2:$A$40,0)),IFERROR(IF(INDEX(MapTracker,MATCH($B205,MapNetSuite,0))=0,"",INDEX(MapTracker,MATCH($B205,MapNetSuite,0))),"")))</f>
        <v/>
      </c>
      <c r="G205" s="16">
        <f>IF($F205="","",IFERROR(INDEX(Roster!$B$2:$B$40,MATCH($F205,Roster!$A$2:$A$40,0)),""))</f>
        <v/>
      </c>
      <c r="H205" s="16">
        <f>IF($E205="","",IFERROR(IF(INDEX(Deals!$U$2:$U$355,MATCH($E205,Deals!$A$2:$A$355,0))=0,"",INDEX(Deals!$U$2:$U$355,MATCH($E205,Deals!$A$2:$A$355,0))),""))</f>
        <v/>
      </c>
      <c r="I205" s="18">
        <f>IF(OR($E205="",$F205=""),"",SUMIFS(Assignments!$I$2:$I$769,Assignments!$A$2:$A$769,$F205,Assignments!$C$2:$C$769,$E205))</f>
        <v/>
      </c>
      <c r="J205" s="65">
        <f>IF(OR($E205="",$F205=""),"",$D205-$I205)</f>
        <v/>
      </c>
      <c r="K205" s="20">
        <f>IF($A205="","",IF(AND($E205&lt;&gt;"",$F205&lt;&gt;""),"OK",TRIM(IF($E205="","unmatched code ","")&amp;IF($F205="","unmatched person",""))))</f>
        <v/>
      </c>
    </row>
    <row r="206">
      <c r="A206" s="31" t="n"/>
      <c r="B206" s="31" t="n"/>
      <c r="C206" s="31" t="n"/>
      <c r="D206" s="31" t="n"/>
      <c r="E206" s="16">
        <f>IF($A206="","",IF(COUNTIF(Deals!$A$2:$A$355,$A206)&gt;0,$A206,""))</f>
        <v/>
      </c>
      <c r="F206" s="16">
        <f>IF($B206="","",IFERROR(INDEX(Roster!$A$2:$A$40,MATCH($B206,Roster!$A$2:$A$40,0)),IFERROR(IF(INDEX(MapTracker,MATCH($B206,MapNetSuite,0))=0,"",INDEX(MapTracker,MATCH($B206,MapNetSuite,0))),"")))</f>
        <v/>
      </c>
      <c r="G206" s="16">
        <f>IF($F206="","",IFERROR(INDEX(Roster!$B$2:$B$40,MATCH($F206,Roster!$A$2:$A$40,0)),""))</f>
        <v/>
      </c>
      <c r="H206" s="16">
        <f>IF($E206="","",IFERROR(IF(INDEX(Deals!$U$2:$U$355,MATCH($E206,Deals!$A$2:$A$355,0))=0,"",INDEX(Deals!$U$2:$U$355,MATCH($E206,Deals!$A$2:$A$355,0))),""))</f>
        <v/>
      </c>
      <c r="I206" s="18">
        <f>IF(OR($E206="",$F206=""),"",SUMIFS(Assignments!$I$2:$I$769,Assignments!$A$2:$A$769,$F206,Assignments!$C$2:$C$769,$E206))</f>
        <v/>
      </c>
      <c r="J206" s="65">
        <f>IF(OR($E206="",$F206=""),"",$D206-$I206)</f>
        <v/>
      </c>
      <c r="K206" s="20">
        <f>IF($A206="","",IF(AND($E206&lt;&gt;"",$F206&lt;&gt;""),"OK",TRIM(IF($E206="","unmatched code ","")&amp;IF($F206="","unmatched person",""))))</f>
        <v/>
      </c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1"/>
  <conditionalFormatting sqref="A7:K206">
    <cfRule type="expression" priority="1" dxfId="0">
      <formula>AND($A7&lt;&gt;"",$K7&lt;&gt;"OK")</formula>
    </cfRule>
  </conditionalFormatting>
  <dataValidations count="1">
    <dataValidation sqref="O5:O44" showDropDown="0" showInputMessage="0" showErrorMessage="0" allowBlank="1" type="list">
      <formula1>RosterNames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55A11"/>
    <outlinePr summaryBelow="1" summaryRight="1"/>
    <pageSetUpPr/>
  </sheetPr>
  <dimension ref="A1:L3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6" customWidth="1" min="4" max="4"/>
    <col width="12" customWidth="1" min="5" max="5"/>
    <col width="13" customWidth="1" min="6" max="6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5" t="inlineStr">
        <is>
          <t>Variance - estimate vs actual (from the Actuals tab)</t>
        </is>
      </c>
    </row>
    <row r="2">
      <c r="A2" s="6" t="inlineStr">
        <is>
          <t>Only fully-matched (OK) actual rows are counted. 'Actual hrs' is total logged; 'Planned (logged wks)' sums each logged person-week's planned rate, so the ratio says whether we estimate high (&lt;1) or low (&gt;1).</t>
        </is>
      </c>
    </row>
    <row r="3"/>
    <row r="4" ht="28" customHeight="1">
      <c r="A4" s="15" t="inlineStr">
        <is>
          <t>Project code</t>
        </is>
      </c>
      <c r="B4" s="15" t="inlineStr">
        <is>
          <t>Planned hrs/wk (est)</t>
        </is>
      </c>
      <c r="C4" s="15" t="inlineStr">
        <is>
          <t>Actual hrs</t>
        </is>
      </c>
      <c r="D4" s="15" t="inlineStr">
        <is>
          <t>Planned (logged wks)</t>
        </is>
      </c>
      <c r="E4" s="15" t="inlineStr">
        <is>
          <t>Variance hrs</t>
        </is>
      </c>
      <c r="F4" s="15" t="inlineStr">
        <is>
          <t>Actual/Planned</t>
        </is>
      </c>
      <c r="H4" s="12" t="inlineStr">
        <is>
          <t>Calibration by level</t>
        </is>
      </c>
    </row>
    <row r="5">
      <c r="A5" s="16">
        <f>IF(Deals!$A2="","",Deals!$A2)</f>
        <v/>
      </c>
      <c r="B5" s="18">
        <f>IF($A5="","",Deals!$R2)</f>
        <v/>
      </c>
      <c r="C5" s="67">
        <f>IF($A5="","",SUMIFS(Actuals!$D$7:$D$206,Actuals!$E$7:$E$206,$A5,Actuals!$K$7:$K$206,"OK"))</f>
        <v/>
      </c>
      <c r="D5" s="67">
        <f>IF($A5="","",SUMIFS(Actuals!$I$7:$I$206,Actuals!$E$7:$E$206,$A5,Actuals!$K$7:$K$206,"OK"))</f>
        <v/>
      </c>
      <c r="E5" s="68">
        <f>IF($A5="","",$C5-$D5)</f>
        <v/>
      </c>
      <c r="F5" s="69">
        <f>IF(OR($A5="",$D5=0),"",$C5/$D5)</f>
        <v/>
      </c>
      <c r="H5" s="7" t="inlineStr">
        <is>
          <t>Level</t>
        </is>
      </c>
      <c r="I5" s="7" t="inlineStr">
        <is>
          <t>Actual hrs</t>
        </is>
      </c>
      <c r="J5" s="7" t="inlineStr">
        <is>
          <t>Planned</t>
        </is>
      </c>
      <c r="K5" s="7" t="inlineStr">
        <is>
          <t>Actual/Planned</t>
        </is>
      </c>
      <c r="L5" s="7" t="inlineStr">
        <is>
          <t>Read</t>
        </is>
      </c>
    </row>
    <row r="6">
      <c r="A6" s="16">
        <f>IF(Deals!$A3="","",Deals!$A3)</f>
        <v/>
      </c>
      <c r="B6" s="18">
        <f>IF($A6="","",Deals!$R3)</f>
        <v/>
      </c>
      <c r="C6" s="67">
        <f>IF($A6="","",SUMIFS(Actuals!$D$7:$D$206,Actuals!$E$7:$E$206,$A6,Actuals!$K$7:$K$206,"OK"))</f>
        <v/>
      </c>
      <c r="D6" s="67">
        <f>IF($A6="","",SUMIFS(Actuals!$I$7:$I$206,Actuals!$E$7:$E$206,$A6,Actuals!$K$7:$K$206,"OK"))</f>
        <v/>
      </c>
      <c r="E6" s="68">
        <f>IF($A6="","",$C6-$D6)</f>
        <v/>
      </c>
      <c r="F6" s="69">
        <f>IF(OR($A6="",$D6=0),"",$C6/$D6)</f>
        <v/>
      </c>
      <c r="H6" s="56" t="inlineStr">
        <is>
          <t>Partner</t>
        </is>
      </c>
      <c r="I6" s="70">
        <f>SUMIFS(Actuals!$D$7:$D$206,Actuals!$G$7:$G$206,$H6,Actuals!$K$7:$K$206,"OK")</f>
        <v/>
      </c>
      <c r="J6" s="70">
        <f>SUMIFS(Actuals!$I$7:$I$206,Actuals!$G$7:$G$206,$H6,Actuals!$K$7:$K$206,"OK")</f>
        <v/>
      </c>
      <c r="K6" s="71">
        <f>IF($J6=0,"",$I6/$J6)</f>
        <v/>
      </c>
      <c r="L6" s="6">
        <f>IF($J6=0,"",IF($K6&gt;1.1,"under-est (raise)",IF($K6&lt;0.9,"over-est (lower)","about right")))</f>
        <v/>
      </c>
    </row>
    <row r="7">
      <c r="A7" s="16">
        <f>IF(Deals!$A4="","",Deals!$A4)</f>
        <v/>
      </c>
      <c r="B7" s="18">
        <f>IF($A7="","",Deals!$R4)</f>
        <v/>
      </c>
      <c r="C7" s="67">
        <f>IF($A7="","",SUMIFS(Actuals!$D$7:$D$206,Actuals!$E$7:$E$206,$A7,Actuals!$K$7:$K$206,"OK"))</f>
        <v/>
      </c>
      <c r="D7" s="67">
        <f>IF($A7="","",SUMIFS(Actuals!$I$7:$I$206,Actuals!$E$7:$E$206,$A7,Actuals!$K$7:$K$206,"OK"))</f>
        <v/>
      </c>
      <c r="E7" s="68">
        <f>IF($A7="","",$C7-$D7)</f>
        <v/>
      </c>
      <c r="F7" s="69">
        <f>IF(OR($A7="",$D7=0),"",$C7/$D7)</f>
        <v/>
      </c>
      <c r="H7" s="56" t="inlineStr">
        <is>
          <t>MD</t>
        </is>
      </c>
      <c r="I7" s="70">
        <f>SUMIFS(Actuals!$D$7:$D$206,Actuals!$G$7:$G$206,$H7,Actuals!$K$7:$K$206,"OK")</f>
        <v/>
      </c>
      <c r="J7" s="70">
        <f>SUMIFS(Actuals!$I$7:$I$206,Actuals!$G$7:$G$206,$H7,Actuals!$K$7:$K$206,"OK")</f>
        <v/>
      </c>
      <c r="K7" s="71">
        <f>IF($J7=0,"",$I7/$J7)</f>
        <v/>
      </c>
      <c r="L7" s="6">
        <f>IF($J7=0,"",IF($K7&gt;1.1,"under-est (raise)",IF($K7&lt;0.9,"over-est (lower)","about right")))</f>
        <v/>
      </c>
    </row>
    <row r="8">
      <c r="A8" s="16">
        <f>IF(Deals!$A5="","",Deals!$A5)</f>
        <v/>
      </c>
      <c r="B8" s="18">
        <f>IF($A8="","",Deals!$R5)</f>
        <v/>
      </c>
      <c r="C8" s="67">
        <f>IF($A8="","",SUMIFS(Actuals!$D$7:$D$206,Actuals!$E$7:$E$206,$A8,Actuals!$K$7:$K$206,"OK"))</f>
        <v/>
      </c>
      <c r="D8" s="67">
        <f>IF($A8="","",SUMIFS(Actuals!$I$7:$I$206,Actuals!$E$7:$E$206,$A8,Actuals!$K$7:$K$206,"OK"))</f>
        <v/>
      </c>
      <c r="E8" s="68">
        <f>IF($A8="","",$C8-$D8)</f>
        <v/>
      </c>
      <c r="F8" s="69">
        <f>IF(OR($A8="",$D8=0),"",$C8/$D8)</f>
        <v/>
      </c>
      <c r="H8" s="56" t="inlineStr">
        <is>
          <t>Director</t>
        </is>
      </c>
      <c r="I8" s="70">
        <f>SUMIFS(Actuals!$D$7:$D$206,Actuals!$G$7:$G$206,$H8,Actuals!$K$7:$K$206,"OK")</f>
        <v/>
      </c>
      <c r="J8" s="70">
        <f>SUMIFS(Actuals!$I$7:$I$206,Actuals!$G$7:$G$206,$H8,Actuals!$K$7:$K$206,"OK")</f>
        <v/>
      </c>
      <c r="K8" s="71">
        <f>IF($J8=0,"",$I8/$J8)</f>
        <v/>
      </c>
      <c r="L8" s="6">
        <f>IF($J8=0,"",IF($K8&gt;1.1,"under-est (raise)",IF($K8&lt;0.9,"over-est (lower)","about right")))</f>
        <v/>
      </c>
    </row>
    <row r="9">
      <c r="A9" s="16">
        <f>IF(Deals!$A6="","",Deals!$A6)</f>
        <v/>
      </c>
      <c r="B9" s="18">
        <f>IF($A9="","",Deals!$R6)</f>
        <v/>
      </c>
      <c r="C9" s="67">
        <f>IF($A9="","",SUMIFS(Actuals!$D$7:$D$206,Actuals!$E$7:$E$206,$A9,Actuals!$K$7:$K$206,"OK"))</f>
        <v/>
      </c>
      <c r="D9" s="67">
        <f>IF($A9="","",SUMIFS(Actuals!$I$7:$I$206,Actuals!$E$7:$E$206,$A9,Actuals!$K$7:$K$206,"OK"))</f>
        <v/>
      </c>
      <c r="E9" s="68">
        <f>IF($A9="","",$C9-$D9)</f>
        <v/>
      </c>
      <c r="F9" s="69">
        <f>IF(OR($A9="",$D9=0),"",$C9/$D9)</f>
        <v/>
      </c>
      <c r="H9" s="56" t="inlineStr">
        <is>
          <t>VP</t>
        </is>
      </c>
      <c r="I9" s="70">
        <f>SUMIFS(Actuals!$D$7:$D$206,Actuals!$G$7:$G$206,$H9,Actuals!$K$7:$K$206,"OK")</f>
        <v/>
      </c>
      <c r="J9" s="70">
        <f>SUMIFS(Actuals!$I$7:$I$206,Actuals!$G$7:$G$206,$H9,Actuals!$K$7:$K$206,"OK")</f>
        <v/>
      </c>
      <c r="K9" s="71">
        <f>IF($J9=0,"",$I9/$J9)</f>
        <v/>
      </c>
      <c r="L9" s="6">
        <f>IF($J9=0,"",IF($K9&gt;1.1,"under-est (raise)",IF($K9&lt;0.9,"over-est (lower)","about right")))</f>
        <v/>
      </c>
    </row>
    <row r="10">
      <c r="A10" s="16">
        <f>IF(Deals!$A7="","",Deals!$A7)</f>
        <v/>
      </c>
      <c r="B10" s="18">
        <f>IF($A10="","",Deals!$R7)</f>
        <v/>
      </c>
      <c r="C10" s="67">
        <f>IF($A10="","",SUMIFS(Actuals!$D$7:$D$206,Actuals!$E$7:$E$206,$A10,Actuals!$K$7:$K$206,"OK"))</f>
        <v/>
      </c>
      <c r="D10" s="67">
        <f>IF($A10="","",SUMIFS(Actuals!$I$7:$I$206,Actuals!$E$7:$E$206,$A10,Actuals!$K$7:$K$206,"OK"))</f>
        <v/>
      </c>
      <c r="E10" s="68">
        <f>IF($A10="","",$C10-$D10)</f>
        <v/>
      </c>
      <c r="F10" s="69">
        <f>IF(OR($A10="",$D10=0),"",$C10/$D10)</f>
        <v/>
      </c>
      <c r="H10" s="56" t="inlineStr">
        <is>
          <t>Senior Associate</t>
        </is>
      </c>
      <c r="I10" s="70">
        <f>SUMIFS(Actuals!$D$7:$D$206,Actuals!$G$7:$G$206,$H10,Actuals!$K$7:$K$206,"OK")</f>
        <v/>
      </c>
      <c r="J10" s="70">
        <f>SUMIFS(Actuals!$I$7:$I$206,Actuals!$G$7:$G$206,$H10,Actuals!$K$7:$K$206,"OK")</f>
        <v/>
      </c>
      <c r="K10" s="71">
        <f>IF($J10=0,"",$I10/$J10)</f>
        <v/>
      </c>
      <c r="L10" s="6">
        <f>IF($J10=0,"",IF($K10&gt;1.1,"under-est (raise)",IF($K10&lt;0.9,"over-est (lower)","about right")))</f>
        <v/>
      </c>
    </row>
    <row r="11">
      <c r="A11" s="16">
        <f>IF(Deals!$A8="","",Deals!$A8)</f>
        <v/>
      </c>
      <c r="B11" s="18">
        <f>IF($A11="","",Deals!$R8)</f>
        <v/>
      </c>
      <c r="C11" s="67">
        <f>IF($A11="","",SUMIFS(Actuals!$D$7:$D$206,Actuals!$E$7:$E$206,$A11,Actuals!$K$7:$K$206,"OK"))</f>
        <v/>
      </c>
      <c r="D11" s="67">
        <f>IF($A11="","",SUMIFS(Actuals!$I$7:$I$206,Actuals!$E$7:$E$206,$A11,Actuals!$K$7:$K$206,"OK"))</f>
        <v/>
      </c>
      <c r="E11" s="68">
        <f>IF($A11="","",$C11-$D11)</f>
        <v/>
      </c>
      <c r="F11" s="69">
        <f>IF(OR($A11="",$D11=0),"",$C11/$D11)</f>
        <v/>
      </c>
      <c r="H11" s="56" t="inlineStr">
        <is>
          <t>Renewable Specialist</t>
        </is>
      </c>
      <c r="I11" s="70">
        <f>SUMIFS(Actuals!$D$7:$D$206,Actuals!$G$7:$G$206,$H11,Actuals!$K$7:$K$206,"OK")</f>
        <v/>
      </c>
      <c r="J11" s="70">
        <f>SUMIFS(Actuals!$I$7:$I$206,Actuals!$G$7:$G$206,$H11,Actuals!$K$7:$K$206,"OK")</f>
        <v/>
      </c>
      <c r="K11" s="71">
        <f>IF($J11=0,"",$I11/$J11)</f>
        <v/>
      </c>
      <c r="L11" s="6">
        <f>IF($J11=0,"",IF($K11&gt;1.1,"under-est (raise)",IF($K11&lt;0.9,"over-est (lower)","about right")))</f>
        <v/>
      </c>
    </row>
    <row r="12">
      <c r="A12" s="16">
        <f>IF(Deals!$A9="","",Deals!$A9)</f>
        <v/>
      </c>
      <c r="B12" s="18">
        <f>IF($A12="","",Deals!$R9)</f>
        <v/>
      </c>
      <c r="C12" s="67">
        <f>IF($A12="","",SUMIFS(Actuals!$D$7:$D$206,Actuals!$E$7:$E$206,$A12,Actuals!$K$7:$K$206,"OK"))</f>
        <v/>
      </c>
      <c r="D12" s="67">
        <f>IF($A12="","",SUMIFS(Actuals!$I$7:$I$206,Actuals!$E$7:$E$206,$A12,Actuals!$K$7:$K$206,"OK"))</f>
        <v/>
      </c>
      <c r="E12" s="68">
        <f>IF($A12="","",$C12-$D12)</f>
        <v/>
      </c>
      <c r="F12" s="69">
        <f>IF(OR($A12="",$D12=0),"",$C12/$D12)</f>
        <v/>
      </c>
      <c r="H12" s="56" t="inlineStr">
        <is>
          <t>Associate</t>
        </is>
      </c>
      <c r="I12" s="70">
        <f>SUMIFS(Actuals!$D$7:$D$206,Actuals!$G$7:$G$206,$H12,Actuals!$K$7:$K$206,"OK")</f>
        <v/>
      </c>
      <c r="J12" s="70">
        <f>SUMIFS(Actuals!$I$7:$I$206,Actuals!$G$7:$G$206,$H12,Actuals!$K$7:$K$206,"OK")</f>
        <v/>
      </c>
      <c r="K12" s="71">
        <f>IF($J12=0,"",$I12/$J12)</f>
        <v/>
      </c>
      <c r="L12" s="6">
        <f>IF($J12=0,"",IF($K12&gt;1.1,"under-est (raise)",IF($K12&lt;0.9,"over-est (lower)","about right")))</f>
        <v/>
      </c>
    </row>
    <row r="13">
      <c r="A13" s="16">
        <f>IF(Deals!$A10="","",Deals!$A10)</f>
        <v/>
      </c>
      <c r="B13" s="18">
        <f>IF($A13="","",Deals!$R10)</f>
        <v/>
      </c>
      <c r="C13" s="67">
        <f>IF($A13="","",SUMIFS(Actuals!$D$7:$D$206,Actuals!$E$7:$E$206,$A13,Actuals!$K$7:$K$206,"OK"))</f>
        <v/>
      </c>
      <c r="D13" s="67">
        <f>IF($A13="","",SUMIFS(Actuals!$I$7:$I$206,Actuals!$E$7:$E$206,$A13,Actuals!$K$7:$K$206,"OK"))</f>
        <v/>
      </c>
      <c r="E13" s="68">
        <f>IF($A13="","",$C13-$D13)</f>
        <v/>
      </c>
      <c r="F13" s="69">
        <f>IF(OR($A13="",$D13=0),"",$C13/$D13)</f>
        <v/>
      </c>
    </row>
    <row r="14">
      <c r="A14" s="16">
        <f>IF(Deals!$A11="","",Deals!$A11)</f>
        <v/>
      </c>
      <c r="B14" s="18">
        <f>IF($A14="","",Deals!$R11)</f>
        <v/>
      </c>
      <c r="C14" s="67">
        <f>IF($A14="","",SUMIFS(Actuals!$D$7:$D$206,Actuals!$E$7:$E$206,$A14,Actuals!$K$7:$K$206,"OK"))</f>
        <v/>
      </c>
      <c r="D14" s="67">
        <f>IF($A14="","",SUMIFS(Actuals!$I$7:$I$206,Actuals!$E$7:$E$206,$A14,Actuals!$K$7:$K$206,"OK"))</f>
        <v/>
      </c>
      <c r="E14" s="68">
        <f>IF($A14="","",$C14-$D14)</f>
        <v/>
      </c>
      <c r="F14" s="69">
        <f>IF(OR($A14="",$D14=0),"",$C14/$D14)</f>
        <v/>
      </c>
      <c r="H14" s="12" t="inlineStr">
        <is>
          <t>Calibration by archetype</t>
        </is>
      </c>
    </row>
    <row r="15">
      <c r="A15" s="16">
        <f>IF(Deals!$A12="","",Deals!$A12)</f>
        <v/>
      </c>
      <c r="B15" s="18">
        <f>IF($A15="","",Deals!$R12)</f>
        <v/>
      </c>
      <c r="C15" s="67">
        <f>IF($A15="","",SUMIFS(Actuals!$D$7:$D$206,Actuals!$E$7:$E$206,$A15,Actuals!$K$7:$K$206,"OK"))</f>
        <v/>
      </c>
      <c r="D15" s="67">
        <f>IF($A15="","",SUMIFS(Actuals!$I$7:$I$206,Actuals!$E$7:$E$206,$A15,Actuals!$K$7:$K$206,"OK"))</f>
        <v/>
      </c>
      <c r="E15" s="68">
        <f>IF($A15="","",$C15-$D15)</f>
        <v/>
      </c>
      <c r="F15" s="69">
        <f>IF(OR($A15="",$D15=0),"",$C15/$D15)</f>
        <v/>
      </c>
      <c r="H15" s="7" t="inlineStr">
        <is>
          <t>Archetype</t>
        </is>
      </c>
      <c r="I15" s="7" t="inlineStr">
        <is>
          <t>Actual hrs</t>
        </is>
      </c>
      <c r="J15" s="7" t="inlineStr">
        <is>
          <t>Planned</t>
        </is>
      </c>
      <c r="K15" s="7" t="inlineStr">
        <is>
          <t>Actual/Planned</t>
        </is>
      </c>
    </row>
    <row r="16">
      <c r="A16" s="16">
        <f>IF(Deals!$A13="","",Deals!$A13)</f>
        <v/>
      </c>
      <c r="B16" s="18">
        <f>IF($A16="","",Deals!$R13)</f>
        <v/>
      </c>
      <c r="C16" s="67">
        <f>IF($A16="","",SUMIFS(Actuals!$D$7:$D$206,Actuals!$E$7:$E$206,$A16,Actuals!$K$7:$K$206,"OK"))</f>
        <v/>
      </c>
      <c r="D16" s="67">
        <f>IF($A16="","",SUMIFS(Actuals!$I$7:$I$206,Actuals!$E$7:$E$206,$A16,Actuals!$K$7:$K$206,"OK"))</f>
        <v/>
      </c>
      <c r="E16" s="68">
        <f>IF($A16="","",$C16-$D16)</f>
        <v/>
      </c>
      <c r="F16" s="69">
        <f>IF(OR($A16="",$D16=0),"",$C16/$D16)</f>
        <v/>
      </c>
      <c r="H16" s="56" t="inlineStr">
        <is>
          <t>Buy-side TDD (corp / stock)</t>
        </is>
      </c>
      <c r="I16" s="70">
        <f>SUMIFS(Actuals!$D$7:$D$206,Actuals!$H$7:$H$206,$H16,Actuals!$K$7:$K$206,"OK")</f>
        <v/>
      </c>
      <c r="J16" s="70">
        <f>SUMIFS(Actuals!$I$7:$I$206,Actuals!$H$7:$H$206,$H16,Actuals!$K$7:$K$206,"OK")</f>
        <v/>
      </c>
      <c r="K16" s="71">
        <f>IF($J16=0,"",$I16/$J16)</f>
        <v/>
      </c>
    </row>
    <row r="17">
      <c r="A17" s="16">
        <f>IF(Deals!$A14="","",Deals!$A14)</f>
        <v/>
      </c>
      <c r="B17" s="18">
        <f>IF($A17="","",Deals!$R14)</f>
        <v/>
      </c>
      <c r="C17" s="67">
        <f>IF($A17="","",SUMIFS(Actuals!$D$7:$D$206,Actuals!$E$7:$E$206,$A17,Actuals!$K$7:$K$206,"OK"))</f>
        <v/>
      </c>
      <c r="D17" s="67">
        <f>IF($A17="","",SUMIFS(Actuals!$I$7:$I$206,Actuals!$E$7:$E$206,$A17,Actuals!$K$7:$K$206,"OK"))</f>
        <v/>
      </c>
      <c r="E17" s="68">
        <f>IF($A17="","",$C17-$D17)</f>
        <v/>
      </c>
      <c r="F17" s="69">
        <f>IF(OR($A17="",$D17=0),"",$C17/$D17)</f>
        <v/>
      </c>
      <c r="H17" s="56" t="inlineStr">
        <is>
          <t>Buy-side TDD + Structuring</t>
        </is>
      </c>
      <c r="I17" s="70">
        <f>SUMIFS(Actuals!$D$7:$D$206,Actuals!$H$7:$H$206,$H17,Actuals!$K$7:$K$206,"OK")</f>
        <v/>
      </c>
      <c r="J17" s="70">
        <f>SUMIFS(Actuals!$I$7:$I$206,Actuals!$H$7:$H$206,$H17,Actuals!$K$7:$K$206,"OK")</f>
        <v/>
      </c>
      <c r="K17" s="71">
        <f>IF($J17=0,"",$I17/$J17)</f>
        <v/>
      </c>
    </row>
    <row r="18">
      <c r="A18" s="16">
        <f>IF(Deals!$A15="","",Deals!$A15)</f>
        <v/>
      </c>
      <c r="B18" s="18">
        <f>IF($A18="","",Deals!$R15)</f>
        <v/>
      </c>
      <c r="C18" s="67">
        <f>IF($A18="","",SUMIFS(Actuals!$D$7:$D$206,Actuals!$E$7:$E$206,$A18,Actuals!$K$7:$K$206,"OK"))</f>
        <v/>
      </c>
      <c r="D18" s="67">
        <f>IF($A18="","",SUMIFS(Actuals!$I$7:$I$206,Actuals!$E$7:$E$206,$A18,Actuals!$K$7:$K$206,"OK"))</f>
        <v/>
      </c>
      <c r="E18" s="68">
        <f>IF($A18="","",$C18-$D18)</f>
        <v/>
      </c>
      <c r="F18" s="69">
        <f>IF(OR($A18="",$D18=0),"",$C18/$D18)</f>
        <v/>
      </c>
      <c r="H18" s="56" t="inlineStr">
        <is>
          <t>Sell-side / VDD</t>
        </is>
      </c>
      <c r="I18" s="70">
        <f>SUMIFS(Actuals!$D$7:$D$206,Actuals!$H$7:$H$206,$H18,Actuals!$K$7:$K$206,"OK")</f>
        <v/>
      </c>
      <c r="J18" s="70">
        <f>SUMIFS(Actuals!$I$7:$I$206,Actuals!$H$7:$H$206,$H18,Actuals!$K$7:$K$206,"OK")</f>
        <v/>
      </c>
      <c r="K18" s="71">
        <f>IF($J18=0,"",$I18/$J18)</f>
        <v/>
      </c>
    </row>
    <row r="19">
      <c r="A19" s="16">
        <f>IF(Deals!$A16="","",Deals!$A16)</f>
        <v/>
      </c>
      <c r="B19" s="18">
        <f>IF($A19="","",Deals!$R16)</f>
        <v/>
      </c>
      <c r="C19" s="67">
        <f>IF($A19="","",SUMIFS(Actuals!$D$7:$D$206,Actuals!$E$7:$E$206,$A19,Actuals!$K$7:$K$206,"OK"))</f>
        <v/>
      </c>
      <c r="D19" s="67">
        <f>IF($A19="","",SUMIFS(Actuals!$I$7:$I$206,Actuals!$E$7:$E$206,$A19,Actuals!$K$7:$K$206,"OK"))</f>
        <v/>
      </c>
      <c r="E19" s="68">
        <f>IF($A19="","",$C19-$D19)</f>
        <v/>
      </c>
      <c r="F19" s="69">
        <f>IF(OR($A19="",$D19=0),"",$C19/$D19)</f>
        <v/>
      </c>
      <c r="H19" s="56" t="inlineStr">
        <is>
          <t>Structuring only (back-loaded)</t>
        </is>
      </c>
      <c r="I19" s="70">
        <f>SUMIFS(Actuals!$D$7:$D$206,Actuals!$H$7:$H$206,$H19,Actuals!$K$7:$K$206,"OK")</f>
        <v/>
      </c>
      <c r="J19" s="70">
        <f>SUMIFS(Actuals!$I$7:$I$206,Actuals!$H$7:$H$206,$H19,Actuals!$K$7:$K$206,"OK")</f>
        <v/>
      </c>
      <c r="K19" s="71">
        <f>IF($J19=0,"",$I19/$J19)</f>
        <v/>
      </c>
    </row>
    <row r="20">
      <c r="A20" s="16">
        <f>IF(Deals!$A17="","",Deals!$A17)</f>
        <v/>
      </c>
      <c r="B20" s="18">
        <f>IF($A20="","",Deals!$R17)</f>
        <v/>
      </c>
      <c r="C20" s="67">
        <f>IF($A20="","",SUMIFS(Actuals!$D$7:$D$206,Actuals!$E$7:$E$206,$A20,Actuals!$K$7:$K$206,"OK"))</f>
        <v/>
      </c>
      <c r="D20" s="67">
        <f>IF($A20="","",SUMIFS(Actuals!$I$7:$I$206,Actuals!$E$7:$E$206,$A20,Actuals!$K$7:$K$206,"OK"))</f>
        <v/>
      </c>
      <c r="E20" s="68">
        <f>IF($A20="","",$C20-$D20)</f>
        <v/>
      </c>
      <c r="F20" s="69">
        <f>IF(OR($A20="",$D20=0),"",$C20/$D20)</f>
        <v/>
      </c>
      <c r="H20" s="56" t="inlineStr">
        <is>
          <t>Tax equity / PW&amp;A (renewable)</t>
        </is>
      </c>
      <c r="I20" s="70">
        <f>SUMIFS(Actuals!$D$7:$D$206,Actuals!$H$7:$H$206,$H20,Actuals!$K$7:$K$206,"OK")</f>
        <v/>
      </c>
      <c r="J20" s="70">
        <f>SUMIFS(Actuals!$I$7:$I$206,Actuals!$H$7:$H$206,$H20,Actuals!$K$7:$K$206,"OK")</f>
        <v/>
      </c>
      <c r="K20" s="71">
        <f>IF($J20=0,"",$I20/$J20)</f>
        <v/>
      </c>
    </row>
    <row r="21">
      <c r="A21" s="16">
        <f>IF(Deals!$A18="","",Deals!$A18)</f>
        <v/>
      </c>
      <c r="B21" s="18">
        <f>IF($A21="","",Deals!$R18)</f>
        <v/>
      </c>
      <c r="C21" s="67">
        <f>IF($A21="","",SUMIFS(Actuals!$D$7:$D$206,Actuals!$E$7:$E$206,$A21,Actuals!$K$7:$K$206,"OK"))</f>
        <v/>
      </c>
      <c r="D21" s="67">
        <f>IF($A21="","",SUMIFS(Actuals!$I$7:$I$206,Actuals!$E$7:$E$206,$A21,Actuals!$K$7:$K$206,"OK"))</f>
        <v/>
      </c>
      <c r="E21" s="68">
        <f>IF($A21="","",$C21-$D21)</f>
        <v/>
      </c>
      <c r="F21" s="69">
        <f>IF(OR($A21="",$D21=0),"",$C21/$D21)</f>
        <v/>
      </c>
      <c r="H21" s="56" t="inlineStr">
        <is>
          <t>FIRPTA / cross-border</t>
        </is>
      </c>
      <c r="I21" s="70">
        <f>SUMIFS(Actuals!$D$7:$D$206,Actuals!$H$7:$H$206,$H21,Actuals!$K$7:$K$206,"OK")</f>
        <v/>
      </c>
      <c r="J21" s="70">
        <f>SUMIFS(Actuals!$I$7:$I$206,Actuals!$H$7:$H$206,$H21,Actuals!$K$7:$K$206,"OK")</f>
        <v/>
      </c>
      <c r="K21" s="71">
        <f>IF($J21=0,"",$I21/$J21)</f>
        <v/>
      </c>
    </row>
    <row r="22">
      <c r="A22" s="16">
        <f>IF(Deals!$A19="","",Deals!$A19)</f>
        <v/>
      </c>
      <c r="B22" s="18">
        <f>IF($A22="","",Deals!$R19)</f>
        <v/>
      </c>
      <c r="C22" s="67">
        <f>IF($A22="","",SUMIFS(Actuals!$D$7:$D$206,Actuals!$E$7:$E$206,$A22,Actuals!$K$7:$K$206,"OK"))</f>
        <v/>
      </c>
      <c r="D22" s="67">
        <f>IF($A22="","",SUMIFS(Actuals!$I$7:$I$206,Actuals!$E$7:$E$206,$A22,Actuals!$K$7:$K$206,"OK"))</f>
        <v/>
      </c>
      <c r="E22" s="68">
        <f>IF($A22="","",$C22-$D22)</f>
        <v/>
      </c>
      <c r="F22" s="69">
        <f>IF(OR($A22="",$D22=0),"",$C22/$D22)</f>
        <v/>
      </c>
      <c r="H22" s="56" t="inlineStr">
        <is>
          <t>Modeling / QoT support</t>
        </is>
      </c>
      <c r="I22" s="70">
        <f>SUMIFS(Actuals!$D$7:$D$206,Actuals!$H$7:$H$206,$H22,Actuals!$K$7:$K$206,"OK")</f>
        <v/>
      </c>
      <c r="J22" s="70">
        <f>SUMIFS(Actuals!$I$7:$I$206,Actuals!$H$7:$H$206,$H22,Actuals!$K$7:$K$206,"OK")</f>
        <v/>
      </c>
      <c r="K22" s="71">
        <f>IF($J22=0,"",$I22/$J22)</f>
        <v/>
      </c>
    </row>
    <row r="23">
      <c r="A23" s="16">
        <f>IF(Deals!$A20="","",Deals!$A20)</f>
        <v/>
      </c>
      <c r="B23" s="18">
        <f>IF($A23="","",Deals!$R20)</f>
        <v/>
      </c>
      <c r="C23" s="67">
        <f>IF($A23="","",SUMIFS(Actuals!$D$7:$D$206,Actuals!$E$7:$E$206,$A23,Actuals!$K$7:$K$206,"OK"))</f>
        <v/>
      </c>
      <c r="D23" s="67">
        <f>IF($A23="","",SUMIFS(Actuals!$I$7:$I$206,Actuals!$E$7:$E$206,$A23,Actuals!$K$7:$K$206,"OK"))</f>
        <v/>
      </c>
      <c r="E23" s="68">
        <f>IF($A23="","",$C23-$D23)</f>
        <v/>
      </c>
      <c r="F23" s="69">
        <f>IF(OR($A23="",$D23=0),"",$C23/$D23)</f>
        <v/>
      </c>
      <c r="H23" s="56" t="inlineStr">
        <is>
          <t>Ad-hoc / advisory (light)</t>
        </is>
      </c>
      <c r="I23" s="70">
        <f>SUMIFS(Actuals!$D$7:$D$206,Actuals!$H$7:$H$206,$H23,Actuals!$K$7:$K$206,"OK")</f>
        <v/>
      </c>
      <c r="J23" s="70">
        <f>SUMIFS(Actuals!$I$7:$I$206,Actuals!$H$7:$H$206,$H23,Actuals!$K$7:$K$206,"OK")</f>
        <v/>
      </c>
      <c r="K23" s="71">
        <f>IF($J23=0,"",$I23/$J23)</f>
        <v/>
      </c>
    </row>
    <row r="24">
      <c r="A24" s="16">
        <f>IF(Deals!$A21="","",Deals!$A21)</f>
        <v/>
      </c>
      <c r="B24" s="18">
        <f>IF($A24="","",Deals!$R21)</f>
        <v/>
      </c>
      <c r="C24" s="67">
        <f>IF($A24="","",SUMIFS(Actuals!$D$7:$D$206,Actuals!$E$7:$E$206,$A24,Actuals!$K$7:$K$206,"OK"))</f>
        <v/>
      </c>
      <c r="D24" s="67">
        <f>IF($A24="","",SUMIFS(Actuals!$I$7:$I$206,Actuals!$E$7:$E$206,$A24,Actuals!$K$7:$K$206,"OK"))</f>
        <v/>
      </c>
      <c r="E24" s="68">
        <f>IF($A24="","",$C24-$D24)</f>
        <v/>
      </c>
      <c r="F24" s="69">
        <f>IF(OR($A24="",$D24=0),"",$C24/$D24)</f>
        <v/>
      </c>
    </row>
    <row r="25">
      <c r="A25" s="16">
        <f>IF(Deals!$A22="","",Deals!$A22)</f>
        <v/>
      </c>
      <c r="B25" s="18">
        <f>IF($A25="","",Deals!$R22)</f>
        <v/>
      </c>
      <c r="C25" s="67">
        <f>IF($A25="","",SUMIFS(Actuals!$D$7:$D$206,Actuals!$E$7:$E$206,$A25,Actuals!$K$7:$K$206,"OK"))</f>
        <v/>
      </c>
      <c r="D25" s="67">
        <f>IF($A25="","",SUMIFS(Actuals!$I$7:$I$206,Actuals!$E$7:$E$206,$A25,Actuals!$K$7:$K$206,"OK"))</f>
        <v/>
      </c>
      <c r="E25" s="68">
        <f>IF($A25="","",$C25-$D25)</f>
        <v/>
      </c>
      <c r="F25" s="69">
        <f>IF(OR($A25="",$D25=0),"",$C25/$D25)</f>
        <v/>
      </c>
      <c r="H25" s="6" t="inlineStr">
        <is>
          <t>Archetype rows stay blank until deals have an Effort archetype set (Deals tab) - then actuals calibrate each archetype's hours.</t>
        </is>
      </c>
    </row>
    <row r="26">
      <c r="A26" s="16">
        <f>IF(Deals!$A23="","",Deals!$A23)</f>
        <v/>
      </c>
      <c r="B26" s="18">
        <f>IF($A26="","",Deals!$R23)</f>
        <v/>
      </c>
      <c r="C26" s="67">
        <f>IF($A26="","",SUMIFS(Actuals!$D$7:$D$206,Actuals!$E$7:$E$206,$A26,Actuals!$K$7:$K$206,"OK"))</f>
        <v/>
      </c>
      <c r="D26" s="67">
        <f>IF($A26="","",SUMIFS(Actuals!$I$7:$I$206,Actuals!$E$7:$E$206,$A26,Actuals!$K$7:$K$206,"OK"))</f>
        <v/>
      </c>
      <c r="E26" s="68">
        <f>IF($A26="","",$C26-$D26)</f>
        <v/>
      </c>
      <c r="F26" s="69">
        <f>IF(OR($A26="",$D26=0),"",$C26/$D26)</f>
        <v/>
      </c>
    </row>
    <row r="27">
      <c r="A27" s="16">
        <f>IF(Deals!$A24="","",Deals!$A24)</f>
        <v/>
      </c>
      <c r="B27" s="18">
        <f>IF($A27="","",Deals!$R24)</f>
        <v/>
      </c>
      <c r="C27" s="67">
        <f>IF($A27="","",SUMIFS(Actuals!$D$7:$D$206,Actuals!$E$7:$E$206,$A27,Actuals!$K$7:$K$206,"OK"))</f>
        <v/>
      </c>
      <c r="D27" s="67">
        <f>IF($A27="","",SUMIFS(Actuals!$I$7:$I$206,Actuals!$E$7:$E$206,$A27,Actuals!$K$7:$K$206,"OK"))</f>
        <v/>
      </c>
      <c r="E27" s="68">
        <f>IF($A27="","",$C27-$D27)</f>
        <v/>
      </c>
      <c r="F27" s="69">
        <f>IF(OR($A27="",$D27=0),"",$C27/$D27)</f>
        <v/>
      </c>
    </row>
    <row r="28">
      <c r="A28" s="16">
        <f>IF(Deals!$A25="","",Deals!$A25)</f>
        <v/>
      </c>
      <c r="B28" s="18">
        <f>IF($A28="","",Deals!$R25)</f>
        <v/>
      </c>
      <c r="C28" s="67">
        <f>IF($A28="","",SUMIFS(Actuals!$D$7:$D$206,Actuals!$E$7:$E$206,$A28,Actuals!$K$7:$K$206,"OK"))</f>
        <v/>
      </c>
      <c r="D28" s="67">
        <f>IF($A28="","",SUMIFS(Actuals!$I$7:$I$206,Actuals!$E$7:$E$206,$A28,Actuals!$K$7:$K$206,"OK"))</f>
        <v/>
      </c>
      <c r="E28" s="68">
        <f>IF($A28="","",$C28-$D28)</f>
        <v/>
      </c>
      <c r="F28" s="69">
        <f>IF(OR($A28="",$D28=0),"",$C28/$D28)</f>
        <v/>
      </c>
    </row>
    <row r="29">
      <c r="A29" s="16">
        <f>IF(Deals!$A26="","",Deals!$A26)</f>
        <v/>
      </c>
      <c r="B29" s="18">
        <f>IF($A29="","",Deals!$R26)</f>
        <v/>
      </c>
      <c r="C29" s="67">
        <f>IF($A29="","",SUMIFS(Actuals!$D$7:$D$206,Actuals!$E$7:$E$206,$A29,Actuals!$K$7:$K$206,"OK"))</f>
        <v/>
      </c>
      <c r="D29" s="67">
        <f>IF($A29="","",SUMIFS(Actuals!$I$7:$I$206,Actuals!$E$7:$E$206,$A29,Actuals!$K$7:$K$206,"OK"))</f>
        <v/>
      </c>
      <c r="E29" s="68">
        <f>IF($A29="","",$C29-$D29)</f>
        <v/>
      </c>
      <c r="F29" s="69">
        <f>IF(OR($A29="",$D29=0),"",$C29/$D29)</f>
        <v/>
      </c>
    </row>
    <row r="30">
      <c r="A30" s="16">
        <f>IF(Deals!$A27="","",Deals!$A27)</f>
        <v/>
      </c>
      <c r="B30" s="18">
        <f>IF($A30="","",Deals!$R27)</f>
        <v/>
      </c>
      <c r="C30" s="67">
        <f>IF($A30="","",SUMIFS(Actuals!$D$7:$D$206,Actuals!$E$7:$E$206,$A30,Actuals!$K$7:$K$206,"OK"))</f>
        <v/>
      </c>
      <c r="D30" s="67">
        <f>IF($A30="","",SUMIFS(Actuals!$I$7:$I$206,Actuals!$E$7:$E$206,$A30,Actuals!$K$7:$K$206,"OK"))</f>
        <v/>
      </c>
      <c r="E30" s="68">
        <f>IF($A30="","",$C30-$D30)</f>
        <v/>
      </c>
      <c r="F30" s="69">
        <f>IF(OR($A30="",$D30=0),"",$C30/$D30)</f>
        <v/>
      </c>
    </row>
    <row r="31">
      <c r="A31" s="16">
        <f>IF(Deals!$A28="","",Deals!$A28)</f>
        <v/>
      </c>
      <c r="B31" s="18">
        <f>IF($A31="","",Deals!$R28)</f>
        <v/>
      </c>
      <c r="C31" s="67">
        <f>IF($A31="","",SUMIFS(Actuals!$D$7:$D$206,Actuals!$E$7:$E$206,$A31,Actuals!$K$7:$K$206,"OK"))</f>
        <v/>
      </c>
      <c r="D31" s="67">
        <f>IF($A31="","",SUMIFS(Actuals!$I$7:$I$206,Actuals!$E$7:$E$206,$A31,Actuals!$K$7:$K$206,"OK"))</f>
        <v/>
      </c>
      <c r="E31" s="68">
        <f>IF($A31="","",$C31-$D31)</f>
        <v/>
      </c>
      <c r="F31" s="69">
        <f>IF(OR($A31="",$D31=0),"",$C31/$D31)</f>
        <v/>
      </c>
    </row>
    <row r="32">
      <c r="A32" s="16">
        <f>IF(Deals!$A29="","",Deals!$A29)</f>
        <v/>
      </c>
      <c r="B32" s="18">
        <f>IF($A32="","",Deals!$R29)</f>
        <v/>
      </c>
      <c r="C32" s="67">
        <f>IF($A32="","",SUMIFS(Actuals!$D$7:$D$206,Actuals!$E$7:$E$206,$A32,Actuals!$K$7:$K$206,"OK"))</f>
        <v/>
      </c>
      <c r="D32" s="67">
        <f>IF($A32="","",SUMIFS(Actuals!$I$7:$I$206,Actuals!$E$7:$E$206,$A32,Actuals!$K$7:$K$206,"OK"))</f>
        <v/>
      </c>
      <c r="E32" s="68">
        <f>IF($A32="","",$C32-$D32)</f>
        <v/>
      </c>
      <c r="F32" s="69">
        <f>IF(OR($A32="",$D32=0),"",$C32/$D32)</f>
        <v/>
      </c>
    </row>
    <row r="33">
      <c r="A33" s="16">
        <f>IF(Deals!$A30="","",Deals!$A30)</f>
        <v/>
      </c>
      <c r="B33" s="18">
        <f>IF($A33="","",Deals!$R30)</f>
        <v/>
      </c>
      <c r="C33" s="67">
        <f>IF($A33="","",SUMIFS(Actuals!$D$7:$D$206,Actuals!$E$7:$E$206,$A33,Actuals!$K$7:$K$206,"OK"))</f>
        <v/>
      </c>
      <c r="D33" s="67">
        <f>IF($A33="","",SUMIFS(Actuals!$I$7:$I$206,Actuals!$E$7:$E$206,$A33,Actuals!$K$7:$K$206,"OK"))</f>
        <v/>
      </c>
      <c r="E33" s="68">
        <f>IF($A33="","",$C33-$D33)</f>
        <v/>
      </c>
      <c r="F33" s="69">
        <f>IF(OR($A33="",$D33=0),"",$C33/$D33)</f>
        <v/>
      </c>
    </row>
    <row r="34">
      <c r="A34" s="16">
        <f>IF(Deals!$A31="","",Deals!$A31)</f>
        <v/>
      </c>
      <c r="B34" s="18">
        <f>IF($A34="","",Deals!$R31)</f>
        <v/>
      </c>
      <c r="C34" s="67">
        <f>IF($A34="","",SUMIFS(Actuals!$D$7:$D$206,Actuals!$E$7:$E$206,$A34,Actuals!$K$7:$K$206,"OK"))</f>
        <v/>
      </c>
      <c r="D34" s="67">
        <f>IF($A34="","",SUMIFS(Actuals!$I$7:$I$206,Actuals!$E$7:$E$206,$A34,Actuals!$K$7:$K$206,"OK"))</f>
        <v/>
      </c>
      <c r="E34" s="68">
        <f>IF($A34="","",$C34-$D34)</f>
        <v/>
      </c>
      <c r="F34" s="69">
        <f>IF(OR($A34="",$D34=0),"",$C34/$D34)</f>
        <v/>
      </c>
    </row>
    <row r="35">
      <c r="A35" s="16">
        <f>IF(Deals!$A32="","",Deals!$A32)</f>
        <v/>
      </c>
      <c r="B35" s="18">
        <f>IF($A35="","",Deals!$R32)</f>
        <v/>
      </c>
      <c r="C35" s="67">
        <f>IF($A35="","",SUMIFS(Actuals!$D$7:$D$206,Actuals!$E$7:$E$206,$A35,Actuals!$K$7:$K$206,"OK"))</f>
        <v/>
      </c>
      <c r="D35" s="67">
        <f>IF($A35="","",SUMIFS(Actuals!$I$7:$I$206,Actuals!$E$7:$E$206,$A35,Actuals!$K$7:$K$206,"OK"))</f>
        <v/>
      </c>
      <c r="E35" s="68">
        <f>IF($A35="","",$C35-$D35)</f>
        <v/>
      </c>
      <c r="F35" s="69">
        <f>IF(OR($A35="",$D35=0),"",$C35/$D35)</f>
        <v/>
      </c>
    </row>
    <row r="36">
      <c r="A36" s="16">
        <f>IF(Deals!$A33="","",Deals!$A33)</f>
        <v/>
      </c>
      <c r="B36" s="18">
        <f>IF($A36="","",Deals!$R33)</f>
        <v/>
      </c>
      <c r="C36" s="67">
        <f>IF($A36="","",SUMIFS(Actuals!$D$7:$D$206,Actuals!$E$7:$E$206,$A36,Actuals!$K$7:$K$206,"OK"))</f>
        <v/>
      </c>
      <c r="D36" s="67">
        <f>IF($A36="","",SUMIFS(Actuals!$I$7:$I$206,Actuals!$E$7:$E$206,$A36,Actuals!$K$7:$K$206,"OK"))</f>
        <v/>
      </c>
      <c r="E36" s="68">
        <f>IF($A36="","",$C36-$D36)</f>
        <v/>
      </c>
      <c r="F36" s="69">
        <f>IF(OR($A36="",$D36=0),"",$C36/$D36)</f>
        <v/>
      </c>
    </row>
    <row r="37">
      <c r="A37" s="16">
        <f>IF(Deals!$A34="","",Deals!$A34)</f>
        <v/>
      </c>
      <c r="B37" s="18">
        <f>IF($A37="","",Deals!$R34)</f>
        <v/>
      </c>
      <c r="C37" s="67">
        <f>IF($A37="","",SUMIFS(Actuals!$D$7:$D$206,Actuals!$E$7:$E$206,$A37,Actuals!$K$7:$K$206,"OK"))</f>
        <v/>
      </c>
      <c r="D37" s="67">
        <f>IF($A37="","",SUMIFS(Actuals!$I$7:$I$206,Actuals!$E$7:$E$206,$A37,Actuals!$K$7:$K$206,"OK"))</f>
        <v/>
      </c>
      <c r="E37" s="68">
        <f>IF($A37="","",$C37-$D37)</f>
        <v/>
      </c>
      <c r="F37" s="69">
        <f>IF(OR($A37="",$D37=0),"",$C37/$D37)</f>
        <v/>
      </c>
    </row>
    <row r="38">
      <c r="A38" s="16">
        <f>IF(Deals!$A35="","",Deals!$A35)</f>
        <v/>
      </c>
      <c r="B38" s="18">
        <f>IF($A38="","",Deals!$R35)</f>
        <v/>
      </c>
      <c r="C38" s="67">
        <f>IF($A38="","",SUMIFS(Actuals!$D$7:$D$206,Actuals!$E$7:$E$206,$A38,Actuals!$K$7:$K$206,"OK"))</f>
        <v/>
      </c>
      <c r="D38" s="67">
        <f>IF($A38="","",SUMIFS(Actuals!$I$7:$I$206,Actuals!$E$7:$E$206,$A38,Actuals!$K$7:$K$206,"OK"))</f>
        <v/>
      </c>
      <c r="E38" s="68">
        <f>IF($A38="","",$C38-$D38)</f>
        <v/>
      </c>
      <c r="F38" s="69">
        <f>IF(OR($A38="",$D38=0),"",$C38/$D38)</f>
        <v/>
      </c>
    </row>
    <row r="39">
      <c r="A39" s="16">
        <f>IF(Deals!$A36="","",Deals!$A36)</f>
        <v/>
      </c>
      <c r="B39" s="18">
        <f>IF($A39="","",Deals!$R36)</f>
        <v/>
      </c>
      <c r="C39" s="67">
        <f>IF($A39="","",SUMIFS(Actuals!$D$7:$D$206,Actuals!$E$7:$E$206,$A39,Actuals!$K$7:$K$206,"OK"))</f>
        <v/>
      </c>
      <c r="D39" s="67">
        <f>IF($A39="","",SUMIFS(Actuals!$I$7:$I$206,Actuals!$E$7:$E$206,$A39,Actuals!$K$7:$K$206,"OK"))</f>
        <v/>
      </c>
      <c r="E39" s="68">
        <f>IF($A39="","",$C39-$D39)</f>
        <v/>
      </c>
      <c r="F39" s="69">
        <f>IF(OR($A39="",$D39=0),"",$C39/$D39)</f>
        <v/>
      </c>
    </row>
    <row r="40">
      <c r="A40" s="16">
        <f>IF(Deals!$A37="","",Deals!$A37)</f>
        <v/>
      </c>
      <c r="B40" s="18">
        <f>IF($A40="","",Deals!$R37)</f>
        <v/>
      </c>
      <c r="C40" s="67">
        <f>IF($A40="","",SUMIFS(Actuals!$D$7:$D$206,Actuals!$E$7:$E$206,$A40,Actuals!$K$7:$K$206,"OK"))</f>
        <v/>
      </c>
      <c r="D40" s="67">
        <f>IF($A40="","",SUMIFS(Actuals!$I$7:$I$206,Actuals!$E$7:$E$206,$A40,Actuals!$K$7:$K$206,"OK"))</f>
        <v/>
      </c>
      <c r="E40" s="68">
        <f>IF($A40="","",$C40-$D40)</f>
        <v/>
      </c>
      <c r="F40" s="69">
        <f>IF(OR($A40="",$D40=0),"",$C40/$D40)</f>
        <v/>
      </c>
    </row>
    <row r="41">
      <c r="A41" s="16">
        <f>IF(Deals!$A38="","",Deals!$A38)</f>
        <v/>
      </c>
      <c r="B41" s="18">
        <f>IF($A41="","",Deals!$R38)</f>
        <v/>
      </c>
      <c r="C41" s="67">
        <f>IF($A41="","",SUMIFS(Actuals!$D$7:$D$206,Actuals!$E$7:$E$206,$A41,Actuals!$K$7:$K$206,"OK"))</f>
        <v/>
      </c>
      <c r="D41" s="67">
        <f>IF($A41="","",SUMIFS(Actuals!$I$7:$I$206,Actuals!$E$7:$E$206,$A41,Actuals!$K$7:$K$206,"OK"))</f>
        <v/>
      </c>
      <c r="E41" s="68">
        <f>IF($A41="","",$C41-$D41)</f>
        <v/>
      </c>
      <c r="F41" s="69">
        <f>IF(OR($A41="",$D41=0),"",$C41/$D41)</f>
        <v/>
      </c>
    </row>
    <row r="42">
      <c r="A42" s="16">
        <f>IF(Deals!$A39="","",Deals!$A39)</f>
        <v/>
      </c>
      <c r="B42" s="18">
        <f>IF($A42="","",Deals!$R39)</f>
        <v/>
      </c>
      <c r="C42" s="67">
        <f>IF($A42="","",SUMIFS(Actuals!$D$7:$D$206,Actuals!$E$7:$E$206,$A42,Actuals!$K$7:$K$206,"OK"))</f>
        <v/>
      </c>
      <c r="D42" s="67">
        <f>IF($A42="","",SUMIFS(Actuals!$I$7:$I$206,Actuals!$E$7:$E$206,$A42,Actuals!$K$7:$K$206,"OK"))</f>
        <v/>
      </c>
      <c r="E42" s="68">
        <f>IF($A42="","",$C42-$D42)</f>
        <v/>
      </c>
      <c r="F42" s="69">
        <f>IF(OR($A42="",$D42=0),"",$C42/$D42)</f>
        <v/>
      </c>
    </row>
    <row r="43">
      <c r="A43" s="16">
        <f>IF(Deals!$A40="","",Deals!$A40)</f>
        <v/>
      </c>
      <c r="B43" s="18">
        <f>IF($A43="","",Deals!$R40)</f>
        <v/>
      </c>
      <c r="C43" s="67">
        <f>IF($A43="","",SUMIFS(Actuals!$D$7:$D$206,Actuals!$E$7:$E$206,$A43,Actuals!$K$7:$K$206,"OK"))</f>
        <v/>
      </c>
      <c r="D43" s="67">
        <f>IF($A43="","",SUMIFS(Actuals!$I$7:$I$206,Actuals!$E$7:$E$206,$A43,Actuals!$K$7:$K$206,"OK"))</f>
        <v/>
      </c>
      <c r="E43" s="68">
        <f>IF($A43="","",$C43-$D43)</f>
        <v/>
      </c>
      <c r="F43" s="69">
        <f>IF(OR($A43="",$D43=0),"",$C43/$D43)</f>
        <v/>
      </c>
    </row>
    <row r="44">
      <c r="A44" s="16">
        <f>IF(Deals!$A41="","",Deals!$A41)</f>
        <v/>
      </c>
      <c r="B44" s="18">
        <f>IF($A44="","",Deals!$R41)</f>
        <v/>
      </c>
      <c r="C44" s="67">
        <f>IF($A44="","",SUMIFS(Actuals!$D$7:$D$206,Actuals!$E$7:$E$206,$A44,Actuals!$K$7:$K$206,"OK"))</f>
        <v/>
      </c>
      <c r="D44" s="67">
        <f>IF($A44="","",SUMIFS(Actuals!$I$7:$I$206,Actuals!$E$7:$E$206,$A44,Actuals!$K$7:$K$206,"OK"))</f>
        <v/>
      </c>
      <c r="E44" s="68">
        <f>IF($A44="","",$C44-$D44)</f>
        <v/>
      </c>
      <c r="F44" s="69">
        <f>IF(OR($A44="",$D44=0),"",$C44/$D44)</f>
        <v/>
      </c>
    </row>
    <row r="45">
      <c r="A45" s="16">
        <f>IF(Deals!$A42="","",Deals!$A42)</f>
        <v/>
      </c>
      <c r="B45" s="18">
        <f>IF($A45="","",Deals!$R42)</f>
        <v/>
      </c>
      <c r="C45" s="67">
        <f>IF($A45="","",SUMIFS(Actuals!$D$7:$D$206,Actuals!$E$7:$E$206,$A45,Actuals!$K$7:$K$206,"OK"))</f>
        <v/>
      </c>
      <c r="D45" s="67">
        <f>IF($A45="","",SUMIFS(Actuals!$I$7:$I$206,Actuals!$E$7:$E$206,$A45,Actuals!$K$7:$K$206,"OK"))</f>
        <v/>
      </c>
      <c r="E45" s="68">
        <f>IF($A45="","",$C45-$D45)</f>
        <v/>
      </c>
      <c r="F45" s="69">
        <f>IF(OR($A45="",$D45=0),"",$C45/$D45)</f>
        <v/>
      </c>
    </row>
    <row r="46">
      <c r="A46" s="16">
        <f>IF(Deals!$A43="","",Deals!$A43)</f>
        <v/>
      </c>
      <c r="B46" s="18">
        <f>IF($A46="","",Deals!$R43)</f>
        <v/>
      </c>
      <c r="C46" s="67">
        <f>IF($A46="","",SUMIFS(Actuals!$D$7:$D$206,Actuals!$E$7:$E$206,$A46,Actuals!$K$7:$K$206,"OK"))</f>
        <v/>
      </c>
      <c r="D46" s="67">
        <f>IF($A46="","",SUMIFS(Actuals!$I$7:$I$206,Actuals!$E$7:$E$206,$A46,Actuals!$K$7:$K$206,"OK"))</f>
        <v/>
      </c>
      <c r="E46" s="68">
        <f>IF($A46="","",$C46-$D46)</f>
        <v/>
      </c>
      <c r="F46" s="69">
        <f>IF(OR($A46="",$D46=0),"",$C46/$D46)</f>
        <v/>
      </c>
    </row>
    <row r="47">
      <c r="A47" s="16">
        <f>IF(Deals!$A44="","",Deals!$A44)</f>
        <v/>
      </c>
      <c r="B47" s="18">
        <f>IF($A47="","",Deals!$R44)</f>
        <v/>
      </c>
      <c r="C47" s="67">
        <f>IF($A47="","",SUMIFS(Actuals!$D$7:$D$206,Actuals!$E$7:$E$206,$A47,Actuals!$K$7:$K$206,"OK"))</f>
        <v/>
      </c>
      <c r="D47" s="67">
        <f>IF($A47="","",SUMIFS(Actuals!$I$7:$I$206,Actuals!$E$7:$E$206,$A47,Actuals!$K$7:$K$206,"OK"))</f>
        <v/>
      </c>
      <c r="E47" s="68">
        <f>IF($A47="","",$C47-$D47)</f>
        <v/>
      </c>
      <c r="F47" s="69">
        <f>IF(OR($A47="",$D47=0),"",$C47/$D47)</f>
        <v/>
      </c>
    </row>
    <row r="48">
      <c r="A48" s="16">
        <f>IF(Deals!$A45="","",Deals!$A45)</f>
        <v/>
      </c>
      <c r="B48" s="18">
        <f>IF($A48="","",Deals!$R45)</f>
        <v/>
      </c>
      <c r="C48" s="67">
        <f>IF($A48="","",SUMIFS(Actuals!$D$7:$D$206,Actuals!$E$7:$E$206,$A48,Actuals!$K$7:$K$206,"OK"))</f>
        <v/>
      </c>
      <c r="D48" s="67">
        <f>IF($A48="","",SUMIFS(Actuals!$I$7:$I$206,Actuals!$E$7:$E$206,$A48,Actuals!$K$7:$K$206,"OK"))</f>
        <v/>
      </c>
      <c r="E48" s="68">
        <f>IF($A48="","",$C48-$D48)</f>
        <v/>
      </c>
      <c r="F48" s="69">
        <f>IF(OR($A48="",$D48=0),"",$C48/$D48)</f>
        <v/>
      </c>
    </row>
    <row r="49">
      <c r="A49" s="16">
        <f>IF(Deals!$A46="","",Deals!$A46)</f>
        <v/>
      </c>
      <c r="B49" s="18">
        <f>IF($A49="","",Deals!$R46)</f>
        <v/>
      </c>
      <c r="C49" s="67">
        <f>IF($A49="","",SUMIFS(Actuals!$D$7:$D$206,Actuals!$E$7:$E$206,$A49,Actuals!$K$7:$K$206,"OK"))</f>
        <v/>
      </c>
      <c r="D49" s="67">
        <f>IF($A49="","",SUMIFS(Actuals!$I$7:$I$206,Actuals!$E$7:$E$206,$A49,Actuals!$K$7:$K$206,"OK"))</f>
        <v/>
      </c>
      <c r="E49" s="68">
        <f>IF($A49="","",$C49-$D49)</f>
        <v/>
      </c>
      <c r="F49" s="69">
        <f>IF(OR($A49="",$D49=0),"",$C49/$D49)</f>
        <v/>
      </c>
    </row>
    <row r="50">
      <c r="A50" s="16">
        <f>IF(Deals!$A47="","",Deals!$A47)</f>
        <v/>
      </c>
      <c r="B50" s="18">
        <f>IF($A50="","",Deals!$R47)</f>
        <v/>
      </c>
      <c r="C50" s="67">
        <f>IF($A50="","",SUMIFS(Actuals!$D$7:$D$206,Actuals!$E$7:$E$206,$A50,Actuals!$K$7:$K$206,"OK"))</f>
        <v/>
      </c>
      <c r="D50" s="67">
        <f>IF($A50="","",SUMIFS(Actuals!$I$7:$I$206,Actuals!$E$7:$E$206,$A50,Actuals!$K$7:$K$206,"OK"))</f>
        <v/>
      </c>
      <c r="E50" s="68">
        <f>IF($A50="","",$C50-$D50)</f>
        <v/>
      </c>
      <c r="F50" s="69">
        <f>IF(OR($A50="",$D50=0),"",$C50/$D50)</f>
        <v/>
      </c>
    </row>
    <row r="51">
      <c r="A51" s="16">
        <f>IF(Deals!$A48="","",Deals!$A48)</f>
        <v/>
      </c>
      <c r="B51" s="18">
        <f>IF($A51="","",Deals!$R48)</f>
        <v/>
      </c>
      <c r="C51" s="67">
        <f>IF($A51="","",SUMIFS(Actuals!$D$7:$D$206,Actuals!$E$7:$E$206,$A51,Actuals!$K$7:$K$206,"OK"))</f>
        <v/>
      </c>
      <c r="D51" s="67">
        <f>IF($A51="","",SUMIFS(Actuals!$I$7:$I$206,Actuals!$E$7:$E$206,$A51,Actuals!$K$7:$K$206,"OK"))</f>
        <v/>
      </c>
      <c r="E51" s="68">
        <f>IF($A51="","",$C51-$D51)</f>
        <v/>
      </c>
      <c r="F51" s="69">
        <f>IF(OR($A51="",$D51=0),"",$C51/$D51)</f>
        <v/>
      </c>
    </row>
    <row r="52">
      <c r="A52" s="16">
        <f>IF(Deals!$A49="","",Deals!$A49)</f>
        <v/>
      </c>
      <c r="B52" s="18">
        <f>IF($A52="","",Deals!$R49)</f>
        <v/>
      </c>
      <c r="C52" s="67">
        <f>IF($A52="","",SUMIFS(Actuals!$D$7:$D$206,Actuals!$E$7:$E$206,$A52,Actuals!$K$7:$K$206,"OK"))</f>
        <v/>
      </c>
      <c r="D52" s="67">
        <f>IF($A52="","",SUMIFS(Actuals!$I$7:$I$206,Actuals!$E$7:$E$206,$A52,Actuals!$K$7:$K$206,"OK"))</f>
        <v/>
      </c>
      <c r="E52" s="68">
        <f>IF($A52="","",$C52-$D52)</f>
        <v/>
      </c>
      <c r="F52" s="69">
        <f>IF(OR($A52="",$D52=0),"",$C52/$D52)</f>
        <v/>
      </c>
    </row>
    <row r="53">
      <c r="A53" s="16">
        <f>IF(Deals!$A50="","",Deals!$A50)</f>
        <v/>
      </c>
      <c r="B53" s="18">
        <f>IF($A53="","",Deals!$R50)</f>
        <v/>
      </c>
      <c r="C53" s="67">
        <f>IF($A53="","",SUMIFS(Actuals!$D$7:$D$206,Actuals!$E$7:$E$206,$A53,Actuals!$K$7:$K$206,"OK"))</f>
        <v/>
      </c>
      <c r="D53" s="67">
        <f>IF($A53="","",SUMIFS(Actuals!$I$7:$I$206,Actuals!$E$7:$E$206,$A53,Actuals!$K$7:$K$206,"OK"))</f>
        <v/>
      </c>
      <c r="E53" s="68">
        <f>IF($A53="","",$C53-$D53)</f>
        <v/>
      </c>
      <c r="F53" s="69">
        <f>IF(OR($A53="",$D53=0),"",$C53/$D53)</f>
        <v/>
      </c>
    </row>
    <row r="54">
      <c r="A54" s="16">
        <f>IF(Deals!$A51="","",Deals!$A51)</f>
        <v/>
      </c>
      <c r="B54" s="18">
        <f>IF($A54="","",Deals!$R51)</f>
        <v/>
      </c>
      <c r="C54" s="67">
        <f>IF($A54="","",SUMIFS(Actuals!$D$7:$D$206,Actuals!$E$7:$E$206,$A54,Actuals!$K$7:$K$206,"OK"))</f>
        <v/>
      </c>
      <c r="D54" s="67">
        <f>IF($A54="","",SUMIFS(Actuals!$I$7:$I$206,Actuals!$E$7:$E$206,$A54,Actuals!$K$7:$K$206,"OK"))</f>
        <v/>
      </c>
      <c r="E54" s="68">
        <f>IF($A54="","",$C54-$D54)</f>
        <v/>
      </c>
      <c r="F54" s="69">
        <f>IF(OR($A54="",$D54=0),"",$C54/$D54)</f>
        <v/>
      </c>
    </row>
    <row r="55">
      <c r="A55" s="16">
        <f>IF(Deals!$A52="","",Deals!$A52)</f>
        <v/>
      </c>
      <c r="B55" s="18">
        <f>IF($A55="","",Deals!$R52)</f>
        <v/>
      </c>
      <c r="C55" s="67">
        <f>IF($A55="","",SUMIFS(Actuals!$D$7:$D$206,Actuals!$E$7:$E$206,$A55,Actuals!$K$7:$K$206,"OK"))</f>
        <v/>
      </c>
      <c r="D55" s="67">
        <f>IF($A55="","",SUMIFS(Actuals!$I$7:$I$206,Actuals!$E$7:$E$206,$A55,Actuals!$K$7:$K$206,"OK"))</f>
        <v/>
      </c>
      <c r="E55" s="68">
        <f>IF($A55="","",$C55-$D55)</f>
        <v/>
      </c>
      <c r="F55" s="69">
        <f>IF(OR($A55="",$D55=0),"",$C55/$D55)</f>
        <v/>
      </c>
    </row>
    <row r="56">
      <c r="A56" s="16">
        <f>IF(Deals!$A53="","",Deals!$A53)</f>
        <v/>
      </c>
      <c r="B56" s="18">
        <f>IF($A56="","",Deals!$R53)</f>
        <v/>
      </c>
      <c r="C56" s="67">
        <f>IF($A56="","",SUMIFS(Actuals!$D$7:$D$206,Actuals!$E$7:$E$206,$A56,Actuals!$K$7:$K$206,"OK"))</f>
        <v/>
      </c>
      <c r="D56" s="67">
        <f>IF($A56="","",SUMIFS(Actuals!$I$7:$I$206,Actuals!$E$7:$E$206,$A56,Actuals!$K$7:$K$206,"OK"))</f>
        <v/>
      </c>
      <c r="E56" s="68">
        <f>IF($A56="","",$C56-$D56)</f>
        <v/>
      </c>
      <c r="F56" s="69">
        <f>IF(OR($A56="",$D56=0),"",$C56/$D56)</f>
        <v/>
      </c>
    </row>
    <row r="57">
      <c r="A57" s="16">
        <f>IF(Deals!$A54="","",Deals!$A54)</f>
        <v/>
      </c>
      <c r="B57" s="18">
        <f>IF($A57="","",Deals!$R54)</f>
        <v/>
      </c>
      <c r="C57" s="67">
        <f>IF($A57="","",SUMIFS(Actuals!$D$7:$D$206,Actuals!$E$7:$E$206,$A57,Actuals!$K$7:$K$206,"OK"))</f>
        <v/>
      </c>
      <c r="D57" s="67">
        <f>IF($A57="","",SUMIFS(Actuals!$I$7:$I$206,Actuals!$E$7:$E$206,$A57,Actuals!$K$7:$K$206,"OK"))</f>
        <v/>
      </c>
      <c r="E57" s="68">
        <f>IF($A57="","",$C57-$D57)</f>
        <v/>
      </c>
      <c r="F57" s="69">
        <f>IF(OR($A57="",$D57=0),"",$C57/$D57)</f>
        <v/>
      </c>
    </row>
    <row r="58">
      <c r="A58" s="16">
        <f>IF(Deals!$A55="","",Deals!$A55)</f>
        <v/>
      </c>
      <c r="B58" s="18">
        <f>IF($A58="","",Deals!$R55)</f>
        <v/>
      </c>
      <c r="C58" s="67">
        <f>IF($A58="","",SUMIFS(Actuals!$D$7:$D$206,Actuals!$E$7:$E$206,$A58,Actuals!$K$7:$K$206,"OK"))</f>
        <v/>
      </c>
      <c r="D58" s="67">
        <f>IF($A58="","",SUMIFS(Actuals!$I$7:$I$206,Actuals!$E$7:$E$206,$A58,Actuals!$K$7:$K$206,"OK"))</f>
        <v/>
      </c>
      <c r="E58" s="68">
        <f>IF($A58="","",$C58-$D58)</f>
        <v/>
      </c>
      <c r="F58" s="69">
        <f>IF(OR($A58="",$D58=0),"",$C58/$D58)</f>
        <v/>
      </c>
    </row>
    <row r="59">
      <c r="A59" s="16">
        <f>IF(Deals!$A56="","",Deals!$A56)</f>
        <v/>
      </c>
      <c r="B59" s="18">
        <f>IF($A59="","",Deals!$R56)</f>
        <v/>
      </c>
      <c r="C59" s="67">
        <f>IF($A59="","",SUMIFS(Actuals!$D$7:$D$206,Actuals!$E$7:$E$206,$A59,Actuals!$K$7:$K$206,"OK"))</f>
        <v/>
      </c>
      <c r="D59" s="67">
        <f>IF($A59="","",SUMIFS(Actuals!$I$7:$I$206,Actuals!$E$7:$E$206,$A59,Actuals!$K$7:$K$206,"OK"))</f>
        <v/>
      </c>
      <c r="E59" s="68">
        <f>IF($A59="","",$C59-$D59)</f>
        <v/>
      </c>
      <c r="F59" s="69">
        <f>IF(OR($A59="",$D59=0),"",$C59/$D59)</f>
        <v/>
      </c>
    </row>
    <row r="60">
      <c r="A60" s="16">
        <f>IF(Deals!$A57="","",Deals!$A57)</f>
        <v/>
      </c>
      <c r="B60" s="18">
        <f>IF($A60="","",Deals!$R57)</f>
        <v/>
      </c>
      <c r="C60" s="67">
        <f>IF($A60="","",SUMIFS(Actuals!$D$7:$D$206,Actuals!$E$7:$E$206,$A60,Actuals!$K$7:$K$206,"OK"))</f>
        <v/>
      </c>
      <c r="D60" s="67">
        <f>IF($A60="","",SUMIFS(Actuals!$I$7:$I$206,Actuals!$E$7:$E$206,$A60,Actuals!$K$7:$K$206,"OK"))</f>
        <v/>
      </c>
      <c r="E60" s="68">
        <f>IF($A60="","",$C60-$D60)</f>
        <v/>
      </c>
      <c r="F60" s="69">
        <f>IF(OR($A60="",$D60=0),"",$C60/$D60)</f>
        <v/>
      </c>
    </row>
    <row r="61">
      <c r="A61" s="16">
        <f>IF(Deals!$A58="","",Deals!$A58)</f>
        <v/>
      </c>
      <c r="B61" s="18">
        <f>IF($A61="","",Deals!$R58)</f>
        <v/>
      </c>
      <c r="C61" s="67">
        <f>IF($A61="","",SUMIFS(Actuals!$D$7:$D$206,Actuals!$E$7:$E$206,$A61,Actuals!$K$7:$K$206,"OK"))</f>
        <v/>
      </c>
      <c r="D61" s="67">
        <f>IF($A61="","",SUMIFS(Actuals!$I$7:$I$206,Actuals!$E$7:$E$206,$A61,Actuals!$K$7:$K$206,"OK"))</f>
        <v/>
      </c>
      <c r="E61" s="68">
        <f>IF($A61="","",$C61-$D61)</f>
        <v/>
      </c>
      <c r="F61" s="69">
        <f>IF(OR($A61="",$D61=0),"",$C61/$D61)</f>
        <v/>
      </c>
    </row>
    <row r="62">
      <c r="A62" s="16">
        <f>IF(Deals!$A59="","",Deals!$A59)</f>
        <v/>
      </c>
      <c r="B62" s="18">
        <f>IF($A62="","",Deals!$R59)</f>
        <v/>
      </c>
      <c r="C62" s="67">
        <f>IF($A62="","",SUMIFS(Actuals!$D$7:$D$206,Actuals!$E$7:$E$206,$A62,Actuals!$K$7:$K$206,"OK"))</f>
        <v/>
      </c>
      <c r="D62" s="67">
        <f>IF($A62="","",SUMIFS(Actuals!$I$7:$I$206,Actuals!$E$7:$E$206,$A62,Actuals!$K$7:$K$206,"OK"))</f>
        <v/>
      </c>
      <c r="E62" s="68">
        <f>IF($A62="","",$C62-$D62)</f>
        <v/>
      </c>
      <c r="F62" s="69">
        <f>IF(OR($A62="",$D62=0),"",$C62/$D62)</f>
        <v/>
      </c>
    </row>
    <row r="63">
      <c r="A63" s="16">
        <f>IF(Deals!$A60="","",Deals!$A60)</f>
        <v/>
      </c>
      <c r="B63" s="18">
        <f>IF($A63="","",Deals!$R60)</f>
        <v/>
      </c>
      <c r="C63" s="67">
        <f>IF($A63="","",SUMIFS(Actuals!$D$7:$D$206,Actuals!$E$7:$E$206,$A63,Actuals!$K$7:$K$206,"OK"))</f>
        <v/>
      </c>
      <c r="D63" s="67">
        <f>IF($A63="","",SUMIFS(Actuals!$I$7:$I$206,Actuals!$E$7:$E$206,$A63,Actuals!$K$7:$K$206,"OK"))</f>
        <v/>
      </c>
      <c r="E63" s="68">
        <f>IF($A63="","",$C63-$D63)</f>
        <v/>
      </c>
      <c r="F63" s="69">
        <f>IF(OR($A63="",$D63=0),"",$C63/$D63)</f>
        <v/>
      </c>
    </row>
    <row r="64">
      <c r="A64" s="16">
        <f>IF(Deals!$A61="","",Deals!$A61)</f>
        <v/>
      </c>
      <c r="B64" s="18">
        <f>IF($A64="","",Deals!$R61)</f>
        <v/>
      </c>
      <c r="C64" s="67">
        <f>IF($A64="","",SUMIFS(Actuals!$D$7:$D$206,Actuals!$E$7:$E$206,$A64,Actuals!$K$7:$K$206,"OK"))</f>
        <v/>
      </c>
      <c r="D64" s="67">
        <f>IF($A64="","",SUMIFS(Actuals!$I$7:$I$206,Actuals!$E$7:$E$206,$A64,Actuals!$K$7:$K$206,"OK"))</f>
        <v/>
      </c>
      <c r="E64" s="68">
        <f>IF($A64="","",$C64-$D64)</f>
        <v/>
      </c>
      <c r="F64" s="69">
        <f>IF(OR($A64="",$D64=0),"",$C64/$D64)</f>
        <v/>
      </c>
    </row>
    <row r="65">
      <c r="A65" s="16">
        <f>IF(Deals!$A62="","",Deals!$A62)</f>
        <v/>
      </c>
      <c r="B65" s="18">
        <f>IF($A65="","",Deals!$R62)</f>
        <v/>
      </c>
      <c r="C65" s="67">
        <f>IF($A65="","",SUMIFS(Actuals!$D$7:$D$206,Actuals!$E$7:$E$206,$A65,Actuals!$K$7:$K$206,"OK"))</f>
        <v/>
      </c>
      <c r="D65" s="67">
        <f>IF($A65="","",SUMIFS(Actuals!$I$7:$I$206,Actuals!$E$7:$E$206,$A65,Actuals!$K$7:$K$206,"OK"))</f>
        <v/>
      </c>
      <c r="E65" s="68">
        <f>IF($A65="","",$C65-$D65)</f>
        <v/>
      </c>
      <c r="F65" s="69">
        <f>IF(OR($A65="",$D65=0),"",$C65/$D65)</f>
        <v/>
      </c>
    </row>
    <row r="66">
      <c r="A66" s="16">
        <f>IF(Deals!$A63="","",Deals!$A63)</f>
        <v/>
      </c>
      <c r="B66" s="18">
        <f>IF($A66="","",Deals!$R63)</f>
        <v/>
      </c>
      <c r="C66" s="67">
        <f>IF($A66="","",SUMIFS(Actuals!$D$7:$D$206,Actuals!$E$7:$E$206,$A66,Actuals!$K$7:$K$206,"OK"))</f>
        <v/>
      </c>
      <c r="D66" s="67">
        <f>IF($A66="","",SUMIFS(Actuals!$I$7:$I$206,Actuals!$E$7:$E$206,$A66,Actuals!$K$7:$K$206,"OK"))</f>
        <v/>
      </c>
      <c r="E66" s="68">
        <f>IF($A66="","",$C66-$D66)</f>
        <v/>
      </c>
      <c r="F66" s="69">
        <f>IF(OR($A66="",$D66=0),"",$C66/$D66)</f>
        <v/>
      </c>
    </row>
    <row r="67">
      <c r="A67" s="16">
        <f>IF(Deals!$A64="","",Deals!$A64)</f>
        <v/>
      </c>
      <c r="B67" s="18">
        <f>IF($A67="","",Deals!$R64)</f>
        <v/>
      </c>
      <c r="C67" s="67">
        <f>IF($A67="","",SUMIFS(Actuals!$D$7:$D$206,Actuals!$E$7:$E$206,$A67,Actuals!$K$7:$K$206,"OK"))</f>
        <v/>
      </c>
      <c r="D67" s="67">
        <f>IF($A67="","",SUMIFS(Actuals!$I$7:$I$206,Actuals!$E$7:$E$206,$A67,Actuals!$K$7:$K$206,"OK"))</f>
        <v/>
      </c>
      <c r="E67" s="68">
        <f>IF($A67="","",$C67-$D67)</f>
        <v/>
      </c>
      <c r="F67" s="69">
        <f>IF(OR($A67="",$D67=0),"",$C67/$D67)</f>
        <v/>
      </c>
    </row>
    <row r="68">
      <c r="A68" s="16">
        <f>IF(Deals!$A65="","",Deals!$A65)</f>
        <v/>
      </c>
      <c r="B68" s="18">
        <f>IF($A68="","",Deals!$R65)</f>
        <v/>
      </c>
      <c r="C68" s="67">
        <f>IF($A68="","",SUMIFS(Actuals!$D$7:$D$206,Actuals!$E$7:$E$206,$A68,Actuals!$K$7:$K$206,"OK"))</f>
        <v/>
      </c>
      <c r="D68" s="67">
        <f>IF($A68="","",SUMIFS(Actuals!$I$7:$I$206,Actuals!$E$7:$E$206,$A68,Actuals!$K$7:$K$206,"OK"))</f>
        <v/>
      </c>
      <c r="E68" s="68">
        <f>IF($A68="","",$C68-$D68)</f>
        <v/>
      </c>
      <c r="F68" s="69">
        <f>IF(OR($A68="",$D68=0),"",$C68/$D68)</f>
        <v/>
      </c>
    </row>
    <row r="69">
      <c r="A69" s="16">
        <f>IF(Deals!$A66="","",Deals!$A66)</f>
        <v/>
      </c>
      <c r="B69" s="18">
        <f>IF($A69="","",Deals!$R66)</f>
        <v/>
      </c>
      <c r="C69" s="67">
        <f>IF($A69="","",SUMIFS(Actuals!$D$7:$D$206,Actuals!$E$7:$E$206,$A69,Actuals!$K$7:$K$206,"OK"))</f>
        <v/>
      </c>
      <c r="D69" s="67">
        <f>IF($A69="","",SUMIFS(Actuals!$I$7:$I$206,Actuals!$E$7:$E$206,$A69,Actuals!$K$7:$K$206,"OK"))</f>
        <v/>
      </c>
      <c r="E69" s="68">
        <f>IF($A69="","",$C69-$D69)</f>
        <v/>
      </c>
      <c r="F69" s="69">
        <f>IF(OR($A69="",$D69=0),"",$C69/$D69)</f>
        <v/>
      </c>
    </row>
    <row r="70">
      <c r="A70" s="16">
        <f>IF(Deals!$A67="","",Deals!$A67)</f>
        <v/>
      </c>
      <c r="B70" s="18">
        <f>IF($A70="","",Deals!$R67)</f>
        <v/>
      </c>
      <c r="C70" s="67">
        <f>IF($A70="","",SUMIFS(Actuals!$D$7:$D$206,Actuals!$E$7:$E$206,$A70,Actuals!$K$7:$K$206,"OK"))</f>
        <v/>
      </c>
      <c r="D70" s="67">
        <f>IF($A70="","",SUMIFS(Actuals!$I$7:$I$206,Actuals!$E$7:$E$206,$A70,Actuals!$K$7:$K$206,"OK"))</f>
        <v/>
      </c>
      <c r="E70" s="68">
        <f>IF($A70="","",$C70-$D70)</f>
        <v/>
      </c>
      <c r="F70" s="69">
        <f>IF(OR($A70="",$D70=0),"",$C70/$D70)</f>
        <v/>
      </c>
    </row>
    <row r="71">
      <c r="A71" s="16">
        <f>IF(Deals!$A68="","",Deals!$A68)</f>
        <v/>
      </c>
      <c r="B71" s="18">
        <f>IF($A71="","",Deals!$R68)</f>
        <v/>
      </c>
      <c r="C71" s="67">
        <f>IF($A71="","",SUMIFS(Actuals!$D$7:$D$206,Actuals!$E$7:$E$206,$A71,Actuals!$K$7:$K$206,"OK"))</f>
        <v/>
      </c>
      <c r="D71" s="67">
        <f>IF($A71="","",SUMIFS(Actuals!$I$7:$I$206,Actuals!$E$7:$E$206,$A71,Actuals!$K$7:$K$206,"OK"))</f>
        <v/>
      </c>
      <c r="E71" s="68">
        <f>IF($A71="","",$C71-$D71)</f>
        <v/>
      </c>
      <c r="F71" s="69">
        <f>IF(OR($A71="",$D71=0),"",$C71/$D71)</f>
        <v/>
      </c>
    </row>
    <row r="72">
      <c r="A72" s="16">
        <f>IF(Deals!$A69="","",Deals!$A69)</f>
        <v/>
      </c>
      <c r="B72" s="18">
        <f>IF($A72="","",Deals!$R69)</f>
        <v/>
      </c>
      <c r="C72" s="67">
        <f>IF($A72="","",SUMIFS(Actuals!$D$7:$D$206,Actuals!$E$7:$E$206,$A72,Actuals!$K$7:$K$206,"OK"))</f>
        <v/>
      </c>
      <c r="D72" s="67">
        <f>IF($A72="","",SUMIFS(Actuals!$I$7:$I$206,Actuals!$E$7:$E$206,$A72,Actuals!$K$7:$K$206,"OK"))</f>
        <v/>
      </c>
      <c r="E72" s="68">
        <f>IF($A72="","",$C72-$D72)</f>
        <v/>
      </c>
      <c r="F72" s="69">
        <f>IF(OR($A72="",$D72=0),"",$C72/$D72)</f>
        <v/>
      </c>
    </row>
    <row r="73">
      <c r="A73" s="16">
        <f>IF(Deals!$A70="","",Deals!$A70)</f>
        <v/>
      </c>
      <c r="B73" s="18">
        <f>IF($A73="","",Deals!$R70)</f>
        <v/>
      </c>
      <c r="C73" s="67">
        <f>IF($A73="","",SUMIFS(Actuals!$D$7:$D$206,Actuals!$E$7:$E$206,$A73,Actuals!$K$7:$K$206,"OK"))</f>
        <v/>
      </c>
      <c r="D73" s="67">
        <f>IF($A73="","",SUMIFS(Actuals!$I$7:$I$206,Actuals!$E$7:$E$206,$A73,Actuals!$K$7:$K$206,"OK"))</f>
        <v/>
      </c>
      <c r="E73" s="68">
        <f>IF($A73="","",$C73-$D73)</f>
        <v/>
      </c>
      <c r="F73" s="69">
        <f>IF(OR($A73="",$D73=0),"",$C73/$D73)</f>
        <v/>
      </c>
    </row>
    <row r="74">
      <c r="A74" s="16">
        <f>IF(Deals!$A71="","",Deals!$A71)</f>
        <v/>
      </c>
      <c r="B74" s="18">
        <f>IF($A74="","",Deals!$R71)</f>
        <v/>
      </c>
      <c r="C74" s="67">
        <f>IF($A74="","",SUMIFS(Actuals!$D$7:$D$206,Actuals!$E$7:$E$206,$A74,Actuals!$K$7:$K$206,"OK"))</f>
        <v/>
      </c>
      <c r="D74" s="67">
        <f>IF($A74="","",SUMIFS(Actuals!$I$7:$I$206,Actuals!$E$7:$E$206,$A74,Actuals!$K$7:$K$206,"OK"))</f>
        <v/>
      </c>
      <c r="E74" s="68">
        <f>IF($A74="","",$C74-$D74)</f>
        <v/>
      </c>
      <c r="F74" s="69">
        <f>IF(OR($A74="",$D74=0),"",$C74/$D74)</f>
        <v/>
      </c>
    </row>
    <row r="75">
      <c r="A75" s="16">
        <f>IF(Deals!$A72="","",Deals!$A72)</f>
        <v/>
      </c>
      <c r="B75" s="18">
        <f>IF($A75="","",Deals!$R72)</f>
        <v/>
      </c>
      <c r="C75" s="67">
        <f>IF($A75="","",SUMIFS(Actuals!$D$7:$D$206,Actuals!$E$7:$E$206,$A75,Actuals!$K$7:$K$206,"OK"))</f>
        <v/>
      </c>
      <c r="D75" s="67">
        <f>IF($A75="","",SUMIFS(Actuals!$I$7:$I$206,Actuals!$E$7:$E$206,$A75,Actuals!$K$7:$K$206,"OK"))</f>
        <v/>
      </c>
      <c r="E75" s="68">
        <f>IF($A75="","",$C75-$D75)</f>
        <v/>
      </c>
      <c r="F75" s="69">
        <f>IF(OR($A75="",$D75=0),"",$C75/$D75)</f>
        <v/>
      </c>
    </row>
    <row r="76">
      <c r="A76" s="16">
        <f>IF(Deals!$A73="","",Deals!$A73)</f>
        <v/>
      </c>
      <c r="B76" s="18">
        <f>IF($A76="","",Deals!$R73)</f>
        <v/>
      </c>
      <c r="C76" s="67">
        <f>IF($A76="","",SUMIFS(Actuals!$D$7:$D$206,Actuals!$E$7:$E$206,$A76,Actuals!$K$7:$K$206,"OK"))</f>
        <v/>
      </c>
      <c r="D76" s="67">
        <f>IF($A76="","",SUMIFS(Actuals!$I$7:$I$206,Actuals!$E$7:$E$206,$A76,Actuals!$K$7:$K$206,"OK"))</f>
        <v/>
      </c>
      <c r="E76" s="68">
        <f>IF($A76="","",$C76-$D76)</f>
        <v/>
      </c>
      <c r="F76" s="69">
        <f>IF(OR($A76="",$D76=0),"",$C76/$D76)</f>
        <v/>
      </c>
    </row>
    <row r="77">
      <c r="A77" s="16">
        <f>IF(Deals!$A74="","",Deals!$A74)</f>
        <v/>
      </c>
      <c r="B77" s="18">
        <f>IF($A77="","",Deals!$R74)</f>
        <v/>
      </c>
      <c r="C77" s="67">
        <f>IF($A77="","",SUMIFS(Actuals!$D$7:$D$206,Actuals!$E$7:$E$206,$A77,Actuals!$K$7:$K$206,"OK"))</f>
        <v/>
      </c>
      <c r="D77" s="67">
        <f>IF($A77="","",SUMIFS(Actuals!$I$7:$I$206,Actuals!$E$7:$E$206,$A77,Actuals!$K$7:$K$206,"OK"))</f>
        <v/>
      </c>
      <c r="E77" s="68">
        <f>IF($A77="","",$C77-$D77)</f>
        <v/>
      </c>
      <c r="F77" s="69">
        <f>IF(OR($A77="",$D77=0),"",$C77/$D77)</f>
        <v/>
      </c>
    </row>
    <row r="78">
      <c r="A78" s="16">
        <f>IF(Deals!$A75="","",Deals!$A75)</f>
        <v/>
      </c>
      <c r="B78" s="18">
        <f>IF($A78="","",Deals!$R75)</f>
        <v/>
      </c>
      <c r="C78" s="67">
        <f>IF($A78="","",SUMIFS(Actuals!$D$7:$D$206,Actuals!$E$7:$E$206,$A78,Actuals!$K$7:$K$206,"OK"))</f>
        <v/>
      </c>
      <c r="D78" s="67">
        <f>IF($A78="","",SUMIFS(Actuals!$I$7:$I$206,Actuals!$E$7:$E$206,$A78,Actuals!$K$7:$K$206,"OK"))</f>
        <v/>
      </c>
      <c r="E78" s="68">
        <f>IF($A78="","",$C78-$D78)</f>
        <v/>
      </c>
      <c r="F78" s="69">
        <f>IF(OR($A78="",$D78=0),"",$C78/$D78)</f>
        <v/>
      </c>
    </row>
    <row r="79">
      <c r="A79" s="16">
        <f>IF(Deals!$A76="","",Deals!$A76)</f>
        <v/>
      </c>
      <c r="B79" s="18">
        <f>IF($A79="","",Deals!$R76)</f>
        <v/>
      </c>
      <c r="C79" s="67">
        <f>IF($A79="","",SUMIFS(Actuals!$D$7:$D$206,Actuals!$E$7:$E$206,$A79,Actuals!$K$7:$K$206,"OK"))</f>
        <v/>
      </c>
      <c r="D79" s="67">
        <f>IF($A79="","",SUMIFS(Actuals!$I$7:$I$206,Actuals!$E$7:$E$206,$A79,Actuals!$K$7:$K$206,"OK"))</f>
        <v/>
      </c>
      <c r="E79" s="68">
        <f>IF($A79="","",$C79-$D79)</f>
        <v/>
      </c>
      <c r="F79" s="69">
        <f>IF(OR($A79="",$D79=0),"",$C79/$D79)</f>
        <v/>
      </c>
    </row>
    <row r="80">
      <c r="A80" s="16">
        <f>IF(Deals!$A77="","",Deals!$A77)</f>
        <v/>
      </c>
      <c r="B80" s="18">
        <f>IF($A80="","",Deals!$R77)</f>
        <v/>
      </c>
      <c r="C80" s="67">
        <f>IF($A80="","",SUMIFS(Actuals!$D$7:$D$206,Actuals!$E$7:$E$206,$A80,Actuals!$K$7:$K$206,"OK"))</f>
        <v/>
      </c>
      <c r="D80" s="67">
        <f>IF($A80="","",SUMIFS(Actuals!$I$7:$I$206,Actuals!$E$7:$E$206,$A80,Actuals!$K$7:$K$206,"OK"))</f>
        <v/>
      </c>
      <c r="E80" s="68">
        <f>IF($A80="","",$C80-$D80)</f>
        <v/>
      </c>
      <c r="F80" s="69">
        <f>IF(OR($A80="",$D80=0),"",$C80/$D80)</f>
        <v/>
      </c>
    </row>
    <row r="81">
      <c r="A81" s="16">
        <f>IF(Deals!$A78="","",Deals!$A78)</f>
        <v/>
      </c>
      <c r="B81" s="18">
        <f>IF($A81="","",Deals!$R78)</f>
        <v/>
      </c>
      <c r="C81" s="67">
        <f>IF($A81="","",SUMIFS(Actuals!$D$7:$D$206,Actuals!$E$7:$E$206,$A81,Actuals!$K$7:$K$206,"OK"))</f>
        <v/>
      </c>
      <c r="D81" s="67">
        <f>IF($A81="","",SUMIFS(Actuals!$I$7:$I$206,Actuals!$E$7:$E$206,$A81,Actuals!$K$7:$K$206,"OK"))</f>
        <v/>
      </c>
      <c r="E81" s="68">
        <f>IF($A81="","",$C81-$D81)</f>
        <v/>
      </c>
      <c r="F81" s="69">
        <f>IF(OR($A81="",$D81=0),"",$C81/$D81)</f>
        <v/>
      </c>
    </row>
    <row r="82">
      <c r="A82" s="16">
        <f>IF(Deals!$A79="","",Deals!$A79)</f>
        <v/>
      </c>
      <c r="B82" s="18">
        <f>IF($A82="","",Deals!$R79)</f>
        <v/>
      </c>
      <c r="C82" s="67">
        <f>IF($A82="","",SUMIFS(Actuals!$D$7:$D$206,Actuals!$E$7:$E$206,$A82,Actuals!$K$7:$K$206,"OK"))</f>
        <v/>
      </c>
      <c r="D82" s="67">
        <f>IF($A82="","",SUMIFS(Actuals!$I$7:$I$206,Actuals!$E$7:$E$206,$A82,Actuals!$K$7:$K$206,"OK"))</f>
        <v/>
      </c>
      <c r="E82" s="68">
        <f>IF($A82="","",$C82-$D82)</f>
        <v/>
      </c>
      <c r="F82" s="69">
        <f>IF(OR($A82="",$D82=0),"",$C82/$D82)</f>
        <v/>
      </c>
    </row>
    <row r="83">
      <c r="A83" s="16">
        <f>IF(Deals!$A80="","",Deals!$A80)</f>
        <v/>
      </c>
      <c r="B83" s="18">
        <f>IF($A83="","",Deals!$R80)</f>
        <v/>
      </c>
      <c r="C83" s="67">
        <f>IF($A83="","",SUMIFS(Actuals!$D$7:$D$206,Actuals!$E$7:$E$206,$A83,Actuals!$K$7:$K$206,"OK"))</f>
        <v/>
      </c>
      <c r="D83" s="67">
        <f>IF($A83="","",SUMIFS(Actuals!$I$7:$I$206,Actuals!$E$7:$E$206,$A83,Actuals!$K$7:$K$206,"OK"))</f>
        <v/>
      </c>
      <c r="E83" s="68">
        <f>IF($A83="","",$C83-$D83)</f>
        <v/>
      </c>
      <c r="F83" s="69">
        <f>IF(OR($A83="",$D83=0),"",$C83/$D83)</f>
        <v/>
      </c>
    </row>
    <row r="84">
      <c r="A84" s="16">
        <f>IF(Deals!$A81="","",Deals!$A81)</f>
        <v/>
      </c>
      <c r="B84" s="18">
        <f>IF($A84="","",Deals!$R81)</f>
        <v/>
      </c>
      <c r="C84" s="67">
        <f>IF($A84="","",SUMIFS(Actuals!$D$7:$D$206,Actuals!$E$7:$E$206,$A84,Actuals!$K$7:$K$206,"OK"))</f>
        <v/>
      </c>
      <c r="D84" s="67">
        <f>IF($A84="","",SUMIFS(Actuals!$I$7:$I$206,Actuals!$E$7:$E$206,$A84,Actuals!$K$7:$K$206,"OK"))</f>
        <v/>
      </c>
      <c r="E84" s="68">
        <f>IF($A84="","",$C84-$D84)</f>
        <v/>
      </c>
      <c r="F84" s="69">
        <f>IF(OR($A84="",$D84=0),"",$C84/$D84)</f>
        <v/>
      </c>
    </row>
    <row r="85">
      <c r="A85" s="16">
        <f>IF(Deals!$A82="","",Deals!$A82)</f>
        <v/>
      </c>
      <c r="B85" s="18">
        <f>IF($A85="","",Deals!$R82)</f>
        <v/>
      </c>
      <c r="C85" s="67">
        <f>IF($A85="","",SUMIFS(Actuals!$D$7:$D$206,Actuals!$E$7:$E$206,$A85,Actuals!$K$7:$K$206,"OK"))</f>
        <v/>
      </c>
      <c r="D85" s="67">
        <f>IF($A85="","",SUMIFS(Actuals!$I$7:$I$206,Actuals!$E$7:$E$206,$A85,Actuals!$K$7:$K$206,"OK"))</f>
        <v/>
      </c>
      <c r="E85" s="68">
        <f>IF($A85="","",$C85-$D85)</f>
        <v/>
      </c>
      <c r="F85" s="69">
        <f>IF(OR($A85="",$D85=0),"",$C85/$D85)</f>
        <v/>
      </c>
    </row>
    <row r="86">
      <c r="A86" s="16">
        <f>IF(Deals!$A83="","",Deals!$A83)</f>
        <v/>
      </c>
      <c r="B86" s="18">
        <f>IF($A86="","",Deals!$R83)</f>
        <v/>
      </c>
      <c r="C86" s="67">
        <f>IF($A86="","",SUMIFS(Actuals!$D$7:$D$206,Actuals!$E$7:$E$206,$A86,Actuals!$K$7:$K$206,"OK"))</f>
        <v/>
      </c>
      <c r="D86" s="67">
        <f>IF($A86="","",SUMIFS(Actuals!$I$7:$I$206,Actuals!$E$7:$E$206,$A86,Actuals!$K$7:$K$206,"OK"))</f>
        <v/>
      </c>
      <c r="E86" s="68">
        <f>IF($A86="","",$C86-$D86)</f>
        <v/>
      </c>
      <c r="F86" s="69">
        <f>IF(OR($A86="",$D86=0),"",$C86/$D86)</f>
        <v/>
      </c>
    </row>
    <row r="87">
      <c r="A87" s="16">
        <f>IF(Deals!$A84="","",Deals!$A84)</f>
        <v/>
      </c>
      <c r="B87" s="18">
        <f>IF($A87="","",Deals!$R84)</f>
        <v/>
      </c>
      <c r="C87" s="67">
        <f>IF($A87="","",SUMIFS(Actuals!$D$7:$D$206,Actuals!$E$7:$E$206,$A87,Actuals!$K$7:$K$206,"OK"))</f>
        <v/>
      </c>
      <c r="D87" s="67">
        <f>IF($A87="","",SUMIFS(Actuals!$I$7:$I$206,Actuals!$E$7:$E$206,$A87,Actuals!$K$7:$K$206,"OK"))</f>
        <v/>
      </c>
      <c r="E87" s="68">
        <f>IF($A87="","",$C87-$D87)</f>
        <v/>
      </c>
      <c r="F87" s="69">
        <f>IF(OR($A87="",$D87=0),"",$C87/$D87)</f>
        <v/>
      </c>
    </row>
    <row r="88">
      <c r="A88" s="16">
        <f>IF(Deals!$A85="","",Deals!$A85)</f>
        <v/>
      </c>
      <c r="B88" s="18">
        <f>IF($A88="","",Deals!$R85)</f>
        <v/>
      </c>
      <c r="C88" s="67">
        <f>IF($A88="","",SUMIFS(Actuals!$D$7:$D$206,Actuals!$E$7:$E$206,$A88,Actuals!$K$7:$K$206,"OK"))</f>
        <v/>
      </c>
      <c r="D88" s="67">
        <f>IF($A88="","",SUMIFS(Actuals!$I$7:$I$206,Actuals!$E$7:$E$206,$A88,Actuals!$K$7:$K$206,"OK"))</f>
        <v/>
      </c>
      <c r="E88" s="68">
        <f>IF($A88="","",$C88-$D88)</f>
        <v/>
      </c>
      <c r="F88" s="69">
        <f>IF(OR($A88="",$D88=0),"",$C88/$D88)</f>
        <v/>
      </c>
    </row>
    <row r="89">
      <c r="A89" s="16">
        <f>IF(Deals!$A86="","",Deals!$A86)</f>
        <v/>
      </c>
      <c r="B89" s="18">
        <f>IF($A89="","",Deals!$R86)</f>
        <v/>
      </c>
      <c r="C89" s="67">
        <f>IF($A89="","",SUMIFS(Actuals!$D$7:$D$206,Actuals!$E$7:$E$206,$A89,Actuals!$K$7:$K$206,"OK"))</f>
        <v/>
      </c>
      <c r="D89" s="67">
        <f>IF($A89="","",SUMIFS(Actuals!$I$7:$I$206,Actuals!$E$7:$E$206,$A89,Actuals!$K$7:$K$206,"OK"))</f>
        <v/>
      </c>
      <c r="E89" s="68">
        <f>IF($A89="","",$C89-$D89)</f>
        <v/>
      </c>
      <c r="F89" s="69">
        <f>IF(OR($A89="",$D89=0),"",$C89/$D89)</f>
        <v/>
      </c>
    </row>
    <row r="90">
      <c r="A90" s="16">
        <f>IF(Deals!$A87="","",Deals!$A87)</f>
        <v/>
      </c>
      <c r="B90" s="18">
        <f>IF($A90="","",Deals!$R87)</f>
        <v/>
      </c>
      <c r="C90" s="67">
        <f>IF($A90="","",SUMIFS(Actuals!$D$7:$D$206,Actuals!$E$7:$E$206,$A90,Actuals!$K$7:$K$206,"OK"))</f>
        <v/>
      </c>
      <c r="D90" s="67">
        <f>IF($A90="","",SUMIFS(Actuals!$I$7:$I$206,Actuals!$E$7:$E$206,$A90,Actuals!$K$7:$K$206,"OK"))</f>
        <v/>
      </c>
      <c r="E90" s="68">
        <f>IF($A90="","",$C90-$D90)</f>
        <v/>
      </c>
      <c r="F90" s="69">
        <f>IF(OR($A90="",$D90=0),"",$C90/$D90)</f>
        <v/>
      </c>
    </row>
    <row r="91">
      <c r="A91" s="16">
        <f>IF(Deals!$A88="","",Deals!$A88)</f>
        <v/>
      </c>
      <c r="B91" s="18">
        <f>IF($A91="","",Deals!$R88)</f>
        <v/>
      </c>
      <c r="C91" s="67">
        <f>IF($A91="","",SUMIFS(Actuals!$D$7:$D$206,Actuals!$E$7:$E$206,$A91,Actuals!$K$7:$K$206,"OK"))</f>
        <v/>
      </c>
      <c r="D91" s="67">
        <f>IF($A91="","",SUMIFS(Actuals!$I$7:$I$206,Actuals!$E$7:$E$206,$A91,Actuals!$K$7:$K$206,"OK"))</f>
        <v/>
      </c>
      <c r="E91" s="68">
        <f>IF($A91="","",$C91-$D91)</f>
        <v/>
      </c>
      <c r="F91" s="69">
        <f>IF(OR($A91="",$D91=0),"",$C91/$D91)</f>
        <v/>
      </c>
    </row>
    <row r="92">
      <c r="A92" s="16">
        <f>IF(Deals!$A89="","",Deals!$A89)</f>
        <v/>
      </c>
      <c r="B92" s="18">
        <f>IF($A92="","",Deals!$R89)</f>
        <v/>
      </c>
      <c r="C92" s="67">
        <f>IF($A92="","",SUMIFS(Actuals!$D$7:$D$206,Actuals!$E$7:$E$206,$A92,Actuals!$K$7:$K$206,"OK"))</f>
        <v/>
      </c>
      <c r="D92" s="67">
        <f>IF($A92="","",SUMIFS(Actuals!$I$7:$I$206,Actuals!$E$7:$E$206,$A92,Actuals!$K$7:$K$206,"OK"))</f>
        <v/>
      </c>
      <c r="E92" s="68">
        <f>IF($A92="","",$C92-$D92)</f>
        <v/>
      </c>
      <c r="F92" s="69">
        <f>IF(OR($A92="",$D92=0),"",$C92/$D92)</f>
        <v/>
      </c>
    </row>
    <row r="93">
      <c r="A93" s="16">
        <f>IF(Deals!$A90="","",Deals!$A90)</f>
        <v/>
      </c>
      <c r="B93" s="18">
        <f>IF($A93="","",Deals!$R90)</f>
        <v/>
      </c>
      <c r="C93" s="67">
        <f>IF($A93="","",SUMIFS(Actuals!$D$7:$D$206,Actuals!$E$7:$E$206,$A93,Actuals!$K$7:$K$206,"OK"))</f>
        <v/>
      </c>
      <c r="D93" s="67">
        <f>IF($A93="","",SUMIFS(Actuals!$I$7:$I$206,Actuals!$E$7:$E$206,$A93,Actuals!$K$7:$K$206,"OK"))</f>
        <v/>
      </c>
      <c r="E93" s="68">
        <f>IF($A93="","",$C93-$D93)</f>
        <v/>
      </c>
      <c r="F93" s="69">
        <f>IF(OR($A93="",$D93=0),"",$C93/$D93)</f>
        <v/>
      </c>
    </row>
    <row r="94">
      <c r="A94" s="16">
        <f>IF(Deals!$A91="","",Deals!$A91)</f>
        <v/>
      </c>
      <c r="B94" s="18">
        <f>IF($A94="","",Deals!$R91)</f>
        <v/>
      </c>
      <c r="C94" s="67">
        <f>IF($A94="","",SUMIFS(Actuals!$D$7:$D$206,Actuals!$E$7:$E$206,$A94,Actuals!$K$7:$K$206,"OK"))</f>
        <v/>
      </c>
      <c r="D94" s="67">
        <f>IF($A94="","",SUMIFS(Actuals!$I$7:$I$206,Actuals!$E$7:$E$206,$A94,Actuals!$K$7:$K$206,"OK"))</f>
        <v/>
      </c>
      <c r="E94" s="68">
        <f>IF($A94="","",$C94-$D94)</f>
        <v/>
      </c>
      <c r="F94" s="69">
        <f>IF(OR($A94="",$D94=0),"",$C94/$D94)</f>
        <v/>
      </c>
    </row>
    <row r="95">
      <c r="A95" s="16">
        <f>IF(Deals!$A92="","",Deals!$A92)</f>
        <v/>
      </c>
      <c r="B95" s="18">
        <f>IF($A95="","",Deals!$R92)</f>
        <v/>
      </c>
      <c r="C95" s="67">
        <f>IF($A95="","",SUMIFS(Actuals!$D$7:$D$206,Actuals!$E$7:$E$206,$A95,Actuals!$K$7:$K$206,"OK"))</f>
        <v/>
      </c>
      <c r="D95" s="67">
        <f>IF($A95="","",SUMIFS(Actuals!$I$7:$I$206,Actuals!$E$7:$E$206,$A95,Actuals!$K$7:$K$206,"OK"))</f>
        <v/>
      </c>
      <c r="E95" s="68">
        <f>IF($A95="","",$C95-$D95)</f>
        <v/>
      </c>
      <c r="F95" s="69">
        <f>IF(OR($A95="",$D95=0),"",$C95/$D95)</f>
        <v/>
      </c>
    </row>
    <row r="96">
      <c r="A96" s="16">
        <f>IF(Deals!$A93="","",Deals!$A93)</f>
        <v/>
      </c>
      <c r="B96" s="18">
        <f>IF($A96="","",Deals!$R93)</f>
        <v/>
      </c>
      <c r="C96" s="67">
        <f>IF($A96="","",SUMIFS(Actuals!$D$7:$D$206,Actuals!$E$7:$E$206,$A96,Actuals!$K$7:$K$206,"OK"))</f>
        <v/>
      </c>
      <c r="D96" s="67">
        <f>IF($A96="","",SUMIFS(Actuals!$I$7:$I$206,Actuals!$E$7:$E$206,$A96,Actuals!$K$7:$K$206,"OK"))</f>
        <v/>
      </c>
      <c r="E96" s="68">
        <f>IF($A96="","",$C96-$D96)</f>
        <v/>
      </c>
      <c r="F96" s="69">
        <f>IF(OR($A96="",$D96=0),"",$C96/$D96)</f>
        <v/>
      </c>
    </row>
    <row r="97">
      <c r="A97" s="16">
        <f>IF(Deals!$A94="","",Deals!$A94)</f>
        <v/>
      </c>
      <c r="B97" s="18">
        <f>IF($A97="","",Deals!$R94)</f>
        <v/>
      </c>
      <c r="C97" s="67">
        <f>IF($A97="","",SUMIFS(Actuals!$D$7:$D$206,Actuals!$E$7:$E$206,$A97,Actuals!$K$7:$K$206,"OK"))</f>
        <v/>
      </c>
      <c r="D97" s="67">
        <f>IF($A97="","",SUMIFS(Actuals!$I$7:$I$206,Actuals!$E$7:$E$206,$A97,Actuals!$K$7:$K$206,"OK"))</f>
        <v/>
      </c>
      <c r="E97" s="68">
        <f>IF($A97="","",$C97-$D97)</f>
        <v/>
      </c>
      <c r="F97" s="69">
        <f>IF(OR($A97="",$D97=0),"",$C97/$D97)</f>
        <v/>
      </c>
    </row>
    <row r="98">
      <c r="A98" s="16">
        <f>IF(Deals!$A95="","",Deals!$A95)</f>
        <v/>
      </c>
      <c r="B98" s="18">
        <f>IF($A98="","",Deals!$R95)</f>
        <v/>
      </c>
      <c r="C98" s="67">
        <f>IF($A98="","",SUMIFS(Actuals!$D$7:$D$206,Actuals!$E$7:$E$206,$A98,Actuals!$K$7:$K$206,"OK"))</f>
        <v/>
      </c>
      <c r="D98" s="67">
        <f>IF($A98="","",SUMIFS(Actuals!$I$7:$I$206,Actuals!$E$7:$E$206,$A98,Actuals!$K$7:$K$206,"OK"))</f>
        <v/>
      </c>
      <c r="E98" s="68">
        <f>IF($A98="","",$C98-$D98)</f>
        <v/>
      </c>
      <c r="F98" s="69">
        <f>IF(OR($A98="",$D98=0),"",$C98/$D98)</f>
        <v/>
      </c>
    </row>
    <row r="99">
      <c r="A99" s="16">
        <f>IF(Deals!$A96="","",Deals!$A96)</f>
        <v/>
      </c>
      <c r="B99" s="18">
        <f>IF($A99="","",Deals!$R96)</f>
        <v/>
      </c>
      <c r="C99" s="67">
        <f>IF($A99="","",SUMIFS(Actuals!$D$7:$D$206,Actuals!$E$7:$E$206,$A99,Actuals!$K$7:$K$206,"OK"))</f>
        <v/>
      </c>
      <c r="D99" s="67">
        <f>IF($A99="","",SUMIFS(Actuals!$I$7:$I$206,Actuals!$E$7:$E$206,$A99,Actuals!$K$7:$K$206,"OK"))</f>
        <v/>
      </c>
      <c r="E99" s="68">
        <f>IF($A99="","",$C99-$D99)</f>
        <v/>
      </c>
      <c r="F99" s="69">
        <f>IF(OR($A99="",$D99=0),"",$C99/$D99)</f>
        <v/>
      </c>
    </row>
    <row r="100">
      <c r="A100" s="16">
        <f>IF(Deals!$A97="","",Deals!$A97)</f>
        <v/>
      </c>
      <c r="B100" s="18">
        <f>IF($A100="","",Deals!$R97)</f>
        <v/>
      </c>
      <c r="C100" s="67">
        <f>IF($A100="","",SUMIFS(Actuals!$D$7:$D$206,Actuals!$E$7:$E$206,$A100,Actuals!$K$7:$K$206,"OK"))</f>
        <v/>
      </c>
      <c r="D100" s="67">
        <f>IF($A100="","",SUMIFS(Actuals!$I$7:$I$206,Actuals!$E$7:$E$206,$A100,Actuals!$K$7:$K$206,"OK"))</f>
        <v/>
      </c>
      <c r="E100" s="68">
        <f>IF($A100="","",$C100-$D100)</f>
        <v/>
      </c>
      <c r="F100" s="69">
        <f>IF(OR($A100="",$D100=0),"",$C100/$D100)</f>
        <v/>
      </c>
    </row>
    <row r="101">
      <c r="A101" s="16">
        <f>IF(Deals!$A98="","",Deals!$A98)</f>
        <v/>
      </c>
      <c r="B101" s="18">
        <f>IF($A101="","",Deals!$R98)</f>
        <v/>
      </c>
      <c r="C101" s="67">
        <f>IF($A101="","",SUMIFS(Actuals!$D$7:$D$206,Actuals!$E$7:$E$206,$A101,Actuals!$K$7:$K$206,"OK"))</f>
        <v/>
      </c>
      <c r="D101" s="67">
        <f>IF($A101="","",SUMIFS(Actuals!$I$7:$I$206,Actuals!$E$7:$E$206,$A101,Actuals!$K$7:$K$206,"OK"))</f>
        <v/>
      </c>
      <c r="E101" s="68">
        <f>IF($A101="","",$C101-$D101)</f>
        <v/>
      </c>
      <c r="F101" s="69">
        <f>IF(OR($A101="",$D101=0),"",$C101/$D101)</f>
        <v/>
      </c>
    </row>
    <row r="102">
      <c r="A102" s="16">
        <f>IF(Deals!$A99="","",Deals!$A99)</f>
        <v/>
      </c>
      <c r="B102" s="18">
        <f>IF($A102="","",Deals!$R99)</f>
        <v/>
      </c>
      <c r="C102" s="67">
        <f>IF($A102="","",SUMIFS(Actuals!$D$7:$D$206,Actuals!$E$7:$E$206,$A102,Actuals!$K$7:$K$206,"OK"))</f>
        <v/>
      </c>
      <c r="D102" s="67">
        <f>IF($A102="","",SUMIFS(Actuals!$I$7:$I$206,Actuals!$E$7:$E$206,$A102,Actuals!$K$7:$K$206,"OK"))</f>
        <v/>
      </c>
      <c r="E102" s="68">
        <f>IF($A102="","",$C102-$D102)</f>
        <v/>
      </c>
      <c r="F102" s="69">
        <f>IF(OR($A102="",$D102=0),"",$C102/$D102)</f>
        <v/>
      </c>
    </row>
    <row r="103">
      <c r="A103" s="16">
        <f>IF(Deals!$A100="","",Deals!$A100)</f>
        <v/>
      </c>
      <c r="B103" s="18">
        <f>IF($A103="","",Deals!$R100)</f>
        <v/>
      </c>
      <c r="C103" s="67">
        <f>IF($A103="","",SUMIFS(Actuals!$D$7:$D$206,Actuals!$E$7:$E$206,$A103,Actuals!$K$7:$K$206,"OK"))</f>
        <v/>
      </c>
      <c r="D103" s="67">
        <f>IF($A103="","",SUMIFS(Actuals!$I$7:$I$206,Actuals!$E$7:$E$206,$A103,Actuals!$K$7:$K$206,"OK"))</f>
        <v/>
      </c>
      <c r="E103" s="68">
        <f>IF($A103="","",$C103-$D103)</f>
        <v/>
      </c>
      <c r="F103" s="69">
        <f>IF(OR($A103="",$D103=0),"",$C103/$D103)</f>
        <v/>
      </c>
    </row>
    <row r="104">
      <c r="A104" s="16">
        <f>IF(Deals!$A101="","",Deals!$A101)</f>
        <v/>
      </c>
      <c r="B104" s="18">
        <f>IF($A104="","",Deals!$R101)</f>
        <v/>
      </c>
      <c r="C104" s="67">
        <f>IF($A104="","",SUMIFS(Actuals!$D$7:$D$206,Actuals!$E$7:$E$206,$A104,Actuals!$K$7:$K$206,"OK"))</f>
        <v/>
      </c>
      <c r="D104" s="67">
        <f>IF($A104="","",SUMIFS(Actuals!$I$7:$I$206,Actuals!$E$7:$E$206,$A104,Actuals!$K$7:$K$206,"OK"))</f>
        <v/>
      </c>
      <c r="E104" s="68">
        <f>IF($A104="","",$C104-$D104)</f>
        <v/>
      </c>
      <c r="F104" s="69">
        <f>IF(OR($A104="",$D104=0),"",$C104/$D104)</f>
        <v/>
      </c>
    </row>
    <row r="105">
      <c r="A105" s="16">
        <f>IF(Deals!$A102="","",Deals!$A102)</f>
        <v/>
      </c>
      <c r="B105" s="18">
        <f>IF($A105="","",Deals!$R102)</f>
        <v/>
      </c>
      <c r="C105" s="67">
        <f>IF($A105="","",SUMIFS(Actuals!$D$7:$D$206,Actuals!$E$7:$E$206,$A105,Actuals!$K$7:$K$206,"OK"))</f>
        <v/>
      </c>
      <c r="D105" s="67">
        <f>IF($A105="","",SUMIFS(Actuals!$I$7:$I$206,Actuals!$E$7:$E$206,$A105,Actuals!$K$7:$K$206,"OK"))</f>
        <v/>
      </c>
      <c r="E105" s="68">
        <f>IF($A105="","",$C105-$D105)</f>
        <v/>
      </c>
      <c r="F105" s="69">
        <f>IF(OR($A105="",$D105=0),"",$C105/$D105)</f>
        <v/>
      </c>
    </row>
    <row r="106">
      <c r="A106" s="16">
        <f>IF(Deals!$A103="","",Deals!$A103)</f>
        <v/>
      </c>
      <c r="B106" s="18">
        <f>IF($A106="","",Deals!$R103)</f>
        <v/>
      </c>
      <c r="C106" s="67">
        <f>IF($A106="","",SUMIFS(Actuals!$D$7:$D$206,Actuals!$E$7:$E$206,$A106,Actuals!$K$7:$K$206,"OK"))</f>
        <v/>
      </c>
      <c r="D106" s="67">
        <f>IF($A106="","",SUMIFS(Actuals!$I$7:$I$206,Actuals!$E$7:$E$206,$A106,Actuals!$K$7:$K$206,"OK"))</f>
        <v/>
      </c>
      <c r="E106" s="68">
        <f>IF($A106="","",$C106-$D106)</f>
        <v/>
      </c>
      <c r="F106" s="69">
        <f>IF(OR($A106="",$D106=0),"",$C106/$D106)</f>
        <v/>
      </c>
    </row>
    <row r="107">
      <c r="A107" s="16">
        <f>IF(Deals!$A104="","",Deals!$A104)</f>
        <v/>
      </c>
      <c r="B107" s="18">
        <f>IF($A107="","",Deals!$R104)</f>
        <v/>
      </c>
      <c r="C107" s="67">
        <f>IF($A107="","",SUMIFS(Actuals!$D$7:$D$206,Actuals!$E$7:$E$206,$A107,Actuals!$K$7:$K$206,"OK"))</f>
        <v/>
      </c>
      <c r="D107" s="67">
        <f>IF($A107="","",SUMIFS(Actuals!$I$7:$I$206,Actuals!$E$7:$E$206,$A107,Actuals!$K$7:$K$206,"OK"))</f>
        <v/>
      </c>
      <c r="E107" s="68">
        <f>IF($A107="","",$C107-$D107)</f>
        <v/>
      </c>
      <c r="F107" s="69">
        <f>IF(OR($A107="",$D107=0),"",$C107/$D107)</f>
        <v/>
      </c>
    </row>
    <row r="108">
      <c r="A108" s="16">
        <f>IF(Deals!$A105="","",Deals!$A105)</f>
        <v/>
      </c>
      <c r="B108" s="18">
        <f>IF($A108="","",Deals!$R105)</f>
        <v/>
      </c>
      <c r="C108" s="67">
        <f>IF($A108="","",SUMIFS(Actuals!$D$7:$D$206,Actuals!$E$7:$E$206,$A108,Actuals!$K$7:$K$206,"OK"))</f>
        <v/>
      </c>
      <c r="D108" s="67">
        <f>IF($A108="","",SUMIFS(Actuals!$I$7:$I$206,Actuals!$E$7:$E$206,$A108,Actuals!$K$7:$K$206,"OK"))</f>
        <v/>
      </c>
      <c r="E108" s="68">
        <f>IF($A108="","",$C108-$D108)</f>
        <v/>
      </c>
      <c r="F108" s="69">
        <f>IF(OR($A108="",$D108=0),"",$C108/$D108)</f>
        <v/>
      </c>
    </row>
    <row r="109">
      <c r="A109" s="16">
        <f>IF(Deals!$A106="","",Deals!$A106)</f>
        <v/>
      </c>
      <c r="B109" s="18">
        <f>IF($A109="","",Deals!$R106)</f>
        <v/>
      </c>
      <c r="C109" s="67">
        <f>IF($A109="","",SUMIFS(Actuals!$D$7:$D$206,Actuals!$E$7:$E$206,$A109,Actuals!$K$7:$K$206,"OK"))</f>
        <v/>
      </c>
      <c r="D109" s="67">
        <f>IF($A109="","",SUMIFS(Actuals!$I$7:$I$206,Actuals!$E$7:$E$206,$A109,Actuals!$K$7:$K$206,"OK"))</f>
        <v/>
      </c>
      <c r="E109" s="68">
        <f>IF($A109="","",$C109-$D109)</f>
        <v/>
      </c>
      <c r="F109" s="69">
        <f>IF(OR($A109="",$D109=0),"",$C109/$D109)</f>
        <v/>
      </c>
    </row>
    <row r="110">
      <c r="A110" s="16">
        <f>IF(Deals!$A107="","",Deals!$A107)</f>
        <v/>
      </c>
      <c r="B110" s="18">
        <f>IF($A110="","",Deals!$R107)</f>
        <v/>
      </c>
      <c r="C110" s="67">
        <f>IF($A110="","",SUMIFS(Actuals!$D$7:$D$206,Actuals!$E$7:$E$206,$A110,Actuals!$K$7:$K$206,"OK"))</f>
        <v/>
      </c>
      <c r="D110" s="67">
        <f>IF($A110="","",SUMIFS(Actuals!$I$7:$I$206,Actuals!$E$7:$E$206,$A110,Actuals!$K$7:$K$206,"OK"))</f>
        <v/>
      </c>
      <c r="E110" s="68">
        <f>IF($A110="","",$C110-$D110)</f>
        <v/>
      </c>
      <c r="F110" s="69">
        <f>IF(OR($A110="",$D110=0),"",$C110/$D110)</f>
        <v/>
      </c>
    </row>
    <row r="111">
      <c r="A111" s="16">
        <f>IF(Deals!$A108="","",Deals!$A108)</f>
        <v/>
      </c>
      <c r="B111" s="18">
        <f>IF($A111="","",Deals!$R108)</f>
        <v/>
      </c>
      <c r="C111" s="67">
        <f>IF($A111="","",SUMIFS(Actuals!$D$7:$D$206,Actuals!$E$7:$E$206,$A111,Actuals!$K$7:$K$206,"OK"))</f>
        <v/>
      </c>
      <c r="D111" s="67">
        <f>IF($A111="","",SUMIFS(Actuals!$I$7:$I$206,Actuals!$E$7:$E$206,$A111,Actuals!$K$7:$K$206,"OK"))</f>
        <v/>
      </c>
      <c r="E111" s="68">
        <f>IF($A111="","",$C111-$D111)</f>
        <v/>
      </c>
      <c r="F111" s="69">
        <f>IF(OR($A111="",$D111=0),"",$C111/$D111)</f>
        <v/>
      </c>
    </row>
    <row r="112">
      <c r="A112" s="16">
        <f>IF(Deals!$A109="","",Deals!$A109)</f>
        <v/>
      </c>
      <c r="B112" s="18">
        <f>IF($A112="","",Deals!$R109)</f>
        <v/>
      </c>
      <c r="C112" s="67">
        <f>IF($A112="","",SUMIFS(Actuals!$D$7:$D$206,Actuals!$E$7:$E$206,$A112,Actuals!$K$7:$K$206,"OK"))</f>
        <v/>
      </c>
      <c r="D112" s="67">
        <f>IF($A112="","",SUMIFS(Actuals!$I$7:$I$206,Actuals!$E$7:$E$206,$A112,Actuals!$K$7:$K$206,"OK"))</f>
        <v/>
      </c>
      <c r="E112" s="68">
        <f>IF($A112="","",$C112-$D112)</f>
        <v/>
      </c>
      <c r="F112" s="69">
        <f>IF(OR($A112="",$D112=0),"",$C112/$D112)</f>
        <v/>
      </c>
    </row>
    <row r="113">
      <c r="A113" s="16">
        <f>IF(Deals!$A110="","",Deals!$A110)</f>
        <v/>
      </c>
      <c r="B113" s="18">
        <f>IF($A113="","",Deals!$R110)</f>
        <v/>
      </c>
      <c r="C113" s="67">
        <f>IF($A113="","",SUMIFS(Actuals!$D$7:$D$206,Actuals!$E$7:$E$206,$A113,Actuals!$K$7:$K$206,"OK"))</f>
        <v/>
      </c>
      <c r="D113" s="67">
        <f>IF($A113="","",SUMIFS(Actuals!$I$7:$I$206,Actuals!$E$7:$E$206,$A113,Actuals!$K$7:$K$206,"OK"))</f>
        <v/>
      </c>
      <c r="E113" s="68">
        <f>IF($A113="","",$C113-$D113)</f>
        <v/>
      </c>
      <c r="F113" s="69">
        <f>IF(OR($A113="",$D113=0),"",$C113/$D113)</f>
        <v/>
      </c>
    </row>
    <row r="114">
      <c r="A114" s="16">
        <f>IF(Deals!$A111="","",Deals!$A111)</f>
        <v/>
      </c>
      <c r="B114" s="18">
        <f>IF($A114="","",Deals!$R111)</f>
        <v/>
      </c>
      <c r="C114" s="67">
        <f>IF($A114="","",SUMIFS(Actuals!$D$7:$D$206,Actuals!$E$7:$E$206,$A114,Actuals!$K$7:$K$206,"OK"))</f>
        <v/>
      </c>
      <c r="D114" s="67">
        <f>IF($A114="","",SUMIFS(Actuals!$I$7:$I$206,Actuals!$E$7:$E$206,$A114,Actuals!$K$7:$K$206,"OK"))</f>
        <v/>
      </c>
      <c r="E114" s="68">
        <f>IF($A114="","",$C114-$D114)</f>
        <v/>
      </c>
      <c r="F114" s="69">
        <f>IF(OR($A114="",$D114=0),"",$C114/$D114)</f>
        <v/>
      </c>
    </row>
    <row r="115">
      <c r="A115" s="16">
        <f>IF(Deals!$A112="","",Deals!$A112)</f>
        <v/>
      </c>
      <c r="B115" s="18">
        <f>IF($A115="","",Deals!$R112)</f>
        <v/>
      </c>
      <c r="C115" s="67">
        <f>IF($A115="","",SUMIFS(Actuals!$D$7:$D$206,Actuals!$E$7:$E$206,$A115,Actuals!$K$7:$K$206,"OK"))</f>
        <v/>
      </c>
      <c r="D115" s="67">
        <f>IF($A115="","",SUMIFS(Actuals!$I$7:$I$206,Actuals!$E$7:$E$206,$A115,Actuals!$K$7:$K$206,"OK"))</f>
        <v/>
      </c>
      <c r="E115" s="68">
        <f>IF($A115="","",$C115-$D115)</f>
        <v/>
      </c>
      <c r="F115" s="69">
        <f>IF(OR($A115="",$D115=0),"",$C115/$D115)</f>
        <v/>
      </c>
    </row>
    <row r="116">
      <c r="A116" s="16">
        <f>IF(Deals!$A113="","",Deals!$A113)</f>
        <v/>
      </c>
      <c r="B116" s="18">
        <f>IF($A116="","",Deals!$R113)</f>
        <v/>
      </c>
      <c r="C116" s="67">
        <f>IF($A116="","",SUMIFS(Actuals!$D$7:$D$206,Actuals!$E$7:$E$206,$A116,Actuals!$K$7:$K$206,"OK"))</f>
        <v/>
      </c>
      <c r="D116" s="67">
        <f>IF($A116="","",SUMIFS(Actuals!$I$7:$I$206,Actuals!$E$7:$E$206,$A116,Actuals!$K$7:$K$206,"OK"))</f>
        <v/>
      </c>
      <c r="E116" s="68">
        <f>IF($A116="","",$C116-$D116)</f>
        <v/>
      </c>
      <c r="F116" s="69">
        <f>IF(OR($A116="",$D116=0),"",$C116/$D116)</f>
        <v/>
      </c>
    </row>
    <row r="117">
      <c r="A117" s="16">
        <f>IF(Deals!$A114="","",Deals!$A114)</f>
        <v/>
      </c>
      <c r="B117" s="18">
        <f>IF($A117="","",Deals!$R114)</f>
        <v/>
      </c>
      <c r="C117" s="67">
        <f>IF($A117="","",SUMIFS(Actuals!$D$7:$D$206,Actuals!$E$7:$E$206,$A117,Actuals!$K$7:$K$206,"OK"))</f>
        <v/>
      </c>
      <c r="D117" s="67">
        <f>IF($A117="","",SUMIFS(Actuals!$I$7:$I$206,Actuals!$E$7:$E$206,$A117,Actuals!$K$7:$K$206,"OK"))</f>
        <v/>
      </c>
      <c r="E117" s="68">
        <f>IF($A117="","",$C117-$D117)</f>
        <v/>
      </c>
      <c r="F117" s="69">
        <f>IF(OR($A117="",$D117=0),"",$C117/$D117)</f>
        <v/>
      </c>
    </row>
    <row r="118">
      <c r="A118" s="16">
        <f>IF(Deals!$A115="","",Deals!$A115)</f>
        <v/>
      </c>
      <c r="B118" s="18">
        <f>IF($A118="","",Deals!$R115)</f>
        <v/>
      </c>
      <c r="C118" s="67">
        <f>IF($A118="","",SUMIFS(Actuals!$D$7:$D$206,Actuals!$E$7:$E$206,$A118,Actuals!$K$7:$K$206,"OK"))</f>
        <v/>
      </c>
      <c r="D118" s="67">
        <f>IF($A118="","",SUMIFS(Actuals!$I$7:$I$206,Actuals!$E$7:$E$206,$A118,Actuals!$K$7:$K$206,"OK"))</f>
        <v/>
      </c>
      <c r="E118" s="68">
        <f>IF($A118="","",$C118-$D118)</f>
        <v/>
      </c>
      <c r="F118" s="69">
        <f>IF(OR($A118="",$D118=0),"",$C118/$D118)</f>
        <v/>
      </c>
    </row>
    <row r="119">
      <c r="A119" s="16">
        <f>IF(Deals!$A116="","",Deals!$A116)</f>
        <v/>
      </c>
      <c r="B119" s="18">
        <f>IF($A119="","",Deals!$R116)</f>
        <v/>
      </c>
      <c r="C119" s="67">
        <f>IF($A119="","",SUMIFS(Actuals!$D$7:$D$206,Actuals!$E$7:$E$206,$A119,Actuals!$K$7:$K$206,"OK"))</f>
        <v/>
      </c>
      <c r="D119" s="67">
        <f>IF($A119="","",SUMIFS(Actuals!$I$7:$I$206,Actuals!$E$7:$E$206,$A119,Actuals!$K$7:$K$206,"OK"))</f>
        <v/>
      </c>
      <c r="E119" s="68">
        <f>IF($A119="","",$C119-$D119)</f>
        <v/>
      </c>
      <c r="F119" s="69">
        <f>IF(OR($A119="",$D119=0),"",$C119/$D119)</f>
        <v/>
      </c>
    </row>
    <row r="120">
      <c r="A120" s="16">
        <f>IF(Deals!$A117="","",Deals!$A117)</f>
        <v/>
      </c>
      <c r="B120" s="18">
        <f>IF($A120="","",Deals!$R117)</f>
        <v/>
      </c>
      <c r="C120" s="67">
        <f>IF($A120="","",SUMIFS(Actuals!$D$7:$D$206,Actuals!$E$7:$E$206,$A120,Actuals!$K$7:$K$206,"OK"))</f>
        <v/>
      </c>
      <c r="D120" s="67">
        <f>IF($A120="","",SUMIFS(Actuals!$I$7:$I$206,Actuals!$E$7:$E$206,$A120,Actuals!$K$7:$K$206,"OK"))</f>
        <v/>
      </c>
      <c r="E120" s="68">
        <f>IF($A120="","",$C120-$D120)</f>
        <v/>
      </c>
      <c r="F120" s="69">
        <f>IF(OR($A120="",$D120=0),"",$C120/$D120)</f>
        <v/>
      </c>
    </row>
    <row r="121">
      <c r="A121" s="16">
        <f>IF(Deals!$A118="","",Deals!$A118)</f>
        <v/>
      </c>
      <c r="B121" s="18">
        <f>IF($A121="","",Deals!$R118)</f>
        <v/>
      </c>
      <c r="C121" s="67">
        <f>IF($A121="","",SUMIFS(Actuals!$D$7:$D$206,Actuals!$E$7:$E$206,$A121,Actuals!$K$7:$K$206,"OK"))</f>
        <v/>
      </c>
      <c r="D121" s="67">
        <f>IF($A121="","",SUMIFS(Actuals!$I$7:$I$206,Actuals!$E$7:$E$206,$A121,Actuals!$K$7:$K$206,"OK"))</f>
        <v/>
      </c>
      <c r="E121" s="68">
        <f>IF($A121="","",$C121-$D121)</f>
        <v/>
      </c>
      <c r="F121" s="69">
        <f>IF(OR($A121="",$D121=0),"",$C121/$D121)</f>
        <v/>
      </c>
    </row>
    <row r="122">
      <c r="A122" s="16">
        <f>IF(Deals!$A119="","",Deals!$A119)</f>
        <v/>
      </c>
      <c r="B122" s="18">
        <f>IF($A122="","",Deals!$R119)</f>
        <v/>
      </c>
      <c r="C122" s="67">
        <f>IF($A122="","",SUMIFS(Actuals!$D$7:$D$206,Actuals!$E$7:$E$206,$A122,Actuals!$K$7:$K$206,"OK"))</f>
        <v/>
      </c>
      <c r="D122" s="67">
        <f>IF($A122="","",SUMIFS(Actuals!$I$7:$I$206,Actuals!$E$7:$E$206,$A122,Actuals!$K$7:$K$206,"OK"))</f>
        <v/>
      </c>
      <c r="E122" s="68">
        <f>IF($A122="","",$C122-$D122)</f>
        <v/>
      </c>
      <c r="F122" s="69">
        <f>IF(OR($A122="",$D122=0),"",$C122/$D122)</f>
        <v/>
      </c>
    </row>
    <row r="123">
      <c r="A123" s="16">
        <f>IF(Deals!$A120="","",Deals!$A120)</f>
        <v/>
      </c>
      <c r="B123" s="18">
        <f>IF($A123="","",Deals!$R120)</f>
        <v/>
      </c>
      <c r="C123" s="67">
        <f>IF($A123="","",SUMIFS(Actuals!$D$7:$D$206,Actuals!$E$7:$E$206,$A123,Actuals!$K$7:$K$206,"OK"))</f>
        <v/>
      </c>
      <c r="D123" s="67">
        <f>IF($A123="","",SUMIFS(Actuals!$I$7:$I$206,Actuals!$E$7:$E$206,$A123,Actuals!$K$7:$K$206,"OK"))</f>
        <v/>
      </c>
      <c r="E123" s="68">
        <f>IF($A123="","",$C123-$D123)</f>
        <v/>
      </c>
      <c r="F123" s="69">
        <f>IF(OR($A123="",$D123=0),"",$C123/$D123)</f>
        <v/>
      </c>
    </row>
    <row r="124">
      <c r="A124" s="16">
        <f>IF(Deals!$A121="","",Deals!$A121)</f>
        <v/>
      </c>
      <c r="B124" s="18">
        <f>IF($A124="","",Deals!$R121)</f>
        <v/>
      </c>
      <c r="C124" s="67">
        <f>IF($A124="","",SUMIFS(Actuals!$D$7:$D$206,Actuals!$E$7:$E$206,$A124,Actuals!$K$7:$K$206,"OK"))</f>
        <v/>
      </c>
      <c r="D124" s="67">
        <f>IF($A124="","",SUMIFS(Actuals!$I$7:$I$206,Actuals!$E$7:$E$206,$A124,Actuals!$K$7:$K$206,"OK"))</f>
        <v/>
      </c>
      <c r="E124" s="68">
        <f>IF($A124="","",$C124-$D124)</f>
        <v/>
      </c>
      <c r="F124" s="69">
        <f>IF(OR($A124="",$D124=0),"",$C124/$D124)</f>
        <v/>
      </c>
    </row>
    <row r="125">
      <c r="A125" s="16">
        <f>IF(Deals!$A122="","",Deals!$A122)</f>
        <v/>
      </c>
      <c r="B125" s="18">
        <f>IF($A125="","",Deals!$R122)</f>
        <v/>
      </c>
      <c r="C125" s="67">
        <f>IF($A125="","",SUMIFS(Actuals!$D$7:$D$206,Actuals!$E$7:$E$206,$A125,Actuals!$K$7:$K$206,"OK"))</f>
        <v/>
      </c>
      <c r="D125" s="67">
        <f>IF($A125="","",SUMIFS(Actuals!$I$7:$I$206,Actuals!$E$7:$E$206,$A125,Actuals!$K$7:$K$206,"OK"))</f>
        <v/>
      </c>
      <c r="E125" s="68">
        <f>IF($A125="","",$C125-$D125)</f>
        <v/>
      </c>
      <c r="F125" s="69">
        <f>IF(OR($A125="",$D125=0),"",$C125/$D125)</f>
        <v/>
      </c>
    </row>
    <row r="126">
      <c r="A126" s="16">
        <f>IF(Deals!$A123="","",Deals!$A123)</f>
        <v/>
      </c>
      <c r="B126" s="18">
        <f>IF($A126="","",Deals!$R123)</f>
        <v/>
      </c>
      <c r="C126" s="67">
        <f>IF($A126="","",SUMIFS(Actuals!$D$7:$D$206,Actuals!$E$7:$E$206,$A126,Actuals!$K$7:$K$206,"OK"))</f>
        <v/>
      </c>
      <c r="D126" s="67">
        <f>IF($A126="","",SUMIFS(Actuals!$I$7:$I$206,Actuals!$E$7:$E$206,$A126,Actuals!$K$7:$K$206,"OK"))</f>
        <v/>
      </c>
      <c r="E126" s="68">
        <f>IF($A126="","",$C126-$D126)</f>
        <v/>
      </c>
      <c r="F126" s="69">
        <f>IF(OR($A126="",$D126=0),"",$C126/$D126)</f>
        <v/>
      </c>
    </row>
    <row r="127">
      <c r="A127" s="16">
        <f>IF(Deals!$A124="","",Deals!$A124)</f>
        <v/>
      </c>
      <c r="B127" s="18">
        <f>IF($A127="","",Deals!$R124)</f>
        <v/>
      </c>
      <c r="C127" s="67">
        <f>IF($A127="","",SUMIFS(Actuals!$D$7:$D$206,Actuals!$E$7:$E$206,$A127,Actuals!$K$7:$K$206,"OK"))</f>
        <v/>
      </c>
      <c r="D127" s="67">
        <f>IF($A127="","",SUMIFS(Actuals!$I$7:$I$206,Actuals!$E$7:$E$206,$A127,Actuals!$K$7:$K$206,"OK"))</f>
        <v/>
      </c>
      <c r="E127" s="68">
        <f>IF($A127="","",$C127-$D127)</f>
        <v/>
      </c>
      <c r="F127" s="69">
        <f>IF(OR($A127="",$D127=0),"",$C127/$D127)</f>
        <v/>
      </c>
    </row>
    <row r="128">
      <c r="A128" s="16">
        <f>IF(Deals!$A125="","",Deals!$A125)</f>
        <v/>
      </c>
      <c r="B128" s="18">
        <f>IF($A128="","",Deals!$R125)</f>
        <v/>
      </c>
      <c r="C128" s="67">
        <f>IF($A128="","",SUMIFS(Actuals!$D$7:$D$206,Actuals!$E$7:$E$206,$A128,Actuals!$K$7:$K$206,"OK"))</f>
        <v/>
      </c>
      <c r="D128" s="67">
        <f>IF($A128="","",SUMIFS(Actuals!$I$7:$I$206,Actuals!$E$7:$E$206,$A128,Actuals!$K$7:$K$206,"OK"))</f>
        <v/>
      </c>
      <c r="E128" s="68">
        <f>IF($A128="","",$C128-$D128)</f>
        <v/>
      </c>
      <c r="F128" s="69">
        <f>IF(OR($A128="",$D128=0),"",$C128/$D128)</f>
        <v/>
      </c>
    </row>
    <row r="129">
      <c r="A129" s="16">
        <f>IF(Deals!$A126="","",Deals!$A126)</f>
        <v/>
      </c>
      <c r="B129" s="18">
        <f>IF($A129="","",Deals!$R126)</f>
        <v/>
      </c>
      <c r="C129" s="67">
        <f>IF($A129="","",SUMIFS(Actuals!$D$7:$D$206,Actuals!$E$7:$E$206,$A129,Actuals!$K$7:$K$206,"OK"))</f>
        <v/>
      </c>
      <c r="D129" s="67">
        <f>IF($A129="","",SUMIFS(Actuals!$I$7:$I$206,Actuals!$E$7:$E$206,$A129,Actuals!$K$7:$K$206,"OK"))</f>
        <v/>
      </c>
      <c r="E129" s="68">
        <f>IF($A129="","",$C129-$D129)</f>
        <v/>
      </c>
      <c r="F129" s="69">
        <f>IF(OR($A129="",$D129=0),"",$C129/$D129)</f>
        <v/>
      </c>
    </row>
    <row r="130">
      <c r="A130" s="16">
        <f>IF(Deals!$A127="","",Deals!$A127)</f>
        <v/>
      </c>
      <c r="B130" s="18">
        <f>IF($A130="","",Deals!$R127)</f>
        <v/>
      </c>
      <c r="C130" s="67">
        <f>IF($A130="","",SUMIFS(Actuals!$D$7:$D$206,Actuals!$E$7:$E$206,$A130,Actuals!$K$7:$K$206,"OK"))</f>
        <v/>
      </c>
      <c r="D130" s="67">
        <f>IF($A130="","",SUMIFS(Actuals!$I$7:$I$206,Actuals!$E$7:$E$206,$A130,Actuals!$K$7:$K$206,"OK"))</f>
        <v/>
      </c>
      <c r="E130" s="68">
        <f>IF($A130="","",$C130-$D130)</f>
        <v/>
      </c>
      <c r="F130" s="69">
        <f>IF(OR($A130="",$D130=0),"",$C130/$D130)</f>
        <v/>
      </c>
    </row>
    <row r="131">
      <c r="A131" s="16">
        <f>IF(Deals!$A128="","",Deals!$A128)</f>
        <v/>
      </c>
      <c r="B131" s="18">
        <f>IF($A131="","",Deals!$R128)</f>
        <v/>
      </c>
      <c r="C131" s="67">
        <f>IF($A131="","",SUMIFS(Actuals!$D$7:$D$206,Actuals!$E$7:$E$206,$A131,Actuals!$K$7:$K$206,"OK"))</f>
        <v/>
      </c>
      <c r="D131" s="67">
        <f>IF($A131="","",SUMIFS(Actuals!$I$7:$I$206,Actuals!$E$7:$E$206,$A131,Actuals!$K$7:$K$206,"OK"))</f>
        <v/>
      </c>
      <c r="E131" s="68">
        <f>IF($A131="","",$C131-$D131)</f>
        <v/>
      </c>
      <c r="F131" s="69">
        <f>IF(OR($A131="",$D131=0),"",$C131/$D131)</f>
        <v/>
      </c>
    </row>
    <row r="132">
      <c r="A132" s="16">
        <f>IF(Deals!$A129="","",Deals!$A129)</f>
        <v/>
      </c>
      <c r="B132" s="18">
        <f>IF($A132="","",Deals!$R129)</f>
        <v/>
      </c>
      <c r="C132" s="67">
        <f>IF($A132="","",SUMIFS(Actuals!$D$7:$D$206,Actuals!$E$7:$E$206,$A132,Actuals!$K$7:$K$206,"OK"))</f>
        <v/>
      </c>
      <c r="D132" s="67">
        <f>IF($A132="","",SUMIFS(Actuals!$I$7:$I$206,Actuals!$E$7:$E$206,$A132,Actuals!$K$7:$K$206,"OK"))</f>
        <v/>
      </c>
      <c r="E132" s="68">
        <f>IF($A132="","",$C132-$D132)</f>
        <v/>
      </c>
      <c r="F132" s="69">
        <f>IF(OR($A132="",$D132=0),"",$C132/$D132)</f>
        <v/>
      </c>
    </row>
    <row r="133">
      <c r="A133" s="16">
        <f>IF(Deals!$A130="","",Deals!$A130)</f>
        <v/>
      </c>
      <c r="B133" s="18">
        <f>IF($A133="","",Deals!$R130)</f>
        <v/>
      </c>
      <c r="C133" s="67">
        <f>IF($A133="","",SUMIFS(Actuals!$D$7:$D$206,Actuals!$E$7:$E$206,$A133,Actuals!$K$7:$K$206,"OK"))</f>
        <v/>
      </c>
      <c r="D133" s="67">
        <f>IF($A133="","",SUMIFS(Actuals!$I$7:$I$206,Actuals!$E$7:$E$206,$A133,Actuals!$K$7:$K$206,"OK"))</f>
        <v/>
      </c>
      <c r="E133" s="68">
        <f>IF($A133="","",$C133-$D133)</f>
        <v/>
      </c>
      <c r="F133" s="69">
        <f>IF(OR($A133="",$D133=0),"",$C133/$D133)</f>
        <v/>
      </c>
    </row>
    <row r="134">
      <c r="A134" s="16">
        <f>IF(Deals!$A131="","",Deals!$A131)</f>
        <v/>
      </c>
      <c r="B134" s="18">
        <f>IF($A134="","",Deals!$R131)</f>
        <v/>
      </c>
      <c r="C134" s="67">
        <f>IF($A134="","",SUMIFS(Actuals!$D$7:$D$206,Actuals!$E$7:$E$206,$A134,Actuals!$K$7:$K$206,"OK"))</f>
        <v/>
      </c>
      <c r="D134" s="67">
        <f>IF($A134="","",SUMIFS(Actuals!$I$7:$I$206,Actuals!$E$7:$E$206,$A134,Actuals!$K$7:$K$206,"OK"))</f>
        <v/>
      </c>
      <c r="E134" s="68">
        <f>IF($A134="","",$C134-$D134)</f>
        <v/>
      </c>
      <c r="F134" s="69">
        <f>IF(OR($A134="",$D134=0),"",$C134/$D134)</f>
        <v/>
      </c>
    </row>
    <row r="135">
      <c r="A135" s="16">
        <f>IF(Deals!$A132="","",Deals!$A132)</f>
        <v/>
      </c>
      <c r="B135" s="18">
        <f>IF($A135="","",Deals!$R132)</f>
        <v/>
      </c>
      <c r="C135" s="67">
        <f>IF($A135="","",SUMIFS(Actuals!$D$7:$D$206,Actuals!$E$7:$E$206,$A135,Actuals!$K$7:$K$206,"OK"))</f>
        <v/>
      </c>
      <c r="D135" s="67">
        <f>IF($A135="","",SUMIFS(Actuals!$I$7:$I$206,Actuals!$E$7:$E$206,$A135,Actuals!$K$7:$K$206,"OK"))</f>
        <v/>
      </c>
      <c r="E135" s="68">
        <f>IF($A135="","",$C135-$D135)</f>
        <v/>
      </c>
      <c r="F135" s="69">
        <f>IF(OR($A135="",$D135=0),"",$C135/$D135)</f>
        <v/>
      </c>
    </row>
    <row r="136">
      <c r="A136" s="16">
        <f>IF(Deals!$A133="","",Deals!$A133)</f>
        <v/>
      </c>
      <c r="B136" s="18">
        <f>IF($A136="","",Deals!$R133)</f>
        <v/>
      </c>
      <c r="C136" s="67">
        <f>IF($A136="","",SUMIFS(Actuals!$D$7:$D$206,Actuals!$E$7:$E$206,$A136,Actuals!$K$7:$K$206,"OK"))</f>
        <v/>
      </c>
      <c r="D136" s="67">
        <f>IF($A136="","",SUMIFS(Actuals!$I$7:$I$206,Actuals!$E$7:$E$206,$A136,Actuals!$K$7:$K$206,"OK"))</f>
        <v/>
      </c>
      <c r="E136" s="68">
        <f>IF($A136="","",$C136-$D136)</f>
        <v/>
      </c>
      <c r="F136" s="69">
        <f>IF(OR($A136="",$D136=0),"",$C136/$D136)</f>
        <v/>
      </c>
    </row>
    <row r="137">
      <c r="A137" s="16">
        <f>IF(Deals!$A134="","",Deals!$A134)</f>
        <v/>
      </c>
      <c r="B137" s="18">
        <f>IF($A137="","",Deals!$R134)</f>
        <v/>
      </c>
      <c r="C137" s="67">
        <f>IF($A137="","",SUMIFS(Actuals!$D$7:$D$206,Actuals!$E$7:$E$206,$A137,Actuals!$K$7:$K$206,"OK"))</f>
        <v/>
      </c>
      <c r="D137" s="67">
        <f>IF($A137="","",SUMIFS(Actuals!$I$7:$I$206,Actuals!$E$7:$E$206,$A137,Actuals!$K$7:$K$206,"OK"))</f>
        <v/>
      </c>
      <c r="E137" s="68">
        <f>IF($A137="","",$C137-$D137)</f>
        <v/>
      </c>
      <c r="F137" s="69">
        <f>IF(OR($A137="",$D137=0),"",$C137/$D137)</f>
        <v/>
      </c>
    </row>
    <row r="138">
      <c r="A138" s="16">
        <f>IF(Deals!$A135="","",Deals!$A135)</f>
        <v/>
      </c>
      <c r="B138" s="18">
        <f>IF($A138="","",Deals!$R135)</f>
        <v/>
      </c>
      <c r="C138" s="67">
        <f>IF($A138="","",SUMIFS(Actuals!$D$7:$D$206,Actuals!$E$7:$E$206,$A138,Actuals!$K$7:$K$206,"OK"))</f>
        <v/>
      </c>
      <c r="D138" s="67">
        <f>IF($A138="","",SUMIFS(Actuals!$I$7:$I$206,Actuals!$E$7:$E$206,$A138,Actuals!$K$7:$K$206,"OK"))</f>
        <v/>
      </c>
      <c r="E138" s="68">
        <f>IF($A138="","",$C138-$D138)</f>
        <v/>
      </c>
      <c r="F138" s="69">
        <f>IF(OR($A138="",$D138=0),"",$C138/$D138)</f>
        <v/>
      </c>
    </row>
    <row r="139">
      <c r="A139" s="16">
        <f>IF(Deals!$A136="","",Deals!$A136)</f>
        <v/>
      </c>
      <c r="B139" s="18">
        <f>IF($A139="","",Deals!$R136)</f>
        <v/>
      </c>
      <c r="C139" s="67">
        <f>IF($A139="","",SUMIFS(Actuals!$D$7:$D$206,Actuals!$E$7:$E$206,$A139,Actuals!$K$7:$K$206,"OK"))</f>
        <v/>
      </c>
      <c r="D139" s="67">
        <f>IF($A139="","",SUMIFS(Actuals!$I$7:$I$206,Actuals!$E$7:$E$206,$A139,Actuals!$K$7:$K$206,"OK"))</f>
        <v/>
      </c>
      <c r="E139" s="68">
        <f>IF($A139="","",$C139-$D139)</f>
        <v/>
      </c>
      <c r="F139" s="69">
        <f>IF(OR($A139="",$D139=0),"",$C139/$D139)</f>
        <v/>
      </c>
    </row>
    <row r="140">
      <c r="A140" s="16">
        <f>IF(Deals!$A137="","",Deals!$A137)</f>
        <v/>
      </c>
      <c r="B140" s="18">
        <f>IF($A140="","",Deals!$R137)</f>
        <v/>
      </c>
      <c r="C140" s="67">
        <f>IF($A140="","",SUMIFS(Actuals!$D$7:$D$206,Actuals!$E$7:$E$206,$A140,Actuals!$K$7:$K$206,"OK"))</f>
        <v/>
      </c>
      <c r="D140" s="67">
        <f>IF($A140="","",SUMIFS(Actuals!$I$7:$I$206,Actuals!$E$7:$E$206,$A140,Actuals!$K$7:$K$206,"OK"))</f>
        <v/>
      </c>
      <c r="E140" s="68">
        <f>IF($A140="","",$C140-$D140)</f>
        <v/>
      </c>
      <c r="F140" s="69">
        <f>IF(OR($A140="",$D140=0),"",$C140/$D140)</f>
        <v/>
      </c>
    </row>
    <row r="141">
      <c r="A141" s="16">
        <f>IF(Deals!$A138="","",Deals!$A138)</f>
        <v/>
      </c>
      <c r="B141" s="18">
        <f>IF($A141="","",Deals!$R138)</f>
        <v/>
      </c>
      <c r="C141" s="67">
        <f>IF($A141="","",SUMIFS(Actuals!$D$7:$D$206,Actuals!$E$7:$E$206,$A141,Actuals!$K$7:$K$206,"OK"))</f>
        <v/>
      </c>
      <c r="D141" s="67">
        <f>IF($A141="","",SUMIFS(Actuals!$I$7:$I$206,Actuals!$E$7:$E$206,$A141,Actuals!$K$7:$K$206,"OK"))</f>
        <v/>
      </c>
      <c r="E141" s="68">
        <f>IF($A141="","",$C141-$D141)</f>
        <v/>
      </c>
      <c r="F141" s="69">
        <f>IF(OR($A141="",$D141=0),"",$C141/$D141)</f>
        <v/>
      </c>
    </row>
    <row r="142">
      <c r="A142" s="16">
        <f>IF(Deals!$A139="","",Deals!$A139)</f>
        <v/>
      </c>
      <c r="B142" s="18">
        <f>IF($A142="","",Deals!$R139)</f>
        <v/>
      </c>
      <c r="C142" s="67">
        <f>IF($A142="","",SUMIFS(Actuals!$D$7:$D$206,Actuals!$E$7:$E$206,$A142,Actuals!$K$7:$K$206,"OK"))</f>
        <v/>
      </c>
      <c r="D142" s="67">
        <f>IF($A142="","",SUMIFS(Actuals!$I$7:$I$206,Actuals!$E$7:$E$206,$A142,Actuals!$K$7:$K$206,"OK"))</f>
        <v/>
      </c>
      <c r="E142" s="68">
        <f>IF($A142="","",$C142-$D142)</f>
        <v/>
      </c>
      <c r="F142" s="69">
        <f>IF(OR($A142="",$D142=0),"",$C142/$D142)</f>
        <v/>
      </c>
    </row>
    <row r="143">
      <c r="A143" s="16">
        <f>IF(Deals!$A140="","",Deals!$A140)</f>
        <v/>
      </c>
      <c r="B143" s="18">
        <f>IF($A143="","",Deals!$R140)</f>
        <v/>
      </c>
      <c r="C143" s="67">
        <f>IF($A143="","",SUMIFS(Actuals!$D$7:$D$206,Actuals!$E$7:$E$206,$A143,Actuals!$K$7:$K$206,"OK"))</f>
        <v/>
      </c>
      <c r="D143" s="67">
        <f>IF($A143="","",SUMIFS(Actuals!$I$7:$I$206,Actuals!$E$7:$E$206,$A143,Actuals!$K$7:$K$206,"OK"))</f>
        <v/>
      </c>
      <c r="E143" s="68">
        <f>IF($A143="","",$C143-$D143)</f>
        <v/>
      </c>
      <c r="F143" s="69">
        <f>IF(OR($A143="",$D143=0),"",$C143/$D143)</f>
        <v/>
      </c>
    </row>
    <row r="144">
      <c r="A144" s="16">
        <f>IF(Deals!$A141="","",Deals!$A141)</f>
        <v/>
      </c>
      <c r="B144" s="18">
        <f>IF($A144="","",Deals!$R141)</f>
        <v/>
      </c>
      <c r="C144" s="67">
        <f>IF($A144="","",SUMIFS(Actuals!$D$7:$D$206,Actuals!$E$7:$E$206,$A144,Actuals!$K$7:$K$206,"OK"))</f>
        <v/>
      </c>
      <c r="D144" s="67">
        <f>IF($A144="","",SUMIFS(Actuals!$I$7:$I$206,Actuals!$E$7:$E$206,$A144,Actuals!$K$7:$K$206,"OK"))</f>
        <v/>
      </c>
      <c r="E144" s="68">
        <f>IF($A144="","",$C144-$D144)</f>
        <v/>
      </c>
      <c r="F144" s="69">
        <f>IF(OR($A144="",$D144=0),"",$C144/$D144)</f>
        <v/>
      </c>
    </row>
    <row r="145">
      <c r="A145" s="16">
        <f>IF(Deals!$A142="","",Deals!$A142)</f>
        <v/>
      </c>
      <c r="B145" s="18">
        <f>IF($A145="","",Deals!$R142)</f>
        <v/>
      </c>
      <c r="C145" s="67">
        <f>IF($A145="","",SUMIFS(Actuals!$D$7:$D$206,Actuals!$E$7:$E$206,$A145,Actuals!$K$7:$K$206,"OK"))</f>
        <v/>
      </c>
      <c r="D145" s="67">
        <f>IF($A145="","",SUMIFS(Actuals!$I$7:$I$206,Actuals!$E$7:$E$206,$A145,Actuals!$K$7:$K$206,"OK"))</f>
        <v/>
      </c>
      <c r="E145" s="68">
        <f>IF($A145="","",$C145-$D145)</f>
        <v/>
      </c>
      <c r="F145" s="69">
        <f>IF(OR($A145="",$D145=0),"",$C145/$D145)</f>
        <v/>
      </c>
    </row>
    <row r="146">
      <c r="A146" s="16">
        <f>IF(Deals!$A143="","",Deals!$A143)</f>
        <v/>
      </c>
      <c r="B146" s="18">
        <f>IF($A146="","",Deals!$R143)</f>
        <v/>
      </c>
      <c r="C146" s="67">
        <f>IF($A146="","",SUMIFS(Actuals!$D$7:$D$206,Actuals!$E$7:$E$206,$A146,Actuals!$K$7:$K$206,"OK"))</f>
        <v/>
      </c>
      <c r="D146" s="67">
        <f>IF($A146="","",SUMIFS(Actuals!$I$7:$I$206,Actuals!$E$7:$E$206,$A146,Actuals!$K$7:$K$206,"OK"))</f>
        <v/>
      </c>
      <c r="E146" s="68">
        <f>IF($A146="","",$C146-$D146)</f>
        <v/>
      </c>
      <c r="F146" s="69">
        <f>IF(OR($A146="",$D146=0),"",$C146/$D146)</f>
        <v/>
      </c>
    </row>
    <row r="147">
      <c r="A147" s="16">
        <f>IF(Deals!$A144="","",Deals!$A144)</f>
        <v/>
      </c>
      <c r="B147" s="18">
        <f>IF($A147="","",Deals!$R144)</f>
        <v/>
      </c>
      <c r="C147" s="67">
        <f>IF($A147="","",SUMIFS(Actuals!$D$7:$D$206,Actuals!$E$7:$E$206,$A147,Actuals!$K$7:$K$206,"OK"))</f>
        <v/>
      </c>
      <c r="D147" s="67">
        <f>IF($A147="","",SUMIFS(Actuals!$I$7:$I$206,Actuals!$E$7:$E$206,$A147,Actuals!$K$7:$K$206,"OK"))</f>
        <v/>
      </c>
      <c r="E147" s="68">
        <f>IF($A147="","",$C147-$D147)</f>
        <v/>
      </c>
      <c r="F147" s="69">
        <f>IF(OR($A147="",$D147=0),"",$C147/$D147)</f>
        <v/>
      </c>
    </row>
    <row r="148">
      <c r="A148" s="16">
        <f>IF(Deals!$A145="","",Deals!$A145)</f>
        <v/>
      </c>
      <c r="B148" s="18">
        <f>IF($A148="","",Deals!$R145)</f>
        <v/>
      </c>
      <c r="C148" s="67">
        <f>IF($A148="","",SUMIFS(Actuals!$D$7:$D$206,Actuals!$E$7:$E$206,$A148,Actuals!$K$7:$K$206,"OK"))</f>
        <v/>
      </c>
      <c r="D148" s="67">
        <f>IF($A148="","",SUMIFS(Actuals!$I$7:$I$206,Actuals!$E$7:$E$206,$A148,Actuals!$K$7:$K$206,"OK"))</f>
        <v/>
      </c>
      <c r="E148" s="68">
        <f>IF($A148="","",$C148-$D148)</f>
        <v/>
      </c>
      <c r="F148" s="69">
        <f>IF(OR($A148="",$D148=0),"",$C148/$D148)</f>
        <v/>
      </c>
    </row>
    <row r="149">
      <c r="A149" s="16">
        <f>IF(Deals!$A146="","",Deals!$A146)</f>
        <v/>
      </c>
      <c r="B149" s="18">
        <f>IF($A149="","",Deals!$R146)</f>
        <v/>
      </c>
      <c r="C149" s="67">
        <f>IF($A149="","",SUMIFS(Actuals!$D$7:$D$206,Actuals!$E$7:$E$206,$A149,Actuals!$K$7:$K$206,"OK"))</f>
        <v/>
      </c>
      <c r="D149" s="67">
        <f>IF($A149="","",SUMIFS(Actuals!$I$7:$I$206,Actuals!$E$7:$E$206,$A149,Actuals!$K$7:$K$206,"OK"))</f>
        <v/>
      </c>
      <c r="E149" s="68">
        <f>IF($A149="","",$C149-$D149)</f>
        <v/>
      </c>
      <c r="F149" s="69">
        <f>IF(OR($A149="",$D149=0),"",$C149/$D149)</f>
        <v/>
      </c>
    </row>
    <row r="150">
      <c r="A150" s="16">
        <f>IF(Deals!$A147="","",Deals!$A147)</f>
        <v/>
      </c>
      <c r="B150" s="18">
        <f>IF($A150="","",Deals!$R147)</f>
        <v/>
      </c>
      <c r="C150" s="67">
        <f>IF($A150="","",SUMIFS(Actuals!$D$7:$D$206,Actuals!$E$7:$E$206,$A150,Actuals!$K$7:$K$206,"OK"))</f>
        <v/>
      </c>
      <c r="D150" s="67">
        <f>IF($A150="","",SUMIFS(Actuals!$I$7:$I$206,Actuals!$E$7:$E$206,$A150,Actuals!$K$7:$K$206,"OK"))</f>
        <v/>
      </c>
      <c r="E150" s="68">
        <f>IF($A150="","",$C150-$D150)</f>
        <v/>
      </c>
      <c r="F150" s="69">
        <f>IF(OR($A150="",$D150=0),"",$C150/$D150)</f>
        <v/>
      </c>
    </row>
    <row r="151">
      <c r="A151" s="16">
        <f>IF(Deals!$A148="","",Deals!$A148)</f>
        <v/>
      </c>
      <c r="B151" s="18">
        <f>IF($A151="","",Deals!$R148)</f>
        <v/>
      </c>
      <c r="C151" s="67">
        <f>IF($A151="","",SUMIFS(Actuals!$D$7:$D$206,Actuals!$E$7:$E$206,$A151,Actuals!$K$7:$K$206,"OK"))</f>
        <v/>
      </c>
      <c r="D151" s="67">
        <f>IF($A151="","",SUMIFS(Actuals!$I$7:$I$206,Actuals!$E$7:$E$206,$A151,Actuals!$K$7:$K$206,"OK"))</f>
        <v/>
      </c>
      <c r="E151" s="68">
        <f>IF($A151="","",$C151-$D151)</f>
        <v/>
      </c>
      <c r="F151" s="69">
        <f>IF(OR($A151="",$D151=0),"",$C151/$D151)</f>
        <v/>
      </c>
    </row>
    <row r="152">
      <c r="A152" s="16">
        <f>IF(Deals!$A149="","",Deals!$A149)</f>
        <v/>
      </c>
      <c r="B152" s="18">
        <f>IF($A152="","",Deals!$R149)</f>
        <v/>
      </c>
      <c r="C152" s="67">
        <f>IF($A152="","",SUMIFS(Actuals!$D$7:$D$206,Actuals!$E$7:$E$206,$A152,Actuals!$K$7:$K$206,"OK"))</f>
        <v/>
      </c>
      <c r="D152" s="67">
        <f>IF($A152="","",SUMIFS(Actuals!$I$7:$I$206,Actuals!$E$7:$E$206,$A152,Actuals!$K$7:$K$206,"OK"))</f>
        <v/>
      </c>
      <c r="E152" s="68">
        <f>IF($A152="","",$C152-$D152)</f>
        <v/>
      </c>
      <c r="F152" s="69">
        <f>IF(OR($A152="",$D152=0),"",$C152/$D152)</f>
        <v/>
      </c>
    </row>
    <row r="153">
      <c r="A153" s="16">
        <f>IF(Deals!$A150="","",Deals!$A150)</f>
        <v/>
      </c>
      <c r="B153" s="18">
        <f>IF($A153="","",Deals!$R150)</f>
        <v/>
      </c>
      <c r="C153" s="67">
        <f>IF($A153="","",SUMIFS(Actuals!$D$7:$D$206,Actuals!$E$7:$E$206,$A153,Actuals!$K$7:$K$206,"OK"))</f>
        <v/>
      </c>
      <c r="D153" s="67">
        <f>IF($A153="","",SUMIFS(Actuals!$I$7:$I$206,Actuals!$E$7:$E$206,$A153,Actuals!$K$7:$K$206,"OK"))</f>
        <v/>
      </c>
      <c r="E153" s="68">
        <f>IF($A153="","",$C153-$D153)</f>
        <v/>
      </c>
      <c r="F153" s="69">
        <f>IF(OR($A153="",$D153=0),"",$C153/$D153)</f>
        <v/>
      </c>
    </row>
    <row r="154">
      <c r="A154" s="16">
        <f>IF(Deals!$A151="","",Deals!$A151)</f>
        <v/>
      </c>
      <c r="B154" s="18">
        <f>IF($A154="","",Deals!$R151)</f>
        <v/>
      </c>
      <c r="C154" s="67">
        <f>IF($A154="","",SUMIFS(Actuals!$D$7:$D$206,Actuals!$E$7:$E$206,$A154,Actuals!$K$7:$K$206,"OK"))</f>
        <v/>
      </c>
      <c r="D154" s="67">
        <f>IF($A154="","",SUMIFS(Actuals!$I$7:$I$206,Actuals!$E$7:$E$206,$A154,Actuals!$K$7:$K$206,"OK"))</f>
        <v/>
      </c>
      <c r="E154" s="68">
        <f>IF($A154="","",$C154-$D154)</f>
        <v/>
      </c>
      <c r="F154" s="69">
        <f>IF(OR($A154="",$D154=0),"",$C154/$D154)</f>
        <v/>
      </c>
    </row>
    <row r="155">
      <c r="A155" s="16">
        <f>IF(Deals!$A152="","",Deals!$A152)</f>
        <v/>
      </c>
      <c r="B155" s="18">
        <f>IF($A155="","",Deals!$R152)</f>
        <v/>
      </c>
      <c r="C155" s="67">
        <f>IF($A155="","",SUMIFS(Actuals!$D$7:$D$206,Actuals!$E$7:$E$206,$A155,Actuals!$K$7:$K$206,"OK"))</f>
        <v/>
      </c>
      <c r="D155" s="67">
        <f>IF($A155="","",SUMIFS(Actuals!$I$7:$I$206,Actuals!$E$7:$E$206,$A155,Actuals!$K$7:$K$206,"OK"))</f>
        <v/>
      </c>
      <c r="E155" s="68">
        <f>IF($A155="","",$C155-$D155)</f>
        <v/>
      </c>
      <c r="F155" s="69">
        <f>IF(OR($A155="",$D155=0),"",$C155/$D155)</f>
        <v/>
      </c>
    </row>
    <row r="156">
      <c r="A156" s="16">
        <f>IF(Deals!$A153="","",Deals!$A153)</f>
        <v/>
      </c>
      <c r="B156" s="18">
        <f>IF($A156="","",Deals!$R153)</f>
        <v/>
      </c>
      <c r="C156" s="67">
        <f>IF($A156="","",SUMIFS(Actuals!$D$7:$D$206,Actuals!$E$7:$E$206,$A156,Actuals!$K$7:$K$206,"OK"))</f>
        <v/>
      </c>
      <c r="D156" s="67">
        <f>IF($A156="","",SUMIFS(Actuals!$I$7:$I$206,Actuals!$E$7:$E$206,$A156,Actuals!$K$7:$K$206,"OK"))</f>
        <v/>
      </c>
      <c r="E156" s="68">
        <f>IF($A156="","",$C156-$D156)</f>
        <v/>
      </c>
      <c r="F156" s="69">
        <f>IF(OR($A156="",$D156=0),"",$C156/$D156)</f>
        <v/>
      </c>
    </row>
    <row r="157">
      <c r="A157" s="16">
        <f>IF(Deals!$A154="","",Deals!$A154)</f>
        <v/>
      </c>
      <c r="B157" s="18">
        <f>IF($A157="","",Deals!$R154)</f>
        <v/>
      </c>
      <c r="C157" s="67">
        <f>IF($A157="","",SUMIFS(Actuals!$D$7:$D$206,Actuals!$E$7:$E$206,$A157,Actuals!$K$7:$K$206,"OK"))</f>
        <v/>
      </c>
      <c r="D157" s="67">
        <f>IF($A157="","",SUMIFS(Actuals!$I$7:$I$206,Actuals!$E$7:$E$206,$A157,Actuals!$K$7:$K$206,"OK"))</f>
        <v/>
      </c>
      <c r="E157" s="68">
        <f>IF($A157="","",$C157-$D157)</f>
        <v/>
      </c>
      <c r="F157" s="69">
        <f>IF(OR($A157="",$D157=0),"",$C157/$D157)</f>
        <v/>
      </c>
    </row>
    <row r="158">
      <c r="A158" s="16">
        <f>IF(Deals!$A155="","",Deals!$A155)</f>
        <v/>
      </c>
      <c r="B158" s="18">
        <f>IF($A158="","",Deals!$R155)</f>
        <v/>
      </c>
      <c r="C158" s="67">
        <f>IF($A158="","",SUMIFS(Actuals!$D$7:$D$206,Actuals!$E$7:$E$206,$A158,Actuals!$K$7:$K$206,"OK"))</f>
        <v/>
      </c>
      <c r="D158" s="67">
        <f>IF($A158="","",SUMIFS(Actuals!$I$7:$I$206,Actuals!$E$7:$E$206,$A158,Actuals!$K$7:$K$206,"OK"))</f>
        <v/>
      </c>
      <c r="E158" s="68">
        <f>IF($A158="","",$C158-$D158)</f>
        <v/>
      </c>
      <c r="F158" s="69">
        <f>IF(OR($A158="",$D158=0),"",$C158/$D158)</f>
        <v/>
      </c>
    </row>
    <row r="159">
      <c r="A159" s="16">
        <f>IF(Deals!$A156="","",Deals!$A156)</f>
        <v/>
      </c>
      <c r="B159" s="18">
        <f>IF($A159="","",Deals!$R156)</f>
        <v/>
      </c>
      <c r="C159" s="67">
        <f>IF($A159="","",SUMIFS(Actuals!$D$7:$D$206,Actuals!$E$7:$E$206,$A159,Actuals!$K$7:$K$206,"OK"))</f>
        <v/>
      </c>
      <c r="D159" s="67">
        <f>IF($A159="","",SUMIFS(Actuals!$I$7:$I$206,Actuals!$E$7:$E$206,$A159,Actuals!$K$7:$K$206,"OK"))</f>
        <v/>
      </c>
      <c r="E159" s="68">
        <f>IF($A159="","",$C159-$D159)</f>
        <v/>
      </c>
      <c r="F159" s="69">
        <f>IF(OR($A159="",$D159=0),"",$C159/$D159)</f>
        <v/>
      </c>
    </row>
    <row r="160">
      <c r="A160" s="16">
        <f>IF(Deals!$A157="","",Deals!$A157)</f>
        <v/>
      </c>
      <c r="B160" s="18">
        <f>IF($A160="","",Deals!$R157)</f>
        <v/>
      </c>
      <c r="C160" s="67">
        <f>IF($A160="","",SUMIFS(Actuals!$D$7:$D$206,Actuals!$E$7:$E$206,$A160,Actuals!$K$7:$K$206,"OK"))</f>
        <v/>
      </c>
      <c r="D160" s="67">
        <f>IF($A160="","",SUMIFS(Actuals!$I$7:$I$206,Actuals!$E$7:$E$206,$A160,Actuals!$K$7:$K$206,"OK"))</f>
        <v/>
      </c>
      <c r="E160" s="68">
        <f>IF($A160="","",$C160-$D160)</f>
        <v/>
      </c>
      <c r="F160" s="69">
        <f>IF(OR($A160="",$D160=0),"",$C160/$D160)</f>
        <v/>
      </c>
    </row>
    <row r="161">
      <c r="A161" s="16">
        <f>IF(Deals!$A158="","",Deals!$A158)</f>
        <v/>
      </c>
      <c r="B161" s="18">
        <f>IF($A161="","",Deals!$R158)</f>
        <v/>
      </c>
      <c r="C161" s="67">
        <f>IF($A161="","",SUMIFS(Actuals!$D$7:$D$206,Actuals!$E$7:$E$206,$A161,Actuals!$K$7:$K$206,"OK"))</f>
        <v/>
      </c>
      <c r="D161" s="67">
        <f>IF($A161="","",SUMIFS(Actuals!$I$7:$I$206,Actuals!$E$7:$E$206,$A161,Actuals!$K$7:$K$206,"OK"))</f>
        <v/>
      </c>
      <c r="E161" s="68">
        <f>IF($A161="","",$C161-$D161)</f>
        <v/>
      </c>
      <c r="F161" s="69">
        <f>IF(OR($A161="",$D161=0),"",$C161/$D161)</f>
        <v/>
      </c>
    </row>
    <row r="162">
      <c r="A162" s="16">
        <f>IF(Deals!$A159="","",Deals!$A159)</f>
        <v/>
      </c>
      <c r="B162" s="18">
        <f>IF($A162="","",Deals!$R159)</f>
        <v/>
      </c>
      <c r="C162" s="67">
        <f>IF($A162="","",SUMIFS(Actuals!$D$7:$D$206,Actuals!$E$7:$E$206,$A162,Actuals!$K$7:$K$206,"OK"))</f>
        <v/>
      </c>
      <c r="D162" s="67">
        <f>IF($A162="","",SUMIFS(Actuals!$I$7:$I$206,Actuals!$E$7:$E$206,$A162,Actuals!$K$7:$K$206,"OK"))</f>
        <v/>
      </c>
      <c r="E162" s="68">
        <f>IF($A162="","",$C162-$D162)</f>
        <v/>
      </c>
      <c r="F162" s="69">
        <f>IF(OR($A162="",$D162=0),"",$C162/$D162)</f>
        <v/>
      </c>
    </row>
    <row r="163">
      <c r="A163" s="16">
        <f>IF(Deals!$A160="","",Deals!$A160)</f>
        <v/>
      </c>
      <c r="B163" s="18">
        <f>IF($A163="","",Deals!$R160)</f>
        <v/>
      </c>
      <c r="C163" s="67">
        <f>IF($A163="","",SUMIFS(Actuals!$D$7:$D$206,Actuals!$E$7:$E$206,$A163,Actuals!$K$7:$K$206,"OK"))</f>
        <v/>
      </c>
      <c r="D163" s="67">
        <f>IF($A163="","",SUMIFS(Actuals!$I$7:$I$206,Actuals!$E$7:$E$206,$A163,Actuals!$K$7:$K$206,"OK"))</f>
        <v/>
      </c>
      <c r="E163" s="68">
        <f>IF($A163="","",$C163-$D163)</f>
        <v/>
      </c>
      <c r="F163" s="69">
        <f>IF(OR($A163="",$D163=0),"",$C163/$D163)</f>
        <v/>
      </c>
    </row>
    <row r="164">
      <c r="A164" s="16">
        <f>IF(Deals!$A161="","",Deals!$A161)</f>
        <v/>
      </c>
      <c r="B164" s="18">
        <f>IF($A164="","",Deals!$R161)</f>
        <v/>
      </c>
      <c r="C164" s="67">
        <f>IF($A164="","",SUMIFS(Actuals!$D$7:$D$206,Actuals!$E$7:$E$206,$A164,Actuals!$K$7:$K$206,"OK"))</f>
        <v/>
      </c>
      <c r="D164" s="67">
        <f>IF($A164="","",SUMIFS(Actuals!$I$7:$I$206,Actuals!$E$7:$E$206,$A164,Actuals!$K$7:$K$206,"OK"))</f>
        <v/>
      </c>
      <c r="E164" s="68">
        <f>IF($A164="","",$C164-$D164)</f>
        <v/>
      </c>
      <c r="F164" s="69">
        <f>IF(OR($A164="",$D164=0),"",$C164/$D164)</f>
        <v/>
      </c>
    </row>
    <row r="165">
      <c r="A165" s="16">
        <f>IF(Deals!$A162="","",Deals!$A162)</f>
        <v/>
      </c>
      <c r="B165" s="18">
        <f>IF($A165="","",Deals!$R162)</f>
        <v/>
      </c>
      <c r="C165" s="67">
        <f>IF($A165="","",SUMIFS(Actuals!$D$7:$D$206,Actuals!$E$7:$E$206,$A165,Actuals!$K$7:$K$206,"OK"))</f>
        <v/>
      </c>
      <c r="D165" s="67">
        <f>IF($A165="","",SUMIFS(Actuals!$I$7:$I$206,Actuals!$E$7:$E$206,$A165,Actuals!$K$7:$K$206,"OK"))</f>
        <v/>
      </c>
      <c r="E165" s="68">
        <f>IF($A165="","",$C165-$D165)</f>
        <v/>
      </c>
      <c r="F165" s="69">
        <f>IF(OR($A165="",$D165=0),"",$C165/$D165)</f>
        <v/>
      </c>
    </row>
    <row r="166">
      <c r="A166" s="16">
        <f>IF(Deals!$A163="","",Deals!$A163)</f>
        <v/>
      </c>
      <c r="B166" s="18">
        <f>IF($A166="","",Deals!$R163)</f>
        <v/>
      </c>
      <c r="C166" s="67">
        <f>IF($A166="","",SUMIFS(Actuals!$D$7:$D$206,Actuals!$E$7:$E$206,$A166,Actuals!$K$7:$K$206,"OK"))</f>
        <v/>
      </c>
      <c r="D166" s="67">
        <f>IF($A166="","",SUMIFS(Actuals!$I$7:$I$206,Actuals!$E$7:$E$206,$A166,Actuals!$K$7:$K$206,"OK"))</f>
        <v/>
      </c>
      <c r="E166" s="68">
        <f>IF($A166="","",$C166-$D166)</f>
        <v/>
      </c>
      <c r="F166" s="69">
        <f>IF(OR($A166="",$D166=0),"",$C166/$D166)</f>
        <v/>
      </c>
    </row>
    <row r="167">
      <c r="A167" s="16">
        <f>IF(Deals!$A164="","",Deals!$A164)</f>
        <v/>
      </c>
      <c r="B167" s="18">
        <f>IF($A167="","",Deals!$R164)</f>
        <v/>
      </c>
      <c r="C167" s="67">
        <f>IF($A167="","",SUMIFS(Actuals!$D$7:$D$206,Actuals!$E$7:$E$206,$A167,Actuals!$K$7:$K$206,"OK"))</f>
        <v/>
      </c>
      <c r="D167" s="67">
        <f>IF($A167="","",SUMIFS(Actuals!$I$7:$I$206,Actuals!$E$7:$E$206,$A167,Actuals!$K$7:$K$206,"OK"))</f>
        <v/>
      </c>
      <c r="E167" s="68">
        <f>IF($A167="","",$C167-$D167)</f>
        <v/>
      </c>
      <c r="F167" s="69">
        <f>IF(OR($A167="",$D167=0),"",$C167/$D167)</f>
        <v/>
      </c>
    </row>
    <row r="168">
      <c r="A168" s="16">
        <f>IF(Deals!$A165="","",Deals!$A165)</f>
        <v/>
      </c>
      <c r="B168" s="18">
        <f>IF($A168="","",Deals!$R165)</f>
        <v/>
      </c>
      <c r="C168" s="67">
        <f>IF($A168="","",SUMIFS(Actuals!$D$7:$D$206,Actuals!$E$7:$E$206,$A168,Actuals!$K$7:$K$206,"OK"))</f>
        <v/>
      </c>
      <c r="D168" s="67">
        <f>IF($A168="","",SUMIFS(Actuals!$I$7:$I$206,Actuals!$E$7:$E$206,$A168,Actuals!$K$7:$K$206,"OK"))</f>
        <v/>
      </c>
      <c r="E168" s="68">
        <f>IF($A168="","",$C168-$D168)</f>
        <v/>
      </c>
      <c r="F168" s="69">
        <f>IF(OR($A168="",$D168=0),"",$C168/$D168)</f>
        <v/>
      </c>
    </row>
    <row r="169">
      <c r="A169" s="16">
        <f>IF(Deals!$A166="","",Deals!$A166)</f>
        <v/>
      </c>
      <c r="B169" s="18">
        <f>IF($A169="","",Deals!$R166)</f>
        <v/>
      </c>
      <c r="C169" s="67">
        <f>IF($A169="","",SUMIFS(Actuals!$D$7:$D$206,Actuals!$E$7:$E$206,$A169,Actuals!$K$7:$K$206,"OK"))</f>
        <v/>
      </c>
      <c r="D169" s="67">
        <f>IF($A169="","",SUMIFS(Actuals!$I$7:$I$206,Actuals!$E$7:$E$206,$A169,Actuals!$K$7:$K$206,"OK"))</f>
        <v/>
      </c>
      <c r="E169" s="68">
        <f>IF($A169="","",$C169-$D169)</f>
        <v/>
      </c>
      <c r="F169" s="69">
        <f>IF(OR($A169="",$D169=0),"",$C169/$D169)</f>
        <v/>
      </c>
    </row>
    <row r="170">
      <c r="A170" s="16">
        <f>IF(Deals!$A167="","",Deals!$A167)</f>
        <v/>
      </c>
      <c r="B170" s="18">
        <f>IF($A170="","",Deals!$R167)</f>
        <v/>
      </c>
      <c r="C170" s="67">
        <f>IF($A170="","",SUMIFS(Actuals!$D$7:$D$206,Actuals!$E$7:$E$206,$A170,Actuals!$K$7:$K$206,"OK"))</f>
        <v/>
      </c>
      <c r="D170" s="67">
        <f>IF($A170="","",SUMIFS(Actuals!$I$7:$I$206,Actuals!$E$7:$E$206,$A170,Actuals!$K$7:$K$206,"OK"))</f>
        <v/>
      </c>
      <c r="E170" s="68">
        <f>IF($A170="","",$C170-$D170)</f>
        <v/>
      </c>
      <c r="F170" s="69">
        <f>IF(OR($A170="",$D170=0),"",$C170/$D170)</f>
        <v/>
      </c>
    </row>
    <row r="171">
      <c r="A171" s="16">
        <f>IF(Deals!$A168="","",Deals!$A168)</f>
        <v/>
      </c>
      <c r="B171" s="18">
        <f>IF($A171="","",Deals!$R168)</f>
        <v/>
      </c>
      <c r="C171" s="67">
        <f>IF($A171="","",SUMIFS(Actuals!$D$7:$D$206,Actuals!$E$7:$E$206,$A171,Actuals!$K$7:$K$206,"OK"))</f>
        <v/>
      </c>
      <c r="D171" s="67">
        <f>IF($A171="","",SUMIFS(Actuals!$I$7:$I$206,Actuals!$E$7:$E$206,$A171,Actuals!$K$7:$K$206,"OK"))</f>
        <v/>
      </c>
      <c r="E171" s="68">
        <f>IF($A171="","",$C171-$D171)</f>
        <v/>
      </c>
      <c r="F171" s="69">
        <f>IF(OR($A171="",$D171=0),"",$C171/$D171)</f>
        <v/>
      </c>
    </row>
    <row r="172">
      <c r="A172" s="16">
        <f>IF(Deals!$A169="","",Deals!$A169)</f>
        <v/>
      </c>
      <c r="B172" s="18">
        <f>IF($A172="","",Deals!$R169)</f>
        <v/>
      </c>
      <c r="C172" s="67">
        <f>IF($A172="","",SUMIFS(Actuals!$D$7:$D$206,Actuals!$E$7:$E$206,$A172,Actuals!$K$7:$K$206,"OK"))</f>
        <v/>
      </c>
      <c r="D172" s="67">
        <f>IF($A172="","",SUMIFS(Actuals!$I$7:$I$206,Actuals!$E$7:$E$206,$A172,Actuals!$K$7:$K$206,"OK"))</f>
        <v/>
      </c>
      <c r="E172" s="68">
        <f>IF($A172="","",$C172-$D172)</f>
        <v/>
      </c>
      <c r="F172" s="69">
        <f>IF(OR($A172="",$D172=0),"",$C172/$D172)</f>
        <v/>
      </c>
    </row>
    <row r="173">
      <c r="A173" s="16">
        <f>IF(Deals!$A170="","",Deals!$A170)</f>
        <v/>
      </c>
      <c r="B173" s="18">
        <f>IF($A173="","",Deals!$R170)</f>
        <v/>
      </c>
      <c r="C173" s="67">
        <f>IF($A173="","",SUMIFS(Actuals!$D$7:$D$206,Actuals!$E$7:$E$206,$A173,Actuals!$K$7:$K$206,"OK"))</f>
        <v/>
      </c>
      <c r="D173" s="67">
        <f>IF($A173="","",SUMIFS(Actuals!$I$7:$I$206,Actuals!$E$7:$E$206,$A173,Actuals!$K$7:$K$206,"OK"))</f>
        <v/>
      </c>
      <c r="E173" s="68">
        <f>IF($A173="","",$C173-$D173)</f>
        <v/>
      </c>
      <c r="F173" s="69">
        <f>IF(OR($A173="",$D173=0),"",$C173/$D173)</f>
        <v/>
      </c>
    </row>
    <row r="174">
      <c r="A174" s="16">
        <f>IF(Deals!$A171="","",Deals!$A171)</f>
        <v/>
      </c>
      <c r="B174" s="18">
        <f>IF($A174="","",Deals!$R171)</f>
        <v/>
      </c>
      <c r="C174" s="67">
        <f>IF($A174="","",SUMIFS(Actuals!$D$7:$D$206,Actuals!$E$7:$E$206,$A174,Actuals!$K$7:$K$206,"OK"))</f>
        <v/>
      </c>
      <c r="D174" s="67">
        <f>IF($A174="","",SUMIFS(Actuals!$I$7:$I$206,Actuals!$E$7:$E$206,$A174,Actuals!$K$7:$K$206,"OK"))</f>
        <v/>
      </c>
      <c r="E174" s="68">
        <f>IF($A174="","",$C174-$D174)</f>
        <v/>
      </c>
      <c r="F174" s="69">
        <f>IF(OR($A174="",$D174=0),"",$C174/$D174)</f>
        <v/>
      </c>
    </row>
    <row r="175">
      <c r="A175" s="16">
        <f>IF(Deals!$A172="","",Deals!$A172)</f>
        <v/>
      </c>
      <c r="B175" s="18">
        <f>IF($A175="","",Deals!$R172)</f>
        <v/>
      </c>
      <c r="C175" s="67">
        <f>IF($A175="","",SUMIFS(Actuals!$D$7:$D$206,Actuals!$E$7:$E$206,$A175,Actuals!$K$7:$K$206,"OK"))</f>
        <v/>
      </c>
      <c r="D175" s="67">
        <f>IF($A175="","",SUMIFS(Actuals!$I$7:$I$206,Actuals!$E$7:$E$206,$A175,Actuals!$K$7:$K$206,"OK"))</f>
        <v/>
      </c>
      <c r="E175" s="68">
        <f>IF($A175="","",$C175-$D175)</f>
        <v/>
      </c>
      <c r="F175" s="69">
        <f>IF(OR($A175="",$D175=0),"",$C175/$D175)</f>
        <v/>
      </c>
    </row>
    <row r="176">
      <c r="A176" s="16">
        <f>IF(Deals!$A173="","",Deals!$A173)</f>
        <v/>
      </c>
      <c r="B176" s="18">
        <f>IF($A176="","",Deals!$R173)</f>
        <v/>
      </c>
      <c r="C176" s="67">
        <f>IF($A176="","",SUMIFS(Actuals!$D$7:$D$206,Actuals!$E$7:$E$206,$A176,Actuals!$K$7:$K$206,"OK"))</f>
        <v/>
      </c>
      <c r="D176" s="67">
        <f>IF($A176="","",SUMIFS(Actuals!$I$7:$I$206,Actuals!$E$7:$E$206,$A176,Actuals!$K$7:$K$206,"OK"))</f>
        <v/>
      </c>
      <c r="E176" s="68">
        <f>IF($A176="","",$C176-$D176)</f>
        <v/>
      </c>
      <c r="F176" s="69">
        <f>IF(OR($A176="",$D176=0),"",$C176/$D176)</f>
        <v/>
      </c>
    </row>
    <row r="177">
      <c r="A177" s="16">
        <f>IF(Deals!$A174="","",Deals!$A174)</f>
        <v/>
      </c>
      <c r="B177" s="18">
        <f>IF($A177="","",Deals!$R174)</f>
        <v/>
      </c>
      <c r="C177" s="67">
        <f>IF($A177="","",SUMIFS(Actuals!$D$7:$D$206,Actuals!$E$7:$E$206,$A177,Actuals!$K$7:$K$206,"OK"))</f>
        <v/>
      </c>
      <c r="D177" s="67">
        <f>IF($A177="","",SUMIFS(Actuals!$I$7:$I$206,Actuals!$E$7:$E$206,$A177,Actuals!$K$7:$K$206,"OK"))</f>
        <v/>
      </c>
      <c r="E177" s="68">
        <f>IF($A177="","",$C177-$D177)</f>
        <v/>
      </c>
      <c r="F177" s="69">
        <f>IF(OR($A177="",$D177=0),"",$C177/$D177)</f>
        <v/>
      </c>
    </row>
    <row r="178">
      <c r="A178" s="16">
        <f>IF(Deals!$A175="","",Deals!$A175)</f>
        <v/>
      </c>
      <c r="B178" s="18">
        <f>IF($A178="","",Deals!$R175)</f>
        <v/>
      </c>
      <c r="C178" s="67">
        <f>IF($A178="","",SUMIFS(Actuals!$D$7:$D$206,Actuals!$E$7:$E$206,$A178,Actuals!$K$7:$K$206,"OK"))</f>
        <v/>
      </c>
      <c r="D178" s="67">
        <f>IF($A178="","",SUMIFS(Actuals!$I$7:$I$206,Actuals!$E$7:$E$206,$A178,Actuals!$K$7:$K$206,"OK"))</f>
        <v/>
      </c>
      <c r="E178" s="68">
        <f>IF($A178="","",$C178-$D178)</f>
        <v/>
      </c>
      <c r="F178" s="69">
        <f>IF(OR($A178="",$D178=0),"",$C178/$D178)</f>
        <v/>
      </c>
    </row>
    <row r="179">
      <c r="A179" s="16">
        <f>IF(Deals!$A176="","",Deals!$A176)</f>
        <v/>
      </c>
      <c r="B179" s="18">
        <f>IF($A179="","",Deals!$R176)</f>
        <v/>
      </c>
      <c r="C179" s="67">
        <f>IF($A179="","",SUMIFS(Actuals!$D$7:$D$206,Actuals!$E$7:$E$206,$A179,Actuals!$K$7:$K$206,"OK"))</f>
        <v/>
      </c>
      <c r="D179" s="67">
        <f>IF($A179="","",SUMIFS(Actuals!$I$7:$I$206,Actuals!$E$7:$E$206,$A179,Actuals!$K$7:$K$206,"OK"))</f>
        <v/>
      </c>
      <c r="E179" s="68">
        <f>IF($A179="","",$C179-$D179)</f>
        <v/>
      </c>
      <c r="F179" s="69">
        <f>IF(OR($A179="",$D179=0),"",$C179/$D179)</f>
        <v/>
      </c>
    </row>
    <row r="180">
      <c r="A180" s="16">
        <f>IF(Deals!$A177="","",Deals!$A177)</f>
        <v/>
      </c>
      <c r="B180" s="18">
        <f>IF($A180="","",Deals!$R177)</f>
        <v/>
      </c>
      <c r="C180" s="67">
        <f>IF($A180="","",SUMIFS(Actuals!$D$7:$D$206,Actuals!$E$7:$E$206,$A180,Actuals!$K$7:$K$206,"OK"))</f>
        <v/>
      </c>
      <c r="D180" s="67">
        <f>IF($A180="","",SUMIFS(Actuals!$I$7:$I$206,Actuals!$E$7:$E$206,$A180,Actuals!$K$7:$K$206,"OK"))</f>
        <v/>
      </c>
      <c r="E180" s="68">
        <f>IF($A180="","",$C180-$D180)</f>
        <v/>
      </c>
      <c r="F180" s="69">
        <f>IF(OR($A180="",$D180=0),"",$C180/$D180)</f>
        <v/>
      </c>
    </row>
    <row r="181">
      <c r="A181" s="16">
        <f>IF(Deals!$A178="","",Deals!$A178)</f>
        <v/>
      </c>
      <c r="B181" s="18">
        <f>IF($A181="","",Deals!$R178)</f>
        <v/>
      </c>
      <c r="C181" s="67">
        <f>IF($A181="","",SUMIFS(Actuals!$D$7:$D$206,Actuals!$E$7:$E$206,$A181,Actuals!$K$7:$K$206,"OK"))</f>
        <v/>
      </c>
      <c r="D181" s="67">
        <f>IF($A181="","",SUMIFS(Actuals!$I$7:$I$206,Actuals!$E$7:$E$206,$A181,Actuals!$K$7:$K$206,"OK"))</f>
        <v/>
      </c>
      <c r="E181" s="68">
        <f>IF($A181="","",$C181-$D181)</f>
        <v/>
      </c>
      <c r="F181" s="69">
        <f>IF(OR($A181="",$D181=0),"",$C181/$D181)</f>
        <v/>
      </c>
    </row>
    <row r="182">
      <c r="A182" s="16">
        <f>IF(Deals!$A179="","",Deals!$A179)</f>
        <v/>
      </c>
      <c r="B182" s="18">
        <f>IF($A182="","",Deals!$R179)</f>
        <v/>
      </c>
      <c r="C182" s="67">
        <f>IF($A182="","",SUMIFS(Actuals!$D$7:$D$206,Actuals!$E$7:$E$206,$A182,Actuals!$K$7:$K$206,"OK"))</f>
        <v/>
      </c>
      <c r="D182" s="67">
        <f>IF($A182="","",SUMIFS(Actuals!$I$7:$I$206,Actuals!$E$7:$E$206,$A182,Actuals!$K$7:$K$206,"OK"))</f>
        <v/>
      </c>
      <c r="E182" s="68">
        <f>IF($A182="","",$C182-$D182)</f>
        <v/>
      </c>
      <c r="F182" s="69">
        <f>IF(OR($A182="",$D182=0),"",$C182/$D182)</f>
        <v/>
      </c>
    </row>
    <row r="183">
      <c r="A183" s="16">
        <f>IF(Deals!$A180="","",Deals!$A180)</f>
        <v/>
      </c>
      <c r="B183" s="18">
        <f>IF($A183="","",Deals!$R180)</f>
        <v/>
      </c>
      <c r="C183" s="67">
        <f>IF($A183="","",SUMIFS(Actuals!$D$7:$D$206,Actuals!$E$7:$E$206,$A183,Actuals!$K$7:$K$206,"OK"))</f>
        <v/>
      </c>
      <c r="D183" s="67">
        <f>IF($A183="","",SUMIFS(Actuals!$I$7:$I$206,Actuals!$E$7:$E$206,$A183,Actuals!$K$7:$K$206,"OK"))</f>
        <v/>
      </c>
      <c r="E183" s="68">
        <f>IF($A183="","",$C183-$D183)</f>
        <v/>
      </c>
      <c r="F183" s="69">
        <f>IF(OR($A183="",$D183=0),"",$C183/$D183)</f>
        <v/>
      </c>
    </row>
    <row r="184">
      <c r="A184" s="16">
        <f>IF(Deals!$A181="","",Deals!$A181)</f>
        <v/>
      </c>
      <c r="B184" s="18">
        <f>IF($A184="","",Deals!$R181)</f>
        <v/>
      </c>
      <c r="C184" s="67">
        <f>IF($A184="","",SUMIFS(Actuals!$D$7:$D$206,Actuals!$E$7:$E$206,$A184,Actuals!$K$7:$K$206,"OK"))</f>
        <v/>
      </c>
      <c r="D184" s="67">
        <f>IF($A184="","",SUMIFS(Actuals!$I$7:$I$206,Actuals!$E$7:$E$206,$A184,Actuals!$K$7:$K$206,"OK"))</f>
        <v/>
      </c>
      <c r="E184" s="68">
        <f>IF($A184="","",$C184-$D184)</f>
        <v/>
      </c>
      <c r="F184" s="69">
        <f>IF(OR($A184="",$D184=0),"",$C184/$D184)</f>
        <v/>
      </c>
    </row>
    <row r="185">
      <c r="A185" s="16">
        <f>IF(Deals!$A182="","",Deals!$A182)</f>
        <v/>
      </c>
      <c r="B185" s="18">
        <f>IF($A185="","",Deals!$R182)</f>
        <v/>
      </c>
      <c r="C185" s="67">
        <f>IF($A185="","",SUMIFS(Actuals!$D$7:$D$206,Actuals!$E$7:$E$206,$A185,Actuals!$K$7:$K$206,"OK"))</f>
        <v/>
      </c>
      <c r="D185" s="67">
        <f>IF($A185="","",SUMIFS(Actuals!$I$7:$I$206,Actuals!$E$7:$E$206,$A185,Actuals!$K$7:$K$206,"OK"))</f>
        <v/>
      </c>
      <c r="E185" s="68">
        <f>IF($A185="","",$C185-$D185)</f>
        <v/>
      </c>
      <c r="F185" s="69">
        <f>IF(OR($A185="",$D185=0),"",$C185/$D185)</f>
        <v/>
      </c>
    </row>
    <row r="186">
      <c r="A186" s="16">
        <f>IF(Deals!$A183="","",Deals!$A183)</f>
        <v/>
      </c>
      <c r="B186" s="18">
        <f>IF($A186="","",Deals!$R183)</f>
        <v/>
      </c>
      <c r="C186" s="67">
        <f>IF($A186="","",SUMIFS(Actuals!$D$7:$D$206,Actuals!$E$7:$E$206,$A186,Actuals!$K$7:$K$206,"OK"))</f>
        <v/>
      </c>
      <c r="D186" s="67">
        <f>IF($A186="","",SUMIFS(Actuals!$I$7:$I$206,Actuals!$E$7:$E$206,$A186,Actuals!$K$7:$K$206,"OK"))</f>
        <v/>
      </c>
      <c r="E186" s="68">
        <f>IF($A186="","",$C186-$D186)</f>
        <v/>
      </c>
      <c r="F186" s="69">
        <f>IF(OR($A186="",$D186=0),"",$C186/$D186)</f>
        <v/>
      </c>
    </row>
    <row r="187">
      <c r="A187" s="16">
        <f>IF(Deals!$A184="","",Deals!$A184)</f>
        <v/>
      </c>
      <c r="B187" s="18">
        <f>IF($A187="","",Deals!$R184)</f>
        <v/>
      </c>
      <c r="C187" s="67">
        <f>IF($A187="","",SUMIFS(Actuals!$D$7:$D$206,Actuals!$E$7:$E$206,$A187,Actuals!$K$7:$K$206,"OK"))</f>
        <v/>
      </c>
      <c r="D187" s="67">
        <f>IF($A187="","",SUMIFS(Actuals!$I$7:$I$206,Actuals!$E$7:$E$206,$A187,Actuals!$K$7:$K$206,"OK"))</f>
        <v/>
      </c>
      <c r="E187" s="68">
        <f>IF($A187="","",$C187-$D187)</f>
        <v/>
      </c>
      <c r="F187" s="69">
        <f>IF(OR($A187="",$D187=0),"",$C187/$D187)</f>
        <v/>
      </c>
    </row>
    <row r="188">
      <c r="A188" s="16">
        <f>IF(Deals!$A185="","",Deals!$A185)</f>
        <v/>
      </c>
      <c r="B188" s="18">
        <f>IF($A188="","",Deals!$R185)</f>
        <v/>
      </c>
      <c r="C188" s="67">
        <f>IF($A188="","",SUMIFS(Actuals!$D$7:$D$206,Actuals!$E$7:$E$206,$A188,Actuals!$K$7:$K$206,"OK"))</f>
        <v/>
      </c>
      <c r="D188" s="67">
        <f>IF($A188="","",SUMIFS(Actuals!$I$7:$I$206,Actuals!$E$7:$E$206,$A188,Actuals!$K$7:$K$206,"OK"))</f>
        <v/>
      </c>
      <c r="E188" s="68">
        <f>IF($A188="","",$C188-$D188)</f>
        <v/>
      </c>
      <c r="F188" s="69">
        <f>IF(OR($A188="",$D188=0),"",$C188/$D188)</f>
        <v/>
      </c>
    </row>
    <row r="189">
      <c r="A189" s="16">
        <f>IF(Deals!$A186="","",Deals!$A186)</f>
        <v/>
      </c>
      <c r="B189" s="18">
        <f>IF($A189="","",Deals!$R186)</f>
        <v/>
      </c>
      <c r="C189" s="67">
        <f>IF($A189="","",SUMIFS(Actuals!$D$7:$D$206,Actuals!$E$7:$E$206,$A189,Actuals!$K$7:$K$206,"OK"))</f>
        <v/>
      </c>
      <c r="D189" s="67">
        <f>IF($A189="","",SUMIFS(Actuals!$I$7:$I$206,Actuals!$E$7:$E$206,$A189,Actuals!$K$7:$K$206,"OK"))</f>
        <v/>
      </c>
      <c r="E189" s="68">
        <f>IF($A189="","",$C189-$D189)</f>
        <v/>
      </c>
      <c r="F189" s="69">
        <f>IF(OR($A189="",$D189=0),"",$C189/$D189)</f>
        <v/>
      </c>
    </row>
    <row r="190">
      <c r="A190" s="16">
        <f>IF(Deals!$A187="","",Deals!$A187)</f>
        <v/>
      </c>
      <c r="B190" s="18">
        <f>IF($A190="","",Deals!$R187)</f>
        <v/>
      </c>
      <c r="C190" s="67">
        <f>IF($A190="","",SUMIFS(Actuals!$D$7:$D$206,Actuals!$E$7:$E$206,$A190,Actuals!$K$7:$K$206,"OK"))</f>
        <v/>
      </c>
      <c r="D190" s="67">
        <f>IF($A190="","",SUMIFS(Actuals!$I$7:$I$206,Actuals!$E$7:$E$206,$A190,Actuals!$K$7:$K$206,"OK"))</f>
        <v/>
      </c>
      <c r="E190" s="68">
        <f>IF($A190="","",$C190-$D190)</f>
        <v/>
      </c>
      <c r="F190" s="69">
        <f>IF(OR($A190="",$D190=0),"",$C190/$D190)</f>
        <v/>
      </c>
    </row>
    <row r="191">
      <c r="A191" s="16">
        <f>IF(Deals!$A188="","",Deals!$A188)</f>
        <v/>
      </c>
      <c r="B191" s="18">
        <f>IF($A191="","",Deals!$R188)</f>
        <v/>
      </c>
      <c r="C191" s="67">
        <f>IF($A191="","",SUMIFS(Actuals!$D$7:$D$206,Actuals!$E$7:$E$206,$A191,Actuals!$K$7:$K$206,"OK"))</f>
        <v/>
      </c>
      <c r="D191" s="67">
        <f>IF($A191="","",SUMIFS(Actuals!$I$7:$I$206,Actuals!$E$7:$E$206,$A191,Actuals!$K$7:$K$206,"OK"))</f>
        <v/>
      </c>
      <c r="E191" s="68">
        <f>IF($A191="","",$C191-$D191)</f>
        <v/>
      </c>
      <c r="F191" s="69">
        <f>IF(OR($A191="",$D191=0),"",$C191/$D191)</f>
        <v/>
      </c>
    </row>
    <row r="192">
      <c r="A192" s="16">
        <f>IF(Deals!$A189="","",Deals!$A189)</f>
        <v/>
      </c>
      <c r="B192" s="18">
        <f>IF($A192="","",Deals!$R189)</f>
        <v/>
      </c>
      <c r="C192" s="67">
        <f>IF($A192="","",SUMIFS(Actuals!$D$7:$D$206,Actuals!$E$7:$E$206,$A192,Actuals!$K$7:$K$206,"OK"))</f>
        <v/>
      </c>
      <c r="D192" s="67">
        <f>IF($A192="","",SUMIFS(Actuals!$I$7:$I$206,Actuals!$E$7:$E$206,$A192,Actuals!$K$7:$K$206,"OK"))</f>
        <v/>
      </c>
      <c r="E192" s="68">
        <f>IF($A192="","",$C192-$D192)</f>
        <v/>
      </c>
      <c r="F192" s="69">
        <f>IF(OR($A192="",$D192=0),"",$C192/$D192)</f>
        <v/>
      </c>
    </row>
    <row r="193">
      <c r="A193" s="16">
        <f>IF(Deals!$A190="","",Deals!$A190)</f>
        <v/>
      </c>
      <c r="B193" s="18">
        <f>IF($A193="","",Deals!$R190)</f>
        <v/>
      </c>
      <c r="C193" s="67">
        <f>IF($A193="","",SUMIFS(Actuals!$D$7:$D$206,Actuals!$E$7:$E$206,$A193,Actuals!$K$7:$K$206,"OK"))</f>
        <v/>
      </c>
      <c r="D193" s="67">
        <f>IF($A193="","",SUMIFS(Actuals!$I$7:$I$206,Actuals!$E$7:$E$206,$A193,Actuals!$K$7:$K$206,"OK"))</f>
        <v/>
      </c>
      <c r="E193" s="68">
        <f>IF($A193="","",$C193-$D193)</f>
        <v/>
      </c>
      <c r="F193" s="69">
        <f>IF(OR($A193="",$D193=0),"",$C193/$D193)</f>
        <v/>
      </c>
    </row>
    <row r="194">
      <c r="A194" s="16">
        <f>IF(Deals!$A191="","",Deals!$A191)</f>
        <v/>
      </c>
      <c r="B194" s="18">
        <f>IF($A194="","",Deals!$R191)</f>
        <v/>
      </c>
      <c r="C194" s="67">
        <f>IF($A194="","",SUMIFS(Actuals!$D$7:$D$206,Actuals!$E$7:$E$206,$A194,Actuals!$K$7:$K$206,"OK"))</f>
        <v/>
      </c>
      <c r="D194" s="67">
        <f>IF($A194="","",SUMIFS(Actuals!$I$7:$I$206,Actuals!$E$7:$E$206,$A194,Actuals!$K$7:$K$206,"OK"))</f>
        <v/>
      </c>
      <c r="E194" s="68">
        <f>IF($A194="","",$C194-$D194)</f>
        <v/>
      </c>
      <c r="F194" s="69">
        <f>IF(OR($A194="",$D194=0),"",$C194/$D194)</f>
        <v/>
      </c>
    </row>
    <row r="195">
      <c r="A195" s="16">
        <f>IF(Deals!$A192="","",Deals!$A192)</f>
        <v/>
      </c>
      <c r="B195" s="18">
        <f>IF($A195="","",Deals!$R192)</f>
        <v/>
      </c>
      <c r="C195" s="67">
        <f>IF($A195="","",SUMIFS(Actuals!$D$7:$D$206,Actuals!$E$7:$E$206,$A195,Actuals!$K$7:$K$206,"OK"))</f>
        <v/>
      </c>
      <c r="D195" s="67">
        <f>IF($A195="","",SUMIFS(Actuals!$I$7:$I$206,Actuals!$E$7:$E$206,$A195,Actuals!$K$7:$K$206,"OK"))</f>
        <v/>
      </c>
      <c r="E195" s="68">
        <f>IF($A195="","",$C195-$D195)</f>
        <v/>
      </c>
      <c r="F195" s="69">
        <f>IF(OR($A195="",$D195=0),"",$C195/$D195)</f>
        <v/>
      </c>
    </row>
    <row r="196">
      <c r="A196" s="16">
        <f>IF(Deals!$A193="","",Deals!$A193)</f>
        <v/>
      </c>
      <c r="B196" s="18">
        <f>IF($A196="","",Deals!$R193)</f>
        <v/>
      </c>
      <c r="C196" s="67">
        <f>IF($A196="","",SUMIFS(Actuals!$D$7:$D$206,Actuals!$E$7:$E$206,$A196,Actuals!$K$7:$K$206,"OK"))</f>
        <v/>
      </c>
      <c r="D196" s="67">
        <f>IF($A196="","",SUMIFS(Actuals!$I$7:$I$206,Actuals!$E$7:$E$206,$A196,Actuals!$K$7:$K$206,"OK"))</f>
        <v/>
      </c>
      <c r="E196" s="68">
        <f>IF($A196="","",$C196-$D196)</f>
        <v/>
      </c>
      <c r="F196" s="69">
        <f>IF(OR($A196="",$D196=0),"",$C196/$D196)</f>
        <v/>
      </c>
    </row>
    <row r="197">
      <c r="A197" s="16">
        <f>IF(Deals!$A194="","",Deals!$A194)</f>
        <v/>
      </c>
      <c r="B197" s="18">
        <f>IF($A197="","",Deals!$R194)</f>
        <v/>
      </c>
      <c r="C197" s="67">
        <f>IF($A197="","",SUMIFS(Actuals!$D$7:$D$206,Actuals!$E$7:$E$206,$A197,Actuals!$K$7:$K$206,"OK"))</f>
        <v/>
      </c>
      <c r="D197" s="67">
        <f>IF($A197="","",SUMIFS(Actuals!$I$7:$I$206,Actuals!$E$7:$E$206,$A197,Actuals!$K$7:$K$206,"OK"))</f>
        <v/>
      </c>
      <c r="E197" s="68">
        <f>IF($A197="","",$C197-$D197)</f>
        <v/>
      </c>
      <c r="F197" s="69">
        <f>IF(OR($A197="",$D197=0),"",$C197/$D197)</f>
        <v/>
      </c>
    </row>
    <row r="198">
      <c r="A198" s="16">
        <f>IF(Deals!$A195="","",Deals!$A195)</f>
        <v/>
      </c>
      <c r="B198" s="18">
        <f>IF($A198="","",Deals!$R195)</f>
        <v/>
      </c>
      <c r="C198" s="67">
        <f>IF($A198="","",SUMIFS(Actuals!$D$7:$D$206,Actuals!$E$7:$E$206,$A198,Actuals!$K$7:$K$206,"OK"))</f>
        <v/>
      </c>
      <c r="D198" s="67">
        <f>IF($A198="","",SUMIFS(Actuals!$I$7:$I$206,Actuals!$E$7:$E$206,$A198,Actuals!$K$7:$K$206,"OK"))</f>
        <v/>
      </c>
      <c r="E198" s="68">
        <f>IF($A198="","",$C198-$D198)</f>
        <v/>
      </c>
      <c r="F198" s="69">
        <f>IF(OR($A198="",$D198=0),"",$C198/$D198)</f>
        <v/>
      </c>
    </row>
    <row r="199">
      <c r="A199" s="16">
        <f>IF(Deals!$A196="","",Deals!$A196)</f>
        <v/>
      </c>
      <c r="B199" s="18">
        <f>IF($A199="","",Deals!$R196)</f>
        <v/>
      </c>
      <c r="C199" s="67">
        <f>IF($A199="","",SUMIFS(Actuals!$D$7:$D$206,Actuals!$E$7:$E$206,$A199,Actuals!$K$7:$K$206,"OK"))</f>
        <v/>
      </c>
      <c r="D199" s="67">
        <f>IF($A199="","",SUMIFS(Actuals!$I$7:$I$206,Actuals!$E$7:$E$206,$A199,Actuals!$K$7:$K$206,"OK"))</f>
        <v/>
      </c>
      <c r="E199" s="68">
        <f>IF($A199="","",$C199-$D199)</f>
        <v/>
      </c>
      <c r="F199" s="69">
        <f>IF(OR($A199="",$D199=0),"",$C199/$D199)</f>
        <v/>
      </c>
    </row>
    <row r="200">
      <c r="A200" s="16">
        <f>IF(Deals!$A197="","",Deals!$A197)</f>
        <v/>
      </c>
      <c r="B200" s="18">
        <f>IF($A200="","",Deals!$R197)</f>
        <v/>
      </c>
      <c r="C200" s="67">
        <f>IF($A200="","",SUMIFS(Actuals!$D$7:$D$206,Actuals!$E$7:$E$206,$A200,Actuals!$K$7:$K$206,"OK"))</f>
        <v/>
      </c>
      <c r="D200" s="67">
        <f>IF($A200="","",SUMIFS(Actuals!$I$7:$I$206,Actuals!$E$7:$E$206,$A200,Actuals!$K$7:$K$206,"OK"))</f>
        <v/>
      </c>
      <c r="E200" s="68">
        <f>IF($A200="","",$C200-$D200)</f>
        <v/>
      </c>
      <c r="F200" s="69">
        <f>IF(OR($A200="",$D200=0),"",$C200/$D200)</f>
        <v/>
      </c>
    </row>
    <row r="201">
      <c r="A201" s="16">
        <f>IF(Deals!$A198="","",Deals!$A198)</f>
        <v/>
      </c>
      <c r="B201" s="18">
        <f>IF($A201="","",Deals!$R198)</f>
        <v/>
      </c>
      <c r="C201" s="67">
        <f>IF($A201="","",SUMIFS(Actuals!$D$7:$D$206,Actuals!$E$7:$E$206,$A201,Actuals!$K$7:$K$206,"OK"))</f>
        <v/>
      </c>
      <c r="D201" s="67">
        <f>IF($A201="","",SUMIFS(Actuals!$I$7:$I$206,Actuals!$E$7:$E$206,$A201,Actuals!$K$7:$K$206,"OK"))</f>
        <v/>
      </c>
      <c r="E201" s="68">
        <f>IF($A201="","",$C201-$D201)</f>
        <v/>
      </c>
      <c r="F201" s="69">
        <f>IF(OR($A201="",$D201=0),"",$C201/$D201)</f>
        <v/>
      </c>
    </row>
    <row r="202">
      <c r="A202" s="16">
        <f>IF(Deals!$A199="","",Deals!$A199)</f>
        <v/>
      </c>
      <c r="B202" s="18">
        <f>IF($A202="","",Deals!$R199)</f>
        <v/>
      </c>
      <c r="C202" s="67">
        <f>IF($A202="","",SUMIFS(Actuals!$D$7:$D$206,Actuals!$E$7:$E$206,$A202,Actuals!$K$7:$K$206,"OK"))</f>
        <v/>
      </c>
      <c r="D202" s="67">
        <f>IF($A202="","",SUMIFS(Actuals!$I$7:$I$206,Actuals!$E$7:$E$206,$A202,Actuals!$K$7:$K$206,"OK"))</f>
        <v/>
      </c>
      <c r="E202" s="68">
        <f>IF($A202="","",$C202-$D202)</f>
        <v/>
      </c>
      <c r="F202" s="69">
        <f>IF(OR($A202="",$D202=0),"",$C202/$D202)</f>
        <v/>
      </c>
    </row>
    <row r="203">
      <c r="A203" s="16">
        <f>IF(Deals!$A200="","",Deals!$A200)</f>
        <v/>
      </c>
      <c r="B203" s="18">
        <f>IF($A203="","",Deals!$R200)</f>
        <v/>
      </c>
      <c r="C203" s="67">
        <f>IF($A203="","",SUMIFS(Actuals!$D$7:$D$206,Actuals!$E$7:$E$206,$A203,Actuals!$K$7:$K$206,"OK"))</f>
        <v/>
      </c>
      <c r="D203" s="67">
        <f>IF($A203="","",SUMIFS(Actuals!$I$7:$I$206,Actuals!$E$7:$E$206,$A203,Actuals!$K$7:$K$206,"OK"))</f>
        <v/>
      </c>
      <c r="E203" s="68">
        <f>IF($A203="","",$C203-$D203)</f>
        <v/>
      </c>
      <c r="F203" s="69">
        <f>IF(OR($A203="",$D203=0),"",$C203/$D203)</f>
        <v/>
      </c>
    </row>
    <row r="204">
      <c r="A204" s="16">
        <f>IF(Deals!$A201="","",Deals!$A201)</f>
        <v/>
      </c>
      <c r="B204" s="18">
        <f>IF($A204="","",Deals!$R201)</f>
        <v/>
      </c>
      <c r="C204" s="67">
        <f>IF($A204="","",SUMIFS(Actuals!$D$7:$D$206,Actuals!$E$7:$E$206,$A204,Actuals!$K$7:$K$206,"OK"))</f>
        <v/>
      </c>
      <c r="D204" s="67">
        <f>IF($A204="","",SUMIFS(Actuals!$I$7:$I$206,Actuals!$E$7:$E$206,$A204,Actuals!$K$7:$K$206,"OK"))</f>
        <v/>
      </c>
      <c r="E204" s="68">
        <f>IF($A204="","",$C204-$D204)</f>
        <v/>
      </c>
      <c r="F204" s="69">
        <f>IF(OR($A204="",$D204=0),"",$C204/$D204)</f>
        <v/>
      </c>
    </row>
    <row r="205">
      <c r="A205" s="16">
        <f>IF(Deals!$A202="","",Deals!$A202)</f>
        <v/>
      </c>
      <c r="B205" s="18">
        <f>IF($A205="","",Deals!$R202)</f>
        <v/>
      </c>
      <c r="C205" s="67">
        <f>IF($A205="","",SUMIFS(Actuals!$D$7:$D$206,Actuals!$E$7:$E$206,$A205,Actuals!$K$7:$K$206,"OK"))</f>
        <v/>
      </c>
      <c r="D205" s="67">
        <f>IF($A205="","",SUMIFS(Actuals!$I$7:$I$206,Actuals!$E$7:$E$206,$A205,Actuals!$K$7:$K$206,"OK"))</f>
        <v/>
      </c>
      <c r="E205" s="68">
        <f>IF($A205="","",$C205-$D205)</f>
        <v/>
      </c>
      <c r="F205" s="69">
        <f>IF(OR($A205="",$D205=0),"",$C205/$D205)</f>
        <v/>
      </c>
    </row>
    <row r="206">
      <c r="A206" s="16">
        <f>IF(Deals!$A203="","",Deals!$A203)</f>
        <v/>
      </c>
      <c r="B206" s="18">
        <f>IF($A206="","",Deals!$R203)</f>
        <v/>
      </c>
      <c r="C206" s="67">
        <f>IF($A206="","",SUMIFS(Actuals!$D$7:$D$206,Actuals!$E$7:$E$206,$A206,Actuals!$K$7:$K$206,"OK"))</f>
        <v/>
      </c>
      <c r="D206" s="67">
        <f>IF($A206="","",SUMIFS(Actuals!$I$7:$I$206,Actuals!$E$7:$E$206,$A206,Actuals!$K$7:$K$206,"OK"))</f>
        <v/>
      </c>
      <c r="E206" s="68">
        <f>IF($A206="","",$C206-$D206)</f>
        <v/>
      </c>
      <c r="F206" s="69">
        <f>IF(OR($A206="",$D206=0),"",$C206/$D206)</f>
        <v/>
      </c>
    </row>
    <row r="207">
      <c r="A207" s="16">
        <f>IF(Deals!$A204="","",Deals!$A204)</f>
        <v/>
      </c>
      <c r="B207" s="18">
        <f>IF($A207="","",Deals!$R204)</f>
        <v/>
      </c>
      <c r="C207" s="67">
        <f>IF($A207="","",SUMIFS(Actuals!$D$7:$D$206,Actuals!$E$7:$E$206,$A207,Actuals!$K$7:$K$206,"OK"))</f>
        <v/>
      </c>
      <c r="D207" s="67">
        <f>IF($A207="","",SUMIFS(Actuals!$I$7:$I$206,Actuals!$E$7:$E$206,$A207,Actuals!$K$7:$K$206,"OK"))</f>
        <v/>
      </c>
      <c r="E207" s="68">
        <f>IF($A207="","",$C207-$D207)</f>
        <v/>
      </c>
      <c r="F207" s="69">
        <f>IF(OR($A207="",$D207=0),"",$C207/$D207)</f>
        <v/>
      </c>
    </row>
    <row r="208">
      <c r="A208" s="16">
        <f>IF(Deals!$A205="","",Deals!$A205)</f>
        <v/>
      </c>
      <c r="B208" s="18">
        <f>IF($A208="","",Deals!$R205)</f>
        <v/>
      </c>
      <c r="C208" s="67">
        <f>IF($A208="","",SUMIFS(Actuals!$D$7:$D$206,Actuals!$E$7:$E$206,$A208,Actuals!$K$7:$K$206,"OK"))</f>
        <v/>
      </c>
      <c r="D208" s="67">
        <f>IF($A208="","",SUMIFS(Actuals!$I$7:$I$206,Actuals!$E$7:$E$206,$A208,Actuals!$K$7:$K$206,"OK"))</f>
        <v/>
      </c>
      <c r="E208" s="68">
        <f>IF($A208="","",$C208-$D208)</f>
        <v/>
      </c>
      <c r="F208" s="69">
        <f>IF(OR($A208="",$D208=0),"",$C208/$D208)</f>
        <v/>
      </c>
    </row>
    <row r="209">
      <c r="A209" s="16">
        <f>IF(Deals!$A206="","",Deals!$A206)</f>
        <v/>
      </c>
      <c r="B209" s="18">
        <f>IF($A209="","",Deals!$R206)</f>
        <v/>
      </c>
      <c r="C209" s="67">
        <f>IF($A209="","",SUMIFS(Actuals!$D$7:$D$206,Actuals!$E$7:$E$206,$A209,Actuals!$K$7:$K$206,"OK"))</f>
        <v/>
      </c>
      <c r="D209" s="67">
        <f>IF($A209="","",SUMIFS(Actuals!$I$7:$I$206,Actuals!$E$7:$E$206,$A209,Actuals!$K$7:$K$206,"OK"))</f>
        <v/>
      </c>
      <c r="E209" s="68">
        <f>IF($A209="","",$C209-$D209)</f>
        <v/>
      </c>
      <c r="F209" s="69">
        <f>IF(OR($A209="",$D209=0),"",$C209/$D209)</f>
        <v/>
      </c>
    </row>
    <row r="210">
      <c r="A210" s="16">
        <f>IF(Deals!$A207="","",Deals!$A207)</f>
        <v/>
      </c>
      <c r="B210" s="18">
        <f>IF($A210="","",Deals!$R207)</f>
        <v/>
      </c>
      <c r="C210" s="67">
        <f>IF($A210="","",SUMIFS(Actuals!$D$7:$D$206,Actuals!$E$7:$E$206,$A210,Actuals!$K$7:$K$206,"OK"))</f>
        <v/>
      </c>
      <c r="D210" s="67">
        <f>IF($A210="","",SUMIFS(Actuals!$I$7:$I$206,Actuals!$E$7:$E$206,$A210,Actuals!$K$7:$K$206,"OK"))</f>
        <v/>
      </c>
      <c r="E210" s="68">
        <f>IF($A210="","",$C210-$D210)</f>
        <v/>
      </c>
      <c r="F210" s="69">
        <f>IF(OR($A210="",$D210=0),"",$C210/$D210)</f>
        <v/>
      </c>
    </row>
    <row r="211">
      <c r="A211" s="16">
        <f>IF(Deals!$A208="","",Deals!$A208)</f>
        <v/>
      </c>
      <c r="B211" s="18">
        <f>IF($A211="","",Deals!$R208)</f>
        <v/>
      </c>
      <c r="C211" s="67">
        <f>IF($A211="","",SUMIFS(Actuals!$D$7:$D$206,Actuals!$E$7:$E$206,$A211,Actuals!$K$7:$K$206,"OK"))</f>
        <v/>
      </c>
      <c r="D211" s="67">
        <f>IF($A211="","",SUMIFS(Actuals!$I$7:$I$206,Actuals!$E$7:$E$206,$A211,Actuals!$K$7:$K$206,"OK"))</f>
        <v/>
      </c>
      <c r="E211" s="68">
        <f>IF($A211="","",$C211-$D211)</f>
        <v/>
      </c>
      <c r="F211" s="69">
        <f>IF(OR($A211="",$D211=0),"",$C211/$D211)</f>
        <v/>
      </c>
    </row>
    <row r="212">
      <c r="A212" s="16">
        <f>IF(Deals!$A209="","",Deals!$A209)</f>
        <v/>
      </c>
      <c r="B212" s="18">
        <f>IF($A212="","",Deals!$R209)</f>
        <v/>
      </c>
      <c r="C212" s="67">
        <f>IF($A212="","",SUMIFS(Actuals!$D$7:$D$206,Actuals!$E$7:$E$206,$A212,Actuals!$K$7:$K$206,"OK"))</f>
        <v/>
      </c>
      <c r="D212" s="67">
        <f>IF($A212="","",SUMIFS(Actuals!$I$7:$I$206,Actuals!$E$7:$E$206,$A212,Actuals!$K$7:$K$206,"OK"))</f>
        <v/>
      </c>
      <c r="E212" s="68">
        <f>IF($A212="","",$C212-$D212)</f>
        <v/>
      </c>
      <c r="F212" s="69">
        <f>IF(OR($A212="",$D212=0),"",$C212/$D212)</f>
        <v/>
      </c>
    </row>
    <row r="213">
      <c r="A213" s="16">
        <f>IF(Deals!$A210="","",Deals!$A210)</f>
        <v/>
      </c>
      <c r="B213" s="18">
        <f>IF($A213="","",Deals!$R210)</f>
        <v/>
      </c>
      <c r="C213" s="67">
        <f>IF($A213="","",SUMIFS(Actuals!$D$7:$D$206,Actuals!$E$7:$E$206,$A213,Actuals!$K$7:$K$206,"OK"))</f>
        <v/>
      </c>
      <c r="D213" s="67">
        <f>IF($A213="","",SUMIFS(Actuals!$I$7:$I$206,Actuals!$E$7:$E$206,$A213,Actuals!$K$7:$K$206,"OK"))</f>
        <v/>
      </c>
      <c r="E213" s="68">
        <f>IF($A213="","",$C213-$D213)</f>
        <v/>
      </c>
      <c r="F213" s="69">
        <f>IF(OR($A213="",$D213=0),"",$C213/$D213)</f>
        <v/>
      </c>
    </row>
    <row r="214">
      <c r="A214" s="16">
        <f>IF(Deals!$A211="","",Deals!$A211)</f>
        <v/>
      </c>
      <c r="B214" s="18">
        <f>IF($A214="","",Deals!$R211)</f>
        <v/>
      </c>
      <c r="C214" s="67">
        <f>IF($A214="","",SUMIFS(Actuals!$D$7:$D$206,Actuals!$E$7:$E$206,$A214,Actuals!$K$7:$K$206,"OK"))</f>
        <v/>
      </c>
      <c r="D214" s="67">
        <f>IF($A214="","",SUMIFS(Actuals!$I$7:$I$206,Actuals!$E$7:$E$206,$A214,Actuals!$K$7:$K$206,"OK"))</f>
        <v/>
      </c>
      <c r="E214" s="68">
        <f>IF($A214="","",$C214-$D214)</f>
        <v/>
      </c>
      <c r="F214" s="69">
        <f>IF(OR($A214="",$D214=0),"",$C214/$D214)</f>
        <v/>
      </c>
    </row>
    <row r="215">
      <c r="A215" s="16">
        <f>IF(Deals!$A212="","",Deals!$A212)</f>
        <v/>
      </c>
      <c r="B215" s="18">
        <f>IF($A215="","",Deals!$R212)</f>
        <v/>
      </c>
      <c r="C215" s="67">
        <f>IF($A215="","",SUMIFS(Actuals!$D$7:$D$206,Actuals!$E$7:$E$206,$A215,Actuals!$K$7:$K$206,"OK"))</f>
        <v/>
      </c>
      <c r="D215" s="67">
        <f>IF($A215="","",SUMIFS(Actuals!$I$7:$I$206,Actuals!$E$7:$E$206,$A215,Actuals!$K$7:$K$206,"OK"))</f>
        <v/>
      </c>
      <c r="E215" s="68">
        <f>IF($A215="","",$C215-$D215)</f>
        <v/>
      </c>
      <c r="F215" s="69">
        <f>IF(OR($A215="",$D215=0),"",$C215/$D215)</f>
        <v/>
      </c>
    </row>
    <row r="216">
      <c r="A216" s="16">
        <f>IF(Deals!$A213="","",Deals!$A213)</f>
        <v/>
      </c>
      <c r="B216" s="18">
        <f>IF($A216="","",Deals!$R213)</f>
        <v/>
      </c>
      <c r="C216" s="67">
        <f>IF($A216="","",SUMIFS(Actuals!$D$7:$D$206,Actuals!$E$7:$E$206,$A216,Actuals!$K$7:$K$206,"OK"))</f>
        <v/>
      </c>
      <c r="D216" s="67">
        <f>IF($A216="","",SUMIFS(Actuals!$I$7:$I$206,Actuals!$E$7:$E$206,$A216,Actuals!$K$7:$K$206,"OK"))</f>
        <v/>
      </c>
      <c r="E216" s="68">
        <f>IF($A216="","",$C216-$D216)</f>
        <v/>
      </c>
      <c r="F216" s="69">
        <f>IF(OR($A216="",$D216=0),"",$C216/$D216)</f>
        <v/>
      </c>
    </row>
    <row r="217">
      <c r="A217" s="16">
        <f>IF(Deals!$A214="","",Deals!$A214)</f>
        <v/>
      </c>
      <c r="B217" s="18">
        <f>IF($A217="","",Deals!$R214)</f>
        <v/>
      </c>
      <c r="C217" s="67">
        <f>IF($A217="","",SUMIFS(Actuals!$D$7:$D$206,Actuals!$E$7:$E$206,$A217,Actuals!$K$7:$K$206,"OK"))</f>
        <v/>
      </c>
      <c r="D217" s="67">
        <f>IF($A217="","",SUMIFS(Actuals!$I$7:$I$206,Actuals!$E$7:$E$206,$A217,Actuals!$K$7:$K$206,"OK"))</f>
        <v/>
      </c>
      <c r="E217" s="68">
        <f>IF($A217="","",$C217-$D217)</f>
        <v/>
      </c>
      <c r="F217" s="69">
        <f>IF(OR($A217="",$D217=0),"",$C217/$D217)</f>
        <v/>
      </c>
    </row>
    <row r="218">
      <c r="A218" s="16">
        <f>IF(Deals!$A215="","",Deals!$A215)</f>
        <v/>
      </c>
      <c r="B218" s="18">
        <f>IF($A218="","",Deals!$R215)</f>
        <v/>
      </c>
      <c r="C218" s="67">
        <f>IF($A218="","",SUMIFS(Actuals!$D$7:$D$206,Actuals!$E$7:$E$206,$A218,Actuals!$K$7:$K$206,"OK"))</f>
        <v/>
      </c>
      <c r="D218" s="67">
        <f>IF($A218="","",SUMIFS(Actuals!$I$7:$I$206,Actuals!$E$7:$E$206,$A218,Actuals!$K$7:$K$206,"OK"))</f>
        <v/>
      </c>
      <c r="E218" s="68">
        <f>IF($A218="","",$C218-$D218)</f>
        <v/>
      </c>
      <c r="F218" s="69">
        <f>IF(OR($A218="",$D218=0),"",$C218/$D218)</f>
        <v/>
      </c>
    </row>
    <row r="219">
      <c r="A219" s="16">
        <f>IF(Deals!$A216="","",Deals!$A216)</f>
        <v/>
      </c>
      <c r="B219" s="18">
        <f>IF($A219="","",Deals!$R216)</f>
        <v/>
      </c>
      <c r="C219" s="67">
        <f>IF($A219="","",SUMIFS(Actuals!$D$7:$D$206,Actuals!$E$7:$E$206,$A219,Actuals!$K$7:$K$206,"OK"))</f>
        <v/>
      </c>
      <c r="D219" s="67">
        <f>IF($A219="","",SUMIFS(Actuals!$I$7:$I$206,Actuals!$E$7:$E$206,$A219,Actuals!$K$7:$K$206,"OK"))</f>
        <v/>
      </c>
      <c r="E219" s="68">
        <f>IF($A219="","",$C219-$D219)</f>
        <v/>
      </c>
      <c r="F219" s="69">
        <f>IF(OR($A219="",$D219=0),"",$C219/$D219)</f>
        <v/>
      </c>
    </row>
    <row r="220">
      <c r="A220" s="16">
        <f>IF(Deals!$A217="","",Deals!$A217)</f>
        <v/>
      </c>
      <c r="B220" s="18">
        <f>IF($A220="","",Deals!$R217)</f>
        <v/>
      </c>
      <c r="C220" s="67">
        <f>IF($A220="","",SUMIFS(Actuals!$D$7:$D$206,Actuals!$E$7:$E$206,$A220,Actuals!$K$7:$K$206,"OK"))</f>
        <v/>
      </c>
      <c r="D220" s="67">
        <f>IF($A220="","",SUMIFS(Actuals!$I$7:$I$206,Actuals!$E$7:$E$206,$A220,Actuals!$K$7:$K$206,"OK"))</f>
        <v/>
      </c>
      <c r="E220" s="68">
        <f>IF($A220="","",$C220-$D220)</f>
        <v/>
      </c>
      <c r="F220" s="69">
        <f>IF(OR($A220="",$D220=0),"",$C220/$D220)</f>
        <v/>
      </c>
    </row>
    <row r="221">
      <c r="A221" s="16">
        <f>IF(Deals!$A218="","",Deals!$A218)</f>
        <v/>
      </c>
      <c r="B221" s="18">
        <f>IF($A221="","",Deals!$R218)</f>
        <v/>
      </c>
      <c r="C221" s="67">
        <f>IF($A221="","",SUMIFS(Actuals!$D$7:$D$206,Actuals!$E$7:$E$206,$A221,Actuals!$K$7:$K$206,"OK"))</f>
        <v/>
      </c>
      <c r="D221" s="67">
        <f>IF($A221="","",SUMIFS(Actuals!$I$7:$I$206,Actuals!$E$7:$E$206,$A221,Actuals!$K$7:$K$206,"OK"))</f>
        <v/>
      </c>
      <c r="E221" s="68">
        <f>IF($A221="","",$C221-$D221)</f>
        <v/>
      </c>
      <c r="F221" s="69">
        <f>IF(OR($A221="",$D221=0),"",$C221/$D221)</f>
        <v/>
      </c>
    </row>
    <row r="222">
      <c r="A222" s="16">
        <f>IF(Deals!$A219="","",Deals!$A219)</f>
        <v/>
      </c>
      <c r="B222" s="18">
        <f>IF($A222="","",Deals!$R219)</f>
        <v/>
      </c>
      <c r="C222" s="67">
        <f>IF($A222="","",SUMIFS(Actuals!$D$7:$D$206,Actuals!$E$7:$E$206,$A222,Actuals!$K$7:$K$206,"OK"))</f>
        <v/>
      </c>
      <c r="D222" s="67">
        <f>IF($A222="","",SUMIFS(Actuals!$I$7:$I$206,Actuals!$E$7:$E$206,$A222,Actuals!$K$7:$K$206,"OK"))</f>
        <v/>
      </c>
      <c r="E222" s="68">
        <f>IF($A222="","",$C222-$D222)</f>
        <v/>
      </c>
      <c r="F222" s="69">
        <f>IF(OR($A222="",$D222=0),"",$C222/$D222)</f>
        <v/>
      </c>
    </row>
    <row r="223">
      <c r="A223" s="16">
        <f>IF(Deals!$A220="","",Deals!$A220)</f>
        <v/>
      </c>
      <c r="B223" s="18">
        <f>IF($A223="","",Deals!$R220)</f>
        <v/>
      </c>
      <c r="C223" s="67">
        <f>IF($A223="","",SUMIFS(Actuals!$D$7:$D$206,Actuals!$E$7:$E$206,$A223,Actuals!$K$7:$K$206,"OK"))</f>
        <v/>
      </c>
      <c r="D223" s="67">
        <f>IF($A223="","",SUMIFS(Actuals!$I$7:$I$206,Actuals!$E$7:$E$206,$A223,Actuals!$K$7:$K$206,"OK"))</f>
        <v/>
      </c>
      <c r="E223" s="68">
        <f>IF($A223="","",$C223-$D223)</f>
        <v/>
      </c>
      <c r="F223" s="69">
        <f>IF(OR($A223="",$D223=0),"",$C223/$D223)</f>
        <v/>
      </c>
    </row>
    <row r="224">
      <c r="A224" s="16">
        <f>IF(Deals!$A221="","",Deals!$A221)</f>
        <v/>
      </c>
      <c r="B224" s="18">
        <f>IF($A224="","",Deals!$R221)</f>
        <v/>
      </c>
      <c r="C224" s="67">
        <f>IF($A224="","",SUMIFS(Actuals!$D$7:$D$206,Actuals!$E$7:$E$206,$A224,Actuals!$K$7:$K$206,"OK"))</f>
        <v/>
      </c>
      <c r="D224" s="67">
        <f>IF($A224="","",SUMIFS(Actuals!$I$7:$I$206,Actuals!$E$7:$E$206,$A224,Actuals!$K$7:$K$206,"OK"))</f>
        <v/>
      </c>
      <c r="E224" s="68">
        <f>IF($A224="","",$C224-$D224)</f>
        <v/>
      </c>
      <c r="F224" s="69">
        <f>IF(OR($A224="",$D224=0),"",$C224/$D224)</f>
        <v/>
      </c>
    </row>
    <row r="225">
      <c r="A225" s="16">
        <f>IF(Deals!$A222="","",Deals!$A222)</f>
        <v/>
      </c>
      <c r="B225" s="18">
        <f>IF($A225="","",Deals!$R222)</f>
        <v/>
      </c>
      <c r="C225" s="67">
        <f>IF($A225="","",SUMIFS(Actuals!$D$7:$D$206,Actuals!$E$7:$E$206,$A225,Actuals!$K$7:$K$206,"OK"))</f>
        <v/>
      </c>
      <c r="D225" s="67">
        <f>IF($A225="","",SUMIFS(Actuals!$I$7:$I$206,Actuals!$E$7:$E$206,$A225,Actuals!$K$7:$K$206,"OK"))</f>
        <v/>
      </c>
      <c r="E225" s="68">
        <f>IF($A225="","",$C225-$D225)</f>
        <v/>
      </c>
      <c r="F225" s="69">
        <f>IF(OR($A225="",$D225=0),"",$C225/$D225)</f>
        <v/>
      </c>
    </row>
    <row r="226">
      <c r="A226" s="16">
        <f>IF(Deals!$A223="","",Deals!$A223)</f>
        <v/>
      </c>
      <c r="B226" s="18">
        <f>IF($A226="","",Deals!$R223)</f>
        <v/>
      </c>
      <c r="C226" s="67">
        <f>IF($A226="","",SUMIFS(Actuals!$D$7:$D$206,Actuals!$E$7:$E$206,$A226,Actuals!$K$7:$K$206,"OK"))</f>
        <v/>
      </c>
      <c r="D226" s="67">
        <f>IF($A226="","",SUMIFS(Actuals!$I$7:$I$206,Actuals!$E$7:$E$206,$A226,Actuals!$K$7:$K$206,"OK"))</f>
        <v/>
      </c>
      <c r="E226" s="68">
        <f>IF($A226="","",$C226-$D226)</f>
        <v/>
      </c>
      <c r="F226" s="69">
        <f>IF(OR($A226="",$D226=0),"",$C226/$D226)</f>
        <v/>
      </c>
    </row>
    <row r="227">
      <c r="A227" s="16">
        <f>IF(Deals!$A224="","",Deals!$A224)</f>
        <v/>
      </c>
      <c r="B227" s="18">
        <f>IF($A227="","",Deals!$R224)</f>
        <v/>
      </c>
      <c r="C227" s="67">
        <f>IF($A227="","",SUMIFS(Actuals!$D$7:$D$206,Actuals!$E$7:$E$206,$A227,Actuals!$K$7:$K$206,"OK"))</f>
        <v/>
      </c>
      <c r="D227" s="67">
        <f>IF($A227="","",SUMIFS(Actuals!$I$7:$I$206,Actuals!$E$7:$E$206,$A227,Actuals!$K$7:$K$206,"OK"))</f>
        <v/>
      </c>
      <c r="E227" s="68">
        <f>IF($A227="","",$C227-$D227)</f>
        <v/>
      </c>
      <c r="F227" s="69">
        <f>IF(OR($A227="",$D227=0),"",$C227/$D227)</f>
        <v/>
      </c>
    </row>
    <row r="228">
      <c r="A228" s="16">
        <f>IF(Deals!$A225="","",Deals!$A225)</f>
        <v/>
      </c>
      <c r="B228" s="18">
        <f>IF($A228="","",Deals!$R225)</f>
        <v/>
      </c>
      <c r="C228" s="67">
        <f>IF($A228="","",SUMIFS(Actuals!$D$7:$D$206,Actuals!$E$7:$E$206,$A228,Actuals!$K$7:$K$206,"OK"))</f>
        <v/>
      </c>
      <c r="D228" s="67">
        <f>IF($A228="","",SUMIFS(Actuals!$I$7:$I$206,Actuals!$E$7:$E$206,$A228,Actuals!$K$7:$K$206,"OK"))</f>
        <v/>
      </c>
      <c r="E228" s="68">
        <f>IF($A228="","",$C228-$D228)</f>
        <v/>
      </c>
      <c r="F228" s="69">
        <f>IF(OR($A228="",$D228=0),"",$C228/$D228)</f>
        <v/>
      </c>
    </row>
    <row r="229">
      <c r="A229" s="16">
        <f>IF(Deals!$A226="","",Deals!$A226)</f>
        <v/>
      </c>
      <c r="B229" s="18">
        <f>IF($A229="","",Deals!$R226)</f>
        <v/>
      </c>
      <c r="C229" s="67">
        <f>IF($A229="","",SUMIFS(Actuals!$D$7:$D$206,Actuals!$E$7:$E$206,$A229,Actuals!$K$7:$K$206,"OK"))</f>
        <v/>
      </c>
      <c r="D229" s="67">
        <f>IF($A229="","",SUMIFS(Actuals!$I$7:$I$206,Actuals!$E$7:$E$206,$A229,Actuals!$K$7:$K$206,"OK"))</f>
        <v/>
      </c>
      <c r="E229" s="68">
        <f>IF($A229="","",$C229-$D229)</f>
        <v/>
      </c>
      <c r="F229" s="69">
        <f>IF(OR($A229="",$D229=0),"",$C229/$D229)</f>
        <v/>
      </c>
    </row>
    <row r="230">
      <c r="A230" s="16">
        <f>IF(Deals!$A227="","",Deals!$A227)</f>
        <v/>
      </c>
      <c r="B230" s="18">
        <f>IF($A230="","",Deals!$R227)</f>
        <v/>
      </c>
      <c r="C230" s="67">
        <f>IF($A230="","",SUMIFS(Actuals!$D$7:$D$206,Actuals!$E$7:$E$206,$A230,Actuals!$K$7:$K$206,"OK"))</f>
        <v/>
      </c>
      <c r="D230" s="67">
        <f>IF($A230="","",SUMIFS(Actuals!$I$7:$I$206,Actuals!$E$7:$E$206,$A230,Actuals!$K$7:$K$206,"OK"))</f>
        <v/>
      </c>
      <c r="E230" s="68">
        <f>IF($A230="","",$C230-$D230)</f>
        <v/>
      </c>
      <c r="F230" s="69">
        <f>IF(OR($A230="",$D230=0),"",$C230/$D230)</f>
        <v/>
      </c>
    </row>
    <row r="231">
      <c r="A231" s="16">
        <f>IF(Deals!$A228="","",Deals!$A228)</f>
        <v/>
      </c>
      <c r="B231" s="18">
        <f>IF($A231="","",Deals!$R228)</f>
        <v/>
      </c>
      <c r="C231" s="67">
        <f>IF($A231="","",SUMIFS(Actuals!$D$7:$D$206,Actuals!$E$7:$E$206,$A231,Actuals!$K$7:$K$206,"OK"))</f>
        <v/>
      </c>
      <c r="D231" s="67">
        <f>IF($A231="","",SUMIFS(Actuals!$I$7:$I$206,Actuals!$E$7:$E$206,$A231,Actuals!$K$7:$K$206,"OK"))</f>
        <v/>
      </c>
      <c r="E231" s="68">
        <f>IF($A231="","",$C231-$D231)</f>
        <v/>
      </c>
      <c r="F231" s="69">
        <f>IF(OR($A231="",$D231=0),"",$C231/$D231)</f>
        <v/>
      </c>
    </row>
    <row r="232">
      <c r="A232" s="16">
        <f>IF(Deals!$A229="","",Deals!$A229)</f>
        <v/>
      </c>
      <c r="B232" s="18">
        <f>IF($A232="","",Deals!$R229)</f>
        <v/>
      </c>
      <c r="C232" s="67">
        <f>IF($A232="","",SUMIFS(Actuals!$D$7:$D$206,Actuals!$E$7:$E$206,$A232,Actuals!$K$7:$K$206,"OK"))</f>
        <v/>
      </c>
      <c r="D232" s="67">
        <f>IF($A232="","",SUMIFS(Actuals!$I$7:$I$206,Actuals!$E$7:$E$206,$A232,Actuals!$K$7:$K$206,"OK"))</f>
        <v/>
      </c>
      <c r="E232" s="68">
        <f>IF($A232="","",$C232-$D232)</f>
        <v/>
      </c>
      <c r="F232" s="69">
        <f>IF(OR($A232="",$D232=0),"",$C232/$D232)</f>
        <v/>
      </c>
    </row>
    <row r="233">
      <c r="A233" s="16">
        <f>IF(Deals!$A230="","",Deals!$A230)</f>
        <v/>
      </c>
      <c r="B233" s="18">
        <f>IF($A233="","",Deals!$R230)</f>
        <v/>
      </c>
      <c r="C233" s="67">
        <f>IF($A233="","",SUMIFS(Actuals!$D$7:$D$206,Actuals!$E$7:$E$206,$A233,Actuals!$K$7:$K$206,"OK"))</f>
        <v/>
      </c>
      <c r="D233" s="67">
        <f>IF($A233="","",SUMIFS(Actuals!$I$7:$I$206,Actuals!$E$7:$E$206,$A233,Actuals!$K$7:$K$206,"OK"))</f>
        <v/>
      </c>
      <c r="E233" s="68">
        <f>IF($A233="","",$C233-$D233)</f>
        <v/>
      </c>
      <c r="F233" s="69">
        <f>IF(OR($A233="",$D233=0),"",$C233/$D233)</f>
        <v/>
      </c>
    </row>
    <row r="234">
      <c r="A234" s="16">
        <f>IF(Deals!$A231="","",Deals!$A231)</f>
        <v/>
      </c>
      <c r="B234" s="18">
        <f>IF($A234="","",Deals!$R231)</f>
        <v/>
      </c>
      <c r="C234" s="67">
        <f>IF($A234="","",SUMIFS(Actuals!$D$7:$D$206,Actuals!$E$7:$E$206,$A234,Actuals!$K$7:$K$206,"OK"))</f>
        <v/>
      </c>
      <c r="D234" s="67">
        <f>IF($A234="","",SUMIFS(Actuals!$I$7:$I$206,Actuals!$E$7:$E$206,$A234,Actuals!$K$7:$K$206,"OK"))</f>
        <v/>
      </c>
      <c r="E234" s="68">
        <f>IF($A234="","",$C234-$D234)</f>
        <v/>
      </c>
      <c r="F234" s="69">
        <f>IF(OR($A234="",$D234=0),"",$C234/$D234)</f>
        <v/>
      </c>
    </row>
    <row r="235">
      <c r="A235" s="16">
        <f>IF(Deals!$A232="","",Deals!$A232)</f>
        <v/>
      </c>
      <c r="B235" s="18">
        <f>IF($A235="","",Deals!$R232)</f>
        <v/>
      </c>
      <c r="C235" s="67">
        <f>IF($A235="","",SUMIFS(Actuals!$D$7:$D$206,Actuals!$E$7:$E$206,$A235,Actuals!$K$7:$K$206,"OK"))</f>
        <v/>
      </c>
      <c r="D235" s="67">
        <f>IF($A235="","",SUMIFS(Actuals!$I$7:$I$206,Actuals!$E$7:$E$206,$A235,Actuals!$K$7:$K$206,"OK"))</f>
        <v/>
      </c>
      <c r="E235" s="68">
        <f>IF($A235="","",$C235-$D235)</f>
        <v/>
      </c>
      <c r="F235" s="69">
        <f>IF(OR($A235="",$D235=0),"",$C235/$D235)</f>
        <v/>
      </c>
    </row>
    <row r="236">
      <c r="A236" s="16">
        <f>IF(Deals!$A233="","",Deals!$A233)</f>
        <v/>
      </c>
      <c r="B236" s="18">
        <f>IF($A236="","",Deals!$R233)</f>
        <v/>
      </c>
      <c r="C236" s="67">
        <f>IF($A236="","",SUMIFS(Actuals!$D$7:$D$206,Actuals!$E$7:$E$206,$A236,Actuals!$K$7:$K$206,"OK"))</f>
        <v/>
      </c>
      <c r="D236" s="67">
        <f>IF($A236="","",SUMIFS(Actuals!$I$7:$I$206,Actuals!$E$7:$E$206,$A236,Actuals!$K$7:$K$206,"OK"))</f>
        <v/>
      </c>
      <c r="E236" s="68">
        <f>IF($A236="","",$C236-$D236)</f>
        <v/>
      </c>
      <c r="F236" s="69">
        <f>IF(OR($A236="",$D236=0),"",$C236/$D236)</f>
        <v/>
      </c>
    </row>
    <row r="237">
      <c r="A237" s="16">
        <f>IF(Deals!$A234="","",Deals!$A234)</f>
        <v/>
      </c>
      <c r="B237" s="18">
        <f>IF($A237="","",Deals!$R234)</f>
        <v/>
      </c>
      <c r="C237" s="67">
        <f>IF($A237="","",SUMIFS(Actuals!$D$7:$D$206,Actuals!$E$7:$E$206,$A237,Actuals!$K$7:$K$206,"OK"))</f>
        <v/>
      </c>
      <c r="D237" s="67">
        <f>IF($A237="","",SUMIFS(Actuals!$I$7:$I$206,Actuals!$E$7:$E$206,$A237,Actuals!$K$7:$K$206,"OK"))</f>
        <v/>
      </c>
      <c r="E237" s="68">
        <f>IF($A237="","",$C237-$D237)</f>
        <v/>
      </c>
      <c r="F237" s="69">
        <f>IF(OR($A237="",$D237=0),"",$C237/$D237)</f>
        <v/>
      </c>
    </row>
    <row r="238">
      <c r="A238" s="16">
        <f>IF(Deals!$A235="","",Deals!$A235)</f>
        <v/>
      </c>
      <c r="B238" s="18">
        <f>IF($A238="","",Deals!$R235)</f>
        <v/>
      </c>
      <c r="C238" s="67">
        <f>IF($A238="","",SUMIFS(Actuals!$D$7:$D$206,Actuals!$E$7:$E$206,$A238,Actuals!$K$7:$K$206,"OK"))</f>
        <v/>
      </c>
      <c r="D238" s="67">
        <f>IF($A238="","",SUMIFS(Actuals!$I$7:$I$206,Actuals!$E$7:$E$206,$A238,Actuals!$K$7:$K$206,"OK"))</f>
        <v/>
      </c>
      <c r="E238" s="68">
        <f>IF($A238="","",$C238-$D238)</f>
        <v/>
      </c>
      <c r="F238" s="69">
        <f>IF(OR($A238="",$D238=0),"",$C238/$D238)</f>
        <v/>
      </c>
    </row>
    <row r="239">
      <c r="A239" s="16">
        <f>IF(Deals!$A236="","",Deals!$A236)</f>
        <v/>
      </c>
      <c r="B239" s="18">
        <f>IF($A239="","",Deals!$R236)</f>
        <v/>
      </c>
      <c r="C239" s="67">
        <f>IF($A239="","",SUMIFS(Actuals!$D$7:$D$206,Actuals!$E$7:$E$206,$A239,Actuals!$K$7:$K$206,"OK"))</f>
        <v/>
      </c>
      <c r="D239" s="67">
        <f>IF($A239="","",SUMIFS(Actuals!$I$7:$I$206,Actuals!$E$7:$E$206,$A239,Actuals!$K$7:$K$206,"OK"))</f>
        <v/>
      </c>
      <c r="E239" s="68">
        <f>IF($A239="","",$C239-$D239)</f>
        <v/>
      </c>
      <c r="F239" s="69">
        <f>IF(OR($A239="",$D239=0),"",$C239/$D239)</f>
        <v/>
      </c>
    </row>
    <row r="240">
      <c r="A240" s="16">
        <f>IF(Deals!$A237="","",Deals!$A237)</f>
        <v/>
      </c>
      <c r="B240" s="18">
        <f>IF($A240="","",Deals!$R237)</f>
        <v/>
      </c>
      <c r="C240" s="67">
        <f>IF($A240="","",SUMIFS(Actuals!$D$7:$D$206,Actuals!$E$7:$E$206,$A240,Actuals!$K$7:$K$206,"OK"))</f>
        <v/>
      </c>
      <c r="D240" s="67">
        <f>IF($A240="","",SUMIFS(Actuals!$I$7:$I$206,Actuals!$E$7:$E$206,$A240,Actuals!$K$7:$K$206,"OK"))</f>
        <v/>
      </c>
      <c r="E240" s="68">
        <f>IF($A240="","",$C240-$D240)</f>
        <v/>
      </c>
      <c r="F240" s="69">
        <f>IF(OR($A240="",$D240=0),"",$C240/$D240)</f>
        <v/>
      </c>
    </row>
    <row r="241">
      <c r="A241" s="16">
        <f>IF(Deals!$A238="","",Deals!$A238)</f>
        <v/>
      </c>
      <c r="B241" s="18">
        <f>IF($A241="","",Deals!$R238)</f>
        <v/>
      </c>
      <c r="C241" s="67">
        <f>IF($A241="","",SUMIFS(Actuals!$D$7:$D$206,Actuals!$E$7:$E$206,$A241,Actuals!$K$7:$K$206,"OK"))</f>
        <v/>
      </c>
      <c r="D241" s="67">
        <f>IF($A241="","",SUMIFS(Actuals!$I$7:$I$206,Actuals!$E$7:$E$206,$A241,Actuals!$K$7:$K$206,"OK"))</f>
        <v/>
      </c>
      <c r="E241" s="68">
        <f>IF($A241="","",$C241-$D241)</f>
        <v/>
      </c>
      <c r="F241" s="69">
        <f>IF(OR($A241="",$D241=0),"",$C241/$D241)</f>
        <v/>
      </c>
    </row>
    <row r="242">
      <c r="A242" s="16">
        <f>IF(Deals!$A239="","",Deals!$A239)</f>
        <v/>
      </c>
      <c r="B242" s="18">
        <f>IF($A242="","",Deals!$R239)</f>
        <v/>
      </c>
      <c r="C242" s="67">
        <f>IF($A242="","",SUMIFS(Actuals!$D$7:$D$206,Actuals!$E$7:$E$206,$A242,Actuals!$K$7:$K$206,"OK"))</f>
        <v/>
      </c>
      <c r="D242" s="67">
        <f>IF($A242="","",SUMIFS(Actuals!$I$7:$I$206,Actuals!$E$7:$E$206,$A242,Actuals!$K$7:$K$206,"OK"))</f>
        <v/>
      </c>
      <c r="E242" s="68">
        <f>IF($A242="","",$C242-$D242)</f>
        <v/>
      </c>
      <c r="F242" s="69">
        <f>IF(OR($A242="",$D242=0),"",$C242/$D242)</f>
        <v/>
      </c>
    </row>
    <row r="243">
      <c r="A243" s="16">
        <f>IF(Deals!$A240="","",Deals!$A240)</f>
        <v/>
      </c>
      <c r="B243" s="18">
        <f>IF($A243="","",Deals!$R240)</f>
        <v/>
      </c>
      <c r="C243" s="67">
        <f>IF($A243="","",SUMIFS(Actuals!$D$7:$D$206,Actuals!$E$7:$E$206,$A243,Actuals!$K$7:$K$206,"OK"))</f>
        <v/>
      </c>
      <c r="D243" s="67">
        <f>IF($A243="","",SUMIFS(Actuals!$I$7:$I$206,Actuals!$E$7:$E$206,$A243,Actuals!$K$7:$K$206,"OK"))</f>
        <v/>
      </c>
      <c r="E243" s="68">
        <f>IF($A243="","",$C243-$D243)</f>
        <v/>
      </c>
      <c r="F243" s="69">
        <f>IF(OR($A243="",$D243=0),"",$C243/$D243)</f>
        <v/>
      </c>
    </row>
    <row r="244">
      <c r="A244" s="16">
        <f>IF(Deals!$A241="","",Deals!$A241)</f>
        <v/>
      </c>
      <c r="B244" s="18">
        <f>IF($A244="","",Deals!$R241)</f>
        <v/>
      </c>
      <c r="C244" s="67">
        <f>IF($A244="","",SUMIFS(Actuals!$D$7:$D$206,Actuals!$E$7:$E$206,$A244,Actuals!$K$7:$K$206,"OK"))</f>
        <v/>
      </c>
      <c r="D244" s="67">
        <f>IF($A244="","",SUMIFS(Actuals!$I$7:$I$206,Actuals!$E$7:$E$206,$A244,Actuals!$K$7:$K$206,"OK"))</f>
        <v/>
      </c>
      <c r="E244" s="68">
        <f>IF($A244="","",$C244-$D244)</f>
        <v/>
      </c>
      <c r="F244" s="69">
        <f>IF(OR($A244="",$D244=0),"",$C244/$D244)</f>
        <v/>
      </c>
    </row>
    <row r="245">
      <c r="A245" s="16">
        <f>IF(Deals!$A242="","",Deals!$A242)</f>
        <v/>
      </c>
      <c r="B245" s="18">
        <f>IF($A245="","",Deals!$R242)</f>
        <v/>
      </c>
      <c r="C245" s="67">
        <f>IF($A245="","",SUMIFS(Actuals!$D$7:$D$206,Actuals!$E$7:$E$206,$A245,Actuals!$K$7:$K$206,"OK"))</f>
        <v/>
      </c>
      <c r="D245" s="67">
        <f>IF($A245="","",SUMIFS(Actuals!$I$7:$I$206,Actuals!$E$7:$E$206,$A245,Actuals!$K$7:$K$206,"OK"))</f>
        <v/>
      </c>
      <c r="E245" s="68">
        <f>IF($A245="","",$C245-$D245)</f>
        <v/>
      </c>
      <c r="F245" s="69">
        <f>IF(OR($A245="",$D245=0),"",$C245/$D245)</f>
        <v/>
      </c>
    </row>
    <row r="246">
      <c r="A246" s="16">
        <f>IF(Deals!$A243="","",Deals!$A243)</f>
        <v/>
      </c>
      <c r="B246" s="18">
        <f>IF($A246="","",Deals!$R243)</f>
        <v/>
      </c>
      <c r="C246" s="67">
        <f>IF($A246="","",SUMIFS(Actuals!$D$7:$D$206,Actuals!$E$7:$E$206,$A246,Actuals!$K$7:$K$206,"OK"))</f>
        <v/>
      </c>
      <c r="D246" s="67">
        <f>IF($A246="","",SUMIFS(Actuals!$I$7:$I$206,Actuals!$E$7:$E$206,$A246,Actuals!$K$7:$K$206,"OK"))</f>
        <v/>
      </c>
      <c r="E246" s="68">
        <f>IF($A246="","",$C246-$D246)</f>
        <v/>
      </c>
      <c r="F246" s="69">
        <f>IF(OR($A246="",$D246=0),"",$C246/$D246)</f>
        <v/>
      </c>
    </row>
    <row r="247">
      <c r="A247" s="16">
        <f>IF(Deals!$A244="","",Deals!$A244)</f>
        <v/>
      </c>
      <c r="B247" s="18">
        <f>IF($A247="","",Deals!$R244)</f>
        <v/>
      </c>
      <c r="C247" s="67">
        <f>IF($A247="","",SUMIFS(Actuals!$D$7:$D$206,Actuals!$E$7:$E$206,$A247,Actuals!$K$7:$K$206,"OK"))</f>
        <v/>
      </c>
      <c r="D247" s="67">
        <f>IF($A247="","",SUMIFS(Actuals!$I$7:$I$206,Actuals!$E$7:$E$206,$A247,Actuals!$K$7:$K$206,"OK"))</f>
        <v/>
      </c>
      <c r="E247" s="68">
        <f>IF($A247="","",$C247-$D247)</f>
        <v/>
      </c>
      <c r="F247" s="69">
        <f>IF(OR($A247="",$D247=0),"",$C247/$D247)</f>
        <v/>
      </c>
    </row>
    <row r="248">
      <c r="A248" s="16">
        <f>IF(Deals!$A245="","",Deals!$A245)</f>
        <v/>
      </c>
      <c r="B248" s="18">
        <f>IF($A248="","",Deals!$R245)</f>
        <v/>
      </c>
      <c r="C248" s="67">
        <f>IF($A248="","",SUMIFS(Actuals!$D$7:$D$206,Actuals!$E$7:$E$206,$A248,Actuals!$K$7:$K$206,"OK"))</f>
        <v/>
      </c>
      <c r="D248" s="67">
        <f>IF($A248="","",SUMIFS(Actuals!$I$7:$I$206,Actuals!$E$7:$E$206,$A248,Actuals!$K$7:$K$206,"OK"))</f>
        <v/>
      </c>
      <c r="E248" s="68">
        <f>IF($A248="","",$C248-$D248)</f>
        <v/>
      </c>
      <c r="F248" s="69">
        <f>IF(OR($A248="",$D248=0),"",$C248/$D248)</f>
        <v/>
      </c>
    </row>
    <row r="249">
      <c r="A249" s="16">
        <f>IF(Deals!$A246="","",Deals!$A246)</f>
        <v/>
      </c>
      <c r="B249" s="18">
        <f>IF($A249="","",Deals!$R246)</f>
        <v/>
      </c>
      <c r="C249" s="67">
        <f>IF($A249="","",SUMIFS(Actuals!$D$7:$D$206,Actuals!$E$7:$E$206,$A249,Actuals!$K$7:$K$206,"OK"))</f>
        <v/>
      </c>
      <c r="D249" s="67">
        <f>IF($A249="","",SUMIFS(Actuals!$I$7:$I$206,Actuals!$E$7:$E$206,$A249,Actuals!$K$7:$K$206,"OK"))</f>
        <v/>
      </c>
      <c r="E249" s="68">
        <f>IF($A249="","",$C249-$D249)</f>
        <v/>
      </c>
      <c r="F249" s="69">
        <f>IF(OR($A249="",$D249=0),"",$C249/$D249)</f>
        <v/>
      </c>
    </row>
    <row r="250">
      <c r="A250" s="16">
        <f>IF(Deals!$A247="","",Deals!$A247)</f>
        <v/>
      </c>
      <c r="B250" s="18">
        <f>IF($A250="","",Deals!$R247)</f>
        <v/>
      </c>
      <c r="C250" s="67">
        <f>IF($A250="","",SUMIFS(Actuals!$D$7:$D$206,Actuals!$E$7:$E$206,$A250,Actuals!$K$7:$K$206,"OK"))</f>
        <v/>
      </c>
      <c r="D250" s="67">
        <f>IF($A250="","",SUMIFS(Actuals!$I$7:$I$206,Actuals!$E$7:$E$206,$A250,Actuals!$K$7:$K$206,"OK"))</f>
        <v/>
      </c>
      <c r="E250" s="68">
        <f>IF($A250="","",$C250-$D250)</f>
        <v/>
      </c>
      <c r="F250" s="69">
        <f>IF(OR($A250="",$D250=0),"",$C250/$D250)</f>
        <v/>
      </c>
    </row>
    <row r="251">
      <c r="A251" s="16">
        <f>IF(Deals!$A248="","",Deals!$A248)</f>
        <v/>
      </c>
      <c r="B251" s="18">
        <f>IF($A251="","",Deals!$R248)</f>
        <v/>
      </c>
      <c r="C251" s="67">
        <f>IF($A251="","",SUMIFS(Actuals!$D$7:$D$206,Actuals!$E$7:$E$206,$A251,Actuals!$K$7:$K$206,"OK"))</f>
        <v/>
      </c>
      <c r="D251" s="67">
        <f>IF($A251="","",SUMIFS(Actuals!$I$7:$I$206,Actuals!$E$7:$E$206,$A251,Actuals!$K$7:$K$206,"OK"))</f>
        <v/>
      </c>
      <c r="E251" s="68">
        <f>IF($A251="","",$C251-$D251)</f>
        <v/>
      </c>
      <c r="F251" s="69">
        <f>IF(OR($A251="",$D251=0),"",$C251/$D251)</f>
        <v/>
      </c>
    </row>
    <row r="252">
      <c r="A252" s="16">
        <f>IF(Deals!$A249="","",Deals!$A249)</f>
        <v/>
      </c>
      <c r="B252" s="18">
        <f>IF($A252="","",Deals!$R249)</f>
        <v/>
      </c>
      <c r="C252" s="67">
        <f>IF($A252="","",SUMIFS(Actuals!$D$7:$D$206,Actuals!$E$7:$E$206,$A252,Actuals!$K$7:$K$206,"OK"))</f>
        <v/>
      </c>
      <c r="D252" s="67">
        <f>IF($A252="","",SUMIFS(Actuals!$I$7:$I$206,Actuals!$E$7:$E$206,$A252,Actuals!$K$7:$K$206,"OK"))</f>
        <v/>
      </c>
      <c r="E252" s="68">
        <f>IF($A252="","",$C252-$D252)</f>
        <v/>
      </c>
      <c r="F252" s="69">
        <f>IF(OR($A252="",$D252=0),"",$C252/$D252)</f>
        <v/>
      </c>
    </row>
    <row r="253">
      <c r="A253" s="16">
        <f>IF(Deals!$A250="","",Deals!$A250)</f>
        <v/>
      </c>
      <c r="B253" s="18">
        <f>IF($A253="","",Deals!$R250)</f>
        <v/>
      </c>
      <c r="C253" s="67">
        <f>IF($A253="","",SUMIFS(Actuals!$D$7:$D$206,Actuals!$E$7:$E$206,$A253,Actuals!$K$7:$K$206,"OK"))</f>
        <v/>
      </c>
      <c r="D253" s="67">
        <f>IF($A253="","",SUMIFS(Actuals!$I$7:$I$206,Actuals!$E$7:$E$206,$A253,Actuals!$K$7:$K$206,"OK"))</f>
        <v/>
      </c>
      <c r="E253" s="68">
        <f>IF($A253="","",$C253-$D253)</f>
        <v/>
      </c>
      <c r="F253" s="69">
        <f>IF(OR($A253="",$D253=0),"",$C253/$D253)</f>
        <v/>
      </c>
    </row>
    <row r="254">
      <c r="A254" s="16">
        <f>IF(Deals!$A251="","",Deals!$A251)</f>
        <v/>
      </c>
      <c r="B254" s="18">
        <f>IF($A254="","",Deals!$R251)</f>
        <v/>
      </c>
      <c r="C254" s="67">
        <f>IF($A254="","",SUMIFS(Actuals!$D$7:$D$206,Actuals!$E$7:$E$206,$A254,Actuals!$K$7:$K$206,"OK"))</f>
        <v/>
      </c>
      <c r="D254" s="67">
        <f>IF($A254="","",SUMIFS(Actuals!$I$7:$I$206,Actuals!$E$7:$E$206,$A254,Actuals!$K$7:$K$206,"OK"))</f>
        <v/>
      </c>
      <c r="E254" s="68">
        <f>IF($A254="","",$C254-$D254)</f>
        <v/>
      </c>
      <c r="F254" s="69">
        <f>IF(OR($A254="",$D254=0),"",$C254/$D254)</f>
        <v/>
      </c>
    </row>
    <row r="255">
      <c r="A255" s="16">
        <f>IF(Deals!$A252="","",Deals!$A252)</f>
        <v/>
      </c>
      <c r="B255" s="18">
        <f>IF($A255="","",Deals!$R252)</f>
        <v/>
      </c>
      <c r="C255" s="67">
        <f>IF($A255="","",SUMIFS(Actuals!$D$7:$D$206,Actuals!$E$7:$E$206,$A255,Actuals!$K$7:$K$206,"OK"))</f>
        <v/>
      </c>
      <c r="D255" s="67">
        <f>IF($A255="","",SUMIFS(Actuals!$I$7:$I$206,Actuals!$E$7:$E$206,$A255,Actuals!$K$7:$K$206,"OK"))</f>
        <v/>
      </c>
      <c r="E255" s="68">
        <f>IF($A255="","",$C255-$D255)</f>
        <v/>
      </c>
      <c r="F255" s="69">
        <f>IF(OR($A255="",$D255=0),"",$C255/$D255)</f>
        <v/>
      </c>
    </row>
    <row r="256">
      <c r="A256" s="16">
        <f>IF(Deals!$A253="","",Deals!$A253)</f>
        <v/>
      </c>
      <c r="B256" s="18">
        <f>IF($A256="","",Deals!$R253)</f>
        <v/>
      </c>
      <c r="C256" s="67">
        <f>IF($A256="","",SUMIFS(Actuals!$D$7:$D$206,Actuals!$E$7:$E$206,$A256,Actuals!$K$7:$K$206,"OK"))</f>
        <v/>
      </c>
      <c r="D256" s="67">
        <f>IF($A256="","",SUMIFS(Actuals!$I$7:$I$206,Actuals!$E$7:$E$206,$A256,Actuals!$K$7:$K$206,"OK"))</f>
        <v/>
      </c>
      <c r="E256" s="68">
        <f>IF($A256="","",$C256-$D256)</f>
        <v/>
      </c>
      <c r="F256" s="69">
        <f>IF(OR($A256="",$D256=0),"",$C256/$D256)</f>
        <v/>
      </c>
    </row>
    <row r="257">
      <c r="A257" s="16">
        <f>IF(Deals!$A254="","",Deals!$A254)</f>
        <v/>
      </c>
      <c r="B257" s="18">
        <f>IF($A257="","",Deals!$R254)</f>
        <v/>
      </c>
      <c r="C257" s="67">
        <f>IF($A257="","",SUMIFS(Actuals!$D$7:$D$206,Actuals!$E$7:$E$206,$A257,Actuals!$K$7:$K$206,"OK"))</f>
        <v/>
      </c>
      <c r="D257" s="67">
        <f>IF($A257="","",SUMIFS(Actuals!$I$7:$I$206,Actuals!$E$7:$E$206,$A257,Actuals!$K$7:$K$206,"OK"))</f>
        <v/>
      </c>
      <c r="E257" s="68">
        <f>IF($A257="","",$C257-$D257)</f>
        <v/>
      </c>
      <c r="F257" s="69">
        <f>IF(OR($A257="",$D257=0),"",$C257/$D257)</f>
        <v/>
      </c>
    </row>
    <row r="258">
      <c r="A258" s="16">
        <f>IF(Deals!$A255="","",Deals!$A255)</f>
        <v/>
      </c>
      <c r="B258" s="18">
        <f>IF($A258="","",Deals!$R255)</f>
        <v/>
      </c>
      <c r="C258" s="67">
        <f>IF($A258="","",SUMIFS(Actuals!$D$7:$D$206,Actuals!$E$7:$E$206,$A258,Actuals!$K$7:$K$206,"OK"))</f>
        <v/>
      </c>
      <c r="D258" s="67">
        <f>IF($A258="","",SUMIFS(Actuals!$I$7:$I$206,Actuals!$E$7:$E$206,$A258,Actuals!$K$7:$K$206,"OK"))</f>
        <v/>
      </c>
      <c r="E258" s="68">
        <f>IF($A258="","",$C258-$D258)</f>
        <v/>
      </c>
      <c r="F258" s="69">
        <f>IF(OR($A258="",$D258=0),"",$C258/$D258)</f>
        <v/>
      </c>
    </row>
    <row r="259">
      <c r="A259" s="16">
        <f>IF(Deals!$A256="","",Deals!$A256)</f>
        <v/>
      </c>
      <c r="B259" s="18">
        <f>IF($A259="","",Deals!$R256)</f>
        <v/>
      </c>
      <c r="C259" s="67">
        <f>IF($A259="","",SUMIFS(Actuals!$D$7:$D$206,Actuals!$E$7:$E$206,$A259,Actuals!$K$7:$K$206,"OK"))</f>
        <v/>
      </c>
      <c r="D259" s="67">
        <f>IF($A259="","",SUMIFS(Actuals!$I$7:$I$206,Actuals!$E$7:$E$206,$A259,Actuals!$K$7:$K$206,"OK"))</f>
        <v/>
      </c>
      <c r="E259" s="68">
        <f>IF($A259="","",$C259-$D259)</f>
        <v/>
      </c>
      <c r="F259" s="69">
        <f>IF(OR($A259="",$D259=0),"",$C259/$D259)</f>
        <v/>
      </c>
    </row>
    <row r="260">
      <c r="A260" s="16">
        <f>IF(Deals!$A257="","",Deals!$A257)</f>
        <v/>
      </c>
      <c r="B260" s="18">
        <f>IF($A260="","",Deals!$R257)</f>
        <v/>
      </c>
      <c r="C260" s="67">
        <f>IF($A260="","",SUMIFS(Actuals!$D$7:$D$206,Actuals!$E$7:$E$206,$A260,Actuals!$K$7:$K$206,"OK"))</f>
        <v/>
      </c>
      <c r="D260" s="67">
        <f>IF($A260="","",SUMIFS(Actuals!$I$7:$I$206,Actuals!$E$7:$E$206,$A260,Actuals!$K$7:$K$206,"OK"))</f>
        <v/>
      </c>
      <c r="E260" s="68">
        <f>IF($A260="","",$C260-$D260)</f>
        <v/>
      </c>
      <c r="F260" s="69">
        <f>IF(OR($A260="",$D260=0),"",$C260/$D260)</f>
        <v/>
      </c>
    </row>
    <row r="261">
      <c r="A261" s="16">
        <f>IF(Deals!$A258="","",Deals!$A258)</f>
        <v/>
      </c>
      <c r="B261" s="18">
        <f>IF($A261="","",Deals!$R258)</f>
        <v/>
      </c>
      <c r="C261" s="67">
        <f>IF($A261="","",SUMIFS(Actuals!$D$7:$D$206,Actuals!$E$7:$E$206,$A261,Actuals!$K$7:$K$206,"OK"))</f>
        <v/>
      </c>
      <c r="D261" s="67">
        <f>IF($A261="","",SUMIFS(Actuals!$I$7:$I$206,Actuals!$E$7:$E$206,$A261,Actuals!$K$7:$K$206,"OK"))</f>
        <v/>
      </c>
      <c r="E261" s="68">
        <f>IF($A261="","",$C261-$D261)</f>
        <v/>
      </c>
      <c r="F261" s="69">
        <f>IF(OR($A261="",$D261=0),"",$C261/$D261)</f>
        <v/>
      </c>
    </row>
    <row r="262">
      <c r="A262" s="16">
        <f>IF(Deals!$A259="","",Deals!$A259)</f>
        <v/>
      </c>
      <c r="B262" s="18">
        <f>IF($A262="","",Deals!$R259)</f>
        <v/>
      </c>
      <c r="C262" s="67">
        <f>IF($A262="","",SUMIFS(Actuals!$D$7:$D$206,Actuals!$E$7:$E$206,$A262,Actuals!$K$7:$K$206,"OK"))</f>
        <v/>
      </c>
      <c r="D262" s="67">
        <f>IF($A262="","",SUMIFS(Actuals!$I$7:$I$206,Actuals!$E$7:$E$206,$A262,Actuals!$K$7:$K$206,"OK"))</f>
        <v/>
      </c>
      <c r="E262" s="68">
        <f>IF($A262="","",$C262-$D262)</f>
        <v/>
      </c>
      <c r="F262" s="69">
        <f>IF(OR($A262="",$D262=0),"",$C262/$D262)</f>
        <v/>
      </c>
    </row>
    <row r="263">
      <c r="A263" s="16">
        <f>IF(Deals!$A260="","",Deals!$A260)</f>
        <v/>
      </c>
      <c r="B263" s="18">
        <f>IF($A263="","",Deals!$R260)</f>
        <v/>
      </c>
      <c r="C263" s="67">
        <f>IF($A263="","",SUMIFS(Actuals!$D$7:$D$206,Actuals!$E$7:$E$206,$A263,Actuals!$K$7:$K$206,"OK"))</f>
        <v/>
      </c>
      <c r="D263" s="67">
        <f>IF($A263="","",SUMIFS(Actuals!$I$7:$I$206,Actuals!$E$7:$E$206,$A263,Actuals!$K$7:$K$206,"OK"))</f>
        <v/>
      </c>
      <c r="E263" s="68">
        <f>IF($A263="","",$C263-$D263)</f>
        <v/>
      </c>
      <c r="F263" s="69">
        <f>IF(OR($A263="",$D263=0),"",$C263/$D263)</f>
        <v/>
      </c>
    </row>
    <row r="264">
      <c r="A264" s="16">
        <f>IF(Deals!$A261="","",Deals!$A261)</f>
        <v/>
      </c>
      <c r="B264" s="18">
        <f>IF($A264="","",Deals!$R261)</f>
        <v/>
      </c>
      <c r="C264" s="67">
        <f>IF($A264="","",SUMIFS(Actuals!$D$7:$D$206,Actuals!$E$7:$E$206,$A264,Actuals!$K$7:$K$206,"OK"))</f>
        <v/>
      </c>
      <c r="D264" s="67">
        <f>IF($A264="","",SUMIFS(Actuals!$I$7:$I$206,Actuals!$E$7:$E$206,$A264,Actuals!$K$7:$K$206,"OK"))</f>
        <v/>
      </c>
      <c r="E264" s="68">
        <f>IF($A264="","",$C264-$D264)</f>
        <v/>
      </c>
      <c r="F264" s="69">
        <f>IF(OR($A264="",$D264=0),"",$C264/$D264)</f>
        <v/>
      </c>
    </row>
    <row r="265">
      <c r="A265" s="16">
        <f>IF(Deals!$A262="","",Deals!$A262)</f>
        <v/>
      </c>
      <c r="B265" s="18">
        <f>IF($A265="","",Deals!$R262)</f>
        <v/>
      </c>
      <c r="C265" s="67">
        <f>IF($A265="","",SUMIFS(Actuals!$D$7:$D$206,Actuals!$E$7:$E$206,$A265,Actuals!$K$7:$K$206,"OK"))</f>
        <v/>
      </c>
      <c r="D265" s="67">
        <f>IF($A265="","",SUMIFS(Actuals!$I$7:$I$206,Actuals!$E$7:$E$206,$A265,Actuals!$K$7:$K$206,"OK"))</f>
        <v/>
      </c>
      <c r="E265" s="68">
        <f>IF($A265="","",$C265-$D265)</f>
        <v/>
      </c>
      <c r="F265" s="69">
        <f>IF(OR($A265="",$D265=0),"",$C265/$D265)</f>
        <v/>
      </c>
    </row>
    <row r="266">
      <c r="A266" s="16">
        <f>IF(Deals!$A263="","",Deals!$A263)</f>
        <v/>
      </c>
      <c r="B266" s="18">
        <f>IF($A266="","",Deals!$R263)</f>
        <v/>
      </c>
      <c r="C266" s="67">
        <f>IF($A266="","",SUMIFS(Actuals!$D$7:$D$206,Actuals!$E$7:$E$206,$A266,Actuals!$K$7:$K$206,"OK"))</f>
        <v/>
      </c>
      <c r="D266" s="67">
        <f>IF($A266="","",SUMIFS(Actuals!$I$7:$I$206,Actuals!$E$7:$E$206,$A266,Actuals!$K$7:$K$206,"OK"))</f>
        <v/>
      </c>
      <c r="E266" s="68">
        <f>IF($A266="","",$C266-$D266)</f>
        <v/>
      </c>
      <c r="F266" s="69">
        <f>IF(OR($A266="",$D266=0),"",$C266/$D266)</f>
        <v/>
      </c>
    </row>
    <row r="267">
      <c r="A267" s="16">
        <f>IF(Deals!$A264="","",Deals!$A264)</f>
        <v/>
      </c>
      <c r="B267" s="18">
        <f>IF($A267="","",Deals!$R264)</f>
        <v/>
      </c>
      <c r="C267" s="67">
        <f>IF($A267="","",SUMIFS(Actuals!$D$7:$D$206,Actuals!$E$7:$E$206,$A267,Actuals!$K$7:$K$206,"OK"))</f>
        <v/>
      </c>
      <c r="D267" s="67">
        <f>IF($A267="","",SUMIFS(Actuals!$I$7:$I$206,Actuals!$E$7:$E$206,$A267,Actuals!$K$7:$K$206,"OK"))</f>
        <v/>
      </c>
      <c r="E267" s="68">
        <f>IF($A267="","",$C267-$D267)</f>
        <v/>
      </c>
      <c r="F267" s="69">
        <f>IF(OR($A267="",$D267=0),"",$C267/$D267)</f>
        <v/>
      </c>
    </row>
    <row r="268">
      <c r="A268" s="16">
        <f>IF(Deals!$A265="","",Deals!$A265)</f>
        <v/>
      </c>
      <c r="B268" s="18">
        <f>IF($A268="","",Deals!$R265)</f>
        <v/>
      </c>
      <c r="C268" s="67">
        <f>IF($A268="","",SUMIFS(Actuals!$D$7:$D$206,Actuals!$E$7:$E$206,$A268,Actuals!$K$7:$K$206,"OK"))</f>
        <v/>
      </c>
      <c r="D268" s="67">
        <f>IF($A268="","",SUMIFS(Actuals!$I$7:$I$206,Actuals!$E$7:$E$206,$A268,Actuals!$K$7:$K$206,"OK"))</f>
        <v/>
      </c>
      <c r="E268" s="68">
        <f>IF($A268="","",$C268-$D268)</f>
        <v/>
      </c>
      <c r="F268" s="69">
        <f>IF(OR($A268="",$D268=0),"",$C268/$D268)</f>
        <v/>
      </c>
    </row>
    <row r="269">
      <c r="A269" s="16">
        <f>IF(Deals!$A266="","",Deals!$A266)</f>
        <v/>
      </c>
      <c r="B269" s="18">
        <f>IF($A269="","",Deals!$R266)</f>
        <v/>
      </c>
      <c r="C269" s="67">
        <f>IF($A269="","",SUMIFS(Actuals!$D$7:$D$206,Actuals!$E$7:$E$206,$A269,Actuals!$K$7:$K$206,"OK"))</f>
        <v/>
      </c>
      <c r="D269" s="67">
        <f>IF($A269="","",SUMIFS(Actuals!$I$7:$I$206,Actuals!$E$7:$E$206,$A269,Actuals!$K$7:$K$206,"OK"))</f>
        <v/>
      </c>
      <c r="E269" s="68">
        <f>IF($A269="","",$C269-$D269)</f>
        <v/>
      </c>
      <c r="F269" s="69">
        <f>IF(OR($A269="",$D269=0),"",$C269/$D269)</f>
        <v/>
      </c>
    </row>
    <row r="270">
      <c r="A270" s="16">
        <f>IF(Deals!$A267="","",Deals!$A267)</f>
        <v/>
      </c>
      <c r="B270" s="18">
        <f>IF($A270="","",Deals!$R267)</f>
        <v/>
      </c>
      <c r="C270" s="67">
        <f>IF($A270="","",SUMIFS(Actuals!$D$7:$D$206,Actuals!$E$7:$E$206,$A270,Actuals!$K$7:$K$206,"OK"))</f>
        <v/>
      </c>
      <c r="D270" s="67">
        <f>IF($A270="","",SUMIFS(Actuals!$I$7:$I$206,Actuals!$E$7:$E$206,$A270,Actuals!$K$7:$K$206,"OK"))</f>
        <v/>
      </c>
      <c r="E270" s="68">
        <f>IF($A270="","",$C270-$D270)</f>
        <v/>
      </c>
      <c r="F270" s="69">
        <f>IF(OR($A270="",$D270=0),"",$C270/$D270)</f>
        <v/>
      </c>
    </row>
    <row r="271">
      <c r="A271" s="16">
        <f>IF(Deals!$A268="","",Deals!$A268)</f>
        <v/>
      </c>
      <c r="B271" s="18">
        <f>IF($A271="","",Deals!$R268)</f>
        <v/>
      </c>
      <c r="C271" s="67">
        <f>IF($A271="","",SUMIFS(Actuals!$D$7:$D$206,Actuals!$E$7:$E$206,$A271,Actuals!$K$7:$K$206,"OK"))</f>
        <v/>
      </c>
      <c r="D271" s="67">
        <f>IF($A271="","",SUMIFS(Actuals!$I$7:$I$206,Actuals!$E$7:$E$206,$A271,Actuals!$K$7:$K$206,"OK"))</f>
        <v/>
      </c>
      <c r="E271" s="68">
        <f>IF($A271="","",$C271-$D271)</f>
        <v/>
      </c>
      <c r="F271" s="69">
        <f>IF(OR($A271="",$D271=0),"",$C271/$D271)</f>
        <v/>
      </c>
    </row>
    <row r="272">
      <c r="A272" s="16">
        <f>IF(Deals!$A269="","",Deals!$A269)</f>
        <v/>
      </c>
      <c r="B272" s="18">
        <f>IF($A272="","",Deals!$R269)</f>
        <v/>
      </c>
      <c r="C272" s="67">
        <f>IF($A272="","",SUMIFS(Actuals!$D$7:$D$206,Actuals!$E$7:$E$206,$A272,Actuals!$K$7:$K$206,"OK"))</f>
        <v/>
      </c>
      <c r="D272" s="67">
        <f>IF($A272="","",SUMIFS(Actuals!$I$7:$I$206,Actuals!$E$7:$E$206,$A272,Actuals!$K$7:$K$206,"OK"))</f>
        <v/>
      </c>
      <c r="E272" s="68">
        <f>IF($A272="","",$C272-$D272)</f>
        <v/>
      </c>
      <c r="F272" s="69">
        <f>IF(OR($A272="",$D272=0),"",$C272/$D272)</f>
        <v/>
      </c>
    </row>
    <row r="273">
      <c r="A273" s="16">
        <f>IF(Deals!$A270="","",Deals!$A270)</f>
        <v/>
      </c>
      <c r="B273" s="18">
        <f>IF($A273="","",Deals!$R270)</f>
        <v/>
      </c>
      <c r="C273" s="67">
        <f>IF($A273="","",SUMIFS(Actuals!$D$7:$D$206,Actuals!$E$7:$E$206,$A273,Actuals!$K$7:$K$206,"OK"))</f>
        <v/>
      </c>
      <c r="D273" s="67">
        <f>IF($A273="","",SUMIFS(Actuals!$I$7:$I$206,Actuals!$E$7:$E$206,$A273,Actuals!$K$7:$K$206,"OK"))</f>
        <v/>
      </c>
      <c r="E273" s="68">
        <f>IF($A273="","",$C273-$D273)</f>
        <v/>
      </c>
      <c r="F273" s="69">
        <f>IF(OR($A273="",$D273=0),"",$C273/$D273)</f>
        <v/>
      </c>
    </row>
    <row r="274">
      <c r="A274" s="16">
        <f>IF(Deals!$A271="","",Deals!$A271)</f>
        <v/>
      </c>
      <c r="B274" s="18">
        <f>IF($A274="","",Deals!$R271)</f>
        <v/>
      </c>
      <c r="C274" s="67">
        <f>IF($A274="","",SUMIFS(Actuals!$D$7:$D$206,Actuals!$E$7:$E$206,$A274,Actuals!$K$7:$K$206,"OK"))</f>
        <v/>
      </c>
      <c r="D274" s="67">
        <f>IF($A274="","",SUMIFS(Actuals!$I$7:$I$206,Actuals!$E$7:$E$206,$A274,Actuals!$K$7:$K$206,"OK"))</f>
        <v/>
      </c>
      <c r="E274" s="68">
        <f>IF($A274="","",$C274-$D274)</f>
        <v/>
      </c>
      <c r="F274" s="69">
        <f>IF(OR($A274="",$D274=0),"",$C274/$D274)</f>
        <v/>
      </c>
    </row>
    <row r="275">
      <c r="A275" s="16">
        <f>IF(Deals!$A272="","",Deals!$A272)</f>
        <v/>
      </c>
      <c r="B275" s="18">
        <f>IF($A275="","",Deals!$R272)</f>
        <v/>
      </c>
      <c r="C275" s="67">
        <f>IF($A275="","",SUMIFS(Actuals!$D$7:$D$206,Actuals!$E$7:$E$206,$A275,Actuals!$K$7:$K$206,"OK"))</f>
        <v/>
      </c>
      <c r="D275" s="67">
        <f>IF($A275="","",SUMIFS(Actuals!$I$7:$I$206,Actuals!$E$7:$E$206,$A275,Actuals!$K$7:$K$206,"OK"))</f>
        <v/>
      </c>
      <c r="E275" s="68">
        <f>IF($A275="","",$C275-$D275)</f>
        <v/>
      </c>
      <c r="F275" s="69">
        <f>IF(OR($A275="",$D275=0),"",$C275/$D275)</f>
        <v/>
      </c>
    </row>
    <row r="276">
      <c r="A276" s="16">
        <f>IF(Deals!$A273="","",Deals!$A273)</f>
        <v/>
      </c>
      <c r="B276" s="18">
        <f>IF($A276="","",Deals!$R273)</f>
        <v/>
      </c>
      <c r="C276" s="67">
        <f>IF($A276="","",SUMIFS(Actuals!$D$7:$D$206,Actuals!$E$7:$E$206,$A276,Actuals!$K$7:$K$206,"OK"))</f>
        <v/>
      </c>
      <c r="D276" s="67">
        <f>IF($A276="","",SUMIFS(Actuals!$I$7:$I$206,Actuals!$E$7:$E$206,$A276,Actuals!$K$7:$K$206,"OK"))</f>
        <v/>
      </c>
      <c r="E276" s="68">
        <f>IF($A276="","",$C276-$D276)</f>
        <v/>
      </c>
      <c r="F276" s="69">
        <f>IF(OR($A276="",$D276=0),"",$C276/$D276)</f>
        <v/>
      </c>
    </row>
    <row r="277">
      <c r="A277" s="16">
        <f>IF(Deals!$A274="","",Deals!$A274)</f>
        <v/>
      </c>
      <c r="B277" s="18">
        <f>IF($A277="","",Deals!$R274)</f>
        <v/>
      </c>
      <c r="C277" s="67">
        <f>IF($A277="","",SUMIFS(Actuals!$D$7:$D$206,Actuals!$E$7:$E$206,$A277,Actuals!$K$7:$K$206,"OK"))</f>
        <v/>
      </c>
      <c r="D277" s="67">
        <f>IF($A277="","",SUMIFS(Actuals!$I$7:$I$206,Actuals!$E$7:$E$206,$A277,Actuals!$K$7:$K$206,"OK"))</f>
        <v/>
      </c>
      <c r="E277" s="68">
        <f>IF($A277="","",$C277-$D277)</f>
        <v/>
      </c>
      <c r="F277" s="69">
        <f>IF(OR($A277="",$D277=0),"",$C277/$D277)</f>
        <v/>
      </c>
    </row>
    <row r="278">
      <c r="A278" s="16">
        <f>IF(Deals!$A275="","",Deals!$A275)</f>
        <v/>
      </c>
      <c r="B278" s="18">
        <f>IF($A278="","",Deals!$R275)</f>
        <v/>
      </c>
      <c r="C278" s="67">
        <f>IF($A278="","",SUMIFS(Actuals!$D$7:$D$206,Actuals!$E$7:$E$206,$A278,Actuals!$K$7:$K$206,"OK"))</f>
        <v/>
      </c>
      <c r="D278" s="67">
        <f>IF($A278="","",SUMIFS(Actuals!$I$7:$I$206,Actuals!$E$7:$E$206,$A278,Actuals!$K$7:$K$206,"OK"))</f>
        <v/>
      </c>
      <c r="E278" s="68">
        <f>IF($A278="","",$C278-$D278)</f>
        <v/>
      </c>
      <c r="F278" s="69">
        <f>IF(OR($A278="",$D278=0),"",$C278/$D278)</f>
        <v/>
      </c>
    </row>
    <row r="279">
      <c r="A279" s="16">
        <f>IF(Deals!$A276="","",Deals!$A276)</f>
        <v/>
      </c>
      <c r="B279" s="18">
        <f>IF($A279="","",Deals!$R276)</f>
        <v/>
      </c>
      <c r="C279" s="67">
        <f>IF($A279="","",SUMIFS(Actuals!$D$7:$D$206,Actuals!$E$7:$E$206,$A279,Actuals!$K$7:$K$206,"OK"))</f>
        <v/>
      </c>
      <c r="D279" s="67">
        <f>IF($A279="","",SUMIFS(Actuals!$I$7:$I$206,Actuals!$E$7:$E$206,$A279,Actuals!$K$7:$K$206,"OK"))</f>
        <v/>
      </c>
      <c r="E279" s="68">
        <f>IF($A279="","",$C279-$D279)</f>
        <v/>
      </c>
      <c r="F279" s="69">
        <f>IF(OR($A279="",$D279=0),"",$C279/$D279)</f>
        <v/>
      </c>
    </row>
    <row r="280">
      <c r="A280" s="16">
        <f>IF(Deals!$A277="","",Deals!$A277)</f>
        <v/>
      </c>
      <c r="B280" s="18">
        <f>IF($A280="","",Deals!$R277)</f>
        <v/>
      </c>
      <c r="C280" s="67">
        <f>IF($A280="","",SUMIFS(Actuals!$D$7:$D$206,Actuals!$E$7:$E$206,$A280,Actuals!$K$7:$K$206,"OK"))</f>
        <v/>
      </c>
      <c r="D280" s="67">
        <f>IF($A280="","",SUMIFS(Actuals!$I$7:$I$206,Actuals!$E$7:$E$206,$A280,Actuals!$K$7:$K$206,"OK"))</f>
        <v/>
      </c>
      <c r="E280" s="68">
        <f>IF($A280="","",$C280-$D280)</f>
        <v/>
      </c>
      <c r="F280" s="69">
        <f>IF(OR($A280="",$D280=0),"",$C280/$D280)</f>
        <v/>
      </c>
    </row>
    <row r="281">
      <c r="A281" s="16">
        <f>IF(Deals!$A278="","",Deals!$A278)</f>
        <v/>
      </c>
      <c r="B281" s="18">
        <f>IF($A281="","",Deals!$R278)</f>
        <v/>
      </c>
      <c r="C281" s="67">
        <f>IF($A281="","",SUMIFS(Actuals!$D$7:$D$206,Actuals!$E$7:$E$206,$A281,Actuals!$K$7:$K$206,"OK"))</f>
        <v/>
      </c>
      <c r="D281" s="67">
        <f>IF($A281="","",SUMIFS(Actuals!$I$7:$I$206,Actuals!$E$7:$E$206,$A281,Actuals!$K$7:$K$206,"OK"))</f>
        <v/>
      </c>
      <c r="E281" s="68">
        <f>IF($A281="","",$C281-$D281)</f>
        <v/>
      </c>
      <c r="F281" s="69">
        <f>IF(OR($A281="",$D281=0),"",$C281/$D281)</f>
        <v/>
      </c>
    </row>
    <row r="282">
      <c r="A282" s="16">
        <f>IF(Deals!$A279="","",Deals!$A279)</f>
        <v/>
      </c>
      <c r="B282" s="18">
        <f>IF($A282="","",Deals!$R279)</f>
        <v/>
      </c>
      <c r="C282" s="67">
        <f>IF($A282="","",SUMIFS(Actuals!$D$7:$D$206,Actuals!$E$7:$E$206,$A282,Actuals!$K$7:$K$206,"OK"))</f>
        <v/>
      </c>
      <c r="D282" s="67">
        <f>IF($A282="","",SUMIFS(Actuals!$I$7:$I$206,Actuals!$E$7:$E$206,$A282,Actuals!$K$7:$K$206,"OK"))</f>
        <v/>
      </c>
      <c r="E282" s="68">
        <f>IF($A282="","",$C282-$D282)</f>
        <v/>
      </c>
      <c r="F282" s="69">
        <f>IF(OR($A282="",$D282=0),"",$C282/$D282)</f>
        <v/>
      </c>
    </row>
    <row r="283">
      <c r="A283" s="16">
        <f>IF(Deals!$A280="","",Deals!$A280)</f>
        <v/>
      </c>
      <c r="B283" s="18">
        <f>IF($A283="","",Deals!$R280)</f>
        <v/>
      </c>
      <c r="C283" s="67">
        <f>IF($A283="","",SUMIFS(Actuals!$D$7:$D$206,Actuals!$E$7:$E$206,$A283,Actuals!$K$7:$K$206,"OK"))</f>
        <v/>
      </c>
      <c r="D283" s="67">
        <f>IF($A283="","",SUMIFS(Actuals!$I$7:$I$206,Actuals!$E$7:$E$206,$A283,Actuals!$K$7:$K$206,"OK"))</f>
        <v/>
      </c>
      <c r="E283" s="68">
        <f>IF($A283="","",$C283-$D283)</f>
        <v/>
      </c>
      <c r="F283" s="69">
        <f>IF(OR($A283="",$D283=0),"",$C283/$D283)</f>
        <v/>
      </c>
    </row>
    <row r="284">
      <c r="A284" s="16">
        <f>IF(Deals!$A281="","",Deals!$A281)</f>
        <v/>
      </c>
      <c r="B284" s="18">
        <f>IF($A284="","",Deals!$R281)</f>
        <v/>
      </c>
      <c r="C284" s="67">
        <f>IF($A284="","",SUMIFS(Actuals!$D$7:$D$206,Actuals!$E$7:$E$206,$A284,Actuals!$K$7:$K$206,"OK"))</f>
        <v/>
      </c>
      <c r="D284" s="67">
        <f>IF($A284="","",SUMIFS(Actuals!$I$7:$I$206,Actuals!$E$7:$E$206,$A284,Actuals!$K$7:$K$206,"OK"))</f>
        <v/>
      </c>
      <c r="E284" s="68">
        <f>IF($A284="","",$C284-$D284)</f>
        <v/>
      </c>
      <c r="F284" s="69">
        <f>IF(OR($A284="",$D284=0),"",$C284/$D284)</f>
        <v/>
      </c>
    </row>
    <row r="285">
      <c r="A285" s="16">
        <f>IF(Deals!$A282="","",Deals!$A282)</f>
        <v/>
      </c>
      <c r="B285" s="18">
        <f>IF($A285="","",Deals!$R282)</f>
        <v/>
      </c>
      <c r="C285" s="67">
        <f>IF($A285="","",SUMIFS(Actuals!$D$7:$D$206,Actuals!$E$7:$E$206,$A285,Actuals!$K$7:$K$206,"OK"))</f>
        <v/>
      </c>
      <c r="D285" s="67">
        <f>IF($A285="","",SUMIFS(Actuals!$I$7:$I$206,Actuals!$E$7:$E$206,$A285,Actuals!$K$7:$K$206,"OK"))</f>
        <v/>
      </c>
      <c r="E285" s="68">
        <f>IF($A285="","",$C285-$D285)</f>
        <v/>
      </c>
      <c r="F285" s="69">
        <f>IF(OR($A285="",$D285=0),"",$C285/$D285)</f>
        <v/>
      </c>
    </row>
    <row r="286">
      <c r="A286" s="16">
        <f>IF(Deals!$A283="","",Deals!$A283)</f>
        <v/>
      </c>
      <c r="B286" s="18">
        <f>IF($A286="","",Deals!$R283)</f>
        <v/>
      </c>
      <c r="C286" s="67">
        <f>IF($A286="","",SUMIFS(Actuals!$D$7:$D$206,Actuals!$E$7:$E$206,$A286,Actuals!$K$7:$K$206,"OK"))</f>
        <v/>
      </c>
      <c r="D286" s="67">
        <f>IF($A286="","",SUMIFS(Actuals!$I$7:$I$206,Actuals!$E$7:$E$206,$A286,Actuals!$K$7:$K$206,"OK"))</f>
        <v/>
      </c>
      <c r="E286" s="68">
        <f>IF($A286="","",$C286-$D286)</f>
        <v/>
      </c>
      <c r="F286" s="69">
        <f>IF(OR($A286="",$D286=0),"",$C286/$D286)</f>
        <v/>
      </c>
    </row>
    <row r="287">
      <c r="A287" s="16">
        <f>IF(Deals!$A284="","",Deals!$A284)</f>
        <v/>
      </c>
      <c r="B287" s="18">
        <f>IF($A287="","",Deals!$R284)</f>
        <v/>
      </c>
      <c r="C287" s="67">
        <f>IF($A287="","",SUMIFS(Actuals!$D$7:$D$206,Actuals!$E$7:$E$206,$A287,Actuals!$K$7:$K$206,"OK"))</f>
        <v/>
      </c>
      <c r="D287" s="67">
        <f>IF($A287="","",SUMIFS(Actuals!$I$7:$I$206,Actuals!$E$7:$E$206,$A287,Actuals!$K$7:$K$206,"OK"))</f>
        <v/>
      </c>
      <c r="E287" s="68">
        <f>IF($A287="","",$C287-$D287)</f>
        <v/>
      </c>
      <c r="F287" s="69">
        <f>IF(OR($A287="",$D287=0),"",$C287/$D287)</f>
        <v/>
      </c>
    </row>
    <row r="288">
      <c r="A288" s="16">
        <f>IF(Deals!$A285="","",Deals!$A285)</f>
        <v/>
      </c>
      <c r="B288" s="18">
        <f>IF($A288="","",Deals!$R285)</f>
        <v/>
      </c>
      <c r="C288" s="67">
        <f>IF($A288="","",SUMIFS(Actuals!$D$7:$D$206,Actuals!$E$7:$E$206,$A288,Actuals!$K$7:$K$206,"OK"))</f>
        <v/>
      </c>
      <c r="D288" s="67">
        <f>IF($A288="","",SUMIFS(Actuals!$I$7:$I$206,Actuals!$E$7:$E$206,$A288,Actuals!$K$7:$K$206,"OK"))</f>
        <v/>
      </c>
      <c r="E288" s="68">
        <f>IF($A288="","",$C288-$D288)</f>
        <v/>
      </c>
      <c r="F288" s="69">
        <f>IF(OR($A288="",$D288=0),"",$C288/$D288)</f>
        <v/>
      </c>
    </row>
    <row r="289">
      <c r="A289" s="16">
        <f>IF(Deals!$A286="","",Deals!$A286)</f>
        <v/>
      </c>
      <c r="B289" s="18">
        <f>IF($A289="","",Deals!$R286)</f>
        <v/>
      </c>
      <c r="C289" s="67">
        <f>IF($A289="","",SUMIFS(Actuals!$D$7:$D$206,Actuals!$E$7:$E$206,$A289,Actuals!$K$7:$K$206,"OK"))</f>
        <v/>
      </c>
      <c r="D289" s="67">
        <f>IF($A289="","",SUMIFS(Actuals!$I$7:$I$206,Actuals!$E$7:$E$206,$A289,Actuals!$K$7:$K$206,"OK"))</f>
        <v/>
      </c>
      <c r="E289" s="68">
        <f>IF($A289="","",$C289-$D289)</f>
        <v/>
      </c>
      <c r="F289" s="69">
        <f>IF(OR($A289="",$D289=0),"",$C289/$D289)</f>
        <v/>
      </c>
    </row>
    <row r="290">
      <c r="A290" s="16">
        <f>IF(Deals!$A287="","",Deals!$A287)</f>
        <v/>
      </c>
      <c r="B290" s="18">
        <f>IF($A290="","",Deals!$R287)</f>
        <v/>
      </c>
      <c r="C290" s="67">
        <f>IF($A290="","",SUMIFS(Actuals!$D$7:$D$206,Actuals!$E$7:$E$206,$A290,Actuals!$K$7:$K$206,"OK"))</f>
        <v/>
      </c>
      <c r="D290" s="67">
        <f>IF($A290="","",SUMIFS(Actuals!$I$7:$I$206,Actuals!$E$7:$E$206,$A290,Actuals!$K$7:$K$206,"OK"))</f>
        <v/>
      </c>
      <c r="E290" s="68">
        <f>IF($A290="","",$C290-$D290)</f>
        <v/>
      </c>
      <c r="F290" s="69">
        <f>IF(OR($A290="",$D290=0),"",$C290/$D290)</f>
        <v/>
      </c>
    </row>
    <row r="291">
      <c r="A291" s="16">
        <f>IF(Deals!$A288="","",Deals!$A288)</f>
        <v/>
      </c>
      <c r="B291" s="18">
        <f>IF($A291="","",Deals!$R288)</f>
        <v/>
      </c>
      <c r="C291" s="67">
        <f>IF($A291="","",SUMIFS(Actuals!$D$7:$D$206,Actuals!$E$7:$E$206,$A291,Actuals!$K$7:$K$206,"OK"))</f>
        <v/>
      </c>
      <c r="D291" s="67">
        <f>IF($A291="","",SUMIFS(Actuals!$I$7:$I$206,Actuals!$E$7:$E$206,$A291,Actuals!$K$7:$K$206,"OK"))</f>
        <v/>
      </c>
      <c r="E291" s="68">
        <f>IF($A291="","",$C291-$D291)</f>
        <v/>
      </c>
      <c r="F291" s="69">
        <f>IF(OR($A291="",$D291=0),"",$C291/$D291)</f>
        <v/>
      </c>
    </row>
    <row r="292">
      <c r="A292" s="16">
        <f>IF(Deals!$A289="","",Deals!$A289)</f>
        <v/>
      </c>
      <c r="B292" s="18">
        <f>IF($A292="","",Deals!$R289)</f>
        <v/>
      </c>
      <c r="C292" s="67">
        <f>IF($A292="","",SUMIFS(Actuals!$D$7:$D$206,Actuals!$E$7:$E$206,$A292,Actuals!$K$7:$K$206,"OK"))</f>
        <v/>
      </c>
      <c r="D292" s="67">
        <f>IF($A292="","",SUMIFS(Actuals!$I$7:$I$206,Actuals!$E$7:$E$206,$A292,Actuals!$K$7:$K$206,"OK"))</f>
        <v/>
      </c>
      <c r="E292" s="68">
        <f>IF($A292="","",$C292-$D292)</f>
        <v/>
      </c>
      <c r="F292" s="69">
        <f>IF(OR($A292="",$D292=0),"",$C292/$D292)</f>
        <v/>
      </c>
    </row>
    <row r="293">
      <c r="A293" s="16">
        <f>IF(Deals!$A290="","",Deals!$A290)</f>
        <v/>
      </c>
      <c r="B293" s="18">
        <f>IF($A293="","",Deals!$R290)</f>
        <v/>
      </c>
      <c r="C293" s="67">
        <f>IF($A293="","",SUMIFS(Actuals!$D$7:$D$206,Actuals!$E$7:$E$206,$A293,Actuals!$K$7:$K$206,"OK"))</f>
        <v/>
      </c>
      <c r="D293" s="67">
        <f>IF($A293="","",SUMIFS(Actuals!$I$7:$I$206,Actuals!$E$7:$E$206,$A293,Actuals!$K$7:$K$206,"OK"))</f>
        <v/>
      </c>
      <c r="E293" s="68">
        <f>IF($A293="","",$C293-$D293)</f>
        <v/>
      </c>
      <c r="F293" s="69">
        <f>IF(OR($A293="",$D293=0),"",$C293/$D293)</f>
        <v/>
      </c>
    </row>
    <row r="294">
      <c r="A294" s="16">
        <f>IF(Deals!$A291="","",Deals!$A291)</f>
        <v/>
      </c>
      <c r="B294" s="18">
        <f>IF($A294="","",Deals!$R291)</f>
        <v/>
      </c>
      <c r="C294" s="67">
        <f>IF($A294="","",SUMIFS(Actuals!$D$7:$D$206,Actuals!$E$7:$E$206,$A294,Actuals!$K$7:$K$206,"OK"))</f>
        <v/>
      </c>
      <c r="D294" s="67">
        <f>IF($A294="","",SUMIFS(Actuals!$I$7:$I$206,Actuals!$E$7:$E$206,$A294,Actuals!$K$7:$K$206,"OK"))</f>
        <v/>
      </c>
      <c r="E294" s="68">
        <f>IF($A294="","",$C294-$D294)</f>
        <v/>
      </c>
      <c r="F294" s="69">
        <f>IF(OR($A294="",$D294=0),"",$C294/$D294)</f>
        <v/>
      </c>
    </row>
    <row r="295">
      <c r="A295" s="16">
        <f>IF(Deals!$A292="","",Deals!$A292)</f>
        <v/>
      </c>
      <c r="B295" s="18">
        <f>IF($A295="","",Deals!$R292)</f>
        <v/>
      </c>
      <c r="C295" s="67">
        <f>IF($A295="","",SUMIFS(Actuals!$D$7:$D$206,Actuals!$E$7:$E$206,$A295,Actuals!$K$7:$K$206,"OK"))</f>
        <v/>
      </c>
      <c r="D295" s="67">
        <f>IF($A295="","",SUMIFS(Actuals!$I$7:$I$206,Actuals!$E$7:$E$206,$A295,Actuals!$K$7:$K$206,"OK"))</f>
        <v/>
      </c>
      <c r="E295" s="68">
        <f>IF($A295="","",$C295-$D295)</f>
        <v/>
      </c>
      <c r="F295" s="69">
        <f>IF(OR($A295="",$D295=0),"",$C295/$D295)</f>
        <v/>
      </c>
    </row>
    <row r="296">
      <c r="A296" s="16">
        <f>IF(Deals!$A293="","",Deals!$A293)</f>
        <v/>
      </c>
      <c r="B296" s="18">
        <f>IF($A296="","",Deals!$R293)</f>
        <v/>
      </c>
      <c r="C296" s="67">
        <f>IF($A296="","",SUMIFS(Actuals!$D$7:$D$206,Actuals!$E$7:$E$206,$A296,Actuals!$K$7:$K$206,"OK"))</f>
        <v/>
      </c>
      <c r="D296" s="67">
        <f>IF($A296="","",SUMIFS(Actuals!$I$7:$I$206,Actuals!$E$7:$E$206,$A296,Actuals!$K$7:$K$206,"OK"))</f>
        <v/>
      </c>
      <c r="E296" s="68">
        <f>IF($A296="","",$C296-$D296)</f>
        <v/>
      </c>
      <c r="F296" s="69">
        <f>IF(OR($A296="",$D296=0),"",$C296/$D296)</f>
        <v/>
      </c>
    </row>
    <row r="297">
      <c r="A297" s="16">
        <f>IF(Deals!$A294="","",Deals!$A294)</f>
        <v/>
      </c>
      <c r="B297" s="18">
        <f>IF($A297="","",Deals!$R294)</f>
        <v/>
      </c>
      <c r="C297" s="67">
        <f>IF($A297="","",SUMIFS(Actuals!$D$7:$D$206,Actuals!$E$7:$E$206,$A297,Actuals!$K$7:$K$206,"OK"))</f>
        <v/>
      </c>
      <c r="D297" s="67">
        <f>IF($A297="","",SUMIFS(Actuals!$I$7:$I$206,Actuals!$E$7:$E$206,$A297,Actuals!$K$7:$K$206,"OK"))</f>
        <v/>
      </c>
      <c r="E297" s="68">
        <f>IF($A297="","",$C297-$D297)</f>
        <v/>
      </c>
      <c r="F297" s="69">
        <f>IF(OR($A297="",$D297=0),"",$C297/$D297)</f>
        <v/>
      </c>
    </row>
    <row r="298">
      <c r="A298" s="16">
        <f>IF(Deals!$A295="","",Deals!$A295)</f>
        <v/>
      </c>
      <c r="B298" s="18">
        <f>IF($A298="","",Deals!$R295)</f>
        <v/>
      </c>
      <c r="C298" s="67">
        <f>IF($A298="","",SUMIFS(Actuals!$D$7:$D$206,Actuals!$E$7:$E$206,$A298,Actuals!$K$7:$K$206,"OK"))</f>
        <v/>
      </c>
      <c r="D298" s="67">
        <f>IF($A298="","",SUMIFS(Actuals!$I$7:$I$206,Actuals!$E$7:$E$206,$A298,Actuals!$K$7:$K$206,"OK"))</f>
        <v/>
      </c>
      <c r="E298" s="68">
        <f>IF($A298="","",$C298-$D298)</f>
        <v/>
      </c>
      <c r="F298" s="69">
        <f>IF(OR($A298="",$D298=0),"",$C298/$D298)</f>
        <v/>
      </c>
    </row>
    <row r="299">
      <c r="A299" s="16">
        <f>IF(Deals!$A296="","",Deals!$A296)</f>
        <v/>
      </c>
      <c r="B299" s="18">
        <f>IF($A299="","",Deals!$R296)</f>
        <v/>
      </c>
      <c r="C299" s="67">
        <f>IF($A299="","",SUMIFS(Actuals!$D$7:$D$206,Actuals!$E$7:$E$206,$A299,Actuals!$K$7:$K$206,"OK"))</f>
        <v/>
      </c>
      <c r="D299" s="67">
        <f>IF($A299="","",SUMIFS(Actuals!$I$7:$I$206,Actuals!$E$7:$E$206,$A299,Actuals!$K$7:$K$206,"OK"))</f>
        <v/>
      </c>
      <c r="E299" s="68">
        <f>IF($A299="","",$C299-$D299)</f>
        <v/>
      </c>
      <c r="F299" s="69">
        <f>IF(OR($A299="",$D299=0),"",$C299/$D299)</f>
        <v/>
      </c>
    </row>
    <row r="300">
      <c r="A300" s="16">
        <f>IF(Deals!$A297="","",Deals!$A297)</f>
        <v/>
      </c>
      <c r="B300" s="18">
        <f>IF($A300="","",Deals!$R297)</f>
        <v/>
      </c>
      <c r="C300" s="67">
        <f>IF($A300="","",SUMIFS(Actuals!$D$7:$D$206,Actuals!$E$7:$E$206,$A300,Actuals!$K$7:$K$206,"OK"))</f>
        <v/>
      </c>
      <c r="D300" s="67">
        <f>IF($A300="","",SUMIFS(Actuals!$I$7:$I$206,Actuals!$E$7:$E$206,$A300,Actuals!$K$7:$K$206,"OK"))</f>
        <v/>
      </c>
      <c r="E300" s="68">
        <f>IF($A300="","",$C300-$D300)</f>
        <v/>
      </c>
      <c r="F300" s="69">
        <f>IF(OR($A300="",$D300=0),"",$C300/$D300)</f>
        <v/>
      </c>
    </row>
    <row r="301">
      <c r="A301" s="16">
        <f>IF(Deals!$A298="","",Deals!$A298)</f>
        <v/>
      </c>
      <c r="B301" s="18">
        <f>IF($A301="","",Deals!$R298)</f>
        <v/>
      </c>
      <c r="C301" s="67">
        <f>IF($A301="","",SUMIFS(Actuals!$D$7:$D$206,Actuals!$E$7:$E$206,$A301,Actuals!$K$7:$K$206,"OK"))</f>
        <v/>
      </c>
      <c r="D301" s="67">
        <f>IF($A301="","",SUMIFS(Actuals!$I$7:$I$206,Actuals!$E$7:$E$206,$A301,Actuals!$K$7:$K$206,"OK"))</f>
        <v/>
      </c>
      <c r="E301" s="68">
        <f>IF($A301="","",$C301-$D301)</f>
        <v/>
      </c>
      <c r="F301" s="69">
        <f>IF(OR($A301="",$D301=0),"",$C301/$D301)</f>
        <v/>
      </c>
    </row>
    <row r="302">
      <c r="A302" s="16">
        <f>IF(Deals!$A299="","",Deals!$A299)</f>
        <v/>
      </c>
      <c r="B302" s="18">
        <f>IF($A302="","",Deals!$R299)</f>
        <v/>
      </c>
      <c r="C302" s="67">
        <f>IF($A302="","",SUMIFS(Actuals!$D$7:$D$206,Actuals!$E$7:$E$206,$A302,Actuals!$K$7:$K$206,"OK"))</f>
        <v/>
      </c>
      <c r="D302" s="67">
        <f>IF($A302="","",SUMIFS(Actuals!$I$7:$I$206,Actuals!$E$7:$E$206,$A302,Actuals!$K$7:$K$206,"OK"))</f>
        <v/>
      </c>
      <c r="E302" s="68">
        <f>IF($A302="","",$C302-$D302)</f>
        <v/>
      </c>
      <c r="F302" s="69">
        <f>IF(OR($A302="",$D302=0),"",$C302/$D302)</f>
        <v/>
      </c>
    </row>
    <row r="303">
      <c r="A303" s="16">
        <f>IF(Deals!$A300="","",Deals!$A300)</f>
        <v/>
      </c>
      <c r="B303" s="18">
        <f>IF($A303="","",Deals!$R300)</f>
        <v/>
      </c>
      <c r="C303" s="67">
        <f>IF($A303="","",SUMIFS(Actuals!$D$7:$D$206,Actuals!$E$7:$E$206,$A303,Actuals!$K$7:$K$206,"OK"))</f>
        <v/>
      </c>
      <c r="D303" s="67">
        <f>IF($A303="","",SUMIFS(Actuals!$I$7:$I$206,Actuals!$E$7:$E$206,$A303,Actuals!$K$7:$K$206,"OK"))</f>
        <v/>
      </c>
      <c r="E303" s="68">
        <f>IF($A303="","",$C303-$D303)</f>
        <v/>
      </c>
      <c r="F303" s="69">
        <f>IF(OR($A303="",$D303=0),"",$C303/$D303)</f>
        <v/>
      </c>
    </row>
    <row r="304">
      <c r="A304" s="16">
        <f>IF(Deals!$A301="","",Deals!$A301)</f>
        <v/>
      </c>
      <c r="B304" s="18">
        <f>IF($A304="","",Deals!$R301)</f>
        <v/>
      </c>
      <c r="C304" s="67">
        <f>IF($A304="","",SUMIFS(Actuals!$D$7:$D$206,Actuals!$E$7:$E$206,$A304,Actuals!$K$7:$K$206,"OK"))</f>
        <v/>
      </c>
      <c r="D304" s="67">
        <f>IF($A304="","",SUMIFS(Actuals!$I$7:$I$206,Actuals!$E$7:$E$206,$A304,Actuals!$K$7:$K$206,"OK"))</f>
        <v/>
      </c>
      <c r="E304" s="68">
        <f>IF($A304="","",$C304-$D304)</f>
        <v/>
      </c>
      <c r="F304" s="69">
        <f>IF(OR($A304="",$D304=0),"",$C304/$D304)</f>
        <v/>
      </c>
    </row>
    <row r="305">
      <c r="A305" s="16">
        <f>IF(Deals!$A302="","",Deals!$A302)</f>
        <v/>
      </c>
      <c r="B305" s="18">
        <f>IF($A305="","",Deals!$R302)</f>
        <v/>
      </c>
      <c r="C305" s="67">
        <f>IF($A305="","",SUMIFS(Actuals!$D$7:$D$206,Actuals!$E$7:$E$206,$A305,Actuals!$K$7:$K$206,"OK"))</f>
        <v/>
      </c>
      <c r="D305" s="67">
        <f>IF($A305="","",SUMIFS(Actuals!$I$7:$I$206,Actuals!$E$7:$E$206,$A305,Actuals!$K$7:$K$206,"OK"))</f>
        <v/>
      </c>
      <c r="E305" s="68">
        <f>IF($A305="","",$C305-$D305)</f>
        <v/>
      </c>
      <c r="F305" s="69">
        <f>IF(OR($A305="",$D305=0),"",$C305/$D305)</f>
        <v/>
      </c>
    </row>
    <row r="306">
      <c r="A306" s="16">
        <f>IF(Deals!$A303="","",Deals!$A303)</f>
        <v/>
      </c>
      <c r="B306" s="18">
        <f>IF($A306="","",Deals!$R303)</f>
        <v/>
      </c>
      <c r="C306" s="67">
        <f>IF($A306="","",SUMIFS(Actuals!$D$7:$D$206,Actuals!$E$7:$E$206,$A306,Actuals!$K$7:$K$206,"OK"))</f>
        <v/>
      </c>
      <c r="D306" s="67">
        <f>IF($A306="","",SUMIFS(Actuals!$I$7:$I$206,Actuals!$E$7:$E$206,$A306,Actuals!$K$7:$K$206,"OK"))</f>
        <v/>
      </c>
      <c r="E306" s="68">
        <f>IF($A306="","",$C306-$D306)</f>
        <v/>
      </c>
      <c r="F306" s="69">
        <f>IF(OR($A306="",$D306=0),"",$C306/$D306)</f>
        <v/>
      </c>
    </row>
    <row r="307">
      <c r="A307" s="16">
        <f>IF(Deals!$A304="","",Deals!$A304)</f>
        <v/>
      </c>
      <c r="B307" s="18">
        <f>IF($A307="","",Deals!$R304)</f>
        <v/>
      </c>
      <c r="C307" s="67">
        <f>IF($A307="","",SUMIFS(Actuals!$D$7:$D$206,Actuals!$E$7:$E$206,$A307,Actuals!$K$7:$K$206,"OK"))</f>
        <v/>
      </c>
      <c r="D307" s="67">
        <f>IF($A307="","",SUMIFS(Actuals!$I$7:$I$206,Actuals!$E$7:$E$206,$A307,Actuals!$K$7:$K$206,"OK"))</f>
        <v/>
      </c>
      <c r="E307" s="68">
        <f>IF($A307="","",$C307-$D307)</f>
        <v/>
      </c>
      <c r="F307" s="69">
        <f>IF(OR($A307="",$D307=0),"",$C307/$D307)</f>
        <v/>
      </c>
    </row>
    <row r="308">
      <c r="A308" s="16">
        <f>IF(Deals!$A305="","",Deals!$A305)</f>
        <v/>
      </c>
      <c r="B308" s="18">
        <f>IF($A308="","",Deals!$R305)</f>
        <v/>
      </c>
      <c r="C308" s="67">
        <f>IF($A308="","",SUMIFS(Actuals!$D$7:$D$206,Actuals!$E$7:$E$206,$A308,Actuals!$K$7:$K$206,"OK"))</f>
        <v/>
      </c>
      <c r="D308" s="67">
        <f>IF($A308="","",SUMIFS(Actuals!$I$7:$I$206,Actuals!$E$7:$E$206,$A308,Actuals!$K$7:$K$206,"OK"))</f>
        <v/>
      </c>
      <c r="E308" s="68">
        <f>IF($A308="","",$C308-$D308)</f>
        <v/>
      </c>
      <c r="F308" s="69">
        <f>IF(OR($A308="",$D308=0),"",$C308/$D308)</f>
        <v/>
      </c>
    </row>
    <row r="309">
      <c r="A309" s="16">
        <f>IF(Deals!$A306="","",Deals!$A306)</f>
        <v/>
      </c>
      <c r="B309" s="18">
        <f>IF($A309="","",Deals!$R306)</f>
        <v/>
      </c>
      <c r="C309" s="67">
        <f>IF($A309="","",SUMIFS(Actuals!$D$7:$D$206,Actuals!$E$7:$E$206,$A309,Actuals!$K$7:$K$206,"OK"))</f>
        <v/>
      </c>
      <c r="D309" s="67">
        <f>IF($A309="","",SUMIFS(Actuals!$I$7:$I$206,Actuals!$E$7:$E$206,$A309,Actuals!$K$7:$K$206,"OK"))</f>
        <v/>
      </c>
      <c r="E309" s="68">
        <f>IF($A309="","",$C309-$D309)</f>
        <v/>
      </c>
      <c r="F309" s="69">
        <f>IF(OR($A309="",$D309=0),"",$C309/$D309)</f>
        <v/>
      </c>
    </row>
    <row r="310">
      <c r="A310" s="16">
        <f>IF(Deals!$A307="","",Deals!$A307)</f>
        <v/>
      </c>
      <c r="B310" s="18">
        <f>IF($A310="","",Deals!$R307)</f>
        <v/>
      </c>
      <c r="C310" s="67">
        <f>IF($A310="","",SUMIFS(Actuals!$D$7:$D$206,Actuals!$E$7:$E$206,$A310,Actuals!$K$7:$K$206,"OK"))</f>
        <v/>
      </c>
      <c r="D310" s="67">
        <f>IF($A310="","",SUMIFS(Actuals!$I$7:$I$206,Actuals!$E$7:$E$206,$A310,Actuals!$K$7:$K$206,"OK"))</f>
        <v/>
      </c>
      <c r="E310" s="68">
        <f>IF($A310="","",$C310-$D310)</f>
        <v/>
      </c>
      <c r="F310" s="69">
        <f>IF(OR($A310="",$D310=0),"",$C310/$D310)</f>
        <v/>
      </c>
    </row>
    <row r="311">
      <c r="A311" s="16">
        <f>IF(Deals!$A308="","",Deals!$A308)</f>
        <v/>
      </c>
      <c r="B311" s="18">
        <f>IF($A311="","",Deals!$R308)</f>
        <v/>
      </c>
      <c r="C311" s="67">
        <f>IF($A311="","",SUMIFS(Actuals!$D$7:$D$206,Actuals!$E$7:$E$206,$A311,Actuals!$K$7:$K$206,"OK"))</f>
        <v/>
      </c>
      <c r="D311" s="67">
        <f>IF($A311="","",SUMIFS(Actuals!$I$7:$I$206,Actuals!$E$7:$E$206,$A311,Actuals!$K$7:$K$206,"OK"))</f>
        <v/>
      </c>
      <c r="E311" s="68">
        <f>IF($A311="","",$C311-$D311)</f>
        <v/>
      </c>
      <c r="F311" s="69">
        <f>IF(OR($A311="",$D311=0),"",$C311/$D311)</f>
        <v/>
      </c>
    </row>
    <row r="312">
      <c r="A312" s="16">
        <f>IF(Deals!$A309="","",Deals!$A309)</f>
        <v/>
      </c>
      <c r="B312" s="18">
        <f>IF($A312="","",Deals!$R309)</f>
        <v/>
      </c>
      <c r="C312" s="67">
        <f>IF($A312="","",SUMIFS(Actuals!$D$7:$D$206,Actuals!$E$7:$E$206,$A312,Actuals!$K$7:$K$206,"OK"))</f>
        <v/>
      </c>
      <c r="D312" s="67">
        <f>IF($A312="","",SUMIFS(Actuals!$I$7:$I$206,Actuals!$E$7:$E$206,$A312,Actuals!$K$7:$K$206,"OK"))</f>
        <v/>
      </c>
      <c r="E312" s="68">
        <f>IF($A312="","",$C312-$D312)</f>
        <v/>
      </c>
      <c r="F312" s="69">
        <f>IF(OR($A312="",$D312=0),"",$C312/$D312)</f>
        <v/>
      </c>
    </row>
    <row r="313">
      <c r="A313" s="16">
        <f>IF(Deals!$A310="","",Deals!$A310)</f>
        <v/>
      </c>
      <c r="B313" s="18">
        <f>IF($A313="","",Deals!$R310)</f>
        <v/>
      </c>
      <c r="C313" s="67">
        <f>IF($A313="","",SUMIFS(Actuals!$D$7:$D$206,Actuals!$E$7:$E$206,$A313,Actuals!$K$7:$K$206,"OK"))</f>
        <v/>
      </c>
      <c r="D313" s="67">
        <f>IF($A313="","",SUMIFS(Actuals!$I$7:$I$206,Actuals!$E$7:$E$206,$A313,Actuals!$K$7:$K$206,"OK"))</f>
        <v/>
      </c>
      <c r="E313" s="68">
        <f>IF($A313="","",$C313-$D313)</f>
        <v/>
      </c>
      <c r="F313" s="69">
        <f>IF(OR($A313="",$D313=0),"",$C313/$D313)</f>
        <v/>
      </c>
    </row>
    <row r="314">
      <c r="A314" s="16">
        <f>IF(Deals!$A311="","",Deals!$A311)</f>
        <v/>
      </c>
      <c r="B314" s="18">
        <f>IF($A314="","",Deals!$R311)</f>
        <v/>
      </c>
      <c r="C314" s="67">
        <f>IF($A314="","",SUMIFS(Actuals!$D$7:$D$206,Actuals!$E$7:$E$206,$A314,Actuals!$K$7:$K$206,"OK"))</f>
        <v/>
      </c>
      <c r="D314" s="67">
        <f>IF($A314="","",SUMIFS(Actuals!$I$7:$I$206,Actuals!$E$7:$E$206,$A314,Actuals!$K$7:$K$206,"OK"))</f>
        <v/>
      </c>
      <c r="E314" s="68">
        <f>IF($A314="","",$C314-$D314)</f>
        <v/>
      </c>
      <c r="F314" s="69">
        <f>IF(OR($A314="",$D314=0),"",$C314/$D314)</f>
        <v/>
      </c>
    </row>
    <row r="315">
      <c r="A315" s="16">
        <f>IF(Deals!$A312="","",Deals!$A312)</f>
        <v/>
      </c>
      <c r="B315" s="18">
        <f>IF($A315="","",Deals!$R312)</f>
        <v/>
      </c>
      <c r="C315" s="67">
        <f>IF($A315="","",SUMIFS(Actuals!$D$7:$D$206,Actuals!$E$7:$E$206,$A315,Actuals!$K$7:$K$206,"OK"))</f>
        <v/>
      </c>
      <c r="D315" s="67">
        <f>IF($A315="","",SUMIFS(Actuals!$I$7:$I$206,Actuals!$E$7:$E$206,$A315,Actuals!$K$7:$K$206,"OK"))</f>
        <v/>
      </c>
      <c r="E315" s="68">
        <f>IF($A315="","",$C315-$D315)</f>
        <v/>
      </c>
      <c r="F315" s="69">
        <f>IF(OR($A315="",$D315=0),"",$C315/$D315)</f>
        <v/>
      </c>
    </row>
    <row r="316">
      <c r="A316" s="16">
        <f>IF(Deals!$A313="","",Deals!$A313)</f>
        <v/>
      </c>
      <c r="B316" s="18">
        <f>IF($A316="","",Deals!$R313)</f>
        <v/>
      </c>
      <c r="C316" s="67">
        <f>IF($A316="","",SUMIFS(Actuals!$D$7:$D$206,Actuals!$E$7:$E$206,$A316,Actuals!$K$7:$K$206,"OK"))</f>
        <v/>
      </c>
      <c r="D316" s="67">
        <f>IF($A316="","",SUMIFS(Actuals!$I$7:$I$206,Actuals!$E$7:$E$206,$A316,Actuals!$K$7:$K$206,"OK"))</f>
        <v/>
      </c>
      <c r="E316" s="68">
        <f>IF($A316="","",$C316-$D316)</f>
        <v/>
      </c>
      <c r="F316" s="69">
        <f>IF(OR($A316="",$D316=0),"",$C316/$D316)</f>
        <v/>
      </c>
    </row>
    <row r="317">
      <c r="A317" s="16">
        <f>IF(Deals!$A314="","",Deals!$A314)</f>
        <v/>
      </c>
      <c r="B317" s="18">
        <f>IF($A317="","",Deals!$R314)</f>
        <v/>
      </c>
      <c r="C317" s="67">
        <f>IF($A317="","",SUMIFS(Actuals!$D$7:$D$206,Actuals!$E$7:$E$206,$A317,Actuals!$K$7:$K$206,"OK"))</f>
        <v/>
      </c>
      <c r="D317" s="67">
        <f>IF($A317="","",SUMIFS(Actuals!$I$7:$I$206,Actuals!$E$7:$E$206,$A317,Actuals!$K$7:$K$206,"OK"))</f>
        <v/>
      </c>
      <c r="E317" s="68">
        <f>IF($A317="","",$C317-$D317)</f>
        <v/>
      </c>
      <c r="F317" s="69">
        <f>IF(OR($A317="",$D317=0),"",$C317/$D317)</f>
        <v/>
      </c>
    </row>
    <row r="318">
      <c r="A318" s="16">
        <f>IF(Deals!$A315="","",Deals!$A315)</f>
        <v/>
      </c>
      <c r="B318" s="18">
        <f>IF($A318="","",Deals!$R315)</f>
        <v/>
      </c>
      <c r="C318" s="67">
        <f>IF($A318="","",SUMIFS(Actuals!$D$7:$D$206,Actuals!$E$7:$E$206,$A318,Actuals!$K$7:$K$206,"OK"))</f>
        <v/>
      </c>
      <c r="D318" s="67">
        <f>IF($A318="","",SUMIFS(Actuals!$I$7:$I$206,Actuals!$E$7:$E$206,$A318,Actuals!$K$7:$K$206,"OK"))</f>
        <v/>
      </c>
      <c r="E318" s="68">
        <f>IF($A318="","",$C318-$D318)</f>
        <v/>
      </c>
      <c r="F318" s="69">
        <f>IF(OR($A318="",$D318=0),"",$C318/$D318)</f>
        <v/>
      </c>
    </row>
    <row r="319">
      <c r="A319" s="16">
        <f>IF(Deals!$A316="","",Deals!$A316)</f>
        <v/>
      </c>
      <c r="B319" s="18">
        <f>IF($A319="","",Deals!$R316)</f>
        <v/>
      </c>
      <c r="C319" s="67">
        <f>IF($A319="","",SUMIFS(Actuals!$D$7:$D$206,Actuals!$E$7:$E$206,$A319,Actuals!$K$7:$K$206,"OK"))</f>
        <v/>
      </c>
      <c r="D319" s="67">
        <f>IF($A319="","",SUMIFS(Actuals!$I$7:$I$206,Actuals!$E$7:$E$206,$A319,Actuals!$K$7:$K$206,"OK"))</f>
        <v/>
      </c>
      <c r="E319" s="68">
        <f>IF($A319="","",$C319-$D319)</f>
        <v/>
      </c>
      <c r="F319" s="69">
        <f>IF(OR($A319="",$D319=0),"",$C319/$D319)</f>
        <v/>
      </c>
    </row>
    <row r="320">
      <c r="A320" s="16">
        <f>IF(Deals!$A317="","",Deals!$A317)</f>
        <v/>
      </c>
      <c r="B320" s="18">
        <f>IF($A320="","",Deals!$R317)</f>
        <v/>
      </c>
      <c r="C320" s="67">
        <f>IF($A320="","",SUMIFS(Actuals!$D$7:$D$206,Actuals!$E$7:$E$206,$A320,Actuals!$K$7:$K$206,"OK"))</f>
        <v/>
      </c>
      <c r="D320" s="67">
        <f>IF($A320="","",SUMIFS(Actuals!$I$7:$I$206,Actuals!$E$7:$E$206,$A320,Actuals!$K$7:$K$206,"OK"))</f>
        <v/>
      </c>
      <c r="E320" s="68">
        <f>IF($A320="","",$C320-$D320)</f>
        <v/>
      </c>
      <c r="F320" s="69">
        <f>IF(OR($A320="",$D320=0),"",$C320/$D320)</f>
        <v/>
      </c>
    </row>
    <row r="321">
      <c r="A321" s="16">
        <f>IF(Deals!$A318="","",Deals!$A318)</f>
        <v/>
      </c>
      <c r="B321" s="18">
        <f>IF($A321="","",Deals!$R318)</f>
        <v/>
      </c>
      <c r="C321" s="67">
        <f>IF($A321="","",SUMIFS(Actuals!$D$7:$D$206,Actuals!$E$7:$E$206,$A321,Actuals!$K$7:$K$206,"OK"))</f>
        <v/>
      </c>
      <c r="D321" s="67">
        <f>IF($A321="","",SUMIFS(Actuals!$I$7:$I$206,Actuals!$E$7:$E$206,$A321,Actuals!$K$7:$K$206,"OK"))</f>
        <v/>
      </c>
      <c r="E321" s="68">
        <f>IF($A321="","",$C321-$D321)</f>
        <v/>
      </c>
      <c r="F321" s="69">
        <f>IF(OR($A321="",$D321=0),"",$C321/$D321)</f>
        <v/>
      </c>
    </row>
    <row r="322">
      <c r="A322" s="16">
        <f>IF(Deals!$A319="","",Deals!$A319)</f>
        <v/>
      </c>
      <c r="B322" s="18">
        <f>IF($A322="","",Deals!$R319)</f>
        <v/>
      </c>
      <c r="C322" s="67">
        <f>IF($A322="","",SUMIFS(Actuals!$D$7:$D$206,Actuals!$E$7:$E$206,$A322,Actuals!$K$7:$K$206,"OK"))</f>
        <v/>
      </c>
      <c r="D322" s="67">
        <f>IF($A322="","",SUMIFS(Actuals!$I$7:$I$206,Actuals!$E$7:$E$206,$A322,Actuals!$K$7:$K$206,"OK"))</f>
        <v/>
      </c>
      <c r="E322" s="68">
        <f>IF($A322="","",$C322-$D322)</f>
        <v/>
      </c>
      <c r="F322" s="69">
        <f>IF(OR($A322="",$D322=0),"",$C322/$D322)</f>
        <v/>
      </c>
    </row>
    <row r="323">
      <c r="A323" s="16">
        <f>IF(Deals!$A320="","",Deals!$A320)</f>
        <v/>
      </c>
      <c r="B323" s="18">
        <f>IF($A323="","",Deals!$R320)</f>
        <v/>
      </c>
      <c r="C323" s="67">
        <f>IF($A323="","",SUMIFS(Actuals!$D$7:$D$206,Actuals!$E$7:$E$206,$A323,Actuals!$K$7:$K$206,"OK"))</f>
        <v/>
      </c>
      <c r="D323" s="67">
        <f>IF($A323="","",SUMIFS(Actuals!$I$7:$I$206,Actuals!$E$7:$E$206,$A323,Actuals!$K$7:$K$206,"OK"))</f>
        <v/>
      </c>
      <c r="E323" s="68">
        <f>IF($A323="","",$C323-$D323)</f>
        <v/>
      </c>
      <c r="F323" s="69">
        <f>IF(OR($A323="",$D323=0),"",$C323/$D323)</f>
        <v/>
      </c>
    </row>
    <row r="324">
      <c r="A324" s="16">
        <f>IF(Deals!$A321="","",Deals!$A321)</f>
        <v/>
      </c>
      <c r="B324" s="18">
        <f>IF($A324="","",Deals!$R321)</f>
        <v/>
      </c>
      <c r="C324" s="67">
        <f>IF($A324="","",SUMIFS(Actuals!$D$7:$D$206,Actuals!$E$7:$E$206,$A324,Actuals!$K$7:$K$206,"OK"))</f>
        <v/>
      </c>
      <c r="D324" s="67">
        <f>IF($A324="","",SUMIFS(Actuals!$I$7:$I$206,Actuals!$E$7:$E$206,$A324,Actuals!$K$7:$K$206,"OK"))</f>
        <v/>
      </c>
      <c r="E324" s="68">
        <f>IF($A324="","",$C324-$D324)</f>
        <v/>
      </c>
      <c r="F324" s="69">
        <f>IF(OR($A324="",$D324=0),"",$C324/$D324)</f>
        <v/>
      </c>
    </row>
    <row r="325">
      <c r="A325" s="16">
        <f>IF(Deals!$A322="","",Deals!$A322)</f>
        <v/>
      </c>
      <c r="B325" s="18">
        <f>IF($A325="","",Deals!$R322)</f>
        <v/>
      </c>
      <c r="C325" s="67">
        <f>IF($A325="","",SUMIFS(Actuals!$D$7:$D$206,Actuals!$E$7:$E$206,$A325,Actuals!$K$7:$K$206,"OK"))</f>
        <v/>
      </c>
      <c r="D325" s="67">
        <f>IF($A325="","",SUMIFS(Actuals!$I$7:$I$206,Actuals!$E$7:$E$206,$A325,Actuals!$K$7:$K$206,"OK"))</f>
        <v/>
      </c>
      <c r="E325" s="68">
        <f>IF($A325="","",$C325-$D325)</f>
        <v/>
      </c>
      <c r="F325" s="69">
        <f>IF(OR($A325="",$D325=0),"",$C325/$D325)</f>
        <v/>
      </c>
    </row>
    <row r="326">
      <c r="A326" s="16">
        <f>IF(Deals!$A323="","",Deals!$A323)</f>
        <v/>
      </c>
      <c r="B326" s="18">
        <f>IF($A326="","",Deals!$R323)</f>
        <v/>
      </c>
      <c r="C326" s="67">
        <f>IF($A326="","",SUMIFS(Actuals!$D$7:$D$206,Actuals!$E$7:$E$206,$A326,Actuals!$K$7:$K$206,"OK"))</f>
        <v/>
      </c>
      <c r="D326" s="67">
        <f>IF($A326="","",SUMIFS(Actuals!$I$7:$I$206,Actuals!$E$7:$E$206,$A326,Actuals!$K$7:$K$206,"OK"))</f>
        <v/>
      </c>
      <c r="E326" s="68">
        <f>IF($A326="","",$C326-$D326)</f>
        <v/>
      </c>
      <c r="F326" s="69">
        <f>IF(OR($A326="",$D326=0),"",$C326/$D326)</f>
        <v/>
      </c>
    </row>
    <row r="327">
      <c r="A327" s="16">
        <f>IF(Deals!$A324="","",Deals!$A324)</f>
        <v/>
      </c>
      <c r="B327" s="18">
        <f>IF($A327="","",Deals!$R324)</f>
        <v/>
      </c>
      <c r="C327" s="67">
        <f>IF($A327="","",SUMIFS(Actuals!$D$7:$D$206,Actuals!$E$7:$E$206,$A327,Actuals!$K$7:$K$206,"OK"))</f>
        <v/>
      </c>
      <c r="D327" s="67">
        <f>IF($A327="","",SUMIFS(Actuals!$I$7:$I$206,Actuals!$E$7:$E$206,$A327,Actuals!$K$7:$K$206,"OK"))</f>
        <v/>
      </c>
      <c r="E327" s="68">
        <f>IF($A327="","",$C327-$D327)</f>
        <v/>
      </c>
      <c r="F327" s="69">
        <f>IF(OR($A327="",$D327=0),"",$C327/$D327)</f>
        <v/>
      </c>
    </row>
    <row r="328">
      <c r="A328" s="16">
        <f>IF(Deals!$A325="","",Deals!$A325)</f>
        <v/>
      </c>
      <c r="B328" s="18">
        <f>IF($A328="","",Deals!$R325)</f>
        <v/>
      </c>
      <c r="C328" s="67">
        <f>IF($A328="","",SUMIFS(Actuals!$D$7:$D$206,Actuals!$E$7:$E$206,$A328,Actuals!$K$7:$K$206,"OK"))</f>
        <v/>
      </c>
      <c r="D328" s="67">
        <f>IF($A328="","",SUMIFS(Actuals!$I$7:$I$206,Actuals!$E$7:$E$206,$A328,Actuals!$K$7:$K$206,"OK"))</f>
        <v/>
      </c>
      <c r="E328" s="68">
        <f>IF($A328="","",$C328-$D328)</f>
        <v/>
      </c>
      <c r="F328" s="69">
        <f>IF(OR($A328="",$D328=0),"",$C328/$D328)</f>
        <v/>
      </c>
    </row>
    <row r="329">
      <c r="A329" s="16">
        <f>IF(Deals!$A326="","",Deals!$A326)</f>
        <v/>
      </c>
      <c r="B329" s="18">
        <f>IF($A329="","",Deals!$R326)</f>
        <v/>
      </c>
      <c r="C329" s="67">
        <f>IF($A329="","",SUMIFS(Actuals!$D$7:$D$206,Actuals!$E$7:$E$206,$A329,Actuals!$K$7:$K$206,"OK"))</f>
        <v/>
      </c>
      <c r="D329" s="67">
        <f>IF($A329="","",SUMIFS(Actuals!$I$7:$I$206,Actuals!$E$7:$E$206,$A329,Actuals!$K$7:$K$206,"OK"))</f>
        <v/>
      </c>
      <c r="E329" s="68">
        <f>IF($A329="","",$C329-$D329)</f>
        <v/>
      </c>
      <c r="F329" s="69">
        <f>IF(OR($A329="",$D329=0),"",$C329/$D329)</f>
        <v/>
      </c>
    </row>
    <row r="330">
      <c r="A330" s="16">
        <f>IF(Deals!$A327="","",Deals!$A327)</f>
        <v/>
      </c>
      <c r="B330" s="18">
        <f>IF($A330="","",Deals!$R327)</f>
        <v/>
      </c>
      <c r="C330" s="67">
        <f>IF($A330="","",SUMIFS(Actuals!$D$7:$D$206,Actuals!$E$7:$E$206,$A330,Actuals!$K$7:$K$206,"OK"))</f>
        <v/>
      </c>
      <c r="D330" s="67">
        <f>IF($A330="","",SUMIFS(Actuals!$I$7:$I$206,Actuals!$E$7:$E$206,$A330,Actuals!$K$7:$K$206,"OK"))</f>
        <v/>
      </c>
      <c r="E330" s="68">
        <f>IF($A330="","",$C330-$D330)</f>
        <v/>
      </c>
      <c r="F330" s="69">
        <f>IF(OR($A330="",$D330=0),"",$C330/$D330)</f>
        <v/>
      </c>
    </row>
    <row r="331">
      <c r="A331" s="16">
        <f>IF(Deals!$A328="","",Deals!$A328)</f>
        <v/>
      </c>
      <c r="B331" s="18">
        <f>IF($A331="","",Deals!$R328)</f>
        <v/>
      </c>
      <c r="C331" s="67">
        <f>IF($A331="","",SUMIFS(Actuals!$D$7:$D$206,Actuals!$E$7:$E$206,$A331,Actuals!$K$7:$K$206,"OK"))</f>
        <v/>
      </c>
      <c r="D331" s="67">
        <f>IF($A331="","",SUMIFS(Actuals!$I$7:$I$206,Actuals!$E$7:$E$206,$A331,Actuals!$K$7:$K$206,"OK"))</f>
        <v/>
      </c>
      <c r="E331" s="68">
        <f>IF($A331="","",$C331-$D331)</f>
        <v/>
      </c>
      <c r="F331" s="69">
        <f>IF(OR($A331="",$D331=0),"",$C331/$D331)</f>
        <v/>
      </c>
    </row>
    <row r="332">
      <c r="A332" s="16">
        <f>IF(Deals!$A329="","",Deals!$A329)</f>
        <v/>
      </c>
      <c r="B332" s="18">
        <f>IF($A332="","",Deals!$R329)</f>
        <v/>
      </c>
      <c r="C332" s="67">
        <f>IF($A332="","",SUMIFS(Actuals!$D$7:$D$206,Actuals!$E$7:$E$206,$A332,Actuals!$K$7:$K$206,"OK"))</f>
        <v/>
      </c>
      <c r="D332" s="67">
        <f>IF($A332="","",SUMIFS(Actuals!$I$7:$I$206,Actuals!$E$7:$E$206,$A332,Actuals!$K$7:$K$206,"OK"))</f>
        <v/>
      </c>
      <c r="E332" s="68">
        <f>IF($A332="","",$C332-$D332)</f>
        <v/>
      </c>
      <c r="F332" s="69">
        <f>IF(OR($A332="",$D332=0),"",$C332/$D332)</f>
        <v/>
      </c>
    </row>
    <row r="333">
      <c r="A333" s="16">
        <f>IF(Deals!$A330="","",Deals!$A330)</f>
        <v/>
      </c>
      <c r="B333" s="18">
        <f>IF($A333="","",Deals!$R330)</f>
        <v/>
      </c>
      <c r="C333" s="67">
        <f>IF($A333="","",SUMIFS(Actuals!$D$7:$D$206,Actuals!$E$7:$E$206,$A333,Actuals!$K$7:$K$206,"OK"))</f>
        <v/>
      </c>
      <c r="D333" s="67">
        <f>IF($A333="","",SUMIFS(Actuals!$I$7:$I$206,Actuals!$E$7:$E$206,$A333,Actuals!$K$7:$K$206,"OK"))</f>
        <v/>
      </c>
      <c r="E333" s="68">
        <f>IF($A333="","",$C333-$D333)</f>
        <v/>
      </c>
      <c r="F333" s="69">
        <f>IF(OR($A333="",$D333=0),"",$C333/$D333)</f>
        <v/>
      </c>
    </row>
    <row r="334">
      <c r="A334" s="16">
        <f>IF(Deals!$A331="","",Deals!$A331)</f>
        <v/>
      </c>
      <c r="B334" s="18">
        <f>IF($A334="","",Deals!$R331)</f>
        <v/>
      </c>
      <c r="C334" s="67">
        <f>IF($A334="","",SUMIFS(Actuals!$D$7:$D$206,Actuals!$E$7:$E$206,$A334,Actuals!$K$7:$K$206,"OK"))</f>
        <v/>
      </c>
      <c r="D334" s="67">
        <f>IF($A334="","",SUMIFS(Actuals!$I$7:$I$206,Actuals!$E$7:$E$206,$A334,Actuals!$K$7:$K$206,"OK"))</f>
        <v/>
      </c>
      <c r="E334" s="68">
        <f>IF($A334="","",$C334-$D334)</f>
        <v/>
      </c>
      <c r="F334" s="69">
        <f>IF(OR($A334="",$D334=0),"",$C334/$D334)</f>
        <v/>
      </c>
    </row>
    <row r="335">
      <c r="A335" s="16">
        <f>IF(Deals!$A332="","",Deals!$A332)</f>
        <v/>
      </c>
      <c r="B335" s="18">
        <f>IF($A335="","",Deals!$R332)</f>
        <v/>
      </c>
      <c r="C335" s="67">
        <f>IF($A335="","",SUMIFS(Actuals!$D$7:$D$206,Actuals!$E$7:$E$206,$A335,Actuals!$K$7:$K$206,"OK"))</f>
        <v/>
      </c>
      <c r="D335" s="67">
        <f>IF($A335="","",SUMIFS(Actuals!$I$7:$I$206,Actuals!$E$7:$E$206,$A335,Actuals!$K$7:$K$206,"OK"))</f>
        <v/>
      </c>
      <c r="E335" s="68">
        <f>IF($A335="","",$C335-$D335)</f>
        <v/>
      </c>
      <c r="F335" s="69">
        <f>IF(OR($A335="",$D335=0),"",$C335/$D335)</f>
        <v/>
      </c>
    </row>
    <row r="336">
      <c r="A336" s="16">
        <f>IF(Deals!$A333="","",Deals!$A333)</f>
        <v/>
      </c>
      <c r="B336" s="18">
        <f>IF($A336="","",Deals!$R333)</f>
        <v/>
      </c>
      <c r="C336" s="67">
        <f>IF($A336="","",SUMIFS(Actuals!$D$7:$D$206,Actuals!$E$7:$E$206,$A336,Actuals!$K$7:$K$206,"OK"))</f>
        <v/>
      </c>
      <c r="D336" s="67">
        <f>IF($A336="","",SUMIFS(Actuals!$I$7:$I$206,Actuals!$E$7:$E$206,$A336,Actuals!$K$7:$K$206,"OK"))</f>
        <v/>
      </c>
      <c r="E336" s="68">
        <f>IF($A336="","",$C336-$D336)</f>
        <v/>
      </c>
      <c r="F336" s="69">
        <f>IF(OR($A336="",$D336=0),"",$C336/$D336)</f>
        <v/>
      </c>
    </row>
    <row r="337">
      <c r="A337" s="16">
        <f>IF(Deals!$A334="","",Deals!$A334)</f>
        <v/>
      </c>
      <c r="B337" s="18">
        <f>IF($A337="","",Deals!$R334)</f>
        <v/>
      </c>
      <c r="C337" s="67">
        <f>IF($A337="","",SUMIFS(Actuals!$D$7:$D$206,Actuals!$E$7:$E$206,$A337,Actuals!$K$7:$K$206,"OK"))</f>
        <v/>
      </c>
      <c r="D337" s="67">
        <f>IF($A337="","",SUMIFS(Actuals!$I$7:$I$206,Actuals!$E$7:$E$206,$A337,Actuals!$K$7:$K$206,"OK"))</f>
        <v/>
      </c>
      <c r="E337" s="68">
        <f>IF($A337="","",$C337-$D337)</f>
        <v/>
      </c>
      <c r="F337" s="69">
        <f>IF(OR($A337="",$D337=0),"",$C337/$D337)</f>
        <v/>
      </c>
    </row>
    <row r="338">
      <c r="A338" s="16">
        <f>IF(Deals!$A335="","",Deals!$A335)</f>
        <v/>
      </c>
      <c r="B338" s="18">
        <f>IF($A338="","",Deals!$R335)</f>
        <v/>
      </c>
      <c r="C338" s="67">
        <f>IF($A338="","",SUMIFS(Actuals!$D$7:$D$206,Actuals!$E$7:$E$206,$A338,Actuals!$K$7:$K$206,"OK"))</f>
        <v/>
      </c>
      <c r="D338" s="67">
        <f>IF($A338="","",SUMIFS(Actuals!$I$7:$I$206,Actuals!$E$7:$E$206,$A338,Actuals!$K$7:$K$206,"OK"))</f>
        <v/>
      </c>
      <c r="E338" s="68">
        <f>IF($A338="","",$C338-$D338)</f>
        <v/>
      </c>
      <c r="F338" s="69">
        <f>IF(OR($A338="",$D338=0),"",$C338/$D338)</f>
        <v/>
      </c>
    </row>
    <row r="339">
      <c r="A339" s="16">
        <f>IF(Deals!$A336="","",Deals!$A336)</f>
        <v/>
      </c>
      <c r="B339" s="18">
        <f>IF($A339="","",Deals!$R336)</f>
        <v/>
      </c>
      <c r="C339" s="67">
        <f>IF($A339="","",SUMIFS(Actuals!$D$7:$D$206,Actuals!$E$7:$E$206,$A339,Actuals!$K$7:$K$206,"OK"))</f>
        <v/>
      </c>
      <c r="D339" s="67">
        <f>IF($A339="","",SUMIFS(Actuals!$I$7:$I$206,Actuals!$E$7:$E$206,$A339,Actuals!$K$7:$K$206,"OK"))</f>
        <v/>
      </c>
      <c r="E339" s="68">
        <f>IF($A339="","",$C339-$D339)</f>
        <v/>
      </c>
      <c r="F339" s="69">
        <f>IF(OR($A339="",$D339=0),"",$C339/$D339)</f>
        <v/>
      </c>
    </row>
    <row r="340">
      <c r="A340" s="16">
        <f>IF(Deals!$A337="","",Deals!$A337)</f>
        <v/>
      </c>
      <c r="B340" s="18">
        <f>IF($A340="","",Deals!$R337)</f>
        <v/>
      </c>
      <c r="C340" s="67">
        <f>IF($A340="","",SUMIFS(Actuals!$D$7:$D$206,Actuals!$E$7:$E$206,$A340,Actuals!$K$7:$K$206,"OK"))</f>
        <v/>
      </c>
      <c r="D340" s="67">
        <f>IF($A340="","",SUMIFS(Actuals!$I$7:$I$206,Actuals!$E$7:$E$206,$A340,Actuals!$K$7:$K$206,"OK"))</f>
        <v/>
      </c>
      <c r="E340" s="68">
        <f>IF($A340="","",$C340-$D340)</f>
        <v/>
      </c>
      <c r="F340" s="69">
        <f>IF(OR($A340="",$D340=0),"",$C340/$D340)</f>
        <v/>
      </c>
    </row>
    <row r="341">
      <c r="A341" s="16">
        <f>IF(Deals!$A338="","",Deals!$A338)</f>
        <v/>
      </c>
      <c r="B341" s="18">
        <f>IF($A341="","",Deals!$R338)</f>
        <v/>
      </c>
      <c r="C341" s="67">
        <f>IF($A341="","",SUMIFS(Actuals!$D$7:$D$206,Actuals!$E$7:$E$206,$A341,Actuals!$K$7:$K$206,"OK"))</f>
        <v/>
      </c>
      <c r="D341" s="67">
        <f>IF($A341="","",SUMIFS(Actuals!$I$7:$I$206,Actuals!$E$7:$E$206,$A341,Actuals!$K$7:$K$206,"OK"))</f>
        <v/>
      </c>
      <c r="E341" s="68">
        <f>IF($A341="","",$C341-$D341)</f>
        <v/>
      </c>
      <c r="F341" s="69">
        <f>IF(OR($A341="",$D341=0),"",$C341/$D341)</f>
        <v/>
      </c>
    </row>
    <row r="342">
      <c r="A342" s="16">
        <f>IF(Deals!$A339="","",Deals!$A339)</f>
        <v/>
      </c>
      <c r="B342" s="18">
        <f>IF($A342="","",Deals!$R339)</f>
        <v/>
      </c>
      <c r="C342" s="67">
        <f>IF($A342="","",SUMIFS(Actuals!$D$7:$D$206,Actuals!$E$7:$E$206,$A342,Actuals!$K$7:$K$206,"OK"))</f>
        <v/>
      </c>
      <c r="D342" s="67">
        <f>IF($A342="","",SUMIFS(Actuals!$I$7:$I$206,Actuals!$E$7:$E$206,$A342,Actuals!$K$7:$K$206,"OK"))</f>
        <v/>
      </c>
      <c r="E342" s="68">
        <f>IF($A342="","",$C342-$D342)</f>
        <v/>
      </c>
      <c r="F342" s="69">
        <f>IF(OR($A342="",$D342=0),"",$C342/$D342)</f>
        <v/>
      </c>
    </row>
    <row r="343">
      <c r="A343" s="16">
        <f>IF(Deals!$A340="","",Deals!$A340)</f>
        <v/>
      </c>
      <c r="B343" s="18">
        <f>IF($A343="","",Deals!$R340)</f>
        <v/>
      </c>
      <c r="C343" s="67">
        <f>IF($A343="","",SUMIFS(Actuals!$D$7:$D$206,Actuals!$E$7:$E$206,$A343,Actuals!$K$7:$K$206,"OK"))</f>
        <v/>
      </c>
      <c r="D343" s="67">
        <f>IF($A343="","",SUMIFS(Actuals!$I$7:$I$206,Actuals!$E$7:$E$206,$A343,Actuals!$K$7:$K$206,"OK"))</f>
        <v/>
      </c>
      <c r="E343" s="68">
        <f>IF($A343="","",$C343-$D343)</f>
        <v/>
      </c>
      <c r="F343" s="69">
        <f>IF(OR($A343="",$D343=0),"",$C343/$D343)</f>
        <v/>
      </c>
    </row>
    <row r="344">
      <c r="A344" s="16">
        <f>IF(Deals!$A341="","",Deals!$A341)</f>
        <v/>
      </c>
      <c r="B344" s="18">
        <f>IF($A344="","",Deals!$R341)</f>
        <v/>
      </c>
      <c r="C344" s="67">
        <f>IF($A344="","",SUMIFS(Actuals!$D$7:$D$206,Actuals!$E$7:$E$206,$A344,Actuals!$K$7:$K$206,"OK"))</f>
        <v/>
      </c>
      <c r="D344" s="67">
        <f>IF($A344="","",SUMIFS(Actuals!$I$7:$I$206,Actuals!$E$7:$E$206,$A344,Actuals!$K$7:$K$206,"OK"))</f>
        <v/>
      </c>
      <c r="E344" s="68">
        <f>IF($A344="","",$C344-$D344)</f>
        <v/>
      </c>
      <c r="F344" s="69">
        <f>IF(OR($A344="",$D344=0),"",$C344/$D344)</f>
        <v/>
      </c>
    </row>
    <row r="345">
      <c r="A345" s="16">
        <f>IF(Deals!$A342="","",Deals!$A342)</f>
        <v/>
      </c>
      <c r="B345" s="18">
        <f>IF($A345="","",Deals!$R342)</f>
        <v/>
      </c>
      <c r="C345" s="67">
        <f>IF($A345="","",SUMIFS(Actuals!$D$7:$D$206,Actuals!$E$7:$E$206,$A345,Actuals!$K$7:$K$206,"OK"))</f>
        <v/>
      </c>
      <c r="D345" s="67">
        <f>IF($A345="","",SUMIFS(Actuals!$I$7:$I$206,Actuals!$E$7:$E$206,$A345,Actuals!$K$7:$K$206,"OK"))</f>
        <v/>
      </c>
      <c r="E345" s="68">
        <f>IF($A345="","",$C345-$D345)</f>
        <v/>
      </c>
      <c r="F345" s="69">
        <f>IF(OR($A345="",$D345=0),"",$C345/$D345)</f>
        <v/>
      </c>
    </row>
    <row r="346">
      <c r="A346" s="16">
        <f>IF(Deals!$A343="","",Deals!$A343)</f>
        <v/>
      </c>
      <c r="B346" s="18">
        <f>IF($A346="","",Deals!$R343)</f>
        <v/>
      </c>
      <c r="C346" s="67">
        <f>IF($A346="","",SUMIFS(Actuals!$D$7:$D$206,Actuals!$E$7:$E$206,$A346,Actuals!$K$7:$K$206,"OK"))</f>
        <v/>
      </c>
      <c r="D346" s="67">
        <f>IF($A346="","",SUMIFS(Actuals!$I$7:$I$206,Actuals!$E$7:$E$206,$A346,Actuals!$K$7:$K$206,"OK"))</f>
        <v/>
      </c>
      <c r="E346" s="68">
        <f>IF($A346="","",$C346-$D346)</f>
        <v/>
      </c>
      <c r="F346" s="69">
        <f>IF(OR($A346="",$D346=0),"",$C346/$D346)</f>
        <v/>
      </c>
    </row>
    <row r="347">
      <c r="A347" s="16">
        <f>IF(Deals!$A344="","",Deals!$A344)</f>
        <v/>
      </c>
      <c r="B347" s="18">
        <f>IF($A347="","",Deals!$R344)</f>
        <v/>
      </c>
      <c r="C347" s="67">
        <f>IF($A347="","",SUMIFS(Actuals!$D$7:$D$206,Actuals!$E$7:$E$206,$A347,Actuals!$K$7:$K$206,"OK"))</f>
        <v/>
      </c>
      <c r="D347" s="67">
        <f>IF($A347="","",SUMIFS(Actuals!$I$7:$I$206,Actuals!$E$7:$E$206,$A347,Actuals!$K$7:$K$206,"OK"))</f>
        <v/>
      </c>
      <c r="E347" s="68">
        <f>IF($A347="","",$C347-$D347)</f>
        <v/>
      </c>
      <c r="F347" s="69">
        <f>IF(OR($A347="",$D347=0),"",$C347/$D347)</f>
        <v/>
      </c>
    </row>
    <row r="348">
      <c r="A348" s="16">
        <f>IF(Deals!$A345="","",Deals!$A345)</f>
        <v/>
      </c>
      <c r="B348" s="18">
        <f>IF($A348="","",Deals!$R345)</f>
        <v/>
      </c>
      <c r="C348" s="67">
        <f>IF($A348="","",SUMIFS(Actuals!$D$7:$D$206,Actuals!$E$7:$E$206,$A348,Actuals!$K$7:$K$206,"OK"))</f>
        <v/>
      </c>
      <c r="D348" s="67">
        <f>IF($A348="","",SUMIFS(Actuals!$I$7:$I$206,Actuals!$E$7:$E$206,$A348,Actuals!$K$7:$K$206,"OK"))</f>
        <v/>
      </c>
      <c r="E348" s="68">
        <f>IF($A348="","",$C348-$D348)</f>
        <v/>
      </c>
      <c r="F348" s="69">
        <f>IF(OR($A348="",$D348=0),"",$C348/$D348)</f>
        <v/>
      </c>
    </row>
    <row r="349">
      <c r="A349" s="16">
        <f>IF(Deals!$A346="","",Deals!$A346)</f>
        <v/>
      </c>
      <c r="B349" s="18">
        <f>IF($A349="","",Deals!$R346)</f>
        <v/>
      </c>
      <c r="C349" s="67">
        <f>IF($A349="","",SUMIFS(Actuals!$D$7:$D$206,Actuals!$E$7:$E$206,$A349,Actuals!$K$7:$K$206,"OK"))</f>
        <v/>
      </c>
      <c r="D349" s="67">
        <f>IF($A349="","",SUMIFS(Actuals!$I$7:$I$206,Actuals!$E$7:$E$206,$A349,Actuals!$K$7:$K$206,"OK"))</f>
        <v/>
      </c>
      <c r="E349" s="68">
        <f>IF($A349="","",$C349-$D349)</f>
        <v/>
      </c>
      <c r="F349" s="69">
        <f>IF(OR($A349="",$D349=0),"",$C349/$D349)</f>
        <v/>
      </c>
    </row>
    <row r="350">
      <c r="A350" s="16">
        <f>IF(Deals!$A347="","",Deals!$A347)</f>
        <v/>
      </c>
      <c r="B350" s="18">
        <f>IF($A350="","",Deals!$R347)</f>
        <v/>
      </c>
      <c r="C350" s="67">
        <f>IF($A350="","",SUMIFS(Actuals!$D$7:$D$206,Actuals!$E$7:$E$206,$A350,Actuals!$K$7:$K$206,"OK"))</f>
        <v/>
      </c>
      <c r="D350" s="67">
        <f>IF($A350="","",SUMIFS(Actuals!$I$7:$I$206,Actuals!$E$7:$E$206,$A350,Actuals!$K$7:$K$206,"OK"))</f>
        <v/>
      </c>
      <c r="E350" s="68">
        <f>IF($A350="","",$C350-$D350)</f>
        <v/>
      </c>
      <c r="F350" s="69">
        <f>IF(OR($A350="",$D350=0),"",$C350/$D350)</f>
        <v/>
      </c>
    </row>
    <row r="351">
      <c r="A351" s="16">
        <f>IF(Deals!$A348="","",Deals!$A348)</f>
        <v/>
      </c>
      <c r="B351" s="18">
        <f>IF($A351="","",Deals!$R348)</f>
        <v/>
      </c>
      <c r="C351" s="67">
        <f>IF($A351="","",SUMIFS(Actuals!$D$7:$D$206,Actuals!$E$7:$E$206,$A351,Actuals!$K$7:$K$206,"OK"))</f>
        <v/>
      </c>
      <c r="D351" s="67">
        <f>IF($A351="","",SUMIFS(Actuals!$I$7:$I$206,Actuals!$E$7:$E$206,$A351,Actuals!$K$7:$K$206,"OK"))</f>
        <v/>
      </c>
      <c r="E351" s="68">
        <f>IF($A351="","",$C351-$D351)</f>
        <v/>
      </c>
      <c r="F351" s="69">
        <f>IF(OR($A351="",$D351=0),"",$C351/$D351)</f>
        <v/>
      </c>
    </row>
    <row r="352">
      <c r="A352" s="16">
        <f>IF(Deals!$A349="","",Deals!$A349)</f>
        <v/>
      </c>
      <c r="B352" s="18">
        <f>IF($A352="","",Deals!$R349)</f>
        <v/>
      </c>
      <c r="C352" s="67">
        <f>IF($A352="","",SUMIFS(Actuals!$D$7:$D$206,Actuals!$E$7:$E$206,$A352,Actuals!$K$7:$K$206,"OK"))</f>
        <v/>
      </c>
      <c r="D352" s="67">
        <f>IF($A352="","",SUMIFS(Actuals!$I$7:$I$206,Actuals!$E$7:$E$206,$A352,Actuals!$K$7:$K$206,"OK"))</f>
        <v/>
      </c>
      <c r="E352" s="68">
        <f>IF($A352="","",$C352-$D352)</f>
        <v/>
      </c>
      <c r="F352" s="69">
        <f>IF(OR($A352="",$D352=0),"",$C352/$D352)</f>
        <v/>
      </c>
    </row>
    <row r="353">
      <c r="A353" s="16">
        <f>IF(Deals!$A350="","",Deals!$A350)</f>
        <v/>
      </c>
      <c r="B353" s="18">
        <f>IF($A353="","",Deals!$R350)</f>
        <v/>
      </c>
      <c r="C353" s="67">
        <f>IF($A353="","",SUMIFS(Actuals!$D$7:$D$206,Actuals!$E$7:$E$206,$A353,Actuals!$K$7:$K$206,"OK"))</f>
        <v/>
      </c>
      <c r="D353" s="67">
        <f>IF($A353="","",SUMIFS(Actuals!$I$7:$I$206,Actuals!$E$7:$E$206,$A353,Actuals!$K$7:$K$206,"OK"))</f>
        <v/>
      </c>
      <c r="E353" s="68">
        <f>IF($A353="","",$C353-$D353)</f>
        <v/>
      </c>
      <c r="F353" s="69">
        <f>IF(OR($A353="",$D353=0),"",$C353/$D353)</f>
        <v/>
      </c>
    </row>
    <row r="354">
      <c r="A354" s="16">
        <f>IF(Deals!$A351="","",Deals!$A351)</f>
        <v/>
      </c>
      <c r="B354" s="18">
        <f>IF($A354="","",Deals!$R351)</f>
        <v/>
      </c>
      <c r="C354" s="67">
        <f>IF($A354="","",SUMIFS(Actuals!$D$7:$D$206,Actuals!$E$7:$E$206,$A354,Actuals!$K$7:$K$206,"OK"))</f>
        <v/>
      </c>
      <c r="D354" s="67">
        <f>IF($A354="","",SUMIFS(Actuals!$I$7:$I$206,Actuals!$E$7:$E$206,$A354,Actuals!$K$7:$K$206,"OK"))</f>
        <v/>
      </c>
      <c r="E354" s="68">
        <f>IF($A354="","",$C354-$D354)</f>
        <v/>
      </c>
      <c r="F354" s="69">
        <f>IF(OR($A354="",$D354=0),"",$C354/$D354)</f>
        <v/>
      </c>
    </row>
    <row r="355">
      <c r="A355" s="16">
        <f>IF(Deals!$A352="","",Deals!$A352)</f>
        <v/>
      </c>
      <c r="B355" s="18">
        <f>IF($A355="","",Deals!$R352)</f>
        <v/>
      </c>
      <c r="C355" s="67">
        <f>IF($A355="","",SUMIFS(Actuals!$D$7:$D$206,Actuals!$E$7:$E$206,$A355,Actuals!$K$7:$K$206,"OK"))</f>
        <v/>
      </c>
      <c r="D355" s="67">
        <f>IF($A355="","",SUMIFS(Actuals!$I$7:$I$206,Actuals!$E$7:$E$206,$A355,Actuals!$K$7:$K$206,"OK"))</f>
        <v/>
      </c>
      <c r="E355" s="68">
        <f>IF($A355="","",$C355-$D355)</f>
        <v/>
      </c>
      <c r="F355" s="69">
        <f>IF(OR($A355="",$D355=0),"",$C355/$D355)</f>
        <v/>
      </c>
    </row>
    <row r="356">
      <c r="A356" s="16">
        <f>IF(Deals!$A353="","",Deals!$A353)</f>
        <v/>
      </c>
      <c r="B356" s="18">
        <f>IF($A356="","",Deals!$R353)</f>
        <v/>
      </c>
      <c r="C356" s="67">
        <f>IF($A356="","",SUMIFS(Actuals!$D$7:$D$206,Actuals!$E$7:$E$206,$A356,Actuals!$K$7:$K$206,"OK"))</f>
        <v/>
      </c>
      <c r="D356" s="67">
        <f>IF($A356="","",SUMIFS(Actuals!$I$7:$I$206,Actuals!$E$7:$E$206,$A356,Actuals!$K$7:$K$206,"OK"))</f>
        <v/>
      </c>
      <c r="E356" s="68">
        <f>IF($A356="","",$C356-$D356)</f>
        <v/>
      </c>
      <c r="F356" s="69">
        <f>IF(OR($A356="",$D356=0),"",$C356/$D356)</f>
        <v/>
      </c>
    </row>
    <row r="357">
      <c r="A357" s="16">
        <f>IF(Deals!$A354="","",Deals!$A354)</f>
        <v/>
      </c>
      <c r="B357" s="18">
        <f>IF($A357="","",Deals!$R354)</f>
        <v/>
      </c>
      <c r="C357" s="67">
        <f>IF($A357="","",SUMIFS(Actuals!$D$7:$D$206,Actuals!$E$7:$E$206,$A357,Actuals!$K$7:$K$206,"OK"))</f>
        <v/>
      </c>
      <c r="D357" s="67">
        <f>IF($A357="","",SUMIFS(Actuals!$I$7:$I$206,Actuals!$E$7:$E$206,$A357,Actuals!$K$7:$K$206,"OK"))</f>
        <v/>
      </c>
      <c r="E357" s="68">
        <f>IF($A357="","",$C357-$D357)</f>
        <v/>
      </c>
      <c r="F357" s="69">
        <f>IF(OR($A357="",$D357=0),"",$C357/$D357)</f>
        <v/>
      </c>
    </row>
    <row r="358">
      <c r="A358" s="16">
        <f>IF(Deals!$A355="","",Deals!$A355)</f>
        <v/>
      </c>
      <c r="B358" s="18">
        <f>IF($A358="","",Deals!$R355)</f>
        <v/>
      </c>
      <c r="C358" s="67">
        <f>IF($A358="","",SUMIFS(Actuals!$D$7:$D$206,Actuals!$E$7:$E$206,$A358,Actuals!$K$7:$K$206,"OK"))</f>
        <v/>
      </c>
      <c r="D358" s="67">
        <f>IF($A358="","",SUMIFS(Actuals!$I$7:$I$206,Actuals!$E$7:$E$206,$A358,Actuals!$K$7:$K$206,"OK"))</f>
        <v/>
      </c>
      <c r="E358" s="68">
        <f>IF($A358="","",$C358-$D358)</f>
        <v/>
      </c>
      <c r="F358" s="69">
        <f>IF(OR($A358="",$D358=0),"",$C358/$D358)</f>
        <v/>
      </c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8F00"/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5" t="inlineStr">
        <is>
          <t>Settings &amp; Lists</t>
        </is>
      </c>
    </row>
    <row r="2"/>
    <row r="3">
      <c r="A3" s="12" t="inlineStr">
        <is>
          <t>Capacity window start (a Monday)</t>
        </is>
      </c>
      <c r="B3" s="72" t="n">
        <v>46223</v>
      </c>
    </row>
    <row r="4">
      <c r="A4" s="12" t="inlineStr">
        <is>
          <t>Probability-weight the Capacity view? (Yes/No)</t>
        </is>
      </c>
      <c r="B4" s="73" t="inlineStr">
        <is>
          <t>Yes</t>
        </is>
      </c>
    </row>
    <row r="5"/>
    <row r="6">
      <c r="A6" s="12" t="inlineStr">
        <is>
          <t>Default planned hours/week (one person, one deal), by level</t>
        </is>
      </c>
      <c r="D6" s="6" t="inlineStr">
        <is>
          <t>PLACEHOLDER values set by Claude from the July 9 staffing shape - not firm data. Tune them here; every assignment without an override uses these.</t>
        </is>
      </c>
    </row>
    <row r="7">
      <c r="A7" s="7" t="inlineStr">
        <is>
          <t>Level</t>
        </is>
      </c>
      <c r="B7" s="7" t="inlineStr">
        <is>
          <t>Default hrs/wk</t>
        </is>
      </c>
      <c r="D7" s="7" t="inlineStr">
        <is>
          <t>Lifecycle</t>
        </is>
      </c>
      <c r="E7" s="7" t="inlineStr">
        <is>
          <t>Phase</t>
        </is>
      </c>
      <c r="F7" s="7" t="inlineStr">
        <is>
          <t>Transaction type (legacy)</t>
        </is>
      </c>
      <c r="G7" s="7" t="inlineStr">
        <is>
          <t>Entity classification (legacy)</t>
        </is>
      </c>
      <c r="H7" s="7" t="inlineStr">
        <is>
          <t>Scope (legacy)</t>
        </is>
      </c>
      <c r="I7" s="7" t="inlineStr">
        <is>
          <t>Timeline (legacy)</t>
        </is>
      </c>
      <c r="J7" s="7" t="inlineStr">
        <is>
          <t>Active flag</t>
        </is>
      </c>
      <c r="K7" s="7" t="inlineStr">
        <is>
          <t>Yes/No</t>
        </is>
      </c>
      <c r="L7" s="7" t="inlineStr">
        <is>
          <t>Levels</t>
        </is>
      </c>
      <c r="M7" s="7" t="inlineStr">
        <is>
          <t>TDD deal type</t>
        </is>
      </c>
      <c r="N7" s="7" t="inlineStr">
        <is>
          <t>TDD scope</t>
        </is>
      </c>
      <c r="O7" s="7" t="inlineStr">
        <is>
          <t>Other TDD scoping</t>
        </is>
      </c>
      <c r="P7" s="7" t="inlineStr">
        <is>
          <t>Corporate tax modeling</t>
        </is>
      </c>
      <c r="Q7" s="7" t="inlineStr">
        <is>
          <t>Tick (Y)</t>
        </is>
      </c>
    </row>
    <row r="8">
      <c r="A8" s="56" t="inlineStr">
        <is>
          <t>Partner</t>
        </is>
      </c>
      <c r="B8" s="50" t="n">
        <v>2</v>
      </c>
      <c r="D8" s="49" t="inlineStr">
        <is>
          <t>Proposal</t>
        </is>
      </c>
      <c r="E8" s="49" t="inlineStr">
        <is>
          <t>Pre-LOI</t>
        </is>
      </c>
      <c r="F8" s="49" t="inlineStr">
        <is>
          <t>Stock</t>
        </is>
      </c>
      <c r="G8" s="49" t="inlineStr">
        <is>
          <t>Corp</t>
        </is>
      </c>
      <c r="H8" s="49" t="inlineStr">
        <is>
          <t>TDD</t>
        </is>
      </c>
      <c r="I8" s="49" t="inlineStr">
        <is>
          <t>Standard</t>
        </is>
      </c>
      <c r="J8" s="49" t="inlineStr">
        <is>
          <t>Active</t>
        </is>
      </c>
      <c r="K8" s="49" t="inlineStr">
        <is>
          <t>Yes</t>
        </is>
      </c>
      <c r="L8" s="49" t="inlineStr">
        <is>
          <t>Partner</t>
        </is>
      </c>
      <c r="M8" s="49" t="inlineStr">
        <is>
          <t>Asset Deal (or DRE)</t>
        </is>
      </c>
      <c r="N8" s="49" t="inlineStr">
        <is>
          <t>Inquiry basis</t>
        </is>
      </c>
      <c r="O8" s="49" t="inlineStr">
        <is>
          <t>Carve out</t>
        </is>
      </c>
      <c r="P8" s="49" t="inlineStr">
        <is>
          <t>Basic (no roll up)</t>
        </is>
      </c>
      <c r="Q8" s="49" t="inlineStr">
        <is>
          <t>Y</t>
        </is>
      </c>
    </row>
    <row r="9">
      <c r="A9" s="56" t="inlineStr">
        <is>
          <t>MD</t>
        </is>
      </c>
      <c r="B9" s="50" t="n">
        <v>3</v>
      </c>
      <c r="D9" s="49" t="inlineStr">
        <is>
          <t>Active</t>
        </is>
      </c>
      <c r="E9" s="49" t="inlineStr">
        <is>
          <t>Diligence</t>
        </is>
      </c>
      <c r="F9" s="49" t="inlineStr">
        <is>
          <t>Asset</t>
        </is>
      </c>
      <c r="G9" s="49" t="inlineStr">
        <is>
          <t>Flow-through</t>
        </is>
      </c>
      <c r="H9" s="49" t="inlineStr">
        <is>
          <t>Structuring</t>
        </is>
      </c>
      <c r="I9" s="49" t="inlineStr">
        <is>
          <t>Compressed</t>
        </is>
      </c>
      <c r="J9" s="49" t="inlineStr">
        <is>
          <t>Inactive</t>
        </is>
      </c>
      <c r="K9" s="49" t="inlineStr">
        <is>
          <t>No</t>
        </is>
      </c>
      <c r="L9" s="49" t="inlineStr">
        <is>
          <t>MD</t>
        </is>
      </c>
      <c r="M9" s="49" t="inlineStr">
        <is>
          <t>Partnership with push out</t>
        </is>
      </c>
      <c r="N9" s="49" t="inlineStr">
        <is>
          <t>Limited Procedures</t>
        </is>
      </c>
      <c r="O9" s="49" t="inlineStr">
        <is>
          <t>Non-US jurisdiction coordination</t>
        </is>
      </c>
      <c r="P9" s="49" t="inlineStr">
        <is>
          <t>Building roll up</t>
        </is>
      </c>
      <c r="Q9" s="66" t="n"/>
    </row>
    <row r="10">
      <c r="A10" s="56" t="inlineStr">
        <is>
          <t>Director</t>
        </is>
      </c>
      <c r="B10" s="50" t="n">
        <v>5</v>
      </c>
      <c r="D10" s="49" t="inlineStr">
        <is>
          <t>On hold</t>
        </is>
      </c>
      <c r="E10" s="49" t="inlineStr">
        <is>
          <t>Signing to close</t>
        </is>
      </c>
      <c r="F10" s="49" t="inlineStr">
        <is>
          <t>Partnership</t>
        </is>
      </c>
      <c r="G10" s="49" t="inlineStr">
        <is>
          <t>Mixed</t>
        </is>
      </c>
      <c r="H10" s="49" t="inlineStr">
        <is>
          <t>Modeling</t>
        </is>
      </c>
      <c r="I10" s="66" t="n"/>
      <c r="J10" s="66" t="n"/>
      <c r="K10" s="66" t="n"/>
      <c r="L10" s="49" t="inlineStr">
        <is>
          <t>Director</t>
        </is>
      </c>
      <c r="M10" s="49" t="inlineStr">
        <is>
          <t>Partnership no push out</t>
        </is>
      </c>
      <c r="N10" s="49" t="inlineStr">
        <is>
          <t>Key Findings</t>
        </is>
      </c>
      <c r="O10" s="49" t="inlineStr">
        <is>
          <t>8A / Taxand</t>
        </is>
      </c>
      <c r="P10" s="66" t="n"/>
      <c r="Q10" s="66" t="n"/>
    </row>
    <row r="11">
      <c r="A11" s="56" t="inlineStr">
        <is>
          <t>VP</t>
        </is>
      </c>
      <c r="B11" s="50" t="n">
        <v>8</v>
      </c>
      <c r="D11" s="49" t="inlineStr">
        <is>
          <t>Pens down</t>
        </is>
      </c>
      <c r="E11" s="49" t="inlineStr">
        <is>
          <t>Post-close</t>
        </is>
      </c>
      <c r="F11" s="49" t="inlineStr">
        <is>
          <t>Mixed</t>
        </is>
      </c>
      <c r="G11" s="49" t="inlineStr">
        <is>
          <t>N/A</t>
        </is>
      </c>
      <c r="H11" s="49" t="inlineStr">
        <is>
          <t>TDD + Structuring</t>
        </is>
      </c>
      <c r="I11" s="66" t="n"/>
      <c r="J11" s="66" t="n"/>
      <c r="K11" s="66" t="n"/>
      <c r="L11" s="49" t="inlineStr">
        <is>
          <t>VP</t>
        </is>
      </c>
      <c r="M11" s="49" t="inlineStr">
        <is>
          <t>C Corporation</t>
        </is>
      </c>
      <c r="N11" s="66" t="n"/>
      <c r="O11" s="49" t="inlineStr">
        <is>
          <t>N/A</t>
        </is>
      </c>
      <c r="P11" s="66" t="n"/>
      <c r="Q11" s="66" t="n"/>
    </row>
    <row r="12">
      <c r="A12" s="56" t="inlineStr">
        <is>
          <t>Senior Associate</t>
        </is>
      </c>
      <c r="B12" s="50" t="n">
        <v>10</v>
      </c>
      <c r="D12" s="49" t="inlineStr">
        <is>
          <t>Complete - to invoice</t>
        </is>
      </c>
      <c r="E12" s="66" t="n"/>
      <c r="F12" s="49" t="inlineStr">
        <is>
          <t>N/A</t>
        </is>
      </c>
      <c r="G12" s="66" t="n"/>
      <c r="H12" s="49" t="inlineStr">
        <is>
          <t>Full scope</t>
        </is>
      </c>
      <c r="I12" s="66" t="n"/>
      <c r="J12" s="66" t="n"/>
      <c r="K12" s="66" t="n"/>
      <c r="L12" s="49" t="inlineStr">
        <is>
          <t>Senior Associate</t>
        </is>
      </c>
      <c r="M12" s="49" t="inlineStr">
        <is>
          <t>S Corporation</t>
        </is>
      </c>
      <c r="N12" s="66" t="n"/>
      <c r="O12" s="66" t="n"/>
      <c r="P12" s="66" t="n"/>
      <c r="Q12" s="66" t="n"/>
    </row>
    <row r="13">
      <c r="A13" s="56" t="inlineStr">
        <is>
          <t>Renewable Specialist</t>
        </is>
      </c>
      <c r="B13" s="50" t="n">
        <v>2</v>
      </c>
      <c r="D13" s="49" t="inlineStr">
        <is>
          <t>Invoiced</t>
        </is>
      </c>
      <c r="E13" s="66" t="n"/>
      <c r="F13" s="66" t="n"/>
      <c r="G13" s="66" t="n"/>
      <c r="H13" s="49" t="inlineStr">
        <is>
          <t>PW&amp;A / Review</t>
        </is>
      </c>
      <c r="I13" s="66" t="n"/>
      <c r="J13" s="66" t="n"/>
      <c r="K13" s="66" t="n"/>
      <c r="L13" s="49" t="inlineStr">
        <is>
          <t>Renewable Specialist</t>
        </is>
      </c>
      <c r="M13" s="66" t="n"/>
      <c r="N13" s="66" t="n"/>
      <c r="O13" s="66" t="n"/>
      <c r="P13" s="66" t="n"/>
      <c r="Q13" s="66" t="n"/>
    </row>
    <row r="14">
      <c r="A14" s="56" t="inlineStr">
        <is>
          <t>Associate</t>
        </is>
      </c>
      <c r="B14" s="50" t="n">
        <v>12</v>
      </c>
      <c r="D14" s="49" t="inlineStr">
        <is>
          <t>Closed</t>
        </is>
      </c>
      <c r="E14" s="66" t="n"/>
      <c r="F14" s="66" t="n"/>
      <c r="G14" s="66" t="n"/>
      <c r="H14" s="49" t="inlineStr">
        <is>
          <t>SALT</t>
        </is>
      </c>
      <c r="I14" s="66" t="n"/>
      <c r="J14" s="66" t="n"/>
      <c r="K14" s="66" t="n"/>
      <c r="L14" s="49" t="inlineStr">
        <is>
          <t>Associate</t>
        </is>
      </c>
      <c r="M14" s="66" t="n"/>
      <c r="N14" s="66" t="n"/>
      <c r="O14" s="66" t="n"/>
      <c r="P14" s="66" t="n"/>
      <c r="Q14" s="66" t="n"/>
    </row>
    <row r="15">
      <c r="D15" s="49" t="inlineStr">
        <is>
          <t>Dead</t>
        </is>
      </c>
      <c r="E15" s="66" t="n"/>
      <c r="F15" s="66" t="n"/>
      <c r="G15" s="66" t="n"/>
      <c r="H15" s="49" t="inlineStr">
        <is>
          <t>Other</t>
        </is>
      </c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</row>
    <row r="16">
      <c r="D16" s="49" t="inlineStr">
        <is>
          <t>Internal</t>
        </is>
      </c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</row>
    <row r="17">
      <c r="A17" s="6" t="inlineStr">
        <is>
          <t>Lists to the right feed the dropdowns. Add values as the practice evolves; deleting a value in use does not change existing rows.</t>
        </is>
      </c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</row>
    <row r="18"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</row>
    <row r="19">
      <c r="A19" s="12" t="inlineStr">
        <is>
          <t>Check-in as-of date (update before each check-in)</t>
        </is>
      </c>
      <c r="B19" s="72" t="n">
        <v>46222</v>
      </c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</row>
    <row r="20">
      <c r="A20" s="12" t="inlineStr">
        <is>
          <t>Stale-deal threshold (weeks since added, no update)</t>
        </is>
      </c>
      <c r="B20" s="51" t="n">
        <v>4</v>
      </c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</row>
    <row r="21"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</row>
    <row r="22"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</row>
    <row r="23"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</row>
    <row r="24"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</row>
    <row r="25"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</row>
    <row r="26"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</row>
    <row r="27"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</row>
    <row r="28"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</row>
    <row r="29"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</row>
    <row r="30"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F88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6" customWidth="1" min="3" max="3"/>
    <col width="60" customWidth="1" min="4" max="4"/>
    <col width="44" customWidth="1" min="5" max="5"/>
    <col width="24" customWidth="1" min="6" max="6"/>
  </cols>
  <sheetData>
    <row r="1">
      <c r="A1" s="5" t="inlineStr">
        <is>
          <t>Migration review &amp; data health</t>
        </is>
      </c>
    </row>
    <row r="2">
      <c r="A2" s="6" t="inlineStr">
        <is>
          <t>Built automatically from Scheduling_US_MA_July_9.xlsx. Nothing was deleted. Below: a data-health panel (should stay green), then the migration items - section 1 needs a human answer (yellow column), section 2 is an audit trail.</t>
        </is>
      </c>
    </row>
    <row r="3"/>
    <row r="4">
      <c r="A4" s="7" t="inlineStr">
        <is>
          <t>DATA HEALTH (recomputes live)</t>
        </is>
      </c>
    </row>
    <row r="5">
      <c r="A5" s="7" t="inlineStr">
        <is>
          <t>Check</t>
        </is>
      </c>
      <c r="B5" s="7" t="inlineStr">
        <is>
          <t>Count</t>
        </is>
      </c>
      <c r="C5" s="7" t="inlineStr">
        <is>
          <t>Status</t>
        </is>
      </c>
    </row>
    <row r="6">
      <c r="A6" s="56" t="inlineStr">
        <is>
          <t>Assignments pointing at an unknown person</t>
        </is>
      </c>
      <c r="B6" s="59">
        <f>COUNTIF(Assignments!$B$2:$B$769,"~?")</f>
        <v/>
      </c>
      <c r="C6" s="56">
        <f>IF($B6=0,"OK","CHECK")</f>
        <v/>
      </c>
    </row>
    <row r="7">
      <c r="A7" s="56" t="inlineStr">
        <is>
          <t>Assignments pointing at an unknown project code</t>
        </is>
      </c>
      <c r="B7" s="59">
        <f>COUNTIF(Assignments!$D$2:$D$769,"~?")</f>
        <v/>
      </c>
      <c r="C7" s="56">
        <f>IF($B7=0,"OK","CHECK")</f>
        <v/>
      </c>
    </row>
    <row r="8">
      <c r="A8" s="56" t="inlineStr">
        <is>
          <t>Duplicate project codes on the Deals tab</t>
        </is>
      </c>
      <c r="B8" s="59">
        <f>SUMPRODUCT((COUNTIF(Deals!$A$2:$A$355,Deals!$A$2:$A$355)&gt;1)*(Deals!$A$2:$A$355&lt;&gt;""))</f>
        <v/>
      </c>
      <c r="C8" s="56">
        <f>IF($B8=0,"OK","CHECK")</f>
        <v/>
      </c>
    </row>
    <row r="9">
      <c r="A9" s="56" t="inlineStr">
        <is>
          <t>Active/Proposal deals with nobody staffed (incl. EXAMPLE row)</t>
        </is>
      </c>
      <c r="B9" s="59">
        <f>COUNTIFS(Deals!$F$2:$F$355,"Active",Deals!$Q$2:$Q$355,0)+COUNTIFS(Deals!$F$2:$F$355,"Proposal",Deals!$Q$2:$Q$355,0)</f>
        <v/>
      </c>
      <c r="C9" s="6">
        <f>"see Check-in tab"</f>
        <v/>
      </c>
    </row>
    <row r="10"/>
    <row r="11"/>
    <row r="12" ht="28" customHeight="1">
      <c r="A12" s="15" t="inlineStr">
        <is>
          <t>Topic</t>
        </is>
      </c>
      <c r="B12" s="15" t="inlineStr">
        <is>
          <t>Person</t>
        </is>
      </c>
      <c r="C12" s="15" t="inlineStr">
        <is>
          <t>Project</t>
        </is>
      </c>
      <c r="D12" s="15" t="inlineStr">
        <is>
          <t>Detail</t>
        </is>
      </c>
      <c r="E12" s="15" t="inlineStr">
        <is>
          <t>Suggested action</t>
        </is>
      </c>
      <c r="F12" s="15" t="inlineStr">
        <is>
          <t>Your decision</t>
        </is>
      </c>
    </row>
    <row r="13">
      <c r="A13" s="55" t="inlineStr">
        <is>
          <t>1) REVIEWED 2026-07-19  (10 items)  -  team's answer in the last column; amber = still partly open</t>
        </is>
      </c>
      <c r="F13" s="66" t="n"/>
    </row>
    <row r="14">
      <c r="A14" s="3" t="inlineStr">
        <is>
          <t>Ambiguous 'Kyle' rows skipped</t>
        </is>
      </c>
      <c r="B14" s="3" t="inlineStr">
        <is>
          <t>Kyle (?)</t>
        </is>
      </c>
      <c r="C14" s="3" t="inlineStr">
        <is>
          <t>CopiaAdHoc_1, Dorsia_1, Gateway_3, Guardian_3, Shika_1</t>
        </is>
      </c>
      <c r="D14" s="3" t="inlineStr">
        <is>
          <t>Summary tab has one 'Kyle' block; these projects have neither/both Kyles on the register so the status was not applied</t>
        </is>
      </c>
      <c r="E14" s="3" t="inlineStr">
        <is>
          <t>Check which Kyle and set Active? manually</t>
        </is>
      </c>
      <c r="F14" s="74" t="inlineStr">
        <is>
          <t>Kyle Kidd on CopiaAdHoc_1 (per review). Note: the Summary tab held no involvement status for any of these 5, so nothing needed applying - both Kyles stay Active per the register. Which Kyle on Dorsia_1 / Gateway_3 / Guardian_3 / Shika_1: still open.</t>
        </is>
      </c>
    </row>
    <row r="15">
      <c r="A15" s="3" t="inlineStr">
        <is>
          <t>Check-in tab definitions to confirm</t>
        </is>
      </c>
      <c r="B15" s="3" t="inlineStr"/>
      <c r="C15" s="3" t="inlineStr">
        <is>
          <t>Check-in tab</t>
        </is>
      </c>
      <c r="D15" s="3" t="inlineStr">
        <is>
          <t>Step 5's 'Missing level' means: the deal's archetype expects hours from a level, but nobody at that level is actively staffed. 'Stale' means: weeks since 'Added on' &gt;= Settings!B20 (4, placeholder). 'Added on' is 2026-07-09 for every migrated deal (build date, not actual deal start), so nothing shows Stale yet.</t>
        </is>
      </c>
      <c r="E15" s="3" t="inlineStr">
        <is>
          <t>Confirm these definitions match what the team means; tune the stale-weeks threshold (Settings!B20)</t>
        </is>
      </c>
      <c r="F15" s="75" t="n"/>
    </row>
    <row r="16">
      <c r="A16" s="3" t="inlineStr">
        <is>
          <t>Deal dates blank</t>
        </is>
      </c>
      <c r="B16" s="3" t="inlineStr"/>
      <c r="C16" s="3" t="inlineStr">
        <is>
          <t>All deals</t>
        </is>
      </c>
      <c r="D16" s="3" t="inlineStr">
        <is>
          <t>The July 9 file has no dates, so every deal counts in every week of the Capacity view</t>
        </is>
      </c>
      <c r="E16" s="3" t="inlineStr">
        <is>
          <t>Fill Expected start/end (yellow cells) to time-phase the load</t>
        </is>
      </c>
      <c r="F16" s="74" t="inlineStr">
        <is>
          <t>No start/end dates yet (per review). Deals keep counting in every week until dates are added; the Step 3 phase curve activates then.</t>
        </is>
      </c>
    </row>
    <row r="17">
      <c r="A17" s="3" t="inlineStr">
        <is>
          <t>Fee-allocation parameters awaited</t>
        </is>
      </c>
      <c r="B17" s="3" t="inlineStr"/>
      <c r="C17" s="3" t="inlineStr">
        <is>
          <t>Templates tab + Deals fees</t>
        </is>
      </c>
      <c r="D17" s="3" t="inlineStr">
        <is>
          <t>The fee-&gt;hours engine is LIVE (Step 9): enter a fee per workstream group on a deal (Deals 'Fee $' columns) and it becomes hours by level = fee x split% / rate, spread over the deal's dates (or a default duration), split among the people staffed at each level. The rate card and split-% matrix (Templates) are still PLACEHOLDERS until the team's real numbers arrive.</t>
        </is>
      </c>
      <c r="E17" s="3" t="inlineStr">
        <is>
          <t>Fill the real rate card + level-split % matrix (Templates yellow cells), then price deals by entering fees. Note: a level the split funds but nobody is staffed at shows no hours - staff it or the fee's hours for that level are not visible in Capacity.</t>
        </is>
      </c>
      <c r="F17" s="75" t="n"/>
    </row>
    <row r="18">
      <c r="A18" s="3" t="inlineStr">
        <is>
          <t>Level-default hours are placeholders</t>
        </is>
      </c>
      <c r="B18" s="3" t="inlineStr"/>
      <c r="C18" s="3" t="inlineStr">
        <is>
          <t>Settings B8:B14</t>
        </is>
      </c>
      <c r="D18" s="3" t="inlineStr">
        <is>
          <t>Hours/wk per level are directional guesses; used only for deals with no fee and no archetype set</t>
        </is>
      </c>
      <c r="E18" s="3" t="inlineStr">
        <is>
          <t>Tune with the team; deals priced with fees ignore these</t>
        </is>
      </c>
      <c r="F18" s="75" t="inlineStr">
        <is>
          <t>Kept directional placeholders. The user's '40 h/wk' answer is the weekly CAPACITY (applied below); a 40 h/wk-per-deal default would over-allocate massively. Step 3 archetype templates now drive per-level hours - tune those instead.</t>
        </is>
      </c>
    </row>
    <row r="19">
      <c r="A19" s="3" t="inlineStr">
        <is>
          <t>NetSuite actuals - go-live setup</t>
        </is>
      </c>
      <c r="B19" s="3" t="inlineStr"/>
      <c r="C19" s="3" t="inlineStr">
        <is>
          <t>Actuals tab</t>
        </is>
      </c>
      <c r="D19" s="3" t="inlineStr">
        <is>
          <t>Step 4 added the actuals import + Variance calibration, demonstrated with a fabricated 20-row sample (flagged). Verify does the register Project ID match the NetSuite project code exactly?</t>
        </is>
      </c>
      <c r="E19" s="3" t="inlineStr">
        <is>
          <t>Build the NetSuite saved search to the CSV contract (Guide), delete the sample rows, and fill the name-mapping table for any mismatches</t>
        </is>
      </c>
      <c r="F19" s="75" t="n"/>
    </row>
    <row r="20">
      <c r="A20" s="3" t="inlineStr">
        <is>
          <t>Proposal probabilities defaulted</t>
        </is>
      </c>
      <c r="B20" s="3" t="inlineStr"/>
      <c r="C20" s="3" t="inlineStr">
        <is>
          <t>All 'Proposal' deals</t>
        </is>
      </c>
      <c r="D20" s="3" t="inlineStr">
        <is>
          <t>Probability prefilled at 50% (WIP deals at 100%)</t>
        </is>
      </c>
      <c r="E20" s="3" t="inlineStr">
        <is>
          <t>Set real probabilities in the yellow Probability cells (Deals tab)</t>
        </is>
      </c>
      <c r="F20" s="75" t="inlineStr">
        <is>
          <t>Semantics confirmed: probability = chance the proposal converts to WIP. Kept the 50% default pending per-proposal estimates.</t>
        </is>
      </c>
    </row>
    <row r="21">
      <c r="A21" s="3" t="inlineStr">
        <is>
          <t>Unclear personal status</t>
        </is>
      </c>
      <c r="B21" s="3" t="inlineStr">
        <is>
          <t>Patch</t>
        </is>
      </c>
      <c r="C21" s="3" t="inlineStr">
        <is>
          <t>CLS_1</t>
        </is>
      </c>
      <c r="D21" s="3" t="inlineStr">
        <is>
          <t>'Not sure what's going on with this one. This is an old project.'</t>
        </is>
      </c>
      <c r="E21" s="3" t="inlineStr">
        <is>
          <t>Set Active? on the Assignments tab</t>
        </is>
      </c>
      <c r="F21" s="74" t="inlineStr">
        <is>
          <t>Patch INACTIVE on CLS_1 (user: no) - applied.</t>
        </is>
      </c>
    </row>
    <row r="22">
      <c r="A22" s="3" t="inlineStr">
        <is>
          <t>Unclear personal status</t>
        </is>
      </c>
      <c r="B22" s="3" t="inlineStr">
        <is>
          <t>Patch</t>
        </is>
      </c>
      <c r="C22" s="3" t="inlineStr">
        <is>
          <t>MIF_1</t>
        </is>
      </c>
      <c r="D22" s="3" t="inlineStr">
        <is>
          <t>'Don't know what this is'</t>
        </is>
      </c>
      <c r="E22" s="3" t="inlineStr">
        <is>
          <t>Set Active? on the Assignments tab</t>
        </is>
      </c>
      <c r="F22" s="74" t="inlineStr">
        <is>
          <t>Patch ACTIVE on MIF_1 (user: yes) - applied.</t>
        </is>
      </c>
    </row>
    <row r="23">
      <c r="A23" s="3" t="inlineStr">
        <is>
          <t>Weekly capacity is a placeholder</t>
        </is>
      </c>
      <c r="B23" s="3" t="inlineStr"/>
      <c r="C23" s="3" t="inlineStr">
        <is>
          <t>All roster</t>
        </is>
      </c>
      <c r="D23" s="3" t="inlineStr">
        <is>
          <t>Everyone is set to 40 h/wk (Roster column D)</t>
        </is>
      </c>
      <c r="E23" s="3" t="inlineStr">
        <is>
          <t>Set each person's real weekly capacity</t>
        </is>
      </c>
      <c r="F23" s="74" t="inlineStr">
        <is>
          <t>Confirmed 40 h/wk per person (real, no longer a placeholder).</t>
        </is>
      </c>
    </row>
    <row r="24">
      <c r="F24" s="66" t="n"/>
    </row>
    <row r="25">
      <c r="A25" s="76" t="inlineStr">
        <is>
          <t>2) RESOLVED FROM SOURCE DATA  (28 items)  -  audit trail, no action needed</t>
        </is>
      </c>
      <c r="F25" s="66" t="n"/>
    </row>
    <row r="26">
      <c r="A26" s="3" t="inlineStr">
        <is>
          <t>Duplicate register rows merged</t>
        </is>
      </c>
      <c r="B26" s="3" t="inlineStr"/>
      <c r="C26" s="3" t="inlineStr">
        <is>
          <t>Cosmetic _1</t>
        </is>
      </c>
      <c r="D26" s="3" t="inlineStr">
        <is>
          <t>Two rows in the July 9 register, same client; differ mainly in status - kept lifecycle 'Active'</t>
        </is>
      </c>
      <c r="E26" s="3" t="inlineStr">
        <is>
          <t>Confirmed one engagement; no action needed</t>
        </is>
      </c>
      <c r="F26" s="77" t="inlineStr">
        <is>
          <t>resolved</t>
        </is>
      </c>
    </row>
    <row r="27">
      <c r="A27" s="3" t="inlineStr">
        <is>
          <t>Effort templates are placeholders</t>
        </is>
      </c>
      <c r="B27" s="3" t="inlineStr"/>
      <c r="C27" s="3" t="inlineStr">
        <is>
          <t>Templates tab (legacy)</t>
        </is>
      </c>
      <c r="D27" s="3" t="inlineStr">
        <is>
          <t>Step 3 archetypes -&gt; hrs/wk by level. Now LEGACY - superseded by the fee-&gt;workstream model (Step 8/9); kept hidden for reference.</t>
        </is>
      </c>
      <c r="E27" s="3" t="inlineStr">
        <is>
          <t>No action - replaced by the fee-allocation parameters below</t>
        </is>
      </c>
      <c r="F27" s="77" t="inlineStr">
        <is>
          <t>resolved</t>
        </is>
      </c>
    </row>
    <row r="28">
      <c r="A28" s="3" t="inlineStr">
        <is>
          <t>Engagement recovered from Summary tab</t>
        </is>
      </c>
      <c r="B28" s="3" t="inlineStr">
        <is>
          <t>George</t>
        </is>
      </c>
      <c r="C28" s="3" t="inlineStr">
        <is>
          <t>Brick_1</t>
        </is>
      </c>
      <c r="D28" s="3" t="inlineStr">
        <is>
          <t>Not in the register; found on the Summary tab (status: 'Ongoing'). Client recovered from source: Fengate.</t>
        </is>
      </c>
      <c r="E28" s="3" t="inlineStr">
        <is>
          <t>Client filled in - confirm, then add deal attributes (type / scope / complexity) when known</t>
        </is>
      </c>
      <c r="F28" s="77" t="inlineStr">
        <is>
          <t>resolved</t>
        </is>
      </c>
    </row>
    <row r="29">
      <c r="A29" s="3" t="inlineStr">
        <is>
          <t>Engagement recovered from Summary tab</t>
        </is>
      </c>
      <c r="B29" s="3" t="inlineStr">
        <is>
          <t>George</t>
        </is>
      </c>
      <c r="C29" s="3" t="inlineStr">
        <is>
          <t>Manchester_1</t>
        </is>
      </c>
      <c r="D29" s="3" t="inlineStr">
        <is>
          <t>Not in the register; found on the Summary tab (status: 'Ongoing'). Client recovered from source: Fengate.</t>
        </is>
      </c>
      <c r="E29" s="3" t="inlineStr">
        <is>
          <t>Client filled in - confirm, then add deal attributes (type / scope / complexity) when known</t>
        </is>
      </c>
      <c r="F29" s="77" t="inlineStr">
        <is>
          <t>resolved</t>
        </is>
      </c>
    </row>
    <row r="30">
      <c r="A30" s="3" t="inlineStr">
        <is>
          <t>Engagement recovered from Summary tab</t>
        </is>
      </c>
      <c r="B30" s="3" t="inlineStr">
        <is>
          <t>George</t>
        </is>
      </c>
      <c r="C30" s="3" t="inlineStr">
        <is>
          <t>Bolt_2</t>
        </is>
      </c>
      <c r="D30" s="3" t="inlineStr">
        <is>
          <t>Not in the register; found on the Summary tab (status: 'Ongoing'). Client recovered from source: Brookfield.</t>
        </is>
      </c>
      <c r="E30" s="3" t="inlineStr">
        <is>
          <t>Client filled in - confirm, then add deal attributes (type / scope / complexity) when known</t>
        </is>
      </c>
      <c r="F30" s="77" t="inlineStr">
        <is>
          <t>resolved</t>
        </is>
      </c>
    </row>
    <row r="31">
      <c r="A31" s="3" t="inlineStr">
        <is>
          <t>Engagement recovered from Summary tab</t>
        </is>
      </c>
      <c r="B31" s="3" t="inlineStr">
        <is>
          <t>George</t>
        </is>
      </c>
      <c r="C31" s="3" t="inlineStr">
        <is>
          <t>Instinct_1</t>
        </is>
      </c>
      <c r="D31" s="3" t="inlineStr">
        <is>
          <t>Not in the register; found on the Summary tab (status: 'Ongoing'). Client recovered from source: Brookfield.</t>
        </is>
      </c>
      <c r="E31" s="3" t="inlineStr">
        <is>
          <t>Client filled in - confirm, then add deal attributes (type / scope / complexity) when known</t>
        </is>
      </c>
      <c r="F31" s="77" t="inlineStr">
        <is>
          <t>resolved</t>
        </is>
      </c>
    </row>
    <row r="32">
      <c r="A32" s="3" t="inlineStr">
        <is>
          <t>Engagement recovered from Summary tab</t>
        </is>
      </c>
      <c r="B32" s="3" t="inlineStr">
        <is>
          <t>Justine</t>
        </is>
      </c>
      <c r="C32" s="3" t="inlineStr">
        <is>
          <t>EV3</t>
        </is>
      </c>
      <c r="D32" s="3" t="inlineStr">
        <is>
          <t>Not in the register; found on the Summary tab (status: 'Proposal'). Client recovered from source: Kalos LLP.</t>
        </is>
      </c>
      <c r="E32" s="3" t="inlineStr">
        <is>
          <t>Client filled in - confirm, then add deal attributes (type / scope / complexity) when known</t>
        </is>
      </c>
      <c r="F32" s="77" t="inlineStr">
        <is>
          <t>resolved</t>
        </is>
      </c>
    </row>
    <row r="33">
      <c r="A33" s="3" t="inlineStr">
        <is>
          <t>Engagement recovered from Summary tab</t>
        </is>
      </c>
      <c r="B33" s="3" t="inlineStr">
        <is>
          <t>Justine</t>
        </is>
      </c>
      <c r="C33" s="3" t="inlineStr">
        <is>
          <t>Westfold</t>
        </is>
      </c>
      <c r="D33" s="3" t="inlineStr">
        <is>
          <t>Not in the register; found on the Summary tab (status: 'Ongoing'). Client recovered from source: EQT Group.</t>
        </is>
      </c>
      <c r="E33" s="3" t="inlineStr">
        <is>
          <t>Client filled in - confirm, then add deal attributes (type / scope / complexity) when known</t>
        </is>
      </c>
      <c r="F33" s="77" t="inlineStr">
        <is>
          <t>resolved</t>
        </is>
      </c>
    </row>
    <row r="34">
      <c r="A34" s="3" t="inlineStr">
        <is>
          <t>Engagement recovered from Summary tab</t>
        </is>
      </c>
      <c r="B34" s="3" t="inlineStr">
        <is>
          <t>Justine</t>
        </is>
      </c>
      <c r="C34" s="3" t="inlineStr">
        <is>
          <t>Scale Add On</t>
        </is>
      </c>
      <c r="D34" s="3" t="inlineStr">
        <is>
          <t>Not in the register; found on the Summary tab (status: 'Proposal - to be coming soon'). Client recovered from source: EQT Group.</t>
        </is>
      </c>
      <c r="E34" s="3" t="inlineStr">
        <is>
          <t>Client filled in - confirm, then add deal attributes (type / scope / complexity) when known</t>
        </is>
      </c>
      <c r="F34" s="77" t="inlineStr">
        <is>
          <t>resolved</t>
        </is>
      </c>
    </row>
    <row r="35">
      <c r="A35" s="3" t="inlineStr">
        <is>
          <t>Engagement recovered from Summary tab</t>
        </is>
      </c>
      <c r="B35" s="3" t="inlineStr">
        <is>
          <t>Justine</t>
        </is>
      </c>
      <c r="C35" s="3" t="inlineStr">
        <is>
          <t>EOS</t>
        </is>
      </c>
      <c r="D35" s="3" t="inlineStr">
        <is>
          <t>Not in the register; found on the Summary tab (status: 'Ongoing'). Client recovered from source: Eight Advisory.</t>
        </is>
      </c>
      <c r="E35" s="3" t="inlineStr">
        <is>
          <t>Client filled in - confirm, then add deal attributes (type / scope / complexity) when known</t>
        </is>
      </c>
      <c r="F35" s="77" t="inlineStr">
        <is>
          <t>resolved</t>
        </is>
      </c>
    </row>
    <row r="36">
      <c r="A36" s="3" t="inlineStr">
        <is>
          <t>Engagement recovered from Summary tab</t>
        </is>
      </c>
      <c r="B36" s="3" t="inlineStr">
        <is>
          <t>Justine</t>
        </is>
      </c>
      <c r="C36" s="3" t="inlineStr">
        <is>
          <t>Gerflor REORG</t>
        </is>
      </c>
      <c r="D36" s="3" t="inlineStr">
        <is>
          <t>Not in the register; found on the Summary tab (status: 'Proposal'). Client recovered from source: Arsene TaxAnd.</t>
        </is>
      </c>
      <c r="E36" s="3" t="inlineStr">
        <is>
          <t>Client filled in - confirm, then add deal attributes (type / scope / complexity) when known</t>
        </is>
      </c>
      <c r="F36" s="77" t="inlineStr">
        <is>
          <t>resolved</t>
        </is>
      </c>
    </row>
    <row r="37">
      <c r="A37" s="3" t="inlineStr">
        <is>
          <t>Engagement recovered from Summary tab</t>
        </is>
      </c>
      <c r="B37" s="3" t="inlineStr">
        <is>
          <t>Justine</t>
        </is>
      </c>
      <c r="C37" s="3" t="inlineStr">
        <is>
          <t>Theta_1</t>
        </is>
      </c>
      <c r="D37" s="3" t="inlineStr">
        <is>
          <t>Not in the register; found on the Summary tab (status: 'Proposal'). Client recovered from source: Thetha FIRPTA.</t>
        </is>
      </c>
      <c r="E37" s="3" t="inlineStr">
        <is>
          <t>Client filled in - confirm, then add deal attributes (type / scope / complexity) when known</t>
        </is>
      </c>
      <c r="F37" s="77" t="inlineStr">
        <is>
          <t>resolved</t>
        </is>
      </c>
    </row>
    <row r="38">
      <c r="A38" s="3" t="inlineStr">
        <is>
          <t>Engagement recovered from Summary tab</t>
        </is>
      </c>
      <c r="B38" s="3" t="inlineStr">
        <is>
          <t>Nina</t>
        </is>
      </c>
      <c r="C38" s="3" t="inlineStr">
        <is>
          <t>Legolas_1</t>
        </is>
      </c>
      <c r="D38" s="3" t="inlineStr">
        <is>
          <t>Not in the register; found on the Summary tab (status: 'Closed'). Client recovered from source: SkyKnight Capital.</t>
        </is>
      </c>
      <c r="E38" s="3" t="inlineStr">
        <is>
          <t>Client filled in - confirm, then add deal attributes (type / scope / complexity) when known</t>
        </is>
      </c>
      <c r="F38" s="77" t="inlineStr">
        <is>
          <t>resolved</t>
        </is>
      </c>
    </row>
    <row r="39">
      <c r="A39" s="3" t="inlineStr">
        <is>
          <t>Engagement recovered from Summary tab</t>
        </is>
      </c>
      <c r="B39" s="3" t="inlineStr">
        <is>
          <t>Nina</t>
        </is>
      </c>
      <c r="C39" s="3" t="inlineStr">
        <is>
          <t>Avlino_1</t>
        </is>
      </c>
      <c r="D39" s="3" t="inlineStr">
        <is>
          <t>Not in the register; found on the Summary tab (status: 'Ongoing'). Client recovered from source: Diversis Capital.</t>
        </is>
      </c>
      <c r="E39" s="3" t="inlineStr">
        <is>
          <t>Client filled in - confirm, then add deal attributes (type / scope / complexity) when known</t>
        </is>
      </c>
      <c r="F39" s="77" t="inlineStr">
        <is>
          <t>resolved</t>
        </is>
      </c>
    </row>
    <row r="40">
      <c r="A40" s="3" t="inlineStr">
        <is>
          <t>Engagement recovered from Summary tab</t>
        </is>
      </c>
      <c r="B40" s="3" t="inlineStr">
        <is>
          <t>Nina</t>
        </is>
      </c>
      <c r="C40" s="3" t="inlineStr">
        <is>
          <t>EOS VDD_1</t>
        </is>
      </c>
      <c r="D40" s="3" t="inlineStr">
        <is>
          <t>Not in the register; found on the Summary tab (status: 'Ongoing'). Client recovered from source: Eight Advisory.</t>
        </is>
      </c>
      <c r="E40" s="3" t="inlineStr">
        <is>
          <t>Client filled in - confirm, then add deal attributes (type / scope / complexity) when known</t>
        </is>
      </c>
      <c r="F40" s="77" t="inlineStr">
        <is>
          <t>resolved</t>
        </is>
      </c>
    </row>
    <row r="41">
      <c r="A41" s="3" t="inlineStr">
        <is>
          <t>Engagement recovered from Summary tab</t>
        </is>
      </c>
      <c r="B41" s="3" t="inlineStr">
        <is>
          <t>Nina</t>
        </is>
      </c>
      <c r="C41" s="3" t="inlineStr">
        <is>
          <t>EV3_1</t>
        </is>
      </c>
      <c r="D41" s="3" t="inlineStr">
        <is>
          <t>Not in the register; found on the Summary tab (status: 'Proposal sent'). Client recovered from source: Eva Equity partners.</t>
        </is>
      </c>
      <c r="E41" s="3" t="inlineStr">
        <is>
          <t>Client filled in - confirm, then add deal attributes (type / scope / complexity) when known</t>
        </is>
      </c>
      <c r="F41" s="77" t="inlineStr">
        <is>
          <t>resolved</t>
        </is>
      </c>
    </row>
    <row r="42">
      <c r="A42" s="3" t="inlineStr">
        <is>
          <t>Engagement recovered from Summary tab</t>
        </is>
      </c>
      <c r="B42" s="3" t="inlineStr">
        <is>
          <t>Nina</t>
        </is>
      </c>
      <c r="C42" s="3" t="inlineStr">
        <is>
          <t>Irradiant_ITC_1</t>
        </is>
      </c>
      <c r="D42" s="3" t="inlineStr">
        <is>
          <t>Not in the register; found on the Summary tab (status: 'Ongoing'). Client recovered from source: Apollo.</t>
        </is>
      </c>
      <c r="E42" s="3" t="inlineStr">
        <is>
          <t>Client filled in - confirm, then add deal attributes (type / scope / complexity) when known</t>
        </is>
      </c>
      <c r="F42" s="77" t="inlineStr">
        <is>
          <t>resolved</t>
        </is>
      </c>
    </row>
    <row r="43">
      <c r="A43" s="3" t="inlineStr">
        <is>
          <t>Engagement recovered from Summary tab</t>
        </is>
      </c>
      <c r="B43" s="3" t="inlineStr">
        <is>
          <t>Nina</t>
        </is>
      </c>
      <c r="C43" s="3" t="inlineStr">
        <is>
          <t>kingfisher FIRPTA</t>
        </is>
      </c>
      <c r="D43" s="3" t="inlineStr">
        <is>
          <t>Not in the register; found on the Summary tab (status: 'Proposal sent'). Client recovered from source: CVC.</t>
        </is>
      </c>
      <c r="E43" s="3" t="inlineStr">
        <is>
          <t>Client filled in - confirm, then add deal attributes (type / scope / complexity) when known</t>
        </is>
      </c>
      <c r="F43" s="77" t="inlineStr">
        <is>
          <t>resolved</t>
        </is>
      </c>
    </row>
    <row r="44">
      <c r="A44" s="3" t="inlineStr">
        <is>
          <t>Engagement recovered from Summary tab</t>
        </is>
      </c>
      <c r="B44" s="3" t="inlineStr">
        <is>
          <t>Nina</t>
        </is>
      </c>
      <c r="C44" s="3" t="inlineStr">
        <is>
          <t>code not yet requested</t>
        </is>
      </c>
      <c r="D44" s="3" t="inlineStr">
        <is>
          <t>Not in the register; found on the Summary tab (status: 'Proposal'). Client recovered from source: Mascarene.</t>
        </is>
      </c>
      <c r="E44" s="3" t="inlineStr">
        <is>
          <t>Client filled in - confirm, then add deal attributes (type / scope / complexity) when known</t>
        </is>
      </c>
      <c r="F44" s="77" t="inlineStr">
        <is>
          <t>resolved</t>
        </is>
      </c>
    </row>
    <row r="45">
      <c r="A45" s="3" t="inlineStr">
        <is>
          <t>Engagement recovered from Summary tab</t>
        </is>
      </c>
      <c r="B45" s="3" t="inlineStr">
        <is>
          <t>Nina</t>
        </is>
      </c>
      <c r="C45" s="3" t="inlineStr">
        <is>
          <t>Chile_1</t>
        </is>
      </c>
      <c r="D45" s="3" t="inlineStr">
        <is>
          <t>Not in the register; found on the Summary tab (status: 'Ongoing'). Client recovered from source: Inn-Flow.</t>
        </is>
      </c>
      <c r="E45" s="3" t="inlineStr">
        <is>
          <t>Client filled in - confirm, then add deal attributes (type / scope / complexity) when known</t>
        </is>
      </c>
      <c r="F45" s="77" t="inlineStr">
        <is>
          <t>resolved</t>
        </is>
      </c>
    </row>
    <row r="46">
      <c r="A46" s="3" t="inlineStr">
        <is>
          <t>Engagement recovered from Summary tab</t>
        </is>
      </c>
      <c r="B46" s="3" t="inlineStr">
        <is>
          <t>Nina</t>
        </is>
      </c>
      <c r="C46" s="3" t="inlineStr">
        <is>
          <t>Pinnacel</t>
        </is>
      </c>
      <c r="D46" s="3" t="inlineStr">
        <is>
          <t>Not in the register; found on the Summary tab (status: 'Proposal sent'). Client recovered from source: Gauge.</t>
        </is>
      </c>
      <c r="E46" s="3" t="inlineStr">
        <is>
          <t>Client filled in - confirm, then add deal attributes (type / scope / complexity) when known</t>
        </is>
      </c>
      <c r="F46" s="77" t="inlineStr">
        <is>
          <t>resolved</t>
        </is>
      </c>
    </row>
    <row r="47">
      <c r="A47" s="3" t="inlineStr">
        <is>
          <t>Engagement recovered from Summary tab</t>
        </is>
      </c>
      <c r="B47" s="3" t="inlineStr">
        <is>
          <t>Nina</t>
        </is>
      </c>
      <c r="C47" s="3" t="inlineStr">
        <is>
          <t>Cirque</t>
        </is>
      </c>
      <c r="D47" s="3" t="inlineStr">
        <is>
          <t>Not in the register; found on the Summary tab (status: 'Proposal sent'). Client recovered from source: Gauge.</t>
        </is>
      </c>
      <c r="E47" s="3" t="inlineStr">
        <is>
          <t>Client filled in - confirm, then add deal attributes (type / scope / complexity) when known</t>
        </is>
      </c>
      <c r="F47" s="77" t="inlineStr">
        <is>
          <t>resolved</t>
        </is>
      </c>
    </row>
    <row r="48">
      <c r="A48" s="3" t="inlineStr">
        <is>
          <t>Engagement recovered from Summary tab</t>
        </is>
      </c>
      <c r="B48" s="3" t="inlineStr">
        <is>
          <t>Nina</t>
        </is>
      </c>
      <c r="C48" s="3" t="inlineStr">
        <is>
          <t>shareplan</t>
        </is>
      </c>
      <c r="D48" s="3" t="inlineStr">
        <is>
          <t>Not in the register; found on the Summary tab (status: 'Proposal sent'). Client recovered from source: Garrigues.</t>
        </is>
      </c>
      <c r="E48" s="3" t="inlineStr">
        <is>
          <t>Client filled in - confirm, then add deal attributes (type / scope / complexity) when known</t>
        </is>
      </c>
      <c r="F48" s="77" t="inlineStr">
        <is>
          <t>resolved</t>
        </is>
      </c>
    </row>
    <row r="49">
      <c r="A49" s="3" t="inlineStr">
        <is>
          <t>Engagement recovered from Summary tab</t>
        </is>
      </c>
      <c r="B49" s="3" t="inlineStr">
        <is>
          <t>Spencer</t>
        </is>
      </c>
      <c r="C49" s="3" t="inlineStr">
        <is>
          <t>Lockup</t>
        </is>
      </c>
      <c r="D49" s="3" t="inlineStr">
        <is>
          <t>Not in the register; found on the Summary tab (status: 'Proposal'). Client recovered from source: Brighthill Energy.</t>
        </is>
      </c>
      <c r="E49" s="3" t="inlineStr">
        <is>
          <t>Client filled in - confirm, then add deal attributes (type / scope / complexity) when known</t>
        </is>
      </c>
      <c r="F49" s="77" t="inlineStr">
        <is>
          <t>resolved</t>
        </is>
      </c>
    </row>
    <row r="50">
      <c r="A50" s="3" t="inlineStr">
        <is>
          <t>Name collision - resolved</t>
        </is>
      </c>
      <c r="B50" s="3" t="inlineStr"/>
      <c r="C50" s="3" t="inlineStr">
        <is>
          <t>EV3 / EV3_1</t>
        </is>
      </c>
      <c r="D50" s="3" t="inlineStr">
        <is>
          <t>Different clients (EV3 = Kalos LLP; EV3_1 = Eva Equity partners) - coincidental code similarity, not a duplicate</t>
        </is>
      </c>
      <c r="E50" s="3" t="inlineStr">
        <is>
          <t>Kept as two separate engagements; no action needed</t>
        </is>
      </c>
      <c r="F50" s="77" t="inlineStr">
        <is>
          <t>resolved</t>
        </is>
      </c>
    </row>
    <row r="51">
      <c r="A51" s="3" t="inlineStr">
        <is>
          <t>Old 'Filtered Status' tab</t>
        </is>
      </c>
      <c r="B51" s="3" t="inlineStr"/>
      <c r="C51" s="3" t="inlineStr">
        <is>
          <t>-</t>
        </is>
      </c>
      <c r="D51" s="3" t="inlineStr">
        <is>
          <t>It was a manual pivot of the per-person survey; superseded by the Assignments tab filters</t>
        </is>
      </c>
      <c r="E51" s="3" t="inlineStr">
        <is>
          <t>Nothing to do</t>
        </is>
      </c>
      <c r="F51" s="77" t="inlineStr">
        <is>
          <t>resolved</t>
        </is>
      </c>
    </row>
    <row r="52">
      <c r="A52" s="3" t="inlineStr">
        <is>
          <t>Unusual register status</t>
        </is>
      </c>
      <c r="B52" s="3" t="inlineStr"/>
      <c r="C52" s="3" t="inlineStr">
        <is>
          <t>ProEnergy_3</t>
        </is>
      </c>
      <c r="D52" s="3" t="inlineStr">
        <is>
          <t>'General Code' mapped to lifecycle 'Internal'</t>
        </is>
      </c>
      <c r="E52" s="3" t="inlineStr">
        <is>
          <t>Confirm or correct the Lifecycle on the Deals tab</t>
        </is>
      </c>
      <c r="F52" s="77" t="inlineStr">
        <is>
          <t>resolved</t>
        </is>
      </c>
    </row>
    <row r="53">
      <c r="A53" s="3" t="inlineStr">
        <is>
          <t>Unusual register status</t>
        </is>
      </c>
      <c r="B53" s="3" t="inlineStr"/>
      <c r="C53" s="3" t="inlineStr">
        <is>
          <t>Aypa Power General PW&amp;A Advisory_1</t>
        </is>
      </c>
      <c r="D53" s="3" t="inlineStr">
        <is>
          <t>'Not active' mapped to lifecycle 'On hold'</t>
        </is>
      </c>
      <c r="E53" s="3" t="inlineStr">
        <is>
          <t>Confirm or correct the Lifecycle on the Deals tab</t>
        </is>
      </c>
      <c r="F53" s="77" t="inlineStr">
        <is>
          <t>resolved</t>
        </is>
      </c>
    </row>
    <row r="54">
      <c r="F54" s="66" t="n"/>
    </row>
    <row r="55">
      <c r="F55" s="66" t="n"/>
    </row>
    <row r="56">
      <c r="A56" s="12" t="inlineStr">
        <is>
          <t>Per-person status mapping (raw text -&gt; Active?/Inactive)</t>
        </is>
      </c>
      <c r="F56" s="66" t="n"/>
    </row>
    <row r="57" ht="28" customHeight="1">
      <c r="A57" s="15" t="inlineStr">
        <is>
          <t>Raw status (as typed)</t>
        </is>
      </c>
      <c r="B57" s="15" t="inlineStr">
        <is>
          <t>Mapped to</t>
        </is>
      </c>
      <c r="C57" s="15" t="inlineStr"/>
      <c r="D57" s="15" t="inlineStr"/>
      <c r="E57" s="15" t="inlineStr"/>
      <c r="F57" s="78" t="inlineStr"/>
    </row>
    <row r="58">
      <c r="A58" s="56" t="inlineStr">
        <is>
          <t>closing</t>
        </is>
      </c>
      <c r="B58" s="56" t="inlineStr">
        <is>
          <t>Active</t>
        </is>
      </c>
      <c r="F58" s="66" t="n"/>
    </row>
    <row r="59">
      <c r="A59" s="56" t="inlineStr">
        <is>
          <t>finished phase i</t>
        </is>
      </c>
      <c r="B59" s="56" t="inlineStr">
        <is>
          <t>Active</t>
        </is>
      </c>
      <c r="F59" s="66" t="n"/>
    </row>
    <row r="60">
      <c r="A60" s="56" t="inlineStr">
        <is>
          <t>ongoing</t>
        </is>
      </c>
      <c r="B60" s="56" t="inlineStr">
        <is>
          <t>Active</t>
        </is>
      </c>
      <c r="F60" s="66" t="n"/>
    </row>
    <row r="61">
      <c r="A61" s="56" t="inlineStr">
        <is>
          <t>ongoing / jeremy</t>
        </is>
      </c>
      <c r="B61" s="56" t="inlineStr">
        <is>
          <t>Active</t>
        </is>
      </c>
      <c r="F61" s="66" t="n"/>
    </row>
    <row r="62">
      <c r="A62" s="56" t="inlineStr">
        <is>
          <t>ongoing ad-hod</t>
        </is>
      </c>
      <c r="B62" s="56" t="inlineStr">
        <is>
          <t>Active</t>
        </is>
      </c>
      <c r="F62" s="66" t="n"/>
    </row>
    <row r="63">
      <c r="A63" s="56" t="inlineStr">
        <is>
          <t>ongoing--close to invoicing</t>
        </is>
      </c>
      <c r="B63" s="56" t="inlineStr">
        <is>
          <t>Active</t>
        </is>
      </c>
      <c r="F63" s="66" t="n"/>
    </row>
    <row r="64">
      <c r="A64" s="56" t="inlineStr">
        <is>
          <t>proposal</t>
        </is>
      </c>
      <c r="B64" s="56" t="inlineStr">
        <is>
          <t>Active</t>
        </is>
      </c>
      <c r="F64" s="66" t="n"/>
    </row>
    <row r="65">
      <c r="A65" s="56" t="inlineStr">
        <is>
          <t>proposal - to be coming soon</t>
        </is>
      </c>
      <c r="B65" s="56" t="inlineStr">
        <is>
          <t>Active</t>
        </is>
      </c>
      <c r="F65" s="66" t="n"/>
    </row>
    <row r="66">
      <c r="A66" s="56" t="inlineStr">
        <is>
          <t>proposal sent</t>
        </is>
      </c>
      <c r="B66" s="56" t="inlineStr">
        <is>
          <t>Active</t>
        </is>
      </c>
      <c r="F66" s="66" t="n"/>
    </row>
    <row r="67">
      <c r="A67" s="56" t="inlineStr">
        <is>
          <t>salt deal</t>
        </is>
      </c>
      <c r="B67" s="56" t="inlineStr">
        <is>
          <t>Active</t>
        </is>
      </c>
      <c r="F67" s="66" t="n"/>
    </row>
    <row r="68">
      <c r="A68" s="56" t="inlineStr">
        <is>
          <t>tdd done / structuring ongoing</t>
        </is>
      </c>
      <c r="B68" s="56" t="inlineStr">
        <is>
          <t>Active</t>
        </is>
      </c>
      <c r="F68" s="66" t="n"/>
    </row>
    <row r="69">
      <c r="A69" s="56" t="inlineStr">
        <is>
          <t>waiting greenlight to kick off diligence.</t>
        </is>
      </c>
      <c r="B69" s="56" t="inlineStr">
        <is>
          <t>Active</t>
        </is>
      </c>
      <c r="F69" s="66" t="n"/>
    </row>
    <row r="70">
      <c r="A70" s="56" t="inlineStr">
        <is>
          <t>client stopped responding to us re: invoicing.</t>
        </is>
      </c>
      <c r="B70" s="56" t="inlineStr">
        <is>
          <t>Inactive</t>
        </is>
      </c>
      <c r="F70" s="66" t="n"/>
    </row>
    <row r="71">
      <c r="A71" s="56" t="inlineStr">
        <is>
          <t>closed</t>
        </is>
      </c>
      <c r="B71" s="56" t="inlineStr">
        <is>
          <t>Inactive</t>
        </is>
      </c>
      <c r="F71" s="66" t="n"/>
    </row>
    <row r="72">
      <c r="A72" s="56" t="inlineStr">
        <is>
          <t>closed to be invoiced</t>
        </is>
      </c>
      <c r="B72" s="56" t="inlineStr">
        <is>
          <t>Inactive</t>
        </is>
      </c>
      <c r="F72" s="66" t="n"/>
    </row>
    <row r="73">
      <c r="A73" s="56" t="inlineStr">
        <is>
          <t>closed--wire for payment should have been already sent</t>
        </is>
      </c>
      <c r="B73" s="56" t="inlineStr">
        <is>
          <t>Inactive</t>
        </is>
      </c>
    </row>
    <row r="74">
      <c r="A74" s="56" t="inlineStr">
        <is>
          <t>dead</t>
        </is>
      </c>
      <c r="B74" s="56" t="inlineStr">
        <is>
          <t>Inactive</t>
        </is>
      </c>
    </row>
    <row r="75">
      <c r="A75" s="56" t="inlineStr">
        <is>
          <t>died</t>
        </is>
      </c>
      <c r="B75" s="56" t="inlineStr">
        <is>
          <t>Inactive</t>
        </is>
      </c>
    </row>
    <row r="76">
      <c r="A76" s="56" t="inlineStr">
        <is>
          <t>don't know what this is</t>
        </is>
      </c>
      <c r="B76" s="56" t="inlineStr">
        <is>
          <t>Inactive</t>
        </is>
      </c>
    </row>
    <row r="77">
      <c r="A77" s="56" t="inlineStr">
        <is>
          <t>invoiced</t>
        </is>
      </c>
      <c r="B77" s="56" t="inlineStr">
        <is>
          <t>Inactive</t>
        </is>
      </c>
    </row>
    <row r="78">
      <c r="A78" s="56" t="inlineStr">
        <is>
          <t>invoicing soon</t>
        </is>
      </c>
      <c r="B78" s="56" t="inlineStr">
        <is>
          <t>Inactive</t>
        </is>
      </c>
    </row>
    <row r="79">
      <c r="A79" s="56" t="inlineStr">
        <is>
          <t>not involved in ongoing work</t>
        </is>
      </c>
      <c r="B79" s="56" t="inlineStr">
        <is>
          <t>Inactive</t>
        </is>
      </c>
    </row>
    <row r="80">
      <c r="A80" s="56" t="inlineStr">
        <is>
          <t>not really involved in ongoing work</t>
        </is>
      </c>
      <c r="B80" s="56" t="inlineStr">
        <is>
          <t>Inactive</t>
        </is>
      </c>
    </row>
    <row r="81">
      <c r="A81" s="56" t="inlineStr">
        <is>
          <t>not sure what's going on with this one. this is an old project.</t>
        </is>
      </c>
      <c r="B81" s="56" t="inlineStr">
        <is>
          <t>Inactive</t>
        </is>
      </c>
    </row>
    <row r="82">
      <c r="A82" s="56" t="inlineStr">
        <is>
          <t>on pause</t>
        </is>
      </c>
      <c r="B82" s="56" t="inlineStr">
        <is>
          <t>Inactive</t>
        </is>
      </c>
    </row>
    <row r="83">
      <c r="A83" s="56" t="inlineStr">
        <is>
          <t>ongoing but not involved with</t>
        </is>
      </c>
      <c r="B83" s="56" t="inlineStr">
        <is>
          <t>Inactive</t>
        </is>
      </c>
    </row>
    <row r="84">
      <c r="A84" s="56" t="inlineStr">
        <is>
          <t>pencils down</t>
        </is>
      </c>
      <c r="B84" s="56" t="inlineStr">
        <is>
          <t>Inactive</t>
        </is>
      </c>
    </row>
    <row r="85">
      <c r="A85" s="56" t="inlineStr">
        <is>
          <t>penicls down</t>
        </is>
      </c>
      <c r="B85" s="56" t="inlineStr">
        <is>
          <t>Inactive</t>
        </is>
      </c>
    </row>
    <row r="86">
      <c r="A86" s="56" t="inlineStr">
        <is>
          <t>pens dowm</t>
        </is>
      </c>
      <c r="B86" s="56" t="inlineStr">
        <is>
          <t>Inactive</t>
        </is>
      </c>
    </row>
    <row r="87">
      <c r="A87" s="56" t="inlineStr">
        <is>
          <t>pens down</t>
        </is>
      </c>
      <c r="B87" s="56" t="inlineStr">
        <is>
          <t>Inactive</t>
        </is>
      </c>
    </row>
    <row r="88">
      <c r="A88" s="56" t="inlineStr">
        <is>
          <t>this was probably when i was helping check tax insurance datarooms.</t>
        </is>
      </c>
      <c r="B88" s="56" t="inlineStr">
        <is>
          <t>Inactive</t>
        </is>
      </c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1"/>
  <conditionalFormatting sqref="C6:C8">
    <cfRule type="expression" priority="1" dxfId="3" stopIfTrue="1">
      <formula>$C6="OK"</formula>
    </cfRule>
    <cfRule type="expression" priority="2" dxfId="0" stopIfTrue="1">
      <formula>$C6="CHECK"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2026-07-21T23:47:02Z</dcterms:created>
  <dcterms:modified xsi:type="dcterms:W3CDTF">2026-07-21T23:47:03Z</dcterms:modified>
</cp:coreProperties>
</file>